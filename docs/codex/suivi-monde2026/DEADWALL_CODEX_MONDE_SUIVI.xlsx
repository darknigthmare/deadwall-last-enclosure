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43720e98ac4048" /></Relationships>
</file>

<file path=xl/workbook.xml><?xml version="1.0" encoding="utf-8"?>
<x:workbook xmlns:x="http://schemas.openxmlformats.org/spreadsheetml/2006/main">
  <x:sheets>
    <x:sheet xmlns:r="http://schemas.openxmlformats.org/officeDocument/2006/relationships" name="Accueil" sheetId="1" r:id="R460c718e36bd4aaf"/>
    <x:sheet xmlns:r="http://schemas.openxmlformats.org/officeDocument/2006/relationships" name="Catalogue existant" sheetId="2" r:id="R38fd641e09644521"/>
    <x:sheet xmlns:r="http://schemas.openxmlformats.org/officeDocument/2006/relationships" name="Extension typologies" sheetId="3" r:id="R3cc2706d2ce74888"/>
    <x:sheet xmlns:r="http://schemas.openxmlformats.org/officeDocument/2006/relationships" name="Variantes à concevoir" sheetId="4" r:id="R86ba990029c24660"/>
    <x:sheet xmlns:r="http://schemas.openxmlformats.org/officeDocument/2006/relationships" name="Chantiers" sheetId="5" r:id="Rbf4ce3a3ca0746cf"/>
    <x:sheet xmlns:r="http://schemas.openxmlformats.org/officeDocument/2006/relationships" name="Règles seed" sheetId="6" r:id="R26c92e937bd34171"/>
    <x:sheet xmlns:r="http://schemas.openxmlformats.org/officeDocument/2006/relationships" name="Familles existantes" sheetId="7" r:id="R18a68fe5126147d6"/>
    <x:sheet xmlns:r="http://schemas.openxmlformats.org/officeDocument/2006/relationships" name="Références" sheetId="8" r:id="R4ecb574877414163"/>
    <x:sheet xmlns:r="http://schemas.openxmlformats.org/officeDocument/2006/relationships" name="Publication" sheetId="9" r:id="Reb939700640e4ddd"/>
    <x:sheet xmlns:r="http://schemas.openxmlformats.org/officeDocument/2006/relationships" name="Légende" sheetId="10" r:id="R3c374a8255624b44"/>
    <x:sheet xmlns:r="http://schemas.openxmlformats.org/officeDocument/2006/relationships" name="Références métriques" sheetId="11" r:id="Red3ae363eb3a4cbb"/>
    <x:sheet xmlns:r="http://schemas.openxmlformats.org/officeDocument/2006/relationships" name="Avancement par type" sheetId="12" r:id="R5390974994614651"/>
    <x:sheet xmlns:r="http://schemas.openxmlformats.org/officeDocument/2006/relationships" name="Inspection" sheetId="13" r:id="R615706eae65a4ed8"/>
    <x:sheet xmlns:r="http://schemas.openxmlformats.org/officeDocument/2006/relationships" name="Campagne G11" sheetId="14" r:id="Rc66a2a84163d49b8"/>
    <x:sheet xmlns:r="http://schemas.openxmlformats.org/officeDocument/2006/relationships" name="Services G11" sheetId="15" r:id="R415ba7348b5744e2"/>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quot; supports proposés&quot;"/>
    <x:numFmt numFmtId="203" formatCode="0&quot; ancres accessibles&quot;"/>
    <x:numFmt numFmtId="204" formatCode="0&quot; présentations préparées&quot;"/>
  </x:numFmts>
  <x:fonts count="30">
    <x:font>
      <x:sz val="11"/>
      <x:name val="Carlito"/>
    </x:font>
    <x:font>
      <x:b/>
      <x:sz val="17"/>
      <x:color rgb="FFFFFFFF"/>
      <x:name val="Carlito"/>
    </x:font>
    <x:font>
      <x:sz val="10"/>
      <x:color rgb="FF52665F"/>
      <x:name val="Carlito"/>
    </x:font>
    <x:font>
      <x:sz val="10"/>
      <x:color rgb="FF183B32"/>
      <x:name val="Carlito"/>
    </x:font>
    <x:font>
      <x:b/>
      <x:sz val="10"/>
      <x:color rgb="FFFFFFFF"/>
      <x:name val="Carlito"/>
    </x:font>
    <x:font>
      <x:sz val="11"/>
      <x:color rgb="FF183B32"/>
      <x:name val="Carlito"/>
    </x:font>
    <x:font>
      <x:b/>
      <x:sz val="22"/>
      <x:color rgb="FFFFFFFF"/>
      <x:name val="Carlito"/>
    </x:font>
    <x:font>
      <x:sz val="11"/>
      <x:color rgb="FF52665F"/>
      <x:name val="Carlito"/>
    </x:font>
    <x:font>
      <x:b/>
      <x:sz val="28"/>
      <x:color rgb="FF183B32"/>
      <x:name val="Carlito"/>
    </x:font>
    <x:font>
      <x:b/>
      <x:sz val="12"/>
      <x:color rgb="FF6F4A00"/>
      <x:name val="Carlito"/>
    </x:font>
    <x:font>
      <x:b/>
      <x:sz val="16"/>
      <x:color rgb="FF183B32"/>
      <x:name val="Carlito"/>
    </x:font>
    <x:font>
      <x:b/>
      <x:sz val="11"/>
      <x:color rgb="FFFFFFFF"/>
      <x:name val="Carlito"/>
    </x:font>
    <x:font>
      <x:b/>
      <x:sz val="10"/>
      <x:color rgb="FF243C34"/>
      <x:name val="Aptos"/>
    </x:font>
    <x:font>
      <x:sz val="10"/>
      <x:color rgb="FF243C34"/>
      <x:name val="Aptos"/>
    </x:font>
    <x:font>
      <x:b/>
      <x:sz val="19"/>
      <x:color rgb="FFFFFFFF"/>
      <x:name val="Aptos"/>
    </x:font>
    <x:font>
      <x:sz val="11"/>
      <x:color rgb="FF335848"/>
      <x:name val="Aptos"/>
    </x:font>
    <x:font>
      <x:b/>
      <x:sz val="9"/>
      <x:color rgb="FF335848"/>
      <x:name val="Aptos"/>
    </x:font>
    <x:font>
      <x:b/>
      <x:sz val="24"/>
      <x:color rgb="FF285947"/>
      <x:name val="Aptos"/>
    </x:font>
    <x:font>
      <x:b/>
      <x:sz val="11"/>
      <x:color rgb="FF70511F"/>
      <x:name val="Aptos"/>
    </x:font>
    <x:font>
      <x:b/>
      <x:sz val="10"/>
      <x:color rgb="FFFFFFFF"/>
      <x:name val="Aptos"/>
    </x:font>
    <x:font>
      <x:b/>
      <x:sz val="16"/>
      <x:color rgb="FFFFFFFF"/>
      <x:name val="Carlito"/>
    </x:font>
    <x:font>
      <x:sz val="10"/>
      <x:color rgb="FF243C34"/>
      <x:name val="Carlito"/>
    </x:font>
    <x:font>
      <x:b/>
      <x:sz val="14"/>
      <x:color rgb="FF285947"/>
      <x:name val="Aptos"/>
    </x:font>
    <x:font>
      <x:sz val="10"/>
      <x:color rgb="FF243E37"/>
      <x:name val="Arial"/>
    </x:font>
    <x:font>
      <x:b/>
      <x:sz val="16"/>
      <x:color rgb="FFFFFFFF"/>
      <x:name val="Arial"/>
    </x:font>
    <x:font>
      <x:b/>
      <x:sz val="10"/>
      <x:color rgb="FFFFFFFF"/>
      <x:name val="Arial"/>
    </x:font>
    <x:font>
      <x:b/>
      <x:sz val="10"/>
      <x:color rgb="FF245544"/>
      <x:name val="Arial"/>
    </x:font>
    <x:font>
      <x:b/>
      <x:sz val="11"/>
      <x:color rgb="FFFFFFFF"/>
      <x:name val="Arial"/>
    </x:font>
    <x:font>
      <x:sz val="10"/>
      <x:color rgb="FF245544"/>
      <x:name val="Arial"/>
    </x:font>
    <x:font>
      <x:b/>
      <x:sz val="10"/>
      <x:color rgb="FF243E37"/>
      <x:name val="Arial"/>
    </x:font>
  </x:fonts>
  <x:fills count="57">
    <x:fill>
      <x:patternFill patternType="none"/>
    </x:fill>
    <x:fill>
      <x:patternFill patternType="gray125"/>
    </x:fill>
    <x:fill>
      <x:patternFill patternType="solid">
        <x:fgColor rgb="FF183B32"/>
      </x:patternFill>
    </x:fill>
    <x:fill>
      <x:patternFill patternType="solid">
        <x:fgColor rgb="FFEAF1ED"/>
      </x:patternFill>
    </x:fill>
    <x:fill>
      <x:patternFill patternType="solid">
        <x:fgColor rgb="FF2F6759"/>
      </x:patternFill>
    </x:fill>
    <x:fill>
      <x:patternFill patternType="solid">
        <x:fgColor rgb="FFFFF1CF"/>
      </x:patternFill>
    </x:fill>
    <x:fill>
      <x:patternFill patternType="solid">
        <x:fgColor rgb="FFFFFFFF"/>
      </x:patternFill>
    </x:fill>
    <x:fill>
      <x:patternFill patternType="solid">
        <x:fgColor rgb="FF264F43"/>
      </x:patternFill>
    </x:fill>
    <x:fill>
      <x:patternFill patternType="solid">
        <x:fgColor rgb="FFE7EFEA"/>
      </x:patternFill>
    </x:fill>
    <x:fill>
      <x:patternFill patternType="solid">
        <x:fgColor rgb="FFF3F7F4"/>
      </x:patternFill>
    </x:fill>
    <x:fill>
      <x:patternFill patternType="solid">
        <x:fgColor rgb="FFFFF2D9"/>
      </x:patternFill>
    </x:fill>
    <x:fill>
      <x:patternFill patternType="solid">
        <x:fgColor rgb="FFF0F5F2"/>
      </x:patternFill>
    </x:fill>
    <x:fill>
      <x:patternFill patternType="solid">
        <x:fgColor rgb="FF254E43"/>
      </x:patternFill>
    </x:fill>
    <x:fill>
      <x:patternFill patternType="solid">
        <x:fgColor rgb="FFE8F0EB"/>
      </x:patternFill>
    </x:fill>
    <x:fill>
      <x:patternFill patternType="solid">
        <x:fgColor rgb="FFF5F8F6"/>
      </x:patternFill>
    </x:fill>
    <x:fill>
      <x:patternFill patternType="solid">
        <x:fgColor rgb="FFDCECE3"/>
      </x:patternFill>
    </x:fill>
    <x:fill>
      <x:patternFill patternType="solid">
        <x:fgColor rgb="FFFFF0CC"/>
      </x:patternFill>
    </x:fill>
    <x:fill>
      <x:patternFill patternType="solid">
        <x:fgColor rgb="FF254E43"/>
      </x:patternFill>
    </x:fill>
    <x:fill>
      <x:patternFill patternType="solid">
        <x:fgColor rgb="FFE8F0EB"/>
      </x:patternFill>
    </x:fill>
    <x:fill>
      <x:patternFill patternType="solid">
        <x:fgColor rgb="FFF5F8F6"/>
      </x:patternFill>
    </x:fill>
    <x:fill>
      <x:patternFill patternType="solid">
        <x:fgColor rgb="FFDCECE3"/>
      </x:patternFill>
    </x:fill>
    <x:fill>
      <x:patternFill patternType="solid">
        <x:fgColor rgb="FFFFF0CC"/>
      </x:patternFill>
    </x:fill>
    <x:fill>
      <x:patternFill patternType="solid">
        <x:fgColor rgb="FF254E43"/>
      </x:patternFill>
    </x:fill>
    <x:fill>
      <x:patternFill patternType="solid">
        <x:fgColor rgb="FFE8F0EB"/>
      </x:patternFill>
    </x:fill>
    <x:fill>
      <x:patternFill patternType="solid">
        <x:fgColor rgb="FFF5F8F6"/>
      </x:patternFill>
    </x:fill>
    <x:fill>
      <x:patternFill patternType="solid">
        <x:fgColor rgb="FFDCECE3"/>
      </x:patternFill>
    </x:fill>
    <x:fill>
      <x:patternFill patternType="solid">
        <x:fgColor rgb="FFFFF0CC"/>
      </x:patternFill>
    </x:fill>
    <x:fill>
      <x:patternFill patternType="solid">
        <x:fgColor rgb="FF254E43"/>
      </x:patternFill>
    </x:fill>
    <x:fill>
      <x:patternFill patternType="solid">
        <x:fgColor rgb="FFE8F0EB"/>
      </x:patternFill>
    </x:fill>
    <x:fill>
      <x:patternFill patternType="solid">
        <x:fgColor rgb="FFF5F8F6"/>
      </x:patternFill>
    </x:fill>
    <x:fill>
      <x:patternFill patternType="solid">
        <x:fgColor rgb="FFDCECE3"/>
      </x:patternFill>
    </x:fill>
    <x:fill>
      <x:patternFill patternType="solid">
        <x:fgColor rgb="FFFFF0CC"/>
      </x:patternFill>
    </x:fill>
    <x:fill>
      <x:patternFill patternType="solid">
        <x:fgColor rgb="FF254E43"/>
      </x:patternFill>
    </x:fill>
    <x:fill>
      <x:patternFill patternType="solid">
        <x:fgColor rgb="FFE8F0EB"/>
      </x:patternFill>
    </x:fill>
    <x:fill>
      <x:patternFill patternType="solid">
        <x:fgColor rgb="FFF5F8F6"/>
      </x:patternFill>
    </x:fill>
    <x:fill>
      <x:patternFill patternType="solid">
        <x:fgColor rgb="FFDCECE3"/>
      </x:patternFill>
    </x:fill>
    <x:fill>
      <x:patternFill patternType="solid">
        <x:fgColor rgb="FFFFF0CC"/>
      </x:patternFill>
    </x:fill>
    <x:fill>
      <x:patternFill patternType="solid">
        <x:fgColor rgb="FF254E43"/>
      </x:patternFill>
    </x:fill>
    <x:fill>
      <x:patternFill patternType="solid">
        <x:fgColor rgb="FFE8F0EB"/>
      </x:patternFill>
    </x:fill>
    <x:fill>
      <x:patternFill patternType="solid">
        <x:fgColor rgb="FFF5F8F6"/>
      </x:patternFill>
    </x:fill>
    <x:fill>
      <x:patternFill patternType="solid">
        <x:fgColor rgb="FFDCECE3"/>
      </x:patternFill>
    </x:fill>
    <x:fill>
      <x:patternFill patternType="solid">
        <x:fgColor rgb="FFFFF0CC"/>
      </x:patternFill>
    </x:fill>
    <x:fill>
      <x:patternFill patternType="solid">
        <x:fgColor rgb="FF254E43"/>
      </x:patternFill>
    </x:fill>
    <x:fill>
      <x:patternFill patternType="solid">
        <x:fgColor rgb="FFE8F0EB"/>
      </x:patternFill>
    </x:fill>
    <x:fill>
      <x:patternFill patternType="solid">
        <x:fgColor rgb="FFF5F8F6"/>
      </x:patternFill>
    </x:fill>
    <x:fill>
      <x:patternFill patternType="solid">
        <x:fgColor rgb="FFDCECE3"/>
      </x:patternFill>
    </x:fill>
    <x:fill>
      <x:patternFill patternType="solid">
        <x:fgColor rgb="FFFFF0CC"/>
      </x:patternFill>
    </x:fill>
    <x:fill>
      <x:patternFill patternType="solid">
        <x:fgColor rgb="FF254E43"/>
      </x:patternFill>
    </x:fill>
    <x:fill>
      <x:patternFill patternType="solid">
        <x:fgColor rgb="FFE8F0EB"/>
      </x:patternFill>
    </x:fill>
    <x:fill>
      <x:patternFill patternType="solid">
        <x:fgColor rgb="FFF5F8F6"/>
      </x:patternFill>
    </x:fill>
    <x:fill>
      <x:patternFill patternType="solid">
        <x:fgColor rgb="FFDCECE3"/>
      </x:patternFill>
    </x:fill>
    <x:fill>
      <x:patternFill patternType="solid">
        <x:fgColor rgb="FFFFF0CC"/>
      </x:patternFill>
    </x:fill>
    <x:fill>
      <x:patternFill patternType="solid">
        <x:fgColor rgb="FF254E43"/>
      </x:patternFill>
    </x:fill>
    <x:fill>
      <x:patternFill patternType="solid">
        <x:fgColor rgb="FFE8F0EB"/>
      </x:patternFill>
    </x:fill>
    <x:fill>
      <x:patternFill patternType="solid">
        <x:fgColor rgb="FFF5F8F6"/>
      </x:patternFill>
    </x:fill>
    <x:fill>
      <x:patternFill patternType="solid">
        <x:fgColor rgb="FFDCECE3"/>
      </x:patternFill>
    </x:fill>
    <x:fill>
      <x:patternFill patternType="solid">
        <x:fgColor rgb="FFFFF0CC"/>
      </x:patternFill>
    </x:fill>
  </x:fills>
  <x:borders count="2">
    <x:border/>
    <x:border/>
  </x:borders>
  <x:cellStyleXfs count="1">
    <x:xf numFmtId="0" fontId="0" fillId="0" borderId="0"/>
  </x:cellStyleXfs>
  <x:cellXfs count="28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5" fillId="0" borderId="0" xfId="0" applyNumberFormat="1" applyFont="1" applyFill="1" applyBorder="1"/>
    <x:xf numFmtId="0" fontId="5" fillId="0" borderId="1" xfId="0" applyNumberFormat="1" applyFont="1" applyFill="1" applyBorder="1"/>
    <x:xf numFmtId="0" fontId="5"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vertical="center"/>
    </x:xf>
    <x:xf numFmtId="0" fontId="5" fillId="2" borderId="1"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vertical="center"/>
    </x:xf>
    <x:xf numFmtId="0" fontId="5" fillId="3" borderId="0" xfId="0" applyNumberFormat="1" applyFont="1" applyFill="1" applyBorder="1"/>
    <x:xf numFmtId="0" fontId="7" fillId="3" borderId="0" xfId="0" applyNumberFormat="1" applyFont="1" applyFill="1" applyBorder="1"/>
    <x:xf numFmtId="0" fontId="5" fillId="3" borderId="1" xfId="0" applyNumberFormat="1" applyFont="1" applyFill="1" applyBorder="1"/>
    <x:xf numFmtId="0" fontId="7" fillId="3" borderId="1" xfId="0" applyNumberFormat="1" applyFont="1" applyFill="1" applyBorder="1"/>
    <x:xf numFmtId="0" fontId="5" fillId="4" borderId="0" xfId="0" applyNumberFormat="1" applyFont="1" applyFill="1" applyBorder="1"/>
    <x:xf numFmtId="0" fontId="4" fillId="4" borderId="0" xfId="0" applyNumberFormat="1" applyFont="1" applyFill="1" applyBorder="1" applyAlignment="1">
      <x:alignment horizontal="center" wrapText="1"/>
    </x:xf>
    <x:xf numFmtId="0" fontId="5" fillId="4" borderId="1" xfId="0" applyNumberFormat="1" applyFont="1" applyFill="1" applyBorder="1"/>
    <x:xf numFmtId="0" fontId="4" fillId="4" borderId="1" xfId="0" applyNumberFormat="1" applyFont="1" applyFill="1" applyBorder="1" applyAlignment="1">
      <x:alignment horizontal="center" wrapText="1"/>
    </x:xf>
    <x:xf numFmtId="0" fontId="8" fillId="3" borderId="0" xfId="0" applyNumberFormat="1" applyFont="1" applyFill="1" applyBorder="1"/>
    <x:xf numFmtId="0" fontId="8" fillId="3" borderId="0" xfId="0" applyNumberFormat="1" applyFont="1" applyFill="1" applyBorder="1" applyAlignment="1">
      <x:alignment horizontal="center"/>
    </x:xf>
    <x:xf numFmtId="0" fontId="8" fillId="3" borderId="0" xfId="0" applyNumberFormat="1" applyFont="1" applyFill="1" applyBorder="1" applyAlignment="1">
      <x:alignment horizontal="center" vertical="center"/>
    </x:xf>
    <x:xf numFmtId="0" fontId="8" fillId="3" borderId="1" xfId="0" applyNumberFormat="1" applyFont="1" applyFill="1" applyBorder="1"/>
    <x:xf numFmtId="0" fontId="8" fillId="3" borderId="1" xfId="0" applyNumberFormat="1" applyFont="1" applyFill="1" applyBorder="1" applyAlignment="1">
      <x:alignment horizontal="center"/>
    </x:xf>
    <x:xf numFmtId="0" fontId="8" fillId="3" borderId="1" xfId="0" applyNumberFormat="1" applyFont="1" applyFill="1" applyBorder="1" applyAlignment="1">
      <x:alignment horizontal="center" vertical="center"/>
    </x:xf>
    <x:xf numFmtId="0" fontId="5"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wrapText="1"/>
    </x:xf>
    <x:xf numFmtId="0" fontId="9" fillId="5" borderId="0" xfId="0" applyNumberFormat="1" applyFont="1" applyFill="1" applyBorder="1" applyAlignment="1">
      <x:alignment vertical="center" wrapText="1"/>
    </x:xf>
    <x:xf numFmtId="0" fontId="5" fillId="5" borderId="1" xfId="0" applyNumberFormat="1" applyFont="1" applyFill="1" applyBorder="1"/>
    <x:xf numFmtId="0" fontId="9" fillId="5" borderId="1" xfId="0" applyNumberFormat="1" applyFont="1" applyFill="1" applyBorder="1"/>
    <x:xf numFmtId="0" fontId="9" fillId="5" borderId="1" xfId="0" applyNumberFormat="1" applyFont="1" applyFill="1" applyBorder="1" applyAlignment="1">
      <x:alignment wrapText="1"/>
    </x:xf>
    <x:xf numFmtId="0" fontId="9" fillId="5" borderId="1" xfId="0" applyNumberFormat="1" applyFont="1" applyFill="1" applyBorder="1" applyAlignment="1">
      <x:alignment vertical="center" wrapText="1"/>
    </x:xf>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10" fillId="0" borderId="0" xfId="0" applyNumberFormat="1" applyFont="1" applyFill="1" applyBorder="1" applyAlignment="1">
      <x:alignment wrapText="1"/>
    </x:xf>
    <x:xf numFmtId="0" fontId="10" fillId="0" borderId="1" xfId="0" applyNumberFormat="1" applyFont="1" applyFill="1" applyBorder="1" applyAlignment="1">
      <x:alignment wrapText="1"/>
    </x:xf>
    <x:xf numFmtId="0" fontId="11" fillId="4" borderId="0" xfId="0" applyNumberFormat="1" applyFont="1" applyFill="1" applyBorder="1"/>
    <x:xf numFmtId="0" fontId="11" fillId="4" borderId="1"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5" fillId="3" borderId="1" xfId="0" applyNumberFormat="1" applyFont="1" applyFill="1" applyBorder="1" applyAlignment="1">
      <x:alignment wrapText="1"/>
    </x:xf>
    <x:xf numFmtId="0" fontId="5" fillId="3" borderId="1" xfId="0" applyNumberFormat="1" applyFont="1" applyFill="1" applyBorder="1" applyAlignment="1">
      <x:alignment vertical="top" wrapText="1"/>
    </x:xf>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0" fillId="0" borderId="0" xfId="0" applyNumberFormat="1" applyFont="1" applyFill="1" applyBorder="1"/>
    <x:xf numFmtId="0" fontId="6" fillId="6" borderId="0" xfId="0" applyNumberFormat="1" applyFont="1" applyFill="1" applyBorder="1" applyAlignment="1">
      <x:alignment vertical="center"/>
    </x:xf>
    <x:xf numFmtId="0" fontId="7" fillId="6" borderId="0" xfId="0" applyNumberFormat="1" applyFont="1" applyFill="1" applyBorder="1"/>
    <x:xf numFmtId="0" fontId="5" fillId="6" borderId="0" xfId="0" applyNumberFormat="1" applyFont="1" applyFill="1" applyBorder="1"/>
    <x:xf numFmtId="0" fontId="4" fillId="6" borderId="0" xfId="0" applyNumberFormat="1" applyFont="1" applyFill="1" applyBorder="1" applyAlignment="1">
      <x:alignment horizontal="center" wrapText="1"/>
    </x:xf>
    <x:xf numFmtId="0" fontId="8" fillId="6" borderId="0" xfId="0" applyNumberFormat="1" applyFont="1" applyFill="1" applyBorder="1" applyAlignment="1">
      <x:alignment horizontal="center" vertical="center"/>
    </x:xf>
    <x:xf numFmtId="0" fontId="9" fillId="6" borderId="0" xfId="0" applyNumberFormat="1" applyFont="1" applyFill="1" applyBorder="1" applyAlignment="1">
      <x:alignment vertical="center" wrapText="1"/>
    </x:xf>
    <x:xf numFmtId="0" fontId="4" fillId="6" borderId="0" xfId="0" applyNumberFormat="1" applyFont="1" applyFill="1" applyBorder="1"/>
    <x:xf numFmtId="0" fontId="5" fillId="6" borderId="0" xfId="0" applyNumberFormat="1" applyFont="1" applyFill="1" applyBorder="1" applyAlignment="1">
      <x:alignment wrapText="1"/>
    </x:xf>
    <x:xf numFmtId="0" fontId="10" fillId="6" borderId="0" xfId="0" applyNumberFormat="1" applyFont="1" applyFill="1" applyBorder="1" applyAlignment="1">
      <x:alignment wrapText="1"/>
    </x:xf>
    <x:xf numFmtId="0" fontId="11" fillId="6" borderId="0" xfId="0" applyNumberFormat="1" applyFont="1" applyFill="1" applyBorder="1"/>
    <x:xf numFmtId="0" fontId="5" fillId="6" borderId="0" xfId="0" applyNumberFormat="1" applyFont="1" applyFill="1" applyBorder="1" applyAlignment="1">
      <x:alignment vertical="top" wrapText="1"/>
    </x:xf>
    <x:xf numFmtId="0" fontId="7" fillId="6" borderId="0" xfId="0" applyNumberFormat="1" applyFont="1" applyFill="1" applyBorder="1" applyAlignment="1">
      <x:alignment vertical="center" wrapText="1"/>
    </x:xf>
    <x:xf numFmtId="0" fontId="12" fillId="6" borderId="0" xfId="0" applyNumberFormat="1" applyFont="1" applyFill="1" applyBorder="1" applyAlignment="1">
      <x:alignment vertical="center"/>
    </x:xf>
    <x:xf numFmtId="0" fontId="13" fillId="6" borderId="0" xfId="0" applyNumberFormat="1" applyFont="1" applyFill="1" applyBorder="1"/>
    <x:xf numFmtId="0" fontId="12" fillId="6" borderId="0" xfId="0" applyNumberFormat="1" applyFont="1" applyFill="1" applyBorder="1" applyAlignment="1">
      <x:alignment horizontal="center" wrapText="1"/>
    </x:xf>
    <x:xf numFmtId="0" fontId="12" fillId="6" borderId="0" xfId="0" applyNumberFormat="1" applyFont="1" applyFill="1" applyBorder="1" applyAlignment="1">
      <x:alignment horizontal="center" vertical="center"/>
    </x:xf>
    <x:xf numFmtId="0" fontId="12" fillId="6" borderId="0" xfId="0" applyNumberFormat="1" applyFont="1" applyFill="1" applyBorder="1" applyAlignment="1">
      <x:alignment vertical="center" wrapText="1"/>
    </x:xf>
    <x:xf numFmtId="0" fontId="12" fillId="6" borderId="0" xfId="0" applyNumberFormat="1" applyFont="1" applyFill="1" applyBorder="1"/>
    <x:xf numFmtId="0" fontId="13" fillId="6" borderId="0" xfId="0" applyNumberFormat="1" applyFont="1" applyFill="1" applyBorder="1" applyAlignment="1">
      <x:alignment wrapText="1"/>
    </x:xf>
    <x:xf numFmtId="0" fontId="12" fillId="6" borderId="0" xfId="0" applyNumberFormat="1" applyFont="1" applyFill="1" applyBorder="1" applyAlignment="1">
      <x:alignment wrapText="1"/>
    </x:xf>
    <x:xf numFmtId="0" fontId="13" fillId="6" borderId="0" xfId="0" applyNumberFormat="1" applyFont="1" applyFill="1" applyBorder="1" applyAlignment="1">
      <x:alignment vertical="top" wrapText="1"/>
    </x:xf>
    <x:xf numFmtId="0" fontId="13" fillId="6" borderId="0" xfId="0" applyNumberFormat="1" applyFont="1" applyFill="1" applyBorder="1" applyAlignment="1">
      <x:alignment vertical="center" wrapText="1"/>
    </x:xf>
    <x:xf numFmtId="0" fontId="13" fillId="6" borderId="0" xfId="0" applyNumberFormat="1" applyFont="1" applyFill="1" applyBorder="1" applyAlignment="1">
      <x:alignment vertical="center"/>
    </x:xf>
    <x:xf numFmtId="0" fontId="12" fillId="6" borderId="0" xfId="0" applyNumberFormat="1" applyFont="1" applyFill="1" applyBorder="1" applyAlignment="1">
      <x:alignment horizontal="center" vertical="center" wrapText="1"/>
    </x:xf>
    <x:xf numFmtId="0" fontId="12" fillId="7" borderId="0" xfId="0" applyNumberFormat="1" applyFont="1" applyFill="1" applyBorder="1" applyAlignment="1">
      <x:alignment vertical="center"/>
    </x:xf>
    <x:xf numFmtId="0" fontId="14" fillId="7" borderId="0" xfId="0" applyNumberFormat="1" applyFont="1" applyFill="1" applyBorder="1" applyAlignment="1">
      <x:alignment vertical="center"/>
    </x:xf>
    <x:xf numFmtId="0" fontId="13" fillId="8" borderId="0" xfId="0" applyNumberFormat="1" applyFont="1" applyFill="1" applyBorder="1" applyAlignment="1">
      <x:alignment vertical="center"/>
    </x:xf>
    <x:xf numFmtId="0" fontId="15" fillId="8" borderId="0" xfId="0" applyNumberFormat="1" applyFont="1" applyFill="1" applyBorder="1" applyAlignment="1">
      <x:alignment vertical="center"/>
    </x:xf>
    <x:xf numFmtId="0" fontId="12" fillId="8" borderId="0" xfId="0" applyNumberFormat="1" applyFont="1" applyFill="1" applyBorder="1" applyAlignment="1">
      <x:alignment horizontal="center" vertical="center" wrapText="1"/>
    </x:xf>
    <x:xf numFmtId="0" fontId="16" fillId="8" borderId="0" xfId="0" applyNumberFormat="1" applyFont="1" applyFill="1" applyBorder="1" applyAlignment="1">
      <x:alignment horizontal="center" vertical="center" wrapText="1"/>
    </x:xf>
    <x:xf numFmtId="0" fontId="12" fillId="9" borderId="0" xfId="0" applyNumberFormat="1" applyFont="1" applyFill="1" applyBorder="1" applyAlignment="1">
      <x:alignment horizontal="center" vertical="center"/>
    </x:xf>
    <x:xf numFmtId="0" fontId="17" fillId="9" borderId="0" xfId="0" applyNumberFormat="1" applyFont="1" applyFill="1" applyBorder="1" applyAlignment="1">
      <x:alignment horizontal="center" vertical="center"/>
    </x:xf>
    <x:xf numFmtId="0" fontId="12" fillId="10" borderId="0" xfId="0" applyNumberFormat="1" applyFont="1" applyFill="1" applyBorder="1" applyAlignment="1">
      <x:alignment vertical="center" wrapText="1"/>
    </x:xf>
    <x:xf numFmtId="0" fontId="18" fillId="10" borderId="0" xfId="0" applyNumberFormat="1" applyFont="1" applyFill="1" applyBorder="1" applyAlignment="1">
      <x:alignment vertical="center" wrapText="1"/>
    </x:xf>
    <x:xf numFmtId="0" fontId="13" fillId="7" borderId="0" xfId="0" applyNumberFormat="1" applyFont="1" applyFill="1" applyBorder="1" applyAlignment="1">
      <x:alignment vertical="center"/>
    </x:xf>
    <x:xf numFmtId="0" fontId="19" fillId="7" borderId="0" xfId="0" applyNumberFormat="1" applyFont="1" applyFill="1" applyBorder="1" applyAlignment="1">
      <x:alignment vertical="center"/>
    </x:xf>
    <x:xf numFmtId="0" fontId="13" fillId="11" borderId="0" xfId="0" applyNumberFormat="1" applyFont="1" applyFill="1" applyBorder="1" applyAlignment="1">
      <x:alignment vertical="center" wrapText="1"/>
    </x:xf>
    <x:xf numFmtId="0" fontId="12" fillId="11" borderId="0" xfId="0" applyNumberFormat="1" applyFont="1" applyFill="1" applyBorder="1" applyAlignment="1">
      <x:alignment vertical="center" wrapText="1"/>
    </x:xf>
    <x:xf numFmtId="0" fontId="13" fillId="11" borderId="0" xfId="0" applyNumberFormat="1" applyFont="1" applyFill="1" applyBorder="1" applyAlignment="1">
      <x:alignment vertical="center"/>
    </x:xf>
    <x:xf numFmtId="0" fontId="13" fillId="9" borderId="0" xfId="0" applyNumberFormat="1" applyFont="1" applyFill="1" applyBorder="1" applyAlignment="1">
      <x:alignment vertical="center" wrapText="1"/>
    </x:xf>
    <x:xf numFmtId="0" fontId="13" fillId="9" borderId="0" xfId="0" applyNumberFormat="1" applyFont="1" applyFill="1" applyBorder="1" applyAlignment="1">
      <x:alignment vertical="center"/>
    </x:xf>
    <x:xf numFmtId="0" fontId="15" fillId="9" borderId="0" xfId="0" applyNumberFormat="1" applyFont="1" applyFill="1" applyBorder="1" applyAlignment="1">
      <x:alignment vertical="center" wrapText="1"/>
    </x:xf>
    <x:xf numFmtId="0" fontId="15" fillId="9" borderId="0" xfId="0" applyNumberFormat="1" applyFont="1" applyFill="1" applyBorder="1" applyAlignment="1">
      <x:alignment vertical="center"/>
    </x:xf>
    <x:xf numFmtId="0" fontId="4" fillId="7" borderId="0" xfId="0" applyNumberFormat="1" applyFont="1" applyFill="1" applyBorder="1" applyAlignment="1">
      <x:alignment wrapText="1"/>
    </x:xf>
    <x:xf numFmtId="0" fontId="0" fillId="7" borderId="0" xfId="0" applyNumberFormat="1" applyFont="1" applyFill="1" applyBorder="1"/>
    <x:xf numFmtId="0" fontId="20" fillId="7" borderId="0" xfId="0" applyNumberFormat="1" applyFont="1" applyFill="1" applyBorder="1"/>
    <x:xf numFmtId="0" fontId="0" fillId="0" borderId="0" xfId="0" applyNumberFormat="1" applyFont="1" applyFill="1" applyBorder="1" applyAlignment="1">
      <x:alignment wrapText="1"/>
    </x:xf>
    <x:xf numFmtId="0" fontId="11" fillId="7" borderId="0" xfId="0" applyNumberFormat="1" applyFont="1" applyFill="1" applyBorder="1"/>
    <x:xf numFmtId="0" fontId="21" fillId="0" borderId="0" xfId="0" applyNumberFormat="1" applyFont="1" applyFill="1" applyBorder="1"/>
    <x:xf numFmtId="0" fontId="21" fillId="0" borderId="0" xfId="0" applyNumberFormat="1" applyFont="1" applyFill="1" applyBorder="1" applyAlignment="1">
      <x:alignment wrapText="1"/>
    </x:xf>
    <x:xf numFmtId="0" fontId="12" fillId="11" borderId="0" xfId="0" applyNumberFormat="1" applyFont="1" applyFill="1" applyBorder="1" applyAlignment="1">
      <x:alignment horizontal="center" vertical="center" wrapText="1"/>
    </x:xf>
    <x:xf numFmtId="0" fontId="22" fillId="11" borderId="0" xfId="0" applyNumberFormat="1" applyFont="1" applyFill="1" applyBorder="1" applyAlignment="1">
      <x:alignment vertical="center"/>
    </x:xf>
    <x:xf numFmtId="0" fontId="22" fillId="6" borderId="0" xfId="0" applyNumberFormat="1" applyFont="1" applyFill="1" applyBorder="1" applyAlignment="1">
      <x:alignment vertical="center"/>
    </x:xf>
    <x:xf numFmtId="0" fontId="22" fillId="11" borderId="0" xfId="0" applyNumberFormat="1" applyFont="1" applyFill="1" applyBorder="1" applyAlignment="1">
      <x:alignment horizontal="center" vertical="center"/>
    </x:xf>
    <x:xf numFmtId="0" fontId="22" fillId="6" borderId="0" xfId="0" applyNumberFormat="1" applyFont="1" applyFill="1" applyBorder="1" applyAlignment="1">
      <x:alignment horizontal="center" vertical="center"/>
    </x:xf>
    <x:xf numFmtId="0" fontId="21" fillId="0" borderId="0" xfId="0" applyNumberFormat="1" applyFont="1" applyFill="1" applyBorder="1" applyAlignment="1">
      <x:alignment vertical="top" wrapText="1"/>
    </x:xf>
    <x:xf numFmtId="0" fontId="23" fillId="0" borderId="0" xfId="0" applyNumberFormat="1" applyFont="1" applyFill="1" applyBorder="1"/>
    <x:xf numFmtId="0" fontId="23" fillId="0" borderId="0" xfId="0" applyNumberFormat="1" applyFont="1" applyFill="1" applyBorder="1" applyAlignment="1">
      <x:alignment vertical="center"/>
    </x:xf>
    <x:xf numFmtId="0" fontId="23" fillId="12" borderId="0" xfId="0" applyNumberFormat="1" applyFont="1" applyFill="1" applyBorder="1" applyAlignment="1">
      <x:alignment vertical="center"/>
    </x:xf>
    <x:xf numFmtId="0" fontId="24" fillId="12" borderId="0" xfId="0" applyNumberFormat="1" applyFont="1" applyFill="1" applyBorder="1" applyAlignment="1">
      <x:alignment vertical="center"/>
    </x:xf>
    <x:xf numFmtId="0" fontId="23" fillId="13" borderId="0" xfId="0" applyNumberFormat="1" applyFont="1" applyFill="1" applyBorder="1" applyAlignment="1">
      <x:alignment vertical="center"/>
    </x:xf>
    <x:xf numFmtId="0" fontId="25" fillId="12" borderId="0" xfId="0" applyNumberFormat="1" applyFont="1" applyFill="1" applyBorder="1" applyAlignment="1">
      <x:alignment vertical="center"/>
    </x:xf>
    <x:xf numFmtId="0" fontId="25" fillId="12" borderId="0" xfId="0" applyNumberFormat="1" applyFont="1" applyFill="1" applyBorder="1" applyAlignment="1">
      <x:alignment vertical="center" wrapText="1"/>
    </x:xf>
    <x:xf numFmtId="0" fontId="23" fillId="14" borderId="0" xfId="0" applyNumberFormat="1" applyFont="1" applyFill="1" applyBorder="1" applyAlignment="1">
      <x:alignment vertical="center"/>
    </x:xf>
    <x:xf numFmtId="0" fontId="23" fillId="14" borderId="0" xfId="0" applyNumberFormat="1" applyFont="1" applyFill="1" applyBorder="1" applyAlignment="1">
      <x:alignment vertical="center" wrapText="1"/>
    </x:xf>
    <x:xf numFmtId="0" fontId="0" fillId="15" borderId="0" xfId="0" applyNumberFormat="1" applyFont="1" applyFill="1" applyBorder="1"/>
    <x:xf numFmtId="0" fontId="26" fillId="15" borderId="0" xfId="0" applyNumberFormat="1" applyFont="1" applyFill="1" applyBorder="1"/>
    <x:xf numFmtId="200" fontId="23" fillId="14" borderId="0" xfId="0" applyNumberFormat="1" applyFont="1" applyFill="1" applyBorder="1" applyAlignment="1">
      <x:alignment vertical="center"/>
    </x:xf>
    <x:xf numFmtId="200" fontId="26" fillId="15" borderId="0" xfId="0" applyNumberFormat="1" applyFont="1" applyFill="1" applyBorder="1"/>
    <x:xf numFmtId="0" fontId="23" fillId="0" borderId="0" xfId="0" applyNumberFormat="1" applyFont="1" applyFill="1" applyBorder="1" applyAlignment="1">
      <x:alignment wrapText="1"/>
    </x:xf>
    <x:xf numFmtId="0" fontId="23" fillId="0" borderId="0" xfId="0" applyNumberFormat="1" applyFont="1" applyFill="1" applyBorder="1" applyAlignment="1">
      <x:alignment vertical="center" wrapText="1"/>
    </x:xf>
    <x:xf numFmtId="0" fontId="23" fillId="12" borderId="0" xfId="0" applyNumberFormat="1" applyFont="1" applyFill="1" applyBorder="1" applyAlignment="1">
      <x:alignment vertical="center" wrapText="1"/>
    </x:xf>
    <x:xf numFmtId="0" fontId="27" fillId="12" borderId="0" xfId="0" applyNumberFormat="1" applyFont="1" applyFill="1" applyBorder="1" applyAlignment="1">
      <x:alignment vertical="center" wrapText="1"/>
    </x:xf>
    <x:xf numFmtId="0" fontId="23" fillId="16" borderId="0" xfId="0" applyNumberFormat="1" applyFont="1" applyFill="1" applyBorder="1" applyAlignment="1">
      <x:alignment vertical="center" wrapText="1"/>
    </x:xf>
    <x:xf numFmtId="0" fontId="28" fillId="0" borderId="0" xfId="0" applyNumberFormat="1" applyFont="1" applyFill="1" applyBorder="1" applyAlignment="1">
      <x:alignment vertical="center" wrapText="1"/>
    </x:xf>
    <x:xf numFmtId="0" fontId="29" fillId="12" borderId="0" xfId="0" applyNumberFormat="1" applyFont="1" applyFill="1" applyBorder="1" applyAlignment="1">
      <x:alignment vertical="center"/>
    </x:xf>
    <x:xf numFmtId="0" fontId="29" fillId="12" borderId="0" xfId="0" applyNumberFormat="1" applyFont="1" applyFill="1" applyBorder="1" applyAlignment="1">
      <x:alignment vertical="center" wrapText="1"/>
    </x:xf>
    <x:xf numFmtId="0" fontId="29" fillId="17" borderId="0" xfId="0" applyNumberFormat="1" applyFont="1" applyFill="1" applyBorder="1" applyAlignment="1">
      <x:alignment vertical="center"/>
    </x:xf>
    <x:xf numFmtId="0" fontId="24" fillId="17" borderId="0" xfId="0" applyNumberFormat="1" applyFont="1" applyFill="1" applyBorder="1" applyAlignment="1">
      <x:alignment vertical="center"/>
    </x:xf>
    <x:xf numFmtId="0" fontId="23" fillId="18" borderId="0" xfId="0" applyNumberFormat="1" applyFont="1" applyFill="1" applyBorder="1" applyAlignment="1">
      <x:alignment vertical="center"/>
    </x:xf>
    <x:xf numFmtId="0" fontId="29" fillId="17" borderId="0" xfId="0" applyNumberFormat="1" applyFont="1" applyFill="1" applyBorder="1" applyAlignment="1">
      <x:alignment vertical="center" wrapText="1"/>
    </x:xf>
    <x:xf numFmtId="0" fontId="25" fillId="17" borderId="0" xfId="0" applyNumberFormat="1" applyFont="1" applyFill="1" applyBorder="1" applyAlignment="1">
      <x:alignment vertical="center" wrapText="1"/>
    </x:xf>
    <x:xf numFmtId="0" fontId="23" fillId="19" borderId="0" xfId="0" applyNumberFormat="1" applyFont="1" applyFill="1" applyBorder="1" applyAlignment="1">
      <x:alignment vertical="center"/>
    </x:xf>
    <x:xf numFmtId="0" fontId="23" fillId="19" borderId="0" xfId="0" applyNumberFormat="1" applyFont="1" applyFill="1" applyBorder="1" applyAlignment="1">
      <x:alignment vertical="center" wrapText="1"/>
    </x:xf>
    <x:xf numFmtId="0" fontId="26" fillId="20" borderId="0" xfId="0" applyNumberFormat="1" applyFont="1" applyFill="1" applyBorder="1"/>
    <x:xf numFmtId="200" fontId="23" fillId="19" borderId="0" xfId="0" applyNumberFormat="1" applyFont="1" applyFill="1" applyBorder="1" applyAlignment="1">
      <x:alignment vertical="center"/>
    </x:xf>
    <x:xf numFmtId="0" fontId="0" fillId="20" borderId="0" xfId="0" applyNumberFormat="1" applyFont="1" applyFill="1" applyBorder="1"/>
    <x:xf numFmtId="200" fontId="26" fillId="20" borderId="0" xfId="0" applyNumberFormat="1" applyFont="1" applyFill="1" applyBorder="1"/>
    <x:xf numFmtId="0" fontId="23" fillId="17" borderId="0" xfId="0" applyNumberFormat="1" applyFont="1" applyFill="1" applyBorder="1" applyAlignment="1">
      <x:alignment vertical="center" wrapText="1"/>
    </x:xf>
    <x:xf numFmtId="0" fontId="27" fillId="17" borderId="0" xfId="0" applyNumberFormat="1" applyFont="1" applyFill="1" applyBorder="1" applyAlignment="1">
      <x:alignment vertical="center" wrapText="1"/>
    </x:xf>
    <x:xf numFmtId="0" fontId="23" fillId="21" borderId="0" xfId="0" applyNumberFormat="1" applyFont="1" applyFill="1" applyBorder="1" applyAlignment="1">
      <x:alignment vertical="center" wrapText="1"/>
    </x:xf>
    <x:xf numFmtId="0" fontId="29" fillId="22" borderId="0" xfId="0" applyNumberFormat="1" applyFont="1" applyFill="1" applyBorder="1" applyAlignment="1">
      <x:alignment vertical="center"/>
    </x:xf>
    <x:xf numFmtId="0" fontId="24" fillId="22" borderId="0" xfId="0" applyNumberFormat="1" applyFont="1" applyFill="1" applyBorder="1" applyAlignment="1">
      <x:alignment vertical="center"/>
    </x:xf>
    <x:xf numFmtId="0" fontId="23" fillId="23" borderId="0" xfId="0" applyNumberFormat="1" applyFont="1" applyFill="1" applyBorder="1" applyAlignment="1">
      <x:alignment vertical="center"/>
    </x:xf>
    <x:xf numFmtId="0" fontId="29" fillId="22" borderId="0" xfId="0" applyNumberFormat="1" applyFont="1" applyFill="1" applyBorder="1" applyAlignment="1">
      <x:alignment vertical="center" wrapText="1"/>
    </x:xf>
    <x:xf numFmtId="0" fontId="25" fillId="22" borderId="0" xfId="0" applyNumberFormat="1" applyFont="1" applyFill="1" applyBorder="1" applyAlignment="1">
      <x:alignment vertical="center" wrapText="1"/>
    </x:xf>
    <x:xf numFmtId="0" fontId="23" fillId="24" borderId="0" xfId="0" applyNumberFormat="1" applyFont="1" applyFill="1" applyBorder="1" applyAlignment="1">
      <x:alignment vertical="center"/>
    </x:xf>
    <x:xf numFmtId="0" fontId="23" fillId="24" borderId="0" xfId="0" applyNumberFormat="1" applyFont="1" applyFill="1" applyBorder="1" applyAlignment="1">
      <x:alignment vertical="center" wrapText="1"/>
    </x:xf>
    <x:xf numFmtId="0" fontId="26" fillId="25" borderId="0" xfId="0" applyNumberFormat="1" applyFont="1" applyFill="1" applyBorder="1"/>
    <x:xf numFmtId="200" fontId="23" fillId="24" borderId="0" xfId="0" applyNumberFormat="1" applyFont="1" applyFill="1" applyBorder="1" applyAlignment="1">
      <x:alignment vertical="center"/>
    </x:xf>
    <x:xf numFmtId="0" fontId="0" fillId="25" borderId="0" xfId="0" applyNumberFormat="1" applyFont="1" applyFill="1" applyBorder="1"/>
    <x:xf numFmtId="200" fontId="26" fillId="25" borderId="0" xfId="0" applyNumberFormat="1" applyFont="1" applyFill="1" applyBorder="1"/>
    <x:xf numFmtId="0" fontId="23" fillId="22" borderId="0" xfId="0" applyNumberFormat="1" applyFont="1" applyFill="1" applyBorder="1" applyAlignment="1">
      <x:alignment vertical="center" wrapText="1"/>
    </x:xf>
    <x:xf numFmtId="0" fontId="27" fillId="22" borderId="0" xfId="0" applyNumberFormat="1" applyFont="1" applyFill="1" applyBorder="1" applyAlignment="1">
      <x:alignment vertical="center" wrapText="1"/>
    </x:xf>
    <x:xf numFmtId="0" fontId="23" fillId="26" borderId="0" xfId="0" applyNumberFormat="1" applyFont="1" applyFill="1" applyBorder="1" applyAlignment="1">
      <x:alignment vertical="center" wrapText="1"/>
    </x:xf>
    <x:xf numFmtId="0" fontId="29" fillId="27" borderId="0" xfId="0" applyNumberFormat="1" applyFont="1" applyFill="1" applyBorder="1" applyAlignment="1">
      <x:alignment vertical="center"/>
    </x:xf>
    <x:xf numFmtId="0" fontId="24" fillId="27" borderId="0" xfId="0" applyNumberFormat="1" applyFont="1" applyFill="1" applyBorder="1" applyAlignment="1">
      <x:alignment vertical="center"/>
    </x:xf>
    <x:xf numFmtId="0" fontId="23" fillId="28" borderId="0" xfId="0" applyNumberFormat="1" applyFont="1" applyFill="1" applyBorder="1" applyAlignment="1">
      <x:alignment vertical="center"/>
    </x:xf>
    <x:xf numFmtId="0" fontId="29" fillId="27" borderId="0" xfId="0" applyNumberFormat="1" applyFont="1" applyFill="1" applyBorder="1" applyAlignment="1">
      <x:alignment vertical="center" wrapText="1"/>
    </x:xf>
    <x:xf numFmtId="0" fontId="25" fillId="27" borderId="0" xfId="0" applyNumberFormat="1" applyFont="1" applyFill="1" applyBorder="1" applyAlignment="1">
      <x:alignment vertical="center" wrapText="1"/>
    </x:xf>
    <x:xf numFmtId="0" fontId="23" fillId="29" borderId="0" xfId="0" applyNumberFormat="1" applyFont="1" applyFill="1" applyBorder="1" applyAlignment="1">
      <x:alignment vertical="center"/>
    </x:xf>
    <x:xf numFmtId="0" fontId="23" fillId="29" borderId="0" xfId="0" applyNumberFormat="1" applyFont="1" applyFill="1" applyBorder="1" applyAlignment="1">
      <x:alignment vertical="center" wrapText="1"/>
    </x:xf>
    <x:xf numFmtId="0" fontId="26" fillId="30" borderId="0" xfId="0" applyNumberFormat="1" applyFont="1" applyFill="1" applyBorder="1"/>
    <x:xf numFmtId="200" fontId="23" fillId="29" borderId="0" xfId="0" applyNumberFormat="1" applyFont="1" applyFill="1" applyBorder="1" applyAlignment="1">
      <x:alignment vertical="center"/>
    </x:xf>
    <x:xf numFmtId="0" fontId="0" fillId="30" borderId="0" xfId="0" applyNumberFormat="1" applyFont="1" applyFill="1" applyBorder="1"/>
    <x:xf numFmtId="200" fontId="26" fillId="30" borderId="0" xfId="0" applyNumberFormat="1" applyFont="1" applyFill="1" applyBorder="1"/>
    <x:xf numFmtId="0" fontId="23" fillId="27" borderId="0" xfId="0" applyNumberFormat="1" applyFont="1" applyFill="1" applyBorder="1" applyAlignment="1">
      <x:alignment vertical="center" wrapText="1"/>
    </x:xf>
    <x:xf numFmtId="0" fontId="27" fillId="27" borderId="0" xfId="0" applyNumberFormat="1" applyFont="1" applyFill="1" applyBorder="1" applyAlignment="1">
      <x:alignment vertical="center" wrapText="1"/>
    </x:xf>
    <x:xf numFmtId="0" fontId="23" fillId="31" borderId="0" xfId="0" applyNumberFormat="1" applyFont="1" applyFill="1" applyBorder="1" applyAlignment="1">
      <x:alignment vertical="center" wrapText="1"/>
    </x:xf>
    <x:xf numFmtId="0" fontId="29" fillId="32" borderId="0" xfId="0" applyNumberFormat="1" applyFont="1" applyFill="1" applyBorder="1" applyAlignment="1">
      <x:alignment vertical="center"/>
    </x:xf>
    <x:xf numFmtId="0" fontId="24" fillId="32" borderId="0" xfId="0" applyNumberFormat="1" applyFont="1" applyFill="1" applyBorder="1" applyAlignment="1">
      <x:alignment vertical="center"/>
    </x:xf>
    <x:xf numFmtId="0" fontId="23" fillId="33" borderId="0" xfId="0" applyNumberFormat="1" applyFont="1" applyFill="1" applyBorder="1" applyAlignment="1">
      <x:alignment vertical="center"/>
    </x:xf>
    <x:xf numFmtId="0" fontId="29" fillId="32" borderId="0" xfId="0" applyNumberFormat="1" applyFont="1" applyFill="1" applyBorder="1" applyAlignment="1">
      <x:alignment vertical="center" wrapText="1"/>
    </x:xf>
    <x:xf numFmtId="0" fontId="25" fillId="32" borderId="0" xfId="0" applyNumberFormat="1" applyFont="1" applyFill="1" applyBorder="1" applyAlignment="1">
      <x:alignment vertical="center" wrapText="1"/>
    </x:xf>
    <x:xf numFmtId="0" fontId="23" fillId="34" borderId="0" xfId="0" applyNumberFormat="1" applyFont="1" applyFill="1" applyBorder="1" applyAlignment="1">
      <x:alignment vertical="center"/>
    </x:xf>
    <x:xf numFmtId="0" fontId="23" fillId="34" borderId="0" xfId="0" applyNumberFormat="1" applyFont="1" applyFill="1" applyBorder="1" applyAlignment="1">
      <x:alignment vertical="center" wrapText="1"/>
    </x:xf>
    <x:xf numFmtId="0" fontId="26" fillId="35" borderId="0" xfId="0" applyNumberFormat="1" applyFont="1" applyFill="1" applyBorder="1"/>
    <x:xf numFmtId="200" fontId="23" fillId="34" borderId="0" xfId="0" applyNumberFormat="1" applyFont="1" applyFill="1" applyBorder="1" applyAlignment="1">
      <x:alignment vertical="center"/>
    </x:xf>
    <x:xf numFmtId="0" fontId="0" fillId="35" borderId="0" xfId="0" applyNumberFormat="1" applyFont="1" applyFill="1" applyBorder="1"/>
    <x:xf numFmtId="200" fontId="26" fillId="35" borderId="0" xfId="0" applyNumberFormat="1" applyFont="1" applyFill="1" applyBorder="1"/>
    <x:xf numFmtId="0" fontId="23" fillId="32" borderId="0" xfId="0" applyNumberFormat="1" applyFont="1" applyFill="1" applyBorder="1" applyAlignment="1">
      <x:alignment vertical="center" wrapText="1"/>
    </x:xf>
    <x:xf numFmtId="0" fontId="27" fillId="32" borderId="0" xfId="0" applyNumberFormat="1" applyFont="1" applyFill="1" applyBorder="1" applyAlignment="1">
      <x:alignment vertical="center" wrapText="1"/>
    </x:xf>
    <x:xf numFmtId="0" fontId="23" fillId="36" borderId="0" xfId="0" applyNumberFormat="1" applyFont="1" applyFill="1" applyBorder="1" applyAlignment="1">
      <x:alignment vertical="center" wrapText="1"/>
    </x:xf>
    <x:xf numFmtId="0" fontId="29" fillId="37" borderId="0" xfId="0" applyNumberFormat="1" applyFont="1" applyFill="1" applyBorder="1" applyAlignment="1">
      <x:alignment vertical="center"/>
    </x:xf>
    <x:xf numFmtId="0" fontId="24" fillId="37" borderId="0" xfId="0" applyNumberFormat="1" applyFont="1" applyFill="1" applyBorder="1" applyAlignment="1">
      <x:alignment vertical="center"/>
    </x:xf>
    <x:xf numFmtId="0" fontId="23" fillId="38" borderId="0" xfId="0" applyNumberFormat="1" applyFont="1" applyFill="1" applyBorder="1" applyAlignment="1">
      <x:alignment vertical="center"/>
    </x:xf>
    <x:xf numFmtId="0" fontId="29" fillId="37" borderId="0" xfId="0" applyNumberFormat="1" applyFont="1" applyFill="1" applyBorder="1" applyAlignment="1">
      <x:alignment vertical="center" wrapText="1"/>
    </x:xf>
    <x:xf numFmtId="0" fontId="25" fillId="37" borderId="0" xfId="0" applyNumberFormat="1" applyFont="1" applyFill="1" applyBorder="1" applyAlignment="1">
      <x:alignment vertical="center" wrapText="1"/>
    </x:xf>
    <x:xf numFmtId="0" fontId="23" fillId="39" borderId="0" xfId="0" applyNumberFormat="1" applyFont="1" applyFill="1" applyBorder="1" applyAlignment="1">
      <x:alignment vertical="center"/>
    </x:xf>
    <x:xf numFmtId="0" fontId="23" fillId="39" borderId="0" xfId="0" applyNumberFormat="1" applyFont="1" applyFill="1" applyBorder="1" applyAlignment="1">
      <x:alignment vertical="center" wrapText="1"/>
    </x:xf>
    <x:xf numFmtId="0" fontId="26" fillId="40" borderId="0" xfId="0" applyNumberFormat="1" applyFont="1" applyFill="1" applyBorder="1"/>
    <x:xf numFmtId="200" fontId="23" fillId="39" borderId="0" xfId="0" applyNumberFormat="1" applyFont="1" applyFill="1" applyBorder="1" applyAlignment="1">
      <x:alignment vertical="center"/>
    </x:xf>
    <x:xf numFmtId="0" fontId="0" fillId="40" borderId="0" xfId="0" applyNumberFormat="1" applyFont="1" applyFill="1" applyBorder="1"/>
    <x:xf numFmtId="200" fontId="26" fillId="40" borderId="0" xfId="0" applyNumberFormat="1" applyFont="1" applyFill="1" applyBorder="1"/>
    <x:xf numFmtId="0" fontId="23" fillId="37" borderId="0" xfId="0" applyNumberFormat="1" applyFont="1" applyFill="1" applyBorder="1" applyAlignment="1">
      <x:alignment vertical="center" wrapText="1"/>
    </x:xf>
    <x:xf numFmtId="0" fontId="27" fillId="37" borderId="0" xfId="0" applyNumberFormat="1" applyFont="1" applyFill="1" applyBorder="1" applyAlignment="1">
      <x:alignment vertical="center" wrapText="1"/>
    </x:xf>
    <x:xf numFmtId="0" fontId="23" fillId="41" borderId="0" xfId="0" applyNumberFormat="1" applyFont="1" applyFill="1" applyBorder="1" applyAlignment="1">
      <x:alignment vertical="center" wrapText="1"/>
    </x:xf>
    <x:xf numFmtId="0" fontId="23" fillId="37" borderId="0" xfId="0" applyNumberFormat="1" applyFont="1" applyFill="1" applyBorder="1" applyAlignment="1">
      <x:alignment vertical="center"/>
    </x:xf>
    <x:xf numFmtId="0" fontId="25" fillId="37" borderId="0" xfId="0" applyNumberFormat="1" applyFont="1" applyFill="1" applyBorder="1" applyAlignment="1">
      <x:alignment vertical="center"/>
    </x:xf>
    <x:xf numFmtId="201" fontId="23" fillId="39" borderId="0" xfId="0" applyNumberFormat="1" applyFont="1" applyFill="1" applyBorder="1" applyAlignment="1">
      <x:alignment vertical="center" wrapText="1"/>
    </x:xf>
    <x:xf numFmtId="201" fontId="23" fillId="39" borderId="0" xfId="0" applyNumberFormat="1" applyFont="1" applyFill="1" applyBorder="1" applyAlignment="1">
      <x:alignment horizontal="center" vertical="center" wrapText="1"/>
    </x:xf>
    <x:xf numFmtId="0" fontId="23" fillId="39" borderId="0" xfId="0" applyNumberFormat="1" applyFont="1" applyFill="1" applyBorder="1" applyAlignment="1">
      <x:alignment horizontal="center" vertical="center" wrapText="1"/>
    </x:xf>
    <x:xf numFmtId="0" fontId="29" fillId="42" borderId="0" xfId="0" applyNumberFormat="1" applyFont="1" applyFill="1" applyBorder="1" applyAlignment="1">
      <x:alignment vertical="center"/>
    </x:xf>
    <x:xf numFmtId="0" fontId="24" fillId="42" borderId="0" xfId="0" applyNumberFormat="1" applyFont="1" applyFill="1" applyBorder="1" applyAlignment="1">
      <x:alignment vertical="center"/>
    </x:xf>
    <x:xf numFmtId="0" fontId="23" fillId="43" borderId="0" xfId="0" applyNumberFormat="1" applyFont="1" applyFill="1" applyBorder="1" applyAlignment="1">
      <x:alignment vertical="center"/>
    </x:xf>
    <x:xf numFmtId="0" fontId="29" fillId="42" borderId="0" xfId="0" applyNumberFormat="1" applyFont="1" applyFill="1" applyBorder="1" applyAlignment="1">
      <x:alignment vertical="center" wrapText="1"/>
    </x:xf>
    <x:xf numFmtId="0" fontId="25" fillId="42" borderId="0" xfId="0" applyNumberFormat="1" applyFont="1" applyFill="1" applyBorder="1" applyAlignment="1">
      <x:alignment vertical="center" wrapText="1"/>
    </x:xf>
    <x:xf numFmtId="0" fontId="23" fillId="44" borderId="0" xfId="0" applyNumberFormat="1" applyFont="1" applyFill="1" applyBorder="1" applyAlignment="1">
      <x:alignment vertical="center"/>
    </x:xf>
    <x:xf numFmtId="0" fontId="23" fillId="44" borderId="0" xfId="0" applyNumberFormat="1" applyFont="1" applyFill="1" applyBorder="1" applyAlignment="1">
      <x:alignment vertical="center" wrapText="1"/>
    </x:xf>
    <x:xf numFmtId="0" fontId="26" fillId="45" borderId="0" xfId="0" applyNumberFormat="1" applyFont="1" applyFill="1" applyBorder="1"/>
    <x:xf numFmtId="200" fontId="23" fillId="44" borderId="0" xfId="0" applyNumberFormat="1" applyFont="1" applyFill="1" applyBorder="1" applyAlignment="1">
      <x:alignment vertical="center"/>
    </x:xf>
    <x:xf numFmtId="0" fontId="0" fillId="45" borderId="0" xfId="0" applyNumberFormat="1" applyFont="1" applyFill="1" applyBorder="1"/>
    <x:xf numFmtId="200" fontId="26" fillId="45" borderId="0" xfId="0" applyNumberFormat="1" applyFont="1" applyFill="1" applyBorder="1"/>
    <x:xf numFmtId="0" fontId="23" fillId="42" borderId="0" xfId="0" applyNumberFormat="1" applyFont="1" applyFill="1" applyBorder="1" applyAlignment="1">
      <x:alignment vertical="center" wrapText="1"/>
    </x:xf>
    <x:xf numFmtId="0" fontId="27" fillId="42" borderId="0" xfId="0" applyNumberFormat="1" applyFont="1" applyFill="1" applyBorder="1" applyAlignment="1">
      <x:alignment vertical="center" wrapText="1"/>
    </x:xf>
    <x:xf numFmtId="0" fontId="23" fillId="46" borderId="0" xfId="0" applyNumberFormat="1" applyFont="1" applyFill="1" applyBorder="1" applyAlignment="1">
      <x:alignment vertical="center" wrapText="1"/>
    </x:xf>
    <x:xf numFmtId="201" fontId="23" fillId="44" borderId="0" xfId="0" applyNumberFormat="1" applyFont="1" applyFill="1" applyBorder="1" applyAlignment="1">
      <x:alignment vertical="center" wrapText="1"/>
    </x:xf>
    <x:xf numFmtId="201" fontId="23" fillId="44" borderId="0" xfId="0" applyNumberFormat="1" applyFont="1" applyFill="1" applyBorder="1" applyAlignment="1">
      <x:alignment horizontal="center" vertical="center" wrapText="1"/>
    </x:xf>
    <x:xf numFmtId="0" fontId="23" fillId="44" borderId="0" xfId="0" applyNumberFormat="1" applyFont="1" applyFill="1" applyBorder="1" applyAlignment="1">
      <x:alignment horizontal="center" vertical="center" wrapText="1"/>
    </x:xf>
    <x:xf numFmtId="0" fontId="23" fillId="42" borderId="0" xfId="0" applyNumberFormat="1" applyFont="1" applyFill="1" applyBorder="1" applyAlignment="1">
      <x:alignment vertical="center"/>
    </x:xf>
    <x:xf numFmtId="0" fontId="25" fillId="42" borderId="0" xfId="0" applyNumberFormat="1" applyFont="1" applyFill="1" applyBorder="1" applyAlignment="1">
      <x:alignment vertical="center"/>
    </x:xf>
    <x:xf numFmtId="202" fontId="0" fillId="0" borderId="0" xfId="0" applyNumberFormat="1" applyFont="1" applyFill="1" applyBorder="1"/>
    <x:xf numFmtId="203" fontId="0" fillId="0" borderId="0" xfId="0" applyNumberFormat="1" applyFont="1" applyFill="1" applyBorder="1"/>
    <x:xf numFmtId="202" fontId="23" fillId="0" borderId="0" xfId="0" applyNumberFormat="1" applyFont="1" applyFill="1" applyBorder="1"/>
    <x:xf numFmtId="203" fontId="23" fillId="0" borderId="0" xfId="0" applyNumberFormat="1" applyFont="1" applyFill="1" applyBorder="1"/>
    <x:xf numFmtId="202" fontId="23" fillId="0" borderId="0" xfId="0" applyNumberFormat="1" applyFont="1" applyFill="1" applyBorder="1" applyAlignment="1">
      <x:alignment wrapText="1"/>
    </x:xf>
    <x:xf numFmtId="203" fontId="23" fillId="0" borderId="0" xfId="0" applyNumberFormat="1" applyFont="1" applyFill="1" applyBorder="1" applyAlignment="1">
      <x:alignment wrapText="1"/>
    </x:xf>
    <x:xf numFmtId="204" fontId="0" fillId="0" borderId="0" xfId="0" applyNumberFormat="1" applyFont="1" applyFill="1" applyBorder="1"/>
    <x:xf numFmtId="204" fontId="23" fillId="0" borderId="0" xfId="0" applyNumberFormat="1" applyFont="1" applyFill="1" applyBorder="1"/>
    <x:xf numFmtId="204" fontId="23" fillId="0" borderId="0" xfId="0" applyNumberFormat="1" applyFont="1" applyFill="1" applyBorder="1" applyAlignment="1">
      <x:alignment wrapText="1"/>
    </x:xf>
    <x:xf numFmtId="0" fontId="29" fillId="47" borderId="0" xfId="0" applyNumberFormat="1" applyFont="1" applyFill="1" applyBorder="1" applyAlignment="1">
      <x:alignment vertical="center"/>
    </x:xf>
    <x:xf numFmtId="0" fontId="24" fillId="47" borderId="0" xfId="0" applyNumberFormat="1" applyFont="1" applyFill="1" applyBorder="1" applyAlignment="1">
      <x:alignment vertical="center"/>
    </x:xf>
    <x:xf numFmtId="0" fontId="23" fillId="48" borderId="0" xfId="0" applyNumberFormat="1" applyFont="1" applyFill="1" applyBorder="1" applyAlignment="1">
      <x:alignment vertical="center"/>
    </x:xf>
    <x:xf numFmtId="0" fontId="29" fillId="47" borderId="0" xfId="0" applyNumberFormat="1" applyFont="1" applyFill="1" applyBorder="1" applyAlignment="1">
      <x:alignment vertical="center" wrapText="1"/>
    </x:xf>
    <x:xf numFmtId="0" fontId="25" fillId="47" borderId="0" xfId="0" applyNumberFormat="1" applyFont="1" applyFill="1" applyBorder="1" applyAlignment="1">
      <x:alignment vertical="center" wrapText="1"/>
    </x:xf>
    <x:xf numFmtId="0" fontId="23" fillId="49" borderId="0" xfId="0" applyNumberFormat="1" applyFont="1" applyFill="1" applyBorder="1" applyAlignment="1">
      <x:alignment vertical="center"/>
    </x:xf>
    <x:xf numFmtId="0" fontId="23" fillId="49" borderId="0" xfId="0" applyNumberFormat="1" applyFont="1" applyFill="1" applyBorder="1" applyAlignment="1">
      <x:alignment vertical="center" wrapText="1"/>
    </x:xf>
    <x:xf numFmtId="0" fontId="26" fillId="50" borderId="0" xfId="0" applyNumberFormat="1" applyFont="1" applyFill="1" applyBorder="1"/>
    <x:xf numFmtId="200" fontId="23" fillId="49" borderId="0" xfId="0" applyNumberFormat="1" applyFont="1" applyFill="1" applyBorder="1" applyAlignment="1">
      <x:alignment vertical="center"/>
    </x:xf>
    <x:xf numFmtId="0" fontId="0" fillId="50" borderId="0" xfId="0" applyNumberFormat="1" applyFont="1" applyFill="1" applyBorder="1"/>
    <x:xf numFmtId="200" fontId="26" fillId="50" borderId="0" xfId="0" applyNumberFormat="1" applyFont="1" applyFill="1" applyBorder="1"/>
    <x:xf numFmtId="0" fontId="23" fillId="47" borderId="0" xfId="0" applyNumberFormat="1" applyFont="1" applyFill="1" applyBorder="1" applyAlignment="1">
      <x:alignment vertical="center" wrapText="1"/>
    </x:xf>
    <x:xf numFmtId="0" fontId="27" fillId="47" borderId="0" xfId="0" applyNumberFormat="1" applyFont="1" applyFill="1" applyBorder="1" applyAlignment="1">
      <x:alignment vertical="center" wrapText="1"/>
    </x:xf>
    <x:xf numFmtId="0" fontId="23" fillId="51" borderId="0" xfId="0" applyNumberFormat="1" applyFont="1" applyFill="1" applyBorder="1" applyAlignment="1">
      <x:alignment vertical="center" wrapText="1"/>
    </x:xf>
    <x:xf numFmtId="201" fontId="23" fillId="49" borderId="0" xfId="0" applyNumberFormat="1" applyFont="1" applyFill="1" applyBorder="1" applyAlignment="1">
      <x:alignment vertical="center" wrapText="1"/>
    </x:xf>
    <x:xf numFmtId="201" fontId="23" fillId="49" borderId="0" xfId="0" applyNumberFormat="1" applyFont="1" applyFill="1" applyBorder="1" applyAlignment="1">
      <x:alignment horizontal="center" vertical="center" wrapText="1"/>
    </x:xf>
    <x:xf numFmtId="0" fontId="23" fillId="49" borderId="0" xfId="0" applyNumberFormat="1" applyFont="1" applyFill="1" applyBorder="1" applyAlignment="1">
      <x:alignment horizontal="center" vertical="center" wrapText="1"/>
    </x:xf>
    <x:xf numFmtId="0" fontId="29" fillId="52" borderId="0" xfId="0" applyNumberFormat="1" applyFont="1" applyFill="1" applyBorder="1" applyAlignment="1">
      <x:alignment vertical="center"/>
    </x:xf>
    <x:xf numFmtId="0" fontId="24" fillId="52" borderId="0" xfId="0" applyNumberFormat="1" applyFont="1" applyFill="1" applyBorder="1" applyAlignment="1">
      <x:alignment vertical="center"/>
    </x:xf>
    <x:xf numFmtId="0" fontId="23" fillId="53" borderId="0" xfId="0" applyNumberFormat="1" applyFont="1" applyFill="1" applyBorder="1" applyAlignment="1">
      <x:alignment vertical="center"/>
    </x:xf>
    <x:xf numFmtId="0" fontId="29" fillId="52" borderId="0" xfId="0" applyNumberFormat="1" applyFont="1" applyFill="1" applyBorder="1" applyAlignment="1">
      <x:alignment vertical="center" wrapText="1"/>
    </x:xf>
    <x:xf numFmtId="0" fontId="25" fillId="52" borderId="0" xfId="0" applyNumberFormat="1" applyFont="1" applyFill="1" applyBorder="1" applyAlignment="1">
      <x:alignment vertical="center" wrapText="1"/>
    </x:xf>
    <x:xf numFmtId="0" fontId="23" fillId="54" borderId="0" xfId="0" applyNumberFormat="1" applyFont="1" applyFill="1" applyBorder="1" applyAlignment="1">
      <x:alignment vertical="center"/>
    </x:xf>
    <x:xf numFmtId="0" fontId="23" fillId="54" borderId="0" xfId="0" applyNumberFormat="1" applyFont="1" applyFill="1" applyBorder="1" applyAlignment="1">
      <x:alignment vertical="center" wrapText="1"/>
    </x:xf>
    <x:xf numFmtId="0" fontId="26" fillId="55" borderId="0" xfId="0" applyNumberFormat="1" applyFont="1" applyFill="1" applyBorder="1"/>
    <x:xf numFmtId="200" fontId="23" fillId="54" borderId="0" xfId="0" applyNumberFormat="1" applyFont="1" applyFill="1" applyBorder="1" applyAlignment="1">
      <x:alignment vertical="center"/>
    </x:xf>
    <x:xf numFmtId="0" fontId="0" fillId="55" borderId="0" xfId="0" applyNumberFormat="1" applyFont="1" applyFill="1" applyBorder="1"/>
    <x:xf numFmtId="200" fontId="26" fillId="55" borderId="0" xfId="0" applyNumberFormat="1" applyFont="1" applyFill="1" applyBorder="1"/>
    <x:xf numFmtId="0" fontId="23" fillId="52" borderId="0" xfId="0" applyNumberFormat="1" applyFont="1" applyFill="1" applyBorder="1" applyAlignment="1">
      <x:alignment vertical="center" wrapText="1"/>
    </x:xf>
    <x:xf numFmtId="0" fontId="27" fillId="52" borderId="0" xfId="0" applyNumberFormat="1" applyFont="1" applyFill="1" applyBorder="1" applyAlignment="1">
      <x:alignment vertical="center" wrapText="1"/>
    </x:xf>
    <x:xf numFmtId="0" fontId="23" fillId="56" borderId="0" xfId="0" applyNumberFormat="1" applyFont="1" applyFill="1" applyBorder="1" applyAlignment="1">
      <x:alignment vertical="center" wrapText="1"/>
    </x:xf>
    <x:xf numFmtId="201" fontId="23" fillId="54" borderId="0" xfId="0" applyNumberFormat="1" applyFont="1" applyFill="1" applyBorder="1" applyAlignment="1">
      <x:alignment vertical="center" wrapText="1"/>
    </x:xf>
    <x:xf numFmtId="201" fontId="23" fillId="54" borderId="0" xfId="0" applyNumberFormat="1" applyFont="1" applyFill="1" applyBorder="1" applyAlignment="1">
      <x:alignment horizontal="center" vertical="center" wrapText="1"/>
    </x:xf>
    <x:xf numFmtId="0" fontId="23" fillId="54" borderId="0" xfId="0" applyNumberFormat="1" applyFont="1" applyFill="1" applyBorder="1" applyAlignment="1">
      <x:alignment horizontal="center" vertical="center" wrapText="1"/>
    </x:xf>
  </x:cellXfs>
  <x:cellStyles count="1">
    <x:cellStyle name="Normal" xfId="0"/>
  </x:cellStyles>
  <x:dxfs count="27">
    <x:dxf>
      <x:fill>
        <x:patternFill>
          <x:bgColor rgb="FFD9EAD3"/>
        </x:patternFill>
      </x:fill>
    </x:dxf>
    <x:dxf>
      <x:fill>
        <x:patternFill>
          <x:bgColor rgb="FFFCE4D6"/>
        </x:patternFill>
      </x:fill>
    </x:dxf>
    <x:dxf>
      <x:fill>
        <x:patternFill>
          <x:bgColor rgb="FFF4CCCC"/>
        </x:patternFill>
      </x:fill>
    </x:dxf>
    <x:dxf>
      <x:font>
        <x:color rgb="FF1D5A43"/>
      </x:font>
      <x:fill>
        <x:patternFill>
          <x:bgColor rgb="FFDDEEE5"/>
        </x:patternFill>
      </x:fill>
    </x:dxf>
    <x:dxf>
      <x:font>
        <x:color rgb="FF76531F"/>
      </x:font>
      <x:fill>
        <x:patternFill>
          <x:bgColor rgb="FFFFF0CF"/>
        </x:patternFill>
      </x:fill>
    </x:dxf>
    <x:dxf>
      <x:font>
        <x:color rgb="FF805319"/>
      </x:font>
      <x:fill>
        <x:patternFill>
          <x:bgColor rgb="FFFFF0CC"/>
        </x:patternFill>
      </x:fill>
    </x:dxf>
    <x:dxf>
      <x:font>
        <x:b/>
        <x:color rgb="FF245544"/>
      </x:font>
      <x:fill>
        <x:patternFill>
          <x:bgColor rgb="FFDCECE3"/>
        </x:patternFill>
      </x:fill>
    </x:dxf>
    <x:dxf>
      <x:font>
        <x:color rgb="FF805319"/>
      </x:font>
      <x:fill>
        <x:patternFill>
          <x:bgColor rgb="FFFFF0CC"/>
        </x:patternFill>
      </x:fill>
    </x:dxf>
    <x:dxf>
      <x:font>
        <x:b/>
        <x:color rgb="FF245544"/>
      </x:font>
      <x:fill>
        <x:patternFill>
          <x:bgColor rgb="FFDCECE3"/>
        </x:patternFill>
      </x:fill>
    </x:dxf>
    <x:dxf>
      <x:font>
        <x:color rgb="FF805319"/>
      </x:font>
      <x:fill>
        <x:patternFill>
          <x:bgColor rgb="FFFFF0CC"/>
        </x:patternFill>
      </x:fill>
    </x:dxf>
    <x:dxf>
      <x:font>
        <x:b/>
        <x:color rgb="FF245544"/>
      </x:font>
      <x:fill>
        <x:patternFill>
          <x:bgColor rgb="FFDCECE3"/>
        </x:patternFill>
      </x:fill>
    </x:dxf>
    <x:dxf>
      <x:font>
        <x:color rgb="FF805319"/>
      </x:font>
      <x:fill>
        <x:patternFill>
          <x:bgColor rgb="FFFFF0CC"/>
        </x:patternFill>
      </x:fill>
    </x:dxf>
    <x:dxf>
      <x:font>
        <x:b/>
        <x:color rgb="FF245544"/>
      </x:font>
      <x:fill>
        <x:patternFill>
          <x:bgColor rgb="FFDCECE3"/>
        </x:patternFill>
      </x:fill>
    </x:dxf>
    <x:dxf>
      <x:font>
        <x:color rgb="FF805319"/>
      </x:font>
      <x:fill>
        <x:patternFill>
          <x:bgColor rgb="FFFFF0CC"/>
        </x:patternFill>
      </x:fill>
    </x:dxf>
    <x:dxf>
      <x:font>
        <x:b/>
        <x:color rgb="FF245544"/>
      </x:font>
      <x:fill>
        <x:patternFill>
          <x:bgColor rgb="FFDCECE3"/>
        </x:patternFill>
      </x:fill>
    </x:dxf>
    <x:dxf>
      <x:font>
        <x:color rgb="FF805319"/>
      </x:font>
      <x:fill>
        <x:patternFill>
          <x:bgColor rgb="FFFFF0CC"/>
        </x:patternFill>
      </x:fill>
    </x:dxf>
    <x:dxf>
      <x:font>
        <x:b/>
        <x:color rgb="FF245544"/>
      </x:font>
      <x:fill>
        <x:patternFill>
          <x:bgColor rgb="FFDCECE3"/>
        </x:patternFill>
      </x:fill>
    </x:dxf>
    <x:dxf>
      <x:font>
        <x:color rgb="FF805319"/>
      </x:font>
      <x:fill>
        <x:patternFill>
          <x:bgColor rgb="FFFFF0CC"/>
        </x:patternFill>
      </x:fill>
    </x:dxf>
    <x:dxf>
      <x:font>
        <x:b/>
        <x:color rgb="FF245544"/>
      </x:font>
      <x:fill>
        <x:patternFill>
          <x:bgColor rgb="FFDCECE3"/>
        </x:patternFill>
      </x:fill>
    </x:dxf>
    <x:dxf>
      <x:font>
        <x:color rgb="FF805319"/>
      </x:font>
      <x:fill>
        <x:patternFill>
          <x:bgColor rgb="FFFFF0CC"/>
        </x:patternFill>
      </x:fill>
    </x:dxf>
    <x:dxf>
      <x:font>
        <x:b/>
        <x:color rgb="FF245544"/>
      </x:font>
      <x:fill>
        <x:patternFill>
          <x:bgColor rgb="FFDCECE3"/>
        </x:patternFill>
      </x:fill>
    </x:dxf>
    <x:dxf>
      <x:font>
        <x:color rgb="FF805319"/>
      </x:font>
      <x:fill>
        <x:patternFill>
          <x:bgColor rgb="FFFFF0CC"/>
        </x:patternFill>
      </x:fill>
    </x:dxf>
    <x:dxf>
      <x:font>
        <x:b/>
        <x:color rgb="FF245544"/>
      </x:font>
      <x:fill>
        <x:patternFill>
          <x:bgColor rgb="FFDCECE3"/>
        </x:patternFill>
      </x:fill>
    </x:dxf>
    <x:dxf>
      <x:font>
        <x:color rgb="FF805319"/>
      </x:font>
      <x:fill>
        <x:patternFill>
          <x:bgColor rgb="FFFFF0CC"/>
        </x:patternFill>
      </x:fill>
    </x:dxf>
    <x:dxf>
      <x:font>
        <x:b/>
        <x:color rgb="FF245544"/>
      </x:font>
      <x:fill>
        <x:patternFill>
          <x:bgColor rgb="FFDCECE3"/>
        </x:patternFill>
      </x:fill>
    </x:dxf>
    <x:dxf>
      <x:font>
        <x:color rgb="FF805319"/>
      </x:font>
      <x:fill>
        <x:patternFill patternType="solid">
          <x:bgColor rgb="FFFFF0CC"/>
        </x:patternFill>
      </x:fill>
    </x:dxf>
    <x:dxf>
      <x:font>
        <x:b/>
        <x:color rgb="FF245544"/>
      </x:font>
      <x:fill>
        <x:patternFill patternType="solid">
          <x:bgColor rgb="FFDCEC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470465cefb42ac" /><Relationship Type="http://schemas.openxmlformats.org/officeDocument/2006/relationships/theme" Target="/xl/theme/theme1.xml" Id="R4f1605130e614484" /><Relationship Type="http://schemas.openxmlformats.org/officeDocument/2006/relationships/sharedStrings" Target="/xl/sharedStrings.xml" Id="R3986595172704b49" /><Relationship Type="http://schemas.openxmlformats.org/officeDocument/2006/relationships/worksheet" Target="/xl/worksheets/sheet1.xml" Id="R460c718e36bd4aaf" /><Relationship Type="http://schemas.openxmlformats.org/officeDocument/2006/relationships/worksheet" Target="/xl/worksheets/sheet2.xml" Id="R38fd641e09644521" /><Relationship Type="http://schemas.openxmlformats.org/officeDocument/2006/relationships/worksheet" Target="/xl/worksheets/sheet3.xml" Id="R3cc2706d2ce74888" /><Relationship Type="http://schemas.openxmlformats.org/officeDocument/2006/relationships/worksheet" Target="/xl/worksheets/sheet4.xml" Id="R86ba990029c24660" /><Relationship Type="http://schemas.openxmlformats.org/officeDocument/2006/relationships/worksheet" Target="/xl/worksheets/sheet5.xml" Id="Rbf4ce3a3ca0746cf" /><Relationship Type="http://schemas.openxmlformats.org/officeDocument/2006/relationships/worksheet" Target="/xl/worksheets/sheet6.xml" Id="R26c92e937bd34171" /><Relationship Type="http://schemas.openxmlformats.org/officeDocument/2006/relationships/worksheet" Target="/xl/worksheets/sheet7.xml" Id="R18a68fe5126147d6" /><Relationship Type="http://schemas.openxmlformats.org/officeDocument/2006/relationships/worksheet" Target="/xl/worksheets/sheet8.xml" Id="R4ecb574877414163" /><Relationship Type="http://schemas.openxmlformats.org/officeDocument/2006/relationships/worksheet" Target="/xl/worksheets/sheet9.xml" Id="Reb939700640e4ddd" /><Relationship Type="http://schemas.openxmlformats.org/officeDocument/2006/relationships/worksheet" Target="/xl/worksheets/sheet10.xml" Id="R3c374a8255624b44" /><Relationship Type="http://schemas.openxmlformats.org/officeDocument/2006/relationships/worksheet" Target="/xl/worksheets/sheet11.xml" Id="Red3ae363eb3a4cbb" /><Relationship Type="http://schemas.openxmlformats.org/officeDocument/2006/relationships/worksheet" Target="/xl/worksheets/sheet12.xml" Id="R5390974994614651" /><Relationship Type="http://schemas.openxmlformats.org/officeDocument/2006/relationships/worksheet" Target="/xl/worksheets/sheet13.xml" Id="R615706eae65a4ed8" /><Relationship Type="http://schemas.openxmlformats.org/officeDocument/2006/relationships/worksheet" Target="/xl/worksheets/sheet14.xml" Id="Rc66a2a84163d49b8" /><Relationship Type="http://schemas.openxmlformats.org/officeDocument/2006/relationships/worksheet" Target="/xl/worksheets/sheet15.xml" Id="R415ba7348b5744e2" /></Relationships>
</file>

<file path=xl/tables/table1.xml><?xml version="1.0" encoding="utf-8"?>
<x:table xmlns:x="http://schemas.openxmlformats.org/spreadsheetml/2006/main" id="1" name="T1" displayName="T1" ref="A5:K4005" headerRowCount="1" totalsRowCount="0" totalsRowShown="0">
  <x:tableColumns count="11">
    <x:tableColumn id="1" name="ID"/>
    <x:tableColumn id="2" name="Parent"/>
    <x:tableColumn id="3" name="Origine"/>
    <x:tableColumn id="4" name="Famille"/>
    <x:tableColumn id="5" name="Programme"/>
    <x:tableColumn id="6" name="Génération"/>
    <x:tableColumn id="7" name="Espaces source"/>
    <x:tableColumn id="8" name="Références objets"/>
    <x:tableColumn id="9" name="Qualification en jeu"/>
    <x:tableColumn id="10" name="Source GitHub"/>
    <x:tableColumn id="11" name="Dimensions et portée"/>
  </x:tableColumns>
  <x:tableStyleInfo name="TableStyleMedium2" showFirstColumn="0" showLastColumn="0" showRowStripes="1" showColumnStripes="0"/>
</x:table>
</file>

<file path=xl/tables/table2.xml><?xml version="1.0" encoding="utf-8"?>
<x:table xmlns:x="http://schemas.openxmlformats.org/spreadsheetml/2006/main" id="2" name="T2" displayName="T2" ref="A5:L85" headerRowCount="1" totalsRowCount="0" totalsRowShown="0">
  <x:tableColumns count="12">
    <x:tableColumn id="1" name="ID typologie"/>
    <x:tableColumn id="2" name="Domaine"/>
    <x:tableColumn id="3" name="Typologie"/>
    <x:tableColumn id="4" name="Variantes demandées"/>
    <x:tableColumn id="5" name="Statut conception"/>
    <x:tableColumn id="6" name="Espaces à détailler"/>
    <x:tableColumn id="7" name="Réseaux à raccorder"/>
    <x:tableColumn id="8" name="Règle d’implantation"/>
    <x:tableColumn id="9" name="Dimensions réelles"/>
    <x:tableColumn id="10" name="Plan de référence"/>
    <x:tableColumn id="11" name="Intégration"/>
    <x:tableColumn id="12" name="Variantes suivies"/>
  </x:tableColumns>
  <x:tableStyleInfo name="TableStyleMedium2" showFirstColumn="0" showLastColumn="0" showRowStripes="1" showColumnStripes="0"/>
</x:table>
</file>

<file path=xl/tables/table3.xml><?xml version="1.0" encoding="utf-8"?>
<x:table xmlns:x="http://schemas.openxmlformats.org/spreadsheetml/2006/main" id="3" name="T3" displayName="T3" ref="A5:K4005" headerRowCount="1" totalsRowCount="0" totalsRowShown="0">
  <x:tableColumns count="11">
    <x:tableColumn id="1" name="ID cible"/>
    <x:tableColumn id="2" name="Typologie ID"/>
    <x:tableColumn id="3" name="Domaine"/>
    <x:tableColumn id="4" name="Typologie"/>
    <x:tableColumn id="5" name="N° variante"/>
    <x:tableColumn id="6" name="Statut"/>
    <x:tableColumn id="7" name="Architecture"/>
    <x:tableColumn id="8" name="Dimensions (m)"/>
    <x:tableColumn id="9" name="Poids de spawn"/>
    <x:tableColumn id="10" name="Jouable validé"/>
    <x:tableColumn id="11" name="Limite"/>
  </x:tableColumns>
  <x:tableStyleInfo name="TableStyleMedium2" showFirstColumn="0" showLastColumn="0" showRowStripes="1" showColumnStripes="0"/>
</x:table>
</file>

<file path=xl/tables/table4.xml><?xml version="1.0" encoding="utf-8"?>
<x:table xmlns:x="http://schemas.openxmlformats.org/spreadsheetml/2006/main" id="4" name="T4" displayName="T4" ref="A5:J805" headerRowCount="1" totalsRowCount="0" totalsRowShown="0">
  <x:tableColumns count="10">
    <x:tableColumn id="1" name="ID tâche"/>
    <x:tableColumn id="2" name="Typologie ID"/>
    <x:tableColumn id="3" name="Domaine"/>
    <x:tableColumn id="4" name="Typologie"/>
    <x:tableColumn id="5" name="Livrable"/>
    <x:tableColumn id="6" name="Priorité"/>
    <x:tableColumn id="7" name="Statut"/>
    <x:tableColumn id="8" name="Responsable"/>
    <x:tableColumn id="9" name="Critère de réception"/>
    <x:tableColumn id="10" name="Preuve / commit"/>
  </x:tableColumns>
  <x:tableStyleInfo name="TableStyleMedium2" showFirstColumn="0" showLastColumn="0" showRowStripes="1" showColumnStripes="0"/>
</x:table>
</file>

<file path=xl/tables/table5.xml><?xml version="1.0" encoding="utf-8"?>
<x:table xmlns:x="http://schemas.openxmlformats.org/spreadsheetml/2006/main" id="5" name="T5" displayName="T5" ref="A5:E35" headerRowCount="1" totalsRowCount="0" totalsRowShown="0">
  <x:tableColumns count="5">
    <x:tableColumn id="1" name="ID"/>
    <x:tableColumn id="2" name="Domaine"/>
    <x:tableColumn id="3" name="Règle"/>
    <x:tableColumn id="4" name="Preuve attendue"/>
    <x:tableColumn id="5" name="Priorité"/>
  </x:tableColumns>
  <x:tableStyleInfo name="TableStyleMedium2" showFirstColumn="0" showLastColumn="0" showRowStripes="1" showColumnStripes="0"/>
</x:table>
</file>

<file path=xl/tables/table6.xml><?xml version="1.0" encoding="utf-8"?>
<x:table xmlns:x="http://schemas.openxmlformats.org/spreadsheetml/2006/main" id="6" name="T6" displayName="T6" ref="A5:D38" headerRowCount="1" totalsRowCount="0" totalsRowShown="0">
  <x:tableColumns count="4">
    <x:tableColumn id="1" name="Famille"/>
    <x:tableColumn id="2" name="Programmes"/>
    <x:tableColumn id="3" name="Parents"/>
    <x:tableColumn id="4" name="Compositions héritées"/>
  </x:tableColumns>
  <x:tableStyleInfo name="TableStyleMedium2" showFirstColumn="0" showLastColumn="0" showRowStripes="1" showColumnStripes="0"/>
</x:table>
</file>

<file path=xl/tables/table7.xml><?xml version="1.0" encoding="utf-8"?>
<x:table xmlns:x="http://schemas.openxmlformats.org/spreadsheetml/2006/main" id="7" name="T7" displayName="T7" ref="A5:E13" headerRowCount="1" totalsRowCount="0" totalsRowShown="0">
  <x:tableColumns count="5">
    <x:tableColumn id="1" name="ID"/>
    <x:tableColumn id="2" name="Objet"/>
    <x:tableColumn id="3" name="Révision / fichier"/>
    <x:tableColumn id="4" name="URL"/>
    <x:tableColumn id="5" name="Portée"/>
  </x:tableColumns>
  <x:tableStyleInfo name="TableStyleMedium2" showFirstColumn="0" showLastColumn="0" showRowStripes="1" showColumnStripes="0"/>
</x:table>
</file>

<file path=xl/tables/table8.xml><?xml version="1.0" encoding="utf-8"?>
<x:table xmlns:x="http://schemas.openxmlformats.org/spreadsheetml/2006/main" id="8" name="T8" displayName="T8" ref="A5:E13" headerRowCount="1" totalsRowCount="0" totalsRowShown="0">
  <x:tableColumns count="5">
    <x:tableColumn id="1" name="Contrôle"/>
    <x:tableColumn id="2" name="Valeur"/>
    <x:tableColumn id="3" name="Champ"/>
    <x:tableColumn id="4" name="Détail"/>
    <x:tableColumn id="5" name="État"/>
  </x:tableColumns>
  <x:tableStyleInfo name="TableStyleMedium2" showFirstColumn="0" showLastColumn="0" showRowStripes="1" showColumnStripes="0"/>
</x:table>
</file>

<file path=xl/tables/table9.xml><?xml version="1.0" encoding="utf-8"?>
<x:table xmlns:x="http://schemas.openxmlformats.org/spreadsheetml/2006/main" id="9" name="T9" displayName="T9" ref="A5:B24" headerRowCount="1" totalsRowCount="0" totalsRowShown="0">
  <x:tableColumns count="2">
    <x:tableColumn id="1" name="Statut / convention"/>
    <x:tableColumn id="2" name="Signification"/>
  </x:tableColumns>
  <x:tableStyleInfo name="TableStyleMedium2" showFirstColumn="0" showLastColumn="0" showRowStripes="1" showColumnStripes="0"/>
</x:table>
</file>

<file path=xl/tables/table10.xml><?xml version="1.0" encoding="utf-8"?>
<x:table xmlns:x="http://schemas.openxmlformats.org/spreadsheetml/2006/main" id="10" name="SourcesMetriques2026" displayName="SourcesMetriques2026" ref="A5:E12" headerRowCount="1" totalsRowCount="0" totalsRowShown="0">
  <x:tableColumns count="5">
    <x:tableColumn id="1" name="ID source"/>
    <x:tableColumn id="2" name="Référence"/>
    <x:tableColumn id="3" name="URL primaire"/>
    <x:tableColumn id="4" name="Consultation"/>
    <x:tableColumn id="5" name="Portée / limites"/>
  </x:tableColumns>
  <x:tableStyleInfo name="TableStyleMedium2" showFirstColumn="0" showLastColumn="0" showRowStripes="1" showColumnStripes="0"/>
</x:table>
</file>

<file path=xl/tables/table11.xml><?xml version="1.0" encoding="utf-8"?>
<x:table xmlns:x="http://schemas.openxmlformats.org/spreadsheetml/2006/main" id="11" name="AvancementTypologies2026" displayName="AvancementTypologies2026" ref="A5:N85" headerRowCount="1" totalsRowCount="0" totalsRowShown="0">
  <x:tableColumns count="14">
    <x:tableColumn id="1" name="ID typologie"/>
    <x:tableColumn id="2" name="Typologie"/>
    <x:tableColumn id="3" name="Dimensions"/>
    <x:tableColumn id="4" name="Architecture"/>
    <x:tableColumn id="5" name="Seed"/>
    <x:tableColumn id="6" name="Objets"/>
    <x:tableColumn id="7" name="Butin"/>
    <x:tableColumn id="8" name="Rencontres"/>
    <x:tableColumn id="9" name="Services"/>
    <x:tableColumn id="10" name="Graphismes"/>
    <x:tableColumn id="11" name="Sauvegarde"/>
    <x:tableColumn id="12" name="QA"/>
    <x:tableColumn id="13" name="Validées"/>
    <x:tableColumn id="14" name="Restantes"/>
  </x:tableColumns>
  <x:tableStyleInfo name="TableStyleMedium2" showFirstColumn="0" showLastColumn="0" showRowStripes="1" showColumnStripes="0"/>
</x:table>
</file>

<file path=xl/tables/table12.xml><?xml version="1.0" encoding="utf-8"?>
<x:table xmlns:x="http://schemas.openxmlformats.org/spreadsheetml/2006/main" id="12" name="InspectionPhysique2026" displayName="InspectionPhysique2026" ref="A5:L85" headerRowCount="1" totalsRowCount="0" totalsRowShown="0">
  <x:tableColumns count="12">
    <x:tableColumn id="1" name="ID typologie"/>
    <x:tableColumn id="2" name="Typologie"/>
    <x:tableColumn id="3" name="Plans inspectés"/>
    <x:tableColumn id="4" name="Pièces"/>
    <x:tableColumn id="5" name="Pièces meublées"/>
    <x:tableColumn id="6" name="Objets posés"/>
    <x:tableColumn id="7" name="Poses refusées"/>
    <x:tableColumn id="8" name="Segments de mur"/>
    <x:tableColumn id="9" name="Transitions"/>
    <x:tableColumn id="10" name="Niveaux cumulés"/>
    <x:tableColumn id="11" name="Contrôles réussis"/>
    <x:tableColumn id="12" name="Jouables en campagne"/>
  </x:tableColumns>
  <x:tableStyleInfo name="TableStyleMedium2" showFirstColumn="0" showLastColumn="0" showRowStripes="1" showColumnStripes="0"/>
</x:table>
</file>

<file path=xl/tables/table13.xml><?xml version="1.0" encoding="utf-8"?>
<x:table xmlns:x="http://schemas.openxmlformats.org/spreadsheetml/2006/main" id="13" name="CampagneG11205" displayName="CampagneG11205" ref="A5:L205" headerRowCount="1" totalsRowCount="0" totalsRowShown="0">
  <x:tableColumns count="12">
    <x:tableColumn id="1" name="ID plan auteur"/>
    <x:tableColumn id="2" name="Typologie"/>
    <x:tableColumn id="3" name="Variante"/>
    <x:tableColumn id="4" name="Alias G11"/>
    <x:tableColumn id="5" name="Éligible G11"/>
    <x:tableColumn id="6" name="Plan"/>
    <x:tableColumn id="7" name="Objets"/>
    <x:tableColumn id="8" name="Butin fini"/>
    <x:tableColumn id="9" name="Portes"/>
    <x:tableColumn id="10" name="Instances témoins"/>
    <x:tableColumn id="11" name="Graines témoins"/>
    <x:tableColumn id="12" name="Preuve par variante"/>
  </x:tableColumns>
  <x:tableStyleInfo name="TableStyleMedium2" showFirstColumn="0" showLastColumn="0" showRowStripes="1" showColumnStripes="0"/>
</x:table>
</file>

<file path=xl/tables/table14.xml><?xml version="1.0" encoding="utf-8"?>
<x:table xmlns:x="http://schemas.openxmlformats.org/spreadsheetml/2006/main" id="14" name="ServicesG11208" displayName="ServicesG11208" ref="A5:P205" headerRowCount="1" totalsRowCount="0" totalsRowShown="0">
  <x:tableColumns count="16">
    <x:tableColumn id="1" name="ID plan auteur"/>
    <x:tableColumn id="2" name="Typologie"/>
    <x:tableColumn id="3" name="Variante"/>
    <x:tableColumn id="4" name="Alias G11"/>
    <x:tableColumn id="5" name="Supports proposés"/>
    <x:tableColumn id="6" name="Ancres accessibles"/>
    <x:tableColumn id="7" name="Refus explicites"/>
    <x:tableColumn id="8" name="Repas"/>
    <x:tableColumn id="9" name="Repos abrité"/>
    <x:tableColumn id="10" name="Entretien"/>
    <x:tableColumn id="11" name="Soins T047"/>
    <x:tableColumn id="12" name="Visuel échantillonné"/>
    <x:tableColumn id="13" name="Échantillons visuels"/>
    <x:tableColumn id="14" name="Rapport des supports"/>
    <x:tableColumn id="15" name="Rapport visuel"/>
    <x:tableColumn id="16" name="Porté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b1f42ec482144b1" /></Relationships>
</file>

<file path=xl/worksheets/_rels/sheet3.xml.rels>&#65279;<?xml version="1.0" encoding="utf-8"?><Relationships xmlns="http://schemas.openxmlformats.org/package/2006/relationships"><Relationship Type="http://schemas.openxmlformats.org/officeDocument/2006/relationships/table" Target="/xl/tables/table2.xml" Id="Rf0802daee471452c" /></Relationships>
</file>

<file path=xl/worksheets/_rels/sheet4.xml.rels>&#65279;<?xml version="1.0" encoding="utf-8"?><Relationships xmlns="http://schemas.openxmlformats.org/package/2006/relationships"><Relationship Type="http://schemas.openxmlformats.org/officeDocument/2006/relationships/table" Target="/xl/tables/table3.xml" Id="R4ee9b4c0e34c48bb" /></Relationships>
</file>

<file path=xl/worksheets/_rels/sheet5.xml.rels>&#65279;<?xml version="1.0" encoding="utf-8"?><Relationships xmlns="http://schemas.openxmlformats.org/package/2006/relationships"><Relationship Type="http://schemas.openxmlformats.org/officeDocument/2006/relationships/table" Target="/xl/tables/table4.xml" Id="R492162b3dada45d7" /></Relationships>
</file>

<file path=xl/worksheets/_rels/sheet6.xml.rels>&#65279;<?xml version="1.0" encoding="utf-8"?><Relationships xmlns="http://schemas.openxmlformats.org/package/2006/relationships"><Relationship Type="http://schemas.openxmlformats.org/officeDocument/2006/relationships/table" Target="/xl/tables/table5.xml" Id="R23c86581db2c492f" /></Relationships>
</file>

<file path=xl/worksheets/_rels/sheet7.xml.rels>&#65279;<?xml version="1.0" encoding="utf-8"?><Relationships xmlns="http://schemas.openxmlformats.org/package/2006/relationships"><Relationship Type="http://schemas.openxmlformats.org/officeDocument/2006/relationships/table" Target="/xl/tables/table6.xml" Id="R54c6c98273994674" /></Relationships>
</file>

<file path=xl/worksheets/_rels/sheet8.xml.rels>&#65279;<?xml version="1.0" encoding="utf-8"?><Relationships xmlns="http://schemas.openxmlformats.org/package/2006/relationships"><Relationship Type="http://schemas.openxmlformats.org/officeDocument/2006/relationships/table" Target="/xl/tables/table7.xml" Id="Rdcd2318be62f48e6" /></Relationships>
</file>

<file path=xl/worksheets/_rels/sheet9.xml.rels>&#65279;<?xml version="1.0" encoding="utf-8"?><Relationships xmlns="http://schemas.openxmlformats.org/package/2006/relationships"><Relationship Type="http://schemas.openxmlformats.org/officeDocument/2006/relationships/table" Target="/xl/tables/table8.xml" Id="R08cf005a0c9a4539" /></Relationships>
</file>

<file path=xl/worksheets/_rels/sheet10.xml.rels>&#65279;<?xml version="1.0" encoding="utf-8"?><Relationships xmlns="http://schemas.openxmlformats.org/package/2006/relationships"><Relationship Type="http://schemas.openxmlformats.org/officeDocument/2006/relationships/table" Target="/xl/tables/table9.xml" Id="Ra920ad69d0a44ec4" /></Relationships>
</file>

<file path=xl/worksheets/_rels/sheet11.xml.rels>&#65279;<?xml version="1.0" encoding="utf-8"?><Relationships xmlns="http://schemas.openxmlformats.org/package/2006/relationships"><Relationship Type="http://schemas.openxmlformats.org/officeDocument/2006/relationships/table" Target="/xl/tables/table10.xml" Id="Rba0393a61c044f14" /></Relationships>
</file>

<file path=xl/worksheets/_rels/sheet12.xml.rels>&#65279;<?xml version="1.0" encoding="utf-8"?><Relationships xmlns="http://schemas.openxmlformats.org/package/2006/relationships"><Relationship Type="http://schemas.openxmlformats.org/officeDocument/2006/relationships/table" Target="/xl/tables/table11.xml" Id="R08071e1f9587457e" /></Relationships>
</file>

<file path=xl/worksheets/_rels/sheet13.xml.rels>&#65279;<?xml version="1.0" encoding="utf-8"?><Relationships xmlns="http://schemas.openxmlformats.org/package/2006/relationships"><Relationship Type="http://schemas.openxmlformats.org/officeDocument/2006/relationships/table" Target="/xl/tables/table12.xml" Id="Rdb80ad1f33664699" /></Relationships>
</file>

<file path=xl/worksheets/_rels/sheet14.xml.rels>&#65279;<?xml version="1.0" encoding="utf-8"?><Relationships xmlns="http://schemas.openxmlformats.org/package/2006/relationships"><Relationship Type="http://schemas.openxmlformats.org/officeDocument/2006/relationships/table" Target="/xl/tables/table13.xml" Id="Re5b63eb7eac04fb5" /></Relationships>
</file>

<file path=xl/worksheets/_rels/sheet15.xml.rels>&#65279;<?xml version="1.0" encoding="utf-8"?><Relationships xmlns="http://schemas.openxmlformats.org/package/2006/relationships"><Relationship Type="http://schemas.openxmlformats.org/officeDocument/2006/relationships/table" Target="/xl/tables/table14.xml" Id="R0a8aab8897034d5c"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24" customHeight="1">
      <x:c r="A1" s="94" t="str">
        <x:v>DEADWALL  /  CODEX MONDE — SUIVI DE PRODUCTION</x:v>
      </x:c>
      <x:c r="B1" s="94"/>
      <x:c r="C1" s="94"/>
      <x:c r="D1" s="94"/>
      <x:c r="E1" s="94"/>
      <x:c r="F1" s="94"/>
      <x:c r="G1" s="94"/>
      <x:c r="H1" s="94"/>
      <x:c r="I1" s="94"/>
      <x:c r="J1" s="94"/>
      <x:c r="K1" s="94"/>
      <x:c r="L1" s="94"/>
    </x:row>
    <x:row r="2" ht="24" customHeight="1">
      <x:c r="A2" s="94"/>
      <x:c r="B2" s="94"/>
      <x:c r="C2" s="94"/>
      <x:c r="D2" s="94"/>
      <x:c r="E2" s="94"/>
      <x:c r="F2" s="94"/>
      <x:c r="G2" s="94"/>
      <x:c r="H2" s="94"/>
      <x:c r="I2" s="94"/>
      <x:c r="J2" s="94"/>
      <x:c r="K2" s="94"/>
      <x:c r="L2" s="94"/>
    </x:row>
    <x:row r="3" ht="24" customHeight="1">
      <x:c r="A3" s="96" t="str">
        <x:v>DEADWALL 1.74 · Récupérateurs G11 · pluie réelle et seau partagé</x:v>
      </x:c>
      <x:c r="B3" s="96"/>
      <x:c r="C3" s="96"/>
      <x:c r="D3" s="96"/>
      <x:c r="E3" s="96"/>
      <x:c r="F3" s="96"/>
      <x:c r="G3" s="96"/>
      <x:c r="H3" s="96"/>
      <x:c r="I3" s="96"/>
      <x:c r="J3" s="96"/>
      <x:c r="K3" s="96"/>
      <x:c r="L3" s="96"/>
    </x:row>
    <x:row r="4" ht="24" customHeight="1">
      <x:c r="A4" s="91"/>
      <x:c r="B4" s="91"/>
      <x:c r="C4" s="91"/>
      <x:c r="D4" s="91"/>
      <x:c r="E4" s="91"/>
      <x:c r="F4" s="91"/>
      <x:c r="G4" s="91"/>
      <x:c r="H4" s="91"/>
      <x:c r="I4" s="91"/>
      <x:c r="J4" s="91"/>
      <x:c r="K4" s="91"/>
      <x:c r="L4" s="91"/>
    </x:row>
    <x:row r="5" ht="24" customHeight="1">
      <x:c r="A5" s="98" t="str">
        <x:v>PROGRAMMES EXISTANTS</x:v>
      </x:c>
      <x:c r="B5" s="98"/>
      <x:c r="C5" s="98"/>
      <x:c r="D5" s="98" t="str">
        <x:v>PARENTS SOURCES</x:v>
      </x:c>
      <x:c r="E5" s="98"/>
      <x:c r="F5" s="98"/>
      <x:c r="G5" s="98" t="str">
        <x:v>TYPOLOGIES CIBLES</x:v>
      </x:c>
      <x:c r="H5" s="98"/>
      <x:c r="I5" s="98"/>
      <x:c r="J5" s="98" t="str">
        <x:v>VARIANTES CIBLES</x:v>
      </x:c>
      <x:c r="K5" s="98"/>
      <x:c r="L5" s="98"/>
    </x:row>
    <x:row r="6" ht="24" customHeight="1">
      <x:c r="A6" s="100" t="n">
        <x:f>COUNTA('Catalogue existant'!A6:A4005)</x:f>
        <x:v>4000</x:v>
      </x:c>
      <x:c r="B6" s="100"/>
      <x:c r="C6" s="100"/>
      <x:c r="D6" s="100" t="n">
        <x:f>COUNTIF('Catalogue existant'!C6:C4005,"Parent historique")+COUNTIF('Catalogue existant'!C6:C4005,"Parent indépendant 1.58")</x:f>
        <x:v>2000</x:v>
      </x:c>
      <x:c r="E6" s="100"/>
      <x:c r="F6" s="100"/>
      <x:c r="G6" s="100" t="n">
        <x:f>COUNTA('Extension typologies'!A6:A85)</x:f>
        <x:v>80</x:v>
      </x:c>
      <x:c r="H6" s="100"/>
      <x:c r="I6" s="100"/>
      <x:c r="J6" s="100" t="n">
        <x:f>COUNTA('Variantes à concevoir'!A6:A4005)</x:f>
        <x:v>4000</x:v>
      </x:c>
      <x:c r="K6" s="100"/>
      <x:c r="L6" s="100"/>
    </x:row>
    <x:row r="7" ht="24" customHeight="1">
      <x:c r="A7" s="100"/>
      <x:c r="B7" s="100"/>
      <x:c r="C7" s="100"/>
      <x:c r="D7" s="100"/>
      <x:c r="E7" s="100"/>
      <x:c r="F7" s="100"/>
      <x:c r="G7" s="100"/>
      <x:c r="H7" s="100"/>
      <x:c r="I7" s="100"/>
      <x:c r="J7" s="100"/>
      <x:c r="K7" s="100"/>
      <x:c r="L7" s="100"/>
    </x:row>
    <x:row r="8" ht="24" customHeight="1">
      <x:c r="A8" s="91"/>
      <x:c r="B8" s="91"/>
      <x:c r="C8" s="91"/>
      <x:c r="D8" s="91"/>
      <x:c r="E8" s="91"/>
      <x:c r="F8" s="91"/>
      <x:c r="G8" s="91"/>
      <x:c r="H8" s="91"/>
      <x:c r="I8" s="91"/>
      <x:c r="J8" s="91"/>
      <x:c r="K8" s="91"/>
      <x:c r="L8" s="91"/>
    </x:row>
    <x:row r="9" ht="24" customHeight="1">
      <x:c r="A9" s="102" t="str">
        <x:v>Suivi de la PR #21. Conception, contrôles et intégration en campagne gardent des statuts distincts.</x:v>
      </x:c>
      <x:c r="B9" s="102"/>
      <x:c r="C9" s="102"/>
      <x:c r="D9" s="102"/>
      <x:c r="E9" s="102"/>
      <x:c r="F9" s="102"/>
      <x:c r="G9" s="102"/>
      <x:c r="H9" s="102"/>
      <x:c r="I9" s="102"/>
      <x:c r="J9" s="102"/>
      <x:c r="K9" s="102"/>
      <x:c r="L9" s="102"/>
    </x:row>
    <x:row r="10" ht="24" customHeight="1">
      <x:c r="A10" s="102"/>
      <x:c r="B10" s="102"/>
      <x:c r="C10" s="102"/>
      <x:c r="D10" s="102"/>
      <x:c r="E10" s="102"/>
      <x:c r="F10" s="102"/>
      <x:c r="G10" s="102"/>
      <x:c r="H10" s="102"/>
      <x:c r="I10" s="102"/>
      <x:c r="J10" s="102"/>
      <x:c r="K10" s="102"/>
      <x:c r="L10" s="102"/>
    </x:row>
    <x:row r="11" ht="24" customHeight="1">
      <x:c r="A11" s="91"/>
      <x:c r="B11" s="91"/>
      <x:c r="C11" s="91"/>
      <x:c r="D11" s="91"/>
      <x:c r="E11" s="91"/>
      <x:c r="F11" s="91"/>
      <x:c r="G11" s="91"/>
      <x:c r="H11" s="91"/>
      <x:c r="I11" s="91"/>
      <x:c r="J11" s="91"/>
      <x:c r="K11" s="91"/>
      <x:c r="L11" s="91"/>
    </x:row>
    <x:row r="12" ht="24" customHeight="1">
      <x:c r="A12" s="104" t="str">
        <x:v>PÉRIMÈTRE ET CONTRÔLES</x:v>
      </x:c>
      <x:c r="B12" s="104"/>
      <x:c r="C12" s="104" t="str">
        <x:v>NOMBRE</x:v>
      </x:c>
      <x:c r="D12" s="104" t="str">
        <x:v>PORTÉE</x:v>
      </x:c>
      <x:c r="E12" s="104"/>
      <x:c r="F12" s="91"/>
      <x:c r="G12" s="104" t="str">
        <x:v>TÂCHES ET AVANCEMENT AUTEUR</x:v>
      </x:c>
      <x:c r="H12" s="104"/>
      <x:c r="I12" s="104"/>
      <x:c r="J12" s="104"/>
      <x:c r="K12" s="104"/>
      <x:c r="L12" s="104"/>
    </x:row>
    <x:row r="13" ht="34" customHeight="1">
      <x:c r="A13" s="105" t="str">
        <x:v>Espaces sources</x:v>
      </x:c>
      <x:c r="B13" s="105"/>
      <x:c r="C13" s="119" t="n">
        <x:v>12060</x:v>
      </x:c>
      <x:c r="D13" s="105" t="str">
        <x:v>Inventaire JSON intégral</x:v>
      </x:c>
      <x:c r="E13" s="105"/>
      <x:c r="F13" s="91"/>
      <x:c r="G13" s="107" t="str">
        <x:v>À faire</x:v>
      </x:c>
      <x:c r="H13" s="107"/>
      <x:c r="I13" s="107"/>
      <x:c r="J13" s="107"/>
      <x:c r="K13" s="122" t="n">
        <x:f>COUNTIF(Chantiers!G6:G805,"À faire")</x:f>
        <x:v>384</x:v>
      </x:c>
      <x:c r="L13" s="122"/>
    </x:row>
    <x:row r="14" ht="34" customHeight="1">
      <x:c r="A14" s="90" t="str">
        <x:v>Objets / emplacements</x:v>
      </x:c>
      <x:c r="B14" s="90"/>
      <x:c r="C14" s="92" t="n">
        <x:v>13539</x:v>
      </x:c>
      <x:c r="D14" s="90" t="str">
        <x:v>Références auteur du catalogue</x:v>
      </x:c>
      <x:c r="E14" s="90"/>
      <x:c r="F14" s="91"/>
      <x:c r="G14" s="91" t="str">
        <x:v>En cours</x:v>
      </x:c>
      <x:c r="H14" s="91"/>
      <x:c r="I14" s="91"/>
      <x:c r="J14" s="91"/>
      <x:c r="K14" s="123" t="n">
        <x:f>COUNTIF(Chantiers!G6:G805,"En cours")</x:f>
        <x:v>413</x:v>
      </x:c>
      <x:c r="L14" s="123"/>
    </x:row>
    <x:row r="15" ht="34" customHeight="1">
      <x:c r="A15" s="105" t="str">
        <x:v>Tâches de l’extension</x:v>
      </x:c>
      <x:c r="B15" s="105"/>
      <x:c r="C15" s="119" t="n">
        <x:f>COUNTA(Chantiers!A6:A805)</x:f>
        <x:v>800</x:v>
      </x:c>
      <x:c r="D15" s="105" t="str">
        <x:v>10 étapes par typologie</x:v>
      </x:c>
      <x:c r="E15" s="105"/>
      <x:c r="F15" s="91"/>
      <x:c r="G15" s="107" t="str">
        <x:v>Validé</x:v>
      </x:c>
      <x:c r="H15" s="107"/>
      <x:c r="I15" s="107"/>
      <x:c r="J15" s="107"/>
      <x:c r="K15" s="122" t="n">
        <x:f>COUNTIF(Chantiers!G6:G805,"Validé")</x:f>
        <x:v>3</x:v>
      </x:c>
      <x:c r="L15" s="122"/>
    </x:row>
    <x:row r="16" ht="34" customHeight="1">
      <x:c r="A16" s="90" t="str">
        <x:v>Tâches validées</x:v>
      </x:c>
      <x:c r="B16" s="90"/>
      <x:c r="C16" s="92" t="n">
        <x:f>COUNTIF(Chantiers!G6:G805,"Validé")</x:f>
        <x:v>3</x:v>
      </x:c>
      <x:c r="D16" s="90" t="str">
        <x:v>Critères propres à chaque tâche</x:v>
      </x:c>
      <x:c r="E16" s="90"/>
      <x:c r="F16" s="91"/>
      <x:c r="G16" s="91" t="str">
        <x:v>Gabarits / plans documentés</x:v>
      </x:c>
      <x:c r="H16" s="91"/>
      <x:c r="I16" s="91"/>
      <x:c r="J16" s="91"/>
      <x:c r="K16" s="123" t="n">
        <x:f>COUNTA('Variantes à concevoir'!A6:A4005)-COUNTIF('Variantes à concevoir'!F6:F4005,"À concevoir")</x:f>
        <x:v>4000</x:v>
      </x:c>
      <x:c r="L16" s="123"/>
    </x:row>
    <x:row r="17" ht="34" customHeight="1">
      <x:c r="A17" s="105" t="str">
        <x:v>Validations sans preuve</x:v>
      </x:c>
      <x:c r="B17" s="105"/>
      <x:c r="C17" s="119" t="n">
        <x:f>SUMPRODUCT((Chantiers!G6:G805="Validé")*(Chantiers!J6:J805=""))</x:f>
        <x:v>0</x:v>
      </x:c>
      <x:c r="D17" s="105" t="str">
        <x:v>Doit rester à zéro</x:v>
      </x:c>
      <x:c r="E17" s="105"/>
      <x:c r="F17" s="91"/>
      <x:c r="G17" s="107" t="str">
        <x:v>Variantes à concevoir</x:v>
      </x:c>
      <x:c r="H17" s="107"/>
      <x:c r="I17" s="107"/>
      <x:c r="J17" s="107"/>
      <x:c r="K17" s="122" t="n">
        <x:f>COUNTIF('Variantes à concevoir'!F6:F4005,"À concevoir")</x:f>
        <x:v>0</x:v>
      </x:c>
      <x:c r="L17" s="122"/>
    </x:row>
    <x:row r="18" ht="34" customHeight="1">
      <x:c r="A18" s="90" t="str">
        <x:v>Variantes d’inspection promues</x:v>
      </x:c>
      <x:c r="B18" s="90"/>
      <x:c r="C18" s="92" t="n">
        <x:f>COUNTIF('Variantes à concevoir'!J6:J4005,"Oui")</x:f>
        <x:v>0</x:v>
      </x:c>
      <x:c r="D18" s="90" t="str">
        <x:v>Éligibilité et témoins G11 dans leur feuille distincte</x:v>
      </x:c>
      <x:c r="E18" s="90"/>
      <x:c r="F18" s="91"/>
      <x:c r="G18" s="91" t="str">
        <x:v>Promotions globalement validées</x:v>
      </x:c>
      <x:c r="H18" s="91"/>
      <x:c r="I18" s="91"/>
      <x:c r="J18" s="91"/>
      <x:c r="K18" s="123" t="n">
        <x:f>C18</x:f>
        <x:v>0</x:v>
      </x:c>
      <x:c r="L18" s="123"/>
    </x:row>
    <x:row r="19" ht="24" customHeight="1">
      <x:c r="A19" s="91"/>
      <x:c r="B19" s="91"/>
      <x:c r="C19" s="91"/>
      <x:c r="D19" s="91"/>
      <x:c r="E19" s="91"/>
      <x:c r="F19" s="91"/>
      <x:c r="G19" s="91"/>
      <x:c r="H19" s="91"/>
      <x:c r="I19" s="91"/>
      <x:c r="J19" s="91"/>
      <x:c r="K19" s="91"/>
      <x:c r="L19" s="91"/>
    </x:row>
    <x:row r="20" ht="24" customHeight="1">
      <x:c r="A20" s="91"/>
      <x:c r="B20" s="91"/>
      <x:c r="C20" s="91"/>
      <x:c r="D20" s="91"/>
      <x:c r="E20" s="91"/>
      <x:c r="F20" s="91"/>
      <x:c r="G20" s="91"/>
      <x:c r="H20" s="91"/>
      <x:c r="I20" s="91"/>
      <x:c r="J20" s="91"/>
      <x:c r="K20" s="91"/>
      <x:c r="L20" s="91"/>
    </x:row>
    <x:row r="21" ht="24" customHeight="1">
      <x:c r="A21" s="104" t="str">
        <x:v>CE QUI A ÉTÉ REPRIS ET CE QUI RESTE OUVERT</x:v>
      </x:c>
      <x:c r="B21" s="104"/>
      <x:c r="C21" s="104"/>
      <x:c r="D21" s="104"/>
      <x:c r="E21" s="104"/>
      <x:c r="F21" s="104"/>
      <x:c r="G21" s="104"/>
      <x:c r="H21" s="104"/>
      <x:c r="I21" s="104"/>
      <x:c r="J21" s="104"/>
      <x:c r="K21" s="104"/>
      <x:c r="L21" s="104"/>
    </x:row>
    <x:row r="22" ht="24" customHeight="1">
      <x:c r="A22" s="81"/>
      <x:c r="B22" s="81"/>
      <x:c r="C22" s="81"/>
      <x:c r="D22" s="81"/>
      <x:c r="E22" s="91"/>
      <x:c r="F22" s="91"/>
      <x:c r="G22" s="91"/>
      <x:c r="H22" s="91"/>
      <x:c r="I22" s="91"/>
      <x:c r="J22" s="91"/>
      <x:c r="K22" s="91"/>
      <x:c r="L22" s="91"/>
    </x:row>
    <x:row r="23" ht="24" customHeight="1">
      <x:c r="A23" s="110" t="str">
        <x:v>80 typologies, 4 000 plans et 800 tâches : 3 validations métriques conservées, 413 tâches en cours, 384 à faire. Les quatre notes de services T045–T048 sont enrichies sans promotion globale.</x:v>
      </x:c>
      <x:c r="B23" s="110"/>
      <x:c r="C23" s="110"/>
      <x:c r="D23" s="110"/>
      <x:c r="E23" s="110"/>
      <x:c r="F23" s="110"/>
      <x:c r="G23" s="110"/>
      <x:c r="H23" s="110"/>
      <x:c r="I23" s="110"/>
      <x:c r="J23" s="110"/>
      <x:c r="K23" s="110"/>
      <x:c r="L23" s="110"/>
    </x:row>
    <x:row r="24" ht="24" customHeight="1">
      <x:c r="A24" s="110"/>
      <x:c r="B24" s="110"/>
      <x:c r="C24" s="110"/>
      <x:c r="D24" s="110"/>
      <x:c r="E24" s="110"/>
      <x:c r="F24" s="110"/>
      <x:c r="G24" s="110"/>
      <x:c r="H24" s="110"/>
      <x:c r="I24" s="110"/>
      <x:c r="J24" s="110"/>
      <x:c r="K24" s="110"/>
      <x:c r="L24" s="110"/>
    </x:row>
    <x:row r="25" ht="24" customHeight="1">
      <x:c r="A25" s="90"/>
      <x:c r="B25" s="90"/>
      <x:c r="C25" s="90"/>
      <x:c r="D25" s="90"/>
      <x:c r="E25" s="91"/>
      <x:c r="F25" s="91"/>
      <x:c r="G25" s="91"/>
      <x:c r="H25" s="91"/>
      <x:c r="I25" s="91"/>
      <x:c r="J25" s="91"/>
      <x:c r="K25" s="91"/>
      <x:c r="L25" s="91"/>
    </x:row>
    <x:row r="26" ht="24" customHeight="1">
      <x:c r="A26" s="110" t="str">
        <x:v>4 000 plans réinspectés, géométries conservées. 200 modèles G11 éligibles ; 63 instances sur 8 graines. L’eau 214 ajoute 628 supports accessibles sur 200 modèles et, séparément, 72 poses sur 23 sites de 3 graines.</x:v>
      </x:c>
      <x:c r="B26" s="110"/>
      <x:c r="C26" s="110"/>
      <x:c r="D26" s="110"/>
      <x:c r="E26" s="110"/>
      <x:c r="F26" s="110"/>
      <x:c r="G26" s="110"/>
      <x:c r="H26" s="110"/>
      <x:c r="I26" s="110"/>
      <x:c r="J26" s="110"/>
      <x:c r="K26" s="110"/>
      <x:c r="L26" s="110"/>
    </x:row>
    <x:row r="27" ht="24" customHeight="1">
      <x:c r="A27" s="110"/>
      <x:c r="B27" s="110"/>
      <x:c r="C27" s="110"/>
      <x:c r="D27" s="110"/>
      <x:c r="E27" s="110"/>
      <x:c r="F27" s="110"/>
      <x:c r="G27" s="110"/>
      <x:c r="H27" s="110"/>
      <x:c r="I27" s="110"/>
      <x:c r="J27" s="110"/>
      <x:c r="K27" s="110"/>
      <x:c r="L27" s="110"/>
    </x:row>
    <x:row r="28" ht="24" customHeight="1">
      <x:c r="A28" s="91"/>
      <x:c r="B28" s="91"/>
      <x:c r="C28" s="91"/>
      <x:c r="D28" s="91"/>
      <x:c r="E28" s="91"/>
      <x:c r="F28" s="91"/>
      <x:c r="G28" s="91"/>
      <x:c r="H28" s="91"/>
      <x:c r="I28" s="91"/>
      <x:c r="J28" s="91"/>
      <x:c r="K28" s="91"/>
      <x:c r="L28" s="91"/>
    </x:row>
    <x:row r="29" ht="24" customHeight="1">
      <x:c r="A29" s="110" t="str">
        <x:v>L’eau de pluie reste non potable ; réseaux domestiques, assainissement et qualification complète des variantes restent ouverts. Une pose accessible ne qualifie pas une transaction ni une partie entière.</x:v>
      </x:c>
      <x:c r="B29" s="110"/>
      <x:c r="C29" s="110"/>
      <x:c r="D29" s="110"/>
      <x:c r="E29" s="110"/>
      <x:c r="F29" s="110"/>
      <x:c r="G29" s="110"/>
      <x:c r="H29" s="110"/>
      <x:c r="I29" s="110"/>
      <x:c r="J29" s="110"/>
      <x:c r="K29" s="110"/>
      <x:c r="L29" s="110"/>
    </x:row>
    <x:row r="30" ht="24" customHeight="1">
      <x:c r="A30" s="110"/>
      <x:c r="B30" s="110"/>
      <x:c r="C30" s="110"/>
      <x:c r="D30" s="110"/>
      <x:c r="E30" s="110"/>
      <x:c r="F30" s="110"/>
      <x:c r="G30" s="110"/>
      <x:c r="H30" s="110"/>
      <x:c r="I30" s="110"/>
      <x:c r="J30" s="110"/>
      <x:c r="K30" s="110"/>
      <x:c r="L30" s="110"/>
    </x:row>
    <x:row r="31" ht="24" customHeight="1">
      <x:c r="A31" s="90"/>
      <x:c r="B31" s="90"/>
      <x:c r="C31" s="90"/>
      <x:c r="D31" s="90"/>
      <x:c r="E31" s="90"/>
      <x:c r="F31" s="90"/>
      <x:c r="G31" s="90"/>
      <x:c r="H31" s="90"/>
      <x:c r="I31" s="90"/>
      <x:c r="J31" s="90"/>
      <x:c r="K31" s="90"/>
      <x:c r="L31" s="90"/>
    </x:row>
    <x:row r="32" ht="24" customHeight="1">
      <x:c r="A32" s="110" t="str">
        <x:v>Les supports 208 conservent 2 905 accès et 360 poses ; les collecteurs 214 ont leur rapport distinct. Les 4 000 plans d’inspection ne sont pas promus jouables. Les 800 statuts restent inchangés.</x:v>
      </x:c>
      <x:c r="B32" s="110"/>
      <x:c r="C32" s="110"/>
      <x:c r="D32" s="110"/>
      <x:c r="E32" s="110"/>
      <x:c r="F32" s="110"/>
      <x:c r="G32" s="110"/>
      <x:c r="H32" s="110"/>
      <x:c r="I32" s="110"/>
      <x:c r="J32" s="110"/>
      <x:c r="K32" s="110"/>
      <x:c r="L32" s="110"/>
    </x:row>
    <x:row r="33" ht="24" customHeight="1">
      <x:c r="A33" s="110"/>
      <x:c r="B33" s="110"/>
      <x:c r="C33" s="110"/>
      <x:c r="D33" s="110"/>
      <x:c r="E33" s="110"/>
      <x:c r="F33" s="110"/>
      <x:c r="G33" s="110"/>
      <x:c r="H33" s="110"/>
      <x:c r="I33" s="110"/>
      <x:c r="J33" s="110"/>
      <x:c r="K33" s="110"/>
      <x:c r="L33" s="110"/>
    </x:row>
    <x:row r="34" ht="24" customHeight="1">
      <x:c r="A34" s="91"/>
      <x:c r="B34" s="91"/>
      <x:c r="C34" s="91"/>
      <x:c r="D34" s="91"/>
      <x:c r="E34" s="91"/>
      <x:c r="F34" s="91"/>
      <x:c r="G34" s="91"/>
      <x:c r="H34" s="91"/>
      <x:c r="I34" s="91"/>
      <x:c r="J34" s="91"/>
      <x:c r="K34" s="91"/>
      <x:c r="L34" s="91"/>
    </x:row>
  </x:sheetData>
  <x:mergeCells>
    <x:mergeCell ref="A1:L2"/>
    <x:mergeCell ref="A3:L3"/>
    <x:mergeCell ref="A5:C5"/>
    <x:mergeCell ref="D5:F5"/>
    <x:mergeCell ref="G5:I5"/>
    <x:mergeCell ref="J5:L5"/>
    <x:mergeCell ref="A6:C7"/>
    <x:mergeCell ref="D6:F7"/>
    <x:mergeCell ref="G6:I7"/>
    <x:mergeCell ref="J6:L7"/>
    <x:mergeCell ref="A9:L10"/>
    <x:mergeCell ref="A12:B12"/>
    <x:mergeCell ref="D12:E12"/>
    <x:mergeCell ref="A13:B13"/>
    <x:mergeCell ref="D13:E13"/>
    <x:mergeCell ref="A14:B14"/>
    <x:mergeCell ref="D14:E14"/>
    <x:mergeCell ref="A15:B15"/>
    <x:mergeCell ref="D15:E15"/>
    <x:mergeCell ref="A16:B16"/>
    <x:mergeCell ref="D16:E16"/>
    <x:mergeCell ref="A17:B17"/>
    <x:mergeCell ref="D17:E17"/>
    <x:mergeCell ref="A18:B18"/>
    <x:mergeCell ref="D18:E18"/>
    <x:mergeCell ref="G12:J12"/>
    <x:mergeCell ref="G13:J13"/>
    <x:mergeCell ref="K13:L13"/>
    <x:mergeCell ref="G14:J14"/>
    <x:mergeCell ref="K14:L14"/>
    <x:mergeCell ref="G15:J15"/>
    <x:mergeCell ref="K15:L15"/>
    <x:mergeCell ref="G16:J16"/>
    <x:mergeCell ref="K16:L16"/>
    <x:mergeCell ref="G17:J17"/>
    <x:mergeCell ref="K17:L17"/>
    <x:mergeCell ref="G18:J18"/>
    <x:mergeCell ref="K18:L18"/>
    <x:mergeCell ref="A21:L21"/>
    <x:mergeCell ref="A23:L24"/>
    <x:mergeCell ref="A26:L27"/>
    <x:mergeCell ref="A29:L30"/>
    <x:mergeCell ref="A32:L33"/>
  </x:mergeCells>
  <x:conditionalFormatting sqref="C17:C17">
    <x:cfRule type="cellIs" dxfId="2"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6" hidden="0" customWidth="1"/>
    <x:col min="2" max="2" width="16" hidden="0" customWidth="1"/>
    <x:col min="3" max="3" width="25" hidden="0" customWidth="1"/>
    <x:col min="4" max="4" width="30" hidden="0" customWidth="1"/>
    <x:col min="5" max="5" width="45" hidden="0" customWidth="1"/>
    <x:col min="6" max="6" width="16" hidden="0" customWidth="1"/>
    <x:col min="7" max="7" width="18" hidden="0" customWidth="1"/>
    <x:col min="8" max="8" width="20" hidden="0" customWidth="1"/>
    <x:col min="9" max="9" width="26" hidden="0" customWidth="1"/>
    <x:col min="10" max="10" width="42" hidden="0" customWidth="1"/>
    <x:col min="11" max="11" width="70" hidden="0" customWidth="1"/>
  </x:cols>
  <x:sheetData>
    <x:row r="1" ht="32" customHeight="1">
      <x:c r="A1" s="3" t="str">
        <x:v>01  /  CATALOGUE EXISTANT — 4 000 PROGRAMMES</x:v>
      </x:c>
      <x:c r="B1" s="3"/>
      <x:c r="C1" s="3"/>
      <x:c r="D1" s="3"/>
      <x:c r="E1" s="3"/>
      <x:c r="F1" s="3"/>
      <x:c r="G1" s="3"/>
      <x:c r="H1" s="3"/>
      <x:c r="I1" s="3"/>
      <x:c r="J1" s="3"/>
      <x:c r="K1" s="3"/>
    </x:row>
    <x:row r="2" ht="20" customHeight="1">
      <x:c r="A2" s="9" t="str">
        <x:v>Extraction du catalogue au commit 6c6fbb6cf563bea6c89ade99c65f18c438481532. Les statuts indiquent la présence des sources, pas une validation exhaustive de chaque lieu dans une partie.</x:v>
      </x:c>
      <x:c r="B2" s="9"/>
      <x:c r="C2" s="9"/>
      <x:c r="D2" s="9"/>
      <x:c r="E2" s="9"/>
      <x:c r="F2" s="9"/>
      <x:c r="G2" s="9"/>
      <x:c r="H2" s="9"/>
      <x:c r="I2" s="9"/>
      <x:c r="J2" s="9"/>
      <x:c r="K2" s="9"/>
    </x:row>
    <x:row r="3" ht="20" customHeight="1">
      <x:c r="A3" s="9"/>
      <x:c r="B3" s="9"/>
      <x:c r="C3" s="9"/>
      <x:c r="D3" s="9"/>
      <x:c r="E3" s="9"/>
      <x:c r="F3" s="9"/>
      <x:c r="G3" s="9"/>
      <x:c r="H3" s="9"/>
      <x:c r="I3" s="9"/>
      <x:c r="J3" s="9"/>
      <x:c r="K3" s="9"/>
    </x:row>
    <x:row r="5" ht="34" customHeight="1">
      <x:c r="A5" s="112" t="str">
        <x:v>ID</x:v>
      </x:c>
      <x:c r="B5" s="112" t="str">
        <x:v>Parent</x:v>
      </x:c>
      <x:c r="C5" s="112" t="str">
        <x:v>Origine</x:v>
      </x:c>
      <x:c r="D5" s="112" t="str">
        <x:v>Famille</x:v>
      </x:c>
      <x:c r="E5" s="112" t="str">
        <x:v>Programme</x:v>
      </x:c>
      <x:c r="F5" s="112" t="str">
        <x:v>Génération</x:v>
      </x:c>
      <x:c r="G5" s="112" t="str">
        <x:v>Espaces source</x:v>
      </x:c>
      <x:c r="H5" s="112" t="str">
        <x:v>Références objets</x:v>
      </x:c>
      <x:c r="I5" s="112" t="str">
        <x:v>Qualification en jeu</x:v>
      </x:c>
      <x:c r="J5" s="112" t="str">
        <x:v>Source GitHub</x:v>
      </x:c>
      <x:c r="K5" s="112" t="str">
        <x:v>Dimensions et portée</x:v>
      </x:c>
    </x:row>
    <x:row r="6" ht="34" customHeight="1">
      <x:c r="A6" s="16" t="str">
        <x:v>DW-0001</x:v>
      </x:c>
      <x:c r="B6" s="16" t="str">
        <x:v>DW-0001</x:v>
      </x:c>
      <x:c r="C6" s="16" t="str">
        <x:v>Parent historique</x:v>
      </x:c>
      <x:c r="D6" s="16" t="str">
        <x:v>Habitat individuel</x:v>
      </x:c>
      <x:c r="E6" s="16" t="str">
        <x:v>Maison de lotissement</x:v>
      </x:c>
      <x:c r="F6" s="16" t="n">
        <x:v>8</x:v>
      </x:c>
      <x:c r="G6" s="16" t="n">
        <x:v>5</x:v>
      </x:c>
      <x:c r="H6" s="16" t="n">
        <x:v>15</x:v>
      </x:c>
      <x:c r="I6" s="16" t="str">
        <x:v>À qualifier par lieu</x:v>
      </x:c>
      <x:c r="J6" s="16" t="str">
        <x:v>https://github.com/darknigthmare/deadwall-last-enclosure/blob/e28f46223e73105ab2c5d83f3d50b99b58ef53e6/codex-3000/originaux/DEADWALL_CODEX_1.22/fiches/DW-0001.md</x:v>
      </x:c>
      <x:c r="K6" s="16" t="str">
        <x:v>Source min 12,10 m ; max 28,24 m ; modèle 26 × 22 m ; niveaux 0. Détails dans catalogue-existant.json.</x:v>
      </x:c>
    </x:row>
    <x:row r="7" ht="34" customHeight="1">
      <x:c r="A7" s="16" t="str">
        <x:v>DW-0002</x:v>
      </x:c>
      <x:c r="B7" s="16" t="str">
        <x:v>DW-0002</x:v>
      </x:c>
      <x:c r="C7" s="16" t="str">
        <x:v>Parent historique</x:v>
      </x:c>
      <x:c r="D7" s="16" t="str">
        <x:v>Habitat individuel</x:v>
      </x:c>
      <x:c r="E7" s="16" t="str">
        <x:v>Maison mitoyenne étroite</x:v>
      </x:c>
      <x:c r="F7" s="16" t="n">
        <x:v>8</x:v>
      </x:c>
      <x:c r="G7" s="16" t="n">
        <x:v>4</x:v>
      </x:c>
      <x:c r="H7" s="16" t="n">
        <x:v>12</x:v>
      </x:c>
      <x:c r="I7" s="16" t="str">
        <x:v>À qualifier par lieu</x:v>
      </x:c>
      <x:c r="J7" s="16" t="str">
        <x:v>https://github.com/darknigthmare/deadwall-last-enclosure/blob/e28f46223e73105ab2c5d83f3d50b99b58ef53e6/codex-3000/originaux/DEADWALL_CODEX_1.22/fiches/DW-0002.md</x:v>
      </x:c>
      <x:c r="K7" s="16" t="str">
        <x:v>Source min 12,10 m ; max 28,24 m ; modèle 25 × 18 m ; niveaux 0. Détails dans catalogue-existant.json.</x:v>
      </x:c>
    </x:row>
    <x:row r="8" ht="34" customHeight="1">
      <x:c r="A8" s="16" t="str">
        <x:v>DW-0003</x:v>
      </x:c>
      <x:c r="B8" s="16" t="str">
        <x:v>DW-0003</x:v>
      </x:c>
      <x:c r="C8" s="16" t="str">
        <x:v>Parent historique</x:v>
      </x:c>
      <x:c r="D8" s="16" t="str">
        <x:v>Habitat individuel</x:v>
      </x:c>
      <x:c r="E8" s="16" t="str">
        <x:v>Maison à étage avec balcon</x:v>
      </x:c>
      <x:c r="F8" s="16" t="n">
        <x:v>8</x:v>
      </x:c>
      <x:c r="G8" s="16" t="n">
        <x:v>5</x:v>
      </x:c>
      <x:c r="H8" s="16" t="n">
        <x:v>13</x:v>
      </x:c>
      <x:c r="I8" s="16" t="str">
        <x:v>À qualifier par lieu</x:v>
      </x:c>
      <x:c r="J8" s="16" t="str">
        <x:v>https://github.com/darknigthmare/deadwall-last-enclosure/blob/e28f46223e73105ab2c5d83f3d50b99b58ef53e6/codex-3000/originaux/DEADWALL_CODEX_1.22/fiches/DW-0003.md</x:v>
      </x:c>
      <x:c r="K8" s="16" t="str">
        <x:v>Source min 12,10 m ; max 28,24 m ; modèle 26 × 22 m ; niveaux 0, 1. Détails dans catalogue-existant.json.</x:v>
      </x:c>
    </x:row>
    <x:row r="9" ht="34" customHeight="1">
      <x:c r="A9" s="16" t="str">
        <x:v>DW-0004</x:v>
      </x:c>
      <x:c r="B9" s="16" t="str">
        <x:v>DW-0004</x:v>
      </x:c>
      <x:c r="C9" s="16" t="str">
        <x:v>Parent historique</x:v>
      </x:c>
      <x:c r="D9" s="16" t="str">
        <x:v>Habitat individuel</x:v>
      </x:c>
      <x:c r="E9" s="16" t="str">
        <x:v>Maison sur sous-sol</x:v>
      </x:c>
      <x:c r="F9" s="16" t="n">
        <x:v>8</x:v>
      </x:c>
      <x:c r="G9" s="16" t="n">
        <x:v>5</x:v>
      </x:c>
      <x:c r="H9" s="16" t="n">
        <x:v>15</x:v>
      </x:c>
      <x:c r="I9" s="16" t="str">
        <x:v>À qualifier par lieu</x:v>
      </x:c>
      <x:c r="J9" s="16" t="str">
        <x:v>https://github.com/darknigthmare/deadwall-last-enclosure/blob/e28f46223e73105ab2c5d83f3d50b99b58ef53e6/codex-3000/originaux/DEADWALL_CODEX_1.22/fiches/DW-0004.md</x:v>
      </x:c>
      <x:c r="K9" s="16" t="str">
        <x:v>Source min 12,10 m ; max 28,24 m ; modèle 26 × 22 m ; niveaux -1, 0. Détails dans catalogue-existant.json.</x:v>
      </x:c>
    </x:row>
    <x:row r="10" ht="34" customHeight="1">
      <x:c r="A10" s="16" t="str">
        <x:v>DW-0005</x:v>
      </x:c>
      <x:c r="B10" s="16" t="str">
        <x:v>DW-0005</x:v>
      </x:c>
      <x:c r="C10" s="16" t="str">
        <x:v>Parent historique</x:v>
      </x:c>
      <x:c r="D10" s="16" t="str">
        <x:v>Habitat individuel</x:v>
      </x:c>
      <x:c r="E10" s="16" t="str">
        <x:v>Pavillon à patio</x:v>
      </x:c>
      <x:c r="F10" s="16" t="n">
        <x:v>8</x:v>
      </x:c>
      <x:c r="G10" s="16" t="n">
        <x:v>5</x:v>
      </x:c>
      <x:c r="H10" s="16" t="n">
        <x:v>13</x:v>
      </x:c>
      <x:c r="I10" s="16" t="str">
        <x:v>À qualifier par lieu</x:v>
      </x:c>
      <x:c r="J10" s="16" t="str">
        <x:v>https://github.com/darknigthmare/deadwall-last-enclosure/blob/e28f46223e73105ab2c5d83f3d50b99b58ef53e6/codex-3000/originaux/DEADWALL_CODEX_1.22/fiches/DW-0005.md</x:v>
      </x:c>
      <x:c r="K10" s="16" t="str">
        <x:v>Source min 12,10 m ; max 28,24 m ; modèle 26 × 22 m ; niveaux 0. Détails dans catalogue-existant.json.</x:v>
      </x:c>
    </x:row>
    <x:row r="11" ht="34" customHeight="1">
      <x:c r="A11" s="16" t="str">
        <x:v>DW-0006</x:v>
      </x:c>
      <x:c r="B11" s="16" t="str">
        <x:v>DW-0006</x:v>
      </x:c>
      <x:c r="C11" s="16" t="str">
        <x:v>Parent historique</x:v>
      </x:c>
      <x:c r="D11" s="16" t="str">
        <x:v>Habitat individuel</x:v>
      </x:c>
      <x:c r="E11" s="16" t="str">
        <x:v>Maison rurale en pierre</x:v>
      </x:c>
      <x:c r="F11" s="16" t="n">
        <x:v>8</x:v>
      </x:c>
      <x:c r="G11" s="16" t="n">
        <x:v>5</x:v>
      </x:c>
      <x:c r="H11" s="16" t="n">
        <x:v>15</x:v>
      </x:c>
      <x:c r="I11" s="16" t="str">
        <x:v>À qualifier par lieu</x:v>
      </x:c>
      <x:c r="J11" s="16" t="str">
        <x:v>https://github.com/darknigthmare/deadwall-last-enclosure/blob/e28f46223e73105ab2c5d83f3d50b99b58ef53e6/codex-3000/originaux/DEADWALL_CODEX_1.22/fiches/DW-0006.md</x:v>
      </x:c>
      <x:c r="K11" s="16" t="str">
        <x:v>Source min 12,10 m ; max 28,24 m ; modèle 26 × 22 m ; niveaux 0. Détails dans catalogue-existant.json.</x:v>
      </x:c>
    </x:row>
    <x:row r="12" ht="34" customHeight="1">
      <x:c r="A12" s="16" t="str">
        <x:v>DW-0007</x:v>
      </x:c>
      <x:c r="B12" s="16" t="str">
        <x:v>DW-0007</x:v>
      </x:c>
      <x:c r="C12" s="16" t="str">
        <x:v>Parent historique</x:v>
      </x:c>
      <x:c r="D12" s="16" t="str">
        <x:v>Habitat individuel</x:v>
      </x:c>
      <x:c r="E12" s="16" t="str">
        <x:v>Longère habitée</x:v>
      </x:c>
      <x:c r="F12" s="16" t="n">
        <x:v>8</x:v>
      </x:c>
      <x:c r="G12" s="16" t="n">
        <x:v>4</x:v>
      </x:c>
      <x:c r="H12" s="16" t="n">
        <x:v>12</x:v>
      </x:c>
      <x:c r="I12" s="16" t="str">
        <x:v>À qualifier par lieu</x:v>
      </x:c>
      <x:c r="J12" s="16" t="str">
        <x:v>https://github.com/darknigthmare/deadwall-last-enclosure/blob/e28f46223e73105ab2c5d83f3d50b99b58ef53e6/codex-3000/originaux/DEADWALL_CODEX_1.22/fiches/DW-0007.md</x:v>
      </x:c>
      <x:c r="K12" s="16" t="str">
        <x:v>Source min 12,10 m ; max 28,24 m ; modèle 25 × 18 m ; niveaux 0. Détails dans catalogue-existant.json.</x:v>
      </x:c>
    </x:row>
    <x:row r="13" ht="34" customHeight="1">
      <x:c r="A13" s="16" t="str">
        <x:v>DW-0008</x:v>
      </x:c>
      <x:c r="B13" s="16" t="str">
        <x:v>DW-0008</x:v>
      </x:c>
      <x:c r="C13" s="16" t="str">
        <x:v>Parent historique</x:v>
      </x:c>
      <x:c r="D13" s="16" t="str">
        <x:v>Habitat individuel</x:v>
      </x:c>
      <x:c r="E13" s="16" t="str">
        <x:v>Maison de gardien</x:v>
      </x:c>
      <x:c r="F13" s="16" t="n">
        <x:v>8</x:v>
      </x:c>
      <x:c r="G13" s="16" t="n">
        <x:v>4</x:v>
      </x:c>
      <x:c r="H13" s="16" t="n">
        <x:v>12</x:v>
      </x:c>
      <x:c r="I13" s="16" t="str">
        <x:v>À qualifier par lieu</x:v>
      </x:c>
      <x:c r="J13" s="16" t="str">
        <x:v>https://github.com/darknigthmare/deadwall-last-enclosure/blob/e28f46223e73105ab2c5d83f3d50b99b58ef53e6/codex-3000/originaux/DEADWALL_CODEX_1.22/fiches/DW-0008.md</x:v>
      </x:c>
      <x:c r="K13" s="16" t="str">
        <x:v>Source min 12,10 m ; max 28,24 m ; modèle 25 × 18 m ; niveaux 0. Détails dans catalogue-existant.json.</x:v>
      </x:c>
    </x:row>
    <x:row r="14" ht="34" customHeight="1">
      <x:c r="A14" s="16" t="str">
        <x:v>DW-0009</x:v>
      </x:c>
      <x:c r="B14" s="16" t="str">
        <x:v>DW-0009</x:v>
      </x:c>
      <x:c r="C14" s="16" t="str">
        <x:v>Parent historique</x:v>
      </x:c>
      <x:c r="D14" s="16" t="str">
        <x:v>Habitat individuel</x:v>
      </x:c>
      <x:c r="E14" s="16" t="str">
        <x:v>Villa avec piscine</x:v>
      </x:c>
      <x:c r="F14" s="16" t="n">
        <x:v>8</x:v>
      </x:c>
      <x:c r="G14" s="16" t="n">
        <x:v>5</x:v>
      </x:c>
      <x:c r="H14" s="16" t="n">
        <x:v>15</x:v>
      </x:c>
      <x:c r="I14" s="16" t="str">
        <x:v>À qualifier par lieu</x:v>
      </x:c>
      <x:c r="J14" s="16" t="str">
        <x:v>https://github.com/darknigthmare/deadwall-last-enclosure/blob/e28f46223e73105ab2c5d83f3d50b99b58ef53e6/codex-3000/originaux/DEADWALL_CODEX_1.22/fiches/DW-0009.md</x:v>
      </x:c>
      <x:c r="K14" s="16" t="str">
        <x:v>Source min 12,10 m ; max 28,24 m ; modèle 26 × 22 m ; niveaux 0. Détails dans catalogue-existant.json.</x:v>
      </x:c>
    </x:row>
    <x:row r="15" ht="34" customHeight="1">
      <x:c r="A15" s="16" t="str">
        <x:v>DW-0010</x:v>
      </x:c>
      <x:c r="B15" s="16" t="str">
        <x:v>DW-0010</x:v>
      </x:c>
      <x:c r="C15" s="16" t="str">
        <x:v>Parent historique</x:v>
      </x:c>
      <x:c r="D15" s="16" t="str">
        <x:v>Habitat individuel</x:v>
      </x:c>
      <x:c r="E15" s="16" t="str">
        <x:v>Chalet forestier</x:v>
      </x:c>
      <x:c r="F15" s="16" t="n">
        <x:v>8</x:v>
      </x:c>
      <x:c r="G15" s="16" t="n">
        <x:v>4</x:v>
      </x:c>
      <x:c r="H15" s="16" t="n">
        <x:v>12</x:v>
      </x:c>
      <x:c r="I15" s="16" t="str">
        <x:v>À qualifier par lieu</x:v>
      </x:c>
      <x:c r="J15" s="16" t="str">
        <x:v>https://github.com/darknigthmare/deadwall-last-enclosure/blob/e28f46223e73105ab2c5d83f3d50b99b58ef53e6/codex-3000/originaux/DEADWALL_CODEX_1.22/fiches/DW-0010.md</x:v>
      </x:c>
      <x:c r="K15" s="16" t="str">
        <x:v>Source min 12,10 m ; max 28,24 m ; modèle 25 × 18 m ; niveaux 0. Détails dans catalogue-existant.json.</x:v>
      </x:c>
    </x:row>
    <x:row r="16" ht="34" customHeight="1">
      <x:c r="A16" s="16" t="str">
        <x:v>DW-0011</x:v>
      </x:c>
      <x:c r="B16" s="16" t="str">
        <x:v>DW-0011</x:v>
      </x:c>
      <x:c r="C16" s="16" t="str">
        <x:v>Parent historique</x:v>
      </x:c>
      <x:c r="D16" s="16" t="str">
        <x:v>Habitat individuel</x:v>
      </x:c>
      <x:c r="E16" s="16" t="str">
        <x:v>Cabane de pêcheur</x:v>
      </x:c>
      <x:c r="F16" s="16" t="n">
        <x:v>8</x:v>
      </x:c>
      <x:c r="G16" s="16" t="n">
        <x:v>4</x:v>
      </x:c>
      <x:c r="H16" s="16" t="n">
        <x:v>12</x:v>
      </x:c>
      <x:c r="I16" s="16" t="str">
        <x:v>À qualifier par lieu</x:v>
      </x:c>
      <x:c r="J16" s="16" t="str">
        <x:v>https://github.com/darknigthmare/deadwall-last-enclosure/blob/e28f46223e73105ab2c5d83f3d50b99b58ef53e6/codex-3000/originaux/DEADWALL_CODEX_1.22/fiches/DW-0011.md</x:v>
      </x:c>
      <x:c r="K16" s="16" t="str">
        <x:v>Source min 12,10 m ; max 28,24 m ; modèle 25 × 18 m ; niveaux 0. Détails dans catalogue-existant.json.</x:v>
      </x:c>
    </x:row>
    <x:row r="17" ht="34" customHeight="1">
      <x:c r="A17" s="16" t="str">
        <x:v>DW-0012</x:v>
      </x:c>
      <x:c r="B17" s="16" t="str">
        <x:v>DW-0012</x:v>
      </x:c>
      <x:c r="C17" s="16" t="str">
        <x:v>Parent historique</x:v>
      </x:c>
      <x:c r="D17" s="16" t="str">
        <x:v>Habitat individuel</x:v>
      </x:c>
      <x:c r="E17" s="16" t="str">
        <x:v>Maison mobile en parc</x:v>
      </x:c>
      <x:c r="F17" s="16" t="n">
        <x:v>8</x:v>
      </x:c>
      <x:c r="G17" s="16" t="n">
        <x:v>5</x:v>
      </x:c>
      <x:c r="H17" s="16" t="n">
        <x:v>15</x:v>
      </x:c>
      <x:c r="I17" s="16" t="str">
        <x:v>À qualifier par lieu</x:v>
      </x:c>
      <x:c r="J17" s="16" t="str">
        <x:v>https://github.com/darknigthmare/deadwall-last-enclosure/blob/e28f46223e73105ab2c5d83f3d50b99b58ef53e6/codex-3000/originaux/DEADWALL_CODEX_1.22/fiches/DW-0012.md</x:v>
      </x:c>
      <x:c r="K17" s="16" t="str">
        <x:v>Source min 12,10 m ; max 28,24 m ; modèle 26 × 22 m ; niveaux 0. Détails dans catalogue-existant.json.</x:v>
      </x:c>
    </x:row>
    <x:row r="18" ht="34" customHeight="1">
      <x:c r="A18" s="16" t="str">
        <x:v>DW-0013</x:v>
      </x:c>
      <x:c r="B18" s="16" t="str">
        <x:v>DW-0013</x:v>
      </x:c>
      <x:c r="C18" s="16" t="str">
        <x:v>Parent historique</x:v>
      </x:c>
      <x:c r="D18" s="16" t="str">
        <x:v>Habitat individuel</x:v>
      </x:c>
      <x:c r="E18" s="16" t="str">
        <x:v>Duplex au-dessus d'une boutique</x:v>
      </x:c>
      <x:c r="F18" s="16" t="n">
        <x:v>8</x:v>
      </x:c>
      <x:c r="G18" s="16" t="n">
        <x:v>4</x:v>
      </x:c>
      <x:c r="H18" s="16" t="n">
        <x:v>12</x:v>
      </x:c>
      <x:c r="I18" s="16" t="str">
        <x:v>À qualifier par lieu</x:v>
      </x:c>
      <x:c r="J18" s="16" t="str">
        <x:v>https://github.com/darknigthmare/deadwall-last-enclosure/blob/e28f46223e73105ab2c5d83f3d50b99b58ef53e6/codex-3000/originaux/DEADWALL_CODEX_1.22/fiches/DW-0013.md</x:v>
      </x:c>
      <x:c r="K18" s="16" t="str">
        <x:v>Source min 12,10 m ; max 28,24 m ; modèle 25 × 18 m ; niveaux 0, 1. Détails dans catalogue-existant.json.</x:v>
      </x:c>
    </x:row>
    <x:row r="19" ht="34" customHeight="1">
      <x:c r="A19" s="16" t="str">
        <x:v>DW-0014</x:v>
      </x:c>
      <x:c r="B19" s="16" t="str">
        <x:v>DW-0014</x:v>
      </x:c>
      <x:c r="C19" s="16" t="str">
        <x:v>Parent historique</x:v>
      </x:c>
      <x:c r="D19" s="16" t="str">
        <x:v>Habitat individuel</x:v>
      </x:c>
      <x:c r="E19" s="16" t="str">
        <x:v>Maison d'angle commerçante</x:v>
      </x:c>
      <x:c r="F19" s="16" t="n">
        <x:v>8</x:v>
      </x:c>
      <x:c r="G19" s="16" t="n">
        <x:v>4</x:v>
      </x:c>
      <x:c r="H19" s="16" t="n">
        <x:v>12</x:v>
      </x:c>
      <x:c r="I19" s="16" t="str">
        <x:v>À qualifier par lieu</x:v>
      </x:c>
      <x:c r="J19" s="16" t="str">
        <x:v>https://github.com/darknigthmare/deadwall-last-enclosure/blob/e28f46223e73105ab2c5d83f3d50b99b58ef53e6/codex-3000/originaux/DEADWALL_CODEX_1.22/fiches/DW-0014.md</x:v>
      </x:c>
      <x:c r="K19" s="16" t="str">
        <x:v>Source min 12,10 m ; max 28,24 m ; modèle 25 × 18 m ; niveaux 0. Détails dans catalogue-existant.json.</x:v>
      </x:c>
    </x:row>
    <x:row r="20" ht="34" customHeight="1">
      <x:c r="A20" s="16" t="str">
        <x:v>DW-0015</x:v>
      </x:c>
      <x:c r="B20" s="16" t="str">
        <x:v>DW-0015</x:v>
      </x:c>
      <x:c r="C20" s="16" t="str">
        <x:v>Parent historique</x:v>
      </x:c>
      <x:c r="D20" s="16" t="str">
        <x:v>Habitat individuel</x:v>
      </x:c>
      <x:c r="E20" s="16" t="str">
        <x:v>Maison en autoconstruction</x:v>
      </x:c>
      <x:c r="F20" s="16" t="n">
        <x:v>8</x:v>
      </x:c>
      <x:c r="G20" s="16" t="n">
        <x:v>4</x:v>
      </x:c>
      <x:c r="H20" s="16" t="n">
        <x:v>12</x:v>
      </x:c>
      <x:c r="I20" s="16" t="str">
        <x:v>À qualifier par lieu</x:v>
      </x:c>
      <x:c r="J20" s="16" t="str">
        <x:v>https://github.com/darknigthmare/deadwall-last-enclosure/blob/e28f46223e73105ab2c5d83f3d50b99b58ef53e6/codex-3000/originaux/DEADWALL_CODEX_1.22/fiches/DW-0015.md</x:v>
      </x:c>
      <x:c r="K20" s="16" t="str">
        <x:v>Source min 12,10 m ; max 28,24 m ; modèle 25 × 18 m ; niveaux 0. Détails dans catalogue-existant.json.</x:v>
      </x:c>
    </x:row>
    <x:row r="21" ht="34" customHeight="1">
      <x:c r="A21" s="16" t="str">
        <x:v>DW-0016</x:v>
      </x:c>
      <x:c r="B21" s="16" t="str">
        <x:v>DW-0016</x:v>
      </x:c>
      <x:c r="C21" s="16" t="str">
        <x:v>Parent historique</x:v>
      </x:c>
      <x:c r="D21" s="16" t="str">
        <x:v>Habitat individuel</x:v>
      </x:c>
      <x:c r="E21" s="16" t="str">
        <x:v>Maison en gradins</x:v>
      </x:c>
      <x:c r="F21" s="16" t="n">
        <x:v>8</x:v>
      </x:c>
      <x:c r="G21" s="16" t="n">
        <x:v>4</x:v>
      </x:c>
      <x:c r="H21" s="16" t="n">
        <x:v>12</x:v>
      </x:c>
      <x:c r="I21" s="16" t="str">
        <x:v>À qualifier par lieu</x:v>
      </x:c>
      <x:c r="J21" s="16" t="str">
        <x:v>https://github.com/darknigthmare/deadwall-last-enclosure/blob/e28f46223e73105ab2c5d83f3d50b99b58ef53e6/codex-3000/originaux/DEADWALL_CODEX_1.22/fiches/DW-0016.md</x:v>
      </x:c>
      <x:c r="K21" s="16" t="str">
        <x:v>Source min 12,10 m ; max 28,24 m ; modèle 25 × 18 m ; niveaux 0, 1, 2. Détails dans catalogue-existant.json.</x:v>
      </x:c>
    </x:row>
    <x:row r="22" ht="34" customHeight="1">
      <x:c r="A22" s="16" t="str">
        <x:v>DW-0017</x:v>
      </x:c>
      <x:c r="B22" s="16" t="str">
        <x:v>DW-0017</x:v>
      </x:c>
      <x:c r="C22" s="16" t="str">
        <x:v>Parent historique</x:v>
      </x:c>
      <x:c r="D22" s="16" t="str">
        <x:v>Habitat individuel</x:v>
      </x:c>
      <x:c r="E22" s="16" t="str">
        <x:v>Maison familiale adaptée</x:v>
      </x:c>
      <x:c r="F22" s="16" t="n">
        <x:v>8</x:v>
      </x:c>
      <x:c r="G22" s="16" t="n">
        <x:v>4</x:v>
      </x:c>
      <x:c r="H22" s="16" t="n">
        <x:v>10</x:v>
      </x:c>
      <x:c r="I22" s="16" t="str">
        <x:v>À qualifier par lieu</x:v>
      </x:c>
      <x:c r="J22" s="16" t="str">
        <x:v>https://github.com/darknigthmare/deadwall-last-enclosure/blob/e28f46223e73105ab2c5d83f3d50b99b58ef53e6/codex-3000/originaux/DEADWALL_CODEX_1.22/fiches/DW-0017.md</x:v>
      </x:c>
      <x:c r="K22" s="16" t="str">
        <x:v>Source min 12,10 m ; max 28,24 m ; modèle 25 × 18 m ; niveaux 0. Détails dans catalogue-existant.json.</x:v>
      </x:c>
    </x:row>
    <x:row r="23" ht="34" customHeight="1">
      <x:c r="A23" s="16" t="str">
        <x:v>DW-0018</x:v>
      </x:c>
      <x:c r="B23" s="16" t="str">
        <x:v>DW-0018</x:v>
      </x:c>
      <x:c r="C23" s="16" t="str">
        <x:v>Parent historique</x:v>
      </x:c>
      <x:c r="D23" s="16" t="str">
        <x:v>Habitat individuel</x:v>
      </x:c>
      <x:c r="E23" s="16" t="str">
        <x:v>Ancien presbytère</x:v>
      </x:c>
      <x:c r="F23" s="16" t="n">
        <x:v>8</x:v>
      </x:c>
      <x:c r="G23" s="16" t="n">
        <x:v>5</x:v>
      </x:c>
      <x:c r="H23" s="16" t="n">
        <x:v>15</x:v>
      </x:c>
      <x:c r="I23" s="16" t="str">
        <x:v>À qualifier par lieu</x:v>
      </x:c>
      <x:c r="J23" s="16" t="str">
        <x:v>https://github.com/darknigthmare/deadwall-last-enclosure/blob/e28f46223e73105ab2c5d83f3d50b99b58ef53e6/codex-3000/originaux/DEADWALL_CODEX_1.22/fiches/DW-0018.md</x:v>
      </x:c>
      <x:c r="K23" s="16" t="str">
        <x:v>Source min 12,10 m ; max 28,24 m ; modèle 26 × 22 m ; niveaux 0. Détails dans catalogue-existant.json.</x:v>
      </x:c>
    </x:row>
    <x:row r="24" ht="34" customHeight="1">
      <x:c r="A24" s="16" t="str">
        <x:v>DW-0019</x:v>
      </x:c>
      <x:c r="B24" s="16" t="str">
        <x:v>DW-0019</x:v>
      </x:c>
      <x:c r="C24" s="16" t="str">
        <x:v>Parent historique</x:v>
      </x:c>
      <x:c r="D24" s="16" t="str">
        <x:v>Habitat individuel</x:v>
      </x:c>
      <x:c r="E24" s="16" t="str">
        <x:v>Maison d'éclusier</x:v>
      </x:c>
      <x:c r="F24" s="16" t="n">
        <x:v>8</x:v>
      </x:c>
      <x:c r="G24" s="16" t="n">
        <x:v>4</x:v>
      </x:c>
      <x:c r="H24" s="16" t="n">
        <x:v>12</x:v>
      </x:c>
      <x:c r="I24" s="16" t="str">
        <x:v>À qualifier par lieu</x:v>
      </x:c>
      <x:c r="J24" s="16" t="str">
        <x:v>https://github.com/darknigthmare/deadwall-last-enclosure/blob/e28f46223e73105ab2c5d83f3d50b99b58ef53e6/codex-3000/originaux/DEADWALL_CODEX_1.22/fiches/DW-0019.md</x:v>
      </x:c>
      <x:c r="K24" s="16" t="str">
        <x:v>Source min 12,10 m ; max 28,24 m ; modèle 25 × 18 m ; niveaux 0. Détails dans catalogue-existant.json.</x:v>
      </x:c>
    </x:row>
    <x:row r="25" ht="34" customHeight="1">
      <x:c r="A25" s="16" t="str">
        <x:v>DW-0020</x:v>
      </x:c>
      <x:c r="B25" s="16" t="str">
        <x:v>DW-0020</x:v>
      </x:c>
      <x:c r="C25" s="16" t="str">
        <x:v>Parent historique</x:v>
      </x:c>
      <x:c r="D25" s="16" t="str">
        <x:v>Habitat individuel</x:v>
      </x:c>
      <x:c r="E25" s="16" t="str">
        <x:v>Ferme reconvertie en habitation</x:v>
      </x:c>
      <x:c r="F25" s="16" t="n">
        <x:v>8</x:v>
      </x:c>
      <x:c r="G25" s="16" t="n">
        <x:v>4</x:v>
      </x:c>
      <x:c r="H25" s="16" t="n">
        <x:v>12</x:v>
      </x:c>
      <x:c r="I25" s="16" t="str">
        <x:v>À qualifier par lieu</x:v>
      </x:c>
      <x:c r="J25" s="16" t="str">
        <x:v>https://github.com/darknigthmare/deadwall-last-enclosure/blob/e28f46223e73105ab2c5d83f3d50b99b58ef53e6/codex-3000/originaux/DEADWALL_CODEX_1.22/fiches/DW-0020.md</x:v>
      </x:c>
      <x:c r="K25" s="16" t="str">
        <x:v>Source min 12,10 m ; max 28,24 m ; modèle 25 × 18 m ; niveaux 0. Détails dans catalogue-existant.json.</x:v>
      </x:c>
    </x:row>
    <x:row r="26" ht="34" customHeight="1">
      <x:c r="A26" s="16" t="str">
        <x:v>DW-0021</x:v>
      </x:c>
      <x:c r="B26" s="16" t="str">
        <x:v>DW-0021</x:v>
      </x:c>
      <x:c r="C26" s="16" t="str">
        <x:v>Parent historique</x:v>
      </x:c>
      <x:c r="D26" s="16" t="str">
        <x:v>Habitat collectif</x:v>
      </x:c>
      <x:c r="E26" s="16" t="str">
        <x:v>Immeuble de trois étages</x:v>
      </x:c>
      <x:c r="F26" s="16" t="n">
        <x:v>8</x:v>
      </x:c>
      <x:c r="G26" s="16" t="n">
        <x:v>5</x:v>
      </x:c>
      <x:c r="H26" s="16" t="n">
        <x:v>13</x:v>
      </x:c>
      <x:c r="I26" s="16" t="str">
        <x:v>À qualifier par lieu</x:v>
      </x:c>
      <x:c r="J26" s="16" t="str">
        <x:v>https://github.com/darknigthmare/deadwall-last-enclosure/blob/e28f46223e73105ab2c5d83f3d50b99b58ef53e6/codex-3000/originaux/DEADWALL_CODEX_1.22/fiches/DW-0021.md</x:v>
      </x:c>
      <x:c r="K26" s="16" t="str">
        <x:v>Source min 25,18 m ; max 85,60 m ; modèle 26 × 22 m ; niveaux 0, 1, 2. Détails dans catalogue-existant.json.</x:v>
      </x:c>
    </x:row>
    <x:row r="27" ht="34" customHeight="1">
      <x:c r="A27" s="16" t="str">
        <x:v>DW-0022</x:v>
      </x:c>
      <x:c r="B27" s="16" t="str">
        <x:v>DW-0022</x:v>
      </x:c>
      <x:c r="C27" s="16" t="str">
        <x:v>Parent historique</x:v>
      </x:c>
      <x:c r="D27" s="16" t="str">
        <x:v>Habitat collectif</x:v>
      </x:c>
      <x:c r="E27" s="16" t="str">
        <x:v>Barre résidentielle</x:v>
      </x:c>
      <x:c r="F27" s="16" t="n">
        <x:v>8</x:v>
      </x:c>
      <x:c r="G27" s="16" t="n">
        <x:v>4</x:v>
      </x:c>
      <x:c r="H27" s="16" t="n">
        <x:v>10</x:v>
      </x:c>
      <x:c r="I27" s="16" t="str">
        <x:v>À qualifier par lieu</x:v>
      </x:c>
      <x:c r="J27" s="16" t="str">
        <x:v>https://github.com/darknigthmare/deadwall-last-enclosure/blob/e28f46223e73105ab2c5d83f3d50b99b58ef53e6/codex-3000/originaux/DEADWALL_CODEX_1.22/fiches/DW-0022.md</x:v>
      </x:c>
      <x:c r="K27" s="16" t="str">
        <x:v>Source min 25,18 m ; max 85,60 m ; modèle 25 × 18 m ; niveaux 0, 1, 2. Détails dans catalogue-existant.json.</x:v>
      </x:c>
    </x:row>
    <x:row r="28" ht="34" customHeight="1">
      <x:c r="A28" s="16" t="str">
        <x:v>DW-0023</x:v>
      </x:c>
      <x:c r="B28" s="16" t="str">
        <x:v>DW-0023</x:v>
      </x:c>
      <x:c r="C28" s="16" t="str">
        <x:v>Parent historique</x:v>
      </x:c>
      <x:c r="D28" s="16" t="str">
        <x:v>Habitat collectif</x:v>
      </x:c>
      <x:c r="E28" s="16" t="str">
        <x:v>Tour résidentielle</x:v>
      </x:c>
      <x:c r="F28" s="16" t="n">
        <x:v>8</x:v>
      </x:c>
      <x:c r="G28" s="16" t="n">
        <x:v>5</x:v>
      </x:c>
      <x:c r="H28" s="16" t="n">
        <x:v>13</x:v>
      </x:c>
      <x:c r="I28" s="16" t="str">
        <x:v>À qualifier par lieu</x:v>
      </x:c>
      <x:c r="J28" s="16" t="str">
        <x:v>https://github.com/darknigthmare/deadwall-last-enclosure/blob/e28f46223e73105ab2c5d83f3d50b99b58ef53e6/codex-3000/originaux/DEADWALL_CODEX_1.22/fiches/DW-0023.md</x:v>
      </x:c>
      <x:c r="K28" s="16" t="str">
        <x:v>Source min 25,18 m ; max 85,60 m ; modèle 26 × 22 m ; niveaux 0, 1, 2. Détails dans catalogue-existant.json.</x:v>
      </x:c>
    </x:row>
    <x:row r="29" ht="34" customHeight="1">
      <x:c r="A29" s="16" t="str">
        <x:v>DW-0024</x:v>
      </x:c>
      <x:c r="B29" s="16" t="str">
        <x:v>DW-0024</x:v>
      </x:c>
      <x:c r="C29" s="16" t="str">
        <x:v>Parent historique</x:v>
      </x:c>
      <x:c r="D29" s="16" t="str">
        <x:v>Habitat collectif</x:v>
      </x:c>
      <x:c r="E29" s="16" t="str">
        <x:v>Résidence à cour intérieure</x:v>
      </x:c>
      <x:c r="F29" s="16" t="n">
        <x:v>8</x:v>
      </x:c>
      <x:c r="G29" s="16" t="n">
        <x:v>5</x:v>
      </x:c>
      <x:c r="H29" s="16" t="n">
        <x:v>15</x:v>
      </x:c>
      <x:c r="I29" s="16" t="str">
        <x:v>À qualifier par lieu</x:v>
      </x:c>
      <x:c r="J29" s="16" t="str">
        <x:v>https://github.com/darknigthmare/deadwall-last-enclosure/blob/e28f46223e73105ab2c5d83f3d50b99b58ef53e6/codex-3000/originaux/DEADWALL_CODEX_1.22/fiches/DW-0024.md</x:v>
      </x:c>
      <x:c r="K29" s="16" t="str">
        <x:v>Source min 25,18 m ; max 85,60 m ; modèle 26 × 22 m ; niveaux 0, 1, 2. Détails dans catalogue-existant.json.</x:v>
      </x:c>
    </x:row>
    <x:row r="30" ht="34" customHeight="1">
      <x:c r="A30" s="16" t="str">
        <x:v>DW-0025</x:v>
      </x:c>
      <x:c r="B30" s="16" t="str">
        <x:v>DW-0025</x:v>
      </x:c>
      <x:c r="C30" s="16" t="str">
        <x:v>Parent historique</x:v>
      </x:c>
      <x:c r="D30" s="16" t="str">
        <x:v>Habitat collectif</x:v>
      </x:c>
      <x:c r="E30" s="16" t="str">
        <x:v>Résidence étudiante</x:v>
      </x:c>
      <x:c r="F30" s="16" t="n">
        <x:v>8</x:v>
      </x:c>
      <x:c r="G30" s="16" t="n">
        <x:v>5</x:v>
      </x:c>
      <x:c r="H30" s="16" t="n">
        <x:v>15</x:v>
      </x:c>
      <x:c r="I30" s="16" t="str">
        <x:v>À qualifier par lieu</x:v>
      </x:c>
      <x:c r="J30" s="16" t="str">
        <x:v>https://github.com/darknigthmare/deadwall-last-enclosure/blob/e28f46223e73105ab2c5d83f3d50b99b58ef53e6/codex-3000/originaux/DEADWALL_CODEX_1.22/fiches/DW-0025.md</x:v>
      </x:c>
      <x:c r="K30" s="16" t="str">
        <x:v>Source min 25,18 m ; max 85,60 m ; modèle 26 × 22 m ; niveaux 0, 1, 2. Détails dans catalogue-existant.json.</x:v>
      </x:c>
    </x:row>
    <x:row r="31" ht="34" customHeight="1">
      <x:c r="A31" s="16" t="str">
        <x:v>DW-0026</x:v>
      </x:c>
      <x:c r="B31" s="16" t="str">
        <x:v>DW-0026</x:v>
      </x:c>
      <x:c r="C31" s="16" t="str">
        <x:v>Parent historique</x:v>
      </x:c>
      <x:c r="D31" s="16" t="str">
        <x:v>Habitat collectif</x:v>
      </x:c>
      <x:c r="E31" s="16" t="str">
        <x:v>Foyer de travailleurs</x:v>
      </x:c>
      <x:c r="F31" s="16" t="n">
        <x:v>8</x:v>
      </x:c>
      <x:c r="G31" s="16" t="n">
        <x:v>5</x:v>
      </x:c>
      <x:c r="H31" s="16" t="n">
        <x:v>15</x:v>
      </x:c>
      <x:c r="I31" s="16" t="str">
        <x:v>À qualifier par lieu</x:v>
      </x:c>
      <x:c r="J31" s="16" t="str">
        <x:v>https://github.com/darknigthmare/deadwall-last-enclosure/blob/e28f46223e73105ab2c5d83f3d50b99b58ef53e6/codex-3000/originaux/DEADWALL_CODEX_1.22/fiches/DW-0026.md</x:v>
      </x:c>
      <x:c r="K31" s="16" t="str">
        <x:v>Source min 25,18 m ; max 85,60 m ; modèle 26 × 22 m ; niveaux 0, 1, 2. Détails dans catalogue-existant.json.</x:v>
      </x:c>
    </x:row>
    <x:row r="32" ht="34" customHeight="1">
      <x:c r="A32" s="16" t="str">
        <x:v>DW-0027</x:v>
      </x:c>
      <x:c r="B32" s="16" t="str">
        <x:v>DW-0027</x:v>
      </x:c>
      <x:c r="C32" s="16" t="str">
        <x:v>Parent historique</x:v>
      </x:c>
      <x:c r="D32" s="16" t="str">
        <x:v>Habitat collectif</x:v>
      </x:c>
      <x:c r="E32" s="16" t="str">
        <x:v>Résidence seniors</x:v>
      </x:c>
      <x:c r="F32" s="16" t="n">
        <x:v>8</x:v>
      </x:c>
      <x:c r="G32" s="16" t="n">
        <x:v>5</x:v>
      </x:c>
      <x:c r="H32" s="16" t="n">
        <x:v>15</x:v>
      </x:c>
      <x:c r="I32" s="16" t="str">
        <x:v>À qualifier par lieu</x:v>
      </x:c>
      <x:c r="J32" s="16" t="str">
        <x:v>https://github.com/darknigthmare/deadwall-last-enclosure/blob/e28f46223e73105ab2c5d83f3d50b99b58ef53e6/codex-3000/originaux/DEADWALL_CODEX_1.22/fiches/DW-0027.md</x:v>
      </x:c>
      <x:c r="K32" s="16" t="str">
        <x:v>Source min 25,18 m ; max 85,60 m ; modèle 26 × 22 m ; niveaux 0, 1, 2. Détails dans catalogue-existant.json.</x:v>
      </x:c>
    </x:row>
    <x:row r="33" ht="34" customHeight="1">
      <x:c r="A33" s="16" t="str">
        <x:v>DW-0028</x:v>
      </x:c>
      <x:c r="B33" s="16" t="str">
        <x:v>DW-0028</x:v>
      </x:c>
      <x:c r="C33" s="16" t="str">
        <x:v>Parent historique</x:v>
      </x:c>
      <x:c r="D33" s="16" t="str">
        <x:v>Habitat collectif</x:v>
      </x:c>
      <x:c r="E33" s="16" t="str">
        <x:v>Habitat coopératif</x:v>
      </x:c>
      <x:c r="F33" s="16" t="n">
        <x:v>8</x:v>
      </x:c>
      <x:c r="G33" s="16" t="n">
        <x:v>5</x:v>
      </x:c>
      <x:c r="H33" s="16" t="n">
        <x:v>15</x:v>
      </x:c>
      <x:c r="I33" s="16" t="str">
        <x:v>À qualifier par lieu</x:v>
      </x:c>
      <x:c r="J33" s="16" t="str">
        <x:v>https://github.com/darknigthmare/deadwall-last-enclosure/blob/e28f46223e73105ab2c5d83f3d50b99b58ef53e6/codex-3000/originaux/DEADWALL_CODEX_1.22/fiches/DW-0028.md</x:v>
      </x:c>
      <x:c r="K33" s="16" t="str">
        <x:v>Source min 25,18 m ; max 85,60 m ; modèle 26 × 22 m ; niveaux 0, 1, 2. Détails dans catalogue-existant.json.</x:v>
      </x:c>
    </x:row>
    <x:row r="34" ht="34" customHeight="1">
      <x:c r="A34" s="16" t="str">
        <x:v>DW-0029</x:v>
      </x:c>
      <x:c r="B34" s="16" t="str">
        <x:v>DW-0029</x:v>
      </x:c>
      <x:c r="C34" s="16" t="str">
        <x:v>Parent historique</x:v>
      </x:c>
      <x:c r="D34" s="16" t="str">
        <x:v>Habitat collectif</x:v>
      </x:c>
      <x:c r="E34" s="16" t="str">
        <x:v>Immeuble avec commerces</x:v>
      </x:c>
      <x:c r="F34" s="16" t="n">
        <x:v>8</x:v>
      </x:c>
      <x:c r="G34" s="16" t="n">
        <x:v>4</x:v>
      </x:c>
      <x:c r="H34" s="16" t="n">
        <x:v>12</x:v>
      </x:c>
      <x:c r="I34" s="16" t="str">
        <x:v>À qualifier par lieu</x:v>
      </x:c>
      <x:c r="J34" s="16" t="str">
        <x:v>https://github.com/darknigthmare/deadwall-last-enclosure/blob/e28f46223e73105ab2c5d83f3d50b99b58ef53e6/codex-3000/originaux/DEADWALL_CODEX_1.22/fiches/DW-0029.md</x:v>
      </x:c>
      <x:c r="K34" s="16" t="str">
        <x:v>Source min 25,18 m ; max 85,60 m ; modèle 25 × 18 m ; niveaux 0, 1, 2. Détails dans catalogue-existant.json.</x:v>
      </x:c>
    </x:row>
    <x:row r="35" ht="34" customHeight="1">
      <x:c r="A35" s="16" t="str">
        <x:v>DW-0030</x:v>
      </x:c>
      <x:c r="B35" s="16" t="str">
        <x:v>DW-0030</x:v>
      </x:c>
      <x:c r="C35" s="16" t="str">
        <x:v>Parent historique</x:v>
      </x:c>
      <x:c r="D35" s="16" t="str">
        <x:v>Habitat collectif</x:v>
      </x:c>
      <x:c r="E35" s="16" t="str">
        <x:v>Résidence à passerelles</x:v>
      </x:c>
      <x:c r="F35" s="16" t="n">
        <x:v>8</x:v>
      </x:c>
      <x:c r="G35" s="16" t="n">
        <x:v>4</x:v>
      </x:c>
      <x:c r="H35" s="16" t="n">
        <x:v>10</x:v>
      </x:c>
      <x:c r="I35" s="16" t="str">
        <x:v>À qualifier par lieu</x:v>
      </x:c>
      <x:c r="J35" s="16" t="str">
        <x:v>https://github.com/darknigthmare/deadwall-last-enclosure/blob/e28f46223e73105ab2c5d83f3d50b99b58ef53e6/codex-3000/originaux/DEADWALL_CODEX_1.22/fiches/DW-0030.md</x:v>
      </x:c>
      <x:c r="K35" s="16" t="str">
        <x:v>Source min 25,18 m ; max 85,60 m ; modèle 25 × 18 m ; niveaux 0, 1, 2. Détails dans catalogue-existant.json.</x:v>
      </x:c>
    </x:row>
    <x:row r="36">
      <x:c r="A36" t="str">
        <x:v>DW-0031</x:v>
      </x:c>
      <x:c r="B36" t="str">
        <x:v>DW-0031</x:v>
      </x:c>
      <x:c r="C36" t="str">
        <x:v>Parent historique</x:v>
      </x:c>
      <x:c r="D36" t="str">
        <x:v>Habitat collectif</x:v>
      </x:c>
      <x:c r="E36" t="str">
        <x:v>Lofts industriels</x:v>
      </x:c>
      <x:c r="F36" t="n">
        <x:v>8</x:v>
      </x:c>
      <x:c r="G36" t="n">
        <x:v>5</x:v>
      </x:c>
      <x:c r="H36" t="n">
        <x:v>13</x:v>
      </x:c>
      <x:c r="I36" t="str">
        <x:v>À qualifier par lieu</x:v>
      </x:c>
      <x:c r="J36" t="str">
        <x:v>https://github.com/darknigthmare/deadwall-last-enclosure/blob/e28f46223e73105ab2c5d83f3d50b99b58ef53e6/codex-3000/originaux/DEADWALL_CODEX_1.22/fiches/DW-0031.md</x:v>
      </x:c>
      <x:c r="K36" t="str">
        <x:v>Source min 25,18 m ; max 85,60 m ; modèle 26 × 22 m ; niveaux 0, 1, 2. Détails dans catalogue-existant.json.</x:v>
      </x:c>
    </x:row>
    <x:row r="37">
      <x:c r="A37" t="str">
        <x:v>DW-0032</x:v>
      </x:c>
      <x:c r="B37" t="str">
        <x:v>DW-0032</x:v>
      </x:c>
      <x:c r="C37" t="str">
        <x:v>Parent historique</x:v>
      </x:c>
      <x:c r="D37" t="str">
        <x:v>Habitat collectif</x:v>
      </x:c>
      <x:c r="E37" t="str">
        <x:v>Caserne reconvertie en logements</x:v>
      </x:c>
      <x:c r="F37" t="n">
        <x:v>8</x:v>
      </x:c>
      <x:c r="G37" t="n">
        <x:v>5</x:v>
      </x:c>
      <x:c r="H37" t="n">
        <x:v>13</x:v>
      </x:c>
      <x:c r="I37" t="str">
        <x:v>À qualifier par lieu</x:v>
      </x:c>
      <x:c r="J37" t="str">
        <x:v>https://github.com/darknigthmare/deadwall-last-enclosure/blob/e28f46223e73105ab2c5d83f3d50b99b58ef53e6/codex-3000/originaux/DEADWALL_CODEX_1.22/fiches/DW-0032.md</x:v>
      </x:c>
      <x:c r="K37" t="str">
        <x:v>Source min 25,18 m ; max 85,60 m ; modèle 26 × 22 m ; niveaux 0, 1, 2. Détails dans catalogue-existant.json.</x:v>
      </x:c>
    </x:row>
    <x:row r="38">
      <x:c r="A38" t="str">
        <x:v>DW-0033</x:v>
      </x:c>
      <x:c r="B38" t="str">
        <x:v>DW-0033</x:v>
      </x:c>
      <x:c r="C38" t="str">
        <x:v>Parent historique</x:v>
      </x:c>
      <x:c r="D38" t="str">
        <x:v>Habitat collectif</x:v>
      </x:c>
      <x:c r="E38" t="str">
        <x:v>Résidence de tourisme</x:v>
      </x:c>
      <x:c r="F38" t="n">
        <x:v>8</x:v>
      </x:c>
      <x:c r="G38" t="n">
        <x:v>4</x:v>
      </x:c>
      <x:c r="H38" t="n">
        <x:v>12</x:v>
      </x:c>
      <x:c r="I38" t="str">
        <x:v>À qualifier par lieu</x:v>
      </x:c>
      <x:c r="J38" t="str">
        <x:v>https://github.com/darknigthmare/deadwall-last-enclosure/blob/e28f46223e73105ab2c5d83f3d50b99b58ef53e6/codex-3000/originaux/DEADWALL_CODEX_1.22/fiches/DW-0033.md</x:v>
      </x:c>
      <x:c r="K38" t="str">
        <x:v>Source min 25,18 m ; max 85,60 m ; modèle 25 × 18 m ; niveaux 0, 1, 2. Détails dans catalogue-existant.json.</x:v>
      </x:c>
    </x:row>
    <x:row r="39">
      <x:c r="A39" t="str">
        <x:v>DW-0034</x:v>
      </x:c>
      <x:c r="B39" t="str">
        <x:v>DW-0034</x:v>
      </x:c>
      <x:c r="C39" t="str">
        <x:v>Parent historique</x:v>
      </x:c>
      <x:c r="D39" t="str">
        <x:v>Habitat collectif</x:v>
      </x:c>
      <x:c r="E39" t="str">
        <x:v>Immeuble à coursive extérieure</x:v>
      </x:c>
      <x:c r="F39" t="n">
        <x:v>8</x:v>
      </x:c>
      <x:c r="G39" t="n">
        <x:v>4</x:v>
      </x:c>
      <x:c r="H39" t="n">
        <x:v>8</x:v>
      </x:c>
      <x:c r="I39" t="str">
        <x:v>À qualifier par lieu</x:v>
      </x:c>
      <x:c r="J39" t="str">
        <x:v>https://github.com/darknigthmare/deadwall-last-enclosure/blob/e28f46223e73105ab2c5d83f3d50b99b58ef53e6/codex-3000/originaux/DEADWALL_CODEX_1.22/fiches/DW-0034.md</x:v>
      </x:c>
      <x:c r="K39" t="str">
        <x:v>Source min 25,18 m ; max 85,60 m ; modèle 25 × 18 m ; niveaux 0, 1, 2. Détails dans catalogue-existant.json.</x:v>
      </x:c>
    </x:row>
    <x:row r="40">
      <x:c r="A40" t="str">
        <x:v>DW-0035</x:v>
      </x:c>
      <x:c r="B40" t="str">
        <x:v>DW-0035</x:v>
      </x:c>
      <x:c r="C40" t="str">
        <x:v>Parent historique</x:v>
      </x:c>
      <x:c r="D40" t="str">
        <x:v>Habitat collectif</x:v>
      </x:c>
      <x:c r="E40" t="str">
        <x:v>Habitat en terrasses</x:v>
      </x:c>
      <x:c r="F40" t="n">
        <x:v>8</x:v>
      </x:c>
      <x:c r="G40" t="n">
        <x:v>4</x:v>
      </x:c>
      <x:c r="H40" t="n">
        <x:v>10</x:v>
      </x:c>
      <x:c r="I40" t="str">
        <x:v>À qualifier par lieu</x:v>
      </x:c>
      <x:c r="J40" t="str">
        <x:v>https://github.com/darknigthmare/deadwall-last-enclosure/blob/e28f46223e73105ab2c5d83f3d50b99b58ef53e6/codex-3000/originaux/DEADWALL_CODEX_1.22/fiches/DW-0035.md</x:v>
      </x:c>
      <x:c r="K40" t="str">
        <x:v>Source min 25,18 m ; max 85,60 m ; modèle 25 × 18 m ; niveaux 0, 1, 2. Détails dans catalogue-existant.json.</x:v>
      </x:c>
    </x:row>
    <x:row r="41">
      <x:c r="A41" t="str">
        <x:v>DW-0036</x:v>
      </x:c>
      <x:c r="B41" t="str">
        <x:v>DW-0036</x:v>
      </x:c>
      <x:c r="C41" t="str">
        <x:v>Parent historique</x:v>
      </x:c>
      <x:c r="D41" t="str">
        <x:v>Habitat collectif</x:v>
      </x:c>
      <x:c r="E41" t="str">
        <x:v>Résidence sur parking souterrain</x:v>
      </x:c>
      <x:c r="F41" t="n">
        <x:v>8</x:v>
      </x:c>
      <x:c r="G41" t="n">
        <x:v>5</x:v>
      </x:c>
      <x:c r="H41" t="n">
        <x:v>13</x:v>
      </x:c>
      <x:c r="I41" t="str">
        <x:v>À qualifier par lieu</x:v>
      </x:c>
      <x:c r="J41" t="str">
        <x:v>https://github.com/darknigthmare/deadwall-last-enclosure/blob/e28f46223e73105ab2c5d83f3d50b99b58ef53e6/codex-3000/originaux/DEADWALL_CODEX_1.22/fiches/DW-0036.md</x:v>
      </x:c>
      <x:c r="K41" t="str">
        <x:v>Source min 25,18 m ; max 85,60 m ; modèle 26 × 22 m ; niveaux -1, 0. Détails dans catalogue-existant.json.</x:v>
      </x:c>
    </x:row>
    <x:row r="42">
      <x:c r="A42" t="str">
        <x:v>DW-0037</x:v>
      </x:c>
      <x:c r="B42" t="str">
        <x:v>DW-0037</x:v>
      </x:c>
      <x:c r="C42" t="str">
        <x:v>Parent historique</x:v>
      </x:c>
      <x:c r="D42" t="str">
        <x:v>Habitat collectif</x:v>
      </x:c>
      <x:c r="E42" t="str">
        <x:v>Foyer parental</x:v>
      </x:c>
      <x:c r="F42" t="n">
        <x:v>8</x:v>
      </x:c>
      <x:c r="G42" t="n">
        <x:v>5</x:v>
      </x:c>
      <x:c r="H42" t="n">
        <x:v>15</x:v>
      </x:c>
      <x:c r="I42" t="str">
        <x:v>À qualifier par lieu</x:v>
      </x:c>
      <x:c r="J42" t="str">
        <x:v>https://github.com/darknigthmare/deadwall-last-enclosure/blob/e28f46223e73105ab2c5d83f3d50b99b58ef53e6/codex-3000/originaux/DEADWALL_CODEX_1.22/fiches/DW-0037.md</x:v>
      </x:c>
      <x:c r="K42" t="str">
        <x:v>Source min 25,18 m ; max 85,60 m ; modèle 26 × 22 m ; niveaux 0, 1, 2. Détails dans catalogue-existant.json.</x:v>
      </x:c>
    </x:row>
    <x:row r="43">
      <x:c r="A43" t="str">
        <x:v>DW-0038</x:v>
      </x:c>
      <x:c r="B43" t="str">
        <x:v>DW-0038</x:v>
      </x:c>
      <x:c r="C43" t="str">
        <x:v>Parent historique</x:v>
      </x:c>
      <x:c r="D43" t="str">
        <x:v>Habitat collectif</x:v>
      </x:c>
      <x:c r="E43" t="str">
        <x:v>Internat résidentiel</x:v>
      </x:c>
      <x:c r="F43" t="n">
        <x:v>8</x:v>
      </x:c>
      <x:c r="G43" t="n">
        <x:v>4</x:v>
      </x:c>
      <x:c r="H43" t="n">
        <x:v>12</x:v>
      </x:c>
      <x:c r="I43" t="str">
        <x:v>À qualifier par lieu</x:v>
      </x:c>
      <x:c r="J43" t="str">
        <x:v>https://github.com/darknigthmare/deadwall-last-enclosure/blob/e28f46223e73105ab2c5d83f3d50b99b58ef53e6/codex-3000/originaux/DEADWALL_CODEX_1.22/fiches/DW-0038.md</x:v>
      </x:c>
      <x:c r="K43" t="str">
        <x:v>Source min 25,18 m ; max 85,60 m ; modèle 25 × 18 m ; niveaux 0, 1, 2. Détails dans catalogue-existant.json.</x:v>
      </x:c>
    </x:row>
    <x:row r="44">
      <x:c r="A44" t="str">
        <x:v>DW-0039</x:v>
      </x:c>
      <x:c r="B44" t="str">
        <x:v>DW-0039</x:v>
      </x:c>
      <x:c r="C44" t="str">
        <x:v>Parent historique</x:v>
      </x:c>
      <x:c r="D44" t="str">
        <x:v>Habitat collectif</x:v>
      </x:c>
      <x:c r="E44" t="str">
        <x:v>Résidence médicale légère</x:v>
      </x:c>
      <x:c r="F44" t="n">
        <x:v>8</x:v>
      </x:c>
      <x:c r="G44" t="n">
        <x:v>4</x:v>
      </x:c>
      <x:c r="H44" t="n">
        <x:v>12</x:v>
      </x:c>
      <x:c r="I44" t="str">
        <x:v>À qualifier par lieu</x:v>
      </x:c>
      <x:c r="J44" t="str">
        <x:v>https://github.com/darknigthmare/deadwall-last-enclosure/blob/e28f46223e73105ab2c5d83f3d50b99b58ef53e6/codex-3000/originaux/DEADWALL_CODEX_1.22/fiches/DW-0039.md</x:v>
      </x:c>
      <x:c r="K44" t="str">
        <x:v>Source min 25,18 m ; max 85,60 m ; modèle 25 × 18 m ; niveaux 0, 1, 2. Détails dans catalogue-existant.json.</x:v>
      </x:c>
    </x:row>
    <x:row r="45">
      <x:c r="A45" t="str">
        <x:v>DW-0040</x:v>
      </x:c>
      <x:c r="B45" t="str">
        <x:v>DW-0040</x:v>
      </x:c>
      <x:c r="C45" t="str">
        <x:v>Parent historique</x:v>
      </x:c>
      <x:c r="D45" t="str">
        <x:v>Habitat collectif</x:v>
      </x:c>
      <x:c r="E45" t="str">
        <x:v>Îlot mixte dense</x:v>
      </x:c>
      <x:c r="F45" t="n">
        <x:v>8</x:v>
      </x:c>
      <x:c r="G45" t="n">
        <x:v>5</x:v>
      </x:c>
      <x:c r="H45" t="n">
        <x:v>15</x:v>
      </x:c>
      <x:c r="I45" t="str">
        <x:v>À qualifier par lieu</x:v>
      </x:c>
      <x:c r="J45" t="str">
        <x:v>https://github.com/darknigthmare/deadwall-last-enclosure/blob/e28f46223e73105ab2c5d83f3d50b99b58ef53e6/codex-3000/originaux/DEADWALL_CODEX_1.22/fiches/DW-0040.md</x:v>
      </x:c>
      <x:c r="K45" t="str">
        <x:v>Source min 25,18 m ; max 85,60 m ; modèle 26 × 22 m ; niveaux 0, 1, 2. Détails dans catalogue-existant.json.</x:v>
      </x:c>
    </x:row>
    <x:row r="46">
      <x:c r="A46" t="str">
        <x:v>DW-0041</x:v>
      </x:c>
      <x:c r="B46" t="str">
        <x:v>DW-0041</x:v>
      </x:c>
      <x:c r="C46" t="str">
        <x:v>Parent historique</x:v>
      </x:c>
      <x:c r="D46" t="str">
        <x:v>Commerces non alimentaires</x:v>
      </x:c>
      <x:c r="E46" t="str">
        <x:v>Centre commercial régional</x:v>
      </x:c>
      <x:c r="F46" t="n">
        <x:v>8</x:v>
      </x:c>
      <x:c r="G46" t="n">
        <x:v>7</x:v>
      </x:c>
      <x:c r="H46" t="n">
        <x:v>17</x:v>
      </x:c>
      <x:c r="I46" t="str">
        <x:v>À qualifier par lieu</x:v>
      </x:c>
      <x:c r="J46" t="str">
        <x:v>https://github.com/darknigthmare/deadwall-last-enclosure/blob/e28f46223e73105ab2c5d83f3d50b99b58ef53e6/codex-3000/originaux/DEADWALL_CODEX_1.22/fiches/DW-0041.md</x:v>
      </x:c>
      <x:c r="K46" t="str">
        <x:v>Source min 25,20 m ; max 180,120 m ; modèle 29 × 29 m ; niveaux 0, 1. Détails dans catalogue-existant.json.</x:v>
      </x:c>
    </x:row>
    <x:row r="47">
      <x:c r="A47" t="str">
        <x:v>DW-0042</x:v>
      </x:c>
      <x:c r="B47" t="str">
        <x:v>DW-0042</x:v>
      </x:c>
      <x:c r="C47" t="str">
        <x:v>Parent historique</x:v>
      </x:c>
      <x:c r="D47" t="str">
        <x:v>Commerces non alimentaires</x:v>
      </x:c>
      <x:c r="E47" t="str">
        <x:v>Galerie marchande de quartier</x:v>
      </x:c>
      <x:c r="F47" t="n">
        <x:v>8</x:v>
      </x:c>
      <x:c r="G47" t="n">
        <x:v>4</x:v>
      </x:c>
      <x:c r="H47" t="n">
        <x:v>10</x:v>
      </x:c>
      <x:c r="I47" t="str">
        <x:v>À qualifier par lieu</x:v>
      </x:c>
      <x:c r="J47" t="str">
        <x:v>https://github.com/darknigthmare/deadwall-last-enclosure/blob/e28f46223e73105ab2c5d83f3d50b99b58ef53e6/codex-3000/originaux/DEADWALL_CODEX_1.22/fiches/DW-0042.md</x:v>
      </x:c>
      <x:c r="K47" t="str">
        <x:v>Source min 25,20 m ; max 180,120 m ; modèle 25 × 20 m ; niveaux 0. Détails dans catalogue-existant.json.</x:v>
      </x:c>
    </x:row>
    <x:row r="48">
      <x:c r="A48" t="str">
        <x:v>DW-0043</x:v>
      </x:c>
      <x:c r="B48" t="str">
        <x:v>DW-0043</x:v>
      </x:c>
      <x:c r="C48" t="str">
        <x:v>Parent historique</x:v>
      </x:c>
      <x:c r="D48" t="str">
        <x:v>Commerces non alimentaires</x:v>
      </x:c>
      <x:c r="E48" t="str">
        <x:v>Parc commercial ouvert</x:v>
      </x:c>
      <x:c r="F48" t="n">
        <x:v>8</x:v>
      </x:c>
      <x:c r="G48" t="n">
        <x:v>4</x:v>
      </x:c>
      <x:c r="H48" t="n">
        <x:v>12</x:v>
      </x:c>
      <x:c r="I48" t="str">
        <x:v>À qualifier par lieu</x:v>
      </x:c>
      <x:c r="J48" t="str">
        <x:v>https://github.com/darknigthmare/deadwall-last-enclosure/blob/e28f46223e73105ab2c5d83f3d50b99b58ef53e6/codex-3000/originaux/DEADWALL_CODEX_1.22/fiches/DW-0043.md</x:v>
      </x:c>
      <x:c r="K48" t="str">
        <x:v>Source min 25,20 m ; max 180,120 m ; modèle 25 × 20 m ; niveaux 0. Détails dans catalogue-existant.json.</x:v>
      </x:c>
    </x:row>
    <x:row r="49">
      <x:c r="A49" t="str">
        <x:v>DW-0044</x:v>
      </x:c>
      <x:c r="B49" t="str">
        <x:v>DW-0044</x:v>
      </x:c>
      <x:c r="C49" t="str">
        <x:v>Parent historique</x:v>
      </x:c>
      <x:c r="D49" t="str">
        <x:v>Commerces non alimentaires</x:v>
      </x:c>
      <x:c r="E49" t="str">
        <x:v>Grand magasin à étages</x:v>
      </x:c>
      <x:c r="F49" t="n">
        <x:v>8</x:v>
      </x:c>
      <x:c r="G49" t="n">
        <x:v>5</x:v>
      </x:c>
      <x:c r="H49" t="n">
        <x:v>15</x:v>
      </x:c>
      <x:c r="I49" t="str">
        <x:v>À qualifier par lieu</x:v>
      </x:c>
      <x:c r="J49" t="str">
        <x:v>https://github.com/darknigthmare/deadwall-last-enclosure/blob/e28f46223e73105ab2c5d83f3d50b99b58ef53e6/codex-3000/originaux/DEADWALL_CODEX_1.22/fiches/DW-0044.md</x:v>
      </x:c>
      <x:c r="K49" t="str">
        <x:v>Source min 25,20 m ; max 180,120 m ; modèle 26 × 22 m ; niveaux 0, 1, 2. Détails dans catalogue-existant.json.</x:v>
      </x:c>
    </x:row>
    <x:row r="50">
      <x:c r="A50" t="str">
        <x:v>DW-0045</x:v>
      </x:c>
      <x:c r="B50" t="str">
        <x:v>DW-0045</x:v>
      </x:c>
      <x:c r="C50" t="str">
        <x:v>Parent historique</x:v>
      </x:c>
      <x:c r="D50" t="str">
        <x:v>Commerces non alimentaires</x:v>
      </x:c>
      <x:c r="E50" t="str">
        <x:v>Magasin de bricolage</x:v>
      </x:c>
      <x:c r="F50" t="n">
        <x:v>8</x:v>
      </x:c>
      <x:c r="G50" t="n">
        <x:v>5</x:v>
      </x:c>
      <x:c r="H50" t="n">
        <x:v>15</x:v>
      </x:c>
      <x:c r="I50" t="str">
        <x:v>À qualifier par lieu</x:v>
      </x:c>
      <x:c r="J50" t="str">
        <x:v>https://github.com/darknigthmare/deadwall-last-enclosure/blob/e28f46223e73105ab2c5d83f3d50b99b58ef53e6/codex-3000/originaux/DEADWALL_CODEX_1.22/fiches/DW-0045.md</x:v>
      </x:c>
      <x:c r="K50" t="str">
        <x:v>Source min 25,20 m ; max 180,120 m ; modèle 26 × 22 m ; niveaux 0. Détails dans catalogue-existant.json.</x:v>
      </x:c>
    </x:row>
    <x:row r="51">
      <x:c r="A51" t="str">
        <x:v>DW-0046</x:v>
      </x:c>
      <x:c r="B51" t="str">
        <x:v>DW-0046</x:v>
      </x:c>
      <x:c r="C51" t="str">
        <x:v>Parent historique</x:v>
      </x:c>
      <x:c r="D51" t="str">
        <x:v>Commerces non alimentaires</x:v>
      </x:c>
      <x:c r="E51" t="str">
        <x:v>Jardinerie</x:v>
      </x:c>
      <x:c r="F51" t="n">
        <x:v>8</x:v>
      </x:c>
      <x:c r="G51" t="n">
        <x:v>5</x:v>
      </x:c>
      <x:c r="H51" t="n">
        <x:v>15</x:v>
      </x:c>
      <x:c r="I51" t="str">
        <x:v>À qualifier par lieu</x:v>
      </x:c>
      <x:c r="J51" t="str">
        <x:v>https://github.com/darknigthmare/deadwall-last-enclosure/blob/e28f46223e73105ab2c5d83f3d50b99b58ef53e6/codex-3000/originaux/DEADWALL_CODEX_1.22/fiches/DW-0046.md</x:v>
      </x:c>
      <x:c r="K51" t="str">
        <x:v>Source min 25,20 m ; max 180,120 m ; modèle 26 × 22 m ; niveaux 0. Détails dans catalogue-existant.json.</x:v>
      </x:c>
    </x:row>
    <x:row r="52">
      <x:c r="A52" t="str">
        <x:v>DW-0047</x:v>
      </x:c>
      <x:c r="B52" t="str">
        <x:v>DW-0047</x:v>
      </x:c>
      <x:c r="C52" t="str">
        <x:v>Parent historique</x:v>
      </x:c>
      <x:c r="D52" t="str">
        <x:v>Commerces non alimentaires</x:v>
      </x:c>
      <x:c r="E52" t="str">
        <x:v>Magasin d'ameublement</x:v>
      </x:c>
      <x:c r="F52" t="n">
        <x:v>8</x:v>
      </x:c>
      <x:c r="G52" t="n">
        <x:v>5</x:v>
      </x:c>
      <x:c r="H52" t="n">
        <x:v>15</x:v>
      </x:c>
      <x:c r="I52" t="str">
        <x:v>À qualifier par lieu</x:v>
      </x:c>
      <x:c r="J52" t="str">
        <x:v>https://github.com/darknigthmare/deadwall-last-enclosure/blob/e28f46223e73105ab2c5d83f3d50b99b58ef53e6/codex-3000/originaux/DEADWALL_CODEX_1.22/fiches/DW-0047.md</x:v>
      </x:c>
      <x:c r="K52" t="str">
        <x:v>Source min 25,20 m ; max 180,120 m ; modèle 26 × 22 m ; niveaux 0. Détails dans catalogue-existant.json.</x:v>
      </x:c>
    </x:row>
    <x:row r="53">
      <x:c r="A53" t="str">
        <x:v>DW-0048</x:v>
      </x:c>
      <x:c r="B53" t="str">
        <x:v>DW-0048</x:v>
      </x:c>
      <x:c r="C53" t="str">
        <x:v>Parent historique</x:v>
      </x:c>
      <x:c r="D53" t="str">
        <x:v>Commerces non alimentaires</x:v>
      </x:c>
      <x:c r="E53" t="str">
        <x:v>Magasin d'électroménager</x:v>
      </x:c>
      <x:c r="F53" t="n">
        <x:v>8</x:v>
      </x:c>
      <x:c r="G53" t="n">
        <x:v>4</x:v>
      </x:c>
      <x:c r="H53" t="n">
        <x:v>12</x:v>
      </x:c>
      <x:c r="I53" t="str">
        <x:v>À qualifier par lieu</x:v>
      </x:c>
      <x:c r="J53" t="str">
        <x:v>https://github.com/darknigthmare/deadwall-last-enclosure/blob/e28f46223e73105ab2c5d83f3d50b99b58ef53e6/codex-3000/originaux/DEADWALL_CODEX_1.22/fiches/DW-0048.md</x:v>
      </x:c>
      <x:c r="K53" t="str">
        <x:v>Source min 25,20 m ; max 180,120 m ; modèle 25 × 20 m ; niveaux 0. Détails dans catalogue-existant.json.</x:v>
      </x:c>
    </x:row>
    <x:row r="54">
      <x:c r="A54" t="str">
        <x:v>DW-0049</x:v>
      </x:c>
      <x:c r="B54" t="str">
        <x:v>DW-0049</x:v>
      </x:c>
      <x:c r="C54" t="str">
        <x:v>Parent historique</x:v>
      </x:c>
      <x:c r="D54" t="str">
        <x:v>Commerces non alimentaires</x:v>
      </x:c>
      <x:c r="E54" t="str">
        <x:v>Librairie indépendante</x:v>
      </x:c>
      <x:c r="F54" t="n">
        <x:v>8</x:v>
      </x:c>
      <x:c r="G54" t="n">
        <x:v>4</x:v>
      </x:c>
      <x:c r="H54" t="n">
        <x:v>12</x:v>
      </x:c>
      <x:c r="I54" t="str">
        <x:v>À qualifier par lieu</x:v>
      </x:c>
      <x:c r="J54" t="str">
        <x:v>https://github.com/darknigthmare/deadwall-last-enclosure/blob/e28f46223e73105ab2c5d83f3d50b99b58ef53e6/codex-3000/originaux/DEADWALL_CODEX_1.22/fiches/DW-0049.md</x:v>
      </x:c>
      <x:c r="K54" t="str">
        <x:v>Source min 25,20 m ; max 180,120 m ; modèle 25 × 20 m ; niveaux 0. Détails dans catalogue-existant.json.</x:v>
      </x:c>
    </x:row>
    <x:row r="55">
      <x:c r="A55" t="str">
        <x:v>DW-0050</x:v>
      </x:c>
      <x:c r="B55" t="str">
        <x:v>DW-0050</x:v>
      </x:c>
      <x:c r="C55" t="str">
        <x:v>Parent historique</x:v>
      </x:c>
      <x:c r="D55" t="str">
        <x:v>Commerces non alimentaires</x:v>
      </x:c>
      <x:c r="E55" t="str">
        <x:v>Papeterie de gros</x:v>
      </x:c>
      <x:c r="F55" t="n">
        <x:v>8</x:v>
      </x:c>
      <x:c r="G55" t="n">
        <x:v>4</x:v>
      </x:c>
      <x:c r="H55" t="n">
        <x:v>12</x:v>
      </x:c>
      <x:c r="I55" t="str">
        <x:v>À qualifier par lieu</x:v>
      </x:c>
      <x:c r="J55" t="str">
        <x:v>https://github.com/darknigthmare/deadwall-last-enclosure/blob/e28f46223e73105ab2c5d83f3d50b99b58ef53e6/codex-3000/originaux/DEADWALL_CODEX_1.22/fiches/DW-0050.md</x:v>
      </x:c>
      <x:c r="K55" t="str">
        <x:v>Source min 25,20 m ; max 180,120 m ; modèle 25 × 20 m ; niveaux 0. Détails dans catalogue-existant.json.</x:v>
      </x:c>
    </x:row>
    <x:row r="56">
      <x:c r="A56" t="str">
        <x:v>DW-0051</x:v>
      </x:c>
      <x:c r="B56" t="str">
        <x:v>DW-0051</x:v>
      </x:c>
      <x:c r="C56" t="str">
        <x:v>Parent historique</x:v>
      </x:c>
      <x:c r="D56" t="str">
        <x:v>Commerces non alimentaires</x:v>
      </x:c>
      <x:c r="E56" t="str">
        <x:v>Magasin de vêtements</x:v>
      </x:c>
      <x:c r="F56" t="n">
        <x:v>8</x:v>
      </x:c>
      <x:c r="G56" t="n">
        <x:v>4</x:v>
      </x:c>
      <x:c r="H56" t="n">
        <x:v>12</x:v>
      </x:c>
      <x:c r="I56" t="str">
        <x:v>À qualifier par lieu</x:v>
      </x:c>
      <x:c r="J56" t="str">
        <x:v>https://github.com/darknigthmare/deadwall-last-enclosure/blob/e28f46223e73105ab2c5d83f3d50b99b58ef53e6/codex-3000/originaux/DEADWALL_CODEX_1.22/fiches/DW-0051.md</x:v>
      </x:c>
      <x:c r="K56" t="str">
        <x:v>Source min 25,20 m ; max 180,120 m ; modèle 25 × 20 m ; niveaux 0. Détails dans catalogue-existant.json.</x:v>
      </x:c>
    </x:row>
    <x:row r="57">
      <x:c r="A57" t="str">
        <x:v>DW-0052</x:v>
      </x:c>
      <x:c r="B57" t="str">
        <x:v>DW-0052</x:v>
      </x:c>
      <x:c r="C57" t="str">
        <x:v>Parent historique</x:v>
      </x:c>
      <x:c r="D57" t="str">
        <x:v>Commerces non alimentaires</x:v>
      </x:c>
      <x:c r="E57" t="str">
        <x:v>Magasin de sport</x:v>
      </x:c>
      <x:c r="F57" t="n">
        <x:v>8</x:v>
      </x:c>
      <x:c r="G57" t="n">
        <x:v>4</x:v>
      </x:c>
      <x:c r="H57" t="n">
        <x:v>12</x:v>
      </x:c>
      <x:c r="I57" t="str">
        <x:v>À qualifier par lieu</x:v>
      </x:c>
      <x:c r="J57" t="str">
        <x:v>https://github.com/darknigthmare/deadwall-last-enclosure/blob/e28f46223e73105ab2c5d83f3d50b99b58ef53e6/codex-3000/originaux/DEADWALL_CODEX_1.22/fiches/DW-0052.md</x:v>
      </x:c>
      <x:c r="K57" t="str">
        <x:v>Source min 25,20 m ; max 180,120 m ; modèle 25 × 20 m ; niveaux 0. Détails dans catalogue-existant.json.</x:v>
      </x:c>
    </x:row>
    <x:row r="58">
      <x:c r="A58" t="str">
        <x:v>DW-0053</x:v>
      </x:c>
      <x:c r="B58" t="str">
        <x:v>DW-0053</x:v>
      </x:c>
      <x:c r="C58" t="str">
        <x:v>Parent historique</x:v>
      </x:c>
      <x:c r="D58" t="str">
        <x:v>Commerces non alimentaires</x:v>
      </x:c>
      <x:c r="E58" t="str">
        <x:v>Pharmacie commerciale</x:v>
      </x:c>
      <x:c r="F58" t="n">
        <x:v>8</x:v>
      </x:c>
      <x:c r="G58" t="n">
        <x:v>4</x:v>
      </x:c>
      <x:c r="H58" t="n">
        <x:v>12</x:v>
      </x:c>
      <x:c r="I58" t="str">
        <x:v>À qualifier par lieu</x:v>
      </x:c>
      <x:c r="J58" t="str">
        <x:v>https://github.com/darknigthmare/deadwall-last-enclosure/blob/e28f46223e73105ab2c5d83f3d50b99b58ef53e6/codex-3000/originaux/DEADWALL_CODEX_1.22/fiches/DW-0053.md</x:v>
      </x:c>
      <x:c r="K58" t="str">
        <x:v>Source min 25,20 m ; max 180,120 m ; modèle 25 × 20 m ; niveaux 0. Détails dans catalogue-existant.json.</x:v>
      </x:c>
    </x:row>
    <x:row r="59">
      <x:c r="A59" t="str">
        <x:v>DW-0054</x:v>
      </x:c>
      <x:c r="B59" t="str">
        <x:v>DW-0054</x:v>
      </x:c>
      <x:c r="C59" t="str">
        <x:v>Parent historique</x:v>
      </x:c>
      <x:c r="D59" t="str">
        <x:v>Commerces non alimentaires</x:v>
      </x:c>
      <x:c r="E59" t="str">
        <x:v>Animalerie</x:v>
      </x:c>
      <x:c r="F59" t="n">
        <x:v>8</x:v>
      </x:c>
      <x:c r="G59" t="n">
        <x:v>4</x:v>
      </x:c>
      <x:c r="H59" t="n">
        <x:v>12</x:v>
      </x:c>
      <x:c r="I59" t="str">
        <x:v>À qualifier par lieu</x:v>
      </x:c>
      <x:c r="J59" t="str">
        <x:v>https://github.com/darknigthmare/deadwall-last-enclosure/blob/e28f46223e73105ab2c5d83f3d50b99b58ef53e6/codex-3000/originaux/DEADWALL_CODEX_1.22/fiches/DW-0054.md</x:v>
      </x:c>
      <x:c r="K59" t="str">
        <x:v>Source min 25,20 m ; max 180,120 m ; modèle 25 × 20 m ; niveaux 0. Détails dans catalogue-existant.json.</x:v>
      </x:c>
    </x:row>
    <x:row r="60">
      <x:c r="A60" t="str">
        <x:v>DW-0055</x:v>
      </x:c>
      <x:c r="B60" t="str">
        <x:v>DW-0055</x:v>
      </x:c>
      <x:c r="C60" t="str">
        <x:v>Parent historique</x:v>
      </x:c>
      <x:c r="D60" t="str">
        <x:v>Commerces non alimentaires</x:v>
      </x:c>
      <x:c r="E60" t="str">
        <x:v>Boutique informatique</x:v>
      </x:c>
      <x:c r="F60" t="n">
        <x:v>8</x:v>
      </x:c>
      <x:c r="G60" t="n">
        <x:v>4</x:v>
      </x:c>
      <x:c r="H60" t="n">
        <x:v>12</x:v>
      </x:c>
      <x:c r="I60" t="str">
        <x:v>À qualifier par lieu</x:v>
      </x:c>
      <x:c r="J60" t="str">
        <x:v>https://github.com/darknigthmare/deadwall-last-enclosure/blob/e28f46223e73105ab2c5d83f3d50b99b58ef53e6/codex-3000/originaux/DEADWALL_CODEX_1.22/fiches/DW-0055.md</x:v>
      </x:c>
      <x:c r="K60" t="str">
        <x:v>Source min 25,20 m ; max 180,120 m ; modèle 25 × 20 m ; niveaux 0. Détails dans catalogue-existant.json.</x:v>
      </x:c>
    </x:row>
    <x:row r="61">
      <x:c r="A61" t="str">
        <x:v>DW-0056</x:v>
      </x:c>
      <x:c r="B61" t="str">
        <x:v>DW-0056</x:v>
      </x:c>
      <x:c r="C61" t="str">
        <x:v>Parent historique</x:v>
      </x:c>
      <x:c r="D61" t="str">
        <x:v>Commerces non alimentaires</x:v>
      </x:c>
      <x:c r="E61" t="str">
        <x:v>Quincaillerie ancienne</x:v>
      </x:c>
      <x:c r="F61" t="n">
        <x:v>8</x:v>
      </x:c>
      <x:c r="G61" t="n">
        <x:v>4</x:v>
      </x:c>
      <x:c r="H61" t="n">
        <x:v>12</x:v>
      </x:c>
      <x:c r="I61" t="str">
        <x:v>À qualifier par lieu</x:v>
      </x:c>
      <x:c r="J61" t="str">
        <x:v>https://github.com/darknigthmare/deadwall-last-enclosure/blob/e28f46223e73105ab2c5d83f3d50b99b58ef53e6/codex-3000/originaux/DEADWALL_CODEX_1.22/fiches/DW-0056.md</x:v>
      </x:c>
      <x:c r="K61" t="str">
        <x:v>Source min 25,20 m ; max 180,120 m ; modèle 25 × 20 m ; niveaux 0. Détails dans catalogue-existant.json.</x:v>
      </x:c>
    </x:row>
    <x:row r="62">
      <x:c r="A62" t="str">
        <x:v>DW-0057</x:v>
      </x:c>
      <x:c r="B62" t="str">
        <x:v>DW-0057</x:v>
      </x:c>
      <x:c r="C62" t="str">
        <x:v>Parent historique</x:v>
      </x:c>
      <x:c r="D62" t="str">
        <x:v>Commerces non alimentaires</x:v>
      </x:c>
      <x:c r="E62" t="str">
        <x:v>Magasin de déstockage</x:v>
      </x:c>
      <x:c r="F62" t="n">
        <x:v>8</x:v>
      </x:c>
      <x:c r="G62" t="n">
        <x:v>4</x:v>
      </x:c>
      <x:c r="H62" t="n">
        <x:v>12</x:v>
      </x:c>
      <x:c r="I62" t="str">
        <x:v>À qualifier par lieu</x:v>
      </x:c>
      <x:c r="J62" t="str">
        <x:v>https://github.com/darknigthmare/deadwall-last-enclosure/blob/e28f46223e73105ab2c5d83f3d50b99b58ef53e6/codex-3000/originaux/DEADWALL_CODEX_1.22/fiches/DW-0057.md</x:v>
      </x:c>
      <x:c r="K62" t="str">
        <x:v>Source min 25,20 m ; max 180,120 m ; modèle 25 × 20 m ; niveaux 0. Détails dans catalogue-existant.json.</x:v>
      </x:c>
    </x:row>
    <x:row r="63">
      <x:c r="A63" t="str">
        <x:v>DW-0058</x:v>
      </x:c>
      <x:c r="B63" t="str">
        <x:v>DW-0058</x:v>
      </x:c>
      <x:c r="C63" t="str">
        <x:v>Parent historique</x:v>
      </x:c>
      <x:c r="D63" t="str">
        <x:v>Commerces non alimentaires</x:v>
      </x:c>
      <x:c r="E63" t="str">
        <x:v>Marché couvert</x:v>
      </x:c>
      <x:c r="F63" t="n">
        <x:v>8</x:v>
      </x:c>
      <x:c r="G63" t="n">
        <x:v>5</x:v>
      </x:c>
      <x:c r="H63" t="n">
        <x:v>13</x:v>
      </x:c>
      <x:c r="I63" t="str">
        <x:v>À qualifier par lieu</x:v>
      </x:c>
      <x:c r="J63" t="str">
        <x:v>https://github.com/darknigthmare/deadwall-last-enclosure/blob/e28f46223e73105ab2c5d83f3d50b99b58ef53e6/codex-3000/originaux/DEADWALL_CODEX_1.22/fiches/DW-0058.md</x:v>
      </x:c>
      <x:c r="K63" t="str">
        <x:v>Source min 25,20 m ; max 180,120 m ; modèle 26 × 22 m ; niveaux 0. Détails dans catalogue-existant.json.</x:v>
      </x:c>
    </x:row>
    <x:row r="64">
      <x:c r="A64" t="str">
        <x:v>DW-0059</x:v>
      </x:c>
      <x:c r="B64" t="str">
        <x:v>DW-0059</x:v>
      </x:c>
      <x:c r="C64" t="str">
        <x:v>Parent historique</x:v>
      </x:c>
      <x:c r="D64" t="str">
        <x:v>Commerces non alimentaires</x:v>
      </x:c>
      <x:c r="E64" t="str">
        <x:v>Négoce de matériaux</x:v>
      </x:c>
      <x:c r="F64" t="n">
        <x:v>8</x:v>
      </x:c>
      <x:c r="G64" t="n">
        <x:v>4</x:v>
      </x:c>
      <x:c r="H64" t="n">
        <x:v>12</x:v>
      </x:c>
      <x:c r="I64" t="str">
        <x:v>À qualifier par lieu</x:v>
      </x:c>
      <x:c r="J64" t="str">
        <x:v>https://github.com/darknigthmare/deadwall-last-enclosure/blob/e28f46223e73105ab2c5d83f3d50b99b58ef53e6/codex-3000/originaux/DEADWALL_CODEX_1.22/fiches/DW-0059.md</x:v>
      </x:c>
      <x:c r="K64" t="str">
        <x:v>Source min 25,20 m ; max 180,120 m ; modèle 25 × 20 m ; niveaux 0. Détails dans catalogue-existant.json.</x:v>
      </x:c>
    </x:row>
    <x:row r="65">
      <x:c r="A65" t="str">
        <x:v>DW-0060</x:v>
      </x:c>
      <x:c r="B65" t="str">
        <x:v>DW-0060</x:v>
      </x:c>
      <x:c r="C65" t="str">
        <x:v>Parent historique</x:v>
      </x:c>
      <x:c r="D65" t="str">
        <x:v>Commerces non alimentaires</x:v>
      </x:c>
      <x:c r="E65" t="str">
        <x:v>Galerie semi-abandonnée</x:v>
      </x:c>
      <x:c r="F65" t="n">
        <x:v>8</x:v>
      </x:c>
      <x:c r="G65" t="n">
        <x:v>4</x:v>
      </x:c>
      <x:c r="H65" t="n">
        <x:v>10</x:v>
      </x:c>
      <x:c r="I65" t="str">
        <x:v>À qualifier par lieu</x:v>
      </x:c>
      <x:c r="J65" t="str">
        <x:v>https://github.com/darknigthmare/deadwall-last-enclosure/blob/e28f46223e73105ab2c5d83f3d50b99b58ef53e6/codex-3000/originaux/DEADWALL_CODEX_1.22/fiches/DW-0060.md</x:v>
      </x:c>
      <x:c r="K65" t="str">
        <x:v>Source min 25,20 m ; max 180,120 m ; modèle 25 × 20 m ; niveaux 0. Détails dans catalogue-existant.json.</x:v>
      </x:c>
    </x:row>
    <x:row r="66">
      <x:c r="A66" t="str">
        <x:v>DW-0061</x:v>
      </x:c>
      <x:c r="B66" t="str">
        <x:v>DW-0061</x:v>
      </x:c>
      <x:c r="C66" t="str">
        <x:v>Parent historique</x:v>
      </x:c>
      <x:c r="D66" t="str">
        <x:v>Alimentation et restauration</x:v>
      </x:c>
      <x:c r="E66" t="str">
        <x:v>Supérette de quartier</x:v>
      </x:c>
      <x:c r="F66" t="n">
        <x:v>8</x:v>
      </x:c>
      <x:c r="G66" t="n">
        <x:v>4</x:v>
      </x:c>
      <x:c r="H66" t="n">
        <x:v>12</x:v>
      </x:c>
      <x:c r="I66" t="str">
        <x:v>À qualifier par lieu</x:v>
      </x:c>
      <x:c r="J66" t="str">
        <x:v>https://github.com/darknigthmare/deadwall-last-enclosure/blob/e28f46223e73105ab2c5d83f3d50b99b58ef53e6/codex-3000/originaux/DEADWALL_CODEX_1.22/fiches/DW-0061.md</x:v>
      </x:c>
      <x:c r="K66" t="str">
        <x:v>Source min 18,14 m ; max 90,60 m ; modèle 25 × 18 m ; niveaux 0. Détails dans catalogue-existant.json.</x:v>
      </x:c>
    </x:row>
    <x:row r="67">
      <x:c r="A67" t="str">
        <x:v>DW-0062</x:v>
      </x:c>
      <x:c r="B67" t="str">
        <x:v>DW-0062</x:v>
      </x:c>
      <x:c r="C67" t="str">
        <x:v>Parent historique</x:v>
      </x:c>
      <x:c r="D67" t="str">
        <x:v>Alimentation et restauration</x:v>
      </x:c>
      <x:c r="E67" t="str">
        <x:v>Supermarché avec quai</x:v>
      </x:c>
      <x:c r="F67" t="n">
        <x:v>8</x:v>
      </x:c>
      <x:c r="G67" t="n">
        <x:v>5</x:v>
      </x:c>
      <x:c r="H67" t="n">
        <x:v>15</x:v>
      </x:c>
      <x:c r="I67" t="str">
        <x:v>À qualifier par lieu</x:v>
      </x:c>
      <x:c r="J67" t="str">
        <x:v>https://github.com/darknigthmare/deadwall-last-enclosure/blob/e28f46223e73105ab2c5d83f3d50b99b58ef53e6/codex-3000/originaux/DEADWALL_CODEX_1.22/fiches/DW-0062.md</x:v>
      </x:c>
      <x:c r="K67" t="str">
        <x:v>Source min 18,14 m ; max 90,60 m ; modèle 26 × 22 m ; niveaux 0. Détails dans catalogue-existant.json.</x:v>
      </x:c>
    </x:row>
    <x:row r="68">
      <x:c r="A68" t="str">
        <x:v>DW-0063</x:v>
      </x:c>
      <x:c r="B68" t="str">
        <x:v>DW-0063</x:v>
      </x:c>
      <x:c r="C68" t="str">
        <x:v>Parent historique</x:v>
      </x:c>
      <x:c r="D68" t="str">
        <x:v>Alimentation et restauration</x:v>
      </x:c>
      <x:c r="E68" t="str">
        <x:v>Hypermarché périphérique</x:v>
      </x:c>
      <x:c r="F68" t="n">
        <x:v>8</x:v>
      </x:c>
      <x:c r="G68" t="n">
        <x:v>5</x:v>
      </x:c>
      <x:c r="H68" t="n">
        <x:v>13</x:v>
      </x:c>
      <x:c r="I68" t="str">
        <x:v>À qualifier par lieu</x:v>
      </x:c>
      <x:c r="J68" t="str">
        <x:v>https://github.com/darknigthmare/deadwall-last-enclosure/blob/e28f46223e73105ab2c5d83f3d50b99b58ef53e6/codex-3000/originaux/DEADWALL_CODEX_1.22/fiches/DW-0063.md</x:v>
      </x:c>
      <x:c r="K68" t="str">
        <x:v>Source min 18,14 m ; max 90,60 m ; modèle 26 × 22 m ; niveaux 0. Détails dans catalogue-existant.json.</x:v>
      </x:c>
    </x:row>
    <x:row r="69">
      <x:c r="A69" t="str">
        <x:v>DW-0064</x:v>
      </x:c>
      <x:c r="B69" t="str">
        <x:v>DW-0064</x:v>
      </x:c>
      <x:c r="C69" t="str">
        <x:v>Parent historique</x:v>
      </x:c>
      <x:c r="D69" t="str">
        <x:v>Alimentation et restauration</x:v>
      </x:c>
      <x:c r="E69" t="str">
        <x:v>Épicerie rurale</x:v>
      </x:c>
      <x:c r="F69" t="n">
        <x:v>8</x:v>
      </x:c>
      <x:c r="G69" t="n">
        <x:v>4</x:v>
      </x:c>
      <x:c r="H69" t="n">
        <x:v>12</x:v>
      </x:c>
      <x:c r="I69" t="str">
        <x:v>À qualifier par lieu</x:v>
      </x:c>
      <x:c r="J69" t="str">
        <x:v>https://github.com/darknigthmare/deadwall-last-enclosure/blob/e28f46223e73105ab2c5d83f3d50b99b58ef53e6/codex-3000/originaux/DEADWALL_CODEX_1.22/fiches/DW-0064.md</x:v>
      </x:c>
      <x:c r="K69" t="str">
        <x:v>Source min 18,14 m ; max 90,60 m ; modèle 25 × 18 m ; niveaux 0. Détails dans catalogue-existant.json.</x:v>
      </x:c>
    </x:row>
    <x:row r="70">
      <x:c r="A70" t="str">
        <x:v>DW-0065</x:v>
      </x:c>
      <x:c r="B70" t="str">
        <x:v>DW-0065</x:v>
      </x:c>
      <x:c r="C70" t="str">
        <x:v>Parent historique</x:v>
      </x:c>
      <x:c r="D70" t="str">
        <x:v>Alimentation et restauration</x:v>
      </x:c>
      <x:c r="E70" t="str">
        <x:v>Boulangerie artisanale</x:v>
      </x:c>
      <x:c r="F70" t="n">
        <x:v>8</x:v>
      </x:c>
      <x:c r="G70" t="n">
        <x:v>4</x:v>
      </x:c>
      <x:c r="H70" t="n">
        <x:v>12</x:v>
      </x:c>
      <x:c r="I70" t="str">
        <x:v>À qualifier par lieu</x:v>
      </x:c>
      <x:c r="J70" t="str">
        <x:v>https://github.com/darknigthmare/deadwall-last-enclosure/blob/e28f46223e73105ab2c5d83f3d50b99b58ef53e6/codex-3000/originaux/DEADWALL_CODEX_1.22/fiches/DW-0065.md</x:v>
      </x:c>
      <x:c r="K70" t="str">
        <x:v>Source min 18,14 m ; max 90,60 m ; modèle 25 × 18 m ; niveaux 0. Détails dans catalogue-existant.json.</x:v>
      </x:c>
    </x:row>
    <x:row r="71">
      <x:c r="A71" t="str">
        <x:v>DW-0066</x:v>
      </x:c>
      <x:c r="B71" t="str">
        <x:v>DW-0066</x:v>
      </x:c>
      <x:c r="C71" t="str">
        <x:v>Parent historique</x:v>
      </x:c>
      <x:c r="D71" t="str">
        <x:v>Alimentation et restauration</x:v>
      </x:c>
      <x:c r="E71" t="str">
        <x:v>Boucherie</x:v>
      </x:c>
      <x:c r="F71" t="n">
        <x:v>8</x:v>
      </x:c>
      <x:c r="G71" t="n">
        <x:v>4</x:v>
      </x:c>
      <x:c r="H71" t="n">
        <x:v>12</x:v>
      </x:c>
      <x:c r="I71" t="str">
        <x:v>À qualifier par lieu</x:v>
      </x:c>
      <x:c r="J71" t="str">
        <x:v>https://github.com/darknigthmare/deadwall-last-enclosure/blob/e28f46223e73105ab2c5d83f3d50b99b58ef53e6/codex-3000/originaux/DEADWALL_CODEX_1.22/fiches/DW-0066.md</x:v>
      </x:c>
      <x:c r="K71" t="str">
        <x:v>Source min 18,14 m ; max 90,60 m ; modèle 25 × 18 m ; niveaux 0. Détails dans catalogue-existant.json.</x:v>
      </x:c>
    </x:row>
    <x:row r="72">
      <x:c r="A72" t="str">
        <x:v>DW-0067</x:v>
      </x:c>
      <x:c r="B72" t="str">
        <x:v>DW-0067</x:v>
      </x:c>
      <x:c r="C72" t="str">
        <x:v>Parent historique</x:v>
      </x:c>
      <x:c r="D72" t="str">
        <x:v>Alimentation et restauration</x:v>
      </x:c>
      <x:c r="E72" t="str">
        <x:v>Poissonnerie</x:v>
      </x:c>
      <x:c r="F72" t="n">
        <x:v>8</x:v>
      </x:c>
      <x:c r="G72" t="n">
        <x:v>4</x:v>
      </x:c>
      <x:c r="H72" t="n">
        <x:v>12</x:v>
      </x:c>
      <x:c r="I72" t="str">
        <x:v>À qualifier par lieu</x:v>
      </x:c>
      <x:c r="J72" t="str">
        <x:v>https://github.com/darknigthmare/deadwall-last-enclosure/blob/e28f46223e73105ab2c5d83f3d50b99b58ef53e6/codex-3000/originaux/DEADWALL_CODEX_1.22/fiches/DW-0067.md</x:v>
      </x:c>
      <x:c r="K72" t="str">
        <x:v>Source min 18,14 m ; max 90,60 m ; modèle 25 × 18 m ; niveaux 0. Détails dans catalogue-existant.json.</x:v>
      </x:c>
    </x:row>
    <x:row r="73">
      <x:c r="A73" t="str">
        <x:v>DW-0068</x:v>
      </x:c>
      <x:c r="B73" t="str">
        <x:v>DW-0068</x:v>
      </x:c>
      <x:c r="C73" t="str">
        <x:v>Parent historique</x:v>
      </x:c>
      <x:c r="D73" t="str">
        <x:v>Alimentation et restauration</x:v>
      </x:c>
      <x:c r="E73" t="str">
        <x:v>Primeur</x:v>
      </x:c>
      <x:c r="F73" t="n">
        <x:v>8</x:v>
      </x:c>
      <x:c r="G73" t="n">
        <x:v>4</x:v>
      </x:c>
      <x:c r="H73" t="n">
        <x:v>12</x:v>
      </x:c>
      <x:c r="I73" t="str">
        <x:v>À qualifier par lieu</x:v>
      </x:c>
      <x:c r="J73" t="str">
        <x:v>https://github.com/darknigthmare/deadwall-last-enclosure/blob/e28f46223e73105ab2c5d83f3d50b99b58ef53e6/codex-3000/originaux/DEADWALL_CODEX_1.22/fiches/DW-0068.md</x:v>
      </x:c>
      <x:c r="K73" t="str">
        <x:v>Source min 18,14 m ; max 90,60 m ; modèle 25 × 18 m ; niveaux 0. Détails dans catalogue-existant.json.</x:v>
      </x:c>
    </x:row>
    <x:row r="74">
      <x:c r="A74" t="str">
        <x:v>DW-0069</x:v>
      </x:c>
      <x:c r="B74" t="str">
        <x:v>DW-0069</x:v>
      </x:c>
      <x:c r="C74" t="str">
        <x:v>Parent historique</x:v>
      </x:c>
      <x:c r="D74" t="str">
        <x:v>Alimentation et restauration</x:v>
      </x:c>
      <x:c r="E74" t="str">
        <x:v>Restaurant routier</x:v>
      </x:c>
      <x:c r="F74" t="n">
        <x:v>8</x:v>
      </x:c>
      <x:c r="G74" t="n">
        <x:v>5</x:v>
      </x:c>
      <x:c r="H74" t="n">
        <x:v>15</x:v>
      </x:c>
      <x:c r="I74" t="str">
        <x:v>À qualifier par lieu</x:v>
      </x:c>
      <x:c r="J74" t="str">
        <x:v>https://github.com/darknigthmare/deadwall-last-enclosure/blob/e28f46223e73105ab2c5d83f3d50b99b58ef53e6/codex-3000/originaux/DEADWALL_CODEX_1.22/fiches/DW-0069.md</x:v>
      </x:c>
      <x:c r="K74" t="str">
        <x:v>Source min 18,14 m ; max 90,60 m ; modèle 26 × 22 m ; niveaux 0. Détails dans catalogue-existant.json.</x:v>
      </x:c>
    </x:row>
    <x:row r="75">
      <x:c r="A75" t="str">
        <x:v>DW-0070</x:v>
      </x:c>
      <x:c r="B75" t="str">
        <x:v>DW-0070</x:v>
      </x:c>
      <x:c r="C75" t="str">
        <x:v>Parent historique</x:v>
      </x:c>
      <x:c r="D75" t="str">
        <x:v>Alimentation et restauration</x:v>
      </x:c>
      <x:c r="E75" t="str">
        <x:v>Restaurant de centre-ville</x:v>
      </x:c>
      <x:c r="F75" t="n">
        <x:v>8</x:v>
      </x:c>
      <x:c r="G75" t="n">
        <x:v>5</x:v>
      </x:c>
      <x:c r="H75" t="n">
        <x:v>15</x:v>
      </x:c>
      <x:c r="I75" t="str">
        <x:v>À qualifier par lieu</x:v>
      </x:c>
      <x:c r="J75" t="str">
        <x:v>https://github.com/darknigthmare/deadwall-last-enclosure/blob/e28f46223e73105ab2c5d83f3d50b99b58ef53e6/codex-3000/originaux/DEADWALL_CODEX_1.22/fiches/DW-0070.md</x:v>
      </x:c>
      <x:c r="K75" t="str">
        <x:v>Source min 18,14 m ; max 90,60 m ; modèle 26 × 22 m ; niveaux 0. Détails dans catalogue-existant.json.</x:v>
      </x:c>
    </x:row>
    <x:row r="76">
      <x:c r="A76" t="str">
        <x:v>DW-0071</x:v>
      </x:c>
      <x:c r="B76" t="str">
        <x:v>DW-0071</x:v>
      </x:c>
      <x:c r="C76" t="str">
        <x:v>Parent historique</x:v>
      </x:c>
      <x:c r="D76" t="str">
        <x:v>Alimentation et restauration</x:v>
      </x:c>
      <x:c r="E76" t="str">
        <x:v>Restauration rapide avec drive</x:v>
      </x:c>
      <x:c r="F76" t="n">
        <x:v>8</x:v>
      </x:c>
      <x:c r="G76" t="n">
        <x:v>5</x:v>
      </x:c>
      <x:c r="H76" t="n">
        <x:v>15</x:v>
      </x:c>
      <x:c r="I76" t="str">
        <x:v>À qualifier par lieu</x:v>
      </x:c>
      <x:c r="J76" t="str">
        <x:v>https://github.com/darknigthmare/deadwall-last-enclosure/blob/e28f46223e73105ab2c5d83f3d50b99b58ef53e6/codex-3000/originaux/DEADWALL_CODEX_1.22/fiches/DW-0071.md</x:v>
      </x:c>
      <x:c r="K76" t="str">
        <x:v>Source min 18,14 m ; max 90,60 m ; modèle 26 × 22 m ; niveaux 0. Détails dans catalogue-existant.json.</x:v>
      </x:c>
    </x:row>
    <x:row r="77">
      <x:c r="A77" t="str">
        <x:v>DW-0072</x:v>
      </x:c>
      <x:c r="B77" t="str">
        <x:v>DW-0072</x:v>
      </x:c>
      <x:c r="C77" t="str">
        <x:v>Parent historique</x:v>
      </x:c>
      <x:c r="D77" t="str">
        <x:v>Alimentation et restauration</x:v>
      </x:c>
      <x:c r="E77" t="str">
        <x:v>Cafétéria industrielle</x:v>
      </x:c>
      <x:c r="F77" t="n">
        <x:v>8</x:v>
      </x:c>
      <x:c r="G77" t="n">
        <x:v>4</x:v>
      </x:c>
      <x:c r="H77" t="n">
        <x:v>12</x:v>
      </x:c>
      <x:c r="I77" t="str">
        <x:v>À qualifier par lieu</x:v>
      </x:c>
      <x:c r="J77" t="str">
        <x:v>https://github.com/darknigthmare/deadwall-last-enclosure/blob/e28f46223e73105ab2c5d83f3d50b99b58ef53e6/codex-3000/originaux/DEADWALL_CODEX_1.22/fiches/DW-0072.md</x:v>
      </x:c>
      <x:c r="K77" t="str">
        <x:v>Source min 18,14 m ; max 90,60 m ; modèle 25 × 18 m ; niveaux 0. Détails dans catalogue-existant.json.</x:v>
      </x:c>
    </x:row>
    <x:row r="78">
      <x:c r="A78" t="str">
        <x:v>DW-0073</x:v>
      </x:c>
      <x:c r="B78" t="str">
        <x:v>DW-0073</x:v>
      </x:c>
      <x:c r="C78" t="str">
        <x:v>Parent historique</x:v>
      </x:c>
      <x:c r="D78" t="str">
        <x:v>Alimentation et restauration</x:v>
      </x:c>
      <x:c r="E78" t="str">
        <x:v>Cuisine centrale</x:v>
      </x:c>
      <x:c r="F78" t="n">
        <x:v>8</x:v>
      </x:c>
      <x:c r="G78" t="n">
        <x:v>5</x:v>
      </x:c>
      <x:c r="H78" t="n">
        <x:v>15</x:v>
      </x:c>
      <x:c r="I78" t="str">
        <x:v>À qualifier par lieu</x:v>
      </x:c>
      <x:c r="J78" t="str">
        <x:v>https://github.com/darknigthmare/deadwall-last-enclosure/blob/e28f46223e73105ab2c5d83f3d50b99b58ef53e6/codex-3000/originaux/DEADWALL_CODEX_1.22/fiches/DW-0073.md</x:v>
      </x:c>
      <x:c r="K78" t="str">
        <x:v>Source min 18,14 m ; max 90,60 m ; modèle 26 × 22 m ; niveaux 0. Détails dans catalogue-existant.json.</x:v>
      </x:c>
    </x:row>
    <x:row r="79">
      <x:c r="A79" t="str">
        <x:v>DW-0074</x:v>
      </x:c>
      <x:c r="B79" t="str">
        <x:v>DW-0074</x:v>
      </x:c>
      <x:c r="C79" t="str">
        <x:v>Parent historique</x:v>
      </x:c>
      <x:c r="D79" t="str">
        <x:v>Alimentation et restauration</x:v>
      </x:c>
      <x:c r="E79" t="str">
        <x:v>Dépôt alimentaire associatif</x:v>
      </x:c>
      <x:c r="F79" t="n">
        <x:v>8</x:v>
      </x:c>
      <x:c r="G79" t="n">
        <x:v>5</x:v>
      </x:c>
      <x:c r="H79" t="n">
        <x:v>15</x:v>
      </x:c>
      <x:c r="I79" t="str">
        <x:v>À qualifier par lieu</x:v>
      </x:c>
      <x:c r="J79" t="str">
        <x:v>https://github.com/darknigthmare/deadwall-last-enclosure/blob/e28f46223e73105ab2c5d83f3d50b99b58ef53e6/codex-3000/originaux/DEADWALL_CODEX_1.22/fiches/DW-0074.md</x:v>
      </x:c>
      <x:c r="K79" t="str">
        <x:v>Source min 18,14 m ; max 90,60 m ; modèle 26 × 22 m ; niveaux 0. Détails dans catalogue-existant.json.</x:v>
      </x:c>
    </x:row>
    <x:row r="80">
      <x:c r="A80" t="str">
        <x:v>DW-0075</x:v>
      </x:c>
      <x:c r="B80" t="str">
        <x:v>DW-0075</x:v>
      </x:c>
      <x:c r="C80" t="str">
        <x:v>Parent historique</x:v>
      </x:c>
      <x:c r="D80" t="str">
        <x:v>Alimentation et restauration</x:v>
      </x:c>
      <x:c r="E80" t="str">
        <x:v>Grossiste fruits et légumes</x:v>
      </x:c>
      <x:c r="F80" t="n">
        <x:v>8</x:v>
      </x:c>
      <x:c r="G80" t="n">
        <x:v>4</x:v>
      </x:c>
      <x:c r="H80" t="n">
        <x:v>12</x:v>
      </x:c>
      <x:c r="I80" t="str">
        <x:v>À qualifier par lieu</x:v>
      </x:c>
      <x:c r="J80" t="str">
        <x:v>https://github.com/darknigthmare/deadwall-last-enclosure/blob/e28f46223e73105ab2c5d83f3d50b99b58ef53e6/codex-3000/originaux/DEADWALL_CODEX_1.22/fiches/DW-0075.md</x:v>
      </x:c>
      <x:c r="K80" t="str">
        <x:v>Source min 18,14 m ; max 90,60 m ; modèle 25 × 18 m ; niveaux 0. Détails dans catalogue-existant.json.</x:v>
      </x:c>
    </x:row>
    <x:row r="81">
      <x:c r="A81" t="str">
        <x:v>DW-0076</x:v>
      </x:c>
      <x:c r="B81" t="str">
        <x:v>DW-0076</x:v>
      </x:c>
      <x:c r="C81" t="str">
        <x:v>Parent historique</x:v>
      </x:c>
      <x:c r="D81" t="str">
        <x:v>Alimentation et restauration</x:v>
      </x:c>
      <x:c r="E81" t="str">
        <x:v>Entrepôt frigorifique</x:v>
      </x:c>
      <x:c r="F81" t="n">
        <x:v>8</x:v>
      </x:c>
      <x:c r="G81" t="n">
        <x:v>4</x:v>
      </x:c>
      <x:c r="H81" t="n">
        <x:v>12</x:v>
      </x:c>
      <x:c r="I81" t="str">
        <x:v>À qualifier par lieu</x:v>
      </x:c>
      <x:c r="J81" t="str">
        <x:v>https://github.com/darknigthmare/deadwall-last-enclosure/blob/e28f46223e73105ab2c5d83f3d50b99b58ef53e6/codex-3000/originaux/DEADWALL_CODEX_1.22/fiches/DW-0076.md</x:v>
      </x:c>
      <x:c r="K81" t="str">
        <x:v>Source min 18,14 m ; max 90,60 m ; modèle 25 × 18 m ; niveaux 0. Détails dans catalogue-existant.json.</x:v>
      </x:c>
    </x:row>
    <x:row r="82">
      <x:c r="A82" t="str">
        <x:v>DW-0077</x:v>
      </x:c>
      <x:c r="B82" t="str">
        <x:v>DW-0077</x:v>
      </x:c>
      <x:c r="C82" t="str">
        <x:v>Parent historique</x:v>
      </x:c>
      <x:c r="D82" t="str">
        <x:v>Alimentation et restauration</x:v>
      </x:c>
      <x:c r="E82" t="str">
        <x:v>Atelier de conserves</x:v>
      </x:c>
      <x:c r="F82" t="n">
        <x:v>8</x:v>
      </x:c>
      <x:c r="G82" t="n">
        <x:v>5</x:v>
      </x:c>
      <x:c r="H82" t="n">
        <x:v>15</x:v>
      </x:c>
      <x:c r="I82" t="str">
        <x:v>À qualifier par lieu</x:v>
      </x:c>
      <x:c r="J82" t="str">
        <x:v>https://github.com/darknigthmare/deadwall-last-enclosure/blob/e28f46223e73105ab2c5d83f3d50b99b58ef53e6/codex-3000/originaux/DEADWALL_CODEX_1.22/fiches/DW-0077.md</x:v>
      </x:c>
      <x:c r="K82" t="str">
        <x:v>Source min 18,14 m ; max 90,60 m ; modèle 26 × 22 m ; niveaux 0. Détails dans catalogue-existant.json.</x:v>
      </x:c>
    </x:row>
    <x:row r="83">
      <x:c r="A83" t="str">
        <x:v>DW-0078</x:v>
      </x:c>
      <x:c r="B83" t="str">
        <x:v>DW-0078</x:v>
      </x:c>
      <x:c r="C83" t="str">
        <x:v>Parent historique</x:v>
      </x:c>
      <x:c r="D83" t="str">
        <x:v>Alimentation et restauration</x:v>
      </x:c>
      <x:c r="E83" t="str">
        <x:v>Cantine scolaire</x:v>
      </x:c>
      <x:c r="F83" t="n">
        <x:v>8</x:v>
      </x:c>
      <x:c r="G83" t="n">
        <x:v>4</x:v>
      </x:c>
      <x:c r="H83" t="n">
        <x:v>12</x:v>
      </x:c>
      <x:c r="I83" t="str">
        <x:v>À qualifier par lieu</x:v>
      </x:c>
      <x:c r="J83" t="str">
        <x:v>https://github.com/darknigthmare/deadwall-last-enclosure/blob/e28f46223e73105ab2c5d83f3d50b99b58ef53e6/codex-3000/originaux/DEADWALL_CODEX_1.22/fiches/DW-0078.md</x:v>
      </x:c>
      <x:c r="K83" t="str">
        <x:v>Source min 18,14 m ; max 90,60 m ; modèle 25 × 18 m ; niveaux 0. Détails dans catalogue-existant.json.</x:v>
      </x:c>
    </x:row>
    <x:row r="84">
      <x:c r="A84" t="str">
        <x:v>DW-0079</x:v>
      </x:c>
      <x:c r="B84" t="str">
        <x:v>DW-0079</x:v>
      </x:c>
      <x:c r="C84" t="str">
        <x:v>Parent historique</x:v>
      </x:c>
      <x:c r="D84" t="str">
        <x:v>Alimentation et restauration</x:v>
      </x:c>
      <x:c r="E84" t="str">
        <x:v>Kiosque de parc</x:v>
      </x:c>
      <x:c r="F84" t="n">
        <x:v>8</x:v>
      </x:c>
      <x:c r="G84" t="n">
        <x:v>4</x:v>
      </x:c>
      <x:c r="H84" t="n">
        <x:v>12</x:v>
      </x:c>
      <x:c r="I84" t="str">
        <x:v>À qualifier par lieu</x:v>
      </x:c>
      <x:c r="J84" t="str">
        <x:v>https://github.com/darknigthmare/deadwall-last-enclosure/blob/e28f46223e73105ab2c5d83f3d50b99b58ef53e6/codex-3000/originaux/DEADWALL_CODEX_1.22/fiches/DW-0079.md</x:v>
      </x:c>
      <x:c r="K84" t="str">
        <x:v>Source min 18,14 m ; max 90,60 m ; modèle 25 × 18 m ; niveaux 0. Détails dans catalogue-existant.json.</x:v>
      </x:c>
    </x:row>
    <x:row r="85">
      <x:c r="A85" t="str">
        <x:v>DW-0080</x:v>
      </x:c>
      <x:c r="B85" t="str">
        <x:v>DW-0080</x:v>
      </x:c>
      <x:c r="C85" t="str">
        <x:v>Parent historique</x:v>
      </x:c>
      <x:c r="D85" t="str">
        <x:v>Alimentation et restauration</x:v>
      </x:c>
      <x:c r="E85" t="str">
        <x:v>Marché de plein air</x:v>
      </x:c>
      <x:c r="F85" t="n">
        <x:v>8</x:v>
      </x:c>
      <x:c r="G85" t="n">
        <x:v>4</x:v>
      </x:c>
      <x:c r="H85" t="n">
        <x:v>10</x:v>
      </x:c>
      <x:c r="I85" t="str">
        <x:v>À qualifier par lieu</x:v>
      </x:c>
      <x:c r="J85" t="str">
        <x:v>https://github.com/darknigthmare/deadwall-last-enclosure/blob/e28f46223e73105ab2c5d83f3d50b99b58ef53e6/codex-3000/originaux/DEADWALL_CODEX_1.22/fiches/DW-0080.md</x:v>
      </x:c>
      <x:c r="K85" t="str">
        <x:v>Source min 18,14 m ; max 90,60 m ; modèle 25 × 18 m ; niveaux 0. Détails dans catalogue-existant.json.</x:v>
      </x:c>
    </x:row>
    <x:row r="86">
      <x:c r="A86" t="str">
        <x:v>DW-0081</x:v>
      </x:c>
      <x:c r="B86" t="str">
        <x:v>DW-0081</x:v>
      </x:c>
      <x:c r="C86" t="str">
        <x:v>Parent historique</x:v>
      </x:c>
      <x:c r="D86" t="str">
        <x:v>Services et petits ateliers</x:v>
      </x:c>
      <x:c r="E86" t="str">
        <x:v>Banque de quartier</x:v>
      </x:c>
      <x:c r="F86" t="n">
        <x:v>8</x:v>
      </x:c>
      <x:c r="G86" t="n">
        <x:v>4</x:v>
      </x:c>
      <x:c r="H86" t="n">
        <x:v>12</x:v>
      </x:c>
      <x:c r="I86" t="str">
        <x:v>À qualifier par lieu</x:v>
      </x:c>
      <x:c r="J86" t="str">
        <x:v>https://github.com/darknigthmare/deadwall-last-enclosure/blob/e28f46223e73105ab2c5d83f3d50b99b58ef53e6/codex-3000/originaux/DEADWALL_CODEX_1.22/fiches/DW-0081.md</x:v>
      </x:c>
      <x:c r="K86" t="str">
        <x:v>Source min 12,10 m ; max 40,26 m ; modèle 25 × 18 m ; niveaux 0. Détails dans catalogue-existant.json.</x:v>
      </x:c>
    </x:row>
    <x:row r="87">
      <x:c r="A87" t="str">
        <x:v>DW-0082</x:v>
      </x:c>
      <x:c r="B87" t="str">
        <x:v>DW-0082</x:v>
      </x:c>
      <x:c r="C87" t="str">
        <x:v>Parent historique</x:v>
      </x:c>
      <x:c r="D87" t="str">
        <x:v>Services et petits ateliers</x:v>
      </x:c>
      <x:c r="E87" t="str">
        <x:v>Bureau postal</x:v>
      </x:c>
      <x:c r="F87" t="n">
        <x:v>8</x:v>
      </x:c>
      <x:c r="G87" t="n">
        <x:v>4</x:v>
      </x:c>
      <x:c r="H87" t="n">
        <x:v>12</x:v>
      </x:c>
      <x:c r="I87" t="str">
        <x:v>À qualifier par lieu</x:v>
      </x:c>
      <x:c r="J87" t="str">
        <x:v>https://github.com/darknigthmare/deadwall-last-enclosure/blob/e28f46223e73105ab2c5d83f3d50b99b58ef53e6/codex-3000/originaux/DEADWALL_CODEX_1.22/fiches/DW-0082.md</x:v>
      </x:c>
      <x:c r="K87" t="str">
        <x:v>Source min 12,10 m ; max 40,26 m ; modèle 25 × 18 m ; niveaux 0. Détails dans catalogue-existant.json.</x:v>
      </x:c>
    </x:row>
    <x:row r="88">
      <x:c r="A88" t="str">
        <x:v>DW-0083</x:v>
      </x:c>
      <x:c r="B88" t="str">
        <x:v>DW-0083</x:v>
      </x:c>
      <x:c r="C88" t="str">
        <x:v>Parent historique</x:v>
      </x:c>
      <x:c r="D88" t="str">
        <x:v>Services et petits ateliers</x:v>
      </x:c>
      <x:c r="E88" t="str">
        <x:v>Agence d'intérim</x:v>
      </x:c>
      <x:c r="F88" t="n">
        <x:v>8</x:v>
      </x:c>
      <x:c r="G88" t="n">
        <x:v>4</x:v>
      </x:c>
      <x:c r="H88" t="n">
        <x:v>12</x:v>
      </x:c>
      <x:c r="I88" t="str">
        <x:v>À qualifier par lieu</x:v>
      </x:c>
      <x:c r="J88" t="str">
        <x:v>https://github.com/darknigthmare/deadwall-last-enclosure/blob/e28f46223e73105ab2c5d83f3d50b99b58ef53e6/codex-3000/originaux/DEADWALL_CODEX_1.22/fiches/DW-0083.md</x:v>
      </x:c>
      <x:c r="K88" t="str">
        <x:v>Source min 12,10 m ; max 40,26 m ; modèle 25 × 18 m ; niveaux 0. Détails dans catalogue-existant.json.</x:v>
      </x:c>
    </x:row>
    <x:row r="89">
      <x:c r="A89" t="str">
        <x:v>DW-0084</x:v>
      </x:c>
      <x:c r="B89" t="str">
        <x:v>DW-0084</x:v>
      </x:c>
      <x:c r="C89" t="str">
        <x:v>Parent historique</x:v>
      </x:c>
      <x:c r="D89" t="str">
        <x:v>Services et petits ateliers</x:v>
      </x:c>
      <x:c r="E89" t="str">
        <x:v>Salon de coiffure</x:v>
      </x:c>
      <x:c r="F89" t="n">
        <x:v>8</x:v>
      </x:c>
      <x:c r="G89" t="n">
        <x:v>4</x:v>
      </x:c>
      <x:c r="H89" t="n">
        <x:v>12</x:v>
      </x:c>
      <x:c r="I89" t="str">
        <x:v>À qualifier par lieu</x:v>
      </x:c>
      <x:c r="J89" t="str">
        <x:v>https://github.com/darknigthmare/deadwall-last-enclosure/blob/e28f46223e73105ab2c5d83f3d50b99b58ef53e6/codex-3000/originaux/DEADWALL_CODEX_1.22/fiches/DW-0084.md</x:v>
      </x:c>
      <x:c r="K89" t="str">
        <x:v>Source min 12,10 m ; max 40,26 m ; modèle 25 × 18 m ; niveaux 0. Détails dans catalogue-existant.json.</x:v>
      </x:c>
    </x:row>
    <x:row r="90">
      <x:c r="A90" t="str">
        <x:v>DW-0085</x:v>
      </x:c>
      <x:c r="B90" t="str">
        <x:v>DW-0085</x:v>
      </x:c>
      <x:c r="C90" t="str">
        <x:v>Parent historique</x:v>
      </x:c>
      <x:c r="D90" t="str">
        <x:v>Services et petits ateliers</x:v>
      </x:c>
      <x:c r="E90" t="str">
        <x:v>Laverie automatique</x:v>
      </x:c>
      <x:c r="F90" t="n">
        <x:v>8</x:v>
      </x:c>
      <x:c r="G90" t="n">
        <x:v>4</x:v>
      </x:c>
      <x:c r="H90" t="n">
        <x:v>12</x:v>
      </x:c>
      <x:c r="I90" t="str">
        <x:v>À qualifier par lieu</x:v>
      </x:c>
      <x:c r="J90" t="str">
        <x:v>https://github.com/darknigthmare/deadwall-last-enclosure/blob/e28f46223e73105ab2c5d83f3d50b99b58ef53e6/codex-3000/originaux/DEADWALL_CODEX_1.22/fiches/DW-0085.md</x:v>
      </x:c>
      <x:c r="K90" t="str">
        <x:v>Source min 12,10 m ; max 40,26 m ; modèle 25 × 18 m ; niveaux 0. Détails dans catalogue-existant.json.</x:v>
      </x:c>
    </x:row>
    <x:row r="91">
      <x:c r="A91" t="str">
        <x:v>DW-0086</x:v>
      </x:c>
      <x:c r="B91" t="str">
        <x:v>DW-0086</x:v>
      </x:c>
      <x:c r="C91" t="str">
        <x:v>Parent historique</x:v>
      </x:c>
      <x:c r="D91" t="str">
        <x:v>Services et petits ateliers</x:v>
      </x:c>
      <x:c r="E91" t="str">
        <x:v>Pressing</x:v>
      </x:c>
      <x:c r="F91" t="n">
        <x:v>8</x:v>
      </x:c>
      <x:c r="G91" t="n">
        <x:v>4</x:v>
      </x:c>
      <x:c r="H91" t="n">
        <x:v>10</x:v>
      </x:c>
      <x:c r="I91" t="str">
        <x:v>À qualifier par lieu</x:v>
      </x:c>
      <x:c r="J91" t="str">
        <x:v>https://github.com/darknigthmare/deadwall-last-enclosure/blob/e28f46223e73105ab2c5d83f3d50b99b58ef53e6/codex-3000/originaux/DEADWALL_CODEX_1.22/fiches/DW-0086.md</x:v>
      </x:c>
      <x:c r="K91" t="str">
        <x:v>Source min 12,10 m ; max 40,26 m ; modèle 25 × 18 m ; niveaux 0. Détails dans catalogue-existant.json.</x:v>
      </x:c>
    </x:row>
    <x:row r="92">
      <x:c r="A92" t="str">
        <x:v>DW-0087</x:v>
      </x:c>
      <x:c r="B92" t="str">
        <x:v>DW-0087</x:v>
      </x:c>
      <x:c r="C92" t="str">
        <x:v>Parent historique</x:v>
      </x:c>
      <x:c r="D92" t="str">
        <x:v>Services et petits ateliers</x:v>
      </x:c>
      <x:c r="E92" t="str">
        <x:v>Cordonnerie</x:v>
      </x:c>
      <x:c r="F92" t="n">
        <x:v>8</x:v>
      </x:c>
      <x:c r="G92" t="n">
        <x:v>3</x:v>
      </x:c>
      <x:c r="H92" t="n">
        <x:v>9</x:v>
      </x:c>
      <x:c r="I92" t="str">
        <x:v>À qualifier par lieu</x:v>
      </x:c>
      <x:c r="J92" t="str">
        <x:v>https://github.com/darknigthmare/deadwall-last-enclosure/blob/e28f46223e73105ab2c5d83f3d50b99b58ef53e6/codex-3000/originaux/DEADWALL_CODEX_1.22/fiches/DW-0087.md</x:v>
      </x:c>
      <x:c r="K92" t="str">
        <x:v>Source min 12,10 m ; max 40,26 m ; modèle 24 × 18 m ; niveaux 0. Détails dans catalogue-existant.json.</x:v>
      </x:c>
    </x:row>
    <x:row r="93">
      <x:c r="A93" t="str">
        <x:v>DW-0088</x:v>
      </x:c>
      <x:c r="B93" t="str">
        <x:v>DW-0088</x:v>
      </x:c>
      <x:c r="C93" t="str">
        <x:v>Parent historique</x:v>
      </x:c>
      <x:c r="D93" t="str">
        <x:v>Services et petits ateliers</x:v>
      </x:c>
      <x:c r="E93" t="str">
        <x:v>Centre de reprographie</x:v>
      </x:c>
      <x:c r="F93" t="n">
        <x:v>8</x:v>
      </x:c>
      <x:c r="G93" t="n">
        <x:v>4</x:v>
      </x:c>
      <x:c r="H93" t="n">
        <x:v>12</x:v>
      </x:c>
      <x:c r="I93" t="str">
        <x:v>À qualifier par lieu</x:v>
      </x:c>
      <x:c r="J93" t="str">
        <x:v>https://github.com/darknigthmare/deadwall-last-enclosure/blob/e28f46223e73105ab2c5d83f3d50b99b58ef53e6/codex-3000/originaux/DEADWALL_CODEX_1.22/fiches/DW-0088.md</x:v>
      </x:c>
      <x:c r="K93" t="str">
        <x:v>Source min 12,10 m ; max 40,26 m ; modèle 25 × 18 m ; niveaux 0. Détails dans catalogue-existant.json.</x:v>
      </x:c>
    </x:row>
    <x:row r="94">
      <x:c r="A94" t="str">
        <x:v>DW-0089</x:v>
      </x:c>
      <x:c r="B94" t="str">
        <x:v>DW-0089</x:v>
      </x:c>
      <x:c r="C94" t="str">
        <x:v>Parent historique</x:v>
      </x:c>
      <x:c r="D94" t="str">
        <x:v>Services et petits ateliers</x:v>
      </x:c>
      <x:c r="E94" t="str">
        <x:v>Agence immobilière</x:v>
      </x:c>
      <x:c r="F94" t="n">
        <x:v>8</x:v>
      </x:c>
      <x:c r="G94" t="n">
        <x:v>4</x:v>
      </x:c>
      <x:c r="H94" t="n">
        <x:v>12</x:v>
      </x:c>
      <x:c r="I94" t="str">
        <x:v>À qualifier par lieu</x:v>
      </x:c>
      <x:c r="J94" t="str">
        <x:v>https://github.com/darknigthmare/deadwall-last-enclosure/blob/e28f46223e73105ab2c5d83f3d50b99b58ef53e6/codex-3000/originaux/DEADWALL_CODEX_1.22/fiches/DW-0089.md</x:v>
      </x:c>
      <x:c r="K94" t="str">
        <x:v>Source min 12,10 m ; max 40,26 m ; modèle 25 × 18 m ; niveaux 0. Détails dans catalogue-existant.json.</x:v>
      </x:c>
    </x:row>
    <x:row r="95">
      <x:c r="A95" t="str">
        <x:v>DW-0090</x:v>
      </x:c>
      <x:c r="B95" t="str">
        <x:v>DW-0090</x:v>
      </x:c>
      <x:c r="C95" t="str">
        <x:v>Parent historique</x:v>
      </x:c>
      <x:c r="D95" t="str">
        <x:v>Services et petits ateliers</x:v>
      </x:c>
      <x:c r="E95" t="str">
        <x:v>Cabinet comptable</x:v>
      </x:c>
      <x:c r="F95" t="n">
        <x:v>8</x:v>
      </x:c>
      <x:c r="G95" t="n">
        <x:v>4</x:v>
      </x:c>
      <x:c r="H95" t="n">
        <x:v>12</x:v>
      </x:c>
      <x:c r="I95" t="str">
        <x:v>À qualifier par lieu</x:v>
      </x:c>
      <x:c r="J95" t="str">
        <x:v>https://github.com/darknigthmare/deadwall-last-enclosure/blob/e28f46223e73105ab2c5d83f3d50b99b58ef53e6/codex-3000/originaux/DEADWALL_CODEX_1.22/fiches/DW-0090.md</x:v>
      </x:c>
      <x:c r="K95" t="str">
        <x:v>Source min 12,10 m ; max 40,26 m ; modèle 25 × 18 m ; niveaux 0. Détails dans catalogue-existant.json.</x:v>
      </x:c>
    </x:row>
    <x:row r="96">
      <x:c r="A96" t="str">
        <x:v>DW-0091</x:v>
      </x:c>
      <x:c r="B96" t="str">
        <x:v>DW-0091</x:v>
      </x:c>
      <x:c r="C96" t="str">
        <x:v>Parent historique</x:v>
      </x:c>
      <x:c r="D96" t="str">
        <x:v>Services et petits ateliers</x:v>
      </x:c>
      <x:c r="E96" t="str">
        <x:v>Étude notariale</x:v>
      </x:c>
      <x:c r="F96" t="n">
        <x:v>8</x:v>
      </x:c>
      <x:c r="G96" t="n">
        <x:v>4</x:v>
      </x:c>
      <x:c r="H96" t="n">
        <x:v>12</x:v>
      </x:c>
      <x:c r="I96" t="str">
        <x:v>À qualifier par lieu</x:v>
      </x:c>
      <x:c r="J96" t="str">
        <x:v>https://github.com/darknigthmare/deadwall-last-enclosure/blob/e28f46223e73105ab2c5d83f3d50b99b58ef53e6/codex-3000/originaux/DEADWALL_CODEX_1.22/fiches/DW-0091.md</x:v>
      </x:c>
      <x:c r="K96" t="str">
        <x:v>Source min 12,10 m ; max 40,26 m ; modèle 25 × 18 m ; niveaux 0. Détails dans catalogue-existant.json.</x:v>
      </x:c>
    </x:row>
    <x:row r="97">
      <x:c r="A97" t="str">
        <x:v>DW-0092</x:v>
      </x:c>
      <x:c r="B97" t="str">
        <x:v>DW-0092</x:v>
      </x:c>
      <x:c r="C97" t="str">
        <x:v>Parent historique</x:v>
      </x:c>
      <x:c r="D97" t="str">
        <x:v>Services et petits ateliers</x:v>
      </x:c>
      <x:c r="E97" t="str">
        <x:v>Atelier électronique</x:v>
      </x:c>
      <x:c r="F97" t="n">
        <x:v>8</x:v>
      </x:c>
      <x:c r="G97" t="n">
        <x:v>4</x:v>
      </x:c>
      <x:c r="H97" t="n">
        <x:v>12</x:v>
      </x:c>
      <x:c r="I97" t="str">
        <x:v>À qualifier par lieu</x:v>
      </x:c>
      <x:c r="J97" t="str">
        <x:v>https://github.com/darknigthmare/deadwall-last-enclosure/blob/e28f46223e73105ab2c5d83f3d50b99b58ef53e6/codex-3000/originaux/DEADWALL_CODEX_1.22/fiches/DW-0092.md</x:v>
      </x:c>
      <x:c r="K97" t="str">
        <x:v>Source min 12,10 m ; max 40,26 m ; modèle 25 × 18 m ; niveaux 0. Détails dans catalogue-existant.json.</x:v>
      </x:c>
    </x:row>
    <x:row r="98">
      <x:c r="A98" t="str">
        <x:v>DW-0093</x:v>
      </x:c>
      <x:c r="B98" t="str">
        <x:v>DW-0093</x:v>
      </x:c>
      <x:c r="C98" t="str">
        <x:v>Parent historique</x:v>
      </x:c>
      <x:c r="D98" t="str">
        <x:v>Services et petits ateliers</x:v>
      </x:c>
      <x:c r="E98" t="str">
        <x:v>Entreprise de plomberie</x:v>
      </x:c>
      <x:c r="F98" t="n">
        <x:v>8</x:v>
      </x:c>
      <x:c r="G98" t="n">
        <x:v>4</x:v>
      </x:c>
      <x:c r="H98" t="n">
        <x:v>12</x:v>
      </x:c>
      <x:c r="I98" t="str">
        <x:v>À qualifier par lieu</x:v>
      </x:c>
      <x:c r="J98" t="str">
        <x:v>https://github.com/darknigthmare/deadwall-last-enclosure/blob/e28f46223e73105ab2c5d83f3d50b99b58ef53e6/codex-3000/originaux/DEADWALL_CODEX_1.22/fiches/DW-0093.md</x:v>
      </x:c>
      <x:c r="K98" t="str">
        <x:v>Source min 12,10 m ; max 40,26 m ; modèle 25 × 18 m ; niveaux 0. Détails dans catalogue-existant.json.</x:v>
      </x:c>
    </x:row>
    <x:row r="99">
      <x:c r="A99" t="str">
        <x:v>DW-0094</x:v>
      </x:c>
      <x:c r="B99" t="str">
        <x:v>DW-0094</x:v>
      </x:c>
      <x:c r="C99" t="str">
        <x:v>Parent historique</x:v>
      </x:c>
      <x:c r="D99" t="str">
        <x:v>Services et petits ateliers</x:v>
      </x:c>
      <x:c r="E99" t="str">
        <x:v>Entreprise d'électricité</x:v>
      </x:c>
      <x:c r="F99" t="n">
        <x:v>8</x:v>
      </x:c>
      <x:c r="G99" t="n">
        <x:v>4</x:v>
      </x:c>
      <x:c r="H99" t="n">
        <x:v>12</x:v>
      </x:c>
      <x:c r="I99" t="str">
        <x:v>À qualifier par lieu</x:v>
      </x:c>
      <x:c r="J99" t="str">
        <x:v>https://github.com/darknigthmare/deadwall-last-enclosure/blob/e28f46223e73105ab2c5d83f3d50b99b58ef53e6/codex-3000/originaux/DEADWALL_CODEX_1.22/fiches/DW-0094.md</x:v>
      </x:c>
      <x:c r="K99" t="str">
        <x:v>Source min 12,10 m ; max 40,26 m ; modèle 25 × 18 m ; niveaux 0. Détails dans catalogue-existant.json.</x:v>
      </x:c>
    </x:row>
    <x:row r="100">
      <x:c r="A100" t="str">
        <x:v>DW-0095</x:v>
      </x:c>
      <x:c r="B100" t="str">
        <x:v>DW-0095</x:v>
      </x:c>
      <x:c r="C100" t="str">
        <x:v>Parent historique</x:v>
      </x:c>
      <x:c r="D100" t="str">
        <x:v>Services et petits ateliers</x:v>
      </x:c>
      <x:c r="E100" t="str">
        <x:v>Serrurerie</x:v>
      </x:c>
      <x:c r="F100" t="n">
        <x:v>8</x:v>
      </x:c>
      <x:c r="G100" t="n">
        <x:v>4</x:v>
      </x:c>
      <x:c r="H100" t="n">
        <x:v>12</x:v>
      </x:c>
      <x:c r="I100" t="str">
        <x:v>À qualifier par lieu</x:v>
      </x:c>
      <x:c r="J100" t="str">
        <x:v>https://github.com/darknigthmare/deadwall-last-enclosure/blob/e28f46223e73105ab2c5d83f3d50b99b58ef53e6/codex-3000/originaux/DEADWALL_CODEX_1.22/fiches/DW-0095.md</x:v>
      </x:c>
      <x:c r="K100" t="str">
        <x:v>Source min 12,10 m ; max 40,26 m ; modèle 25 × 18 m ; niveaux 0. Détails dans catalogue-existant.json.</x:v>
      </x:c>
    </x:row>
    <x:row r="101">
      <x:c r="A101" t="str">
        <x:v>DW-0096</x:v>
      </x:c>
      <x:c r="B101" t="str">
        <x:v>DW-0096</x:v>
      </x:c>
      <x:c r="C101" t="str">
        <x:v>Parent historique</x:v>
      </x:c>
      <x:c r="D101" t="str">
        <x:v>Services et petits ateliers</x:v>
      </x:c>
      <x:c r="E101" t="str">
        <x:v>Service funéraire</x:v>
      </x:c>
      <x:c r="F101" t="n">
        <x:v>8</x:v>
      </x:c>
      <x:c r="G101" t="n">
        <x:v>4</x:v>
      </x:c>
      <x:c r="H101" t="n">
        <x:v>12</x:v>
      </x:c>
      <x:c r="I101" t="str">
        <x:v>À qualifier par lieu</x:v>
      </x:c>
      <x:c r="J101" t="str">
        <x:v>https://github.com/darknigthmare/deadwall-last-enclosure/blob/e28f46223e73105ab2c5d83f3d50b99b58ef53e6/codex-3000/originaux/DEADWALL_CODEX_1.22/fiches/DW-0096.md</x:v>
      </x:c>
      <x:c r="K101" t="str">
        <x:v>Source min 12,10 m ; max 40,26 m ; modèle 25 × 18 m ; niveaux 0. Détails dans catalogue-existant.json.</x:v>
      </x:c>
    </x:row>
    <x:row r="102">
      <x:c r="A102" t="str">
        <x:v>DW-0097</x:v>
      </x:c>
      <x:c r="B102" t="str">
        <x:v>DW-0097</x:v>
      </x:c>
      <x:c r="C102" t="str">
        <x:v>Parent historique</x:v>
      </x:c>
      <x:c r="D102" t="str">
        <x:v>Services et petits ateliers</x:v>
      </x:c>
      <x:c r="E102" t="str">
        <x:v>Clinique vétérinaire</x:v>
      </x:c>
      <x:c r="F102" t="n">
        <x:v>8</x:v>
      </x:c>
      <x:c r="G102" t="n">
        <x:v>4</x:v>
      </x:c>
      <x:c r="H102" t="n">
        <x:v>12</x:v>
      </x:c>
      <x:c r="I102" t="str">
        <x:v>À qualifier par lieu</x:v>
      </x:c>
      <x:c r="J102" t="str">
        <x:v>https://github.com/darknigthmare/deadwall-last-enclosure/blob/e28f46223e73105ab2c5d83f3d50b99b58ef53e6/codex-3000/originaux/DEADWALL_CODEX_1.22/fiches/DW-0097.md</x:v>
      </x:c>
      <x:c r="K102" t="str">
        <x:v>Source min 12,10 m ; max 40,26 m ; modèle 25 × 18 m ; niveaux 0. Détails dans catalogue-existant.json.</x:v>
      </x:c>
    </x:row>
    <x:row r="103">
      <x:c r="A103" t="str">
        <x:v>DW-0098</x:v>
      </x:c>
      <x:c r="B103" t="str">
        <x:v>DW-0098</x:v>
      </x:c>
      <x:c r="C103" t="str">
        <x:v>Parent historique</x:v>
      </x:c>
      <x:c r="D103" t="str">
        <x:v>Services et petits ateliers</x:v>
      </x:c>
      <x:c r="E103" t="str">
        <x:v>Salon de toilettage animalier</x:v>
      </x:c>
      <x:c r="F103" t="n">
        <x:v>8</x:v>
      </x:c>
      <x:c r="G103" t="n">
        <x:v>4</x:v>
      </x:c>
      <x:c r="H103" t="n">
        <x:v>12</x:v>
      </x:c>
      <x:c r="I103" t="str">
        <x:v>À qualifier par lieu</x:v>
      </x:c>
      <x:c r="J103" t="str">
        <x:v>https://github.com/darknigthmare/deadwall-last-enclosure/blob/e28f46223e73105ab2c5d83f3d50b99b58ef53e6/codex-3000/originaux/DEADWALL_CODEX_1.22/fiches/DW-0098.md</x:v>
      </x:c>
      <x:c r="K103" t="str">
        <x:v>Source min 12,10 m ; max 40,26 m ; modèle 25 × 18 m ; niveaux 0. Détails dans catalogue-existant.json.</x:v>
      </x:c>
    </x:row>
    <x:row r="104">
      <x:c r="A104" t="str">
        <x:v>DW-0099</x:v>
      </x:c>
      <x:c r="B104" t="str">
        <x:v>DW-0099</x:v>
      </x:c>
      <x:c r="C104" t="str">
        <x:v>Parent historique</x:v>
      </x:c>
      <x:c r="D104" t="str">
        <x:v>Services et petits ateliers</x:v>
      </x:c>
      <x:c r="E104" t="str">
        <x:v>Centre téléphonique</x:v>
      </x:c>
      <x:c r="F104" t="n">
        <x:v>8</x:v>
      </x:c>
      <x:c r="G104" t="n">
        <x:v>4</x:v>
      </x:c>
      <x:c r="H104" t="n">
        <x:v>12</x:v>
      </x:c>
      <x:c r="I104" t="str">
        <x:v>À qualifier par lieu</x:v>
      </x:c>
      <x:c r="J104" t="str">
        <x:v>https://github.com/darknigthmare/deadwall-last-enclosure/blob/e28f46223e73105ab2c5d83f3d50b99b58ef53e6/codex-3000/originaux/DEADWALL_CODEX_1.22/fiches/DW-0099.md</x:v>
      </x:c>
      <x:c r="K104" t="str">
        <x:v>Source min 12,10 m ; max 40,26 m ; modèle 25 × 18 m ; niveaux 0. Détails dans catalogue-existant.json.</x:v>
      </x:c>
    </x:row>
    <x:row r="105">
      <x:c r="A105" t="str">
        <x:v>DW-0100</x:v>
      </x:c>
      <x:c r="B105" t="str">
        <x:v>DW-0100</x:v>
      </x:c>
      <x:c r="C105" t="str">
        <x:v>Parent historique</x:v>
      </x:c>
      <x:c r="D105" t="str">
        <x:v>Services et petits ateliers</x:v>
      </x:c>
      <x:c r="E105" t="str">
        <x:v>Bureau d'ingénierie</x:v>
      </x:c>
      <x:c r="F105" t="n">
        <x:v>8</x:v>
      </x:c>
      <x:c r="G105" t="n">
        <x:v>4</x:v>
      </x:c>
      <x:c r="H105" t="n">
        <x:v>12</x:v>
      </x:c>
      <x:c r="I105" t="str">
        <x:v>À qualifier par lieu</x:v>
      </x:c>
      <x:c r="J105" t="str">
        <x:v>https://github.com/darknigthmare/deadwall-last-enclosure/blob/e28f46223e73105ab2c5d83f3d50b99b58ef53e6/codex-3000/originaux/DEADWALL_CODEX_1.22/fiches/DW-0100.md</x:v>
      </x:c>
      <x:c r="K105" t="str">
        <x:v>Source min 12,10 m ; max 40,26 m ; modèle 25 × 18 m ; niveaux 0. Détails dans catalogue-existant.json.</x:v>
      </x:c>
    </x:row>
    <x:row r="106">
      <x:c r="A106" t="str">
        <x:v>DW-0101</x:v>
      </x:c>
      <x:c r="B106" t="str">
        <x:v>DW-0101</x:v>
      </x:c>
      <x:c r="C106" t="str">
        <x:v>Parent historique</x:v>
      </x:c>
      <x:c r="D106" t="str">
        <x:v>Hôtellerie et hébergement</x:v>
      </x:c>
      <x:c r="E106" t="str">
        <x:v>Hôtel de centre-ville</x:v>
      </x:c>
      <x:c r="F106" t="n">
        <x:v>8</x:v>
      </x:c>
      <x:c r="G106" t="n">
        <x:v>5</x:v>
      </x:c>
      <x:c r="H106" t="n">
        <x:v>15</x:v>
      </x:c>
      <x:c r="I106" t="str">
        <x:v>À qualifier par lieu</x:v>
      </x:c>
      <x:c r="J106" t="str">
        <x:v>https://github.com/darknigthmare/deadwall-last-enclosure/blob/e28f46223e73105ab2c5d83f3d50b99b58ef53e6/codex-3000/originaux/DEADWALL_CODEX_1.22/fiches/DW-0101.md</x:v>
      </x:c>
      <x:c r="K106" t="str">
        <x:v>Source min 26,18 m ; max 100,65 m ; modèle 26 × 22 m ; niveaux 0, 1, 2. Détails dans catalogue-existant.json.</x:v>
      </x:c>
    </x:row>
    <x:row r="107">
      <x:c r="A107" t="str">
        <x:v>DW-0102</x:v>
      </x:c>
      <x:c r="B107" t="str">
        <x:v>DW-0102</x:v>
      </x:c>
      <x:c r="C107" t="str">
        <x:v>Parent historique</x:v>
      </x:c>
      <x:c r="D107" t="str">
        <x:v>Hôtellerie et hébergement</x:v>
      </x:c>
      <x:c r="E107" t="str">
        <x:v>Hôtel routier à coursive</x:v>
      </x:c>
      <x:c r="F107" t="n">
        <x:v>8</x:v>
      </x:c>
      <x:c r="G107" t="n">
        <x:v>5</x:v>
      </x:c>
      <x:c r="H107" t="n">
        <x:v>13</x:v>
      </x:c>
      <x:c r="I107" t="str">
        <x:v>À qualifier par lieu</x:v>
      </x:c>
      <x:c r="J107" t="str">
        <x:v>https://github.com/darknigthmare/deadwall-last-enclosure/blob/e28f46223e73105ab2c5d83f3d50b99b58ef53e6/codex-3000/originaux/DEADWALL_CODEX_1.22/fiches/DW-0102.md</x:v>
      </x:c>
      <x:c r="K107" t="str">
        <x:v>Source min 26,18 m ; max 100,65 m ; modèle 26 × 22 m ; niveaux 0, 1, 2. Détails dans catalogue-existant.json.</x:v>
      </x:c>
    </x:row>
    <x:row r="108">
      <x:c r="A108" t="str">
        <x:v>DW-0103</x:v>
      </x:c>
      <x:c r="B108" t="str">
        <x:v>DW-0103</x:v>
      </x:c>
      <x:c r="C108" t="str">
        <x:v>Parent historique</x:v>
      </x:c>
      <x:c r="D108" t="str">
        <x:v>Hôtellerie et hébergement</x:v>
      </x:c>
      <x:c r="E108" t="str">
        <x:v>Grand hôtel de congrès</x:v>
      </x:c>
      <x:c r="F108" t="n">
        <x:v>8</x:v>
      </x:c>
      <x:c r="G108" t="n">
        <x:v>5</x:v>
      </x:c>
      <x:c r="H108" t="n">
        <x:v>15</x:v>
      </x:c>
      <x:c r="I108" t="str">
        <x:v>À qualifier par lieu</x:v>
      </x:c>
      <x:c r="J108" t="str">
        <x:v>https://github.com/darknigthmare/deadwall-last-enclosure/blob/e28f46223e73105ab2c5d83f3d50b99b58ef53e6/codex-3000/originaux/DEADWALL_CODEX_1.22/fiches/DW-0103.md</x:v>
      </x:c>
      <x:c r="K108" t="str">
        <x:v>Source min 26,18 m ; max 100,65 m ; modèle 26 × 22 m ; niveaux 0, 1, 2. Détails dans catalogue-existant.json.</x:v>
      </x:c>
    </x:row>
    <x:row r="109">
      <x:c r="A109" t="str">
        <x:v>DW-0104</x:v>
      </x:c>
      <x:c r="B109" t="str">
        <x:v>DW-0104</x:v>
      </x:c>
      <x:c r="C109" t="str">
        <x:v>Parent historique</x:v>
      </x:c>
      <x:c r="D109" t="str">
        <x:v>Hôtellerie et hébergement</x:v>
      </x:c>
      <x:c r="E109" t="str">
        <x:v>Auberge de village</x:v>
      </x:c>
      <x:c r="F109" t="n">
        <x:v>8</x:v>
      </x:c>
      <x:c r="G109" t="n">
        <x:v>4</x:v>
      </x:c>
      <x:c r="H109" t="n">
        <x:v>12</x:v>
      </x:c>
      <x:c r="I109" t="str">
        <x:v>À qualifier par lieu</x:v>
      </x:c>
      <x:c r="J109" t="str">
        <x:v>https://github.com/darknigthmare/deadwall-last-enclosure/blob/e28f46223e73105ab2c5d83f3d50b99b58ef53e6/codex-3000/originaux/DEADWALL_CODEX_1.22/fiches/DW-0104.md</x:v>
      </x:c>
      <x:c r="K109" t="str">
        <x:v>Source min 26,18 m ; max 100,65 m ; modèle 26 × 18 m ; niveaux 0, 1. Détails dans catalogue-existant.json.</x:v>
      </x:c>
    </x:row>
    <x:row r="110">
      <x:c r="A110" t="str">
        <x:v>DW-0105</x:v>
      </x:c>
      <x:c r="B110" t="str">
        <x:v>DW-0105</x:v>
      </x:c>
      <x:c r="C110" t="str">
        <x:v>Parent historique</x:v>
      </x:c>
      <x:c r="D110" t="str">
        <x:v>Hôtellerie et hébergement</x:v>
      </x:c>
      <x:c r="E110" t="str">
        <x:v>Gîte collectif</x:v>
      </x:c>
      <x:c r="F110" t="n">
        <x:v>8</x:v>
      </x:c>
      <x:c r="G110" t="n">
        <x:v>4</x:v>
      </x:c>
      <x:c r="H110" t="n">
        <x:v>12</x:v>
      </x:c>
      <x:c r="I110" t="str">
        <x:v>À qualifier par lieu</x:v>
      </x:c>
      <x:c r="J110" t="str">
        <x:v>https://github.com/darknigthmare/deadwall-last-enclosure/blob/e28f46223e73105ab2c5d83f3d50b99b58ef53e6/codex-3000/originaux/DEADWALL_CODEX_1.22/fiches/DW-0105.md</x:v>
      </x:c>
      <x:c r="K110" t="str">
        <x:v>Source min 26,18 m ; max 100,65 m ; modèle 26 × 18 m ; niveaux 0. Détails dans catalogue-existant.json.</x:v>
      </x:c>
    </x:row>
    <x:row r="111">
      <x:c r="A111" t="str">
        <x:v>DW-0106</x:v>
      </x:c>
      <x:c r="B111" t="str">
        <x:v>DW-0106</x:v>
      </x:c>
      <x:c r="C111" t="str">
        <x:v>Parent historique</x:v>
      </x:c>
      <x:c r="D111" t="str">
        <x:v>Hôtellerie et hébergement</x:v>
      </x:c>
      <x:c r="E111" t="str">
        <x:v>Auberge de jeunesse</x:v>
      </x:c>
      <x:c r="F111" t="n">
        <x:v>8</x:v>
      </x:c>
      <x:c r="G111" t="n">
        <x:v>4</x:v>
      </x:c>
      <x:c r="H111" t="n">
        <x:v>12</x:v>
      </x:c>
      <x:c r="I111" t="str">
        <x:v>À qualifier par lieu</x:v>
      </x:c>
      <x:c r="J111" t="str">
        <x:v>https://github.com/darknigthmare/deadwall-last-enclosure/blob/e28f46223e73105ab2c5d83f3d50b99b58ef53e6/codex-3000/originaux/DEADWALL_CODEX_1.22/fiches/DW-0106.md</x:v>
      </x:c>
      <x:c r="K111" t="str">
        <x:v>Source min 26,18 m ; max 100,65 m ; modèle 26 × 18 m ; niveaux 0. Détails dans catalogue-existant.json.</x:v>
      </x:c>
    </x:row>
    <x:row r="112">
      <x:c r="A112" t="str">
        <x:v>DW-0107</x:v>
      </x:c>
      <x:c r="B112" t="str">
        <x:v>DW-0107</x:v>
      </x:c>
      <x:c r="C112" t="str">
        <x:v>Parent historique</x:v>
      </x:c>
      <x:c r="D112" t="str">
        <x:v>Hôtellerie et hébergement</x:v>
      </x:c>
      <x:c r="E112" t="str">
        <x:v>Maison d'hôtes</x:v>
      </x:c>
      <x:c r="F112" t="n">
        <x:v>8</x:v>
      </x:c>
      <x:c r="G112" t="n">
        <x:v>4</x:v>
      </x:c>
      <x:c r="H112" t="n">
        <x:v>12</x:v>
      </x:c>
      <x:c r="I112" t="str">
        <x:v>À qualifier par lieu</x:v>
      </x:c>
      <x:c r="J112" t="str">
        <x:v>https://github.com/darknigthmare/deadwall-last-enclosure/blob/e28f46223e73105ab2c5d83f3d50b99b58ef53e6/codex-3000/originaux/DEADWALL_CODEX_1.22/fiches/DW-0107.md</x:v>
      </x:c>
      <x:c r="K112" t="str">
        <x:v>Source min 26,18 m ; max 100,65 m ; modèle 26 × 18 m ; niveaux 0. Détails dans catalogue-existant.json.</x:v>
      </x:c>
    </x:row>
    <x:row r="113">
      <x:c r="A113" t="str">
        <x:v>DW-0108</x:v>
      </x:c>
      <x:c r="B113" t="str">
        <x:v>DW-0108</x:v>
      </x:c>
      <x:c r="C113" t="str">
        <x:v>Parent historique</x:v>
      </x:c>
      <x:c r="D113" t="str">
        <x:v>Hôtellerie et hébergement</x:v>
      </x:c>
      <x:c r="E113" t="str">
        <x:v>Camping organisé</x:v>
      </x:c>
      <x:c r="F113" t="n">
        <x:v>8</x:v>
      </x:c>
      <x:c r="G113" t="n">
        <x:v>4</x:v>
      </x:c>
      <x:c r="H113" t="n">
        <x:v>12</x:v>
      </x:c>
      <x:c r="I113" t="str">
        <x:v>À qualifier par lieu</x:v>
      </x:c>
      <x:c r="J113" t="str">
        <x:v>https://github.com/darknigthmare/deadwall-last-enclosure/blob/e28f46223e73105ab2c5d83f3d50b99b58ef53e6/codex-3000/originaux/DEADWALL_CODEX_1.22/fiches/DW-0108.md</x:v>
      </x:c>
      <x:c r="K113" t="str">
        <x:v>Source min 26,18 m ; max 100,65 m ; modèle 26 × 18 m ; niveaux 0. Détails dans catalogue-existant.json.</x:v>
      </x:c>
    </x:row>
    <x:row r="114">
      <x:c r="A114" t="str">
        <x:v>DW-0109</x:v>
      </x:c>
      <x:c r="B114" t="str">
        <x:v>DW-0109</x:v>
      </x:c>
      <x:c r="C114" t="str">
        <x:v>Parent historique</x:v>
      </x:c>
      <x:c r="D114" t="str">
        <x:v>Hôtellerie et hébergement</x:v>
      </x:c>
      <x:c r="E114" t="str">
        <x:v>Camping à la ferme</x:v>
      </x:c>
      <x:c r="F114" t="n">
        <x:v>8</x:v>
      </x:c>
      <x:c r="G114" t="n">
        <x:v>4</x:v>
      </x:c>
      <x:c r="H114" t="n">
        <x:v>12</x:v>
      </x:c>
      <x:c r="I114" t="str">
        <x:v>À qualifier par lieu</x:v>
      </x:c>
      <x:c r="J114" t="str">
        <x:v>https://github.com/darknigthmare/deadwall-last-enclosure/blob/e28f46223e73105ab2c5d83f3d50b99b58ef53e6/codex-3000/originaux/DEADWALL_CODEX_1.22/fiches/DW-0109.md</x:v>
      </x:c>
      <x:c r="K114" t="str">
        <x:v>Source min 26,18 m ; max 100,65 m ; modèle 26 × 18 m ; niveaux 0. Détails dans catalogue-existant.json.</x:v>
      </x:c>
    </x:row>
    <x:row r="115">
      <x:c r="A115" t="str">
        <x:v>DW-0110</x:v>
      </x:c>
      <x:c r="B115" t="str">
        <x:v>DW-0110</x:v>
      </x:c>
      <x:c r="C115" t="str">
        <x:v>Parent historique</x:v>
      </x:c>
      <x:c r="D115" t="str">
        <x:v>Hôtellerie et hébergement</x:v>
      </x:c>
      <x:c r="E115" t="str">
        <x:v>Village de vacances</x:v>
      </x:c>
      <x:c r="F115" t="n">
        <x:v>8</x:v>
      </x:c>
      <x:c r="G115" t="n">
        <x:v>4</x:v>
      </x:c>
      <x:c r="H115" t="n">
        <x:v>12</x:v>
      </x:c>
      <x:c r="I115" t="str">
        <x:v>À qualifier par lieu</x:v>
      </x:c>
      <x:c r="J115" t="str">
        <x:v>https://github.com/darknigthmare/deadwall-last-enclosure/blob/e28f46223e73105ab2c5d83f3d50b99b58ef53e6/codex-3000/originaux/DEADWALL_CODEX_1.22/fiches/DW-0110.md</x:v>
      </x:c>
      <x:c r="K115" t="str">
        <x:v>Source min 26,18 m ; max 100,65 m ; modèle 26 × 18 m ; niveaux 0. Détails dans catalogue-existant.json.</x:v>
      </x:c>
    </x:row>
    <x:row r="116">
      <x:c r="A116" t="str">
        <x:v>DW-0111</x:v>
      </x:c>
      <x:c r="B116" t="str">
        <x:v>DW-0111</x:v>
      </x:c>
      <x:c r="C116" t="str">
        <x:v>Parent historique</x:v>
      </x:c>
      <x:c r="D116" t="str">
        <x:v>Hôtellerie et hébergement</x:v>
      </x:c>
      <x:c r="E116" t="str">
        <x:v>Centre de séminaire</x:v>
      </x:c>
      <x:c r="F116" t="n">
        <x:v>8</x:v>
      </x:c>
      <x:c r="G116" t="n">
        <x:v>4</x:v>
      </x:c>
      <x:c r="H116" t="n">
        <x:v>12</x:v>
      </x:c>
      <x:c r="I116" t="str">
        <x:v>À qualifier par lieu</x:v>
      </x:c>
      <x:c r="J116" t="str">
        <x:v>https://github.com/darknigthmare/deadwall-last-enclosure/blob/e28f46223e73105ab2c5d83f3d50b99b58ef53e6/codex-3000/originaux/DEADWALL_CODEX_1.22/fiches/DW-0111.md</x:v>
      </x:c>
      <x:c r="K116" t="str">
        <x:v>Source min 26,18 m ; max 100,65 m ; modèle 26 × 18 m ; niveaux 0. Détails dans catalogue-existant.json.</x:v>
      </x:c>
    </x:row>
    <x:row r="117">
      <x:c r="A117" t="str">
        <x:v>DW-0112</x:v>
      </x:c>
      <x:c r="B117" t="str">
        <x:v>DW-0112</x:v>
      </x:c>
      <x:c r="C117" t="str">
        <x:v>Parent historique</x:v>
      </x:c>
      <x:c r="D117" t="str">
        <x:v>Hôtellerie et hébergement</x:v>
      </x:c>
      <x:c r="E117" t="str">
        <x:v>Refuge de montagne</x:v>
      </x:c>
      <x:c r="F117" t="n">
        <x:v>8</x:v>
      </x:c>
      <x:c r="G117" t="n">
        <x:v>4</x:v>
      </x:c>
      <x:c r="H117" t="n">
        <x:v>12</x:v>
      </x:c>
      <x:c r="I117" t="str">
        <x:v>À qualifier par lieu</x:v>
      </x:c>
      <x:c r="J117" t="str">
        <x:v>https://github.com/darknigthmare/deadwall-last-enclosure/blob/e28f46223e73105ab2c5d83f3d50b99b58ef53e6/codex-3000/originaux/DEADWALL_CODEX_1.22/fiches/DW-0112.md</x:v>
      </x:c>
      <x:c r="K117" t="str">
        <x:v>Source min 26,18 m ; max 100,65 m ; modèle 26 × 18 m ; niveaux 0. Détails dans catalogue-existant.json.</x:v>
      </x:c>
    </x:row>
    <x:row r="118">
      <x:c r="A118" t="str">
        <x:v>DW-0113</x:v>
      </x:c>
      <x:c r="B118" t="str">
        <x:v>DW-0113</x:v>
      </x:c>
      <x:c r="C118" t="str">
        <x:v>Parent historique</x:v>
      </x:c>
      <x:c r="D118" t="str">
        <x:v>Hôtellerie et hébergement</x:v>
      </x:c>
      <x:c r="E118" t="str">
        <x:v>Relais équestre</x:v>
      </x:c>
      <x:c r="F118" t="n">
        <x:v>8</x:v>
      </x:c>
      <x:c r="G118" t="n">
        <x:v>4</x:v>
      </x:c>
      <x:c r="H118" t="n">
        <x:v>12</x:v>
      </x:c>
      <x:c r="I118" t="str">
        <x:v>À qualifier par lieu</x:v>
      </x:c>
      <x:c r="J118" t="str">
        <x:v>https://github.com/darknigthmare/deadwall-last-enclosure/blob/e28f46223e73105ab2c5d83f3d50b99b58ef53e6/codex-3000/originaux/DEADWALL_CODEX_1.22/fiches/DW-0113.md</x:v>
      </x:c>
      <x:c r="K118" t="str">
        <x:v>Source min 26,18 m ; max 100,65 m ; modèle 26 × 18 m ; niveaux 0. Détails dans catalogue-existant.json.</x:v>
      </x:c>
    </x:row>
    <x:row r="119">
      <x:c r="A119" t="str">
        <x:v>DW-0114</x:v>
      </x:c>
      <x:c r="B119" t="str">
        <x:v>DW-0114</x:v>
      </x:c>
      <x:c r="C119" t="str">
        <x:v>Parent historique</x:v>
      </x:c>
      <x:c r="D119" t="str">
        <x:v>Hôtellerie et hébergement</x:v>
      </x:c>
      <x:c r="E119" t="str">
        <x:v>Hôtel thermal</x:v>
      </x:c>
      <x:c r="F119" t="n">
        <x:v>8</x:v>
      </x:c>
      <x:c r="G119" t="n">
        <x:v>5</x:v>
      </x:c>
      <x:c r="H119" t="n">
        <x:v>15</x:v>
      </x:c>
      <x:c r="I119" t="str">
        <x:v>À qualifier par lieu</x:v>
      </x:c>
      <x:c r="J119" t="str">
        <x:v>https://github.com/darknigthmare/deadwall-last-enclosure/blob/e28f46223e73105ab2c5d83f3d50b99b58ef53e6/codex-3000/originaux/DEADWALL_CODEX_1.22/fiches/DW-0114.md</x:v>
      </x:c>
      <x:c r="K119" t="str">
        <x:v>Source min 26,18 m ; max 100,65 m ; modèle 26 × 22 m ; niveaux 0, 1, 2. Détails dans catalogue-existant.json.</x:v>
      </x:c>
    </x:row>
    <x:row r="120">
      <x:c r="A120" t="str">
        <x:v>DW-0115</x:v>
      </x:c>
      <x:c r="B120" t="str">
        <x:v>DW-0115</x:v>
      </x:c>
      <x:c r="C120" t="str">
        <x:v>Parent historique</x:v>
      </x:c>
      <x:c r="D120" t="str">
        <x:v>Hôtellerie et hébergement</x:v>
      </x:c>
      <x:c r="E120" t="str">
        <x:v>Hôtel d'aéroport</x:v>
      </x:c>
      <x:c r="F120" t="n">
        <x:v>8</x:v>
      </x:c>
      <x:c r="G120" t="n">
        <x:v>4</x:v>
      </x:c>
      <x:c r="H120" t="n">
        <x:v>12</x:v>
      </x:c>
      <x:c r="I120" t="str">
        <x:v>À qualifier par lieu</x:v>
      </x:c>
      <x:c r="J120" t="str">
        <x:v>https://github.com/darknigthmare/deadwall-last-enclosure/blob/e28f46223e73105ab2c5d83f3d50b99b58ef53e6/codex-3000/originaux/DEADWALL_CODEX_1.22/fiches/DW-0115.md</x:v>
      </x:c>
      <x:c r="K120" t="str">
        <x:v>Source min 26,18 m ; max 100,65 m ; modèle 26 × 18 m ; niveaux 0, 1, 2. Détails dans catalogue-existant.json.</x:v>
      </x:c>
    </x:row>
    <x:row r="121">
      <x:c r="A121" t="str">
        <x:v>DW-0116</x:v>
      </x:c>
      <x:c r="B121" t="str">
        <x:v>DW-0116</x:v>
      </x:c>
      <x:c r="C121" t="str">
        <x:v>Parent historique</x:v>
      </x:c>
      <x:c r="D121" t="str">
        <x:v>Hôtellerie et hébergement</x:v>
      </x:c>
      <x:c r="E121" t="str">
        <x:v>Hôtel capsule</x:v>
      </x:c>
      <x:c r="F121" t="n">
        <x:v>8</x:v>
      </x:c>
      <x:c r="G121" t="n">
        <x:v>4</x:v>
      </x:c>
      <x:c r="H121" t="n">
        <x:v>12</x:v>
      </x:c>
      <x:c r="I121" t="str">
        <x:v>À qualifier par lieu</x:v>
      </x:c>
      <x:c r="J121" t="str">
        <x:v>https://github.com/darknigthmare/deadwall-last-enclosure/blob/e28f46223e73105ab2c5d83f3d50b99b58ef53e6/codex-3000/originaux/DEADWALL_CODEX_1.22/fiches/DW-0116.md</x:v>
      </x:c>
      <x:c r="K121" t="str">
        <x:v>Source min 26,18 m ; max 100,65 m ; modèle 26 × 18 m ; niveaux 0, 1, 2. Détails dans catalogue-existant.json.</x:v>
      </x:c>
    </x:row>
    <x:row r="122">
      <x:c r="A122" t="str">
        <x:v>DW-0117</x:v>
      </x:c>
      <x:c r="B122" t="str">
        <x:v>DW-0117</x:v>
      </x:c>
      <x:c r="C122" t="str">
        <x:v>Parent historique</x:v>
      </x:c>
      <x:c r="D122" t="str">
        <x:v>Hôtellerie et hébergement</x:v>
      </x:c>
      <x:c r="E122" t="str">
        <x:v>Résidence saisonnière</x:v>
      </x:c>
      <x:c r="F122" t="n">
        <x:v>8</x:v>
      </x:c>
      <x:c r="G122" t="n">
        <x:v>4</x:v>
      </x:c>
      <x:c r="H122" t="n">
        <x:v>12</x:v>
      </x:c>
      <x:c r="I122" t="str">
        <x:v>À qualifier par lieu</x:v>
      </x:c>
      <x:c r="J122" t="str">
        <x:v>https://github.com/darknigthmare/deadwall-last-enclosure/blob/e28f46223e73105ab2c5d83f3d50b99b58ef53e6/codex-3000/originaux/DEADWALL_CODEX_1.22/fiches/DW-0117.md</x:v>
      </x:c>
      <x:c r="K122" t="str">
        <x:v>Source min 26,18 m ; max 100,65 m ; modèle 26 × 18 m ; niveaux 0. Détails dans catalogue-existant.json.</x:v>
      </x:c>
    </x:row>
    <x:row r="123">
      <x:c r="A123" t="str">
        <x:v>DW-0118</x:v>
      </x:c>
      <x:c r="B123" t="str">
        <x:v>DW-0118</x:v>
      </x:c>
      <x:c r="C123" t="str">
        <x:v>Parent historique</x:v>
      </x:c>
      <x:c r="D123" t="str">
        <x:v>Hôtellerie et hébergement</x:v>
      </x:c>
      <x:c r="E123" t="str">
        <x:v>Ferme-auberge</x:v>
      </x:c>
      <x:c r="F123" t="n">
        <x:v>8</x:v>
      </x:c>
      <x:c r="G123" t="n">
        <x:v>5</x:v>
      </x:c>
      <x:c r="H123" t="n">
        <x:v>15</x:v>
      </x:c>
      <x:c r="I123" t="str">
        <x:v>À qualifier par lieu</x:v>
      </x:c>
      <x:c r="J123" t="str">
        <x:v>https://github.com/darknigthmare/deadwall-last-enclosure/blob/e28f46223e73105ab2c5d83f3d50b99b58ef53e6/codex-3000/originaux/DEADWALL_CODEX_1.22/fiches/DW-0118.md</x:v>
      </x:c>
      <x:c r="K123" t="str">
        <x:v>Source min 26,18 m ; max 100,65 m ; modèle 26 × 22 m ; niveaux 0. Détails dans catalogue-existant.json.</x:v>
      </x:c>
    </x:row>
    <x:row r="124">
      <x:c r="A124" t="str">
        <x:v>DW-0119</x:v>
      </x:c>
      <x:c r="B124" t="str">
        <x:v>DW-0119</x:v>
      </x:c>
      <x:c r="C124" t="str">
        <x:v>Parent historique</x:v>
      </x:c>
      <x:c r="D124" t="str">
        <x:v>Hôtellerie et hébergement</x:v>
      </x:c>
      <x:c r="E124" t="str">
        <x:v>Manoir de réception</x:v>
      </x:c>
      <x:c r="F124" t="n">
        <x:v>8</x:v>
      </x:c>
      <x:c r="G124" t="n">
        <x:v>5</x:v>
      </x:c>
      <x:c r="H124" t="n">
        <x:v>15</x:v>
      </x:c>
      <x:c r="I124" t="str">
        <x:v>À qualifier par lieu</x:v>
      </x:c>
      <x:c r="J124" t="str">
        <x:v>https://github.com/darknigthmare/deadwall-last-enclosure/blob/e28f46223e73105ab2c5d83f3d50b99b58ef53e6/codex-3000/originaux/DEADWALL_CODEX_1.22/fiches/DW-0119.md</x:v>
      </x:c>
      <x:c r="K124" t="str">
        <x:v>Source min 26,18 m ; max 100,65 m ; modèle 26 × 22 m ; niveaux 0, 1. Détails dans catalogue-existant.json.</x:v>
      </x:c>
    </x:row>
    <x:row r="125">
      <x:c r="A125" t="str">
        <x:v>DW-0120</x:v>
      </x:c>
      <x:c r="B125" t="str">
        <x:v>DW-0120</x:v>
      </x:c>
      <x:c r="C125" t="str">
        <x:v>Parent historique</x:v>
      </x:c>
      <x:c r="D125" t="str">
        <x:v>Hôtellerie et hébergement</x:v>
      </x:c>
      <x:c r="E125" t="str">
        <x:v>Centre de vacances fermé</x:v>
      </x:c>
      <x:c r="F125" t="n">
        <x:v>8</x:v>
      </x:c>
      <x:c r="G125" t="n">
        <x:v>5</x:v>
      </x:c>
      <x:c r="H125" t="n">
        <x:v>15</x:v>
      </x:c>
      <x:c r="I125" t="str">
        <x:v>À qualifier par lieu</x:v>
      </x:c>
      <x:c r="J125" t="str">
        <x:v>https://github.com/darknigthmare/deadwall-last-enclosure/blob/e28f46223e73105ab2c5d83f3d50b99b58ef53e6/codex-3000/originaux/DEADWALL_CODEX_1.22/fiches/DW-0120.md</x:v>
      </x:c>
      <x:c r="K125" t="str">
        <x:v>Source min 26,18 m ; max 100,65 m ; modèle 26 × 22 m ; niveaux 0. Détails dans catalogue-existant.json.</x:v>
      </x:c>
    </x:row>
    <x:row r="126">
      <x:c r="A126" t="str">
        <x:v>DW-0121</x:v>
      </x:c>
      <x:c r="B126" t="str">
        <x:v>DW-0121</x:v>
      </x:c>
      <x:c r="C126" t="str">
        <x:v>Parent historique</x:v>
      </x:c>
      <x:c r="D126" t="str">
        <x:v>Santé</x:v>
      </x:c>
      <x:c r="E126" t="str">
        <x:v>Cabinet médical</x:v>
      </x:c>
      <x:c r="F126" t="n">
        <x:v>8</x:v>
      </x:c>
      <x:c r="G126" t="n">
        <x:v>4</x:v>
      </x:c>
      <x:c r="H126" t="n">
        <x:v>12</x:v>
      </x:c>
      <x:c r="I126" t="str">
        <x:v>À qualifier par lieu</x:v>
      </x:c>
      <x:c r="J126" t="str">
        <x:v>https://github.com/darknigthmare/deadwall-last-enclosure/blob/e28f46223e73105ab2c5d83f3d50b99b58ef53e6/codex-3000/originaux/DEADWALL_CODEX_1.22/fiches/DW-0121.md</x:v>
      </x:c>
      <x:c r="K126" t="str">
        <x:v>Source min 20,16 m ; max 150,100 m ; modèle 25 × 18 m ; niveaux 0. Détails dans catalogue-existant.json.</x:v>
      </x:c>
    </x:row>
    <x:row r="127">
      <x:c r="A127" t="str">
        <x:v>DW-0122</x:v>
      </x:c>
      <x:c r="B127" t="str">
        <x:v>DW-0122</x:v>
      </x:c>
      <x:c r="C127" t="str">
        <x:v>Parent historique</x:v>
      </x:c>
      <x:c r="D127" t="str">
        <x:v>Santé</x:v>
      </x:c>
      <x:c r="E127" t="str">
        <x:v>Maison de santé</x:v>
      </x:c>
      <x:c r="F127" t="n">
        <x:v>8</x:v>
      </x:c>
      <x:c r="G127" t="n">
        <x:v>5</x:v>
      </x:c>
      <x:c r="H127" t="n">
        <x:v>15</x:v>
      </x:c>
      <x:c r="I127" t="str">
        <x:v>À qualifier par lieu</x:v>
      </x:c>
      <x:c r="J127" t="str">
        <x:v>https://github.com/darknigthmare/deadwall-last-enclosure/blob/e28f46223e73105ab2c5d83f3d50b99b58ef53e6/codex-3000/originaux/DEADWALL_CODEX_1.22/fiches/DW-0122.md</x:v>
      </x:c>
      <x:c r="K127" t="str">
        <x:v>Source min 20,16 m ; max 150,100 m ; modèle 26 × 22 m ; niveaux 0. Détails dans catalogue-existant.json.</x:v>
      </x:c>
    </x:row>
    <x:row r="128">
      <x:c r="A128" t="str">
        <x:v>DW-0123</x:v>
      </x:c>
      <x:c r="B128" t="str">
        <x:v>DW-0123</x:v>
      </x:c>
      <x:c r="C128" t="str">
        <x:v>Parent historique</x:v>
      </x:c>
      <x:c r="D128" t="str">
        <x:v>Santé</x:v>
      </x:c>
      <x:c r="E128" t="str">
        <x:v>Dispensaire rural</x:v>
      </x:c>
      <x:c r="F128" t="n">
        <x:v>8</x:v>
      </x:c>
      <x:c r="G128" t="n">
        <x:v>4</x:v>
      </x:c>
      <x:c r="H128" t="n">
        <x:v>12</x:v>
      </x:c>
      <x:c r="I128" t="str">
        <x:v>À qualifier par lieu</x:v>
      </x:c>
      <x:c r="J128" t="str">
        <x:v>https://github.com/darknigthmare/deadwall-last-enclosure/blob/e28f46223e73105ab2c5d83f3d50b99b58ef53e6/codex-3000/originaux/DEADWALL_CODEX_1.22/fiches/DW-0123.md</x:v>
      </x:c>
      <x:c r="K128" t="str">
        <x:v>Source min 20,16 m ; max 150,100 m ; modèle 25 × 18 m ; niveaux 0. Détails dans catalogue-existant.json.</x:v>
      </x:c>
    </x:row>
    <x:row r="129">
      <x:c r="A129" t="str">
        <x:v>DW-0124</x:v>
      </x:c>
      <x:c r="B129" t="str">
        <x:v>DW-0124</x:v>
      </x:c>
      <x:c r="C129" t="str">
        <x:v>Parent historique</x:v>
      </x:c>
      <x:c r="D129" t="str">
        <x:v>Santé</x:v>
      </x:c>
      <x:c r="E129" t="str">
        <x:v>Centre de radiologie</x:v>
      </x:c>
      <x:c r="F129" t="n">
        <x:v>8</x:v>
      </x:c>
      <x:c r="G129" t="n">
        <x:v>4</x:v>
      </x:c>
      <x:c r="H129" t="n">
        <x:v>12</x:v>
      </x:c>
      <x:c r="I129" t="str">
        <x:v>À qualifier par lieu</x:v>
      </x:c>
      <x:c r="J129" t="str">
        <x:v>https://github.com/darknigthmare/deadwall-last-enclosure/blob/e28f46223e73105ab2c5d83f3d50b99b58ef53e6/codex-3000/originaux/DEADWALL_CODEX_1.22/fiches/DW-0124.md</x:v>
      </x:c>
      <x:c r="K129" t="str">
        <x:v>Source min 20,16 m ; max 150,100 m ; modèle 25 × 18 m ; niveaux 0. Détails dans catalogue-existant.json.</x:v>
      </x:c>
    </x:row>
    <x:row r="130">
      <x:c r="A130" t="str">
        <x:v>DW-0125</x:v>
      </x:c>
      <x:c r="B130" t="str">
        <x:v>DW-0125</x:v>
      </x:c>
      <x:c r="C130" t="str">
        <x:v>Parent historique</x:v>
      </x:c>
      <x:c r="D130" t="str">
        <x:v>Santé</x:v>
      </x:c>
      <x:c r="E130" t="str">
        <x:v>Laboratoire d'analyses</x:v>
      </x:c>
      <x:c r="F130" t="n">
        <x:v>8</x:v>
      </x:c>
      <x:c r="G130" t="n">
        <x:v>4</x:v>
      </x:c>
      <x:c r="H130" t="n">
        <x:v>12</x:v>
      </x:c>
      <x:c r="I130" t="str">
        <x:v>À qualifier par lieu</x:v>
      </x:c>
      <x:c r="J130" t="str">
        <x:v>https://github.com/darknigthmare/deadwall-last-enclosure/blob/e28f46223e73105ab2c5d83f3d50b99b58ef53e6/codex-3000/originaux/DEADWALL_CODEX_1.22/fiches/DW-0125.md</x:v>
      </x:c>
      <x:c r="K130" t="str">
        <x:v>Source min 20,16 m ; max 150,100 m ; modèle 25 × 18 m ; niveaux 0. Détails dans catalogue-existant.json.</x:v>
      </x:c>
    </x:row>
    <x:row r="131">
      <x:c r="A131" t="str">
        <x:v>DW-0126</x:v>
      </x:c>
      <x:c r="B131" t="str">
        <x:v>DW-0126</x:v>
      </x:c>
      <x:c r="C131" t="str">
        <x:v>Parent historique</x:v>
      </x:c>
      <x:c r="D131" t="str">
        <x:v>Santé</x:v>
      </x:c>
      <x:c r="E131" t="str">
        <x:v>Cabinet dentaire</x:v>
      </x:c>
      <x:c r="F131" t="n">
        <x:v>8</x:v>
      </x:c>
      <x:c r="G131" t="n">
        <x:v>4</x:v>
      </x:c>
      <x:c r="H131" t="n">
        <x:v>12</x:v>
      </x:c>
      <x:c r="I131" t="str">
        <x:v>À qualifier par lieu</x:v>
      </x:c>
      <x:c r="J131" t="str">
        <x:v>https://github.com/darknigthmare/deadwall-last-enclosure/blob/e28f46223e73105ab2c5d83f3d50b99b58ef53e6/codex-3000/originaux/DEADWALL_CODEX_1.22/fiches/DW-0126.md</x:v>
      </x:c>
      <x:c r="K131" t="str">
        <x:v>Source min 20,16 m ; max 150,100 m ; modèle 25 × 18 m ; niveaux 0. Détails dans catalogue-existant.json.</x:v>
      </x:c>
    </x:row>
    <x:row r="132">
      <x:c r="A132" t="str">
        <x:v>DW-0127</x:v>
      </x:c>
      <x:c r="B132" t="str">
        <x:v>DW-0127</x:v>
      </x:c>
      <x:c r="C132" t="str">
        <x:v>Parent historique</x:v>
      </x:c>
      <x:c r="D132" t="str">
        <x:v>Santé</x:v>
      </x:c>
      <x:c r="E132" t="str">
        <x:v>Centre de rééducation</x:v>
      </x:c>
      <x:c r="F132" t="n">
        <x:v>8</x:v>
      </x:c>
      <x:c r="G132" t="n">
        <x:v>4</x:v>
      </x:c>
      <x:c r="H132" t="n">
        <x:v>12</x:v>
      </x:c>
      <x:c r="I132" t="str">
        <x:v>À qualifier par lieu</x:v>
      </x:c>
      <x:c r="J132" t="str">
        <x:v>https://github.com/darknigthmare/deadwall-last-enclosure/blob/e28f46223e73105ab2c5d83f3d50b99b58ef53e6/codex-3000/originaux/DEADWALL_CODEX_1.22/fiches/DW-0127.md</x:v>
      </x:c>
      <x:c r="K132" t="str">
        <x:v>Source min 20,16 m ; max 150,100 m ; modèle 25 × 18 m ; niveaux 0. Détails dans catalogue-existant.json.</x:v>
      </x:c>
    </x:row>
    <x:row r="133">
      <x:c r="A133" t="str">
        <x:v>DW-0128</x:v>
      </x:c>
      <x:c r="B133" t="str">
        <x:v>DW-0128</x:v>
      </x:c>
      <x:c r="C133" t="str">
        <x:v>Parent historique</x:v>
      </x:c>
      <x:c r="D133" t="str">
        <x:v>Santé</x:v>
      </x:c>
      <x:c r="E133" t="str">
        <x:v>Centre de dialyse</x:v>
      </x:c>
      <x:c r="F133" t="n">
        <x:v>8</x:v>
      </x:c>
      <x:c r="G133" t="n">
        <x:v>4</x:v>
      </x:c>
      <x:c r="H133" t="n">
        <x:v>12</x:v>
      </x:c>
      <x:c r="I133" t="str">
        <x:v>À qualifier par lieu</x:v>
      </x:c>
      <x:c r="J133" t="str">
        <x:v>https://github.com/darknigthmare/deadwall-last-enclosure/blob/e28f46223e73105ab2c5d83f3d50b99b58ef53e6/codex-3000/originaux/DEADWALL_CODEX_1.22/fiches/DW-0128.md</x:v>
      </x:c>
      <x:c r="K133" t="str">
        <x:v>Source min 20,16 m ; max 150,100 m ; modèle 25 × 18 m ; niveaux 0. Détails dans catalogue-existant.json.</x:v>
      </x:c>
    </x:row>
    <x:row r="134">
      <x:c r="A134" t="str">
        <x:v>DW-0129</x:v>
      </x:c>
      <x:c r="B134" t="str">
        <x:v>DW-0129</x:v>
      </x:c>
      <x:c r="C134" t="str">
        <x:v>Parent historique</x:v>
      </x:c>
      <x:c r="D134" t="str">
        <x:v>Santé</x:v>
      </x:c>
      <x:c r="E134" t="str">
        <x:v>Centre de transfusion</x:v>
      </x:c>
      <x:c r="F134" t="n">
        <x:v>8</x:v>
      </x:c>
      <x:c r="G134" t="n">
        <x:v>4</x:v>
      </x:c>
      <x:c r="H134" t="n">
        <x:v>12</x:v>
      </x:c>
      <x:c r="I134" t="str">
        <x:v>À qualifier par lieu</x:v>
      </x:c>
      <x:c r="J134" t="str">
        <x:v>https://github.com/darknigthmare/deadwall-last-enclosure/blob/e28f46223e73105ab2c5d83f3d50b99b58ef53e6/codex-3000/originaux/DEADWALL_CODEX_1.22/fiches/DW-0129.md</x:v>
      </x:c>
      <x:c r="K134" t="str">
        <x:v>Source min 20,16 m ; max 150,100 m ; modèle 25 × 18 m ; niveaux 0. Détails dans catalogue-existant.json.</x:v>
      </x:c>
    </x:row>
    <x:row r="135">
      <x:c r="A135" t="str">
        <x:v>DW-0130</x:v>
      </x:c>
      <x:c r="B135" t="str">
        <x:v>DW-0130</x:v>
      </x:c>
      <x:c r="C135" t="str">
        <x:v>Parent historique</x:v>
      </x:c>
      <x:c r="D135" t="str">
        <x:v>Santé</x:v>
      </x:c>
      <x:c r="E135" t="str">
        <x:v>Urgences hospitalières</x:v>
      </x:c>
      <x:c r="F135" t="n">
        <x:v>8</x:v>
      </x:c>
      <x:c r="G135" t="n">
        <x:v>5</x:v>
      </x:c>
      <x:c r="H135" t="n">
        <x:v>15</x:v>
      </x:c>
      <x:c r="I135" t="str">
        <x:v>À qualifier par lieu</x:v>
      </x:c>
      <x:c r="J135" t="str">
        <x:v>https://github.com/darknigthmare/deadwall-last-enclosure/blob/e28f46223e73105ab2c5d83f3d50b99b58ef53e6/codex-3000/originaux/DEADWALL_CODEX_1.22/fiches/DW-0130.md</x:v>
      </x:c>
      <x:c r="K135" t="str">
        <x:v>Source min 20,16 m ; max 150,100 m ; modèle 26 × 22 m ; niveaux 0. Détails dans catalogue-existant.json.</x:v>
      </x:c>
    </x:row>
    <x:row r="136">
      <x:c r="A136" t="str">
        <x:v>DW-0131</x:v>
      </x:c>
      <x:c r="B136" t="str">
        <x:v>DW-0131</x:v>
      </x:c>
      <x:c r="C136" t="str">
        <x:v>Parent historique</x:v>
      </x:c>
      <x:c r="D136" t="str">
        <x:v>Santé</x:v>
      </x:c>
      <x:c r="E136" t="str">
        <x:v>Hôpital général</x:v>
      </x:c>
      <x:c r="F136" t="n">
        <x:v>8</x:v>
      </x:c>
      <x:c r="G136" t="n">
        <x:v>5</x:v>
      </x:c>
      <x:c r="H136" t="n">
        <x:v>15</x:v>
      </x:c>
      <x:c r="I136" t="str">
        <x:v>À qualifier par lieu</x:v>
      </x:c>
      <x:c r="J136" t="str">
        <x:v>https://github.com/darknigthmare/deadwall-last-enclosure/blob/e28f46223e73105ab2c5d83f3d50b99b58ef53e6/codex-3000/originaux/DEADWALL_CODEX_1.22/fiches/DW-0131.md</x:v>
      </x:c>
      <x:c r="K136" t="str">
        <x:v>Source min 20,16 m ; max 150,100 m ; modèle 26 × 22 m ; niveaux 0. Détails dans catalogue-existant.json.</x:v>
      </x:c>
    </x:row>
    <x:row r="137">
      <x:c r="A137" t="str">
        <x:v>DW-0132</x:v>
      </x:c>
      <x:c r="B137" t="str">
        <x:v>DW-0132</x:v>
      </x:c>
      <x:c r="C137" t="str">
        <x:v>Parent historique</x:v>
      </x:c>
      <x:c r="D137" t="str">
        <x:v>Santé</x:v>
      </x:c>
      <x:c r="E137" t="str">
        <x:v>Clinique chirurgicale</x:v>
      </x:c>
      <x:c r="F137" t="n">
        <x:v>8</x:v>
      </x:c>
      <x:c r="G137" t="n">
        <x:v>5</x:v>
      </x:c>
      <x:c r="H137" t="n">
        <x:v>15</x:v>
      </x:c>
      <x:c r="I137" t="str">
        <x:v>À qualifier par lieu</x:v>
      </x:c>
      <x:c r="J137" t="str">
        <x:v>https://github.com/darknigthmare/deadwall-last-enclosure/blob/e28f46223e73105ab2c5d83f3d50b99b58ef53e6/codex-3000/originaux/DEADWALL_CODEX_1.22/fiches/DW-0132.md</x:v>
      </x:c>
      <x:c r="K137" t="str">
        <x:v>Source min 20,16 m ; max 150,100 m ; modèle 26 × 22 m ; niveaux 0. Détails dans catalogue-existant.json.</x:v>
      </x:c>
    </x:row>
    <x:row r="138">
      <x:c r="A138" t="str">
        <x:v>DW-0133</x:v>
      </x:c>
      <x:c r="B138" t="str">
        <x:v>DW-0133</x:v>
      </x:c>
      <x:c r="C138" t="str">
        <x:v>Parent historique</x:v>
      </x:c>
      <x:c r="D138" t="str">
        <x:v>Santé</x:v>
      </x:c>
      <x:c r="E138" t="str">
        <x:v>Maternité</x:v>
      </x:c>
      <x:c r="F138" t="n">
        <x:v>8</x:v>
      </x:c>
      <x:c r="G138" t="n">
        <x:v>4</x:v>
      </x:c>
      <x:c r="H138" t="n">
        <x:v>12</x:v>
      </x:c>
      <x:c r="I138" t="str">
        <x:v>À qualifier par lieu</x:v>
      </x:c>
      <x:c r="J138" t="str">
        <x:v>https://github.com/darknigthmare/deadwall-last-enclosure/blob/e28f46223e73105ab2c5d83f3d50b99b58ef53e6/codex-3000/originaux/DEADWALL_CODEX_1.22/fiches/DW-0133.md</x:v>
      </x:c>
      <x:c r="K138" t="str">
        <x:v>Source min 20,16 m ; max 150,100 m ; modèle 25 × 18 m ; niveaux 0. Détails dans catalogue-existant.json.</x:v>
      </x:c>
    </x:row>
    <x:row r="139">
      <x:c r="A139" t="str">
        <x:v>DW-0134</x:v>
      </x:c>
      <x:c r="B139" t="str">
        <x:v>DW-0134</x:v>
      </x:c>
      <x:c r="C139" t="str">
        <x:v>Parent historique</x:v>
      </x:c>
      <x:c r="D139" t="str">
        <x:v>Santé</x:v>
      </x:c>
      <x:c r="E139" t="str">
        <x:v>Hôpital pédiatrique</x:v>
      </x:c>
      <x:c r="F139" t="n">
        <x:v>8</x:v>
      </x:c>
      <x:c r="G139" t="n">
        <x:v>4</x:v>
      </x:c>
      <x:c r="H139" t="n">
        <x:v>12</x:v>
      </x:c>
      <x:c r="I139" t="str">
        <x:v>À qualifier par lieu</x:v>
      </x:c>
      <x:c r="J139" t="str">
        <x:v>https://github.com/darknigthmare/deadwall-last-enclosure/blob/e28f46223e73105ab2c5d83f3d50b99b58ef53e6/codex-3000/originaux/DEADWALL_CODEX_1.22/fiches/DW-0134.md</x:v>
      </x:c>
      <x:c r="K139" t="str">
        <x:v>Source min 20,16 m ; max 150,100 m ; modèle 25 × 18 m ; niveaux 0. Détails dans catalogue-existant.json.</x:v>
      </x:c>
    </x:row>
    <x:row r="140">
      <x:c r="A140" t="str">
        <x:v>DW-0135</x:v>
      </x:c>
      <x:c r="B140" t="str">
        <x:v>DW-0135</x:v>
      </x:c>
      <x:c r="C140" t="str">
        <x:v>Parent historique</x:v>
      </x:c>
      <x:c r="D140" t="str">
        <x:v>Santé</x:v>
      </x:c>
      <x:c r="E140" t="str">
        <x:v>Établissement gériatrique</x:v>
      </x:c>
      <x:c r="F140" t="n">
        <x:v>8</x:v>
      </x:c>
      <x:c r="G140" t="n">
        <x:v>5</x:v>
      </x:c>
      <x:c r="H140" t="n">
        <x:v>15</x:v>
      </x:c>
      <x:c r="I140" t="str">
        <x:v>À qualifier par lieu</x:v>
      </x:c>
      <x:c r="J140" t="str">
        <x:v>https://github.com/darknigthmare/deadwall-last-enclosure/blob/e28f46223e73105ab2c5d83f3d50b99b58ef53e6/codex-3000/originaux/DEADWALL_CODEX_1.22/fiches/DW-0135.md</x:v>
      </x:c>
      <x:c r="K140" t="str">
        <x:v>Source min 20,16 m ; max 150,100 m ; modèle 26 × 22 m ; niveaux 0. Détails dans catalogue-existant.json.</x:v>
      </x:c>
    </x:row>
    <x:row r="141">
      <x:c r="A141" t="str">
        <x:v>DW-0136</x:v>
      </x:c>
      <x:c r="B141" t="str">
        <x:v>DW-0136</x:v>
      </x:c>
      <x:c r="C141" t="str">
        <x:v>Parent historique</x:v>
      </x:c>
      <x:c r="D141" t="str">
        <x:v>Santé</x:v>
      </x:c>
      <x:c r="E141" t="str">
        <x:v>Centre de soins psychiatriques</x:v>
      </x:c>
      <x:c r="F141" t="n">
        <x:v>8</x:v>
      </x:c>
      <x:c r="G141" t="n">
        <x:v>5</x:v>
      </x:c>
      <x:c r="H141" t="n">
        <x:v>15</x:v>
      </x:c>
      <x:c r="I141" t="str">
        <x:v>À qualifier par lieu</x:v>
      </x:c>
      <x:c r="J141" t="str">
        <x:v>https://github.com/darknigthmare/deadwall-last-enclosure/blob/e28f46223e73105ab2c5d83f3d50b99b58ef53e6/codex-3000/originaux/DEADWALL_CODEX_1.22/fiches/DW-0136.md</x:v>
      </x:c>
      <x:c r="K141" t="str">
        <x:v>Source min 20,16 m ; max 150,100 m ; modèle 26 × 22 m ; niveaux 0. Détails dans catalogue-existant.json.</x:v>
      </x:c>
    </x:row>
    <x:row r="142">
      <x:c r="A142" t="str">
        <x:v>DW-0137</x:v>
      </x:c>
      <x:c r="B142" t="str">
        <x:v>DW-0137</x:v>
      </x:c>
      <x:c r="C142" t="str">
        <x:v>Parent historique</x:v>
      </x:c>
      <x:c r="D142" t="str">
        <x:v>Santé</x:v>
      </x:c>
      <x:c r="E142" t="str">
        <x:v>Maison de convalescence</x:v>
      </x:c>
      <x:c r="F142" t="n">
        <x:v>8</x:v>
      </x:c>
      <x:c r="G142" t="n">
        <x:v>4</x:v>
      </x:c>
      <x:c r="H142" t="n">
        <x:v>12</x:v>
      </x:c>
      <x:c r="I142" t="str">
        <x:v>À qualifier par lieu</x:v>
      </x:c>
      <x:c r="J142" t="str">
        <x:v>https://github.com/darknigthmare/deadwall-last-enclosure/blob/e28f46223e73105ab2c5d83f3d50b99b58ef53e6/codex-3000/originaux/DEADWALL_CODEX_1.22/fiches/DW-0137.md</x:v>
      </x:c>
      <x:c r="K142" t="str">
        <x:v>Source min 20,16 m ; max 150,100 m ; modèle 25 × 18 m ; niveaux 0. Détails dans catalogue-existant.json.</x:v>
      </x:c>
    </x:row>
    <x:row r="143">
      <x:c r="A143" t="str">
        <x:v>DW-0138</x:v>
      </x:c>
      <x:c r="B143" t="str">
        <x:v>DW-0138</x:v>
      </x:c>
      <x:c r="C143" t="str">
        <x:v>Parent historique</x:v>
      </x:c>
      <x:c r="D143" t="str">
        <x:v>Santé</x:v>
      </x:c>
      <x:c r="E143" t="str">
        <x:v>Hôpital de campagne</x:v>
      </x:c>
      <x:c r="F143" t="n">
        <x:v>8</x:v>
      </x:c>
      <x:c r="G143" t="n">
        <x:v>5</x:v>
      </x:c>
      <x:c r="H143" t="n">
        <x:v>15</x:v>
      </x:c>
      <x:c r="I143" t="str">
        <x:v>À qualifier par lieu</x:v>
      </x:c>
      <x:c r="J143" t="str">
        <x:v>https://github.com/darknigthmare/deadwall-last-enclosure/blob/e28f46223e73105ab2c5d83f3d50b99b58ef53e6/codex-3000/originaux/DEADWALL_CODEX_1.22/fiches/DW-0138.md</x:v>
      </x:c>
      <x:c r="K143" t="str">
        <x:v>Source min 20,16 m ; max 150,100 m ; modèle 26 × 22 m ; niveaux 0. Détails dans catalogue-existant.json.</x:v>
      </x:c>
    </x:row>
    <x:row r="144">
      <x:c r="A144" t="str">
        <x:v>DW-0139</x:v>
      </x:c>
      <x:c r="B144" t="str">
        <x:v>DW-0139</x:v>
      </x:c>
      <x:c r="C144" t="str">
        <x:v>Parent historique</x:v>
      </x:c>
      <x:c r="D144" t="str">
        <x:v>Santé</x:v>
      </x:c>
      <x:c r="E144" t="str">
        <x:v>Centre ambulancier</x:v>
      </x:c>
      <x:c r="F144" t="n">
        <x:v>8</x:v>
      </x:c>
      <x:c r="G144" t="n">
        <x:v>4</x:v>
      </x:c>
      <x:c r="H144" t="n">
        <x:v>12</x:v>
      </x:c>
      <x:c r="I144" t="str">
        <x:v>À qualifier par lieu</x:v>
      </x:c>
      <x:c r="J144" t="str">
        <x:v>https://github.com/darknigthmare/deadwall-last-enclosure/blob/e28f46223e73105ab2c5d83f3d50b99b58ef53e6/codex-3000/originaux/DEADWALL_CODEX_1.22/fiches/DW-0139.md</x:v>
      </x:c>
      <x:c r="K144" t="str">
        <x:v>Source min 20,16 m ; max 150,100 m ; modèle 25 × 18 m ; niveaux 0. Détails dans catalogue-existant.json.</x:v>
      </x:c>
    </x:row>
    <x:row r="145">
      <x:c r="A145" t="str">
        <x:v>DW-0140</x:v>
      </x:c>
      <x:c r="B145" t="str">
        <x:v>DW-0140</x:v>
      </x:c>
      <x:c r="C145" t="str">
        <x:v>Parent historique</x:v>
      </x:c>
      <x:c r="D145" t="str">
        <x:v>Santé</x:v>
      </x:c>
      <x:c r="E145" t="str">
        <x:v>Ancien sanatorium</x:v>
      </x:c>
      <x:c r="F145" t="n">
        <x:v>8</x:v>
      </x:c>
      <x:c r="G145" t="n">
        <x:v>5</x:v>
      </x:c>
      <x:c r="H145" t="n">
        <x:v>13</x:v>
      </x:c>
      <x:c r="I145" t="str">
        <x:v>À qualifier par lieu</x:v>
      </x:c>
      <x:c r="J145" t="str">
        <x:v>https://github.com/darknigthmare/deadwall-last-enclosure/blob/e28f46223e73105ab2c5d83f3d50b99b58ef53e6/codex-3000/originaux/DEADWALL_CODEX_1.22/fiches/DW-0140.md</x:v>
      </x:c>
      <x:c r="K145" t="str">
        <x:v>Source min 20,16 m ; max 150,100 m ; modèle 26 × 22 m ; niveaux 0. Détails dans catalogue-existant.json.</x:v>
      </x:c>
    </x:row>
    <x:row r="146">
      <x:c r="A146" t="str">
        <x:v>DW-0141</x:v>
      </x:c>
      <x:c r="B146" t="str">
        <x:v>DW-0141</x:v>
      </x:c>
      <x:c r="C146" t="str">
        <x:v>Parent historique</x:v>
      </x:c>
      <x:c r="D146" t="str">
        <x:v>Éducation et connaissance</x:v>
      </x:c>
      <x:c r="E146" t="str">
        <x:v>École maternelle</x:v>
      </x:c>
      <x:c r="F146" t="n">
        <x:v>8</x:v>
      </x:c>
      <x:c r="G146" t="n">
        <x:v>5</x:v>
      </x:c>
      <x:c r="H146" t="n">
        <x:v>15</x:v>
      </x:c>
      <x:c r="I146" t="str">
        <x:v>À qualifier par lieu</x:v>
      </x:c>
      <x:c r="J146" t="str">
        <x:v>https://github.com/darknigthmare/deadwall-last-enclosure/blob/e28f46223e73105ab2c5d83f3d50b99b58ef53e6/codex-3000/originaux/DEADWALL_CODEX_1.22/fiches/DW-0141.md</x:v>
      </x:c>
      <x:c r="K146" t="str">
        <x:v>Source min 28,20 m ; max 160,110 m ; modèle 28 × 22 m ; niveaux 0. Détails dans catalogue-existant.json.</x:v>
      </x:c>
    </x:row>
    <x:row r="147">
      <x:c r="A147" t="str">
        <x:v>DW-0142</x:v>
      </x:c>
      <x:c r="B147" t="str">
        <x:v>DW-0142</x:v>
      </x:c>
      <x:c r="C147" t="str">
        <x:v>Parent historique</x:v>
      </x:c>
      <x:c r="D147" t="str">
        <x:v>Éducation et connaissance</x:v>
      </x:c>
      <x:c r="E147" t="str">
        <x:v>École primaire</x:v>
      </x:c>
      <x:c r="F147" t="n">
        <x:v>8</x:v>
      </x:c>
      <x:c r="G147" t="n">
        <x:v>5</x:v>
      </x:c>
      <x:c r="H147" t="n">
        <x:v>15</x:v>
      </x:c>
      <x:c r="I147" t="str">
        <x:v>À qualifier par lieu</x:v>
      </x:c>
      <x:c r="J147" t="str">
        <x:v>https://github.com/darknigthmare/deadwall-last-enclosure/blob/e28f46223e73105ab2c5d83f3d50b99b58ef53e6/codex-3000/originaux/DEADWALL_CODEX_1.22/fiches/DW-0142.md</x:v>
      </x:c>
      <x:c r="K147" t="str">
        <x:v>Source min 28,20 m ; max 160,110 m ; modèle 28 × 22 m ; niveaux 0, 1. Détails dans catalogue-existant.json.</x:v>
      </x:c>
    </x:row>
    <x:row r="148">
      <x:c r="A148" t="str">
        <x:v>DW-0143</x:v>
      </x:c>
      <x:c r="B148" t="str">
        <x:v>DW-0143</x:v>
      </x:c>
      <x:c r="C148" t="str">
        <x:v>Parent historique</x:v>
      </x:c>
      <x:c r="D148" t="str">
        <x:v>Éducation et connaissance</x:v>
      </x:c>
      <x:c r="E148" t="str">
        <x:v>Collège</x:v>
      </x:c>
      <x:c r="F148" t="n">
        <x:v>8</x:v>
      </x:c>
      <x:c r="G148" t="n">
        <x:v>5</x:v>
      </x:c>
      <x:c r="H148" t="n">
        <x:v>15</x:v>
      </x:c>
      <x:c r="I148" t="str">
        <x:v>À qualifier par lieu</x:v>
      </x:c>
      <x:c r="J148" t="str">
        <x:v>https://github.com/darknigthmare/deadwall-last-enclosure/blob/e28f46223e73105ab2c5d83f3d50b99b58ef53e6/codex-3000/originaux/DEADWALL_CODEX_1.22/fiches/DW-0143.md</x:v>
      </x:c>
      <x:c r="K148" t="str">
        <x:v>Source min 28,20 m ; max 160,110 m ; modèle 28 × 22 m ; niveaux 0. Détails dans catalogue-existant.json.</x:v>
      </x:c>
    </x:row>
    <x:row r="149">
      <x:c r="A149" t="str">
        <x:v>DW-0144</x:v>
      </x:c>
      <x:c r="B149" t="str">
        <x:v>DW-0144</x:v>
      </x:c>
      <x:c r="C149" t="str">
        <x:v>Parent historique</x:v>
      </x:c>
      <x:c r="D149" t="str">
        <x:v>Éducation et connaissance</x:v>
      </x:c>
      <x:c r="E149" t="str">
        <x:v>Lycée général</x:v>
      </x:c>
      <x:c r="F149" t="n">
        <x:v>8</x:v>
      </x:c>
      <x:c r="G149" t="n">
        <x:v>5</x:v>
      </x:c>
      <x:c r="H149" t="n">
        <x:v>15</x:v>
      </x:c>
      <x:c r="I149" t="str">
        <x:v>À qualifier par lieu</x:v>
      </x:c>
      <x:c r="J149" t="str">
        <x:v>https://github.com/darknigthmare/deadwall-last-enclosure/blob/e28f46223e73105ab2c5d83f3d50b99b58ef53e6/codex-3000/originaux/DEADWALL_CODEX_1.22/fiches/DW-0144.md</x:v>
      </x:c>
      <x:c r="K149" t="str">
        <x:v>Source min 28,20 m ; max 160,110 m ; modèle 28 × 22 m ; niveaux 0. Détails dans catalogue-existant.json.</x:v>
      </x:c>
    </x:row>
    <x:row r="150">
      <x:c r="A150" t="str">
        <x:v>DW-0145</x:v>
      </x:c>
      <x:c r="B150" t="str">
        <x:v>DW-0145</x:v>
      </x:c>
      <x:c r="C150" t="str">
        <x:v>Parent historique</x:v>
      </x:c>
      <x:c r="D150" t="str">
        <x:v>Éducation et connaissance</x:v>
      </x:c>
      <x:c r="E150" t="str">
        <x:v>Lycée professionnel</x:v>
      </x:c>
      <x:c r="F150" t="n">
        <x:v>8</x:v>
      </x:c>
      <x:c r="G150" t="n">
        <x:v>5</x:v>
      </x:c>
      <x:c r="H150" t="n">
        <x:v>15</x:v>
      </x:c>
      <x:c r="I150" t="str">
        <x:v>À qualifier par lieu</x:v>
      </x:c>
      <x:c r="J150" t="str">
        <x:v>https://github.com/darknigthmare/deadwall-last-enclosure/blob/e28f46223e73105ab2c5d83f3d50b99b58ef53e6/codex-3000/originaux/DEADWALL_CODEX_1.22/fiches/DW-0145.md</x:v>
      </x:c>
      <x:c r="K150" t="str">
        <x:v>Source min 28,20 m ; max 160,110 m ; modèle 28 × 22 m ; niveaux 0. Détails dans catalogue-existant.json.</x:v>
      </x:c>
    </x:row>
    <x:row r="151">
      <x:c r="A151" t="str">
        <x:v>DW-0146</x:v>
      </x:c>
      <x:c r="B151" t="str">
        <x:v>DW-0146</x:v>
      </x:c>
      <x:c r="C151" t="str">
        <x:v>Parent historique</x:v>
      </x:c>
      <x:c r="D151" t="str">
        <x:v>Éducation et connaissance</x:v>
      </x:c>
      <x:c r="E151" t="str">
        <x:v>Campus universitaire</x:v>
      </x:c>
      <x:c r="F151" t="n">
        <x:v>8</x:v>
      </x:c>
      <x:c r="G151" t="n">
        <x:v>4</x:v>
      </x:c>
      <x:c r="H151" t="n">
        <x:v>12</x:v>
      </x:c>
      <x:c r="I151" t="str">
        <x:v>À qualifier par lieu</x:v>
      </x:c>
      <x:c r="J151" t="str">
        <x:v>https://github.com/darknigthmare/deadwall-last-enclosure/blob/e28f46223e73105ab2c5d83f3d50b99b58ef53e6/codex-3000/originaux/DEADWALL_CODEX_1.22/fiches/DW-0146.md</x:v>
      </x:c>
      <x:c r="K151" t="str">
        <x:v>Source min 28,20 m ; max 160,110 m ; modèle 28 × 20 m ; niveaux 0. Détails dans catalogue-existant.json.</x:v>
      </x:c>
    </x:row>
    <x:row r="152">
      <x:c r="A152" t="str">
        <x:v>DW-0147</x:v>
      </x:c>
      <x:c r="B152" t="str">
        <x:v>DW-0147</x:v>
      </x:c>
      <x:c r="C152" t="str">
        <x:v>Parent historique</x:v>
      </x:c>
      <x:c r="D152" t="str">
        <x:v>Éducation et connaissance</x:v>
      </x:c>
      <x:c r="E152" t="str">
        <x:v>École d'art</x:v>
      </x:c>
      <x:c r="F152" t="n">
        <x:v>8</x:v>
      </x:c>
      <x:c r="G152" t="n">
        <x:v>4</x:v>
      </x:c>
      <x:c r="H152" t="n">
        <x:v>12</x:v>
      </x:c>
      <x:c r="I152" t="str">
        <x:v>À qualifier par lieu</x:v>
      </x:c>
      <x:c r="J152" t="str">
        <x:v>https://github.com/darknigthmare/deadwall-last-enclosure/blob/e28f46223e73105ab2c5d83f3d50b99b58ef53e6/codex-3000/originaux/DEADWALL_CODEX_1.22/fiches/DW-0147.md</x:v>
      </x:c>
      <x:c r="K152" t="str">
        <x:v>Source min 28,20 m ; max 160,110 m ; modèle 28 × 20 m ; niveaux 0. Détails dans catalogue-existant.json.</x:v>
      </x:c>
    </x:row>
    <x:row r="153">
      <x:c r="A153" t="str">
        <x:v>DW-0148</x:v>
      </x:c>
      <x:c r="B153" t="str">
        <x:v>DW-0148</x:v>
      </x:c>
      <x:c r="C153" t="str">
        <x:v>Parent historique</x:v>
      </x:c>
      <x:c r="D153" t="str">
        <x:v>Éducation et connaissance</x:v>
      </x:c>
      <x:c r="E153" t="str">
        <x:v>Conservatoire</x:v>
      </x:c>
      <x:c r="F153" t="n">
        <x:v>8</x:v>
      </x:c>
      <x:c r="G153" t="n">
        <x:v>4</x:v>
      </x:c>
      <x:c r="H153" t="n">
        <x:v>12</x:v>
      </x:c>
      <x:c r="I153" t="str">
        <x:v>À qualifier par lieu</x:v>
      </x:c>
      <x:c r="J153" t="str">
        <x:v>https://github.com/darknigthmare/deadwall-last-enclosure/blob/e28f46223e73105ab2c5d83f3d50b99b58ef53e6/codex-3000/originaux/DEADWALL_CODEX_1.22/fiches/DW-0148.md</x:v>
      </x:c>
      <x:c r="K153" t="str">
        <x:v>Source min 28,20 m ; max 160,110 m ; modèle 28 × 20 m ; niveaux 0. Détails dans catalogue-existant.json.</x:v>
      </x:c>
    </x:row>
    <x:row r="154">
      <x:c r="A154" t="str">
        <x:v>DW-0149</x:v>
      </x:c>
      <x:c r="B154" t="str">
        <x:v>DW-0149</x:v>
      </x:c>
      <x:c r="C154" t="str">
        <x:v>Parent historique</x:v>
      </x:c>
      <x:c r="D154" t="str">
        <x:v>Éducation et connaissance</x:v>
      </x:c>
      <x:c r="E154" t="str">
        <x:v>École de danse</x:v>
      </x:c>
      <x:c r="F154" t="n">
        <x:v>8</x:v>
      </x:c>
      <x:c r="G154" t="n">
        <x:v>4</x:v>
      </x:c>
      <x:c r="H154" t="n">
        <x:v>12</x:v>
      </x:c>
      <x:c r="I154" t="str">
        <x:v>À qualifier par lieu</x:v>
      </x:c>
      <x:c r="J154" t="str">
        <x:v>https://github.com/darknigthmare/deadwall-last-enclosure/blob/e28f46223e73105ab2c5d83f3d50b99b58ef53e6/codex-3000/originaux/DEADWALL_CODEX_1.22/fiches/DW-0149.md</x:v>
      </x:c>
      <x:c r="K154" t="str">
        <x:v>Source min 28,20 m ; max 160,110 m ; modèle 28 × 20 m ; niveaux 0. Détails dans catalogue-existant.json.</x:v>
      </x:c>
    </x:row>
    <x:row r="155">
      <x:c r="A155" t="str">
        <x:v>DW-0150</x:v>
      </x:c>
      <x:c r="B155" t="str">
        <x:v>DW-0150</x:v>
      </x:c>
      <x:c r="C155" t="str">
        <x:v>Parent historique</x:v>
      </x:c>
      <x:c r="D155" t="str">
        <x:v>Éducation et connaissance</x:v>
      </x:c>
      <x:c r="E155" t="str">
        <x:v>École de cuisine</x:v>
      </x:c>
      <x:c r="F155" t="n">
        <x:v>8</x:v>
      </x:c>
      <x:c r="G155" t="n">
        <x:v>4</x:v>
      </x:c>
      <x:c r="H155" t="n">
        <x:v>12</x:v>
      </x:c>
      <x:c r="I155" t="str">
        <x:v>À qualifier par lieu</x:v>
      </x:c>
      <x:c r="J155" t="str">
        <x:v>https://github.com/darknigthmare/deadwall-last-enclosure/blob/e28f46223e73105ab2c5d83f3d50b99b58ef53e6/codex-3000/originaux/DEADWALL_CODEX_1.22/fiches/DW-0150.md</x:v>
      </x:c>
      <x:c r="K155" t="str">
        <x:v>Source min 28,20 m ; max 160,110 m ; modèle 28 × 20 m ; niveaux 0. Détails dans catalogue-existant.json.</x:v>
      </x:c>
    </x:row>
    <x:row r="156">
      <x:c r="A156" t="str">
        <x:v>DW-0151</x:v>
      </x:c>
      <x:c r="B156" t="str">
        <x:v>DW-0151</x:v>
      </x:c>
      <x:c r="C156" t="str">
        <x:v>Parent historique</x:v>
      </x:c>
      <x:c r="D156" t="str">
        <x:v>Éducation et connaissance</x:v>
      </x:c>
      <x:c r="E156" t="str">
        <x:v>Centre d'apprentissage mécanique</x:v>
      </x:c>
      <x:c r="F156" t="n">
        <x:v>8</x:v>
      </x:c>
      <x:c r="G156" t="n">
        <x:v>4</x:v>
      </x:c>
      <x:c r="H156" t="n">
        <x:v>12</x:v>
      </x:c>
      <x:c r="I156" t="str">
        <x:v>À qualifier par lieu</x:v>
      </x:c>
      <x:c r="J156" t="str">
        <x:v>https://github.com/darknigthmare/deadwall-last-enclosure/blob/e28f46223e73105ab2c5d83f3d50b99b58ef53e6/codex-3000/originaux/DEADWALL_CODEX_1.22/fiches/DW-0151.md</x:v>
      </x:c>
      <x:c r="K156" t="str">
        <x:v>Source min 28,20 m ; max 160,110 m ; modèle 28 × 20 m ; niveaux 0. Détails dans catalogue-existant.json.</x:v>
      </x:c>
    </x:row>
    <x:row r="157">
      <x:c r="A157" t="str">
        <x:v>DW-0152</x:v>
      </x:c>
      <x:c r="B157" t="str">
        <x:v>DW-0152</x:v>
      </x:c>
      <x:c r="C157" t="str">
        <x:v>Parent historique</x:v>
      </x:c>
      <x:c r="D157" t="str">
        <x:v>Éducation et connaissance</x:v>
      </x:c>
      <x:c r="E157" t="str">
        <x:v>Centre de formation agricole</x:v>
      </x:c>
      <x:c r="F157" t="n">
        <x:v>8</x:v>
      </x:c>
      <x:c r="G157" t="n">
        <x:v>4</x:v>
      </x:c>
      <x:c r="H157" t="n">
        <x:v>12</x:v>
      </x:c>
      <x:c r="I157" t="str">
        <x:v>À qualifier par lieu</x:v>
      </x:c>
      <x:c r="J157" t="str">
        <x:v>https://github.com/darknigthmare/deadwall-last-enclosure/blob/e28f46223e73105ab2c5d83f3d50b99b58ef53e6/codex-3000/originaux/DEADWALL_CODEX_1.22/fiches/DW-0152.md</x:v>
      </x:c>
      <x:c r="K157" t="str">
        <x:v>Source min 28,20 m ; max 160,110 m ; modèle 28 × 20 m ; niveaux 0. Détails dans catalogue-existant.json.</x:v>
      </x:c>
    </x:row>
    <x:row r="158">
      <x:c r="A158" t="str">
        <x:v>DW-0153</x:v>
      </x:c>
      <x:c r="B158" t="str">
        <x:v>DW-0153</x:v>
      </x:c>
      <x:c r="C158" t="str">
        <x:v>Parent historique</x:v>
      </x:c>
      <x:c r="D158" t="str">
        <x:v>Éducation et connaissance</x:v>
      </x:c>
      <x:c r="E158" t="str">
        <x:v>Bibliothèque municipale</x:v>
      </x:c>
      <x:c r="F158" t="n">
        <x:v>8</x:v>
      </x:c>
      <x:c r="G158" t="n">
        <x:v>4</x:v>
      </x:c>
      <x:c r="H158" t="n">
        <x:v>12</x:v>
      </x:c>
      <x:c r="I158" t="str">
        <x:v>À qualifier par lieu</x:v>
      </x:c>
      <x:c r="J158" t="str">
        <x:v>https://github.com/darknigthmare/deadwall-last-enclosure/blob/e28f46223e73105ab2c5d83f3d50b99b58ef53e6/codex-3000/originaux/DEADWALL_CODEX_1.22/fiches/DW-0153.md</x:v>
      </x:c>
      <x:c r="K158" t="str">
        <x:v>Source min 28,20 m ; max 160,110 m ; modèle 28 × 20 m ; niveaux 0, 1. Détails dans catalogue-existant.json.</x:v>
      </x:c>
    </x:row>
    <x:row r="159">
      <x:c r="A159" t="str">
        <x:v>DW-0154</x:v>
      </x:c>
      <x:c r="B159" t="str">
        <x:v>DW-0154</x:v>
      </x:c>
      <x:c r="C159" t="str">
        <x:v>Parent historique</x:v>
      </x:c>
      <x:c r="D159" t="str">
        <x:v>Éducation et connaissance</x:v>
      </x:c>
      <x:c r="E159" t="str">
        <x:v>Médiathèque</x:v>
      </x:c>
      <x:c r="F159" t="n">
        <x:v>8</x:v>
      </x:c>
      <x:c r="G159" t="n">
        <x:v>4</x:v>
      </x:c>
      <x:c r="H159" t="n">
        <x:v>12</x:v>
      </x:c>
      <x:c r="I159" t="str">
        <x:v>À qualifier par lieu</x:v>
      </x:c>
      <x:c r="J159" t="str">
        <x:v>https://github.com/darknigthmare/deadwall-last-enclosure/blob/e28f46223e73105ab2c5d83f3d50b99b58ef53e6/codex-3000/originaux/DEADWALL_CODEX_1.22/fiches/DW-0154.md</x:v>
      </x:c>
      <x:c r="K159" t="str">
        <x:v>Source min 28,20 m ; max 160,110 m ; modèle 28 × 20 m ; niveaux 0. Détails dans catalogue-existant.json.</x:v>
      </x:c>
    </x:row>
    <x:row r="160">
      <x:c r="A160" t="str">
        <x:v>DW-0155</x:v>
      </x:c>
      <x:c r="B160" t="str">
        <x:v>DW-0155</x:v>
      </x:c>
      <x:c r="C160" t="str">
        <x:v>Parent historique</x:v>
      </x:c>
      <x:c r="D160" t="str">
        <x:v>Éducation et connaissance</x:v>
      </x:c>
      <x:c r="E160" t="str">
        <x:v>Centre de recherche</x:v>
      </x:c>
      <x:c r="F160" t="n">
        <x:v>8</x:v>
      </x:c>
      <x:c r="G160" t="n">
        <x:v>4</x:v>
      </x:c>
      <x:c r="H160" t="n">
        <x:v>12</x:v>
      </x:c>
      <x:c r="I160" t="str">
        <x:v>À qualifier par lieu</x:v>
      </x:c>
      <x:c r="J160" t="str">
        <x:v>https://github.com/darknigthmare/deadwall-last-enclosure/blob/e28f46223e73105ab2c5d83f3d50b99b58ef53e6/codex-3000/originaux/DEADWALL_CODEX_1.22/fiches/DW-0155.md</x:v>
      </x:c>
      <x:c r="K160" t="str">
        <x:v>Source min 28,20 m ; max 160,110 m ; modèle 28 × 20 m ; niveaux 0. Détails dans catalogue-existant.json.</x:v>
      </x:c>
    </x:row>
    <x:row r="161">
      <x:c r="A161" t="str">
        <x:v>DW-0156</x:v>
      </x:c>
      <x:c r="B161" t="str">
        <x:v>DW-0156</x:v>
      </x:c>
      <x:c r="C161" t="str">
        <x:v>Parent historique</x:v>
      </x:c>
      <x:c r="D161" t="str">
        <x:v>Éducation et connaissance</x:v>
      </x:c>
      <x:c r="E161" t="str">
        <x:v>Observatoire pédagogique</x:v>
      </x:c>
      <x:c r="F161" t="n">
        <x:v>8</x:v>
      </x:c>
      <x:c r="G161" t="n">
        <x:v>4</x:v>
      </x:c>
      <x:c r="H161" t="n">
        <x:v>12</x:v>
      </x:c>
      <x:c r="I161" t="str">
        <x:v>À qualifier par lieu</x:v>
      </x:c>
      <x:c r="J161" t="str">
        <x:v>https://github.com/darknigthmare/deadwall-last-enclosure/blob/e28f46223e73105ab2c5d83f3d50b99b58ef53e6/codex-3000/originaux/DEADWALL_CODEX_1.22/fiches/DW-0156.md</x:v>
      </x:c>
      <x:c r="K161" t="str">
        <x:v>Source min 28,20 m ; max 160,110 m ; modèle 28 × 20 m ; niveaux 0. Détails dans catalogue-existant.json.</x:v>
      </x:c>
    </x:row>
    <x:row r="162">
      <x:c r="A162" t="str">
        <x:v>DW-0157</x:v>
      </x:c>
      <x:c r="B162" t="str">
        <x:v>DW-0157</x:v>
      </x:c>
      <x:c r="C162" t="str">
        <x:v>Parent historique</x:v>
      </x:c>
      <x:c r="D162" t="str">
        <x:v>Éducation et connaissance</x:v>
      </x:c>
      <x:c r="E162" t="str">
        <x:v>Planétarium</x:v>
      </x:c>
      <x:c r="F162" t="n">
        <x:v>8</x:v>
      </x:c>
      <x:c r="G162" t="n">
        <x:v>4</x:v>
      </x:c>
      <x:c r="H162" t="n">
        <x:v>12</x:v>
      </x:c>
      <x:c r="I162" t="str">
        <x:v>À qualifier par lieu</x:v>
      </x:c>
      <x:c r="J162" t="str">
        <x:v>https://github.com/darknigthmare/deadwall-last-enclosure/blob/e28f46223e73105ab2c5d83f3d50b99b58ef53e6/codex-3000/originaux/DEADWALL_CODEX_1.22/fiches/DW-0157.md</x:v>
      </x:c>
      <x:c r="K162" t="str">
        <x:v>Source min 28,20 m ; max 160,110 m ; modèle 28 × 20 m ; niveaux 0. Détails dans catalogue-existant.json.</x:v>
      </x:c>
    </x:row>
    <x:row r="163">
      <x:c r="A163" t="str">
        <x:v>DW-0158</x:v>
      </x:c>
      <x:c r="B163" t="str">
        <x:v>DW-0158</x:v>
      </x:c>
      <x:c r="C163" t="str">
        <x:v>Parent historique</x:v>
      </x:c>
      <x:c r="D163" t="str">
        <x:v>Éducation et connaissance</x:v>
      </x:c>
      <x:c r="E163" t="str">
        <x:v>Archives universitaires</x:v>
      </x:c>
      <x:c r="F163" t="n">
        <x:v>8</x:v>
      </x:c>
      <x:c r="G163" t="n">
        <x:v>4</x:v>
      </x:c>
      <x:c r="H163" t="n">
        <x:v>12</x:v>
      </x:c>
      <x:c r="I163" t="str">
        <x:v>À qualifier par lieu</x:v>
      </x:c>
      <x:c r="J163" t="str">
        <x:v>https://github.com/darknigthmare/deadwall-last-enclosure/blob/e28f46223e73105ab2c5d83f3d50b99b58ef53e6/codex-3000/originaux/DEADWALL_CODEX_1.22/fiches/DW-0158.md</x:v>
      </x:c>
      <x:c r="K163" t="str">
        <x:v>Source min 28,20 m ; max 160,110 m ; modèle 28 × 20 m ; niveaux 0. Détails dans catalogue-existant.json.</x:v>
      </x:c>
    </x:row>
    <x:row r="164">
      <x:c r="A164" t="str">
        <x:v>DW-0159</x:v>
      </x:c>
      <x:c r="B164" t="str">
        <x:v>DW-0159</x:v>
      </x:c>
      <x:c r="C164" t="str">
        <x:v>Parent historique</x:v>
      </x:c>
      <x:c r="D164" t="str">
        <x:v>Éducation et connaissance</x:v>
      </x:c>
      <x:c r="E164" t="str">
        <x:v>Centre aéré</x:v>
      </x:c>
      <x:c r="F164" t="n">
        <x:v>8</x:v>
      </x:c>
      <x:c r="G164" t="n">
        <x:v>4</x:v>
      </x:c>
      <x:c r="H164" t="n">
        <x:v>12</x:v>
      </x:c>
      <x:c r="I164" t="str">
        <x:v>À qualifier par lieu</x:v>
      </x:c>
      <x:c r="J164" t="str">
        <x:v>https://github.com/darknigthmare/deadwall-last-enclosure/blob/e28f46223e73105ab2c5d83f3d50b99b58ef53e6/codex-3000/originaux/DEADWALL_CODEX_1.22/fiches/DW-0159.md</x:v>
      </x:c>
      <x:c r="K164" t="str">
        <x:v>Source min 28,20 m ; max 160,110 m ; modèle 28 × 20 m ; niveaux 0. Détails dans catalogue-existant.json.</x:v>
      </x:c>
    </x:row>
    <x:row r="165">
      <x:c r="A165" t="str">
        <x:v>DW-0160</x:v>
      </x:c>
      <x:c r="B165" t="str">
        <x:v>DW-0160</x:v>
      </x:c>
      <x:c r="C165" t="str">
        <x:v>Parent historique</x:v>
      </x:c>
      <x:c r="D165" t="str">
        <x:v>Éducation et connaissance</x:v>
      </x:c>
      <x:c r="E165" t="str">
        <x:v>École réutilisée par une association</x:v>
      </x:c>
      <x:c r="F165" t="n">
        <x:v>8</x:v>
      </x:c>
      <x:c r="G165" t="n">
        <x:v>4</x:v>
      </x:c>
      <x:c r="H165" t="n">
        <x:v>12</x:v>
      </x:c>
      <x:c r="I165" t="str">
        <x:v>À qualifier par lieu</x:v>
      </x:c>
      <x:c r="J165" t="str">
        <x:v>https://github.com/darknigthmare/deadwall-last-enclosure/blob/e28f46223e73105ab2c5d83f3d50b99b58ef53e6/codex-3000/originaux/DEADWALL_CODEX_1.22/fiches/DW-0160.md</x:v>
      </x:c>
      <x:c r="K165" t="str">
        <x:v>Source min 28,20 m ; max 160,110 m ; modèle 28 × 20 m ; niveaux 0. Détails dans catalogue-existant.json.</x:v>
      </x:c>
    </x:row>
    <x:row r="166">
      <x:c r="A166" t="str">
        <x:v>DW-0161</x:v>
      </x:c>
      <x:c r="B166" t="str">
        <x:v>DW-0161</x:v>
      </x:c>
      <x:c r="C166" t="str">
        <x:v>Parent historique</x:v>
      </x:c>
      <x:c r="D166" t="str">
        <x:v>Administration et communauté</x:v>
      </x:c>
      <x:c r="E166" t="str">
        <x:v>Mairie</x:v>
      </x:c>
      <x:c r="F166" t="n">
        <x:v>8</x:v>
      </x:c>
      <x:c r="G166" t="n">
        <x:v>4</x:v>
      </x:c>
      <x:c r="H166" t="n">
        <x:v>12</x:v>
      </x:c>
      <x:c r="I166" t="str">
        <x:v>À qualifier par lieu</x:v>
      </x:c>
      <x:c r="J166" t="str">
        <x:v>https://github.com/darknigthmare/deadwall-last-enclosure/blob/e28f46223e73105ab2c5d83f3d50b99b58ef53e6/codex-3000/originaux/DEADWALL_CODEX_1.22/fiches/DW-0161.md</x:v>
      </x:c>
      <x:c r="K166" t="str">
        <x:v>Source min 25,20 m ; max 120,80 m ; modèle 25 × 20 m ; niveaux 0, 1. Détails dans catalogue-existant.json.</x:v>
      </x:c>
    </x:row>
    <x:row r="167">
      <x:c r="A167" t="str">
        <x:v>DW-0162</x:v>
      </x:c>
      <x:c r="B167" t="str">
        <x:v>DW-0162</x:v>
      </x:c>
      <x:c r="C167" t="str">
        <x:v>Parent historique</x:v>
      </x:c>
      <x:c r="D167" t="str">
        <x:v>Administration et communauté</x:v>
      </x:c>
      <x:c r="E167" t="str">
        <x:v>Hôtel de ville métropolitain</x:v>
      </x:c>
      <x:c r="F167" t="n">
        <x:v>8</x:v>
      </x:c>
      <x:c r="G167" t="n">
        <x:v>4</x:v>
      </x:c>
      <x:c r="H167" t="n">
        <x:v>12</x:v>
      </x:c>
      <x:c r="I167" t="str">
        <x:v>À qualifier par lieu</x:v>
      </x:c>
      <x:c r="J167" t="str">
        <x:v>https://github.com/darknigthmare/deadwall-last-enclosure/blob/e28f46223e73105ab2c5d83f3d50b99b58ef53e6/codex-3000/originaux/DEADWALL_CODEX_1.22/fiches/DW-0162.md</x:v>
      </x:c>
      <x:c r="K167" t="str">
        <x:v>Source min 25,20 m ; max 120,80 m ; modèle 25 × 20 m ; niveaux 0, 1, 2. Détails dans catalogue-existant.json.</x:v>
      </x:c>
    </x:row>
    <x:row r="168">
      <x:c r="A168" t="str">
        <x:v>DW-0163</x:v>
      </x:c>
      <x:c r="B168" t="str">
        <x:v>DW-0163</x:v>
      </x:c>
      <x:c r="C168" t="str">
        <x:v>Parent historique</x:v>
      </x:c>
      <x:c r="D168" t="str">
        <x:v>Administration et communauté</x:v>
      </x:c>
      <x:c r="E168" t="str">
        <x:v>Annexe administrative</x:v>
      </x:c>
      <x:c r="F168" t="n">
        <x:v>8</x:v>
      </x:c>
      <x:c r="G168" t="n">
        <x:v>4</x:v>
      </x:c>
      <x:c r="H168" t="n">
        <x:v>12</x:v>
      </x:c>
      <x:c r="I168" t="str">
        <x:v>À qualifier par lieu</x:v>
      </x:c>
      <x:c r="J168" t="str">
        <x:v>https://github.com/darknigthmare/deadwall-last-enclosure/blob/e28f46223e73105ab2c5d83f3d50b99b58ef53e6/codex-3000/originaux/DEADWALL_CODEX_1.22/fiches/DW-0163.md</x:v>
      </x:c>
      <x:c r="K168" t="str">
        <x:v>Source min 25,20 m ; max 120,80 m ; modèle 25 × 20 m ; niveaux 0. Détails dans catalogue-existant.json.</x:v>
      </x:c>
    </x:row>
    <x:row r="169">
      <x:c r="A169" t="str">
        <x:v>DW-0164</x:v>
      </x:c>
      <x:c r="B169" t="str">
        <x:v>DW-0164</x:v>
      </x:c>
      <x:c r="C169" t="str">
        <x:v>Parent historique</x:v>
      </x:c>
      <x:c r="D169" t="str">
        <x:v>Administration et communauté</x:v>
      </x:c>
      <x:c r="E169" t="str">
        <x:v>Tribunal</x:v>
      </x:c>
      <x:c r="F169" t="n">
        <x:v>8</x:v>
      </x:c>
      <x:c r="G169" t="n">
        <x:v>4</x:v>
      </x:c>
      <x:c r="H169" t="n">
        <x:v>12</x:v>
      </x:c>
      <x:c r="I169" t="str">
        <x:v>À qualifier par lieu</x:v>
      </x:c>
      <x:c r="J169" t="str">
        <x:v>https://github.com/darknigthmare/deadwall-last-enclosure/blob/e28f46223e73105ab2c5d83f3d50b99b58ef53e6/codex-3000/originaux/DEADWALL_CODEX_1.22/fiches/DW-0164.md</x:v>
      </x:c>
      <x:c r="K169" t="str">
        <x:v>Source min 25,20 m ; max 120,80 m ; modèle 25 × 20 m ; niveaux 0. Détails dans catalogue-existant.json.</x:v>
      </x:c>
    </x:row>
    <x:row r="170">
      <x:c r="A170" t="str">
        <x:v>DW-0165</x:v>
      </x:c>
      <x:c r="B170" t="str">
        <x:v>DW-0165</x:v>
      </x:c>
      <x:c r="C170" t="str">
        <x:v>Parent historique</x:v>
      </x:c>
      <x:c r="D170" t="str">
        <x:v>Administration et communauté</x:v>
      </x:c>
      <x:c r="E170" t="str">
        <x:v>Maison de justice</x:v>
      </x:c>
      <x:c r="F170" t="n">
        <x:v>8</x:v>
      </x:c>
      <x:c r="G170" t="n">
        <x:v>4</x:v>
      </x:c>
      <x:c r="H170" t="n">
        <x:v>12</x:v>
      </x:c>
      <x:c r="I170" t="str">
        <x:v>À qualifier par lieu</x:v>
      </x:c>
      <x:c r="J170" t="str">
        <x:v>https://github.com/darknigthmare/deadwall-last-enclosure/blob/e28f46223e73105ab2c5d83f3d50b99b58ef53e6/codex-3000/originaux/DEADWALL_CODEX_1.22/fiches/DW-0165.md</x:v>
      </x:c>
      <x:c r="K170" t="str">
        <x:v>Source min 25,20 m ; max 120,80 m ; modèle 25 × 20 m ; niveaux 0. Détails dans catalogue-existant.json.</x:v>
      </x:c>
    </x:row>
    <x:row r="171">
      <x:c r="A171" t="str">
        <x:v>DW-0166</x:v>
      </x:c>
      <x:c r="B171" t="str">
        <x:v>DW-0166</x:v>
      </x:c>
      <x:c r="C171" t="str">
        <x:v>Parent historique</x:v>
      </x:c>
      <x:c r="D171" t="str">
        <x:v>Administration et communauté</x:v>
      </x:c>
      <x:c r="E171" t="str">
        <x:v>Centre fiscal</x:v>
      </x:c>
      <x:c r="F171" t="n">
        <x:v>8</x:v>
      </x:c>
      <x:c r="G171" t="n">
        <x:v>4</x:v>
      </x:c>
      <x:c r="H171" t="n">
        <x:v>12</x:v>
      </x:c>
      <x:c r="I171" t="str">
        <x:v>À qualifier par lieu</x:v>
      </x:c>
      <x:c r="J171" t="str">
        <x:v>https://github.com/darknigthmare/deadwall-last-enclosure/blob/e28f46223e73105ab2c5d83f3d50b99b58ef53e6/codex-3000/originaux/DEADWALL_CODEX_1.22/fiches/DW-0166.md</x:v>
      </x:c>
      <x:c r="K171" t="str">
        <x:v>Source min 25,20 m ; max 120,80 m ; modèle 25 × 20 m ; niveaux 0. Détails dans catalogue-existant.json.</x:v>
      </x:c>
    </x:row>
    <x:row r="172">
      <x:c r="A172" t="str">
        <x:v>DW-0167</x:v>
      </x:c>
      <x:c r="B172" t="str">
        <x:v>DW-0167</x:v>
      </x:c>
      <x:c r="C172" t="str">
        <x:v>Parent historique</x:v>
      </x:c>
      <x:c r="D172" t="str">
        <x:v>Administration et communauté</x:v>
      </x:c>
      <x:c r="E172" t="str">
        <x:v>Maison associative</x:v>
      </x:c>
      <x:c r="F172" t="n">
        <x:v>8</x:v>
      </x:c>
      <x:c r="G172" t="n">
        <x:v>4</x:v>
      </x:c>
      <x:c r="H172" t="n">
        <x:v>12</x:v>
      </x:c>
      <x:c r="I172" t="str">
        <x:v>À qualifier par lieu</x:v>
      </x:c>
      <x:c r="J172" t="str">
        <x:v>https://github.com/darknigthmare/deadwall-last-enclosure/blob/e28f46223e73105ab2c5d83f3d50b99b58ef53e6/codex-3000/originaux/DEADWALL_CODEX_1.22/fiches/DW-0167.md</x:v>
      </x:c>
      <x:c r="K172" t="str">
        <x:v>Source min 25,20 m ; max 120,80 m ; modèle 25 × 20 m ; niveaux 0. Détails dans catalogue-existant.json.</x:v>
      </x:c>
    </x:row>
    <x:row r="173">
      <x:c r="A173" t="str">
        <x:v>DW-0168</x:v>
      </x:c>
      <x:c r="B173" t="str">
        <x:v>DW-0168</x:v>
      </x:c>
      <x:c r="C173" t="str">
        <x:v>Parent historique</x:v>
      </x:c>
      <x:c r="D173" t="str">
        <x:v>Administration et communauté</x:v>
      </x:c>
      <x:c r="E173" t="str">
        <x:v>Salle des fêtes</x:v>
      </x:c>
      <x:c r="F173" t="n">
        <x:v>8</x:v>
      </x:c>
      <x:c r="G173" t="n">
        <x:v>4</x:v>
      </x:c>
      <x:c r="H173" t="n">
        <x:v>12</x:v>
      </x:c>
      <x:c r="I173" t="str">
        <x:v>À qualifier par lieu</x:v>
      </x:c>
      <x:c r="J173" t="str">
        <x:v>https://github.com/darknigthmare/deadwall-last-enclosure/blob/e28f46223e73105ab2c5d83f3d50b99b58ef53e6/codex-3000/originaux/DEADWALL_CODEX_1.22/fiches/DW-0168.md</x:v>
      </x:c>
      <x:c r="K173" t="str">
        <x:v>Source min 25,20 m ; max 120,80 m ; modèle 25 × 20 m ; niveaux 0. Détails dans catalogue-existant.json.</x:v>
      </x:c>
    </x:row>
    <x:row r="174">
      <x:c r="A174" t="str">
        <x:v>DW-0169</x:v>
      </x:c>
      <x:c r="B174" t="str">
        <x:v>DW-0169</x:v>
      </x:c>
      <x:c r="C174" t="str">
        <x:v>Parent historique</x:v>
      </x:c>
      <x:c r="D174" t="str">
        <x:v>Administration et communauté</x:v>
      </x:c>
      <x:c r="E174" t="str">
        <x:v>Centre social</x:v>
      </x:c>
      <x:c r="F174" t="n">
        <x:v>8</x:v>
      </x:c>
      <x:c r="G174" t="n">
        <x:v>4</x:v>
      </x:c>
      <x:c r="H174" t="n">
        <x:v>12</x:v>
      </x:c>
      <x:c r="I174" t="str">
        <x:v>À qualifier par lieu</x:v>
      </x:c>
      <x:c r="J174" t="str">
        <x:v>https://github.com/darknigthmare/deadwall-last-enclosure/blob/e28f46223e73105ab2c5d83f3d50b99b58ef53e6/codex-3000/originaux/DEADWALL_CODEX_1.22/fiches/DW-0169.md</x:v>
      </x:c>
      <x:c r="K174" t="str">
        <x:v>Source min 25,20 m ; max 120,80 m ; modèle 25 × 20 m ; niveaux 0. Détails dans catalogue-existant.json.</x:v>
      </x:c>
    </x:row>
    <x:row r="175">
      <x:c r="A175" t="str">
        <x:v>DW-0170</x:v>
      </x:c>
      <x:c r="B175" t="str">
        <x:v>DW-0170</x:v>
      </x:c>
      <x:c r="C175" t="str">
        <x:v>Parent historique</x:v>
      </x:c>
      <x:c r="D175" t="str">
        <x:v>Administration et communauté</x:v>
      </x:c>
      <x:c r="E175" t="str">
        <x:v>Office du tourisme</x:v>
      </x:c>
      <x:c r="F175" t="n">
        <x:v>8</x:v>
      </x:c>
      <x:c r="G175" t="n">
        <x:v>4</x:v>
      </x:c>
      <x:c r="H175" t="n">
        <x:v>12</x:v>
      </x:c>
      <x:c r="I175" t="str">
        <x:v>À qualifier par lieu</x:v>
      </x:c>
      <x:c r="J175" t="str">
        <x:v>https://github.com/darknigthmare/deadwall-last-enclosure/blob/e28f46223e73105ab2c5d83f3d50b99b58ef53e6/codex-3000/originaux/DEADWALL_CODEX_1.22/fiches/DW-0170.md</x:v>
      </x:c>
      <x:c r="K175" t="str">
        <x:v>Source min 25,20 m ; max 120,80 m ; modèle 25 × 20 m ; niveaux 0. Détails dans catalogue-existant.json.</x:v>
      </x:c>
    </x:row>
    <x:row r="176">
      <x:c r="A176" t="str">
        <x:v>DW-0171</x:v>
      </x:c>
      <x:c r="B176" t="str">
        <x:v>DW-0171</x:v>
      </x:c>
      <x:c r="C176" t="str">
        <x:v>Parent historique</x:v>
      </x:c>
      <x:c r="D176" t="str">
        <x:v>Administration et communauté</x:v>
      </x:c>
      <x:c r="E176" t="str">
        <x:v>Bourse du travail</x:v>
      </x:c>
      <x:c r="F176" t="n">
        <x:v>8</x:v>
      </x:c>
      <x:c r="G176" t="n">
        <x:v>4</x:v>
      </x:c>
      <x:c r="H176" t="n">
        <x:v>12</x:v>
      </x:c>
      <x:c r="I176" t="str">
        <x:v>À qualifier par lieu</x:v>
      </x:c>
      <x:c r="J176" t="str">
        <x:v>https://github.com/darknigthmare/deadwall-last-enclosure/blob/e28f46223e73105ab2c5d83f3d50b99b58ef53e6/codex-3000/originaux/DEADWALL_CODEX_1.22/fiches/DW-0171.md</x:v>
      </x:c>
      <x:c r="K176" t="str">
        <x:v>Source min 25,20 m ; max 120,80 m ; modèle 25 × 20 m ; niveaux 0. Détails dans catalogue-existant.json.</x:v>
      </x:c>
    </x:row>
    <x:row r="177">
      <x:c r="A177" t="str">
        <x:v>DW-0172</x:v>
      </x:c>
      <x:c r="B177" t="str">
        <x:v>DW-0172</x:v>
      </x:c>
      <x:c r="C177" t="str">
        <x:v>Parent historique</x:v>
      </x:c>
      <x:c r="D177" t="str">
        <x:v>Administration et communauté</x:v>
      </x:c>
      <x:c r="E177" t="str">
        <x:v>Maison de quartier</x:v>
      </x:c>
      <x:c r="F177" t="n">
        <x:v>8</x:v>
      </x:c>
      <x:c r="G177" t="n">
        <x:v>4</x:v>
      </x:c>
      <x:c r="H177" t="n">
        <x:v>12</x:v>
      </x:c>
      <x:c r="I177" t="str">
        <x:v>À qualifier par lieu</x:v>
      </x:c>
      <x:c r="J177" t="str">
        <x:v>https://github.com/darknigthmare/deadwall-last-enclosure/blob/e28f46223e73105ab2c5d83f3d50b99b58ef53e6/codex-3000/originaux/DEADWALL_CODEX_1.22/fiches/DW-0172.md</x:v>
      </x:c>
      <x:c r="K177" t="str">
        <x:v>Source min 25,20 m ; max 120,80 m ; modèle 25 × 20 m ; niveaux 0. Détails dans catalogue-existant.json.</x:v>
      </x:c>
    </x:row>
    <x:row r="178">
      <x:c r="A178" t="str">
        <x:v>DW-0173</x:v>
      </x:c>
      <x:c r="B178" t="str">
        <x:v>DW-0173</x:v>
      </x:c>
      <x:c r="C178" t="str">
        <x:v>Parent historique</x:v>
      </x:c>
      <x:c r="D178" t="str">
        <x:v>Administration et communauté</x:v>
      </x:c>
      <x:c r="E178" t="str">
        <x:v>Dépôt de mobilier électoral</x:v>
      </x:c>
      <x:c r="F178" t="n">
        <x:v>8</x:v>
      </x:c>
      <x:c r="G178" t="n">
        <x:v>4</x:v>
      </x:c>
      <x:c r="H178" t="n">
        <x:v>12</x:v>
      </x:c>
      <x:c r="I178" t="str">
        <x:v>À qualifier par lieu</x:v>
      </x:c>
      <x:c r="J178" t="str">
        <x:v>https://github.com/darknigthmare/deadwall-last-enclosure/blob/e28f46223e73105ab2c5d83f3d50b99b58ef53e6/codex-3000/originaux/DEADWALL_CODEX_1.22/fiches/DW-0173.md</x:v>
      </x:c>
      <x:c r="K178" t="str">
        <x:v>Source min 25,20 m ; max 120,80 m ; modèle 25 × 20 m ; niveaux 0. Détails dans catalogue-existant.json.</x:v>
      </x:c>
    </x:row>
    <x:row r="179">
      <x:c r="A179" t="str">
        <x:v>DW-0174</x:v>
      </x:c>
      <x:c r="B179" t="str">
        <x:v>DW-0174</x:v>
      </x:c>
      <x:c r="C179" t="str">
        <x:v>Parent historique</x:v>
      </x:c>
      <x:c r="D179" t="str">
        <x:v>Administration et communauté</x:v>
      </x:c>
      <x:c r="E179" t="str">
        <x:v>Atelier municipal</x:v>
      </x:c>
      <x:c r="F179" t="n">
        <x:v>8</x:v>
      </x:c>
      <x:c r="G179" t="n">
        <x:v>5</x:v>
      </x:c>
      <x:c r="H179" t="n">
        <x:v>15</x:v>
      </x:c>
      <x:c r="I179" t="str">
        <x:v>À qualifier par lieu</x:v>
      </x:c>
      <x:c r="J179" t="str">
        <x:v>https://github.com/darknigthmare/deadwall-last-enclosure/blob/e28f46223e73105ab2c5d83f3d50b99b58ef53e6/codex-3000/originaux/DEADWALL_CODEX_1.22/fiches/DW-0174.md</x:v>
      </x:c>
      <x:c r="K179" t="str">
        <x:v>Source min 25,20 m ; max 120,80 m ; modèle 26 × 22 m ; niveaux 0. Détails dans catalogue-existant.json.</x:v>
      </x:c>
    </x:row>
    <x:row r="180">
      <x:c r="A180" t="str">
        <x:v>DW-0175</x:v>
      </x:c>
      <x:c r="B180" t="str">
        <x:v>DW-0175</x:v>
      </x:c>
      <x:c r="C180" t="str">
        <x:v>Parent historique</x:v>
      </x:c>
      <x:c r="D180" t="str">
        <x:v>Administration et communauté</x:v>
      </x:c>
      <x:c r="E180" t="str">
        <x:v>Dépôt de voirie</x:v>
      </x:c>
      <x:c r="F180" t="n">
        <x:v>8</x:v>
      </x:c>
      <x:c r="G180" t="n">
        <x:v>4</x:v>
      </x:c>
      <x:c r="H180" t="n">
        <x:v>12</x:v>
      </x:c>
      <x:c r="I180" t="str">
        <x:v>À qualifier par lieu</x:v>
      </x:c>
      <x:c r="J180" t="str">
        <x:v>https://github.com/darknigthmare/deadwall-last-enclosure/blob/e28f46223e73105ab2c5d83f3d50b99b58ef53e6/codex-3000/originaux/DEADWALL_CODEX_1.22/fiches/DW-0175.md</x:v>
      </x:c>
      <x:c r="K180" t="str">
        <x:v>Source min 25,20 m ; max 120,80 m ; modèle 25 × 20 m ; niveaux 0. Détails dans catalogue-existant.json.</x:v>
      </x:c>
    </x:row>
    <x:row r="181">
      <x:c r="A181" t="str">
        <x:v>DW-0176</x:v>
      </x:c>
      <x:c r="B181" t="str">
        <x:v>DW-0176</x:v>
      </x:c>
      <x:c r="C181" t="str">
        <x:v>Parent historique</x:v>
      </x:c>
      <x:c r="D181" t="str">
        <x:v>Administration et communauté</x:v>
      </x:c>
      <x:c r="E181" t="str">
        <x:v>Maison du parc naturel</x:v>
      </x:c>
      <x:c r="F181" t="n">
        <x:v>8</x:v>
      </x:c>
      <x:c r="G181" t="n">
        <x:v>4</x:v>
      </x:c>
      <x:c r="H181" t="n">
        <x:v>12</x:v>
      </x:c>
      <x:c r="I181" t="str">
        <x:v>À qualifier par lieu</x:v>
      </x:c>
      <x:c r="J181" t="str">
        <x:v>https://github.com/darknigthmare/deadwall-last-enclosure/blob/e28f46223e73105ab2c5d83f3d50b99b58ef53e6/codex-3000/originaux/DEADWALL_CODEX_1.22/fiches/DW-0176.md</x:v>
      </x:c>
      <x:c r="K181" t="str">
        <x:v>Source min 25,20 m ; max 120,80 m ; modèle 25 × 20 m ; niveaux 0. Détails dans catalogue-existant.json.</x:v>
      </x:c>
    </x:row>
    <x:row r="182">
      <x:c r="A182" t="str">
        <x:v>DW-0177</x:v>
      </x:c>
      <x:c r="B182" t="str">
        <x:v>DW-0177</x:v>
      </x:c>
      <x:c r="C182" t="str">
        <x:v>Parent historique</x:v>
      </x:c>
      <x:c r="D182" t="str">
        <x:v>Administration et communauté</x:v>
      </x:c>
      <x:c r="E182" t="str">
        <x:v>Centre d'information routière</x:v>
      </x:c>
      <x:c r="F182" t="n">
        <x:v>8</x:v>
      </x:c>
      <x:c r="G182" t="n">
        <x:v>4</x:v>
      </x:c>
      <x:c r="H182" t="n">
        <x:v>12</x:v>
      </x:c>
      <x:c r="I182" t="str">
        <x:v>À qualifier par lieu</x:v>
      </x:c>
      <x:c r="J182" t="str">
        <x:v>https://github.com/darknigthmare/deadwall-last-enclosure/blob/e28f46223e73105ab2c5d83f3d50b99b58ef53e6/codex-3000/originaux/DEADWALL_CODEX_1.22/fiches/DW-0177.md</x:v>
      </x:c>
      <x:c r="K182" t="str">
        <x:v>Source min 25,20 m ; max 120,80 m ; modèle 25 × 20 m ; niveaux 0. Détails dans catalogue-existant.json.</x:v>
      </x:c>
    </x:row>
    <x:row r="183">
      <x:c r="A183" t="str">
        <x:v>DW-0178</x:v>
      </x:c>
      <x:c r="B183" t="str">
        <x:v>DW-0178</x:v>
      </x:c>
      <x:c r="C183" t="str">
        <x:v>Parent historique</x:v>
      </x:c>
      <x:c r="D183" t="str">
        <x:v>Administration et communauté</x:v>
      </x:c>
      <x:c r="E183" t="str">
        <x:v>Maison des archives</x:v>
      </x:c>
      <x:c r="F183" t="n">
        <x:v>8</x:v>
      </x:c>
      <x:c r="G183" t="n">
        <x:v>4</x:v>
      </x:c>
      <x:c r="H183" t="n">
        <x:v>12</x:v>
      </x:c>
      <x:c r="I183" t="str">
        <x:v>À qualifier par lieu</x:v>
      </x:c>
      <x:c r="J183" t="str">
        <x:v>https://github.com/darknigthmare/deadwall-last-enclosure/blob/e28f46223e73105ab2c5d83f3d50b99b58ef53e6/codex-3000/originaux/DEADWALL_CODEX_1.22/fiches/DW-0178.md</x:v>
      </x:c>
      <x:c r="K183" t="str">
        <x:v>Source min 25,20 m ; max 120,80 m ; modèle 25 × 20 m ; niveaux 0. Détails dans catalogue-existant.json.</x:v>
      </x:c>
    </x:row>
    <x:row r="184">
      <x:c r="A184" t="str">
        <x:v>DW-0179</x:v>
      </x:c>
      <x:c r="B184" t="str">
        <x:v>DW-0179</x:v>
      </x:c>
      <x:c r="C184" t="str">
        <x:v>Parent historique</x:v>
      </x:c>
      <x:c r="D184" t="str">
        <x:v>Administration et communauté</x:v>
      </x:c>
      <x:c r="E184" t="str">
        <x:v>Église paroissiale</x:v>
      </x:c>
      <x:c r="F184" t="n">
        <x:v>8</x:v>
      </x:c>
      <x:c r="G184" t="n">
        <x:v>4</x:v>
      </x:c>
      <x:c r="H184" t="n">
        <x:v>12</x:v>
      </x:c>
      <x:c r="I184" t="str">
        <x:v>À qualifier par lieu</x:v>
      </x:c>
      <x:c r="J184" t="str">
        <x:v>https://github.com/darknigthmare/deadwall-last-enclosure/blob/e28f46223e73105ab2c5d83f3d50b99b58ef53e6/codex-3000/originaux/DEADWALL_CODEX_1.22/fiches/DW-0179.md</x:v>
      </x:c>
      <x:c r="K184" t="str">
        <x:v>Source min 25,20 m ; max 120,80 m ; modèle 25 × 20 m ; niveaux 0. Détails dans catalogue-existant.json.</x:v>
      </x:c>
    </x:row>
    <x:row r="185">
      <x:c r="A185" t="str">
        <x:v>DW-0180</x:v>
      </x:c>
      <x:c r="B185" t="str">
        <x:v>DW-0180</x:v>
      </x:c>
      <x:c r="C185" t="str">
        <x:v>Parent historique</x:v>
      </x:c>
      <x:c r="D185" t="str">
        <x:v>Administration et communauté</x:v>
      </x:c>
      <x:c r="E185" t="str">
        <x:v>Temple communautaire</x:v>
      </x:c>
      <x:c r="F185" t="n">
        <x:v>8</x:v>
      </x:c>
      <x:c r="G185" t="n">
        <x:v>4</x:v>
      </x:c>
      <x:c r="H185" t="n">
        <x:v>12</x:v>
      </x:c>
      <x:c r="I185" t="str">
        <x:v>À qualifier par lieu</x:v>
      </x:c>
      <x:c r="J185" t="str">
        <x:v>https://github.com/darknigthmare/deadwall-last-enclosure/blob/e28f46223e73105ab2c5d83f3d50b99b58ef53e6/codex-3000/originaux/DEADWALL_CODEX_1.22/fiches/DW-0180.md</x:v>
      </x:c>
      <x:c r="K185" t="str">
        <x:v>Source min 25,20 m ; max 120,80 m ; modèle 25 × 20 m ; niveaux 0. Détails dans catalogue-existant.json.</x:v>
      </x:c>
    </x:row>
    <x:row r="186">
      <x:c r="A186" t="str">
        <x:v>DW-0181</x:v>
      </x:c>
      <x:c r="B186" t="str">
        <x:v>DW-0181</x:v>
      </x:c>
      <x:c r="C186" t="str">
        <x:v>Parent historique</x:v>
      </x:c>
      <x:c r="D186" t="str">
        <x:v>Secours et protection civile</x:v>
      </x:c>
      <x:c r="E186" t="str">
        <x:v>Caserne de pompiers</x:v>
      </x:c>
      <x:c r="F186" t="n">
        <x:v>8</x:v>
      </x:c>
      <x:c r="G186" t="n">
        <x:v>5</x:v>
      </x:c>
      <x:c r="H186" t="n">
        <x:v>15</x:v>
      </x:c>
      <x:c r="I186" t="str">
        <x:v>À qualifier par lieu</x:v>
      </x:c>
      <x:c r="J186" t="str">
        <x:v>https://github.com/darknigthmare/deadwall-last-enclosure/blob/e28f46223e73105ab2c5d83f3d50b99b58ef53e6/codex-3000/originaux/DEADWALL_CODEX_1.22/fiches/DW-0181.md</x:v>
      </x:c>
      <x:c r="K186" t="str">
        <x:v>Source min 24,18 m ; max 85,65 m ; modèle 26 × 22 m ; niveaux 0, 1. Détails dans catalogue-existant.json.</x:v>
      </x:c>
    </x:row>
    <x:row r="187">
      <x:c r="A187" t="str">
        <x:v>DW-0182</x:v>
      </x:c>
      <x:c r="B187" t="str">
        <x:v>DW-0182</x:v>
      </x:c>
      <x:c r="C187" t="str">
        <x:v>Parent historique</x:v>
      </x:c>
      <x:c r="D187" t="str">
        <x:v>Secours et protection civile</x:v>
      </x:c>
      <x:c r="E187" t="str">
        <x:v>Centre de secours rural</x:v>
      </x:c>
      <x:c r="F187" t="n">
        <x:v>8</x:v>
      </x:c>
      <x:c r="G187" t="n">
        <x:v>4</x:v>
      </x:c>
      <x:c r="H187" t="n">
        <x:v>12</x:v>
      </x:c>
      <x:c r="I187" t="str">
        <x:v>À qualifier par lieu</x:v>
      </x:c>
      <x:c r="J187" t="str">
        <x:v>https://github.com/darknigthmare/deadwall-last-enclosure/blob/e28f46223e73105ab2c5d83f3d50b99b58ef53e6/codex-3000/originaux/DEADWALL_CODEX_1.22/fiches/DW-0182.md</x:v>
      </x:c>
      <x:c r="K187" t="str">
        <x:v>Source min 24,18 m ; max 85,65 m ; modèle 25 × 18 m ; niveaux 0. Détails dans catalogue-existant.json.</x:v>
      </x:c>
    </x:row>
    <x:row r="188">
      <x:c r="A188" t="str">
        <x:v>DW-0183</x:v>
      </x:c>
      <x:c r="B188" t="str">
        <x:v>DW-0183</x:v>
      </x:c>
      <x:c r="C188" t="str">
        <x:v>Parent historique</x:v>
      </x:c>
      <x:c r="D188" t="str">
        <x:v>Secours et protection civile</x:v>
      </x:c>
      <x:c r="E188" t="str">
        <x:v>Commissariat de quartier</x:v>
      </x:c>
      <x:c r="F188" t="n">
        <x:v>8</x:v>
      </x:c>
      <x:c r="G188" t="n">
        <x:v>4</x:v>
      </x:c>
      <x:c r="H188" t="n">
        <x:v>12</x:v>
      </x:c>
      <x:c r="I188" t="str">
        <x:v>À qualifier par lieu</x:v>
      </x:c>
      <x:c r="J188" t="str">
        <x:v>https://github.com/darknigthmare/deadwall-last-enclosure/blob/e28f46223e73105ab2c5d83f3d50b99b58ef53e6/codex-3000/originaux/DEADWALL_CODEX_1.22/fiches/DW-0183.md</x:v>
      </x:c>
      <x:c r="K188" t="str">
        <x:v>Source min 24,18 m ; max 85,65 m ; modèle 25 × 18 m ; niveaux 0. Détails dans catalogue-existant.json.</x:v>
      </x:c>
    </x:row>
    <x:row r="189">
      <x:c r="A189" t="str">
        <x:v>DW-0184</x:v>
      </x:c>
      <x:c r="B189" t="str">
        <x:v>DW-0184</x:v>
      </x:c>
      <x:c r="C189" t="str">
        <x:v>Parent historique</x:v>
      </x:c>
      <x:c r="D189" t="str">
        <x:v>Secours et protection civile</x:v>
      </x:c>
      <x:c r="E189" t="str">
        <x:v>Poste de police rurale</x:v>
      </x:c>
      <x:c r="F189" t="n">
        <x:v>8</x:v>
      </x:c>
      <x:c r="G189" t="n">
        <x:v>4</x:v>
      </x:c>
      <x:c r="H189" t="n">
        <x:v>12</x:v>
      </x:c>
      <x:c r="I189" t="str">
        <x:v>À qualifier par lieu</x:v>
      </x:c>
      <x:c r="J189" t="str">
        <x:v>https://github.com/darknigthmare/deadwall-last-enclosure/blob/e28f46223e73105ab2c5d83f3d50b99b58ef53e6/codex-3000/originaux/DEADWALL_CODEX_1.22/fiches/DW-0184.md</x:v>
      </x:c>
      <x:c r="K189" t="str">
        <x:v>Source min 24,18 m ; max 85,65 m ; modèle 25 × 18 m ; niveaux 0. Détails dans catalogue-existant.json.</x:v>
      </x:c>
    </x:row>
    <x:row r="190">
      <x:c r="A190" t="str">
        <x:v>DW-0185</x:v>
      </x:c>
      <x:c r="B190" t="str">
        <x:v>DW-0185</x:v>
      </x:c>
      <x:c r="C190" t="str">
        <x:v>Parent historique</x:v>
      </x:c>
      <x:c r="D190" t="str">
        <x:v>Secours et protection civile</x:v>
      </x:c>
      <x:c r="E190" t="str">
        <x:v>Poste de surveillance de plage</x:v>
      </x:c>
      <x:c r="F190" t="n">
        <x:v>8</x:v>
      </x:c>
      <x:c r="G190" t="n">
        <x:v>4</x:v>
      </x:c>
      <x:c r="H190" t="n">
        <x:v>12</x:v>
      </x:c>
      <x:c r="I190" t="str">
        <x:v>À qualifier par lieu</x:v>
      </x:c>
      <x:c r="J190" t="str">
        <x:v>https://github.com/darknigthmare/deadwall-last-enclosure/blob/e28f46223e73105ab2c5d83f3d50b99b58ef53e6/codex-3000/originaux/DEADWALL_CODEX_1.22/fiches/DW-0185.md</x:v>
      </x:c>
      <x:c r="K190" t="str">
        <x:v>Source min 24,18 m ; max 85,65 m ; modèle 25 × 18 m ; niveaux 0. Détails dans catalogue-existant.json.</x:v>
      </x:c>
    </x:row>
    <x:row r="191">
      <x:c r="A191" t="str">
        <x:v>DW-0186</x:v>
      </x:c>
      <x:c r="B191" t="str">
        <x:v>DW-0186</x:v>
      </x:c>
      <x:c r="C191" t="str">
        <x:v>Parent historique</x:v>
      </x:c>
      <x:c r="D191" t="str">
        <x:v>Secours et protection civile</x:v>
      </x:c>
      <x:c r="E191" t="str">
        <x:v>Base de sauvetage côtier</x:v>
      </x:c>
      <x:c r="F191" t="n">
        <x:v>8</x:v>
      </x:c>
      <x:c r="G191" t="n">
        <x:v>4</x:v>
      </x:c>
      <x:c r="H191" t="n">
        <x:v>12</x:v>
      </x:c>
      <x:c r="I191" t="str">
        <x:v>À qualifier par lieu</x:v>
      </x:c>
      <x:c r="J191" t="str">
        <x:v>https://github.com/darknigthmare/deadwall-last-enclosure/blob/e28f46223e73105ab2c5d83f3d50b99b58ef53e6/codex-3000/originaux/DEADWALL_CODEX_1.22/fiches/DW-0186.md</x:v>
      </x:c>
      <x:c r="K191" t="str">
        <x:v>Source min 24,18 m ; max 85,65 m ; modèle 25 × 18 m ; niveaux 0, 1, 2. Détails dans catalogue-existant.json.</x:v>
      </x:c>
    </x:row>
    <x:row r="192">
      <x:c r="A192" t="str">
        <x:v>DW-0187</x:v>
      </x:c>
      <x:c r="B192" t="str">
        <x:v>DW-0187</x:v>
      </x:c>
      <x:c r="C192" t="str">
        <x:v>Parent historique</x:v>
      </x:c>
      <x:c r="D192" t="str">
        <x:v>Secours et protection civile</x:v>
      </x:c>
      <x:c r="E192" t="str">
        <x:v>Centre de protection civile</x:v>
      </x:c>
      <x:c r="F192" t="n">
        <x:v>8</x:v>
      </x:c>
      <x:c r="G192" t="n">
        <x:v>4</x:v>
      </x:c>
      <x:c r="H192" t="n">
        <x:v>12</x:v>
      </x:c>
      <x:c r="I192" t="str">
        <x:v>À qualifier par lieu</x:v>
      </x:c>
      <x:c r="J192" t="str">
        <x:v>https://github.com/darknigthmare/deadwall-last-enclosure/blob/e28f46223e73105ab2c5d83f3d50b99b58ef53e6/codex-3000/originaux/DEADWALL_CODEX_1.22/fiches/DW-0187.md</x:v>
      </x:c>
      <x:c r="K192" t="str">
        <x:v>Source min 24,18 m ; max 85,65 m ; modèle 25 × 18 m ; niveaux 0. Détails dans catalogue-existant.json.</x:v>
      </x:c>
    </x:row>
    <x:row r="193">
      <x:c r="A193" t="str">
        <x:v>DW-0188</x:v>
      </x:c>
      <x:c r="B193" t="str">
        <x:v>DW-0188</x:v>
      </x:c>
      <x:c r="C193" t="str">
        <x:v>Parent historique</x:v>
      </x:c>
      <x:c r="D193" t="str">
        <x:v>Secours et protection civile</x:v>
      </x:c>
      <x:c r="E193" t="str">
        <x:v>Poste médical de stade</x:v>
      </x:c>
      <x:c r="F193" t="n">
        <x:v>8</x:v>
      </x:c>
      <x:c r="G193" t="n">
        <x:v>4</x:v>
      </x:c>
      <x:c r="H193" t="n">
        <x:v>12</x:v>
      </x:c>
      <x:c r="I193" t="str">
        <x:v>À qualifier par lieu</x:v>
      </x:c>
      <x:c r="J193" t="str">
        <x:v>https://github.com/darknigthmare/deadwall-last-enclosure/blob/e28f46223e73105ab2c5d83f3d50b99b58ef53e6/codex-3000/originaux/DEADWALL_CODEX_1.22/fiches/DW-0188.md</x:v>
      </x:c>
      <x:c r="K193" t="str">
        <x:v>Source min 24,18 m ; max 85,65 m ; modèle 25 × 18 m ; niveaux 0. Détails dans catalogue-existant.json.</x:v>
      </x:c>
    </x:row>
    <x:row r="194">
      <x:c r="A194" t="str">
        <x:v>DW-0189</x:v>
      </x:c>
      <x:c r="B194" t="str">
        <x:v>DW-0189</x:v>
      </x:c>
      <x:c r="C194" t="str">
        <x:v>Parent historique</x:v>
      </x:c>
      <x:c r="D194" t="str">
        <x:v>Secours et protection civile</x:v>
      </x:c>
      <x:c r="E194" t="str">
        <x:v>Refuge d'urgence communal</x:v>
      </x:c>
      <x:c r="F194" t="n">
        <x:v>8</x:v>
      </x:c>
      <x:c r="G194" t="n">
        <x:v>5</x:v>
      </x:c>
      <x:c r="H194" t="n">
        <x:v>15</x:v>
      </x:c>
      <x:c r="I194" t="str">
        <x:v>À qualifier par lieu</x:v>
      </x:c>
      <x:c r="J194" t="str">
        <x:v>https://github.com/darknigthmare/deadwall-last-enclosure/blob/e28f46223e73105ab2c5d83f3d50b99b58ef53e6/codex-3000/originaux/DEADWALL_CODEX_1.22/fiches/DW-0189.md</x:v>
      </x:c>
      <x:c r="K194" t="str">
        <x:v>Source min 24,18 m ; max 85,65 m ; modèle 26 × 22 m ; niveaux 0. Détails dans catalogue-existant.json.</x:v>
      </x:c>
    </x:row>
    <x:row r="195">
      <x:c r="A195" t="str">
        <x:v>DW-0190</x:v>
      </x:c>
      <x:c r="B195" t="str">
        <x:v>DW-0190</x:v>
      </x:c>
      <x:c r="C195" t="str">
        <x:v>Parent historique</x:v>
      </x:c>
      <x:c r="D195" t="str">
        <x:v>Secours et protection civile</x:v>
      </x:c>
      <x:c r="E195" t="str">
        <x:v>Centre d'hébergement de crise</x:v>
      </x:c>
      <x:c r="F195" t="n">
        <x:v>8</x:v>
      </x:c>
      <x:c r="G195" t="n">
        <x:v>4</x:v>
      </x:c>
      <x:c r="H195" t="n">
        <x:v>12</x:v>
      </x:c>
      <x:c r="I195" t="str">
        <x:v>À qualifier par lieu</x:v>
      </x:c>
      <x:c r="J195" t="str">
        <x:v>https://github.com/darknigthmare/deadwall-last-enclosure/blob/e28f46223e73105ab2c5d83f3d50b99b58ef53e6/codex-3000/originaux/DEADWALL_CODEX_1.22/fiches/DW-0190.md</x:v>
      </x:c>
      <x:c r="K195" t="str">
        <x:v>Source min 24,18 m ; max 85,65 m ; modèle 25 × 18 m ; niveaux 0. Détails dans catalogue-existant.json.</x:v>
      </x:c>
    </x:row>
    <x:row r="196">
      <x:c r="A196" t="str">
        <x:v>DW-0191</x:v>
      </x:c>
      <x:c r="B196" t="str">
        <x:v>DW-0191</x:v>
      </x:c>
      <x:c r="C196" t="str">
        <x:v>Parent historique</x:v>
      </x:c>
      <x:c r="D196" t="str">
        <x:v>Secours et protection civile</x:v>
      </x:c>
      <x:c r="E196" t="str">
        <x:v>Dépôt de secours</x:v>
      </x:c>
      <x:c r="F196" t="n">
        <x:v>8</x:v>
      </x:c>
      <x:c r="G196" t="n">
        <x:v>4</x:v>
      </x:c>
      <x:c r="H196" t="n">
        <x:v>12</x:v>
      </x:c>
      <x:c r="I196" t="str">
        <x:v>À qualifier par lieu</x:v>
      </x:c>
      <x:c r="J196" t="str">
        <x:v>https://github.com/darknigthmare/deadwall-last-enclosure/blob/e28f46223e73105ab2c5d83f3d50b99b58ef53e6/codex-3000/originaux/DEADWALL_CODEX_1.22/fiches/DW-0191.md</x:v>
      </x:c>
      <x:c r="K196" t="str">
        <x:v>Source min 24,18 m ; max 85,65 m ; modèle 25 × 18 m ; niveaux 0. Détails dans catalogue-existant.json.</x:v>
      </x:c>
    </x:row>
    <x:row r="197">
      <x:c r="A197" t="str">
        <x:v>DW-0192</x:v>
      </x:c>
      <x:c r="B197" t="str">
        <x:v>DW-0192</x:v>
      </x:c>
      <x:c r="C197" t="str">
        <x:v>Parent historique</x:v>
      </x:c>
      <x:c r="D197" t="str">
        <x:v>Secours et protection civile</x:v>
      </x:c>
      <x:c r="E197" t="str">
        <x:v>Atelier d'ambulances</x:v>
      </x:c>
      <x:c r="F197" t="n">
        <x:v>8</x:v>
      </x:c>
      <x:c r="G197" t="n">
        <x:v>4</x:v>
      </x:c>
      <x:c r="H197" t="n">
        <x:v>12</x:v>
      </x:c>
      <x:c r="I197" t="str">
        <x:v>À qualifier par lieu</x:v>
      </x:c>
      <x:c r="J197" t="str">
        <x:v>https://github.com/darknigthmare/deadwall-last-enclosure/blob/e28f46223e73105ab2c5d83f3d50b99b58ef53e6/codex-3000/originaux/DEADWALL_CODEX_1.22/fiches/DW-0192.md</x:v>
      </x:c>
      <x:c r="K197" t="str">
        <x:v>Source min 24,18 m ; max 85,65 m ; modèle 25 × 18 m ; niveaux 0. Détails dans catalogue-existant.json.</x:v>
      </x:c>
    </x:row>
    <x:row r="198">
      <x:c r="A198" t="str">
        <x:v>DW-0193</x:v>
      </x:c>
      <x:c r="B198" t="str">
        <x:v>DW-0193</x:v>
      </x:c>
      <x:c r="C198" t="str">
        <x:v>Parent historique</x:v>
      </x:c>
      <x:c r="D198" t="str">
        <x:v>Secours et protection civile</x:v>
      </x:c>
      <x:c r="E198" t="str">
        <x:v>Centre de gestion de crise</x:v>
      </x:c>
      <x:c r="F198" t="n">
        <x:v>8</x:v>
      </x:c>
      <x:c r="G198" t="n">
        <x:v>4</x:v>
      </x:c>
      <x:c r="H198" t="n">
        <x:v>12</x:v>
      </x:c>
      <x:c r="I198" t="str">
        <x:v>À qualifier par lieu</x:v>
      </x:c>
      <x:c r="J198" t="str">
        <x:v>https://github.com/darknigthmare/deadwall-last-enclosure/blob/e28f46223e73105ab2c5d83f3d50b99b58ef53e6/codex-3000/originaux/DEADWALL_CODEX_1.22/fiches/DW-0193.md</x:v>
      </x:c>
      <x:c r="K198" t="str">
        <x:v>Source min 24,18 m ; max 85,65 m ; modèle 25 × 18 m ; niveaux 0. Détails dans catalogue-existant.json.</x:v>
      </x:c>
    </x:row>
    <x:row r="199">
      <x:c r="A199" t="str">
        <x:v>DW-0194</x:v>
      </x:c>
      <x:c r="B199" t="str">
        <x:v>DW-0194</x:v>
      </x:c>
      <x:c r="C199" t="str">
        <x:v>Parent historique</x:v>
      </x:c>
      <x:c r="D199" t="str">
        <x:v>Secours et protection civile</x:v>
      </x:c>
      <x:c r="E199" t="str">
        <x:v>Poste de secours autoroutier</x:v>
      </x:c>
      <x:c r="F199" t="n">
        <x:v>8</x:v>
      </x:c>
      <x:c r="G199" t="n">
        <x:v>4</x:v>
      </x:c>
      <x:c r="H199" t="n">
        <x:v>12</x:v>
      </x:c>
      <x:c r="I199" t="str">
        <x:v>À qualifier par lieu</x:v>
      </x:c>
      <x:c r="J199" t="str">
        <x:v>https://github.com/darknigthmare/deadwall-last-enclosure/blob/e28f46223e73105ab2c5d83f3d50b99b58ef53e6/codex-3000/originaux/DEADWALL_CODEX_1.22/fiches/DW-0194.md</x:v>
      </x:c>
      <x:c r="K199" t="str">
        <x:v>Source min 24,18 m ; max 85,65 m ; modèle 25 × 18 m ; niveaux 0. Détails dans catalogue-existant.json.</x:v>
      </x:c>
    </x:row>
    <x:row r="200">
      <x:c r="A200" t="str">
        <x:v>DW-0195</x:v>
      </x:c>
      <x:c r="B200" t="str">
        <x:v>DW-0195</x:v>
      </x:c>
      <x:c r="C200" t="str">
        <x:v>Parent historique</x:v>
      </x:c>
      <x:c r="D200" t="str">
        <x:v>Secours et protection civile</x:v>
      </x:c>
      <x:c r="E200" t="str">
        <x:v>Tour de guet forestière</x:v>
      </x:c>
      <x:c r="F200" t="n">
        <x:v>8</x:v>
      </x:c>
      <x:c r="G200" t="n">
        <x:v>4</x:v>
      </x:c>
      <x:c r="H200" t="n">
        <x:v>10</x:v>
      </x:c>
      <x:c r="I200" t="str">
        <x:v>À qualifier par lieu</x:v>
      </x:c>
      <x:c r="J200" t="str">
        <x:v>https://github.com/darknigthmare/deadwall-last-enclosure/blob/e28f46223e73105ab2c5d83f3d50b99b58ef53e6/codex-3000/originaux/DEADWALL_CODEX_1.22/fiches/DW-0195.md</x:v>
      </x:c>
      <x:c r="K200" t="str">
        <x:v>Source min 24,18 m ; max 85,65 m ; modèle 25 × 18 m ; niveaux 0. Détails dans catalogue-existant.json.</x:v>
      </x:c>
    </x:row>
    <x:row r="201">
      <x:c r="A201" t="str">
        <x:v>DW-0196</x:v>
      </x:c>
      <x:c r="B201" t="str">
        <x:v>DW-0196</x:v>
      </x:c>
      <x:c r="C201" t="str">
        <x:v>Parent historique</x:v>
      </x:c>
      <x:c r="D201" t="str">
        <x:v>Secours et protection civile</x:v>
      </x:c>
      <x:c r="E201" t="str">
        <x:v>Centre de gardes forestiers</x:v>
      </x:c>
      <x:c r="F201" t="n">
        <x:v>8</x:v>
      </x:c>
      <x:c r="G201" t="n">
        <x:v>4</x:v>
      </x:c>
      <x:c r="H201" t="n">
        <x:v>12</x:v>
      </x:c>
      <x:c r="I201" t="str">
        <x:v>À qualifier par lieu</x:v>
      </x:c>
      <x:c r="J201" t="str">
        <x:v>https://github.com/darknigthmare/deadwall-last-enclosure/blob/e28f46223e73105ab2c5d83f3d50b99b58ef53e6/codex-3000/originaux/DEADWALL_CODEX_1.22/fiches/DW-0196.md</x:v>
      </x:c>
      <x:c r="K201" t="str">
        <x:v>Source min 24,18 m ; max 85,65 m ; modèle 25 × 18 m ; niveaux 0. Détails dans catalogue-existant.json.</x:v>
      </x:c>
    </x:row>
    <x:row r="202">
      <x:c r="A202" t="str">
        <x:v>DW-0197</x:v>
      </x:c>
      <x:c r="B202" t="str">
        <x:v>DW-0197</x:v>
      </x:c>
      <x:c r="C202" t="str">
        <x:v>Parent historique</x:v>
      </x:c>
      <x:c r="D202" t="str">
        <x:v>Secours et protection civile</x:v>
      </x:c>
      <x:c r="E202" t="str">
        <x:v>Chenil de secours</x:v>
      </x:c>
      <x:c r="F202" t="n">
        <x:v>8</x:v>
      </x:c>
      <x:c r="G202" t="n">
        <x:v>4</x:v>
      </x:c>
      <x:c r="H202" t="n">
        <x:v>12</x:v>
      </x:c>
      <x:c r="I202" t="str">
        <x:v>À qualifier par lieu</x:v>
      </x:c>
      <x:c r="J202" t="str">
        <x:v>https://github.com/darknigthmare/deadwall-last-enclosure/blob/e28f46223e73105ab2c5d83f3d50b99b58ef53e6/codex-3000/originaux/DEADWALL_CODEX_1.22/fiches/DW-0197.md</x:v>
      </x:c>
      <x:c r="K202" t="str">
        <x:v>Source min 24,18 m ; max 85,65 m ; modèle 25 × 18 m ; niveaux 0. Détails dans catalogue-existant.json.</x:v>
      </x:c>
    </x:row>
    <x:row r="203">
      <x:c r="A203" t="str">
        <x:v>DW-0198</x:v>
      </x:c>
      <x:c r="B203" t="str">
        <x:v>DW-0198</x:v>
      </x:c>
      <x:c r="C203" t="str">
        <x:v>Parent historique</x:v>
      </x:c>
      <x:c r="D203" t="str">
        <x:v>Secours et protection civile</x:v>
      </x:c>
      <x:c r="E203" t="str">
        <x:v>Poste de secours de montagne</x:v>
      </x:c>
      <x:c r="F203" t="n">
        <x:v>8</x:v>
      </x:c>
      <x:c r="G203" t="n">
        <x:v>4</x:v>
      </x:c>
      <x:c r="H203" t="n">
        <x:v>12</x:v>
      </x:c>
      <x:c r="I203" t="str">
        <x:v>À qualifier par lieu</x:v>
      </x:c>
      <x:c r="J203" t="str">
        <x:v>https://github.com/darknigthmare/deadwall-last-enclosure/blob/e28f46223e73105ab2c5d83f3d50b99b58ef53e6/codex-3000/originaux/DEADWALL_CODEX_1.22/fiches/DW-0198.md</x:v>
      </x:c>
      <x:c r="K203" t="str">
        <x:v>Source min 24,18 m ; max 85,65 m ; modèle 25 × 18 m ; niveaux 0. Détails dans catalogue-existant.json.</x:v>
      </x:c>
    </x:row>
    <x:row r="204">
      <x:c r="A204" t="str">
        <x:v>DW-0199</x:v>
      </x:c>
      <x:c r="B204" t="str">
        <x:v>DW-0199</x:v>
      </x:c>
      <x:c r="C204" t="str">
        <x:v>Parent historique</x:v>
      </x:c>
      <x:c r="D204" t="str">
        <x:v>Secours et protection civile</x:v>
      </x:c>
      <x:c r="E204" t="str">
        <x:v>Plateforme de secours aérien</x:v>
      </x:c>
      <x:c r="F204" t="n">
        <x:v>8</x:v>
      </x:c>
      <x:c r="G204" t="n">
        <x:v>4</x:v>
      </x:c>
      <x:c r="H204" t="n">
        <x:v>12</x:v>
      </x:c>
      <x:c r="I204" t="str">
        <x:v>À qualifier par lieu</x:v>
      </x:c>
      <x:c r="J204" t="str">
        <x:v>https://github.com/darknigthmare/deadwall-last-enclosure/blob/e28f46223e73105ab2c5d83f3d50b99b58ef53e6/codex-3000/originaux/DEADWALL_CODEX_1.22/fiches/DW-0199.md</x:v>
      </x:c>
      <x:c r="K204" t="str">
        <x:v>Source min 24,18 m ; max 85,65 m ; modèle 25 × 18 m ; niveaux 0. Détails dans catalogue-existant.json.</x:v>
      </x:c>
    </x:row>
    <x:row r="205">
      <x:c r="A205" t="str">
        <x:v>DW-0200</x:v>
      </x:c>
      <x:c r="B205" t="str">
        <x:v>DW-0200</x:v>
      </x:c>
      <x:c r="C205" t="str">
        <x:v>Parent historique</x:v>
      </x:c>
      <x:c r="D205" t="str">
        <x:v>Secours et protection civile</x:v>
      </x:c>
      <x:c r="E205" t="str">
        <x:v>Point de distribution d'eau d'urgence</x:v>
      </x:c>
      <x:c r="F205" t="n">
        <x:v>8</x:v>
      </x:c>
      <x:c r="G205" t="n">
        <x:v>4</x:v>
      </x:c>
      <x:c r="H205" t="n">
        <x:v>12</x:v>
      </x:c>
      <x:c r="I205" t="str">
        <x:v>À qualifier par lieu</x:v>
      </x:c>
      <x:c r="J205" t="str">
        <x:v>https://github.com/darknigthmare/deadwall-last-enclosure/blob/e28f46223e73105ab2c5d83f3d50b99b58ef53e6/codex-3000/originaux/DEADWALL_CODEX_1.22/fiches/DW-0200.md</x:v>
      </x:c>
      <x:c r="K205" t="str">
        <x:v>Source min 24,18 m ; max 85,65 m ; modèle 25 × 18 m ; niveaux 0. Détails dans catalogue-existant.json.</x:v>
      </x:c>
    </x:row>
    <x:row r="206">
      <x:c r="A206" t="str">
        <x:v>DW-0201</x:v>
      </x:c>
      <x:c r="B206" t="str">
        <x:v>DW-0201</x:v>
      </x:c>
      <x:c r="C206" t="str">
        <x:v>Parent historique</x:v>
      </x:c>
      <x:c r="D206" t="str">
        <x:v>Abris et souterrains</x:v>
      </x:c>
      <x:c r="E206" t="str">
        <x:v>Abri communal souterrain</x:v>
      </x:c>
      <x:c r="F206" t="n">
        <x:v>8</x:v>
      </x:c>
      <x:c r="G206" t="n">
        <x:v>5</x:v>
      </x:c>
      <x:c r="H206" t="n">
        <x:v>13</x:v>
      </x:c>
      <x:c r="I206" t="str">
        <x:v>À qualifier par lieu</x:v>
      </x:c>
      <x:c r="J206" t="str">
        <x:v>https://github.com/darknigthmare/deadwall-last-enclosure/blob/e28f46223e73105ab2c5d83f3d50b99b58ef53e6/codex-3000/originaux/DEADWALL_CODEX_1.22/fiches/DW-0201.md</x:v>
      </x:c>
      <x:c r="K206" t="str">
        <x:v>Source min 16,12 m ; max 95,70 m ; modèle 26 × 22 m ; niveaux -1, 0. Détails dans catalogue-existant.json.</x:v>
      </x:c>
    </x:row>
    <x:row r="207">
      <x:c r="A207" t="str">
        <x:v>DW-0202</x:v>
      </x:c>
      <x:c r="B207" t="str">
        <x:v>DW-0202</x:v>
      </x:c>
      <x:c r="C207" t="str">
        <x:v>Parent historique</x:v>
      </x:c>
      <x:c r="D207" t="str">
        <x:v>Abris et souterrains</x:v>
      </x:c>
      <x:c r="E207" t="str">
        <x:v>Abri domestique</x:v>
      </x:c>
      <x:c r="F207" t="n">
        <x:v>8</x:v>
      </x:c>
      <x:c r="G207" t="n">
        <x:v>4</x:v>
      </x:c>
      <x:c r="H207" t="n">
        <x:v>10</x:v>
      </x:c>
      <x:c r="I207" t="str">
        <x:v>À qualifier par lieu</x:v>
      </x:c>
      <x:c r="J207" t="str">
        <x:v>https://github.com/darknigthmare/deadwall-last-enclosure/blob/e28f46223e73105ab2c5d83f3d50b99b58ef53e6/codex-3000/originaux/DEADWALL_CODEX_1.22/fiches/DW-0202.md</x:v>
      </x:c>
      <x:c r="K207" t="str">
        <x:v>Source min 16,12 m ; max 95,70 m ; modèle 25 × 18 m ; niveaux 0. Détails dans catalogue-existant.json.</x:v>
      </x:c>
    </x:row>
    <x:row r="208">
      <x:c r="A208" t="str">
        <x:v>DW-0203</x:v>
      </x:c>
      <x:c r="B208" t="str">
        <x:v>DW-0203</x:v>
      </x:c>
      <x:c r="C208" t="str">
        <x:v>Parent historique</x:v>
      </x:c>
      <x:c r="D208" t="str">
        <x:v>Abris et souterrains</x:v>
      </x:c>
      <x:c r="E208" t="str">
        <x:v>Bunker de commandement fictif</x:v>
      </x:c>
      <x:c r="F208" t="n">
        <x:v>8</x:v>
      </x:c>
      <x:c r="G208" t="n">
        <x:v>5</x:v>
      </x:c>
      <x:c r="H208" t="n">
        <x:v>15</x:v>
      </x:c>
      <x:c r="I208" t="str">
        <x:v>À qualifier par lieu</x:v>
      </x:c>
      <x:c r="J208" t="str">
        <x:v>https://github.com/darknigthmare/deadwall-last-enclosure/blob/e28f46223e73105ab2c5d83f3d50b99b58ef53e6/codex-3000/originaux/DEADWALL_CODEX_1.22/fiches/DW-0203.md</x:v>
      </x:c>
      <x:c r="K208" t="str">
        <x:v>Source min 16,12 m ; max 95,70 m ; modèle 26 × 22 m ; niveaux -1, 0. Détails dans catalogue-existant.json.</x:v>
      </x:c>
    </x:row>
    <x:row r="209">
      <x:c r="A209" t="str">
        <x:v>DW-0204</x:v>
      </x:c>
      <x:c r="B209" t="str">
        <x:v>DW-0204</x:v>
      </x:c>
      <x:c r="C209" t="str">
        <x:v>Parent historique</x:v>
      </x:c>
      <x:c r="D209" t="str">
        <x:v>Abris et souterrains</x:v>
      </x:c>
      <x:c r="E209" t="str">
        <x:v>Dépôt enterré fictif</x:v>
      </x:c>
      <x:c r="F209" t="n">
        <x:v>8</x:v>
      </x:c>
      <x:c r="G209" t="n">
        <x:v>4</x:v>
      </x:c>
      <x:c r="H209" t="n">
        <x:v>10</x:v>
      </x:c>
      <x:c r="I209" t="str">
        <x:v>À qualifier par lieu</x:v>
      </x:c>
      <x:c r="J209" t="str">
        <x:v>https://github.com/darknigthmare/deadwall-last-enclosure/blob/e28f46223e73105ab2c5d83f3d50b99b58ef53e6/codex-3000/originaux/DEADWALL_CODEX_1.22/fiches/DW-0204.md</x:v>
      </x:c>
      <x:c r="K209" t="str">
        <x:v>Source min 16,12 m ; max 95,70 m ; modèle 25 × 18 m ; niveaux -1, 0. Détails dans catalogue-existant.json.</x:v>
      </x:c>
    </x:row>
    <x:row r="210">
      <x:c r="A210" t="str">
        <x:v>DW-0205</x:v>
      </x:c>
      <x:c r="B210" t="str">
        <x:v>DW-0205</x:v>
      </x:c>
      <x:c r="C210" t="str">
        <x:v>Parent historique</x:v>
      </x:c>
      <x:c r="D210" t="str">
        <x:v>Abris et souterrains</x:v>
      </x:c>
      <x:c r="E210" t="str">
        <x:v>Abri ferroviaire ancien</x:v>
      </x:c>
      <x:c r="F210" t="n">
        <x:v>8</x:v>
      </x:c>
      <x:c r="G210" t="n">
        <x:v>4</x:v>
      </x:c>
      <x:c r="H210" t="n">
        <x:v>8</x:v>
      </x:c>
      <x:c r="I210" t="str">
        <x:v>À qualifier par lieu</x:v>
      </x:c>
      <x:c r="J210" t="str">
        <x:v>https://github.com/darknigthmare/deadwall-last-enclosure/blob/e28f46223e73105ab2c5d83f3d50b99b58ef53e6/codex-3000/originaux/DEADWALL_CODEX_1.22/fiches/DW-0205.md</x:v>
      </x:c>
      <x:c r="K210" t="str">
        <x:v>Source min 16,12 m ; max 95,70 m ; modèle 25 × 18 m ; niveaux 0. Détails dans catalogue-existant.json.</x:v>
      </x:c>
    </x:row>
    <x:row r="211">
      <x:c r="A211" t="str">
        <x:v>DW-0206</x:v>
      </x:c>
      <x:c r="B211" t="str">
        <x:v>DW-0206</x:v>
      </x:c>
      <x:c r="C211" t="str">
        <x:v>Parent historique</x:v>
      </x:c>
      <x:c r="D211" t="str">
        <x:v>Abris et souterrains</x:v>
      </x:c>
      <x:c r="E211" t="str">
        <x:v>Ancien fort</x:v>
      </x:c>
      <x:c r="F211" t="n">
        <x:v>8</x:v>
      </x:c>
      <x:c r="G211" t="n">
        <x:v>4</x:v>
      </x:c>
      <x:c r="H211" t="n">
        <x:v>10</x:v>
      </x:c>
      <x:c r="I211" t="str">
        <x:v>À qualifier par lieu</x:v>
      </x:c>
      <x:c r="J211" t="str">
        <x:v>https://github.com/darknigthmare/deadwall-last-enclosure/blob/e28f46223e73105ab2c5d83f3d50b99b58ef53e6/codex-3000/originaux/DEADWALL_CODEX_1.22/fiches/DW-0206.md</x:v>
      </x:c>
      <x:c r="K211" t="str">
        <x:v>Source min 16,12 m ; max 95,70 m ; modèle 25 × 18 m ; niveaux 0. Détails dans catalogue-existant.json.</x:v>
      </x:c>
    </x:row>
    <x:row r="212">
      <x:c r="A212" t="str">
        <x:v>DW-0207</x:v>
      </x:c>
      <x:c r="B212" t="str">
        <x:v>DW-0207</x:v>
      </x:c>
      <x:c r="C212" t="str">
        <x:v>Parent historique</x:v>
      </x:c>
      <x:c r="D212" t="str">
        <x:v>Abris et souterrains</x:v>
      </x:c>
      <x:c r="E212" t="str">
        <x:v>Batterie côtière désaffectée</x:v>
      </x:c>
      <x:c r="F212" t="n">
        <x:v>8</x:v>
      </x:c>
      <x:c r="G212" t="n">
        <x:v>4</x:v>
      </x:c>
      <x:c r="H212" t="n">
        <x:v>10</x:v>
      </x:c>
      <x:c r="I212" t="str">
        <x:v>À qualifier par lieu</x:v>
      </x:c>
      <x:c r="J212" t="str">
        <x:v>https://github.com/darknigthmare/deadwall-last-enclosure/blob/e28f46223e73105ab2c5d83f3d50b99b58ef53e6/codex-3000/originaux/DEADWALL_CODEX_1.22/fiches/DW-0207.md</x:v>
      </x:c>
      <x:c r="K212" t="str">
        <x:v>Source min 16,12 m ; max 95,70 m ; modèle 25 × 18 m ; niveaux 0. Détails dans catalogue-existant.json.</x:v>
      </x:c>
    </x:row>
    <x:row r="213">
      <x:c r="A213" t="str">
        <x:v>DW-0208</x:v>
      </x:c>
      <x:c r="B213" t="str">
        <x:v>DW-0208</x:v>
      </x:c>
      <x:c r="C213" t="str">
        <x:v>Parent historique</x:v>
      </x:c>
      <x:c r="D213" t="str">
        <x:v>Abris et souterrains</x:v>
      </x:c>
      <x:c r="E213" t="str">
        <x:v>Blockhaus de carrefour</x:v>
      </x:c>
      <x:c r="F213" t="n">
        <x:v>8</x:v>
      </x:c>
      <x:c r="G213" t="n">
        <x:v>3</x:v>
      </x:c>
      <x:c r="H213" t="n">
        <x:v>9</x:v>
      </x:c>
      <x:c r="I213" t="str">
        <x:v>À qualifier par lieu</x:v>
      </x:c>
      <x:c r="J213" t="str">
        <x:v>https://github.com/darknigthmare/deadwall-last-enclosure/blob/e28f46223e73105ab2c5d83f3d50b99b58ef53e6/codex-3000/originaux/DEADWALL_CODEX_1.22/fiches/DW-0208.md</x:v>
      </x:c>
      <x:c r="K213" t="str">
        <x:v>Source min 16,12 m ; max 95,70 m ; modèle 24 × 18 m ; niveaux 0. Détails dans catalogue-existant.json.</x:v>
      </x:c>
    </x:row>
    <x:row r="214">
      <x:c r="A214" t="str">
        <x:v>DW-0209</x:v>
      </x:c>
      <x:c r="B214" t="str">
        <x:v>DW-0209</x:v>
      </x:c>
      <x:c r="C214" t="str">
        <x:v>Parent historique</x:v>
      </x:c>
      <x:c r="D214" t="str">
        <x:v>Abris et souterrains</x:v>
      </x:c>
      <x:c r="E214" t="str">
        <x:v>Abri de mineurs</x:v>
      </x:c>
      <x:c r="F214" t="n">
        <x:v>8</x:v>
      </x:c>
      <x:c r="G214" t="n">
        <x:v>4</x:v>
      </x:c>
      <x:c r="H214" t="n">
        <x:v>12</x:v>
      </x:c>
      <x:c r="I214" t="str">
        <x:v>À qualifier par lieu</x:v>
      </x:c>
      <x:c r="J214" t="str">
        <x:v>https://github.com/darknigthmare/deadwall-last-enclosure/blob/e28f46223e73105ab2c5d83f3d50b99b58ef53e6/codex-3000/originaux/DEADWALL_CODEX_1.22/fiches/DW-0209.md</x:v>
      </x:c>
      <x:c r="K214" t="str">
        <x:v>Source min 16,12 m ; max 95,70 m ; modèle 25 × 18 m ; niveaux -1, 0. Détails dans catalogue-existant.json.</x:v>
      </x:c>
    </x:row>
    <x:row r="215">
      <x:c r="A215" t="str">
        <x:v>DW-0210</x:v>
      </x:c>
      <x:c r="B215" t="str">
        <x:v>DW-0210</x:v>
      </x:c>
      <x:c r="C215" t="str">
        <x:v>Parent historique</x:v>
      </x:c>
      <x:c r="D215" t="str">
        <x:v>Abris et souterrains</x:v>
      </x:c>
      <x:c r="E215" t="str">
        <x:v>Refuge de tunnel</x:v>
      </x:c>
      <x:c r="F215" t="n">
        <x:v>8</x:v>
      </x:c>
      <x:c r="G215" t="n">
        <x:v>3</x:v>
      </x:c>
      <x:c r="H215" t="n">
        <x:v>9</x:v>
      </x:c>
      <x:c r="I215" t="str">
        <x:v>À qualifier par lieu</x:v>
      </x:c>
      <x:c r="J215" t="str">
        <x:v>https://github.com/darknigthmare/deadwall-last-enclosure/blob/e28f46223e73105ab2c5d83f3d50b99b58ef53e6/codex-3000/originaux/DEADWALL_CODEX_1.22/fiches/DW-0210.md</x:v>
      </x:c>
      <x:c r="K215" t="str">
        <x:v>Source min 16,12 m ; max 95,70 m ; modèle 24 × 18 m ; niveaux 0. Détails dans catalogue-existant.json.</x:v>
      </x:c>
    </x:row>
    <x:row r="216">
      <x:c r="A216" t="str">
        <x:v>DW-0211</x:v>
      </x:c>
      <x:c r="B216" t="str">
        <x:v>DW-0211</x:v>
      </x:c>
      <x:c r="C216" t="str">
        <x:v>Parent historique</x:v>
      </x:c>
      <x:c r="D216" t="str">
        <x:v>Abris et souterrains</x:v>
      </x:c>
      <x:c r="E216" t="str">
        <x:v>Centre radio enterré fictif</x:v>
      </x:c>
      <x:c r="F216" t="n">
        <x:v>8</x:v>
      </x:c>
      <x:c r="G216" t="n">
        <x:v>4</x:v>
      </x:c>
      <x:c r="H216" t="n">
        <x:v>12</x:v>
      </x:c>
      <x:c r="I216" t="str">
        <x:v>À qualifier par lieu</x:v>
      </x:c>
      <x:c r="J216" t="str">
        <x:v>https://github.com/darknigthmare/deadwall-last-enclosure/blob/e28f46223e73105ab2c5d83f3d50b99b58ef53e6/codex-3000/originaux/DEADWALL_CODEX_1.22/fiches/DW-0211.md</x:v>
      </x:c>
      <x:c r="K216" t="str">
        <x:v>Source min 16,12 m ; max 95,70 m ; modèle 25 × 18 m ; niveaux -1, 0. Détails dans catalogue-existant.json.</x:v>
      </x:c>
    </x:row>
    <x:row r="217">
      <x:c r="A217" t="str">
        <x:v>DW-0212</x:v>
      </x:c>
      <x:c r="B217" t="str">
        <x:v>DW-0212</x:v>
      </x:c>
      <x:c r="C217" t="str">
        <x:v>Parent historique</x:v>
      </x:c>
      <x:c r="D217" t="str">
        <x:v>Abris et souterrains</x:v>
      </x:c>
      <x:c r="E217" t="str">
        <x:v>Caserne isolée désaffectée</x:v>
      </x:c>
      <x:c r="F217" t="n">
        <x:v>8</x:v>
      </x:c>
      <x:c r="G217" t="n">
        <x:v>4</x:v>
      </x:c>
      <x:c r="H217" t="n">
        <x:v>12</x:v>
      </x:c>
      <x:c r="I217" t="str">
        <x:v>À qualifier par lieu</x:v>
      </x:c>
      <x:c r="J217" t="str">
        <x:v>https://github.com/darknigthmare/deadwall-last-enclosure/blob/e28f46223e73105ab2c5d83f3d50b99b58ef53e6/codex-3000/originaux/DEADWALL_CODEX_1.22/fiches/DW-0212.md</x:v>
      </x:c>
      <x:c r="K217" t="str">
        <x:v>Source min 16,12 m ; max 95,70 m ; modèle 25 × 18 m ; niveaux 0. Détails dans catalogue-existant.json.</x:v>
      </x:c>
    </x:row>
    <x:row r="218">
      <x:c r="A218" t="str">
        <x:v>DW-0213</x:v>
      </x:c>
      <x:c r="B218" t="str">
        <x:v>DW-0213</x:v>
      </x:c>
      <x:c r="C218" t="str">
        <x:v>Parent historique</x:v>
      </x:c>
      <x:c r="D218" t="str">
        <x:v>Abris et souterrains</x:v>
      </x:c>
      <x:c r="E218" t="str">
        <x:v>Camp d'entraînement abandonné</x:v>
      </x:c>
      <x:c r="F218" t="n">
        <x:v>8</x:v>
      </x:c>
      <x:c r="G218" t="n">
        <x:v>4</x:v>
      </x:c>
      <x:c r="H218" t="n">
        <x:v>12</x:v>
      </x:c>
      <x:c r="I218" t="str">
        <x:v>À qualifier par lieu</x:v>
      </x:c>
      <x:c r="J218" t="str">
        <x:v>https://github.com/darknigthmare/deadwall-last-enclosure/blob/e28f46223e73105ab2c5d83f3d50b99b58ef53e6/codex-3000/originaux/DEADWALL_CODEX_1.22/fiches/DW-0213.md</x:v>
      </x:c>
      <x:c r="K218" t="str">
        <x:v>Source min 16,12 m ; max 95,70 m ; modèle 25 × 18 m ; niveaux 0. Détails dans catalogue-existant.json.</x:v>
      </x:c>
    </x:row>
    <x:row r="219">
      <x:c r="A219" t="str">
        <x:v>DW-0214</x:v>
      </x:c>
      <x:c r="B219" t="str">
        <x:v>DW-0214</x:v>
      </x:c>
      <x:c r="C219" t="str">
        <x:v>Parent historique</x:v>
      </x:c>
      <x:c r="D219" t="str">
        <x:v>Abris et souterrains</x:v>
      </x:c>
      <x:c r="E219" t="str">
        <x:v>Dépôt de surplus civil</x:v>
      </x:c>
      <x:c r="F219" t="n">
        <x:v>8</x:v>
      </x:c>
      <x:c r="G219" t="n">
        <x:v>4</x:v>
      </x:c>
      <x:c r="H219" t="n">
        <x:v>12</x:v>
      </x:c>
      <x:c r="I219" t="str">
        <x:v>À qualifier par lieu</x:v>
      </x:c>
      <x:c r="J219" t="str">
        <x:v>https://github.com/darknigthmare/deadwall-last-enclosure/blob/e28f46223e73105ab2c5d83f3d50b99b58ef53e6/codex-3000/originaux/DEADWALL_CODEX_1.22/fiches/DW-0214.md</x:v>
      </x:c>
      <x:c r="K219" t="str">
        <x:v>Source min 16,12 m ; max 95,70 m ; modèle 25 × 18 m ; niveaux 0. Détails dans catalogue-existant.json.</x:v>
      </x:c>
    </x:row>
    <x:row r="220">
      <x:c r="A220" t="str">
        <x:v>DW-0215</x:v>
      </x:c>
      <x:c r="B220" t="str">
        <x:v>DW-0215</x:v>
      </x:c>
      <x:c r="C220" t="str">
        <x:v>Parent historique</x:v>
      </x:c>
      <x:c r="D220" t="str">
        <x:v>Abris et souterrains</x:v>
      </x:c>
      <x:c r="E220" t="str">
        <x:v>Ancien poste frontière</x:v>
      </x:c>
      <x:c r="F220" t="n">
        <x:v>8</x:v>
      </x:c>
      <x:c r="G220" t="n">
        <x:v>4</x:v>
      </x:c>
      <x:c r="H220" t="n">
        <x:v>12</x:v>
      </x:c>
      <x:c r="I220" t="str">
        <x:v>À qualifier par lieu</x:v>
      </x:c>
      <x:c r="J220" t="str">
        <x:v>https://github.com/darknigthmare/deadwall-last-enclosure/blob/e28f46223e73105ab2c5d83f3d50b99b58ef53e6/codex-3000/originaux/DEADWALL_CODEX_1.22/fiches/DW-0215.md</x:v>
      </x:c>
      <x:c r="K220" t="str">
        <x:v>Source min 16,12 m ; max 95,70 m ; modèle 25 × 18 m ; niveaux 0. Détails dans catalogue-existant.json.</x:v>
      </x:c>
    </x:row>
    <x:row r="221">
      <x:c r="A221" t="str">
        <x:v>DW-0216</x:v>
      </x:c>
      <x:c r="B221" t="str">
        <x:v>DW-0216</x:v>
      </x:c>
      <x:c r="C221" t="str">
        <x:v>Parent historique</x:v>
      </x:c>
      <x:c r="D221" t="str">
        <x:v>Abris et souterrains</x:v>
      </x:c>
      <x:c r="E221" t="str">
        <x:v>Maison de garde d'un fort</x:v>
      </x:c>
      <x:c r="F221" t="n">
        <x:v>8</x:v>
      </x:c>
      <x:c r="G221" t="n">
        <x:v>4</x:v>
      </x:c>
      <x:c r="H221" t="n">
        <x:v>12</x:v>
      </x:c>
      <x:c r="I221" t="str">
        <x:v>À qualifier par lieu</x:v>
      </x:c>
      <x:c r="J221" t="str">
        <x:v>https://github.com/darknigthmare/deadwall-last-enclosure/blob/e28f46223e73105ab2c5d83f3d50b99b58ef53e6/codex-3000/originaux/DEADWALL_CODEX_1.22/fiches/DW-0216.md</x:v>
      </x:c>
      <x:c r="K221" t="str">
        <x:v>Source min 16,12 m ; max 95,70 m ; modèle 25 × 18 m ; niveaux 0. Détails dans catalogue-existant.json.</x:v>
      </x:c>
    </x:row>
    <x:row r="222">
      <x:c r="A222" t="str">
        <x:v>DW-0217</x:v>
      </x:c>
      <x:c r="B222" t="str">
        <x:v>DW-0217</x:v>
      </x:c>
      <x:c r="C222" t="str">
        <x:v>Parent historique</x:v>
      </x:c>
      <x:c r="D222" t="str">
        <x:v>Abris et souterrains</x:v>
      </x:c>
      <x:c r="E222" t="str">
        <x:v>Abri d'un poste électrique</x:v>
      </x:c>
      <x:c r="F222" t="n">
        <x:v>8</x:v>
      </x:c>
      <x:c r="G222" t="n">
        <x:v>4</x:v>
      </x:c>
      <x:c r="H222" t="n">
        <x:v>12</x:v>
      </x:c>
      <x:c r="I222" t="str">
        <x:v>À qualifier par lieu</x:v>
      </x:c>
      <x:c r="J222" t="str">
        <x:v>https://github.com/darknigthmare/deadwall-last-enclosure/blob/e28f46223e73105ab2c5d83f3d50b99b58ef53e6/codex-3000/originaux/DEADWALL_CODEX_1.22/fiches/DW-0217.md</x:v>
      </x:c>
      <x:c r="K222" t="str">
        <x:v>Source min 16,12 m ; max 95,70 m ; modèle 25 × 18 m ; niveaux 0. Détails dans catalogue-existant.json.</x:v>
      </x:c>
    </x:row>
    <x:row r="223">
      <x:c r="A223" t="str">
        <x:v>DW-0218</x:v>
      </x:c>
      <x:c r="B223" t="str">
        <x:v>DW-0218</x:v>
      </x:c>
      <x:c r="C223" t="str">
        <x:v>Parent historique</x:v>
      </x:c>
      <x:c r="D223" t="str">
        <x:v>Abris et souterrains</x:v>
      </x:c>
      <x:c r="E223" t="str">
        <x:v>Galerie technique abandonnée</x:v>
      </x:c>
      <x:c r="F223" t="n">
        <x:v>8</x:v>
      </x:c>
      <x:c r="G223" t="n">
        <x:v>4</x:v>
      </x:c>
      <x:c r="H223" t="n">
        <x:v>12</x:v>
      </x:c>
      <x:c r="I223" t="str">
        <x:v>À qualifier par lieu</x:v>
      </x:c>
      <x:c r="J223" t="str">
        <x:v>https://github.com/darknigthmare/deadwall-last-enclosure/blob/e28f46223e73105ab2c5d83f3d50b99b58ef53e6/codex-3000/originaux/DEADWALL_CODEX_1.22/fiches/DW-0218.md</x:v>
      </x:c>
      <x:c r="K223" t="str">
        <x:v>Source min 16,12 m ; max 95,70 m ; modèle 25 × 18 m ; niveaux 0. Détails dans catalogue-existant.json.</x:v>
      </x:c>
    </x:row>
    <x:row r="224">
      <x:c r="A224" t="str">
        <x:v>DW-0219</x:v>
      </x:c>
      <x:c r="B224" t="str">
        <x:v>DW-0219</x:v>
      </x:c>
      <x:c r="C224" t="str">
        <x:v>Parent historique</x:v>
      </x:c>
      <x:c r="D224" t="str">
        <x:v>Abris et souterrains</x:v>
      </x:c>
      <x:c r="E224" t="str">
        <x:v>Souterrain de château</x:v>
      </x:c>
      <x:c r="F224" t="n">
        <x:v>8</x:v>
      </x:c>
      <x:c r="G224" t="n">
        <x:v>4</x:v>
      </x:c>
      <x:c r="H224" t="n">
        <x:v>8</x:v>
      </x:c>
      <x:c r="I224" t="str">
        <x:v>À qualifier par lieu</x:v>
      </x:c>
      <x:c r="J224" t="str">
        <x:v>https://github.com/darknigthmare/deadwall-last-enclosure/blob/e28f46223e73105ab2c5d83f3d50b99b58ef53e6/codex-3000/originaux/DEADWALL_CODEX_1.22/fiches/DW-0219.md</x:v>
      </x:c>
      <x:c r="K224" t="str">
        <x:v>Source min 16,12 m ; max 95,70 m ; modèle 25 × 18 m ; niveaux -1, 0. Détails dans catalogue-existant.json.</x:v>
      </x:c>
    </x:row>
    <x:row r="225">
      <x:c r="A225" t="str">
        <x:v>DW-0220</x:v>
      </x:c>
      <x:c r="B225" t="str">
        <x:v>DW-0220</x:v>
      </x:c>
      <x:c r="C225" t="str">
        <x:v>Parent historique</x:v>
      </x:c>
      <x:c r="D225" t="str">
        <x:v>Abris et souterrains</x:v>
      </x:c>
      <x:c r="E225" t="str">
        <x:v>Complexe privé de survie</x:v>
      </x:c>
      <x:c r="F225" t="n">
        <x:v>8</x:v>
      </x:c>
      <x:c r="G225" t="n">
        <x:v>5</x:v>
      </x:c>
      <x:c r="H225" t="n">
        <x:v>15</x:v>
      </x:c>
      <x:c r="I225" t="str">
        <x:v>À qualifier par lieu</x:v>
      </x:c>
      <x:c r="J225" t="str">
        <x:v>https://github.com/darknigthmare/deadwall-last-enclosure/blob/e28f46223e73105ab2c5d83f3d50b99b58ef53e6/codex-3000/originaux/DEADWALL_CODEX_1.22/fiches/DW-0220.md</x:v>
      </x:c>
      <x:c r="K225" t="str">
        <x:v>Source min 16,12 m ; max 95,70 m ; modèle 26 × 22 m ; niveaux 0. Détails dans catalogue-existant.json.</x:v>
      </x:c>
    </x:row>
    <x:row r="226">
      <x:c r="A226" t="str">
        <x:v>DW-0221</x:v>
      </x:c>
      <x:c r="B226" t="str">
        <x:v>DW-0221</x:v>
      </x:c>
      <x:c r="C226" t="str">
        <x:v>Parent historique</x:v>
      </x:c>
      <x:c r="D226" t="str">
        <x:v>Entrepôts et réserves</x:v>
      </x:c>
      <x:c r="E226" t="str">
        <x:v>Entrepôt de messagerie</x:v>
      </x:c>
      <x:c r="F226" t="n">
        <x:v>8</x:v>
      </x:c>
      <x:c r="G226" t="n">
        <x:v>4</x:v>
      </x:c>
      <x:c r="H226" t="n">
        <x:v>12</x:v>
      </x:c>
      <x:c r="I226" t="str">
        <x:v>À qualifier par lieu</x:v>
      </x:c>
      <x:c r="J226" t="str">
        <x:v>https://github.com/darknigthmare/deadwall-last-enclosure/blob/e28f46223e73105ab2c5d83f3d50b99b58ef53e6/codex-3000/originaux/DEADWALL_CODEX_1.22/fiches/DW-0221.md</x:v>
      </x:c>
      <x:c r="K226" t="str">
        <x:v>Source min 35,24 m ; max 200,125 m ; modèle 35 × 24 m ; niveaux 0. Détails dans catalogue-existant.json.</x:v>
      </x:c>
    </x:row>
    <x:row r="227">
      <x:c r="A227" t="str">
        <x:v>DW-0222</x:v>
      </x:c>
      <x:c r="B227" t="str">
        <x:v>DW-0222</x:v>
      </x:c>
      <x:c r="C227" t="str">
        <x:v>Parent historique</x:v>
      </x:c>
      <x:c r="D227" t="str">
        <x:v>Entrepôts et réserves</x:v>
      </x:c>
      <x:c r="E227" t="str">
        <x:v>Plateforme logistique</x:v>
      </x:c>
      <x:c r="F227" t="n">
        <x:v>8</x:v>
      </x:c>
      <x:c r="G227" t="n">
        <x:v>4</x:v>
      </x:c>
      <x:c r="H227" t="n">
        <x:v>12</x:v>
      </x:c>
      <x:c r="I227" t="str">
        <x:v>À qualifier par lieu</x:v>
      </x:c>
      <x:c r="J227" t="str">
        <x:v>https://github.com/darknigthmare/deadwall-last-enclosure/blob/e28f46223e73105ab2c5d83f3d50b99b58ef53e6/codex-3000/originaux/DEADWALL_CODEX_1.22/fiches/DW-0222.md</x:v>
      </x:c>
      <x:c r="K227" t="str">
        <x:v>Source min 35,24 m ; max 200,125 m ; modèle 35 × 24 m ; niveaux 0. Détails dans catalogue-existant.json.</x:v>
      </x:c>
    </x:row>
    <x:row r="228">
      <x:c r="A228" t="str">
        <x:v>DW-0223</x:v>
      </x:c>
      <x:c r="B228" t="str">
        <x:v>DW-0223</x:v>
      </x:c>
      <x:c r="C228" t="str">
        <x:v>Parent historique</x:v>
      </x:c>
      <x:c r="D228" t="str">
        <x:v>Entrepôts et réserves</x:v>
      </x:c>
      <x:c r="E228" t="str">
        <x:v>Dépôt de meubles</x:v>
      </x:c>
      <x:c r="F228" t="n">
        <x:v>8</x:v>
      </x:c>
      <x:c r="G228" t="n">
        <x:v>4</x:v>
      </x:c>
      <x:c r="H228" t="n">
        <x:v>12</x:v>
      </x:c>
      <x:c r="I228" t="str">
        <x:v>À qualifier par lieu</x:v>
      </x:c>
      <x:c r="J228" t="str">
        <x:v>https://github.com/darknigthmare/deadwall-last-enclosure/blob/e28f46223e73105ab2c5d83f3d50b99b58ef53e6/codex-3000/originaux/DEADWALL_CODEX_1.22/fiches/DW-0223.md</x:v>
      </x:c>
      <x:c r="K228" t="str">
        <x:v>Source min 35,24 m ; max 200,125 m ; modèle 35 × 24 m ; niveaux 0. Détails dans catalogue-existant.json.</x:v>
      </x:c>
    </x:row>
    <x:row r="229">
      <x:c r="A229" t="str">
        <x:v>DW-0224</x:v>
      </x:c>
      <x:c r="B229" t="str">
        <x:v>DW-0224</x:v>
      </x:c>
      <x:c r="C229" t="str">
        <x:v>Parent historique</x:v>
      </x:c>
      <x:c r="D229" t="str">
        <x:v>Entrepôts et réserves</x:v>
      </x:c>
      <x:c r="E229" t="str">
        <x:v>Garde-meubles</x:v>
      </x:c>
      <x:c r="F229" t="n">
        <x:v>8</x:v>
      </x:c>
      <x:c r="G229" t="n">
        <x:v>4</x:v>
      </x:c>
      <x:c r="H229" t="n">
        <x:v>10</x:v>
      </x:c>
      <x:c r="I229" t="str">
        <x:v>À qualifier par lieu</x:v>
      </x:c>
      <x:c r="J229" t="str">
        <x:v>https://github.com/darknigthmare/deadwall-last-enclosure/blob/e28f46223e73105ab2c5d83f3d50b99b58ef53e6/codex-3000/originaux/DEADWALL_CODEX_1.22/fiches/DW-0224.md</x:v>
      </x:c>
      <x:c r="K229" t="str">
        <x:v>Source min 35,24 m ; max 200,125 m ; modèle 35 × 24 m ; niveaux 0. Détails dans catalogue-existant.json.</x:v>
      </x:c>
    </x:row>
    <x:row r="230">
      <x:c r="A230" t="str">
        <x:v>DW-0225</x:v>
      </x:c>
      <x:c r="B230" t="str">
        <x:v>DW-0225</x:v>
      </x:c>
      <x:c r="C230" t="str">
        <x:v>Parent historique</x:v>
      </x:c>
      <x:c r="D230" t="str">
        <x:v>Entrepôts et réserves</x:v>
      </x:c>
      <x:c r="E230" t="str">
        <x:v>Self-stockage extérieur</x:v>
      </x:c>
      <x:c r="F230" t="n">
        <x:v>8</x:v>
      </x:c>
      <x:c r="G230" t="n">
        <x:v>4</x:v>
      </x:c>
      <x:c r="H230" t="n">
        <x:v>12</x:v>
      </x:c>
      <x:c r="I230" t="str">
        <x:v>À qualifier par lieu</x:v>
      </x:c>
      <x:c r="J230" t="str">
        <x:v>https://github.com/darknigthmare/deadwall-last-enclosure/blob/e28f46223e73105ab2c5d83f3d50b99b58ef53e6/codex-3000/originaux/DEADWALL_CODEX_1.22/fiches/DW-0225.md</x:v>
      </x:c>
      <x:c r="K230" t="str">
        <x:v>Source min 35,24 m ; max 200,125 m ; modèle 35 × 24 m ; niveaux 0. Détails dans catalogue-existant.json.</x:v>
      </x:c>
    </x:row>
    <x:row r="231">
      <x:c r="A231" t="str">
        <x:v>DW-0226</x:v>
      </x:c>
      <x:c r="B231" t="str">
        <x:v>DW-0226</x:v>
      </x:c>
      <x:c r="C231" t="str">
        <x:v>Parent historique</x:v>
      </x:c>
      <x:c r="D231" t="str">
        <x:v>Entrepôts et réserves</x:v>
      </x:c>
      <x:c r="E231" t="str">
        <x:v>Hangar agricole de stockage</x:v>
      </x:c>
      <x:c r="F231" t="n">
        <x:v>8</x:v>
      </x:c>
      <x:c r="G231" t="n">
        <x:v>4</x:v>
      </x:c>
      <x:c r="H231" t="n">
        <x:v>12</x:v>
      </x:c>
      <x:c r="I231" t="str">
        <x:v>À qualifier par lieu</x:v>
      </x:c>
      <x:c r="J231" t="str">
        <x:v>https://github.com/darknigthmare/deadwall-last-enclosure/blob/e28f46223e73105ab2c5d83f3d50b99b58ef53e6/codex-3000/originaux/DEADWALL_CODEX_1.22/fiches/DW-0226.md</x:v>
      </x:c>
      <x:c r="K231" t="str">
        <x:v>Source min 35,24 m ; max 200,125 m ; modèle 35 × 24 m ; niveaux 0. Détails dans catalogue-existant.json.</x:v>
      </x:c>
    </x:row>
    <x:row r="232">
      <x:c r="A232" t="str">
        <x:v>DW-0227</x:v>
      </x:c>
      <x:c r="B232" t="str">
        <x:v>DW-0227</x:v>
      </x:c>
      <x:c r="C232" t="str">
        <x:v>Parent historique</x:v>
      </x:c>
      <x:c r="D232" t="str">
        <x:v>Entrepôts et réserves</x:v>
      </x:c>
      <x:c r="E232" t="str">
        <x:v>Dépôt de boissons</x:v>
      </x:c>
      <x:c r="F232" t="n">
        <x:v>8</x:v>
      </x:c>
      <x:c r="G232" t="n">
        <x:v>4</x:v>
      </x:c>
      <x:c r="H232" t="n">
        <x:v>12</x:v>
      </x:c>
      <x:c r="I232" t="str">
        <x:v>À qualifier par lieu</x:v>
      </x:c>
      <x:c r="J232" t="str">
        <x:v>https://github.com/darknigthmare/deadwall-last-enclosure/blob/e28f46223e73105ab2c5d83f3d50b99b58ef53e6/codex-3000/originaux/DEADWALL_CODEX_1.22/fiches/DW-0227.md</x:v>
      </x:c>
      <x:c r="K232" t="str">
        <x:v>Source min 35,24 m ; max 200,125 m ; modèle 35 × 24 m ; niveaux 0. Détails dans catalogue-existant.json.</x:v>
      </x:c>
    </x:row>
    <x:row r="233">
      <x:c r="A233" t="str">
        <x:v>DW-0228</x:v>
      </x:c>
      <x:c r="B233" t="str">
        <x:v>DW-0228</x:v>
      </x:c>
      <x:c r="C233" t="str">
        <x:v>Parent historique</x:v>
      </x:c>
      <x:c r="D233" t="str">
        <x:v>Entrepôts et réserves</x:v>
      </x:c>
      <x:c r="E233" t="str">
        <x:v>Stockage textile</x:v>
      </x:c>
      <x:c r="F233" t="n">
        <x:v>8</x:v>
      </x:c>
      <x:c r="G233" t="n">
        <x:v>4</x:v>
      </x:c>
      <x:c r="H233" t="n">
        <x:v>12</x:v>
      </x:c>
      <x:c r="I233" t="str">
        <x:v>À qualifier par lieu</x:v>
      </x:c>
      <x:c r="J233" t="str">
        <x:v>https://github.com/darknigthmare/deadwall-last-enclosure/blob/e28f46223e73105ab2c5d83f3d50b99b58ef53e6/codex-3000/originaux/DEADWALL_CODEX_1.22/fiches/DW-0228.md</x:v>
      </x:c>
      <x:c r="K233" t="str">
        <x:v>Source min 35,24 m ; max 200,125 m ; modèle 35 × 24 m ; niveaux 0. Détails dans catalogue-existant.json.</x:v>
      </x:c>
    </x:row>
    <x:row r="234">
      <x:c r="A234" t="str">
        <x:v>DW-0229</x:v>
      </x:c>
      <x:c r="B234" t="str">
        <x:v>DW-0229</x:v>
      </x:c>
      <x:c r="C234" t="str">
        <x:v>Parent historique</x:v>
      </x:c>
      <x:c r="D234" t="str">
        <x:v>Entrepôts et réserves</x:v>
      </x:c>
      <x:c r="E234" t="str">
        <x:v>Magasin de pièces automobiles</x:v>
      </x:c>
      <x:c r="F234" t="n">
        <x:v>8</x:v>
      </x:c>
      <x:c r="G234" t="n">
        <x:v>4</x:v>
      </x:c>
      <x:c r="H234" t="n">
        <x:v>12</x:v>
      </x:c>
      <x:c r="I234" t="str">
        <x:v>À qualifier par lieu</x:v>
      </x:c>
      <x:c r="J234" t="str">
        <x:v>https://github.com/darknigthmare/deadwall-last-enclosure/blob/e28f46223e73105ab2c5d83f3d50b99b58ef53e6/codex-3000/originaux/DEADWALL_CODEX_1.22/fiches/DW-0229.md</x:v>
      </x:c>
      <x:c r="K234" t="str">
        <x:v>Source min 35,24 m ; max 200,125 m ; modèle 35 × 24 m ; niveaux 0. Détails dans catalogue-existant.json.</x:v>
      </x:c>
    </x:row>
    <x:row r="235">
      <x:c r="A235" t="str">
        <x:v>DW-0230</x:v>
      </x:c>
      <x:c r="B235" t="str">
        <x:v>DW-0230</x:v>
      </x:c>
      <x:c r="C235" t="str">
        <x:v>Parent historique</x:v>
      </x:c>
      <x:c r="D235" t="str">
        <x:v>Entrepôts et réserves</x:v>
      </x:c>
      <x:c r="E235" t="str">
        <x:v>Entrepôt de matériaux longs</x:v>
      </x:c>
      <x:c r="F235" t="n">
        <x:v>8</x:v>
      </x:c>
      <x:c r="G235" t="n">
        <x:v>4</x:v>
      </x:c>
      <x:c r="H235" t="n">
        <x:v>12</x:v>
      </x:c>
      <x:c r="I235" t="str">
        <x:v>À qualifier par lieu</x:v>
      </x:c>
      <x:c r="J235" t="str">
        <x:v>https://github.com/darknigthmare/deadwall-last-enclosure/blob/e28f46223e73105ab2c5d83f3d50b99b58ef53e6/codex-3000/originaux/DEADWALL_CODEX_1.22/fiches/DW-0230.md</x:v>
      </x:c>
      <x:c r="K235" t="str">
        <x:v>Source min 35,24 m ; max 200,125 m ; modèle 35 × 24 m ; niveaux 0. Détails dans catalogue-existant.json.</x:v>
      </x:c>
    </x:row>
    <x:row r="236">
      <x:c r="A236" t="str">
        <x:v>DW-0231</x:v>
      </x:c>
      <x:c r="B236" t="str">
        <x:v>DW-0231</x:v>
      </x:c>
      <x:c r="C236" t="str">
        <x:v>Parent historique</x:v>
      </x:c>
      <x:c r="D236" t="str">
        <x:v>Entrepôts et réserves</x:v>
      </x:c>
      <x:c r="E236" t="str">
        <x:v>Dépôt de carrelage</x:v>
      </x:c>
      <x:c r="F236" t="n">
        <x:v>8</x:v>
      </x:c>
      <x:c r="G236" t="n">
        <x:v>4</x:v>
      </x:c>
      <x:c r="H236" t="n">
        <x:v>12</x:v>
      </x:c>
      <x:c r="I236" t="str">
        <x:v>À qualifier par lieu</x:v>
      </x:c>
      <x:c r="J236" t="str">
        <x:v>https://github.com/darknigthmare/deadwall-last-enclosure/blob/e28f46223e73105ab2c5d83f3d50b99b58ef53e6/codex-3000/originaux/DEADWALL_CODEX_1.22/fiches/DW-0231.md</x:v>
      </x:c>
      <x:c r="K236" t="str">
        <x:v>Source min 35,24 m ; max 200,125 m ; modèle 35 × 24 m ; niveaux 0. Détails dans catalogue-existant.json.</x:v>
      </x:c>
    </x:row>
    <x:row r="237">
      <x:c r="A237" t="str">
        <x:v>DW-0232</x:v>
      </x:c>
      <x:c r="B237" t="str">
        <x:v>DW-0232</x:v>
      </x:c>
      <x:c r="C237" t="str">
        <x:v>Parent historique</x:v>
      </x:c>
      <x:c r="D237" t="str">
        <x:v>Entrepôts et réserves</x:v>
      </x:c>
      <x:c r="E237" t="str">
        <x:v>Centre de déménagement</x:v>
      </x:c>
      <x:c r="F237" t="n">
        <x:v>8</x:v>
      </x:c>
      <x:c r="G237" t="n">
        <x:v>4</x:v>
      </x:c>
      <x:c r="H237" t="n">
        <x:v>12</x:v>
      </x:c>
      <x:c r="I237" t="str">
        <x:v>À qualifier par lieu</x:v>
      </x:c>
      <x:c r="J237" t="str">
        <x:v>https://github.com/darknigthmare/deadwall-last-enclosure/blob/e28f46223e73105ab2c5d83f3d50b99b58ef53e6/codex-3000/originaux/DEADWALL_CODEX_1.22/fiches/DW-0232.md</x:v>
      </x:c>
      <x:c r="K237" t="str">
        <x:v>Source min 35,24 m ; max 200,125 m ; modèle 35 × 24 m ; niveaux 0. Détails dans catalogue-existant.json.</x:v>
      </x:c>
    </x:row>
    <x:row r="238">
      <x:c r="A238" t="str">
        <x:v>DW-0233</x:v>
      </x:c>
      <x:c r="B238" t="str">
        <x:v>DW-0233</x:v>
      </x:c>
      <x:c r="C238" t="str">
        <x:v>Parent historique</x:v>
      </x:c>
      <x:c r="D238" t="str">
        <x:v>Entrepôts et réserves</x:v>
      </x:c>
      <x:c r="E238" t="str">
        <x:v>Dépôt scénique</x:v>
      </x:c>
      <x:c r="F238" t="n">
        <x:v>8</x:v>
      </x:c>
      <x:c r="G238" t="n">
        <x:v>5</x:v>
      </x:c>
      <x:c r="H238" t="n">
        <x:v>15</x:v>
      </x:c>
      <x:c r="I238" t="str">
        <x:v>À qualifier par lieu</x:v>
      </x:c>
      <x:c r="J238" t="str">
        <x:v>https://github.com/darknigthmare/deadwall-last-enclosure/blob/e28f46223e73105ab2c5d83f3d50b99b58ef53e6/codex-3000/originaux/DEADWALL_CODEX_1.22/fiches/DW-0233.md</x:v>
      </x:c>
      <x:c r="K238" t="str">
        <x:v>Source min 35,24 m ; max 200,125 m ; modèle 35 × 24 m ; niveaux 0. Détails dans catalogue-existant.json.</x:v>
      </x:c>
    </x:row>
    <x:row r="239">
      <x:c r="A239" t="str">
        <x:v>DW-0234</x:v>
      </x:c>
      <x:c r="B239" t="str">
        <x:v>DW-0234</x:v>
      </x:c>
      <x:c r="C239" t="str">
        <x:v>Parent historique</x:v>
      </x:c>
      <x:c r="D239" t="str">
        <x:v>Entrepôts et réserves</x:v>
      </x:c>
      <x:c r="E239" t="str">
        <x:v>Réserve muséale</x:v>
      </x:c>
      <x:c r="F239" t="n">
        <x:v>8</x:v>
      </x:c>
      <x:c r="G239" t="n">
        <x:v>4</x:v>
      </x:c>
      <x:c r="H239" t="n">
        <x:v>12</x:v>
      </x:c>
      <x:c r="I239" t="str">
        <x:v>À qualifier par lieu</x:v>
      </x:c>
      <x:c r="J239" t="str">
        <x:v>https://github.com/darknigthmare/deadwall-last-enclosure/blob/e28f46223e73105ab2c5d83f3d50b99b58ef53e6/codex-3000/originaux/DEADWALL_CODEX_1.22/fiches/DW-0234.md</x:v>
      </x:c>
      <x:c r="K239" t="str">
        <x:v>Source min 35,24 m ; max 200,125 m ; modèle 35 × 24 m ; niveaux 0. Détails dans catalogue-existant.json.</x:v>
      </x:c>
    </x:row>
    <x:row r="240">
      <x:c r="A240" t="str">
        <x:v>DW-0235</x:v>
      </x:c>
      <x:c r="B240" t="str">
        <x:v>DW-0235</x:v>
      </x:c>
      <x:c r="C240" t="str">
        <x:v>Parent historique</x:v>
      </x:c>
      <x:c r="D240" t="str">
        <x:v>Entrepôts et réserves</x:v>
      </x:c>
      <x:c r="E240" t="str">
        <x:v>Réserve hospitalière</x:v>
      </x:c>
      <x:c r="F240" t="n">
        <x:v>8</x:v>
      </x:c>
      <x:c r="G240" t="n">
        <x:v>4</x:v>
      </x:c>
      <x:c r="H240" t="n">
        <x:v>12</x:v>
      </x:c>
      <x:c r="I240" t="str">
        <x:v>À qualifier par lieu</x:v>
      </x:c>
      <x:c r="J240" t="str">
        <x:v>https://github.com/darknigthmare/deadwall-last-enclosure/blob/e28f46223e73105ab2c5d83f3d50b99b58ef53e6/codex-3000/originaux/DEADWALL_CODEX_1.22/fiches/DW-0235.md</x:v>
      </x:c>
      <x:c r="K240" t="str">
        <x:v>Source min 35,24 m ; max 200,125 m ; modèle 35 × 24 m ; niveaux 0. Détails dans catalogue-existant.json.</x:v>
      </x:c>
    </x:row>
    <x:row r="241">
      <x:c r="A241" t="str">
        <x:v>DW-0236</x:v>
      </x:c>
      <x:c r="B241" t="str">
        <x:v>DW-0236</x:v>
      </x:c>
      <x:c r="C241" t="str">
        <x:v>Parent historique</x:v>
      </x:c>
      <x:c r="D241" t="str">
        <x:v>Entrepôts et réserves</x:v>
      </x:c>
      <x:c r="E241" t="str">
        <x:v>Dépôt de mobilier communal</x:v>
      </x:c>
      <x:c r="F241" t="n">
        <x:v>8</x:v>
      </x:c>
      <x:c r="G241" t="n">
        <x:v>4</x:v>
      </x:c>
      <x:c r="H241" t="n">
        <x:v>12</x:v>
      </x:c>
      <x:c r="I241" t="str">
        <x:v>À qualifier par lieu</x:v>
      </x:c>
      <x:c r="J241" t="str">
        <x:v>https://github.com/darknigthmare/deadwall-last-enclosure/blob/e28f46223e73105ab2c5d83f3d50b99b58ef53e6/codex-3000/originaux/DEADWALL_CODEX_1.22/fiches/DW-0236.md</x:v>
      </x:c>
      <x:c r="K241" t="str">
        <x:v>Source min 35,24 m ; max 200,125 m ; modèle 35 × 24 m ; niveaux 0. Détails dans catalogue-existant.json.</x:v>
      </x:c>
    </x:row>
    <x:row r="242">
      <x:c r="A242" t="str">
        <x:v>DW-0237</x:v>
      </x:c>
      <x:c r="B242" t="str">
        <x:v>DW-0237</x:v>
      </x:c>
      <x:c r="C242" t="str">
        <x:v>Parent historique</x:v>
      </x:c>
      <x:c r="D242" t="str">
        <x:v>Entrepôts et réserves</x:v>
      </x:c>
      <x:c r="E242" t="str">
        <x:v>Recyclerie</x:v>
      </x:c>
      <x:c r="F242" t="n">
        <x:v>8</x:v>
      </x:c>
      <x:c r="G242" t="n">
        <x:v>5</x:v>
      </x:c>
      <x:c r="H242" t="n">
        <x:v>15</x:v>
      </x:c>
      <x:c r="I242" t="str">
        <x:v>À qualifier par lieu</x:v>
      </x:c>
      <x:c r="J242" t="str">
        <x:v>https://github.com/darknigthmare/deadwall-last-enclosure/blob/e28f46223e73105ab2c5d83f3d50b99b58ef53e6/codex-3000/originaux/DEADWALL_CODEX_1.22/fiches/DW-0237.md</x:v>
      </x:c>
      <x:c r="K242" t="str">
        <x:v>Source min 35,24 m ; max 200,125 m ; modèle 35 × 24 m ; niveaux 0. Détails dans catalogue-existant.json.</x:v>
      </x:c>
    </x:row>
    <x:row r="243">
      <x:c r="A243" t="str">
        <x:v>DW-0238</x:v>
      </x:c>
      <x:c r="B243" t="str">
        <x:v>DW-0238</x:v>
      </x:c>
      <x:c r="C243" t="str">
        <x:v>Parent historique</x:v>
      </x:c>
      <x:c r="D243" t="str">
        <x:v>Entrepôts et réserves</x:v>
      </x:c>
      <x:c r="E243" t="str">
        <x:v>Dépôt de colis automatisé</x:v>
      </x:c>
      <x:c r="F243" t="n">
        <x:v>8</x:v>
      </x:c>
      <x:c r="G243" t="n">
        <x:v>4</x:v>
      </x:c>
      <x:c r="H243" t="n">
        <x:v>12</x:v>
      </x:c>
      <x:c r="I243" t="str">
        <x:v>À qualifier par lieu</x:v>
      </x:c>
      <x:c r="J243" t="str">
        <x:v>https://github.com/darknigthmare/deadwall-last-enclosure/blob/e28f46223e73105ab2c5d83f3d50b99b58ef53e6/codex-3000/originaux/DEADWALL_CODEX_1.22/fiches/DW-0238.md</x:v>
      </x:c>
      <x:c r="K243" t="str">
        <x:v>Source min 35,24 m ; max 200,125 m ; modèle 35 × 24 m ; niveaux 0. Détails dans catalogue-existant.json.</x:v>
      </x:c>
    </x:row>
    <x:row r="244">
      <x:c r="A244" t="str">
        <x:v>DW-0239</x:v>
      </x:c>
      <x:c r="B244" t="str">
        <x:v>DW-0239</x:v>
      </x:c>
      <x:c r="C244" t="str">
        <x:v>Parent historique</x:v>
      </x:c>
      <x:c r="D244" t="str">
        <x:v>Entrepôts et réserves</x:v>
      </x:c>
      <x:c r="E244" t="str">
        <x:v>Entrepôt portuaire</x:v>
      </x:c>
      <x:c r="F244" t="n">
        <x:v>8</x:v>
      </x:c>
      <x:c r="G244" t="n">
        <x:v>4</x:v>
      </x:c>
      <x:c r="H244" t="n">
        <x:v>12</x:v>
      </x:c>
      <x:c r="I244" t="str">
        <x:v>À qualifier par lieu</x:v>
      </x:c>
      <x:c r="J244" t="str">
        <x:v>https://github.com/darknigthmare/deadwall-last-enclosure/blob/e28f46223e73105ab2c5d83f3d50b99b58ef53e6/codex-3000/originaux/DEADWALL_CODEX_1.22/fiches/DW-0239.md</x:v>
      </x:c>
      <x:c r="K244" t="str">
        <x:v>Source min 35,24 m ; max 200,125 m ; modèle 35 × 24 m ; niveaux 0. Détails dans catalogue-existant.json.</x:v>
      </x:c>
    </x:row>
    <x:row r="245">
      <x:c r="A245" t="str">
        <x:v>DW-0240</x:v>
      </x:c>
      <x:c r="B245" t="str">
        <x:v>DW-0240</x:v>
      </x:c>
      <x:c r="C245" t="str">
        <x:v>Parent historique</x:v>
      </x:c>
      <x:c r="D245" t="str">
        <x:v>Entrepôts et réserves</x:v>
      </x:c>
      <x:c r="E245" t="str">
        <x:v>Dépôt de chantier temporaire</x:v>
      </x:c>
      <x:c r="F245" t="n">
        <x:v>8</x:v>
      </x:c>
      <x:c r="G245" t="n">
        <x:v>4</x:v>
      </x:c>
      <x:c r="H245" t="n">
        <x:v>12</x:v>
      </x:c>
      <x:c r="I245" t="str">
        <x:v>À qualifier par lieu</x:v>
      </x:c>
      <x:c r="J245" t="str">
        <x:v>https://github.com/darknigthmare/deadwall-last-enclosure/blob/e28f46223e73105ab2c5d83f3d50b99b58ef53e6/codex-3000/originaux/DEADWALL_CODEX_1.22/fiches/DW-0240.md</x:v>
      </x:c>
      <x:c r="K245" t="str">
        <x:v>Source min 35,24 m ; max 200,125 m ; modèle 35 × 24 m ; niveaux 0. Détails dans catalogue-existant.json.</x:v>
      </x:c>
    </x:row>
    <x:row r="246">
      <x:c r="A246" t="str">
        <x:v>DW-0241</x:v>
      </x:c>
      <x:c r="B246" t="str">
        <x:v>DW-0241</x:v>
      </x:c>
      <x:c r="C246" t="str">
        <x:v>Parent historique</x:v>
      </x:c>
      <x:c r="D246" t="str">
        <x:v>Automobile et carburant</x:v>
      </x:c>
      <x:c r="E246" t="str">
        <x:v>Garage automobile indépendant</x:v>
      </x:c>
      <x:c r="F246" t="n">
        <x:v>8</x:v>
      </x:c>
      <x:c r="G246" t="n">
        <x:v>4</x:v>
      </x:c>
      <x:c r="H246" t="n">
        <x:v>12</x:v>
      </x:c>
      <x:c r="I246" t="str">
        <x:v>À qualifier par lieu</x:v>
      </x:c>
      <x:c r="J246" t="str">
        <x:v>https://github.com/darknigthmare/deadwall-last-enclosure/blob/e28f46223e73105ab2c5d83f3d50b99b58ef53e6/codex-3000/originaux/DEADWALL_CODEX_1.22/fiches/DW-0241.md</x:v>
      </x:c>
      <x:c r="K246" t="str">
        <x:v>Source min 22,18 m ; max 100,85 m ; modèle 25 × 18 m ; niveaux 0. Détails dans catalogue-existant.json.</x:v>
      </x:c>
    </x:row>
    <x:row r="247">
      <x:c r="A247" t="str">
        <x:v>DW-0242</x:v>
      </x:c>
      <x:c r="B247" t="str">
        <x:v>DW-0242</x:v>
      </x:c>
      <x:c r="C247" t="str">
        <x:v>Parent historique</x:v>
      </x:c>
      <x:c r="D247" t="str">
        <x:v>Automobile et carburant</x:v>
      </x:c>
      <x:c r="E247" t="str">
        <x:v>Concession automobile</x:v>
      </x:c>
      <x:c r="F247" t="n">
        <x:v>8</x:v>
      </x:c>
      <x:c r="G247" t="n">
        <x:v>4</x:v>
      </x:c>
      <x:c r="H247" t="n">
        <x:v>12</x:v>
      </x:c>
      <x:c r="I247" t="str">
        <x:v>À qualifier par lieu</x:v>
      </x:c>
      <x:c r="J247" t="str">
        <x:v>https://github.com/darknigthmare/deadwall-last-enclosure/blob/e28f46223e73105ab2c5d83f3d50b99b58ef53e6/codex-3000/originaux/DEADWALL_CODEX_1.22/fiches/DW-0242.md</x:v>
      </x:c>
      <x:c r="K247" t="str">
        <x:v>Source min 22,18 m ; max 100,85 m ; modèle 25 × 18 m ; niveaux 0. Détails dans catalogue-existant.json.</x:v>
      </x:c>
    </x:row>
    <x:row r="248">
      <x:c r="A248" t="str">
        <x:v>DW-0243</x:v>
      </x:c>
      <x:c r="B248" t="str">
        <x:v>DW-0243</x:v>
      </x:c>
      <x:c r="C248" t="str">
        <x:v>Parent historique</x:v>
      </x:c>
      <x:c r="D248" t="str">
        <x:v>Automobile et carburant</x:v>
      </x:c>
      <x:c r="E248" t="str">
        <x:v>Carrosserie</x:v>
      </x:c>
      <x:c r="F248" t="n">
        <x:v>8</x:v>
      </x:c>
      <x:c r="G248" t="n">
        <x:v>4</x:v>
      </x:c>
      <x:c r="H248" t="n">
        <x:v>12</x:v>
      </x:c>
      <x:c r="I248" t="str">
        <x:v>À qualifier par lieu</x:v>
      </x:c>
      <x:c r="J248" t="str">
        <x:v>https://github.com/darknigthmare/deadwall-last-enclosure/blob/e28f46223e73105ab2c5d83f3d50b99b58ef53e6/codex-3000/originaux/DEADWALL_CODEX_1.22/fiches/DW-0243.md</x:v>
      </x:c>
      <x:c r="K248" t="str">
        <x:v>Source min 22,18 m ; max 100,85 m ; modèle 25 × 18 m ; niveaux 0. Détails dans catalogue-existant.json.</x:v>
      </x:c>
    </x:row>
    <x:row r="249">
      <x:c r="A249" t="str">
        <x:v>DW-0244</x:v>
      </x:c>
      <x:c r="B249" t="str">
        <x:v>DW-0244</x:v>
      </x:c>
      <x:c r="C249" t="str">
        <x:v>Parent historique</x:v>
      </x:c>
      <x:c r="D249" t="str">
        <x:v>Automobile et carburant</x:v>
      </x:c>
      <x:c r="E249" t="str">
        <x:v>Atelier de pneumatiques</x:v>
      </x:c>
      <x:c r="F249" t="n">
        <x:v>8</x:v>
      </x:c>
      <x:c r="G249" t="n">
        <x:v>4</x:v>
      </x:c>
      <x:c r="H249" t="n">
        <x:v>12</x:v>
      </x:c>
      <x:c r="I249" t="str">
        <x:v>À qualifier par lieu</x:v>
      </x:c>
      <x:c r="J249" t="str">
        <x:v>https://github.com/darknigthmare/deadwall-last-enclosure/blob/e28f46223e73105ab2c5d83f3d50b99b58ef53e6/codex-3000/originaux/DEADWALL_CODEX_1.22/fiches/DW-0244.md</x:v>
      </x:c>
      <x:c r="K249" t="str">
        <x:v>Source min 22,18 m ; max 100,85 m ; modèle 25 × 18 m ; niveaux 0. Détails dans catalogue-existant.json.</x:v>
      </x:c>
    </x:row>
    <x:row r="250">
      <x:c r="A250" t="str">
        <x:v>DW-0245</x:v>
      </x:c>
      <x:c r="B250" t="str">
        <x:v>DW-0245</x:v>
      </x:c>
      <x:c r="C250" t="str">
        <x:v>Parent historique</x:v>
      </x:c>
      <x:c r="D250" t="str">
        <x:v>Automobile et carburant</x:v>
      </x:c>
      <x:c r="E250" t="str">
        <x:v>Station de contrôle technique</x:v>
      </x:c>
      <x:c r="F250" t="n">
        <x:v>8</x:v>
      </x:c>
      <x:c r="G250" t="n">
        <x:v>4</x:v>
      </x:c>
      <x:c r="H250" t="n">
        <x:v>12</x:v>
      </x:c>
      <x:c r="I250" t="str">
        <x:v>À qualifier par lieu</x:v>
      </x:c>
      <x:c r="J250" t="str">
        <x:v>https://github.com/darknigthmare/deadwall-last-enclosure/blob/e28f46223e73105ab2c5d83f3d50b99b58ef53e6/codex-3000/originaux/DEADWALL_CODEX_1.22/fiches/DW-0245.md</x:v>
      </x:c>
      <x:c r="K250" t="str">
        <x:v>Source min 22,18 m ; max 100,85 m ; modèle 25 × 18 m ; niveaux 0. Détails dans catalogue-existant.json.</x:v>
      </x:c>
    </x:row>
    <x:row r="251">
      <x:c r="A251" t="str">
        <x:v>DW-0246</x:v>
      </x:c>
      <x:c r="B251" t="str">
        <x:v>DW-0246</x:v>
      </x:c>
      <x:c r="C251" t="str">
        <x:v>Parent historique</x:v>
      </x:c>
      <x:c r="D251" t="str">
        <x:v>Automobile et carburant</x:v>
      </x:c>
      <x:c r="E251" t="str">
        <x:v>Lavage automobile</x:v>
      </x:c>
      <x:c r="F251" t="n">
        <x:v>8</x:v>
      </x:c>
      <x:c r="G251" t="n">
        <x:v>4</x:v>
      </x:c>
      <x:c r="H251" t="n">
        <x:v>12</x:v>
      </x:c>
      <x:c r="I251" t="str">
        <x:v>À qualifier par lieu</x:v>
      </x:c>
      <x:c r="J251" t="str">
        <x:v>https://github.com/darknigthmare/deadwall-last-enclosure/blob/e28f46223e73105ab2c5d83f3d50b99b58ef53e6/codex-3000/originaux/DEADWALL_CODEX_1.22/fiches/DW-0246.md</x:v>
      </x:c>
      <x:c r="K251" t="str">
        <x:v>Source min 22,18 m ; max 100,85 m ; modèle 25 × 18 m ; niveaux 0. Détails dans catalogue-existant.json.</x:v>
      </x:c>
    </x:row>
    <x:row r="252">
      <x:c r="A252" t="str">
        <x:v>DW-0247</x:v>
      </x:c>
      <x:c r="B252" t="str">
        <x:v>DW-0247</x:v>
      </x:c>
      <x:c r="C252" t="str">
        <x:v>Parent historique</x:v>
      </x:c>
      <x:c r="D252" t="str">
        <x:v>Automobile et carburant</x:v>
      </x:c>
      <x:c r="E252" t="str">
        <x:v>Station-service de village</x:v>
      </x:c>
      <x:c r="F252" t="n">
        <x:v>8</x:v>
      </x:c>
      <x:c r="G252" t="n">
        <x:v>4</x:v>
      </x:c>
      <x:c r="H252" t="n">
        <x:v>12</x:v>
      </x:c>
      <x:c r="I252" t="str">
        <x:v>À qualifier par lieu</x:v>
      </x:c>
      <x:c r="J252" t="str">
        <x:v>https://github.com/darknigthmare/deadwall-last-enclosure/blob/e28f46223e73105ab2c5d83f3d50b99b58ef53e6/codex-3000/originaux/DEADWALL_CODEX_1.22/fiches/DW-0247.md</x:v>
      </x:c>
      <x:c r="K252" t="str">
        <x:v>Source min 22,18 m ; max 100,85 m ; modèle 25 × 18 m ; niveaux 0. Détails dans catalogue-existant.json.</x:v>
      </x:c>
    </x:row>
    <x:row r="253">
      <x:c r="A253" t="str">
        <x:v>DW-0248</x:v>
      </x:c>
      <x:c r="B253" t="str">
        <x:v>DW-0248</x:v>
      </x:c>
      <x:c r="C253" t="str">
        <x:v>Parent historique</x:v>
      </x:c>
      <x:c r="D253" t="str">
        <x:v>Automobile et carburant</x:v>
      </x:c>
      <x:c r="E253" t="str">
        <x:v>Station autoroutière</x:v>
      </x:c>
      <x:c r="F253" t="n">
        <x:v>8</x:v>
      </x:c>
      <x:c r="G253" t="n">
        <x:v>5</x:v>
      </x:c>
      <x:c r="H253" t="n">
        <x:v>15</x:v>
      </x:c>
      <x:c r="I253" t="str">
        <x:v>À qualifier par lieu</x:v>
      </x:c>
      <x:c r="J253" t="str">
        <x:v>https://github.com/darknigthmare/deadwall-last-enclosure/blob/e28f46223e73105ab2c5d83f3d50b99b58ef53e6/codex-3000/originaux/DEADWALL_CODEX_1.22/fiches/DW-0248.md</x:v>
      </x:c>
      <x:c r="K253" t="str">
        <x:v>Source min 22,18 m ; max 100,85 m ; modèle 26 × 22 m ; niveaux 0. Détails dans catalogue-existant.json.</x:v>
      </x:c>
    </x:row>
    <x:row r="254">
      <x:c r="A254" t="str">
        <x:v>DW-0249</x:v>
      </x:c>
      <x:c r="B254" t="str">
        <x:v>DW-0249</x:v>
      </x:c>
      <x:c r="C254" t="str">
        <x:v>Parent historique</x:v>
      </x:c>
      <x:c r="D254" t="str">
        <x:v>Automobile et carburant</x:v>
      </x:c>
      <x:c r="E254" t="str">
        <x:v>Station urbaine compacte</x:v>
      </x:c>
      <x:c r="F254" t="n">
        <x:v>8</x:v>
      </x:c>
      <x:c r="G254" t="n">
        <x:v>4</x:v>
      </x:c>
      <x:c r="H254" t="n">
        <x:v>12</x:v>
      </x:c>
      <x:c r="I254" t="str">
        <x:v>À qualifier par lieu</x:v>
      </x:c>
      <x:c r="J254" t="str">
        <x:v>https://github.com/darknigthmare/deadwall-last-enclosure/blob/e28f46223e73105ab2c5d83f3d50b99b58ef53e6/codex-3000/originaux/DEADWALL_CODEX_1.22/fiches/DW-0249.md</x:v>
      </x:c>
      <x:c r="K254" t="str">
        <x:v>Source min 22,18 m ; max 100,85 m ; modèle 25 × 18 m ; niveaux 0. Détails dans catalogue-existant.json.</x:v>
      </x:c>
    </x:row>
    <x:row r="255">
      <x:c r="A255" t="str">
        <x:v>DW-0250</x:v>
      </x:c>
      <x:c r="B255" t="str">
        <x:v>DW-0250</x:v>
      </x:c>
      <x:c r="C255" t="str">
        <x:v>Parent historique</x:v>
      </x:c>
      <x:c r="D255" t="str">
        <x:v>Automobile et carburant</x:v>
      </x:c>
      <x:c r="E255" t="str">
        <x:v>Dépôt civil de carburant</x:v>
      </x:c>
      <x:c r="F255" t="n">
        <x:v>8</x:v>
      </x:c>
      <x:c r="G255" t="n">
        <x:v>4</x:v>
      </x:c>
      <x:c r="H255" t="n">
        <x:v>12</x:v>
      </x:c>
      <x:c r="I255" t="str">
        <x:v>À qualifier par lieu</x:v>
      </x:c>
      <x:c r="J255" t="str">
        <x:v>https://github.com/darknigthmare/deadwall-last-enclosure/blob/e28f46223e73105ab2c5d83f3d50b99b58ef53e6/codex-3000/originaux/DEADWALL_CODEX_1.22/fiches/DW-0250.md</x:v>
      </x:c>
      <x:c r="K255" t="str">
        <x:v>Source min 22,18 m ; max 100,85 m ; modèle 25 × 18 m ; niveaux 0. Détails dans catalogue-existant.json.</x:v>
      </x:c>
    </x:row>
    <x:row r="256">
      <x:c r="A256" t="str">
        <x:v>DW-0251</x:v>
      </x:c>
      <x:c r="B256" t="str">
        <x:v>DW-0251</x:v>
      </x:c>
      <x:c r="C256" t="str">
        <x:v>Parent historique</x:v>
      </x:c>
      <x:c r="D256" t="str">
        <x:v>Automobile et carburant</x:v>
      </x:c>
      <x:c r="E256" t="str">
        <x:v>Casse automobile</x:v>
      </x:c>
      <x:c r="F256" t="n">
        <x:v>8</x:v>
      </x:c>
      <x:c r="G256" t="n">
        <x:v>5</x:v>
      </x:c>
      <x:c r="H256" t="n">
        <x:v>15</x:v>
      </x:c>
      <x:c r="I256" t="str">
        <x:v>À qualifier par lieu</x:v>
      </x:c>
      <x:c r="J256" t="str">
        <x:v>https://github.com/darknigthmare/deadwall-last-enclosure/blob/e28f46223e73105ab2c5d83f3d50b99b58ef53e6/codex-3000/originaux/DEADWALL_CODEX_1.22/fiches/DW-0251.md</x:v>
      </x:c>
      <x:c r="K256" t="str">
        <x:v>Source min 22,18 m ; max 100,85 m ; modèle 26 × 22 m ; niveaux 0. Détails dans catalogue-existant.json.</x:v>
      </x:c>
    </x:row>
    <x:row r="257">
      <x:c r="A257" t="str">
        <x:v>DW-0252</x:v>
      </x:c>
      <x:c r="B257" t="str">
        <x:v>DW-0252</x:v>
      </x:c>
      <x:c r="C257" t="str">
        <x:v>Parent historique</x:v>
      </x:c>
      <x:c r="D257" t="str">
        <x:v>Automobile et carburant</x:v>
      </x:c>
      <x:c r="E257" t="str">
        <x:v>Dépanneur routier</x:v>
      </x:c>
      <x:c r="F257" t="n">
        <x:v>8</x:v>
      </x:c>
      <x:c r="G257" t="n">
        <x:v>4</x:v>
      </x:c>
      <x:c r="H257" t="n">
        <x:v>12</x:v>
      </x:c>
      <x:c r="I257" t="str">
        <x:v>À qualifier par lieu</x:v>
      </x:c>
      <x:c r="J257" t="str">
        <x:v>https://github.com/darknigthmare/deadwall-last-enclosure/blob/e28f46223e73105ab2c5d83f3d50b99b58ef53e6/codex-3000/originaux/DEADWALL_CODEX_1.22/fiches/DW-0252.md</x:v>
      </x:c>
      <x:c r="K257" t="str">
        <x:v>Source min 22,18 m ; max 100,85 m ; modèle 25 × 18 m ; niveaux 0. Détails dans catalogue-existant.json.</x:v>
      </x:c>
    </x:row>
    <x:row r="258">
      <x:c r="A258" t="str">
        <x:v>DW-0253</x:v>
      </x:c>
      <x:c r="B258" t="str">
        <x:v>DW-0253</x:v>
      </x:c>
      <x:c r="C258" t="str">
        <x:v>Parent historique</x:v>
      </x:c>
      <x:c r="D258" t="str">
        <x:v>Automobile et carburant</x:v>
      </x:c>
      <x:c r="E258" t="str">
        <x:v>Location de véhicules</x:v>
      </x:c>
      <x:c r="F258" t="n">
        <x:v>8</x:v>
      </x:c>
      <x:c r="G258" t="n">
        <x:v>4</x:v>
      </x:c>
      <x:c r="H258" t="n">
        <x:v>12</x:v>
      </x:c>
      <x:c r="I258" t="str">
        <x:v>À qualifier par lieu</x:v>
      </x:c>
      <x:c r="J258" t="str">
        <x:v>https://github.com/darknigthmare/deadwall-last-enclosure/blob/e28f46223e73105ab2c5d83f3d50b99b58ef53e6/codex-3000/originaux/DEADWALL_CODEX_1.22/fiches/DW-0253.md</x:v>
      </x:c>
      <x:c r="K258" t="str">
        <x:v>Source min 22,18 m ; max 100,85 m ; modèle 25 × 18 m ; niveaux 0. Détails dans catalogue-existant.json.</x:v>
      </x:c>
    </x:row>
    <x:row r="259">
      <x:c r="A259" t="str">
        <x:v>DW-0254</x:v>
      </x:c>
      <x:c r="B259" t="str">
        <x:v>DW-0254</x:v>
      </x:c>
      <x:c r="C259" t="str">
        <x:v>Parent historique</x:v>
      </x:c>
      <x:c r="D259" t="str">
        <x:v>Automobile et carburant</x:v>
      </x:c>
      <x:c r="E259" t="str">
        <x:v>Atelier de motos</x:v>
      </x:c>
      <x:c r="F259" t="n">
        <x:v>8</x:v>
      </x:c>
      <x:c r="G259" t="n">
        <x:v>4</x:v>
      </x:c>
      <x:c r="H259" t="n">
        <x:v>12</x:v>
      </x:c>
      <x:c r="I259" t="str">
        <x:v>À qualifier par lieu</x:v>
      </x:c>
      <x:c r="J259" t="str">
        <x:v>https://github.com/darknigthmare/deadwall-last-enclosure/blob/e28f46223e73105ab2c5d83f3d50b99b58ef53e6/codex-3000/originaux/DEADWALL_CODEX_1.22/fiches/DW-0254.md</x:v>
      </x:c>
      <x:c r="K259" t="str">
        <x:v>Source min 22,18 m ; max 100,85 m ; modèle 25 × 18 m ; niveaux 0. Détails dans catalogue-existant.json.</x:v>
      </x:c>
    </x:row>
    <x:row r="260">
      <x:c r="A260" t="str">
        <x:v>DW-0255</x:v>
      </x:c>
      <x:c r="B260" t="str">
        <x:v>DW-0255</x:v>
      </x:c>
      <x:c r="C260" t="str">
        <x:v>Parent historique</x:v>
      </x:c>
      <x:c r="D260" t="str">
        <x:v>Automobile et carburant</x:v>
      </x:c>
      <x:c r="E260" t="str">
        <x:v>Garage poids lourds</x:v>
      </x:c>
      <x:c r="F260" t="n">
        <x:v>8</x:v>
      </x:c>
      <x:c r="G260" t="n">
        <x:v>4</x:v>
      </x:c>
      <x:c r="H260" t="n">
        <x:v>12</x:v>
      </x:c>
      <x:c r="I260" t="str">
        <x:v>À qualifier par lieu</x:v>
      </x:c>
      <x:c r="J260" t="str">
        <x:v>https://github.com/darknigthmare/deadwall-last-enclosure/blob/e28f46223e73105ab2c5d83f3d50b99b58ef53e6/codex-3000/originaux/DEADWALL_CODEX_1.22/fiches/DW-0255.md</x:v>
      </x:c>
      <x:c r="K260" t="str">
        <x:v>Source min 22,18 m ; max 100,85 m ; modèle 25 × 18 m ; niveaux 0. Détails dans catalogue-existant.json.</x:v>
      </x:c>
    </x:row>
    <x:row r="261">
      <x:c r="A261" t="str">
        <x:v>DW-0256</x:v>
      </x:c>
      <x:c r="B261" t="str">
        <x:v>DW-0256</x:v>
      </x:c>
      <x:c r="C261" t="str">
        <x:v>Parent historique</x:v>
      </x:c>
      <x:c r="D261" t="str">
        <x:v>Automobile et carburant</x:v>
      </x:c>
      <x:c r="E261" t="str">
        <x:v>Dépôt de bus</x:v>
      </x:c>
      <x:c r="F261" t="n">
        <x:v>8</x:v>
      </x:c>
      <x:c r="G261" t="n">
        <x:v>4</x:v>
      </x:c>
      <x:c r="H261" t="n">
        <x:v>12</x:v>
      </x:c>
      <x:c r="I261" t="str">
        <x:v>À qualifier par lieu</x:v>
      </x:c>
      <x:c r="J261" t="str">
        <x:v>https://github.com/darknigthmare/deadwall-last-enclosure/blob/e28f46223e73105ab2c5d83f3d50b99b58ef53e6/codex-3000/originaux/DEADWALL_CODEX_1.22/fiches/DW-0256.md</x:v>
      </x:c>
      <x:c r="K261" t="str">
        <x:v>Source min 22,18 m ; max 100,85 m ; modèle 25 × 18 m ; niveaux 0. Détails dans catalogue-existant.json.</x:v>
      </x:c>
    </x:row>
    <x:row r="262">
      <x:c r="A262" t="str">
        <x:v>DW-0257</x:v>
      </x:c>
      <x:c r="B262" t="str">
        <x:v>DW-0257</x:v>
      </x:c>
      <x:c r="C262" t="str">
        <x:v>Parent historique</x:v>
      </x:c>
      <x:c r="D262" t="str">
        <x:v>Automobile et carburant</x:v>
      </x:c>
      <x:c r="E262" t="str">
        <x:v>Parking à étages</x:v>
      </x:c>
      <x:c r="F262" t="n">
        <x:v>8</x:v>
      </x:c>
      <x:c r="G262" t="n">
        <x:v>4</x:v>
      </x:c>
      <x:c r="H262" t="n">
        <x:v>10</x:v>
      </x:c>
      <x:c r="I262" t="str">
        <x:v>À qualifier par lieu</x:v>
      </x:c>
      <x:c r="J262" t="str">
        <x:v>https://github.com/darknigthmare/deadwall-last-enclosure/blob/e28f46223e73105ab2c5d83f3d50b99b58ef53e6/codex-3000/originaux/DEADWALL_CODEX_1.22/fiches/DW-0257.md</x:v>
      </x:c>
      <x:c r="K262" t="str">
        <x:v>Source min 22,18 m ; max 100,85 m ; modèle 25 × 18 m ; niveaux 0, 1, 2. Détails dans catalogue-existant.json.</x:v>
      </x:c>
    </x:row>
    <x:row r="263">
      <x:c r="A263" t="str">
        <x:v>DW-0258</x:v>
      </x:c>
      <x:c r="B263" t="str">
        <x:v>DW-0258</x:v>
      </x:c>
      <x:c r="C263" t="str">
        <x:v>Parent historique</x:v>
      </x:c>
      <x:c r="D263" t="str">
        <x:v>Automobile et carburant</x:v>
      </x:c>
      <x:c r="E263" t="str">
        <x:v>Parking de supermarché</x:v>
      </x:c>
      <x:c r="F263" t="n">
        <x:v>8</x:v>
      </x:c>
      <x:c r="G263" t="n">
        <x:v>4</x:v>
      </x:c>
      <x:c r="H263" t="n">
        <x:v>10</x:v>
      </x:c>
      <x:c r="I263" t="str">
        <x:v>À qualifier par lieu</x:v>
      </x:c>
      <x:c r="J263" t="str">
        <x:v>https://github.com/darknigthmare/deadwall-last-enclosure/blob/e28f46223e73105ab2c5d83f3d50b99b58ef53e6/codex-3000/originaux/DEADWALL_CODEX_1.22/fiches/DW-0258.md</x:v>
      </x:c>
      <x:c r="K263" t="str">
        <x:v>Source min 22,18 m ; max 100,85 m ; modèle 25 × 18 m ; niveaux 0. Détails dans catalogue-existant.json.</x:v>
      </x:c>
    </x:row>
    <x:row r="264">
      <x:c r="A264" t="str">
        <x:v>DW-0259</x:v>
      </x:c>
      <x:c r="B264" t="str">
        <x:v>DW-0259</x:v>
      </x:c>
      <x:c r="C264" t="str">
        <x:v>Parent historique</x:v>
      </x:c>
      <x:c r="D264" t="str">
        <x:v>Automobile et carburant</x:v>
      </x:c>
      <x:c r="E264" t="str">
        <x:v>Parking improvisé de terrain vague</x:v>
      </x:c>
      <x:c r="F264" t="n">
        <x:v>8</x:v>
      </x:c>
      <x:c r="G264" t="n">
        <x:v>3</x:v>
      </x:c>
      <x:c r="H264" t="n">
        <x:v>9</x:v>
      </x:c>
      <x:c r="I264" t="str">
        <x:v>À qualifier par lieu</x:v>
      </x:c>
      <x:c r="J264" t="str">
        <x:v>https://github.com/darknigthmare/deadwall-last-enclosure/blob/e28f46223e73105ab2c5d83f3d50b99b58ef53e6/codex-3000/originaux/DEADWALL_CODEX_1.22/fiches/DW-0259.md</x:v>
      </x:c>
      <x:c r="K264" t="str">
        <x:v>Source min 22,18 m ; max 100,85 m ; modèle 24 × 18 m ; niveaux 0. Détails dans catalogue-existant.json.</x:v>
      </x:c>
    </x:row>
    <x:row r="265">
      <x:c r="A265" t="str">
        <x:v>DW-0260</x:v>
      </x:c>
      <x:c r="B265" t="str">
        <x:v>DW-0260</x:v>
      </x:c>
      <x:c r="C265" t="str">
        <x:v>Parent historique</x:v>
      </x:c>
      <x:c r="D265" t="str">
        <x:v>Automobile et carburant</x:v>
      </x:c>
      <x:c r="E265" t="str">
        <x:v>Garage de collection</x:v>
      </x:c>
      <x:c r="F265" t="n">
        <x:v>8</x:v>
      </x:c>
      <x:c r="G265" t="n">
        <x:v>4</x:v>
      </x:c>
      <x:c r="H265" t="n">
        <x:v>12</x:v>
      </x:c>
      <x:c r="I265" t="str">
        <x:v>À qualifier par lieu</x:v>
      </x:c>
      <x:c r="J265" t="str">
        <x:v>https://github.com/darknigthmare/deadwall-last-enclosure/blob/e28f46223e73105ab2c5d83f3d50b99b58ef53e6/codex-3000/originaux/DEADWALL_CODEX_1.22/fiches/DW-0260.md</x:v>
      </x:c>
      <x:c r="K265" t="str">
        <x:v>Source min 22,18 m ; max 100,85 m ; modèle 25 × 18 m ; niveaux 0. Détails dans catalogue-existant.json.</x:v>
      </x:c>
    </x:row>
    <x:row r="266">
      <x:c r="A266" t="str">
        <x:v>DW-0261</x:v>
      </x:c>
      <x:c r="B266" t="str">
        <x:v>DW-0261</x:v>
      </x:c>
      <x:c r="C266" t="str">
        <x:v>Parent historique</x:v>
      </x:c>
      <x:c r="D266" t="str">
        <x:v>Routes et ouvrages</x:v>
      </x:c>
      <x:c r="E266" t="str">
        <x:v>Carrefour de village</x:v>
      </x:c>
      <x:c r="F266" t="n">
        <x:v>10</x:v>
      </x:c>
      <x:c r="G266" t="n">
        <x:v>4</x:v>
      </x:c>
      <x:c r="H266" t="n">
        <x:v>12</x:v>
      </x:c>
      <x:c r="I266" t="str">
        <x:v>À qualifier par lieu</x:v>
      </x:c>
      <x:c r="J266" t="str">
        <x:v>https://github.com/darknigthmare/deadwall-last-enclosure/blob/e28f46223e73105ab2c5d83f3d50b99b58ef53e6/codex-3000/originaux/DEADWALL_CODEX_1.22/fiches/DW-0261.md</x:v>
      </x:c>
      <x:c r="K266" t="str">
        <x:v>Source min 100,25 m ; max 1200,180 m ; modèle 100 × 25 m ; niveaux 0. Détails dans catalogue-existant.json.</x:v>
      </x:c>
    </x:row>
    <x:row r="267">
      <x:c r="A267" t="str">
        <x:v>DW-0262</x:v>
      </x:c>
      <x:c r="B267" t="str">
        <x:v>DW-0262</x:v>
      </x:c>
      <x:c r="C267" t="str">
        <x:v>Parent historique</x:v>
      </x:c>
      <x:c r="D267" t="str">
        <x:v>Routes et ouvrages</x:v>
      </x:c>
      <x:c r="E267" t="str">
        <x:v>Rond-point périphérique</x:v>
      </x:c>
      <x:c r="F267" t="n">
        <x:v>10</x:v>
      </x:c>
      <x:c r="G267" t="n">
        <x:v>4</x:v>
      </x:c>
      <x:c r="H267" t="n">
        <x:v>12</x:v>
      </x:c>
      <x:c r="I267" t="str">
        <x:v>À qualifier par lieu</x:v>
      </x:c>
      <x:c r="J267" t="str">
        <x:v>https://github.com/darknigthmare/deadwall-last-enclosure/blob/e28f46223e73105ab2c5d83f3d50b99b58ef53e6/codex-3000/originaux/DEADWALL_CODEX_1.22/fiches/DW-0262.md</x:v>
      </x:c>
      <x:c r="K267" t="str">
        <x:v>Source min 100,25 m ; max 1200,180 m ; modèle 100 × 25 m ; niveaux 0. Détails dans catalogue-existant.json.</x:v>
      </x:c>
    </x:row>
    <x:row r="268">
      <x:c r="A268" t="str">
        <x:v>DW-0263</x:v>
      </x:c>
      <x:c r="B268" t="str">
        <x:v>DW-0263</x:v>
      </x:c>
      <x:c r="C268" t="str">
        <x:v>Parent historique</x:v>
      </x:c>
      <x:c r="D268" t="str">
        <x:v>Routes et ouvrages</x:v>
      </x:c>
      <x:c r="E268" t="str">
        <x:v>Aire de repos forestière</x:v>
      </x:c>
      <x:c r="F268" t="n">
        <x:v>10</x:v>
      </x:c>
      <x:c r="G268" t="n">
        <x:v>4</x:v>
      </x:c>
      <x:c r="H268" t="n">
        <x:v>12</x:v>
      </x:c>
      <x:c r="I268" t="str">
        <x:v>À qualifier par lieu</x:v>
      </x:c>
      <x:c r="J268" t="str">
        <x:v>https://github.com/darknigthmare/deadwall-last-enclosure/blob/e28f46223e73105ab2c5d83f3d50b99b58ef53e6/codex-3000/originaux/DEADWALL_CODEX_1.22/fiches/DW-0263.md</x:v>
      </x:c>
      <x:c r="K268" t="str">
        <x:v>Source min 100,25 m ; max 1200,180 m ; modèle 100 × 25 m ; niveaux 0. Détails dans catalogue-existant.json.</x:v>
      </x:c>
    </x:row>
    <x:row r="269">
      <x:c r="A269" t="str">
        <x:v>DW-0264</x:v>
      </x:c>
      <x:c r="B269" t="str">
        <x:v>DW-0264</x:v>
      </x:c>
      <x:c r="C269" t="str">
        <x:v>Parent historique</x:v>
      </x:c>
      <x:c r="D269" t="str">
        <x:v>Routes et ouvrages</x:v>
      </x:c>
      <x:c r="E269" t="str">
        <x:v>Aire de service de plaine</x:v>
      </x:c>
      <x:c r="F269" t="n">
        <x:v>10</x:v>
      </x:c>
      <x:c r="G269" t="n">
        <x:v>4</x:v>
      </x:c>
      <x:c r="H269" t="n">
        <x:v>12</x:v>
      </x:c>
      <x:c r="I269" t="str">
        <x:v>À qualifier par lieu</x:v>
      </x:c>
      <x:c r="J269" t="str">
        <x:v>https://github.com/darknigthmare/deadwall-last-enclosure/blob/e28f46223e73105ab2c5d83f3d50b99b58ef53e6/codex-3000/originaux/DEADWALL_CODEX_1.22/fiches/DW-0264.md</x:v>
      </x:c>
      <x:c r="K269" t="str">
        <x:v>Source min 100,25 m ; max 1200,180 m ; modèle 100 × 25 m ; niveaux 0. Détails dans catalogue-existant.json.</x:v>
      </x:c>
    </x:row>
    <x:row r="270">
      <x:c r="A270" t="str">
        <x:v>DW-0265</x:v>
      </x:c>
      <x:c r="B270" t="str">
        <x:v>DW-0265</x:v>
      </x:c>
      <x:c r="C270" t="str">
        <x:v>Parent historique</x:v>
      </x:c>
      <x:c r="D270" t="str">
        <x:v>Routes et ouvrages</x:v>
      </x:c>
      <x:c r="E270" t="str">
        <x:v>Pont routier</x:v>
      </x:c>
      <x:c r="F270" t="n">
        <x:v>10</x:v>
      </x:c>
      <x:c r="G270" t="n">
        <x:v>4</x:v>
      </x:c>
      <x:c r="H270" t="n">
        <x:v>12</x:v>
      </x:c>
      <x:c r="I270" t="str">
        <x:v>À qualifier par lieu</x:v>
      </x:c>
      <x:c r="J270" t="str">
        <x:v>https://github.com/darknigthmare/deadwall-last-enclosure/blob/e28f46223e73105ab2c5d83f3d50b99b58ef53e6/codex-3000/originaux/DEADWALL_CODEX_1.22/fiches/DW-0265.md</x:v>
      </x:c>
      <x:c r="K270" t="str">
        <x:v>Source min 100,25 m ; max 1200,180 m ; modèle 100 × 25 m ; niveaux 0. Détails dans catalogue-existant.json.</x:v>
      </x:c>
    </x:row>
    <x:row r="271">
      <x:c r="A271" t="str">
        <x:v>DW-0266</x:v>
      </x:c>
      <x:c r="B271" t="str">
        <x:v>DW-0266</x:v>
      </x:c>
      <x:c r="C271" t="str">
        <x:v>Parent historique</x:v>
      </x:c>
      <x:c r="D271" t="str">
        <x:v>Routes et ouvrages</x:v>
      </x:c>
      <x:c r="E271" t="str">
        <x:v>Viaduc</x:v>
      </x:c>
      <x:c r="F271" t="n">
        <x:v>10</x:v>
      </x:c>
      <x:c r="G271" t="n">
        <x:v>4</x:v>
      </x:c>
      <x:c r="H271" t="n">
        <x:v>12</x:v>
      </x:c>
      <x:c r="I271" t="str">
        <x:v>À qualifier par lieu</x:v>
      </x:c>
      <x:c r="J271" t="str">
        <x:v>https://github.com/darknigthmare/deadwall-last-enclosure/blob/e28f46223e73105ab2c5d83f3d50b99b58ef53e6/codex-3000/originaux/DEADWALL_CODEX_1.22/fiches/DW-0266.md</x:v>
      </x:c>
      <x:c r="K271" t="str">
        <x:v>Source min 100,25 m ; max 1200,180 m ; modèle 100 × 25 m ; niveaux 0. Détails dans catalogue-existant.json.</x:v>
      </x:c>
    </x:row>
    <x:row r="272">
      <x:c r="A272" t="str">
        <x:v>DW-0267</x:v>
      </x:c>
      <x:c r="B272" t="str">
        <x:v>DW-0267</x:v>
      </x:c>
      <x:c r="C272" t="str">
        <x:v>Parent historique</x:v>
      </x:c>
      <x:c r="D272" t="str">
        <x:v>Routes et ouvrages</x:v>
      </x:c>
      <x:c r="E272" t="str">
        <x:v>Tunnel routier</x:v>
      </x:c>
      <x:c r="F272" t="n">
        <x:v>10</x:v>
      </x:c>
      <x:c r="G272" t="n">
        <x:v>4</x:v>
      </x:c>
      <x:c r="H272" t="n">
        <x:v>12</x:v>
      </x:c>
      <x:c r="I272" t="str">
        <x:v>À qualifier par lieu</x:v>
      </x:c>
      <x:c r="J272" t="str">
        <x:v>https://github.com/darknigthmare/deadwall-last-enclosure/blob/e28f46223e73105ab2c5d83f3d50b99b58ef53e6/codex-3000/originaux/DEADWALL_CODEX_1.22/fiches/DW-0267.md</x:v>
      </x:c>
      <x:c r="K272" t="str">
        <x:v>Source min 100,25 m ; max 1200,180 m ; modèle 100 × 25 m ; niveaux 0. Détails dans catalogue-existant.json.</x:v>
      </x:c>
    </x:row>
    <x:row r="273">
      <x:c r="A273" t="str">
        <x:v>DW-0268</x:v>
      </x:c>
      <x:c r="B273" t="str">
        <x:v>DW-0268</x:v>
      </x:c>
      <x:c r="C273" t="str">
        <x:v>Parent historique</x:v>
      </x:c>
      <x:c r="D273" t="str">
        <x:v>Routes et ouvrages</x:v>
      </x:c>
      <x:c r="E273" t="str">
        <x:v>Passage inférieur</x:v>
      </x:c>
      <x:c r="F273" t="n">
        <x:v>10</x:v>
      </x:c>
      <x:c r="G273" t="n">
        <x:v>4</x:v>
      </x:c>
      <x:c r="H273" t="n">
        <x:v>10</x:v>
      </x:c>
      <x:c r="I273" t="str">
        <x:v>À qualifier par lieu</x:v>
      </x:c>
      <x:c r="J273" t="str">
        <x:v>https://github.com/darknigthmare/deadwall-last-enclosure/blob/e28f46223e73105ab2c5d83f3d50b99b58ef53e6/codex-3000/originaux/DEADWALL_CODEX_1.22/fiches/DW-0268.md</x:v>
      </x:c>
      <x:c r="K273" t="str">
        <x:v>Source min 100,25 m ; max 1200,180 m ; modèle 100 × 25 m ; niveaux 0. Détails dans catalogue-existant.json.</x:v>
      </x:c>
    </x:row>
    <x:row r="274">
      <x:c r="A274" t="str">
        <x:v>DW-0269</x:v>
      </x:c>
      <x:c r="B274" t="str">
        <x:v>DW-0269</x:v>
      </x:c>
      <x:c r="C274" t="str">
        <x:v>Parent historique</x:v>
      </x:c>
      <x:c r="D274" t="str">
        <x:v>Routes et ouvrages</x:v>
      </x:c>
      <x:c r="E274" t="str">
        <x:v>Échangeur autoroutier</x:v>
      </x:c>
      <x:c r="F274" t="n">
        <x:v>10</x:v>
      </x:c>
      <x:c r="G274" t="n">
        <x:v>4</x:v>
      </x:c>
      <x:c r="H274" t="n">
        <x:v>12</x:v>
      </x:c>
      <x:c r="I274" t="str">
        <x:v>À qualifier par lieu</x:v>
      </x:c>
      <x:c r="J274" t="str">
        <x:v>https://github.com/darknigthmare/deadwall-last-enclosure/blob/e28f46223e73105ab2c5d83f3d50b99b58ef53e6/codex-3000/originaux/DEADWALL_CODEX_1.22/fiches/DW-0269.md</x:v>
      </x:c>
      <x:c r="K274" t="str">
        <x:v>Source min 100,25 m ; max 1200,180 m ; modèle 100 × 25 m ; niveaux 0. Détails dans catalogue-existant.json.</x:v>
      </x:c>
    </x:row>
    <x:row r="275">
      <x:c r="A275" t="str">
        <x:v>DW-0270</x:v>
      </x:c>
      <x:c r="B275" t="str">
        <x:v>DW-0270</x:v>
      </x:c>
      <x:c r="C275" t="str">
        <x:v>Parent historique</x:v>
      </x:c>
      <x:c r="D275" t="str">
        <x:v>Routes et ouvrages</x:v>
      </x:c>
      <x:c r="E275" t="str">
        <x:v>Péage abandonné</x:v>
      </x:c>
      <x:c r="F275" t="n">
        <x:v>10</x:v>
      </x:c>
      <x:c r="G275" t="n">
        <x:v>4</x:v>
      </x:c>
      <x:c r="H275" t="n">
        <x:v>12</x:v>
      </x:c>
      <x:c r="I275" t="str">
        <x:v>À qualifier par lieu</x:v>
      </x:c>
      <x:c r="J275" t="str">
        <x:v>https://github.com/darknigthmare/deadwall-last-enclosure/blob/e28f46223e73105ab2c5d83f3d50b99b58ef53e6/codex-3000/originaux/DEADWALL_CODEX_1.22/fiches/DW-0270.md</x:v>
      </x:c>
      <x:c r="K275" t="str">
        <x:v>Source min 100,25 m ; max 1200,180 m ; modèle 100 × 25 m ; niveaux 0. Détails dans catalogue-existant.json.</x:v>
      </x:c>
    </x:row>
    <x:row r="276">
      <x:c r="A276" t="str">
        <x:v>DW-0271</x:v>
      </x:c>
      <x:c r="B276" t="str">
        <x:v>DW-0271</x:v>
      </x:c>
      <x:c r="C276" t="str">
        <x:v>Parent historique</x:v>
      </x:c>
      <x:c r="D276" t="str">
        <x:v>Routes et ouvrages</x:v>
      </x:c>
      <x:c r="E276" t="str">
        <x:v>Poste d'entretien routier</x:v>
      </x:c>
      <x:c r="F276" t="n">
        <x:v>10</x:v>
      </x:c>
      <x:c r="G276" t="n">
        <x:v>4</x:v>
      </x:c>
      <x:c r="H276" t="n">
        <x:v>12</x:v>
      </x:c>
      <x:c r="I276" t="str">
        <x:v>À qualifier par lieu</x:v>
      </x:c>
      <x:c r="J276" t="str">
        <x:v>https://github.com/darknigthmare/deadwall-last-enclosure/blob/e28f46223e73105ab2c5d83f3d50b99b58ef53e6/codex-3000/originaux/DEADWALL_CODEX_1.22/fiches/DW-0271.md</x:v>
      </x:c>
      <x:c r="K276" t="str">
        <x:v>Source min 100,25 m ; max 1200,180 m ; modèle 100 × 25 m ; niveaux 0. Détails dans catalogue-existant.json.</x:v>
      </x:c>
    </x:row>
    <x:row r="277">
      <x:c r="A277" t="str">
        <x:v>DW-0272</x:v>
      </x:c>
      <x:c r="B277" t="str">
        <x:v>DW-0272</x:v>
      </x:c>
      <x:c r="C277" t="str">
        <x:v>Parent historique</x:v>
      </x:c>
      <x:c r="D277" t="str">
        <x:v>Routes et ouvrages</x:v>
      </x:c>
      <x:c r="E277" t="str">
        <x:v>Déviation de travaux</x:v>
      </x:c>
      <x:c r="F277" t="n">
        <x:v>10</x:v>
      </x:c>
      <x:c r="G277" t="n">
        <x:v>3</x:v>
      </x:c>
      <x:c r="H277" t="n">
        <x:v>9</x:v>
      </x:c>
      <x:c r="I277" t="str">
        <x:v>À qualifier par lieu</x:v>
      </x:c>
      <x:c r="J277" t="str">
        <x:v>https://github.com/darknigthmare/deadwall-last-enclosure/blob/e28f46223e73105ab2c5d83f3d50b99b58ef53e6/codex-3000/originaux/DEADWALL_CODEX_1.22/fiches/DW-0272.md</x:v>
      </x:c>
      <x:c r="K277" t="str">
        <x:v>Source min 100,25 m ; max 1200,180 m ; modèle 100 × 25 m ; niveaux 0. Détails dans catalogue-existant.json.</x:v>
      </x:c>
    </x:row>
    <x:row r="278">
      <x:c r="A278" t="str">
        <x:v>DW-0273</x:v>
      </x:c>
      <x:c r="B278" t="str">
        <x:v>DW-0273</x:v>
      </x:c>
      <x:c r="C278" t="str">
        <x:v>Parent historique</x:v>
      </x:c>
      <x:c r="D278" t="str">
        <x:v>Routes et ouvrages</x:v>
      </x:c>
      <x:c r="E278" t="str">
        <x:v>Route effondrée</x:v>
      </x:c>
      <x:c r="F278" t="n">
        <x:v>10</x:v>
      </x:c>
      <x:c r="G278" t="n">
        <x:v>4</x:v>
      </x:c>
      <x:c r="H278" t="n">
        <x:v>10</x:v>
      </x:c>
      <x:c r="I278" t="str">
        <x:v>À qualifier par lieu</x:v>
      </x:c>
      <x:c r="J278" t="str">
        <x:v>https://github.com/darknigthmare/deadwall-last-enclosure/blob/e28f46223e73105ab2c5d83f3d50b99b58ef53e6/codex-3000/originaux/DEADWALL_CODEX_1.22/fiches/DW-0273.md</x:v>
      </x:c>
      <x:c r="K278" t="str">
        <x:v>Source min 100,25 m ; max 1200,180 m ; modèle 100 × 25 m ; niveaux 0. Détails dans catalogue-existant.json.</x:v>
      </x:c>
    </x:row>
    <x:row r="279">
      <x:c r="A279" t="str">
        <x:v>DW-0274</x:v>
      </x:c>
      <x:c r="B279" t="str">
        <x:v>DW-0274</x:v>
      </x:c>
      <x:c r="C279" t="str">
        <x:v>Parent historique</x:v>
      </x:c>
      <x:c r="D279" t="str">
        <x:v>Routes et ouvrages</x:v>
      </x:c>
      <x:c r="E279" t="str">
        <x:v>Passage à gué</x:v>
      </x:c>
      <x:c r="F279" t="n">
        <x:v>10</x:v>
      </x:c>
      <x:c r="G279" t="n">
        <x:v>4</x:v>
      </x:c>
      <x:c r="H279" t="n">
        <x:v>12</x:v>
      </x:c>
      <x:c r="I279" t="str">
        <x:v>À qualifier par lieu</x:v>
      </x:c>
      <x:c r="J279" t="str">
        <x:v>https://github.com/darknigthmare/deadwall-last-enclosure/blob/e28f46223e73105ab2c5d83f3d50b99b58ef53e6/codex-3000/originaux/DEADWALL_CODEX_1.22/fiches/DW-0274.md</x:v>
      </x:c>
      <x:c r="K279" t="str">
        <x:v>Source min 100,25 m ; max 1200,180 m ; modèle 100 × 25 m ; niveaux 0. Détails dans catalogue-existant.json.</x:v>
      </x:c>
    </x:row>
    <x:row r="280">
      <x:c r="A280" t="str">
        <x:v>DW-0275</x:v>
      </x:c>
      <x:c r="B280" t="str">
        <x:v>DW-0275</x:v>
      </x:c>
      <x:c r="C280" t="str">
        <x:v>Parent historique</x:v>
      </x:c>
      <x:c r="D280" t="str">
        <x:v>Routes et ouvrages</x:v>
      </x:c>
      <x:c r="E280" t="str">
        <x:v>Route agricole</x:v>
      </x:c>
      <x:c r="F280" t="n">
        <x:v>10</x:v>
      </x:c>
      <x:c r="G280" t="n">
        <x:v>4</x:v>
      </x:c>
      <x:c r="H280" t="n">
        <x:v>12</x:v>
      </x:c>
      <x:c r="I280" t="str">
        <x:v>À qualifier par lieu</x:v>
      </x:c>
      <x:c r="J280" t="str">
        <x:v>https://github.com/darknigthmare/deadwall-last-enclosure/blob/e28f46223e73105ab2c5d83f3d50b99b58ef53e6/codex-3000/originaux/DEADWALL_CODEX_1.22/fiches/DW-0275.md</x:v>
      </x:c>
      <x:c r="K280" t="str">
        <x:v>Source min 100,25 m ; max 1200,180 m ; modèle 100 × 25 m ; niveaux 0. Détails dans catalogue-existant.json.</x:v>
      </x:c>
    </x:row>
    <x:row r="281">
      <x:c r="A281" t="str">
        <x:v>DW-0276</x:v>
      </x:c>
      <x:c r="B281" t="str">
        <x:v>DW-0276</x:v>
      </x:c>
      <x:c r="C281" t="str">
        <x:v>Parent historique</x:v>
      </x:c>
      <x:c r="D281" t="str">
        <x:v>Routes et ouvrages</x:v>
      </x:c>
      <x:c r="E281" t="str">
        <x:v>Piste forestière</x:v>
      </x:c>
      <x:c r="F281" t="n">
        <x:v>10</x:v>
      </x:c>
      <x:c r="G281" t="n">
        <x:v>4</x:v>
      </x:c>
      <x:c r="H281" t="n">
        <x:v>12</x:v>
      </x:c>
      <x:c r="I281" t="str">
        <x:v>À qualifier par lieu</x:v>
      </x:c>
      <x:c r="J281" t="str">
        <x:v>https://github.com/darknigthmare/deadwall-last-enclosure/blob/e28f46223e73105ab2c5d83f3d50b99b58ef53e6/codex-3000/originaux/DEADWALL_CODEX_1.22/fiches/DW-0276.md</x:v>
      </x:c>
      <x:c r="K281" t="str">
        <x:v>Source min 100,25 m ; max 1200,180 m ; modèle 100 × 25 m ; niveaux 0. Détails dans catalogue-existant.json.</x:v>
      </x:c>
    </x:row>
    <x:row r="282">
      <x:c r="A282" t="str">
        <x:v>DW-0277</x:v>
      </x:c>
      <x:c r="B282" t="str">
        <x:v>DW-0277</x:v>
      </x:c>
      <x:c r="C282" t="str">
        <x:v>Parent historique</x:v>
      </x:c>
      <x:c r="D282" t="str">
        <x:v>Routes et ouvrages</x:v>
      </x:c>
      <x:c r="E282" t="str">
        <x:v>Rue commerçante</x:v>
      </x:c>
      <x:c r="F282" t="n">
        <x:v>10</x:v>
      </x:c>
      <x:c r="G282" t="n">
        <x:v>4</x:v>
      </x:c>
      <x:c r="H282" t="n">
        <x:v>12</x:v>
      </x:c>
      <x:c r="I282" t="str">
        <x:v>À qualifier par lieu</x:v>
      </x:c>
      <x:c r="J282" t="str">
        <x:v>https://github.com/darknigthmare/deadwall-last-enclosure/blob/e28f46223e73105ab2c5d83f3d50b99b58ef53e6/codex-3000/originaux/DEADWALL_CODEX_1.22/fiches/DW-0277.md</x:v>
      </x:c>
      <x:c r="K282" t="str">
        <x:v>Source min 100,25 m ; max 1200,180 m ; modèle 100 × 25 m ; niveaux 0. Détails dans catalogue-existant.json.</x:v>
      </x:c>
    </x:row>
    <x:row r="283">
      <x:c r="A283" t="str">
        <x:v>DW-0278</x:v>
      </x:c>
      <x:c r="B283" t="str">
        <x:v>DW-0278</x:v>
      </x:c>
      <x:c r="C283" t="str">
        <x:v>Parent historique</x:v>
      </x:c>
      <x:c r="D283" t="str">
        <x:v>Routes et ouvrages</x:v>
      </x:c>
      <x:c r="E283" t="str">
        <x:v>Ruelle de service</x:v>
      </x:c>
      <x:c r="F283" t="n">
        <x:v>10</x:v>
      </x:c>
      <x:c r="G283" t="n">
        <x:v>3</x:v>
      </x:c>
      <x:c r="H283" t="n">
        <x:v>9</x:v>
      </x:c>
      <x:c r="I283" t="str">
        <x:v>À qualifier par lieu</x:v>
      </x:c>
      <x:c r="J283" t="str">
        <x:v>https://github.com/darknigthmare/deadwall-last-enclosure/blob/e28f46223e73105ab2c5d83f3d50b99b58ef53e6/codex-3000/originaux/DEADWALL_CODEX_1.22/fiches/DW-0278.md</x:v>
      </x:c>
      <x:c r="K283" t="str">
        <x:v>Source min 100,25 m ; max 1200,180 m ; modèle 100 × 25 m ; niveaux 0. Détails dans catalogue-existant.json.</x:v>
      </x:c>
    </x:row>
    <x:row r="284">
      <x:c r="A284" t="str">
        <x:v>DW-0279</x:v>
      </x:c>
      <x:c r="B284" t="str">
        <x:v>DW-0279</x:v>
      </x:c>
      <x:c r="C284" t="str">
        <x:v>Parent historique</x:v>
      </x:c>
      <x:c r="D284" t="str">
        <x:v>Routes et ouvrages</x:v>
      </x:c>
      <x:c r="E284" t="str">
        <x:v>Boulevard urbain</x:v>
      </x:c>
      <x:c r="F284" t="n">
        <x:v>10</x:v>
      </x:c>
      <x:c r="G284" t="n">
        <x:v>4</x:v>
      </x:c>
      <x:c r="H284" t="n">
        <x:v>10</x:v>
      </x:c>
      <x:c r="I284" t="str">
        <x:v>À qualifier par lieu</x:v>
      </x:c>
      <x:c r="J284" t="str">
        <x:v>https://github.com/darknigthmare/deadwall-last-enclosure/blob/e28f46223e73105ab2c5d83f3d50b99b58ef53e6/codex-3000/originaux/DEADWALL_CODEX_1.22/fiches/DW-0279.md</x:v>
      </x:c>
      <x:c r="K284" t="str">
        <x:v>Source min 100,25 m ; max 1200,180 m ; modèle 100 × 25 m ; niveaux 0. Détails dans catalogue-existant.json.</x:v>
      </x:c>
    </x:row>
    <x:row r="285">
      <x:c r="A285" t="str">
        <x:v>DW-0280</x:v>
      </x:c>
      <x:c r="B285" t="str">
        <x:v>DW-0280</x:v>
      </x:c>
      <x:c r="C285" t="str">
        <x:v>Parent historique</x:v>
      </x:c>
      <x:c r="D285" t="str">
        <x:v>Routes et ouvrages</x:v>
      </x:c>
      <x:c r="E285" t="str">
        <x:v>Impasse résidentielle</x:v>
      </x:c>
      <x:c r="F285" t="n">
        <x:v>10</x:v>
      </x:c>
      <x:c r="G285" t="n">
        <x:v>4</x:v>
      </x:c>
      <x:c r="H285" t="n">
        <x:v>12</x:v>
      </x:c>
      <x:c r="I285" t="str">
        <x:v>À qualifier par lieu</x:v>
      </x:c>
      <x:c r="J285" t="str">
        <x:v>https://github.com/darknigthmare/deadwall-last-enclosure/blob/e28f46223e73105ab2c5d83f3d50b99b58ef53e6/codex-3000/originaux/DEADWALL_CODEX_1.22/fiches/DW-0280.md</x:v>
      </x:c>
      <x:c r="K285" t="str">
        <x:v>Source min 100,25 m ; max 1200,180 m ; modèle 100 × 25 m ; niveaux 0. Détails dans catalogue-existant.json.</x:v>
      </x:c>
    </x:row>
    <x:row r="286">
      <x:c r="A286" t="str">
        <x:v>DW-0281</x:v>
      </x:c>
      <x:c r="B286" t="str">
        <x:v>DW-0281</x:v>
      </x:c>
      <x:c r="C286" t="str">
        <x:v>Parent historique</x:v>
      </x:c>
      <x:c r="D286" t="str">
        <x:v>Ferroviaire et transports collectifs</x:v>
      </x:c>
      <x:c r="E286" t="str">
        <x:v>Gare de village</x:v>
      </x:c>
      <x:c r="F286" t="n">
        <x:v>10</x:v>
      </x:c>
      <x:c r="G286" t="n">
        <x:v>4</x:v>
      </x:c>
      <x:c r="H286" t="n">
        <x:v>12</x:v>
      </x:c>
      <x:c r="I286" t="str">
        <x:v>À qualifier par lieu</x:v>
      </x:c>
      <x:c r="J286" t="str">
        <x:v>https://github.com/darknigthmare/deadwall-last-enclosure/blob/e28f46223e73105ab2c5d83f3d50b99b58ef53e6/codex-3000/originaux/DEADWALL_CODEX_1.22/fiches/DW-0281.md</x:v>
      </x:c>
      <x:c r="K286" t="str">
        <x:v>Source min 60,25 m ; max 600,160 m ; modèle 60 × 25 m ; niveaux 0. Détails dans catalogue-existant.json.</x:v>
      </x:c>
    </x:row>
    <x:row r="287">
      <x:c r="A287" t="str">
        <x:v>DW-0282</x:v>
      </x:c>
      <x:c r="B287" t="str">
        <x:v>DW-0282</x:v>
      </x:c>
      <x:c r="C287" t="str">
        <x:v>Parent historique</x:v>
      </x:c>
      <x:c r="D287" t="str">
        <x:v>Ferroviaire et transports collectifs</x:v>
      </x:c>
      <x:c r="E287" t="str">
        <x:v>Gare urbaine</x:v>
      </x:c>
      <x:c r="F287" t="n">
        <x:v>10</x:v>
      </x:c>
      <x:c r="G287" t="n">
        <x:v>4</x:v>
      </x:c>
      <x:c r="H287" t="n">
        <x:v>10</x:v>
      </x:c>
      <x:c r="I287" t="str">
        <x:v>À qualifier par lieu</x:v>
      </x:c>
      <x:c r="J287" t="str">
        <x:v>https://github.com/darknigthmare/deadwall-last-enclosure/blob/e28f46223e73105ab2c5d83f3d50b99b58ef53e6/codex-3000/originaux/DEADWALL_CODEX_1.22/fiches/DW-0282.md</x:v>
      </x:c>
      <x:c r="K287" t="str">
        <x:v>Source min 60,25 m ; max 600,160 m ; modèle 60 × 25 m ; niveaux 0. Détails dans catalogue-existant.json.</x:v>
      </x:c>
    </x:row>
    <x:row r="288">
      <x:c r="A288" t="str">
        <x:v>DW-0283</x:v>
      </x:c>
      <x:c r="B288" t="str">
        <x:v>DW-0283</x:v>
      </x:c>
      <x:c r="C288" t="str">
        <x:v>Parent historique</x:v>
      </x:c>
      <x:c r="D288" t="str">
        <x:v>Ferroviaire et transports collectifs</x:v>
      </x:c>
      <x:c r="E288" t="str">
        <x:v>Gare terminus</x:v>
      </x:c>
      <x:c r="F288" t="n">
        <x:v>10</x:v>
      </x:c>
      <x:c r="G288" t="n">
        <x:v>4</x:v>
      </x:c>
      <x:c r="H288" t="n">
        <x:v>12</x:v>
      </x:c>
      <x:c r="I288" t="str">
        <x:v>À qualifier par lieu</x:v>
      </x:c>
      <x:c r="J288" t="str">
        <x:v>https://github.com/darknigthmare/deadwall-last-enclosure/blob/e28f46223e73105ab2c5d83f3d50b99b58ef53e6/codex-3000/originaux/DEADWALL_CODEX_1.22/fiches/DW-0283.md</x:v>
      </x:c>
      <x:c r="K288" t="str">
        <x:v>Source min 60,25 m ; max 600,160 m ; modèle 60 × 25 m ; niveaux 0. Détails dans catalogue-existant.json.</x:v>
      </x:c>
    </x:row>
    <x:row r="289">
      <x:c r="A289" t="str">
        <x:v>DW-0284</x:v>
      </x:c>
      <x:c r="B289" t="str">
        <x:v>DW-0284</x:v>
      </x:c>
      <x:c r="C289" t="str">
        <x:v>Parent historique</x:v>
      </x:c>
      <x:c r="D289" t="str">
        <x:v>Ferroviaire et transports collectifs</x:v>
      </x:c>
      <x:c r="E289" t="str">
        <x:v>Gare de marchandises</x:v>
      </x:c>
      <x:c r="F289" t="n">
        <x:v>10</x:v>
      </x:c>
      <x:c r="G289" t="n">
        <x:v>4</x:v>
      </x:c>
      <x:c r="H289" t="n">
        <x:v>12</x:v>
      </x:c>
      <x:c r="I289" t="str">
        <x:v>À qualifier par lieu</x:v>
      </x:c>
      <x:c r="J289" t="str">
        <x:v>https://github.com/darknigthmare/deadwall-last-enclosure/blob/e28f46223e73105ab2c5d83f3d50b99b58ef53e6/codex-3000/originaux/DEADWALL_CODEX_1.22/fiches/DW-0284.md</x:v>
      </x:c>
      <x:c r="K289" t="str">
        <x:v>Source min 60,25 m ; max 600,160 m ; modèle 60 × 25 m ; niveaux 0. Détails dans catalogue-existant.json.</x:v>
      </x:c>
    </x:row>
    <x:row r="290">
      <x:c r="A290" t="str">
        <x:v>DW-0285</x:v>
      </x:c>
      <x:c r="B290" t="str">
        <x:v>DW-0285</x:v>
      </x:c>
      <x:c r="C290" t="str">
        <x:v>Parent historique</x:v>
      </x:c>
      <x:c r="D290" t="str">
        <x:v>Ferroviaire et transports collectifs</x:v>
      </x:c>
      <x:c r="E290" t="str">
        <x:v>Triage ferroviaire</x:v>
      </x:c>
      <x:c r="F290" t="n">
        <x:v>10</x:v>
      </x:c>
      <x:c r="G290" t="n">
        <x:v>4</x:v>
      </x:c>
      <x:c r="H290" t="n">
        <x:v>12</x:v>
      </x:c>
      <x:c r="I290" t="str">
        <x:v>À qualifier par lieu</x:v>
      </x:c>
      <x:c r="J290" t="str">
        <x:v>https://github.com/darknigthmare/deadwall-last-enclosure/blob/e28f46223e73105ab2c5d83f3d50b99b58ef53e6/codex-3000/originaux/DEADWALL_CODEX_1.22/fiches/DW-0285.md</x:v>
      </x:c>
      <x:c r="K290" t="str">
        <x:v>Source min 60,25 m ; max 600,160 m ; modèle 60 × 25 m ; niveaux 0. Détails dans catalogue-existant.json.</x:v>
      </x:c>
    </x:row>
    <x:row r="291">
      <x:c r="A291" t="str">
        <x:v>DW-0286</x:v>
      </x:c>
      <x:c r="B291" t="str">
        <x:v>DW-0286</x:v>
      </x:c>
      <x:c r="C291" t="str">
        <x:v>Parent historique</x:v>
      </x:c>
      <x:c r="D291" t="str">
        <x:v>Ferroviaire et transports collectifs</x:v>
      </x:c>
      <x:c r="E291" t="str">
        <x:v>Dépôt de locomotives</x:v>
      </x:c>
      <x:c r="F291" t="n">
        <x:v>10</x:v>
      </x:c>
      <x:c r="G291" t="n">
        <x:v>4</x:v>
      </x:c>
      <x:c r="H291" t="n">
        <x:v>12</x:v>
      </x:c>
      <x:c r="I291" t="str">
        <x:v>À qualifier par lieu</x:v>
      </x:c>
      <x:c r="J291" t="str">
        <x:v>https://github.com/darknigthmare/deadwall-last-enclosure/blob/e28f46223e73105ab2c5d83f3d50b99b58ef53e6/codex-3000/originaux/DEADWALL_CODEX_1.22/fiches/DW-0286.md</x:v>
      </x:c>
      <x:c r="K291" t="str">
        <x:v>Source min 60,25 m ; max 600,160 m ; modèle 60 × 25 m ; niveaux 0. Détails dans catalogue-existant.json.</x:v>
      </x:c>
    </x:row>
    <x:row r="292">
      <x:c r="A292" t="str">
        <x:v>DW-0287</x:v>
      </x:c>
      <x:c r="B292" t="str">
        <x:v>DW-0287</x:v>
      </x:c>
      <x:c r="C292" t="str">
        <x:v>Parent historique</x:v>
      </x:c>
      <x:c r="D292" t="str">
        <x:v>Ferroviaire et transports collectifs</x:v>
      </x:c>
      <x:c r="E292" t="str">
        <x:v>Rotonde ancienne</x:v>
      </x:c>
      <x:c r="F292" t="n">
        <x:v>10</x:v>
      </x:c>
      <x:c r="G292" t="n">
        <x:v>3</x:v>
      </x:c>
      <x:c r="H292" t="n">
        <x:v>9</x:v>
      </x:c>
      <x:c r="I292" t="str">
        <x:v>À qualifier par lieu</x:v>
      </x:c>
      <x:c r="J292" t="str">
        <x:v>https://github.com/darknigthmare/deadwall-last-enclosure/blob/e28f46223e73105ab2c5d83f3d50b99b58ef53e6/codex-3000/originaux/DEADWALL_CODEX_1.22/fiches/DW-0287.md</x:v>
      </x:c>
      <x:c r="K292" t="str">
        <x:v>Source min 60,25 m ; max 600,160 m ; modèle 60 × 25 m ; niveaux 0. Détails dans catalogue-existant.json.</x:v>
      </x:c>
    </x:row>
    <x:row r="293">
      <x:c r="A293" t="str">
        <x:v>DW-0288</x:v>
      </x:c>
      <x:c r="B293" t="str">
        <x:v>DW-0288</x:v>
      </x:c>
      <x:c r="C293" t="str">
        <x:v>Parent historique</x:v>
      </x:c>
      <x:c r="D293" t="str">
        <x:v>Ferroviaire et transports collectifs</x:v>
      </x:c>
      <x:c r="E293" t="str">
        <x:v>Atelier de wagons</x:v>
      </x:c>
      <x:c r="F293" t="n">
        <x:v>10</x:v>
      </x:c>
      <x:c r="G293" t="n">
        <x:v>4</x:v>
      </x:c>
      <x:c r="H293" t="n">
        <x:v>12</x:v>
      </x:c>
      <x:c r="I293" t="str">
        <x:v>À qualifier par lieu</x:v>
      </x:c>
      <x:c r="J293" t="str">
        <x:v>https://github.com/darknigthmare/deadwall-last-enclosure/blob/e28f46223e73105ab2c5d83f3d50b99b58ef53e6/codex-3000/originaux/DEADWALL_CODEX_1.22/fiches/DW-0288.md</x:v>
      </x:c>
      <x:c r="K293" t="str">
        <x:v>Source min 60,25 m ; max 600,160 m ; modèle 60 × 25 m ; niveaux 0. Détails dans catalogue-existant.json.</x:v>
      </x:c>
    </x:row>
    <x:row r="294">
      <x:c r="A294" t="str">
        <x:v>DW-0289</x:v>
      </x:c>
      <x:c r="B294" t="str">
        <x:v>DW-0289</x:v>
      </x:c>
      <x:c r="C294" t="str">
        <x:v>Parent historique</x:v>
      </x:c>
      <x:c r="D294" t="str">
        <x:v>Ferroviaire et transports collectifs</x:v>
      </x:c>
      <x:c r="E294" t="str">
        <x:v>Halle fret désaffectée</x:v>
      </x:c>
      <x:c r="F294" t="n">
        <x:v>10</x:v>
      </x:c>
      <x:c r="G294" t="n">
        <x:v>4</x:v>
      </x:c>
      <x:c r="H294" t="n">
        <x:v>10</x:v>
      </x:c>
      <x:c r="I294" t="str">
        <x:v>À qualifier par lieu</x:v>
      </x:c>
      <x:c r="J294" t="str">
        <x:v>https://github.com/darknigthmare/deadwall-last-enclosure/blob/e28f46223e73105ab2c5d83f3d50b99b58ef53e6/codex-3000/originaux/DEADWALL_CODEX_1.22/fiches/DW-0289.md</x:v>
      </x:c>
      <x:c r="K294" t="str">
        <x:v>Source min 60,25 m ; max 600,160 m ; modèle 60 × 25 m ; niveaux 0. Détails dans catalogue-existant.json.</x:v>
      </x:c>
    </x:row>
    <x:row r="295">
      <x:c r="A295" t="str">
        <x:v>DW-0290</x:v>
      </x:c>
      <x:c r="B295" t="str">
        <x:v>DW-0290</x:v>
      </x:c>
      <x:c r="C295" t="str">
        <x:v>Parent historique</x:v>
      </x:c>
      <x:c r="D295" t="str">
        <x:v>Ferroviaire et transports collectifs</x:v>
      </x:c>
      <x:c r="E295" t="str">
        <x:v>Poste d'aiguillage</x:v>
      </x:c>
      <x:c r="F295" t="n">
        <x:v>10</x:v>
      </x:c>
      <x:c r="G295" t="n">
        <x:v>3</x:v>
      </x:c>
      <x:c r="H295" t="n">
        <x:v>9</x:v>
      </x:c>
      <x:c r="I295" t="str">
        <x:v>À qualifier par lieu</x:v>
      </x:c>
      <x:c r="J295" t="str">
        <x:v>https://github.com/darknigthmare/deadwall-last-enclosure/blob/e28f46223e73105ab2c5d83f3d50b99b58ef53e6/codex-3000/originaux/DEADWALL_CODEX_1.22/fiches/DW-0290.md</x:v>
      </x:c>
      <x:c r="K295" t="str">
        <x:v>Source min 60,25 m ; max 600,160 m ; modèle 60 × 25 m ; niveaux 0. Détails dans catalogue-existant.json.</x:v>
      </x:c>
    </x:row>
    <x:row r="296">
      <x:c r="A296" t="str">
        <x:v>DW-0291</x:v>
      </x:c>
      <x:c r="B296" t="str">
        <x:v>DW-0291</x:v>
      </x:c>
      <x:c r="C296" t="str">
        <x:v>Parent historique</x:v>
      </x:c>
      <x:c r="D296" t="str">
        <x:v>Ferroviaire et transports collectifs</x:v>
      </x:c>
      <x:c r="E296" t="str">
        <x:v>Maison de passage à niveau</x:v>
      </x:c>
      <x:c r="F296" t="n">
        <x:v>10</x:v>
      </x:c>
      <x:c r="G296" t="n">
        <x:v>4</x:v>
      </x:c>
      <x:c r="H296" t="n">
        <x:v>12</x:v>
      </x:c>
      <x:c r="I296" t="str">
        <x:v>À qualifier par lieu</x:v>
      </x:c>
      <x:c r="J296" t="str">
        <x:v>https://github.com/darknigthmare/deadwall-last-enclosure/blob/e28f46223e73105ab2c5d83f3d50b99b58ef53e6/codex-3000/originaux/DEADWALL_CODEX_1.22/fiches/DW-0291.md</x:v>
      </x:c>
      <x:c r="K296" t="str">
        <x:v>Source min 60,25 m ; max 600,160 m ; modèle 60 × 25 m ; niveaux 0. Détails dans catalogue-existant.json.</x:v>
      </x:c>
    </x:row>
    <x:row r="297">
      <x:c r="A297" t="str">
        <x:v>DW-0292</x:v>
      </x:c>
      <x:c r="B297" t="str">
        <x:v>DW-0292</x:v>
      </x:c>
      <x:c r="C297" t="str">
        <x:v>Parent historique</x:v>
      </x:c>
      <x:c r="D297" t="str">
        <x:v>Ferroviaire et transports collectifs</x:v>
      </x:c>
      <x:c r="E297" t="str">
        <x:v>Passage ferroviaire supérieur</x:v>
      </x:c>
      <x:c r="F297" t="n">
        <x:v>10</x:v>
      </x:c>
      <x:c r="G297" t="n">
        <x:v>4</x:v>
      </x:c>
      <x:c r="H297" t="n">
        <x:v>12</x:v>
      </x:c>
      <x:c r="I297" t="str">
        <x:v>À qualifier par lieu</x:v>
      </x:c>
      <x:c r="J297" t="str">
        <x:v>https://github.com/darknigthmare/deadwall-last-enclosure/blob/e28f46223e73105ab2c5d83f3d50b99b58ef53e6/codex-3000/originaux/DEADWALL_CODEX_1.22/fiches/DW-0292.md</x:v>
      </x:c>
      <x:c r="K297" t="str">
        <x:v>Source min 60,25 m ; max 600,160 m ; modèle 60 × 25 m ; niveaux 0. Détails dans catalogue-existant.json.</x:v>
      </x:c>
    </x:row>
    <x:row r="298">
      <x:c r="A298" t="str">
        <x:v>DW-0293</x:v>
      </x:c>
      <x:c r="B298" t="str">
        <x:v>DW-0293</x:v>
      </x:c>
      <x:c r="C298" t="str">
        <x:v>Parent historique</x:v>
      </x:c>
      <x:c r="D298" t="str">
        <x:v>Ferroviaire et transports collectifs</x:v>
      </x:c>
      <x:c r="E298" t="str">
        <x:v>Tunnel ferroviaire</x:v>
      </x:c>
      <x:c r="F298" t="n">
        <x:v>10</x:v>
      </x:c>
      <x:c r="G298" t="n">
        <x:v>4</x:v>
      </x:c>
      <x:c r="H298" t="n">
        <x:v>10</x:v>
      </x:c>
      <x:c r="I298" t="str">
        <x:v>À qualifier par lieu</x:v>
      </x:c>
      <x:c r="J298" t="str">
        <x:v>https://github.com/darknigthmare/deadwall-last-enclosure/blob/e28f46223e73105ab2c5d83f3d50b99b58ef53e6/codex-3000/originaux/DEADWALL_CODEX_1.22/fiches/DW-0293.md</x:v>
      </x:c>
      <x:c r="K298" t="str">
        <x:v>Source min 60,25 m ; max 600,160 m ; modèle 60 × 25 m ; niveaux 0. Détails dans catalogue-existant.json.</x:v>
      </x:c>
    </x:row>
    <x:row r="299">
      <x:c r="A299" t="str">
        <x:v>DW-0294</x:v>
      </x:c>
      <x:c r="B299" t="str">
        <x:v>DW-0294</x:v>
      </x:c>
      <x:c r="C299" t="str">
        <x:v>Parent historique</x:v>
      </x:c>
      <x:c r="D299" t="str">
        <x:v>Ferroviaire et transports collectifs</x:v>
      </x:c>
      <x:c r="E299" t="str">
        <x:v>Station de métro</x:v>
      </x:c>
      <x:c r="F299" t="n">
        <x:v>10</x:v>
      </x:c>
      <x:c r="G299" t="n">
        <x:v>4</x:v>
      </x:c>
      <x:c r="H299" t="n">
        <x:v>10</x:v>
      </x:c>
      <x:c r="I299" t="str">
        <x:v>À qualifier par lieu</x:v>
      </x:c>
      <x:c r="J299" t="str">
        <x:v>https://github.com/darknigthmare/deadwall-last-enclosure/blob/e28f46223e73105ab2c5d83f3d50b99b58ef53e6/codex-3000/originaux/DEADWALL_CODEX_1.22/fiches/DW-0294.md</x:v>
      </x:c>
      <x:c r="K299" t="str">
        <x:v>Source min 60,25 m ; max 600,160 m ; modèle 60 × 25 m ; niveaux 0. Détails dans catalogue-existant.json.</x:v>
      </x:c>
    </x:row>
    <x:row r="300">
      <x:c r="A300" t="str">
        <x:v>DW-0295</x:v>
      </x:c>
      <x:c r="B300" t="str">
        <x:v>DW-0295</x:v>
      </x:c>
      <x:c r="C300" t="str">
        <x:v>Parent historique</x:v>
      </x:c>
      <x:c r="D300" t="str">
        <x:v>Ferroviaire et transports collectifs</x:v>
      </x:c>
      <x:c r="E300" t="str">
        <x:v>Dépôt de tramway</x:v>
      </x:c>
      <x:c r="F300" t="n">
        <x:v>10</x:v>
      </x:c>
      <x:c r="G300" t="n">
        <x:v>4</x:v>
      </x:c>
      <x:c r="H300" t="n">
        <x:v>12</x:v>
      </x:c>
      <x:c r="I300" t="str">
        <x:v>À qualifier par lieu</x:v>
      </x:c>
      <x:c r="J300" t="str">
        <x:v>https://github.com/darknigthmare/deadwall-last-enclosure/blob/e28f46223e73105ab2c5d83f3d50b99b58ef53e6/codex-3000/originaux/DEADWALL_CODEX_1.22/fiches/DW-0295.md</x:v>
      </x:c>
      <x:c r="K300" t="str">
        <x:v>Source min 60,25 m ; max 600,160 m ; modèle 60 × 25 m ; niveaux 0. Détails dans catalogue-existant.json.</x:v>
      </x:c>
    </x:row>
    <x:row r="301">
      <x:c r="A301" t="str">
        <x:v>DW-0296</x:v>
      </x:c>
      <x:c r="B301" t="str">
        <x:v>DW-0296</x:v>
      </x:c>
      <x:c r="C301" t="str">
        <x:v>Parent historique</x:v>
      </x:c>
      <x:c r="D301" t="str">
        <x:v>Ferroviaire et transports collectifs</x:v>
      </x:c>
      <x:c r="E301" t="str">
        <x:v>Arrêt de tramway</x:v>
      </x:c>
      <x:c r="F301" t="n">
        <x:v>10</x:v>
      </x:c>
      <x:c r="G301" t="n">
        <x:v>4</x:v>
      </x:c>
      <x:c r="H301" t="n">
        <x:v>12</x:v>
      </x:c>
      <x:c r="I301" t="str">
        <x:v>À qualifier par lieu</x:v>
      </x:c>
      <x:c r="J301" t="str">
        <x:v>https://github.com/darknigthmare/deadwall-last-enclosure/blob/e28f46223e73105ab2c5d83f3d50b99b58ef53e6/codex-3000/originaux/DEADWALL_CODEX_1.22/fiches/DW-0296.md</x:v>
      </x:c>
      <x:c r="K301" t="str">
        <x:v>Source min 60,25 m ; max 600,160 m ; modèle 60 × 25 m ; niveaux 0. Détails dans catalogue-existant.json.</x:v>
      </x:c>
    </x:row>
    <x:row r="302">
      <x:c r="A302" t="str">
        <x:v>DW-0297</x:v>
      </x:c>
      <x:c r="B302" t="str">
        <x:v>DW-0297</x:v>
      </x:c>
      <x:c r="C302" t="str">
        <x:v>Parent historique</x:v>
      </x:c>
      <x:c r="D302" t="str">
        <x:v>Ferroviaire et transports collectifs</x:v>
      </x:c>
      <x:c r="E302" t="str">
        <x:v>Terminal intermodal</x:v>
      </x:c>
      <x:c r="F302" t="n">
        <x:v>10</x:v>
      </x:c>
      <x:c r="G302" t="n">
        <x:v>4</x:v>
      </x:c>
      <x:c r="H302" t="n">
        <x:v>12</x:v>
      </x:c>
      <x:c r="I302" t="str">
        <x:v>À qualifier par lieu</x:v>
      </x:c>
      <x:c r="J302" t="str">
        <x:v>https://github.com/darknigthmare/deadwall-last-enclosure/blob/e28f46223e73105ab2c5d83f3d50b99b58ef53e6/codex-3000/originaux/DEADWALL_CODEX_1.22/fiches/DW-0297.md</x:v>
      </x:c>
      <x:c r="K302" t="str">
        <x:v>Source min 60,25 m ; max 600,160 m ; modèle 60 × 25 m ; niveaux 0. Détails dans catalogue-existant.json.</x:v>
      </x:c>
    </x:row>
    <x:row r="303">
      <x:c r="A303" t="str">
        <x:v>DW-0298</x:v>
      </x:c>
      <x:c r="B303" t="str">
        <x:v>DW-0298</x:v>
      </x:c>
      <x:c r="C303" t="str">
        <x:v>Parent historique</x:v>
      </x:c>
      <x:c r="D303" t="str">
        <x:v>Ferroviaire et transports collectifs</x:v>
      </x:c>
      <x:c r="E303" t="str">
        <x:v>Dépôt d'entretien des voies</x:v>
      </x:c>
      <x:c r="F303" t="n">
        <x:v>10</x:v>
      </x:c>
      <x:c r="G303" t="n">
        <x:v>4</x:v>
      </x:c>
      <x:c r="H303" t="n">
        <x:v>12</x:v>
      </x:c>
      <x:c r="I303" t="str">
        <x:v>À qualifier par lieu</x:v>
      </x:c>
      <x:c r="J303" t="str">
        <x:v>https://github.com/darknigthmare/deadwall-last-enclosure/blob/e28f46223e73105ab2c5d83f3d50b99b58ef53e6/codex-3000/originaux/DEADWALL_CODEX_1.22/fiches/DW-0298.md</x:v>
      </x:c>
      <x:c r="K303" t="str">
        <x:v>Source min 60,25 m ; max 600,160 m ; modèle 60 × 25 m ; niveaux 0. Détails dans catalogue-existant.json.</x:v>
      </x:c>
    </x:row>
    <x:row r="304">
      <x:c r="A304" t="str">
        <x:v>DW-0299</x:v>
      </x:c>
      <x:c r="B304" t="str">
        <x:v>DW-0299</x:v>
      </x:c>
      <x:c r="C304" t="str">
        <x:v>Parent historique</x:v>
      </x:c>
      <x:c r="D304" t="str">
        <x:v>Ferroviaire et transports collectifs</x:v>
      </x:c>
      <x:c r="E304" t="str">
        <x:v>Wagons-hébergement abandonnés</x:v>
      </x:c>
      <x:c r="F304" t="n">
        <x:v>10</x:v>
      </x:c>
      <x:c r="G304" t="n">
        <x:v>3</x:v>
      </x:c>
      <x:c r="H304" t="n">
        <x:v>9</x:v>
      </x:c>
      <x:c r="I304" t="str">
        <x:v>À qualifier par lieu</x:v>
      </x:c>
      <x:c r="J304" t="str">
        <x:v>https://github.com/darknigthmare/deadwall-last-enclosure/blob/e28f46223e73105ab2c5d83f3d50b99b58ef53e6/codex-3000/originaux/DEADWALL_CODEX_1.22/fiches/DW-0299.md</x:v>
      </x:c>
      <x:c r="K304" t="str">
        <x:v>Source min 60,25 m ; max 600,160 m ; modèle 60 × 25 m ; niveaux 0. Détails dans catalogue-existant.json.</x:v>
      </x:c>
    </x:row>
    <x:row r="305">
      <x:c r="A305" t="str">
        <x:v>DW-0300</x:v>
      </x:c>
      <x:c r="B305" t="str">
        <x:v>DW-0300</x:v>
      </x:c>
      <x:c r="C305" t="str">
        <x:v>Parent historique</x:v>
      </x:c>
      <x:c r="D305" t="str">
        <x:v>Ferroviaire et transports collectifs</x:v>
      </x:c>
      <x:c r="E305" t="str">
        <x:v>Voie verte sur ancienne ligne</x:v>
      </x:c>
      <x:c r="F305" t="n">
        <x:v>10</x:v>
      </x:c>
      <x:c r="G305" t="n">
        <x:v>4</x:v>
      </x:c>
      <x:c r="H305" t="n">
        <x:v>12</x:v>
      </x:c>
      <x:c r="I305" t="str">
        <x:v>À qualifier par lieu</x:v>
      </x:c>
      <x:c r="J305" t="str">
        <x:v>https://github.com/darknigthmare/deadwall-last-enclosure/blob/e28f46223e73105ab2c5d83f3d50b99b58ef53e6/codex-3000/originaux/DEADWALL_CODEX_1.22/fiches/DW-0300.md</x:v>
      </x:c>
      <x:c r="K305" t="str">
        <x:v>Source min 60,25 m ; max 600,160 m ; modèle 60 × 25 m ; niveaux 0. Détails dans catalogue-existant.json.</x:v>
      </x:c>
    </x:row>
    <x:row r="306">
      <x:c r="A306" t="str">
        <x:v>DW-0301</x:v>
      </x:c>
      <x:c r="B306" t="str">
        <x:v>DW-0301</x:v>
      </x:c>
      <x:c r="C306" t="str">
        <x:v>Parent historique</x:v>
      </x:c>
      <x:c r="D306" t="str">
        <x:v>Industrie et production</x:v>
      </x:c>
      <x:c r="E306" t="str">
        <x:v>Atelier de métallurgie</x:v>
      </x:c>
      <x:c r="F306" t="n">
        <x:v>8</x:v>
      </x:c>
      <x:c r="G306" t="n">
        <x:v>4</x:v>
      </x:c>
      <x:c r="H306" t="n">
        <x:v>12</x:v>
      </x:c>
      <x:c r="I306" t="str">
        <x:v>À qualifier par lieu</x:v>
      </x:c>
      <x:c r="J306" t="str">
        <x:v>https://github.com/darknigthmare/deadwall-last-enclosure/blob/e28f46223e73105ab2c5d83f3d50b99b58ef53e6/codex-3000/originaux/DEADWALL_CODEX_1.22/fiches/DW-0301.md</x:v>
      </x:c>
      <x:c r="K306" t="str">
        <x:v>Source min 45,30 m ; max 240,170 m ; modèle 45 × 30 m ; niveaux 0. Détails dans catalogue-existant.json.</x:v>
      </x:c>
    </x:row>
    <x:row r="307">
      <x:c r="A307" t="str">
        <x:v>DW-0302</x:v>
      </x:c>
      <x:c r="B307" t="str">
        <x:v>DW-0302</x:v>
      </x:c>
      <x:c r="C307" t="str">
        <x:v>Parent historique</x:v>
      </x:c>
      <x:c r="D307" t="str">
        <x:v>Industrie et production</x:v>
      </x:c>
      <x:c r="E307" t="str">
        <x:v>Fonderie abandonnée</x:v>
      </x:c>
      <x:c r="F307" t="n">
        <x:v>8</x:v>
      </x:c>
      <x:c r="G307" t="n">
        <x:v>4</x:v>
      </x:c>
      <x:c r="H307" t="n">
        <x:v>12</x:v>
      </x:c>
      <x:c r="I307" t="str">
        <x:v>À qualifier par lieu</x:v>
      </x:c>
      <x:c r="J307" t="str">
        <x:v>https://github.com/darknigthmare/deadwall-last-enclosure/blob/e28f46223e73105ab2c5d83f3d50b99b58ef53e6/codex-3000/originaux/DEADWALL_CODEX_1.22/fiches/DW-0302.md</x:v>
      </x:c>
      <x:c r="K307" t="str">
        <x:v>Source min 45,30 m ; max 240,170 m ; modèle 45 × 30 m ; niveaux 0. Détails dans catalogue-existant.json.</x:v>
      </x:c>
    </x:row>
    <x:row r="308">
      <x:c r="A308" t="str">
        <x:v>DW-0303</x:v>
      </x:c>
      <x:c r="B308" t="str">
        <x:v>DW-0303</x:v>
      </x:c>
      <x:c r="C308" t="str">
        <x:v>Parent historique</x:v>
      </x:c>
      <x:c r="D308" t="str">
        <x:v>Industrie et production</x:v>
      </x:c>
      <x:c r="E308" t="str">
        <x:v>Usine textile</x:v>
      </x:c>
      <x:c r="F308" t="n">
        <x:v>8</x:v>
      </x:c>
      <x:c r="G308" t="n">
        <x:v>4</x:v>
      </x:c>
      <x:c r="H308" t="n">
        <x:v>12</x:v>
      </x:c>
      <x:c r="I308" t="str">
        <x:v>À qualifier par lieu</x:v>
      </x:c>
      <x:c r="J308" t="str">
        <x:v>https://github.com/darknigthmare/deadwall-last-enclosure/blob/e28f46223e73105ab2c5d83f3d50b99b58ef53e6/codex-3000/originaux/DEADWALL_CODEX_1.22/fiches/DW-0303.md</x:v>
      </x:c>
      <x:c r="K308" t="str">
        <x:v>Source min 45,30 m ; max 240,170 m ; modèle 45 × 30 m ; niveaux 0. Détails dans catalogue-existant.json.</x:v>
      </x:c>
    </x:row>
    <x:row r="309">
      <x:c r="A309" t="str">
        <x:v>DW-0304</x:v>
      </x:c>
      <x:c r="B309" t="str">
        <x:v>DW-0304</x:v>
      </x:c>
      <x:c r="C309" t="str">
        <x:v>Parent historique</x:v>
      </x:c>
      <x:c r="D309" t="str">
        <x:v>Industrie et production</x:v>
      </x:c>
      <x:c r="E309" t="str">
        <x:v>Usine d'emballages</x:v>
      </x:c>
      <x:c r="F309" t="n">
        <x:v>8</x:v>
      </x:c>
      <x:c r="G309" t="n">
        <x:v>4</x:v>
      </x:c>
      <x:c r="H309" t="n">
        <x:v>12</x:v>
      </x:c>
      <x:c r="I309" t="str">
        <x:v>À qualifier par lieu</x:v>
      </x:c>
      <x:c r="J309" t="str">
        <x:v>https://github.com/darknigthmare/deadwall-last-enclosure/blob/e28f46223e73105ab2c5d83f3d50b99b58ef53e6/codex-3000/originaux/DEADWALL_CODEX_1.22/fiches/DW-0304.md</x:v>
      </x:c>
      <x:c r="K309" t="str">
        <x:v>Source min 45,30 m ; max 240,170 m ; modèle 45 × 30 m ; niveaux 0. Détails dans catalogue-existant.json.</x:v>
      </x:c>
    </x:row>
    <x:row r="310">
      <x:c r="A310" t="str">
        <x:v>DW-0305</x:v>
      </x:c>
      <x:c r="B310" t="str">
        <x:v>DW-0305</x:v>
      </x:c>
      <x:c r="C310" t="str">
        <x:v>Parent historique</x:v>
      </x:c>
      <x:c r="D310" t="str">
        <x:v>Industrie et production</x:v>
      </x:c>
      <x:c r="E310" t="str">
        <x:v>Imprimerie industrielle</x:v>
      </x:c>
      <x:c r="F310" t="n">
        <x:v>8</x:v>
      </x:c>
      <x:c r="G310" t="n">
        <x:v>4</x:v>
      </x:c>
      <x:c r="H310" t="n">
        <x:v>12</x:v>
      </x:c>
      <x:c r="I310" t="str">
        <x:v>À qualifier par lieu</x:v>
      </x:c>
      <x:c r="J310" t="str">
        <x:v>https://github.com/darknigthmare/deadwall-last-enclosure/blob/e28f46223e73105ab2c5d83f3d50b99b58ef53e6/codex-3000/originaux/DEADWALL_CODEX_1.22/fiches/DW-0305.md</x:v>
      </x:c>
      <x:c r="K310" t="str">
        <x:v>Source min 45,30 m ; max 240,170 m ; modèle 45 × 30 m ; niveaux 0. Détails dans catalogue-existant.json.</x:v>
      </x:c>
    </x:row>
    <x:row r="311">
      <x:c r="A311" t="str">
        <x:v>DW-0306</x:v>
      </x:c>
      <x:c r="B311" t="str">
        <x:v>DW-0306</x:v>
      </x:c>
      <x:c r="C311" t="str">
        <x:v>Parent historique</x:v>
      </x:c>
      <x:c r="D311" t="str">
        <x:v>Industrie et production</x:v>
      </x:c>
      <x:c r="E311" t="str">
        <x:v>Atelier de menuiserie</x:v>
      </x:c>
      <x:c r="F311" t="n">
        <x:v>8</x:v>
      </x:c>
      <x:c r="G311" t="n">
        <x:v>4</x:v>
      </x:c>
      <x:c r="H311" t="n">
        <x:v>12</x:v>
      </x:c>
      <x:c r="I311" t="str">
        <x:v>À qualifier par lieu</x:v>
      </x:c>
      <x:c r="J311" t="str">
        <x:v>https://github.com/darknigthmare/deadwall-last-enclosure/blob/e28f46223e73105ab2c5d83f3d50b99b58ef53e6/codex-3000/originaux/DEADWALL_CODEX_1.22/fiches/DW-0306.md</x:v>
      </x:c>
      <x:c r="K311" t="str">
        <x:v>Source min 45,30 m ; max 240,170 m ; modèle 45 × 30 m ; niveaux 0. Détails dans catalogue-existant.json.</x:v>
      </x:c>
    </x:row>
    <x:row r="312">
      <x:c r="A312" t="str">
        <x:v>DW-0307</x:v>
      </x:c>
      <x:c r="B312" t="str">
        <x:v>DW-0307</x:v>
      </x:c>
      <x:c r="C312" t="str">
        <x:v>Parent historique</x:v>
      </x:c>
      <x:c r="D312" t="str">
        <x:v>Industrie et production</x:v>
      </x:c>
      <x:c r="E312" t="str">
        <x:v>Usine de meubles</x:v>
      </x:c>
      <x:c r="F312" t="n">
        <x:v>8</x:v>
      </x:c>
      <x:c r="G312" t="n">
        <x:v>4</x:v>
      </x:c>
      <x:c r="H312" t="n">
        <x:v>12</x:v>
      </x:c>
      <x:c r="I312" t="str">
        <x:v>À qualifier par lieu</x:v>
      </x:c>
      <x:c r="J312" t="str">
        <x:v>https://github.com/darknigthmare/deadwall-last-enclosure/blob/e28f46223e73105ab2c5d83f3d50b99b58ef53e6/codex-3000/originaux/DEADWALL_CODEX_1.22/fiches/DW-0307.md</x:v>
      </x:c>
      <x:c r="K312" t="str">
        <x:v>Source min 45,30 m ; max 240,170 m ; modèle 45 × 30 m ; niveaux 0. Détails dans catalogue-existant.json.</x:v>
      </x:c>
    </x:row>
    <x:row r="313">
      <x:c r="A313" t="str">
        <x:v>DW-0308</x:v>
      </x:c>
      <x:c r="B313" t="str">
        <x:v>DW-0308</x:v>
      </x:c>
      <x:c r="C313" t="str">
        <x:v>Parent historique</x:v>
      </x:c>
      <x:c r="D313" t="str">
        <x:v>Industrie et production</x:v>
      </x:c>
      <x:c r="E313" t="str">
        <x:v>Fabrique de céramique</x:v>
      </x:c>
      <x:c r="F313" t="n">
        <x:v>8</x:v>
      </x:c>
      <x:c r="G313" t="n">
        <x:v>4</x:v>
      </x:c>
      <x:c r="H313" t="n">
        <x:v>12</x:v>
      </x:c>
      <x:c r="I313" t="str">
        <x:v>À qualifier par lieu</x:v>
      </x:c>
      <x:c r="J313" t="str">
        <x:v>https://github.com/darknigthmare/deadwall-last-enclosure/blob/e28f46223e73105ab2c5d83f3d50b99b58ef53e6/codex-3000/originaux/DEADWALL_CODEX_1.22/fiches/DW-0308.md</x:v>
      </x:c>
      <x:c r="K313" t="str">
        <x:v>Source min 45,30 m ; max 240,170 m ; modèle 45 × 30 m ; niveaux 0. Détails dans catalogue-existant.json.</x:v>
      </x:c>
    </x:row>
    <x:row r="314">
      <x:c r="A314" t="str">
        <x:v>DW-0309</x:v>
      </x:c>
      <x:c r="B314" t="str">
        <x:v>DW-0309</x:v>
      </x:c>
      <x:c r="C314" t="str">
        <x:v>Parent historique</x:v>
      </x:c>
      <x:c r="D314" t="str">
        <x:v>Industrie et production</x:v>
      </x:c>
      <x:c r="E314" t="str">
        <x:v>Verrerie désaffectée</x:v>
      </x:c>
      <x:c r="F314" t="n">
        <x:v>8</x:v>
      </x:c>
      <x:c r="G314" t="n">
        <x:v>4</x:v>
      </x:c>
      <x:c r="H314" t="n">
        <x:v>12</x:v>
      </x:c>
      <x:c r="I314" t="str">
        <x:v>À qualifier par lieu</x:v>
      </x:c>
      <x:c r="J314" t="str">
        <x:v>https://github.com/darknigthmare/deadwall-last-enclosure/blob/e28f46223e73105ab2c5d83f3d50b99b58ef53e6/codex-3000/originaux/DEADWALL_CODEX_1.22/fiches/DW-0309.md</x:v>
      </x:c>
      <x:c r="K314" t="str">
        <x:v>Source min 45,30 m ; max 240,170 m ; modèle 45 × 30 m ; niveaux 0. Détails dans catalogue-existant.json.</x:v>
      </x:c>
    </x:row>
    <x:row r="315">
      <x:c r="A315" t="str">
        <x:v>DW-0310</x:v>
      </x:c>
      <x:c r="B315" t="str">
        <x:v>DW-0310</x:v>
      </x:c>
      <x:c r="C315" t="str">
        <x:v>Parent historique</x:v>
      </x:c>
      <x:c r="D315" t="str">
        <x:v>Industrie et production</x:v>
      </x:c>
      <x:c r="E315" t="str">
        <x:v>Usine de préfabrication</x:v>
      </x:c>
      <x:c r="F315" t="n">
        <x:v>8</x:v>
      </x:c>
      <x:c r="G315" t="n">
        <x:v>4</x:v>
      </x:c>
      <x:c r="H315" t="n">
        <x:v>12</x:v>
      </x:c>
      <x:c r="I315" t="str">
        <x:v>À qualifier par lieu</x:v>
      </x:c>
      <x:c r="J315" t="str">
        <x:v>https://github.com/darknigthmare/deadwall-last-enclosure/blob/e28f46223e73105ab2c5d83f3d50b99b58ef53e6/codex-3000/originaux/DEADWALL_CODEX_1.22/fiches/DW-0310.md</x:v>
      </x:c>
      <x:c r="K315" t="str">
        <x:v>Source min 45,30 m ; max 240,170 m ; modèle 45 × 30 m ; niveaux 0. Détails dans catalogue-existant.json.</x:v>
      </x:c>
    </x:row>
    <x:row r="316">
      <x:c r="A316" t="str">
        <x:v>DW-0311</x:v>
      </x:c>
      <x:c r="B316" t="str">
        <x:v>DW-0311</x:v>
      </x:c>
      <x:c r="C316" t="str">
        <x:v>Parent historique</x:v>
      </x:c>
      <x:c r="D316" t="str">
        <x:v>Industrie et production</x:v>
      </x:c>
      <x:c r="E316" t="str">
        <x:v>Atelier de plasturgie</x:v>
      </x:c>
      <x:c r="F316" t="n">
        <x:v>8</x:v>
      </x:c>
      <x:c r="G316" t="n">
        <x:v>4</x:v>
      </x:c>
      <x:c r="H316" t="n">
        <x:v>12</x:v>
      </x:c>
      <x:c r="I316" t="str">
        <x:v>À qualifier par lieu</x:v>
      </x:c>
      <x:c r="J316" t="str">
        <x:v>https://github.com/darknigthmare/deadwall-last-enclosure/blob/e28f46223e73105ab2c5d83f3d50b99b58ef53e6/codex-3000/originaux/DEADWALL_CODEX_1.22/fiches/DW-0311.md</x:v>
      </x:c>
      <x:c r="K316" t="str">
        <x:v>Source min 45,30 m ; max 240,170 m ; modèle 45 × 30 m ; niveaux 0. Détails dans catalogue-existant.json.</x:v>
      </x:c>
    </x:row>
    <x:row r="317">
      <x:c r="A317" t="str">
        <x:v>DW-0312</x:v>
      </x:c>
      <x:c r="B317" t="str">
        <x:v>DW-0312</x:v>
      </x:c>
      <x:c r="C317" t="str">
        <x:v>Parent historique</x:v>
      </x:c>
      <x:c r="D317" t="str">
        <x:v>Industrie et production</x:v>
      </x:c>
      <x:c r="E317" t="str">
        <x:v>Fabrique de produits ménagers</x:v>
      </x:c>
      <x:c r="F317" t="n">
        <x:v>8</x:v>
      </x:c>
      <x:c r="G317" t="n">
        <x:v>4</x:v>
      </x:c>
      <x:c r="H317" t="n">
        <x:v>12</x:v>
      </x:c>
      <x:c r="I317" t="str">
        <x:v>À qualifier par lieu</x:v>
      </x:c>
      <x:c r="J317" t="str">
        <x:v>https://github.com/darknigthmare/deadwall-last-enclosure/blob/e28f46223e73105ab2c5d83f3d50b99b58ef53e6/codex-3000/originaux/DEADWALL_CODEX_1.22/fiches/DW-0312.md</x:v>
      </x:c>
      <x:c r="K317" t="str">
        <x:v>Source min 45,30 m ; max 240,170 m ; modèle 45 × 30 m ; niveaux 0. Détails dans catalogue-existant.json.</x:v>
      </x:c>
    </x:row>
    <x:row r="318">
      <x:c r="A318" t="str">
        <x:v>DW-0313</x:v>
      </x:c>
      <x:c r="B318" t="str">
        <x:v>DW-0313</x:v>
      </x:c>
      <x:c r="C318" t="str">
        <x:v>Parent historique</x:v>
      </x:c>
      <x:c r="D318" t="str">
        <x:v>Industrie et production</x:v>
      </x:c>
      <x:c r="E318" t="str">
        <x:v>Atelier de batteries</x:v>
      </x:c>
      <x:c r="F318" t="n">
        <x:v>8</x:v>
      </x:c>
      <x:c r="G318" t="n">
        <x:v>4</x:v>
      </x:c>
      <x:c r="H318" t="n">
        <x:v>12</x:v>
      </x:c>
      <x:c r="I318" t="str">
        <x:v>À qualifier par lieu</x:v>
      </x:c>
      <x:c r="J318" t="str">
        <x:v>https://github.com/darknigthmare/deadwall-last-enclosure/blob/e28f46223e73105ab2c5d83f3d50b99b58ef53e6/codex-3000/originaux/DEADWALL_CODEX_1.22/fiches/DW-0313.md</x:v>
      </x:c>
      <x:c r="K318" t="str">
        <x:v>Source min 45,30 m ; max 240,170 m ; modèle 45 × 30 m ; niveaux 0. Détails dans catalogue-existant.json.</x:v>
      </x:c>
    </x:row>
    <x:row r="319">
      <x:c r="A319" t="str">
        <x:v>DW-0314</x:v>
      </x:c>
      <x:c r="B319" t="str">
        <x:v>DW-0314</x:v>
      </x:c>
      <x:c r="C319" t="str">
        <x:v>Parent historique</x:v>
      </x:c>
      <x:c r="D319" t="str">
        <x:v>Industrie et production</x:v>
      </x:c>
      <x:c r="E319" t="str">
        <x:v>Usine de machines agricoles</x:v>
      </x:c>
      <x:c r="F319" t="n">
        <x:v>8</x:v>
      </x:c>
      <x:c r="G319" t="n">
        <x:v>4</x:v>
      </x:c>
      <x:c r="H319" t="n">
        <x:v>12</x:v>
      </x:c>
      <x:c r="I319" t="str">
        <x:v>À qualifier par lieu</x:v>
      </x:c>
      <x:c r="J319" t="str">
        <x:v>https://github.com/darknigthmare/deadwall-last-enclosure/blob/e28f46223e73105ab2c5d83f3d50b99b58ef53e6/codex-3000/originaux/DEADWALL_CODEX_1.22/fiches/DW-0314.md</x:v>
      </x:c>
      <x:c r="K319" t="str">
        <x:v>Source min 45,30 m ; max 240,170 m ; modèle 45 × 30 m ; niveaux 0. Détails dans catalogue-existant.json.</x:v>
      </x:c>
    </x:row>
    <x:row r="320">
      <x:c r="A320" t="str">
        <x:v>DW-0315</x:v>
      </x:c>
      <x:c r="B320" t="str">
        <x:v>DW-0315</x:v>
      </x:c>
      <x:c r="C320" t="str">
        <x:v>Parent historique</x:v>
      </x:c>
      <x:c r="D320" t="str">
        <x:v>Industrie et production</x:v>
      </x:c>
      <x:c r="E320" t="str">
        <x:v>Atelier de réparation industrielle</x:v>
      </x:c>
      <x:c r="F320" t="n">
        <x:v>8</x:v>
      </x:c>
      <x:c r="G320" t="n">
        <x:v>4</x:v>
      </x:c>
      <x:c r="H320" t="n">
        <x:v>12</x:v>
      </x:c>
      <x:c r="I320" t="str">
        <x:v>À qualifier par lieu</x:v>
      </x:c>
      <x:c r="J320" t="str">
        <x:v>https://github.com/darknigthmare/deadwall-last-enclosure/blob/e28f46223e73105ab2c5d83f3d50b99b58ef53e6/codex-3000/originaux/DEADWALL_CODEX_1.22/fiches/DW-0315.md</x:v>
      </x:c>
      <x:c r="K320" t="str">
        <x:v>Source min 45,30 m ; max 240,170 m ; modèle 45 × 30 m ; niveaux 0. Détails dans catalogue-existant.json.</x:v>
      </x:c>
    </x:row>
    <x:row r="321">
      <x:c r="A321" t="str">
        <x:v>DW-0316</x:v>
      </x:c>
      <x:c r="B321" t="str">
        <x:v>DW-0316</x:v>
      </x:c>
      <x:c r="C321" t="str">
        <x:v>Parent historique</x:v>
      </x:c>
      <x:c r="D321" t="str">
        <x:v>Industrie et production</x:v>
      </x:c>
      <x:c r="E321" t="str">
        <x:v>Usine agroalimentaire sèche</x:v>
      </x:c>
      <x:c r="F321" t="n">
        <x:v>8</x:v>
      </x:c>
      <x:c r="G321" t="n">
        <x:v>4</x:v>
      </x:c>
      <x:c r="H321" t="n">
        <x:v>12</x:v>
      </x:c>
      <x:c r="I321" t="str">
        <x:v>À qualifier par lieu</x:v>
      </x:c>
      <x:c r="J321" t="str">
        <x:v>https://github.com/darknigthmare/deadwall-last-enclosure/blob/e28f46223e73105ab2c5d83f3d50b99b58ef53e6/codex-3000/originaux/DEADWALL_CODEX_1.22/fiches/DW-0316.md</x:v>
      </x:c>
      <x:c r="K321" t="str">
        <x:v>Source min 45,30 m ; max 240,170 m ; modèle 45 × 30 m ; niveaux 0. Détails dans catalogue-existant.json.</x:v>
      </x:c>
    </x:row>
    <x:row r="322">
      <x:c r="A322" t="str">
        <x:v>DW-0317</x:v>
      </x:c>
      <x:c r="B322" t="str">
        <x:v>DW-0317</x:v>
      </x:c>
      <x:c r="C322" t="str">
        <x:v>Parent historique</x:v>
      </x:c>
      <x:c r="D322" t="str">
        <x:v>Industrie et production</x:v>
      </x:c>
      <x:c r="E322" t="str">
        <x:v>Brasserie désaffectée</x:v>
      </x:c>
      <x:c r="F322" t="n">
        <x:v>8</x:v>
      </x:c>
      <x:c r="G322" t="n">
        <x:v>4</x:v>
      </x:c>
      <x:c r="H322" t="n">
        <x:v>12</x:v>
      </x:c>
      <x:c r="I322" t="str">
        <x:v>À qualifier par lieu</x:v>
      </x:c>
      <x:c r="J322" t="str">
        <x:v>https://github.com/darknigthmare/deadwall-last-enclosure/blob/e28f46223e73105ab2c5d83f3d50b99b58ef53e6/codex-3000/originaux/DEADWALL_CODEX_1.22/fiches/DW-0317.md</x:v>
      </x:c>
      <x:c r="K322" t="str">
        <x:v>Source min 45,30 m ; max 240,170 m ; modèle 45 × 30 m ; niveaux 0. Détails dans catalogue-existant.json.</x:v>
      </x:c>
    </x:row>
    <x:row r="323">
      <x:c r="A323" t="str">
        <x:v>DW-0318</x:v>
      </x:c>
      <x:c r="B323" t="str">
        <x:v>DW-0318</x:v>
      </x:c>
      <x:c r="C323" t="str">
        <x:v>Parent historique</x:v>
      </x:c>
      <x:c r="D323" t="str">
        <x:v>Industrie et production</x:v>
      </x:c>
      <x:c r="E323" t="str">
        <x:v>Laiterie</x:v>
      </x:c>
      <x:c r="F323" t="n">
        <x:v>8</x:v>
      </x:c>
      <x:c r="G323" t="n">
        <x:v>4</x:v>
      </x:c>
      <x:c r="H323" t="n">
        <x:v>12</x:v>
      </x:c>
      <x:c r="I323" t="str">
        <x:v>À qualifier par lieu</x:v>
      </x:c>
      <x:c r="J323" t="str">
        <x:v>https://github.com/darknigthmare/deadwall-last-enclosure/blob/e28f46223e73105ab2c5d83f3d50b99b58ef53e6/codex-3000/originaux/DEADWALL_CODEX_1.22/fiches/DW-0318.md</x:v>
      </x:c>
      <x:c r="K323" t="str">
        <x:v>Source min 45,30 m ; max 240,170 m ; modèle 45 × 30 m ; niveaux 0. Détails dans catalogue-existant.json.</x:v>
      </x:c>
    </x:row>
    <x:row r="324">
      <x:c r="A324" t="str">
        <x:v>DW-0319</x:v>
      </x:c>
      <x:c r="B324" t="str">
        <x:v>DW-0319</x:v>
      </x:c>
      <x:c r="C324" t="str">
        <x:v>Parent historique</x:v>
      </x:c>
      <x:c r="D324" t="str">
        <x:v>Industrie et production</x:v>
      </x:c>
      <x:c r="E324" t="str">
        <x:v>Tannerie abandonnée</x:v>
      </x:c>
      <x:c r="F324" t="n">
        <x:v>8</x:v>
      </x:c>
      <x:c r="G324" t="n">
        <x:v>4</x:v>
      </x:c>
      <x:c r="H324" t="n">
        <x:v>12</x:v>
      </x:c>
      <x:c r="I324" t="str">
        <x:v>À qualifier par lieu</x:v>
      </x:c>
      <x:c r="J324" t="str">
        <x:v>https://github.com/darknigthmare/deadwall-last-enclosure/blob/e28f46223e73105ab2c5d83f3d50b99b58ef53e6/codex-3000/originaux/DEADWALL_CODEX_1.22/fiches/DW-0319.md</x:v>
      </x:c>
      <x:c r="K324" t="str">
        <x:v>Source min 45,30 m ; max 240,170 m ; modèle 45 × 30 m ; niveaux 0. Détails dans catalogue-existant.json.</x:v>
      </x:c>
    </x:row>
    <x:row r="325">
      <x:c r="A325" t="str">
        <x:v>DW-0320</x:v>
      </x:c>
      <x:c r="B325" t="str">
        <x:v>DW-0320</x:v>
      </x:c>
      <x:c r="C325" t="str">
        <x:v>Parent historique</x:v>
      </x:c>
      <x:c r="D325" t="str">
        <x:v>Industrie et production</x:v>
      </x:c>
      <x:c r="E325" t="str">
        <x:v>Zone artisanale mixte</x:v>
      </x:c>
      <x:c r="F325" t="n">
        <x:v>8</x:v>
      </x:c>
      <x:c r="G325" t="n">
        <x:v>4</x:v>
      </x:c>
      <x:c r="H325" t="n">
        <x:v>12</x:v>
      </x:c>
      <x:c r="I325" t="str">
        <x:v>À qualifier par lieu</x:v>
      </x:c>
      <x:c r="J325" t="str">
        <x:v>https://github.com/darknigthmare/deadwall-last-enclosure/blob/e28f46223e73105ab2c5d83f3d50b99b58ef53e6/codex-3000/originaux/DEADWALL_CODEX_1.22/fiches/DW-0320.md</x:v>
      </x:c>
      <x:c r="K325" t="str">
        <x:v>Source min 45,30 m ; max 240,170 m ; modèle 45 × 30 m ; niveaux 0. Détails dans catalogue-existant.json.</x:v>
      </x:c>
    </x:row>
    <x:row r="326">
      <x:c r="A326" t="str">
        <x:v>DW-0321</x:v>
      </x:c>
      <x:c r="B326" t="str">
        <x:v>DW-0321</x:v>
      </x:c>
      <x:c r="C326" t="str">
        <x:v>Parent historique</x:v>
      </x:c>
      <x:c r="D326" t="str">
        <x:v>Énergie et communication</x:v>
      </x:c>
      <x:c r="E326" t="str">
        <x:v>Poste électrique de quartier</x:v>
      </x:c>
      <x:c r="F326" t="n">
        <x:v>8</x:v>
      </x:c>
      <x:c r="G326" t="n">
        <x:v>4</x:v>
      </x:c>
      <x:c r="H326" t="n">
        <x:v>12</x:v>
      </x:c>
      <x:c r="I326" t="str">
        <x:v>À qualifier par lieu</x:v>
      </x:c>
      <x:c r="J326" t="str">
        <x:v>https://github.com/darknigthmare/deadwall-last-enclosure/blob/e28f46223e73105ab2c5d83f3d50b99b58ef53e6/codex-3000/originaux/DEADWALL_CODEX_1.22/fiches/DW-0321.md</x:v>
      </x:c>
      <x:c r="K326" t="str">
        <x:v>Source min 24,18 m ; max 260,180 m ; modèle 25 × 18 m ; niveaux 0. Détails dans catalogue-existant.json.</x:v>
      </x:c>
    </x:row>
    <x:row r="327">
      <x:c r="A327" t="str">
        <x:v>DW-0322</x:v>
      </x:c>
      <x:c r="B327" t="str">
        <x:v>DW-0322</x:v>
      </x:c>
      <x:c r="C327" t="str">
        <x:v>Parent historique</x:v>
      </x:c>
      <x:c r="D327" t="str">
        <x:v>Énergie et communication</x:v>
      </x:c>
      <x:c r="E327" t="str">
        <x:v>Sous-station industrielle</x:v>
      </x:c>
      <x:c r="F327" t="n">
        <x:v>8</x:v>
      </x:c>
      <x:c r="G327" t="n">
        <x:v>4</x:v>
      </x:c>
      <x:c r="H327" t="n">
        <x:v>12</x:v>
      </x:c>
      <x:c r="I327" t="str">
        <x:v>À qualifier par lieu</x:v>
      </x:c>
      <x:c r="J327" t="str">
        <x:v>https://github.com/darknigthmare/deadwall-last-enclosure/blob/e28f46223e73105ab2c5d83f3d50b99b58ef53e6/codex-3000/originaux/DEADWALL_CODEX_1.22/fiches/DW-0322.md</x:v>
      </x:c>
      <x:c r="K327" t="str">
        <x:v>Source min 24,18 m ; max 260,180 m ; modèle 25 × 18 m ; niveaux 0. Détails dans catalogue-existant.json.</x:v>
      </x:c>
    </x:row>
    <x:row r="328">
      <x:c r="A328" t="str">
        <x:v>DW-0323</x:v>
      </x:c>
      <x:c r="B328" t="str">
        <x:v>DW-0323</x:v>
      </x:c>
      <x:c r="C328" t="str">
        <x:v>Parent historique</x:v>
      </x:c>
      <x:c r="D328" t="str">
        <x:v>Énergie et communication</x:v>
      </x:c>
      <x:c r="E328" t="str">
        <x:v>Centrale thermique fictive</x:v>
      </x:c>
      <x:c r="F328" t="n">
        <x:v>8</x:v>
      </x:c>
      <x:c r="G328" t="n">
        <x:v>4</x:v>
      </x:c>
      <x:c r="H328" t="n">
        <x:v>12</x:v>
      </x:c>
      <x:c r="I328" t="str">
        <x:v>À qualifier par lieu</x:v>
      </x:c>
      <x:c r="J328" t="str">
        <x:v>https://github.com/darknigthmare/deadwall-last-enclosure/blob/e28f46223e73105ab2c5d83f3d50b99b58ef53e6/codex-3000/originaux/DEADWALL_CODEX_1.22/fiches/DW-0323.md</x:v>
      </x:c>
      <x:c r="K328" t="str">
        <x:v>Source min 24,18 m ; max 260,180 m ; modèle 25 × 18 m ; niveaux 0. Détails dans catalogue-existant.json.</x:v>
      </x:c>
    </x:row>
    <x:row r="329">
      <x:c r="A329" t="str">
        <x:v>DW-0324</x:v>
      </x:c>
      <x:c r="B329" t="str">
        <x:v>DW-0324</x:v>
      </x:c>
      <x:c r="C329" t="str">
        <x:v>Parent historique</x:v>
      </x:c>
      <x:c r="D329" t="str">
        <x:v>Énergie et communication</x:v>
      </x:c>
      <x:c r="E329" t="str">
        <x:v>Centrale hydroélectrique</x:v>
      </x:c>
      <x:c r="F329" t="n">
        <x:v>8</x:v>
      </x:c>
      <x:c r="G329" t="n">
        <x:v>4</x:v>
      </x:c>
      <x:c r="H329" t="n">
        <x:v>12</x:v>
      </x:c>
      <x:c r="I329" t="str">
        <x:v>À qualifier par lieu</x:v>
      </x:c>
      <x:c r="J329" t="str">
        <x:v>https://github.com/darknigthmare/deadwall-last-enclosure/blob/e28f46223e73105ab2c5d83f3d50b99b58ef53e6/codex-3000/originaux/DEADWALL_CODEX_1.22/fiches/DW-0324.md</x:v>
      </x:c>
      <x:c r="K329" t="str">
        <x:v>Source min 24,18 m ; max 260,180 m ; modèle 25 × 18 m ; niveaux 0. Détails dans catalogue-existant.json.</x:v>
      </x:c>
    </x:row>
    <x:row r="330">
      <x:c r="A330" t="str">
        <x:v>DW-0325</x:v>
      </x:c>
      <x:c r="B330" t="str">
        <x:v>DW-0325</x:v>
      </x:c>
      <x:c r="C330" t="str">
        <x:v>Parent historique</x:v>
      </x:c>
      <x:c r="D330" t="str">
        <x:v>Énergie et communication</x:v>
      </x:c>
      <x:c r="E330" t="str">
        <x:v>Petit barrage de retenue</x:v>
      </x:c>
      <x:c r="F330" t="n">
        <x:v>8</x:v>
      </x:c>
      <x:c r="G330" t="n">
        <x:v>4</x:v>
      </x:c>
      <x:c r="H330" t="n">
        <x:v>12</x:v>
      </x:c>
      <x:c r="I330" t="str">
        <x:v>À qualifier par lieu</x:v>
      </x:c>
      <x:c r="J330" t="str">
        <x:v>https://github.com/darknigthmare/deadwall-last-enclosure/blob/e28f46223e73105ab2c5d83f3d50b99b58ef53e6/codex-3000/originaux/DEADWALL_CODEX_1.22/fiches/DW-0325.md</x:v>
      </x:c>
      <x:c r="K330" t="str">
        <x:v>Source min 24,18 m ; max 260,180 m ; modèle 25 × 18 m ; niveaux 0. Détails dans catalogue-existant.json.</x:v>
      </x:c>
    </x:row>
    <x:row r="331">
      <x:c r="A331" t="str">
        <x:v>DW-0326</x:v>
      </x:c>
      <x:c r="B331" t="str">
        <x:v>DW-0326</x:v>
      </x:c>
      <x:c r="C331" t="str">
        <x:v>Parent historique</x:v>
      </x:c>
      <x:c r="D331" t="str">
        <x:v>Énergie et communication</x:v>
      </x:c>
      <x:c r="E331" t="str">
        <x:v>Ferme solaire</x:v>
      </x:c>
      <x:c r="F331" t="n">
        <x:v>8</x:v>
      </x:c>
      <x:c r="G331" t="n">
        <x:v>4</x:v>
      </x:c>
      <x:c r="H331" t="n">
        <x:v>12</x:v>
      </x:c>
      <x:c r="I331" t="str">
        <x:v>À qualifier par lieu</x:v>
      </x:c>
      <x:c r="J331" t="str">
        <x:v>https://github.com/darknigthmare/deadwall-last-enclosure/blob/e28f46223e73105ab2c5d83f3d50b99b58ef53e6/codex-3000/originaux/DEADWALL_CODEX_1.22/fiches/DW-0326.md</x:v>
      </x:c>
      <x:c r="K331" t="str">
        <x:v>Source min 24,18 m ; max 260,180 m ; modèle 25 × 18 m ; niveaux 0. Détails dans catalogue-existant.json.</x:v>
      </x:c>
    </x:row>
    <x:row r="332">
      <x:c r="A332" t="str">
        <x:v>DW-0327</x:v>
      </x:c>
      <x:c r="B332" t="str">
        <x:v>DW-0327</x:v>
      </x:c>
      <x:c r="C332" t="str">
        <x:v>Parent historique</x:v>
      </x:c>
      <x:c r="D332" t="str">
        <x:v>Énergie et communication</x:v>
      </x:c>
      <x:c r="E332" t="str">
        <x:v>Parc éolien</x:v>
      </x:c>
      <x:c r="F332" t="n">
        <x:v>8</x:v>
      </x:c>
      <x:c r="G332" t="n">
        <x:v>4</x:v>
      </x:c>
      <x:c r="H332" t="n">
        <x:v>12</x:v>
      </x:c>
      <x:c r="I332" t="str">
        <x:v>À qualifier par lieu</x:v>
      </x:c>
      <x:c r="J332" t="str">
        <x:v>https://github.com/darknigthmare/deadwall-last-enclosure/blob/e28f46223e73105ab2c5d83f3d50b99b58ef53e6/codex-3000/originaux/DEADWALL_CODEX_1.22/fiches/DW-0327.md</x:v>
      </x:c>
      <x:c r="K332" t="str">
        <x:v>Source min 24,18 m ; max 260,180 m ; modèle 25 × 18 m ; niveaux 0. Détails dans catalogue-existant.json.</x:v>
      </x:c>
    </x:row>
    <x:row r="333">
      <x:c r="A333" t="str">
        <x:v>DW-0328</x:v>
      </x:c>
      <x:c r="B333" t="str">
        <x:v>DW-0328</x:v>
      </x:c>
      <x:c r="C333" t="str">
        <x:v>Parent historique</x:v>
      </x:c>
      <x:c r="D333" t="str">
        <x:v>Énergie et communication</x:v>
      </x:c>
      <x:c r="E333" t="str">
        <x:v>Chaufferie urbaine</x:v>
      </x:c>
      <x:c r="F333" t="n">
        <x:v>8</x:v>
      </x:c>
      <x:c r="G333" t="n">
        <x:v>4</x:v>
      </x:c>
      <x:c r="H333" t="n">
        <x:v>12</x:v>
      </x:c>
      <x:c r="I333" t="str">
        <x:v>À qualifier par lieu</x:v>
      </x:c>
      <x:c r="J333" t="str">
        <x:v>https://github.com/darknigthmare/deadwall-last-enclosure/blob/e28f46223e73105ab2c5d83f3d50b99b58ef53e6/codex-3000/originaux/DEADWALL_CODEX_1.22/fiches/DW-0328.md</x:v>
      </x:c>
      <x:c r="K333" t="str">
        <x:v>Source min 24,18 m ; max 260,180 m ; modèle 25 × 18 m ; niveaux 0. Détails dans catalogue-existant.json.</x:v>
      </x:c>
    </x:row>
    <x:row r="334">
      <x:c r="A334" t="str">
        <x:v>DW-0329</x:v>
      </x:c>
      <x:c r="B334" t="str">
        <x:v>DW-0329</x:v>
      </x:c>
      <x:c r="C334" t="str">
        <x:v>Parent historique</x:v>
      </x:c>
      <x:c r="D334" t="str">
        <x:v>Énergie et communication</x:v>
      </x:c>
      <x:c r="E334" t="str">
        <x:v>Chaufferie biomasse</x:v>
      </x:c>
      <x:c r="F334" t="n">
        <x:v>8</x:v>
      </x:c>
      <x:c r="G334" t="n">
        <x:v>4</x:v>
      </x:c>
      <x:c r="H334" t="n">
        <x:v>12</x:v>
      </x:c>
      <x:c r="I334" t="str">
        <x:v>À qualifier par lieu</x:v>
      </x:c>
      <x:c r="J334" t="str">
        <x:v>https://github.com/darknigthmare/deadwall-last-enclosure/blob/e28f46223e73105ab2c5d83f3d50b99b58ef53e6/codex-3000/originaux/DEADWALL_CODEX_1.22/fiches/DW-0329.md</x:v>
      </x:c>
      <x:c r="K334" t="str">
        <x:v>Source min 24,18 m ; max 260,180 m ; modèle 25 × 18 m ; niveaux 0. Détails dans catalogue-existant.json.</x:v>
      </x:c>
    </x:row>
    <x:row r="335">
      <x:c r="A335" t="str">
        <x:v>DW-0330</x:v>
      </x:c>
      <x:c r="B335" t="str">
        <x:v>DW-0330</x:v>
      </x:c>
      <x:c r="C335" t="str">
        <x:v>Parent historique</x:v>
      </x:c>
      <x:c r="D335" t="str">
        <x:v>Énergie et communication</x:v>
      </x:c>
      <x:c r="E335" t="str">
        <x:v>Station de cogénération</x:v>
      </x:c>
      <x:c r="F335" t="n">
        <x:v>8</x:v>
      </x:c>
      <x:c r="G335" t="n">
        <x:v>4</x:v>
      </x:c>
      <x:c r="H335" t="n">
        <x:v>12</x:v>
      </x:c>
      <x:c r="I335" t="str">
        <x:v>À qualifier par lieu</x:v>
      </x:c>
      <x:c r="J335" t="str">
        <x:v>https://github.com/darknigthmare/deadwall-last-enclosure/blob/e28f46223e73105ab2c5d83f3d50b99b58ef53e6/codex-3000/originaux/DEADWALL_CODEX_1.22/fiches/DW-0330.md</x:v>
      </x:c>
      <x:c r="K335" t="str">
        <x:v>Source min 24,18 m ; max 260,180 m ; modèle 25 × 18 m ; niveaux 0. Détails dans catalogue-existant.json.</x:v>
      </x:c>
    </x:row>
    <x:row r="336">
      <x:c r="A336" t="str">
        <x:v>DW-0331</x:v>
      </x:c>
      <x:c r="B336" t="str">
        <x:v>DW-0331</x:v>
      </x:c>
      <x:c r="C336" t="str">
        <x:v>Parent historique</x:v>
      </x:c>
      <x:c r="D336" t="str">
        <x:v>Énergie et communication</x:v>
      </x:c>
      <x:c r="E336" t="str">
        <x:v>Local groupe électrogène</x:v>
      </x:c>
      <x:c r="F336" t="n">
        <x:v>8</x:v>
      </x:c>
      <x:c r="G336" t="n">
        <x:v>4</x:v>
      </x:c>
      <x:c r="H336" t="n">
        <x:v>12</x:v>
      </x:c>
      <x:c r="I336" t="str">
        <x:v>À qualifier par lieu</x:v>
      </x:c>
      <x:c r="J336" t="str">
        <x:v>https://github.com/darknigthmare/deadwall-last-enclosure/blob/e28f46223e73105ab2c5d83f3d50b99b58ef53e6/codex-3000/originaux/DEADWALL_CODEX_1.22/fiches/DW-0331.md</x:v>
      </x:c>
      <x:c r="K336" t="str">
        <x:v>Source min 24,18 m ; max 260,180 m ; modèle 25 × 18 m ; niveaux 0. Détails dans catalogue-existant.json.</x:v>
      </x:c>
    </x:row>
    <x:row r="337">
      <x:c r="A337" t="str">
        <x:v>DW-0332</x:v>
      </x:c>
      <x:c r="B337" t="str">
        <x:v>DW-0332</x:v>
      </x:c>
      <x:c r="C337" t="str">
        <x:v>Parent historique</x:v>
      </x:c>
      <x:c r="D337" t="str">
        <x:v>Énergie et communication</x:v>
      </x:c>
      <x:c r="E337" t="str">
        <x:v>Réserve civile de batteries</x:v>
      </x:c>
      <x:c r="F337" t="n">
        <x:v>8</x:v>
      </x:c>
      <x:c r="G337" t="n">
        <x:v>4</x:v>
      </x:c>
      <x:c r="H337" t="n">
        <x:v>12</x:v>
      </x:c>
      <x:c r="I337" t="str">
        <x:v>À qualifier par lieu</x:v>
      </x:c>
      <x:c r="J337" t="str">
        <x:v>https://github.com/darknigthmare/deadwall-last-enclosure/blob/e28f46223e73105ab2c5d83f3d50b99b58ef53e6/codex-3000/originaux/DEADWALL_CODEX_1.22/fiches/DW-0332.md</x:v>
      </x:c>
      <x:c r="K337" t="str">
        <x:v>Source min 24,18 m ; max 260,180 m ; modèle 25 × 18 m ; niveaux 0. Détails dans catalogue-existant.json.</x:v>
      </x:c>
    </x:row>
    <x:row r="338">
      <x:c r="A338" t="str">
        <x:v>DW-0333</x:v>
      </x:c>
      <x:c r="B338" t="str">
        <x:v>DW-0333</x:v>
      </x:c>
      <x:c r="C338" t="str">
        <x:v>Parent historique</x:v>
      </x:c>
      <x:c r="D338" t="str">
        <x:v>Énergie et communication</x:v>
      </x:c>
      <x:c r="E338" t="str">
        <x:v>Tour de télécommunication</x:v>
      </x:c>
      <x:c r="F338" t="n">
        <x:v>8</x:v>
      </x:c>
      <x:c r="G338" t="n">
        <x:v>3</x:v>
      </x:c>
      <x:c r="H338" t="n">
        <x:v>9</x:v>
      </x:c>
      <x:c r="I338" t="str">
        <x:v>À qualifier par lieu</x:v>
      </x:c>
      <x:c r="J338" t="str">
        <x:v>https://github.com/darknigthmare/deadwall-last-enclosure/blob/e28f46223e73105ab2c5d83f3d50b99b58ef53e6/codex-3000/originaux/DEADWALL_CODEX_1.22/fiches/DW-0333.md</x:v>
      </x:c>
      <x:c r="K338" t="str">
        <x:v>Source min 24,18 m ; max 260,180 m ; modèle 24 × 18 m ; niveaux 0. Détails dans catalogue-existant.json.</x:v>
      </x:c>
    </x:row>
    <x:row r="339">
      <x:c r="A339" t="str">
        <x:v>DW-0334</x:v>
      </x:c>
      <x:c r="B339" t="str">
        <x:v>DW-0334</x:v>
      </x:c>
      <x:c r="C339" t="str">
        <x:v>Parent historique</x:v>
      </x:c>
      <x:c r="D339" t="str">
        <x:v>Énergie et communication</x:v>
      </x:c>
      <x:c r="E339" t="str">
        <x:v>Relais radio rural</x:v>
      </x:c>
      <x:c r="F339" t="n">
        <x:v>8</x:v>
      </x:c>
      <x:c r="G339" t="n">
        <x:v>4</x:v>
      </x:c>
      <x:c r="H339" t="n">
        <x:v>12</x:v>
      </x:c>
      <x:c r="I339" t="str">
        <x:v>À qualifier par lieu</x:v>
      </x:c>
      <x:c r="J339" t="str">
        <x:v>https://github.com/darknigthmare/deadwall-last-enclosure/blob/e28f46223e73105ab2c5d83f3d50b99b58ef53e6/codex-3000/originaux/DEADWALL_CODEX_1.22/fiches/DW-0334.md</x:v>
      </x:c>
      <x:c r="K339" t="str">
        <x:v>Source min 24,18 m ; max 260,180 m ; modèle 25 × 18 m ; niveaux 0. Détails dans catalogue-existant.json.</x:v>
      </x:c>
    </x:row>
    <x:row r="340">
      <x:c r="A340" t="str">
        <x:v>DW-0335</x:v>
      </x:c>
      <x:c r="B340" t="str">
        <x:v>DW-0335</x:v>
      </x:c>
      <x:c r="C340" t="str">
        <x:v>Parent historique</x:v>
      </x:c>
      <x:c r="D340" t="str">
        <x:v>Énergie et communication</x:v>
      </x:c>
      <x:c r="E340" t="str">
        <x:v>Central téléphonique</x:v>
      </x:c>
      <x:c r="F340" t="n">
        <x:v>8</x:v>
      </x:c>
      <x:c r="G340" t="n">
        <x:v>4</x:v>
      </x:c>
      <x:c r="H340" t="n">
        <x:v>12</x:v>
      </x:c>
      <x:c r="I340" t="str">
        <x:v>À qualifier par lieu</x:v>
      </x:c>
      <x:c r="J340" t="str">
        <x:v>https://github.com/darknigthmare/deadwall-last-enclosure/blob/e28f46223e73105ab2c5d83f3d50b99b58ef53e6/codex-3000/originaux/DEADWALL_CODEX_1.22/fiches/DW-0335.md</x:v>
      </x:c>
      <x:c r="K340" t="str">
        <x:v>Source min 24,18 m ; max 260,180 m ; modèle 25 × 18 m ; niveaux 0. Détails dans catalogue-existant.json.</x:v>
      </x:c>
    </x:row>
    <x:row r="341">
      <x:c r="A341" t="str">
        <x:v>DW-0336</x:v>
      </x:c>
      <x:c r="B341" t="str">
        <x:v>DW-0336</x:v>
      </x:c>
      <x:c r="C341" t="str">
        <x:v>Parent historique</x:v>
      </x:c>
      <x:c r="D341" t="str">
        <x:v>Énergie et communication</x:v>
      </x:c>
      <x:c r="E341" t="str">
        <x:v>Centre de données</x:v>
      </x:c>
      <x:c r="F341" t="n">
        <x:v>8</x:v>
      </x:c>
      <x:c r="G341" t="n">
        <x:v>4</x:v>
      </x:c>
      <x:c r="H341" t="n">
        <x:v>12</x:v>
      </x:c>
      <x:c r="I341" t="str">
        <x:v>À qualifier par lieu</x:v>
      </x:c>
      <x:c r="J341" t="str">
        <x:v>https://github.com/darknigthmare/deadwall-last-enclosure/blob/e28f46223e73105ab2c5d83f3d50b99b58ef53e6/codex-3000/originaux/DEADWALL_CODEX_1.22/fiches/DW-0336.md</x:v>
      </x:c>
      <x:c r="K341" t="str">
        <x:v>Source min 24,18 m ; max 260,180 m ; modèle 25 × 18 m ; niveaux 0. Détails dans catalogue-existant.json.</x:v>
      </x:c>
    </x:row>
    <x:row r="342">
      <x:c r="A342" t="str">
        <x:v>DW-0337</x:v>
      </x:c>
      <x:c r="B342" t="str">
        <x:v>DW-0337</x:v>
      </x:c>
      <x:c r="C342" t="str">
        <x:v>Parent historique</x:v>
      </x:c>
      <x:c r="D342" t="str">
        <x:v>Énergie et communication</x:v>
      </x:c>
      <x:c r="E342" t="str">
        <x:v>Station satellite fictive</x:v>
      </x:c>
      <x:c r="F342" t="n">
        <x:v>8</x:v>
      </x:c>
      <x:c r="G342" t="n">
        <x:v>4</x:v>
      </x:c>
      <x:c r="H342" t="n">
        <x:v>12</x:v>
      </x:c>
      <x:c r="I342" t="str">
        <x:v>À qualifier par lieu</x:v>
      </x:c>
      <x:c r="J342" t="str">
        <x:v>https://github.com/darknigthmare/deadwall-last-enclosure/blob/e28f46223e73105ab2c5d83f3d50b99b58ef53e6/codex-3000/originaux/DEADWALL_CODEX_1.22/fiches/DW-0337.md</x:v>
      </x:c>
      <x:c r="K342" t="str">
        <x:v>Source min 24,18 m ; max 260,180 m ; modèle 25 × 18 m ; niveaux 0. Détails dans catalogue-existant.json.</x:v>
      </x:c>
    </x:row>
    <x:row r="343">
      <x:c r="A343" t="str">
        <x:v>DW-0338</x:v>
      </x:c>
      <x:c r="B343" t="str">
        <x:v>DW-0338</x:v>
      </x:c>
      <x:c r="C343" t="str">
        <x:v>Parent historique</x:v>
      </x:c>
      <x:c r="D343" t="str">
        <x:v>Énergie et communication</x:v>
      </x:c>
      <x:c r="E343" t="str">
        <x:v>Dépôt technique d'éclairage</x:v>
      </x:c>
      <x:c r="F343" t="n">
        <x:v>8</x:v>
      </x:c>
      <x:c r="G343" t="n">
        <x:v>4</x:v>
      </x:c>
      <x:c r="H343" t="n">
        <x:v>12</x:v>
      </x:c>
      <x:c r="I343" t="str">
        <x:v>À qualifier par lieu</x:v>
      </x:c>
      <x:c r="J343" t="str">
        <x:v>https://github.com/darknigthmare/deadwall-last-enclosure/blob/e28f46223e73105ab2c5d83f3d50b99b58ef53e6/codex-3000/originaux/DEADWALL_CODEX_1.22/fiches/DW-0338.md</x:v>
      </x:c>
      <x:c r="K343" t="str">
        <x:v>Source min 24,18 m ; max 260,180 m ; modèle 25 × 18 m ; niveaux 0. Détails dans catalogue-existant.json.</x:v>
      </x:c>
    </x:row>
    <x:row r="344">
      <x:c r="A344" t="str">
        <x:v>DW-0339</x:v>
      </x:c>
      <x:c r="B344" t="str">
        <x:v>DW-0339</x:v>
      </x:c>
      <x:c r="C344" t="str">
        <x:v>Parent historique</x:v>
      </x:c>
      <x:c r="D344" t="str">
        <x:v>Énergie et communication</x:v>
      </x:c>
      <x:c r="E344" t="str">
        <x:v>Usine à gaz désaffectée</x:v>
      </x:c>
      <x:c r="F344" t="n">
        <x:v>8</x:v>
      </x:c>
      <x:c r="G344" t="n">
        <x:v>4</x:v>
      </x:c>
      <x:c r="H344" t="n">
        <x:v>12</x:v>
      </x:c>
      <x:c r="I344" t="str">
        <x:v>À qualifier par lieu</x:v>
      </x:c>
      <x:c r="J344" t="str">
        <x:v>https://github.com/darknigthmare/deadwall-last-enclosure/blob/e28f46223e73105ab2c5d83f3d50b99b58ef53e6/codex-3000/originaux/DEADWALL_CODEX_1.22/fiches/DW-0339.md</x:v>
      </x:c>
      <x:c r="K344" t="str">
        <x:v>Source min 24,18 m ; max 260,180 m ; modèle 25 × 18 m ; niveaux 0. Détails dans catalogue-existant.json.</x:v>
      </x:c>
    </x:row>
    <x:row r="345">
      <x:c r="A345" t="str">
        <x:v>DW-0340</x:v>
      </x:c>
      <x:c r="B345" t="str">
        <x:v>DW-0340</x:v>
      </x:c>
      <x:c r="C345" t="str">
        <x:v>Parent historique</x:v>
      </x:c>
      <x:c r="D345" t="str">
        <x:v>Énergie et communication</x:v>
      </x:c>
      <x:c r="E345" t="str">
        <x:v>Station de recharge routière</x:v>
      </x:c>
      <x:c r="F345" t="n">
        <x:v>8</x:v>
      </x:c>
      <x:c r="G345" t="n">
        <x:v>4</x:v>
      </x:c>
      <x:c r="H345" t="n">
        <x:v>12</x:v>
      </x:c>
      <x:c r="I345" t="str">
        <x:v>À qualifier par lieu</x:v>
      </x:c>
      <x:c r="J345" t="str">
        <x:v>https://github.com/darknigthmare/deadwall-last-enclosure/blob/e28f46223e73105ab2c5d83f3d50b99b58ef53e6/codex-3000/originaux/DEADWALL_CODEX_1.22/fiches/DW-0340.md</x:v>
      </x:c>
      <x:c r="K345" t="str">
        <x:v>Source min 24,18 m ; max 260,180 m ; modèle 25 × 18 m ; niveaux 0. Détails dans catalogue-existant.json.</x:v>
      </x:c>
    </x:row>
    <x:row r="346">
      <x:c r="A346" t="str">
        <x:v>DW-0341</x:v>
      </x:c>
      <x:c r="B346" t="str">
        <x:v>DW-0341</x:v>
      </x:c>
      <x:c r="C346" t="str">
        <x:v>Parent historique</x:v>
      </x:c>
      <x:c r="D346" t="str">
        <x:v>Eau et réseaux</x:v>
      </x:c>
      <x:c r="E346" t="str">
        <x:v>Château d'eau</x:v>
      </x:c>
      <x:c r="F346" t="n">
        <x:v>10</x:v>
      </x:c>
      <x:c r="G346" t="n">
        <x:v>4</x:v>
      </x:c>
      <x:c r="H346" t="n">
        <x:v>10</x:v>
      </x:c>
      <x:c r="I346" t="str">
        <x:v>À qualifier par lieu</x:v>
      </x:c>
      <x:c r="J346" t="str">
        <x:v>https://github.com/darknigthmare/deadwall-last-enclosure/blob/e28f46223e73105ab2c5d83f3d50b99b58ef53e6/codex-3000/originaux/DEADWALL_CODEX_1.22/fiches/DW-0341.md</x:v>
      </x:c>
      <x:c r="K346" t="str">
        <x:v>Source min 30,20 m ; max 240,180 m ; modèle 30 × 20 m ; niveaux 0. Détails dans catalogue-existant.json.</x:v>
      </x:c>
    </x:row>
    <x:row r="347">
      <x:c r="A347" t="str">
        <x:v>DW-0342</x:v>
      </x:c>
      <x:c r="B347" t="str">
        <x:v>DW-0342</x:v>
      </x:c>
      <x:c r="C347" t="str">
        <x:v>Parent historique</x:v>
      </x:c>
      <x:c r="D347" t="str">
        <x:v>Eau et réseaux</x:v>
      </x:c>
      <x:c r="E347" t="str">
        <x:v>Station de pompage</x:v>
      </x:c>
      <x:c r="F347" t="n">
        <x:v>10</x:v>
      </x:c>
      <x:c r="G347" t="n">
        <x:v>4</x:v>
      </x:c>
      <x:c r="H347" t="n">
        <x:v>12</x:v>
      </x:c>
      <x:c r="I347" t="str">
        <x:v>À qualifier par lieu</x:v>
      </x:c>
      <x:c r="J347" t="str">
        <x:v>https://github.com/darknigthmare/deadwall-last-enclosure/blob/e28f46223e73105ab2c5d83f3d50b99b58ef53e6/codex-3000/originaux/DEADWALL_CODEX_1.22/fiches/DW-0342.md</x:v>
      </x:c>
      <x:c r="K347" t="str">
        <x:v>Source min 30,20 m ; max 240,180 m ; modèle 30 × 20 m ; niveaux 0. Détails dans catalogue-existant.json.</x:v>
      </x:c>
    </x:row>
    <x:row r="348">
      <x:c r="A348" t="str">
        <x:v>DW-0343</x:v>
      </x:c>
      <x:c r="B348" t="str">
        <x:v>DW-0343</x:v>
      </x:c>
      <x:c r="C348" t="str">
        <x:v>Parent historique</x:v>
      </x:c>
      <x:c r="D348" t="str">
        <x:v>Eau et réseaux</x:v>
      </x:c>
      <x:c r="E348" t="str">
        <x:v>Usine de traitement d'eau</x:v>
      </x:c>
      <x:c r="F348" t="n">
        <x:v>10</x:v>
      </x:c>
      <x:c r="G348" t="n">
        <x:v>4</x:v>
      </x:c>
      <x:c r="H348" t="n">
        <x:v>12</x:v>
      </x:c>
      <x:c r="I348" t="str">
        <x:v>À qualifier par lieu</x:v>
      </x:c>
      <x:c r="J348" t="str">
        <x:v>https://github.com/darknigthmare/deadwall-last-enclosure/blob/e28f46223e73105ab2c5d83f3d50b99b58ef53e6/codex-3000/originaux/DEADWALL_CODEX_1.22/fiches/DW-0343.md</x:v>
      </x:c>
      <x:c r="K348" t="str">
        <x:v>Source min 30,20 m ; max 240,180 m ; modèle 30 × 20 m ; niveaux 0. Détails dans catalogue-existant.json.</x:v>
      </x:c>
    </x:row>
    <x:row r="349">
      <x:c r="A349" t="str">
        <x:v>DW-0344</x:v>
      </x:c>
      <x:c r="B349" t="str">
        <x:v>DW-0344</x:v>
      </x:c>
      <x:c r="C349" t="str">
        <x:v>Parent historique</x:v>
      </x:c>
      <x:c r="D349" t="str">
        <x:v>Eau et réseaux</x:v>
      </x:c>
      <x:c r="E349" t="str">
        <x:v>Station d'épuration</x:v>
      </x:c>
      <x:c r="F349" t="n">
        <x:v>10</x:v>
      </x:c>
      <x:c r="G349" t="n">
        <x:v>4</x:v>
      </x:c>
      <x:c r="H349" t="n">
        <x:v>12</x:v>
      </x:c>
      <x:c r="I349" t="str">
        <x:v>À qualifier par lieu</x:v>
      </x:c>
      <x:c r="J349" t="str">
        <x:v>https://github.com/darknigthmare/deadwall-last-enclosure/blob/e28f46223e73105ab2c5d83f3d50b99b58ef53e6/codex-3000/originaux/DEADWALL_CODEX_1.22/fiches/DW-0344.md</x:v>
      </x:c>
      <x:c r="K349" t="str">
        <x:v>Source min 30,20 m ; max 240,180 m ; modèle 30 × 20 m ; niveaux 0. Détails dans catalogue-existant.json.</x:v>
      </x:c>
    </x:row>
    <x:row r="350">
      <x:c r="A350" t="str">
        <x:v>DW-0345</x:v>
      </x:c>
      <x:c r="B350" t="str">
        <x:v>DW-0345</x:v>
      </x:c>
      <x:c r="C350" t="str">
        <x:v>Parent historique</x:v>
      </x:c>
      <x:c r="D350" t="str">
        <x:v>Eau et réseaux</x:v>
      </x:c>
      <x:c r="E350" t="str">
        <x:v>Bassin d'orage</x:v>
      </x:c>
      <x:c r="F350" t="n">
        <x:v>10</x:v>
      </x:c>
      <x:c r="G350" t="n">
        <x:v>4</x:v>
      </x:c>
      <x:c r="H350" t="n">
        <x:v>12</x:v>
      </x:c>
      <x:c r="I350" t="str">
        <x:v>À qualifier par lieu</x:v>
      </x:c>
      <x:c r="J350" t="str">
        <x:v>https://github.com/darknigthmare/deadwall-last-enclosure/blob/e28f46223e73105ab2c5d83f3d50b99b58ef53e6/codex-3000/originaux/DEADWALL_CODEX_1.22/fiches/DW-0345.md</x:v>
      </x:c>
      <x:c r="K350" t="str">
        <x:v>Source min 30,20 m ; max 240,180 m ; modèle 30 × 20 m ; niveaux 0. Détails dans catalogue-existant.json.</x:v>
      </x:c>
    </x:row>
    <x:row r="351">
      <x:c r="A351" t="str">
        <x:v>DW-0346</x:v>
      </x:c>
      <x:c r="B351" t="str">
        <x:v>DW-0346</x:v>
      </x:c>
      <x:c r="C351" t="str">
        <x:v>Parent historique</x:v>
      </x:c>
      <x:c r="D351" t="str">
        <x:v>Eau et réseaux</x:v>
      </x:c>
      <x:c r="E351" t="str">
        <x:v>Réservoir enterré</x:v>
      </x:c>
      <x:c r="F351" t="n">
        <x:v>10</x:v>
      </x:c>
      <x:c r="G351" t="n">
        <x:v>3</x:v>
      </x:c>
      <x:c r="H351" t="n">
        <x:v>9</x:v>
      </x:c>
      <x:c r="I351" t="str">
        <x:v>À qualifier par lieu</x:v>
      </x:c>
      <x:c r="J351" t="str">
        <x:v>https://github.com/darknigthmare/deadwall-last-enclosure/blob/e28f46223e73105ab2c5d83f3d50b99b58ef53e6/codex-3000/originaux/DEADWALL_CODEX_1.22/fiches/DW-0346.md</x:v>
      </x:c>
      <x:c r="K351" t="str">
        <x:v>Source min 30,20 m ; max 240,180 m ; modèle 30 × 20 m ; niveaux -1, 0. Détails dans catalogue-existant.json.</x:v>
      </x:c>
    </x:row>
    <x:row r="352">
      <x:c r="A352" t="str">
        <x:v>DW-0347</x:v>
      </x:c>
      <x:c r="B352" t="str">
        <x:v>DW-0347</x:v>
      </x:c>
      <x:c r="C352" t="str">
        <x:v>Parent historique</x:v>
      </x:c>
      <x:c r="D352" t="str">
        <x:v>Eau et réseaux</x:v>
      </x:c>
      <x:c r="E352" t="str">
        <x:v>Canal avec écluse</x:v>
      </x:c>
      <x:c r="F352" t="n">
        <x:v>10</x:v>
      </x:c>
      <x:c r="G352" t="n">
        <x:v>4</x:v>
      </x:c>
      <x:c r="H352" t="n">
        <x:v>12</x:v>
      </x:c>
      <x:c r="I352" t="str">
        <x:v>À qualifier par lieu</x:v>
      </x:c>
      <x:c r="J352" t="str">
        <x:v>https://github.com/darknigthmare/deadwall-last-enclosure/blob/e28f46223e73105ab2c5d83f3d50b99b58ef53e6/codex-3000/originaux/DEADWALL_CODEX_1.22/fiches/DW-0347.md</x:v>
      </x:c>
      <x:c r="K352" t="str">
        <x:v>Source min 30,20 m ; max 240,180 m ; modèle 30 × 20 m ; niveaux 0. Détails dans catalogue-existant.json.</x:v>
      </x:c>
    </x:row>
    <x:row r="353">
      <x:c r="A353" t="str">
        <x:v>DW-0348</x:v>
      </x:c>
      <x:c r="B353" t="str">
        <x:v>DW-0348</x:v>
      </x:c>
      <x:c r="C353" t="str">
        <x:v>Parent historique</x:v>
      </x:c>
      <x:c r="D353" t="str">
        <x:v>Eau et réseaux</x:v>
      </x:c>
      <x:c r="E353" t="str">
        <x:v>Aqueduc ancien</x:v>
      </x:c>
      <x:c r="F353" t="n">
        <x:v>10</x:v>
      </x:c>
      <x:c r="G353" t="n">
        <x:v>4</x:v>
      </x:c>
      <x:c r="H353" t="n">
        <x:v>12</x:v>
      </x:c>
      <x:c r="I353" t="str">
        <x:v>À qualifier par lieu</x:v>
      </x:c>
      <x:c r="J353" t="str">
        <x:v>https://github.com/darknigthmare/deadwall-last-enclosure/blob/e28f46223e73105ab2c5d83f3d50b99b58ef53e6/codex-3000/originaux/DEADWALL_CODEX_1.22/fiches/DW-0348.md</x:v>
      </x:c>
      <x:c r="K353" t="str">
        <x:v>Source min 30,20 m ; max 240,180 m ; modèle 30 × 20 m ; niveaux 0. Détails dans catalogue-existant.json.</x:v>
      </x:c>
    </x:row>
    <x:row r="354">
      <x:c r="A354" t="str">
        <x:v>DW-0349</x:v>
      </x:c>
      <x:c r="B354" t="str">
        <x:v>DW-0349</x:v>
      </x:c>
      <x:c r="C354" t="str">
        <x:v>Parent historique</x:v>
      </x:c>
      <x:c r="D354" t="str">
        <x:v>Eau et réseaux</x:v>
      </x:c>
      <x:c r="E354" t="str">
        <x:v>Collecteur visitable fictif</x:v>
      </x:c>
      <x:c r="F354" t="n">
        <x:v>10</x:v>
      </x:c>
      <x:c r="G354" t="n">
        <x:v>4</x:v>
      </x:c>
      <x:c r="H354" t="n">
        <x:v>10</x:v>
      </x:c>
      <x:c r="I354" t="str">
        <x:v>À qualifier par lieu</x:v>
      </x:c>
      <x:c r="J354" t="str">
        <x:v>https://github.com/darknigthmare/deadwall-last-enclosure/blob/e28f46223e73105ab2c5d83f3d50b99b58ef53e6/codex-3000/originaux/DEADWALL_CODEX_1.22/fiches/DW-0349.md</x:v>
      </x:c>
      <x:c r="K354" t="str">
        <x:v>Source min 30,20 m ; max 240,180 m ; modèle 30 × 20 m ; niveaux 0. Détails dans catalogue-existant.json.</x:v>
      </x:c>
    </x:row>
    <x:row r="355">
      <x:c r="A355" t="str">
        <x:v>DW-0350</x:v>
      </x:c>
      <x:c r="B355" t="str">
        <x:v>DW-0350</x:v>
      </x:c>
      <x:c r="C355" t="str">
        <x:v>Parent historique</x:v>
      </x:c>
      <x:c r="D355" t="str">
        <x:v>Eau et réseaux</x:v>
      </x:c>
      <x:c r="E355" t="str">
        <x:v>Local d'égout de quartier</x:v>
      </x:c>
      <x:c r="F355" t="n">
        <x:v>10</x:v>
      </x:c>
      <x:c r="G355" t="n">
        <x:v>3</x:v>
      </x:c>
      <x:c r="H355" t="n">
        <x:v>7</x:v>
      </x:c>
      <x:c r="I355" t="str">
        <x:v>À qualifier par lieu</x:v>
      </x:c>
      <x:c r="J355" t="str">
        <x:v>https://github.com/darknigthmare/deadwall-last-enclosure/blob/e28f46223e73105ab2c5d83f3d50b99b58ef53e6/codex-3000/originaux/DEADWALL_CODEX_1.22/fiches/DW-0350.md</x:v>
      </x:c>
      <x:c r="K355" t="str">
        <x:v>Source min 30,20 m ; max 240,180 m ; modèle 30 × 20 m ; niveaux 0. Détails dans catalogue-existant.json.</x:v>
      </x:c>
    </x:row>
    <x:row r="356">
      <x:c r="A356" t="str">
        <x:v>DW-0351</x:v>
      </x:c>
      <x:c r="B356" t="str">
        <x:v>DW-0351</x:v>
      </x:c>
      <x:c r="C356" t="str">
        <x:v>Parent historique</x:v>
      </x:c>
      <x:c r="D356" t="str">
        <x:v>Eau et réseaux</x:v>
      </x:c>
      <x:c r="E356" t="str">
        <x:v>Lavoir ancien</x:v>
      </x:c>
      <x:c r="F356" t="n">
        <x:v>10</x:v>
      </x:c>
      <x:c r="G356" t="n">
        <x:v>4</x:v>
      </x:c>
      <x:c r="H356" t="n">
        <x:v>12</x:v>
      </x:c>
      <x:c r="I356" t="str">
        <x:v>À qualifier par lieu</x:v>
      </x:c>
      <x:c r="J356" t="str">
        <x:v>https://github.com/darknigthmare/deadwall-last-enclosure/blob/e28f46223e73105ab2c5d83f3d50b99b58ef53e6/codex-3000/originaux/DEADWALL_CODEX_1.22/fiches/DW-0351.md</x:v>
      </x:c>
      <x:c r="K356" t="str">
        <x:v>Source min 30,20 m ; max 240,180 m ; modèle 30 × 20 m ; niveaux 0. Détails dans catalogue-existant.json.</x:v>
      </x:c>
    </x:row>
    <x:row r="357">
      <x:c r="A357" t="str">
        <x:v>DW-0352</x:v>
      </x:c>
      <x:c r="B357" t="str">
        <x:v>DW-0352</x:v>
      </x:c>
      <x:c r="C357" t="str">
        <x:v>Parent historique</x:v>
      </x:c>
      <x:c r="D357" t="str">
        <x:v>Eau et réseaux</x:v>
      </x:c>
      <x:c r="E357" t="str">
        <x:v>Fontaine de village</x:v>
      </x:c>
      <x:c r="F357" t="n">
        <x:v>10</x:v>
      </x:c>
      <x:c r="G357" t="n">
        <x:v>3</x:v>
      </x:c>
      <x:c r="H357" t="n">
        <x:v>9</x:v>
      </x:c>
      <x:c r="I357" t="str">
        <x:v>À qualifier par lieu</x:v>
      </x:c>
      <x:c r="J357" t="str">
        <x:v>https://github.com/darknigthmare/deadwall-last-enclosure/blob/e28f46223e73105ab2c5d83f3d50b99b58ef53e6/codex-3000/originaux/DEADWALL_CODEX_1.22/fiches/DW-0352.md</x:v>
      </x:c>
      <x:c r="K357" t="str">
        <x:v>Source min 30,20 m ; max 240,180 m ; modèle 30 × 20 m ; niveaux 0. Détails dans catalogue-existant.json.</x:v>
      </x:c>
    </x:row>
    <x:row r="358">
      <x:c r="A358" t="str">
        <x:v>DW-0353</x:v>
      </x:c>
      <x:c r="B358" t="str">
        <x:v>DW-0353</x:v>
      </x:c>
      <x:c r="C358" t="str">
        <x:v>Parent historique</x:v>
      </x:c>
      <x:c r="D358" t="str">
        <x:v>Eau et réseaux</x:v>
      </x:c>
      <x:c r="E358" t="str">
        <x:v>Puits agricole</x:v>
      </x:c>
      <x:c r="F358" t="n">
        <x:v>10</x:v>
      </x:c>
      <x:c r="G358" t="n">
        <x:v>4</x:v>
      </x:c>
      <x:c r="H358" t="n">
        <x:v>12</x:v>
      </x:c>
      <x:c r="I358" t="str">
        <x:v>À qualifier par lieu</x:v>
      </x:c>
      <x:c r="J358" t="str">
        <x:v>https://github.com/darknigthmare/deadwall-last-enclosure/blob/e28f46223e73105ab2c5d83f3d50b99b58ef53e6/codex-3000/originaux/DEADWALL_CODEX_1.22/fiches/DW-0353.md</x:v>
      </x:c>
      <x:c r="K358" t="str">
        <x:v>Source min 30,20 m ; max 240,180 m ; modèle 30 × 20 m ; niveaux 0. Détails dans catalogue-existant.json.</x:v>
      </x:c>
    </x:row>
    <x:row r="359">
      <x:c r="A359" t="str">
        <x:v>DW-0354</x:v>
      </x:c>
      <x:c r="B359" t="str">
        <x:v>DW-0354</x:v>
      </x:c>
      <x:c r="C359" t="str">
        <x:v>Parent historique</x:v>
      </x:c>
      <x:c r="D359" t="str">
        <x:v>Eau et réseaux</x:v>
      </x:c>
      <x:c r="E359" t="str">
        <x:v>Station d'irrigation</x:v>
      </x:c>
      <x:c r="F359" t="n">
        <x:v>10</x:v>
      </x:c>
      <x:c r="G359" t="n">
        <x:v>4</x:v>
      </x:c>
      <x:c r="H359" t="n">
        <x:v>12</x:v>
      </x:c>
      <x:c r="I359" t="str">
        <x:v>À qualifier par lieu</x:v>
      </x:c>
      <x:c r="J359" t="str">
        <x:v>https://github.com/darknigthmare/deadwall-last-enclosure/blob/e28f46223e73105ab2c5d83f3d50b99b58ef53e6/codex-3000/originaux/DEADWALL_CODEX_1.22/fiches/DW-0354.md</x:v>
      </x:c>
      <x:c r="K359" t="str">
        <x:v>Source min 30,20 m ; max 240,180 m ; modèle 30 × 20 m ; niveaux 0. Détails dans catalogue-existant.json.</x:v>
      </x:c>
    </x:row>
    <x:row r="360">
      <x:c r="A360" t="str">
        <x:v>DW-0355</x:v>
      </x:c>
      <x:c r="B360" t="str">
        <x:v>DW-0355</x:v>
      </x:c>
      <x:c r="C360" t="str">
        <x:v>Parent historique</x:v>
      </x:c>
      <x:c r="D360" t="str">
        <x:v>Eau et réseaux</x:v>
      </x:c>
      <x:c r="E360" t="str">
        <x:v>Barrage de petite rivière</x:v>
      </x:c>
      <x:c r="F360" t="n">
        <x:v>10</x:v>
      </x:c>
      <x:c r="G360" t="n">
        <x:v>4</x:v>
      </x:c>
      <x:c r="H360" t="n">
        <x:v>12</x:v>
      </x:c>
      <x:c r="I360" t="str">
        <x:v>À qualifier par lieu</x:v>
      </x:c>
      <x:c r="J360" t="str">
        <x:v>https://github.com/darknigthmare/deadwall-last-enclosure/blob/e28f46223e73105ab2c5d83f3d50b99b58ef53e6/codex-3000/originaux/DEADWALL_CODEX_1.22/fiches/DW-0355.md</x:v>
      </x:c>
      <x:c r="K360" t="str">
        <x:v>Source min 30,20 m ; max 240,180 m ; modèle 30 × 20 m ; niveaux 0. Détails dans catalogue-existant.json.</x:v>
      </x:c>
    </x:row>
    <x:row r="361">
      <x:c r="A361" t="str">
        <x:v>DW-0356</x:v>
      </x:c>
      <x:c r="B361" t="str">
        <x:v>DW-0356</x:v>
      </x:c>
      <x:c r="C361" t="str">
        <x:v>Parent historique</x:v>
      </x:c>
      <x:c r="D361" t="str">
        <x:v>Eau et réseaux</x:v>
      </x:c>
      <x:c r="E361" t="str">
        <x:v>Digue côtière</x:v>
      </x:c>
      <x:c r="F361" t="n">
        <x:v>10</x:v>
      </x:c>
      <x:c r="G361" t="n">
        <x:v>3</x:v>
      </x:c>
      <x:c r="H361" t="n">
        <x:v>7</x:v>
      </x:c>
      <x:c r="I361" t="str">
        <x:v>À qualifier par lieu</x:v>
      </x:c>
      <x:c r="J361" t="str">
        <x:v>https://github.com/darknigthmare/deadwall-last-enclosure/blob/e28f46223e73105ab2c5d83f3d50b99b58ef53e6/codex-3000/originaux/DEADWALL_CODEX_1.22/fiches/DW-0356.md</x:v>
      </x:c>
      <x:c r="K361" t="str">
        <x:v>Source min 30,20 m ; max 240,180 m ; modèle 30 × 20 m ; niveaux 0. Détails dans catalogue-existant.json.</x:v>
      </x:c>
    </x:row>
    <x:row r="362">
      <x:c r="A362" t="str">
        <x:v>DW-0357</x:v>
      </x:c>
      <x:c r="B362" t="str">
        <x:v>DW-0357</x:v>
      </x:c>
      <x:c r="C362" t="str">
        <x:v>Parent historique</x:v>
      </x:c>
      <x:c r="D362" t="str">
        <x:v>Eau et réseaux</x:v>
      </x:c>
      <x:c r="E362" t="str">
        <x:v>Portes anti-crue fictives</x:v>
      </x:c>
      <x:c r="F362" t="n">
        <x:v>10</x:v>
      </x:c>
      <x:c r="G362" t="n">
        <x:v>3</x:v>
      </x:c>
      <x:c r="H362" t="n">
        <x:v>7</x:v>
      </x:c>
      <x:c r="I362" t="str">
        <x:v>À qualifier par lieu</x:v>
      </x:c>
      <x:c r="J362" t="str">
        <x:v>https://github.com/darknigthmare/deadwall-last-enclosure/blob/e28f46223e73105ab2c5d83f3d50b99b58ef53e6/codex-3000/originaux/DEADWALL_CODEX_1.22/fiches/DW-0357.md</x:v>
      </x:c>
      <x:c r="K362" t="str">
        <x:v>Source min 30,20 m ; max 240,180 m ; modèle 30 × 20 m ; niveaux 0. Détails dans catalogue-existant.json.</x:v>
      </x:c>
    </x:row>
    <x:row r="363">
      <x:c r="A363" t="str">
        <x:v>DW-0358</x:v>
      </x:c>
      <x:c r="B363" t="str">
        <x:v>DW-0358</x:v>
      </x:c>
      <x:c r="C363" t="str">
        <x:v>Parent historique</x:v>
      </x:c>
      <x:c r="D363" t="str">
        <x:v>Eau et réseaux</x:v>
      </x:c>
      <x:c r="E363" t="str">
        <x:v>Dépôt de citernes</x:v>
      </x:c>
      <x:c r="F363" t="n">
        <x:v>10</x:v>
      </x:c>
      <x:c r="G363" t="n">
        <x:v>4</x:v>
      </x:c>
      <x:c r="H363" t="n">
        <x:v>12</x:v>
      </x:c>
      <x:c r="I363" t="str">
        <x:v>À qualifier par lieu</x:v>
      </x:c>
      <x:c r="J363" t="str">
        <x:v>https://github.com/darknigthmare/deadwall-last-enclosure/blob/e28f46223e73105ab2c5d83f3d50b99b58ef53e6/codex-3000/originaux/DEADWALL_CODEX_1.22/fiches/DW-0358.md</x:v>
      </x:c>
      <x:c r="K363" t="str">
        <x:v>Source min 30,20 m ; max 240,180 m ; modèle 30 × 20 m ; niveaux 0. Détails dans catalogue-existant.json.</x:v>
      </x:c>
    </x:row>
    <x:row r="364">
      <x:c r="A364" t="str">
        <x:v>DW-0359</x:v>
      </x:c>
      <x:c r="B364" t="str">
        <x:v>DW-0359</x:v>
      </x:c>
      <x:c r="C364" t="str">
        <x:v>Parent historique</x:v>
      </x:c>
      <x:c r="D364" t="str">
        <x:v>Eau et réseaux</x:v>
      </x:c>
      <x:c r="E364" t="str">
        <x:v>Captage forestier</x:v>
      </x:c>
      <x:c r="F364" t="n">
        <x:v>10</x:v>
      </x:c>
      <x:c r="G364" t="n">
        <x:v>3</x:v>
      </x:c>
      <x:c r="H364" t="n">
        <x:v>9</x:v>
      </x:c>
      <x:c r="I364" t="str">
        <x:v>À qualifier par lieu</x:v>
      </x:c>
      <x:c r="J364" t="str">
        <x:v>https://github.com/darknigthmare/deadwall-last-enclosure/blob/e28f46223e73105ab2c5d83f3d50b99b58ef53e6/codex-3000/originaux/DEADWALL_CODEX_1.22/fiches/DW-0359.md</x:v>
      </x:c>
      <x:c r="K364" t="str">
        <x:v>Source min 30,20 m ; max 240,180 m ; modèle 30 × 20 m ; niveaux 0. Détails dans catalogue-existant.json.</x:v>
      </x:c>
    </x:row>
    <x:row r="365">
      <x:c r="A365" t="str">
        <x:v>DW-0360</x:v>
      </x:c>
      <x:c r="B365" t="str">
        <x:v>DW-0360</x:v>
      </x:c>
      <x:c r="C365" t="str">
        <x:v>Parent historique</x:v>
      </x:c>
      <x:c r="D365" t="str">
        <x:v>Eau et réseaux</x:v>
      </x:c>
      <x:c r="E365" t="str">
        <x:v>Réseau de bassins abandonné</x:v>
      </x:c>
      <x:c r="F365" t="n">
        <x:v>10</x:v>
      </x:c>
      <x:c r="G365" t="n">
        <x:v>4</x:v>
      </x:c>
      <x:c r="H365" t="n">
        <x:v>12</x:v>
      </x:c>
      <x:c r="I365" t="str">
        <x:v>À qualifier par lieu</x:v>
      </x:c>
      <x:c r="J365" t="str">
        <x:v>https://github.com/darknigthmare/deadwall-last-enclosure/blob/e28f46223e73105ab2c5d83f3d50b99b58ef53e6/codex-3000/originaux/DEADWALL_CODEX_1.22/fiches/DW-0360.md</x:v>
      </x:c>
      <x:c r="K365" t="str">
        <x:v>Source min 30,20 m ; max 240,180 m ; modèle 30 × 20 m ; niveaux 0. Détails dans catalogue-existant.json.</x:v>
      </x:c>
    </x:row>
    <x:row r="366">
      <x:c r="A366" t="str">
        <x:v>DW-0361</x:v>
      </x:c>
      <x:c r="B366" t="str">
        <x:v>DW-0361</x:v>
      </x:c>
      <x:c r="C366" t="str">
        <x:v>Parent historique</x:v>
      </x:c>
      <x:c r="D366" t="str">
        <x:v>Agriculture</x:v>
      </x:c>
      <x:c r="E366" t="str">
        <x:v>Ferme céréalière</x:v>
      </x:c>
      <x:c r="F366" t="n">
        <x:v>8</x:v>
      </x:c>
      <x:c r="G366" t="n">
        <x:v>5</x:v>
      </x:c>
      <x:c r="H366" t="n">
        <x:v>15</x:v>
      </x:c>
      <x:c r="I366" t="str">
        <x:v>À qualifier par lieu</x:v>
      </x:c>
      <x:c r="J366" t="str">
        <x:v>https://github.com/darknigthmare/deadwall-last-enclosure/blob/e28f46223e73105ab2c5d83f3d50b99b58ef53e6/codex-3000/originaux/DEADWALL_CODEX_1.22/fiches/DW-0361.md</x:v>
      </x:c>
      <x:c r="K366" t="str">
        <x:v>Source min 90,60 m ; max 700,450 m ; modèle 78 × 60 m ; niveaux 0. Détails dans catalogue-existant.json.</x:v>
      </x:c>
    </x:row>
    <x:row r="367">
      <x:c r="A367" t="str">
        <x:v>DW-0362</x:v>
      </x:c>
      <x:c r="B367" t="str">
        <x:v>DW-0362</x:v>
      </x:c>
      <x:c r="C367" t="str">
        <x:v>Parent historique</x:v>
      </x:c>
      <x:c r="D367" t="str">
        <x:v>Agriculture</x:v>
      </x:c>
      <x:c r="E367" t="str">
        <x:v>Ferme bovine</x:v>
      </x:c>
      <x:c r="F367" t="n">
        <x:v>8</x:v>
      </x:c>
      <x:c r="G367" t="n">
        <x:v>5</x:v>
      </x:c>
      <x:c r="H367" t="n">
        <x:v>15</x:v>
      </x:c>
      <x:c r="I367" t="str">
        <x:v>À qualifier par lieu</x:v>
      </x:c>
      <x:c r="J367" t="str">
        <x:v>https://github.com/darknigthmare/deadwall-last-enclosure/blob/e28f46223e73105ab2c5d83f3d50b99b58ef53e6/codex-3000/originaux/DEADWALL_CODEX_1.22/fiches/DW-0362.md</x:v>
      </x:c>
      <x:c r="K367" t="str">
        <x:v>Source min 90,60 m ; max 700,450 m ; modèle 78 × 60 m ; niveaux 0. Détails dans catalogue-existant.json.</x:v>
      </x:c>
    </x:row>
    <x:row r="368">
      <x:c r="A368" t="str">
        <x:v>DW-0363</x:v>
      </x:c>
      <x:c r="B368" t="str">
        <x:v>DW-0363</x:v>
      </x:c>
      <x:c r="C368" t="str">
        <x:v>Parent historique</x:v>
      </x:c>
      <x:c r="D368" t="str">
        <x:v>Agriculture</x:v>
      </x:c>
      <x:c r="E368" t="str">
        <x:v>Bergerie</x:v>
      </x:c>
      <x:c r="F368" t="n">
        <x:v>8</x:v>
      </x:c>
      <x:c r="G368" t="n">
        <x:v>4</x:v>
      </x:c>
      <x:c r="H368" t="n">
        <x:v>12</x:v>
      </x:c>
      <x:c r="I368" t="str">
        <x:v>À qualifier par lieu</x:v>
      </x:c>
      <x:c r="J368" t="str">
        <x:v>https://github.com/darknigthmare/deadwall-last-enclosure/blob/e28f46223e73105ab2c5d83f3d50b99b58ef53e6/codex-3000/originaux/DEADWALL_CODEX_1.22/fiches/DW-0363.md</x:v>
      </x:c>
      <x:c r="K368" t="str">
        <x:v>Source min 90,60 m ; max 700,450 m ; modèle 78 × 60 m ; niveaux 0. Détails dans catalogue-existant.json.</x:v>
      </x:c>
    </x:row>
    <x:row r="369">
      <x:c r="A369" t="str">
        <x:v>DW-0364</x:v>
      </x:c>
      <x:c r="B369" t="str">
        <x:v>DW-0364</x:v>
      </x:c>
      <x:c r="C369" t="str">
        <x:v>Parent historique</x:v>
      </x:c>
      <x:c r="D369" t="str">
        <x:v>Agriculture</x:v>
      </x:c>
      <x:c r="E369" t="str">
        <x:v>Élevage avicole</x:v>
      </x:c>
      <x:c r="F369" t="n">
        <x:v>8</x:v>
      </x:c>
      <x:c r="G369" t="n">
        <x:v>4</x:v>
      </x:c>
      <x:c r="H369" t="n">
        <x:v>12</x:v>
      </x:c>
      <x:c r="I369" t="str">
        <x:v>À qualifier par lieu</x:v>
      </x:c>
      <x:c r="J369" t="str">
        <x:v>https://github.com/darknigthmare/deadwall-last-enclosure/blob/e28f46223e73105ab2c5d83f3d50b99b58ef53e6/codex-3000/originaux/DEADWALL_CODEX_1.22/fiches/DW-0364.md</x:v>
      </x:c>
      <x:c r="K369" t="str">
        <x:v>Source min 90,60 m ; max 700,450 m ; modèle 78 × 60 m ; niveaux 0. Détails dans catalogue-existant.json.</x:v>
      </x:c>
    </x:row>
    <x:row r="370">
      <x:c r="A370" t="str">
        <x:v>DW-0365</x:v>
      </x:c>
      <x:c r="B370" t="str">
        <x:v>DW-0365</x:v>
      </x:c>
      <x:c r="C370" t="str">
        <x:v>Parent historique</x:v>
      </x:c>
      <x:c r="D370" t="str">
        <x:v>Agriculture</x:v>
      </x:c>
      <x:c r="E370" t="str">
        <x:v>Porcherie désaffectée</x:v>
      </x:c>
      <x:c r="F370" t="n">
        <x:v>8</x:v>
      </x:c>
      <x:c r="G370" t="n">
        <x:v>4</x:v>
      </x:c>
      <x:c r="H370" t="n">
        <x:v>12</x:v>
      </x:c>
      <x:c r="I370" t="str">
        <x:v>À qualifier par lieu</x:v>
      </x:c>
      <x:c r="J370" t="str">
        <x:v>https://github.com/darknigthmare/deadwall-last-enclosure/blob/e28f46223e73105ab2c5d83f3d50b99b58ef53e6/codex-3000/originaux/DEADWALL_CODEX_1.22/fiches/DW-0365.md</x:v>
      </x:c>
      <x:c r="K370" t="str">
        <x:v>Source min 90,60 m ; max 700,450 m ; modèle 78 × 60 m ; niveaux 0. Détails dans catalogue-existant.json.</x:v>
      </x:c>
    </x:row>
    <x:row r="371">
      <x:c r="A371" t="str">
        <x:v>DW-0366</x:v>
      </x:c>
      <x:c r="B371" t="str">
        <x:v>DW-0366</x:v>
      </x:c>
      <x:c r="C371" t="str">
        <x:v>Parent historique</x:v>
      </x:c>
      <x:c r="D371" t="str">
        <x:v>Agriculture</x:v>
      </x:c>
      <x:c r="E371" t="str">
        <x:v>Ferme laitière</x:v>
      </x:c>
      <x:c r="F371" t="n">
        <x:v>8</x:v>
      </x:c>
      <x:c r="G371" t="n">
        <x:v>4</x:v>
      </x:c>
      <x:c r="H371" t="n">
        <x:v>12</x:v>
      </x:c>
      <x:c r="I371" t="str">
        <x:v>À qualifier par lieu</x:v>
      </x:c>
      <x:c r="J371" t="str">
        <x:v>https://github.com/darknigthmare/deadwall-last-enclosure/blob/e28f46223e73105ab2c5d83f3d50b99b58ef53e6/codex-3000/originaux/DEADWALL_CODEX_1.22/fiches/DW-0366.md</x:v>
      </x:c>
      <x:c r="K371" t="str">
        <x:v>Source min 90,60 m ; max 700,450 m ; modèle 78 × 60 m ; niveaux 0. Détails dans catalogue-existant.json.</x:v>
      </x:c>
    </x:row>
    <x:row r="372">
      <x:c r="A372" t="str">
        <x:v>DW-0367</x:v>
      </x:c>
      <x:c r="B372" t="str">
        <x:v>DW-0367</x:v>
      </x:c>
      <x:c r="C372" t="str">
        <x:v>Parent historique</x:v>
      </x:c>
      <x:c r="D372" t="str">
        <x:v>Agriculture</x:v>
      </x:c>
      <x:c r="E372" t="str">
        <x:v>Exploitation maraîchère</x:v>
      </x:c>
      <x:c r="F372" t="n">
        <x:v>8</x:v>
      </x:c>
      <x:c r="G372" t="n">
        <x:v>4</x:v>
      </x:c>
      <x:c r="H372" t="n">
        <x:v>12</x:v>
      </x:c>
      <x:c r="I372" t="str">
        <x:v>À qualifier par lieu</x:v>
      </x:c>
      <x:c r="J372" t="str">
        <x:v>https://github.com/darknigthmare/deadwall-last-enclosure/blob/e28f46223e73105ab2c5d83f3d50b99b58ef53e6/codex-3000/originaux/DEADWALL_CODEX_1.22/fiches/DW-0367.md</x:v>
      </x:c>
      <x:c r="K372" t="str">
        <x:v>Source min 90,60 m ; max 700,450 m ; modèle 78 × 60 m ; niveaux 0. Détails dans catalogue-existant.json.</x:v>
      </x:c>
    </x:row>
    <x:row r="373">
      <x:c r="A373" t="str">
        <x:v>DW-0368</x:v>
      </x:c>
      <x:c r="B373" t="str">
        <x:v>DW-0368</x:v>
      </x:c>
      <x:c r="C373" t="str">
        <x:v>Parent historique</x:v>
      </x:c>
      <x:c r="D373" t="str">
        <x:v>Agriculture</x:v>
      </x:c>
      <x:c r="E373" t="str">
        <x:v>Serres horticoles</x:v>
      </x:c>
      <x:c r="F373" t="n">
        <x:v>8</x:v>
      </x:c>
      <x:c r="G373" t="n">
        <x:v>4</x:v>
      </x:c>
      <x:c r="H373" t="n">
        <x:v>12</x:v>
      </x:c>
      <x:c r="I373" t="str">
        <x:v>À qualifier par lieu</x:v>
      </x:c>
      <x:c r="J373" t="str">
        <x:v>https://github.com/darknigthmare/deadwall-last-enclosure/blob/e28f46223e73105ab2c5d83f3d50b99b58ef53e6/codex-3000/originaux/DEADWALL_CODEX_1.22/fiches/DW-0368.md</x:v>
      </x:c>
      <x:c r="K373" t="str">
        <x:v>Source min 90,60 m ; max 700,450 m ; modèle 78 × 60 m ; niveaux 0. Détails dans catalogue-existant.json.</x:v>
      </x:c>
    </x:row>
    <x:row r="374">
      <x:c r="A374" t="str">
        <x:v>DW-0369</x:v>
      </x:c>
      <x:c r="B374" t="str">
        <x:v>DW-0369</x:v>
      </x:c>
      <x:c r="C374" t="str">
        <x:v>Parent historique</x:v>
      </x:c>
      <x:c r="D374" t="str">
        <x:v>Agriculture</x:v>
      </x:c>
      <x:c r="E374" t="str">
        <x:v>Verger</x:v>
      </x:c>
      <x:c r="F374" t="n">
        <x:v>8</x:v>
      </x:c>
      <x:c r="G374" t="n">
        <x:v>4</x:v>
      </x:c>
      <x:c r="H374" t="n">
        <x:v>12</x:v>
      </x:c>
      <x:c r="I374" t="str">
        <x:v>À qualifier par lieu</x:v>
      </x:c>
      <x:c r="J374" t="str">
        <x:v>https://github.com/darknigthmare/deadwall-last-enclosure/blob/e28f46223e73105ab2c5d83f3d50b99b58ef53e6/codex-3000/originaux/DEADWALL_CODEX_1.22/fiches/DW-0369.md</x:v>
      </x:c>
      <x:c r="K374" t="str">
        <x:v>Source min 90,60 m ; max 700,450 m ; modèle 78 × 60 m ; niveaux 0. Détails dans catalogue-existant.json.</x:v>
      </x:c>
    </x:row>
    <x:row r="375">
      <x:c r="A375" t="str">
        <x:v>DW-0370</x:v>
      </x:c>
      <x:c r="B375" t="str">
        <x:v>DW-0370</x:v>
      </x:c>
      <x:c r="C375" t="str">
        <x:v>Parent historique</x:v>
      </x:c>
      <x:c r="D375" t="str">
        <x:v>Agriculture</x:v>
      </x:c>
      <x:c r="E375" t="str">
        <x:v>Vignoble fictif</x:v>
      </x:c>
      <x:c r="F375" t="n">
        <x:v>8</x:v>
      </x:c>
      <x:c r="G375" t="n">
        <x:v>4</x:v>
      </x:c>
      <x:c r="H375" t="n">
        <x:v>12</x:v>
      </x:c>
      <x:c r="I375" t="str">
        <x:v>À qualifier par lieu</x:v>
      </x:c>
      <x:c r="J375" t="str">
        <x:v>https://github.com/darknigthmare/deadwall-last-enclosure/blob/e28f46223e73105ab2c5d83f3d50b99b58ef53e6/codex-3000/originaux/DEADWALL_CODEX_1.22/fiches/DW-0370.md</x:v>
      </x:c>
      <x:c r="K375" t="str">
        <x:v>Source min 90,60 m ; max 700,450 m ; modèle 78 × 60 m ; niveaux 0. Détails dans catalogue-existant.json.</x:v>
      </x:c>
    </x:row>
    <x:row r="376">
      <x:c r="A376" t="str">
        <x:v>DW-0371</x:v>
      </x:c>
      <x:c r="B376" t="str">
        <x:v>DW-0371</x:v>
      </x:c>
      <x:c r="C376" t="str">
        <x:v>Parent historique</x:v>
      </x:c>
      <x:c r="D376" t="str">
        <x:v>Agriculture</x:v>
      </x:c>
      <x:c r="E376" t="str">
        <x:v>Oliveraie</x:v>
      </x:c>
      <x:c r="F376" t="n">
        <x:v>8</x:v>
      </x:c>
      <x:c r="G376" t="n">
        <x:v>4</x:v>
      </x:c>
      <x:c r="H376" t="n">
        <x:v>12</x:v>
      </x:c>
      <x:c r="I376" t="str">
        <x:v>À qualifier par lieu</x:v>
      </x:c>
      <x:c r="J376" t="str">
        <x:v>https://github.com/darknigthmare/deadwall-last-enclosure/blob/e28f46223e73105ab2c5d83f3d50b99b58ef53e6/codex-3000/originaux/DEADWALL_CODEX_1.22/fiches/DW-0371.md</x:v>
      </x:c>
      <x:c r="K376" t="str">
        <x:v>Source min 90,60 m ; max 700,450 m ; modèle 78 × 60 m ; niveaux 0. Détails dans catalogue-existant.json.</x:v>
      </x:c>
    </x:row>
    <x:row r="377">
      <x:c r="A377" t="str">
        <x:v>DW-0372</x:v>
      </x:c>
      <x:c r="B377" t="str">
        <x:v>DW-0372</x:v>
      </x:c>
      <x:c r="C377" t="str">
        <x:v>Parent historique</x:v>
      </x:c>
      <x:c r="D377" t="str">
        <x:v>Agriculture</x:v>
      </x:c>
      <x:c r="E377" t="str">
        <x:v>Ferme apicole</x:v>
      </x:c>
      <x:c r="F377" t="n">
        <x:v>8</x:v>
      </x:c>
      <x:c r="G377" t="n">
        <x:v>4</x:v>
      </x:c>
      <x:c r="H377" t="n">
        <x:v>12</x:v>
      </x:c>
      <x:c r="I377" t="str">
        <x:v>À qualifier par lieu</x:v>
      </x:c>
      <x:c r="J377" t="str">
        <x:v>https://github.com/darknigthmare/deadwall-last-enclosure/blob/e28f46223e73105ab2c5d83f3d50b99b58ef53e6/codex-3000/originaux/DEADWALL_CODEX_1.22/fiches/DW-0372.md</x:v>
      </x:c>
      <x:c r="K377" t="str">
        <x:v>Source min 90,60 m ; max 700,450 m ; modèle 78 × 60 m ; niveaux 0. Détails dans catalogue-existant.json.</x:v>
      </x:c>
    </x:row>
    <x:row r="378">
      <x:c r="A378" t="str">
        <x:v>DW-0373</x:v>
      </x:c>
      <x:c r="B378" t="str">
        <x:v>DW-0373</x:v>
      </x:c>
      <x:c r="C378" t="str">
        <x:v>Parent historique</x:v>
      </x:c>
      <x:c r="D378" t="str">
        <x:v>Agriculture</x:v>
      </x:c>
      <x:c r="E378" t="str">
        <x:v>Centre équestre</x:v>
      </x:c>
      <x:c r="F378" t="n">
        <x:v>8</x:v>
      </x:c>
      <x:c r="G378" t="n">
        <x:v>5</x:v>
      </x:c>
      <x:c r="H378" t="n">
        <x:v>15</x:v>
      </x:c>
      <x:c r="I378" t="str">
        <x:v>À qualifier par lieu</x:v>
      </x:c>
      <x:c r="J378" t="str">
        <x:v>https://github.com/darknigthmare/deadwall-last-enclosure/blob/e28f46223e73105ab2c5d83f3d50b99b58ef53e6/codex-3000/originaux/DEADWALL_CODEX_1.22/fiches/DW-0373.md</x:v>
      </x:c>
      <x:c r="K378" t="str">
        <x:v>Source min 90,60 m ; max 700,450 m ; modèle 78 × 60 m ; niveaux 0. Détails dans catalogue-existant.json.</x:v>
      </x:c>
    </x:row>
    <x:row r="379">
      <x:c r="A379" t="str">
        <x:v>DW-0374</x:v>
      </x:c>
      <x:c r="B379" t="str">
        <x:v>DW-0374</x:v>
      </x:c>
      <x:c r="C379" t="str">
        <x:v>Parent historique</x:v>
      </x:c>
      <x:c r="D379" t="str">
        <x:v>Agriculture</x:v>
      </x:c>
      <x:c r="E379" t="str">
        <x:v>Ferme pédagogique</x:v>
      </x:c>
      <x:c r="F379" t="n">
        <x:v>8</x:v>
      </x:c>
      <x:c r="G379" t="n">
        <x:v>4</x:v>
      </x:c>
      <x:c r="H379" t="n">
        <x:v>12</x:v>
      </x:c>
      <x:c r="I379" t="str">
        <x:v>À qualifier par lieu</x:v>
      </x:c>
      <x:c r="J379" t="str">
        <x:v>https://github.com/darknigthmare/deadwall-last-enclosure/blob/e28f46223e73105ab2c5d83f3d50b99b58ef53e6/codex-3000/originaux/DEADWALL_CODEX_1.22/fiches/DW-0374.md</x:v>
      </x:c>
      <x:c r="K379" t="str">
        <x:v>Source min 90,60 m ; max 700,450 m ; modèle 78 × 60 m ; niveaux 0. Détails dans catalogue-existant.json.</x:v>
      </x:c>
    </x:row>
    <x:row r="380">
      <x:c r="A380" t="str">
        <x:v>DW-0375</x:v>
      </x:c>
      <x:c r="B380" t="str">
        <x:v>DW-0375</x:v>
      </x:c>
      <x:c r="C380" t="str">
        <x:v>Parent historique</x:v>
      </x:c>
      <x:c r="D380" t="str">
        <x:v>Agriculture</x:v>
      </x:c>
      <x:c r="E380" t="str">
        <x:v>Coopérative agricole</x:v>
      </x:c>
      <x:c r="F380" t="n">
        <x:v>8</x:v>
      </x:c>
      <x:c r="G380" t="n">
        <x:v>4</x:v>
      </x:c>
      <x:c r="H380" t="n">
        <x:v>12</x:v>
      </x:c>
      <x:c r="I380" t="str">
        <x:v>À qualifier par lieu</x:v>
      </x:c>
      <x:c r="J380" t="str">
        <x:v>https://github.com/darknigthmare/deadwall-last-enclosure/blob/e28f46223e73105ab2c5d83f3d50b99b58ef53e6/codex-3000/originaux/DEADWALL_CODEX_1.22/fiches/DW-0375.md</x:v>
      </x:c>
      <x:c r="K380" t="str">
        <x:v>Source min 90,60 m ; max 700,450 m ; modèle 78 × 60 m ; niveaux 0. Détails dans catalogue-existant.json.</x:v>
      </x:c>
    </x:row>
    <x:row r="381">
      <x:c r="A381" t="str">
        <x:v>DW-0376</x:v>
      </x:c>
      <x:c r="B381" t="str">
        <x:v>DW-0376</x:v>
      </x:c>
      <x:c r="C381" t="str">
        <x:v>Parent historique</x:v>
      </x:c>
      <x:c r="D381" t="str">
        <x:v>Agriculture</x:v>
      </x:c>
      <x:c r="E381" t="str">
        <x:v>Silo à grains</x:v>
      </x:c>
      <x:c r="F381" t="n">
        <x:v>8</x:v>
      </x:c>
      <x:c r="G381" t="n">
        <x:v>4</x:v>
      </x:c>
      <x:c r="H381" t="n">
        <x:v>12</x:v>
      </x:c>
      <x:c r="I381" t="str">
        <x:v>À qualifier par lieu</x:v>
      </x:c>
      <x:c r="J381" t="str">
        <x:v>https://github.com/darknigthmare/deadwall-last-enclosure/blob/e28f46223e73105ab2c5d83f3d50b99b58ef53e6/codex-3000/originaux/DEADWALL_CODEX_1.22/fiches/DW-0376.md</x:v>
      </x:c>
      <x:c r="K381" t="str">
        <x:v>Source min 90,60 m ; max 700,450 m ; modèle 78 × 60 m ; niveaux 0. Détails dans catalogue-existant.json.</x:v>
      </x:c>
    </x:row>
    <x:row r="382">
      <x:c r="A382" t="str">
        <x:v>DW-0377</x:v>
      </x:c>
      <x:c r="B382" t="str">
        <x:v>DW-0377</x:v>
      </x:c>
      <x:c r="C382" t="str">
        <x:v>Parent historique</x:v>
      </x:c>
      <x:c r="D382" t="str">
        <x:v>Agriculture</x:v>
      </x:c>
      <x:c r="E382" t="str">
        <x:v>Dépôt d'amendements agricoles</x:v>
      </x:c>
      <x:c r="F382" t="n">
        <x:v>8</x:v>
      </x:c>
      <x:c r="G382" t="n">
        <x:v>4</x:v>
      </x:c>
      <x:c r="H382" t="n">
        <x:v>12</x:v>
      </x:c>
      <x:c r="I382" t="str">
        <x:v>À qualifier par lieu</x:v>
      </x:c>
      <x:c r="J382" t="str">
        <x:v>https://github.com/darknigthmare/deadwall-last-enclosure/blob/e28f46223e73105ab2c5d83f3d50b99b58ef53e6/codex-3000/originaux/DEADWALL_CODEX_1.22/fiches/DW-0377.md</x:v>
      </x:c>
      <x:c r="K382" t="str">
        <x:v>Source min 90,60 m ; max 700,450 m ; modèle 78 × 60 m ; niveaux 0. Détails dans catalogue-existant.json.</x:v>
      </x:c>
    </x:row>
    <x:row r="383">
      <x:c r="A383" t="str">
        <x:v>DW-0378</x:v>
      </x:c>
      <x:c r="B383" t="str">
        <x:v>DW-0378</x:v>
      </x:c>
      <x:c r="C383" t="str">
        <x:v>Parent historique</x:v>
      </x:c>
      <x:c r="D383" t="str">
        <x:v>Agriculture</x:v>
      </x:c>
      <x:c r="E383" t="str">
        <x:v>Champ abandonné en friche</x:v>
      </x:c>
      <x:c r="F383" t="n">
        <x:v>8</x:v>
      </x:c>
      <x:c r="G383" t="n">
        <x:v>4</x:v>
      </x:c>
      <x:c r="H383" t="n">
        <x:v>12</x:v>
      </x:c>
      <x:c r="I383" t="str">
        <x:v>À qualifier par lieu</x:v>
      </x:c>
      <x:c r="J383" t="str">
        <x:v>https://github.com/darknigthmare/deadwall-last-enclosure/blob/e28f46223e73105ab2c5d83f3d50b99b58ef53e6/codex-3000/originaux/DEADWALL_CODEX_1.22/fiches/DW-0378.md</x:v>
      </x:c>
      <x:c r="K383" t="str">
        <x:v>Source min 90,60 m ; max 700,450 m ; modèle 78 × 60 m ; niveaux 0. Détails dans catalogue-existant.json.</x:v>
      </x:c>
    </x:row>
    <x:row r="384">
      <x:c r="A384" t="str">
        <x:v>DW-0379</x:v>
      </x:c>
      <x:c r="B384" t="str">
        <x:v>DW-0379</x:v>
      </x:c>
      <x:c r="C384" t="str">
        <x:v>Parent historique</x:v>
      </x:c>
      <x:c r="D384" t="str">
        <x:v>Agriculture</x:v>
      </x:c>
      <x:c r="E384" t="str">
        <x:v>Jardins familiaux</x:v>
      </x:c>
      <x:c r="F384" t="n">
        <x:v>8</x:v>
      </x:c>
      <x:c r="G384" t="n">
        <x:v>4</x:v>
      </x:c>
      <x:c r="H384" t="n">
        <x:v>10</x:v>
      </x:c>
      <x:c r="I384" t="str">
        <x:v>À qualifier par lieu</x:v>
      </x:c>
      <x:c r="J384" t="str">
        <x:v>https://github.com/darknigthmare/deadwall-last-enclosure/blob/e28f46223e73105ab2c5d83f3d50b99b58ef53e6/codex-3000/originaux/DEADWALL_CODEX_1.22/fiches/DW-0379.md</x:v>
      </x:c>
      <x:c r="K384" t="str">
        <x:v>Source min 90,60 m ; max 700,450 m ; modèle 78 × 60 m ; niveaux 0. Détails dans catalogue-existant.json.</x:v>
      </x:c>
    </x:row>
    <x:row r="385">
      <x:c r="A385" t="str">
        <x:v>DW-0380</x:v>
      </x:c>
      <x:c r="B385" t="str">
        <x:v>DW-0380</x:v>
      </x:c>
      <x:c r="C385" t="str">
        <x:v>Parent historique</x:v>
      </x:c>
      <x:c r="D385" t="str">
        <x:v>Agriculture</x:v>
      </x:c>
      <x:c r="E385" t="str">
        <x:v>Ferme expérimentale</x:v>
      </x:c>
      <x:c r="F385" t="n">
        <x:v>8</x:v>
      </x:c>
      <x:c r="G385" t="n">
        <x:v>4</x:v>
      </x:c>
      <x:c r="H385" t="n">
        <x:v>12</x:v>
      </x:c>
      <x:c r="I385" t="str">
        <x:v>À qualifier par lieu</x:v>
      </x:c>
      <x:c r="J385" t="str">
        <x:v>https://github.com/darknigthmare/deadwall-last-enclosure/blob/e28f46223e73105ab2c5d83f3d50b99b58ef53e6/codex-3000/originaux/DEADWALL_CODEX_1.22/fiches/DW-0380.md</x:v>
      </x:c>
      <x:c r="K385" t="str">
        <x:v>Source min 90,60 m ; max 700,450 m ; modèle 78 × 60 m ; niveaux 0. Détails dans catalogue-existant.json.</x:v>
      </x:c>
    </x:row>
    <x:row r="386">
      <x:c r="A386" t="str">
        <x:v>DW-0381</x:v>
      </x:c>
      <x:c r="B386" t="str">
        <x:v>DW-0381</x:v>
      </x:c>
      <x:c r="C386" t="str">
        <x:v>Parent historique</x:v>
      </x:c>
      <x:c r="D386" t="str">
        <x:v>Forêts et filière bois</x:v>
      </x:c>
      <x:c r="E386" t="str">
        <x:v>Scierie de vallée</x:v>
      </x:c>
      <x:c r="F386" t="n">
        <x:v>8</x:v>
      </x:c>
      <x:c r="G386" t="n">
        <x:v>5</x:v>
      </x:c>
      <x:c r="H386" t="n">
        <x:v>15</x:v>
      </x:c>
      <x:c r="I386" t="str">
        <x:v>À qualifier par lieu</x:v>
      </x:c>
      <x:c r="J386" t="str">
        <x:v>https://github.com/darknigthmare/deadwall-last-enclosure/blob/e28f46223e73105ab2c5d83f3d50b99b58ef53e6/codex-3000/originaux/DEADWALL_CODEX_1.22/fiches/DW-0381.md</x:v>
      </x:c>
      <x:c r="K386" t="str">
        <x:v>Source min 90,70 m ; max 900,700 m ; modèle 78 × 70 m ; niveaux 0. Détails dans catalogue-existant.json.</x:v>
      </x:c>
    </x:row>
    <x:row r="387">
      <x:c r="A387" t="str">
        <x:v>DW-0382</x:v>
      </x:c>
      <x:c r="B387" t="str">
        <x:v>DW-0382</x:v>
      </x:c>
      <x:c r="C387" t="str">
        <x:v>Parent historique</x:v>
      </x:c>
      <x:c r="D387" t="str">
        <x:v>Forêts et filière bois</x:v>
      </x:c>
      <x:c r="E387" t="str">
        <x:v>Petite scierie artisanale</x:v>
      </x:c>
      <x:c r="F387" t="n">
        <x:v>8</x:v>
      </x:c>
      <x:c r="G387" t="n">
        <x:v>4</x:v>
      </x:c>
      <x:c r="H387" t="n">
        <x:v>12</x:v>
      </x:c>
      <x:c r="I387" t="str">
        <x:v>À qualifier par lieu</x:v>
      </x:c>
      <x:c r="J387" t="str">
        <x:v>https://github.com/darknigthmare/deadwall-last-enclosure/blob/e28f46223e73105ab2c5d83f3d50b99b58ef53e6/codex-3000/originaux/DEADWALL_CODEX_1.22/fiches/DW-0382.md</x:v>
      </x:c>
      <x:c r="K387" t="str">
        <x:v>Source min 90,70 m ; max 900,700 m ; modèle 78 × 70 m ; niveaux 0. Détails dans catalogue-existant.json.</x:v>
      </x:c>
    </x:row>
    <x:row r="388">
      <x:c r="A388" t="str">
        <x:v>DW-0383</x:v>
      </x:c>
      <x:c r="B388" t="str">
        <x:v>DW-0383</x:v>
      </x:c>
      <x:c r="C388" t="str">
        <x:v>Parent historique</x:v>
      </x:c>
      <x:c r="D388" t="str">
        <x:v>Forêts et filière bois</x:v>
      </x:c>
      <x:c r="E388" t="str">
        <x:v>Dépôt de grumes</x:v>
      </x:c>
      <x:c r="F388" t="n">
        <x:v>8</x:v>
      </x:c>
      <x:c r="G388" t="n">
        <x:v>3</x:v>
      </x:c>
      <x:c r="H388" t="n">
        <x:v>9</x:v>
      </x:c>
      <x:c r="I388" t="str">
        <x:v>À qualifier par lieu</x:v>
      </x:c>
      <x:c r="J388" t="str">
        <x:v>https://github.com/darknigthmare/deadwall-last-enclosure/blob/e28f46223e73105ab2c5d83f3d50b99b58ef53e6/codex-3000/originaux/DEADWALL_CODEX_1.22/fiches/DW-0383.md</x:v>
      </x:c>
      <x:c r="K388" t="str">
        <x:v>Source min 90,70 m ; max 900,700 m ; modèle 78 × 70 m ; niveaux 0. Détails dans catalogue-existant.json.</x:v>
      </x:c>
    </x:row>
    <x:row r="389">
      <x:c r="A389" t="str">
        <x:v>DW-0384</x:v>
      </x:c>
      <x:c r="B389" t="str">
        <x:v>DW-0384</x:v>
      </x:c>
      <x:c r="C389" t="str">
        <x:v>Parent historique</x:v>
      </x:c>
      <x:c r="D389" t="str">
        <x:v>Forêts et filière bois</x:v>
      </x:c>
      <x:c r="E389" t="str">
        <x:v>Séchoir à bois</x:v>
      </x:c>
      <x:c r="F389" t="n">
        <x:v>8</x:v>
      </x:c>
      <x:c r="G389" t="n">
        <x:v>3</x:v>
      </x:c>
      <x:c r="H389" t="n">
        <x:v>9</x:v>
      </x:c>
      <x:c r="I389" t="str">
        <x:v>À qualifier par lieu</x:v>
      </x:c>
      <x:c r="J389" t="str">
        <x:v>https://github.com/darknigthmare/deadwall-last-enclosure/blob/e28f46223e73105ab2c5d83f3d50b99b58ef53e6/codex-3000/originaux/DEADWALL_CODEX_1.22/fiches/DW-0384.md</x:v>
      </x:c>
      <x:c r="K389" t="str">
        <x:v>Source min 90,70 m ; max 900,700 m ; modèle 78 × 70 m ; niveaux 0. Détails dans catalogue-existant.json.</x:v>
      </x:c>
    </x:row>
    <x:row r="390">
      <x:c r="A390" t="str">
        <x:v>DW-0385</x:v>
      </x:c>
      <x:c r="B390" t="str">
        <x:v>DW-0385</x:v>
      </x:c>
      <x:c r="C390" t="str">
        <x:v>Parent historique</x:v>
      </x:c>
      <x:c r="D390" t="str">
        <x:v>Forêts et filière bois</x:v>
      </x:c>
      <x:c r="E390" t="str">
        <x:v>Atelier de charbon patrimonial</x:v>
      </x:c>
      <x:c r="F390" t="n">
        <x:v>8</x:v>
      </x:c>
      <x:c r="G390" t="n">
        <x:v>4</x:v>
      </x:c>
      <x:c r="H390" t="n">
        <x:v>12</x:v>
      </x:c>
      <x:c r="I390" t="str">
        <x:v>À qualifier par lieu</x:v>
      </x:c>
      <x:c r="J390" t="str">
        <x:v>https://github.com/darknigthmare/deadwall-last-enclosure/blob/e28f46223e73105ab2c5d83f3d50b99b58ef53e6/codex-3000/originaux/DEADWALL_CODEX_1.22/fiches/DW-0385.md</x:v>
      </x:c>
      <x:c r="K390" t="str">
        <x:v>Source min 90,70 m ; max 900,700 m ; modèle 78 × 70 m ; niveaux 0. Détails dans catalogue-existant.json.</x:v>
      </x:c>
    </x:row>
    <x:row r="391">
      <x:c r="A391" t="str">
        <x:v>DW-0386</x:v>
      </x:c>
      <x:c r="B391" t="str">
        <x:v>DW-0386</x:v>
      </x:c>
      <x:c r="C391" t="str">
        <x:v>Parent historique</x:v>
      </x:c>
      <x:c r="D391" t="str">
        <x:v>Forêts et filière bois</x:v>
      </x:c>
      <x:c r="E391" t="str">
        <x:v>Maison forestière</x:v>
      </x:c>
      <x:c r="F391" t="n">
        <x:v>8</x:v>
      </x:c>
      <x:c r="G391" t="n">
        <x:v>4</x:v>
      </x:c>
      <x:c r="H391" t="n">
        <x:v>12</x:v>
      </x:c>
      <x:c r="I391" t="str">
        <x:v>À qualifier par lieu</x:v>
      </x:c>
      <x:c r="J391" t="str">
        <x:v>https://github.com/darknigthmare/deadwall-last-enclosure/blob/e28f46223e73105ab2c5d83f3d50b99b58ef53e6/codex-3000/originaux/DEADWALL_CODEX_1.22/fiches/DW-0386.md</x:v>
      </x:c>
      <x:c r="K391" t="str">
        <x:v>Source min 90,70 m ; max 900,700 m ; modèle 78 × 70 m ; niveaux 0. Détails dans catalogue-existant.json.</x:v>
      </x:c>
    </x:row>
    <x:row r="392">
      <x:c r="A392" t="str">
        <x:v>DW-0387</x:v>
      </x:c>
      <x:c r="B392" t="str">
        <x:v>DW-0387</x:v>
      </x:c>
      <x:c r="C392" t="str">
        <x:v>Parent historique</x:v>
      </x:c>
      <x:c r="D392" t="str">
        <x:v>Forêts et filière bois</x:v>
      </x:c>
      <x:c r="E392" t="str">
        <x:v>Camp de bûcherons</x:v>
      </x:c>
      <x:c r="F392" t="n">
        <x:v>8</x:v>
      </x:c>
      <x:c r="G392" t="n">
        <x:v>4</x:v>
      </x:c>
      <x:c r="H392" t="n">
        <x:v>12</x:v>
      </x:c>
      <x:c r="I392" t="str">
        <x:v>À qualifier par lieu</x:v>
      </x:c>
      <x:c r="J392" t="str">
        <x:v>https://github.com/darknigthmare/deadwall-last-enclosure/blob/e28f46223e73105ab2c5d83f3d50b99b58ef53e6/codex-3000/originaux/DEADWALL_CODEX_1.22/fiches/DW-0387.md</x:v>
      </x:c>
      <x:c r="K392" t="str">
        <x:v>Source min 90,70 m ; max 900,700 m ; modèle 78 × 70 m ; niveaux 0. Détails dans catalogue-existant.json.</x:v>
      </x:c>
    </x:row>
    <x:row r="393">
      <x:c r="A393" t="str">
        <x:v>DW-0388</x:v>
      </x:c>
      <x:c r="B393" t="str">
        <x:v>DW-0388</x:v>
      </x:c>
      <x:c r="C393" t="str">
        <x:v>Parent historique</x:v>
      </x:c>
      <x:c r="D393" t="str">
        <x:v>Forêts et filière bois</x:v>
      </x:c>
      <x:c r="E393" t="str">
        <x:v>Cabane d'observation</x:v>
      </x:c>
      <x:c r="F393" t="n">
        <x:v>8</x:v>
      </x:c>
      <x:c r="G393" t="n">
        <x:v>3</x:v>
      </x:c>
      <x:c r="H393" t="n">
        <x:v>9</x:v>
      </x:c>
      <x:c r="I393" t="str">
        <x:v>À qualifier par lieu</x:v>
      </x:c>
      <x:c r="J393" t="str">
        <x:v>https://github.com/darknigthmare/deadwall-last-enclosure/blob/e28f46223e73105ab2c5d83f3d50b99b58ef53e6/codex-3000/originaux/DEADWALL_CODEX_1.22/fiches/DW-0388.md</x:v>
      </x:c>
      <x:c r="K393" t="str">
        <x:v>Source min 90,70 m ; max 900,700 m ; modèle 78 × 70 m ; niveaux 0. Détails dans catalogue-existant.json.</x:v>
      </x:c>
    </x:row>
    <x:row r="394">
      <x:c r="A394" t="str">
        <x:v>DW-0389</x:v>
      </x:c>
      <x:c r="B394" t="str">
        <x:v>DW-0389</x:v>
      </x:c>
      <x:c r="C394" t="str">
        <x:v>Parent historique</x:v>
      </x:c>
      <x:c r="D394" t="str">
        <x:v>Forêts et filière bois</x:v>
      </x:c>
      <x:c r="E394" t="str">
        <x:v>Tour d'observation naturaliste</x:v>
      </x:c>
      <x:c r="F394" t="n">
        <x:v>8</x:v>
      </x:c>
      <x:c r="G394" t="n">
        <x:v>3</x:v>
      </x:c>
      <x:c r="H394" t="n">
        <x:v>7</x:v>
      </x:c>
      <x:c r="I394" t="str">
        <x:v>À qualifier par lieu</x:v>
      </x:c>
      <x:c r="J394" t="str">
        <x:v>https://github.com/darknigthmare/deadwall-last-enclosure/blob/e28f46223e73105ab2c5d83f3d50b99b58ef53e6/codex-3000/originaux/DEADWALL_CODEX_1.22/fiches/DW-0389.md</x:v>
      </x:c>
      <x:c r="K394" t="str">
        <x:v>Source min 90,70 m ; max 900,700 m ; modèle 78 × 70 m ; niveaux 0. Détails dans catalogue-existant.json.</x:v>
      </x:c>
    </x:row>
    <x:row r="395">
      <x:c r="A395" t="str">
        <x:v>DW-0390</x:v>
      </x:c>
      <x:c r="B395" t="str">
        <x:v>DW-0390</x:v>
      </x:c>
      <x:c r="C395" t="str">
        <x:v>Parent historique</x:v>
      </x:c>
      <x:c r="D395" t="str">
        <x:v>Forêts et filière bois</x:v>
      </x:c>
      <x:c r="E395" t="str">
        <x:v>Pépinière forestière</x:v>
      </x:c>
      <x:c r="F395" t="n">
        <x:v>8</x:v>
      </x:c>
      <x:c r="G395" t="n">
        <x:v>4</x:v>
      </x:c>
      <x:c r="H395" t="n">
        <x:v>12</x:v>
      </x:c>
      <x:c r="I395" t="str">
        <x:v>À qualifier par lieu</x:v>
      </x:c>
      <x:c r="J395" t="str">
        <x:v>https://github.com/darknigthmare/deadwall-last-enclosure/blob/e28f46223e73105ab2c5d83f3d50b99b58ef53e6/codex-3000/originaux/DEADWALL_CODEX_1.22/fiches/DW-0390.md</x:v>
      </x:c>
      <x:c r="K395" t="str">
        <x:v>Source min 90,70 m ; max 900,700 m ; modèle 78 × 70 m ; niveaux 0. Détails dans catalogue-existant.json.</x:v>
      </x:c>
    </x:row>
    <x:row r="396">
      <x:c r="A396" t="str">
        <x:v>DW-0391</x:v>
      </x:c>
      <x:c r="B396" t="str">
        <x:v>DW-0391</x:v>
      </x:c>
      <x:c r="C396" t="str">
        <x:v>Parent historique</x:v>
      </x:c>
      <x:c r="D396" t="str">
        <x:v>Forêts et filière bois</x:v>
      </x:c>
      <x:c r="E396" t="str">
        <x:v>Clairière de coupe</x:v>
      </x:c>
      <x:c r="F396" t="n">
        <x:v>8</x:v>
      </x:c>
      <x:c r="G396" t="n">
        <x:v>4</x:v>
      </x:c>
      <x:c r="H396" t="n">
        <x:v>12</x:v>
      </x:c>
      <x:c r="I396" t="str">
        <x:v>À qualifier par lieu</x:v>
      </x:c>
      <x:c r="J396" t="str">
        <x:v>https://github.com/darknigthmare/deadwall-last-enclosure/blob/e28f46223e73105ab2c5d83f3d50b99b58ef53e6/codex-3000/originaux/DEADWALL_CODEX_1.22/fiches/DW-0391.md</x:v>
      </x:c>
      <x:c r="K396" t="str">
        <x:v>Source min 90,70 m ; max 900,700 m ; modèle 78 × 70 m ; niveaux 0. Détails dans catalogue-existant.json.</x:v>
      </x:c>
    </x:row>
    <x:row r="397">
      <x:c r="A397" t="str">
        <x:v>DW-0392</x:v>
      </x:c>
      <x:c r="B397" t="str">
        <x:v>DW-0392</x:v>
      </x:c>
      <x:c r="C397" t="str">
        <x:v>Parent historique</x:v>
      </x:c>
      <x:c r="D397" t="str">
        <x:v>Forêts et filière bois</x:v>
      </x:c>
      <x:c r="E397" t="str">
        <x:v>Forêt ancienne</x:v>
      </x:c>
      <x:c r="F397" t="n">
        <x:v>8</x:v>
      </x:c>
      <x:c r="G397" t="n">
        <x:v>4</x:v>
      </x:c>
      <x:c r="H397" t="n">
        <x:v>12</x:v>
      </x:c>
      <x:c r="I397" t="str">
        <x:v>À qualifier par lieu</x:v>
      </x:c>
      <x:c r="J397" t="str">
        <x:v>https://github.com/darknigthmare/deadwall-last-enclosure/blob/e28f46223e73105ab2c5d83f3d50b99b58ef53e6/codex-3000/originaux/DEADWALL_CODEX_1.22/fiches/DW-0392.md</x:v>
      </x:c>
      <x:c r="K397" t="str">
        <x:v>Source min 90,70 m ; max 900,700 m ; modèle 78 × 70 m ; niveaux 0. Détails dans catalogue-existant.json.</x:v>
      </x:c>
    </x:row>
    <x:row r="398">
      <x:c r="A398" t="str">
        <x:v>DW-0393</x:v>
      </x:c>
      <x:c r="B398" t="str">
        <x:v>DW-0393</x:v>
      </x:c>
      <x:c r="C398" t="str">
        <x:v>Parent historique</x:v>
      </x:c>
      <x:c r="D398" t="str">
        <x:v>Forêts et filière bois</x:v>
      </x:c>
      <x:c r="E398" t="str">
        <x:v>Plantation de conifères</x:v>
      </x:c>
      <x:c r="F398" t="n">
        <x:v>8</x:v>
      </x:c>
      <x:c r="G398" t="n">
        <x:v>4</x:v>
      </x:c>
      <x:c r="H398" t="n">
        <x:v>12</x:v>
      </x:c>
      <x:c r="I398" t="str">
        <x:v>À qualifier par lieu</x:v>
      </x:c>
      <x:c r="J398" t="str">
        <x:v>https://github.com/darknigthmare/deadwall-last-enclosure/blob/e28f46223e73105ab2c5d83f3d50b99b58ef53e6/codex-3000/originaux/DEADWALL_CODEX_1.22/fiches/DW-0393.md</x:v>
      </x:c>
      <x:c r="K398" t="str">
        <x:v>Source min 90,70 m ; max 900,700 m ; modèle 78 × 70 m ; niveaux 0. Détails dans catalogue-existant.json.</x:v>
      </x:c>
    </x:row>
    <x:row r="399">
      <x:c r="A399" t="str">
        <x:v>DW-0394</x:v>
      </x:c>
      <x:c r="B399" t="str">
        <x:v>DW-0394</x:v>
      </x:c>
      <x:c r="C399" t="str">
        <x:v>Parent historique</x:v>
      </x:c>
      <x:c r="D399" t="str">
        <x:v>Forêts et filière bois</x:v>
      </x:c>
      <x:c r="E399" t="str">
        <x:v>Bois riverain</x:v>
      </x:c>
      <x:c r="F399" t="n">
        <x:v>8</x:v>
      </x:c>
      <x:c r="G399" t="n">
        <x:v>4</x:v>
      </x:c>
      <x:c r="H399" t="n">
        <x:v>10</x:v>
      </x:c>
      <x:c r="I399" t="str">
        <x:v>À qualifier par lieu</x:v>
      </x:c>
      <x:c r="J399" t="str">
        <x:v>https://github.com/darknigthmare/deadwall-last-enclosure/blob/e28f46223e73105ab2c5d83f3d50b99b58ef53e6/codex-3000/originaux/DEADWALL_CODEX_1.22/fiches/DW-0394.md</x:v>
      </x:c>
      <x:c r="K399" t="str">
        <x:v>Source min 90,70 m ; max 900,700 m ; modèle 78 × 70 m ; niveaux 0. Détails dans catalogue-existant.json.</x:v>
      </x:c>
    </x:row>
    <x:row r="400">
      <x:c r="A400" t="str">
        <x:v>DW-0395</x:v>
      </x:c>
      <x:c r="B400" t="str">
        <x:v>DW-0395</x:v>
      </x:c>
      <x:c r="C400" t="str">
        <x:v>Parent historique</x:v>
      </x:c>
      <x:c r="D400" t="str">
        <x:v>Forêts et filière bois</x:v>
      </x:c>
      <x:c r="E400" t="str">
        <x:v>Bois brûlé</x:v>
      </x:c>
      <x:c r="F400" t="n">
        <x:v>8</x:v>
      </x:c>
      <x:c r="G400" t="n">
        <x:v>4</x:v>
      </x:c>
      <x:c r="H400" t="n">
        <x:v>12</x:v>
      </x:c>
      <x:c r="I400" t="str">
        <x:v>À qualifier par lieu</x:v>
      </x:c>
      <x:c r="J400" t="str">
        <x:v>https://github.com/darknigthmare/deadwall-last-enclosure/blob/e28f46223e73105ab2c5d83f3d50b99b58ef53e6/codex-3000/originaux/DEADWALL_CODEX_1.22/fiches/DW-0395.md</x:v>
      </x:c>
      <x:c r="K400" t="str">
        <x:v>Source min 90,70 m ; max 900,700 m ; modèle 78 × 70 m ; niveaux 0. Détails dans catalogue-existant.json.</x:v>
      </x:c>
    </x:row>
    <x:row r="401">
      <x:c r="A401" t="str">
        <x:v>DW-0396</x:v>
      </x:c>
      <x:c r="B401" t="str">
        <x:v>DW-0396</x:v>
      </x:c>
      <x:c r="C401" t="str">
        <x:v>Parent historique</x:v>
      </x:c>
      <x:c r="D401" t="str">
        <x:v>Forêts et filière bois</x:v>
      </x:c>
      <x:c r="E401" t="str">
        <x:v>Bois de tempête</x:v>
      </x:c>
      <x:c r="F401" t="n">
        <x:v>8</x:v>
      </x:c>
      <x:c r="G401" t="n">
        <x:v>3</x:v>
      </x:c>
      <x:c r="H401" t="n">
        <x:v>7</x:v>
      </x:c>
      <x:c r="I401" t="str">
        <x:v>À qualifier par lieu</x:v>
      </x:c>
      <x:c r="J401" t="str">
        <x:v>https://github.com/darknigthmare/deadwall-last-enclosure/blob/e28f46223e73105ab2c5d83f3d50b99b58ef53e6/codex-3000/originaux/DEADWALL_CODEX_1.22/fiches/DW-0396.md</x:v>
      </x:c>
      <x:c r="K401" t="str">
        <x:v>Source min 90,70 m ; max 900,700 m ; modèle 78 × 70 m ; niveaux 0. Détails dans catalogue-existant.json.</x:v>
      </x:c>
    </x:row>
    <x:row r="402">
      <x:c r="A402" t="str">
        <x:v>DW-0397</x:v>
      </x:c>
      <x:c r="B402" t="str">
        <x:v>DW-0397</x:v>
      </x:c>
      <x:c r="C402" t="str">
        <x:v>Parent historique</x:v>
      </x:c>
      <x:c r="D402" t="str">
        <x:v>Forêts et filière bois</x:v>
      </x:c>
      <x:c r="E402" t="str">
        <x:v>Zone de débardage</x:v>
      </x:c>
      <x:c r="F402" t="n">
        <x:v>8</x:v>
      </x:c>
      <x:c r="G402" t="n">
        <x:v>4</x:v>
      </x:c>
      <x:c r="H402" t="n">
        <x:v>10</x:v>
      </x:c>
      <x:c r="I402" t="str">
        <x:v>À qualifier par lieu</x:v>
      </x:c>
      <x:c r="J402" t="str">
        <x:v>https://github.com/darknigthmare/deadwall-last-enclosure/blob/e28f46223e73105ab2c5d83f3d50b99b58ef53e6/codex-3000/originaux/DEADWALL_CODEX_1.22/fiches/DW-0397.md</x:v>
      </x:c>
      <x:c r="K402" t="str">
        <x:v>Source min 90,70 m ; max 900,700 m ; modèle 78 × 70 m ; niveaux 0. Détails dans catalogue-existant.json.</x:v>
      </x:c>
    </x:row>
    <x:row r="403">
      <x:c r="A403" t="str">
        <x:v>DW-0398</x:v>
      </x:c>
      <x:c r="B403" t="str">
        <x:v>DW-0398</x:v>
      </x:c>
      <x:c r="C403" t="str">
        <x:v>Parent historique</x:v>
      </x:c>
      <x:c r="D403" t="str">
        <x:v>Forêts et filière bois</x:v>
      </x:c>
      <x:c r="E403" t="str">
        <x:v>Atelier de palettes</x:v>
      </x:c>
      <x:c r="F403" t="n">
        <x:v>8</x:v>
      </x:c>
      <x:c r="G403" t="n">
        <x:v>4</x:v>
      </x:c>
      <x:c r="H403" t="n">
        <x:v>12</x:v>
      </x:c>
      <x:c r="I403" t="str">
        <x:v>À qualifier par lieu</x:v>
      </x:c>
      <x:c r="J403" t="str">
        <x:v>https://github.com/darknigthmare/deadwall-last-enclosure/blob/e28f46223e73105ab2c5d83f3d50b99b58ef53e6/codex-3000/originaux/DEADWALL_CODEX_1.22/fiches/DW-0398.md</x:v>
      </x:c>
      <x:c r="K403" t="str">
        <x:v>Source min 90,70 m ; max 900,700 m ; modèle 78 × 70 m ; niveaux 0. Détails dans catalogue-existant.json.</x:v>
      </x:c>
    </x:row>
    <x:row r="404">
      <x:c r="A404" t="str">
        <x:v>DW-0399</x:v>
      </x:c>
      <x:c r="B404" t="str">
        <x:v>DW-0399</x:v>
      </x:c>
      <x:c r="C404" t="str">
        <x:v>Parent historique</x:v>
      </x:c>
      <x:c r="D404" t="str">
        <x:v>Forêts et filière bois</x:v>
      </x:c>
      <x:c r="E404" t="str">
        <x:v>Dépôt de bois de chauffage</x:v>
      </x:c>
      <x:c r="F404" t="n">
        <x:v>8</x:v>
      </x:c>
      <x:c r="G404" t="n">
        <x:v>4</x:v>
      </x:c>
      <x:c r="H404" t="n">
        <x:v>12</x:v>
      </x:c>
      <x:c r="I404" t="str">
        <x:v>À qualifier par lieu</x:v>
      </x:c>
      <x:c r="J404" t="str">
        <x:v>https://github.com/darknigthmare/deadwall-last-enclosure/blob/e28f46223e73105ab2c5d83f3d50b99b58ef53e6/codex-3000/originaux/DEADWALL_CODEX_1.22/fiches/DW-0399.md</x:v>
      </x:c>
      <x:c r="K404" t="str">
        <x:v>Source min 90,70 m ; max 900,700 m ; modèle 78 × 70 m ; niveaux 0. Détails dans catalogue-existant.json.</x:v>
      </x:c>
    </x:row>
    <x:row r="405">
      <x:c r="A405" t="str">
        <x:v>DW-0400</x:v>
      </x:c>
      <x:c r="B405" t="str">
        <x:v>DW-0400</x:v>
      </x:c>
      <x:c r="C405" t="str">
        <x:v>Parent historique</x:v>
      </x:c>
      <x:c r="D405" t="str">
        <x:v>Forêts et filière bois</x:v>
      </x:c>
      <x:c r="E405" t="str">
        <x:v>Arboretum</x:v>
      </x:c>
      <x:c r="F405" t="n">
        <x:v>8</x:v>
      </x:c>
      <x:c r="G405" t="n">
        <x:v>4</x:v>
      </x:c>
      <x:c r="H405" t="n">
        <x:v>12</x:v>
      </x:c>
      <x:c r="I405" t="str">
        <x:v>À qualifier par lieu</x:v>
      </x:c>
      <x:c r="J405" t="str">
        <x:v>https://github.com/darknigthmare/deadwall-last-enclosure/blob/e28f46223e73105ab2c5d83f3d50b99b58ef53e6/codex-3000/originaux/DEADWALL_CODEX_1.22/fiches/DW-0400.md</x:v>
      </x:c>
      <x:c r="K405" t="str">
        <x:v>Source min 90,70 m ; max 900,700 m ; modèle 78 × 70 m ; niveaux 0. Détails dans catalogue-existant.json.</x:v>
      </x:c>
    </x:row>
    <x:row r="406">
      <x:c r="A406" t="str">
        <x:v>DW-0401</x:v>
      </x:c>
      <x:c r="B406" t="str">
        <x:v>DW-0401</x:v>
      </x:c>
      <x:c r="C406" t="str">
        <x:v>Parent historique</x:v>
      </x:c>
      <x:c r="D406" t="str">
        <x:v>Mines et matériaux</x:v>
      </x:c>
      <x:c r="E406" t="str">
        <x:v>Mine à galerie</x:v>
      </x:c>
      <x:c r="F406" t="n">
        <x:v>8</x:v>
      </x:c>
      <x:c r="G406" t="n">
        <x:v>5</x:v>
      </x:c>
      <x:c r="H406" t="n">
        <x:v>15</x:v>
      </x:c>
      <x:c r="I406" t="str">
        <x:v>À qualifier par lieu</x:v>
      </x:c>
      <x:c r="J406" t="str">
        <x:v>https://github.com/darknigthmare/deadwall-last-enclosure/blob/e28f46223e73105ab2c5d83f3d50b99b58ef53e6/codex-3000/originaux/DEADWALL_CODEX_1.22/fiches/DW-0401.md</x:v>
      </x:c>
      <x:c r="K406" t="str">
        <x:v>Source min 75,45 m ; max 800,500 m ; modèle 75 × 45 m ; niveaux -1, 0. Détails dans catalogue-existant.json.</x:v>
      </x:c>
    </x:row>
    <x:row r="407">
      <x:c r="A407" t="str">
        <x:v>DW-0402</x:v>
      </x:c>
      <x:c r="B407" t="str">
        <x:v>DW-0402</x:v>
      </x:c>
      <x:c r="C407" t="str">
        <x:v>Parent historique</x:v>
      </x:c>
      <x:c r="D407" t="str">
        <x:v>Mines et matériaux</x:v>
      </x:c>
      <x:c r="E407" t="str">
        <x:v>Mine à ciel ouvert</x:v>
      </x:c>
      <x:c r="F407" t="n">
        <x:v>8</x:v>
      </x:c>
      <x:c r="G407" t="n">
        <x:v>4</x:v>
      </x:c>
      <x:c r="H407" t="n">
        <x:v>12</x:v>
      </x:c>
      <x:c r="I407" t="str">
        <x:v>À qualifier par lieu</x:v>
      </x:c>
      <x:c r="J407" t="str">
        <x:v>https://github.com/darknigthmare/deadwall-last-enclosure/blob/e28f46223e73105ab2c5d83f3d50b99b58ef53e6/codex-3000/originaux/DEADWALL_CODEX_1.22/fiches/DW-0402.md</x:v>
      </x:c>
      <x:c r="K407" t="str">
        <x:v>Source min 75,45 m ; max 800,500 m ; modèle 75 × 45 m ; niveaux 0. Détails dans catalogue-existant.json.</x:v>
      </x:c>
    </x:row>
    <x:row r="408">
      <x:c r="A408" t="str">
        <x:v>DW-0403</x:v>
      </x:c>
      <x:c r="B408" t="str">
        <x:v>DW-0403</x:v>
      </x:c>
      <x:c r="C408" t="str">
        <x:v>Parent historique</x:v>
      </x:c>
      <x:c r="D408" t="str">
        <x:v>Mines et matériaux</x:v>
      </x:c>
      <x:c r="E408" t="str">
        <x:v>Carrière de pierre</x:v>
      </x:c>
      <x:c r="F408" t="n">
        <x:v>8</x:v>
      </x:c>
      <x:c r="G408" t="n">
        <x:v>4</x:v>
      </x:c>
      <x:c r="H408" t="n">
        <x:v>12</x:v>
      </x:c>
      <x:c r="I408" t="str">
        <x:v>À qualifier par lieu</x:v>
      </x:c>
      <x:c r="J408" t="str">
        <x:v>https://github.com/darknigthmare/deadwall-last-enclosure/blob/e28f46223e73105ab2c5d83f3d50b99b58ef53e6/codex-3000/originaux/DEADWALL_CODEX_1.22/fiches/DW-0403.md</x:v>
      </x:c>
      <x:c r="K408" t="str">
        <x:v>Source min 75,45 m ; max 800,500 m ; modèle 75 × 45 m ; niveaux 0. Détails dans catalogue-existant.json.</x:v>
      </x:c>
    </x:row>
    <x:row r="409">
      <x:c r="A409" t="str">
        <x:v>DW-0404</x:v>
      </x:c>
      <x:c r="B409" t="str">
        <x:v>DW-0404</x:v>
      </x:c>
      <x:c r="C409" t="str">
        <x:v>Parent historique</x:v>
      </x:c>
      <x:c r="D409" t="str">
        <x:v>Mines et matériaux</x:v>
      </x:c>
      <x:c r="E409" t="str">
        <x:v>Carrière de granulats</x:v>
      </x:c>
      <x:c r="F409" t="n">
        <x:v>8</x:v>
      </x:c>
      <x:c r="G409" t="n">
        <x:v>4</x:v>
      </x:c>
      <x:c r="H409" t="n">
        <x:v>12</x:v>
      </x:c>
      <x:c r="I409" t="str">
        <x:v>À qualifier par lieu</x:v>
      </x:c>
      <x:c r="J409" t="str">
        <x:v>https://github.com/darknigthmare/deadwall-last-enclosure/blob/e28f46223e73105ab2c5d83f3d50b99b58ef53e6/codex-3000/originaux/DEADWALL_CODEX_1.22/fiches/DW-0404.md</x:v>
      </x:c>
      <x:c r="K409" t="str">
        <x:v>Source min 75,45 m ; max 800,500 m ; modèle 75 × 45 m ; niveaux 0. Détails dans catalogue-existant.json.</x:v>
      </x:c>
    </x:row>
    <x:row r="410">
      <x:c r="A410" t="str">
        <x:v>DW-0405</x:v>
      </x:c>
      <x:c r="B410" t="str">
        <x:v>DW-0405</x:v>
      </x:c>
      <x:c r="C410" t="str">
        <x:v>Parent historique</x:v>
      </x:c>
      <x:c r="D410" t="str">
        <x:v>Mines et matériaux</x:v>
      </x:c>
      <x:c r="E410" t="str">
        <x:v>Sablière</x:v>
      </x:c>
      <x:c r="F410" t="n">
        <x:v>8</x:v>
      </x:c>
      <x:c r="G410" t="n">
        <x:v>4</x:v>
      </x:c>
      <x:c r="H410" t="n">
        <x:v>12</x:v>
      </x:c>
      <x:c r="I410" t="str">
        <x:v>À qualifier par lieu</x:v>
      </x:c>
      <x:c r="J410" t="str">
        <x:v>https://github.com/darknigthmare/deadwall-last-enclosure/blob/e28f46223e73105ab2c5d83f3d50b99b58ef53e6/codex-3000/originaux/DEADWALL_CODEX_1.22/fiches/DW-0405.md</x:v>
      </x:c>
      <x:c r="K410" t="str">
        <x:v>Source min 75,45 m ; max 800,500 m ; modèle 75 × 45 m ; niveaux 0. Détails dans catalogue-existant.json.</x:v>
      </x:c>
    </x:row>
    <x:row r="411">
      <x:c r="A411" t="str">
        <x:v>DW-0406</x:v>
      </x:c>
      <x:c r="B411" t="str">
        <x:v>DW-0406</x:v>
      </x:c>
      <x:c r="C411" t="str">
        <x:v>Parent historique</x:v>
      </x:c>
      <x:c r="D411" t="str">
        <x:v>Mines et matériaux</x:v>
      </x:c>
      <x:c r="E411" t="str">
        <x:v>Gravière</x:v>
      </x:c>
      <x:c r="F411" t="n">
        <x:v>8</x:v>
      </x:c>
      <x:c r="G411" t="n">
        <x:v>4</x:v>
      </x:c>
      <x:c r="H411" t="n">
        <x:v>12</x:v>
      </x:c>
      <x:c r="I411" t="str">
        <x:v>À qualifier par lieu</x:v>
      </x:c>
      <x:c r="J411" t="str">
        <x:v>https://github.com/darknigthmare/deadwall-last-enclosure/blob/e28f46223e73105ab2c5d83f3d50b99b58ef53e6/codex-3000/originaux/DEADWALL_CODEX_1.22/fiches/DW-0406.md</x:v>
      </x:c>
      <x:c r="K411" t="str">
        <x:v>Source min 75,45 m ; max 800,500 m ; modèle 75 × 45 m ; niveaux 0. Détails dans catalogue-existant.json.</x:v>
      </x:c>
    </x:row>
    <x:row r="412">
      <x:c r="A412" t="str">
        <x:v>DW-0407</x:v>
      </x:c>
      <x:c r="B412" t="str">
        <x:v>DW-0407</x:v>
      </x:c>
      <x:c r="C412" t="str">
        <x:v>Parent historique</x:v>
      </x:c>
      <x:c r="D412" t="str">
        <x:v>Mines et matériaux</x:v>
      </x:c>
      <x:c r="E412" t="str">
        <x:v>Mine désaffectée inondée</x:v>
      </x:c>
      <x:c r="F412" t="n">
        <x:v>8</x:v>
      </x:c>
      <x:c r="G412" t="n">
        <x:v>4</x:v>
      </x:c>
      <x:c r="H412" t="n">
        <x:v>12</x:v>
      </x:c>
      <x:c r="I412" t="str">
        <x:v>À qualifier par lieu</x:v>
      </x:c>
      <x:c r="J412" t="str">
        <x:v>https://github.com/darknigthmare/deadwall-last-enclosure/blob/e28f46223e73105ab2c5d83f3d50b99b58ef53e6/codex-3000/originaux/DEADWALL_CODEX_1.22/fiches/DW-0407.md</x:v>
      </x:c>
      <x:c r="K412" t="str">
        <x:v>Source min 75,45 m ; max 800,500 m ; modèle 75 × 45 m ; niveaux -1, 0. Détails dans catalogue-existant.json.</x:v>
      </x:c>
    </x:row>
    <x:row r="413">
      <x:c r="A413" t="str">
        <x:v>DW-0408</x:v>
      </x:c>
      <x:c r="B413" t="str">
        <x:v>DW-0408</x:v>
      </x:c>
      <x:c r="C413" t="str">
        <x:v>Parent historique</x:v>
      </x:c>
      <x:c r="D413" t="str">
        <x:v>Mines et matériaux</x:v>
      </x:c>
      <x:c r="E413" t="str">
        <x:v>Puits de mine ancien</x:v>
      </x:c>
      <x:c r="F413" t="n">
        <x:v>8</x:v>
      </x:c>
      <x:c r="G413" t="n">
        <x:v>4</x:v>
      </x:c>
      <x:c r="H413" t="n">
        <x:v>12</x:v>
      </x:c>
      <x:c r="I413" t="str">
        <x:v>À qualifier par lieu</x:v>
      </x:c>
      <x:c r="J413" t="str">
        <x:v>https://github.com/darknigthmare/deadwall-last-enclosure/blob/e28f46223e73105ab2c5d83f3d50b99b58ef53e6/codex-3000/originaux/DEADWALL_CODEX_1.22/fiches/DW-0408.md</x:v>
      </x:c>
      <x:c r="K413" t="str">
        <x:v>Source min 75,45 m ; max 800,500 m ; modèle 75 × 45 m ; niveaux -1, 0. Détails dans catalogue-existant.json.</x:v>
      </x:c>
    </x:row>
    <x:row r="414">
      <x:c r="A414" t="str">
        <x:v>DW-0409</x:v>
      </x:c>
      <x:c r="B414" t="str">
        <x:v>DW-0409</x:v>
      </x:c>
      <x:c r="C414" t="str">
        <x:v>Parent historique</x:v>
      </x:c>
      <x:c r="D414" t="str">
        <x:v>Mines et matériaux</x:v>
      </x:c>
      <x:c r="E414" t="str">
        <x:v>Mine de sel fictive</x:v>
      </x:c>
      <x:c r="F414" t="n">
        <x:v>8</x:v>
      </x:c>
      <x:c r="G414" t="n">
        <x:v>4</x:v>
      </x:c>
      <x:c r="H414" t="n">
        <x:v>12</x:v>
      </x:c>
      <x:c r="I414" t="str">
        <x:v>À qualifier par lieu</x:v>
      </x:c>
      <x:c r="J414" t="str">
        <x:v>https://github.com/darknigthmare/deadwall-last-enclosure/blob/e28f46223e73105ab2c5d83f3d50b99b58ef53e6/codex-3000/originaux/DEADWALL_CODEX_1.22/fiches/DW-0409.md</x:v>
      </x:c>
      <x:c r="K414" t="str">
        <x:v>Source min 75,45 m ; max 800,500 m ; modèle 75 × 45 m ; niveaux -1, 0. Détails dans catalogue-existant.json.</x:v>
      </x:c>
    </x:row>
    <x:row r="415">
      <x:c r="A415" t="str">
        <x:v>DW-0410</x:v>
      </x:c>
      <x:c r="B415" t="str">
        <x:v>DW-0410</x:v>
      </x:c>
      <x:c r="C415" t="str">
        <x:v>Parent historique</x:v>
      </x:c>
      <x:c r="D415" t="str">
        <x:v>Mines et matériaux</x:v>
      </x:c>
      <x:c r="E415" t="str">
        <x:v>Mine de charbon historique</x:v>
      </x:c>
      <x:c r="F415" t="n">
        <x:v>8</x:v>
      </x:c>
      <x:c r="G415" t="n">
        <x:v>4</x:v>
      </x:c>
      <x:c r="H415" t="n">
        <x:v>12</x:v>
      </x:c>
      <x:c r="I415" t="str">
        <x:v>À qualifier par lieu</x:v>
      </x:c>
      <x:c r="J415" t="str">
        <x:v>https://github.com/darknigthmare/deadwall-last-enclosure/blob/e28f46223e73105ab2c5d83f3d50b99b58ef53e6/codex-3000/originaux/DEADWALL_CODEX_1.22/fiches/DW-0410.md</x:v>
      </x:c>
      <x:c r="K415" t="str">
        <x:v>Source min 75,45 m ; max 800,500 m ; modèle 75 × 45 m ; niveaux -1, 0. Détails dans catalogue-existant.json.</x:v>
      </x:c>
    </x:row>
    <x:row r="416">
      <x:c r="A416" t="str">
        <x:v>DW-0411</x:v>
      </x:c>
      <x:c r="B416" t="str">
        <x:v>DW-0411</x:v>
      </x:c>
      <x:c r="C416" t="str">
        <x:v>Parent historique</x:v>
      </x:c>
      <x:c r="D416" t="str">
        <x:v>Mines et matériaux</x:v>
      </x:c>
      <x:c r="E416" t="str">
        <x:v>Galerie de prospection</x:v>
      </x:c>
      <x:c r="F416" t="n">
        <x:v>8</x:v>
      </x:c>
      <x:c r="G416" t="n">
        <x:v>3</x:v>
      </x:c>
      <x:c r="H416" t="n">
        <x:v>9</x:v>
      </x:c>
      <x:c r="I416" t="str">
        <x:v>À qualifier par lieu</x:v>
      </x:c>
      <x:c r="J416" t="str">
        <x:v>https://github.com/darknigthmare/deadwall-last-enclosure/blob/e28f46223e73105ab2c5d83f3d50b99b58ef53e6/codex-3000/originaux/DEADWALL_CODEX_1.22/fiches/DW-0411.md</x:v>
      </x:c>
      <x:c r="K416" t="str">
        <x:v>Source min 75,45 m ; max 800,500 m ; modèle 75 × 45 m ; niveaux 0. Détails dans catalogue-existant.json.</x:v>
      </x:c>
    </x:row>
    <x:row r="417">
      <x:c r="A417" t="str">
        <x:v>DW-0412</x:v>
      </x:c>
      <x:c r="B417" t="str">
        <x:v>DW-0412</x:v>
      </x:c>
      <x:c r="C417" t="str">
        <x:v>Parent historique</x:v>
      </x:c>
      <x:c r="D417" t="str">
        <x:v>Mines et matériaux</x:v>
      </x:c>
      <x:c r="E417" t="str">
        <x:v>Centre de concassage</x:v>
      </x:c>
      <x:c r="F417" t="n">
        <x:v>8</x:v>
      </x:c>
      <x:c r="G417" t="n">
        <x:v>4</x:v>
      </x:c>
      <x:c r="H417" t="n">
        <x:v>12</x:v>
      </x:c>
      <x:c r="I417" t="str">
        <x:v>À qualifier par lieu</x:v>
      </x:c>
      <x:c r="J417" t="str">
        <x:v>https://github.com/darknigthmare/deadwall-last-enclosure/blob/e28f46223e73105ab2c5d83f3d50b99b58ef53e6/codex-3000/originaux/DEADWALL_CODEX_1.22/fiches/DW-0412.md</x:v>
      </x:c>
      <x:c r="K417" t="str">
        <x:v>Source min 75,45 m ; max 800,500 m ; modèle 75 × 45 m ; niveaux 0. Détails dans catalogue-existant.json.</x:v>
      </x:c>
    </x:row>
    <x:row r="418">
      <x:c r="A418" t="str">
        <x:v>DW-0413</x:v>
      </x:c>
      <x:c r="B418" t="str">
        <x:v>DW-0413</x:v>
      </x:c>
      <x:c r="C418" t="str">
        <x:v>Parent historique</x:v>
      </x:c>
      <x:c r="D418" t="str">
        <x:v>Mines et matériaux</x:v>
      </x:c>
      <x:c r="E418" t="str">
        <x:v>Atelier de tailleur de pierre</x:v>
      </x:c>
      <x:c r="F418" t="n">
        <x:v>8</x:v>
      </x:c>
      <x:c r="G418" t="n">
        <x:v>4</x:v>
      </x:c>
      <x:c r="H418" t="n">
        <x:v>12</x:v>
      </x:c>
      <x:c r="I418" t="str">
        <x:v>À qualifier par lieu</x:v>
      </x:c>
      <x:c r="J418" t="str">
        <x:v>https://github.com/darknigthmare/deadwall-last-enclosure/blob/e28f46223e73105ab2c5d83f3d50b99b58ef53e6/codex-3000/originaux/DEADWALL_CODEX_1.22/fiches/DW-0413.md</x:v>
      </x:c>
      <x:c r="K418" t="str">
        <x:v>Source min 75,45 m ; max 800,500 m ; modèle 75 × 45 m ; niveaux 0. Détails dans catalogue-existant.json.</x:v>
      </x:c>
    </x:row>
    <x:row r="419">
      <x:c r="A419" t="str">
        <x:v>DW-0414</x:v>
      </x:c>
      <x:c r="B419" t="str">
        <x:v>DW-0414</x:v>
      </x:c>
      <x:c r="C419" t="str">
        <x:v>Parent historique</x:v>
      </x:c>
      <x:c r="D419" t="str">
        <x:v>Mines et matériaux</x:v>
      </x:c>
      <x:c r="E419" t="str">
        <x:v>Négoce de roches décoratives</x:v>
      </x:c>
      <x:c r="F419" t="n">
        <x:v>8</x:v>
      </x:c>
      <x:c r="G419" t="n">
        <x:v>4</x:v>
      </x:c>
      <x:c r="H419" t="n">
        <x:v>12</x:v>
      </x:c>
      <x:c r="I419" t="str">
        <x:v>À qualifier par lieu</x:v>
      </x:c>
      <x:c r="J419" t="str">
        <x:v>https://github.com/darknigthmare/deadwall-last-enclosure/blob/e28f46223e73105ab2c5d83f3d50b99b58ef53e6/codex-3000/originaux/DEADWALL_CODEX_1.22/fiches/DW-0414.md</x:v>
      </x:c>
      <x:c r="K419" t="str">
        <x:v>Source min 75,45 m ; max 800,500 m ; modèle 75 × 45 m ; niveaux 0. Détails dans catalogue-existant.json.</x:v>
      </x:c>
    </x:row>
    <x:row r="420">
      <x:c r="A420" t="str">
        <x:v>DW-0415</x:v>
      </x:c>
      <x:c r="B420" t="str">
        <x:v>DW-0415</x:v>
      </x:c>
      <x:c r="C420" t="str">
        <x:v>Parent historique</x:v>
      </x:c>
      <x:c r="D420" t="str">
        <x:v>Mines et matériaux</x:v>
      </x:c>
      <x:c r="E420" t="str">
        <x:v>Ancienne briqueterie</x:v>
      </x:c>
      <x:c r="F420" t="n">
        <x:v>8</x:v>
      </x:c>
      <x:c r="G420" t="n">
        <x:v>4</x:v>
      </x:c>
      <x:c r="H420" t="n">
        <x:v>12</x:v>
      </x:c>
      <x:c r="I420" t="str">
        <x:v>À qualifier par lieu</x:v>
      </x:c>
      <x:c r="J420" t="str">
        <x:v>https://github.com/darknigthmare/deadwall-last-enclosure/blob/e28f46223e73105ab2c5d83f3d50b99b58ef53e6/codex-3000/originaux/DEADWALL_CODEX_1.22/fiches/DW-0415.md</x:v>
      </x:c>
      <x:c r="K420" t="str">
        <x:v>Source min 75,45 m ; max 800,500 m ; modèle 75 × 45 m ; niveaux 0. Détails dans catalogue-existant.json.</x:v>
      </x:c>
    </x:row>
    <x:row r="421">
      <x:c r="A421" t="str">
        <x:v>DW-0416</x:v>
      </x:c>
      <x:c r="B421" t="str">
        <x:v>DW-0416</x:v>
      </x:c>
      <x:c r="C421" t="str">
        <x:v>Parent historique</x:v>
      </x:c>
      <x:c r="D421" t="str">
        <x:v>Mines et matériaux</x:v>
      </x:c>
      <x:c r="E421" t="str">
        <x:v>Four à chaux patrimonial</x:v>
      </x:c>
      <x:c r="F421" t="n">
        <x:v>8</x:v>
      </x:c>
      <x:c r="G421" t="n">
        <x:v>4</x:v>
      </x:c>
      <x:c r="H421" t="n">
        <x:v>12</x:v>
      </x:c>
      <x:c r="I421" t="str">
        <x:v>À qualifier par lieu</x:v>
      </x:c>
      <x:c r="J421" t="str">
        <x:v>https://github.com/darknigthmare/deadwall-last-enclosure/blob/e28f46223e73105ab2c5d83f3d50b99b58ef53e6/codex-3000/originaux/DEADWALL_CODEX_1.22/fiches/DW-0416.md</x:v>
      </x:c>
      <x:c r="K421" t="str">
        <x:v>Source min 75,45 m ; max 800,500 m ; modèle 75 × 45 m ; niveaux 0. Détails dans catalogue-existant.json.</x:v>
      </x:c>
    </x:row>
    <x:row r="422">
      <x:c r="A422" t="str">
        <x:v>DW-0417</x:v>
      </x:c>
      <x:c r="B422" t="str">
        <x:v>DW-0417</x:v>
      </x:c>
      <x:c r="C422" t="str">
        <x:v>Parent historique</x:v>
      </x:c>
      <x:c r="D422" t="str">
        <x:v>Mines et matériaux</x:v>
      </x:c>
      <x:c r="E422" t="str">
        <x:v>Champ de terrils</x:v>
      </x:c>
      <x:c r="F422" t="n">
        <x:v>8</x:v>
      </x:c>
      <x:c r="G422" t="n">
        <x:v>4</x:v>
      </x:c>
      <x:c r="H422" t="n">
        <x:v>12</x:v>
      </x:c>
      <x:c r="I422" t="str">
        <x:v>À qualifier par lieu</x:v>
      </x:c>
      <x:c r="J422" t="str">
        <x:v>https://github.com/darknigthmare/deadwall-last-enclosure/blob/e28f46223e73105ab2c5d83f3d50b99b58ef53e6/codex-3000/originaux/DEADWALL_CODEX_1.22/fiches/DW-0417.md</x:v>
      </x:c>
      <x:c r="K422" t="str">
        <x:v>Source min 75,45 m ; max 800,500 m ; modèle 75 × 45 m ; niveaux 0. Détails dans catalogue-existant.json.</x:v>
      </x:c>
    </x:row>
    <x:row r="423">
      <x:c r="A423" t="str">
        <x:v>DW-0418</x:v>
      </x:c>
      <x:c r="B423" t="str">
        <x:v>DW-0418</x:v>
      </x:c>
      <x:c r="C423" t="str">
        <x:v>Parent historique</x:v>
      </x:c>
      <x:c r="D423" t="str">
        <x:v>Mines et matériaux</x:v>
      </x:c>
      <x:c r="E423" t="str">
        <x:v>Base géologique</x:v>
      </x:c>
      <x:c r="F423" t="n">
        <x:v>8</x:v>
      </x:c>
      <x:c r="G423" t="n">
        <x:v>4</x:v>
      </x:c>
      <x:c r="H423" t="n">
        <x:v>12</x:v>
      </x:c>
      <x:c r="I423" t="str">
        <x:v>À qualifier par lieu</x:v>
      </x:c>
      <x:c r="J423" t="str">
        <x:v>https://github.com/darknigthmare/deadwall-last-enclosure/blob/e28f46223e73105ab2c5d83f3d50b99b58ef53e6/codex-3000/originaux/DEADWALL_CODEX_1.22/fiches/DW-0418.md</x:v>
      </x:c>
      <x:c r="K423" t="str">
        <x:v>Source min 75,45 m ; max 800,500 m ; modèle 75 × 45 m ; niveaux 0. Détails dans catalogue-existant.json.</x:v>
      </x:c>
    </x:row>
    <x:row r="424">
      <x:c r="A424" t="str">
        <x:v>DW-0419</x:v>
      </x:c>
      <x:c r="B424" t="str">
        <x:v>DW-0419</x:v>
      </x:c>
      <x:c r="C424" t="str">
        <x:v>Parent historique</x:v>
      </x:c>
      <x:c r="D424" t="str">
        <x:v>Mines et matériaux</x:v>
      </x:c>
      <x:c r="E424" t="str">
        <x:v>Tunnel minier réaffecté</x:v>
      </x:c>
      <x:c r="F424" t="n">
        <x:v>8</x:v>
      </x:c>
      <x:c r="G424" t="n">
        <x:v>4</x:v>
      </x:c>
      <x:c r="H424" t="n">
        <x:v>12</x:v>
      </x:c>
      <x:c r="I424" t="str">
        <x:v>À qualifier par lieu</x:v>
      </x:c>
      <x:c r="J424" t="str">
        <x:v>https://github.com/darknigthmare/deadwall-last-enclosure/blob/e28f46223e73105ab2c5d83f3d50b99b58ef53e6/codex-3000/originaux/DEADWALL_CODEX_1.22/fiches/DW-0419.md</x:v>
      </x:c>
      <x:c r="K424" t="str">
        <x:v>Source min 75,45 m ; max 800,500 m ; modèle 75 × 45 m ; niveaux 0. Détails dans catalogue-existant.json.</x:v>
      </x:c>
    </x:row>
    <x:row r="425">
      <x:c r="A425" t="str">
        <x:v>DW-0420</x:v>
      </x:c>
      <x:c r="B425" t="str">
        <x:v>DW-0420</x:v>
      </x:c>
      <x:c r="C425" t="str">
        <x:v>Parent historique</x:v>
      </x:c>
      <x:c r="D425" t="str">
        <x:v>Mines et matériaux</x:v>
      </x:c>
      <x:c r="E425" t="str">
        <x:v>Village minier fantôme</x:v>
      </x:c>
      <x:c r="F425" t="n">
        <x:v>8</x:v>
      </x:c>
      <x:c r="G425" t="n">
        <x:v>5</x:v>
      </x:c>
      <x:c r="H425" t="n">
        <x:v>15</x:v>
      </x:c>
      <x:c r="I425" t="str">
        <x:v>À qualifier par lieu</x:v>
      </x:c>
      <x:c r="J425" t="str">
        <x:v>https://github.com/darknigthmare/deadwall-last-enclosure/blob/e28f46223e73105ab2c5d83f3d50b99b58ef53e6/codex-3000/originaux/DEADWALL_CODEX_1.22/fiches/DW-0420.md</x:v>
      </x:c>
      <x:c r="K425" t="str">
        <x:v>Source min 75,45 m ; max 800,500 m ; modèle 75 × 45 m ; niveaux 0. Détails dans catalogue-existant.json.</x:v>
      </x:c>
    </x:row>
    <x:row r="426">
      <x:c r="A426" t="str">
        <x:v>DW-0421</x:v>
      </x:c>
      <x:c r="B426" t="str">
        <x:v>DW-0421</x:v>
      </x:c>
      <x:c r="C426" t="str">
        <x:v>Parent historique</x:v>
      </x:c>
      <x:c r="D426" t="str">
        <x:v>Ports et activités nautiques</x:v>
      </x:c>
      <x:c r="E426" t="str">
        <x:v>Port de pêche</x:v>
      </x:c>
      <x:c r="F426" t="n">
        <x:v>10</x:v>
      </x:c>
      <x:c r="G426" t="n">
        <x:v>4</x:v>
      </x:c>
      <x:c r="H426" t="n">
        <x:v>12</x:v>
      </x:c>
      <x:c r="I426" t="str">
        <x:v>À qualifier par lieu</x:v>
      </x:c>
      <x:c r="J426" t="str">
        <x:v>https://github.com/darknigthmare/deadwall-last-enclosure/blob/e28f46223e73105ab2c5d83f3d50b99b58ef53e6/codex-3000/originaux/DEADWALL_CODEX_1.22/fiches/DW-0421.md</x:v>
      </x:c>
      <x:c r="K426" t="str">
        <x:v>Source min 80,55 m ; max 700,350 m ; modèle 80 × 55 m ; niveaux 0. Détails dans catalogue-existant.json.</x:v>
      </x:c>
    </x:row>
    <x:row r="427">
      <x:c r="A427" t="str">
        <x:v>DW-0422</x:v>
      </x:c>
      <x:c r="B427" t="str">
        <x:v>DW-0422</x:v>
      </x:c>
      <x:c r="C427" t="str">
        <x:v>Parent historique</x:v>
      </x:c>
      <x:c r="D427" t="str">
        <x:v>Ports et activités nautiques</x:v>
      </x:c>
      <x:c r="E427" t="str">
        <x:v>Port de plaisance</x:v>
      </x:c>
      <x:c r="F427" t="n">
        <x:v>10</x:v>
      </x:c>
      <x:c r="G427" t="n">
        <x:v>4</x:v>
      </x:c>
      <x:c r="H427" t="n">
        <x:v>12</x:v>
      </x:c>
      <x:c r="I427" t="str">
        <x:v>À qualifier par lieu</x:v>
      </x:c>
      <x:c r="J427" t="str">
        <x:v>https://github.com/darknigthmare/deadwall-last-enclosure/blob/e28f46223e73105ab2c5d83f3d50b99b58ef53e6/codex-3000/originaux/DEADWALL_CODEX_1.22/fiches/DW-0422.md</x:v>
      </x:c>
      <x:c r="K427" t="str">
        <x:v>Source min 80,55 m ; max 700,350 m ; modèle 80 × 55 m ; niveaux 0. Détails dans catalogue-existant.json.</x:v>
      </x:c>
    </x:row>
    <x:row r="428">
      <x:c r="A428" t="str">
        <x:v>DW-0423</x:v>
      </x:c>
      <x:c r="B428" t="str">
        <x:v>DW-0423</x:v>
      </x:c>
      <x:c r="C428" t="str">
        <x:v>Parent historique</x:v>
      </x:c>
      <x:c r="D428" t="str">
        <x:v>Ports et activités nautiques</x:v>
      </x:c>
      <x:c r="E428" t="str">
        <x:v>Port de commerce</x:v>
      </x:c>
      <x:c r="F428" t="n">
        <x:v>10</x:v>
      </x:c>
      <x:c r="G428" t="n">
        <x:v>4</x:v>
      </x:c>
      <x:c r="H428" t="n">
        <x:v>12</x:v>
      </x:c>
      <x:c r="I428" t="str">
        <x:v>À qualifier par lieu</x:v>
      </x:c>
      <x:c r="J428" t="str">
        <x:v>https://github.com/darknigthmare/deadwall-last-enclosure/blob/e28f46223e73105ab2c5d83f3d50b99b58ef53e6/codex-3000/originaux/DEADWALL_CODEX_1.22/fiches/DW-0423.md</x:v>
      </x:c>
      <x:c r="K428" t="str">
        <x:v>Source min 80,55 m ; max 700,350 m ; modèle 80 × 55 m ; niveaux 0. Détails dans catalogue-existant.json.</x:v>
      </x:c>
    </x:row>
    <x:row r="429">
      <x:c r="A429" t="str">
        <x:v>DW-0424</x:v>
      </x:c>
      <x:c r="B429" t="str">
        <x:v>DW-0424</x:v>
      </x:c>
      <x:c r="C429" t="str">
        <x:v>Parent historique</x:v>
      </x:c>
      <x:c r="D429" t="str">
        <x:v>Ports et activités nautiques</x:v>
      </x:c>
      <x:c r="E429" t="str">
        <x:v>Terminal ferry</x:v>
      </x:c>
      <x:c r="F429" t="n">
        <x:v>10</x:v>
      </x:c>
      <x:c r="G429" t="n">
        <x:v>4</x:v>
      </x:c>
      <x:c r="H429" t="n">
        <x:v>10</x:v>
      </x:c>
      <x:c r="I429" t="str">
        <x:v>À qualifier par lieu</x:v>
      </x:c>
      <x:c r="J429" t="str">
        <x:v>https://github.com/darknigthmare/deadwall-last-enclosure/blob/e28f46223e73105ab2c5d83f3d50b99b58ef53e6/codex-3000/originaux/DEADWALL_CODEX_1.22/fiches/DW-0424.md</x:v>
      </x:c>
      <x:c r="K429" t="str">
        <x:v>Source min 80,55 m ; max 700,350 m ; modèle 80 × 55 m ; niveaux 0. Détails dans catalogue-existant.json.</x:v>
      </x:c>
    </x:row>
    <x:row r="430">
      <x:c r="A430" t="str">
        <x:v>DW-0425</x:v>
      </x:c>
      <x:c r="B430" t="str">
        <x:v>DW-0425</x:v>
      </x:c>
      <x:c r="C430" t="str">
        <x:v>Parent historique</x:v>
      </x:c>
      <x:c r="D430" t="str">
        <x:v>Ports et activités nautiques</x:v>
      </x:c>
      <x:c r="E430" t="str">
        <x:v>Chantier naval</x:v>
      </x:c>
      <x:c r="F430" t="n">
        <x:v>10</x:v>
      </x:c>
      <x:c r="G430" t="n">
        <x:v>4</x:v>
      </x:c>
      <x:c r="H430" t="n">
        <x:v>12</x:v>
      </x:c>
      <x:c r="I430" t="str">
        <x:v>À qualifier par lieu</x:v>
      </x:c>
      <x:c r="J430" t="str">
        <x:v>https://github.com/darknigthmare/deadwall-last-enclosure/blob/e28f46223e73105ab2c5d83f3d50b99b58ef53e6/codex-3000/originaux/DEADWALL_CODEX_1.22/fiches/DW-0425.md</x:v>
      </x:c>
      <x:c r="K430" t="str">
        <x:v>Source min 80,55 m ; max 700,350 m ; modèle 80 × 55 m ; niveaux 0. Détails dans catalogue-existant.json.</x:v>
      </x:c>
    </x:row>
    <x:row r="431">
      <x:c r="A431" t="str">
        <x:v>DW-0426</x:v>
      </x:c>
      <x:c r="B431" t="str">
        <x:v>DW-0426</x:v>
      </x:c>
      <x:c r="C431" t="str">
        <x:v>Parent historique</x:v>
      </x:c>
      <x:c r="D431" t="str">
        <x:v>Ports et activités nautiques</x:v>
      </x:c>
      <x:c r="E431" t="str">
        <x:v>Atelier de réparation nautique</x:v>
      </x:c>
      <x:c r="F431" t="n">
        <x:v>10</x:v>
      </x:c>
      <x:c r="G431" t="n">
        <x:v>4</x:v>
      </x:c>
      <x:c r="H431" t="n">
        <x:v>10</x:v>
      </x:c>
      <x:c r="I431" t="str">
        <x:v>À qualifier par lieu</x:v>
      </x:c>
      <x:c r="J431" t="str">
        <x:v>https://github.com/darknigthmare/deadwall-last-enclosure/blob/e28f46223e73105ab2c5d83f3d50b99b58ef53e6/codex-3000/originaux/DEADWALL_CODEX_1.22/fiches/DW-0426.md</x:v>
      </x:c>
      <x:c r="K431" t="str">
        <x:v>Source min 80,55 m ; max 700,350 m ; modèle 80 × 55 m ; niveaux 0. Détails dans catalogue-existant.json.</x:v>
      </x:c>
    </x:row>
    <x:row r="432">
      <x:c r="A432" t="str">
        <x:v>DW-0427</x:v>
      </x:c>
      <x:c r="B432" t="str">
        <x:v>DW-0427</x:v>
      </x:c>
      <x:c r="C432" t="str">
        <x:v>Parent historique</x:v>
      </x:c>
      <x:c r="D432" t="str">
        <x:v>Ports et activités nautiques</x:v>
      </x:c>
      <x:c r="E432" t="str">
        <x:v>Capitainerie</x:v>
      </x:c>
      <x:c r="F432" t="n">
        <x:v>10</x:v>
      </x:c>
      <x:c r="G432" t="n">
        <x:v>4</x:v>
      </x:c>
      <x:c r="H432" t="n">
        <x:v>12</x:v>
      </x:c>
      <x:c r="I432" t="str">
        <x:v>À qualifier par lieu</x:v>
      </x:c>
      <x:c r="J432" t="str">
        <x:v>https://github.com/darknigthmare/deadwall-last-enclosure/blob/e28f46223e73105ab2c5d83f3d50b99b58ef53e6/codex-3000/originaux/DEADWALL_CODEX_1.22/fiches/DW-0427.md</x:v>
      </x:c>
      <x:c r="K432" t="str">
        <x:v>Source min 80,55 m ; max 700,350 m ; modèle 80 × 55 m ; niveaux 0. Détails dans catalogue-existant.json.</x:v>
      </x:c>
    </x:row>
    <x:row r="433">
      <x:c r="A433" t="str">
        <x:v>DW-0428</x:v>
      </x:c>
      <x:c r="B433" t="str">
        <x:v>DW-0428</x:v>
      </x:c>
      <x:c r="C433" t="str">
        <x:v>Parent historique</x:v>
      </x:c>
      <x:c r="D433" t="str">
        <x:v>Ports et activités nautiques</x:v>
      </x:c>
      <x:c r="E433" t="str">
        <x:v>Hangar à bateaux</x:v>
      </x:c>
      <x:c r="F433" t="n">
        <x:v>10</x:v>
      </x:c>
      <x:c r="G433" t="n">
        <x:v>4</x:v>
      </x:c>
      <x:c r="H433" t="n">
        <x:v>12</x:v>
      </x:c>
      <x:c r="I433" t="str">
        <x:v>À qualifier par lieu</x:v>
      </x:c>
      <x:c r="J433" t="str">
        <x:v>https://github.com/darknigthmare/deadwall-last-enclosure/blob/e28f46223e73105ab2c5d83f3d50b99b58ef53e6/codex-3000/originaux/DEADWALL_CODEX_1.22/fiches/DW-0428.md</x:v>
      </x:c>
      <x:c r="K433" t="str">
        <x:v>Source min 80,55 m ; max 700,350 m ; modèle 80 × 55 m ; niveaux 0. Détails dans catalogue-existant.json.</x:v>
      </x:c>
    </x:row>
    <x:row r="434">
      <x:c r="A434" t="str">
        <x:v>DW-0429</x:v>
      </x:c>
      <x:c r="B434" t="str">
        <x:v>DW-0429</x:v>
      </x:c>
      <x:c r="C434" t="str">
        <x:v>Parent historique</x:v>
      </x:c>
      <x:c r="D434" t="str">
        <x:v>Ports et activités nautiques</x:v>
      </x:c>
      <x:c r="E434" t="str">
        <x:v>Écluse portuaire</x:v>
      </x:c>
      <x:c r="F434" t="n">
        <x:v>10</x:v>
      </x:c>
      <x:c r="G434" t="n">
        <x:v>4</x:v>
      </x:c>
      <x:c r="H434" t="n">
        <x:v>10</x:v>
      </x:c>
      <x:c r="I434" t="str">
        <x:v>À qualifier par lieu</x:v>
      </x:c>
      <x:c r="J434" t="str">
        <x:v>https://github.com/darknigthmare/deadwall-last-enclosure/blob/e28f46223e73105ab2c5d83f3d50b99b58ef53e6/codex-3000/originaux/DEADWALL_CODEX_1.22/fiches/DW-0429.md</x:v>
      </x:c>
      <x:c r="K434" t="str">
        <x:v>Source min 80,55 m ; max 700,350 m ; modèle 80 × 55 m ; niveaux 0. Détails dans catalogue-existant.json.</x:v>
      </x:c>
    </x:row>
    <x:row r="435">
      <x:c r="A435" t="str">
        <x:v>DW-0430</x:v>
      </x:c>
      <x:c r="B435" t="str">
        <x:v>DW-0430</x:v>
      </x:c>
      <x:c r="C435" t="str">
        <x:v>Parent historique</x:v>
      </x:c>
      <x:c r="D435" t="str">
        <x:v>Ports et activités nautiques</x:v>
      </x:c>
      <x:c r="E435" t="str">
        <x:v>Dépôt de conteneurs</x:v>
      </x:c>
      <x:c r="F435" t="n">
        <x:v>10</x:v>
      </x:c>
      <x:c r="G435" t="n">
        <x:v>4</x:v>
      </x:c>
      <x:c r="H435" t="n">
        <x:v>10</x:v>
      </x:c>
      <x:c r="I435" t="str">
        <x:v>À qualifier par lieu</x:v>
      </x:c>
      <x:c r="J435" t="str">
        <x:v>https://github.com/darknigthmare/deadwall-last-enclosure/blob/e28f46223e73105ab2c5d83f3d50b99b58ef53e6/codex-3000/originaux/DEADWALL_CODEX_1.22/fiches/DW-0430.md</x:v>
      </x:c>
      <x:c r="K435" t="str">
        <x:v>Source min 80,55 m ; max 700,350 m ; modèle 80 × 55 m ; niveaux 0. Détails dans catalogue-existant.json.</x:v>
      </x:c>
    </x:row>
    <x:row r="436">
      <x:c r="A436" t="str">
        <x:v>DW-0431</x:v>
      </x:c>
      <x:c r="B436" t="str">
        <x:v>DW-0431</x:v>
      </x:c>
      <x:c r="C436" t="str">
        <x:v>Parent historique</x:v>
      </x:c>
      <x:c r="D436" t="str">
        <x:v>Ports et activités nautiques</x:v>
      </x:c>
      <x:c r="E436" t="str">
        <x:v>Entrepôt douanier fictif</x:v>
      </x:c>
      <x:c r="F436" t="n">
        <x:v>10</x:v>
      </x:c>
      <x:c r="G436" t="n">
        <x:v>4</x:v>
      </x:c>
      <x:c r="H436" t="n">
        <x:v>12</x:v>
      </x:c>
      <x:c r="I436" t="str">
        <x:v>À qualifier par lieu</x:v>
      </x:c>
      <x:c r="J436" t="str">
        <x:v>https://github.com/darknigthmare/deadwall-last-enclosure/blob/e28f46223e73105ab2c5d83f3d50b99b58ef53e6/codex-3000/originaux/DEADWALL_CODEX_1.22/fiches/DW-0431.md</x:v>
      </x:c>
      <x:c r="K436" t="str">
        <x:v>Source min 80,55 m ; max 700,350 m ; modèle 80 × 55 m ; niveaux 0. Détails dans catalogue-existant.json.</x:v>
      </x:c>
    </x:row>
    <x:row r="437">
      <x:c r="A437" t="str">
        <x:v>DW-0432</x:v>
      </x:c>
      <x:c r="B437" t="str">
        <x:v>DW-0432</x:v>
      </x:c>
      <x:c r="C437" t="str">
        <x:v>Parent historique</x:v>
      </x:c>
      <x:c r="D437" t="str">
        <x:v>Ports et activités nautiques</x:v>
      </x:c>
      <x:c r="E437" t="str">
        <x:v>Gare fluviale</x:v>
      </x:c>
      <x:c r="F437" t="n">
        <x:v>10</x:v>
      </x:c>
      <x:c r="G437" t="n">
        <x:v>4</x:v>
      </x:c>
      <x:c r="H437" t="n">
        <x:v>12</x:v>
      </x:c>
      <x:c r="I437" t="str">
        <x:v>À qualifier par lieu</x:v>
      </x:c>
      <x:c r="J437" t="str">
        <x:v>https://github.com/darknigthmare/deadwall-last-enclosure/blob/e28f46223e73105ab2c5d83f3d50b99b58ef53e6/codex-3000/originaux/DEADWALL_CODEX_1.22/fiches/DW-0432.md</x:v>
      </x:c>
      <x:c r="K437" t="str">
        <x:v>Source min 80,55 m ; max 700,350 m ; modèle 80 × 55 m ; niveaux 0. Détails dans catalogue-existant.json.</x:v>
      </x:c>
    </x:row>
    <x:row r="438">
      <x:c r="A438" t="str">
        <x:v>DW-0433</x:v>
      </x:c>
      <x:c r="B438" t="str">
        <x:v>DW-0433</x:v>
      </x:c>
      <x:c r="C438" t="str">
        <x:v>Parent historique</x:v>
      </x:c>
      <x:c r="D438" t="str">
        <x:v>Ports et activités nautiques</x:v>
      </x:c>
      <x:c r="E438" t="str">
        <x:v>Petit embarcadère</x:v>
      </x:c>
      <x:c r="F438" t="n">
        <x:v>10</x:v>
      </x:c>
      <x:c r="G438" t="n">
        <x:v>4</x:v>
      </x:c>
      <x:c r="H438" t="n">
        <x:v>12</x:v>
      </x:c>
      <x:c r="I438" t="str">
        <x:v>À qualifier par lieu</x:v>
      </x:c>
      <x:c r="J438" t="str">
        <x:v>https://github.com/darknigthmare/deadwall-last-enclosure/blob/e28f46223e73105ab2c5d83f3d50b99b58ef53e6/codex-3000/originaux/DEADWALL_CODEX_1.22/fiches/DW-0433.md</x:v>
      </x:c>
      <x:c r="K438" t="str">
        <x:v>Source min 80,55 m ; max 700,350 m ; modèle 80 × 55 m ; niveaux 0. Détails dans catalogue-existant.json.</x:v>
      </x:c>
    </x:row>
    <x:row r="439">
      <x:c r="A439" t="str">
        <x:v>DW-0434</x:v>
      </x:c>
      <x:c r="B439" t="str">
        <x:v>DW-0434</x:v>
      </x:c>
      <x:c r="C439" t="str">
        <x:v>Parent historique</x:v>
      </x:c>
      <x:c r="D439" t="str">
        <x:v>Ports et activités nautiques</x:v>
      </x:c>
      <x:c r="E439" t="str">
        <x:v>Base nautique de loisirs</x:v>
      </x:c>
      <x:c r="F439" t="n">
        <x:v>10</x:v>
      </x:c>
      <x:c r="G439" t="n">
        <x:v>4</x:v>
      </x:c>
      <x:c r="H439" t="n">
        <x:v>12</x:v>
      </x:c>
      <x:c r="I439" t="str">
        <x:v>À qualifier par lieu</x:v>
      </x:c>
      <x:c r="J439" t="str">
        <x:v>https://github.com/darknigthmare/deadwall-last-enclosure/blob/e28f46223e73105ab2c5d83f3d50b99b58ef53e6/codex-3000/originaux/DEADWALL_CODEX_1.22/fiches/DW-0434.md</x:v>
      </x:c>
      <x:c r="K439" t="str">
        <x:v>Source min 80,55 m ; max 700,350 m ; modèle 80 × 55 m ; niveaux 0. Détails dans catalogue-existant.json.</x:v>
      </x:c>
    </x:row>
    <x:row r="440">
      <x:c r="A440" t="str">
        <x:v>DW-0435</x:v>
      </x:c>
      <x:c r="B440" t="str">
        <x:v>DW-0435</x:v>
      </x:c>
      <x:c r="C440" t="str">
        <x:v>Parent historique</x:v>
      </x:c>
      <x:c r="D440" t="str">
        <x:v>Ports et activités nautiques</x:v>
      </x:c>
      <x:c r="E440" t="str">
        <x:v>Bateau-restaurant amarré</x:v>
      </x:c>
      <x:c r="F440" t="n">
        <x:v>10</x:v>
      </x:c>
      <x:c r="G440" t="n">
        <x:v>4</x:v>
      </x:c>
      <x:c r="H440" t="n">
        <x:v>10</x:v>
      </x:c>
      <x:c r="I440" t="str">
        <x:v>À qualifier par lieu</x:v>
      </x:c>
      <x:c r="J440" t="str">
        <x:v>https://github.com/darknigthmare/deadwall-last-enclosure/blob/e28f46223e73105ab2c5d83f3d50b99b58ef53e6/codex-3000/originaux/DEADWALL_CODEX_1.22/fiches/DW-0435.md</x:v>
      </x:c>
      <x:c r="K440" t="str">
        <x:v>Source min 80,55 m ; max 700,350 m ; modèle 80 × 55 m ; niveaux 0. Détails dans catalogue-existant.json.</x:v>
      </x:c>
    </x:row>
    <x:row r="441">
      <x:c r="A441" t="str">
        <x:v>DW-0436</x:v>
      </x:c>
      <x:c r="B441" t="str">
        <x:v>DW-0436</x:v>
      </x:c>
      <x:c r="C441" t="str">
        <x:v>Parent historique</x:v>
      </x:c>
      <x:c r="D441" t="str">
        <x:v>Ports et activités nautiques</x:v>
      </x:c>
      <x:c r="E441" t="str">
        <x:v>Phare côtier</x:v>
      </x:c>
      <x:c r="F441" t="n">
        <x:v>10</x:v>
      </x:c>
      <x:c r="G441" t="n">
        <x:v>4</x:v>
      </x:c>
      <x:c r="H441" t="n">
        <x:v>10</x:v>
      </x:c>
      <x:c r="I441" t="str">
        <x:v>À qualifier par lieu</x:v>
      </x:c>
      <x:c r="J441" t="str">
        <x:v>https://github.com/darknigthmare/deadwall-last-enclosure/blob/e28f46223e73105ab2c5d83f3d50b99b58ef53e6/codex-3000/originaux/DEADWALL_CODEX_1.22/fiches/DW-0436.md</x:v>
      </x:c>
      <x:c r="K441" t="str">
        <x:v>Source min 80,55 m ; max 700,350 m ; modèle 80 × 55 m ; niveaux 0. Détails dans catalogue-existant.json.</x:v>
      </x:c>
    </x:row>
    <x:row r="442">
      <x:c r="A442" t="str">
        <x:v>DW-0437</x:v>
      </x:c>
      <x:c r="B442" t="str">
        <x:v>DW-0437</x:v>
      </x:c>
      <x:c r="C442" t="str">
        <x:v>Parent historique</x:v>
      </x:c>
      <x:c r="D442" t="str">
        <x:v>Ports et activités nautiques</x:v>
      </x:c>
      <x:c r="E442" t="str">
        <x:v>Dépôt de dragage abandonné</x:v>
      </x:c>
      <x:c r="F442" t="n">
        <x:v>10</x:v>
      </x:c>
      <x:c r="G442" t="n">
        <x:v>4</x:v>
      </x:c>
      <x:c r="H442" t="n">
        <x:v>12</x:v>
      </x:c>
      <x:c r="I442" t="str">
        <x:v>À qualifier par lieu</x:v>
      </x:c>
      <x:c r="J442" t="str">
        <x:v>https://github.com/darknigthmare/deadwall-last-enclosure/blob/e28f46223e73105ab2c5d83f3d50b99b58ef53e6/codex-3000/originaux/DEADWALL_CODEX_1.22/fiches/DW-0437.md</x:v>
      </x:c>
      <x:c r="K442" t="str">
        <x:v>Source min 80,55 m ; max 700,350 m ; modèle 80 × 55 m ; niveaux 0. Détails dans catalogue-existant.json.</x:v>
      </x:c>
    </x:row>
    <x:row r="443">
      <x:c r="A443" t="str">
        <x:v>DW-0438</x:v>
      </x:c>
      <x:c r="B443" t="str">
        <x:v>DW-0438</x:v>
      </x:c>
      <x:c r="C443" t="str">
        <x:v>Parent historique</x:v>
      </x:c>
      <x:c r="D443" t="str">
        <x:v>Ports et activités nautiques</x:v>
      </x:c>
      <x:c r="E443" t="str">
        <x:v>Port sec intérieur</x:v>
      </x:c>
      <x:c r="F443" t="n">
        <x:v>10</x:v>
      </x:c>
      <x:c r="G443" t="n">
        <x:v>4</x:v>
      </x:c>
      <x:c r="H443" t="n">
        <x:v>12</x:v>
      </x:c>
      <x:c r="I443" t="str">
        <x:v>À qualifier par lieu</x:v>
      </x:c>
      <x:c r="J443" t="str">
        <x:v>https://github.com/darknigthmare/deadwall-last-enclosure/blob/e28f46223e73105ab2c5d83f3d50b99b58ef53e6/codex-3000/originaux/DEADWALL_CODEX_1.22/fiches/DW-0438.md</x:v>
      </x:c>
      <x:c r="K443" t="str">
        <x:v>Source min 80,55 m ; max 700,350 m ; modèle 80 × 55 m ; niveaux 0. Détails dans catalogue-existant.json.</x:v>
      </x:c>
    </x:row>
    <x:row r="444">
      <x:c r="A444" t="str">
        <x:v>DW-0439</x:v>
      </x:c>
      <x:c r="B444" t="str">
        <x:v>DW-0439</x:v>
      </x:c>
      <x:c r="C444" t="str">
        <x:v>Parent historique</x:v>
      </x:c>
      <x:c r="D444" t="str">
        <x:v>Ports et activités nautiques</x:v>
      </x:c>
      <x:c r="E444" t="str">
        <x:v>Marina sinistrée</x:v>
      </x:c>
      <x:c r="F444" t="n">
        <x:v>10</x:v>
      </x:c>
      <x:c r="G444" t="n">
        <x:v>4</x:v>
      </x:c>
      <x:c r="H444" t="n">
        <x:v>12</x:v>
      </x:c>
      <x:c r="I444" t="str">
        <x:v>À qualifier par lieu</x:v>
      </x:c>
      <x:c r="J444" t="str">
        <x:v>https://github.com/darknigthmare/deadwall-last-enclosure/blob/e28f46223e73105ab2c5d83f3d50b99b58ef53e6/codex-3000/originaux/DEADWALL_CODEX_1.22/fiches/DW-0439.md</x:v>
      </x:c>
      <x:c r="K444" t="str">
        <x:v>Source min 80,55 m ; max 700,350 m ; modèle 80 × 55 m ; niveaux 0. Détails dans catalogue-existant.json.</x:v>
      </x:c>
    </x:row>
    <x:row r="445">
      <x:c r="A445" t="str">
        <x:v>DW-0440</x:v>
      </x:c>
      <x:c r="B445" t="str">
        <x:v>DW-0440</x:v>
      </x:c>
      <x:c r="C445" t="str">
        <x:v>Parent historique</x:v>
      </x:c>
      <x:c r="D445" t="str">
        <x:v>Ports et activités nautiques</x:v>
      </x:c>
      <x:c r="E445" t="str">
        <x:v>Hameau lacustre</x:v>
      </x:c>
      <x:c r="F445" t="n">
        <x:v>10</x:v>
      </x:c>
      <x:c r="G445" t="n">
        <x:v>4</x:v>
      </x:c>
      <x:c r="H445" t="n">
        <x:v>12</x:v>
      </x:c>
      <x:c r="I445" t="str">
        <x:v>À qualifier par lieu</x:v>
      </x:c>
      <x:c r="J445" t="str">
        <x:v>https://github.com/darknigthmare/deadwall-last-enclosure/blob/e28f46223e73105ab2c5d83f3d50b99b58ef53e6/codex-3000/originaux/DEADWALL_CODEX_1.22/fiches/DW-0440.md</x:v>
      </x:c>
      <x:c r="K445" t="str">
        <x:v>Source min 80,55 m ; max 700,350 m ; modèle 80 × 55 m ; niveaux 0. Détails dans catalogue-existant.json.</x:v>
      </x:c>
    </x:row>
    <x:row r="446">
      <x:c r="A446" t="str">
        <x:v>DW-0441</x:v>
      </x:c>
      <x:c r="B446" t="str">
        <x:v>DW-0441</x:v>
      </x:c>
      <x:c r="C446" t="str">
        <x:v>Parent historique</x:v>
      </x:c>
      <x:c r="D446" t="str">
        <x:v>Loisirs et culture</x:v>
      </x:c>
      <x:c r="E446" t="str">
        <x:v>Parc urbain</x:v>
      </x:c>
      <x:c r="F446" t="n">
        <x:v>8</x:v>
      </x:c>
      <x:c r="G446" t="n">
        <x:v>4</x:v>
      </x:c>
      <x:c r="H446" t="n">
        <x:v>10</x:v>
      </x:c>
      <x:c r="I446" t="str">
        <x:v>À qualifier par lieu</x:v>
      </x:c>
      <x:c r="J446" t="str">
        <x:v>https://github.com/darknigthmare/deadwall-last-enclosure/blob/e28f46223e73105ab2c5d83f3d50b99b58ef53e6/codex-3000/originaux/DEADWALL_CODEX_1.22/fiches/DW-0441.md</x:v>
      </x:c>
      <x:c r="K446" t="str">
        <x:v>Source min 40,28 m ; max 300,200 m ; modèle 40 × 28 m ; niveaux 0. Détails dans catalogue-existant.json.</x:v>
      </x:c>
    </x:row>
    <x:row r="447">
      <x:c r="A447" t="str">
        <x:v>DW-0442</x:v>
      </x:c>
      <x:c r="B447" t="str">
        <x:v>DW-0442</x:v>
      </x:c>
      <x:c r="C447" t="str">
        <x:v>Parent historique</x:v>
      </x:c>
      <x:c r="D447" t="str">
        <x:v>Loisirs et culture</x:v>
      </x:c>
      <x:c r="E447" t="str">
        <x:v>Terrain de football</x:v>
      </x:c>
      <x:c r="F447" t="n">
        <x:v>8</x:v>
      </x:c>
      <x:c r="G447" t="n">
        <x:v>4</x:v>
      </x:c>
      <x:c r="H447" t="n">
        <x:v>12</x:v>
      </x:c>
      <x:c r="I447" t="str">
        <x:v>À qualifier par lieu</x:v>
      </x:c>
      <x:c r="J447" t="str">
        <x:v>https://github.com/darknigthmare/deadwall-last-enclosure/blob/e28f46223e73105ab2c5d83f3d50b99b58ef53e6/codex-3000/originaux/DEADWALL_CODEX_1.22/fiches/DW-0442.md</x:v>
      </x:c>
      <x:c r="K447" t="str">
        <x:v>Source min 40,28 m ; max 300,200 m ; modèle 40 × 28 m ; niveaux 0. Détails dans catalogue-existant.json.</x:v>
      </x:c>
    </x:row>
    <x:row r="448">
      <x:c r="A448" t="str">
        <x:v>DW-0443</x:v>
      </x:c>
      <x:c r="B448" t="str">
        <x:v>DW-0443</x:v>
      </x:c>
      <x:c r="C448" t="str">
        <x:v>Parent historique</x:v>
      </x:c>
      <x:c r="D448" t="str">
        <x:v>Loisirs et culture</x:v>
      </x:c>
      <x:c r="E448" t="str">
        <x:v>Stade municipal</x:v>
      </x:c>
      <x:c r="F448" t="n">
        <x:v>8</x:v>
      </x:c>
      <x:c r="G448" t="n">
        <x:v>4</x:v>
      </x:c>
      <x:c r="H448" t="n">
        <x:v>10</x:v>
      </x:c>
      <x:c r="I448" t="str">
        <x:v>À qualifier par lieu</x:v>
      </x:c>
      <x:c r="J448" t="str">
        <x:v>https://github.com/darknigthmare/deadwall-last-enclosure/blob/e28f46223e73105ab2c5d83f3d50b99b58ef53e6/codex-3000/originaux/DEADWALL_CODEX_1.22/fiches/DW-0443.md</x:v>
      </x:c>
      <x:c r="K448" t="str">
        <x:v>Source min 40,28 m ; max 300,200 m ; modèle 40 × 28 m ; niveaux 0. Détails dans catalogue-existant.json.</x:v>
      </x:c>
    </x:row>
    <x:row r="449">
      <x:c r="A449" t="str">
        <x:v>DW-0444</x:v>
      </x:c>
      <x:c r="B449" t="str">
        <x:v>DW-0444</x:v>
      </x:c>
      <x:c r="C449" t="str">
        <x:v>Parent historique</x:v>
      </x:c>
      <x:c r="D449" t="str">
        <x:v>Loisirs et culture</x:v>
      </x:c>
      <x:c r="E449" t="str">
        <x:v>Gymnase</x:v>
      </x:c>
      <x:c r="F449" t="n">
        <x:v>8</x:v>
      </x:c>
      <x:c r="G449" t="n">
        <x:v>4</x:v>
      </x:c>
      <x:c r="H449" t="n">
        <x:v>12</x:v>
      </x:c>
      <x:c r="I449" t="str">
        <x:v>À qualifier par lieu</x:v>
      </x:c>
      <x:c r="J449" t="str">
        <x:v>https://github.com/darknigthmare/deadwall-last-enclosure/blob/e28f46223e73105ab2c5d83f3d50b99b58ef53e6/codex-3000/originaux/DEADWALL_CODEX_1.22/fiches/DW-0444.md</x:v>
      </x:c>
      <x:c r="K449" t="str">
        <x:v>Source min 40,28 m ; max 300,200 m ; modèle 40 × 28 m ; niveaux 0. Détails dans catalogue-existant.json.</x:v>
      </x:c>
    </x:row>
    <x:row r="450">
      <x:c r="A450" t="str">
        <x:v>DW-0445</x:v>
      </x:c>
      <x:c r="B450" t="str">
        <x:v>DW-0445</x:v>
      </x:c>
      <x:c r="C450" t="str">
        <x:v>Parent historique</x:v>
      </x:c>
      <x:c r="D450" t="str">
        <x:v>Loisirs et culture</x:v>
      </x:c>
      <x:c r="E450" t="str">
        <x:v>Piscine municipale</x:v>
      </x:c>
      <x:c r="F450" t="n">
        <x:v>8</x:v>
      </x:c>
      <x:c r="G450" t="n">
        <x:v>5</x:v>
      </x:c>
      <x:c r="H450" t="n">
        <x:v>15</x:v>
      </x:c>
      <x:c r="I450" t="str">
        <x:v>À qualifier par lieu</x:v>
      </x:c>
      <x:c r="J450" t="str">
        <x:v>https://github.com/darknigthmare/deadwall-last-enclosure/blob/e28f46223e73105ab2c5d83f3d50b99b58ef53e6/codex-3000/originaux/DEADWALL_CODEX_1.22/fiches/DW-0445.md</x:v>
      </x:c>
      <x:c r="K450" t="str">
        <x:v>Source min 40,28 m ; max 300,200 m ; modèle 40 × 28 m ; niveaux 0. Détails dans catalogue-existant.json.</x:v>
      </x:c>
    </x:row>
    <x:row r="451">
      <x:c r="A451" t="str">
        <x:v>DW-0446</x:v>
      </x:c>
      <x:c r="B451" t="str">
        <x:v>DW-0446</x:v>
      </x:c>
      <x:c r="C451" t="str">
        <x:v>Parent historique</x:v>
      </x:c>
      <x:c r="D451" t="str">
        <x:v>Loisirs et culture</x:v>
      </x:c>
      <x:c r="E451" t="str">
        <x:v>Cinéma multiplexe</x:v>
      </x:c>
      <x:c r="F451" t="n">
        <x:v>8</x:v>
      </x:c>
      <x:c r="G451" t="n">
        <x:v>5</x:v>
      </x:c>
      <x:c r="H451" t="n">
        <x:v>15</x:v>
      </x:c>
      <x:c r="I451" t="str">
        <x:v>À qualifier par lieu</x:v>
      </x:c>
      <x:c r="J451" t="str">
        <x:v>https://github.com/darknigthmare/deadwall-last-enclosure/blob/e28f46223e73105ab2c5d83f3d50b99b58ef53e6/codex-3000/originaux/DEADWALL_CODEX_1.22/fiches/DW-0446.md</x:v>
      </x:c>
      <x:c r="K451" t="str">
        <x:v>Source min 40,28 m ; max 300,200 m ; modèle 40 × 28 m ; niveaux 0. Détails dans catalogue-existant.json.</x:v>
      </x:c>
    </x:row>
    <x:row r="452">
      <x:c r="A452" t="str">
        <x:v>DW-0447</x:v>
      </x:c>
      <x:c r="B452" t="str">
        <x:v>DW-0447</x:v>
      </x:c>
      <x:c r="C452" t="str">
        <x:v>Parent historique</x:v>
      </x:c>
      <x:c r="D452" t="str">
        <x:v>Loisirs et culture</x:v>
      </x:c>
      <x:c r="E452" t="str">
        <x:v>Cinéma de quartier</x:v>
      </x:c>
      <x:c r="F452" t="n">
        <x:v>8</x:v>
      </x:c>
      <x:c r="G452" t="n">
        <x:v>4</x:v>
      </x:c>
      <x:c r="H452" t="n">
        <x:v>12</x:v>
      </x:c>
      <x:c r="I452" t="str">
        <x:v>À qualifier par lieu</x:v>
      </x:c>
      <x:c r="J452" t="str">
        <x:v>https://github.com/darknigthmare/deadwall-last-enclosure/blob/e28f46223e73105ab2c5d83f3d50b99b58ef53e6/codex-3000/originaux/DEADWALL_CODEX_1.22/fiches/DW-0447.md</x:v>
      </x:c>
      <x:c r="K452" t="str">
        <x:v>Source min 40,28 m ; max 300,200 m ; modèle 40 × 28 m ; niveaux 0. Détails dans catalogue-existant.json.</x:v>
      </x:c>
    </x:row>
    <x:row r="453">
      <x:c r="A453" t="str">
        <x:v>DW-0448</x:v>
      </x:c>
      <x:c r="B453" t="str">
        <x:v>DW-0448</x:v>
      </x:c>
      <x:c r="C453" t="str">
        <x:v>Parent historique</x:v>
      </x:c>
      <x:c r="D453" t="str">
        <x:v>Loisirs et culture</x:v>
      </x:c>
      <x:c r="E453" t="str">
        <x:v>Théâtre</x:v>
      </x:c>
      <x:c r="F453" t="n">
        <x:v>8</x:v>
      </x:c>
      <x:c r="G453" t="n">
        <x:v>5</x:v>
      </x:c>
      <x:c r="H453" t="n">
        <x:v>15</x:v>
      </x:c>
      <x:c r="I453" t="str">
        <x:v>À qualifier par lieu</x:v>
      </x:c>
      <x:c r="J453" t="str">
        <x:v>https://github.com/darknigthmare/deadwall-last-enclosure/blob/e28f46223e73105ab2c5d83f3d50b99b58ef53e6/codex-3000/originaux/DEADWALL_CODEX_1.22/fiches/DW-0448.md</x:v>
      </x:c>
      <x:c r="K453" t="str">
        <x:v>Source min 40,28 m ; max 300,200 m ; modèle 40 × 28 m ; niveaux 0. Détails dans catalogue-existant.json.</x:v>
      </x:c>
    </x:row>
    <x:row r="454">
      <x:c r="A454" t="str">
        <x:v>DW-0449</x:v>
      </x:c>
      <x:c r="B454" t="str">
        <x:v>DW-0449</x:v>
      </x:c>
      <x:c r="C454" t="str">
        <x:v>Parent historique</x:v>
      </x:c>
      <x:c r="D454" t="str">
        <x:v>Loisirs et culture</x:v>
      </x:c>
      <x:c r="E454" t="str">
        <x:v>Salle de concert</x:v>
      </x:c>
      <x:c r="F454" t="n">
        <x:v>8</x:v>
      </x:c>
      <x:c r="G454" t="n">
        <x:v>5</x:v>
      </x:c>
      <x:c r="H454" t="n">
        <x:v>15</x:v>
      </x:c>
      <x:c r="I454" t="str">
        <x:v>À qualifier par lieu</x:v>
      </x:c>
      <x:c r="J454" t="str">
        <x:v>https://github.com/darknigthmare/deadwall-last-enclosure/blob/e28f46223e73105ab2c5d83f3d50b99b58ef53e6/codex-3000/originaux/DEADWALL_CODEX_1.22/fiches/DW-0449.md</x:v>
      </x:c>
      <x:c r="K454" t="str">
        <x:v>Source min 40,28 m ; max 300,200 m ; modèle 40 × 28 m ; niveaux 0. Détails dans catalogue-existant.json.</x:v>
      </x:c>
    </x:row>
    <x:row r="455">
      <x:c r="A455" t="str">
        <x:v>DW-0450</x:v>
      </x:c>
      <x:c r="B455" t="str">
        <x:v>DW-0450</x:v>
      </x:c>
      <x:c r="C455" t="str">
        <x:v>Parent historique</x:v>
      </x:c>
      <x:c r="D455" t="str">
        <x:v>Loisirs et culture</x:v>
      </x:c>
      <x:c r="E455" t="str">
        <x:v>Musée local</x:v>
      </x:c>
      <x:c r="F455" t="n">
        <x:v>8</x:v>
      </x:c>
      <x:c r="G455" t="n">
        <x:v>4</x:v>
      </x:c>
      <x:c r="H455" t="n">
        <x:v>12</x:v>
      </x:c>
      <x:c r="I455" t="str">
        <x:v>À qualifier par lieu</x:v>
      </x:c>
      <x:c r="J455" t="str">
        <x:v>https://github.com/darknigthmare/deadwall-last-enclosure/blob/e28f46223e73105ab2c5d83f3d50b99b58ef53e6/codex-3000/originaux/DEADWALL_CODEX_1.22/fiches/DW-0450.md</x:v>
      </x:c>
      <x:c r="K455" t="str">
        <x:v>Source min 40,28 m ; max 300,200 m ; modèle 40 × 28 m ; niveaux 0. Détails dans catalogue-existant.json.</x:v>
      </x:c>
    </x:row>
    <x:row r="456">
      <x:c r="A456" t="str">
        <x:v>DW-0451</x:v>
      </x:c>
      <x:c r="B456" t="str">
        <x:v>DW-0451</x:v>
      </x:c>
      <x:c r="C456" t="str">
        <x:v>Parent historique</x:v>
      </x:c>
      <x:c r="D456" t="str">
        <x:v>Loisirs et culture</x:v>
      </x:c>
      <x:c r="E456" t="str">
        <x:v>Musée industriel</x:v>
      </x:c>
      <x:c r="F456" t="n">
        <x:v>8</x:v>
      </x:c>
      <x:c r="G456" t="n">
        <x:v>4</x:v>
      </x:c>
      <x:c r="H456" t="n">
        <x:v>10</x:v>
      </x:c>
      <x:c r="I456" t="str">
        <x:v>À qualifier par lieu</x:v>
      </x:c>
      <x:c r="J456" t="str">
        <x:v>https://github.com/darknigthmare/deadwall-last-enclosure/blob/e28f46223e73105ab2c5d83f3d50b99b58ef53e6/codex-3000/originaux/DEADWALL_CODEX_1.22/fiches/DW-0451.md</x:v>
      </x:c>
      <x:c r="K456" t="str">
        <x:v>Source min 40,28 m ; max 300,200 m ; modèle 40 × 28 m ; niveaux 0. Détails dans catalogue-existant.json.</x:v>
      </x:c>
    </x:row>
    <x:row r="457">
      <x:c r="A457" t="str">
        <x:v>DW-0452</x:v>
      </x:c>
      <x:c r="B457" t="str">
        <x:v>DW-0452</x:v>
      </x:c>
      <x:c r="C457" t="str">
        <x:v>Parent historique</x:v>
      </x:c>
      <x:c r="D457" t="str">
        <x:v>Loisirs et culture</x:v>
      </x:c>
      <x:c r="E457" t="str">
        <x:v>Parc d'attractions abandonné</x:v>
      </x:c>
      <x:c r="F457" t="n">
        <x:v>8</x:v>
      </x:c>
      <x:c r="G457" t="n">
        <x:v>4</x:v>
      </x:c>
      <x:c r="H457" t="n">
        <x:v>10</x:v>
      </x:c>
      <x:c r="I457" t="str">
        <x:v>À qualifier par lieu</x:v>
      </x:c>
      <x:c r="J457" t="str">
        <x:v>https://github.com/darknigthmare/deadwall-last-enclosure/blob/e28f46223e73105ab2c5d83f3d50b99b58ef53e6/codex-3000/originaux/DEADWALL_CODEX_1.22/fiches/DW-0452.md</x:v>
      </x:c>
      <x:c r="K457" t="str">
        <x:v>Source min 40,28 m ; max 300,200 m ; modèle 40 × 28 m ; niveaux 0. Détails dans catalogue-existant.json.</x:v>
      </x:c>
    </x:row>
    <x:row r="458">
      <x:c r="A458" t="str">
        <x:v>DW-0453</x:v>
      </x:c>
      <x:c r="B458" t="str">
        <x:v>DW-0453</x:v>
      </x:c>
      <x:c r="C458" t="str">
        <x:v>Parent historique</x:v>
      </x:c>
      <x:c r="D458" t="str">
        <x:v>Loisirs et culture</x:v>
      </x:c>
      <x:c r="E458" t="str">
        <x:v>Fête foraine démontée</x:v>
      </x:c>
      <x:c r="F458" t="n">
        <x:v>8</x:v>
      </x:c>
      <x:c r="G458" t="n">
        <x:v>4</x:v>
      </x:c>
      <x:c r="H458" t="n">
        <x:v>12</x:v>
      </x:c>
      <x:c r="I458" t="str">
        <x:v>À qualifier par lieu</x:v>
      </x:c>
      <x:c r="J458" t="str">
        <x:v>https://github.com/darknigthmare/deadwall-last-enclosure/blob/e28f46223e73105ab2c5d83f3d50b99b58ef53e6/codex-3000/originaux/DEADWALL_CODEX_1.22/fiches/DW-0453.md</x:v>
      </x:c>
      <x:c r="K458" t="str">
        <x:v>Source min 40,28 m ; max 300,200 m ; modèle 40 × 28 m ; niveaux 0. Détails dans catalogue-existant.json.</x:v>
      </x:c>
    </x:row>
    <x:row r="459">
      <x:c r="A459" t="str">
        <x:v>DW-0454</x:v>
      </x:c>
      <x:c r="B459" t="str">
        <x:v>DW-0454</x:v>
      </x:c>
      <x:c r="C459" t="str">
        <x:v>Parent historique</x:v>
      </x:c>
      <x:c r="D459" t="str">
        <x:v>Loisirs et culture</x:v>
      </x:c>
      <x:c r="E459" t="str">
        <x:v>Campement de clairière</x:v>
      </x:c>
      <x:c r="F459" t="n">
        <x:v>8</x:v>
      </x:c>
      <x:c r="G459" t="n">
        <x:v>4</x:v>
      </x:c>
      <x:c r="H459" t="n">
        <x:v>12</x:v>
      </x:c>
      <x:c r="I459" t="str">
        <x:v>À qualifier par lieu</x:v>
      </x:c>
      <x:c r="J459" t="str">
        <x:v>https://github.com/darknigthmare/deadwall-last-enclosure/blob/e28f46223e73105ab2c5d83f3d50b99b58ef53e6/codex-3000/originaux/DEADWALL_CODEX_1.22/fiches/DW-0454.md</x:v>
      </x:c>
      <x:c r="K459" t="str">
        <x:v>Source min 40,28 m ; max 300,200 m ; modèle 40 × 28 m ; niveaux 0. Détails dans catalogue-existant.json.</x:v>
      </x:c>
    </x:row>
    <x:row r="460">
      <x:c r="A460" t="str">
        <x:v>DW-0455</x:v>
      </x:c>
      <x:c r="B460" t="str">
        <x:v>DW-0455</x:v>
      </x:c>
      <x:c r="C460" t="str">
        <x:v>Parent historique</x:v>
      </x:c>
      <x:c r="D460" t="str">
        <x:v>Loisirs et culture</x:v>
      </x:c>
      <x:c r="E460" t="str">
        <x:v>Base de scoutisme</x:v>
      </x:c>
      <x:c r="F460" t="n">
        <x:v>8</x:v>
      </x:c>
      <x:c r="G460" t="n">
        <x:v>4</x:v>
      </x:c>
      <x:c r="H460" t="n">
        <x:v>12</x:v>
      </x:c>
      <x:c r="I460" t="str">
        <x:v>À qualifier par lieu</x:v>
      </x:c>
      <x:c r="J460" t="str">
        <x:v>https://github.com/darknigthmare/deadwall-last-enclosure/blob/e28f46223e73105ab2c5d83f3d50b99b58ef53e6/codex-3000/originaux/DEADWALL_CODEX_1.22/fiches/DW-0455.md</x:v>
      </x:c>
      <x:c r="K460" t="str">
        <x:v>Source min 40,28 m ; max 300,200 m ; modèle 40 × 28 m ; niveaux 0. Détails dans catalogue-existant.json.</x:v>
      </x:c>
    </x:row>
    <x:row r="461">
      <x:c r="A461" t="str">
        <x:v>DW-0456</x:v>
      </x:c>
      <x:c r="B461" t="str">
        <x:v>DW-0456</x:v>
      </x:c>
      <x:c r="C461" t="str">
        <x:v>Parent historique</x:v>
      </x:c>
      <x:c r="D461" t="str">
        <x:v>Loisirs et culture</x:v>
      </x:c>
      <x:c r="E461" t="str">
        <x:v>Club de tennis</x:v>
      </x:c>
      <x:c r="F461" t="n">
        <x:v>8</x:v>
      </x:c>
      <x:c r="G461" t="n">
        <x:v>4</x:v>
      </x:c>
      <x:c r="H461" t="n">
        <x:v>12</x:v>
      </x:c>
      <x:c r="I461" t="str">
        <x:v>À qualifier par lieu</x:v>
      </x:c>
      <x:c r="J461" t="str">
        <x:v>https://github.com/darknigthmare/deadwall-last-enclosure/blob/e28f46223e73105ab2c5d83f3d50b99b58ef53e6/codex-3000/originaux/DEADWALL_CODEX_1.22/fiches/DW-0456.md</x:v>
      </x:c>
      <x:c r="K461" t="str">
        <x:v>Source min 40,28 m ; max 300,200 m ; modèle 40 × 28 m ; niveaux 0. Détails dans catalogue-existant.json.</x:v>
      </x:c>
    </x:row>
    <x:row r="462">
      <x:c r="A462" t="str">
        <x:v>DW-0457</x:v>
      </x:c>
      <x:c r="B462" t="str">
        <x:v>DW-0457</x:v>
      </x:c>
      <x:c r="C462" t="str">
        <x:v>Parent historique</x:v>
      </x:c>
      <x:c r="D462" t="str">
        <x:v>Loisirs et culture</x:v>
      </x:c>
      <x:c r="E462" t="str">
        <x:v>Bowling</x:v>
      </x:c>
      <x:c r="F462" t="n">
        <x:v>8</x:v>
      </x:c>
      <x:c r="G462" t="n">
        <x:v>4</x:v>
      </x:c>
      <x:c r="H462" t="n">
        <x:v>12</x:v>
      </x:c>
      <x:c r="I462" t="str">
        <x:v>À qualifier par lieu</x:v>
      </x:c>
      <x:c r="J462" t="str">
        <x:v>https://github.com/darknigthmare/deadwall-last-enclosure/blob/e28f46223e73105ab2c5d83f3d50b99b58ef53e6/codex-3000/originaux/DEADWALL_CODEX_1.22/fiches/DW-0457.md</x:v>
      </x:c>
      <x:c r="K462" t="str">
        <x:v>Source min 40,28 m ; max 300,200 m ; modèle 40 × 28 m ; niveaux 0. Détails dans catalogue-existant.json.</x:v>
      </x:c>
    </x:row>
    <x:row r="463">
      <x:c r="A463" t="str">
        <x:v>DW-0458</x:v>
      </x:c>
      <x:c r="B463" t="str">
        <x:v>DW-0458</x:v>
      </x:c>
      <x:c r="C463" t="str">
        <x:v>Parent historique</x:v>
      </x:c>
      <x:c r="D463" t="str">
        <x:v>Loisirs et culture</x:v>
      </x:c>
      <x:c r="E463" t="str">
        <x:v>Salle d'arcade</x:v>
      </x:c>
      <x:c r="F463" t="n">
        <x:v>8</x:v>
      </x:c>
      <x:c r="G463" t="n">
        <x:v>4</x:v>
      </x:c>
      <x:c r="H463" t="n">
        <x:v>12</x:v>
      </x:c>
      <x:c r="I463" t="str">
        <x:v>À qualifier par lieu</x:v>
      </x:c>
      <x:c r="J463" t="str">
        <x:v>https://github.com/darknigthmare/deadwall-last-enclosure/blob/e28f46223e73105ab2c5d83f3d50b99b58ef53e6/codex-3000/originaux/DEADWALL_CODEX_1.22/fiches/DW-0458.md</x:v>
      </x:c>
      <x:c r="K463" t="str">
        <x:v>Source min 40,28 m ; max 300,200 m ; modèle 40 × 28 m ; niveaux 0. Détails dans catalogue-existant.json.</x:v>
      </x:c>
    </x:row>
    <x:row r="464">
      <x:c r="A464" t="str">
        <x:v>DW-0459</x:v>
      </x:c>
      <x:c r="B464" t="str">
        <x:v>DW-0459</x:v>
      </x:c>
      <x:c r="C464" t="str">
        <x:v>Parent historique</x:v>
      </x:c>
      <x:c r="D464" t="str">
        <x:v>Loisirs et culture</x:v>
      </x:c>
      <x:c r="E464" t="str">
        <x:v>Jardin botanique</x:v>
      </x:c>
      <x:c r="F464" t="n">
        <x:v>8</x:v>
      </x:c>
      <x:c r="G464" t="n">
        <x:v>4</x:v>
      </x:c>
      <x:c r="H464" t="n">
        <x:v>12</x:v>
      </x:c>
      <x:c r="I464" t="str">
        <x:v>À qualifier par lieu</x:v>
      </x:c>
      <x:c r="J464" t="str">
        <x:v>https://github.com/darknigthmare/deadwall-last-enclosure/blob/e28f46223e73105ab2c5d83f3d50b99b58ef53e6/codex-3000/originaux/DEADWALL_CODEX_1.22/fiches/DW-0459.md</x:v>
      </x:c>
      <x:c r="K464" t="str">
        <x:v>Source min 40,28 m ; max 300,200 m ; modèle 40 × 28 m ; niveaux 0. Détails dans catalogue-existant.json.</x:v>
      </x:c>
    </x:row>
    <x:row r="465">
      <x:c r="A465" t="str">
        <x:v>DW-0460</x:v>
      </x:c>
      <x:c r="B465" t="str">
        <x:v>DW-0460</x:v>
      </x:c>
      <x:c r="C465" t="str">
        <x:v>Parent historique</x:v>
      </x:c>
      <x:c r="D465" t="str">
        <x:v>Loisirs et culture</x:v>
      </x:c>
      <x:c r="E465" t="str">
        <x:v>Cimetière paysager</x:v>
      </x:c>
      <x:c r="F465" t="n">
        <x:v>8</x:v>
      </x:c>
      <x:c r="G465" t="n">
        <x:v>4</x:v>
      </x:c>
      <x:c r="H465" t="n">
        <x:v>10</x:v>
      </x:c>
      <x:c r="I465" t="str">
        <x:v>À qualifier par lieu</x:v>
      </x:c>
      <x:c r="J465" t="str">
        <x:v>https://github.com/darknigthmare/deadwall-last-enclosure/blob/e28f46223e73105ab2c5d83f3d50b99b58ef53e6/codex-3000/originaux/DEADWALL_CODEX_1.22/fiches/DW-0460.md</x:v>
      </x:c>
      <x:c r="K465" t="str">
        <x:v>Source min 40,28 m ; max 300,200 m ; modèle 40 × 28 m ; niveaux 0. Détails dans catalogue-existant.json.</x:v>
      </x:c>
    </x:row>
    <x:row r="466">
      <x:c r="A466" t="str">
        <x:v>DW-0461</x:v>
      </x:c>
      <x:c r="B466" t="str">
        <x:v>DW-0461</x:v>
      </x:c>
      <x:c r="C466" t="str">
        <x:v>Parent historique</x:v>
      </x:c>
      <x:c r="D466" t="str">
        <x:v>Quartiers et agglomérations</x:v>
      </x:c>
      <x:c r="E466" t="str">
        <x:v>Village-rue</x:v>
      </x:c>
      <x:c r="F466" t="n">
        <x:v>10</x:v>
      </x:c>
      <x:c r="G466" t="n">
        <x:v>5</x:v>
      </x:c>
      <x:c r="H466" t="n">
        <x:v>15</x:v>
      </x:c>
      <x:c r="I466" t="str">
        <x:v>À qualifier par lieu</x:v>
      </x:c>
      <x:c r="J466" t="str">
        <x:v>https://github.com/darknigthmare/deadwall-last-enclosure/blob/e28f46223e73105ab2c5d83f3d50b99b58ef53e6/codex-3000/originaux/DEADWALL_CODEX_1.22/fiches/DW-0461.md</x:v>
      </x:c>
      <x:c r="K466" t="str">
        <x:v>Source min 250,200 m ; max 1200,900 m ; modèle 250 × 200 m ; niveaux 0. Détails dans catalogue-existant.json.</x:v>
      </x:c>
    </x:row>
    <x:row r="467">
      <x:c r="A467" t="str">
        <x:v>DW-0462</x:v>
      </x:c>
      <x:c r="B467" t="str">
        <x:v>DW-0462</x:v>
      </x:c>
      <x:c r="C467" t="str">
        <x:v>Parent historique</x:v>
      </x:c>
      <x:c r="D467" t="str">
        <x:v>Quartiers et agglomérations</x:v>
      </x:c>
      <x:c r="E467" t="str">
        <x:v>Village autour d'une place</x:v>
      </x:c>
      <x:c r="F467" t="n">
        <x:v>10</x:v>
      </x:c>
      <x:c r="G467" t="n">
        <x:v>5</x:v>
      </x:c>
      <x:c r="H467" t="n">
        <x:v>15</x:v>
      </x:c>
      <x:c r="I467" t="str">
        <x:v>À qualifier par lieu</x:v>
      </x:c>
      <x:c r="J467" t="str">
        <x:v>https://github.com/darknigthmare/deadwall-last-enclosure/blob/e28f46223e73105ab2c5d83f3d50b99b58ef53e6/codex-3000/originaux/DEADWALL_CODEX_1.22/fiches/DW-0462.md</x:v>
      </x:c>
      <x:c r="K467" t="str">
        <x:v>Source min 250,200 m ; max 1200,900 m ; modèle 250 × 200 m ; niveaux 0. Détails dans catalogue-existant.json.</x:v>
      </x:c>
    </x:row>
    <x:row r="468">
      <x:c r="A468" t="str">
        <x:v>DW-0463</x:v>
      </x:c>
      <x:c r="B468" t="str">
        <x:v>DW-0463</x:v>
      </x:c>
      <x:c r="C468" t="str">
        <x:v>Parent historique</x:v>
      </x:c>
      <x:c r="D468" t="str">
        <x:v>Quartiers et agglomérations</x:v>
      </x:c>
      <x:c r="E468" t="str">
        <x:v>Village agricole dispersé</x:v>
      </x:c>
      <x:c r="F468" t="n">
        <x:v>10</x:v>
      </x:c>
      <x:c r="G468" t="n">
        <x:v>4</x:v>
      </x:c>
      <x:c r="H468" t="n">
        <x:v>12</x:v>
      </x:c>
      <x:c r="I468" t="str">
        <x:v>À qualifier par lieu</x:v>
      </x:c>
      <x:c r="J468" t="str">
        <x:v>https://github.com/darknigthmare/deadwall-last-enclosure/blob/e28f46223e73105ab2c5d83f3d50b99b58ef53e6/codex-3000/originaux/DEADWALL_CODEX_1.22/fiches/DW-0463.md</x:v>
      </x:c>
      <x:c r="K468" t="str">
        <x:v>Source min 250,200 m ; max 1200,900 m ; modèle 250 × 200 m ; niveaux 0. Détails dans catalogue-existant.json.</x:v>
      </x:c>
    </x:row>
    <x:row r="469">
      <x:c r="A469" t="str">
        <x:v>DW-0464</x:v>
      </x:c>
      <x:c r="B469" t="str">
        <x:v>DW-0464</x:v>
      </x:c>
      <x:c r="C469" t="str">
        <x:v>Parent historique</x:v>
      </x:c>
      <x:c r="D469" t="str">
        <x:v>Quartiers et agglomérations</x:v>
      </x:c>
      <x:c r="E469" t="str">
        <x:v>Village perché</x:v>
      </x:c>
      <x:c r="F469" t="n">
        <x:v>10</x:v>
      </x:c>
      <x:c r="G469" t="n">
        <x:v>4</x:v>
      </x:c>
      <x:c r="H469" t="n">
        <x:v>10</x:v>
      </x:c>
      <x:c r="I469" t="str">
        <x:v>À qualifier par lieu</x:v>
      </x:c>
      <x:c r="J469" t="str">
        <x:v>https://github.com/darknigthmare/deadwall-last-enclosure/blob/e28f46223e73105ab2c5d83f3d50b99b58ef53e6/codex-3000/originaux/DEADWALL_CODEX_1.22/fiches/DW-0464.md</x:v>
      </x:c>
      <x:c r="K469" t="str">
        <x:v>Source min 250,200 m ; max 1200,900 m ; modèle 250 × 200 m ; niveaux 0. Détails dans catalogue-existant.json.</x:v>
      </x:c>
    </x:row>
    <x:row r="470">
      <x:c r="A470" t="str">
        <x:v>DW-0465</x:v>
      </x:c>
      <x:c r="B470" t="str">
        <x:v>DW-0465</x:v>
      </x:c>
      <x:c r="C470" t="str">
        <x:v>Parent historique</x:v>
      </x:c>
      <x:c r="D470" t="str">
        <x:v>Quartiers et agglomérations</x:v>
      </x:c>
      <x:c r="E470" t="str">
        <x:v>Village forestier</x:v>
      </x:c>
      <x:c r="F470" t="n">
        <x:v>10</x:v>
      </x:c>
      <x:c r="G470" t="n">
        <x:v>4</x:v>
      </x:c>
      <x:c r="H470" t="n">
        <x:v>12</x:v>
      </x:c>
      <x:c r="I470" t="str">
        <x:v>À qualifier par lieu</x:v>
      </x:c>
      <x:c r="J470" t="str">
        <x:v>https://github.com/darknigthmare/deadwall-last-enclosure/blob/e28f46223e73105ab2c5d83f3d50b99b58ef53e6/codex-3000/originaux/DEADWALL_CODEX_1.22/fiches/DW-0465.md</x:v>
      </x:c>
      <x:c r="K470" t="str">
        <x:v>Source min 250,200 m ; max 1200,900 m ; modèle 250 × 200 m ; niveaux 0. Détails dans catalogue-existant.json.</x:v>
      </x:c>
    </x:row>
    <x:row r="471">
      <x:c r="A471" t="str">
        <x:v>DW-0466</x:v>
      </x:c>
      <x:c r="B471" t="str">
        <x:v>DW-0466</x:v>
      </x:c>
      <x:c r="C471" t="str">
        <x:v>Parent historique</x:v>
      </x:c>
      <x:c r="D471" t="str">
        <x:v>Quartiers et agglomérations</x:v>
      </x:c>
      <x:c r="E471" t="str">
        <x:v>Village minier reconverti</x:v>
      </x:c>
      <x:c r="F471" t="n">
        <x:v>10</x:v>
      </x:c>
      <x:c r="G471" t="n">
        <x:v>4</x:v>
      </x:c>
      <x:c r="H471" t="n">
        <x:v>12</x:v>
      </x:c>
      <x:c r="I471" t="str">
        <x:v>À qualifier par lieu</x:v>
      </x:c>
      <x:c r="J471" t="str">
        <x:v>https://github.com/darknigthmare/deadwall-last-enclosure/blob/e28f46223e73105ab2c5d83f3d50b99b58ef53e6/codex-3000/originaux/DEADWALL_CODEX_1.22/fiches/DW-0466.md</x:v>
      </x:c>
      <x:c r="K471" t="str">
        <x:v>Source min 250,200 m ; max 1200,900 m ; modèle 250 × 200 m ; niveaux 0. Détails dans catalogue-existant.json.</x:v>
      </x:c>
    </x:row>
    <x:row r="472">
      <x:c r="A472" t="str">
        <x:v>DW-0467</x:v>
      </x:c>
      <x:c r="B472" t="str">
        <x:v>DW-0467</x:v>
      </x:c>
      <x:c r="C472" t="str">
        <x:v>Parent historique</x:v>
      </x:c>
      <x:c r="D472" t="str">
        <x:v>Quartiers et agglomérations</x:v>
      </x:c>
      <x:c r="E472" t="str">
        <x:v>Village côtier</x:v>
      </x:c>
      <x:c r="F472" t="n">
        <x:v>10</x:v>
      </x:c>
      <x:c r="G472" t="n">
        <x:v>4</x:v>
      </x:c>
      <x:c r="H472" t="n">
        <x:v>12</x:v>
      </x:c>
      <x:c r="I472" t="str">
        <x:v>À qualifier par lieu</x:v>
      </x:c>
      <x:c r="J472" t="str">
        <x:v>https://github.com/darknigthmare/deadwall-last-enclosure/blob/e28f46223e73105ab2c5d83f3d50b99b58ef53e6/codex-3000/originaux/DEADWALL_CODEX_1.22/fiches/DW-0467.md</x:v>
      </x:c>
      <x:c r="K472" t="str">
        <x:v>Source min 250,200 m ; max 1200,900 m ; modèle 250 × 200 m ; niveaux 0. Détails dans catalogue-existant.json.</x:v>
      </x:c>
    </x:row>
    <x:row r="473">
      <x:c r="A473" t="str">
        <x:v>DW-0468</x:v>
      </x:c>
      <x:c r="B473" t="str">
        <x:v>DW-0468</x:v>
      </x:c>
      <x:c r="C473" t="str">
        <x:v>Parent historique</x:v>
      </x:c>
      <x:c r="D473" t="str">
        <x:v>Quartiers et agglomérations</x:v>
      </x:c>
      <x:c r="E473" t="str">
        <x:v>Bourg ferroviaire</x:v>
      </x:c>
      <x:c r="F473" t="n">
        <x:v>10</x:v>
      </x:c>
      <x:c r="G473" t="n">
        <x:v>4</x:v>
      </x:c>
      <x:c r="H473" t="n">
        <x:v>12</x:v>
      </x:c>
      <x:c r="I473" t="str">
        <x:v>À qualifier par lieu</x:v>
      </x:c>
      <x:c r="J473" t="str">
        <x:v>https://github.com/darknigthmare/deadwall-last-enclosure/blob/e28f46223e73105ab2c5d83f3d50b99b58ef53e6/codex-3000/originaux/DEADWALL_CODEX_1.22/fiches/DW-0468.md</x:v>
      </x:c>
      <x:c r="K473" t="str">
        <x:v>Source min 250,200 m ; max 1200,900 m ; modèle 250 × 200 m ; niveaux 0. Détails dans catalogue-existant.json.</x:v>
      </x:c>
    </x:row>
    <x:row r="474">
      <x:c r="A474" t="str">
        <x:v>DW-0469</x:v>
      </x:c>
      <x:c r="B474" t="str">
        <x:v>DW-0469</x:v>
      </x:c>
      <x:c r="C474" t="str">
        <x:v>Parent historique</x:v>
      </x:c>
      <x:c r="D474" t="str">
        <x:v>Quartiers et agglomérations</x:v>
      </x:c>
      <x:c r="E474" t="str">
        <x:v>Bourg de carrefour</x:v>
      </x:c>
      <x:c r="F474" t="n">
        <x:v>10</x:v>
      </x:c>
      <x:c r="G474" t="n">
        <x:v>4</x:v>
      </x:c>
      <x:c r="H474" t="n">
        <x:v>12</x:v>
      </x:c>
      <x:c r="I474" t="str">
        <x:v>À qualifier par lieu</x:v>
      </x:c>
      <x:c r="J474" t="str">
        <x:v>https://github.com/darknigthmare/deadwall-last-enclosure/blob/e28f46223e73105ab2c5d83f3d50b99b58ef53e6/codex-3000/originaux/DEADWALL_CODEX_1.22/fiches/DW-0469.md</x:v>
      </x:c>
      <x:c r="K474" t="str">
        <x:v>Source min 250,200 m ; max 1200,900 m ; modèle 250 × 200 m ; niveaux 0. Détails dans catalogue-existant.json.</x:v>
      </x:c>
    </x:row>
    <x:row r="475">
      <x:c r="A475" t="str">
        <x:v>DW-0470</x:v>
      </x:c>
      <x:c r="B475" t="str">
        <x:v>DW-0470</x:v>
      </x:c>
      <x:c r="C475" t="str">
        <x:v>Parent historique</x:v>
      </x:c>
      <x:c r="D475" t="str">
        <x:v>Quartiers et agglomérations</x:v>
      </x:c>
      <x:c r="E475" t="str">
        <x:v>Hameau de montagne</x:v>
      </x:c>
      <x:c r="F475" t="n">
        <x:v>10</x:v>
      </x:c>
      <x:c r="G475" t="n">
        <x:v>4</x:v>
      </x:c>
      <x:c r="H475" t="n">
        <x:v>12</x:v>
      </x:c>
      <x:c r="I475" t="str">
        <x:v>À qualifier par lieu</x:v>
      </x:c>
      <x:c r="J475" t="str">
        <x:v>https://github.com/darknigthmare/deadwall-last-enclosure/blob/e28f46223e73105ab2c5d83f3d50b99b58ef53e6/codex-3000/originaux/DEADWALL_CODEX_1.22/fiches/DW-0470.md</x:v>
      </x:c>
      <x:c r="K475" t="str">
        <x:v>Source min 250,200 m ; max 1200,900 m ; modèle 250 × 200 m ; niveaux 0. Détails dans catalogue-existant.json.</x:v>
      </x:c>
    </x:row>
    <x:row r="476">
      <x:c r="A476" t="str">
        <x:v>DW-0471</x:v>
      </x:c>
      <x:c r="B476" t="str">
        <x:v>DW-0471</x:v>
      </x:c>
      <x:c r="C476" t="str">
        <x:v>Parent historique</x:v>
      </x:c>
      <x:c r="D476" t="str">
        <x:v>Quartiers et agglomérations</x:v>
      </x:c>
      <x:c r="E476" t="str">
        <x:v>Lotissement périurbain</x:v>
      </x:c>
      <x:c r="F476" t="n">
        <x:v>10</x:v>
      </x:c>
      <x:c r="G476" t="n">
        <x:v>4</x:v>
      </x:c>
      <x:c r="H476" t="n">
        <x:v>12</x:v>
      </x:c>
      <x:c r="I476" t="str">
        <x:v>À qualifier par lieu</x:v>
      </x:c>
      <x:c r="J476" t="str">
        <x:v>https://github.com/darknigthmare/deadwall-last-enclosure/blob/e28f46223e73105ab2c5d83f3d50b99b58ef53e6/codex-3000/originaux/DEADWALL_CODEX_1.22/fiches/DW-0471.md</x:v>
      </x:c>
      <x:c r="K476" t="str">
        <x:v>Source min 250,200 m ; max 1200,900 m ; modèle 250 × 200 m ; niveaux 0. Détails dans catalogue-existant.json.</x:v>
      </x:c>
    </x:row>
    <x:row r="477">
      <x:c r="A477" t="str">
        <x:v>DW-0472</x:v>
      </x:c>
      <x:c r="B477" t="str">
        <x:v>DW-0472</x:v>
      </x:c>
      <x:c r="C477" t="str">
        <x:v>Parent historique</x:v>
      </x:c>
      <x:c r="D477" t="str">
        <x:v>Quartiers et agglomérations</x:v>
      </x:c>
      <x:c r="E477" t="str">
        <x:v>Quartier pavillonnaire ancien</x:v>
      </x:c>
      <x:c r="F477" t="n">
        <x:v>10</x:v>
      </x:c>
      <x:c r="G477" t="n">
        <x:v>4</x:v>
      </x:c>
      <x:c r="H477" t="n">
        <x:v>12</x:v>
      </x:c>
      <x:c r="I477" t="str">
        <x:v>À qualifier par lieu</x:v>
      </x:c>
      <x:c r="J477" t="str">
        <x:v>https://github.com/darknigthmare/deadwall-last-enclosure/blob/e28f46223e73105ab2c5d83f3d50b99b58ef53e6/codex-3000/originaux/DEADWALL_CODEX_1.22/fiches/DW-0472.md</x:v>
      </x:c>
      <x:c r="K477" t="str">
        <x:v>Source min 250,200 m ; max 1200,900 m ; modèle 250 × 200 m ; niveaux 0. Détails dans catalogue-existant.json.</x:v>
      </x:c>
    </x:row>
    <x:row r="478">
      <x:c r="A478" t="str">
        <x:v>DW-0473</x:v>
      </x:c>
      <x:c r="B478" t="str">
        <x:v>DW-0473</x:v>
      </x:c>
      <x:c r="C478" t="str">
        <x:v>Parent historique</x:v>
      </x:c>
      <x:c r="D478" t="str">
        <x:v>Quartiers et agglomérations</x:v>
      </x:c>
      <x:c r="E478" t="str">
        <x:v>Centre-ville dense</x:v>
      </x:c>
      <x:c r="F478" t="n">
        <x:v>10</x:v>
      </x:c>
      <x:c r="G478" t="n">
        <x:v>5</x:v>
      </x:c>
      <x:c r="H478" t="n">
        <x:v>15</x:v>
      </x:c>
      <x:c r="I478" t="str">
        <x:v>À qualifier par lieu</x:v>
      </x:c>
      <x:c r="J478" t="str">
        <x:v>https://github.com/darknigthmare/deadwall-last-enclosure/blob/e28f46223e73105ab2c5d83f3d50b99b58ef53e6/codex-3000/originaux/DEADWALL_CODEX_1.22/fiches/DW-0473.md</x:v>
      </x:c>
      <x:c r="K478" t="str">
        <x:v>Source min 250,200 m ; max 1200,900 m ; modèle 250 × 200 m ; niveaux 0. Détails dans catalogue-existant.json.</x:v>
      </x:c>
    </x:row>
    <x:row r="479">
      <x:c r="A479" t="str">
        <x:v>DW-0474</x:v>
      </x:c>
      <x:c r="B479" t="str">
        <x:v>DW-0474</x:v>
      </x:c>
      <x:c r="C479" t="str">
        <x:v>Parent historique</x:v>
      </x:c>
      <x:c r="D479" t="str">
        <x:v>Quartiers et agglomérations</x:v>
      </x:c>
      <x:c r="E479" t="str">
        <x:v>Faubourg industriel</x:v>
      </x:c>
      <x:c r="F479" t="n">
        <x:v>10</x:v>
      </x:c>
      <x:c r="G479" t="n">
        <x:v>4</x:v>
      </x:c>
      <x:c r="H479" t="n">
        <x:v>12</x:v>
      </x:c>
      <x:c r="I479" t="str">
        <x:v>À qualifier par lieu</x:v>
      </x:c>
      <x:c r="J479" t="str">
        <x:v>https://github.com/darknigthmare/deadwall-last-enclosure/blob/e28f46223e73105ab2c5d83f3d50b99b58ef53e6/codex-3000/originaux/DEADWALL_CODEX_1.22/fiches/DW-0474.md</x:v>
      </x:c>
      <x:c r="K479" t="str">
        <x:v>Source min 250,200 m ; max 1200,900 m ; modèle 250 × 200 m ; niveaux 0. Détails dans catalogue-existant.json.</x:v>
      </x:c>
    </x:row>
    <x:row r="480">
      <x:c r="A480" t="str">
        <x:v>DW-0475</x:v>
      </x:c>
      <x:c r="B480" t="str">
        <x:v>DW-0475</x:v>
      </x:c>
      <x:c r="C480" t="str">
        <x:v>Parent historique</x:v>
      </x:c>
      <x:c r="D480" t="str">
        <x:v>Quartiers et agglomérations</x:v>
      </x:c>
      <x:c r="E480" t="str">
        <x:v>Quartier portuaire habité</x:v>
      </x:c>
      <x:c r="F480" t="n">
        <x:v>10</x:v>
      </x:c>
      <x:c r="G480" t="n">
        <x:v>4</x:v>
      </x:c>
      <x:c r="H480" t="n">
        <x:v>12</x:v>
      </x:c>
      <x:c r="I480" t="str">
        <x:v>À qualifier par lieu</x:v>
      </x:c>
      <x:c r="J480" t="str">
        <x:v>https://github.com/darknigthmare/deadwall-last-enclosure/blob/e28f46223e73105ab2c5d83f3d50b99b58ef53e6/codex-3000/originaux/DEADWALL_CODEX_1.22/fiches/DW-0475.md</x:v>
      </x:c>
      <x:c r="K480" t="str">
        <x:v>Source min 250,200 m ; max 1200,900 m ; modèle 250 × 200 m ; niveaux 0. Détails dans catalogue-existant.json.</x:v>
      </x:c>
    </x:row>
    <x:row r="481">
      <x:c r="A481" t="str">
        <x:v>DW-0476</x:v>
      </x:c>
      <x:c r="B481" t="str">
        <x:v>DW-0476</x:v>
      </x:c>
      <x:c r="C481" t="str">
        <x:v>Parent historique</x:v>
      </x:c>
      <x:c r="D481" t="str">
        <x:v>Quartiers et agglomérations</x:v>
      </x:c>
      <x:c r="E481" t="str">
        <x:v>Quartier hospitalier</x:v>
      </x:c>
      <x:c r="F481" t="n">
        <x:v>10</x:v>
      </x:c>
      <x:c r="G481" t="n">
        <x:v>4</x:v>
      </x:c>
      <x:c r="H481" t="n">
        <x:v>12</x:v>
      </x:c>
      <x:c r="I481" t="str">
        <x:v>À qualifier par lieu</x:v>
      </x:c>
      <x:c r="J481" t="str">
        <x:v>https://github.com/darknigthmare/deadwall-last-enclosure/blob/e28f46223e73105ab2c5d83f3d50b99b58ef53e6/codex-3000/originaux/DEADWALL_CODEX_1.22/fiches/DW-0476.md</x:v>
      </x:c>
      <x:c r="K481" t="str">
        <x:v>Source min 250,200 m ; max 1200,900 m ; modèle 250 × 200 m ; niveaux 0. Détails dans catalogue-existant.json.</x:v>
      </x:c>
    </x:row>
    <x:row r="482">
      <x:c r="A482" t="str">
        <x:v>DW-0477</x:v>
      </x:c>
      <x:c r="B482" t="str">
        <x:v>DW-0477</x:v>
      </x:c>
      <x:c r="C482" t="str">
        <x:v>Parent historique</x:v>
      </x:c>
      <x:c r="D482" t="str">
        <x:v>Quartiers et agglomérations</x:v>
      </x:c>
      <x:c r="E482" t="str">
        <x:v>Quartier universitaire</x:v>
      </x:c>
      <x:c r="F482" t="n">
        <x:v>10</x:v>
      </x:c>
      <x:c r="G482" t="n">
        <x:v>4</x:v>
      </x:c>
      <x:c r="H482" t="n">
        <x:v>12</x:v>
      </x:c>
      <x:c r="I482" t="str">
        <x:v>À qualifier par lieu</x:v>
      </x:c>
      <x:c r="J482" t="str">
        <x:v>https://github.com/darknigthmare/deadwall-last-enclosure/blob/e28f46223e73105ab2c5d83f3d50b99b58ef53e6/codex-3000/originaux/DEADWALL_CODEX_1.22/fiches/DW-0477.md</x:v>
      </x:c>
      <x:c r="K482" t="str">
        <x:v>Source min 250,200 m ; max 1200,900 m ; modèle 250 × 200 m ; niveaux 0. Détails dans catalogue-existant.json.</x:v>
      </x:c>
    </x:row>
    <x:row r="483">
      <x:c r="A483" t="str">
        <x:v>DW-0478</x:v>
      </x:c>
      <x:c r="B483" t="str">
        <x:v>DW-0478</x:v>
      </x:c>
      <x:c r="C483" t="str">
        <x:v>Parent historique</x:v>
      </x:c>
      <x:c r="D483" t="str">
        <x:v>Quartiers et agglomérations</x:v>
      </x:c>
      <x:c r="E483" t="str">
        <x:v>Cité-jardin</x:v>
      </x:c>
      <x:c r="F483" t="n">
        <x:v>10</x:v>
      </x:c>
      <x:c r="G483" t="n">
        <x:v>4</x:v>
      </x:c>
      <x:c r="H483" t="n">
        <x:v>12</x:v>
      </x:c>
      <x:c r="I483" t="str">
        <x:v>À qualifier par lieu</x:v>
      </x:c>
      <x:c r="J483" t="str">
        <x:v>https://github.com/darknigthmare/deadwall-last-enclosure/blob/e28f46223e73105ab2c5d83f3d50b99b58ef53e6/codex-3000/originaux/DEADWALL_CODEX_1.22/fiches/DW-0478.md</x:v>
      </x:c>
      <x:c r="K483" t="str">
        <x:v>Source min 250,200 m ; max 1200,900 m ; modèle 250 × 200 m ; niveaux 0. Détails dans catalogue-existant.json.</x:v>
      </x:c>
    </x:row>
    <x:row r="484">
      <x:c r="A484" t="str">
        <x:v>DW-0479</x:v>
      </x:c>
      <x:c r="B484" t="str">
        <x:v>DW-0479</x:v>
      </x:c>
      <x:c r="C484" t="str">
        <x:v>Parent historique</x:v>
      </x:c>
      <x:c r="D484" t="str">
        <x:v>Quartiers et agglomérations</x:v>
      </x:c>
      <x:c r="E484" t="str">
        <x:v>Ville nouvelle en chantier</x:v>
      </x:c>
      <x:c r="F484" t="n">
        <x:v>10</x:v>
      </x:c>
      <x:c r="G484" t="n">
        <x:v>4</x:v>
      </x:c>
      <x:c r="H484" t="n">
        <x:v>12</x:v>
      </x:c>
      <x:c r="I484" t="str">
        <x:v>À qualifier par lieu</x:v>
      </x:c>
      <x:c r="J484" t="str">
        <x:v>https://github.com/darknigthmare/deadwall-last-enclosure/blob/e28f46223e73105ab2c5d83f3d50b99b58ef53e6/codex-3000/originaux/DEADWALL_CODEX_1.22/fiches/DW-0479.md</x:v>
      </x:c>
      <x:c r="K484" t="str">
        <x:v>Source min 250,200 m ; max 1200,900 m ; modèle 250 × 200 m ; niveaux 0. Détails dans catalogue-existant.json.</x:v>
      </x:c>
    </x:row>
    <x:row r="485">
      <x:c r="A485" t="str">
        <x:v>DW-0480</x:v>
      </x:c>
      <x:c r="B485" t="str">
        <x:v>DW-0480</x:v>
      </x:c>
      <x:c r="C485" t="str">
        <x:v>Parent historique</x:v>
      </x:c>
      <x:c r="D485" t="str">
        <x:v>Quartiers et agglomérations</x:v>
      </x:c>
      <x:c r="E485" t="str">
        <x:v>Petite ville évacuée</x:v>
      </x:c>
      <x:c r="F485" t="n">
        <x:v>10</x:v>
      </x:c>
      <x:c r="G485" t="n">
        <x:v>4</x:v>
      </x:c>
      <x:c r="H485" t="n">
        <x:v>12</x:v>
      </x:c>
      <x:c r="I485" t="str">
        <x:v>À qualifier par lieu</x:v>
      </x:c>
      <x:c r="J485" t="str">
        <x:v>https://github.com/darknigthmare/deadwall-last-enclosure/blob/e28f46223e73105ab2c5d83f3d50b99b58ef53e6/codex-3000/originaux/DEADWALL_CODEX_1.22/fiches/DW-0480.md</x:v>
      </x:c>
      <x:c r="K485" t="str">
        <x:v>Source min 250,200 m ; max 1200,900 m ; modèle 250 × 200 m ; niveaux 0. Détails dans catalogue-existant.json.</x:v>
      </x:c>
    </x:row>
    <x:row r="486">
      <x:c r="A486" t="str">
        <x:v>DW-0481</x:v>
      </x:c>
      <x:c r="B486" t="str">
        <x:v>DW-0481</x:v>
      </x:c>
      <x:c r="C486" t="str">
        <x:v>Parent historique</x:v>
      </x:c>
      <x:c r="D486" t="str">
        <x:v>Ruines et lieux dégradés visitables</x:v>
      </x:c>
      <x:c r="E486" t="str">
        <x:v>Maison effondrée visitable</x:v>
      </x:c>
      <x:c r="F486" t="n">
        <x:v>8</x:v>
      </x:c>
      <x:c r="G486" t="n">
        <x:v>4</x:v>
      </x:c>
      <x:c r="H486" t="n">
        <x:v>12</x:v>
      </x:c>
      <x:c r="I486" t="str">
        <x:v>À qualifier par lieu</x:v>
      </x:c>
      <x:c r="J486" t="str">
        <x:v>https://github.com/darknigthmare/deadwall-last-enclosure/blob/e28f46223e73105ab2c5d83f3d50b99b58ef53e6/codex-3000/originaux/DEADWALL_CODEX_1.22/fiches/DW-0481.md</x:v>
      </x:c>
      <x:c r="K486" t="str">
        <x:v>Source min 20,16 m ; max 180,120 m ; modèle 25 × 18 m ; niveaux 0. Détails dans catalogue-existant.json.</x:v>
      </x:c>
    </x:row>
    <x:row r="487">
      <x:c r="A487" t="str">
        <x:v>DW-0482</x:v>
      </x:c>
      <x:c r="B487" t="str">
        <x:v>DW-0482</x:v>
      </x:c>
      <x:c r="C487" t="str">
        <x:v>Parent historique</x:v>
      </x:c>
      <x:c r="D487" t="str">
        <x:v>Ruines et lieux dégradés visitables</x:v>
      </x:c>
      <x:c r="E487" t="str">
        <x:v>Maison incendiée</x:v>
      </x:c>
      <x:c r="F487" t="n">
        <x:v>8</x:v>
      </x:c>
      <x:c r="G487" t="n">
        <x:v>4</x:v>
      </x:c>
      <x:c r="H487" t="n">
        <x:v>12</x:v>
      </x:c>
      <x:c r="I487" t="str">
        <x:v>À qualifier par lieu</x:v>
      </x:c>
      <x:c r="J487" t="str">
        <x:v>https://github.com/darknigthmare/deadwall-last-enclosure/blob/e28f46223e73105ab2c5d83f3d50b99b58ef53e6/codex-3000/originaux/DEADWALL_CODEX_1.22/fiches/DW-0482.md</x:v>
      </x:c>
      <x:c r="K487" t="str">
        <x:v>Source min 20,16 m ; max 180,120 m ; modèle 25 × 18 m ; niveaux 0. Détails dans catalogue-existant.json.</x:v>
      </x:c>
    </x:row>
    <x:row r="488">
      <x:c r="A488" t="str">
        <x:v>DW-0483</x:v>
      </x:c>
      <x:c r="B488" t="str">
        <x:v>DW-0483</x:v>
      </x:c>
      <x:c r="C488" t="str">
        <x:v>Parent historique</x:v>
      </x:c>
      <x:c r="D488" t="str">
        <x:v>Ruines et lieux dégradés visitables</x:v>
      </x:c>
      <x:c r="E488" t="str">
        <x:v>Immeuble partiellement effondré</x:v>
      </x:c>
      <x:c r="F488" t="n">
        <x:v>8</x:v>
      </x:c>
      <x:c r="G488" t="n">
        <x:v>4</x:v>
      </x:c>
      <x:c r="H488" t="n">
        <x:v>12</x:v>
      </x:c>
      <x:c r="I488" t="str">
        <x:v>À qualifier par lieu</x:v>
      </x:c>
      <x:c r="J488" t="str">
        <x:v>https://github.com/darknigthmare/deadwall-last-enclosure/blob/e28f46223e73105ab2c5d83f3d50b99b58ef53e6/codex-3000/originaux/DEADWALL_CODEX_1.22/fiches/DW-0483.md</x:v>
      </x:c>
      <x:c r="K488" t="str">
        <x:v>Source min 20,16 m ; max 180,120 m ; modèle 25 × 18 m ; niveaux 0, 1. Détails dans catalogue-existant.json.</x:v>
      </x:c>
    </x:row>
    <x:row r="489">
      <x:c r="A489" t="str">
        <x:v>DW-0484</x:v>
      </x:c>
      <x:c r="B489" t="str">
        <x:v>DW-0484</x:v>
      </x:c>
      <x:c r="C489" t="str">
        <x:v>Parent historique</x:v>
      </x:c>
      <x:c r="D489" t="str">
        <x:v>Ruines et lieux dégradés visitables</x:v>
      </x:c>
      <x:c r="E489" t="str">
        <x:v>Hôtel abandonné visitable</x:v>
      </x:c>
      <x:c r="F489" t="n">
        <x:v>8</x:v>
      </x:c>
      <x:c r="G489" t="n">
        <x:v>5</x:v>
      </x:c>
      <x:c r="H489" t="n">
        <x:v>13</x:v>
      </x:c>
      <x:c r="I489" t="str">
        <x:v>À qualifier par lieu</x:v>
      </x:c>
      <x:c r="J489" t="str">
        <x:v>https://github.com/darknigthmare/deadwall-last-enclosure/blob/e28f46223e73105ab2c5d83f3d50b99b58ef53e6/codex-3000/originaux/DEADWALL_CODEX_1.22/fiches/DW-0484.md</x:v>
      </x:c>
      <x:c r="K489" t="str">
        <x:v>Source min 20,16 m ; max 180,120 m ; modèle 26 × 22 m ; niveaux 0, 1, 2. Détails dans catalogue-existant.json.</x:v>
      </x:c>
    </x:row>
    <x:row r="490">
      <x:c r="A490" t="str">
        <x:v>DW-0485</x:v>
      </x:c>
      <x:c r="B490" t="str">
        <x:v>DW-0485</x:v>
      </x:c>
      <x:c r="C490" t="str">
        <x:v>Parent historique</x:v>
      </x:c>
      <x:c r="D490" t="str">
        <x:v>Ruines et lieux dégradés visitables</x:v>
      </x:c>
      <x:c r="E490" t="str">
        <x:v>Centre commercial pillé</x:v>
      </x:c>
      <x:c r="F490" t="n">
        <x:v>8</x:v>
      </x:c>
      <x:c r="G490" t="n">
        <x:v>5</x:v>
      </x:c>
      <x:c r="H490" t="n">
        <x:v>13</x:v>
      </x:c>
      <x:c r="I490" t="str">
        <x:v>À qualifier par lieu</x:v>
      </x:c>
      <x:c r="J490" t="str">
        <x:v>https://github.com/darknigthmare/deadwall-last-enclosure/blob/e28f46223e73105ab2c5d83f3d50b99b58ef53e6/codex-3000/originaux/DEADWALL_CODEX_1.22/fiches/DW-0485.md</x:v>
      </x:c>
      <x:c r="K490" t="str">
        <x:v>Source min 20,16 m ; max 180,120 m ; modèle 26 × 22 m ; niveaux 0. Détails dans catalogue-existant.json.</x:v>
      </x:c>
    </x:row>
    <x:row r="491">
      <x:c r="A491" t="str">
        <x:v>DW-0486</x:v>
      </x:c>
      <x:c r="B491" t="str">
        <x:v>DW-0486</x:v>
      </x:c>
      <x:c r="C491" t="str">
        <x:v>Parent historique</x:v>
      </x:c>
      <x:c r="D491" t="str">
        <x:v>Ruines et lieux dégradés visitables</x:v>
      </x:c>
      <x:c r="E491" t="str">
        <x:v>Supermarché sinistré</x:v>
      </x:c>
      <x:c r="F491" t="n">
        <x:v>8</x:v>
      </x:c>
      <x:c r="G491" t="n">
        <x:v>4</x:v>
      </x:c>
      <x:c r="H491" t="n">
        <x:v>12</x:v>
      </x:c>
      <x:c r="I491" t="str">
        <x:v>À qualifier par lieu</x:v>
      </x:c>
      <x:c r="J491" t="str">
        <x:v>https://github.com/darknigthmare/deadwall-last-enclosure/blob/e28f46223e73105ab2c5d83f3d50b99b58ef53e6/codex-3000/originaux/DEADWALL_CODEX_1.22/fiches/DW-0486.md</x:v>
      </x:c>
      <x:c r="K491" t="str">
        <x:v>Source min 20,16 m ; max 180,120 m ; modèle 25 × 18 m ; niveaux 0. Détails dans catalogue-existant.json.</x:v>
      </x:c>
    </x:row>
    <x:row r="492">
      <x:c r="A492" t="str">
        <x:v>DW-0487</x:v>
      </x:c>
      <x:c r="B492" t="str">
        <x:v>DW-0487</x:v>
      </x:c>
      <x:c r="C492" t="str">
        <x:v>Parent historique</x:v>
      </x:c>
      <x:c r="D492" t="str">
        <x:v>Ruines et lieux dégradés visitables</x:v>
      </x:c>
      <x:c r="E492" t="str">
        <x:v>Garage éventré</x:v>
      </x:c>
      <x:c r="F492" t="n">
        <x:v>8</x:v>
      </x:c>
      <x:c r="G492" t="n">
        <x:v>4</x:v>
      </x:c>
      <x:c r="H492" t="n">
        <x:v>12</x:v>
      </x:c>
      <x:c r="I492" t="str">
        <x:v>À qualifier par lieu</x:v>
      </x:c>
      <x:c r="J492" t="str">
        <x:v>https://github.com/darknigthmare/deadwall-last-enclosure/blob/e28f46223e73105ab2c5d83f3d50b99b58ef53e6/codex-3000/originaux/DEADWALL_CODEX_1.22/fiches/DW-0487.md</x:v>
      </x:c>
      <x:c r="K492" t="str">
        <x:v>Source min 20,16 m ; max 180,120 m ; modèle 25 × 18 m ; niveaux 0. Détails dans catalogue-existant.json.</x:v>
      </x:c>
    </x:row>
    <x:row r="493">
      <x:c r="A493" t="str">
        <x:v>DW-0488</x:v>
      </x:c>
      <x:c r="B493" t="str">
        <x:v>DW-0488</x:v>
      </x:c>
      <x:c r="C493" t="str">
        <x:v>Parent historique</x:v>
      </x:c>
      <x:c r="D493" t="str">
        <x:v>Ruines et lieux dégradés visitables</x:v>
      </x:c>
      <x:c r="E493" t="str">
        <x:v>Entrepôt à toit percé</x:v>
      </x:c>
      <x:c r="F493" t="n">
        <x:v>8</x:v>
      </x:c>
      <x:c r="G493" t="n">
        <x:v>4</x:v>
      </x:c>
      <x:c r="H493" t="n">
        <x:v>10</x:v>
      </x:c>
      <x:c r="I493" t="str">
        <x:v>À qualifier par lieu</x:v>
      </x:c>
      <x:c r="J493" t="str">
        <x:v>https://github.com/darknigthmare/deadwall-last-enclosure/blob/e28f46223e73105ab2c5d83f3d50b99b58ef53e6/codex-3000/originaux/DEADWALL_CODEX_1.22/fiches/DW-0488.md</x:v>
      </x:c>
      <x:c r="K493" t="str">
        <x:v>Source min 20,16 m ; max 180,120 m ; modèle 25 × 18 m ; niveaux 0. Détails dans catalogue-existant.json.</x:v>
      </x:c>
    </x:row>
    <x:row r="494">
      <x:c r="A494" t="str">
        <x:v>DW-0489</x:v>
      </x:c>
      <x:c r="B494" t="str">
        <x:v>DW-0489</x:v>
      </x:c>
      <x:c r="C494" t="str">
        <x:v>Parent historique</x:v>
      </x:c>
      <x:c r="D494" t="str">
        <x:v>Ruines et lieux dégradés visitables</x:v>
      </x:c>
      <x:c r="E494" t="str">
        <x:v>Usine en friche</x:v>
      </x:c>
      <x:c r="F494" t="n">
        <x:v>8</x:v>
      </x:c>
      <x:c r="G494" t="n">
        <x:v>4</x:v>
      </x:c>
      <x:c r="H494" t="n">
        <x:v>12</x:v>
      </x:c>
      <x:c r="I494" t="str">
        <x:v>À qualifier par lieu</x:v>
      </x:c>
      <x:c r="J494" t="str">
        <x:v>https://github.com/darknigthmare/deadwall-last-enclosure/blob/e28f46223e73105ab2c5d83f3d50b99b58ef53e6/codex-3000/originaux/DEADWALL_CODEX_1.22/fiches/DW-0489.md</x:v>
      </x:c>
      <x:c r="K494" t="str">
        <x:v>Source min 20,16 m ; max 180,120 m ; modèle 25 × 18 m ; niveaux 0. Détails dans catalogue-existant.json.</x:v>
      </x:c>
    </x:row>
    <x:row r="495">
      <x:c r="A495" t="str">
        <x:v>DW-0490</x:v>
      </x:c>
      <x:c r="B495" t="str">
        <x:v>DW-0490</x:v>
      </x:c>
      <x:c r="C495" t="str">
        <x:v>Parent historique</x:v>
      </x:c>
      <x:c r="D495" t="str">
        <x:v>Ruines et lieux dégradés visitables</x:v>
      </x:c>
      <x:c r="E495" t="str">
        <x:v>École endommagée</x:v>
      </x:c>
      <x:c r="F495" t="n">
        <x:v>8</x:v>
      </x:c>
      <x:c r="G495" t="n">
        <x:v>4</x:v>
      </x:c>
      <x:c r="H495" t="n">
        <x:v>12</x:v>
      </x:c>
      <x:c r="I495" t="str">
        <x:v>À qualifier par lieu</x:v>
      </x:c>
      <x:c r="J495" t="str">
        <x:v>https://github.com/darknigthmare/deadwall-last-enclosure/blob/e28f46223e73105ab2c5d83f3d50b99b58ef53e6/codex-3000/originaux/DEADWALL_CODEX_1.22/fiches/DW-0490.md</x:v>
      </x:c>
      <x:c r="K495" t="str">
        <x:v>Source min 20,16 m ; max 180,120 m ; modèle 25 × 18 m ; niveaux 0. Détails dans catalogue-existant.json.</x:v>
      </x:c>
    </x:row>
    <x:row r="496">
      <x:c r="A496" t="str">
        <x:v>DW-0491</x:v>
      </x:c>
      <x:c r="B496" t="str">
        <x:v>DW-0491</x:v>
      </x:c>
      <x:c r="C496" t="str">
        <x:v>Parent historique</x:v>
      </x:c>
      <x:c r="D496" t="str">
        <x:v>Ruines et lieux dégradés visitables</x:v>
      </x:c>
      <x:c r="E496" t="str">
        <x:v>Hôpital évacué</x:v>
      </x:c>
      <x:c r="F496" t="n">
        <x:v>8</x:v>
      </x:c>
      <x:c r="G496" t="n">
        <x:v>4</x:v>
      </x:c>
      <x:c r="H496" t="n">
        <x:v>12</x:v>
      </x:c>
      <x:c r="I496" t="str">
        <x:v>À qualifier par lieu</x:v>
      </x:c>
      <x:c r="J496" t="str">
        <x:v>https://github.com/darknigthmare/deadwall-last-enclosure/blob/e28f46223e73105ab2c5d83f3d50b99b58ef53e6/codex-3000/originaux/DEADWALL_CODEX_1.22/fiches/DW-0491.md</x:v>
      </x:c>
      <x:c r="K496" t="str">
        <x:v>Source min 20,16 m ; max 180,120 m ; modèle 25 × 18 m ; niveaux 0. Détails dans catalogue-existant.json.</x:v>
      </x:c>
    </x:row>
    <x:row r="497">
      <x:c r="A497" t="str">
        <x:v>DW-0492</x:v>
      </x:c>
      <x:c r="B497" t="str">
        <x:v>DW-0492</x:v>
      </x:c>
      <x:c r="C497" t="str">
        <x:v>Parent historique</x:v>
      </x:c>
      <x:c r="D497" t="str">
        <x:v>Ruines et lieux dégradés visitables</x:v>
      </x:c>
      <x:c r="E497" t="str">
        <x:v>Église en ruine</x:v>
      </x:c>
      <x:c r="F497" t="n">
        <x:v>8</x:v>
      </x:c>
      <x:c r="G497" t="n">
        <x:v>4</x:v>
      </x:c>
      <x:c r="H497" t="n">
        <x:v>12</x:v>
      </x:c>
      <x:c r="I497" t="str">
        <x:v>À qualifier par lieu</x:v>
      </x:c>
      <x:c r="J497" t="str">
        <x:v>https://github.com/darknigthmare/deadwall-last-enclosure/blob/e28f46223e73105ab2c5d83f3d50b99b58ef53e6/codex-3000/originaux/DEADWALL_CODEX_1.22/fiches/DW-0492.md</x:v>
      </x:c>
      <x:c r="K497" t="str">
        <x:v>Source min 20,16 m ; max 180,120 m ; modèle 25 × 18 m ; niveaux 0. Détails dans catalogue-existant.json.</x:v>
      </x:c>
    </x:row>
    <x:row r="498">
      <x:c r="A498" t="str">
        <x:v>DW-0493</x:v>
      </x:c>
      <x:c r="B498" t="str">
        <x:v>DW-0493</x:v>
      </x:c>
      <x:c r="C498" t="str">
        <x:v>Parent historique</x:v>
      </x:c>
      <x:c r="D498" t="str">
        <x:v>Ruines et lieux dégradés visitables</x:v>
      </x:c>
      <x:c r="E498" t="str">
        <x:v>Fort envahi par la végétation</x:v>
      </x:c>
      <x:c r="F498" t="n">
        <x:v>8</x:v>
      </x:c>
      <x:c r="G498" t="n">
        <x:v>4</x:v>
      </x:c>
      <x:c r="H498" t="n">
        <x:v>10</x:v>
      </x:c>
      <x:c r="I498" t="str">
        <x:v>À qualifier par lieu</x:v>
      </x:c>
      <x:c r="J498" t="str">
        <x:v>https://github.com/darknigthmare/deadwall-last-enclosure/blob/e28f46223e73105ab2c5d83f3d50b99b58ef53e6/codex-3000/originaux/DEADWALL_CODEX_1.22/fiches/DW-0493.md</x:v>
      </x:c>
      <x:c r="K498" t="str">
        <x:v>Source min 20,16 m ; max 180,120 m ; modèle 25 × 18 m ; niveaux 0. Détails dans catalogue-existant.json.</x:v>
      </x:c>
    </x:row>
    <x:row r="499">
      <x:c r="A499" t="str">
        <x:v>DW-0494</x:v>
      </x:c>
      <x:c r="B499" t="str">
        <x:v>DW-0494</x:v>
      </x:c>
      <x:c r="C499" t="str">
        <x:v>Parent historique</x:v>
      </x:c>
      <x:c r="D499" t="str">
        <x:v>Ruines et lieux dégradés visitables</x:v>
      </x:c>
      <x:c r="E499" t="str">
        <x:v>Station-service brûlée</x:v>
      </x:c>
      <x:c r="F499" t="n">
        <x:v>8</x:v>
      </x:c>
      <x:c r="G499" t="n">
        <x:v>4</x:v>
      </x:c>
      <x:c r="H499" t="n">
        <x:v>12</x:v>
      </x:c>
      <x:c r="I499" t="str">
        <x:v>À qualifier par lieu</x:v>
      </x:c>
      <x:c r="J499" t="str">
        <x:v>https://github.com/darknigthmare/deadwall-last-enclosure/blob/e28f46223e73105ab2c5d83f3d50b99b58ef53e6/codex-3000/originaux/DEADWALL_CODEX_1.22/fiches/DW-0494.md</x:v>
      </x:c>
      <x:c r="K499" t="str">
        <x:v>Source min 20,16 m ; max 180,120 m ; modèle 25 × 18 m ; niveaux 0. Détails dans catalogue-existant.json.</x:v>
      </x:c>
    </x:row>
    <x:row r="500">
      <x:c r="A500" t="str">
        <x:v>DW-0495</x:v>
      </x:c>
      <x:c r="B500" t="str">
        <x:v>DW-0495</x:v>
      </x:c>
      <x:c r="C500" t="str">
        <x:v>Parent historique</x:v>
      </x:c>
      <x:c r="D500" t="str">
        <x:v>Ruines et lieux dégradés visitables</x:v>
      </x:c>
      <x:c r="E500" t="str">
        <x:v>Pont rompu</x:v>
      </x:c>
      <x:c r="F500" t="n">
        <x:v>8</x:v>
      </x:c>
      <x:c r="G500" t="n">
        <x:v>4</x:v>
      </x:c>
      <x:c r="H500" t="n">
        <x:v>12</x:v>
      </x:c>
      <x:c r="I500" t="str">
        <x:v>À qualifier par lieu</x:v>
      </x:c>
      <x:c r="J500" t="str">
        <x:v>https://github.com/darknigthmare/deadwall-last-enclosure/blob/e28f46223e73105ab2c5d83f3d50b99b58ef53e6/codex-3000/originaux/DEADWALL_CODEX_1.22/fiches/DW-0495.md</x:v>
      </x:c>
      <x:c r="K500" t="str">
        <x:v>Source min 20,16 m ; max 180,120 m ; modèle 25 × 18 m ; niveaux 0. Détails dans catalogue-existant.json.</x:v>
      </x:c>
    </x:row>
    <x:row r="501">
      <x:c r="A501" t="str">
        <x:v>DW-0496</x:v>
      </x:c>
      <x:c r="B501" t="str">
        <x:v>DW-0496</x:v>
      </x:c>
      <x:c r="C501" t="str">
        <x:v>Parent historique</x:v>
      </x:c>
      <x:c r="D501" t="str">
        <x:v>Ruines et lieux dégradés visitables</x:v>
      </x:c>
      <x:c r="E501" t="str">
        <x:v>Tunnel obstrué</x:v>
      </x:c>
      <x:c r="F501" t="n">
        <x:v>8</x:v>
      </x:c>
      <x:c r="G501" t="n">
        <x:v>4</x:v>
      </x:c>
      <x:c r="H501" t="n">
        <x:v>12</x:v>
      </x:c>
      <x:c r="I501" t="str">
        <x:v>À qualifier par lieu</x:v>
      </x:c>
      <x:c r="J501" t="str">
        <x:v>https://github.com/darknigthmare/deadwall-last-enclosure/blob/e28f46223e73105ab2c5d83f3d50b99b58ef53e6/codex-3000/originaux/DEADWALL_CODEX_1.22/fiches/DW-0496.md</x:v>
      </x:c>
      <x:c r="K501" t="str">
        <x:v>Source min 20,16 m ; max 180,120 m ; modèle 25 × 18 m ; niveaux 0. Détails dans catalogue-existant.json.</x:v>
      </x:c>
    </x:row>
    <x:row r="502">
      <x:c r="A502" t="str">
        <x:v>DW-0497</x:v>
      </x:c>
      <x:c r="B502" t="str">
        <x:v>DW-0497</x:v>
      </x:c>
      <x:c r="C502" t="str">
        <x:v>Parent historique</x:v>
      </x:c>
      <x:c r="D502" t="str">
        <x:v>Ruines et lieux dégradés visitables</x:v>
      </x:c>
      <x:c r="E502" t="str">
        <x:v>Mine abandonnée visitable</x:v>
      </x:c>
      <x:c r="F502" t="n">
        <x:v>8</x:v>
      </x:c>
      <x:c r="G502" t="n">
        <x:v>4</x:v>
      </x:c>
      <x:c r="H502" t="n">
        <x:v>10</x:v>
      </x:c>
      <x:c r="I502" t="str">
        <x:v>À qualifier par lieu</x:v>
      </x:c>
      <x:c r="J502" t="str">
        <x:v>https://github.com/darknigthmare/deadwall-last-enclosure/blob/e28f46223e73105ab2c5d83f3d50b99b58ef53e6/codex-3000/originaux/DEADWALL_CODEX_1.22/fiches/DW-0497.md</x:v>
      </x:c>
      <x:c r="K502" t="str">
        <x:v>Source min 20,16 m ; max 180,120 m ; modèle 25 × 18 m ; niveaux -1, 0. Détails dans catalogue-existant.json.</x:v>
      </x:c>
    </x:row>
    <x:row r="503">
      <x:c r="A503" t="str">
        <x:v>DW-0498</x:v>
      </x:c>
      <x:c r="B503" t="str">
        <x:v>DW-0498</x:v>
      </x:c>
      <x:c r="C503" t="str">
        <x:v>Parent historique</x:v>
      </x:c>
      <x:c r="D503" t="str">
        <x:v>Ruines et lieux dégradés visitables</x:v>
      </x:c>
      <x:c r="E503" t="str">
        <x:v>Motel gagné par la forêt</x:v>
      </x:c>
      <x:c r="F503" t="n">
        <x:v>8</x:v>
      </x:c>
      <x:c r="G503" t="n">
        <x:v>4</x:v>
      </x:c>
      <x:c r="H503" t="n">
        <x:v>10</x:v>
      </x:c>
      <x:c r="I503" t="str">
        <x:v>À qualifier par lieu</x:v>
      </x:c>
      <x:c r="J503" t="str">
        <x:v>https://github.com/darknigthmare/deadwall-last-enclosure/blob/e28f46223e73105ab2c5d83f3d50b99b58ef53e6/codex-3000/originaux/DEADWALL_CODEX_1.22/fiches/DW-0498.md</x:v>
      </x:c>
      <x:c r="K503" t="str">
        <x:v>Source min 20,16 m ; max 180,120 m ; modèle 25 × 18 m ; niveaux 0, 1. Détails dans catalogue-existant.json.</x:v>
      </x:c>
    </x:row>
    <x:row r="504">
      <x:c r="A504" t="str">
        <x:v>DW-0499</x:v>
      </x:c>
      <x:c r="B504" t="str">
        <x:v>DW-0499</x:v>
      </x:c>
      <x:c r="C504" t="str">
        <x:v>Parent historique</x:v>
      </x:c>
      <x:c r="D504" t="str">
        <x:v>Ruines et lieux dégradés visitables</x:v>
      </x:c>
      <x:c r="E504" t="str">
        <x:v>Village ruiné visitable</x:v>
      </x:c>
      <x:c r="F504" t="n">
        <x:v>8</x:v>
      </x:c>
      <x:c r="G504" t="n">
        <x:v>5</x:v>
      </x:c>
      <x:c r="H504" t="n">
        <x:v>15</x:v>
      </x:c>
      <x:c r="I504" t="str">
        <x:v>À qualifier par lieu</x:v>
      </x:c>
      <x:c r="J504" t="str">
        <x:v>https://github.com/darknigthmare/deadwall-last-enclosure/blob/e28f46223e73105ab2c5d83f3d50b99b58ef53e6/codex-3000/originaux/DEADWALL_CODEX_1.22/fiches/DW-0499.md</x:v>
      </x:c>
      <x:c r="K504" t="str">
        <x:v>Source min 20,16 m ; max 180,120 m ; modèle 26 × 22 m ; niveaux 0. Détails dans catalogue-existant.json.</x:v>
      </x:c>
    </x:row>
    <x:row r="505">
      <x:c r="A505" t="str">
        <x:v>DW-0500</x:v>
      </x:c>
      <x:c r="B505" t="str">
        <x:v>DW-0500</x:v>
      </x:c>
      <x:c r="C505" t="str">
        <x:v>Parent historique</x:v>
      </x:c>
      <x:c r="D505" t="str">
        <x:v>Ruines et lieux dégradés visitables</x:v>
      </x:c>
      <x:c r="E505" t="str">
        <x:v>Bunker civil dégradé</x:v>
      </x:c>
      <x:c r="F505" t="n">
        <x:v>8</x:v>
      </x:c>
      <x:c r="G505" t="n">
        <x:v>5</x:v>
      </x:c>
      <x:c r="H505" t="n">
        <x:v>13</x:v>
      </x:c>
      <x:c r="I505" t="str">
        <x:v>À qualifier par lieu</x:v>
      </x:c>
      <x:c r="J505" t="str">
        <x:v>https://github.com/darknigthmare/deadwall-last-enclosure/blob/e28f46223e73105ab2c5d83f3d50b99b58ef53e6/codex-3000/originaux/DEADWALL_CODEX_1.22/fiches/DW-0500.md</x:v>
      </x:c>
      <x:c r="K505" t="str">
        <x:v>Source min 20,16 m ; max 180,120 m ; modèle 26 × 22 m ; niveaux -1, 0. Détails dans catalogue-existant.json.</x:v>
      </x:c>
    </x:row>
    <x:row r="506">
      <x:c r="A506" t="str">
        <x:v>DW-0501</x:v>
      </x:c>
      <x:c r="B506" t="str">
        <x:v>DW-0501</x:v>
      </x:c>
      <x:c r="C506" t="str">
        <x:v>Parent historique</x:v>
      </x:c>
      <x:c r="D506" t="str">
        <x:v>habitat</x:v>
      </x:c>
      <x:c r="E506" t="str">
        <x:v>Maison de lotissement — variante 01</x:v>
      </x:c>
      <x:c r="F506" t="n">
        <x:v>8</x:v>
      </x:c>
      <x:c r="G506" t="n">
        <x:v>5</x:v>
      </x:c>
      <x:c r="H506" t="n">
        <x:v>0</x:v>
      </x:c>
      <x:c r="I506" t="str">
        <x:v>À qualifier par lieu</x:v>
      </x:c>
      <x:c r="J506" t="str">
        <x:v>https://github.com/darknigthmare/deadwall-last-enclosure/blob/e28f46223e73105ab2c5d83f3d50b99b58ef53e6/codex-3000/originaux/DEADWALL_CODEX_SUPPLEMENT_1.23/FICHES_501_1000/DW-0501.md</x:v>
      </x:c>
      <x:c r="K506" t="str">
        <x:v>Source min 10,9 m ; max 10,9 m ; modèle 26 × 22 m ; niveaux 0, 1. Détails dans catalogue-existant.json.</x:v>
      </x:c>
    </x:row>
    <x:row r="507">
      <x:c r="A507" t="str">
        <x:v>DW-0502</x:v>
      </x:c>
      <x:c r="B507" t="str">
        <x:v>DW-0502</x:v>
      </x:c>
      <x:c r="C507" t="str">
        <x:v>Parent historique</x:v>
      </x:c>
      <x:c r="D507" t="str">
        <x:v>habitat</x:v>
      </x:c>
      <x:c r="E507" t="str">
        <x:v>Maison mitoyenne — variante 01</x:v>
      </x:c>
      <x:c r="F507" t="n">
        <x:v>8</x:v>
      </x:c>
      <x:c r="G507" t="n">
        <x:v>5</x:v>
      </x:c>
      <x:c r="H507" t="n">
        <x:v>0</x:v>
      </x:c>
      <x:c r="I507" t="str">
        <x:v>À qualifier par lieu</x:v>
      </x:c>
      <x:c r="J507" t="str">
        <x:v>https://github.com/darknigthmare/deadwall-last-enclosure/blob/e28f46223e73105ab2c5d83f3d50b99b58ef53e6/codex-3000/originaux/DEADWALL_CODEX_SUPPLEMENT_1.23/FICHES_501_1000/DW-0502.md</x:v>
      </x:c>
      <x:c r="K507" t="str">
        <x:v>Source min 21,26 m ; max 21,26 m ; modèle 26 × 26 m ; niveaux 0. Détails dans catalogue-existant.json.</x:v>
      </x:c>
    </x:row>
    <x:row r="508">
      <x:c r="A508" t="str">
        <x:v>DW-0503</x:v>
      </x:c>
      <x:c r="B508" t="str">
        <x:v>DW-0503</x:v>
      </x:c>
      <x:c r="C508" t="str">
        <x:v>Parent historique</x:v>
      </x:c>
      <x:c r="D508" t="str">
        <x:v>habitat</x:v>
      </x:c>
      <x:c r="E508" t="str">
        <x:v>Villa isolée — variante 01</x:v>
      </x:c>
      <x:c r="F508" t="n">
        <x:v>8</x:v>
      </x:c>
      <x:c r="G508" t="n">
        <x:v>7</x:v>
      </x:c>
      <x:c r="H508" t="n">
        <x:v>0</x:v>
      </x:c>
      <x:c r="I508" t="str">
        <x:v>À qualifier par lieu</x:v>
      </x:c>
      <x:c r="J508" t="str">
        <x:v>https://github.com/darknigthmare/deadwall-last-enclosure/blob/e28f46223e73105ab2c5d83f3d50b99b58ef53e6/codex-3000/originaux/DEADWALL_CODEX_SUPPLEMENT_1.23/FICHES_501_1000/DW-0503.md</x:v>
      </x:c>
      <x:c r="K508" t="str">
        <x:v>Source min 32,43 m ; max 32,43 m ; modèle 32 × 43 m ; niveaux 0. Détails dans catalogue-existant.json.</x:v>
      </x:c>
    </x:row>
    <x:row r="509">
      <x:c r="A509" t="str">
        <x:v>DW-0504</x:v>
      </x:c>
      <x:c r="B509" t="str">
        <x:v>DW-0504</x:v>
      </x:c>
      <x:c r="C509" t="str">
        <x:v>Parent historique</x:v>
      </x:c>
      <x:c r="D509" t="str">
        <x:v>habitat</x:v>
      </x:c>
      <x:c r="E509" t="str">
        <x:v>Ferme familiale — variante 01</x:v>
      </x:c>
      <x:c r="F509" t="n">
        <x:v>8</x:v>
      </x:c>
      <x:c r="G509" t="n">
        <x:v>6</x:v>
      </x:c>
      <x:c r="H509" t="n">
        <x:v>0</x:v>
      </x:c>
      <x:c r="I509" t="str">
        <x:v>À qualifier par lieu</x:v>
      </x:c>
      <x:c r="J509" t="str">
        <x:v>https://github.com/darknigthmare/deadwall-last-enclosure/blob/e28f46223e73105ab2c5d83f3d50b99b58ef53e6/codex-3000/originaux/DEADWALL_CODEX_SUPPLEMENT_1.23/FICHES_501_1000/DW-0504.md</x:v>
      </x:c>
      <x:c r="K509" t="str">
        <x:v>Source min 43,60 m ; max 43,60 m ; modèle 43 × 60 m ; niveaux 0. Détails dans catalogue-existant.json.</x:v>
      </x:c>
    </x:row>
    <x:row r="510">
      <x:c r="A510" t="str">
        <x:v>DW-0505</x:v>
      </x:c>
      <x:c r="B510" t="str">
        <x:v>DW-0505</x:v>
      </x:c>
      <x:c r="C510" t="str">
        <x:v>Parent historique</x:v>
      </x:c>
      <x:c r="D510" t="str">
        <x:v>habitat</x:v>
      </x:c>
      <x:c r="E510" t="str">
        <x:v>Immeuble résidentiel — variante 01</x:v>
      </x:c>
      <x:c r="F510" t="n">
        <x:v>8</x:v>
      </x:c>
      <x:c r="G510" t="n">
        <x:v>5</x:v>
      </x:c>
      <x:c r="H510" t="n">
        <x:v>0</x:v>
      </x:c>
      <x:c r="I510" t="str">
        <x:v>À qualifier par lieu</x:v>
      </x:c>
      <x:c r="J510" t="str">
        <x:v>https://github.com/darknigthmare/deadwall-last-enclosure/blob/e28f46223e73105ab2c5d83f3d50b99b58ef53e6/codex-3000/originaux/DEADWALL_CODEX_SUPPLEMENT_1.23/FICHES_501_1000/DW-0505.md</x:v>
      </x:c>
      <x:c r="K510" t="str">
        <x:v>Source min 54,23 m ; max 54,23 m ; modèle 54 × 23 m ; niveaux 0, 1, 2. Détails dans catalogue-existant.json.</x:v>
      </x:c>
    </x:row>
    <x:row r="511">
      <x:c r="A511" t="str">
        <x:v>DW-0506</x:v>
      </x:c>
      <x:c r="B511" t="str">
        <x:v>DW-0506</x:v>
      </x:c>
      <x:c r="C511" t="str">
        <x:v>Parent historique</x:v>
      </x:c>
      <x:c r="D511" t="str">
        <x:v>habitat</x:v>
      </x:c>
      <x:c r="E511" t="str">
        <x:v>Barre de logements — variante 01</x:v>
      </x:c>
      <x:c r="F511" t="n">
        <x:v>8</x:v>
      </x:c>
      <x:c r="G511" t="n">
        <x:v>5</x:v>
      </x:c>
      <x:c r="H511" t="n">
        <x:v>0</x:v>
      </x:c>
      <x:c r="I511" t="str">
        <x:v>À qualifier par lieu</x:v>
      </x:c>
      <x:c r="J511" t="str">
        <x:v>https://github.com/darknigthmare/deadwall-last-enclosure/blob/e28f46223e73105ab2c5d83f3d50b99b58ef53e6/codex-3000/originaux/DEADWALL_CODEX_SUPPLEMENT_1.23/FICHES_501_1000/DW-0506.md</x:v>
      </x:c>
      <x:c r="K511" t="str">
        <x:v>Source min 65,40 m ; max 65,40 m ; modèle 65 × 40 m ; niveaux 0, 1, 2. Détails dans catalogue-existant.json.</x:v>
      </x:c>
    </x:row>
    <x:row r="512">
      <x:c r="A512" t="str">
        <x:v>DW-0507</x:v>
      </x:c>
      <x:c r="B512" t="str">
        <x:v>DW-0507</x:v>
      </x:c>
      <x:c r="C512" t="str">
        <x:v>Parent historique</x:v>
      </x:c>
      <x:c r="D512" t="str">
        <x:v>habitat</x:v>
      </x:c>
      <x:c r="E512" t="str">
        <x:v>Résidence senior — variante 01</x:v>
      </x:c>
      <x:c r="F512" t="n">
        <x:v>8</x:v>
      </x:c>
      <x:c r="G512" t="n">
        <x:v>5</x:v>
      </x:c>
      <x:c r="H512" t="n">
        <x:v>0</x:v>
      </x:c>
      <x:c r="I512" t="str">
        <x:v>À qualifier par lieu</x:v>
      </x:c>
      <x:c r="J512" t="str">
        <x:v>https://github.com/darknigthmare/deadwall-last-enclosure/blob/e28f46223e73105ab2c5d83f3d50b99b58ef53e6/codex-3000/originaux/DEADWALL_CODEX_SUPPLEMENT_1.23/FICHES_501_1000/DW-0507.md</x:v>
      </x:c>
      <x:c r="K512" t="str">
        <x:v>Source min 76,57 m ; max 76,57 m ; modèle 76 × 57 m ; niveaux 0, 1. Détails dans catalogue-existant.json.</x:v>
      </x:c>
    </x:row>
    <x:row r="513">
      <x:c r="A513" t="str">
        <x:v>DW-0508</x:v>
      </x:c>
      <x:c r="B513" t="str">
        <x:v>DW-0508</x:v>
      </x:c>
      <x:c r="C513" t="str">
        <x:v>Parent historique</x:v>
      </x:c>
      <x:c r="D513" t="str">
        <x:v>habitat</x:v>
      </x:c>
      <x:c r="E513" t="str">
        <x:v>Maison avec sous-sol — variante 01</x:v>
      </x:c>
      <x:c r="F513" t="n">
        <x:v>8</x:v>
      </x:c>
      <x:c r="G513" t="n">
        <x:v>5</x:v>
      </x:c>
      <x:c r="H513" t="n">
        <x:v>0</x:v>
      </x:c>
      <x:c r="I513" t="str">
        <x:v>À qualifier par lieu</x:v>
      </x:c>
      <x:c r="J513" t="str">
        <x:v>https://github.com/darknigthmare/deadwall-last-enclosure/blob/e28f46223e73105ab2c5d83f3d50b99b58ef53e6/codex-3000/originaux/DEADWALL_CODEX_SUPPLEMENT_1.23/FICHES_501_1000/DW-0508.md</x:v>
      </x:c>
      <x:c r="K513" t="str">
        <x:v>Source min 15,20 m ; max 15,20 m ; modèle 26 × 22 m ; niveaux 0. Détails dans catalogue-existant.json.</x:v>
      </x:c>
    </x:row>
    <x:row r="514">
      <x:c r="A514" t="str">
        <x:v>DW-0509</x:v>
      </x:c>
      <x:c r="B514" t="str">
        <x:v>DW-0509</x:v>
      </x:c>
      <x:c r="C514" t="str">
        <x:v>Parent historique</x:v>
      </x:c>
      <x:c r="D514" t="str">
        <x:v>commerce</x:v>
      </x:c>
      <x:c r="E514" t="str">
        <x:v>Supérette — variante 01</x:v>
      </x:c>
      <x:c r="F514" t="n">
        <x:v>8</x:v>
      </x:c>
      <x:c r="G514" t="n">
        <x:v>5</x:v>
      </x:c>
      <x:c r="H514" t="n">
        <x:v>0</x:v>
      </x:c>
      <x:c r="I514" t="str">
        <x:v>À qualifier par lieu</x:v>
      </x:c>
      <x:c r="J514" t="str">
        <x:v>https://github.com/darknigthmare/deadwall-last-enclosure/blob/e28f46223e73105ab2c5d83f3d50b99b58ef53e6/codex-3000/originaux/DEADWALL_CODEX_SUPPLEMENT_1.23/FICHES_501_1000/DW-0509.md</x:v>
      </x:c>
      <x:c r="K514" t="str">
        <x:v>Source min 26,37 m ; max 26,37 m ; modèle 26 × 37 m ; niveaux 0, 1. Détails dans catalogue-existant.json.</x:v>
      </x:c>
    </x:row>
    <x:row r="515">
      <x:c r="A515" t="str">
        <x:v>DW-0510</x:v>
      </x:c>
      <x:c r="B515" t="str">
        <x:v>DW-0510</x:v>
      </x:c>
      <x:c r="C515" t="str">
        <x:v>Parent historique</x:v>
      </x:c>
      <x:c r="D515" t="str">
        <x:v>commerce</x:v>
      </x:c>
      <x:c r="E515" t="str">
        <x:v>Centre commercial — variante 01</x:v>
      </x:c>
      <x:c r="F515" t="n">
        <x:v>8</x:v>
      </x:c>
      <x:c r="G515" t="n">
        <x:v>6</x:v>
      </x:c>
      <x:c r="H515" t="n">
        <x:v>0</x:v>
      </x:c>
      <x:c r="I515" t="str">
        <x:v>À qualifier par lieu</x:v>
      </x:c>
      <x:c r="J515" t="str">
        <x:v>https://github.com/darknigthmare/deadwall-last-enclosure/blob/e28f46223e73105ab2c5d83f3d50b99b58ef53e6/codex-3000/originaux/DEADWALL_CODEX_SUPPLEMENT_1.23/FICHES_501_1000/DW-0510.md</x:v>
      </x:c>
      <x:c r="K515" t="str">
        <x:v>Source min 37,54 m ; max 37,54 m ; modèle 37 × 54 m ; niveaux 0. Détails dans catalogue-existant.json.</x:v>
      </x:c>
    </x:row>
    <x:row r="516">
      <x:c r="A516" t="str">
        <x:v>DW-0511</x:v>
      </x:c>
      <x:c r="B516" t="str">
        <x:v>DW-0511</x:v>
      </x:c>
      <x:c r="C516" t="str">
        <x:v>Parent historique</x:v>
      </x:c>
      <x:c r="D516" t="str">
        <x:v>commerce</x:v>
      </x:c>
      <x:c r="E516" t="str">
        <x:v>Supermarché — variante 01</x:v>
      </x:c>
      <x:c r="F516" t="n">
        <x:v>8</x:v>
      </x:c>
      <x:c r="G516" t="n">
        <x:v>7</x:v>
      </x:c>
      <x:c r="H516" t="n">
        <x:v>0</x:v>
      </x:c>
      <x:c r="I516" t="str">
        <x:v>À qualifier par lieu</x:v>
      </x:c>
      <x:c r="J516" t="str">
        <x:v>https://github.com/darknigthmare/deadwall-last-enclosure/blob/e28f46223e73105ab2c5d83f3d50b99b58ef53e6/codex-3000/originaux/DEADWALL_CODEX_SUPPLEMENT_1.23/FICHES_501_1000/DW-0511.md</x:v>
      </x:c>
      <x:c r="K516" t="str">
        <x:v>Source min 48,17 m ; max 48,17 m ; modèle 48 × 29 m ; niveaux 0. Détails dans catalogue-existant.json.</x:v>
      </x:c>
    </x:row>
    <x:row r="517">
      <x:c r="A517" t="str">
        <x:v>DW-0512</x:v>
      </x:c>
      <x:c r="B517" t="str">
        <x:v>DW-0512</x:v>
      </x:c>
      <x:c r="C517" t="str">
        <x:v>Parent historique</x:v>
      </x:c>
      <x:c r="D517" t="str">
        <x:v>commerce</x:v>
      </x:c>
      <x:c r="E517" t="str">
        <x:v>Magasin de bricolage — variante 01</x:v>
      </x:c>
      <x:c r="F517" t="n">
        <x:v>8</x:v>
      </x:c>
      <x:c r="G517" t="n">
        <x:v>5</x:v>
      </x:c>
      <x:c r="H517" t="n">
        <x:v>0</x:v>
      </x:c>
      <x:c r="I517" t="str">
        <x:v>À qualifier par lieu</x:v>
      </x:c>
      <x:c r="J517" t="str">
        <x:v>https://github.com/darknigthmare/deadwall-last-enclosure/blob/e28f46223e73105ab2c5d83f3d50b99b58ef53e6/codex-3000/originaux/DEADWALL_CODEX_SUPPLEMENT_1.23/FICHES_501_1000/DW-0512.md</x:v>
      </x:c>
      <x:c r="K517" t="str">
        <x:v>Source min 59,34 m ; max 59,34 m ; modèle 59 × 34 m ; niveaux 0. Détails dans catalogue-existant.json.</x:v>
      </x:c>
    </x:row>
    <x:row r="518">
      <x:c r="A518" t="str">
        <x:v>DW-0513</x:v>
      </x:c>
      <x:c r="B518" t="str">
        <x:v>DW-0513</x:v>
      </x:c>
      <x:c r="C518" t="str">
        <x:v>Parent historique</x:v>
      </x:c>
      <x:c r="D518" t="str">
        <x:v>commerce</x:v>
      </x:c>
      <x:c r="E518" t="str">
        <x:v>Pharmacie — variante 01</x:v>
      </x:c>
      <x:c r="F518" t="n">
        <x:v>8</x:v>
      </x:c>
      <x:c r="G518" t="n">
        <x:v>4</x:v>
      </x:c>
      <x:c r="H518" t="n">
        <x:v>0</x:v>
      </x:c>
      <x:c r="I518" t="str">
        <x:v>À qualifier par lieu</x:v>
      </x:c>
      <x:c r="J518" t="str">
        <x:v>https://github.com/darknigthmare/deadwall-last-enclosure/blob/e28f46223e73105ab2c5d83f3d50b99b58ef53e6/codex-3000/originaux/DEADWALL_CODEX_SUPPLEMENT_1.23/FICHES_501_1000/DW-0513.md</x:v>
      </x:c>
      <x:c r="K518" t="str">
        <x:v>Source min 70,51 m ; max 70,51 m ; modèle 70 × 51 m ; niveaux 0, 1. Détails dans catalogue-existant.json.</x:v>
      </x:c>
    </x:row>
    <x:row r="519">
      <x:c r="A519" t="str">
        <x:v>DW-0514</x:v>
      </x:c>
      <x:c r="B519" t="str">
        <x:v>DW-0514</x:v>
      </x:c>
      <x:c r="C519" t="str">
        <x:v>Parent historique</x:v>
      </x:c>
      <x:c r="D519" t="str">
        <x:v>commerce</x:v>
      </x:c>
      <x:c r="E519" t="str">
        <x:v>Station-service — variante 01</x:v>
      </x:c>
      <x:c r="F519" t="n">
        <x:v>8</x:v>
      </x:c>
      <x:c r="G519" t="n">
        <x:v>5</x:v>
      </x:c>
      <x:c r="H519" t="n">
        <x:v>0</x:v>
      </x:c>
      <x:c r="I519" t="str">
        <x:v>À qualifier par lieu</x:v>
      </x:c>
      <x:c r="J519" t="str">
        <x:v>https://github.com/darknigthmare/deadwall-last-enclosure/blob/e28f46223e73105ab2c5d83f3d50b99b58ef53e6/codex-3000/originaux/DEADWALL_CODEX_SUPPLEMENT_1.23/FICHES_501_1000/DW-0514.md</x:v>
      </x:c>
      <x:c r="K519" t="str">
        <x:v>Source min 81,14 m ; max 81,14 m ; modèle 78 × 22 m ; niveaux 0. Détails dans catalogue-existant.json.</x:v>
      </x:c>
    </x:row>
    <x:row r="520">
      <x:c r="A520" t="str">
        <x:v>DW-0515</x:v>
      </x:c>
      <x:c r="B520" t="str">
        <x:v>DW-0515</x:v>
      </x:c>
      <x:c r="C520" t="str">
        <x:v>Parent historique</x:v>
      </x:c>
      <x:c r="D520" t="str">
        <x:v>commerce</x:v>
      </x:c>
      <x:c r="E520" t="str">
        <x:v>Restaurant routier — variante 01</x:v>
      </x:c>
      <x:c r="F520" t="n">
        <x:v>8</x:v>
      </x:c>
      <x:c r="G520" t="n">
        <x:v>5</x:v>
      </x:c>
      <x:c r="H520" t="n">
        <x:v>0</x:v>
      </x:c>
      <x:c r="I520" t="str">
        <x:v>À qualifier par lieu</x:v>
      </x:c>
      <x:c r="J520" t="str">
        <x:v>https://github.com/darknigthmare/deadwall-last-enclosure/blob/e28f46223e73105ab2c5d83f3d50b99b58ef53e6/codex-3000/originaux/DEADWALL_CODEX_SUPPLEMENT_1.23/FICHES_501_1000/DW-0515.md</x:v>
      </x:c>
      <x:c r="K520" t="str">
        <x:v>Source min 20,31 m ; max 20,31 m ; modèle 26 × 31 m ; niveaux 0. Détails dans catalogue-existant.json.</x:v>
      </x:c>
    </x:row>
    <x:row r="521">
      <x:c r="A521" t="str">
        <x:v>DW-0516</x:v>
      </x:c>
      <x:c r="B521" t="str">
        <x:v>DW-0516</x:v>
      </x:c>
      <x:c r="C521" t="str">
        <x:v>Parent historique</x:v>
      </x:c>
      <x:c r="D521" t="str">
        <x:v>commerce</x:v>
      </x:c>
      <x:c r="E521" t="str">
        <x:v>Hôtel — variante 01</x:v>
      </x:c>
      <x:c r="F521" t="n">
        <x:v>8</x:v>
      </x:c>
      <x:c r="G521" t="n">
        <x:v>6</x:v>
      </x:c>
      <x:c r="H521" t="n">
        <x:v>0</x:v>
      </x:c>
      <x:c r="I521" t="str">
        <x:v>À qualifier par lieu</x:v>
      </x:c>
      <x:c r="J521" t="str">
        <x:v>https://github.com/darknigthmare/deadwall-last-enclosure/blob/e28f46223e73105ab2c5d83f3d50b99b58ef53e6/codex-3000/originaux/DEADWALL_CODEX_SUPPLEMENT_1.23/FICHES_501_1000/DW-0516.md</x:v>
      </x:c>
      <x:c r="K521" t="str">
        <x:v>Source min 31,48 m ; max 31,48 m ; modèle 31 × 48 m ; niveaux 0. Détails dans catalogue-existant.json.</x:v>
      </x:c>
    </x:row>
    <x:row r="522">
      <x:c r="A522" t="str">
        <x:v>DW-0517</x:v>
      </x:c>
      <x:c r="B522" t="str">
        <x:v>DW-0517</x:v>
      </x:c>
      <x:c r="C522" t="str">
        <x:v>Parent historique</x:v>
      </x:c>
      <x:c r="D522" t="str">
        <x:v>industrie</x:v>
      </x:c>
      <x:c r="E522" t="str">
        <x:v>Scierie — variante 01</x:v>
      </x:c>
      <x:c r="F522" t="n">
        <x:v>8</x:v>
      </x:c>
      <x:c r="G522" t="n">
        <x:v>5</x:v>
      </x:c>
      <x:c r="H522" t="n">
        <x:v>0</x:v>
      </x:c>
      <x:c r="I522" t="str">
        <x:v>À qualifier par lieu</x:v>
      </x:c>
      <x:c r="J522" t="str">
        <x:v>https://github.com/darknigthmare/deadwall-last-enclosure/blob/e28f46223e73105ab2c5d83f3d50b99b58ef53e6/codex-3000/originaux/DEADWALL_CODEX_SUPPLEMENT_1.23/FICHES_501_1000/DW-0517.md</x:v>
      </x:c>
      <x:c r="K522" t="str">
        <x:v>Source min 42,11 m ; max 42,11 m ; modèle 42 × 22 m ; niveaux 0. Détails dans catalogue-existant.json.</x:v>
      </x:c>
    </x:row>
    <x:row r="523">
      <x:c r="A523" t="str">
        <x:v>DW-0518</x:v>
      </x:c>
      <x:c r="B523" t="str">
        <x:v>DW-0518</x:v>
      </x:c>
      <x:c r="C523" t="str">
        <x:v>Parent historique</x:v>
      </x:c>
      <x:c r="D523" t="str">
        <x:v>industrie</x:v>
      </x:c>
      <x:c r="E523" t="str">
        <x:v>Garage automobile — variante 01</x:v>
      </x:c>
      <x:c r="F523" t="n">
        <x:v>8</x:v>
      </x:c>
      <x:c r="G523" t="n">
        <x:v>5</x:v>
      </x:c>
      <x:c r="H523" t="n">
        <x:v>0</x:v>
      </x:c>
      <x:c r="I523" t="str">
        <x:v>À qualifier par lieu</x:v>
      </x:c>
      <x:c r="J523" t="str">
        <x:v>https://github.com/darknigthmare/deadwall-last-enclosure/blob/e28f46223e73105ab2c5d83f3d50b99b58ef53e6/codex-3000/originaux/DEADWALL_CODEX_SUPPLEMENT_1.23/FICHES_501_1000/DW-0518.md</x:v>
      </x:c>
      <x:c r="K523" t="str">
        <x:v>Source min 53,28 m ; max 53,28 m ; modèle 53 × 28 m ; niveaux 0. Détails dans catalogue-existant.json.</x:v>
      </x:c>
    </x:row>
    <x:row r="524">
      <x:c r="A524" t="str">
        <x:v>DW-0519</x:v>
      </x:c>
      <x:c r="B524" t="str">
        <x:v>DW-0519</x:v>
      </x:c>
      <x:c r="C524" t="str">
        <x:v>Parent historique</x:v>
      </x:c>
      <x:c r="D524" t="str">
        <x:v>industrie</x:v>
      </x:c>
      <x:c r="E524" t="str">
        <x:v>Entrepôt logistique — variante 01</x:v>
      </x:c>
      <x:c r="F524" t="n">
        <x:v>8</x:v>
      </x:c>
      <x:c r="G524" t="n">
        <x:v>5</x:v>
      </x:c>
      <x:c r="H524" t="n">
        <x:v>0</x:v>
      </x:c>
      <x:c r="I524" t="str">
        <x:v>À qualifier par lieu</x:v>
      </x:c>
      <x:c r="J524" t="str">
        <x:v>https://github.com/darknigthmare/deadwall-last-enclosure/blob/e28f46223e73105ab2c5d83f3d50b99b58ef53e6/codex-3000/originaux/DEADWALL_CODEX_SUPPLEMENT_1.23/FICHES_501_1000/DW-0519.md</x:v>
      </x:c>
      <x:c r="K524" t="str">
        <x:v>Source min 64,45 m ; max 64,45 m ; modèle 64 × 45 m ; niveaux 0. Détails dans catalogue-existant.json.</x:v>
      </x:c>
    </x:row>
    <x:row r="525">
      <x:c r="A525" t="str">
        <x:v>DW-0520</x:v>
      </x:c>
      <x:c r="B525" t="str">
        <x:v>DW-0520</x:v>
      </x:c>
      <x:c r="C525" t="str">
        <x:v>Parent historique</x:v>
      </x:c>
      <x:c r="D525" t="str">
        <x:v>industrie</x:v>
      </x:c>
      <x:c r="E525" t="str">
        <x:v>Petite usine — variante 01</x:v>
      </x:c>
      <x:c r="F525" t="n">
        <x:v>8</x:v>
      </x:c>
      <x:c r="G525" t="n">
        <x:v>5</x:v>
      </x:c>
      <x:c r="H525" t="n">
        <x:v>0</x:v>
      </x:c>
      <x:c r="I525" t="str">
        <x:v>À qualifier par lieu</x:v>
      </x:c>
      <x:c r="J525" t="str">
        <x:v>https://github.com/darknigthmare/deadwall-last-enclosure/blob/e28f46223e73105ab2c5d83f3d50b99b58ef53e6/codex-3000/originaux/DEADWALL_CODEX_SUPPLEMENT_1.23/FICHES_501_1000/DW-0520.md</x:v>
      </x:c>
      <x:c r="K525" t="str">
        <x:v>Source min 75,62 m ; max 75,62 m ; modèle 75 × 62 m ; niveaux 0. Détails dans catalogue-existant.json.</x:v>
      </x:c>
    </x:row>
    <x:row r="526">
      <x:c r="A526" t="str">
        <x:v>DW-0521</x:v>
      </x:c>
      <x:c r="B526" t="str">
        <x:v>DW-0521</x:v>
      </x:c>
      <x:c r="C526" t="str">
        <x:v>Parent historique</x:v>
      </x:c>
      <x:c r="D526" t="str">
        <x:v>industrie</x:v>
      </x:c>
      <x:c r="E526" t="str">
        <x:v>Carrière — variante 01</x:v>
      </x:c>
      <x:c r="F526" t="n">
        <x:v>8</x:v>
      </x:c>
      <x:c r="G526" t="n">
        <x:v>5</x:v>
      </x:c>
      <x:c r="H526" t="n">
        <x:v>0</x:v>
      </x:c>
      <x:c r="I526" t="str">
        <x:v>À qualifier par lieu</x:v>
      </x:c>
      <x:c r="J526" t="str">
        <x:v>https://github.com/darknigthmare/deadwall-last-enclosure/blob/e28f46223e73105ab2c5d83f3d50b99b58ef53e6/codex-3000/originaux/DEADWALL_CODEX_SUPPLEMENT_1.23/FICHES_501_1000/DW-0521.md</x:v>
      </x:c>
      <x:c r="K526" t="str">
        <x:v>Source min 14,25 m ; max 14,25 m ; modèle 26 × 25 m ; niveaux 0. Détails dans catalogue-existant.json.</x:v>
      </x:c>
    </x:row>
    <x:row r="527">
      <x:c r="A527" t="str">
        <x:v>DW-0522</x:v>
      </x:c>
      <x:c r="B527" t="str">
        <x:v>DW-0522</x:v>
      </x:c>
      <x:c r="C527" t="str">
        <x:v>Parent historique</x:v>
      </x:c>
      <x:c r="D527" t="str">
        <x:v>industrie</x:v>
      </x:c>
      <x:c r="E527" t="str">
        <x:v>Mine — variante 01</x:v>
      </x:c>
      <x:c r="F527" t="n">
        <x:v>8</x:v>
      </x:c>
      <x:c r="G527" t="n">
        <x:v>6</x:v>
      </x:c>
      <x:c r="H527" t="n">
        <x:v>0</x:v>
      </x:c>
      <x:c r="I527" t="str">
        <x:v>À qualifier par lieu</x:v>
      </x:c>
      <x:c r="J527" t="str">
        <x:v>https://github.com/darknigthmare/deadwall-last-enclosure/blob/e28f46223e73105ab2c5d83f3d50b99b58ef53e6/codex-3000/originaux/DEADWALL_CODEX_SUPPLEMENT_1.23/FICHES_501_1000/DW-0522.md</x:v>
      </x:c>
      <x:c r="K527" t="str">
        <x:v>Source min 25,42 m ; max 25,42 m ; modèle 28 × 42 m ; niveaux 0. Détails dans catalogue-existant.json.</x:v>
      </x:c>
    </x:row>
    <x:row r="528">
      <x:c r="A528" t="str">
        <x:v>DW-0523</x:v>
      </x:c>
      <x:c r="B528" t="str">
        <x:v>DW-0523</x:v>
      </x:c>
      <x:c r="C528" t="str">
        <x:v>Parent historique</x:v>
      </x:c>
      <x:c r="D528" t="str">
        <x:v>industrie</x:v>
      </x:c>
      <x:c r="E528" t="str">
        <x:v>Centrale locale — variante 01</x:v>
      </x:c>
      <x:c r="F528" t="n">
        <x:v>8</x:v>
      </x:c>
      <x:c r="G528" t="n">
        <x:v>5</x:v>
      </x:c>
      <x:c r="H528" t="n">
        <x:v>0</x:v>
      </x:c>
      <x:c r="I528" t="str">
        <x:v>À qualifier par lieu</x:v>
      </x:c>
      <x:c r="J528" t="str">
        <x:v>https://github.com/darknigthmare/deadwall-last-enclosure/blob/e28f46223e73105ab2c5d83f3d50b99b58ef53e6/codex-3000/originaux/DEADWALL_CODEX_SUPPLEMENT_1.23/FICHES_501_1000/DW-0523.md</x:v>
      </x:c>
      <x:c r="K528" t="str">
        <x:v>Source min 36,59 m ; max 36,59 m ; modèle 36 × 59 m ; niveaux 0. Détails dans catalogue-existant.json.</x:v>
      </x:c>
    </x:row>
    <x:row r="529">
      <x:c r="A529" t="str">
        <x:v>DW-0524</x:v>
      </x:c>
      <x:c r="B529" t="str">
        <x:v>DW-0524</x:v>
      </x:c>
      <x:c r="C529" t="str">
        <x:v>Parent historique</x:v>
      </x:c>
      <x:c r="D529" t="str">
        <x:v>industrie</x:v>
      </x:c>
      <x:c r="E529" t="str">
        <x:v>Station de pompage — variante 01</x:v>
      </x:c>
      <x:c r="F529" t="n">
        <x:v>8</x:v>
      </x:c>
      <x:c r="G529" t="n">
        <x:v>5</x:v>
      </x:c>
      <x:c r="H529" t="n">
        <x:v>0</x:v>
      </x:c>
      <x:c r="I529" t="str">
        <x:v>À qualifier par lieu</x:v>
      </x:c>
      <x:c r="J529" t="str">
        <x:v>https://github.com/darknigthmare/deadwall-last-enclosure/blob/e28f46223e73105ab2c5d83f3d50b99b58ef53e6/codex-3000/originaux/DEADWALL_CODEX_SUPPLEMENT_1.23/FICHES_501_1000/DW-0524.md</x:v>
      </x:c>
      <x:c r="K529" t="str">
        <x:v>Source min 47,22 m ; max 47,22 m ; modèle 47 × 22 m ; niveaux 0. Détails dans catalogue-existant.json.</x:v>
      </x:c>
    </x:row>
    <x:row r="530">
      <x:c r="A530" t="str">
        <x:v>DW-0525</x:v>
      </x:c>
      <x:c r="B530" t="str">
        <x:v>DW-0525</x:v>
      </x:c>
      <x:c r="C530" t="str">
        <x:v>Parent historique</x:v>
      </x:c>
      <x:c r="D530" t="str">
        <x:v>public</x:v>
      </x:c>
      <x:c r="E530" t="str">
        <x:v>École — variante 01</x:v>
      </x:c>
      <x:c r="F530" t="n">
        <x:v>8</x:v>
      </x:c>
      <x:c r="G530" t="n">
        <x:v>5</x:v>
      </x:c>
      <x:c r="H530" t="n">
        <x:v>0</x:v>
      </x:c>
      <x:c r="I530" t="str">
        <x:v>À qualifier par lieu</x:v>
      </x:c>
      <x:c r="J530" t="str">
        <x:v>https://github.com/darknigthmare/deadwall-last-enclosure/blob/e28f46223e73105ab2c5d83f3d50b99b58ef53e6/codex-3000/originaux/DEADWALL_CODEX_SUPPLEMENT_1.23/FICHES_501_1000/DW-0525.md</x:v>
      </x:c>
      <x:c r="K530" t="str">
        <x:v>Source min 58,39 m ; max 58,39 m ; modèle 58 × 39 m ; niveaux 0, 1. Détails dans catalogue-existant.json.</x:v>
      </x:c>
    </x:row>
    <x:row r="531">
      <x:c r="A531" t="str">
        <x:v>DW-0526</x:v>
      </x:c>
      <x:c r="B531" t="str">
        <x:v>DW-0526</x:v>
      </x:c>
      <x:c r="C531" t="str">
        <x:v>Parent historique</x:v>
      </x:c>
      <x:c r="D531" t="str">
        <x:v>public</x:v>
      </x:c>
      <x:c r="E531" t="str">
        <x:v>Mairie — variante 01</x:v>
      </x:c>
      <x:c r="F531" t="n">
        <x:v>8</x:v>
      </x:c>
      <x:c r="G531" t="n">
        <x:v>5</x:v>
      </x:c>
      <x:c r="H531" t="n">
        <x:v>0</x:v>
      </x:c>
      <x:c r="I531" t="str">
        <x:v>À qualifier par lieu</x:v>
      </x:c>
      <x:c r="J531" t="str">
        <x:v>https://github.com/darknigthmare/deadwall-last-enclosure/blob/e28f46223e73105ab2c5d83f3d50b99b58ef53e6/codex-3000/originaux/DEADWALL_CODEX_SUPPLEMENT_1.23/FICHES_501_1000/DW-0526.md</x:v>
      </x:c>
      <x:c r="K531" t="str">
        <x:v>Source min 69,56 m ; max 69,56 m ; modèle 69 × 56 m ; niveaux 0. Détails dans catalogue-existant.json.</x:v>
      </x:c>
    </x:row>
    <x:row r="532">
      <x:c r="A532" t="str">
        <x:v>DW-0527</x:v>
      </x:c>
      <x:c r="B532" t="str">
        <x:v>DW-0527</x:v>
      </x:c>
      <x:c r="C532" t="str">
        <x:v>Parent historique</x:v>
      </x:c>
      <x:c r="D532" t="str">
        <x:v>public</x:v>
      </x:c>
      <x:c r="E532" t="str">
        <x:v>Clinique — variante 01</x:v>
      </x:c>
      <x:c r="F532" t="n">
        <x:v>8</x:v>
      </x:c>
      <x:c r="G532" t="n">
        <x:v>6</x:v>
      </x:c>
      <x:c r="H532" t="n">
        <x:v>0</x:v>
      </x:c>
      <x:c r="I532" t="str">
        <x:v>À qualifier par lieu</x:v>
      </x:c>
      <x:c r="J532" t="str">
        <x:v>https://github.com/darknigthmare/deadwall-last-enclosure/blob/e28f46223e73105ab2c5d83f3d50b99b58ef53e6/codex-3000/originaux/DEADWALL_CODEX_SUPPLEMENT_1.23/FICHES_501_1000/DW-0527.md</x:v>
      </x:c>
      <x:c r="K532" t="str">
        <x:v>Source min 80,19 m ; max 80,19 m ; modèle 78 × 22 m ; niveaux 0. Détails dans catalogue-existant.json.</x:v>
      </x:c>
    </x:row>
    <x:row r="533">
      <x:c r="A533" t="str">
        <x:v>DW-0528</x:v>
      </x:c>
      <x:c r="B533" t="str">
        <x:v>DW-0528</x:v>
      </x:c>
      <x:c r="C533" t="str">
        <x:v>Parent historique</x:v>
      </x:c>
      <x:c r="D533" t="str">
        <x:v>public</x:v>
      </x:c>
      <x:c r="E533" t="str">
        <x:v>Caserne de pompiers — variante 01</x:v>
      </x:c>
      <x:c r="F533" t="n">
        <x:v>8</x:v>
      </x:c>
      <x:c r="G533" t="n">
        <x:v>6</x:v>
      </x:c>
      <x:c r="H533" t="n">
        <x:v>0</x:v>
      </x:c>
      <x:c r="I533" t="str">
        <x:v>À qualifier par lieu</x:v>
      </x:c>
      <x:c r="J533" t="str">
        <x:v>https://github.com/darknigthmare/deadwall-last-enclosure/blob/e28f46223e73105ab2c5d83f3d50b99b58ef53e6/codex-3000/originaux/DEADWALL_CODEX_SUPPLEMENT_1.23/FICHES_501_1000/DW-0528.md</x:v>
      </x:c>
      <x:c r="K533" t="str">
        <x:v>Source min 19,36 m ; max 19,36 m ; modèle 28 × 36 m ; niveaux 0. Détails dans catalogue-existant.json.</x:v>
      </x:c>
    </x:row>
    <x:row r="534">
      <x:c r="A534" t="str">
        <x:v>DW-0529</x:v>
      </x:c>
      <x:c r="B534" t="str">
        <x:v>DW-0529</x:v>
      </x:c>
      <x:c r="C534" t="str">
        <x:v>Parent historique</x:v>
      </x:c>
      <x:c r="D534" t="str">
        <x:v>public</x:v>
      </x:c>
      <x:c r="E534" t="str">
        <x:v>Poste de police — variante 01</x:v>
      </x:c>
      <x:c r="F534" t="n">
        <x:v>8</x:v>
      </x:c>
      <x:c r="G534" t="n">
        <x:v>5</x:v>
      </x:c>
      <x:c r="H534" t="n">
        <x:v>0</x:v>
      </x:c>
      <x:c r="I534" t="str">
        <x:v>À qualifier par lieu</x:v>
      </x:c>
      <x:c r="J534" t="str">
        <x:v>https://github.com/darknigthmare/deadwall-last-enclosure/blob/e28f46223e73105ab2c5d83f3d50b99b58ef53e6/codex-3000/originaux/DEADWALL_CODEX_SUPPLEMENT_1.23/FICHES_501_1000/DW-0529.md</x:v>
      </x:c>
      <x:c r="K534" t="str">
        <x:v>Source min 30,53 m ; max 30,53 m ; modèle 30 × 53 m ; niveaux 0, 1. Détails dans catalogue-existant.json.</x:v>
      </x:c>
    </x:row>
    <x:row r="535">
      <x:c r="A535" t="str">
        <x:v>DW-0530</x:v>
      </x:c>
      <x:c r="B535" t="str">
        <x:v>DW-0530</x:v>
      </x:c>
      <x:c r="C535" t="str">
        <x:v>Parent historique</x:v>
      </x:c>
      <x:c r="D535" t="str">
        <x:v>public</x:v>
      </x:c>
      <x:c r="E535" t="str">
        <x:v>Bibliothèque — variante 01</x:v>
      </x:c>
      <x:c r="F535" t="n">
        <x:v>8</x:v>
      </x:c>
      <x:c r="G535" t="n">
        <x:v>5</x:v>
      </x:c>
      <x:c r="H535" t="n">
        <x:v>0</x:v>
      </x:c>
      <x:c r="I535" t="str">
        <x:v>À qualifier par lieu</x:v>
      </x:c>
      <x:c r="J535" t="str">
        <x:v>https://github.com/darknigthmare/deadwall-last-enclosure/blob/e28f46223e73105ab2c5d83f3d50b99b58ef53e6/codex-3000/originaux/DEADWALL_CODEX_SUPPLEMENT_1.23/FICHES_501_1000/DW-0530.md</x:v>
      </x:c>
      <x:c r="K535" t="str">
        <x:v>Source min 41,16 m ; max 41,16 m ; modèle 41 × 22 m ; niveaux 0. Détails dans catalogue-existant.json.</x:v>
      </x:c>
    </x:row>
    <x:row r="536">
      <x:c r="A536" t="str">
        <x:v>DW-0531</x:v>
      </x:c>
      <x:c r="B536" t="str">
        <x:v>DW-0531</x:v>
      </x:c>
      <x:c r="C536" t="str">
        <x:v>Parent historique</x:v>
      </x:c>
      <x:c r="D536" t="str">
        <x:v>public</x:v>
      </x:c>
      <x:c r="E536" t="str">
        <x:v>Salle des fêtes — variante 01</x:v>
      </x:c>
      <x:c r="F536" t="n">
        <x:v>8</x:v>
      </x:c>
      <x:c r="G536" t="n">
        <x:v>5</x:v>
      </x:c>
      <x:c r="H536" t="n">
        <x:v>0</x:v>
      </x:c>
      <x:c r="I536" t="str">
        <x:v>À qualifier par lieu</x:v>
      </x:c>
      <x:c r="J536" t="str">
        <x:v>https://github.com/darknigthmare/deadwall-last-enclosure/blob/e28f46223e73105ab2c5d83f3d50b99b58ef53e6/codex-3000/originaux/DEADWALL_CODEX_SUPPLEMENT_1.23/FICHES_501_1000/DW-0531.md</x:v>
      </x:c>
      <x:c r="K536" t="str">
        <x:v>Source min 52,33 m ; max 52,33 m ; modèle 52 × 33 m ; niveaux 0. Détails dans catalogue-existant.json.</x:v>
      </x:c>
    </x:row>
    <x:row r="537">
      <x:c r="A537" t="str">
        <x:v>DW-0532</x:v>
      </x:c>
      <x:c r="B537" t="str">
        <x:v>DW-0532</x:v>
      </x:c>
      <x:c r="C537" t="str">
        <x:v>Parent historique</x:v>
      </x:c>
      <x:c r="D537" t="str">
        <x:v>public</x:v>
      </x:c>
      <x:c r="E537" t="str">
        <x:v>Église et presbytère — variante 01</x:v>
      </x:c>
      <x:c r="F537" t="n">
        <x:v>8</x:v>
      </x:c>
      <x:c r="G537" t="n">
        <x:v>5</x:v>
      </x:c>
      <x:c r="H537" t="n">
        <x:v>0</x:v>
      </x:c>
      <x:c r="I537" t="str">
        <x:v>À qualifier par lieu</x:v>
      </x:c>
      <x:c r="J537" t="str">
        <x:v>https://github.com/darknigthmare/deadwall-last-enclosure/blob/e28f46223e73105ab2c5d83f3d50b99b58ef53e6/codex-3000/originaux/DEADWALL_CODEX_SUPPLEMENT_1.23/FICHES_501_1000/DW-0532.md</x:v>
      </x:c>
      <x:c r="K537" t="str">
        <x:v>Source min 63,50 m ; max 63,50 m ; modèle 63 × 50 m ; niveaux 0. Détails dans catalogue-existant.json.</x:v>
      </x:c>
    </x:row>
    <x:row r="538">
      <x:c r="A538" t="str">
        <x:v>DW-0533</x:v>
      </x:c>
      <x:c r="B538" t="str">
        <x:v>DW-0533</x:v>
      </x:c>
      <x:c r="C538" t="str">
        <x:v>Parent historique</x:v>
      </x:c>
      <x:c r="D538" t="str">
        <x:v>rural</x:v>
      </x:c>
      <x:c r="E538" t="str">
        <x:v>Hameau agricole — variante 01</x:v>
      </x:c>
      <x:c r="F538" t="n">
        <x:v>8</x:v>
      </x:c>
      <x:c r="G538" t="n">
        <x:v>6</x:v>
      </x:c>
      <x:c r="H538" t="n">
        <x:v>0</x:v>
      </x:c>
      <x:c r="I538" t="str">
        <x:v>À qualifier par lieu</x:v>
      </x:c>
      <x:c r="J538" t="str">
        <x:v>https://github.com/darknigthmare/deadwall-last-enclosure/blob/e28f46223e73105ab2c5d83f3d50b99b58ef53e6/codex-3000/originaux/DEADWALL_CODEX_SUPPLEMENT_1.23/FICHES_501_1000/DW-0533.md</x:v>
      </x:c>
      <x:c r="K538" t="str">
        <x:v>Source min 74,13 m ; max 74,13 m ; modèle 74 × 22 m ; niveaux 0. Détails dans catalogue-existant.json.</x:v>
      </x:c>
    </x:row>
    <x:row r="539">
      <x:c r="A539" t="str">
        <x:v>DW-0534</x:v>
      </x:c>
      <x:c r="B539" t="str">
        <x:v>DW-0534</x:v>
      </x:c>
      <x:c r="C539" t="str">
        <x:v>Parent historique</x:v>
      </x:c>
      <x:c r="D539" t="str">
        <x:v>rural</x:v>
      </x:c>
      <x:c r="E539" t="str">
        <x:v>Cabane forestière — variante 01</x:v>
      </x:c>
      <x:c r="F539" t="n">
        <x:v>8</x:v>
      </x:c>
      <x:c r="G539" t="n">
        <x:v>4</x:v>
      </x:c>
      <x:c r="H539" t="n">
        <x:v>0</x:v>
      </x:c>
      <x:c r="I539" t="str">
        <x:v>À qualifier par lieu</x:v>
      </x:c>
      <x:c r="J539" t="str">
        <x:v>https://github.com/darknigthmare/deadwall-last-enclosure/blob/e28f46223e73105ab2c5d83f3d50b99b58ef53e6/codex-3000/originaux/DEADWALL_CODEX_SUPPLEMENT_1.23/FICHES_501_1000/DW-0534.md</x:v>
      </x:c>
      <x:c r="K539" t="str">
        <x:v>Source min 13,30 m ; max 13,30 m ; modèle 25 × 30 m ; niveaux 0. Détails dans catalogue-existant.json.</x:v>
      </x:c>
    </x:row>
    <x:row r="540">
      <x:c r="A540" t="str">
        <x:v>DW-0535</x:v>
      </x:c>
      <x:c r="B540" t="str">
        <x:v>DW-0535</x:v>
      </x:c>
      <x:c r="C540" t="str">
        <x:v>Parent historique</x:v>
      </x:c>
      <x:c r="D540" t="str">
        <x:v>rural</x:v>
      </x:c>
      <x:c r="E540" t="str">
        <x:v>Dépôt forestier — variante 01</x:v>
      </x:c>
      <x:c r="F540" t="n">
        <x:v>8</x:v>
      </x:c>
      <x:c r="G540" t="n">
        <x:v>5</x:v>
      </x:c>
      <x:c r="H540" t="n">
        <x:v>0</x:v>
      </x:c>
      <x:c r="I540" t="str">
        <x:v>À qualifier par lieu</x:v>
      </x:c>
      <x:c r="J540" t="str">
        <x:v>https://github.com/darknigthmare/deadwall-last-enclosure/blob/e28f46223e73105ab2c5d83f3d50b99b58ef53e6/codex-3000/originaux/DEADWALL_CODEX_SUPPLEMENT_1.23/FICHES_501_1000/DW-0535.md</x:v>
      </x:c>
      <x:c r="K540" t="str">
        <x:v>Source min 24,47 m ; max 24,47 m ; modèle 26 × 47 m ; niveaux 0. Détails dans catalogue-existant.json.</x:v>
      </x:c>
    </x:row>
    <x:row r="541">
      <x:c r="A541" t="str">
        <x:v>DW-0536</x:v>
      </x:c>
      <x:c r="B541" t="str">
        <x:v>DW-0536</x:v>
      </x:c>
      <x:c r="C541" t="str">
        <x:v>Parent historique</x:v>
      </x:c>
      <x:c r="D541" t="str">
        <x:v>rural</x:v>
      </x:c>
      <x:c r="E541" t="str">
        <x:v>Ferme céréalière — variante 01</x:v>
      </x:c>
      <x:c r="F541" t="n">
        <x:v>8</x:v>
      </x:c>
      <x:c r="G541" t="n">
        <x:v>5</x:v>
      </x:c>
      <x:c r="H541" t="n">
        <x:v>0</x:v>
      </x:c>
      <x:c r="I541" t="str">
        <x:v>À qualifier par lieu</x:v>
      </x:c>
      <x:c r="J541" t="str">
        <x:v>https://github.com/darknigthmare/deadwall-last-enclosure/blob/e28f46223e73105ab2c5d83f3d50b99b58ef53e6/codex-3000/originaux/DEADWALL_CODEX_SUPPLEMENT_1.23/FICHES_501_1000/DW-0536.md</x:v>
      </x:c>
      <x:c r="K541" t="str">
        <x:v>Source min 35,10 m ; max 35,10 m ; modèle 35 × 22 m ; niveaux 0. Détails dans catalogue-existant.json.</x:v>
      </x:c>
    </x:row>
    <x:row r="542">
      <x:c r="A542" t="str">
        <x:v>DW-0537</x:v>
      </x:c>
      <x:c r="B542" t="str">
        <x:v>DW-0537</x:v>
      </x:c>
      <x:c r="C542" t="str">
        <x:v>Parent historique</x:v>
      </x:c>
      <x:c r="D542" t="str">
        <x:v>rural</x:v>
      </x:c>
      <x:c r="E542" t="str">
        <x:v>Ferme d'élevage — variante 01</x:v>
      </x:c>
      <x:c r="F542" t="n">
        <x:v>8</x:v>
      </x:c>
      <x:c r="G542" t="n">
        <x:v>5</x:v>
      </x:c>
      <x:c r="H542" t="n">
        <x:v>0</x:v>
      </x:c>
      <x:c r="I542" t="str">
        <x:v>À qualifier par lieu</x:v>
      </x:c>
      <x:c r="J542" t="str">
        <x:v>https://github.com/darknigthmare/deadwall-last-enclosure/blob/e28f46223e73105ab2c5d83f3d50b99b58ef53e6/codex-3000/originaux/DEADWALL_CODEX_SUPPLEMENT_1.23/FICHES_501_1000/DW-0537.md</x:v>
      </x:c>
      <x:c r="K542" t="str">
        <x:v>Source min 46,27 m ; max 46,27 m ; modèle 46 × 27 m ; niveaux 0. Détails dans catalogue-existant.json.</x:v>
      </x:c>
    </x:row>
    <x:row r="543">
      <x:c r="A543" t="str">
        <x:v>DW-0538</x:v>
      </x:c>
      <x:c r="B543" t="str">
        <x:v>DW-0538</x:v>
      </x:c>
      <x:c r="C543" t="str">
        <x:v>Parent historique</x:v>
      </x:c>
      <x:c r="D543" t="str">
        <x:v>rural</x:v>
      </x:c>
      <x:c r="E543" t="str">
        <x:v>Relais de chasse — variante 01</x:v>
      </x:c>
      <x:c r="F543" t="n">
        <x:v>8</x:v>
      </x:c>
      <x:c r="G543" t="n">
        <x:v>4</x:v>
      </x:c>
      <x:c r="H543" t="n">
        <x:v>0</x:v>
      </x:c>
      <x:c r="I543" t="str">
        <x:v>À qualifier par lieu</x:v>
      </x:c>
      <x:c r="J543" t="str">
        <x:v>https://github.com/darknigthmare/deadwall-last-enclosure/blob/e28f46223e73105ab2c5d83f3d50b99b58ef53e6/codex-3000/originaux/DEADWALL_CODEX_SUPPLEMENT_1.23/FICHES_501_1000/DW-0538.md</x:v>
      </x:c>
      <x:c r="K543" t="str">
        <x:v>Source min 57,44 m ; max 57,44 m ; modèle 57 × 44 m ; niveaux 0. Détails dans catalogue-existant.json.</x:v>
      </x:c>
    </x:row>
    <x:row r="544">
      <x:c r="A544" t="str">
        <x:v>DW-0539</x:v>
      </x:c>
      <x:c r="B544" t="str">
        <x:v>DW-0539</x:v>
      </x:c>
      <x:c r="C544" t="str">
        <x:v>Parent historique</x:v>
      </x:c>
      <x:c r="D544" t="str">
        <x:v>rural</x:v>
      </x:c>
      <x:c r="E544" t="str">
        <x:v>Moulin rural — variante 01</x:v>
      </x:c>
      <x:c r="F544" t="n">
        <x:v>8</x:v>
      </x:c>
      <x:c r="G544" t="n">
        <x:v>4</x:v>
      </x:c>
      <x:c r="H544" t="n">
        <x:v>0</x:v>
      </x:c>
      <x:c r="I544" t="str">
        <x:v>À qualifier par lieu</x:v>
      </x:c>
      <x:c r="J544" t="str">
        <x:v>https://github.com/darknigthmare/deadwall-last-enclosure/blob/e28f46223e73105ab2c5d83f3d50b99b58ef53e6/codex-3000/originaux/DEADWALL_CODEX_SUPPLEMENT_1.23/FICHES_501_1000/DW-0539.md</x:v>
      </x:c>
      <x:c r="K544" t="str">
        <x:v>Source min 68,61 m ; max 68,61 m ; modèle 68 × 61 m ; niveaux 0. Détails dans catalogue-existant.json.</x:v>
      </x:c>
    </x:row>
    <x:row r="545">
      <x:c r="A545" t="str">
        <x:v>DW-0540</x:v>
      </x:c>
      <x:c r="B545" t="str">
        <x:v>DW-0540</x:v>
      </x:c>
      <x:c r="C545" t="str">
        <x:v>Parent historique</x:v>
      </x:c>
      <x:c r="D545" t="str">
        <x:v>rural</x:v>
      </x:c>
      <x:c r="E545" t="str">
        <x:v>Serres maraîchères — variante 01</x:v>
      </x:c>
      <x:c r="F545" t="n">
        <x:v>8</x:v>
      </x:c>
      <x:c r="G545" t="n">
        <x:v>5</x:v>
      </x:c>
      <x:c r="H545" t="n">
        <x:v>0</x:v>
      </x:c>
      <x:c r="I545" t="str">
        <x:v>À qualifier par lieu</x:v>
      </x:c>
      <x:c r="J545" t="str">
        <x:v>https://github.com/darknigthmare/deadwall-last-enclosure/blob/e28f46223e73105ab2c5d83f3d50b99b58ef53e6/codex-3000/originaux/DEADWALL_CODEX_SUPPLEMENT_1.23/FICHES_501_1000/DW-0540.md</x:v>
      </x:c>
      <x:c r="K545" t="str">
        <x:v>Source min 79,24 m ; max 79,24 m ; modèle 78 × 24 m ; niveaux 0. Détails dans catalogue-existant.json.</x:v>
      </x:c>
    </x:row>
    <x:row r="546">
      <x:c r="A546" t="str">
        <x:v>DW-0541</x:v>
      </x:c>
      <x:c r="B546" t="str">
        <x:v>DW-0541</x:v>
      </x:c>
      <x:c r="C546" t="str">
        <x:v>Parent historique</x:v>
      </x:c>
      <x:c r="D546" t="str">
        <x:v>militaire</x:v>
      </x:c>
      <x:c r="E546" t="str">
        <x:v>Bunker de défense civile — variante 01</x:v>
      </x:c>
      <x:c r="F546" t="n">
        <x:v>8</x:v>
      </x:c>
      <x:c r="G546" t="n">
        <x:v>6</x:v>
      </x:c>
      <x:c r="H546" t="n">
        <x:v>0</x:v>
      </x:c>
      <x:c r="I546" t="str">
        <x:v>À qualifier par lieu</x:v>
      </x:c>
      <x:c r="J546" t="str">
        <x:v>https://github.com/darknigthmare/deadwall-last-enclosure/blob/e28f46223e73105ab2c5d83f3d50b99b58ef53e6/codex-3000/originaux/DEADWALL_CODEX_SUPPLEMENT_1.23/FICHES_501_1000/DW-0541.md</x:v>
      </x:c>
      <x:c r="K546" t="str">
        <x:v>Source min 18,41 m ; max 18,41 m ; modèle 28 × 41 m ; niveaux 0, 1. Détails dans catalogue-existant.json.</x:v>
      </x:c>
    </x:row>
    <x:row r="547">
      <x:c r="A547" t="str">
        <x:v>DW-0542</x:v>
      </x:c>
      <x:c r="B547" t="str">
        <x:v>DW-0542</x:v>
      </x:c>
      <x:c r="C547" t="str">
        <x:v>Parent historique</x:v>
      </x:c>
      <x:c r="D547" t="str">
        <x:v>militaire</x:v>
      </x:c>
      <x:c r="E547" t="str">
        <x:v>Dépôt militaire — variante 01</x:v>
      </x:c>
      <x:c r="F547" t="n">
        <x:v>8</x:v>
      </x:c>
      <x:c r="G547" t="n">
        <x:v>5</x:v>
      </x:c>
      <x:c r="H547" t="n">
        <x:v>0</x:v>
      </x:c>
      <x:c r="I547" t="str">
        <x:v>À qualifier par lieu</x:v>
      </x:c>
      <x:c r="J547" t="str">
        <x:v>https://github.com/darknigthmare/deadwall-last-enclosure/blob/e28f46223e73105ab2c5d83f3d50b99b58ef53e6/codex-3000/originaux/DEADWALL_CODEX_SUPPLEMENT_1.23/FICHES_501_1000/DW-0542.md</x:v>
      </x:c>
      <x:c r="K547" t="str">
        <x:v>Source min 29,58 m ; max 29,58 m ; modèle 29 × 58 m ; niveaux 0. Détails dans catalogue-existant.json.</x:v>
      </x:c>
    </x:row>
    <x:row r="548">
      <x:c r="A548" t="str">
        <x:v>DW-0543</x:v>
      </x:c>
      <x:c r="B548" t="str">
        <x:v>DW-0543</x:v>
      </x:c>
      <x:c r="C548" t="str">
        <x:v>Parent historique</x:v>
      </x:c>
      <x:c r="D548" t="str">
        <x:v>militaire</x:v>
      </x:c>
      <x:c r="E548" t="str">
        <x:v>Poste de contrôle — variante 01</x:v>
      </x:c>
      <x:c r="F548" t="n">
        <x:v>8</x:v>
      </x:c>
      <x:c r="G548" t="n">
        <x:v>5</x:v>
      </x:c>
      <x:c r="H548" t="n">
        <x:v>0</x:v>
      </x:c>
      <x:c r="I548" t="str">
        <x:v>À qualifier par lieu</x:v>
      </x:c>
      <x:c r="J548" t="str">
        <x:v>https://github.com/darknigthmare/deadwall-last-enclosure/blob/e28f46223e73105ab2c5d83f3d50b99b58ef53e6/codex-3000/originaux/DEADWALL_CODEX_SUPPLEMENT_1.23/FICHES_501_1000/DW-0543.md</x:v>
      </x:c>
      <x:c r="K548" t="str">
        <x:v>Source min 40,21 m ; max 40,21 m ; modèle 40 × 22 m ; niveaux 0. Détails dans catalogue-existant.json.</x:v>
      </x:c>
    </x:row>
    <x:row r="549">
      <x:c r="A549" t="str">
        <x:v>DW-0544</x:v>
      </x:c>
      <x:c r="B549" t="str">
        <x:v>DW-0544</x:v>
      </x:c>
      <x:c r="C549" t="str">
        <x:v>Parent historique</x:v>
      </x:c>
      <x:c r="D549" t="str">
        <x:v>militaire</x:v>
      </x:c>
      <x:c r="E549" t="str">
        <x:v>Camp retranché abandonné — variante 01</x:v>
      </x:c>
      <x:c r="F549" t="n">
        <x:v>8</x:v>
      </x:c>
      <x:c r="G549" t="n">
        <x:v>5</x:v>
      </x:c>
      <x:c r="H549" t="n">
        <x:v>0</x:v>
      </x:c>
      <x:c r="I549" t="str">
        <x:v>À qualifier par lieu</x:v>
      </x:c>
      <x:c r="J549" t="str">
        <x:v>https://github.com/darknigthmare/deadwall-last-enclosure/blob/e28f46223e73105ab2c5d83f3d50b99b58ef53e6/codex-3000/originaux/DEADWALL_CODEX_SUPPLEMENT_1.23/FICHES_501_1000/DW-0544.md</x:v>
      </x:c>
      <x:c r="K549" t="str">
        <x:v>Source min 51,38 m ; max 51,38 m ; modèle 51 × 38 m ; niveaux 0. Détails dans catalogue-existant.json.</x:v>
      </x:c>
    </x:row>
    <x:row r="550">
      <x:c r="A550" t="str">
        <x:v>DW-0545</x:v>
      </x:c>
      <x:c r="B550" t="str">
        <x:v>DW-0545</x:v>
      </x:c>
      <x:c r="C550" t="str">
        <x:v>Parent historique</x:v>
      </x:c>
      <x:c r="D550" t="str">
        <x:v>militaire</x:v>
      </x:c>
      <x:c r="E550" t="str">
        <x:v>Abri ferroviaire — variante 01</x:v>
      </x:c>
      <x:c r="F550" t="n">
        <x:v>8</x:v>
      </x:c>
      <x:c r="G550" t="n">
        <x:v>4</x:v>
      </x:c>
      <x:c r="H550" t="n">
        <x:v>0</x:v>
      </x:c>
      <x:c r="I550" t="str">
        <x:v>À qualifier par lieu</x:v>
      </x:c>
      <x:c r="J550" t="str">
        <x:v>https://github.com/darknigthmare/deadwall-last-enclosure/blob/e28f46223e73105ab2c5d83f3d50b99b58ef53e6/codex-3000/originaux/DEADWALL_CODEX_SUPPLEMENT_1.23/FICHES_501_1000/DW-0545.md</x:v>
      </x:c>
      <x:c r="K550" t="str">
        <x:v>Source min 62,55 m ; max 62,55 m ; modèle 62 × 55 m ; niveaux 0. Détails dans catalogue-existant.json.</x:v>
      </x:c>
    </x:row>
    <x:row r="551">
      <x:c r="A551" t="str">
        <x:v>DW-0546</x:v>
      </x:c>
      <x:c r="B551" t="str">
        <x:v>DW-0546</x:v>
      </x:c>
      <x:c r="C551" t="str">
        <x:v>Parent historique</x:v>
      </x:c>
      <x:c r="D551" t="str">
        <x:v>militaire</x:v>
      </x:c>
      <x:c r="E551" t="str">
        <x:v>Site radar — variante 01</x:v>
      </x:c>
      <x:c r="F551" t="n">
        <x:v>8</x:v>
      </x:c>
      <x:c r="G551" t="n">
        <x:v>5</x:v>
      </x:c>
      <x:c r="H551" t="n">
        <x:v>0</x:v>
      </x:c>
      <x:c r="I551" t="str">
        <x:v>À qualifier par lieu</x:v>
      </x:c>
      <x:c r="J551" t="str">
        <x:v>https://github.com/darknigthmare/deadwall-last-enclosure/blob/e28f46223e73105ab2c5d83f3d50b99b58ef53e6/codex-3000/originaux/DEADWALL_CODEX_SUPPLEMENT_1.23/FICHES_501_1000/DW-0546.md</x:v>
      </x:c>
      <x:c r="K551" t="str">
        <x:v>Source min 73,18 m ; max 73,18 m ; modèle 73 × 22 m ; niveaux 0. Détails dans catalogue-existant.json.</x:v>
      </x:c>
    </x:row>
    <x:row r="552">
      <x:c r="A552" t="str">
        <x:v>DW-0547</x:v>
      </x:c>
      <x:c r="B552" t="str">
        <x:v>DW-0547</x:v>
      </x:c>
      <x:c r="C552" t="str">
        <x:v>Parent historique</x:v>
      </x:c>
      <x:c r="D552" t="str">
        <x:v>militaire</x:v>
      </x:c>
      <x:c r="E552" t="str">
        <x:v>Batterie côtière — variante 01</x:v>
      </x:c>
      <x:c r="F552" t="n">
        <x:v>8</x:v>
      </x:c>
      <x:c r="G552" t="n">
        <x:v>4</x:v>
      </x:c>
      <x:c r="H552" t="n">
        <x:v>0</x:v>
      </x:c>
      <x:c r="I552" t="str">
        <x:v>À qualifier par lieu</x:v>
      </x:c>
      <x:c r="J552" t="str">
        <x:v>https://github.com/darknigthmare/deadwall-last-enclosure/blob/e28f46223e73105ab2c5d83f3d50b99b58ef53e6/codex-3000/originaux/DEADWALL_CODEX_SUPPLEMENT_1.23/FICHES_501_1000/DW-0547.md</x:v>
      </x:c>
      <x:c r="K552" t="str">
        <x:v>Source min 12,35 m ; max 12,35 m ; modèle 25 × 35 m ; niveaux 0. Détails dans catalogue-existant.json.</x:v>
      </x:c>
    </x:row>
    <x:row r="553">
      <x:c r="A553" t="str">
        <x:v>DW-0548</x:v>
      </x:c>
      <x:c r="B553" t="str">
        <x:v>DW-0548</x:v>
      </x:c>
      <x:c r="C553" t="str">
        <x:v>Parent historique</x:v>
      </x:c>
      <x:c r="D553" t="str">
        <x:v>militaire</x:v>
      </x:c>
      <x:c r="E553" t="str">
        <x:v>Dépôt carburant sécurisé — variante 01</x:v>
      </x:c>
      <x:c r="F553" t="n">
        <x:v>8</x:v>
      </x:c>
      <x:c r="G553" t="n">
        <x:v>5</x:v>
      </x:c>
      <x:c r="H553" t="n">
        <x:v>0</x:v>
      </x:c>
      <x:c r="I553" t="str">
        <x:v>À qualifier par lieu</x:v>
      </x:c>
      <x:c r="J553" t="str">
        <x:v>https://github.com/darknigthmare/deadwall-last-enclosure/blob/e28f46223e73105ab2c5d83f3d50b99b58ef53e6/codex-3000/originaux/DEADWALL_CODEX_SUPPLEMENT_1.23/FICHES_501_1000/DW-0548.md</x:v>
      </x:c>
      <x:c r="K553" t="str">
        <x:v>Source min 23,52 m ; max 23,52 m ; modèle 26 × 52 m ; niveaux 0. Détails dans catalogue-existant.json.</x:v>
      </x:c>
    </x:row>
    <x:row r="554">
      <x:c r="A554" t="str">
        <x:v>DW-0549</x:v>
      </x:c>
      <x:c r="B554" t="str">
        <x:v>DW-0549</x:v>
      </x:c>
      <x:c r="C554" t="str">
        <x:v>Parent historique</x:v>
      </x:c>
      <x:c r="D554" t="str">
        <x:v>transport</x:v>
      </x:c>
      <x:c r="E554" t="str">
        <x:v>Gare routière — variante 01</x:v>
      </x:c>
      <x:c r="F554" t="n">
        <x:v>8</x:v>
      </x:c>
      <x:c r="G554" t="n">
        <x:v>5</x:v>
      </x:c>
      <x:c r="H554" t="n">
        <x:v>0</x:v>
      </x:c>
      <x:c r="I554" t="str">
        <x:v>À qualifier par lieu</x:v>
      </x:c>
      <x:c r="J554" t="str">
        <x:v>https://github.com/darknigthmare/deadwall-last-enclosure/blob/e28f46223e73105ab2c5d83f3d50b99b58ef53e6/codex-3000/originaux/DEADWALL_CODEX_SUPPLEMENT_1.23/FICHES_501_1000/DW-0549.md</x:v>
      </x:c>
      <x:c r="K554" t="str">
        <x:v>Source min 34,15 m ; max 34,15 m ; modèle 34 × 22 m ; niveaux 0. Détails dans catalogue-existant.json.</x:v>
      </x:c>
    </x:row>
    <x:row r="555">
      <x:c r="A555" t="str">
        <x:v>DW-0550</x:v>
      </x:c>
      <x:c r="B555" t="str">
        <x:v>DW-0550</x:v>
      </x:c>
      <x:c r="C555" t="str">
        <x:v>Parent historique</x:v>
      </x:c>
      <x:c r="D555" t="str">
        <x:v>transport</x:v>
      </x:c>
      <x:c r="E555" t="str">
        <x:v>Dépôt de bus — variante 01</x:v>
      </x:c>
      <x:c r="F555" t="n">
        <x:v>8</x:v>
      </x:c>
      <x:c r="G555" t="n">
        <x:v>5</x:v>
      </x:c>
      <x:c r="H555" t="n">
        <x:v>0</x:v>
      </x:c>
      <x:c r="I555" t="str">
        <x:v>À qualifier par lieu</x:v>
      </x:c>
      <x:c r="J555" t="str">
        <x:v>https://github.com/darknigthmare/deadwall-last-enclosure/blob/e28f46223e73105ab2c5d83f3d50b99b58ef53e6/codex-3000/originaux/DEADWALL_CODEX_SUPPLEMENT_1.23/FICHES_501_1000/DW-0550.md</x:v>
      </x:c>
      <x:c r="K555" t="str">
        <x:v>Source min 45,32 m ; max 45,32 m ; modèle 45 × 32 m ; niveaux 0. Détails dans catalogue-existant.json.</x:v>
      </x:c>
    </x:row>
    <x:row r="556">
      <x:c r="A556" t="str">
        <x:v>DW-0551</x:v>
      </x:c>
      <x:c r="B556" t="str">
        <x:v>DW-0551</x:v>
      </x:c>
      <x:c r="C556" t="str">
        <x:v>Parent historique</x:v>
      </x:c>
      <x:c r="D556" t="str">
        <x:v>transport</x:v>
      </x:c>
      <x:c r="E556" t="str">
        <x:v>Gare ferroviaire — variante 01</x:v>
      </x:c>
      <x:c r="F556" t="n">
        <x:v>8</x:v>
      </x:c>
      <x:c r="G556" t="n">
        <x:v>5</x:v>
      </x:c>
      <x:c r="H556" t="n">
        <x:v>0</x:v>
      </x:c>
      <x:c r="I556" t="str">
        <x:v>À qualifier par lieu</x:v>
      </x:c>
      <x:c r="J556" t="str">
        <x:v>https://github.com/darknigthmare/deadwall-last-enclosure/blob/e28f46223e73105ab2c5d83f3d50b99b58ef53e6/codex-3000/originaux/DEADWALL_CODEX_SUPPLEMENT_1.23/FICHES_501_1000/DW-0551.md</x:v>
      </x:c>
      <x:c r="K556" t="str">
        <x:v>Source min 56,49 m ; max 56,49 m ; modèle 56 × 49 m ; niveaux 0. Détails dans catalogue-existant.json.</x:v>
      </x:c>
    </x:row>
    <x:row r="557">
      <x:c r="A557" t="str">
        <x:v>DW-0552</x:v>
      </x:c>
      <x:c r="B557" t="str">
        <x:v>DW-0552</x:v>
      </x:c>
      <x:c r="C557" t="str">
        <x:v>Parent historique</x:v>
      </x:c>
      <x:c r="D557" t="str">
        <x:v>transport</x:v>
      </x:c>
      <x:c r="E557" t="str">
        <x:v>Aire d'autoroute — variante 01</x:v>
      </x:c>
      <x:c r="F557" t="n">
        <x:v>8</x:v>
      </x:c>
      <x:c r="G557" t="n">
        <x:v>5</x:v>
      </x:c>
      <x:c r="H557" t="n">
        <x:v>0</x:v>
      </x:c>
      <x:c r="I557" t="str">
        <x:v>À qualifier par lieu</x:v>
      </x:c>
      <x:c r="J557" t="str">
        <x:v>https://github.com/darknigthmare/deadwall-last-enclosure/blob/e28f46223e73105ab2c5d83f3d50b99b58ef53e6/codex-3000/originaux/DEADWALL_CODEX_SUPPLEMENT_1.23/FICHES_501_1000/DW-0552.md</x:v>
      </x:c>
      <x:c r="K557" t="str">
        <x:v>Source min 67,12 m ; max 67,12 m ; modèle 67 × 22 m ; niveaux 0. Détails dans catalogue-existant.json.</x:v>
      </x:c>
    </x:row>
    <x:row r="558">
      <x:c r="A558" t="str">
        <x:v>DW-0553</x:v>
      </x:c>
      <x:c r="B558" t="str">
        <x:v>DW-0553</x:v>
      </x:c>
      <x:c r="C558" t="str">
        <x:v>Parent historique</x:v>
      </x:c>
      <x:c r="D558" t="str">
        <x:v>transport</x:v>
      </x:c>
      <x:c r="E558" t="str">
        <x:v>Parking silo — variante 01</x:v>
      </x:c>
      <x:c r="F558" t="n">
        <x:v>8</x:v>
      </x:c>
      <x:c r="G558" t="n">
        <x:v>4</x:v>
      </x:c>
      <x:c r="H558" t="n">
        <x:v>0</x:v>
      </x:c>
      <x:c r="I558" t="str">
        <x:v>À qualifier par lieu</x:v>
      </x:c>
      <x:c r="J558" t="str">
        <x:v>https://github.com/darknigthmare/deadwall-last-enclosure/blob/e28f46223e73105ab2c5d83f3d50b99b58ef53e6/codex-3000/originaux/DEADWALL_CODEX_SUPPLEMENT_1.23/FICHES_501_1000/DW-0553.md</x:v>
      </x:c>
      <x:c r="K558" t="str">
        <x:v>Source min 78,29 m ; max 78,29 m ; modèle 78 × 29 m ; niveaux 0. Détails dans catalogue-existant.json.</x:v>
      </x:c>
    </x:row>
    <x:row r="559">
      <x:c r="A559" t="str">
        <x:v>DW-0554</x:v>
      </x:c>
      <x:c r="B559" t="str">
        <x:v>DW-0554</x:v>
      </x:c>
      <x:c r="C559" t="str">
        <x:v>Parent historique</x:v>
      </x:c>
      <x:c r="D559" t="str">
        <x:v>transport</x:v>
      </x:c>
      <x:c r="E559" t="str">
        <x:v>Terminal poids lourds — variante 01</x:v>
      </x:c>
      <x:c r="F559" t="n">
        <x:v>8</x:v>
      </x:c>
      <x:c r="G559" t="n">
        <x:v>5</x:v>
      </x:c>
      <x:c r="H559" t="n">
        <x:v>0</x:v>
      </x:c>
      <x:c r="I559" t="str">
        <x:v>À qualifier par lieu</x:v>
      </x:c>
      <x:c r="J559" t="str">
        <x:v>https://github.com/darknigthmare/deadwall-last-enclosure/blob/e28f46223e73105ab2c5d83f3d50b99b58ef53e6/codex-3000/originaux/DEADWALL_CODEX_SUPPLEMENT_1.23/FICHES_501_1000/DW-0554.md</x:v>
      </x:c>
      <x:c r="K559" t="str">
        <x:v>Source min 17,46 m ; max 17,46 m ; modèle 26 × 46 m ; niveaux 0. Détails dans catalogue-existant.json.</x:v>
      </x:c>
    </x:row>
    <x:row r="560">
      <x:c r="A560" t="str">
        <x:v>DW-0555</x:v>
      </x:c>
      <x:c r="B560" t="str">
        <x:v>DW-0555</x:v>
      </x:c>
      <x:c r="C560" t="str">
        <x:v>Parent historique</x:v>
      </x:c>
      <x:c r="D560" t="str">
        <x:v>transport</x:v>
      </x:c>
      <x:c r="E560" t="str">
        <x:v>Port de plaisance — variante 01</x:v>
      </x:c>
      <x:c r="F560" t="n">
        <x:v>8</x:v>
      </x:c>
      <x:c r="G560" t="n">
        <x:v>5</x:v>
      </x:c>
      <x:c r="H560" t="n">
        <x:v>0</x:v>
      </x:c>
      <x:c r="I560" t="str">
        <x:v>À qualifier par lieu</x:v>
      </x:c>
      <x:c r="J560" t="str">
        <x:v>https://github.com/darknigthmare/deadwall-last-enclosure/blob/e28f46223e73105ab2c5d83f3d50b99b58ef53e6/codex-3000/originaux/DEADWALL_CODEX_SUPPLEMENT_1.23/FICHES_501_1000/DW-0555.md</x:v>
      </x:c>
      <x:c r="K560" t="str">
        <x:v>Source min 28,9 m ; max 28,9 m ; modèle 28 × 22 m ; niveaux 0. Détails dans catalogue-existant.json.</x:v>
      </x:c>
    </x:row>
    <x:row r="561">
      <x:c r="A561" t="str">
        <x:v>DW-0556</x:v>
      </x:c>
      <x:c r="B561" t="str">
        <x:v>DW-0556</x:v>
      </x:c>
      <x:c r="C561" t="str">
        <x:v>Parent historique</x:v>
      </x:c>
      <x:c r="D561" t="str">
        <x:v>transport</x:v>
      </x:c>
      <x:c r="E561" t="str">
        <x:v>Petit aérodrome — variante 01</x:v>
      </x:c>
      <x:c r="F561" t="n">
        <x:v>8</x:v>
      </x:c>
      <x:c r="G561" t="n">
        <x:v>5</x:v>
      </x:c>
      <x:c r="H561" t="n">
        <x:v>0</x:v>
      </x:c>
      <x:c r="I561" t="str">
        <x:v>À qualifier par lieu</x:v>
      </x:c>
      <x:c r="J561" t="str">
        <x:v>https://github.com/darknigthmare/deadwall-last-enclosure/blob/e28f46223e73105ab2c5d83f3d50b99b58ef53e6/codex-3000/originaux/DEADWALL_CODEX_SUPPLEMENT_1.23/FICHES_501_1000/DW-0556.md</x:v>
      </x:c>
      <x:c r="K561" t="str">
        <x:v>Source min 39,26 m ; max 39,26 m ; modèle 39 × 26 m ; niveaux 0. Détails dans catalogue-existant.json.</x:v>
      </x:c>
    </x:row>
    <x:row r="562">
      <x:c r="A562" t="str">
        <x:v>DW-0557</x:v>
      </x:c>
      <x:c r="B562" t="str">
        <x:v>DW-0557</x:v>
      </x:c>
      <x:c r="C562" t="str">
        <x:v>Parent historique</x:v>
      </x:c>
      <x:c r="D562" t="str">
        <x:v>ruines</x:v>
      </x:c>
      <x:c r="E562" t="str">
        <x:v>Maison incendiée — variante 01</x:v>
      </x:c>
      <x:c r="F562" t="n">
        <x:v>8</x:v>
      </x:c>
      <x:c r="G562" t="n">
        <x:v>3</x:v>
      </x:c>
      <x:c r="H562" t="n">
        <x:v>0</x:v>
      </x:c>
      <x:c r="I562" t="str">
        <x:v>À qualifier par lieu</x:v>
      </x:c>
      <x:c r="J562" t="str">
        <x:v>https://github.com/darknigthmare/deadwall-last-enclosure/blob/e28f46223e73105ab2c5d83f3d50b99b58ef53e6/codex-3000/originaux/DEADWALL_CODEX_SUPPLEMENT_1.23/FICHES_501_1000/DW-0557.md</x:v>
      </x:c>
      <x:c r="K562" t="str">
        <x:v>Source min 50,43 m ; max 50,43 m ; modèle 50 × 43 m ; niveaux 0, 1. Détails dans catalogue-existant.json.</x:v>
      </x:c>
    </x:row>
    <x:row r="563">
      <x:c r="A563" t="str">
        <x:v>DW-0558</x:v>
      </x:c>
      <x:c r="B563" t="str">
        <x:v>DW-0558</x:v>
      </x:c>
      <x:c r="C563" t="str">
        <x:v>Parent historique</x:v>
      </x:c>
      <x:c r="D563" t="str">
        <x:v>ruines</x:v>
      </x:c>
      <x:c r="E563" t="str">
        <x:v>Immeuble éventré — variante 01</x:v>
      </x:c>
      <x:c r="F563" t="n">
        <x:v>8</x:v>
      </x:c>
      <x:c r="G563" t="n">
        <x:v>4</x:v>
      </x:c>
      <x:c r="H563" t="n">
        <x:v>0</x:v>
      </x:c>
      <x:c r="I563" t="str">
        <x:v>À qualifier par lieu</x:v>
      </x:c>
      <x:c r="J563" t="str">
        <x:v>https://github.com/darknigthmare/deadwall-last-enclosure/blob/e28f46223e73105ab2c5d83f3d50b99b58ef53e6/codex-3000/originaux/DEADWALL_CODEX_SUPPLEMENT_1.23/FICHES_501_1000/DW-0558.md</x:v>
      </x:c>
      <x:c r="K563" t="str">
        <x:v>Source min 61,60 m ; max 61,60 m ; modèle 61 × 60 m ; niveaux 0, 1. Détails dans catalogue-existant.json.</x:v>
      </x:c>
    </x:row>
    <x:row r="564">
      <x:c r="A564" t="str">
        <x:v>DW-0559</x:v>
      </x:c>
      <x:c r="B564" t="str">
        <x:v>DW-0559</x:v>
      </x:c>
      <x:c r="C564" t="str">
        <x:v>Parent historique</x:v>
      </x:c>
      <x:c r="D564" t="str">
        <x:v>ruines</x:v>
      </x:c>
      <x:c r="E564" t="str">
        <x:v>Commerce pillé — variante 01</x:v>
      </x:c>
      <x:c r="F564" t="n">
        <x:v>8</x:v>
      </x:c>
      <x:c r="G564" t="n">
        <x:v>4</x:v>
      </x:c>
      <x:c r="H564" t="n">
        <x:v>0</x:v>
      </x:c>
      <x:c r="I564" t="str">
        <x:v>À qualifier par lieu</x:v>
      </x:c>
      <x:c r="J564" t="str">
        <x:v>https://github.com/darknigthmare/deadwall-last-enclosure/blob/e28f46223e73105ab2c5d83f3d50b99b58ef53e6/codex-3000/originaux/DEADWALL_CODEX_SUPPLEMENT_1.23/FICHES_501_1000/DW-0559.md</x:v>
      </x:c>
      <x:c r="K564" t="str">
        <x:v>Source min 72,23 m ; max 72,23 m ; modèle 72 × 23 m ; niveaux 0. Détails dans catalogue-existant.json.</x:v>
      </x:c>
    </x:row>
    <x:row r="565">
      <x:c r="A565" t="str">
        <x:v>DW-0560</x:v>
      </x:c>
      <x:c r="B565" t="str">
        <x:v>DW-0560</x:v>
      </x:c>
      <x:c r="C565" t="str">
        <x:v>Parent historique</x:v>
      </x:c>
      <x:c r="D565" t="str">
        <x:v>ruines</x:v>
      </x:c>
      <x:c r="E565" t="str">
        <x:v>Usine sinistrée — variante 01</x:v>
      </x:c>
      <x:c r="F565" t="n">
        <x:v>8</x:v>
      </x:c>
      <x:c r="G565" t="n">
        <x:v>4</x:v>
      </x:c>
      <x:c r="H565" t="n">
        <x:v>0</x:v>
      </x:c>
      <x:c r="I565" t="str">
        <x:v>À qualifier par lieu</x:v>
      </x:c>
      <x:c r="J565" t="str">
        <x:v>https://github.com/darknigthmare/deadwall-last-enclosure/blob/e28f46223e73105ab2c5d83f3d50b99b58ef53e6/codex-3000/originaux/DEADWALL_CODEX_SUPPLEMENT_1.23/FICHES_501_1000/DW-0560.md</x:v>
      </x:c>
      <x:c r="K565" t="str">
        <x:v>Source min 11,40 m ; max 11,40 m ; modèle 25 × 40 m ; niveaux 0. Détails dans catalogue-existant.json.</x:v>
      </x:c>
    </x:row>
    <x:row r="566">
      <x:c r="A566" t="str">
        <x:v>DW-0561</x:v>
      </x:c>
      <x:c r="B566" t="str">
        <x:v>DW-0561</x:v>
      </x:c>
      <x:c r="C566" t="str">
        <x:v>Parent historique</x:v>
      </x:c>
      <x:c r="D566" t="str">
        <x:v>ruines</x:v>
      </x:c>
      <x:c r="E566" t="str">
        <x:v>Hôtel abandonné — variante 01</x:v>
      </x:c>
      <x:c r="F566" t="n">
        <x:v>8</x:v>
      </x:c>
      <x:c r="G566" t="n">
        <x:v>5</x:v>
      </x:c>
      <x:c r="H566" t="n">
        <x:v>0</x:v>
      </x:c>
      <x:c r="I566" t="str">
        <x:v>À qualifier par lieu</x:v>
      </x:c>
      <x:c r="J566" t="str">
        <x:v>https://github.com/darknigthmare/deadwall-last-enclosure/blob/e28f46223e73105ab2c5d83f3d50b99b58ef53e6/codex-3000/originaux/DEADWALL_CODEX_SUPPLEMENT_1.23/FICHES_501_1000/DW-0561.md</x:v>
      </x:c>
      <x:c r="K566" t="str">
        <x:v>Source min 22,57 m ; max 22,57 m ; modèle 26 × 57 m ; niveaux 0, 1. Détails dans catalogue-existant.json.</x:v>
      </x:c>
    </x:row>
    <x:row r="567">
      <x:c r="A567" t="str">
        <x:v>DW-0562</x:v>
      </x:c>
      <x:c r="B567" t="str">
        <x:v>DW-0562</x:v>
      </x:c>
      <x:c r="C567" t="str">
        <x:v>Parent historique</x:v>
      </x:c>
      <x:c r="D567" t="str">
        <x:v>ruines</x:v>
      </x:c>
      <x:c r="E567" t="str">
        <x:v>Lotissement ravagé — variante 01</x:v>
      </x:c>
      <x:c r="F567" t="n">
        <x:v>8</x:v>
      </x:c>
      <x:c r="G567" t="n">
        <x:v>4</x:v>
      </x:c>
      <x:c r="H567" t="n">
        <x:v>0</x:v>
      </x:c>
      <x:c r="I567" t="str">
        <x:v>À qualifier par lieu</x:v>
      </x:c>
      <x:c r="J567" t="str">
        <x:v>https://github.com/darknigthmare/deadwall-last-enclosure/blob/e28f46223e73105ab2c5d83f3d50b99b58ef53e6/codex-3000/originaux/DEADWALL_CODEX_SUPPLEMENT_1.23/FICHES_501_1000/DW-0562.md</x:v>
      </x:c>
      <x:c r="K567" t="str">
        <x:v>Source min 33,20 m ; max 33,20 m ; modèle 33 × 20 m ; niveaux 0. Détails dans catalogue-existant.json.</x:v>
      </x:c>
    </x:row>
    <x:row r="568">
      <x:c r="A568" t="str">
        <x:v>DW-0563</x:v>
      </x:c>
      <x:c r="B568" t="str">
        <x:v>DW-0563</x:v>
      </x:c>
      <x:c r="C568" t="str">
        <x:v>Parent historique</x:v>
      </x:c>
      <x:c r="D568" t="str">
        <x:v>ruines</x:v>
      </x:c>
      <x:c r="E568" t="str">
        <x:v>Village déserté — variante 01</x:v>
      </x:c>
      <x:c r="F568" t="n">
        <x:v>8</x:v>
      </x:c>
      <x:c r="G568" t="n">
        <x:v>5</x:v>
      </x:c>
      <x:c r="H568" t="n">
        <x:v>0</x:v>
      </x:c>
      <x:c r="I568" t="str">
        <x:v>À qualifier par lieu</x:v>
      </x:c>
      <x:c r="J568" t="str">
        <x:v>https://github.com/darknigthmare/deadwall-last-enclosure/blob/e28f46223e73105ab2c5d83f3d50b99b58ef53e6/codex-3000/originaux/DEADWALL_CODEX_SUPPLEMENT_1.23/FICHES_501_1000/DW-0563.md</x:v>
      </x:c>
      <x:c r="K568" t="str">
        <x:v>Source min 44,37 m ; max 44,37 m ; modèle 44 × 37 m ; niveaux 0. Détails dans catalogue-existant.json.</x:v>
      </x:c>
    </x:row>
    <x:row r="569">
      <x:c r="A569" t="str">
        <x:v>DW-0564</x:v>
      </x:c>
      <x:c r="B569" t="str">
        <x:v>DW-0564</x:v>
      </x:c>
      <x:c r="C569" t="str">
        <x:v>Parent historique</x:v>
      </x:c>
      <x:c r="D569" t="str">
        <x:v>ruines</x:v>
      </x:c>
      <x:c r="E569" t="str">
        <x:v>Centre commercial effondré — variante 01</x:v>
      </x:c>
      <x:c r="F569" t="n">
        <x:v>8</x:v>
      </x:c>
      <x:c r="G569" t="n">
        <x:v>5</x:v>
      </x:c>
      <x:c r="H569" t="n">
        <x:v>0</x:v>
      </x:c>
      <x:c r="I569" t="str">
        <x:v>À qualifier par lieu</x:v>
      </x:c>
      <x:c r="J569" t="str">
        <x:v>https://github.com/darknigthmare/deadwall-last-enclosure/blob/e28f46223e73105ab2c5d83f3d50b99b58ef53e6/codex-3000/originaux/DEADWALL_CODEX_SUPPLEMENT_1.23/FICHES_501_1000/DW-0564.md</x:v>
      </x:c>
      <x:c r="K569" t="str">
        <x:v>Source min 55,54 m ; max 55,54 m ; modèle 55 × 54 m ; niveaux 0. Détails dans catalogue-existant.json.</x:v>
      </x:c>
    </x:row>
    <x:row r="570">
      <x:c r="A570" t="str">
        <x:v>DW-0565</x:v>
      </x:c>
      <x:c r="B570" t="str">
        <x:v>DW-0565</x:v>
      </x:c>
      <x:c r="C570" t="str">
        <x:v>Parent historique</x:v>
      </x:c>
      <x:c r="D570" t="str">
        <x:v>habitat</x:v>
      </x:c>
      <x:c r="E570" t="str">
        <x:v>Maison de lotissement — variante 02</x:v>
      </x:c>
      <x:c r="F570" t="n">
        <x:v>8</x:v>
      </x:c>
      <x:c r="G570" t="n">
        <x:v>5</x:v>
      </x:c>
      <x:c r="H570" t="n">
        <x:v>0</x:v>
      </x:c>
      <x:c r="I570" t="str">
        <x:v>À qualifier par lieu</x:v>
      </x:c>
      <x:c r="J570" t="str">
        <x:v>https://github.com/darknigthmare/deadwall-last-enclosure/blob/e28f46223e73105ab2c5d83f3d50b99b58ef53e6/codex-3000/originaux/DEADWALL_CODEX_SUPPLEMENT_1.23/FICHES_501_1000/DW-0565.md</x:v>
      </x:c>
      <x:c r="K570" t="str">
        <x:v>Source min 66,17 m ; max 66,17 m ; modèle 66 × 22 m ; niveaux 0, 1. Détails dans catalogue-existant.json.</x:v>
      </x:c>
    </x:row>
    <x:row r="571">
      <x:c r="A571" t="str">
        <x:v>DW-0566</x:v>
      </x:c>
      <x:c r="B571" t="str">
        <x:v>DW-0566</x:v>
      </x:c>
      <x:c r="C571" t="str">
        <x:v>Parent historique</x:v>
      </x:c>
      <x:c r="D571" t="str">
        <x:v>habitat</x:v>
      </x:c>
      <x:c r="E571" t="str">
        <x:v>Maison mitoyenne — variante 02</x:v>
      </x:c>
      <x:c r="F571" t="n">
        <x:v>8</x:v>
      </x:c>
      <x:c r="G571" t="n">
        <x:v>5</x:v>
      </x:c>
      <x:c r="H571" t="n">
        <x:v>0</x:v>
      </x:c>
      <x:c r="I571" t="str">
        <x:v>À qualifier par lieu</x:v>
      </x:c>
      <x:c r="J571" t="str">
        <x:v>https://github.com/darknigthmare/deadwall-last-enclosure/blob/e28f46223e73105ab2c5d83f3d50b99b58ef53e6/codex-3000/originaux/DEADWALL_CODEX_SUPPLEMENT_1.23/FICHES_501_1000/DW-0566.md</x:v>
      </x:c>
      <x:c r="K571" t="str">
        <x:v>Source min 77,34 m ; max 77,34 m ; modèle 77 × 34 m ; niveaux 0. Détails dans catalogue-existant.json.</x:v>
      </x:c>
    </x:row>
    <x:row r="572">
      <x:c r="A572" t="str">
        <x:v>DW-0567</x:v>
      </x:c>
      <x:c r="B572" t="str">
        <x:v>DW-0567</x:v>
      </x:c>
      <x:c r="C572" t="str">
        <x:v>Parent historique</x:v>
      </x:c>
      <x:c r="D572" t="str">
        <x:v>habitat</x:v>
      </x:c>
      <x:c r="E572" t="str">
        <x:v>Villa isolée — variante 02</x:v>
      </x:c>
      <x:c r="F572" t="n">
        <x:v>8</x:v>
      </x:c>
      <x:c r="G572" t="n">
        <x:v>7</x:v>
      </x:c>
      <x:c r="H572" t="n">
        <x:v>0</x:v>
      </x:c>
      <x:c r="I572" t="str">
        <x:v>À qualifier par lieu</x:v>
      </x:c>
      <x:c r="J572" t="str">
        <x:v>https://github.com/darknigthmare/deadwall-last-enclosure/blob/e28f46223e73105ab2c5d83f3d50b99b58ef53e6/codex-3000/originaux/DEADWALL_CODEX_SUPPLEMENT_1.23/FICHES_501_1000/DW-0567.md</x:v>
      </x:c>
      <x:c r="K572" t="str">
        <x:v>Source min 16,51 m ; max 16,51 m ; modèle 29 × 51 m ; niveaux 0. Détails dans catalogue-existant.json.</x:v>
      </x:c>
    </x:row>
    <x:row r="573">
      <x:c r="A573" t="str">
        <x:v>DW-0568</x:v>
      </x:c>
      <x:c r="B573" t="str">
        <x:v>DW-0568</x:v>
      </x:c>
      <x:c r="C573" t="str">
        <x:v>Parent historique</x:v>
      </x:c>
      <x:c r="D573" t="str">
        <x:v>habitat</x:v>
      </x:c>
      <x:c r="E573" t="str">
        <x:v>Ferme familiale — variante 02</x:v>
      </x:c>
      <x:c r="F573" t="n">
        <x:v>8</x:v>
      </x:c>
      <x:c r="G573" t="n">
        <x:v>6</x:v>
      </x:c>
      <x:c r="H573" t="n">
        <x:v>0</x:v>
      </x:c>
      <x:c r="I573" t="str">
        <x:v>À qualifier par lieu</x:v>
      </x:c>
      <x:c r="J573" t="str">
        <x:v>https://github.com/darknigthmare/deadwall-last-enclosure/blob/e28f46223e73105ab2c5d83f3d50b99b58ef53e6/codex-3000/originaux/DEADWALL_CODEX_SUPPLEMENT_1.23/FICHES_501_1000/DW-0568.md</x:v>
      </x:c>
      <x:c r="K573" t="str">
        <x:v>Source min 27,14 m ; max 27,14 m ; modèle 28 × 22 m ; niveaux 0. Détails dans catalogue-existant.json.</x:v>
      </x:c>
    </x:row>
    <x:row r="574">
      <x:c r="A574" t="str">
        <x:v>DW-0569</x:v>
      </x:c>
      <x:c r="B574" t="str">
        <x:v>DW-0569</x:v>
      </x:c>
      <x:c r="C574" t="str">
        <x:v>Parent historique</x:v>
      </x:c>
      <x:c r="D574" t="str">
        <x:v>habitat</x:v>
      </x:c>
      <x:c r="E574" t="str">
        <x:v>Immeuble résidentiel — variante 02</x:v>
      </x:c>
      <x:c r="F574" t="n">
        <x:v>8</x:v>
      </x:c>
      <x:c r="G574" t="n">
        <x:v>5</x:v>
      </x:c>
      <x:c r="H574" t="n">
        <x:v>0</x:v>
      </x:c>
      <x:c r="I574" t="str">
        <x:v>À qualifier par lieu</x:v>
      </x:c>
      <x:c r="J574" t="str">
        <x:v>https://github.com/darknigthmare/deadwall-last-enclosure/blob/e28f46223e73105ab2c5d83f3d50b99b58ef53e6/codex-3000/originaux/DEADWALL_CODEX_SUPPLEMENT_1.23/FICHES_501_1000/DW-0569.md</x:v>
      </x:c>
      <x:c r="K574" t="str">
        <x:v>Source min 38,31 m ; max 38,31 m ; modèle 38 × 31 m ; niveaux 0, 1, 2. Détails dans catalogue-existant.json.</x:v>
      </x:c>
    </x:row>
    <x:row r="575">
      <x:c r="A575" t="str">
        <x:v>DW-0570</x:v>
      </x:c>
      <x:c r="B575" t="str">
        <x:v>DW-0570</x:v>
      </x:c>
      <x:c r="C575" t="str">
        <x:v>Parent historique</x:v>
      </x:c>
      <x:c r="D575" t="str">
        <x:v>habitat</x:v>
      </x:c>
      <x:c r="E575" t="str">
        <x:v>Barre de logements — variante 02</x:v>
      </x:c>
      <x:c r="F575" t="n">
        <x:v>8</x:v>
      </x:c>
      <x:c r="G575" t="n">
        <x:v>5</x:v>
      </x:c>
      <x:c r="H575" t="n">
        <x:v>0</x:v>
      </x:c>
      <x:c r="I575" t="str">
        <x:v>À qualifier par lieu</x:v>
      </x:c>
      <x:c r="J575" t="str">
        <x:v>https://github.com/darknigthmare/deadwall-last-enclosure/blob/e28f46223e73105ab2c5d83f3d50b99b58ef53e6/codex-3000/originaux/DEADWALL_CODEX_SUPPLEMENT_1.23/FICHES_501_1000/DW-0570.md</x:v>
      </x:c>
      <x:c r="K575" t="str">
        <x:v>Source min 49,48 m ; max 49,48 m ; modèle 49 × 48 m ; niveaux 0, 1. Détails dans catalogue-existant.json.</x:v>
      </x:c>
    </x:row>
    <x:row r="576">
      <x:c r="A576" t="str">
        <x:v>DW-0571</x:v>
      </x:c>
      <x:c r="B576" t="str">
        <x:v>DW-0571</x:v>
      </x:c>
      <x:c r="C576" t="str">
        <x:v>Parent historique</x:v>
      </x:c>
      <x:c r="D576" t="str">
        <x:v>habitat</x:v>
      </x:c>
      <x:c r="E576" t="str">
        <x:v>Résidence senior — variante 02</x:v>
      </x:c>
      <x:c r="F576" t="n">
        <x:v>8</x:v>
      </x:c>
      <x:c r="G576" t="n">
        <x:v>5</x:v>
      </x:c>
      <x:c r="H576" t="n">
        <x:v>0</x:v>
      </x:c>
      <x:c r="I576" t="str">
        <x:v>À qualifier par lieu</x:v>
      </x:c>
      <x:c r="J576" t="str">
        <x:v>https://github.com/darknigthmare/deadwall-last-enclosure/blob/e28f46223e73105ab2c5d83f3d50b99b58ef53e6/codex-3000/originaux/DEADWALL_CODEX_SUPPLEMENT_1.23/FICHES_501_1000/DW-0571.md</x:v>
      </x:c>
      <x:c r="K576" t="str">
        <x:v>Source min 60,11 m ; max 60,11 m ; modèle 60 × 22 m ; niveaux 0, 1, 2. Détails dans catalogue-existant.json.</x:v>
      </x:c>
    </x:row>
    <x:row r="577">
      <x:c r="A577" t="str">
        <x:v>DW-0572</x:v>
      </x:c>
      <x:c r="B577" t="str">
        <x:v>DW-0572</x:v>
      </x:c>
      <x:c r="C577" t="str">
        <x:v>Parent historique</x:v>
      </x:c>
      <x:c r="D577" t="str">
        <x:v>habitat</x:v>
      </x:c>
      <x:c r="E577" t="str">
        <x:v>Maison avec sous-sol — variante 02</x:v>
      </x:c>
      <x:c r="F577" t="n">
        <x:v>8</x:v>
      </x:c>
      <x:c r="G577" t="n">
        <x:v>5</x:v>
      </x:c>
      <x:c r="H577" t="n">
        <x:v>0</x:v>
      </x:c>
      <x:c r="I577" t="str">
        <x:v>À qualifier par lieu</x:v>
      </x:c>
      <x:c r="J577" t="str">
        <x:v>https://github.com/darknigthmare/deadwall-last-enclosure/blob/e28f46223e73105ab2c5d83f3d50b99b58ef53e6/codex-3000/originaux/DEADWALL_CODEX_SUPPLEMENT_1.23/FICHES_501_1000/DW-0572.md</x:v>
      </x:c>
      <x:c r="K577" t="str">
        <x:v>Source min 71,28 m ; max 71,28 m ; modèle 71 × 28 m ; niveaux 0. Détails dans catalogue-existant.json.</x:v>
      </x:c>
    </x:row>
    <x:row r="578">
      <x:c r="A578" t="str">
        <x:v>DW-0573</x:v>
      </x:c>
      <x:c r="B578" t="str">
        <x:v>DW-0573</x:v>
      </x:c>
      <x:c r="C578" t="str">
        <x:v>Parent historique</x:v>
      </x:c>
      <x:c r="D578" t="str">
        <x:v>commerce</x:v>
      </x:c>
      <x:c r="E578" t="str">
        <x:v>Supérette — variante 02</x:v>
      </x:c>
      <x:c r="F578" t="n">
        <x:v>8</x:v>
      </x:c>
      <x:c r="G578" t="n">
        <x:v>5</x:v>
      </x:c>
      <x:c r="H578" t="n">
        <x:v>0</x:v>
      </x:c>
      <x:c r="I578" t="str">
        <x:v>À qualifier par lieu</x:v>
      </x:c>
      <x:c r="J578" t="str">
        <x:v>https://github.com/darknigthmare/deadwall-last-enclosure/blob/e28f46223e73105ab2c5d83f3d50b99b58ef53e6/codex-3000/originaux/DEADWALL_CODEX_SUPPLEMENT_1.23/FICHES_501_1000/DW-0573.md</x:v>
      </x:c>
      <x:c r="K578" t="str">
        <x:v>Source min 10,45 m ; max 10,45 m ; modèle 26 × 45 m ; niveaux 0, 1. Détails dans catalogue-existant.json.</x:v>
      </x:c>
    </x:row>
    <x:row r="579">
      <x:c r="A579" t="str">
        <x:v>DW-0574</x:v>
      </x:c>
      <x:c r="B579" t="str">
        <x:v>DW-0574</x:v>
      </x:c>
      <x:c r="C579" t="str">
        <x:v>Parent historique</x:v>
      </x:c>
      <x:c r="D579" t="str">
        <x:v>commerce</x:v>
      </x:c>
      <x:c r="E579" t="str">
        <x:v>Centre commercial — variante 02</x:v>
      </x:c>
      <x:c r="F579" t="n">
        <x:v>8</x:v>
      </x:c>
      <x:c r="G579" t="n">
        <x:v>6</x:v>
      </x:c>
      <x:c r="H579" t="n">
        <x:v>0</x:v>
      </x:c>
      <x:c r="I579" t="str">
        <x:v>À qualifier par lieu</x:v>
      </x:c>
      <x:c r="J579" t="str">
        <x:v>https://github.com/darknigthmare/deadwall-last-enclosure/blob/e28f46223e73105ab2c5d83f3d50b99b58ef53e6/codex-3000/originaux/DEADWALL_CODEX_SUPPLEMENT_1.23/FICHES_501_1000/DW-0574.md</x:v>
      </x:c>
      <x:c r="K579" t="str">
        <x:v>Source min 21,62 m ; max 21,62 m ; modèle 28 × 62 m ; niveaux 0. Détails dans catalogue-existant.json.</x:v>
      </x:c>
    </x:row>
    <x:row r="580">
      <x:c r="A580" t="str">
        <x:v>DW-0575</x:v>
      </x:c>
      <x:c r="B580" t="str">
        <x:v>DW-0575</x:v>
      </x:c>
      <x:c r="C580" t="str">
        <x:v>Parent historique</x:v>
      </x:c>
      <x:c r="D580" t="str">
        <x:v>commerce</x:v>
      </x:c>
      <x:c r="E580" t="str">
        <x:v>Supermarché — variante 02</x:v>
      </x:c>
      <x:c r="F580" t="n">
        <x:v>8</x:v>
      </x:c>
      <x:c r="G580" t="n">
        <x:v>7</x:v>
      </x:c>
      <x:c r="H580" t="n">
        <x:v>0</x:v>
      </x:c>
      <x:c r="I580" t="str">
        <x:v>À qualifier par lieu</x:v>
      </x:c>
      <x:c r="J580" t="str">
        <x:v>https://github.com/darknigthmare/deadwall-last-enclosure/blob/e28f46223e73105ab2c5d83f3d50b99b58ef53e6/codex-3000/originaux/DEADWALL_CODEX_SUPPLEMENT_1.23/FICHES_501_1000/DW-0575.md</x:v>
      </x:c>
      <x:c r="K580" t="str">
        <x:v>Source min 32,25 m ; max 32,25 m ; modèle 32 × 29 m ; niveaux 0. Détails dans catalogue-existant.json.</x:v>
      </x:c>
    </x:row>
    <x:row r="581">
      <x:c r="A581" t="str">
        <x:v>DW-0576</x:v>
      </x:c>
      <x:c r="B581" t="str">
        <x:v>DW-0576</x:v>
      </x:c>
      <x:c r="C581" t="str">
        <x:v>Parent historique</x:v>
      </x:c>
      <x:c r="D581" t="str">
        <x:v>commerce</x:v>
      </x:c>
      <x:c r="E581" t="str">
        <x:v>Magasin de bricolage — variante 02</x:v>
      </x:c>
      <x:c r="F581" t="n">
        <x:v>8</x:v>
      </x:c>
      <x:c r="G581" t="n">
        <x:v>5</x:v>
      </x:c>
      <x:c r="H581" t="n">
        <x:v>0</x:v>
      </x:c>
      <x:c r="I581" t="str">
        <x:v>À qualifier par lieu</x:v>
      </x:c>
      <x:c r="J581" t="str">
        <x:v>https://github.com/darknigthmare/deadwall-last-enclosure/blob/e28f46223e73105ab2c5d83f3d50b99b58ef53e6/codex-3000/originaux/DEADWALL_CODEX_SUPPLEMENT_1.23/FICHES_501_1000/DW-0576.md</x:v>
      </x:c>
      <x:c r="K581" t="str">
        <x:v>Source min 43,42 m ; max 43,42 m ; modèle 43 × 42 m ; niveaux 0. Détails dans catalogue-existant.json.</x:v>
      </x:c>
    </x:row>
    <x:row r="582">
      <x:c r="A582" t="str">
        <x:v>DW-0577</x:v>
      </x:c>
      <x:c r="B582" t="str">
        <x:v>DW-0577</x:v>
      </x:c>
      <x:c r="C582" t="str">
        <x:v>Parent historique</x:v>
      </x:c>
      <x:c r="D582" t="str">
        <x:v>commerce</x:v>
      </x:c>
      <x:c r="E582" t="str">
        <x:v>Pharmacie — variante 02</x:v>
      </x:c>
      <x:c r="F582" t="n">
        <x:v>8</x:v>
      </x:c>
      <x:c r="G582" t="n">
        <x:v>4</x:v>
      </x:c>
      <x:c r="H582" t="n">
        <x:v>0</x:v>
      </x:c>
      <x:c r="I582" t="str">
        <x:v>À qualifier par lieu</x:v>
      </x:c>
      <x:c r="J582" t="str">
        <x:v>https://github.com/darknigthmare/deadwall-last-enclosure/blob/e28f46223e73105ab2c5d83f3d50b99b58ef53e6/codex-3000/originaux/DEADWALL_CODEX_SUPPLEMENT_1.23/FICHES_501_1000/DW-0577.md</x:v>
      </x:c>
      <x:c r="K582" t="str">
        <x:v>Source min 54,59 m ; max 54,59 m ; modèle 54 × 59 m ; niveaux 0, 1. Détails dans catalogue-existant.json.</x:v>
      </x:c>
    </x:row>
    <x:row r="583">
      <x:c r="A583" t="str">
        <x:v>DW-0578</x:v>
      </x:c>
      <x:c r="B583" t="str">
        <x:v>DW-0578</x:v>
      </x:c>
      <x:c r="C583" t="str">
        <x:v>Parent historique</x:v>
      </x:c>
      <x:c r="D583" t="str">
        <x:v>commerce</x:v>
      </x:c>
      <x:c r="E583" t="str">
        <x:v>Station-service — variante 02</x:v>
      </x:c>
      <x:c r="F583" t="n">
        <x:v>8</x:v>
      </x:c>
      <x:c r="G583" t="n">
        <x:v>5</x:v>
      </x:c>
      <x:c r="H583" t="n">
        <x:v>0</x:v>
      </x:c>
      <x:c r="I583" t="str">
        <x:v>À qualifier par lieu</x:v>
      </x:c>
      <x:c r="J583" t="str">
        <x:v>https://github.com/darknigthmare/deadwall-last-enclosure/blob/e28f46223e73105ab2c5d83f3d50b99b58ef53e6/codex-3000/originaux/DEADWALL_CODEX_SUPPLEMENT_1.23/FICHES_501_1000/DW-0578.md</x:v>
      </x:c>
      <x:c r="K583" t="str">
        <x:v>Source min 65,22 m ; max 65,22 m ; modèle 65 × 22 m ; niveaux 0. Détails dans catalogue-existant.json.</x:v>
      </x:c>
    </x:row>
    <x:row r="584">
      <x:c r="A584" t="str">
        <x:v>DW-0579</x:v>
      </x:c>
      <x:c r="B584" t="str">
        <x:v>DW-0579</x:v>
      </x:c>
      <x:c r="C584" t="str">
        <x:v>Parent historique</x:v>
      </x:c>
      <x:c r="D584" t="str">
        <x:v>commerce</x:v>
      </x:c>
      <x:c r="E584" t="str">
        <x:v>Restaurant routier — variante 02</x:v>
      </x:c>
      <x:c r="F584" t="n">
        <x:v>8</x:v>
      </x:c>
      <x:c r="G584" t="n">
        <x:v>5</x:v>
      </x:c>
      <x:c r="H584" t="n">
        <x:v>0</x:v>
      </x:c>
      <x:c r="I584" t="str">
        <x:v>À qualifier par lieu</x:v>
      </x:c>
      <x:c r="J584" t="str">
        <x:v>https://github.com/darknigthmare/deadwall-last-enclosure/blob/e28f46223e73105ab2c5d83f3d50b99b58ef53e6/codex-3000/originaux/DEADWALL_CODEX_SUPPLEMENT_1.23/FICHES_501_1000/DW-0579.md</x:v>
      </x:c>
      <x:c r="K584" t="str">
        <x:v>Source min 76,39 m ; max 76,39 m ; modèle 76 × 39 m ; niveaux 0. Détails dans catalogue-existant.json.</x:v>
      </x:c>
    </x:row>
    <x:row r="585">
      <x:c r="A585" t="str">
        <x:v>DW-0580</x:v>
      </x:c>
      <x:c r="B585" t="str">
        <x:v>DW-0580</x:v>
      </x:c>
      <x:c r="C585" t="str">
        <x:v>Parent historique</x:v>
      </x:c>
      <x:c r="D585" t="str">
        <x:v>commerce</x:v>
      </x:c>
      <x:c r="E585" t="str">
        <x:v>Hôtel — variante 02</x:v>
      </x:c>
      <x:c r="F585" t="n">
        <x:v>8</x:v>
      </x:c>
      <x:c r="G585" t="n">
        <x:v>6</x:v>
      </x:c>
      <x:c r="H585" t="n">
        <x:v>0</x:v>
      </x:c>
      <x:c r="I585" t="str">
        <x:v>À qualifier par lieu</x:v>
      </x:c>
      <x:c r="J585" t="str">
        <x:v>https://github.com/darknigthmare/deadwall-last-enclosure/blob/e28f46223e73105ab2c5d83f3d50b99b58ef53e6/codex-3000/originaux/DEADWALL_CODEX_SUPPLEMENT_1.23/FICHES_501_1000/DW-0580.md</x:v>
      </x:c>
      <x:c r="K585" t="str">
        <x:v>Source min 15,56 m ; max 15,56 m ; modèle 28 × 56 m ; niveaux 0. Détails dans catalogue-existant.json.</x:v>
      </x:c>
    </x:row>
    <x:row r="586">
      <x:c r="A586" t="str">
        <x:v>DW-0581</x:v>
      </x:c>
      <x:c r="B586" t="str">
        <x:v>DW-0581</x:v>
      </x:c>
      <x:c r="C586" t="str">
        <x:v>Parent historique</x:v>
      </x:c>
      <x:c r="D586" t="str">
        <x:v>industrie</x:v>
      </x:c>
      <x:c r="E586" t="str">
        <x:v>Scierie — variante 02</x:v>
      </x:c>
      <x:c r="F586" t="n">
        <x:v>8</x:v>
      </x:c>
      <x:c r="G586" t="n">
        <x:v>5</x:v>
      </x:c>
      <x:c r="H586" t="n">
        <x:v>0</x:v>
      </x:c>
      <x:c r="I586" t="str">
        <x:v>À qualifier par lieu</x:v>
      </x:c>
      <x:c r="J586" t="str">
        <x:v>https://github.com/darknigthmare/deadwall-last-enclosure/blob/e28f46223e73105ab2c5d83f3d50b99b58ef53e6/codex-3000/originaux/DEADWALL_CODEX_SUPPLEMENT_1.23/FICHES_501_1000/DW-0581.md</x:v>
      </x:c>
      <x:c r="K586" t="str">
        <x:v>Source min 26,19 m ; max 26,19 m ; modèle 26 × 22 m ; niveaux 0. Détails dans catalogue-existant.json.</x:v>
      </x:c>
    </x:row>
    <x:row r="587">
      <x:c r="A587" t="str">
        <x:v>DW-0582</x:v>
      </x:c>
      <x:c r="B587" t="str">
        <x:v>DW-0582</x:v>
      </x:c>
      <x:c r="C587" t="str">
        <x:v>Parent historique</x:v>
      </x:c>
      <x:c r="D587" t="str">
        <x:v>industrie</x:v>
      </x:c>
      <x:c r="E587" t="str">
        <x:v>Garage automobile — variante 02</x:v>
      </x:c>
      <x:c r="F587" t="n">
        <x:v>8</x:v>
      </x:c>
      <x:c r="G587" t="n">
        <x:v>5</x:v>
      </x:c>
      <x:c r="H587" t="n">
        <x:v>0</x:v>
      </x:c>
      <x:c r="I587" t="str">
        <x:v>À qualifier par lieu</x:v>
      </x:c>
      <x:c r="J587" t="str">
        <x:v>https://github.com/darknigthmare/deadwall-last-enclosure/blob/e28f46223e73105ab2c5d83f3d50b99b58ef53e6/codex-3000/originaux/DEADWALL_CODEX_SUPPLEMENT_1.23/FICHES_501_1000/DW-0582.md</x:v>
      </x:c>
      <x:c r="K587" t="str">
        <x:v>Source min 37,36 m ; max 37,36 m ; modèle 37 × 36 m ; niveaux 0. Détails dans catalogue-existant.json.</x:v>
      </x:c>
    </x:row>
    <x:row r="588">
      <x:c r="A588" t="str">
        <x:v>DW-0583</x:v>
      </x:c>
      <x:c r="B588" t="str">
        <x:v>DW-0583</x:v>
      </x:c>
      <x:c r="C588" t="str">
        <x:v>Parent historique</x:v>
      </x:c>
      <x:c r="D588" t="str">
        <x:v>industrie</x:v>
      </x:c>
      <x:c r="E588" t="str">
        <x:v>Entrepôt logistique — variante 02</x:v>
      </x:c>
      <x:c r="F588" t="n">
        <x:v>8</x:v>
      </x:c>
      <x:c r="G588" t="n">
        <x:v>5</x:v>
      </x:c>
      <x:c r="H588" t="n">
        <x:v>0</x:v>
      </x:c>
      <x:c r="I588" t="str">
        <x:v>À qualifier par lieu</x:v>
      </x:c>
      <x:c r="J588" t="str">
        <x:v>https://github.com/darknigthmare/deadwall-last-enclosure/blob/e28f46223e73105ab2c5d83f3d50b99b58ef53e6/codex-3000/originaux/DEADWALL_CODEX_SUPPLEMENT_1.23/FICHES_501_1000/DW-0583.md</x:v>
      </x:c>
      <x:c r="K588" t="str">
        <x:v>Source min 48,53 m ; max 48,53 m ; modèle 48 × 53 m ; niveaux 0. Détails dans catalogue-existant.json.</x:v>
      </x:c>
    </x:row>
    <x:row r="589">
      <x:c r="A589" t="str">
        <x:v>DW-0584</x:v>
      </x:c>
      <x:c r="B589" t="str">
        <x:v>DW-0584</x:v>
      </x:c>
      <x:c r="C589" t="str">
        <x:v>Parent historique</x:v>
      </x:c>
      <x:c r="D589" t="str">
        <x:v>industrie</x:v>
      </x:c>
      <x:c r="E589" t="str">
        <x:v>Petite usine — variante 02</x:v>
      </x:c>
      <x:c r="F589" t="n">
        <x:v>8</x:v>
      </x:c>
      <x:c r="G589" t="n">
        <x:v>5</x:v>
      </x:c>
      <x:c r="H589" t="n">
        <x:v>0</x:v>
      </x:c>
      <x:c r="I589" t="str">
        <x:v>À qualifier par lieu</x:v>
      </x:c>
      <x:c r="J589" t="str">
        <x:v>https://github.com/darknigthmare/deadwall-last-enclosure/blob/e28f46223e73105ab2c5d83f3d50b99b58ef53e6/codex-3000/originaux/DEADWALL_CODEX_SUPPLEMENT_1.23/FICHES_501_1000/DW-0584.md</x:v>
      </x:c>
      <x:c r="K589" t="str">
        <x:v>Source min 59,16 m ; max 59,16 m ; modèle 59 × 22 m ; niveaux 0. Détails dans catalogue-existant.json.</x:v>
      </x:c>
    </x:row>
    <x:row r="590">
      <x:c r="A590" t="str">
        <x:v>DW-0585</x:v>
      </x:c>
      <x:c r="B590" t="str">
        <x:v>DW-0585</x:v>
      </x:c>
      <x:c r="C590" t="str">
        <x:v>Parent historique</x:v>
      </x:c>
      <x:c r="D590" t="str">
        <x:v>industrie</x:v>
      </x:c>
      <x:c r="E590" t="str">
        <x:v>Carrière — variante 02</x:v>
      </x:c>
      <x:c r="F590" t="n">
        <x:v>8</x:v>
      </x:c>
      <x:c r="G590" t="n">
        <x:v>5</x:v>
      </x:c>
      <x:c r="H590" t="n">
        <x:v>0</x:v>
      </x:c>
      <x:c r="I590" t="str">
        <x:v>À qualifier par lieu</x:v>
      </x:c>
      <x:c r="J590" t="str">
        <x:v>https://github.com/darknigthmare/deadwall-last-enclosure/blob/e28f46223e73105ab2c5d83f3d50b99b58ef53e6/codex-3000/originaux/DEADWALL_CODEX_SUPPLEMENT_1.23/FICHES_501_1000/DW-0585.md</x:v>
      </x:c>
      <x:c r="K590" t="str">
        <x:v>Source min 70,33 m ; max 70,33 m ; modèle 70 × 33 m ; niveaux 0. Détails dans catalogue-existant.json.</x:v>
      </x:c>
    </x:row>
    <x:row r="591">
      <x:c r="A591" t="str">
        <x:v>DW-0586</x:v>
      </x:c>
      <x:c r="B591" t="str">
        <x:v>DW-0586</x:v>
      </x:c>
      <x:c r="C591" t="str">
        <x:v>Parent historique</x:v>
      </x:c>
      <x:c r="D591" t="str">
        <x:v>industrie</x:v>
      </x:c>
      <x:c r="E591" t="str">
        <x:v>Mine — variante 02</x:v>
      </x:c>
      <x:c r="F591" t="n">
        <x:v>8</x:v>
      </x:c>
      <x:c r="G591" t="n">
        <x:v>6</x:v>
      </x:c>
      <x:c r="H591" t="n">
        <x:v>0</x:v>
      </x:c>
      <x:c r="I591" t="str">
        <x:v>À qualifier par lieu</x:v>
      </x:c>
      <x:c r="J591" t="str">
        <x:v>https://github.com/darknigthmare/deadwall-last-enclosure/blob/e28f46223e73105ab2c5d83f3d50b99b58ef53e6/codex-3000/originaux/DEADWALL_CODEX_SUPPLEMENT_1.23/FICHES_501_1000/DW-0586.md</x:v>
      </x:c>
      <x:c r="K591" t="str">
        <x:v>Source min 81,50 m ; max 81,50 m ; modèle 78 × 50 m ; niveaux 0. Détails dans catalogue-existant.json.</x:v>
      </x:c>
    </x:row>
    <x:row r="592">
      <x:c r="A592" t="str">
        <x:v>DW-0587</x:v>
      </x:c>
      <x:c r="B592" t="str">
        <x:v>DW-0587</x:v>
      </x:c>
      <x:c r="C592" t="str">
        <x:v>Parent historique</x:v>
      </x:c>
      <x:c r="D592" t="str">
        <x:v>industrie</x:v>
      </x:c>
      <x:c r="E592" t="str">
        <x:v>Centrale locale — variante 02</x:v>
      </x:c>
      <x:c r="F592" t="n">
        <x:v>8</x:v>
      </x:c>
      <x:c r="G592" t="n">
        <x:v>5</x:v>
      </x:c>
      <x:c r="H592" t="n">
        <x:v>0</x:v>
      </x:c>
      <x:c r="I592" t="str">
        <x:v>À qualifier par lieu</x:v>
      </x:c>
      <x:c r="J592" t="str">
        <x:v>https://github.com/darknigthmare/deadwall-last-enclosure/blob/e28f46223e73105ab2c5d83f3d50b99b58ef53e6/codex-3000/originaux/DEADWALL_CODEX_SUPPLEMENT_1.23/FICHES_501_1000/DW-0587.md</x:v>
      </x:c>
      <x:c r="K592" t="str">
        <x:v>Source min 20,13 m ; max 20,13 m ; modèle 26 × 22 m ; niveaux 0. Détails dans catalogue-existant.json.</x:v>
      </x:c>
    </x:row>
    <x:row r="593">
      <x:c r="A593" t="str">
        <x:v>DW-0588</x:v>
      </x:c>
      <x:c r="B593" t="str">
        <x:v>DW-0588</x:v>
      </x:c>
      <x:c r="C593" t="str">
        <x:v>Parent historique</x:v>
      </x:c>
      <x:c r="D593" t="str">
        <x:v>industrie</x:v>
      </x:c>
      <x:c r="E593" t="str">
        <x:v>Station de pompage — variante 02</x:v>
      </x:c>
      <x:c r="F593" t="n">
        <x:v>8</x:v>
      </x:c>
      <x:c r="G593" t="n">
        <x:v>5</x:v>
      </x:c>
      <x:c r="H593" t="n">
        <x:v>0</x:v>
      </x:c>
      <x:c r="I593" t="str">
        <x:v>À qualifier par lieu</x:v>
      </x:c>
      <x:c r="J593" t="str">
        <x:v>https://github.com/darknigthmare/deadwall-last-enclosure/blob/e28f46223e73105ab2c5d83f3d50b99b58ef53e6/codex-3000/originaux/DEADWALL_CODEX_SUPPLEMENT_1.23/FICHES_501_1000/DW-0588.md</x:v>
      </x:c>
      <x:c r="K593" t="str">
        <x:v>Source min 31,30 m ; max 31,30 m ; modèle 31 × 30 m ; niveaux 0. Détails dans catalogue-existant.json.</x:v>
      </x:c>
    </x:row>
    <x:row r="594">
      <x:c r="A594" t="str">
        <x:v>DW-0589</x:v>
      </x:c>
      <x:c r="B594" t="str">
        <x:v>DW-0589</x:v>
      </x:c>
      <x:c r="C594" t="str">
        <x:v>Parent historique</x:v>
      </x:c>
      <x:c r="D594" t="str">
        <x:v>public</x:v>
      </x:c>
      <x:c r="E594" t="str">
        <x:v>École — variante 02</x:v>
      </x:c>
      <x:c r="F594" t="n">
        <x:v>8</x:v>
      </x:c>
      <x:c r="G594" t="n">
        <x:v>5</x:v>
      </x:c>
      <x:c r="H594" t="n">
        <x:v>0</x:v>
      </x:c>
      <x:c r="I594" t="str">
        <x:v>À qualifier par lieu</x:v>
      </x:c>
      <x:c r="J594" t="str">
        <x:v>https://github.com/darknigthmare/deadwall-last-enclosure/blob/e28f46223e73105ab2c5d83f3d50b99b58ef53e6/codex-3000/originaux/DEADWALL_CODEX_SUPPLEMENT_1.23/FICHES_501_1000/DW-0589.md</x:v>
      </x:c>
      <x:c r="K594" t="str">
        <x:v>Source min 42,47 m ; max 42,47 m ; modèle 42 × 47 m ; niveaux 0, 1. Détails dans catalogue-existant.json.</x:v>
      </x:c>
    </x:row>
    <x:row r="595">
      <x:c r="A595" t="str">
        <x:v>DW-0590</x:v>
      </x:c>
      <x:c r="B595" t="str">
        <x:v>DW-0590</x:v>
      </x:c>
      <x:c r="C595" t="str">
        <x:v>Parent historique</x:v>
      </x:c>
      <x:c r="D595" t="str">
        <x:v>public</x:v>
      </x:c>
      <x:c r="E595" t="str">
        <x:v>Mairie — variante 02</x:v>
      </x:c>
      <x:c r="F595" t="n">
        <x:v>8</x:v>
      </x:c>
      <x:c r="G595" t="n">
        <x:v>5</x:v>
      </x:c>
      <x:c r="H595" t="n">
        <x:v>0</x:v>
      </x:c>
      <x:c r="I595" t="str">
        <x:v>À qualifier par lieu</x:v>
      </x:c>
      <x:c r="J595" t="str">
        <x:v>https://github.com/darknigthmare/deadwall-last-enclosure/blob/e28f46223e73105ab2c5d83f3d50b99b58ef53e6/codex-3000/originaux/DEADWALL_CODEX_SUPPLEMENT_1.23/FICHES_501_1000/DW-0590.md</x:v>
      </x:c>
      <x:c r="K595" t="str">
        <x:v>Source min 53,10 m ; max 53,10 m ; modèle 53 × 22 m ; niveaux 0. Détails dans catalogue-existant.json.</x:v>
      </x:c>
    </x:row>
    <x:row r="596">
      <x:c r="A596" t="str">
        <x:v>DW-0591</x:v>
      </x:c>
      <x:c r="B596" t="str">
        <x:v>DW-0591</x:v>
      </x:c>
      <x:c r="C596" t="str">
        <x:v>Parent historique</x:v>
      </x:c>
      <x:c r="D596" t="str">
        <x:v>public</x:v>
      </x:c>
      <x:c r="E596" t="str">
        <x:v>Clinique — variante 02</x:v>
      </x:c>
      <x:c r="F596" t="n">
        <x:v>8</x:v>
      </x:c>
      <x:c r="G596" t="n">
        <x:v>6</x:v>
      </x:c>
      <x:c r="H596" t="n">
        <x:v>0</x:v>
      </x:c>
      <x:c r="I596" t="str">
        <x:v>À qualifier par lieu</x:v>
      </x:c>
      <x:c r="J596" t="str">
        <x:v>https://github.com/darknigthmare/deadwall-last-enclosure/blob/e28f46223e73105ab2c5d83f3d50b99b58ef53e6/codex-3000/originaux/DEADWALL_CODEX_SUPPLEMENT_1.23/FICHES_501_1000/DW-0591.md</x:v>
      </x:c>
      <x:c r="K596" t="str">
        <x:v>Source min 64,27 m ; max 64,27 m ; modèle 64 × 27 m ; niveaux 0. Détails dans catalogue-existant.json.</x:v>
      </x:c>
    </x:row>
    <x:row r="597">
      <x:c r="A597" t="str">
        <x:v>DW-0592</x:v>
      </x:c>
      <x:c r="B597" t="str">
        <x:v>DW-0592</x:v>
      </x:c>
      <x:c r="C597" t="str">
        <x:v>Parent historique</x:v>
      </x:c>
      <x:c r="D597" t="str">
        <x:v>public</x:v>
      </x:c>
      <x:c r="E597" t="str">
        <x:v>Caserne de pompiers — variante 02</x:v>
      </x:c>
      <x:c r="F597" t="n">
        <x:v>8</x:v>
      </x:c>
      <x:c r="G597" t="n">
        <x:v>6</x:v>
      </x:c>
      <x:c r="H597" t="n">
        <x:v>0</x:v>
      </x:c>
      <x:c r="I597" t="str">
        <x:v>À qualifier par lieu</x:v>
      </x:c>
      <x:c r="J597" t="str">
        <x:v>https://github.com/darknigthmare/deadwall-last-enclosure/blob/e28f46223e73105ab2c5d83f3d50b99b58ef53e6/codex-3000/originaux/DEADWALL_CODEX_SUPPLEMENT_1.23/FICHES_501_1000/DW-0592.md</x:v>
      </x:c>
      <x:c r="K597" t="str">
        <x:v>Source min 75,44 m ; max 75,44 m ; modèle 75 × 44 m ; niveaux 0. Détails dans catalogue-existant.json.</x:v>
      </x:c>
    </x:row>
    <x:row r="598">
      <x:c r="A598" t="str">
        <x:v>DW-0593</x:v>
      </x:c>
      <x:c r="B598" t="str">
        <x:v>DW-0593</x:v>
      </x:c>
      <x:c r="C598" t="str">
        <x:v>Parent historique</x:v>
      </x:c>
      <x:c r="D598" t="str">
        <x:v>public</x:v>
      </x:c>
      <x:c r="E598" t="str">
        <x:v>Poste de police — variante 02</x:v>
      </x:c>
      <x:c r="F598" t="n">
        <x:v>8</x:v>
      </x:c>
      <x:c r="G598" t="n">
        <x:v>5</x:v>
      </x:c>
      <x:c r="H598" t="n">
        <x:v>0</x:v>
      </x:c>
      <x:c r="I598" t="str">
        <x:v>À qualifier par lieu</x:v>
      </x:c>
      <x:c r="J598" t="str">
        <x:v>https://github.com/darknigthmare/deadwall-last-enclosure/blob/e28f46223e73105ab2c5d83f3d50b99b58ef53e6/codex-3000/originaux/DEADWALL_CODEX_SUPPLEMENT_1.23/FICHES_501_1000/DW-0593.md</x:v>
      </x:c>
      <x:c r="K598" t="str">
        <x:v>Source min 14,61 m ; max 14,61 m ; modèle 26 × 61 m ; niveaux 0, 1. Détails dans catalogue-existant.json.</x:v>
      </x:c>
    </x:row>
    <x:row r="599">
      <x:c r="A599" t="str">
        <x:v>DW-0594</x:v>
      </x:c>
      <x:c r="B599" t="str">
        <x:v>DW-0594</x:v>
      </x:c>
      <x:c r="C599" t="str">
        <x:v>Parent historique</x:v>
      </x:c>
      <x:c r="D599" t="str">
        <x:v>public</x:v>
      </x:c>
      <x:c r="E599" t="str">
        <x:v>Bibliothèque — variante 02</x:v>
      </x:c>
      <x:c r="F599" t="n">
        <x:v>8</x:v>
      </x:c>
      <x:c r="G599" t="n">
        <x:v>5</x:v>
      </x:c>
      <x:c r="H599" t="n">
        <x:v>0</x:v>
      </x:c>
      <x:c r="I599" t="str">
        <x:v>À qualifier par lieu</x:v>
      </x:c>
      <x:c r="J599" t="str">
        <x:v>https://github.com/darknigthmare/deadwall-last-enclosure/blob/e28f46223e73105ab2c5d83f3d50b99b58ef53e6/codex-3000/originaux/DEADWALL_CODEX_SUPPLEMENT_1.23/FICHES_501_1000/DW-0594.md</x:v>
      </x:c>
      <x:c r="K599" t="str">
        <x:v>Source min 25,24 m ; max 25,24 m ; modèle 26 × 24 m ; niveaux 0. Détails dans catalogue-existant.json.</x:v>
      </x:c>
    </x:row>
    <x:row r="600">
      <x:c r="A600" t="str">
        <x:v>DW-0595</x:v>
      </x:c>
      <x:c r="B600" t="str">
        <x:v>DW-0595</x:v>
      </x:c>
      <x:c r="C600" t="str">
        <x:v>Parent historique</x:v>
      </x:c>
      <x:c r="D600" t="str">
        <x:v>public</x:v>
      </x:c>
      <x:c r="E600" t="str">
        <x:v>Salle des fêtes — variante 02</x:v>
      </x:c>
      <x:c r="F600" t="n">
        <x:v>8</x:v>
      </x:c>
      <x:c r="G600" t="n">
        <x:v>5</x:v>
      </x:c>
      <x:c r="H600" t="n">
        <x:v>0</x:v>
      </x:c>
      <x:c r="I600" t="str">
        <x:v>À qualifier par lieu</x:v>
      </x:c>
      <x:c r="J600" t="str">
        <x:v>https://github.com/darknigthmare/deadwall-last-enclosure/blob/e28f46223e73105ab2c5d83f3d50b99b58ef53e6/codex-3000/originaux/DEADWALL_CODEX_SUPPLEMENT_1.23/FICHES_501_1000/DW-0595.md</x:v>
      </x:c>
      <x:c r="K600" t="str">
        <x:v>Source min 36,41 m ; max 36,41 m ; modèle 36 × 41 m ; niveaux 0. Détails dans catalogue-existant.json.</x:v>
      </x:c>
    </x:row>
    <x:row r="601">
      <x:c r="A601" t="str">
        <x:v>DW-0596</x:v>
      </x:c>
      <x:c r="B601" t="str">
        <x:v>DW-0596</x:v>
      </x:c>
      <x:c r="C601" t="str">
        <x:v>Parent historique</x:v>
      </x:c>
      <x:c r="D601" t="str">
        <x:v>public</x:v>
      </x:c>
      <x:c r="E601" t="str">
        <x:v>Église et presbytère — variante 02</x:v>
      </x:c>
      <x:c r="F601" t="n">
        <x:v>8</x:v>
      </x:c>
      <x:c r="G601" t="n">
        <x:v>5</x:v>
      </x:c>
      <x:c r="H601" t="n">
        <x:v>0</x:v>
      </x:c>
      <x:c r="I601" t="str">
        <x:v>À qualifier par lieu</x:v>
      </x:c>
      <x:c r="J601" t="str">
        <x:v>https://github.com/darknigthmare/deadwall-last-enclosure/blob/e28f46223e73105ab2c5d83f3d50b99b58ef53e6/codex-3000/originaux/DEADWALL_CODEX_SUPPLEMENT_1.23/FICHES_501_1000/DW-0596.md</x:v>
      </x:c>
      <x:c r="K601" t="str">
        <x:v>Source min 47,58 m ; max 47,58 m ; modèle 47 × 58 m ; niveaux 0. Détails dans catalogue-existant.json.</x:v>
      </x:c>
    </x:row>
    <x:row r="602">
      <x:c r="A602" t="str">
        <x:v>DW-0597</x:v>
      </x:c>
      <x:c r="B602" t="str">
        <x:v>DW-0597</x:v>
      </x:c>
      <x:c r="C602" t="str">
        <x:v>Parent historique</x:v>
      </x:c>
      <x:c r="D602" t="str">
        <x:v>rural</x:v>
      </x:c>
      <x:c r="E602" t="str">
        <x:v>Hameau agricole — variante 02</x:v>
      </x:c>
      <x:c r="F602" t="n">
        <x:v>8</x:v>
      </x:c>
      <x:c r="G602" t="n">
        <x:v>6</x:v>
      </x:c>
      <x:c r="H602" t="n">
        <x:v>0</x:v>
      </x:c>
      <x:c r="I602" t="str">
        <x:v>À qualifier par lieu</x:v>
      </x:c>
      <x:c r="J602" t="str">
        <x:v>https://github.com/darknigthmare/deadwall-last-enclosure/blob/e28f46223e73105ab2c5d83f3d50b99b58ef53e6/codex-3000/originaux/DEADWALL_CODEX_SUPPLEMENT_1.23/FICHES_501_1000/DW-0597.md</x:v>
      </x:c>
      <x:c r="K602" t="str">
        <x:v>Source min 58,21 m ; max 58,21 m ; modèle 58 × 22 m ; niveaux 0. Détails dans catalogue-existant.json.</x:v>
      </x:c>
    </x:row>
    <x:row r="603">
      <x:c r="A603" t="str">
        <x:v>DW-0598</x:v>
      </x:c>
      <x:c r="B603" t="str">
        <x:v>DW-0598</x:v>
      </x:c>
      <x:c r="C603" t="str">
        <x:v>Parent historique</x:v>
      </x:c>
      <x:c r="D603" t="str">
        <x:v>rural</x:v>
      </x:c>
      <x:c r="E603" t="str">
        <x:v>Cabane forestière — variante 02</x:v>
      </x:c>
      <x:c r="F603" t="n">
        <x:v>8</x:v>
      </x:c>
      <x:c r="G603" t="n">
        <x:v>4</x:v>
      </x:c>
      <x:c r="H603" t="n">
        <x:v>0</x:v>
      </x:c>
      <x:c r="I603" t="str">
        <x:v>À qualifier par lieu</x:v>
      </x:c>
      <x:c r="J603" t="str">
        <x:v>https://github.com/darknigthmare/deadwall-last-enclosure/blob/e28f46223e73105ab2c5d83f3d50b99b58ef53e6/codex-3000/originaux/DEADWALL_CODEX_SUPPLEMENT_1.23/FICHES_501_1000/DW-0598.md</x:v>
      </x:c>
      <x:c r="K603" t="str">
        <x:v>Source min 69,38 m ; max 69,38 m ; modèle 69 × 38 m ; niveaux 0. Détails dans catalogue-existant.json.</x:v>
      </x:c>
    </x:row>
    <x:row r="604">
      <x:c r="A604" t="str">
        <x:v>DW-0599</x:v>
      </x:c>
      <x:c r="B604" t="str">
        <x:v>DW-0599</x:v>
      </x:c>
      <x:c r="C604" t="str">
        <x:v>Parent historique</x:v>
      </x:c>
      <x:c r="D604" t="str">
        <x:v>rural</x:v>
      </x:c>
      <x:c r="E604" t="str">
        <x:v>Dépôt forestier — variante 02</x:v>
      </x:c>
      <x:c r="F604" t="n">
        <x:v>8</x:v>
      </x:c>
      <x:c r="G604" t="n">
        <x:v>5</x:v>
      </x:c>
      <x:c r="H604" t="n">
        <x:v>0</x:v>
      </x:c>
      <x:c r="I604" t="str">
        <x:v>À qualifier par lieu</x:v>
      </x:c>
      <x:c r="J604" t="str">
        <x:v>https://github.com/darknigthmare/deadwall-last-enclosure/blob/e28f46223e73105ab2c5d83f3d50b99b58ef53e6/codex-3000/originaux/DEADWALL_CODEX_SUPPLEMENT_1.23/FICHES_501_1000/DW-0599.md</x:v>
      </x:c>
      <x:c r="K604" t="str">
        <x:v>Source min 80,55 m ; max 80,55 m ; modèle 78 × 55 m ; niveaux 0. Détails dans catalogue-existant.json.</x:v>
      </x:c>
    </x:row>
    <x:row r="605">
      <x:c r="A605" t="str">
        <x:v>DW-0600</x:v>
      </x:c>
      <x:c r="B605" t="str">
        <x:v>DW-0600</x:v>
      </x:c>
      <x:c r="C605" t="str">
        <x:v>Parent historique</x:v>
      </x:c>
      <x:c r="D605" t="str">
        <x:v>rural</x:v>
      </x:c>
      <x:c r="E605" t="str">
        <x:v>Ferme céréalière — variante 02</x:v>
      </x:c>
      <x:c r="F605" t="n">
        <x:v>8</x:v>
      </x:c>
      <x:c r="G605" t="n">
        <x:v>5</x:v>
      </x:c>
      <x:c r="H605" t="n">
        <x:v>0</x:v>
      </x:c>
      <x:c r="I605" t="str">
        <x:v>À qualifier par lieu</x:v>
      </x:c>
      <x:c r="J605" t="str">
        <x:v>https://github.com/darknigthmare/deadwall-last-enclosure/blob/e28f46223e73105ab2c5d83f3d50b99b58ef53e6/codex-3000/originaux/DEADWALL_CODEX_SUPPLEMENT_1.23/FICHES_501_1000/DW-0600.md</x:v>
      </x:c>
      <x:c r="K605" t="str">
        <x:v>Source min 19,18 m ; max 19,18 m ; modèle 26 × 22 m ; niveaux 0. Détails dans catalogue-existant.json.</x:v>
      </x:c>
    </x:row>
    <x:row r="606">
      <x:c r="A606" t="str">
        <x:v>DW-0601</x:v>
      </x:c>
      <x:c r="B606" t="str">
        <x:v>DW-0601</x:v>
      </x:c>
      <x:c r="C606" t="str">
        <x:v>Parent historique</x:v>
      </x:c>
      <x:c r="D606" t="str">
        <x:v>rural</x:v>
      </x:c>
      <x:c r="E606" t="str">
        <x:v>Ferme d'élevage — variante 02</x:v>
      </x:c>
      <x:c r="F606" t="n">
        <x:v>8</x:v>
      </x:c>
      <x:c r="G606" t="n">
        <x:v>5</x:v>
      </x:c>
      <x:c r="H606" t="n">
        <x:v>0</x:v>
      </x:c>
      <x:c r="I606" t="str">
        <x:v>À qualifier par lieu</x:v>
      </x:c>
      <x:c r="J606" t="str">
        <x:v>https://github.com/darknigthmare/deadwall-last-enclosure/blob/e28f46223e73105ab2c5d83f3d50b99b58ef53e6/codex-3000/originaux/DEADWALL_CODEX_SUPPLEMENT_1.23/FICHES_501_1000/DW-0601.md</x:v>
      </x:c>
      <x:c r="K606" t="str">
        <x:v>Source min 30,35 m ; max 30,35 m ; modèle 30 × 35 m ; niveaux 0. Détails dans catalogue-existant.json.</x:v>
      </x:c>
    </x:row>
    <x:row r="607">
      <x:c r="A607" t="str">
        <x:v>DW-0602</x:v>
      </x:c>
      <x:c r="B607" t="str">
        <x:v>DW-0602</x:v>
      </x:c>
      <x:c r="C607" t="str">
        <x:v>Parent historique</x:v>
      </x:c>
      <x:c r="D607" t="str">
        <x:v>rural</x:v>
      </x:c>
      <x:c r="E607" t="str">
        <x:v>Relais de chasse — variante 02</x:v>
      </x:c>
      <x:c r="F607" t="n">
        <x:v>8</x:v>
      </x:c>
      <x:c r="G607" t="n">
        <x:v>4</x:v>
      </x:c>
      <x:c r="H607" t="n">
        <x:v>0</x:v>
      </x:c>
      <x:c r="I607" t="str">
        <x:v>À qualifier par lieu</x:v>
      </x:c>
      <x:c r="J607" t="str">
        <x:v>https://github.com/darknigthmare/deadwall-last-enclosure/blob/e28f46223e73105ab2c5d83f3d50b99b58ef53e6/codex-3000/originaux/DEADWALL_CODEX_SUPPLEMENT_1.23/FICHES_501_1000/DW-0602.md</x:v>
      </x:c>
      <x:c r="K607" t="str">
        <x:v>Source min 41,52 m ; max 41,52 m ; modèle 41 × 52 m ; niveaux 0. Détails dans catalogue-existant.json.</x:v>
      </x:c>
    </x:row>
    <x:row r="608">
      <x:c r="A608" t="str">
        <x:v>DW-0603</x:v>
      </x:c>
      <x:c r="B608" t="str">
        <x:v>DW-0603</x:v>
      </x:c>
      <x:c r="C608" t="str">
        <x:v>Parent historique</x:v>
      </x:c>
      <x:c r="D608" t="str">
        <x:v>rural</x:v>
      </x:c>
      <x:c r="E608" t="str">
        <x:v>Moulin rural — variante 02</x:v>
      </x:c>
      <x:c r="F608" t="n">
        <x:v>8</x:v>
      </x:c>
      <x:c r="G608" t="n">
        <x:v>4</x:v>
      </x:c>
      <x:c r="H608" t="n">
        <x:v>0</x:v>
      </x:c>
      <x:c r="I608" t="str">
        <x:v>À qualifier par lieu</x:v>
      </x:c>
      <x:c r="J608" t="str">
        <x:v>https://github.com/darknigthmare/deadwall-last-enclosure/blob/e28f46223e73105ab2c5d83f3d50b99b58ef53e6/codex-3000/originaux/DEADWALL_CODEX_SUPPLEMENT_1.23/FICHES_501_1000/DW-0603.md</x:v>
      </x:c>
      <x:c r="K608" t="str">
        <x:v>Source min 52,15 m ; max 52,15 m ; modèle 52 × 18 m ; niveaux 0. Détails dans catalogue-existant.json.</x:v>
      </x:c>
    </x:row>
    <x:row r="609">
      <x:c r="A609" t="str">
        <x:v>DW-0604</x:v>
      </x:c>
      <x:c r="B609" t="str">
        <x:v>DW-0604</x:v>
      </x:c>
      <x:c r="C609" t="str">
        <x:v>Parent historique</x:v>
      </x:c>
      <x:c r="D609" t="str">
        <x:v>rural</x:v>
      </x:c>
      <x:c r="E609" t="str">
        <x:v>Serres maraîchères — variante 02</x:v>
      </x:c>
      <x:c r="F609" t="n">
        <x:v>8</x:v>
      </x:c>
      <x:c r="G609" t="n">
        <x:v>5</x:v>
      </x:c>
      <x:c r="H609" t="n">
        <x:v>0</x:v>
      </x:c>
      <x:c r="I609" t="str">
        <x:v>À qualifier par lieu</x:v>
      </x:c>
      <x:c r="J609" t="str">
        <x:v>https://github.com/darknigthmare/deadwall-last-enclosure/blob/e28f46223e73105ab2c5d83f3d50b99b58ef53e6/codex-3000/originaux/DEADWALL_CODEX_SUPPLEMENT_1.23/FICHES_501_1000/DW-0604.md</x:v>
      </x:c>
      <x:c r="K609" t="str">
        <x:v>Source min 63,32 m ; max 63,32 m ; modèle 63 × 32 m ; niveaux 0. Détails dans catalogue-existant.json.</x:v>
      </x:c>
    </x:row>
    <x:row r="610">
      <x:c r="A610" t="str">
        <x:v>DW-0605</x:v>
      </x:c>
      <x:c r="B610" t="str">
        <x:v>DW-0605</x:v>
      </x:c>
      <x:c r="C610" t="str">
        <x:v>Parent historique</x:v>
      </x:c>
      <x:c r="D610" t="str">
        <x:v>militaire</x:v>
      </x:c>
      <x:c r="E610" t="str">
        <x:v>Bunker de défense civile — variante 02</x:v>
      </x:c>
      <x:c r="F610" t="n">
        <x:v>8</x:v>
      </x:c>
      <x:c r="G610" t="n">
        <x:v>6</x:v>
      </x:c>
      <x:c r="H610" t="n">
        <x:v>0</x:v>
      </x:c>
      <x:c r="I610" t="str">
        <x:v>À qualifier par lieu</x:v>
      </x:c>
      <x:c r="J610" t="str">
        <x:v>https://github.com/darknigthmare/deadwall-last-enclosure/blob/e28f46223e73105ab2c5d83f3d50b99b58ef53e6/codex-3000/originaux/DEADWALL_CODEX_SUPPLEMENT_1.23/FICHES_501_1000/DW-0605.md</x:v>
      </x:c>
      <x:c r="K610" t="str">
        <x:v>Source min 74,49 m ; max 74,49 m ; modèle 74 × 49 m ; niveaux 0, 1. Détails dans catalogue-existant.json.</x:v>
      </x:c>
    </x:row>
    <x:row r="611">
      <x:c r="A611" t="str">
        <x:v>DW-0606</x:v>
      </x:c>
      <x:c r="B611" t="str">
        <x:v>DW-0606</x:v>
      </x:c>
      <x:c r="C611" t="str">
        <x:v>Parent historique</x:v>
      </x:c>
      <x:c r="D611" t="str">
        <x:v>militaire</x:v>
      </x:c>
      <x:c r="E611" t="str">
        <x:v>Dépôt militaire — variante 02</x:v>
      </x:c>
      <x:c r="F611" t="n">
        <x:v>8</x:v>
      </x:c>
      <x:c r="G611" t="n">
        <x:v>5</x:v>
      </x:c>
      <x:c r="H611" t="n">
        <x:v>0</x:v>
      </x:c>
      <x:c r="I611" t="str">
        <x:v>À qualifier par lieu</x:v>
      </x:c>
      <x:c r="J611" t="str">
        <x:v>https://github.com/darknigthmare/deadwall-last-enclosure/blob/e28f46223e73105ab2c5d83f3d50b99b58ef53e6/codex-3000/originaux/DEADWALL_CODEX_SUPPLEMENT_1.23/FICHES_501_1000/DW-0606.md</x:v>
      </x:c>
      <x:c r="K611" t="str">
        <x:v>Source min 13,12 m ; max 13,12 m ; modèle 26 × 22 m ; niveaux 0. Détails dans catalogue-existant.json.</x:v>
      </x:c>
    </x:row>
    <x:row r="612">
      <x:c r="A612" t="str">
        <x:v>DW-0607</x:v>
      </x:c>
      <x:c r="B612" t="str">
        <x:v>DW-0607</x:v>
      </x:c>
      <x:c r="C612" t="str">
        <x:v>Parent historique</x:v>
      </x:c>
      <x:c r="D612" t="str">
        <x:v>militaire</x:v>
      </x:c>
      <x:c r="E612" t="str">
        <x:v>Poste de contrôle — variante 02</x:v>
      </x:c>
      <x:c r="F612" t="n">
        <x:v>8</x:v>
      </x:c>
      <x:c r="G612" t="n">
        <x:v>5</x:v>
      </x:c>
      <x:c r="H612" t="n">
        <x:v>0</x:v>
      </x:c>
      <x:c r="I612" t="str">
        <x:v>À qualifier par lieu</x:v>
      </x:c>
      <x:c r="J612" t="str">
        <x:v>https://github.com/darknigthmare/deadwall-last-enclosure/blob/e28f46223e73105ab2c5d83f3d50b99b58ef53e6/codex-3000/originaux/DEADWALL_CODEX_SUPPLEMENT_1.23/FICHES_501_1000/DW-0607.md</x:v>
      </x:c>
      <x:c r="K612" t="str">
        <x:v>Source min 24,29 m ; max 24,29 m ; modèle 26 × 29 m ; niveaux 0. Détails dans catalogue-existant.json.</x:v>
      </x:c>
    </x:row>
    <x:row r="613">
      <x:c r="A613" t="str">
        <x:v>DW-0608</x:v>
      </x:c>
      <x:c r="B613" t="str">
        <x:v>DW-0608</x:v>
      </x:c>
      <x:c r="C613" t="str">
        <x:v>Parent historique</x:v>
      </x:c>
      <x:c r="D613" t="str">
        <x:v>militaire</x:v>
      </x:c>
      <x:c r="E613" t="str">
        <x:v>Camp retranché abandonné — variante 02</x:v>
      </x:c>
      <x:c r="F613" t="n">
        <x:v>8</x:v>
      </x:c>
      <x:c r="G613" t="n">
        <x:v>5</x:v>
      </x:c>
      <x:c r="H613" t="n">
        <x:v>0</x:v>
      </x:c>
      <x:c r="I613" t="str">
        <x:v>À qualifier par lieu</x:v>
      </x:c>
      <x:c r="J613" t="str">
        <x:v>https://github.com/darknigthmare/deadwall-last-enclosure/blob/e28f46223e73105ab2c5d83f3d50b99b58ef53e6/codex-3000/originaux/DEADWALL_CODEX_SUPPLEMENT_1.23/FICHES_501_1000/DW-0608.md</x:v>
      </x:c>
      <x:c r="K613" t="str">
        <x:v>Source min 35,46 m ; max 35,46 m ; modèle 35 × 46 m ; niveaux 0. Détails dans catalogue-existant.json.</x:v>
      </x:c>
    </x:row>
    <x:row r="614">
      <x:c r="A614" t="str">
        <x:v>DW-0609</x:v>
      </x:c>
      <x:c r="B614" t="str">
        <x:v>DW-0609</x:v>
      </x:c>
      <x:c r="C614" t="str">
        <x:v>Parent historique</x:v>
      </x:c>
      <x:c r="D614" t="str">
        <x:v>militaire</x:v>
      </x:c>
      <x:c r="E614" t="str">
        <x:v>Abri ferroviaire — variante 02</x:v>
      </x:c>
      <x:c r="F614" t="n">
        <x:v>8</x:v>
      </x:c>
      <x:c r="G614" t="n">
        <x:v>4</x:v>
      </x:c>
      <x:c r="H614" t="n">
        <x:v>0</x:v>
      </x:c>
      <x:c r="I614" t="str">
        <x:v>À qualifier par lieu</x:v>
      </x:c>
      <x:c r="J614" t="str">
        <x:v>https://github.com/darknigthmare/deadwall-last-enclosure/blob/e28f46223e73105ab2c5d83f3d50b99b58ef53e6/codex-3000/originaux/DEADWALL_CODEX_SUPPLEMENT_1.23/FICHES_501_1000/DW-0609.md</x:v>
      </x:c>
      <x:c r="K614" t="str">
        <x:v>Source min 46,9 m ; max 46,9 m ; modèle 46 × 18 m ; niveaux 0. Détails dans catalogue-existant.json.</x:v>
      </x:c>
    </x:row>
    <x:row r="615">
      <x:c r="A615" t="str">
        <x:v>DW-0610</x:v>
      </x:c>
      <x:c r="B615" t="str">
        <x:v>DW-0610</x:v>
      </x:c>
      <x:c r="C615" t="str">
        <x:v>Parent historique</x:v>
      </x:c>
      <x:c r="D615" t="str">
        <x:v>militaire</x:v>
      </x:c>
      <x:c r="E615" t="str">
        <x:v>Site radar — variante 02</x:v>
      </x:c>
      <x:c r="F615" t="n">
        <x:v>8</x:v>
      </x:c>
      <x:c r="G615" t="n">
        <x:v>5</x:v>
      </x:c>
      <x:c r="H615" t="n">
        <x:v>0</x:v>
      </x:c>
      <x:c r="I615" t="str">
        <x:v>À qualifier par lieu</x:v>
      </x:c>
      <x:c r="J615" t="str">
        <x:v>https://github.com/darknigthmare/deadwall-last-enclosure/blob/e28f46223e73105ab2c5d83f3d50b99b58ef53e6/codex-3000/originaux/DEADWALL_CODEX_SUPPLEMENT_1.23/FICHES_501_1000/DW-0610.md</x:v>
      </x:c>
      <x:c r="K615" t="str">
        <x:v>Source min 57,26 m ; max 57,26 m ; modèle 57 × 26 m ; niveaux 0. Détails dans catalogue-existant.json.</x:v>
      </x:c>
    </x:row>
    <x:row r="616">
      <x:c r="A616" t="str">
        <x:v>DW-0611</x:v>
      </x:c>
      <x:c r="B616" t="str">
        <x:v>DW-0611</x:v>
      </x:c>
      <x:c r="C616" t="str">
        <x:v>Parent historique</x:v>
      </x:c>
      <x:c r="D616" t="str">
        <x:v>militaire</x:v>
      </x:c>
      <x:c r="E616" t="str">
        <x:v>Batterie côtière — variante 02</x:v>
      </x:c>
      <x:c r="F616" t="n">
        <x:v>8</x:v>
      </x:c>
      <x:c r="G616" t="n">
        <x:v>4</x:v>
      </x:c>
      <x:c r="H616" t="n">
        <x:v>0</x:v>
      </x:c>
      <x:c r="I616" t="str">
        <x:v>À qualifier par lieu</x:v>
      </x:c>
      <x:c r="J616" t="str">
        <x:v>https://github.com/darknigthmare/deadwall-last-enclosure/blob/e28f46223e73105ab2c5d83f3d50b99b58ef53e6/codex-3000/originaux/DEADWALL_CODEX_SUPPLEMENT_1.23/FICHES_501_1000/DW-0611.md</x:v>
      </x:c>
      <x:c r="K616" t="str">
        <x:v>Source min 68,43 m ; max 68,43 m ; modèle 68 × 43 m ; niveaux 0. Détails dans catalogue-existant.json.</x:v>
      </x:c>
    </x:row>
    <x:row r="617">
      <x:c r="A617" t="str">
        <x:v>DW-0612</x:v>
      </x:c>
      <x:c r="B617" t="str">
        <x:v>DW-0612</x:v>
      </x:c>
      <x:c r="C617" t="str">
        <x:v>Parent historique</x:v>
      </x:c>
      <x:c r="D617" t="str">
        <x:v>militaire</x:v>
      </x:c>
      <x:c r="E617" t="str">
        <x:v>Dépôt carburant sécurisé — variante 02</x:v>
      </x:c>
      <x:c r="F617" t="n">
        <x:v>8</x:v>
      </x:c>
      <x:c r="G617" t="n">
        <x:v>5</x:v>
      </x:c>
      <x:c r="H617" t="n">
        <x:v>0</x:v>
      </x:c>
      <x:c r="I617" t="str">
        <x:v>À qualifier par lieu</x:v>
      </x:c>
      <x:c r="J617" t="str">
        <x:v>https://github.com/darknigthmare/deadwall-last-enclosure/blob/e28f46223e73105ab2c5d83f3d50b99b58ef53e6/codex-3000/originaux/DEADWALL_CODEX_SUPPLEMENT_1.23/FICHES_501_1000/DW-0612.md</x:v>
      </x:c>
      <x:c r="K617" t="str">
        <x:v>Source min 79,60 m ; max 79,60 m ; modèle 78 × 60 m ; niveaux 0. Détails dans catalogue-existant.json.</x:v>
      </x:c>
    </x:row>
    <x:row r="618">
      <x:c r="A618" t="str">
        <x:v>DW-0613</x:v>
      </x:c>
      <x:c r="B618" t="str">
        <x:v>DW-0613</x:v>
      </x:c>
      <x:c r="C618" t="str">
        <x:v>Parent historique</x:v>
      </x:c>
      <x:c r="D618" t="str">
        <x:v>transport</x:v>
      </x:c>
      <x:c r="E618" t="str">
        <x:v>Gare routière — variante 02</x:v>
      </x:c>
      <x:c r="F618" t="n">
        <x:v>8</x:v>
      </x:c>
      <x:c r="G618" t="n">
        <x:v>5</x:v>
      </x:c>
      <x:c r="H618" t="n">
        <x:v>0</x:v>
      </x:c>
      <x:c r="I618" t="str">
        <x:v>À qualifier par lieu</x:v>
      </x:c>
      <x:c r="J618" t="str">
        <x:v>https://github.com/darknigthmare/deadwall-last-enclosure/blob/e28f46223e73105ab2c5d83f3d50b99b58ef53e6/codex-3000/originaux/DEADWALL_CODEX_SUPPLEMENT_1.23/FICHES_501_1000/DW-0613.md</x:v>
      </x:c>
      <x:c r="K618" t="str">
        <x:v>Source min 18,23 m ; max 18,23 m ; modèle 26 × 23 m ; niveaux 0. Détails dans catalogue-existant.json.</x:v>
      </x:c>
    </x:row>
    <x:row r="619">
      <x:c r="A619" t="str">
        <x:v>DW-0614</x:v>
      </x:c>
      <x:c r="B619" t="str">
        <x:v>DW-0614</x:v>
      </x:c>
      <x:c r="C619" t="str">
        <x:v>Parent historique</x:v>
      </x:c>
      <x:c r="D619" t="str">
        <x:v>transport</x:v>
      </x:c>
      <x:c r="E619" t="str">
        <x:v>Dépôt de bus — variante 02</x:v>
      </x:c>
      <x:c r="F619" t="n">
        <x:v>8</x:v>
      </x:c>
      <x:c r="G619" t="n">
        <x:v>5</x:v>
      </x:c>
      <x:c r="H619" t="n">
        <x:v>0</x:v>
      </x:c>
      <x:c r="I619" t="str">
        <x:v>À qualifier par lieu</x:v>
      </x:c>
      <x:c r="J619" t="str">
        <x:v>https://github.com/darknigthmare/deadwall-last-enclosure/blob/e28f46223e73105ab2c5d83f3d50b99b58ef53e6/codex-3000/originaux/DEADWALL_CODEX_SUPPLEMENT_1.23/FICHES_501_1000/DW-0614.md</x:v>
      </x:c>
      <x:c r="K619" t="str">
        <x:v>Source min 29,40 m ; max 29,40 m ; modèle 29 × 40 m ; niveaux 0. Détails dans catalogue-existant.json.</x:v>
      </x:c>
    </x:row>
    <x:row r="620">
      <x:c r="A620" t="str">
        <x:v>DW-0615</x:v>
      </x:c>
      <x:c r="B620" t="str">
        <x:v>DW-0615</x:v>
      </x:c>
      <x:c r="C620" t="str">
        <x:v>Parent historique</x:v>
      </x:c>
      <x:c r="D620" t="str">
        <x:v>transport</x:v>
      </x:c>
      <x:c r="E620" t="str">
        <x:v>Gare ferroviaire — variante 02</x:v>
      </x:c>
      <x:c r="F620" t="n">
        <x:v>8</x:v>
      </x:c>
      <x:c r="G620" t="n">
        <x:v>5</x:v>
      </x:c>
      <x:c r="H620" t="n">
        <x:v>0</x:v>
      </x:c>
      <x:c r="I620" t="str">
        <x:v>À qualifier par lieu</x:v>
      </x:c>
      <x:c r="J620" t="str">
        <x:v>https://github.com/darknigthmare/deadwall-last-enclosure/blob/e28f46223e73105ab2c5d83f3d50b99b58ef53e6/codex-3000/originaux/DEADWALL_CODEX_SUPPLEMENT_1.23/FICHES_501_1000/DW-0615.md</x:v>
      </x:c>
      <x:c r="K620" t="str">
        <x:v>Source min 40,57 m ; max 40,57 m ; modèle 40 × 57 m ; niveaux 0. Détails dans catalogue-existant.json.</x:v>
      </x:c>
    </x:row>
    <x:row r="621">
      <x:c r="A621" t="str">
        <x:v>DW-0616</x:v>
      </x:c>
      <x:c r="B621" t="str">
        <x:v>DW-0616</x:v>
      </x:c>
      <x:c r="C621" t="str">
        <x:v>Parent historique</x:v>
      </x:c>
      <x:c r="D621" t="str">
        <x:v>transport</x:v>
      </x:c>
      <x:c r="E621" t="str">
        <x:v>Aire d'autoroute — variante 02</x:v>
      </x:c>
      <x:c r="F621" t="n">
        <x:v>8</x:v>
      </x:c>
      <x:c r="G621" t="n">
        <x:v>5</x:v>
      </x:c>
      <x:c r="H621" t="n">
        <x:v>0</x:v>
      </x:c>
      <x:c r="I621" t="str">
        <x:v>À qualifier par lieu</x:v>
      </x:c>
      <x:c r="J621" t="str">
        <x:v>https://github.com/darknigthmare/deadwall-last-enclosure/blob/e28f46223e73105ab2c5d83f3d50b99b58ef53e6/codex-3000/originaux/DEADWALL_CODEX_SUPPLEMENT_1.23/FICHES_501_1000/DW-0616.md</x:v>
      </x:c>
      <x:c r="K621" t="str">
        <x:v>Source min 51,20 m ; max 51,20 m ; modèle 51 × 22 m ; niveaux 0. Détails dans catalogue-existant.json.</x:v>
      </x:c>
    </x:row>
    <x:row r="622">
      <x:c r="A622" t="str">
        <x:v>DW-0617</x:v>
      </x:c>
      <x:c r="B622" t="str">
        <x:v>DW-0617</x:v>
      </x:c>
      <x:c r="C622" t="str">
        <x:v>Parent historique</x:v>
      </x:c>
      <x:c r="D622" t="str">
        <x:v>transport</x:v>
      </x:c>
      <x:c r="E622" t="str">
        <x:v>Parking silo — variante 02</x:v>
      </x:c>
      <x:c r="F622" t="n">
        <x:v>8</x:v>
      </x:c>
      <x:c r="G622" t="n">
        <x:v>4</x:v>
      </x:c>
      <x:c r="H622" t="n">
        <x:v>0</x:v>
      </x:c>
      <x:c r="I622" t="str">
        <x:v>À qualifier par lieu</x:v>
      </x:c>
      <x:c r="J622" t="str">
        <x:v>https://github.com/darknigthmare/deadwall-last-enclosure/blob/e28f46223e73105ab2c5d83f3d50b99b58ef53e6/codex-3000/originaux/DEADWALL_CODEX_SUPPLEMENT_1.23/FICHES_501_1000/DW-0617.md</x:v>
      </x:c>
      <x:c r="K622" t="str">
        <x:v>Source min 62,37 m ; max 62,37 m ; modèle 62 × 37 m ; niveaux 0. Détails dans catalogue-existant.json.</x:v>
      </x:c>
    </x:row>
    <x:row r="623">
      <x:c r="A623" t="str">
        <x:v>DW-0618</x:v>
      </x:c>
      <x:c r="B623" t="str">
        <x:v>DW-0618</x:v>
      </x:c>
      <x:c r="C623" t="str">
        <x:v>Parent historique</x:v>
      </x:c>
      <x:c r="D623" t="str">
        <x:v>transport</x:v>
      </x:c>
      <x:c r="E623" t="str">
        <x:v>Terminal poids lourds — variante 02</x:v>
      </x:c>
      <x:c r="F623" t="n">
        <x:v>8</x:v>
      </x:c>
      <x:c r="G623" t="n">
        <x:v>5</x:v>
      </x:c>
      <x:c r="H623" t="n">
        <x:v>0</x:v>
      </x:c>
      <x:c r="I623" t="str">
        <x:v>À qualifier par lieu</x:v>
      </x:c>
      <x:c r="J623" t="str">
        <x:v>https://github.com/darknigthmare/deadwall-last-enclosure/blob/e28f46223e73105ab2c5d83f3d50b99b58ef53e6/codex-3000/originaux/DEADWALL_CODEX_SUPPLEMENT_1.23/FICHES_501_1000/DW-0618.md</x:v>
      </x:c>
      <x:c r="K623" t="str">
        <x:v>Source min 73,54 m ; max 73,54 m ; modèle 73 × 54 m ; niveaux 0. Détails dans catalogue-existant.json.</x:v>
      </x:c>
    </x:row>
    <x:row r="624">
      <x:c r="A624" t="str">
        <x:v>DW-0619</x:v>
      </x:c>
      <x:c r="B624" t="str">
        <x:v>DW-0619</x:v>
      </x:c>
      <x:c r="C624" t="str">
        <x:v>Parent historique</x:v>
      </x:c>
      <x:c r="D624" t="str">
        <x:v>transport</x:v>
      </x:c>
      <x:c r="E624" t="str">
        <x:v>Port de plaisance — variante 02</x:v>
      </x:c>
      <x:c r="F624" t="n">
        <x:v>8</x:v>
      </x:c>
      <x:c r="G624" t="n">
        <x:v>5</x:v>
      </x:c>
      <x:c r="H624" t="n">
        <x:v>0</x:v>
      </x:c>
      <x:c r="I624" t="str">
        <x:v>À qualifier par lieu</x:v>
      </x:c>
      <x:c r="J624" t="str">
        <x:v>https://github.com/darknigthmare/deadwall-last-enclosure/blob/e28f46223e73105ab2c5d83f3d50b99b58ef53e6/codex-3000/originaux/DEADWALL_CODEX_SUPPLEMENT_1.23/FICHES_501_1000/DW-0619.md</x:v>
      </x:c>
      <x:c r="K624" t="str">
        <x:v>Source min 12,17 m ; max 12,17 m ; modèle 26 × 22 m ; niveaux 0. Détails dans catalogue-existant.json.</x:v>
      </x:c>
    </x:row>
    <x:row r="625">
      <x:c r="A625" t="str">
        <x:v>DW-0620</x:v>
      </x:c>
      <x:c r="B625" t="str">
        <x:v>DW-0620</x:v>
      </x:c>
      <x:c r="C625" t="str">
        <x:v>Parent historique</x:v>
      </x:c>
      <x:c r="D625" t="str">
        <x:v>transport</x:v>
      </x:c>
      <x:c r="E625" t="str">
        <x:v>Petit aérodrome — variante 02</x:v>
      </x:c>
      <x:c r="F625" t="n">
        <x:v>8</x:v>
      </x:c>
      <x:c r="G625" t="n">
        <x:v>5</x:v>
      </x:c>
      <x:c r="H625" t="n">
        <x:v>0</x:v>
      </x:c>
      <x:c r="I625" t="str">
        <x:v>À qualifier par lieu</x:v>
      </x:c>
      <x:c r="J625" t="str">
        <x:v>https://github.com/darknigthmare/deadwall-last-enclosure/blob/e28f46223e73105ab2c5d83f3d50b99b58ef53e6/codex-3000/originaux/DEADWALL_CODEX_SUPPLEMENT_1.23/FICHES_501_1000/DW-0620.md</x:v>
      </x:c>
      <x:c r="K625" t="str">
        <x:v>Source min 23,34 m ; max 23,34 m ; modèle 26 × 34 m ; niveaux 0. Détails dans catalogue-existant.json.</x:v>
      </x:c>
    </x:row>
    <x:row r="626">
      <x:c r="A626" t="str">
        <x:v>DW-0621</x:v>
      </x:c>
      <x:c r="B626" t="str">
        <x:v>DW-0621</x:v>
      </x:c>
      <x:c r="C626" t="str">
        <x:v>Parent historique</x:v>
      </x:c>
      <x:c r="D626" t="str">
        <x:v>ruines</x:v>
      </x:c>
      <x:c r="E626" t="str">
        <x:v>Maison incendiée — variante 02</x:v>
      </x:c>
      <x:c r="F626" t="n">
        <x:v>8</x:v>
      </x:c>
      <x:c r="G626" t="n">
        <x:v>3</x:v>
      </x:c>
      <x:c r="H626" t="n">
        <x:v>0</x:v>
      </x:c>
      <x:c r="I626" t="str">
        <x:v>À qualifier par lieu</x:v>
      </x:c>
      <x:c r="J626" t="str">
        <x:v>https://github.com/darknigthmare/deadwall-last-enclosure/blob/e28f46223e73105ab2c5d83f3d50b99b58ef53e6/codex-3000/originaux/DEADWALL_CODEX_SUPPLEMENT_1.23/FICHES_501_1000/DW-0621.md</x:v>
      </x:c>
      <x:c r="K626" t="str">
        <x:v>Source min 34,51 m ; max 34,51 m ; modèle 34 × 51 m ; niveaux 0, 1. Détails dans catalogue-existant.json.</x:v>
      </x:c>
    </x:row>
    <x:row r="627">
      <x:c r="A627" t="str">
        <x:v>DW-0622</x:v>
      </x:c>
      <x:c r="B627" t="str">
        <x:v>DW-0622</x:v>
      </x:c>
      <x:c r="C627" t="str">
        <x:v>Parent historique</x:v>
      </x:c>
      <x:c r="D627" t="str">
        <x:v>ruines</x:v>
      </x:c>
      <x:c r="E627" t="str">
        <x:v>Immeuble éventré — variante 02</x:v>
      </x:c>
      <x:c r="F627" t="n">
        <x:v>8</x:v>
      </x:c>
      <x:c r="G627" t="n">
        <x:v>4</x:v>
      </x:c>
      <x:c r="H627" t="n">
        <x:v>0</x:v>
      </x:c>
      <x:c r="I627" t="str">
        <x:v>À qualifier par lieu</x:v>
      </x:c>
      <x:c r="J627" t="str">
        <x:v>https://github.com/darknigthmare/deadwall-last-enclosure/blob/e28f46223e73105ab2c5d83f3d50b99b58ef53e6/codex-3000/originaux/DEADWALL_CODEX_SUPPLEMENT_1.23/FICHES_501_1000/DW-0622.md</x:v>
      </x:c>
      <x:c r="K627" t="str">
        <x:v>Source min 45,14 m ; max 45,14 m ; modèle 45 × 18 m ; niveaux 0, 1, 2. Détails dans catalogue-existant.json.</x:v>
      </x:c>
    </x:row>
    <x:row r="628">
      <x:c r="A628" t="str">
        <x:v>DW-0623</x:v>
      </x:c>
      <x:c r="B628" t="str">
        <x:v>DW-0623</x:v>
      </x:c>
      <x:c r="C628" t="str">
        <x:v>Parent historique</x:v>
      </x:c>
      <x:c r="D628" t="str">
        <x:v>ruines</x:v>
      </x:c>
      <x:c r="E628" t="str">
        <x:v>Commerce pillé — variante 02</x:v>
      </x:c>
      <x:c r="F628" t="n">
        <x:v>8</x:v>
      </x:c>
      <x:c r="G628" t="n">
        <x:v>4</x:v>
      </x:c>
      <x:c r="H628" t="n">
        <x:v>0</x:v>
      </x:c>
      <x:c r="I628" t="str">
        <x:v>À qualifier par lieu</x:v>
      </x:c>
      <x:c r="J628" t="str">
        <x:v>https://github.com/darknigthmare/deadwall-last-enclosure/blob/e28f46223e73105ab2c5d83f3d50b99b58ef53e6/codex-3000/originaux/DEADWALL_CODEX_SUPPLEMENT_1.23/FICHES_501_1000/DW-0623.md</x:v>
      </x:c>
      <x:c r="K628" t="str">
        <x:v>Source min 56,31 m ; max 56,31 m ; modèle 56 × 31 m ; niveaux 0. Détails dans catalogue-existant.json.</x:v>
      </x:c>
    </x:row>
    <x:row r="629">
      <x:c r="A629" t="str">
        <x:v>DW-0624</x:v>
      </x:c>
      <x:c r="B629" t="str">
        <x:v>DW-0624</x:v>
      </x:c>
      <x:c r="C629" t="str">
        <x:v>Parent historique</x:v>
      </x:c>
      <x:c r="D629" t="str">
        <x:v>ruines</x:v>
      </x:c>
      <x:c r="E629" t="str">
        <x:v>Usine sinistrée — variante 02</x:v>
      </x:c>
      <x:c r="F629" t="n">
        <x:v>8</x:v>
      </x:c>
      <x:c r="G629" t="n">
        <x:v>4</x:v>
      </x:c>
      <x:c r="H629" t="n">
        <x:v>0</x:v>
      </x:c>
      <x:c r="I629" t="str">
        <x:v>À qualifier par lieu</x:v>
      </x:c>
      <x:c r="J629" t="str">
        <x:v>https://github.com/darknigthmare/deadwall-last-enclosure/blob/e28f46223e73105ab2c5d83f3d50b99b58ef53e6/codex-3000/originaux/DEADWALL_CODEX_SUPPLEMENT_1.23/FICHES_501_1000/DW-0624.md</x:v>
      </x:c>
      <x:c r="K629" t="str">
        <x:v>Source min 67,48 m ; max 67,48 m ; modèle 67 × 48 m ; niveaux 0. Détails dans catalogue-existant.json.</x:v>
      </x:c>
    </x:row>
    <x:row r="630">
      <x:c r="A630" t="str">
        <x:v>DW-0625</x:v>
      </x:c>
      <x:c r="B630" t="str">
        <x:v>DW-0625</x:v>
      </x:c>
      <x:c r="C630" t="str">
        <x:v>Parent historique</x:v>
      </x:c>
      <x:c r="D630" t="str">
        <x:v>ruines</x:v>
      </x:c>
      <x:c r="E630" t="str">
        <x:v>Hôtel abandonné — variante 02</x:v>
      </x:c>
      <x:c r="F630" t="n">
        <x:v>8</x:v>
      </x:c>
      <x:c r="G630" t="n">
        <x:v>5</x:v>
      </x:c>
      <x:c r="H630" t="n">
        <x:v>0</x:v>
      </x:c>
      <x:c r="I630" t="str">
        <x:v>À qualifier par lieu</x:v>
      </x:c>
      <x:c r="J630" t="str">
        <x:v>https://github.com/darknigthmare/deadwall-last-enclosure/blob/e28f46223e73105ab2c5d83f3d50b99b58ef53e6/codex-3000/originaux/DEADWALL_CODEX_SUPPLEMENT_1.23/FICHES_501_1000/DW-0625.md</x:v>
      </x:c>
      <x:c r="K630" t="str">
        <x:v>Source min 78,11 m ; max 78,11 m ; modèle 78 × 22 m ; niveaux 0, 1. Détails dans catalogue-existant.json.</x:v>
      </x:c>
    </x:row>
    <x:row r="631">
      <x:c r="A631" t="str">
        <x:v>DW-0626</x:v>
      </x:c>
      <x:c r="B631" t="str">
        <x:v>DW-0626</x:v>
      </x:c>
      <x:c r="C631" t="str">
        <x:v>Parent historique</x:v>
      </x:c>
      <x:c r="D631" t="str">
        <x:v>ruines</x:v>
      </x:c>
      <x:c r="E631" t="str">
        <x:v>Lotissement ravagé — variante 02</x:v>
      </x:c>
      <x:c r="F631" t="n">
        <x:v>8</x:v>
      </x:c>
      <x:c r="G631" t="n">
        <x:v>4</x:v>
      </x:c>
      <x:c r="H631" t="n">
        <x:v>0</x:v>
      </x:c>
      <x:c r="I631" t="str">
        <x:v>À qualifier par lieu</x:v>
      </x:c>
      <x:c r="J631" t="str">
        <x:v>https://github.com/darknigthmare/deadwall-last-enclosure/blob/e28f46223e73105ab2c5d83f3d50b99b58ef53e6/codex-3000/originaux/DEADWALL_CODEX_SUPPLEMENT_1.23/FICHES_501_1000/DW-0626.md</x:v>
      </x:c>
      <x:c r="K631" t="str">
        <x:v>Source min 17,28 m ; max 17,28 m ; modèle 25 × 28 m ; niveaux 0. Détails dans catalogue-existant.json.</x:v>
      </x:c>
    </x:row>
    <x:row r="632">
      <x:c r="A632" t="str">
        <x:v>DW-0627</x:v>
      </x:c>
      <x:c r="B632" t="str">
        <x:v>DW-0627</x:v>
      </x:c>
      <x:c r="C632" t="str">
        <x:v>Parent historique</x:v>
      </x:c>
      <x:c r="D632" t="str">
        <x:v>ruines</x:v>
      </x:c>
      <x:c r="E632" t="str">
        <x:v>Village déserté — variante 02</x:v>
      </x:c>
      <x:c r="F632" t="n">
        <x:v>8</x:v>
      </x:c>
      <x:c r="G632" t="n">
        <x:v>5</x:v>
      </x:c>
      <x:c r="H632" t="n">
        <x:v>0</x:v>
      </x:c>
      <x:c r="I632" t="str">
        <x:v>À qualifier par lieu</x:v>
      </x:c>
      <x:c r="J632" t="str">
        <x:v>https://github.com/darknigthmare/deadwall-last-enclosure/blob/e28f46223e73105ab2c5d83f3d50b99b58ef53e6/codex-3000/originaux/DEADWALL_CODEX_SUPPLEMENT_1.23/FICHES_501_1000/DW-0627.md</x:v>
      </x:c>
      <x:c r="K632" t="str">
        <x:v>Source min 28,45 m ; max 28,45 m ; modèle 28 × 45 m ; niveaux 0. Détails dans catalogue-existant.json.</x:v>
      </x:c>
    </x:row>
    <x:row r="633">
      <x:c r="A633" t="str">
        <x:v>DW-0628</x:v>
      </x:c>
      <x:c r="B633" t="str">
        <x:v>DW-0628</x:v>
      </x:c>
      <x:c r="C633" t="str">
        <x:v>Parent historique</x:v>
      </x:c>
      <x:c r="D633" t="str">
        <x:v>ruines</x:v>
      </x:c>
      <x:c r="E633" t="str">
        <x:v>Centre commercial effondré — variante 02</x:v>
      </x:c>
      <x:c r="F633" t="n">
        <x:v>8</x:v>
      </x:c>
      <x:c r="G633" t="n">
        <x:v>5</x:v>
      </x:c>
      <x:c r="H633" t="n">
        <x:v>0</x:v>
      </x:c>
      <x:c r="I633" t="str">
        <x:v>À qualifier par lieu</x:v>
      </x:c>
      <x:c r="J633" t="str">
        <x:v>https://github.com/darknigthmare/deadwall-last-enclosure/blob/e28f46223e73105ab2c5d83f3d50b99b58ef53e6/codex-3000/originaux/DEADWALL_CODEX_SUPPLEMENT_1.23/FICHES_501_1000/DW-0628.md</x:v>
      </x:c>
      <x:c r="K633" t="str">
        <x:v>Source min 39,62 m ; max 39,62 m ; modèle 39 × 62 m ; niveaux 0. Détails dans catalogue-existant.json.</x:v>
      </x:c>
    </x:row>
    <x:row r="634">
      <x:c r="A634" t="str">
        <x:v>DW-0629</x:v>
      </x:c>
      <x:c r="B634" t="str">
        <x:v>DW-0629</x:v>
      </x:c>
      <x:c r="C634" t="str">
        <x:v>Parent historique</x:v>
      </x:c>
      <x:c r="D634" t="str">
        <x:v>habitat</x:v>
      </x:c>
      <x:c r="E634" t="str">
        <x:v>Maison de lotissement — variante 03</x:v>
      </x:c>
      <x:c r="F634" t="n">
        <x:v>8</x:v>
      </x:c>
      <x:c r="G634" t="n">
        <x:v>5</x:v>
      </x:c>
      <x:c r="H634" t="n">
        <x:v>0</x:v>
      </x:c>
      <x:c r="I634" t="str">
        <x:v>À qualifier par lieu</x:v>
      </x:c>
      <x:c r="J634" t="str">
        <x:v>https://github.com/darknigthmare/deadwall-last-enclosure/blob/e28f46223e73105ab2c5d83f3d50b99b58ef53e6/codex-3000/originaux/DEADWALL_CODEX_SUPPLEMENT_1.23/FICHES_501_1000/DW-0629.md</x:v>
      </x:c>
      <x:c r="K634" t="str">
        <x:v>Source min 50,25 m ; max 50,25 m ; modèle 50 × 25 m ; niveaux 0, 1. Détails dans catalogue-existant.json.</x:v>
      </x:c>
    </x:row>
    <x:row r="635">
      <x:c r="A635" t="str">
        <x:v>DW-0630</x:v>
      </x:c>
      <x:c r="B635" t="str">
        <x:v>DW-0630</x:v>
      </x:c>
      <x:c r="C635" t="str">
        <x:v>Parent historique</x:v>
      </x:c>
      <x:c r="D635" t="str">
        <x:v>habitat</x:v>
      </x:c>
      <x:c r="E635" t="str">
        <x:v>Maison mitoyenne — variante 03</x:v>
      </x:c>
      <x:c r="F635" t="n">
        <x:v>8</x:v>
      </x:c>
      <x:c r="G635" t="n">
        <x:v>5</x:v>
      </x:c>
      <x:c r="H635" t="n">
        <x:v>0</x:v>
      </x:c>
      <x:c r="I635" t="str">
        <x:v>À qualifier par lieu</x:v>
      </x:c>
      <x:c r="J635" t="str">
        <x:v>https://github.com/darknigthmare/deadwall-last-enclosure/blob/e28f46223e73105ab2c5d83f3d50b99b58ef53e6/codex-3000/originaux/DEADWALL_CODEX_SUPPLEMENT_1.23/FICHES_501_1000/DW-0630.md</x:v>
      </x:c>
      <x:c r="K635" t="str">
        <x:v>Source min 61,42 m ; max 61,42 m ; modèle 61 × 42 m ; niveaux 0. Détails dans catalogue-existant.json.</x:v>
      </x:c>
    </x:row>
    <x:row r="636">
      <x:c r="A636" t="str">
        <x:v>DW-0631</x:v>
      </x:c>
      <x:c r="B636" t="str">
        <x:v>DW-0631</x:v>
      </x:c>
      <x:c r="C636" t="str">
        <x:v>Parent historique</x:v>
      </x:c>
      <x:c r="D636" t="str">
        <x:v>habitat</x:v>
      </x:c>
      <x:c r="E636" t="str">
        <x:v>Villa isolée — variante 03</x:v>
      </x:c>
      <x:c r="F636" t="n">
        <x:v>8</x:v>
      </x:c>
      <x:c r="G636" t="n">
        <x:v>7</x:v>
      </x:c>
      <x:c r="H636" t="n">
        <x:v>0</x:v>
      </x:c>
      <x:c r="I636" t="str">
        <x:v>À qualifier par lieu</x:v>
      </x:c>
      <x:c r="J636" t="str">
        <x:v>https://github.com/darknigthmare/deadwall-last-enclosure/blob/e28f46223e73105ab2c5d83f3d50b99b58ef53e6/codex-3000/originaux/DEADWALL_CODEX_SUPPLEMENT_1.23/FICHES_501_1000/DW-0631.md</x:v>
      </x:c>
      <x:c r="K636" t="str">
        <x:v>Source min 72,59 m ; max 72,59 m ; modèle 72 × 59 m ; niveaux 0. Détails dans catalogue-existant.json.</x:v>
      </x:c>
    </x:row>
    <x:row r="637">
      <x:c r="A637" t="str">
        <x:v>DW-0632</x:v>
      </x:c>
      <x:c r="B637" t="str">
        <x:v>DW-0632</x:v>
      </x:c>
      <x:c r="C637" t="str">
        <x:v>Parent historique</x:v>
      </x:c>
      <x:c r="D637" t="str">
        <x:v>habitat</x:v>
      </x:c>
      <x:c r="E637" t="str">
        <x:v>Ferme familiale — variante 03</x:v>
      </x:c>
      <x:c r="F637" t="n">
        <x:v>8</x:v>
      </x:c>
      <x:c r="G637" t="n">
        <x:v>6</x:v>
      </x:c>
      <x:c r="H637" t="n">
        <x:v>0</x:v>
      </x:c>
      <x:c r="I637" t="str">
        <x:v>À qualifier par lieu</x:v>
      </x:c>
      <x:c r="J637" t="str">
        <x:v>https://github.com/darknigthmare/deadwall-last-enclosure/blob/e28f46223e73105ab2c5d83f3d50b99b58ef53e6/codex-3000/originaux/DEADWALL_CODEX_SUPPLEMENT_1.23/FICHES_501_1000/DW-0632.md</x:v>
      </x:c>
      <x:c r="K637" t="str">
        <x:v>Source min 11,22 m ; max 11,22 m ; modèle 28 × 22 m ; niveaux 0. Détails dans catalogue-existant.json.</x:v>
      </x:c>
    </x:row>
    <x:row r="638">
      <x:c r="A638" t="str">
        <x:v>DW-0633</x:v>
      </x:c>
      <x:c r="B638" t="str">
        <x:v>DW-0633</x:v>
      </x:c>
      <x:c r="C638" t="str">
        <x:v>Parent historique</x:v>
      </x:c>
      <x:c r="D638" t="str">
        <x:v>habitat</x:v>
      </x:c>
      <x:c r="E638" t="str">
        <x:v>Immeuble résidentiel — variante 03</x:v>
      </x:c>
      <x:c r="F638" t="n">
        <x:v>8</x:v>
      </x:c>
      <x:c r="G638" t="n">
        <x:v>5</x:v>
      </x:c>
      <x:c r="H638" t="n">
        <x:v>0</x:v>
      </x:c>
      <x:c r="I638" t="str">
        <x:v>À qualifier par lieu</x:v>
      </x:c>
      <x:c r="J638" t="str">
        <x:v>https://github.com/darknigthmare/deadwall-last-enclosure/blob/e28f46223e73105ab2c5d83f3d50b99b58ef53e6/codex-3000/originaux/DEADWALL_CODEX_SUPPLEMENT_1.23/FICHES_501_1000/DW-0633.md</x:v>
      </x:c>
      <x:c r="K638" t="str">
        <x:v>Source min 22,39 m ; max 22,39 m ; modèle 26 × 39 m ; niveaux 0, 1. Détails dans catalogue-existant.json.</x:v>
      </x:c>
    </x:row>
    <x:row r="639">
      <x:c r="A639" t="str">
        <x:v>DW-0634</x:v>
      </x:c>
      <x:c r="B639" t="str">
        <x:v>DW-0634</x:v>
      </x:c>
      <x:c r="C639" t="str">
        <x:v>Parent historique</x:v>
      </x:c>
      <x:c r="D639" t="str">
        <x:v>habitat</x:v>
      </x:c>
      <x:c r="E639" t="str">
        <x:v>Barre de logements — variante 03</x:v>
      </x:c>
      <x:c r="F639" t="n">
        <x:v>8</x:v>
      </x:c>
      <x:c r="G639" t="n">
        <x:v>5</x:v>
      </x:c>
      <x:c r="H639" t="n">
        <x:v>0</x:v>
      </x:c>
      <x:c r="I639" t="str">
        <x:v>À qualifier par lieu</x:v>
      </x:c>
      <x:c r="J639" t="str">
        <x:v>https://github.com/darknigthmare/deadwall-last-enclosure/blob/e28f46223e73105ab2c5d83f3d50b99b58ef53e6/codex-3000/originaux/DEADWALL_CODEX_SUPPLEMENT_1.23/FICHES_501_1000/DW-0634.md</x:v>
      </x:c>
      <x:c r="K639" t="str">
        <x:v>Source min 33,56 m ; max 33,56 m ; modèle 33 × 56 m ; niveaux 0, 1, 2. Détails dans catalogue-existant.json.</x:v>
      </x:c>
    </x:row>
    <x:row r="640">
      <x:c r="A640" t="str">
        <x:v>DW-0635</x:v>
      </x:c>
      <x:c r="B640" t="str">
        <x:v>DW-0635</x:v>
      </x:c>
      <x:c r="C640" t="str">
        <x:v>Parent historique</x:v>
      </x:c>
      <x:c r="D640" t="str">
        <x:v>habitat</x:v>
      </x:c>
      <x:c r="E640" t="str">
        <x:v>Résidence senior — variante 03</x:v>
      </x:c>
      <x:c r="F640" t="n">
        <x:v>8</x:v>
      </x:c>
      <x:c r="G640" t="n">
        <x:v>5</x:v>
      </x:c>
      <x:c r="H640" t="n">
        <x:v>0</x:v>
      </x:c>
      <x:c r="I640" t="str">
        <x:v>À qualifier par lieu</x:v>
      </x:c>
      <x:c r="J640" t="str">
        <x:v>https://github.com/darknigthmare/deadwall-last-enclosure/blob/e28f46223e73105ab2c5d83f3d50b99b58ef53e6/codex-3000/originaux/DEADWALL_CODEX_SUPPLEMENT_1.23/FICHES_501_1000/DW-0635.md</x:v>
      </x:c>
      <x:c r="K640" t="str">
        <x:v>Source min 44,19 m ; max 44,19 m ; modèle 44 × 22 m ; niveaux 0, 1, 2. Détails dans catalogue-existant.json.</x:v>
      </x:c>
    </x:row>
    <x:row r="641">
      <x:c r="A641" t="str">
        <x:v>DW-0636</x:v>
      </x:c>
      <x:c r="B641" t="str">
        <x:v>DW-0636</x:v>
      </x:c>
      <x:c r="C641" t="str">
        <x:v>Parent historique</x:v>
      </x:c>
      <x:c r="D641" t="str">
        <x:v>habitat</x:v>
      </x:c>
      <x:c r="E641" t="str">
        <x:v>Maison avec sous-sol — variante 03</x:v>
      </x:c>
      <x:c r="F641" t="n">
        <x:v>8</x:v>
      </x:c>
      <x:c r="G641" t="n">
        <x:v>5</x:v>
      </x:c>
      <x:c r="H641" t="n">
        <x:v>0</x:v>
      </x:c>
      <x:c r="I641" t="str">
        <x:v>À qualifier par lieu</x:v>
      </x:c>
      <x:c r="J641" t="str">
        <x:v>https://github.com/darknigthmare/deadwall-last-enclosure/blob/e28f46223e73105ab2c5d83f3d50b99b58ef53e6/codex-3000/originaux/DEADWALL_CODEX_SUPPLEMENT_1.23/FICHES_501_1000/DW-0636.md</x:v>
      </x:c>
      <x:c r="K641" t="str">
        <x:v>Source min 55,36 m ; max 55,36 m ; modèle 55 × 36 m ; niveaux 0. Détails dans catalogue-existant.json.</x:v>
      </x:c>
    </x:row>
    <x:row r="642">
      <x:c r="A642" t="str">
        <x:v>DW-0637</x:v>
      </x:c>
      <x:c r="B642" t="str">
        <x:v>DW-0637</x:v>
      </x:c>
      <x:c r="C642" t="str">
        <x:v>Parent historique</x:v>
      </x:c>
      <x:c r="D642" t="str">
        <x:v>commerce</x:v>
      </x:c>
      <x:c r="E642" t="str">
        <x:v>Supérette — variante 03</x:v>
      </x:c>
      <x:c r="F642" t="n">
        <x:v>8</x:v>
      </x:c>
      <x:c r="G642" t="n">
        <x:v>5</x:v>
      </x:c>
      <x:c r="H642" t="n">
        <x:v>0</x:v>
      </x:c>
      <x:c r="I642" t="str">
        <x:v>À qualifier par lieu</x:v>
      </x:c>
      <x:c r="J642" t="str">
        <x:v>https://github.com/darknigthmare/deadwall-last-enclosure/blob/e28f46223e73105ab2c5d83f3d50b99b58ef53e6/codex-3000/originaux/DEADWALL_CODEX_SUPPLEMENT_1.23/FICHES_501_1000/DW-0637.md</x:v>
      </x:c>
      <x:c r="K642" t="str">
        <x:v>Source min 66,53 m ; max 66,53 m ; modèle 66 × 53 m ; niveaux 0, 1. Détails dans catalogue-existant.json.</x:v>
      </x:c>
    </x:row>
    <x:row r="643">
      <x:c r="A643" t="str">
        <x:v>DW-0638</x:v>
      </x:c>
      <x:c r="B643" t="str">
        <x:v>DW-0638</x:v>
      </x:c>
      <x:c r="C643" t="str">
        <x:v>Parent historique</x:v>
      </x:c>
      <x:c r="D643" t="str">
        <x:v>commerce</x:v>
      </x:c>
      <x:c r="E643" t="str">
        <x:v>Centre commercial — variante 03</x:v>
      </x:c>
      <x:c r="F643" t="n">
        <x:v>8</x:v>
      </x:c>
      <x:c r="G643" t="n">
        <x:v>6</x:v>
      </x:c>
      <x:c r="H643" t="n">
        <x:v>0</x:v>
      </x:c>
      <x:c r="I643" t="str">
        <x:v>À qualifier par lieu</x:v>
      </x:c>
      <x:c r="J643" t="str">
        <x:v>https://github.com/darknigthmare/deadwall-last-enclosure/blob/e28f46223e73105ab2c5d83f3d50b99b58ef53e6/codex-3000/originaux/DEADWALL_CODEX_SUPPLEMENT_1.23/FICHES_501_1000/DW-0638.md</x:v>
      </x:c>
      <x:c r="K643" t="str">
        <x:v>Source min 77,16 m ; max 77,16 m ; modèle 77 × 22 m ; niveaux 0. Détails dans catalogue-existant.json.</x:v>
      </x:c>
    </x:row>
    <x:row r="644">
      <x:c r="A644" t="str">
        <x:v>DW-0639</x:v>
      </x:c>
      <x:c r="B644" t="str">
        <x:v>DW-0639</x:v>
      </x:c>
      <x:c r="C644" t="str">
        <x:v>Parent historique</x:v>
      </x:c>
      <x:c r="D644" t="str">
        <x:v>commerce</x:v>
      </x:c>
      <x:c r="E644" t="str">
        <x:v>Supermarché — variante 03</x:v>
      </x:c>
      <x:c r="F644" t="n">
        <x:v>8</x:v>
      </x:c>
      <x:c r="G644" t="n">
        <x:v>7</x:v>
      </x:c>
      <x:c r="H644" t="n">
        <x:v>0</x:v>
      </x:c>
      <x:c r="I644" t="str">
        <x:v>À qualifier par lieu</x:v>
      </x:c>
      <x:c r="J644" t="str">
        <x:v>https://github.com/darknigthmare/deadwall-last-enclosure/blob/e28f46223e73105ab2c5d83f3d50b99b58ef53e6/codex-3000/originaux/DEADWALL_CODEX_SUPPLEMENT_1.23/FICHES_501_1000/DW-0639.md</x:v>
      </x:c>
      <x:c r="K644" t="str">
        <x:v>Source min 16,33 m ; max 16,33 m ; modèle 29 × 33 m ; niveaux 0. Détails dans catalogue-existant.json.</x:v>
      </x:c>
    </x:row>
    <x:row r="645">
      <x:c r="A645" t="str">
        <x:v>DW-0640</x:v>
      </x:c>
      <x:c r="B645" t="str">
        <x:v>DW-0640</x:v>
      </x:c>
      <x:c r="C645" t="str">
        <x:v>Parent historique</x:v>
      </x:c>
      <x:c r="D645" t="str">
        <x:v>commerce</x:v>
      </x:c>
      <x:c r="E645" t="str">
        <x:v>Magasin de bricolage — variante 03</x:v>
      </x:c>
      <x:c r="F645" t="n">
        <x:v>8</x:v>
      </x:c>
      <x:c r="G645" t="n">
        <x:v>5</x:v>
      </x:c>
      <x:c r="H645" t="n">
        <x:v>0</x:v>
      </x:c>
      <x:c r="I645" t="str">
        <x:v>À qualifier par lieu</x:v>
      </x:c>
      <x:c r="J645" t="str">
        <x:v>https://github.com/darknigthmare/deadwall-last-enclosure/blob/e28f46223e73105ab2c5d83f3d50b99b58ef53e6/codex-3000/originaux/DEADWALL_CODEX_SUPPLEMENT_1.23/FICHES_501_1000/DW-0640.md</x:v>
      </x:c>
      <x:c r="K645" t="str">
        <x:v>Source min 27,50 m ; max 27,50 m ; modèle 27 × 50 m ; niveaux 0. Détails dans catalogue-existant.json.</x:v>
      </x:c>
    </x:row>
    <x:row r="646">
      <x:c r="A646" t="str">
        <x:v>DW-0641</x:v>
      </x:c>
      <x:c r="B646" t="str">
        <x:v>DW-0641</x:v>
      </x:c>
      <x:c r="C646" t="str">
        <x:v>Parent historique</x:v>
      </x:c>
      <x:c r="D646" t="str">
        <x:v>commerce</x:v>
      </x:c>
      <x:c r="E646" t="str">
        <x:v>Pharmacie — variante 03</x:v>
      </x:c>
      <x:c r="F646" t="n">
        <x:v>8</x:v>
      </x:c>
      <x:c r="G646" t="n">
        <x:v>4</x:v>
      </x:c>
      <x:c r="H646" t="n">
        <x:v>0</x:v>
      </x:c>
      <x:c r="I646" t="str">
        <x:v>À qualifier par lieu</x:v>
      </x:c>
      <x:c r="J646" t="str">
        <x:v>https://github.com/darknigthmare/deadwall-last-enclosure/blob/e28f46223e73105ab2c5d83f3d50b99b58ef53e6/codex-3000/originaux/DEADWALL_CODEX_SUPPLEMENT_1.23/FICHES_501_1000/DW-0641.md</x:v>
      </x:c>
      <x:c r="K646" t="str">
        <x:v>Source min 38,13 m ; max 38,13 m ; modèle 38 × 18 m ; niveaux 0, 1. Détails dans catalogue-existant.json.</x:v>
      </x:c>
    </x:row>
    <x:row r="647">
      <x:c r="A647" t="str">
        <x:v>DW-0642</x:v>
      </x:c>
      <x:c r="B647" t="str">
        <x:v>DW-0642</x:v>
      </x:c>
      <x:c r="C647" t="str">
        <x:v>Parent historique</x:v>
      </x:c>
      <x:c r="D647" t="str">
        <x:v>commerce</x:v>
      </x:c>
      <x:c r="E647" t="str">
        <x:v>Station-service — variante 03</x:v>
      </x:c>
      <x:c r="F647" t="n">
        <x:v>8</x:v>
      </x:c>
      <x:c r="G647" t="n">
        <x:v>5</x:v>
      </x:c>
      <x:c r="H647" t="n">
        <x:v>0</x:v>
      </x:c>
      <x:c r="I647" t="str">
        <x:v>À qualifier par lieu</x:v>
      </x:c>
      <x:c r="J647" t="str">
        <x:v>https://github.com/darknigthmare/deadwall-last-enclosure/blob/e28f46223e73105ab2c5d83f3d50b99b58ef53e6/codex-3000/originaux/DEADWALL_CODEX_SUPPLEMENT_1.23/FICHES_501_1000/DW-0642.md</x:v>
      </x:c>
      <x:c r="K647" t="str">
        <x:v>Source min 49,30 m ; max 49,30 m ; modèle 49 × 30 m ; niveaux 0. Détails dans catalogue-existant.json.</x:v>
      </x:c>
    </x:row>
    <x:row r="648">
      <x:c r="A648" t="str">
        <x:v>DW-0643</x:v>
      </x:c>
      <x:c r="B648" t="str">
        <x:v>DW-0643</x:v>
      </x:c>
      <x:c r="C648" t="str">
        <x:v>Parent historique</x:v>
      </x:c>
      <x:c r="D648" t="str">
        <x:v>commerce</x:v>
      </x:c>
      <x:c r="E648" t="str">
        <x:v>Restaurant routier — variante 03</x:v>
      </x:c>
      <x:c r="F648" t="n">
        <x:v>8</x:v>
      </x:c>
      <x:c r="G648" t="n">
        <x:v>5</x:v>
      </x:c>
      <x:c r="H648" t="n">
        <x:v>0</x:v>
      </x:c>
      <x:c r="I648" t="str">
        <x:v>À qualifier par lieu</x:v>
      </x:c>
      <x:c r="J648" t="str">
        <x:v>https://github.com/darknigthmare/deadwall-last-enclosure/blob/e28f46223e73105ab2c5d83f3d50b99b58ef53e6/codex-3000/originaux/DEADWALL_CODEX_SUPPLEMENT_1.23/FICHES_501_1000/DW-0643.md</x:v>
      </x:c>
      <x:c r="K648" t="str">
        <x:v>Source min 60,47 m ; max 60,47 m ; modèle 60 × 47 m ; niveaux 0. Détails dans catalogue-existant.json.</x:v>
      </x:c>
    </x:row>
    <x:row r="649">
      <x:c r="A649" t="str">
        <x:v>DW-0644</x:v>
      </x:c>
      <x:c r="B649" t="str">
        <x:v>DW-0644</x:v>
      </x:c>
      <x:c r="C649" t="str">
        <x:v>Parent historique</x:v>
      </x:c>
      <x:c r="D649" t="str">
        <x:v>commerce</x:v>
      </x:c>
      <x:c r="E649" t="str">
        <x:v>Hôtel — variante 03</x:v>
      </x:c>
      <x:c r="F649" t="n">
        <x:v>8</x:v>
      </x:c>
      <x:c r="G649" t="n">
        <x:v>6</x:v>
      </x:c>
      <x:c r="H649" t="n">
        <x:v>0</x:v>
      </x:c>
      <x:c r="I649" t="str">
        <x:v>À qualifier par lieu</x:v>
      </x:c>
      <x:c r="J649" t="str">
        <x:v>https://github.com/darknigthmare/deadwall-last-enclosure/blob/e28f46223e73105ab2c5d83f3d50b99b58ef53e6/codex-3000/originaux/DEADWALL_CODEX_SUPPLEMENT_1.23/FICHES_501_1000/DW-0644.md</x:v>
      </x:c>
      <x:c r="K649" t="str">
        <x:v>Source min 71,10 m ; max 71,10 m ; modèle 71 × 22 m ; niveaux 0. Détails dans catalogue-existant.json.</x:v>
      </x:c>
    </x:row>
    <x:row r="650">
      <x:c r="A650" t="str">
        <x:v>DW-0645</x:v>
      </x:c>
      <x:c r="B650" t="str">
        <x:v>DW-0645</x:v>
      </x:c>
      <x:c r="C650" t="str">
        <x:v>Parent historique</x:v>
      </x:c>
      <x:c r="D650" t="str">
        <x:v>industrie</x:v>
      </x:c>
      <x:c r="E650" t="str">
        <x:v>Scierie — variante 03</x:v>
      </x:c>
      <x:c r="F650" t="n">
        <x:v>8</x:v>
      </x:c>
      <x:c r="G650" t="n">
        <x:v>5</x:v>
      </x:c>
      <x:c r="H650" t="n">
        <x:v>0</x:v>
      </x:c>
      <x:c r="I650" t="str">
        <x:v>À qualifier par lieu</x:v>
      </x:c>
      <x:c r="J650" t="str">
        <x:v>https://github.com/darknigthmare/deadwall-last-enclosure/blob/e28f46223e73105ab2c5d83f3d50b99b58ef53e6/codex-3000/originaux/DEADWALL_CODEX_SUPPLEMENT_1.23/FICHES_501_1000/DW-0645.md</x:v>
      </x:c>
      <x:c r="K650" t="str">
        <x:v>Source min 10,27 m ; max 10,27 m ; modèle 26 × 27 m ; niveaux 0. Détails dans catalogue-existant.json.</x:v>
      </x:c>
    </x:row>
    <x:row r="651">
      <x:c r="A651" t="str">
        <x:v>DW-0646</x:v>
      </x:c>
      <x:c r="B651" t="str">
        <x:v>DW-0646</x:v>
      </x:c>
      <x:c r="C651" t="str">
        <x:v>Parent historique</x:v>
      </x:c>
      <x:c r="D651" t="str">
        <x:v>industrie</x:v>
      </x:c>
      <x:c r="E651" t="str">
        <x:v>Garage automobile — variante 03</x:v>
      </x:c>
      <x:c r="F651" t="n">
        <x:v>8</x:v>
      </x:c>
      <x:c r="G651" t="n">
        <x:v>5</x:v>
      </x:c>
      <x:c r="H651" t="n">
        <x:v>0</x:v>
      </x:c>
      <x:c r="I651" t="str">
        <x:v>À qualifier par lieu</x:v>
      </x:c>
      <x:c r="J651" t="str">
        <x:v>https://github.com/darknigthmare/deadwall-last-enclosure/blob/e28f46223e73105ab2c5d83f3d50b99b58ef53e6/codex-3000/originaux/DEADWALL_CODEX_SUPPLEMENT_1.23/FICHES_501_1000/DW-0646.md</x:v>
      </x:c>
      <x:c r="K651" t="str">
        <x:v>Source min 21,44 m ; max 21,44 m ; modèle 26 × 44 m ; niveaux 0. Détails dans catalogue-existant.json.</x:v>
      </x:c>
    </x:row>
    <x:row r="652">
      <x:c r="A652" t="str">
        <x:v>DW-0647</x:v>
      </x:c>
      <x:c r="B652" t="str">
        <x:v>DW-0647</x:v>
      </x:c>
      <x:c r="C652" t="str">
        <x:v>Parent historique</x:v>
      </x:c>
      <x:c r="D652" t="str">
        <x:v>industrie</x:v>
      </x:c>
      <x:c r="E652" t="str">
        <x:v>Entrepôt logistique — variante 03</x:v>
      </x:c>
      <x:c r="F652" t="n">
        <x:v>8</x:v>
      </x:c>
      <x:c r="G652" t="n">
        <x:v>5</x:v>
      </x:c>
      <x:c r="H652" t="n">
        <x:v>0</x:v>
      </x:c>
      <x:c r="I652" t="str">
        <x:v>À qualifier par lieu</x:v>
      </x:c>
      <x:c r="J652" t="str">
        <x:v>https://github.com/darknigthmare/deadwall-last-enclosure/blob/e28f46223e73105ab2c5d83f3d50b99b58ef53e6/codex-3000/originaux/DEADWALL_CODEX_SUPPLEMENT_1.23/FICHES_501_1000/DW-0647.md</x:v>
      </x:c>
      <x:c r="K652" t="str">
        <x:v>Source min 32,61 m ; max 32,61 m ; modèle 32 × 61 m ; niveaux 0. Détails dans catalogue-existant.json.</x:v>
      </x:c>
    </x:row>
    <x:row r="653">
      <x:c r="A653" t="str">
        <x:v>DW-0648</x:v>
      </x:c>
      <x:c r="B653" t="str">
        <x:v>DW-0648</x:v>
      </x:c>
      <x:c r="C653" t="str">
        <x:v>Parent historique</x:v>
      </x:c>
      <x:c r="D653" t="str">
        <x:v>industrie</x:v>
      </x:c>
      <x:c r="E653" t="str">
        <x:v>Petite usine — variante 03</x:v>
      </x:c>
      <x:c r="F653" t="n">
        <x:v>8</x:v>
      </x:c>
      <x:c r="G653" t="n">
        <x:v>5</x:v>
      </x:c>
      <x:c r="H653" t="n">
        <x:v>0</x:v>
      </x:c>
      <x:c r="I653" t="str">
        <x:v>À qualifier par lieu</x:v>
      </x:c>
      <x:c r="J653" t="str">
        <x:v>https://github.com/darknigthmare/deadwall-last-enclosure/blob/e28f46223e73105ab2c5d83f3d50b99b58ef53e6/codex-3000/originaux/DEADWALL_CODEX_SUPPLEMENT_1.23/FICHES_501_1000/DW-0648.md</x:v>
      </x:c>
      <x:c r="K653" t="str">
        <x:v>Source min 43,24 m ; max 43,24 m ; modèle 43 × 24 m ; niveaux 0. Détails dans catalogue-existant.json.</x:v>
      </x:c>
    </x:row>
    <x:row r="654">
      <x:c r="A654" t="str">
        <x:v>DW-0649</x:v>
      </x:c>
      <x:c r="B654" t="str">
        <x:v>DW-0649</x:v>
      </x:c>
      <x:c r="C654" t="str">
        <x:v>Parent historique</x:v>
      </x:c>
      <x:c r="D654" t="str">
        <x:v>industrie</x:v>
      </x:c>
      <x:c r="E654" t="str">
        <x:v>Carrière — variante 03</x:v>
      </x:c>
      <x:c r="F654" t="n">
        <x:v>8</x:v>
      </x:c>
      <x:c r="G654" t="n">
        <x:v>5</x:v>
      </x:c>
      <x:c r="H654" t="n">
        <x:v>0</x:v>
      </x:c>
      <x:c r="I654" t="str">
        <x:v>À qualifier par lieu</x:v>
      </x:c>
      <x:c r="J654" t="str">
        <x:v>https://github.com/darknigthmare/deadwall-last-enclosure/blob/e28f46223e73105ab2c5d83f3d50b99b58ef53e6/codex-3000/originaux/DEADWALL_CODEX_SUPPLEMENT_1.23/FICHES_501_1000/DW-0649.md</x:v>
      </x:c>
      <x:c r="K654" t="str">
        <x:v>Source min 54,41 m ; max 54,41 m ; modèle 54 × 41 m ; niveaux 0. Détails dans catalogue-existant.json.</x:v>
      </x:c>
    </x:row>
    <x:row r="655">
      <x:c r="A655" t="str">
        <x:v>DW-0650</x:v>
      </x:c>
      <x:c r="B655" t="str">
        <x:v>DW-0650</x:v>
      </x:c>
      <x:c r="C655" t="str">
        <x:v>Parent historique</x:v>
      </x:c>
      <x:c r="D655" t="str">
        <x:v>industrie</x:v>
      </x:c>
      <x:c r="E655" t="str">
        <x:v>Mine — variante 03</x:v>
      </x:c>
      <x:c r="F655" t="n">
        <x:v>8</x:v>
      </x:c>
      <x:c r="G655" t="n">
        <x:v>6</x:v>
      </x:c>
      <x:c r="H655" t="n">
        <x:v>0</x:v>
      </x:c>
      <x:c r="I655" t="str">
        <x:v>À qualifier par lieu</x:v>
      </x:c>
      <x:c r="J655" t="str">
        <x:v>https://github.com/darknigthmare/deadwall-last-enclosure/blob/e28f46223e73105ab2c5d83f3d50b99b58ef53e6/codex-3000/originaux/DEADWALL_CODEX_SUPPLEMENT_1.23/FICHES_501_1000/DW-0650.md</x:v>
      </x:c>
      <x:c r="K655" t="str">
        <x:v>Source min 65,58 m ; max 65,58 m ; modèle 65 × 58 m ; niveaux 0. Détails dans catalogue-existant.json.</x:v>
      </x:c>
    </x:row>
    <x:row r="656">
      <x:c r="A656" t="str">
        <x:v>DW-0651</x:v>
      </x:c>
      <x:c r="B656" t="str">
        <x:v>DW-0651</x:v>
      </x:c>
      <x:c r="C656" t="str">
        <x:v>Parent historique</x:v>
      </x:c>
      <x:c r="D656" t="str">
        <x:v>industrie</x:v>
      </x:c>
      <x:c r="E656" t="str">
        <x:v>Centrale locale — variante 03</x:v>
      </x:c>
      <x:c r="F656" t="n">
        <x:v>8</x:v>
      </x:c>
      <x:c r="G656" t="n">
        <x:v>5</x:v>
      </x:c>
      <x:c r="H656" t="n">
        <x:v>0</x:v>
      </x:c>
      <x:c r="I656" t="str">
        <x:v>À qualifier par lieu</x:v>
      </x:c>
      <x:c r="J656" t="str">
        <x:v>https://github.com/darknigthmare/deadwall-last-enclosure/blob/e28f46223e73105ab2c5d83f3d50b99b58ef53e6/codex-3000/originaux/DEADWALL_CODEX_SUPPLEMENT_1.23/FICHES_501_1000/DW-0651.md</x:v>
      </x:c>
      <x:c r="K656" t="str">
        <x:v>Source min 76,21 m ; max 76,21 m ; modèle 76 × 22 m ; niveaux 0. Détails dans catalogue-existant.json.</x:v>
      </x:c>
    </x:row>
    <x:row r="657">
      <x:c r="A657" t="str">
        <x:v>DW-0652</x:v>
      </x:c>
      <x:c r="B657" t="str">
        <x:v>DW-0652</x:v>
      </x:c>
      <x:c r="C657" t="str">
        <x:v>Parent historique</x:v>
      </x:c>
      <x:c r="D657" t="str">
        <x:v>industrie</x:v>
      </x:c>
      <x:c r="E657" t="str">
        <x:v>Station de pompage — variante 03</x:v>
      </x:c>
      <x:c r="F657" t="n">
        <x:v>8</x:v>
      </x:c>
      <x:c r="G657" t="n">
        <x:v>5</x:v>
      </x:c>
      <x:c r="H657" t="n">
        <x:v>0</x:v>
      </x:c>
      <x:c r="I657" t="str">
        <x:v>À qualifier par lieu</x:v>
      </x:c>
      <x:c r="J657" t="str">
        <x:v>https://github.com/darknigthmare/deadwall-last-enclosure/blob/e28f46223e73105ab2c5d83f3d50b99b58ef53e6/codex-3000/originaux/DEADWALL_CODEX_SUPPLEMENT_1.23/FICHES_501_1000/DW-0652.md</x:v>
      </x:c>
      <x:c r="K657" t="str">
        <x:v>Source min 15,38 m ; max 15,38 m ; modèle 26 × 38 m ; niveaux 0. Détails dans catalogue-existant.json.</x:v>
      </x:c>
    </x:row>
    <x:row r="658">
      <x:c r="A658" t="str">
        <x:v>DW-0653</x:v>
      </x:c>
      <x:c r="B658" t="str">
        <x:v>DW-0653</x:v>
      </x:c>
      <x:c r="C658" t="str">
        <x:v>Parent historique</x:v>
      </x:c>
      <x:c r="D658" t="str">
        <x:v>public</x:v>
      </x:c>
      <x:c r="E658" t="str">
        <x:v>École — variante 03</x:v>
      </x:c>
      <x:c r="F658" t="n">
        <x:v>8</x:v>
      </x:c>
      <x:c r="G658" t="n">
        <x:v>5</x:v>
      </x:c>
      <x:c r="H658" t="n">
        <x:v>0</x:v>
      </x:c>
      <x:c r="I658" t="str">
        <x:v>À qualifier par lieu</x:v>
      </x:c>
      <x:c r="J658" t="str">
        <x:v>https://github.com/darknigthmare/deadwall-last-enclosure/blob/e28f46223e73105ab2c5d83f3d50b99b58ef53e6/codex-3000/originaux/DEADWALL_CODEX_SUPPLEMENT_1.23/FICHES_501_1000/DW-0653.md</x:v>
      </x:c>
      <x:c r="K658" t="str">
        <x:v>Source min 26,55 m ; max 26,55 m ; modèle 26 × 55 m ; niveaux 0, 1. Détails dans catalogue-existant.json.</x:v>
      </x:c>
    </x:row>
    <x:row r="659">
      <x:c r="A659" t="str">
        <x:v>DW-0654</x:v>
      </x:c>
      <x:c r="B659" t="str">
        <x:v>DW-0654</x:v>
      </x:c>
      <x:c r="C659" t="str">
        <x:v>Parent historique</x:v>
      </x:c>
      <x:c r="D659" t="str">
        <x:v>public</x:v>
      </x:c>
      <x:c r="E659" t="str">
        <x:v>Mairie — variante 03</x:v>
      </x:c>
      <x:c r="F659" t="n">
        <x:v>8</x:v>
      </x:c>
      <x:c r="G659" t="n">
        <x:v>5</x:v>
      </x:c>
      <x:c r="H659" t="n">
        <x:v>0</x:v>
      </x:c>
      <x:c r="I659" t="str">
        <x:v>À qualifier par lieu</x:v>
      </x:c>
      <x:c r="J659" t="str">
        <x:v>https://github.com/darknigthmare/deadwall-last-enclosure/blob/e28f46223e73105ab2c5d83f3d50b99b58ef53e6/codex-3000/originaux/DEADWALL_CODEX_SUPPLEMENT_1.23/FICHES_501_1000/DW-0654.md</x:v>
      </x:c>
      <x:c r="K659" t="str">
        <x:v>Source min 37,18 m ; max 37,18 m ; modèle 37 × 22 m ; niveaux 0. Détails dans catalogue-existant.json.</x:v>
      </x:c>
    </x:row>
    <x:row r="660">
      <x:c r="A660" t="str">
        <x:v>DW-0655</x:v>
      </x:c>
      <x:c r="B660" t="str">
        <x:v>DW-0655</x:v>
      </x:c>
      <x:c r="C660" t="str">
        <x:v>Parent historique</x:v>
      </x:c>
      <x:c r="D660" t="str">
        <x:v>public</x:v>
      </x:c>
      <x:c r="E660" t="str">
        <x:v>Clinique — variante 03</x:v>
      </x:c>
      <x:c r="F660" t="n">
        <x:v>8</x:v>
      </x:c>
      <x:c r="G660" t="n">
        <x:v>6</x:v>
      </x:c>
      <x:c r="H660" t="n">
        <x:v>0</x:v>
      </x:c>
      <x:c r="I660" t="str">
        <x:v>À qualifier par lieu</x:v>
      </x:c>
      <x:c r="J660" t="str">
        <x:v>https://github.com/darknigthmare/deadwall-last-enclosure/blob/e28f46223e73105ab2c5d83f3d50b99b58ef53e6/codex-3000/originaux/DEADWALL_CODEX_SUPPLEMENT_1.23/FICHES_501_1000/DW-0655.md</x:v>
      </x:c>
      <x:c r="K660" t="str">
        <x:v>Source min 48,35 m ; max 48,35 m ; modèle 48 × 35 m ; niveaux 0. Détails dans catalogue-existant.json.</x:v>
      </x:c>
    </x:row>
    <x:row r="661">
      <x:c r="A661" t="str">
        <x:v>DW-0656</x:v>
      </x:c>
      <x:c r="B661" t="str">
        <x:v>DW-0656</x:v>
      </x:c>
      <x:c r="C661" t="str">
        <x:v>Parent historique</x:v>
      </x:c>
      <x:c r="D661" t="str">
        <x:v>public</x:v>
      </x:c>
      <x:c r="E661" t="str">
        <x:v>Caserne de pompiers — variante 03</x:v>
      </x:c>
      <x:c r="F661" t="n">
        <x:v>8</x:v>
      </x:c>
      <x:c r="G661" t="n">
        <x:v>6</x:v>
      </x:c>
      <x:c r="H661" t="n">
        <x:v>0</x:v>
      </x:c>
      <x:c r="I661" t="str">
        <x:v>À qualifier par lieu</x:v>
      </x:c>
      <x:c r="J661" t="str">
        <x:v>https://github.com/darknigthmare/deadwall-last-enclosure/blob/e28f46223e73105ab2c5d83f3d50b99b58ef53e6/codex-3000/originaux/DEADWALL_CODEX_SUPPLEMENT_1.23/FICHES_501_1000/DW-0656.md</x:v>
      </x:c>
      <x:c r="K661" t="str">
        <x:v>Source min 59,52 m ; max 59,52 m ; modèle 59 × 52 m ; niveaux 0. Détails dans catalogue-existant.json.</x:v>
      </x:c>
    </x:row>
    <x:row r="662">
      <x:c r="A662" t="str">
        <x:v>DW-0657</x:v>
      </x:c>
      <x:c r="B662" t="str">
        <x:v>DW-0657</x:v>
      </x:c>
      <x:c r="C662" t="str">
        <x:v>Parent historique</x:v>
      </x:c>
      <x:c r="D662" t="str">
        <x:v>public</x:v>
      </x:c>
      <x:c r="E662" t="str">
        <x:v>Poste de police — variante 03</x:v>
      </x:c>
      <x:c r="F662" t="n">
        <x:v>8</x:v>
      </x:c>
      <x:c r="G662" t="n">
        <x:v>5</x:v>
      </x:c>
      <x:c r="H662" t="n">
        <x:v>0</x:v>
      </x:c>
      <x:c r="I662" t="str">
        <x:v>À qualifier par lieu</x:v>
      </x:c>
      <x:c r="J662" t="str">
        <x:v>https://github.com/darknigthmare/deadwall-last-enclosure/blob/e28f46223e73105ab2c5d83f3d50b99b58ef53e6/codex-3000/originaux/DEADWALL_CODEX_SUPPLEMENT_1.23/FICHES_501_1000/DW-0657.md</x:v>
      </x:c>
      <x:c r="K662" t="str">
        <x:v>Source min 70,15 m ; max 70,15 m ; modèle 70 × 22 m ; niveaux 0, 1. Détails dans catalogue-existant.json.</x:v>
      </x:c>
    </x:row>
    <x:row r="663">
      <x:c r="A663" t="str">
        <x:v>DW-0658</x:v>
      </x:c>
      <x:c r="B663" t="str">
        <x:v>DW-0658</x:v>
      </x:c>
      <x:c r="C663" t="str">
        <x:v>Parent historique</x:v>
      </x:c>
      <x:c r="D663" t="str">
        <x:v>public</x:v>
      </x:c>
      <x:c r="E663" t="str">
        <x:v>Bibliothèque — variante 03</x:v>
      </x:c>
      <x:c r="F663" t="n">
        <x:v>8</x:v>
      </x:c>
      <x:c r="G663" t="n">
        <x:v>5</x:v>
      </x:c>
      <x:c r="H663" t="n">
        <x:v>0</x:v>
      </x:c>
      <x:c r="I663" t="str">
        <x:v>À qualifier par lieu</x:v>
      </x:c>
      <x:c r="J663" t="str">
        <x:v>https://github.com/darknigthmare/deadwall-last-enclosure/blob/e28f46223e73105ab2c5d83f3d50b99b58ef53e6/codex-3000/originaux/DEADWALL_CODEX_SUPPLEMENT_1.23/FICHES_501_1000/DW-0658.md</x:v>
      </x:c>
      <x:c r="K663" t="str">
        <x:v>Source min 81,32 m ; max 81,32 m ; modèle 78 × 32 m ; niveaux 0. Détails dans catalogue-existant.json.</x:v>
      </x:c>
    </x:row>
    <x:row r="664">
      <x:c r="A664" t="str">
        <x:v>DW-0659</x:v>
      </x:c>
      <x:c r="B664" t="str">
        <x:v>DW-0659</x:v>
      </x:c>
      <x:c r="C664" t="str">
        <x:v>Parent historique</x:v>
      </x:c>
      <x:c r="D664" t="str">
        <x:v>public</x:v>
      </x:c>
      <x:c r="E664" t="str">
        <x:v>Salle des fêtes — variante 03</x:v>
      </x:c>
      <x:c r="F664" t="n">
        <x:v>8</x:v>
      </x:c>
      <x:c r="G664" t="n">
        <x:v>5</x:v>
      </x:c>
      <x:c r="H664" t="n">
        <x:v>0</x:v>
      </x:c>
      <x:c r="I664" t="str">
        <x:v>À qualifier par lieu</x:v>
      </x:c>
      <x:c r="J664" t="str">
        <x:v>https://github.com/darknigthmare/deadwall-last-enclosure/blob/e28f46223e73105ab2c5d83f3d50b99b58ef53e6/codex-3000/originaux/DEADWALL_CODEX_SUPPLEMENT_1.23/FICHES_501_1000/DW-0659.md</x:v>
      </x:c>
      <x:c r="K664" t="str">
        <x:v>Source min 20,49 m ; max 20,49 m ; modèle 26 × 49 m ; niveaux 0. Détails dans catalogue-existant.json.</x:v>
      </x:c>
    </x:row>
    <x:row r="665">
      <x:c r="A665" t="str">
        <x:v>DW-0660</x:v>
      </x:c>
      <x:c r="B665" t="str">
        <x:v>DW-0660</x:v>
      </x:c>
      <x:c r="C665" t="str">
        <x:v>Parent historique</x:v>
      </x:c>
      <x:c r="D665" t="str">
        <x:v>public</x:v>
      </x:c>
      <x:c r="E665" t="str">
        <x:v>Église et presbytère — variante 03</x:v>
      </x:c>
      <x:c r="F665" t="n">
        <x:v>8</x:v>
      </x:c>
      <x:c r="G665" t="n">
        <x:v>5</x:v>
      </x:c>
      <x:c r="H665" t="n">
        <x:v>0</x:v>
      </x:c>
      <x:c r="I665" t="str">
        <x:v>À qualifier par lieu</x:v>
      </x:c>
      <x:c r="J665" t="str">
        <x:v>https://github.com/darknigthmare/deadwall-last-enclosure/blob/e28f46223e73105ab2c5d83f3d50b99b58ef53e6/codex-3000/originaux/DEADWALL_CODEX_SUPPLEMENT_1.23/FICHES_501_1000/DW-0660.md</x:v>
      </x:c>
      <x:c r="K665" t="str">
        <x:v>Source min 31,12 m ; max 31,12 m ; modèle 31 × 22 m ; niveaux 0. Détails dans catalogue-existant.json.</x:v>
      </x:c>
    </x:row>
    <x:row r="666">
      <x:c r="A666" t="str">
        <x:v>DW-0661</x:v>
      </x:c>
      <x:c r="B666" t="str">
        <x:v>DW-0661</x:v>
      </x:c>
      <x:c r="C666" t="str">
        <x:v>Parent historique</x:v>
      </x:c>
      <x:c r="D666" t="str">
        <x:v>rural</x:v>
      </x:c>
      <x:c r="E666" t="str">
        <x:v>Hameau agricole — variante 03</x:v>
      </x:c>
      <x:c r="F666" t="n">
        <x:v>8</x:v>
      </x:c>
      <x:c r="G666" t="n">
        <x:v>6</x:v>
      </x:c>
      <x:c r="H666" t="n">
        <x:v>0</x:v>
      </x:c>
      <x:c r="I666" t="str">
        <x:v>À qualifier par lieu</x:v>
      </x:c>
      <x:c r="J666" t="str">
        <x:v>https://github.com/darknigthmare/deadwall-last-enclosure/blob/e28f46223e73105ab2c5d83f3d50b99b58ef53e6/codex-3000/originaux/DEADWALL_CODEX_SUPPLEMENT_1.23/FICHES_501_1000/DW-0661.md</x:v>
      </x:c>
      <x:c r="K666" t="str">
        <x:v>Source min 42,29 m ; max 42,29 m ; modèle 42 × 29 m ; niveaux 0. Détails dans catalogue-existant.json.</x:v>
      </x:c>
    </x:row>
    <x:row r="667">
      <x:c r="A667" t="str">
        <x:v>DW-0662</x:v>
      </x:c>
      <x:c r="B667" t="str">
        <x:v>DW-0662</x:v>
      </x:c>
      <x:c r="C667" t="str">
        <x:v>Parent historique</x:v>
      </x:c>
      <x:c r="D667" t="str">
        <x:v>rural</x:v>
      </x:c>
      <x:c r="E667" t="str">
        <x:v>Cabane forestière — variante 03</x:v>
      </x:c>
      <x:c r="F667" t="n">
        <x:v>8</x:v>
      </x:c>
      <x:c r="G667" t="n">
        <x:v>4</x:v>
      </x:c>
      <x:c r="H667" t="n">
        <x:v>0</x:v>
      </x:c>
      <x:c r="I667" t="str">
        <x:v>À qualifier par lieu</x:v>
      </x:c>
      <x:c r="J667" t="str">
        <x:v>https://github.com/darknigthmare/deadwall-last-enclosure/blob/e28f46223e73105ab2c5d83f3d50b99b58ef53e6/codex-3000/originaux/DEADWALL_CODEX_SUPPLEMENT_1.23/FICHES_501_1000/DW-0662.md</x:v>
      </x:c>
      <x:c r="K667" t="str">
        <x:v>Source min 53,46 m ; max 53,46 m ; modèle 53 × 46 m ; niveaux 0. Détails dans catalogue-existant.json.</x:v>
      </x:c>
    </x:row>
    <x:row r="668">
      <x:c r="A668" t="str">
        <x:v>DW-0663</x:v>
      </x:c>
      <x:c r="B668" t="str">
        <x:v>DW-0663</x:v>
      </x:c>
      <x:c r="C668" t="str">
        <x:v>Parent historique</x:v>
      </x:c>
      <x:c r="D668" t="str">
        <x:v>rural</x:v>
      </x:c>
      <x:c r="E668" t="str">
        <x:v>Dépôt forestier — variante 03</x:v>
      </x:c>
      <x:c r="F668" t="n">
        <x:v>8</x:v>
      </x:c>
      <x:c r="G668" t="n">
        <x:v>5</x:v>
      </x:c>
      <x:c r="H668" t="n">
        <x:v>0</x:v>
      </x:c>
      <x:c r="I668" t="str">
        <x:v>À qualifier par lieu</x:v>
      </x:c>
      <x:c r="J668" t="str">
        <x:v>https://github.com/darknigthmare/deadwall-last-enclosure/blob/e28f46223e73105ab2c5d83f3d50b99b58ef53e6/codex-3000/originaux/DEADWALL_CODEX_SUPPLEMENT_1.23/FICHES_501_1000/DW-0663.md</x:v>
      </x:c>
      <x:c r="K668" t="str">
        <x:v>Source min 64,9 m ; max 64,9 m ; modèle 64 × 22 m ; niveaux 0. Détails dans catalogue-existant.json.</x:v>
      </x:c>
    </x:row>
    <x:row r="669">
      <x:c r="A669" t="str">
        <x:v>DW-0664</x:v>
      </x:c>
      <x:c r="B669" t="str">
        <x:v>DW-0664</x:v>
      </x:c>
      <x:c r="C669" t="str">
        <x:v>Parent historique</x:v>
      </x:c>
      <x:c r="D669" t="str">
        <x:v>rural</x:v>
      </x:c>
      <x:c r="E669" t="str">
        <x:v>Ferme céréalière — variante 03</x:v>
      </x:c>
      <x:c r="F669" t="n">
        <x:v>8</x:v>
      </x:c>
      <x:c r="G669" t="n">
        <x:v>5</x:v>
      </x:c>
      <x:c r="H669" t="n">
        <x:v>0</x:v>
      </x:c>
      <x:c r="I669" t="str">
        <x:v>À qualifier par lieu</x:v>
      </x:c>
      <x:c r="J669" t="str">
        <x:v>https://github.com/darknigthmare/deadwall-last-enclosure/blob/e28f46223e73105ab2c5d83f3d50b99b58ef53e6/codex-3000/originaux/DEADWALL_CODEX_SUPPLEMENT_1.23/FICHES_501_1000/DW-0664.md</x:v>
      </x:c>
      <x:c r="K669" t="str">
        <x:v>Source min 75,26 m ; max 75,26 m ; modèle 75 × 26 m ; niveaux 0. Détails dans catalogue-existant.json.</x:v>
      </x:c>
    </x:row>
    <x:row r="670">
      <x:c r="A670" t="str">
        <x:v>DW-0665</x:v>
      </x:c>
      <x:c r="B670" t="str">
        <x:v>DW-0665</x:v>
      </x:c>
      <x:c r="C670" t="str">
        <x:v>Parent historique</x:v>
      </x:c>
      <x:c r="D670" t="str">
        <x:v>rural</x:v>
      </x:c>
      <x:c r="E670" t="str">
        <x:v>Ferme d'élevage — variante 03</x:v>
      </x:c>
      <x:c r="F670" t="n">
        <x:v>8</x:v>
      </x:c>
      <x:c r="G670" t="n">
        <x:v>5</x:v>
      </x:c>
      <x:c r="H670" t="n">
        <x:v>0</x:v>
      </x:c>
      <x:c r="I670" t="str">
        <x:v>À qualifier par lieu</x:v>
      </x:c>
      <x:c r="J670" t="str">
        <x:v>https://github.com/darknigthmare/deadwall-last-enclosure/blob/e28f46223e73105ab2c5d83f3d50b99b58ef53e6/codex-3000/originaux/DEADWALL_CODEX_SUPPLEMENT_1.23/FICHES_501_1000/DW-0665.md</x:v>
      </x:c>
      <x:c r="K670" t="str">
        <x:v>Source min 14,43 m ; max 14,43 m ; modèle 26 × 43 m ; niveaux 0. Détails dans catalogue-existant.json.</x:v>
      </x:c>
    </x:row>
    <x:row r="671">
      <x:c r="A671" t="str">
        <x:v>DW-0666</x:v>
      </x:c>
      <x:c r="B671" t="str">
        <x:v>DW-0666</x:v>
      </x:c>
      <x:c r="C671" t="str">
        <x:v>Parent historique</x:v>
      </x:c>
      <x:c r="D671" t="str">
        <x:v>rural</x:v>
      </x:c>
      <x:c r="E671" t="str">
        <x:v>Relais de chasse — variante 03</x:v>
      </x:c>
      <x:c r="F671" t="n">
        <x:v>8</x:v>
      </x:c>
      <x:c r="G671" t="n">
        <x:v>4</x:v>
      </x:c>
      <x:c r="H671" t="n">
        <x:v>0</x:v>
      </x:c>
      <x:c r="I671" t="str">
        <x:v>À qualifier par lieu</x:v>
      </x:c>
      <x:c r="J671" t="str">
        <x:v>https://github.com/darknigthmare/deadwall-last-enclosure/blob/e28f46223e73105ab2c5d83f3d50b99b58ef53e6/codex-3000/originaux/DEADWALL_CODEX_SUPPLEMENT_1.23/FICHES_501_1000/DW-0666.md</x:v>
      </x:c>
      <x:c r="K671" t="str">
        <x:v>Source min 25,60 m ; max 25,60 m ; modèle 25 × 60 m ; niveaux 0. Détails dans catalogue-existant.json.</x:v>
      </x:c>
    </x:row>
    <x:row r="672">
      <x:c r="A672" t="str">
        <x:v>DW-0667</x:v>
      </x:c>
      <x:c r="B672" t="str">
        <x:v>DW-0667</x:v>
      </x:c>
      <x:c r="C672" t="str">
        <x:v>Parent historique</x:v>
      </x:c>
      <x:c r="D672" t="str">
        <x:v>rural</x:v>
      </x:c>
      <x:c r="E672" t="str">
        <x:v>Moulin rural — variante 03</x:v>
      </x:c>
      <x:c r="F672" t="n">
        <x:v>8</x:v>
      </x:c>
      <x:c r="G672" t="n">
        <x:v>4</x:v>
      </x:c>
      <x:c r="H672" t="n">
        <x:v>0</x:v>
      </x:c>
      <x:c r="I672" t="str">
        <x:v>À qualifier par lieu</x:v>
      </x:c>
      <x:c r="J672" t="str">
        <x:v>https://github.com/darknigthmare/deadwall-last-enclosure/blob/e28f46223e73105ab2c5d83f3d50b99b58ef53e6/codex-3000/originaux/DEADWALL_CODEX_SUPPLEMENT_1.23/FICHES_501_1000/DW-0667.md</x:v>
      </x:c>
      <x:c r="K672" t="str">
        <x:v>Source min 36,23 m ; max 36,23 m ; modèle 36 × 23 m ; niveaux 0. Détails dans catalogue-existant.json.</x:v>
      </x:c>
    </x:row>
    <x:row r="673">
      <x:c r="A673" t="str">
        <x:v>DW-0668</x:v>
      </x:c>
      <x:c r="B673" t="str">
        <x:v>DW-0668</x:v>
      </x:c>
      <x:c r="C673" t="str">
        <x:v>Parent historique</x:v>
      </x:c>
      <x:c r="D673" t="str">
        <x:v>rural</x:v>
      </x:c>
      <x:c r="E673" t="str">
        <x:v>Serres maraîchères — variante 03</x:v>
      </x:c>
      <x:c r="F673" t="n">
        <x:v>8</x:v>
      </x:c>
      <x:c r="G673" t="n">
        <x:v>5</x:v>
      </x:c>
      <x:c r="H673" t="n">
        <x:v>0</x:v>
      </x:c>
      <x:c r="I673" t="str">
        <x:v>À qualifier par lieu</x:v>
      </x:c>
      <x:c r="J673" t="str">
        <x:v>https://github.com/darknigthmare/deadwall-last-enclosure/blob/e28f46223e73105ab2c5d83f3d50b99b58ef53e6/codex-3000/originaux/DEADWALL_CODEX_SUPPLEMENT_1.23/FICHES_501_1000/DW-0668.md</x:v>
      </x:c>
      <x:c r="K673" t="str">
        <x:v>Source min 47,40 m ; max 47,40 m ; modèle 47 × 40 m ; niveaux 0. Détails dans catalogue-existant.json.</x:v>
      </x:c>
    </x:row>
    <x:row r="674">
      <x:c r="A674" t="str">
        <x:v>DW-0669</x:v>
      </x:c>
      <x:c r="B674" t="str">
        <x:v>DW-0669</x:v>
      </x:c>
      <x:c r="C674" t="str">
        <x:v>Parent historique</x:v>
      </x:c>
      <x:c r="D674" t="str">
        <x:v>militaire</x:v>
      </x:c>
      <x:c r="E674" t="str">
        <x:v>Bunker de défense civile — variante 03</x:v>
      </x:c>
      <x:c r="F674" t="n">
        <x:v>8</x:v>
      </x:c>
      <x:c r="G674" t="n">
        <x:v>6</x:v>
      </x:c>
      <x:c r="H674" t="n">
        <x:v>0</x:v>
      </x:c>
      <x:c r="I674" t="str">
        <x:v>À qualifier par lieu</x:v>
      </x:c>
      <x:c r="J674" t="str">
        <x:v>https://github.com/darknigthmare/deadwall-last-enclosure/blob/e28f46223e73105ab2c5d83f3d50b99b58ef53e6/codex-3000/originaux/DEADWALL_CODEX_SUPPLEMENT_1.23/FICHES_501_1000/DW-0669.md</x:v>
      </x:c>
      <x:c r="K674" t="str">
        <x:v>Source min 58,57 m ; max 58,57 m ; modèle 58 × 57 m ; niveaux 0, 1. Détails dans catalogue-existant.json.</x:v>
      </x:c>
    </x:row>
    <x:row r="675">
      <x:c r="A675" t="str">
        <x:v>DW-0670</x:v>
      </x:c>
      <x:c r="B675" t="str">
        <x:v>DW-0670</x:v>
      </x:c>
      <x:c r="C675" t="str">
        <x:v>Parent historique</x:v>
      </x:c>
      <x:c r="D675" t="str">
        <x:v>militaire</x:v>
      </x:c>
      <x:c r="E675" t="str">
        <x:v>Dépôt militaire — variante 03</x:v>
      </x:c>
      <x:c r="F675" t="n">
        <x:v>8</x:v>
      </x:c>
      <x:c r="G675" t="n">
        <x:v>5</x:v>
      </x:c>
      <x:c r="H675" t="n">
        <x:v>0</x:v>
      </x:c>
      <x:c r="I675" t="str">
        <x:v>À qualifier par lieu</x:v>
      </x:c>
      <x:c r="J675" t="str">
        <x:v>https://github.com/darknigthmare/deadwall-last-enclosure/blob/e28f46223e73105ab2c5d83f3d50b99b58ef53e6/codex-3000/originaux/DEADWALL_CODEX_SUPPLEMENT_1.23/FICHES_501_1000/DW-0670.md</x:v>
      </x:c>
      <x:c r="K675" t="str">
        <x:v>Source min 69,20 m ; max 69,20 m ; modèle 69 × 22 m ; niveaux 0. Détails dans catalogue-existant.json.</x:v>
      </x:c>
    </x:row>
    <x:row r="676">
      <x:c r="A676" t="str">
        <x:v>DW-0671</x:v>
      </x:c>
      <x:c r="B676" t="str">
        <x:v>DW-0671</x:v>
      </x:c>
      <x:c r="C676" t="str">
        <x:v>Parent historique</x:v>
      </x:c>
      <x:c r="D676" t="str">
        <x:v>militaire</x:v>
      </x:c>
      <x:c r="E676" t="str">
        <x:v>Poste de contrôle — variante 03</x:v>
      </x:c>
      <x:c r="F676" t="n">
        <x:v>8</x:v>
      </x:c>
      <x:c r="G676" t="n">
        <x:v>5</x:v>
      </x:c>
      <x:c r="H676" t="n">
        <x:v>0</x:v>
      </x:c>
      <x:c r="I676" t="str">
        <x:v>À qualifier par lieu</x:v>
      </x:c>
      <x:c r="J676" t="str">
        <x:v>https://github.com/darknigthmare/deadwall-last-enclosure/blob/e28f46223e73105ab2c5d83f3d50b99b58ef53e6/codex-3000/originaux/DEADWALL_CODEX_SUPPLEMENT_1.23/FICHES_501_1000/DW-0671.md</x:v>
      </x:c>
      <x:c r="K676" t="str">
        <x:v>Source min 80,37 m ; max 80,37 m ; modèle 78 × 37 m ; niveaux 0. Détails dans catalogue-existant.json.</x:v>
      </x:c>
    </x:row>
    <x:row r="677">
      <x:c r="A677" t="str">
        <x:v>DW-0672</x:v>
      </x:c>
      <x:c r="B677" t="str">
        <x:v>DW-0672</x:v>
      </x:c>
      <x:c r="C677" t="str">
        <x:v>Parent historique</x:v>
      </x:c>
      <x:c r="D677" t="str">
        <x:v>militaire</x:v>
      </x:c>
      <x:c r="E677" t="str">
        <x:v>Camp retranché abandonné — variante 03</x:v>
      </x:c>
      <x:c r="F677" t="n">
        <x:v>8</x:v>
      </x:c>
      <x:c r="G677" t="n">
        <x:v>5</x:v>
      </x:c>
      <x:c r="H677" t="n">
        <x:v>0</x:v>
      </x:c>
      <x:c r="I677" t="str">
        <x:v>À qualifier par lieu</x:v>
      </x:c>
      <x:c r="J677" t="str">
        <x:v>https://github.com/darknigthmare/deadwall-last-enclosure/blob/e28f46223e73105ab2c5d83f3d50b99b58ef53e6/codex-3000/originaux/DEADWALL_CODEX_SUPPLEMENT_1.23/FICHES_501_1000/DW-0672.md</x:v>
      </x:c>
      <x:c r="K677" t="str">
        <x:v>Source min 19,54 m ; max 19,54 m ; modèle 26 × 54 m ; niveaux 0. Détails dans catalogue-existant.json.</x:v>
      </x:c>
    </x:row>
    <x:row r="678">
      <x:c r="A678" t="str">
        <x:v>DW-0673</x:v>
      </x:c>
      <x:c r="B678" t="str">
        <x:v>DW-0673</x:v>
      </x:c>
      <x:c r="C678" t="str">
        <x:v>Parent historique</x:v>
      </x:c>
      <x:c r="D678" t="str">
        <x:v>militaire</x:v>
      </x:c>
      <x:c r="E678" t="str">
        <x:v>Abri ferroviaire — variante 03</x:v>
      </x:c>
      <x:c r="F678" t="n">
        <x:v>8</x:v>
      </x:c>
      <x:c r="G678" t="n">
        <x:v>4</x:v>
      </x:c>
      <x:c r="H678" t="n">
        <x:v>0</x:v>
      </x:c>
      <x:c r="I678" t="str">
        <x:v>À qualifier par lieu</x:v>
      </x:c>
      <x:c r="J678" t="str">
        <x:v>https://github.com/darknigthmare/deadwall-last-enclosure/blob/e28f46223e73105ab2c5d83f3d50b99b58ef53e6/codex-3000/originaux/DEADWALL_CODEX_SUPPLEMENT_1.23/FICHES_501_1000/DW-0673.md</x:v>
      </x:c>
      <x:c r="K678" t="str">
        <x:v>Source min 30,17 m ; max 30,17 m ; modèle 30 × 18 m ; niveaux 0. Détails dans catalogue-existant.json.</x:v>
      </x:c>
    </x:row>
    <x:row r="679">
      <x:c r="A679" t="str">
        <x:v>DW-0674</x:v>
      </x:c>
      <x:c r="B679" t="str">
        <x:v>DW-0674</x:v>
      </x:c>
      <x:c r="C679" t="str">
        <x:v>Parent historique</x:v>
      </x:c>
      <x:c r="D679" t="str">
        <x:v>militaire</x:v>
      </x:c>
      <x:c r="E679" t="str">
        <x:v>Site radar — variante 03</x:v>
      </x:c>
      <x:c r="F679" t="n">
        <x:v>8</x:v>
      </x:c>
      <x:c r="G679" t="n">
        <x:v>5</x:v>
      </x:c>
      <x:c r="H679" t="n">
        <x:v>0</x:v>
      </x:c>
      <x:c r="I679" t="str">
        <x:v>À qualifier par lieu</x:v>
      </x:c>
      <x:c r="J679" t="str">
        <x:v>https://github.com/darknigthmare/deadwall-last-enclosure/blob/e28f46223e73105ab2c5d83f3d50b99b58ef53e6/codex-3000/originaux/DEADWALL_CODEX_SUPPLEMENT_1.23/FICHES_501_1000/DW-0674.md</x:v>
      </x:c>
      <x:c r="K679" t="str">
        <x:v>Source min 41,34 m ; max 41,34 m ; modèle 41 × 34 m ; niveaux 0. Détails dans catalogue-existant.json.</x:v>
      </x:c>
    </x:row>
    <x:row r="680">
      <x:c r="A680" t="str">
        <x:v>DW-0675</x:v>
      </x:c>
      <x:c r="B680" t="str">
        <x:v>DW-0675</x:v>
      </x:c>
      <x:c r="C680" t="str">
        <x:v>Parent historique</x:v>
      </x:c>
      <x:c r="D680" t="str">
        <x:v>militaire</x:v>
      </x:c>
      <x:c r="E680" t="str">
        <x:v>Batterie côtière — variante 03</x:v>
      </x:c>
      <x:c r="F680" t="n">
        <x:v>8</x:v>
      </x:c>
      <x:c r="G680" t="n">
        <x:v>4</x:v>
      </x:c>
      <x:c r="H680" t="n">
        <x:v>0</x:v>
      </x:c>
      <x:c r="I680" t="str">
        <x:v>À qualifier par lieu</x:v>
      </x:c>
      <x:c r="J680" t="str">
        <x:v>https://github.com/darknigthmare/deadwall-last-enclosure/blob/e28f46223e73105ab2c5d83f3d50b99b58ef53e6/codex-3000/originaux/DEADWALL_CODEX_SUPPLEMENT_1.23/FICHES_501_1000/DW-0675.md</x:v>
      </x:c>
      <x:c r="K680" t="str">
        <x:v>Source min 52,51 m ; max 52,51 m ; modèle 52 × 51 m ; niveaux 0. Détails dans catalogue-existant.json.</x:v>
      </x:c>
    </x:row>
    <x:row r="681">
      <x:c r="A681" t="str">
        <x:v>DW-0676</x:v>
      </x:c>
      <x:c r="B681" t="str">
        <x:v>DW-0676</x:v>
      </x:c>
      <x:c r="C681" t="str">
        <x:v>Parent historique</x:v>
      </x:c>
      <x:c r="D681" t="str">
        <x:v>militaire</x:v>
      </x:c>
      <x:c r="E681" t="str">
        <x:v>Dépôt carburant sécurisé — variante 03</x:v>
      </x:c>
      <x:c r="F681" t="n">
        <x:v>8</x:v>
      </x:c>
      <x:c r="G681" t="n">
        <x:v>5</x:v>
      </x:c>
      <x:c r="H681" t="n">
        <x:v>0</x:v>
      </x:c>
      <x:c r="I681" t="str">
        <x:v>À qualifier par lieu</x:v>
      </x:c>
      <x:c r="J681" t="str">
        <x:v>https://github.com/darknigthmare/deadwall-last-enclosure/blob/e28f46223e73105ab2c5d83f3d50b99b58ef53e6/codex-3000/originaux/DEADWALL_CODEX_SUPPLEMENT_1.23/FICHES_501_1000/DW-0676.md</x:v>
      </x:c>
      <x:c r="K681" t="str">
        <x:v>Source min 63,14 m ; max 63,14 m ; modèle 63 × 22 m ; niveaux 0. Détails dans catalogue-existant.json.</x:v>
      </x:c>
    </x:row>
    <x:row r="682">
      <x:c r="A682" t="str">
        <x:v>DW-0677</x:v>
      </x:c>
      <x:c r="B682" t="str">
        <x:v>DW-0677</x:v>
      </x:c>
      <x:c r="C682" t="str">
        <x:v>Parent historique</x:v>
      </x:c>
      <x:c r="D682" t="str">
        <x:v>transport</x:v>
      </x:c>
      <x:c r="E682" t="str">
        <x:v>Gare routière — variante 03</x:v>
      </x:c>
      <x:c r="F682" t="n">
        <x:v>8</x:v>
      </x:c>
      <x:c r="G682" t="n">
        <x:v>5</x:v>
      </x:c>
      <x:c r="H682" t="n">
        <x:v>0</x:v>
      </x:c>
      <x:c r="I682" t="str">
        <x:v>À qualifier par lieu</x:v>
      </x:c>
      <x:c r="J682" t="str">
        <x:v>https://github.com/darknigthmare/deadwall-last-enclosure/blob/e28f46223e73105ab2c5d83f3d50b99b58ef53e6/codex-3000/originaux/DEADWALL_CODEX_SUPPLEMENT_1.23/FICHES_501_1000/DW-0677.md</x:v>
      </x:c>
      <x:c r="K682" t="str">
        <x:v>Source min 74,31 m ; max 74,31 m ; modèle 74 × 31 m ; niveaux 0. Détails dans catalogue-existant.json.</x:v>
      </x:c>
    </x:row>
    <x:row r="683">
      <x:c r="A683" t="str">
        <x:v>DW-0678</x:v>
      </x:c>
      <x:c r="B683" t="str">
        <x:v>DW-0678</x:v>
      </x:c>
      <x:c r="C683" t="str">
        <x:v>Parent historique</x:v>
      </x:c>
      <x:c r="D683" t="str">
        <x:v>transport</x:v>
      </x:c>
      <x:c r="E683" t="str">
        <x:v>Dépôt de bus — variante 03</x:v>
      </x:c>
      <x:c r="F683" t="n">
        <x:v>8</x:v>
      </x:c>
      <x:c r="G683" t="n">
        <x:v>5</x:v>
      </x:c>
      <x:c r="H683" t="n">
        <x:v>0</x:v>
      </x:c>
      <x:c r="I683" t="str">
        <x:v>À qualifier par lieu</x:v>
      </x:c>
      <x:c r="J683" t="str">
        <x:v>https://github.com/darknigthmare/deadwall-last-enclosure/blob/e28f46223e73105ab2c5d83f3d50b99b58ef53e6/codex-3000/originaux/DEADWALL_CODEX_SUPPLEMENT_1.23/FICHES_501_1000/DW-0678.md</x:v>
      </x:c>
      <x:c r="K683" t="str">
        <x:v>Source min 13,48 m ; max 13,48 m ; modèle 26 × 48 m ; niveaux 0. Détails dans catalogue-existant.json.</x:v>
      </x:c>
    </x:row>
    <x:row r="684">
      <x:c r="A684" t="str">
        <x:v>DW-0679</x:v>
      </x:c>
      <x:c r="B684" t="str">
        <x:v>DW-0679</x:v>
      </x:c>
      <x:c r="C684" t="str">
        <x:v>Parent historique</x:v>
      </x:c>
      <x:c r="D684" t="str">
        <x:v>transport</x:v>
      </x:c>
      <x:c r="E684" t="str">
        <x:v>Gare ferroviaire — variante 03</x:v>
      </x:c>
      <x:c r="F684" t="n">
        <x:v>8</x:v>
      </x:c>
      <x:c r="G684" t="n">
        <x:v>5</x:v>
      </x:c>
      <x:c r="H684" t="n">
        <x:v>0</x:v>
      </x:c>
      <x:c r="I684" t="str">
        <x:v>À qualifier par lieu</x:v>
      </x:c>
      <x:c r="J684" t="str">
        <x:v>https://github.com/darknigthmare/deadwall-last-enclosure/blob/e28f46223e73105ab2c5d83f3d50b99b58ef53e6/codex-3000/originaux/DEADWALL_CODEX_SUPPLEMENT_1.23/FICHES_501_1000/DW-0679.md</x:v>
      </x:c>
      <x:c r="K684" t="str">
        <x:v>Source min 24,11 m ; max 24,11 m ; modèle 26 × 22 m ; niveaux 0. Détails dans catalogue-existant.json.</x:v>
      </x:c>
    </x:row>
    <x:row r="685">
      <x:c r="A685" t="str">
        <x:v>DW-0680</x:v>
      </x:c>
      <x:c r="B685" t="str">
        <x:v>DW-0680</x:v>
      </x:c>
      <x:c r="C685" t="str">
        <x:v>Parent historique</x:v>
      </x:c>
      <x:c r="D685" t="str">
        <x:v>transport</x:v>
      </x:c>
      <x:c r="E685" t="str">
        <x:v>Aire d'autoroute — variante 03</x:v>
      </x:c>
      <x:c r="F685" t="n">
        <x:v>8</x:v>
      </x:c>
      <x:c r="G685" t="n">
        <x:v>5</x:v>
      </x:c>
      <x:c r="H685" t="n">
        <x:v>0</x:v>
      </x:c>
      <x:c r="I685" t="str">
        <x:v>À qualifier par lieu</x:v>
      </x:c>
      <x:c r="J685" t="str">
        <x:v>https://github.com/darknigthmare/deadwall-last-enclosure/blob/e28f46223e73105ab2c5d83f3d50b99b58ef53e6/codex-3000/originaux/DEADWALL_CODEX_SUPPLEMENT_1.23/FICHES_501_1000/DW-0680.md</x:v>
      </x:c>
      <x:c r="K685" t="str">
        <x:v>Source min 35,28 m ; max 35,28 m ; modèle 35 × 28 m ; niveaux 0. Détails dans catalogue-existant.json.</x:v>
      </x:c>
    </x:row>
    <x:row r="686">
      <x:c r="A686" t="str">
        <x:v>DW-0681</x:v>
      </x:c>
      <x:c r="B686" t="str">
        <x:v>DW-0681</x:v>
      </x:c>
      <x:c r="C686" t="str">
        <x:v>Parent historique</x:v>
      </x:c>
      <x:c r="D686" t="str">
        <x:v>transport</x:v>
      </x:c>
      <x:c r="E686" t="str">
        <x:v>Parking silo — variante 03</x:v>
      </x:c>
      <x:c r="F686" t="n">
        <x:v>8</x:v>
      </x:c>
      <x:c r="G686" t="n">
        <x:v>4</x:v>
      </x:c>
      <x:c r="H686" t="n">
        <x:v>0</x:v>
      </x:c>
      <x:c r="I686" t="str">
        <x:v>À qualifier par lieu</x:v>
      </x:c>
      <x:c r="J686" t="str">
        <x:v>https://github.com/darknigthmare/deadwall-last-enclosure/blob/e28f46223e73105ab2c5d83f3d50b99b58ef53e6/codex-3000/originaux/DEADWALL_CODEX_SUPPLEMENT_1.23/FICHES_501_1000/DW-0681.md</x:v>
      </x:c>
      <x:c r="K686" t="str">
        <x:v>Source min 46,45 m ; max 46,45 m ; modèle 46 × 45 m ; niveaux 0. Détails dans catalogue-existant.json.</x:v>
      </x:c>
    </x:row>
    <x:row r="687">
      <x:c r="A687" t="str">
        <x:v>DW-0682</x:v>
      </x:c>
      <x:c r="B687" t="str">
        <x:v>DW-0682</x:v>
      </x:c>
      <x:c r="C687" t="str">
        <x:v>Parent historique</x:v>
      </x:c>
      <x:c r="D687" t="str">
        <x:v>transport</x:v>
      </x:c>
      <x:c r="E687" t="str">
        <x:v>Terminal poids lourds — variante 03</x:v>
      </x:c>
      <x:c r="F687" t="n">
        <x:v>8</x:v>
      </x:c>
      <x:c r="G687" t="n">
        <x:v>5</x:v>
      </x:c>
      <x:c r="H687" t="n">
        <x:v>0</x:v>
      </x:c>
      <x:c r="I687" t="str">
        <x:v>À qualifier par lieu</x:v>
      </x:c>
      <x:c r="J687" t="str">
        <x:v>https://github.com/darknigthmare/deadwall-last-enclosure/blob/e28f46223e73105ab2c5d83f3d50b99b58ef53e6/codex-3000/originaux/DEADWALL_CODEX_SUPPLEMENT_1.23/FICHES_501_1000/DW-0682.md</x:v>
      </x:c>
      <x:c r="K687" t="str">
        <x:v>Source min 57,62 m ; max 57,62 m ; modèle 57 × 62 m ; niveaux 0. Détails dans catalogue-existant.json.</x:v>
      </x:c>
    </x:row>
    <x:row r="688">
      <x:c r="A688" t="str">
        <x:v>DW-0683</x:v>
      </x:c>
      <x:c r="B688" t="str">
        <x:v>DW-0683</x:v>
      </x:c>
      <x:c r="C688" t="str">
        <x:v>Parent historique</x:v>
      </x:c>
      <x:c r="D688" t="str">
        <x:v>transport</x:v>
      </x:c>
      <x:c r="E688" t="str">
        <x:v>Port de plaisance — variante 03</x:v>
      </x:c>
      <x:c r="F688" t="n">
        <x:v>8</x:v>
      </x:c>
      <x:c r="G688" t="n">
        <x:v>5</x:v>
      </x:c>
      <x:c r="H688" t="n">
        <x:v>0</x:v>
      </x:c>
      <x:c r="I688" t="str">
        <x:v>À qualifier par lieu</x:v>
      </x:c>
      <x:c r="J688" t="str">
        <x:v>https://github.com/darknigthmare/deadwall-last-enclosure/blob/e28f46223e73105ab2c5d83f3d50b99b58ef53e6/codex-3000/originaux/DEADWALL_CODEX_SUPPLEMENT_1.23/FICHES_501_1000/DW-0683.md</x:v>
      </x:c>
      <x:c r="K688" t="str">
        <x:v>Source min 68,25 m ; max 68,25 m ; modèle 68 × 25 m ; niveaux 0. Détails dans catalogue-existant.json.</x:v>
      </x:c>
    </x:row>
    <x:row r="689">
      <x:c r="A689" t="str">
        <x:v>DW-0684</x:v>
      </x:c>
      <x:c r="B689" t="str">
        <x:v>DW-0684</x:v>
      </x:c>
      <x:c r="C689" t="str">
        <x:v>Parent historique</x:v>
      </x:c>
      <x:c r="D689" t="str">
        <x:v>transport</x:v>
      </x:c>
      <x:c r="E689" t="str">
        <x:v>Petit aérodrome — variante 03</x:v>
      </x:c>
      <x:c r="F689" t="n">
        <x:v>8</x:v>
      </x:c>
      <x:c r="G689" t="n">
        <x:v>5</x:v>
      </x:c>
      <x:c r="H689" t="n">
        <x:v>0</x:v>
      </x:c>
      <x:c r="I689" t="str">
        <x:v>À qualifier par lieu</x:v>
      </x:c>
      <x:c r="J689" t="str">
        <x:v>https://github.com/darknigthmare/deadwall-last-enclosure/blob/e28f46223e73105ab2c5d83f3d50b99b58ef53e6/codex-3000/originaux/DEADWALL_CODEX_SUPPLEMENT_1.23/FICHES_501_1000/DW-0684.md</x:v>
      </x:c>
      <x:c r="K689" t="str">
        <x:v>Source min 79,42 m ; max 79,42 m ; modèle 78 × 42 m ; niveaux 0. Détails dans catalogue-existant.json.</x:v>
      </x:c>
    </x:row>
    <x:row r="690">
      <x:c r="A690" t="str">
        <x:v>DW-0685</x:v>
      </x:c>
      <x:c r="B690" t="str">
        <x:v>DW-0685</x:v>
      </x:c>
      <x:c r="C690" t="str">
        <x:v>Parent historique</x:v>
      </x:c>
      <x:c r="D690" t="str">
        <x:v>ruines</x:v>
      </x:c>
      <x:c r="E690" t="str">
        <x:v>Maison incendiée — variante 03</x:v>
      </x:c>
      <x:c r="F690" t="n">
        <x:v>8</x:v>
      </x:c>
      <x:c r="G690" t="n">
        <x:v>3</x:v>
      </x:c>
      <x:c r="H690" t="n">
        <x:v>0</x:v>
      </x:c>
      <x:c r="I690" t="str">
        <x:v>À qualifier par lieu</x:v>
      </x:c>
      <x:c r="J690" t="str">
        <x:v>https://github.com/darknigthmare/deadwall-last-enclosure/blob/e28f46223e73105ab2c5d83f3d50b99b58ef53e6/codex-3000/originaux/DEADWALL_CODEX_SUPPLEMENT_1.23/FICHES_501_1000/DW-0685.md</x:v>
      </x:c>
      <x:c r="K690" t="str">
        <x:v>Source min 18,59 m ; max 18,59 m ; modèle 24 × 59 m ; niveaux 0, 1. Détails dans catalogue-existant.json.</x:v>
      </x:c>
    </x:row>
    <x:row r="691">
      <x:c r="A691" t="str">
        <x:v>DW-0686</x:v>
      </x:c>
      <x:c r="B691" t="str">
        <x:v>DW-0686</x:v>
      </x:c>
      <x:c r="C691" t="str">
        <x:v>Parent historique</x:v>
      </x:c>
      <x:c r="D691" t="str">
        <x:v>ruines</x:v>
      </x:c>
      <x:c r="E691" t="str">
        <x:v>Immeuble éventré — variante 03</x:v>
      </x:c>
      <x:c r="F691" t="n">
        <x:v>8</x:v>
      </x:c>
      <x:c r="G691" t="n">
        <x:v>4</x:v>
      </x:c>
      <x:c r="H691" t="n">
        <x:v>0</x:v>
      </x:c>
      <x:c r="I691" t="str">
        <x:v>À qualifier par lieu</x:v>
      </x:c>
      <x:c r="J691" t="str">
        <x:v>https://github.com/darknigthmare/deadwall-last-enclosure/blob/e28f46223e73105ab2c5d83f3d50b99b58ef53e6/codex-3000/originaux/DEADWALL_CODEX_SUPPLEMENT_1.23/FICHES_501_1000/DW-0686.md</x:v>
      </x:c>
      <x:c r="K691" t="str">
        <x:v>Source min 29,22 m ; max 29,22 m ; modèle 29 × 22 m ; niveaux 0, 1, 2. Détails dans catalogue-existant.json.</x:v>
      </x:c>
    </x:row>
    <x:row r="692">
      <x:c r="A692" t="str">
        <x:v>DW-0687</x:v>
      </x:c>
      <x:c r="B692" t="str">
        <x:v>DW-0687</x:v>
      </x:c>
      <x:c r="C692" t="str">
        <x:v>Parent historique</x:v>
      </x:c>
      <x:c r="D692" t="str">
        <x:v>ruines</x:v>
      </x:c>
      <x:c r="E692" t="str">
        <x:v>Commerce pillé — variante 03</x:v>
      </x:c>
      <x:c r="F692" t="n">
        <x:v>8</x:v>
      </x:c>
      <x:c r="G692" t="n">
        <x:v>4</x:v>
      </x:c>
      <x:c r="H692" t="n">
        <x:v>0</x:v>
      </x:c>
      <x:c r="I692" t="str">
        <x:v>À qualifier par lieu</x:v>
      </x:c>
      <x:c r="J692" t="str">
        <x:v>https://github.com/darknigthmare/deadwall-last-enclosure/blob/e28f46223e73105ab2c5d83f3d50b99b58ef53e6/codex-3000/originaux/DEADWALL_CODEX_SUPPLEMENT_1.23/FICHES_501_1000/DW-0687.md</x:v>
      </x:c>
      <x:c r="K692" t="str">
        <x:v>Source min 40,39 m ; max 40,39 m ; modèle 40 × 39 m ; niveaux 0. Détails dans catalogue-existant.json.</x:v>
      </x:c>
    </x:row>
    <x:row r="693">
      <x:c r="A693" t="str">
        <x:v>DW-0688</x:v>
      </x:c>
      <x:c r="B693" t="str">
        <x:v>DW-0688</x:v>
      </x:c>
      <x:c r="C693" t="str">
        <x:v>Parent historique</x:v>
      </x:c>
      <x:c r="D693" t="str">
        <x:v>ruines</x:v>
      </x:c>
      <x:c r="E693" t="str">
        <x:v>Usine sinistrée — variante 03</x:v>
      </x:c>
      <x:c r="F693" t="n">
        <x:v>8</x:v>
      </x:c>
      <x:c r="G693" t="n">
        <x:v>4</x:v>
      </x:c>
      <x:c r="H693" t="n">
        <x:v>0</x:v>
      </x:c>
      <x:c r="I693" t="str">
        <x:v>À qualifier par lieu</x:v>
      </x:c>
      <x:c r="J693" t="str">
        <x:v>https://github.com/darknigthmare/deadwall-last-enclosure/blob/e28f46223e73105ab2c5d83f3d50b99b58ef53e6/codex-3000/originaux/DEADWALL_CODEX_SUPPLEMENT_1.23/FICHES_501_1000/DW-0688.md</x:v>
      </x:c>
      <x:c r="K693" t="str">
        <x:v>Source min 51,56 m ; max 51,56 m ; modèle 51 × 56 m ; niveaux 0. Détails dans catalogue-existant.json.</x:v>
      </x:c>
    </x:row>
    <x:row r="694">
      <x:c r="A694" t="str">
        <x:v>DW-0689</x:v>
      </x:c>
      <x:c r="B694" t="str">
        <x:v>DW-0689</x:v>
      </x:c>
      <x:c r="C694" t="str">
        <x:v>Parent historique</x:v>
      </x:c>
      <x:c r="D694" t="str">
        <x:v>ruines</x:v>
      </x:c>
      <x:c r="E694" t="str">
        <x:v>Hôtel abandonné — variante 03</x:v>
      </x:c>
      <x:c r="F694" t="n">
        <x:v>8</x:v>
      </x:c>
      <x:c r="G694" t="n">
        <x:v>5</x:v>
      </x:c>
      <x:c r="H694" t="n">
        <x:v>0</x:v>
      </x:c>
      <x:c r="I694" t="str">
        <x:v>À qualifier par lieu</x:v>
      </x:c>
      <x:c r="J694" t="str">
        <x:v>https://github.com/darknigthmare/deadwall-last-enclosure/blob/e28f46223e73105ab2c5d83f3d50b99b58ef53e6/codex-3000/originaux/DEADWALL_CODEX_SUPPLEMENT_1.23/FICHES_501_1000/DW-0689.md</x:v>
      </x:c>
      <x:c r="K694" t="str">
        <x:v>Source min 62,19 m ; max 62,19 m ; modèle 62 × 22 m ; niveaux 0, 1. Détails dans catalogue-existant.json.</x:v>
      </x:c>
    </x:row>
    <x:row r="695">
      <x:c r="A695" t="str">
        <x:v>DW-0690</x:v>
      </x:c>
      <x:c r="B695" t="str">
        <x:v>DW-0690</x:v>
      </x:c>
      <x:c r="C695" t="str">
        <x:v>Parent historique</x:v>
      </x:c>
      <x:c r="D695" t="str">
        <x:v>ruines</x:v>
      </x:c>
      <x:c r="E695" t="str">
        <x:v>Lotissement ravagé — variante 03</x:v>
      </x:c>
      <x:c r="F695" t="n">
        <x:v>8</x:v>
      </x:c>
      <x:c r="G695" t="n">
        <x:v>4</x:v>
      </x:c>
      <x:c r="H695" t="n">
        <x:v>0</x:v>
      </x:c>
      <x:c r="I695" t="str">
        <x:v>À qualifier par lieu</x:v>
      </x:c>
      <x:c r="J695" t="str">
        <x:v>https://github.com/darknigthmare/deadwall-last-enclosure/blob/e28f46223e73105ab2c5d83f3d50b99b58ef53e6/codex-3000/originaux/DEADWALL_CODEX_SUPPLEMENT_1.23/FICHES_501_1000/DW-0690.md</x:v>
      </x:c>
      <x:c r="K695" t="str">
        <x:v>Source min 73,36 m ; max 73,36 m ; modèle 73 × 36 m ; niveaux 0. Détails dans catalogue-existant.json.</x:v>
      </x:c>
    </x:row>
    <x:row r="696">
      <x:c r="A696" t="str">
        <x:v>DW-0691</x:v>
      </x:c>
      <x:c r="B696" t="str">
        <x:v>DW-0691</x:v>
      </x:c>
      <x:c r="C696" t="str">
        <x:v>Parent historique</x:v>
      </x:c>
      <x:c r="D696" t="str">
        <x:v>ruines</x:v>
      </x:c>
      <x:c r="E696" t="str">
        <x:v>Village déserté — variante 03</x:v>
      </x:c>
      <x:c r="F696" t="n">
        <x:v>8</x:v>
      </x:c>
      <x:c r="G696" t="n">
        <x:v>5</x:v>
      </x:c>
      <x:c r="H696" t="n">
        <x:v>0</x:v>
      </x:c>
      <x:c r="I696" t="str">
        <x:v>À qualifier par lieu</x:v>
      </x:c>
      <x:c r="J696" t="str">
        <x:v>https://github.com/darknigthmare/deadwall-last-enclosure/blob/e28f46223e73105ab2c5d83f3d50b99b58ef53e6/codex-3000/originaux/DEADWALL_CODEX_SUPPLEMENT_1.23/FICHES_501_1000/DW-0691.md</x:v>
      </x:c>
      <x:c r="K696" t="str">
        <x:v>Source min 12,53 m ; max 12,53 m ; modèle 26 × 53 m ; niveaux 0. Détails dans catalogue-existant.json.</x:v>
      </x:c>
    </x:row>
    <x:row r="697">
      <x:c r="A697" t="str">
        <x:v>DW-0692</x:v>
      </x:c>
      <x:c r="B697" t="str">
        <x:v>DW-0692</x:v>
      </x:c>
      <x:c r="C697" t="str">
        <x:v>Parent historique</x:v>
      </x:c>
      <x:c r="D697" t="str">
        <x:v>ruines</x:v>
      </x:c>
      <x:c r="E697" t="str">
        <x:v>Centre commercial effondré — variante 03</x:v>
      </x:c>
      <x:c r="F697" t="n">
        <x:v>8</x:v>
      </x:c>
      <x:c r="G697" t="n">
        <x:v>5</x:v>
      </x:c>
      <x:c r="H697" t="n">
        <x:v>0</x:v>
      </x:c>
      <x:c r="I697" t="str">
        <x:v>À qualifier par lieu</x:v>
      </x:c>
      <x:c r="J697" t="str">
        <x:v>https://github.com/darknigthmare/deadwall-last-enclosure/blob/e28f46223e73105ab2c5d83f3d50b99b58ef53e6/codex-3000/originaux/DEADWALL_CODEX_SUPPLEMENT_1.23/FICHES_501_1000/DW-0692.md</x:v>
      </x:c>
      <x:c r="K697" t="str">
        <x:v>Source min 23,16 m ; max 23,16 m ; modèle 26 × 22 m ; niveaux 0. Détails dans catalogue-existant.json.</x:v>
      </x:c>
    </x:row>
    <x:row r="698">
      <x:c r="A698" t="str">
        <x:v>DW-0693</x:v>
      </x:c>
      <x:c r="B698" t="str">
        <x:v>DW-0693</x:v>
      </x:c>
      <x:c r="C698" t="str">
        <x:v>Parent historique</x:v>
      </x:c>
      <x:c r="D698" t="str">
        <x:v>habitat</x:v>
      </x:c>
      <x:c r="E698" t="str">
        <x:v>Maison de lotissement — variante 04</x:v>
      </x:c>
      <x:c r="F698" t="n">
        <x:v>8</x:v>
      </x:c>
      <x:c r="G698" t="n">
        <x:v>5</x:v>
      </x:c>
      <x:c r="H698" t="n">
        <x:v>0</x:v>
      </x:c>
      <x:c r="I698" t="str">
        <x:v>À qualifier par lieu</x:v>
      </x:c>
      <x:c r="J698" t="str">
        <x:v>https://github.com/darknigthmare/deadwall-last-enclosure/blob/e28f46223e73105ab2c5d83f3d50b99b58ef53e6/codex-3000/originaux/DEADWALL_CODEX_SUPPLEMENT_1.23/FICHES_501_1000/DW-0693.md</x:v>
      </x:c>
      <x:c r="K698" t="str">
        <x:v>Source min 34,33 m ; max 34,33 m ; modèle 34 × 33 m ; niveaux 0, 1. Détails dans catalogue-existant.json.</x:v>
      </x:c>
    </x:row>
    <x:row r="699">
      <x:c r="A699" t="str">
        <x:v>DW-0694</x:v>
      </x:c>
      <x:c r="B699" t="str">
        <x:v>DW-0694</x:v>
      </x:c>
      <x:c r="C699" t="str">
        <x:v>Parent historique</x:v>
      </x:c>
      <x:c r="D699" t="str">
        <x:v>habitat</x:v>
      </x:c>
      <x:c r="E699" t="str">
        <x:v>Maison mitoyenne — variante 04</x:v>
      </x:c>
      <x:c r="F699" t="n">
        <x:v>8</x:v>
      </x:c>
      <x:c r="G699" t="n">
        <x:v>5</x:v>
      </x:c>
      <x:c r="H699" t="n">
        <x:v>0</x:v>
      </x:c>
      <x:c r="I699" t="str">
        <x:v>À qualifier par lieu</x:v>
      </x:c>
      <x:c r="J699" t="str">
        <x:v>https://github.com/darknigthmare/deadwall-last-enclosure/blob/e28f46223e73105ab2c5d83f3d50b99b58ef53e6/codex-3000/originaux/DEADWALL_CODEX_SUPPLEMENT_1.23/FICHES_501_1000/DW-0694.md</x:v>
      </x:c>
      <x:c r="K699" t="str">
        <x:v>Source min 45,50 m ; max 45,50 m ; modèle 45 × 50 m ; niveaux 0. Détails dans catalogue-existant.json.</x:v>
      </x:c>
    </x:row>
    <x:row r="700">
      <x:c r="A700" t="str">
        <x:v>DW-0695</x:v>
      </x:c>
      <x:c r="B700" t="str">
        <x:v>DW-0695</x:v>
      </x:c>
      <x:c r="C700" t="str">
        <x:v>Parent historique</x:v>
      </x:c>
      <x:c r="D700" t="str">
        <x:v>habitat</x:v>
      </x:c>
      <x:c r="E700" t="str">
        <x:v>Villa isolée — variante 04</x:v>
      </x:c>
      <x:c r="F700" t="n">
        <x:v>8</x:v>
      </x:c>
      <x:c r="G700" t="n">
        <x:v>7</x:v>
      </x:c>
      <x:c r="H700" t="n">
        <x:v>0</x:v>
      </x:c>
      <x:c r="I700" t="str">
        <x:v>À qualifier par lieu</x:v>
      </x:c>
      <x:c r="J700" t="str">
        <x:v>https://github.com/darknigthmare/deadwall-last-enclosure/blob/e28f46223e73105ab2c5d83f3d50b99b58ef53e6/codex-3000/originaux/DEADWALL_CODEX_SUPPLEMENT_1.23/FICHES_501_1000/DW-0695.md</x:v>
      </x:c>
      <x:c r="K700" t="str">
        <x:v>Source min 56,13 m ; max 56,13 m ; modèle 56 × 29 m ; niveaux 0. Détails dans catalogue-existant.json.</x:v>
      </x:c>
    </x:row>
    <x:row r="701">
      <x:c r="A701" t="str">
        <x:v>DW-0696</x:v>
      </x:c>
      <x:c r="B701" t="str">
        <x:v>DW-0696</x:v>
      </x:c>
      <x:c r="C701" t="str">
        <x:v>Parent historique</x:v>
      </x:c>
      <x:c r="D701" t="str">
        <x:v>habitat</x:v>
      </x:c>
      <x:c r="E701" t="str">
        <x:v>Ferme familiale — variante 04</x:v>
      </x:c>
      <x:c r="F701" t="n">
        <x:v>8</x:v>
      </x:c>
      <x:c r="G701" t="n">
        <x:v>6</x:v>
      </x:c>
      <x:c r="H701" t="n">
        <x:v>0</x:v>
      </x:c>
      <x:c r="I701" t="str">
        <x:v>À qualifier par lieu</x:v>
      </x:c>
      <x:c r="J701" t="str">
        <x:v>https://github.com/darknigthmare/deadwall-last-enclosure/blob/e28f46223e73105ab2c5d83f3d50b99b58ef53e6/codex-3000/originaux/DEADWALL_CODEX_SUPPLEMENT_1.23/FICHES_501_1000/DW-0696.md</x:v>
      </x:c>
      <x:c r="K701" t="str">
        <x:v>Source min 67,30 m ; max 67,30 m ; modèle 67 × 30 m ; niveaux 0. Détails dans catalogue-existant.json.</x:v>
      </x:c>
    </x:row>
    <x:row r="702">
      <x:c r="A702" t="str">
        <x:v>DW-0697</x:v>
      </x:c>
      <x:c r="B702" t="str">
        <x:v>DW-0697</x:v>
      </x:c>
      <x:c r="C702" t="str">
        <x:v>Parent historique</x:v>
      </x:c>
      <x:c r="D702" t="str">
        <x:v>habitat</x:v>
      </x:c>
      <x:c r="E702" t="str">
        <x:v>Immeuble résidentiel — variante 04</x:v>
      </x:c>
      <x:c r="F702" t="n">
        <x:v>8</x:v>
      </x:c>
      <x:c r="G702" t="n">
        <x:v>5</x:v>
      </x:c>
      <x:c r="H702" t="n">
        <x:v>0</x:v>
      </x:c>
      <x:c r="I702" t="str">
        <x:v>À qualifier par lieu</x:v>
      </x:c>
      <x:c r="J702" t="str">
        <x:v>https://github.com/darknigthmare/deadwall-last-enclosure/blob/e28f46223e73105ab2c5d83f3d50b99b58ef53e6/codex-3000/originaux/DEADWALL_CODEX_SUPPLEMENT_1.23/FICHES_501_1000/DW-0697.md</x:v>
      </x:c>
      <x:c r="K702" t="str">
        <x:v>Source min 78,47 m ; max 78,47 m ; modèle 78 × 47 m ; niveaux 0, 1, 2. Détails dans catalogue-existant.json.</x:v>
      </x:c>
    </x:row>
    <x:row r="703">
      <x:c r="A703" t="str">
        <x:v>DW-0698</x:v>
      </x:c>
      <x:c r="B703" t="str">
        <x:v>DW-0698</x:v>
      </x:c>
      <x:c r="C703" t="str">
        <x:v>Parent historique</x:v>
      </x:c>
      <x:c r="D703" t="str">
        <x:v>habitat</x:v>
      </x:c>
      <x:c r="E703" t="str">
        <x:v>Barre de logements — variante 04</x:v>
      </x:c>
      <x:c r="F703" t="n">
        <x:v>8</x:v>
      </x:c>
      <x:c r="G703" t="n">
        <x:v>5</x:v>
      </x:c>
      <x:c r="H703" t="n">
        <x:v>0</x:v>
      </x:c>
      <x:c r="I703" t="str">
        <x:v>À qualifier par lieu</x:v>
      </x:c>
      <x:c r="J703" t="str">
        <x:v>https://github.com/darknigthmare/deadwall-last-enclosure/blob/e28f46223e73105ab2c5d83f3d50b99b58ef53e6/codex-3000/originaux/DEADWALL_CODEX_SUPPLEMENT_1.23/FICHES_501_1000/DW-0698.md</x:v>
      </x:c>
      <x:c r="K703" t="str">
        <x:v>Source min 17,10 m ; max 17,10 m ; modèle 26 × 22 m ; niveaux 0, 1, 2. Détails dans catalogue-existant.json.</x:v>
      </x:c>
    </x:row>
    <x:row r="704">
      <x:c r="A704" t="str">
        <x:v>DW-0699</x:v>
      </x:c>
      <x:c r="B704" t="str">
        <x:v>DW-0699</x:v>
      </x:c>
      <x:c r="C704" t="str">
        <x:v>Parent historique</x:v>
      </x:c>
      <x:c r="D704" t="str">
        <x:v>habitat</x:v>
      </x:c>
      <x:c r="E704" t="str">
        <x:v>Résidence senior — variante 04</x:v>
      </x:c>
      <x:c r="F704" t="n">
        <x:v>8</x:v>
      </x:c>
      <x:c r="G704" t="n">
        <x:v>5</x:v>
      </x:c>
      <x:c r="H704" t="n">
        <x:v>0</x:v>
      </x:c>
      <x:c r="I704" t="str">
        <x:v>À qualifier par lieu</x:v>
      </x:c>
      <x:c r="J704" t="str">
        <x:v>https://github.com/darknigthmare/deadwall-last-enclosure/blob/e28f46223e73105ab2c5d83f3d50b99b58ef53e6/codex-3000/originaux/DEADWALL_CODEX_SUPPLEMENT_1.23/FICHES_501_1000/DW-0699.md</x:v>
      </x:c>
      <x:c r="K704" t="str">
        <x:v>Source min 28,27 m ; max 28,27 m ; modèle 28 × 27 m ; niveaux 0, 1. Détails dans catalogue-existant.json.</x:v>
      </x:c>
    </x:row>
    <x:row r="705">
      <x:c r="A705" t="str">
        <x:v>DW-0700</x:v>
      </x:c>
      <x:c r="B705" t="str">
        <x:v>DW-0700</x:v>
      </x:c>
      <x:c r="C705" t="str">
        <x:v>Parent historique</x:v>
      </x:c>
      <x:c r="D705" t="str">
        <x:v>habitat</x:v>
      </x:c>
      <x:c r="E705" t="str">
        <x:v>Maison avec sous-sol — variante 04</x:v>
      </x:c>
      <x:c r="F705" t="n">
        <x:v>8</x:v>
      </x:c>
      <x:c r="G705" t="n">
        <x:v>5</x:v>
      </x:c>
      <x:c r="H705" t="n">
        <x:v>0</x:v>
      </x:c>
      <x:c r="I705" t="str">
        <x:v>À qualifier par lieu</x:v>
      </x:c>
      <x:c r="J705" t="str">
        <x:v>https://github.com/darknigthmare/deadwall-last-enclosure/blob/e28f46223e73105ab2c5d83f3d50b99b58ef53e6/codex-3000/originaux/DEADWALL_CODEX_SUPPLEMENT_1.23/FICHES_501_1000/DW-0700.md</x:v>
      </x:c>
      <x:c r="K705" t="str">
        <x:v>Source min 39,44 m ; max 39,44 m ; modèle 39 × 44 m ; niveaux 0. Détails dans catalogue-existant.json.</x:v>
      </x:c>
    </x:row>
    <x:row r="706">
      <x:c r="A706" t="str">
        <x:v>DW-0701</x:v>
      </x:c>
      <x:c r="B706" t="str">
        <x:v>DW-0701</x:v>
      </x:c>
      <x:c r="C706" t="str">
        <x:v>Parent historique</x:v>
      </x:c>
      <x:c r="D706" t="str">
        <x:v>commerce</x:v>
      </x:c>
      <x:c r="E706" t="str">
        <x:v>Supérette — variante 04</x:v>
      </x:c>
      <x:c r="F706" t="n">
        <x:v>8</x:v>
      </x:c>
      <x:c r="G706" t="n">
        <x:v>5</x:v>
      </x:c>
      <x:c r="H706" t="n">
        <x:v>0</x:v>
      </x:c>
      <x:c r="I706" t="str">
        <x:v>À qualifier par lieu</x:v>
      </x:c>
      <x:c r="J706" t="str">
        <x:v>https://github.com/darknigthmare/deadwall-last-enclosure/blob/e28f46223e73105ab2c5d83f3d50b99b58ef53e6/codex-3000/originaux/DEADWALL_CODEX_SUPPLEMENT_1.23/FICHES_501_1000/DW-0701.md</x:v>
      </x:c>
      <x:c r="K706" t="str">
        <x:v>Source min 50,61 m ; max 50,61 m ; modèle 50 × 61 m ; niveaux 0, 1. Détails dans catalogue-existant.json.</x:v>
      </x:c>
    </x:row>
    <x:row r="707">
      <x:c r="A707" t="str">
        <x:v>DW-0702</x:v>
      </x:c>
      <x:c r="B707" t="str">
        <x:v>DW-0702</x:v>
      </x:c>
      <x:c r="C707" t="str">
        <x:v>Parent historique</x:v>
      </x:c>
      <x:c r="D707" t="str">
        <x:v>commerce</x:v>
      </x:c>
      <x:c r="E707" t="str">
        <x:v>Centre commercial — variante 04</x:v>
      </x:c>
      <x:c r="F707" t="n">
        <x:v>8</x:v>
      </x:c>
      <x:c r="G707" t="n">
        <x:v>6</x:v>
      </x:c>
      <x:c r="H707" t="n">
        <x:v>0</x:v>
      </x:c>
      <x:c r="I707" t="str">
        <x:v>À qualifier par lieu</x:v>
      </x:c>
      <x:c r="J707" t="str">
        <x:v>https://github.com/darknigthmare/deadwall-last-enclosure/blob/e28f46223e73105ab2c5d83f3d50b99b58ef53e6/codex-3000/originaux/DEADWALL_CODEX_SUPPLEMENT_1.23/FICHES_501_1000/DW-0702.md</x:v>
      </x:c>
      <x:c r="K707" t="str">
        <x:v>Source min 61,24 m ; max 61,24 m ; modèle 61 × 24 m ; niveaux 0. Détails dans catalogue-existant.json.</x:v>
      </x:c>
    </x:row>
    <x:row r="708">
      <x:c r="A708" t="str">
        <x:v>DW-0703</x:v>
      </x:c>
      <x:c r="B708" t="str">
        <x:v>DW-0703</x:v>
      </x:c>
      <x:c r="C708" t="str">
        <x:v>Parent historique</x:v>
      </x:c>
      <x:c r="D708" t="str">
        <x:v>commerce</x:v>
      </x:c>
      <x:c r="E708" t="str">
        <x:v>Supermarché — variante 04</x:v>
      </x:c>
      <x:c r="F708" t="n">
        <x:v>8</x:v>
      </x:c>
      <x:c r="G708" t="n">
        <x:v>7</x:v>
      </x:c>
      <x:c r="H708" t="n">
        <x:v>0</x:v>
      </x:c>
      <x:c r="I708" t="str">
        <x:v>À qualifier par lieu</x:v>
      </x:c>
      <x:c r="J708" t="str">
        <x:v>https://github.com/darknigthmare/deadwall-last-enclosure/blob/e28f46223e73105ab2c5d83f3d50b99b58ef53e6/codex-3000/originaux/DEADWALL_CODEX_SUPPLEMENT_1.23/FICHES_501_1000/DW-0703.md</x:v>
      </x:c>
      <x:c r="K708" t="str">
        <x:v>Source min 72,41 m ; max 72,41 m ; modèle 72 × 41 m ; niveaux 0. Détails dans catalogue-existant.json.</x:v>
      </x:c>
    </x:row>
    <x:row r="709">
      <x:c r="A709" t="str">
        <x:v>DW-0704</x:v>
      </x:c>
      <x:c r="B709" t="str">
        <x:v>DW-0704</x:v>
      </x:c>
      <x:c r="C709" t="str">
        <x:v>Parent historique</x:v>
      </x:c>
      <x:c r="D709" t="str">
        <x:v>commerce</x:v>
      </x:c>
      <x:c r="E709" t="str">
        <x:v>Magasin de bricolage — variante 04</x:v>
      </x:c>
      <x:c r="F709" t="n">
        <x:v>8</x:v>
      </x:c>
      <x:c r="G709" t="n">
        <x:v>5</x:v>
      </x:c>
      <x:c r="H709" t="n">
        <x:v>0</x:v>
      </x:c>
      <x:c r="I709" t="str">
        <x:v>À qualifier par lieu</x:v>
      </x:c>
      <x:c r="J709" t="str">
        <x:v>https://github.com/darknigthmare/deadwall-last-enclosure/blob/e28f46223e73105ab2c5d83f3d50b99b58ef53e6/codex-3000/originaux/DEADWALL_CODEX_SUPPLEMENT_1.23/FICHES_501_1000/DW-0704.md</x:v>
      </x:c>
      <x:c r="K709" t="str">
        <x:v>Source min 11,58 m ; max 11,58 m ; modèle 26 × 58 m ; niveaux 0. Détails dans catalogue-existant.json.</x:v>
      </x:c>
    </x:row>
    <x:row r="710">
      <x:c r="A710" t="str">
        <x:v>DW-0705</x:v>
      </x:c>
      <x:c r="B710" t="str">
        <x:v>DW-0705</x:v>
      </x:c>
      <x:c r="C710" t="str">
        <x:v>Parent historique</x:v>
      </x:c>
      <x:c r="D710" t="str">
        <x:v>commerce</x:v>
      </x:c>
      <x:c r="E710" t="str">
        <x:v>Pharmacie — variante 04</x:v>
      </x:c>
      <x:c r="F710" t="n">
        <x:v>8</x:v>
      </x:c>
      <x:c r="G710" t="n">
        <x:v>4</x:v>
      </x:c>
      <x:c r="H710" t="n">
        <x:v>0</x:v>
      </x:c>
      <x:c r="I710" t="str">
        <x:v>À qualifier par lieu</x:v>
      </x:c>
      <x:c r="J710" t="str">
        <x:v>https://github.com/darknigthmare/deadwall-last-enclosure/blob/e28f46223e73105ab2c5d83f3d50b99b58ef53e6/codex-3000/originaux/DEADWALL_CODEX_SUPPLEMENT_1.23/FICHES_501_1000/DW-0705.md</x:v>
      </x:c>
      <x:c r="K710" t="str">
        <x:v>Source min 22,21 m ; max 22,21 m ; modèle 25 × 21 m ; niveaux 0, 1. Détails dans catalogue-existant.json.</x:v>
      </x:c>
    </x:row>
    <x:row r="711">
      <x:c r="A711" t="str">
        <x:v>DW-0706</x:v>
      </x:c>
      <x:c r="B711" t="str">
        <x:v>DW-0706</x:v>
      </x:c>
      <x:c r="C711" t="str">
        <x:v>Parent historique</x:v>
      </x:c>
      <x:c r="D711" t="str">
        <x:v>commerce</x:v>
      </x:c>
      <x:c r="E711" t="str">
        <x:v>Station-service — variante 04</x:v>
      </x:c>
      <x:c r="F711" t="n">
        <x:v>8</x:v>
      </x:c>
      <x:c r="G711" t="n">
        <x:v>5</x:v>
      </x:c>
      <x:c r="H711" t="n">
        <x:v>0</x:v>
      </x:c>
      <x:c r="I711" t="str">
        <x:v>À qualifier par lieu</x:v>
      </x:c>
      <x:c r="J711" t="str">
        <x:v>https://github.com/darknigthmare/deadwall-last-enclosure/blob/e28f46223e73105ab2c5d83f3d50b99b58ef53e6/codex-3000/originaux/DEADWALL_CODEX_SUPPLEMENT_1.23/FICHES_501_1000/DW-0706.md</x:v>
      </x:c>
      <x:c r="K711" t="str">
        <x:v>Source min 33,38 m ; max 33,38 m ; modèle 33 × 38 m ; niveaux 0. Détails dans catalogue-existant.json.</x:v>
      </x:c>
    </x:row>
    <x:row r="712">
      <x:c r="A712" t="str">
        <x:v>DW-0707</x:v>
      </x:c>
      <x:c r="B712" t="str">
        <x:v>DW-0707</x:v>
      </x:c>
      <x:c r="C712" t="str">
        <x:v>Parent historique</x:v>
      </x:c>
      <x:c r="D712" t="str">
        <x:v>commerce</x:v>
      </x:c>
      <x:c r="E712" t="str">
        <x:v>Restaurant routier — variante 04</x:v>
      </x:c>
      <x:c r="F712" t="n">
        <x:v>8</x:v>
      </x:c>
      <x:c r="G712" t="n">
        <x:v>5</x:v>
      </x:c>
      <x:c r="H712" t="n">
        <x:v>0</x:v>
      </x:c>
      <x:c r="I712" t="str">
        <x:v>À qualifier par lieu</x:v>
      </x:c>
      <x:c r="J712" t="str">
        <x:v>https://github.com/darknigthmare/deadwall-last-enclosure/blob/e28f46223e73105ab2c5d83f3d50b99b58ef53e6/codex-3000/originaux/DEADWALL_CODEX_SUPPLEMENT_1.23/FICHES_501_1000/DW-0707.md</x:v>
      </x:c>
      <x:c r="K712" t="str">
        <x:v>Source min 44,55 m ; max 44,55 m ; modèle 44 × 55 m ; niveaux 0. Détails dans catalogue-existant.json.</x:v>
      </x:c>
    </x:row>
    <x:row r="713">
      <x:c r="A713" t="str">
        <x:v>DW-0708</x:v>
      </x:c>
      <x:c r="B713" t="str">
        <x:v>DW-0708</x:v>
      </x:c>
      <x:c r="C713" t="str">
        <x:v>Parent historique</x:v>
      </x:c>
      <x:c r="D713" t="str">
        <x:v>commerce</x:v>
      </x:c>
      <x:c r="E713" t="str">
        <x:v>Hôtel — variante 04</x:v>
      </x:c>
      <x:c r="F713" t="n">
        <x:v>8</x:v>
      </x:c>
      <x:c r="G713" t="n">
        <x:v>6</x:v>
      </x:c>
      <x:c r="H713" t="n">
        <x:v>0</x:v>
      </x:c>
      <x:c r="I713" t="str">
        <x:v>À qualifier par lieu</x:v>
      </x:c>
      <x:c r="J713" t="str">
        <x:v>https://github.com/darknigthmare/deadwall-last-enclosure/blob/e28f46223e73105ab2c5d83f3d50b99b58ef53e6/codex-3000/originaux/DEADWALL_CODEX_SUPPLEMENT_1.23/FICHES_501_1000/DW-0708.md</x:v>
      </x:c>
      <x:c r="K713" t="str">
        <x:v>Source min 55,18 m ; max 55,18 m ; modèle 55 × 22 m ; niveaux 0. Détails dans catalogue-existant.json.</x:v>
      </x:c>
    </x:row>
    <x:row r="714">
      <x:c r="A714" t="str">
        <x:v>DW-0709</x:v>
      </x:c>
      <x:c r="B714" t="str">
        <x:v>DW-0709</x:v>
      </x:c>
      <x:c r="C714" t="str">
        <x:v>Parent historique</x:v>
      </x:c>
      <x:c r="D714" t="str">
        <x:v>industrie</x:v>
      </x:c>
      <x:c r="E714" t="str">
        <x:v>Scierie — variante 04</x:v>
      </x:c>
      <x:c r="F714" t="n">
        <x:v>8</x:v>
      </x:c>
      <x:c r="G714" t="n">
        <x:v>5</x:v>
      </x:c>
      <x:c r="H714" t="n">
        <x:v>0</x:v>
      </x:c>
      <x:c r="I714" t="str">
        <x:v>À qualifier par lieu</x:v>
      </x:c>
      <x:c r="J714" t="str">
        <x:v>https://github.com/darknigthmare/deadwall-last-enclosure/blob/e28f46223e73105ab2c5d83f3d50b99b58ef53e6/codex-3000/originaux/DEADWALL_CODEX_SUPPLEMENT_1.23/FICHES_501_1000/DW-0709.md</x:v>
      </x:c>
      <x:c r="K714" t="str">
        <x:v>Source min 66,35 m ; max 66,35 m ; modèle 66 × 35 m ; niveaux 0. Détails dans catalogue-existant.json.</x:v>
      </x:c>
    </x:row>
    <x:row r="715">
      <x:c r="A715" t="str">
        <x:v>DW-0710</x:v>
      </x:c>
      <x:c r="B715" t="str">
        <x:v>DW-0710</x:v>
      </x:c>
      <x:c r="C715" t="str">
        <x:v>Parent historique</x:v>
      </x:c>
      <x:c r="D715" t="str">
        <x:v>industrie</x:v>
      </x:c>
      <x:c r="E715" t="str">
        <x:v>Garage automobile — variante 04</x:v>
      </x:c>
      <x:c r="F715" t="n">
        <x:v>8</x:v>
      </x:c>
      <x:c r="G715" t="n">
        <x:v>5</x:v>
      </x:c>
      <x:c r="H715" t="n">
        <x:v>0</x:v>
      </x:c>
      <x:c r="I715" t="str">
        <x:v>À qualifier par lieu</x:v>
      </x:c>
      <x:c r="J715" t="str">
        <x:v>https://github.com/darknigthmare/deadwall-last-enclosure/blob/e28f46223e73105ab2c5d83f3d50b99b58ef53e6/codex-3000/originaux/DEADWALL_CODEX_SUPPLEMENT_1.23/FICHES_501_1000/DW-0710.md</x:v>
      </x:c>
      <x:c r="K715" t="str">
        <x:v>Source min 77,52 m ; max 77,52 m ; modèle 77 × 52 m ; niveaux 0. Détails dans catalogue-existant.json.</x:v>
      </x:c>
    </x:row>
    <x:row r="716">
      <x:c r="A716" t="str">
        <x:v>DW-0711</x:v>
      </x:c>
      <x:c r="B716" t="str">
        <x:v>DW-0711</x:v>
      </x:c>
      <x:c r="C716" t="str">
        <x:v>Parent historique</x:v>
      </x:c>
      <x:c r="D716" t="str">
        <x:v>industrie</x:v>
      </x:c>
      <x:c r="E716" t="str">
        <x:v>Entrepôt logistique — variante 04</x:v>
      </x:c>
      <x:c r="F716" t="n">
        <x:v>8</x:v>
      </x:c>
      <x:c r="G716" t="n">
        <x:v>5</x:v>
      </x:c>
      <x:c r="H716" t="n">
        <x:v>0</x:v>
      </x:c>
      <x:c r="I716" t="str">
        <x:v>À qualifier par lieu</x:v>
      </x:c>
      <x:c r="J716" t="str">
        <x:v>https://github.com/darknigthmare/deadwall-last-enclosure/blob/e28f46223e73105ab2c5d83f3d50b99b58ef53e6/codex-3000/originaux/DEADWALL_CODEX_SUPPLEMENT_1.23/FICHES_501_1000/DW-0711.md</x:v>
      </x:c>
      <x:c r="K716" t="str">
        <x:v>Source min 16,15 m ; max 16,15 m ; modèle 26 × 22 m ; niveaux 0. Détails dans catalogue-existant.json.</x:v>
      </x:c>
    </x:row>
    <x:row r="717">
      <x:c r="A717" t="str">
        <x:v>DW-0712</x:v>
      </x:c>
      <x:c r="B717" t="str">
        <x:v>DW-0712</x:v>
      </x:c>
      <x:c r="C717" t="str">
        <x:v>Parent historique</x:v>
      </x:c>
      <x:c r="D717" t="str">
        <x:v>industrie</x:v>
      </x:c>
      <x:c r="E717" t="str">
        <x:v>Petite usine — variante 04</x:v>
      </x:c>
      <x:c r="F717" t="n">
        <x:v>8</x:v>
      </x:c>
      <x:c r="G717" t="n">
        <x:v>5</x:v>
      </x:c>
      <x:c r="H717" t="n">
        <x:v>0</x:v>
      </x:c>
      <x:c r="I717" t="str">
        <x:v>À qualifier par lieu</x:v>
      </x:c>
      <x:c r="J717" t="str">
        <x:v>https://github.com/darknigthmare/deadwall-last-enclosure/blob/e28f46223e73105ab2c5d83f3d50b99b58ef53e6/codex-3000/originaux/DEADWALL_CODEX_SUPPLEMENT_1.23/FICHES_501_1000/DW-0712.md</x:v>
      </x:c>
      <x:c r="K717" t="str">
        <x:v>Source min 27,32 m ; max 27,32 m ; modèle 27 × 32 m ; niveaux 0. Détails dans catalogue-existant.json.</x:v>
      </x:c>
    </x:row>
    <x:row r="718">
      <x:c r="A718" t="str">
        <x:v>DW-0713</x:v>
      </x:c>
      <x:c r="B718" t="str">
        <x:v>DW-0713</x:v>
      </x:c>
      <x:c r="C718" t="str">
        <x:v>Parent historique</x:v>
      </x:c>
      <x:c r="D718" t="str">
        <x:v>industrie</x:v>
      </x:c>
      <x:c r="E718" t="str">
        <x:v>Carrière — variante 04</x:v>
      </x:c>
      <x:c r="F718" t="n">
        <x:v>8</x:v>
      </x:c>
      <x:c r="G718" t="n">
        <x:v>5</x:v>
      </x:c>
      <x:c r="H718" t="n">
        <x:v>0</x:v>
      </x:c>
      <x:c r="I718" t="str">
        <x:v>À qualifier par lieu</x:v>
      </x:c>
      <x:c r="J718" t="str">
        <x:v>https://github.com/darknigthmare/deadwall-last-enclosure/blob/e28f46223e73105ab2c5d83f3d50b99b58ef53e6/codex-3000/originaux/DEADWALL_CODEX_SUPPLEMENT_1.23/FICHES_501_1000/DW-0713.md</x:v>
      </x:c>
      <x:c r="K718" t="str">
        <x:v>Source min 38,49 m ; max 38,49 m ; modèle 38 × 49 m ; niveaux 0. Détails dans catalogue-existant.json.</x:v>
      </x:c>
    </x:row>
    <x:row r="719">
      <x:c r="A719" t="str">
        <x:v>DW-0714</x:v>
      </x:c>
      <x:c r="B719" t="str">
        <x:v>DW-0714</x:v>
      </x:c>
      <x:c r="C719" t="str">
        <x:v>Parent historique</x:v>
      </x:c>
      <x:c r="D719" t="str">
        <x:v>industrie</x:v>
      </x:c>
      <x:c r="E719" t="str">
        <x:v>Mine — variante 04</x:v>
      </x:c>
      <x:c r="F719" t="n">
        <x:v>8</x:v>
      </x:c>
      <x:c r="G719" t="n">
        <x:v>6</x:v>
      </x:c>
      <x:c r="H719" t="n">
        <x:v>0</x:v>
      </x:c>
      <x:c r="I719" t="str">
        <x:v>À qualifier par lieu</x:v>
      </x:c>
      <x:c r="J719" t="str">
        <x:v>https://github.com/darknigthmare/deadwall-last-enclosure/blob/e28f46223e73105ab2c5d83f3d50b99b58ef53e6/codex-3000/originaux/DEADWALL_CODEX_SUPPLEMENT_1.23/FICHES_501_1000/DW-0714.md</x:v>
      </x:c>
      <x:c r="K719" t="str">
        <x:v>Source min 49,12 m ; max 49,12 m ; modèle 49 × 22 m ; niveaux 0. Détails dans catalogue-existant.json.</x:v>
      </x:c>
    </x:row>
    <x:row r="720">
      <x:c r="A720" t="str">
        <x:v>DW-0715</x:v>
      </x:c>
      <x:c r="B720" t="str">
        <x:v>DW-0715</x:v>
      </x:c>
      <x:c r="C720" t="str">
        <x:v>Parent historique</x:v>
      </x:c>
      <x:c r="D720" t="str">
        <x:v>industrie</x:v>
      </x:c>
      <x:c r="E720" t="str">
        <x:v>Centrale locale — variante 04</x:v>
      </x:c>
      <x:c r="F720" t="n">
        <x:v>8</x:v>
      </x:c>
      <x:c r="G720" t="n">
        <x:v>5</x:v>
      </x:c>
      <x:c r="H720" t="n">
        <x:v>0</x:v>
      </x:c>
      <x:c r="I720" t="str">
        <x:v>À qualifier par lieu</x:v>
      </x:c>
      <x:c r="J720" t="str">
        <x:v>https://github.com/darknigthmare/deadwall-last-enclosure/blob/e28f46223e73105ab2c5d83f3d50b99b58ef53e6/codex-3000/originaux/DEADWALL_CODEX_SUPPLEMENT_1.23/FICHES_501_1000/DW-0715.md</x:v>
      </x:c>
      <x:c r="K720" t="str">
        <x:v>Source min 60,29 m ; max 60,29 m ; modèle 60 × 29 m ; niveaux 0. Détails dans catalogue-existant.json.</x:v>
      </x:c>
    </x:row>
    <x:row r="721">
      <x:c r="A721" t="str">
        <x:v>DW-0716</x:v>
      </x:c>
      <x:c r="B721" t="str">
        <x:v>DW-0716</x:v>
      </x:c>
      <x:c r="C721" t="str">
        <x:v>Parent historique</x:v>
      </x:c>
      <x:c r="D721" t="str">
        <x:v>industrie</x:v>
      </x:c>
      <x:c r="E721" t="str">
        <x:v>Station de pompage — variante 04</x:v>
      </x:c>
      <x:c r="F721" t="n">
        <x:v>8</x:v>
      </x:c>
      <x:c r="G721" t="n">
        <x:v>5</x:v>
      </x:c>
      <x:c r="H721" t="n">
        <x:v>0</x:v>
      </x:c>
      <x:c r="I721" t="str">
        <x:v>À qualifier par lieu</x:v>
      </x:c>
      <x:c r="J721" t="str">
        <x:v>https://github.com/darknigthmare/deadwall-last-enclosure/blob/e28f46223e73105ab2c5d83f3d50b99b58ef53e6/codex-3000/originaux/DEADWALL_CODEX_SUPPLEMENT_1.23/FICHES_501_1000/DW-0716.md</x:v>
      </x:c>
      <x:c r="K721" t="str">
        <x:v>Source min 71,46 m ; max 71,46 m ; modèle 71 × 46 m ; niveaux 0. Détails dans catalogue-existant.json.</x:v>
      </x:c>
    </x:row>
    <x:row r="722">
      <x:c r="A722" t="str">
        <x:v>DW-0717</x:v>
      </x:c>
      <x:c r="B722" t="str">
        <x:v>DW-0717</x:v>
      </x:c>
      <x:c r="C722" t="str">
        <x:v>Parent historique</x:v>
      </x:c>
      <x:c r="D722" t="str">
        <x:v>public</x:v>
      </x:c>
      <x:c r="E722" t="str">
        <x:v>École — variante 04</x:v>
      </x:c>
      <x:c r="F722" t="n">
        <x:v>8</x:v>
      </x:c>
      <x:c r="G722" t="n">
        <x:v>5</x:v>
      </x:c>
      <x:c r="H722" t="n">
        <x:v>0</x:v>
      </x:c>
      <x:c r="I722" t="str">
        <x:v>À qualifier par lieu</x:v>
      </x:c>
      <x:c r="J722" t="str">
        <x:v>https://github.com/darknigthmare/deadwall-last-enclosure/blob/e28f46223e73105ab2c5d83f3d50b99b58ef53e6/codex-3000/originaux/DEADWALL_CODEX_SUPPLEMENT_1.23/FICHES_501_1000/DW-0717.md</x:v>
      </x:c>
      <x:c r="K722" t="str">
        <x:v>Source min 10,9 m ; max 10,9 m ; modèle 26 × 22 m ; niveaux 0, 1. Détails dans catalogue-existant.json.</x:v>
      </x:c>
    </x:row>
    <x:row r="723">
      <x:c r="A723" t="str">
        <x:v>DW-0718</x:v>
      </x:c>
      <x:c r="B723" t="str">
        <x:v>DW-0718</x:v>
      </x:c>
      <x:c r="C723" t="str">
        <x:v>Parent historique</x:v>
      </x:c>
      <x:c r="D723" t="str">
        <x:v>public</x:v>
      </x:c>
      <x:c r="E723" t="str">
        <x:v>Mairie — variante 04</x:v>
      </x:c>
      <x:c r="F723" t="n">
        <x:v>8</x:v>
      </x:c>
      <x:c r="G723" t="n">
        <x:v>5</x:v>
      </x:c>
      <x:c r="H723" t="n">
        <x:v>0</x:v>
      </x:c>
      <x:c r="I723" t="str">
        <x:v>À qualifier par lieu</x:v>
      </x:c>
      <x:c r="J723" t="str">
        <x:v>https://github.com/darknigthmare/deadwall-last-enclosure/blob/e28f46223e73105ab2c5d83f3d50b99b58ef53e6/codex-3000/originaux/DEADWALL_CODEX_SUPPLEMENT_1.23/FICHES_501_1000/DW-0718.md</x:v>
      </x:c>
      <x:c r="K723" t="str">
        <x:v>Source min 21,26 m ; max 21,26 m ; modèle 26 × 26 m ; niveaux 0. Détails dans catalogue-existant.json.</x:v>
      </x:c>
    </x:row>
    <x:row r="724">
      <x:c r="A724" t="str">
        <x:v>DW-0719</x:v>
      </x:c>
      <x:c r="B724" t="str">
        <x:v>DW-0719</x:v>
      </x:c>
      <x:c r="C724" t="str">
        <x:v>Parent historique</x:v>
      </x:c>
      <x:c r="D724" t="str">
        <x:v>public</x:v>
      </x:c>
      <x:c r="E724" t="str">
        <x:v>Clinique — variante 04</x:v>
      </x:c>
      <x:c r="F724" t="n">
        <x:v>8</x:v>
      </x:c>
      <x:c r="G724" t="n">
        <x:v>6</x:v>
      </x:c>
      <x:c r="H724" t="n">
        <x:v>0</x:v>
      </x:c>
      <x:c r="I724" t="str">
        <x:v>À qualifier par lieu</x:v>
      </x:c>
      <x:c r="J724" t="str">
        <x:v>https://github.com/darknigthmare/deadwall-last-enclosure/blob/e28f46223e73105ab2c5d83f3d50b99b58ef53e6/codex-3000/originaux/DEADWALL_CODEX_SUPPLEMENT_1.23/FICHES_501_1000/DW-0719.md</x:v>
      </x:c>
      <x:c r="K724" t="str">
        <x:v>Source min 32,43 m ; max 32,43 m ; modèle 32 × 43 m ; niveaux 0. Détails dans catalogue-existant.json.</x:v>
      </x:c>
    </x:row>
    <x:row r="725">
      <x:c r="A725" t="str">
        <x:v>DW-0720</x:v>
      </x:c>
      <x:c r="B725" t="str">
        <x:v>DW-0720</x:v>
      </x:c>
      <x:c r="C725" t="str">
        <x:v>Parent historique</x:v>
      </x:c>
      <x:c r="D725" t="str">
        <x:v>public</x:v>
      </x:c>
      <x:c r="E725" t="str">
        <x:v>Caserne de pompiers — variante 04</x:v>
      </x:c>
      <x:c r="F725" t="n">
        <x:v>8</x:v>
      </x:c>
      <x:c r="G725" t="n">
        <x:v>6</x:v>
      </x:c>
      <x:c r="H725" t="n">
        <x:v>0</x:v>
      </x:c>
      <x:c r="I725" t="str">
        <x:v>À qualifier par lieu</x:v>
      </x:c>
      <x:c r="J725" t="str">
        <x:v>https://github.com/darknigthmare/deadwall-last-enclosure/blob/e28f46223e73105ab2c5d83f3d50b99b58ef53e6/codex-3000/originaux/DEADWALL_CODEX_SUPPLEMENT_1.23/FICHES_501_1000/DW-0720.md</x:v>
      </x:c>
      <x:c r="K725" t="str">
        <x:v>Source min 43,60 m ; max 43,60 m ; modèle 43 × 60 m ; niveaux 0. Détails dans catalogue-existant.json.</x:v>
      </x:c>
    </x:row>
    <x:row r="726">
      <x:c r="A726" t="str">
        <x:v>DW-0721</x:v>
      </x:c>
      <x:c r="B726" t="str">
        <x:v>DW-0721</x:v>
      </x:c>
      <x:c r="C726" t="str">
        <x:v>Parent historique</x:v>
      </x:c>
      <x:c r="D726" t="str">
        <x:v>public</x:v>
      </x:c>
      <x:c r="E726" t="str">
        <x:v>Poste de police — variante 04</x:v>
      </x:c>
      <x:c r="F726" t="n">
        <x:v>8</x:v>
      </x:c>
      <x:c r="G726" t="n">
        <x:v>5</x:v>
      </x:c>
      <x:c r="H726" t="n">
        <x:v>0</x:v>
      </x:c>
      <x:c r="I726" t="str">
        <x:v>À qualifier par lieu</x:v>
      </x:c>
      <x:c r="J726" t="str">
        <x:v>https://github.com/darknigthmare/deadwall-last-enclosure/blob/e28f46223e73105ab2c5d83f3d50b99b58ef53e6/codex-3000/originaux/DEADWALL_CODEX_SUPPLEMENT_1.23/FICHES_501_1000/DW-0721.md</x:v>
      </x:c>
      <x:c r="K726" t="str">
        <x:v>Source min 54,23 m ; max 54,23 m ; modèle 54 × 23 m ; niveaux 0, 1. Détails dans catalogue-existant.json.</x:v>
      </x:c>
    </x:row>
    <x:row r="727">
      <x:c r="A727" t="str">
        <x:v>DW-0722</x:v>
      </x:c>
      <x:c r="B727" t="str">
        <x:v>DW-0722</x:v>
      </x:c>
      <x:c r="C727" t="str">
        <x:v>Parent historique</x:v>
      </x:c>
      <x:c r="D727" t="str">
        <x:v>public</x:v>
      </x:c>
      <x:c r="E727" t="str">
        <x:v>Bibliothèque — variante 04</x:v>
      </x:c>
      <x:c r="F727" t="n">
        <x:v>8</x:v>
      </x:c>
      <x:c r="G727" t="n">
        <x:v>5</x:v>
      </x:c>
      <x:c r="H727" t="n">
        <x:v>0</x:v>
      </x:c>
      <x:c r="I727" t="str">
        <x:v>À qualifier par lieu</x:v>
      </x:c>
      <x:c r="J727" t="str">
        <x:v>https://github.com/darknigthmare/deadwall-last-enclosure/blob/e28f46223e73105ab2c5d83f3d50b99b58ef53e6/codex-3000/originaux/DEADWALL_CODEX_SUPPLEMENT_1.23/FICHES_501_1000/DW-0722.md</x:v>
      </x:c>
      <x:c r="K727" t="str">
        <x:v>Source min 65,40 m ; max 65,40 m ; modèle 65 × 40 m ; niveaux 0. Détails dans catalogue-existant.json.</x:v>
      </x:c>
    </x:row>
    <x:row r="728">
      <x:c r="A728" t="str">
        <x:v>DW-0723</x:v>
      </x:c>
      <x:c r="B728" t="str">
        <x:v>DW-0723</x:v>
      </x:c>
      <x:c r="C728" t="str">
        <x:v>Parent historique</x:v>
      </x:c>
      <x:c r="D728" t="str">
        <x:v>public</x:v>
      </x:c>
      <x:c r="E728" t="str">
        <x:v>Salle des fêtes — variante 04</x:v>
      </x:c>
      <x:c r="F728" t="n">
        <x:v>8</x:v>
      </x:c>
      <x:c r="G728" t="n">
        <x:v>5</x:v>
      </x:c>
      <x:c r="H728" t="n">
        <x:v>0</x:v>
      </x:c>
      <x:c r="I728" t="str">
        <x:v>À qualifier par lieu</x:v>
      </x:c>
      <x:c r="J728" t="str">
        <x:v>https://github.com/darknigthmare/deadwall-last-enclosure/blob/e28f46223e73105ab2c5d83f3d50b99b58ef53e6/codex-3000/originaux/DEADWALL_CODEX_SUPPLEMENT_1.23/FICHES_501_1000/DW-0723.md</x:v>
      </x:c>
      <x:c r="K728" t="str">
        <x:v>Source min 76,57 m ; max 76,57 m ; modèle 76 × 57 m ; niveaux 0. Détails dans catalogue-existant.json.</x:v>
      </x:c>
    </x:row>
    <x:row r="729">
      <x:c r="A729" t="str">
        <x:v>DW-0724</x:v>
      </x:c>
      <x:c r="B729" t="str">
        <x:v>DW-0724</x:v>
      </x:c>
      <x:c r="C729" t="str">
        <x:v>Parent historique</x:v>
      </x:c>
      <x:c r="D729" t="str">
        <x:v>public</x:v>
      </x:c>
      <x:c r="E729" t="str">
        <x:v>Église et presbytère — variante 04</x:v>
      </x:c>
      <x:c r="F729" t="n">
        <x:v>8</x:v>
      </x:c>
      <x:c r="G729" t="n">
        <x:v>5</x:v>
      </x:c>
      <x:c r="H729" t="n">
        <x:v>0</x:v>
      </x:c>
      <x:c r="I729" t="str">
        <x:v>À qualifier par lieu</x:v>
      </x:c>
      <x:c r="J729" t="str">
        <x:v>https://github.com/darknigthmare/deadwall-last-enclosure/blob/e28f46223e73105ab2c5d83f3d50b99b58ef53e6/codex-3000/originaux/DEADWALL_CODEX_SUPPLEMENT_1.23/FICHES_501_1000/DW-0724.md</x:v>
      </x:c>
      <x:c r="K729" t="str">
        <x:v>Source min 15,20 m ; max 15,20 m ; modèle 26 × 22 m ; niveaux 0. Détails dans catalogue-existant.json.</x:v>
      </x:c>
    </x:row>
    <x:row r="730">
      <x:c r="A730" t="str">
        <x:v>DW-0725</x:v>
      </x:c>
      <x:c r="B730" t="str">
        <x:v>DW-0725</x:v>
      </x:c>
      <x:c r="C730" t="str">
        <x:v>Parent historique</x:v>
      </x:c>
      <x:c r="D730" t="str">
        <x:v>rural</x:v>
      </x:c>
      <x:c r="E730" t="str">
        <x:v>Hameau agricole — variante 04</x:v>
      </x:c>
      <x:c r="F730" t="n">
        <x:v>8</x:v>
      </x:c>
      <x:c r="G730" t="n">
        <x:v>6</x:v>
      </x:c>
      <x:c r="H730" t="n">
        <x:v>0</x:v>
      </x:c>
      <x:c r="I730" t="str">
        <x:v>À qualifier par lieu</x:v>
      </x:c>
      <x:c r="J730" t="str">
        <x:v>https://github.com/darknigthmare/deadwall-last-enclosure/blob/e28f46223e73105ab2c5d83f3d50b99b58ef53e6/codex-3000/originaux/DEADWALL_CODEX_SUPPLEMENT_1.23/FICHES_501_1000/DW-0725.md</x:v>
      </x:c>
      <x:c r="K730" t="str">
        <x:v>Source min 26,37 m ; max 26,37 m ; modèle 28 × 37 m ; niveaux 0. Détails dans catalogue-existant.json.</x:v>
      </x:c>
    </x:row>
    <x:row r="731">
      <x:c r="A731" t="str">
        <x:v>DW-0726</x:v>
      </x:c>
      <x:c r="B731" t="str">
        <x:v>DW-0726</x:v>
      </x:c>
      <x:c r="C731" t="str">
        <x:v>Parent historique</x:v>
      </x:c>
      <x:c r="D731" t="str">
        <x:v>rural</x:v>
      </x:c>
      <x:c r="E731" t="str">
        <x:v>Cabane forestière — variante 04</x:v>
      </x:c>
      <x:c r="F731" t="n">
        <x:v>8</x:v>
      </x:c>
      <x:c r="G731" t="n">
        <x:v>4</x:v>
      </x:c>
      <x:c r="H731" t="n">
        <x:v>0</x:v>
      </x:c>
      <x:c r="I731" t="str">
        <x:v>À qualifier par lieu</x:v>
      </x:c>
      <x:c r="J731" t="str">
        <x:v>https://github.com/darknigthmare/deadwall-last-enclosure/blob/e28f46223e73105ab2c5d83f3d50b99b58ef53e6/codex-3000/originaux/DEADWALL_CODEX_SUPPLEMENT_1.23/FICHES_501_1000/DW-0726.md</x:v>
      </x:c>
      <x:c r="K731" t="str">
        <x:v>Source min 37,54 m ; max 37,54 m ; modèle 37 × 54 m ; niveaux 0. Détails dans catalogue-existant.json.</x:v>
      </x:c>
    </x:row>
    <x:row r="732">
      <x:c r="A732" t="str">
        <x:v>DW-0727</x:v>
      </x:c>
      <x:c r="B732" t="str">
        <x:v>DW-0727</x:v>
      </x:c>
      <x:c r="C732" t="str">
        <x:v>Parent historique</x:v>
      </x:c>
      <x:c r="D732" t="str">
        <x:v>rural</x:v>
      </x:c>
      <x:c r="E732" t="str">
        <x:v>Dépôt forestier — variante 04</x:v>
      </x:c>
      <x:c r="F732" t="n">
        <x:v>8</x:v>
      </x:c>
      <x:c r="G732" t="n">
        <x:v>5</x:v>
      </x:c>
      <x:c r="H732" t="n">
        <x:v>0</x:v>
      </x:c>
      <x:c r="I732" t="str">
        <x:v>À qualifier par lieu</x:v>
      </x:c>
      <x:c r="J732" t="str">
        <x:v>https://github.com/darknigthmare/deadwall-last-enclosure/blob/e28f46223e73105ab2c5d83f3d50b99b58ef53e6/codex-3000/originaux/DEADWALL_CODEX_SUPPLEMENT_1.23/FICHES_501_1000/DW-0727.md</x:v>
      </x:c>
      <x:c r="K732" t="str">
        <x:v>Source min 48,17 m ; max 48,17 m ; modèle 48 × 22 m ; niveaux 0. Détails dans catalogue-existant.json.</x:v>
      </x:c>
    </x:row>
    <x:row r="733">
      <x:c r="A733" t="str">
        <x:v>DW-0728</x:v>
      </x:c>
      <x:c r="B733" t="str">
        <x:v>DW-0728</x:v>
      </x:c>
      <x:c r="C733" t="str">
        <x:v>Parent historique</x:v>
      </x:c>
      <x:c r="D733" t="str">
        <x:v>rural</x:v>
      </x:c>
      <x:c r="E733" t="str">
        <x:v>Ferme céréalière — variante 04</x:v>
      </x:c>
      <x:c r="F733" t="n">
        <x:v>8</x:v>
      </x:c>
      <x:c r="G733" t="n">
        <x:v>5</x:v>
      </x:c>
      <x:c r="H733" t="n">
        <x:v>0</x:v>
      </x:c>
      <x:c r="I733" t="str">
        <x:v>À qualifier par lieu</x:v>
      </x:c>
      <x:c r="J733" t="str">
        <x:v>https://github.com/darknigthmare/deadwall-last-enclosure/blob/e28f46223e73105ab2c5d83f3d50b99b58ef53e6/codex-3000/originaux/DEADWALL_CODEX_SUPPLEMENT_1.23/FICHES_501_1000/DW-0728.md</x:v>
      </x:c>
      <x:c r="K733" t="str">
        <x:v>Source min 59,34 m ; max 59,34 m ; modèle 59 × 34 m ; niveaux 0. Détails dans catalogue-existant.json.</x:v>
      </x:c>
    </x:row>
    <x:row r="734">
      <x:c r="A734" t="str">
        <x:v>DW-0729</x:v>
      </x:c>
      <x:c r="B734" t="str">
        <x:v>DW-0729</x:v>
      </x:c>
      <x:c r="C734" t="str">
        <x:v>Parent historique</x:v>
      </x:c>
      <x:c r="D734" t="str">
        <x:v>rural</x:v>
      </x:c>
      <x:c r="E734" t="str">
        <x:v>Ferme d'élevage — variante 04</x:v>
      </x:c>
      <x:c r="F734" t="n">
        <x:v>8</x:v>
      </x:c>
      <x:c r="G734" t="n">
        <x:v>5</x:v>
      </x:c>
      <x:c r="H734" t="n">
        <x:v>0</x:v>
      </x:c>
      <x:c r="I734" t="str">
        <x:v>À qualifier par lieu</x:v>
      </x:c>
      <x:c r="J734" t="str">
        <x:v>https://github.com/darknigthmare/deadwall-last-enclosure/blob/e28f46223e73105ab2c5d83f3d50b99b58ef53e6/codex-3000/originaux/DEADWALL_CODEX_SUPPLEMENT_1.23/FICHES_501_1000/DW-0729.md</x:v>
      </x:c>
      <x:c r="K734" t="str">
        <x:v>Source min 70,51 m ; max 70,51 m ; modèle 70 × 51 m ; niveaux 0. Détails dans catalogue-existant.json.</x:v>
      </x:c>
    </x:row>
    <x:row r="735">
      <x:c r="A735" t="str">
        <x:v>DW-0730</x:v>
      </x:c>
      <x:c r="B735" t="str">
        <x:v>DW-0730</x:v>
      </x:c>
      <x:c r="C735" t="str">
        <x:v>Parent historique</x:v>
      </x:c>
      <x:c r="D735" t="str">
        <x:v>rural</x:v>
      </x:c>
      <x:c r="E735" t="str">
        <x:v>Relais de chasse — variante 04</x:v>
      </x:c>
      <x:c r="F735" t="n">
        <x:v>8</x:v>
      </x:c>
      <x:c r="G735" t="n">
        <x:v>4</x:v>
      </x:c>
      <x:c r="H735" t="n">
        <x:v>0</x:v>
      </x:c>
      <x:c r="I735" t="str">
        <x:v>À qualifier par lieu</x:v>
      </x:c>
      <x:c r="J735" t="str">
        <x:v>https://github.com/darknigthmare/deadwall-last-enclosure/blob/e28f46223e73105ab2c5d83f3d50b99b58ef53e6/codex-3000/originaux/DEADWALL_CODEX_SUPPLEMENT_1.23/FICHES_501_1000/DW-0730.md</x:v>
      </x:c>
      <x:c r="K735" t="str">
        <x:v>Source min 81,14 m ; max 81,14 m ; modèle 78 × 18 m ; niveaux 0. Détails dans catalogue-existant.json.</x:v>
      </x:c>
    </x:row>
    <x:row r="736">
      <x:c r="A736" t="str">
        <x:v>DW-0731</x:v>
      </x:c>
      <x:c r="B736" t="str">
        <x:v>DW-0731</x:v>
      </x:c>
      <x:c r="C736" t="str">
        <x:v>Parent historique</x:v>
      </x:c>
      <x:c r="D736" t="str">
        <x:v>rural</x:v>
      </x:c>
      <x:c r="E736" t="str">
        <x:v>Moulin rural — variante 04</x:v>
      </x:c>
      <x:c r="F736" t="n">
        <x:v>8</x:v>
      </x:c>
      <x:c r="G736" t="n">
        <x:v>4</x:v>
      </x:c>
      <x:c r="H736" t="n">
        <x:v>0</x:v>
      </x:c>
      <x:c r="I736" t="str">
        <x:v>À qualifier par lieu</x:v>
      </x:c>
      <x:c r="J736" t="str">
        <x:v>https://github.com/darknigthmare/deadwall-last-enclosure/blob/e28f46223e73105ab2c5d83f3d50b99b58ef53e6/codex-3000/originaux/DEADWALL_CODEX_SUPPLEMENT_1.23/FICHES_501_1000/DW-0731.md</x:v>
      </x:c>
      <x:c r="K736" t="str">
        <x:v>Source min 20,31 m ; max 20,31 m ; modèle 25 × 31 m ; niveaux 0. Détails dans catalogue-existant.json.</x:v>
      </x:c>
    </x:row>
    <x:row r="737">
      <x:c r="A737" t="str">
        <x:v>DW-0732</x:v>
      </x:c>
      <x:c r="B737" t="str">
        <x:v>DW-0732</x:v>
      </x:c>
      <x:c r="C737" t="str">
        <x:v>Parent historique</x:v>
      </x:c>
      <x:c r="D737" t="str">
        <x:v>rural</x:v>
      </x:c>
      <x:c r="E737" t="str">
        <x:v>Serres maraîchères — variante 04</x:v>
      </x:c>
      <x:c r="F737" t="n">
        <x:v>8</x:v>
      </x:c>
      <x:c r="G737" t="n">
        <x:v>5</x:v>
      </x:c>
      <x:c r="H737" t="n">
        <x:v>0</x:v>
      </x:c>
      <x:c r="I737" t="str">
        <x:v>À qualifier par lieu</x:v>
      </x:c>
      <x:c r="J737" t="str">
        <x:v>https://github.com/darknigthmare/deadwall-last-enclosure/blob/e28f46223e73105ab2c5d83f3d50b99b58ef53e6/codex-3000/originaux/DEADWALL_CODEX_SUPPLEMENT_1.23/FICHES_501_1000/DW-0732.md</x:v>
      </x:c>
      <x:c r="K737" t="str">
        <x:v>Source min 31,48 m ; max 31,48 m ; modèle 31 × 48 m ; niveaux 0. Détails dans catalogue-existant.json.</x:v>
      </x:c>
    </x:row>
    <x:row r="738">
      <x:c r="A738" t="str">
        <x:v>DW-0733</x:v>
      </x:c>
      <x:c r="B738" t="str">
        <x:v>DW-0733</x:v>
      </x:c>
      <x:c r="C738" t="str">
        <x:v>Parent historique</x:v>
      </x:c>
      <x:c r="D738" t="str">
        <x:v>militaire</x:v>
      </x:c>
      <x:c r="E738" t="str">
        <x:v>Bunker de défense civile — variante 04</x:v>
      </x:c>
      <x:c r="F738" t="n">
        <x:v>8</x:v>
      </x:c>
      <x:c r="G738" t="n">
        <x:v>6</x:v>
      </x:c>
      <x:c r="H738" t="n">
        <x:v>0</x:v>
      </x:c>
      <x:c r="I738" t="str">
        <x:v>À qualifier par lieu</x:v>
      </x:c>
      <x:c r="J738" t="str">
        <x:v>https://github.com/darknigthmare/deadwall-last-enclosure/blob/e28f46223e73105ab2c5d83f3d50b99b58ef53e6/codex-3000/originaux/DEADWALL_CODEX_SUPPLEMENT_1.23/FICHES_501_1000/DW-0733.md</x:v>
      </x:c>
      <x:c r="K738" t="str">
        <x:v>Source min 42,11 m ; max 42,11 m ; modèle 42 × 22 m ; niveaux 0, 1. Détails dans catalogue-existant.json.</x:v>
      </x:c>
    </x:row>
    <x:row r="739">
      <x:c r="A739" t="str">
        <x:v>DW-0734</x:v>
      </x:c>
      <x:c r="B739" t="str">
        <x:v>DW-0734</x:v>
      </x:c>
      <x:c r="C739" t="str">
        <x:v>Parent historique</x:v>
      </x:c>
      <x:c r="D739" t="str">
        <x:v>militaire</x:v>
      </x:c>
      <x:c r="E739" t="str">
        <x:v>Dépôt militaire — variante 04</x:v>
      </x:c>
      <x:c r="F739" t="n">
        <x:v>8</x:v>
      </x:c>
      <x:c r="G739" t="n">
        <x:v>5</x:v>
      </x:c>
      <x:c r="H739" t="n">
        <x:v>0</x:v>
      </x:c>
      <x:c r="I739" t="str">
        <x:v>À qualifier par lieu</x:v>
      </x:c>
      <x:c r="J739" t="str">
        <x:v>https://github.com/darknigthmare/deadwall-last-enclosure/blob/e28f46223e73105ab2c5d83f3d50b99b58ef53e6/codex-3000/originaux/DEADWALL_CODEX_SUPPLEMENT_1.23/FICHES_501_1000/DW-0734.md</x:v>
      </x:c>
      <x:c r="K739" t="str">
        <x:v>Source min 53,28 m ; max 53,28 m ; modèle 53 × 28 m ; niveaux 0. Détails dans catalogue-existant.json.</x:v>
      </x:c>
    </x:row>
    <x:row r="740">
      <x:c r="A740" t="str">
        <x:v>DW-0735</x:v>
      </x:c>
      <x:c r="B740" t="str">
        <x:v>DW-0735</x:v>
      </x:c>
      <x:c r="C740" t="str">
        <x:v>Parent historique</x:v>
      </x:c>
      <x:c r="D740" t="str">
        <x:v>militaire</x:v>
      </x:c>
      <x:c r="E740" t="str">
        <x:v>Poste de contrôle — variante 04</x:v>
      </x:c>
      <x:c r="F740" t="n">
        <x:v>8</x:v>
      </x:c>
      <x:c r="G740" t="n">
        <x:v>5</x:v>
      </x:c>
      <x:c r="H740" t="n">
        <x:v>0</x:v>
      </x:c>
      <x:c r="I740" t="str">
        <x:v>À qualifier par lieu</x:v>
      </x:c>
      <x:c r="J740" t="str">
        <x:v>https://github.com/darknigthmare/deadwall-last-enclosure/blob/e28f46223e73105ab2c5d83f3d50b99b58ef53e6/codex-3000/originaux/DEADWALL_CODEX_SUPPLEMENT_1.23/FICHES_501_1000/DW-0735.md</x:v>
      </x:c>
      <x:c r="K740" t="str">
        <x:v>Source min 64,45 m ; max 64,45 m ; modèle 64 × 45 m ; niveaux 0. Détails dans catalogue-existant.json.</x:v>
      </x:c>
    </x:row>
    <x:row r="741">
      <x:c r="A741" t="str">
        <x:v>DW-0736</x:v>
      </x:c>
      <x:c r="B741" t="str">
        <x:v>DW-0736</x:v>
      </x:c>
      <x:c r="C741" t="str">
        <x:v>Parent historique</x:v>
      </x:c>
      <x:c r="D741" t="str">
        <x:v>militaire</x:v>
      </x:c>
      <x:c r="E741" t="str">
        <x:v>Camp retranché abandonné — variante 04</x:v>
      </x:c>
      <x:c r="F741" t="n">
        <x:v>8</x:v>
      </x:c>
      <x:c r="G741" t="n">
        <x:v>5</x:v>
      </x:c>
      <x:c r="H741" t="n">
        <x:v>0</x:v>
      </x:c>
      <x:c r="I741" t="str">
        <x:v>À qualifier par lieu</x:v>
      </x:c>
      <x:c r="J741" t="str">
        <x:v>https://github.com/darknigthmare/deadwall-last-enclosure/blob/e28f46223e73105ab2c5d83f3d50b99b58ef53e6/codex-3000/originaux/DEADWALL_CODEX_SUPPLEMENT_1.23/FICHES_501_1000/DW-0736.md</x:v>
      </x:c>
      <x:c r="K741" t="str">
        <x:v>Source min 75,62 m ; max 75,62 m ; modèle 75 × 62 m ; niveaux 0. Détails dans catalogue-existant.json.</x:v>
      </x:c>
    </x:row>
    <x:row r="742">
      <x:c r="A742" t="str">
        <x:v>DW-0737</x:v>
      </x:c>
      <x:c r="B742" t="str">
        <x:v>DW-0737</x:v>
      </x:c>
      <x:c r="C742" t="str">
        <x:v>Parent historique</x:v>
      </x:c>
      <x:c r="D742" t="str">
        <x:v>militaire</x:v>
      </x:c>
      <x:c r="E742" t="str">
        <x:v>Abri ferroviaire — variante 04</x:v>
      </x:c>
      <x:c r="F742" t="n">
        <x:v>8</x:v>
      </x:c>
      <x:c r="G742" t="n">
        <x:v>4</x:v>
      </x:c>
      <x:c r="H742" t="n">
        <x:v>0</x:v>
      </x:c>
      <x:c r="I742" t="str">
        <x:v>À qualifier par lieu</x:v>
      </x:c>
      <x:c r="J742" t="str">
        <x:v>https://github.com/darknigthmare/deadwall-last-enclosure/blob/e28f46223e73105ab2c5d83f3d50b99b58ef53e6/codex-3000/originaux/DEADWALL_CODEX_SUPPLEMENT_1.23/FICHES_501_1000/DW-0737.md</x:v>
      </x:c>
      <x:c r="K742" t="str">
        <x:v>Source min 14,25 m ; max 14,25 m ; modèle 25 × 25 m ; niveaux 0. Détails dans catalogue-existant.json.</x:v>
      </x:c>
    </x:row>
    <x:row r="743">
      <x:c r="A743" t="str">
        <x:v>DW-0738</x:v>
      </x:c>
      <x:c r="B743" t="str">
        <x:v>DW-0738</x:v>
      </x:c>
      <x:c r="C743" t="str">
        <x:v>Parent historique</x:v>
      </x:c>
      <x:c r="D743" t="str">
        <x:v>militaire</x:v>
      </x:c>
      <x:c r="E743" t="str">
        <x:v>Site radar — variante 04</x:v>
      </x:c>
      <x:c r="F743" t="n">
        <x:v>8</x:v>
      </x:c>
      <x:c r="G743" t="n">
        <x:v>5</x:v>
      </x:c>
      <x:c r="H743" t="n">
        <x:v>0</x:v>
      </x:c>
      <x:c r="I743" t="str">
        <x:v>À qualifier par lieu</x:v>
      </x:c>
      <x:c r="J743" t="str">
        <x:v>https://github.com/darknigthmare/deadwall-last-enclosure/blob/e28f46223e73105ab2c5d83f3d50b99b58ef53e6/codex-3000/originaux/DEADWALL_CODEX_SUPPLEMENT_1.23/FICHES_501_1000/DW-0738.md</x:v>
      </x:c>
      <x:c r="K743" t="str">
        <x:v>Source min 25,42 m ; max 25,42 m ; modèle 26 × 42 m ; niveaux 0. Détails dans catalogue-existant.json.</x:v>
      </x:c>
    </x:row>
    <x:row r="744">
      <x:c r="A744" t="str">
        <x:v>DW-0739</x:v>
      </x:c>
      <x:c r="B744" t="str">
        <x:v>DW-0739</x:v>
      </x:c>
      <x:c r="C744" t="str">
        <x:v>Parent historique</x:v>
      </x:c>
      <x:c r="D744" t="str">
        <x:v>militaire</x:v>
      </x:c>
      <x:c r="E744" t="str">
        <x:v>Batterie côtière — variante 04</x:v>
      </x:c>
      <x:c r="F744" t="n">
        <x:v>8</x:v>
      </x:c>
      <x:c r="G744" t="n">
        <x:v>4</x:v>
      </x:c>
      <x:c r="H744" t="n">
        <x:v>0</x:v>
      </x:c>
      <x:c r="I744" t="str">
        <x:v>À qualifier par lieu</x:v>
      </x:c>
      <x:c r="J744" t="str">
        <x:v>https://github.com/darknigthmare/deadwall-last-enclosure/blob/e28f46223e73105ab2c5d83f3d50b99b58ef53e6/codex-3000/originaux/DEADWALL_CODEX_SUPPLEMENT_1.23/FICHES_501_1000/DW-0739.md</x:v>
      </x:c>
      <x:c r="K744" t="str">
        <x:v>Source min 36,59 m ; max 36,59 m ; modèle 36 × 59 m ; niveaux 0. Détails dans catalogue-existant.json.</x:v>
      </x:c>
    </x:row>
    <x:row r="745">
      <x:c r="A745" t="str">
        <x:v>DW-0740</x:v>
      </x:c>
      <x:c r="B745" t="str">
        <x:v>DW-0740</x:v>
      </x:c>
      <x:c r="C745" t="str">
        <x:v>Parent historique</x:v>
      </x:c>
      <x:c r="D745" t="str">
        <x:v>militaire</x:v>
      </x:c>
      <x:c r="E745" t="str">
        <x:v>Dépôt carburant sécurisé — variante 04</x:v>
      </x:c>
      <x:c r="F745" t="n">
        <x:v>8</x:v>
      </x:c>
      <x:c r="G745" t="n">
        <x:v>5</x:v>
      </x:c>
      <x:c r="H745" t="n">
        <x:v>0</x:v>
      </x:c>
      <x:c r="I745" t="str">
        <x:v>À qualifier par lieu</x:v>
      </x:c>
      <x:c r="J745" t="str">
        <x:v>https://github.com/darknigthmare/deadwall-last-enclosure/blob/e28f46223e73105ab2c5d83f3d50b99b58ef53e6/codex-3000/originaux/DEADWALL_CODEX_SUPPLEMENT_1.23/FICHES_501_1000/DW-0740.md</x:v>
      </x:c>
      <x:c r="K745" t="str">
        <x:v>Source min 47,22 m ; max 47,22 m ; modèle 47 × 22 m ; niveaux 0. Détails dans catalogue-existant.json.</x:v>
      </x:c>
    </x:row>
    <x:row r="746">
      <x:c r="A746" t="str">
        <x:v>DW-0741</x:v>
      </x:c>
      <x:c r="B746" t="str">
        <x:v>DW-0741</x:v>
      </x:c>
      <x:c r="C746" t="str">
        <x:v>Parent historique</x:v>
      </x:c>
      <x:c r="D746" t="str">
        <x:v>transport</x:v>
      </x:c>
      <x:c r="E746" t="str">
        <x:v>Gare routière — variante 04</x:v>
      </x:c>
      <x:c r="F746" t="n">
        <x:v>8</x:v>
      </x:c>
      <x:c r="G746" t="n">
        <x:v>5</x:v>
      </x:c>
      <x:c r="H746" t="n">
        <x:v>0</x:v>
      </x:c>
      <x:c r="I746" t="str">
        <x:v>À qualifier par lieu</x:v>
      </x:c>
      <x:c r="J746" t="str">
        <x:v>https://github.com/darknigthmare/deadwall-last-enclosure/blob/e28f46223e73105ab2c5d83f3d50b99b58ef53e6/codex-3000/originaux/DEADWALL_CODEX_SUPPLEMENT_1.23/FICHES_501_1000/DW-0741.md</x:v>
      </x:c>
      <x:c r="K746" t="str">
        <x:v>Source min 58,39 m ; max 58,39 m ; modèle 58 × 39 m ; niveaux 0. Détails dans catalogue-existant.json.</x:v>
      </x:c>
    </x:row>
    <x:row r="747">
      <x:c r="A747" t="str">
        <x:v>DW-0742</x:v>
      </x:c>
      <x:c r="B747" t="str">
        <x:v>DW-0742</x:v>
      </x:c>
      <x:c r="C747" t="str">
        <x:v>Parent historique</x:v>
      </x:c>
      <x:c r="D747" t="str">
        <x:v>transport</x:v>
      </x:c>
      <x:c r="E747" t="str">
        <x:v>Dépôt de bus — variante 04</x:v>
      </x:c>
      <x:c r="F747" t="n">
        <x:v>8</x:v>
      </x:c>
      <x:c r="G747" t="n">
        <x:v>5</x:v>
      </x:c>
      <x:c r="H747" t="n">
        <x:v>0</x:v>
      </x:c>
      <x:c r="I747" t="str">
        <x:v>À qualifier par lieu</x:v>
      </x:c>
      <x:c r="J747" t="str">
        <x:v>https://github.com/darknigthmare/deadwall-last-enclosure/blob/e28f46223e73105ab2c5d83f3d50b99b58ef53e6/codex-3000/originaux/DEADWALL_CODEX_SUPPLEMENT_1.23/FICHES_501_1000/DW-0742.md</x:v>
      </x:c>
      <x:c r="K747" t="str">
        <x:v>Source min 69,56 m ; max 69,56 m ; modèle 69 × 56 m ; niveaux 0. Détails dans catalogue-existant.json.</x:v>
      </x:c>
    </x:row>
    <x:row r="748">
      <x:c r="A748" t="str">
        <x:v>DW-0743</x:v>
      </x:c>
      <x:c r="B748" t="str">
        <x:v>DW-0743</x:v>
      </x:c>
      <x:c r="C748" t="str">
        <x:v>Parent historique</x:v>
      </x:c>
      <x:c r="D748" t="str">
        <x:v>transport</x:v>
      </x:c>
      <x:c r="E748" t="str">
        <x:v>Gare ferroviaire — variante 04</x:v>
      </x:c>
      <x:c r="F748" t="n">
        <x:v>8</x:v>
      </x:c>
      <x:c r="G748" t="n">
        <x:v>5</x:v>
      </x:c>
      <x:c r="H748" t="n">
        <x:v>0</x:v>
      </x:c>
      <x:c r="I748" t="str">
        <x:v>À qualifier par lieu</x:v>
      </x:c>
      <x:c r="J748" t="str">
        <x:v>https://github.com/darknigthmare/deadwall-last-enclosure/blob/e28f46223e73105ab2c5d83f3d50b99b58ef53e6/codex-3000/originaux/DEADWALL_CODEX_SUPPLEMENT_1.23/FICHES_501_1000/DW-0743.md</x:v>
      </x:c>
      <x:c r="K748" t="str">
        <x:v>Source min 80,19 m ; max 80,19 m ; modèle 78 × 22 m ; niveaux 0. Détails dans catalogue-existant.json.</x:v>
      </x:c>
    </x:row>
    <x:row r="749">
      <x:c r="A749" t="str">
        <x:v>DW-0744</x:v>
      </x:c>
      <x:c r="B749" t="str">
        <x:v>DW-0744</x:v>
      </x:c>
      <x:c r="C749" t="str">
        <x:v>Parent historique</x:v>
      </x:c>
      <x:c r="D749" t="str">
        <x:v>transport</x:v>
      </x:c>
      <x:c r="E749" t="str">
        <x:v>Aire d'autoroute — variante 04</x:v>
      </x:c>
      <x:c r="F749" t="n">
        <x:v>8</x:v>
      </x:c>
      <x:c r="G749" t="n">
        <x:v>5</x:v>
      </x:c>
      <x:c r="H749" t="n">
        <x:v>0</x:v>
      </x:c>
      <x:c r="I749" t="str">
        <x:v>À qualifier par lieu</x:v>
      </x:c>
      <x:c r="J749" t="str">
        <x:v>https://github.com/darknigthmare/deadwall-last-enclosure/blob/e28f46223e73105ab2c5d83f3d50b99b58ef53e6/codex-3000/originaux/DEADWALL_CODEX_SUPPLEMENT_1.23/FICHES_501_1000/DW-0744.md</x:v>
      </x:c>
      <x:c r="K749" t="str">
        <x:v>Source min 19,36 m ; max 19,36 m ; modèle 26 × 36 m ; niveaux 0. Détails dans catalogue-existant.json.</x:v>
      </x:c>
    </x:row>
    <x:row r="750">
      <x:c r="A750" t="str">
        <x:v>DW-0745</x:v>
      </x:c>
      <x:c r="B750" t="str">
        <x:v>DW-0745</x:v>
      </x:c>
      <x:c r="C750" t="str">
        <x:v>Parent historique</x:v>
      </x:c>
      <x:c r="D750" t="str">
        <x:v>transport</x:v>
      </x:c>
      <x:c r="E750" t="str">
        <x:v>Parking silo — variante 04</x:v>
      </x:c>
      <x:c r="F750" t="n">
        <x:v>8</x:v>
      </x:c>
      <x:c r="G750" t="n">
        <x:v>4</x:v>
      </x:c>
      <x:c r="H750" t="n">
        <x:v>0</x:v>
      </x:c>
      <x:c r="I750" t="str">
        <x:v>À qualifier par lieu</x:v>
      </x:c>
      <x:c r="J750" t="str">
        <x:v>https://github.com/darknigthmare/deadwall-last-enclosure/blob/e28f46223e73105ab2c5d83f3d50b99b58ef53e6/codex-3000/originaux/DEADWALL_CODEX_SUPPLEMENT_1.23/FICHES_501_1000/DW-0745.md</x:v>
      </x:c>
      <x:c r="K750" t="str">
        <x:v>Source min 30,53 m ; max 30,53 m ; modèle 30 × 53 m ; niveaux 0. Détails dans catalogue-existant.json.</x:v>
      </x:c>
    </x:row>
    <x:row r="751">
      <x:c r="A751" t="str">
        <x:v>DW-0746</x:v>
      </x:c>
      <x:c r="B751" t="str">
        <x:v>DW-0746</x:v>
      </x:c>
      <x:c r="C751" t="str">
        <x:v>Parent historique</x:v>
      </x:c>
      <x:c r="D751" t="str">
        <x:v>transport</x:v>
      </x:c>
      <x:c r="E751" t="str">
        <x:v>Terminal poids lourds — variante 04</x:v>
      </x:c>
      <x:c r="F751" t="n">
        <x:v>8</x:v>
      </x:c>
      <x:c r="G751" t="n">
        <x:v>5</x:v>
      </x:c>
      <x:c r="H751" t="n">
        <x:v>0</x:v>
      </x:c>
      <x:c r="I751" t="str">
        <x:v>À qualifier par lieu</x:v>
      </x:c>
      <x:c r="J751" t="str">
        <x:v>https://github.com/darknigthmare/deadwall-last-enclosure/blob/e28f46223e73105ab2c5d83f3d50b99b58ef53e6/codex-3000/originaux/DEADWALL_CODEX_SUPPLEMENT_1.23/FICHES_501_1000/DW-0746.md</x:v>
      </x:c>
      <x:c r="K751" t="str">
        <x:v>Source min 41,16 m ; max 41,16 m ; modèle 41 × 22 m ; niveaux 0. Détails dans catalogue-existant.json.</x:v>
      </x:c>
    </x:row>
    <x:row r="752">
      <x:c r="A752" t="str">
        <x:v>DW-0747</x:v>
      </x:c>
      <x:c r="B752" t="str">
        <x:v>DW-0747</x:v>
      </x:c>
      <x:c r="C752" t="str">
        <x:v>Parent historique</x:v>
      </x:c>
      <x:c r="D752" t="str">
        <x:v>transport</x:v>
      </x:c>
      <x:c r="E752" t="str">
        <x:v>Port de plaisance — variante 04</x:v>
      </x:c>
      <x:c r="F752" t="n">
        <x:v>8</x:v>
      </x:c>
      <x:c r="G752" t="n">
        <x:v>5</x:v>
      </x:c>
      <x:c r="H752" t="n">
        <x:v>0</x:v>
      </x:c>
      <x:c r="I752" t="str">
        <x:v>À qualifier par lieu</x:v>
      </x:c>
      <x:c r="J752" t="str">
        <x:v>https://github.com/darknigthmare/deadwall-last-enclosure/blob/e28f46223e73105ab2c5d83f3d50b99b58ef53e6/codex-3000/originaux/DEADWALL_CODEX_SUPPLEMENT_1.23/FICHES_501_1000/DW-0747.md</x:v>
      </x:c>
      <x:c r="K752" t="str">
        <x:v>Source min 52,33 m ; max 52,33 m ; modèle 52 × 33 m ; niveaux 0. Détails dans catalogue-existant.json.</x:v>
      </x:c>
    </x:row>
    <x:row r="753">
      <x:c r="A753" t="str">
        <x:v>DW-0748</x:v>
      </x:c>
      <x:c r="B753" t="str">
        <x:v>DW-0748</x:v>
      </x:c>
      <x:c r="C753" t="str">
        <x:v>Parent historique</x:v>
      </x:c>
      <x:c r="D753" t="str">
        <x:v>transport</x:v>
      </x:c>
      <x:c r="E753" t="str">
        <x:v>Petit aérodrome — variante 04</x:v>
      </x:c>
      <x:c r="F753" t="n">
        <x:v>8</x:v>
      </x:c>
      <x:c r="G753" t="n">
        <x:v>5</x:v>
      </x:c>
      <x:c r="H753" t="n">
        <x:v>0</x:v>
      </x:c>
      <x:c r="I753" t="str">
        <x:v>À qualifier par lieu</x:v>
      </x:c>
      <x:c r="J753" t="str">
        <x:v>https://github.com/darknigthmare/deadwall-last-enclosure/blob/e28f46223e73105ab2c5d83f3d50b99b58ef53e6/codex-3000/originaux/DEADWALL_CODEX_SUPPLEMENT_1.23/FICHES_501_1000/DW-0748.md</x:v>
      </x:c>
      <x:c r="K753" t="str">
        <x:v>Source min 63,50 m ; max 63,50 m ; modèle 63 × 50 m ; niveaux 0. Détails dans catalogue-existant.json.</x:v>
      </x:c>
    </x:row>
    <x:row r="754">
      <x:c r="A754" t="str">
        <x:v>DW-0749</x:v>
      </x:c>
      <x:c r="B754" t="str">
        <x:v>DW-0749</x:v>
      </x:c>
      <x:c r="C754" t="str">
        <x:v>Parent historique</x:v>
      </x:c>
      <x:c r="D754" t="str">
        <x:v>ruines</x:v>
      </x:c>
      <x:c r="E754" t="str">
        <x:v>Maison incendiée — variante 04</x:v>
      </x:c>
      <x:c r="F754" t="n">
        <x:v>8</x:v>
      </x:c>
      <x:c r="G754" t="n">
        <x:v>3</x:v>
      </x:c>
      <x:c r="H754" t="n">
        <x:v>0</x:v>
      </x:c>
      <x:c r="I754" t="str">
        <x:v>À qualifier par lieu</x:v>
      </x:c>
      <x:c r="J754" t="str">
        <x:v>https://github.com/darknigthmare/deadwall-last-enclosure/blob/e28f46223e73105ab2c5d83f3d50b99b58ef53e6/codex-3000/originaux/DEADWALL_CODEX_SUPPLEMENT_1.23/FICHES_501_1000/DW-0749.md</x:v>
      </x:c>
      <x:c r="K754" t="str">
        <x:v>Source min 74,13 m ; max 74,13 m ; modèle 74 × 18 m ; niveaux 0, 1. Détails dans catalogue-existant.json.</x:v>
      </x:c>
    </x:row>
    <x:row r="755">
      <x:c r="A755" t="str">
        <x:v>DW-0750</x:v>
      </x:c>
      <x:c r="B755" t="str">
        <x:v>DW-0750</x:v>
      </x:c>
      <x:c r="C755" t="str">
        <x:v>Parent historique</x:v>
      </x:c>
      <x:c r="D755" t="str">
        <x:v>ruines</x:v>
      </x:c>
      <x:c r="E755" t="str">
        <x:v>Immeuble éventré — variante 04</x:v>
      </x:c>
      <x:c r="F755" t="n">
        <x:v>8</x:v>
      </x:c>
      <x:c r="G755" t="n">
        <x:v>4</x:v>
      </x:c>
      <x:c r="H755" t="n">
        <x:v>0</x:v>
      </x:c>
      <x:c r="I755" t="str">
        <x:v>À qualifier par lieu</x:v>
      </x:c>
      <x:c r="J755" t="str">
        <x:v>https://github.com/darknigthmare/deadwall-last-enclosure/blob/e28f46223e73105ab2c5d83f3d50b99b58ef53e6/codex-3000/originaux/DEADWALL_CODEX_SUPPLEMENT_1.23/FICHES_501_1000/DW-0750.md</x:v>
      </x:c>
      <x:c r="K755" t="str">
        <x:v>Source min 13,30 m ; max 13,30 m ; modèle 25 × 30 m ; niveaux 0, 1. Détails dans catalogue-existant.json.</x:v>
      </x:c>
    </x:row>
    <x:row r="756">
      <x:c r="A756" t="str">
        <x:v>DW-0751</x:v>
      </x:c>
      <x:c r="B756" t="str">
        <x:v>DW-0751</x:v>
      </x:c>
      <x:c r="C756" t="str">
        <x:v>Parent historique</x:v>
      </x:c>
      <x:c r="D756" t="str">
        <x:v>ruines</x:v>
      </x:c>
      <x:c r="E756" t="str">
        <x:v>Commerce pillé — variante 04</x:v>
      </x:c>
      <x:c r="F756" t="n">
        <x:v>8</x:v>
      </x:c>
      <x:c r="G756" t="n">
        <x:v>4</x:v>
      </x:c>
      <x:c r="H756" t="n">
        <x:v>0</x:v>
      </x:c>
      <x:c r="I756" t="str">
        <x:v>À qualifier par lieu</x:v>
      </x:c>
      <x:c r="J756" t="str">
        <x:v>https://github.com/darknigthmare/deadwall-last-enclosure/blob/e28f46223e73105ab2c5d83f3d50b99b58ef53e6/codex-3000/originaux/DEADWALL_CODEX_SUPPLEMENT_1.23/FICHES_501_1000/DW-0751.md</x:v>
      </x:c>
      <x:c r="K756" t="str">
        <x:v>Source min 24,47 m ; max 24,47 m ; modèle 25 × 47 m ; niveaux 0. Détails dans catalogue-existant.json.</x:v>
      </x:c>
    </x:row>
    <x:row r="757">
      <x:c r="A757" t="str">
        <x:v>DW-0752</x:v>
      </x:c>
      <x:c r="B757" t="str">
        <x:v>DW-0752</x:v>
      </x:c>
      <x:c r="C757" t="str">
        <x:v>Parent historique</x:v>
      </x:c>
      <x:c r="D757" t="str">
        <x:v>ruines</x:v>
      </x:c>
      <x:c r="E757" t="str">
        <x:v>Usine sinistrée — variante 04</x:v>
      </x:c>
      <x:c r="F757" t="n">
        <x:v>8</x:v>
      </x:c>
      <x:c r="G757" t="n">
        <x:v>4</x:v>
      </x:c>
      <x:c r="H757" t="n">
        <x:v>0</x:v>
      </x:c>
      <x:c r="I757" t="str">
        <x:v>À qualifier par lieu</x:v>
      </x:c>
      <x:c r="J757" t="str">
        <x:v>https://github.com/darknigthmare/deadwall-last-enclosure/blob/e28f46223e73105ab2c5d83f3d50b99b58ef53e6/codex-3000/originaux/DEADWALL_CODEX_SUPPLEMENT_1.23/FICHES_501_1000/DW-0752.md</x:v>
      </x:c>
      <x:c r="K757" t="str">
        <x:v>Source min 35,10 m ; max 35,10 m ; modèle 35 × 18 m ; niveaux 0. Détails dans catalogue-existant.json.</x:v>
      </x:c>
    </x:row>
    <x:row r="758">
      <x:c r="A758" t="str">
        <x:v>DW-0753</x:v>
      </x:c>
      <x:c r="B758" t="str">
        <x:v>DW-0753</x:v>
      </x:c>
      <x:c r="C758" t="str">
        <x:v>Parent historique</x:v>
      </x:c>
      <x:c r="D758" t="str">
        <x:v>ruines</x:v>
      </x:c>
      <x:c r="E758" t="str">
        <x:v>Hôtel abandonné — variante 04</x:v>
      </x:c>
      <x:c r="F758" t="n">
        <x:v>8</x:v>
      </x:c>
      <x:c r="G758" t="n">
        <x:v>5</x:v>
      </x:c>
      <x:c r="H758" t="n">
        <x:v>0</x:v>
      </x:c>
      <x:c r="I758" t="str">
        <x:v>À qualifier par lieu</x:v>
      </x:c>
      <x:c r="J758" t="str">
        <x:v>https://github.com/darknigthmare/deadwall-last-enclosure/blob/e28f46223e73105ab2c5d83f3d50b99b58ef53e6/codex-3000/originaux/DEADWALL_CODEX_SUPPLEMENT_1.23/FICHES_501_1000/DW-0753.md</x:v>
      </x:c>
      <x:c r="K758" t="str">
        <x:v>Source min 46,27 m ; max 46,27 m ; modèle 46 × 27 m ; niveaux 0, 1. Détails dans catalogue-existant.json.</x:v>
      </x:c>
    </x:row>
    <x:row r="759">
      <x:c r="A759" t="str">
        <x:v>DW-0754</x:v>
      </x:c>
      <x:c r="B759" t="str">
        <x:v>DW-0754</x:v>
      </x:c>
      <x:c r="C759" t="str">
        <x:v>Parent historique</x:v>
      </x:c>
      <x:c r="D759" t="str">
        <x:v>ruines</x:v>
      </x:c>
      <x:c r="E759" t="str">
        <x:v>Lotissement ravagé — variante 04</x:v>
      </x:c>
      <x:c r="F759" t="n">
        <x:v>8</x:v>
      </x:c>
      <x:c r="G759" t="n">
        <x:v>4</x:v>
      </x:c>
      <x:c r="H759" t="n">
        <x:v>0</x:v>
      </x:c>
      <x:c r="I759" t="str">
        <x:v>À qualifier par lieu</x:v>
      </x:c>
      <x:c r="J759" t="str">
        <x:v>https://github.com/darknigthmare/deadwall-last-enclosure/blob/e28f46223e73105ab2c5d83f3d50b99b58ef53e6/codex-3000/originaux/DEADWALL_CODEX_SUPPLEMENT_1.23/FICHES_501_1000/DW-0754.md</x:v>
      </x:c>
      <x:c r="K759" t="str">
        <x:v>Source min 57,44 m ; max 57,44 m ; modèle 57 × 44 m ; niveaux 0. Détails dans catalogue-existant.json.</x:v>
      </x:c>
    </x:row>
    <x:row r="760">
      <x:c r="A760" t="str">
        <x:v>DW-0755</x:v>
      </x:c>
      <x:c r="B760" t="str">
        <x:v>DW-0755</x:v>
      </x:c>
      <x:c r="C760" t="str">
        <x:v>Parent historique</x:v>
      </x:c>
      <x:c r="D760" t="str">
        <x:v>ruines</x:v>
      </x:c>
      <x:c r="E760" t="str">
        <x:v>Village déserté — variante 04</x:v>
      </x:c>
      <x:c r="F760" t="n">
        <x:v>8</x:v>
      </x:c>
      <x:c r="G760" t="n">
        <x:v>5</x:v>
      </x:c>
      <x:c r="H760" t="n">
        <x:v>0</x:v>
      </x:c>
      <x:c r="I760" t="str">
        <x:v>À qualifier par lieu</x:v>
      </x:c>
      <x:c r="J760" t="str">
        <x:v>https://github.com/darknigthmare/deadwall-last-enclosure/blob/e28f46223e73105ab2c5d83f3d50b99b58ef53e6/codex-3000/originaux/DEADWALL_CODEX_SUPPLEMENT_1.23/FICHES_501_1000/DW-0755.md</x:v>
      </x:c>
      <x:c r="K760" t="str">
        <x:v>Source min 68,61 m ; max 68,61 m ; modèle 68 × 61 m ; niveaux 0. Détails dans catalogue-existant.json.</x:v>
      </x:c>
    </x:row>
    <x:row r="761">
      <x:c r="A761" t="str">
        <x:v>DW-0756</x:v>
      </x:c>
      <x:c r="B761" t="str">
        <x:v>DW-0756</x:v>
      </x:c>
      <x:c r="C761" t="str">
        <x:v>Parent historique</x:v>
      </x:c>
      <x:c r="D761" t="str">
        <x:v>ruines</x:v>
      </x:c>
      <x:c r="E761" t="str">
        <x:v>Centre commercial effondré — variante 04</x:v>
      </x:c>
      <x:c r="F761" t="n">
        <x:v>8</x:v>
      </x:c>
      <x:c r="G761" t="n">
        <x:v>5</x:v>
      </x:c>
      <x:c r="H761" t="n">
        <x:v>0</x:v>
      </x:c>
      <x:c r="I761" t="str">
        <x:v>À qualifier par lieu</x:v>
      </x:c>
      <x:c r="J761" t="str">
        <x:v>https://github.com/darknigthmare/deadwall-last-enclosure/blob/e28f46223e73105ab2c5d83f3d50b99b58ef53e6/codex-3000/originaux/DEADWALL_CODEX_SUPPLEMENT_1.23/FICHES_501_1000/DW-0756.md</x:v>
      </x:c>
      <x:c r="K761" t="str">
        <x:v>Source min 79,24 m ; max 79,24 m ; modèle 78 × 24 m ; niveaux 0. Détails dans catalogue-existant.json.</x:v>
      </x:c>
    </x:row>
    <x:row r="762">
      <x:c r="A762" t="str">
        <x:v>DW-0757</x:v>
      </x:c>
      <x:c r="B762" t="str">
        <x:v>DW-0757</x:v>
      </x:c>
      <x:c r="C762" t="str">
        <x:v>Parent historique</x:v>
      </x:c>
      <x:c r="D762" t="str">
        <x:v>habitat</x:v>
      </x:c>
      <x:c r="E762" t="str">
        <x:v>Maison de lotissement — variante 05</x:v>
      </x:c>
      <x:c r="F762" t="n">
        <x:v>8</x:v>
      </x:c>
      <x:c r="G762" t="n">
        <x:v>5</x:v>
      </x:c>
      <x:c r="H762" t="n">
        <x:v>0</x:v>
      </x:c>
      <x:c r="I762" t="str">
        <x:v>À qualifier par lieu</x:v>
      </x:c>
      <x:c r="J762" t="str">
        <x:v>https://github.com/darknigthmare/deadwall-last-enclosure/blob/e28f46223e73105ab2c5d83f3d50b99b58ef53e6/codex-3000/originaux/DEADWALL_CODEX_SUPPLEMENT_1.23/FICHES_501_1000/DW-0757.md</x:v>
      </x:c>
      <x:c r="K762" t="str">
        <x:v>Source min 18,41 m ; max 18,41 m ; modèle 26 × 41 m ; niveaux 0, 1. Détails dans catalogue-existant.json.</x:v>
      </x:c>
    </x:row>
    <x:row r="763">
      <x:c r="A763" t="str">
        <x:v>DW-0758</x:v>
      </x:c>
      <x:c r="B763" t="str">
        <x:v>DW-0758</x:v>
      </x:c>
      <x:c r="C763" t="str">
        <x:v>Parent historique</x:v>
      </x:c>
      <x:c r="D763" t="str">
        <x:v>habitat</x:v>
      </x:c>
      <x:c r="E763" t="str">
        <x:v>Maison mitoyenne — variante 05</x:v>
      </x:c>
      <x:c r="F763" t="n">
        <x:v>8</x:v>
      </x:c>
      <x:c r="G763" t="n">
        <x:v>5</x:v>
      </x:c>
      <x:c r="H763" t="n">
        <x:v>0</x:v>
      </x:c>
      <x:c r="I763" t="str">
        <x:v>À qualifier par lieu</x:v>
      </x:c>
      <x:c r="J763" t="str">
        <x:v>https://github.com/darknigthmare/deadwall-last-enclosure/blob/e28f46223e73105ab2c5d83f3d50b99b58ef53e6/codex-3000/originaux/DEADWALL_CODEX_SUPPLEMENT_1.23/FICHES_501_1000/DW-0758.md</x:v>
      </x:c>
      <x:c r="K763" t="str">
        <x:v>Source min 29,58 m ; max 29,58 m ; modèle 29 × 58 m ; niveaux 0. Détails dans catalogue-existant.json.</x:v>
      </x:c>
    </x:row>
    <x:row r="764">
      <x:c r="A764" t="str">
        <x:v>DW-0759</x:v>
      </x:c>
      <x:c r="B764" t="str">
        <x:v>DW-0759</x:v>
      </x:c>
      <x:c r="C764" t="str">
        <x:v>Parent historique</x:v>
      </x:c>
      <x:c r="D764" t="str">
        <x:v>habitat</x:v>
      </x:c>
      <x:c r="E764" t="str">
        <x:v>Villa isolée — variante 05</x:v>
      </x:c>
      <x:c r="F764" t="n">
        <x:v>8</x:v>
      </x:c>
      <x:c r="G764" t="n">
        <x:v>7</x:v>
      </x:c>
      <x:c r="H764" t="n">
        <x:v>0</x:v>
      </x:c>
      <x:c r="I764" t="str">
        <x:v>À qualifier par lieu</x:v>
      </x:c>
      <x:c r="J764" t="str">
        <x:v>https://github.com/darknigthmare/deadwall-last-enclosure/blob/e28f46223e73105ab2c5d83f3d50b99b58ef53e6/codex-3000/originaux/DEADWALL_CODEX_SUPPLEMENT_1.23/FICHES_501_1000/DW-0759.md</x:v>
      </x:c>
      <x:c r="K764" t="str">
        <x:v>Source min 40,21 m ; max 40,21 m ; modèle 40 × 29 m ; niveaux 0. Détails dans catalogue-existant.json.</x:v>
      </x:c>
    </x:row>
    <x:row r="765">
      <x:c r="A765" t="str">
        <x:v>DW-0760</x:v>
      </x:c>
      <x:c r="B765" t="str">
        <x:v>DW-0760</x:v>
      </x:c>
      <x:c r="C765" t="str">
        <x:v>Parent historique</x:v>
      </x:c>
      <x:c r="D765" t="str">
        <x:v>habitat</x:v>
      </x:c>
      <x:c r="E765" t="str">
        <x:v>Ferme familiale — variante 05</x:v>
      </x:c>
      <x:c r="F765" t="n">
        <x:v>8</x:v>
      </x:c>
      <x:c r="G765" t="n">
        <x:v>6</x:v>
      </x:c>
      <x:c r="H765" t="n">
        <x:v>0</x:v>
      </x:c>
      <x:c r="I765" t="str">
        <x:v>À qualifier par lieu</x:v>
      </x:c>
      <x:c r="J765" t="str">
        <x:v>https://github.com/darknigthmare/deadwall-last-enclosure/blob/e28f46223e73105ab2c5d83f3d50b99b58ef53e6/codex-3000/originaux/DEADWALL_CODEX_SUPPLEMENT_1.23/FICHES_501_1000/DW-0760.md</x:v>
      </x:c>
      <x:c r="K765" t="str">
        <x:v>Source min 51,38 m ; max 51,38 m ; modèle 51 × 38 m ; niveaux 0. Détails dans catalogue-existant.json.</x:v>
      </x:c>
    </x:row>
    <x:row r="766">
      <x:c r="A766" t="str">
        <x:v>DW-0761</x:v>
      </x:c>
      <x:c r="B766" t="str">
        <x:v>DW-0761</x:v>
      </x:c>
      <x:c r="C766" t="str">
        <x:v>Parent historique</x:v>
      </x:c>
      <x:c r="D766" t="str">
        <x:v>habitat</x:v>
      </x:c>
      <x:c r="E766" t="str">
        <x:v>Immeuble résidentiel — variante 05</x:v>
      </x:c>
      <x:c r="F766" t="n">
        <x:v>8</x:v>
      </x:c>
      <x:c r="G766" t="n">
        <x:v>5</x:v>
      </x:c>
      <x:c r="H766" t="n">
        <x:v>0</x:v>
      </x:c>
      <x:c r="I766" t="str">
        <x:v>À qualifier par lieu</x:v>
      </x:c>
      <x:c r="J766" t="str">
        <x:v>https://github.com/darknigthmare/deadwall-last-enclosure/blob/e28f46223e73105ab2c5d83f3d50b99b58ef53e6/codex-3000/originaux/DEADWALL_CODEX_SUPPLEMENT_1.23/FICHES_501_1000/DW-0761.md</x:v>
      </x:c>
      <x:c r="K766" t="str">
        <x:v>Source min 62,55 m ; max 62,55 m ; modèle 62 × 55 m ; niveaux 0, 1, 2. Détails dans catalogue-existant.json.</x:v>
      </x:c>
    </x:row>
    <x:row r="767">
      <x:c r="A767" t="str">
        <x:v>DW-0762</x:v>
      </x:c>
      <x:c r="B767" t="str">
        <x:v>DW-0762</x:v>
      </x:c>
      <x:c r="C767" t="str">
        <x:v>Parent historique</x:v>
      </x:c>
      <x:c r="D767" t="str">
        <x:v>habitat</x:v>
      </x:c>
      <x:c r="E767" t="str">
        <x:v>Barre de logements — variante 05</x:v>
      </x:c>
      <x:c r="F767" t="n">
        <x:v>8</x:v>
      </x:c>
      <x:c r="G767" t="n">
        <x:v>5</x:v>
      </x:c>
      <x:c r="H767" t="n">
        <x:v>0</x:v>
      </x:c>
      <x:c r="I767" t="str">
        <x:v>À qualifier par lieu</x:v>
      </x:c>
      <x:c r="J767" t="str">
        <x:v>https://github.com/darknigthmare/deadwall-last-enclosure/blob/e28f46223e73105ab2c5d83f3d50b99b58ef53e6/codex-3000/originaux/DEADWALL_CODEX_SUPPLEMENT_1.23/FICHES_501_1000/DW-0762.md</x:v>
      </x:c>
      <x:c r="K767" t="str">
        <x:v>Source min 73,18 m ; max 73,18 m ; modèle 73 × 22 m ; niveaux 0, 1. Détails dans catalogue-existant.json.</x:v>
      </x:c>
    </x:row>
    <x:row r="768">
      <x:c r="A768" t="str">
        <x:v>DW-0763</x:v>
      </x:c>
      <x:c r="B768" t="str">
        <x:v>DW-0763</x:v>
      </x:c>
      <x:c r="C768" t="str">
        <x:v>Parent historique</x:v>
      </x:c>
      <x:c r="D768" t="str">
        <x:v>habitat</x:v>
      </x:c>
      <x:c r="E768" t="str">
        <x:v>Résidence senior — variante 05</x:v>
      </x:c>
      <x:c r="F768" t="n">
        <x:v>8</x:v>
      </x:c>
      <x:c r="G768" t="n">
        <x:v>5</x:v>
      </x:c>
      <x:c r="H768" t="n">
        <x:v>0</x:v>
      </x:c>
      <x:c r="I768" t="str">
        <x:v>À qualifier par lieu</x:v>
      </x:c>
      <x:c r="J768" t="str">
        <x:v>https://github.com/darknigthmare/deadwall-last-enclosure/blob/e28f46223e73105ab2c5d83f3d50b99b58ef53e6/codex-3000/originaux/DEADWALL_CODEX_SUPPLEMENT_1.23/FICHES_501_1000/DW-0763.md</x:v>
      </x:c>
      <x:c r="K768" t="str">
        <x:v>Source min 12,35 m ; max 12,35 m ; modèle 26 × 35 m ; niveaux 0, 1, 2. Détails dans catalogue-existant.json.</x:v>
      </x:c>
    </x:row>
    <x:row r="769">
      <x:c r="A769" t="str">
        <x:v>DW-0764</x:v>
      </x:c>
      <x:c r="B769" t="str">
        <x:v>DW-0764</x:v>
      </x:c>
      <x:c r="C769" t="str">
        <x:v>Parent historique</x:v>
      </x:c>
      <x:c r="D769" t="str">
        <x:v>habitat</x:v>
      </x:c>
      <x:c r="E769" t="str">
        <x:v>Maison avec sous-sol — variante 05</x:v>
      </x:c>
      <x:c r="F769" t="n">
        <x:v>8</x:v>
      </x:c>
      <x:c r="G769" t="n">
        <x:v>5</x:v>
      </x:c>
      <x:c r="H769" t="n">
        <x:v>0</x:v>
      </x:c>
      <x:c r="I769" t="str">
        <x:v>À qualifier par lieu</x:v>
      </x:c>
      <x:c r="J769" t="str">
        <x:v>https://github.com/darknigthmare/deadwall-last-enclosure/blob/e28f46223e73105ab2c5d83f3d50b99b58ef53e6/codex-3000/originaux/DEADWALL_CODEX_SUPPLEMENT_1.23/FICHES_501_1000/DW-0764.md</x:v>
      </x:c>
      <x:c r="K769" t="str">
        <x:v>Source min 23,52 m ; max 23,52 m ; modèle 26 × 52 m ; niveaux 0. Détails dans catalogue-existant.json.</x:v>
      </x:c>
    </x:row>
    <x:row r="770">
      <x:c r="A770" t="str">
        <x:v>DW-0765</x:v>
      </x:c>
      <x:c r="B770" t="str">
        <x:v>DW-0765</x:v>
      </x:c>
      <x:c r="C770" t="str">
        <x:v>Parent historique</x:v>
      </x:c>
      <x:c r="D770" t="str">
        <x:v>commerce</x:v>
      </x:c>
      <x:c r="E770" t="str">
        <x:v>Supérette — variante 05</x:v>
      </x:c>
      <x:c r="F770" t="n">
        <x:v>8</x:v>
      </x:c>
      <x:c r="G770" t="n">
        <x:v>5</x:v>
      </x:c>
      <x:c r="H770" t="n">
        <x:v>0</x:v>
      </x:c>
      <x:c r="I770" t="str">
        <x:v>À qualifier par lieu</x:v>
      </x:c>
      <x:c r="J770" t="str">
        <x:v>https://github.com/darknigthmare/deadwall-last-enclosure/blob/e28f46223e73105ab2c5d83f3d50b99b58ef53e6/codex-3000/originaux/DEADWALL_CODEX_SUPPLEMENT_1.23/FICHES_501_1000/DW-0765.md</x:v>
      </x:c>
      <x:c r="K770" t="str">
        <x:v>Source min 34,15 m ; max 34,15 m ; modèle 34 × 22 m ; niveaux 0, 1. Détails dans catalogue-existant.json.</x:v>
      </x:c>
    </x:row>
    <x:row r="771">
      <x:c r="A771" t="str">
        <x:v>DW-0766</x:v>
      </x:c>
      <x:c r="B771" t="str">
        <x:v>DW-0766</x:v>
      </x:c>
      <x:c r="C771" t="str">
        <x:v>Parent historique</x:v>
      </x:c>
      <x:c r="D771" t="str">
        <x:v>commerce</x:v>
      </x:c>
      <x:c r="E771" t="str">
        <x:v>Centre commercial — variante 05</x:v>
      </x:c>
      <x:c r="F771" t="n">
        <x:v>8</x:v>
      </x:c>
      <x:c r="G771" t="n">
        <x:v>6</x:v>
      </x:c>
      <x:c r="H771" t="n">
        <x:v>0</x:v>
      </x:c>
      <x:c r="I771" t="str">
        <x:v>À qualifier par lieu</x:v>
      </x:c>
      <x:c r="J771" t="str">
        <x:v>https://github.com/darknigthmare/deadwall-last-enclosure/blob/e28f46223e73105ab2c5d83f3d50b99b58ef53e6/codex-3000/originaux/DEADWALL_CODEX_SUPPLEMENT_1.23/FICHES_501_1000/DW-0766.md</x:v>
      </x:c>
      <x:c r="K771" t="str">
        <x:v>Source min 45,32 m ; max 45,32 m ; modèle 45 × 32 m ; niveaux 0. Détails dans catalogue-existant.json.</x:v>
      </x:c>
    </x:row>
    <x:row r="772">
      <x:c r="A772" t="str">
        <x:v>DW-0767</x:v>
      </x:c>
      <x:c r="B772" t="str">
        <x:v>DW-0767</x:v>
      </x:c>
      <x:c r="C772" t="str">
        <x:v>Parent historique</x:v>
      </x:c>
      <x:c r="D772" t="str">
        <x:v>commerce</x:v>
      </x:c>
      <x:c r="E772" t="str">
        <x:v>Supermarché — variante 05</x:v>
      </x:c>
      <x:c r="F772" t="n">
        <x:v>8</x:v>
      </x:c>
      <x:c r="G772" t="n">
        <x:v>7</x:v>
      </x:c>
      <x:c r="H772" t="n">
        <x:v>0</x:v>
      </x:c>
      <x:c r="I772" t="str">
        <x:v>À qualifier par lieu</x:v>
      </x:c>
      <x:c r="J772" t="str">
        <x:v>https://github.com/darknigthmare/deadwall-last-enclosure/blob/e28f46223e73105ab2c5d83f3d50b99b58ef53e6/codex-3000/originaux/DEADWALL_CODEX_SUPPLEMENT_1.23/FICHES_501_1000/DW-0767.md</x:v>
      </x:c>
      <x:c r="K772" t="str">
        <x:v>Source min 56,49 m ; max 56,49 m ; modèle 56 × 49 m ; niveaux 0. Détails dans catalogue-existant.json.</x:v>
      </x:c>
    </x:row>
    <x:row r="773">
      <x:c r="A773" t="str">
        <x:v>DW-0768</x:v>
      </x:c>
      <x:c r="B773" t="str">
        <x:v>DW-0768</x:v>
      </x:c>
      <x:c r="C773" t="str">
        <x:v>Parent historique</x:v>
      </x:c>
      <x:c r="D773" t="str">
        <x:v>commerce</x:v>
      </x:c>
      <x:c r="E773" t="str">
        <x:v>Magasin de bricolage — variante 05</x:v>
      </x:c>
      <x:c r="F773" t="n">
        <x:v>8</x:v>
      </x:c>
      <x:c r="G773" t="n">
        <x:v>5</x:v>
      </x:c>
      <x:c r="H773" t="n">
        <x:v>0</x:v>
      </x:c>
      <x:c r="I773" t="str">
        <x:v>À qualifier par lieu</x:v>
      </x:c>
      <x:c r="J773" t="str">
        <x:v>https://github.com/darknigthmare/deadwall-last-enclosure/blob/e28f46223e73105ab2c5d83f3d50b99b58ef53e6/codex-3000/originaux/DEADWALL_CODEX_SUPPLEMENT_1.23/FICHES_501_1000/DW-0768.md</x:v>
      </x:c>
      <x:c r="K773" t="str">
        <x:v>Source min 67,12 m ; max 67,12 m ; modèle 67 × 22 m ; niveaux 0. Détails dans catalogue-existant.json.</x:v>
      </x:c>
    </x:row>
    <x:row r="774">
      <x:c r="A774" t="str">
        <x:v>DW-0769</x:v>
      </x:c>
      <x:c r="B774" t="str">
        <x:v>DW-0769</x:v>
      </x:c>
      <x:c r="C774" t="str">
        <x:v>Parent historique</x:v>
      </x:c>
      <x:c r="D774" t="str">
        <x:v>commerce</x:v>
      </x:c>
      <x:c r="E774" t="str">
        <x:v>Pharmacie — variante 05</x:v>
      </x:c>
      <x:c r="F774" t="n">
        <x:v>8</x:v>
      </x:c>
      <x:c r="G774" t="n">
        <x:v>4</x:v>
      </x:c>
      <x:c r="H774" t="n">
        <x:v>0</x:v>
      </x:c>
      <x:c r="I774" t="str">
        <x:v>À qualifier par lieu</x:v>
      </x:c>
      <x:c r="J774" t="str">
        <x:v>https://github.com/darknigthmare/deadwall-last-enclosure/blob/e28f46223e73105ab2c5d83f3d50b99b58ef53e6/codex-3000/originaux/DEADWALL_CODEX_SUPPLEMENT_1.23/FICHES_501_1000/DW-0769.md</x:v>
      </x:c>
      <x:c r="K774" t="str">
        <x:v>Source min 78,29 m ; max 78,29 m ; modèle 78 × 29 m ; niveaux 0, 1. Détails dans catalogue-existant.json.</x:v>
      </x:c>
    </x:row>
    <x:row r="775">
      <x:c r="A775" t="str">
        <x:v>DW-0770</x:v>
      </x:c>
      <x:c r="B775" t="str">
        <x:v>DW-0770</x:v>
      </x:c>
      <x:c r="C775" t="str">
        <x:v>Parent historique</x:v>
      </x:c>
      <x:c r="D775" t="str">
        <x:v>commerce</x:v>
      </x:c>
      <x:c r="E775" t="str">
        <x:v>Station-service — variante 05</x:v>
      </x:c>
      <x:c r="F775" t="n">
        <x:v>8</x:v>
      </x:c>
      <x:c r="G775" t="n">
        <x:v>5</x:v>
      </x:c>
      <x:c r="H775" t="n">
        <x:v>0</x:v>
      </x:c>
      <x:c r="I775" t="str">
        <x:v>À qualifier par lieu</x:v>
      </x:c>
      <x:c r="J775" t="str">
        <x:v>https://github.com/darknigthmare/deadwall-last-enclosure/blob/e28f46223e73105ab2c5d83f3d50b99b58ef53e6/codex-3000/originaux/DEADWALL_CODEX_SUPPLEMENT_1.23/FICHES_501_1000/DW-0770.md</x:v>
      </x:c>
      <x:c r="K775" t="str">
        <x:v>Source min 17,46 m ; max 17,46 m ; modèle 26 × 46 m ; niveaux 0. Détails dans catalogue-existant.json.</x:v>
      </x:c>
    </x:row>
    <x:row r="776">
      <x:c r="A776" t="str">
        <x:v>DW-0771</x:v>
      </x:c>
      <x:c r="B776" t="str">
        <x:v>DW-0771</x:v>
      </x:c>
      <x:c r="C776" t="str">
        <x:v>Parent historique</x:v>
      </x:c>
      <x:c r="D776" t="str">
        <x:v>commerce</x:v>
      </x:c>
      <x:c r="E776" t="str">
        <x:v>Restaurant routier — variante 05</x:v>
      </x:c>
      <x:c r="F776" t="n">
        <x:v>8</x:v>
      </x:c>
      <x:c r="G776" t="n">
        <x:v>5</x:v>
      </x:c>
      <x:c r="H776" t="n">
        <x:v>0</x:v>
      </x:c>
      <x:c r="I776" t="str">
        <x:v>À qualifier par lieu</x:v>
      </x:c>
      <x:c r="J776" t="str">
        <x:v>https://github.com/darknigthmare/deadwall-last-enclosure/blob/e28f46223e73105ab2c5d83f3d50b99b58ef53e6/codex-3000/originaux/DEADWALL_CODEX_SUPPLEMENT_1.23/FICHES_501_1000/DW-0771.md</x:v>
      </x:c>
      <x:c r="K776" t="str">
        <x:v>Source min 28,9 m ; max 28,9 m ; modèle 28 × 22 m ; niveaux 0. Détails dans catalogue-existant.json.</x:v>
      </x:c>
    </x:row>
    <x:row r="777">
      <x:c r="A777" t="str">
        <x:v>DW-0772</x:v>
      </x:c>
      <x:c r="B777" t="str">
        <x:v>DW-0772</x:v>
      </x:c>
      <x:c r="C777" t="str">
        <x:v>Parent historique</x:v>
      </x:c>
      <x:c r="D777" t="str">
        <x:v>commerce</x:v>
      </x:c>
      <x:c r="E777" t="str">
        <x:v>Hôtel — variante 05</x:v>
      </x:c>
      <x:c r="F777" t="n">
        <x:v>8</x:v>
      </x:c>
      <x:c r="G777" t="n">
        <x:v>6</x:v>
      </x:c>
      <x:c r="H777" t="n">
        <x:v>0</x:v>
      </x:c>
      <x:c r="I777" t="str">
        <x:v>À qualifier par lieu</x:v>
      </x:c>
      <x:c r="J777" t="str">
        <x:v>https://github.com/darknigthmare/deadwall-last-enclosure/blob/e28f46223e73105ab2c5d83f3d50b99b58ef53e6/codex-3000/originaux/DEADWALL_CODEX_SUPPLEMENT_1.23/FICHES_501_1000/DW-0772.md</x:v>
      </x:c>
      <x:c r="K777" t="str">
        <x:v>Source min 39,26 m ; max 39,26 m ; modèle 39 × 26 m ; niveaux 0. Détails dans catalogue-existant.json.</x:v>
      </x:c>
    </x:row>
    <x:row r="778">
      <x:c r="A778" t="str">
        <x:v>DW-0773</x:v>
      </x:c>
      <x:c r="B778" t="str">
        <x:v>DW-0773</x:v>
      </x:c>
      <x:c r="C778" t="str">
        <x:v>Parent historique</x:v>
      </x:c>
      <x:c r="D778" t="str">
        <x:v>industrie</x:v>
      </x:c>
      <x:c r="E778" t="str">
        <x:v>Scierie — variante 05</x:v>
      </x:c>
      <x:c r="F778" t="n">
        <x:v>8</x:v>
      </x:c>
      <x:c r="G778" t="n">
        <x:v>5</x:v>
      </x:c>
      <x:c r="H778" t="n">
        <x:v>0</x:v>
      </x:c>
      <x:c r="I778" t="str">
        <x:v>À qualifier par lieu</x:v>
      </x:c>
      <x:c r="J778" t="str">
        <x:v>https://github.com/darknigthmare/deadwall-last-enclosure/blob/e28f46223e73105ab2c5d83f3d50b99b58ef53e6/codex-3000/originaux/DEADWALL_CODEX_SUPPLEMENT_1.23/FICHES_501_1000/DW-0773.md</x:v>
      </x:c>
      <x:c r="K778" t="str">
        <x:v>Source min 50,43 m ; max 50,43 m ; modèle 50 × 43 m ; niveaux 0. Détails dans catalogue-existant.json.</x:v>
      </x:c>
    </x:row>
    <x:row r="779">
      <x:c r="A779" t="str">
        <x:v>DW-0774</x:v>
      </x:c>
      <x:c r="B779" t="str">
        <x:v>DW-0774</x:v>
      </x:c>
      <x:c r="C779" t="str">
        <x:v>Parent historique</x:v>
      </x:c>
      <x:c r="D779" t="str">
        <x:v>industrie</x:v>
      </x:c>
      <x:c r="E779" t="str">
        <x:v>Garage automobile — variante 05</x:v>
      </x:c>
      <x:c r="F779" t="n">
        <x:v>8</x:v>
      </x:c>
      <x:c r="G779" t="n">
        <x:v>5</x:v>
      </x:c>
      <x:c r="H779" t="n">
        <x:v>0</x:v>
      </x:c>
      <x:c r="I779" t="str">
        <x:v>À qualifier par lieu</x:v>
      </x:c>
      <x:c r="J779" t="str">
        <x:v>https://github.com/darknigthmare/deadwall-last-enclosure/blob/e28f46223e73105ab2c5d83f3d50b99b58ef53e6/codex-3000/originaux/DEADWALL_CODEX_SUPPLEMENT_1.23/FICHES_501_1000/DW-0774.md</x:v>
      </x:c>
      <x:c r="K779" t="str">
        <x:v>Source min 61,60 m ; max 61,60 m ; modèle 61 × 60 m ; niveaux 0. Détails dans catalogue-existant.json.</x:v>
      </x:c>
    </x:row>
    <x:row r="780">
      <x:c r="A780" t="str">
        <x:v>DW-0775</x:v>
      </x:c>
      <x:c r="B780" t="str">
        <x:v>DW-0775</x:v>
      </x:c>
      <x:c r="C780" t="str">
        <x:v>Parent historique</x:v>
      </x:c>
      <x:c r="D780" t="str">
        <x:v>industrie</x:v>
      </x:c>
      <x:c r="E780" t="str">
        <x:v>Entrepôt logistique — variante 05</x:v>
      </x:c>
      <x:c r="F780" t="n">
        <x:v>8</x:v>
      </x:c>
      <x:c r="G780" t="n">
        <x:v>5</x:v>
      </x:c>
      <x:c r="H780" t="n">
        <x:v>0</x:v>
      </x:c>
      <x:c r="I780" t="str">
        <x:v>À qualifier par lieu</x:v>
      </x:c>
      <x:c r="J780" t="str">
        <x:v>https://github.com/darknigthmare/deadwall-last-enclosure/blob/e28f46223e73105ab2c5d83f3d50b99b58ef53e6/codex-3000/originaux/DEADWALL_CODEX_SUPPLEMENT_1.23/FICHES_501_1000/DW-0775.md</x:v>
      </x:c>
      <x:c r="K780" t="str">
        <x:v>Source min 72,23 m ; max 72,23 m ; modèle 72 × 23 m ; niveaux 0. Détails dans catalogue-existant.json.</x:v>
      </x:c>
    </x:row>
    <x:row r="781">
      <x:c r="A781" t="str">
        <x:v>DW-0776</x:v>
      </x:c>
      <x:c r="B781" t="str">
        <x:v>DW-0776</x:v>
      </x:c>
      <x:c r="C781" t="str">
        <x:v>Parent historique</x:v>
      </x:c>
      <x:c r="D781" t="str">
        <x:v>industrie</x:v>
      </x:c>
      <x:c r="E781" t="str">
        <x:v>Petite usine — variante 05</x:v>
      </x:c>
      <x:c r="F781" t="n">
        <x:v>8</x:v>
      </x:c>
      <x:c r="G781" t="n">
        <x:v>5</x:v>
      </x:c>
      <x:c r="H781" t="n">
        <x:v>0</x:v>
      </x:c>
      <x:c r="I781" t="str">
        <x:v>À qualifier par lieu</x:v>
      </x:c>
      <x:c r="J781" t="str">
        <x:v>https://github.com/darknigthmare/deadwall-last-enclosure/blob/e28f46223e73105ab2c5d83f3d50b99b58ef53e6/codex-3000/originaux/DEADWALL_CODEX_SUPPLEMENT_1.23/FICHES_501_1000/DW-0776.md</x:v>
      </x:c>
      <x:c r="K781" t="str">
        <x:v>Source min 11,40 m ; max 11,40 m ; modèle 26 × 40 m ; niveaux 0. Détails dans catalogue-existant.json.</x:v>
      </x:c>
    </x:row>
    <x:row r="782">
      <x:c r="A782" t="str">
        <x:v>DW-0777</x:v>
      </x:c>
      <x:c r="B782" t="str">
        <x:v>DW-0777</x:v>
      </x:c>
      <x:c r="C782" t="str">
        <x:v>Parent historique</x:v>
      </x:c>
      <x:c r="D782" t="str">
        <x:v>industrie</x:v>
      </x:c>
      <x:c r="E782" t="str">
        <x:v>Carrière — variante 05</x:v>
      </x:c>
      <x:c r="F782" t="n">
        <x:v>8</x:v>
      </x:c>
      <x:c r="G782" t="n">
        <x:v>5</x:v>
      </x:c>
      <x:c r="H782" t="n">
        <x:v>0</x:v>
      </x:c>
      <x:c r="I782" t="str">
        <x:v>À qualifier par lieu</x:v>
      </x:c>
      <x:c r="J782" t="str">
        <x:v>https://github.com/darknigthmare/deadwall-last-enclosure/blob/e28f46223e73105ab2c5d83f3d50b99b58ef53e6/codex-3000/originaux/DEADWALL_CODEX_SUPPLEMENT_1.23/FICHES_501_1000/DW-0777.md</x:v>
      </x:c>
      <x:c r="K782" t="str">
        <x:v>Source min 22,57 m ; max 22,57 m ; modèle 26 × 57 m ; niveaux 0. Détails dans catalogue-existant.json.</x:v>
      </x:c>
    </x:row>
    <x:row r="783">
      <x:c r="A783" t="str">
        <x:v>DW-0778</x:v>
      </x:c>
      <x:c r="B783" t="str">
        <x:v>DW-0778</x:v>
      </x:c>
      <x:c r="C783" t="str">
        <x:v>Parent historique</x:v>
      </x:c>
      <x:c r="D783" t="str">
        <x:v>industrie</x:v>
      </x:c>
      <x:c r="E783" t="str">
        <x:v>Mine — variante 05</x:v>
      </x:c>
      <x:c r="F783" t="n">
        <x:v>8</x:v>
      </x:c>
      <x:c r="G783" t="n">
        <x:v>6</x:v>
      </x:c>
      <x:c r="H783" t="n">
        <x:v>0</x:v>
      </x:c>
      <x:c r="I783" t="str">
        <x:v>À qualifier par lieu</x:v>
      </x:c>
      <x:c r="J783" t="str">
        <x:v>https://github.com/darknigthmare/deadwall-last-enclosure/blob/e28f46223e73105ab2c5d83f3d50b99b58ef53e6/codex-3000/originaux/DEADWALL_CODEX_SUPPLEMENT_1.23/FICHES_501_1000/DW-0778.md</x:v>
      </x:c>
      <x:c r="K783" t="str">
        <x:v>Source min 33,20 m ; max 33,20 m ; modèle 33 × 22 m ; niveaux 0. Détails dans catalogue-existant.json.</x:v>
      </x:c>
    </x:row>
    <x:row r="784">
      <x:c r="A784" t="str">
        <x:v>DW-0779</x:v>
      </x:c>
      <x:c r="B784" t="str">
        <x:v>DW-0779</x:v>
      </x:c>
      <x:c r="C784" t="str">
        <x:v>Parent historique</x:v>
      </x:c>
      <x:c r="D784" t="str">
        <x:v>industrie</x:v>
      </x:c>
      <x:c r="E784" t="str">
        <x:v>Centrale locale — variante 05</x:v>
      </x:c>
      <x:c r="F784" t="n">
        <x:v>8</x:v>
      </x:c>
      <x:c r="G784" t="n">
        <x:v>5</x:v>
      </x:c>
      <x:c r="H784" t="n">
        <x:v>0</x:v>
      </x:c>
      <x:c r="I784" t="str">
        <x:v>À qualifier par lieu</x:v>
      </x:c>
      <x:c r="J784" t="str">
        <x:v>https://github.com/darknigthmare/deadwall-last-enclosure/blob/e28f46223e73105ab2c5d83f3d50b99b58ef53e6/codex-3000/originaux/DEADWALL_CODEX_SUPPLEMENT_1.23/FICHES_501_1000/DW-0779.md</x:v>
      </x:c>
      <x:c r="K784" t="str">
        <x:v>Source min 44,37 m ; max 44,37 m ; modèle 44 × 37 m ; niveaux 0. Détails dans catalogue-existant.json.</x:v>
      </x:c>
    </x:row>
    <x:row r="785">
      <x:c r="A785" t="str">
        <x:v>DW-0780</x:v>
      </x:c>
      <x:c r="B785" t="str">
        <x:v>DW-0780</x:v>
      </x:c>
      <x:c r="C785" t="str">
        <x:v>Parent historique</x:v>
      </x:c>
      <x:c r="D785" t="str">
        <x:v>industrie</x:v>
      </x:c>
      <x:c r="E785" t="str">
        <x:v>Station de pompage — variante 05</x:v>
      </x:c>
      <x:c r="F785" t="n">
        <x:v>8</x:v>
      </x:c>
      <x:c r="G785" t="n">
        <x:v>5</x:v>
      </x:c>
      <x:c r="H785" t="n">
        <x:v>0</x:v>
      </x:c>
      <x:c r="I785" t="str">
        <x:v>À qualifier par lieu</x:v>
      </x:c>
      <x:c r="J785" t="str">
        <x:v>https://github.com/darknigthmare/deadwall-last-enclosure/blob/e28f46223e73105ab2c5d83f3d50b99b58ef53e6/codex-3000/originaux/DEADWALL_CODEX_SUPPLEMENT_1.23/FICHES_501_1000/DW-0780.md</x:v>
      </x:c>
      <x:c r="K785" t="str">
        <x:v>Source min 55,54 m ; max 55,54 m ; modèle 55 × 54 m ; niveaux 0. Détails dans catalogue-existant.json.</x:v>
      </x:c>
    </x:row>
    <x:row r="786">
      <x:c r="A786" t="str">
        <x:v>DW-0781</x:v>
      </x:c>
      <x:c r="B786" t="str">
        <x:v>DW-0781</x:v>
      </x:c>
      <x:c r="C786" t="str">
        <x:v>Parent historique</x:v>
      </x:c>
      <x:c r="D786" t="str">
        <x:v>public</x:v>
      </x:c>
      <x:c r="E786" t="str">
        <x:v>École — variante 05</x:v>
      </x:c>
      <x:c r="F786" t="n">
        <x:v>8</x:v>
      </x:c>
      <x:c r="G786" t="n">
        <x:v>5</x:v>
      </x:c>
      <x:c r="H786" t="n">
        <x:v>0</x:v>
      </x:c>
      <x:c r="I786" t="str">
        <x:v>À qualifier par lieu</x:v>
      </x:c>
      <x:c r="J786" t="str">
        <x:v>https://github.com/darknigthmare/deadwall-last-enclosure/blob/e28f46223e73105ab2c5d83f3d50b99b58ef53e6/codex-3000/originaux/DEADWALL_CODEX_SUPPLEMENT_1.23/FICHES_501_1000/DW-0781.md</x:v>
      </x:c>
      <x:c r="K786" t="str">
        <x:v>Source min 66,17 m ; max 66,17 m ; modèle 66 × 22 m ; niveaux 0, 1. Détails dans catalogue-existant.json.</x:v>
      </x:c>
    </x:row>
    <x:row r="787">
      <x:c r="A787" t="str">
        <x:v>DW-0782</x:v>
      </x:c>
      <x:c r="B787" t="str">
        <x:v>DW-0782</x:v>
      </x:c>
      <x:c r="C787" t="str">
        <x:v>Parent historique</x:v>
      </x:c>
      <x:c r="D787" t="str">
        <x:v>public</x:v>
      </x:c>
      <x:c r="E787" t="str">
        <x:v>Mairie — variante 05</x:v>
      </x:c>
      <x:c r="F787" t="n">
        <x:v>8</x:v>
      </x:c>
      <x:c r="G787" t="n">
        <x:v>5</x:v>
      </x:c>
      <x:c r="H787" t="n">
        <x:v>0</x:v>
      </x:c>
      <x:c r="I787" t="str">
        <x:v>À qualifier par lieu</x:v>
      </x:c>
      <x:c r="J787" t="str">
        <x:v>https://github.com/darknigthmare/deadwall-last-enclosure/blob/e28f46223e73105ab2c5d83f3d50b99b58ef53e6/codex-3000/originaux/DEADWALL_CODEX_SUPPLEMENT_1.23/FICHES_501_1000/DW-0782.md</x:v>
      </x:c>
      <x:c r="K787" t="str">
        <x:v>Source min 77,34 m ; max 77,34 m ; modèle 77 × 34 m ; niveaux 0. Détails dans catalogue-existant.json.</x:v>
      </x:c>
    </x:row>
    <x:row r="788">
      <x:c r="A788" t="str">
        <x:v>DW-0783</x:v>
      </x:c>
      <x:c r="B788" t="str">
        <x:v>DW-0783</x:v>
      </x:c>
      <x:c r="C788" t="str">
        <x:v>Parent historique</x:v>
      </x:c>
      <x:c r="D788" t="str">
        <x:v>public</x:v>
      </x:c>
      <x:c r="E788" t="str">
        <x:v>Clinique — variante 05</x:v>
      </x:c>
      <x:c r="F788" t="n">
        <x:v>8</x:v>
      </x:c>
      <x:c r="G788" t="n">
        <x:v>6</x:v>
      </x:c>
      <x:c r="H788" t="n">
        <x:v>0</x:v>
      </x:c>
      <x:c r="I788" t="str">
        <x:v>À qualifier par lieu</x:v>
      </x:c>
      <x:c r="J788" t="str">
        <x:v>https://github.com/darknigthmare/deadwall-last-enclosure/blob/e28f46223e73105ab2c5d83f3d50b99b58ef53e6/codex-3000/originaux/DEADWALL_CODEX_SUPPLEMENT_1.23/FICHES_501_1000/DW-0783.md</x:v>
      </x:c>
      <x:c r="K788" t="str">
        <x:v>Source min 16,51 m ; max 16,51 m ; modèle 28 × 51 m ; niveaux 0. Détails dans catalogue-existant.json.</x:v>
      </x:c>
    </x:row>
    <x:row r="789">
      <x:c r="A789" t="str">
        <x:v>DW-0784</x:v>
      </x:c>
      <x:c r="B789" t="str">
        <x:v>DW-0784</x:v>
      </x:c>
      <x:c r="C789" t="str">
        <x:v>Parent historique</x:v>
      </x:c>
      <x:c r="D789" t="str">
        <x:v>public</x:v>
      </x:c>
      <x:c r="E789" t="str">
        <x:v>Caserne de pompiers — variante 05</x:v>
      </x:c>
      <x:c r="F789" t="n">
        <x:v>8</x:v>
      </x:c>
      <x:c r="G789" t="n">
        <x:v>6</x:v>
      </x:c>
      <x:c r="H789" t="n">
        <x:v>0</x:v>
      </x:c>
      <x:c r="I789" t="str">
        <x:v>À qualifier par lieu</x:v>
      </x:c>
      <x:c r="J789" t="str">
        <x:v>https://github.com/darknigthmare/deadwall-last-enclosure/blob/e28f46223e73105ab2c5d83f3d50b99b58ef53e6/codex-3000/originaux/DEADWALL_CODEX_SUPPLEMENT_1.23/FICHES_501_1000/DW-0784.md</x:v>
      </x:c>
      <x:c r="K789" t="str">
        <x:v>Source min 27,14 m ; max 27,14 m ; modèle 28 × 22 m ; niveaux 0. Détails dans catalogue-existant.json.</x:v>
      </x:c>
    </x:row>
    <x:row r="790">
      <x:c r="A790" t="str">
        <x:v>DW-0785</x:v>
      </x:c>
      <x:c r="B790" t="str">
        <x:v>DW-0785</x:v>
      </x:c>
      <x:c r="C790" t="str">
        <x:v>Parent historique</x:v>
      </x:c>
      <x:c r="D790" t="str">
        <x:v>public</x:v>
      </x:c>
      <x:c r="E790" t="str">
        <x:v>Poste de police — variante 05</x:v>
      </x:c>
      <x:c r="F790" t="n">
        <x:v>8</x:v>
      </x:c>
      <x:c r="G790" t="n">
        <x:v>5</x:v>
      </x:c>
      <x:c r="H790" t="n">
        <x:v>0</x:v>
      </x:c>
      <x:c r="I790" t="str">
        <x:v>À qualifier par lieu</x:v>
      </x:c>
      <x:c r="J790" t="str">
        <x:v>https://github.com/darknigthmare/deadwall-last-enclosure/blob/e28f46223e73105ab2c5d83f3d50b99b58ef53e6/codex-3000/originaux/DEADWALL_CODEX_SUPPLEMENT_1.23/FICHES_501_1000/DW-0785.md</x:v>
      </x:c>
      <x:c r="K790" t="str">
        <x:v>Source min 38,31 m ; max 38,31 m ; modèle 38 × 31 m ; niveaux 0, 1. Détails dans catalogue-existant.json.</x:v>
      </x:c>
    </x:row>
    <x:row r="791">
      <x:c r="A791" t="str">
        <x:v>DW-0786</x:v>
      </x:c>
      <x:c r="B791" t="str">
        <x:v>DW-0786</x:v>
      </x:c>
      <x:c r="C791" t="str">
        <x:v>Parent historique</x:v>
      </x:c>
      <x:c r="D791" t="str">
        <x:v>public</x:v>
      </x:c>
      <x:c r="E791" t="str">
        <x:v>Bibliothèque — variante 05</x:v>
      </x:c>
      <x:c r="F791" t="n">
        <x:v>8</x:v>
      </x:c>
      <x:c r="G791" t="n">
        <x:v>5</x:v>
      </x:c>
      <x:c r="H791" t="n">
        <x:v>0</x:v>
      </x:c>
      <x:c r="I791" t="str">
        <x:v>À qualifier par lieu</x:v>
      </x:c>
      <x:c r="J791" t="str">
        <x:v>https://github.com/darknigthmare/deadwall-last-enclosure/blob/e28f46223e73105ab2c5d83f3d50b99b58ef53e6/codex-3000/originaux/DEADWALL_CODEX_SUPPLEMENT_1.23/FICHES_501_1000/DW-0786.md</x:v>
      </x:c>
      <x:c r="K791" t="str">
        <x:v>Source min 49,48 m ; max 49,48 m ; modèle 49 × 48 m ; niveaux 0. Détails dans catalogue-existant.json.</x:v>
      </x:c>
    </x:row>
    <x:row r="792">
      <x:c r="A792" t="str">
        <x:v>DW-0787</x:v>
      </x:c>
      <x:c r="B792" t="str">
        <x:v>DW-0787</x:v>
      </x:c>
      <x:c r="C792" t="str">
        <x:v>Parent historique</x:v>
      </x:c>
      <x:c r="D792" t="str">
        <x:v>public</x:v>
      </x:c>
      <x:c r="E792" t="str">
        <x:v>Salle des fêtes — variante 05</x:v>
      </x:c>
      <x:c r="F792" t="n">
        <x:v>8</x:v>
      </x:c>
      <x:c r="G792" t="n">
        <x:v>5</x:v>
      </x:c>
      <x:c r="H792" t="n">
        <x:v>0</x:v>
      </x:c>
      <x:c r="I792" t="str">
        <x:v>À qualifier par lieu</x:v>
      </x:c>
      <x:c r="J792" t="str">
        <x:v>https://github.com/darknigthmare/deadwall-last-enclosure/blob/e28f46223e73105ab2c5d83f3d50b99b58ef53e6/codex-3000/originaux/DEADWALL_CODEX_SUPPLEMENT_1.23/FICHES_501_1000/DW-0787.md</x:v>
      </x:c>
      <x:c r="K792" t="str">
        <x:v>Source min 60,11 m ; max 60,11 m ; modèle 60 × 22 m ; niveaux 0. Détails dans catalogue-existant.json.</x:v>
      </x:c>
    </x:row>
    <x:row r="793">
      <x:c r="A793" t="str">
        <x:v>DW-0788</x:v>
      </x:c>
      <x:c r="B793" t="str">
        <x:v>DW-0788</x:v>
      </x:c>
      <x:c r="C793" t="str">
        <x:v>Parent historique</x:v>
      </x:c>
      <x:c r="D793" t="str">
        <x:v>public</x:v>
      </x:c>
      <x:c r="E793" t="str">
        <x:v>Église et presbytère — variante 05</x:v>
      </x:c>
      <x:c r="F793" t="n">
        <x:v>8</x:v>
      </x:c>
      <x:c r="G793" t="n">
        <x:v>5</x:v>
      </x:c>
      <x:c r="H793" t="n">
        <x:v>0</x:v>
      </x:c>
      <x:c r="I793" t="str">
        <x:v>À qualifier par lieu</x:v>
      </x:c>
      <x:c r="J793" t="str">
        <x:v>https://github.com/darknigthmare/deadwall-last-enclosure/blob/e28f46223e73105ab2c5d83f3d50b99b58ef53e6/codex-3000/originaux/DEADWALL_CODEX_SUPPLEMENT_1.23/FICHES_501_1000/DW-0788.md</x:v>
      </x:c>
      <x:c r="K793" t="str">
        <x:v>Source min 71,28 m ; max 71,28 m ; modèle 71 × 28 m ; niveaux 0. Détails dans catalogue-existant.json.</x:v>
      </x:c>
    </x:row>
    <x:row r="794">
      <x:c r="A794" t="str">
        <x:v>DW-0789</x:v>
      </x:c>
      <x:c r="B794" t="str">
        <x:v>DW-0789</x:v>
      </x:c>
      <x:c r="C794" t="str">
        <x:v>Parent historique</x:v>
      </x:c>
      <x:c r="D794" t="str">
        <x:v>rural</x:v>
      </x:c>
      <x:c r="E794" t="str">
        <x:v>Hameau agricole — variante 05</x:v>
      </x:c>
      <x:c r="F794" t="n">
        <x:v>8</x:v>
      </x:c>
      <x:c r="G794" t="n">
        <x:v>6</x:v>
      </x:c>
      <x:c r="H794" t="n">
        <x:v>0</x:v>
      </x:c>
      <x:c r="I794" t="str">
        <x:v>À qualifier par lieu</x:v>
      </x:c>
      <x:c r="J794" t="str">
        <x:v>https://github.com/darknigthmare/deadwall-last-enclosure/blob/e28f46223e73105ab2c5d83f3d50b99b58ef53e6/codex-3000/originaux/DEADWALL_CODEX_SUPPLEMENT_1.23/FICHES_501_1000/DW-0789.md</x:v>
      </x:c>
      <x:c r="K794" t="str">
        <x:v>Source min 10,45 m ; max 10,45 m ; modèle 28 × 45 m ; niveaux 0. Détails dans catalogue-existant.json.</x:v>
      </x:c>
    </x:row>
    <x:row r="795">
      <x:c r="A795" t="str">
        <x:v>DW-0790</x:v>
      </x:c>
      <x:c r="B795" t="str">
        <x:v>DW-0790</x:v>
      </x:c>
      <x:c r="C795" t="str">
        <x:v>Parent historique</x:v>
      </x:c>
      <x:c r="D795" t="str">
        <x:v>rural</x:v>
      </x:c>
      <x:c r="E795" t="str">
        <x:v>Cabane forestière — variante 05</x:v>
      </x:c>
      <x:c r="F795" t="n">
        <x:v>8</x:v>
      </x:c>
      <x:c r="G795" t="n">
        <x:v>4</x:v>
      </x:c>
      <x:c r="H795" t="n">
        <x:v>0</x:v>
      </x:c>
      <x:c r="I795" t="str">
        <x:v>À qualifier par lieu</x:v>
      </x:c>
      <x:c r="J795" t="str">
        <x:v>https://github.com/darknigthmare/deadwall-last-enclosure/blob/e28f46223e73105ab2c5d83f3d50b99b58ef53e6/codex-3000/originaux/DEADWALL_CODEX_SUPPLEMENT_1.23/FICHES_501_1000/DW-0790.md</x:v>
      </x:c>
      <x:c r="K795" t="str">
        <x:v>Source min 21,62 m ; max 21,62 m ; modèle 25 × 62 m ; niveaux 0. Détails dans catalogue-existant.json.</x:v>
      </x:c>
    </x:row>
    <x:row r="796">
      <x:c r="A796" t="str">
        <x:v>DW-0791</x:v>
      </x:c>
      <x:c r="B796" t="str">
        <x:v>DW-0791</x:v>
      </x:c>
      <x:c r="C796" t="str">
        <x:v>Parent historique</x:v>
      </x:c>
      <x:c r="D796" t="str">
        <x:v>rural</x:v>
      </x:c>
      <x:c r="E796" t="str">
        <x:v>Dépôt forestier — variante 05</x:v>
      </x:c>
      <x:c r="F796" t="n">
        <x:v>8</x:v>
      </x:c>
      <x:c r="G796" t="n">
        <x:v>5</x:v>
      </x:c>
      <x:c r="H796" t="n">
        <x:v>0</x:v>
      </x:c>
      <x:c r="I796" t="str">
        <x:v>À qualifier par lieu</x:v>
      </x:c>
      <x:c r="J796" t="str">
        <x:v>https://github.com/darknigthmare/deadwall-last-enclosure/blob/e28f46223e73105ab2c5d83f3d50b99b58ef53e6/codex-3000/originaux/DEADWALL_CODEX_SUPPLEMENT_1.23/FICHES_501_1000/DW-0791.md</x:v>
      </x:c>
      <x:c r="K796" t="str">
        <x:v>Source min 32,25 m ; max 32,25 m ; modèle 32 × 25 m ; niveaux 0. Détails dans catalogue-existant.json.</x:v>
      </x:c>
    </x:row>
    <x:row r="797">
      <x:c r="A797" t="str">
        <x:v>DW-0792</x:v>
      </x:c>
      <x:c r="B797" t="str">
        <x:v>DW-0792</x:v>
      </x:c>
      <x:c r="C797" t="str">
        <x:v>Parent historique</x:v>
      </x:c>
      <x:c r="D797" t="str">
        <x:v>rural</x:v>
      </x:c>
      <x:c r="E797" t="str">
        <x:v>Ferme céréalière — variante 05</x:v>
      </x:c>
      <x:c r="F797" t="n">
        <x:v>8</x:v>
      </x:c>
      <x:c r="G797" t="n">
        <x:v>5</x:v>
      </x:c>
      <x:c r="H797" t="n">
        <x:v>0</x:v>
      </x:c>
      <x:c r="I797" t="str">
        <x:v>À qualifier par lieu</x:v>
      </x:c>
      <x:c r="J797" t="str">
        <x:v>https://github.com/darknigthmare/deadwall-last-enclosure/blob/e28f46223e73105ab2c5d83f3d50b99b58ef53e6/codex-3000/originaux/DEADWALL_CODEX_SUPPLEMENT_1.23/FICHES_501_1000/DW-0792.md</x:v>
      </x:c>
      <x:c r="K797" t="str">
        <x:v>Source min 43,42 m ; max 43,42 m ; modèle 43 × 42 m ; niveaux 0. Détails dans catalogue-existant.json.</x:v>
      </x:c>
    </x:row>
    <x:row r="798">
      <x:c r="A798" t="str">
        <x:v>DW-0793</x:v>
      </x:c>
      <x:c r="B798" t="str">
        <x:v>DW-0793</x:v>
      </x:c>
      <x:c r="C798" t="str">
        <x:v>Parent historique</x:v>
      </x:c>
      <x:c r="D798" t="str">
        <x:v>rural</x:v>
      </x:c>
      <x:c r="E798" t="str">
        <x:v>Ferme d'élevage — variante 05</x:v>
      </x:c>
      <x:c r="F798" t="n">
        <x:v>8</x:v>
      </x:c>
      <x:c r="G798" t="n">
        <x:v>5</x:v>
      </x:c>
      <x:c r="H798" t="n">
        <x:v>0</x:v>
      </x:c>
      <x:c r="I798" t="str">
        <x:v>À qualifier par lieu</x:v>
      </x:c>
      <x:c r="J798" t="str">
        <x:v>https://github.com/darknigthmare/deadwall-last-enclosure/blob/e28f46223e73105ab2c5d83f3d50b99b58ef53e6/codex-3000/originaux/DEADWALL_CODEX_SUPPLEMENT_1.23/FICHES_501_1000/DW-0793.md</x:v>
      </x:c>
      <x:c r="K798" t="str">
        <x:v>Source min 54,59 m ; max 54,59 m ; modèle 54 × 59 m ; niveaux 0. Détails dans catalogue-existant.json.</x:v>
      </x:c>
    </x:row>
    <x:row r="799">
      <x:c r="A799" t="str">
        <x:v>DW-0794</x:v>
      </x:c>
      <x:c r="B799" t="str">
        <x:v>DW-0794</x:v>
      </x:c>
      <x:c r="C799" t="str">
        <x:v>Parent historique</x:v>
      </x:c>
      <x:c r="D799" t="str">
        <x:v>rural</x:v>
      </x:c>
      <x:c r="E799" t="str">
        <x:v>Relais de chasse — variante 05</x:v>
      </x:c>
      <x:c r="F799" t="n">
        <x:v>8</x:v>
      </x:c>
      <x:c r="G799" t="n">
        <x:v>4</x:v>
      </x:c>
      <x:c r="H799" t="n">
        <x:v>0</x:v>
      </x:c>
      <x:c r="I799" t="str">
        <x:v>À qualifier par lieu</x:v>
      </x:c>
      <x:c r="J799" t="str">
        <x:v>https://github.com/darknigthmare/deadwall-last-enclosure/blob/e28f46223e73105ab2c5d83f3d50b99b58ef53e6/codex-3000/originaux/DEADWALL_CODEX_SUPPLEMENT_1.23/FICHES_501_1000/DW-0794.md</x:v>
      </x:c>
      <x:c r="K799" t="str">
        <x:v>Source min 65,22 m ; max 65,22 m ; modèle 65 × 22 m ; niveaux 0. Détails dans catalogue-existant.json.</x:v>
      </x:c>
    </x:row>
    <x:row r="800">
      <x:c r="A800" t="str">
        <x:v>DW-0795</x:v>
      </x:c>
      <x:c r="B800" t="str">
        <x:v>DW-0795</x:v>
      </x:c>
      <x:c r="C800" t="str">
        <x:v>Parent historique</x:v>
      </x:c>
      <x:c r="D800" t="str">
        <x:v>rural</x:v>
      </x:c>
      <x:c r="E800" t="str">
        <x:v>Moulin rural — variante 05</x:v>
      </x:c>
      <x:c r="F800" t="n">
        <x:v>8</x:v>
      </x:c>
      <x:c r="G800" t="n">
        <x:v>4</x:v>
      </x:c>
      <x:c r="H800" t="n">
        <x:v>0</x:v>
      </x:c>
      <x:c r="I800" t="str">
        <x:v>À qualifier par lieu</x:v>
      </x:c>
      <x:c r="J800" t="str">
        <x:v>https://github.com/darknigthmare/deadwall-last-enclosure/blob/e28f46223e73105ab2c5d83f3d50b99b58ef53e6/codex-3000/originaux/DEADWALL_CODEX_SUPPLEMENT_1.23/FICHES_501_1000/DW-0795.md</x:v>
      </x:c>
      <x:c r="K800" t="str">
        <x:v>Source min 76,39 m ; max 76,39 m ; modèle 76 × 39 m ; niveaux 0. Détails dans catalogue-existant.json.</x:v>
      </x:c>
    </x:row>
    <x:row r="801">
      <x:c r="A801" t="str">
        <x:v>DW-0796</x:v>
      </x:c>
      <x:c r="B801" t="str">
        <x:v>DW-0796</x:v>
      </x:c>
      <x:c r="C801" t="str">
        <x:v>Parent historique</x:v>
      </x:c>
      <x:c r="D801" t="str">
        <x:v>rural</x:v>
      </x:c>
      <x:c r="E801" t="str">
        <x:v>Serres maraîchères — variante 05</x:v>
      </x:c>
      <x:c r="F801" t="n">
        <x:v>8</x:v>
      </x:c>
      <x:c r="G801" t="n">
        <x:v>5</x:v>
      </x:c>
      <x:c r="H801" t="n">
        <x:v>0</x:v>
      </x:c>
      <x:c r="I801" t="str">
        <x:v>À qualifier par lieu</x:v>
      </x:c>
      <x:c r="J801" t="str">
        <x:v>https://github.com/darknigthmare/deadwall-last-enclosure/blob/e28f46223e73105ab2c5d83f3d50b99b58ef53e6/codex-3000/originaux/DEADWALL_CODEX_SUPPLEMENT_1.23/FICHES_501_1000/DW-0796.md</x:v>
      </x:c>
      <x:c r="K801" t="str">
        <x:v>Source min 15,56 m ; max 15,56 m ; modèle 26 × 56 m ; niveaux 0. Détails dans catalogue-existant.json.</x:v>
      </x:c>
    </x:row>
    <x:row r="802">
      <x:c r="A802" t="str">
        <x:v>DW-0797</x:v>
      </x:c>
      <x:c r="B802" t="str">
        <x:v>DW-0797</x:v>
      </x:c>
      <x:c r="C802" t="str">
        <x:v>Parent historique</x:v>
      </x:c>
      <x:c r="D802" t="str">
        <x:v>militaire</x:v>
      </x:c>
      <x:c r="E802" t="str">
        <x:v>Bunker de défense civile — variante 05</x:v>
      </x:c>
      <x:c r="F802" t="n">
        <x:v>8</x:v>
      </x:c>
      <x:c r="G802" t="n">
        <x:v>6</x:v>
      </x:c>
      <x:c r="H802" t="n">
        <x:v>0</x:v>
      </x:c>
      <x:c r="I802" t="str">
        <x:v>À qualifier par lieu</x:v>
      </x:c>
      <x:c r="J802" t="str">
        <x:v>https://github.com/darknigthmare/deadwall-last-enclosure/blob/e28f46223e73105ab2c5d83f3d50b99b58ef53e6/codex-3000/originaux/DEADWALL_CODEX_SUPPLEMENT_1.23/FICHES_501_1000/DW-0797.md</x:v>
      </x:c>
      <x:c r="K802" t="str">
        <x:v>Source min 26,19 m ; max 26,19 m ; modèle 28 × 22 m ; niveaux 0, 1. Détails dans catalogue-existant.json.</x:v>
      </x:c>
    </x:row>
    <x:row r="803">
      <x:c r="A803" t="str">
        <x:v>DW-0798</x:v>
      </x:c>
      <x:c r="B803" t="str">
        <x:v>DW-0798</x:v>
      </x:c>
      <x:c r="C803" t="str">
        <x:v>Parent historique</x:v>
      </x:c>
      <x:c r="D803" t="str">
        <x:v>militaire</x:v>
      </x:c>
      <x:c r="E803" t="str">
        <x:v>Dépôt militaire — variante 05</x:v>
      </x:c>
      <x:c r="F803" t="n">
        <x:v>8</x:v>
      </x:c>
      <x:c r="G803" t="n">
        <x:v>5</x:v>
      </x:c>
      <x:c r="H803" t="n">
        <x:v>0</x:v>
      </x:c>
      <x:c r="I803" t="str">
        <x:v>À qualifier par lieu</x:v>
      </x:c>
      <x:c r="J803" t="str">
        <x:v>https://github.com/darknigthmare/deadwall-last-enclosure/blob/e28f46223e73105ab2c5d83f3d50b99b58ef53e6/codex-3000/originaux/DEADWALL_CODEX_SUPPLEMENT_1.23/FICHES_501_1000/DW-0798.md</x:v>
      </x:c>
      <x:c r="K803" t="str">
        <x:v>Source min 37,36 m ; max 37,36 m ; modèle 37 × 36 m ; niveaux 0. Détails dans catalogue-existant.json.</x:v>
      </x:c>
    </x:row>
    <x:row r="804">
      <x:c r="A804" t="str">
        <x:v>DW-0799</x:v>
      </x:c>
      <x:c r="B804" t="str">
        <x:v>DW-0799</x:v>
      </x:c>
      <x:c r="C804" t="str">
        <x:v>Parent historique</x:v>
      </x:c>
      <x:c r="D804" t="str">
        <x:v>militaire</x:v>
      </x:c>
      <x:c r="E804" t="str">
        <x:v>Poste de contrôle — variante 05</x:v>
      </x:c>
      <x:c r="F804" t="n">
        <x:v>8</x:v>
      </x:c>
      <x:c r="G804" t="n">
        <x:v>5</x:v>
      </x:c>
      <x:c r="H804" t="n">
        <x:v>0</x:v>
      </x:c>
      <x:c r="I804" t="str">
        <x:v>À qualifier par lieu</x:v>
      </x:c>
      <x:c r="J804" t="str">
        <x:v>https://github.com/darknigthmare/deadwall-last-enclosure/blob/e28f46223e73105ab2c5d83f3d50b99b58ef53e6/codex-3000/originaux/DEADWALL_CODEX_SUPPLEMENT_1.23/FICHES_501_1000/DW-0799.md</x:v>
      </x:c>
      <x:c r="K804" t="str">
        <x:v>Source min 48,53 m ; max 48,53 m ; modèle 48 × 53 m ; niveaux 0. Détails dans catalogue-existant.json.</x:v>
      </x:c>
    </x:row>
    <x:row r="805">
      <x:c r="A805" t="str">
        <x:v>DW-0800</x:v>
      </x:c>
      <x:c r="B805" t="str">
        <x:v>DW-0800</x:v>
      </x:c>
      <x:c r="C805" t="str">
        <x:v>Parent historique</x:v>
      </x:c>
      <x:c r="D805" t="str">
        <x:v>militaire</x:v>
      </x:c>
      <x:c r="E805" t="str">
        <x:v>Camp retranché abandonné — variante 05</x:v>
      </x:c>
      <x:c r="F805" t="n">
        <x:v>8</x:v>
      </x:c>
      <x:c r="G805" t="n">
        <x:v>5</x:v>
      </x:c>
      <x:c r="H805" t="n">
        <x:v>0</x:v>
      </x:c>
      <x:c r="I805" t="str">
        <x:v>À qualifier par lieu</x:v>
      </x:c>
      <x:c r="J805" t="str">
        <x:v>https://github.com/darknigthmare/deadwall-last-enclosure/blob/e28f46223e73105ab2c5d83f3d50b99b58ef53e6/codex-3000/originaux/DEADWALL_CODEX_SUPPLEMENT_1.23/FICHES_501_1000/DW-0800.md</x:v>
      </x:c>
      <x:c r="K805" t="str">
        <x:v>Source min 59,16 m ; max 59,16 m ; modèle 59 × 22 m ; niveaux 0. Détails dans catalogue-existant.json.</x:v>
      </x:c>
    </x:row>
    <x:row r="806">
      <x:c r="A806" t="str">
        <x:v>DW-0801</x:v>
      </x:c>
      <x:c r="B806" t="str">
        <x:v>DW-0801</x:v>
      </x:c>
      <x:c r="C806" t="str">
        <x:v>Parent historique</x:v>
      </x:c>
      <x:c r="D806" t="str">
        <x:v>militaire</x:v>
      </x:c>
      <x:c r="E806" t="str">
        <x:v>Abri ferroviaire — variante 05</x:v>
      </x:c>
      <x:c r="F806" t="n">
        <x:v>8</x:v>
      </x:c>
      <x:c r="G806" t="n">
        <x:v>4</x:v>
      </x:c>
      <x:c r="H806" t="n">
        <x:v>0</x:v>
      </x:c>
      <x:c r="I806" t="str">
        <x:v>À qualifier par lieu</x:v>
      </x:c>
      <x:c r="J806" t="str">
        <x:v>https://github.com/darknigthmare/deadwall-last-enclosure/blob/e28f46223e73105ab2c5d83f3d50b99b58ef53e6/codex-3000/originaux/DEADWALL_CODEX_SUPPLEMENT_1.23/FICHES_501_1000/DW-0801.md</x:v>
      </x:c>
      <x:c r="K806" t="str">
        <x:v>Source min 70,33 m ; max 70,33 m ; modèle 70 × 33 m ; niveaux 0. Détails dans catalogue-existant.json.</x:v>
      </x:c>
    </x:row>
    <x:row r="807">
      <x:c r="A807" t="str">
        <x:v>DW-0802</x:v>
      </x:c>
      <x:c r="B807" t="str">
        <x:v>DW-0802</x:v>
      </x:c>
      <x:c r="C807" t="str">
        <x:v>Parent historique</x:v>
      </x:c>
      <x:c r="D807" t="str">
        <x:v>militaire</x:v>
      </x:c>
      <x:c r="E807" t="str">
        <x:v>Site radar — variante 05</x:v>
      </x:c>
      <x:c r="F807" t="n">
        <x:v>8</x:v>
      </x:c>
      <x:c r="G807" t="n">
        <x:v>5</x:v>
      </x:c>
      <x:c r="H807" t="n">
        <x:v>0</x:v>
      </x:c>
      <x:c r="I807" t="str">
        <x:v>À qualifier par lieu</x:v>
      </x:c>
      <x:c r="J807" t="str">
        <x:v>https://github.com/darknigthmare/deadwall-last-enclosure/blob/e28f46223e73105ab2c5d83f3d50b99b58ef53e6/codex-3000/originaux/DEADWALL_CODEX_SUPPLEMENT_1.23/FICHES_501_1000/DW-0802.md</x:v>
      </x:c>
      <x:c r="K807" t="str">
        <x:v>Source min 81,50 m ; max 81,50 m ; modèle 78 × 50 m ; niveaux 0. Détails dans catalogue-existant.json.</x:v>
      </x:c>
    </x:row>
    <x:row r="808">
      <x:c r="A808" t="str">
        <x:v>DW-0803</x:v>
      </x:c>
      <x:c r="B808" t="str">
        <x:v>DW-0803</x:v>
      </x:c>
      <x:c r="C808" t="str">
        <x:v>Parent historique</x:v>
      </x:c>
      <x:c r="D808" t="str">
        <x:v>militaire</x:v>
      </x:c>
      <x:c r="E808" t="str">
        <x:v>Batterie côtière — variante 05</x:v>
      </x:c>
      <x:c r="F808" t="n">
        <x:v>8</x:v>
      </x:c>
      <x:c r="G808" t="n">
        <x:v>4</x:v>
      </x:c>
      <x:c r="H808" t="n">
        <x:v>0</x:v>
      </x:c>
      <x:c r="I808" t="str">
        <x:v>À qualifier par lieu</x:v>
      </x:c>
      <x:c r="J808" t="str">
        <x:v>https://github.com/darknigthmare/deadwall-last-enclosure/blob/e28f46223e73105ab2c5d83f3d50b99b58ef53e6/codex-3000/originaux/DEADWALL_CODEX_SUPPLEMENT_1.23/FICHES_501_1000/DW-0803.md</x:v>
      </x:c>
      <x:c r="K808" t="str">
        <x:v>Source min 20,13 m ; max 20,13 m ; modèle 25 × 18 m ; niveaux 0. Détails dans catalogue-existant.json.</x:v>
      </x:c>
    </x:row>
    <x:row r="809">
      <x:c r="A809" t="str">
        <x:v>DW-0804</x:v>
      </x:c>
      <x:c r="B809" t="str">
        <x:v>DW-0804</x:v>
      </x:c>
      <x:c r="C809" t="str">
        <x:v>Parent historique</x:v>
      </x:c>
      <x:c r="D809" t="str">
        <x:v>militaire</x:v>
      </x:c>
      <x:c r="E809" t="str">
        <x:v>Dépôt carburant sécurisé — variante 05</x:v>
      </x:c>
      <x:c r="F809" t="n">
        <x:v>8</x:v>
      </x:c>
      <x:c r="G809" t="n">
        <x:v>5</x:v>
      </x:c>
      <x:c r="H809" t="n">
        <x:v>0</x:v>
      </x:c>
      <x:c r="I809" t="str">
        <x:v>À qualifier par lieu</x:v>
      </x:c>
      <x:c r="J809" t="str">
        <x:v>https://github.com/darknigthmare/deadwall-last-enclosure/blob/e28f46223e73105ab2c5d83f3d50b99b58ef53e6/codex-3000/originaux/DEADWALL_CODEX_SUPPLEMENT_1.23/FICHES_501_1000/DW-0804.md</x:v>
      </x:c>
      <x:c r="K809" t="str">
        <x:v>Source min 31,30 m ; max 31,30 m ; modèle 31 × 30 m ; niveaux 0. Détails dans catalogue-existant.json.</x:v>
      </x:c>
    </x:row>
    <x:row r="810">
      <x:c r="A810" t="str">
        <x:v>DW-0805</x:v>
      </x:c>
      <x:c r="B810" t="str">
        <x:v>DW-0805</x:v>
      </x:c>
      <x:c r="C810" t="str">
        <x:v>Parent historique</x:v>
      </x:c>
      <x:c r="D810" t="str">
        <x:v>transport</x:v>
      </x:c>
      <x:c r="E810" t="str">
        <x:v>Gare routière — variante 05</x:v>
      </x:c>
      <x:c r="F810" t="n">
        <x:v>8</x:v>
      </x:c>
      <x:c r="G810" t="n">
        <x:v>5</x:v>
      </x:c>
      <x:c r="H810" t="n">
        <x:v>0</x:v>
      </x:c>
      <x:c r="I810" t="str">
        <x:v>À qualifier par lieu</x:v>
      </x:c>
      <x:c r="J810" t="str">
        <x:v>https://github.com/darknigthmare/deadwall-last-enclosure/blob/e28f46223e73105ab2c5d83f3d50b99b58ef53e6/codex-3000/originaux/DEADWALL_CODEX_SUPPLEMENT_1.23/FICHES_501_1000/DW-0805.md</x:v>
      </x:c>
      <x:c r="K810" t="str">
        <x:v>Source min 42,47 m ; max 42,47 m ; modèle 42 × 47 m ; niveaux 0. Détails dans catalogue-existant.json.</x:v>
      </x:c>
    </x:row>
    <x:row r="811">
      <x:c r="A811" t="str">
        <x:v>DW-0806</x:v>
      </x:c>
      <x:c r="B811" t="str">
        <x:v>DW-0806</x:v>
      </x:c>
      <x:c r="C811" t="str">
        <x:v>Parent historique</x:v>
      </x:c>
      <x:c r="D811" t="str">
        <x:v>transport</x:v>
      </x:c>
      <x:c r="E811" t="str">
        <x:v>Dépôt de bus — variante 05</x:v>
      </x:c>
      <x:c r="F811" t="n">
        <x:v>8</x:v>
      </x:c>
      <x:c r="G811" t="n">
        <x:v>5</x:v>
      </x:c>
      <x:c r="H811" t="n">
        <x:v>0</x:v>
      </x:c>
      <x:c r="I811" t="str">
        <x:v>À qualifier par lieu</x:v>
      </x:c>
      <x:c r="J811" t="str">
        <x:v>https://github.com/darknigthmare/deadwall-last-enclosure/blob/e28f46223e73105ab2c5d83f3d50b99b58ef53e6/codex-3000/originaux/DEADWALL_CODEX_SUPPLEMENT_1.23/FICHES_501_1000/DW-0806.md</x:v>
      </x:c>
      <x:c r="K811" t="str">
        <x:v>Source min 53,10 m ; max 53,10 m ; modèle 53 × 22 m ; niveaux 0. Détails dans catalogue-existant.json.</x:v>
      </x:c>
    </x:row>
    <x:row r="812">
      <x:c r="A812" t="str">
        <x:v>DW-0807</x:v>
      </x:c>
      <x:c r="B812" t="str">
        <x:v>DW-0807</x:v>
      </x:c>
      <x:c r="C812" t="str">
        <x:v>Parent historique</x:v>
      </x:c>
      <x:c r="D812" t="str">
        <x:v>transport</x:v>
      </x:c>
      <x:c r="E812" t="str">
        <x:v>Gare ferroviaire — variante 05</x:v>
      </x:c>
      <x:c r="F812" t="n">
        <x:v>8</x:v>
      </x:c>
      <x:c r="G812" t="n">
        <x:v>5</x:v>
      </x:c>
      <x:c r="H812" t="n">
        <x:v>0</x:v>
      </x:c>
      <x:c r="I812" t="str">
        <x:v>À qualifier par lieu</x:v>
      </x:c>
      <x:c r="J812" t="str">
        <x:v>https://github.com/darknigthmare/deadwall-last-enclosure/blob/e28f46223e73105ab2c5d83f3d50b99b58ef53e6/codex-3000/originaux/DEADWALL_CODEX_SUPPLEMENT_1.23/FICHES_501_1000/DW-0807.md</x:v>
      </x:c>
      <x:c r="K812" t="str">
        <x:v>Source min 64,27 m ; max 64,27 m ; modèle 64 × 27 m ; niveaux 0. Détails dans catalogue-existant.json.</x:v>
      </x:c>
    </x:row>
    <x:row r="813">
      <x:c r="A813" t="str">
        <x:v>DW-0808</x:v>
      </x:c>
      <x:c r="B813" t="str">
        <x:v>DW-0808</x:v>
      </x:c>
      <x:c r="C813" t="str">
        <x:v>Parent historique</x:v>
      </x:c>
      <x:c r="D813" t="str">
        <x:v>transport</x:v>
      </x:c>
      <x:c r="E813" t="str">
        <x:v>Aire d'autoroute — variante 05</x:v>
      </x:c>
      <x:c r="F813" t="n">
        <x:v>8</x:v>
      </x:c>
      <x:c r="G813" t="n">
        <x:v>5</x:v>
      </x:c>
      <x:c r="H813" t="n">
        <x:v>0</x:v>
      </x:c>
      <x:c r="I813" t="str">
        <x:v>À qualifier par lieu</x:v>
      </x:c>
      <x:c r="J813" t="str">
        <x:v>https://github.com/darknigthmare/deadwall-last-enclosure/blob/e28f46223e73105ab2c5d83f3d50b99b58ef53e6/codex-3000/originaux/DEADWALL_CODEX_SUPPLEMENT_1.23/FICHES_501_1000/DW-0808.md</x:v>
      </x:c>
      <x:c r="K813" t="str">
        <x:v>Source min 75,44 m ; max 75,44 m ; modèle 75 × 44 m ; niveaux 0. Détails dans catalogue-existant.json.</x:v>
      </x:c>
    </x:row>
    <x:row r="814">
      <x:c r="A814" t="str">
        <x:v>DW-0809</x:v>
      </x:c>
      <x:c r="B814" t="str">
        <x:v>DW-0809</x:v>
      </x:c>
      <x:c r="C814" t="str">
        <x:v>Parent historique</x:v>
      </x:c>
      <x:c r="D814" t="str">
        <x:v>transport</x:v>
      </x:c>
      <x:c r="E814" t="str">
        <x:v>Parking silo — variante 05</x:v>
      </x:c>
      <x:c r="F814" t="n">
        <x:v>8</x:v>
      </x:c>
      <x:c r="G814" t="n">
        <x:v>4</x:v>
      </x:c>
      <x:c r="H814" t="n">
        <x:v>0</x:v>
      </x:c>
      <x:c r="I814" t="str">
        <x:v>À qualifier par lieu</x:v>
      </x:c>
      <x:c r="J814" t="str">
        <x:v>https://github.com/darknigthmare/deadwall-last-enclosure/blob/e28f46223e73105ab2c5d83f3d50b99b58ef53e6/codex-3000/originaux/DEADWALL_CODEX_SUPPLEMENT_1.23/FICHES_501_1000/DW-0809.md</x:v>
      </x:c>
      <x:c r="K814" t="str">
        <x:v>Source min 14,61 m ; max 14,61 m ; modèle 25 × 61 m ; niveaux 0. Détails dans catalogue-existant.json.</x:v>
      </x:c>
    </x:row>
    <x:row r="815">
      <x:c r="A815" t="str">
        <x:v>DW-0810</x:v>
      </x:c>
      <x:c r="B815" t="str">
        <x:v>DW-0810</x:v>
      </x:c>
      <x:c r="C815" t="str">
        <x:v>Parent historique</x:v>
      </x:c>
      <x:c r="D815" t="str">
        <x:v>transport</x:v>
      </x:c>
      <x:c r="E815" t="str">
        <x:v>Terminal poids lourds — variante 05</x:v>
      </x:c>
      <x:c r="F815" t="n">
        <x:v>8</x:v>
      </x:c>
      <x:c r="G815" t="n">
        <x:v>5</x:v>
      </x:c>
      <x:c r="H815" t="n">
        <x:v>0</x:v>
      </x:c>
      <x:c r="I815" t="str">
        <x:v>À qualifier par lieu</x:v>
      </x:c>
      <x:c r="J815" t="str">
        <x:v>https://github.com/darknigthmare/deadwall-last-enclosure/blob/e28f46223e73105ab2c5d83f3d50b99b58ef53e6/codex-3000/originaux/DEADWALL_CODEX_SUPPLEMENT_1.23/FICHES_501_1000/DW-0810.md</x:v>
      </x:c>
      <x:c r="K815" t="str">
        <x:v>Source min 25,24 m ; max 25,24 m ; modèle 26 × 24 m ; niveaux 0. Détails dans catalogue-existant.json.</x:v>
      </x:c>
    </x:row>
    <x:row r="816">
      <x:c r="A816" t="str">
        <x:v>DW-0811</x:v>
      </x:c>
      <x:c r="B816" t="str">
        <x:v>DW-0811</x:v>
      </x:c>
      <x:c r="C816" t="str">
        <x:v>Parent historique</x:v>
      </x:c>
      <x:c r="D816" t="str">
        <x:v>transport</x:v>
      </x:c>
      <x:c r="E816" t="str">
        <x:v>Port de plaisance — variante 05</x:v>
      </x:c>
      <x:c r="F816" t="n">
        <x:v>8</x:v>
      </x:c>
      <x:c r="G816" t="n">
        <x:v>5</x:v>
      </x:c>
      <x:c r="H816" t="n">
        <x:v>0</x:v>
      </x:c>
      <x:c r="I816" t="str">
        <x:v>À qualifier par lieu</x:v>
      </x:c>
      <x:c r="J816" t="str">
        <x:v>https://github.com/darknigthmare/deadwall-last-enclosure/blob/e28f46223e73105ab2c5d83f3d50b99b58ef53e6/codex-3000/originaux/DEADWALL_CODEX_SUPPLEMENT_1.23/FICHES_501_1000/DW-0811.md</x:v>
      </x:c>
      <x:c r="K816" t="str">
        <x:v>Source min 36,41 m ; max 36,41 m ; modèle 36 × 41 m ; niveaux 0. Détails dans catalogue-existant.json.</x:v>
      </x:c>
    </x:row>
    <x:row r="817">
      <x:c r="A817" t="str">
        <x:v>DW-0812</x:v>
      </x:c>
      <x:c r="B817" t="str">
        <x:v>DW-0812</x:v>
      </x:c>
      <x:c r="C817" t="str">
        <x:v>Parent historique</x:v>
      </x:c>
      <x:c r="D817" t="str">
        <x:v>transport</x:v>
      </x:c>
      <x:c r="E817" t="str">
        <x:v>Petit aérodrome — variante 05</x:v>
      </x:c>
      <x:c r="F817" t="n">
        <x:v>8</x:v>
      </x:c>
      <x:c r="G817" t="n">
        <x:v>5</x:v>
      </x:c>
      <x:c r="H817" t="n">
        <x:v>0</x:v>
      </x:c>
      <x:c r="I817" t="str">
        <x:v>À qualifier par lieu</x:v>
      </x:c>
      <x:c r="J817" t="str">
        <x:v>https://github.com/darknigthmare/deadwall-last-enclosure/blob/e28f46223e73105ab2c5d83f3d50b99b58ef53e6/codex-3000/originaux/DEADWALL_CODEX_SUPPLEMENT_1.23/FICHES_501_1000/DW-0812.md</x:v>
      </x:c>
      <x:c r="K817" t="str">
        <x:v>Source min 47,58 m ; max 47,58 m ; modèle 47 × 58 m ; niveaux 0. Détails dans catalogue-existant.json.</x:v>
      </x:c>
    </x:row>
    <x:row r="818">
      <x:c r="A818" t="str">
        <x:v>DW-0813</x:v>
      </x:c>
      <x:c r="B818" t="str">
        <x:v>DW-0813</x:v>
      </x:c>
      <x:c r="C818" t="str">
        <x:v>Parent historique</x:v>
      </x:c>
      <x:c r="D818" t="str">
        <x:v>ruines</x:v>
      </x:c>
      <x:c r="E818" t="str">
        <x:v>Maison incendiée — variante 05</x:v>
      </x:c>
      <x:c r="F818" t="n">
        <x:v>8</x:v>
      </x:c>
      <x:c r="G818" t="n">
        <x:v>3</x:v>
      </x:c>
      <x:c r="H818" t="n">
        <x:v>0</x:v>
      </x:c>
      <x:c r="I818" t="str">
        <x:v>À qualifier par lieu</x:v>
      </x:c>
      <x:c r="J818" t="str">
        <x:v>https://github.com/darknigthmare/deadwall-last-enclosure/blob/e28f46223e73105ab2c5d83f3d50b99b58ef53e6/codex-3000/originaux/DEADWALL_CODEX_SUPPLEMENT_1.23/FICHES_501_1000/DW-0813.md</x:v>
      </x:c>
      <x:c r="K818" t="str">
        <x:v>Source min 58,21 m ; max 58,21 m ; modèle 58 × 21 m ; niveaux 0, 1. Détails dans catalogue-existant.json.</x:v>
      </x:c>
    </x:row>
    <x:row r="819">
      <x:c r="A819" t="str">
        <x:v>DW-0814</x:v>
      </x:c>
      <x:c r="B819" t="str">
        <x:v>DW-0814</x:v>
      </x:c>
      <x:c r="C819" t="str">
        <x:v>Parent historique</x:v>
      </x:c>
      <x:c r="D819" t="str">
        <x:v>ruines</x:v>
      </x:c>
      <x:c r="E819" t="str">
        <x:v>Immeuble éventré — variante 05</x:v>
      </x:c>
      <x:c r="F819" t="n">
        <x:v>8</x:v>
      </x:c>
      <x:c r="G819" t="n">
        <x:v>4</x:v>
      </x:c>
      <x:c r="H819" t="n">
        <x:v>0</x:v>
      </x:c>
      <x:c r="I819" t="str">
        <x:v>À qualifier par lieu</x:v>
      </x:c>
      <x:c r="J819" t="str">
        <x:v>https://github.com/darknigthmare/deadwall-last-enclosure/blob/e28f46223e73105ab2c5d83f3d50b99b58ef53e6/codex-3000/originaux/DEADWALL_CODEX_SUPPLEMENT_1.23/FICHES_501_1000/DW-0814.md</x:v>
      </x:c>
      <x:c r="K819" t="str">
        <x:v>Source min 69,38 m ; max 69,38 m ; modèle 69 × 38 m ; niveaux 0, 1, 2. Détails dans catalogue-existant.json.</x:v>
      </x:c>
    </x:row>
    <x:row r="820">
      <x:c r="A820" t="str">
        <x:v>DW-0815</x:v>
      </x:c>
      <x:c r="B820" t="str">
        <x:v>DW-0815</x:v>
      </x:c>
      <x:c r="C820" t="str">
        <x:v>Parent historique</x:v>
      </x:c>
      <x:c r="D820" t="str">
        <x:v>ruines</x:v>
      </x:c>
      <x:c r="E820" t="str">
        <x:v>Commerce pillé — variante 05</x:v>
      </x:c>
      <x:c r="F820" t="n">
        <x:v>8</x:v>
      </x:c>
      <x:c r="G820" t="n">
        <x:v>4</x:v>
      </x:c>
      <x:c r="H820" t="n">
        <x:v>0</x:v>
      </x:c>
      <x:c r="I820" t="str">
        <x:v>À qualifier par lieu</x:v>
      </x:c>
      <x:c r="J820" t="str">
        <x:v>https://github.com/darknigthmare/deadwall-last-enclosure/blob/e28f46223e73105ab2c5d83f3d50b99b58ef53e6/codex-3000/originaux/DEADWALL_CODEX_SUPPLEMENT_1.23/FICHES_501_1000/DW-0815.md</x:v>
      </x:c>
      <x:c r="K820" t="str">
        <x:v>Source min 80,55 m ; max 80,55 m ; modèle 78 × 55 m ; niveaux 0. Détails dans catalogue-existant.json.</x:v>
      </x:c>
    </x:row>
    <x:row r="821">
      <x:c r="A821" t="str">
        <x:v>DW-0816</x:v>
      </x:c>
      <x:c r="B821" t="str">
        <x:v>DW-0816</x:v>
      </x:c>
      <x:c r="C821" t="str">
        <x:v>Parent historique</x:v>
      </x:c>
      <x:c r="D821" t="str">
        <x:v>ruines</x:v>
      </x:c>
      <x:c r="E821" t="str">
        <x:v>Usine sinistrée — variante 05</x:v>
      </x:c>
      <x:c r="F821" t="n">
        <x:v>8</x:v>
      </x:c>
      <x:c r="G821" t="n">
        <x:v>4</x:v>
      </x:c>
      <x:c r="H821" t="n">
        <x:v>0</x:v>
      </x:c>
      <x:c r="I821" t="str">
        <x:v>À qualifier par lieu</x:v>
      </x:c>
      <x:c r="J821" t="str">
        <x:v>https://github.com/darknigthmare/deadwall-last-enclosure/blob/e28f46223e73105ab2c5d83f3d50b99b58ef53e6/codex-3000/originaux/DEADWALL_CODEX_SUPPLEMENT_1.23/FICHES_501_1000/DW-0816.md</x:v>
      </x:c>
      <x:c r="K821" t="str">
        <x:v>Source min 19,18 m ; max 19,18 m ; modèle 25 × 18 m ; niveaux 0. Détails dans catalogue-existant.json.</x:v>
      </x:c>
    </x:row>
    <x:row r="822">
      <x:c r="A822" t="str">
        <x:v>DW-0817</x:v>
      </x:c>
      <x:c r="B822" t="str">
        <x:v>DW-0817</x:v>
      </x:c>
      <x:c r="C822" t="str">
        <x:v>Parent historique</x:v>
      </x:c>
      <x:c r="D822" t="str">
        <x:v>ruines</x:v>
      </x:c>
      <x:c r="E822" t="str">
        <x:v>Hôtel abandonné — variante 05</x:v>
      </x:c>
      <x:c r="F822" t="n">
        <x:v>8</x:v>
      </x:c>
      <x:c r="G822" t="n">
        <x:v>5</x:v>
      </x:c>
      <x:c r="H822" t="n">
        <x:v>0</x:v>
      </x:c>
      <x:c r="I822" t="str">
        <x:v>À qualifier par lieu</x:v>
      </x:c>
      <x:c r="J822" t="str">
        <x:v>https://github.com/darknigthmare/deadwall-last-enclosure/blob/e28f46223e73105ab2c5d83f3d50b99b58ef53e6/codex-3000/originaux/DEADWALL_CODEX_SUPPLEMENT_1.23/FICHES_501_1000/DW-0817.md</x:v>
      </x:c>
      <x:c r="K822" t="str">
        <x:v>Source min 30,35 m ; max 30,35 m ; modèle 30 × 35 m ; niveaux 0, 1. Détails dans catalogue-existant.json.</x:v>
      </x:c>
    </x:row>
    <x:row r="823">
      <x:c r="A823" t="str">
        <x:v>DW-0818</x:v>
      </x:c>
      <x:c r="B823" t="str">
        <x:v>DW-0818</x:v>
      </x:c>
      <x:c r="C823" t="str">
        <x:v>Parent historique</x:v>
      </x:c>
      <x:c r="D823" t="str">
        <x:v>ruines</x:v>
      </x:c>
      <x:c r="E823" t="str">
        <x:v>Lotissement ravagé — variante 05</x:v>
      </x:c>
      <x:c r="F823" t="n">
        <x:v>8</x:v>
      </x:c>
      <x:c r="G823" t="n">
        <x:v>4</x:v>
      </x:c>
      <x:c r="H823" t="n">
        <x:v>0</x:v>
      </x:c>
      <x:c r="I823" t="str">
        <x:v>À qualifier par lieu</x:v>
      </x:c>
      <x:c r="J823" t="str">
        <x:v>https://github.com/darknigthmare/deadwall-last-enclosure/blob/e28f46223e73105ab2c5d83f3d50b99b58ef53e6/codex-3000/originaux/DEADWALL_CODEX_SUPPLEMENT_1.23/FICHES_501_1000/DW-0818.md</x:v>
      </x:c>
      <x:c r="K823" t="str">
        <x:v>Source min 41,52 m ; max 41,52 m ; modèle 41 × 52 m ; niveaux 0. Détails dans catalogue-existant.json.</x:v>
      </x:c>
    </x:row>
    <x:row r="824">
      <x:c r="A824" t="str">
        <x:v>DW-0819</x:v>
      </x:c>
      <x:c r="B824" t="str">
        <x:v>DW-0819</x:v>
      </x:c>
      <x:c r="C824" t="str">
        <x:v>Parent historique</x:v>
      </x:c>
      <x:c r="D824" t="str">
        <x:v>ruines</x:v>
      </x:c>
      <x:c r="E824" t="str">
        <x:v>Village déserté — variante 05</x:v>
      </x:c>
      <x:c r="F824" t="n">
        <x:v>8</x:v>
      </x:c>
      <x:c r="G824" t="n">
        <x:v>5</x:v>
      </x:c>
      <x:c r="H824" t="n">
        <x:v>0</x:v>
      </x:c>
      <x:c r="I824" t="str">
        <x:v>À qualifier par lieu</x:v>
      </x:c>
      <x:c r="J824" t="str">
        <x:v>https://github.com/darknigthmare/deadwall-last-enclosure/blob/e28f46223e73105ab2c5d83f3d50b99b58ef53e6/codex-3000/originaux/DEADWALL_CODEX_SUPPLEMENT_1.23/FICHES_501_1000/DW-0819.md</x:v>
      </x:c>
      <x:c r="K824" t="str">
        <x:v>Source min 52,15 m ; max 52,15 m ; modèle 52 × 22 m ; niveaux 0. Détails dans catalogue-existant.json.</x:v>
      </x:c>
    </x:row>
    <x:row r="825">
      <x:c r="A825" t="str">
        <x:v>DW-0820</x:v>
      </x:c>
      <x:c r="B825" t="str">
        <x:v>DW-0820</x:v>
      </x:c>
      <x:c r="C825" t="str">
        <x:v>Parent historique</x:v>
      </x:c>
      <x:c r="D825" t="str">
        <x:v>ruines</x:v>
      </x:c>
      <x:c r="E825" t="str">
        <x:v>Centre commercial effondré — variante 05</x:v>
      </x:c>
      <x:c r="F825" t="n">
        <x:v>8</x:v>
      </x:c>
      <x:c r="G825" t="n">
        <x:v>5</x:v>
      </x:c>
      <x:c r="H825" t="n">
        <x:v>0</x:v>
      </x:c>
      <x:c r="I825" t="str">
        <x:v>À qualifier par lieu</x:v>
      </x:c>
      <x:c r="J825" t="str">
        <x:v>https://github.com/darknigthmare/deadwall-last-enclosure/blob/e28f46223e73105ab2c5d83f3d50b99b58ef53e6/codex-3000/originaux/DEADWALL_CODEX_SUPPLEMENT_1.23/FICHES_501_1000/DW-0820.md</x:v>
      </x:c>
      <x:c r="K825" t="str">
        <x:v>Source min 63,32 m ; max 63,32 m ; modèle 63 × 32 m ; niveaux 0. Détails dans catalogue-existant.json.</x:v>
      </x:c>
    </x:row>
    <x:row r="826">
      <x:c r="A826" t="str">
        <x:v>DW-0821</x:v>
      </x:c>
      <x:c r="B826" t="str">
        <x:v>DW-0821</x:v>
      </x:c>
      <x:c r="C826" t="str">
        <x:v>Parent historique</x:v>
      </x:c>
      <x:c r="D826" t="str">
        <x:v>habitat</x:v>
      </x:c>
      <x:c r="E826" t="str">
        <x:v>Maison de lotissement — variante 06</x:v>
      </x:c>
      <x:c r="F826" t="n">
        <x:v>8</x:v>
      </x:c>
      <x:c r="G826" t="n">
        <x:v>5</x:v>
      </x:c>
      <x:c r="H826" t="n">
        <x:v>0</x:v>
      </x:c>
      <x:c r="I826" t="str">
        <x:v>À qualifier par lieu</x:v>
      </x:c>
      <x:c r="J826" t="str">
        <x:v>https://github.com/darknigthmare/deadwall-last-enclosure/blob/e28f46223e73105ab2c5d83f3d50b99b58ef53e6/codex-3000/originaux/DEADWALL_CODEX_SUPPLEMENT_1.23/FICHES_501_1000/DW-0821.md</x:v>
      </x:c>
      <x:c r="K826" t="str">
        <x:v>Source min 74,49 m ; max 74,49 m ; modèle 74 × 49 m ; niveaux 0, 1. Détails dans catalogue-existant.json.</x:v>
      </x:c>
    </x:row>
    <x:row r="827">
      <x:c r="A827" t="str">
        <x:v>DW-0822</x:v>
      </x:c>
      <x:c r="B827" t="str">
        <x:v>DW-0822</x:v>
      </x:c>
      <x:c r="C827" t="str">
        <x:v>Parent historique</x:v>
      </x:c>
      <x:c r="D827" t="str">
        <x:v>habitat</x:v>
      </x:c>
      <x:c r="E827" t="str">
        <x:v>Maison mitoyenne — variante 06</x:v>
      </x:c>
      <x:c r="F827" t="n">
        <x:v>8</x:v>
      </x:c>
      <x:c r="G827" t="n">
        <x:v>5</x:v>
      </x:c>
      <x:c r="H827" t="n">
        <x:v>0</x:v>
      </x:c>
      <x:c r="I827" t="str">
        <x:v>À qualifier par lieu</x:v>
      </x:c>
      <x:c r="J827" t="str">
        <x:v>https://github.com/darknigthmare/deadwall-last-enclosure/blob/e28f46223e73105ab2c5d83f3d50b99b58ef53e6/codex-3000/originaux/DEADWALL_CODEX_SUPPLEMENT_1.23/FICHES_501_1000/DW-0822.md</x:v>
      </x:c>
      <x:c r="K827" t="str">
        <x:v>Source min 13,12 m ; max 13,12 m ; modèle 26 × 22 m ; niveaux 0. Détails dans catalogue-existant.json.</x:v>
      </x:c>
    </x:row>
    <x:row r="828">
      <x:c r="A828" t="str">
        <x:v>DW-0823</x:v>
      </x:c>
      <x:c r="B828" t="str">
        <x:v>DW-0823</x:v>
      </x:c>
      <x:c r="C828" t="str">
        <x:v>Parent historique</x:v>
      </x:c>
      <x:c r="D828" t="str">
        <x:v>habitat</x:v>
      </x:c>
      <x:c r="E828" t="str">
        <x:v>Villa isolée — variante 06</x:v>
      </x:c>
      <x:c r="F828" t="n">
        <x:v>8</x:v>
      </x:c>
      <x:c r="G828" t="n">
        <x:v>7</x:v>
      </x:c>
      <x:c r="H828" t="n">
        <x:v>0</x:v>
      </x:c>
      <x:c r="I828" t="str">
        <x:v>À qualifier par lieu</x:v>
      </x:c>
      <x:c r="J828" t="str">
        <x:v>https://github.com/darknigthmare/deadwall-last-enclosure/blob/e28f46223e73105ab2c5d83f3d50b99b58ef53e6/codex-3000/originaux/DEADWALL_CODEX_SUPPLEMENT_1.23/FICHES_501_1000/DW-0823.md</x:v>
      </x:c>
      <x:c r="K828" t="str">
        <x:v>Source min 24,29 m ; max 24,29 m ; modèle 29 × 29 m ; niveaux 0. Détails dans catalogue-existant.json.</x:v>
      </x:c>
    </x:row>
    <x:row r="829">
      <x:c r="A829" t="str">
        <x:v>DW-0824</x:v>
      </x:c>
      <x:c r="B829" t="str">
        <x:v>DW-0824</x:v>
      </x:c>
      <x:c r="C829" t="str">
        <x:v>Parent historique</x:v>
      </x:c>
      <x:c r="D829" t="str">
        <x:v>habitat</x:v>
      </x:c>
      <x:c r="E829" t="str">
        <x:v>Ferme familiale — variante 06</x:v>
      </x:c>
      <x:c r="F829" t="n">
        <x:v>8</x:v>
      </x:c>
      <x:c r="G829" t="n">
        <x:v>6</x:v>
      </x:c>
      <x:c r="H829" t="n">
        <x:v>0</x:v>
      </x:c>
      <x:c r="I829" t="str">
        <x:v>À qualifier par lieu</x:v>
      </x:c>
      <x:c r="J829" t="str">
        <x:v>https://github.com/darknigthmare/deadwall-last-enclosure/blob/e28f46223e73105ab2c5d83f3d50b99b58ef53e6/codex-3000/originaux/DEADWALL_CODEX_SUPPLEMENT_1.23/FICHES_501_1000/DW-0824.md</x:v>
      </x:c>
      <x:c r="K829" t="str">
        <x:v>Source min 35,46 m ; max 35,46 m ; modèle 35 × 46 m ; niveaux 0. Détails dans catalogue-existant.json.</x:v>
      </x:c>
    </x:row>
    <x:row r="830">
      <x:c r="A830" t="str">
        <x:v>DW-0825</x:v>
      </x:c>
      <x:c r="B830" t="str">
        <x:v>DW-0825</x:v>
      </x:c>
      <x:c r="C830" t="str">
        <x:v>Parent historique</x:v>
      </x:c>
      <x:c r="D830" t="str">
        <x:v>habitat</x:v>
      </x:c>
      <x:c r="E830" t="str">
        <x:v>Immeuble résidentiel — variante 06</x:v>
      </x:c>
      <x:c r="F830" t="n">
        <x:v>8</x:v>
      </x:c>
      <x:c r="G830" t="n">
        <x:v>5</x:v>
      </x:c>
      <x:c r="H830" t="n">
        <x:v>0</x:v>
      </x:c>
      <x:c r="I830" t="str">
        <x:v>À qualifier par lieu</x:v>
      </x:c>
      <x:c r="J830" t="str">
        <x:v>https://github.com/darknigthmare/deadwall-last-enclosure/blob/e28f46223e73105ab2c5d83f3d50b99b58ef53e6/codex-3000/originaux/DEADWALL_CODEX_SUPPLEMENT_1.23/FICHES_501_1000/DW-0825.md</x:v>
      </x:c>
      <x:c r="K830" t="str">
        <x:v>Source min 46,9 m ; max 46,9 m ; modèle 46 × 22 m ; niveaux 0, 1. Détails dans catalogue-existant.json.</x:v>
      </x:c>
    </x:row>
    <x:row r="831">
      <x:c r="A831" t="str">
        <x:v>DW-0826</x:v>
      </x:c>
      <x:c r="B831" t="str">
        <x:v>DW-0826</x:v>
      </x:c>
      <x:c r="C831" t="str">
        <x:v>Parent historique</x:v>
      </x:c>
      <x:c r="D831" t="str">
        <x:v>habitat</x:v>
      </x:c>
      <x:c r="E831" t="str">
        <x:v>Barre de logements — variante 06</x:v>
      </x:c>
      <x:c r="F831" t="n">
        <x:v>8</x:v>
      </x:c>
      <x:c r="G831" t="n">
        <x:v>5</x:v>
      </x:c>
      <x:c r="H831" t="n">
        <x:v>0</x:v>
      </x:c>
      <x:c r="I831" t="str">
        <x:v>À qualifier par lieu</x:v>
      </x:c>
      <x:c r="J831" t="str">
        <x:v>https://github.com/darknigthmare/deadwall-last-enclosure/blob/e28f46223e73105ab2c5d83f3d50b99b58ef53e6/codex-3000/originaux/DEADWALL_CODEX_SUPPLEMENT_1.23/FICHES_501_1000/DW-0826.md</x:v>
      </x:c>
      <x:c r="K831" t="str">
        <x:v>Source min 57,26 m ; max 57,26 m ; modèle 57 × 26 m ; niveaux 0, 1, 2. Détails dans catalogue-existant.json.</x:v>
      </x:c>
    </x:row>
    <x:row r="832">
      <x:c r="A832" t="str">
        <x:v>DW-0827</x:v>
      </x:c>
      <x:c r="B832" t="str">
        <x:v>DW-0827</x:v>
      </x:c>
      <x:c r="C832" t="str">
        <x:v>Parent historique</x:v>
      </x:c>
      <x:c r="D832" t="str">
        <x:v>habitat</x:v>
      </x:c>
      <x:c r="E832" t="str">
        <x:v>Résidence senior — variante 06</x:v>
      </x:c>
      <x:c r="F832" t="n">
        <x:v>8</x:v>
      </x:c>
      <x:c r="G832" t="n">
        <x:v>5</x:v>
      </x:c>
      <x:c r="H832" t="n">
        <x:v>0</x:v>
      </x:c>
      <x:c r="I832" t="str">
        <x:v>À qualifier par lieu</x:v>
      </x:c>
      <x:c r="J832" t="str">
        <x:v>https://github.com/darknigthmare/deadwall-last-enclosure/blob/e28f46223e73105ab2c5d83f3d50b99b58ef53e6/codex-3000/originaux/DEADWALL_CODEX_SUPPLEMENT_1.23/FICHES_501_1000/DW-0827.md</x:v>
      </x:c>
      <x:c r="K832" t="str">
        <x:v>Source min 68,43 m ; max 68,43 m ; modèle 68 × 43 m ; niveaux 0, 1, 2. Détails dans catalogue-existant.json.</x:v>
      </x:c>
    </x:row>
    <x:row r="833">
      <x:c r="A833" t="str">
        <x:v>DW-0828</x:v>
      </x:c>
      <x:c r="B833" t="str">
        <x:v>DW-0828</x:v>
      </x:c>
      <x:c r="C833" t="str">
        <x:v>Parent historique</x:v>
      </x:c>
      <x:c r="D833" t="str">
        <x:v>habitat</x:v>
      </x:c>
      <x:c r="E833" t="str">
        <x:v>Maison avec sous-sol — variante 06</x:v>
      </x:c>
      <x:c r="F833" t="n">
        <x:v>8</x:v>
      </x:c>
      <x:c r="G833" t="n">
        <x:v>5</x:v>
      </x:c>
      <x:c r="H833" t="n">
        <x:v>0</x:v>
      </x:c>
      <x:c r="I833" t="str">
        <x:v>À qualifier par lieu</x:v>
      </x:c>
      <x:c r="J833" t="str">
        <x:v>https://github.com/darknigthmare/deadwall-last-enclosure/blob/e28f46223e73105ab2c5d83f3d50b99b58ef53e6/codex-3000/originaux/DEADWALL_CODEX_SUPPLEMENT_1.23/FICHES_501_1000/DW-0828.md</x:v>
      </x:c>
      <x:c r="K833" t="str">
        <x:v>Source min 79,60 m ; max 79,60 m ; modèle 78 × 60 m ; niveaux 0. Détails dans catalogue-existant.json.</x:v>
      </x:c>
    </x:row>
    <x:row r="834">
      <x:c r="A834" t="str">
        <x:v>DW-0829</x:v>
      </x:c>
      <x:c r="B834" t="str">
        <x:v>DW-0829</x:v>
      </x:c>
      <x:c r="C834" t="str">
        <x:v>Parent historique</x:v>
      </x:c>
      <x:c r="D834" t="str">
        <x:v>commerce</x:v>
      </x:c>
      <x:c r="E834" t="str">
        <x:v>Supérette — variante 06</x:v>
      </x:c>
      <x:c r="F834" t="n">
        <x:v>8</x:v>
      </x:c>
      <x:c r="G834" t="n">
        <x:v>5</x:v>
      </x:c>
      <x:c r="H834" t="n">
        <x:v>0</x:v>
      </x:c>
      <x:c r="I834" t="str">
        <x:v>À qualifier par lieu</x:v>
      </x:c>
      <x:c r="J834" t="str">
        <x:v>https://github.com/darknigthmare/deadwall-last-enclosure/blob/e28f46223e73105ab2c5d83f3d50b99b58ef53e6/codex-3000/originaux/DEADWALL_CODEX_SUPPLEMENT_1.23/FICHES_501_1000/DW-0829.md</x:v>
      </x:c>
      <x:c r="K834" t="str">
        <x:v>Source min 18,23 m ; max 18,23 m ; modèle 26 × 23 m ; niveaux 0, 1. Détails dans catalogue-existant.json.</x:v>
      </x:c>
    </x:row>
    <x:row r="835">
      <x:c r="A835" t="str">
        <x:v>DW-0830</x:v>
      </x:c>
      <x:c r="B835" t="str">
        <x:v>DW-0830</x:v>
      </x:c>
      <x:c r="C835" t="str">
        <x:v>Parent historique</x:v>
      </x:c>
      <x:c r="D835" t="str">
        <x:v>commerce</x:v>
      </x:c>
      <x:c r="E835" t="str">
        <x:v>Centre commercial — variante 06</x:v>
      </x:c>
      <x:c r="F835" t="n">
        <x:v>8</x:v>
      </x:c>
      <x:c r="G835" t="n">
        <x:v>6</x:v>
      </x:c>
      <x:c r="H835" t="n">
        <x:v>0</x:v>
      </x:c>
      <x:c r="I835" t="str">
        <x:v>À qualifier par lieu</x:v>
      </x:c>
      <x:c r="J835" t="str">
        <x:v>https://github.com/darknigthmare/deadwall-last-enclosure/blob/e28f46223e73105ab2c5d83f3d50b99b58ef53e6/codex-3000/originaux/DEADWALL_CODEX_SUPPLEMENT_1.23/FICHES_501_1000/DW-0830.md</x:v>
      </x:c>
      <x:c r="K835" t="str">
        <x:v>Source min 29,40 m ; max 29,40 m ; modèle 29 × 40 m ; niveaux 0. Détails dans catalogue-existant.json.</x:v>
      </x:c>
    </x:row>
    <x:row r="836">
      <x:c r="A836" t="str">
        <x:v>DW-0831</x:v>
      </x:c>
      <x:c r="B836" t="str">
        <x:v>DW-0831</x:v>
      </x:c>
      <x:c r="C836" t="str">
        <x:v>Parent historique</x:v>
      </x:c>
      <x:c r="D836" t="str">
        <x:v>commerce</x:v>
      </x:c>
      <x:c r="E836" t="str">
        <x:v>Supermarché — variante 06</x:v>
      </x:c>
      <x:c r="F836" t="n">
        <x:v>8</x:v>
      </x:c>
      <x:c r="G836" t="n">
        <x:v>7</x:v>
      </x:c>
      <x:c r="H836" t="n">
        <x:v>0</x:v>
      </x:c>
      <x:c r="I836" t="str">
        <x:v>À qualifier par lieu</x:v>
      </x:c>
      <x:c r="J836" t="str">
        <x:v>https://github.com/darknigthmare/deadwall-last-enclosure/blob/e28f46223e73105ab2c5d83f3d50b99b58ef53e6/codex-3000/originaux/DEADWALL_CODEX_SUPPLEMENT_1.23/FICHES_501_1000/DW-0831.md</x:v>
      </x:c>
      <x:c r="K836" t="str">
        <x:v>Source min 40,57 m ; max 40,57 m ; modèle 40 × 57 m ; niveaux 0. Détails dans catalogue-existant.json.</x:v>
      </x:c>
    </x:row>
    <x:row r="837">
      <x:c r="A837" t="str">
        <x:v>DW-0832</x:v>
      </x:c>
      <x:c r="B837" t="str">
        <x:v>DW-0832</x:v>
      </x:c>
      <x:c r="C837" t="str">
        <x:v>Parent historique</x:v>
      </x:c>
      <x:c r="D837" t="str">
        <x:v>commerce</x:v>
      </x:c>
      <x:c r="E837" t="str">
        <x:v>Magasin de bricolage — variante 06</x:v>
      </x:c>
      <x:c r="F837" t="n">
        <x:v>8</x:v>
      </x:c>
      <x:c r="G837" t="n">
        <x:v>5</x:v>
      </x:c>
      <x:c r="H837" t="n">
        <x:v>0</x:v>
      </x:c>
      <x:c r="I837" t="str">
        <x:v>À qualifier par lieu</x:v>
      </x:c>
      <x:c r="J837" t="str">
        <x:v>https://github.com/darknigthmare/deadwall-last-enclosure/blob/e28f46223e73105ab2c5d83f3d50b99b58ef53e6/codex-3000/originaux/DEADWALL_CODEX_SUPPLEMENT_1.23/FICHES_501_1000/DW-0832.md</x:v>
      </x:c>
      <x:c r="K837" t="str">
        <x:v>Source min 51,20 m ; max 51,20 m ; modèle 51 × 22 m ; niveaux 0. Détails dans catalogue-existant.json.</x:v>
      </x:c>
    </x:row>
    <x:row r="838">
      <x:c r="A838" t="str">
        <x:v>DW-0833</x:v>
      </x:c>
      <x:c r="B838" t="str">
        <x:v>DW-0833</x:v>
      </x:c>
      <x:c r="C838" t="str">
        <x:v>Parent historique</x:v>
      </x:c>
      <x:c r="D838" t="str">
        <x:v>commerce</x:v>
      </x:c>
      <x:c r="E838" t="str">
        <x:v>Pharmacie — variante 06</x:v>
      </x:c>
      <x:c r="F838" t="n">
        <x:v>8</x:v>
      </x:c>
      <x:c r="G838" t="n">
        <x:v>4</x:v>
      </x:c>
      <x:c r="H838" t="n">
        <x:v>0</x:v>
      </x:c>
      <x:c r="I838" t="str">
        <x:v>À qualifier par lieu</x:v>
      </x:c>
      <x:c r="J838" t="str">
        <x:v>https://github.com/darknigthmare/deadwall-last-enclosure/blob/e28f46223e73105ab2c5d83f3d50b99b58ef53e6/codex-3000/originaux/DEADWALL_CODEX_SUPPLEMENT_1.23/FICHES_501_1000/DW-0833.md</x:v>
      </x:c>
      <x:c r="K838" t="str">
        <x:v>Source min 62,37 m ; max 62,37 m ; modèle 62 × 37 m ; niveaux 0, 1. Détails dans catalogue-existant.json.</x:v>
      </x:c>
    </x:row>
    <x:row r="839">
      <x:c r="A839" t="str">
        <x:v>DW-0834</x:v>
      </x:c>
      <x:c r="B839" t="str">
        <x:v>DW-0834</x:v>
      </x:c>
      <x:c r="C839" t="str">
        <x:v>Parent historique</x:v>
      </x:c>
      <x:c r="D839" t="str">
        <x:v>commerce</x:v>
      </x:c>
      <x:c r="E839" t="str">
        <x:v>Station-service — variante 06</x:v>
      </x:c>
      <x:c r="F839" t="n">
        <x:v>8</x:v>
      </x:c>
      <x:c r="G839" t="n">
        <x:v>5</x:v>
      </x:c>
      <x:c r="H839" t="n">
        <x:v>0</x:v>
      </x:c>
      <x:c r="I839" t="str">
        <x:v>À qualifier par lieu</x:v>
      </x:c>
      <x:c r="J839" t="str">
        <x:v>https://github.com/darknigthmare/deadwall-last-enclosure/blob/e28f46223e73105ab2c5d83f3d50b99b58ef53e6/codex-3000/originaux/DEADWALL_CODEX_SUPPLEMENT_1.23/FICHES_501_1000/DW-0834.md</x:v>
      </x:c>
      <x:c r="K839" t="str">
        <x:v>Source min 73,54 m ; max 73,54 m ; modèle 73 × 54 m ; niveaux 0. Détails dans catalogue-existant.json.</x:v>
      </x:c>
    </x:row>
    <x:row r="840">
      <x:c r="A840" t="str">
        <x:v>DW-0835</x:v>
      </x:c>
      <x:c r="B840" t="str">
        <x:v>DW-0835</x:v>
      </x:c>
      <x:c r="C840" t="str">
        <x:v>Parent historique</x:v>
      </x:c>
      <x:c r="D840" t="str">
        <x:v>commerce</x:v>
      </x:c>
      <x:c r="E840" t="str">
        <x:v>Restaurant routier — variante 06</x:v>
      </x:c>
      <x:c r="F840" t="n">
        <x:v>8</x:v>
      </x:c>
      <x:c r="G840" t="n">
        <x:v>5</x:v>
      </x:c>
      <x:c r="H840" t="n">
        <x:v>0</x:v>
      </x:c>
      <x:c r="I840" t="str">
        <x:v>À qualifier par lieu</x:v>
      </x:c>
      <x:c r="J840" t="str">
        <x:v>https://github.com/darknigthmare/deadwall-last-enclosure/blob/e28f46223e73105ab2c5d83f3d50b99b58ef53e6/codex-3000/originaux/DEADWALL_CODEX_SUPPLEMENT_1.23/FICHES_501_1000/DW-0835.md</x:v>
      </x:c>
      <x:c r="K840" t="str">
        <x:v>Source min 12,17 m ; max 12,17 m ; modèle 26 × 22 m ; niveaux 0. Détails dans catalogue-existant.json.</x:v>
      </x:c>
    </x:row>
    <x:row r="841">
      <x:c r="A841" t="str">
        <x:v>DW-0836</x:v>
      </x:c>
      <x:c r="B841" t="str">
        <x:v>DW-0836</x:v>
      </x:c>
      <x:c r="C841" t="str">
        <x:v>Parent historique</x:v>
      </x:c>
      <x:c r="D841" t="str">
        <x:v>commerce</x:v>
      </x:c>
      <x:c r="E841" t="str">
        <x:v>Hôtel — variante 06</x:v>
      </x:c>
      <x:c r="F841" t="n">
        <x:v>8</x:v>
      </x:c>
      <x:c r="G841" t="n">
        <x:v>6</x:v>
      </x:c>
      <x:c r="H841" t="n">
        <x:v>0</x:v>
      </x:c>
      <x:c r="I841" t="str">
        <x:v>À qualifier par lieu</x:v>
      </x:c>
      <x:c r="J841" t="str">
        <x:v>https://github.com/darknigthmare/deadwall-last-enclosure/blob/e28f46223e73105ab2c5d83f3d50b99b58ef53e6/codex-3000/originaux/DEADWALL_CODEX_SUPPLEMENT_1.23/FICHES_501_1000/DW-0836.md</x:v>
      </x:c>
      <x:c r="K841" t="str">
        <x:v>Source min 23,34 m ; max 23,34 m ; modèle 28 × 34 m ; niveaux 0. Détails dans catalogue-existant.json.</x:v>
      </x:c>
    </x:row>
    <x:row r="842">
      <x:c r="A842" t="str">
        <x:v>DW-0837</x:v>
      </x:c>
      <x:c r="B842" t="str">
        <x:v>DW-0837</x:v>
      </x:c>
      <x:c r="C842" t="str">
        <x:v>Parent historique</x:v>
      </x:c>
      <x:c r="D842" t="str">
        <x:v>industrie</x:v>
      </x:c>
      <x:c r="E842" t="str">
        <x:v>Scierie — variante 06</x:v>
      </x:c>
      <x:c r="F842" t="n">
        <x:v>8</x:v>
      </x:c>
      <x:c r="G842" t="n">
        <x:v>5</x:v>
      </x:c>
      <x:c r="H842" t="n">
        <x:v>0</x:v>
      </x:c>
      <x:c r="I842" t="str">
        <x:v>À qualifier par lieu</x:v>
      </x:c>
      <x:c r="J842" t="str">
        <x:v>https://github.com/darknigthmare/deadwall-last-enclosure/blob/e28f46223e73105ab2c5d83f3d50b99b58ef53e6/codex-3000/originaux/DEADWALL_CODEX_SUPPLEMENT_1.23/FICHES_501_1000/DW-0837.md</x:v>
      </x:c>
      <x:c r="K842" t="str">
        <x:v>Source min 34,51 m ; max 34,51 m ; modèle 34 × 51 m ; niveaux 0. Détails dans catalogue-existant.json.</x:v>
      </x:c>
    </x:row>
    <x:row r="843">
      <x:c r="A843" t="str">
        <x:v>DW-0838</x:v>
      </x:c>
      <x:c r="B843" t="str">
        <x:v>DW-0838</x:v>
      </x:c>
      <x:c r="C843" t="str">
        <x:v>Parent historique</x:v>
      </x:c>
      <x:c r="D843" t="str">
        <x:v>industrie</x:v>
      </x:c>
      <x:c r="E843" t="str">
        <x:v>Garage automobile — variante 06</x:v>
      </x:c>
      <x:c r="F843" t="n">
        <x:v>8</x:v>
      </x:c>
      <x:c r="G843" t="n">
        <x:v>5</x:v>
      </x:c>
      <x:c r="H843" t="n">
        <x:v>0</x:v>
      </x:c>
      <x:c r="I843" t="str">
        <x:v>À qualifier par lieu</x:v>
      </x:c>
      <x:c r="J843" t="str">
        <x:v>https://github.com/darknigthmare/deadwall-last-enclosure/blob/e28f46223e73105ab2c5d83f3d50b99b58ef53e6/codex-3000/originaux/DEADWALL_CODEX_SUPPLEMENT_1.23/FICHES_501_1000/DW-0838.md</x:v>
      </x:c>
      <x:c r="K843" t="str">
        <x:v>Source min 45,14 m ; max 45,14 m ; modèle 45 × 22 m ; niveaux 0. Détails dans catalogue-existant.json.</x:v>
      </x:c>
    </x:row>
    <x:row r="844">
      <x:c r="A844" t="str">
        <x:v>DW-0839</x:v>
      </x:c>
      <x:c r="B844" t="str">
        <x:v>DW-0839</x:v>
      </x:c>
      <x:c r="C844" t="str">
        <x:v>Parent historique</x:v>
      </x:c>
      <x:c r="D844" t="str">
        <x:v>industrie</x:v>
      </x:c>
      <x:c r="E844" t="str">
        <x:v>Entrepôt logistique — variante 06</x:v>
      </x:c>
      <x:c r="F844" t="n">
        <x:v>8</x:v>
      </x:c>
      <x:c r="G844" t="n">
        <x:v>5</x:v>
      </x:c>
      <x:c r="H844" t="n">
        <x:v>0</x:v>
      </x:c>
      <x:c r="I844" t="str">
        <x:v>À qualifier par lieu</x:v>
      </x:c>
      <x:c r="J844" t="str">
        <x:v>https://github.com/darknigthmare/deadwall-last-enclosure/blob/e28f46223e73105ab2c5d83f3d50b99b58ef53e6/codex-3000/originaux/DEADWALL_CODEX_SUPPLEMENT_1.23/FICHES_501_1000/DW-0839.md</x:v>
      </x:c>
      <x:c r="K844" t="str">
        <x:v>Source min 56,31 m ; max 56,31 m ; modèle 56 × 31 m ; niveaux 0. Détails dans catalogue-existant.json.</x:v>
      </x:c>
    </x:row>
    <x:row r="845">
      <x:c r="A845" t="str">
        <x:v>DW-0840</x:v>
      </x:c>
      <x:c r="B845" t="str">
        <x:v>DW-0840</x:v>
      </x:c>
      <x:c r="C845" t="str">
        <x:v>Parent historique</x:v>
      </x:c>
      <x:c r="D845" t="str">
        <x:v>industrie</x:v>
      </x:c>
      <x:c r="E845" t="str">
        <x:v>Petite usine — variante 06</x:v>
      </x:c>
      <x:c r="F845" t="n">
        <x:v>8</x:v>
      </x:c>
      <x:c r="G845" t="n">
        <x:v>5</x:v>
      </x:c>
      <x:c r="H845" t="n">
        <x:v>0</x:v>
      </x:c>
      <x:c r="I845" t="str">
        <x:v>À qualifier par lieu</x:v>
      </x:c>
      <x:c r="J845" t="str">
        <x:v>https://github.com/darknigthmare/deadwall-last-enclosure/blob/e28f46223e73105ab2c5d83f3d50b99b58ef53e6/codex-3000/originaux/DEADWALL_CODEX_SUPPLEMENT_1.23/FICHES_501_1000/DW-0840.md</x:v>
      </x:c>
      <x:c r="K845" t="str">
        <x:v>Source min 67,48 m ; max 67,48 m ; modèle 67 × 48 m ; niveaux 0. Détails dans catalogue-existant.json.</x:v>
      </x:c>
    </x:row>
    <x:row r="846">
      <x:c r="A846" t="str">
        <x:v>DW-0841</x:v>
      </x:c>
      <x:c r="B846" t="str">
        <x:v>DW-0841</x:v>
      </x:c>
      <x:c r="C846" t="str">
        <x:v>Parent historique</x:v>
      </x:c>
      <x:c r="D846" t="str">
        <x:v>industrie</x:v>
      </x:c>
      <x:c r="E846" t="str">
        <x:v>Carrière — variante 06</x:v>
      </x:c>
      <x:c r="F846" t="n">
        <x:v>8</x:v>
      </x:c>
      <x:c r="G846" t="n">
        <x:v>5</x:v>
      </x:c>
      <x:c r="H846" t="n">
        <x:v>0</x:v>
      </x:c>
      <x:c r="I846" t="str">
        <x:v>À qualifier par lieu</x:v>
      </x:c>
      <x:c r="J846" t="str">
        <x:v>https://github.com/darknigthmare/deadwall-last-enclosure/blob/e28f46223e73105ab2c5d83f3d50b99b58ef53e6/codex-3000/originaux/DEADWALL_CODEX_SUPPLEMENT_1.23/FICHES_501_1000/DW-0841.md</x:v>
      </x:c>
      <x:c r="K846" t="str">
        <x:v>Source min 78,11 m ; max 78,11 m ; modèle 78 × 22 m ; niveaux 0. Détails dans catalogue-existant.json.</x:v>
      </x:c>
    </x:row>
    <x:row r="847">
      <x:c r="A847" t="str">
        <x:v>DW-0842</x:v>
      </x:c>
      <x:c r="B847" t="str">
        <x:v>DW-0842</x:v>
      </x:c>
      <x:c r="C847" t="str">
        <x:v>Parent historique</x:v>
      </x:c>
      <x:c r="D847" t="str">
        <x:v>industrie</x:v>
      </x:c>
      <x:c r="E847" t="str">
        <x:v>Mine — variante 06</x:v>
      </x:c>
      <x:c r="F847" t="n">
        <x:v>8</x:v>
      </x:c>
      <x:c r="G847" t="n">
        <x:v>6</x:v>
      </x:c>
      <x:c r="H847" t="n">
        <x:v>0</x:v>
      </x:c>
      <x:c r="I847" t="str">
        <x:v>À qualifier par lieu</x:v>
      </x:c>
      <x:c r="J847" t="str">
        <x:v>https://github.com/darknigthmare/deadwall-last-enclosure/blob/e28f46223e73105ab2c5d83f3d50b99b58ef53e6/codex-3000/originaux/DEADWALL_CODEX_SUPPLEMENT_1.23/FICHES_501_1000/DW-0842.md</x:v>
      </x:c>
      <x:c r="K847" t="str">
        <x:v>Source min 17,28 m ; max 17,28 m ; modèle 28 × 28 m ; niveaux 0. Détails dans catalogue-existant.json.</x:v>
      </x:c>
    </x:row>
    <x:row r="848">
      <x:c r="A848" t="str">
        <x:v>DW-0843</x:v>
      </x:c>
      <x:c r="B848" t="str">
        <x:v>DW-0843</x:v>
      </x:c>
      <x:c r="C848" t="str">
        <x:v>Parent historique</x:v>
      </x:c>
      <x:c r="D848" t="str">
        <x:v>industrie</x:v>
      </x:c>
      <x:c r="E848" t="str">
        <x:v>Centrale locale — variante 06</x:v>
      </x:c>
      <x:c r="F848" t="n">
        <x:v>8</x:v>
      </x:c>
      <x:c r="G848" t="n">
        <x:v>5</x:v>
      </x:c>
      <x:c r="H848" t="n">
        <x:v>0</x:v>
      </x:c>
      <x:c r="I848" t="str">
        <x:v>À qualifier par lieu</x:v>
      </x:c>
      <x:c r="J848" t="str">
        <x:v>https://github.com/darknigthmare/deadwall-last-enclosure/blob/e28f46223e73105ab2c5d83f3d50b99b58ef53e6/codex-3000/originaux/DEADWALL_CODEX_SUPPLEMENT_1.23/FICHES_501_1000/DW-0843.md</x:v>
      </x:c>
      <x:c r="K848" t="str">
        <x:v>Source min 28,45 m ; max 28,45 m ; modèle 28 × 45 m ; niveaux 0. Détails dans catalogue-existant.json.</x:v>
      </x:c>
    </x:row>
    <x:row r="849">
      <x:c r="A849" t="str">
        <x:v>DW-0844</x:v>
      </x:c>
      <x:c r="B849" t="str">
        <x:v>DW-0844</x:v>
      </x:c>
      <x:c r="C849" t="str">
        <x:v>Parent historique</x:v>
      </x:c>
      <x:c r="D849" t="str">
        <x:v>industrie</x:v>
      </x:c>
      <x:c r="E849" t="str">
        <x:v>Station de pompage — variante 06</x:v>
      </x:c>
      <x:c r="F849" t="n">
        <x:v>8</x:v>
      </x:c>
      <x:c r="G849" t="n">
        <x:v>5</x:v>
      </x:c>
      <x:c r="H849" t="n">
        <x:v>0</x:v>
      </x:c>
      <x:c r="I849" t="str">
        <x:v>À qualifier par lieu</x:v>
      </x:c>
      <x:c r="J849" t="str">
        <x:v>https://github.com/darknigthmare/deadwall-last-enclosure/blob/e28f46223e73105ab2c5d83f3d50b99b58ef53e6/codex-3000/originaux/DEADWALL_CODEX_SUPPLEMENT_1.23/FICHES_501_1000/DW-0844.md</x:v>
      </x:c>
      <x:c r="K849" t="str">
        <x:v>Source min 39,62 m ; max 39,62 m ; modèle 39 × 62 m ; niveaux 0. Détails dans catalogue-existant.json.</x:v>
      </x:c>
    </x:row>
    <x:row r="850">
      <x:c r="A850" t="str">
        <x:v>DW-0845</x:v>
      </x:c>
      <x:c r="B850" t="str">
        <x:v>DW-0845</x:v>
      </x:c>
      <x:c r="C850" t="str">
        <x:v>Parent historique</x:v>
      </x:c>
      <x:c r="D850" t="str">
        <x:v>public</x:v>
      </x:c>
      <x:c r="E850" t="str">
        <x:v>École — variante 06</x:v>
      </x:c>
      <x:c r="F850" t="n">
        <x:v>8</x:v>
      </x:c>
      <x:c r="G850" t="n">
        <x:v>5</x:v>
      </x:c>
      <x:c r="H850" t="n">
        <x:v>0</x:v>
      </x:c>
      <x:c r="I850" t="str">
        <x:v>À qualifier par lieu</x:v>
      </x:c>
      <x:c r="J850" t="str">
        <x:v>https://github.com/darknigthmare/deadwall-last-enclosure/blob/e28f46223e73105ab2c5d83f3d50b99b58ef53e6/codex-3000/originaux/DEADWALL_CODEX_SUPPLEMENT_1.23/FICHES_501_1000/DW-0845.md</x:v>
      </x:c>
      <x:c r="K850" t="str">
        <x:v>Source min 50,25 m ; max 50,25 m ; modèle 50 × 25 m ; niveaux 0, 1. Détails dans catalogue-existant.json.</x:v>
      </x:c>
    </x:row>
    <x:row r="851">
      <x:c r="A851" t="str">
        <x:v>DW-0846</x:v>
      </x:c>
      <x:c r="B851" t="str">
        <x:v>DW-0846</x:v>
      </x:c>
      <x:c r="C851" t="str">
        <x:v>Parent historique</x:v>
      </x:c>
      <x:c r="D851" t="str">
        <x:v>public</x:v>
      </x:c>
      <x:c r="E851" t="str">
        <x:v>Mairie — variante 06</x:v>
      </x:c>
      <x:c r="F851" t="n">
        <x:v>8</x:v>
      </x:c>
      <x:c r="G851" t="n">
        <x:v>5</x:v>
      </x:c>
      <x:c r="H851" t="n">
        <x:v>0</x:v>
      </x:c>
      <x:c r="I851" t="str">
        <x:v>À qualifier par lieu</x:v>
      </x:c>
      <x:c r="J851" t="str">
        <x:v>https://github.com/darknigthmare/deadwall-last-enclosure/blob/e28f46223e73105ab2c5d83f3d50b99b58ef53e6/codex-3000/originaux/DEADWALL_CODEX_SUPPLEMENT_1.23/FICHES_501_1000/DW-0846.md</x:v>
      </x:c>
      <x:c r="K851" t="str">
        <x:v>Source min 61,42 m ; max 61,42 m ; modèle 61 × 42 m ; niveaux 0. Détails dans catalogue-existant.json.</x:v>
      </x:c>
    </x:row>
    <x:row r="852">
      <x:c r="A852" t="str">
        <x:v>DW-0847</x:v>
      </x:c>
      <x:c r="B852" t="str">
        <x:v>DW-0847</x:v>
      </x:c>
      <x:c r="C852" t="str">
        <x:v>Parent historique</x:v>
      </x:c>
      <x:c r="D852" t="str">
        <x:v>public</x:v>
      </x:c>
      <x:c r="E852" t="str">
        <x:v>Clinique — variante 06</x:v>
      </x:c>
      <x:c r="F852" t="n">
        <x:v>8</x:v>
      </x:c>
      <x:c r="G852" t="n">
        <x:v>6</x:v>
      </x:c>
      <x:c r="H852" t="n">
        <x:v>0</x:v>
      </x:c>
      <x:c r="I852" t="str">
        <x:v>À qualifier par lieu</x:v>
      </x:c>
      <x:c r="J852" t="str">
        <x:v>https://github.com/darknigthmare/deadwall-last-enclosure/blob/e28f46223e73105ab2c5d83f3d50b99b58ef53e6/codex-3000/originaux/DEADWALL_CODEX_SUPPLEMENT_1.23/FICHES_501_1000/DW-0847.md</x:v>
      </x:c>
      <x:c r="K852" t="str">
        <x:v>Source min 72,59 m ; max 72,59 m ; modèle 72 × 59 m ; niveaux 0. Détails dans catalogue-existant.json.</x:v>
      </x:c>
    </x:row>
    <x:row r="853">
      <x:c r="A853" t="str">
        <x:v>DW-0848</x:v>
      </x:c>
      <x:c r="B853" t="str">
        <x:v>DW-0848</x:v>
      </x:c>
      <x:c r="C853" t="str">
        <x:v>Parent historique</x:v>
      </x:c>
      <x:c r="D853" t="str">
        <x:v>public</x:v>
      </x:c>
      <x:c r="E853" t="str">
        <x:v>Caserne de pompiers — variante 06</x:v>
      </x:c>
      <x:c r="F853" t="n">
        <x:v>8</x:v>
      </x:c>
      <x:c r="G853" t="n">
        <x:v>6</x:v>
      </x:c>
      <x:c r="H853" t="n">
        <x:v>0</x:v>
      </x:c>
      <x:c r="I853" t="str">
        <x:v>À qualifier par lieu</x:v>
      </x:c>
      <x:c r="J853" t="str">
        <x:v>https://github.com/darknigthmare/deadwall-last-enclosure/blob/e28f46223e73105ab2c5d83f3d50b99b58ef53e6/codex-3000/originaux/DEADWALL_CODEX_SUPPLEMENT_1.23/FICHES_501_1000/DW-0848.md</x:v>
      </x:c>
      <x:c r="K853" t="str">
        <x:v>Source min 11,22 m ; max 11,22 m ; modèle 28 × 22 m ; niveaux 0. Détails dans catalogue-existant.json.</x:v>
      </x:c>
    </x:row>
    <x:row r="854">
      <x:c r="A854" t="str">
        <x:v>DW-0849</x:v>
      </x:c>
      <x:c r="B854" t="str">
        <x:v>DW-0849</x:v>
      </x:c>
      <x:c r="C854" t="str">
        <x:v>Parent historique</x:v>
      </x:c>
      <x:c r="D854" t="str">
        <x:v>public</x:v>
      </x:c>
      <x:c r="E854" t="str">
        <x:v>Poste de police — variante 06</x:v>
      </x:c>
      <x:c r="F854" t="n">
        <x:v>8</x:v>
      </x:c>
      <x:c r="G854" t="n">
        <x:v>5</x:v>
      </x:c>
      <x:c r="H854" t="n">
        <x:v>0</x:v>
      </x:c>
      <x:c r="I854" t="str">
        <x:v>À qualifier par lieu</x:v>
      </x:c>
      <x:c r="J854" t="str">
        <x:v>https://github.com/darknigthmare/deadwall-last-enclosure/blob/e28f46223e73105ab2c5d83f3d50b99b58ef53e6/codex-3000/originaux/DEADWALL_CODEX_SUPPLEMENT_1.23/FICHES_501_1000/DW-0849.md</x:v>
      </x:c>
      <x:c r="K854" t="str">
        <x:v>Source min 22,39 m ; max 22,39 m ; modèle 26 × 39 m ; niveaux 0, 1. Détails dans catalogue-existant.json.</x:v>
      </x:c>
    </x:row>
    <x:row r="855">
      <x:c r="A855" t="str">
        <x:v>DW-0850</x:v>
      </x:c>
      <x:c r="B855" t="str">
        <x:v>DW-0850</x:v>
      </x:c>
      <x:c r="C855" t="str">
        <x:v>Parent historique</x:v>
      </x:c>
      <x:c r="D855" t="str">
        <x:v>public</x:v>
      </x:c>
      <x:c r="E855" t="str">
        <x:v>Bibliothèque — variante 06</x:v>
      </x:c>
      <x:c r="F855" t="n">
        <x:v>8</x:v>
      </x:c>
      <x:c r="G855" t="n">
        <x:v>5</x:v>
      </x:c>
      <x:c r="H855" t="n">
        <x:v>0</x:v>
      </x:c>
      <x:c r="I855" t="str">
        <x:v>À qualifier par lieu</x:v>
      </x:c>
      <x:c r="J855" t="str">
        <x:v>https://github.com/darknigthmare/deadwall-last-enclosure/blob/e28f46223e73105ab2c5d83f3d50b99b58ef53e6/codex-3000/originaux/DEADWALL_CODEX_SUPPLEMENT_1.23/FICHES_501_1000/DW-0850.md</x:v>
      </x:c>
      <x:c r="K855" t="str">
        <x:v>Source min 33,56 m ; max 33,56 m ; modèle 33 × 56 m ; niveaux 0. Détails dans catalogue-existant.json.</x:v>
      </x:c>
    </x:row>
    <x:row r="856">
      <x:c r="A856" t="str">
        <x:v>DW-0851</x:v>
      </x:c>
      <x:c r="B856" t="str">
        <x:v>DW-0851</x:v>
      </x:c>
      <x:c r="C856" t="str">
        <x:v>Parent historique</x:v>
      </x:c>
      <x:c r="D856" t="str">
        <x:v>public</x:v>
      </x:c>
      <x:c r="E856" t="str">
        <x:v>Salle des fêtes — variante 06</x:v>
      </x:c>
      <x:c r="F856" t="n">
        <x:v>8</x:v>
      </x:c>
      <x:c r="G856" t="n">
        <x:v>5</x:v>
      </x:c>
      <x:c r="H856" t="n">
        <x:v>0</x:v>
      </x:c>
      <x:c r="I856" t="str">
        <x:v>À qualifier par lieu</x:v>
      </x:c>
      <x:c r="J856" t="str">
        <x:v>https://github.com/darknigthmare/deadwall-last-enclosure/blob/e28f46223e73105ab2c5d83f3d50b99b58ef53e6/codex-3000/originaux/DEADWALL_CODEX_SUPPLEMENT_1.23/FICHES_501_1000/DW-0851.md</x:v>
      </x:c>
      <x:c r="K856" t="str">
        <x:v>Source min 44,19 m ; max 44,19 m ; modèle 44 × 22 m ; niveaux 0. Détails dans catalogue-existant.json.</x:v>
      </x:c>
    </x:row>
    <x:row r="857">
      <x:c r="A857" t="str">
        <x:v>DW-0852</x:v>
      </x:c>
      <x:c r="B857" t="str">
        <x:v>DW-0852</x:v>
      </x:c>
      <x:c r="C857" t="str">
        <x:v>Parent historique</x:v>
      </x:c>
      <x:c r="D857" t="str">
        <x:v>public</x:v>
      </x:c>
      <x:c r="E857" t="str">
        <x:v>Église et presbytère — variante 06</x:v>
      </x:c>
      <x:c r="F857" t="n">
        <x:v>8</x:v>
      </x:c>
      <x:c r="G857" t="n">
        <x:v>5</x:v>
      </x:c>
      <x:c r="H857" t="n">
        <x:v>0</x:v>
      </x:c>
      <x:c r="I857" t="str">
        <x:v>À qualifier par lieu</x:v>
      </x:c>
      <x:c r="J857" t="str">
        <x:v>https://github.com/darknigthmare/deadwall-last-enclosure/blob/e28f46223e73105ab2c5d83f3d50b99b58ef53e6/codex-3000/originaux/DEADWALL_CODEX_SUPPLEMENT_1.23/FICHES_501_1000/DW-0852.md</x:v>
      </x:c>
      <x:c r="K857" t="str">
        <x:v>Source min 55,36 m ; max 55,36 m ; modèle 55 × 36 m ; niveaux 0. Détails dans catalogue-existant.json.</x:v>
      </x:c>
    </x:row>
    <x:row r="858">
      <x:c r="A858" t="str">
        <x:v>DW-0853</x:v>
      </x:c>
      <x:c r="B858" t="str">
        <x:v>DW-0853</x:v>
      </x:c>
      <x:c r="C858" t="str">
        <x:v>Parent historique</x:v>
      </x:c>
      <x:c r="D858" t="str">
        <x:v>rural</x:v>
      </x:c>
      <x:c r="E858" t="str">
        <x:v>Hameau agricole — variante 06</x:v>
      </x:c>
      <x:c r="F858" t="n">
        <x:v>8</x:v>
      </x:c>
      <x:c r="G858" t="n">
        <x:v>6</x:v>
      </x:c>
      <x:c r="H858" t="n">
        <x:v>0</x:v>
      </x:c>
      <x:c r="I858" t="str">
        <x:v>À qualifier par lieu</x:v>
      </x:c>
      <x:c r="J858" t="str">
        <x:v>https://github.com/darknigthmare/deadwall-last-enclosure/blob/e28f46223e73105ab2c5d83f3d50b99b58ef53e6/codex-3000/originaux/DEADWALL_CODEX_SUPPLEMENT_1.23/FICHES_501_1000/DW-0853.md</x:v>
      </x:c>
      <x:c r="K858" t="str">
        <x:v>Source min 66,53 m ; max 66,53 m ; modèle 66 × 53 m ; niveaux 0. Détails dans catalogue-existant.json.</x:v>
      </x:c>
    </x:row>
    <x:row r="859">
      <x:c r="A859" t="str">
        <x:v>DW-0854</x:v>
      </x:c>
      <x:c r="B859" t="str">
        <x:v>DW-0854</x:v>
      </x:c>
      <x:c r="C859" t="str">
        <x:v>Parent historique</x:v>
      </x:c>
      <x:c r="D859" t="str">
        <x:v>rural</x:v>
      </x:c>
      <x:c r="E859" t="str">
        <x:v>Cabane forestière — variante 06</x:v>
      </x:c>
      <x:c r="F859" t="n">
        <x:v>8</x:v>
      </x:c>
      <x:c r="G859" t="n">
        <x:v>4</x:v>
      </x:c>
      <x:c r="H859" t="n">
        <x:v>0</x:v>
      </x:c>
      <x:c r="I859" t="str">
        <x:v>À qualifier par lieu</x:v>
      </x:c>
      <x:c r="J859" t="str">
        <x:v>https://github.com/darknigthmare/deadwall-last-enclosure/blob/e28f46223e73105ab2c5d83f3d50b99b58ef53e6/codex-3000/originaux/DEADWALL_CODEX_SUPPLEMENT_1.23/FICHES_501_1000/DW-0854.md</x:v>
      </x:c>
      <x:c r="K859" t="str">
        <x:v>Source min 77,16 m ; max 77,16 m ; modèle 77 × 18 m ; niveaux 0. Détails dans catalogue-existant.json.</x:v>
      </x:c>
    </x:row>
    <x:row r="860">
      <x:c r="A860" t="str">
        <x:v>DW-0855</x:v>
      </x:c>
      <x:c r="B860" t="str">
        <x:v>DW-0855</x:v>
      </x:c>
      <x:c r="C860" t="str">
        <x:v>Parent historique</x:v>
      </x:c>
      <x:c r="D860" t="str">
        <x:v>rural</x:v>
      </x:c>
      <x:c r="E860" t="str">
        <x:v>Dépôt forestier — variante 06</x:v>
      </x:c>
      <x:c r="F860" t="n">
        <x:v>8</x:v>
      </x:c>
      <x:c r="G860" t="n">
        <x:v>5</x:v>
      </x:c>
      <x:c r="H860" t="n">
        <x:v>0</x:v>
      </x:c>
      <x:c r="I860" t="str">
        <x:v>À qualifier par lieu</x:v>
      </x:c>
      <x:c r="J860" t="str">
        <x:v>https://github.com/darknigthmare/deadwall-last-enclosure/blob/e28f46223e73105ab2c5d83f3d50b99b58ef53e6/codex-3000/originaux/DEADWALL_CODEX_SUPPLEMENT_1.23/FICHES_501_1000/DW-0855.md</x:v>
      </x:c>
      <x:c r="K860" t="str">
        <x:v>Source min 16,33 m ; max 16,33 m ; modèle 26 × 33 m ; niveaux 0. Détails dans catalogue-existant.json.</x:v>
      </x:c>
    </x:row>
    <x:row r="861">
      <x:c r="A861" t="str">
        <x:v>DW-0856</x:v>
      </x:c>
      <x:c r="B861" t="str">
        <x:v>DW-0856</x:v>
      </x:c>
      <x:c r="C861" t="str">
        <x:v>Parent historique</x:v>
      </x:c>
      <x:c r="D861" t="str">
        <x:v>rural</x:v>
      </x:c>
      <x:c r="E861" t="str">
        <x:v>Ferme céréalière — variante 06</x:v>
      </x:c>
      <x:c r="F861" t="n">
        <x:v>8</x:v>
      </x:c>
      <x:c r="G861" t="n">
        <x:v>5</x:v>
      </x:c>
      <x:c r="H861" t="n">
        <x:v>0</x:v>
      </x:c>
      <x:c r="I861" t="str">
        <x:v>À qualifier par lieu</x:v>
      </x:c>
      <x:c r="J861" t="str">
        <x:v>https://github.com/darknigthmare/deadwall-last-enclosure/blob/e28f46223e73105ab2c5d83f3d50b99b58ef53e6/codex-3000/originaux/DEADWALL_CODEX_SUPPLEMENT_1.23/FICHES_501_1000/DW-0856.md</x:v>
      </x:c>
      <x:c r="K861" t="str">
        <x:v>Source min 27,50 m ; max 27,50 m ; modèle 27 × 50 m ; niveaux 0. Détails dans catalogue-existant.json.</x:v>
      </x:c>
    </x:row>
    <x:row r="862">
      <x:c r="A862" t="str">
        <x:v>DW-0857</x:v>
      </x:c>
      <x:c r="B862" t="str">
        <x:v>DW-0857</x:v>
      </x:c>
      <x:c r="C862" t="str">
        <x:v>Parent historique</x:v>
      </x:c>
      <x:c r="D862" t="str">
        <x:v>rural</x:v>
      </x:c>
      <x:c r="E862" t="str">
        <x:v>Ferme d'élevage — variante 06</x:v>
      </x:c>
      <x:c r="F862" t="n">
        <x:v>8</x:v>
      </x:c>
      <x:c r="G862" t="n">
        <x:v>5</x:v>
      </x:c>
      <x:c r="H862" t="n">
        <x:v>0</x:v>
      </x:c>
      <x:c r="I862" t="str">
        <x:v>À qualifier par lieu</x:v>
      </x:c>
      <x:c r="J862" t="str">
        <x:v>https://github.com/darknigthmare/deadwall-last-enclosure/blob/e28f46223e73105ab2c5d83f3d50b99b58ef53e6/codex-3000/originaux/DEADWALL_CODEX_SUPPLEMENT_1.23/FICHES_501_1000/DW-0857.md</x:v>
      </x:c>
      <x:c r="K862" t="str">
        <x:v>Source min 38,13 m ; max 38,13 m ; modèle 38 × 22 m ; niveaux 0. Détails dans catalogue-existant.json.</x:v>
      </x:c>
    </x:row>
    <x:row r="863">
      <x:c r="A863" t="str">
        <x:v>DW-0858</x:v>
      </x:c>
      <x:c r="B863" t="str">
        <x:v>DW-0858</x:v>
      </x:c>
      <x:c r="C863" t="str">
        <x:v>Parent historique</x:v>
      </x:c>
      <x:c r="D863" t="str">
        <x:v>rural</x:v>
      </x:c>
      <x:c r="E863" t="str">
        <x:v>Relais de chasse — variante 06</x:v>
      </x:c>
      <x:c r="F863" t="n">
        <x:v>8</x:v>
      </x:c>
      <x:c r="G863" t="n">
        <x:v>4</x:v>
      </x:c>
      <x:c r="H863" t="n">
        <x:v>0</x:v>
      </x:c>
      <x:c r="I863" t="str">
        <x:v>À qualifier par lieu</x:v>
      </x:c>
      <x:c r="J863" t="str">
        <x:v>https://github.com/darknigthmare/deadwall-last-enclosure/blob/e28f46223e73105ab2c5d83f3d50b99b58ef53e6/codex-3000/originaux/DEADWALL_CODEX_SUPPLEMENT_1.23/FICHES_501_1000/DW-0858.md</x:v>
      </x:c>
      <x:c r="K863" t="str">
        <x:v>Source min 49,30 m ; max 49,30 m ; modèle 49 × 30 m ; niveaux 0. Détails dans catalogue-existant.json.</x:v>
      </x:c>
    </x:row>
    <x:row r="864">
      <x:c r="A864" t="str">
        <x:v>DW-0859</x:v>
      </x:c>
      <x:c r="B864" t="str">
        <x:v>DW-0859</x:v>
      </x:c>
      <x:c r="C864" t="str">
        <x:v>Parent historique</x:v>
      </x:c>
      <x:c r="D864" t="str">
        <x:v>rural</x:v>
      </x:c>
      <x:c r="E864" t="str">
        <x:v>Moulin rural — variante 06</x:v>
      </x:c>
      <x:c r="F864" t="n">
        <x:v>8</x:v>
      </x:c>
      <x:c r="G864" t="n">
        <x:v>4</x:v>
      </x:c>
      <x:c r="H864" t="n">
        <x:v>0</x:v>
      </x:c>
      <x:c r="I864" t="str">
        <x:v>À qualifier par lieu</x:v>
      </x:c>
      <x:c r="J864" t="str">
        <x:v>https://github.com/darknigthmare/deadwall-last-enclosure/blob/e28f46223e73105ab2c5d83f3d50b99b58ef53e6/codex-3000/originaux/DEADWALL_CODEX_SUPPLEMENT_1.23/FICHES_501_1000/DW-0859.md</x:v>
      </x:c>
      <x:c r="K864" t="str">
        <x:v>Source min 60,47 m ; max 60,47 m ; modèle 60 × 47 m ; niveaux 0. Détails dans catalogue-existant.json.</x:v>
      </x:c>
    </x:row>
    <x:row r="865">
      <x:c r="A865" t="str">
        <x:v>DW-0860</x:v>
      </x:c>
      <x:c r="B865" t="str">
        <x:v>DW-0860</x:v>
      </x:c>
      <x:c r="C865" t="str">
        <x:v>Parent historique</x:v>
      </x:c>
      <x:c r="D865" t="str">
        <x:v>rural</x:v>
      </x:c>
      <x:c r="E865" t="str">
        <x:v>Serres maraîchères — variante 06</x:v>
      </x:c>
      <x:c r="F865" t="n">
        <x:v>8</x:v>
      </x:c>
      <x:c r="G865" t="n">
        <x:v>5</x:v>
      </x:c>
      <x:c r="H865" t="n">
        <x:v>0</x:v>
      </x:c>
      <x:c r="I865" t="str">
        <x:v>À qualifier par lieu</x:v>
      </x:c>
      <x:c r="J865" t="str">
        <x:v>https://github.com/darknigthmare/deadwall-last-enclosure/blob/e28f46223e73105ab2c5d83f3d50b99b58ef53e6/codex-3000/originaux/DEADWALL_CODEX_SUPPLEMENT_1.23/FICHES_501_1000/DW-0860.md</x:v>
      </x:c>
      <x:c r="K865" t="str">
        <x:v>Source min 71,10 m ; max 71,10 m ; modèle 71 × 22 m ; niveaux 0. Détails dans catalogue-existant.json.</x:v>
      </x:c>
    </x:row>
    <x:row r="866">
      <x:c r="A866" t="str">
        <x:v>DW-0861</x:v>
      </x:c>
      <x:c r="B866" t="str">
        <x:v>DW-0861</x:v>
      </x:c>
      <x:c r="C866" t="str">
        <x:v>Parent historique</x:v>
      </x:c>
      <x:c r="D866" t="str">
        <x:v>militaire</x:v>
      </x:c>
      <x:c r="E866" t="str">
        <x:v>Bunker de défense civile — variante 06</x:v>
      </x:c>
      <x:c r="F866" t="n">
        <x:v>8</x:v>
      </x:c>
      <x:c r="G866" t="n">
        <x:v>6</x:v>
      </x:c>
      <x:c r="H866" t="n">
        <x:v>0</x:v>
      </x:c>
      <x:c r="I866" t="str">
        <x:v>À qualifier par lieu</x:v>
      </x:c>
      <x:c r="J866" t="str">
        <x:v>https://github.com/darknigthmare/deadwall-last-enclosure/blob/e28f46223e73105ab2c5d83f3d50b99b58ef53e6/codex-3000/originaux/DEADWALL_CODEX_SUPPLEMENT_1.23/FICHES_501_1000/DW-0861.md</x:v>
      </x:c>
      <x:c r="K866" t="str">
        <x:v>Source min 10,27 m ; max 10,27 m ; modèle 28 × 27 m ; niveaux 0, 1. Détails dans catalogue-existant.json.</x:v>
      </x:c>
    </x:row>
    <x:row r="867">
      <x:c r="A867" t="str">
        <x:v>DW-0862</x:v>
      </x:c>
      <x:c r="B867" t="str">
        <x:v>DW-0862</x:v>
      </x:c>
      <x:c r="C867" t="str">
        <x:v>Parent historique</x:v>
      </x:c>
      <x:c r="D867" t="str">
        <x:v>militaire</x:v>
      </x:c>
      <x:c r="E867" t="str">
        <x:v>Dépôt militaire — variante 06</x:v>
      </x:c>
      <x:c r="F867" t="n">
        <x:v>8</x:v>
      </x:c>
      <x:c r="G867" t="n">
        <x:v>5</x:v>
      </x:c>
      <x:c r="H867" t="n">
        <x:v>0</x:v>
      </x:c>
      <x:c r="I867" t="str">
        <x:v>À qualifier par lieu</x:v>
      </x:c>
      <x:c r="J867" t="str">
        <x:v>https://github.com/darknigthmare/deadwall-last-enclosure/blob/e28f46223e73105ab2c5d83f3d50b99b58ef53e6/codex-3000/originaux/DEADWALL_CODEX_SUPPLEMENT_1.23/FICHES_501_1000/DW-0862.md</x:v>
      </x:c>
      <x:c r="K867" t="str">
        <x:v>Source min 21,44 m ; max 21,44 m ; modèle 26 × 44 m ; niveaux 0. Détails dans catalogue-existant.json.</x:v>
      </x:c>
    </x:row>
    <x:row r="868">
      <x:c r="A868" t="str">
        <x:v>DW-0863</x:v>
      </x:c>
      <x:c r="B868" t="str">
        <x:v>DW-0863</x:v>
      </x:c>
      <x:c r="C868" t="str">
        <x:v>Parent historique</x:v>
      </x:c>
      <x:c r="D868" t="str">
        <x:v>militaire</x:v>
      </x:c>
      <x:c r="E868" t="str">
        <x:v>Poste de contrôle — variante 06</x:v>
      </x:c>
      <x:c r="F868" t="n">
        <x:v>8</x:v>
      </x:c>
      <x:c r="G868" t="n">
        <x:v>5</x:v>
      </x:c>
      <x:c r="H868" t="n">
        <x:v>0</x:v>
      </x:c>
      <x:c r="I868" t="str">
        <x:v>À qualifier par lieu</x:v>
      </x:c>
      <x:c r="J868" t="str">
        <x:v>https://github.com/darknigthmare/deadwall-last-enclosure/blob/e28f46223e73105ab2c5d83f3d50b99b58ef53e6/codex-3000/originaux/DEADWALL_CODEX_SUPPLEMENT_1.23/FICHES_501_1000/DW-0863.md</x:v>
      </x:c>
      <x:c r="K868" t="str">
        <x:v>Source min 32,61 m ; max 32,61 m ; modèle 32 × 61 m ; niveaux 0. Détails dans catalogue-existant.json.</x:v>
      </x:c>
    </x:row>
    <x:row r="869">
      <x:c r="A869" t="str">
        <x:v>DW-0864</x:v>
      </x:c>
      <x:c r="B869" t="str">
        <x:v>DW-0864</x:v>
      </x:c>
      <x:c r="C869" t="str">
        <x:v>Parent historique</x:v>
      </x:c>
      <x:c r="D869" t="str">
        <x:v>militaire</x:v>
      </x:c>
      <x:c r="E869" t="str">
        <x:v>Camp retranché abandonné — variante 06</x:v>
      </x:c>
      <x:c r="F869" t="n">
        <x:v>8</x:v>
      </x:c>
      <x:c r="G869" t="n">
        <x:v>5</x:v>
      </x:c>
      <x:c r="H869" t="n">
        <x:v>0</x:v>
      </x:c>
      <x:c r="I869" t="str">
        <x:v>À qualifier par lieu</x:v>
      </x:c>
      <x:c r="J869" t="str">
        <x:v>https://github.com/darknigthmare/deadwall-last-enclosure/blob/e28f46223e73105ab2c5d83f3d50b99b58ef53e6/codex-3000/originaux/DEADWALL_CODEX_SUPPLEMENT_1.23/FICHES_501_1000/DW-0864.md</x:v>
      </x:c>
      <x:c r="K869" t="str">
        <x:v>Source min 43,24 m ; max 43,24 m ; modèle 43 × 24 m ; niveaux 0. Détails dans catalogue-existant.json.</x:v>
      </x:c>
    </x:row>
    <x:row r="870">
      <x:c r="A870" t="str">
        <x:v>DW-0865</x:v>
      </x:c>
      <x:c r="B870" t="str">
        <x:v>DW-0865</x:v>
      </x:c>
      <x:c r="C870" t="str">
        <x:v>Parent historique</x:v>
      </x:c>
      <x:c r="D870" t="str">
        <x:v>militaire</x:v>
      </x:c>
      <x:c r="E870" t="str">
        <x:v>Abri ferroviaire — variante 06</x:v>
      </x:c>
      <x:c r="F870" t="n">
        <x:v>8</x:v>
      </x:c>
      <x:c r="G870" t="n">
        <x:v>4</x:v>
      </x:c>
      <x:c r="H870" t="n">
        <x:v>0</x:v>
      </x:c>
      <x:c r="I870" t="str">
        <x:v>À qualifier par lieu</x:v>
      </x:c>
      <x:c r="J870" t="str">
        <x:v>https://github.com/darknigthmare/deadwall-last-enclosure/blob/e28f46223e73105ab2c5d83f3d50b99b58ef53e6/codex-3000/originaux/DEADWALL_CODEX_SUPPLEMENT_1.23/FICHES_501_1000/DW-0865.md</x:v>
      </x:c>
      <x:c r="K870" t="str">
        <x:v>Source min 54,41 m ; max 54,41 m ; modèle 54 × 41 m ; niveaux 0. Détails dans catalogue-existant.json.</x:v>
      </x:c>
    </x:row>
    <x:row r="871">
      <x:c r="A871" t="str">
        <x:v>DW-0866</x:v>
      </x:c>
      <x:c r="B871" t="str">
        <x:v>DW-0866</x:v>
      </x:c>
      <x:c r="C871" t="str">
        <x:v>Parent historique</x:v>
      </x:c>
      <x:c r="D871" t="str">
        <x:v>militaire</x:v>
      </x:c>
      <x:c r="E871" t="str">
        <x:v>Site radar — variante 06</x:v>
      </x:c>
      <x:c r="F871" t="n">
        <x:v>8</x:v>
      </x:c>
      <x:c r="G871" t="n">
        <x:v>5</x:v>
      </x:c>
      <x:c r="H871" t="n">
        <x:v>0</x:v>
      </x:c>
      <x:c r="I871" t="str">
        <x:v>À qualifier par lieu</x:v>
      </x:c>
      <x:c r="J871" t="str">
        <x:v>https://github.com/darknigthmare/deadwall-last-enclosure/blob/e28f46223e73105ab2c5d83f3d50b99b58ef53e6/codex-3000/originaux/DEADWALL_CODEX_SUPPLEMENT_1.23/FICHES_501_1000/DW-0866.md</x:v>
      </x:c>
      <x:c r="K871" t="str">
        <x:v>Source min 65,58 m ; max 65,58 m ; modèle 65 × 58 m ; niveaux 0. Détails dans catalogue-existant.json.</x:v>
      </x:c>
    </x:row>
    <x:row r="872">
      <x:c r="A872" t="str">
        <x:v>DW-0867</x:v>
      </x:c>
      <x:c r="B872" t="str">
        <x:v>DW-0867</x:v>
      </x:c>
      <x:c r="C872" t="str">
        <x:v>Parent historique</x:v>
      </x:c>
      <x:c r="D872" t="str">
        <x:v>militaire</x:v>
      </x:c>
      <x:c r="E872" t="str">
        <x:v>Batterie côtière — variante 06</x:v>
      </x:c>
      <x:c r="F872" t="n">
        <x:v>8</x:v>
      </x:c>
      <x:c r="G872" t="n">
        <x:v>4</x:v>
      </x:c>
      <x:c r="H872" t="n">
        <x:v>0</x:v>
      </x:c>
      <x:c r="I872" t="str">
        <x:v>À qualifier par lieu</x:v>
      </x:c>
      <x:c r="J872" t="str">
        <x:v>https://github.com/darknigthmare/deadwall-last-enclosure/blob/e28f46223e73105ab2c5d83f3d50b99b58ef53e6/codex-3000/originaux/DEADWALL_CODEX_SUPPLEMENT_1.23/FICHES_501_1000/DW-0867.md</x:v>
      </x:c>
      <x:c r="K872" t="str">
        <x:v>Source min 76,21 m ; max 76,21 m ; modèle 76 × 21 m ; niveaux 0. Détails dans catalogue-existant.json.</x:v>
      </x:c>
    </x:row>
    <x:row r="873">
      <x:c r="A873" t="str">
        <x:v>DW-0868</x:v>
      </x:c>
      <x:c r="B873" t="str">
        <x:v>DW-0868</x:v>
      </x:c>
      <x:c r="C873" t="str">
        <x:v>Parent historique</x:v>
      </x:c>
      <x:c r="D873" t="str">
        <x:v>militaire</x:v>
      </x:c>
      <x:c r="E873" t="str">
        <x:v>Dépôt carburant sécurisé — variante 06</x:v>
      </x:c>
      <x:c r="F873" t="n">
        <x:v>8</x:v>
      </x:c>
      <x:c r="G873" t="n">
        <x:v>5</x:v>
      </x:c>
      <x:c r="H873" t="n">
        <x:v>0</x:v>
      </x:c>
      <x:c r="I873" t="str">
        <x:v>À qualifier par lieu</x:v>
      </x:c>
      <x:c r="J873" t="str">
        <x:v>https://github.com/darknigthmare/deadwall-last-enclosure/blob/e28f46223e73105ab2c5d83f3d50b99b58ef53e6/codex-3000/originaux/DEADWALL_CODEX_SUPPLEMENT_1.23/FICHES_501_1000/DW-0868.md</x:v>
      </x:c>
      <x:c r="K873" t="str">
        <x:v>Source min 15,38 m ; max 15,38 m ; modèle 26 × 38 m ; niveaux 0. Détails dans catalogue-existant.json.</x:v>
      </x:c>
    </x:row>
    <x:row r="874">
      <x:c r="A874" t="str">
        <x:v>DW-0869</x:v>
      </x:c>
      <x:c r="B874" t="str">
        <x:v>DW-0869</x:v>
      </x:c>
      <x:c r="C874" t="str">
        <x:v>Parent historique</x:v>
      </x:c>
      <x:c r="D874" t="str">
        <x:v>transport</x:v>
      </x:c>
      <x:c r="E874" t="str">
        <x:v>Gare routière — variante 06</x:v>
      </x:c>
      <x:c r="F874" t="n">
        <x:v>8</x:v>
      </x:c>
      <x:c r="G874" t="n">
        <x:v>5</x:v>
      </x:c>
      <x:c r="H874" t="n">
        <x:v>0</x:v>
      </x:c>
      <x:c r="I874" t="str">
        <x:v>À qualifier par lieu</x:v>
      </x:c>
      <x:c r="J874" t="str">
        <x:v>https://github.com/darknigthmare/deadwall-last-enclosure/blob/e28f46223e73105ab2c5d83f3d50b99b58ef53e6/codex-3000/originaux/DEADWALL_CODEX_SUPPLEMENT_1.23/FICHES_501_1000/DW-0869.md</x:v>
      </x:c>
      <x:c r="K874" t="str">
        <x:v>Source min 26,55 m ; max 26,55 m ; modèle 26 × 55 m ; niveaux 0. Détails dans catalogue-existant.json.</x:v>
      </x:c>
    </x:row>
    <x:row r="875">
      <x:c r="A875" t="str">
        <x:v>DW-0870</x:v>
      </x:c>
      <x:c r="B875" t="str">
        <x:v>DW-0870</x:v>
      </x:c>
      <x:c r="C875" t="str">
        <x:v>Parent historique</x:v>
      </x:c>
      <x:c r="D875" t="str">
        <x:v>transport</x:v>
      </x:c>
      <x:c r="E875" t="str">
        <x:v>Dépôt de bus — variante 06</x:v>
      </x:c>
      <x:c r="F875" t="n">
        <x:v>8</x:v>
      </x:c>
      <x:c r="G875" t="n">
        <x:v>5</x:v>
      </x:c>
      <x:c r="H875" t="n">
        <x:v>0</x:v>
      </x:c>
      <x:c r="I875" t="str">
        <x:v>À qualifier par lieu</x:v>
      </x:c>
      <x:c r="J875" t="str">
        <x:v>https://github.com/darknigthmare/deadwall-last-enclosure/blob/e28f46223e73105ab2c5d83f3d50b99b58ef53e6/codex-3000/originaux/DEADWALL_CODEX_SUPPLEMENT_1.23/FICHES_501_1000/DW-0870.md</x:v>
      </x:c>
      <x:c r="K875" t="str">
        <x:v>Source min 37,18 m ; max 37,18 m ; modèle 37 × 22 m ; niveaux 0. Détails dans catalogue-existant.json.</x:v>
      </x:c>
    </x:row>
    <x:row r="876">
      <x:c r="A876" t="str">
        <x:v>DW-0871</x:v>
      </x:c>
      <x:c r="B876" t="str">
        <x:v>DW-0871</x:v>
      </x:c>
      <x:c r="C876" t="str">
        <x:v>Parent historique</x:v>
      </x:c>
      <x:c r="D876" t="str">
        <x:v>transport</x:v>
      </x:c>
      <x:c r="E876" t="str">
        <x:v>Gare ferroviaire — variante 06</x:v>
      </x:c>
      <x:c r="F876" t="n">
        <x:v>8</x:v>
      </x:c>
      <x:c r="G876" t="n">
        <x:v>5</x:v>
      </x:c>
      <x:c r="H876" t="n">
        <x:v>0</x:v>
      </x:c>
      <x:c r="I876" t="str">
        <x:v>À qualifier par lieu</x:v>
      </x:c>
      <x:c r="J876" t="str">
        <x:v>https://github.com/darknigthmare/deadwall-last-enclosure/blob/e28f46223e73105ab2c5d83f3d50b99b58ef53e6/codex-3000/originaux/DEADWALL_CODEX_SUPPLEMENT_1.23/FICHES_501_1000/DW-0871.md</x:v>
      </x:c>
      <x:c r="K876" t="str">
        <x:v>Source min 48,35 m ; max 48,35 m ; modèle 48 × 35 m ; niveaux 0. Détails dans catalogue-existant.json.</x:v>
      </x:c>
    </x:row>
    <x:row r="877">
      <x:c r="A877" t="str">
        <x:v>DW-0872</x:v>
      </x:c>
      <x:c r="B877" t="str">
        <x:v>DW-0872</x:v>
      </x:c>
      <x:c r="C877" t="str">
        <x:v>Parent historique</x:v>
      </x:c>
      <x:c r="D877" t="str">
        <x:v>transport</x:v>
      </x:c>
      <x:c r="E877" t="str">
        <x:v>Aire d'autoroute — variante 06</x:v>
      </x:c>
      <x:c r="F877" t="n">
        <x:v>8</x:v>
      </x:c>
      <x:c r="G877" t="n">
        <x:v>5</x:v>
      </x:c>
      <x:c r="H877" t="n">
        <x:v>0</x:v>
      </x:c>
      <x:c r="I877" t="str">
        <x:v>À qualifier par lieu</x:v>
      </x:c>
      <x:c r="J877" t="str">
        <x:v>https://github.com/darknigthmare/deadwall-last-enclosure/blob/e28f46223e73105ab2c5d83f3d50b99b58ef53e6/codex-3000/originaux/DEADWALL_CODEX_SUPPLEMENT_1.23/FICHES_501_1000/DW-0872.md</x:v>
      </x:c>
      <x:c r="K877" t="str">
        <x:v>Source min 59,52 m ; max 59,52 m ; modèle 59 × 52 m ; niveaux 0. Détails dans catalogue-existant.json.</x:v>
      </x:c>
    </x:row>
    <x:row r="878">
      <x:c r="A878" t="str">
        <x:v>DW-0873</x:v>
      </x:c>
      <x:c r="B878" t="str">
        <x:v>DW-0873</x:v>
      </x:c>
      <x:c r="C878" t="str">
        <x:v>Parent historique</x:v>
      </x:c>
      <x:c r="D878" t="str">
        <x:v>transport</x:v>
      </x:c>
      <x:c r="E878" t="str">
        <x:v>Parking silo — variante 06</x:v>
      </x:c>
      <x:c r="F878" t="n">
        <x:v>8</x:v>
      </x:c>
      <x:c r="G878" t="n">
        <x:v>4</x:v>
      </x:c>
      <x:c r="H878" t="n">
        <x:v>0</x:v>
      </x:c>
      <x:c r="I878" t="str">
        <x:v>À qualifier par lieu</x:v>
      </x:c>
      <x:c r="J878" t="str">
        <x:v>https://github.com/darknigthmare/deadwall-last-enclosure/blob/e28f46223e73105ab2c5d83f3d50b99b58ef53e6/codex-3000/originaux/DEADWALL_CODEX_SUPPLEMENT_1.23/FICHES_501_1000/DW-0873.md</x:v>
      </x:c>
      <x:c r="K878" t="str">
        <x:v>Source min 70,15 m ; max 70,15 m ; modèle 70 × 18 m ; niveaux 0. Détails dans catalogue-existant.json.</x:v>
      </x:c>
    </x:row>
    <x:row r="879">
      <x:c r="A879" t="str">
        <x:v>DW-0874</x:v>
      </x:c>
      <x:c r="B879" t="str">
        <x:v>DW-0874</x:v>
      </x:c>
      <x:c r="C879" t="str">
        <x:v>Parent historique</x:v>
      </x:c>
      <x:c r="D879" t="str">
        <x:v>transport</x:v>
      </x:c>
      <x:c r="E879" t="str">
        <x:v>Terminal poids lourds — variante 06</x:v>
      </x:c>
      <x:c r="F879" t="n">
        <x:v>8</x:v>
      </x:c>
      <x:c r="G879" t="n">
        <x:v>5</x:v>
      </x:c>
      <x:c r="H879" t="n">
        <x:v>0</x:v>
      </x:c>
      <x:c r="I879" t="str">
        <x:v>À qualifier par lieu</x:v>
      </x:c>
      <x:c r="J879" t="str">
        <x:v>https://github.com/darknigthmare/deadwall-last-enclosure/blob/e28f46223e73105ab2c5d83f3d50b99b58ef53e6/codex-3000/originaux/DEADWALL_CODEX_SUPPLEMENT_1.23/FICHES_501_1000/DW-0874.md</x:v>
      </x:c>
      <x:c r="K879" t="str">
        <x:v>Source min 81,32 m ; max 81,32 m ; modèle 78 × 32 m ; niveaux 0. Détails dans catalogue-existant.json.</x:v>
      </x:c>
    </x:row>
    <x:row r="880">
      <x:c r="A880" t="str">
        <x:v>DW-0875</x:v>
      </x:c>
      <x:c r="B880" t="str">
        <x:v>DW-0875</x:v>
      </x:c>
      <x:c r="C880" t="str">
        <x:v>Parent historique</x:v>
      </x:c>
      <x:c r="D880" t="str">
        <x:v>transport</x:v>
      </x:c>
      <x:c r="E880" t="str">
        <x:v>Port de plaisance — variante 06</x:v>
      </x:c>
      <x:c r="F880" t="n">
        <x:v>8</x:v>
      </x:c>
      <x:c r="G880" t="n">
        <x:v>5</x:v>
      </x:c>
      <x:c r="H880" t="n">
        <x:v>0</x:v>
      </x:c>
      <x:c r="I880" t="str">
        <x:v>À qualifier par lieu</x:v>
      </x:c>
      <x:c r="J880" t="str">
        <x:v>https://github.com/darknigthmare/deadwall-last-enclosure/blob/e28f46223e73105ab2c5d83f3d50b99b58ef53e6/codex-3000/originaux/DEADWALL_CODEX_SUPPLEMENT_1.23/FICHES_501_1000/DW-0875.md</x:v>
      </x:c>
      <x:c r="K880" t="str">
        <x:v>Source min 20,49 m ; max 20,49 m ; modèle 26 × 49 m ; niveaux 0. Détails dans catalogue-existant.json.</x:v>
      </x:c>
    </x:row>
    <x:row r="881">
      <x:c r="A881" t="str">
        <x:v>DW-0876</x:v>
      </x:c>
      <x:c r="B881" t="str">
        <x:v>DW-0876</x:v>
      </x:c>
      <x:c r="C881" t="str">
        <x:v>Parent historique</x:v>
      </x:c>
      <x:c r="D881" t="str">
        <x:v>transport</x:v>
      </x:c>
      <x:c r="E881" t="str">
        <x:v>Petit aérodrome — variante 06</x:v>
      </x:c>
      <x:c r="F881" t="n">
        <x:v>8</x:v>
      </x:c>
      <x:c r="G881" t="n">
        <x:v>5</x:v>
      </x:c>
      <x:c r="H881" t="n">
        <x:v>0</x:v>
      </x:c>
      <x:c r="I881" t="str">
        <x:v>À qualifier par lieu</x:v>
      </x:c>
      <x:c r="J881" t="str">
        <x:v>https://github.com/darknigthmare/deadwall-last-enclosure/blob/e28f46223e73105ab2c5d83f3d50b99b58ef53e6/codex-3000/originaux/DEADWALL_CODEX_SUPPLEMENT_1.23/FICHES_501_1000/DW-0876.md</x:v>
      </x:c>
      <x:c r="K881" t="str">
        <x:v>Source min 31,12 m ; max 31,12 m ; modèle 31 × 22 m ; niveaux 0. Détails dans catalogue-existant.json.</x:v>
      </x:c>
    </x:row>
    <x:row r="882">
      <x:c r="A882" t="str">
        <x:v>DW-0877</x:v>
      </x:c>
      <x:c r="B882" t="str">
        <x:v>DW-0877</x:v>
      </x:c>
      <x:c r="C882" t="str">
        <x:v>Parent historique</x:v>
      </x:c>
      <x:c r="D882" t="str">
        <x:v>ruines</x:v>
      </x:c>
      <x:c r="E882" t="str">
        <x:v>Maison incendiée — variante 06</x:v>
      </x:c>
      <x:c r="F882" t="n">
        <x:v>8</x:v>
      </x:c>
      <x:c r="G882" t="n">
        <x:v>3</x:v>
      </x:c>
      <x:c r="H882" t="n">
        <x:v>0</x:v>
      </x:c>
      <x:c r="I882" t="str">
        <x:v>À qualifier par lieu</x:v>
      </x:c>
      <x:c r="J882" t="str">
        <x:v>https://github.com/darknigthmare/deadwall-last-enclosure/blob/e28f46223e73105ab2c5d83f3d50b99b58ef53e6/codex-3000/originaux/DEADWALL_CODEX_SUPPLEMENT_1.23/FICHES_501_1000/DW-0877.md</x:v>
      </x:c>
      <x:c r="K882" t="str">
        <x:v>Source min 42,29 m ; max 42,29 m ; modèle 42 × 29 m ; niveaux 0, 1. Détails dans catalogue-existant.json.</x:v>
      </x:c>
    </x:row>
    <x:row r="883">
      <x:c r="A883" t="str">
        <x:v>DW-0878</x:v>
      </x:c>
      <x:c r="B883" t="str">
        <x:v>DW-0878</x:v>
      </x:c>
      <x:c r="C883" t="str">
        <x:v>Parent historique</x:v>
      </x:c>
      <x:c r="D883" t="str">
        <x:v>ruines</x:v>
      </x:c>
      <x:c r="E883" t="str">
        <x:v>Immeuble éventré — variante 06</x:v>
      </x:c>
      <x:c r="F883" t="n">
        <x:v>8</x:v>
      </x:c>
      <x:c r="G883" t="n">
        <x:v>4</x:v>
      </x:c>
      <x:c r="H883" t="n">
        <x:v>0</x:v>
      </x:c>
      <x:c r="I883" t="str">
        <x:v>À qualifier par lieu</x:v>
      </x:c>
      <x:c r="J883" t="str">
        <x:v>https://github.com/darknigthmare/deadwall-last-enclosure/blob/e28f46223e73105ab2c5d83f3d50b99b58ef53e6/codex-3000/originaux/DEADWALL_CODEX_SUPPLEMENT_1.23/FICHES_501_1000/DW-0878.md</x:v>
      </x:c>
      <x:c r="K883" t="str">
        <x:v>Source min 53,46 m ; max 53,46 m ; modèle 53 × 46 m ; niveaux 0, 1, 2. Détails dans catalogue-existant.json.</x:v>
      </x:c>
    </x:row>
    <x:row r="884">
      <x:c r="A884" t="str">
        <x:v>DW-0879</x:v>
      </x:c>
      <x:c r="B884" t="str">
        <x:v>DW-0879</x:v>
      </x:c>
      <x:c r="C884" t="str">
        <x:v>Parent historique</x:v>
      </x:c>
      <x:c r="D884" t="str">
        <x:v>ruines</x:v>
      </x:c>
      <x:c r="E884" t="str">
        <x:v>Commerce pillé — variante 06</x:v>
      </x:c>
      <x:c r="F884" t="n">
        <x:v>8</x:v>
      </x:c>
      <x:c r="G884" t="n">
        <x:v>4</x:v>
      </x:c>
      <x:c r="H884" t="n">
        <x:v>0</x:v>
      </x:c>
      <x:c r="I884" t="str">
        <x:v>À qualifier par lieu</x:v>
      </x:c>
      <x:c r="J884" t="str">
        <x:v>https://github.com/darknigthmare/deadwall-last-enclosure/blob/e28f46223e73105ab2c5d83f3d50b99b58ef53e6/codex-3000/originaux/DEADWALL_CODEX_SUPPLEMENT_1.23/FICHES_501_1000/DW-0879.md</x:v>
      </x:c>
      <x:c r="K884" t="str">
        <x:v>Source min 64,9 m ; max 64,9 m ; modèle 64 × 18 m ; niveaux 0. Détails dans catalogue-existant.json.</x:v>
      </x:c>
    </x:row>
    <x:row r="885">
      <x:c r="A885" t="str">
        <x:v>DW-0880</x:v>
      </x:c>
      <x:c r="B885" t="str">
        <x:v>DW-0880</x:v>
      </x:c>
      <x:c r="C885" t="str">
        <x:v>Parent historique</x:v>
      </x:c>
      <x:c r="D885" t="str">
        <x:v>ruines</x:v>
      </x:c>
      <x:c r="E885" t="str">
        <x:v>Usine sinistrée — variante 06</x:v>
      </x:c>
      <x:c r="F885" t="n">
        <x:v>8</x:v>
      </x:c>
      <x:c r="G885" t="n">
        <x:v>4</x:v>
      </x:c>
      <x:c r="H885" t="n">
        <x:v>0</x:v>
      </x:c>
      <x:c r="I885" t="str">
        <x:v>À qualifier par lieu</x:v>
      </x:c>
      <x:c r="J885" t="str">
        <x:v>https://github.com/darknigthmare/deadwall-last-enclosure/blob/e28f46223e73105ab2c5d83f3d50b99b58ef53e6/codex-3000/originaux/DEADWALL_CODEX_SUPPLEMENT_1.23/FICHES_501_1000/DW-0880.md</x:v>
      </x:c>
      <x:c r="K885" t="str">
        <x:v>Source min 75,26 m ; max 75,26 m ; modèle 75 × 26 m ; niveaux 0. Détails dans catalogue-existant.json.</x:v>
      </x:c>
    </x:row>
    <x:row r="886">
      <x:c r="A886" t="str">
        <x:v>DW-0881</x:v>
      </x:c>
      <x:c r="B886" t="str">
        <x:v>DW-0881</x:v>
      </x:c>
      <x:c r="C886" t="str">
        <x:v>Parent historique</x:v>
      </x:c>
      <x:c r="D886" t="str">
        <x:v>ruines</x:v>
      </x:c>
      <x:c r="E886" t="str">
        <x:v>Hôtel abandonné — variante 06</x:v>
      </x:c>
      <x:c r="F886" t="n">
        <x:v>8</x:v>
      </x:c>
      <x:c r="G886" t="n">
        <x:v>5</x:v>
      </x:c>
      <x:c r="H886" t="n">
        <x:v>0</x:v>
      </x:c>
      <x:c r="I886" t="str">
        <x:v>À qualifier par lieu</x:v>
      </x:c>
      <x:c r="J886" t="str">
        <x:v>https://github.com/darknigthmare/deadwall-last-enclosure/blob/e28f46223e73105ab2c5d83f3d50b99b58ef53e6/codex-3000/originaux/DEADWALL_CODEX_SUPPLEMENT_1.23/FICHES_501_1000/DW-0881.md</x:v>
      </x:c>
      <x:c r="K886" t="str">
        <x:v>Source min 14,43 m ; max 14,43 m ; modèle 26 × 43 m ; niveaux 0, 1. Détails dans catalogue-existant.json.</x:v>
      </x:c>
    </x:row>
    <x:row r="887">
      <x:c r="A887" t="str">
        <x:v>DW-0882</x:v>
      </x:c>
      <x:c r="B887" t="str">
        <x:v>DW-0882</x:v>
      </x:c>
      <x:c r="C887" t="str">
        <x:v>Parent historique</x:v>
      </x:c>
      <x:c r="D887" t="str">
        <x:v>ruines</x:v>
      </x:c>
      <x:c r="E887" t="str">
        <x:v>Lotissement ravagé — variante 06</x:v>
      </x:c>
      <x:c r="F887" t="n">
        <x:v>8</x:v>
      </x:c>
      <x:c r="G887" t="n">
        <x:v>4</x:v>
      </x:c>
      <x:c r="H887" t="n">
        <x:v>0</x:v>
      </x:c>
      <x:c r="I887" t="str">
        <x:v>À qualifier par lieu</x:v>
      </x:c>
      <x:c r="J887" t="str">
        <x:v>https://github.com/darknigthmare/deadwall-last-enclosure/blob/e28f46223e73105ab2c5d83f3d50b99b58ef53e6/codex-3000/originaux/DEADWALL_CODEX_SUPPLEMENT_1.23/FICHES_501_1000/DW-0882.md</x:v>
      </x:c>
      <x:c r="K887" t="str">
        <x:v>Source min 25,60 m ; max 25,60 m ; modèle 25 × 60 m ; niveaux 0. Détails dans catalogue-existant.json.</x:v>
      </x:c>
    </x:row>
    <x:row r="888">
      <x:c r="A888" t="str">
        <x:v>DW-0883</x:v>
      </x:c>
      <x:c r="B888" t="str">
        <x:v>DW-0883</x:v>
      </x:c>
      <x:c r="C888" t="str">
        <x:v>Parent historique</x:v>
      </x:c>
      <x:c r="D888" t="str">
        <x:v>ruines</x:v>
      </x:c>
      <x:c r="E888" t="str">
        <x:v>Village déserté — variante 06</x:v>
      </x:c>
      <x:c r="F888" t="n">
        <x:v>8</x:v>
      </x:c>
      <x:c r="G888" t="n">
        <x:v>5</x:v>
      </x:c>
      <x:c r="H888" t="n">
        <x:v>0</x:v>
      </x:c>
      <x:c r="I888" t="str">
        <x:v>À qualifier par lieu</x:v>
      </x:c>
      <x:c r="J888" t="str">
        <x:v>https://github.com/darknigthmare/deadwall-last-enclosure/blob/e28f46223e73105ab2c5d83f3d50b99b58ef53e6/codex-3000/originaux/DEADWALL_CODEX_SUPPLEMENT_1.23/FICHES_501_1000/DW-0883.md</x:v>
      </x:c>
      <x:c r="K888" t="str">
        <x:v>Source min 36,23 m ; max 36,23 m ; modèle 36 × 23 m ; niveaux 0. Détails dans catalogue-existant.json.</x:v>
      </x:c>
    </x:row>
    <x:row r="889">
      <x:c r="A889" t="str">
        <x:v>DW-0884</x:v>
      </x:c>
      <x:c r="B889" t="str">
        <x:v>DW-0884</x:v>
      </x:c>
      <x:c r="C889" t="str">
        <x:v>Parent historique</x:v>
      </x:c>
      <x:c r="D889" t="str">
        <x:v>ruines</x:v>
      </x:c>
      <x:c r="E889" t="str">
        <x:v>Centre commercial effondré — variante 06</x:v>
      </x:c>
      <x:c r="F889" t="n">
        <x:v>8</x:v>
      </x:c>
      <x:c r="G889" t="n">
        <x:v>5</x:v>
      </x:c>
      <x:c r="H889" t="n">
        <x:v>0</x:v>
      </x:c>
      <x:c r="I889" t="str">
        <x:v>À qualifier par lieu</x:v>
      </x:c>
      <x:c r="J889" t="str">
        <x:v>https://github.com/darknigthmare/deadwall-last-enclosure/blob/e28f46223e73105ab2c5d83f3d50b99b58ef53e6/codex-3000/originaux/DEADWALL_CODEX_SUPPLEMENT_1.23/FICHES_501_1000/DW-0884.md</x:v>
      </x:c>
      <x:c r="K889" t="str">
        <x:v>Source min 47,40 m ; max 47,40 m ; modèle 47 × 40 m ; niveaux 0. Détails dans catalogue-existant.json.</x:v>
      </x:c>
    </x:row>
    <x:row r="890">
      <x:c r="A890" t="str">
        <x:v>DW-0885</x:v>
      </x:c>
      <x:c r="B890" t="str">
        <x:v>DW-0885</x:v>
      </x:c>
      <x:c r="C890" t="str">
        <x:v>Parent historique</x:v>
      </x:c>
      <x:c r="D890" t="str">
        <x:v>habitat</x:v>
      </x:c>
      <x:c r="E890" t="str">
        <x:v>Maison de lotissement — variante 07</x:v>
      </x:c>
      <x:c r="F890" t="n">
        <x:v>8</x:v>
      </x:c>
      <x:c r="G890" t="n">
        <x:v>5</x:v>
      </x:c>
      <x:c r="H890" t="n">
        <x:v>0</x:v>
      </x:c>
      <x:c r="I890" t="str">
        <x:v>À qualifier par lieu</x:v>
      </x:c>
      <x:c r="J890" t="str">
        <x:v>https://github.com/darknigthmare/deadwall-last-enclosure/blob/e28f46223e73105ab2c5d83f3d50b99b58ef53e6/codex-3000/originaux/DEADWALL_CODEX_SUPPLEMENT_1.23/FICHES_501_1000/DW-0885.md</x:v>
      </x:c>
      <x:c r="K890" t="str">
        <x:v>Source min 58,57 m ; max 58,57 m ; modèle 58 × 57 m ; niveaux 0, 1. Détails dans catalogue-existant.json.</x:v>
      </x:c>
    </x:row>
    <x:row r="891">
      <x:c r="A891" t="str">
        <x:v>DW-0886</x:v>
      </x:c>
      <x:c r="B891" t="str">
        <x:v>DW-0886</x:v>
      </x:c>
      <x:c r="C891" t="str">
        <x:v>Parent historique</x:v>
      </x:c>
      <x:c r="D891" t="str">
        <x:v>habitat</x:v>
      </x:c>
      <x:c r="E891" t="str">
        <x:v>Maison mitoyenne — variante 07</x:v>
      </x:c>
      <x:c r="F891" t="n">
        <x:v>8</x:v>
      </x:c>
      <x:c r="G891" t="n">
        <x:v>5</x:v>
      </x:c>
      <x:c r="H891" t="n">
        <x:v>0</x:v>
      </x:c>
      <x:c r="I891" t="str">
        <x:v>À qualifier par lieu</x:v>
      </x:c>
      <x:c r="J891" t="str">
        <x:v>https://github.com/darknigthmare/deadwall-last-enclosure/blob/e28f46223e73105ab2c5d83f3d50b99b58ef53e6/codex-3000/originaux/DEADWALL_CODEX_SUPPLEMENT_1.23/FICHES_501_1000/DW-0886.md</x:v>
      </x:c>
      <x:c r="K891" t="str">
        <x:v>Source min 69,20 m ; max 69,20 m ; modèle 69 × 22 m ; niveaux 0. Détails dans catalogue-existant.json.</x:v>
      </x:c>
    </x:row>
    <x:row r="892">
      <x:c r="A892" t="str">
        <x:v>DW-0887</x:v>
      </x:c>
      <x:c r="B892" t="str">
        <x:v>DW-0887</x:v>
      </x:c>
      <x:c r="C892" t="str">
        <x:v>Parent historique</x:v>
      </x:c>
      <x:c r="D892" t="str">
        <x:v>habitat</x:v>
      </x:c>
      <x:c r="E892" t="str">
        <x:v>Villa isolée — variante 07</x:v>
      </x:c>
      <x:c r="F892" t="n">
        <x:v>8</x:v>
      </x:c>
      <x:c r="G892" t="n">
        <x:v>7</x:v>
      </x:c>
      <x:c r="H892" t="n">
        <x:v>0</x:v>
      </x:c>
      <x:c r="I892" t="str">
        <x:v>À qualifier par lieu</x:v>
      </x:c>
      <x:c r="J892" t="str">
        <x:v>https://github.com/darknigthmare/deadwall-last-enclosure/blob/e28f46223e73105ab2c5d83f3d50b99b58ef53e6/codex-3000/originaux/DEADWALL_CODEX_SUPPLEMENT_1.23/FICHES_501_1000/DW-0887.md</x:v>
      </x:c>
      <x:c r="K892" t="str">
        <x:v>Source min 80,37 m ; max 80,37 m ; modèle 78 × 37 m ; niveaux 0. Détails dans catalogue-existant.json.</x:v>
      </x:c>
    </x:row>
    <x:row r="893">
      <x:c r="A893" t="str">
        <x:v>DW-0888</x:v>
      </x:c>
      <x:c r="B893" t="str">
        <x:v>DW-0888</x:v>
      </x:c>
      <x:c r="C893" t="str">
        <x:v>Parent historique</x:v>
      </x:c>
      <x:c r="D893" t="str">
        <x:v>habitat</x:v>
      </x:c>
      <x:c r="E893" t="str">
        <x:v>Ferme familiale — variante 07</x:v>
      </x:c>
      <x:c r="F893" t="n">
        <x:v>8</x:v>
      </x:c>
      <x:c r="G893" t="n">
        <x:v>6</x:v>
      </x:c>
      <x:c r="H893" t="n">
        <x:v>0</x:v>
      </x:c>
      <x:c r="I893" t="str">
        <x:v>À qualifier par lieu</x:v>
      </x:c>
      <x:c r="J893" t="str">
        <x:v>https://github.com/darknigthmare/deadwall-last-enclosure/blob/e28f46223e73105ab2c5d83f3d50b99b58ef53e6/codex-3000/originaux/DEADWALL_CODEX_SUPPLEMENT_1.23/FICHES_501_1000/DW-0888.md</x:v>
      </x:c>
      <x:c r="K893" t="str">
        <x:v>Source min 19,54 m ; max 19,54 m ; modèle 28 × 54 m ; niveaux 0. Détails dans catalogue-existant.json.</x:v>
      </x:c>
    </x:row>
    <x:row r="894">
      <x:c r="A894" t="str">
        <x:v>DW-0889</x:v>
      </x:c>
      <x:c r="B894" t="str">
        <x:v>DW-0889</x:v>
      </x:c>
      <x:c r="C894" t="str">
        <x:v>Parent historique</x:v>
      </x:c>
      <x:c r="D894" t="str">
        <x:v>habitat</x:v>
      </x:c>
      <x:c r="E894" t="str">
        <x:v>Immeuble résidentiel — variante 07</x:v>
      </x:c>
      <x:c r="F894" t="n">
        <x:v>8</x:v>
      </x:c>
      <x:c r="G894" t="n">
        <x:v>5</x:v>
      </x:c>
      <x:c r="H894" t="n">
        <x:v>0</x:v>
      </x:c>
      <x:c r="I894" t="str">
        <x:v>À qualifier par lieu</x:v>
      </x:c>
      <x:c r="J894" t="str">
        <x:v>https://github.com/darknigthmare/deadwall-last-enclosure/blob/e28f46223e73105ab2c5d83f3d50b99b58ef53e6/codex-3000/originaux/DEADWALL_CODEX_SUPPLEMENT_1.23/FICHES_501_1000/DW-0889.md</x:v>
      </x:c>
      <x:c r="K894" t="str">
        <x:v>Source min 30,17 m ; max 30,17 m ; modèle 30 × 22 m ; niveaux 0, 1, 2. Détails dans catalogue-existant.json.</x:v>
      </x:c>
    </x:row>
    <x:row r="895">
      <x:c r="A895" t="str">
        <x:v>DW-0890</x:v>
      </x:c>
      <x:c r="B895" t="str">
        <x:v>DW-0890</x:v>
      </x:c>
      <x:c r="C895" t="str">
        <x:v>Parent historique</x:v>
      </x:c>
      <x:c r="D895" t="str">
        <x:v>habitat</x:v>
      </x:c>
      <x:c r="E895" t="str">
        <x:v>Barre de logements — variante 07</x:v>
      </x:c>
      <x:c r="F895" t="n">
        <x:v>8</x:v>
      </x:c>
      <x:c r="G895" t="n">
        <x:v>5</x:v>
      </x:c>
      <x:c r="H895" t="n">
        <x:v>0</x:v>
      </x:c>
      <x:c r="I895" t="str">
        <x:v>À qualifier par lieu</x:v>
      </x:c>
      <x:c r="J895" t="str">
        <x:v>https://github.com/darknigthmare/deadwall-last-enclosure/blob/e28f46223e73105ab2c5d83f3d50b99b58ef53e6/codex-3000/originaux/DEADWALL_CODEX_SUPPLEMENT_1.23/FICHES_501_1000/DW-0890.md</x:v>
      </x:c>
      <x:c r="K895" t="str">
        <x:v>Source min 41,34 m ; max 41,34 m ; modèle 41 × 34 m ; niveaux 0, 1, 2. Détails dans catalogue-existant.json.</x:v>
      </x:c>
    </x:row>
    <x:row r="896">
      <x:c r="A896" t="str">
        <x:v>DW-0891</x:v>
      </x:c>
      <x:c r="B896" t="str">
        <x:v>DW-0891</x:v>
      </x:c>
      <x:c r="C896" t="str">
        <x:v>Parent historique</x:v>
      </x:c>
      <x:c r="D896" t="str">
        <x:v>habitat</x:v>
      </x:c>
      <x:c r="E896" t="str">
        <x:v>Résidence senior — variante 07</x:v>
      </x:c>
      <x:c r="F896" t="n">
        <x:v>8</x:v>
      </x:c>
      <x:c r="G896" t="n">
        <x:v>5</x:v>
      </x:c>
      <x:c r="H896" t="n">
        <x:v>0</x:v>
      </x:c>
      <x:c r="I896" t="str">
        <x:v>À qualifier par lieu</x:v>
      </x:c>
      <x:c r="J896" t="str">
        <x:v>https://github.com/darknigthmare/deadwall-last-enclosure/blob/e28f46223e73105ab2c5d83f3d50b99b58ef53e6/codex-3000/originaux/DEADWALL_CODEX_SUPPLEMENT_1.23/FICHES_501_1000/DW-0891.md</x:v>
      </x:c>
      <x:c r="K896" t="str">
        <x:v>Source min 52,51 m ; max 52,51 m ; modèle 52 × 51 m ; niveaux 0, 1. Détails dans catalogue-existant.json.</x:v>
      </x:c>
    </x:row>
    <x:row r="897">
      <x:c r="A897" t="str">
        <x:v>DW-0892</x:v>
      </x:c>
      <x:c r="B897" t="str">
        <x:v>DW-0892</x:v>
      </x:c>
      <x:c r="C897" t="str">
        <x:v>Parent historique</x:v>
      </x:c>
      <x:c r="D897" t="str">
        <x:v>habitat</x:v>
      </x:c>
      <x:c r="E897" t="str">
        <x:v>Maison avec sous-sol — variante 07</x:v>
      </x:c>
      <x:c r="F897" t="n">
        <x:v>8</x:v>
      </x:c>
      <x:c r="G897" t="n">
        <x:v>5</x:v>
      </x:c>
      <x:c r="H897" t="n">
        <x:v>0</x:v>
      </x:c>
      <x:c r="I897" t="str">
        <x:v>À qualifier par lieu</x:v>
      </x:c>
      <x:c r="J897" t="str">
        <x:v>https://github.com/darknigthmare/deadwall-last-enclosure/blob/e28f46223e73105ab2c5d83f3d50b99b58ef53e6/codex-3000/originaux/DEADWALL_CODEX_SUPPLEMENT_1.23/FICHES_501_1000/DW-0892.md</x:v>
      </x:c>
      <x:c r="K897" t="str">
        <x:v>Source min 63,14 m ; max 63,14 m ; modèle 63 × 22 m ; niveaux 0. Détails dans catalogue-existant.json.</x:v>
      </x:c>
    </x:row>
    <x:row r="898">
      <x:c r="A898" t="str">
        <x:v>DW-0893</x:v>
      </x:c>
      <x:c r="B898" t="str">
        <x:v>DW-0893</x:v>
      </x:c>
      <x:c r="C898" t="str">
        <x:v>Parent historique</x:v>
      </x:c>
      <x:c r="D898" t="str">
        <x:v>commerce</x:v>
      </x:c>
      <x:c r="E898" t="str">
        <x:v>Supérette — variante 07</x:v>
      </x:c>
      <x:c r="F898" t="n">
        <x:v>8</x:v>
      </x:c>
      <x:c r="G898" t="n">
        <x:v>5</x:v>
      </x:c>
      <x:c r="H898" t="n">
        <x:v>0</x:v>
      </x:c>
      <x:c r="I898" t="str">
        <x:v>À qualifier par lieu</x:v>
      </x:c>
      <x:c r="J898" t="str">
        <x:v>https://github.com/darknigthmare/deadwall-last-enclosure/blob/e28f46223e73105ab2c5d83f3d50b99b58ef53e6/codex-3000/originaux/DEADWALL_CODEX_SUPPLEMENT_1.23/FICHES_501_1000/DW-0893.md</x:v>
      </x:c>
      <x:c r="K898" t="str">
        <x:v>Source min 74,31 m ; max 74,31 m ; modèle 74 × 31 m ; niveaux 0, 1. Détails dans catalogue-existant.json.</x:v>
      </x:c>
    </x:row>
    <x:row r="899">
      <x:c r="A899" t="str">
        <x:v>DW-0894</x:v>
      </x:c>
      <x:c r="B899" t="str">
        <x:v>DW-0894</x:v>
      </x:c>
      <x:c r="C899" t="str">
        <x:v>Parent historique</x:v>
      </x:c>
      <x:c r="D899" t="str">
        <x:v>commerce</x:v>
      </x:c>
      <x:c r="E899" t="str">
        <x:v>Centre commercial — variante 07</x:v>
      </x:c>
      <x:c r="F899" t="n">
        <x:v>8</x:v>
      </x:c>
      <x:c r="G899" t="n">
        <x:v>6</x:v>
      </x:c>
      <x:c r="H899" t="n">
        <x:v>0</x:v>
      </x:c>
      <x:c r="I899" t="str">
        <x:v>À qualifier par lieu</x:v>
      </x:c>
      <x:c r="J899" t="str">
        <x:v>https://github.com/darknigthmare/deadwall-last-enclosure/blob/e28f46223e73105ab2c5d83f3d50b99b58ef53e6/codex-3000/originaux/DEADWALL_CODEX_SUPPLEMENT_1.23/FICHES_501_1000/DW-0894.md</x:v>
      </x:c>
      <x:c r="K899" t="str">
        <x:v>Source min 13,48 m ; max 13,48 m ; modèle 28 × 48 m ; niveaux 0. Détails dans catalogue-existant.json.</x:v>
      </x:c>
    </x:row>
    <x:row r="900">
      <x:c r="A900" t="str">
        <x:v>DW-0895</x:v>
      </x:c>
      <x:c r="B900" t="str">
        <x:v>DW-0895</x:v>
      </x:c>
      <x:c r="C900" t="str">
        <x:v>Parent historique</x:v>
      </x:c>
      <x:c r="D900" t="str">
        <x:v>commerce</x:v>
      </x:c>
      <x:c r="E900" t="str">
        <x:v>Supermarché — variante 07</x:v>
      </x:c>
      <x:c r="F900" t="n">
        <x:v>8</x:v>
      </x:c>
      <x:c r="G900" t="n">
        <x:v>7</x:v>
      </x:c>
      <x:c r="H900" t="n">
        <x:v>0</x:v>
      </x:c>
      <x:c r="I900" t="str">
        <x:v>À qualifier par lieu</x:v>
      </x:c>
      <x:c r="J900" t="str">
        <x:v>https://github.com/darknigthmare/deadwall-last-enclosure/blob/e28f46223e73105ab2c5d83f3d50b99b58ef53e6/codex-3000/originaux/DEADWALL_CODEX_SUPPLEMENT_1.23/FICHES_501_1000/DW-0895.md</x:v>
      </x:c>
      <x:c r="K900" t="str">
        <x:v>Source min 24,11 m ; max 24,11 m ; modèle 29 × 29 m ; niveaux 0. Détails dans catalogue-existant.json.</x:v>
      </x:c>
    </x:row>
    <x:row r="901">
      <x:c r="A901" t="str">
        <x:v>DW-0896</x:v>
      </x:c>
      <x:c r="B901" t="str">
        <x:v>DW-0896</x:v>
      </x:c>
      <x:c r="C901" t="str">
        <x:v>Parent historique</x:v>
      </x:c>
      <x:c r="D901" t="str">
        <x:v>commerce</x:v>
      </x:c>
      <x:c r="E901" t="str">
        <x:v>Magasin de bricolage — variante 07</x:v>
      </x:c>
      <x:c r="F901" t="n">
        <x:v>8</x:v>
      </x:c>
      <x:c r="G901" t="n">
        <x:v>5</x:v>
      </x:c>
      <x:c r="H901" t="n">
        <x:v>0</x:v>
      </x:c>
      <x:c r="I901" t="str">
        <x:v>À qualifier par lieu</x:v>
      </x:c>
      <x:c r="J901" t="str">
        <x:v>https://github.com/darknigthmare/deadwall-last-enclosure/blob/e28f46223e73105ab2c5d83f3d50b99b58ef53e6/codex-3000/originaux/DEADWALL_CODEX_SUPPLEMENT_1.23/FICHES_501_1000/DW-0896.md</x:v>
      </x:c>
      <x:c r="K901" t="str">
        <x:v>Source min 35,28 m ; max 35,28 m ; modèle 35 × 28 m ; niveaux 0. Détails dans catalogue-existant.json.</x:v>
      </x:c>
    </x:row>
    <x:row r="902">
      <x:c r="A902" t="str">
        <x:v>DW-0897</x:v>
      </x:c>
      <x:c r="B902" t="str">
        <x:v>DW-0897</x:v>
      </x:c>
      <x:c r="C902" t="str">
        <x:v>Parent historique</x:v>
      </x:c>
      <x:c r="D902" t="str">
        <x:v>commerce</x:v>
      </x:c>
      <x:c r="E902" t="str">
        <x:v>Pharmacie — variante 07</x:v>
      </x:c>
      <x:c r="F902" t="n">
        <x:v>8</x:v>
      </x:c>
      <x:c r="G902" t="n">
        <x:v>4</x:v>
      </x:c>
      <x:c r="H902" t="n">
        <x:v>0</x:v>
      </x:c>
      <x:c r="I902" t="str">
        <x:v>À qualifier par lieu</x:v>
      </x:c>
      <x:c r="J902" t="str">
        <x:v>https://github.com/darknigthmare/deadwall-last-enclosure/blob/e28f46223e73105ab2c5d83f3d50b99b58ef53e6/codex-3000/originaux/DEADWALL_CODEX_SUPPLEMENT_1.23/FICHES_501_1000/DW-0897.md</x:v>
      </x:c>
      <x:c r="K902" t="str">
        <x:v>Source min 46,45 m ; max 46,45 m ; modèle 46 × 45 m ; niveaux 0, 1. Détails dans catalogue-existant.json.</x:v>
      </x:c>
    </x:row>
    <x:row r="903">
      <x:c r="A903" t="str">
        <x:v>DW-0898</x:v>
      </x:c>
      <x:c r="B903" t="str">
        <x:v>DW-0898</x:v>
      </x:c>
      <x:c r="C903" t="str">
        <x:v>Parent historique</x:v>
      </x:c>
      <x:c r="D903" t="str">
        <x:v>commerce</x:v>
      </x:c>
      <x:c r="E903" t="str">
        <x:v>Station-service — variante 07</x:v>
      </x:c>
      <x:c r="F903" t="n">
        <x:v>8</x:v>
      </x:c>
      <x:c r="G903" t="n">
        <x:v>5</x:v>
      </x:c>
      <x:c r="H903" t="n">
        <x:v>0</x:v>
      </x:c>
      <x:c r="I903" t="str">
        <x:v>À qualifier par lieu</x:v>
      </x:c>
      <x:c r="J903" t="str">
        <x:v>https://github.com/darknigthmare/deadwall-last-enclosure/blob/e28f46223e73105ab2c5d83f3d50b99b58ef53e6/codex-3000/originaux/DEADWALL_CODEX_SUPPLEMENT_1.23/FICHES_501_1000/DW-0898.md</x:v>
      </x:c>
      <x:c r="K903" t="str">
        <x:v>Source min 57,62 m ; max 57,62 m ; modèle 57 × 62 m ; niveaux 0. Détails dans catalogue-existant.json.</x:v>
      </x:c>
    </x:row>
    <x:row r="904">
      <x:c r="A904" t="str">
        <x:v>DW-0899</x:v>
      </x:c>
      <x:c r="B904" t="str">
        <x:v>DW-0899</x:v>
      </x:c>
      <x:c r="C904" t="str">
        <x:v>Parent historique</x:v>
      </x:c>
      <x:c r="D904" t="str">
        <x:v>commerce</x:v>
      </x:c>
      <x:c r="E904" t="str">
        <x:v>Restaurant routier — variante 07</x:v>
      </x:c>
      <x:c r="F904" t="n">
        <x:v>8</x:v>
      </x:c>
      <x:c r="G904" t="n">
        <x:v>5</x:v>
      </x:c>
      <x:c r="H904" t="n">
        <x:v>0</x:v>
      </x:c>
      <x:c r="I904" t="str">
        <x:v>À qualifier par lieu</x:v>
      </x:c>
      <x:c r="J904" t="str">
        <x:v>https://github.com/darknigthmare/deadwall-last-enclosure/blob/e28f46223e73105ab2c5d83f3d50b99b58ef53e6/codex-3000/originaux/DEADWALL_CODEX_SUPPLEMENT_1.23/FICHES_501_1000/DW-0899.md</x:v>
      </x:c>
      <x:c r="K904" t="str">
        <x:v>Source min 68,25 m ; max 68,25 m ; modèle 68 × 25 m ; niveaux 0. Détails dans catalogue-existant.json.</x:v>
      </x:c>
    </x:row>
    <x:row r="905">
      <x:c r="A905" t="str">
        <x:v>DW-0900</x:v>
      </x:c>
      <x:c r="B905" t="str">
        <x:v>DW-0900</x:v>
      </x:c>
      <x:c r="C905" t="str">
        <x:v>Parent historique</x:v>
      </x:c>
      <x:c r="D905" t="str">
        <x:v>commerce</x:v>
      </x:c>
      <x:c r="E905" t="str">
        <x:v>Hôtel — variante 07</x:v>
      </x:c>
      <x:c r="F905" t="n">
        <x:v>8</x:v>
      </x:c>
      <x:c r="G905" t="n">
        <x:v>6</x:v>
      </x:c>
      <x:c r="H905" t="n">
        <x:v>0</x:v>
      </x:c>
      <x:c r="I905" t="str">
        <x:v>À qualifier par lieu</x:v>
      </x:c>
      <x:c r="J905" t="str">
        <x:v>https://github.com/darknigthmare/deadwall-last-enclosure/blob/e28f46223e73105ab2c5d83f3d50b99b58ef53e6/codex-3000/originaux/DEADWALL_CODEX_SUPPLEMENT_1.23/FICHES_501_1000/DW-0900.md</x:v>
      </x:c>
      <x:c r="K905" t="str">
        <x:v>Source min 79,42 m ; max 79,42 m ; modèle 78 × 42 m ; niveaux 0. Détails dans catalogue-existant.json.</x:v>
      </x:c>
    </x:row>
    <x:row r="906">
      <x:c r="A906" t="str">
        <x:v>DW-0901</x:v>
      </x:c>
      <x:c r="B906" t="str">
        <x:v>DW-0901</x:v>
      </x:c>
      <x:c r="C906" t="str">
        <x:v>Parent historique</x:v>
      </x:c>
      <x:c r="D906" t="str">
        <x:v>industrie</x:v>
      </x:c>
      <x:c r="E906" t="str">
        <x:v>Scierie — variante 07</x:v>
      </x:c>
      <x:c r="F906" t="n">
        <x:v>8</x:v>
      </x:c>
      <x:c r="G906" t="n">
        <x:v>5</x:v>
      </x:c>
      <x:c r="H906" t="n">
        <x:v>0</x:v>
      </x:c>
      <x:c r="I906" t="str">
        <x:v>À qualifier par lieu</x:v>
      </x:c>
      <x:c r="J906" t="str">
        <x:v>https://github.com/darknigthmare/deadwall-last-enclosure/blob/e28f46223e73105ab2c5d83f3d50b99b58ef53e6/codex-3000/originaux/DEADWALL_CODEX_SUPPLEMENT_1.23/FICHES_501_1000/DW-0901.md</x:v>
      </x:c>
      <x:c r="K906" t="str">
        <x:v>Source min 18,59 m ; max 18,59 m ; modèle 26 × 59 m ; niveaux 0. Détails dans catalogue-existant.json.</x:v>
      </x:c>
    </x:row>
    <x:row r="907">
      <x:c r="A907" t="str">
        <x:v>DW-0902</x:v>
      </x:c>
      <x:c r="B907" t="str">
        <x:v>DW-0902</x:v>
      </x:c>
      <x:c r="C907" t="str">
        <x:v>Parent historique</x:v>
      </x:c>
      <x:c r="D907" t="str">
        <x:v>industrie</x:v>
      </x:c>
      <x:c r="E907" t="str">
        <x:v>Garage automobile — variante 07</x:v>
      </x:c>
      <x:c r="F907" t="n">
        <x:v>8</x:v>
      </x:c>
      <x:c r="G907" t="n">
        <x:v>5</x:v>
      </x:c>
      <x:c r="H907" t="n">
        <x:v>0</x:v>
      </x:c>
      <x:c r="I907" t="str">
        <x:v>À qualifier par lieu</x:v>
      </x:c>
      <x:c r="J907" t="str">
        <x:v>https://github.com/darknigthmare/deadwall-last-enclosure/blob/e28f46223e73105ab2c5d83f3d50b99b58ef53e6/codex-3000/originaux/DEADWALL_CODEX_SUPPLEMENT_1.23/FICHES_501_1000/DW-0902.md</x:v>
      </x:c>
      <x:c r="K907" t="str">
        <x:v>Source min 29,22 m ; max 29,22 m ; modèle 29 × 22 m ; niveaux 0. Détails dans catalogue-existant.json.</x:v>
      </x:c>
    </x:row>
    <x:row r="908">
      <x:c r="A908" t="str">
        <x:v>DW-0903</x:v>
      </x:c>
      <x:c r="B908" t="str">
        <x:v>DW-0903</x:v>
      </x:c>
      <x:c r="C908" t="str">
        <x:v>Parent historique</x:v>
      </x:c>
      <x:c r="D908" t="str">
        <x:v>industrie</x:v>
      </x:c>
      <x:c r="E908" t="str">
        <x:v>Entrepôt logistique — variante 07</x:v>
      </x:c>
      <x:c r="F908" t="n">
        <x:v>8</x:v>
      </x:c>
      <x:c r="G908" t="n">
        <x:v>5</x:v>
      </x:c>
      <x:c r="H908" t="n">
        <x:v>0</x:v>
      </x:c>
      <x:c r="I908" t="str">
        <x:v>À qualifier par lieu</x:v>
      </x:c>
      <x:c r="J908" t="str">
        <x:v>https://github.com/darknigthmare/deadwall-last-enclosure/blob/e28f46223e73105ab2c5d83f3d50b99b58ef53e6/codex-3000/originaux/DEADWALL_CODEX_SUPPLEMENT_1.23/FICHES_501_1000/DW-0903.md</x:v>
      </x:c>
      <x:c r="K908" t="str">
        <x:v>Source min 40,39 m ; max 40,39 m ; modèle 40 × 39 m ; niveaux 0. Détails dans catalogue-existant.json.</x:v>
      </x:c>
    </x:row>
    <x:row r="909">
      <x:c r="A909" t="str">
        <x:v>DW-0904</x:v>
      </x:c>
      <x:c r="B909" t="str">
        <x:v>DW-0904</x:v>
      </x:c>
      <x:c r="C909" t="str">
        <x:v>Parent historique</x:v>
      </x:c>
      <x:c r="D909" t="str">
        <x:v>industrie</x:v>
      </x:c>
      <x:c r="E909" t="str">
        <x:v>Petite usine — variante 07</x:v>
      </x:c>
      <x:c r="F909" t="n">
        <x:v>8</x:v>
      </x:c>
      <x:c r="G909" t="n">
        <x:v>5</x:v>
      </x:c>
      <x:c r="H909" t="n">
        <x:v>0</x:v>
      </x:c>
      <x:c r="I909" t="str">
        <x:v>À qualifier par lieu</x:v>
      </x:c>
      <x:c r="J909" t="str">
        <x:v>https://github.com/darknigthmare/deadwall-last-enclosure/blob/e28f46223e73105ab2c5d83f3d50b99b58ef53e6/codex-3000/originaux/DEADWALL_CODEX_SUPPLEMENT_1.23/FICHES_501_1000/DW-0904.md</x:v>
      </x:c>
      <x:c r="K909" t="str">
        <x:v>Source min 51,56 m ; max 51,56 m ; modèle 51 × 56 m ; niveaux 0. Détails dans catalogue-existant.json.</x:v>
      </x:c>
    </x:row>
    <x:row r="910">
      <x:c r="A910" t="str">
        <x:v>DW-0905</x:v>
      </x:c>
      <x:c r="B910" t="str">
        <x:v>DW-0905</x:v>
      </x:c>
      <x:c r="C910" t="str">
        <x:v>Parent historique</x:v>
      </x:c>
      <x:c r="D910" t="str">
        <x:v>industrie</x:v>
      </x:c>
      <x:c r="E910" t="str">
        <x:v>Carrière — variante 07</x:v>
      </x:c>
      <x:c r="F910" t="n">
        <x:v>8</x:v>
      </x:c>
      <x:c r="G910" t="n">
        <x:v>5</x:v>
      </x:c>
      <x:c r="H910" t="n">
        <x:v>0</x:v>
      </x:c>
      <x:c r="I910" t="str">
        <x:v>À qualifier par lieu</x:v>
      </x:c>
      <x:c r="J910" t="str">
        <x:v>https://github.com/darknigthmare/deadwall-last-enclosure/blob/e28f46223e73105ab2c5d83f3d50b99b58ef53e6/codex-3000/originaux/DEADWALL_CODEX_SUPPLEMENT_1.23/FICHES_501_1000/DW-0905.md</x:v>
      </x:c>
      <x:c r="K910" t="str">
        <x:v>Source min 62,19 m ; max 62,19 m ; modèle 62 × 22 m ; niveaux 0. Détails dans catalogue-existant.json.</x:v>
      </x:c>
    </x:row>
    <x:row r="911">
      <x:c r="A911" t="str">
        <x:v>DW-0906</x:v>
      </x:c>
      <x:c r="B911" t="str">
        <x:v>DW-0906</x:v>
      </x:c>
      <x:c r="C911" t="str">
        <x:v>Parent historique</x:v>
      </x:c>
      <x:c r="D911" t="str">
        <x:v>industrie</x:v>
      </x:c>
      <x:c r="E911" t="str">
        <x:v>Mine — variante 07</x:v>
      </x:c>
      <x:c r="F911" t="n">
        <x:v>8</x:v>
      </x:c>
      <x:c r="G911" t="n">
        <x:v>6</x:v>
      </x:c>
      <x:c r="H911" t="n">
        <x:v>0</x:v>
      </x:c>
      <x:c r="I911" t="str">
        <x:v>À qualifier par lieu</x:v>
      </x:c>
      <x:c r="J911" t="str">
        <x:v>https://github.com/darknigthmare/deadwall-last-enclosure/blob/e28f46223e73105ab2c5d83f3d50b99b58ef53e6/codex-3000/originaux/DEADWALL_CODEX_SUPPLEMENT_1.23/FICHES_501_1000/DW-0906.md</x:v>
      </x:c>
      <x:c r="K911" t="str">
        <x:v>Source min 73,36 m ; max 73,36 m ; modèle 73 × 36 m ; niveaux 0. Détails dans catalogue-existant.json.</x:v>
      </x:c>
    </x:row>
    <x:row r="912">
      <x:c r="A912" t="str">
        <x:v>DW-0907</x:v>
      </x:c>
      <x:c r="B912" t="str">
        <x:v>DW-0907</x:v>
      </x:c>
      <x:c r="C912" t="str">
        <x:v>Parent historique</x:v>
      </x:c>
      <x:c r="D912" t="str">
        <x:v>industrie</x:v>
      </x:c>
      <x:c r="E912" t="str">
        <x:v>Centrale locale — variante 07</x:v>
      </x:c>
      <x:c r="F912" t="n">
        <x:v>8</x:v>
      </x:c>
      <x:c r="G912" t="n">
        <x:v>5</x:v>
      </x:c>
      <x:c r="H912" t="n">
        <x:v>0</x:v>
      </x:c>
      <x:c r="I912" t="str">
        <x:v>À qualifier par lieu</x:v>
      </x:c>
      <x:c r="J912" t="str">
        <x:v>https://github.com/darknigthmare/deadwall-last-enclosure/blob/e28f46223e73105ab2c5d83f3d50b99b58ef53e6/codex-3000/originaux/DEADWALL_CODEX_SUPPLEMENT_1.23/FICHES_501_1000/DW-0907.md</x:v>
      </x:c>
      <x:c r="K912" t="str">
        <x:v>Source min 12,53 m ; max 12,53 m ; modèle 26 × 53 m ; niveaux 0. Détails dans catalogue-existant.json.</x:v>
      </x:c>
    </x:row>
    <x:row r="913">
      <x:c r="A913" t="str">
        <x:v>DW-0908</x:v>
      </x:c>
      <x:c r="B913" t="str">
        <x:v>DW-0908</x:v>
      </x:c>
      <x:c r="C913" t="str">
        <x:v>Parent historique</x:v>
      </x:c>
      <x:c r="D913" t="str">
        <x:v>industrie</x:v>
      </x:c>
      <x:c r="E913" t="str">
        <x:v>Station de pompage — variante 07</x:v>
      </x:c>
      <x:c r="F913" t="n">
        <x:v>8</x:v>
      </x:c>
      <x:c r="G913" t="n">
        <x:v>5</x:v>
      </x:c>
      <x:c r="H913" t="n">
        <x:v>0</x:v>
      </x:c>
      <x:c r="I913" t="str">
        <x:v>À qualifier par lieu</x:v>
      </x:c>
      <x:c r="J913" t="str">
        <x:v>https://github.com/darknigthmare/deadwall-last-enclosure/blob/e28f46223e73105ab2c5d83f3d50b99b58ef53e6/codex-3000/originaux/DEADWALL_CODEX_SUPPLEMENT_1.23/FICHES_501_1000/DW-0908.md</x:v>
      </x:c>
      <x:c r="K913" t="str">
        <x:v>Source min 23,16 m ; max 23,16 m ; modèle 26 × 22 m ; niveaux 0. Détails dans catalogue-existant.json.</x:v>
      </x:c>
    </x:row>
    <x:row r="914">
      <x:c r="A914" t="str">
        <x:v>DW-0909</x:v>
      </x:c>
      <x:c r="B914" t="str">
        <x:v>DW-0909</x:v>
      </x:c>
      <x:c r="C914" t="str">
        <x:v>Parent historique</x:v>
      </x:c>
      <x:c r="D914" t="str">
        <x:v>public</x:v>
      </x:c>
      <x:c r="E914" t="str">
        <x:v>École — variante 07</x:v>
      </x:c>
      <x:c r="F914" t="n">
        <x:v>8</x:v>
      </x:c>
      <x:c r="G914" t="n">
        <x:v>5</x:v>
      </x:c>
      <x:c r="H914" t="n">
        <x:v>0</x:v>
      </x:c>
      <x:c r="I914" t="str">
        <x:v>À qualifier par lieu</x:v>
      </x:c>
      <x:c r="J914" t="str">
        <x:v>https://github.com/darknigthmare/deadwall-last-enclosure/blob/e28f46223e73105ab2c5d83f3d50b99b58ef53e6/codex-3000/originaux/DEADWALL_CODEX_SUPPLEMENT_1.23/FICHES_501_1000/DW-0909.md</x:v>
      </x:c>
      <x:c r="K914" t="str">
        <x:v>Source min 34,33 m ; max 34,33 m ; modèle 34 × 33 m ; niveaux 0, 1. Détails dans catalogue-existant.json.</x:v>
      </x:c>
    </x:row>
    <x:row r="915">
      <x:c r="A915" t="str">
        <x:v>DW-0910</x:v>
      </x:c>
      <x:c r="B915" t="str">
        <x:v>DW-0910</x:v>
      </x:c>
      <x:c r="C915" t="str">
        <x:v>Parent historique</x:v>
      </x:c>
      <x:c r="D915" t="str">
        <x:v>public</x:v>
      </x:c>
      <x:c r="E915" t="str">
        <x:v>Mairie — variante 07</x:v>
      </x:c>
      <x:c r="F915" t="n">
        <x:v>8</x:v>
      </x:c>
      <x:c r="G915" t="n">
        <x:v>5</x:v>
      </x:c>
      <x:c r="H915" t="n">
        <x:v>0</x:v>
      </x:c>
      <x:c r="I915" t="str">
        <x:v>À qualifier par lieu</x:v>
      </x:c>
      <x:c r="J915" t="str">
        <x:v>https://github.com/darknigthmare/deadwall-last-enclosure/blob/e28f46223e73105ab2c5d83f3d50b99b58ef53e6/codex-3000/originaux/DEADWALL_CODEX_SUPPLEMENT_1.23/FICHES_501_1000/DW-0910.md</x:v>
      </x:c>
      <x:c r="K915" t="str">
        <x:v>Source min 45,50 m ; max 45,50 m ; modèle 45 × 50 m ; niveaux 0. Détails dans catalogue-existant.json.</x:v>
      </x:c>
    </x:row>
    <x:row r="916">
      <x:c r="A916" t="str">
        <x:v>DW-0911</x:v>
      </x:c>
      <x:c r="B916" t="str">
        <x:v>DW-0911</x:v>
      </x:c>
      <x:c r="C916" t="str">
        <x:v>Parent historique</x:v>
      </x:c>
      <x:c r="D916" t="str">
        <x:v>public</x:v>
      </x:c>
      <x:c r="E916" t="str">
        <x:v>Clinique — variante 07</x:v>
      </x:c>
      <x:c r="F916" t="n">
        <x:v>8</x:v>
      </x:c>
      <x:c r="G916" t="n">
        <x:v>6</x:v>
      </x:c>
      <x:c r="H916" t="n">
        <x:v>0</x:v>
      </x:c>
      <x:c r="I916" t="str">
        <x:v>À qualifier par lieu</x:v>
      </x:c>
      <x:c r="J916" t="str">
        <x:v>https://github.com/darknigthmare/deadwall-last-enclosure/blob/e28f46223e73105ab2c5d83f3d50b99b58ef53e6/codex-3000/originaux/DEADWALL_CODEX_SUPPLEMENT_1.23/FICHES_501_1000/DW-0911.md</x:v>
      </x:c>
      <x:c r="K916" t="str">
        <x:v>Source min 56,13 m ; max 56,13 m ; modèle 56 × 22 m ; niveaux 0. Détails dans catalogue-existant.json.</x:v>
      </x:c>
    </x:row>
    <x:row r="917">
      <x:c r="A917" t="str">
        <x:v>DW-0912</x:v>
      </x:c>
      <x:c r="B917" t="str">
        <x:v>DW-0912</x:v>
      </x:c>
      <x:c r="C917" t="str">
        <x:v>Parent historique</x:v>
      </x:c>
      <x:c r="D917" t="str">
        <x:v>public</x:v>
      </x:c>
      <x:c r="E917" t="str">
        <x:v>Caserne de pompiers — variante 07</x:v>
      </x:c>
      <x:c r="F917" t="n">
        <x:v>8</x:v>
      </x:c>
      <x:c r="G917" t="n">
        <x:v>6</x:v>
      </x:c>
      <x:c r="H917" t="n">
        <x:v>0</x:v>
      </x:c>
      <x:c r="I917" t="str">
        <x:v>À qualifier par lieu</x:v>
      </x:c>
      <x:c r="J917" t="str">
        <x:v>https://github.com/darknigthmare/deadwall-last-enclosure/blob/e28f46223e73105ab2c5d83f3d50b99b58ef53e6/codex-3000/originaux/DEADWALL_CODEX_SUPPLEMENT_1.23/FICHES_501_1000/DW-0912.md</x:v>
      </x:c>
      <x:c r="K917" t="str">
        <x:v>Source min 67,30 m ; max 67,30 m ; modèle 67 × 30 m ; niveaux 0. Détails dans catalogue-existant.json.</x:v>
      </x:c>
    </x:row>
    <x:row r="918">
      <x:c r="A918" t="str">
        <x:v>DW-0913</x:v>
      </x:c>
      <x:c r="B918" t="str">
        <x:v>DW-0913</x:v>
      </x:c>
      <x:c r="C918" t="str">
        <x:v>Parent historique</x:v>
      </x:c>
      <x:c r="D918" t="str">
        <x:v>public</x:v>
      </x:c>
      <x:c r="E918" t="str">
        <x:v>Poste de police — variante 07</x:v>
      </x:c>
      <x:c r="F918" t="n">
        <x:v>8</x:v>
      </x:c>
      <x:c r="G918" t="n">
        <x:v>5</x:v>
      </x:c>
      <x:c r="H918" t="n">
        <x:v>0</x:v>
      </x:c>
      <x:c r="I918" t="str">
        <x:v>À qualifier par lieu</x:v>
      </x:c>
      <x:c r="J918" t="str">
        <x:v>https://github.com/darknigthmare/deadwall-last-enclosure/blob/e28f46223e73105ab2c5d83f3d50b99b58ef53e6/codex-3000/originaux/DEADWALL_CODEX_SUPPLEMENT_1.23/FICHES_501_1000/DW-0913.md</x:v>
      </x:c>
      <x:c r="K918" t="str">
        <x:v>Source min 78,47 m ; max 78,47 m ; modèle 78 × 47 m ; niveaux 0, 1. Détails dans catalogue-existant.json.</x:v>
      </x:c>
    </x:row>
    <x:row r="919">
      <x:c r="A919" t="str">
        <x:v>DW-0914</x:v>
      </x:c>
      <x:c r="B919" t="str">
        <x:v>DW-0914</x:v>
      </x:c>
      <x:c r="C919" t="str">
        <x:v>Parent historique</x:v>
      </x:c>
      <x:c r="D919" t="str">
        <x:v>public</x:v>
      </x:c>
      <x:c r="E919" t="str">
        <x:v>Bibliothèque — variante 07</x:v>
      </x:c>
      <x:c r="F919" t="n">
        <x:v>8</x:v>
      </x:c>
      <x:c r="G919" t="n">
        <x:v>5</x:v>
      </x:c>
      <x:c r="H919" t="n">
        <x:v>0</x:v>
      </x:c>
      <x:c r="I919" t="str">
        <x:v>À qualifier par lieu</x:v>
      </x:c>
      <x:c r="J919" t="str">
        <x:v>https://github.com/darknigthmare/deadwall-last-enclosure/blob/e28f46223e73105ab2c5d83f3d50b99b58ef53e6/codex-3000/originaux/DEADWALL_CODEX_SUPPLEMENT_1.23/FICHES_501_1000/DW-0914.md</x:v>
      </x:c>
      <x:c r="K919" t="str">
        <x:v>Source min 17,10 m ; max 17,10 m ; modèle 26 × 22 m ; niveaux 0. Détails dans catalogue-existant.json.</x:v>
      </x:c>
    </x:row>
    <x:row r="920">
      <x:c r="A920" t="str">
        <x:v>DW-0915</x:v>
      </x:c>
      <x:c r="B920" t="str">
        <x:v>DW-0915</x:v>
      </x:c>
      <x:c r="C920" t="str">
        <x:v>Parent historique</x:v>
      </x:c>
      <x:c r="D920" t="str">
        <x:v>public</x:v>
      </x:c>
      <x:c r="E920" t="str">
        <x:v>Salle des fêtes — variante 07</x:v>
      </x:c>
      <x:c r="F920" t="n">
        <x:v>8</x:v>
      </x:c>
      <x:c r="G920" t="n">
        <x:v>5</x:v>
      </x:c>
      <x:c r="H920" t="n">
        <x:v>0</x:v>
      </x:c>
      <x:c r="I920" t="str">
        <x:v>À qualifier par lieu</x:v>
      </x:c>
      <x:c r="J920" t="str">
        <x:v>https://github.com/darknigthmare/deadwall-last-enclosure/blob/e28f46223e73105ab2c5d83f3d50b99b58ef53e6/codex-3000/originaux/DEADWALL_CODEX_SUPPLEMENT_1.23/FICHES_501_1000/DW-0915.md</x:v>
      </x:c>
      <x:c r="K920" t="str">
        <x:v>Source min 28,27 m ; max 28,27 m ; modèle 28 × 27 m ; niveaux 0. Détails dans catalogue-existant.json.</x:v>
      </x:c>
    </x:row>
    <x:row r="921">
      <x:c r="A921" t="str">
        <x:v>DW-0916</x:v>
      </x:c>
      <x:c r="B921" t="str">
        <x:v>DW-0916</x:v>
      </x:c>
      <x:c r="C921" t="str">
        <x:v>Parent historique</x:v>
      </x:c>
      <x:c r="D921" t="str">
        <x:v>public</x:v>
      </x:c>
      <x:c r="E921" t="str">
        <x:v>Église et presbytère — variante 07</x:v>
      </x:c>
      <x:c r="F921" t="n">
        <x:v>8</x:v>
      </x:c>
      <x:c r="G921" t="n">
        <x:v>5</x:v>
      </x:c>
      <x:c r="H921" t="n">
        <x:v>0</x:v>
      </x:c>
      <x:c r="I921" t="str">
        <x:v>À qualifier par lieu</x:v>
      </x:c>
      <x:c r="J921" t="str">
        <x:v>https://github.com/darknigthmare/deadwall-last-enclosure/blob/e28f46223e73105ab2c5d83f3d50b99b58ef53e6/codex-3000/originaux/DEADWALL_CODEX_SUPPLEMENT_1.23/FICHES_501_1000/DW-0916.md</x:v>
      </x:c>
      <x:c r="K921" t="str">
        <x:v>Source min 39,44 m ; max 39,44 m ; modèle 39 × 44 m ; niveaux 0. Détails dans catalogue-existant.json.</x:v>
      </x:c>
    </x:row>
    <x:row r="922">
      <x:c r="A922" t="str">
        <x:v>DW-0917</x:v>
      </x:c>
      <x:c r="B922" t="str">
        <x:v>DW-0917</x:v>
      </x:c>
      <x:c r="C922" t="str">
        <x:v>Parent historique</x:v>
      </x:c>
      <x:c r="D922" t="str">
        <x:v>rural</x:v>
      </x:c>
      <x:c r="E922" t="str">
        <x:v>Hameau agricole — variante 07</x:v>
      </x:c>
      <x:c r="F922" t="n">
        <x:v>8</x:v>
      </x:c>
      <x:c r="G922" t="n">
        <x:v>6</x:v>
      </x:c>
      <x:c r="H922" t="n">
        <x:v>0</x:v>
      </x:c>
      <x:c r="I922" t="str">
        <x:v>À qualifier par lieu</x:v>
      </x:c>
      <x:c r="J922" t="str">
        <x:v>https://github.com/darknigthmare/deadwall-last-enclosure/blob/e28f46223e73105ab2c5d83f3d50b99b58ef53e6/codex-3000/originaux/DEADWALL_CODEX_SUPPLEMENT_1.23/FICHES_501_1000/DW-0917.md</x:v>
      </x:c>
      <x:c r="K922" t="str">
        <x:v>Source min 50,61 m ; max 50,61 m ; modèle 50 × 61 m ; niveaux 0. Détails dans catalogue-existant.json.</x:v>
      </x:c>
    </x:row>
    <x:row r="923">
      <x:c r="A923" t="str">
        <x:v>DW-0918</x:v>
      </x:c>
      <x:c r="B923" t="str">
        <x:v>DW-0918</x:v>
      </x:c>
      <x:c r="C923" t="str">
        <x:v>Parent historique</x:v>
      </x:c>
      <x:c r="D923" t="str">
        <x:v>rural</x:v>
      </x:c>
      <x:c r="E923" t="str">
        <x:v>Cabane forestière — variante 07</x:v>
      </x:c>
      <x:c r="F923" t="n">
        <x:v>8</x:v>
      </x:c>
      <x:c r="G923" t="n">
        <x:v>4</x:v>
      </x:c>
      <x:c r="H923" t="n">
        <x:v>0</x:v>
      </x:c>
      <x:c r="I923" t="str">
        <x:v>À qualifier par lieu</x:v>
      </x:c>
      <x:c r="J923" t="str">
        <x:v>https://github.com/darknigthmare/deadwall-last-enclosure/blob/e28f46223e73105ab2c5d83f3d50b99b58ef53e6/codex-3000/originaux/DEADWALL_CODEX_SUPPLEMENT_1.23/FICHES_501_1000/DW-0918.md</x:v>
      </x:c>
      <x:c r="K923" t="str">
        <x:v>Source min 61,24 m ; max 61,24 m ; modèle 61 × 24 m ; niveaux 0. Détails dans catalogue-existant.json.</x:v>
      </x:c>
    </x:row>
    <x:row r="924">
      <x:c r="A924" t="str">
        <x:v>DW-0919</x:v>
      </x:c>
      <x:c r="B924" t="str">
        <x:v>DW-0919</x:v>
      </x:c>
      <x:c r="C924" t="str">
        <x:v>Parent historique</x:v>
      </x:c>
      <x:c r="D924" t="str">
        <x:v>rural</x:v>
      </x:c>
      <x:c r="E924" t="str">
        <x:v>Dépôt forestier — variante 07</x:v>
      </x:c>
      <x:c r="F924" t="n">
        <x:v>8</x:v>
      </x:c>
      <x:c r="G924" t="n">
        <x:v>5</x:v>
      </x:c>
      <x:c r="H924" t="n">
        <x:v>0</x:v>
      </x:c>
      <x:c r="I924" t="str">
        <x:v>À qualifier par lieu</x:v>
      </x:c>
      <x:c r="J924" t="str">
        <x:v>https://github.com/darknigthmare/deadwall-last-enclosure/blob/e28f46223e73105ab2c5d83f3d50b99b58ef53e6/codex-3000/originaux/DEADWALL_CODEX_SUPPLEMENT_1.23/FICHES_501_1000/DW-0919.md</x:v>
      </x:c>
      <x:c r="K924" t="str">
        <x:v>Source min 72,41 m ; max 72,41 m ; modèle 72 × 41 m ; niveaux 0. Détails dans catalogue-existant.json.</x:v>
      </x:c>
    </x:row>
    <x:row r="925">
      <x:c r="A925" t="str">
        <x:v>DW-0920</x:v>
      </x:c>
      <x:c r="B925" t="str">
        <x:v>DW-0920</x:v>
      </x:c>
      <x:c r="C925" t="str">
        <x:v>Parent historique</x:v>
      </x:c>
      <x:c r="D925" t="str">
        <x:v>rural</x:v>
      </x:c>
      <x:c r="E925" t="str">
        <x:v>Ferme céréalière — variante 07</x:v>
      </x:c>
      <x:c r="F925" t="n">
        <x:v>8</x:v>
      </x:c>
      <x:c r="G925" t="n">
        <x:v>5</x:v>
      </x:c>
      <x:c r="H925" t="n">
        <x:v>0</x:v>
      </x:c>
      <x:c r="I925" t="str">
        <x:v>À qualifier par lieu</x:v>
      </x:c>
      <x:c r="J925" t="str">
        <x:v>https://github.com/darknigthmare/deadwall-last-enclosure/blob/e28f46223e73105ab2c5d83f3d50b99b58ef53e6/codex-3000/originaux/DEADWALL_CODEX_SUPPLEMENT_1.23/FICHES_501_1000/DW-0920.md</x:v>
      </x:c>
      <x:c r="K925" t="str">
        <x:v>Source min 11,58 m ; max 11,58 m ; modèle 26 × 58 m ; niveaux 0. Détails dans catalogue-existant.json.</x:v>
      </x:c>
    </x:row>
    <x:row r="926">
      <x:c r="A926" t="str">
        <x:v>DW-0921</x:v>
      </x:c>
      <x:c r="B926" t="str">
        <x:v>DW-0921</x:v>
      </x:c>
      <x:c r="C926" t="str">
        <x:v>Parent historique</x:v>
      </x:c>
      <x:c r="D926" t="str">
        <x:v>rural</x:v>
      </x:c>
      <x:c r="E926" t="str">
        <x:v>Ferme d'élevage — variante 07</x:v>
      </x:c>
      <x:c r="F926" t="n">
        <x:v>8</x:v>
      </x:c>
      <x:c r="G926" t="n">
        <x:v>5</x:v>
      </x:c>
      <x:c r="H926" t="n">
        <x:v>0</x:v>
      </x:c>
      <x:c r="I926" t="str">
        <x:v>À qualifier par lieu</x:v>
      </x:c>
      <x:c r="J926" t="str">
        <x:v>https://github.com/darknigthmare/deadwall-last-enclosure/blob/e28f46223e73105ab2c5d83f3d50b99b58ef53e6/codex-3000/originaux/DEADWALL_CODEX_SUPPLEMENT_1.23/FICHES_501_1000/DW-0921.md</x:v>
      </x:c>
      <x:c r="K926" t="str">
        <x:v>Source min 22,21 m ; max 22,21 m ; modèle 26 × 22 m ; niveaux 0. Détails dans catalogue-existant.json.</x:v>
      </x:c>
    </x:row>
    <x:row r="927">
      <x:c r="A927" t="str">
        <x:v>DW-0922</x:v>
      </x:c>
      <x:c r="B927" t="str">
        <x:v>DW-0922</x:v>
      </x:c>
      <x:c r="C927" t="str">
        <x:v>Parent historique</x:v>
      </x:c>
      <x:c r="D927" t="str">
        <x:v>rural</x:v>
      </x:c>
      <x:c r="E927" t="str">
        <x:v>Relais de chasse — variante 07</x:v>
      </x:c>
      <x:c r="F927" t="n">
        <x:v>8</x:v>
      </x:c>
      <x:c r="G927" t="n">
        <x:v>4</x:v>
      </x:c>
      <x:c r="H927" t="n">
        <x:v>0</x:v>
      </x:c>
      <x:c r="I927" t="str">
        <x:v>À qualifier par lieu</x:v>
      </x:c>
      <x:c r="J927" t="str">
        <x:v>https://github.com/darknigthmare/deadwall-last-enclosure/blob/e28f46223e73105ab2c5d83f3d50b99b58ef53e6/codex-3000/originaux/DEADWALL_CODEX_SUPPLEMENT_1.23/FICHES_501_1000/DW-0922.md</x:v>
      </x:c>
      <x:c r="K927" t="str">
        <x:v>Source min 33,38 m ; max 33,38 m ; modèle 33 × 38 m ; niveaux 0. Détails dans catalogue-existant.json.</x:v>
      </x:c>
    </x:row>
    <x:row r="928">
      <x:c r="A928" t="str">
        <x:v>DW-0923</x:v>
      </x:c>
      <x:c r="B928" t="str">
        <x:v>DW-0923</x:v>
      </x:c>
      <x:c r="C928" t="str">
        <x:v>Parent historique</x:v>
      </x:c>
      <x:c r="D928" t="str">
        <x:v>rural</x:v>
      </x:c>
      <x:c r="E928" t="str">
        <x:v>Moulin rural — variante 07</x:v>
      </x:c>
      <x:c r="F928" t="n">
        <x:v>8</x:v>
      </x:c>
      <x:c r="G928" t="n">
        <x:v>4</x:v>
      </x:c>
      <x:c r="H928" t="n">
        <x:v>0</x:v>
      </x:c>
      <x:c r="I928" t="str">
        <x:v>À qualifier par lieu</x:v>
      </x:c>
      <x:c r="J928" t="str">
        <x:v>https://github.com/darknigthmare/deadwall-last-enclosure/blob/e28f46223e73105ab2c5d83f3d50b99b58ef53e6/codex-3000/originaux/DEADWALL_CODEX_SUPPLEMENT_1.23/FICHES_501_1000/DW-0923.md</x:v>
      </x:c>
      <x:c r="K928" t="str">
        <x:v>Source min 44,55 m ; max 44,55 m ; modèle 44 × 55 m ; niveaux 0. Détails dans catalogue-existant.json.</x:v>
      </x:c>
    </x:row>
    <x:row r="929">
      <x:c r="A929" t="str">
        <x:v>DW-0924</x:v>
      </x:c>
      <x:c r="B929" t="str">
        <x:v>DW-0924</x:v>
      </x:c>
      <x:c r="C929" t="str">
        <x:v>Parent historique</x:v>
      </x:c>
      <x:c r="D929" t="str">
        <x:v>rural</x:v>
      </x:c>
      <x:c r="E929" t="str">
        <x:v>Serres maraîchères — variante 07</x:v>
      </x:c>
      <x:c r="F929" t="n">
        <x:v>8</x:v>
      </x:c>
      <x:c r="G929" t="n">
        <x:v>5</x:v>
      </x:c>
      <x:c r="H929" t="n">
        <x:v>0</x:v>
      </x:c>
      <x:c r="I929" t="str">
        <x:v>À qualifier par lieu</x:v>
      </x:c>
      <x:c r="J929" t="str">
        <x:v>https://github.com/darknigthmare/deadwall-last-enclosure/blob/e28f46223e73105ab2c5d83f3d50b99b58ef53e6/codex-3000/originaux/DEADWALL_CODEX_SUPPLEMENT_1.23/FICHES_501_1000/DW-0924.md</x:v>
      </x:c>
      <x:c r="K929" t="str">
        <x:v>Source min 55,18 m ; max 55,18 m ; modèle 55 × 22 m ; niveaux 0. Détails dans catalogue-existant.json.</x:v>
      </x:c>
    </x:row>
    <x:row r="930">
      <x:c r="A930" t="str">
        <x:v>DW-0925</x:v>
      </x:c>
      <x:c r="B930" t="str">
        <x:v>DW-0925</x:v>
      </x:c>
      <x:c r="C930" t="str">
        <x:v>Parent historique</x:v>
      </x:c>
      <x:c r="D930" t="str">
        <x:v>militaire</x:v>
      </x:c>
      <x:c r="E930" t="str">
        <x:v>Bunker de défense civile — variante 07</x:v>
      </x:c>
      <x:c r="F930" t="n">
        <x:v>8</x:v>
      </x:c>
      <x:c r="G930" t="n">
        <x:v>6</x:v>
      </x:c>
      <x:c r="H930" t="n">
        <x:v>0</x:v>
      </x:c>
      <x:c r="I930" t="str">
        <x:v>À qualifier par lieu</x:v>
      </x:c>
      <x:c r="J930" t="str">
        <x:v>https://github.com/darknigthmare/deadwall-last-enclosure/blob/e28f46223e73105ab2c5d83f3d50b99b58ef53e6/codex-3000/originaux/DEADWALL_CODEX_SUPPLEMENT_1.23/FICHES_501_1000/DW-0925.md</x:v>
      </x:c>
      <x:c r="K930" t="str">
        <x:v>Source min 66,35 m ; max 66,35 m ; modèle 66 × 35 m ; niveaux 0, 1. Détails dans catalogue-existant.json.</x:v>
      </x:c>
    </x:row>
    <x:row r="931">
      <x:c r="A931" t="str">
        <x:v>DW-0926</x:v>
      </x:c>
      <x:c r="B931" t="str">
        <x:v>DW-0926</x:v>
      </x:c>
      <x:c r="C931" t="str">
        <x:v>Parent historique</x:v>
      </x:c>
      <x:c r="D931" t="str">
        <x:v>militaire</x:v>
      </x:c>
      <x:c r="E931" t="str">
        <x:v>Dépôt militaire — variante 07</x:v>
      </x:c>
      <x:c r="F931" t="n">
        <x:v>8</x:v>
      </x:c>
      <x:c r="G931" t="n">
        <x:v>5</x:v>
      </x:c>
      <x:c r="H931" t="n">
        <x:v>0</x:v>
      </x:c>
      <x:c r="I931" t="str">
        <x:v>À qualifier par lieu</x:v>
      </x:c>
      <x:c r="J931" t="str">
        <x:v>https://github.com/darknigthmare/deadwall-last-enclosure/blob/e28f46223e73105ab2c5d83f3d50b99b58ef53e6/codex-3000/originaux/DEADWALL_CODEX_SUPPLEMENT_1.23/FICHES_501_1000/DW-0926.md</x:v>
      </x:c>
      <x:c r="K931" t="str">
        <x:v>Source min 77,52 m ; max 77,52 m ; modèle 77 × 52 m ; niveaux 0. Détails dans catalogue-existant.json.</x:v>
      </x:c>
    </x:row>
    <x:row r="932">
      <x:c r="A932" t="str">
        <x:v>DW-0927</x:v>
      </x:c>
      <x:c r="B932" t="str">
        <x:v>DW-0927</x:v>
      </x:c>
      <x:c r="C932" t="str">
        <x:v>Parent historique</x:v>
      </x:c>
      <x:c r="D932" t="str">
        <x:v>militaire</x:v>
      </x:c>
      <x:c r="E932" t="str">
        <x:v>Poste de contrôle — variante 07</x:v>
      </x:c>
      <x:c r="F932" t="n">
        <x:v>8</x:v>
      </x:c>
      <x:c r="G932" t="n">
        <x:v>5</x:v>
      </x:c>
      <x:c r="H932" t="n">
        <x:v>0</x:v>
      </x:c>
      <x:c r="I932" t="str">
        <x:v>À qualifier par lieu</x:v>
      </x:c>
      <x:c r="J932" t="str">
        <x:v>https://github.com/darknigthmare/deadwall-last-enclosure/blob/e28f46223e73105ab2c5d83f3d50b99b58ef53e6/codex-3000/originaux/DEADWALL_CODEX_SUPPLEMENT_1.23/FICHES_501_1000/DW-0927.md</x:v>
      </x:c>
      <x:c r="K932" t="str">
        <x:v>Source min 16,15 m ; max 16,15 m ; modèle 26 × 22 m ; niveaux 0. Détails dans catalogue-existant.json.</x:v>
      </x:c>
    </x:row>
    <x:row r="933">
      <x:c r="A933" t="str">
        <x:v>DW-0928</x:v>
      </x:c>
      <x:c r="B933" t="str">
        <x:v>DW-0928</x:v>
      </x:c>
      <x:c r="C933" t="str">
        <x:v>Parent historique</x:v>
      </x:c>
      <x:c r="D933" t="str">
        <x:v>militaire</x:v>
      </x:c>
      <x:c r="E933" t="str">
        <x:v>Camp retranché abandonné — variante 07</x:v>
      </x:c>
      <x:c r="F933" t="n">
        <x:v>8</x:v>
      </x:c>
      <x:c r="G933" t="n">
        <x:v>5</x:v>
      </x:c>
      <x:c r="H933" t="n">
        <x:v>0</x:v>
      </x:c>
      <x:c r="I933" t="str">
        <x:v>À qualifier par lieu</x:v>
      </x:c>
      <x:c r="J933" t="str">
        <x:v>https://github.com/darknigthmare/deadwall-last-enclosure/blob/e28f46223e73105ab2c5d83f3d50b99b58ef53e6/codex-3000/originaux/DEADWALL_CODEX_SUPPLEMENT_1.23/FICHES_501_1000/DW-0928.md</x:v>
      </x:c>
      <x:c r="K933" t="str">
        <x:v>Source min 27,32 m ; max 27,32 m ; modèle 27 × 32 m ; niveaux 0. Détails dans catalogue-existant.json.</x:v>
      </x:c>
    </x:row>
    <x:row r="934">
      <x:c r="A934" t="str">
        <x:v>DW-0929</x:v>
      </x:c>
      <x:c r="B934" t="str">
        <x:v>DW-0929</x:v>
      </x:c>
      <x:c r="C934" t="str">
        <x:v>Parent historique</x:v>
      </x:c>
      <x:c r="D934" t="str">
        <x:v>militaire</x:v>
      </x:c>
      <x:c r="E934" t="str">
        <x:v>Abri ferroviaire — variante 07</x:v>
      </x:c>
      <x:c r="F934" t="n">
        <x:v>8</x:v>
      </x:c>
      <x:c r="G934" t="n">
        <x:v>4</x:v>
      </x:c>
      <x:c r="H934" t="n">
        <x:v>0</x:v>
      </x:c>
      <x:c r="I934" t="str">
        <x:v>À qualifier par lieu</x:v>
      </x:c>
      <x:c r="J934" t="str">
        <x:v>https://github.com/darknigthmare/deadwall-last-enclosure/blob/e28f46223e73105ab2c5d83f3d50b99b58ef53e6/codex-3000/originaux/DEADWALL_CODEX_SUPPLEMENT_1.23/FICHES_501_1000/DW-0929.md</x:v>
      </x:c>
      <x:c r="K934" t="str">
        <x:v>Source min 38,49 m ; max 38,49 m ; modèle 38 × 49 m ; niveaux 0. Détails dans catalogue-existant.json.</x:v>
      </x:c>
    </x:row>
    <x:row r="935">
      <x:c r="A935" t="str">
        <x:v>DW-0930</x:v>
      </x:c>
      <x:c r="B935" t="str">
        <x:v>DW-0930</x:v>
      </x:c>
      <x:c r="C935" t="str">
        <x:v>Parent historique</x:v>
      </x:c>
      <x:c r="D935" t="str">
        <x:v>militaire</x:v>
      </x:c>
      <x:c r="E935" t="str">
        <x:v>Site radar — variante 07</x:v>
      </x:c>
      <x:c r="F935" t="n">
        <x:v>8</x:v>
      </x:c>
      <x:c r="G935" t="n">
        <x:v>5</x:v>
      </x:c>
      <x:c r="H935" t="n">
        <x:v>0</x:v>
      </x:c>
      <x:c r="I935" t="str">
        <x:v>À qualifier par lieu</x:v>
      </x:c>
      <x:c r="J935" t="str">
        <x:v>https://github.com/darknigthmare/deadwall-last-enclosure/blob/e28f46223e73105ab2c5d83f3d50b99b58ef53e6/codex-3000/originaux/DEADWALL_CODEX_SUPPLEMENT_1.23/FICHES_501_1000/DW-0930.md</x:v>
      </x:c>
      <x:c r="K935" t="str">
        <x:v>Source min 49,12 m ; max 49,12 m ; modèle 49 × 22 m ; niveaux 0. Détails dans catalogue-existant.json.</x:v>
      </x:c>
    </x:row>
    <x:row r="936">
      <x:c r="A936" t="str">
        <x:v>DW-0931</x:v>
      </x:c>
      <x:c r="B936" t="str">
        <x:v>DW-0931</x:v>
      </x:c>
      <x:c r="C936" t="str">
        <x:v>Parent historique</x:v>
      </x:c>
      <x:c r="D936" t="str">
        <x:v>militaire</x:v>
      </x:c>
      <x:c r="E936" t="str">
        <x:v>Batterie côtière — variante 07</x:v>
      </x:c>
      <x:c r="F936" t="n">
        <x:v>8</x:v>
      </x:c>
      <x:c r="G936" t="n">
        <x:v>4</x:v>
      </x:c>
      <x:c r="H936" t="n">
        <x:v>0</x:v>
      </x:c>
      <x:c r="I936" t="str">
        <x:v>À qualifier par lieu</x:v>
      </x:c>
      <x:c r="J936" t="str">
        <x:v>https://github.com/darknigthmare/deadwall-last-enclosure/blob/e28f46223e73105ab2c5d83f3d50b99b58ef53e6/codex-3000/originaux/DEADWALL_CODEX_SUPPLEMENT_1.23/FICHES_501_1000/DW-0931.md</x:v>
      </x:c>
      <x:c r="K936" t="str">
        <x:v>Source min 60,29 m ; max 60,29 m ; modèle 60 × 29 m ; niveaux 0. Détails dans catalogue-existant.json.</x:v>
      </x:c>
    </x:row>
    <x:row r="937">
      <x:c r="A937" t="str">
        <x:v>DW-0932</x:v>
      </x:c>
      <x:c r="B937" t="str">
        <x:v>DW-0932</x:v>
      </x:c>
      <x:c r="C937" t="str">
        <x:v>Parent historique</x:v>
      </x:c>
      <x:c r="D937" t="str">
        <x:v>militaire</x:v>
      </x:c>
      <x:c r="E937" t="str">
        <x:v>Dépôt carburant sécurisé — variante 07</x:v>
      </x:c>
      <x:c r="F937" t="n">
        <x:v>8</x:v>
      </x:c>
      <x:c r="G937" t="n">
        <x:v>5</x:v>
      </x:c>
      <x:c r="H937" t="n">
        <x:v>0</x:v>
      </x:c>
      <x:c r="I937" t="str">
        <x:v>À qualifier par lieu</x:v>
      </x:c>
      <x:c r="J937" t="str">
        <x:v>https://github.com/darknigthmare/deadwall-last-enclosure/blob/e28f46223e73105ab2c5d83f3d50b99b58ef53e6/codex-3000/originaux/DEADWALL_CODEX_SUPPLEMENT_1.23/FICHES_501_1000/DW-0932.md</x:v>
      </x:c>
      <x:c r="K937" t="str">
        <x:v>Source min 71,46 m ; max 71,46 m ; modèle 71 × 46 m ; niveaux 0. Détails dans catalogue-existant.json.</x:v>
      </x:c>
    </x:row>
    <x:row r="938">
      <x:c r="A938" t="str">
        <x:v>DW-0933</x:v>
      </x:c>
      <x:c r="B938" t="str">
        <x:v>DW-0933</x:v>
      </x:c>
      <x:c r="C938" t="str">
        <x:v>Parent historique</x:v>
      </x:c>
      <x:c r="D938" t="str">
        <x:v>transport</x:v>
      </x:c>
      <x:c r="E938" t="str">
        <x:v>Gare routière — variante 07</x:v>
      </x:c>
      <x:c r="F938" t="n">
        <x:v>8</x:v>
      </x:c>
      <x:c r="G938" t="n">
        <x:v>5</x:v>
      </x:c>
      <x:c r="H938" t="n">
        <x:v>0</x:v>
      </x:c>
      <x:c r="I938" t="str">
        <x:v>À qualifier par lieu</x:v>
      </x:c>
      <x:c r="J938" t="str">
        <x:v>https://github.com/darknigthmare/deadwall-last-enclosure/blob/e28f46223e73105ab2c5d83f3d50b99b58ef53e6/codex-3000/originaux/DEADWALL_CODEX_SUPPLEMENT_1.23/FICHES_501_1000/DW-0933.md</x:v>
      </x:c>
      <x:c r="K938" t="str">
        <x:v>Source min 10,9 m ; max 10,9 m ; modèle 26 × 22 m ; niveaux 0. Détails dans catalogue-existant.json.</x:v>
      </x:c>
    </x:row>
    <x:row r="939">
      <x:c r="A939" t="str">
        <x:v>DW-0934</x:v>
      </x:c>
      <x:c r="B939" t="str">
        <x:v>DW-0934</x:v>
      </x:c>
      <x:c r="C939" t="str">
        <x:v>Parent historique</x:v>
      </x:c>
      <x:c r="D939" t="str">
        <x:v>transport</x:v>
      </x:c>
      <x:c r="E939" t="str">
        <x:v>Dépôt de bus — variante 07</x:v>
      </x:c>
      <x:c r="F939" t="n">
        <x:v>8</x:v>
      </x:c>
      <x:c r="G939" t="n">
        <x:v>5</x:v>
      </x:c>
      <x:c r="H939" t="n">
        <x:v>0</x:v>
      </x:c>
      <x:c r="I939" t="str">
        <x:v>À qualifier par lieu</x:v>
      </x:c>
      <x:c r="J939" t="str">
        <x:v>https://github.com/darknigthmare/deadwall-last-enclosure/blob/e28f46223e73105ab2c5d83f3d50b99b58ef53e6/codex-3000/originaux/DEADWALL_CODEX_SUPPLEMENT_1.23/FICHES_501_1000/DW-0934.md</x:v>
      </x:c>
      <x:c r="K939" t="str">
        <x:v>Source min 21,26 m ; max 21,26 m ; modèle 26 × 26 m ; niveaux 0. Détails dans catalogue-existant.json.</x:v>
      </x:c>
    </x:row>
    <x:row r="940">
      <x:c r="A940" t="str">
        <x:v>DW-0935</x:v>
      </x:c>
      <x:c r="B940" t="str">
        <x:v>DW-0935</x:v>
      </x:c>
      <x:c r="C940" t="str">
        <x:v>Parent historique</x:v>
      </x:c>
      <x:c r="D940" t="str">
        <x:v>transport</x:v>
      </x:c>
      <x:c r="E940" t="str">
        <x:v>Gare ferroviaire — variante 07</x:v>
      </x:c>
      <x:c r="F940" t="n">
        <x:v>8</x:v>
      </x:c>
      <x:c r="G940" t="n">
        <x:v>5</x:v>
      </x:c>
      <x:c r="H940" t="n">
        <x:v>0</x:v>
      </x:c>
      <x:c r="I940" t="str">
        <x:v>À qualifier par lieu</x:v>
      </x:c>
      <x:c r="J940" t="str">
        <x:v>https://github.com/darknigthmare/deadwall-last-enclosure/blob/e28f46223e73105ab2c5d83f3d50b99b58ef53e6/codex-3000/originaux/DEADWALL_CODEX_SUPPLEMENT_1.23/FICHES_501_1000/DW-0935.md</x:v>
      </x:c>
      <x:c r="K940" t="str">
        <x:v>Source min 32,43 m ; max 32,43 m ; modèle 32 × 43 m ; niveaux 0. Détails dans catalogue-existant.json.</x:v>
      </x:c>
    </x:row>
    <x:row r="941">
      <x:c r="A941" t="str">
        <x:v>DW-0936</x:v>
      </x:c>
      <x:c r="B941" t="str">
        <x:v>DW-0936</x:v>
      </x:c>
      <x:c r="C941" t="str">
        <x:v>Parent historique</x:v>
      </x:c>
      <x:c r="D941" t="str">
        <x:v>transport</x:v>
      </x:c>
      <x:c r="E941" t="str">
        <x:v>Aire d'autoroute — variante 07</x:v>
      </x:c>
      <x:c r="F941" t="n">
        <x:v>8</x:v>
      </x:c>
      <x:c r="G941" t="n">
        <x:v>5</x:v>
      </x:c>
      <x:c r="H941" t="n">
        <x:v>0</x:v>
      </x:c>
      <x:c r="I941" t="str">
        <x:v>À qualifier par lieu</x:v>
      </x:c>
      <x:c r="J941" t="str">
        <x:v>https://github.com/darknigthmare/deadwall-last-enclosure/blob/e28f46223e73105ab2c5d83f3d50b99b58ef53e6/codex-3000/originaux/DEADWALL_CODEX_SUPPLEMENT_1.23/FICHES_501_1000/DW-0936.md</x:v>
      </x:c>
      <x:c r="K941" t="str">
        <x:v>Source min 43,60 m ; max 43,60 m ; modèle 43 × 60 m ; niveaux 0. Détails dans catalogue-existant.json.</x:v>
      </x:c>
    </x:row>
    <x:row r="942">
      <x:c r="A942" t="str">
        <x:v>DW-0937</x:v>
      </x:c>
      <x:c r="B942" t="str">
        <x:v>DW-0937</x:v>
      </x:c>
      <x:c r="C942" t="str">
        <x:v>Parent historique</x:v>
      </x:c>
      <x:c r="D942" t="str">
        <x:v>transport</x:v>
      </x:c>
      <x:c r="E942" t="str">
        <x:v>Parking silo — variante 07</x:v>
      </x:c>
      <x:c r="F942" t="n">
        <x:v>8</x:v>
      </x:c>
      <x:c r="G942" t="n">
        <x:v>4</x:v>
      </x:c>
      <x:c r="H942" t="n">
        <x:v>0</x:v>
      </x:c>
      <x:c r="I942" t="str">
        <x:v>À qualifier par lieu</x:v>
      </x:c>
      <x:c r="J942" t="str">
        <x:v>https://github.com/darknigthmare/deadwall-last-enclosure/blob/e28f46223e73105ab2c5d83f3d50b99b58ef53e6/codex-3000/originaux/DEADWALL_CODEX_SUPPLEMENT_1.23/FICHES_501_1000/DW-0937.md</x:v>
      </x:c>
      <x:c r="K942" t="str">
        <x:v>Source min 54,23 m ; max 54,23 m ; modèle 54 × 23 m ; niveaux 0. Détails dans catalogue-existant.json.</x:v>
      </x:c>
    </x:row>
    <x:row r="943">
      <x:c r="A943" t="str">
        <x:v>DW-0938</x:v>
      </x:c>
      <x:c r="B943" t="str">
        <x:v>DW-0938</x:v>
      </x:c>
      <x:c r="C943" t="str">
        <x:v>Parent historique</x:v>
      </x:c>
      <x:c r="D943" t="str">
        <x:v>transport</x:v>
      </x:c>
      <x:c r="E943" t="str">
        <x:v>Terminal poids lourds — variante 07</x:v>
      </x:c>
      <x:c r="F943" t="n">
        <x:v>8</x:v>
      </x:c>
      <x:c r="G943" t="n">
        <x:v>5</x:v>
      </x:c>
      <x:c r="H943" t="n">
        <x:v>0</x:v>
      </x:c>
      <x:c r="I943" t="str">
        <x:v>À qualifier par lieu</x:v>
      </x:c>
      <x:c r="J943" t="str">
        <x:v>https://github.com/darknigthmare/deadwall-last-enclosure/blob/e28f46223e73105ab2c5d83f3d50b99b58ef53e6/codex-3000/originaux/DEADWALL_CODEX_SUPPLEMENT_1.23/FICHES_501_1000/DW-0938.md</x:v>
      </x:c>
      <x:c r="K943" t="str">
        <x:v>Source min 65,40 m ; max 65,40 m ; modèle 65 × 40 m ; niveaux 0. Détails dans catalogue-existant.json.</x:v>
      </x:c>
    </x:row>
    <x:row r="944">
      <x:c r="A944" t="str">
        <x:v>DW-0939</x:v>
      </x:c>
      <x:c r="B944" t="str">
        <x:v>DW-0939</x:v>
      </x:c>
      <x:c r="C944" t="str">
        <x:v>Parent historique</x:v>
      </x:c>
      <x:c r="D944" t="str">
        <x:v>transport</x:v>
      </x:c>
      <x:c r="E944" t="str">
        <x:v>Port de plaisance — variante 07</x:v>
      </x:c>
      <x:c r="F944" t="n">
        <x:v>8</x:v>
      </x:c>
      <x:c r="G944" t="n">
        <x:v>5</x:v>
      </x:c>
      <x:c r="H944" t="n">
        <x:v>0</x:v>
      </x:c>
      <x:c r="I944" t="str">
        <x:v>À qualifier par lieu</x:v>
      </x:c>
      <x:c r="J944" t="str">
        <x:v>https://github.com/darknigthmare/deadwall-last-enclosure/blob/e28f46223e73105ab2c5d83f3d50b99b58ef53e6/codex-3000/originaux/DEADWALL_CODEX_SUPPLEMENT_1.23/FICHES_501_1000/DW-0939.md</x:v>
      </x:c>
      <x:c r="K944" t="str">
        <x:v>Source min 76,57 m ; max 76,57 m ; modèle 76 × 57 m ; niveaux 0. Détails dans catalogue-existant.json.</x:v>
      </x:c>
    </x:row>
    <x:row r="945">
      <x:c r="A945" t="str">
        <x:v>DW-0940</x:v>
      </x:c>
      <x:c r="B945" t="str">
        <x:v>DW-0940</x:v>
      </x:c>
      <x:c r="C945" t="str">
        <x:v>Parent historique</x:v>
      </x:c>
      <x:c r="D945" t="str">
        <x:v>transport</x:v>
      </x:c>
      <x:c r="E945" t="str">
        <x:v>Petit aérodrome — variante 07</x:v>
      </x:c>
      <x:c r="F945" t="n">
        <x:v>8</x:v>
      </x:c>
      <x:c r="G945" t="n">
        <x:v>5</x:v>
      </x:c>
      <x:c r="H945" t="n">
        <x:v>0</x:v>
      </x:c>
      <x:c r="I945" t="str">
        <x:v>À qualifier par lieu</x:v>
      </x:c>
      <x:c r="J945" t="str">
        <x:v>https://github.com/darknigthmare/deadwall-last-enclosure/blob/e28f46223e73105ab2c5d83f3d50b99b58ef53e6/codex-3000/originaux/DEADWALL_CODEX_SUPPLEMENT_1.23/FICHES_501_1000/DW-0940.md</x:v>
      </x:c>
      <x:c r="K945" t="str">
        <x:v>Source min 15,20 m ; max 15,20 m ; modèle 26 × 22 m ; niveaux 0. Détails dans catalogue-existant.json.</x:v>
      </x:c>
    </x:row>
    <x:row r="946">
      <x:c r="A946" t="str">
        <x:v>DW-0941</x:v>
      </x:c>
      <x:c r="B946" t="str">
        <x:v>DW-0941</x:v>
      </x:c>
      <x:c r="C946" t="str">
        <x:v>Parent historique</x:v>
      </x:c>
      <x:c r="D946" t="str">
        <x:v>ruines</x:v>
      </x:c>
      <x:c r="E946" t="str">
        <x:v>Maison incendiée — variante 07</x:v>
      </x:c>
      <x:c r="F946" t="n">
        <x:v>8</x:v>
      </x:c>
      <x:c r="G946" t="n">
        <x:v>3</x:v>
      </x:c>
      <x:c r="H946" t="n">
        <x:v>0</x:v>
      </x:c>
      <x:c r="I946" t="str">
        <x:v>À qualifier par lieu</x:v>
      </x:c>
      <x:c r="J946" t="str">
        <x:v>https://github.com/darknigthmare/deadwall-last-enclosure/blob/e28f46223e73105ab2c5d83f3d50b99b58ef53e6/codex-3000/originaux/DEADWALL_CODEX_SUPPLEMENT_1.23/FICHES_501_1000/DW-0941.md</x:v>
      </x:c>
      <x:c r="K946" t="str">
        <x:v>Source min 26,37 m ; max 26,37 m ; modèle 26 × 37 m ; niveaux 0, 1. Détails dans catalogue-existant.json.</x:v>
      </x:c>
    </x:row>
    <x:row r="947">
      <x:c r="A947" t="str">
        <x:v>DW-0942</x:v>
      </x:c>
      <x:c r="B947" t="str">
        <x:v>DW-0942</x:v>
      </x:c>
      <x:c r="C947" t="str">
        <x:v>Parent historique</x:v>
      </x:c>
      <x:c r="D947" t="str">
        <x:v>ruines</x:v>
      </x:c>
      <x:c r="E947" t="str">
        <x:v>Immeuble éventré — variante 07</x:v>
      </x:c>
      <x:c r="F947" t="n">
        <x:v>8</x:v>
      </x:c>
      <x:c r="G947" t="n">
        <x:v>4</x:v>
      </x:c>
      <x:c r="H947" t="n">
        <x:v>0</x:v>
      </x:c>
      <x:c r="I947" t="str">
        <x:v>À qualifier par lieu</x:v>
      </x:c>
      <x:c r="J947" t="str">
        <x:v>https://github.com/darknigthmare/deadwall-last-enclosure/blob/e28f46223e73105ab2c5d83f3d50b99b58ef53e6/codex-3000/originaux/DEADWALL_CODEX_SUPPLEMENT_1.23/FICHES_501_1000/DW-0942.md</x:v>
      </x:c>
      <x:c r="K947" t="str">
        <x:v>Source min 37,54 m ; max 37,54 m ; modèle 37 × 54 m ; niveaux 0, 1. Détails dans catalogue-existant.json.</x:v>
      </x:c>
    </x:row>
    <x:row r="948">
      <x:c r="A948" t="str">
        <x:v>DW-0943</x:v>
      </x:c>
      <x:c r="B948" t="str">
        <x:v>DW-0943</x:v>
      </x:c>
      <x:c r="C948" t="str">
        <x:v>Parent historique</x:v>
      </x:c>
      <x:c r="D948" t="str">
        <x:v>ruines</x:v>
      </x:c>
      <x:c r="E948" t="str">
        <x:v>Commerce pillé — variante 07</x:v>
      </x:c>
      <x:c r="F948" t="n">
        <x:v>8</x:v>
      </x:c>
      <x:c r="G948" t="n">
        <x:v>4</x:v>
      </x:c>
      <x:c r="H948" t="n">
        <x:v>0</x:v>
      </x:c>
      <x:c r="I948" t="str">
        <x:v>À qualifier par lieu</x:v>
      </x:c>
      <x:c r="J948" t="str">
        <x:v>https://github.com/darknigthmare/deadwall-last-enclosure/blob/e28f46223e73105ab2c5d83f3d50b99b58ef53e6/codex-3000/originaux/DEADWALL_CODEX_SUPPLEMENT_1.23/FICHES_501_1000/DW-0943.md</x:v>
      </x:c>
      <x:c r="K948" t="str">
        <x:v>Source min 48,17 m ; max 48,17 m ; modèle 48 × 18 m ; niveaux 0. Détails dans catalogue-existant.json.</x:v>
      </x:c>
    </x:row>
    <x:row r="949">
      <x:c r="A949" t="str">
        <x:v>DW-0944</x:v>
      </x:c>
      <x:c r="B949" t="str">
        <x:v>DW-0944</x:v>
      </x:c>
      <x:c r="C949" t="str">
        <x:v>Parent historique</x:v>
      </x:c>
      <x:c r="D949" t="str">
        <x:v>ruines</x:v>
      </x:c>
      <x:c r="E949" t="str">
        <x:v>Usine sinistrée — variante 07</x:v>
      </x:c>
      <x:c r="F949" t="n">
        <x:v>8</x:v>
      </x:c>
      <x:c r="G949" t="n">
        <x:v>4</x:v>
      </x:c>
      <x:c r="H949" t="n">
        <x:v>0</x:v>
      </x:c>
      <x:c r="I949" t="str">
        <x:v>À qualifier par lieu</x:v>
      </x:c>
      <x:c r="J949" t="str">
        <x:v>https://github.com/darknigthmare/deadwall-last-enclosure/blob/e28f46223e73105ab2c5d83f3d50b99b58ef53e6/codex-3000/originaux/DEADWALL_CODEX_SUPPLEMENT_1.23/FICHES_501_1000/DW-0944.md</x:v>
      </x:c>
      <x:c r="K949" t="str">
        <x:v>Source min 59,34 m ; max 59,34 m ; modèle 59 × 34 m ; niveaux 0. Détails dans catalogue-existant.json.</x:v>
      </x:c>
    </x:row>
    <x:row r="950">
      <x:c r="A950" t="str">
        <x:v>DW-0945</x:v>
      </x:c>
      <x:c r="B950" t="str">
        <x:v>DW-0945</x:v>
      </x:c>
      <x:c r="C950" t="str">
        <x:v>Parent historique</x:v>
      </x:c>
      <x:c r="D950" t="str">
        <x:v>ruines</x:v>
      </x:c>
      <x:c r="E950" t="str">
        <x:v>Hôtel abandonné — variante 07</x:v>
      </x:c>
      <x:c r="F950" t="n">
        <x:v>8</x:v>
      </x:c>
      <x:c r="G950" t="n">
        <x:v>5</x:v>
      </x:c>
      <x:c r="H950" t="n">
        <x:v>0</x:v>
      </x:c>
      <x:c r="I950" t="str">
        <x:v>À qualifier par lieu</x:v>
      </x:c>
      <x:c r="J950" t="str">
        <x:v>https://github.com/darknigthmare/deadwall-last-enclosure/blob/e28f46223e73105ab2c5d83f3d50b99b58ef53e6/codex-3000/originaux/DEADWALL_CODEX_SUPPLEMENT_1.23/FICHES_501_1000/DW-0945.md</x:v>
      </x:c>
      <x:c r="K950" t="str">
        <x:v>Source min 70,51 m ; max 70,51 m ; modèle 70 × 51 m ; niveaux 0, 1. Détails dans catalogue-existant.json.</x:v>
      </x:c>
    </x:row>
    <x:row r="951">
      <x:c r="A951" t="str">
        <x:v>DW-0946</x:v>
      </x:c>
      <x:c r="B951" t="str">
        <x:v>DW-0946</x:v>
      </x:c>
      <x:c r="C951" t="str">
        <x:v>Parent historique</x:v>
      </x:c>
      <x:c r="D951" t="str">
        <x:v>ruines</x:v>
      </x:c>
      <x:c r="E951" t="str">
        <x:v>Lotissement ravagé — variante 07</x:v>
      </x:c>
      <x:c r="F951" t="n">
        <x:v>8</x:v>
      </x:c>
      <x:c r="G951" t="n">
        <x:v>4</x:v>
      </x:c>
      <x:c r="H951" t="n">
        <x:v>0</x:v>
      </x:c>
      <x:c r="I951" t="str">
        <x:v>À qualifier par lieu</x:v>
      </x:c>
      <x:c r="J951" t="str">
        <x:v>https://github.com/darknigthmare/deadwall-last-enclosure/blob/e28f46223e73105ab2c5d83f3d50b99b58ef53e6/codex-3000/originaux/DEADWALL_CODEX_SUPPLEMENT_1.23/FICHES_501_1000/DW-0946.md</x:v>
      </x:c>
      <x:c r="K951" t="str">
        <x:v>Source min 81,14 m ; max 81,14 m ; modèle 78 × 18 m ; niveaux 0. Détails dans catalogue-existant.json.</x:v>
      </x:c>
    </x:row>
    <x:row r="952">
      <x:c r="A952" t="str">
        <x:v>DW-0947</x:v>
      </x:c>
      <x:c r="B952" t="str">
        <x:v>DW-0947</x:v>
      </x:c>
      <x:c r="C952" t="str">
        <x:v>Parent historique</x:v>
      </x:c>
      <x:c r="D952" t="str">
        <x:v>ruines</x:v>
      </x:c>
      <x:c r="E952" t="str">
        <x:v>Village déserté — variante 07</x:v>
      </x:c>
      <x:c r="F952" t="n">
        <x:v>8</x:v>
      </x:c>
      <x:c r="G952" t="n">
        <x:v>5</x:v>
      </x:c>
      <x:c r="H952" t="n">
        <x:v>0</x:v>
      </x:c>
      <x:c r="I952" t="str">
        <x:v>À qualifier par lieu</x:v>
      </x:c>
      <x:c r="J952" t="str">
        <x:v>https://github.com/darknigthmare/deadwall-last-enclosure/blob/e28f46223e73105ab2c5d83f3d50b99b58ef53e6/codex-3000/originaux/DEADWALL_CODEX_SUPPLEMENT_1.23/FICHES_501_1000/DW-0947.md</x:v>
      </x:c>
      <x:c r="K952" t="str">
        <x:v>Source min 20,31 m ; max 20,31 m ; modèle 26 × 31 m ; niveaux 0. Détails dans catalogue-existant.json.</x:v>
      </x:c>
    </x:row>
    <x:row r="953">
      <x:c r="A953" t="str">
        <x:v>DW-0948</x:v>
      </x:c>
      <x:c r="B953" t="str">
        <x:v>DW-0948</x:v>
      </x:c>
      <x:c r="C953" t="str">
        <x:v>Parent historique</x:v>
      </x:c>
      <x:c r="D953" t="str">
        <x:v>ruines</x:v>
      </x:c>
      <x:c r="E953" t="str">
        <x:v>Centre commercial effondré — variante 07</x:v>
      </x:c>
      <x:c r="F953" t="n">
        <x:v>8</x:v>
      </x:c>
      <x:c r="G953" t="n">
        <x:v>5</x:v>
      </x:c>
      <x:c r="H953" t="n">
        <x:v>0</x:v>
      </x:c>
      <x:c r="I953" t="str">
        <x:v>À qualifier par lieu</x:v>
      </x:c>
      <x:c r="J953" t="str">
        <x:v>https://github.com/darknigthmare/deadwall-last-enclosure/blob/e28f46223e73105ab2c5d83f3d50b99b58ef53e6/codex-3000/originaux/DEADWALL_CODEX_SUPPLEMENT_1.23/FICHES_501_1000/DW-0948.md</x:v>
      </x:c>
      <x:c r="K953" t="str">
        <x:v>Source min 31,48 m ; max 31,48 m ; modèle 31 × 48 m ; niveaux 0. Détails dans catalogue-existant.json.</x:v>
      </x:c>
    </x:row>
    <x:row r="954">
      <x:c r="A954" t="str">
        <x:v>DW-0949</x:v>
      </x:c>
      <x:c r="B954" t="str">
        <x:v>DW-0949</x:v>
      </x:c>
      <x:c r="C954" t="str">
        <x:v>Parent historique</x:v>
      </x:c>
      <x:c r="D954" t="str">
        <x:v>habitat</x:v>
      </x:c>
      <x:c r="E954" t="str">
        <x:v>Maison de lotissement — variante 08</x:v>
      </x:c>
      <x:c r="F954" t="n">
        <x:v>8</x:v>
      </x:c>
      <x:c r="G954" t="n">
        <x:v>5</x:v>
      </x:c>
      <x:c r="H954" t="n">
        <x:v>0</x:v>
      </x:c>
      <x:c r="I954" t="str">
        <x:v>À qualifier par lieu</x:v>
      </x:c>
      <x:c r="J954" t="str">
        <x:v>https://github.com/darknigthmare/deadwall-last-enclosure/blob/e28f46223e73105ab2c5d83f3d50b99b58ef53e6/codex-3000/originaux/DEADWALL_CODEX_SUPPLEMENT_1.23/FICHES_501_1000/DW-0949.md</x:v>
      </x:c>
      <x:c r="K954" t="str">
        <x:v>Source min 42,11 m ; max 42,11 m ; modèle 42 × 22 m ; niveaux 0, 1. Détails dans catalogue-existant.json.</x:v>
      </x:c>
    </x:row>
    <x:row r="955">
      <x:c r="A955" t="str">
        <x:v>DW-0950</x:v>
      </x:c>
      <x:c r="B955" t="str">
        <x:v>DW-0950</x:v>
      </x:c>
      <x:c r="C955" t="str">
        <x:v>Parent historique</x:v>
      </x:c>
      <x:c r="D955" t="str">
        <x:v>habitat</x:v>
      </x:c>
      <x:c r="E955" t="str">
        <x:v>Maison mitoyenne — variante 08</x:v>
      </x:c>
      <x:c r="F955" t="n">
        <x:v>8</x:v>
      </x:c>
      <x:c r="G955" t="n">
        <x:v>5</x:v>
      </x:c>
      <x:c r="H955" t="n">
        <x:v>0</x:v>
      </x:c>
      <x:c r="I955" t="str">
        <x:v>À qualifier par lieu</x:v>
      </x:c>
      <x:c r="J955" t="str">
        <x:v>https://github.com/darknigthmare/deadwall-last-enclosure/blob/e28f46223e73105ab2c5d83f3d50b99b58ef53e6/codex-3000/originaux/DEADWALL_CODEX_SUPPLEMENT_1.23/FICHES_501_1000/DW-0950.md</x:v>
      </x:c>
      <x:c r="K955" t="str">
        <x:v>Source min 53,28 m ; max 53,28 m ; modèle 53 × 28 m ; niveaux 0. Détails dans catalogue-existant.json.</x:v>
      </x:c>
    </x:row>
    <x:row r="956">
      <x:c r="A956" t="str">
        <x:v>DW-0951</x:v>
      </x:c>
      <x:c r="B956" t="str">
        <x:v>DW-0951</x:v>
      </x:c>
      <x:c r="C956" t="str">
        <x:v>Parent historique</x:v>
      </x:c>
      <x:c r="D956" t="str">
        <x:v>habitat</x:v>
      </x:c>
      <x:c r="E956" t="str">
        <x:v>Villa isolée — variante 08</x:v>
      </x:c>
      <x:c r="F956" t="n">
        <x:v>8</x:v>
      </x:c>
      <x:c r="G956" t="n">
        <x:v>7</x:v>
      </x:c>
      <x:c r="H956" t="n">
        <x:v>0</x:v>
      </x:c>
      <x:c r="I956" t="str">
        <x:v>À qualifier par lieu</x:v>
      </x:c>
      <x:c r="J956" t="str">
        <x:v>https://github.com/darknigthmare/deadwall-last-enclosure/blob/e28f46223e73105ab2c5d83f3d50b99b58ef53e6/codex-3000/originaux/DEADWALL_CODEX_SUPPLEMENT_1.23/FICHES_501_1000/DW-0951.md</x:v>
      </x:c>
      <x:c r="K956" t="str">
        <x:v>Source min 64,45 m ; max 64,45 m ; modèle 64 × 45 m ; niveaux 0. Détails dans catalogue-existant.json.</x:v>
      </x:c>
    </x:row>
    <x:row r="957">
      <x:c r="A957" t="str">
        <x:v>DW-0952</x:v>
      </x:c>
      <x:c r="B957" t="str">
        <x:v>DW-0952</x:v>
      </x:c>
      <x:c r="C957" t="str">
        <x:v>Parent historique</x:v>
      </x:c>
      <x:c r="D957" t="str">
        <x:v>habitat</x:v>
      </x:c>
      <x:c r="E957" t="str">
        <x:v>Ferme familiale — variante 08</x:v>
      </x:c>
      <x:c r="F957" t="n">
        <x:v>8</x:v>
      </x:c>
      <x:c r="G957" t="n">
        <x:v>6</x:v>
      </x:c>
      <x:c r="H957" t="n">
        <x:v>0</x:v>
      </x:c>
      <x:c r="I957" t="str">
        <x:v>À qualifier par lieu</x:v>
      </x:c>
      <x:c r="J957" t="str">
        <x:v>https://github.com/darknigthmare/deadwall-last-enclosure/blob/e28f46223e73105ab2c5d83f3d50b99b58ef53e6/codex-3000/originaux/DEADWALL_CODEX_SUPPLEMENT_1.23/FICHES_501_1000/DW-0952.md</x:v>
      </x:c>
      <x:c r="K957" t="str">
        <x:v>Source min 75,62 m ; max 75,62 m ; modèle 75 × 62 m ; niveaux 0. Détails dans catalogue-existant.json.</x:v>
      </x:c>
    </x:row>
    <x:row r="958">
      <x:c r="A958" t="str">
        <x:v>DW-0953</x:v>
      </x:c>
      <x:c r="B958" t="str">
        <x:v>DW-0953</x:v>
      </x:c>
      <x:c r="C958" t="str">
        <x:v>Parent historique</x:v>
      </x:c>
      <x:c r="D958" t="str">
        <x:v>habitat</x:v>
      </x:c>
      <x:c r="E958" t="str">
        <x:v>Immeuble résidentiel — variante 08</x:v>
      </x:c>
      <x:c r="F958" t="n">
        <x:v>8</x:v>
      </x:c>
      <x:c r="G958" t="n">
        <x:v>5</x:v>
      </x:c>
      <x:c r="H958" t="n">
        <x:v>0</x:v>
      </x:c>
      <x:c r="I958" t="str">
        <x:v>À qualifier par lieu</x:v>
      </x:c>
      <x:c r="J958" t="str">
        <x:v>https://github.com/darknigthmare/deadwall-last-enclosure/blob/e28f46223e73105ab2c5d83f3d50b99b58ef53e6/codex-3000/originaux/DEADWALL_CODEX_SUPPLEMENT_1.23/FICHES_501_1000/DW-0953.md</x:v>
      </x:c>
      <x:c r="K958" t="str">
        <x:v>Source min 14,25 m ; max 14,25 m ; modèle 26 × 25 m ; niveaux 0, 1, 2. Détails dans catalogue-existant.json.</x:v>
      </x:c>
    </x:row>
    <x:row r="959">
      <x:c r="A959" t="str">
        <x:v>DW-0954</x:v>
      </x:c>
      <x:c r="B959" t="str">
        <x:v>DW-0954</x:v>
      </x:c>
      <x:c r="C959" t="str">
        <x:v>Parent historique</x:v>
      </x:c>
      <x:c r="D959" t="str">
        <x:v>habitat</x:v>
      </x:c>
      <x:c r="E959" t="str">
        <x:v>Barre de logements — variante 08</x:v>
      </x:c>
      <x:c r="F959" t="n">
        <x:v>8</x:v>
      </x:c>
      <x:c r="G959" t="n">
        <x:v>5</x:v>
      </x:c>
      <x:c r="H959" t="n">
        <x:v>0</x:v>
      </x:c>
      <x:c r="I959" t="str">
        <x:v>À qualifier par lieu</x:v>
      </x:c>
      <x:c r="J959" t="str">
        <x:v>https://github.com/darknigthmare/deadwall-last-enclosure/blob/e28f46223e73105ab2c5d83f3d50b99b58ef53e6/codex-3000/originaux/DEADWALL_CODEX_SUPPLEMENT_1.23/FICHES_501_1000/DW-0954.md</x:v>
      </x:c>
      <x:c r="K959" t="str">
        <x:v>Source min 25,42 m ; max 25,42 m ; modèle 26 × 42 m ; niveaux 0, 1. Détails dans catalogue-existant.json.</x:v>
      </x:c>
    </x:row>
    <x:row r="960">
      <x:c r="A960" t="str">
        <x:v>DW-0955</x:v>
      </x:c>
      <x:c r="B960" t="str">
        <x:v>DW-0955</x:v>
      </x:c>
      <x:c r="C960" t="str">
        <x:v>Parent historique</x:v>
      </x:c>
      <x:c r="D960" t="str">
        <x:v>habitat</x:v>
      </x:c>
      <x:c r="E960" t="str">
        <x:v>Résidence senior — variante 08</x:v>
      </x:c>
      <x:c r="F960" t="n">
        <x:v>8</x:v>
      </x:c>
      <x:c r="G960" t="n">
        <x:v>5</x:v>
      </x:c>
      <x:c r="H960" t="n">
        <x:v>0</x:v>
      </x:c>
      <x:c r="I960" t="str">
        <x:v>À qualifier par lieu</x:v>
      </x:c>
      <x:c r="J960" t="str">
        <x:v>https://github.com/darknigthmare/deadwall-last-enclosure/blob/e28f46223e73105ab2c5d83f3d50b99b58ef53e6/codex-3000/originaux/DEADWALL_CODEX_SUPPLEMENT_1.23/FICHES_501_1000/DW-0955.md</x:v>
      </x:c>
      <x:c r="K960" t="str">
        <x:v>Source min 36,59 m ; max 36,59 m ; modèle 36 × 59 m ; niveaux 0, 1, 2. Détails dans catalogue-existant.json.</x:v>
      </x:c>
    </x:row>
    <x:row r="961">
      <x:c r="A961" t="str">
        <x:v>DW-0956</x:v>
      </x:c>
      <x:c r="B961" t="str">
        <x:v>DW-0956</x:v>
      </x:c>
      <x:c r="C961" t="str">
        <x:v>Parent historique</x:v>
      </x:c>
      <x:c r="D961" t="str">
        <x:v>habitat</x:v>
      </x:c>
      <x:c r="E961" t="str">
        <x:v>Maison avec sous-sol — variante 08</x:v>
      </x:c>
      <x:c r="F961" t="n">
        <x:v>8</x:v>
      </x:c>
      <x:c r="G961" t="n">
        <x:v>5</x:v>
      </x:c>
      <x:c r="H961" t="n">
        <x:v>0</x:v>
      </x:c>
      <x:c r="I961" t="str">
        <x:v>À qualifier par lieu</x:v>
      </x:c>
      <x:c r="J961" t="str">
        <x:v>https://github.com/darknigthmare/deadwall-last-enclosure/blob/e28f46223e73105ab2c5d83f3d50b99b58ef53e6/codex-3000/originaux/DEADWALL_CODEX_SUPPLEMENT_1.23/FICHES_501_1000/DW-0956.md</x:v>
      </x:c>
      <x:c r="K961" t="str">
        <x:v>Source min 47,22 m ; max 47,22 m ; modèle 47 × 22 m ; niveaux 0. Détails dans catalogue-existant.json.</x:v>
      </x:c>
    </x:row>
    <x:row r="962">
      <x:c r="A962" t="str">
        <x:v>DW-0957</x:v>
      </x:c>
      <x:c r="B962" t="str">
        <x:v>DW-0957</x:v>
      </x:c>
      <x:c r="C962" t="str">
        <x:v>Parent historique</x:v>
      </x:c>
      <x:c r="D962" t="str">
        <x:v>commerce</x:v>
      </x:c>
      <x:c r="E962" t="str">
        <x:v>Supérette — variante 08</x:v>
      </x:c>
      <x:c r="F962" t="n">
        <x:v>8</x:v>
      </x:c>
      <x:c r="G962" t="n">
        <x:v>5</x:v>
      </x:c>
      <x:c r="H962" t="n">
        <x:v>0</x:v>
      </x:c>
      <x:c r="I962" t="str">
        <x:v>À qualifier par lieu</x:v>
      </x:c>
      <x:c r="J962" t="str">
        <x:v>https://github.com/darknigthmare/deadwall-last-enclosure/blob/e28f46223e73105ab2c5d83f3d50b99b58ef53e6/codex-3000/originaux/DEADWALL_CODEX_SUPPLEMENT_1.23/FICHES_501_1000/DW-0957.md</x:v>
      </x:c>
      <x:c r="K962" t="str">
        <x:v>Source min 58,39 m ; max 58,39 m ; modèle 58 × 39 m ; niveaux 0, 1. Détails dans catalogue-existant.json.</x:v>
      </x:c>
    </x:row>
    <x:row r="963">
      <x:c r="A963" t="str">
        <x:v>DW-0958</x:v>
      </x:c>
      <x:c r="B963" t="str">
        <x:v>DW-0958</x:v>
      </x:c>
      <x:c r="C963" t="str">
        <x:v>Parent historique</x:v>
      </x:c>
      <x:c r="D963" t="str">
        <x:v>commerce</x:v>
      </x:c>
      <x:c r="E963" t="str">
        <x:v>Centre commercial — variante 08</x:v>
      </x:c>
      <x:c r="F963" t="n">
        <x:v>8</x:v>
      </x:c>
      <x:c r="G963" t="n">
        <x:v>6</x:v>
      </x:c>
      <x:c r="H963" t="n">
        <x:v>0</x:v>
      </x:c>
      <x:c r="I963" t="str">
        <x:v>À qualifier par lieu</x:v>
      </x:c>
      <x:c r="J963" t="str">
        <x:v>https://github.com/darknigthmare/deadwall-last-enclosure/blob/e28f46223e73105ab2c5d83f3d50b99b58ef53e6/codex-3000/originaux/DEADWALL_CODEX_SUPPLEMENT_1.23/FICHES_501_1000/DW-0958.md</x:v>
      </x:c>
      <x:c r="K963" t="str">
        <x:v>Source min 69,56 m ; max 69,56 m ; modèle 69 × 56 m ; niveaux 0. Détails dans catalogue-existant.json.</x:v>
      </x:c>
    </x:row>
    <x:row r="964">
      <x:c r="A964" t="str">
        <x:v>DW-0959</x:v>
      </x:c>
      <x:c r="B964" t="str">
        <x:v>DW-0959</x:v>
      </x:c>
      <x:c r="C964" t="str">
        <x:v>Parent historique</x:v>
      </x:c>
      <x:c r="D964" t="str">
        <x:v>commerce</x:v>
      </x:c>
      <x:c r="E964" t="str">
        <x:v>Supermarché — variante 08</x:v>
      </x:c>
      <x:c r="F964" t="n">
        <x:v>8</x:v>
      </x:c>
      <x:c r="G964" t="n">
        <x:v>7</x:v>
      </x:c>
      <x:c r="H964" t="n">
        <x:v>0</x:v>
      </x:c>
      <x:c r="I964" t="str">
        <x:v>À qualifier par lieu</x:v>
      </x:c>
      <x:c r="J964" t="str">
        <x:v>https://github.com/darknigthmare/deadwall-last-enclosure/blob/e28f46223e73105ab2c5d83f3d50b99b58ef53e6/codex-3000/originaux/DEADWALL_CODEX_SUPPLEMENT_1.23/FICHES_501_1000/DW-0959.md</x:v>
      </x:c>
      <x:c r="K964" t="str">
        <x:v>Source min 80,19 m ; max 80,19 m ; modèle 78 × 29 m ; niveaux 0. Détails dans catalogue-existant.json.</x:v>
      </x:c>
    </x:row>
    <x:row r="965">
      <x:c r="A965" t="str">
        <x:v>DW-0960</x:v>
      </x:c>
      <x:c r="B965" t="str">
        <x:v>DW-0960</x:v>
      </x:c>
      <x:c r="C965" t="str">
        <x:v>Parent historique</x:v>
      </x:c>
      <x:c r="D965" t="str">
        <x:v>commerce</x:v>
      </x:c>
      <x:c r="E965" t="str">
        <x:v>Magasin de bricolage — variante 08</x:v>
      </x:c>
      <x:c r="F965" t="n">
        <x:v>8</x:v>
      </x:c>
      <x:c r="G965" t="n">
        <x:v>5</x:v>
      </x:c>
      <x:c r="H965" t="n">
        <x:v>0</x:v>
      </x:c>
      <x:c r="I965" t="str">
        <x:v>À qualifier par lieu</x:v>
      </x:c>
      <x:c r="J965" t="str">
        <x:v>https://github.com/darknigthmare/deadwall-last-enclosure/blob/e28f46223e73105ab2c5d83f3d50b99b58ef53e6/codex-3000/originaux/DEADWALL_CODEX_SUPPLEMENT_1.23/FICHES_501_1000/DW-0960.md</x:v>
      </x:c>
      <x:c r="K965" t="str">
        <x:v>Source min 19,36 m ; max 19,36 m ; modèle 26 × 36 m ; niveaux 0. Détails dans catalogue-existant.json.</x:v>
      </x:c>
    </x:row>
    <x:row r="966">
      <x:c r="A966" t="str">
        <x:v>DW-0961</x:v>
      </x:c>
      <x:c r="B966" t="str">
        <x:v>DW-0961</x:v>
      </x:c>
      <x:c r="C966" t="str">
        <x:v>Parent historique</x:v>
      </x:c>
      <x:c r="D966" t="str">
        <x:v>commerce</x:v>
      </x:c>
      <x:c r="E966" t="str">
        <x:v>Pharmacie — variante 08</x:v>
      </x:c>
      <x:c r="F966" t="n">
        <x:v>8</x:v>
      </x:c>
      <x:c r="G966" t="n">
        <x:v>4</x:v>
      </x:c>
      <x:c r="H966" t="n">
        <x:v>0</x:v>
      </x:c>
      <x:c r="I966" t="str">
        <x:v>À qualifier par lieu</x:v>
      </x:c>
      <x:c r="J966" t="str">
        <x:v>https://github.com/darknigthmare/deadwall-last-enclosure/blob/e28f46223e73105ab2c5d83f3d50b99b58ef53e6/codex-3000/originaux/DEADWALL_CODEX_SUPPLEMENT_1.23/FICHES_501_1000/DW-0961.md</x:v>
      </x:c>
      <x:c r="K966" t="str">
        <x:v>Source min 30,53 m ; max 30,53 m ; modèle 30 × 53 m ; niveaux 0, 1. Détails dans catalogue-existant.json.</x:v>
      </x:c>
    </x:row>
    <x:row r="967">
      <x:c r="A967" t="str">
        <x:v>DW-0962</x:v>
      </x:c>
      <x:c r="B967" t="str">
        <x:v>DW-0962</x:v>
      </x:c>
      <x:c r="C967" t="str">
        <x:v>Parent historique</x:v>
      </x:c>
      <x:c r="D967" t="str">
        <x:v>commerce</x:v>
      </x:c>
      <x:c r="E967" t="str">
        <x:v>Station-service — variante 08</x:v>
      </x:c>
      <x:c r="F967" t="n">
        <x:v>8</x:v>
      </x:c>
      <x:c r="G967" t="n">
        <x:v>5</x:v>
      </x:c>
      <x:c r="H967" t="n">
        <x:v>0</x:v>
      </x:c>
      <x:c r="I967" t="str">
        <x:v>À qualifier par lieu</x:v>
      </x:c>
      <x:c r="J967" t="str">
        <x:v>https://github.com/darknigthmare/deadwall-last-enclosure/blob/e28f46223e73105ab2c5d83f3d50b99b58ef53e6/codex-3000/originaux/DEADWALL_CODEX_SUPPLEMENT_1.23/FICHES_501_1000/DW-0962.md</x:v>
      </x:c>
      <x:c r="K967" t="str">
        <x:v>Source min 41,16 m ; max 41,16 m ; modèle 41 × 22 m ; niveaux 0. Détails dans catalogue-existant.json.</x:v>
      </x:c>
    </x:row>
    <x:row r="968">
      <x:c r="A968" t="str">
        <x:v>DW-0963</x:v>
      </x:c>
      <x:c r="B968" t="str">
        <x:v>DW-0963</x:v>
      </x:c>
      <x:c r="C968" t="str">
        <x:v>Parent historique</x:v>
      </x:c>
      <x:c r="D968" t="str">
        <x:v>commerce</x:v>
      </x:c>
      <x:c r="E968" t="str">
        <x:v>Restaurant routier — variante 08</x:v>
      </x:c>
      <x:c r="F968" t="n">
        <x:v>8</x:v>
      </x:c>
      <x:c r="G968" t="n">
        <x:v>5</x:v>
      </x:c>
      <x:c r="H968" t="n">
        <x:v>0</x:v>
      </x:c>
      <x:c r="I968" t="str">
        <x:v>À qualifier par lieu</x:v>
      </x:c>
      <x:c r="J968" t="str">
        <x:v>https://github.com/darknigthmare/deadwall-last-enclosure/blob/e28f46223e73105ab2c5d83f3d50b99b58ef53e6/codex-3000/originaux/DEADWALL_CODEX_SUPPLEMENT_1.23/FICHES_501_1000/DW-0963.md</x:v>
      </x:c>
      <x:c r="K968" t="str">
        <x:v>Source min 52,33 m ; max 52,33 m ; modèle 52 × 33 m ; niveaux 0. Détails dans catalogue-existant.json.</x:v>
      </x:c>
    </x:row>
    <x:row r="969">
      <x:c r="A969" t="str">
        <x:v>DW-0964</x:v>
      </x:c>
      <x:c r="B969" t="str">
        <x:v>DW-0964</x:v>
      </x:c>
      <x:c r="C969" t="str">
        <x:v>Parent historique</x:v>
      </x:c>
      <x:c r="D969" t="str">
        <x:v>commerce</x:v>
      </x:c>
      <x:c r="E969" t="str">
        <x:v>Hôtel — variante 08</x:v>
      </x:c>
      <x:c r="F969" t="n">
        <x:v>8</x:v>
      </x:c>
      <x:c r="G969" t="n">
        <x:v>6</x:v>
      </x:c>
      <x:c r="H969" t="n">
        <x:v>0</x:v>
      </x:c>
      <x:c r="I969" t="str">
        <x:v>À qualifier par lieu</x:v>
      </x:c>
      <x:c r="J969" t="str">
        <x:v>https://github.com/darknigthmare/deadwall-last-enclosure/blob/e28f46223e73105ab2c5d83f3d50b99b58ef53e6/codex-3000/originaux/DEADWALL_CODEX_SUPPLEMENT_1.23/FICHES_501_1000/DW-0964.md</x:v>
      </x:c>
      <x:c r="K969" t="str">
        <x:v>Source min 63,50 m ; max 63,50 m ; modèle 63 × 50 m ; niveaux 0. Détails dans catalogue-existant.json.</x:v>
      </x:c>
    </x:row>
    <x:row r="970">
      <x:c r="A970" t="str">
        <x:v>DW-0965</x:v>
      </x:c>
      <x:c r="B970" t="str">
        <x:v>DW-0965</x:v>
      </x:c>
      <x:c r="C970" t="str">
        <x:v>Parent historique</x:v>
      </x:c>
      <x:c r="D970" t="str">
        <x:v>industrie</x:v>
      </x:c>
      <x:c r="E970" t="str">
        <x:v>Scierie — variante 08</x:v>
      </x:c>
      <x:c r="F970" t="n">
        <x:v>8</x:v>
      </x:c>
      <x:c r="G970" t="n">
        <x:v>5</x:v>
      </x:c>
      <x:c r="H970" t="n">
        <x:v>0</x:v>
      </x:c>
      <x:c r="I970" t="str">
        <x:v>À qualifier par lieu</x:v>
      </x:c>
      <x:c r="J970" t="str">
        <x:v>https://github.com/darknigthmare/deadwall-last-enclosure/blob/e28f46223e73105ab2c5d83f3d50b99b58ef53e6/codex-3000/originaux/DEADWALL_CODEX_SUPPLEMENT_1.23/FICHES_501_1000/DW-0965.md</x:v>
      </x:c>
      <x:c r="K970" t="str">
        <x:v>Source min 74,13 m ; max 74,13 m ; modèle 74 × 22 m ; niveaux 0. Détails dans catalogue-existant.json.</x:v>
      </x:c>
    </x:row>
    <x:row r="971">
      <x:c r="A971" t="str">
        <x:v>DW-0966</x:v>
      </x:c>
      <x:c r="B971" t="str">
        <x:v>DW-0966</x:v>
      </x:c>
      <x:c r="C971" t="str">
        <x:v>Parent historique</x:v>
      </x:c>
      <x:c r="D971" t="str">
        <x:v>industrie</x:v>
      </x:c>
      <x:c r="E971" t="str">
        <x:v>Garage automobile — variante 08</x:v>
      </x:c>
      <x:c r="F971" t="n">
        <x:v>8</x:v>
      </x:c>
      <x:c r="G971" t="n">
        <x:v>5</x:v>
      </x:c>
      <x:c r="H971" t="n">
        <x:v>0</x:v>
      </x:c>
      <x:c r="I971" t="str">
        <x:v>À qualifier par lieu</x:v>
      </x:c>
      <x:c r="J971" t="str">
        <x:v>https://github.com/darknigthmare/deadwall-last-enclosure/blob/e28f46223e73105ab2c5d83f3d50b99b58ef53e6/codex-3000/originaux/DEADWALL_CODEX_SUPPLEMENT_1.23/FICHES_501_1000/DW-0966.md</x:v>
      </x:c>
      <x:c r="K971" t="str">
        <x:v>Source min 13,30 m ; max 13,30 m ; modèle 26 × 30 m ; niveaux 0. Détails dans catalogue-existant.json.</x:v>
      </x:c>
    </x:row>
    <x:row r="972">
      <x:c r="A972" t="str">
        <x:v>DW-0967</x:v>
      </x:c>
      <x:c r="B972" t="str">
        <x:v>DW-0967</x:v>
      </x:c>
      <x:c r="C972" t="str">
        <x:v>Parent historique</x:v>
      </x:c>
      <x:c r="D972" t="str">
        <x:v>industrie</x:v>
      </x:c>
      <x:c r="E972" t="str">
        <x:v>Entrepôt logistique — variante 08</x:v>
      </x:c>
      <x:c r="F972" t="n">
        <x:v>8</x:v>
      </x:c>
      <x:c r="G972" t="n">
        <x:v>5</x:v>
      </x:c>
      <x:c r="H972" t="n">
        <x:v>0</x:v>
      </x:c>
      <x:c r="I972" t="str">
        <x:v>À qualifier par lieu</x:v>
      </x:c>
      <x:c r="J972" t="str">
        <x:v>https://github.com/darknigthmare/deadwall-last-enclosure/blob/e28f46223e73105ab2c5d83f3d50b99b58ef53e6/codex-3000/originaux/DEADWALL_CODEX_SUPPLEMENT_1.23/FICHES_501_1000/DW-0967.md</x:v>
      </x:c>
      <x:c r="K972" t="str">
        <x:v>Source min 24,47 m ; max 24,47 m ; modèle 26 × 47 m ; niveaux 0. Détails dans catalogue-existant.json.</x:v>
      </x:c>
    </x:row>
    <x:row r="973">
      <x:c r="A973" t="str">
        <x:v>DW-0968</x:v>
      </x:c>
      <x:c r="B973" t="str">
        <x:v>DW-0968</x:v>
      </x:c>
      <x:c r="C973" t="str">
        <x:v>Parent historique</x:v>
      </x:c>
      <x:c r="D973" t="str">
        <x:v>industrie</x:v>
      </x:c>
      <x:c r="E973" t="str">
        <x:v>Petite usine — variante 08</x:v>
      </x:c>
      <x:c r="F973" t="n">
        <x:v>8</x:v>
      </x:c>
      <x:c r="G973" t="n">
        <x:v>5</x:v>
      </x:c>
      <x:c r="H973" t="n">
        <x:v>0</x:v>
      </x:c>
      <x:c r="I973" t="str">
        <x:v>À qualifier par lieu</x:v>
      </x:c>
      <x:c r="J973" t="str">
        <x:v>https://github.com/darknigthmare/deadwall-last-enclosure/blob/e28f46223e73105ab2c5d83f3d50b99b58ef53e6/codex-3000/originaux/DEADWALL_CODEX_SUPPLEMENT_1.23/FICHES_501_1000/DW-0968.md</x:v>
      </x:c>
      <x:c r="K973" t="str">
        <x:v>Source min 35,10 m ; max 35,10 m ; modèle 35 × 22 m ; niveaux 0. Détails dans catalogue-existant.json.</x:v>
      </x:c>
    </x:row>
    <x:row r="974">
      <x:c r="A974" t="str">
        <x:v>DW-0969</x:v>
      </x:c>
      <x:c r="B974" t="str">
        <x:v>DW-0969</x:v>
      </x:c>
      <x:c r="C974" t="str">
        <x:v>Parent historique</x:v>
      </x:c>
      <x:c r="D974" t="str">
        <x:v>industrie</x:v>
      </x:c>
      <x:c r="E974" t="str">
        <x:v>Carrière — variante 08</x:v>
      </x:c>
      <x:c r="F974" t="n">
        <x:v>8</x:v>
      </x:c>
      <x:c r="G974" t="n">
        <x:v>5</x:v>
      </x:c>
      <x:c r="H974" t="n">
        <x:v>0</x:v>
      </x:c>
      <x:c r="I974" t="str">
        <x:v>À qualifier par lieu</x:v>
      </x:c>
      <x:c r="J974" t="str">
        <x:v>https://github.com/darknigthmare/deadwall-last-enclosure/blob/e28f46223e73105ab2c5d83f3d50b99b58ef53e6/codex-3000/originaux/DEADWALL_CODEX_SUPPLEMENT_1.23/FICHES_501_1000/DW-0969.md</x:v>
      </x:c>
      <x:c r="K974" t="str">
        <x:v>Source min 46,27 m ; max 46,27 m ; modèle 46 × 27 m ; niveaux 0. Détails dans catalogue-existant.json.</x:v>
      </x:c>
    </x:row>
    <x:row r="975">
      <x:c r="A975" t="str">
        <x:v>DW-0970</x:v>
      </x:c>
      <x:c r="B975" t="str">
        <x:v>DW-0970</x:v>
      </x:c>
      <x:c r="C975" t="str">
        <x:v>Parent historique</x:v>
      </x:c>
      <x:c r="D975" t="str">
        <x:v>industrie</x:v>
      </x:c>
      <x:c r="E975" t="str">
        <x:v>Mine — variante 08</x:v>
      </x:c>
      <x:c r="F975" t="n">
        <x:v>8</x:v>
      </x:c>
      <x:c r="G975" t="n">
        <x:v>6</x:v>
      </x:c>
      <x:c r="H975" t="n">
        <x:v>0</x:v>
      </x:c>
      <x:c r="I975" t="str">
        <x:v>À qualifier par lieu</x:v>
      </x:c>
      <x:c r="J975" t="str">
        <x:v>https://github.com/darknigthmare/deadwall-last-enclosure/blob/e28f46223e73105ab2c5d83f3d50b99b58ef53e6/codex-3000/originaux/DEADWALL_CODEX_SUPPLEMENT_1.23/FICHES_501_1000/DW-0970.md</x:v>
      </x:c>
      <x:c r="K975" t="str">
        <x:v>Source min 57,44 m ; max 57,44 m ; modèle 57 × 44 m ; niveaux 0. Détails dans catalogue-existant.json.</x:v>
      </x:c>
    </x:row>
    <x:row r="976">
      <x:c r="A976" t="str">
        <x:v>DW-0971</x:v>
      </x:c>
      <x:c r="B976" t="str">
        <x:v>DW-0971</x:v>
      </x:c>
      <x:c r="C976" t="str">
        <x:v>Parent historique</x:v>
      </x:c>
      <x:c r="D976" t="str">
        <x:v>industrie</x:v>
      </x:c>
      <x:c r="E976" t="str">
        <x:v>Centrale locale — variante 08</x:v>
      </x:c>
      <x:c r="F976" t="n">
        <x:v>8</x:v>
      </x:c>
      <x:c r="G976" t="n">
        <x:v>5</x:v>
      </x:c>
      <x:c r="H976" t="n">
        <x:v>0</x:v>
      </x:c>
      <x:c r="I976" t="str">
        <x:v>À qualifier par lieu</x:v>
      </x:c>
      <x:c r="J976" t="str">
        <x:v>https://github.com/darknigthmare/deadwall-last-enclosure/blob/e28f46223e73105ab2c5d83f3d50b99b58ef53e6/codex-3000/originaux/DEADWALL_CODEX_SUPPLEMENT_1.23/FICHES_501_1000/DW-0971.md</x:v>
      </x:c>
      <x:c r="K976" t="str">
        <x:v>Source min 68,61 m ; max 68,61 m ; modèle 68 × 61 m ; niveaux 0. Détails dans catalogue-existant.json.</x:v>
      </x:c>
    </x:row>
    <x:row r="977">
      <x:c r="A977" t="str">
        <x:v>DW-0972</x:v>
      </x:c>
      <x:c r="B977" t="str">
        <x:v>DW-0972</x:v>
      </x:c>
      <x:c r="C977" t="str">
        <x:v>Parent historique</x:v>
      </x:c>
      <x:c r="D977" t="str">
        <x:v>industrie</x:v>
      </x:c>
      <x:c r="E977" t="str">
        <x:v>Station de pompage — variante 08</x:v>
      </x:c>
      <x:c r="F977" t="n">
        <x:v>8</x:v>
      </x:c>
      <x:c r="G977" t="n">
        <x:v>5</x:v>
      </x:c>
      <x:c r="H977" t="n">
        <x:v>0</x:v>
      </x:c>
      <x:c r="I977" t="str">
        <x:v>À qualifier par lieu</x:v>
      </x:c>
      <x:c r="J977" t="str">
        <x:v>https://github.com/darknigthmare/deadwall-last-enclosure/blob/e28f46223e73105ab2c5d83f3d50b99b58ef53e6/codex-3000/originaux/DEADWALL_CODEX_SUPPLEMENT_1.23/FICHES_501_1000/DW-0972.md</x:v>
      </x:c>
      <x:c r="K977" t="str">
        <x:v>Source min 79,24 m ; max 79,24 m ; modèle 78 × 24 m ; niveaux 0. Détails dans catalogue-existant.json.</x:v>
      </x:c>
    </x:row>
    <x:row r="978">
      <x:c r="A978" t="str">
        <x:v>DW-0973</x:v>
      </x:c>
      <x:c r="B978" t="str">
        <x:v>DW-0973</x:v>
      </x:c>
      <x:c r="C978" t="str">
        <x:v>Parent historique</x:v>
      </x:c>
      <x:c r="D978" t="str">
        <x:v>public</x:v>
      </x:c>
      <x:c r="E978" t="str">
        <x:v>École — variante 08</x:v>
      </x:c>
      <x:c r="F978" t="n">
        <x:v>8</x:v>
      </x:c>
      <x:c r="G978" t="n">
        <x:v>5</x:v>
      </x:c>
      <x:c r="H978" t="n">
        <x:v>0</x:v>
      </x:c>
      <x:c r="I978" t="str">
        <x:v>À qualifier par lieu</x:v>
      </x:c>
      <x:c r="J978" t="str">
        <x:v>https://github.com/darknigthmare/deadwall-last-enclosure/blob/e28f46223e73105ab2c5d83f3d50b99b58ef53e6/codex-3000/originaux/DEADWALL_CODEX_SUPPLEMENT_1.23/FICHES_501_1000/DW-0973.md</x:v>
      </x:c>
      <x:c r="K978" t="str">
        <x:v>Source min 18,41 m ; max 18,41 m ; modèle 26 × 41 m ; niveaux 0, 1. Détails dans catalogue-existant.json.</x:v>
      </x:c>
    </x:row>
    <x:row r="979">
      <x:c r="A979" t="str">
        <x:v>DW-0974</x:v>
      </x:c>
      <x:c r="B979" t="str">
        <x:v>DW-0974</x:v>
      </x:c>
      <x:c r="C979" t="str">
        <x:v>Parent historique</x:v>
      </x:c>
      <x:c r="D979" t="str">
        <x:v>public</x:v>
      </x:c>
      <x:c r="E979" t="str">
        <x:v>Mairie — variante 08</x:v>
      </x:c>
      <x:c r="F979" t="n">
        <x:v>8</x:v>
      </x:c>
      <x:c r="G979" t="n">
        <x:v>5</x:v>
      </x:c>
      <x:c r="H979" t="n">
        <x:v>0</x:v>
      </x:c>
      <x:c r="I979" t="str">
        <x:v>À qualifier par lieu</x:v>
      </x:c>
      <x:c r="J979" t="str">
        <x:v>https://github.com/darknigthmare/deadwall-last-enclosure/blob/e28f46223e73105ab2c5d83f3d50b99b58ef53e6/codex-3000/originaux/DEADWALL_CODEX_SUPPLEMENT_1.23/FICHES_501_1000/DW-0974.md</x:v>
      </x:c>
      <x:c r="K979" t="str">
        <x:v>Source min 29,58 m ; max 29,58 m ; modèle 29 × 58 m ; niveaux 0. Détails dans catalogue-existant.json.</x:v>
      </x:c>
    </x:row>
    <x:row r="980">
      <x:c r="A980" t="str">
        <x:v>DW-0975</x:v>
      </x:c>
      <x:c r="B980" t="str">
        <x:v>DW-0975</x:v>
      </x:c>
      <x:c r="C980" t="str">
        <x:v>Parent historique</x:v>
      </x:c>
      <x:c r="D980" t="str">
        <x:v>public</x:v>
      </x:c>
      <x:c r="E980" t="str">
        <x:v>Clinique — variante 08</x:v>
      </x:c>
      <x:c r="F980" t="n">
        <x:v>8</x:v>
      </x:c>
      <x:c r="G980" t="n">
        <x:v>6</x:v>
      </x:c>
      <x:c r="H980" t="n">
        <x:v>0</x:v>
      </x:c>
      <x:c r="I980" t="str">
        <x:v>À qualifier par lieu</x:v>
      </x:c>
      <x:c r="J980" t="str">
        <x:v>https://github.com/darknigthmare/deadwall-last-enclosure/blob/e28f46223e73105ab2c5d83f3d50b99b58ef53e6/codex-3000/originaux/DEADWALL_CODEX_SUPPLEMENT_1.23/FICHES_501_1000/DW-0975.md</x:v>
      </x:c>
      <x:c r="K980" t="str">
        <x:v>Source min 40,21 m ; max 40,21 m ; modèle 40 × 22 m ; niveaux 0. Détails dans catalogue-existant.json.</x:v>
      </x:c>
    </x:row>
    <x:row r="981">
      <x:c r="A981" t="str">
        <x:v>DW-0976</x:v>
      </x:c>
      <x:c r="B981" t="str">
        <x:v>DW-0976</x:v>
      </x:c>
      <x:c r="C981" t="str">
        <x:v>Parent historique</x:v>
      </x:c>
      <x:c r="D981" t="str">
        <x:v>public</x:v>
      </x:c>
      <x:c r="E981" t="str">
        <x:v>Caserne de pompiers — variante 08</x:v>
      </x:c>
      <x:c r="F981" t="n">
        <x:v>8</x:v>
      </x:c>
      <x:c r="G981" t="n">
        <x:v>6</x:v>
      </x:c>
      <x:c r="H981" t="n">
        <x:v>0</x:v>
      </x:c>
      <x:c r="I981" t="str">
        <x:v>À qualifier par lieu</x:v>
      </x:c>
      <x:c r="J981" t="str">
        <x:v>https://github.com/darknigthmare/deadwall-last-enclosure/blob/e28f46223e73105ab2c5d83f3d50b99b58ef53e6/codex-3000/originaux/DEADWALL_CODEX_SUPPLEMENT_1.23/FICHES_501_1000/DW-0976.md</x:v>
      </x:c>
      <x:c r="K981" t="str">
        <x:v>Source min 51,38 m ; max 51,38 m ; modèle 51 × 38 m ; niveaux 0. Détails dans catalogue-existant.json.</x:v>
      </x:c>
    </x:row>
    <x:row r="982">
      <x:c r="A982" t="str">
        <x:v>DW-0977</x:v>
      </x:c>
      <x:c r="B982" t="str">
        <x:v>DW-0977</x:v>
      </x:c>
      <x:c r="C982" t="str">
        <x:v>Parent historique</x:v>
      </x:c>
      <x:c r="D982" t="str">
        <x:v>public</x:v>
      </x:c>
      <x:c r="E982" t="str">
        <x:v>Poste de police — variante 08</x:v>
      </x:c>
      <x:c r="F982" t="n">
        <x:v>8</x:v>
      </x:c>
      <x:c r="G982" t="n">
        <x:v>5</x:v>
      </x:c>
      <x:c r="H982" t="n">
        <x:v>0</x:v>
      </x:c>
      <x:c r="I982" t="str">
        <x:v>À qualifier par lieu</x:v>
      </x:c>
      <x:c r="J982" t="str">
        <x:v>https://github.com/darknigthmare/deadwall-last-enclosure/blob/e28f46223e73105ab2c5d83f3d50b99b58ef53e6/codex-3000/originaux/DEADWALL_CODEX_SUPPLEMENT_1.23/FICHES_501_1000/DW-0977.md</x:v>
      </x:c>
      <x:c r="K982" t="str">
        <x:v>Source min 62,55 m ; max 62,55 m ; modèle 62 × 55 m ; niveaux 0, 1. Détails dans catalogue-existant.json.</x:v>
      </x:c>
    </x:row>
    <x:row r="983">
      <x:c r="A983" t="str">
        <x:v>DW-0978</x:v>
      </x:c>
      <x:c r="B983" t="str">
        <x:v>DW-0978</x:v>
      </x:c>
      <x:c r="C983" t="str">
        <x:v>Parent historique</x:v>
      </x:c>
      <x:c r="D983" t="str">
        <x:v>public</x:v>
      </x:c>
      <x:c r="E983" t="str">
        <x:v>Bibliothèque — variante 08</x:v>
      </x:c>
      <x:c r="F983" t="n">
        <x:v>8</x:v>
      </x:c>
      <x:c r="G983" t="n">
        <x:v>5</x:v>
      </x:c>
      <x:c r="H983" t="n">
        <x:v>0</x:v>
      </x:c>
      <x:c r="I983" t="str">
        <x:v>À qualifier par lieu</x:v>
      </x:c>
      <x:c r="J983" t="str">
        <x:v>https://github.com/darknigthmare/deadwall-last-enclosure/blob/e28f46223e73105ab2c5d83f3d50b99b58ef53e6/codex-3000/originaux/DEADWALL_CODEX_SUPPLEMENT_1.23/FICHES_501_1000/DW-0978.md</x:v>
      </x:c>
      <x:c r="K983" t="str">
        <x:v>Source min 73,18 m ; max 73,18 m ; modèle 73 × 22 m ; niveaux 0. Détails dans catalogue-existant.json.</x:v>
      </x:c>
    </x:row>
    <x:row r="984">
      <x:c r="A984" t="str">
        <x:v>DW-0979</x:v>
      </x:c>
      <x:c r="B984" t="str">
        <x:v>DW-0979</x:v>
      </x:c>
      <x:c r="C984" t="str">
        <x:v>Parent historique</x:v>
      </x:c>
      <x:c r="D984" t="str">
        <x:v>public</x:v>
      </x:c>
      <x:c r="E984" t="str">
        <x:v>Salle des fêtes — variante 08</x:v>
      </x:c>
      <x:c r="F984" t="n">
        <x:v>8</x:v>
      </x:c>
      <x:c r="G984" t="n">
        <x:v>5</x:v>
      </x:c>
      <x:c r="H984" t="n">
        <x:v>0</x:v>
      </x:c>
      <x:c r="I984" t="str">
        <x:v>À qualifier par lieu</x:v>
      </x:c>
      <x:c r="J984" t="str">
        <x:v>https://github.com/darknigthmare/deadwall-last-enclosure/blob/e28f46223e73105ab2c5d83f3d50b99b58ef53e6/codex-3000/originaux/DEADWALL_CODEX_SUPPLEMENT_1.23/FICHES_501_1000/DW-0979.md</x:v>
      </x:c>
      <x:c r="K984" t="str">
        <x:v>Source min 12,35 m ; max 12,35 m ; modèle 26 × 35 m ; niveaux 0. Détails dans catalogue-existant.json.</x:v>
      </x:c>
    </x:row>
    <x:row r="985">
      <x:c r="A985" t="str">
        <x:v>DW-0980</x:v>
      </x:c>
      <x:c r="B985" t="str">
        <x:v>DW-0980</x:v>
      </x:c>
      <x:c r="C985" t="str">
        <x:v>Parent historique</x:v>
      </x:c>
      <x:c r="D985" t="str">
        <x:v>public</x:v>
      </x:c>
      <x:c r="E985" t="str">
        <x:v>Église et presbytère — variante 08</x:v>
      </x:c>
      <x:c r="F985" t="n">
        <x:v>8</x:v>
      </x:c>
      <x:c r="G985" t="n">
        <x:v>5</x:v>
      </x:c>
      <x:c r="H985" t="n">
        <x:v>0</x:v>
      </x:c>
      <x:c r="I985" t="str">
        <x:v>À qualifier par lieu</x:v>
      </x:c>
      <x:c r="J985" t="str">
        <x:v>https://github.com/darknigthmare/deadwall-last-enclosure/blob/e28f46223e73105ab2c5d83f3d50b99b58ef53e6/codex-3000/originaux/DEADWALL_CODEX_SUPPLEMENT_1.23/FICHES_501_1000/DW-0980.md</x:v>
      </x:c>
      <x:c r="K985" t="str">
        <x:v>Source min 23,52 m ; max 23,52 m ; modèle 26 × 52 m ; niveaux 0. Détails dans catalogue-existant.json.</x:v>
      </x:c>
    </x:row>
    <x:row r="986">
      <x:c r="A986" t="str">
        <x:v>DW-0981</x:v>
      </x:c>
      <x:c r="B986" t="str">
        <x:v>DW-0981</x:v>
      </x:c>
      <x:c r="C986" t="str">
        <x:v>Parent historique</x:v>
      </x:c>
      <x:c r="D986" t="str">
        <x:v>rural</x:v>
      </x:c>
      <x:c r="E986" t="str">
        <x:v>Hameau agricole — variante 08</x:v>
      </x:c>
      <x:c r="F986" t="n">
        <x:v>8</x:v>
      </x:c>
      <x:c r="G986" t="n">
        <x:v>6</x:v>
      </x:c>
      <x:c r="H986" t="n">
        <x:v>0</x:v>
      </x:c>
      <x:c r="I986" t="str">
        <x:v>À qualifier par lieu</x:v>
      </x:c>
      <x:c r="J986" t="str">
        <x:v>https://github.com/darknigthmare/deadwall-last-enclosure/blob/e28f46223e73105ab2c5d83f3d50b99b58ef53e6/codex-3000/originaux/DEADWALL_CODEX_SUPPLEMENT_1.23/FICHES_501_1000/DW-0981.md</x:v>
      </x:c>
      <x:c r="K986" t="str">
        <x:v>Source min 34,15 m ; max 34,15 m ; modèle 34 × 22 m ; niveaux 0. Détails dans catalogue-existant.json.</x:v>
      </x:c>
    </x:row>
    <x:row r="987">
      <x:c r="A987" t="str">
        <x:v>DW-0982</x:v>
      </x:c>
      <x:c r="B987" t="str">
        <x:v>DW-0982</x:v>
      </x:c>
      <x:c r="C987" t="str">
        <x:v>Parent historique</x:v>
      </x:c>
      <x:c r="D987" t="str">
        <x:v>rural</x:v>
      </x:c>
      <x:c r="E987" t="str">
        <x:v>Cabane forestière — variante 08</x:v>
      </x:c>
      <x:c r="F987" t="n">
        <x:v>8</x:v>
      </x:c>
      <x:c r="G987" t="n">
        <x:v>4</x:v>
      </x:c>
      <x:c r="H987" t="n">
        <x:v>0</x:v>
      </x:c>
      <x:c r="I987" t="str">
        <x:v>À qualifier par lieu</x:v>
      </x:c>
      <x:c r="J987" t="str">
        <x:v>https://github.com/darknigthmare/deadwall-last-enclosure/blob/e28f46223e73105ab2c5d83f3d50b99b58ef53e6/codex-3000/originaux/DEADWALL_CODEX_SUPPLEMENT_1.23/FICHES_501_1000/DW-0982.md</x:v>
      </x:c>
      <x:c r="K987" t="str">
        <x:v>Source min 45,32 m ; max 45,32 m ; modèle 45 × 32 m ; niveaux 0. Détails dans catalogue-existant.json.</x:v>
      </x:c>
    </x:row>
    <x:row r="988">
      <x:c r="A988" t="str">
        <x:v>DW-0983</x:v>
      </x:c>
      <x:c r="B988" t="str">
        <x:v>DW-0983</x:v>
      </x:c>
      <x:c r="C988" t="str">
        <x:v>Parent historique</x:v>
      </x:c>
      <x:c r="D988" t="str">
        <x:v>rural</x:v>
      </x:c>
      <x:c r="E988" t="str">
        <x:v>Dépôt forestier — variante 08</x:v>
      </x:c>
      <x:c r="F988" t="n">
        <x:v>8</x:v>
      </x:c>
      <x:c r="G988" t="n">
        <x:v>5</x:v>
      </x:c>
      <x:c r="H988" t="n">
        <x:v>0</x:v>
      </x:c>
      <x:c r="I988" t="str">
        <x:v>À qualifier par lieu</x:v>
      </x:c>
      <x:c r="J988" t="str">
        <x:v>https://github.com/darknigthmare/deadwall-last-enclosure/blob/e28f46223e73105ab2c5d83f3d50b99b58ef53e6/codex-3000/originaux/DEADWALL_CODEX_SUPPLEMENT_1.23/FICHES_501_1000/DW-0983.md</x:v>
      </x:c>
      <x:c r="K988" t="str">
        <x:v>Source min 56,49 m ; max 56,49 m ; modèle 56 × 49 m ; niveaux 0. Détails dans catalogue-existant.json.</x:v>
      </x:c>
    </x:row>
    <x:row r="989">
      <x:c r="A989" t="str">
        <x:v>DW-0984</x:v>
      </x:c>
      <x:c r="B989" t="str">
        <x:v>DW-0984</x:v>
      </x:c>
      <x:c r="C989" t="str">
        <x:v>Parent historique</x:v>
      </x:c>
      <x:c r="D989" t="str">
        <x:v>rural</x:v>
      </x:c>
      <x:c r="E989" t="str">
        <x:v>Ferme céréalière — variante 08</x:v>
      </x:c>
      <x:c r="F989" t="n">
        <x:v>8</x:v>
      </x:c>
      <x:c r="G989" t="n">
        <x:v>5</x:v>
      </x:c>
      <x:c r="H989" t="n">
        <x:v>0</x:v>
      </x:c>
      <x:c r="I989" t="str">
        <x:v>À qualifier par lieu</x:v>
      </x:c>
      <x:c r="J989" t="str">
        <x:v>https://github.com/darknigthmare/deadwall-last-enclosure/blob/e28f46223e73105ab2c5d83f3d50b99b58ef53e6/codex-3000/originaux/DEADWALL_CODEX_SUPPLEMENT_1.23/FICHES_501_1000/DW-0984.md</x:v>
      </x:c>
      <x:c r="K989" t="str">
        <x:v>Source min 67,12 m ; max 67,12 m ; modèle 67 × 22 m ; niveaux 0. Détails dans catalogue-existant.json.</x:v>
      </x:c>
    </x:row>
    <x:row r="990">
      <x:c r="A990" t="str">
        <x:v>DW-0985</x:v>
      </x:c>
      <x:c r="B990" t="str">
        <x:v>DW-0985</x:v>
      </x:c>
      <x:c r="C990" t="str">
        <x:v>Parent historique</x:v>
      </x:c>
      <x:c r="D990" t="str">
        <x:v>rural</x:v>
      </x:c>
      <x:c r="E990" t="str">
        <x:v>Ferme d'élevage — variante 08</x:v>
      </x:c>
      <x:c r="F990" t="n">
        <x:v>8</x:v>
      </x:c>
      <x:c r="G990" t="n">
        <x:v>5</x:v>
      </x:c>
      <x:c r="H990" t="n">
        <x:v>0</x:v>
      </x:c>
      <x:c r="I990" t="str">
        <x:v>À qualifier par lieu</x:v>
      </x:c>
      <x:c r="J990" t="str">
        <x:v>https://github.com/darknigthmare/deadwall-last-enclosure/blob/e28f46223e73105ab2c5d83f3d50b99b58ef53e6/codex-3000/originaux/DEADWALL_CODEX_SUPPLEMENT_1.23/FICHES_501_1000/DW-0985.md</x:v>
      </x:c>
      <x:c r="K990" t="str">
        <x:v>Source min 78,29 m ; max 78,29 m ; modèle 78 × 29 m ; niveaux 0. Détails dans catalogue-existant.json.</x:v>
      </x:c>
    </x:row>
    <x:row r="991">
      <x:c r="A991" t="str">
        <x:v>DW-0986</x:v>
      </x:c>
      <x:c r="B991" t="str">
        <x:v>DW-0986</x:v>
      </x:c>
      <x:c r="C991" t="str">
        <x:v>Parent historique</x:v>
      </x:c>
      <x:c r="D991" t="str">
        <x:v>rural</x:v>
      </x:c>
      <x:c r="E991" t="str">
        <x:v>Relais de chasse — variante 08</x:v>
      </x:c>
      <x:c r="F991" t="n">
        <x:v>8</x:v>
      </x:c>
      <x:c r="G991" t="n">
        <x:v>4</x:v>
      </x:c>
      <x:c r="H991" t="n">
        <x:v>0</x:v>
      </x:c>
      <x:c r="I991" t="str">
        <x:v>À qualifier par lieu</x:v>
      </x:c>
      <x:c r="J991" t="str">
        <x:v>https://github.com/darknigthmare/deadwall-last-enclosure/blob/e28f46223e73105ab2c5d83f3d50b99b58ef53e6/codex-3000/originaux/DEADWALL_CODEX_SUPPLEMENT_1.23/FICHES_501_1000/DW-0986.md</x:v>
      </x:c>
      <x:c r="K991" t="str">
        <x:v>Source min 17,46 m ; max 17,46 m ; modèle 25 × 46 m ; niveaux 0. Détails dans catalogue-existant.json.</x:v>
      </x:c>
    </x:row>
    <x:row r="992">
      <x:c r="A992" t="str">
        <x:v>DW-0987</x:v>
      </x:c>
      <x:c r="B992" t="str">
        <x:v>DW-0987</x:v>
      </x:c>
      <x:c r="C992" t="str">
        <x:v>Parent historique</x:v>
      </x:c>
      <x:c r="D992" t="str">
        <x:v>rural</x:v>
      </x:c>
      <x:c r="E992" t="str">
        <x:v>Moulin rural — variante 08</x:v>
      </x:c>
      <x:c r="F992" t="n">
        <x:v>8</x:v>
      </x:c>
      <x:c r="G992" t="n">
        <x:v>4</x:v>
      </x:c>
      <x:c r="H992" t="n">
        <x:v>0</x:v>
      </x:c>
      <x:c r="I992" t="str">
        <x:v>À qualifier par lieu</x:v>
      </x:c>
      <x:c r="J992" t="str">
        <x:v>https://github.com/darknigthmare/deadwall-last-enclosure/blob/e28f46223e73105ab2c5d83f3d50b99b58ef53e6/codex-3000/originaux/DEADWALL_CODEX_SUPPLEMENT_1.23/FICHES_501_1000/DW-0987.md</x:v>
      </x:c>
      <x:c r="K992" t="str">
        <x:v>Source min 28,9 m ; max 28,9 m ; modèle 28 × 18 m ; niveaux 0. Détails dans catalogue-existant.json.</x:v>
      </x:c>
    </x:row>
    <x:row r="993">
      <x:c r="A993" t="str">
        <x:v>DW-0988</x:v>
      </x:c>
      <x:c r="B993" t="str">
        <x:v>DW-0988</x:v>
      </x:c>
      <x:c r="C993" t="str">
        <x:v>Parent historique</x:v>
      </x:c>
      <x:c r="D993" t="str">
        <x:v>rural</x:v>
      </x:c>
      <x:c r="E993" t="str">
        <x:v>Serres maraîchères — variante 08</x:v>
      </x:c>
      <x:c r="F993" t="n">
        <x:v>8</x:v>
      </x:c>
      <x:c r="G993" t="n">
        <x:v>5</x:v>
      </x:c>
      <x:c r="H993" t="n">
        <x:v>0</x:v>
      </x:c>
      <x:c r="I993" t="str">
        <x:v>À qualifier par lieu</x:v>
      </x:c>
      <x:c r="J993" t="str">
        <x:v>https://github.com/darknigthmare/deadwall-last-enclosure/blob/e28f46223e73105ab2c5d83f3d50b99b58ef53e6/codex-3000/originaux/DEADWALL_CODEX_SUPPLEMENT_1.23/FICHES_501_1000/DW-0988.md</x:v>
      </x:c>
      <x:c r="K993" t="str">
        <x:v>Source min 39,26 m ; max 39,26 m ; modèle 39 × 26 m ; niveaux 0. Détails dans catalogue-existant.json.</x:v>
      </x:c>
    </x:row>
    <x:row r="994">
      <x:c r="A994" t="str">
        <x:v>DW-0989</x:v>
      </x:c>
      <x:c r="B994" t="str">
        <x:v>DW-0989</x:v>
      </x:c>
      <x:c r="C994" t="str">
        <x:v>Parent historique</x:v>
      </x:c>
      <x:c r="D994" t="str">
        <x:v>militaire</x:v>
      </x:c>
      <x:c r="E994" t="str">
        <x:v>Bunker de défense civile — variante 08</x:v>
      </x:c>
      <x:c r="F994" t="n">
        <x:v>8</x:v>
      </x:c>
      <x:c r="G994" t="n">
        <x:v>6</x:v>
      </x:c>
      <x:c r="H994" t="n">
        <x:v>0</x:v>
      </x:c>
      <x:c r="I994" t="str">
        <x:v>À qualifier par lieu</x:v>
      </x:c>
      <x:c r="J994" t="str">
        <x:v>https://github.com/darknigthmare/deadwall-last-enclosure/blob/e28f46223e73105ab2c5d83f3d50b99b58ef53e6/codex-3000/originaux/DEADWALL_CODEX_SUPPLEMENT_1.23/FICHES_501_1000/DW-0989.md</x:v>
      </x:c>
      <x:c r="K994" t="str">
        <x:v>Source min 50,43 m ; max 50,43 m ; modèle 50 × 43 m ; niveaux 0, 1. Détails dans catalogue-existant.json.</x:v>
      </x:c>
    </x:row>
    <x:row r="995">
      <x:c r="A995" t="str">
        <x:v>DW-0990</x:v>
      </x:c>
      <x:c r="B995" t="str">
        <x:v>DW-0990</x:v>
      </x:c>
      <x:c r="C995" t="str">
        <x:v>Parent historique</x:v>
      </x:c>
      <x:c r="D995" t="str">
        <x:v>militaire</x:v>
      </x:c>
      <x:c r="E995" t="str">
        <x:v>Dépôt militaire — variante 08</x:v>
      </x:c>
      <x:c r="F995" t="n">
        <x:v>8</x:v>
      </x:c>
      <x:c r="G995" t="n">
        <x:v>5</x:v>
      </x:c>
      <x:c r="H995" t="n">
        <x:v>0</x:v>
      </x:c>
      <x:c r="I995" t="str">
        <x:v>À qualifier par lieu</x:v>
      </x:c>
      <x:c r="J995" t="str">
        <x:v>https://github.com/darknigthmare/deadwall-last-enclosure/blob/e28f46223e73105ab2c5d83f3d50b99b58ef53e6/codex-3000/originaux/DEADWALL_CODEX_SUPPLEMENT_1.23/FICHES_501_1000/DW-0990.md</x:v>
      </x:c>
      <x:c r="K995" t="str">
        <x:v>Source min 61,60 m ; max 61,60 m ; modèle 61 × 60 m ; niveaux 0. Détails dans catalogue-existant.json.</x:v>
      </x:c>
    </x:row>
    <x:row r="996">
      <x:c r="A996" t="str">
        <x:v>DW-0991</x:v>
      </x:c>
      <x:c r="B996" t="str">
        <x:v>DW-0991</x:v>
      </x:c>
      <x:c r="C996" t="str">
        <x:v>Parent historique</x:v>
      </x:c>
      <x:c r="D996" t="str">
        <x:v>militaire</x:v>
      </x:c>
      <x:c r="E996" t="str">
        <x:v>Poste de contrôle — variante 08</x:v>
      </x:c>
      <x:c r="F996" t="n">
        <x:v>8</x:v>
      </x:c>
      <x:c r="G996" t="n">
        <x:v>5</x:v>
      </x:c>
      <x:c r="H996" t="n">
        <x:v>0</x:v>
      </x:c>
      <x:c r="I996" t="str">
        <x:v>À qualifier par lieu</x:v>
      </x:c>
      <x:c r="J996" t="str">
        <x:v>https://github.com/darknigthmare/deadwall-last-enclosure/blob/e28f46223e73105ab2c5d83f3d50b99b58ef53e6/codex-3000/originaux/DEADWALL_CODEX_SUPPLEMENT_1.23/FICHES_501_1000/DW-0991.md</x:v>
      </x:c>
      <x:c r="K996" t="str">
        <x:v>Source min 72,23 m ; max 72,23 m ; modèle 72 × 23 m ; niveaux 0. Détails dans catalogue-existant.json.</x:v>
      </x:c>
    </x:row>
    <x:row r="997">
      <x:c r="A997" t="str">
        <x:v>DW-0992</x:v>
      </x:c>
      <x:c r="B997" t="str">
        <x:v>DW-0992</x:v>
      </x:c>
      <x:c r="C997" t="str">
        <x:v>Parent historique</x:v>
      </x:c>
      <x:c r="D997" t="str">
        <x:v>militaire</x:v>
      </x:c>
      <x:c r="E997" t="str">
        <x:v>Camp retranché abandonné — variante 08</x:v>
      </x:c>
      <x:c r="F997" t="n">
        <x:v>8</x:v>
      </x:c>
      <x:c r="G997" t="n">
        <x:v>5</x:v>
      </x:c>
      <x:c r="H997" t="n">
        <x:v>0</x:v>
      </x:c>
      <x:c r="I997" t="str">
        <x:v>À qualifier par lieu</x:v>
      </x:c>
      <x:c r="J997" t="str">
        <x:v>https://github.com/darknigthmare/deadwall-last-enclosure/blob/e28f46223e73105ab2c5d83f3d50b99b58ef53e6/codex-3000/originaux/DEADWALL_CODEX_SUPPLEMENT_1.23/FICHES_501_1000/DW-0992.md</x:v>
      </x:c>
      <x:c r="K997" t="str">
        <x:v>Source min 11,40 m ; max 11,40 m ; modèle 26 × 40 m ; niveaux 0. Détails dans catalogue-existant.json.</x:v>
      </x:c>
    </x:row>
    <x:row r="998">
      <x:c r="A998" t="str">
        <x:v>DW-0993</x:v>
      </x:c>
      <x:c r="B998" t="str">
        <x:v>DW-0993</x:v>
      </x:c>
      <x:c r="C998" t="str">
        <x:v>Parent historique</x:v>
      </x:c>
      <x:c r="D998" t="str">
        <x:v>militaire</x:v>
      </x:c>
      <x:c r="E998" t="str">
        <x:v>Abri ferroviaire — variante 08</x:v>
      </x:c>
      <x:c r="F998" t="n">
        <x:v>8</x:v>
      </x:c>
      <x:c r="G998" t="n">
        <x:v>4</x:v>
      </x:c>
      <x:c r="H998" t="n">
        <x:v>0</x:v>
      </x:c>
      <x:c r="I998" t="str">
        <x:v>À qualifier par lieu</x:v>
      </x:c>
      <x:c r="J998" t="str">
        <x:v>https://github.com/darknigthmare/deadwall-last-enclosure/blob/e28f46223e73105ab2c5d83f3d50b99b58ef53e6/codex-3000/originaux/DEADWALL_CODEX_SUPPLEMENT_1.23/FICHES_501_1000/DW-0993.md</x:v>
      </x:c>
      <x:c r="K998" t="str">
        <x:v>Source min 22,57 m ; max 22,57 m ; modèle 25 × 57 m ; niveaux 0. Détails dans catalogue-existant.json.</x:v>
      </x:c>
    </x:row>
    <x:row r="999">
      <x:c r="A999" t="str">
        <x:v>DW-0994</x:v>
      </x:c>
      <x:c r="B999" t="str">
        <x:v>DW-0994</x:v>
      </x:c>
      <x:c r="C999" t="str">
        <x:v>Parent historique</x:v>
      </x:c>
      <x:c r="D999" t="str">
        <x:v>militaire</x:v>
      </x:c>
      <x:c r="E999" t="str">
        <x:v>Site radar — variante 08</x:v>
      </x:c>
      <x:c r="F999" t="n">
        <x:v>8</x:v>
      </x:c>
      <x:c r="G999" t="n">
        <x:v>5</x:v>
      </x:c>
      <x:c r="H999" t="n">
        <x:v>0</x:v>
      </x:c>
      <x:c r="I999" t="str">
        <x:v>À qualifier par lieu</x:v>
      </x:c>
      <x:c r="J999" t="str">
        <x:v>https://github.com/darknigthmare/deadwall-last-enclosure/blob/e28f46223e73105ab2c5d83f3d50b99b58ef53e6/codex-3000/originaux/DEADWALL_CODEX_SUPPLEMENT_1.23/FICHES_501_1000/DW-0994.md</x:v>
      </x:c>
      <x:c r="K999" t="str">
        <x:v>Source min 33,20 m ; max 33,20 m ; modèle 33 × 22 m ; niveaux 0. Détails dans catalogue-existant.json.</x:v>
      </x:c>
    </x:row>
    <x:row r="1000">
      <x:c r="A1000" t="str">
        <x:v>DW-0995</x:v>
      </x:c>
      <x:c r="B1000" t="str">
        <x:v>DW-0995</x:v>
      </x:c>
      <x:c r="C1000" t="str">
        <x:v>Parent historique</x:v>
      </x:c>
      <x:c r="D1000" t="str">
        <x:v>militaire</x:v>
      </x:c>
      <x:c r="E1000" t="str">
        <x:v>Batterie côtière — variante 08</x:v>
      </x:c>
      <x:c r="F1000" t="n">
        <x:v>8</x:v>
      </x:c>
      <x:c r="G1000" t="n">
        <x:v>4</x:v>
      </x:c>
      <x:c r="H1000" t="n">
        <x:v>0</x:v>
      </x:c>
      <x:c r="I1000" t="str">
        <x:v>À qualifier par lieu</x:v>
      </x:c>
      <x:c r="J1000" t="str">
        <x:v>https://github.com/darknigthmare/deadwall-last-enclosure/blob/e28f46223e73105ab2c5d83f3d50b99b58ef53e6/codex-3000/originaux/DEADWALL_CODEX_SUPPLEMENT_1.23/FICHES_501_1000/DW-0995.md</x:v>
      </x:c>
      <x:c r="K1000" t="str">
        <x:v>Source min 44,37 m ; max 44,37 m ; modèle 44 × 37 m ; niveaux 0. Détails dans catalogue-existant.json.</x:v>
      </x:c>
    </x:row>
    <x:row r="1001">
      <x:c r="A1001" t="str">
        <x:v>DW-0996</x:v>
      </x:c>
      <x:c r="B1001" t="str">
        <x:v>DW-0996</x:v>
      </x:c>
      <x:c r="C1001" t="str">
        <x:v>Parent historique</x:v>
      </x:c>
      <x:c r="D1001" t="str">
        <x:v>militaire</x:v>
      </x:c>
      <x:c r="E1001" t="str">
        <x:v>Dépôt carburant sécurisé — variante 08</x:v>
      </x:c>
      <x:c r="F1001" t="n">
        <x:v>8</x:v>
      </x:c>
      <x:c r="G1001" t="n">
        <x:v>5</x:v>
      </x:c>
      <x:c r="H1001" t="n">
        <x:v>0</x:v>
      </x:c>
      <x:c r="I1001" t="str">
        <x:v>À qualifier par lieu</x:v>
      </x:c>
      <x:c r="J1001" t="str">
        <x:v>https://github.com/darknigthmare/deadwall-last-enclosure/blob/e28f46223e73105ab2c5d83f3d50b99b58ef53e6/codex-3000/originaux/DEADWALL_CODEX_SUPPLEMENT_1.23/FICHES_501_1000/DW-0996.md</x:v>
      </x:c>
      <x:c r="K1001" t="str">
        <x:v>Source min 55,54 m ; max 55,54 m ; modèle 55 × 54 m ; niveaux 0. Détails dans catalogue-existant.json.</x:v>
      </x:c>
    </x:row>
    <x:row r="1002">
      <x:c r="A1002" t="str">
        <x:v>DW-0997</x:v>
      </x:c>
      <x:c r="B1002" t="str">
        <x:v>DW-0997</x:v>
      </x:c>
      <x:c r="C1002" t="str">
        <x:v>Parent historique</x:v>
      </x:c>
      <x:c r="D1002" t="str">
        <x:v>transport</x:v>
      </x:c>
      <x:c r="E1002" t="str">
        <x:v>Gare routière — variante 08</x:v>
      </x:c>
      <x:c r="F1002" t="n">
        <x:v>8</x:v>
      </x:c>
      <x:c r="G1002" t="n">
        <x:v>5</x:v>
      </x:c>
      <x:c r="H1002" t="n">
        <x:v>0</x:v>
      </x:c>
      <x:c r="I1002" t="str">
        <x:v>À qualifier par lieu</x:v>
      </x:c>
      <x:c r="J1002" t="str">
        <x:v>https://github.com/darknigthmare/deadwall-last-enclosure/blob/e28f46223e73105ab2c5d83f3d50b99b58ef53e6/codex-3000/originaux/DEADWALL_CODEX_SUPPLEMENT_1.23/FICHES_501_1000/DW-0997.md</x:v>
      </x:c>
      <x:c r="K1002" t="str">
        <x:v>Source min 66,17 m ; max 66,17 m ; modèle 66 × 22 m ; niveaux 0. Détails dans catalogue-existant.json.</x:v>
      </x:c>
    </x:row>
    <x:row r="1003">
      <x:c r="A1003" t="str">
        <x:v>DW-0998</x:v>
      </x:c>
      <x:c r="B1003" t="str">
        <x:v>DW-0998</x:v>
      </x:c>
      <x:c r="C1003" t="str">
        <x:v>Parent historique</x:v>
      </x:c>
      <x:c r="D1003" t="str">
        <x:v>transport</x:v>
      </x:c>
      <x:c r="E1003" t="str">
        <x:v>Dépôt de bus — variante 08</x:v>
      </x:c>
      <x:c r="F1003" t="n">
        <x:v>8</x:v>
      </x:c>
      <x:c r="G1003" t="n">
        <x:v>5</x:v>
      </x:c>
      <x:c r="H1003" t="n">
        <x:v>0</x:v>
      </x:c>
      <x:c r="I1003" t="str">
        <x:v>À qualifier par lieu</x:v>
      </x:c>
      <x:c r="J1003" t="str">
        <x:v>https://github.com/darknigthmare/deadwall-last-enclosure/blob/e28f46223e73105ab2c5d83f3d50b99b58ef53e6/codex-3000/originaux/DEADWALL_CODEX_SUPPLEMENT_1.23/FICHES_501_1000/DW-0998.md</x:v>
      </x:c>
      <x:c r="K1003" t="str">
        <x:v>Source min 77,34 m ; max 77,34 m ; modèle 77 × 34 m ; niveaux 0. Détails dans catalogue-existant.json.</x:v>
      </x:c>
    </x:row>
    <x:row r="1004">
      <x:c r="A1004" t="str">
        <x:v>DW-0999</x:v>
      </x:c>
      <x:c r="B1004" t="str">
        <x:v>DW-0999</x:v>
      </x:c>
      <x:c r="C1004" t="str">
        <x:v>Parent historique</x:v>
      </x:c>
      <x:c r="D1004" t="str">
        <x:v>transport</x:v>
      </x:c>
      <x:c r="E1004" t="str">
        <x:v>Gare ferroviaire — variante 08</x:v>
      </x:c>
      <x:c r="F1004" t="n">
        <x:v>8</x:v>
      </x:c>
      <x:c r="G1004" t="n">
        <x:v>5</x:v>
      </x:c>
      <x:c r="H1004" t="n">
        <x:v>0</x:v>
      </x:c>
      <x:c r="I1004" t="str">
        <x:v>À qualifier par lieu</x:v>
      </x:c>
      <x:c r="J1004" t="str">
        <x:v>https://github.com/darknigthmare/deadwall-last-enclosure/blob/e28f46223e73105ab2c5d83f3d50b99b58ef53e6/codex-3000/originaux/DEADWALL_CODEX_SUPPLEMENT_1.23/FICHES_501_1000/DW-0999.md</x:v>
      </x:c>
      <x:c r="K1004" t="str">
        <x:v>Source min 16,51 m ; max 16,51 m ; modèle 26 × 51 m ; niveaux 0. Détails dans catalogue-existant.json.</x:v>
      </x:c>
    </x:row>
    <x:row r="1005">
      <x:c r="A1005" t="str">
        <x:v>DW-1000</x:v>
      </x:c>
      <x:c r="B1005" t="str">
        <x:v>DW-1000</x:v>
      </x:c>
      <x:c r="C1005" t="str">
        <x:v>Parent historique</x:v>
      </x:c>
      <x:c r="D1005" t="str">
        <x:v>transport</x:v>
      </x:c>
      <x:c r="E1005" t="str">
        <x:v>Aire d'autoroute — variante 08</x:v>
      </x:c>
      <x:c r="F1005" t="n">
        <x:v>8</x:v>
      </x:c>
      <x:c r="G1005" t="n">
        <x:v>5</x:v>
      </x:c>
      <x:c r="H1005" t="n">
        <x:v>0</x:v>
      </x:c>
      <x:c r="I1005" t="str">
        <x:v>À qualifier par lieu</x:v>
      </x:c>
      <x:c r="J1005" t="str">
        <x:v>https://github.com/darknigthmare/deadwall-last-enclosure/blob/e28f46223e73105ab2c5d83f3d50b99b58ef53e6/codex-3000/originaux/DEADWALL_CODEX_SUPPLEMENT_1.23/FICHES_501_1000/DW-1000.md</x:v>
      </x:c>
      <x:c r="K1005" t="str">
        <x:v>Source min 27,14 m ; max 27,14 m ; modèle 27 × 22 m ; niveaux 0. Détails dans catalogue-existant.json.</x:v>
      </x:c>
    </x:row>
    <x:row r="1006">
      <x:c r="A1006" t="str">
        <x:v>DW-1001</x:v>
      </x:c>
      <x:c r="B1006" t="str">
        <x:v>DW-0001</x:v>
      </x:c>
      <x:c r="C1006" t="str">
        <x:v>Composition héritée</x:v>
      </x:c>
      <x:c r="D1006" t="str">
        <x:v>Habitat individuel</x:v>
      </x:c>
      <x:c r="E1006" t="str">
        <x:v>Maison de lotissement — Quartier pavillonnaire / évacuation interrompue</x:v>
      </x:c>
      <x:c r="F1006" t="n">
        <x:v>8</x:v>
      </x:c>
      <x:c r="G1006" t="n">
        <x:v>5</x:v>
      </x:c>
      <x:c r="H1006" t="n">
        <x:v>15</x:v>
      </x:c>
      <x:c r="I1006" t="str">
        <x:v>À qualifier par lieu</x:v>
      </x:c>
      <x:c r="J1006" t="str">
        <x:v>https://github.com/darknigthmare/deadwall-last-enclosure/blob/e28f46223e73105ab2c5d83f3d50b99b58ef53e6/codex-3000/compositions/Habitat individuel/DW-1001.md</x:v>
      </x:c>
      <x:c r="K1006" t="str">
        <x:v>Source min 12,10 m ; max 28,24 m ; modèle 26 × 22 m ; niveaux 0. Détails dans catalogue-existant.json.</x:v>
      </x:c>
    </x:row>
    <x:row r="1007">
      <x:c r="A1007" t="str">
        <x:v>DW-1002</x:v>
      </x:c>
      <x:c r="B1007" t="str">
        <x:v>DW-0001</x:v>
      </x:c>
      <x:c r="C1007" t="str">
        <x:v>Composition héritée</x:v>
      </x:c>
      <x:c r="D1007" t="str">
        <x:v>Habitat individuel</x:v>
      </x:c>
      <x:c r="E1007" t="str">
        <x:v>Maison de lotissement — Village et bourg / service déplacé à l’arrière</x:v>
      </x:c>
      <x:c r="F1007" t="n">
        <x:v>8</x:v>
      </x:c>
      <x:c r="G1007" t="n">
        <x:v>5</x:v>
      </x:c>
      <x:c r="H1007" t="n">
        <x:v>15</x:v>
      </x:c>
      <x:c r="I1007" t="str">
        <x:v>À qualifier par lieu</x:v>
      </x:c>
      <x:c r="J1007" t="str">
        <x:v>https://github.com/darknigthmare/deadwall-last-enclosure/blob/e28f46223e73105ab2c5d83f3d50b99b58ef53e6/codex-3000/compositions/Habitat individuel/DW-1002.md</x:v>
      </x:c>
      <x:c r="K1007" t="str">
        <x:v>Source min 12,10 m ; max 28,24 m ; modèle 26 × 22 m ; niveaux 0. Détails dans catalogue-existant.json.</x:v>
      </x:c>
    </x:row>
    <x:row r="1008">
      <x:c r="A1008" t="str">
        <x:v>DW-1003</x:v>
      </x:c>
      <x:c r="B1008" t="str">
        <x:v>DW-0002</x:v>
      </x:c>
      <x:c r="C1008" t="str">
        <x:v>Composition héritée</x:v>
      </x:c>
      <x:c r="D1008" t="str">
        <x:v>Habitat individuel</x:v>
      </x:c>
      <x:c r="E1008" t="str">
        <x:v>Maison mitoyenne étroite — Hameau / arrêt de maintenance</x:v>
      </x:c>
      <x:c r="F1008" t="n">
        <x:v>8</x:v>
      </x:c>
      <x:c r="G1008" t="n">
        <x:v>4</x:v>
      </x:c>
      <x:c r="H1008" t="n">
        <x:v>12</x:v>
      </x:c>
      <x:c r="I1008" t="str">
        <x:v>À qualifier par lieu</x:v>
      </x:c>
      <x:c r="J1008" t="str">
        <x:v>https://github.com/darknigthmare/deadwall-last-enclosure/blob/e28f46223e73105ab2c5d83f3d50b99b58ef53e6/codex-3000/compositions/Habitat individuel/DW-1003.md</x:v>
      </x:c>
      <x:c r="K1008" t="str">
        <x:v>Source min 12,10 m ; max 28,24 m ; modèle 25 × 18 m ; niveaux 0. Détails dans catalogue-existant.json.</x:v>
      </x:c>
    </x:row>
    <x:row r="1009">
      <x:c r="A1009" t="str">
        <x:v>DW-1004</x:v>
      </x:c>
      <x:c r="B1009" t="str">
        <x:v>DW-0002</x:v>
      </x:c>
      <x:c r="C1009" t="str">
        <x:v>Composition héritée</x:v>
      </x:c>
      <x:c r="D1009" t="str">
        <x:v>Habitat individuel</x:v>
      </x:c>
      <x:c r="E1009" t="str">
        <x:v>Maison mitoyenne étroite — Ferme, verger et pâtures / reprise progressive de la végétation</x:v>
      </x:c>
      <x:c r="F1009" t="n">
        <x:v>8</x:v>
      </x:c>
      <x:c r="G1009" t="n">
        <x:v>4</x:v>
      </x:c>
      <x:c r="H1009" t="n">
        <x:v>12</x:v>
      </x:c>
      <x:c r="I1009" t="str">
        <x:v>À qualifier par lieu</x:v>
      </x:c>
      <x:c r="J1009" t="str">
        <x:v>https://github.com/darknigthmare/deadwall-last-enclosure/blob/e28f46223e73105ab2c5d83f3d50b99b58ef53e6/codex-3000/compositions/Habitat individuel/DW-1004.md</x:v>
      </x:c>
      <x:c r="K1009" t="str">
        <x:v>Source min 12,10 m ; max 28,24 m ; modèle 25 × 18 m ; niveaux 0. Détails dans catalogue-existant.json.</x:v>
      </x:c>
    </x:row>
    <x:row r="1010">
      <x:c r="A1010" t="str">
        <x:v>DW-1005</x:v>
      </x:c>
      <x:c r="B1010" t="str">
        <x:v>DW-0003</x:v>
      </x:c>
      <x:c r="C1010" t="str">
        <x:v>Composition héritée</x:v>
      </x:c>
      <x:c r="D1010" t="str">
        <x:v>Habitat individuel</x:v>
      </x:c>
      <x:c r="E1010" t="str">
        <x:v>Maison à étage avec balcon — Village et bourg / première récupération passée</x:v>
      </x:c>
      <x:c r="F1010" t="n">
        <x:v>8</x:v>
      </x:c>
      <x:c r="G1010" t="n">
        <x:v>5</x:v>
      </x:c>
      <x:c r="H1010" t="n">
        <x:v>13</x:v>
      </x:c>
      <x:c r="I1010" t="str">
        <x:v>À qualifier par lieu</x:v>
      </x:c>
      <x:c r="J1010" t="str">
        <x:v>https://github.com/darknigthmare/deadwall-last-enclosure/blob/e28f46223e73105ab2c5d83f3d50b99b58ef53e6/codex-3000/compositions/Habitat individuel/DW-1005.md</x:v>
      </x:c>
      <x:c r="K1010" t="str">
        <x:v>Source min 12,10 m ; max 28,24 m ; modèle 26 × 22 m ; niveaux 0, 1. Détails dans catalogue-existant.json.</x:v>
      </x:c>
    </x:row>
    <x:row r="1011">
      <x:c r="A1011" t="str">
        <x:v>DW-1006</x:v>
      </x:c>
      <x:c r="B1011" t="str">
        <x:v>DW-0003</x:v>
      </x:c>
      <x:c r="C1011" t="str">
        <x:v>Composition héritée</x:v>
      </x:c>
      <x:c r="D1011" t="str">
        <x:v>Habitat individuel</x:v>
      </x:c>
      <x:c r="E1011" t="str">
        <x:v>Maison à étage avec balcon — Quartier pavillonnaire / relais temporaire envisagé</x:v>
      </x:c>
      <x:c r="F1011" t="n">
        <x:v>8</x:v>
      </x:c>
      <x:c r="G1011" t="n">
        <x:v>5</x:v>
      </x:c>
      <x:c r="H1011" t="n">
        <x:v>13</x:v>
      </x:c>
      <x:c r="I1011" t="str">
        <x:v>À qualifier par lieu</x:v>
      </x:c>
      <x:c r="J1011" t="str">
        <x:v>https://github.com/darknigthmare/deadwall-last-enclosure/blob/e28f46223e73105ab2c5d83f3d50b99b58ef53e6/codex-3000/compositions/Habitat individuel/DW-1006.md</x:v>
      </x:c>
      <x:c r="K1011" t="str">
        <x:v>Source min 12,10 m ; max 28,24 m ; modèle 26 × 22 m ; niveaux 0, 1. Détails dans catalogue-existant.json.</x:v>
      </x:c>
    </x:row>
    <x:row r="1012">
      <x:c r="A1012" t="str">
        <x:v>DW-1007</x:v>
      </x:c>
      <x:c r="B1012" t="str">
        <x:v>DW-0004</x:v>
      </x:c>
      <x:c r="C1012" t="str">
        <x:v>Composition héritée</x:v>
      </x:c>
      <x:c r="D1012" t="str">
        <x:v>Habitat individuel</x:v>
      </x:c>
      <x:c r="E1012" t="str">
        <x:v>Maison sur sous-sol — Ferme, verger et pâtures / service déplacé à l’arrière</x:v>
      </x:c>
      <x:c r="F1012" t="n">
        <x:v>8</x:v>
      </x:c>
      <x:c r="G1012" t="n">
        <x:v>5</x:v>
      </x:c>
      <x:c r="H1012" t="n">
        <x:v>15</x:v>
      </x:c>
      <x:c r="I1012" t="str">
        <x:v>À qualifier par lieu</x:v>
      </x:c>
      <x:c r="J1012" t="str">
        <x:v>https://github.com/darknigthmare/deadwall-last-enclosure/blob/e28f46223e73105ab2c5d83f3d50b99b58ef53e6/codex-3000/compositions/Habitat individuel/DW-1007.md</x:v>
      </x:c>
      <x:c r="K1012" t="str">
        <x:v>Source min 12,10 m ; max 28,24 m ; modèle 26 × 22 m ; niveaux -1, 0. Détails dans catalogue-existant.json.</x:v>
      </x:c>
    </x:row>
    <x:row r="1013">
      <x:c r="A1013" t="str">
        <x:v>DW-1008</x:v>
      </x:c>
      <x:c r="B1013" t="str">
        <x:v>DW-0004</x:v>
      </x:c>
      <x:c r="C1013" t="str">
        <x:v>Composition héritée</x:v>
      </x:c>
      <x:c r="D1013" t="str">
        <x:v>Habitat individuel</x:v>
      </x:c>
      <x:c r="E1013" t="str">
        <x:v>Maison sur sous-sol — Hameau / réseau principal coupé</x:v>
      </x:c>
      <x:c r="F1013" t="n">
        <x:v>8</x:v>
      </x:c>
      <x:c r="G1013" t="n">
        <x:v>5</x:v>
      </x:c>
      <x:c r="H1013" t="n">
        <x:v>15</x:v>
      </x:c>
      <x:c r="I1013" t="str">
        <x:v>À qualifier par lieu</x:v>
      </x:c>
      <x:c r="J1013" t="str">
        <x:v>https://github.com/darknigthmare/deadwall-last-enclosure/blob/e28f46223e73105ab2c5d83f3d50b99b58ef53e6/codex-3000/compositions/Habitat individuel/DW-1008.md</x:v>
      </x:c>
      <x:c r="K1013" t="str">
        <x:v>Source min 12,10 m ; max 28,24 m ; modèle 26 × 22 m ; niveaux -1, 0. Détails dans catalogue-existant.json.</x:v>
      </x:c>
    </x:row>
    <x:row r="1014">
      <x:c r="A1014" t="str">
        <x:v>DW-1009</x:v>
      </x:c>
      <x:c r="B1014" t="str">
        <x:v>DW-0005</x:v>
      </x:c>
      <x:c r="C1014" t="str">
        <x:v>Composition héritée</x:v>
      </x:c>
      <x:c r="D1014" t="str">
        <x:v>Habitat individuel</x:v>
      </x:c>
      <x:c r="E1014" t="str">
        <x:v>Pavillon à patio — Quartier pavillonnaire / reprise progressive de la végétation</x:v>
      </x:c>
      <x:c r="F1014" t="n">
        <x:v>8</x:v>
      </x:c>
      <x:c r="G1014" t="n">
        <x:v>5</x:v>
      </x:c>
      <x:c r="H1014" t="n">
        <x:v>13</x:v>
      </x:c>
      <x:c r="I1014" t="str">
        <x:v>À qualifier par lieu</x:v>
      </x:c>
      <x:c r="J1014" t="str">
        <x:v>https://github.com/darknigthmare/deadwall-last-enclosure/blob/e28f46223e73105ab2c5d83f3d50b99b58ef53e6/codex-3000/compositions/Habitat individuel/DW-1009.md</x:v>
      </x:c>
      <x:c r="K1014" t="str">
        <x:v>Source min 12,10 m ; max 28,24 m ; modèle 26 × 22 m ; niveaux 0. Détails dans catalogue-existant.json.</x:v>
      </x:c>
    </x:row>
    <x:row r="1015">
      <x:c r="A1015" t="str">
        <x:v>DW-1010</x:v>
      </x:c>
      <x:c r="B1015" t="str">
        <x:v>DW-0005</x:v>
      </x:c>
      <x:c r="C1015" t="str">
        <x:v>Composition héritée</x:v>
      </x:c>
      <x:c r="D1015" t="str">
        <x:v>Habitat individuel</x:v>
      </x:c>
      <x:c r="E1015" t="str">
        <x:v>Pavillon à patio — Village et bourg / repli organisé interrompu</x:v>
      </x:c>
      <x:c r="F1015" t="n">
        <x:v>8</x:v>
      </x:c>
      <x:c r="G1015" t="n">
        <x:v>5</x:v>
      </x:c>
      <x:c r="H1015" t="n">
        <x:v>13</x:v>
      </x:c>
      <x:c r="I1015" t="str">
        <x:v>À qualifier par lieu</x:v>
      </x:c>
      <x:c r="J1015" t="str">
        <x:v>https://github.com/darknigthmare/deadwall-last-enclosure/blob/e28f46223e73105ab2c5d83f3d50b99b58ef53e6/codex-3000/compositions/Habitat individuel/DW-1010.md</x:v>
      </x:c>
      <x:c r="K1015" t="str">
        <x:v>Source min 12,10 m ; max 28,24 m ; modèle 26 × 22 m ; niveaux 0. Détails dans catalogue-existant.json.</x:v>
      </x:c>
    </x:row>
    <x:row r="1016">
      <x:c r="A1016" t="str">
        <x:v>DW-1011</x:v>
      </x:c>
      <x:c r="B1016" t="str">
        <x:v>DW-0006</x:v>
      </x:c>
      <x:c r="C1016" t="str">
        <x:v>Composition héritée</x:v>
      </x:c>
      <x:c r="D1016" t="str">
        <x:v>Habitat individuel</x:v>
      </x:c>
      <x:c r="E1016" t="str">
        <x:v>Maison rurale en pierre — Hameau / relais temporaire envisagé</x:v>
      </x:c>
      <x:c r="F1016" t="n">
        <x:v>8</x:v>
      </x:c>
      <x:c r="G1016" t="n">
        <x:v>5</x:v>
      </x:c>
      <x:c r="H1016" t="n">
        <x:v>15</x:v>
      </x:c>
      <x:c r="I1016" t="str">
        <x:v>À qualifier par lieu</x:v>
      </x:c>
      <x:c r="J1016" t="str">
        <x:v>https://github.com/darknigthmare/deadwall-last-enclosure/blob/e28f46223e73105ab2c5d83f3d50b99b58ef53e6/codex-3000/compositions/Habitat individuel/DW-1011.md</x:v>
      </x:c>
      <x:c r="K1016" t="str">
        <x:v>Source min 12,10 m ; max 28,24 m ; modèle 26 × 22 m ; niveaux 0. Détails dans catalogue-existant.json.</x:v>
      </x:c>
    </x:row>
    <x:row r="1017">
      <x:c r="A1017" t="str">
        <x:v>DW-1012</x:v>
      </x:c>
      <x:c r="B1017" t="str">
        <x:v>DW-0006</x:v>
      </x:c>
      <x:c r="C1017" t="str">
        <x:v>Composition héritée</x:v>
      </x:c>
      <x:c r="D1017" t="str">
        <x:v>Habitat individuel</x:v>
      </x:c>
      <x:c r="E1017" t="str">
        <x:v>Maison rurale en pierre — Ferme, verger et pâtures / évacuation interrompue</x:v>
      </x:c>
      <x:c r="F1017" t="n">
        <x:v>8</x:v>
      </x:c>
      <x:c r="G1017" t="n">
        <x:v>5</x:v>
      </x:c>
      <x:c r="H1017" t="n">
        <x:v>15</x:v>
      </x:c>
      <x:c r="I1017" t="str">
        <x:v>À qualifier par lieu</x:v>
      </x:c>
      <x:c r="J1017" t="str">
        <x:v>https://github.com/darknigthmare/deadwall-last-enclosure/blob/e28f46223e73105ab2c5d83f3d50b99b58ef53e6/codex-3000/compositions/Habitat individuel/DW-1012.md</x:v>
      </x:c>
      <x:c r="K1017" t="str">
        <x:v>Source min 12,10 m ; max 28,24 m ; modèle 26 × 22 m ; niveaux 0. Détails dans catalogue-existant.json.</x:v>
      </x:c>
    </x:row>
    <x:row r="1018">
      <x:c r="A1018" t="str">
        <x:v>DW-1013</x:v>
      </x:c>
      <x:c r="B1018" t="str">
        <x:v>DW-0007</x:v>
      </x:c>
      <x:c r="C1018" t="str">
        <x:v>Composition héritée</x:v>
      </x:c>
      <x:c r="D1018" t="str">
        <x:v>Habitat individuel</x:v>
      </x:c>
      <x:c r="E1018" t="str">
        <x:v>Longère habitée — Village et bourg / réseau principal coupé</x:v>
      </x:c>
      <x:c r="F1018" t="n">
        <x:v>8</x:v>
      </x:c>
      <x:c r="G1018" t="n">
        <x:v>4</x:v>
      </x:c>
      <x:c r="H1018" t="n">
        <x:v>12</x:v>
      </x:c>
      <x:c r="I1018" t="str">
        <x:v>À qualifier par lieu</x:v>
      </x:c>
      <x:c r="J1018" t="str">
        <x:v>https://github.com/darknigthmare/deadwall-last-enclosure/blob/e28f46223e73105ab2c5d83f3d50b99b58ef53e6/codex-3000/compositions/Habitat individuel/DW-1013.md</x:v>
      </x:c>
      <x:c r="K1018" t="str">
        <x:v>Source min 12,10 m ; max 28,24 m ; modèle 25 × 18 m ; niveaux 0. Détails dans catalogue-existant.json.</x:v>
      </x:c>
    </x:row>
    <x:row r="1019">
      <x:c r="A1019" t="str">
        <x:v>DW-1014</x:v>
      </x:c>
      <x:c r="B1019" t="str">
        <x:v>DW-0007</x:v>
      </x:c>
      <x:c r="C1019" t="str">
        <x:v>Composition héritée</x:v>
      </x:c>
      <x:c r="D1019" t="str">
        <x:v>Habitat individuel</x:v>
      </x:c>
      <x:c r="E1019" t="str">
        <x:v>Longère habitée — Quartier pavillonnaire / arrêt de maintenance</x:v>
      </x:c>
      <x:c r="F1019" t="n">
        <x:v>8</x:v>
      </x:c>
      <x:c r="G1019" t="n">
        <x:v>4</x:v>
      </x:c>
      <x:c r="H1019" t="n">
        <x:v>12</x:v>
      </x:c>
      <x:c r="I1019" t="str">
        <x:v>À qualifier par lieu</x:v>
      </x:c>
      <x:c r="J1019" t="str">
        <x:v>https://github.com/darknigthmare/deadwall-last-enclosure/blob/e28f46223e73105ab2c5d83f3d50b99b58ef53e6/codex-3000/compositions/Habitat individuel/DW-1014.md</x:v>
      </x:c>
      <x:c r="K1019" t="str">
        <x:v>Source min 12,10 m ; max 28,24 m ; modèle 25 × 18 m ; niveaux 0. Détails dans catalogue-existant.json.</x:v>
      </x:c>
    </x:row>
    <x:row r="1020">
      <x:c r="A1020" t="str">
        <x:v>DW-1015</x:v>
      </x:c>
      <x:c r="B1020" t="str">
        <x:v>DW-0008</x:v>
      </x:c>
      <x:c r="C1020" t="str">
        <x:v>Composition héritée</x:v>
      </x:c>
      <x:c r="D1020" t="str">
        <x:v>Habitat individuel</x:v>
      </x:c>
      <x:c r="E1020" t="str">
        <x:v>Maison de gardien — Ferme, verger et pâtures / repli organisé interrompu</x:v>
      </x:c>
      <x:c r="F1020" t="n">
        <x:v>8</x:v>
      </x:c>
      <x:c r="G1020" t="n">
        <x:v>4</x:v>
      </x:c>
      <x:c r="H1020" t="n">
        <x:v>12</x:v>
      </x:c>
      <x:c r="I1020" t="str">
        <x:v>À qualifier par lieu</x:v>
      </x:c>
      <x:c r="J1020" t="str">
        <x:v>https://github.com/darknigthmare/deadwall-last-enclosure/blob/e28f46223e73105ab2c5d83f3d50b99b58ef53e6/codex-3000/compositions/Habitat individuel/DW-1015.md</x:v>
      </x:c>
      <x:c r="K1020" t="str">
        <x:v>Source min 12,10 m ; max 28,24 m ; modèle 25 × 18 m ; niveaux 0. Détails dans catalogue-existant.json.</x:v>
      </x:c>
    </x:row>
    <x:row r="1021">
      <x:c r="A1021" t="str">
        <x:v>DW-1016</x:v>
      </x:c>
      <x:c r="B1021" t="str">
        <x:v>DW-0008</x:v>
      </x:c>
      <x:c r="C1021" t="str">
        <x:v>Composition héritée</x:v>
      </x:c>
      <x:c r="D1021" t="str">
        <x:v>Habitat individuel</x:v>
      </x:c>
      <x:c r="E1021" t="str">
        <x:v>Maison de gardien — Hameau / première récupération passée</x:v>
      </x:c>
      <x:c r="F1021" t="n">
        <x:v>8</x:v>
      </x:c>
      <x:c r="G1021" t="n">
        <x:v>4</x:v>
      </x:c>
      <x:c r="H1021" t="n">
        <x:v>12</x:v>
      </x:c>
      <x:c r="I1021" t="str">
        <x:v>À qualifier par lieu</x:v>
      </x:c>
      <x:c r="J1021" t="str">
        <x:v>https://github.com/darknigthmare/deadwall-last-enclosure/blob/e28f46223e73105ab2c5d83f3d50b99b58ef53e6/codex-3000/compositions/Habitat individuel/DW-1016.md</x:v>
      </x:c>
      <x:c r="K1021" t="str">
        <x:v>Source min 12,10 m ; max 28,24 m ; modèle 25 × 18 m ; niveaux 0. Détails dans catalogue-existant.json.</x:v>
      </x:c>
    </x:row>
    <x:row r="1022">
      <x:c r="A1022" t="str">
        <x:v>DW-1017</x:v>
      </x:c>
      <x:c r="B1022" t="str">
        <x:v>DW-0009</x:v>
      </x:c>
      <x:c r="C1022" t="str">
        <x:v>Composition héritée</x:v>
      </x:c>
      <x:c r="D1022" t="str">
        <x:v>Habitat individuel</x:v>
      </x:c>
      <x:c r="E1022" t="str">
        <x:v>Villa avec piscine — Quartier pavillonnaire / évacuation interrompue</x:v>
      </x:c>
      <x:c r="F1022" t="n">
        <x:v>8</x:v>
      </x:c>
      <x:c r="G1022" t="n">
        <x:v>5</x:v>
      </x:c>
      <x:c r="H1022" t="n">
        <x:v>15</x:v>
      </x:c>
      <x:c r="I1022" t="str">
        <x:v>À qualifier par lieu</x:v>
      </x:c>
      <x:c r="J1022" t="str">
        <x:v>https://github.com/darknigthmare/deadwall-last-enclosure/blob/e28f46223e73105ab2c5d83f3d50b99b58ef53e6/codex-3000/compositions/Habitat individuel/DW-1017.md</x:v>
      </x:c>
      <x:c r="K1022" t="str">
        <x:v>Source min 12,10 m ; max 28,24 m ; modèle 26 × 22 m ; niveaux 0. Détails dans catalogue-existant.json.</x:v>
      </x:c>
    </x:row>
    <x:row r="1023">
      <x:c r="A1023" t="str">
        <x:v>DW-1018</x:v>
      </x:c>
      <x:c r="B1023" t="str">
        <x:v>DW-0009</x:v>
      </x:c>
      <x:c r="C1023" t="str">
        <x:v>Composition héritée</x:v>
      </x:c>
      <x:c r="D1023" t="str">
        <x:v>Habitat individuel</x:v>
      </x:c>
      <x:c r="E1023" t="str">
        <x:v>Villa avec piscine — Village et bourg / service déplacé à l’arrière</x:v>
      </x:c>
      <x:c r="F1023" t="n">
        <x:v>8</x:v>
      </x:c>
      <x:c r="G1023" t="n">
        <x:v>5</x:v>
      </x:c>
      <x:c r="H1023" t="n">
        <x:v>15</x:v>
      </x:c>
      <x:c r="I1023" t="str">
        <x:v>À qualifier par lieu</x:v>
      </x:c>
      <x:c r="J1023" t="str">
        <x:v>https://github.com/darknigthmare/deadwall-last-enclosure/blob/e28f46223e73105ab2c5d83f3d50b99b58ef53e6/codex-3000/compositions/Habitat individuel/DW-1018.md</x:v>
      </x:c>
      <x:c r="K1023" t="str">
        <x:v>Source min 12,10 m ; max 28,24 m ; modèle 26 × 22 m ; niveaux 0. Détails dans catalogue-existant.json.</x:v>
      </x:c>
    </x:row>
    <x:row r="1024">
      <x:c r="A1024" t="str">
        <x:v>DW-1019</x:v>
      </x:c>
      <x:c r="B1024" t="str">
        <x:v>DW-0010</x:v>
      </x:c>
      <x:c r="C1024" t="str">
        <x:v>Composition héritée</x:v>
      </x:c>
      <x:c r="D1024" t="str">
        <x:v>Habitat individuel</x:v>
      </x:c>
      <x:c r="E1024" t="str">
        <x:v>Chalet forestier — Hameau / arrêt de maintenance</x:v>
      </x:c>
      <x:c r="F1024" t="n">
        <x:v>8</x:v>
      </x:c>
      <x:c r="G1024" t="n">
        <x:v>4</x:v>
      </x:c>
      <x:c r="H1024" t="n">
        <x:v>12</x:v>
      </x:c>
      <x:c r="I1024" t="str">
        <x:v>À qualifier par lieu</x:v>
      </x:c>
      <x:c r="J1024" t="str">
        <x:v>https://github.com/darknigthmare/deadwall-last-enclosure/blob/e28f46223e73105ab2c5d83f3d50b99b58ef53e6/codex-3000/compositions/Habitat individuel/DW-1019.md</x:v>
      </x:c>
      <x:c r="K1024" t="str">
        <x:v>Source min 12,10 m ; max 28,24 m ; modèle 25 × 18 m ; niveaux 0. Détails dans catalogue-existant.json.</x:v>
      </x:c>
    </x:row>
    <x:row r="1025">
      <x:c r="A1025" t="str">
        <x:v>DW-1020</x:v>
      </x:c>
      <x:c r="B1025" t="str">
        <x:v>DW-0010</x:v>
      </x:c>
      <x:c r="C1025" t="str">
        <x:v>Composition héritée</x:v>
      </x:c>
      <x:c r="D1025" t="str">
        <x:v>Habitat individuel</x:v>
      </x:c>
      <x:c r="E1025" t="str">
        <x:v>Chalet forestier — Ferme, verger et pâtures / reprise progressive de la végétation</x:v>
      </x:c>
      <x:c r="F1025" t="n">
        <x:v>8</x:v>
      </x:c>
      <x:c r="G1025" t="n">
        <x:v>4</x:v>
      </x:c>
      <x:c r="H1025" t="n">
        <x:v>12</x:v>
      </x:c>
      <x:c r="I1025" t="str">
        <x:v>À qualifier par lieu</x:v>
      </x:c>
      <x:c r="J1025" t="str">
        <x:v>https://github.com/darknigthmare/deadwall-last-enclosure/blob/e28f46223e73105ab2c5d83f3d50b99b58ef53e6/codex-3000/compositions/Habitat individuel/DW-1020.md</x:v>
      </x:c>
      <x:c r="K1025" t="str">
        <x:v>Source min 12,10 m ; max 28,24 m ; modèle 25 × 18 m ; niveaux 0. Détails dans catalogue-existant.json.</x:v>
      </x:c>
    </x:row>
    <x:row r="1026">
      <x:c r="A1026" t="str">
        <x:v>DW-1021</x:v>
      </x:c>
      <x:c r="B1026" t="str">
        <x:v>DW-0011</x:v>
      </x:c>
      <x:c r="C1026" t="str">
        <x:v>Composition héritée</x:v>
      </x:c>
      <x:c r="D1026" t="str">
        <x:v>Habitat individuel</x:v>
      </x:c>
      <x:c r="E1026" t="str">
        <x:v>Cabane de pêcheur — Village et bourg / première récupération passée</x:v>
      </x:c>
      <x:c r="F1026" t="n">
        <x:v>8</x:v>
      </x:c>
      <x:c r="G1026" t="n">
        <x:v>4</x:v>
      </x:c>
      <x:c r="H1026" t="n">
        <x:v>12</x:v>
      </x:c>
      <x:c r="I1026" t="str">
        <x:v>À qualifier par lieu</x:v>
      </x:c>
      <x:c r="J1026" t="str">
        <x:v>https://github.com/darknigthmare/deadwall-last-enclosure/blob/e28f46223e73105ab2c5d83f3d50b99b58ef53e6/codex-3000/compositions/Habitat individuel/DW-1021.md</x:v>
      </x:c>
      <x:c r="K1026" t="str">
        <x:v>Source min 12,10 m ; max 28,24 m ; modèle 25 × 18 m ; niveaux 0. Détails dans catalogue-existant.json.</x:v>
      </x:c>
    </x:row>
    <x:row r="1027">
      <x:c r="A1027" t="str">
        <x:v>DW-1022</x:v>
      </x:c>
      <x:c r="B1027" t="str">
        <x:v>DW-0011</x:v>
      </x:c>
      <x:c r="C1027" t="str">
        <x:v>Composition héritée</x:v>
      </x:c>
      <x:c r="D1027" t="str">
        <x:v>Habitat individuel</x:v>
      </x:c>
      <x:c r="E1027" t="str">
        <x:v>Cabane de pêcheur — Quartier pavillonnaire / relais temporaire envisagé</x:v>
      </x:c>
      <x:c r="F1027" t="n">
        <x:v>8</x:v>
      </x:c>
      <x:c r="G1027" t="n">
        <x:v>4</x:v>
      </x:c>
      <x:c r="H1027" t="n">
        <x:v>12</x:v>
      </x:c>
      <x:c r="I1027" t="str">
        <x:v>À qualifier par lieu</x:v>
      </x:c>
      <x:c r="J1027" t="str">
        <x:v>https://github.com/darknigthmare/deadwall-last-enclosure/blob/e28f46223e73105ab2c5d83f3d50b99b58ef53e6/codex-3000/compositions/Habitat individuel/DW-1022.md</x:v>
      </x:c>
      <x:c r="K1027" t="str">
        <x:v>Source min 12,10 m ; max 28,24 m ; modèle 25 × 18 m ; niveaux 0. Détails dans catalogue-existant.json.</x:v>
      </x:c>
    </x:row>
    <x:row r="1028">
      <x:c r="A1028" t="str">
        <x:v>DW-1023</x:v>
      </x:c>
      <x:c r="B1028" t="str">
        <x:v>DW-0012</x:v>
      </x:c>
      <x:c r="C1028" t="str">
        <x:v>Composition héritée</x:v>
      </x:c>
      <x:c r="D1028" t="str">
        <x:v>Habitat individuel</x:v>
      </x:c>
      <x:c r="E1028" t="str">
        <x:v>Maison mobile en parc — Ferme, verger et pâtures / service déplacé à l’arrière</x:v>
      </x:c>
      <x:c r="F1028" t="n">
        <x:v>8</x:v>
      </x:c>
      <x:c r="G1028" t="n">
        <x:v>5</x:v>
      </x:c>
      <x:c r="H1028" t="n">
        <x:v>15</x:v>
      </x:c>
      <x:c r="I1028" t="str">
        <x:v>À qualifier par lieu</x:v>
      </x:c>
      <x:c r="J1028" t="str">
        <x:v>https://github.com/darknigthmare/deadwall-last-enclosure/blob/e28f46223e73105ab2c5d83f3d50b99b58ef53e6/codex-3000/compositions/Habitat individuel/DW-1023.md</x:v>
      </x:c>
      <x:c r="K1028" t="str">
        <x:v>Source min 12,10 m ; max 28,24 m ; modèle 26 × 22 m ; niveaux 0. Détails dans catalogue-existant.json.</x:v>
      </x:c>
    </x:row>
    <x:row r="1029">
      <x:c r="A1029" t="str">
        <x:v>DW-1024</x:v>
      </x:c>
      <x:c r="B1029" t="str">
        <x:v>DW-0012</x:v>
      </x:c>
      <x:c r="C1029" t="str">
        <x:v>Composition héritée</x:v>
      </x:c>
      <x:c r="D1029" t="str">
        <x:v>Habitat individuel</x:v>
      </x:c>
      <x:c r="E1029" t="str">
        <x:v>Maison mobile en parc — Hameau / réseau principal coupé</x:v>
      </x:c>
      <x:c r="F1029" t="n">
        <x:v>8</x:v>
      </x:c>
      <x:c r="G1029" t="n">
        <x:v>5</x:v>
      </x:c>
      <x:c r="H1029" t="n">
        <x:v>15</x:v>
      </x:c>
      <x:c r="I1029" t="str">
        <x:v>À qualifier par lieu</x:v>
      </x:c>
      <x:c r="J1029" t="str">
        <x:v>https://github.com/darknigthmare/deadwall-last-enclosure/blob/e28f46223e73105ab2c5d83f3d50b99b58ef53e6/codex-3000/compositions/Habitat individuel/DW-1024.md</x:v>
      </x:c>
      <x:c r="K1029" t="str">
        <x:v>Source min 12,10 m ; max 28,24 m ; modèle 26 × 22 m ; niveaux 0. Détails dans catalogue-existant.json.</x:v>
      </x:c>
    </x:row>
    <x:row r="1030">
      <x:c r="A1030" t="str">
        <x:v>DW-1025</x:v>
      </x:c>
      <x:c r="B1030" t="str">
        <x:v>DW-0013</x:v>
      </x:c>
      <x:c r="C1030" t="str">
        <x:v>Composition héritée</x:v>
      </x:c>
      <x:c r="D1030" t="str">
        <x:v>Habitat individuel</x:v>
      </x:c>
      <x:c r="E1030" t="str">
        <x:v>Duplex au-dessus d'une boutique — Quartier pavillonnaire / reprise progressive de la végétation</x:v>
      </x:c>
      <x:c r="F1030" t="n">
        <x:v>8</x:v>
      </x:c>
      <x:c r="G1030" t="n">
        <x:v>4</x:v>
      </x:c>
      <x:c r="H1030" t="n">
        <x:v>12</x:v>
      </x:c>
      <x:c r="I1030" t="str">
        <x:v>À qualifier par lieu</x:v>
      </x:c>
      <x:c r="J1030" t="str">
        <x:v>https://github.com/darknigthmare/deadwall-last-enclosure/blob/e28f46223e73105ab2c5d83f3d50b99b58ef53e6/codex-3000/compositions/Habitat individuel/DW-1025.md</x:v>
      </x:c>
      <x:c r="K1030" t="str">
        <x:v>Source min 12,10 m ; max 28,24 m ; modèle 25 × 18 m ; niveaux 0, 1. Détails dans catalogue-existant.json.</x:v>
      </x:c>
    </x:row>
    <x:row r="1031">
      <x:c r="A1031" t="str">
        <x:v>DW-1026</x:v>
      </x:c>
      <x:c r="B1031" t="str">
        <x:v>DW-0013</x:v>
      </x:c>
      <x:c r="C1031" t="str">
        <x:v>Composition héritée</x:v>
      </x:c>
      <x:c r="D1031" t="str">
        <x:v>Habitat individuel</x:v>
      </x:c>
      <x:c r="E1031" t="str">
        <x:v>Duplex au-dessus d'une boutique — Village et bourg / repli organisé interrompu</x:v>
      </x:c>
      <x:c r="F1031" t="n">
        <x:v>8</x:v>
      </x:c>
      <x:c r="G1031" t="n">
        <x:v>4</x:v>
      </x:c>
      <x:c r="H1031" t="n">
        <x:v>12</x:v>
      </x:c>
      <x:c r="I1031" t="str">
        <x:v>À qualifier par lieu</x:v>
      </x:c>
      <x:c r="J1031" t="str">
        <x:v>https://github.com/darknigthmare/deadwall-last-enclosure/blob/e28f46223e73105ab2c5d83f3d50b99b58ef53e6/codex-3000/compositions/Habitat individuel/DW-1026.md</x:v>
      </x:c>
      <x:c r="K1031" t="str">
        <x:v>Source min 12,10 m ; max 28,24 m ; modèle 25 × 18 m ; niveaux 0, 1. Détails dans catalogue-existant.json.</x:v>
      </x:c>
    </x:row>
    <x:row r="1032">
      <x:c r="A1032" t="str">
        <x:v>DW-1027</x:v>
      </x:c>
      <x:c r="B1032" t="str">
        <x:v>DW-0014</x:v>
      </x:c>
      <x:c r="C1032" t="str">
        <x:v>Composition héritée</x:v>
      </x:c>
      <x:c r="D1032" t="str">
        <x:v>Habitat individuel</x:v>
      </x:c>
      <x:c r="E1032" t="str">
        <x:v>Maison d'angle commerçante — Hameau / relais temporaire envisagé</x:v>
      </x:c>
      <x:c r="F1032" t="n">
        <x:v>8</x:v>
      </x:c>
      <x:c r="G1032" t="n">
        <x:v>4</x:v>
      </x:c>
      <x:c r="H1032" t="n">
        <x:v>12</x:v>
      </x:c>
      <x:c r="I1032" t="str">
        <x:v>À qualifier par lieu</x:v>
      </x:c>
      <x:c r="J1032" t="str">
        <x:v>https://github.com/darknigthmare/deadwall-last-enclosure/blob/e28f46223e73105ab2c5d83f3d50b99b58ef53e6/codex-3000/compositions/Habitat individuel/DW-1027.md</x:v>
      </x:c>
      <x:c r="K1032" t="str">
        <x:v>Source min 12,10 m ; max 28,24 m ; modèle 25 × 18 m ; niveaux 0. Détails dans catalogue-existant.json.</x:v>
      </x:c>
    </x:row>
    <x:row r="1033">
      <x:c r="A1033" t="str">
        <x:v>DW-1028</x:v>
      </x:c>
      <x:c r="B1033" t="str">
        <x:v>DW-0014</x:v>
      </x:c>
      <x:c r="C1033" t="str">
        <x:v>Composition héritée</x:v>
      </x:c>
      <x:c r="D1033" t="str">
        <x:v>Habitat individuel</x:v>
      </x:c>
      <x:c r="E1033" t="str">
        <x:v>Maison d'angle commerçante — Ferme, verger et pâtures / évacuation interrompue</x:v>
      </x:c>
      <x:c r="F1033" t="n">
        <x:v>8</x:v>
      </x:c>
      <x:c r="G1033" t="n">
        <x:v>4</x:v>
      </x:c>
      <x:c r="H1033" t="n">
        <x:v>12</x:v>
      </x:c>
      <x:c r="I1033" t="str">
        <x:v>À qualifier par lieu</x:v>
      </x:c>
      <x:c r="J1033" t="str">
        <x:v>https://github.com/darknigthmare/deadwall-last-enclosure/blob/e28f46223e73105ab2c5d83f3d50b99b58ef53e6/codex-3000/compositions/Habitat individuel/DW-1028.md</x:v>
      </x:c>
      <x:c r="K1033" t="str">
        <x:v>Source min 12,10 m ; max 28,24 m ; modèle 25 × 18 m ; niveaux 0. Détails dans catalogue-existant.json.</x:v>
      </x:c>
    </x:row>
    <x:row r="1034">
      <x:c r="A1034" t="str">
        <x:v>DW-1029</x:v>
      </x:c>
      <x:c r="B1034" t="str">
        <x:v>DW-0015</x:v>
      </x:c>
      <x:c r="C1034" t="str">
        <x:v>Composition héritée</x:v>
      </x:c>
      <x:c r="D1034" t="str">
        <x:v>Habitat individuel</x:v>
      </x:c>
      <x:c r="E1034" t="str">
        <x:v>Maison en autoconstruction — Village et bourg / réseau principal coupé</x:v>
      </x:c>
      <x:c r="F1034" t="n">
        <x:v>8</x:v>
      </x:c>
      <x:c r="G1034" t="n">
        <x:v>4</x:v>
      </x:c>
      <x:c r="H1034" t="n">
        <x:v>12</x:v>
      </x:c>
      <x:c r="I1034" t="str">
        <x:v>À qualifier par lieu</x:v>
      </x:c>
      <x:c r="J1034" t="str">
        <x:v>https://github.com/darknigthmare/deadwall-last-enclosure/blob/e28f46223e73105ab2c5d83f3d50b99b58ef53e6/codex-3000/compositions/Habitat individuel/DW-1029.md</x:v>
      </x:c>
      <x:c r="K1034" t="str">
        <x:v>Source min 12,10 m ; max 28,24 m ; modèle 25 × 18 m ; niveaux 0. Détails dans catalogue-existant.json.</x:v>
      </x:c>
    </x:row>
    <x:row r="1035">
      <x:c r="A1035" t="str">
        <x:v>DW-1030</x:v>
      </x:c>
      <x:c r="B1035" t="str">
        <x:v>DW-0015</x:v>
      </x:c>
      <x:c r="C1035" t="str">
        <x:v>Composition héritée</x:v>
      </x:c>
      <x:c r="D1035" t="str">
        <x:v>Habitat individuel</x:v>
      </x:c>
      <x:c r="E1035" t="str">
        <x:v>Maison en autoconstruction — Quartier pavillonnaire / arrêt de maintenance</x:v>
      </x:c>
      <x:c r="F1035" t="n">
        <x:v>8</x:v>
      </x:c>
      <x:c r="G1035" t="n">
        <x:v>4</x:v>
      </x:c>
      <x:c r="H1035" t="n">
        <x:v>12</x:v>
      </x:c>
      <x:c r="I1035" t="str">
        <x:v>À qualifier par lieu</x:v>
      </x:c>
      <x:c r="J1035" t="str">
        <x:v>https://github.com/darknigthmare/deadwall-last-enclosure/blob/e28f46223e73105ab2c5d83f3d50b99b58ef53e6/codex-3000/compositions/Habitat individuel/DW-1030.md</x:v>
      </x:c>
      <x:c r="K1035" t="str">
        <x:v>Source min 12,10 m ; max 28,24 m ; modèle 25 × 18 m ; niveaux 0. Détails dans catalogue-existant.json.</x:v>
      </x:c>
    </x:row>
    <x:row r="1036">
      <x:c r="A1036" t="str">
        <x:v>DW-1031</x:v>
      </x:c>
      <x:c r="B1036" t="str">
        <x:v>DW-0016</x:v>
      </x:c>
      <x:c r="C1036" t="str">
        <x:v>Composition héritée</x:v>
      </x:c>
      <x:c r="D1036" t="str">
        <x:v>Habitat individuel</x:v>
      </x:c>
      <x:c r="E1036" t="str">
        <x:v>Maison en gradins — Ferme, verger et pâtures / repli organisé interrompu</x:v>
      </x:c>
      <x:c r="F1036" t="n">
        <x:v>8</x:v>
      </x:c>
      <x:c r="G1036" t="n">
        <x:v>4</x:v>
      </x:c>
      <x:c r="H1036" t="n">
        <x:v>12</x:v>
      </x:c>
      <x:c r="I1036" t="str">
        <x:v>À qualifier par lieu</x:v>
      </x:c>
      <x:c r="J1036" t="str">
        <x:v>https://github.com/darknigthmare/deadwall-last-enclosure/blob/e28f46223e73105ab2c5d83f3d50b99b58ef53e6/codex-3000/compositions/Habitat individuel/DW-1031.md</x:v>
      </x:c>
      <x:c r="K1036" t="str">
        <x:v>Source min 12,10 m ; max 28,24 m ; modèle 25 × 18 m ; niveaux 0, 1, 2. Détails dans catalogue-existant.json.</x:v>
      </x:c>
    </x:row>
    <x:row r="1037">
      <x:c r="A1037" t="str">
        <x:v>DW-1032</x:v>
      </x:c>
      <x:c r="B1037" t="str">
        <x:v>DW-0016</x:v>
      </x:c>
      <x:c r="C1037" t="str">
        <x:v>Composition héritée</x:v>
      </x:c>
      <x:c r="D1037" t="str">
        <x:v>Habitat individuel</x:v>
      </x:c>
      <x:c r="E1037" t="str">
        <x:v>Maison en gradins — Hameau / première récupération passée</x:v>
      </x:c>
      <x:c r="F1037" t="n">
        <x:v>8</x:v>
      </x:c>
      <x:c r="G1037" t="n">
        <x:v>4</x:v>
      </x:c>
      <x:c r="H1037" t="n">
        <x:v>12</x:v>
      </x:c>
      <x:c r="I1037" t="str">
        <x:v>À qualifier par lieu</x:v>
      </x:c>
      <x:c r="J1037" t="str">
        <x:v>https://github.com/darknigthmare/deadwall-last-enclosure/blob/e28f46223e73105ab2c5d83f3d50b99b58ef53e6/codex-3000/compositions/Habitat individuel/DW-1032.md</x:v>
      </x:c>
      <x:c r="K1037" t="str">
        <x:v>Source min 12,10 m ; max 28,24 m ; modèle 25 × 18 m ; niveaux 0, 1, 2. Détails dans catalogue-existant.json.</x:v>
      </x:c>
    </x:row>
    <x:row r="1038">
      <x:c r="A1038" t="str">
        <x:v>DW-1033</x:v>
      </x:c>
      <x:c r="B1038" t="str">
        <x:v>DW-0017</x:v>
      </x:c>
      <x:c r="C1038" t="str">
        <x:v>Composition héritée</x:v>
      </x:c>
      <x:c r="D1038" t="str">
        <x:v>Habitat individuel</x:v>
      </x:c>
      <x:c r="E1038" t="str">
        <x:v>Maison familiale adaptée — Quartier pavillonnaire / évacuation interrompue</x:v>
      </x:c>
      <x:c r="F1038" t="n">
        <x:v>8</x:v>
      </x:c>
      <x:c r="G1038" t="n">
        <x:v>4</x:v>
      </x:c>
      <x:c r="H1038" t="n">
        <x:v>10</x:v>
      </x:c>
      <x:c r="I1038" t="str">
        <x:v>À qualifier par lieu</x:v>
      </x:c>
      <x:c r="J1038" t="str">
        <x:v>https://github.com/darknigthmare/deadwall-last-enclosure/blob/e28f46223e73105ab2c5d83f3d50b99b58ef53e6/codex-3000/compositions/Habitat individuel/DW-1033.md</x:v>
      </x:c>
      <x:c r="K1038" t="str">
        <x:v>Source min 12,10 m ; max 28,24 m ; modèle 25 × 18 m ; niveaux 0. Détails dans catalogue-existant.json.</x:v>
      </x:c>
    </x:row>
    <x:row r="1039">
      <x:c r="A1039" t="str">
        <x:v>DW-1034</x:v>
      </x:c>
      <x:c r="B1039" t="str">
        <x:v>DW-0017</x:v>
      </x:c>
      <x:c r="C1039" t="str">
        <x:v>Composition héritée</x:v>
      </x:c>
      <x:c r="D1039" t="str">
        <x:v>Habitat individuel</x:v>
      </x:c>
      <x:c r="E1039" t="str">
        <x:v>Maison familiale adaptée — Village et bourg / service déplacé à l’arrière</x:v>
      </x:c>
      <x:c r="F1039" t="n">
        <x:v>8</x:v>
      </x:c>
      <x:c r="G1039" t="n">
        <x:v>4</x:v>
      </x:c>
      <x:c r="H1039" t="n">
        <x:v>10</x:v>
      </x:c>
      <x:c r="I1039" t="str">
        <x:v>À qualifier par lieu</x:v>
      </x:c>
      <x:c r="J1039" t="str">
        <x:v>https://github.com/darknigthmare/deadwall-last-enclosure/blob/e28f46223e73105ab2c5d83f3d50b99b58ef53e6/codex-3000/compositions/Habitat individuel/DW-1034.md</x:v>
      </x:c>
      <x:c r="K1039" t="str">
        <x:v>Source min 12,10 m ; max 28,24 m ; modèle 25 × 18 m ; niveaux 0. Détails dans catalogue-existant.json.</x:v>
      </x:c>
    </x:row>
    <x:row r="1040">
      <x:c r="A1040" t="str">
        <x:v>DW-1035</x:v>
      </x:c>
      <x:c r="B1040" t="str">
        <x:v>DW-0018</x:v>
      </x:c>
      <x:c r="C1040" t="str">
        <x:v>Composition héritée</x:v>
      </x:c>
      <x:c r="D1040" t="str">
        <x:v>Habitat individuel</x:v>
      </x:c>
      <x:c r="E1040" t="str">
        <x:v>Ancien presbytère — Hameau / arrêt de maintenance</x:v>
      </x:c>
      <x:c r="F1040" t="n">
        <x:v>8</x:v>
      </x:c>
      <x:c r="G1040" t="n">
        <x:v>5</x:v>
      </x:c>
      <x:c r="H1040" t="n">
        <x:v>15</x:v>
      </x:c>
      <x:c r="I1040" t="str">
        <x:v>À qualifier par lieu</x:v>
      </x:c>
      <x:c r="J1040" t="str">
        <x:v>https://github.com/darknigthmare/deadwall-last-enclosure/blob/e28f46223e73105ab2c5d83f3d50b99b58ef53e6/codex-3000/compositions/Habitat individuel/DW-1035.md</x:v>
      </x:c>
      <x:c r="K1040" t="str">
        <x:v>Source min 12,10 m ; max 28,24 m ; modèle 26 × 22 m ; niveaux 0. Détails dans catalogue-existant.json.</x:v>
      </x:c>
    </x:row>
    <x:row r="1041">
      <x:c r="A1041" t="str">
        <x:v>DW-1036</x:v>
      </x:c>
      <x:c r="B1041" t="str">
        <x:v>DW-0018</x:v>
      </x:c>
      <x:c r="C1041" t="str">
        <x:v>Composition héritée</x:v>
      </x:c>
      <x:c r="D1041" t="str">
        <x:v>Habitat individuel</x:v>
      </x:c>
      <x:c r="E1041" t="str">
        <x:v>Ancien presbytère — Ferme, verger et pâtures / reprise progressive de la végétation</x:v>
      </x:c>
      <x:c r="F1041" t="n">
        <x:v>8</x:v>
      </x:c>
      <x:c r="G1041" t="n">
        <x:v>5</x:v>
      </x:c>
      <x:c r="H1041" t="n">
        <x:v>15</x:v>
      </x:c>
      <x:c r="I1041" t="str">
        <x:v>À qualifier par lieu</x:v>
      </x:c>
      <x:c r="J1041" t="str">
        <x:v>https://github.com/darknigthmare/deadwall-last-enclosure/blob/e28f46223e73105ab2c5d83f3d50b99b58ef53e6/codex-3000/compositions/Habitat individuel/DW-1036.md</x:v>
      </x:c>
      <x:c r="K1041" t="str">
        <x:v>Source min 12,10 m ; max 28,24 m ; modèle 26 × 22 m ; niveaux 0. Détails dans catalogue-existant.json.</x:v>
      </x:c>
    </x:row>
    <x:row r="1042">
      <x:c r="A1042" t="str">
        <x:v>DW-1037</x:v>
      </x:c>
      <x:c r="B1042" t="str">
        <x:v>DW-0019</x:v>
      </x:c>
      <x:c r="C1042" t="str">
        <x:v>Composition héritée</x:v>
      </x:c>
      <x:c r="D1042" t="str">
        <x:v>Habitat individuel</x:v>
      </x:c>
      <x:c r="E1042" t="str">
        <x:v>Maison d'éclusier — Village et bourg / première récupération passée</x:v>
      </x:c>
      <x:c r="F1042" t="n">
        <x:v>8</x:v>
      </x:c>
      <x:c r="G1042" t="n">
        <x:v>4</x:v>
      </x:c>
      <x:c r="H1042" t="n">
        <x:v>12</x:v>
      </x:c>
      <x:c r="I1042" t="str">
        <x:v>À qualifier par lieu</x:v>
      </x:c>
      <x:c r="J1042" t="str">
        <x:v>https://github.com/darknigthmare/deadwall-last-enclosure/blob/e28f46223e73105ab2c5d83f3d50b99b58ef53e6/codex-3000/compositions/Habitat individuel/DW-1037.md</x:v>
      </x:c>
      <x:c r="K1042" t="str">
        <x:v>Source min 12,10 m ; max 28,24 m ; modèle 25 × 18 m ; niveaux 0. Détails dans catalogue-existant.json.</x:v>
      </x:c>
    </x:row>
    <x:row r="1043">
      <x:c r="A1043" t="str">
        <x:v>DW-1038</x:v>
      </x:c>
      <x:c r="B1043" t="str">
        <x:v>DW-0019</x:v>
      </x:c>
      <x:c r="C1043" t="str">
        <x:v>Composition héritée</x:v>
      </x:c>
      <x:c r="D1043" t="str">
        <x:v>Habitat individuel</x:v>
      </x:c>
      <x:c r="E1043" t="str">
        <x:v>Maison d'éclusier — Quartier pavillonnaire / relais temporaire envisagé</x:v>
      </x:c>
      <x:c r="F1043" t="n">
        <x:v>8</x:v>
      </x:c>
      <x:c r="G1043" t="n">
        <x:v>4</x:v>
      </x:c>
      <x:c r="H1043" t="n">
        <x:v>12</x:v>
      </x:c>
      <x:c r="I1043" t="str">
        <x:v>À qualifier par lieu</x:v>
      </x:c>
      <x:c r="J1043" t="str">
        <x:v>https://github.com/darknigthmare/deadwall-last-enclosure/blob/e28f46223e73105ab2c5d83f3d50b99b58ef53e6/codex-3000/compositions/Habitat individuel/DW-1038.md</x:v>
      </x:c>
      <x:c r="K1043" t="str">
        <x:v>Source min 12,10 m ; max 28,24 m ; modèle 25 × 18 m ; niveaux 0. Détails dans catalogue-existant.json.</x:v>
      </x:c>
    </x:row>
    <x:row r="1044">
      <x:c r="A1044" t="str">
        <x:v>DW-1039</x:v>
      </x:c>
      <x:c r="B1044" t="str">
        <x:v>DW-0020</x:v>
      </x:c>
      <x:c r="C1044" t="str">
        <x:v>Composition héritée</x:v>
      </x:c>
      <x:c r="D1044" t="str">
        <x:v>Habitat individuel</x:v>
      </x:c>
      <x:c r="E1044" t="str">
        <x:v>Ferme reconvertie en habitation — Ferme, verger et pâtures / service déplacé à l’arrière</x:v>
      </x:c>
      <x:c r="F1044" t="n">
        <x:v>8</x:v>
      </x:c>
      <x:c r="G1044" t="n">
        <x:v>4</x:v>
      </x:c>
      <x:c r="H1044" t="n">
        <x:v>12</x:v>
      </x:c>
      <x:c r="I1044" t="str">
        <x:v>À qualifier par lieu</x:v>
      </x:c>
      <x:c r="J1044" t="str">
        <x:v>https://github.com/darknigthmare/deadwall-last-enclosure/blob/e28f46223e73105ab2c5d83f3d50b99b58ef53e6/codex-3000/compositions/Habitat individuel/DW-1039.md</x:v>
      </x:c>
      <x:c r="K1044" t="str">
        <x:v>Source min 12,10 m ; max 28,24 m ; modèle 25 × 18 m ; niveaux 0. Détails dans catalogue-existant.json.</x:v>
      </x:c>
    </x:row>
    <x:row r="1045">
      <x:c r="A1045" t="str">
        <x:v>DW-1040</x:v>
      </x:c>
      <x:c r="B1045" t="str">
        <x:v>DW-0020</x:v>
      </x:c>
      <x:c r="C1045" t="str">
        <x:v>Composition héritée</x:v>
      </x:c>
      <x:c r="D1045" t="str">
        <x:v>Habitat individuel</x:v>
      </x:c>
      <x:c r="E1045" t="str">
        <x:v>Ferme reconvertie en habitation — Hameau / réseau principal coupé</x:v>
      </x:c>
      <x:c r="F1045" t="n">
        <x:v>8</x:v>
      </x:c>
      <x:c r="G1045" t="n">
        <x:v>4</x:v>
      </x:c>
      <x:c r="H1045" t="n">
        <x:v>12</x:v>
      </x:c>
      <x:c r="I1045" t="str">
        <x:v>À qualifier par lieu</x:v>
      </x:c>
      <x:c r="J1045" t="str">
        <x:v>https://github.com/darknigthmare/deadwall-last-enclosure/blob/e28f46223e73105ab2c5d83f3d50b99b58ef53e6/codex-3000/compositions/Habitat individuel/DW-1040.md</x:v>
      </x:c>
      <x:c r="K1045" t="str">
        <x:v>Source min 12,10 m ; max 28,24 m ; modèle 25 × 18 m ; niveaux 0. Détails dans catalogue-existant.json.</x:v>
      </x:c>
    </x:row>
    <x:row r="1046">
      <x:c r="A1046" t="str">
        <x:v>DW-1041</x:v>
      </x:c>
      <x:c r="B1046" t="str">
        <x:v>DW-0021</x:v>
      </x:c>
      <x:c r="C1046" t="str">
        <x:v>Composition héritée</x:v>
      </x:c>
      <x:c r="D1046" t="str">
        <x:v>Habitat collectif</x:v>
      </x:c>
      <x:c r="E1046" t="str">
        <x:v>Immeuble de trois étages — Quartier collectif / reprise progressive de la végétation</x:v>
      </x:c>
      <x:c r="F1046" t="n">
        <x:v>8</x:v>
      </x:c>
      <x:c r="G1046" t="n">
        <x:v>5</x:v>
      </x:c>
      <x:c r="H1046" t="n">
        <x:v>13</x:v>
      </x:c>
      <x:c r="I1046" t="str">
        <x:v>À qualifier par lieu</x:v>
      </x:c>
      <x:c r="J1046" t="str">
        <x:v>https://github.com/darknigthmare/deadwall-last-enclosure/blob/e28f46223e73105ab2c5d83f3d50b99b58ef53e6/codex-3000/compositions/Habitat collectif/DW-1041.md</x:v>
      </x:c>
      <x:c r="K1046" t="str">
        <x:v>Source min 25,18 m ; max 85,60 m ; modèle 26 × 22 m ; niveaux 0, 1, 2. Détails dans catalogue-existant.json.</x:v>
      </x:c>
    </x:row>
    <x:row r="1047">
      <x:c r="A1047" t="str">
        <x:v>DW-1042</x:v>
      </x:c>
      <x:c r="B1047" t="str">
        <x:v>DW-0021</x:v>
      </x:c>
      <x:c r="C1047" t="str">
        <x:v>Composition héritée</x:v>
      </x:c>
      <x:c r="D1047" t="str">
        <x:v>Habitat collectif</x:v>
      </x:c>
      <x:c r="E1047" t="str">
        <x:v>Immeuble de trois étages — Grande ville et métropole / repli organisé interrompu</x:v>
      </x:c>
      <x:c r="F1047" t="n">
        <x:v>8</x:v>
      </x:c>
      <x:c r="G1047" t="n">
        <x:v>5</x:v>
      </x:c>
      <x:c r="H1047" t="n">
        <x:v>13</x:v>
      </x:c>
      <x:c r="I1047" t="str">
        <x:v>À qualifier par lieu</x:v>
      </x:c>
      <x:c r="J1047" t="str">
        <x:v>https://github.com/darknigthmare/deadwall-last-enclosure/blob/e28f46223e73105ab2c5d83f3d50b99b58ef53e6/codex-3000/compositions/Habitat collectif/DW-1042.md</x:v>
      </x:c>
      <x:c r="K1047" t="str">
        <x:v>Source min 25,18 m ; max 85,60 m ; modèle 26 × 22 m ; niveaux 0, 1, 2. Détails dans catalogue-existant.json.</x:v>
      </x:c>
    </x:row>
    <x:row r="1048">
      <x:c r="A1048" t="str">
        <x:v>DW-1043</x:v>
      </x:c>
      <x:c r="B1048" t="str">
        <x:v>DW-0022</x:v>
      </x:c>
      <x:c r="C1048" t="str">
        <x:v>Composition héritée</x:v>
      </x:c>
      <x:c r="D1048" t="str">
        <x:v>Habitat collectif</x:v>
      </x:c>
      <x:c r="E1048" t="str">
        <x:v>Barre résidentielle — Ville moyenne / relais temporaire envisagé</x:v>
      </x:c>
      <x:c r="F1048" t="n">
        <x:v>8</x:v>
      </x:c>
      <x:c r="G1048" t="n">
        <x:v>4</x:v>
      </x:c>
      <x:c r="H1048" t="n">
        <x:v>10</x:v>
      </x:c>
      <x:c r="I1048" t="str">
        <x:v>À qualifier par lieu</x:v>
      </x:c>
      <x:c r="J1048" t="str">
        <x:v>https://github.com/darknigthmare/deadwall-last-enclosure/blob/e28f46223e73105ab2c5d83f3d50b99b58ef53e6/codex-3000/compositions/Habitat collectif/DW-1043.md</x:v>
      </x:c>
      <x:c r="K1048" t="str">
        <x:v>Source min 25,18 m ; max 85,60 m ; modèle 25 × 18 m ; niveaux 0, 1, 2. Détails dans catalogue-existant.json.</x:v>
      </x:c>
    </x:row>
    <x:row r="1049">
      <x:c r="A1049" t="str">
        <x:v>DW-1044</x:v>
      </x:c>
      <x:c r="B1049" t="str">
        <x:v>DW-0022</x:v>
      </x:c>
      <x:c r="C1049" t="str">
        <x:v>Composition héritée</x:v>
      </x:c>
      <x:c r="D1049" t="str">
        <x:v>Habitat collectif</x:v>
      </x:c>
      <x:c r="E1049" t="str">
        <x:v>Barre résidentielle — Centre ancien / évacuation interrompue</x:v>
      </x:c>
      <x:c r="F1049" t="n">
        <x:v>8</x:v>
      </x:c>
      <x:c r="G1049" t="n">
        <x:v>4</x:v>
      </x:c>
      <x:c r="H1049" t="n">
        <x:v>10</x:v>
      </x:c>
      <x:c r="I1049" t="str">
        <x:v>À qualifier par lieu</x:v>
      </x:c>
      <x:c r="J1049" t="str">
        <x:v>https://github.com/darknigthmare/deadwall-last-enclosure/blob/e28f46223e73105ab2c5d83f3d50b99b58ef53e6/codex-3000/compositions/Habitat collectif/DW-1044.md</x:v>
      </x:c>
      <x:c r="K1049" t="str">
        <x:v>Source min 25,18 m ; max 85,60 m ; modèle 25 × 18 m ; niveaux 0, 1, 2. Détails dans catalogue-existant.json.</x:v>
      </x:c>
    </x:row>
    <x:row r="1050">
      <x:c r="A1050" t="str">
        <x:v>DW-1045</x:v>
      </x:c>
      <x:c r="B1050" t="str">
        <x:v>DW-0023</x:v>
      </x:c>
      <x:c r="C1050" t="str">
        <x:v>Composition héritée</x:v>
      </x:c>
      <x:c r="D1050" t="str">
        <x:v>Habitat collectif</x:v>
      </x:c>
      <x:c r="E1050" t="str">
        <x:v>Tour résidentielle — Grande ville et métropole / réseau principal coupé</x:v>
      </x:c>
      <x:c r="F1050" t="n">
        <x:v>8</x:v>
      </x:c>
      <x:c r="G1050" t="n">
        <x:v>5</x:v>
      </x:c>
      <x:c r="H1050" t="n">
        <x:v>13</x:v>
      </x:c>
      <x:c r="I1050" t="str">
        <x:v>À qualifier par lieu</x:v>
      </x:c>
      <x:c r="J1050" t="str">
        <x:v>https://github.com/darknigthmare/deadwall-last-enclosure/blob/e28f46223e73105ab2c5d83f3d50b99b58ef53e6/codex-3000/compositions/Habitat collectif/DW-1045.md</x:v>
      </x:c>
      <x:c r="K1050" t="str">
        <x:v>Source min 25,18 m ; max 85,60 m ; modèle 26 × 22 m ; niveaux 0, 1, 2. Détails dans catalogue-existant.json.</x:v>
      </x:c>
    </x:row>
    <x:row r="1051">
      <x:c r="A1051" t="str">
        <x:v>DW-1046</x:v>
      </x:c>
      <x:c r="B1051" t="str">
        <x:v>DW-0023</x:v>
      </x:c>
      <x:c r="C1051" t="str">
        <x:v>Composition héritée</x:v>
      </x:c>
      <x:c r="D1051" t="str">
        <x:v>Habitat collectif</x:v>
      </x:c>
      <x:c r="E1051" t="str">
        <x:v>Tour résidentielle — Quartier collectif / arrêt de maintenance</x:v>
      </x:c>
      <x:c r="F1051" t="n">
        <x:v>8</x:v>
      </x:c>
      <x:c r="G1051" t="n">
        <x:v>5</x:v>
      </x:c>
      <x:c r="H1051" t="n">
        <x:v>13</x:v>
      </x:c>
      <x:c r="I1051" t="str">
        <x:v>À qualifier par lieu</x:v>
      </x:c>
      <x:c r="J1051" t="str">
        <x:v>https://github.com/darknigthmare/deadwall-last-enclosure/blob/e28f46223e73105ab2c5d83f3d50b99b58ef53e6/codex-3000/compositions/Habitat collectif/DW-1046.md</x:v>
      </x:c>
      <x:c r="K1051" t="str">
        <x:v>Source min 25,18 m ; max 85,60 m ; modèle 26 × 22 m ; niveaux 0, 1, 2. Détails dans catalogue-existant.json.</x:v>
      </x:c>
    </x:row>
    <x:row r="1052">
      <x:c r="A1052" t="str">
        <x:v>DW-1047</x:v>
      </x:c>
      <x:c r="B1052" t="str">
        <x:v>DW-0024</x:v>
      </x:c>
      <x:c r="C1052" t="str">
        <x:v>Composition héritée</x:v>
      </x:c>
      <x:c r="D1052" t="str">
        <x:v>Habitat collectif</x:v>
      </x:c>
      <x:c r="E1052" t="str">
        <x:v>Résidence à cour intérieure — Centre ancien / repli organisé interrompu</x:v>
      </x:c>
      <x:c r="F1052" t="n">
        <x:v>8</x:v>
      </x:c>
      <x:c r="G1052" t="n">
        <x:v>5</x:v>
      </x:c>
      <x:c r="H1052" t="n">
        <x:v>15</x:v>
      </x:c>
      <x:c r="I1052" t="str">
        <x:v>À qualifier par lieu</x:v>
      </x:c>
      <x:c r="J1052" t="str">
        <x:v>https://github.com/darknigthmare/deadwall-last-enclosure/blob/e28f46223e73105ab2c5d83f3d50b99b58ef53e6/codex-3000/compositions/Habitat collectif/DW-1047.md</x:v>
      </x:c>
      <x:c r="K1052" t="str">
        <x:v>Source min 25,18 m ; max 85,60 m ; modèle 26 × 22 m ; niveaux 0, 1, 2. Détails dans catalogue-existant.json.</x:v>
      </x:c>
    </x:row>
    <x:row r="1053">
      <x:c r="A1053" t="str">
        <x:v>DW-1048</x:v>
      </x:c>
      <x:c r="B1053" t="str">
        <x:v>DW-0024</x:v>
      </x:c>
      <x:c r="C1053" t="str">
        <x:v>Composition héritée</x:v>
      </x:c>
      <x:c r="D1053" t="str">
        <x:v>Habitat collectif</x:v>
      </x:c>
      <x:c r="E1053" t="str">
        <x:v>Résidence à cour intérieure — Ville moyenne / première récupération passée</x:v>
      </x:c>
      <x:c r="F1053" t="n">
        <x:v>8</x:v>
      </x:c>
      <x:c r="G1053" t="n">
        <x:v>5</x:v>
      </x:c>
      <x:c r="H1053" t="n">
        <x:v>15</x:v>
      </x:c>
      <x:c r="I1053" t="str">
        <x:v>À qualifier par lieu</x:v>
      </x:c>
      <x:c r="J1053" t="str">
        <x:v>https://github.com/darknigthmare/deadwall-last-enclosure/blob/e28f46223e73105ab2c5d83f3d50b99b58ef53e6/codex-3000/compositions/Habitat collectif/DW-1048.md</x:v>
      </x:c>
      <x:c r="K1053" t="str">
        <x:v>Source min 25,18 m ; max 85,60 m ; modèle 26 × 22 m ; niveaux 0, 1, 2. Détails dans catalogue-existant.json.</x:v>
      </x:c>
    </x:row>
    <x:row r="1054">
      <x:c r="A1054" t="str">
        <x:v>DW-1049</x:v>
      </x:c>
      <x:c r="B1054" t="str">
        <x:v>DW-0025</x:v>
      </x:c>
      <x:c r="C1054" t="str">
        <x:v>Composition héritée</x:v>
      </x:c>
      <x:c r="D1054" t="str">
        <x:v>Habitat collectif</x:v>
      </x:c>
      <x:c r="E1054" t="str">
        <x:v>Résidence étudiante — Quartier collectif / évacuation interrompue</x:v>
      </x:c>
      <x:c r="F1054" t="n">
        <x:v>8</x:v>
      </x:c>
      <x:c r="G1054" t="n">
        <x:v>5</x:v>
      </x:c>
      <x:c r="H1054" t="n">
        <x:v>15</x:v>
      </x:c>
      <x:c r="I1054" t="str">
        <x:v>À qualifier par lieu</x:v>
      </x:c>
      <x:c r="J1054" t="str">
        <x:v>https://github.com/darknigthmare/deadwall-last-enclosure/blob/e28f46223e73105ab2c5d83f3d50b99b58ef53e6/codex-3000/compositions/Habitat collectif/DW-1049.md</x:v>
      </x:c>
      <x:c r="K1054" t="str">
        <x:v>Source min 25,18 m ; max 85,60 m ; modèle 26 × 22 m ; niveaux 0, 1, 2. Détails dans catalogue-existant.json.</x:v>
      </x:c>
    </x:row>
    <x:row r="1055">
      <x:c r="A1055" t="str">
        <x:v>DW-1050</x:v>
      </x:c>
      <x:c r="B1055" t="str">
        <x:v>DW-0025</x:v>
      </x:c>
      <x:c r="C1055" t="str">
        <x:v>Composition héritée</x:v>
      </x:c>
      <x:c r="D1055" t="str">
        <x:v>Habitat collectif</x:v>
      </x:c>
      <x:c r="E1055" t="str">
        <x:v>Résidence étudiante — Grande ville et métropole / service déplacé à l’arrière</x:v>
      </x:c>
      <x:c r="F1055" t="n">
        <x:v>8</x:v>
      </x:c>
      <x:c r="G1055" t="n">
        <x:v>5</x:v>
      </x:c>
      <x:c r="H1055" t="n">
        <x:v>15</x:v>
      </x:c>
      <x:c r="I1055" t="str">
        <x:v>À qualifier par lieu</x:v>
      </x:c>
      <x:c r="J1055" t="str">
        <x:v>https://github.com/darknigthmare/deadwall-last-enclosure/blob/e28f46223e73105ab2c5d83f3d50b99b58ef53e6/codex-3000/compositions/Habitat collectif/DW-1050.md</x:v>
      </x:c>
      <x:c r="K1055" t="str">
        <x:v>Source min 25,18 m ; max 85,60 m ; modèle 26 × 22 m ; niveaux 0, 1, 2. Détails dans catalogue-existant.json.</x:v>
      </x:c>
    </x:row>
    <x:row r="1056">
      <x:c r="A1056" t="str">
        <x:v>DW-1051</x:v>
      </x:c>
      <x:c r="B1056" t="str">
        <x:v>DW-0026</x:v>
      </x:c>
      <x:c r="C1056" t="str">
        <x:v>Composition héritée</x:v>
      </x:c>
      <x:c r="D1056" t="str">
        <x:v>Habitat collectif</x:v>
      </x:c>
      <x:c r="E1056" t="str">
        <x:v>Foyer de travailleurs — Ville moyenne / arrêt de maintenance</x:v>
      </x:c>
      <x:c r="F1056" t="n">
        <x:v>8</x:v>
      </x:c>
      <x:c r="G1056" t="n">
        <x:v>5</x:v>
      </x:c>
      <x:c r="H1056" t="n">
        <x:v>15</x:v>
      </x:c>
      <x:c r="I1056" t="str">
        <x:v>À qualifier par lieu</x:v>
      </x:c>
      <x:c r="J1056" t="str">
        <x:v>https://github.com/darknigthmare/deadwall-last-enclosure/blob/e28f46223e73105ab2c5d83f3d50b99b58ef53e6/codex-3000/compositions/Habitat collectif/DW-1051.md</x:v>
      </x:c>
      <x:c r="K1056" t="str">
        <x:v>Source min 25,18 m ; max 85,60 m ; modèle 26 × 22 m ; niveaux 0, 1, 2. Détails dans catalogue-existant.json.</x:v>
      </x:c>
    </x:row>
    <x:row r="1057">
      <x:c r="A1057" t="str">
        <x:v>DW-1052</x:v>
      </x:c>
      <x:c r="B1057" t="str">
        <x:v>DW-0026</x:v>
      </x:c>
      <x:c r="C1057" t="str">
        <x:v>Composition héritée</x:v>
      </x:c>
      <x:c r="D1057" t="str">
        <x:v>Habitat collectif</x:v>
      </x:c>
      <x:c r="E1057" t="str">
        <x:v>Foyer de travailleurs — Centre ancien / reprise progressive de la végétation</x:v>
      </x:c>
      <x:c r="F1057" t="n">
        <x:v>8</x:v>
      </x:c>
      <x:c r="G1057" t="n">
        <x:v>5</x:v>
      </x:c>
      <x:c r="H1057" t="n">
        <x:v>15</x:v>
      </x:c>
      <x:c r="I1057" t="str">
        <x:v>À qualifier par lieu</x:v>
      </x:c>
      <x:c r="J1057" t="str">
        <x:v>https://github.com/darknigthmare/deadwall-last-enclosure/blob/e28f46223e73105ab2c5d83f3d50b99b58ef53e6/codex-3000/compositions/Habitat collectif/DW-1052.md</x:v>
      </x:c>
      <x:c r="K1057" t="str">
        <x:v>Source min 25,18 m ; max 85,60 m ; modèle 26 × 22 m ; niveaux 0, 1, 2. Détails dans catalogue-existant.json.</x:v>
      </x:c>
    </x:row>
    <x:row r="1058">
      <x:c r="A1058" t="str">
        <x:v>DW-1053</x:v>
      </x:c>
      <x:c r="B1058" t="str">
        <x:v>DW-0027</x:v>
      </x:c>
      <x:c r="C1058" t="str">
        <x:v>Composition héritée</x:v>
      </x:c>
      <x:c r="D1058" t="str">
        <x:v>Habitat collectif</x:v>
      </x:c>
      <x:c r="E1058" t="str">
        <x:v>Résidence seniors — Grande ville et métropole / première récupération passée</x:v>
      </x:c>
      <x:c r="F1058" t="n">
        <x:v>8</x:v>
      </x:c>
      <x:c r="G1058" t="n">
        <x:v>5</x:v>
      </x:c>
      <x:c r="H1058" t="n">
        <x:v>15</x:v>
      </x:c>
      <x:c r="I1058" t="str">
        <x:v>À qualifier par lieu</x:v>
      </x:c>
      <x:c r="J1058" t="str">
        <x:v>https://github.com/darknigthmare/deadwall-last-enclosure/blob/e28f46223e73105ab2c5d83f3d50b99b58ef53e6/codex-3000/compositions/Habitat collectif/DW-1053.md</x:v>
      </x:c>
      <x:c r="K1058" t="str">
        <x:v>Source min 25,18 m ; max 85,60 m ; modèle 26 × 22 m ; niveaux 0, 1, 2. Détails dans catalogue-existant.json.</x:v>
      </x:c>
    </x:row>
    <x:row r="1059">
      <x:c r="A1059" t="str">
        <x:v>DW-1054</x:v>
      </x:c>
      <x:c r="B1059" t="str">
        <x:v>DW-0027</x:v>
      </x:c>
      <x:c r="C1059" t="str">
        <x:v>Composition héritée</x:v>
      </x:c>
      <x:c r="D1059" t="str">
        <x:v>Habitat collectif</x:v>
      </x:c>
      <x:c r="E1059" t="str">
        <x:v>Résidence seniors — Quartier collectif / relais temporaire envisagé</x:v>
      </x:c>
      <x:c r="F1059" t="n">
        <x:v>8</x:v>
      </x:c>
      <x:c r="G1059" t="n">
        <x:v>5</x:v>
      </x:c>
      <x:c r="H1059" t="n">
        <x:v>15</x:v>
      </x:c>
      <x:c r="I1059" t="str">
        <x:v>À qualifier par lieu</x:v>
      </x:c>
      <x:c r="J1059" t="str">
        <x:v>https://github.com/darknigthmare/deadwall-last-enclosure/blob/e28f46223e73105ab2c5d83f3d50b99b58ef53e6/codex-3000/compositions/Habitat collectif/DW-1054.md</x:v>
      </x:c>
      <x:c r="K1059" t="str">
        <x:v>Source min 25,18 m ; max 85,60 m ; modèle 26 × 22 m ; niveaux 0, 1, 2. Détails dans catalogue-existant.json.</x:v>
      </x:c>
    </x:row>
    <x:row r="1060">
      <x:c r="A1060" t="str">
        <x:v>DW-1055</x:v>
      </x:c>
      <x:c r="B1060" t="str">
        <x:v>DW-0028</x:v>
      </x:c>
      <x:c r="C1060" t="str">
        <x:v>Composition héritée</x:v>
      </x:c>
      <x:c r="D1060" t="str">
        <x:v>Habitat collectif</x:v>
      </x:c>
      <x:c r="E1060" t="str">
        <x:v>Habitat coopératif — Centre ancien / service déplacé à l’arrière</x:v>
      </x:c>
      <x:c r="F1060" t="n">
        <x:v>8</x:v>
      </x:c>
      <x:c r="G1060" t="n">
        <x:v>5</x:v>
      </x:c>
      <x:c r="H1060" t="n">
        <x:v>15</x:v>
      </x:c>
      <x:c r="I1060" t="str">
        <x:v>À qualifier par lieu</x:v>
      </x:c>
      <x:c r="J1060" t="str">
        <x:v>https://github.com/darknigthmare/deadwall-last-enclosure/blob/e28f46223e73105ab2c5d83f3d50b99b58ef53e6/codex-3000/compositions/Habitat collectif/DW-1055.md</x:v>
      </x:c>
      <x:c r="K1060" t="str">
        <x:v>Source min 25,18 m ; max 85,60 m ; modèle 26 × 22 m ; niveaux 0, 1, 2. Détails dans catalogue-existant.json.</x:v>
      </x:c>
    </x:row>
    <x:row r="1061">
      <x:c r="A1061" t="str">
        <x:v>DW-1056</x:v>
      </x:c>
      <x:c r="B1061" t="str">
        <x:v>DW-0028</x:v>
      </x:c>
      <x:c r="C1061" t="str">
        <x:v>Composition héritée</x:v>
      </x:c>
      <x:c r="D1061" t="str">
        <x:v>Habitat collectif</x:v>
      </x:c>
      <x:c r="E1061" t="str">
        <x:v>Habitat coopératif — Ville moyenne / réseau principal coupé</x:v>
      </x:c>
      <x:c r="F1061" t="n">
        <x:v>8</x:v>
      </x:c>
      <x:c r="G1061" t="n">
        <x:v>5</x:v>
      </x:c>
      <x:c r="H1061" t="n">
        <x:v>15</x:v>
      </x:c>
      <x:c r="I1061" t="str">
        <x:v>À qualifier par lieu</x:v>
      </x:c>
      <x:c r="J1061" t="str">
        <x:v>https://github.com/darknigthmare/deadwall-last-enclosure/blob/e28f46223e73105ab2c5d83f3d50b99b58ef53e6/codex-3000/compositions/Habitat collectif/DW-1056.md</x:v>
      </x:c>
      <x:c r="K1061" t="str">
        <x:v>Source min 25,18 m ; max 85,60 m ; modèle 26 × 22 m ; niveaux 0, 1, 2. Détails dans catalogue-existant.json.</x:v>
      </x:c>
    </x:row>
    <x:row r="1062">
      <x:c r="A1062" t="str">
        <x:v>DW-1057</x:v>
      </x:c>
      <x:c r="B1062" t="str">
        <x:v>DW-0029</x:v>
      </x:c>
      <x:c r="C1062" t="str">
        <x:v>Composition héritée</x:v>
      </x:c>
      <x:c r="D1062" t="str">
        <x:v>Habitat collectif</x:v>
      </x:c>
      <x:c r="E1062" t="str">
        <x:v>Immeuble avec commerces — Quartier collectif / reprise progressive de la végétation</x:v>
      </x:c>
      <x:c r="F1062" t="n">
        <x:v>8</x:v>
      </x:c>
      <x:c r="G1062" t="n">
        <x:v>4</x:v>
      </x:c>
      <x:c r="H1062" t="n">
        <x:v>12</x:v>
      </x:c>
      <x:c r="I1062" t="str">
        <x:v>À qualifier par lieu</x:v>
      </x:c>
      <x:c r="J1062" t="str">
        <x:v>https://github.com/darknigthmare/deadwall-last-enclosure/blob/e28f46223e73105ab2c5d83f3d50b99b58ef53e6/codex-3000/compositions/Habitat collectif/DW-1057.md</x:v>
      </x:c>
      <x:c r="K1062" t="str">
        <x:v>Source min 25,18 m ; max 85,60 m ; modèle 25 × 18 m ; niveaux 0, 1, 2. Détails dans catalogue-existant.json.</x:v>
      </x:c>
    </x:row>
    <x:row r="1063">
      <x:c r="A1063" t="str">
        <x:v>DW-1058</x:v>
      </x:c>
      <x:c r="B1063" t="str">
        <x:v>DW-0029</x:v>
      </x:c>
      <x:c r="C1063" t="str">
        <x:v>Composition héritée</x:v>
      </x:c>
      <x:c r="D1063" t="str">
        <x:v>Habitat collectif</x:v>
      </x:c>
      <x:c r="E1063" t="str">
        <x:v>Immeuble avec commerces — Grande ville et métropole / repli organisé interrompu</x:v>
      </x:c>
      <x:c r="F1063" t="n">
        <x:v>8</x:v>
      </x:c>
      <x:c r="G1063" t="n">
        <x:v>4</x:v>
      </x:c>
      <x:c r="H1063" t="n">
        <x:v>12</x:v>
      </x:c>
      <x:c r="I1063" t="str">
        <x:v>À qualifier par lieu</x:v>
      </x:c>
      <x:c r="J1063" t="str">
        <x:v>https://github.com/darknigthmare/deadwall-last-enclosure/blob/e28f46223e73105ab2c5d83f3d50b99b58ef53e6/codex-3000/compositions/Habitat collectif/DW-1058.md</x:v>
      </x:c>
      <x:c r="K1063" t="str">
        <x:v>Source min 25,18 m ; max 85,60 m ; modèle 25 × 18 m ; niveaux 0, 1, 2. Détails dans catalogue-existant.json.</x:v>
      </x:c>
    </x:row>
    <x:row r="1064">
      <x:c r="A1064" t="str">
        <x:v>DW-1059</x:v>
      </x:c>
      <x:c r="B1064" t="str">
        <x:v>DW-0030</x:v>
      </x:c>
      <x:c r="C1064" t="str">
        <x:v>Composition héritée</x:v>
      </x:c>
      <x:c r="D1064" t="str">
        <x:v>Habitat collectif</x:v>
      </x:c>
      <x:c r="E1064" t="str">
        <x:v>Résidence à passerelles — Ville moyenne / relais temporaire envisagé</x:v>
      </x:c>
      <x:c r="F1064" t="n">
        <x:v>8</x:v>
      </x:c>
      <x:c r="G1064" t="n">
        <x:v>4</x:v>
      </x:c>
      <x:c r="H1064" t="n">
        <x:v>10</x:v>
      </x:c>
      <x:c r="I1064" t="str">
        <x:v>À qualifier par lieu</x:v>
      </x:c>
      <x:c r="J1064" t="str">
        <x:v>https://github.com/darknigthmare/deadwall-last-enclosure/blob/e28f46223e73105ab2c5d83f3d50b99b58ef53e6/codex-3000/compositions/Habitat collectif/DW-1059.md</x:v>
      </x:c>
      <x:c r="K1064" t="str">
        <x:v>Source min 25,18 m ; max 85,60 m ; modèle 25 × 18 m ; niveaux 0, 1, 2. Détails dans catalogue-existant.json.</x:v>
      </x:c>
    </x:row>
    <x:row r="1065">
      <x:c r="A1065" t="str">
        <x:v>DW-1060</x:v>
      </x:c>
      <x:c r="B1065" t="str">
        <x:v>DW-0030</x:v>
      </x:c>
      <x:c r="C1065" t="str">
        <x:v>Composition héritée</x:v>
      </x:c>
      <x:c r="D1065" t="str">
        <x:v>Habitat collectif</x:v>
      </x:c>
      <x:c r="E1065" t="str">
        <x:v>Résidence à passerelles — Centre ancien / évacuation interrompue</x:v>
      </x:c>
      <x:c r="F1065" t="n">
        <x:v>8</x:v>
      </x:c>
      <x:c r="G1065" t="n">
        <x:v>4</x:v>
      </x:c>
      <x:c r="H1065" t="n">
        <x:v>10</x:v>
      </x:c>
      <x:c r="I1065" t="str">
        <x:v>À qualifier par lieu</x:v>
      </x:c>
      <x:c r="J1065" t="str">
        <x:v>https://github.com/darknigthmare/deadwall-last-enclosure/blob/e28f46223e73105ab2c5d83f3d50b99b58ef53e6/codex-3000/compositions/Habitat collectif/DW-1060.md</x:v>
      </x:c>
      <x:c r="K1065" t="str">
        <x:v>Source min 25,18 m ; max 85,60 m ; modèle 25 × 18 m ; niveaux 0, 1, 2. Détails dans catalogue-existant.json.</x:v>
      </x:c>
    </x:row>
    <x:row r="1066">
      <x:c r="A1066" t="str">
        <x:v>DW-1061</x:v>
      </x:c>
      <x:c r="B1066" t="str">
        <x:v>DW-0031</x:v>
      </x:c>
      <x:c r="C1066" t="str">
        <x:v>Composition héritée</x:v>
      </x:c>
      <x:c r="D1066" t="str">
        <x:v>Habitat collectif</x:v>
      </x:c>
      <x:c r="E1066" t="str">
        <x:v>Lofts industriels — Grande ville et métropole / réseau principal coupé</x:v>
      </x:c>
      <x:c r="F1066" t="n">
        <x:v>8</x:v>
      </x:c>
      <x:c r="G1066" t="n">
        <x:v>5</x:v>
      </x:c>
      <x:c r="H1066" t="n">
        <x:v>13</x:v>
      </x:c>
      <x:c r="I1066" t="str">
        <x:v>À qualifier par lieu</x:v>
      </x:c>
      <x:c r="J1066" t="str">
        <x:v>https://github.com/darknigthmare/deadwall-last-enclosure/blob/e28f46223e73105ab2c5d83f3d50b99b58ef53e6/codex-3000/compositions/Habitat collectif/DW-1061.md</x:v>
      </x:c>
      <x:c r="K1066" t="str">
        <x:v>Source min 25,18 m ; max 85,60 m ; modèle 26 × 22 m ; niveaux 0, 1, 2. Détails dans catalogue-existant.json.</x:v>
      </x:c>
    </x:row>
    <x:row r="1067">
      <x:c r="A1067" t="str">
        <x:v>DW-1062</x:v>
      </x:c>
      <x:c r="B1067" t="str">
        <x:v>DW-0031</x:v>
      </x:c>
      <x:c r="C1067" t="str">
        <x:v>Composition héritée</x:v>
      </x:c>
      <x:c r="D1067" t="str">
        <x:v>Habitat collectif</x:v>
      </x:c>
      <x:c r="E1067" t="str">
        <x:v>Lofts industriels — Quartier collectif / arrêt de maintenance</x:v>
      </x:c>
      <x:c r="F1067" t="n">
        <x:v>8</x:v>
      </x:c>
      <x:c r="G1067" t="n">
        <x:v>5</x:v>
      </x:c>
      <x:c r="H1067" t="n">
        <x:v>13</x:v>
      </x:c>
      <x:c r="I1067" t="str">
        <x:v>À qualifier par lieu</x:v>
      </x:c>
      <x:c r="J1067" t="str">
        <x:v>https://github.com/darknigthmare/deadwall-last-enclosure/blob/e28f46223e73105ab2c5d83f3d50b99b58ef53e6/codex-3000/compositions/Habitat collectif/DW-1062.md</x:v>
      </x:c>
      <x:c r="K1067" t="str">
        <x:v>Source min 25,18 m ; max 85,60 m ; modèle 26 × 22 m ; niveaux 0, 1, 2. Détails dans catalogue-existant.json.</x:v>
      </x:c>
    </x:row>
    <x:row r="1068">
      <x:c r="A1068" t="str">
        <x:v>DW-1063</x:v>
      </x:c>
      <x:c r="B1068" t="str">
        <x:v>DW-0032</x:v>
      </x:c>
      <x:c r="C1068" t="str">
        <x:v>Composition héritée</x:v>
      </x:c>
      <x:c r="D1068" t="str">
        <x:v>Habitat collectif</x:v>
      </x:c>
      <x:c r="E1068" t="str">
        <x:v>Caserne reconvertie en logements — Centre ancien / repli organisé interrompu</x:v>
      </x:c>
      <x:c r="F1068" t="n">
        <x:v>8</x:v>
      </x:c>
      <x:c r="G1068" t="n">
        <x:v>5</x:v>
      </x:c>
      <x:c r="H1068" t="n">
        <x:v>13</x:v>
      </x:c>
      <x:c r="I1068" t="str">
        <x:v>À qualifier par lieu</x:v>
      </x:c>
      <x:c r="J1068" t="str">
        <x:v>https://github.com/darknigthmare/deadwall-last-enclosure/blob/e28f46223e73105ab2c5d83f3d50b99b58ef53e6/codex-3000/compositions/Habitat collectif/DW-1063.md</x:v>
      </x:c>
      <x:c r="K1068" t="str">
        <x:v>Source min 25,18 m ; max 85,60 m ; modèle 26 × 22 m ; niveaux 0, 1, 2. Détails dans catalogue-existant.json.</x:v>
      </x:c>
    </x:row>
    <x:row r="1069">
      <x:c r="A1069" t="str">
        <x:v>DW-1064</x:v>
      </x:c>
      <x:c r="B1069" t="str">
        <x:v>DW-0032</x:v>
      </x:c>
      <x:c r="C1069" t="str">
        <x:v>Composition héritée</x:v>
      </x:c>
      <x:c r="D1069" t="str">
        <x:v>Habitat collectif</x:v>
      </x:c>
      <x:c r="E1069" t="str">
        <x:v>Caserne reconvertie en logements — Ville moyenne / première récupération passée</x:v>
      </x:c>
      <x:c r="F1069" t="n">
        <x:v>8</x:v>
      </x:c>
      <x:c r="G1069" t="n">
        <x:v>5</x:v>
      </x:c>
      <x:c r="H1069" t="n">
        <x:v>13</x:v>
      </x:c>
      <x:c r="I1069" t="str">
        <x:v>À qualifier par lieu</x:v>
      </x:c>
      <x:c r="J1069" t="str">
        <x:v>https://github.com/darknigthmare/deadwall-last-enclosure/blob/e28f46223e73105ab2c5d83f3d50b99b58ef53e6/codex-3000/compositions/Habitat collectif/DW-1064.md</x:v>
      </x:c>
      <x:c r="K1069" t="str">
        <x:v>Source min 25,18 m ; max 85,60 m ; modèle 26 × 22 m ; niveaux 0, 1, 2. Détails dans catalogue-existant.json.</x:v>
      </x:c>
    </x:row>
    <x:row r="1070">
      <x:c r="A1070" t="str">
        <x:v>DW-1065</x:v>
      </x:c>
      <x:c r="B1070" t="str">
        <x:v>DW-0033</x:v>
      </x:c>
      <x:c r="C1070" t="str">
        <x:v>Composition héritée</x:v>
      </x:c>
      <x:c r="D1070" t="str">
        <x:v>Habitat collectif</x:v>
      </x:c>
      <x:c r="E1070" t="str">
        <x:v>Résidence de tourisme — Quartier collectif / évacuation interrompue</x:v>
      </x:c>
      <x:c r="F1070" t="n">
        <x:v>8</x:v>
      </x:c>
      <x:c r="G1070" t="n">
        <x:v>4</x:v>
      </x:c>
      <x:c r="H1070" t="n">
        <x:v>12</x:v>
      </x:c>
      <x:c r="I1070" t="str">
        <x:v>À qualifier par lieu</x:v>
      </x:c>
      <x:c r="J1070" t="str">
        <x:v>https://github.com/darknigthmare/deadwall-last-enclosure/blob/e28f46223e73105ab2c5d83f3d50b99b58ef53e6/codex-3000/compositions/Habitat collectif/DW-1065.md</x:v>
      </x:c>
      <x:c r="K1070" t="str">
        <x:v>Source min 25,18 m ; max 85,60 m ; modèle 25 × 18 m ; niveaux 0, 1, 2. Détails dans catalogue-existant.json.</x:v>
      </x:c>
    </x:row>
    <x:row r="1071">
      <x:c r="A1071" t="str">
        <x:v>DW-1066</x:v>
      </x:c>
      <x:c r="B1071" t="str">
        <x:v>DW-0033</x:v>
      </x:c>
      <x:c r="C1071" t="str">
        <x:v>Composition héritée</x:v>
      </x:c>
      <x:c r="D1071" t="str">
        <x:v>Habitat collectif</x:v>
      </x:c>
      <x:c r="E1071" t="str">
        <x:v>Résidence de tourisme — Grande ville et métropole / service déplacé à l’arrière</x:v>
      </x:c>
      <x:c r="F1071" t="n">
        <x:v>8</x:v>
      </x:c>
      <x:c r="G1071" t="n">
        <x:v>4</x:v>
      </x:c>
      <x:c r="H1071" t="n">
        <x:v>12</x:v>
      </x:c>
      <x:c r="I1071" t="str">
        <x:v>À qualifier par lieu</x:v>
      </x:c>
      <x:c r="J1071" t="str">
        <x:v>https://github.com/darknigthmare/deadwall-last-enclosure/blob/e28f46223e73105ab2c5d83f3d50b99b58ef53e6/codex-3000/compositions/Habitat collectif/DW-1066.md</x:v>
      </x:c>
      <x:c r="K1071" t="str">
        <x:v>Source min 25,18 m ; max 85,60 m ; modèle 25 × 18 m ; niveaux 0, 1, 2. Détails dans catalogue-existant.json.</x:v>
      </x:c>
    </x:row>
    <x:row r="1072">
      <x:c r="A1072" t="str">
        <x:v>DW-1067</x:v>
      </x:c>
      <x:c r="B1072" t="str">
        <x:v>DW-0034</x:v>
      </x:c>
      <x:c r="C1072" t="str">
        <x:v>Composition héritée</x:v>
      </x:c>
      <x:c r="D1072" t="str">
        <x:v>Habitat collectif</x:v>
      </x:c>
      <x:c r="E1072" t="str">
        <x:v>Immeuble à coursive extérieure — Ville moyenne / arrêt de maintenance</x:v>
      </x:c>
      <x:c r="F1072" t="n">
        <x:v>8</x:v>
      </x:c>
      <x:c r="G1072" t="n">
        <x:v>4</x:v>
      </x:c>
      <x:c r="H1072" t="n">
        <x:v>8</x:v>
      </x:c>
      <x:c r="I1072" t="str">
        <x:v>À qualifier par lieu</x:v>
      </x:c>
      <x:c r="J1072" t="str">
        <x:v>https://github.com/darknigthmare/deadwall-last-enclosure/blob/e28f46223e73105ab2c5d83f3d50b99b58ef53e6/codex-3000/compositions/Habitat collectif/DW-1067.md</x:v>
      </x:c>
      <x:c r="K1072" t="str">
        <x:v>Source min 25,18 m ; max 85,60 m ; modèle 25 × 18 m ; niveaux 0, 1, 2. Détails dans catalogue-existant.json.</x:v>
      </x:c>
    </x:row>
    <x:row r="1073">
      <x:c r="A1073" t="str">
        <x:v>DW-1068</x:v>
      </x:c>
      <x:c r="B1073" t="str">
        <x:v>DW-0034</x:v>
      </x:c>
      <x:c r="C1073" t="str">
        <x:v>Composition héritée</x:v>
      </x:c>
      <x:c r="D1073" t="str">
        <x:v>Habitat collectif</x:v>
      </x:c>
      <x:c r="E1073" t="str">
        <x:v>Immeuble à coursive extérieure — Centre ancien / reprise progressive de la végétation</x:v>
      </x:c>
      <x:c r="F1073" t="n">
        <x:v>8</x:v>
      </x:c>
      <x:c r="G1073" t="n">
        <x:v>4</x:v>
      </x:c>
      <x:c r="H1073" t="n">
        <x:v>8</x:v>
      </x:c>
      <x:c r="I1073" t="str">
        <x:v>À qualifier par lieu</x:v>
      </x:c>
      <x:c r="J1073" t="str">
        <x:v>https://github.com/darknigthmare/deadwall-last-enclosure/blob/e28f46223e73105ab2c5d83f3d50b99b58ef53e6/codex-3000/compositions/Habitat collectif/DW-1068.md</x:v>
      </x:c>
      <x:c r="K1073" t="str">
        <x:v>Source min 25,18 m ; max 85,60 m ; modèle 25 × 18 m ; niveaux 0, 1, 2. Détails dans catalogue-existant.json.</x:v>
      </x:c>
    </x:row>
    <x:row r="1074">
      <x:c r="A1074" t="str">
        <x:v>DW-1069</x:v>
      </x:c>
      <x:c r="B1074" t="str">
        <x:v>DW-0035</x:v>
      </x:c>
      <x:c r="C1074" t="str">
        <x:v>Composition héritée</x:v>
      </x:c>
      <x:c r="D1074" t="str">
        <x:v>Habitat collectif</x:v>
      </x:c>
      <x:c r="E1074" t="str">
        <x:v>Habitat en terrasses — Grande ville et métropole / première récupération passée</x:v>
      </x:c>
      <x:c r="F1074" t="n">
        <x:v>8</x:v>
      </x:c>
      <x:c r="G1074" t="n">
        <x:v>4</x:v>
      </x:c>
      <x:c r="H1074" t="n">
        <x:v>10</x:v>
      </x:c>
      <x:c r="I1074" t="str">
        <x:v>À qualifier par lieu</x:v>
      </x:c>
      <x:c r="J1074" t="str">
        <x:v>https://github.com/darknigthmare/deadwall-last-enclosure/blob/e28f46223e73105ab2c5d83f3d50b99b58ef53e6/codex-3000/compositions/Habitat collectif/DW-1069.md</x:v>
      </x:c>
      <x:c r="K1074" t="str">
        <x:v>Source min 25,18 m ; max 85,60 m ; modèle 25 × 18 m ; niveaux 0, 1, 2. Détails dans catalogue-existant.json.</x:v>
      </x:c>
    </x:row>
    <x:row r="1075">
      <x:c r="A1075" t="str">
        <x:v>DW-1070</x:v>
      </x:c>
      <x:c r="B1075" t="str">
        <x:v>DW-0035</x:v>
      </x:c>
      <x:c r="C1075" t="str">
        <x:v>Composition héritée</x:v>
      </x:c>
      <x:c r="D1075" t="str">
        <x:v>Habitat collectif</x:v>
      </x:c>
      <x:c r="E1075" t="str">
        <x:v>Habitat en terrasses — Quartier collectif / relais temporaire envisagé</x:v>
      </x:c>
      <x:c r="F1075" t="n">
        <x:v>8</x:v>
      </x:c>
      <x:c r="G1075" t="n">
        <x:v>4</x:v>
      </x:c>
      <x:c r="H1075" t="n">
        <x:v>10</x:v>
      </x:c>
      <x:c r="I1075" t="str">
        <x:v>À qualifier par lieu</x:v>
      </x:c>
      <x:c r="J1075" t="str">
        <x:v>https://github.com/darknigthmare/deadwall-last-enclosure/blob/e28f46223e73105ab2c5d83f3d50b99b58ef53e6/codex-3000/compositions/Habitat collectif/DW-1070.md</x:v>
      </x:c>
      <x:c r="K1075" t="str">
        <x:v>Source min 25,18 m ; max 85,60 m ; modèle 25 × 18 m ; niveaux 0, 1, 2. Détails dans catalogue-existant.json.</x:v>
      </x:c>
    </x:row>
    <x:row r="1076">
      <x:c r="A1076" t="str">
        <x:v>DW-1071</x:v>
      </x:c>
      <x:c r="B1076" t="str">
        <x:v>DW-0036</x:v>
      </x:c>
      <x:c r="C1076" t="str">
        <x:v>Composition héritée</x:v>
      </x:c>
      <x:c r="D1076" t="str">
        <x:v>Habitat collectif</x:v>
      </x:c>
      <x:c r="E1076" t="str">
        <x:v>Résidence sur parking souterrain — Centre ancien / service déplacé à l’arrière</x:v>
      </x:c>
      <x:c r="F1076" t="n">
        <x:v>8</x:v>
      </x:c>
      <x:c r="G1076" t="n">
        <x:v>5</x:v>
      </x:c>
      <x:c r="H1076" t="n">
        <x:v>13</x:v>
      </x:c>
      <x:c r="I1076" t="str">
        <x:v>À qualifier par lieu</x:v>
      </x:c>
      <x:c r="J1076" t="str">
        <x:v>https://github.com/darknigthmare/deadwall-last-enclosure/blob/e28f46223e73105ab2c5d83f3d50b99b58ef53e6/codex-3000/compositions/Habitat collectif/DW-1071.md</x:v>
      </x:c>
      <x:c r="K1076" t="str">
        <x:v>Source min 25,18 m ; max 85,60 m ; modèle 26 × 22 m ; niveaux -1, 0. Détails dans catalogue-existant.json.</x:v>
      </x:c>
    </x:row>
    <x:row r="1077">
      <x:c r="A1077" t="str">
        <x:v>DW-1072</x:v>
      </x:c>
      <x:c r="B1077" t="str">
        <x:v>DW-0036</x:v>
      </x:c>
      <x:c r="C1077" t="str">
        <x:v>Composition héritée</x:v>
      </x:c>
      <x:c r="D1077" t="str">
        <x:v>Habitat collectif</x:v>
      </x:c>
      <x:c r="E1077" t="str">
        <x:v>Résidence sur parking souterrain — Ville moyenne / réseau principal coupé</x:v>
      </x:c>
      <x:c r="F1077" t="n">
        <x:v>8</x:v>
      </x:c>
      <x:c r="G1077" t="n">
        <x:v>5</x:v>
      </x:c>
      <x:c r="H1077" t="n">
        <x:v>13</x:v>
      </x:c>
      <x:c r="I1077" t="str">
        <x:v>À qualifier par lieu</x:v>
      </x:c>
      <x:c r="J1077" t="str">
        <x:v>https://github.com/darknigthmare/deadwall-last-enclosure/blob/e28f46223e73105ab2c5d83f3d50b99b58ef53e6/codex-3000/compositions/Habitat collectif/DW-1072.md</x:v>
      </x:c>
      <x:c r="K1077" t="str">
        <x:v>Source min 25,18 m ; max 85,60 m ; modèle 26 × 22 m ; niveaux -1, 0. Détails dans catalogue-existant.json.</x:v>
      </x:c>
    </x:row>
    <x:row r="1078">
      <x:c r="A1078" t="str">
        <x:v>DW-1073</x:v>
      </x:c>
      <x:c r="B1078" t="str">
        <x:v>DW-0037</x:v>
      </x:c>
      <x:c r="C1078" t="str">
        <x:v>Composition héritée</x:v>
      </x:c>
      <x:c r="D1078" t="str">
        <x:v>Habitat collectif</x:v>
      </x:c>
      <x:c r="E1078" t="str">
        <x:v>Foyer parental — Quartier collectif / reprise progressive de la végétation</x:v>
      </x:c>
      <x:c r="F1078" t="n">
        <x:v>8</x:v>
      </x:c>
      <x:c r="G1078" t="n">
        <x:v>5</x:v>
      </x:c>
      <x:c r="H1078" t="n">
        <x:v>15</x:v>
      </x:c>
      <x:c r="I1078" t="str">
        <x:v>À qualifier par lieu</x:v>
      </x:c>
      <x:c r="J1078" t="str">
        <x:v>https://github.com/darknigthmare/deadwall-last-enclosure/blob/e28f46223e73105ab2c5d83f3d50b99b58ef53e6/codex-3000/compositions/Habitat collectif/DW-1073.md</x:v>
      </x:c>
      <x:c r="K1078" t="str">
        <x:v>Source min 25,18 m ; max 85,60 m ; modèle 26 × 22 m ; niveaux 0, 1, 2. Détails dans catalogue-existant.json.</x:v>
      </x:c>
    </x:row>
    <x:row r="1079">
      <x:c r="A1079" t="str">
        <x:v>DW-1074</x:v>
      </x:c>
      <x:c r="B1079" t="str">
        <x:v>DW-0037</x:v>
      </x:c>
      <x:c r="C1079" t="str">
        <x:v>Composition héritée</x:v>
      </x:c>
      <x:c r="D1079" t="str">
        <x:v>Habitat collectif</x:v>
      </x:c>
      <x:c r="E1079" t="str">
        <x:v>Foyer parental — Grande ville et métropole / repli organisé interrompu</x:v>
      </x:c>
      <x:c r="F1079" t="n">
        <x:v>8</x:v>
      </x:c>
      <x:c r="G1079" t="n">
        <x:v>5</x:v>
      </x:c>
      <x:c r="H1079" t="n">
        <x:v>15</x:v>
      </x:c>
      <x:c r="I1079" t="str">
        <x:v>À qualifier par lieu</x:v>
      </x:c>
      <x:c r="J1079" t="str">
        <x:v>https://github.com/darknigthmare/deadwall-last-enclosure/blob/e28f46223e73105ab2c5d83f3d50b99b58ef53e6/codex-3000/compositions/Habitat collectif/DW-1074.md</x:v>
      </x:c>
      <x:c r="K1079" t="str">
        <x:v>Source min 25,18 m ; max 85,60 m ; modèle 26 × 22 m ; niveaux 0, 1, 2. Détails dans catalogue-existant.json.</x:v>
      </x:c>
    </x:row>
    <x:row r="1080">
      <x:c r="A1080" t="str">
        <x:v>DW-1075</x:v>
      </x:c>
      <x:c r="B1080" t="str">
        <x:v>DW-0038</x:v>
      </x:c>
      <x:c r="C1080" t="str">
        <x:v>Composition héritée</x:v>
      </x:c>
      <x:c r="D1080" t="str">
        <x:v>Habitat collectif</x:v>
      </x:c>
      <x:c r="E1080" t="str">
        <x:v>Internat résidentiel — Ville moyenne / relais temporaire envisagé</x:v>
      </x:c>
      <x:c r="F1080" t="n">
        <x:v>8</x:v>
      </x:c>
      <x:c r="G1080" t="n">
        <x:v>4</x:v>
      </x:c>
      <x:c r="H1080" t="n">
        <x:v>12</x:v>
      </x:c>
      <x:c r="I1080" t="str">
        <x:v>À qualifier par lieu</x:v>
      </x:c>
      <x:c r="J1080" t="str">
        <x:v>https://github.com/darknigthmare/deadwall-last-enclosure/blob/e28f46223e73105ab2c5d83f3d50b99b58ef53e6/codex-3000/compositions/Habitat collectif/DW-1075.md</x:v>
      </x:c>
      <x:c r="K1080" t="str">
        <x:v>Source min 25,18 m ; max 85,60 m ; modèle 25 × 18 m ; niveaux 0, 1, 2. Détails dans catalogue-existant.json.</x:v>
      </x:c>
    </x:row>
    <x:row r="1081">
      <x:c r="A1081" t="str">
        <x:v>DW-1076</x:v>
      </x:c>
      <x:c r="B1081" t="str">
        <x:v>DW-0038</x:v>
      </x:c>
      <x:c r="C1081" t="str">
        <x:v>Composition héritée</x:v>
      </x:c>
      <x:c r="D1081" t="str">
        <x:v>Habitat collectif</x:v>
      </x:c>
      <x:c r="E1081" t="str">
        <x:v>Internat résidentiel — Centre ancien / évacuation interrompue</x:v>
      </x:c>
      <x:c r="F1081" t="n">
        <x:v>8</x:v>
      </x:c>
      <x:c r="G1081" t="n">
        <x:v>4</x:v>
      </x:c>
      <x:c r="H1081" t="n">
        <x:v>12</x:v>
      </x:c>
      <x:c r="I1081" t="str">
        <x:v>À qualifier par lieu</x:v>
      </x:c>
      <x:c r="J1081" t="str">
        <x:v>https://github.com/darknigthmare/deadwall-last-enclosure/blob/e28f46223e73105ab2c5d83f3d50b99b58ef53e6/codex-3000/compositions/Habitat collectif/DW-1076.md</x:v>
      </x:c>
      <x:c r="K1081" t="str">
        <x:v>Source min 25,18 m ; max 85,60 m ; modèle 25 × 18 m ; niveaux 0, 1, 2. Détails dans catalogue-existant.json.</x:v>
      </x:c>
    </x:row>
    <x:row r="1082">
      <x:c r="A1082" t="str">
        <x:v>DW-1077</x:v>
      </x:c>
      <x:c r="B1082" t="str">
        <x:v>DW-0039</x:v>
      </x:c>
      <x:c r="C1082" t="str">
        <x:v>Composition héritée</x:v>
      </x:c>
      <x:c r="D1082" t="str">
        <x:v>Habitat collectif</x:v>
      </x:c>
      <x:c r="E1082" t="str">
        <x:v>Résidence médicale légère — Grande ville et métropole / réseau principal coupé</x:v>
      </x:c>
      <x:c r="F1082" t="n">
        <x:v>8</x:v>
      </x:c>
      <x:c r="G1082" t="n">
        <x:v>4</x:v>
      </x:c>
      <x:c r="H1082" t="n">
        <x:v>12</x:v>
      </x:c>
      <x:c r="I1082" t="str">
        <x:v>À qualifier par lieu</x:v>
      </x:c>
      <x:c r="J1082" t="str">
        <x:v>https://github.com/darknigthmare/deadwall-last-enclosure/blob/e28f46223e73105ab2c5d83f3d50b99b58ef53e6/codex-3000/compositions/Habitat collectif/DW-1077.md</x:v>
      </x:c>
      <x:c r="K1082" t="str">
        <x:v>Source min 25,18 m ; max 85,60 m ; modèle 25 × 18 m ; niveaux 0, 1, 2. Détails dans catalogue-existant.json.</x:v>
      </x:c>
    </x:row>
    <x:row r="1083">
      <x:c r="A1083" t="str">
        <x:v>DW-1078</x:v>
      </x:c>
      <x:c r="B1083" t="str">
        <x:v>DW-0039</x:v>
      </x:c>
      <x:c r="C1083" t="str">
        <x:v>Composition héritée</x:v>
      </x:c>
      <x:c r="D1083" t="str">
        <x:v>Habitat collectif</x:v>
      </x:c>
      <x:c r="E1083" t="str">
        <x:v>Résidence médicale légère — Quartier collectif / arrêt de maintenance</x:v>
      </x:c>
      <x:c r="F1083" t="n">
        <x:v>8</x:v>
      </x:c>
      <x:c r="G1083" t="n">
        <x:v>4</x:v>
      </x:c>
      <x:c r="H1083" t="n">
        <x:v>12</x:v>
      </x:c>
      <x:c r="I1083" t="str">
        <x:v>À qualifier par lieu</x:v>
      </x:c>
      <x:c r="J1083" t="str">
        <x:v>https://github.com/darknigthmare/deadwall-last-enclosure/blob/e28f46223e73105ab2c5d83f3d50b99b58ef53e6/codex-3000/compositions/Habitat collectif/DW-1078.md</x:v>
      </x:c>
      <x:c r="K1083" t="str">
        <x:v>Source min 25,18 m ; max 85,60 m ; modèle 25 × 18 m ; niveaux 0, 1, 2. Détails dans catalogue-existant.json.</x:v>
      </x:c>
    </x:row>
    <x:row r="1084">
      <x:c r="A1084" t="str">
        <x:v>DW-1079</x:v>
      </x:c>
      <x:c r="B1084" t="str">
        <x:v>DW-0040</x:v>
      </x:c>
      <x:c r="C1084" t="str">
        <x:v>Composition héritée</x:v>
      </x:c>
      <x:c r="D1084" t="str">
        <x:v>Habitat collectif</x:v>
      </x:c>
      <x:c r="E1084" t="str">
        <x:v>Îlot mixte dense — Centre ancien / repli organisé interrompu</x:v>
      </x:c>
      <x:c r="F1084" t="n">
        <x:v>8</x:v>
      </x:c>
      <x:c r="G1084" t="n">
        <x:v>5</x:v>
      </x:c>
      <x:c r="H1084" t="n">
        <x:v>15</x:v>
      </x:c>
      <x:c r="I1084" t="str">
        <x:v>À qualifier par lieu</x:v>
      </x:c>
      <x:c r="J1084" t="str">
        <x:v>https://github.com/darknigthmare/deadwall-last-enclosure/blob/e28f46223e73105ab2c5d83f3d50b99b58ef53e6/codex-3000/compositions/Habitat collectif/DW-1079.md</x:v>
      </x:c>
      <x:c r="K1084" t="str">
        <x:v>Source min 25,18 m ; max 85,60 m ; modèle 26 × 22 m ; niveaux 0, 1, 2. Détails dans catalogue-existant.json.</x:v>
      </x:c>
    </x:row>
    <x:row r="1085">
      <x:c r="A1085" t="str">
        <x:v>DW-1080</x:v>
      </x:c>
      <x:c r="B1085" t="str">
        <x:v>DW-0040</x:v>
      </x:c>
      <x:c r="C1085" t="str">
        <x:v>Composition héritée</x:v>
      </x:c>
      <x:c r="D1085" t="str">
        <x:v>Habitat collectif</x:v>
      </x:c>
      <x:c r="E1085" t="str">
        <x:v>Îlot mixte dense — Ville moyenne / première récupération passée</x:v>
      </x:c>
      <x:c r="F1085" t="n">
        <x:v>8</x:v>
      </x:c>
      <x:c r="G1085" t="n">
        <x:v>5</x:v>
      </x:c>
      <x:c r="H1085" t="n">
        <x:v>15</x:v>
      </x:c>
      <x:c r="I1085" t="str">
        <x:v>À qualifier par lieu</x:v>
      </x:c>
      <x:c r="J1085" t="str">
        <x:v>https://github.com/darknigthmare/deadwall-last-enclosure/blob/e28f46223e73105ab2c5d83f3d50b99b58ef53e6/codex-3000/compositions/Habitat collectif/DW-1080.md</x:v>
      </x:c>
      <x:c r="K1085" t="str">
        <x:v>Source min 25,18 m ; max 85,60 m ; modèle 26 × 22 m ; niveaux 0, 1, 2. Détails dans catalogue-existant.json.</x:v>
      </x:c>
    </x:row>
    <x:row r="1086">
      <x:c r="A1086" t="str">
        <x:v>DW-1081</x:v>
      </x:c>
      <x:c r="B1086" t="str">
        <x:v>DW-0041</x:v>
      </x:c>
      <x:c r="C1086" t="str">
        <x:v>Composition héritée</x:v>
      </x:c>
      <x:c r="D1086" t="str">
        <x:v>Commerces non alimentaires</x:v>
      </x:c>
      <x:c r="E1086" t="str">
        <x:v>Centre commercial régional — Zone commerciale / évacuation interrompue</x:v>
      </x:c>
      <x:c r="F1086" t="n">
        <x:v>8</x:v>
      </x:c>
      <x:c r="G1086" t="n">
        <x:v>7</x:v>
      </x:c>
      <x:c r="H1086" t="n">
        <x:v>17</x:v>
      </x:c>
      <x:c r="I1086" t="str">
        <x:v>À qualifier par lieu</x:v>
      </x:c>
      <x:c r="J1086" t="str">
        <x:v>https://github.com/darknigthmare/deadwall-last-enclosure/blob/e28f46223e73105ab2c5d83f3d50b99b58ef53e6/codex-3000/compositions/Commerces non alimentaires/DW-1081.md</x:v>
      </x:c>
      <x:c r="K1086" t="str">
        <x:v>Source min 25,20 m ; max 180,120 m ; modèle 29 × 29 m ; niveaux 0, 1. Détails dans catalogue-existant.json.</x:v>
      </x:c>
    </x:row>
    <x:row r="1087">
      <x:c r="A1087" t="str">
        <x:v>DW-1082</x:v>
      </x:c>
      <x:c r="B1087" t="str">
        <x:v>DW-0041</x:v>
      </x:c>
      <x:c r="C1087" t="str">
        <x:v>Composition héritée</x:v>
      </x:c>
      <x:c r="D1087" t="str">
        <x:v>Commerces non alimentaires</x:v>
      </x:c>
      <x:c r="E1087" t="str">
        <x:v>Centre commercial régional — Village et bourg / service déplacé à l’arrière</x:v>
      </x:c>
      <x:c r="F1087" t="n">
        <x:v>8</x:v>
      </x:c>
      <x:c r="G1087" t="n">
        <x:v>7</x:v>
      </x:c>
      <x:c r="H1087" t="n">
        <x:v>17</x:v>
      </x:c>
      <x:c r="I1087" t="str">
        <x:v>À qualifier par lieu</x:v>
      </x:c>
      <x:c r="J1087" t="str">
        <x:v>https://github.com/darknigthmare/deadwall-last-enclosure/blob/e28f46223e73105ab2c5d83f3d50b99b58ef53e6/codex-3000/compositions/Commerces non alimentaires/DW-1082.md</x:v>
      </x:c>
      <x:c r="K1087" t="str">
        <x:v>Source min 25,20 m ; max 180,120 m ; modèle 29 × 29 m ; niveaux 0, 1. Détails dans catalogue-existant.json.</x:v>
      </x:c>
    </x:row>
    <x:row r="1088">
      <x:c r="A1088" t="str">
        <x:v>DW-1083</x:v>
      </x:c>
      <x:c r="B1088" t="str">
        <x:v>DW-0042</x:v>
      </x:c>
      <x:c r="C1088" t="str">
        <x:v>Composition héritée</x:v>
      </x:c>
      <x:c r="D1088" t="str">
        <x:v>Commerces non alimentaires</x:v>
      </x:c>
      <x:c r="E1088" t="str">
        <x:v>Galerie marchande de quartier — Ville moyenne / arrêt de maintenance</x:v>
      </x:c>
      <x:c r="F1088" t="n">
        <x:v>8</x:v>
      </x:c>
      <x:c r="G1088" t="n">
        <x:v>4</x:v>
      </x:c>
      <x:c r="H1088" t="n">
        <x:v>10</x:v>
      </x:c>
      <x:c r="I1088" t="str">
        <x:v>À qualifier par lieu</x:v>
      </x:c>
      <x:c r="J1088" t="str">
        <x:v>https://github.com/darknigthmare/deadwall-last-enclosure/blob/e28f46223e73105ab2c5d83f3d50b99b58ef53e6/codex-3000/compositions/Commerces non alimentaires/DW-1083.md</x:v>
      </x:c>
      <x:c r="K1088" t="str">
        <x:v>Source min 25,20 m ; max 180,120 m ; modèle 25 × 20 m ; niveaux 0. Détails dans catalogue-existant.json.</x:v>
      </x:c>
    </x:row>
    <x:row r="1089">
      <x:c r="A1089" t="str">
        <x:v>DW-1084</x:v>
      </x:c>
      <x:c r="B1089" t="str">
        <x:v>DW-0042</x:v>
      </x:c>
      <x:c r="C1089" t="str">
        <x:v>Composition héritée</x:v>
      </x:c>
      <x:c r="D1089" t="str">
        <x:v>Commerces non alimentaires</x:v>
      </x:c>
      <x:c r="E1089" t="str">
        <x:v>Galerie marchande de quartier — Grande ville et métropole / reprise progressive de la végétation</x:v>
      </x:c>
      <x:c r="F1089" t="n">
        <x:v>8</x:v>
      </x:c>
      <x:c r="G1089" t="n">
        <x:v>4</x:v>
      </x:c>
      <x:c r="H1089" t="n">
        <x:v>10</x:v>
      </x:c>
      <x:c r="I1089" t="str">
        <x:v>À qualifier par lieu</x:v>
      </x:c>
      <x:c r="J1089" t="str">
        <x:v>https://github.com/darknigthmare/deadwall-last-enclosure/blob/e28f46223e73105ab2c5d83f3d50b99b58ef53e6/codex-3000/compositions/Commerces non alimentaires/DW-1084.md</x:v>
      </x:c>
      <x:c r="K1089" t="str">
        <x:v>Source min 25,20 m ; max 180,120 m ; modèle 25 × 20 m ; niveaux 0. Détails dans catalogue-existant.json.</x:v>
      </x:c>
    </x:row>
    <x:row r="1090">
      <x:c r="A1090" t="str">
        <x:v>DW-1085</x:v>
      </x:c>
      <x:c r="B1090" t="str">
        <x:v>DW-0043</x:v>
      </x:c>
      <x:c r="C1090" t="str">
        <x:v>Composition héritée</x:v>
      </x:c>
      <x:c r="D1090" t="str">
        <x:v>Commerces non alimentaires</x:v>
      </x:c>
      <x:c r="E1090" t="str">
        <x:v>Parc commercial ouvert — Village et bourg / première récupération passée</x:v>
      </x:c>
      <x:c r="F1090" t="n">
        <x:v>8</x:v>
      </x:c>
      <x:c r="G1090" t="n">
        <x:v>4</x:v>
      </x:c>
      <x:c r="H1090" t="n">
        <x:v>12</x:v>
      </x:c>
      <x:c r="I1090" t="str">
        <x:v>À qualifier par lieu</x:v>
      </x:c>
      <x:c r="J1090" t="str">
        <x:v>https://github.com/darknigthmare/deadwall-last-enclosure/blob/e28f46223e73105ab2c5d83f3d50b99b58ef53e6/codex-3000/compositions/Commerces non alimentaires/DW-1085.md</x:v>
      </x:c>
      <x:c r="K1090" t="str">
        <x:v>Source min 25,20 m ; max 180,120 m ; modèle 25 × 20 m ; niveaux 0. Détails dans catalogue-existant.json.</x:v>
      </x:c>
    </x:row>
    <x:row r="1091">
      <x:c r="A1091" t="str">
        <x:v>DW-1086</x:v>
      </x:c>
      <x:c r="B1091" t="str">
        <x:v>DW-0043</x:v>
      </x:c>
      <x:c r="C1091" t="str">
        <x:v>Composition héritée</x:v>
      </x:c>
      <x:c r="D1091" t="str">
        <x:v>Commerces non alimentaires</x:v>
      </x:c>
      <x:c r="E1091" t="str">
        <x:v>Parc commercial ouvert — Zone commerciale / relais temporaire envisagé</x:v>
      </x:c>
      <x:c r="F1091" t="n">
        <x:v>8</x:v>
      </x:c>
      <x:c r="G1091" t="n">
        <x:v>4</x:v>
      </x:c>
      <x:c r="H1091" t="n">
        <x:v>12</x:v>
      </x:c>
      <x:c r="I1091" t="str">
        <x:v>À qualifier par lieu</x:v>
      </x:c>
      <x:c r="J1091" t="str">
        <x:v>https://github.com/darknigthmare/deadwall-last-enclosure/blob/e28f46223e73105ab2c5d83f3d50b99b58ef53e6/codex-3000/compositions/Commerces non alimentaires/DW-1086.md</x:v>
      </x:c>
      <x:c r="K1091" t="str">
        <x:v>Source min 25,20 m ; max 180,120 m ; modèle 25 × 20 m ; niveaux 0. Détails dans catalogue-existant.json.</x:v>
      </x:c>
    </x:row>
    <x:row r="1092">
      <x:c r="A1092" t="str">
        <x:v>DW-1087</x:v>
      </x:c>
      <x:c r="B1092" t="str">
        <x:v>DW-0044</x:v>
      </x:c>
      <x:c r="C1092" t="str">
        <x:v>Composition héritée</x:v>
      </x:c>
      <x:c r="D1092" t="str">
        <x:v>Commerces non alimentaires</x:v>
      </x:c>
      <x:c r="E1092" t="str">
        <x:v>Grand magasin à étages — Grande ville et métropole / service déplacé à l’arrière</x:v>
      </x:c>
      <x:c r="F1092" t="n">
        <x:v>8</x:v>
      </x:c>
      <x:c r="G1092" t="n">
        <x:v>5</x:v>
      </x:c>
      <x:c r="H1092" t="n">
        <x:v>15</x:v>
      </x:c>
      <x:c r="I1092" t="str">
        <x:v>À qualifier par lieu</x:v>
      </x:c>
      <x:c r="J1092" t="str">
        <x:v>https://github.com/darknigthmare/deadwall-last-enclosure/blob/e28f46223e73105ab2c5d83f3d50b99b58ef53e6/codex-3000/compositions/Commerces non alimentaires/DW-1087.md</x:v>
      </x:c>
      <x:c r="K1092" t="str">
        <x:v>Source min 25,20 m ; max 180,120 m ; modèle 26 × 22 m ; niveaux 0, 1, 2. Détails dans catalogue-existant.json.</x:v>
      </x:c>
    </x:row>
    <x:row r="1093">
      <x:c r="A1093" t="str">
        <x:v>DW-1088</x:v>
      </x:c>
      <x:c r="B1093" t="str">
        <x:v>DW-0044</x:v>
      </x:c>
      <x:c r="C1093" t="str">
        <x:v>Composition héritée</x:v>
      </x:c>
      <x:c r="D1093" t="str">
        <x:v>Commerces non alimentaires</x:v>
      </x:c>
      <x:c r="E1093" t="str">
        <x:v>Grand magasin à étages — Ville moyenne / réseau principal coupé</x:v>
      </x:c>
      <x:c r="F1093" t="n">
        <x:v>8</x:v>
      </x:c>
      <x:c r="G1093" t="n">
        <x:v>5</x:v>
      </x:c>
      <x:c r="H1093" t="n">
        <x:v>15</x:v>
      </x:c>
      <x:c r="I1093" t="str">
        <x:v>À qualifier par lieu</x:v>
      </x:c>
      <x:c r="J1093" t="str">
        <x:v>https://github.com/darknigthmare/deadwall-last-enclosure/blob/e28f46223e73105ab2c5d83f3d50b99b58ef53e6/codex-3000/compositions/Commerces non alimentaires/DW-1088.md</x:v>
      </x:c>
      <x:c r="K1093" t="str">
        <x:v>Source min 25,20 m ; max 180,120 m ; modèle 26 × 22 m ; niveaux 0, 1, 2. Détails dans catalogue-existant.json.</x:v>
      </x:c>
    </x:row>
    <x:row r="1094">
      <x:c r="A1094" t="str">
        <x:v>DW-1089</x:v>
      </x:c>
      <x:c r="B1094" t="str">
        <x:v>DW-0045</x:v>
      </x:c>
      <x:c r="C1094" t="str">
        <x:v>Composition héritée</x:v>
      </x:c>
      <x:c r="D1094" t="str">
        <x:v>Commerces non alimentaires</x:v>
      </x:c>
      <x:c r="E1094" t="str">
        <x:v>Magasin de bricolage — Zone commerciale / reprise progressive de la végétation</x:v>
      </x:c>
      <x:c r="F1094" t="n">
        <x:v>8</x:v>
      </x:c>
      <x:c r="G1094" t="n">
        <x:v>5</x:v>
      </x:c>
      <x:c r="H1094" t="n">
        <x:v>15</x:v>
      </x:c>
      <x:c r="I1094" t="str">
        <x:v>À qualifier par lieu</x:v>
      </x:c>
      <x:c r="J1094" t="str">
        <x:v>https://github.com/darknigthmare/deadwall-last-enclosure/blob/e28f46223e73105ab2c5d83f3d50b99b58ef53e6/codex-3000/compositions/Commerces non alimentaires/DW-1089.md</x:v>
      </x:c>
      <x:c r="K1094" t="str">
        <x:v>Source min 25,20 m ; max 180,120 m ; modèle 26 × 22 m ; niveaux 0. Détails dans catalogue-existant.json.</x:v>
      </x:c>
    </x:row>
    <x:row r="1095">
      <x:c r="A1095" t="str">
        <x:v>DW-1090</x:v>
      </x:c>
      <x:c r="B1095" t="str">
        <x:v>DW-0045</x:v>
      </x:c>
      <x:c r="C1095" t="str">
        <x:v>Composition héritée</x:v>
      </x:c>
      <x:c r="D1095" t="str">
        <x:v>Commerces non alimentaires</x:v>
      </x:c>
      <x:c r="E1095" t="str">
        <x:v>Magasin de bricolage — Village et bourg / repli organisé interrompu</x:v>
      </x:c>
      <x:c r="F1095" t="n">
        <x:v>8</x:v>
      </x:c>
      <x:c r="G1095" t="n">
        <x:v>5</x:v>
      </x:c>
      <x:c r="H1095" t="n">
        <x:v>15</x:v>
      </x:c>
      <x:c r="I1095" t="str">
        <x:v>À qualifier par lieu</x:v>
      </x:c>
      <x:c r="J1095" t="str">
        <x:v>https://github.com/darknigthmare/deadwall-last-enclosure/blob/e28f46223e73105ab2c5d83f3d50b99b58ef53e6/codex-3000/compositions/Commerces non alimentaires/DW-1090.md</x:v>
      </x:c>
      <x:c r="K1095" t="str">
        <x:v>Source min 25,20 m ; max 180,120 m ; modèle 26 × 22 m ; niveaux 0. Détails dans catalogue-existant.json.</x:v>
      </x:c>
    </x:row>
    <x:row r="1096">
      <x:c r="A1096" t="str">
        <x:v>DW-1091</x:v>
      </x:c>
      <x:c r="B1096" t="str">
        <x:v>DW-0046</x:v>
      </x:c>
      <x:c r="C1096" t="str">
        <x:v>Composition héritée</x:v>
      </x:c>
      <x:c r="D1096" t="str">
        <x:v>Commerces non alimentaires</x:v>
      </x:c>
      <x:c r="E1096" t="str">
        <x:v>Jardinerie — Ville moyenne / relais temporaire envisagé</x:v>
      </x:c>
      <x:c r="F1096" t="n">
        <x:v>8</x:v>
      </x:c>
      <x:c r="G1096" t="n">
        <x:v>5</x:v>
      </x:c>
      <x:c r="H1096" t="n">
        <x:v>15</x:v>
      </x:c>
      <x:c r="I1096" t="str">
        <x:v>À qualifier par lieu</x:v>
      </x:c>
      <x:c r="J1096" t="str">
        <x:v>https://github.com/darknigthmare/deadwall-last-enclosure/blob/e28f46223e73105ab2c5d83f3d50b99b58ef53e6/codex-3000/compositions/Commerces non alimentaires/DW-1091.md</x:v>
      </x:c>
      <x:c r="K1096" t="str">
        <x:v>Source min 25,20 m ; max 180,120 m ; modèle 26 × 22 m ; niveaux 0. Détails dans catalogue-existant.json.</x:v>
      </x:c>
    </x:row>
    <x:row r="1097">
      <x:c r="A1097" t="str">
        <x:v>DW-1092</x:v>
      </x:c>
      <x:c r="B1097" t="str">
        <x:v>DW-0046</x:v>
      </x:c>
      <x:c r="C1097" t="str">
        <x:v>Composition héritée</x:v>
      </x:c>
      <x:c r="D1097" t="str">
        <x:v>Commerces non alimentaires</x:v>
      </x:c>
      <x:c r="E1097" t="str">
        <x:v>Jardinerie — Grande ville et métropole / évacuation interrompue</x:v>
      </x:c>
      <x:c r="F1097" t="n">
        <x:v>8</x:v>
      </x:c>
      <x:c r="G1097" t="n">
        <x:v>5</x:v>
      </x:c>
      <x:c r="H1097" t="n">
        <x:v>15</x:v>
      </x:c>
      <x:c r="I1097" t="str">
        <x:v>À qualifier par lieu</x:v>
      </x:c>
      <x:c r="J1097" t="str">
        <x:v>https://github.com/darknigthmare/deadwall-last-enclosure/blob/e28f46223e73105ab2c5d83f3d50b99b58ef53e6/codex-3000/compositions/Commerces non alimentaires/DW-1092.md</x:v>
      </x:c>
      <x:c r="K1097" t="str">
        <x:v>Source min 25,20 m ; max 180,120 m ; modèle 26 × 22 m ; niveaux 0. Détails dans catalogue-existant.json.</x:v>
      </x:c>
    </x:row>
    <x:row r="1098">
      <x:c r="A1098" t="str">
        <x:v>DW-1093</x:v>
      </x:c>
      <x:c r="B1098" t="str">
        <x:v>DW-0047</x:v>
      </x:c>
      <x:c r="C1098" t="str">
        <x:v>Composition héritée</x:v>
      </x:c>
      <x:c r="D1098" t="str">
        <x:v>Commerces non alimentaires</x:v>
      </x:c>
      <x:c r="E1098" t="str">
        <x:v>Magasin d'ameublement — Village et bourg / réseau principal coupé</x:v>
      </x:c>
      <x:c r="F1098" t="n">
        <x:v>8</x:v>
      </x:c>
      <x:c r="G1098" t="n">
        <x:v>5</x:v>
      </x:c>
      <x:c r="H1098" t="n">
        <x:v>15</x:v>
      </x:c>
      <x:c r="I1098" t="str">
        <x:v>À qualifier par lieu</x:v>
      </x:c>
      <x:c r="J1098" t="str">
        <x:v>https://github.com/darknigthmare/deadwall-last-enclosure/blob/e28f46223e73105ab2c5d83f3d50b99b58ef53e6/codex-3000/compositions/Commerces non alimentaires/DW-1093.md</x:v>
      </x:c>
      <x:c r="K1098" t="str">
        <x:v>Source min 25,20 m ; max 180,120 m ; modèle 26 × 22 m ; niveaux 0. Détails dans catalogue-existant.json.</x:v>
      </x:c>
    </x:row>
    <x:row r="1099">
      <x:c r="A1099" t="str">
        <x:v>DW-1094</x:v>
      </x:c>
      <x:c r="B1099" t="str">
        <x:v>DW-0047</x:v>
      </x:c>
      <x:c r="C1099" t="str">
        <x:v>Composition héritée</x:v>
      </x:c>
      <x:c r="D1099" t="str">
        <x:v>Commerces non alimentaires</x:v>
      </x:c>
      <x:c r="E1099" t="str">
        <x:v>Magasin d'ameublement — Zone commerciale / arrêt de maintenance</x:v>
      </x:c>
      <x:c r="F1099" t="n">
        <x:v>8</x:v>
      </x:c>
      <x:c r="G1099" t="n">
        <x:v>5</x:v>
      </x:c>
      <x:c r="H1099" t="n">
        <x:v>15</x:v>
      </x:c>
      <x:c r="I1099" t="str">
        <x:v>À qualifier par lieu</x:v>
      </x:c>
      <x:c r="J1099" t="str">
        <x:v>https://github.com/darknigthmare/deadwall-last-enclosure/blob/e28f46223e73105ab2c5d83f3d50b99b58ef53e6/codex-3000/compositions/Commerces non alimentaires/DW-1094.md</x:v>
      </x:c>
      <x:c r="K1099" t="str">
        <x:v>Source min 25,20 m ; max 180,120 m ; modèle 26 × 22 m ; niveaux 0. Détails dans catalogue-existant.json.</x:v>
      </x:c>
    </x:row>
    <x:row r="1100">
      <x:c r="A1100" t="str">
        <x:v>DW-1095</x:v>
      </x:c>
      <x:c r="B1100" t="str">
        <x:v>DW-0048</x:v>
      </x:c>
      <x:c r="C1100" t="str">
        <x:v>Composition héritée</x:v>
      </x:c>
      <x:c r="D1100" t="str">
        <x:v>Commerces non alimentaires</x:v>
      </x:c>
      <x:c r="E1100" t="str">
        <x:v>Magasin d'électroménager — Grande ville et métropole / repli organisé interrompu</x:v>
      </x:c>
      <x:c r="F1100" t="n">
        <x:v>8</x:v>
      </x:c>
      <x:c r="G1100" t="n">
        <x:v>4</x:v>
      </x:c>
      <x:c r="H1100" t="n">
        <x:v>12</x:v>
      </x:c>
      <x:c r="I1100" t="str">
        <x:v>À qualifier par lieu</x:v>
      </x:c>
      <x:c r="J1100" t="str">
        <x:v>https://github.com/darknigthmare/deadwall-last-enclosure/blob/e28f46223e73105ab2c5d83f3d50b99b58ef53e6/codex-3000/compositions/Commerces non alimentaires/DW-1095.md</x:v>
      </x:c>
      <x:c r="K1100" t="str">
        <x:v>Source min 25,20 m ; max 180,120 m ; modèle 25 × 20 m ; niveaux 0. Détails dans catalogue-existant.json.</x:v>
      </x:c>
    </x:row>
    <x:row r="1101">
      <x:c r="A1101" t="str">
        <x:v>DW-1096</x:v>
      </x:c>
      <x:c r="B1101" t="str">
        <x:v>DW-0048</x:v>
      </x:c>
      <x:c r="C1101" t="str">
        <x:v>Composition héritée</x:v>
      </x:c>
      <x:c r="D1101" t="str">
        <x:v>Commerces non alimentaires</x:v>
      </x:c>
      <x:c r="E1101" t="str">
        <x:v>Magasin d'électroménager — Ville moyenne / première récupération passée</x:v>
      </x:c>
      <x:c r="F1101" t="n">
        <x:v>8</x:v>
      </x:c>
      <x:c r="G1101" t="n">
        <x:v>4</x:v>
      </x:c>
      <x:c r="H1101" t="n">
        <x:v>12</x:v>
      </x:c>
      <x:c r="I1101" t="str">
        <x:v>À qualifier par lieu</x:v>
      </x:c>
      <x:c r="J1101" t="str">
        <x:v>https://github.com/darknigthmare/deadwall-last-enclosure/blob/e28f46223e73105ab2c5d83f3d50b99b58ef53e6/codex-3000/compositions/Commerces non alimentaires/DW-1096.md</x:v>
      </x:c>
      <x:c r="K1101" t="str">
        <x:v>Source min 25,20 m ; max 180,120 m ; modèle 25 × 20 m ; niveaux 0. Détails dans catalogue-existant.json.</x:v>
      </x:c>
    </x:row>
    <x:row r="1102">
      <x:c r="A1102" t="str">
        <x:v>DW-1097</x:v>
      </x:c>
      <x:c r="B1102" t="str">
        <x:v>DW-0049</x:v>
      </x:c>
      <x:c r="C1102" t="str">
        <x:v>Composition héritée</x:v>
      </x:c>
      <x:c r="D1102" t="str">
        <x:v>Commerces non alimentaires</x:v>
      </x:c>
      <x:c r="E1102" t="str">
        <x:v>Librairie indépendante — Zone commerciale / évacuation interrompue</x:v>
      </x:c>
      <x:c r="F1102" t="n">
        <x:v>8</x:v>
      </x:c>
      <x:c r="G1102" t="n">
        <x:v>4</x:v>
      </x:c>
      <x:c r="H1102" t="n">
        <x:v>12</x:v>
      </x:c>
      <x:c r="I1102" t="str">
        <x:v>À qualifier par lieu</x:v>
      </x:c>
      <x:c r="J1102" t="str">
        <x:v>https://github.com/darknigthmare/deadwall-last-enclosure/blob/e28f46223e73105ab2c5d83f3d50b99b58ef53e6/codex-3000/compositions/Commerces non alimentaires/DW-1097.md</x:v>
      </x:c>
      <x:c r="K1102" t="str">
        <x:v>Source min 25,20 m ; max 180,120 m ; modèle 25 × 20 m ; niveaux 0. Détails dans catalogue-existant.json.</x:v>
      </x:c>
    </x:row>
    <x:row r="1103">
      <x:c r="A1103" t="str">
        <x:v>DW-1098</x:v>
      </x:c>
      <x:c r="B1103" t="str">
        <x:v>DW-0049</x:v>
      </x:c>
      <x:c r="C1103" t="str">
        <x:v>Composition héritée</x:v>
      </x:c>
      <x:c r="D1103" t="str">
        <x:v>Commerces non alimentaires</x:v>
      </x:c>
      <x:c r="E1103" t="str">
        <x:v>Librairie indépendante — Village et bourg / service déplacé à l’arrière</x:v>
      </x:c>
      <x:c r="F1103" t="n">
        <x:v>8</x:v>
      </x:c>
      <x:c r="G1103" t="n">
        <x:v>4</x:v>
      </x:c>
      <x:c r="H1103" t="n">
        <x:v>12</x:v>
      </x:c>
      <x:c r="I1103" t="str">
        <x:v>À qualifier par lieu</x:v>
      </x:c>
      <x:c r="J1103" t="str">
        <x:v>https://github.com/darknigthmare/deadwall-last-enclosure/blob/e28f46223e73105ab2c5d83f3d50b99b58ef53e6/codex-3000/compositions/Commerces non alimentaires/DW-1098.md</x:v>
      </x:c>
      <x:c r="K1103" t="str">
        <x:v>Source min 25,20 m ; max 180,120 m ; modèle 25 × 20 m ; niveaux 0. Détails dans catalogue-existant.json.</x:v>
      </x:c>
    </x:row>
    <x:row r="1104">
      <x:c r="A1104" t="str">
        <x:v>DW-1099</x:v>
      </x:c>
      <x:c r="B1104" t="str">
        <x:v>DW-0050</x:v>
      </x:c>
      <x:c r="C1104" t="str">
        <x:v>Composition héritée</x:v>
      </x:c>
      <x:c r="D1104" t="str">
        <x:v>Commerces non alimentaires</x:v>
      </x:c>
      <x:c r="E1104" t="str">
        <x:v>Papeterie de gros — Ville moyenne / arrêt de maintenance</x:v>
      </x:c>
      <x:c r="F1104" t="n">
        <x:v>8</x:v>
      </x:c>
      <x:c r="G1104" t="n">
        <x:v>4</x:v>
      </x:c>
      <x:c r="H1104" t="n">
        <x:v>12</x:v>
      </x:c>
      <x:c r="I1104" t="str">
        <x:v>À qualifier par lieu</x:v>
      </x:c>
      <x:c r="J1104" t="str">
        <x:v>https://github.com/darknigthmare/deadwall-last-enclosure/blob/e28f46223e73105ab2c5d83f3d50b99b58ef53e6/codex-3000/compositions/Commerces non alimentaires/DW-1099.md</x:v>
      </x:c>
      <x:c r="K1104" t="str">
        <x:v>Source min 25,20 m ; max 180,120 m ; modèle 25 × 20 m ; niveaux 0. Détails dans catalogue-existant.json.</x:v>
      </x:c>
    </x:row>
    <x:row r="1105">
      <x:c r="A1105" t="str">
        <x:v>DW-1100</x:v>
      </x:c>
      <x:c r="B1105" t="str">
        <x:v>DW-0050</x:v>
      </x:c>
      <x:c r="C1105" t="str">
        <x:v>Composition héritée</x:v>
      </x:c>
      <x:c r="D1105" t="str">
        <x:v>Commerces non alimentaires</x:v>
      </x:c>
      <x:c r="E1105" t="str">
        <x:v>Papeterie de gros — Grande ville et métropole / reprise progressive de la végétation</x:v>
      </x:c>
      <x:c r="F1105" t="n">
        <x:v>8</x:v>
      </x:c>
      <x:c r="G1105" t="n">
        <x:v>4</x:v>
      </x:c>
      <x:c r="H1105" t="n">
        <x:v>12</x:v>
      </x:c>
      <x:c r="I1105" t="str">
        <x:v>À qualifier par lieu</x:v>
      </x:c>
      <x:c r="J1105" t="str">
        <x:v>https://github.com/darknigthmare/deadwall-last-enclosure/blob/e28f46223e73105ab2c5d83f3d50b99b58ef53e6/codex-3000/compositions/Commerces non alimentaires/DW-1100.md</x:v>
      </x:c>
      <x:c r="K1105" t="str">
        <x:v>Source min 25,20 m ; max 180,120 m ; modèle 25 × 20 m ; niveaux 0. Détails dans catalogue-existant.json.</x:v>
      </x:c>
    </x:row>
    <x:row r="1106">
      <x:c r="A1106" t="str">
        <x:v>DW-1101</x:v>
      </x:c>
      <x:c r="B1106" t="str">
        <x:v>DW-0051</x:v>
      </x:c>
      <x:c r="C1106" t="str">
        <x:v>Composition héritée</x:v>
      </x:c>
      <x:c r="D1106" t="str">
        <x:v>Commerces non alimentaires</x:v>
      </x:c>
      <x:c r="E1106" t="str">
        <x:v>Magasin de vêtements — Village et bourg / première récupération passée</x:v>
      </x:c>
      <x:c r="F1106" t="n">
        <x:v>8</x:v>
      </x:c>
      <x:c r="G1106" t="n">
        <x:v>4</x:v>
      </x:c>
      <x:c r="H1106" t="n">
        <x:v>12</x:v>
      </x:c>
      <x:c r="I1106" t="str">
        <x:v>À qualifier par lieu</x:v>
      </x:c>
      <x:c r="J1106" t="str">
        <x:v>https://github.com/darknigthmare/deadwall-last-enclosure/blob/e28f46223e73105ab2c5d83f3d50b99b58ef53e6/codex-3000/compositions/Commerces non alimentaires/DW-1101.md</x:v>
      </x:c>
      <x:c r="K1106" t="str">
        <x:v>Source min 25,20 m ; max 180,120 m ; modèle 25 × 20 m ; niveaux 0. Détails dans catalogue-existant.json.</x:v>
      </x:c>
    </x:row>
    <x:row r="1107">
      <x:c r="A1107" t="str">
        <x:v>DW-1102</x:v>
      </x:c>
      <x:c r="B1107" t="str">
        <x:v>DW-0051</x:v>
      </x:c>
      <x:c r="C1107" t="str">
        <x:v>Composition héritée</x:v>
      </x:c>
      <x:c r="D1107" t="str">
        <x:v>Commerces non alimentaires</x:v>
      </x:c>
      <x:c r="E1107" t="str">
        <x:v>Magasin de vêtements — Zone commerciale / relais temporaire envisagé</x:v>
      </x:c>
      <x:c r="F1107" t="n">
        <x:v>8</x:v>
      </x:c>
      <x:c r="G1107" t="n">
        <x:v>4</x:v>
      </x:c>
      <x:c r="H1107" t="n">
        <x:v>12</x:v>
      </x:c>
      <x:c r="I1107" t="str">
        <x:v>À qualifier par lieu</x:v>
      </x:c>
      <x:c r="J1107" t="str">
        <x:v>https://github.com/darknigthmare/deadwall-last-enclosure/blob/e28f46223e73105ab2c5d83f3d50b99b58ef53e6/codex-3000/compositions/Commerces non alimentaires/DW-1102.md</x:v>
      </x:c>
      <x:c r="K1107" t="str">
        <x:v>Source min 25,20 m ; max 180,120 m ; modèle 25 × 20 m ; niveaux 0. Détails dans catalogue-existant.json.</x:v>
      </x:c>
    </x:row>
    <x:row r="1108">
      <x:c r="A1108" t="str">
        <x:v>DW-1103</x:v>
      </x:c>
      <x:c r="B1108" t="str">
        <x:v>DW-0052</x:v>
      </x:c>
      <x:c r="C1108" t="str">
        <x:v>Composition héritée</x:v>
      </x:c>
      <x:c r="D1108" t="str">
        <x:v>Commerces non alimentaires</x:v>
      </x:c>
      <x:c r="E1108" t="str">
        <x:v>Magasin de sport — Grande ville et métropole / service déplacé à l’arrière</x:v>
      </x:c>
      <x:c r="F1108" t="n">
        <x:v>8</x:v>
      </x:c>
      <x:c r="G1108" t="n">
        <x:v>4</x:v>
      </x:c>
      <x:c r="H1108" t="n">
        <x:v>12</x:v>
      </x:c>
      <x:c r="I1108" t="str">
        <x:v>À qualifier par lieu</x:v>
      </x:c>
      <x:c r="J1108" t="str">
        <x:v>https://github.com/darknigthmare/deadwall-last-enclosure/blob/e28f46223e73105ab2c5d83f3d50b99b58ef53e6/codex-3000/compositions/Commerces non alimentaires/DW-1103.md</x:v>
      </x:c>
      <x:c r="K1108" t="str">
        <x:v>Source min 25,20 m ; max 180,120 m ; modèle 25 × 20 m ; niveaux 0. Détails dans catalogue-existant.json.</x:v>
      </x:c>
    </x:row>
    <x:row r="1109">
      <x:c r="A1109" t="str">
        <x:v>DW-1104</x:v>
      </x:c>
      <x:c r="B1109" t="str">
        <x:v>DW-0052</x:v>
      </x:c>
      <x:c r="C1109" t="str">
        <x:v>Composition héritée</x:v>
      </x:c>
      <x:c r="D1109" t="str">
        <x:v>Commerces non alimentaires</x:v>
      </x:c>
      <x:c r="E1109" t="str">
        <x:v>Magasin de sport — Ville moyenne / réseau principal coupé</x:v>
      </x:c>
      <x:c r="F1109" t="n">
        <x:v>8</x:v>
      </x:c>
      <x:c r="G1109" t="n">
        <x:v>4</x:v>
      </x:c>
      <x:c r="H1109" t="n">
        <x:v>12</x:v>
      </x:c>
      <x:c r="I1109" t="str">
        <x:v>À qualifier par lieu</x:v>
      </x:c>
      <x:c r="J1109" t="str">
        <x:v>https://github.com/darknigthmare/deadwall-last-enclosure/blob/e28f46223e73105ab2c5d83f3d50b99b58ef53e6/codex-3000/compositions/Commerces non alimentaires/DW-1104.md</x:v>
      </x:c>
      <x:c r="K1109" t="str">
        <x:v>Source min 25,20 m ; max 180,120 m ; modèle 25 × 20 m ; niveaux 0. Détails dans catalogue-existant.json.</x:v>
      </x:c>
    </x:row>
    <x:row r="1110">
      <x:c r="A1110" t="str">
        <x:v>DW-1105</x:v>
      </x:c>
      <x:c r="B1110" t="str">
        <x:v>DW-0053</x:v>
      </x:c>
      <x:c r="C1110" t="str">
        <x:v>Composition héritée</x:v>
      </x:c>
      <x:c r="D1110" t="str">
        <x:v>Commerces non alimentaires</x:v>
      </x:c>
      <x:c r="E1110" t="str">
        <x:v>Pharmacie commerciale — Zone commerciale / reprise progressive de la végétation</x:v>
      </x:c>
      <x:c r="F1110" t="n">
        <x:v>8</x:v>
      </x:c>
      <x:c r="G1110" t="n">
        <x:v>4</x:v>
      </x:c>
      <x:c r="H1110" t="n">
        <x:v>12</x:v>
      </x:c>
      <x:c r="I1110" t="str">
        <x:v>À qualifier par lieu</x:v>
      </x:c>
      <x:c r="J1110" t="str">
        <x:v>https://github.com/darknigthmare/deadwall-last-enclosure/blob/e28f46223e73105ab2c5d83f3d50b99b58ef53e6/codex-3000/compositions/Commerces non alimentaires/DW-1105.md</x:v>
      </x:c>
      <x:c r="K1110" t="str">
        <x:v>Source min 25,20 m ; max 180,120 m ; modèle 25 × 20 m ; niveaux 0. Détails dans catalogue-existant.json.</x:v>
      </x:c>
    </x:row>
    <x:row r="1111">
      <x:c r="A1111" t="str">
        <x:v>DW-1106</x:v>
      </x:c>
      <x:c r="B1111" t="str">
        <x:v>DW-0053</x:v>
      </x:c>
      <x:c r="C1111" t="str">
        <x:v>Composition héritée</x:v>
      </x:c>
      <x:c r="D1111" t="str">
        <x:v>Commerces non alimentaires</x:v>
      </x:c>
      <x:c r="E1111" t="str">
        <x:v>Pharmacie commerciale — Village et bourg / repli organisé interrompu</x:v>
      </x:c>
      <x:c r="F1111" t="n">
        <x:v>8</x:v>
      </x:c>
      <x:c r="G1111" t="n">
        <x:v>4</x:v>
      </x:c>
      <x:c r="H1111" t="n">
        <x:v>12</x:v>
      </x:c>
      <x:c r="I1111" t="str">
        <x:v>À qualifier par lieu</x:v>
      </x:c>
      <x:c r="J1111" t="str">
        <x:v>https://github.com/darknigthmare/deadwall-last-enclosure/blob/e28f46223e73105ab2c5d83f3d50b99b58ef53e6/codex-3000/compositions/Commerces non alimentaires/DW-1106.md</x:v>
      </x:c>
      <x:c r="K1111" t="str">
        <x:v>Source min 25,20 m ; max 180,120 m ; modèle 25 × 20 m ; niveaux 0. Détails dans catalogue-existant.json.</x:v>
      </x:c>
    </x:row>
    <x:row r="1112">
      <x:c r="A1112" t="str">
        <x:v>DW-1107</x:v>
      </x:c>
      <x:c r="B1112" t="str">
        <x:v>DW-0054</x:v>
      </x:c>
      <x:c r="C1112" t="str">
        <x:v>Composition héritée</x:v>
      </x:c>
      <x:c r="D1112" t="str">
        <x:v>Commerces non alimentaires</x:v>
      </x:c>
      <x:c r="E1112" t="str">
        <x:v>Animalerie — Ville moyenne / relais temporaire envisagé</x:v>
      </x:c>
      <x:c r="F1112" t="n">
        <x:v>8</x:v>
      </x:c>
      <x:c r="G1112" t="n">
        <x:v>4</x:v>
      </x:c>
      <x:c r="H1112" t="n">
        <x:v>12</x:v>
      </x:c>
      <x:c r="I1112" t="str">
        <x:v>À qualifier par lieu</x:v>
      </x:c>
      <x:c r="J1112" t="str">
        <x:v>https://github.com/darknigthmare/deadwall-last-enclosure/blob/e28f46223e73105ab2c5d83f3d50b99b58ef53e6/codex-3000/compositions/Commerces non alimentaires/DW-1107.md</x:v>
      </x:c>
      <x:c r="K1112" t="str">
        <x:v>Source min 25,20 m ; max 180,120 m ; modèle 25 × 20 m ; niveaux 0. Détails dans catalogue-existant.json.</x:v>
      </x:c>
    </x:row>
    <x:row r="1113">
      <x:c r="A1113" t="str">
        <x:v>DW-1108</x:v>
      </x:c>
      <x:c r="B1113" t="str">
        <x:v>DW-0054</x:v>
      </x:c>
      <x:c r="C1113" t="str">
        <x:v>Composition héritée</x:v>
      </x:c>
      <x:c r="D1113" t="str">
        <x:v>Commerces non alimentaires</x:v>
      </x:c>
      <x:c r="E1113" t="str">
        <x:v>Animalerie — Grande ville et métropole / évacuation interrompue</x:v>
      </x:c>
      <x:c r="F1113" t="n">
        <x:v>8</x:v>
      </x:c>
      <x:c r="G1113" t="n">
        <x:v>4</x:v>
      </x:c>
      <x:c r="H1113" t="n">
        <x:v>12</x:v>
      </x:c>
      <x:c r="I1113" t="str">
        <x:v>À qualifier par lieu</x:v>
      </x:c>
      <x:c r="J1113" t="str">
        <x:v>https://github.com/darknigthmare/deadwall-last-enclosure/blob/e28f46223e73105ab2c5d83f3d50b99b58ef53e6/codex-3000/compositions/Commerces non alimentaires/DW-1108.md</x:v>
      </x:c>
      <x:c r="K1113" t="str">
        <x:v>Source min 25,20 m ; max 180,120 m ; modèle 25 × 20 m ; niveaux 0. Détails dans catalogue-existant.json.</x:v>
      </x:c>
    </x:row>
    <x:row r="1114">
      <x:c r="A1114" t="str">
        <x:v>DW-1109</x:v>
      </x:c>
      <x:c r="B1114" t="str">
        <x:v>DW-0055</x:v>
      </x:c>
      <x:c r="C1114" t="str">
        <x:v>Composition héritée</x:v>
      </x:c>
      <x:c r="D1114" t="str">
        <x:v>Commerces non alimentaires</x:v>
      </x:c>
      <x:c r="E1114" t="str">
        <x:v>Boutique informatique — Village et bourg / réseau principal coupé</x:v>
      </x:c>
      <x:c r="F1114" t="n">
        <x:v>8</x:v>
      </x:c>
      <x:c r="G1114" t="n">
        <x:v>4</x:v>
      </x:c>
      <x:c r="H1114" t="n">
        <x:v>12</x:v>
      </x:c>
      <x:c r="I1114" t="str">
        <x:v>À qualifier par lieu</x:v>
      </x:c>
      <x:c r="J1114" t="str">
        <x:v>https://github.com/darknigthmare/deadwall-last-enclosure/blob/e28f46223e73105ab2c5d83f3d50b99b58ef53e6/codex-3000/compositions/Commerces non alimentaires/DW-1109.md</x:v>
      </x:c>
      <x:c r="K1114" t="str">
        <x:v>Source min 25,20 m ; max 180,120 m ; modèle 25 × 20 m ; niveaux 0. Détails dans catalogue-existant.json.</x:v>
      </x:c>
    </x:row>
    <x:row r="1115">
      <x:c r="A1115" t="str">
        <x:v>DW-1110</x:v>
      </x:c>
      <x:c r="B1115" t="str">
        <x:v>DW-0055</x:v>
      </x:c>
      <x:c r="C1115" t="str">
        <x:v>Composition héritée</x:v>
      </x:c>
      <x:c r="D1115" t="str">
        <x:v>Commerces non alimentaires</x:v>
      </x:c>
      <x:c r="E1115" t="str">
        <x:v>Boutique informatique — Zone commerciale / arrêt de maintenance</x:v>
      </x:c>
      <x:c r="F1115" t="n">
        <x:v>8</x:v>
      </x:c>
      <x:c r="G1115" t="n">
        <x:v>4</x:v>
      </x:c>
      <x:c r="H1115" t="n">
        <x:v>12</x:v>
      </x:c>
      <x:c r="I1115" t="str">
        <x:v>À qualifier par lieu</x:v>
      </x:c>
      <x:c r="J1115" t="str">
        <x:v>https://github.com/darknigthmare/deadwall-last-enclosure/blob/e28f46223e73105ab2c5d83f3d50b99b58ef53e6/codex-3000/compositions/Commerces non alimentaires/DW-1110.md</x:v>
      </x:c>
      <x:c r="K1115" t="str">
        <x:v>Source min 25,20 m ; max 180,120 m ; modèle 25 × 20 m ; niveaux 0. Détails dans catalogue-existant.json.</x:v>
      </x:c>
    </x:row>
    <x:row r="1116">
      <x:c r="A1116" t="str">
        <x:v>DW-1111</x:v>
      </x:c>
      <x:c r="B1116" t="str">
        <x:v>DW-0056</x:v>
      </x:c>
      <x:c r="C1116" t="str">
        <x:v>Composition héritée</x:v>
      </x:c>
      <x:c r="D1116" t="str">
        <x:v>Commerces non alimentaires</x:v>
      </x:c>
      <x:c r="E1116" t="str">
        <x:v>Quincaillerie ancienne — Grande ville et métropole / repli organisé interrompu</x:v>
      </x:c>
      <x:c r="F1116" t="n">
        <x:v>8</x:v>
      </x:c>
      <x:c r="G1116" t="n">
        <x:v>4</x:v>
      </x:c>
      <x:c r="H1116" t="n">
        <x:v>12</x:v>
      </x:c>
      <x:c r="I1116" t="str">
        <x:v>À qualifier par lieu</x:v>
      </x:c>
      <x:c r="J1116" t="str">
        <x:v>https://github.com/darknigthmare/deadwall-last-enclosure/blob/e28f46223e73105ab2c5d83f3d50b99b58ef53e6/codex-3000/compositions/Commerces non alimentaires/DW-1111.md</x:v>
      </x:c>
      <x:c r="K1116" t="str">
        <x:v>Source min 25,20 m ; max 180,120 m ; modèle 25 × 20 m ; niveaux 0. Détails dans catalogue-existant.json.</x:v>
      </x:c>
    </x:row>
    <x:row r="1117">
      <x:c r="A1117" t="str">
        <x:v>DW-1112</x:v>
      </x:c>
      <x:c r="B1117" t="str">
        <x:v>DW-0056</x:v>
      </x:c>
      <x:c r="C1117" t="str">
        <x:v>Composition héritée</x:v>
      </x:c>
      <x:c r="D1117" t="str">
        <x:v>Commerces non alimentaires</x:v>
      </x:c>
      <x:c r="E1117" t="str">
        <x:v>Quincaillerie ancienne — Ville moyenne / première récupération passée</x:v>
      </x:c>
      <x:c r="F1117" t="n">
        <x:v>8</x:v>
      </x:c>
      <x:c r="G1117" t="n">
        <x:v>4</x:v>
      </x:c>
      <x:c r="H1117" t="n">
        <x:v>12</x:v>
      </x:c>
      <x:c r="I1117" t="str">
        <x:v>À qualifier par lieu</x:v>
      </x:c>
      <x:c r="J1117" t="str">
        <x:v>https://github.com/darknigthmare/deadwall-last-enclosure/blob/e28f46223e73105ab2c5d83f3d50b99b58ef53e6/codex-3000/compositions/Commerces non alimentaires/DW-1112.md</x:v>
      </x:c>
      <x:c r="K1117" t="str">
        <x:v>Source min 25,20 m ; max 180,120 m ; modèle 25 × 20 m ; niveaux 0. Détails dans catalogue-existant.json.</x:v>
      </x:c>
    </x:row>
    <x:row r="1118">
      <x:c r="A1118" t="str">
        <x:v>DW-1113</x:v>
      </x:c>
      <x:c r="B1118" t="str">
        <x:v>DW-0057</x:v>
      </x:c>
      <x:c r="C1118" t="str">
        <x:v>Composition héritée</x:v>
      </x:c>
      <x:c r="D1118" t="str">
        <x:v>Commerces non alimentaires</x:v>
      </x:c>
      <x:c r="E1118" t="str">
        <x:v>Magasin de déstockage — Zone commerciale / évacuation interrompue</x:v>
      </x:c>
      <x:c r="F1118" t="n">
        <x:v>8</x:v>
      </x:c>
      <x:c r="G1118" t="n">
        <x:v>4</x:v>
      </x:c>
      <x:c r="H1118" t="n">
        <x:v>12</x:v>
      </x:c>
      <x:c r="I1118" t="str">
        <x:v>À qualifier par lieu</x:v>
      </x:c>
      <x:c r="J1118" t="str">
        <x:v>https://github.com/darknigthmare/deadwall-last-enclosure/blob/e28f46223e73105ab2c5d83f3d50b99b58ef53e6/codex-3000/compositions/Commerces non alimentaires/DW-1113.md</x:v>
      </x:c>
      <x:c r="K1118" t="str">
        <x:v>Source min 25,20 m ; max 180,120 m ; modèle 25 × 20 m ; niveaux 0. Détails dans catalogue-existant.json.</x:v>
      </x:c>
    </x:row>
    <x:row r="1119">
      <x:c r="A1119" t="str">
        <x:v>DW-1114</x:v>
      </x:c>
      <x:c r="B1119" t="str">
        <x:v>DW-0057</x:v>
      </x:c>
      <x:c r="C1119" t="str">
        <x:v>Composition héritée</x:v>
      </x:c>
      <x:c r="D1119" t="str">
        <x:v>Commerces non alimentaires</x:v>
      </x:c>
      <x:c r="E1119" t="str">
        <x:v>Magasin de déstockage — Village et bourg / service déplacé à l’arrière</x:v>
      </x:c>
      <x:c r="F1119" t="n">
        <x:v>8</x:v>
      </x:c>
      <x:c r="G1119" t="n">
        <x:v>4</x:v>
      </x:c>
      <x:c r="H1119" t="n">
        <x:v>12</x:v>
      </x:c>
      <x:c r="I1119" t="str">
        <x:v>À qualifier par lieu</x:v>
      </x:c>
      <x:c r="J1119" t="str">
        <x:v>https://github.com/darknigthmare/deadwall-last-enclosure/blob/e28f46223e73105ab2c5d83f3d50b99b58ef53e6/codex-3000/compositions/Commerces non alimentaires/DW-1114.md</x:v>
      </x:c>
      <x:c r="K1119" t="str">
        <x:v>Source min 25,20 m ; max 180,120 m ; modèle 25 × 20 m ; niveaux 0. Détails dans catalogue-existant.json.</x:v>
      </x:c>
    </x:row>
    <x:row r="1120">
      <x:c r="A1120" t="str">
        <x:v>DW-1115</x:v>
      </x:c>
      <x:c r="B1120" t="str">
        <x:v>DW-0058</x:v>
      </x:c>
      <x:c r="C1120" t="str">
        <x:v>Composition héritée</x:v>
      </x:c>
      <x:c r="D1120" t="str">
        <x:v>Commerces non alimentaires</x:v>
      </x:c>
      <x:c r="E1120" t="str">
        <x:v>Marché couvert — Ville moyenne / arrêt de maintenance</x:v>
      </x:c>
      <x:c r="F1120" t="n">
        <x:v>8</x:v>
      </x:c>
      <x:c r="G1120" t="n">
        <x:v>5</x:v>
      </x:c>
      <x:c r="H1120" t="n">
        <x:v>13</x:v>
      </x:c>
      <x:c r="I1120" t="str">
        <x:v>À qualifier par lieu</x:v>
      </x:c>
      <x:c r="J1120" t="str">
        <x:v>https://github.com/darknigthmare/deadwall-last-enclosure/blob/e28f46223e73105ab2c5d83f3d50b99b58ef53e6/codex-3000/compositions/Commerces non alimentaires/DW-1115.md</x:v>
      </x:c>
      <x:c r="K1120" t="str">
        <x:v>Source min 25,20 m ; max 180,120 m ; modèle 26 × 22 m ; niveaux 0. Détails dans catalogue-existant.json.</x:v>
      </x:c>
    </x:row>
    <x:row r="1121">
      <x:c r="A1121" t="str">
        <x:v>DW-1116</x:v>
      </x:c>
      <x:c r="B1121" t="str">
        <x:v>DW-0058</x:v>
      </x:c>
      <x:c r="C1121" t="str">
        <x:v>Composition héritée</x:v>
      </x:c>
      <x:c r="D1121" t="str">
        <x:v>Commerces non alimentaires</x:v>
      </x:c>
      <x:c r="E1121" t="str">
        <x:v>Marché couvert — Grande ville et métropole / reprise progressive de la végétation</x:v>
      </x:c>
      <x:c r="F1121" t="n">
        <x:v>8</x:v>
      </x:c>
      <x:c r="G1121" t="n">
        <x:v>5</x:v>
      </x:c>
      <x:c r="H1121" t="n">
        <x:v>13</x:v>
      </x:c>
      <x:c r="I1121" t="str">
        <x:v>À qualifier par lieu</x:v>
      </x:c>
      <x:c r="J1121" t="str">
        <x:v>https://github.com/darknigthmare/deadwall-last-enclosure/blob/e28f46223e73105ab2c5d83f3d50b99b58ef53e6/codex-3000/compositions/Commerces non alimentaires/DW-1116.md</x:v>
      </x:c>
      <x:c r="K1121" t="str">
        <x:v>Source min 25,20 m ; max 180,120 m ; modèle 26 × 22 m ; niveaux 0. Détails dans catalogue-existant.json.</x:v>
      </x:c>
    </x:row>
    <x:row r="1122">
      <x:c r="A1122" t="str">
        <x:v>DW-1117</x:v>
      </x:c>
      <x:c r="B1122" t="str">
        <x:v>DW-0059</x:v>
      </x:c>
      <x:c r="C1122" t="str">
        <x:v>Composition héritée</x:v>
      </x:c>
      <x:c r="D1122" t="str">
        <x:v>Commerces non alimentaires</x:v>
      </x:c>
      <x:c r="E1122" t="str">
        <x:v>Négoce de matériaux — Village et bourg / première récupération passée</x:v>
      </x:c>
      <x:c r="F1122" t="n">
        <x:v>8</x:v>
      </x:c>
      <x:c r="G1122" t="n">
        <x:v>4</x:v>
      </x:c>
      <x:c r="H1122" t="n">
        <x:v>12</x:v>
      </x:c>
      <x:c r="I1122" t="str">
        <x:v>À qualifier par lieu</x:v>
      </x:c>
      <x:c r="J1122" t="str">
        <x:v>https://github.com/darknigthmare/deadwall-last-enclosure/blob/e28f46223e73105ab2c5d83f3d50b99b58ef53e6/codex-3000/compositions/Commerces non alimentaires/DW-1117.md</x:v>
      </x:c>
      <x:c r="K1122" t="str">
        <x:v>Source min 25,20 m ; max 180,120 m ; modèle 25 × 20 m ; niveaux 0. Détails dans catalogue-existant.json.</x:v>
      </x:c>
    </x:row>
    <x:row r="1123">
      <x:c r="A1123" t="str">
        <x:v>DW-1118</x:v>
      </x:c>
      <x:c r="B1123" t="str">
        <x:v>DW-0059</x:v>
      </x:c>
      <x:c r="C1123" t="str">
        <x:v>Composition héritée</x:v>
      </x:c>
      <x:c r="D1123" t="str">
        <x:v>Commerces non alimentaires</x:v>
      </x:c>
      <x:c r="E1123" t="str">
        <x:v>Négoce de matériaux — Zone commerciale / relais temporaire envisagé</x:v>
      </x:c>
      <x:c r="F1123" t="n">
        <x:v>8</x:v>
      </x:c>
      <x:c r="G1123" t="n">
        <x:v>4</x:v>
      </x:c>
      <x:c r="H1123" t="n">
        <x:v>12</x:v>
      </x:c>
      <x:c r="I1123" t="str">
        <x:v>À qualifier par lieu</x:v>
      </x:c>
      <x:c r="J1123" t="str">
        <x:v>https://github.com/darknigthmare/deadwall-last-enclosure/blob/e28f46223e73105ab2c5d83f3d50b99b58ef53e6/codex-3000/compositions/Commerces non alimentaires/DW-1118.md</x:v>
      </x:c>
      <x:c r="K1123" t="str">
        <x:v>Source min 25,20 m ; max 180,120 m ; modèle 25 × 20 m ; niveaux 0. Détails dans catalogue-existant.json.</x:v>
      </x:c>
    </x:row>
    <x:row r="1124">
      <x:c r="A1124" t="str">
        <x:v>DW-1119</x:v>
      </x:c>
      <x:c r="B1124" t="str">
        <x:v>DW-0060</x:v>
      </x:c>
      <x:c r="C1124" t="str">
        <x:v>Composition héritée</x:v>
      </x:c>
      <x:c r="D1124" t="str">
        <x:v>Commerces non alimentaires</x:v>
      </x:c>
      <x:c r="E1124" t="str">
        <x:v>Galerie semi-abandonnée — Grande ville et métropole / service déplacé à l’arrière</x:v>
      </x:c>
      <x:c r="F1124" t="n">
        <x:v>8</x:v>
      </x:c>
      <x:c r="G1124" t="n">
        <x:v>4</x:v>
      </x:c>
      <x:c r="H1124" t="n">
        <x:v>10</x:v>
      </x:c>
      <x:c r="I1124" t="str">
        <x:v>À qualifier par lieu</x:v>
      </x:c>
      <x:c r="J1124" t="str">
        <x:v>https://github.com/darknigthmare/deadwall-last-enclosure/blob/e28f46223e73105ab2c5d83f3d50b99b58ef53e6/codex-3000/compositions/Commerces non alimentaires/DW-1119.md</x:v>
      </x:c>
      <x:c r="K1124" t="str">
        <x:v>Source min 25,20 m ; max 180,120 m ; modèle 25 × 20 m ; niveaux 0. Détails dans catalogue-existant.json.</x:v>
      </x:c>
    </x:row>
    <x:row r="1125">
      <x:c r="A1125" t="str">
        <x:v>DW-1120</x:v>
      </x:c>
      <x:c r="B1125" t="str">
        <x:v>DW-0060</x:v>
      </x:c>
      <x:c r="C1125" t="str">
        <x:v>Composition héritée</x:v>
      </x:c>
      <x:c r="D1125" t="str">
        <x:v>Commerces non alimentaires</x:v>
      </x:c>
      <x:c r="E1125" t="str">
        <x:v>Galerie semi-abandonnée — Ville moyenne / réseau principal coupé</x:v>
      </x:c>
      <x:c r="F1125" t="n">
        <x:v>8</x:v>
      </x:c>
      <x:c r="G1125" t="n">
        <x:v>4</x:v>
      </x:c>
      <x:c r="H1125" t="n">
        <x:v>10</x:v>
      </x:c>
      <x:c r="I1125" t="str">
        <x:v>À qualifier par lieu</x:v>
      </x:c>
      <x:c r="J1125" t="str">
        <x:v>https://github.com/darknigthmare/deadwall-last-enclosure/blob/e28f46223e73105ab2c5d83f3d50b99b58ef53e6/codex-3000/compositions/Commerces non alimentaires/DW-1120.md</x:v>
      </x:c>
      <x:c r="K1125" t="str">
        <x:v>Source min 25,20 m ; max 180,120 m ; modèle 25 × 20 m ; niveaux 0. Détails dans catalogue-existant.json.</x:v>
      </x:c>
    </x:row>
    <x:row r="1126">
      <x:c r="A1126" t="str">
        <x:v>DW-1121</x:v>
      </x:c>
      <x:c r="B1126" t="str">
        <x:v>DW-0061</x:v>
      </x:c>
      <x:c r="C1126" t="str">
        <x:v>Composition héritée</x:v>
      </x:c>
      <x:c r="D1126" t="str">
        <x:v>Alimentation et restauration</x:v>
      </x:c>
      <x:c r="E1126" t="str">
        <x:v>Supérette de quartier — Zone commerciale / reprise progressive de la végétation</x:v>
      </x:c>
      <x:c r="F1126" t="n">
        <x:v>8</x:v>
      </x:c>
      <x:c r="G1126" t="n">
        <x:v>4</x:v>
      </x:c>
      <x:c r="H1126" t="n">
        <x:v>12</x:v>
      </x:c>
      <x:c r="I1126" t="str">
        <x:v>À qualifier par lieu</x:v>
      </x:c>
      <x:c r="J1126" t="str">
        <x:v>https://github.com/darknigthmare/deadwall-last-enclosure/blob/e28f46223e73105ab2c5d83f3d50b99b58ef53e6/codex-3000/compositions/Alimentation et restauration/DW-1121.md</x:v>
      </x:c>
      <x:c r="K1126" t="str">
        <x:v>Source min 18,14 m ; max 90,60 m ; modèle 25 × 18 m ; niveaux 0. Détails dans catalogue-existant.json.</x:v>
      </x:c>
    </x:row>
    <x:row r="1127">
      <x:c r="A1127" t="str">
        <x:v>DW-1122</x:v>
      </x:c>
      <x:c r="B1127" t="str">
        <x:v>DW-0061</x:v>
      </x:c>
      <x:c r="C1127" t="str">
        <x:v>Composition héritée</x:v>
      </x:c>
      <x:c r="D1127" t="str">
        <x:v>Alimentation et restauration</x:v>
      </x:c>
      <x:c r="E1127" t="str">
        <x:v>Supérette de quartier — Ville moyenne / repli organisé interrompu</x:v>
      </x:c>
      <x:c r="F1127" t="n">
        <x:v>8</x:v>
      </x:c>
      <x:c r="G1127" t="n">
        <x:v>4</x:v>
      </x:c>
      <x:c r="H1127" t="n">
        <x:v>12</x:v>
      </x:c>
      <x:c r="I1127" t="str">
        <x:v>À qualifier par lieu</x:v>
      </x:c>
      <x:c r="J1127" t="str">
        <x:v>https://github.com/darknigthmare/deadwall-last-enclosure/blob/e28f46223e73105ab2c5d83f3d50b99b58ef53e6/codex-3000/compositions/Alimentation et restauration/DW-1122.md</x:v>
      </x:c>
      <x:c r="K1127" t="str">
        <x:v>Source min 18,14 m ; max 90,60 m ; modèle 25 × 18 m ; niveaux 0. Détails dans catalogue-existant.json.</x:v>
      </x:c>
    </x:row>
    <x:row r="1128">
      <x:c r="A1128" t="str">
        <x:v>DW-1123</x:v>
      </x:c>
      <x:c r="B1128" t="str">
        <x:v>DW-0062</x:v>
      </x:c>
      <x:c r="C1128" t="str">
        <x:v>Composition héritée</x:v>
      </x:c>
      <x:c r="D1128" t="str">
        <x:v>Alimentation et restauration</x:v>
      </x:c>
      <x:c r="E1128" t="str">
        <x:v>Supermarché avec quai — Village et bourg / relais temporaire envisagé</x:v>
      </x:c>
      <x:c r="F1128" t="n">
        <x:v>8</x:v>
      </x:c>
      <x:c r="G1128" t="n">
        <x:v>5</x:v>
      </x:c>
      <x:c r="H1128" t="n">
        <x:v>15</x:v>
      </x:c>
      <x:c r="I1128" t="str">
        <x:v>À qualifier par lieu</x:v>
      </x:c>
      <x:c r="J1128" t="str">
        <x:v>https://github.com/darknigthmare/deadwall-last-enclosure/blob/e28f46223e73105ab2c5d83f3d50b99b58ef53e6/codex-3000/compositions/Alimentation et restauration/DW-1123.md</x:v>
      </x:c>
      <x:c r="K1128" t="str">
        <x:v>Source min 18,14 m ; max 90,60 m ; modèle 26 × 22 m ; niveaux 0. Détails dans catalogue-existant.json.</x:v>
      </x:c>
    </x:row>
    <x:row r="1129">
      <x:c r="A1129" t="str">
        <x:v>DW-1124</x:v>
      </x:c>
      <x:c r="B1129" t="str">
        <x:v>DW-0062</x:v>
      </x:c>
      <x:c r="C1129" t="str">
        <x:v>Composition héritée</x:v>
      </x:c>
      <x:c r="D1129" t="str">
        <x:v>Alimentation et restauration</x:v>
      </x:c>
      <x:c r="E1129" t="str">
        <x:v>Supermarché avec quai — Station-service et aire routière / évacuation interrompue</x:v>
      </x:c>
      <x:c r="F1129" t="n">
        <x:v>8</x:v>
      </x:c>
      <x:c r="G1129" t="n">
        <x:v>5</x:v>
      </x:c>
      <x:c r="H1129" t="n">
        <x:v>15</x:v>
      </x:c>
      <x:c r="I1129" t="str">
        <x:v>À qualifier par lieu</x:v>
      </x:c>
      <x:c r="J1129" t="str">
        <x:v>https://github.com/darknigthmare/deadwall-last-enclosure/blob/e28f46223e73105ab2c5d83f3d50b99b58ef53e6/codex-3000/compositions/Alimentation et restauration/DW-1124.md</x:v>
      </x:c>
      <x:c r="K1129" t="str">
        <x:v>Source min 18,14 m ; max 90,60 m ; modèle 26 × 22 m ; niveaux 0. Détails dans catalogue-existant.json.</x:v>
      </x:c>
    </x:row>
    <x:row r="1130">
      <x:c r="A1130" t="str">
        <x:v>DW-1125</x:v>
      </x:c>
      <x:c r="B1130" t="str">
        <x:v>DW-0063</x:v>
      </x:c>
      <x:c r="C1130" t="str">
        <x:v>Composition héritée</x:v>
      </x:c>
      <x:c r="D1130" t="str">
        <x:v>Alimentation et restauration</x:v>
      </x:c>
      <x:c r="E1130" t="str">
        <x:v>Hypermarché périphérique — Ville moyenne / réseau principal coupé</x:v>
      </x:c>
      <x:c r="F1130" t="n">
        <x:v>8</x:v>
      </x:c>
      <x:c r="G1130" t="n">
        <x:v>5</x:v>
      </x:c>
      <x:c r="H1130" t="n">
        <x:v>13</x:v>
      </x:c>
      <x:c r="I1130" t="str">
        <x:v>À qualifier par lieu</x:v>
      </x:c>
      <x:c r="J1130" t="str">
        <x:v>https://github.com/darknigthmare/deadwall-last-enclosure/blob/e28f46223e73105ab2c5d83f3d50b99b58ef53e6/codex-3000/compositions/Alimentation et restauration/DW-1125.md</x:v>
      </x:c>
      <x:c r="K1130" t="str">
        <x:v>Source min 18,14 m ; max 90,60 m ; modèle 26 × 22 m ; niveaux 0. Détails dans catalogue-existant.json.</x:v>
      </x:c>
    </x:row>
    <x:row r="1131">
      <x:c r="A1131" t="str">
        <x:v>DW-1126</x:v>
      </x:c>
      <x:c r="B1131" t="str">
        <x:v>DW-0063</x:v>
      </x:c>
      <x:c r="C1131" t="str">
        <x:v>Composition héritée</x:v>
      </x:c>
      <x:c r="D1131" t="str">
        <x:v>Alimentation et restauration</x:v>
      </x:c>
      <x:c r="E1131" t="str">
        <x:v>Hypermarché périphérique — Zone commerciale / arrêt de maintenance</x:v>
      </x:c>
      <x:c r="F1131" t="n">
        <x:v>8</x:v>
      </x:c>
      <x:c r="G1131" t="n">
        <x:v>5</x:v>
      </x:c>
      <x:c r="H1131" t="n">
        <x:v>13</x:v>
      </x:c>
      <x:c r="I1131" t="str">
        <x:v>À qualifier par lieu</x:v>
      </x:c>
      <x:c r="J1131" t="str">
        <x:v>https://github.com/darknigthmare/deadwall-last-enclosure/blob/e28f46223e73105ab2c5d83f3d50b99b58ef53e6/codex-3000/compositions/Alimentation et restauration/DW-1126.md</x:v>
      </x:c>
      <x:c r="K1131" t="str">
        <x:v>Source min 18,14 m ; max 90,60 m ; modèle 26 × 22 m ; niveaux 0. Détails dans catalogue-existant.json.</x:v>
      </x:c>
    </x:row>
    <x:row r="1132">
      <x:c r="A1132" t="str">
        <x:v>DW-1127</x:v>
      </x:c>
      <x:c r="B1132" t="str">
        <x:v>DW-0064</x:v>
      </x:c>
      <x:c r="C1132" t="str">
        <x:v>Composition héritée</x:v>
      </x:c>
      <x:c r="D1132" t="str">
        <x:v>Alimentation et restauration</x:v>
      </x:c>
      <x:c r="E1132" t="str">
        <x:v>Épicerie rurale — Station-service et aire routière / repli organisé interrompu</x:v>
      </x:c>
      <x:c r="F1132" t="n">
        <x:v>8</x:v>
      </x:c>
      <x:c r="G1132" t="n">
        <x:v>4</x:v>
      </x:c>
      <x:c r="H1132" t="n">
        <x:v>12</x:v>
      </x:c>
      <x:c r="I1132" t="str">
        <x:v>À qualifier par lieu</x:v>
      </x:c>
      <x:c r="J1132" t="str">
        <x:v>https://github.com/darknigthmare/deadwall-last-enclosure/blob/e28f46223e73105ab2c5d83f3d50b99b58ef53e6/codex-3000/compositions/Alimentation et restauration/DW-1127.md</x:v>
      </x:c>
      <x:c r="K1132" t="str">
        <x:v>Source min 18,14 m ; max 90,60 m ; modèle 25 × 18 m ; niveaux 0. Détails dans catalogue-existant.json.</x:v>
      </x:c>
    </x:row>
    <x:row r="1133">
      <x:c r="A1133" t="str">
        <x:v>DW-1128</x:v>
      </x:c>
      <x:c r="B1133" t="str">
        <x:v>DW-0064</x:v>
      </x:c>
      <x:c r="C1133" t="str">
        <x:v>Composition héritée</x:v>
      </x:c>
      <x:c r="D1133" t="str">
        <x:v>Alimentation et restauration</x:v>
      </x:c>
      <x:c r="E1133" t="str">
        <x:v>Épicerie rurale — Village et bourg / première récupération passée</x:v>
      </x:c>
      <x:c r="F1133" t="n">
        <x:v>8</x:v>
      </x:c>
      <x:c r="G1133" t="n">
        <x:v>4</x:v>
      </x:c>
      <x:c r="H1133" t="n">
        <x:v>12</x:v>
      </x:c>
      <x:c r="I1133" t="str">
        <x:v>À qualifier par lieu</x:v>
      </x:c>
      <x:c r="J1133" t="str">
        <x:v>https://github.com/darknigthmare/deadwall-last-enclosure/blob/e28f46223e73105ab2c5d83f3d50b99b58ef53e6/codex-3000/compositions/Alimentation et restauration/DW-1128.md</x:v>
      </x:c>
      <x:c r="K1133" t="str">
        <x:v>Source min 18,14 m ; max 90,60 m ; modèle 25 × 18 m ; niveaux 0. Détails dans catalogue-existant.json.</x:v>
      </x:c>
    </x:row>
    <x:row r="1134">
      <x:c r="A1134" t="str">
        <x:v>DW-1129</x:v>
      </x:c>
      <x:c r="B1134" t="str">
        <x:v>DW-0065</x:v>
      </x:c>
      <x:c r="C1134" t="str">
        <x:v>Composition héritée</x:v>
      </x:c>
      <x:c r="D1134" t="str">
        <x:v>Alimentation et restauration</x:v>
      </x:c>
      <x:c r="E1134" t="str">
        <x:v>Boulangerie artisanale — Zone commerciale / évacuation interrompue</x:v>
      </x:c>
      <x:c r="F1134" t="n">
        <x:v>8</x:v>
      </x:c>
      <x:c r="G1134" t="n">
        <x:v>4</x:v>
      </x:c>
      <x:c r="H1134" t="n">
        <x:v>12</x:v>
      </x:c>
      <x:c r="I1134" t="str">
        <x:v>À qualifier par lieu</x:v>
      </x:c>
      <x:c r="J1134" t="str">
        <x:v>https://github.com/darknigthmare/deadwall-last-enclosure/blob/e28f46223e73105ab2c5d83f3d50b99b58ef53e6/codex-3000/compositions/Alimentation et restauration/DW-1129.md</x:v>
      </x:c>
      <x:c r="K1134" t="str">
        <x:v>Source min 18,14 m ; max 90,60 m ; modèle 25 × 18 m ; niveaux 0. Détails dans catalogue-existant.json.</x:v>
      </x:c>
    </x:row>
    <x:row r="1135">
      <x:c r="A1135" t="str">
        <x:v>DW-1130</x:v>
      </x:c>
      <x:c r="B1135" t="str">
        <x:v>DW-0065</x:v>
      </x:c>
      <x:c r="C1135" t="str">
        <x:v>Composition héritée</x:v>
      </x:c>
      <x:c r="D1135" t="str">
        <x:v>Alimentation et restauration</x:v>
      </x:c>
      <x:c r="E1135" t="str">
        <x:v>Boulangerie artisanale — Ville moyenne / service déplacé à l’arrière</x:v>
      </x:c>
      <x:c r="F1135" t="n">
        <x:v>8</x:v>
      </x:c>
      <x:c r="G1135" t="n">
        <x:v>4</x:v>
      </x:c>
      <x:c r="H1135" t="n">
        <x:v>12</x:v>
      </x:c>
      <x:c r="I1135" t="str">
        <x:v>À qualifier par lieu</x:v>
      </x:c>
      <x:c r="J1135" t="str">
        <x:v>https://github.com/darknigthmare/deadwall-last-enclosure/blob/e28f46223e73105ab2c5d83f3d50b99b58ef53e6/codex-3000/compositions/Alimentation et restauration/DW-1130.md</x:v>
      </x:c>
      <x:c r="K1135" t="str">
        <x:v>Source min 18,14 m ; max 90,60 m ; modèle 25 × 18 m ; niveaux 0. Détails dans catalogue-existant.json.</x:v>
      </x:c>
    </x:row>
    <x:row r="1136">
      <x:c r="A1136" t="str">
        <x:v>DW-1131</x:v>
      </x:c>
      <x:c r="B1136" t="str">
        <x:v>DW-0066</x:v>
      </x:c>
      <x:c r="C1136" t="str">
        <x:v>Composition héritée</x:v>
      </x:c>
      <x:c r="D1136" t="str">
        <x:v>Alimentation et restauration</x:v>
      </x:c>
      <x:c r="E1136" t="str">
        <x:v>Boucherie — Village et bourg / arrêt de maintenance</x:v>
      </x:c>
      <x:c r="F1136" t="n">
        <x:v>8</x:v>
      </x:c>
      <x:c r="G1136" t="n">
        <x:v>4</x:v>
      </x:c>
      <x:c r="H1136" t="n">
        <x:v>12</x:v>
      </x:c>
      <x:c r="I1136" t="str">
        <x:v>À qualifier par lieu</x:v>
      </x:c>
      <x:c r="J1136" t="str">
        <x:v>https://github.com/darknigthmare/deadwall-last-enclosure/blob/e28f46223e73105ab2c5d83f3d50b99b58ef53e6/codex-3000/compositions/Alimentation et restauration/DW-1131.md</x:v>
      </x:c>
      <x:c r="K1136" t="str">
        <x:v>Source min 18,14 m ; max 90,60 m ; modèle 25 × 18 m ; niveaux 0. Détails dans catalogue-existant.json.</x:v>
      </x:c>
    </x:row>
    <x:row r="1137">
      <x:c r="A1137" t="str">
        <x:v>DW-1132</x:v>
      </x:c>
      <x:c r="B1137" t="str">
        <x:v>DW-0066</x:v>
      </x:c>
      <x:c r="C1137" t="str">
        <x:v>Composition héritée</x:v>
      </x:c>
      <x:c r="D1137" t="str">
        <x:v>Alimentation et restauration</x:v>
      </x:c>
      <x:c r="E1137" t="str">
        <x:v>Boucherie — Station-service et aire routière / reprise progressive de la végétation</x:v>
      </x:c>
      <x:c r="F1137" t="n">
        <x:v>8</x:v>
      </x:c>
      <x:c r="G1137" t="n">
        <x:v>4</x:v>
      </x:c>
      <x:c r="H1137" t="n">
        <x:v>12</x:v>
      </x:c>
      <x:c r="I1137" t="str">
        <x:v>À qualifier par lieu</x:v>
      </x:c>
      <x:c r="J1137" t="str">
        <x:v>https://github.com/darknigthmare/deadwall-last-enclosure/blob/e28f46223e73105ab2c5d83f3d50b99b58ef53e6/codex-3000/compositions/Alimentation et restauration/DW-1132.md</x:v>
      </x:c>
      <x:c r="K1137" t="str">
        <x:v>Source min 18,14 m ; max 90,60 m ; modèle 25 × 18 m ; niveaux 0. Détails dans catalogue-existant.json.</x:v>
      </x:c>
    </x:row>
    <x:row r="1138">
      <x:c r="A1138" t="str">
        <x:v>DW-1133</x:v>
      </x:c>
      <x:c r="B1138" t="str">
        <x:v>DW-0067</x:v>
      </x:c>
      <x:c r="C1138" t="str">
        <x:v>Composition héritée</x:v>
      </x:c>
      <x:c r="D1138" t="str">
        <x:v>Alimentation et restauration</x:v>
      </x:c>
      <x:c r="E1138" t="str">
        <x:v>Poissonnerie — Ville moyenne / première récupération passée</x:v>
      </x:c>
      <x:c r="F1138" t="n">
        <x:v>8</x:v>
      </x:c>
      <x:c r="G1138" t="n">
        <x:v>4</x:v>
      </x:c>
      <x:c r="H1138" t="n">
        <x:v>12</x:v>
      </x:c>
      <x:c r="I1138" t="str">
        <x:v>À qualifier par lieu</x:v>
      </x:c>
      <x:c r="J1138" t="str">
        <x:v>https://github.com/darknigthmare/deadwall-last-enclosure/blob/e28f46223e73105ab2c5d83f3d50b99b58ef53e6/codex-3000/compositions/Alimentation et restauration/DW-1133.md</x:v>
      </x:c>
      <x:c r="K1138" t="str">
        <x:v>Source min 18,14 m ; max 90,60 m ; modèle 25 × 18 m ; niveaux 0. Détails dans catalogue-existant.json.</x:v>
      </x:c>
    </x:row>
    <x:row r="1139">
      <x:c r="A1139" t="str">
        <x:v>DW-1134</x:v>
      </x:c>
      <x:c r="B1139" t="str">
        <x:v>DW-0067</x:v>
      </x:c>
      <x:c r="C1139" t="str">
        <x:v>Composition héritée</x:v>
      </x:c>
      <x:c r="D1139" t="str">
        <x:v>Alimentation et restauration</x:v>
      </x:c>
      <x:c r="E1139" t="str">
        <x:v>Poissonnerie — Zone commerciale / relais temporaire envisagé</x:v>
      </x:c>
      <x:c r="F1139" t="n">
        <x:v>8</x:v>
      </x:c>
      <x:c r="G1139" t="n">
        <x:v>4</x:v>
      </x:c>
      <x:c r="H1139" t="n">
        <x:v>12</x:v>
      </x:c>
      <x:c r="I1139" t="str">
        <x:v>À qualifier par lieu</x:v>
      </x:c>
      <x:c r="J1139" t="str">
        <x:v>https://github.com/darknigthmare/deadwall-last-enclosure/blob/e28f46223e73105ab2c5d83f3d50b99b58ef53e6/codex-3000/compositions/Alimentation et restauration/DW-1134.md</x:v>
      </x:c>
      <x:c r="K1139" t="str">
        <x:v>Source min 18,14 m ; max 90,60 m ; modèle 25 × 18 m ; niveaux 0. Détails dans catalogue-existant.json.</x:v>
      </x:c>
    </x:row>
    <x:row r="1140">
      <x:c r="A1140" t="str">
        <x:v>DW-1135</x:v>
      </x:c>
      <x:c r="B1140" t="str">
        <x:v>DW-0068</x:v>
      </x:c>
      <x:c r="C1140" t="str">
        <x:v>Composition héritée</x:v>
      </x:c>
      <x:c r="D1140" t="str">
        <x:v>Alimentation et restauration</x:v>
      </x:c>
      <x:c r="E1140" t="str">
        <x:v>Primeur — Station-service et aire routière / service déplacé à l’arrière</x:v>
      </x:c>
      <x:c r="F1140" t="n">
        <x:v>8</x:v>
      </x:c>
      <x:c r="G1140" t="n">
        <x:v>4</x:v>
      </x:c>
      <x:c r="H1140" t="n">
        <x:v>12</x:v>
      </x:c>
      <x:c r="I1140" t="str">
        <x:v>À qualifier par lieu</x:v>
      </x:c>
      <x:c r="J1140" t="str">
        <x:v>https://github.com/darknigthmare/deadwall-last-enclosure/blob/e28f46223e73105ab2c5d83f3d50b99b58ef53e6/codex-3000/compositions/Alimentation et restauration/DW-1135.md</x:v>
      </x:c>
      <x:c r="K1140" t="str">
        <x:v>Source min 18,14 m ; max 90,60 m ; modèle 25 × 18 m ; niveaux 0. Détails dans catalogue-existant.json.</x:v>
      </x:c>
    </x:row>
    <x:row r="1141">
      <x:c r="A1141" t="str">
        <x:v>DW-1136</x:v>
      </x:c>
      <x:c r="B1141" t="str">
        <x:v>DW-0068</x:v>
      </x:c>
      <x:c r="C1141" t="str">
        <x:v>Composition héritée</x:v>
      </x:c>
      <x:c r="D1141" t="str">
        <x:v>Alimentation et restauration</x:v>
      </x:c>
      <x:c r="E1141" t="str">
        <x:v>Primeur — Village et bourg / réseau principal coupé</x:v>
      </x:c>
      <x:c r="F1141" t="n">
        <x:v>8</x:v>
      </x:c>
      <x:c r="G1141" t="n">
        <x:v>4</x:v>
      </x:c>
      <x:c r="H1141" t="n">
        <x:v>12</x:v>
      </x:c>
      <x:c r="I1141" t="str">
        <x:v>À qualifier par lieu</x:v>
      </x:c>
      <x:c r="J1141" t="str">
        <x:v>https://github.com/darknigthmare/deadwall-last-enclosure/blob/e28f46223e73105ab2c5d83f3d50b99b58ef53e6/codex-3000/compositions/Alimentation et restauration/DW-1136.md</x:v>
      </x:c>
      <x:c r="K1141" t="str">
        <x:v>Source min 18,14 m ; max 90,60 m ; modèle 25 × 18 m ; niveaux 0. Détails dans catalogue-existant.json.</x:v>
      </x:c>
    </x:row>
    <x:row r="1142">
      <x:c r="A1142" t="str">
        <x:v>DW-1137</x:v>
      </x:c>
      <x:c r="B1142" t="str">
        <x:v>DW-0069</x:v>
      </x:c>
      <x:c r="C1142" t="str">
        <x:v>Composition héritée</x:v>
      </x:c>
      <x:c r="D1142" t="str">
        <x:v>Alimentation et restauration</x:v>
      </x:c>
      <x:c r="E1142" t="str">
        <x:v>Restaurant routier — Zone commerciale / reprise progressive de la végétation</x:v>
      </x:c>
      <x:c r="F1142" t="n">
        <x:v>8</x:v>
      </x:c>
      <x:c r="G1142" t="n">
        <x:v>5</x:v>
      </x:c>
      <x:c r="H1142" t="n">
        <x:v>15</x:v>
      </x:c>
      <x:c r="I1142" t="str">
        <x:v>À qualifier par lieu</x:v>
      </x:c>
      <x:c r="J1142" t="str">
        <x:v>https://github.com/darknigthmare/deadwall-last-enclosure/blob/e28f46223e73105ab2c5d83f3d50b99b58ef53e6/codex-3000/compositions/Alimentation et restauration/DW-1137.md</x:v>
      </x:c>
      <x:c r="K1142" t="str">
        <x:v>Source min 18,14 m ; max 90,60 m ; modèle 26 × 22 m ; niveaux 0. Détails dans catalogue-existant.json.</x:v>
      </x:c>
    </x:row>
    <x:row r="1143">
      <x:c r="A1143" t="str">
        <x:v>DW-1138</x:v>
      </x:c>
      <x:c r="B1143" t="str">
        <x:v>DW-0069</x:v>
      </x:c>
      <x:c r="C1143" t="str">
        <x:v>Composition héritée</x:v>
      </x:c>
      <x:c r="D1143" t="str">
        <x:v>Alimentation et restauration</x:v>
      </x:c>
      <x:c r="E1143" t="str">
        <x:v>Restaurant routier — Ville moyenne / repli organisé interrompu</x:v>
      </x:c>
      <x:c r="F1143" t="n">
        <x:v>8</x:v>
      </x:c>
      <x:c r="G1143" t="n">
        <x:v>5</x:v>
      </x:c>
      <x:c r="H1143" t="n">
        <x:v>15</x:v>
      </x:c>
      <x:c r="I1143" t="str">
        <x:v>À qualifier par lieu</x:v>
      </x:c>
      <x:c r="J1143" t="str">
        <x:v>https://github.com/darknigthmare/deadwall-last-enclosure/blob/e28f46223e73105ab2c5d83f3d50b99b58ef53e6/codex-3000/compositions/Alimentation et restauration/DW-1138.md</x:v>
      </x:c>
      <x:c r="K1143" t="str">
        <x:v>Source min 18,14 m ; max 90,60 m ; modèle 26 × 22 m ; niveaux 0. Détails dans catalogue-existant.json.</x:v>
      </x:c>
    </x:row>
    <x:row r="1144">
      <x:c r="A1144" t="str">
        <x:v>DW-1139</x:v>
      </x:c>
      <x:c r="B1144" t="str">
        <x:v>DW-0070</x:v>
      </x:c>
      <x:c r="C1144" t="str">
        <x:v>Composition héritée</x:v>
      </x:c>
      <x:c r="D1144" t="str">
        <x:v>Alimentation et restauration</x:v>
      </x:c>
      <x:c r="E1144" t="str">
        <x:v>Restaurant de centre-ville — Village et bourg / relais temporaire envisagé</x:v>
      </x:c>
      <x:c r="F1144" t="n">
        <x:v>8</x:v>
      </x:c>
      <x:c r="G1144" t="n">
        <x:v>5</x:v>
      </x:c>
      <x:c r="H1144" t="n">
        <x:v>15</x:v>
      </x:c>
      <x:c r="I1144" t="str">
        <x:v>À qualifier par lieu</x:v>
      </x:c>
      <x:c r="J1144" t="str">
        <x:v>https://github.com/darknigthmare/deadwall-last-enclosure/blob/e28f46223e73105ab2c5d83f3d50b99b58ef53e6/codex-3000/compositions/Alimentation et restauration/DW-1139.md</x:v>
      </x:c>
      <x:c r="K1144" t="str">
        <x:v>Source min 18,14 m ; max 90,60 m ; modèle 26 × 22 m ; niveaux 0. Détails dans catalogue-existant.json.</x:v>
      </x:c>
    </x:row>
    <x:row r="1145">
      <x:c r="A1145" t="str">
        <x:v>DW-1140</x:v>
      </x:c>
      <x:c r="B1145" t="str">
        <x:v>DW-0070</x:v>
      </x:c>
      <x:c r="C1145" t="str">
        <x:v>Composition héritée</x:v>
      </x:c>
      <x:c r="D1145" t="str">
        <x:v>Alimentation et restauration</x:v>
      </x:c>
      <x:c r="E1145" t="str">
        <x:v>Restaurant de centre-ville — Station-service et aire routière / évacuation interrompue</x:v>
      </x:c>
      <x:c r="F1145" t="n">
        <x:v>8</x:v>
      </x:c>
      <x:c r="G1145" t="n">
        <x:v>5</x:v>
      </x:c>
      <x:c r="H1145" t="n">
        <x:v>15</x:v>
      </x:c>
      <x:c r="I1145" t="str">
        <x:v>À qualifier par lieu</x:v>
      </x:c>
      <x:c r="J1145" t="str">
        <x:v>https://github.com/darknigthmare/deadwall-last-enclosure/blob/e28f46223e73105ab2c5d83f3d50b99b58ef53e6/codex-3000/compositions/Alimentation et restauration/DW-1140.md</x:v>
      </x:c>
      <x:c r="K1145" t="str">
        <x:v>Source min 18,14 m ; max 90,60 m ; modèle 26 × 22 m ; niveaux 0. Détails dans catalogue-existant.json.</x:v>
      </x:c>
    </x:row>
    <x:row r="1146">
      <x:c r="A1146" t="str">
        <x:v>DW-1141</x:v>
      </x:c>
      <x:c r="B1146" t="str">
        <x:v>DW-0071</x:v>
      </x:c>
      <x:c r="C1146" t="str">
        <x:v>Composition héritée</x:v>
      </x:c>
      <x:c r="D1146" t="str">
        <x:v>Alimentation et restauration</x:v>
      </x:c>
      <x:c r="E1146" t="str">
        <x:v>Restauration rapide avec drive — Ville moyenne / réseau principal coupé</x:v>
      </x:c>
      <x:c r="F1146" t="n">
        <x:v>8</x:v>
      </x:c>
      <x:c r="G1146" t="n">
        <x:v>5</x:v>
      </x:c>
      <x:c r="H1146" t="n">
        <x:v>15</x:v>
      </x:c>
      <x:c r="I1146" t="str">
        <x:v>À qualifier par lieu</x:v>
      </x:c>
      <x:c r="J1146" t="str">
        <x:v>https://github.com/darknigthmare/deadwall-last-enclosure/blob/e28f46223e73105ab2c5d83f3d50b99b58ef53e6/codex-3000/compositions/Alimentation et restauration/DW-1141.md</x:v>
      </x:c>
      <x:c r="K1146" t="str">
        <x:v>Source min 18,14 m ; max 90,60 m ; modèle 26 × 22 m ; niveaux 0. Détails dans catalogue-existant.json.</x:v>
      </x:c>
    </x:row>
    <x:row r="1147">
      <x:c r="A1147" t="str">
        <x:v>DW-1142</x:v>
      </x:c>
      <x:c r="B1147" t="str">
        <x:v>DW-0071</x:v>
      </x:c>
      <x:c r="C1147" t="str">
        <x:v>Composition héritée</x:v>
      </x:c>
      <x:c r="D1147" t="str">
        <x:v>Alimentation et restauration</x:v>
      </x:c>
      <x:c r="E1147" t="str">
        <x:v>Restauration rapide avec drive — Zone commerciale / arrêt de maintenance</x:v>
      </x:c>
      <x:c r="F1147" t="n">
        <x:v>8</x:v>
      </x:c>
      <x:c r="G1147" t="n">
        <x:v>5</x:v>
      </x:c>
      <x:c r="H1147" t="n">
        <x:v>15</x:v>
      </x:c>
      <x:c r="I1147" t="str">
        <x:v>À qualifier par lieu</x:v>
      </x:c>
      <x:c r="J1147" t="str">
        <x:v>https://github.com/darknigthmare/deadwall-last-enclosure/blob/e28f46223e73105ab2c5d83f3d50b99b58ef53e6/codex-3000/compositions/Alimentation et restauration/DW-1142.md</x:v>
      </x:c>
      <x:c r="K1147" t="str">
        <x:v>Source min 18,14 m ; max 90,60 m ; modèle 26 × 22 m ; niveaux 0. Détails dans catalogue-existant.json.</x:v>
      </x:c>
    </x:row>
    <x:row r="1148">
      <x:c r="A1148" t="str">
        <x:v>DW-1143</x:v>
      </x:c>
      <x:c r="B1148" t="str">
        <x:v>DW-0072</x:v>
      </x:c>
      <x:c r="C1148" t="str">
        <x:v>Composition héritée</x:v>
      </x:c>
      <x:c r="D1148" t="str">
        <x:v>Alimentation et restauration</x:v>
      </x:c>
      <x:c r="E1148" t="str">
        <x:v>Cafétéria industrielle — Station-service et aire routière / repli organisé interrompu</x:v>
      </x:c>
      <x:c r="F1148" t="n">
        <x:v>8</x:v>
      </x:c>
      <x:c r="G1148" t="n">
        <x:v>4</x:v>
      </x:c>
      <x:c r="H1148" t="n">
        <x:v>12</x:v>
      </x:c>
      <x:c r="I1148" t="str">
        <x:v>À qualifier par lieu</x:v>
      </x:c>
      <x:c r="J1148" t="str">
        <x:v>https://github.com/darknigthmare/deadwall-last-enclosure/blob/e28f46223e73105ab2c5d83f3d50b99b58ef53e6/codex-3000/compositions/Alimentation et restauration/DW-1143.md</x:v>
      </x:c>
      <x:c r="K1148" t="str">
        <x:v>Source min 18,14 m ; max 90,60 m ; modèle 25 × 18 m ; niveaux 0. Détails dans catalogue-existant.json.</x:v>
      </x:c>
    </x:row>
    <x:row r="1149">
      <x:c r="A1149" t="str">
        <x:v>DW-1144</x:v>
      </x:c>
      <x:c r="B1149" t="str">
        <x:v>DW-0072</x:v>
      </x:c>
      <x:c r="C1149" t="str">
        <x:v>Composition héritée</x:v>
      </x:c>
      <x:c r="D1149" t="str">
        <x:v>Alimentation et restauration</x:v>
      </x:c>
      <x:c r="E1149" t="str">
        <x:v>Cafétéria industrielle — Village et bourg / première récupération passée</x:v>
      </x:c>
      <x:c r="F1149" t="n">
        <x:v>8</x:v>
      </x:c>
      <x:c r="G1149" t="n">
        <x:v>4</x:v>
      </x:c>
      <x:c r="H1149" t="n">
        <x:v>12</x:v>
      </x:c>
      <x:c r="I1149" t="str">
        <x:v>À qualifier par lieu</x:v>
      </x:c>
      <x:c r="J1149" t="str">
        <x:v>https://github.com/darknigthmare/deadwall-last-enclosure/blob/e28f46223e73105ab2c5d83f3d50b99b58ef53e6/codex-3000/compositions/Alimentation et restauration/DW-1144.md</x:v>
      </x:c>
      <x:c r="K1149" t="str">
        <x:v>Source min 18,14 m ; max 90,60 m ; modèle 25 × 18 m ; niveaux 0. Détails dans catalogue-existant.json.</x:v>
      </x:c>
    </x:row>
    <x:row r="1150">
      <x:c r="A1150" t="str">
        <x:v>DW-1145</x:v>
      </x:c>
      <x:c r="B1150" t="str">
        <x:v>DW-0073</x:v>
      </x:c>
      <x:c r="C1150" t="str">
        <x:v>Composition héritée</x:v>
      </x:c>
      <x:c r="D1150" t="str">
        <x:v>Alimentation et restauration</x:v>
      </x:c>
      <x:c r="E1150" t="str">
        <x:v>Cuisine centrale — Zone commerciale / évacuation interrompue</x:v>
      </x:c>
      <x:c r="F1150" t="n">
        <x:v>8</x:v>
      </x:c>
      <x:c r="G1150" t="n">
        <x:v>5</x:v>
      </x:c>
      <x:c r="H1150" t="n">
        <x:v>15</x:v>
      </x:c>
      <x:c r="I1150" t="str">
        <x:v>À qualifier par lieu</x:v>
      </x:c>
      <x:c r="J1150" t="str">
        <x:v>https://github.com/darknigthmare/deadwall-last-enclosure/blob/e28f46223e73105ab2c5d83f3d50b99b58ef53e6/codex-3000/compositions/Alimentation et restauration/DW-1145.md</x:v>
      </x:c>
      <x:c r="K1150" t="str">
        <x:v>Source min 18,14 m ; max 90,60 m ; modèle 26 × 22 m ; niveaux 0. Détails dans catalogue-existant.json.</x:v>
      </x:c>
    </x:row>
    <x:row r="1151">
      <x:c r="A1151" t="str">
        <x:v>DW-1146</x:v>
      </x:c>
      <x:c r="B1151" t="str">
        <x:v>DW-0073</x:v>
      </x:c>
      <x:c r="C1151" t="str">
        <x:v>Composition héritée</x:v>
      </x:c>
      <x:c r="D1151" t="str">
        <x:v>Alimentation et restauration</x:v>
      </x:c>
      <x:c r="E1151" t="str">
        <x:v>Cuisine centrale — Ville moyenne / service déplacé à l’arrière</x:v>
      </x:c>
      <x:c r="F1151" t="n">
        <x:v>8</x:v>
      </x:c>
      <x:c r="G1151" t="n">
        <x:v>5</x:v>
      </x:c>
      <x:c r="H1151" t="n">
        <x:v>15</x:v>
      </x:c>
      <x:c r="I1151" t="str">
        <x:v>À qualifier par lieu</x:v>
      </x:c>
      <x:c r="J1151" t="str">
        <x:v>https://github.com/darknigthmare/deadwall-last-enclosure/blob/e28f46223e73105ab2c5d83f3d50b99b58ef53e6/codex-3000/compositions/Alimentation et restauration/DW-1146.md</x:v>
      </x:c>
      <x:c r="K1151" t="str">
        <x:v>Source min 18,14 m ; max 90,60 m ; modèle 26 × 22 m ; niveaux 0. Détails dans catalogue-existant.json.</x:v>
      </x:c>
    </x:row>
    <x:row r="1152">
      <x:c r="A1152" t="str">
        <x:v>DW-1147</x:v>
      </x:c>
      <x:c r="B1152" t="str">
        <x:v>DW-0074</x:v>
      </x:c>
      <x:c r="C1152" t="str">
        <x:v>Composition héritée</x:v>
      </x:c>
      <x:c r="D1152" t="str">
        <x:v>Alimentation et restauration</x:v>
      </x:c>
      <x:c r="E1152" t="str">
        <x:v>Dépôt alimentaire associatif — Village et bourg / arrêt de maintenance</x:v>
      </x:c>
      <x:c r="F1152" t="n">
        <x:v>8</x:v>
      </x:c>
      <x:c r="G1152" t="n">
        <x:v>5</x:v>
      </x:c>
      <x:c r="H1152" t="n">
        <x:v>15</x:v>
      </x:c>
      <x:c r="I1152" t="str">
        <x:v>À qualifier par lieu</x:v>
      </x:c>
      <x:c r="J1152" t="str">
        <x:v>https://github.com/darknigthmare/deadwall-last-enclosure/blob/e28f46223e73105ab2c5d83f3d50b99b58ef53e6/codex-3000/compositions/Alimentation et restauration/DW-1147.md</x:v>
      </x:c>
      <x:c r="K1152" t="str">
        <x:v>Source min 18,14 m ; max 90,60 m ; modèle 26 × 22 m ; niveaux 0. Détails dans catalogue-existant.json.</x:v>
      </x:c>
    </x:row>
    <x:row r="1153">
      <x:c r="A1153" t="str">
        <x:v>DW-1148</x:v>
      </x:c>
      <x:c r="B1153" t="str">
        <x:v>DW-0074</x:v>
      </x:c>
      <x:c r="C1153" t="str">
        <x:v>Composition héritée</x:v>
      </x:c>
      <x:c r="D1153" t="str">
        <x:v>Alimentation et restauration</x:v>
      </x:c>
      <x:c r="E1153" t="str">
        <x:v>Dépôt alimentaire associatif — Station-service et aire routière / reprise progressive de la végétation</x:v>
      </x:c>
      <x:c r="F1153" t="n">
        <x:v>8</x:v>
      </x:c>
      <x:c r="G1153" t="n">
        <x:v>5</x:v>
      </x:c>
      <x:c r="H1153" t="n">
        <x:v>15</x:v>
      </x:c>
      <x:c r="I1153" t="str">
        <x:v>À qualifier par lieu</x:v>
      </x:c>
      <x:c r="J1153" t="str">
        <x:v>https://github.com/darknigthmare/deadwall-last-enclosure/blob/e28f46223e73105ab2c5d83f3d50b99b58ef53e6/codex-3000/compositions/Alimentation et restauration/DW-1148.md</x:v>
      </x:c>
      <x:c r="K1153" t="str">
        <x:v>Source min 18,14 m ; max 90,60 m ; modèle 26 × 22 m ; niveaux 0. Détails dans catalogue-existant.json.</x:v>
      </x:c>
    </x:row>
    <x:row r="1154">
      <x:c r="A1154" t="str">
        <x:v>DW-1149</x:v>
      </x:c>
      <x:c r="B1154" t="str">
        <x:v>DW-0075</x:v>
      </x:c>
      <x:c r="C1154" t="str">
        <x:v>Composition héritée</x:v>
      </x:c>
      <x:c r="D1154" t="str">
        <x:v>Alimentation et restauration</x:v>
      </x:c>
      <x:c r="E1154" t="str">
        <x:v>Grossiste fruits et légumes — Ville moyenne / première récupération passée</x:v>
      </x:c>
      <x:c r="F1154" t="n">
        <x:v>8</x:v>
      </x:c>
      <x:c r="G1154" t="n">
        <x:v>4</x:v>
      </x:c>
      <x:c r="H1154" t="n">
        <x:v>12</x:v>
      </x:c>
      <x:c r="I1154" t="str">
        <x:v>À qualifier par lieu</x:v>
      </x:c>
      <x:c r="J1154" t="str">
        <x:v>https://github.com/darknigthmare/deadwall-last-enclosure/blob/e28f46223e73105ab2c5d83f3d50b99b58ef53e6/codex-3000/compositions/Alimentation et restauration/DW-1149.md</x:v>
      </x:c>
      <x:c r="K1154" t="str">
        <x:v>Source min 18,14 m ; max 90,60 m ; modèle 25 × 18 m ; niveaux 0. Détails dans catalogue-existant.json.</x:v>
      </x:c>
    </x:row>
    <x:row r="1155">
      <x:c r="A1155" t="str">
        <x:v>DW-1150</x:v>
      </x:c>
      <x:c r="B1155" t="str">
        <x:v>DW-0075</x:v>
      </x:c>
      <x:c r="C1155" t="str">
        <x:v>Composition héritée</x:v>
      </x:c>
      <x:c r="D1155" t="str">
        <x:v>Alimentation et restauration</x:v>
      </x:c>
      <x:c r="E1155" t="str">
        <x:v>Grossiste fruits et légumes — Zone commerciale / relais temporaire envisagé</x:v>
      </x:c>
      <x:c r="F1155" t="n">
        <x:v>8</x:v>
      </x:c>
      <x:c r="G1155" t="n">
        <x:v>4</x:v>
      </x:c>
      <x:c r="H1155" t="n">
        <x:v>12</x:v>
      </x:c>
      <x:c r="I1155" t="str">
        <x:v>À qualifier par lieu</x:v>
      </x:c>
      <x:c r="J1155" t="str">
        <x:v>https://github.com/darknigthmare/deadwall-last-enclosure/blob/e28f46223e73105ab2c5d83f3d50b99b58ef53e6/codex-3000/compositions/Alimentation et restauration/DW-1150.md</x:v>
      </x:c>
      <x:c r="K1155" t="str">
        <x:v>Source min 18,14 m ; max 90,60 m ; modèle 25 × 18 m ; niveaux 0. Détails dans catalogue-existant.json.</x:v>
      </x:c>
    </x:row>
    <x:row r="1156">
      <x:c r="A1156" t="str">
        <x:v>DW-1151</x:v>
      </x:c>
      <x:c r="B1156" t="str">
        <x:v>DW-0076</x:v>
      </x:c>
      <x:c r="C1156" t="str">
        <x:v>Composition héritée</x:v>
      </x:c>
      <x:c r="D1156" t="str">
        <x:v>Alimentation et restauration</x:v>
      </x:c>
      <x:c r="E1156" t="str">
        <x:v>Entrepôt frigorifique — Station-service et aire routière / service déplacé à l’arrière</x:v>
      </x:c>
      <x:c r="F1156" t="n">
        <x:v>8</x:v>
      </x:c>
      <x:c r="G1156" t="n">
        <x:v>4</x:v>
      </x:c>
      <x:c r="H1156" t="n">
        <x:v>12</x:v>
      </x:c>
      <x:c r="I1156" t="str">
        <x:v>À qualifier par lieu</x:v>
      </x:c>
      <x:c r="J1156" t="str">
        <x:v>https://github.com/darknigthmare/deadwall-last-enclosure/blob/e28f46223e73105ab2c5d83f3d50b99b58ef53e6/codex-3000/compositions/Alimentation et restauration/DW-1151.md</x:v>
      </x:c>
      <x:c r="K1156" t="str">
        <x:v>Source min 18,14 m ; max 90,60 m ; modèle 25 × 18 m ; niveaux 0. Détails dans catalogue-existant.json.</x:v>
      </x:c>
    </x:row>
    <x:row r="1157">
      <x:c r="A1157" t="str">
        <x:v>DW-1152</x:v>
      </x:c>
      <x:c r="B1157" t="str">
        <x:v>DW-0076</x:v>
      </x:c>
      <x:c r="C1157" t="str">
        <x:v>Composition héritée</x:v>
      </x:c>
      <x:c r="D1157" t="str">
        <x:v>Alimentation et restauration</x:v>
      </x:c>
      <x:c r="E1157" t="str">
        <x:v>Entrepôt frigorifique — Village et bourg / réseau principal coupé</x:v>
      </x:c>
      <x:c r="F1157" t="n">
        <x:v>8</x:v>
      </x:c>
      <x:c r="G1157" t="n">
        <x:v>4</x:v>
      </x:c>
      <x:c r="H1157" t="n">
        <x:v>12</x:v>
      </x:c>
      <x:c r="I1157" t="str">
        <x:v>À qualifier par lieu</x:v>
      </x:c>
      <x:c r="J1157" t="str">
        <x:v>https://github.com/darknigthmare/deadwall-last-enclosure/blob/e28f46223e73105ab2c5d83f3d50b99b58ef53e6/codex-3000/compositions/Alimentation et restauration/DW-1152.md</x:v>
      </x:c>
      <x:c r="K1157" t="str">
        <x:v>Source min 18,14 m ; max 90,60 m ; modèle 25 × 18 m ; niveaux 0. Détails dans catalogue-existant.json.</x:v>
      </x:c>
    </x:row>
    <x:row r="1158">
      <x:c r="A1158" t="str">
        <x:v>DW-1153</x:v>
      </x:c>
      <x:c r="B1158" t="str">
        <x:v>DW-0077</x:v>
      </x:c>
      <x:c r="C1158" t="str">
        <x:v>Composition héritée</x:v>
      </x:c>
      <x:c r="D1158" t="str">
        <x:v>Alimentation et restauration</x:v>
      </x:c>
      <x:c r="E1158" t="str">
        <x:v>Atelier de conserves — Zone commerciale / reprise progressive de la végétation</x:v>
      </x:c>
      <x:c r="F1158" t="n">
        <x:v>8</x:v>
      </x:c>
      <x:c r="G1158" t="n">
        <x:v>5</x:v>
      </x:c>
      <x:c r="H1158" t="n">
        <x:v>15</x:v>
      </x:c>
      <x:c r="I1158" t="str">
        <x:v>À qualifier par lieu</x:v>
      </x:c>
      <x:c r="J1158" t="str">
        <x:v>https://github.com/darknigthmare/deadwall-last-enclosure/blob/e28f46223e73105ab2c5d83f3d50b99b58ef53e6/codex-3000/compositions/Alimentation et restauration/DW-1153.md</x:v>
      </x:c>
      <x:c r="K1158" t="str">
        <x:v>Source min 18,14 m ; max 90,60 m ; modèle 26 × 22 m ; niveaux 0. Détails dans catalogue-existant.json.</x:v>
      </x:c>
    </x:row>
    <x:row r="1159">
      <x:c r="A1159" t="str">
        <x:v>DW-1154</x:v>
      </x:c>
      <x:c r="B1159" t="str">
        <x:v>DW-0077</x:v>
      </x:c>
      <x:c r="C1159" t="str">
        <x:v>Composition héritée</x:v>
      </x:c>
      <x:c r="D1159" t="str">
        <x:v>Alimentation et restauration</x:v>
      </x:c>
      <x:c r="E1159" t="str">
        <x:v>Atelier de conserves — Ville moyenne / repli organisé interrompu</x:v>
      </x:c>
      <x:c r="F1159" t="n">
        <x:v>8</x:v>
      </x:c>
      <x:c r="G1159" t="n">
        <x:v>5</x:v>
      </x:c>
      <x:c r="H1159" t="n">
        <x:v>15</x:v>
      </x:c>
      <x:c r="I1159" t="str">
        <x:v>À qualifier par lieu</x:v>
      </x:c>
      <x:c r="J1159" t="str">
        <x:v>https://github.com/darknigthmare/deadwall-last-enclosure/blob/e28f46223e73105ab2c5d83f3d50b99b58ef53e6/codex-3000/compositions/Alimentation et restauration/DW-1154.md</x:v>
      </x:c>
      <x:c r="K1159" t="str">
        <x:v>Source min 18,14 m ; max 90,60 m ; modèle 26 × 22 m ; niveaux 0. Détails dans catalogue-existant.json.</x:v>
      </x:c>
    </x:row>
    <x:row r="1160">
      <x:c r="A1160" t="str">
        <x:v>DW-1155</x:v>
      </x:c>
      <x:c r="B1160" t="str">
        <x:v>DW-0078</x:v>
      </x:c>
      <x:c r="C1160" t="str">
        <x:v>Composition héritée</x:v>
      </x:c>
      <x:c r="D1160" t="str">
        <x:v>Alimentation et restauration</x:v>
      </x:c>
      <x:c r="E1160" t="str">
        <x:v>Cantine scolaire — Village et bourg / relais temporaire envisagé</x:v>
      </x:c>
      <x:c r="F1160" t="n">
        <x:v>8</x:v>
      </x:c>
      <x:c r="G1160" t="n">
        <x:v>4</x:v>
      </x:c>
      <x:c r="H1160" t="n">
        <x:v>12</x:v>
      </x:c>
      <x:c r="I1160" t="str">
        <x:v>À qualifier par lieu</x:v>
      </x:c>
      <x:c r="J1160" t="str">
        <x:v>https://github.com/darknigthmare/deadwall-last-enclosure/blob/e28f46223e73105ab2c5d83f3d50b99b58ef53e6/codex-3000/compositions/Alimentation et restauration/DW-1155.md</x:v>
      </x:c>
      <x:c r="K1160" t="str">
        <x:v>Source min 18,14 m ; max 90,60 m ; modèle 25 × 18 m ; niveaux 0. Détails dans catalogue-existant.json.</x:v>
      </x:c>
    </x:row>
    <x:row r="1161">
      <x:c r="A1161" t="str">
        <x:v>DW-1156</x:v>
      </x:c>
      <x:c r="B1161" t="str">
        <x:v>DW-0078</x:v>
      </x:c>
      <x:c r="C1161" t="str">
        <x:v>Composition héritée</x:v>
      </x:c>
      <x:c r="D1161" t="str">
        <x:v>Alimentation et restauration</x:v>
      </x:c>
      <x:c r="E1161" t="str">
        <x:v>Cantine scolaire — Station-service et aire routière / évacuation interrompue</x:v>
      </x:c>
      <x:c r="F1161" t="n">
        <x:v>8</x:v>
      </x:c>
      <x:c r="G1161" t="n">
        <x:v>4</x:v>
      </x:c>
      <x:c r="H1161" t="n">
        <x:v>12</x:v>
      </x:c>
      <x:c r="I1161" t="str">
        <x:v>À qualifier par lieu</x:v>
      </x:c>
      <x:c r="J1161" t="str">
        <x:v>https://github.com/darknigthmare/deadwall-last-enclosure/blob/e28f46223e73105ab2c5d83f3d50b99b58ef53e6/codex-3000/compositions/Alimentation et restauration/DW-1156.md</x:v>
      </x:c>
      <x:c r="K1161" t="str">
        <x:v>Source min 18,14 m ; max 90,60 m ; modèle 25 × 18 m ; niveaux 0. Détails dans catalogue-existant.json.</x:v>
      </x:c>
    </x:row>
    <x:row r="1162">
      <x:c r="A1162" t="str">
        <x:v>DW-1157</x:v>
      </x:c>
      <x:c r="B1162" t="str">
        <x:v>DW-0079</x:v>
      </x:c>
      <x:c r="C1162" t="str">
        <x:v>Composition héritée</x:v>
      </x:c>
      <x:c r="D1162" t="str">
        <x:v>Alimentation et restauration</x:v>
      </x:c>
      <x:c r="E1162" t="str">
        <x:v>Kiosque de parc — Ville moyenne / réseau principal coupé</x:v>
      </x:c>
      <x:c r="F1162" t="n">
        <x:v>8</x:v>
      </x:c>
      <x:c r="G1162" t="n">
        <x:v>4</x:v>
      </x:c>
      <x:c r="H1162" t="n">
        <x:v>12</x:v>
      </x:c>
      <x:c r="I1162" t="str">
        <x:v>À qualifier par lieu</x:v>
      </x:c>
      <x:c r="J1162" t="str">
        <x:v>https://github.com/darknigthmare/deadwall-last-enclosure/blob/e28f46223e73105ab2c5d83f3d50b99b58ef53e6/codex-3000/compositions/Alimentation et restauration/DW-1157.md</x:v>
      </x:c>
      <x:c r="K1162" t="str">
        <x:v>Source min 18,14 m ; max 90,60 m ; modèle 25 × 18 m ; niveaux 0. Détails dans catalogue-existant.json.</x:v>
      </x:c>
    </x:row>
    <x:row r="1163">
      <x:c r="A1163" t="str">
        <x:v>DW-1158</x:v>
      </x:c>
      <x:c r="B1163" t="str">
        <x:v>DW-0079</x:v>
      </x:c>
      <x:c r="C1163" t="str">
        <x:v>Composition héritée</x:v>
      </x:c>
      <x:c r="D1163" t="str">
        <x:v>Alimentation et restauration</x:v>
      </x:c>
      <x:c r="E1163" t="str">
        <x:v>Kiosque de parc — Zone commerciale / arrêt de maintenance</x:v>
      </x:c>
      <x:c r="F1163" t="n">
        <x:v>8</x:v>
      </x:c>
      <x:c r="G1163" t="n">
        <x:v>4</x:v>
      </x:c>
      <x:c r="H1163" t="n">
        <x:v>12</x:v>
      </x:c>
      <x:c r="I1163" t="str">
        <x:v>À qualifier par lieu</x:v>
      </x:c>
      <x:c r="J1163" t="str">
        <x:v>https://github.com/darknigthmare/deadwall-last-enclosure/blob/e28f46223e73105ab2c5d83f3d50b99b58ef53e6/codex-3000/compositions/Alimentation et restauration/DW-1158.md</x:v>
      </x:c>
      <x:c r="K1163" t="str">
        <x:v>Source min 18,14 m ; max 90,60 m ; modèle 25 × 18 m ; niveaux 0. Détails dans catalogue-existant.json.</x:v>
      </x:c>
    </x:row>
    <x:row r="1164">
      <x:c r="A1164" t="str">
        <x:v>DW-1159</x:v>
      </x:c>
      <x:c r="B1164" t="str">
        <x:v>DW-0080</x:v>
      </x:c>
      <x:c r="C1164" t="str">
        <x:v>Composition héritée</x:v>
      </x:c>
      <x:c r="D1164" t="str">
        <x:v>Alimentation et restauration</x:v>
      </x:c>
      <x:c r="E1164" t="str">
        <x:v>Marché de plein air — Station-service et aire routière / repli organisé interrompu</x:v>
      </x:c>
      <x:c r="F1164" t="n">
        <x:v>8</x:v>
      </x:c>
      <x:c r="G1164" t="n">
        <x:v>4</x:v>
      </x:c>
      <x:c r="H1164" t="n">
        <x:v>10</x:v>
      </x:c>
      <x:c r="I1164" t="str">
        <x:v>À qualifier par lieu</x:v>
      </x:c>
      <x:c r="J1164" t="str">
        <x:v>https://github.com/darknigthmare/deadwall-last-enclosure/blob/e28f46223e73105ab2c5d83f3d50b99b58ef53e6/codex-3000/compositions/Alimentation et restauration/DW-1159.md</x:v>
      </x:c>
      <x:c r="K1164" t="str">
        <x:v>Source min 18,14 m ; max 90,60 m ; modèle 25 × 18 m ; niveaux 0. Détails dans catalogue-existant.json.</x:v>
      </x:c>
    </x:row>
    <x:row r="1165">
      <x:c r="A1165" t="str">
        <x:v>DW-1160</x:v>
      </x:c>
      <x:c r="B1165" t="str">
        <x:v>DW-0080</x:v>
      </x:c>
      <x:c r="C1165" t="str">
        <x:v>Composition héritée</x:v>
      </x:c>
      <x:c r="D1165" t="str">
        <x:v>Alimentation et restauration</x:v>
      </x:c>
      <x:c r="E1165" t="str">
        <x:v>Marché de plein air — Village et bourg / première récupération passée</x:v>
      </x:c>
      <x:c r="F1165" t="n">
        <x:v>8</x:v>
      </x:c>
      <x:c r="G1165" t="n">
        <x:v>4</x:v>
      </x:c>
      <x:c r="H1165" t="n">
        <x:v>10</x:v>
      </x:c>
      <x:c r="I1165" t="str">
        <x:v>À qualifier par lieu</x:v>
      </x:c>
      <x:c r="J1165" t="str">
        <x:v>https://github.com/darknigthmare/deadwall-last-enclosure/blob/e28f46223e73105ab2c5d83f3d50b99b58ef53e6/codex-3000/compositions/Alimentation et restauration/DW-1160.md</x:v>
      </x:c>
      <x:c r="K1165" t="str">
        <x:v>Source min 18,14 m ; max 90,60 m ; modèle 25 × 18 m ; niveaux 0. Détails dans catalogue-existant.json.</x:v>
      </x:c>
    </x:row>
    <x:row r="1166">
      <x:c r="A1166" t="str">
        <x:v>DW-1161</x:v>
      </x:c>
      <x:c r="B1166" t="str">
        <x:v>DW-0081</x:v>
      </x:c>
      <x:c r="C1166" t="str">
        <x:v>Composition héritée</x:v>
      </x:c>
      <x:c r="D1166" t="str">
        <x:v>Services et petits ateliers</x:v>
      </x:c>
      <x:c r="E1166" t="str">
        <x:v>Banque de quartier — Atelier et artisanat / évacuation interrompue</x:v>
      </x:c>
      <x:c r="F1166" t="n">
        <x:v>8</x:v>
      </x:c>
      <x:c r="G1166" t="n">
        <x:v>4</x:v>
      </x:c>
      <x:c r="H1166" t="n">
        <x:v>12</x:v>
      </x:c>
      <x:c r="I1166" t="str">
        <x:v>À qualifier par lieu</x:v>
      </x:c>
      <x:c r="J1166" t="str">
        <x:v>https://github.com/darknigthmare/deadwall-last-enclosure/blob/e28f46223e73105ab2c5d83f3d50b99b58ef53e6/codex-3000/compositions/Services et petits ateliers/DW-1161.md</x:v>
      </x:c>
      <x:c r="K1166" t="str">
        <x:v>Source min 12,10 m ; max 40,26 m ; modèle 25 × 18 m ; niveaux 0. Détails dans catalogue-existant.json.</x:v>
      </x:c>
    </x:row>
    <x:row r="1167">
      <x:c r="A1167" t="str">
        <x:v>DW-1162</x:v>
      </x:c>
      <x:c r="B1167" t="str">
        <x:v>DW-0081</x:v>
      </x:c>
      <x:c r="C1167" t="str">
        <x:v>Composition héritée</x:v>
      </x:c>
      <x:c r="D1167" t="str">
        <x:v>Services et petits ateliers</x:v>
      </x:c>
      <x:c r="E1167" t="str">
        <x:v>Banque de quartier — Zone industrielle / service déplacé à l’arrière</x:v>
      </x:c>
      <x:c r="F1167" t="n">
        <x:v>8</x:v>
      </x:c>
      <x:c r="G1167" t="n">
        <x:v>4</x:v>
      </x:c>
      <x:c r="H1167" t="n">
        <x:v>12</x:v>
      </x:c>
      <x:c r="I1167" t="str">
        <x:v>À qualifier par lieu</x:v>
      </x:c>
      <x:c r="J1167" t="str">
        <x:v>https://github.com/darknigthmare/deadwall-last-enclosure/blob/e28f46223e73105ab2c5d83f3d50b99b58ef53e6/codex-3000/compositions/Services et petits ateliers/DW-1162.md</x:v>
      </x:c>
      <x:c r="K1167" t="str">
        <x:v>Source min 12,10 m ; max 40,26 m ; modèle 25 × 18 m ; niveaux 0. Détails dans catalogue-existant.json.</x:v>
      </x:c>
    </x:row>
    <x:row r="1168">
      <x:c r="A1168" t="str">
        <x:v>DW-1163</x:v>
      </x:c>
      <x:c r="B1168" t="str">
        <x:v>DW-0082</x:v>
      </x:c>
      <x:c r="C1168" t="str">
        <x:v>Composition héritée</x:v>
      </x:c>
      <x:c r="D1168" t="str">
        <x:v>Services et petits ateliers</x:v>
      </x:c>
      <x:c r="E1168" t="str">
        <x:v>Bureau postal — Village et bourg / arrêt de maintenance</x:v>
      </x:c>
      <x:c r="F1168" t="n">
        <x:v>8</x:v>
      </x:c>
      <x:c r="G1168" t="n">
        <x:v>4</x:v>
      </x:c>
      <x:c r="H1168" t="n">
        <x:v>12</x:v>
      </x:c>
      <x:c r="I1168" t="str">
        <x:v>À qualifier par lieu</x:v>
      </x:c>
      <x:c r="J1168" t="str">
        <x:v>https://github.com/darknigthmare/deadwall-last-enclosure/blob/e28f46223e73105ab2c5d83f3d50b99b58ef53e6/codex-3000/compositions/Services et petits ateliers/DW-1163.md</x:v>
      </x:c>
      <x:c r="K1168" t="str">
        <x:v>Source min 12,10 m ; max 40,26 m ; modèle 25 × 18 m ; niveaux 0. Détails dans catalogue-existant.json.</x:v>
      </x:c>
    </x:row>
    <x:row r="1169">
      <x:c r="A1169" t="str">
        <x:v>DW-1164</x:v>
      </x:c>
      <x:c r="B1169" t="str">
        <x:v>DW-0082</x:v>
      </x:c>
      <x:c r="C1169" t="str">
        <x:v>Composition héritée</x:v>
      </x:c>
      <x:c r="D1169" t="str">
        <x:v>Services et petits ateliers</x:v>
      </x:c>
      <x:c r="E1169" t="str">
        <x:v>Bureau postal — Ville moyenne / reprise progressive de la végétation</x:v>
      </x:c>
      <x:c r="F1169" t="n">
        <x:v>8</x:v>
      </x:c>
      <x:c r="G1169" t="n">
        <x:v>4</x:v>
      </x:c>
      <x:c r="H1169" t="n">
        <x:v>12</x:v>
      </x:c>
      <x:c r="I1169" t="str">
        <x:v>À qualifier par lieu</x:v>
      </x:c>
      <x:c r="J1169" t="str">
        <x:v>https://github.com/darknigthmare/deadwall-last-enclosure/blob/e28f46223e73105ab2c5d83f3d50b99b58ef53e6/codex-3000/compositions/Services et petits ateliers/DW-1164.md</x:v>
      </x:c>
      <x:c r="K1169" t="str">
        <x:v>Source min 12,10 m ; max 40,26 m ; modèle 25 × 18 m ; niveaux 0. Détails dans catalogue-existant.json.</x:v>
      </x:c>
    </x:row>
    <x:row r="1170">
      <x:c r="A1170" t="str">
        <x:v>DW-1165</x:v>
      </x:c>
      <x:c r="B1170" t="str">
        <x:v>DW-0083</x:v>
      </x:c>
      <x:c r="C1170" t="str">
        <x:v>Composition héritée</x:v>
      </x:c>
      <x:c r="D1170" t="str">
        <x:v>Services et petits ateliers</x:v>
      </x:c>
      <x:c r="E1170" t="str">
        <x:v>Agence d'intérim — Zone industrielle / première récupération passée</x:v>
      </x:c>
      <x:c r="F1170" t="n">
        <x:v>8</x:v>
      </x:c>
      <x:c r="G1170" t="n">
        <x:v>4</x:v>
      </x:c>
      <x:c r="H1170" t="n">
        <x:v>12</x:v>
      </x:c>
      <x:c r="I1170" t="str">
        <x:v>À qualifier par lieu</x:v>
      </x:c>
      <x:c r="J1170" t="str">
        <x:v>https://github.com/darknigthmare/deadwall-last-enclosure/blob/e28f46223e73105ab2c5d83f3d50b99b58ef53e6/codex-3000/compositions/Services et petits ateliers/DW-1165.md</x:v>
      </x:c>
      <x:c r="K1170" t="str">
        <x:v>Source min 12,10 m ; max 40,26 m ; modèle 25 × 18 m ; niveaux 0. Détails dans catalogue-existant.json.</x:v>
      </x:c>
    </x:row>
    <x:row r="1171">
      <x:c r="A1171" t="str">
        <x:v>DW-1166</x:v>
      </x:c>
      <x:c r="B1171" t="str">
        <x:v>DW-0083</x:v>
      </x:c>
      <x:c r="C1171" t="str">
        <x:v>Composition héritée</x:v>
      </x:c>
      <x:c r="D1171" t="str">
        <x:v>Services et petits ateliers</x:v>
      </x:c>
      <x:c r="E1171" t="str">
        <x:v>Agence d'intérim — Atelier et artisanat / relais temporaire envisagé</x:v>
      </x:c>
      <x:c r="F1171" t="n">
        <x:v>8</x:v>
      </x:c>
      <x:c r="G1171" t="n">
        <x:v>4</x:v>
      </x:c>
      <x:c r="H1171" t="n">
        <x:v>12</x:v>
      </x:c>
      <x:c r="I1171" t="str">
        <x:v>À qualifier par lieu</x:v>
      </x:c>
      <x:c r="J1171" t="str">
        <x:v>https://github.com/darknigthmare/deadwall-last-enclosure/blob/e28f46223e73105ab2c5d83f3d50b99b58ef53e6/codex-3000/compositions/Services et petits ateliers/DW-1166.md</x:v>
      </x:c>
      <x:c r="K1171" t="str">
        <x:v>Source min 12,10 m ; max 40,26 m ; modèle 25 × 18 m ; niveaux 0. Détails dans catalogue-existant.json.</x:v>
      </x:c>
    </x:row>
    <x:row r="1172">
      <x:c r="A1172" t="str">
        <x:v>DW-1167</x:v>
      </x:c>
      <x:c r="B1172" t="str">
        <x:v>DW-0084</x:v>
      </x:c>
      <x:c r="C1172" t="str">
        <x:v>Composition héritée</x:v>
      </x:c>
      <x:c r="D1172" t="str">
        <x:v>Services et petits ateliers</x:v>
      </x:c>
      <x:c r="E1172" t="str">
        <x:v>Salon de coiffure — Ville moyenne / service déplacé à l’arrière</x:v>
      </x:c>
      <x:c r="F1172" t="n">
        <x:v>8</x:v>
      </x:c>
      <x:c r="G1172" t="n">
        <x:v>4</x:v>
      </x:c>
      <x:c r="H1172" t="n">
        <x:v>12</x:v>
      </x:c>
      <x:c r="I1172" t="str">
        <x:v>À qualifier par lieu</x:v>
      </x:c>
      <x:c r="J1172" t="str">
        <x:v>https://github.com/darknigthmare/deadwall-last-enclosure/blob/e28f46223e73105ab2c5d83f3d50b99b58ef53e6/codex-3000/compositions/Services et petits ateliers/DW-1167.md</x:v>
      </x:c>
      <x:c r="K1172" t="str">
        <x:v>Source min 12,10 m ; max 40,26 m ; modèle 25 × 18 m ; niveaux 0. Détails dans catalogue-existant.json.</x:v>
      </x:c>
    </x:row>
    <x:row r="1173">
      <x:c r="A1173" t="str">
        <x:v>DW-1168</x:v>
      </x:c>
      <x:c r="B1173" t="str">
        <x:v>DW-0084</x:v>
      </x:c>
      <x:c r="C1173" t="str">
        <x:v>Composition héritée</x:v>
      </x:c>
      <x:c r="D1173" t="str">
        <x:v>Services et petits ateliers</x:v>
      </x:c>
      <x:c r="E1173" t="str">
        <x:v>Salon de coiffure — Village et bourg / réseau principal coupé</x:v>
      </x:c>
      <x:c r="F1173" t="n">
        <x:v>8</x:v>
      </x:c>
      <x:c r="G1173" t="n">
        <x:v>4</x:v>
      </x:c>
      <x:c r="H1173" t="n">
        <x:v>12</x:v>
      </x:c>
      <x:c r="I1173" t="str">
        <x:v>À qualifier par lieu</x:v>
      </x:c>
      <x:c r="J1173" t="str">
        <x:v>https://github.com/darknigthmare/deadwall-last-enclosure/blob/e28f46223e73105ab2c5d83f3d50b99b58ef53e6/codex-3000/compositions/Services et petits ateliers/DW-1168.md</x:v>
      </x:c>
      <x:c r="K1173" t="str">
        <x:v>Source min 12,10 m ; max 40,26 m ; modèle 25 × 18 m ; niveaux 0. Détails dans catalogue-existant.json.</x:v>
      </x:c>
    </x:row>
    <x:row r="1174">
      <x:c r="A1174" t="str">
        <x:v>DW-1169</x:v>
      </x:c>
      <x:c r="B1174" t="str">
        <x:v>DW-0085</x:v>
      </x:c>
      <x:c r="C1174" t="str">
        <x:v>Composition héritée</x:v>
      </x:c>
      <x:c r="D1174" t="str">
        <x:v>Services et petits ateliers</x:v>
      </x:c>
      <x:c r="E1174" t="str">
        <x:v>Laverie automatique — Atelier et artisanat / reprise progressive de la végétation</x:v>
      </x:c>
      <x:c r="F1174" t="n">
        <x:v>8</x:v>
      </x:c>
      <x:c r="G1174" t="n">
        <x:v>4</x:v>
      </x:c>
      <x:c r="H1174" t="n">
        <x:v>12</x:v>
      </x:c>
      <x:c r="I1174" t="str">
        <x:v>À qualifier par lieu</x:v>
      </x:c>
      <x:c r="J1174" t="str">
        <x:v>https://github.com/darknigthmare/deadwall-last-enclosure/blob/e28f46223e73105ab2c5d83f3d50b99b58ef53e6/codex-3000/compositions/Services et petits ateliers/DW-1169.md</x:v>
      </x:c>
      <x:c r="K1174" t="str">
        <x:v>Source min 12,10 m ; max 40,26 m ; modèle 25 × 18 m ; niveaux 0. Détails dans catalogue-existant.json.</x:v>
      </x:c>
    </x:row>
    <x:row r="1175">
      <x:c r="A1175" t="str">
        <x:v>DW-1170</x:v>
      </x:c>
      <x:c r="B1175" t="str">
        <x:v>DW-0085</x:v>
      </x:c>
      <x:c r="C1175" t="str">
        <x:v>Composition héritée</x:v>
      </x:c>
      <x:c r="D1175" t="str">
        <x:v>Services et petits ateliers</x:v>
      </x:c>
      <x:c r="E1175" t="str">
        <x:v>Laverie automatique — Zone industrielle / repli organisé interrompu</x:v>
      </x:c>
      <x:c r="F1175" t="n">
        <x:v>8</x:v>
      </x:c>
      <x:c r="G1175" t="n">
        <x:v>4</x:v>
      </x:c>
      <x:c r="H1175" t="n">
        <x:v>12</x:v>
      </x:c>
      <x:c r="I1175" t="str">
        <x:v>À qualifier par lieu</x:v>
      </x:c>
      <x:c r="J1175" t="str">
        <x:v>https://github.com/darknigthmare/deadwall-last-enclosure/blob/e28f46223e73105ab2c5d83f3d50b99b58ef53e6/codex-3000/compositions/Services et petits ateliers/DW-1170.md</x:v>
      </x:c>
      <x:c r="K1175" t="str">
        <x:v>Source min 12,10 m ; max 40,26 m ; modèle 25 × 18 m ; niveaux 0. Détails dans catalogue-existant.json.</x:v>
      </x:c>
    </x:row>
    <x:row r="1176">
      <x:c r="A1176" t="str">
        <x:v>DW-1171</x:v>
      </x:c>
      <x:c r="B1176" t="str">
        <x:v>DW-0086</x:v>
      </x:c>
      <x:c r="C1176" t="str">
        <x:v>Composition héritée</x:v>
      </x:c>
      <x:c r="D1176" t="str">
        <x:v>Services et petits ateliers</x:v>
      </x:c>
      <x:c r="E1176" t="str">
        <x:v>Pressing — Village et bourg / relais temporaire envisagé</x:v>
      </x:c>
      <x:c r="F1176" t="n">
        <x:v>8</x:v>
      </x:c>
      <x:c r="G1176" t="n">
        <x:v>4</x:v>
      </x:c>
      <x:c r="H1176" t="n">
        <x:v>10</x:v>
      </x:c>
      <x:c r="I1176" t="str">
        <x:v>À qualifier par lieu</x:v>
      </x:c>
      <x:c r="J1176" t="str">
        <x:v>https://github.com/darknigthmare/deadwall-last-enclosure/blob/e28f46223e73105ab2c5d83f3d50b99b58ef53e6/codex-3000/compositions/Services et petits ateliers/DW-1171.md</x:v>
      </x:c>
      <x:c r="K1176" t="str">
        <x:v>Source min 12,10 m ; max 40,26 m ; modèle 25 × 18 m ; niveaux 0. Détails dans catalogue-existant.json.</x:v>
      </x:c>
    </x:row>
    <x:row r="1177">
      <x:c r="A1177" t="str">
        <x:v>DW-1172</x:v>
      </x:c>
      <x:c r="B1177" t="str">
        <x:v>DW-0086</x:v>
      </x:c>
      <x:c r="C1177" t="str">
        <x:v>Composition héritée</x:v>
      </x:c>
      <x:c r="D1177" t="str">
        <x:v>Services et petits ateliers</x:v>
      </x:c>
      <x:c r="E1177" t="str">
        <x:v>Pressing — Ville moyenne / évacuation interrompue</x:v>
      </x:c>
      <x:c r="F1177" t="n">
        <x:v>8</x:v>
      </x:c>
      <x:c r="G1177" t="n">
        <x:v>4</x:v>
      </x:c>
      <x:c r="H1177" t="n">
        <x:v>10</x:v>
      </x:c>
      <x:c r="I1177" t="str">
        <x:v>À qualifier par lieu</x:v>
      </x:c>
      <x:c r="J1177" t="str">
        <x:v>https://github.com/darknigthmare/deadwall-last-enclosure/blob/e28f46223e73105ab2c5d83f3d50b99b58ef53e6/codex-3000/compositions/Services et petits ateliers/DW-1172.md</x:v>
      </x:c>
      <x:c r="K1177" t="str">
        <x:v>Source min 12,10 m ; max 40,26 m ; modèle 25 × 18 m ; niveaux 0. Détails dans catalogue-existant.json.</x:v>
      </x:c>
    </x:row>
    <x:row r="1178">
      <x:c r="A1178" t="str">
        <x:v>DW-1173</x:v>
      </x:c>
      <x:c r="B1178" t="str">
        <x:v>DW-0087</x:v>
      </x:c>
      <x:c r="C1178" t="str">
        <x:v>Composition héritée</x:v>
      </x:c>
      <x:c r="D1178" t="str">
        <x:v>Services et petits ateliers</x:v>
      </x:c>
      <x:c r="E1178" t="str">
        <x:v>Cordonnerie — Zone industrielle / réseau principal coupé</x:v>
      </x:c>
      <x:c r="F1178" t="n">
        <x:v>8</x:v>
      </x:c>
      <x:c r="G1178" t="n">
        <x:v>3</x:v>
      </x:c>
      <x:c r="H1178" t="n">
        <x:v>9</x:v>
      </x:c>
      <x:c r="I1178" t="str">
        <x:v>À qualifier par lieu</x:v>
      </x:c>
      <x:c r="J1178" t="str">
        <x:v>https://github.com/darknigthmare/deadwall-last-enclosure/blob/e28f46223e73105ab2c5d83f3d50b99b58ef53e6/codex-3000/compositions/Services et petits ateliers/DW-1173.md</x:v>
      </x:c>
      <x:c r="K1178" t="str">
        <x:v>Source min 12,10 m ; max 40,26 m ; modèle 24 × 18 m ; niveaux 0. Détails dans catalogue-existant.json.</x:v>
      </x:c>
    </x:row>
    <x:row r="1179">
      <x:c r="A1179" t="str">
        <x:v>DW-1174</x:v>
      </x:c>
      <x:c r="B1179" t="str">
        <x:v>DW-0087</x:v>
      </x:c>
      <x:c r="C1179" t="str">
        <x:v>Composition héritée</x:v>
      </x:c>
      <x:c r="D1179" t="str">
        <x:v>Services et petits ateliers</x:v>
      </x:c>
      <x:c r="E1179" t="str">
        <x:v>Cordonnerie — Atelier et artisanat / arrêt de maintenance</x:v>
      </x:c>
      <x:c r="F1179" t="n">
        <x:v>8</x:v>
      </x:c>
      <x:c r="G1179" t="n">
        <x:v>3</x:v>
      </x:c>
      <x:c r="H1179" t="n">
        <x:v>9</x:v>
      </x:c>
      <x:c r="I1179" t="str">
        <x:v>À qualifier par lieu</x:v>
      </x:c>
      <x:c r="J1179" t="str">
        <x:v>https://github.com/darknigthmare/deadwall-last-enclosure/blob/e28f46223e73105ab2c5d83f3d50b99b58ef53e6/codex-3000/compositions/Services et petits ateliers/DW-1174.md</x:v>
      </x:c>
      <x:c r="K1179" t="str">
        <x:v>Source min 12,10 m ; max 40,26 m ; modèle 24 × 18 m ; niveaux 0. Détails dans catalogue-existant.json.</x:v>
      </x:c>
    </x:row>
    <x:row r="1180">
      <x:c r="A1180" t="str">
        <x:v>DW-1175</x:v>
      </x:c>
      <x:c r="B1180" t="str">
        <x:v>DW-0088</x:v>
      </x:c>
      <x:c r="C1180" t="str">
        <x:v>Composition héritée</x:v>
      </x:c>
      <x:c r="D1180" t="str">
        <x:v>Services et petits ateliers</x:v>
      </x:c>
      <x:c r="E1180" t="str">
        <x:v>Centre de reprographie — Ville moyenne / repli organisé interrompu</x:v>
      </x:c>
      <x:c r="F1180" t="n">
        <x:v>8</x:v>
      </x:c>
      <x:c r="G1180" t="n">
        <x:v>4</x:v>
      </x:c>
      <x:c r="H1180" t="n">
        <x:v>12</x:v>
      </x:c>
      <x:c r="I1180" t="str">
        <x:v>À qualifier par lieu</x:v>
      </x:c>
      <x:c r="J1180" t="str">
        <x:v>https://github.com/darknigthmare/deadwall-last-enclosure/blob/e28f46223e73105ab2c5d83f3d50b99b58ef53e6/codex-3000/compositions/Services et petits ateliers/DW-1175.md</x:v>
      </x:c>
      <x:c r="K1180" t="str">
        <x:v>Source min 12,10 m ; max 40,26 m ; modèle 25 × 18 m ; niveaux 0. Détails dans catalogue-existant.json.</x:v>
      </x:c>
    </x:row>
    <x:row r="1181">
      <x:c r="A1181" t="str">
        <x:v>DW-1176</x:v>
      </x:c>
      <x:c r="B1181" t="str">
        <x:v>DW-0088</x:v>
      </x:c>
      <x:c r="C1181" t="str">
        <x:v>Composition héritée</x:v>
      </x:c>
      <x:c r="D1181" t="str">
        <x:v>Services et petits ateliers</x:v>
      </x:c>
      <x:c r="E1181" t="str">
        <x:v>Centre de reprographie — Village et bourg / première récupération passée</x:v>
      </x:c>
      <x:c r="F1181" t="n">
        <x:v>8</x:v>
      </x:c>
      <x:c r="G1181" t="n">
        <x:v>4</x:v>
      </x:c>
      <x:c r="H1181" t="n">
        <x:v>12</x:v>
      </x:c>
      <x:c r="I1181" t="str">
        <x:v>À qualifier par lieu</x:v>
      </x:c>
      <x:c r="J1181" t="str">
        <x:v>https://github.com/darknigthmare/deadwall-last-enclosure/blob/e28f46223e73105ab2c5d83f3d50b99b58ef53e6/codex-3000/compositions/Services et petits ateliers/DW-1176.md</x:v>
      </x:c>
      <x:c r="K1181" t="str">
        <x:v>Source min 12,10 m ; max 40,26 m ; modèle 25 × 18 m ; niveaux 0. Détails dans catalogue-existant.json.</x:v>
      </x:c>
    </x:row>
    <x:row r="1182">
      <x:c r="A1182" t="str">
        <x:v>DW-1177</x:v>
      </x:c>
      <x:c r="B1182" t="str">
        <x:v>DW-0089</x:v>
      </x:c>
      <x:c r="C1182" t="str">
        <x:v>Composition héritée</x:v>
      </x:c>
      <x:c r="D1182" t="str">
        <x:v>Services et petits ateliers</x:v>
      </x:c>
      <x:c r="E1182" t="str">
        <x:v>Agence immobilière — Atelier et artisanat / évacuation interrompue</x:v>
      </x:c>
      <x:c r="F1182" t="n">
        <x:v>8</x:v>
      </x:c>
      <x:c r="G1182" t="n">
        <x:v>4</x:v>
      </x:c>
      <x:c r="H1182" t="n">
        <x:v>12</x:v>
      </x:c>
      <x:c r="I1182" t="str">
        <x:v>À qualifier par lieu</x:v>
      </x:c>
      <x:c r="J1182" t="str">
        <x:v>https://github.com/darknigthmare/deadwall-last-enclosure/blob/e28f46223e73105ab2c5d83f3d50b99b58ef53e6/codex-3000/compositions/Services et petits ateliers/DW-1177.md</x:v>
      </x:c>
      <x:c r="K1182" t="str">
        <x:v>Source min 12,10 m ; max 40,26 m ; modèle 25 × 18 m ; niveaux 0. Détails dans catalogue-existant.json.</x:v>
      </x:c>
    </x:row>
    <x:row r="1183">
      <x:c r="A1183" t="str">
        <x:v>DW-1178</x:v>
      </x:c>
      <x:c r="B1183" t="str">
        <x:v>DW-0089</x:v>
      </x:c>
      <x:c r="C1183" t="str">
        <x:v>Composition héritée</x:v>
      </x:c>
      <x:c r="D1183" t="str">
        <x:v>Services et petits ateliers</x:v>
      </x:c>
      <x:c r="E1183" t="str">
        <x:v>Agence immobilière — Zone industrielle / service déplacé à l’arrière</x:v>
      </x:c>
      <x:c r="F1183" t="n">
        <x:v>8</x:v>
      </x:c>
      <x:c r="G1183" t="n">
        <x:v>4</x:v>
      </x:c>
      <x:c r="H1183" t="n">
        <x:v>12</x:v>
      </x:c>
      <x:c r="I1183" t="str">
        <x:v>À qualifier par lieu</x:v>
      </x:c>
      <x:c r="J1183" t="str">
        <x:v>https://github.com/darknigthmare/deadwall-last-enclosure/blob/e28f46223e73105ab2c5d83f3d50b99b58ef53e6/codex-3000/compositions/Services et petits ateliers/DW-1178.md</x:v>
      </x:c>
      <x:c r="K1183" t="str">
        <x:v>Source min 12,10 m ; max 40,26 m ; modèle 25 × 18 m ; niveaux 0. Détails dans catalogue-existant.json.</x:v>
      </x:c>
    </x:row>
    <x:row r="1184">
      <x:c r="A1184" t="str">
        <x:v>DW-1179</x:v>
      </x:c>
      <x:c r="B1184" t="str">
        <x:v>DW-0090</x:v>
      </x:c>
      <x:c r="C1184" t="str">
        <x:v>Composition héritée</x:v>
      </x:c>
      <x:c r="D1184" t="str">
        <x:v>Services et petits ateliers</x:v>
      </x:c>
      <x:c r="E1184" t="str">
        <x:v>Cabinet comptable — Village et bourg / arrêt de maintenance</x:v>
      </x:c>
      <x:c r="F1184" t="n">
        <x:v>8</x:v>
      </x:c>
      <x:c r="G1184" t="n">
        <x:v>4</x:v>
      </x:c>
      <x:c r="H1184" t="n">
        <x:v>12</x:v>
      </x:c>
      <x:c r="I1184" t="str">
        <x:v>À qualifier par lieu</x:v>
      </x:c>
      <x:c r="J1184" t="str">
        <x:v>https://github.com/darknigthmare/deadwall-last-enclosure/blob/e28f46223e73105ab2c5d83f3d50b99b58ef53e6/codex-3000/compositions/Services et petits ateliers/DW-1179.md</x:v>
      </x:c>
      <x:c r="K1184" t="str">
        <x:v>Source min 12,10 m ; max 40,26 m ; modèle 25 × 18 m ; niveaux 0. Détails dans catalogue-existant.json.</x:v>
      </x:c>
    </x:row>
    <x:row r="1185">
      <x:c r="A1185" t="str">
        <x:v>DW-1180</x:v>
      </x:c>
      <x:c r="B1185" t="str">
        <x:v>DW-0090</x:v>
      </x:c>
      <x:c r="C1185" t="str">
        <x:v>Composition héritée</x:v>
      </x:c>
      <x:c r="D1185" t="str">
        <x:v>Services et petits ateliers</x:v>
      </x:c>
      <x:c r="E1185" t="str">
        <x:v>Cabinet comptable — Ville moyenne / reprise progressive de la végétation</x:v>
      </x:c>
      <x:c r="F1185" t="n">
        <x:v>8</x:v>
      </x:c>
      <x:c r="G1185" t="n">
        <x:v>4</x:v>
      </x:c>
      <x:c r="H1185" t="n">
        <x:v>12</x:v>
      </x:c>
      <x:c r="I1185" t="str">
        <x:v>À qualifier par lieu</x:v>
      </x:c>
      <x:c r="J1185" t="str">
        <x:v>https://github.com/darknigthmare/deadwall-last-enclosure/blob/e28f46223e73105ab2c5d83f3d50b99b58ef53e6/codex-3000/compositions/Services et petits ateliers/DW-1180.md</x:v>
      </x:c>
      <x:c r="K1185" t="str">
        <x:v>Source min 12,10 m ; max 40,26 m ; modèle 25 × 18 m ; niveaux 0. Détails dans catalogue-existant.json.</x:v>
      </x:c>
    </x:row>
    <x:row r="1186">
      <x:c r="A1186" t="str">
        <x:v>DW-1181</x:v>
      </x:c>
      <x:c r="B1186" t="str">
        <x:v>DW-0091</x:v>
      </x:c>
      <x:c r="C1186" t="str">
        <x:v>Composition héritée</x:v>
      </x:c>
      <x:c r="D1186" t="str">
        <x:v>Services et petits ateliers</x:v>
      </x:c>
      <x:c r="E1186" t="str">
        <x:v>Étude notariale — Zone industrielle / première récupération passée</x:v>
      </x:c>
      <x:c r="F1186" t="n">
        <x:v>8</x:v>
      </x:c>
      <x:c r="G1186" t="n">
        <x:v>4</x:v>
      </x:c>
      <x:c r="H1186" t="n">
        <x:v>12</x:v>
      </x:c>
      <x:c r="I1186" t="str">
        <x:v>À qualifier par lieu</x:v>
      </x:c>
      <x:c r="J1186" t="str">
        <x:v>https://github.com/darknigthmare/deadwall-last-enclosure/blob/e28f46223e73105ab2c5d83f3d50b99b58ef53e6/codex-3000/compositions/Services et petits ateliers/DW-1181.md</x:v>
      </x:c>
      <x:c r="K1186" t="str">
        <x:v>Source min 12,10 m ; max 40,26 m ; modèle 25 × 18 m ; niveaux 0. Détails dans catalogue-existant.json.</x:v>
      </x:c>
    </x:row>
    <x:row r="1187">
      <x:c r="A1187" t="str">
        <x:v>DW-1182</x:v>
      </x:c>
      <x:c r="B1187" t="str">
        <x:v>DW-0091</x:v>
      </x:c>
      <x:c r="C1187" t="str">
        <x:v>Composition héritée</x:v>
      </x:c>
      <x:c r="D1187" t="str">
        <x:v>Services et petits ateliers</x:v>
      </x:c>
      <x:c r="E1187" t="str">
        <x:v>Étude notariale — Atelier et artisanat / relais temporaire envisagé</x:v>
      </x:c>
      <x:c r="F1187" t="n">
        <x:v>8</x:v>
      </x:c>
      <x:c r="G1187" t="n">
        <x:v>4</x:v>
      </x:c>
      <x:c r="H1187" t="n">
        <x:v>12</x:v>
      </x:c>
      <x:c r="I1187" t="str">
        <x:v>À qualifier par lieu</x:v>
      </x:c>
      <x:c r="J1187" t="str">
        <x:v>https://github.com/darknigthmare/deadwall-last-enclosure/blob/e28f46223e73105ab2c5d83f3d50b99b58ef53e6/codex-3000/compositions/Services et petits ateliers/DW-1182.md</x:v>
      </x:c>
      <x:c r="K1187" t="str">
        <x:v>Source min 12,10 m ; max 40,26 m ; modèle 25 × 18 m ; niveaux 0. Détails dans catalogue-existant.json.</x:v>
      </x:c>
    </x:row>
    <x:row r="1188">
      <x:c r="A1188" t="str">
        <x:v>DW-1183</x:v>
      </x:c>
      <x:c r="B1188" t="str">
        <x:v>DW-0092</x:v>
      </x:c>
      <x:c r="C1188" t="str">
        <x:v>Composition héritée</x:v>
      </x:c>
      <x:c r="D1188" t="str">
        <x:v>Services et petits ateliers</x:v>
      </x:c>
      <x:c r="E1188" t="str">
        <x:v>Atelier électronique — Ville moyenne / service déplacé à l’arrière</x:v>
      </x:c>
      <x:c r="F1188" t="n">
        <x:v>8</x:v>
      </x:c>
      <x:c r="G1188" t="n">
        <x:v>4</x:v>
      </x:c>
      <x:c r="H1188" t="n">
        <x:v>12</x:v>
      </x:c>
      <x:c r="I1188" t="str">
        <x:v>À qualifier par lieu</x:v>
      </x:c>
      <x:c r="J1188" t="str">
        <x:v>https://github.com/darknigthmare/deadwall-last-enclosure/blob/e28f46223e73105ab2c5d83f3d50b99b58ef53e6/codex-3000/compositions/Services et petits ateliers/DW-1183.md</x:v>
      </x:c>
      <x:c r="K1188" t="str">
        <x:v>Source min 12,10 m ; max 40,26 m ; modèle 25 × 18 m ; niveaux 0. Détails dans catalogue-existant.json.</x:v>
      </x:c>
    </x:row>
    <x:row r="1189">
      <x:c r="A1189" t="str">
        <x:v>DW-1184</x:v>
      </x:c>
      <x:c r="B1189" t="str">
        <x:v>DW-0092</x:v>
      </x:c>
      <x:c r="C1189" t="str">
        <x:v>Composition héritée</x:v>
      </x:c>
      <x:c r="D1189" t="str">
        <x:v>Services et petits ateliers</x:v>
      </x:c>
      <x:c r="E1189" t="str">
        <x:v>Atelier électronique — Village et bourg / réseau principal coupé</x:v>
      </x:c>
      <x:c r="F1189" t="n">
        <x:v>8</x:v>
      </x:c>
      <x:c r="G1189" t="n">
        <x:v>4</x:v>
      </x:c>
      <x:c r="H1189" t="n">
        <x:v>12</x:v>
      </x:c>
      <x:c r="I1189" t="str">
        <x:v>À qualifier par lieu</x:v>
      </x:c>
      <x:c r="J1189" t="str">
        <x:v>https://github.com/darknigthmare/deadwall-last-enclosure/blob/e28f46223e73105ab2c5d83f3d50b99b58ef53e6/codex-3000/compositions/Services et petits ateliers/DW-1184.md</x:v>
      </x:c>
      <x:c r="K1189" t="str">
        <x:v>Source min 12,10 m ; max 40,26 m ; modèle 25 × 18 m ; niveaux 0. Détails dans catalogue-existant.json.</x:v>
      </x:c>
    </x:row>
    <x:row r="1190">
      <x:c r="A1190" t="str">
        <x:v>DW-1185</x:v>
      </x:c>
      <x:c r="B1190" t="str">
        <x:v>DW-0093</x:v>
      </x:c>
      <x:c r="C1190" t="str">
        <x:v>Composition héritée</x:v>
      </x:c>
      <x:c r="D1190" t="str">
        <x:v>Services et petits ateliers</x:v>
      </x:c>
      <x:c r="E1190" t="str">
        <x:v>Entreprise de plomberie — Atelier et artisanat / reprise progressive de la végétation</x:v>
      </x:c>
      <x:c r="F1190" t="n">
        <x:v>8</x:v>
      </x:c>
      <x:c r="G1190" t="n">
        <x:v>4</x:v>
      </x:c>
      <x:c r="H1190" t="n">
        <x:v>12</x:v>
      </x:c>
      <x:c r="I1190" t="str">
        <x:v>À qualifier par lieu</x:v>
      </x:c>
      <x:c r="J1190" t="str">
        <x:v>https://github.com/darknigthmare/deadwall-last-enclosure/blob/e28f46223e73105ab2c5d83f3d50b99b58ef53e6/codex-3000/compositions/Services et petits ateliers/DW-1185.md</x:v>
      </x:c>
      <x:c r="K1190" t="str">
        <x:v>Source min 12,10 m ; max 40,26 m ; modèle 25 × 18 m ; niveaux 0. Détails dans catalogue-existant.json.</x:v>
      </x:c>
    </x:row>
    <x:row r="1191">
      <x:c r="A1191" t="str">
        <x:v>DW-1186</x:v>
      </x:c>
      <x:c r="B1191" t="str">
        <x:v>DW-0093</x:v>
      </x:c>
      <x:c r="C1191" t="str">
        <x:v>Composition héritée</x:v>
      </x:c>
      <x:c r="D1191" t="str">
        <x:v>Services et petits ateliers</x:v>
      </x:c>
      <x:c r="E1191" t="str">
        <x:v>Entreprise de plomberie — Zone industrielle / repli organisé interrompu</x:v>
      </x:c>
      <x:c r="F1191" t="n">
        <x:v>8</x:v>
      </x:c>
      <x:c r="G1191" t="n">
        <x:v>4</x:v>
      </x:c>
      <x:c r="H1191" t="n">
        <x:v>12</x:v>
      </x:c>
      <x:c r="I1191" t="str">
        <x:v>À qualifier par lieu</x:v>
      </x:c>
      <x:c r="J1191" t="str">
        <x:v>https://github.com/darknigthmare/deadwall-last-enclosure/blob/e28f46223e73105ab2c5d83f3d50b99b58ef53e6/codex-3000/compositions/Services et petits ateliers/DW-1186.md</x:v>
      </x:c>
      <x:c r="K1191" t="str">
        <x:v>Source min 12,10 m ; max 40,26 m ; modèle 25 × 18 m ; niveaux 0. Détails dans catalogue-existant.json.</x:v>
      </x:c>
    </x:row>
    <x:row r="1192">
      <x:c r="A1192" t="str">
        <x:v>DW-1187</x:v>
      </x:c>
      <x:c r="B1192" t="str">
        <x:v>DW-0094</x:v>
      </x:c>
      <x:c r="C1192" t="str">
        <x:v>Composition héritée</x:v>
      </x:c>
      <x:c r="D1192" t="str">
        <x:v>Services et petits ateliers</x:v>
      </x:c>
      <x:c r="E1192" t="str">
        <x:v>Entreprise d'électricité — Village et bourg / relais temporaire envisagé</x:v>
      </x:c>
      <x:c r="F1192" t="n">
        <x:v>8</x:v>
      </x:c>
      <x:c r="G1192" t="n">
        <x:v>4</x:v>
      </x:c>
      <x:c r="H1192" t="n">
        <x:v>12</x:v>
      </x:c>
      <x:c r="I1192" t="str">
        <x:v>À qualifier par lieu</x:v>
      </x:c>
      <x:c r="J1192" t="str">
        <x:v>https://github.com/darknigthmare/deadwall-last-enclosure/blob/e28f46223e73105ab2c5d83f3d50b99b58ef53e6/codex-3000/compositions/Services et petits ateliers/DW-1187.md</x:v>
      </x:c>
      <x:c r="K1192" t="str">
        <x:v>Source min 12,10 m ; max 40,26 m ; modèle 25 × 18 m ; niveaux 0. Détails dans catalogue-existant.json.</x:v>
      </x:c>
    </x:row>
    <x:row r="1193">
      <x:c r="A1193" t="str">
        <x:v>DW-1188</x:v>
      </x:c>
      <x:c r="B1193" t="str">
        <x:v>DW-0094</x:v>
      </x:c>
      <x:c r="C1193" t="str">
        <x:v>Composition héritée</x:v>
      </x:c>
      <x:c r="D1193" t="str">
        <x:v>Services et petits ateliers</x:v>
      </x:c>
      <x:c r="E1193" t="str">
        <x:v>Entreprise d'électricité — Ville moyenne / évacuation interrompue</x:v>
      </x:c>
      <x:c r="F1193" t="n">
        <x:v>8</x:v>
      </x:c>
      <x:c r="G1193" t="n">
        <x:v>4</x:v>
      </x:c>
      <x:c r="H1193" t="n">
        <x:v>12</x:v>
      </x:c>
      <x:c r="I1193" t="str">
        <x:v>À qualifier par lieu</x:v>
      </x:c>
      <x:c r="J1193" t="str">
        <x:v>https://github.com/darknigthmare/deadwall-last-enclosure/blob/e28f46223e73105ab2c5d83f3d50b99b58ef53e6/codex-3000/compositions/Services et petits ateliers/DW-1188.md</x:v>
      </x:c>
      <x:c r="K1193" t="str">
        <x:v>Source min 12,10 m ; max 40,26 m ; modèle 25 × 18 m ; niveaux 0. Détails dans catalogue-existant.json.</x:v>
      </x:c>
    </x:row>
    <x:row r="1194">
      <x:c r="A1194" t="str">
        <x:v>DW-1189</x:v>
      </x:c>
      <x:c r="B1194" t="str">
        <x:v>DW-0095</x:v>
      </x:c>
      <x:c r="C1194" t="str">
        <x:v>Composition héritée</x:v>
      </x:c>
      <x:c r="D1194" t="str">
        <x:v>Services et petits ateliers</x:v>
      </x:c>
      <x:c r="E1194" t="str">
        <x:v>Serrurerie — Zone industrielle / réseau principal coupé</x:v>
      </x:c>
      <x:c r="F1194" t="n">
        <x:v>8</x:v>
      </x:c>
      <x:c r="G1194" t="n">
        <x:v>4</x:v>
      </x:c>
      <x:c r="H1194" t="n">
        <x:v>12</x:v>
      </x:c>
      <x:c r="I1194" t="str">
        <x:v>À qualifier par lieu</x:v>
      </x:c>
      <x:c r="J1194" t="str">
        <x:v>https://github.com/darknigthmare/deadwall-last-enclosure/blob/e28f46223e73105ab2c5d83f3d50b99b58ef53e6/codex-3000/compositions/Services et petits ateliers/DW-1189.md</x:v>
      </x:c>
      <x:c r="K1194" t="str">
        <x:v>Source min 12,10 m ; max 40,26 m ; modèle 25 × 18 m ; niveaux 0. Détails dans catalogue-existant.json.</x:v>
      </x:c>
    </x:row>
    <x:row r="1195">
      <x:c r="A1195" t="str">
        <x:v>DW-1190</x:v>
      </x:c>
      <x:c r="B1195" t="str">
        <x:v>DW-0095</x:v>
      </x:c>
      <x:c r="C1195" t="str">
        <x:v>Composition héritée</x:v>
      </x:c>
      <x:c r="D1195" t="str">
        <x:v>Services et petits ateliers</x:v>
      </x:c>
      <x:c r="E1195" t="str">
        <x:v>Serrurerie — Atelier et artisanat / arrêt de maintenance</x:v>
      </x:c>
      <x:c r="F1195" t="n">
        <x:v>8</x:v>
      </x:c>
      <x:c r="G1195" t="n">
        <x:v>4</x:v>
      </x:c>
      <x:c r="H1195" t="n">
        <x:v>12</x:v>
      </x:c>
      <x:c r="I1195" t="str">
        <x:v>À qualifier par lieu</x:v>
      </x:c>
      <x:c r="J1195" t="str">
        <x:v>https://github.com/darknigthmare/deadwall-last-enclosure/blob/e28f46223e73105ab2c5d83f3d50b99b58ef53e6/codex-3000/compositions/Services et petits ateliers/DW-1190.md</x:v>
      </x:c>
      <x:c r="K1195" t="str">
        <x:v>Source min 12,10 m ; max 40,26 m ; modèle 25 × 18 m ; niveaux 0. Détails dans catalogue-existant.json.</x:v>
      </x:c>
    </x:row>
    <x:row r="1196">
      <x:c r="A1196" t="str">
        <x:v>DW-1191</x:v>
      </x:c>
      <x:c r="B1196" t="str">
        <x:v>DW-0096</x:v>
      </x:c>
      <x:c r="C1196" t="str">
        <x:v>Composition héritée</x:v>
      </x:c>
      <x:c r="D1196" t="str">
        <x:v>Services et petits ateliers</x:v>
      </x:c>
      <x:c r="E1196" t="str">
        <x:v>Service funéraire — Ville moyenne / repli organisé interrompu</x:v>
      </x:c>
      <x:c r="F1196" t="n">
        <x:v>8</x:v>
      </x:c>
      <x:c r="G1196" t="n">
        <x:v>4</x:v>
      </x:c>
      <x:c r="H1196" t="n">
        <x:v>12</x:v>
      </x:c>
      <x:c r="I1196" t="str">
        <x:v>À qualifier par lieu</x:v>
      </x:c>
      <x:c r="J1196" t="str">
        <x:v>https://github.com/darknigthmare/deadwall-last-enclosure/blob/e28f46223e73105ab2c5d83f3d50b99b58ef53e6/codex-3000/compositions/Services et petits ateliers/DW-1191.md</x:v>
      </x:c>
      <x:c r="K1196" t="str">
        <x:v>Source min 12,10 m ; max 40,26 m ; modèle 25 × 18 m ; niveaux 0. Détails dans catalogue-existant.json.</x:v>
      </x:c>
    </x:row>
    <x:row r="1197">
      <x:c r="A1197" t="str">
        <x:v>DW-1192</x:v>
      </x:c>
      <x:c r="B1197" t="str">
        <x:v>DW-0096</x:v>
      </x:c>
      <x:c r="C1197" t="str">
        <x:v>Composition héritée</x:v>
      </x:c>
      <x:c r="D1197" t="str">
        <x:v>Services et petits ateliers</x:v>
      </x:c>
      <x:c r="E1197" t="str">
        <x:v>Service funéraire — Village et bourg / première récupération passée</x:v>
      </x:c>
      <x:c r="F1197" t="n">
        <x:v>8</x:v>
      </x:c>
      <x:c r="G1197" t="n">
        <x:v>4</x:v>
      </x:c>
      <x:c r="H1197" t="n">
        <x:v>12</x:v>
      </x:c>
      <x:c r="I1197" t="str">
        <x:v>À qualifier par lieu</x:v>
      </x:c>
      <x:c r="J1197" t="str">
        <x:v>https://github.com/darknigthmare/deadwall-last-enclosure/blob/e28f46223e73105ab2c5d83f3d50b99b58ef53e6/codex-3000/compositions/Services et petits ateliers/DW-1192.md</x:v>
      </x:c>
      <x:c r="K1197" t="str">
        <x:v>Source min 12,10 m ; max 40,26 m ; modèle 25 × 18 m ; niveaux 0. Détails dans catalogue-existant.json.</x:v>
      </x:c>
    </x:row>
    <x:row r="1198">
      <x:c r="A1198" t="str">
        <x:v>DW-1193</x:v>
      </x:c>
      <x:c r="B1198" t="str">
        <x:v>DW-0097</x:v>
      </x:c>
      <x:c r="C1198" t="str">
        <x:v>Composition héritée</x:v>
      </x:c>
      <x:c r="D1198" t="str">
        <x:v>Services et petits ateliers</x:v>
      </x:c>
      <x:c r="E1198" t="str">
        <x:v>Clinique vétérinaire — Atelier et artisanat / évacuation interrompue</x:v>
      </x:c>
      <x:c r="F1198" t="n">
        <x:v>8</x:v>
      </x:c>
      <x:c r="G1198" t="n">
        <x:v>4</x:v>
      </x:c>
      <x:c r="H1198" t="n">
        <x:v>12</x:v>
      </x:c>
      <x:c r="I1198" t="str">
        <x:v>À qualifier par lieu</x:v>
      </x:c>
      <x:c r="J1198" t="str">
        <x:v>https://github.com/darknigthmare/deadwall-last-enclosure/blob/e28f46223e73105ab2c5d83f3d50b99b58ef53e6/codex-3000/compositions/Services et petits ateliers/DW-1193.md</x:v>
      </x:c>
      <x:c r="K1198" t="str">
        <x:v>Source min 12,10 m ; max 40,26 m ; modèle 25 × 18 m ; niveaux 0. Détails dans catalogue-existant.json.</x:v>
      </x:c>
    </x:row>
    <x:row r="1199">
      <x:c r="A1199" t="str">
        <x:v>DW-1194</x:v>
      </x:c>
      <x:c r="B1199" t="str">
        <x:v>DW-0097</x:v>
      </x:c>
      <x:c r="C1199" t="str">
        <x:v>Composition héritée</x:v>
      </x:c>
      <x:c r="D1199" t="str">
        <x:v>Services et petits ateliers</x:v>
      </x:c>
      <x:c r="E1199" t="str">
        <x:v>Clinique vétérinaire — Zone industrielle / service déplacé à l’arrière</x:v>
      </x:c>
      <x:c r="F1199" t="n">
        <x:v>8</x:v>
      </x:c>
      <x:c r="G1199" t="n">
        <x:v>4</x:v>
      </x:c>
      <x:c r="H1199" t="n">
        <x:v>12</x:v>
      </x:c>
      <x:c r="I1199" t="str">
        <x:v>À qualifier par lieu</x:v>
      </x:c>
      <x:c r="J1199" t="str">
        <x:v>https://github.com/darknigthmare/deadwall-last-enclosure/blob/e28f46223e73105ab2c5d83f3d50b99b58ef53e6/codex-3000/compositions/Services et petits ateliers/DW-1194.md</x:v>
      </x:c>
      <x:c r="K1199" t="str">
        <x:v>Source min 12,10 m ; max 40,26 m ; modèle 25 × 18 m ; niveaux 0. Détails dans catalogue-existant.json.</x:v>
      </x:c>
    </x:row>
    <x:row r="1200">
      <x:c r="A1200" t="str">
        <x:v>DW-1195</x:v>
      </x:c>
      <x:c r="B1200" t="str">
        <x:v>DW-0098</x:v>
      </x:c>
      <x:c r="C1200" t="str">
        <x:v>Composition héritée</x:v>
      </x:c>
      <x:c r="D1200" t="str">
        <x:v>Services et petits ateliers</x:v>
      </x:c>
      <x:c r="E1200" t="str">
        <x:v>Salon de toilettage animalier — Village et bourg / arrêt de maintenance</x:v>
      </x:c>
      <x:c r="F1200" t="n">
        <x:v>8</x:v>
      </x:c>
      <x:c r="G1200" t="n">
        <x:v>4</x:v>
      </x:c>
      <x:c r="H1200" t="n">
        <x:v>12</x:v>
      </x:c>
      <x:c r="I1200" t="str">
        <x:v>À qualifier par lieu</x:v>
      </x:c>
      <x:c r="J1200" t="str">
        <x:v>https://github.com/darknigthmare/deadwall-last-enclosure/blob/e28f46223e73105ab2c5d83f3d50b99b58ef53e6/codex-3000/compositions/Services et petits ateliers/DW-1195.md</x:v>
      </x:c>
      <x:c r="K1200" t="str">
        <x:v>Source min 12,10 m ; max 40,26 m ; modèle 25 × 18 m ; niveaux 0. Détails dans catalogue-existant.json.</x:v>
      </x:c>
    </x:row>
    <x:row r="1201">
      <x:c r="A1201" t="str">
        <x:v>DW-1196</x:v>
      </x:c>
      <x:c r="B1201" t="str">
        <x:v>DW-0098</x:v>
      </x:c>
      <x:c r="C1201" t="str">
        <x:v>Composition héritée</x:v>
      </x:c>
      <x:c r="D1201" t="str">
        <x:v>Services et petits ateliers</x:v>
      </x:c>
      <x:c r="E1201" t="str">
        <x:v>Salon de toilettage animalier — Ville moyenne / reprise progressive de la végétation</x:v>
      </x:c>
      <x:c r="F1201" t="n">
        <x:v>8</x:v>
      </x:c>
      <x:c r="G1201" t="n">
        <x:v>4</x:v>
      </x:c>
      <x:c r="H1201" t="n">
        <x:v>12</x:v>
      </x:c>
      <x:c r="I1201" t="str">
        <x:v>À qualifier par lieu</x:v>
      </x:c>
      <x:c r="J1201" t="str">
        <x:v>https://github.com/darknigthmare/deadwall-last-enclosure/blob/e28f46223e73105ab2c5d83f3d50b99b58ef53e6/codex-3000/compositions/Services et petits ateliers/DW-1196.md</x:v>
      </x:c>
      <x:c r="K1201" t="str">
        <x:v>Source min 12,10 m ; max 40,26 m ; modèle 25 × 18 m ; niveaux 0. Détails dans catalogue-existant.json.</x:v>
      </x:c>
    </x:row>
    <x:row r="1202">
      <x:c r="A1202" t="str">
        <x:v>DW-1197</x:v>
      </x:c>
      <x:c r="B1202" t="str">
        <x:v>DW-0099</x:v>
      </x:c>
      <x:c r="C1202" t="str">
        <x:v>Composition héritée</x:v>
      </x:c>
      <x:c r="D1202" t="str">
        <x:v>Services et petits ateliers</x:v>
      </x:c>
      <x:c r="E1202" t="str">
        <x:v>Centre téléphonique — Zone industrielle / première récupération passée</x:v>
      </x:c>
      <x:c r="F1202" t="n">
        <x:v>8</x:v>
      </x:c>
      <x:c r="G1202" t="n">
        <x:v>4</x:v>
      </x:c>
      <x:c r="H1202" t="n">
        <x:v>12</x:v>
      </x:c>
      <x:c r="I1202" t="str">
        <x:v>À qualifier par lieu</x:v>
      </x:c>
      <x:c r="J1202" t="str">
        <x:v>https://github.com/darknigthmare/deadwall-last-enclosure/blob/e28f46223e73105ab2c5d83f3d50b99b58ef53e6/codex-3000/compositions/Services et petits ateliers/DW-1197.md</x:v>
      </x:c>
      <x:c r="K1202" t="str">
        <x:v>Source min 12,10 m ; max 40,26 m ; modèle 25 × 18 m ; niveaux 0. Détails dans catalogue-existant.json.</x:v>
      </x:c>
    </x:row>
    <x:row r="1203">
      <x:c r="A1203" t="str">
        <x:v>DW-1198</x:v>
      </x:c>
      <x:c r="B1203" t="str">
        <x:v>DW-0099</x:v>
      </x:c>
      <x:c r="C1203" t="str">
        <x:v>Composition héritée</x:v>
      </x:c>
      <x:c r="D1203" t="str">
        <x:v>Services et petits ateliers</x:v>
      </x:c>
      <x:c r="E1203" t="str">
        <x:v>Centre téléphonique — Atelier et artisanat / relais temporaire envisagé</x:v>
      </x:c>
      <x:c r="F1203" t="n">
        <x:v>8</x:v>
      </x:c>
      <x:c r="G1203" t="n">
        <x:v>4</x:v>
      </x:c>
      <x:c r="H1203" t="n">
        <x:v>12</x:v>
      </x:c>
      <x:c r="I1203" t="str">
        <x:v>À qualifier par lieu</x:v>
      </x:c>
      <x:c r="J1203" t="str">
        <x:v>https://github.com/darknigthmare/deadwall-last-enclosure/blob/e28f46223e73105ab2c5d83f3d50b99b58ef53e6/codex-3000/compositions/Services et petits ateliers/DW-1198.md</x:v>
      </x:c>
      <x:c r="K1203" t="str">
        <x:v>Source min 12,10 m ; max 40,26 m ; modèle 25 × 18 m ; niveaux 0. Détails dans catalogue-existant.json.</x:v>
      </x:c>
    </x:row>
    <x:row r="1204">
      <x:c r="A1204" t="str">
        <x:v>DW-1199</x:v>
      </x:c>
      <x:c r="B1204" t="str">
        <x:v>DW-0100</x:v>
      </x:c>
      <x:c r="C1204" t="str">
        <x:v>Composition héritée</x:v>
      </x:c>
      <x:c r="D1204" t="str">
        <x:v>Services et petits ateliers</x:v>
      </x:c>
      <x:c r="E1204" t="str">
        <x:v>Bureau d'ingénierie — Ville moyenne / service déplacé à l’arrière</x:v>
      </x:c>
      <x:c r="F1204" t="n">
        <x:v>8</x:v>
      </x:c>
      <x:c r="G1204" t="n">
        <x:v>4</x:v>
      </x:c>
      <x:c r="H1204" t="n">
        <x:v>12</x:v>
      </x:c>
      <x:c r="I1204" t="str">
        <x:v>À qualifier par lieu</x:v>
      </x:c>
      <x:c r="J1204" t="str">
        <x:v>https://github.com/darknigthmare/deadwall-last-enclosure/blob/e28f46223e73105ab2c5d83f3d50b99b58ef53e6/codex-3000/compositions/Services et petits ateliers/DW-1199.md</x:v>
      </x:c>
      <x:c r="K1204" t="str">
        <x:v>Source min 12,10 m ; max 40,26 m ; modèle 25 × 18 m ; niveaux 0. Détails dans catalogue-existant.json.</x:v>
      </x:c>
    </x:row>
    <x:row r="1205">
      <x:c r="A1205" t="str">
        <x:v>DW-1200</x:v>
      </x:c>
      <x:c r="B1205" t="str">
        <x:v>DW-0100</x:v>
      </x:c>
      <x:c r="C1205" t="str">
        <x:v>Composition héritée</x:v>
      </x:c>
      <x:c r="D1205" t="str">
        <x:v>Services et petits ateliers</x:v>
      </x:c>
      <x:c r="E1205" t="str">
        <x:v>Bureau d'ingénierie — Village et bourg / réseau principal coupé</x:v>
      </x:c>
      <x:c r="F1205" t="n">
        <x:v>8</x:v>
      </x:c>
      <x:c r="G1205" t="n">
        <x:v>4</x:v>
      </x:c>
      <x:c r="H1205" t="n">
        <x:v>12</x:v>
      </x:c>
      <x:c r="I1205" t="str">
        <x:v>À qualifier par lieu</x:v>
      </x:c>
      <x:c r="J1205" t="str">
        <x:v>https://github.com/darknigthmare/deadwall-last-enclosure/blob/e28f46223e73105ab2c5d83f3d50b99b58ef53e6/codex-3000/compositions/Services et petits ateliers/DW-1200.md</x:v>
      </x:c>
      <x:c r="K1205" t="str">
        <x:v>Source min 12,10 m ; max 40,26 m ; modèle 25 × 18 m ; niveaux 0. Détails dans catalogue-existant.json.</x:v>
      </x:c>
    </x:row>
    <x:row r="1206">
      <x:c r="A1206" t="str">
        <x:v>DW-1201</x:v>
      </x:c>
      <x:c r="B1206" t="str">
        <x:v>DW-0101</x:v>
      </x:c>
      <x:c r="C1206" t="str">
        <x:v>Composition héritée</x:v>
      </x:c>
      <x:c r="D1206" t="str">
        <x:v>Hôtellerie et hébergement</x:v>
      </x:c>
      <x:c r="E1206" t="str">
        <x:v>Hôtel de centre-ville — Village et bourg / reprise progressive de la végétation</x:v>
      </x:c>
      <x:c r="F1206" t="n">
        <x:v>8</x:v>
      </x:c>
      <x:c r="G1206" t="n">
        <x:v>5</x:v>
      </x:c>
      <x:c r="H1206" t="n">
        <x:v>15</x:v>
      </x:c>
      <x:c r="I1206" t="str">
        <x:v>À qualifier par lieu</x:v>
      </x:c>
      <x:c r="J1206" t="str">
        <x:v>https://github.com/darknigthmare/deadwall-last-enclosure/blob/e28f46223e73105ab2c5d83f3d50b99b58ef53e6/codex-3000/compositions/Hôtellerie et hébergement/DW-1201.md</x:v>
      </x:c>
      <x:c r="K1206" t="str">
        <x:v>Source min 26,18 m ; max 100,65 m ; modèle 26 × 22 m ; niveaux 0, 1, 2. Détails dans catalogue-existant.json.</x:v>
      </x:c>
    </x:row>
    <x:row r="1207">
      <x:c r="A1207" t="str">
        <x:v>DW-1202</x:v>
      </x:c>
      <x:c r="B1207" t="str">
        <x:v>DW-0101</x:v>
      </x:c>
      <x:c r="C1207" t="str">
        <x:v>Composition héritée</x:v>
      </x:c>
      <x:c r="D1207" t="str">
        <x:v>Hôtellerie et hébergement</x:v>
      </x:c>
      <x:c r="E1207" t="str">
        <x:v>Hôtel de centre-ville — Ville moyenne / repli organisé interrompu</x:v>
      </x:c>
      <x:c r="F1207" t="n">
        <x:v>8</x:v>
      </x:c>
      <x:c r="G1207" t="n">
        <x:v>5</x:v>
      </x:c>
      <x:c r="H1207" t="n">
        <x:v>15</x:v>
      </x:c>
      <x:c r="I1207" t="str">
        <x:v>À qualifier par lieu</x:v>
      </x:c>
      <x:c r="J1207" t="str">
        <x:v>https://github.com/darknigthmare/deadwall-last-enclosure/blob/e28f46223e73105ab2c5d83f3d50b99b58ef53e6/codex-3000/compositions/Hôtellerie et hébergement/DW-1202.md</x:v>
      </x:c>
      <x:c r="K1207" t="str">
        <x:v>Source min 26,18 m ; max 100,65 m ; modèle 26 × 22 m ; niveaux 0, 1, 2. Détails dans catalogue-existant.json.</x:v>
      </x:c>
    </x:row>
    <x:row r="1208">
      <x:c r="A1208" t="str">
        <x:v>DW-1203</x:v>
      </x:c>
      <x:c r="B1208" t="str">
        <x:v>DW-0102</x:v>
      </x:c>
      <x:c r="C1208" t="str">
        <x:v>Composition héritée</x:v>
      </x:c>
      <x:c r="D1208" t="str">
        <x:v>Hôtellerie et hébergement</x:v>
      </x:c>
      <x:c r="E1208" t="str">
        <x:v>Hôtel routier à coursive — Zone de loisirs / relais temporaire envisagé</x:v>
      </x:c>
      <x:c r="F1208" t="n">
        <x:v>8</x:v>
      </x:c>
      <x:c r="G1208" t="n">
        <x:v>5</x:v>
      </x:c>
      <x:c r="H1208" t="n">
        <x:v>13</x:v>
      </x:c>
      <x:c r="I1208" t="str">
        <x:v>À qualifier par lieu</x:v>
      </x:c>
      <x:c r="J1208" t="str">
        <x:v>https://github.com/darknigthmare/deadwall-last-enclosure/blob/e28f46223e73105ab2c5d83f3d50b99b58ef53e6/codex-3000/compositions/Hôtellerie et hébergement/DW-1203.md</x:v>
      </x:c>
      <x:c r="K1208" t="str">
        <x:v>Source min 26,18 m ; max 100,65 m ; modèle 26 × 22 m ; niveaux 0, 1, 2. Détails dans catalogue-existant.json.</x:v>
      </x:c>
    </x:row>
    <x:row r="1209">
      <x:c r="A1209" t="str">
        <x:v>DW-1204</x:v>
      </x:c>
      <x:c r="B1209" t="str">
        <x:v>DW-0102</x:v>
      </x:c>
      <x:c r="C1209" t="str">
        <x:v>Composition héritée</x:v>
      </x:c>
      <x:c r="D1209" t="str">
        <x:v>Hôtellerie et hébergement</x:v>
      </x:c>
      <x:c r="E1209" t="str">
        <x:v>Hôtel routier à coursive — Lac et base de loisirs / évacuation interrompue</x:v>
      </x:c>
      <x:c r="F1209" t="n">
        <x:v>10</x:v>
      </x:c>
      <x:c r="G1209" t="n">
        <x:v>5</x:v>
      </x:c>
      <x:c r="H1209" t="n">
        <x:v>13</x:v>
      </x:c>
      <x:c r="I1209" t="str">
        <x:v>À qualifier par lieu</x:v>
      </x:c>
      <x:c r="J1209" t="str">
        <x:v>https://github.com/darknigthmare/deadwall-last-enclosure/blob/e28f46223e73105ab2c5d83f3d50b99b58ef53e6/codex-3000/compositions/Hôtellerie et hébergement/DW-1204.md</x:v>
      </x:c>
      <x:c r="K1209" t="str">
        <x:v>Source min 26,18 m ; max 100,65 m ; modèle 26 × 22 m ; niveaux 0, 1, 2. Détails dans catalogue-existant.json.</x:v>
      </x:c>
    </x:row>
    <x:row r="1210">
      <x:c r="A1210" t="str">
        <x:v>DW-1205</x:v>
      </x:c>
      <x:c r="B1210" t="str">
        <x:v>DW-0103</x:v>
      </x:c>
      <x:c r="C1210" t="str">
        <x:v>Composition héritée</x:v>
      </x:c>
      <x:c r="D1210" t="str">
        <x:v>Hôtellerie et hébergement</x:v>
      </x:c>
      <x:c r="E1210" t="str">
        <x:v>Grand hôtel de congrès — Ville moyenne / réseau principal coupé</x:v>
      </x:c>
      <x:c r="F1210" t="n">
        <x:v>8</x:v>
      </x:c>
      <x:c r="G1210" t="n">
        <x:v>5</x:v>
      </x:c>
      <x:c r="H1210" t="n">
        <x:v>15</x:v>
      </x:c>
      <x:c r="I1210" t="str">
        <x:v>À qualifier par lieu</x:v>
      </x:c>
      <x:c r="J1210" t="str">
        <x:v>https://github.com/darknigthmare/deadwall-last-enclosure/blob/e28f46223e73105ab2c5d83f3d50b99b58ef53e6/codex-3000/compositions/Hôtellerie et hébergement/DW-1205.md</x:v>
      </x:c>
      <x:c r="K1210" t="str">
        <x:v>Source min 26,18 m ; max 100,65 m ; modèle 26 × 22 m ; niveaux 0, 1, 2. Détails dans catalogue-existant.json.</x:v>
      </x:c>
    </x:row>
    <x:row r="1211">
      <x:c r="A1211" t="str">
        <x:v>DW-1206</x:v>
      </x:c>
      <x:c r="B1211" t="str">
        <x:v>DW-0103</x:v>
      </x:c>
      <x:c r="C1211" t="str">
        <x:v>Composition héritée</x:v>
      </x:c>
      <x:c r="D1211" t="str">
        <x:v>Hôtellerie et hébergement</x:v>
      </x:c>
      <x:c r="E1211" t="str">
        <x:v>Grand hôtel de congrès — Village et bourg / arrêt de maintenance</x:v>
      </x:c>
      <x:c r="F1211" t="n">
        <x:v>8</x:v>
      </x:c>
      <x:c r="G1211" t="n">
        <x:v>5</x:v>
      </x:c>
      <x:c r="H1211" t="n">
        <x:v>15</x:v>
      </x:c>
      <x:c r="I1211" t="str">
        <x:v>À qualifier par lieu</x:v>
      </x:c>
      <x:c r="J1211" t="str">
        <x:v>https://github.com/darknigthmare/deadwall-last-enclosure/blob/e28f46223e73105ab2c5d83f3d50b99b58ef53e6/codex-3000/compositions/Hôtellerie et hébergement/DW-1206.md</x:v>
      </x:c>
      <x:c r="K1211" t="str">
        <x:v>Source min 26,18 m ; max 100,65 m ; modèle 26 × 22 m ; niveaux 0, 1, 2. Détails dans catalogue-existant.json.</x:v>
      </x:c>
    </x:row>
    <x:row r="1212">
      <x:c r="A1212" t="str">
        <x:v>DW-1207</x:v>
      </x:c>
      <x:c r="B1212" t="str">
        <x:v>DW-0104</x:v>
      </x:c>
      <x:c r="C1212" t="str">
        <x:v>Composition héritée</x:v>
      </x:c>
      <x:c r="D1212" t="str">
        <x:v>Hôtellerie et hébergement</x:v>
      </x:c>
      <x:c r="E1212" t="str">
        <x:v>Auberge de village — Lac et base de loisirs / repli organisé interrompu</x:v>
      </x:c>
      <x:c r="F1212" t="n">
        <x:v>10</x:v>
      </x:c>
      <x:c r="G1212" t="n">
        <x:v>4</x:v>
      </x:c>
      <x:c r="H1212" t="n">
        <x:v>12</x:v>
      </x:c>
      <x:c r="I1212" t="str">
        <x:v>À qualifier par lieu</x:v>
      </x:c>
      <x:c r="J1212" t="str">
        <x:v>https://github.com/darknigthmare/deadwall-last-enclosure/blob/e28f46223e73105ab2c5d83f3d50b99b58ef53e6/codex-3000/compositions/Hôtellerie et hébergement/DW-1207.md</x:v>
      </x:c>
      <x:c r="K1212" t="str">
        <x:v>Source min 26,18 m ; max 100,65 m ; modèle 26 × 18 m ; niveaux 0, 1. Détails dans catalogue-existant.json.</x:v>
      </x:c>
    </x:row>
    <x:row r="1213">
      <x:c r="A1213" t="str">
        <x:v>DW-1208</x:v>
      </x:c>
      <x:c r="B1213" t="str">
        <x:v>DW-0104</x:v>
      </x:c>
      <x:c r="C1213" t="str">
        <x:v>Composition héritée</x:v>
      </x:c>
      <x:c r="D1213" t="str">
        <x:v>Hôtellerie et hébergement</x:v>
      </x:c>
      <x:c r="E1213" t="str">
        <x:v>Auberge de village — Zone de loisirs / première récupération passée</x:v>
      </x:c>
      <x:c r="F1213" t="n">
        <x:v>8</x:v>
      </x:c>
      <x:c r="G1213" t="n">
        <x:v>4</x:v>
      </x:c>
      <x:c r="H1213" t="n">
        <x:v>12</x:v>
      </x:c>
      <x:c r="I1213" t="str">
        <x:v>À qualifier par lieu</x:v>
      </x:c>
      <x:c r="J1213" t="str">
        <x:v>https://github.com/darknigthmare/deadwall-last-enclosure/blob/e28f46223e73105ab2c5d83f3d50b99b58ef53e6/codex-3000/compositions/Hôtellerie et hébergement/DW-1208.md</x:v>
      </x:c>
      <x:c r="K1213" t="str">
        <x:v>Source min 26,18 m ; max 100,65 m ; modèle 26 × 18 m ; niveaux 0, 1. Détails dans catalogue-existant.json.</x:v>
      </x:c>
    </x:row>
    <x:row r="1214">
      <x:c r="A1214" t="str">
        <x:v>DW-1209</x:v>
      </x:c>
      <x:c r="B1214" t="str">
        <x:v>DW-0105</x:v>
      </x:c>
      <x:c r="C1214" t="str">
        <x:v>Composition héritée</x:v>
      </x:c>
      <x:c r="D1214" t="str">
        <x:v>Hôtellerie et hébergement</x:v>
      </x:c>
      <x:c r="E1214" t="str">
        <x:v>Gîte collectif — Village et bourg / évacuation interrompue</x:v>
      </x:c>
      <x:c r="F1214" t="n">
        <x:v>8</x:v>
      </x:c>
      <x:c r="G1214" t="n">
        <x:v>4</x:v>
      </x:c>
      <x:c r="H1214" t="n">
        <x:v>12</x:v>
      </x:c>
      <x:c r="I1214" t="str">
        <x:v>À qualifier par lieu</x:v>
      </x:c>
      <x:c r="J1214" t="str">
        <x:v>https://github.com/darknigthmare/deadwall-last-enclosure/blob/e28f46223e73105ab2c5d83f3d50b99b58ef53e6/codex-3000/compositions/Hôtellerie et hébergement/DW-1209.md</x:v>
      </x:c>
      <x:c r="K1214" t="str">
        <x:v>Source min 26,18 m ; max 100,65 m ; modèle 26 × 18 m ; niveaux 0. Détails dans catalogue-existant.json.</x:v>
      </x:c>
    </x:row>
    <x:row r="1215">
      <x:c r="A1215" t="str">
        <x:v>DW-1210</x:v>
      </x:c>
      <x:c r="B1215" t="str">
        <x:v>DW-0105</x:v>
      </x:c>
      <x:c r="C1215" t="str">
        <x:v>Composition héritée</x:v>
      </x:c>
      <x:c r="D1215" t="str">
        <x:v>Hôtellerie et hébergement</x:v>
      </x:c>
      <x:c r="E1215" t="str">
        <x:v>Gîte collectif — Ville moyenne / service déplacé à l’arrière</x:v>
      </x:c>
      <x:c r="F1215" t="n">
        <x:v>8</x:v>
      </x:c>
      <x:c r="G1215" t="n">
        <x:v>4</x:v>
      </x:c>
      <x:c r="H1215" t="n">
        <x:v>12</x:v>
      </x:c>
      <x:c r="I1215" t="str">
        <x:v>À qualifier par lieu</x:v>
      </x:c>
      <x:c r="J1215" t="str">
        <x:v>https://github.com/darknigthmare/deadwall-last-enclosure/blob/e28f46223e73105ab2c5d83f3d50b99b58ef53e6/codex-3000/compositions/Hôtellerie et hébergement/DW-1210.md</x:v>
      </x:c>
      <x:c r="K1215" t="str">
        <x:v>Source min 26,18 m ; max 100,65 m ; modèle 26 × 18 m ; niveaux 0. Détails dans catalogue-existant.json.</x:v>
      </x:c>
    </x:row>
    <x:row r="1216">
      <x:c r="A1216" t="str">
        <x:v>DW-1211</x:v>
      </x:c>
      <x:c r="B1216" t="str">
        <x:v>DW-0106</x:v>
      </x:c>
      <x:c r="C1216" t="str">
        <x:v>Composition héritée</x:v>
      </x:c>
      <x:c r="D1216" t="str">
        <x:v>Hôtellerie et hébergement</x:v>
      </x:c>
      <x:c r="E1216" t="str">
        <x:v>Auberge de jeunesse — Zone de loisirs / arrêt de maintenance</x:v>
      </x:c>
      <x:c r="F1216" t="n">
        <x:v>8</x:v>
      </x:c>
      <x:c r="G1216" t="n">
        <x:v>4</x:v>
      </x:c>
      <x:c r="H1216" t="n">
        <x:v>12</x:v>
      </x:c>
      <x:c r="I1216" t="str">
        <x:v>À qualifier par lieu</x:v>
      </x:c>
      <x:c r="J1216" t="str">
        <x:v>https://github.com/darknigthmare/deadwall-last-enclosure/blob/e28f46223e73105ab2c5d83f3d50b99b58ef53e6/codex-3000/compositions/Hôtellerie et hébergement/DW-1211.md</x:v>
      </x:c>
      <x:c r="K1216" t="str">
        <x:v>Source min 26,18 m ; max 100,65 m ; modèle 26 × 18 m ; niveaux 0. Détails dans catalogue-existant.json.</x:v>
      </x:c>
    </x:row>
    <x:row r="1217">
      <x:c r="A1217" t="str">
        <x:v>DW-1212</x:v>
      </x:c>
      <x:c r="B1217" t="str">
        <x:v>DW-0106</x:v>
      </x:c>
      <x:c r="C1217" t="str">
        <x:v>Composition héritée</x:v>
      </x:c>
      <x:c r="D1217" t="str">
        <x:v>Hôtellerie et hébergement</x:v>
      </x:c>
      <x:c r="E1217" t="str">
        <x:v>Auberge de jeunesse — Lac et base de loisirs / reprise progressive de la végétation</x:v>
      </x:c>
      <x:c r="F1217" t="n">
        <x:v>10</x:v>
      </x:c>
      <x:c r="G1217" t="n">
        <x:v>4</x:v>
      </x:c>
      <x:c r="H1217" t="n">
        <x:v>12</x:v>
      </x:c>
      <x:c r="I1217" t="str">
        <x:v>À qualifier par lieu</x:v>
      </x:c>
      <x:c r="J1217" t="str">
        <x:v>https://github.com/darknigthmare/deadwall-last-enclosure/blob/e28f46223e73105ab2c5d83f3d50b99b58ef53e6/codex-3000/compositions/Hôtellerie et hébergement/DW-1212.md</x:v>
      </x:c>
      <x:c r="K1217" t="str">
        <x:v>Source min 26,18 m ; max 100,65 m ; modèle 26 × 18 m ; niveaux 0. Détails dans catalogue-existant.json.</x:v>
      </x:c>
    </x:row>
    <x:row r="1218">
      <x:c r="A1218" t="str">
        <x:v>DW-1213</x:v>
      </x:c>
      <x:c r="B1218" t="str">
        <x:v>DW-0107</x:v>
      </x:c>
      <x:c r="C1218" t="str">
        <x:v>Composition héritée</x:v>
      </x:c>
      <x:c r="D1218" t="str">
        <x:v>Hôtellerie et hébergement</x:v>
      </x:c>
      <x:c r="E1218" t="str">
        <x:v>Maison d'hôtes — Ville moyenne / première récupération passée</x:v>
      </x:c>
      <x:c r="F1218" t="n">
        <x:v>8</x:v>
      </x:c>
      <x:c r="G1218" t="n">
        <x:v>4</x:v>
      </x:c>
      <x:c r="H1218" t="n">
        <x:v>12</x:v>
      </x:c>
      <x:c r="I1218" t="str">
        <x:v>À qualifier par lieu</x:v>
      </x:c>
      <x:c r="J1218" t="str">
        <x:v>https://github.com/darknigthmare/deadwall-last-enclosure/blob/e28f46223e73105ab2c5d83f3d50b99b58ef53e6/codex-3000/compositions/Hôtellerie et hébergement/DW-1213.md</x:v>
      </x:c>
      <x:c r="K1218" t="str">
        <x:v>Source min 26,18 m ; max 100,65 m ; modèle 26 × 18 m ; niveaux 0. Détails dans catalogue-existant.json.</x:v>
      </x:c>
    </x:row>
    <x:row r="1219">
      <x:c r="A1219" t="str">
        <x:v>DW-1214</x:v>
      </x:c>
      <x:c r="B1219" t="str">
        <x:v>DW-0107</x:v>
      </x:c>
      <x:c r="C1219" t="str">
        <x:v>Composition héritée</x:v>
      </x:c>
      <x:c r="D1219" t="str">
        <x:v>Hôtellerie et hébergement</x:v>
      </x:c>
      <x:c r="E1219" t="str">
        <x:v>Maison d'hôtes — Village et bourg / relais temporaire envisagé</x:v>
      </x:c>
      <x:c r="F1219" t="n">
        <x:v>8</x:v>
      </x:c>
      <x:c r="G1219" t="n">
        <x:v>4</x:v>
      </x:c>
      <x:c r="H1219" t="n">
        <x:v>12</x:v>
      </x:c>
      <x:c r="I1219" t="str">
        <x:v>À qualifier par lieu</x:v>
      </x:c>
      <x:c r="J1219" t="str">
        <x:v>https://github.com/darknigthmare/deadwall-last-enclosure/blob/e28f46223e73105ab2c5d83f3d50b99b58ef53e6/codex-3000/compositions/Hôtellerie et hébergement/DW-1214.md</x:v>
      </x:c>
      <x:c r="K1219" t="str">
        <x:v>Source min 26,18 m ; max 100,65 m ; modèle 26 × 18 m ; niveaux 0. Détails dans catalogue-existant.json.</x:v>
      </x:c>
    </x:row>
    <x:row r="1220">
      <x:c r="A1220" t="str">
        <x:v>DW-1215</x:v>
      </x:c>
      <x:c r="B1220" t="str">
        <x:v>DW-0108</x:v>
      </x:c>
      <x:c r="C1220" t="str">
        <x:v>Composition héritée</x:v>
      </x:c>
      <x:c r="D1220" t="str">
        <x:v>Hôtellerie et hébergement</x:v>
      </x:c>
      <x:c r="E1220" t="str">
        <x:v>Camping organisé — Lac et base de loisirs / service déplacé à l’arrière</x:v>
      </x:c>
      <x:c r="F1220" t="n">
        <x:v>10</x:v>
      </x:c>
      <x:c r="G1220" t="n">
        <x:v>4</x:v>
      </x:c>
      <x:c r="H1220" t="n">
        <x:v>12</x:v>
      </x:c>
      <x:c r="I1220" t="str">
        <x:v>À qualifier par lieu</x:v>
      </x:c>
      <x:c r="J1220" t="str">
        <x:v>https://github.com/darknigthmare/deadwall-last-enclosure/blob/e28f46223e73105ab2c5d83f3d50b99b58ef53e6/codex-3000/compositions/Hôtellerie et hébergement/DW-1215.md</x:v>
      </x:c>
      <x:c r="K1220" t="str">
        <x:v>Source min 26,18 m ; max 100,65 m ; modèle 26 × 18 m ; niveaux 0. Détails dans catalogue-existant.json.</x:v>
      </x:c>
    </x:row>
    <x:row r="1221">
      <x:c r="A1221" t="str">
        <x:v>DW-1216</x:v>
      </x:c>
      <x:c r="B1221" t="str">
        <x:v>DW-0108</x:v>
      </x:c>
      <x:c r="C1221" t="str">
        <x:v>Composition héritée</x:v>
      </x:c>
      <x:c r="D1221" t="str">
        <x:v>Hôtellerie et hébergement</x:v>
      </x:c>
      <x:c r="E1221" t="str">
        <x:v>Camping organisé — Zone de loisirs / réseau principal coupé</x:v>
      </x:c>
      <x:c r="F1221" t="n">
        <x:v>8</x:v>
      </x:c>
      <x:c r="G1221" t="n">
        <x:v>4</x:v>
      </x:c>
      <x:c r="H1221" t="n">
        <x:v>12</x:v>
      </x:c>
      <x:c r="I1221" t="str">
        <x:v>À qualifier par lieu</x:v>
      </x:c>
      <x:c r="J1221" t="str">
        <x:v>https://github.com/darknigthmare/deadwall-last-enclosure/blob/e28f46223e73105ab2c5d83f3d50b99b58ef53e6/codex-3000/compositions/Hôtellerie et hébergement/DW-1216.md</x:v>
      </x:c>
      <x:c r="K1221" t="str">
        <x:v>Source min 26,18 m ; max 100,65 m ; modèle 26 × 18 m ; niveaux 0. Détails dans catalogue-existant.json.</x:v>
      </x:c>
    </x:row>
    <x:row r="1222">
      <x:c r="A1222" t="str">
        <x:v>DW-1217</x:v>
      </x:c>
      <x:c r="B1222" t="str">
        <x:v>DW-0109</x:v>
      </x:c>
      <x:c r="C1222" t="str">
        <x:v>Composition héritée</x:v>
      </x:c>
      <x:c r="D1222" t="str">
        <x:v>Hôtellerie et hébergement</x:v>
      </x:c>
      <x:c r="E1222" t="str">
        <x:v>Camping à la ferme — Village et bourg / reprise progressive de la végétation</x:v>
      </x:c>
      <x:c r="F1222" t="n">
        <x:v>8</x:v>
      </x:c>
      <x:c r="G1222" t="n">
        <x:v>4</x:v>
      </x:c>
      <x:c r="H1222" t="n">
        <x:v>12</x:v>
      </x:c>
      <x:c r="I1222" t="str">
        <x:v>À qualifier par lieu</x:v>
      </x:c>
      <x:c r="J1222" t="str">
        <x:v>https://github.com/darknigthmare/deadwall-last-enclosure/blob/e28f46223e73105ab2c5d83f3d50b99b58ef53e6/codex-3000/compositions/Hôtellerie et hébergement/DW-1217.md</x:v>
      </x:c>
      <x:c r="K1222" t="str">
        <x:v>Source min 26,18 m ; max 100,65 m ; modèle 26 × 18 m ; niveaux 0. Détails dans catalogue-existant.json.</x:v>
      </x:c>
    </x:row>
    <x:row r="1223">
      <x:c r="A1223" t="str">
        <x:v>DW-1218</x:v>
      </x:c>
      <x:c r="B1223" t="str">
        <x:v>DW-0109</x:v>
      </x:c>
      <x:c r="C1223" t="str">
        <x:v>Composition héritée</x:v>
      </x:c>
      <x:c r="D1223" t="str">
        <x:v>Hôtellerie et hébergement</x:v>
      </x:c>
      <x:c r="E1223" t="str">
        <x:v>Camping à la ferme — Ville moyenne / repli organisé interrompu</x:v>
      </x:c>
      <x:c r="F1223" t="n">
        <x:v>8</x:v>
      </x:c>
      <x:c r="G1223" t="n">
        <x:v>4</x:v>
      </x:c>
      <x:c r="H1223" t="n">
        <x:v>12</x:v>
      </x:c>
      <x:c r="I1223" t="str">
        <x:v>À qualifier par lieu</x:v>
      </x:c>
      <x:c r="J1223" t="str">
        <x:v>https://github.com/darknigthmare/deadwall-last-enclosure/blob/e28f46223e73105ab2c5d83f3d50b99b58ef53e6/codex-3000/compositions/Hôtellerie et hébergement/DW-1218.md</x:v>
      </x:c>
      <x:c r="K1223" t="str">
        <x:v>Source min 26,18 m ; max 100,65 m ; modèle 26 × 18 m ; niveaux 0. Détails dans catalogue-existant.json.</x:v>
      </x:c>
    </x:row>
    <x:row r="1224">
      <x:c r="A1224" t="str">
        <x:v>DW-1219</x:v>
      </x:c>
      <x:c r="B1224" t="str">
        <x:v>DW-0110</x:v>
      </x:c>
      <x:c r="C1224" t="str">
        <x:v>Composition héritée</x:v>
      </x:c>
      <x:c r="D1224" t="str">
        <x:v>Hôtellerie et hébergement</x:v>
      </x:c>
      <x:c r="E1224" t="str">
        <x:v>Village de vacances — Zone de loisirs / relais temporaire envisagé</x:v>
      </x:c>
      <x:c r="F1224" t="n">
        <x:v>8</x:v>
      </x:c>
      <x:c r="G1224" t="n">
        <x:v>4</x:v>
      </x:c>
      <x:c r="H1224" t="n">
        <x:v>12</x:v>
      </x:c>
      <x:c r="I1224" t="str">
        <x:v>À qualifier par lieu</x:v>
      </x:c>
      <x:c r="J1224" t="str">
        <x:v>https://github.com/darknigthmare/deadwall-last-enclosure/blob/e28f46223e73105ab2c5d83f3d50b99b58ef53e6/codex-3000/compositions/Hôtellerie et hébergement/DW-1219.md</x:v>
      </x:c>
      <x:c r="K1224" t="str">
        <x:v>Source min 26,18 m ; max 100,65 m ; modèle 26 × 18 m ; niveaux 0. Détails dans catalogue-existant.json.</x:v>
      </x:c>
    </x:row>
    <x:row r="1225">
      <x:c r="A1225" t="str">
        <x:v>DW-1220</x:v>
      </x:c>
      <x:c r="B1225" t="str">
        <x:v>DW-0110</x:v>
      </x:c>
      <x:c r="C1225" t="str">
        <x:v>Composition héritée</x:v>
      </x:c>
      <x:c r="D1225" t="str">
        <x:v>Hôtellerie et hébergement</x:v>
      </x:c>
      <x:c r="E1225" t="str">
        <x:v>Village de vacances — Lac et base de loisirs / évacuation interrompue</x:v>
      </x:c>
      <x:c r="F1225" t="n">
        <x:v>10</x:v>
      </x:c>
      <x:c r="G1225" t="n">
        <x:v>4</x:v>
      </x:c>
      <x:c r="H1225" t="n">
        <x:v>12</x:v>
      </x:c>
      <x:c r="I1225" t="str">
        <x:v>À qualifier par lieu</x:v>
      </x:c>
      <x:c r="J1225" t="str">
        <x:v>https://github.com/darknigthmare/deadwall-last-enclosure/blob/e28f46223e73105ab2c5d83f3d50b99b58ef53e6/codex-3000/compositions/Hôtellerie et hébergement/DW-1220.md</x:v>
      </x:c>
      <x:c r="K1225" t="str">
        <x:v>Source min 26,18 m ; max 100,65 m ; modèle 26 × 18 m ; niveaux 0. Détails dans catalogue-existant.json.</x:v>
      </x:c>
    </x:row>
    <x:row r="1226">
      <x:c r="A1226" t="str">
        <x:v>DW-1221</x:v>
      </x:c>
      <x:c r="B1226" t="str">
        <x:v>DW-0111</x:v>
      </x:c>
      <x:c r="C1226" t="str">
        <x:v>Composition héritée</x:v>
      </x:c>
      <x:c r="D1226" t="str">
        <x:v>Hôtellerie et hébergement</x:v>
      </x:c>
      <x:c r="E1226" t="str">
        <x:v>Centre de séminaire — Ville moyenne / réseau principal coupé</x:v>
      </x:c>
      <x:c r="F1226" t="n">
        <x:v>8</x:v>
      </x:c>
      <x:c r="G1226" t="n">
        <x:v>4</x:v>
      </x:c>
      <x:c r="H1226" t="n">
        <x:v>12</x:v>
      </x:c>
      <x:c r="I1226" t="str">
        <x:v>À qualifier par lieu</x:v>
      </x:c>
      <x:c r="J1226" t="str">
        <x:v>https://github.com/darknigthmare/deadwall-last-enclosure/blob/e28f46223e73105ab2c5d83f3d50b99b58ef53e6/codex-3000/compositions/Hôtellerie et hébergement/DW-1221.md</x:v>
      </x:c>
      <x:c r="K1226" t="str">
        <x:v>Source min 26,18 m ; max 100,65 m ; modèle 26 × 18 m ; niveaux 0. Détails dans catalogue-existant.json.</x:v>
      </x:c>
    </x:row>
    <x:row r="1227">
      <x:c r="A1227" t="str">
        <x:v>DW-1222</x:v>
      </x:c>
      <x:c r="B1227" t="str">
        <x:v>DW-0111</x:v>
      </x:c>
      <x:c r="C1227" t="str">
        <x:v>Composition héritée</x:v>
      </x:c>
      <x:c r="D1227" t="str">
        <x:v>Hôtellerie et hébergement</x:v>
      </x:c>
      <x:c r="E1227" t="str">
        <x:v>Centre de séminaire — Village et bourg / arrêt de maintenance</x:v>
      </x:c>
      <x:c r="F1227" t="n">
        <x:v>8</x:v>
      </x:c>
      <x:c r="G1227" t="n">
        <x:v>4</x:v>
      </x:c>
      <x:c r="H1227" t="n">
        <x:v>12</x:v>
      </x:c>
      <x:c r="I1227" t="str">
        <x:v>À qualifier par lieu</x:v>
      </x:c>
      <x:c r="J1227" t="str">
        <x:v>https://github.com/darknigthmare/deadwall-last-enclosure/blob/e28f46223e73105ab2c5d83f3d50b99b58ef53e6/codex-3000/compositions/Hôtellerie et hébergement/DW-1222.md</x:v>
      </x:c>
      <x:c r="K1227" t="str">
        <x:v>Source min 26,18 m ; max 100,65 m ; modèle 26 × 18 m ; niveaux 0. Détails dans catalogue-existant.json.</x:v>
      </x:c>
    </x:row>
    <x:row r="1228">
      <x:c r="A1228" t="str">
        <x:v>DW-1223</x:v>
      </x:c>
      <x:c r="B1228" t="str">
        <x:v>DW-0112</x:v>
      </x:c>
      <x:c r="C1228" t="str">
        <x:v>Composition héritée</x:v>
      </x:c>
      <x:c r="D1228" t="str">
        <x:v>Hôtellerie et hébergement</x:v>
      </x:c>
      <x:c r="E1228" t="str">
        <x:v>Refuge de montagne — Lac et base de loisirs / repli organisé interrompu</x:v>
      </x:c>
      <x:c r="F1228" t="n">
        <x:v>10</x:v>
      </x:c>
      <x:c r="G1228" t="n">
        <x:v>4</x:v>
      </x:c>
      <x:c r="H1228" t="n">
        <x:v>12</x:v>
      </x:c>
      <x:c r="I1228" t="str">
        <x:v>À qualifier par lieu</x:v>
      </x:c>
      <x:c r="J1228" t="str">
        <x:v>https://github.com/darknigthmare/deadwall-last-enclosure/blob/e28f46223e73105ab2c5d83f3d50b99b58ef53e6/codex-3000/compositions/Hôtellerie et hébergement/DW-1223.md</x:v>
      </x:c>
      <x:c r="K1228" t="str">
        <x:v>Source min 26,18 m ; max 100,65 m ; modèle 26 × 18 m ; niveaux 0. Détails dans catalogue-existant.json.</x:v>
      </x:c>
    </x:row>
    <x:row r="1229">
      <x:c r="A1229" t="str">
        <x:v>DW-1224</x:v>
      </x:c>
      <x:c r="B1229" t="str">
        <x:v>DW-0112</x:v>
      </x:c>
      <x:c r="C1229" t="str">
        <x:v>Composition héritée</x:v>
      </x:c>
      <x:c r="D1229" t="str">
        <x:v>Hôtellerie et hébergement</x:v>
      </x:c>
      <x:c r="E1229" t="str">
        <x:v>Refuge de montagne — Zone de loisirs / première récupération passée</x:v>
      </x:c>
      <x:c r="F1229" t="n">
        <x:v>8</x:v>
      </x:c>
      <x:c r="G1229" t="n">
        <x:v>4</x:v>
      </x:c>
      <x:c r="H1229" t="n">
        <x:v>12</x:v>
      </x:c>
      <x:c r="I1229" t="str">
        <x:v>À qualifier par lieu</x:v>
      </x:c>
      <x:c r="J1229" t="str">
        <x:v>https://github.com/darknigthmare/deadwall-last-enclosure/blob/e28f46223e73105ab2c5d83f3d50b99b58ef53e6/codex-3000/compositions/Hôtellerie et hébergement/DW-1224.md</x:v>
      </x:c>
      <x:c r="K1229" t="str">
        <x:v>Source min 26,18 m ; max 100,65 m ; modèle 26 × 18 m ; niveaux 0. Détails dans catalogue-existant.json.</x:v>
      </x:c>
    </x:row>
    <x:row r="1230">
      <x:c r="A1230" t="str">
        <x:v>DW-1225</x:v>
      </x:c>
      <x:c r="B1230" t="str">
        <x:v>DW-0113</x:v>
      </x:c>
      <x:c r="C1230" t="str">
        <x:v>Composition héritée</x:v>
      </x:c>
      <x:c r="D1230" t="str">
        <x:v>Hôtellerie et hébergement</x:v>
      </x:c>
      <x:c r="E1230" t="str">
        <x:v>Relais équestre — Village et bourg / évacuation interrompue</x:v>
      </x:c>
      <x:c r="F1230" t="n">
        <x:v>8</x:v>
      </x:c>
      <x:c r="G1230" t="n">
        <x:v>4</x:v>
      </x:c>
      <x:c r="H1230" t="n">
        <x:v>12</x:v>
      </x:c>
      <x:c r="I1230" t="str">
        <x:v>À qualifier par lieu</x:v>
      </x:c>
      <x:c r="J1230" t="str">
        <x:v>https://github.com/darknigthmare/deadwall-last-enclosure/blob/e28f46223e73105ab2c5d83f3d50b99b58ef53e6/codex-3000/compositions/Hôtellerie et hébergement/DW-1225.md</x:v>
      </x:c>
      <x:c r="K1230" t="str">
        <x:v>Source min 26,18 m ; max 100,65 m ; modèle 26 × 18 m ; niveaux 0. Détails dans catalogue-existant.json.</x:v>
      </x:c>
    </x:row>
    <x:row r="1231">
      <x:c r="A1231" t="str">
        <x:v>DW-1226</x:v>
      </x:c>
      <x:c r="B1231" t="str">
        <x:v>DW-0113</x:v>
      </x:c>
      <x:c r="C1231" t="str">
        <x:v>Composition héritée</x:v>
      </x:c>
      <x:c r="D1231" t="str">
        <x:v>Hôtellerie et hébergement</x:v>
      </x:c>
      <x:c r="E1231" t="str">
        <x:v>Relais équestre — Ville moyenne / service déplacé à l’arrière</x:v>
      </x:c>
      <x:c r="F1231" t="n">
        <x:v>8</x:v>
      </x:c>
      <x:c r="G1231" t="n">
        <x:v>4</x:v>
      </x:c>
      <x:c r="H1231" t="n">
        <x:v>12</x:v>
      </x:c>
      <x:c r="I1231" t="str">
        <x:v>À qualifier par lieu</x:v>
      </x:c>
      <x:c r="J1231" t="str">
        <x:v>https://github.com/darknigthmare/deadwall-last-enclosure/blob/e28f46223e73105ab2c5d83f3d50b99b58ef53e6/codex-3000/compositions/Hôtellerie et hébergement/DW-1226.md</x:v>
      </x:c>
      <x:c r="K1231" t="str">
        <x:v>Source min 26,18 m ; max 100,65 m ; modèle 26 × 18 m ; niveaux 0. Détails dans catalogue-existant.json.</x:v>
      </x:c>
    </x:row>
    <x:row r="1232">
      <x:c r="A1232" t="str">
        <x:v>DW-1227</x:v>
      </x:c>
      <x:c r="B1232" t="str">
        <x:v>DW-0114</x:v>
      </x:c>
      <x:c r="C1232" t="str">
        <x:v>Composition héritée</x:v>
      </x:c>
      <x:c r="D1232" t="str">
        <x:v>Hôtellerie et hébergement</x:v>
      </x:c>
      <x:c r="E1232" t="str">
        <x:v>Hôtel thermal — Zone de loisirs / arrêt de maintenance</x:v>
      </x:c>
      <x:c r="F1232" t="n">
        <x:v>8</x:v>
      </x:c>
      <x:c r="G1232" t="n">
        <x:v>5</x:v>
      </x:c>
      <x:c r="H1232" t="n">
        <x:v>15</x:v>
      </x:c>
      <x:c r="I1232" t="str">
        <x:v>À qualifier par lieu</x:v>
      </x:c>
      <x:c r="J1232" t="str">
        <x:v>https://github.com/darknigthmare/deadwall-last-enclosure/blob/e28f46223e73105ab2c5d83f3d50b99b58ef53e6/codex-3000/compositions/Hôtellerie et hébergement/DW-1227.md</x:v>
      </x:c>
      <x:c r="K1232" t="str">
        <x:v>Source min 26,18 m ; max 100,65 m ; modèle 26 × 22 m ; niveaux 0, 1, 2. Détails dans catalogue-existant.json.</x:v>
      </x:c>
    </x:row>
    <x:row r="1233">
      <x:c r="A1233" t="str">
        <x:v>DW-1228</x:v>
      </x:c>
      <x:c r="B1233" t="str">
        <x:v>DW-0114</x:v>
      </x:c>
      <x:c r="C1233" t="str">
        <x:v>Composition héritée</x:v>
      </x:c>
      <x:c r="D1233" t="str">
        <x:v>Hôtellerie et hébergement</x:v>
      </x:c>
      <x:c r="E1233" t="str">
        <x:v>Hôtel thermal — Lac et base de loisirs / reprise progressive de la végétation</x:v>
      </x:c>
      <x:c r="F1233" t="n">
        <x:v>10</x:v>
      </x:c>
      <x:c r="G1233" t="n">
        <x:v>5</x:v>
      </x:c>
      <x:c r="H1233" t="n">
        <x:v>15</x:v>
      </x:c>
      <x:c r="I1233" t="str">
        <x:v>À qualifier par lieu</x:v>
      </x:c>
      <x:c r="J1233" t="str">
        <x:v>https://github.com/darknigthmare/deadwall-last-enclosure/blob/e28f46223e73105ab2c5d83f3d50b99b58ef53e6/codex-3000/compositions/Hôtellerie et hébergement/DW-1228.md</x:v>
      </x:c>
      <x:c r="K1233" t="str">
        <x:v>Source min 26,18 m ; max 100,65 m ; modèle 26 × 22 m ; niveaux 0, 1, 2. Détails dans catalogue-existant.json.</x:v>
      </x:c>
    </x:row>
    <x:row r="1234">
      <x:c r="A1234" t="str">
        <x:v>DW-1229</x:v>
      </x:c>
      <x:c r="B1234" t="str">
        <x:v>DW-0115</x:v>
      </x:c>
      <x:c r="C1234" t="str">
        <x:v>Composition héritée</x:v>
      </x:c>
      <x:c r="D1234" t="str">
        <x:v>Hôtellerie et hébergement</x:v>
      </x:c>
      <x:c r="E1234" t="str">
        <x:v>Hôtel d'aéroport — Ville moyenne / première récupération passée</x:v>
      </x:c>
      <x:c r="F1234" t="n">
        <x:v>8</x:v>
      </x:c>
      <x:c r="G1234" t="n">
        <x:v>4</x:v>
      </x:c>
      <x:c r="H1234" t="n">
        <x:v>12</x:v>
      </x:c>
      <x:c r="I1234" t="str">
        <x:v>À qualifier par lieu</x:v>
      </x:c>
      <x:c r="J1234" t="str">
        <x:v>https://github.com/darknigthmare/deadwall-last-enclosure/blob/e28f46223e73105ab2c5d83f3d50b99b58ef53e6/codex-3000/compositions/Hôtellerie et hébergement/DW-1229.md</x:v>
      </x:c>
      <x:c r="K1234" t="str">
        <x:v>Source min 26,18 m ; max 100,65 m ; modèle 26 × 18 m ; niveaux 0, 1, 2. Détails dans catalogue-existant.json.</x:v>
      </x:c>
    </x:row>
    <x:row r="1235">
      <x:c r="A1235" t="str">
        <x:v>DW-1230</x:v>
      </x:c>
      <x:c r="B1235" t="str">
        <x:v>DW-0115</x:v>
      </x:c>
      <x:c r="C1235" t="str">
        <x:v>Composition héritée</x:v>
      </x:c>
      <x:c r="D1235" t="str">
        <x:v>Hôtellerie et hébergement</x:v>
      </x:c>
      <x:c r="E1235" t="str">
        <x:v>Hôtel d'aéroport — Village et bourg / relais temporaire envisagé</x:v>
      </x:c>
      <x:c r="F1235" t="n">
        <x:v>8</x:v>
      </x:c>
      <x:c r="G1235" t="n">
        <x:v>4</x:v>
      </x:c>
      <x:c r="H1235" t="n">
        <x:v>12</x:v>
      </x:c>
      <x:c r="I1235" t="str">
        <x:v>À qualifier par lieu</x:v>
      </x:c>
      <x:c r="J1235" t="str">
        <x:v>https://github.com/darknigthmare/deadwall-last-enclosure/blob/e28f46223e73105ab2c5d83f3d50b99b58ef53e6/codex-3000/compositions/Hôtellerie et hébergement/DW-1230.md</x:v>
      </x:c>
      <x:c r="K1235" t="str">
        <x:v>Source min 26,18 m ; max 100,65 m ; modèle 26 × 18 m ; niveaux 0, 1, 2. Détails dans catalogue-existant.json.</x:v>
      </x:c>
    </x:row>
    <x:row r="1236">
      <x:c r="A1236" t="str">
        <x:v>DW-1231</x:v>
      </x:c>
      <x:c r="B1236" t="str">
        <x:v>DW-0116</x:v>
      </x:c>
      <x:c r="C1236" t="str">
        <x:v>Composition héritée</x:v>
      </x:c>
      <x:c r="D1236" t="str">
        <x:v>Hôtellerie et hébergement</x:v>
      </x:c>
      <x:c r="E1236" t="str">
        <x:v>Hôtel capsule — Lac et base de loisirs / service déplacé à l’arrière</x:v>
      </x:c>
      <x:c r="F1236" t="n">
        <x:v>10</x:v>
      </x:c>
      <x:c r="G1236" t="n">
        <x:v>4</x:v>
      </x:c>
      <x:c r="H1236" t="n">
        <x:v>12</x:v>
      </x:c>
      <x:c r="I1236" t="str">
        <x:v>À qualifier par lieu</x:v>
      </x:c>
      <x:c r="J1236" t="str">
        <x:v>https://github.com/darknigthmare/deadwall-last-enclosure/blob/e28f46223e73105ab2c5d83f3d50b99b58ef53e6/codex-3000/compositions/Hôtellerie et hébergement/DW-1231.md</x:v>
      </x:c>
      <x:c r="K1236" t="str">
        <x:v>Source min 26,18 m ; max 100,65 m ; modèle 26 × 18 m ; niveaux 0, 1, 2. Détails dans catalogue-existant.json.</x:v>
      </x:c>
    </x:row>
    <x:row r="1237">
      <x:c r="A1237" t="str">
        <x:v>DW-1232</x:v>
      </x:c>
      <x:c r="B1237" t="str">
        <x:v>DW-0116</x:v>
      </x:c>
      <x:c r="C1237" t="str">
        <x:v>Composition héritée</x:v>
      </x:c>
      <x:c r="D1237" t="str">
        <x:v>Hôtellerie et hébergement</x:v>
      </x:c>
      <x:c r="E1237" t="str">
        <x:v>Hôtel capsule — Zone de loisirs / réseau principal coupé</x:v>
      </x:c>
      <x:c r="F1237" t="n">
        <x:v>8</x:v>
      </x:c>
      <x:c r="G1237" t="n">
        <x:v>4</x:v>
      </x:c>
      <x:c r="H1237" t="n">
        <x:v>12</x:v>
      </x:c>
      <x:c r="I1237" t="str">
        <x:v>À qualifier par lieu</x:v>
      </x:c>
      <x:c r="J1237" t="str">
        <x:v>https://github.com/darknigthmare/deadwall-last-enclosure/blob/e28f46223e73105ab2c5d83f3d50b99b58ef53e6/codex-3000/compositions/Hôtellerie et hébergement/DW-1232.md</x:v>
      </x:c>
      <x:c r="K1237" t="str">
        <x:v>Source min 26,18 m ; max 100,65 m ; modèle 26 × 18 m ; niveaux 0, 1, 2. Détails dans catalogue-existant.json.</x:v>
      </x:c>
    </x:row>
    <x:row r="1238">
      <x:c r="A1238" t="str">
        <x:v>DW-1233</x:v>
      </x:c>
      <x:c r="B1238" t="str">
        <x:v>DW-0117</x:v>
      </x:c>
      <x:c r="C1238" t="str">
        <x:v>Composition héritée</x:v>
      </x:c>
      <x:c r="D1238" t="str">
        <x:v>Hôtellerie et hébergement</x:v>
      </x:c>
      <x:c r="E1238" t="str">
        <x:v>Résidence saisonnière — Village et bourg / reprise progressive de la végétation</x:v>
      </x:c>
      <x:c r="F1238" t="n">
        <x:v>8</x:v>
      </x:c>
      <x:c r="G1238" t="n">
        <x:v>4</x:v>
      </x:c>
      <x:c r="H1238" t="n">
        <x:v>12</x:v>
      </x:c>
      <x:c r="I1238" t="str">
        <x:v>À qualifier par lieu</x:v>
      </x:c>
      <x:c r="J1238" t="str">
        <x:v>https://github.com/darknigthmare/deadwall-last-enclosure/blob/e28f46223e73105ab2c5d83f3d50b99b58ef53e6/codex-3000/compositions/Hôtellerie et hébergement/DW-1233.md</x:v>
      </x:c>
      <x:c r="K1238" t="str">
        <x:v>Source min 26,18 m ; max 100,65 m ; modèle 26 × 18 m ; niveaux 0. Détails dans catalogue-existant.json.</x:v>
      </x:c>
    </x:row>
    <x:row r="1239">
      <x:c r="A1239" t="str">
        <x:v>DW-1234</x:v>
      </x:c>
      <x:c r="B1239" t="str">
        <x:v>DW-0117</x:v>
      </x:c>
      <x:c r="C1239" t="str">
        <x:v>Composition héritée</x:v>
      </x:c>
      <x:c r="D1239" t="str">
        <x:v>Hôtellerie et hébergement</x:v>
      </x:c>
      <x:c r="E1239" t="str">
        <x:v>Résidence saisonnière — Ville moyenne / repli organisé interrompu</x:v>
      </x:c>
      <x:c r="F1239" t="n">
        <x:v>8</x:v>
      </x:c>
      <x:c r="G1239" t="n">
        <x:v>4</x:v>
      </x:c>
      <x:c r="H1239" t="n">
        <x:v>12</x:v>
      </x:c>
      <x:c r="I1239" t="str">
        <x:v>À qualifier par lieu</x:v>
      </x:c>
      <x:c r="J1239" t="str">
        <x:v>https://github.com/darknigthmare/deadwall-last-enclosure/blob/e28f46223e73105ab2c5d83f3d50b99b58ef53e6/codex-3000/compositions/Hôtellerie et hébergement/DW-1234.md</x:v>
      </x:c>
      <x:c r="K1239" t="str">
        <x:v>Source min 26,18 m ; max 100,65 m ; modèle 26 × 18 m ; niveaux 0. Détails dans catalogue-existant.json.</x:v>
      </x:c>
    </x:row>
    <x:row r="1240">
      <x:c r="A1240" t="str">
        <x:v>DW-1235</x:v>
      </x:c>
      <x:c r="B1240" t="str">
        <x:v>DW-0118</x:v>
      </x:c>
      <x:c r="C1240" t="str">
        <x:v>Composition héritée</x:v>
      </x:c>
      <x:c r="D1240" t="str">
        <x:v>Hôtellerie et hébergement</x:v>
      </x:c>
      <x:c r="E1240" t="str">
        <x:v>Ferme-auberge — Zone de loisirs / relais temporaire envisagé</x:v>
      </x:c>
      <x:c r="F1240" t="n">
        <x:v>8</x:v>
      </x:c>
      <x:c r="G1240" t="n">
        <x:v>5</x:v>
      </x:c>
      <x:c r="H1240" t="n">
        <x:v>15</x:v>
      </x:c>
      <x:c r="I1240" t="str">
        <x:v>À qualifier par lieu</x:v>
      </x:c>
      <x:c r="J1240" t="str">
        <x:v>https://github.com/darknigthmare/deadwall-last-enclosure/blob/e28f46223e73105ab2c5d83f3d50b99b58ef53e6/codex-3000/compositions/Hôtellerie et hébergement/DW-1235.md</x:v>
      </x:c>
      <x:c r="K1240" t="str">
        <x:v>Source min 26,18 m ; max 100,65 m ; modèle 26 × 22 m ; niveaux 0. Détails dans catalogue-existant.json.</x:v>
      </x:c>
    </x:row>
    <x:row r="1241">
      <x:c r="A1241" t="str">
        <x:v>DW-1236</x:v>
      </x:c>
      <x:c r="B1241" t="str">
        <x:v>DW-0118</x:v>
      </x:c>
      <x:c r="C1241" t="str">
        <x:v>Composition héritée</x:v>
      </x:c>
      <x:c r="D1241" t="str">
        <x:v>Hôtellerie et hébergement</x:v>
      </x:c>
      <x:c r="E1241" t="str">
        <x:v>Ferme-auberge — Lac et base de loisirs / évacuation interrompue</x:v>
      </x:c>
      <x:c r="F1241" t="n">
        <x:v>10</x:v>
      </x:c>
      <x:c r="G1241" t="n">
        <x:v>5</x:v>
      </x:c>
      <x:c r="H1241" t="n">
        <x:v>15</x:v>
      </x:c>
      <x:c r="I1241" t="str">
        <x:v>À qualifier par lieu</x:v>
      </x:c>
      <x:c r="J1241" t="str">
        <x:v>https://github.com/darknigthmare/deadwall-last-enclosure/blob/e28f46223e73105ab2c5d83f3d50b99b58ef53e6/codex-3000/compositions/Hôtellerie et hébergement/DW-1236.md</x:v>
      </x:c>
      <x:c r="K1241" t="str">
        <x:v>Source min 26,18 m ; max 100,65 m ; modèle 26 × 22 m ; niveaux 0. Détails dans catalogue-existant.json.</x:v>
      </x:c>
    </x:row>
    <x:row r="1242">
      <x:c r="A1242" t="str">
        <x:v>DW-1237</x:v>
      </x:c>
      <x:c r="B1242" t="str">
        <x:v>DW-0119</x:v>
      </x:c>
      <x:c r="C1242" t="str">
        <x:v>Composition héritée</x:v>
      </x:c>
      <x:c r="D1242" t="str">
        <x:v>Hôtellerie et hébergement</x:v>
      </x:c>
      <x:c r="E1242" t="str">
        <x:v>Manoir de réception — Ville moyenne / réseau principal coupé</x:v>
      </x:c>
      <x:c r="F1242" t="n">
        <x:v>8</x:v>
      </x:c>
      <x:c r="G1242" t="n">
        <x:v>5</x:v>
      </x:c>
      <x:c r="H1242" t="n">
        <x:v>15</x:v>
      </x:c>
      <x:c r="I1242" t="str">
        <x:v>À qualifier par lieu</x:v>
      </x:c>
      <x:c r="J1242" t="str">
        <x:v>https://github.com/darknigthmare/deadwall-last-enclosure/blob/e28f46223e73105ab2c5d83f3d50b99b58ef53e6/codex-3000/compositions/Hôtellerie et hébergement/DW-1237.md</x:v>
      </x:c>
      <x:c r="K1242" t="str">
        <x:v>Source min 26,18 m ; max 100,65 m ; modèle 26 × 22 m ; niveaux 0, 1. Détails dans catalogue-existant.json.</x:v>
      </x:c>
    </x:row>
    <x:row r="1243">
      <x:c r="A1243" t="str">
        <x:v>DW-1238</x:v>
      </x:c>
      <x:c r="B1243" t="str">
        <x:v>DW-0119</x:v>
      </x:c>
      <x:c r="C1243" t="str">
        <x:v>Composition héritée</x:v>
      </x:c>
      <x:c r="D1243" t="str">
        <x:v>Hôtellerie et hébergement</x:v>
      </x:c>
      <x:c r="E1243" t="str">
        <x:v>Manoir de réception — Village et bourg / arrêt de maintenance</x:v>
      </x:c>
      <x:c r="F1243" t="n">
        <x:v>8</x:v>
      </x:c>
      <x:c r="G1243" t="n">
        <x:v>5</x:v>
      </x:c>
      <x:c r="H1243" t="n">
        <x:v>15</x:v>
      </x:c>
      <x:c r="I1243" t="str">
        <x:v>À qualifier par lieu</x:v>
      </x:c>
      <x:c r="J1243" t="str">
        <x:v>https://github.com/darknigthmare/deadwall-last-enclosure/blob/e28f46223e73105ab2c5d83f3d50b99b58ef53e6/codex-3000/compositions/Hôtellerie et hébergement/DW-1238.md</x:v>
      </x:c>
      <x:c r="K1243" t="str">
        <x:v>Source min 26,18 m ; max 100,65 m ; modèle 26 × 22 m ; niveaux 0, 1. Détails dans catalogue-existant.json.</x:v>
      </x:c>
    </x:row>
    <x:row r="1244">
      <x:c r="A1244" t="str">
        <x:v>DW-1239</x:v>
      </x:c>
      <x:c r="B1244" t="str">
        <x:v>DW-0120</x:v>
      </x:c>
      <x:c r="C1244" t="str">
        <x:v>Composition héritée</x:v>
      </x:c>
      <x:c r="D1244" t="str">
        <x:v>Hôtellerie et hébergement</x:v>
      </x:c>
      <x:c r="E1244" t="str">
        <x:v>Centre de vacances fermé — Lac et base de loisirs / repli organisé interrompu</x:v>
      </x:c>
      <x:c r="F1244" t="n">
        <x:v>10</x:v>
      </x:c>
      <x:c r="G1244" t="n">
        <x:v>5</x:v>
      </x:c>
      <x:c r="H1244" t="n">
        <x:v>15</x:v>
      </x:c>
      <x:c r="I1244" t="str">
        <x:v>À qualifier par lieu</x:v>
      </x:c>
      <x:c r="J1244" t="str">
        <x:v>https://github.com/darknigthmare/deadwall-last-enclosure/blob/e28f46223e73105ab2c5d83f3d50b99b58ef53e6/codex-3000/compositions/Hôtellerie et hébergement/DW-1239.md</x:v>
      </x:c>
      <x:c r="K1244" t="str">
        <x:v>Source min 26,18 m ; max 100,65 m ; modèle 26 × 22 m ; niveaux 0. Détails dans catalogue-existant.json.</x:v>
      </x:c>
    </x:row>
    <x:row r="1245">
      <x:c r="A1245" t="str">
        <x:v>DW-1240</x:v>
      </x:c>
      <x:c r="B1245" t="str">
        <x:v>DW-0120</x:v>
      </x:c>
      <x:c r="C1245" t="str">
        <x:v>Composition héritée</x:v>
      </x:c>
      <x:c r="D1245" t="str">
        <x:v>Hôtellerie et hébergement</x:v>
      </x:c>
      <x:c r="E1245" t="str">
        <x:v>Centre de vacances fermé — Zone de loisirs / première récupération passée</x:v>
      </x:c>
      <x:c r="F1245" t="n">
        <x:v>8</x:v>
      </x:c>
      <x:c r="G1245" t="n">
        <x:v>5</x:v>
      </x:c>
      <x:c r="H1245" t="n">
        <x:v>15</x:v>
      </x:c>
      <x:c r="I1245" t="str">
        <x:v>À qualifier par lieu</x:v>
      </x:c>
      <x:c r="J1245" t="str">
        <x:v>https://github.com/darknigthmare/deadwall-last-enclosure/blob/e28f46223e73105ab2c5d83f3d50b99b58ef53e6/codex-3000/compositions/Hôtellerie et hébergement/DW-1240.md</x:v>
      </x:c>
      <x:c r="K1245" t="str">
        <x:v>Source min 26,18 m ; max 100,65 m ; modèle 26 × 22 m ; niveaux 0. Détails dans catalogue-existant.json.</x:v>
      </x:c>
    </x:row>
    <x:row r="1246">
      <x:c r="A1246" t="str">
        <x:v>DW-1241</x:v>
      </x:c>
      <x:c r="B1246" t="str">
        <x:v>DW-0121</x:v>
      </x:c>
      <x:c r="C1246" t="str">
        <x:v>Composition héritée</x:v>
      </x:c>
      <x:c r="D1246" t="str">
        <x:v>Santé</x:v>
      </x:c>
      <x:c r="E1246" t="str">
        <x:v>Cabinet médical — Soins et secours / évacuation interrompue</x:v>
      </x:c>
      <x:c r="F1246" t="n">
        <x:v>10</x:v>
      </x:c>
      <x:c r="G1246" t="n">
        <x:v>4</x:v>
      </x:c>
      <x:c r="H1246" t="n">
        <x:v>12</x:v>
      </x:c>
      <x:c r="I1246" t="str">
        <x:v>À qualifier par lieu</x:v>
      </x:c>
      <x:c r="J1246" t="str">
        <x:v>https://github.com/darknigthmare/deadwall-last-enclosure/blob/e28f46223e73105ab2c5d83f3d50b99b58ef53e6/codex-3000/compositions/Santé/DW-1241.md</x:v>
      </x:c>
      <x:c r="K1246" t="str">
        <x:v>Source min 20,16 m ; max 150,100 m ; modèle 25 × 18 m ; niveaux 0. Détails dans catalogue-existant.json.</x:v>
      </x:c>
    </x:row>
    <x:row r="1247">
      <x:c r="A1247" t="str">
        <x:v>DW-1242</x:v>
      </x:c>
      <x:c r="B1247" t="str">
        <x:v>DW-0121</x:v>
      </x:c>
      <x:c r="C1247" t="str">
        <x:v>Composition héritée</x:v>
      </x:c>
      <x:c r="D1247" t="str">
        <x:v>Santé</x:v>
      </x:c>
      <x:c r="E1247" t="str">
        <x:v>Cabinet médical — Village et bourg / service déplacé à l’arrière</x:v>
      </x:c>
      <x:c r="F1247" t="n">
        <x:v>8</x:v>
      </x:c>
      <x:c r="G1247" t="n">
        <x:v>4</x:v>
      </x:c>
      <x:c r="H1247" t="n">
        <x:v>12</x:v>
      </x:c>
      <x:c r="I1247" t="str">
        <x:v>À qualifier par lieu</x:v>
      </x:c>
      <x:c r="J1247" t="str">
        <x:v>https://github.com/darknigthmare/deadwall-last-enclosure/blob/e28f46223e73105ab2c5d83f3d50b99b58ef53e6/codex-3000/compositions/Santé/DW-1242.md</x:v>
      </x:c>
      <x:c r="K1247" t="str">
        <x:v>Source min 20,16 m ; max 150,100 m ; modèle 25 × 18 m ; niveaux 0. Détails dans catalogue-existant.json.</x:v>
      </x:c>
    </x:row>
    <x:row r="1248">
      <x:c r="A1248" t="str">
        <x:v>DW-1243</x:v>
      </x:c>
      <x:c r="B1248" t="str">
        <x:v>DW-0122</x:v>
      </x:c>
      <x:c r="C1248" t="str">
        <x:v>Composition héritée</x:v>
      </x:c>
      <x:c r="D1248" t="str">
        <x:v>Santé</x:v>
      </x:c>
      <x:c r="E1248" t="str">
        <x:v>Maison de santé — Ville moyenne / arrêt de maintenance</x:v>
      </x:c>
      <x:c r="F1248" t="n">
        <x:v>8</x:v>
      </x:c>
      <x:c r="G1248" t="n">
        <x:v>5</x:v>
      </x:c>
      <x:c r="H1248" t="n">
        <x:v>15</x:v>
      </x:c>
      <x:c r="I1248" t="str">
        <x:v>À qualifier par lieu</x:v>
      </x:c>
      <x:c r="J1248" t="str">
        <x:v>https://github.com/darknigthmare/deadwall-last-enclosure/blob/e28f46223e73105ab2c5d83f3d50b99b58ef53e6/codex-3000/compositions/Santé/DW-1243.md</x:v>
      </x:c>
      <x:c r="K1248" t="str">
        <x:v>Source min 20,16 m ; max 150,100 m ; modèle 26 × 22 m ; niveaux 0. Détails dans catalogue-existant.json.</x:v>
      </x:c>
    </x:row>
    <x:row r="1249">
      <x:c r="A1249" t="str">
        <x:v>DW-1244</x:v>
      </x:c>
      <x:c r="B1249" t="str">
        <x:v>DW-0122</x:v>
      </x:c>
      <x:c r="C1249" t="str">
        <x:v>Composition héritée</x:v>
      </x:c>
      <x:c r="D1249" t="str">
        <x:v>Santé</x:v>
      </x:c>
      <x:c r="E1249" t="str">
        <x:v>Maison de santé — Centre d’évacuation abandonné / reprise progressive de la végétation</x:v>
      </x:c>
      <x:c r="F1249" t="n">
        <x:v>8</x:v>
      </x:c>
      <x:c r="G1249" t="n">
        <x:v>5</x:v>
      </x:c>
      <x:c r="H1249" t="n">
        <x:v>15</x:v>
      </x:c>
      <x:c r="I1249" t="str">
        <x:v>À qualifier par lieu</x:v>
      </x:c>
      <x:c r="J1249" t="str">
        <x:v>https://github.com/darknigthmare/deadwall-last-enclosure/blob/e28f46223e73105ab2c5d83f3d50b99b58ef53e6/codex-3000/compositions/Santé/DW-1244.md</x:v>
      </x:c>
      <x:c r="K1249" t="str">
        <x:v>Source min 20,16 m ; max 150,100 m ; modèle 26 × 22 m ; niveaux 0. Détails dans catalogue-existant.json.</x:v>
      </x:c>
    </x:row>
    <x:row r="1250">
      <x:c r="A1250" t="str">
        <x:v>DW-1245</x:v>
      </x:c>
      <x:c r="B1250" t="str">
        <x:v>DW-0123</x:v>
      </x:c>
      <x:c r="C1250" t="str">
        <x:v>Composition héritée</x:v>
      </x:c>
      <x:c r="D1250" t="str">
        <x:v>Santé</x:v>
      </x:c>
      <x:c r="E1250" t="str">
        <x:v>Dispensaire rural — Village et bourg / première récupération passée</x:v>
      </x:c>
      <x:c r="F1250" t="n">
        <x:v>8</x:v>
      </x:c>
      <x:c r="G1250" t="n">
        <x:v>4</x:v>
      </x:c>
      <x:c r="H1250" t="n">
        <x:v>12</x:v>
      </x:c>
      <x:c r="I1250" t="str">
        <x:v>À qualifier par lieu</x:v>
      </x:c>
      <x:c r="J1250" t="str">
        <x:v>https://github.com/darknigthmare/deadwall-last-enclosure/blob/e28f46223e73105ab2c5d83f3d50b99b58ef53e6/codex-3000/compositions/Santé/DW-1245.md</x:v>
      </x:c>
      <x:c r="K1250" t="str">
        <x:v>Source min 20,16 m ; max 150,100 m ; modèle 25 × 18 m ; niveaux 0. Détails dans catalogue-existant.json.</x:v>
      </x:c>
    </x:row>
    <x:row r="1251">
      <x:c r="A1251" t="str">
        <x:v>DW-1246</x:v>
      </x:c>
      <x:c r="B1251" t="str">
        <x:v>DW-0123</x:v>
      </x:c>
      <x:c r="C1251" t="str">
        <x:v>Composition héritée</x:v>
      </x:c>
      <x:c r="D1251" t="str">
        <x:v>Santé</x:v>
      </x:c>
      <x:c r="E1251" t="str">
        <x:v>Dispensaire rural — Soins et secours / relais temporaire envisagé</x:v>
      </x:c>
      <x:c r="F1251" t="n">
        <x:v>10</x:v>
      </x:c>
      <x:c r="G1251" t="n">
        <x:v>4</x:v>
      </x:c>
      <x:c r="H1251" t="n">
        <x:v>12</x:v>
      </x:c>
      <x:c r="I1251" t="str">
        <x:v>À qualifier par lieu</x:v>
      </x:c>
      <x:c r="J1251" t="str">
        <x:v>https://github.com/darknigthmare/deadwall-last-enclosure/blob/e28f46223e73105ab2c5d83f3d50b99b58ef53e6/codex-3000/compositions/Santé/DW-1246.md</x:v>
      </x:c>
      <x:c r="K1251" t="str">
        <x:v>Source min 20,16 m ; max 150,100 m ; modèle 25 × 18 m ; niveaux 0. Détails dans catalogue-existant.json.</x:v>
      </x:c>
    </x:row>
    <x:row r="1252">
      <x:c r="A1252" t="str">
        <x:v>DW-1247</x:v>
      </x:c>
      <x:c r="B1252" t="str">
        <x:v>DW-0124</x:v>
      </x:c>
      <x:c r="C1252" t="str">
        <x:v>Composition héritée</x:v>
      </x:c>
      <x:c r="D1252" t="str">
        <x:v>Santé</x:v>
      </x:c>
      <x:c r="E1252" t="str">
        <x:v>Centre de radiologie — Centre d’évacuation abandonné / service déplacé à l’arrière</x:v>
      </x:c>
      <x:c r="F1252" t="n">
        <x:v>8</x:v>
      </x:c>
      <x:c r="G1252" t="n">
        <x:v>4</x:v>
      </x:c>
      <x:c r="H1252" t="n">
        <x:v>12</x:v>
      </x:c>
      <x:c r="I1252" t="str">
        <x:v>À qualifier par lieu</x:v>
      </x:c>
      <x:c r="J1252" t="str">
        <x:v>https://github.com/darknigthmare/deadwall-last-enclosure/blob/e28f46223e73105ab2c5d83f3d50b99b58ef53e6/codex-3000/compositions/Santé/DW-1247.md</x:v>
      </x:c>
      <x:c r="K1252" t="str">
        <x:v>Source min 20,16 m ; max 150,100 m ; modèle 25 × 18 m ; niveaux 0. Détails dans catalogue-existant.json.</x:v>
      </x:c>
    </x:row>
    <x:row r="1253">
      <x:c r="A1253" t="str">
        <x:v>DW-1248</x:v>
      </x:c>
      <x:c r="B1253" t="str">
        <x:v>DW-0124</x:v>
      </x:c>
      <x:c r="C1253" t="str">
        <x:v>Composition héritée</x:v>
      </x:c>
      <x:c r="D1253" t="str">
        <x:v>Santé</x:v>
      </x:c>
      <x:c r="E1253" t="str">
        <x:v>Centre de radiologie — Ville moyenne / réseau principal coupé</x:v>
      </x:c>
      <x:c r="F1253" t="n">
        <x:v>8</x:v>
      </x:c>
      <x:c r="G1253" t="n">
        <x:v>4</x:v>
      </x:c>
      <x:c r="H1253" t="n">
        <x:v>12</x:v>
      </x:c>
      <x:c r="I1253" t="str">
        <x:v>À qualifier par lieu</x:v>
      </x:c>
      <x:c r="J1253" t="str">
        <x:v>https://github.com/darknigthmare/deadwall-last-enclosure/blob/e28f46223e73105ab2c5d83f3d50b99b58ef53e6/codex-3000/compositions/Santé/DW-1248.md</x:v>
      </x:c>
      <x:c r="K1253" t="str">
        <x:v>Source min 20,16 m ; max 150,100 m ; modèle 25 × 18 m ; niveaux 0. Détails dans catalogue-existant.json.</x:v>
      </x:c>
    </x:row>
    <x:row r="1254">
      <x:c r="A1254" t="str">
        <x:v>DW-1249</x:v>
      </x:c>
      <x:c r="B1254" t="str">
        <x:v>DW-0125</x:v>
      </x:c>
      <x:c r="C1254" t="str">
        <x:v>Composition héritée</x:v>
      </x:c>
      <x:c r="D1254" t="str">
        <x:v>Santé</x:v>
      </x:c>
      <x:c r="E1254" t="str">
        <x:v>Laboratoire d'analyses — Soins et secours / reprise progressive de la végétation</x:v>
      </x:c>
      <x:c r="F1254" t="n">
        <x:v>10</x:v>
      </x:c>
      <x:c r="G1254" t="n">
        <x:v>4</x:v>
      </x:c>
      <x:c r="H1254" t="n">
        <x:v>12</x:v>
      </x:c>
      <x:c r="I1254" t="str">
        <x:v>À qualifier par lieu</x:v>
      </x:c>
      <x:c r="J1254" t="str">
        <x:v>https://github.com/darknigthmare/deadwall-last-enclosure/blob/e28f46223e73105ab2c5d83f3d50b99b58ef53e6/codex-3000/compositions/Santé/DW-1249.md</x:v>
      </x:c>
      <x:c r="K1254" t="str">
        <x:v>Source min 20,16 m ; max 150,100 m ; modèle 25 × 18 m ; niveaux 0. Détails dans catalogue-existant.json.</x:v>
      </x:c>
    </x:row>
    <x:row r="1255">
      <x:c r="A1255" t="str">
        <x:v>DW-1250</x:v>
      </x:c>
      <x:c r="B1255" t="str">
        <x:v>DW-0125</x:v>
      </x:c>
      <x:c r="C1255" t="str">
        <x:v>Composition héritée</x:v>
      </x:c>
      <x:c r="D1255" t="str">
        <x:v>Santé</x:v>
      </x:c>
      <x:c r="E1255" t="str">
        <x:v>Laboratoire d'analyses — Village et bourg / repli organisé interrompu</x:v>
      </x:c>
      <x:c r="F1255" t="n">
        <x:v>8</x:v>
      </x:c>
      <x:c r="G1255" t="n">
        <x:v>4</x:v>
      </x:c>
      <x:c r="H1255" t="n">
        <x:v>12</x:v>
      </x:c>
      <x:c r="I1255" t="str">
        <x:v>À qualifier par lieu</x:v>
      </x:c>
      <x:c r="J1255" t="str">
        <x:v>https://github.com/darknigthmare/deadwall-last-enclosure/blob/e28f46223e73105ab2c5d83f3d50b99b58ef53e6/codex-3000/compositions/Santé/DW-1250.md</x:v>
      </x:c>
      <x:c r="K1255" t="str">
        <x:v>Source min 20,16 m ; max 150,100 m ; modèle 25 × 18 m ; niveaux 0. Détails dans catalogue-existant.json.</x:v>
      </x:c>
    </x:row>
    <x:row r="1256">
      <x:c r="A1256" t="str">
        <x:v>DW-1251</x:v>
      </x:c>
      <x:c r="B1256" t="str">
        <x:v>DW-0126</x:v>
      </x:c>
      <x:c r="C1256" t="str">
        <x:v>Composition héritée</x:v>
      </x:c>
      <x:c r="D1256" t="str">
        <x:v>Santé</x:v>
      </x:c>
      <x:c r="E1256" t="str">
        <x:v>Cabinet dentaire — Ville moyenne / relais temporaire envisagé</x:v>
      </x:c>
      <x:c r="F1256" t="n">
        <x:v>8</x:v>
      </x:c>
      <x:c r="G1256" t="n">
        <x:v>4</x:v>
      </x:c>
      <x:c r="H1256" t="n">
        <x:v>12</x:v>
      </x:c>
      <x:c r="I1256" t="str">
        <x:v>À qualifier par lieu</x:v>
      </x:c>
      <x:c r="J1256" t="str">
        <x:v>https://github.com/darknigthmare/deadwall-last-enclosure/blob/e28f46223e73105ab2c5d83f3d50b99b58ef53e6/codex-3000/compositions/Santé/DW-1251.md</x:v>
      </x:c>
      <x:c r="K1256" t="str">
        <x:v>Source min 20,16 m ; max 150,100 m ; modèle 25 × 18 m ; niveaux 0. Détails dans catalogue-existant.json.</x:v>
      </x:c>
    </x:row>
    <x:row r="1257">
      <x:c r="A1257" t="str">
        <x:v>DW-1252</x:v>
      </x:c>
      <x:c r="B1257" t="str">
        <x:v>DW-0126</x:v>
      </x:c>
      <x:c r="C1257" t="str">
        <x:v>Composition héritée</x:v>
      </x:c>
      <x:c r="D1257" t="str">
        <x:v>Santé</x:v>
      </x:c>
      <x:c r="E1257" t="str">
        <x:v>Cabinet dentaire — Centre d’évacuation abandonné / évacuation interrompue</x:v>
      </x:c>
      <x:c r="F1257" t="n">
        <x:v>8</x:v>
      </x:c>
      <x:c r="G1257" t="n">
        <x:v>4</x:v>
      </x:c>
      <x:c r="H1257" t="n">
        <x:v>12</x:v>
      </x:c>
      <x:c r="I1257" t="str">
        <x:v>À qualifier par lieu</x:v>
      </x:c>
      <x:c r="J1257" t="str">
        <x:v>https://github.com/darknigthmare/deadwall-last-enclosure/blob/e28f46223e73105ab2c5d83f3d50b99b58ef53e6/codex-3000/compositions/Santé/DW-1252.md</x:v>
      </x:c>
      <x:c r="K1257" t="str">
        <x:v>Source min 20,16 m ; max 150,100 m ; modèle 25 × 18 m ; niveaux 0. Détails dans catalogue-existant.json.</x:v>
      </x:c>
    </x:row>
    <x:row r="1258">
      <x:c r="A1258" t="str">
        <x:v>DW-1253</x:v>
      </x:c>
      <x:c r="B1258" t="str">
        <x:v>DW-0127</x:v>
      </x:c>
      <x:c r="C1258" t="str">
        <x:v>Composition héritée</x:v>
      </x:c>
      <x:c r="D1258" t="str">
        <x:v>Santé</x:v>
      </x:c>
      <x:c r="E1258" t="str">
        <x:v>Centre de rééducation — Village et bourg / réseau principal coupé</x:v>
      </x:c>
      <x:c r="F1258" t="n">
        <x:v>8</x:v>
      </x:c>
      <x:c r="G1258" t="n">
        <x:v>4</x:v>
      </x:c>
      <x:c r="H1258" t="n">
        <x:v>12</x:v>
      </x:c>
      <x:c r="I1258" t="str">
        <x:v>À qualifier par lieu</x:v>
      </x:c>
      <x:c r="J1258" t="str">
        <x:v>https://github.com/darknigthmare/deadwall-last-enclosure/blob/e28f46223e73105ab2c5d83f3d50b99b58ef53e6/codex-3000/compositions/Santé/DW-1253.md</x:v>
      </x:c>
      <x:c r="K1258" t="str">
        <x:v>Source min 20,16 m ; max 150,100 m ; modèle 25 × 18 m ; niveaux 0. Détails dans catalogue-existant.json.</x:v>
      </x:c>
    </x:row>
    <x:row r="1259">
      <x:c r="A1259" t="str">
        <x:v>DW-1254</x:v>
      </x:c>
      <x:c r="B1259" t="str">
        <x:v>DW-0127</x:v>
      </x:c>
      <x:c r="C1259" t="str">
        <x:v>Composition héritée</x:v>
      </x:c>
      <x:c r="D1259" t="str">
        <x:v>Santé</x:v>
      </x:c>
      <x:c r="E1259" t="str">
        <x:v>Centre de rééducation — Soins et secours / arrêt de maintenance</x:v>
      </x:c>
      <x:c r="F1259" t="n">
        <x:v>10</x:v>
      </x:c>
      <x:c r="G1259" t="n">
        <x:v>4</x:v>
      </x:c>
      <x:c r="H1259" t="n">
        <x:v>12</x:v>
      </x:c>
      <x:c r="I1259" t="str">
        <x:v>À qualifier par lieu</x:v>
      </x:c>
      <x:c r="J1259" t="str">
        <x:v>https://github.com/darknigthmare/deadwall-last-enclosure/blob/e28f46223e73105ab2c5d83f3d50b99b58ef53e6/codex-3000/compositions/Santé/DW-1254.md</x:v>
      </x:c>
      <x:c r="K1259" t="str">
        <x:v>Source min 20,16 m ; max 150,100 m ; modèle 25 × 18 m ; niveaux 0. Détails dans catalogue-existant.json.</x:v>
      </x:c>
    </x:row>
    <x:row r="1260">
      <x:c r="A1260" t="str">
        <x:v>DW-1255</x:v>
      </x:c>
      <x:c r="B1260" t="str">
        <x:v>DW-0128</x:v>
      </x:c>
      <x:c r="C1260" t="str">
        <x:v>Composition héritée</x:v>
      </x:c>
      <x:c r="D1260" t="str">
        <x:v>Santé</x:v>
      </x:c>
      <x:c r="E1260" t="str">
        <x:v>Centre de dialyse — Centre d’évacuation abandonné / repli organisé interrompu</x:v>
      </x:c>
      <x:c r="F1260" t="n">
        <x:v>8</x:v>
      </x:c>
      <x:c r="G1260" t="n">
        <x:v>4</x:v>
      </x:c>
      <x:c r="H1260" t="n">
        <x:v>12</x:v>
      </x:c>
      <x:c r="I1260" t="str">
        <x:v>À qualifier par lieu</x:v>
      </x:c>
      <x:c r="J1260" t="str">
        <x:v>https://github.com/darknigthmare/deadwall-last-enclosure/blob/e28f46223e73105ab2c5d83f3d50b99b58ef53e6/codex-3000/compositions/Santé/DW-1255.md</x:v>
      </x:c>
      <x:c r="K1260" t="str">
        <x:v>Source min 20,16 m ; max 150,100 m ; modèle 25 × 18 m ; niveaux 0. Détails dans catalogue-existant.json.</x:v>
      </x:c>
    </x:row>
    <x:row r="1261">
      <x:c r="A1261" t="str">
        <x:v>DW-1256</x:v>
      </x:c>
      <x:c r="B1261" t="str">
        <x:v>DW-0128</x:v>
      </x:c>
      <x:c r="C1261" t="str">
        <x:v>Composition héritée</x:v>
      </x:c>
      <x:c r="D1261" t="str">
        <x:v>Santé</x:v>
      </x:c>
      <x:c r="E1261" t="str">
        <x:v>Centre de dialyse — Ville moyenne / première récupération passée</x:v>
      </x:c>
      <x:c r="F1261" t="n">
        <x:v>8</x:v>
      </x:c>
      <x:c r="G1261" t="n">
        <x:v>4</x:v>
      </x:c>
      <x:c r="H1261" t="n">
        <x:v>12</x:v>
      </x:c>
      <x:c r="I1261" t="str">
        <x:v>À qualifier par lieu</x:v>
      </x:c>
      <x:c r="J1261" t="str">
        <x:v>https://github.com/darknigthmare/deadwall-last-enclosure/blob/e28f46223e73105ab2c5d83f3d50b99b58ef53e6/codex-3000/compositions/Santé/DW-1256.md</x:v>
      </x:c>
      <x:c r="K1261" t="str">
        <x:v>Source min 20,16 m ; max 150,100 m ; modèle 25 × 18 m ; niveaux 0. Détails dans catalogue-existant.json.</x:v>
      </x:c>
    </x:row>
    <x:row r="1262">
      <x:c r="A1262" t="str">
        <x:v>DW-1257</x:v>
      </x:c>
      <x:c r="B1262" t="str">
        <x:v>DW-0129</x:v>
      </x:c>
      <x:c r="C1262" t="str">
        <x:v>Composition héritée</x:v>
      </x:c>
      <x:c r="D1262" t="str">
        <x:v>Santé</x:v>
      </x:c>
      <x:c r="E1262" t="str">
        <x:v>Centre de transfusion — Soins et secours / évacuation interrompue</x:v>
      </x:c>
      <x:c r="F1262" t="n">
        <x:v>10</x:v>
      </x:c>
      <x:c r="G1262" t="n">
        <x:v>4</x:v>
      </x:c>
      <x:c r="H1262" t="n">
        <x:v>12</x:v>
      </x:c>
      <x:c r="I1262" t="str">
        <x:v>À qualifier par lieu</x:v>
      </x:c>
      <x:c r="J1262" t="str">
        <x:v>https://github.com/darknigthmare/deadwall-last-enclosure/blob/e28f46223e73105ab2c5d83f3d50b99b58ef53e6/codex-3000/compositions/Santé/DW-1257.md</x:v>
      </x:c>
      <x:c r="K1262" t="str">
        <x:v>Source min 20,16 m ; max 150,100 m ; modèle 25 × 18 m ; niveaux 0. Détails dans catalogue-existant.json.</x:v>
      </x:c>
    </x:row>
    <x:row r="1263">
      <x:c r="A1263" t="str">
        <x:v>DW-1258</x:v>
      </x:c>
      <x:c r="B1263" t="str">
        <x:v>DW-0129</x:v>
      </x:c>
      <x:c r="C1263" t="str">
        <x:v>Composition héritée</x:v>
      </x:c>
      <x:c r="D1263" t="str">
        <x:v>Santé</x:v>
      </x:c>
      <x:c r="E1263" t="str">
        <x:v>Centre de transfusion — Village et bourg / service déplacé à l’arrière</x:v>
      </x:c>
      <x:c r="F1263" t="n">
        <x:v>8</x:v>
      </x:c>
      <x:c r="G1263" t="n">
        <x:v>4</x:v>
      </x:c>
      <x:c r="H1263" t="n">
        <x:v>12</x:v>
      </x:c>
      <x:c r="I1263" t="str">
        <x:v>À qualifier par lieu</x:v>
      </x:c>
      <x:c r="J1263" t="str">
        <x:v>https://github.com/darknigthmare/deadwall-last-enclosure/blob/e28f46223e73105ab2c5d83f3d50b99b58ef53e6/codex-3000/compositions/Santé/DW-1258.md</x:v>
      </x:c>
      <x:c r="K1263" t="str">
        <x:v>Source min 20,16 m ; max 150,100 m ; modèle 25 × 18 m ; niveaux 0. Détails dans catalogue-existant.json.</x:v>
      </x:c>
    </x:row>
    <x:row r="1264">
      <x:c r="A1264" t="str">
        <x:v>DW-1259</x:v>
      </x:c>
      <x:c r="B1264" t="str">
        <x:v>DW-0130</x:v>
      </x:c>
      <x:c r="C1264" t="str">
        <x:v>Composition héritée</x:v>
      </x:c>
      <x:c r="D1264" t="str">
        <x:v>Santé</x:v>
      </x:c>
      <x:c r="E1264" t="str">
        <x:v>Urgences hospitalières — Ville moyenne / arrêt de maintenance</x:v>
      </x:c>
      <x:c r="F1264" t="n">
        <x:v>8</x:v>
      </x:c>
      <x:c r="G1264" t="n">
        <x:v>5</x:v>
      </x:c>
      <x:c r="H1264" t="n">
        <x:v>15</x:v>
      </x:c>
      <x:c r="I1264" t="str">
        <x:v>À qualifier par lieu</x:v>
      </x:c>
      <x:c r="J1264" t="str">
        <x:v>https://github.com/darknigthmare/deadwall-last-enclosure/blob/e28f46223e73105ab2c5d83f3d50b99b58ef53e6/codex-3000/compositions/Santé/DW-1259.md</x:v>
      </x:c>
      <x:c r="K1264" t="str">
        <x:v>Source min 20,16 m ; max 150,100 m ; modèle 26 × 22 m ; niveaux 0. Détails dans catalogue-existant.json.</x:v>
      </x:c>
    </x:row>
    <x:row r="1265">
      <x:c r="A1265" t="str">
        <x:v>DW-1260</x:v>
      </x:c>
      <x:c r="B1265" t="str">
        <x:v>DW-0130</x:v>
      </x:c>
      <x:c r="C1265" t="str">
        <x:v>Composition héritée</x:v>
      </x:c>
      <x:c r="D1265" t="str">
        <x:v>Santé</x:v>
      </x:c>
      <x:c r="E1265" t="str">
        <x:v>Urgences hospitalières — Centre d’évacuation abandonné / reprise progressive de la végétation</x:v>
      </x:c>
      <x:c r="F1265" t="n">
        <x:v>8</x:v>
      </x:c>
      <x:c r="G1265" t="n">
        <x:v>5</x:v>
      </x:c>
      <x:c r="H1265" t="n">
        <x:v>15</x:v>
      </x:c>
      <x:c r="I1265" t="str">
        <x:v>À qualifier par lieu</x:v>
      </x:c>
      <x:c r="J1265" t="str">
        <x:v>https://github.com/darknigthmare/deadwall-last-enclosure/blob/e28f46223e73105ab2c5d83f3d50b99b58ef53e6/codex-3000/compositions/Santé/DW-1260.md</x:v>
      </x:c>
      <x:c r="K1265" t="str">
        <x:v>Source min 20,16 m ; max 150,100 m ; modèle 26 × 22 m ; niveaux 0. Détails dans catalogue-existant.json.</x:v>
      </x:c>
    </x:row>
    <x:row r="1266">
      <x:c r="A1266" t="str">
        <x:v>DW-1261</x:v>
      </x:c>
      <x:c r="B1266" t="str">
        <x:v>DW-0131</x:v>
      </x:c>
      <x:c r="C1266" t="str">
        <x:v>Composition héritée</x:v>
      </x:c>
      <x:c r="D1266" t="str">
        <x:v>Santé</x:v>
      </x:c>
      <x:c r="E1266" t="str">
        <x:v>Hôpital général — Village et bourg / première récupération passée</x:v>
      </x:c>
      <x:c r="F1266" t="n">
        <x:v>8</x:v>
      </x:c>
      <x:c r="G1266" t="n">
        <x:v>5</x:v>
      </x:c>
      <x:c r="H1266" t="n">
        <x:v>15</x:v>
      </x:c>
      <x:c r="I1266" t="str">
        <x:v>À qualifier par lieu</x:v>
      </x:c>
      <x:c r="J1266" t="str">
        <x:v>https://github.com/darknigthmare/deadwall-last-enclosure/blob/e28f46223e73105ab2c5d83f3d50b99b58ef53e6/codex-3000/compositions/Santé/DW-1261.md</x:v>
      </x:c>
      <x:c r="K1266" t="str">
        <x:v>Source min 20,16 m ; max 150,100 m ; modèle 26 × 22 m ; niveaux 0. Détails dans catalogue-existant.json.</x:v>
      </x:c>
    </x:row>
    <x:row r="1267">
      <x:c r="A1267" t="str">
        <x:v>DW-1262</x:v>
      </x:c>
      <x:c r="B1267" t="str">
        <x:v>DW-0131</x:v>
      </x:c>
      <x:c r="C1267" t="str">
        <x:v>Composition héritée</x:v>
      </x:c>
      <x:c r="D1267" t="str">
        <x:v>Santé</x:v>
      </x:c>
      <x:c r="E1267" t="str">
        <x:v>Hôpital général — Soins et secours / relais temporaire envisagé</x:v>
      </x:c>
      <x:c r="F1267" t="n">
        <x:v>10</x:v>
      </x:c>
      <x:c r="G1267" t="n">
        <x:v>5</x:v>
      </x:c>
      <x:c r="H1267" t="n">
        <x:v>15</x:v>
      </x:c>
      <x:c r="I1267" t="str">
        <x:v>À qualifier par lieu</x:v>
      </x:c>
      <x:c r="J1267" t="str">
        <x:v>https://github.com/darknigthmare/deadwall-last-enclosure/blob/e28f46223e73105ab2c5d83f3d50b99b58ef53e6/codex-3000/compositions/Santé/DW-1262.md</x:v>
      </x:c>
      <x:c r="K1267" t="str">
        <x:v>Source min 20,16 m ; max 150,100 m ; modèle 26 × 22 m ; niveaux 0. Détails dans catalogue-existant.json.</x:v>
      </x:c>
    </x:row>
    <x:row r="1268">
      <x:c r="A1268" t="str">
        <x:v>DW-1263</x:v>
      </x:c>
      <x:c r="B1268" t="str">
        <x:v>DW-0132</x:v>
      </x:c>
      <x:c r="C1268" t="str">
        <x:v>Composition héritée</x:v>
      </x:c>
      <x:c r="D1268" t="str">
        <x:v>Santé</x:v>
      </x:c>
      <x:c r="E1268" t="str">
        <x:v>Clinique chirurgicale — Centre d’évacuation abandonné / service déplacé à l’arrière</x:v>
      </x:c>
      <x:c r="F1268" t="n">
        <x:v>8</x:v>
      </x:c>
      <x:c r="G1268" t="n">
        <x:v>5</x:v>
      </x:c>
      <x:c r="H1268" t="n">
        <x:v>15</x:v>
      </x:c>
      <x:c r="I1268" t="str">
        <x:v>À qualifier par lieu</x:v>
      </x:c>
      <x:c r="J1268" t="str">
        <x:v>https://github.com/darknigthmare/deadwall-last-enclosure/blob/e28f46223e73105ab2c5d83f3d50b99b58ef53e6/codex-3000/compositions/Santé/DW-1263.md</x:v>
      </x:c>
      <x:c r="K1268" t="str">
        <x:v>Source min 20,16 m ; max 150,100 m ; modèle 26 × 22 m ; niveaux 0. Détails dans catalogue-existant.json.</x:v>
      </x:c>
    </x:row>
    <x:row r="1269">
      <x:c r="A1269" t="str">
        <x:v>DW-1264</x:v>
      </x:c>
      <x:c r="B1269" t="str">
        <x:v>DW-0132</x:v>
      </x:c>
      <x:c r="C1269" t="str">
        <x:v>Composition héritée</x:v>
      </x:c>
      <x:c r="D1269" t="str">
        <x:v>Santé</x:v>
      </x:c>
      <x:c r="E1269" t="str">
        <x:v>Clinique chirurgicale — Ville moyenne / réseau principal coupé</x:v>
      </x:c>
      <x:c r="F1269" t="n">
        <x:v>8</x:v>
      </x:c>
      <x:c r="G1269" t="n">
        <x:v>5</x:v>
      </x:c>
      <x:c r="H1269" t="n">
        <x:v>15</x:v>
      </x:c>
      <x:c r="I1269" t="str">
        <x:v>À qualifier par lieu</x:v>
      </x:c>
      <x:c r="J1269" t="str">
        <x:v>https://github.com/darknigthmare/deadwall-last-enclosure/blob/e28f46223e73105ab2c5d83f3d50b99b58ef53e6/codex-3000/compositions/Santé/DW-1264.md</x:v>
      </x:c>
      <x:c r="K1269" t="str">
        <x:v>Source min 20,16 m ; max 150,100 m ; modèle 26 × 22 m ; niveaux 0. Détails dans catalogue-existant.json.</x:v>
      </x:c>
    </x:row>
    <x:row r="1270">
      <x:c r="A1270" t="str">
        <x:v>DW-1265</x:v>
      </x:c>
      <x:c r="B1270" t="str">
        <x:v>DW-0133</x:v>
      </x:c>
      <x:c r="C1270" t="str">
        <x:v>Composition héritée</x:v>
      </x:c>
      <x:c r="D1270" t="str">
        <x:v>Santé</x:v>
      </x:c>
      <x:c r="E1270" t="str">
        <x:v>Maternité — Soins et secours / reprise progressive de la végétation</x:v>
      </x:c>
      <x:c r="F1270" t="n">
        <x:v>10</x:v>
      </x:c>
      <x:c r="G1270" t="n">
        <x:v>4</x:v>
      </x:c>
      <x:c r="H1270" t="n">
        <x:v>12</x:v>
      </x:c>
      <x:c r="I1270" t="str">
        <x:v>À qualifier par lieu</x:v>
      </x:c>
      <x:c r="J1270" t="str">
        <x:v>https://github.com/darknigthmare/deadwall-last-enclosure/blob/e28f46223e73105ab2c5d83f3d50b99b58ef53e6/codex-3000/compositions/Santé/DW-1265.md</x:v>
      </x:c>
      <x:c r="K1270" t="str">
        <x:v>Source min 20,16 m ; max 150,100 m ; modèle 25 × 18 m ; niveaux 0. Détails dans catalogue-existant.json.</x:v>
      </x:c>
    </x:row>
    <x:row r="1271">
      <x:c r="A1271" t="str">
        <x:v>DW-1266</x:v>
      </x:c>
      <x:c r="B1271" t="str">
        <x:v>DW-0133</x:v>
      </x:c>
      <x:c r="C1271" t="str">
        <x:v>Composition héritée</x:v>
      </x:c>
      <x:c r="D1271" t="str">
        <x:v>Santé</x:v>
      </x:c>
      <x:c r="E1271" t="str">
        <x:v>Maternité — Village et bourg / repli organisé interrompu</x:v>
      </x:c>
      <x:c r="F1271" t="n">
        <x:v>8</x:v>
      </x:c>
      <x:c r="G1271" t="n">
        <x:v>4</x:v>
      </x:c>
      <x:c r="H1271" t="n">
        <x:v>12</x:v>
      </x:c>
      <x:c r="I1271" t="str">
        <x:v>À qualifier par lieu</x:v>
      </x:c>
      <x:c r="J1271" t="str">
        <x:v>https://github.com/darknigthmare/deadwall-last-enclosure/blob/e28f46223e73105ab2c5d83f3d50b99b58ef53e6/codex-3000/compositions/Santé/DW-1266.md</x:v>
      </x:c>
      <x:c r="K1271" t="str">
        <x:v>Source min 20,16 m ; max 150,100 m ; modèle 25 × 18 m ; niveaux 0. Détails dans catalogue-existant.json.</x:v>
      </x:c>
    </x:row>
    <x:row r="1272">
      <x:c r="A1272" t="str">
        <x:v>DW-1267</x:v>
      </x:c>
      <x:c r="B1272" t="str">
        <x:v>DW-0134</x:v>
      </x:c>
      <x:c r="C1272" t="str">
        <x:v>Composition héritée</x:v>
      </x:c>
      <x:c r="D1272" t="str">
        <x:v>Santé</x:v>
      </x:c>
      <x:c r="E1272" t="str">
        <x:v>Hôpital pédiatrique — Ville moyenne / relais temporaire envisagé</x:v>
      </x:c>
      <x:c r="F1272" t="n">
        <x:v>8</x:v>
      </x:c>
      <x:c r="G1272" t="n">
        <x:v>4</x:v>
      </x:c>
      <x:c r="H1272" t="n">
        <x:v>12</x:v>
      </x:c>
      <x:c r="I1272" t="str">
        <x:v>À qualifier par lieu</x:v>
      </x:c>
      <x:c r="J1272" t="str">
        <x:v>https://github.com/darknigthmare/deadwall-last-enclosure/blob/e28f46223e73105ab2c5d83f3d50b99b58ef53e6/codex-3000/compositions/Santé/DW-1267.md</x:v>
      </x:c>
      <x:c r="K1272" t="str">
        <x:v>Source min 20,16 m ; max 150,100 m ; modèle 25 × 18 m ; niveaux 0. Détails dans catalogue-existant.json.</x:v>
      </x:c>
    </x:row>
    <x:row r="1273">
      <x:c r="A1273" t="str">
        <x:v>DW-1268</x:v>
      </x:c>
      <x:c r="B1273" t="str">
        <x:v>DW-0134</x:v>
      </x:c>
      <x:c r="C1273" t="str">
        <x:v>Composition héritée</x:v>
      </x:c>
      <x:c r="D1273" t="str">
        <x:v>Santé</x:v>
      </x:c>
      <x:c r="E1273" t="str">
        <x:v>Hôpital pédiatrique — Centre d’évacuation abandonné / évacuation interrompue</x:v>
      </x:c>
      <x:c r="F1273" t="n">
        <x:v>8</x:v>
      </x:c>
      <x:c r="G1273" t="n">
        <x:v>4</x:v>
      </x:c>
      <x:c r="H1273" t="n">
        <x:v>12</x:v>
      </x:c>
      <x:c r="I1273" t="str">
        <x:v>À qualifier par lieu</x:v>
      </x:c>
      <x:c r="J1273" t="str">
        <x:v>https://github.com/darknigthmare/deadwall-last-enclosure/blob/e28f46223e73105ab2c5d83f3d50b99b58ef53e6/codex-3000/compositions/Santé/DW-1268.md</x:v>
      </x:c>
      <x:c r="K1273" t="str">
        <x:v>Source min 20,16 m ; max 150,100 m ; modèle 25 × 18 m ; niveaux 0. Détails dans catalogue-existant.json.</x:v>
      </x:c>
    </x:row>
    <x:row r="1274">
      <x:c r="A1274" t="str">
        <x:v>DW-1269</x:v>
      </x:c>
      <x:c r="B1274" t="str">
        <x:v>DW-0135</x:v>
      </x:c>
      <x:c r="C1274" t="str">
        <x:v>Composition héritée</x:v>
      </x:c>
      <x:c r="D1274" t="str">
        <x:v>Santé</x:v>
      </x:c>
      <x:c r="E1274" t="str">
        <x:v>Établissement gériatrique — Village et bourg / réseau principal coupé</x:v>
      </x:c>
      <x:c r="F1274" t="n">
        <x:v>8</x:v>
      </x:c>
      <x:c r="G1274" t="n">
        <x:v>5</x:v>
      </x:c>
      <x:c r="H1274" t="n">
        <x:v>15</x:v>
      </x:c>
      <x:c r="I1274" t="str">
        <x:v>À qualifier par lieu</x:v>
      </x:c>
      <x:c r="J1274" t="str">
        <x:v>https://github.com/darknigthmare/deadwall-last-enclosure/blob/e28f46223e73105ab2c5d83f3d50b99b58ef53e6/codex-3000/compositions/Santé/DW-1269.md</x:v>
      </x:c>
      <x:c r="K1274" t="str">
        <x:v>Source min 20,16 m ; max 150,100 m ; modèle 26 × 22 m ; niveaux 0. Détails dans catalogue-existant.json.</x:v>
      </x:c>
    </x:row>
    <x:row r="1275">
      <x:c r="A1275" t="str">
        <x:v>DW-1270</x:v>
      </x:c>
      <x:c r="B1275" t="str">
        <x:v>DW-0135</x:v>
      </x:c>
      <x:c r="C1275" t="str">
        <x:v>Composition héritée</x:v>
      </x:c>
      <x:c r="D1275" t="str">
        <x:v>Santé</x:v>
      </x:c>
      <x:c r="E1275" t="str">
        <x:v>Établissement gériatrique — Soins et secours / arrêt de maintenance</x:v>
      </x:c>
      <x:c r="F1275" t="n">
        <x:v>10</x:v>
      </x:c>
      <x:c r="G1275" t="n">
        <x:v>5</x:v>
      </x:c>
      <x:c r="H1275" t="n">
        <x:v>15</x:v>
      </x:c>
      <x:c r="I1275" t="str">
        <x:v>À qualifier par lieu</x:v>
      </x:c>
      <x:c r="J1275" t="str">
        <x:v>https://github.com/darknigthmare/deadwall-last-enclosure/blob/e28f46223e73105ab2c5d83f3d50b99b58ef53e6/codex-3000/compositions/Santé/DW-1270.md</x:v>
      </x:c>
      <x:c r="K1275" t="str">
        <x:v>Source min 20,16 m ; max 150,100 m ; modèle 26 × 22 m ; niveaux 0. Détails dans catalogue-existant.json.</x:v>
      </x:c>
    </x:row>
    <x:row r="1276">
      <x:c r="A1276" t="str">
        <x:v>DW-1271</x:v>
      </x:c>
      <x:c r="B1276" t="str">
        <x:v>DW-0136</x:v>
      </x:c>
      <x:c r="C1276" t="str">
        <x:v>Composition héritée</x:v>
      </x:c>
      <x:c r="D1276" t="str">
        <x:v>Santé</x:v>
      </x:c>
      <x:c r="E1276" t="str">
        <x:v>Centre de soins psychiatriques — Centre d’évacuation abandonné / repli organisé interrompu</x:v>
      </x:c>
      <x:c r="F1276" t="n">
        <x:v>8</x:v>
      </x:c>
      <x:c r="G1276" t="n">
        <x:v>5</x:v>
      </x:c>
      <x:c r="H1276" t="n">
        <x:v>15</x:v>
      </x:c>
      <x:c r="I1276" t="str">
        <x:v>À qualifier par lieu</x:v>
      </x:c>
      <x:c r="J1276" t="str">
        <x:v>https://github.com/darknigthmare/deadwall-last-enclosure/blob/e28f46223e73105ab2c5d83f3d50b99b58ef53e6/codex-3000/compositions/Santé/DW-1271.md</x:v>
      </x:c>
      <x:c r="K1276" t="str">
        <x:v>Source min 20,16 m ; max 150,100 m ; modèle 26 × 22 m ; niveaux 0. Détails dans catalogue-existant.json.</x:v>
      </x:c>
    </x:row>
    <x:row r="1277">
      <x:c r="A1277" t="str">
        <x:v>DW-1272</x:v>
      </x:c>
      <x:c r="B1277" t="str">
        <x:v>DW-0136</x:v>
      </x:c>
      <x:c r="C1277" t="str">
        <x:v>Composition héritée</x:v>
      </x:c>
      <x:c r="D1277" t="str">
        <x:v>Santé</x:v>
      </x:c>
      <x:c r="E1277" t="str">
        <x:v>Centre de soins psychiatriques — Ville moyenne / première récupération passée</x:v>
      </x:c>
      <x:c r="F1277" t="n">
        <x:v>8</x:v>
      </x:c>
      <x:c r="G1277" t="n">
        <x:v>5</x:v>
      </x:c>
      <x:c r="H1277" t="n">
        <x:v>15</x:v>
      </x:c>
      <x:c r="I1277" t="str">
        <x:v>À qualifier par lieu</x:v>
      </x:c>
      <x:c r="J1277" t="str">
        <x:v>https://github.com/darknigthmare/deadwall-last-enclosure/blob/e28f46223e73105ab2c5d83f3d50b99b58ef53e6/codex-3000/compositions/Santé/DW-1272.md</x:v>
      </x:c>
      <x:c r="K1277" t="str">
        <x:v>Source min 20,16 m ; max 150,100 m ; modèle 26 × 22 m ; niveaux 0. Détails dans catalogue-existant.json.</x:v>
      </x:c>
    </x:row>
    <x:row r="1278">
      <x:c r="A1278" t="str">
        <x:v>DW-1273</x:v>
      </x:c>
      <x:c r="B1278" t="str">
        <x:v>DW-0137</x:v>
      </x:c>
      <x:c r="C1278" t="str">
        <x:v>Composition héritée</x:v>
      </x:c>
      <x:c r="D1278" t="str">
        <x:v>Santé</x:v>
      </x:c>
      <x:c r="E1278" t="str">
        <x:v>Maison de convalescence — Soins et secours / évacuation interrompue</x:v>
      </x:c>
      <x:c r="F1278" t="n">
        <x:v>10</x:v>
      </x:c>
      <x:c r="G1278" t="n">
        <x:v>4</x:v>
      </x:c>
      <x:c r="H1278" t="n">
        <x:v>12</x:v>
      </x:c>
      <x:c r="I1278" t="str">
        <x:v>À qualifier par lieu</x:v>
      </x:c>
      <x:c r="J1278" t="str">
        <x:v>https://github.com/darknigthmare/deadwall-last-enclosure/blob/e28f46223e73105ab2c5d83f3d50b99b58ef53e6/codex-3000/compositions/Santé/DW-1273.md</x:v>
      </x:c>
      <x:c r="K1278" t="str">
        <x:v>Source min 20,16 m ; max 150,100 m ; modèle 25 × 18 m ; niveaux 0. Détails dans catalogue-existant.json.</x:v>
      </x:c>
    </x:row>
    <x:row r="1279">
      <x:c r="A1279" t="str">
        <x:v>DW-1274</x:v>
      </x:c>
      <x:c r="B1279" t="str">
        <x:v>DW-0137</x:v>
      </x:c>
      <x:c r="C1279" t="str">
        <x:v>Composition héritée</x:v>
      </x:c>
      <x:c r="D1279" t="str">
        <x:v>Santé</x:v>
      </x:c>
      <x:c r="E1279" t="str">
        <x:v>Maison de convalescence — Village et bourg / service déplacé à l’arrière</x:v>
      </x:c>
      <x:c r="F1279" t="n">
        <x:v>8</x:v>
      </x:c>
      <x:c r="G1279" t="n">
        <x:v>4</x:v>
      </x:c>
      <x:c r="H1279" t="n">
        <x:v>12</x:v>
      </x:c>
      <x:c r="I1279" t="str">
        <x:v>À qualifier par lieu</x:v>
      </x:c>
      <x:c r="J1279" t="str">
        <x:v>https://github.com/darknigthmare/deadwall-last-enclosure/blob/e28f46223e73105ab2c5d83f3d50b99b58ef53e6/codex-3000/compositions/Santé/DW-1274.md</x:v>
      </x:c>
      <x:c r="K1279" t="str">
        <x:v>Source min 20,16 m ; max 150,100 m ; modèle 25 × 18 m ; niveaux 0. Détails dans catalogue-existant.json.</x:v>
      </x:c>
    </x:row>
    <x:row r="1280">
      <x:c r="A1280" t="str">
        <x:v>DW-1275</x:v>
      </x:c>
      <x:c r="B1280" t="str">
        <x:v>DW-0138</x:v>
      </x:c>
      <x:c r="C1280" t="str">
        <x:v>Composition héritée</x:v>
      </x:c>
      <x:c r="D1280" t="str">
        <x:v>Santé</x:v>
      </x:c>
      <x:c r="E1280" t="str">
        <x:v>Hôpital de campagne — Ville moyenne / arrêt de maintenance</x:v>
      </x:c>
      <x:c r="F1280" t="n">
        <x:v>8</x:v>
      </x:c>
      <x:c r="G1280" t="n">
        <x:v>5</x:v>
      </x:c>
      <x:c r="H1280" t="n">
        <x:v>15</x:v>
      </x:c>
      <x:c r="I1280" t="str">
        <x:v>À qualifier par lieu</x:v>
      </x:c>
      <x:c r="J1280" t="str">
        <x:v>https://github.com/darknigthmare/deadwall-last-enclosure/blob/e28f46223e73105ab2c5d83f3d50b99b58ef53e6/codex-3000/compositions/Santé/DW-1275.md</x:v>
      </x:c>
      <x:c r="K1280" t="str">
        <x:v>Source min 20,16 m ; max 150,100 m ; modèle 26 × 22 m ; niveaux 0. Détails dans catalogue-existant.json.</x:v>
      </x:c>
    </x:row>
    <x:row r="1281">
      <x:c r="A1281" t="str">
        <x:v>DW-1276</x:v>
      </x:c>
      <x:c r="B1281" t="str">
        <x:v>DW-0138</x:v>
      </x:c>
      <x:c r="C1281" t="str">
        <x:v>Composition héritée</x:v>
      </x:c>
      <x:c r="D1281" t="str">
        <x:v>Santé</x:v>
      </x:c>
      <x:c r="E1281" t="str">
        <x:v>Hôpital de campagne — Centre d’évacuation abandonné / reprise progressive de la végétation</x:v>
      </x:c>
      <x:c r="F1281" t="n">
        <x:v>8</x:v>
      </x:c>
      <x:c r="G1281" t="n">
        <x:v>5</x:v>
      </x:c>
      <x:c r="H1281" t="n">
        <x:v>15</x:v>
      </x:c>
      <x:c r="I1281" t="str">
        <x:v>À qualifier par lieu</x:v>
      </x:c>
      <x:c r="J1281" t="str">
        <x:v>https://github.com/darknigthmare/deadwall-last-enclosure/blob/e28f46223e73105ab2c5d83f3d50b99b58ef53e6/codex-3000/compositions/Santé/DW-1276.md</x:v>
      </x:c>
      <x:c r="K1281" t="str">
        <x:v>Source min 20,16 m ; max 150,100 m ; modèle 26 × 22 m ; niveaux 0. Détails dans catalogue-existant.json.</x:v>
      </x:c>
    </x:row>
    <x:row r="1282">
      <x:c r="A1282" t="str">
        <x:v>DW-1277</x:v>
      </x:c>
      <x:c r="B1282" t="str">
        <x:v>DW-0139</x:v>
      </x:c>
      <x:c r="C1282" t="str">
        <x:v>Composition héritée</x:v>
      </x:c>
      <x:c r="D1282" t="str">
        <x:v>Santé</x:v>
      </x:c>
      <x:c r="E1282" t="str">
        <x:v>Centre ambulancier — Village et bourg / première récupération passée</x:v>
      </x:c>
      <x:c r="F1282" t="n">
        <x:v>8</x:v>
      </x:c>
      <x:c r="G1282" t="n">
        <x:v>4</x:v>
      </x:c>
      <x:c r="H1282" t="n">
        <x:v>12</x:v>
      </x:c>
      <x:c r="I1282" t="str">
        <x:v>À qualifier par lieu</x:v>
      </x:c>
      <x:c r="J1282" t="str">
        <x:v>https://github.com/darknigthmare/deadwall-last-enclosure/blob/e28f46223e73105ab2c5d83f3d50b99b58ef53e6/codex-3000/compositions/Santé/DW-1277.md</x:v>
      </x:c>
      <x:c r="K1282" t="str">
        <x:v>Source min 20,16 m ; max 150,100 m ; modèle 25 × 18 m ; niveaux 0. Détails dans catalogue-existant.json.</x:v>
      </x:c>
    </x:row>
    <x:row r="1283">
      <x:c r="A1283" t="str">
        <x:v>DW-1278</x:v>
      </x:c>
      <x:c r="B1283" t="str">
        <x:v>DW-0139</x:v>
      </x:c>
      <x:c r="C1283" t="str">
        <x:v>Composition héritée</x:v>
      </x:c>
      <x:c r="D1283" t="str">
        <x:v>Santé</x:v>
      </x:c>
      <x:c r="E1283" t="str">
        <x:v>Centre ambulancier — Soins et secours / relais temporaire envisagé</x:v>
      </x:c>
      <x:c r="F1283" t="n">
        <x:v>10</x:v>
      </x:c>
      <x:c r="G1283" t="n">
        <x:v>4</x:v>
      </x:c>
      <x:c r="H1283" t="n">
        <x:v>12</x:v>
      </x:c>
      <x:c r="I1283" t="str">
        <x:v>À qualifier par lieu</x:v>
      </x:c>
      <x:c r="J1283" t="str">
        <x:v>https://github.com/darknigthmare/deadwall-last-enclosure/blob/e28f46223e73105ab2c5d83f3d50b99b58ef53e6/codex-3000/compositions/Santé/DW-1278.md</x:v>
      </x:c>
      <x:c r="K1283" t="str">
        <x:v>Source min 20,16 m ; max 150,100 m ; modèle 25 × 18 m ; niveaux 0. Détails dans catalogue-existant.json.</x:v>
      </x:c>
    </x:row>
    <x:row r="1284">
      <x:c r="A1284" t="str">
        <x:v>DW-1279</x:v>
      </x:c>
      <x:c r="B1284" t="str">
        <x:v>DW-0140</x:v>
      </x:c>
      <x:c r="C1284" t="str">
        <x:v>Composition héritée</x:v>
      </x:c>
      <x:c r="D1284" t="str">
        <x:v>Santé</x:v>
      </x:c>
      <x:c r="E1284" t="str">
        <x:v>Ancien sanatorium — Centre d’évacuation abandonné / service déplacé à l’arrière</x:v>
      </x:c>
      <x:c r="F1284" t="n">
        <x:v>8</x:v>
      </x:c>
      <x:c r="G1284" t="n">
        <x:v>5</x:v>
      </x:c>
      <x:c r="H1284" t="n">
        <x:v>13</x:v>
      </x:c>
      <x:c r="I1284" t="str">
        <x:v>À qualifier par lieu</x:v>
      </x:c>
      <x:c r="J1284" t="str">
        <x:v>https://github.com/darknigthmare/deadwall-last-enclosure/blob/e28f46223e73105ab2c5d83f3d50b99b58ef53e6/codex-3000/compositions/Santé/DW-1279.md</x:v>
      </x:c>
      <x:c r="K1284" t="str">
        <x:v>Source min 20,16 m ; max 150,100 m ; modèle 26 × 22 m ; niveaux 0. Détails dans catalogue-existant.json.</x:v>
      </x:c>
    </x:row>
    <x:row r="1285">
      <x:c r="A1285" t="str">
        <x:v>DW-1280</x:v>
      </x:c>
      <x:c r="B1285" t="str">
        <x:v>DW-0140</x:v>
      </x:c>
      <x:c r="C1285" t="str">
        <x:v>Composition héritée</x:v>
      </x:c>
      <x:c r="D1285" t="str">
        <x:v>Santé</x:v>
      </x:c>
      <x:c r="E1285" t="str">
        <x:v>Ancien sanatorium — Ville moyenne / réseau principal coupé</x:v>
      </x:c>
      <x:c r="F1285" t="n">
        <x:v>8</x:v>
      </x:c>
      <x:c r="G1285" t="n">
        <x:v>5</x:v>
      </x:c>
      <x:c r="H1285" t="n">
        <x:v>13</x:v>
      </x:c>
      <x:c r="I1285" t="str">
        <x:v>À qualifier par lieu</x:v>
      </x:c>
      <x:c r="J1285" t="str">
        <x:v>https://github.com/darknigthmare/deadwall-last-enclosure/blob/e28f46223e73105ab2c5d83f3d50b99b58ef53e6/codex-3000/compositions/Santé/DW-1280.md</x:v>
      </x:c>
      <x:c r="K1285" t="str">
        <x:v>Source min 20,16 m ; max 150,100 m ; modèle 26 × 22 m ; niveaux 0. Détails dans catalogue-existant.json.</x:v>
      </x:c>
    </x:row>
    <x:row r="1286">
      <x:c r="A1286" t="str">
        <x:v>DW-1281</x:v>
      </x:c>
      <x:c r="B1286" t="str">
        <x:v>DW-0141</x:v>
      </x:c>
      <x:c r="C1286" t="str">
        <x:v>Composition héritée</x:v>
      </x:c>
      <x:c r="D1286" t="str">
        <x:v>Éducation et connaissance</x:v>
      </x:c>
      <x:c r="E1286" t="str">
        <x:v>École maternelle — École, mairie et bâtiments civiques / reprise progressive de la végétation</x:v>
      </x:c>
      <x:c r="F1286" t="n">
        <x:v>8</x:v>
      </x:c>
      <x:c r="G1286" t="n">
        <x:v>5</x:v>
      </x:c>
      <x:c r="H1286" t="n">
        <x:v>15</x:v>
      </x:c>
      <x:c r="I1286" t="str">
        <x:v>À qualifier par lieu</x:v>
      </x:c>
      <x:c r="J1286" t="str">
        <x:v>https://github.com/darknigthmare/deadwall-last-enclosure/blob/e28f46223e73105ab2c5d83f3d50b99b58ef53e6/codex-3000/compositions/Éducation et connaissance/DW-1281.md</x:v>
      </x:c>
      <x:c r="K1286" t="str">
        <x:v>Source min 28,20 m ; max 160,110 m ; modèle 28 × 22 m ; niveaux 0. Détails dans catalogue-existant.json.</x:v>
      </x:c>
    </x:row>
    <x:row r="1287">
      <x:c r="A1287" t="str">
        <x:v>DW-1282</x:v>
      </x:c>
      <x:c r="B1287" t="str">
        <x:v>DW-0141</x:v>
      </x:c>
      <x:c r="C1287" t="str">
        <x:v>Composition héritée</x:v>
      </x:c>
      <x:c r="D1287" t="str">
        <x:v>Éducation et connaissance</x:v>
      </x:c>
      <x:c r="E1287" t="str">
        <x:v>École maternelle — Quartier collectif / repli organisé interrompu</x:v>
      </x:c>
      <x:c r="F1287" t="n">
        <x:v>8</x:v>
      </x:c>
      <x:c r="G1287" t="n">
        <x:v>5</x:v>
      </x:c>
      <x:c r="H1287" t="n">
        <x:v>15</x:v>
      </x:c>
      <x:c r="I1287" t="str">
        <x:v>À qualifier par lieu</x:v>
      </x:c>
      <x:c r="J1287" t="str">
        <x:v>https://github.com/darknigthmare/deadwall-last-enclosure/blob/e28f46223e73105ab2c5d83f3d50b99b58ef53e6/codex-3000/compositions/Éducation et connaissance/DW-1282.md</x:v>
      </x:c>
      <x:c r="K1287" t="str">
        <x:v>Source min 28,20 m ; max 160,110 m ; modèle 28 × 22 m ; niveaux 0. Détails dans catalogue-existant.json.</x:v>
      </x:c>
    </x:row>
    <x:row r="1288">
      <x:c r="A1288" t="str">
        <x:v>DW-1283</x:v>
      </x:c>
      <x:c r="B1288" t="str">
        <x:v>DW-0142</x:v>
      </x:c>
      <x:c r="C1288" t="str">
        <x:v>Composition héritée</x:v>
      </x:c>
      <x:c r="D1288" t="str">
        <x:v>Éducation et connaissance</x:v>
      </x:c>
      <x:c r="E1288" t="str">
        <x:v>École primaire — Ville moyenne / relais temporaire envisagé</x:v>
      </x:c>
      <x:c r="F1288" t="n">
        <x:v>8</x:v>
      </x:c>
      <x:c r="G1288" t="n">
        <x:v>5</x:v>
      </x:c>
      <x:c r="H1288" t="n">
        <x:v>15</x:v>
      </x:c>
      <x:c r="I1288" t="str">
        <x:v>À qualifier par lieu</x:v>
      </x:c>
      <x:c r="J1288" t="str">
        <x:v>https://github.com/darknigthmare/deadwall-last-enclosure/blob/e28f46223e73105ab2c5d83f3d50b99b58ef53e6/codex-3000/compositions/Éducation et connaissance/DW-1283.md</x:v>
      </x:c>
      <x:c r="K1288" t="str">
        <x:v>Source min 28,20 m ; max 160,110 m ; modèle 28 × 22 m ; niveaux 0, 1. Détails dans catalogue-existant.json.</x:v>
      </x:c>
    </x:row>
    <x:row r="1289">
      <x:c r="A1289" t="str">
        <x:v>DW-1284</x:v>
      </x:c>
      <x:c r="B1289" t="str">
        <x:v>DW-0142</x:v>
      </x:c>
      <x:c r="C1289" t="str">
        <x:v>Composition héritée</x:v>
      </x:c>
      <x:c r="D1289" t="str">
        <x:v>Éducation et connaissance</x:v>
      </x:c>
      <x:c r="E1289" t="str">
        <x:v>École primaire — Village et bourg / évacuation interrompue</x:v>
      </x:c>
      <x:c r="F1289" t="n">
        <x:v>8</x:v>
      </x:c>
      <x:c r="G1289" t="n">
        <x:v>5</x:v>
      </x:c>
      <x:c r="H1289" t="n">
        <x:v>15</x:v>
      </x:c>
      <x:c r="I1289" t="str">
        <x:v>À qualifier par lieu</x:v>
      </x:c>
      <x:c r="J1289" t="str">
        <x:v>https://github.com/darknigthmare/deadwall-last-enclosure/blob/e28f46223e73105ab2c5d83f3d50b99b58ef53e6/codex-3000/compositions/Éducation et connaissance/DW-1284.md</x:v>
      </x:c>
      <x:c r="K1289" t="str">
        <x:v>Source min 28,20 m ; max 160,110 m ; modèle 28 × 22 m ; niveaux 0, 1. Détails dans catalogue-existant.json.</x:v>
      </x:c>
    </x:row>
    <x:row r="1290">
      <x:c r="A1290" t="str">
        <x:v>DW-1285</x:v>
      </x:c>
      <x:c r="B1290" t="str">
        <x:v>DW-0143</x:v>
      </x:c>
      <x:c r="C1290" t="str">
        <x:v>Composition héritée</x:v>
      </x:c>
      <x:c r="D1290" t="str">
        <x:v>Éducation et connaissance</x:v>
      </x:c>
      <x:c r="E1290" t="str">
        <x:v>Collège — Quartier collectif / réseau principal coupé</x:v>
      </x:c>
      <x:c r="F1290" t="n">
        <x:v>8</x:v>
      </x:c>
      <x:c r="G1290" t="n">
        <x:v>5</x:v>
      </x:c>
      <x:c r="H1290" t="n">
        <x:v>15</x:v>
      </x:c>
      <x:c r="I1290" t="str">
        <x:v>À qualifier par lieu</x:v>
      </x:c>
      <x:c r="J1290" t="str">
        <x:v>https://github.com/darknigthmare/deadwall-last-enclosure/blob/e28f46223e73105ab2c5d83f3d50b99b58ef53e6/codex-3000/compositions/Éducation et connaissance/DW-1285.md</x:v>
      </x:c>
      <x:c r="K1290" t="str">
        <x:v>Source min 28,20 m ; max 160,110 m ; modèle 28 × 22 m ; niveaux 0. Détails dans catalogue-existant.json.</x:v>
      </x:c>
    </x:row>
    <x:row r="1291">
      <x:c r="A1291" t="str">
        <x:v>DW-1286</x:v>
      </x:c>
      <x:c r="B1291" t="str">
        <x:v>DW-0143</x:v>
      </x:c>
      <x:c r="C1291" t="str">
        <x:v>Composition héritée</x:v>
      </x:c>
      <x:c r="D1291" t="str">
        <x:v>Éducation et connaissance</x:v>
      </x:c>
      <x:c r="E1291" t="str">
        <x:v>Collège — École, mairie et bâtiments civiques / arrêt de maintenance</x:v>
      </x:c>
      <x:c r="F1291" t="n">
        <x:v>8</x:v>
      </x:c>
      <x:c r="G1291" t="n">
        <x:v>5</x:v>
      </x:c>
      <x:c r="H1291" t="n">
        <x:v>15</x:v>
      </x:c>
      <x:c r="I1291" t="str">
        <x:v>À qualifier par lieu</x:v>
      </x:c>
      <x:c r="J1291" t="str">
        <x:v>https://github.com/darknigthmare/deadwall-last-enclosure/blob/e28f46223e73105ab2c5d83f3d50b99b58ef53e6/codex-3000/compositions/Éducation et connaissance/DW-1286.md</x:v>
      </x:c>
      <x:c r="K1291" t="str">
        <x:v>Source min 28,20 m ; max 160,110 m ; modèle 28 × 22 m ; niveaux 0. Détails dans catalogue-existant.json.</x:v>
      </x:c>
    </x:row>
    <x:row r="1292">
      <x:c r="A1292" t="str">
        <x:v>DW-1287</x:v>
      </x:c>
      <x:c r="B1292" t="str">
        <x:v>DW-0144</x:v>
      </x:c>
      <x:c r="C1292" t="str">
        <x:v>Composition héritée</x:v>
      </x:c>
      <x:c r="D1292" t="str">
        <x:v>Éducation et connaissance</x:v>
      </x:c>
      <x:c r="E1292" t="str">
        <x:v>Lycée général — Village et bourg / repli organisé interrompu</x:v>
      </x:c>
      <x:c r="F1292" t="n">
        <x:v>8</x:v>
      </x:c>
      <x:c r="G1292" t="n">
        <x:v>5</x:v>
      </x:c>
      <x:c r="H1292" t="n">
        <x:v>15</x:v>
      </x:c>
      <x:c r="I1292" t="str">
        <x:v>À qualifier par lieu</x:v>
      </x:c>
      <x:c r="J1292" t="str">
        <x:v>https://github.com/darknigthmare/deadwall-last-enclosure/blob/e28f46223e73105ab2c5d83f3d50b99b58ef53e6/codex-3000/compositions/Éducation et connaissance/DW-1287.md</x:v>
      </x:c>
      <x:c r="K1292" t="str">
        <x:v>Source min 28,20 m ; max 160,110 m ; modèle 28 × 22 m ; niveaux 0. Détails dans catalogue-existant.json.</x:v>
      </x:c>
    </x:row>
    <x:row r="1293">
      <x:c r="A1293" t="str">
        <x:v>DW-1288</x:v>
      </x:c>
      <x:c r="B1293" t="str">
        <x:v>DW-0144</x:v>
      </x:c>
      <x:c r="C1293" t="str">
        <x:v>Composition héritée</x:v>
      </x:c>
      <x:c r="D1293" t="str">
        <x:v>Éducation et connaissance</x:v>
      </x:c>
      <x:c r="E1293" t="str">
        <x:v>Lycée général — Ville moyenne / première récupération passée</x:v>
      </x:c>
      <x:c r="F1293" t="n">
        <x:v>8</x:v>
      </x:c>
      <x:c r="G1293" t="n">
        <x:v>5</x:v>
      </x:c>
      <x:c r="H1293" t="n">
        <x:v>15</x:v>
      </x:c>
      <x:c r="I1293" t="str">
        <x:v>À qualifier par lieu</x:v>
      </x:c>
      <x:c r="J1293" t="str">
        <x:v>https://github.com/darknigthmare/deadwall-last-enclosure/blob/e28f46223e73105ab2c5d83f3d50b99b58ef53e6/codex-3000/compositions/Éducation et connaissance/DW-1288.md</x:v>
      </x:c>
      <x:c r="K1293" t="str">
        <x:v>Source min 28,20 m ; max 160,110 m ; modèle 28 × 22 m ; niveaux 0. Détails dans catalogue-existant.json.</x:v>
      </x:c>
    </x:row>
    <x:row r="1294">
      <x:c r="A1294" t="str">
        <x:v>DW-1289</x:v>
      </x:c>
      <x:c r="B1294" t="str">
        <x:v>DW-0145</x:v>
      </x:c>
      <x:c r="C1294" t="str">
        <x:v>Composition héritée</x:v>
      </x:c>
      <x:c r="D1294" t="str">
        <x:v>Éducation et connaissance</x:v>
      </x:c>
      <x:c r="E1294" t="str">
        <x:v>Lycée professionnel — École, mairie et bâtiments civiques / évacuation interrompue</x:v>
      </x:c>
      <x:c r="F1294" t="n">
        <x:v>8</x:v>
      </x:c>
      <x:c r="G1294" t="n">
        <x:v>5</x:v>
      </x:c>
      <x:c r="H1294" t="n">
        <x:v>15</x:v>
      </x:c>
      <x:c r="I1294" t="str">
        <x:v>À qualifier par lieu</x:v>
      </x:c>
      <x:c r="J1294" t="str">
        <x:v>https://github.com/darknigthmare/deadwall-last-enclosure/blob/e28f46223e73105ab2c5d83f3d50b99b58ef53e6/codex-3000/compositions/Éducation et connaissance/DW-1289.md</x:v>
      </x:c>
      <x:c r="K1294" t="str">
        <x:v>Source min 28,20 m ; max 160,110 m ; modèle 28 × 22 m ; niveaux 0. Détails dans catalogue-existant.json.</x:v>
      </x:c>
    </x:row>
    <x:row r="1295">
      <x:c r="A1295" t="str">
        <x:v>DW-1290</x:v>
      </x:c>
      <x:c r="B1295" t="str">
        <x:v>DW-0145</x:v>
      </x:c>
      <x:c r="C1295" t="str">
        <x:v>Composition héritée</x:v>
      </x:c>
      <x:c r="D1295" t="str">
        <x:v>Éducation et connaissance</x:v>
      </x:c>
      <x:c r="E1295" t="str">
        <x:v>Lycée professionnel — Quartier collectif / service déplacé à l’arrière</x:v>
      </x:c>
      <x:c r="F1295" t="n">
        <x:v>8</x:v>
      </x:c>
      <x:c r="G1295" t="n">
        <x:v>5</x:v>
      </x:c>
      <x:c r="H1295" t="n">
        <x:v>15</x:v>
      </x:c>
      <x:c r="I1295" t="str">
        <x:v>À qualifier par lieu</x:v>
      </x:c>
      <x:c r="J1295" t="str">
        <x:v>https://github.com/darknigthmare/deadwall-last-enclosure/blob/e28f46223e73105ab2c5d83f3d50b99b58ef53e6/codex-3000/compositions/Éducation et connaissance/DW-1290.md</x:v>
      </x:c>
      <x:c r="K1295" t="str">
        <x:v>Source min 28,20 m ; max 160,110 m ; modèle 28 × 22 m ; niveaux 0. Détails dans catalogue-existant.json.</x:v>
      </x:c>
    </x:row>
    <x:row r="1296">
      <x:c r="A1296" t="str">
        <x:v>DW-1291</x:v>
      </x:c>
      <x:c r="B1296" t="str">
        <x:v>DW-0146</x:v>
      </x:c>
      <x:c r="C1296" t="str">
        <x:v>Composition héritée</x:v>
      </x:c>
      <x:c r="D1296" t="str">
        <x:v>Éducation et connaissance</x:v>
      </x:c>
      <x:c r="E1296" t="str">
        <x:v>Campus universitaire — Ville moyenne / arrêt de maintenance</x:v>
      </x:c>
      <x:c r="F1296" t="n">
        <x:v>8</x:v>
      </x:c>
      <x:c r="G1296" t="n">
        <x:v>4</x:v>
      </x:c>
      <x:c r="H1296" t="n">
        <x:v>12</x:v>
      </x:c>
      <x:c r="I1296" t="str">
        <x:v>À qualifier par lieu</x:v>
      </x:c>
      <x:c r="J1296" t="str">
        <x:v>https://github.com/darknigthmare/deadwall-last-enclosure/blob/e28f46223e73105ab2c5d83f3d50b99b58ef53e6/codex-3000/compositions/Éducation et connaissance/DW-1291.md</x:v>
      </x:c>
      <x:c r="K1296" t="str">
        <x:v>Source min 28,20 m ; max 160,110 m ; modèle 28 × 20 m ; niveaux 0. Détails dans catalogue-existant.json.</x:v>
      </x:c>
    </x:row>
    <x:row r="1297">
      <x:c r="A1297" t="str">
        <x:v>DW-1292</x:v>
      </x:c>
      <x:c r="B1297" t="str">
        <x:v>DW-0146</x:v>
      </x:c>
      <x:c r="C1297" t="str">
        <x:v>Composition héritée</x:v>
      </x:c>
      <x:c r="D1297" t="str">
        <x:v>Éducation et connaissance</x:v>
      </x:c>
      <x:c r="E1297" t="str">
        <x:v>Campus universitaire — Village et bourg / reprise progressive de la végétation</x:v>
      </x:c>
      <x:c r="F1297" t="n">
        <x:v>8</x:v>
      </x:c>
      <x:c r="G1297" t="n">
        <x:v>4</x:v>
      </x:c>
      <x:c r="H1297" t="n">
        <x:v>12</x:v>
      </x:c>
      <x:c r="I1297" t="str">
        <x:v>À qualifier par lieu</x:v>
      </x:c>
      <x:c r="J1297" t="str">
        <x:v>https://github.com/darknigthmare/deadwall-last-enclosure/blob/e28f46223e73105ab2c5d83f3d50b99b58ef53e6/codex-3000/compositions/Éducation et connaissance/DW-1292.md</x:v>
      </x:c>
      <x:c r="K1297" t="str">
        <x:v>Source min 28,20 m ; max 160,110 m ; modèle 28 × 20 m ; niveaux 0. Détails dans catalogue-existant.json.</x:v>
      </x:c>
    </x:row>
    <x:row r="1298">
      <x:c r="A1298" t="str">
        <x:v>DW-1293</x:v>
      </x:c>
      <x:c r="B1298" t="str">
        <x:v>DW-0147</x:v>
      </x:c>
      <x:c r="C1298" t="str">
        <x:v>Composition héritée</x:v>
      </x:c>
      <x:c r="D1298" t="str">
        <x:v>Éducation et connaissance</x:v>
      </x:c>
      <x:c r="E1298" t="str">
        <x:v>École d'art — Quartier collectif / première récupération passée</x:v>
      </x:c>
      <x:c r="F1298" t="n">
        <x:v>8</x:v>
      </x:c>
      <x:c r="G1298" t="n">
        <x:v>4</x:v>
      </x:c>
      <x:c r="H1298" t="n">
        <x:v>12</x:v>
      </x:c>
      <x:c r="I1298" t="str">
        <x:v>À qualifier par lieu</x:v>
      </x:c>
      <x:c r="J1298" t="str">
        <x:v>https://github.com/darknigthmare/deadwall-last-enclosure/blob/e28f46223e73105ab2c5d83f3d50b99b58ef53e6/codex-3000/compositions/Éducation et connaissance/DW-1293.md</x:v>
      </x:c>
      <x:c r="K1298" t="str">
        <x:v>Source min 28,20 m ; max 160,110 m ; modèle 28 × 20 m ; niveaux 0. Détails dans catalogue-existant.json.</x:v>
      </x:c>
    </x:row>
    <x:row r="1299">
      <x:c r="A1299" t="str">
        <x:v>DW-1294</x:v>
      </x:c>
      <x:c r="B1299" t="str">
        <x:v>DW-0147</x:v>
      </x:c>
      <x:c r="C1299" t="str">
        <x:v>Composition héritée</x:v>
      </x:c>
      <x:c r="D1299" t="str">
        <x:v>Éducation et connaissance</x:v>
      </x:c>
      <x:c r="E1299" t="str">
        <x:v>École d'art — École, mairie et bâtiments civiques / relais temporaire envisagé</x:v>
      </x:c>
      <x:c r="F1299" t="n">
        <x:v>8</x:v>
      </x:c>
      <x:c r="G1299" t="n">
        <x:v>4</x:v>
      </x:c>
      <x:c r="H1299" t="n">
        <x:v>12</x:v>
      </x:c>
      <x:c r="I1299" t="str">
        <x:v>À qualifier par lieu</x:v>
      </x:c>
      <x:c r="J1299" t="str">
        <x:v>https://github.com/darknigthmare/deadwall-last-enclosure/blob/e28f46223e73105ab2c5d83f3d50b99b58ef53e6/codex-3000/compositions/Éducation et connaissance/DW-1294.md</x:v>
      </x:c>
      <x:c r="K1299" t="str">
        <x:v>Source min 28,20 m ; max 160,110 m ; modèle 28 × 20 m ; niveaux 0. Détails dans catalogue-existant.json.</x:v>
      </x:c>
    </x:row>
    <x:row r="1300">
      <x:c r="A1300" t="str">
        <x:v>DW-1295</x:v>
      </x:c>
      <x:c r="B1300" t="str">
        <x:v>DW-0148</x:v>
      </x:c>
      <x:c r="C1300" t="str">
        <x:v>Composition héritée</x:v>
      </x:c>
      <x:c r="D1300" t="str">
        <x:v>Éducation et connaissance</x:v>
      </x:c>
      <x:c r="E1300" t="str">
        <x:v>Conservatoire — Village et bourg / service déplacé à l’arrière</x:v>
      </x:c>
      <x:c r="F1300" t="n">
        <x:v>8</x:v>
      </x:c>
      <x:c r="G1300" t="n">
        <x:v>4</x:v>
      </x:c>
      <x:c r="H1300" t="n">
        <x:v>12</x:v>
      </x:c>
      <x:c r="I1300" t="str">
        <x:v>À qualifier par lieu</x:v>
      </x:c>
      <x:c r="J1300" t="str">
        <x:v>https://github.com/darknigthmare/deadwall-last-enclosure/blob/e28f46223e73105ab2c5d83f3d50b99b58ef53e6/codex-3000/compositions/Éducation et connaissance/DW-1295.md</x:v>
      </x:c>
      <x:c r="K1300" t="str">
        <x:v>Source min 28,20 m ; max 160,110 m ; modèle 28 × 20 m ; niveaux 0. Détails dans catalogue-existant.json.</x:v>
      </x:c>
    </x:row>
    <x:row r="1301">
      <x:c r="A1301" t="str">
        <x:v>DW-1296</x:v>
      </x:c>
      <x:c r="B1301" t="str">
        <x:v>DW-0148</x:v>
      </x:c>
      <x:c r="C1301" t="str">
        <x:v>Composition héritée</x:v>
      </x:c>
      <x:c r="D1301" t="str">
        <x:v>Éducation et connaissance</x:v>
      </x:c>
      <x:c r="E1301" t="str">
        <x:v>Conservatoire — Ville moyenne / réseau principal coupé</x:v>
      </x:c>
      <x:c r="F1301" t="n">
        <x:v>8</x:v>
      </x:c>
      <x:c r="G1301" t="n">
        <x:v>4</x:v>
      </x:c>
      <x:c r="H1301" t="n">
        <x:v>12</x:v>
      </x:c>
      <x:c r="I1301" t="str">
        <x:v>À qualifier par lieu</x:v>
      </x:c>
      <x:c r="J1301" t="str">
        <x:v>https://github.com/darknigthmare/deadwall-last-enclosure/blob/e28f46223e73105ab2c5d83f3d50b99b58ef53e6/codex-3000/compositions/Éducation et connaissance/DW-1296.md</x:v>
      </x:c>
      <x:c r="K1301" t="str">
        <x:v>Source min 28,20 m ; max 160,110 m ; modèle 28 × 20 m ; niveaux 0. Détails dans catalogue-existant.json.</x:v>
      </x:c>
    </x:row>
    <x:row r="1302">
      <x:c r="A1302" t="str">
        <x:v>DW-1297</x:v>
      </x:c>
      <x:c r="B1302" t="str">
        <x:v>DW-0149</x:v>
      </x:c>
      <x:c r="C1302" t="str">
        <x:v>Composition héritée</x:v>
      </x:c>
      <x:c r="D1302" t="str">
        <x:v>Éducation et connaissance</x:v>
      </x:c>
      <x:c r="E1302" t="str">
        <x:v>École de danse — École, mairie et bâtiments civiques / reprise progressive de la végétation</x:v>
      </x:c>
      <x:c r="F1302" t="n">
        <x:v>8</x:v>
      </x:c>
      <x:c r="G1302" t="n">
        <x:v>4</x:v>
      </x:c>
      <x:c r="H1302" t="n">
        <x:v>12</x:v>
      </x:c>
      <x:c r="I1302" t="str">
        <x:v>À qualifier par lieu</x:v>
      </x:c>
      <x:c r="J1302" t="str">
        <x:v>https://github.com/darknigthmare/deadwall-last-enclosure/blob/e28f46223e73105ab2c5d83f3d50b99b58ef53e6/codex-3000/compositions/Éducation et connaissance/DW-1297.md</x:v>
      </x:c>
      <x:c r="K1302" t="str">
        <x:v>Source min 28,20 m ; max 160,110 m ; modèle 28 × 20 m ; niveaux 0. Détails dans catalogue-existant.json.</x:v>
      </x:c>
    </x:row>
    <x:row r="1303">
      <x:c r="A1303" t="str">
        <x:v>DW-1298</x:v>
      </x:c>
      <x:c r="B1303" t="str">
        <x:v>DW-0149</x:v>
      </x:c>
      <x:c r="C1303" t="str">
        <x:v>Composition héritée</x:v>
      </x:c>
      <x:c r="D1303" t="str">
        <x:v>Éducation et connaissance</x:v>
      </x:c>
      <x:c r="E1303" t="str">
        <x:v>École de danse — Quartier collectif / repli organisé interrompu</x:v>
      </x:c>
      <x:c r="F1303" t="n">
        <x:v>8</x:v>
      </x:c>
      <x:c r="G1303" t="n">
        <x:v>4</x:v>
      </x:c>
      <x:c r="H1303" t="n">
        <x:v>12</x:v>
      </x:c>
      <x:c r="I1303" t="str">
        <x:v>À qualifier par lieu</x:v>
      </x:c>
      <x:c r="J1303" t="str">
        <x:v>https://github.com/darknigthmare/deadwall-last-enclosure/blob/e28f46223e73105ab2c5d83f3d50b99b58ef53e6/codex-3000/compositions/Éducation et connaissance/DW-1298.md</x:v>
      </x:c>
      <x:c r="K1303" t="str">
        <x:v>Source min 28,20 m ; max 160,110 m ; modèle 28 × 20 m ; niveaux 0. Détails dans catalogue-existant.json.</x:v>
      </x:c>
    </x:row>
    <x:row r="1304">
      <x:c r="A1304" t="str">
        <x:v>DW-1299</x:v>
      </x:c>
      <x:c r="B1304" t="str">
        <x:v>DW-0150</x:v>
      </x:c>
      <x:c r="C1304" t="str">
        <x:v>Composition héritée</x:v>
      </x:c>
      <x:c r="D1304" t="str">
        <x:v>Éducation et connaissance</x:v>
      </x:c>
      <x:c r="E1304" t="str">
        <x:v>École de cuisine — Ville moyenne / relais temporaire envisagé</x:v>
      </x:c>
      <x:c r="F1304" t="n">
        <x:v>8</x:v>
      </x:c>
      <x:c r="G1304" t="n">
        <x:v>4</x:v>
      </x:c>
      <x:c r="H1304" t="n">
        <x:v>12</x:v>
      </x:c>
      <x:c r="I1304" t="str">
        <x:v>À qualifier par lieu</x:v>
      </x:c>
      <x:c r="J1304" t="str">
        <x:v>https://github.com/darknigthmare/deadwall-last-enclosure/blob/e28f46223e73105ab2c5d83f3d50b99b58ef53e6/codex-3000/compositions/Éducation et connaissance/DW-1299.md</x:v>
      </x:c>
      <x:c r="K1304" t="str">
        <x:v>Source min 28,20 m ; max 160,110 m ; modèle 28 × 20 m ; niveaux 0. Détails dans catalogue-existant.json.</x:v>
      </x:c>
    </x:row>
    <x:row r="1305">
      <x:c r="A1305" t="str">
        <x:v>DW-1300</x:v>
      </x:c>
      <x:c r="B1305" t="str">
        <x:v>DW-0150</x:v>
      </x:c>
      <x:c r="C1305" t="str">
        <x:v>Composition héritée</x:v>
      </x:c>
      <x:c r="D1305" t="str">
        <x:v>Éducation et connaissance</x:v>
      </x:c>
      <x:c r="E1305" t="str">
        <x:v>École de cuisine — Village et bourg / évacuation interrompue</x:v>
      </x:c>
      <x:c r="F1305" t="n">
        <x:v>8</x:v>
      </x:c>
      <x:c r="G1305" t="n">
        <x:v>4</x:v>
      </x:c>
      <x:c r="H1305" t="n">
        <x:v>12</x:v>
      </x:c>
      <x:c r="I1305" t="str">
        <x:v>À qualifier par lieu</x:v>
      </x:c>
      <x:c r="J1305" t="str">
        <x:v>https://github.com/darknigthmare/deadwall-last-enclosure/blob/e28f46223e73105ab2c5d83f3d50b99b58ef53e6/codex-3000/compositions/Éducation et connaissance/DW-1300.md</x:v>
      </x:c>
      <x:c r="K1305" t="str">
        <x:v>Source min 28,20 m ; max 160,110 m ; modèle 28 × 20 m ; niveaux 0. Détails dans catalogue-existant.json.</x:v>
      </x:c>
    </x:row>
    <x:row r="1306">
      <x:c r="A1306" t="str">
        <x:v>DW-1301</x:v>
      </x:c>
      <x:c r="B1306" t="str">
        <x:v>DW-0151</x:v>
      </x:c>
      <x:c r="C1306" t="str">
        <x:v>Composition héritée</x:v>
      </x:c>
      <x:c r="D1306" t="str">
        <x:v>Éducation et connaissance</x:v>
      </x:c>
      <x:c r="E1306" t="str">
        <x:v>Centre d'apprentissage mécanique — Quartier collectif / réseau principal coupé</x:v>
      </x:c>
      <x:c r="F1306" t="n">
        <x:v>8</x:v>
      </x:c>
      <x:c r="G1306" t="n">
        <x:v>4</x:v>
      </x:c>
      <x:c r="H1306" t="n">
        <x:v>12</x:v>
      </x:c>
      <x:c r="I1306" t="str">
        <x:v>À qualifier par lieu</x:v>
      </x:c>
      <x:c r="J1306" t="str">
        <x:v>https://github.com/darknigthmare/deadwall-last-enclosure/blob/e28f46223e73105ab2c5d83f3d50b99b58ef53e6/codex-3000/compositions/Éducation et connaissance/DW-1301.md</x:v>
      </x:c>
      <x:c r="K1306" t="str">
        <x:v>Source min 28,20 m ; max 160,110 m ; modèle 28 × 20 m ; niveaux 0. Détails dans catalogue-existant.json.</x:v>
      </x:c>
    </x:row>
    <x:row r="1307">
      <x:c r="A1307" t="str">
        <x:v>DW-1302</x:v>
      </x:c>
      <x:c r="B1307" t="str">
        <x:v>DW-0151</x:v>
      </x:c>
      <x:c r="C1307" t="str">
        <x:v>Composition héritée</x:v>
      </x:c>
      <x:c r="D1307" t="str">
        <x:v>Éducation et connaissance</x:v>
      </x:c>
      <x:c r="E1307" t="str">
        <x:v>Centre d'apprentissage mécanique — École, mairie et bâtiments civiques / arrêt de maintenance</x:v>
      </x:c>
      <x:c r="F1307" t="n">
        <x:v>8</x:v>
      </x:c>
      <x:c r="G1307" t="n">
        <x:v>4</x:v>
      </x:c>
      <x:c r="H1307" t="n">
        <x:v>12</x:v>
      </x:c>
      <x:c r="I1307" t="str">
        <x:v>À qualifier par lieu</x:v>
      </x:c>
      <x:c r="J1307" t="str">
        <x:v>https://github.com/darknigthmare/deadwall-last-enclosure/blob/e28f46223e73105ab2c5d83f3d50b99b58ef53e6/codex-3000/compositions/Éducation et connaissance/DW-1302.md</x:v>
      </x:c>
      <x:c r="K1307" t="str">
        <x:v>Source min 28,20 m ; max 160,110 m ; modèle 28 × 20 m ; niveaux 0. Détails dans catalogue-existant.json.</x:v>
      </x:c>
    </x:row>
    <x:row r="1308">
      <x:c r="A1308" t="str">
        <x:v>DW-1303</x:v>
      </x:c>
      <x:c r="B1308" t="str">
        <x:v>DW-0152</x:v>
      </x:c>
      <x:c r="C1308" t="str">
        <x:v>Composition héritée</x:v>
      </x:c>
      <x:c r="D1308" t="str">
        <x:v>Éducation et connaissance</x:v>
      </x:c>
      <x:c r="E1308" t="str">
        <x:v>Centre de formation agricole — Village et bourg / repli organisé interrompu</x:v>
      </x:c>
      <x:c r="F1308" t="n">
        <x:v>8</x:v>
      </x:c>
      <x:c r="G1308" t="n">
        <x:v>4</x:v>
      </x:c>
      <x:c r="H1308" t="n">
        <x:v>12</x:v>
      </x:c>
      <x:c r="I1308" t="str">
        <x:v>À qualifier par lieu</x:v>
      </x:c>
      <x:c r="J1308" t="str">
        <x:v>https://github.com/darknigthmare/deadwall-last-enclosure/blob/e28f46223e73105ab2c5d83f3d50b99b58ef53e6/codex-3000/compositions/Éducation et connaissance/DW-1303.md</x:v>
      </x:c>
      <x:c r="K1308" t="str">
        <x:v>Source min 28,20 m ; max 160,110 m ; modèle 28 × 20 m ; niveaux 0. Détails dans catalogue-existant.json.</x:v>
      </x:c>
    </x:row>
    <x:row r="1309">
      <x:c r="A1309" t="str">
        <x:v>DW-1304</x:v>
      </x:c>
      <x:c r="B1309" t="str">
        <x:v>DW-0152</x:v>
      </x:c>
      <x:c r="C1309" t="str">
        <x:v>Composition héritée</x:v>
      </x:c>
      <x:c r="D1309" t="str">
        <x:v>Éducation et connaissance</x:v>
      </x:c>
      <x:c r="E1309" t="str">
        <x:v>Centre de formation agricole — Ville moyenne / première récupération passée</x:v>
      </x:c>
      <x:c r="F1309" t="n">
        <x:v>8</x:v>
      </x:c>
      <x:c r="G1309" t="n">
        <x:v>4</x:v>
      </x:c>
      <x:c r="H1309" t="n">
        <x:v>12</x:v>
      </x:c>
      <x:c r="I1309" t="str">
        <x:v>À qualifier par lieu</x:v>
      </x:c>
      <x:c r="J1309" t="str">
        <x:v>https://github.com/darknigthmare/deadwall-last-enclosure/blob/e28f46223e73105ab2c5d83f3d50b99b58ef53e6/codex-3000/compositions/Éducation et connaissance/DW-1304.md</x:v>
      </x:c>
      <x:c r="K1309" t="str">
        <x:v>Source min 28,20 m ; max 160,110 m ; modèle 28 × 20 m ; niveaux 0. Détails dans catalogue-existant.json.</x:v>
      </x:c>
    </x:row>
    <x:row r="1310">
      <x:c r="A1310" t="str">
        <x:v>DW-1305</x:v>
      </x:c>
      <x:c r="B1310" t="str">
        <x:v>DW-0153</x:v>
      </x:c>
      <x:c r="C1310" t="str">
        <x:v>Composition héritée</x:v>
      </x:c>
      <x:c r="D1310" t="str">
        <x:v>Éducation et connaissance</x:v>
      </x:c>
      <x:c r="E1310" t="str">
        <x:v>Bibliothèque municipale — École, mairie et bâtiments civiques / évacuation interrompue</x:v>
      </x:c>
      <x:c r="F1310" t="n">
        <x:v>8</x:v>
      </x:c>
      <x:c r="G1310" t="n">
        <x:v>4</x:v>
      </x:c>
      <x:c r="H1310" t="n">
        <x:v>12</x:v>
      </x:c>
      <x:c r="I1310" t="str">
        <x:v>À qualifier par lieu</x:v>
      </x:c>
      <x:c r="J1310" t="str">
        <x:v>https://github.com/darknigthmare/deadwall-last-enclosure/blob/e28f46223e73105ab2c5d83f3d50b99b58ef53e6/codex-3000/compositions/Éducation et connaissance/DW-1305.md</x:v>
      </x:c>
      <x:c r="K1310" t="str">
        <x:v>Source min 28,20 m ; max 160,110 m ; modèle 28 × 20 m ; niveaux 0, 1. Détails dans catalogue-existant.json.</x:v>
      </x:c>
    </x:row>
    <x:row r="1311">
      <x:c r="A1311" t="str">
        <x:v>DW-1306</x:v>
      </x:c>
      <x:c r="B1311" t="str">
        <x:v>DW-0153</x:v>
      </x:c>
      <x:c r="C1311" t="str">
        <x:v>Composition héritée</x:v>
      </x:c>
      <x:c r="D1311" t="str">
        <x:v>Éducation et connaissance</x:v>
      </x:c>
      <x:c r="E1311" t="str">
        <x:v>Bibliothèque municipale — Quartier collectif / service déplacé à l’arrière</x:v>
      </x:c>
      <x:c r="F1311" t="n">
        <x:v>8</x:v>
      </x:c>
      <x:c r="G1311" t="n">
        <x:v>4</x:v>
      </x:c>
      <x:c r="H1311" t="n">
        <x:v>12</x:v>
      </x:c>
      <x:c r="I1311" t="str">
        <x:v>À qualifier par lieu</x:v>
      </x:c>
      <x:c r="J1311" t="str">
        <x:v>https://github.com/darknigthmare/deadwall-last-enclosure/blob/e28f46223e73105ab2c5d83f3d50b99b58ef53e6/codex-3000/compositions/Éducation et connaissance/DW-1306.md</x:v>
      </x:c>
      <x:c r="K1311" t="str">
        <x:v>Source min 28,20 m ; max 160,110 m ; modèle 28 × 20 m ; niveaux 0, 1. Détails dans catalogue-existant.json.</x:v>
      </x:c>
    </x:row>
    <x:row r="1312">
      <x:c r="A1312" t="str">
        <x:v>DW-1307</x:v>
      </x:c>
      <x:c r="B1312" t="str">
        <x:v>DW-0154</x:v>
      </x:c>
      <x:c r="C1312" t="str">
        <x:v>Composition héritée</x:v>
      </x:c>
      <x:c r="D1312" t="str">
        <x:v>Éducation et connaissance</x:v>
      </x:c>
      <x:c r="E1312" t="str">
        <x:v>Médiathèque — Ville moyenne / arrêt de maintenance</x:v>
      </x:c>
      <x:c r="F1312" t="n">
        <x:v>8</x:v>
      </x:c>
      <x:c r="G1312" t="n">
        <x:v>4</x:v>
      </x:c>
      <x:c r="H1312" t="n">
        <x:v>12</x:v>
      </x:c>
      <x:c r="I1312" t="str">
        <x:v>À qualifier par lieu</x:v>
      </x:c>
      <x:c r="J1312" t="str">
        <x:v>https://github.com/darknigthmare/deadwall-last-enclosure/blob/e28f46223e73105ab2c5d83f3d50b99b58ef53e6/codex-3000/compositions/Éducation et connaissance/DW-1307.md</x:v>
      </x:c>
      <x:c r="K1312" t="str">
        <x:v>Source min 28,20 m ; max 160,110 m ; modèle 28 × 20 m ; niveaux 0. Détails dans catalogue-existant.json.</x:v>
      </x:c>
    </x:row>
    <x:row r="1313">
      <x:c r="A1313" t="str">
        <x:v>DW-1308</x:v>
      </x:c>
      <x:c r="B1313" t="str">
        <x:v>DW-0154</x:v>
      </x:c>
      <x:c r="C1313" t="str">
        <x:v>Composition héritée</x:v>
      </x:c>
      <x:c r="D1313" t="str">
        <x:v>Éducation et connaissance</x:v>
      </x:c>
      <x:c r="E1313" t="str">
        <x:v>Médiathèque — Village et bourg / reprise progressive de la végétation</x:v>
      </x:c>
      <x:c r="F1313" t="n">
        <x:v>8</x:v>
      </x:c>
      <x:c r="G1313" t="n">
        <x:v>4</x:v>
      </x:c>
      <x:c r="H1313" t="n">
        <x:v>12</x:v>
      </x:c>
      <x:c r="I1313" t="str">
        <x:v>À qualifier par lieu</x:v>
      </x:c>
      <x:c r="J1313" t="str">
        <x:v>https://github.com/darknigthmare/deadwall-last-enclosure/blob/e28f46223e73105ab2c5d83f3d50b99b58ef53e6/codex-3000/compositions/Éducation et connaissance/DW-1308.md</x:v>
      </x:c>
      <x:c r="K1313" t="str">
        <x:v>Source min 28,20 m ; max 160,110 m ; modèle 28 × 20 m ; niveaux 0. Détails dans catalogue-existant.json.</x:v>
      </x:c>
    </x:row>
    <x:row r="1314">
      <x:c r="A1314" t="str">
        <x:v>DW-1309</x:v>
      </x:c>
      <x:c r="B1314" t="str">
        <x:v>DW-0155</x:v>
      </x:c>
      <x:c r="C1314" t="str">
        <x:v>Composition héritée</x:v>
      </x:c>
      <x:c r="D1314" t="str">
        <x:v>Éducation et connaissance</x:v>
      </x:c>
      <x:c r="E1314" t="str">
        <x:v>Centre de recherche — Quartier collectif / première récupération passée</x:v>
      </x:c>
      <x:c r="F1314" t="n">
        <x:v>8</x:v>
      </x:c>
      <x:c r="G1314" t="n">
        <x:v>4</x:v>
      </x:c>
      <x:c r="H1314" t="n">
        <x:v>12</x:v>
      </x:c>
      <x:c r="I1314" t="str">
        <x:v>À qualifier par lieu</x:v>
      </x:c>
      <x:c r="J1314" t="str">
        <x:v>https://github.com/darknigthmare/deadwall-last-enclosure/blob/e28f46223e73105ab2c5d83f3d50b99b58ef53e6/codex-3000/compositions/Éducation et connaissance/DW-1309.md</x:v>
      </x:c>
      <x:c r="K1314" t="str">
        <x:v>Source min 28,20 m ; max 160,110 m ; modèle 28 × 20 m ; niveaux 0. Détails dans catalogue-existant.json.</x:v>
      </x:c>
    </x:row>
    <x:row r="1315">
      <x:c r="A1315" t="str">
        <x:v>DW-1310</x:v>
      </x:c>
      <x:c r="B1315" t="str">
        <x:v>DW-0155</x:v>
      </x:c>
      <x:c r="C1315" t="str">
        <x:v>Composition héritée</x:v>
      </x:c>
      <x:c r="D1315" t="str">
        <x:v>Éducation et connaissance</x:v>
      </x:c>
      <x:c r="E1315" t="str">
        <x:v>Centre de recherche — École, mairie et bâtiments civiques / relais temporaire envisagé</x:v>
      </x:c>
      <x:c r="F1315" t="n">
        <x:v>8</x:v>
      </x:c>
      <x:c r="G1315" t="n">
        <x:v>4</x:v>
      </x:c>
      <x:c r="H1315" t="n">
        <x:v>12</x:v>
      </x:c>
      <x:c r="I1315" t="str">
        <x:v>À qualifier par lieu</x:v>
      </x:c>
      <x:c r="J1315" t="str">
        <x:v>https://github.com/darknigthmare/deadwall-last-enclosure/blob/e28f46223e73105ab2c5d83f3d50b99b58ef53e6/codex-3000/compositions/Éducation et connaissance/DW-1310.md</x:v>
      </x:c>
      <x:c r="K1315" t="str">
        <x:v>Source min 28,20 m ; max 160,110 m ; modèle 28 × 20 m ; niveaux 0. Détails dans catalogue-existant.json.</x:v>
      </x:c>
    </x:row>
    <x:row r="1316">
      <x:c r="A1316" t="str">
        <x:v>DW-1311</x:v>
      </x:c>
      <x:c r="B1316" t="str">
        <x:v>DW-0156</x:v>
      </x:c>
      <x:c r="C1316" t="str">
        <x:v>Composition héritée</x:v>
      </x:c>
      <x:c r="D1316" t="str">
        <x:v>Éducation et connaissance</x:v>
      </x:c>
      <x:c r="E1316" t="str">
        <x:v>Observatoire pédagogique — Village et bourg / service déplacé à l’arrière</x:v>
      </x:c>
      <x:c r="F1316" t="n">
        <x:v>8</x:v>
      </x:c>
      <x:c r="G1316" t="n">
        <x:v>4</x:v>
      </x:c>
      <x:c r="H1316" t="n">
        <x:v>12</x:v>
      </x:c>
      <x:c r="I1316" t="str">
        <x:v>À qualifier par lieu</x:v>
      </x:c>
      <x:c r="J1316" t="str">
        <x:v>https://github.com/darknigthmare/deadwall-last-enclosure/blob/e28f46223e73105ab2c5d83f3d50b99b58ef53e6/codex-3000/compositions/Éducation et connaissance/DW-1311.md</x:v>
      </x:c>
      <x:c r="K1316" t="str">
        <x:v>Source min 28,20 m ; max 160,110 m ; modèle 28 × 20 m ; niveaux 0. Détails dans catalogue-existant.json.</x:v>
      </x:c>
    </x:row>
    <x:row r="1317">
      <x:c r="A1317" t="str">
        <x:v>DW-1312</x:v>
      </x:c>
      <x:c r="B1317" t="str">
        <x:v>DW-0156</x:v>
      </x:c>
      <x:c r="C1317" t="str">
        <x:v>Composition héritée</x:v>
      </x:c>
      <x:c r="D1317" t="str">
        <x:v>Éducation et connaissance</x:v>
      </x:c>
      <x:c r="E1317" t="str">
        <x:v>Observatoire pédagogique — Ville moyenne / réseau principal coupé</x:v>
      </x:c>
      <x:c r="F1317" t="n">
        <x:v>8</x:v>
      </x:c>
      <x:c r="G1317" t="n">
        <x:v>4</x:v>
      </x:c>
      <x:c r="H1317" t="n">
        <x:v>12</x:v>
      </x:c>
      <x:c r="I1317" t="str">
        <x:v>À qualifier par lieu</x:v>
      </x:c>
      <x:c r="J1317" t="str">
        <x:v>https://github.com/darknigthmare/deadwall-last-enclosure/blob/e28f46223e73105ab2c5d83f3d50b99b58ef53e6/codex-3000/compositions/Éducation et connaissance/DW-1312.md</x:v>
      </x:c>
      <x:c r="K1317" t="str">
        <x:v>Source min 28,20 m ; max 160,110 m ; modèle 28 × 20 m ; niveaux 0. Détails dans catalogue-existant.json.</x:v>
      </x:c>
    </x:row>
    <x:row r="1318">
      <x:c r="A1318" t="str">
        <x:v>DW-1313</x:v>
      </x:c>
      <x:c r="B1318" t="str">
        <x:v>DW-0157</x:v>
      </x:c>
      <x:c r="C1318" t="str">
        <x:v>Composition héritée</x:v>
      </x:c>
      <x:c r="D1318" t="str">
        <x:v>Éducation et connaissance</x:v>
      </x:c>
      <x:c r="E1318" t="str">
        <x:v>Planétarium — École, mairie et bâtiments civiques / reprise progressive de la végétation</x:v>
      </x:c>
      <x:c r="F1318" t="n">
        <x:v>8</x:v>
      </x:c>
      <x:c r="G1318" t="n">
        <x:v>4</x:v>
      </x:c>
      <x:c r="H1318" t="n">
        <x:v>12</x:v>
      </x:c>
      <x:c r="I1318" t="str">
        <x:v>À qualifier par lieu</x:v>
      </x:c>
      <x:c r="J1318" t="str">
        <x:v>https://github.com/darknigthmare/deadwall-last-enclosure/blob/e28f46223e73105ab2c5d83f3d50b99b58ef53e6/codex-3000/compositions/Éducation et connaissance/DW-1313.md</x:v>
      </x:c>
      <x:c r="K1318" t="str">
        <x:v>Source min 28,20 m ; max 160,110 m ; modèle 28 × 20 m ; niveaux 0. Détails dans catalogue-existant.json.</x:v>
      </x:c>
    </x:row>
    <x:row r="1319">
      <x:c r="A1319" t="str">
        <x:v>DW-1314</x:v>
      </x:c>
      <x:c r="B1319" t="str">
        <x:v>DW-0157</x:v>
      </x:c>
      <x:c r="C1319" t="str">
        <x:v>Composition héritée</x:v>
      </x:c>
      <x:c r="D1319" t="str">
        <x:v>Éducation et connaissance</x:v>
      </x:c>
      <x:c r="E1319" t="str">
        <x:v>Planétarium — Quartier collectif / repli organisé interrompu</x:v>
      </x:c>
      <x:c r="F1319" t="n">
        <x:v>8</x:v>
      </x:c>
      <x:c r="G1319" t="n">
        <x:v>4</x:v>
      </x:c>
      <x:c r="H1319" t="n">
        <x:v>12</x:v>
      </x:c>
      <x:c r="I1319" t="str">
        <x:v>À qualifier par lieu</x:v>
      </x:c>
      <x:c r="J1319" t="str">
        <x:v>https://github.com/darknigthmare/deadwall-last-enclosure/blob/e28f46223e73105ab2c5d83f3d50b99b58ef53e6/codex-3000/compositions/Éducation et connaissance/DW-1314.md</x:v>
      </x:c>
      <x:c r="K1319" t="str">
        <x:v>Source min 28,20 m ; max 160,110 m ; modèle 28 × 20 m ; niveaux 0. Détails dans catalogue-existant.json.</x:v>
      </x:c>
    </x:row>
    <x:row r="1320">
      <x:c r="A1320" t="str">
        <x:v>DW-1315</x:v>
      </x:c>
      <x:c r="B1320" t="str">
        <x:v>DW-0158</x:v>
      </x:c>
      <x:c r="C1320" t="str">
        <x:v>Composition héritée</x:v>
      </x:c>
      <x:c r="D1320" t="str">
        <x:v>Éducation et connaissance</x:v>
      </x:c>
      <x:c r="E1320" t="str">
        <x:v>Archives universitaires — Ville moyenne / relais temporaire envisagé</x:v>
      </x:c>
      <x:c r="F1320" t="n">
        <x:v>8</x:v>
      </x:c>
      <x:c r="G1320" t="n">
        <x:v>4</x:v>
      </x:c>
      <x:c r="H1320" t="n">
        <x:v>12</x:v>
      </x:c>
      <x:c r="I1320" t="str">
        <x:v>À qualifier par lieu</x:v>
      </x:c>
      <x:c r="J1320" t="str">
        <x:v>https://github.com/darknigthmare/deadwall-last-enclosure/blob/e28f46223e73105ab2c5d83f3d50b99b58ef53e6/codex-3000/compositions/Éducation et connaissance/DW-1315.md</x:v>
      </x:c>
      <x:c r="K1320" t="str">
        <x:v>Source min 28,20 m ; max 160,110 m ; modèle 28 × 20 m ; niveaux 0. Détails dans catalogue-existant.json.</x:v>
      </x:c>
    </x:row>
    <x:row r="1321">
      <x:c r="A1321" t="str">
        <x:v>DW-1316</x:v>
      </x:c>
      <x:c r="B1321" t="str">
        <x:v>DW-0158</x:v>
      </x:c>
      <x:c r="C1321" t="str">
        <x:v>Composition héritée</x:v>
      </x:c>
      <x:c r="D1321" t="str">
        <x:v>Éducation et connaissance</x:v>
      </x:c>
      <x:c r="E1321" t="str">
        <x:v>Archives universitaires — Village et bourg / évacuation interrompue</x:v>
      </x:c>
      <x:c r="F1321" t="n">
        <x:v>8</x:v>
      </x:c>
      <x:c r="G1321" t="n">
        <x:v>4</x:v>
      </x:c>
      <x:c r="H1321" t="n">
        <x:v>12</x:v>
      </x:c>
      <x:c r="I1321" t="str">
        <x:v>À qualifier par lieu</x:v>
      </x:c>
      <x:c r="J1321" t="str">
        <x:v>https://github.com/darknigthmare/deadwall-last-enclosure/blob/e28f46223e73105ab2c5d83f3d50b99b58ef53e6/codex-3000/compositions/Éducation et connaissance/DW-1316.md</x:v>
      </x:c>
      <x:c r="K1321" t="str">
        <x:v>Source min 28,20 m ; max 160,110 m ; modèle 28 × 20 m ; niveaux 0. Détails dans catalogue-existant.json.</x:v>
      </x:c>
    </x:row>
    <x:row r="1322">
      <x:c r="A1322" t="str">
        <x:v>DW-1317</x:v>
      </x:c>
      <x:c r="B1322" t="str">
        <x:v>DW-0159</x:v>
      </x:c>
      <x:c r="C1322" t="str">
        <x:v>Composition héritée</x:v>
      </x:c>
      <x:c r="D1322" t="str">
        <x:v>Éducation et connaissance</x:v>
      </x:c>
      <x:c r="E1322" t="str">
        <x:v>Centre aéré — Quartier collectif / réseau principal coupé</x:v>
      </x:c>
      <x:c r="F1322" t="n">
        <x:v>8</x:v>
      </x:c>
      <x:c r="G1322" t="n">
        <x:v>4</x:v>
      </x:c>
      <x:c r="H1322" t="n">
        <x:v>12</x:v>
      </x:c>
      <x:c r="I1322" t="str">
        <x:v>À qualifier par lieu</x:v>
      </x:c>
      <x:c r="J1322" t="str">
        <x:v>https://github.com/darknigthmare/deadwall-last-enclosure/blob/e28f46223e73105ab2c5d83f3d50b99b58ef53e6/codex-3000/compositions/Éducation et connaissance/DW-1317.md</x:v>
      </x:c>
      <x:c r="K1322" t="str">
        <x:v>Source min 28,20 m ; max 160,110 m ; modèle 28 × 20 m ; niveaux 0. Détails dans catalogue-existant.json.</x:v>
      </x:c>
    </x:row>
    <x:row r="1323">
      <x:c r="A1323" t="str">
        <x:v>DW-1318</x:v>
      </x:c>
      <x:c r="B1323" t="str">
        <x:v>DW-0159</x:v>
      </x:c>
      <x:c r="C1323" t="str">
        <x:v>Composition héritée</x:v>
      </x:c>
      <x:c r="D1323" t="str">
        <x:v>Éducation et connaissance</x:v>
      </x:c>
      <x:c r="E1323" t="str">
        <x:v>Centre aéré — École, mairie et bâtiments civiques / arrêt de maintenance</x:v>
      </x:c>
      <x:c r="F1323" t="n">
        <x:v>8</x:v>
      </x:c>
      <x:c r="G1323" t="n">
        <x:v>4</x:v>
      </x:c>
      <x:c r="H1323" t="n">
        <x:v>12</x:v>
      </x:c>
      <x:c r="I1323" t="str">
        <x:v>À qualifier par lieu</x:v>
      </x:c>
      <x:c r="J1323" t="str">
        <x:v>https://github.com/darknigthmare/deadwall-last-enclosure/blob/e28f46223e73105ab2c5d83f3d50b99b58ef53e6/codex-3000/compositions/Éducation et connaissance/DW-1318.md</x:v>
      </x:c>
      <x:c r="K1323" t="str">
        <x:v>Source min 28,20 m ; max 160,110 m ; modèle 28 × 20 m ; niveaux 0. Détails dans catalogue-existant.json.</x:v>
      </x:c>
    </x:row>
    <x:row r="1324">
      <x:c r="A1324" t="str">
        <x:v>DW-1319</x:v>
      </x:c>
      <x:c r="B1324" t="str">
        <x:v>DW-0160</x:v>
      </x:c>
      <x:c r="C1324" t="str">
        <x:v>Composition héritée</x:v>
      </x:c>
      <x:c r="D1324" t="str">
        <x:v>Éducation et connaissance</x:v>
      </x:c>
      <x:c r="E1324" t="str">
        <x:v>École réutilisée par une association — Village et bourg / repli organisé interrompu</x:v>
      </x:c>
      <x:c r="F1324" t="n">
        <x:v>8</x:v>
      </x:c>
      <x:c r="G1324" t="n">
        <x:v>4</x:v>
      </x:c>
      <x:c r="H1324" t="n">
        <x:v>12</x:v>
      </x:c>
      <x:c r="I1324" t="str">
        <x:v>À qualifier par lieu</x:v>
      </x:c>
      <x:c r="J1324" t="str">
        <x:v>https://github.com/darknigthmare/deadwall-last-enclosure/blob/e28f46223e73105ab2c5d83f3d50b99b58ef53e6/codex-3000/compositions/Éducation et connaissance/DW-1319.md</x:v>
      </x:c>
      <x:c r="K1324" t="str">
        <x:v>Source min 28,20 m ; max 160,110 m ; modèle 28 × 20 m ; niveaux 0. Détails dans catalogue-existant.json.</x:v>
      </x:c>
    </x:row>
    <x:row r="1325">
      <x:c r="A1325" t="str">
        <x:v>DW-1320</x:v>
      </x:c>
      <x:c r="B1325" t="str">
        <x:v>DW-0160</x:v>
      </x:c>
      <x:c r="C1325" t="str">
        <x:v>Composition héritée</x:v>
      </x:c>
      <x:c r="D1325" t="str">
        <x:v>Éducation et connaissance</x:v>
      </x:c>
      <x:c r="E1325" t="str">
        <x:v>École réutilisée par une association — Ville moyenne / première récupération passée</x:v>
      </x:c>
      <x:c r="F1325" t="n">
        <x:v>8</x:v>
      </x:c>
      <x:c r="G1325" t="n">
        <x:v>4</x:v>
      </x:c>
      <x:c r="H1325" t="n">
        <x:v>12</x:v>
      </x:c>
      <x:c r="I1325" t="str">
        <x:v>À qualifier par lieu</x:v>
      </x:c>
      <x:c r="J1325" t="str">
        <x:v>https://github.com/darknigthmare/deadwall-last-enclosure/blob/e28f46223e73105ab2c5d83f3d50b99b58ef53e6/codex-3000/compositions/Éducation et connaissance/DW-1320.md</x:v>
      </x:c>
      <x:c r="K1325" t="str">
        <x:v>Source min 28,20 m ; max 160,110 m ; modèle 28 × 20 m ; niveaux 0. Détails dans catalogue-existant.json.</x:v>
      </x:c>
    </x:row>
    <x:row r="1326">
      <x:c r="A1326" t="str">
        <x:v>DW-1321</x:v>
      </x:c>
      <x:c r="B1326" t="str">
        <x:v>DW-0161</x:v>
      </x:c>
      <x:c r="C1326" t="str">
        <x:v>Composition héritée</x:v>
      </x:c>
      <x:c r="D1326" t="str">
        <x:v>Administration et communauté</x:v>
      </x:c>
      <x:c r="E1326" t="str">
        <x:v>Mairie — École, mairie et bâtiments civiques / évacuation interrompue</x:v>
      </x:c>
      <x:c r="F1326" t="n">
        <x:v>8</x:v>
      </x:c>
      <x:c r="G1326" t="n">
        <x:v>4</x:v>
      </x:c>
      <x:c r="H1326" t="n">
        <x:v>12</x:v>
      </x:c>
      <x:c r="I1326" t="str">
        <x:v>À qualifier par lieu</x:v>
      </x:c>
      <x:c r="J1326" t="str">
        <x:v>https://github.com/darknigthmare/deadwall-last-enclosure/blob/e28f46223e73105ab2c5d83f3d50b99b58ef53e6/codex-3000/compositions/Administration et communauté/DW-1321.md</x:v>
      </x:c>
      <x:c r="K1326" t="str">
        <x:v>Source min 25,20 m ; max 120,80 m ; modèle 25 × 20 m ; niveaux 0, 1. Détails dans catalogue-existant.json.</x:v>
      </x:c>
    </x:row>
    <x:row r="1327">
      <x:c r="A1327" t="str">
        <x:v>DW-1322</x:v>
      </x:c>
      <x:c r="B1327" t="str">
        <x:v>DW-0161</x:v>
      </x:c>
      <x:c r="C1327" t="str">
        <x:v>Composition héritée</x:v>
      </x:c>
      <x:c r="D1327" t="str">
        <x:v>Administration et communauté</x:v>
      </x:c>
      <x:c r="E1327" t="str">
        <x:v>Mairie — Village et bourg / service déplacé à l’arrière</x:v>
      </x:c>
      <x:c r="F1327" t="n">
        <x:v>8</x:v>
      </x:c>
      <x:c r="G1327" t="n">
        <x:v>4</x:v>
      </x:c>
      <x:c r="H1327" t="n">
        <x:v>12</x:v>
      </x:c>
      <x:c r="I1327" t="str">
        <x:v>À qualifier par lieu</x:v>
      </x:c>
      <x:c r="J1327" t="str">
        <x:v>https://github.com/darknigthmare/deadwall-last-enclosure/blob/e28f46223e73105ab2c5d83f3d50b99b58ef53e6/codex-3000/compositions/Administration et communauté/DW-1322.md</x:v>
      </x:c>
      <x:c r="K1327" t="str">
        <x:v>Source min 25,20 m ; max 120,80 m ; modèle 25 × 20 m ; niveaux 0, 1. Détails dans catalogue-existant.json.</x:v>
      </x:c>
    </x:row>
    <x:row r="1328">
      <x:c r="A1328" t="str">
        <x:v>DW-1323</x:v>
      </x:c>
      <x:c r="B1328" t="str">
        <x:v>DW-0162</x:v>
      </x:c>
      <x:c r="C1328" t="str">
        <x:v>Composition héritée</x:v>
      </x:c>
      <x:c r="D1328" t="str">
        <x:v>Administration et communauté</x:v>
      </x:c>
      <x:c r="E1328" t="str">
        <x:v>Hôtel de ville métropolitain — Ville moyenne / arrêt de maintenance</x:v>
      </x:c>
      <x:c r="F1328" t="n">
        <x:v>8</x:v>
      </x:c>
      <x:c r="G1328" t="n">
        <x:v>4</x:v>
      </x:c>
      <x:c r="H1328" t="n">
        <x:v>12</x:v>
      </x:c>
      <x:c r="I1328" t="str">
        <x:v>À qualifier par lieu</x:v>
      </x:c>
      <x:c r="J1328" t="str">
        <x:v>https://github.com/darknigthmare/deadwall-last-enclosure/blob/e28f46223e73105ab2c5d83f3d50b99b58ef53e6/codex-3000/compositions/Administration et communauté/DW-1323.md</x:v>
      </x:c>
      <x:c r="K1328" t="str">
        <x:v>Source min 25,20 m ; max 120,80 m ; modèle 25 × 20 m ; niveaux 0, 1, 2. Détails dans catalogue-existant.json.</x:v>
      </x:c>
    </x:row>
    <x:row r="1329">
      <x:c r="A1329" t="str">
        <x:v>DW-1324</x:v>
      </x:c>
      <x:c r="B1329" t="str">
        <x:v>DW-0162</x:v>
      </x:c>
      <x:c r="C1329" t="str">
        <x:v>Composition héritée</x:v>
      </x:c>
      <x:c r="D1329" t="str">
        <x:v>Administration et communauté</x:v>
      </x:c>
      <x:c r="E1329" t="str">
        <x:v>Hôtel de ville métropolitain — Centre ancien / reprise progressive de la végétation</x:v>
      </x:c>
      <x:c r="F1329" t="n">
        <x:v>8</x:v>
      </x:c>
      <x:c r="G1329" t="n">
        <x:v>4</x:v>
      </x:c>
      <x:c r="H1329" t="n">
        <x:v>12</x:v>
      </x:c>
      <x:c r="I1329" t="str">
        <x:v>À qualifier par lieu</x:v>
      </x:c>
      <x:c r="J1329" t="str">
        <x:v>https://github.com/darknigthmare/deadwall-last-enclosure/blob/e28f46223e73105ab2c5d83f3d50b99b58ef53e6/codex-3000/compositions/Administration et communauté/DW-1324.md</x:v>
      </x:c>
      <x:c r="K1329" t="str">
        <x:v>Source min 25,20 m ; max 120,80 m ; modèle 25 × 20 m ; niveaux 0, 1, 2. Détails dans catalogue-existant.json.</x:v>
      </x:c>
    </x:row>
    <x:row r="1330">
      <x:c r="A1330" t="str">
        <x:v>DW-1325</x:v>
      </x:c>
      <x:c r="B1330" t="str">
        <x:v>DW-0163</x:v>
      </x:c>
      <x:c r="C1330" t="str">
        <x:v>Composition héritée</x:v>
      </x:c>
      <x:c r="D1330" t="str">
        <x:v>Administration et communauté</x:v>
      </x:c>
      <x:c r="E1330" t="str">
        <x:v>Annexe administrative — Village et bourg / première récupération passée</x:v>
      </x:c>
      <x:c r="F1330" t="n">
        <x:v>8</x:v>
      </x:c>
      <x:c r="G1330" t="n">
        <x:v>4</x:v>
      </x:c>
      <x:c r="H1330" t="n">
        <x:v>12</x:v>
      </x:c>
      <x:c r="I1330" t="str">
        <x:v>À qualifier par lieu</x:v>
      </x:c>
      <x:c r="J1330" t="str">
        <x:v>https://github.com/darknigthmare/deadwall-last-enclosure/blob/e28f46223e73105ab2c5d83f3d50b99b58ef53e6/codex-3000/compositions/Administration et communauté/DW-1325.md</x:v>
      </x:c>
      <x:c r="K1330" t="str">
        <x:v>Source min 25,20 m ; max 120,80 m ; modèle 25 × 20 m ; niveaux 0. Détails dans catalogue-existant.json.</x:v>
      </x:c>
    </x:row>
    <x:row r="1331">
      <x:c r="A1331" t="str">
        <x:v>DW-1326</x:v>
      </x:c>
      <x:c r="B1331" t="str">
        <x:v>DW-0163</x:v>
      </x:c>
      <x:c r="C1331" t="str">
        <x:v>Composition héritée</x:v>
      </x:c>
      <x:c r="D1331" t="str">
        <x:v>Administration et communauté</x:v>
      </x:c>
      <x:c r="E1331" t="str">
        <x:v>Annexe administrative — École, mairie et bâtiments civiques / relais temporaire envisagé</x:v>
      </x:c>
      <x:c r="F1331" t="n">
        <x:v>8</x:v>
      </x:c>
      <x:c r="G1331" t="n">
        <x:v>4</x:v>
      </x:c>
      <x:c r="H1331" t="n">
        <x:v>12</x:v>
      </x:c>
      <x:c r="I1331" t="str">
        <x:v>À qualifier par lieu</x:v>
      </x:c>
      <x:c r="J1331" t="str">
        <x:v>https://github.com/darknigthmare/deadwall-last-enclosure/blob/e28f46223e73105ab2c5d83f3d50b99b58ef53e6/codex-3000/compositions/Administration et communauté/DW-1326.md</x:v>
      </x:c>
      <x:c r="K1331" t="str">
        <x:v>Source min 25,20 m ; max 120,80 m ; modèle 25 × 20 m ; niveaux 0. Détails dans catalogue-existant.json.</x:v>
      </x:c>
    </x:row>
    <x:row r="1332">
      <x:c r="A1332" t="str">
        <x:v>DW-1327</x:v>
      </x:c>
      <x:c r="B1332" t="str">
        <x:v>DW-0164</x:v>
      </x:c>
      <x:c r="C1332" t="str">
        <x:v>Composition héritée</x:v>
      </x:c>
      <x:c r="D1332" t="str">
        <x:v>Administration et communauté</x:v>
      </x:c>
      <x:c r="E1332" t="str">
        <x:v>Tribunal — Centre ancien / service déplacé à l’arrière</x:v>
      </x:c>
      <x:c r="F1332" t="n">
        <x:v>8</x:v>
      </x:c>
      <x:c r="G1332" t="n">
        <x:v>4</x:v>
      </x:c>
      <x:c r="H1332" t="n">
        <x:v>12</x:v>
      </x:c>
      <x:c r="I1332" t="str">
        <x:v>À qualifier par lieu</x:v>
      </x:c>
      <x:c r="J1332" t="str">
        <x:v>https://github.com/darknigthmare/deadwall-last-enclosure/blob/e28f46223e73105ab2c5d83f3d50b99b58ef53e6/codex-3000/compositions/Administration et communauté/DW-1327.md</x:v>
      </x:c>
      <x:c r="K1332" t="str">
        <x:v>Source min 25,20 m ; max 120,80 m ; modèle 25 × 20 m ; niveaux 0. Détails dans catalogue-existant.json.</x:v>
      </x:c>
    </x:row>
    <x:row r="1333">
      <x:c r="A1333" t="str">
        <x:v>DW-1328</x:v>
      </x:c>
      <x:c r="B1333" t="str">
        <x:v>DW-0164</x:v>
      </x:c>
      <x:c r="C1333" t="str">
        <x:v>Composition héritée</x:v>
      </x:c>
      <x:c r="D1333" t="str">
        <x:v>Administration et communauté</x:v>
      </x:c>
      <x:c r="E1333" t="str">
        <x:v>Tribunal — Ville moyenne / réseau principal coupé</x:v>
      </x:c>
      <x:c r="F1333" t="n">
        <x:v>8</x:v>
      </x:c>
      <x:c r="G1333" t="n">
        <x:v>4</x:v>
      </x:c>
      <x:c r="H1333" t="n">
        <x:v>12</x:v>
      </x:c>
      <x:c r="I1333" t="str">
        <x:v>À qualifier par lieu</x:v>
      </x:c>
      <x:c r="J1333" t="str">
        <x:v>https://github.com/darknigthmare/deadwall-last-enclosure/blob/e28f46223e73105ab2c5d83f3d50b99b58ef53e6/codex-3000/compositions/Administration et communauté/DW-1328.md</x:v>
      </x:c>
      <x:c r="K1333" t="str">
        <x:v>Source min 25,20 m ; max 120,80 m ; modèle 25 × 20 m ; niveaux 0. Détails dans catalogue-existant.json.</x:v>
      </x:c>
    </x:row>
    <x:row r="1334">
      <x:c r="A1334" t="str">
        <x:v>DW-1329</x:v>
      </x:c>
      <x:c r="B1334" t="str">
        <x:v>DW-0165</x:v>
      </x:c>
      <x:c r="C1334" t="str">
        <x:v>Composition héritée</x:v>
      </x:c>
      <x:c r="D1334" t="str">
        <x:v>Administration et communauté</x:v>
      </x:c>
      <x:c r="E1334" t="str">
        <x:v>Maison de justice — École, mairie et bâtiments civiques / reprise progressive de la végétation</x:v>
      </x:c>
      <x:c r="F1334" t="n">
        <x:v>8</x:v>
      </x:c>
      <x:c r="G1334" t="n">
        <x:v>4</x:v>
      </x:c>
      <x:c r="H1334" t="n">
        <x:v>12</x:v>
      </x:c>
      <x:c r="I1334" t="str">
        <x:v>À qualifier par lieu</x:v>
      </x:c>
      <x:c r="J1334" t="str">
        <x:v>https://github.com/darknigthmare/deadwall-last-enclosure/blob/e28f46223e73105ab2c5d83f3d50b99b58ef53e6/codex-3000/compositions/Administration et communauté/DW-1329.md</x:v>
      </x:c>
      <x:c r="K1334" t="str">
        <x:v>Source min 25,20 m ; max 120,80 m ; modèle 25 × 20 m ; niveaux 0. Détails dans catalogue-existant.json.</x:v>
      </x:c>
    </x:row>
    <x:row r="1335">
      <x:c r="A1335" t="str">
        <x:v>DW-1330</x:v>
      </x:c>
      <x:c r="B1335" t="str">
        <x:v>DW-0165</x:v>
      </x:c>
      <x:c r="C1335" t="str">
        <x:v>Composition héritée</x:v>
      </x:c>
      <x:c r="D1335" t="str">
        <x:v>Administration et communauté</x:v>
      </x:c>
      <x:c r="E1335" t="str">
        <x:v>Maison de justice — Village et bourg / repli organisé interrompu</x:v>
      </x:c>
      <x:c r="F1335" t="n">
        <x:v>8</x:v>
      </x:c>
      <x:c r="G1335" t="n">
        <x:v>4</x:v>
      </x:c>
      <x:c r="H1335" t="n">
        <x:v>12</x:v>
      </x:c>
      <x:c r="I1335" t="str">
        <x:v>À qualifier par lieu</x:v>
      </x:c>
      <x:c r="J1335" t="str">
        <x:v>https://github.com/darknigthmare/deadwall-last-enclosure/blob/e28f46223e73105ab2c5d83f3d50b99b58ef53e6/codex-3000/compositions/Administration et communauté/DW-1330.md</x:v>
      </x:c>
      <x:c r="K1335" t="str">
        <x:v>Source min 25,20 m ; max 120,80 m ; modèle 25 × 20 m ; niveaux 0. Détails dans catalogue-existant.json.</x:v>
      </x:c>
    </x:row>
    <x:row r="1336">
      <x:c r="A1336" t="str">
        <x:v>DW-1331</x:v>
      </x:c>
      <x:c r="B1336" t="str">
        <x:v>DW-0166</x:v>
      </x:c>
      <x:c r="C1336" t="str">
        <x:v>Composition héritée</x:v>
      </x:c>
      <x:c r="D1336" t="str">
        <x:v>Administration et communauté</x:v>
      </x:c>
      <x:c r="E1336" t="str">
        <x:v>Centre fiscal — Ville moyenne / relais temporaire envisagé</x:v>
      </x:c>
      <x:c r="F1336" t="n">
        <x:v>8</x:v>
      </x:c>
      <x:c r="G1336" t="n">
        <x:v>4</x:v>
      </x:c>
      <x:c r="H1336" t="n">
        <x:v>12</x:v>
      </x:c>
      <x:c r="I1336" t="str">
        <x:v>À qualifier par lieu</x:v>
      </x:c>
      <x:c r="J1336" t="str">
        <x:v>https://github.com/darknigthmare/deadwall-last-enclosure/blob/e28f46223e73105ab2c5d83f3d50b99b58ef53e6/codex-3000/compositions/Administration et communauté/DW-1331.md</x:v>
      </x:c>
      <x:c r="K1336" t="str">
        <x:v>Source min 25,20 m ; max 120,80 m ; modèle 25 × 20 m ; niveaux 0. Détails dans catalogue-existant.json.</x:v>
      </x:c>
    </x:row>
    <x:row r="1337">
      <x:c r="A1337" t="str">
        <x:v>DW-1332</x:v>
      </x:c>
      <x:c r="B1337" t="str">
        <x:v>DW-0166</x:v>
      </x:c>
      <x:c r="C1337" t="str">
        <x:v>Composition héritée</x:v>
      </x:c>
      <x:c r="D1337" t="str">
        <x:v>Administration et communauté</x:v>
      </x:c>
      <x:c r="E1337" t="str">
        <x:v>Centre fiscal — Centre ancien / évacuation interrompue</x:v>
      </x:c>
      <x:c r="F1337" t="n">
        <x:v>8</x:v>
      </x:c>
      <x:c r="G1337" t="n">
        <x:v>4</x:v>
      </x:c>
      <x:c r="H1337" t="n">
        <x:v>12</x:v>
      </x:c>
      <x:c r="I1337" t="str">
        <x:v>À qualifier par lieu</x:v>
      </x:c>
      <x:c r="J1337" t="str">
        <x:v>https://github.com/darknigthmare/deadwall-last-enclosure/blob/e28f46223e73105ab2c5d83f3d50b99b58ef53e6/codex-3000/compositions/Administration et communauté/DW-1332.md</x:v>
      </x:c>
      <x:c r="K1337" t="str">
        <x:v>Source min 25,20 m ; max 120,80 m ; modèle 25 × 20 m ; niveaux 0. Détails dans catalogue-existant.json.</x:v>
      </x:c>
    </x:row>
    <x:row r="1338">
      <x:c r="A1338" t="str">
        <x:v>DW-1333</x:v>
      </x:c>
      <x:c r="B1338" t="str">
        <x:v>DW-0167</x:v>
      </x:c>
      <x:c r="C1338" t="str">
        <x:v>Composition héritée</x:v>
      </x:c>
      <x:c r="D1338" t="str">
        <x:v>Administration et communauté</x:v>
      </x:c>
      <x:c r="E1338" t="str">
        <x:v>Maison associative — Village et bourg / réseau principal coupé</x:v>
      </x:c>
      <x:c r="F1338" t="n">
        <x:v>8</x:v>
      </x:c>
      <x:c r="G1338" t="n">
        <x:v>4</x:v>
      </x:c>
      <x:c r="H1338" t="n">
        <x:v>12</x:v>
      </x:c>
      <x:c r="I1338" t="str">
        <x:v>À qualifier par lieu</x:v>
      </x:c>
      <x:c r="J1338" t="str">
        <x:v>https://github.com/darknigthmare/deadwall-last-enclosure/blob/e28f46223e73105ab2c5d83f3d50b99b58ef53e6/codex-3000/compositions/Administration et communauté/DW-1333.md</x:v>
      </x:c>
      <x:c r="K1338" t="str">
        <x:v>Source min 25,20 m ; max 120,80 m ; modèle 25 × 20 m ; niveaux 0. Détails dans catalogue-existant.json.</x:v>
      </x:c>
    </x:row>
    <x:row r="1339">
      <x:c r="A1339" t="str">
        <x:v>DW-1334</x:v>
      </x:c>
      <x:c r="B1339" t="str">
        <x:v>DW-0167</x:v>
      </x:c>
      <x:c r="C1339" t="str">
        <x:v>Composition héritée</x:v>
      </x:c>
      <x:c r="D1339" t="str">
        <x:v>Administration et communauté</x:v>
      </x:c>
      <x:c r="E1339" t="str">
        <x:v>Maison associative — École, mairie et bâtiments civiques / arrêt de maintenance</x:v>
      </x:c>
      <x:c r="F1339" t="n">
        <x:v>8</x:v>
      </x:c>
      <x:c r="G1339" t="n">
        <x:v>4</x:v>
      </x:c>
      <x:c r="H1339" t="n">
        <x:v>12</x:v>
      </x:c>
      <x:c r="I1339" t="str">
        <x:v>À qualifier par lieu</x:v>
      </x:c>
      <x:c r="J1339" t="str">
        <x:v>https://github.com/darknigthmare/deadwall-last-enclosure/blob/e28f46223e73105ab2c5d83f3d50b99b58ef53e6/codex-3000/compositions/Administration et communauté/DW-1334.md</x:v>
      </x:c>
      <x:c r="K1339" t="str">
        <x:v>Source min 25,20 m ; max 120,80 m ; modèle 25 × 20 m ; niveaux 0. Détails dans catalogue-existant.json.</x:v>
      </x:c>
    </x:row>
    <x:row r="1340">
      <x:c r="A1340" t="str">
        <x:v>DW-1335</x:v>
      </x:c>
      <x:c r="B1340" t="str">
        <x:v>DW-0168</x:v>
      </x:c>
      <x:c r="C1340" t="str">
        <x:v>Composition héritée</x:v>
      </x:c>
      <x:c r="D1340" t="str">
        <x:v>Administration et communauté</x:v>
      </x:c>
      <x:c r="E1340" t="str">
        <x:v>Salle des fêtes — Centre ancien / repli organisé interrompu</x:v>
      </x:c>
      <x:c r="F1340" t="n">
        <x:v>8</x:v>
      </x:c>
      <x:c r="G1340" t="n">
        <x:v>4</x:v>
      </x:c>
      <x:c r="H1340" t="n">
        <x:v>12</x:v>
      </x:c>
      <x:c r="I1340" t="str">
        <x:v>À qualifier par lieu</x:v>
      </x:c>
      <x:c r="J1340" t="str">
        <x:v>https://github.com/darknigthmare/deadwall-last-enclosure/blob/e28f46223e73105ab2c5d83f3d50b99b58ef53e6/codex-3000/compositions/Administration et communauté/DW-1335.md</x:v>
      </x:c>
      <x:c r="K1340" t="str">
        <x:v>Source min 25,20 m ; max 120,80 m ; modèle 25 × 20 m ; niveaux 0. Détails dans catalogue-existant.json.</x:v>
      </x:c>
    </x:row>
    <x:row r="1341">
      <x:c r="A1341" t="str">
        <x:v>DW-1336</x:v>
      </x:c>
      <x:c r="B1341" t="str">
        <x:v>DW-0168</x:v>
      </x:c>
      <x:c r="C1341" t="str">
        <x:v>Composition héritée</x:v>
      </x:c>
      <x:c r="D1341" t="str">
        <x:v>Administration et communauté</x:v>
      </x:c>
      <x:c r="E1341" t="str">
        <x:v>Salle des fêtes — Ville moyenne / première récupération passée</x:v>
      </x:c>
      <x:c r="F1341" t="n">
        <x:v>8</x:v>
      </x:c>
      <x:c r="G1341" t="n">
        <x:v>4</x:v>
      </x:c>
      <x:c r="H1341" t="n">
        <x:v>12</x:v>
      </x:c>
      <x:c r="I1341" t="str">
        <x:v>À qualifier par lieu</x:v>
      </x:c>
      <x:c r="J1341" t="str">
        <x:v>https://github.com/darknigthmare/deadwall-last-enclosure/blob/e28f46223e73105ab2c5d83f3d50b99b58ef53e6/codex-3000/compositions/Administration et communauté/DW-1336.md</x:v>
      </x:c>
      <x:c r="K1341" t="str">
        <x:v>Source min 25,20 m ; max 120,80 m ; modèle 25 × 20 m ; niveaux 0. Détails dans catalogue-existant.json.</x:v>
      </x:c>
    </x:row>
    <x:row r="1342">
      <x:c r="A1342" t="str">
        <x:v>DW-1337</x:v>
      </x:c>
      <x:c r="B1342" t="str">
        <x:v>DW-0169</x:v>
      </x:c>
      <x:c r="C1342" t="str">
        <x:v>Composition héritée</x:v>
      </x:c>
      <x:c r="D1342" t="str">
        <x:v>Administration et communauté</x:v>
      </x:c>
      <x:c r="E1342" t="str">
        <x:v>Centre social — École, mairie et bâtiments civiques / évacuation interrompue</x:v>
      </x:c>
      <x:c r="F1342" t="n">
        <x:v>8</x:v>
      </x:c>
      <x:c r="G1342" t="n">
        <x:v>4</x:v>
      </x:c>
      <x:c r="H1342" t="n">
        <x:v>12</x:v>
      </x:c>
      <x:c r="I1342" t="str">
        <x:v>À qualifier par lieu</x:v>
      </x:c>
      <x:c r="J1342" t="str">
        <x:v>https://github.com/darknigthmare/deadwall-last-enclosure/blob/e28f46223e73105ab2c5d83f3d50b99b58ef53e6/codex-3000/compositions/Administration et communauté/DW-1337.md</x:v>
      </x:c>
      <x:c r="K1342" t="str">
        <x:v>Source min 25,20 m ; max 120,80 m ; modèle 25 × 20 m ; niveaux 0. Détails dans catalogue-existant.json.</x:v>
      </x:c>
    </x:row>
    <x:row r="1343">
      <x:c r="A1343" t="str">
        <x:v>DW-1338</x:v>
      </x:c>
      <x:c r="B1343" t="str">
        <x:v>DW-0169</x:v>
      </x:c>
      <x:c r="C1343" t="str">
        <x:v>Composition héritée</x:v>
      </x:c>
      <x:c r="D1343" t="str">
        <x:v>Administration et communauté</x:v>
      </x:c>
      <x:c r="E1343" t="str">
        <x:v>Centre social — Village et bourg / service déplacé à l’arrière</x:v>
      </x:c>
      <x:c r="F1343" t="n">
        <x:v>8</x:v>
      </x:c>
      <x:c r="G1343" t="n">
        <x:v>4</x:v>
      </x:c>
      <x:c r="H1343" t="n">
        <x:v>12</x:v>
      </x:c>
      <x:c r="I1343" t="str">
        <x:v>À qualifier par lieu</x:v>
      </x:c>
      <x:c r="J1343" t="str">
        <x:v>https://github.com/darknigthmare/deadwall-last-enclosure/blob/e28f46223e73105ab2c5d83f3d50b99b58ef53e6/codex-3000/compositions/Administration et communauté/DW-1338.md</x:v>
      </x:c>
      <x:c r="K1343" t="str">
        <x:v>Source min 25,20 m ; max 120,80 m ; modèle 25 × 20 m ; niveaux 0. Détails dans catalogue-existant.json.</x:v>
      </x:c>
    </x:row>
    <x:row r="1344">
      <x:c r="A1344" t="str">
        <x:v>DW-1339</x:v>
      </x:c>
      <x:c r="B1344" t="str">
        <x:v>DW-0170</x:v>
      </x:c>
      <x:c r="C1344" t="str">
        <x:v>Composition héritée</x:v>
      </x:c>
      <x:c r="D1344" t="str">
        <x:v>Administration et communauté</x:v>
      </x:c>
      <x:c r="E1344" t="str">
        <x:v>Office du tourisme — Ville moyenne / arrêt de maintenance</x:v>
      </x:c>
      <x:c r="F1344" t="n">
        <x:v>8</x:v>
      </x:c>
      <x:c r="G1344" t="n">
        <x:v>4</x:v>
      </x:c>
      <x:c r="H1344" t="n">
        <x:v>12</x:v>
      </x:c>
      <x:c r="I1344" t="str">
        <x:v>À qualifier par lieu</x:v>
      </x:c>
      <x:c r="J1344" t="str">
        <x:v>https://github.com/darknigthmare/deadwall-last-enclosure/blob/e28f46223e73105ab2c5d83f3d50b99b58ef53e6/codex-3000/compositions/Administration et communauté/DW-1339.md</x:v>
      </x:c>
      <x:c r="K1344" t="str">
        <x:v>Source min 25,20 m ; max 120,80 m ; modèle 25 × 20 m ; niveaux 0. Détails dans catalogue-existant.json.</x:v>
      </x:c>
    </x:row>
    <x:row r="1345">
      <x:c r="A1345" t="str">
        <x:v>DW-1340</x:v>
      </x:c>
      <x:c r="B1345" t="str">
        <x:v>DW-0170</x:v>
      </x:c>
      <x:c r="C1345" t="str">
        <x:v>Composition héritée</x:v>
      </x:c>
      <x:c r="D1345" t="str">
        <x:v>Administration et communauté</x:v>
      </x:c>
      <x:c r="E1345" t="str">
        <x:v>Office du tourisme — Centre ancien / reprise progressive de la végétation</x:v>
      </x:c>
      <x:c r="F1345" t="n">
        <x:v>8</x:v>
      </x:c>
      <x:c r="G1345" t="n">
        <x:v>4</x:v>
      </x:c>
      <x:c r="H1345" t="n">
        <x:v>12</x:v>
      </x:c>
      <x:c r="I1345" t="str">
        <x:v>À qualifier par lieu</x:v>
      </x:c>
      <x:c r="J1345" t="str">
        <x:v>https://github.com/darknigthmare/deadwall-last-enclosure/blob/e28f46223e73105ab2c5d83f3d50b99b58ef53e6/codex-3000/compositions/Administration et communauté/DW-1340.md</x:v>
      </x:c>
      <x:c r="K1345" t="str">
        <x:v>Source min 25,20 m ; max 120,80 m ; modèle 25 × 20 m ; niveaux 0. Détails dans catalogue-existant.json.</x:v>
      </x:c>
    </x:row>
    <x:row r="1346">
      <x:c r="A1346" t="str">
        <x:v>DW-1341</x:v>
      </x:c>
      <x:c r="B1346" t="str">
        <x:v>DW-0171</x:v>
      </x:c>
      <x:c r="C1346" t="str">
        <x:v>Composition héritée</x:v>
      </x:c>
      <x:c r="D1346" t="str">
        <x:v>Administration et communauté</x:v>
      </x:c>
      <x:c r="E1346" t="str">
        <x:v>Bourse du travail — Village et bourg / première récupération passée</x:v>
      </x:c>
      <x:c r="F1346" t="n">
        <x:v>8</x:v>
      </x:c>
      <x:c r="G1346" t="n">
        <x:v>4</x:v>
      </x:c>
      <x:c r="H1346" t="n">
        <x:v>12</x:v>
      </x:c>
      <x:c r="I1346" t="str">
        <x:v>À qualifier par lieu</x:v>
      </x:c>
      <x:c r="J1346" t="str">
        <x:v>https://github.com/darknigthmare/deadwall-last-enclosure/blob/e28f46223e73105ab2c5d83f3d50b99b58ef53e6/codex-3000/compositions/Administration et communauté/DW-1341.md</x:v>
      </x:c>
      <x:c r="K1346" t="str">
        <x:v>Source min 25,20 m ; max 120,80 m ; modèle 25 × 20 m ; niveaux 0. Détails dans catalogue-existant.json.</x:v>
      </x:c>
    </x:row>
    <x:row r="1347">
      <x:c r="A1347" t="str">
        <x:v>DW-1342</x:v>
      </x:c>
      <x:c r="B1347" t="str">
        <x:v>DW-0171</x:v>
      </x:c>
      <x:c r="C1347" t="str">
        <x:v>Composition héritée</x:v>
      </x:c>
      <x:c r="D1347" t="str">
        <x:v>Administration et communauté</x:v>
      </x:c>
      <x:c r="E1347" t="str">
        <x:v>Bourse du travail — École, mairie et bâtiments civiques / relais temporaire envisagé</x:v>
      </x:c>
      <x:c r="F1347" t="n">
        <x:v>8</x:v>
      </x:c>
      <x:c r="G1347" t="n">
        <x:v>4</x:v>
      </x:c>
      <x:c r="H1347" t="n">
        <x:v>12</x:v>
      </x:c>
      <x:c r="I1347" t="str">
        <x:v>À qualifier par lieu</x:v>
      </x:c>
      <x:c r="J1347" t="str">
        <x:v>https://github.com/darknigthmare/deadwall-last-enclosure/blob/e28f46223e73105ab2c5d83f3d50b99b58ef53e6/codex-3000/compositions/Administration et communauté/DW-1342.md</x:v>
      </x:c>
      <x:c r="K1347" t="str">
        <x:v>Source min 25,20 m ; max 120,80 m ; modèle 25 × 20 m ; niveaux 0. Détails dans catalogue-existant.json.</x:v>
      </x:c>
    </x:row>
    <x:row r="1348">
      <x:c r="A1348" t="str">
        <x:v>DW-1343</x:v>
      </x:c>
      <x:c r="B1348" t="str">
        <x:v>DW-0172</x:v>
      </x:c>
      <x:c r="C1348" t="str">
        <x:v>Composition héritée</x:v>
      </x:c>
      <x:c r="D1348" t="str">
        <x:v>Administration et communauté</x:v>
      </x:c>
      <x:c r="E1348" t="str">
        <x:v>Maison de quartier — Centre ancien / service déplacé à l’arrière</x:v>
      </x:c>
      <x:c r="F1348" t="n">
        <x:v>8</x:v>
      </x:c>
      <x:c r="G1348" t="n">
        <x:v>4</x:v>
      </x:c>
      <x:c r="H1348" t="n">
        <x:v>12</x:v>
      </x:c>
      <x:c r="I1348" t="str">
        <x:v>À qualifier par lieu</x:v>
      </x:c>
      <x:c r="J1348" t="str">
        <x:v>https://github.com/darknigthmare/deadwall-last-enclosure/blob/e28f46223e73105ab2c5d83f3d50b99b58ef53e6/codex-3000/compositions/Administration et communauté/DW-1343.md</x:v>
      </x:c>
      <x:c r="K1348" t="str">
        <x:v>Source min 25,20 m ; max 120,80 m ; modèle 25 × 20 m ; niveaux 0. Détails dans catalogue-existant.json.</x:v>
      </x:c>
    </x:row>
    <x:row r="1349">
      <x:c r="A1349" t="str">
        <x:v>DW-1344</x:v>
      </x:c>
      <x:c r="B1349" t="str">
        <x:v>DW-0172</x:v>
      </x:c>
      <x:c r="C1349" t="str">
        <x:v>Composition héritée</x:v>
      </x:c>
      <x:c r="D1349" t="str">
        <x:v>Administration et communauté</x:v>
      </x:c>
      <x:c r="E1349" t="str">
        <x:v>Maison de quartier — Ville moyenne / réseau principal coupé</x:v>
      </x:c>
      <x:c r="F1349" t="n">
        <x:v>8</x:v>
      </x:c>
      <x:c r="G1349" t="n">
        <x:v>4</x:v>
      </x:c>
      <x:c r="H1349" t="n">
        <x:v>12</x:v>
      </x:c>
      <x:c r="I1349" t="str">
        <x:v>À qualifier par lieu</x:v>
      </x:c>
      <x:c r="J1349" t="str">
        <x:v>https://github.com/darknigthmare/deadwall-last-enclosure/blob/e28f46223e73105ab2c5d83f3d50b99b58ef53e6/codex-3000/compositions/Administration et communauté/DW-1344.md</x:v>
      </x:c>
      <x:c r="K1349" t="str">
        <x:v>Source min 25,20 m ; max 120,80 m ; modèle 25 × 20 m ; niveaux 0. Détails dans catalogue-existant.json.</x:v>
      </x:c>
    </x:row>
    <x:row r="1350">
      <x:c r="A1350" t="str">
        <x:v>DW-1345</x:v>
      </x:c>
      <x:c r="B1350" t="str">
        <x:v>DW-0173</x:v>
      </x:c>
      <x:c r="C1350" t="str">
        <x:v>Composition héritée</x:v>
      </x:c>
      <x:c r="D1350" t="str">
        <x:v>Administration et communauté</x:v>
      </x:c>
      <x:c r="E1350" t="str">
        <x:v>Dépôt de mobilier électoral — École, mairie et bâtiments civiques / reprise progressive de la végétation</x:v>
      </x:c>
      <x:c r="F1350" t="n">
        <x:v>8</x:v>
      </x:c>
      <x:c r="G1350" t="n">
        <x:v>4</x:v>
      </x:c>
      <x:c r="H1350" t="n">
        <x:v>12</x:v>
      </x:c>
      <x:c r="I1350" t="str">
        <x:v>À qualifier par lieu</x:v>
      </x:c>
      <x:c r="J1350" t="str">
        <x:v>https://github.com/darknigthmare/deadwall-last-enclosure/blob/e28f46223e73105ab2c5d83f3d50b99b58ef53e6/codex-3000/compositions/Administration et communauté/DW-1345.md</x:v>
      </x:c>
      <x:c r="K1350" t="str">
        <x:v>Source min 25,20 m ; max 120,80 m ; modèle 25 × 20 m ; niveaux 0. Détails dans catalogue-existant.json.</x:v>
      </x:c>
    </x:row>
    <x:row r="1351">
      <x:c r="A1351" t="str">
        <x:v>DW-1346</x:v>
      </x:c>
      <x:c r="B1351" t="str">
        <x:v>DW-0173</x:v>
      </x:c>
      <x:c r="C1351" t="str">
        <x:v>Composition héritée</x:v>
      </x:c>
      <x:c r="D1351" t="str">
        <x:v>Administration et communauté</x:v>
      </x:c>
      <x:c r="E1351" t="str">
        <x:v>Dépôt de mobilier électoral — Village et bourg / repli organisé interrompu</x:v>
      </x:c>
      <x:c r="F1351" t="n">
        <x:v>8</x:v>
      </x:c>
      <x:c r="G1351" t="n">
        <x:v>4</x:v>
      </x:c>
      <x:c r="H1351" t="n">
        <x:v>12</x:v>
      </x:c>
      <x:c r="I1351" t="str">
        <x:v>À qualifier par lieu</x:v>
      </x:c>
      <x:c r="J1351" t="str">
        <x:v>https://github.com/darknigthmare/deadwall-last-enclosure/blob/e28f46223e73105ab2c5d83f3d50b99b58ef53e6/codex-3000/compositions/Administration et communauté/DW-1346.md</x:v>
      </x:c>
      <x:c r="K1351" t="str">
        <x:v>Source min 25,20 m ; max 120,80 m ; modèle 25 × 20 m ; niveaux 0. Détails dans catalogue-existant.json.</x:v>
      </x:c>
    </x:row>
    <x:row r="1352">
      <x:c r="A1352" t="str">
        <x:v>DW-1347</x:v>
      </x:c>
      <x:c r="B1352" t="str">
        <x:v>DW-0174</x:v>
      </x:c>
      <x:c r="C1352" t="str">
        <x:v>Composition héritée</x:v>
      </x:c>
      <x:c r="D1352" t="str">
        <x:v>Administration et communauté</x:v>
      </x:c>
      <x:c r="E1352" t="str">
        <x:v>Atelier municipal — Ville moyenne / relais temporaire envisagé</x:v>
      </x:c>
      <x:c r="F1352" t="n">
        <x:v>8</x:v>
      </x:c>
      <x:c r="G1352" t="n">
        <x:v>5</x:v>
      </x:c>
      <x:c r="H1352" t="n">
        <x:v>15</x:v>
      </x:c>
      <x:c r="I1352" t="str">
        <x:v>À qualifier par lieu</x:v>
      </x:c>
      <x:c r="J1352" t="str">
        <x:v>https://github.com/darknigthmare/deadwall-last-enclosure/blob/e28f46223e73105ab2c5d83f3d50b99b58ef53e6/codex-3000/compositions/Administration et communauté/DW-1347.md</x:v>
      </x:c>
      <x:c r="K1352" t="str">
        <x:v>Source min 25,20 m ; max 120,80 m ; modèle 26 × 22 m ; niveaux 0. Détails dans catalogue-existant.json.</x:v>
      </x:c>
    </x:row>
    <x:row r="1353">
      <x:c r="A1353" t="str">
        <x:v>DW-1348</x:v>
      </x:c>
      <x:c r="B1353" t="str">
        <x:v>DW-0174</x:v>
      </x:c>
      <x:c r="C1353" t="str">
        <x:v>Composition héritée</x:v>
      </x:c>
      <x:c r="D1353" t="str">
        <x:v>Administration et communauté</x:v>
      </x:c>
      <x:c r="E1353" t="str">
        <x:v>Atelier municipal — Centre ancien / évacuation interrompue</x:v>
      </x:c>
      <x:c r="F1353" t="n">
        <x:v>8</x:v>
      </x:c>
      <x:c r="G1353" t="n">
        <x:v>5</x:v>
      </x:c>
      <x:c r="H1353" t="n">
        <x:v>15</x:v>
      </x:c>
      <x:c r="I1353" t="str">
        <x:v>À qualifier par lieu</x:v>
      </x:c>
      <x:c r="J1353" t="str">
        <x:v>https://github.com/darknigthmare/deadwall-last-enclosure/blob/e28f46223e73105ab2c5d83f3d50b99b58ef53e6/codex-3000/compositions/Administration et communauté/DW-1348.md</x:v>
      </x:c>
      <x:c r="K1353" t="str">
        <x:v>Source min 25,20 m ; max 120,80 m ; modèle 26 × 22 m ; niveaux 0. Détails dans catalogue-existant.json.</x:v>
      </x:c>
    </x:row>
    <x:row r="1354">
      <x:c r="A1354" t="str">
        <x:v>DW-1349</x:v>
      </x:c>
      <x:c r="B1354" t="str">
        <x:v>DW-0175</x:v>
      </x:c>
      <x:c r="C1354" t="str">
        <x:v>Composition héritée</x:v>
      </x:c>
      <x:c r="D1354" t="str">
        <x:v>Administration et communauté</x:v>
      </x:c>
      <x:c r="E1354" t="str">
        <x:v>Dépôt de voirie — Village et bourg / réseau principal coupé</x:v>
      </x:c>
      <x:c r="F1354" t="n">
        <x:v>8</x:v>
      </x:c>
      <x:c r="G1354" t="n">
        <x:v>4</x:v>
      </x:c>
      <x:c r="H1354" t="n">
        <x:v>12</x:v>
      </x:c>
      <x:c r="I1354" t="str">
        <x:v>À qualifier par lieu</x:v>
      </x:c>
      <x:c r="J1354" t="str">
        <x:v>https://github.com/darknigthmare/deadwall-last-enclosure/blob/e28f46223e73105ab2c5d83f3d50b99b58ef53e6/codex-3000/compositions/Administration et communauté/DW-1349.md</x:v>
      </x:c>
      <x:c r="K1354" t="str">
        <x:v>Source min 25,20 m ; max 120,80 m ; modèle 25 × 20 m ; niveaux 0. Détails dans catalogue-existant.json.</x:v>
      </x:c>
    </x:row>
    <x:row r="1355">
      <x:c r="A1355" t="str">
        <x:v>DW-1350</x:v>
      </x:c>
      <x:c r="B1355" t="str">
        <x:v>DW-0175</x:v>
      </x:c>
      <x:c r="C1355" t="str">
        <x:v>Composition héritée</x:v>
      </x:c>
      <x:c r="D1355" t="str">
        <x:v>Administration et communauté</x:v>
      </x:c>
      <x:c r="E1355" t="str">
        <x:v>Dépôt de voirie — École, mairie et bâtiments civiques / arrêt de maintenance</x:v>
      </x:c>
      <x:c r="F1355" t="n">
        <x:v>8</x:v>
      </x:c>
      <x:c r="G1355" t="n">
        <x:v>4</x:v>
      </x:c>
      <x:c r="H1355" t="n">
        <x:v>12</x:v>
      </x:c>
      <x:c r="I1355" t="str">
        <x:v>À qualifier par lieu</x:v>
      </x:c>
      <x:c r="J1355" t="str">
        <x:v>https://github.com/darknigthmare/deadwall-last-enclosure/blob/e28f46223e73105ab2c5d83f3d50b99b58ef53e6/codex-3000/compositions/Administration et communauté/DW-1350.md</x:v>
      </x:c>
      <x:c r="K1355" t="str">
        <x:v>Source min 25,20 m ; max 120,80 m ; modèle 25 × 20 m ; niveaux 0. Détails dans catalogue-existant.json.</x:v>
      </x:c>
    </x:row>
    <x:row r="1356">
      <x:c r="A1356" t="str">
        <x:v>DW-1351</x:v>
      </x:c>
      <x:c r="B1356" t="str">
        <x:v>DW-0176</x:v>
      </x:c>
      <x:c r="C1356" t="str">
        <x:v>Composition héritée</x:v>
      </x:c>
      <x:c r="D1356" t="str">
        <x:v>Administration et communauté</x:v>
      </x:c>
      <x:c r="E1356" t="str">
        <x:v>Maison du parc naturel — Centre ancien / repli organisé interrompu</x:v>
      </x:c>
      <x:c r="F1356" t="n">
        <x:v>8</x:v>
      </x:c>
      <x:c r="G1356" t="n">
        <x:v>4</x:v>
      </x:c>
      <x:c r="H1356" t="n">
        <x:v>12</x:v>
      </x:c>
      <x:c r="I1356" t="str">
        <x:v>À qualifier par lieu</x:v>
      </x:c>
      <x:c r="J1356" t="str">
        <x:v>https://github.com/darknigthmare/deadwall-last-enclosure/blob/e28f46223e73105ab2c5d83f3d50b99b58ef53e6/codex-3000/compositions/Administration et communauté/DW-1351.md</x:v>
      </x:c>
      <x:c r="K1356" t="str">
        <x:v>Source min 25,20 m ; max 120,80 m ; modèle 25 × 20 m ; niveaux 0. Détails dans catalogue-existant.json.</x:v>
      </x:c>
    </x:row>
    <x:row r="1357">
      <x:c r="A1357" t="str">
        <x:v>DW-1352</x:v>
      </x:c>
      <x:c r="B1357" t="str">
        <x:v>DW-0176</x:v>
      </x:c>
      <x:c r="C1357" t="str">
        <x:v>Composition héritée</x:v>
      </x:c>
      <x:c r="D1357" t="str">
        <x:v>Administration et communauté</x:v>
      </x:c>
      <x:c r="E1357" t="str">
        <x:v>Maison du parc naturel — Ville moyenne / première récupération passée</x:v>
      </x:c>
      <x:c r="F1357" t="n">
        <x:v>8</x:v>
      </x:c>
      <x:c r="G1357" t="n">
        <x:v>4</x:v>
      </x:c>
      <x:c r="H1357" t="n">
        <x:v>12</x:v>
      </x:c>
      <x:c r="I1357" t="str">
        <x:v>À qualifier par lieu</x:v>
      </x:c>
      <x:c r="J1357" t="str">
        <x:v>https://github.com/darknigthmare/deadwall-last-enclosure/blob/e28f46223e73105ab2c5d83f3d50b99b58ef53e6/codex-3000/compositions/Administration et communauté/DW-1352.md</x:v>
      </x:c>
      <x:c r="K1357" t="str">
        <x:v>Source min 25,20 m ; max 120,80 m ; modèle 25 × 20 m ; niveaux 0. Détails dans catalogue-existant.json.</x:v>
      </x:c>
    </x:row>
    <x:row r="1358">
      <x:c r="A1358" t="str">
        <x:v>DW-1353</x:v>
      </x:c>
      <x:c r="B1358" t="str">
        <x:v>DW-0177</x:v>
      </x:c>
      <x:c r="C1358" t="str">
        <x:v>Composition héritée</x:v>
      </x:c>
      <x:c r="D1358" t="str">
        <x:v>Administration et communauté</x:v>
      </x:c>
      <x:c r="E1358" t="str">
        <x:v>Centre d'information routière — École, mairie et bâtiments civiques / évacuation interrompue</x:v>
      </x:c>
      <x:c r="F1358" t="n">
        <x:v>8</x:v>
      </x:c>
      <x:c r="G1358" t="n">
        <x:v>4</x:v>
      </x:c>
      <x:c r="H1358" t="n">
        <x:v>12</x:v>
      </x:c>
      <x:c r="I1358" t="str">
        <x:v>À qualifier par lieu</x:v>
      </x:c>
      <x:c r="J1358" t="str">
        <x:v>https://github.com/darknigthmare/deadwall-last-enclosure/blob/e28f46223e73105ab2c5d83f3d50b99b58ef53e6/codex-3000/compositions/Administration et communauté/DW-1353.md</x:v>
      </x:c>
      <x:c r="K1358" t="str">
        <x:v>Source min 25,20 m ; max 120,80 m ; modèle 25 × 20 m ; niveaux 0. Détails dans catalogue-existant.json.</x:v>
      </x:c>
    </x:row>
    <x:row r="1359">
      <x:c r="A1359" t="str">
        <x:v>DW-1354</x:v>
      </x:c>
      <x:c r="B1359" t="str">
        <x:v>DW-0177</x:v>
      </x:c>
      <x:c r="C1359" t="str">
        <x:v>Composition héritée</x:v>
      </x:c>
      <x:c r="D1359" t="str">
        <x:v>Administration et communauté</x:v>
      </x:c>
      <x:c r="E1359" t="str">
        <x:v>Centre d'information routière — Village et bourg / service déplacé à l’arrière</x:v>
      </x:c>
      <x:c r="F1359" t="n">
        <x:v>8</x:v>
      </x:c>
      <x:c r="G1359" t="n">
        <x:v>4</x:v>
      </x:c>
      <x:c r="H1359" t="n">
        <x:v>12</x:v>
      </x:c>
      <x:c r="I1359" t="str">
        <x:v>À qualifier par lieu</x:v>
      </x:c>
      <x:c r="J1359" t="str">
        <x:v>https://github.com/darknigthmare/deadwall-last-enclosure/blob/e28f46223e73105ab2c5d83f3d50b99b58ef53e6/codex-3000/compositions/Administration et communauté/DW-1354.md</x:v>
      </x:c>
      <x:c r="K1359" t="str">
        <x:v>Source min 25,20 m ; max 120,80 m ; modèle 25 × 20 m ; niveaux 0. Détails dans catalogue-existant.json.</x:v>
      </x:c>
    </x:row>
    <x:row r="1360">
      <x:c r="A1360" t="str">
        <x:v>DW-1355</x:v>
      </x:c>
      <x:c r="B1360" t="str">
        <x:v>DW-0178</x:v>
      </x:c>
      <x:c r="C1360" t="str">
        <x:v>Composition héritée</x:v>
      </x:c>
      <x:c r="D1360" t="str">
        <x:v>Administration et communauté</x:v>
      </x:c>
      <x:c r="E1360" t="str">
        <x:v>Maison des archives — Ville moyenne / arrêt de maintenance</x:v>
      </x:c>
      <x:c r="F1360" t="n">
        <x:v>8</x:v>
      </x:c>
      <x:c r="G1360" t="n">
        <x:v>4</x:v>
      </x:c>
      <x:c r="H1360" t="n">
        <x:v>12</x:v>
      </x:c>
      <x:c r="I1360" t="str">
        <x:v>À qualifier par lieu</x:v>
      </x:c>
      <x:c r="J1360" t="str">
        <x:v>https://github.com/darknigthmare/deadwall-last-enclosure/blob/e28f46223e73105ab2c5d83f3d50b99b58ef53e6/codex-3000/compositions/Administration et communauté/DW-1355.md</x:v>
      </x:c>
      <x:c r="K1360" t="str">
        <x:v>Source min 25,20 m ; max 120,80 m ; modèle 25 × 20 m ; niveaux 0. Détails dans catalogue-existant.json.</x:v>
      </x:c>
    </x:row>
    <x:row r="1361">
      <x:c r="A1361" t="str">
        <x:v>DW-1356</x:v>
      </x:c>
      <x:c r="B1361" t="str">
        <x:v>DW-0178</x:v>
      </x:c>
      <x:c r="C1361" t="str">
        <x:v>Composition héritée</x:v>
      </x:c>
      <x:c r="D1361" t="str">
        <x:v>Administration et communauté</x:v>
      </x:c>
      <x:c r="E1361" t="str">
        <x:v>Maison des archives — Centre ancien / reprise progressive de la végétation</x:v>
      </x:c>
      <x:c r="F1361" t="n">
        <x:v>8</x:v>
      </x:c>
      <x:c r="G1361" t="n">
        <x:v>4</x:v>
      </x:c>
      <x:c r="H1361" t="n">
        <x:v>12</x:v>
      </x:c>
      <x:c r="I1361" t="str">
        <x:v>À qualifier par lieu</x:v>
      </x:c>
      <x:c r="J1361" t="str">
        <x:v>https://github.com/darknigthmare/deadwall-last-enclosure/blob/e28f46223e73105ab2c5d83f3d50b99b58ef53e6/codex-3000/compositions/Administration et communauté/DW-1356.md</x:v>
      </x:c>
      <x:c r="K1361" t="str">
        <x:v>Source min 25,20 m ; max 120,80 m ; modèle 25 × 20 m ; niveaux 0. Détails dans catalogue-existant.json.</x:v>
      </x:c>
    </x:row>
    <x:row r="1362">
      <x:c r="A1362" t="str">
        <x:v>DW-1357</x:v>
      </x:c>
      <x:c r="B1362" t="str">
        <x:v>DW-0179</x:v>
      </x:c>
      <x:c r="C1362" t="str">
        <x:v>Composition héritée</x:v>
      </x:c>
      <x:c r="D1362" t="str">
        <x:v>Administration et communauté</x:v>
      </x:c>
      <x:c r="E1362" t="str">
        <x:v>Église paroissiale — Village et bourg / première récupération passée</x:v>
      </x:c>
      <x:c r="F1362" t="n">
        <x:v>8</x:v>
      </x:c>
      <x:c r="G1362" t="n">
        <x:v>4</x:v>
      </x:c>
      <x:c r="H1362" t="n">
        <x:v>12</x:v>
      </x:c>
      <x:c r="I1362" t="str">
        <x:v>À qualifier par lieu</x:v>
      </x:c>
      <x:c r="J1362" t="str">
        <x:v>https://github.com/darknigthmare/deadwall-last-enclosure/blob/e28f46223e73105ab2c5d83f3d50b99b58ef53e6/codex-3000/compositions/Administration et communauté/DW-1357.md</x:v>
      </x:c>
      <x:c r="K1362" t="str">
        <x:v>Source min 25,20 m ; max 120,80 m ; modèle 25 × 20 m ; niveaux 0. Détails dans catalogue-existant.json.</x:v>
      </x:c>
    </x:row>
    <x:row r="1363">
      <x:c r="A1363" t="str">
        <x:v>DW-1358</x:v>
      </x:c>
      <x:c r="B1363" t="str">
        <x:v>DW-0179</x:v>
      </x:c>
      <x:c r="C1363" t="str">
        <x:v>Composition héritée</x:v>
      </x:c>
      <x:c r="D1363" t="str">
        <x:v>Administration et communauté</x:v>
      </x:c>
      <x:c r="E1363" t="str">
        <x:v>Église paroissiale — École, mairie et bâtiments civiques / relais temporaire envisagé</x:v>
      </x:c>
      <x:c r="F1363" t="n">
        <x:v>8</x:v>
      </x:c>
      <x:c r="G1363" t="n">
        <x:v>4</x:v>
      </x:c>
      <x:c r="H1363" t="n">
        <x:v>12</x:v>
      </x:c>
      <x:c r="I1363" t="str">
        <x:v>À qualifier par lieu</x:v>
      </x:c>
      <x:c r="J1363" t="str">
        <x:v>https://github.com/darknigthmare/deadwall-last-enclosure/blob/e28f46223e73105ab2c5d83f3d50b99b58ef53e6/codex-3000/compositions/Administration et communauté/DW-1358.md</x:v>
      </x:c>
      <x:c r="K1363" t="str">
        <x:v>Source min 25,20 m ; max 120,80 m ; modèle 25 × 20 m ; niveaux 0. Détails dans catalogue-existant.json.</x:v>
      </x:c>
    </x:row>
    <x:row r="1364">
      <x:c r="A1364" t="str">
        <x:v>DW-1359</x:v>
      </x:c>
      <x:c r="B1364" t="str">
        <x:v>DW-0180</x:v>
      </x:c>
      <x:c r="C1364" t="str">
        <x:v>Composition héritée</x:v>
      </x:c>
      <x:c r="D1364" t="str">
        <x:v>Administration et communauté</x:v>
      </x:c>
      <x:c r="E1364" t="str">
        <x:v>Temple communautaire — Centre ancien / service déplacé à l’arrière</x:v>
      </x:c>
      <x:c r="F1364" t="n">
        <x:v>8</x:v>
      </x:c>
      <x:c r="G1364" t="n">
        <x:v>4</x:v>
      </x:c>
      <x:c r="H1364" t="n">
        <x:v>12</x:v>
      </x:c>
      <x:c r="I1364" t="str">
        <x:v>À qualifier par lieu</x:v>
      </x:c>
      <x:c r="J1364" t="str">
        <x:v>https://github.com/darknigthmare/deadwall-last-enclosure/blob/e28f46223e73105ab2c5d83f3d50b99b58ef53e6/codex-3000/compositions/Administration et communauté/DW-1359.md</x:v>
      </x:c>
      <x:c r="K1364" t="str">
        <x:v>Source min 25,20 m ; max 120,80 m ; modèle 25 × 20 m ; niveaux 0. Détails dans catalogue-existant.json.</x:v>
      </x:c>
    </x:row>
    <x:row r="1365">
      <x:c r="A1365" t="str">
        <x:v>DW-1360</x:v>
      </x:c>
      <x:c r="B1365" t="str">
        <x:v>DW-0180</x:v>
      </x:c>
      <x:c r="C1365" t="str">
        <x:v>Composition héritée</x:v>
      </x:c>
      <x:c r="D1365" t="str">
        <x:v>Administration et communauté</x:v>
      </x:c>
      <x:c r="E1365" t="str">
        <x:v>Temple communautaire — Ville moyenne / réseau principal coupé</x:v>
      </x:c>
      <x:c r="F1365" t="n">
        <x:v>8</x:v>
      </x:c>
      <x:c r="G1365" t="n">
        <x:v>4</x:v>
      </x:c>
      <x:c r="H1365" t="n">
        <x:v>12</x:v>
      </x:c>
      <x:c r="I1365" t="str">
        <x:v>À qualifier par lieu</x:v>
      </x:c>
      <x:c r="J1365" t="str">
        <x:v>https://github.com/darknigthmare/deadwall-last-enclosure/blob/e28f46223e73105ab2c5d83f3d50b99b58ef53e6/codex-3000/compositions/Administration et communauté/DW-1360.md</x:v>
      </x:c>
      <x:c r="K1365" t="str">
        <x:v>Source min 25,20 m ; max 120,80 m ; modèle 25 × 20 m ; niveaux 0. Détails dans catalogue-existant.json.</x:v>
      </x:c>
    </x:row>
    <x:row r="1366">
      <x:c r="A1366" t="str">
        <x:v>DW-1361</x:v>
      </x:c>
      <x:c r="B1366" t="str">
        <x:v>DW-0181</x:v>
      </x:c>
      <x:c r="C1366" t="str">
        <x:v>Composition héritée</x:v>
      </x:c>
      <x:c r="D1366" t="str">
        <x:v>Secours et protection civile</x:v>
      </x:c>
      <x:c r="E1366" t="str">
        <x:v>Caserne de pompiers — Centre d’évacuation abandonné / reprise progressive de la végétation</x:v>
      </x:c>
      <x:c r="F1366" t="n">
        <x:v>8</x:v>
      </x:c>
      <x:c r="G1366" t="n">
        <x:v>5</x:v>
      </x:c>
      <x:c r="H1366" t="n">
        <x:v>15</x:v>
      </x:c>
      <x:c r="I1366" t="str">
        <x:v>À qualifier par lieu</x:v>
      </x:c>
      <x:c r="J1366" t="str">
        <x:v>https://github.com/darknigthmare/deadwall-last-enclosure/blob/e28f46223e73105ab2c5d83f3d50b99b58ef53e6/codex-3000/compositions/Secours et protection civile/DW-1361.md</x:v>
      </x:c>
      <x:c r="K1366" t="str">
        <x:v>Source min 24,18 m ; max 85,65 m ; modèle 26 × 22 m ; niveaux 0, 1. Détails dans catalogue-existant.json.</x:v>
      </x:c>
    </x:row>
    <x:row r="1367">
      <x:c r="A1367" t="str">
        <x:v>DW-1362</x:v>
      </x:c>
      <x:c r="B1367" t="str">
        <x:v>DW-0181</x:v>
      </x:c>
      <x:c r="C1367" t="str">
        <x:v>Composition héritée</x:v>
      </x:c>
      <x:c r="D1367" t="str">
        <x:v>Secours et protection civile</x:v>
      </x:c>
      <x:c r="E1367" t="str">
        <x:v>Caserne de pompiers — Station-service et aire routière / repli organisé interrompu</x:v>
      </x:c>
      <x:c r="F1367" t="n">
        <x:v>8</x:v>
      </x:c>
      <x:c r="G1367" t="n">
        <x:v>5</x:v>
      </x:c>
      <x:c r="H1367" t="n">
        <x:v>15</x:v>
      </x:c>
      <x:c r="I1367" t="str">
        <x:v>À qualifier par lieu</x:v>
      </x:c>
      <x:c r="J1367" t="str">
        <x:v>https://github.com/darknigthmare/deadwall-last-enclosure/blob/e28f46223e73105ab2c5d83f3d50b99b58ef53e6/codex-3000/compositions/Secours et protection civile/DW-1362.md</x:v>
      </x:c>
      <x:c r="K1367" t="str">
        <x:v>Source min 24,18 m ; max 85,65 m ; modèle 26 × 22 m ; niveaux 0, 1. Détails dans catalogue-existant.json.</x:v>
      </x:c>
    </x:row>
    <x:row r="1368">
      <x:c r="A1368" t="str">
        <x:v>DW-1363</x:v>
      </x:c>
      <x:c r="B1368" t="str">
        <x:v>DW-0182</x:v>
      </x:c>
      <x:c r="C1368" t="str">
        <x:v>Composition héritée</x:v>
      </x:c>
      <x:c r="D1368" t="str">
        <x:v>Secours et protection civile</x:v>
      </x:c>
      <x:c r="E1368" t="str">
        <x:v>Centre de secours rural — Ville moyenne / relais temporaire envisagé</x:v>
      </x:c>
      <x:c r="F1368" t="n">
        <x:v>8</x:v>
      </x:c>
      <x:c r="G1368" t="n">
        <x:v>4</x:v>
      </x:c>
      <x:c r="H1368" t="n">
        <x:v>12</x:v>
      </x:c>
      <x:c r="I1368" t="str">
        <x:v>À qualifier par lieu</x:v>
      </x:c>
      <x:c r="J1368" t="str">
        <x:v>https://github.com/darknigthmare/deadwall-last-enclosure/blob/e28f46223e73105ab2c5d83f3d50b99b58ef53e6/codex-3000/compositions/Secours et protection civile/DW-1363.md</x:v>
      </x:c>
      <x:c r="K1368" t="str">
        <x:v>Source min 24,18 m ; max 85,65 m ; modèle 25 × 18 m ; niveaux 0. Détails dans catalogue-existant.json.</x:v>
      </x:c>
    </x:row>
    <x:row r="1369">
      <x:c r="A1369" t="str">
        <x:v>DW-1364</x:v>
      </x:c>
      <x:c r="B1369" t="str">
        <x:v>DW-0182</x:v>
      </x:c>
      <x:c r="C1369" t="str">
        <x:v>Composition héritée</x:v>
      </x:c>
      <x:c r="D1369" t="str">
        <x:v>Secours et protection civile</x:v>
      </x:c>
      <x:c r="E1369" t="str">
        <x:v>Centre de secours rural — Zone industrielle / évacuation interrompue</x:v>
      </x:c>
      <x:c r="F1369" t="n">
        <x:v>8</x:v>
      </x:c>
      <x:c r="G1369" t="n">
        <x:v>4</x:v>
      </x:c>
      <x:c r="H1369" t="n">
        <x:v>12</x:v>
      </x:c>
      <x:c r="I1369" t="str">
        <x:v>À qualifier par lieu</x:v>
      </x:c>
      <x:c r="J1369" t="str">
        <x:v>https://github.com/darknigthmare/deadwall-last-enclosure/blob/e28f46223e73105ab2c5d83f3d50b99b58ef53e6/codex-3000/compositions/Secours et protection civile/DW-1364.md</x:v>
      </x:c>
      <x:c r="K1369" t="str">
        <x:v>Source min 24,18 m ; max 85,65 m ; modèle 25 × 18 m ; niveaux 0. Détails dans catalogue-existant.json.</x:v>
      </x:c>
    </x:row>
    <x:row r="1370">
      <x:c r="A1370" t="str">
        <x:v>DW-1365</x:v>
      </x:c>
      <x:c r="B1370" t="str">
        <x:v>DW-0183</x:v>
      </x:c>
      <x:c r="C1370" t="str">
        <x:v>Composition héritée</x:v>
      </x:c>
      <x:c r="D1370" t="str">
        <x:v>Secours et protection civile</x:v>
      </x:c>
      <x:c r="E1370" t="str">
        <x:v>Commissariat de quartier — Station-service et aire routière / réseau principal coupé</x:v>
      </x:c>
      <x:c r="F1370" t="n">
        <x:v>8</x:v>
      </x:c>
      <x:c r="G1370" t="n">
        <x:v>4</x:v>
      </x:c>
      <x:c r="H1370" t="n">
        <x:v>12</x:v>
      </x:c>
      <x:c r="I1370" t="str">
        <x:v>À qualifier par lieu</x:v>
      </x:c>
      <x:c r="J1370" t="str">
        <x:v>https://github.com/darknigthmare/deadwall-last-enclosure/blob/e28f46223e73105ab2c5d83f3d50b99b58ef53e6/codex-3000/compositions/Secours et protection civile/DW-1365.md</x:v>
      </x:c>
      <x:c r="K1370" t="str">
        <x:v>Source min 24,18 m ; max 85,65 m ; modèle 25 × 18 m ; niveaux 0. Détails dans catalogue-existant.json.</x:v>
      </x:c>
    </x:row>
    <x:row r="1371">
      <x:c r="A1371" t="str">
        <x:v>DW-1366</x:v>
      </x:c>
      <x:c r="B1371" t="str">
        <x:v>DW-0183</x:v>
      </x:c>
      <x:c r="C1371" t="str">
        <x:v>Composition héritée</x:v>
      </x:c>
      <x:c r="D1371" t="str">
        <x:v>Secours et protection civile</x:v>
      </x:c>
      <x:c r="E1371" t="str">
        <x:v>Commissariat de quartier — Centre d’évacuation abandonné / arrêt de maintenance</x:v>
      </x:c>
      <x:c r="F1371" t="n">
        <x:v>8</x:v>
      </x:c>
      <x:c r="G1371" t="n">
        <x:v>4</x:v>
      </x:c>
      <x:c r="H1371" t="n">
        <x:v>12</x:v>
      </x:c>
      <x:c r="I1371" t="str">
        <x:v>À qualifier par lieu</x:v>
      </x:c>
      <x:c r="J1371" t="str">
        <x:v>https://github.com/darknigthmare/deadwall-last-enclosure/blob/e28f46223e73105ab2c5d83f3d50b99b58ef53e6/codex-3000/compositions/Secours et protection civile/DW-1366.md</x:v>
      </x:c>
      <x:c r="K1371" t="str">
        <x:v>Source min 24,18 m ; max 85,65 m ; modèle 25 × 18 m ; niveaux 0. Détails dans catalogue-existant.json.</x:v>
      </x:c>
    </x:row>
    <x:row r="1372">
      <x:c r="A1372" t="str">
        <x:v>DW-1367</x:v>
      </x:c>
      <x:c r="B1372" t="str">
        <x:v>DW-0184</x:v>
      </x:c>
      <x:c r="C1372" t="str">
        <x:v>Composition héritée</x:v>
      </x:c>
      <x:c r="D1372" t="str">
        <x:v>Secours et protection civile</x:v>
      </x:c>
      <x:c r="E1372" t="str">
        <x:v>Poste de police rurale — Zone industrielle / repli organisé interrompu</x:v>
      </x:c>
      <x:c r="F1372" t="n">
        <x:v>8</x:v>
      </x:c>
      <x:c r="G1372" t="n">
        <x:v>4</x:v>
      </x:c>
      <x:c r="H1372" t="n">
        <x:v>12</x:v>
      </x:c>
      <x:c r="I1372" t="str">
        <x:v>À qualifier par lieu</x:v>
      </x:c>
      <x:c r="J1372" t="str">
        <x:v>https://github.com/darknigthmare/deadwall-last-enclosure/blob/e28f46223e73105ab2c5d83f3d50b99b58ef53e6/codex-3000/compositions/Secours et protection civile/DW-1367.md</x:v>
      </x:c>
      <x:c r="K1372" t="str">
        <x:v>Source min 24,18 m ; max 85,65 m ; modèle 25 × 18 m ; niveaux 0. Détails dans catalogue-existant.json.</x:v>
      </x:c>
    </x:row>
    <x:row r="1373">
      <x:c r="A1373" t="str">
        <x:v>DW-1368</x:v>
      </x:c>
      <x:c r="B1373" t="str">
        <x:v>DW-0184</x:v>
      </x:c>
      <x:c r="C1373" t="str">
        <x:v>Composition héritée</x:v>
      </x:c>
      <x:c r="D1373" t="str">
        <x:v>Secours et protection civile</x:v>
      </x:c>
      <x:c r="E1373" t="str">
        <x:v>Poste de police rurale — Ville moyenne / première récupération passée</x:v>
      </x:c>
      <x:c r="F1373" t="n">
        <x:v>8</x:v>
      </x:c>
      <x:c r="G1373" t="n">
        <x:v>4</x:v>
      </x:c>
      <x:c r="H1373" t="n">
        <x:v>12</x:v>
      </x:c>
      <x:c r="I1373" t="str">
        <x:v>À qualifier par lieu</x:v>
      </x:c>
      <x:c r="J1373" t="str">
        <x:v>https://github.com/darknigthmare/deadwall-last-enclosure/blob/e28f46223e73105ab2c5d83f3d50b99b58ef53e6/codex-3000/compositions/Secours et protection civile/DW-1368.md</x:v>
      </x:c>
      <x:c r="K1373" t="str">
        <x:v>Source min 24,18 m ; max 85,65 m ; modèle 25 × 18 m ; niveaux 0. Détails dans catalogue-existant.json.</x:v>
      </x:c>
    </x:row>
    <x:row r="1374">
      <x:c r="A1374" t="str">
        <x:v>DW-1369</x:v>
      </x:c>
      <x:c r="B1374" t="str">
        <x:v>DW-0185</x:v>
      </x:c>
      <x:c r="C1374" t="str">
        <x:v>Composition héritée</x:v>
      </x:c>
      <x:c r="D1374" t="str">
        <x:v>Secours et protection civile</x:v>
      </x:c>
      <x:c r="E1374" t="str">
        <x:v>Poste de surveillance de plage — Centre d’évacuation abandonné / évacuation interrompue</x:v>
      </x:c>
      <x:c r="F1374" t="n">
        <x:v>8</x:v>
      </x:c>
      <x:c r="G1374" t="n">
        <x:v>4</x:v>
      </x:c>
      <x:c r="H1374" t="n">
        <x:v>12</x:v>
      </x:c>
      <x:c r="I1374" t="str">
        <x:v>À qualifier par lieu</x:v>
      </x:c>
      <x:c r="J1374" t="str">
        <x:v>https://github.com/darknigthmare/deadwall-last-enclosure/blob/e28f46223e73105ab2c5d83f3d50b99b58ef53e6/codex-3000/compositions/Secours et protection civile/DW-1369.md</x:v>
      </x:c>
      <x:c r="K1374" t="str">
        <x:v>Source min 24,18 m ; max 85,65 m ; modèle 25 × 18 m ; niveaux 0. Détails dans catalogue-existant.json.</x:v>
      </x:c>
    </x:row>
    <x:row r="1375">
      <x:c r="A1375" t="str">
        <x:v>DW-1370</x:v>
      </x:c>
      <x:c r="B1375" t="str">
        <x:v>DW-0185</x:v>
      </x:c>
      <x:c r="C1375" t="str">
        <x:v>Composition héritée</x:v>
      </x:c>
      <x:c r="D1375" t="str">
        <x:v>Secours et protection civile</x:v>
      </x:c>
      <x:c r="E1375" t="str">
        <x:v>Poste de surveillance de plage — Station-service et aire routière / service déplacé à l’arrière</x:v>
      </x:c>
      <x:c r="F1375" t="n">
        <x:v>8</x:v>
      </x:c>
      <x:c r="G1375" t="n">
        <x:v>4</x:v>
      </x:c>
      <x:c r="H1375" t="n">
        <x:v>12</x:v>
      </x:c>
      <x:c r="I1375" t="str">
        <x:v>À qualifier par lieu</x:v>
      </x:c>
      <x:c r="J1375" t="str">
        <x:v>https://github.com/darknigthmare/deadwall-last-enclosure/blob/e28f46223e73105ab2c5d83f3d50b99b58ef53e6/codex-3000/compositions/Secours et protection civile/DW-1370.md</x:v>
      </x:c>
      <x:c r="K1375" t="str">
        <x:v>Source min 24,18 m ; max 85,65 m ; modèle 25 × 18 m ; niveaux 0. Détails dans catalogue-existant.json.</x:v>
      </x:c>
    </x:row>
    <x:row r="1376">
      <x:c r="A1376" t="str">
        <x:v>DW-1371</x:v>
      </x:c>
      <x:c r="B1376" t="str">
        <x:v>DW-0186</x:v>
      </x:c>
      <x:c r="C1376" t="str">
        <x:v>Composition héritée</x:v>
      </x:c>
      <x:c r="D1376" t="str">
        <x:v>Secours et protection civile</x:v>
      </x:c>
      <x:c r="E1376" t="str">
        <x:v>Base de sauvetage côtier — Ville moyenne / arrêt de maintenance</x:v>
      </x:c>
      <x:c r="F1376" t="n">
        <x:v>8</x:v>
      </x:c>
      <x:c r="G1376" t="n">
        <x:v>4</x:v>
      </x:c>
      <x:c r="H1376" t="n">
        <x:v>12</x:v>
      </x:c>
      <x:c r="I1376" t="str">
        <x:v>À qualifier par lieu</x:v>
      </x:c>
      <x:c r="J1376" t="str">
        <x:v>https://github.com/darknigthmare/deadwall-last-enclosure/blob/e28f46223e73105ab2c5d83f3d50b99b58ef53e6/codex-3000/compositions/Secours et protection civile/DW-1371.md</x:v>
      </x:c>
      <x:c r="K1376" t="str">
        <x:v>Source min 24,18 m ; max 85,65 m ; modèle 25 × 18 m ; niveaux 0, 1, 2. Détails dans catalogue-existant.json.</x:v>
      </x:c>
    </x:row>
    <x:row r="1377">
      <x:c r="A1377" t="str">
        <x:v>DW-1372</x:v>
      </x:c>
      <x:c r="B1377" t="str">
        <x:v>DW-0186</x:v>
      </x:c>
      <x:c r="C1377" t="str">
        <x:v>Composition héritée</x:v>
      </x:c>
      <x:c r="D1377" t="str">
        <x:v>Secours et protection civile</x:v>
      </x:c>
      <x:c r="E1377" t="str">
        <x:v>Base de sauvetage côtier — Zone industrielle / reprise progressive de la végétation</x:v>
      </x:c>
      <x:c r="F1377" t="n">
        <x:v>8</x:v>
      </x:c>
      <x:c r="G1377" t="n">
        <x:v>4</x:v>
      </x:c>
      <x:c r="H1377" t="n">
        <x:v>12</x:v>
      </x:c>
      <x:c r="I1377" t="str">
        <x:v>À qualifier par lieu</x:v>
      </x:c>
      <x:c r="J1377" t="str">
        <x:v>https://github.com/darknigthmare/deadwall-last-enclosure/blob/e28f46223e73105ab2c5d83f3d50b99b58ef53e6/codex-3000/compositions/Secours et protection civile/DW-1372.md</x:v>
      </x:c>
      <x:c r="K1377" t="str">
        <x:v>Source min 24,18 m ; max 85,65 m ; modèle 25 × 18 m ; niveaux 0, 1, 2. Détails dans catalogue-existant.json.</x:v>
      </x:c>
    </x:row>
    <x:row r="1378">
      <x:c r="A1378" t="str">
        <x:v>DW-1373</x:v>
      </x:c>
      <x:c r="B1378" t="str">
        <x:v>DW-0187</x:v>
      </x:c>
      <x:c r="C1378" t="str">
        <x:v>Composition héritée</x:v>
      </x:c>
      <x:c r="D1378" t="str">
        <x:v>Secours et protection civile</x:v>
      </x:c>
      <x:c r="E1378" t="str">
        <x:v>Centre de protection civile — Station-service et aire routière / première récupération passée</x:v>
      </x:c>
      <x:c r="F1378" t="n">
        <x:v>8</x:v>
      </x:c>
      <x:c r="G1378" t="n">
        <x:v>4</x:v>
      </x:c>
      <x:c r="H1378" t="n">
        <x:v>12</x:v>
      </x:c>
      <x:c r="I1378" t="str">
        <x:v>À qualifier par lieu</x:v>
      </x:c>
      <x:c r="J1378" t="str">
        <x:v>https://github.com/darknigthmare/deadwall-last-enclosure/blob/e28f46223e73105ab2c5d83f3d50b99b58ef53e6/codex-3000/compositions/Secours et protection civile/DW-1373.md</x:v>
      </x:c>
      <x:c r="K1378" t="str">
        <x:v>Source min 24,18 m ; max 85,65 m ; modèle 25 × 18 m ; niveaux 0. Détails dans catalogue-existant.json.</x:v>
      </x:c>
    </x:row>
    <x:row r="1379">
      <x:c r="A1379" t="str">
        <x:v>DW-1374</x:v>
      </x:c>
      <x:c r="B1379" t="str">
        <x:v>DW-0187</x:v>
      </x:c>
      <x:c r="C1379" t="str">
        <x:v>Composition héritée</x:v>
      </x:c>
      <x:c r="D1379" t="str">
        <x:v>Secours et protection civile</x:v>
      </x:c>
      <x:c r="E1379" t="str">
        <x:v>Centre de protection civile — Centre d’évacuation abandonné / relais temporaire envisagé</x:v>
      </x:c>
      <x:c r="F1379" t="n">
        <x:v>8</x:v>
      </x:c>
      <x:c r="G1379" t="n">
        <x:v>4</x:v>
      </x:c>
      <x:c r="H1379" t="n">
        <x:v>12</x:v>
      </x:c>
      <x:c r="I1379" t="str">
        <x:v>À qualifier par lieu</x:v>
      </x:c>
      <x:c r="J1379" t="str">
        <x:v>https://github.com/darknigthmare/deadwall-last-enclosure/blob/e28f46223e73105ab2c5d83f3d50b99b58ef53e6/codex-3000/compositions/Secours et protection civile/DW-1374.md</x:v>
      </x:c>
      <x:c r="K1379" t="str">
        <x:v>Source min 24,18 m ; max 85,65 m ; modèle 25 × 18 m ; niveaux 0. Détails dans catalogue-existant.json.</x:v>
      </x:c>
    </x:row>
    <x:row r="1380">
      <x:c r="A1380" t="str">
        <x:v>DW-1375</x:v>
      </x:c>
      <x:c r="B1380" t="str">
        <x:v>DW-0188</x:v>
      </x:c>
      <x:c r="C1380" t="str">
        <x:v>Composition héritée</x:v>
      </x:c>
      <x:c r="D1380" t="str">
        <x:v>Secours et protection civile</x:v>
      </x:c>
      <x:c r="E1380" t="str">
        <x:v>Poste médical de stade — Zone industrielle / service déplacé à l’arrière</x:v>
      </x:c>
      <x:c r="F1380" t="n">
        <x:v>8</x:v>
      </x:c>
      <x:c r="G1380" t="n">
        <x:v>4</x:v>
      </x:c>
      <x:c r="H1380" t="n">
        <x:v>12</x:v>
      </x:c>
      <x:c r="I1380" t="str">
        <x:v>À qualifier par lieu</x:v>
      </x:c>
      <x:c r="J1380" t="str">
        <x:v>https://github.com/darknigthmare/deadwall-last-enclosure/blob/e28f46223e73105ab2c5d83f3d50b99b58ef53e6/codex-3000/compositions/Secours et protection civile/DW-1375.md</x:v>
      </x:c>
      <x:c r="K1380" t="str">
        <x:v>Source min 24,18 m ; max 85,65 m ; modèle 25 × 18 m ; niveaux 0. Détails dans catalogue-existant.json.</x:v>
      </x:c>
    </x:row>
    <x:row r="1381">
      <x:c r="A1381" t="str">
        <x:v>DW-1376</x:v>
      </x:c>
      <x:c r="B1381" t="str">
        <x:v>DW-0188</x:v>
      </x:c>
      <x:c r="C1381" t="str">
        <x:v>Composition héritée</x:v>
      </x:c>
      <x:c r="D1381" t="str">
        <x:v>Secours et protection civile</x:v>
      </x:c>
      <x:c r="E1381" t="str">
        <x:v>Poste médical de stade — Ville moyenne / réseau principal coupé</x:v>
      </x:c>
      <x:c r="F1381" t="n">
        <x:v>8</x:v>
      </x:c>
      <x:c r="G1381" t="n">
        <x:v>4</x:v>
      </x:c>
      <x:c r="H1381" t="n">
        <x:v>12</x:v>
      </x:c>
      <x:c r="I1381" t="str">
        <x:v>À qualifier par lieu</x:v>
      </x:c>
      <x:c r="J1381" t="str">
        <x:v>https://github.com/darknigthmare/deadwall-last-enclosure/blob/e28f46223e73105ab2c5d83f3d50b99b58ef53e6/codex-3000/compositions/Secours et protection civile/DW-1376.md</x:v>
      </x:c>
      <x:c r="K1381" t="str">
        <x:v>Source min 24,18 m ; max 85,65 m ; modèle 25 × 18 m ; niveaux 0. Détails dans catalogue-existant.json.</x:v>
      </x:c>
    </x:row>
    <x:row r="1382">
      <x:c r="A1382" t="str">
        <x:v>DW-1377</x:v>
      </x:c>
      <x:c r="B1382" t="str">
        <x:v>DW-0189</x:v>
      </x:c>
      <x:c r="C1382" t="str">
        <x:v>Composition héritée</x:v>
      </x:c>
      <x:c r="D1382" t="str">
        <x:v>Secours et protection civile</x:v>
      </x:c>
      <x:c r="E1382" t="str">
        <x:v>Refuge d'urgence communal — Centre d’évacuation abandonné / reprise progressive de la végétation</x:v>
      </x:c>
      <x:c r="F1382" t="n">
        <x:v>8</x:v>
      </x:c>
      <x:c r="G1382" t="n">
        <x:v>5</x:v>
      </x:c>
      <x:c r="H1382" t="n">
        <x:v>15</x:v>
      </x:c>
      <x:c r="I1382" t="str">
        <x:v>À qualifier par lieu</x:v>
      </x:c>
      <x:c r="J1382" t="str">
        <x:v>https://github.com/darknigthmare/deadwall-last-enclosure/blob/e28f46223e73105ab2c5d83f3d50b99b58ef53e6/codex-3000/compositions/Secours et protection civile/DW-1377.md</x:v>
      </x:c>
      <x:c r="K1382" t="str">
        <x:v>Source min 24,18 m ; max 85,65 m ; modèle 26 × 22 m ; niveaux 0. Détails dans catalogue-existant.json.</x:v>
      </x:c>
    </x:row>
    <x:row r="1383">
      <x:c r="A1383" t="str">
        <x:v>DW-1378</x:v>
      </x:c>
      <x:c r="B1383" t="str">
        <x:v>DW-0189</x:v>
      </x:c>
      <x:c r="C1383" t="str">
        <x:v>Composition héritée</x:v>
      </x:c>
      <x:c r="D1383" t="str">
        <x:v>Secours et protection civile</x:v>
      </x:c>
      <x:c r="E1383" t="str">
        <x:v>Refuge d'urgence communal — Station-service et aire routière / repli organisé interrompu</x:v>
      </x:c>
      <x:c r="F1383" t="n">
        <x:v>8</x:v>
      </x:c>
      <x:c r="G1383" t="n">
        <x:v>5</x:v>
      </x:c>
      <x:c r="H1383" t="n">
        <x:v>15</x:v>
      </x:c>
      <x:c r="I1383" t="str">
        <x:v>À qualifier par lieu</x:v>
      </x:c>
      <x:c r="J1383" t="str">
        <x:v>https://github.com/darknigthmare/deadwall-last-enclosure/blob/e28f46223e73105ab2c5d83f3d50b99b58ef53e6/codex-3000/compositions/Secours et protection civile/DW-1378.md</x:v>
      </x:c>
      <x:c r="K1383" t="str">
        <x:v>Source min 24,18 m ; max 85,65 m ; modèle 26 × 22 m ; niveaux 0. Détails dans catalogue-existant.json.</x:v>
      </x:c>
    </x:row>
    <x:row r="1384">
      <x:c r="A1384" t="str">
        <x:v>DW-1379</x:v>
      </x:c>
      <x:c r="B1384" t="str">
        <x:v>DW-0190</x:v>
      </x:c>
      <x:c r="C1384" t="str">
        <x:v>Composition héritée</x:v>
      </x:c>
      <x:c r="D1384" t="str">
        <x:v>Secours et protection civile</x:v>
      </x:c>
      <x:c r="E1384" t="str">
        <x:v>Centre d'hébergement de crise — Ville moyenne / relais temporaire envisagé</x:v>
      </x:c>
      <x:c r="F1384" t="n">
        <x:v>8</x:v>
      </x:c>
      <x:c r="G1384" t="n">
        <x:v>4</x:v>
      </x:c>
      <x:c r="H1384" t="n">
        <x:v>12</x:v>
      </x:c>
      <x:c r="I1384" t="str">
        <x:v>À qualifier par lieu</x:v>
      </x:c>
      <x:c r="J1384" t="str">
        <x:v>https://github.com/darknigthmare/deadwall-last-enclosure/blob/e28f46223e73105ab2c5d83f3d50b99b58ef53e6/codex-3000/compositions/Secours et protection civile/DW-1379.md</x:v>
      </x:c>
      <x:c r="K1384" t="str">
        <x:v>Source min 24,18 m ; max 85,65 m ; modèle 25 × 18 m ; niveaux 0. Détails dans catalogue-existant.json.</x:v>
      </x:c>
    </x:row>
    <x:row r="1385">
      <x:c r="A1385" t="str">
        <x:v>DW-1380</x:v>
      </x:c>
      <x:c r="B1385" t="str">
        <x:v>DW-0190</x:v>
      </x:c>
      <x:c r="C1385" t="str">
        <x:v>Composition héritée</x:v>
      </x:c>
      <x:c r="D1385" t="str">
        <x:v>Secours et protection civile</x:v>
      </x:c>
      <x:c r="E1385" t="str">
        <x:v>Centre d'hébergement de crise — Zone industrielle / évacuation interrompue</x:v>
      </x:c>
      <x:c r="F1385" t="n">
        <x:v>8</x:v>
      </x:c>
      <x:c r="G1385" t="n">
        <x:v>4</x:v>
      </x:c>
      <x:c r="H1385" t="n">
        <x:v>12</x:v>
      </x:c>
      <x:c r="I1385" t="str">
        <x:v>À qualifier par lieu</x:v>
      </x:c>
      <x:c r="J1385" t="str">
        <x:v>https://github.com/darknigthmare/deadwall-last-enclosure/blob/e28f46223e73105ab2c5d83f3d50b99b58ef53e6/codex-3000/compositions/Secours et protection civile/DW-1380.md</x:v>
      </x:c>
      <x:c r="K1385" t="str">
        <x:v>Source min 24,18 m ; max 85,65 m ; modèle 25 × 18 m ; niveaux 0. Détails dans catalogue-existant.json.</x:v>
      </x:c>
    </x:row>
    <x:row r="1386">
      <x:c r="A1386" t="str">
        <x:v>DW-1381</x:v>
      </x:c>
      <x:c r="B1386" t="str">
        <x:v>DW-0191</x:v>
      </x:c>
      <x:c r="C1386" t="str">
        <x:v>Composition héritée</x:v>
      </x:c>
      <x:c r="D1386" t="str">
        <x:v>Secours et protection civile</x:v>
      </x:c>
      <x:c r="E1386" t="str">
        <x:v>Dépôt de secours — Station-service et aire routière / réseau principal coupé</x:v>
      </x:c>
      <x:c r="F1386" t="n">
        <x:v>8</x:v>
      </x:c>
      <x:c r="G1386" t="n">
        <x:v>4</x:v>
      </x:c>
      <x:c r="H1386" t="n">
        <x:v>12</x:v>
      </x:c>
      <x:c r="I1386" t="str">
        <x:v>À qualifier par lieu</x:v>
      </x:c>
      <x:c r="J1386" t="str">
        <x:v>https://github.com/darknigthmare/deadwall-last-enclosure/blob/e28f46223e73105ab2c5d83f3d50b99b58ef53e6/codex-3000/compositions/Secours et protection civile/DW-1381.md</x:v>
      </x:c>
      <x:c r="K1386" t="str">
        <x:v>Source min 24,18 m ; max 85,65 m ; modèle 25 × 18 m ; niveaux 0. Détails dans catalogue-existant.json.</x:v>
      </x:c>
    </x:row>
    <x:row r="1387">
      <x:c r="A1387" t="str">
        <x:v>DW-1382</x:v>
      </x:c>
      <x:c r="B1387" t="str">
        <x:v>DW-0191</x:v>
      </x:c>
      <x:c r="C1387" t="str">
        <x:v>Composition héritée</x:v>
      </x:c>
      <x:c r="D1387" t="str">
        <x:v>Secours et protection civile</x:v>
      </x:c>
      <x:c r="E1387" t="str">
        <x:v>Dépôt de secours — Centre d’évacuation abandonné / arrêt de maintenance</x:v>
      </x:c>
      <x:c r="F1387" t="n">
        <x:v>8</x:v>
      </x:c>
      <x:c r="G1387" t="n">
        <x:v>4</x:v>
      </x:c>
      <x:c r="H1387" t="n">
        <x:v>12</x:v>
      </x:c>
      <x:c r="I1387" t="str">
        <x:v>À qualifier par lieu</x:v>
      </x:c>
      <x:c r="J1387" t="str">
        <x:v>https://github.com/darknigthmare/deadwall-last-enclosure/blob/e28f46223e73105ab2c5d83f3d50b99b58ef53e6/codex-3000/compositions/Secours et protection civile/DW-1382.md</x:v>
      </x:c>
      <x:c r="K1387" t="str">
        <x:v>Source min 24,18 m ; max 85,65 m ; modèle 25 × 18 m ; niveaux 0. Détails dans catalogue-existant.json.</x:v>
      </x:c>
    </x:row>
    <x:row r="1388">
      <x:c r="A1388" t="str">
        <x:v>DW-1383</x:v>
      </x:c>
      <x:c r="B1388" t="str">
        <x:v>DW-0192</x:v>
      </x:c>
      <x:c r="C1388" t="str">
        <x:v>Composition héritée</x:v>
      </x:c>
      <x:c r="D1388" t="str">
        <x:v>Secours et protection civile</x:v>
      </x:c>
      <x:c r="E1388" t="str">
        <x:v>Atelier d'ambulances — Zone industrielle / repli organisé interrompu</x:v>
      </x:c>
      <x:c r="F1388" t="n">
        <x:v>8</x:v>
      </x:c>
      <x:c r="G1388" t="n">
        <x:v>4</x:v>
      </x:c>
      <x:c r="H1388" t="n">
        <x:v>12</x:v>
      </x:c>
      <x:c r="I1388" t="str">
        <x:v>À qualifier par lieu</x:v>
      </x:c>
      <x:c r="J1388" t="str">
        <x:v>https://github.com/darknigthmare/deadwall-last-enclosure/blob/e28f46223e73105ab2c5d83f3d50b99b58ef53e6/codex-3000/compositions/Secours et protection civile/DW-1383.md</x:v>
      </x:c>
      <x:c r="K1388" t="str">
        <x:v>Source min 24,18 m ; max 85,65 m ; modèle 25 × 18 m ; niveaux 0. Détails dans catalogue-existant.json.</x:v>
      </x:c>
    </x:row>
    <x:row r="1389">
      <x:c r="A1389" t="str">
        <x:v>DW-1384</x:v>
      </x:c>
      <x:c r="B1389" t="str">
        <x:v>DW-0192</x:v>
      </x:c>
      <x:c r="C1389" t="str">
        <x:v>Composition héritée</x:v>
      </x:c>
      <x:c r="D1389" t="str">
        <x:v>Secours et protection civile</x:v>
      </x:c>
      <x:c r="E1389" t="str">
        <x:v>Atelier d'ambulances — Ville moyenne / première récupération passée</x:v>
      </x:c>
      <x:c r="F1389" t="n">
        <x:v>8</x:v>
      </x:c>
      <x:c r="G1389" t="n">
        <x:v>4</x:v>
      </x:c>
      <x:c r="H1389" t="n">
        <x:v>12</x:v>
      </x:c>
      <x:c r="I1389" t="str">
        <x:v>À qualifier par lieu</x:v>
      </x:c>
      <x:c r="J1389" t="str">
        <x:v>https://github.com/darknigthmare/deadwall-last-enclosure/blob/e28f46223e73105ab2c5d83f3d50b99b58ef53e6/codex-3000/compositions/Secours et protection civile/DW-1384.md</x:v>
      </x:c>
      <x:c r="K1389" t="str">
        <x:v>Source min 24,18 m ; max 85,65 m ; modèle 25 × 18 m ; niveaux 0. Détails dans catalogue-existant.json.</x:v>
      </x:c>
    </x:row>
    <x:row r="1390">
      <x:c r="A1390" t="str">
        <x:v>DW-1385</x:v>
      </x:c>
      <x:c r="B1390" t="str">
        <x:v>DW-0193</x:v>
      </x:c>
      <x:c r="C1390" t="str">
        <x:v>Composition héritée</x:v>
      </x:c>
      <x:c r="D1390" t="str">
        <x:v>Secours et protection civile</x:v>
      </x:c>
      <x:c r="E1390" t="str">
        <x:v>Centre de gestion de crise — Centre d’évacuation abandonné / évacuation interrompue</x:v>
      </x:c>
      <x:c r="F1390" t="n">
        <x:v>8</x:v>
      </x:c>
      <x:c r="G1390" t="n">
        <x:v>4</x:v>
      </x:c>
      <x:c r="H1390" t="n">
        <x:v>12</x:v>
      </x:c>
      <x:c r="I1390" t="str">
        <x:v>À qualifier par lieu</x:v>
      </x:c>
      <x:c r="J1390" t="str">
        <x:v>https://github.com/darknigthmare/deadwall-last-enclosure/blob/e28f46223e73105ab2c5d83f3d50b99b58ef53e6/codex-3000/compositions/Secours et protection civile/DW-1385.md</x:v>
      </x:c>
      <x:c r="K1390" t="str">
        <x:v>Source min 24,18 m ; max 85,65 m ; modèle 25 × 18 m ; niveaux 0. Détails dans catalogue-existant.json.</x:v>
      </x:c>
    </x:row>
    <x:row r="1391">
      <x:c r="A1391" t="str">
        <x:v>DW-1386</x:v>
      </x:c>
      <x:c r="B1391" t="str">
        <x:v>DW-0193</x:v>
      </x:c>
      <x:c r="C1391" t="str">
        <x:v>Composition héritée</x:v>
      </x:c>
      <x:c r="D1391" t="str">
        <x:v>Secours et protection civile</x:v>
      </x:c>
      <x:c r="E1391" t="str">
        <x:v>Centre de gestion de crise — Station-service et aire routière / service déplacé à l’arrière</x:v>
      </x:c>
      <x:c r="F1391" t="n">
        <x:v>8</x:v>
      </x:c>
      <x:c r="G1391" t="n">
        <x:v>4</x:v>
      </x:c>
      <x:c r="H1391" t="n">
        <x:v>12</x:v>
      </x:c>
      <x:c r="I1391" t="str">
        <x:v>À qualifier par lieu</x:v>
      </x:c>
      <x:c r="J1391" t="str">
        <x:v>https://github.com/darknigthmare/deadwall-last-enclosure/blob/e28f46223e73105ab2c5d83f3d50b99b58ef53e6/codex-3000/compositions/Secours et protection civile/DW-1386.md</x:v>
      </x:c>
      <x:c r="K1391" t="str">
        <x:v>Source min 24,18 m ; max 85,65 m ; modèle 25 × 18 m ; niveaux 0. Détails dans catalogue-existant.json.</x:v>
      </x:c>
    </x:row>
    <x:row r="1392">
      <x:c r="A1392" t="str">
        <x:v>DW-1387</x:v>
      </x:c>
      <x:c r="B1392" t="str">
        <x:v>DW-0194</x:v>
      </x:c>
      <x:c r="C1392" t="str">
        <x:v>Composition héritée</x:v>
      </x:c>
      <x:c r="D1392" t="str">
        <x:v>Secours et protection civile</x:v>
      </x:c>
      <x:c r="E1392" t="str">
        <x:v>Poste de secours autoroutier — Ville moyenne / arrêt de maintenance</x:v>
      </x:c>
      <x:c r="F1392" t="n">
        <x:v>8</x:v>
      </x:c>
      <x:c r="G1392" t="n">
        <x:v>4</x:v>
      </x:c>
      <x:c r="H1392" t="n">
        <x:v>12</x:v>
      </x:c>
      <x:c r="I1392" t="str">
        <x:v>À qualifier par lieu</x:v>
      </x:c>
      <x:c r="J1392" t="str">
        <x:v>https://github.com/darknigthmare/deadwall-last-enclosure/blob/e28f46223e73105ab2c5d83f3d50b99b58ef53e6/codex-3000/compositions/Secours et protection civile/DW-1387.md</x:v>
      </x:c>
      <x:c r="K1392" t="str">
        <x:v>Source min 24,18 m ; max 85,65 m ; modèle 25 × 18 m ; niveaux 0. Détails dans catalogue-existant.json.</x:v>
      </x:c>
    </x:row>
    <x:row r="1393">
      <x:c r="A1393" t="str">
        <x:v>DW-1388</x:v>
      </x:c>
      <x:c r="B1393" t="str">
        <x:v>DW-0194</x:v>
      </x:c>
      <x:c r="C1393" t="str">
        <x:v>Composition héritée</x:v>
      </x:c>
      <x:c r="D1393" t="str">
        <x:v>Secours et protection civile</x:v>
      </x:c>
      <x:c r="E1393" t="str">
        <x:v>Poste de secours autoroutier — Zone industrielle / reprise progressive de la végétation</x:v>
      </x:c>
      <x:c r="F1393" t="n">
        <x:v>8</x:v>
      </x:c>
      <x:c r="G1393" t="n">
        <x:v>4</x:v>
      </x:c>
      <x:c r="H1393" t="n">
        <x:v>12</x:v>
      </x:c>
      <x:c r="I1393" t="str">
        <x:v>À qualifier par lieu</x:v>
      </x:c>
      <x:c r="J1393" t="str">
        <x:v>https://github.com/darknigthmare/deadwall-last-enclosure/blob/e28f46223e73105ab2c5d83f3d50b99b58ef53e6/codex-3000/compositions/Secours et protection civile/DW-1388.md</x:v>
      </x:c>
      <x:c r="K1393" t="str">
        <x:v>Source min 24,18 m ; max 85,65 m ; modèle 25 × 18 m ; niveaux 0. Détails dans catalogue-existant.json.</x:v>
      </x:c>
    </x:row>
    <x:row r="1394">
      <x:c r="A1394" t="str">
        <x:v>DW-1389</x:v>
      </x:c>
      <x:c r="B1394" t="str">
        <x:v>DW-0195</x:v>
      </x:c>
      <x:c r="C1394" t="str">
        <x:v>Composition héritée</x:v>
      </x:c>
      <x:c r="D1394" t="str">
        <x:v>Secours et protection civile</x:v>
      </x:c>
      <x:c r="E1394" t="str">
        <x:v>Tour de guet forestière — Station-service et aire routière / première récupération passée</x:v>
      </x:c>
      <x:c r="F1394" t="n">
        <x:v>8</x:v>
      </x:c>
      <x:c r="G1394" t="n">
        <x:v>4</x:v>
      </x:c>
      <x:c r="H1394" t="n">
        <x:v>10</x:v>
      </x:c>
      <x:c r="I1394" t="str">
        <x:v>À qualifier par lieu</x:v>
      </x:c>
      <x:c r="J1394" t="str">
        <x:v>https://github.com/darknigthmare/deadwall-last-enclosure/blob/e28f46223e73105ab2c5d83f3d50b99b58ef53e6/codex-3000/compositions/Secours et protection civile/DW-1389.md</x:v>
      </x:c>
      <x:c r="K1394" t="str">
        <x:v>Source min 24,18 m ; max 85,65 m ; modèle 25 × 18 m ; niveaux 0. Détails dans catalogue-existant.json.</x:v>
      </x:c>
    </x:row>
    <x:row r="1395">
      <x:c r="A1395" t="str">
        <x:v>DW-1390</x:v>
      </x:c>
      <x:c r="B1395" t="str">
        <x:v>DW-0195</x:v>
      </x:c>
      <x:c r="C1395" t="str">
        <x:v>Composition héritée</x:v>
      </x:c>
      <x:c r="D1395" t="str">
        <x:v>Secours et protection civile</x:v>
      </x:c>
      <x:c r="E1395" t="str">
        <x:v>Tour de guet forestière — Centre d’évacuation abandonné / relais temporaire envisagé</x:v>
      </x:c>
      <x:c r="F1395" t="n">
        <x:v>8</x:v>
      </x:c>
      <x:c r="G1395" t="n">
        <x:v>4</x:v>
      </x:c>
      <x:c r="H1395" t="n">
        <x:v>10</x:v>
      </x:c>
      <x:c r="I1395" t="str">
        <x:v>À qualifier par lieu</x:v>
      </x:c>
      <x:c r="J1395" t="str">
        <x:v>https://github.com/darknigthmare/deadwall-last-enclosure/blob/e28f46223e73105ab2c5d83f3d50b99b58ef53e6/codex-3000/compositions/Secours et protection civile/DW-1390.md</x:v>
      </x:c>
      <x:c r="K1395" t="str">
        <x:v>Source min 24,18 m ; max 85,65 m ; modèle 25 × 18 m ; niveaux 0. Détails dans catalogue-existant.json.</x:v>
      </x:c>
    </x:row>
    <x:row r="1396">
      <x:c r="A1396" t="str">
        <x:v>DW-1391</x:v>
      </x:c>
      <x:c r="B1396" t="str">
        <x:v>DW-0196</x:v>
      </x:c>
      <x:c r="C1396" t="str">
        <x:v>Composition héritée</x:v>
      </x:c>
      <x:c r="D1396" t="str">
        <x:v>Secours et protection civile</x:v>
      </x:c>
      <x:c r="E1396" t="str">
        <x:v>Centre de gardes forestiers — Zone industrielle / service déplacé à l’arrière</x:v>
      </x:c>
      <x:c r="F1396" t="n">
        <x:v>8</x:v>
      </x:c>
      <x:c r="G1396" t="n">
        <x:v>4</x:v>
      </x:c>
      <x:c r="H1396" t="n">
        <x:v>12</x:v>
      </x:c>
      <x:c r="I1396" t="str">
        <x:v>À qualifier par lieu</x:v>
      </x:c>
      <x:c r="J1396" t="str">
        <x:v>https://github.com/darknigthmare/deadwall-last-enclosure/blob/e28f46223e73105ab2c5d83f3d50b99b58ef53e6/codex-3000/compositions/Secours et protection civile/DW-1391.md</x:v>
      </x:c>
      <x:c r="K1396" t="str">
        <x:v>Source min 24,18 m ; max 85,65 m ; modèle 25 × 18 m ; niveaux 0. Détails dans catalogue-existant.json.</x:v>
      </x:c>
    </x:row>
    <x:row r="1397">
      <x:c r="A1397" t="str">
        <x:v>DW-1392</x:v>
      </x:c>
      <x:c r="B1397" t="str">
        <x:v>DW-0196</x:v>
      </x:c>
      <x:c r="C1397" t="str">
        <x:v>Composition héritée</x:v>
      </x:c>
      <x:c r="D1397" t="str">
        <x:v>Secours et protection civile</x:v>
      </x:c>
      <x:c r="E1397" t="str">
        <x:v>Centre de gardes forestiers — Ville moyenne / réseau principal coupé</x:v>
      </x:c>
      <x:c r="F1397" t="n">
        <x:v>8</x:v>
      </x:c>
      <x:c r="G1397" t="n">
        <x:v>4</x:v>
      </x:c>
      <x:c r="H1397" t="n">
        <x:v>12</x:v>
      </x:c>
      <x:c r="I1397" t="str">
        <x:v>À qualifier par lieu</x:v>
      </x:c>
      <x:c r="J1397" t="str">
        <x:v>https://github.com/darknigthmare/deadwall-last-enclosure/blob/e28f46223e73105ab2c5d83f3d50b99b58ef53e6/codex-3000/compositions/Secours et protection civile/DW-1392.md</x:v>
      </x:c>
      <x:c r="K1397" t="str">
        <x:v>Source min 24,18 m ; max 85,65 m ; modèle 25 × 18 m ; niveaux 0. Détails dans catalogue-existant.json.</x:v>
      </x:c>
    </x:row>
    <x:row r="1398">
      <x:c r="A1398" t="str">
        <x:v>DW-1393</x:v>
      </x:c>
      <x:c r="B1398" t="str">
        <x:v>DW-0197</x:v>
      </x:c>
      <x:c r="C1398" t="str">
        <x:v>Composition héritée</x:v>
      </x:c>
      <x:c r="D1398" t="str">
        <x:v>Secours et protection civile</x:v>
      </x:c>
      <x:c r="E1398" t="str">
        <x:v>Chenil de secours — Centre d’évacuation abandonné / reprise progressive de la végétation</x:v>
      </x:c>
      <x:c r="F1398" t="n">
        <x:v>8</x:v>
      </x:c>
      <x:c r="G1398" t="n">
        <x:v>4</x:v>
      </x:c>
      <x:c r="H1398" t="n">
        <x:v>12</x:v>
      </x:c>
      <x:c r="I1398" t="str">
        <x:v>À qualifier par lieu</x:v>
      </x:c>
      <x:c r="J1398" t="str">
        <x:v>https://github.com/darknigthmare/deadwall-last-enclosure/blob/e28f46223e73105ab2c5d83f3d50b99b58ef53e6/codex-3000/compositions/Secours et protection civile/DW-1393.md</x:v>
      </x:c>
      <x:c r="K1398" t="str">
        <x:v>Source min 24,18 m ; max 85,65 m ; modèle 25 × 18 m ; niveaux 0. Détails dans catalogue-existant.json.</x:v>
      </x:c>
    </x:row>
    <x:row r="1399">
      <x:c r="A1399" t="str">
        <x:v>DW-1394</x:v>
      </x:c>
      <x:c r="B1399" t="str">
        <x:v>DW-0197</x:v>
      </x:c>
      <x:c r="C1399" t="str">
        <x:v>Composition héritée</x:v>
      </x:c>
      <x:c r="D1399" t="str">
        <x:v>Secours et protection civile</x:v>
      </x:c>
      <x:c r="E1399" t="str">
        <x:v>Chenil de secours — Station-service et aire routière / repli organisé interrompu</x:v>
      </x:c>
      <x:c r="F1399" t="n">
        <x:v>8</x:v>
      </x:c>
      <x:c r="G1399" t="n">
        <x:v>4</x:v>
      </x:c>
      <x:c r="H1399" t="n">
        <x:v>12</x:v>
      </x:c>
      <x:c r="I1399" t="str">
        <x:v>À qualifier par lieu</x:v>
      </x:c>
      <x:c r="J1399" t="str">
        <x:v>https://github.com/darknigthmare/deadwall-last-enclosure/blob/e28f46223e73105ab2c5d83f3d50b99b58ef53e6/codex-3000/compositions/Secours et protection civile/DW-1394.md</x:v>
      </x:c>
      <x:c r="K1399" t="str">
        <x:v>Source min 24,18 m ; max 85,65 m ; modèle 25 × 18 m ; niveaux 0. Détails dans catalogue-existant.json.</x:v>
      </x:c>
    </x:row>
    <x:row r="1400">
      <x:c r="A1400" t="str">
        <x:v>DW-1395</x:v>
      </x:c>
      <x:c r="B1400" t="str">
        <x:v>DW-0198</x:v>
      </x:c>
      <x:c r="C1400" t="str">
        <x:v>Composition héritée</x:v>
      </x:c>
      <x:c r="D1400" t="str">
        <x:v>Secours et protection civile</x:v>
      </x:c>
      <x:c r="E1400" t="str">
        <x:v>Poste de secours de montagne — Ville moyenne / relais temporaire envisagé</x:v>
      </x:c>
      <x:c r="F1400" t="n">
        <x:v>8</x:v>
      </x:c>
      <x:c r="G1400" t="n">
        <x:v>4</x:v>
      </x:c>
      <x:c r="H1400" t="n">
        <x:v>12</x:v>
      </x:c>
      <x:c r="I1400" t="str">
        <x:v>À qualifier par lieu</x:v>
      </x:c>
      <x:c r="J1400" t="str">
        <x:v>https://github.com/darknigthmare/deadwall-last-enclosure/blob/e28f46223e73105ab2c5d83f3d50b99b58ef53e6/codex-3000/compositions/Secours et protection civile/DW-1395.md</x:v>
      </x:c>
      <x:c r="K1400" t="str">
        <x:v>Source min 24,18 m ; max 85,65 m ; modèle 25 × 18 m ; niveaux 0. Détails dans catalogue-existant.json.</x:v>
      </x:c>
    </x:row>
    <x:row r="1401">
      <x:c r="A1401" t="str">
        <x:v>DW-1396</x:v>
      </x:c>
      <x:c r="B1401" t="str">
        <x:v>DW-0198</x:v>
      </x:c>
      <x:c r="C1401" t="str">
        <x:v>Composition héritée</x:v>
      </x:c>
      <x:c r="D1401" t="str">
        <x:v>Secours et protection civile</x:v>
      </x:c>
      <x:c r="E1401" t="str">
        <x:v>Poste de secours de montagne — Zone industrielle / évacuation interrompue</x:v>
      </x:c>
      <x:c r="F1401" t="n">
        <x:v>8</x:v>
      </x:c>
      <x:c r="G1401" t="n">
        <x:v>4</x:v>
      </x:c>
      <x:c r="H1401" t="n">
        <x:v>12</x:v>
      </x:c>
      <x:c r="I1401" t="str">
        <x:v>À qualifier par lieu</x:v>
      </x:c>
      <x:c r="J1401" t="str">
        <x:v>https://github.com/darknigthmare/deadwall-last-enclosure/blob/e28f46223e73105ab2c5d83f3d50b99b58ef53e6/codex-3000/compositions/Secours et protection civile/DW-1396.md</x:v>
      </x:c>
      <x:c r="K1401" t="str">
        <x:v>Source min 24,18 m ; max 85,65 m ; modèle 25 × 18 m ; niveaux 0. Détails dans catalogue-existant.json.</x:v>
      </x:c>
    </x:row>
    <x:row r="1402">
      <x:c r="A1402" t="str">
        <x:v>DW-1397</x:v>
      </x:c>
      <x:c r="B1402" t="str">
        <x:v>DW-0199</x:v>
      </x:c>
      <x:c r="C1402" t="str">
        <x:v>Composition héritée</x:v>
      </x:c>
      <x:c r="D1402" t="str">
        <x:v>Secours et protection civile</x:v>
      </x:c>
      <x:c r="E1402" t="str">
        <x:v>Plateforme de secours aérien — Station-service et aire routière / réseau principal coupé</x:v>
      </x:c>
      <x:c r="F1402" t="n">
        <x:v>8</x:v>
      </x:c>
      <x:c r="G1402" t="n">
        <x:v>4</x:v>
      </x:c>
      <x:c r="H1402" t="n">
        <x:v>12</x:v>
      </x:c>
      <x:c r="I1402" t="str">
        <x:v>À qualifier par lieu</x:v>
      </x:c>
      <x:c r="J1402" t="str">
        <x:v>https://github.com/darknigthmare/deadwall-last-enclosure/blob/e28f46223e73105ab2c5d83f3d50b99b58ef53e6/codex-3000/compositions/Secours et protection civile/DW-1397.md</x:v>
      </x:c>
      <x:c r="K1402" t="str">
        <x:v>Source min 24,18 m ; max 85,65 m ; modèle 25 × 18 m ; niveaux 0. Détails dans catalogue-existant.json.</x:v>
      </x:c>
    </x:row>
    <x:row r="1403">
      <x:c r="A1403" t="str">
        <x:v>DW-1398</x:v>
      </x:c>
      <x:c r="B1403" t="str">
        <x:v>DW-0199</x:v>
      </x:c>
      <x:c r="C1403" t="str">
        <x:v>Composition héritée</x:v>
      </x:c>
      <x:c r="D1403" t="str">
        <x:v>Secours et protection civile</x:v>
      </x:c>
      <x:c r="E1403" t="str">
        <x:v>Plateforme de secours aérien — Centre d’évacuation abandonné / arrêt de maintenance</x:v>
      </x:c>
      <x:c r="F1403" t="n">
        <x:v>8</x:v>
      </x:c>
      <x:c r="G1403" t="n">
        <x:v>4</x:v>
      </x:c>
      <x:c r="H1403" t="n">
        <x:v>12</x:v>
      </x:c>
      <x:c r="I1403" t="str">
        <x:v>À qualifier par lieu</x:v>
      </x:c>
      <x:c r="J1403" t="str">
        <x:v>https://github.com/darknigthmare/deadwall-last-enclosure/blob/e28f46223e73105ab2c5d83f3d50b99b58ef53e6/codex-3000/compositions/Secours et protection civile/DW-1398.md</x:v>
      </x:c>
      <x:c r="K1403" t="str">
        <x:v>Source min 24,18 m ; max 85,65 m ; modèle 25 × 18 m ; niveaux 0. Détails dans catalogue-existant.json.</x:v>
      </x:c>
    </x:row>
    <x:row r="1404">
      <x:c r="A1404" t="str">
        <x:v>DW-1399</x:v>
      </x:c>
      <x:c r="B1404" t="str">
        <x:v>DW-0200</x:v>
      </x:c>
      <x:c r="C1404" t="str">
        <x:v>Composition héritée</x:v>
      </x:c>
      <x:c r="D1404" t="str">
        <x:v>Secours et protection civile</x:v>
      </x:c>
      <x:c r="E1404" t="str">
        <x:v>Point de distribution d'eau d'urgence — Zone industrielle / repli organisé interrompu</x:v>
      </x:c>
      <x:c r="F1404" t="n">
        <x:v>8</x:v>
      </x:c>
      <x:c r="G1404" t="n">
        <x:v>4</x:v>
      </x:c>
      <x:c r="H1404" t="n">
        <x:v>12</x:v>
      </x:c>
      <x:c r="I1404" t="str">
        <x:v>À qualifier par lieu</x:v>
      </x:c>
      <x:c r="J1404" t="str">
        <x:v>https://github.com/darknigthmare/deadwall-last-enclosure/blob/e28f46223e73105ab2c5d83f3d50b99b58ef53e6/codex-3000/compositions/Secours et protection civile/DW-1399.md</x:v>
      </x:c>
      <x:c r="K1404" t="str">
        <x:v>Source min 24,18 m ; max 85,65 m ; modèle 25 × 18 m ; niveaux 0. Détails dans catalogue-existant.json.</x:v>
      </x:c>
    </x:row>
    <x:row r="1405">
      <x:c r="A1405" t="str">
        <x:v>DW-1400</x:v>
      </x:c>
      <x:c r="B1405" t="str">
        <x:v>DW-0200</x:v>
      </x:c>
      <x:c r="C1405" t="str">
        <x:v>Composition héritée</x:v>
      </x:c>
      <x:c r="D1405" t="str">
        <x:v>Secours et protection civile</x:v>
      </x:c>
      <x:c r="E1405" t="str">
        <x:v>Point de distribution d'eau d'urgence — Ville moyenne / première récupération passée</x:v>
      </x:c>
      <x:c r="F1405" t="n">
        <x:v>8</x:v>
      </x:c>
      <x:c r="G1405" t="n">
        <x:v>4</x:v>
      </x:c>
      <x:c r="H1405" t="n">
        <x:v>12</x:v>
      </x:c>
      <x:c r="I1405" t="str">
        <x:v>À qualifier par lieu</x:v>
      </x:c>
      <x:c r="J1405" t="str">
        <x:v>https://github.com/darknigthmare/deadwall-last-enclosure/blob/e28f46223e73105ab2c5d83f3d50b99b58ef53e6/codex-3000/compositions/Secours et protection civile/DW-1400.md</x:v>
      </x:c>
      <x:c r="K1405" t="str">
        <x:v>Source min 24,18 m ; max 85,65 m ; modèle 25 × 18 m ; niveaux 0. Détails dans catalogue-existant.json.</x:v>
      </x:c>
    </x:row>
    <x:row r="1406">
      <x:c r="A1406" t="str">
        <x:v>DW-1401</x:v>
      </x:c>
      <x:c r="B1406" t="str">
        <x:v>DW-0201</x:v>
      </x:c>
      <x:c r="C1406" t="str">
        <x:v>Composition héritée</x:v>
      </x:c>
      <x:c r="D1406" t="str">
        <x:v>Abris et souterrains</x:v>
      </x:c>
      <x:c r="E1406" t="str">
        <x:v>Abri communal souterrain — Ville moyenne / évacuation interrompue</x:v>
      </x:c>
      <x:c r="F1406" t="n">
        <x:v>8</x:v>
      </x:c>
      <x:c r="G1406" t="n">
        <x:v>5</x:v>
      </x:c>
      <x:c r="H1406" t="n">
        <x:v>13</x:v>
      </x:c>
      <x:c r="I1406" t="str">
        <x:v>À qualifier par lieu</x:v>
      </x:c>
      <x:c r="J1406" t="str">
        <x:v>https://github.com/darknigthmare/deadwall-last-enclosure/blob/e28f46223e73105ab2c5d83f3d50b99b58ef53e6/codex-3000/compositions/Abris et souterrains/DW-1401.md</x:v>
      </x:c>
      <x:c r="K1406" t="str">
        <x:v>Source min 16,12 m ; max 95,70 m ; modèle 26 × 22 m ; niveaux -1, 0. Détails dans catalogue-existant.json.</x:v>
      </x:c>
    </x:row>
    <x:row r="1407">
      <x:c r="A1407" t="str">
        <x:v>DW-1402</x:v>
      </x:c>
      <x:c r="B1407" t="str">
        <x:v>DW-0201</x:v>
      </x:c>
      <x:c r="C1407" t="str">
        <x:v>Composition héritée</x:v>
      </x:c>
      <x:c r="D1407" t="str">
        <x:v>Abris et souterrains</x:v>
      </x:c>
      <x:c r="E1407" t="str">
        <x:v>Abri communal souterrain — Montagne et col / service déplacé à l’arrière</x:v>
      </x:c>
      <x:c r="F1407" t="n">
        <x:v>10</x:v>
      </x:c>
      <x:c r="G1407" t="n">
        <x:v>5</x:v>
      </x:c>
      <x:c r="H1407" t="n">
        <x:v>13</x:v>
      </x:c>
      <x:c r="I1407" t="str">
        <x:v>À qualifier par lieu</x:v>
      </x:c>
      <x:c r="J1407" t="str">
        <x:v>https://github.com/darknigthmare/deadwall-last-enclosure/blob/e28f46223e73105ab2c5d83f3d50b99b58ef53e6/codex-3000/compositions/Abris et souterrains/DW-1402.md</x:v>
      </x:c>
      <x:c r="K1407" t="str">
        <x:v>Source min 16,12 m ; max 95,70 m ; modèle 26 × 22 m ; niveaux -1, 0. Détails dans catalogue-existant.json.</x:v>
      </x:c>
    </x:row>
    <x:row r="1408">
      <x:c r="A1408" t="str">
        <x:v>DW-1403</x:v>
      </x:c>
      <x:c r="B1408" t="str">
        <x:v>DW-0202</x:v>
      </x:c>
      <x:c r="C1408" t="str">
        <x:v>Composition héritée</x:v>
      </x:c>
      <x:c r="D1408" t="str">
        <x:v>Abris et souterrains</x:v>
      </x:c>
      <x:c r="E1408" t="str">
        <x:v>Abri domestique — Grand camp allié / arrêt de maintenance</x:v>
      </x:c>
      <x:c r="F1408" t="n">
        <x:v>10</x:v>
      </x:c>
      <x:c r="G1408" t="n">
        <x:v>4</x:v>
      </x:c>
      <x:c r="H1408" t="n">
        <x:v>10</x:v>
      </x:c>
      <x:c r="I1408" t="str">
        <x:v>À qualifier par lieu</x:v>
      </x:c>
      <x:c r="J1408" t="str">
        <x:v>https://github.com/darknigthmare/deadwall-last-enclosure/blob/e28f46223e73105ab2c5d83f3d50b99b58ef53e6/codex-3000/compositions/Abris et souterrains/DW-1403.md</x:v>
      </x:c>
      <x:c r="K1408" t="str">
        <x:v>Source min 16,12 m ; max 95,70 m ; modèle 25 × 18 m ; niveaux 0. Détails dans catalogue-existant.json.</x:v>
      </x:c>
    </x:row>
    <x:row r="1409">
      <x:c r="A1409" t="str">
        <x:v>DW-1404</x:v>
      </x:c>
      <x:c r="B1409" t="str">
        <x:v>DW-0202</x:v>
      </x:c>
      <x:c r="C1409" t="str">
        <x:v>Composition héritée</x:v>
      </x:c>
      <x:c r="D1409" t="str">
        <x:v>Abris et souterrains</x:v>
      </x:c>
      <x:c r="E1409" t="str">
        <x:v>Abri domestique — Zone industrielle / reprise progressive de la végétation</x:v>
      </x:c>
      <x:c r="F1409" t="n">
        <x:v>8</x:v>
      </x:c>
      <x:c r="G1409" t="n">
        <x:v>4</x:v>
      </x:c>
      <x:c r="H1409" t="n">
        <x:v>10</x:v>
      </x:c>
      <x:c r="I1409" t="str">
        <x:v>À qualifier par lieu</x:v>
      </x:c>
      <x:c r="J1409" t="str">
        <x:v>https://github.com/darknigthmare/deadwall-last-enclosure/blob/e28f46223e73105ab2c5d83f3d50b99b58ef53e6/codex-3000/compositions/Abris et souterrains/DW-1404.md</x:v>
      </x:c>
      <x:c r="K1409" t="str">
        <x:v>Source min 16,12 m ; max 95,70 m ; modèle 25 × 18 m ; niveaux 0. Détails dans catalogue-existant.json.</x:v>
      </x:c>
    </x:row>
    <x:row r="1410">
      <x:c r="A1410" t="str">
        <x:v>DW-1405</x:v>
      </x:c>
      <x:c r="B1410" t="str">
        <x:v>DW-0203</x:v>
      </x:c>
      <x:c r="C1410" t="str">
        <x:v>Composition héritée</x:v>
      </x:c>
      <x:c r="D1410" t="str">
        <x:v>Abris et souterrains</x:v>
      </x:c>
      <x:c r="E1410" t="str">
        <x:v>Bunker de commandement fictif — Montagne et col / première récupération passée</x:v>
      </x:c>
      <x:c r="F1410" t="n">
        <x:v>10</x:v>
      </x:c>
      <x:c r="G1410" t="n">
        <x:v>5</x:v>
      </x:c>
      <x:c r="H1410" t="n">
        <x:v>15</x:v>
      </x:c>
      <x:c r="I1410" t="str">
        <x:v>À qualifier par lieu</x:v>
      </x:c>
      <x:c r="J1410" t="str">
        <x:v>https://github.com/darknigthmare/deadwall-last-enclosure/blob/e28f46223e73105ab2c5d83f3d50b99b58ef53e6/codex-3000/compositions/Abris et souterrains/DW-1405.md</x:v>
      </x:c>
      <x:c r="K1410" t="str">
        <x:v>Source min 16,12 m ; max 95,70 m ; modèle 26 × 22 m ; niveaux -1, 0. Détails dans catalogue-existant.json.</x:v>
      </x:c>
    </x:row>
    <x:row r="1411">
      <x:c r="A1411" t="str">
        <x:v>DW-1406</x:v>
      </x:c>
      <x:c r="B1411" t="str">
        <x:v>DW-0203</x:v>
      </x:c>
      <x:c r="C1411" t="str">
        <x:v>Composition héritée</x:v>
      </x:c>
      <x:c r="D1411" t="str">
        <x:v>Abris et souterrains</x:v>
      </x:c>
      <x:c r="E1411" t="str">
        <x:v>Bunker de commandement fictif — Ville moyenne / relais temporaire envisagé</x:v>
      </x:c>
      <x:c r="F1411" t="n">
        <x:v>8</x:v>
      </x:c>
      <x:c r="G1411" t="n">
        <x:v>5</x:v>
      </x:c>
      <x:c r="H1411" t="n">
        <x:v>15</x:v>
      </x:c>
      <x:c r="I1411" t="str">
        <x:v>À qualifier par lieu</x:v>
      </x:c>
      <x:c r="J1411" t="str">
        <x:v>https://github.com/darknigthmare/deadwall-last-enclosure/blob/e28f46223e73105ab2c5d83f3d50b99b58ef53e6/codex-3000/compositions/Abris et souterrains/DW-1406.md</x:v>
      </x:c>
      <x:c r="K1411" t="str">
        <x:v>Source min 16,12 m ; max 95,70 m ; modèle 26 × 22 m ; niveaux -1, 0. Détails dans catalogue-existant.json.</x:v>
      </x:c>
    </x:row>
    <x:row r="1412">
      <x:c r="A1412" t="str">
        <x:v>DW-1407</x:v>
      </x:c>
      <x:c r="B1412" t="str">
        <x:v>DW-0204</x:v>
      </x:c>
      <x:c r="C1412" t="str">
        <x:v>Composition héritée</x:v>
      </x:c>
      <x:c r="D1412" t="str">
        <x:v>Abris et souterrains</x:v>
      </x:c>
      <x:c r="E1412" t="str">
        <x:v>Dépôt enterré fictif — Zone industrielle / service déplacé à l’arrière</x:v>
      </x:c>
      <x:c r="F1412" t="n">
        <x:v>8</x:v>
      </x:c>
      <x:c r="G1412" t="n">
        <x:v>4</x:v>
      </x:c>
      <x:c r="H1412" t="n">
        <x:v>10</x:v>
      </x:c>
      <x:c r="I1412" t="str">
        <x:v>À qualifier par lieu</x:v>
      </x:c>
      <x:c r="J1412" t="str">
        <x:v>https://github.com/darknigthmare/deadwall-last-enclosure/blob/e28f46223e73105ab2c5d83f3d50b99b58ef53e6/codex-3000/compositions/Abris et souterrains/DW-1407.md</x:v>
      </x:c>
      <x:c r="K1412" t="str">
        <x:v>Source min 16,12 m ; max 95,70 m ; modèle 25 × 18 m ; niveaux -1, 0. Détails dans catalogue-existant.json.</x:v>
      </x:c>
    </x:row>
    <x:row r="1413">
      <x:c r="A1413" t="str">
        <x:v>DW-1408</x:v>
      </x:c>
      <x:c r="B1413" t="str">
        <x:v>DW-0204</x:v>
      </x:c>
      <x:c r="C1413" t="str">
        <x:v>Composition héritée</x:v>
      </x:c>
      <x:c r="D1413" t="str">
        <x:v>Abris et souterrains</x:v>
      </x:c>
      <x:c r="E1413" t="str">
        <x:v>Dépôt enterré fictif — Grand camp allié / réseau principal coupé</x:v>
      </x:c>
      <x:c r="F1413" t="n">
        <x:v>10</x:v>
      </x:c>
      <x:c r="G1413" t="n">
        <x:v>4</x:v>
      </x:c>
      <x:c r="H1413" t="n">
        <x:v>10</x:v>
      </x:c>
      <x:c r="I1413" t="str">
        <x:v>À qualifier par lieu</x:v>
      </x:c>
      <x:c r="J1413" t="str">
        <x:v>https://github.com/darknigthmare/deadwall-last-enclosure/blob/e28f46223e73105ab2c5d83f3d50b99b58ef53e6/codex-3000/compositions/Abris et souterrains/DW-1408.md</x:v>
      </x:c>
      <x:c r="K1413" t="str">
        <x:v>Source min 16,12 m ; max 95,70 m ; modèle 25 × 18 m ; niveaux -1, 0. Détails dans catalogue-existant.json.</x:v>
      </x:c>
    </x:row>
    <x:row r="1414">
      <x:c r="A1414" t="str">
        <x:v>DW-1409</x:v>
      </x:c>
      <x:c r="B1414" t="str">
        <x:v>DW-0205</x:v>
      </x:c>
      <x:c r="C1414" t="str">
        <x:v>Composition héritée</x:v>
      </x:c>
      <x:c r="D1414" t="str">
        <x:v>Abris et souterrains</x:v>
      </x:c>
      <x:c r="E1414" t="str">
        <x:v>Abri ferroviaire ancien — Ville moyenne / reprise progressive de la végétation</x:v>
      </x:c>
      <x:c r="F1414" t="n">
        <x:v>8</x:v>
      </x:c>
      <x:c r="G1414" t="n">
        <x:v>4</x:v>
      </x:c>
      <x:c r="H1414" t="n">
        <x:v>8</x:v>
      </x:c>
      <x:c r="I1414" t="str">
        <x:v>À qualifier par lieu</x:v>
      </x:c>
      <x:c r="J1414" t="str">
        <x:v>https://github.com/darknigthmare/deadwall-last-enclosure/blob/e28f46223e73105ab2c5d83f3d50b99b58ef53e6/codex-3000/compositions/Abris et souterrains/DW-1409.md</x:v>
      </x:c>
      <x:c r="K1414" t="str">
        <x:v>Source min 16,12 m ; max 95,70 m ; modèle 25 × 18 m ; niveaux 0. Détails dans catalogue-existant.json.</x:v>
      </x:c>
    </x:row>
    <x:row r="1415">
      <x:c r="A1415" t="str">
        <x:v>DW-1410</x:v>
      </x:c>
      <x:c r="B1415" t="str">
        <x:v>DW-0205</x:v>
      </x:c>
      <x:c r="C1415" t="str">
        <x:v>Composition héritée</x:v>
      </x:c>
      <x:c r="D1415" t="str">
        <x:v>Abris et souterrains</x:v>
      </x:c>
      <x:c r="E1415" t="str">
        <x:v>Abri ferroviaire ancien — Montagne et col / repli organisé interrompu</x:v>
      </x:c>
      <x:c r="F1415" t="n">
        <x:v>10</x:v>
      </x:c>
      <x:c r="G1415" t="n">
        <x:v>4</x:v>
      </x:c>
      <x:c r="H1415" t="n">
        <x:v>8</x:v>
      </x:c>
      <x:c r="I1415" t="str">
        <x:v>À qualifier par lieu</x:v>
      </x:c>
      <x:c r="J1415" t="str">
        <x:v>https://github.com/darknigthmare/deadwall-last-enclosure/blob/e28f46223e73105ab2c5d83f3d50b99b58ef53e6/codex-3000/compositions/Abris et souterrains/DW-1410.md</x:v>
      </x:c>
      <x:c r="K1415" t="str">
        <x:v>Source min 16,12 m ; max 95,70 m ; modèle 25 × 18 m ; niveaux 0. Détails dans catalogue-existant.json.</x:v>
      </x:c>
    </x:row>
    <x:row r="1416">
      <x:c r="A1416" t="str">
        <x:v>DW-1411</x:v>
      </x:c>
      <x:c r="B1416" t="str">
        <x:v>DW-0206</x:v>
      </x:c>
      <x:c r="C1416" t="str">
        <x:v>Composition héritée</x:v>
      </x:c>
      <x:c r="D1416" t="str">
        <x:v>Abris et souterrains</x:v>
      </x:c>
      <x:c r="E1416" t="str">
        <x:v>Ancien fort — Grand camp allié / relais temporaire envisagé</x:v>
      </x:c>
      <x:c r="F1416" t="n">
        <x:v>10</x:v>
      </x:c>
      <x:c r="G1416" t="n">
        <x:v>4</x:v>
      </x:c>
      <x:c r="H1416" t="n">
        <x:v>10</x:v>
      </x:c>
      <x:c r="I1416" t="str">
        <x:v>À qualifier par lieu</x:v>
      </x:c>
      <x:c r="J1416" t="str">
        <x:v>https://github.com/darknigthmare/deadwall-last-enclosure/blob/e28f46223e73105ab2c5d83f3d50b99b58ef53e6/codex-3000/compositions/Abris et souterrains/DW-1411.md</x:v>
      </x:c>
      <x:c r="K1416" t="str">
        <x:v>Source min 16,12 m ; max 95,70 m ; modèle 25 × 18 m ; niveaux 0. Détails dans catalogue-existant.json.</x:v>
      </x:c>
    </x:row>
    <x:row r="1417">
      <x:c r="A1417" t="str">
        <x:v>DW-1412</x:v>
      </x:c>
      <x:c r="B1417" t="str">
        <x:v>DW-0206</x:v>
      </x:c>
      <x:c r="C1417" t="str">
        <x:v>Composition héritée</x:v>
      </x:c>
      <x:c r="D1417" t="str">
        <x:v>Abris et souterrains</x:v>
      </x:c>
      <x:c r="E1417" t="str">
        <x:v>Ancien fort — Zone industrielle / évacuation interrompue</x:v>
      </x:c>
      <x:c r="F1417" t="n">
        <x:v>8</x:v>
      </x:c>
      <x:c r="G1417" t="n">
        <x:v>4</x:v>
      </x:c>
      <x:c r="H1417" t="n">
        <x:v>10</x:v>
      </x:c>
      <x:c r="I1417" t="str">
        <x:v>À qualifier par lieu</x:v>
      </x:c>
      <x:c r="J1417" t="str">
        <x:v>https://github.com/darknigthmare/deadwall-last-enclosure/blob/e28f46223e73105ab2c5d83f3d50b99b58ef53e6/codex-3000/compositions/Abris et souterrains/DW-1412.md</x:v>
      </x:c>
      <x:c r="K1417" t="str">
        <x:v>Source min 16,12 m ; max 95,70 m ; modèle 25 × 18 m ; niveaux 0. Détails dans catalogue-existant.json.</x:v>
      </x:c>
    </x:row>
    <x:row r="1418">
      <x:c r="A1418" t="str">
        <x:v>DW-1413</x:v>
      </x:c>
      <x:c r="B1418" t="str">
        <x:v>DW-0207</x:v>
      </x:c>
      <x:c r="C1418" t="str">
        <x:v>Composition héritée</x:v>
      </x:c>
      <x:c r="D1418" t="str">
        <x:v>Abris et souterrains</x:v>
      </x:c>
      <x:c r="E1418" t="str">
        <x:v>Batterie côtière désaffectée — Montagne et col / réseau principal coupé</x:v>
      </x:c>
      <x:c r="F1418" t="n">
        <x:v>10</x:v>
      </x:c>
      <x:c r="G1418" t="n">
        <x:v>4</x:v>
      </x:c>
      <x:c r="H1418" t="n">
        <x:v>10</x:v>
      </x:c>
      <x:c r="I1418" t="str">
        <x:v>À qualifier par lieu</x:v>
      </x:c>
      <x:c r="J1418" t="str">
        <x:v>https://github.com/darknigthmare/deadwall-last-enclosure/blob/e28f46223e73105ab2c5d83f3d50b99b58ef53e6/codex-3000/compositions/Abris et souterrains/DW-1413.md</x:v>
      </x:c>
      <x:c r="K1418" t="str">
        <x:v>Source min 16,12 m ; max 95,70 m ; modèle 25 × 18 m ; niveaux 0. Détails dans catalogue-existant.json.</x:v>
      </x:c>
    </x:row>
    <x:row r="1419">
      <x:c r="A1419" t="str">
        <x:v>DW-1414</x:v>
      </x:c>
      <x:c r="B1419" t="str">
        <x:v>DW-0207</x:v>
      </x:c>
      <x:c r="C1419" t="str">
        <x:v>Composition héritée</x:v>
      </x:c>
      <x:c r="D1419" t="str">
        <x:v>Abris et souterrains</x:v>
      </x:c>
      <x:c r="E1419" t="str">
        <x:v>Batterie côtière désaffectée — Ville moyenne / arrêt de maintenance</x:v>
      </x:c>
      <x:c r="F1419" t="n">
        <x:v>8</x:v>
      </x:c>
      <x:c r="G1419" t="n">
        <x:v>4</x:v>
      </x:c>
      <x:c r="H1419" t="n">
        <x:v>10</x:v>
      </x:c>
      <x:c r="I1419" t="str">
        <x:v>À qualifier par lieu</x:v>
      </x:c>
      <x:c r="J1419" t="str">
        <x:v>https://github.com/darknigthmare/deadwall-last-enclosure/blob/e28f46223e73105ab2c5d83f3d50b99b58ef53e6/codex-3000/compositions/Abris et souterrains/DW-1414.md</x:v>
      </x:c>
      <x:c r="K1419" t="str">
        <x:v>Source min 16,12 m ; max 95,70 m ; modèle 25 × 18 m ; niveaux 0. Détails dans catalogue-existant.json.</x:v>
      </x:c>
    </x:row>
    <x:row r="1420">
      <x:c r="A1420" t="str">
        <x:v>DW-1415</x:v>
      </x:c>
      <x:c r="B1420" t="str">
        <x:v>DW-0208</x:v>
      </x:c>
      <x:c r="C1420" t="str">
        <x:v>Composition héritée</x:v>
      </x:c>
      <x:c r="D1420" t="str">
        <x:v>Abris et souterrains</x:v>
      </x:c>
      <x:c r="E1420" t="str">
        <x:v>Blockhaus de carrefour — Zone industrielle / repli organisé interrompu</x:v>
      </x:c>
      <x:c r="F1420" t="n">
        <x:v>8</x:v>
      </x:c>
      <x:c r="G1420" t="n">
        <x:v>3</x:v>
      </x:c>
      <x:c r="H1420" t="n">
        <x:v>9</x:v>
      </x:c>
      <x:c r="I1420" t="str">
        <x:v>À qualifier par lieu</x:v>
      </x:c>
      <x:c r="J1420" t="str">
        <x:v>https://github.com/darknigthmare/deadwall-last-enclosure/blob/e28f46223e73105ab2c5d83f3d50b99b58ef53e6/codex-3000/compositions/Abris et souterrains/DW-1415.md</x:v>
      </x:c>
      <x:c r="K1420" t="str">
        <x:v>Source min 16,12 m ; max 95,70 m ; modèle 24 × 18 m ; niveaux 0. Détails dans catalogue-existant.json.</x:v>
      </x:c>
    </x:row>
    <x:row r="1421">
      <x:c r="A1421" t="str">
        <x:v>DW-1416</x:v>
      </x:c>
      <x:c r="B1421" t="str">
        <x:v>DW-0208</x:v>
      </x:c>
      <x:c r="C1421" t="str">
        <x:v>Composition héritée</x:v>
      </x:c>
      <x:c r="D1421" t="str">
        <x:v>Abris et souterrains</x:v>
      </x:c>
      <x:c r="E1421" t="str">
        <x:v>Blockhaus de carrefour — Grand camp allié / première récupération passée</x:v>
      </x:c>
      <x:c r="F1421" t="n">
        <x:v>10</x:v>
      </x:c>
      <x:c r="G1421" t="n">
        <x:v>3</x:v>
      </x:c>
      <x:c r="H1421" t="n">
        <x:v>9</x:v>
      </x:c>
      <x:c r="I1421" t="str">
        <x:v>À qualifier par lieu</x:v>
      </x:c>
      <x:c r="J1421" t="str">
        <x:v>https://github.com/darknigthmare/deadwall-last-enclosure/blob/e28f46223e73105ab2c5d83f3d50b99b58ef53e6/codex-3000/compositions/Abris et souterrains/DW-1416.md</x:v>
      </x:c>
      <x:c r="K1421" t="str">
        <x:v>Source min 16,12 m ; max 95,70 m ; modèle 24 × 18 m ; niveaux 0. Détails dans catalogue-existant.json.</x:v>
      </x:c>
    </x:row>
    <x:row r="1422">
      <x:c r="A1422" t="str">
        <x:v>DW-1417</x:v>
      </x:c>
      <x:c r="B1422" t="str">
        <x:v>DW-0209</x:v>
      </x:c>
      <x:c r="C1422" t="str">
        <x:v>Composition héritée</x:v>
      </x:c>
      <x:c r="D1422" t="str">
        <x:v>Abris et souterrains</x:v>
      </x:c>
      <x:c r="E1422" t="str">
        <x:v>Abri de mineurs — Ville moyenne / évacuation interrompue</x:v>
      </x:c>
      <x:c r="F1422" t="n">
        <x:v>8</x:v>
      </x:c>
      <x:c r="G1422" t="n">
        <x:v>4</x:v>
      </x:c>
      <x:c r="H1422" t="n">
        <x:v>12</x:v>
      </x:c>
      <x:c r="I1422" t="str">
        <x:v>À qualifier par lieu</x:v>
      </x:c>
      <x:c r="J1422" t="str">
        <x:v>https://github.com/darknigthmare/deadwall-last-enclosure/blob/e28f46223e73105ab2c5d83f3d50b99b58ef53e6/codex-3000/compositions/Abris et souterrains/DW-1417.md</x:v>
      </x:c>
      <x:c r="K1422" t="str">
        <x:v>Source min 16,12 m ; max 95,70 m ; modèle 25 × 18 m ; niveaux -1, 0. Détails dans catalogue-existant.json.</x:v>
      </x:c>
    </x:row>
    <x:row r="1423">
      <x:c r="A1423" t="str">
        <x:v>DW-1418</x:v>
      </x:c>
      <x:c r="B1423" t="str">
        <x:v>DW-0209</x:v>
      </x:c>
      <x:c r="C1423" t="str">
        <x:v>Composition héritée</x:v>
      </x:c>
      <x:c r="D1423" t="str">
        <x:v>Abris et souterrains</x:v>
      </x:c>
      <x:c r="E1423" t="str">
        <x:v>Abri de mineurs — Montagne et col / service déplacé à l’arrière</x:v>
      </x:c>
      <x:c r="F1423" t="n">
        <x:v>10</x:v>
      </x:c>
      <x:c r="G1423" t="n">
        <x:v>4</x:v>
      </x:c>
      <x:c r="H1423" t="n">
        <x:v>12</x:v>
      </x:c>
      <x:c r="I1423" t="str">
        <x:v>À qualifier par lieu</x:v>
      </x:c>
      <x:c r="J1423" t="str">
        <x:v>https://github.com/darknigthmare/deadwall-last-enclosure/blob/e28f46223e73105ab2c5d83f3d50b99b58ef53e6/codex-3000/compositions/Abris et souterrains/DW-1418.md</x:v>
      </x:c>
      <x:c r="K1423" t="str">
        <x:v>Source min 16,12 m ; max 95,70 m ; modèle 25 × 18 m ; niveaux -1, 0. Détails dans catalogue-existant.json.</x:v>
      </x:c>
    </x:row>
    <x:row r="1424">
      <x:c r="A1424" t="str">
        <x:v>DW-1419</x:v>
      </x:c>
      <x:c r="B1424" t="str">
        <x:v>DW-0210</x:v>
      </x:c>
      <x:c r="C1424" t="str">
        <x:v>Composition héritée</x:v>
      </x:c>
      <x:c r="D1424" t="str">
        <x:v>Abris et souterrains</x:v>
      </x:c>
      <x:c r="E1424" t="str">
        <x:v>Refuge de tunnel — Grand camp allié / arrêt de maintenance</x:v>
      </x:c>
      <x:c r="F1424" t="n">
        <x:v>10</x:v>
      </x:c>
      <x:c r="G1424" t="n">
        <x:v>3</x:v>
      </x:c>
      <x:c r="H1424" t="n">
        <x:v>9</x:v>
      </x:c>
      <x:c r="I1424" t="str">
        <x:v>À qualifier par lieu</x:v>
      </x:c>
      <x:c r="J1424" t="str">
        <x:v>https://github.com/darknigthmare/deadwall-last-enclosure/blob/e28f46223e73105ab2c5d83f3d50b99b58ef53e6/codex-3000/compositions/Abris et souterrains/DW-1419.md</x:v>
      </x:c>
      <x:c r="K1424" t="str">
        <x:v>Source min 16,12 m ; max 95,70 m ; modèle 24 × 18 m ; niveaux 0. Détails dans catalogue-existant.json.</x:v>
      </x:c>
    </x:row>
    <x:row r="1425">
      <x:c r="A1425" t="str">
        <x:v>DW-1420</x:v>
      </x:c>
      <x:c r="B1425" t="str">
        <x:v>DW-0210</x:v>
      </x:c>
      <x:c r="C1425" t="str">
        <x:v>Composition héritée</x:v>
      </x:c>
      <x:c r="D1425" t="str">
        <x:v>Abris et souterrains</x:v>
      </x:c>
      <x:c r="E1425" t="str">
        <x:v>Refuge de tunnel — Zone industrielle / reprise progressive de la végétation</x:v>
      </x:c>
      <x:c r="F1425" t="n">
        <x:v>8</x:v>
      </x:c>
      <x:c r="G1425" t="n">
        <x:v>3</x:v>
      </x:c>
      <x:c r="H1425" t="n">
        <x:v>9</x:v>
      </x:c>
      <x:c r="I1425" t="str">
        <x:v>À qualifier par lieu</x:v>
      </x:c>
      <x:c r="J1425" t="str">
        <x:v>https://github.com/darknigthmare/deadwall-last-enclosure/blob/e28f46223e73105ab2c5d83f3d50b99b58ef53e6/codex-3000/compositions/Abris et souterrains/DW-1420.md</x:v>
      </x:c>
      <x:c r="K1425" t="str">
        <x:v>Source min 16,12 m ; max 95,70 m ; modèle 24 × 18 m ; niveaux 0. Détails dans catalogue-existant.json.</x:v>
      </x:c>
    </x:row>
    <x:row r="1426">
      <x:c r="A1426" t="str">
        <x:v>DW-1421</x:v>
      </x:c>
      <x:c r="B1426" t="str">
        <x:v>DW-0211</x:v>
      </x:c>
      <x:c r="C1426" t="str">
        <x:v>Composition héritée</x:v>
      </x:c>
      <x:c r="D1426" t="str">
        <x:v>Abris et souterrains</x:v>
      </x:c>
      <x:c r="E1426" t="str">
        <x:v>Centre radio enterré fictif — Montagne et col / première récupération passée</x:v>
      </x:c>
      <x:c r="F1426" t="n">
        <x:v>10</x:v>
      </x:c>
      <x:c r="G1426" t="n">
        <x:v>4</x:v>
      </x:c>
      <x:c r="H1426" t="n">
        <x:v>12</x:v>
      </x:c>
      <x:c r="I1426" t="str">
        <x:v>À qualifier par lieu</x:v>
      </x:c>
      <x:c r="J1426" t="str">
        <x:v>https://github.com/darknigthmare/deadwall-last-enclosure/blob/e28f46223e73105ab2c5d83f3d50b99b58ef53e6/codex-3000/compositions/Abris et souterrains/DW-1421.md</x:v>
      </x:c>
      <x:c r="K1426" t="str">
        <x:v>Source min 16,12 m ; max 95,70 m ; modèle 25 × 18 m ; niveaux -1, 0. Détails dans catalogue-existant.json.</x:v>
      </x:c>
    </x:row>
    <x:row r="1427">
      <x:c r="A1427" t="str">
        <x:v>DW-1422</x:v>
      </x:c>
      <x:c r="B1427" t="str">
        <x:v>DW-0211</x:v>
      </x:c>
      <x:c r="C1427" t="str">
        <x:v>Composition héritée</x:v>
      </x:c>
      <x:c r="D1427" t="str">
        <x:v>Abris et souterrains</x:v>
      </x:c>
      <x:c r="E1427" t="str">
        <x:v>Centre radio enterré fictif — Ville moyenne / relais temporaire envisagé</x:v>
      </x:c>
      <x:c r="F1427" t="n">
        <x:v>8</x:v>
      </x:c>
      <x:c r="G1427" t="n">
        <x:v>4</x:v>
      </x:c>
      <x:c r="H1427" t="n">
        <x:v>12</x:v>
      </x:c>
      <x:c r="I1427" t="str">
        <x:v>À qualifier par lieu</x:v>
      </x:c>
      <x:c r="J1427" t="str">
        <x:v>https://github.com/darknigthmare/deadwall-last-enclosure/blob/e28f46223e73105ab2c5d83f3d50b99b58ef53e6/codex-3000/compositions/Abris et souterrains/DW-1422.md</x:v>
      </x:c>
      <x:c r="K1427" t="str">
        <x:v>Source min 16,12 m ; max 95,70 m ; modèle 25 × 18 m ; niveaux -1, 0. Détails dans catalogue-existant.json.</x:v>
      </x:c>
    </x:row>
    <x:row r="1428">
      <x:c r="A1428" t="str">
        <x:v>DW-1423</x:v>
      </x:c>
      <x:c r="B1428" t="str">
        <x:v>DW-0212</x:v>
      </x:c>
      <x:c r="C1428" t="str">
        <x:v>Composition héritée</x:v>
      </x:c>
      <x:c r="D1428" t="str">
        <x:v>Abris et souterrains</x:v>
      </x:c>
      <x:c r="E1428" t="str">
        <x:v>Caserne isolée désaffectée — Zone industrielle / service déplacé à l’arrière</x:v>
      </x:c>
      <x:c r="F1428" t="n">
        <x:v>8</x:v>
      </x:c>
      <x:c r="G1428" t="n">
        <x:v>4</x:v>
      </x:c>
      <x:c r="H1428" t="n">
        <x:v>12</x:v>
      </x:c>
      <x:c r="I1428" t="str">
        <x:v>À qualifier par lieu</x:v>
      </x:c>
      <x:c r="J1428" t="str">
        <x:v>https://github.com/darknigthmare/deadwall-last-enclosure/blob/e28f46223e73105ab2c5d83f3d50b99b58ef53e6/codex-3000/compositions/Abris et souterrains/DW-1423.md</x:v>
      </x:c>
      <x:c r="K1428" t="str">
        <x:v>Source min 16,12 m ; max 95,70 m ; modèle 25 × 18 m ; niveaux 0. Détails dans catalogue-existant.json.</x:v>
      </x:c>
    </x:row>
    <x:row r="1429">
      <x:c r="A1429" t="str">
        <x:v>DW-1424</x:v>
      </x:c>
      <x:c r="B1429" t="str">
        <x:v>DW-0212</x:v>
      </x:c>
      <x:c r="C1429" t="str">
        <x:v>Composition héritée</x:v>
      </x:c>
      <x:c r="D1429" t="str">
        <x:v>Abris et souterrains</x:v>
      </x:c>
      <x:c r="E1429" t="str">
        <x:v>Caserne isolée désaffectée — Grand camp allié / réseau principal coupé</x:v>
      </x:c>
      <x:c r="F1429" t="n">
        <x:v>10</x:v>
      </x:c>
      <x:c r="G1429" t="n">
        <x:v>4</x:v>
      </x:c>
      <x:c r="H1429" t="n">
        <x:v>12</x:v>
      </x:c>
      <x:c r="I1429" t="str">
        <x:v>À qualifier par lieu</x:v>
      </x:c>
      <x:c r="J1429" t="str">
        <x:v>https://github.com/darknigthmare/deadwall-last-enclosure/blob/e28f46223e73105ab2c5d83f3d50b99b58ef53e6/codex-3000/compositions/Abris et souterrains/DW-1424.md</x:v>
      </x:c>
      <x:c r="K1429" t="str">
        <x:v>Source min 16,12 m ; max 95,70 m ; modèle 25 × 18 m ; niveaux 0. Détails dans catalogue-existant.json.</x:v>
      </x:c>
    </x:row>
    <x:row r="1430">
      <x:c r="A1430" t="str">
        <x:v>DW-1425</x:v>
      </x:c>
      <x:c r="B1430" t="str">
        <x:v>DW-0213</x:v>
      </x:c>
      <x:c r="C1430" t="str">
        <x:v>Composition héritée</x:v>
      </x:c>
      <x:c r="D1430" t="str">
        <x:v>Abris et souterrains</x:v>
      </x:c>
      <x:c r="E1430" t="str">
        <x:v>Camp d'entraînement abandonné — Ville moyenne / reprise progressive de la végétation</x:v>
      </x:c>
      <x:c r="F1430" t="n">
        <x:v>8</x:v>
      </x:c>
      <x:c r="G1430" t="n">
        <x:v>4</x:v>
      </x:c>
      <x:c r="H1430" t="n">
        <x:v>12</x:v>
      </x:c>
      <x:c r="I1430" t="str">
        <x:v>À qualifier par lieu</x:v>
      </x:c>
      <x:c r="J1430" t="str">
        <x:v>https://github.com/darknigthmare/deadwall-last-enclosure/blob/e28f46223e73105ab2c5d83f3d50b99b58ef53e6/codex-3000/compositions/Abris et souterrains/DW-1425.md</x:v>
      </x:c>
      <x:c r="K1430" t="str">
        <x:v>Source min 16,12 m ; max 95,70 m ; modèle 25 × 18 m ; niveaux 0. Détails dans catalogue-existant.json.</x:v>
      </x:c>
    </x:row>
    <x:row r="1431">
      <x:c r="A1431" t="str">
        <x:v>DW-1426</x:v>
      </x:c>
      <x:c r="B1431" t="str">
        <x:v>DW-0213</x:v>
      </x:c>
      <x:c r="C1431" t="str">
        <x:v>Composition héritée</x:v>
      </x:c>
      <x:c r="D1431" t="str">
        <x:v>Abris et souterrains</x:v>
      </x:c>
      <x:c r="E1431" t="str">
        <x:v>Camp d'entraînement abandonné — Montagne et col / repli organisé interrompu</x:v>
      </x:c>
      <x:c r="F1431" t="n">
        <x:v>10</x:v>
      </x:c>
      <x:c r="G1431" t="n">
        <x:v>4</x:v>
      </x:c>
      <x:c r="H1431" t="n">
        <x:v>12</x:v>
      </x:c>
      <x:c r="I1431" t="str">
        <x:v>À qualifier par lieu</x:v>
      </x:c>
      <x:c r="J1431" t="str">
        <x:v>https://github.com/darknigthmare/deadwall-last-enclosure/blob/e28f46223e73105ab2c5d83f3d50b99b58ef53e6/codex-3000/compositions/Abris et souterrains/DW-1426.md</x:v>
      </x:c>
      <x:c r="K1431" t="str">
        <x:v>Source min 16,12 m ; max 95,70 m ; modèle 25 × 18 m ; niveaux 0. Détails dans catalogue-existant.json.</x:v>
      </x:c>
    </x:row>
    <x:row r="1432">
      <x:c r="A1432" t="str">
        <x:v>DW-1427</x:v>
      </x:c>
      <x:c r="B1432" t="str">
        <x:v>DW-0214</x:v>
      </x:c>
      <x:c r="C1432" t="str">
        <x:v>Composition héritée</x:v>
      </x:c>
      <x:c r="D1432" t="str">
        <x:v>Abris et souterrains</x:v>
      </x:c>
      <x:c r="E1432" t="str">
        <x:v>Dépôt de surplus civil — Grand camp allié / relais temporaire envisagé</x:v>
      </x:c>
      <x:c r="F1432" t="n">
        <x:v>10</x:v>
      </x:c>
      <x:c r="G1432" t="n">
        <x:v>4</x:v>
      </x:c>
      <x:c r="H1432" t="n">
        <x:v>12</x:v>
      </x:c>
      <x:c r="I1432" t="str">
        <x:v>À qualifier par lieu</x:v>
      </x:c>
      <x:c r="J1432" t="str">
        <x:v>https://github.com/darknigthmare/deadwall-last-enclosure/blob/e28f46223e73105ab2c5d83f3d50b99b58ef53e6/codex-3000/compositions/Abris et souterrains/DW-1427.md</x:v>
      </x:c>
      <x:c r="K1432" t="str">
        <x:v>Source min 16,12 m ; max 95,70 m ; modèle 25 × 18 m ; niveaux 0. Détails dans catalogue-existant.json.</x:v>
      </x:c>
    </x:row>
    <x:row r="1433">
      <x:c r="A1433" t="str">
        <x:v>DW-1428</x:v>
      </x:c>
      <x:c r="B1433" t="str">
        <x:v>DW-0214</x:v>
      </x:c>
      <x:c r="C1433" t="str">
        <x:v>Composition héritée</x:v>
      </x:c>
      <x:c r="D1433" t="str">
        <x:v>Abris et souterrains</x:v>
      </x:c>
      <x:c r="E1433" t="str">
        <x:v>Dépôt de surplus civil — Zone industrielle / évacuation interrompue</x:v>
      </x:c>
      <x:c r="F1433" t="n">
        <x:v>8</x:v>
      </x:c>
      <x:c r="G1433" t="n">
        <x:v>4</x:v>
      </x:c>
      <x:c r="H1433" t="n">
        <x:v>12</x:v>
      </x:c>
      <x:c r="I1433" t="str">
        <x:v>À qualifier par lieu</x:v>
      </x:c>
      <x:c r="J1433" t="str">
        <x:v>https://github.com/darknigthmare/deadwall-last-enclosure/blob/e28f46223e73105ab2c5d83f3d50b99b58ef53e6/codex-3000/compositions/Abris et souterrains/DW-1428.md</x:v>
      </x:c>
      <x:c r="K1433" t="str">
        <x:v>Source min 16,12 m ; max 95,70 m ; modèle 25 × 18 m ; niveaux 0. Détails dans catalogue-existant.json.</x:v>
      </x:c>
    </x:row>
    <x:row r="1434">
      <x:c r="A1434" t="str">
        <x:v>DW-1429</x:v>
      </x:c>
      <x:c r="B1434" t="str">
        <x:v>DW-0215</x:v>
      </x:c>
      <x:c r="C1434" t="str">
        <x:v>Composition héritée</x:v>
      </x:c>
      <x:c r="D1434" t="str">
        <x:v>Abris et souterrains</x:v>
      </x:c>
      <x:c r="E1434" t="str">
        <x:v>Ancien poste frontière — Montagne et col / réseau principal coupé</x:v>
      </x:c>
      <x:c r="F1434" t="n">
        <x:v>10</x:v>
      </x:c>
      <x:c r="G1434" t="n">
        <x:v>4</x:v>
      </x:c>
      <x:c r="H1434" t="n">
        <x:v>12</x:v>
      </x:c>
      <x:c r="I1434" t="str">
        <x:v>À qualifier par lieu</x:v>
      </x:c>
      <x:c r="J1434" t="str">
        <x:v>https://github.com/darknigthmare/deadwall-last-enclosure/blob/e28f46223e73105ab2c5d83f3d50b99b58ef53e6/codex-3000/compositions/Abris et souterrains/DW-1429.md</x:v>
      </x:c>
      <x:c r="K1434" t="str">
        <x:v>Source min 16,12 m ; max 95,70 m ; modèle 25 × 18 m ; niveaux 0. Détails dans catalogue-existant.json.</x:v>
      </x:c>
    </x:row>
    <x:row r="1435">
      <x:c r="A1435" t="str">
        <x:v>DW-1430</x:v>
      </x:c>
      <x:c r="B1435" t="str">
        <x:v>DW-0215</x:v>
      </x:c>
      <x:c r="C1435" t="str">
        <x:v>Composition héritée</x:v>
      </x:c>
      <x:c r="D1435" t="str">
        <x:v>Abris et souterrains</x:v>
      </x:c>
      <x:c r="E1435" t="str">
        <x:v>Ancien poste frontière — Ville moyenne / arrêt de maintenance</x:v>
      </x:c>
      <x:c r="F1435" t="n">
        <x:v>8</x:v>
      </x:c>
      <x:c r="G1435" t="n">
        <x:v>4</x:v>
      </x:c>
      <x:c r="H1435" t="n">
        <x:v>12</x:v>
      </x:c>
      <x:c r="I1435" t="str">
        <x:v>À qualifier par lieu</x:v>
      </x:c>
      <x:c r="J1435" t="str">
        <x:v>https://github.com/darknigthmare/deadwall-last-enclosure/blob/e28f46223e73105ab2c5d83f3d50b99b58ef53e6/codex-3000/compositions/Abris et souterrains/DW-1430.md</x:v>
      </x:c>
      <x:c r="K1435" t="str">
        <x:v>Source min 16,12 m ; max 95,70 m ; modèle 25 × 18 m ; niveaux 0. Détails dans catalogue-existant.json.</x:v>
      </x:c>
    </x:row>
    <x:row r="1436">
      <x:c r="A1436" t="str">
        <x:v>DW-1431</x:v>
      </x:c>
      <x:c r="B1436" t="str">
        <x:v>DW-0216</x:v>
      </x:c>
      <x:c r="C1436" t="str">
        <x:v>Composition héritée</x:v>
      </x:c>
      <x:c r="D1436" t="str">
        <x:v>Abris et souterrains</x:v>
      </x:c>
      <x:c r="E1436" t="str">
        <x:v>Maison de garde d'un fort — Zone industrielle / repli organisé interrompu</x:v>
      </x:c>
      <x:c r="F1436" t="n">
        <x:v>8</x:v>
      </x:c>
      <x:c r="G1436" t="n">
        <x:v>4</x:v>
      </x:c>
      <x:c r="H1436" t="n">
        <x:v>12</x:v>
      </x:c>
      <x:c r="I1436" t="str">
        <x:v>À qualifier par lieu</x:v>
      </x:c>
      <x:c r="J1436" t="str">
        <x:v>https://github.com/darknigthmare/deadwall-last-enclosure/blob/e28f46223e73105ab2c5d83f3d50b99b58ef53e6/codex-3000/compositions/Abris et souterrains/DW-1431.md</x:v>
      </x:c>
      <x:c r="K1436" t="str">
        <x:v>Source min 16,12 m ; max 95,70 m ; modèle 25 × 18 m ; niveaux 0. Détails dans catalogue-existant.json.</x:v>
      </x:c>
    </x:row>
    <x:row r="1437">
      <x:c r="A1437" t="str">
        <x:v>DW-1432</x:v>
      </x:c>
      <x:c r="B1437" t="str">
        <x:v>DW-0216</x:v>
      </x:c>
      <x:c r="C1437" t="str">
        <x:v>Composition héritée</x:v>
      </x:c>
      <x:c r="D1437" t="str">
        <x:v>Abris et souterrains</x:v>
      </x:c>
      <x:c r="E1437" t="str">
        <x:v>Maison de garde d'un fort — Grand camp allié / première récupération passée</x:v>
      </x:c>
      <x:c r="F1437" t="n">
        <x:v>10</x:v>
      </x:c>
      <x:c r="G1437" t="n">
        <x:v>4</x:v>
      </x:c>
      <x:c r="H1437" t="n">
        <x:v>12</x:v>
      </x:c>
      <x:c r="I1437" t="str">
        <x:v>À qualifier par lieu</x:v>
      </x:c>
      <x:c r="J1437" t="str">
        <x:v>https://github.com/darknigthmare/deadwall-last-enclosure/blob/e28f46223e73105ab2c5d83f3d50b99b58ef53e6/codex-3000/compositions/Abris et souterrains/DW-1432.md</x:v>
      </x:c>
      <x:c r="K1437" t="str">
        <x:v>Source min 16,12 m ; max 95,70 m ; modèle 25 × 18 m ; niveaux 0. Détails dans catalogue-existant.json.</x:v>
      </x:c>
    </x:row>
    <x:row r="1438">
      <x:c r="A1438" t="str">
        <x:v>DW-1433</x:v>
      </x:c>
      <x:c r="B1438" t="str">
        <x:v>DW-0217</x:v>
      </x:c>
      <x:c r="C1438" t="str">
        <x:v>Composition héritée</x:v>
      </x:c>
      <x:c r="D1438" t="str">
        <x:v>Abris et souterrains</x:v>
      </x:c>
      <x:c r="E1438" t="str">
        <x:v>Abri d'un poste électrique — Ville moyenne / évacuation interrompue</x:v>
      </x:c>
      <x:c r="F1438" t="n">
        <x:v>8</x:v>
      </x:c>
      <x:c r="G1438" t="n">
        <x:v>4</x:v>
      </x:c>
      <x:c r="H1438" t="n">
        <x:v>12</x:v>
      </x:c>
      <x:c r="I1438" t="str">
        <x:v>À qualifier par lieu</x:v>
      </x:c>
      <x:c r="J1438" t="str">
        <x:v>https://github.com/darknigthmare/deadwall-last-enclosure/blob/e28f46223e73105ab2c5d83f3d50b99b58ef53e6/codex-3000/compositions/Abris et souterrains/DW-1433.md</x:v>
      </x:c>
      <x:c r="K1438" t="str">
        <x:v>Source min 16,12 m ; max 95,70 m ; modèle 25 × 18 m ; niveaux 0. Détails dans catalogue-existant.json.</x:v>
      </x:c>
    </x:row>
    <x:row r="1439">
      <x:c r="A1439" t="str">
        <x:v>DW-1434</x:v>
      </x:c>
      <x:c r="B1439" t="str">
        <x:v>DW-0217</x:v>
      </x:c>
      <x:c r="C1439" t="str">
        <x:v>Composition héritée</x:v>
      </x:c>
      <x:c r="D1439" t="str">
        <x:v>Abris et souterrains</x:v>
      </x:c>
      <x:c r="E1439" t="str">
        <x:v>Abri d'un poste électrique — Montagne et col / service déplacé à l’arrière</x:v>
      </x:c>
      <x:c r="F1439" t="n">
        <x:v>10</x:v>
      </x:c>
      <x:c r="G1439" t="n">
        <x:v>4</x:v>
      </x:c>
      <x:c r="H1439" t="n">
        <x:v>12</x:v>
      </x:c>
      <x:c r="I1439" t="str">
        <x:v>À qualifier par lieu</x:v>
      </x:c>
      <x:c r="J1439" t="str">
        <x:v>https://github.com/darknigthmare/deadwall-last-enclosure/blob/e28f46223e73105ab2c5d83f3d50b99b58ef53e6/codex-3000/compositions/Abris et souterrains/DW-1434.md</x:v>
      </x:c>
      <x:c r="K1439" t="str">
        <x:v>Source min 16,12 m ; max 95,70 m ; modèle 25 × 18 m ; niveaux 0. Détails dans catalogue-existant.json.</x:v>
      </x:c>
    </x:row>
    <x:row r="1440">
      <x:c r="A1440" t="str">
        <x:v>DW-1435</x:v>
      </x:c>
      <x:c r="B1440" t="str">
        <x:v>DW-0218</x:v>
      </x:c>
      <x:c r="C1440" t="str">
        <x:v>Composition héritée</x:v>
      </x:c>
      <x:c r="D1440" t="str">
        <x:v>Abris et souterrains</x:v>
      </x:c>
      <x:c r="E1440" t="str">
        <x:v>Galerie technique abandonnée — Grand camp allié / arrêt de maintenance</x:v>
      </x:c>
      <x:c r="F1440" t="n">
        <x:v>10</x:v>
      </x:c>
      <x:c r="G1440" t="n">
        <x:v>4</x:v>
      </x:c>
      <x:c r="H1440" t="n">
        <x:v>12</x:v>
      </x:c>
      <x:c r="I1440" t="str">
        <x:v>À qualifier par lieu</x:v>
      </x:c>
      <x:c r="J1440" t="str">
        <x:v>https://github.com/darknigthmare/deadwall-last-enclosure/blob/e28f46223e73105ab2c5d83f3d50b99b58ef53e6/codex-3000/compositions/Abris et souterrains/DW-1435.md</x:v>
      </x:c>
      <x:c r="K1440" t="str">
        <x:v>Source min 16,12 m ; max 95,70 m ; modèle 25 × 18 m ; niveaux 0. Détails dans catalogue-existant.json.</x:v>
      </x:c>
    </x:row>
    <x:row r="1441">
      <x:c r="A1441" t="str">
        <x:v>DW-1436</x:v>
      </x:c>
      <x:c r="B1441" t="str">
        <x:v>DW-0218</x:v>
      </x:c>
      <x:c r="C1441" t="str">
        <x:v>Composition héritée</x:v>
      </x:c>
      <x:c r="D1441" t="str">
        <x:v>Abris et souterrains</x:v>
      </x:c>
      <x:c r="E1441" t="str">
        <x:v>Galerie technique abandonnée — Zone industrielle / reprise progressive de la végétation</x:v>
      </x:c>
      <x:c r="F1441" t="n">
        <x:v>8</x:v>
      </x:c>
      <x:c r="G1441" t="n">
        <x:v>4</x:v>
      </x:c>
      <x:c r="H1441" t="n">
        <x:v>12</x:v>
      </x:c>
      <x:c r="I1441" t="str">
        <x:v>À qualifier par lieu</x:v>
      </x:c>
      <x:c r="J1441" t="str">
        <x:v>https://github.com/darknigthmare/deadwall-last-enclosure/blob/e28f46223e73105ab2c5d83f3d50b99b58ef53e6/codex-3000/compositions/Abris et souterrains/DW-1436.md</x:v>
      </x:c>
      <x:c r="K1441" t="str">
        <x:v>Source min 16,12 m ; max 95,70 m ; modèle 25 × 18 m ; niveaux 0. Détails dans catalogue-existant.json.</x:v>
      </x:c>
    </x:row>
    <x:row r="1442">
      <x:c r="A1442" t="str">
        <x:v>DW-1437</x:v>
      </x:c>
      <x:c r="B1442" t="str">
        <x:v>DW-0219</x:v>
      </x:c>
      <x:c r="C1442" t="str">
        <x:v>Composition héritée</x:v>
      </x:c>
      <x:c r="D1442" t="str">
        <x:v>Abris et souterrains</x:v>
      </x:c>
      <x:c r="E1442" t="str">
        <x:v>Souterrain de château — Montagne et col / première récupération passée</x:v>
      </x:c>
      <x:c r="F1442" t="n">
        <x:v>10</x:v>
      </x:c>
      <x:c r="G1442" t="n">
        <x:v>4</x:v>
      </x:c>
      <x:c r="H1442" t="n">
        <x:v>8</x:v>
      </x:c>
      <x:c r="I1442" t="str">
        <x:v>À qualifier par lieu</x:v>
      </x:c>
      <x:c r="J1442" t="str">
        <x:v>https://github.com/darknigthmare/deadwall-last-enclosure/blob/e28f46223e73105ab2c5d83f3d50b99b58ef53e6/codex-3000/compositions/Abris et souterrains/DW-1437.md</x:v>
      </x:c>
      <x:c r="K1442" t="str">
        <x:v>Source min 16,12 m ; max 95,70 m ; modèle 25 × 18 m ; niveaux -1, 0. Détails dans catalogue-existant.json.</x:v>
      </x:c>
    </x:row>
    <x:row r="1443">
      <x:c r="A1443" t="str">
        <x:v>DW-1438</x:v>
      </x:c>
      <x:c r="B1443" t="str">
        <x:v>DW-0219</x:v>
      </x:c>
      <x:c r="C1443" t="str">
        <x:v>Composition héritée</x:v>
      </x:c>
      <x:c r="D1443" t="str">
        <x:v>Abris et souterrains</x:v>
      </x:c>
      <x:c r="E1443" t="str">
        <x:v>Souterrain de château — Ville moyenne / relais temporaire envisagé</x:v>
      </x:c>
      <x:c r="F1443" t="n">
        <x:v>8</x:v>
      </x:c>
      <x:c r="G1443" t="n">
        <x:v>4</x:v>
      </x:c>
      <x:c r="H1443" t="n">
        <x:v>8</x:v>
      </x:c>
      <x:c r="I1443" t="str">
        <x:v>À qualifier par lieu</x:v>
      </x:c>
      <x:c r="J1443" t="str">
        <x:v>https://github.com/darknigthmare/deadwall-last-enclosure/blob/e28f46223e73105ab2c5d83f3d50b99b58ef53e6/codex-3000/compositions/Abris et souterrains/DW-1438.md</x:v>
      </x:c>
      <x:c r="K1443" t="str">
        <x:v>Source min 16,12 m ; max 95,70 m ; modèle 25 × 18 m ; niveaux -1, 0. Détails dans catalogue-existant.json.</x:v>
      </x:c>
    </x:row>
    <x:row r="1444">
      <x:c r="A1444" t="str">
        <x:v>DW-1439</x:v>
      </x:c>
      <x:c r="B1444" t="str">
        <x:v>DW-0220</x:v>
      </x:c>
      <x:c r="C1444" t="str">
        <x:v>Composition héritée</x:v>
      </x:c>
      <x:c r="D1444" t="str">
        <x:v>Abris et souterrains</x:v>
      </x:c>
      <x:c r="E1444" t="str">
        <x:v>Complexe privé de survie — Zone industrielle / service déplacé à l’arrière</x:v>
      </x:c>
      <x:c r="F1444" t="n">
        <x:v>8</x:v>
      </x:c>
      <x:c r="G1444" t="n">
        <x:v>5</x:v>
      </x:c>
      <x:c r="H1444" t="n">
        <x:v>15</x:v>
      </x:c>
      <x:c r="I1444" t="str">
        <x:v>À qualifier par lieu</x:v>
      </x:c>
      <x:c r="J1444" t="str">
        <x:v>https://github.com/darknigthmare/deadwall-last-enclosure/blob/e28f46223e73105ab2c5d83f3d50b99b58ef53e6/codex-3000/compositions/Abris et souterrains/DW-1439.md</x:v>
      </x:c>
      <x:c r="K1444" t="str">
        <x:v>Source min 16,12 m ; max 95,70 m ; modèle 26 × 22 m ; niveaux 0. Détails dans catalogue-existant.json.</x:v>
      </x:c>
    </x:row>
    <x:row r="1445">
      <x:c r="A1445" t="str">
        <x:v>DW-1440</x:v>
      </x:c>
      <x:c r="B1445" t="str">
        <x:v>DW-0220</x:v>
      </x:c>
      <x:c r="C1445" t="str">
        <x:v>Composition héritée</x:v>
      </x:c>
      <x:c r="D1445" t="str">
        <x:v>Abris et souterrains</x:v>
      </x:c>
      <x:c r="E1445" t="str">
        <x:v>Complexe privé de survie — Grand camp allié / réseau principal coupé</x:v>
      </x:c>
      <x:c r="F1445" t="n">
        <x:v>10</x:v>
      </x:c>
      <x:c r="G1445" t="n">
        <x:v>5</x:v>
      </x:c>
      <x:c r="H1445" t="n">
        <x:v>15</x:v>
      </x:c>
      <x:c r="I1445" t="str">
        <x:v>À qualifier par lieu</x:v>
      </x:c>
      <x:c r="J1445" t="str">
        <x:v>https://github.com/darknigthmare/deadwall-last-enclosure/blob/e28f46223e73105ab2c5d83f3d50b99b58ef53e6/codex-3000/compositions/Abris et souterrains/DW-1440.md</x:v>
      </x:c>
      <x:c r="K1445" t="str">
        <x:v>Source min 16,12 m ; max 95,70 m ; modèle 26 × 22 m ; niveaux 0. Détails dans catalogue-existant.json.</x:v>
      </x:c>
    </x:row>
    <x:row r="1446">
      <x:c r="A1446" t="str">
        <x:v>DW-1441</x:v>
      </x:c>
      <x:c r="B1446" t="str">
        <x:v>DW-0221</x:v>
      </x:c>
      <x:c r="C1446" t="str">
        <x:v>Composition héritée</x:v>
      </x:c>
      <x:c r="D1446" t="str">
        <x:v>Entrepôts et réserves</x:v>
      </x:c>
      <x:c r="E1446" t="str">
        <x:v>Entrepôt de messagerie — Entrepôt et plateforme logistique / reprise progressive de la végétation</x:v>
      </x:c>
      <x:c r="F1446" t="n">
        <x:v>8</x:v>
      </x:c>
      <x:c r="G1446" t="n">
        <x:v>4</x:v>
      </x:c>
      <x:c r="H1446" t="n">
        <x:v>12</x:v>
      </x:c>
      <x:c r="I1446" t="str">
        <x:v>À qualifier par lieu</x:v>
      </x:c>
      <x:c r="J1446" t="str">
        <x:v>https://github.com/darknigthmare/deadwall-last-enclosure/blob/e28f46223e73105ab2c5d83f3d50b99b58ef53e6/codex-3000/compositions/Entrepôts et réserves/DW-1441.md</x:v>
      </x:c>
      <x:c r="K1446" t="str">
        <x:v>Source min 35,24 m ; max 200,125 m ; modèle 35 × 24 m ; niveaux 0. Détails dans catalogue-existant.json.</x:v>
      </x:c>
    </x:row>
    <x:row r="1447">
      <x:c r="A1447" t="str">
        <x:v>DW-1442</x:v>
      </x:c>
      <x:c r="B1447" t="str">
        <x:v>DW-0221</x:v>
      </x:c>
      <x:c r="C1447" t="str">
        <x:v>Composition héritée</x:v>
      </x:c>
      <x:c r="D1447" t="str">
        <x:v>Entrepôts et réserves</x:v>
      </x:c>
      <x:c r="E1447" t="str">
        <x:v>Entrepôt de messagerie — Zone industrielle / repli organisé interrompu</x:v>
      </x:c>
      <x:c r="F1447" t="n">
        <x:v>8</x:v>
      </x:c>
      <x:c r="G1447" t="n">
        <x:v>4</x:v>
      </x:c>
      <x:c r="H1447" t="n">
        <x:v>12</x:v>
      </x:c>
      <x:c r="I1447" t="str">
        <x:v>À qualifier par lieu</x:v>
      </x:c>
      <x:c r="J1447" t="str">
        <x:v>https://github.com/darknigthmare/deadwall-last-enclosure/blob/e28f46223e73105ab2c5d83f3d50b99b58ef53e6/codex-3000/compositions/Entrepôts et réserves/DW-1442.md</x:v>
      </x:c>
      <x:c r="K1447" t="str">
        <x:v>Source min 35,24 m ; max 200,125 m ; modèle 35 × 24 m ; niveaux 0. Détails dans catalogue-existant.json.</x:v>
      </x:c>
    </x:row>
    <x:row r="1448">
      <x:c r="A1448" t="str">
        <x:v>DW-1443</x:v>
      </x:c>
      <x:c r="B1448" t="str">
        <x:v>DW-0222</x:v>
      </x:c>
      <x:c r="C1448" t="str">
        <x:v>Composition héritée</x:v>
      </x:c>
      <x:c r="D1448" t="str">
        <x:v>Entrepôts et réserves</x:v>
      </x:c>
      <x:c r="E1448" t="str">
        <x:v>Plateforme logistique — Port marchand / relais temporaire envisagé</x:v>
      </x:c>
      <x:c r="F1448" t="n">
        <x:v>10</x:v>
      </x:c>
      <x:c r="G1448" t="n">
        <x:v>4</x:v>
      </x:c>
      <x:c r="H1448" t="n">
        <x:v>12</x:v>
      </x:c>
      <x:c r="I1448" t="str">
        <x:v>À qualifier par lieu</x:v>
      </x:c>
      <x:c r="J1448" t="str">
        <x:v>https://github.com/darknigthmare/deadwall-last-enclosure/blob/e28f46223e73105ab2c5d83f3d50b99b58ef53e6/codex-3000/compositions/Entrepôts et réserves/DW-1443.md</x:v>
      </x:c>
      <x:c r="K1448" t="str">
        <x:v>Source min 35,24 m ; max 200,125 m ; modèle 35 × 24 m ; niveaux 0. Détails dans catalogue-existant.json.</x:v>
      </x:c>
    </x:row>
    <x:row r="1449">
      <x:c r="A1449" t="str">
        <x:v>DW-1444</x:v>
      </x:c>
      <x:c r="B1449" t="str">
        <x:v>DW-0222</x:v>
      </x:c>
      <x:c r="C1449" t="str">
        <x:v>Composition héritée</x:v>
      </x:c>
      <x:c r="D1449" t="str">
        <x:v>Entrepôts et réserves</x:v>
      </x:c>
      <x:c r="E1449" t="str">
        <x:v>Plateforme logistique — Gare et fret / évacuation interrompue</x:v>
      </x:c>
      <x:c r="F1449" t="n">
        <x:v>10</x:v>
      </x:c>
      <x:c r="G1449" t="n">
        <x:v>4</x:v>
      </x:c>
      <x:c r="H1449" t="n">
        <x:v>12</x:v>
      </x:c>
      <x:c r="I1449" t="str">
        <x:v>À qualifier par lieu</x:v>
      </x:c>
      <x:c r="J1449" t="str">
        <x:v>https://github.com/darknigthmare/deadwall-last-enclosure/blob/e28f46223e73105ab2c5d83f3d50b99b58ef53e6/codex-3000/compositions/Entrepôts et réserves/DW-1444.md</x:v>
      </x:c>
      <x:c r="K1449" t="str">
        <x:v>Source min 35,24 m ; max 200,125 m ; modèle 35 × 24 m ; niveaux 0. Détails dans catalogue-existant.json.</x:v>
      </x:c>
    </x:row>
    <x:row r="1450">
      <x:c r="A1450" t="str">
        <x:v>DW-1445</x:v>
      </x:c>
      <x:c r="B1450" t="str">
        <x:v>DW-0223</x:v>
      </x:c>
      <x:c r="C1450" t="str">
        <x:v>Composition héritée</x:v>
      </x:c>
      <x:c r="D1450" t="str">
        <x:v>Entrepôts et réserves</x:v>
      </x:c>
      <x:c r="E1450" t="str">
        <x:v>Dépôt de meubles — Zone industrielle / réseau principal coupé</x:v>
      </x:c>
      <x:c r="F1450" t="n">
        <x:v>8</x:v>
      </x:c>
      <x:c r="G1450" t="n">
        <x:v>4</x:v>
      </x:c>
      <x:c r="H1450" t="n">
        <x:v>12</x:v>
      </x:c>
      <x:c r="I1450" t="str">
        <x:v>À qualifier par lieu</x:v>
      </x:c>
      <x:c r="J1450" t="str">
        <x:v>https://github.com/darknigthmare/deadwall-last-enclosure/blob/e28f46223e73105ab2c5d83f3d50b99b58ef53e6/codex-3000/compositions/Entrepôts et réserves/DW-1445.md</x:v>
      </x:c>
      <x:c r="K1450" t="str">
        <x:v>Source min 35,24 m ; max 200,125 m ; modèle 35 × 24 m ; niveaux 0. Détails dans catalogue-existant.json.</x:v>
      </x:c>
    </x:row>
    <x:row r="1451">
      <x:c r="A1451" t="str">
        <x:v>DW-1446</x:v>
      </x:c>
      <x:c r="B1451" t="str">
        <x:v>DW-0223</x:v>
      </x:c>
      <x:c r="C1451" t="str">
        <x:v>Composition héritée</x:v>
      </x:c>
      <x:c r="D1451" t="str">
        <x:v>Entrepôts et réserves</x:v>
      </x:c>
      <x:c r="E1451" t="str">
        <x:v>Dépôt de meubles — Entrepôt et plateforme logistique / arrêt de maintenance</x:v>
      </x:c>
      <x:c r="F1451" t="n">
        <x:v>8</x:v>
      </x:c>
      <x:c r="G1451" t="n">
        <x:v>4</x:v>
      </x:c>
      <x:c r="H1451" t="n">
        <x:v>12</x:v>
      </x:c>
      <x:c r="I1451" t="str">
        <x:v>À qualifier par lieu</x:v>
      </x:c>
      <x:c r="J1451" t="str">
        <x:v>https://github.com/darknigthmare/deadwall-last-enclosure/blob/e28f46223e73105ab2c5d83f3d50b99b58ef53e6/codex-3000/compositions/Entrepôts et réserves/DW-1446.md</x:v>
      </x:c>
      <x:c r="K1451" t="str">
        <x:v>Source min 35,24 m ; max 200,125 m ; modèle 35 × 24 m ; niveaux 0. Détails dans catalogue-existant.json.</x:v>
      </x:c>
    </x:row>
    <x:row r="1452">
      <x:c r="A1452" t="str">
        <x:v>DW-1447</x:v>
      </x:c>
      <x:c r="B1452" t="str">
        <x:v>DW-0224</x:v>
      </x:c>
      <x:c r="C1452" t="str">
        <x:v>Composition héritée</x:v>
      </x:c>
      <x:c r="D1452" t="str">
        <x:v>Entrepôts et réserves</x:v>
      </x:c>
      <x:c r="E1452" t="str">
        <x:v>Garde-meubles — Gare et fret / repli organisé interrompu</x:v>
      </x:c>
      <x:c r="F1452" t="n">
        <x:v>10</x:v>
      </x:c>
      <x:c r="G1452" t="n">
        <x:v>4</x:v>
      </x:c>
      <x:c r="H1452" t="n">
        <x:v>10</x:v>
      </x:c>
      <x:c r="I1452" t="str">
        <x:v>À qualifier par lieu</x:v>
      </x:c>
      <x:c r="J1452" t="str">
        <x:v>https://github.com/darknigthmare/deadwall-last-enclosure/blob/e28f46223e73105ab2c5d83f3d50b99b58ef53e6/codex-3000/compositions/Entrepôts et réserves/DW-1447.md</x:v>
      </x:c>
      <x:c r="K1452" t="str">
        <x:v>Source min 35,24 m ; max 200,125 m ; modèle 35 × 24 m ; niveaux 0. Détails dans catalogue-existant.json.</x:v>
      </x:c>
    </x:row>
    <x:row r="1453">
      <x:c r="A1453" t="str">
        <x:v>DW-1448</x:v>
      </x:c>
      <x:c r="B1453" t="str">
        <x:v>DW-0224</x:v>
      </x:c>
      <x:c r="C1453" t="str">
        <x:v>Composition héritée</x:v>
      </x:c>
      <x:c r="D1453" t="str">
        <x:v>Entrepôts et réserves</x:v>
      </x:c>
      <x:c r="E1453" t="str">
        <x:v>Garde-meubles — Port marchand / première récupération passée</x:v>
      </x:c>
      <x:c r="F1453" t="n">
        <x:v>10</x:v>
      </x:c>
      <x:c r="G1453" t="n">
        <x:v>4</x:v>
      </x:c>
      <x:c r="H1453" t="n">
        <x:v>10</x:v>
      </x:c>
      <x:c r="I1453" t="str">
        <x:v>À qualifier par lieu</x:v>
      </x:c>
      <x:c r="J1453" t="str">
        <x:v>https://github.com/darknigthmare/deadwall-last-enclosure/blob/e28f46223e73105ab2c5d83f3d50b99b58ef53e6/codex-3000/compositions/Entrepôts et réserves/DW-1448.md</x:v>
      </x:c>
      <x:c r="K1453" t="str">
        <x:v>Source min 35,24 m ; max 200,125 m ; modèle 35 × 24 m ; niveaux 0. Détails dans catalogue-existant.json.</x:v>
      </x:c>
    </x:row>
    <x:row r="1454">
      <x:c r="A1454" t="str">
        <x:v>DW-1449</x:v>
      </x:c>
      <x:c r="B1454" t="str">
        <x:v>DW-0225</x:v>
      </x:c>
      <x:c r="C1454" t="str">
        <x:v>Composition héritée</x:v>
      </x:c>
      <x:c r="D1454" t="str">
        <x:v>Entrepôts et réserves</x:v>
      </x:c>
      <x:c r="E1454" t="str">
        <x:v>Self-stockage extérieur — Entrepôt et plateforme logistique / évacuation interrompue</x:v>
      </x:c>
      <x:c r="F1454" t="n">
        <x:v>8</x:v>
      </x:c>
      <x:c r="G1454" t="n">
        <x:v>4</x:v>
      </x:c>
      <x:c r="H1454" t="n">
        <x:v>12</x:v>
      </x:c>
      <x:c r="I1454" t="str">
        <x:v>À qualifier par lieu</x:v>
      </x:c>
      <x:c r="J1454" t="str">
        <x:v>https://github.com/darknigthmare/deadwall-last-enclosure/blob/e28f46223e73105ab2c5d83f3d50b99b58ef53e6/codex-3000/compositions/Entrepôts et réserves/DW-1449.md</x:v>
      </x:c>
      <x:c r="K1454" t="str">
        <x:v>Source min 35,24 m ; max 200,125 m ; modèle 35 × 24 m ; niveaux 0. Détails dans catalogue-existant.json.</x:v>
      </x:c>
    </x:row>
    <x:row r="1455">
      <x:c r="A1455" t="str">
        <x:v>DW-1450</x:v>
      </x:c>
      <x:c r="B1455" t="str">
        <x:v>DW-0225</x:v>
      </x:c>
      <x:c r="C1455" t="str">
        <x:v>Composition héritée</x:v>
      </x:c>
      <x:c r="D1455" t="str">
        <x:v>Entrepôts et réserves</x:v>
      </x:c>
      <x:c r="E1455" t="str">
        <x:v>Self-stockage extérieur — Zone industrielle / service déplacé à l’arrière</x:v>
      </x:c>
      <x:c r="F1455" t="n">
        <x:v>8</x:v>
      </x:c>
      <x:c r="G1455" t="n">
        <x:v>4</x:v>
      </x:c>
      <x:c r="H1455" t="n">
        <x:v>12</x:v>
      </x:c>
      <x:c r="I1455" t="str">
        <x:v>À qualifier par lieu</x:v>
      </x:c>
      <x:c r="J1455" t="str">
        <x:v>https://github.com/darknigthmare/deadwall-last-enclosure/blob/e28f46223e73105ab2c5d83f3d50b99b58ef53e6/codex-3000/compositions/Entrepôts et réserves/DW-1450.md</x:v>
      </x:c>
      <x:c r="K1455" t="str">
        <x:v>Source min 35,24 m ; max 200,125 m ; modèle 35 × 24 m ; niveaux 0. Détails dans catalogue-existant.json.</x:v>
      </x:c>
    </x:row>
    <x:row r="1456">
      <x:c r="A1456" t="str">
        <x:v>DW-1451</x:v>
      </x:c>
      <x:c r="B1456" t="str">
        <x:v>DW-0226</x:v>
      </x:c>
      <x:c r="C1456" t="str">
        <x:v>Composition héritée</x:v>
      </x:c>
      <x:c r="D1456" t="str">
        <x:v>Entrepôts et réserves</x:v>
      </x:c>
      <x:c r="E1456" t="str">
        <x:v>Hangar agricole de stockage — Port marchand / arrêt de maintenance</x:v>
      </x:c>
      <x:c r="F1456" t="n">
        <x:v>10</x:v>
      </x:c>
      <x:c r="G1456" t="n">
        <x:v>4</x:v>
      </x:c>
      <x:c r="H1456" t="n">
        <x:v>12</x:v>
      </x:c>
      <x:c r="I1456" t="str">
        <x:v>À qualifier par lieu</x:v>
      </x:c>
      <x:c r="J1456" t="str">
        <x:v>https://github.com/darknigthmare/deadwall-last-enclosure/blob/e28f46223e73105ab2c5d83f3d50b99b58ef53e6/codex-3000/compositions/Entrepôts et réserves/DW-1451.md</x:v>
      </x:c>
      <x:c r="K1456" t="str">
        <x:v>Source min 35,24 m ; max 200,125 m ; modèle 35 × 24 m ; niveaux 0. Détails dans catalogue-existant.json.</x:v>
      </x:c>
    </x:row>
    <x:row r="1457">
      <x:c r="A1457" t="str">
        <x:v>DW-1452</x:v>
      </x:c>
      <x:c r="B1457" t="str">
        <x:v>DW-0226</x:v>
      </x:c>
      <x:c r="C1457" t="str">
        <x:v>Composition héritée</x:v>
      </x:c>
      <x:c r="D1457" t="str">
        <x:v>Entrepôts et réserves</x:v>
      </x:c>
      <x:c r="E1457" t="str">
        <x:v>Hangar agricole de stockage — Gare et fret / reprise progressive de la végétation</x:v>
      </x:c>
      <x:c r="F1457" t="n">
        <x:v>10</x:v>
      </x:c>
      <x:c r="G1457" t="n">
        <x:v>4</x:v>
      </x:c>
      <x:c r="H1457" t="n">
        <x:v>12</x:v>
      </x:c>
      <x:c r="I1457" t="str">
        <x:v>À qualifier par lieu</x:v>
      </x:c>
      <x:c r="J1457" t="str">
        <x:v>https://github.com/darknigthmare/deadwall-last-enclosure/blob/e28f46223e73105ab2c5d83f3d50b99b58ef53e6/codex-3000/compositions/Entrepôts et réserves/DW-1452.md</x:v>
      </x:c>
      <x:c r="K1457" t="str">
        <x:v>Source min 35,24 m ; max 200,125 m ; modèle 35 × 24 m ; niveaux 0. Détails dans catalogue-existant.json.</x:v>
      </x:c>
    </x:row>
    <x:row r="1458">
      <x:c r="A1458" t="str">
        <x:v>DW-1453</x:v>
      </x:c>
      <x:c r="B1458" t="str">
        <x:v>DW-0227</x:v>
      </x:c>
      <x:c r="C1458" t="str">
        <x:v>Composition héritée</x:v>
      </x:c>
      <x:c r="D1458" t="str">
        <x:v>Entrepôts et réserves</x:v>
      </x:c>
      <x:c r="E1458" t="str">
        <x:v>Dépôt de boissons — Zone industrielle / première récupération passée</x:v>
      </x:c>
      <x:c r="F1458" t="n">
        <x:v>8</x:v>
      </x:c>
      <x:c r="G1458" t="n">
        <x:v>4</x:v>
      </x:c>
      <x:c r="H1458" t="n">
        <x:v>12</x:v>
      </x:c>
      <x:c r="I1458" t="str">
        <x:v>À qualifier par lieu</x:v>
      </x:c>
      <x:c r="J1458" t="str">
        <x:v>https://github.com/darknigthmare/deadwall-last-enclosure/blob/e28f46223e73105ab2c5d83f3d50b99b58ef53e6/codex-3000/compositions/Entrepôts et réserves/DW-1453.md</x:v>
      </x:c>
      <x:c r="K1458" t="str">
        <x:v>Source min 35,24 m ; max 200,125 m ; modèle 35 × 24 m ; niveaux 0. Détails dans catalogue-existant.json.</x:v>
      </x:c>
    </x:row>
    <x:row r="1459">
      <x:c r="A1459" t="str">
        <x:v>DW-1454</x:v>
      </x:c>
      <x:c r="B1459" t="str">
        <x:v>DW-0227</x:v>
      </x:c>
      <x:c r="C1459" t="str">
        <x:v>Composition héritée</x:v>
      </x:c>
      <x:c r="D1459" t="str">
        <x:v>Entrepôts et réserves</x:v>
      </x:c>
      <x:c r="E1459" t="str">
        <x:v>Dépôt de boissons — Entrepôt et plateforme logistique / relais temporaire envisagé</x:v>
      </x:c>
      <x:c r="F1459" t="n">
        <x:v>8</x:v>
      </x:c>
      <x:c r="G1459" t="n">
        <x:v>4</x:v>
      </x:c>
      <x:c r="H1459" t="n">
        <x:v>12</x:v>
      </x:c>
      <x:c r="I1459" t="str">
        <x:v>À qualifier par lieu</x:v>
      </x:c>
      <x:c r="J1459" t="str">
        <x:v>https://github.com/darknigthmare/deadwall-last-enclosure/blob/e28f46223e73105ab2c5d83f3d50b99b58ef53e6/codex-3000/compositions/Entrepôts et réserves/DW-1454.md</x:v>
      </x:c>
      <x:c r="K1459" t="str">
        <x:v>Source min 35,24 m ; max 200,125 m ; modèle 35 × 24 m ; niveaux 0. Détails dans catalogue-existant.json.</x:v>
      </x:c>
    </x:row>
    <x:row r="1460">
      <x:c r="A1460" t="str">
        <x:v>DW-1455</x:v>
      </x:c>
      <x:c r="B1460" t="str">
        <x:v>DW-0228</x:v>
      </x:c>
      <x:c r="C1460" t="str">
        <x:v>Composition héritée</x:v>
      </x:c>
      <x:c r="D1460" t="str">
        <x:v>Entrepôts et réserves</x:v>
      </x:c>
      <x:c r="E1460" t="str">
        <x:v>Stockage textile — Gare et fret / service déplacé à l’arrière</x:v>
      </x:c>
      <x:c r="F1460" t="n">
        <x:v>10</x:v>
      </x:c>
      <x:c r="G1460" t="n">
        <x:v>4</x:v>
      </x:c>
      <x:c r="H1460" t="n">
        <x:v>12</x:v>
      </x:c>
      <x:c r="I1460" t="str">
        <x:v>À qualifier par lieu</x:v>
      </x:c>
      <x:c r="J1460" t="str">
        <x:v>https://github.com/darknigthmare/deadwall-last-enclosure/blob/e28f46223e73105ab2c5d83f3d50b99b58ef53e6/codex-3000/compositions/Entrepôts et réserves/DW-1455.md</x:v>
      </x:c>
      <x:c r="K1460" t="str">
        <x:v>Source min 35,24 m ; max 200,125 m ; modèle 35 × 24 m ; niveaux 0. Détails dans catalogue-existant.json.</x:v>
      </x:c>
    </x:row>
    <x:row r="1461">
      <x:c r="A1461" t="str">
        <x:v>DW-1456</x:v>
      </x:c>
      <x:c r="B1461" t="str">
        <x:v>DW-0228</x:v>
      </x:c>
      <x:c r="C1461" t="str">
        <x:v>Composition héritée</x:v>
      </x:c>
      <x:c r="D1461" t="str">
        <x:v>Entrepôts et réserves</x:v>
      </x:c>
      <x:c r="E1461" t="str">
        <x:v>Stockage textile — Port marchand / réseau principal coupé</x:v>
      </x:c>
      <x:c r="F1461" t="n">
        <x:v>10</x:v>
      </x:c>
      <x:c r="G1461" t="n">
        <x:v>4</x:v>
      </x:c>
      <x:c r="H1461" t="n">
        <x:v>12</x:v>
      </x:c>
      <x:c r="I1461" t="str">
        <x:v>À qualifier par lieu</x:v>
      </x:c>
      <x:c r="J1461" t="str">
        <x:v>https://github.com/darknigthmare/deadwall-last-enclosure/blob/e28f46223e73105ab2c5d83f3d50b99b58ef53e6/codex-3000/compositions/Entrepôts et réserves/DW-1456.md</x:v>
      </x:c>
      <x:c r="K1461" t="str">
        <x:v>Source min 35,24 m ; max 200,125 m ; modèle 35 × 24 m ; niveaux 0. Détails dans catalogue-existant.json.</x:v>
      </x:c>
    </x:row>
    <x:row r="1462">
      <x:c r="A1462" t="str">
        <x:v>DW-1457</x:v>
      </x:c>
      <x:c r="B1462" t="str">
        <x:v>DW-0229</x:v>
      </x:c>
      <x:c r="C1462" t="str">
        <x:v>Composition héritée</x:v>
      </x:c>
      <x:c r="D1462" t="str">
        <x:v>Entrepôts et réserves</x:v>
      </x:c>
      <x:c r="E1462" t="str">
        <x:v>Magasin de pièces automobiles — Entrepôt et plateforme logistique / reprise progressive de la végétation</x:v>
      </x:c>
      <x:c r="F1462" t="n">
        <x:v>8</x:v>
      </x:c>
      <x:c r="G1462" t="n">
        <x:v>4</x:v>
      </x:c>
      <x:c r="H1462" t="n">
        <x:v>12</x:v>
      </x:c>
      <x:c r="I1462" t="str">
        <x:v>À qualifier par lieu</x:v>
      </x:c>
      <x:c r="J1462" t="str">
        <x:v>https://github.com/darknigthmare/deadwall-last-enclosure/blob/e28f46223e73105ab2c5d83f3d50b99b58ef53e6/codex-3000/compositions/Entrepôts et réserves/DW-1457.md</x:v>
      </x:c>
      <x:c r="K1462" t="str">
        <x:v>Source min 35,24 m ; max 200,125 m ; modèle 35 × 24 m ; niveaux 0. Détails dans catalogue-existant.json.</x:v>
      </x:c>
    </x:row>
    <x:row r="1463">
      <x:c r="A1463" t="str">
        <x:v>DW-1458</x:v>
      </x:c>
      <x:c r="B1463" t="str">
        <x:v>DW-0229</x:v>
      </x:c>
      <x:c r="C1463" t="str">
        <x:v>Composition héritée</x:v>
      </x:c>
      <x:c r="D1463" t="str">
        <x:v>Entrepôts et réserves</x:v>
      </x:c>
      <x:c r="E1463" t="str">
        <x:v>Magasin de pièces automobiles — Zone industrielle / repli organisé interrompu</x:v>
      </x:c>
      <x:c r="F1463" t="n">
        <x:v>8</x:v>
      </x:c>
      <x:c r="G1463" t="n">
        <x:v>4</x:v>
      </x:c>
      <x:c r="H1463" t="n">
        <x:v>12</x:v>
      </x:c>
      <x:c r="I1463" t="str">
        <x:v>À qualifier par lieu</x:v>
      </x:c>
      <x:c r="J1463" t="str">
        <x:v>https://github.com/darknigthmare/deadwall-last-enclosure/blob/e28f46223e73105ab2c5d83f3d50b99b58ef53e6/codex-3000/compositions/Entrepôts et réserves/DW-1458.md</x:v>
      </x:c>
      <x:c r="K1463" t="str">
        <x:v>Source min 35,24 m ; max 200,125 m ; modèle 35 × 24 m ; niveaux 0. Détails dans catalogue-existant.json.</x:v>
      </x:c>
    </x:row>
    <x:row r="1464">
      <x:c r="A1464" t="str">
        <x:v>DW-1459</x:v>
      </x:c>
      <x:c r="B1464" t="str">
        <x:v>DW-0230</x:v>
      </x:c>
      <x:c r="C1464" t="str">
        <x:v>Composition héritée</x:v>
      </x:c>
      <x:c r="D1464" t="str">
        <x:v>Entrepôts et réserves</x:v>
      </x:c>
      <x:c r="E1464" t="str">
        <x:v>Entrepôt de matériaux longs — Port marchand / relais temporaire envisagé</x:v>
      </x:c>
      <x:c r="F1464" t="n">
        <x:v>10</x:v>
      </x:c>
      <x:c r="G1464" t="n">
        <x:v>4</x:v>
      </x:c>
      <x:c r="H1464" t="n">
        <x:v>12</x:v>
      </x:c>
      <x:c r="I1464" t="str">
        <x:v>À qualifier par lieu</x:v>
      </x:c>
      <x:c r="J1464" t="str">
        <x:v>https://github.com/darknigthmare/deadwall-last-enclosure/blob/e28f46223e73105ab2c5d83f3d50b99b58ef53e6/codex-3000/compositions/Entrepôts et réserves/DW-1459.md</x:v>
      </x:c>
      <x:c r="K1464" t="str">
        <x:v>Source min 35,24 m ; max 200,125 m ; modèle 35 × 24 m ; niveaux 0. Détails dans catalogue-existant.json.</x:v>
      </x:c>
    </x:row>
    <x:row r="1465">
      <x:c r="A1465" t="str">
        <x:v>DW-1460</x:v>
      </x:c>
      <x:c r="B1465" t="str">
        <x:v>DW-0230</x:v>
      </x:c>
      <x:c r="C1465" t="str">
        <x:v>Composition héritée</x:v>
      </x:c>
      <x:c r="D1465" t="str">
        <x:v>Entrepôts et réserves</x:v>
      </x:c>
      <x:c r="E1465" t="str">
        <x:v>Entrepôt de matériaux longs — Gare et fret / évacuation interrompue</x:v>
      </x:c>
      <x:c r="F1465" t="n">
        <x:v>10</x:v>
      </x:c>
      <x:c r="G1465" t="n">
        <x:v>4</x:v>
      </x:c>
      <x:c r="H1465" t="n">
        <x:v>12</x:v>
      </x:c>
      <x:c r="I1465" t="str">
        <x:v>À qualifier par lieu</x:v>
      </x:c>
      <x:c r="J1465" t="str">
        <x:v>https://github.com/darknigthmare/deadwall-last-enclosure/blob/e28f46223e73105ab2c5d83f3d50b99b58ef53e6/codex-3000/compositions/Entrepôts et réserves/DW-1460.md</x:v>
      </x:c>
      <x:c r="K1465" t="str">
        <x:v>Source min 35,24 m ; max 200,125 m ; modèle 35 × 24 m ; niveaux 0. Détails dans catalogue-existant.json.</x:v>
      </x:c>
    </x:row>
    <x:row r="1466">
      <x:c r="A1466" t="str">
        <x:v>DW-1461</x:v>
      </x:c>
      <x:c r="B1466" t="str">
        <x:v>DW-0231</x:v>
      </x:c>
      <x:c r="C1466" t="str">
        <x:v>Composition héritée</x:v>
      </x:c>
      <x:c r="D1466" t="str">
        <x:v>Entrepôts et réserves</x:v>
      </x:c>
      <x:c r="E1466" t="str">
        <x:v>Dépôt de carrelage — Zone industrielle / réseau principal coupé</x:v>
      </x:c>
      <x:c r="F1466" t="n">
        <x:v>8</x:v>
      </x:c>
      <x:c r="G1466" t="n">
        <x:v>4</x:v>
      </x:c>
      <x:c r="H1466" t="n">
        <x:v>12</x:v>
      </x:c>
      <x:c r="I1466" t="str">
        <x:v>À qualifier par lieu</x:v>
      </x:c>
      <x:c r="J1466" t="str">
        <x:v>https://github.com/darknigthmare/deadwall-last-enclosure/blob/e28f46223e73105ab2c5d83f3d50b99b58ef53e6/codex-3000/compositions/Entrepôts et réserves/DW-1461.md</x:v>
      </x:c>
      <x:c r="K1466" t="str">
        <x:v>Source min 35,24 m ; max 200,125 m ; modèle 35 × 24 m ; niveaux 0. Détails dans catalogue-existant.json.</x:v>
      </x:c>
    </x:row>
    <x:row r="1467">
      <x:c r="A1467" t="str">
        <x:v>DW-1462</x:v>
      </x:c>
      <x:c r="B1467" t="str">
        <x:v>DW-0231</x:v>
      </x:c>
      <x:c r="C1467" t="str">
        <x:v>Composition héritée</x:v>
      </x:c>
      <x:c r="D1467" t="str">
        <x:v>Entrepôts et réserves</x:v>
      </x:c>
      <x:c r="E1467" t="str">
        <x:v>Dépôt de carrelage — Entrepôt et plateforme logistique / arrêt de maintenance</x:v>
      </x:c>
      <x:c r="F1467" t="n">
        <x:v>8</x:v>
      </x:c>
      <x:c r="G1467" t="n">
        <x:v>4</x:v>
      </x:c>
      <x:c r="H1467" t="n">
        <x:v>12</x:v>
      </x:c>
      <x:c r="I1467" t="str">
        <x:v>À qualifier par lieu</x:v>
      </x:c>
      <x:c r="J1467" t="str">
        <x:v>https://github.com/darknigthmare/deadwall-last-enclosure/blob/e28f46223e73105ab2c5d83f3d50b99b58ef53e6/codex-3000/compositions/Entrepôts et réserves/DW-1462.md</x:v>
      </x:c>
      <x:c r="K1467" t="str">
        <x:v>Source min 35,24 m ; max 200,125 m ; modèle 35 × 24 m ; niveaux 0. Détails dans catalogue-existant.json.</x:v>
      </x:c>
    </x:row>
    <x:row r="1468">
      <x:c r="A1468" t="str">
        <x:v>DW-1463</x:v>
      </x:c>
      <x:c r="B1468" t="str">
        <x:v>DW-0232</x:v>
      </x:c>
      <x:c r="C1468" t="str">
        <x:v>Composition héritée</x:v>
      </x:c>
      <x:c r="D1468" t="str">
        <x:v>Entrepôts et réserves</x:v>
      </x:c>
      <x:c r="E1468" t="str">
        <x:v>Centre de déménagement — Gare et fret / repli organisé interrompu</x:v>
      </x:c>
      <x:c r="F1468" t="n">
        <x:v>10</x:v>
      </x:c>
      <x:c r="G1468" t="n">
        <x:v>4</x:v>
      </x:c>
      <x:c r="H1468" t="n">
        <x:v>12</x:v>
      </x:c>
      <x:c r="I1468" t="str">
        <x:v>À qualifier par lieu</x:v>
      </x:c>
      <x:c r="J1468" t="str">
        <x:v>https://github.com/darknigthmare/deadwall-last-enclosure/blob/e28f46223e73105ab2c5d83f3d50b99b58ef53e6/codex-3000/compositions/Entrepôts et réserves/DW-1463.md</x:v>
      </x:c>
      <x:c r="K1468" t="str">
        <x:v>Source min 35,24 m ; max 200,125 m ; modèle 35 × 24 m ; niveaux 0. Détails dans catalogue-existant.json.</x:v>
      </x:c>
    </x:row>
    <x:row r="1469">
      <x:c r="A1469" t="str">
        <x:v>DW-1464</x:v>
      </x:c>
      <x:c r="B1469" t="str">
        <x:v>DW-0232</x:v>
      </x:c>
      <x:c r="C1469" t="str">
        <x:v>Composition héritée</x:v>
      </x:c>
      <x:c r="D1469" t="str">
        <x:v>Entrepôts et réserves</x:v>
      </x:c>
      <x:c r="E1469" t="str">
        <x:v>Centre de déménagement — Port marchand / première récupération passée</x:v>
      </x:c>
      <x:c r="F1469" t="n">
        <x:v>10</x:v>
      </x:c>
      <x:c r="G1469" t="n">
        <x:v>4</x:v>
      </x:c>
      <x:c r="H1469" t="n">
        <x:v>12</x:v>
      </x:c>
      <x:c r="I1469" t="str">
        <x:v>À qualifier par lieu</x:v>
      </x:c>
      <x:c r="J1469" t="str">
        <x:v>https://github.com/darknigthmare/deadwall-last-enclosure/blob/e28f46223e73105ab2c5d83f3d50b99b58ef53e6/codex-3000/compositions/Entrepôts et réserves/DW-1464.md</x:v>
      </x:c>
      <x:c r="K1469" t="str">
        <x:v>Source min 35,24 m ; max 200,125 m ; modèle 35 × 24 m ; niveaux 0. Détails dans catalogue-existant.json.</x:v>
      </x:c>
    </x:row>
    <x:row r="1470">
      <x:c r="A1470" t="str">
        <x:v>DW-1465</x:v>
      </x:c>
      <x:c r="B1470" t="str">
        <x:v>DW-0233</x:v>
      </x:c>
      <x:c r="C1470" t="str">
        <x:v>Composition héritée</x:v>
      </x:c>
      <x:c r="D1470" t="str">
        <x:v>Entrepôts et réserves</x:v>
      </x:c>
      <x:c r="E1470" t="str">
        <x:v>Dépôt scénique — Entrepôt et plateforme logistique / évacuation interrompue</x:v>
      </x:c>
      <x:c r="F1470" t="n">
        <x:v>8</x:v>
      </x:c>
      <x:c r="G1470" t="n">
        <x:v>5</x:v>
      </x:c>
      <x:c r="H1470" t="n">
        <x:v>15</x:v>
      </x:c>
      <x:c r="I1470" t="str">
        <x:v>À qualifier par lieu</x:v>
      </x:c>
      <x:c r="J1470" t="str">
        <x:v>https://github.com/darknigthmare/deadwall-last-enclosure/blob/e28f46223e73105ab2c5d83f3d50b99b58ef53e6/codex-3000/compositions/Entrepôts et réserves/DW-1465.md</x:v>
      </x:c>
      <x:c r="K1470" t="str">
        <x:v>Source min 35,24 m ; max 200,125 m ; modèle 35 × 24 m ; niveaux 0. Détails dans catalogue-existant.json.</x:v>
      </x:c>
    </x:row>
    <x:row r="1471">
      <x:c r="A1471" t="str">
        <x:v>DW-1466</x:v>
      </x:c>
      <x:c r="B1471" t="str">
        <x:v>DW-0233</x:v>
      </x:c>
      <x:c r="C1471" t="str">
        <x:v>Composition héritée</x:v>
      </x:c>
      <x:c r="D1471" t="str">
        <x:v>Entrepôts et réserves</x:v>
      </x:c>
      <x:c r="E1471" t="str">
        <x:v>Dépôt scénique — Zone industrielle / service déplacé à l’arrière</x:v>
      </x:c>
      <x:c r="F1471" t="n">
        <x:v>8</x:v>
      </x:c>
      <x:c r="G1471" t="n">
        <x:v>5</x:v>
      </x:c>
      <x:c r="H1471" t="n">
        <x:v>15</x:v>
      </x:c>
      <x:c r="I1471" t="str">
        <x:v>À qualifier par lieu</x:v>
      </x:c>
      <x:c r="J1471" t="str">
        <x:v>https://github.com/darknigthmare/deadwall-last-enclosure/blob/e28f46223e73105ab2c5d83f3d50b99b58ef53e6/codex-3000/compositions/Entrepôts et réserves/DW-1466.md</x:v>
      </x:c>
      <x:c r="K1471" t="str">
        <x:v>Source min 35,24 m ; max 200,125 m ; modèle 35 × 24 m ; niveaux 0. Détails dans catalogue-existant.json.</x:v>
      </x:c>
    </x:row>
    <x:row r="1472">
      <x:c r="A1472" t="str">
        <x:v>DW-1467</x:v>
      </x:c>
      <x:c r="B1472" t="str">
        <x:v>DW-0234</x:v>
      </x:c>
      <x:c r="C1472" t="str">
        <x:v>Composition héritée</x:v>
      </x:c>
      <x:c r="D1472" t="str">
        <x:v>Entrepôts et réserves</x:v>
      </x:c>
      <x:c r="E1472" t="str">
        <x:v>Réserve muséale — Port marchand / arrêt de maintenance</x:v>
      </x:c>
      <x:c r="F1472" t="n">
        <x:v>10</x:v>
      </x:c>
      <x:c r="G1472" t="n">
        <x:v>4</x:v>
      </x:c>
      <x:c r="H1472" t="n">
        <x:v>12</x:v>
      </x:c>
      <x:c r="I1472" t="str">
        <x:v>À qualifier par lieu</x:v>
      </x:c>
      <x:c r="J1472" t="str">
        <x:v>https://github.com/darknigthmare/deadwall-last-enclosure/blob/e28f46223e73105ab2c5d83f3d50b99b58ef53e6/codex-3000/compositions/Entrepôts et réserves/DW-1467.md</x:v>
      </x:c>
      <x:c r="K1472" t="str">
        <x:v>Source min 35,24 m ; max 200,125 m ; modèle 35 × 24 m ; niveaux 0. Détails dans catalogue-existant.json.</x:v>
      </x:c>
    </x:row>
    <x:row r="1473">
      <x:c r="A1473" t="str">
        <x:v>DW-1468</x:v>
      </x:c>
      <x:c r="B1473" t="str">
        <x:v>DW-0234</x:v>
      </x:c>
      <x:c r="C1473" t="str">
        <x:v>Composition héritée</x:v>
      </x:c>
      <x:c r="D1473" t="str">
        <x:v>Entrepôts et réserves</x:v>
      </x:c>
      <x:c r="E1473" t="str">
        <x:v>Réserve muséale — Gare et fret / reprise progressive de la végétation</x:v>
      </x:c>
      <x:c r="F1473" t="n">
        <x:v>10</x:v>
      </x:c>
      <x:c r="G1473" t="n">
        <x:v>4</x:v>
      </x:c>
      <x:c r="H1473" t="n">
        <x:v>12</x:v>
      </x:c>
      <x:c r="I1473" t="str">
        <x:v>À qualifier par lieu</x:v>
      </x:c>
      <x:c r="J1473" t="str">
        <x:v>https://github.com/darknigthmare/deadwall-last-enclosure/blob/e28f46223e73105ab2c5d83f3d50b99b58ef53e6/codex-3000/compositions/Entrepôts et réserves/DW-1468.md</x:v>
      </x:c>
      <x:c r="K1473" t="str">
        <x:v>Source min 35,24 m ; max 200,125 m ; modèle 35 × 24 m ; niveaux 0. Détails dans catalogue-existant.json.</x:v>
      </x:c>
    </x:row>
    <x:row r="1474">
      <x:c r="A1474" t="str">
        <x:v>DW-1469</x:v>
      </x:c>
      <x:c r="B1474" t="str">
        <x:v>DW-0235</x:v>
      </x:c>
      <x:c r="C1474" t="str">
        <x:v>Composition héritée</x:v>
      </x:c>
      <x:c r="D1474" t="str">
        <x:v>Entrepôts et réserves</x:v>
      </x:c>
      <x:c r="E1474" t="str">
        <x:v>Réserve hospitalière — Zone industrielle / première récupération passée</x:v>
      </x:c>
      <x:c r="F1474" t="n">
        <x:v>8</x:v>
      </x:c>
      <x:c r="G1474" t="n">
        <x:v>4</x:v>
      </x:c>
      <x:c r="H1474" t="n">
        <x:v>12</x:v>
      </x:c>
      <x:c r="I1474" t="str">
        <x:v>À qualifier par lieu</x:v>
      </x:c>
      <x:c r="J1474" t="str">
        <x:v>https://github.com/darknigthmare/deadwall-last-enclosure/blob/e28f46223e73105ab2c5d83f3d50b99b58ef53e6/codex-3000/compositions/Entrepôts et réserves/DW-1469.md</x:v>
      </x:c>
      <x:c r="K1474" t="str">
        <x:v>Source min 35,24 m ; max 200,125 m ; modèle 35 × 24 m ; niveaux 0. Détails dans catalogue-existant.json.</x:v>
      </x:c>
    </x:row>
    <x:row r="1475">
      <x:c r="A1475" t="str">
        <x:v>DW-1470</x:v>
      </x:c>
      <x:c r="B1475" t="str">
        <x:v>DW-0235</x:v>
      </x:c>
      <x:c r="C1475" t="str">
        <x:v>Composition héritée</x:v>
      </x:c>
      <x:c r="D1475" t="str">
        <x:v>Entrepôts et réserves</x:v>
      </x:c>
      <x:c r="E1475" t="str">
        <x:v>Réserve hospitalière — Entrepôt et plateforme logistique / relais temporaire envisagé</x:v>
      </x:c>
      <x:c r="F1475" t="n">
        <x:v>8</x:v>
      </x:c>
      <x:c r="G1475" t="n">
        <x:v>4</x:v>
      </x:c>
      <x:c r="H1475" t="n">
        <x:v>12</x:v>
      </x:c>
      <x:c r="I1475" t="str">
        <x:v>À qualifier par lieu</x:v>
      </x:c>
      <x:c r="J1475" t="str">
        <x:v>https://github.com/darknigthmare/deadwall-last-enclosure/blob/e28f46223e73105ab2c5d83f3d50b99b58ef53e6/codex-3000/compositions/Entrepôts et réserves/DW-1470.md</x:v>
      </x:c>
      <x:c r="K1475" t="str">
        <x:v>Source min 35,24 m ; max 200,125 m ; modèle 35 × 24 m ; niveaux 0. Détails dans catalogue-existant.json.</x:v>
      </x:c>
    </x:row>
    <x:row r="1476">
      <x:c r="A1476" t="str">
        <x:v>DW-1471</x:v>
      </x:c>
      <x:c r="B1476" t="str">
        <x:v>DW-0236</x:v>
      </x:c>
      <x:c r="C1476" t="str">
        <x:v>Composition héritée</x:v>
      </x:c>
      <x:c r="D1476" t="str">
        <x:v>Entrepôts et réserves</x:v>
      </x:c>
      <x:c r="E1476" t="str">
        <x:v>Dépôt de mobilier communal — Gare et fret / service déplacé à l’arrière</x:v>
      </x:c>
      <x:c r="F1476" t="n">
        <x:v>10</x:v>
      </x:c>
      <x:c r="G1476" t="n">
        <x:v>4</x:v>
      </x:c>
      <x:c r="H1476" t="n">
        <x:v>12</x:v>
      </x:c>
      <x:c r="I1476" t="str">
        <x:v>À qualifier par lieu</x:v>
      </x:c>
      <x:c r="J1476" t="str">
        <x:v>https://github.com/darknigthmare/deadwall-last-enclosure/blob/e28f46223e73105ab2c5d83f3d50b99b58ef53e6/codex-3000/compositions/Entrepôts et réserves/DW-1471.md</x:v>
      </x:c>
      <x:c r="K1476" t="str">
        <x:v>Source min 35,24 m ; max 200,125 m ; modèle 35 × 24 m ; niveaux 0. Détails dans catalogue-existant.json.</x:v>
      </x:c>
    </x:row>
    <x:row r="1477">
      <x:c r="A1477" t="str">
        <x:v>DW-1472</x:v>
      </x:c>
      <x:c r="B1477" t="str">
        <x:v>DW-0236</x:v>
      </x:c>
      <x:c r="C1477" t="str">
        <x:v>Composition héritée</x:v>
      </x:c>
      <x:c r="D1477" t="str">
        <x:v>Entrepôts et réserves</x:v>
      </x:c>
      <x:c r="E1477" t="str">
        <x:v>Dépôt de mobilier communal — Port marchand / réseau principal coupé</x:v>
      </x:c>
      <x:c r="F1477" t="n">
        <x:v>10</x:v>
      </x:c>
      <x:c r="G1477" t="n">
        <x:v>4</x:v>
      </x:c>
      <x:c r="H1477" t="n">
        <x:v>12</x:v>
      </x:c>
      <x:c r="I1477" t="str">
        <x:v>À qualifier par lieu</x:v>
      </x:c>
      <x:c r="J1477" t="str">
        <x:v>https://github.com/darknigthmare/deadwall-last-enclosure/blob/e28f46223e73105ab2c5d83f3d50b99b58ef53e6/codex-3000/compositions/Entrepôts et réserves/DW-1472.md</x:v>
      </x:c>
      <x:c r="K1477" t="str">
        <x:v>Source min 35,24 m ; max 200,125 m ; modèle 35 × 24 m ; niveaux 0. Détails dans catalogue-existant.json.</x:v>
      </x:c>
    </x:row>
    <x:row r="1478">
      <x:c r="A1478" t="str">
        <x:v>DW-1473</x:v>
      </x:c>
      <x:c r="B1478" t="str">
        <x:v>DW-0237</x:v>
      </x:c>
      <x:c r="C1478" t="str">
        <x:v>Composition héritée</x:v>
      </x:c>
      <x:c r="D1478" t="str">
        <x:v>Entrepôts et réserves</x:v>
      </x:c>
      <x:c r="E1478" t="str">
        <x:v>Recyclerie — Entrepôt et plateforme logistique / reprise progressive de la végétation</x:v>
      </x:c>
      <x:c r="F1478" t="n">
        <x:v>8</x:v>
      </x:c>
      <x:c r="G1478" t="n">
        <x:v>5</x:v>
      </x:c>
      <x:c r="H1478" t="n">
        <x:v>15</x:v>
      </x:c>
      <x:c r="I1478" t="str">
        <x:v>À qualifier par lieu</x:v>
      </x:c>
      <x:c r="J1478" t="str">
        <x:v>https://github.com/darknigthmare/deadwall-last-enclosure/blob/e28f46223e73105ab2c5d83f3d50b99b58ef53e6/codex-3000/compositions/Entrepôts et réserves/DW-1473.md</x:v>
      </x:c>
      <x:c r="K1478" t="str">
        <x:v>Source min 35,24 m ; max 200,125 m ; modèle 35 × 24 m ; niveaux 0. Détails dans catalogue-existant.json.</x:v>
      </x:c>
    </x:row>
    <x:row r="1479">
      <x:c r="A1479" t="str">
        <x:v>DW-1474</x:v>
      </x:c>
      <x:c r="B1479" t="str">
        <x:v>DW-0237</x:v>
      </x:c>
      <x:c r="C1479" t="str">
        <x:v>Composition héritée</x:v>
      </x:c>
      <x:c r="D1479" t="str">
        <x:v>Entrepôts et réserves</x:v>
      </x:c>
      <x:c r="E1479" t="str">
        <x:v>Recyclerie — Zone industrielle / repli organisé interrompu</x:v>
      </x:c>
      <x:c r="F1479" t="n">
        <x:v>8</x:v>
      </x:c>
      <x:c r="G1479" t="n">
        <x:v>5</x:v>
      </x:c>
      <x:c r="H1479" t="n">
        <x:v>15</x:v>
      </x:c>
      <x:c r="I1479" t="str">
        <x:v>À qualifier par lieu</x:v>
      </x:c>
      <x:c r="J1479" t="str">
        <x:v>https://github.com/darknigthmare/deadwall-last-enclosure/blob/e28f46223e73105ab2c5d83f3d50b99b58ef53e6/codex-3000/compositions/Entrepôts et réserves/DW-1474.md</x:v>
      </x:c>
      <x:c r="K1479" t="str">
        <x:v>Source min 35,24 m ; max 200,125 m ; modèle 35 × 24 m ; niveaux 0. Détails dans catalogue-existant.json.</x:v>
      </x:c>
    </x:row>
    <x:row r="1480">
      <x:c r="A1480" t="str">
        <x:v>DW-1475</x:v>
      </x:c>
      <x:c r="B1480" t="str">
        <x:v>DW-0238</x:v>
      </x:c>
      <x:c r="C1480" t="str">
        <x:v>Composition héritée</x:v>
      </x:c>
      <x:c r="D1480" t="str">
        <x:v>Entrepôts et réserves</x:v>
      </x:c>
      <x:c r="E1480" t="str">
        <x:v>Dépôt de colis automatisé — Port marchand / relais temporaire envisagé</x:v>
      </x:c>
      <x:c r="F1480" t="n">
        <x:v>10</x:v>
      </x:c>
      <x:c r="G1480" t="n">
        <x:v>4</x:v>
      </x:c>
      <x:c r="H1480" t="n">
        <x:v>12</x:v>
      </x:c>
      <x:c r="I1480" t="str">
        <x:v>À qualifier par lieu</x:v>
      </x:c>
      <x:c r="J1480" t="str">
        <x:v>https://github.com/darknigthmare/deadwall-last-enclosure/blob/e28f46223e73105ab2c5d83f3d50b99b58ef53e6/codex-3000/compositions/Entrepôts et réserves/DW-1475.md</x:v>
      </x:c>
      <x:c r="K1480" t="str">
        <x:v>Source min 35,24 m ; max 200,125 m ; modèle 35 × 24 m ; niveaux 0. Détails dans catalogue-existant.json.</x:v>
      </x:c>
    </x:row>
    <x:row r="1481">
      <x:c r="A1481" t="str">
        <x:v>DW-1476</x:v>
      </x:c>
      <x:c r="B1481" t="str">
        <x:v>DW-0238</x:v>
      </x:c>
      <x:c r="C1481" t="str">
        <x:v>Composition héritée</x:v>
      </x:c>
      <x:c r="D1481" t="str">
        <x:v>Entrepôts et réserves</x:v>
      </x:c>
      <x:c r="E1481" t="str">
        <x:v>Dépôt de colis automatisé — Gare et fret / évacuation interrompue</x:v>
      </x:c>
      <x:c r="F1481" t="n">
        <x:v>10</x:v>
      </x:c>
      <x:c r="G1481" t="n">
        <x:v>4</x:v>
      </x:c>
      <x:c r="H1481" t="n">
        <x:v>12</x:v>
      </x:c>
      <x:c r="I1481" t="str">
        <x:v>À qualifier par lieu</x:v>
      </x:c>
      <x:c r="J1481" t="str">
        <x:v>https://github.com/darknigthmare/deadwall-last-enclosure/blob/e28f46223e73105ab2c5d83f3d50b99b58ef53e6/codex-3000/compositions/Entrepôts et réserves/DW-1476.md</x:v>
      </x:c>
      <x:c r="K1481" t="str">
        <x:v>Source min 35,24 m ; max 200,125 m ; modèle 35 × 24 m ; niveaux 0. Détails dans catalogue-existant.json.</x:v>
      </x:c>
    </x:row>
    <x:row r="1482">
      <x:c r="A1482" t="str">
        <x:v>DW-1477</x:v>
      </x:c>
      <x:c r="B1482" t="str">
        <x:v>DW-0239</x:v>
      </x:c>
      <x:c r="C1482" t="str">
        <x:v>Composition héritée</x:v>
      </x:c>
      <x:c r="D1482" t="str">
        <x:v>Entrepôts et réserves</x:v>
      </x:c>
      <x:c r="E1482" t="str">
        <x:v>Entrepôt portuaire — Zone industrielle / réseau principal coupé</x:v>
      </x:c>
      <x:c r="F1482" t="n">
        <x:v>8</x:v>
      </x:c>
      <x:c r="G1482" t="n">
        <x:v>4</x:v>
      </x:c>
      <x:c r="H1482" t="n">
        <x:v>12</x:v>
      </x:c>
      <x:c r="I1482" t="str">
        <x:v>À qualifier par lieu</x:v>
      </x:c>
      <x:c r="J1482" t="str">
        <x:v>https://github.com/darknigthmare/deadwall-last-enclosure/blob/e28f46223e73105ab2c5d83f3d50b99b58ef53e6/codex-3000/compositions/Entrepôts et réserves/DW-1477.md</x:v>
      </x:c>
      <x:c r="K1482" t="str">
        <x:v>Source min 35,24 m ; max 200,125 m ; modèle 35 × 24 m ; niveaux 0. Détails dans catalogue-existant.json.</x:v>
      </x:c>
    </x:row>
    <x:row r="1483">
      <x:c r="A1483" t="str">
        <x:v>DW-1478</x:v>
      </x:c>
      <x:c r="B1483" t="str">
        <x:v>DW-0239</x:v>
      </x:c>
      <x:c r="C1483" t="str">
        <x:v>Composition héritée</x:v>
      </x:c>
      <x:c r="D1483" t="str">
        <x:v>Entrepôts et réserves</x:v>
      </x:c>
      <x:c r="E1483" t="str">
        <x:v>Entrepôt portuaire — Entrepôt et plateforme logistique / arrêt de maintenance</x:v>
      </x:c>
      <x:c r="F1483" t="n">
        <x:v>8</x:v>
      </x:c>
      <x:c r="G1483" t="n">
        <x:v>4</x:v>
      </x:c>
      <x:c r="H1483" t="n">
        <x:v>12</x:v>
      </x:c>
      <x:c r="I1483" t="str">
        <x:v>À qualifier par lieu</x:v>
      </x:c>
      <x:c r="J1483" t="str">
        <x:v>https://github.com/darknigthmare/deadwall-last-enclosure/blob/e28f46223e73105ab2c5d83f3d50b99b58ef53e6/codex-3000/compositions/Entrepôts et réserves/DW-1478.md</x:v>
      </x:c>
      <x:c r="K1483" t="str">
        <x:v>Source min 35,24 m ; max 200,125 m ; modèle 35 × 24 m ; niveaux 0. Détails dans catalogue-existant.json.</x:v>
      </x:c>
    </x:row>
    <x:row r="1484">
      <x:c r="A1484" t="str">
        <x:v>DW-1479</x:v>
      </x:c>
      <x:c r="B1484" t="str">
        <x:v>DW-0240</x:v>
      </x:c>
      <x:c r="C1484" t="str">
        <x:v>Composition héritée</x:v>
      </x:c>
      <x:c r="D1484" t="str">
        <x:v>Entrepôts et réserves</x:v>
      </x:c>
      <x:c r="E1484" t="str">
        <x:v>Dépôt de chantier temporaire — Gare et fret / repli organisé interrompu</x:v>
      </x:c>
      <x:c r="F1484" t="n">
        <x:v>10</x:v>
      </x:c>
      <x:c r="G1484" t="n">
        <x:v>4</x:v>
      </x:c>
      <x:c r="H1484" t="n">
        <x:v>12</x:v>
      </x:c>
      <x:c r="I1484" t="str">
        <x:v>À qualifier par lieu</x:v>
      </x:c>
      <x:c r="J1484" t="str">
        <x:v>https://github.com/darknigthmare/deadwall-last-enclosure/blob/e28f46223e73105ab2c5d83f3d50b99b58ef53e6/codex-3000/compositions/Entrepôts et réserves/DW-1479.md</x:v>
      </x:c>
      <x:c r="K1484" t="str">
        <x:v>Source min 35,24 m ; max 200,125 m ; modèle 35 × 24 m ; niveaux 0. Détails dans catalogue-existant.json.</x:v>
      </x:c>
    </x:row>
    <x:row r="1485">
      <x:c r="A1485" t="str">
        <x:v>DW-1480</x:v>
      </x:c>
      <x:c r="B1485" t="str">
        <x:v>DW-0240</x:v>
      </x:c>
      <x:c r="C1485" t="str">
        <x:v>Composition héritée</x:v>
      </x:c>
      <x:c r="D1485" t="str">
        <x:v>Entrepôts et réserves</x:v>
      </x:c>
      <x:c r="E1485" t="str">
        <x:v>Dépôt de chantier temporaire — Port marchand / première récupération passée</x:v>
      </x:c>
      <x:c r="F1485" t="n">
        <x:v>10</x:v>
      </x:c>
      <x:c r="G1485" t="n">
        <x:v>4</x:v>
      </x:c>
      <x:c r="H1485" t="n">
        <x:v>12</x:v>
      </x:c>
      <x:c r="I1485" t="str">
        <x:v>À qualifier par lieu</x:v>
      </x:c>
      <x:c r="J1485" t="str">
        <x:v>https://github.com/darknigthmare/deadwall-last-enclosure/blob/e28f46223e73105ab2c5d83f3d50b99b58ef53e6/codex-3000/compositions/Entrepôts et réserves/DW-1480.md</x:v>
      </x:c>
      <x:c r="K1485" t="str">
        <x:v>Source min 35,24 m ; max 200,125 m ; modèle 35 × 24 m ; niveaux 0. Détails dans catalogue-existant.json.</x:v>
      </x:c>
    </x:row>
    <x:row r="1486">
      <x:c r="A1486" t="str">
        <x:v>DW-1481</x:v>
      </x:c>
      <x:c r="B1486" t="str">
        <x:v>DW-0241</x:v>
      </x:c>
      <x:c r="C1486" t="str">
        <x:v>Composition héritée</x:v>
      </x:c>
      <x:c r="D1486" t="str">
        <x:v>Automobile et carburant</x:v>
      </x:c>
      <x:c r="E1486" t="str">
        <x:v>Garage automobile indépendant — Station-service et aire routière / évacuation interrompue</x:v>
      </x:c>
      <x:c r="F1486" t="n">
        <x:v>8</x:v>
      </x:c>
      <x:c r="G1486" t="n">
        <x:v>4</x:v>
      </x:c>
      <x:c r="H1486" t="n">
        <x:v>12</x:v>
      </x:c>
      <x:c r="I1486" t="str">
        <x:v>À qualifier par lieu</x:v>
      </x:c>
      <x:c r="J1486" t="str">
        <x:v>https://github.com/darknigthmare/deadwall-last-enclosure/blob/e28f46223e73105ab2c5d83f3d50b99b58ef53e6/codex-3000/compositions/Automobile et carburant/DW-1481.md</x:v>
      </x:c>
      <x:c r="K1486" t="str">
        <x:v>Source min 22,18 m ; max 100,85 m ; modèle 25 × 18 m ; niveaux 0. Détails dans catalogue-existant.json.</x:v>
      </x:c>
    </x:row>
    <x:row r="1487">
      <x:c r="A1487" t="str">
        <x:v>DW-1482</x:v>
      </x:c>
      <x:c r="B1487" t="str">
        <x:v>DW-0241</x:v>
      </x:c>
      <x:c r="C1487" t="str">
        <x:v>Composition héritée</x:v>
      </x:c>
      <x:c r="D1487" t="str">
        <x:v>Automobile et carburant</x:v>
      </x:c>
      <x:c r="E1487" t="str">
        <x:v>Garage automobile indépendant — Ville moyenne / service déplacé à l’arrière</x:v>
      </x:c>
      <x:c r="F1487" t="n">
        <x:v>8</x:v>
      </x:c>
      <x:c r="G1487" t="n">
        <x:v>4</x:v>
      </x:c>
      <x:c r="H1487" t="n">
        <x:v>12</x:v>
      </x:c>
      <x:c r="I1487" t="str">
        <x:v>À qualifier par lieu</x:v>
      </x:c>
      <x:c r="J1487" t="str">
        <x:v>https://github.com/darknigthmare/deadwall-last-enclosure/blob/e28f46223e73105ab2c5d83f3d50b99b58ef53e6/codex-3000/compositions/Automobile et carburant/DW-1482.md</x:v>
      </x:c>
      <x:c r="K1487" t="str">
        <x:v>Source min 22,18 m ; max 100,85 m ; modèle 25 × 18 m ; niveaux 0. Détails dans catalogue-existant.json.</x:v>
      </x:c>
    </x:row>
    <x:row r="1488">
      <x:c r="A1488" t="str">
        <x:v>DW-1483</x:v>
      </x:c>
      <x:c r="B1488" t="str">
        <x:v>DW-0242</x:v>
      </x:c>
      <x:c r="C1488" t="str">
        <x:v>Composition héritée</x:v>
      </x:c>
      <x:c r="D1488" t="str">
        <x:v>Automobile et carburant</x:v>
      </x:c>
      <x:c r="E1488" t="str">
        <x:v>Concession automobile — Zone industrielle / arrêt de maintenance</x:v>
      </x:c>
      <x:c r="F1488" t="n">
        <x:v>8</x:v>
      </x:c>
      <x:c r="G1488" t="n">
        <x:v>4</x:v>
      </x:c>
      <x:c r="H1488" t="n">
        <x:v>12</x:v>
      </x:c>
      <x:c r="I1488" t="str">
        <x:v>À qualifier par lieu</x:v>
      </x:c>
      <x:c r="J1488" t="str">
        <x:v>https://github.com/darknigthmare/deadwall-last-enclosure/blob/e28f46223e73105ab2c5d83f3d50b99b58ef53e6/codex-3000/compositions/Automobile et carburant/DW-1483.md</x:v>
      </x:c>
      <x:c r="K1488" t="str">
        <x:v>Source min 22,18 m ; max 100,85 m ; modèle 25 × 18 m ; niveaux 0. Détails dans catalogue-existant.json.</x:v>
      </x:c>
    </x:row>
    <x:row r="1489">
      <x:c r="A1489" t="str">
        <x:v>DW-1484</x:v>
      </x:c>
      <x:c r="B1489" t="str">
        <x:v>DW-0242</x:v>
      </x:c>
      <x:c r="C1489" t="str">
        <x:v>Composition héritée</x:v>
      </x:c>
      <x:c r="D1489" t="str">
        <x:v>Automobile et carburant</x:v>
      </x:c>
      <x:c r="E1489" t="str">
        <x:v>Concession automobile — Atelier et artisanat / reprise progressive de la végétation</x:v>
      </x:c>
      <x:c r="F1489" t="n">
        <x:v>8</x:v>
      </x:c>
      <x:c r="G1489" t="n">
        <x:v>4</x:v>
      </x:c>
      <x:c r="H1489" t="n">
        <x:v>12</x:v>
      </x:c>
      <x:c r="I1489" t="str">
        <x:v>À qualifier par lieu</x:v>
      </x:c>
      <x:c r="J1489" t="str">
        <x:v>https://github.com/darknigthmare/deadwall-last-enclosure/blob/e28f46223e73105ab2c5d83f3d50b99b58ef53e6/codex-3000/compositions/Automobile et carburant/DW-1484.md</x:v>
      </x:c>
      <x:c r="K1489" t="str">
        <x:v>Source min 22,18 m ; max 100,85 m ; modèle 25 × 18 m ; niveaux 0. Détails dans catalogue-existant.json.</x:v>
      </x:c>
    </x:row>
    <x:row r="1490">
      <x:c r="A1490" t="str">
        <x:v>DW-1485</x:v>
      </x:c>
      <x:c r="B1490" t="str">
        <x:v>DW-0243</x:v>
      </x:c>
      <x:c r="C1490" t="str">
        <x:v>Composition héritée</x:v>
      </x:c>
      <x:c r="D1490" t="str">
        <x:v>Automobile et carburant</x:v>
      </x:c>
      <x:c r="E1490" t="str">
        <x:v>Carrosserie — Ville moyenne / première récupération passée</x:v>
      </x:c>
      <x:c r="F1490" t="n">
        <x:v>8</x:v>
      </x:c>
      <x:c r="G1490" t="n">
        <x:v>4</x:v>
      </x:c>
      <x:c r="H1490" t="n">
        <x:v>12</x:v>
      </x:c>
      <x:c r="I1490" t="str">
        <x:v>À qualifier par lieu</x:v>
      </x:c>
      <x:c r="J1490" t="str">
        <x:v>https://github.com/darknigthmare/deadwall-last-enclosure/blob/e28f46223e73105ab2c5d83f3d50b99b58ef53e6/codex-3000/compositions/Automobile et carburant/DW-1485.md</x:v>
      </x:c>
      <x:c r="K1490" t="str">
        <x:v>Source min 22,18 m ; max 100,85 m ; modèle 25 × 18 m ; niveaux 0. Détails dans catalogue-existant.json.</x:v>
      </x:c>
    </x:row>
    <x:row r="1491">
      <x:c r="A1491" t="str">
        <x:v>DW-1486</x:v>
      </x:c>
      <x:c r="B1491" t="str">
        <x:v>DW-0243</x:v>
      </x:c>
      <x:c r="C1491" t="str">
        <x:v>Composition héritée</x:v>
      </x:c>
      <x:c r="D1491" t="str">
        <x:v>Automobile et carburant</x:v>
      </x:c>
      <x:c r="E1491" t="str">
        <x:v>Carrosserie — Station-service et aire routière / relais temporaire envisagé</x:v>
      </x:c>
      <x:c r="F1491" t="n">
        <x:v>8</x:v>
      </x:c>
      <x:c r="G1491" t="n">
        <x:v>4</x:v>
      </x:c>
      <x:c r="H1491" t="n">
        <x:v>12</x:v>
      </x:c>
      <x:c r="I1491" t="str">
        <x:v>À qualifier par lieu</x:v>
      </x:c>
      <x:c r="J1491" t="str">
        <x:v>https://github.com/darknigthmare/deadwall-last-enclosure/blob/e28f46223e73105ab2c5d83f3d50b99b58ef53e6/codex-3000/compositions/Automobile et carburant/DW-1486.md</x:v>
      </x:c>
      <x:c r="K1491" t="str">
        <x:v>Source min 22,18 m ; max 100,85 m ; modèle 25 × 18 m ; niveaux 0. Détails dans catalogue-existant.json.</x:v>
      </x:c>
    </x:row>
    <x:row r="1492">
      <x:c r="A1492" t="str">
        <x:v>DW-1487</x:v>
      </x:c>
      <x:c r="B1492" t="str">
        <x:v>DW-0244</x:v>
      </x:c>
      <x:c r="C1492" t="str">
        <x:v>Composition héritée</x:v>
      </x:c>
      <x:c r="D1492" t="str">
        <x:v>Automobile et carburant</x:v>
      </x:c>
      <x:c r="E1492" t="str">
        <x:v>Atelier de pneumatiques — Atelier et artisanat / service déplacé à l’arrière</x:v>
      </x:c>
      <x:c r="F1492" t="n">
        <x:v>8</x:v>
      </x:c>
      <x:c r="G1492" t="n">
        <x:v>4</x:v>
      </x:c>
      <x:c r="H1492" t="n">
        <x:v>12</x:v>
      </x:c>
      <x:c r="I1492" t="str">
        <x:v>À qualifier par lieu</x:v>
      </x:c>
      <x:c r="J1492" t="str">
        <x:v>https://github.com/darknigthmare/deadwall-last-enclosure/blob/e28f46223e73105ab2c5d83f3d50b99b58ef53e6/codex-3000/compositions/Automobile et carburant/DW-1487.md</x:v>
      </x:c>
      <x:c r="K1492" t="str">
        <x:v>Source min 22,18 m ; max 100,85 m ; modèle 25 × 18 m ; niveaux 0. Détails dans catalogue-existant.json.</x:v>
      </x:c>
    </x:row>
    <x:row r="1493">
      <x:c r="A1493" t="str">
        <x:v>DW-1488</x:v>
      </x:c>
      <x:c r="B1493" t="str">
        <x:v>DW-0244</x:v>
      </x:c>
      <x:c r="C1493" t="str">
        <x:v>Composition héritée</x:v>
      </x:c>
      <x:c r="D1493" t="str">
        <x:v>Automobile et carburant</x:v>
      </x:c>
      <x:c r="E1493" t="str">
        <x:v>Atelier de pneumatiques — Zone industrielle / réseau principal coupé</x:v>
      </x:c>
      <x:c r="F1493" t="n">
        <x:v>8</x:v>
      </x:c>
      <x:c r="G1493" t="n">
        <x:v>4</x:v>
      </x:c>
      <x:c r="H1493" t="n">
        <x:v>12</x:v>
      </x:c>
      <x:c r="I1493" t="str">
        <x:v>À qualifier par lieu</x:v>
      </x:c>
      <x:c r="J1493" t="str">
        <x:v>https://github.com/darknigthmare/deadwall-last-enclosure/blob/e28f46223e73105ab2c5d83f3d50b99b58ef53e6/codex-3000/compositions/Automobile et carburant/DW-1488.md</x:v>
      </x:c>
      <x:c r="K1493" t="str">
        <x:v>Source min 22,18 m ; max 100,85 m ; modèle 25 × 18 m ; niveaux 0. Détails dans catalogue-existant.json.</x:v>
      </x:c>
    </x:row>
    <x:row r="1494">
      <x:c r="A1494" t="str">
        <x:v>DW-1489</x:v>
      </x:c>
      <x:c r="B1494" t="str">
        <x:v>DW-0245</x:v>
      </x:c>
      <x:c r="C1494" t="str">
        <x:v>Composition héritée</x:v>
      </x:c>
      <x:c r="D1494" t="str">
        <x:v>Automobile et carburant</x:v>
      </x:c>
      <x:c r="E1494" t="str">
        <x:v>Station de contrôle technique — Station-service et aire routière / reprise progressive de la végétation</x:v>
      </x:c>
      <x:c r="F1494" t="n">
        <x:v>8</x:v>
      </x:c>
      <x:c r="G1494" t="n">
        <x:v>4</x:v>
      </x:c>
      <x:c r="H1494" t="n">
        <x:v>12</x:v>
      </x:c>
      <x:c r="I1494" t="str">
        <x:v>À qualifier par lieu</x:v>
      </x:c>
      <x:c r="J1494" t="str">
        <x:v>https://github.com/darknigthmare/deadwall-last-enclosure/blob/e28f46223e73105ab2c5d83f3d50b99b58ef53e6/codex-3000/compositions/Automobile et carburant/DW-1489.md</x:v>
      </x:c>
      <x:c r="K1494" t="str">
        <x:v>Source min 22,18 m ; max 100,85 m ; modèle 25 × 18 m ; niveaux 0. Détails dans catalogue-existant.json.</x:v>
      </x:c>
    </x:row>
    <x:row r="1495">
      <x:c r="A1495" t="str">
        <x:v>DW-1490</x:v>
      </x:c>
      <x:c r="B1495" t="str">
        <x:v>DW-0245</x:v>
      </x:c>
      <x:c r="C1495" t="str">
        <x:v>Composition héritée</x:v>
      </x:c>
      <x:c r="D1495" t="str">
        <x:v>Automobile et carburant</x:v>
      </x:c>
      <x:c r="E1495" t="str">
        <x:v>Station de contrôle technique — Ville moyenne / repli organisé interrompu</x:v>
      </x:c>
      <x:c r="F1495" t="n">
        <x:v>8</x:v>
      </x:c>
      <x:c r="G1495" t="n">
        <x:v>4</x:v>
      </x:c>
      <x:c r="H1495" t="n">
        <x:v>12</x:v>
      </x:c>
      <x:c r="I1495" t="str">
        <x:v>À qualifier par lieu</x:v>
      </x:c>
      <x:c r="J1495" t="str">
        <x:v>https://github.com/darknigthmare/deadwall-last-enclosure/blob/e28f46223e73105ab2c5d83f3d50b99b58ef53e6/codex-3000/compositions/Automobile et carburant/DW-1490.md</x:v>
      </x:c>
      <x:c r="K1495" t="str">
        <x:v>Source min 22,18 m ; max 100,85 m ; modèle 25 × 18 m ; niveaux 0. Détails dans catalogue-existant.json.</x:v>
      </x:c>
    </x:row>
    <x:row r="1496">
      <x:c r="A1496" t="str">
        <x:v>DW-1491</x:v>
      </x:c>
      <x:c r="B1496" t="str">
        <x:v>DW-0246</x:v>
      </x:c>
      <x:c r="C1496" t="str">
        <x:v>Composition héritée</x:v>
      </x:c>
      <x:c r="D1496" t="str">
        <x:v>Automobile et carburant</x:v>
      </x:c>
      <x:c r="E1496" t="str">
        <x:v>Lavage automobile — Zone industrielle / relais temporaire envisagé</x:v>
      </x:c>
      <x:c r="F1496" t="n">
        <x:v>8</x:v>
      </x:c>
      <x:c r="G1496" t="n">
        <x:v>4</x:v>
      </x:c>
      <x:c r="H1496" t="n">
        <x:v>12</x:v>
      </x:c>
      <x:c r="I1496" t="str">
        <x:v>À qualifier par lieu</x:v>
      </x:c>
      <x:c r="J1496" t="str">
        <x:v>https://github.com/darknigthmare/deadwall-last-enclosure/blob/e28f46223e73105ab2c5d83f3d50b99b58ef53e6/codex-3000/compositions/Automobile et carburant/DW-1491.md</x:v>
      </x:c>
      <x:c r="K1496" t="str">
        <x:v>Source min 22,18 m ; max 100,85 m ; modèle 25 × 18 m ; niveaux 0. Détails dans catalogue-existant.json.</x:v>
      </x:c>
    </x:row>
    <x:row r="1497">
      <x:c r="A1497" t="str">
        <x:v>DW-1492</x:v>
      </x:c>
      <x:c r="B1497" t="str">
        <x:v>DW-0246</x:v>
      </x:c>
      <x:c r="C1497" t="str">
        <x:v>Composition héritée</x:v>
      </x:c>
      <x:c r="D1497" t="str">
        <x:v>Automobile et carburant</x:v>
      </x:c>
      <x:c r="E1497" t="str">
        <x:v>Lavage automobile — Atelier et artisanat / évacuation interrompue</x:v>
      </x:c>
      <x:c r="F1497" t="n">
        <x:v>8</x:v>
      </x:c>
      <x:c r="G1497" t="n">
        <x:v>4</x:v>
      </x:c>
      <x:c r="H1497" t="n">
        <x:v>12</x:v>
      </x:c>
      <x:c r="I1497" t="str">
        <x:v>À qualifier par lieu</x:v>
      </x:c>
      <x:c r="J1497" t="str">
        <x:v>https://github.com/darknigthmare/deadwall-last-enclosure/blob/e28f46223e73105ab2c5d83f3d50b99b58ef53e6/codex-3000/compositions/Automobile et carburant/DW-1492.md</x:v>
      </x:c>
      <x:c r="K1497" t="str">
        <x:v>Source min 22,18 m ; max 100,85 m ; modèle 25 × 18 m ; niveaux 0. Détails dans catalogue-existant.json.</x:v>
      </x:c>
    </x:row>
    <x:row r="1498">
      <x:c r="A1498" t="str">
        <x:v>DW-1493</x:v>
      </x:c>
      <x:c r="B1498" t="str">
        <x:v>DW-0247</x:v>
      </x:c>
      <x:c r="C1498" t="str">
        <x:v>Composition héritée</x:v>
      </x:c>
      <x:c r="D1498" t="str">
        <x:v>Automobile et carburant</x:v>
      </x:c>
      <x:c r="E1498" t="str">
        <x:v>Station-service de village — Ville moyenne / réseau principal coupé</x:v>
      </x:c>
      <x:c r="F1498" t="n">
        <x:v>8</x:v>
      </x:c>
      <x:c r="G1498" t="n">
        <x:v>4</x:v>
      </x:c>
      <x:c r="H1498" t="n">
        <x:v>12</x:v>
      </x:c>
      <x:c r="I1498" t="str">
        <x:v>À qualifier par lieu</x:v>
      </x:c>
      <x:c r="J1498" t="str">
        <x:v>https://github.com/darknigthmare/deadwall-last-enclosure/blob/e28f46223e73105ab2c5d83f3d50b99b58ef53e6/codex-3000/compositions/Automobile et carburant/DW-1493.md</x:v>
      </x:c>
      <x:c r="K1498" t="str">
        <x:v>Source min 22,18 m ; max 100,85 m ; modèle 25 × 18 m ; niveaux 0. Détails dans catalogue-existant.json.</x:v>
      </x:c>
    </x:row>
    <x:row r="1499">
      <x:c r="A1499" t="str">
        <x:v>DW-1494</x:v>
      </x:c>
      <x:c r="B1499" t="str">
        <x:v>DW-0247</x:v>
      </x:c>
      <x:c r="C1499" t="str">
        <x:v>Composition héritée</x:v>
      </x:c>
      <x:c r="D1499" t="str">
        <x:v>Automobile et carburant</x:v>
      </x:c>
      <x:c r="E1499" t="str">
        <x:v>Station-service de village — Station-service et aire routière / arrêt de maintenance</x:v>
      </x:c>
      <x:c r="F1499" t="n">
        <x:v>8</x:v>
      </x:c>
      <x:c r="G1499" t="n">
        <x:v>4</x:v>
      </x:c>
      <x:c r="H1499" t="n">
        <x:v>12</x:v>
      </x:c>
      <x:c r="I1499" t="str">
        <x:v>À qualifier par lieu</x:v>
      </x:c>
      <x:c r="J1499" t="str">
        <x:v>https://github.com/darknigthmare/deadwall-last-enclosure/blob/e28f46223e73105ab2c5d83f3d50b99b58ef53e6/codex-3000/compositions/Automobile et carburant/DW-1494.md</x:v>
      </x:c>
      <x:c r="K1499" t="str">
        <x:v>Source min 22,18 m ; max 100,85 m ; modèle 25 × 18 m ; niveaux 0. Détails dans catalogue-existant.json.</x:v>
      </x:c>
    </x:row>
    <x:row r="1500">
      <x:c r="A1500" t="str">
        <x:v>DW-1495</x:v>
      </x:c>
      <x:c r="B1500" t="str">
        <x:v>DW-0248</x:v>
      </x:c>
      <x:c r="C1500" t="str">
        <x:v>Composition héritée</x:v>
      </x:c>
      <x:c r="D1500" t="str">
        <x:v>Automobile et carburant</x:v>
      </x:c>
      <x:c r="E1500" t="str">
        <x:v>Station autoroutière — Atelier et artisanat / repli organisé interrompu</x:v>
      </x:c>
      <x:c r="F1500" t="n">
        <x:v>8</x:v>
      </x:c>
      <x:c r="G1500" t="n">
        <x:v>5</x:v>
      </x:c>
      <x:c r="H1500" t="n">
        <x:v>15</x:v>
      </x:c>
      <x:c r="I1500" t="str">
        <x:v>À qualifier par lieu</x:v>
      </x:c>
      <x:c r="J1500" t="str">
        <x:v>https://github.com/darknigthmare/deadwall-last-enclosure/blob/e28f46223e73105ab2c5d83f3d50b99b58ef53e6/codex-3000/compositions/Automobile et carburant/DW-1495.md</x:v>
      </x:c>
      <x:c r="K1500" t="str">
        <x:v>Source min 22,18 m ; max 100,85 m ; modèle 26 × 22 m ; niveaux 0. Détails dans catalogue-existant.json.</x:v>
      </x:c>
    </x:row>
    <x:row r="1501">
      <x:c r="A1501" t="str">
        <x:v>DW-1496</x:v>
      </x:c>
      <x:c r="B1501" t="str">
        <x:v>DW-0248</x:v>
      </x:c>
      <x:c r="C1501" t="str">
        <x:v>Composition héritée</x:v>
      </x:c>
      <x:c r="D1501" t="str">
        <x:v>Automobile et carburant</x:v>
      </x:c>
      <x:c r="E1501" t="str">
        <x:v>Station autoroutière — Zone industrielle / première récupération passée</x:v>
      </x:c>
      <x:c r="F1501" t="n">
        <x:v>8</x:v>
      </x:c>
      <x:c r="G1501" t="n">
        <x:v>5</x:v>
      </x:c>
      <x:c r="H1501" t="n">
        <x:v>15</x:v>
      </x:c>
      <x:c r="I1501" t="str">
        <x:v>À qualifier par lieu</x:v>
      </x:c>
      <x:c r="J1501" t="str">
        <x:v>https://github.com/darknigthmare/deadwall-last-enclosure/blob/e28f46223e73105ab2c5d83f3d50b99b58ef53e6/codex-3000/compositions/Automobile et carburant/DW-1496.md</x:v>
      </x:c>
      <x:c r="K1501" t="str">
        <x:v>Source min 22,18 m ; max 100,85 m ; modèle 26 × 22 m ; niveaux 0. Détails dans catalogue-existant.json.</x:v>
      </x:c>
    </x:row>
    <x:row r="1502">
      <x:c r="A1502" t="str">
        <x:v>DW-1497</x:v>
      </x:c>
      <x:c r="B1502" t="str">
        <x:v>DW-0249</x:v>
      </x:c>
      <x:c r="C1502" t="str">
        <x:v>Composition héritée</x:v>
      </x:c>
      <x:c r="D1502" t="str">
        <x:v>Automobile et carburant</x:v>
      </x:c>
      <x:c r="E1502" t="str">
        <x:v>Station urbaine compacte — Station-service et aire routière / évacuation interrompue</x:v>
      </x:c>
      <x:c r="F1502" t="n">
        <x:v>8</x:v>
      </x:c>
      <x:c r="G1502" t="n">
        <x:v>4</x:v>
      </x:c>
      <x:c r="H1502" t="n">
        <x:v>12</x:v>
      </x:c>
      <x:c r="I1502" t="str">
        <x:v>À qualifier par lieu</x:v>
      </x:c>
      <x:c r="J1502" t="str">
        <x:v>https://github.com/darknigthmare/deadwall-last-enclosure/blob/e28f46223e73105ab2c5d83f3d50b99b58ef53e6/codex-3000/compositions/Automobile et carburant/DW-1497.md</x:v>
      </x:c>
      <x:c r="K1502" t="str">
        <x:v>Source min 22,18 m ; max 100,85 m ; modèle 25 × 18 m ; niveaux 0. Détails dans catalogue-existant.json.</x:v>
      </x:c>
    </x:row>
    <x:row r="1503">
      <x:c r="A1503" t="str">
        <x:v>DW-1498</x:v>
      </x:c>
      <x:c r="B1503" t="str">
        <x:v>DW-0249</x:v>
      </x:c>
      <x:c r="C1503" t="str">
        <x:v>Composition héritée</x:v>
      </x:c>
      <x:c r="D1503" t="str">
        <x:v>Automobile et carburant</x:v>
      </x:c>
      <x:c r="E1503" t="str">
        <x:v>Station urbaine compacte — Ville moyenne / service déplacé à l’arrière</x:v>
      </x:c>
      <x:c r="F1503" t="n">
        <x:v>8</x:v>
      </x:c>
      <x:c r="G1503" t="n">
        <x:v>4</x:v>
      </x:c>
      <x:c r="H1503" t="n">
        <x:v>12</x:v>
      </x:c>
      <x:c r="I1503" t="str">
        <x:v>À qualifier par lieu</x:v>
      </x:c>
      <x:c r="J1503" t="str">
        <x:v>https://github.com/darknigthmare/deadwall-last-enclosure/blob/e28f46223e73105ab2c5d83f3d50b99b58ef53e6/codex-3000/compositions/Automobile et carburant/DW-1498.md</x:v>
      </x:c>
      <x:c r="K1503" t="str">
        <x:v>Source min 22,18 m ; max 100,85 m ; modèle 25 × 18 m ; niveaux 0. Détails dans catalogue-existant.json.</x:v>
      </x:c>
    </x:row>
    <x:row r="1504">
      <x:c r="A1504" t="str">
        <x:v>DW-1499</x:v>
      </x:c>
      <x:c r="B1504" t="str">
        <x:v>DW-0250</x:v>
      </x:c>
      <x:c r="C1504" t="str">
        <x:v>Composition héritée</x:v>
      </x:c>
      <x:c r="D1504" t="str">
        <x:v>Automobile et carburant</x:v>
      </x:c>
      <x:c r="E1504" t="str">
        <x:v>Dépôt civil de carburant — Zone industrielle / arrêt de maintenance</x:v>
      </x:c>
      <x:c r="F1504" t="n">
        <x:v>8</x:v>
      </x:c>
      <x:c r="G1504" t="n">
        <x:v>4</x:v>
      </x:c>
      <x:c r="H1504" t="n">
        <x:v>12</x:v>
      </x:c>
      <x:c r="I1504" t="str">
        <x:v>À qualifier par lieu</x:v>
      </x:c>
      <x:c r="J1504" t="str">
        <x:v>https://github.com/darknigthmare/deadwall-last-enclosure/blob/e28f46223e73105ab2c5d83f3d50b99b58ef53e6/codex-3000/compositions/Automobile et carburant/DW-1499.md</x:v>
      </x:c>
      <x:c r="K1504" t="str">
        <x:v>Source min 22,18 m ; max 100,85 m ; modèle 25 × 18 m ; niveaux 0. Détails dans catalogue-existant.json.</x:v>
      </x:c>
    </x:row>
    <x:row r="1505">
      <x:c r="A1505" t="str">
        <x:v>DW-1500</x:v>
      </x:c>
      <x:c r="B1505" t="str">
        <x:v>DW-0250</x:v>
      </x:c>
      <x:c r="C1505" t="str">
        <x:v>Composition héritée</x:v>
      </x:c>
      <x:c r="D1505" t="str">
        <x:v>Automobile et carburant</x:v>
      </x:c>
      <x:c r="E1505" t="str">
        <x:v>Dépôt civil de carburant — Atelier et artisanat / reprise progressive de la végétation</x:v>
      </x:c>
      <x:c r="F1505" t="n">
        <x:v>8</x:v>
      </x:c>
      <x:c r="G1505" t="n">
        <x:v>4</x:v>
      </x:c>
      <x:c r="H1505" t="n">
        <x:v>12</x:v>
      </x:c>
      <x:c r="I1505" t="str">
        <x:v>À qualifier par lieu</x:v>
      </x:c>
      <x:c r="J1505" t="str">
        <x:v>https://github.com/darknigthmare/deadwall-last-enclosure/blob/e28f46223e73105ab2c5d83f3d50b99b58ef53e6/codex-3000/compositions/Automobile et carburant/DW-1500.md</x:v>
      </x:c>
      <x:c r="K1505" t="str">
        <x:v>Source min 22,18 m ; max 100,85 m ; modèle 25 × 18 m ; niveaux 0. Détails dans catalogue-existant.json.</x:v>
      </x:c>
    </x:row>
    <x:row r="1506">
      <x:c r="A1506" t="str">
        <x:v>DW-1501</x:v>
      </x:c>
      <x:c r="B1506" t="str">
        <x:v>DW-0251</x:v>
      </x:c>
      <x:c r="C1506" t="str">
        <x:v>Composition héritée</x:v>
      </x:c>
      <x:c r="D1506" t="str">
        <x:v>Automobile et carburant</x:v>
      </x:c>
      <x:c r="E1506" t="str">
        <x:v>Casse automobile — Ville moyenne / première récupération passée</x:v>
      </x:c>
      <x:c r="F1506" t="n">
        <x:v>8</x:v>
      </x:c>
      <x:c r="G1506" t="n">
        <x:v>5</x:v>
      </x:c>
      <x:c r="H1506" t="n">
        <x:v>15</x:v>
      </x:c>
      <x:c r="I1506" t="str">
        <x:v>À qualifier par lieu</x:v>
      </x:c>
      <x:c r="J1506" t="str">
        <x:v>https://github.com/darknigthmare/deadwall-last-enclosure/blob/e28f46223e73105ab2c5d83f3d50b99b58ef53e6/codex-3000/compositions/Automobile et carburant/DW-1501.md</x:v>
      </x:c>
      <x:c r="K1506" t="str">
        <x:v>Source min 22,18 m ; max 100,85 m ; modèle 26 × 22 m ; niveaux 0. Détails dans catalogue-existant.json.</x:v>
      </x:c>
    </x:row>
    <x:row r="1507">
      <x:c r="A1507" t="str">
        <x:v>DW-1502</x:v>
      </x:c>
      <x:c r="B1507" t="str">
        <x:v>DW-0251</x:v>
      </x:c>
      <x:c r="C1507" t="str">
        <x:v>Composition héritée</x:v>
      </x:c>
      <x:c r="D1507" t="str">
        <x:v>Automobile et carburant</x:v>
      </x:c>
      <x:c r="E1507" t="str">
        <x:v>Casse automobile — Station-service et aire routière / relais temporaire envisagé</x:v>
      </x:c>
      <x:c r="F1507" t="n">
        <x:v>8</x:v>
      </x:c>
      <x:c r="G1507" t="n">
        <x:v>5</x:v>
      </x:c>
      <x:c r="H1507" t="n">
        <x:v>15</x:v>
      </x:c>
      <x:c r="I1507" t="str">
        <x:v>À qualifier par lieu</x:v>
      </x:c>
      <x:c r="J1507" t="str">
        <x:v>https://github.com/darknigthmare/deadwall-last-enclosure/blob/e28f46223e73105ab2c5d83f3d50b99b58ef53e6/codex-3000/compositions/Automobile et carburant/DW-1502.md</x:v>
      </x:c>
      <x:c r="K1507" t="str">
        <x:v>Source min 22,18 m ; max 100,85 m ; modèle 26 × 22 m ; niveaux 0. Détails dans catalogue-existant.json.</x:v>
      </x:c>
    </x:row>
    <x:row r="1508">
      <x:c r="A1508" t="str">
        <x:v>DW-1503</x:v>
      </x:c>
      <x:c r="B1508" t="str">
        <x:v>DW-0252</x:v>
      </x:c>
      <x:c r="C1508" t="str">
        <x:v>Composition héritée</x:v>
      </x:c>
      <x:c r="D1508" t="str">
        <x:v>Automobile et carburant</x:v>
      </x:c>
      <x:c r="E1508" t="str">
        <x:v>Dépanneur routier — Atelier et artisanat / service déplacé à l’arrière</x:v>
      </x:c>
      <x:c r="F1508" t="n">
        <x:v>8</x:v>
      </x:c>
      <x:c r="G1508" t="n">
        <x:v>4</x:v>
      </x:c>
      <x:c r="H1508" t="n">
        <x:v>12</x:v>
      </x:c>
      <x:c r="I1508" t="str">
        <x:v>À qualifier par lieu</x:v>
      </x:c>
      <x:c r="J1508" t="str">
        <x:v>https://github.com/darknigthmare/deadwall-last-enclosure/blob/e28f46223e73105ab2c5d83f3d50b99b58ef53e6/codex-3000/compositions/Automobile et carburant/DW-1503.md</x:v>
      </x:c>
      <x:c r="K1508" t="str">
        <x:v>Source min 22,18 m ; max 100,85 m ; modèle 25 × 18 m ; niveaux 0. Détails dans catalogue-existant.json.</x:v>
      </x:c>
    </x:row>
    <x:row r="1509">
      <x:c r="A1509" t="str">
        <x:v>DW-1504</x:v>
      </x:c>
      <x:c r="B1509" t="str">
        <x:v>DW-0252</x:v>
      </x:c>
      <x:c r="C1509" t="str">
        <x:v>Composition héritée</x:v>
      </x:c>
      <x:c r="D1509" t="str">
        <x:v>Automobile et carburant</x:v>
      </x:c>
      <x:c r="E1509" t="str">
        <x:v>Dépanneur routier — Zone industrielle / réseau principal coupé</x:v>
      </x:c>
      <x:c r="F1509" t="n">
        <x:v>8</x:v>
      </x:c>
      <x:c r="G1509" t="n">
        <x:v>4</x:v>
      </x:c>
      <x:c r="H1509" t="n">
        <x:v>12</x:v>
      </x:c>
      <x:c r="I1509" t="str">
        <x:v>À qualifier par lieu</x:v>
      </x:c>
      <x:c r="J1509" t="str">
        <x:v>https://github.com/darknigthmare/deadwall-last-enclosure/blob/e28f46223e73105ab2c5d83f3d50b99b58ef53e6/codex-3000/compositions/Automobile et carburant/DW-1504.md</x:v>
      </x:c>
      <x:c r="K1509" t="str">
        <x:v>Source min 22,18 m ; max 100,85 m ; modèle 25 × 18 m ; niveaux 0. Détails dans catalogue-existant.json.</x:v>
      </x:c>
    </x:row>
    <x:row r="1510">
      <x:c r="A1510" t="str">
        <x:v>DW-1505</x:v>
      </x:c>
      <x:c r="B1510" t="str">
        <x:v>DW-0253</x:v>
      </x:c>
      <x:c r="C1510" t="str">
        <x:v>Composition héritée</x:v>
      </x:c>
      <x:c r="D1510" t="str">
        <x:v>Automobile et carburant</x:v>
      </x:c>
      <x:c r="E1510" t="str">
        <x:v>Location de véhicules — Station-service et aire routière / reprise progressive de la végétation</x:v>
      </x:c>
      <x:c r="F1510" t="n">
        <x:v>8</x:v>
      </x:c>
      <x:c r="G1510" t="n">
        <x:v>4</x:v>
      </x:c>
      <x:c r="H1510" t="n">
        <x:v>12</x:v>
      </x:c>
      <x:c r="I1510" t="str">
        <x:v>À qualifier par lieu</x:v>
      </x:c>
      <x:c r="J1510" t="str">
        <x:v>https://github.com/darknigthmare/deadwall-last-enclosure/blob/e28f46223e73105ab2c5d83f3d50b99b58ef53e6/codex-3000/compositions/Automobile et carburant/DW-1505.md</x:v>
      </x:c>
      <x:c r="K1510" t="str">
        <x:v>Source min 22,18 m ; max 100,85 m ; modèle 25 × 18 m ; niveaux 0. Détails dans catalogue-existant.json.</x:v>
      </x:c>
    </x:row>
    <x:row r="1511">
      <x:c r="A1511" t="str">
        <x:v>DW-1506</x:v>
      </x:c>
      <x:c r="B1511" t="str">
        <x:v>DW-0253</x:v>
      </x:c>
      <x:c r="C1511" t="str">
        <x:v>Composition héritée</x:v>
      </x:c>
      <x:c r="D1511" t="str">
        <x:v>Automobile et carburant</x:v>
      </x:c>
      <x:c r="E1511" t="str">
        <x:v>Location de véhicules — Ville moyenne / repli organisé interrompu</x:v>
      </x:c>
      <x:c r="F1511" t="n">
        <x:v>8</x:v>
      </x:c>
      <x:c r="G1511" t="n">
        <x:v>4</x:v>
      </x:c>
      <x:c r="H1511" t="n">
        <x:v>12</x:v>
      </x:c>
      <x:c r="I1511" t="str">
        <x:v>À qualifier par lieu</x:v>
      </x:c>
      <x:c r="J1511" t="str">
        <x:v>https://github.com/darknigthmare/deadwall-last-enclosure/blob/e28f46223e73105ab2c5d83f3d50b99b58ef53e6/codex-3000/compositions/Automobile et carburant/DW-1506.md</x:v>
      </x:c>
      <x:c r="K1511" t="str">
        <x:v>Source min 22,18 m ; max 100,85 m ; modèle 25 × 18 m ; niveaux 0. Détails dans catalogue-existant.json.</x:v>
      </x:c>
    </x:row>
    <x:row r="1512">
      <x:c r="A1512" t="str">
        <x:v>DW-1507</x:v>
      </x:c>
      <x:c r="B1512" t="str">
        <x:v>DW-0254</x:v>
      </x:c>
      <x:c r="C1512" t="str">
        <x:v>Composition héritée</x:v>
      </x:c>
      <x:c r="D1512" t="str">
        <x:v>Automobile et carburant</x:v>
      </x:c>
      <x:c r="E1512" t="str">
        <x:v>Atelier de motos — Zone industrielle / relais temporaire envisagé</x:v>
      </x:c>
      <x:c r="F1512" t="n">
        <x:v>8</x:v>
      </x:c>
      <x:c r="G1512" t="n">
        <x:v>4</x:v>
      </x:c>
      <x:c r="H1512" t="n">
        <x:v>12</x:v>
      </x:c>
      <x:c r="I1512" t="str">
        <x:v>À qualifier par lieu</x:v>
      </x:c>
      <x:c r="J1512" t="str">
        <x:v>https://github.com/darknigthmare/deadwall-last-enclosure/blob/e28f46223e73105ab2c5d83f3d50b99b58ef53e6/codex-3000/compositions/Automobile et carburant/DW-1507.md</x:v>
      </x:c>
      <x:c r="K1512" t="str">
        <x:v>Source min 22,18 m ; max 100,85 m ; modèle 25 × 18 m ; niveaux 0. Détails dans catalogue-existant.json.</x:v>
      </x:c>
    </x:row>
    <x:row r="1513">
      <x:c r="A1513" t="str">
        <x:v>DW-1508</x:v>
      </x:c>
      <x:c r="B1513" t="str">
        <x:v>DW-0254</x:v>
      </x:c>
      <x:c r="C1513" t="str">
        <x:v>Composition héritée</x:v>
      </x:c>
      <x:c r="D1513" t="str">
        <x:v>Automobile et carburant</x:v>
      </x:c>
      <x:c r="E1513" t="str">
        <x:v>Atelier de motos — Atelier et artisanat / évacuation interrompue</x:v>
      </x:c>
      <x:c r="F1513" t="n">
        <x:v>8</x:v>
      </x:c>
      <x:c r="G1513" t="n">
        <x:v>4</x:v>
      </x:c>
      <x:c r="H1513" t="n">
        <x:v>12</x:v>
      </x:c>
      <x:c r="I1513" t="str">
        <x:v>À qualifier par lieu</x:v>
      </x:c>
      <x:c r="J1513" t="str">
        <x:v>https://github.com/darknigthmare/deadwall-last-enclosure/blob/e28f46223e73105ab2c5d83f3d50b99b58ef53e6/codex-3000/compositions/Automobile et carburant/DW-1508.md</x:v>
      </x:c>
      <x:c r="K1513" t="str">
        <x:v>Source min 22,18 m ; max 100,85 m ; modèle 25 × 18 m ; niveaux 0. Détails dans catalogue-existant.json.</x:v>
      </x:c>
    </x:row>
    <x:row r="1514">
      <x:c r="A1514" t="str">
        <x:v>DW-1509</x:v>
      </x:c>
      <x:c r="B1514" t="str">
        <x:v>DW-0255</x:v>
      </x:c>
      <x:c r="C1514" t="str">
        <x:v>Composition héritée</x:v>
      </x:c>
      <x:c r="D1514" t="str">
        <x:v>Automobile et carburant</x:v>
      </x:c>
      <x:c r="E1514" t="str">
        <x:v>Garage poids lourds — Ville moyenne / réseau principal coupé</x:v>
      </x:c>
      <x:c r="F1514" t="n">
        <x:v>8</x:v>
      </x:c>
      <x:c r="G1514" t="n">
        <x:v>4</x:v>
      </x:c>
      <x:c r="H1514" t="n">
        <x:v>12</x:v>
      </x:c>
      <x:c r="I1514" t="str">
        <x:v>À qualifier par lieu</x:v>
      </x:c>
      <x:c r="J1514" t="str">
        <x:v>https://github.com/darknigthmare/deadwall-last-enclosure/blob/e28f46223e73105ab2c5d83f3d50b99b58ef53e6/codex-3000/compositions/Automobile et carburant/DW-1509.md</x:v>
      </x:c>
      <x:c r="K1514" t="str">
        <x:v>Source min 22,18 m ; max 100,85 m ; modèle 25 × 18 m ; niveaux 0. Détails dans catalogue-existant.json.</x:v>
      </x:c>
    </x:row>
    <x:row r="1515">
      <x:c r="A1515" t="str">
        <x:v>DW-1510</x:v>
      </x:c>
      <x:c r="B1515" t="str">
        <x:v>DW-0255</x:v>
      </x:c>
      <x:c r="C1515" t="str">
        <x:v>Composition héritée</x:v>
      </x:c>
      <x:c r="D1515" t="str">
        <x:v>Automobile et carburant</x:v>
      </x:c>
      <x:c r="E1515" t="str">
        <x:v>Garage poids lourds — Station-service et aire routière / arrêt de maintenance</x:v>
      </x:c>
      <x:c r="F1515" t="n">
        <x:v>8</x:v>
      </x:c>
      <x:c r="G1515" t="n">
        <x:v>4</x:v>
      </x:c>
      <x:c r="H1515" t="n">
        <x:v>12</x:v>
      </x:c>
      <x:c r="I1515" t="str">
        <x:v>À qualifier par lieu</x:v>
      </x:c>
      <x:c r="J1515" t="str">
        <x:v>https://github.com/darknigthmare/deadwall-last-enclosure/blob/e28f46223e73105ab2c5d83f3d50b99b58ef53e6/codex-3000/compositions/Automobile et carburant/DW-1510.md</x:v>
      </x:c>
      <x:c r="K1515" t="str">
        <x:v>Source min 22,18 m ; max 100,85 m ; modèle 25 × 18 m ; niveaux 0. Détails dans catalogue-existant.json.</x:v>
      </x:c>
    </x:row>
    <x:row r="1516">
      <x:c r="A1516" t="str">
        <x:v>DW-1511</x:v>
      </x:c>
      <x:c r="B1516" t="str">
        <x:v>DW-0256</x:v>
      </x:c>
      <x:c r="C1516" t="str">
        <x:v>Composition héritée</x:v>
      </x:c>
      <x:c r="D1516" t="str">
        <x:v>Automobile et carburant</x:v>
      </x:c>
      <x:c r="E1516" t="str">
        <x:v>Dépôt de bus — Atelier et artisanat / repli organisé interrompu</x:v>
      </x:c>
      <x:c r="F1516" t="n">
        <x:v>8</x:v>
      </x:c>
      <x:c r="G1516" t="n">
        <x:v>4</x:v>
      </x:c>
      <x:c r="H1516" t="n">
        <x:v>12</x:v>
      </x:c>
      <x:c r="I1516" t="str">
        <x:v>À qualifier par lieu</x:v>
      </x:c>
      <x:c r="J1516" t="str">
        <x:v>https://github.com/darknigthmare/deadwall-last-enclosure/blob/e28f46223e73105ab2c5d83f3d50b99b58ef53e6/codex-3000/compositions/Automobile et carburant/DW-1511.md</x:v>
      </x:c>
      <x:c r="K1516" t="str">
        <x:v>Source min 22,18 m ; max 100,85 m ; modèle 25 × 18 m ; niveaux 0. Détails dans catalogue-existant.json.</x:v>
      </x:c>
    </x:row>
    <x:row r="1517">
      <x:c r="A1517" t="str">
        <x:v>DW-1512</x:v>
      </x:c>
      <x:c r="B1517" t="str">
        <x:v>DW-0256</x:v>
      </x:c>
      <x:c r="C1517" t="str">
        <x:v>Composition héritée</x:v>
      </x:c>
      <x:c r="D1517" t="str">
        <x:v>Automobile et carburant</x:v>
      </x:c>
      <x:c r="E1517" t="str">
        <x:v>Dépôt de bus — Zone industrielle / première récupération passée</x:v>
      </x:c>
      <x:c r="F1517" t="n">
        <x:v>8</x:v>
      </x:c>
      <x:c r="G1517" t="n">
        <x:v>4</x:v>
      </x:c>
      <x:c r="H1517" t="n">
        <x:v>12</x:v>
      </x:c>
      <x:c r="I1517" t="str">
        <x:v>À qualifier par lieu</x:v>
      </x:c>
      <x:c r="J1517" t="str">
        <x:v>https://github.com/darknigthmare/deadwall-last-enclosure/blob/e28f46223e73105ab2c5d83f3d50b99b58ef53e6/codex-3000/compositions/Automobile et carburant/DW-1512.md</x:v>
      </x:c>
      <x:c r="K1517" t="str">
        <x:v>Source min 22,18 m ; max 100,85 m ; modèle 25 × 18 m ; niveaux 0. Détails dans catalogue-existant.json.</x:v>
      </x:c>
    </x:row>
    <x:row r="1518">
      <x:c r="A1518" t="str">
        <x:v>DW-1513</x:v>
      </x:c>
      <x:c r="B1518" t="str">
        <x:v>DW-0257</x:v>
      </x:c>
      <x:c r="C1518" t="str">
        <x:v>Composition héritée</x:v>
      </x:c>
      <x:c r="D1518" t="str">
        <x:v>Automobile et carburant</x:v>
      </x:c>
      <x:c r="E1518" t="str">
        <x:v>Parking à étages — Station-service et aire routière / évacuation interrompue</x:v>
      </x:c>
      <x:c r="F1518" t="n">
        <x:v>8</x:v>
      </x:c>
      <x:c r="G1518" t="n">
        <x:v>4</x:v>
      </x:c>
      <x:c r="H1518" t="n">
        <x:v>10</x:v>
      </x:c>
      <x:c r="I1518" t="str">
        <x:v>À qualifier par lieu</x:v>
      </x:c>
      <x:c r="J1518" t="str">
        <x:v>https://github.com/darknigthmare/deadwall-last-enclosure/blob/e28f46223e73105ab2c5d83f3d50b99b58ef53e6/codex-3000/compositions/Automobile et carburant/DW-1513.md</x:v>
      </x:c>
      <x:c r="K1518" t="str">
        <x:v>Source min 22,18 m ; max 100,85 m ; modèle 25 × 18 m ; niveaux 0, 1, 2. Détails dans catalogue-existant.json.</x:v>
      </x:c>
    </x:row>
    <x:row r="1519">
      <x:c r="A1519" t="str">
        <x:v>DW-1514</x:v>
      </x:c>
      <x:c r="B1519" t="str">
        <x:v>DW-0257</x:v>
      </x:c>
      <x:c r="C1519" t="str">
        <x:v>Composition héritée</x:v>
      </x:c>
      <x:c r="D1519" t="str">
        <x:v>Automobile et carburant</x:v>
      </x:c>
      <x:c r="E1519" t="str">
        <x:v>Parking à étages — Ville moyenne / service déplacé à l’arrière</x:v>
      </x:c>
      <x:c r="F1519" t="n">
        <x:v>8</x:v>
      </x:c>
      <x:c r="G1519" t="n">
        <x:v>4</x:v>
      </x:c>
      <x:c r="H1519" t="n">
        <x:v>10</x:v>
      </x:c>
      <x:c r="I1519" t="str">
        <x:v>À qualifier par lieu</x:v>
      </x:c>
      <x:c r="J1519" t="str">
        <x:v>https://github.com/darknigthmare/deadwall-last-enclosure/blob/e28f46223e73105ab2c5d83f3d50b99b58ef53e6/codex-3000/compositions/Automobile et carburant/DW-1514.md</x:v>
      </x:c>
      <x:c r="K1519" t="str">
        <x:v>Source min 22,18 m ; max 100,85 m ; modèle 25 × 18 m ; niveaux 0, 1, 2. Détails dans catalogue-existant.json.</x:v>
      </x:c>
    </x:row>
    <x:row r="1520">
      <x:c r="A1520" t="str">
        <x:v>DW-1515</x:v>
      </x:c>
      <x:c r="B1520" t="str">
        <x:v>DW-0258</x:v>
      </x:c>
      <x:c r="C1520" t="str">
        <x:v>Composition héritée</x:v>
      </x:c>
      <x:c r="D1520" t="str">
        <x:v>Automobile et carburant</x:v>
      </x:c>
      <x:c r="E1520" t="str">
        <x:v>Parking de supermarché — Zone industrielle / arrêt de maintenance</x:v>
      </x:c>
      <x:c r="F1520" t="n">
        <x:v>8</x:v>
      </x:c>
      <x:c r="G1520" t="n">
        <x:v>4</x:v>
      </x:c>
      <x:c r="H1520" t="n">
        <x:v>10</x:v>
      </x:c>
      <x:c r="I1520" t="str">
        <x:v>À qualifier par lieu</x:v>
      </x:c>
      <x:c r="J1520" t="str">
        <x:v>https://github.com/darknigthmare/deadwall-last-enclosure/blob/e28f46223e73105ab2c5d83f3d50b99b58ef53e6/codex-3000/compositions/Automobile et carburant/DW-1515.md</x:v>
      </x:c>
      <x:c r="K1520" t="str">
        <x:v>Source min 22,18 m ; max 100,85 m ; modèle 25 × 18 m ; niveaux 0. Détails dans catalogue-existant.json.</x:v>
      </x:c>
    </x:row>
    <x:row r="1521">
      <x:c r="A1521" t="str">
        <x:v>DW-1516</x:v>
      </x:c>
      <x:c r="B1521" t="str">
        <x:v>DW-0258</x:v>
      </x:c>
      <x:c r="C1521" t="str">
        <x:v>Composition héritée</x:v>
      </x:c>
      <x:c r="D1521" t="str">
        <x:v>Automobile et carburant</x:v>
      </x:c>
      <x:c r="E1521" t="str">
        <x:v>Parking de supermarché — Atelier et artisanat / reprise progressive de la végétation</x:v>
      </x:c>
      <x:c r="F1521" t="n">
        <x:v>8</x:v>
      </x:c>
      <x:c r="G1521" t="n">
        <x:v>4</x:v>
      </x:c>
      <x:c r="H1521" t="n">
        <x:v>10</x:v>
      </x:c>
      <x:c r="I1521" t="str">
        <x:v>À qualifier par lieu</x:v>
      </x:c>
      <x:c r="J1521" t="str">
        <x:v>https://github.com/darknigthmare/deadwall-last-enclosure/blob/e28f46223e73105ab2c5d83f3d50b99b58ef53e6/codex-3000/compositions/Automobile et carburant/DW-1516.md</x:v>
      </x:c>
      <x:c r="K1521" t="str">
        <x:v>Source min 22,18 m ; max 100,85 m ; modèle 25 × 18 m ; niveaux 0. Détails dans catalogue-existant.json.</x:v>
      </x:c>
    </x:row>
    <x:row r="1522">
      <x:c r="A1522" t="str">
        <x:v>DW-1517</x:v>
      </x:c>
      <x:c r="B1522" t="str">
        <x:v>DW-0259</x:v>
      </x:c>
      <x:c r="C1522" t="str">
        <x:v>Composition héritée</x:v>
      </x:c>
      <x:c r="D1522" t="str">
        <x:v>Automobile et carburant</x:v>
      </x:c>
      <x:c r="E1522" t="str">
        <x:v>Parking improvisé de terrain vague — Ville moyenne / première récupération passée</x:v>
      </x:c>
      <x:c r="F1522" t="n">
        <x:v>8</x:v>
      </x:c>
      <x:c r="G1522" t="n">
        <x:v>3</x:v>
      </x:c>
      <x:c r="H1522" t="n">
        <x:v>9</x:v>
      </x:c>
      <x:c r="I1522" t="str">
        <x:v>À qualifier par lieu</x:v>
      </x:c>
      <x:c r="J1522" t="str">
        <x:v>https://github.com/darknigthmare/deadwall-last-enclosure/blob/e28f46223e73105ab2c5d83f3d50b99b58ef53e6/codex-3000/compositions/Automobile et carburant/DW-1517.md</x:v>
      </x:c>
      <x:c r="K1522" t="str">
        <x:v>Source min 22,18 m ; max 100,85 m ; modèle 24 × 18 m ; niveaux 0. Détails dans catalogue-existant.json.</x:v>
      </x:c>
    </x:row>
    <x:row r="1523">
      <x:c r="A1523" t="str">
        <x:v>DW-1518</x:v>
      </x:c>
      <x:c r="B1523" t="str">
        <x:v>DW-0259</x:v>
      </x:c>
      <x:c r="C1523" t="str">
        <x:v>Composition héritée</x:v>
      </x:c>
      <x:c r="D1523" t="str">
        <x:v>Automobile et carburant</x:v>
      </x:c>
      <x:c r="E1523" t="str">
        <x:v>Parking improvisé de terrain vague — Station-service et aire routière / relais temporaire envisagé</x:v>
      </x:c>
      <x:c r="F1523" t="n">
        <x:v>8</x:v>
      </x:c>
      <x:c r="G1523" t="n">
        <x:v>3</x:v>
      </x:c>
      <x:c r="H1523" t="n">
        <x:v>9</x:v>
      </x:c>
      <x:c r="I1523" t="str">
        <x:v>À qualifier par lieu</x:v>
      </x:c>
      <x:c r="J1523" t="str">
        <x:v>https://github.com/darknigthmare/deadwall-last-enclosure/blob/e28f46223e73105ab2c5d83f3d50b99b58ef53e6/codex-3000/compositions/Automobile et carburant/DW-1518.md</x:v>
      </x:c>
      <x:c r="K1523" t="str">
        <x:v>Source min 22,18 m ; max 100,85 m ; modèle 24 × 18 m ; niveaux 0. Détails dans catalogue-existant.json.</x:v>
      </x:c>
    </x:row>
    <x:row r="1524">
      <x:c r="A1524" t="str">
        <x:v>DW-1519</x:v>
      </x:c>
      <x:c r="B1524" t="str">
        <x:v>DW-0260</x:v>
      </x:c>
      <x:c r="C1524" t="str">
        <x:v>Composition héritée</x:v>
      </x:c>
      <x:c r="D1524" t="str">
        <x:v>Automobile et carburant</x:v>
      </x:c>
      <x:c r="E1524" t="str">
        <x:v>Garage de collection — Atelier et artisanat / service déplacé à l’arrière</x:v>
      </x:c>
      <x:c r="F1524" t="n">
        <x:v>8</x:v>
      </x:c>
      <x:c r="G1524" t="n">
        <x:v>4</x:v>
      </x:c>
      <x:c r="H1524" t="n">
        <x:v>12</x:v>
      </x:c>
      <x:c r="I1524" t="str">
        <x:v>À qualifier par lieu</x:v>
      </x:c>
      <x:c r="J1524" t="str">
        <x:v>https://github.com/darknigthmare/deadwall-last-enclosure/blob/e28f46223e73105ab2c5d83f3d50b99b58ef53e6/codex-3000/compositions/Automobile et carburant/DW-1519.md</x:v>
      </x:c>
      <x:c r="K1524" t="str">
        <x:v>Source min 22,18 m ; max 100,85 m ; modèle 25 × 18 m ; niveaux 0. Détails dans catalogue-existant.json.</x:v>
      </x:c>
    </x:row>
    <x:row r="1525">
      <x:c r="A1525" t="str">
        <x:v>DW-1520</x:v>
      </x:c>
      <x:c r="B1525" t="str">
        <x:v>DW-0260</x:v>
      </x:c>
      <x:c r="C1525" t="str">
        <x:v>Composition héritée</x:v>
      </x:c>
      <x:c r="D1525" t="str">
        <x:v>Automobile et carburant</x:v>
      </x:c>
      <x:c r="E1525" t="str">
        <x:v>Garage de collection — Zone industrielle / réseau principal coupé</x:v>
      </x:c>
      <x:c r="F1525" t="n">
        <x:v>8</x:v>
      </x:c>
      <x:c r="G1525" t="n">
        <x:v>4</x:v>
      </x:c>
      <x:c r="H1525" t="n">
        <x:v>12</x:v>
      </x:c>
      <x:c r="I1525" t="str">
        <x:v>À qualifier par lieu</x:v>
      </x:c>
      <x:c r="J1525" t="str">
        <x:v>https://github.com/darknigthmare/deadwall-last-enclosure/blob/e28f46223e73105ab2c5d83f3d50b99b58ef53e6/codex-3000/compositions/Automobile et carburant/DW-1520.md</x:v>
      </x:c>
      <x:c r="K1525" t="str">
        <x:v>Source min 22,18 m ; max 100,85 m ; modèle 25 × 18 m ; niveaux 0. Détails dans catalogue-existant.json.</x:v>
      </x:c>
    </x:row>
    <x:row r="1526">
      <x:c r="A1526" t="str">
        <x:v>DW-1521</x:v>
      </x:c>
      <x:c r="B1526" t="str">
        <x:v>DW-0261</x:v>
      </x:c>
      <x:c r="C1526" t="str">
        <x:v>Composition héritée</x:v>
      </x:c>
      <x:c r="D1526" t="str">
        <x:v>Routes et ouvrages</x:v>
      </x:c>
      <x:c r="E1526" t="str">
        <x:v>Carrefour de village — Routes et coutures territoriales / reprise progressive de la végétation</x:v>
      </x:c>
      <x:c r="F1526" t="n">
        <x:v>10</x:v>
      </x:c>
      <x:c r="G1526" t="n">
        <x:v>4</x:v>
      </x:c>
      <x:c r="H1526" t="n">
        <x:v>12</x:v>
      </x:c>
      <x:c r="I1526" t="str">
        <x:v>À qualifier par lieu</x:v>
      </x:c>
      <x:c r="J1526" t="str">
        <x:v>https://github.com/darknigthmare/deadwall-last-enclosure/blob/e28f46223e73105ab2c5d83f3d50b99b58ef53e6/codex-3000/compositions/Routes et ouvrages/DW-1521.md</x:v>
      </x:c>
      <x:c r="K1526" t="str">
        <x:v>Source min 100,25 m ; max 1200,180 m ; modèle 100 × 25 m ; niveaux 0. Détails dans catalogue-existant.json.</x:v>
      </x:c>
    </x:row>
    <x:row r="1527">
      <x:c r="A1527" t="str">
        <x:v>DW-1522</x:v>
      </x:c>
      <x:c r="B1527" t="str">
        <x:v>DW-0261</x:v>
      </x:c>
      <x:c r="C1527" t="str">
        <x:v>Composition héritée</x:v>
      </x:c>
      <x:c r="D1527" t="str">
        <x:v>Routes et ouvrages</x:v>
      </x:c>
      <x:c r="E1527" t="str">
        <x:v>Carrefour de village — Rivière, berges et gué / repli organisé interrompu</x:v>
      </x:c>
      <x:c r="F1527" t="n">
        <x:v>10</x:v>
      </x:c>
      <x:c r="G1527" t="n">
        <x:v>4</x:v>
      </x:c>
      <x:c r="H1527" t="n">
        <x:v>12</x:v>
      </x:c>
      <x:c r="I1527" t="str">
        <x:v>À qualifier par lieu</x:v>
      </x:c>
      <x:c r="J1527" t="str">
        <x:v>https://github.com/darknigthmare/deadwall-last-enclosure/blob/e28f46223e73105ab2c5d83f3d50b99b58ef53e6/codex-3000/compositions/Routes et ouvrages/DW-1522.md</x:v>
      </x:c>
      <x:c r="K1527" t="str">
        <x:v>Source min 100,25 m ; max 1200,180 m ; modèle 100 × 25 m ; niveaux 0. Détails dans catalogue-existant.json.</x:v>
      </x:c>
    </x:row>
    <x:row r="1528">
      <x:c r="A1528" t="str">
        <x:v>DW-1523</x:v>
      </x:c>
      <x:c r="B1528" t="str">
        <x:v>DW-0262</x:v>
      </x:c>
      <x:c r="C1528" t="str">
        <x:v>Composition héritée</x:v>
      </x:c>
      <x:c r="D1528" t="str">
        <x:v>Routes et ouvrages</x:v>
      </x:c>
      <x:c r="E1528" t="str">
        <x:v>Rond-point périphérique — Montagne et col / relais temporaire envisagé</x:v>
      </x:c>
      <x:c r="F1528" t="n">
        <x:v>10</x:v>
      </x:c>
      <x:c r="G1528" t="n">
        <x:v>4</x:v>
      </x:c>
      <x:c r="H1528" t="n">
        <x:v>12</x:v>
      </x:c>
      <x:c r="I1528" t="str">
        <x:v>À qualifier par lieu</x:v>
      </x:c>
      <x:c r="J1528" t="str">
        <x:v>https://github.com/darknigthmare/deadwall-last-enclosure/blob/e28f46223e73105ab2c5d83f3d50b99b58ef53e6/codex-3000/compositions/Routes et ouvrages/DW-1523.md</x:v>
      </x:c>
      <x:c r="K1528" t="str">
        <x:v>Source min 100,25 m ; max 1200,180 m ; modèle 100 × 25 m ; niveaux 0. Détails dans catalogue-existant.json.</x:v>
      </x:c>
    </x:row>
    <x:row r="1529">
      <x:c r="A1529" t="str">
        <x:v>DW-1524</x:v>
      </x:c>
      <x:c r="B1529" t="str">
        <x:v>DW-0262</x:v>
      </x:c>
      <x:c r="C1529" t="str">
        <x:v>Composition héritée</x:v>
      </x:c>
      <x:c r="D1529" t="str">
        <x:v>Routes et ouvrages</x:v>
      </x:c>
      <x:c r="E1529" t="str">
        <x:v>Rond-point périphérique — Ville moyenne / évacuation interrompue</x:v>
      </x:c>
      <x:c r="F1529" t="n">
        <x:v>10</x:v>
      </x:c>
      <x:c r="G1529" t="n">
        <x:v>4</x:v>
      </x:c>
      <x:c r="H1529" t="n">
        <x:v>12</x:v>
      </x:c>
      <x:c r="I1529" t="str">
        <x:v>À qualifier par lieu</x:v>
      </x:c>
      <x:c r="J1529" t="str">
        <x:v>https://github.com/darknigthmare/deadwall-last-enclosure/blob/e28f46223e73105ab2c5d83f3d50b99b58ef53e6/codex-3000/compositions/Routes et ouvrages/DW-1524.md</x:v>
      </x:c>
      <x:c r="K1529" t="str">
        <x:v>Source min 100,25 m ; max 1200,180 m ; modèle 100 × 25 m ; niveaux 0. Détails dans catalogue-existant.json.</x:v>
      </x:c>
    </x:row>
    <x:row r="1530">
      <x:c r="A1530" t="str">
        <x:v>DW-1525</x:v>
      </x:c>
      <x:c r="B1530" t="str">
        <x:v>DW-0263</x:v>
      </x:c>
      <x:c r="C1530" t="str">
        <x:v>Composition héritée</x:v>
      </x:c>
      <x:c r="D1530" t="str">
        <x:v>Routes et ouvrages</x:v>
      </x:c>
      <x:c r="E1530" t="str">
        <x:v>Aire de repos forestière — Rivière, berges et gué / réseau principal coupé</x:v>
      </x:c>
      <x:c r="F1530" t="n">
        <x:v>10</x:v>
      </x:c>
      <x:c r="G1530" t="n">
        <x:v>4</x:v>
      </x:c>
      <x:c r="H1530" t="n">
        <x:v>12</x:v>
      </x:c>
      <x:c r="I1530" t="str">
        <x:v>À qualifier par lieu</x:v>
      </x:c>
      <x:c r="J1530" t="str">
        <x:v>https://github.com/darknigthmare/deadwall-last-enclosure/blob/e28f46223e73105ab2c5d83f3d50b99b58ef53e6/codex-3000/compositions/Routes et ouvrages/DW-1525.md</x:v>
      </x:c>
      <x:c r="K1530" t="str">
        <x:v>Source min 100,25 m ; max 1200,180 m ; modèle 100 × 25 m ; niveaux 0. Détails dans catalogue-existant.json.</x:v>
      </x:c>
    </x:row>
    <x:row r="1531">
      <x:c r="A1531" t="str">
        <x:v>DW-1526</x:v>
      </x:c>
      <x:c r="B1531" t="str">
        <x:v>DW-0263</x:v>
      </x:c>
      <x:c r="C1531" t="str">
        <x:v>Composition héritée</x:v>
      </x:c>
      <x:c r="D1531" t="str">
        <x:v>Routes et ouvrages</x:v>
      </x:c>
      <x:c r="E1531" t="str">
        <x:v>Aire de repos forestière — Routes et coutures territoriales / arrêt de maintenance</x:v>
      </x:c>
      <x:c r="F1531" t="n">
        <x:v>10</x:v>
      </x:c>
      <x:c r="G1531" t="n">
        <x:v>4</x:v>
      </x:c>
      <x:c r="H1531" t="n">
        <x:v>12</x:v>
      </x:c>
      <x:c r="I1531" t="str">
        <x:v>À qualifier par lieu</x:v>
      </x:c>
      <x:c r="J1531" t="str">
        <x:v>https://github.com/darknigthmare/deadwall-last-enclosure/blob/e28f46223e73105ab2c5d83f3d50b99b58ef53e6/codex-3000/compositions/Routes et ouvrages/DW-1526.md</x:v>
      </x:c>
      <x:c r="K1531" t="str">
        <x:v>Source min 100,25 m ; max 1200,180 m ; modèle 100 × 25 m ; niveaux 0. Détails dans catalogue-existant.json.</x:v>
      </x:c>
    </x:row>
    <x:row r="1532">
      <x:c r="A1532" t="str">
        <x:v>DW-1527</x:v>
      </x:c>
      <x:c r="B1532" t="str">
        <x:v>DW-0264</x:v>
      </x:c>
      <x:c r="C1532" t="str">
        <x:v>Composition héritée</x:v>
      </x:c>
      <x:c r="D1532" t="str">
        <x:v>Routes et ouvrages</x:v>
      </x:c>
      <x:c r="E1532" t="str">
        <x:v>Aire de service de plaine — Ville moyenne / repli organisé interrompu</x:v>
      </x:c>
      <x:c r="F1532" t="n">
        <x:v>10</x:v>
      </x:c>
      <x:c r="G1532" t="n">
        <x:v>4</x:v>
      </x:c>
      <x:c r="H1532" t="n">
        <x:v>12</x:v>
      </x:c>
      <x:c r="I1532" t="str">
        <x:v>À qualifier par lieu</x:v>
      </x:c>
      <x:c r="J1532" t="str">
        <x:v>https://github.com/darknigthmare/deadwall-last-enclosure/blob/e28f46223e73105ab2c5d83f3d50b99b58ef53e6/codex-3000/compositions/Routes et ouvrages/DW-1527.md</x:v>
      </x:c>
      <x:c r="K1532" t="str">
        <x:v>Source min 100,25 m ; max 1200,180 m ; modèle 100 × 25 m ; niveaux 0. Détails dans catalogue-existant.json.</x:v>
      </x:c>
    </x:row>
    <x:row r="1533">
      <x:c r="A1533" t="str">
        <x:v>DW-1528</x:v>
      </x:c>
      <x:c r="B1533" t="str">
        <x:v>DW-0264</x:v>
      </x:c>
      <x:c r="C1533" t="str">
        <x:v>Composition héritée</x:v>
      </x:c>
      <x:c r="D1533" t="str">
        <x:v>Routes et ouvrages</x:v>
      </x:c>
      <x:c r="E1533" t="str">
        <x:v>Aire de service de plaine — Montagne et col / première récupération passée</x:v>
      </x:c>
      <x:c r="F1533" t="n">
        <x:v>10</x:v>
      </x:c>
      <x:c r="G1533" t="n">
        <x:v>4</x:v>
      </x:c>
      <x:c r="H1533" t="n">
        <x:v>12</x:v>
      </x:c>
      <x:c r="I1533" t="str">
        <x:v>À qualifier par lieu</x:v>
      </x:c>
      <x:c r="J1533" t="str">
        <x:v>https://github.com/darknigthmare/deadwall-last-enclosure/blob/e28f46223e73105ab2c5d83f3d50b99b58ef53e6/codex-3000/compositions/Routes et ouvrages/DW-1528.md</x:v>
      </x:c>
      <x:c r="K1533" t="str">
        <x:v>Source min 100,25 m ; max 1200,180 m ; modèle 100 × 25 m ; niveaux 0. Détails dans catalogue-existant.json.</x:v>
      </x:c>
    </x:row>
    <x:row r="1534">
      <x:c r="A1534" t="str">
        <x:v>DW-1529</x:v>
      </x:c>
      <x:c r="B1534" t="str">
        <x:v>DW-0265</x:v>
      </x:c>
      <x:c r="C1534" t="str">
        <x:v>Composition héritée</x:v>
      </x:c>
      <x:c r="D1534" t="str">
        <x:v>Routes et ouvrages</x:v>
      </x:c>
      <x:c r="E1534" t="str">
        <x:v>Pont routier — Routes et coutures territoriales / évacuation interrompue</x:v>
      </x:c>
      <x:c r="F1534" t="n">
        <x:v>10</x:v>
      </x:c>
      <x:c r="G1534" t="n">
        <x:v>4</x:v>
      </x:c>
      <x:c r="H1534" t="n">
        <x:v>12</x:v>
      </x:c>
      <x:c r="I1534" t="str">
        <x:v>À qualifier par lieu</x:v>
      </x:c>
      <x:c r="J1534" t="str">
        <x:v>https://github.com/darknigthmare/deadwall-last-enclosure/blob/e28f46223e73105ab2c5d83f3d50b99b58ef53e6/codex-3000/compositions/Routes et ouvrages/DW-1529.md</x:v>
      </x:c>
      <x:c r="K1534" t="str">
        <x:v>Source min 100,25 m ; max 1200,180 m ; modèle 100 × 25 m ; niveaux 0. Détails dans catalogue-existant.json.</x:v>
      </x:c>
    </x:row>
    <x:row r="1535">
      <x:c r="A1535" t="str">
        <x:v>DW-1530</x:v>
      </x:c>
      <x:c r="B1535" t="str">
        <x:v>DW-0265</x:v>
      </x:c>
      <x:c r="C1535" t="str">
        <x:v>Composition héritée</x:v>
      </x:c>
      <x:c r="D1535" t="str">
        <x:v>Routes et ouvrages</x:v>
      </x:c>
      <x:c r="E1535" t="str">
        <x:v>Pont routier — Rivière, berges et gué / service déplacé à l’arrière</x:v>
      </x:c>
      <x:c r="F1535" t="n">
        <x:v>10</x:v>
      </x:c>
      <x:c r="G1535" t="n">
        <x:v>4</x:v>
      </x:c>
      <x:c r="H1535" t="n">
        <x:v>12</x:v>
      </x:c>
      <x:c r="I1535" t="str">
        <x:v>À qualifier par lieu</x:v>
      </x:c>
      <x:c r="J1535" t="str">
        <x:v>https://github.com/darknigthmare/deadwall-last-enclosure/blob/e28f46223e73105ab2c5d83f3d50b99b58ef53e6/codex-3000/compositions/Routes et ouvrages/DW-1530.md</x:v>
      </x:c>
      <x:c r="K1535" t="str">
        <x:v>Source min 100,25 m ; max 1200,180 m ; modèle 100 × 25 m ; niveaux 0. Détails dans catalogue-existant.json.</x:v>
      </x:c>
    </x:row>
    <x:row r="1536">
      <x:c r="A1536" t="str">
        <x:v>DW-1531</x:v>
      </x:c>
      <x:c r="B1536" t="str">
        <x:v>DW-0266</x:v>
      </x:c>
      <x:c r="C1536" t="str">
        <x:v>Composition héritée</x:v>
      </x:c>
      <x:c r="D1536" t="str">
        <x:v>Routes et ouvrages</x:v>
      </x:c>
      <x:c r="E1536" t="str">
        <x:v>Viaduc — Montagne et col / arrêt de maintenance</x:v>
      </x:c>
      <x:c r="F1536" t="n">
        <x:v>10</x:v>
      </x:c>
      <x:c r="G1536" t="n">
        <x:v>4</x:v>
      </x:c>
      <x:c r="H1536" t="n">
        <x:v>12</x:v>
      </x:c>
      <x:c r="I1536" t="str">
        <x:v>À qualifier par lieu</x:v>
      </x:c>
      <x:c r="J1536" t="str">
        <x:v>https://github.com/darknigthmare/deadwall-last-enclosure/blob/e28f46223e73105ab2c5d83f3d50b99b58ef53e6/codex-3000/compositions/Routes et ouvrages/DW-1531.md</x:v>
      </x:c>
      <x:c r="K1536" t="str">
        <x:v>Source min 100,25 m ; max 1200,180 m ; modèle 100 × 25 m ; niveaux 0. Détails dans catalogue-existant.json.</x:v>
      </x:c>
    </x:row>
    <x:row r="1537">
      <x:c r="A1537" t="str">
        <x:v>DW-1532</x:v>
      </x:c>
      <x:c r="B1537" t="str">
        <x:v>DW-0266</x:v>
      </x:c>
      <x:c r="C1537" t="str">
        <x:v>Composition héritée</x:v>
      </x:c>
      <x:c r="D1537" t="str">
        <x:v>Routes et ouvrages</x:v>
      </x:c>
      <x:c r="E1537" t="str">
        <x:v>Viaduc — Ville moyenne / reprise progressive de la végétation</x:v>
      </x:c>
      <x:c r="F1537" t="n">
        <x:v>10</x:v>
      </x:c>
      <x:c r="G1537" t="n">
        <x:v>4</x:v>
      </x:c>
      <x:c r="H1537" t="n">
        <x:v>12</x:v>
      </x:c>
      <x:c r="I1537" t="str">
        <x:v>À qualifier par lieu</x:v>
      </x:c>
      <x:c r="J1537" t="str">
        <x:v>https://github.com/darknigthmare/deadwall-last-enclosure/blob/e28f46223e73105ab2c5d83f3d50b99b58ef53e6/codex-3000/compositions/Routes et ouvrages/DW-1532.md</x:v>
      </x:c>
      <x:c r="K1537" t="str">
        <x:v>Source min 100,25 m ; max 1200,180 m ; modèle 100 × 25 m ; niveaux 0. Détails dans catalogue-existant.json.</x:v>
      </x:c>
    </x:row>
    <x:row r="1538">
      <x:c r="A1538" t="str">
        <x:v>DW-1533</x:v>
      </x:c>
      <x:c r="B1538" t="str">
        <x:v>DW-0267</x:v>
      </x:c>
      <x:c r="C1538" t="str">
        <x:v>Composition héritée</x:v>
      </x:c>
      <x:c r="D1538" t="str">
        <x:v>Routes et ouvrages</x:v>
      </x:c>
      <x:c r="E1538" t="str">
        <x:v>Tunnel routier — Rivière, berges et gué / première récupération passée</x:v>
      </x:c>
      <x:c r="F1538" t="n">
        <x:v>10</x:v>
      </x:c>
      <x:c r="G1538" t="n">
        <x:v>4</x:v>
      </x:c>
      <x:c r="H1538" t="n">
        <x:v>12</x:v>
      </x:c>
      <x:c r="I1538" t="str">
        <x:v>À qualifier par lieu</x:v>
      </x:c>
      <x:c r="J1538" t="str">
        <x:v>https://github.com/darknigthmare/deadwall-last-enclosure/blob/e28f46223e73105ab2c5d83f3d50b99b58ef53e6/codex-3000/compositions/Routes et ouvrages/DW-1533.md</x:v>
      </x:c>
      <x:c r="K1538" t="str">
        <x:v>Source min 100,25 m ; max 1200,180 m ; modèle 100 × 25 m ; niveaux 0. Détails dans catalogue-existant.json.</x:v>
      </x:c>
    </x:row>
    <x:row r="1539">
      <x:c r="A1539" t="str">
        <x:v>DW-1534</x:v>
      </x:c>
      <x:c r="B1539" t="str">
        <x:v>DW-0267</x:v>
      </x:c>
      <x:c r="C1539" t="str">
        <x:v>Composition héritée</x:v>
      </x:c>
      <x:c r="D1539" t="str">
        <x:v>Routes et ouvrages</x:v>
      </x:c>
      <x:c r="E1539" t="str">
        <x:v>Tunnel routier — Routes et coutures territoriales / relais temporaire envisagé</x:v>
      </x:c>
      <x:c r="F1539" t="n">
        <x:v>10</x:v>
      </x:c>
      <x:c r="G1539" t="n">
        <x:v>4</x:v>
      </x:c>
      <x:c r="H1539" t="n">
        <x:v>12</x:v>
      </x:c>
      <x:c r="I1539" t="str">
        <x:v>À qualifier par lieu</x:v>
      </x:c>
      <x:c r="J1539" t="str">
        <x:v>https://github.com/darknigthmare/deadwall-last-enclosure/blob/e28f46223e73105ab2c5d83f3d50b99b58ef53e6/codex-3000/compositions/Routes et ouvrages/DW-1534.md</x:v>
      </x:c>
      <x:c r="K1539" t="str">
        <x:v>Source min 100,25 m ; max 1200,180 m ; modèle 100 × 25 m ; niveaux 0. Détails dans catalogue-existant.json.</x:v>
      </x:c>
    </x:row>
    <x:row r="1540">
      <x:c r="A1540" t="str">
        <x:v>DW-1535</x:v>
      </x:c>
      <x:c r="B1540" t="str">
        <x:v>DW-0268</x:v>
      </x:c>
      <x:c r="C1540" t="str">
        <x:v>Composition héritée</x:v>
      </x:c>
      <x:c r="D1540" t="str">
        <x:v>Routes et ouvrages</x:v>
      </x:c>
      <x:c r="E1540" t="str">
        <x:v>Passage inférieur — Ville moyenne / service déplacé à l’arrière</x:v>
      </x:c>
      <x:c r="F1540" t="n">
        <x:v>10</x:v>
      </x:c>
      <x:c r="G1540" t="n">
        <x:v>4</x:v>
      </x:c>
      <x:c r="H1540" t="n">
        <x:v>10</x:v>
      </x:c>
      <x:c r="I1540" t="str">
        <x:v>À qualifier par lieu</x:v>
      </x:c>
      <x:c r="J1540" t="str">
        <x:v>https://github.com/darknigthmare/deadwall-last-enclosure/blob/e28f46223e73105ab2c5d83f3d50b99b58ef53e6/codex-3000/compositions/Routes et ouvrages/DW-1535.md</x:v>
      </x:c>
      <x:c r="K1540" t="str">
        <x:v>Source min 100,25 m ; max 1200,180 m ; modèle 100 × 25 m ; niveaux 0. Détails dans catalogue-existant.json.</x:v>
      </x:c>
    </x:row>
    <x:row r="1541">
      <x:c r="A1541" t="str">
        <x:v>DW-1536</x:v>
      </x:c>
      <x:c r="B1541" t="str">
        <x:v>DW-0268</x:v>
      </x:c>
      <x:c r="C1541" t="str">
        <x:v>Composition héritée</x:v>
      </x:c>
      <x:c r="D1541" t="str">
        <x:v>Routes et ouvrages</x:v>
      </x:c>
      <x:c r="E1541" t="str">
        <x:v>Passage inférieur — Montagne et col / réseau principal coupé</x:v>
      </x:c>
      <x:c r="F1541" t="n">
        <x:v>10</x:v>
      </x:c>
      <x:c r="G1541" t="n">
        <x:v>4</x:v>
      </x:c>
      <x:c r="H1541" t="n">
        <x:v>10</x:v>
      </x:c>
      <x:c r="I1541" t="str">
        <x:v>À qualifier par lieu</x:v>
      </x:c>
      <x:c r="J1541" t="str">
        <x:v>https://github.com/darknigthmare/deadwall-last-enclosure/blob/e28f46223e73105ab2c5d83f3d50b99b58ef53e6/codex-3000/compositions/Routes et ouvrages/DW-1536.md</x:v>
      </x:c>
      <x:c r="K1541" t="str">
        <x:v>Source min 100,25 m ; max 1200,180 m ; modèle 100 × 25 m ; niveaux 0. Détails dans catalogue-existant.json.</x:v>
      </x:c>
    </x:row>
    <x:row r="1542">
      <x:c r="A1542" t="str">
        <x:v>DW-1537</x:v>
      </x:c>
      <x:c r="B1542" t="str">
        <x:v>DW-0269</x:v>
      </x:c>
      <x:c r="C1542" t="str">
        <x:v>Composition héritée</x:v>
      </x:c>
      <x:c r="D1542" t="str">
        <x:v>Routes et ouvrages</x:v>
      </x:c>
      <x:c r="E1542" t="str">
        <x:v>Échangeur autoroutier — Routes et coutures territoriales / reprise progressive de la végétation</x:v>
      </x:c>
      <x:c r="F1542" t="n">
        <x:v>10</x:v>
      </x:c>
      <x:c r="G1542" t="n">
        <x:v>4</x:v>
      </x:c>
      <x:c r="H1542" t="n">
        <x:v>12</x:v>
      </x:c>
      <x:c r="I1542" t="str">
        <x:v>À qualifier par lieu</x:v>
      </x:c>
      <x:c r="J1542" t="str">
        <x:v>https://github.com/darknigthmare/deadwall-last-enclosure/blob/e28f46223e73105ab2c5d83f3d50b99b58ef53e6/codex-3000/compositions/Routes et ouvrages/DW-1537.md</x:v>
      </x:c>
      <x:c r="K1542" t="str">
        <x:v>Source min 100,25 m ; max 1200,180 m ; modèle 100 × 25 m ; niveaux 0. Détails dans catalogue-existant.json.</x:v>
      </x:c>
    </x:row>
    <x:row r="1543">
      <x:c r="A1543" t="str">
        <x:v>DW-1538</x:v>
      </x:c>
      <x:c r="B1543" t="str">
        <x:v>DW-0269</x:v>
      </x:c>
      <x:c r="C1543" t="str">
        <x:v>Composition héritée</x:v>
      </x:c>
      <x:c r="D1543" t="str">
        <x:v>Routes et ouvrages</x:v>
      </x:c>
      <x:c r="E1543" t="str">
        <x:v>Échangeur autoroutier — Rivière, berges et gué / repli organisé interrompu</x:v>
      </x:c>
      <x:c r="F1543" t="n">
        <x:v>10</x:v>
      </x:c>
      <x:c r="G1543" t="n">
        <x:v>4</x:v>
      </x:c>
      <x:c r="H1543" t="n">
        <x:v>12</x:v>
      </x:c>
      <x:c r="I1543" t="str">
        <x:v>À qualifier par lieu</x:v>
      </x:c>
      <x:c r="J1543" t="str">
        <x:v>https://github.com/darknigthmare/deadwall-last-enclosure/blob/e28f46223e73105ab2c5d83f3d50b99b58ef53e6/codex-3000/compositions/Routes et ouvrages/DW-1538.md</x:v>
      </x:c>
      <x:c r="K1543" t="str">
        <x:v>Source min 100,25 m ; max 1200,180 m ; modèle 100 × 25 m ; niveaux 0. Détails dans catalogue-existant.json.</x:v>
      </x:c>
    </x:row>
    <x:row r="1544">
      <x:c r="A1544" t="str">
        <x:v>DW-1539</x:v>
      </x:c>
      <x:c r="B1544" t="str">
        <x:v>DW-0270</x:v>
      </x:c>
      <x:c r="C1544" t="str">
        <x:v>Composition héritée</x:v>
      </x:c>
      <x:c r="D1544" t="str">
        <x:v>Routes et ouvrages</x:v>
      </x:c>
      <x:c r="E1544" t="str">
        <x:v>Péage abandonné — Montagne et col / relais temporaire envisagé</x:v>
      </x:c>
      <x:c r="F1544" t="n">
        <x:v>10</x:v>
      </x:c>
      <x:c r="G1544" t="n">
        <x:v>4</x:v>
      </x:c>
      <x:c r="H1544" t="n">
        <x:v>12</x:v>
      </x:c>
      <x:c r="I1544" t="str">
        <x:v>À qualifier par lieu</x:v>
      </x:c>
      <x:c r="J1544" t="str">
        <x:v>https://github.com/darknigthmare/deadwall-last-enclosure/blob/e28f46223e73105ab2c5d83f3d50b99b58ef53e6/codex-3000/compositions/Routes et ouvrages/DW-1539.md</x:v>
      </x:c>
      <x:c r="K1544" t="str">
        <x:v>Source min 100,25 m ; max 1200,180 m ; modèle 100 × 25 m ; niveaux 0. Détails dans catalogue-existant.json.</x:v>
      </x:c>
    </x:row>
    <x:row r="1545">
      <x:c r="A1545" t="str">
        <x:v>DW-1540</x:v>
      </x:c>
      <x:c r="B1545" t="str">
        <x:v>DW-0270</x:v>
      </x:c>
      <x:c r="C1545" t="str">
        <x:v>Composition héritée</x:v>
      </x:c>
      <x:c r="D1545" t="str">
        <x:v>Routes et ouvrages</x:v>
      </x:c>
      <x:c r="E1545" t="str">
        <x:v>Péage abandonné — Ville moyenne / évacuation interrompue</x:v>
      </x:c>
      <x:c r="F1545" t="n">
        <x:v>10</x:v>
      </x:c>
      <x:c r="G1545" t="n">
        <x:v>4</x:v>
      </x:c>
      <x:c r="H1545" t="n">
        <x:v>12</x:v>
      </x:c>
      <x:c r="I1545" t="str">
        <x:v>À qualifier par lieu</x:v>
      </x:c>
      <x:c r="J1545" t="str">
        <x:v>https://github.com/darknigthmare/deadwall-last-enclosure/blob/e28f46223e73105ab2c5d83f3d50b99b58ef53e6/codex-3000/compositions/Routes et ouvrages/DW-1540.md</x:v>
      </x:c>
      <x:c r="K1545" t="str">
        <x:v>Source min 100,25 m ; max 1200,180 m ; modèle 100 × 25 m ; niveaux 0. Détails dans catalogue-existant.json.</x:v>
      </x:c>
    </x:row>
    <x:row r="1546">
      <x:c r="A1546" t="str">
        <x:v>DW-1541</x:v>
      </x:c>
      <x:c r="B1546" t="str">
        <x:v>DW-0271</x:v>
      </x:c>
      <x:c r="C1546" t="str">
        <x:v>Composition héritée</x:v>
      </x:c>
      <x:c r="D1546" t="str">
        <x:v>Routes et ouvrages</x:v>
      </x:c>
      <x:c r="E1546" t="str">
        <x:v>Poste d'entretien routier — Rivière, berges et gué / réseau principal coupé</x:v>
      </x:c>
      <x:c r="F1546" t="n">
        <x:v>10</x:v>
      </x:c>
      <x:c r="G1546" t="n">
        <x:v>4</x:v>
      </x:c>
      <x:c r="H1546" t="n">
        <x:v>12</x:v>
      </x:c>
      <x:c r="I1546" t="str">
        <x:v>À qualifier par lieu</x:v>
      </x:c>
      <x:c r="J1546" t="str">
        <x:v>https://github.com/darknigthmare/deadwall-last-enclosure/blob/e28f46223e73105ab2c5d83f3d50b99b58ef53e6/codex-3000/compositions/Routes et ouvrages/DW-1541.md</x:v>
      </x:c>
      <x:c r="K1546" t="str">
        <x:v>Source min 100,25 m ; max 1200,180 m ; modèle 100 × 25 m ; niveaux 0. Détails dans catalogue-existant.json.</x:v>
      </x:c>
    </x:row>
    <x:row r="1547">
      <x:c r="A1547" t="str">
        <x:v>DW-1542</x:v>
      </x:c>
      <x:c r="B1547" t="str">
        <x:v>DW-0271</x:v>
      </x:c>
      <x:c r="C1547" t="str">
        <x:v>Composition héritée</x:v>
      </x:c>
      <x:c r="D1547" t="str">
        <x:v>Routes et ouvrages</x:v>
      </x:c>
      <x:c r="E1547" t="str">
        <x:v>Poste d'entretien routier — Routes et coutures territoriales / arrêt de maintenance</x:v>
      </x:c>
      <x:c r="F1547" t="n">
        <x:v>10</x:v>
      </x:c>
      <x:c r="G1547" t="n">
        <x:v>4</x:v>
      </x:c>
      <x:c r="H1547" t="n">
        <x:v>12</x:v>
      </x:c>
      <x:c r="I1547" t="str">
        <x:v>À qualifier par lieu</x:v>
      </x:c>
      <x:c r="J1547" t="str">
        <x:v>https://github.com/darknigthmare/deadwall-last-enclosure/blob/e28f46223e73105ab2c5d83f3d50b99b58ef53e6/codex-3000/compositions/Routes et ouvrages/DW-1542.md</x:v>
      </x:c>
      <x:c r="K1547" t="str">
        <x:v>Source min 100,25 m ; max 1200,180 m ; modèle 100 × 25 m ; niveaux 0. Détails dans catalogue-existant.json.</x:v>
      </x:c>
    </x:row>
    <x:row r="1548">
      <x:c r="A1548" t="str">
        <x:v>DW-1543</x:v>
      </x:c>
      <x:c r="B1548" t="str">
        <x:v>DW-0272</x:v>
      </x:c>
      <x:c r="C1548" t="str">
        <x:v>Composition héritée</x:v>
      </x:c>
      <x:c r="D1548" t="str">
        <x:v>Routes et ouvrages</x:v>
      </x:c>
      <x:c r="E1548" t="str">
        <x:v>Déviation de travaux — Ville moyenne / repli organisé interrompu</x:v>
      </x:c>
      <x:c r="F1548" t="n">
        <x:v>10</x:v>
      </x:c>
      <x:c r="G1548" t="n">
        <x:v>3</x:v>
      </x:c>
      <x:c r="H1548" t="n">
        <x:v>9</x:v>
      </x:c>
      <x:c r="I1548" t="str">
        <x:v>À qualifier par lieu</x:v>
      </x:c>
      <x:c r="J1548" t="str">
        <x:v>https://github.com/darknigthmare/deadwall-last-enclosure/blob/e28f46223e73105ab2c5d83f3d50b99b58ef53e6/codex-3000/compositions/Routes et ouvrages/DW-1543.md</x:v>
      </x:c>
      <x:c r="K1548" t="str">
        <x:v>Source min 100,25 m ; max 1200,180 m ; modèle 100 × 25 m ; niveaux 0. Détails dans catalogue-existant.json.</x:v>
      </x:c>
    </x:row>
    <x:row r="1549">
      <x:c r="A1549" t="str">
        <x:v>DW-1544</x:v>
      </x:c>
      <x:c r="B1549" t="str">
        <x:v>DW-0272</x:v>
      </x:c>
      <x:c r="C1549" t="str">
        <x:v>Composition héritée</x:v>
      </x:c>
      <x:c r="D1549" t="str">
        <x:v>Routes et ouvrages</x:v>
      </x:c>
      <x:c r="E1549" t="str">
        <x:v>Déviation de travaux — Montagne et col / première récupération passée</x:v>
      </x:c>
      <x:c r="F1549" t="n">
        <x:v>10</x:v>
      </x:c>
      <x:c r="G1549" t="n">
        <x:v>3</x:v>
      </x:c>
      <x:c r="H1549" t="n">
        <x:v>9</x:v>
      </x:c>
      <x:c r="I1549" t="str">
        <x:v>À qualifier par lieu</x:v>
      </x:c>
      <x:c r="J1549" t="str">
        <x:v>https://github.com/darknigthmare/deadwall-last-enclosure/blob/e28f46223e73105ab2c5d83f3d50b99b58ef53e6/codex-3000/compositions/Routes et ouvrages/DW-1544.md</x:v>
      </x:c>
      <x:c r="K1549" t="str">
        <x:v>Source min 100,25 m ; max 1200,180 m ; modèle 100 × 25 m ; niveaux 0. Détails dans catalogue-existant.json.</x:v>
      </x:c>
    </x:row>
    <x:row r="1550">
      <x:c r="A1550" t="str">
        <x:v>DW-1545</x:v>
      </x:c>
      <x:c r="B1550" t="str">
        <x:v>DW-0273</x:v>
      </x:c>
      <x:c r="C1550" t="str">
        <x:v>Composition héritée</x:v>
      </x:c>
      <x:c r="D1550" t="str">
        <x:v>Routes et ouvrages</x:v>
      </x:c>
      <x:c r="E1550" t="str">
        <x:v>Route effondrée — Routes et coutures territoriales / évacuation interrompue</x:v>
      </x:c>
      <x:c r="F1550" t="n">
        <x:v>10</x:v>
      </x:c>
      <x:c r="G1550" t="n">
        <x:v>4</x:v>
      </x:c>
      <x:c r="H1550" t="n">
        <x:v>10</x:v>
      </x:c>
      <x:c r="I1550" t="str">
        <x:v>À qualifier par lieu</x:v>
      </x:c>
      <x:c r="J1550" t="str">
        <x:v>https://github.com/darknigthmare/deadwall-last-enclosure/blob/e28f46223e73105ab2c5d83f3d50b99b58ef53e6/codex-3000/compositions/Routes et ouvrages/DW-1545.md</x:v>
      </x:c>
      <x:c r="K1550" t="str">
        <x:v>Source min 100,25 m ; max 1200,180 m ; modèle 100 × 25 m ; niveaux 0. Détails dans catalogue-existant.json.</x:v>
      </x:c>
    </x:row>
    <x:row r="1551">
      <x:c r="A1551" t="str">
        <x:v>DW-1546</x:v>
      </x:c>
      <x:c r="B1551" t="str">
        <x:v>DW-0273</x:v>
      </x:c>
      <x:c r="C1551" t="str">
        <x:v>Composition héritée</x:v>
      </x:c>
      <x:c r="D1551" t="str">
        <x:v>Routes et ouvrages</x:v>
      </x:c>
      <x:c r="E1551" t="str">
        <x:v>Route effondrée — Rivière, berges et gué / service déplacé à l’arrière</x:v>
      </x:c>
      <x:c r="F1551" t="n">
        <x:v>10</x:v>
      </x:c>
      <x:c r="G1551" t="n">
        <x:v>4</x:v>
      </x:c>
      <x:c r="H1551" t="n">
        <x:v>10</x:v>
      </x:c>
      <x:c r="I1551" t="str">
        <x:v>À qualifier par lieu</x:v>
      </x:c>
      <x:c r="J1551" t="str">
        <x:v>https://github.com/darknigthmare/deadwall-last-enclosure/blob/e28f46223e73105ab2c5d83f3d50b99b58ef53e6/codex-3000/compositions/Routes et ouvrages/DW-1546.md</x:v>
      </x:c>
      <x:c r="K1551" t="str">
        <x:v>Source min 100,25 m ; max 1200,180 m ; modèle 100 × 25 m ; niveaux 0. Détails dans catalogue-existant.json.</x:v>
      </x:c>
    </x:row>
    <x:row r="1552">
      <x:c r="A1552" t="str">
        <x:v>DW-1547</x:v>
      </x:c>
      <x:c r="B1552" t="str">
        <x:v>DW-0274</x:v>
      </x:c>
      <x:c r="C1552" t="str">
        <x:v>Composition héritée</x:v>
      </x:c>
      <x:c r="D1552" t="str">
        <x:v>Routes et ouvrages</x:v>
      </x:c>
      <x:c r="E1552" t="str">
        <x:v>Passage à gué — Montagne et col / arrêt de maintenance</x:v>
      </x:c>
      <x:c r="F1552" t="n">
        <x:v>10</x:v>
      </x:c>
      <x:c r="G1552" t="n">
        <x:v>4</x:v>
      </x:c>
      <x:c r="H1552" t="n">
        <x:v>12</x:v>
      </x:c>
      <x:c r="I1552" t="str">
        <x:v>À qualifier par lieu</x:v>
      </x:c>
      <x:c r="J1552" t="str">
        <x:v>https://github.com/darknigthmare/deadwall-last-enclosure/blob/e28f46223e73105ab2c5d83f3d50b99b58ef53e6/codex-3000/compositions/Routes et ouvrages/DW-1547.md</x:v>
      </x:c>
      <x:c r="K1552" t="str">
        <x:v>Source min 100,25 m ; max 1200,180 m ; modèle 100 × 25 m ; niveaux 0. Détails dans catalogue-existant.json.</x:v>
      </x:c>
    </x:row>
    <x:row r="1553">
      <x:c r="A1553" t="str">
        <x:v>DW-1548</x:v>
      </x:c>
      <x:c r="B1553" t="str">
        <x:v>DW-0274</x:v>
      </x:c>
      <x:c r="C1553" t="str">
        <x:v>Composition héritée</x:v>
      </x:c>
      <x:c r="D1553" t="str">
        <x:v>Routes et ouvrages</x:v>
      </x:c>
      <x:c r="E1553" t="str">
        <x:v>Passage à gué — Ville moyenne / reprise progressive de la végétation</x:v>
      </x:c>
      <x:c r="F1553" t="n">
        <x:v>10</x:v>
      </x:c>
      <x:c r="G1553" t="n">
        <x:v>4</x:v>
      </x:c>
      <x:c r="H1553" t="n">
        <x:v>12</x:v>
      </x:c>
      <x:c r="I1553" t="str">
        <x:v>À qualifier par lieu</x:v>
      </x:c>
      <x:c r="J1553" t="str">
        <x:v>https://github.com/darknigthmare/deadwall-last-enclosure/blob/e28f46223e73105ab2c5d83f3d50b99b58ef53e6/codex-3000/compositions/Routes et ouvrages/DW-1548.md</x:v>
      </x:c>
      <x:c r="K1553" t="str">
        <x:v>Source min 100,25 m ; max 1200,180 m ; modèle 100 × 25 m ; niveaux 0. Détails dans catalogue-existant.json.</x:v>
      </x:c>
    </x:row>
    <x:row r="1554">
      <x:c r="A1554" t="str">
        <x:v>DW-1549</x:v>
      </x:c>
      <x:c r="B1554" t="str">
        <x:v>DW-0275</x:v>
      </x:c>
      <x:c r="C1554" t="str">
        <x:v>Composition héritée</x:v>
      </x:c>
      <x:c r="D1554" t="str">
        <x:v>Routes et ouvrages</x:v>
      </x:c>
      <x:c r="E1554" t="str">
        <x:v>Route agricole — Rivière, berges et gué / première récupération passée</x:v>
      </x:c>
      <x:c r="F1554" t="n">
        <x:v>10</x:v>
      </x:c>
      <x:c r="G1554" t="n">
        <x:v>4</x:v>
      </x:c>
      <x:c r="H1554" t="n">
        <x:v>12</x:v>
      </x:c>
      <x:c r="I1554" t="str">
        <x:v>À qualifier par lieu</x:v>
      </x:c>
      <x:c r="J1554" t="str">
        <x:v>https://github.com/darknigthmare/deadwall-last-enclosure/blob/e28f46223e73105ab2c5d83f3d50b99b58ef53e6/codex-3000/compositions/Routes et ouvrages/DW-1549.md</x:v>
      </x:c>
      <x:c r="K1554" t="str">
        <x:v>Source min 100,25 m ; max 1200,180 m ; modèle 100 × 25 m ; niveaux 0. Détails dans catalogue-existant.json.</x:v>
      </x:c>
    </x:row>
    <x:row r="1555">
      <x:c r="A1555" t="str">
        <x:v>DW-1550</x:v>
      </x:c>
      <x:c r="B1555" t="str">
        <x:v>DW-0275</x:v>
      </x:c>
      <x:c r="C1555" t="str">
        <x:v>Composition héritée</x:v>
      </x:c>
      <x:c r="D1555" t="str">
        <x:v>Routes et ouvrages</x:v>
      </x:c>
      <x:c r="E1555" t="str">
        <x:v>Route agricole — Routes et coutures territoriales / relais temporaire envisagé</x:v>
      </x:c>
      <x:c r="F1555" t="n">
        <x:v>10</x:v>
      </x:c>
      <x:c r="G1555" t="n">
        <x:v>4</x:v>
      </x:c>
      <x:c r="H1555" t="n">
        <x:v>12</x:v>
      </x:c>
      <x:c r="I1555" t="str">
        <x:v>À qualifier par lieu</x:v>
      </x:c>
      <x:c r="J1555" t="str">
        <x:v>https://github.com/darknigthmare/deadwall-last-enclosure/blob/e28f46223e73105ab2c5d83f3d50b99b58ef53e6/codex-3000/compositions/Routes et ouvrages/DW-1550.md</x:v>
      </x:c>
      <x:c r="K1555" t="str">
        <x:v>Source min 100,25 m ; max 1200,180 m ; modèle 100 × 25 m ; niveaux 0. Détails dans catalogue-existant.json.</x:v>
      </x:c>
    </x:row>
    <x:row r="1556">
      <x:c r="A1556" t="str">
        <x:v>DW-1551</x:v>
      </x:c>
      <x:c r="B1556" t="str">
        <x:v>DW-0276</x:v>
      </x:c>
      <x:c r="C1556" t="str">
        <x:v>Composition héritée</x:v>
      </x:c>
      <x:c r="D1556" t="str">
        <x:v>Routes et ouvrages</x:v>
      </x:c>
      <x:c r="E1556" t="str">
        <x:v>Piste forestière — Ville moyenne / service déplacé à l’arrière</x:v>
      </x:c>
      <x:c r="F1556" t="n">
        <x:v>10</x:v>
      </x:c>
      <x:c r="G1556" t="n">
        <x:v>4</x:v>
      </x:c>
      <x:c r="H1556" t="n">
        <x:v>12</x:v>
      </x:c>
      <x:c r="I1556" t="str">
        <x:v>À qualifier par lieu</x:v>
      </x:c>
      <x:c r="J1556" t="str">
        <x:v>https://github.com/darknigthmare/deadwall-last-enclosure/blob/e28f46223e73105ab2c5d83f3d50b99b58ef53e6/codex-3000/compositions/Routes et ouvrages/DW-1551.md</x:v>
      </x:c>
      <x:c r="K1556" t="str">
        <x:v>Source min 100,25 m ; max 1200,180 m ; modèle 100 × 25 m ; niveaux 0. Détails dans catalogue-existant.json.</x:v>
      </x:c>
    </x:row>
    <x:row r="1557">
      <x:c r="A1557" t="str">
        <x:v>DW-1552</x:v>
      </x:c>
      <x:c r="B1557" t="str">
        <x:v>DW-0276</x:v>
      </x:c>
      <x:c r="C1557" t="str">
        <x:v>Composition héritée</x:v>
      </x:c>
      <x:c r="D1557" t="str">
        <x:v>Routes et ouvrages</x:v>
      </x:c>
      <x:c r="E1557" t="str">
        <x:v>Piste forestière — Montagne et col / réseau principal coupé</x:v>
      </x:c>
      <x:c r="F1557" t="n">
        <x:v>10</x:v>
      </x:c>
      <x:c r="G1557" t="n">
        <x:v>4</x:v>
      </x:c>
      <x:c r="H1557" t="n">
        <x:v>12</x:v>
      </x:c>
      <x:c r="I1557" t="str">
        <x:v>À qualifier par lieu</x:v>
      </x:c>
      <x:c r="J1557" t="str">
        <x:v>https://github.com/darknigthmare/deadwall-last-enclosure/blob/e28f46223e73105ab2c5d83f3d50b99b58ef53e6/codex-3000/compositions/Routes et ouvrages/DW-1552.md</x:v>
      </x:c>
      <x:c r="K1557" t="str">
        <x:v>Source min 100,25 m ; max 1200,180 m ; modèle 100 × 25 m ; niveaux 0. Détails dans catalogue-existant.json.</x:v>
      </x:c>
    </x:row>
    <x:row r="1558">
      <x:c r="A1558" t="str">
        <x:v>DW-1553</x:v>
      </x:c>
      <x:c r="B1558" t="str">
        <x:v>DW-0277</x:v>
      </x:c>
      <x:c r="C1558" t="str">
        <x:v>Composition héritée</x:v>
      </x:c>
      <x:c r="D1558" t="str">
        <x:v>Routes et ouvrages</x:v>
      </x:c>
      <x:c r="E1558" t="str">
        <x:v>Rue commerçante — Routes et coutures territoriales / reprise progressive de la végétation</x:v>
      </x:c>
      <x:c r="F1558" t="n">
        <x:v>10</x:v>
      </x:c>
      <x:c r="G1558" t="n">
        <x:v>4</x:v>
      </x:c>
      <x:c r="H1558" t="n">
        <x:v>12</x:v>
      </x:c>
      <x:c r="I1558" t="str">
        <x:v>À qualifier par lieu</x:v>
      </x:c>
      <x:c r="J1558" t="str">
        <x:v>https://github.com/darknigthmare/deadwall-last-enclosure/blob/e28f46223e73105ab2c5d83f3d50b99b58ef53e6/codex-3000/compositions/Routes et ouvrages/DW-1553.md</x:v>
      </x:c>
      <x:c r="K1558" t="str">
        <x:v>Source min 100,25 m ; max 1200,180 m ; modèle 100 × 25 m ; niveaux 0. Détails dans catalogue-existant.json.</x:v>
      </x:c>
    </x:row>
    <x:row r="1559">
      <x:c r="A1559" t="str">
        <x:v>DW-1554</x:v>
      </x:c>
      <x:c r="B1559" t="str">
        <x:v>DW-0277</x:v>
      </x:c>
      <x:c r="C1559" t="str">
        <x:v>Composition héritée</x:v>
      </x:c>
      <x:c r="D1559" t="str">
        <x:v>Routes et ouvrages</x:v>
      </x:c>
      <x:c r="E1559" t="str">
        <x:v>Rue commerçante — Rivière, berges et gué / repli organisé interrompu</x:v>
      </x:c>
      <x:c r="F1559" t="n">
        <x:v>10</x:v>
      </x:c>
      <x:c r="G1559" t="n">
        <x:v>4</x:v>
      </x:c>
      <x:c r="H1559" t="n">
        <x:v>12</x:v>
      </x:c>
      <x:c r="I1559" t="str">
        <x:v>À qualifier par lieu</x:v>
      </x:c>
      <x:c r="J1559" t="str">
        <x:v>https://github.com/darknigthmare/deadwall-last-enclosure/blob/e28f46223e73105ab2c5d83f3d50b99b58ef53e6/codex-3000/compositions/Routes et ouvrages/DW-1554.md</x:v>
      </x:c>
      <x:c r="K1559" t="str">
        <x:v>Source min 100,25 m ; max 1200,180 m ; modèle 100 × 25 m ; niveaux 0. Détails dans catalogue-existant.json.</x:v>
      </x:c>
    </x:row>
    <x:row r="1560">
      <x:c r="A1560" t="str">
        <x:v>DW-1555</x:v>
      </x:c>
      <x:c r="B1560" t="str">
        <x:v>DW-0278</x:v>
      </x:c>
      <x:c r="C1560" t="str">
        <x:v>Composition héritée</x:v>
      </x:c>
      <x:c r="D1560" t="str">
        <x:v>Routes et ouvrages</x:v>
      </x:c>
      <x:c r="E1560" t="str">
        <x:v>Ruelle de service — Montagne et col / relais temporaire envisagé</x:v>
      </x:c>
      <x:c r="F1560" t="n">
        <x:v>10</x:v>
      </x:c>
      <x:c r="G1560" t="n">
        <x:v>3</x:v>
      </x:c>
      <x:c r="H1560" t="n">
        <x:v>9</x:v>
      </x:c>
      <x:c r="I1560" t="str">
        <x:v>À qualifier par lieu</x:v>
      </x:c>
      <x:c r="J1560" t="str">
        <x:v>https://github.com/darknigthmare/deadwall-last-enclosure/blob/e28f46223e73105ab2c5d83f3d50b99b58ef53e6/codex-3000/compositions/Routes et ouvrages/DW-1555.md</x:v>
      </x:c>
      <x:c r="K1560" t="str">
        <x:v>Source min 100,25 m ; max 1200,180 m ; modèle 100 × 25 m ; niveaux 0. Détails dans catalogue-existant.json.</x:v>
      </x:c>
    </x:row>
    <x:row r="1561">
      <x:c r="A1561" t="str">
        <x:v>DW-1556</x:v>
      </x:c>
      <x:c r="B1561" t="str">
        <x:v>DW-0278</x:v>
      </x:c>
      <x:c r="C1561" t="str">
        <x:v>Composition héritée</x:v>
      </x:c>
      <x:c r="D1561" t="str">
        <x:v>Routes et ouvrages</x:v>
      </x:c>
      <x:c r="E1561" t="str">
        <x:v>Ruelle de service — Ville moyenne / évacuation interrompue</x:v>
      </x:c>
      <x:c r="F1561" t="n">
        <x:v>10</x:v>
      </x:c>
      <x:c r="G1561" t="n">
        <x:v>3</x:v>
      </x:c>
      <x:c r="H1561" t="n">
        <x:v>9</x:v>
      </x:c>
      <x:c r="I1561" t="str">
        <x:v>À qualifier par lieu</x:v>
      </x:c>
      <x:c r="J1561" t="str">
        <x:v>https://github.com/darknigthmare/deadwall-last-enclosure/blob/e28f46223e73105ab2c5d83f3d50b99b58ef53e6/codex-3000/compositions/Routes et ouvrages/DW-1556.md</x:v>
      </x:c>
      <x:c r="K1561" t="str">
        <x:v>Source min 100,25 m ; max 1200,180 m ; modèle 100 × 25 m ; niveaux 0. Détails dans catalogue-existant.json.</x:v>
      </x:c>
    </x:row>
    <x:row r="1562">
      <x:c r="A1562" t="str">
        <x:v>DW-1557</x:v>
      </x:c>
      <x:c r="B1562" t="str">
        <x:v>DW-0279</x:v>
      </x:c>
      <x:c r="C1562" t="str">
        <x:v>Composition héritée</x:v>
      </x:c>
      <x:c r="D1562" t="str">
        <x:v>Routes et ouvrages</x:v>
      </x:c>
      <x:c r="E1562" t="str">
        <x:v>Boulevard urbain — Rivière, berges et gué / réseau principal coupé</x:v>
      </x:c>
      <x:c r="F1562" t="n">
        <x:v>10</x:v>
      </x:c>
      <x:c r="G1562" t="n">
        <x:v>4</x:v>
      </x:c>
      <x:c r="H1562" t="n">
        <x:v>10</x:v>
      </x:c>
      <x:c r="I1562" t="str">
        <x:v>À qualifier par lieu</x:v>
      </x:c>
      <x:c r="J1562" t="str">
        <x:v>https://github.com/darknigthmare/deadwall-last-enclosure/blob/e28f46223e73105ab2c5d83f3d50b99b58ef53e6/codex-3000/compositions/Routes et ouvrages/DW-1557.md</x:v>
      </x:c>
      <x:c r="K1562" t="str">
        <x:v>Source min 100,25 m ; max 1200,180 m ; modèle 100 × 25 m ; niveaux 0. Détails dans catalogue-existant.json.</x:v>
      </x:c>
    </x:row>
    <x:row r="1563">
      <x:c r="A1563" t="str">
        <x:v>DW-1558</x:v>
      </x:c>
      <x:c r="B1563" t="str">
        <x:v>DW-0279</x:v>
      </x:c>
      <x:c r="C1563" t="str">
        <x:v>Composition héritée</x:v>
      </x:c>
      <x:c r="D1563" t="str">
        <x:v>Routes et ouvrages</x:v>
      </x:c>
      <x:c r="E1563" t="str">
        <x:v>Boulevard urbain — Routes et coutures territoriales / arrêt de maintenance</x:v>
      </x:c>
      <x:c r="F1563" t="n">
        <x:v>10</x:v>
      </x:c>
      <x:c r="G1563" t="n">
        <x:v>4</x:v>
      </x:c>
      <x:c r="H1563" t="n">
        <x:v>10</x:v>
      </x:c>
      <x:c r="I1563" t="str">
        <x:v>À qualifier par lieu</x:v>
      </x:c>
      <x:c r="J1563" t="str">
        <x:v>https://github.com/darknigthmare/deadwall-last-enclosure/blob/e28f46223e73105ab2c5d83f3d50b99b58ef53e6/codex-3000/compositions/Routes et ouvrages/DW-1558.md</x:v>
      </x:c>
      <x:c r="K1563" t="str">
        <x:v>Source min 100,25 m ; max 1200,180 m ; modèle 100 × 25 m ; niveaux 0. Détails dans catalogue-existant.json.</x:v>
      </x:c>
    </x:row>
    <x:row r="1564">
      <x:c r="A1564" t="str">
        <x:v>DW-1559</x:v>
      </x:c>
      <x:c r="B1564" t="str">
        <x:v>DW-0280</x:v>
      </x:c>
      <x:c r="C1564" t="str">
        <x:v>Composition héritée</x:v>
      </x:c>
      <x:c r="D1564" t="str">
        <x:v>Routes et ouvrages</x:v>
      </x:c>
      <x:c r="E1564" t="str">
        <x:v>Impasse résidentielle — Ville moyenne / repli organisé interrompu</x:v>
      </x:c>
      <x:c r="F1564" t="n">
        <x:v>10</x:v>
      </x:c>
      <x:c r="G1564" t="n">
        <x:v>4</x:v>
      </x:c>
      <x:c r="H1564" t="n">
        <x:v>12</x:v>
      </x:c>
      <x:c r="I1564" t="str">
        <x:v>À qualifier par lieu</x:v>
      </x:c>
      <x:c r="J1564" t="str">
        <x:v>https://github.com/darknigthmare/deadwall-last-enclosure/blob/e28f46223e73105ab2c5d83f3d50b99b58ef53e6/codex-3000/compositions/Routes et ouvrages/DW-1559.md</x:v>
      </x:c>
      <x:c r="K1564" t="str">
        <x:v>Source min 100,25 m ; max 1200,180 m ; modèle 100 × 25 m ; niveaux 0. Détails dans catalogue-existant.json.</x:v>
      </x:c>
    </x:row>
    <x:row r="1565">
      <x:c r="A1565" t="str">
        <x:v>DW-1560</x:v>
      </x:c>
      <x:c r="B1565" t="str">
        <x:v>DW-0280</x:v>
      </x:c>
      <x:c r="C1565" t="str">
        <x:v>Composition héritée</x:v>
      </x:c>
      <x:c r="D1565" t="str">
        <x:v>Routes et ouvrages</x:v>
      </x:c>
      <x:c r="E1565" t="str">
        <x:v>Impasse résidentielle — Montagne et col / première récupération passée</x:v>
      </x:c>
      <x:c r="F1565" t="n">
        <x:v>10</x:v>
      </x:c>
      <x:c r="G1565" t="n">
        <x:v>4</x:v>
      </x:c>
      <x:c r="H1565" t="n">
        <x:v>12</x:v>
      </x:c>
      <x:c r="I1565" t="str">
        <x:v>À qualifier par lieu</x:v>
      </x:c>
      <x:c r="J1565" t="str">
        <x:v>https://github.com/darknigthmare/deadwall-last-enclosure/blob/e28f46223e73105ab2c5d83f3d50b99b58ef53e6/codex-3000/compositions/Routes et ouvrages/DW-1560.md</x:v>
      </x:c>
      <x:c r="K1565" t="str">
        <x:v>Source min 100,25 m ; max 1200,180 m ; modèle 100 × 25 m ; niveaux 0. Détails dans catalogue-existant.json.</x:v>
      </x:c>
    </x:row>
    <x:row r="1566">
      <x:c r="A1566" t="str">
        <x:v>DW-1561</x:v>
      </x:c>
      <x:c r="B1566" t="str">
        <x:v>DW-0281</x:v>
      </x:c>
      <x:c r="C1566" t="str">
        <x:v>Composition héritée</x:v>
      </x:c>
      <x:c r="D1566" t="str">
        <x:v>Ferroviaire et transports collectifs</x:v>
      </x:c>
      <x:c r="E1566" t="str">
        <x:v>Gare de village — Gare et fret / évacuation interrompue</x:v>
      </x:c>
      <x:c r="F1566" t="n">
        <x:v>10</x:v>
      </x:c>
      <x:c r="G1566" t="n">
        <x:v>4</x:v>
      </x:c>
      <x:c r="H1566" t="n">
        <x:v>12</x:v>
      </x:c>
      <x:c r="I1566" t="str">
        <x:v>À qualifier par lieu</x:v>
      </x:c>
      <x:c r="J1566" t="str">
        <x:v>https://github.com/darknigthmare/deadwall-last-enclosure/blob/e28f46223e73105ab2c5d83f3d50b99b58ef53e6/codex-3000/compositions/Ferroviaire et transports collectifs/DW-1561.md</x:v>
      </x:c>
      <x:c r="K1566" t="str">
        <x:v>Source min 60,25 m ; max 600,160 m ; modèle 60 × 25 m ; niveaux 0. Détails dans catalogue-existant.json.</x:v>
      </x:c>
    </x:row>
    <x:row r="1567">
      <x:c r="A1567" t="str">
        <x:v>DW-1562</x:v>
      </x:c>
      <x:c r="B1567" t="str">
        <x:v>DW-0281</x:v>
      </x:c>
      <x:c r="C1567" t="str">
        <x:v>Composition héritée</x:v>
      </x:c>
      <x:c r="D1567" t="str">
        <x:v>Ferroviaire et transports collectifs</x:v>
      </x:c>
      <x:c r="E1567" t="str">
        <x:v>Gare de village — Zone industrielle / service déplacé à l’arrière</x:v>
      </x:c>
      <x:c r="F1567" t="n">
        <x:v>10</x:v>
      </x:c>
      <x:c r="G1567" t="n">
        <x:v>4</x:v>
      </x:c>
      <x:c r="H1567" t="n">
        <x:v>12</x:v>
      </x:c>
      <x:c r="I1567" t="str">
        <x:v>À qualifier par lieu</x:v>
      </x:c>
      <x:c r="J1567" t="str">
        <x:v>https://github.com/darknigthmare/deadwall-last-enclosure/blob/e28f46223e73105ab2c5d83f3d50b99b58ef53e6/codex-3000/compositions/Ferroviaire et transports collectifs/DW-1562.md</x:v>
      </x:c>
      <x:c r="K1567" t="str">
        <x:v>Source min 60,25 m ; max 600,160 m ; modèle 60 × 25 m ; niveaux 0. Détails dans catalogue-existant.json.</x:v>
      </x:c>
    </x:row>
    <x:row r="1568">
      <x:c r="A1568" t="str">
        <x:v>DW-1563</x:v>
      </x:c>
      <x:c r="B1568" t="str">
        <x:v>DW-0282</x:v>
      </x:c>
      <x:c r="C1568" t="str">
        <x:v>Composition héritée</x:v>
      </x:c>
      <x:c r="D1568" t="str">
        <x:v>Ferroviaire et transports collectifs</x:v>
      </x:c>
      <x:c r="E1568" t="str">
        <x:v>Gare urbaine — Grande ville et métropole / arrêt de maintenance</x:v>
      </x:c>
      <x:c r="F1568" t="n">
        <x:v>10</x:v>
      </x:c>
      <x:c r="G1568" t="n">
        <x:v>4</x:v>
      </x:c>
      <x:c r="H1568" t="n">
        <x:v>10</x:v>
      </x:c>
      <x:c r="I1568" t="str">
        <x:v>À qualifier par lieu</x:v>
      </x:c>
      <x:c r="J1568" t="str">
        <x:v>https://github.com/darknigthmare/deadwall-last-enclosure/blob/e28f46223e73105ab2c5d83f3d50b99b58ef53e6/codex-3000/compositions/Ferroviaire et transports collectifs/DW-1563.md</x:v>
      </x:c>
      <x:c r="K1568" t="str">
        <x:v>Source min 60,25 m ; max 600,160 m ; modèle 60 × 25 m ; niveaux 0. Détails dans catalogue-existant.json.</x:v>
      </x:c>
    </x:row>
    <x:row r="1569">
      <x:c r="A1569" t="str">
        <x:v>DW-1564</x:v>
      </x:c>
      <x:c r="B1569" t="str">
        <x:v>DW-0282</x:v>
      </x:c>
      <x:c r="C1569" t="str">
        <x:v>Composition héritée</x:v>
      </x:c>
      <x:c r="D1569" t="str">
        <x:v>Ferroviaire et transports collectifs</x:v>
      </x:c>
      <x:c r="E1569" t="str">
        <x:v>Gare urbaine — Port marchand / reprise progressive de la végétation</x:v>
      </x:c>
      <x:c r="F1569" t="n">
        <x:v>10</x:v>
      </x:c>
      <x:c r="G1569" t="n">
        <x:v>4</x:v>
      </x:c>
      <x:c r="H1569" t="n">
        <x:v>10</x:v>
      </x:c>
      <x:c r="I1569" t="str">
        <x:v>À qualifier par lieu</x:v>
      </x:c>
      <x:c r="J1569" t="str">
        <x:v>https://github.com/darknigthmare/deadwall-last-enclosure/blob/e28f46223e73105ab2c5d83f3d50b99b58ef53e6/codex-3000/compositions/Ferroviaire et transports collectifs/DW-1564.md</x:v>
      </x:c>
      <x:c r="K1569" t="str">
        <x:v>Source min 60,25 m ; max 600,160 m ; modèle 60 × 25 m ; niveaux 0. Détails dans catalogue-existant.json.</x:v>
      </x:c>
    </x:row>
    <x:row r="1570">
      <x:c r="A1570" t="str">
        <x:v>DW-1565</x:v>
      </x:c>
      <x:c r="B1570" t="str">
        <x:v>DW-0283</x:v>
      </x:c>
      <x:c r="C1570" t="str">
        <x:v>Composition héritée</x:v>
      </x:c>
      <x:c r="D1570" t="str">
        <x:v>Ferroviaire et transports collectifs</x:v>
      </x:c>
      <x:c r="E1570" t="str">
        <x:v>Gare terminus — Zone industrielle / première récupération passée</x:v>
      </x:c>
      <x:c r="F1570" t="n">
        <x:v>10</x:v>
      </x:c>
      <x:c r="G1570" t="n">
        <x:v>4</x:v>
      </x:c>
      <x:c r="H1570" t="n">
        <x:v>12</x:v>
      </x:c>
      <x:c r="I1570" t="str">
        <x:v>À qualifier par lieu</x:v>
      </x:c>
      <x:c r="J1570" t="str">
        <x:v>https://github.com/darknigthmare/deadwall-last-enclosure/blob/e28f46223e73105ab2c5d83f3d50b99b58ef53e6/codex-3000/compositions/Ferroviaire et transports collectifs/DW-1565.md</x:v>
      </x:c>
      <x:c r="K1570" t="str">
        <x:v>Source min 60,25 m ; max 600,160 m ; modèle 60 × 25 m ; niveaux 0. Détails dans catalogue-existant.json.</x:v>
      </x:c>
    </x:row>
    <x:row r="1571">
      <x:c r="A1571" t="str">
        <x:v>DW-1566</x:v>
      </x:c>
      <x:c r="B1571" t="str">
        <x:v>DW-0283</x:v>
      </x:c>
      <x:c r="C1571" t="str">
        <x:v>Composition héritée</x:v>
      </x:c>
      <x:c r="D1571" t="str">
        <x:v>Ferroviaire et transports collectifs</x:v>
      </x:c>
      <x:c r="E1571" t="str">
        <x:v>Gare terminus — Gare et fret / relais temporaire envisagé</x:v>
      </x:c>
      <x:c r="F1571" t="n">
        <x:v>10</x:v>
      </x:c>
      <x:c r="G1571" t="n">
        <x:v>4</x:v>
      </x:c>
      <x:c r="H1571" t="n">
        <x:v>12</x:v>
      </x:c>
      <x:c r="I1571" t="str">
        <x:v>À qualifier par lieu</x:v>
      </x:c>
      <x:c r="J1571" t="str">
        <x:v>https://github.com/darknigthmare/deadwall-last-enclosure/blob/e28f46223e73105ab2c5d83f3d50b99b58ef53e6/codex-3000/compositions/Ferroviaire et transports collectifs/DW-1566.md</x:v>
      </x:c>
      <x:c r="K1571" t="str">
        <x:v>Source min 60,25 m ; max 600,160 m ; modèle 60 × 25 m ; niveaux 0. Détails dans catalogue-existant.json.</x:v>
      </x:c>
    </x:row>
    <x:row r="1572">
      <x:c r="A1572" t="str">
        <x:v>DW-1567</x:v>
      </x:c>
      <x:c r="B1572" t="str">
        <x:v>DW-0284</x:v>
      </x:c>
      <x:c r="C1572" t="str">
        <x:v>Composition héritée</x:v>
      </x:c>
      <x:c r="D1572" t="str">
        <x:v>Ferroviaire et transports collectifs</x:v>
      </x:c>
      <x:c r="E1572" t="str">
        <x:v>Gare de marchandises — Port marchand / service déplacé à l’arrière</x:v>
      </x:c>
      <x:c r="F1572" t="n">
        <x:v>10</x:v>
      </x:c>
      <x:c r="G1572" t="n">
        <x:v>4</x:v>
      </x:c>
      <x:c r="H1572" t="n">
        <x:v>12</x:v>
      </x:c>
      <x:c r="I1572" t="str">
        <x:v>À qualifier par lieu</x:v>
      </x:c>
      <x:c r="J1572" t="str">
        <x:v>https://github.com/darknigthmare/deadwall-last-enclosure/blob/e28f46223e73105ab2c5d83f3d50b99b58ef53e6/codex-3000/compositions/Ferroviaire et transports collectifs/DW-1567.md</x:v>
      </x:c>
      <x:c r="K1572" t="str">
        <x:v>Source min 60,25 m ; max 600,160 m ; modèle 60 × 25 m ; niveaux 0. Détails dans catalogue-existant.json.</x:v>
      </x:c>
    </x:row>
    <x:row r="1573">
      <x:c r="A1573" t="str">
        <x:v>DW-1568</x:v>
      </x:c>
      <x:c r="B1573" t="str">
        <x:v>DW-0284</x:v>
      </x:c>
      <x:c r="C1573" t="str">
        <x:v>Composition héritée</x:v>
      </x:c>
      <x:c r="D1573" t="str">
        <x:v>Ferroviaire et transports collectifs</x:v>
      </x:c>
      <x:c r="E1573" t="str">
        <x:v>Gare de marchandises — Grande ville et métropole / réseau principal coupé</x:v>
      </x:c>
      <x:c r="F1573" t="n">
        <x:v>10</x:v>
      </x:c>
      <x:c r="G1573" t="n">
        <x:v>4</x:v>
      </x:c>
      <x:c r="H1573" t="n">
        <x:v>12</x:v>
      </x:c>
      <x:c r="I1573" t="str">
        <x:v>À qualifier par lieu</x:v>
      </x:c>
      <x:c r="J1573" t="str">
        <x:v>https://github.com/darknigthmare/deadwall-last-enclosure/blob/e28f46223e73105ab2c5d83f3d50b99b58ef53e6/codex-3000/compositions/Ferroviaire et transports collectifs/DW-1568.md</x:v>
      </x:c>
      <x:c r="K1573" t="str">
        <x:v>Source min 60,25 m ; max 600,160 m ; modèle 60 × 25 m ; niveaux 0. Détails dans catalogue-existant.json.</x:v>
      </x:c>
    </x:row>
    <x:row r="1574">
      <x:c r="A1574" t="str">
        <x:v>DW-1569</x:v>
      </x:c>
      <x:c r="B1574" t="str">
        <x:v>DW-0285</x:v>
      </x:c>
      <x:c r="C1574" t="str">
        <x:v>Composition héritée</x:v>
      </x:c>
      <x:c r="D1574" t="str">
        <x:v>Ferroviaire et transports collectifs</x:v>
      </x:c>
      <x:c r="E1574" t="str">
        <x:v>Triage ferroviaire — Gare et fret / reprise progressive de la végétation</x:v>
      </x:c>
      <x:c r="F1574" t="n">
        <x:v>10</x:v>
      </x:c>
      <x:c r="G1574" t="n">
        <x:v>4</x:v>
      </x:c>
      <x:c r="H1574" t="n">
        <x:v>12</x:v>
      </x:c>
      <x:c r="I1574" t="str">
        <x:v>À qualifier par lieu</x:v>
      </x:c>
      <x:c r="J1574" t="str">
        <x:v>https://github.com/darknigthmare/deadwall-last-enclosure/blob/e28f46223e73105ab2c5d83f3d50b99b58ef53e6/codex-3000/compositions/Ferroviaire et transports collectifs/DW-1569.md</x:v>
      </x:c>
      <x:c r="K1574" t="str">
        <x:v>Source min 60,25 m ; max 600,160 m ; modèle 60 × 25 m ; niveaux 0. Détails dans catalogue-existant.json.</x:v>
      </x:c>
    </x:row>
    <x:row r="1575">
      <x:c r="A1575" t="str">
        <x:v>DW-1570</x:v>
      </x:c>
      <x:c r="B1575" t="str">
        <x:v>DW-0285</x:v>
      </x:c>
      <x:c r="C1575" t="str">
        <x:v>Composition héritée</x:v>
      </x:c>
      <x:c r="D1575" t="str">
        <x:v>Ferroviaire et transports collectifs</x:v>
      </x:c>
      <x:c r="E1575" t="str">
        <x:v>Triage ferroviaire — Zone industrielle / repli organisé interrompu</x:v>
      </x:c>
      <x:c r="F1575" t="n">
        <x:v>10</x:v>
      </x:c>
      <x:c r="G1575" t="n">
        <x:v>4</x:v>
      </x:c>
      <x:c r="H1575" t="n">
        <x:v>12</x:v>
      </x:c>
      <x:c r="I1575" t="str">
        <x:v>À qualifier par lieu</x:v>
      </x:c>
      <x:c r="J1575" t="str">
        <x:v>https://github.com/darknigthmare/deadwall-last-enclosure/blob/e28f46223e73105ab2c5d83f3d50b99b58ef53e6/codex-3000/compositions/Ferroviaire et transports collectifs/DW-1570.md</x:v>
      </x:c>
      <x:c r="K1575" t="str">
        <x:v>Source min 60,25 m ; max 600,160 m ; modèle 60 × 25 m ; niveaux 0. Détails dans catalogue-existant.json.</x:v>
      </x:c>
    </x:row>
    <x:row r="1576">
      <x:c r="A1576" t="str">
        <x:v>DW-1571</x:v>
      </x:c>
      <x:c r="B1576" t="str">
        <x:v>DW-0286</x:v>
      </x:c>
      <x:c r="C1576" t="str">
        <x:v>Composition héritée</x:v>
      </x:c>
      <x:c r="D1576" t="str">
        <x:v>Ferroviaire et transports collectifs</x:v>
      </x:c>
      <x:c r="E1576" t="str">
        <x:v>Dépôt de locomotives — Grande ville et métropole / relais temporaire envisagé</x:v>
      </x:c>
      <x:c r="F1576" t="n">
        <x:v>10</x:v>
      </x:c>
      <x:c r="G1576" t="n">
        <x:v>4</x:v>
      </x:c>
      <x:c r="H1576" t="n">
        <x:v>12</x:v>
      </x:c>
      <x:c r="I1576" t="str">
        <x:v>À qualifier par lieu</x:v>
      </x:c>
      <x:c r="J1576" t="str">
        <x:v>https://github.com/darknigthmare/deadwall-last-enclosure/blob/e28f46223e73105ab2c5d83f3d50b99b58ef53e6/codex-3000/compositions/Ferroviaire et transports collectifs/DW-1571.md</x:v>
      </x:c>
      <x:c r="K1576" t="str">
        <x:v>Source min 60,25 m ; max 600,160 m ; modèle 60 × 25 m ; niveaux 0. Détails dans catalogue-existant.json.</x:v>
      </x:c>
    </x:row>
    <x:row r="1577">
      <x:c r="A1577" t="str">
        <x:v>DW-1572</x:v>
      </x:c>
      <x:c r="B1577" t="str">
        <x:v>DW-0286</x:v>
      </x:c>
      <x:c r="C1577" t="str">
        <x:v>Composition héritée</x:v>
      </x:c>
      <x:c r="D1577" t="str">
        <x:v>Ferroviaire et transports collectifs</x:v>
      </x:c>
      <x:c r="E1577" t="str">
        <x:v>Dépôt de locomotives — Port marchand / évacuation interrompue</x:v>
      </x:c>
      <x:c r="F1577" t="n">
        <x:v>10</x:v>
      </x:c>
      <x:c r="G1577" t="n">
        <x:v>4</x:v>
      </x:c>
      <x:c r="H1577" t="n">
        <x:v>12</x:v>
      </x:c>
      <x:c r="I1577" t="str">
        <x:v>À qualifier par lieu</x:v>
      </x:c>
      <x:c r="J1577" t="str">
        <x:v>https://github.com/darknigthmare/deadwall-last-enclosure/blob/e28f46223e73105ab2c5d83f3d50b99b58ef53e6/codex-3000/compositions/Ferroviaire et transports collectifs/DW-1572.md</x:v>
      </x:c>
      <x:c r="K1577" t="str">
        <x:v>Source min 60,25 m ; max 600,160 m ; modèle 60 × 25 m ; niveaux 0. Détails dans catalogue-existant.json.</x:v>
      </x:c>
    </x:row>
    <x:row r="1578">
      <x:c r="A1578" t="str">
        <x:v>DW-1573</x:v>
      </x:c>
      <x:c r="B1578" t="str">
        <x:v>DW-0287</x:v>
      </x:c>
      <x:c r="C1578" t="str">
        <x:v>Composition héritée</x:v>
      </x:c>
      <x:c r="D1578" t="str">
        <x:v>Ferroviaire et transports collectifs</x:v>
      </x:c>
      <x:c r="E1578" t="str">
        <x:v>Rotonde ancienne — Zone industrielle / réseau principal coupé</x:v>
      </x:c>
      <x:c r="F1578" t="n">
        <x:v>10</x:v>
      </x:c>
      <x:c r="G1578" t="n">
        <x:v>3</x:v>
      </x:c>
      <x:c r="H1578" t="n">
        <x:v>9</x:v>
      </x:c>
      <x:c r="I1578" t="str">
        <x:v>À qualifier par lieu</x:v>
      </x:c>
      <x:c r="J1578" t="str">
        <x:v>https://github.com/darknigthmare/deadwall-last-enclosure/blob/e28f46223e73105ab2c5d83f3d50b99b58ef53e6/codex-3000/compositions/Ferroviaire et transports collectifs/DW-1573.md</x:v>
      </x:c>
      <x:c r="K1578" t="str">
        <x:v>Source min 60,25 m ; max 600,160 m ; modèle 60 × 25 m ; niveaux 0. Détails dans catalogue-existant.json.</x:v>
      </x:c>
    </x:row>
    <x:row r="1579">
      <x:c r="A1579" t="str">
        <x:v>DW-1574</x:v>
      </x:c>
      <x:c r="B1579" t="str">
        <x:v>DW-0287</x:v>
      </x:c>
      <x:c r="C1579" t="str">
        <x:v>Composition héritée</x:v>
      </x:c>
      <x:c r="D1579" t="str">
        <x:v>Ferroviaire et transports collectifs</x:v>
      </x:c>
      <x:c r="E1579" t="str">
        <x:v>Rotonde ancienne — Gare et fret / arrêt de maintenance</x:v>
      </x:c>
      <x:c r="F1579" t="n">
        <x:v>10</x:v>
      </x:c>
      <x:c r="G1579" t="n">
        <x:v>3</x:v>
      </x:c>
      <x:c r="H1579" t="n">
        <x:v>9</x:v>
      </x:c>
      <x:c r="I1579" t="str">
        <x:v>À qualifier par lieu</x:v>
      </x:c>
      <x:c r="J1579" t="str">
        <x:v>https://github.com/darknigthmare/deadwall-last-enclosure/blob/e28f46223e73105ab2c5d83f3d50b99b58ef53e6/codex-3000/compositions/Ferroviaire et transports collectifs/DW-1574.md</x:v>
      </x:c>
      <x:c r="K1579" t="str">
        <x:v>Source min 60,25 m ; max 600,160 m ; modèle 60 × 25 m ; niveaux 0. Détails dans catalogue-existant.json.</x:v>
      </x:c>
    </x:row>
    <x:row r="1580">
      <x:c r="A1580" t="str">
        <x:v>DW-1575</x:v>
      </x:c>
      <x:c r="B1580" t="str">
        <x:v>DW-0288</x:v>
      </x:c>
      <x:c r="C1580" t="str">
        <x:v>Composition héritée</x:v>
      </x:c>
      <x:c r="D1580" t="str">
        <x:v>Ferroviaire et transports collectifs</x:v>
      </x:c>
      <x:c r="E1580" t="str">
        <x:v>Atelier de wagons — Port marchand / repli organisé interrompu</x:v>
      </x:c>
      <x:c r="F1580" t="n">
        <x:v>10</x:v>
      </x:c>
      <x:c r="G1580" t="n">
        <x:v>4</x:v>
      </x:c>
      <x:c r="H1580" t="n">
        <x:v>12</x:v>
      </x:c>
      <x:c r="I1580" t="str">
        <x:v>À qualifier par lieu</x:v>
      </x:c>
      <x:c r="J1580" t="str">
        <x:v>https://github.com/darknigthmare/deadwall-last-enclosure/blob/e28f46223e73105ab2c5d83f3d50b99b58ef53e6/codex-3000/compositions/Ferroviaire et transports collectifs/DW-1575.md</x:v>
      </x:c>
      <x:c r="K1580" t="str">
        <x:v>Source min 60,25 m ; max 600,160 m ; modèle 60 × 25 m ; niveaux 0. Détails dans catalogue-existant.json.</x:v>
      </x:c>
    </x:row>
    <x:row r="1581">
      <x:c r="A1581" t="str">
        <x:v>DW-1576</x:v>
      </x:c>
      <x:c r="B1581" t="str">
        <x:v>DW-0288</x:v>
      </x:c>
      <x:c r="C1581" t="str">
        <x:v>Composition héritée</x:v>
      </x:c>
      <x:c r="D1581" t="str">
        <x:v>Ferroviaire et transports collectifs</x:v>
      </x:c>
      <x:c r="E1581" t="str">
        <x:v>Atelier de wagons — Grande ville et métropole / première récupération passée</x:v>
      </x:c>
      <x:c r="F1581" t="n">
        <x:v>10</x:v>
      </x:c>
      <x:c r="G1581" t="n">
        <x:v>4</x:v>
      </x:c>
      <x:c r="H1581" t="n">
        <x:v>12</x:v>
      </x:c>
      <x:c r="I1581" t="str">
        <x:v>À qualifier par lieu</x:v>
      </x:c>
      <x:c r="J1581" t="str">
        <x:v>https://github.com/darknigthmare/deadwall-last-enclosure/blob/e28f46223e73105ab2c5d83f3d50b99b58ef53e6/codex-3000/compositions/Ferroviaire et transports collectifs/DW-1576.md</x:v>
      </x:c>
      <x:c r="K1581" t="str">
        <x:v>Source min 60,25 m ; max 600,160 m ; modèle 60 × 25 m ; niveaux 0. Détails dans catalogue-existant.json.</x:v>
      </x:c>
    </x:row>
    <x:row r="1582">
      <x:c r="A1582" t="str">
        <x:v>DW-1577</x:v>
      </x:c>
      <x:c r="B1582" t="str">
        <x:v>DW-0289</x:v>
      </x:c>
      <x:c r="C1582" t="str">
        <x:v>Composition héritée</x:v>
      </x:c>
      <x:c r="D1582" t="str">
        <x:v>Ferroviaire et transports collectifs</x:v>
      </x:c>
      <x:c r="E1582" t="str">
        <x:v>Halle fret désaffectée — Gare et fret / évacuation interrompue</x:v>
      </x:c>
      <x:c r="F1582" t="n">
        <x:v>10</x:v>
      </x:c>
      <x:c r="G1582" t="n">
        <x:v>4</x:v>
      </x:c>
      <x:c r="H1582" t="n">
        <x:v>10</x:v>
      </x:c>
      <x:c r="I1582" t="str">
        <x:v>À qualifier par lieu</x:v>
      </x:c>
      <x:c r="J1582" t="str">
        <x:v>https://github.com/darknigthmare/deadwall-last-enclosure/blob/e28f46223e73105ab2c5d83f3d50b99b58ef53e6/codex-3000/compositions/Ferroviaire et transports collectifs/DW-1577.md</x:v>
      </x:c>
      <x:c r="K1582" t="str">
        <x:v>Source min 60,25 m ; max 600,160 m ; modèle 60 × 25 m ; niveaux 0. Détails dans catalogue-existant.json.</x:v>
      </x:c>
    </x:row>
    <x:row r="1583">
      <x:c r="A1583" t="str">
        <x:v>DW-1578</x:v>
      </x:c>
      <x:c r="B1583" t="str">
        <x:v>DW-0289</x:v>
      </x:c>
      <x:c r="C1583" t="str">
        <x:v>Composition héritée</x:v>
      </x:c>
      <x:c r="D1583" t="str">
        <x:v>Ferroviaire et transports collectifs</x:v>
      </x:c>
      <x:c r="E1583" t="str">
        <x:v>Halle fret désaffectée — Zone industrielle / service déplacé à l’arrière</x:v>
      </x:c>
      <x:c r="F1583" t="n">
        <x:v>10</x:v>
      </x:c>
      <x:c r="G1583" t="n">
        <x:v>4</x:v>
      </x:c>
      <x:c r="H1583" t="n">
        <x:v>10</x:v>
      </x:c>
      <x:c r="I1583" t="str">
        <x:v>À qualifier par lieu</x:v>
      </x:c>
      <x:c r="J1583" t="str">
        <x:v>https://github.com/darknigthmare/deadwall-last-enclosure/blob/e28f46223e73105ab2c5d83f3d50b99b58ef53e6/codex-3000/compositions/Ferroviaire et transports collectifs/DW-1578.md</x:v>
      </x:c>
      <x:c r="K1583" t="str">
        <x:v>Source min 60,25 m ; max 600,160 m ; modèle 60 × 25 m ; niveaux 0. Détails dans catalogue-existant.json.</x:v>
      </x:c>
    </x:row>
    <x:row r="1584">
      <x:c r="A1584" t="str">
        <x:v>DW-1579</x:v>
      </x:c>
      <x:c r="B1584" t="str">
        <x:v>DW-0290</x:v>
      </x:c>
      <x:c r="C1584" t="str">
        <x:v>Composition héritée</x:v>
      </x:c>
      <x:c r="D1584" t="str">
        <x:v>Ferroviaire et transports collectifs</x:v>
      </x:c>
      <x:c r="E1584" t="str">
        <x:v>Poste d'aiguillage — Grande ville et métropole / arrêt de maintenance</x:v>
      </x:c>
      <x:c r="F1584" t="n">
        <x:v>10</x:v>
      </x:c>
      <x:c r="G1584" t="n">
        <x:v>3</x:v>
      </x:c>
      <x:c r="H1584" t="n">
        <x:v>9</x:v>
      </x:c>
      <x:c r="I1584" t="str">
        <x:v>À qualifier par lieu</x:v>
      </x:c>
      <x:c r="J1584" t="str">
        <x:v>https://github.com/darknigthmare/deadwall-last-enclosure/blob/e28f46223e73105ab2c5d83f3d50b99b58ef53e6/codex-3000/compositions/Ferroviaire et transports collectifs/DW-1579.md</x:v>
      </x:c>
      <x:c r="K1584" t="str">
        <x:v>Source min 60,25 m ; max 600,160 m ; modèle 60 × 25 m ; niveaux 0. Détails dans catalogue-existant.json.</x:v>
      </x:c>
    </x:row>
    <x:row r="1585">
      <x:c r="A1585" t="str">
        <x:v>DW-1580</x:v>
      </x:c>
      <x:c r="B1585" t="str">
        <x:v>DW-0290</x:v>
      </x:c>
      <x:c r="C1585" t="str">
        <x:v>Composition héritée</x:v>
      </x:c>
      <x:c r="D1585" t="str">
        <x:v>Ferroviaire et transports collectifs</x:v>
      </x:c>
      <x:c r="E1585" t="str">
        <x:v>Poste d'aiguillage — Port marchand / reprise progressive de la végétation</x:v>
      </x:c>
      <x:c r="F1585" t="n">
        <x:v>10</x:v>
      </x:c>
      <x:c r="G1585" t="n">
        <x:v>3</x:v>
      </x:c>
      <x:c r="H1585" t="n">
        <x:v>9</x:v>
      </x:c>
      <x:c r="I1585" t="str">
        <x:v>À qualifier par lieu</x:v>
      </x:c>
      <x:c r="J1585" t="str">
        <x:v>https://github.com/darknigthmare/deadwall-last-enclosure/blob/e28f46223e73105ab2c5d83f3d50b99b58ef53e6/codex-3000/compositions/Ferroviaire et transports collectifs/DW-1580.md</x:v>
      </x:c>
      <x:c r="K1585" t="str">
        <x:v>Source min 60,25 m ; max 600,160 m ; modèle 60 × 25 m ; niveaux 0. Détails dans catalogue-existant.json.</x:v>
      </x:c>
    </x:row>
    <x:row r="1586">
      <x:c r="A1586" t="str">
        <x:v>DW-1581</x:v>
      </x:c>
      <x:c r="B1586" t="str">
        <x:v>DW-0291</x:v>
      </x:c>
      <x:c r="C1586" t="str">
        <x:v>Composition héritée</x:v>
      </x:c>
      <x:c r="D1586" t="str">
        <x:v>Ferroviaire et transports collectifs</x:v>
      </x:c>
      <x:c r="E1586" t="str">
        <x:v>Maison de passage à niveau — Zone industrielle / première récupération passée</x:v>
      </x:c>
      <x:c r="F1586" t="n">
        <x:v>10</x:v>
      </x:c>
      <x:c r="G1586" t="n">
        <x:v>4</x:v>
      </x:c>
      <x:c r="H1586" t="n">
        <x:v>12</x:v>
      </x:c>
      <x:c r="I1586" t="str">
        <x:v>À qualifier par lieu</x:v>
      </x:c>
      <x:c r="J1586" t="str">
        <x:v>https://github.com/darknigthmare/deadwall-last-enclosure/blob/e28f46223e73105ab2c5d83f3d50b99b58ef53e6/codex-3000/compositions/Ferroviaire et transports collectifs/DW-1581.md</x:v>
      </x:c>
      <x:c r="K1586" t="str">
        <x:v>Source min 60,25 m ; max 600,160 m ; modèle 60 × 25 m ; niveaux 0. Détails dans catalogue-existant.json.</x:v>
      </x:c>
    </x:row>
    <x:row r="1587">
      <x:c r="A1587" t="str">
        <x:v>DW-1582</x:v>
      </x:c>
      <x:c r="B1587" t="str">
        <x:v>DW-0291</x:v>
      </x:c>
      <x:c r="C1587" t="str">
        <x:v>Composition héritée</x:v>
      </x:c>
      <x:c r="D1587" t="str">
        <x:v>Ferroviaire et transports collectifs</x:v>
      </x:c>
      <x:c r="E1587" t="str">
        <x:v>Maison de passage à niveau — Gare et fret / relais temporaire envisagé</x:v>
      </x:c>
      <x:c r="F1587" t="n">
        <x:v>10</x:v>
      </x:c>
      <x:c r="G1587" t="n">
        <x:v>4</x:v>
      </x:c>
      <x:c r="H1587" t="n">
        <x:v>12</x:v>
      </x:c>
      <x:c r="I1587" t="str">
        <x:v>À qualifier par lieu</x:v>
      </x:c>
      <x:c r="J1587" t="str">
        <x:v>https://github.com/darknigthmare/deadwall-last-enclosure/blob/e28f46223e73105ab2c5d83f3d50b99b58ef53e6/codex-3000/compositions/Ferroviaire et transports collectifs/DW-1582.md</x:v>
      </x:c>
      <x:c r="K1587" t="str">
        <x:v>Source min 60,25 m ; max 600,160 m ; modèle 60 × 25 m ; niveaux 0. Détails dans catalogue-existant.json.</x:v>
      </x:c>
    </x:row>
    <x:row r="1588">
      <x:c r="A1588" t="str">
        <x:v>DW-1583</x:v>
      </x:c>
      <x:c r="B1588" t="str">
        <x:v>DW-0292</x:v>
      </x:c>
      <x:c r="C1588" t="str">
        <x:v>Composition héritée</x:v>
      </x:c>
      <x:c r="D1588" t="str">
        <x:v>Ferroviaire et transports collectifs</x:v>
      </x:c>
      <x:c r="E1588" t="str">
        <x:v>Passage ferroviaire supérieur — Port marchand / service déplacé à l’arrière</x:v>
      </x:c>
      <x:c r="F1588" t="n">
        <x:v>10</x:v>
      </x:c>
      <x:c r="G1588" t="n">
        <x:v>4</x:v>
      </x:c>
      <x:c r="H1588" t="n">
        <x:v>12</x:v>
      </x:c>
      <x:c r="I1588" t="str">
        <x:v>À qualifier par lieu</x:v>
      </x:c>
      <x:c r="J1588" t="str">
        <x:v>https://github.com/darknigthmare/deadwall-last-enclosure/blob/e28f46223e73105ab2c5d83f3d50b99b58ef53e6/codex-3000/compositions/Ferroviaire et transports collectifs/DW-1583.md</x:v>
      </x:c>
      <x:c r="K1588" t="str">
        <x:v>Source min 60,25 m ; max 600,160 m ; modèle 60 × 25 m ; niveaux 0. Détails dans catalogue-existant.json.</x:v>
      </x:c>
    </x:row>
    <x:row r="1589">
      <x:c r="A1589" t="str">
        <x:v>DW-1584</x:v>
      </x:c>
      <x:c r="B1589" t="str">
        <x:v>DW-0292</x:v>
      </x:c>
      <x:c r="C1589" t="str">
        <x:v>Composition héritée</x:v>
      </x:c>
      <x:c r="D1589" t="str">
        <x:v>Ferroviaire et transports collectifs</x:v>
      </x:c>
      <x:c r="E1589" t="str">
        <x:v>Passage ferroviaire supérieur — Grande ville et métropole / réseau principal coupé</x:v>
      </x:c>
      <x:c r="F1589" t="n">
        <x:v>10</x:v>
      </x:c>
      <x:c r="G1589" t="n">
        <x:v>4</x:v>
      </x:c>
      <x:c r="H1589" t="n">
        <x:v>12</x:v>
      </x:c>
      <x:c r="I1589" t="str">
        <x:v>À qualifier par lieu</x:v>
      </x:c>
      <x:c r="J1589" t="str">
        <x:v>https://github.com/darknigthmare/deadwall-last-enclosure/blob/e28f46223e73105ab2c5d83f3d50b99b58ef53e6/codex-3000/compositions/Ferroviaire et transports collectifs/DW-1584.md</x:v>
      </x:c>
      <x:c r="K1589" t="str">
        <x:v>Source min 60,25 m ; max 600,160 m ; modèle 60 × 25 m ; niveaux 0. Détails dans catalogue-existant.json.</x:v>
      </x:c>
    </x:row>
    <x:row r="1590">
      <x:c r="A1590" t="str">
        <x:v>DW-1585</x:v>
      </x:c>
      <x:c r="B1590" t="str">
        <x:v>DW-0293</x:v>
      </x:c>
      <x:c r="C1590" t="str">
        <x:v>Composition héritée</x:v>
      </x:c>
      <x:c r="D1590" t="str">
        <x:v>Ferroviaire et transports collectifs</x:v>
      </x:c>
      <x:c r="E1590" t="str">
        <x:v>Tunnel ferroviaire — Gare et fret / reprise progressive de la végétation</x:v>
      </x:c>
      <x:c r="F1590" t="n">
        <x:v>10</x:v>
      </x:c>
      <x:c r="G1590" t="n">
        <x:v>4</x:v>
      </x:c>
      <x:c r="H1590" t="n">
        <x:v>10</x:v>
      </x:c>
      <x:c r="I1590" t="str">
        <x:v>À qualifier par lieu</x:v>
      </x:c>
      <x:c r="J1590" t="str">
        <x:v>https://github.com/darknigthmare/deadwall-last-enclosure/blob/e28f46223e73105ab2c5d83f3d50b99b58ef53e6/codex-3000/compositions/Ferroviaire et transports collectifs/DW-1585.md</x:v>
      </x:c>
      <x:c r="K1590" t="str">
        <x:v>Source min 60,25 m ; max 600,160 m ; modèle 60 × 25 m ; niveaux 0. Détails dans catalogue-existant.json.</x:v>
      </x:c>
    </x:row>
    <x:row r="1591">
      <x:c r="A1591" t="str">
        <x:v>DW-1586</x:v>
      </x:c>
      <x:c r="B1591" t="str">
        <x:v>DW-0293</x:v>
      </x:c>
      <x:c r="C1591" t="str">
        <x:v>Composition héritée</x:v>
      </x:c>
      <x:c r="D1591" t="str">
        <x:v>Ferroviaire et transports collectifs</x:v>
      </x:c>
      <x:c r="E1591" t="str">
        <x:v>Tunnel ferroviaire — Zone industrielle / repli organisé interrompu</x:v>
      </x:c>
      <x:c r="F1591" t="n">
        <x:v>10</x:v>
      </x:c>
      <x:c r="G1591" t="n">
        <x:v>4</x:v>
      </x:c>
      <x:c r="H1591" t="n">
        <x:v>10</x:v>
      </x:c>
      <x:c r="I1591" t="str">
        <x:v>À qualifier par lieu</x:v>
      </x:c>
      <x:c r="J1591" t="str">
        <x:v>https://github.com/darknigthmare/deadwall-last-enclosure/blob/e28f46223e73105ab2c5d83f3d50b99b58ef53e6/codex-3000/compositions/Ferroviaire et transports collectifs/DW-1586.md</x:v>
      </x:c>
      <x:c r="K1591" t="str">
        <x:v>Source min 60,25 m ; max 600,160 m ; modèle 60 × 25 m ; niveaux 0. Détails dans catalogue-existant.json.</x:v>
      </x:c>
    </x:row>
    <x:row r="1592">
      <x:c r="A1592" t="str">
        <x:v>DW-1587</x:v>
      </x:c>
      <x:c r="B1592" t="str">
        <x:v>DW-0294</x:v>
      </x:c>
      <x:c r="C1592" t="str">
        <x:v>Composition héritée</x:v>
      </x:c>
      <x:c r="D1592" t="str">
        <x:v>Ferroviaire et transports collectifs</x:v>
      </x:c>
      <x:c r="E1592" t="str">
        <x:v>Station de métro — Grande ville et métropole / relais temporaire envisagé</x:v>
      </x:c>
      <x:c r="F1592" t="n">
        <x:v>10</x:v>
      </x:c>
      <x:c r="G1592" t="n">
        <x:v>4</x:v>
      </x:c>
      <x:c r="H1592" t="n">
        <x:v>10</x:v>
      </x:c>
      <x:c r="I1592" t="str">
        <x:v>À qualifier par lieu</x:v>
      </x:c>
      <x:c r="J1592" t="str">
        <x:v>https://github.com/darknigthmare/deadwall-last-enclosure/blob/e28f46223e73105ab2c5d83f3d50b99b58ef53e6/codex-3000/compositions/Ferroviaire et transports collectifs/DW-1587.md</x:v>
      </x:c>
      <x:c r="K1592" t="str">
        <x:v>Source min 60,25 m ; max 600,160 m ; modèle 60 × 25 m ; niveaux 0. Détails dans catalogue-existant.json.</x:v>
      </x:c>
    </x:row>
    <x:row r="1593">
      <x:c r="A1593" t="str">
        <x:v>DW-1588</x:v>
      </x:c>
      <x:c r="B1593" t="str">
        <x:v>DW-0294</x:v>
      </x:c>
      <x:c r="C1593" t="str">
        <x:v>Composition héritée</x:v>
      </x:c>
      <x:c r="D1593" t="str">
        <x:v>Ferroviaire et transports collectifs</x:v>
      </x:c>
      <x:c r="E1593" t="str">
        <x:v>Station de métro — Port marchand / évacuation interrompue</x:v>
      </x:c>
      <x:c r="F1593" t="n">
        <x:v>10</x:v>
      </x:c>
      <x:c r="G1593" t="n">
        <x:v>4</x:v>
      </x:c>
      <x:c r="H1593" t="n">
        <x:v>10</x:v>
      </x:c>
      <x:c r="I1593" t="str">
        <x:v>À qualifier par lieu</x:v>
      </x:c>
      <x:c r="J1593" t="str">
        <x:v>https://github.com/darknigthmare/deadwall-last-enclosure/blob/e28f46223e73105ab2c5d83f3d50b99b58ef53e6/codex-3000/compositions/Ferroviaire et transports collectifs/DW-1588.md</x:v>
      </x:c>
      <x:c r="K1593" t="str">
        <x:v>Source min 60,25 m ; max 600,160 m ; modèle 60 × 25 m ; niveaux 0. Détails dans catalogue-existant.json.</x:v>
      </x:c>
    </x:row>
    <x:row r="1594">
      <x:c r="A1594" t="str">
        <x:v>DW-1589</x:v>
      </x:c>
      <x:c r="B1594" t="str">
        <x:v>DW-0295</x:v>
      </x:c>
      <x:c r="C1594" t="str">
        <x:v>Composition héritée</x:v>
      </x:c>
      <x:c r="D1594" t="str">
        <x:v>Ferroviaire et transports collectifs</x:v>
      </x:c>
      <x:c r="E1594" t="str">
        <x:v>Dépôt de tramway — Zone industrielle / réseau principal coupé</x:v>
      </x:c>
      <x:c r="F1594" t="n">
        <x:v>10</x:v>
      </x:c>
      <x:c r="G1594" t="n">
        <x:v>4</x:v>
      </x:c>
      <x:c r="H1594" t="n">
        <x:v>12</x:v>
      </x:c>
      <x:c r="I1594" t="str">
        <x:v>À qualifier par lieu</x:v>
      </x:c>
      <x:c r="J1594" t="str">
        <x:v>https://github.com/darknigthmare/deadwall-last-enclosure/blob/e28f46223e73105ab2c5d83f3d50b99b58ef53e6/codex-3000/compositions/Ferroviaire et transports collectifs/DW-1589.md</x:v>
      </x:c>
      <x:c r="K1594" t="str">
        <x:v>Source min 60,25 m ; max 600,160 m ; modèle 60 × 25 m ; niveaux 0. Détails dans catalogue-existant.json.</x:v>
      </x:c>
    </x:row>
    <x:row r="1595">
      <x:c r="A1595" t="str">
        <x:v>DW-1590</x:v>
      </x:c>
      <x:c r="B1595" t="str">
        <x:v>DW-0295</x:v>
      </x:c>
      <x:c r="C1595" t="str">
        <x:v>Composition héritée</x:v>
      </x:c>
      <x:c r="D1595" t="str">
        <x:v>Ferroviaire et transports collectifs</x:v>
      </x:c>
      <x:c r="E1595" t="str">
        <x:v>Dépôt de tramway — Gare et fret / arrêt de maintenance</x:v>
      </x:c>
      <x:c r="F1595" t="n">
        <x:v>10</x:v>
      </x:c>
      <x:c r="G1595" t="n">
        <x:v>4</x:v>
      </x:c>
      <x:c r="H1595" t="n">
        <x:v>12</x:v>
      </x:c>
      <x:c r="I1595" t="str">
        <x:v>À qualifier par lieu</x:v>
      </x:c>
      <x:c r="J1595" t="str">
        <x:v>https://github.com/darknigthmare/deadwall-last-enclosure/blob/e28f46223e73105ab2c5d83f3d50b99b58ef53e6/codex-3000/compositions/Ferroviaire et transports collectifs/DW-1590.md</x:v>
      </x:c>
      <x:c r="K1595" t="str">
        <x:v>Source min 60,25 m ; max 600,160 m ; modèle 60 × 25 m ; niveaux 0. Détails dans catalogue-existant.json.</x:v>
      </x:c>
    </x:row>
    <x:row r="1596">
      <x:c r="A1596" t="str">
        <x:v>DW-1591</x:v>
      </x:c>
      <x:c r="B1596" t="str">
        <x:v>DW-0296</x:v>
      </x:c>
      <x:c r="C1596" t="str">
        <x:v>Composition héritée</x:v>
      </x:c>
      <x:c r="D1596" t="str">
        <x:v>Ferroviaire et transports collectifs</x:v>
      </x:c>
      <x:c r="E1596" t="str">
        <x:v>Arrêt de tramway — Port marchand / repli organisé interrompu</x:v>
      </x:c>
      <x:c r="F1596" t="n">
        <x:v>10</x:v>
      </x:c>
      <x:c r="G1596" t="n">
        <x:v>4</x:v>
      </x:c>
      <x:c r="H1596" t="n">
        <x:v>12</x:v>
      </x:c>
      <x:c r="I1596" t="str">
        <x:v>À qualifier par lieu</x:v>
      </x:c>
      <x:c r="J1596" t="str">
        <x:v>https://github.com/darknigthmare/deadwall-last-enclosure/blob/e28f46223e73105ab2c5d83f3d50b99b58ef53e6/codex-3000/compositions/Ferroviaire et transports collectifs/DW-1591.md</x:v>
      </x:c>
      <x:c r="K1596" t="str">
        <x:v>Source min 60,25 m ; max 600,160 m ; modèle 60 × 25 m ; niveaux 0. Détails dans catalogue-existant.json.</x:v>
      </x:c>
    </x:row>
    <x:row r="1597">
      <x:c r="A1597" t="str">
        <x:v>DW-1592</x:v>
      </x:c>
      <x:c r="B1597" t="str">
        <x:v>DW-0296</x:v>
      </x:c>
      <x:c r="C1597" t="str">
        <x:v>Composition héritée</x:v>
      </x:c>
      <x:c r="D1597" t="str">
        <x:v>Ferroviaire et transports collectifs</x:v>
      </x:c>
      <x:c r="E1597" t="str">
        <x:v>Arrêt de tramway — Grande ville et métropole / première récupération passée</x:v>
      </x:c>
      <x:c r="F1597" t="n">
        <x:v>10</x:v>
      </x:c>
      <x:c r="G1597" t="n">
        <x:v>4</x:v>
      </x:c>
      <x:c r="H1597" t="n">
        <x:v>12</x:v>
      </x:c>
      <x:c r="I1597" t="str">
        <x:v>À qualifier par lieu</x:v>
      </x:c>
      <x:c r="J1597" t="str">
        <x:v>https://github.com/darknigthmare/deadwall-last-enclosure/blob/e28f46223e73105ab2c5d83f3d50b99b58ef53e6/codex-3000/compositions/Ferroviaire et transports collectifs/DW-1592.md</x:v>
      </x:c>
      <x:c r="K1597" t="str">
        <x:v>Source min 60,25 m ; max 600,160 m ; modèle 60 × 25 m ; niveaux 0. Détails dans catalogue-existant.json.</x:v>
      </x:c>
    </x:row>
    <x:row r="1598">
      <x:c r="A1598" t="str">
        <x:v>DW-1593</x:v>
      </x:c>
      <x:c r="B1598" t="str">
        <x:v>DW-0297</x:v>
      </x:c>
      <x:c r="C1598" t="str">
        <x:v>Composition héritée</x:v>
      </x:c>
      <x:c r="D1598" t="str">
        <x:v>Ferroviaire et transports collectifs</x:v>
      </x:c>
      <x:c r="E1598" t="str">
        <x:v>Terminal intermodal — Gare et fret / évacuation interrompue</x:v>
      </x:c>
      <x:c r="F1598" t="n">
        <x:v>10</x:v>
      </x:c>
      <x:c r="G1598" t="n">
        <x:v>4</x:v>
      </x:c>
      <x:c r="H1598" t="n">
        <x:v>12</x:v>
      </x:c>
      <x:c r="I1598" t="str">
        <x:v>À qualifier par lieu</x:v>
      </x:c>
      <x:c r="J1598" t="str">
        <x:v>https://github.com/darknigthmare/deadwall-last-enclosure/blob/e28f46223e73105ab2c5d83f3d50b99b58ef53e6/codex-3000/compositions/Ferroviaire et transports collectifs/DW-1593.md</x:v>
      </x:c>
      <x:c r="K1598" t="str">
        <x:v>Source min 60,25 m ; max 600,160 m ; modèle 60 × 25 m ; niveaux 0. Détails dans catalogue-existant.json.</x:v>
      </x:c>
    </x:row>
    <x:row r="1599">
      <x:c r="A1599" t="str">
        <x:v>DW-1594</x:v>
      </x:c>
      <x:c r="B1599" t="str">
        <x:v>DW-0297</x:v>
      </x:c>
      <x:c r="C1599" t="str">
        <x:v>Composition héritée</x:v>
      </x:c>
      <x:c r="D1599" t="str">
        <x:v>Ferroviaire et transports collectifs</x:v>
      </x:c>
      <x:c r="E1599" t="str">
        <x:v>Terminal intermodal — Zone industrielle / service déplacé à l’arrière</x:v>
      </x:c>
      <x:c r="F1599" t="n">
        <x:v>10</x:v>
      </x:c>
      <x:c r="G1599" t="n">
        <x:v>4</x:v>
      </x:c>
      <x:c r="H1599" t="n">
        <x:v>12</x:v>
      </x:c>
      <x:c r="I1599" t="str">
        <x:v>À qualifier par lieu</x:v>
      </x:c>
      <x:c r="J1599" t="str">
        <x:v>https://github.com/darknigthmare/deadwall-last-enclosure/blob/e28f46223e73105ab2c5d83f3d50b99b58ef53e6/codex-3000/compositions/Ferroviaire et transports collectifs/DW-1594.md</x:v>
      </x:c>
      <x:c r="K1599" t="str">
        <x:v>Source min 60,25 m ; max 600,160 m ; modèle 60 × 25 m ; niveaux 0. Détails dans catalogue-existant.json.</x:v>
      </x:c>
    </x:row>
    <x:row r="1600">
      <x:c r="A1600" t="str">
        <x:v>DW-1595</x:v>
      </x:c>
      <x:c r="B1600" t="str">
        <x:v>DW-0298</x:v>
      </x:c>
      <x:c r="C1600" t="str">
        <x:v>Composition héritée</x:v>
      </x:c>
      <x:c r="D1600" t="str">
        <x:v>Ferroviaire et transports collectifs</x:v>
      </x:c>
      <x:c r="E1600" t="str">
        <x:v>Dépôt d'entretien des voies — Grande ville et métropole / arrêt de maintenance</x:v>
      </x:c>
      <x:c r="F1600" t="n">
        <x:v>10</x:v>
      </x:c>
      <x:c r="G1600" t="n">
        <x:v>4</x:v>
      </x:c>
      <x:c r="H1600" t="n">
        <x:v>12</x:v>
      </x:c>
      <x:c r="I1600" t="str">
        <x:v>À qualifier par lieu</x:v>
      </x:c>
      <x:c r="J1600" t="str">
        <x:v>https://github.com/darknigthmare/deadwall-last-enclosure/blob/e28f46223e73105ab2c5d83f3d50b99b58ef53e6/codex-3000/compositions/Ferroviaire et transports collectifs/DW-1595.md</x:v>
      </x:c>
      <x:c r="K1600" t="str">
        <x:v>Source min 60,25 m ; max 600,160 m ; modèle 60 × 25 m ; niveaux 0. Détails dans catalogue-existant.json.</x:v>
      </x:c>
    </x:row>
    <x:row r="1601">
      <x:c r="A1601" t="str">
        <x:v>DW-1596</x:v>
      </x:c>
      <x:c r="B1601" t="str">
        <x:v>DW-0298</x:v>
      </x:c>
      <x:c r="C1601" t="str">
        <x:v>Composition héritée</x:v>
      </x:c>
      <x:c r="D1601" t="str">
        <x:v>Ferroviaire et transports collectifs</x:v>
      </x:c>
      <x:c r="E1601" t="str">
        <x:v>Dépôt d'entretien des voies — Port marchand / reprise progressive de la végétation</x:v>
      </x:c>
      <x:c r="F1601" t="n">
        <x:v>10</x:v>
      </x:c>
      <x:c r="G1601" t="n">
        <x:v>4</x:v>
      </x:c>
      <x:c r="H1601" t="n">
        <x:v>12</x:v>
      </x:c>
      <x:c r="I1601" t="str">
        <x:v>À qualifier par lieu</x:v>
      </x:c>
      <x:c r="J1601" t="str">
        <x:v>https://github.com/darknigthmare/deadwall-last-enclosure/blob/e28f46223e73105ab2c5d83f3d50b99b58ef53e6/codex-3000/compositions/Ferroviaire et transports collectifs/DW-1596.md</x:v>
      </x:c>
      <x:c r="K1601" t="str">
        <x:v>Source min 60,25 m ; max 600,160 m ; modèle 60 × 25 m ; niveaux 0. Détails dans catalogue-existant.json.</x:v>
      </x:c>
    </x:row>
    <x:row r="1602">
      <x:c r="A1602" t="str">
        <x:v>DW-1597</x:v>
      </x:c>
      <x:c r="B1602" t="str">
        <x:v>DW-0299</x:v>
      </x:c>
      <x:c r="C1602" t="str">
        <x:v>Composition héritée</x:v>
      </x:c>
      <x:c r="D1602" t="str">
        <x:v>Ferroviaire et transports collectifs</x:v>
      </x:c>
      <x:c r="E1602" t="str">
        <x:v>Wagons-hébergement abandonnés — Zone industrielle / première récupération passée</x:v>
      </x:c>
      <x:c r="F1602" t="n">
        <x:v>10</x:v>
      </x:c>
      <x:c r="G1602" t="n">
        <x:v>3</x:v>
      </x:c>
      <x:c r="H1602" t="n">
        <x:v>9</x:v>
      </x:c>
      <x:c r="I1602" t="str">
        <x:v>À qualifier par lieu</x:v>
      </x:c>
      <x:c r="J1602" t="str">
        <x:v>https://github.com/darknigthmare/deadwall-last-enclosure/blob/e28f46223e73105ab2c5d83f3d50b99b58ef53e6/codex-3000/compositions/Ferroviaire et transports collectifs/DW-1597.md</x:v>
      </x:c>
      <x:c r="K1602" t="str">
        <x:v>Source min 60,25 m ; max 600,160 m ; modèle 60 × 25 m ; niveaux 0. Détails dans catalogue-existant.json.</x:v>
      </x:c>
    </x:row>
    <x:row r="1603">
      <x:c r="A1603" t="str">
        <x:v>DW-1598</x:v>
      </x:c>
      <x:c r="B1603" t="str">
        <x:v>DW-0299</x:v>
      </x:c>
      <x:c r="C1603" t="str">
        <x:v>Composition héritée</x:v>
      </x:c>
      <x:c r="D1603" t="str">
        <x:v>Ferroviaire et transports collectifs</x:v>
      </x:c>
      <x:c r="E1603" t="str">
        <x:v>Wagons-hébergement abandonnés — Gare et fret / relais temporaire envisagé</x:v>
      </x:c>
      <x:c r="F1603" t="n">
        <x:v>10</x:v>
      </x:c>
      <x:c r="G1603" t="n">
        <x:v>3</x:v>
      </x:c>
      <x:c r="H1603" t="n">
        <x:v>9</x:v>
      </x:c>
      <x:c r="I1603" t="str">
        <x:v>À qualifier par lieu</x:v>
      </x:c>
      <x:c r="J1603" t="str">
        <x:v>https://github.com/darknigthmare/deadwall-last-enclosure/blob/e28f46223e73105ab2c5d83f3d50b99b58ef53e6/codex-3000/compositions/Ferroviaire et transports collectifs/DW-1598.md</x:v>
      </x:c>
      <x:c r="K1603" t="str">
        <x:v>Source min 60,25 m ; max 600,160 m ; modèle 60 × 25 m ; niveaux 0. Détails dans catalogue-existant.json.</x:v>
      </x:c>
    </x:row>
    <x:row r="1604">
      <x:c r="A1604" t="str">
        <x:v>DW-1599</x:v>
      </x:c>
      <x:c r="B1604" t="str">
        <x:v>DW-0300</x:v>
      </x:c>
      <x:c r="C1604" t="str">
        <x:v>Composition héritée</x:v>
      </x:c>
      <x:c r="D1604" t="str">
        <x:v>Ferroviaire et transports collectifs</x:v>
      </x:c>
      <x:c r="E1604" t="str">
        <x:v>Voie verte sur ancienne ligne — Port marchand / service déplacé à l’arrière</x:v>
      </x:c>
      <x:c r="F1604" t="n">
        <x:v>10</x:v>
      </x:c>
      <x:c r="G1604" t="n">
        <x:v>4</x:v>
      </x:c>
      <x:c r="H1604" t="n">
        <x:v>12</x:v>
      </x:c>
      <x:c r="I1604" t="str">
        <x:v>À qualifier par lieu</x:v>
      </x:c>
      <x:c r="J1604" t="str">
        <x:v>https://github.com/darknigthmare/deadwall-last-enclosure/blob/e28f46223e73105ab2c5d83f3d50b99b58ef53e6/codex-3000/compositions/Ferroviaire et transports collectifs/DW-1599.md</x:v>
      </x:c>
      <x:c r="K1604" t="str">
        <x:v>Source min 60,25 m ; max 600,160 m ; modèle 60 × 25 m ; niveaux 0. Détails dans catalogue-existant.json.</x:v>
      </x:c>
    </x:row>
    <x:row r="1605">
      <x:c r="A1605" t="str">
        <x:v>DW-1600</x:v>
      </x:c>
      <x:c r="B1605" t="str">
        <x:v>DW-0300</x:v>
      </x:c>
      <x:c r="C1605" t="str">
        <x:v>Composition héritée</x:v>
      </x:c>
      <x:c r="D1605" t="str">
        <x:v>Ferroviaire et transports collectifs</x:v>
      </x:c>
      <x:c r="E1605" t="str">
        <x:v>Voie verte sur ancienne ligne — Grande ville et métropole / réseau principal coupé</x:v>
      </x:c>
      <x:c r="F1605" t="n">
        <x:v>10</x:v>
      </x:c>
      <x:c r="G1605" t="n">
        <x:v>4</x:v>
      </x:c>
      <x:c r="H1605" t="n">
        <x:v>12</x:v>
      </x:c>
      <x:c r="I1605" t="str">
        <x:v>À qualifier par lieu</x:v>
      </x:c>
      <x:c r="J1605" t="str">
        <x:v>https://github.com/darknigthmare/deadwall-last-enclosure/blob/e28f46223e73105ab2c5d83f3d50b99b58ef53e6/codex-3000/compositions/Ferroviaire et transports collectifs/DW-1600.md</x:v>
      </x:c>
      <x:c r="K1605" t="str">
        <x:v>Source min 60,25 m ; max 600,160 m ; modèle 60 × 25 m ; niveaux 0. Détails dans catalogue-existant.json.</x:v>
      </x:c>
    </x:row>
    <x:row r="1606">
      <x:c r="A1606" t="str">
        <x:v>DW-1601</x:v>
      </x:c>
      <x:c r="B1606" t="str">
        <x:v>DW-0301</x:v>
      </x:c>
      <x:c r="C1606" t="str">
        <x:v>Composition héritée</x:v>
      </x:c>
      <x:c r="D1606" t="str">
        <x:v>Industrie et production</x:v>
      </x:c>
      <x:c r="E1606" t="str">
        <x:v>Atelier de métallurgie — Zone industrielle / reprise progressive de la végétation</x:v>
      </x:c>
      <x:c r="F1606" t="n">
        <x:v>8</x:v>
      </x:c>
      <x:c r="G1606" t="n">
        <x:v>4</x:v>
      </x:c>
      <x:c r="H1606" t="n">
        <x:v>12</x:v>
      </x:c>
      <x:c r="I1606" t="str">
        <x:v>À qualifier par lieu</x:v>
      </x:c>
      <x:c r="J1606" t="str">
        <x:v>https://github.com/darknigthmare/deadwall-last-enclosure/blob/e28f46223e73105ab2c5d83f3d50b99b58ef53e6/codex-3000/compositions/Industrie et production/DW-1601.md</x:v>
      </x:c>
      <x:c r="K1606" t="str">
        <x:v>Source min 45,30 m ; max 240,170 m ; modèle 45 × 30 m ; niveaux 0. Détails dans catalogue-existant.json.</x:v>
      </x:c>
    </x:row>
    <x:row r="1607">
      <x:c r="A1607" t="str">
        <x:v>DW-1602</x:v>
      </x:c>
      <x:c r="B1607" t="str">
        <x:v>DW-0301</x:v>
      </x:c>
      <x:c r="C1607" t="str">
        <x:v>Composition héritée</x:v>
      </x:c>
      <x:c r="D1607" t="str">
        <x:v>Industrie et production</x:v>
      </x:c>
      <x:c r="E1607" t="str">
        <x:v>Atelier de métallurgie — Port marchand / repli organisé interrompu</x:v>
      </x:c>
      <x:c r="F1607" t="n">
        <x:v>10</x:v>
      </x:c>
      <x:c r="G1607" t="n">
        <x:v>4</x:v>
      </x:c>
      <x:c r="H1607" t="n">
        <x:v>12</x:v>
      </x:c>
      <x:c r="I1607" t="str">
        <x:v>À qualifier par lieu</x:v>
      </x:c>
      <x:c r="J1607" t="str">
        <x:v>https://github.com/darknigthmare/deadwall-last-enclosure/blob/e28f46223e73105ab2c5d83f3d50b99b58ef53e6/codex-3000/compositions/Industrie et production/DW-1602.md</x:v>
      </x:c>
      <x:c r="K1607" t="str">
        <x:v>Source min 45,30 m ; max 240,170 m ; modèle 45 × 30 m ; niveaux 0. Détails dans catalogue-existant.json.</x:v>
      </x:c>
    </x:row>
    <x:row r="1608">
      <x:c r="A1608" t="str">
        <x:v>DW-1603</x:v>
      </x:c>
      <x:c r="B1608" t="str">
        <x:v>DW-0302</x:v>
      </x:c>
      <x:c r="C1608" t="str">
        <x:v>Composition héritée</x:v>
      </x:c>
      <x:c r="D1608" t="str">
        <x:v>Industrie et production</x:v>
      </x:c>
      <x:c r="E1608" t="str">
        <x:v>Fonderie abandonnée — Entrepôt et plateforme logistique / relais temporaire envisagé</x:v>
      </x:c>
      <x:c r="F1608" t="n">
        <x:v>8</x:v>
      </x:c>
      <x:c r="G1608" t="n">
        <x:v>4</x:v>
      </x:c>
      <x:c r="H1608" t="n">
        <x:v>12</x:v>
      </x:c>
      <x:c r="I1608" t="str">
        <x:v>À qualifier par lieu</x:v>
      </x:c>
      <x:c r="J1608" t="str">
        <x:v>https://github.com/darknigthmare/deadwall-last-enclosure/blob/e28f46223e73105ab2c5d83f3d50b99b58ef53e6/codex-3000/compositions/Industrie et production/DW-1603.md</x:v>
      </x:c>
      <x:c r="K1608" t="str">
        <x:v>Source min 45,30 m ; max 240,170 m ; modèle 45 × 30 m ; niveaux 0. Détails dans catalogue-existant.json.</x:v>
      </x:c>
    </x:row>
    <x:row r="1609">
      <x:c r="A1609" t="str">
        <x:v>DW-1604</x:v>
      </x:c>
      <x:c r="B1609" t="str">
        <x:v>DW-0302</x:v>
      </x:c>
      <x:c r="C1609" t="str">
        <x:v>Composition héritée</x:v>
      </x:c>
      <x:c r="D1609" t="str">
        <x:v>Industrie et production</x:v>
      </x:c>
      <x:c r="E1609" t="str">
        <x:v>Fonderie abandonnée — Carrière / évacuation interrompue</x:v>
      </x:c>
      <x:c r="F1609" t="n">
        <x:v>8</x:v>
      </x:c>
      <x:c r="G1609" t="n">
        <x:v>4</x:v>
      </x:c>
      <x:c r="H1609" t="n">
        <x:v>12</x:v>
      </x:c>
      <x:c r="I1609" t="str">
        <x:v>À qualifier par lieu</x:v>
      </x:c>
      <x:c r="J1609" t="str">
        <x:v>https://github.com/darknigthmare/deadwall-last-enclosure/blob/e28f46223e73105ab2c5d83f3d50b99b58ef53e6/codex-3000/compositions/Industrie et production/DW-1604.md</x:v>
      </x:c>
      <x:c r="K1609" t="str">
        <x:v>Source min 45,30 m ; max 240,170 m ; modèle 45 × 30 m ; niveaux 0. Détails dans catalogue-existant.json.</x:v>
      </x:c>
    </x:row>
    <x:row r="1610">
      <x:c r="A1610" t="str">
        <x:v>DW-1605</x:v>
      </x:c>
      <x:c r="B1610" t="str">
        <x:v>DW-0303</x:v>
      </x:c>
      <x:c r="C1610" t="str">
        <x:v>Composition héritée</x:v>
      </x:c>
      <x:c r="D1610" t="str">
        <x:v>Industrie et production</x:v>
      </x:c>
      <x:c r="E1610" t="str">
        <x:v>Usine textile — Port marchand / réseau principal coupé</x:v>
      </x:c>
      <x:c r="F1610" t="n">
        <x:v>10</x:v>
      </x:c>
      <x:c r="G1610" t="n">
        <x:v>4</x:v>
      </x:c>
      <x:c r="H1610" t="n">
        <x:v>12</x:v>
      </x:c>
      <x:c r="I1610" t="str">
        <x:v>À qualifier par lieu</x:v>
      </x:c>
      <x:c r="J1610" t="str">
        <x:v>https://github.com/darknigthmare/deadwall-last-enclosure/blob/e28f46223e73105ab2c5d83f3d50b99b58ef53e6/codex-3000/compositions/Industrie et production/DW-1605.md</x:v>
      </x:c>
      <x:c r="K1610" t="str">
        <x:v>Source min 45,30 m ; max 240,170 m ; modèle 45 × 30 m ; niveaux 0. Détails dans catalogue-existant.json.</x:v>
      </x:c>
    </x:row>
    <x:row r="1611">
      <x:c r="A1611" t="str">
        <x:v>DW-1606</x:v>
      </x:c>
      <x:c r="B1611" t="str">
        <x:v>DW-0303</x:v>
      </x:c>
      <x:c r="C1611" t="str">
        <x:v>Composition héritée</x:v>
      </x:c>
      <x:c r="D1611" t="str">
        <x:v>Industrie et production</x:v>
      </x:c>
      <x:c r="E1611" t="str">
        <x:v>Usine textile — Zone industrielle / arrêt de maintenance</x:v>
      </x:c>
      <x:c r="F1611" t="n">
        <x:v>8</x:v>
      </x:c>
      <x:c r="G1611" t="n">
        <x:v>4</x:v>
      </x:c>
      <x:c r="H1611" t="n">
        <x:v>12</x:v>
      </x:c>
      <x:c r="I1611" t="str">
        <x:v>À qualifier par lieu</x:v>
      </x:c>
      <x:c r="J1611" t="str">
        <x:v>https://github.com/darknigthmare/deadwall-last-enclosure/blob/e28f46223e73105ab2c5d83f3d50b99b58ef53e6/codex-3000/compositions/Industrie et production/DW-1606.md</x:v>
      </x:c>
      <x:c r="K1611" t="str">
        <x:v>Source min 45,30 m ; max 240,170 m ; modèle 45 × 30 m ; niveaux 0. Détails dans catalogue-existant.json.</x:v>
      </x:c>
    </x:row>
    <x:row r="1612">
      <x:c r="A1612" t="str">
        <x:v>DW-1607</x:v>
      </x:c>
      <x:c r="B1612" t="str">
        <x:v>DW-0304</x:v>
      </x:c>
      <x:c r="C1612" t="str">
        <x:v>Composition héritée</x:v>
      </x:c>
      <x:c r="D1612" t="str">
        <x:v>Industrie et production</x:v>
      </x:c>
      <x:c r="E1612" t="str">
        <x:v>Usine d'emballages — Carrière / repli organisé interrompu</x:v>
      </x:c>
      <x:c r="F1612" t="n">
        <x:v>8</x:v>
      </x:c>
      <x:c r="G1612" t="n">
        <x:v>4</x:v>
      </x:c>
      <x:c r="H1612" t="n">
        <x:v>12</x:v>
      </x:c>
      <x:c r="I1612" t="str">
        <x:v>À qualifier par lieu</x:v>
      </x:c>
      <x:c r="J1612" t="str">
        <x:v>https://github.com/darknigthmare/deadwall-last-enclosure/blob/e28f46223e73105ab2c5d83f3d50b99b58ef53e6/codex-3000/compositions/Industrie et production/DW-1607.md</x:v>
      </x:c>
      <x:c r="K1612" t="str">
        <x:v>Source min 45,30 m ; max 240,170 m ; modèle 45 × 30 m ; niveaux 0. Détails dans catalogue-existant.json.</x:v>
      </x:c>
    </x:row>
    <x:row r="1613">
      <x:c r="A1613" t="str">
        <x:v>DW-1608</x:v>
      </x:c>
      <x:c r="B1613" t="str">
        <x:v>DW-0304</x:v>
      </x:c>
      <x:c r="C1613" t="str">
        <x:v>Composition héritée</x:v>
      </x:c>
      <x:c r="D1613" t="str">
        <x:v>Industrie et production</x:v>
      </x:c>
      <x:c r="E1613" t="str">
        <x:v>Usine d'emballages — Entrepôt et plateforme logistique / première récupération passée</x:v>
      </x:c>
      <x:c r="F1613" t="n">
        <x:v>8</x:v>
      </x:c>
      <x:c r="G1613" t="n">
        <x:v>4</x:v>
      </x:c>
      <x:c r="H1613" t="n">
        <x:v>12</x:v>
      </x:c>
      <x:c r="I1613" t="str">
        <x:v>À qualifier par lieu</x:v>
      </x:c>
      <x:c r="J1613" t="str">
        <x:v>https://github.com/darknigthmare/deadwall-last-enclosure/blob/e28f46223e73105ab2c5d83f3d50b99b58ef53e6/codex-3000/compositions/Industrie et production/DW-1608.md</x:v>
      </x:c>
      <x:c r="K1613" t="str">
        <x:v>Source min 45,30 m ; max 240,170 m ; modèle 45 × 30 m ; niveaux 0. Détails dans catalogue-existant.json.</x:v>
      </x:c>
    </x:row>
    <x:row r="1614">
      <x:c r="A1614" t="str">
        <x:v>DW-1609</x:v>
      </x:c>
      <x:c r="B1614" t="str">
        <x:v>DW-0305</x:v>
      </x:c>
      <x:c r="C1614" t="str">
        <x:v>Composition héritée</x:v>
      </x:c>
      <x:c r="D1614" t="str">
        <x:v>Industrie et production</x:v>
      </x:c>
      <x:c r="E1614" t="str">
        <x:v>Imprimerie industrielle — Zone industrielle / évacuation interrompue</x:v>
      </x:c>
      <x:c r="F1614" t="n">
        <x:v>8</x:v>
      </x:c>
      <x:c r="G1614" t="n">
        <x:v>4</x:v>
      </x:c>
      <x:c r="H1614" t="n">
        <x:v>12</x:v>
      </x:c>
      <x:c r="I1614" t="str">
        <x:v>À qualifier par lieu</x:v>
      </x:c>
      <x:c r="J1614" t="str">
        <x:v>https://github.com/darknigthmare/deadwall-last-enclosure/blob/e28f46223e73105ab2c5d83f3d50b99b58ef53e6/codex-3000/compositions/Industrie et production/DW-1609.md</x:v>
      </x:c>
      <x:c r="K1614" t="str">
        <x:v>Source min 45,30 m ; max 240,170 m ; modèle 45 × 30 m ; niveaux 0. Détails dans catalogue-existant.json.</x:v>
      </x:c>
    </x:row>
    <x:row r="1615">
      <x:c r="A1615" t="str">
        <x:v>DW-1610</x:v>
      </x:c>
      <x:c r="B1615" t="str">
        <x:v>DW-0305</x:v>
      </x:c>
      <x:c r="C1615" t="str">
        <x:v>Composition héritée</x:v>
      </x:c>
      <x:c r="D1615" t="str">
        <x:v>Industrie et production</x:v>
      </x:c>
      <x:c r="E1615" t="str">
        <x:v>Imprimerie industrielle — Port marchand / service déplacé à l’arrière</x:v>
      </x:c>
      <x:c r="F1615" t="n">
        <x:v>10</x:v>
      </x:c>
      <x:c r="G1615" t="n">
        <x:v>4</x:v>
      </x:c>
      <x:c r="H1615" t="n">
        <x:v>12</x:v>
      </x:c>
      <x:c r="I1615" t="str">
        <x:v>À qualifier par lieu</x:v>
      </x:c>
      <x:c r="J1615" t="str">
        <x:v>https://github.com/darknigthmare/deadwall-last-enclosure/blob/e28f46223e73105ab2c5d83f3d50b99b58ef53e6/codex-3000/compositions/Industrie et production/DW-1610.md</x:v>
      </x:c>
      <x:c r="K1615" t="str">
        <x:v>Source min 45,30 m ; max 240,170 m ; modèle 45 × 30 m ; niveaux 0. Détails dans catalogue-existant.json.</x:v>
      </x:c>
    </x:row>
    <x:row r="1616">
      <x:c r="A1616" t="str">
        <x:v>DW-1611</x:v>
      </x:c>
      <x:c r="B1616" t="str">
        <x:v>DW-0306</x:v>
      </x:c>
      <x:c r="C1616" t="str">
        <x:v>Composition héritée</x:v>
      </x:c>
      <x:c r="D1616" t="str">
        <x:v>Industrie et production</x:v>
      </x:c>
      <x:c r="E1616" t="str">
        <x:v>Atelier de menuiserie — Entrepôt et plateforme logistique / arrêt de maintenance</x:v>
      </x:c>
      <x:c r="F1616" t="n">
        <x:v>8</x:v>
      </x:c>
      <x:c r="G1616" t="n">
        <x:v>4</x:v>
      </x:c>
      <x:c r="H1616" t="n">
        <x:v>12</x:v>
      </x:c>
      <x:c r="I1616" t="str">
        <x:v>À qualifier par lieu</x:v>
      </x:c>
      <x:c r="J1616" t="str">
        <x:v>https://github.com/darknigthmare/deadwall-last-enclosure/blob/e28f46223e73105ab2c5d83f3d50b99b58ef53e6/codex-3000/compositions/Industrie et production/DW-1611.md</x:v>
      </x:c>
      <x:c r="K1616" t="str">
        <x:v>Source min 45,30 m ; max 240,170 m ; modèle 45 × 30 m ; niveaux 0. Détails dans catalogue-existant.json.</x:v>
      </x:c>
    </x:row>
    <x:row r="1617">
      <x:c r="A1617" t="str">
        <x:v>DW-1612</x:v>
      </x:c>
      <x:c r="B1617" t="str">
        <x:v>DW-0306</x:v>
      </x:c>
      <x:c r="C1617" t="str">
        <x:v>Composition héritée</x:v>
      </x:c>
      <x:c r="D1617" t="str">
        <x:v>Industrie et production</x:v>
      </x:c>
      <x:c r="E1617" t="str">
        <x:v>Atelier de menuiserie — Carrière / reprise progressive de la végétation</x:v>
      </x:c>
      <x:c r="F1617" t="n">
        <x:v>8</x:v>
      </x:c>
      <x:c r="G1617" t="n">
        <x:v>4</x:v>
      </x:c>
      <x:c r="H1617" t="n">
        <x:v>12</x:v>
      </x:c>
      <x:c r="I1617" t="str">
        <x:v>À qualifier par lieu</x:v>
      </x:c>
      <x:c r="J1617" t="str">
        <x:v>https://github.com/darknigthmare/deadwall-last-enclosure/blob/e28f46223e73105ab2c5d83f3d50b99b58ef53e6/codex-3000/compositions/Industrie et production/DW-1612.md</x:v>
      </x:c>
      <x:c r="K1617" t="str">
        <x:v>Source min 45,30 m ; max 240,170 m ; modèle 45 × 30 m ; niveaux 0. Détails dans catalogue-existant.json.</x:v>
      </x:c>
    </x:row>
    <x:row r="1618">
      <x:c r="A1618" t="str">
        <x:v>DW-1613</x:v>
      </x:c>
      <x:c r="B1618" t="str">
        <x:v>DW-0307</x:v>
      </x:c>
      <x:c r="C1618" t="str">
        <x:v>Composition héritée</x:v>
      </x:c>
      <x:c r="D1618" t="str">
        <x:v>Industrie et production</x:v>
      </x:c>
      <x:c r="E1618" t="str">
        <x:v>Usine de meubles — Port marchand / première récupération passée</x:v>
      </x:c>
      <x:c r="F1618" t="n">
        <x:v>10</x:v>
      </x:c>
      <x:c r="G1618" t="n">
        <x:v>4</x:v>
      </x:c>
      <x:c r="H1618" t="n">
        <x:v>12</x:v>
      </x:c>
      <x:c r="I1618" t="str">
        <x:v>À qualifier par lieu</x:v>
      </x:c>
      <x:c r="J1618" t="str">
        <x:v>https://github.com/darknigthmare/deadwall-last-enclosure/blob/e28f46223e73105ab2c5d83f3d50b99b58ef53e6/codex-3000/compositions/Industrie et production/DW-1613.md</x:v>
      </x:c>
      <x:c r="K1618" t="str">
        <x:v>Source min 45,30 m ; max 240,170 m ; modèle 45 × 30 m ; niveaux 0. Détails dans catalogue-existant.json.</x:v>
      </x:c>
    </x:row>
    <x:row r="1619">
      <x:c r="A1619" t="str">
        <x:v>DW-1614</x:v>
      </x:c>
      <x:c r="B1619" t="str">
        <x:v>DW-0307</x:v>
      </x:c>
      <x:c r="C1619" t="str">
        <x:v>Composition héritée</x:v>
      </x:c>
      <x:c r="D1619" t="str">
        <x:v>Industrie et production</x:v>
      </x:c>
      <x:c r="E1619" t="str">
        <x:v>Usine de meubles — Zone industrielle / relais temporaire envisagé</x:v>
      </x:c>
      <x:c r="F1619" t="n">
        <x:v>8</x:v>
      </x:c>
      <x:c r="G1619" t="n">
        <x:v>4</x:v>
      </x:c>
      <x:c r="H1619" t="n">
        <x:v>12</x:v>
      </x:c>
      <x:c r="I1619" t="str">
        <x:v>À qualifier par lieu</x:v>
      </x:c>
      <x:c r="J1619" t="str">
        <x:v>https://github.com/darknigthmare/deadwall-last-enclosure/blob/e28f46223e73105ab2c5d83f3d50b99b58ef53e6/codex-3000/compositions/Industrie et production/DW-1614.md</x:v>
      </x:c>
      <x:c r="K1619" t="str">
        <x:v>Source min 45,30 m ; max 240,170 m ; modèle 45 × 30 m ; niveaux 0. Détails dans catalogue-existant.json.</x:v>
      </x:c>
    </x:row>
    <x:row r="1620">
      <x:c r="A1620" t="str">
        <x:v>DW-1615</x:v>
      </x:c>
      <x:c r="B1620" t="str">
        <x:v>DW-0308</x:v>
      </x:c>
      <x:c r="C1620" t="str">
        <x:v>Composition héritée</x:v>
      </x:c>
      <x:c r="D1620" t="str">
        <x:v>Industrie et production</x:v>
      </x:c>
      <x:c r="E1620" t="str">
        <x:v>Fabrique de céramique — Carrière / service déplacé à l’arrière</x:v>
      </x:c>
      <x:c r="F1620" t="n">
        <x:v>8</x:v>
      </x:c>
      <x:c r="G1620" t="n">
        <x:v>4</x:v>
      </x:c>
      <x:c r="H1620" t="n">
        <x:v>12</x:v>
      </x:c>
      <x:c r="I1620" t="str">
        <x:v>À qualifier par lieu</x:v>
      </x:c>
      <x:c r="J1620" t="str">
        <x:v>https://github.com/darknigthmare/deadwall-last-enclosure/blob/e28f46223e73105ab2c5d83f3d50b99b58ef53e6/codex-3000/compositions/Industrie et production/DW-1615.md</x:v>
      </x:c>
      <x:c r="K1620" t="str">
        <x:v>Source min 45,30 m ; max 240,170 m ; modèle 45 × 30 m ; niveaux 0. Détails dans catalogue-existant.json.</x:v>
      </x:c>
    </x:row>
    <x:row r="1621">
      <x:c r="A1621" t="str">
        <x:v>DW-1616</x:v>
      </x:c>
      <x:c r="B1621" t="str">
        <x:v>DW-0308</x:v>
      </x:c>
      <x:c r="C1621" t="str">
        <x:v>Composition héritée</x:v>
      </x:c>
      <x:c r="D1621" t="str">
        <x:v>Industrie et production</x:v>
      </x:c>
      <x:c r="E1621" t="str">
        <x:v>Fabrique de céramique — Entrepôt et plateforme logistique / réseau principal coupé</x:v>
      </x:c>
      <x:c r="F1621" t="n">
        <x:v>8</x:v>
      </x:c>
      <x:c r="G1621" t="n">
        <x:v>4</x:v>
      </x:c>
      <x:c r="H1621" t="n">
        <x:v>12</x:v>
      </x:c>
      <x:c r="I1621" t="str">
        <x:v>À qualifier par lieu</x:v>
      </x:c>
      <x:c r="J1621" t="str">
        <x:v>https://github.com/darknigthmare/deadwall-last-enclosure/blob/e28f46223e73105ab2c5d83f3d50b99b58ef53e6/codex-3000/compositions/Industrie et production/DW-1616.md</x:v>
      </x:c>
      <x:c r="K1621" t="str">
        <x:v>Source min 45,30 m ; max 240,170 m ; modèle 45 × 30 m ; niveaux 0. Détails dans catalogue-existant.json.</x:v>
      </x:c>
    </x:row>
    <x:row r="1622">
      <x:c r="A1622" t="str">
        <x:v>DW-1617</x:v>
      </x:c>
      <x:c r="B1622" t="str">
        <x:v>DW-0309</x:v>
      </x:c>
      <x:c r="C1622" t="str">
        <x:v>Composition héritée</x:v>
      </x:c>
      <x:c r="D1622" t="str">
        <x:v>Industrie et production</x:v>
      </x:c>
      <x:c r="E1622" t="str">
        <x:v>Verrerie désaffectée — Zone industrielle / reprise progressive de la végétation</x:v>
      </x:c>
      <x:c r="F1622" t="n">
        <x:v>8</x:v>
      </x:c>
      <x:c r="G1622" t="n">
        <x:v>4</x:v>
      </x:c>
      <x:c r="H1622" t="n">
        <x:v>12</x:v>
      </x:c>
      <x:c r="I1622" t="str">
        <x:v>À qualifier par lieu</x:v>
      </x:c>
      <x:c r="J1622" t="str">
        <x:v>https://github.com/darknigthmare/deadwall-last-enclosure/blob/e28f46223e73105ab2c5d83f3d50b99b58ef53e6/codex-3000/compositions/Industrie et production/DW-1617.md</x:v>
      </x:c>
      <x:c r="K1622" t="str">
        <x:v>Source min 45,30 m ; max 240,170 m ; modèle 45 × 30 m ; niveaux 0. Détails dans catalogue-existant.json.</x:v>
      </x:c>
    </x:row>
    <x:row r="1623">
      <x:c r="A1623" t="str">
        <x:v>DW-1618</x:v>
      </x:c>
      <x:c r="B1623" t="str">
        <x:v>DW-0309</x:v>
      </x:c>
      <x:c r="C1623" t="str">
        <x:v>Composition héritée</x:v>
      </x:c>
      <x:c r="D1623" t="str">
        <x:v>Industrie et production</x:v>
      </x:c>
      <x:c r="E1623" t="str">
        <x:v>Verrerie désaffectée — Port marchand / repli organisé interrompu</x:v>
      </x:c>
      <x:c r="F1623" t="n">
        <x:v>10</x:v>
      </x:c>
      <x:c r="G1623" t="n">
        <x:v>4</x:v>
      </x:c>
      <x:c r="H1623" t="n">
        <x:v>12</x:v>
      </x:c>
      <x:c r="I1623" t="str">
        <x:v>À qualifier par lieu</x:v>
      </x:c>
      <x:c r="J1623" t="str">
        <x:v>https://github.com/darknigthmare/deadwall-last-enclosure/blob/e28f46223e73105ab2c5d83f3d50b99b58ef53e6/codex-3000/compositions/Industrie et production/DW-1618.md</x:v>
      </x:c>
      <x:c r="K1623" t="str">
        <x:v>Source min 45,30 m ; max 240,170 m ; modèle 45 × 30 m ; niveaux 0. Détails dans catalogue-existant.json.</x:v>
      </x:c>
    </x:row>
    <x:row r="1624">
      <x:c r="A1624" t="str">
        <x:v>DW-1619</x:v>
      </x:c>
      <x:c r="B1624" t="str">
        <x:v>DW-0310</x:v>
      </x:c>
      <x:c r="C1624" t="str">
        <x:v>Composition héritée</x:v>
      </x:c>
      <x:c r="D1624" t="str">
        <x:v>Industrie et production</x:v>
      </x:c>
      <x:c r="E1624" t="str">
        <x:v>Usine de préfabrication — Entrepôt et plateforme logistique / relais temporaire envisagé</x:v>
      </x:c>
      <x:c r="F1624" t="n">
        <x:v>8</x:v>
      </x:c>
      <x:c r="G1624" t="n">
        <x:v>4</x:v>
      </x:c>
      <x:c r="H1624" t="n">
        <x:v>12</x:v>
      </x:c>
      <x:c r="I1624" t="str">
        <x:v>À qualifier par lieu</x:v>
      </x:c>
      <x:c r="J1624" t="str">
        <x:v>https://github.com/darknigthmare/deadwall-last-enclosure/blob/e28f46223e73105ab2c5d83f3d50b99b58ef53e6/codex-3000/compositions/Industrie et production/DW-1619.md</x:v>
      </x:c>
      <x:c r="K1624" t="str">
        <x:v>Source min 45,30 m ; max 240,170 m ; modèle 45 × 30 m ; niveaux 0. Détails dans catalogue-existant.json.</x:v>
      </x:c>
    </x:row>
    <x:row r="1625">
      <x:c r="A1625" t="str">
        <x:v>DW-1620</x:v>
      </x:c>
      <x:c r="B1625" t="str">
        <x:v>DW-0310</x:v>
      </x:c>
      <x:c r="C1625" t="str">
        <x:v>Composition héritée</x:v>
      </x:c>
      <x:c r="D1625" t="str">
        <x:v>Industrie et production</x:v>
      </x:c>
      <x:c r="E1625" t="str">
        <x:v>Usine de préfabrication — Carrière / évacuation interrompue</x:v>
      </x:c>
      <x:c r="F1625" t="n">
        <x:v>8</x:v>
      </x:c>
      <x:c r="G1625" t="n">
        <x:v>4</x:v>
      </x:c>
      <x:c r="H1625" t="n">
        <x:v>12</x:v>
      </x:c>
      <x:c r="I1625" t="str">
        <x:v>À qualifier par lieu</x:v>
      </x:c>
      <x:c r="J1625" t="str">
        <x:v>https://github.com/darknigthmare/deadwall-last-enclosure/blob/e28f46223e73105ab2c5d83f3d50b99b58ef53e6/codex-3000/compositions/Industrie et production/DW-1620.md</x:v>
      </x:c>
      <x:c r="K1625" t="str">
        <x:v>Source min 45,30 m ; max 240,170 m ; modèle 45 × 30 m ; niveaux 0. Détails dans catalogue-existant.json.</x:v>
      </x:c>
    </x:row>
    <x:row r="1626">
      <x:c r="A1626" t="str">
        <x:v>DW-1621</x:v>
      </x:c>
      <x:c r="B1626" t="str">
        <x:v>DW-0311</x:v>
      </x:c>
      <x:c r="C1626" t="str">
        <x:v>Composition héritée</x:v>
      </x:c>
      <x:c r="D1626" t="str">
        <x:v>Industrie et production</x:v>
      </x:c>
      <x:c r="E1626" t="str">
        <x:v>Atelier de plasturgie — Port marchand / réseau principal coupé</x:v>
      </x:c>
      <x:c r="F1626" t="n">
        <x:v>10</x:v>
      </x:c>
      <x:c r="G1626" t="n">
        <x:v>4</x:v>
      </x:c>
      <x:c r="H1626" t="n">
        <x:v>12</x:v>
      </x:c>
      <x:c r="I1626" t="str">
        <x:v>À qualifier par lieu</x:v>
      </x:c>
      <x:c r="J1626" t="str">
        <x:v>https://github.com/darknigthmare/deadwall-last-enclosure/blob/e28f46223e73105ab2c5d83f3d50b99b58ef53e6/codex-3000/compositions/Industrie et production/DW-1621.md</x:v>
      </x:c>
      <x:c r="K1626" t="str">
        <x:v>Source min 45,30 m ; max 240,170 m ; modèle 45 × 30 m ; niveaux 0. Détails dans catalogue-existant.json.</x:v>
      </x:c>
    </x:row>
    <x:row r="1627">
      <x:c r="A1627" t="str">
        <x:v>DW-1622</x:v>
      </x:c>
      <x:c r="B1627" t="str">
        <x:v>DW-0311</x:v>
      </x:c>
      <x:c r="C1627" t="str">
        <x:v>Composition héritée</x:v>
      </x:c>
      <x:c r="D1627" t="str">
        <x:v>Industrie et production</x:v>
      </x:c>
      <x:c r="E1627" t="str">
        <x:v>Atelier de plasturgie — Zone industrielle / arrêt de maintenance</x:v>
      </x:c>
      <x:c r="F1627" t="n">
        <x:v>8</x:v>
      </x:c>
      <x:c r="G1627" t="n">
        <x:v>4</x:v>
      </x:c>
      <x:c r="H1627" t="n">
        <x:v>12</x:v>
      </x:c>
      <x:c r="I1627" t="str">
        <x:v>À qualifier par lieu</x:v>
      </x:c>
      <x:c r="J1627" t="str">
        <x:v>https://github.com/darknigthmare/deadwall-last-enclosure/blob/e28f46223e73105ab2c5d83f3d50b99b58ef53e6/codex-3000/compositions/Industrie et production/DW-1622.md</x:v>
      </x:c>
      <x:c r="K1627" t="str">
        <x:v>Source min 45,30 m ; max 240,170 m ; modèle 45 × 30 m ; niveaux 0. Détails dans catalogue-existant.json.</x:v>
      </x:c>
    </x:row>
    <x:row r="1628">
      <x:c r="A1628" t="str">
        <x:v>DW-1623</x:v>
      </x:c>
      <x:c r="B1628" t="str">
        <x:v>DW-0312</x:v>
      </x:c>
      <x:c r="C1628" t="str">
        <x:v>Composition héritée</x:v>
      </x:c>
      <x:c r="D1628" t="str">
        <x:v>Industrie et production</x:v>
      </x:c>
      <x:c r="E1628" t="str">
        <x:v>Fabrique de produits ménagers — Carrière / repli organisé interrompu</x:v>
      </x:c>
      <x:c r="F1628" t="n">
        <x:v>8</x:v>
      </x:c>
      <x:c r="G1628" t="n">
        <x:v>4</x:v>
      </x:c>
      <x:c r="H1628" t="n">
        <x:v>12</x:v>
      </x:c>
      <x:c r="I1628" t="str">
        <x:v>À qualifier par lieu</x:v>
      </x:c>
      <x:c r="J1628" t="str">
        <x:v>https://github.com/darknigthmare/deadwall-last-enclosure/blob/e28f46223e73105ab2c5d83f3d50b99b58ef53e6/codex-3000/compositions/Industrie et production/DW-1623.md</x:v>
      </x:c>
      <x:c r="K1628" t="str">
        <x:v>Source min 45,30 m ; max 240,170 m ; modèle 45 × 30 m ; niveaux 0. Détails dans catalogue-existant.json.</x:v>
      </x:c>
    </x:row>
    <x:row r="1629">
      <x:c r="A1629" t="str">
        <x:v>DW-1624</x:v>
      </x:c>
      <x:c r="B1629" t="str">
        <x:v>DW-0312</x:v>
      </x:c>
      <x:c r="C1629" t="str">
        <x:v>Composition héritée</x:v>
      </x:c>
      <x:c r="D1629" t="str">
        <x:v>Industrie et production</x:v>
      </x:c>
      <x:c r="E1629" t="str">
        <x:v>Fabrique de produits ménagers — Entrepôt et plateforme logistique / première récupération passée</x:v>
      </x:c>
      <x:c r="F1629" t="n">
        <x:v>8</x:v>
      </x:c>
      <x:c r="G1629" t="n">
        <x:v>4</x:v>
      </x:c>
      <x:c r="H1629" t="n">
        <x:v>12</x:v>
      </x:c>
      <x:c r="I1629" t="str">
        <x:v>À qualifier par lieu</x:v>
      </x:c>
      <x:c r="J1629" t="str">
        <x:v>https://github.com/darknigthmare/deadwall-last-enclosure/blob/e28f46223e73105ab2c5d83f3d50b99b58ef53e6/codex-3000/compositions/Industrie et production/DW-1624.md</x:v>
      </x:c>
      <x:c r="K1629" t="str">
        <x:v>Source min 45,30 m ; max 240,170 m ; modèle 45 × 30 m ; niveaux 0. Détails dans catalogue-existant.json.</x:v>
      </x:c>
    </x:row>
    <x:row r="1630">
      <x:c r="A1630" t="str">
        <x:v>DW-1625</x:v>
      </x:c>
      <x:c r="B1630" t="str">
        <x:v>DW-0313</x:v>
      </x:c>
      <x:c r="C1630" t="str">
        <x:v>Composition héritée</x:v>
      </x:c>
      <x:c r="D1630" t="str">
        <x:v>Industrie et production</x:v>
      </x:c>
      <x:c r="E1630" t="str">
        <x:v>Atelier de batteries — Zone industrielle / évacuation interrompue</x:v>
      </x:c>
      <x:c r="F1630" t="n">
        <x:v>8</x:v>
      </x:c>
      <x:c r="G1630" t="n">
        <x:v>4</x:v>
      </x:c>
      <x:c r="H1630" t="n">
        <x:v>12</x:v>
      </x:c>
      <x:c r="I1630" t="str">
        <x:v>À qualifier par lieu</x:v>
      </x:c>
      <x:c r="J1630" t="str">
        <x:v>https://github.com/darknigthmare/deadwall-last-enclosure/blob/e28f46223e73105ab2c5d83f3d50b99b58ef53e6/codex-3000/compositions/Industrie et production/DW-1625.md</x:v>
      </x:c>
      <x:c r="K1630" t="str">
        <x:v>Source min 45,30 m ; max 240,170 m ; modèle 45 × 30 m ; niveaux 0. Détails dans catalogue-existant.json.</x:v>
      </x:c>
    </x:row>
    <x:row r="1631">
      <x:c r="A1631" t="str">
        <x:v>DW-1626</x:v>
      </x:c>
      <x:c r="B1631" t="str">
        <x:v>DW-0313</x:v>
      </x:c>
      <x:c r="C1631" t="str">
        <x:v>Composition héritée</x:v>
      </x:c>
      <x:c r="D1631" t="str">
        <x:v>Industrie et production</x:v>
      </x:c>
      <x:c r="E1631" t="str">
        <x:v>Atelier de batteries — Port marchand / service déplacé à l’arrière</x:v>
      </x:c>
      <x:c r="F1631" t="n">
        <x:v>10</x:v>
      </x:c>
      <x:c r="G1631" t="n">
        <x:v>4</x:v>
      </x:c>
      <x:c r="H1631" t="n">
        <x:v>12</x:v>
      </x:c>
      <x:c r="I1631" t="str">
        <x:v>À qualifier par lieu</x:v>
      </x:c>
      <x:c r="J1631" t="str">
        <x:v>https://github.com/darknigthmare/deadwall-last-enclosure/blob/e28f46223e73105ab2c5d83f3d50b99b58ef53e6/codex-3000/compositions/Industrie et production/DW-1626.md</x:v>
      </x:c>
      <x:c r="K1631" t="str">
        <x:v>Source min 45,30 m ; max 240,170 m ; modèle 45 × 30 m ; niveaux 0. Détails dans catalogue-existant.json.</x:v>
      </x:c>
    </x:row>
    <x:row r="1632">
      <x:c r="A1632" t="str">
        <x:v>DW-1627</x:v>
      </x:c>
      <x:c r="B1632" t="str">
        <x:v>DW-0314</x:v>
      </x:c>
      <x:c r="C1632" t="str">
        <x:v>Composition héritée</x:v>
      </x:c>
      <x:c r="D1632" t="str">
        <x:v>Industrie et production</x:v>
      </x:c>
      <x:c r="E1632" t="str">
        <x:v>Usine de machines agricoles — Entrepôt et plateforme logistique / arrêt de maintenance</x:v>
      </x:c>
      <x:c r="F1632" t="n">
        <x:v>8</x:v>
      </x:c>
      <x:c r="G1632" t="n">
        <x:v>4</x:v>
      </x:c>
      <x:c r="H1632" t="n">
        <x:v>12</x:v>
      </x:c>
      <x:c r="I1632" t="str">
        <x:v>À qualifier par lieu</x:v>
      </x:c>
      <x:c r="J1632" t="str">
        <x:v>https://github.com/darknigthmare/deadwall-last-enclosure/blob/e28f46223e73105ab2c5d83f3d50b99b58ef53e6/codex-3000/compositions/Industrie et production/DW-1627.md</x:v>
      </x:c>
      <x:c r="K1632" t="str">
        <x:v>Source min 45,30 m ; max 240,170 m ; modèle 45 × 30 m ; niveaux 0. Détails dans catalogue-existant.json.</x:v>
      </x:c>
    </x:row>
    <x:row r="1633">
      <x:c r="A1633" t="str">
        <x:v>DW-1628</x:v>
      </x:c>
      <x:c r="B1633" t="str">
        <x:v>DW-0314</x:v>
      </x:c>
      <x:c r="C1633" t="str">
        <x:v>Composition héritée</x:v>
      </x:c>
      <x:c r="D1633" t="str">
        <x:v>Industrie et production</x:v>
      </x:c>
      <x:c r="E1633" t="str">
        <x:v>Usine de machines agricoles — Carrière / reprise progressive de la végétation</x:v>
      </x:c>
      <x:c r="F1633" t="n">
        <x:v>8</x:v>
      </x:c>
      <x:c r="G1633" t="n">
        <x:v>4</x:v>
      </x:c>
      <x:c r="H1633" t="n">
        <x:v>12</x:v>
      </x:c>
      <x:c r="I1633" t="str">
        <x:v>À qualifier par lieu</x:v>
      </x:c>
      <x:c r="J1633" t="str">
        <x:v>https://github.com/darknigthmare/deadwall-last-enclosure/blob/e28f46223e73105ab2c5d83f3d50b99b58ef53e6/codex-3000/compositions/Industrie et production/DW-1628.md</x:v>
      </x:c>
      <x:c r="K1633" t="str">
        <x:v>Source min 45,30 m ; max 240,170 m ; modèle 45 × 30 m ; niveaux 0. Détails dans catalogue-existant.json.</x:v>
      </x:c>
    </x:row>
    <x:row r="1634">
      <x:c r="A1634" t="str">
        <x:v>DW-1629</x:v>
      </x:c>
      <x:c r="B1634" t="str">
        <x:v>DW-0315</x:v>
      </x:c>
      <x:c r="C1634" t="str">
        <x:v>Composition héritée</x:v>
      </x:c>
      <x:c r="D1634" t="str">
        <x:v>Industrie et production</x:v>
      </x:c>
      <x:c r="E1634" t="str">
        <x:v>Atelier de réparation industrielle — Port marchand / première récupération passée</x:v>
      </x:c>
      <x:c r="F1634" t="n">
        <x:v>10</x:v>
      </x:c>
      <x:c r="G1634" t="n">
        <x:v>4</x:v>
      </x:c>
      <x:c r="H1634" t="n">
        <x:v>12</x:v>
      </x:c>
      <x:c r="I1634" t="str">
        <x:v>À qualifier par lieu</x:v>
      </x:c>
      <x:c r="J1634" t="str">
        <x:v>https://github.com/darknigthmare/deadwall-last-enclosure/blob/e28f46223e73105ab2c5d83f3d50b99b58ef53e6/codex-3000/compositions/Industrie et production/DW-1629.md</x:v>
      </x:c>
      <x:c r="K1634" t="str">
        <x:v>Source min 45,30 m ; max 240,170 m ; modèle 45 × 30 m ; niveaux 0. Détails dans catalogue-existant.json.</x:v>
      </x:c>
    </x:row>
    <x:row r="1635">
      <x:c r="A1635" t="str">
        <x:v>DW-1630</x:v>
      </x:c>
      <x:c r="B1635" t="str">
        <x:v>DW-0315</x:v>
      </x:c>
      <x:c r="C1635" t="str">
        <x:v>Composition héritée</x:v>
      </x:c>
      <x:c r="D1635" t="str">
        <x:v>Industrie et production</x:v>
      </x:c>
      <x:c r="E1635" t="str">
        <x:v>Atelier de réparation industrielle — Zone industrielle / relais temporaire envisagé</x:v>
      </x:c>
      <x:c r="F1635" t="n">
        <x:v>8</x:v>
      </x:c>
      <x:c r="G1635" t="n">
        <x:v>4</x:v>
      </x:c>
      <x:c r="H1635" t="n">
        <x:v>12</x:v>
      </x:c>
      <x:c r="I1635" t="str">
        <x:v>À qualifier par lieu</x:v>
      </x:c>
      <x:c r="J1635" t="str">
        <x:v>https://github.com/darknigthmare/deadwall-last-enclosure/blob/e28f46223e73105ab2c5d83f3d50b99b58ef53e6/codex-3000/compositions/Industrie et production/DW-1630.md</x:v>
      </x:c>
      <x:c r="K1635" t="str">
        <x:v>Source min 45,30 m ; max 240,170 m ; modèle 45 × 30 m ; niveaux 0. Détails dans catalogue-existant.json.</x:v>
      </x:c>
    </x:row>
    <x:row r="1636">
      <x:c r="A1636" t="str">
        <x:v>DW-1631</x:v>
      </x:c>
      <x:c r="B1636" t="str">
        <x:v>DW-0316</x:v>
      </x:c>
      <x:c r="C1636" t="str">
        <x:v>Composition héritée</x:v>
      </x:c>
      <x:c r="D1636" t="str">
        <x:v>Industrie et production</x:v>
      </x:c>
      <x:c r="E1636" t="str">
        <x:v>Usine agroalimentaire sèche — Carrière / service déplacé à l’arrière</x:v>
      </x:c>
      <x:c r="F1636" t="n">
        <x:v>8</x:v>
      </x:c>
      <x:c r="G1636" t="n">
        <x:v>4</x:v>
      </x:c>
      <x:c r="H1636" t="n">
        <x:v>12</x:v>
      </x:c>
      <x:c r="I1636" t="str">
        <x:v>À qualifier par lieu</x:v>
      </x:c>
      <x:c r="J1636" t="str">
        <x:v>https://github.com/darknigthmare/deadwall-last-enclosure/blob/e28f46223e73105ab2c5d83f3d50b99b58ef53e6/codex-3000/compositions/Industrie et production/DW-1631.md</x:v>
      </x:c>
      <x:c r="K1636" t="str">
        <x:v>Source min 45,30 m ; max 240,170 m ; modèle 45 × 30 m ; niveaux 0. Détails dans catalogue-existant.json.</x:v>
      </x:c>
    </x:row>
    <x:row r="1637">
      <x:c r="A1637" t="str">
        <x:v>DW-1632</x:v>
      </x:c>
      <x:c r="B1637" t="str">
        <x:v>DW-0316</x:v>
      </x:c>
      <x:c r="C1637" t="str">
        <x:v>Composition héritée</x:v>
      </x:c>
      <x:c r="D1637" t="str">
        <x:v>Industrie et production</x:v>
      </x:c>
      <x:c r="E1637" t="str">
        <x:v>Usine agroalimentaire sèche — Entrepôt et plateforme logistique / réseau principal coupé</x:v>
      </x:c>
      <x:c r="F1637" t="n">
        <x:v>8</x:v>
      </x:c>
      <x:c r="G1637" t="n">
        <x:v>4</x:v>
      </x:c>
      <x:c r="H1637" t="n">
        <x:v>12</x:v>
      </x:c>
      <x:c r="I1637" t="str">
        <x:v>À qualifier par lieu</x:v>
      </x:c>
      <x:c r="J1637" t="str">
        <x:v>https://github.com/darknigthmare/deadwall-last-enclosure/blob/e28f46223e73105ab2c5d83f3d50b99b58ef53e6/codex-3000/compositions/Industrie et production/DW-1632.md</x:v>
      </x:c>
      <x:c r="K1637" t="str">
        <x:v>Source min 45,30 m ; max 240,170 m ; modèle 45 × 30 m ; niveaux 0. Détails dans catalogue-existant.json.</x:v>
      </x:c>
    </x:row>
    <x:row r="1638">
      <x:c r="A1638" t="str">
        <x:v>DW-1633</x:v>
      </x:c>
      <x:c r="B1638" t="str">
        <x:v>DW-0317</x:v>
      </x:c>
      <x:c r="C1638" t="str">
        <x:v>Composition héritée</x:v>
      </x:c>
      <x:c r="D1638" t="str">
        <x:v>Industrie et production</x:v>
      </x:c>
      <x:c r="E1638" t="str">
        <x:v>Brasserie désaffectée — Zone industrielle / reprise progressive de la végétation</x:v>
      </x:c>
      <x:c r="F1638" t="n">
        <x:v>8</x:v>
      </x:c>
      <x:c r="G1638" t="n">
        <x:v>4</x:v>
      </x:c>
      <x:c r="H1638" t="n">
        <x:v>12</x:v>
      </x:c>
      <x:c r="I1638" t="str">
        <x:v>À qualifier par lieu</x:v>
      </x:c>
      <x:c r="J1638" t="str">
        <x:v>https://github.com/darknigthmare/deadwall-last-enclosure/blob/e28f46223e73105ab2c5d83f3d50b99b58ef53e6/codex-3000/compositions/Industrie et production/DW-1633.md</x:v>
      </x:c>
      <x:c r="K1638" t="str">
        <x:v>Source min 45,30 m ; max 240,170 m ; modèle 45 × 30 m ; niveaux 0. Détails dans catalogue-existant.json.</x:v>
      </x:c>
    </x:row>
    <x:row r="1639">
      <x:c r="A1639" t="str">
        <x:v>DW-1634</x:v>
      </x:c>
      <x:c r="B1639" t="str">
        <x:v>DW-0317</x:v>
      </x:c>
      <x:c r="C1639" t="str">
        <x:v>Composition héritée</x:v>
      </x:c>
      <x:c r="D1639" t="str">
        <x:v>Industrie et production</x:v>
      </x:c>
      <x:c r="E1639" t="str">
        <x:v>Brasserie désaffectée — Port marchand / repli organisé interrompu</x:v>
      </x:c>
      <x:c r="F1639" t="n">
        <x:v>10</x:v>
      </x:c>
      <x:c r="G1639" t="n">
        <x:v>4</x:v>
      </x:c>
      <x:c r="H1639" t="n">
        <x:v>12</x:v>
      </x:c>
      <x:c r="I1639" t="str">
        <x:v>À qualifier par lieu</x:v>
      </x:c>
      <x:c r="J1639" t="str">
        <x:v>https://github.com/darknigthmare/deadwall-last-enclosure/blob/e28f46223e73105ab2c5d83f3d50b99b58ef53e6/codex-3000/compositions/Industrie et production/DW-1634.md</x:v>
      </x:c>
      <x:c r="K1639" t="str">
        <x:v>Source min 45,30 m ; max 240,170 m ; modèle 45 × 30 m ; niveaux 0. Détails dans catalogue-existant.json.</x:v>
      </x:c>
    </x:row>
    <x:row r="1640">
      <x:c r="A1640" t="str">
        <x:v>DW-1635</x:v>
      </x:c>
      <x:c r="B1640" t="str">
        <x:v>DW-0318</x:v>
      </x:c>
      <x:c r="C1640" t="str">
        <x:v>Composition héritée</x:v>
      </x:c>
      <x:c r="D1640" t="str">
        <x:v>Industrie et production</x:v>
      </x:c>
      <x:c r="E1640" t="str">
        <x:v>Laiterie — Entrepôt et plateforme logistique / relais temporaire envisagé</x:v>
      </x:c>
      <x:c r="F1640" t="n">
        <x:v>8</x:v>
      </x:c>
      <x:c r="G1640" t="n">
        <x:v>4</x:v>
      </x:c>
      <x:c r="H1640" t="n">
        <x:v>12</x:v>
      </x:c>
      <x:c r="I1640" t="str">
        <x:v>À qualifier par lieu</x:v>
      </x:c>
      <x:c r="J1640" t="str">
        <x:v>https://github.com/darknigthmare/deadwall-last-enclosure/blob/e28f46223e73105ab2c5d83f3d50b99b58ef53e6/codex-3000/compositions/Industrie et production/DW-1635.md</x:v>
      </x:c>
      <x:c r="K1640" t="str">
        <x:v>Source min 45,30 m ; max 240,170 m ; modèle 45 × 30 m ; niveaux 0. Détails dans catalogue-existant.json.</x:v>
      </x:c>
    </x:row>
    <x:row r="1641">
      <x:c r="A1641" t="str">
        <x:v>DW-1636</x:v>
      </x:c>
      <x:c r="B1641" t="str">
        <x:v>DW-0318</x:v>
      </x:c>
      <x:c r="C1641" t="str">
        <x:v>Composition héritée</x:v>
      </x:c>
      <x:c r="D1641" t="str">
        <x:v>Industrie et production</x:v>
      </x:c>
      <x:c r="E1641" t="str">
        <x:v>Laiterie — Carrière / évacuation interrompue</x:v>
      </x:c>
      <x:c r="F1641" t="n">
        <x:v>8</x:v>
      </x:c>
      <x:c r="G1641" t="n">
        <x:v>4</x:v>
      </x:c>
      <x:c r="H1641" t="n">
        <x:v>12</x:v>
      </x:c>
      <x:c r="I1641" t="str">
        <x:v>À qualifier par lieu</x:v>
      </x:c>
      <x:c r="J1641" t="str">
        <x:v>https://github.com/darknigthmare/deadwall-last-enclosure/blob/e28f46223e73105ab2c5d83f3d50b99b58ef53e6/codex-3000/compositions/Industrie et production/DW-1636.md</x:v>
      </x:c>
      <x:c r="K1641" t="str">
        <x:v>Source min 45,30 m ; max 240,170 m ; modèle 45 × 30 m ; niveaux 0. Détails dans catalogue-existant.json.</x:v>
      </x:c>
    </x:row>
    <x:row r="1642">
      <x:c r="A1642" t="str">
        <x:v>DW-1637</x:v>
      </x:c>
      <x:c r="B1642" t="str">
        <x:v>DW-0319</x:v>
      </x:c>
      <x:c r="C1642" t="str">
        <x:v>Composition héritée</x:v>
      </x:c>
      <x:c r="D1642" t="str">
        <x:v>Industrie et production</x:v>
      </x:c>
      <x:c r="E1642" t="str">
        <x:v>Tannerie abandonnée — Port marchand / réseau principal coupé</x:v>
      </x:c>
      <x:c r="F1642" t="n">
        <x:v>10</x:v>
      </x:c>
      <x:c r="G1642" t="n">
        <x:v>4</x:v>
      </x:c>
      <x:c r="H1642" t="n">
        <x:v>12</x:v>
      </x:c>
      <x:c r="I1642" t="str">
        <x:v>À qualifier par lieu</x:v>
      </x:c>
      <x:c r="J1642" t="str">
        <x:v>https://github.com/darknigthmare/deadwall-last-enclosure/blob/e28f46223e73105ab2c5d83f3d50b99b58ef53e6/codex-3000/compositions/Industrie et production/DW-1637.md</x:v>
      </x:c>
      <x:c r="K1642" t="str">
        <x:v>Source min 45,30 m ; max 240,170 m ; modèle 45 × 30 m ; niveaux 0. Détails dans catalogue-existant.json.</x:v>
      </x:c>
    </x:row>
    <x:row r="1643">
      <x:c r="A1643" t="str">
        <x:v>DW-1638</x:v>
      </x:c>
      <x:c r="B1643" t="str">
        <x:v>DW-0319</x:v>
      </x:c>
      <x:c r="C1643" t="str">
        <x:v>Composition héritée</x:v>
      </x:c>
      <x:c r="D1643" t="str">
        <x:v>Industrie et production</x:v>
      </x:c>
      <x:c r="E1643" t="str">
        <x:v>Tannerie abandonnée — Zone industrielle / arrêt de maintenance</x:v>
      </x:c>
      <x:c r="F1643" t="n">
        <x:v>8</x:v>
      </x:c>
      <x:c r="G1643" t="n">
        <x:v>4</x:v>
      </x:c>
      <x:c r="H1643" t="n">
        <x:v>12</x:v>
      </x:c>
      <x:c r="I1643" t="str">
        <x:v>À qualifier par lieu</x:v>
      </x:c>
      <x:c r="J1643" t="str">
        <x:v>https://github.com/darknigthmare/deadwall-last-enclosure/blob/e28f46223e73105ab2c5d83f3d50b99b58ef53e6/codex-3000/compositions/Industrie et production/DW-1638.md</x:v>
      </x:c>
      <x:c r="K1643" t="str">
        <x:v>Source min 45,30 m ; max 240,170 m ; modèle 45 × 30 m ; niveaux 0. Détails dans catalogue-existant.json.</x:v>
      </x:c>
    </x:row>
    <x:row r="1644">
      <x:c r="A1644" t="str">
        <x:v>DW-1639</x:v>
      </x:c>
      <x:c r="B1644" t="str">
        <x:v>DW-0320</x:v>
      </x:c>
      <x:c r="C1644" t="str">
        <x:v>Composition héritée</x:v>
      </x:c>
      <x:c r="D1644" t="str">
        <x:v>Industrie et production</x:v>
      </x:c>
      <x:c r="E1644" t="str">
        <x:v>Zone artisanale mixte — Carrière / repli organisé interrompu</x:v>
      </x:c>
      <x:c r="F1644" t="n">
        <x:v>8</x:v>
      </x:c>
      <x:c r="G1644" t="n">
        <x:v>4</x:v>
      </x:c>
      <x:c r="H1644" t="n">
        <x:v>12</x:v>
      </x:c>
      <x:c r="I1644" t="str">
        <x:v>À qualifier par lieu</x:v>
      </x:c>
      <x:c r="J1644" t="str">
        <x:v>https://github.com/darknigthmare/deadwall-last-enclosure/blob/e28f46223e73105ab2c5d83f3d50b99b58ef53e6/codex-3000/compositions/Industrie et production/DW-1639.md</x:v>
      </x:c>
      <x:c r="K1644" t="str">
        <x:v>Source min 45,30 m ; max 240,170 m ; modèle 45 × 30 m ; niveaux 0. Détails dans catalogue-existant.json.</x:v>
      </x:c>
    </x:row>
    <x:row r="1645">
      <x:c r="A1645" t="str">
        <x:v>DW-1640</x:v>
      </x:c>
      <x:c r="B1645" t="str">
        <x:v>DW-0320</x:v>
      </x:c>
      <x:c r="C1645" t="str">
        <x:v>Composition héritée</x:v>
      </x:c>
      <x:c r="D1645" t="str">
        <x:v>Industrie et production</x:v>
      </x:c>
      <x:c r="E1645" t="str">
        <x:v>Zone artisanale mixte — Entrepôt et plateforme logistique / première récupération passée</x:v>
      </x:c>
      <x:c r="F1645" t="n">
        <x:v>8</x:v>
      </x:c>
      <x:c r="G1645" t="n">
        <x:v>4</x:v>
      </x:c>
      <x:c r="H1645" t="n">
        <x:v>12</x:v>
      </x:c>
      <x:c r="I1645" t="str">
        <x:v>À qualifier par lieu</x:v>
      </x:c>
      <x:c r="J1645" t="str">
        <x:v>https://github.com/darknigthmare/deadwall-last-enclosure/blob/e28f46223e73105ab2c5d83f3d50b99b58ef53e6/codex-3000/compositions/Industrie et production/DW-1640.md</x:v>
      </x:c>
      <x:c r="K1645" t="str">
        <x:v>Source min 45,30 m ; max 240,170 m ; modèle 45 × 30 m ; niveaux 0. Détails dans catalogue-existant.json.</x:v>
      </x:c>
    </x:row>
    <x:row r="1646">
      <x:c r="A1646" t="str">
        <x:v>DW-1641</x:v>
      </x:c>
      <x:c r="B1646" t="str">
        <x:v>DW-0321</x:v>
      </x:c>
      <x:c r="C1646" t="str">
        <x:v>Composition héritée</x:v>
      </x:c>
      <x:c r="D1646" t="str">
        <x:v>Énergie et communication</x:v>
      </x:c>
      <x:c r="E1646" t="str">
        <x:v>Poste électrique de quartier — Production et distribution électrique / évacuation interrompue</x:v>
      </x:c>
      <x:c r="F1646" t="n">
        <x:v>8</x:v>
      </x:c>
      <x:c r="G1646" t="n">
        <x:v>4</x:v>
      </x:c>
      <x:c r="H1646" t="n">
        <x:v>12</x:v>
      </x:c>
      <x:c r="I1646" t="str">
        <x:v>À qualifier par lieu</x:v>
      </x:c>
      <x:c r="J1646" t="str">
        <x:v>https://github.com/darknigthmare/deadwall-last-enclosure/blob/e28f46223e73105ab2c5d83f3d50b99b58ef53e6/codex-3000/compositions/Énergie et communication/DW-1641.md</x:v>
      </x:c>
      <x:c r="K1646" t="str">
        <x:v>Source min 24,18 m ; max 260,180 m ; modèle 25 × 18 m ; niveaux 0. Détails dans catalogue-existant.json.</x:v>
      </x:c>
    </x:row>
    <x:row r="1647">
      <x:c r="A1647" t="str">
        <x:v>DW-1642</x:v>
      </x:c>
      <x:c r="B1647" t="str">
        <x:v>DW-0321</x:v>
      </x:c>
      <x:c r="C1647" t="str">
        <x:v>Composition héritée</x:v>
      </x:c>
      <x:c r="D1647" t="str">
        <x:v>Énergie et communication</x:v>
      </x:c>
      <x:c r="E1647" t="str">
        <x:v>Poste électrique de quartier — Ville moyenne / service déplacé à l’arrière</x:v>
      </x:c>
      <x:c r="F1647" t="n">
        <x:v>8</x:v>
      </x:c>
      <x:c r="G1647" t="n">
        <x:v>4</x:v>
      </x:c>
      <x:c r="H1647" t="n">
        <x:v>12</x:v>
      </x:c>
      <x:c r="I1647" t="str">
        <x:v>À qualifier par lieu</x:v>
      </x:c>
      <x:c r="J1647" t="str">
        <x:v>https://github.com/darknigthmare/deadwall-last-enclosure/blob/e28f46223e73105ab2c5d83f3d50b99b58ef53e6/codex-3000/compositions/Énergie et communication/DW-1642.md</x:v>
      </x:c>
      <x:c r="K1647" t="str">
        <x:v>Source min 24,18 m ; max 260,180 m ; modèle 25 × 18 m ; niveaux 0. Détails dans catalogue-existant.json.</x:v>
      </x:c>
    </x:row>
    <x:row r="1648">
      <x:c r="A1648" t="str">
        <x:v>DW-1643</x:v>
      </x:c>
      <x:c r="B1648" t="str">
        <x:v>DW-0322</x:v>
      </x:c>
      <x:c r="C1648" t="str">
        <x:v>Composition héritée</x:v>
      </x:c>
      <x:c r="D1648" t="str">
        <x:v>Énergie et communication</x:v>
      </x:c>
      <x:c r="E1648" t="str">
        <x:v>Sous-station industrielle — Zone industrielle / arrêt de maintenance</x:v>
      </x:c>
      <x:c r="F1648" t="n">
        <x:v>8</x:v>
      </x:c>
      <x:c r="G1648" t="n">
        <x:v>4</x:v>
      </x:c>
      <x:c r="H1648" t="n">
        <x:v>12</x:v>
      </x:c>
      <x:c r="I1648" t="str">
        <x:v>À qualifier par lieu</x:v>
      </x:c>
      <x:c r="J1648" t="str">
        <x:v>https://github.com/darknigthmare/deadwall-last-enclosure/blob/e28f46223e73105ab2c5d83f3d50b99b58ef53e6/codex-3000/compositions/Énergie et communication/DW-1643.md</x:v>
      </x:c>
      <x:c r="K1648" t="str">
        <x:v>Source min 24,18 m ; max 260,180 m ; modèle 25 × 18 m ; niveaux 0. Détails dans catalogue-existant.json.</x:v>
      </x:c>
    </x:row>
    <x:row r="1649">
      <x:c r="A1649" t="str">
        <x:v>DW-1644</x:v>
      </x:c>
      <x:c r="B1649" t="str">
        <x:v>DW-0322</x:v>
      </x:c>
      <x:c r="C1649" t="str">
        <x:v>Composition héritée</x:v>
      </x:c>
      <x:c r="D1649" t="str">
        <x:v>Énergie et communication</x:v>
      </x:c>
      <x:c r="E1649" t="str">
        <x:v>Sous-station industrielle — Montagne et col / reprise progressive de la végétation</x:v>
      </x:c>
      <x:c r="F1649" t="n">
        <x:v>10</x:v>
      </x:c>
      <x:c r="G1649" t="n">
        <x:v>4</x:v>
      </x:c>
      <x:c r="H1649" t="n">
        <x:v>12</x:v>
      </x:c>
      <x:c r="I1649" t="str">
        <x:v>À qualifier par lieu</x:v>
      </x:c>
      <x:c r="J1649" t="str">
        <x:v>https://github.com/darknigthmare/deadwall-last-enclosure/blob/e28f46223e73105ab2c5d83f3d50b99b58ef53e6/codex-3000/compositions/Énergie et communication/DW-1644.md</x:v>
      </x:c>
      <x:c r="K1649" t="str">
        <x:v>Source min 24,18 m ; max 260,180 m ; modèle 25 × 18 m ; niveaux 0. Détails dans catalogue-existant.json.</x:v>
      </x:c>
    </x:row>
    <x:row r="1650">
      <x:c r="A1650" t="str">
        <x:v>DW-1645</x:v>
      </x:c>
      <x:c r="B1650" t="str">
        <x:v>DW-0323</x:v>
      </x:c>
      <x:c r="C1650" t="str">
        <x:v>Composition héritée</x:v>
      </x:c>
      <x:c r="D1650" t="str">
        <x:v>Énergie et communication</x:v>
      </x:c>
      <x:c r="E1650" t="str">
        <x:v>Centrale thermique fictive — Ville moyenne / première récupération passée</x:v>
      </x:c>
      <x:c r="F1650" t="n">
        <x:v>8</x:v>
      </x:c>
      <x:c r="G1650" t="n">
        <x:v>4</x:v>
      </x:c>
      <x:c r="H1650" t="n">
        <x:v>12</x:v>
      </x:c>
      <x:c r="I1650" t="str">
        <x:v>À qualifier par lieu</x:v>
      </x:c>
      <x:c r="J1650" t="str">
        <x:v>https://github.com/darknigthmare/deadwall-last-enclosure/blob/e28f46223e73105ab2c5d83f3d50b99b58ef53e6/codex-3000/compositions/Énergie et communication/DW-1645.md</x:v>
      </x:c>
      <x:c r="K1650" t="str">
        <x:v>Source min 24,18 m ; max 260,180 m ; modèle 25 × 18 m ; niveaux 0. Détails dans catalogue-existant.json.</x:v>
      </x:c>
    </x:row>
    <x:row r="1651">
      <x:c r="A1651" t="str">
        <x:v>DW-1646</x:v>
      </x:c>
      <x:c r="B1651" t="str">
        <x:v>DW-0323</x:v>
      </x:c>
      <x:c r="C1651" t="str">
        <x:v>Composition héritée</x:v>
      </x:c>
      <x:c r="D1651" t="str">
        <x:v>Énergie et communication</x:v>
      </x:c>
      <x:c r="E1651" t="str">
        <x:v>Centrale thermique fictive — Production et distribution électrique / relais temporaire envisagé</x:v>
      </x:c>
      <x:c r="F1651" t="n">
        <x:v>8</x:v>
      </x:c>
      <x:c r="G1651" t="n">
        <x:v>4</x:v>
      </x:c>
      <x:c r="H1651" t="n">
        <x:v>12</x:v>
      </x:c>
      <x:c r="I1651" t="str">
        <x:v>À qualifier par lieu</x:v>
      </x:c>
      <x:c r="J1651" t="str">
        <x:v>https://github.com/darknigthmare/deadwall-last-enclosure/blob/e28f46223e73105ab2c5d83f3d50b99b58ef53e6/codex-3000/compositions/Énergie et communication/DW-1646.md</x:v>
      </x:c>
      <x:c r="K1651" t="str">
        <x:v>Source min 24,18 m ; max 260,180 m ; modèle 25 × 18 m ; niveaux 0. Détails dans catalogue-existant.json.</x:v>
      </x:c>
    </x:row>
    <x:row r="1652">
      <x:c r="A1652" t="str">
        <x:v>DW-1647</x:v>
      </x:c>
      <x:c r="B1652" t="str">
        <x:v>DW-0324</x:v>
      </x:c>
      <x:c r="C1652" t="str">
        <x:v>Composition héritée</x:v>
      </x:c>
      <x:c r="D1652" t="str">
        <x:v>Énergie et communication</x:v>
      </x:c>
      <x:c r="E1652" t="str">
        <x:v>Centrale hydroélectrique — Montagne et col / service déplacé à l’arrière</x:v>
      </x:c>
      <x:c r="F1652" t="n">
        <x:v>10</x:v>
      </x:c>
      <x:c r="G1652" t="n">
        <x:v>4</x:v>
      </x:c>
      <x:c r="H1652" t="n">
        <x:v>12</x:v>
      </x:c>
      <x:c r="I1652" t="str">
        <x:v>À qualifier par lieu</x:v>
      </x:c>
      <x:c r="J1652" t="str">
        <x:v>https://github.com/darknigthmare/deadwall-last-enclosure/blob/e28f46223e73105ab2c5d83f3d50b99b58ef53e6/codex-3000/compositions/Énergie et communication/DW-1647.md</x:v>
      </x:c>
      <x:c r="K1652" t="str">
        <x:v>Source min 24,18 m ; max 260,180 m ; modèle 25 × 18 m ; niveaux 0. Détails dans catalogue-existant.json.</x:v>
      </x:c>
    </x:row>
    <x:row r="1653">
      <x:c r="A1653" t="str">
        <x:v>DW-1648</x:v>
      </x:c>
      <x:c r="B1653" t="str">
        <x:v>DW-0324</x:v>
      </x:c>
      <x:c r="C1653" t="str">
        <x:v>Composition héritée</x:v>
      </x:c>
      <x:c r="D1653" t="str">
        <x:v>Énergie et communication</x:v>
      </x:c>
      <x:c r="E1653" t="str">
        <x:v>Centrale hydroélectrique — Zone industrielle / réseau principal coupé</x:v>
      </x:c>
      <x:c r="F1653" t="n">
        <x:v>8</x:v>
      </x:c>
      <x:c r="G1653" t="n">
        <x:v>4</x:v>
      </x:c>
      <x:c r="H1653" t="n">
        <x:v>12</x:v>
      </x:c>
      <x:c r="I1653" t="str">
        <x:v>À qualifier par lieu</x:v>
      </x:c>
      <x:c r="J1653" t="str">
        <x:v>https://github.com/darknigthmare/deadwall-last-enclosure/blob/e28f46223e73105ab2c5d83f3d50b99b58ef53e6/codex-3000/compositions/Énergie et communication/DW-1648.md</x:v>
      </x:c>
      <x:c r="K1653" t="str">
        <x:v>Source min 24,18 m ; max 260,180 m ; modèle 25 × 18 m ; niveaux 0. Détails dans catalogue-existant.json.</x:v>
      </x:c>
    </x:row>
    <x:row r="1654">
      <x:c r="A1654" t="str">
        <x:v>DW-1649</x:v>
      </x:c>
      <x:c r="B1654" t="str">
        <x:v>DW-0325</x:v>
      </x:c>
      <x:c r="C1654" t="str">
        <x:v>Composition héritée</x:v>
      </x:c>
      <x:c r="D1654" t="str">
        <x:v>Énergie et communication</x:v>
      </x:c>
      <x:c r="E1654" t="str">
        <x:v>Petit barrage de retenue — Production et distribution électrique / reprise progressive de la végétation</x:v>
      </x:c>
      <x:c r="F1654" t="n">
        <x:v>8</x:v>
      </x:c>
      <x:c r="G1654" t="n">
        <x:v>4</x:v>
      </x:c>
      <x:c r="H1654" t="n">
        <x:v>12</x:v>
      </x:c>
      <x:c r="I1654" t="str">
        <x:v>À qualifier par lieu</x:v>
      </x:c>
      <x:c r="J1654" t="str">
        <x:v>https://github.com/darknigthmare/deadwall-last-enclosure/blob/e28f46223e73105ab2c5d83f3d50b99b58ef53e6/codex-3000/compositions/Énergie et communication/DW-1649.md</x:v>
      </x:c>
      <x:c r="K1654" t="str">
        <x:v>Source min 24,18 m ; max 260,180 m ; modèle 25 × 18 m ; niveaux 0. Détails dans catalogue-existant.json.</x:v>
      </x:c>
    </x:row>
    <x:row r="1655">
      <x:c r="A1655" t="str">
        <x:v>DW-1650</x:v>
      </x:c>
      <x:c r="B1655" t="str">
        <x:v>DW-0325</x:v>
      </x:c>
      <x:c r="C1655" t="str">
        <x:v>Composition héritée</x:v>
      </x:c>
      <x:c r="D1655" t="str">
        <x:v>Énergie et communication</x:v>
      </x:c>
      <x:c r="E1655" t="str">
        <x:v>Petit barrage de retenue — Ville moyenne / repli organisé interrompu</x:v>
      </x:c>
      <x:c r="F1655" t="n">
        <x:v>8</x:v>
      </x:c>
      <x:c r="G1655" t="n">
        <x:v>4</x:v>
      </x:c>
      <x:c r="H1655" t="n">
        <x:v>12</x:v>
      </x:c>
      <x:c r="I1655" t="str">
        <x:v>À qualifier par lieu</x:v>
      </x:c>
      <x:c r="J1655" t="str">
        <x:v>https://github.com/darknigthmare/deadwall-last-enclosure/blob/e28f46223e73105ab2c5d83f3d50b99b58ef53e6/codex-3000/compositions/Énergie et communication/DW-1650.md</x:v>
      </x:c>
      <x:c r="K1655" t="str">
        <x:v>Source min 24,18 m ; max 260,180 m ; modèle 25 × 18 m ; niveaux 0. Détails dans catalogue-existant.json.</x:v>
      </x:c>
    </x:row>
    <x:row r="1656">
      <x:c r="A1656" t="str">
        <x:v>DW-1651</x:v>
      </x:c>
      <x:c r="B1656" t="str">
        <x:v>DW-0326</x:v>
      </x:c>
      <x:c r="C1656" t="str">
        <x:v>Composition héritée</x:v>
      </x:c>
      <x:c r="D1656" t="str">
        <x:v>Énergie et communication</x:v>
      </x:c>
      <x:c r="E1656" t="str">
        <x:v>Ferme solaire — Zone industrielle / relais temporaire envisagé</x:v>
      </x:c>
      <x:c r="F1656" t="n">
        <x:v>8</x:v>
      </x:c>
      <x:c r="G1656" t="n">
        <x:v>4</x:v>
      </x:c>
      <x:c r="H1656" t="n">
        <x:v>12</x:v>
      </x:c>
      <x:c r="I1656" t="str">
        <x:v>À qualifier par lieu</x:v>
      </x:c>
      <x:c r="J1656" t="str">
        <x:v>https://github.com/darknigthmare/deadwall-last-enclosure/blob/e28f46223e73105ab2c5d83f3d50b99b58ef53e6/codex-3000/compositions/Énergie et communication/DW-1651.md</x:v>
      </x:c>
      <x:c r="K1656" t="str">
        <x:v>Source min 24,18 m ; max 260,180 m ; modèle 25 × 18 m ; niveaux 0. Détails dans catalogue-existant.json.</x:v>
      </x:c>
    </x:row>
    <x:row r="1657">
      <x:c r="A1657" t="str">
        <x:v>DW-1652</x:v>
      </x:c>
      <x:c r="B1657" t="str">
        <x:v>DW-0326</x:v>
      </x:c>
      <x:c r="C1657" t="str">
        <x:v>Composition héritée</x:v>
      </x:c>
      <x:c r="D1657" t="str">
        <x:v>Énergie et communication</x:v>
      </x:c>
      <x:c r="E1657" t="str">
        <x:v>Ferme solaire — Montagne et col / évacuation interrompue</x:v>
      </x:c>
      <x:c r="F1657" t="n">
        <x:v>10</x:v>
      </x:c>
      <x:c r="G1657" t="n">
        <x:v>4</x:v>
      </x:c>
      <x:c r="H1657" t="n">
        <x:v>12</x:v>
      </x:c>
      <x:c r="I1657" t="str">
        <x:v>À qualifier par lieu</x:v>
      </x:c>
      <x:c r="J1657" t="str">
        <x:v>https://github.com/darknigthmare/deadwall-last-enclosure/blob/e28f46223e73105ab2c5d83f3d50b99b58ef53e6/codex-3000/compositions/Énergie et communication/DW-1652.md</x:v>
      </x:c>
      <x:c r="K1657" t="str">
        <x:v>Source min 24,18 m ; max 260,180 m ; modèle 25 × 18 m ; niveaux 0. Détails dans catalogue-existant.json.</x:v>
      </x:c>
    </x:row>
    <x:row r="1658">
      <x:c r="A1658" t="str">
        <x:v>DW-1653</x:v>
      </x:c>
      <x:c r="B1658" t="str">
        <x:v>DW-0327</x:v>
      </x:c>
      <x:c r="C1658" t="str">
        <x:v>Composition héritée</x:v>
      </x:c>
      <x:c r="D1658" t="str">
        <x:v>Énergie et communication</x:v>
      </x:c>
      <x:c r="E1658" t="str">
        <x:v>Parc éolien — Ville moyenne / réseau principal coupé</x:v>
      </x:c>
      <x:c r="F1658" t="n">
        <x:v>8</x:v>
      </x:c>
      <x:c r="G1658" t="n">
        <x:v>4</x:v>
      </x:c>
      <x:c r="H1658" t="n">
        <x:v>12</x:v>
      </x:c>
      <x:c r="I1658" t="str">
        <x:v>À qualifier par lieu</x:v>
      </x:c>
      <x:c r="J1658" t="str">
        <x:v>https://github.com/darknigthmare/deadwall-last-enclosure/blob/e28f46223e73105ab2c5d83f3d50b99b58ef53e6/codex-3000/compositions/Énergie et communication/DW-1653.md</x:v>
      </x:c>
      <x:c r="K1658" t="str">
        <x:v>Source min 24,18 m ; max 260,180 m ; modèle 25 × 18 m ; niveaux 0. Détails dans catalogue-existant.json.</x:v>
      </x:c>
    </x:row>
    <x:row r="1659">
      <x:c r="A1659" t="str">
        <x:v>DW-1654</x:v>
      </x:c>
      <x:c r="B1659" t="str">
        <x:v>DW-0327</x:v>
      </x:c>
      <x:c r="C1659" t="str">
        <x:v>Composition héritée</x:v>
      </x:c>
      <x:c r="D1659" t="str">
        <x:v>Énergie et communication</x:v>
      </x:c>
      <x:c r="E1659" t="str">
        <x:v>Parc éolien — Production et distribution électrique / arrêt de maintenance</x:v>
      </x:c>
      <x:c r="F1659" t="n">
        <x:v>8</x:v>
      </x:c>
      <x:c r="G1659" t="n">
        <x:v>4</x:v>
      </x:c>
      <x:c r="H1659" t="n">
        <x:v>12</x:v>
      </x:c>
      <x:c r="I1659" t="str">
        <x:v>À qualifier par lieu</x:v>
      </x:c>
      <x:c r="J1659" t="str">
        <x:v>https://github.com/darknigthmare/deadwall-last-enclosure/blob/e28f46223e73105ab2c5d83f3d50b99b58ef53e6/codex-3000/compositions/Énergie et communication/DW-1654.md</x:v>
      </x:c>
      <x:c r="K1659" t="str">
        <x:v>Source min 24,18 m ; max 260,180 m ; modèle 25 × 18 m ; niveaux 0. Détails dans catalogue-existant.json.</x:v>
      </x:c>
    </x:row>
    <x:row r="1660">
      <x:c r="A1660" t="str">
        <x:v>DW-1655</x:v>
      </x:c>
      <x:c r="B1660" t="str">
        <x:v>DW-0328</x:v>
      </x:c>
      <x:c r="C1660" t="str">
        <x:v>Composition héritée</x:v>
      </x:c>
      <x:c r="D1660" t="str">
        <x:v>Énergie et communication</x:v>
      </x:c>
      <x:c r="E1660" t="str">
        <x:v>Chaufferie urbaine — Montagne et col / repli organisé interrompu</x:v>
      </x:c>
      <x:c r="F1660" t="n">
        <x:v>10</x:v>
      </x:c>
      <x:c r="G1660" t="n">
        <x:v>4</x:v>
      </x:c>
      <x:c r="H1660" t="n">
        <x:v>12</x:v>
      </x:c>
      <x:c r="I1660" t="str">
        <x:v>À qualifier par lieu</x:v>
      </x:c>
      <x:c r="J1660" t="str">
        <x:v>https://github.com/darknigthmare/deadwall-last-enclosure/blob/e28f46223e73105ab2c5d83f3d50b99b58ef53e6/codex-3000/compositions/Énergie et communication/DW-1655.md</x:v>
      </x:c>
      <x:c r="K1660" t="str">
        <x:v>Source min 24,18 m ; max 260,180 m ; modèle 25 × 18 m ; niveaux 0. Détails dans catalogue-existant.json.</x:v>
      </x:c>
    </x:row>
    <x:row r="1661">
      <x:c r="A1661" t="str">
        <x:v>DW-1656</x:v>
      </x:c>
      <x:c r="B1661" t="str">
        <x:v>DW-0328</x:v>
      </x:c>
      <x:c r="C1661" t="str">
        <x:v>Composition héritée</x:v>
      </x:c>
      <x:c r="D1661" t="str">
        <x:v>Énergie et communication</x:v>
      </x:c>
      <x:c r="E1661" t="str">
        <x:v>Chaufferie urbaine — Zone industrielle / première récupération passée</x:v>
      </x:c>
      <x:c r="F1661" t="n">
        <x:v>8</x:v>
      </x:c>
      <x:c r="G1661" t="n">
        <x:v>4</x:v>
      </x:c>
      <x:c r="H1661" t="n">
        <x:v>12</x:v>
      </x:c>
      <x:c r="I1661" t="str">
        <x:v>À qualifier par lieu</x:v>
      </x:c>
      <x:c r="J1661" t="str">
        <x:v>https://github.com/darknigthmare/deadwall-last-enclosure/blob/e28f46223e73105ab2c5d83f3d50b99b58ef53e6/codex-3000/compositions/Énergie et communication/DW-1656.md</x:v>
      </x:c>
      <x:c r="K1661" t="str">
        <x:v>Source min 24,18 m ; max 260,180 m ; modèle 25 × 18 m ; niveaux 0. Détails dans catalogue-existant.json.</x:v>
      </x:c>
    </x:row>
    <x:row r="1662">
      <x:c r="A1662" t="str">
        <x:v>DW-1657</x:v>
      </x:c>
      <x:c r="B1662" t="str">
        <x:v>DW-0329</x:v>
      </x:c>
      <x:c r="C1662" t="str">
        <x:v>Composition héritée</x:v>
      </x:c>
      <x:c r="D1662" t="str">
        <x:v>Énergie et communication</x:v>
      </x:c>
      <x:c r="E1662" t="str">
        <x:v>Chaufferie biomasse — Production et distribution électrique / évacuation interrompue</x:v>
      </x:c>
      <x:c r="F1662" t="n">
        <x:v>8</x:v>
      </x:c>
      <x:c r="G1662" t="n">
        <x:v>4</x:v>
      </x:c>
      <x:c r="H1662" t="n">
        <x:v>12</x:v>
      </x:c>
      <x:c r="I1662" t="str">
        <x:v>À qualifier par lieu</x:v>
      </x:c>
      <x:c r="J1662" t="str">
        <x:v>https://github.com/darknigthmare/deadwall-last-enclosure/blob/e28f46223e73105ab2c5d83f3d50b99b58ef53e6/codex-3000/compositions/Énergie et communication/DW-1657.md</x:v>
      </x:c>
      <x:c r="K1662" t="str">
        <x:v>Source min 24,18 m ; max 260,180 m ; modèle 25 × 18 m ; niveaux 0. Détails dans catalogue-existant.json.</x:v>
      </x:c>
    </x:row>
    <x:row r="1663">
      <x:c r="A1663" t="str">
        <x:v>DW-1658</x:v>
      </x:c>
      <x:c r="B1663" t="str">
        <x:v>DW-0329</x:v>
      </x:c>
      <x:c r="C1663" t="str">
        <x:v>Composition héritée</x:v>
      </x:c>
      <x:c r="D1663" t="str">
        <x:v>Énergie et communication</x:v>
      </x:c>
      <x:c r="E1663" t="str">
        <x:v>Chaufferie biomasse — Ville moyenne / service déplacé à l’arrière</x:v>
      </x:c>
      <x:c r="F1663" t="n">
        <x:v>8</x:v>
      </x:c>
      <x:c r="G1663" t="n">
        <x:v>4</x:v>
      </x:c>
      <x:c r="H1663" t="n">
        <x:v>12</x:v>
      </x:c>
      <x:c r="I1663" t="str">
        <x:v>À qualifier par lieu</x:v>
      </x:c>
      <x:c r="J1663" t="str">
        <x:v>https://github.com/darknigthmare/deadwall-last-enclosure/blob/e28f46223e73105ab2c5d83f3d50b99b58ef53e6/codex-3000/compositions/Énergie et communication/DW-1658.md</x:v>
      </x:c>
      <x:c r="K1663" t="str">
        <x:v>Source min 24,18 m ; max 260,180 m ; modèle 25 × 18 m ; niveaux 0. Détails dans catalogue-existant.json.</x:v>
      </x:c>
    </x:row>
    <x:row r="1664">
      <x:c r="A1664" t="str">
        <x:v>DW-1659</x:v>
      </x:c>
      <x:c r="B1664" t="str">
        <x:v>DW-0330</x:v>
      </x:c>
      <x:c r="C1664" t="str">
        <x:v>Composition héritée</x:v>
      </x:c>
      <x:c r="D1664" t="str">
        <x:v>Énergie et communication</x:v>
      </x:c>
      <x:c r="E1664" t="str">
        <x:v>Station de cogénération — Zone industrielle / arrêt de maintenance</x:v>
      </x:c>
      <x:c r="F1664" t="n">
        <x:v>8</x:v>
      </x:c>
      <x:c r="G1664" t="n">
        <x:v>4</x:v>
      </x:c>
      <x:c r="H1664" t="n">
        <x:v>12</x:v>
      </x:c>
      <x:c r="I1664" t="str">
        <x:v>À qualifier par lieu</x:v>
      </x:c>
      <x:c r="J1664" t="str">
        <x:v>https://github.com/darknigthmare/deadwall-last-enclosure/blob/e28f46223e73105ab2c5d83f3d50b99b58ef53e6/codex-3000/compositions/Énergie et communication/DW-1659.md</x:v>
      </x:c>
      <x:c r="K1664" t="str">
        <x:v>Source min 24,18 m ; max 260,180 m ; modèle 25 × 18 m ; niveaux 0. Détails dans catalogue-existant.json.</x:v>
      </x:c>
    </x:row>
    <x:row r="1665">
      <x:c r="A1665" t="str">
        <x:v>DW-1660</x:v>
      </x:c>
      <x:c r="B1665" t="str">
        <x:v>DW-0330</x:v>
      </x:c>
      <x:c r="C1665" t="str">
        <x:v>Composition héritée</x:v>
      </x:c>
      <x:c r="D1665" t="str">
        <x:v>Énergie et communication</x:v>
      </x:c>
      <x:c r="E1665" t="str">
        <x:v>Station de cogénération — Montagne et col / reprise progressive de la végétation</x:v>
      </x:c>
      <x:c r="F1665" t="n">
        <x:v>10</x:v>
      </x:c>
      <x:c r="G1665" t="n">
        <x:v>4</x:v>
      </x:c>
      <x:c r="H1665" t="n">
        <x:v>12</x:v>
      </x:c>
      <x:c r="I1665" t="str">
        <x:v>À qualifier par lieu</x:v>
      </x:c>
      <x:c r="J1665" t="str">
        <x:v>https://github.com/darknigthmare/deadwall-last-enclosure/blob/e28f46223e73105ab2c5d83f3d50b99b58ef53e6/codex-3000/compositions/Énergie et communication/DW-1660.md</x:v>
      </x:c>
      <x:c r="K1665" t="str">
        <x:v>Source min 24,18 m ; max 260,180 m ; modèle 25 × 18 m ; niveaux 0. Détails dans catalogue-existant.json.</x:v>
      </x:c>
    </x:row>
    <x:row r="1666">
      <x:c r="A1666" t="str">
        <x:v>DW-1661</x:v>
      </x:c>
      <x:c r="B1666" t="str">
        <x:v>DW-0331</x:v>
      </x:c>
      <x:c r="C1666" t="str">
        <x:v>Composition héritée</x:v>
      </x:c>
      <x:c r="D1666" t="str">
        <x:v>Énergie et communication</x:v>
      </x:c>
      <x:c r="E1666" t="str">
        <x:v>Local groupe électrogène — Ville moyenne / première récupération passée</x:v>
      </x:c>
      <x:c r="F1666" t="n">
        <x:v>8</x:v>
      </x:c>
      <x:c r="G1666" t="n">
        <x:v>4</x:v>
      </x:c>
      <x:c r="H1666" t="n">
        <x:v>12</x:v>
      </x:c>
      <x:c r="I1666" t="str">
        <x:v>À qualifier par lieu</x:v>
      </x:c>
      <x:c r="J1666" t="str">
        <x:v>https://github.com/darknigthmare/deadwall-last-enclosure/blob/e28f46223e73105ab2c5d83f3d50b99b58ef53e6/codex-3000/compositions/Énergie et communication/DW-1661.md</x:v>
      </x:c>
      <x:c r="K1666" t="str">
        <x:v>Source min 24,18 m ; max 260,180 m ; modèle 25 × 18 m ; niveaux 0. Détails dans catalogue-existant.json.</x:v>
      </x:c>
    </x:row>
    <x:row r="1667">
      <x:c r="A1667" t="str">
        <x:v>DW-1662</x:v>
      </x:c>
      <x:c r="B1667" t="str">
        <x:v>DW-0331</x:v>
      </x:c>
      <x:c r="C1667" t="str">
        <x:v>Composition héritée</x:v>
      </x:c>
      <x:c r="D1667" t="str">
        <x:v>Énergie et communication</x:v>
      </x:c>
      <x:c r="E1667" t="str">
        <x:v>Local groupe électrogène — Production et distribution électrique / relais temporaire envisagé</x:v>
      </x:c>
      <x:c r="F1667" t="n">
        <x:v>8</x:v>
      </x:c>
      <x:c r="G1667" t="n">
        <x:v>4</x:v>
      </x:c>
      <x:c r="H1667" t="n">
        <x:v>12</x:v>
      </x:c>
      <x:c r="I1667" t="str">
        <x:v>À qualifier par lieu</x:v>
      </x:c>
      <x:c r="J1667" t="str">
        <x:v>https://github.com/darknigthmare/deadwall-last-enclosure/blob/e28f46223e73105ab2c5d83f3d50b99b58ef53e6/codex-3000/compositions/Énergie et communication/DW-1662.md</x:v>
      </x:c>
      <x:c r="K1667" t="str">
        <x:v>Source min 24,18 m ; max 260,180 m ; modèle 25 × 18 m ; niveaux 0. Détails dans catalogue-existant.json.</x:v>
      </x:c>
    </x:row>
    <x:row r="1668">
      <x:c r="A1668" t="str">
        <x:v>DW-1663</x:v>
      </x:c>
      <x:c r="B1668" t="str">
        <x:v>DW-0332</x:v>
      </x:c>
      <x:c r="C1668" t="str">
        <x:v>Composition héritée</x:v>
      </x:c>
      <x:c r="D1668" t="str">
        <x:v>Énergie et communication</x:v>
      </x:c>
      <x:c r="E1668" t="str">
        <x:v>Réserve civile de batteries — Montagne et col / service déplacé à l’arrière</x:v>
      </x:c>
      <x:c r="F1668" t="n">
        <x:v>10</x:v>
      </x:c>
      <x:c r="G1668" t="n">
        <x:v>4</x:v>
      </x:c>
      <x:c r="H1668" t="n">
        <x:v>12</x:v>
      </x:c>
      <x:c r="I1668" t="str">
        <x:v>À qualifier par lieu</x:v>
      </x:c>
      <x:c r="J1668" t="str">
        <x:v>https://github.com/darknigthmare/deadwall-last-enclosure/blob/e28f46223e73105ab2c5d83f3d50b99b58ef53e6/codex-3000/compositions/Énergie et communication/DW-1663.md</x:v>
      </x:c>
      <x:c r="K1668" t="str">
        <x:v>Source min 24,18 m ; max 260,180 m ; modèle 25 × 18 m ; niveaux 0. Détails dans catalogue-existant.json.</x:v>
      </x:c>
    </x:row>
    <x:row r="1669">
      <x:c r="A1669" t="str">
        <x:v>DW-1664</x:v>
      </x:c>
      <x:c r="B1669" t="str">
        <x:v>DW-0332</x:v>
      </x:c>
      <x:c r="C1669" t="str">
        <x:v>Composition héritée</x:v>
      </x:c>
      <x:c r="D1669" t="str">
        <x:v>Énergie et communication</x:v>
      </x:c>
      <x:c r="E1669" t="str">
        <x:v>Réserve civile de batteries — Zone industrielle / réseau principal coupé</x:v>
      </x:c>
      <x:c r="F1669" t="n">
        <x:v>8</x:v>
      </x:c>
      <x:c r="G1669" t="n">
        <x:v>4</x:v>
      </x:c>
      <x:c r="H1669" t="n">
        <x:v>12</x:v>
      </x:c>
      <x:c r="I1669" t="str">
        <x:v>À qualifier par lieu</x:v>
      </x:c>
      <x:c r="J1669" t="str">
        <x:v>https://github.com/darknigthmare/deadwall-last-enclosure/blob/e28f46223e73105ab2c5d83f3d50b99b58ef53e6/codex-3000/compositions/Énergie et communication/DW-1664.md</x:v>
      </x:c>
      <x:c r="K1669" t="str">
        <x:v>Source min 24,18 m ; max 260,180 m ; modèle 25 × 18 m ; niveaux 0. Détails dans catalogue-existant.json.</x:v>
      </x:c>
    </x:row>
    <x:row r="1670">
      <x:c r="A1670" t="str">
        <x:v>DW-1665</x:v>
      </x:c>
      <x:c r="B1670" t="str">
        <x:v>DW-0333</x:v>
      </x:c>
      <x:c r="C1670" t="str">
        <x:v>Composition héritée</x:v>
      </x:c>
      <x:c r="D1670" t="str">
        <x:v>Énergie et communication</x:v>
      </x:c>
      <x:c r="E1670" t="str">
        <x:v>Tour de télécommunication — Production et distribution électrique / reprise progressive de la végétation</x:v>
      </x:c>
      <x:c r="F1670" t="n">
        <x:v>8</x:v>
      </x:c>
      <x:c r="G1670" t="n">
        <x:v>3</x:v>
      </x:c>
      <x:c r="H1670" t="n">
        <x:v>9</x:v>
      </x:c>
      <x:c r="I1670" t="str">
        <x:v>À qualifier par lieu</x:v>
      </x:c>
      <x:c r="J1670" t="str">
        <x:v>https://github.com/darknigthmare/deadwall-last-enclosure/blob/e28f46223e73105ab2c5d83f3d50b99b58ef53e6/codex-3000/compositions/Énergie et communication/DW-1665.md</x:v>
      </x:c>
      <x:c r="K1670" t="str">
        <x:v>Source min 24,18 m ; max 260,180 m ; modèle 24 × 18 m ; niveaux 0. Détails dans catalogue-existant.json.</x:v>
      </x:c>
    </x:row>
    <x:row r="1671">
      <x:c r="A1671" t="str">
        <x:v>DW-1666</x:v>
      </x:c>
      <x:c r="B1671" t="str">
        <x:v>DW-0333</x:v>
      </x:c>
      <x:c r="C1671" t="str">
        <x:v>Composition héritée</x:v>
      </x:c>
      <x:c r="D1671" t="str">
        <x:v>Énergie et communication</x:v>
      </x:c>
      <x:c r="E1671" t="str">
        <x:v>Tour de télécommunication — Ville moyenne / repli organisé interrompu</x:v>
      </x:c>
      <x:c r="F1671" t="n">
        <x:v>8</x:v>
      </x:c>
      <x:c r="G1671" t="n">
        <x:v>3</x:v>
      </x:c>
      <x:c r="H1671" t="n">
        <x:v>9</x:v>
      </x:c>
      <x:c r="I1671" t="str">
        <x:v>À qualifier par lieu</x:v>
      </x:c>
      <x:c r="J1671" t="str">
        <x:v>https://github.com/darknigthmare/deadwall-last-enclosure/blob/e28f46223e73105ab2c5d83f3d50b99b58ef53e6/codex-3000/compositions/Énergie et communication/DW-1666.md</x:v>
      </x:c>
      <x:c r="K1671" t="str">
        <x:v>Source min 24,18 m ; max 260,180 m ; modèle 24 × 18 m ; niveaux 0. Détails dans catalogue-existant.json.</x:v>
      </x:c>
    </x:row>
    <x:row r="1672">
      <x:c r="A1672" t="str">
        <x:v>DW-1667</x:v>
      </x:c>
      <x:c r="B1672" t="str">
        <x:v>DW-0334</x:v>
      </x:c>
      <x:c r="C1672" t="str">
        <x:v>Composition héritée</x:v>
      </x:c>
      <x:c r="D1672" t="str">
        <x:v>Énergie et communication</x:v>
      </x:c>
      <x:c r="E1672" t="str">
        <x:v>Relais radio rural — Zone industrielle / relais temporaire envisagé</x:v>
      </x:c>
      <x:c r="F1672" t="n">
        <x:v>8</x:v>
      </x:c>
      <x:c r="G1672" t="n">
        <x:v>4</x:v>
      </x:c>
      <x:c r="H1672" t="n">
        <x:v>12</x:v>
      </x:c>
      <x:c r="I1672" t="str">
        <x:v>À qualifier par lieu</x:v>
      </x:c>
      <x:c r="J1672" t="str">
        <x:v>https://github.com/darknigthmare/deadwall-last-enclosure/blob/e28f46223e73105ab2c5d83f3d50b99b58ef53e6/codex-3000/compositions/Énergie et communication/DW-1667.md</x:v>
      </x:c>
      <x:c r="K1672" t="str">
        <x:v>Source min 24,18 m ; max 260,180 m ; modèle 25 × 18 m ; niveaux 0. Détails dans catalogue-existant.json.</x:v>
      </x:c>
    </x:row>
    <x:row r="1673">
      <x:c r="A1673" t="str">
        <x:v>DW-1668</x:v>
      </x:c>
      <x:c r="B1673" t="str">
        <x:v>DW-0334</x:v>
      </x:c>
      <x:c r="C1673" t="str">
        <x:v>Composition héritée</x:v>
      </x:c>
      <x:c r="D1673" t="str">
        <x:v>Énergie et communication</x:v>
      </x:c>
      <x:c r="E1673" t="str">
        <x:v>Relais radio rural — Montagne et col / évacuation interrompue</x:v>
      </x:c>
      <x:c r="F1673" t="n">
        <x:v>10</x:v>
      </x:c>
      <x:c r="G1673" t="n">
        <x:v>4</x:v>
      </x:c>
      <x:c r="H1673" t="n">
        <x:v>12</x:v>
      </x:c>
      <x:c r="I1673" t="str">
        <x:v>À qualifier par lieu</x:v>
      </x:c>
      <x:c r="J1673" t="str">
        <x:v>https://github.com/darknigthmare/deadwall-last-enclosure/blob/e28f46223e73105ab2c5d83f3d50b99b58ef53e6/codex-3000/compositions/Énergie et communication/DW-1668.md</x:v>
      </x:c>
      <x:c r="K1673" t="str">
        <x:v>Source min 24,18 m ; max 260,180 m ; modèle 25 × 18 m ; niveaux 0. Détails dans catalogue-existant.json.</x:v>
      </x:c>
    </x:row>
    <x:row r="1674">
      <x:c r="A1674" t="str">
        <x:v>DW-1669</x:v>
      </x:c>
      <x:c r="B1674" t="str">
        <x:v>DW-0335</x:v>
      </x:c>
      <x:c r="C1674" t="str">
        <x:v>Composition héritée</x:v>
      </x:c>
      <x:c r="D1674" t="str">
        <x:v>Énergie et communication</x:v>
      </x:c>
      <x:c r="E1674" t="str">
        <x:v>Central téléphonique — Ville moyenne / réseau principal coupé</x:v>
      </x:c>
      <x:c r="F1674" t="n">
        <x:v>8</x:v>
      </x:c>
      <x:c r="G1674" t="n">
        <x:v>4</x:v>
      </x:c>
      <x:c r="H1674" t="n">
        <x:v>12</x:v>
      </x:c>
      <x:c r="I1674" t="str">
        <x:v>À qualifier par lieu</x:v>
      </x:c>
      <x:c r="J1674" t="str">
        <x:v>https://github.com/darknigthmare/deadwall-last-enclosure/blob/e28f46223e73105ab2c5d83f3d50b99b58ef53e6/codex-3000/compositions/Énergie et communication/DW-1669.md</x:v>
      </x:c>
      <x:c r="K1674" t="str">
        <x:v>Source min 24,18 m ; max 260,180 m ; modèle 25 × 18 m ; niveaux 0. Détails dans catalogue-existant.json.</x:v>
      </x:c>
    </x:row>
    <x:row r="1675">
      <x:c r="A1675" t="str">
        <x:v>DW-1670</x:v>
      </x:c>
      <x:c r="B1675" t="str">
        <x:v>DW-0335</x:v>
      </x:c>
      <x:c r="C1675" t="str">
        <x:v>Composition héritée</x:v>
      </x:c>
      <x:c r="D1675" t="str">
        <x:v>Énergie et communication</x:v>
      </x:c>
      <x:c r="E1675" t="str">
        <x:v>Central téléphonique — Production et distribution électrique / arrêt de maintenance</x:v>
      </x:c>
      <x:c r="F1675" t="n">
        <x:v>8</x:v>
      </x:c>
      <x:c r="G1675" t="n">
        <x:v>4</x:v>
      </x:c>
      <x:c r="H1675" t="n">
        <x:v>12</x:v>
      </x:c>
      <x:c r="I1675" t="str">
        <x:v>À qualifier par lieu</x:v>
      </x:c>
      <x:c r="J1675" t="str">
        <x:v>https://github.com/darknigthmare/deadwall-last-enclosure/blob/e28f46223e73105ab2c5d83f3d50b99b58ef53e6/codex-3000/compositions/Énergie et communication/DW-1670.md</x:v>
      </x:c>
      <x:c r="K1675" t="str">
        <x:v>Source min 24,18 m ; max 260,180 m ; modèle 25 × 18 m ; niveaux 0. Détails dans catalogue-existant.json.</x:v>
      </x:c>
    </x:row>
    <x:row r="1676">
      <x:c r="A1676" t="str">
        <x:v>DW-1671</x:v>
      </x:c>
      <x:c r="B1676" t="str">
        <x:v>DW-0336</x:v>
      </x:c>
      <x:c r="C1676" t="str">
        <x:v>Composition héritée</x:v>
      </x:c>
      <x:c r="D1676" t="str">
        <x:v>Énergie et communication</x:v>
      </x:c>
      <x:c r="E1676" t="str">
        <x:v>Centre de données — Montagne et col / repli organisé interrompu</x:v>
      </x:c>
      <x:c r="F1676" t="n">
        <x:v>10</x:v>
      </x:c>
      <x:c r="G1676" t="n">
        <x:v>4</x:v>
      </x:c>
      <x:c r="H1676" t="n">
        <x:v>12</x:v>
      </x:c>
      <x:c r="I1676" t="str">
        <x:v>À qualifier par lieu</x:v>
      </x:c>
      <x:c r="J1676" t="str">
        <x:v>https://github.com/darknigthmare/deadwall-last-enclosure/blob/e28f46223e73105ab2c5d83f3d50b99b58ef53e6/codex-3000/compositions/Énergie et communication/DW-1671.md</x:v>
      </x:c>
      <x:c r="K1676" t="str">
        <x:v>Source min 24,18 m ; max 260,180 m ; modèle 25 × 18 m ; niveaux 0. Détails dans catalogue-existant.json.</x:v>
      </x:c>
    </x:row>
    <x:row r="1677">
      <x:c r="A1677" t="str">
        <x:v>DW-1672</x:v>
      </x:c>
      <x:c r="B1677" t="str">
        <x:v>DW-0336</x:v>
      </x:c>
      <x:c r="C1677" t="str">
        <x:v>Composition héritée</x:v>
      </x:c>
      <x:c r="D1677" t="str">
        <x:v>Énergie et communication</x:v>
      </x:c>
      <x:c r="E1677" t="str">
        <x:v>Centre de données — Zone industrielle / première récupération passée</x:v>
      </x:c>
      <x:c r="F1677" t="n">
        <x:v>8</x:v>
      </x:c>
      <x:c r="G1677" t="n">
        <x:v>4</x:v>
      </x:c>
      <x:c r="H1677" t="n">
        <x:v>12</x:v>
      </x:c>
      <x:c r="I1677" t="str">
        <x:v>À qualifier par lieu</x:v>
      </x:c>
      <x:c r="J1677" t="str">
        <x:v>https://github.com/darknigthmare/deadwall-last-enclosure/blob/e28f46223e73105ab2c5d83f3d50b99b58ef53e6/codex-3000/compositions/Énergie et communication/DW-1672.md</x:v>
      </x:c>
      <x:c r="K1677" t="str">
        <x:v>Source min 24,18 m ; max 260,180 m ; modèle 25 × 18 m ; niveaux 0. Détails dans catalogue-existant.json.</x:v>
      </x:c>
    </x:row>
    <x:row r="1678">
      <x:c r="A1678" t="str">
        <x:v>DW-1673</x:v>
      </x:c>
      <x:c r="B1678" t="str">
        <x:v>DW-0337</x:v>
      </x:c>
      <x:c r="C1678" t="str">
        <x:v>Composition héritée</x:v>
      </x:c>
      <x:c r="D1678" t="str">
        <x:v>Énergie et communication</x:v>
      </x:c>
      <x:c r="E1678" t="str">
        <x:v>Station satellite fictive — Production et distribution électrique / évacuation interrompue</x:v>
      </x:c>
      <x:c r="F1678" t="n">
        <x:v>8</x:v>
      </x:c>
      <x:c r="G1678" t="n">
        <x:v>4</x:v>
      </x:c>
      <x:c r="H1678" t="n">
        <x:v>12</x:v>
      </x:c>
      <x:c r="I1678" t="str">
        <x:v>À qualifier par lieu</x:v>
      </x:c>
      <x:c r="J1678" t="str">
        <x:v>https://github.com/darknigthmare/deadwall-last-enclosure/blob/e28f46223e73105ab2c5d83f3d50b99b58ef53e6/codex-3000/compositions/Énergie et communication/DW-1673.md</x:v>
      </x:c>
      <x:c r="K1678" t="str">
        <x:v>Source min 24,18 m ; max 260,180 m ; modèle 25 × 18 m ; niveaux 0. Détails dans catalogue-existant.json.</x:v>
      </x:c>
    </x:row>
    <x:row r="1679">
      <x:c r="A1679" t="str">
        <x:v>DW-1674</x:v>
      </x:c>
      <x:c r="B1679" t="str">
        <x:v>DW-0337</x:v>
      </x:c>
      <x:c r="C1679" t="str">
        <x:v>Composition héritée</x:v>
      </x:c>
      <x:c r="D1679" t="str">
        <x:v>Énergie et communication</x:v>
      </x:c>
      <x:c r="E1679" t="str">
        <x:v>Station satellite fictive — Ville moyenne / service déplacé à l’arrière</x:v>
      </x:c>
      <x:c r="F1679" t="n">
        <x:v>8</x:v>
      </x:c>
      <x:c r="G1679" t="n">
        <x:v>4</x:v>
      </x:c>
      <x:c r="H1679" t="n">
        <x:v>12</x:v>
      </x:c>
      <x:c r="I1679" t="str">
        <x:v>À qualifier par lieu</x:v>
      </x:c>
      <x:c r="J1679" t="str">
        <x:v>https://github.com/darknigthmare/deadwall-last-enclosure/blob/e28f46223e73105ab2c5d83f3d50b99b58ef53e6/codex-3000/compositions/Énergie et communication/DW-1674.md</x:v>
      </x:c>
      <x:c r="K1679" t="str">
        <x:v>Source min 24,18 m ; max 260,180 m ; modèle 25 × 18 m ; niveaux 0. Détails dans catalogue-existant.json.</x:v>
      </x:c>
    </x:row>
    <x:row r="1680">
      <x:c r="A1680" t="str">
        <x:v>DW-1675</x:v>
      </x:c>
      <x:c r="B1680" t="str">
        <x:v>DW-0338</x:v>
      </x:c>
      <x:c r="C1680" t="str">
        <x:v>Composition héritée</x:v>
      </x:c>
      <x:c r="D1680" t="str">
        <x:v>Énergie et communication</x:v>
      </x:c>
      <x:c r="E1680" t="str">
        <x:v>Dépôt technique d'éclairage — Zone industrielle / arrêt de maintenance</x:v>
      </x:c>
      <x:c r="F1680" t="n">
        <x:v>8</x:v>
      </x:c>
      <x:c r="G1680" t="n">
        <x:v>4</x:v>
      </x:c>
      <x:c r="H1680" t="n">
        <x:v>12</x:v>
      </x:c>
      <x:c r="I1680" t="str">
        <x:v>À qualifier par lieu</x:v>
      </x:c>
      <x:c r="J1680" t="str">
        <x:v>https://github.com/darknigthmare/deadwall-last-enclosure/blob/e28f46223e73105ab2c5d83f3d50b99b58ef53e6/codex-3000/compositions/Énergie et communication/DW-1675.md</x:v>
      </x:c>
      <x:c r="K1680" t="str">
        <x:v>Source min 24,18 m ; max 260,180 m ; modèle 25 × 18 m ; niveaux 0. Détails dans catalogue-existant.json.</x:v>
      </x:c>
    </x:row>
    <x:row r="1681">
      <x:c r="A1681" t="str">
        <x:v>DW-1676</x:v>
      </x:c>
      <x:c r="B1681" t="str">
        <x:v>DW-0338</x:v>
      </x:c>
      <x:c r="C1681" t="str">
        <x:v>Composition héritée</x:v>
      </x:c>
      <x:c r="D1681" t="str">
        <x:v>Énergie et communication</x:v>
      </x:c>
      <x:c r="E1681" t="str">
        <x:v>Dépôt technique d'éclairage — Montagne et col / reprise progressive de la végétation</x:v>
      </x:c>
      <x:c r="F1681" t="n">
        <x:v>10</x:v>
      </x:c>
      <x:c r="G1681" t="n">
        <x:v>4</x:v>
      </x:c>
      <x:c r="H1681" t="n">
        <x:v>12</x:v>
      </x:c>
      <x:c r="I1681" t="str">
        <x:v>À qualifier par lieu</x:v>
      </x:c>
      <x:c r="J1681" t="str">
        <x:v>https://github.com/darknigthmare/deadwall-last-enclosure/blob/e28f46223e73105ab2c5d83f3d50b99b58ef53e6/codex-3000/compositions/Énergie et communication/DW-1676.md</x:v>
      </x:c>
      <x:c r="K1681" t="str">
        <x:v>Source min 24,18 m ; max 260,180 m ; modèle 25 × 18 m ; niveaux 0. Détails dans catalogue-existant.json.</x:v>
      </x:c>
    </x:row>
    <x:row r="1682">
      <x:c r="A1682" t="str">
        <x:v>DW-1677</x:v>
      </x:c>
      <x:c r="B1682" t="str">
        <x:v>DW-0339</x:v>
      </x:c>
      <x:c r="C1682" t="str">
        <x:v>Composition héritée</x:v>
      </x:c>
      <x:c r="D1682" t="str">
        <x:v>Énergie et communication</x:v>
      </x:c>
      <x:c r="E1682" t="str">
        <x:v>Usine à gaz désaffectée — Ville moyenne / première récupération passée</x:v>
      </x:c>
      <x:c r="F1682" t="n">
        <x:v>8</x:v>
      </x:c>
      <x:c r="G1682" t="n">
        <x:v>4</x:v>
      </x:c>
      <x:c r="H1682" t="n">
        <x:v>12</x:v>
      </x:c>
      <x:c r="I1682" t="str">
        <x:v>À qualifier par lieu</x:v>
      </x:c>
      <x:c r="J1682" t="str">
        <x:v>https://github.com/darknigthmare/deadwall-last-enclosure/blob/e28f46223e73105ab2c5d83f3d50b99b58ef53e6/codex-3000/compositions/Énergie et communication/DW-1677.md</x:v>
      </x:c>
      <x:c r="K1682" t="str">
        <x:v>Source min 24,18 m ; max 260,180 m ; modèle 25 × 18 m ; niveaux 0. Détails dans catalogue-existant.json.</x:v>
      </x:c>
    </x:row>
    <x:row r="1683">
      <x:c r="A1683" t="str">
        <x:v>DW-1678</x:v>
      </x:c>
      <x:c r="B1683" t="str">
        <x:v>DW-0339</x:v>
      </x:c>
      <x:c r="C1683" t="str">
        <x:v>Composition héritée</x:v>
      </x:c>
      <x:c r="D1683" t="str">
        <x:v>Énergie et communication</x:v>
      </x:c>
      <x:c r="E1683" t="str">
        <x:v>Usine à gaz désaffectée — Production et distribution électrique / relais temporaire envisagé</x:v>
      </x:c>
      <x:c r="F1683" t="n">
        <x:v>8</x:v>
      </x:c>
      <x:c r="G1683" t="n">
        <x:v>4</x:v>
      </x:c>
      <x:c r="H1683" t="n">
        <x:v>12</x:v>
      </x:c>
      <x:c r="I1683" t="str">
        <x:v>À qualifier par lieu</x:v>
      </x:c>
      <x:c r="J1683" t="str">
        <x:v>https://github.com/darknigthmare/deadwall-last-enclosure/blob/e28f46223e73105ab2c5d83f3d50b99b58ef53e6/codex-3000/compositions/Énergie et communication/DW-1678.md</x:v>
      </x:c>
      <x:c r="K1683" t="str">
        <x:v>Source min 24,18 m ; max 260,180 m ; modèle 25 × 18 m ; niveaux 0. Détails dans catalogue-existant.json.</x:v>
      </x:c>
    </x:row>
    <x:row r="1684">
      <x:c r="A1684" t="str">
        <x:v>DW-1679</x:v>
      </x:c>
      <x:c r="B1684" t="str">
        <x:v>DW-0340</x:v>
      </x:c>
      <x:c r="C1684" t="str">
        <x:v>Composition héritée</x:v>
      </x:c>
      <x:c r="D1684" t="str">
        <x:v>Énergie et communication</x:v>
      </x:c>
      <x:c r="E1684" t="str">
        <x:v>Station de recharge routière — Montagne et col / service déplacé à l’arrière</x:v>
      </x:c>
      <x:c r="F1684" t="n">
        <x:v>10</x:v>
      </x:c>
      <x:c r="G1684" t="n">
        <x:v>4</x:v>
      </x:c>
      <x:c r="H1684" t="n">
        <x:v>12</x:v>
      </x:c>
      <x:c r="I1684" t="str">
        <x:v>À qualifier par lieu</x:v>
      </x:c>
      <x:c r="J1684" t="str">
        <x:v>https://github.com/darknigthmare/deadwall-last-enclosure/blob/e28f46223e73105ab2c5d83f3d50b99b58ef53e6/codex-3000/compositions/Énergie et communication/DW-1679.md</x:v>
      </x:c>
      <x:c r="K1684" t="str">
        <x:v>Source min 24,18 m ; max 260,180 m ; modèle 25 × 18 m ; niveaux 0. Détails dans catalogue-existant.json.</x:v>
      </x:c>
    </x:row>
    <x:row r="1685">
      <x:c r="A1685" t="str">
        <x:v>DW-1680</x:v>
      </x:c>
      <x:c r="B1685" t="str">
        <x:v>DW-0340</x:v>
      </x:c>
      <x:c r="C1685" t="str">
        <x:v>Composition héritée</x:v>
      </x:c>
      <x:c r="D1685" t="str">
        <x:v>Énergie et communication</x:v>
      </x:c>
      <x:c r="E1685" t="str">
        <x:v>Station de recharge routière — Zone industrielle / réseau principal coupé</x:v>
      </x:c>
      <x:c r="F1685" t="n">
        <x:v>8</x:v>
      </x:c>
      <x:c r="G1685" t="n">
        <x:v>4</x:v>
      </x:c>
      <x:c r="H1685" t="n">
        <x:v>12</x:v>
      </x:c>
      <x:c r="I1685" t="str">
        <x:v>À qualifier par lieu</x:v>
      </x:c>
      <x:c r="J1685" t="str">
        <x:v>https://github.com/darknigthmare/deadwall-last-enclosure/blob/e28f46223e73105ab2c5d83f3d50b99b58ef53e6/codex-3000/compositions/Énergie et communication/DW-1680.md</x:v>
      </x:c>
      <x:c r="K1685" t="str">
        <x:v>Source min 24,18 m ; max 260,180 m ; modèle 25 × 18 m ; niveaux 0. Détails dans catalogue-existant.json.</x:v>
      </x:c>
    </x:row>
    <x:row r="1686">
      <x:c r="A1686" t="str">
        <x:v>DW-1681</x:v>
      </x:c>
      <x:c r="B1686" t="str">
        <x:v>DW-0341</x:v>
      </x:c>
      <x:c r="C1686" t="str">
        <x:v>Composition héritée</x:v>
      </x:c>
      <x:c r="D1686" t="str">
        <x:v>Eau et réseaux</x:v>
      </x:c>
      <x:c r="E1686" t="str">
        <x:v>Château d'eau — Pompage et services techniques / reprise progressive de la végétation</x:v>
      </x:c>
      <x:c r="F1686" t="n">
        <x:v>10</x:v>
      </x:c>
      <x:c r="G1686" t="n">
        <x:v>4</x:v>
      </x:c>
      <x:c r="H1686" t="n">
        <x:v>10</x:v>
      </x:c>
      <x:c r="I1686" t="str">
        <x:v>À qualifier par lieu</x:v>
      </x:c>
      <x:c r="J1686" t="str">
        <x:v>https://github.com/darknigthmare/deadwall-last-enclosure/blob/e28f46223e73105ab2c5d83f3d50b99b58ef53e6/codex-3000/compositions/Eau et réseaux/DW-1681.md</x:v>
      </x:c>
      <x:c r="K1686" t="str">
        <x:v>Source min 30,20 m ; max 240,180 m ; modèle 30 × 20 m ; niveaux 0. Détails dans catalogue-existant.json.</x:v>
      </x:c>
    </x:row>
    <x:row r="1687">
      <x:c r="A1687" t="str">
        <x:v>DW-1682</x:v>
      </x:c>
      <x:c r="B1687" t="str">
        <x:v>DW-0341</x:v>
      </x:c>
      <x:c r="C1687" t="str">
        <x:v>Composition héritée</x:v>
      </x:c>
      <x:c r="D1687" t="str">
        <x:v>Eau et réseaux</x:v>
      </x:c>
      <x:c r="E1687" t="str">
        <x:v>Château d'eau — Ville moyenne / repli organisé interrompu</x:v>
      </x:c>
      <x:c r="F1687" t="n">
        <x:v>10</x:v>
      </x:c>
      <x:c r="G1687" t="n">
        <x:v>4</x:v>
      </x:c>
      <x:c r="H1687" t="n">
        <x:v>10</x:v>
      </x:c>
      <x:c r="I1687" t="str">
        <x:v>À qualifier par lieu</x:v>
      </x:c>
      <x:c r="J1687" t="str">
        <x:v>https://github.com/darknigthmare/deadwall-last-enclosure/blob/e28f46223e73105ab2c5d83f3d50b99b58ef53e6/codex-3000/compositions/Eau et réseaux/DW-1682.md</x:v>
      </x:c>
      <x:c r="K1687" t="str">
        <x:v>Source min 30,20 m ; max 240,180 m ; modèle 30 × 20 m ; niveaux 0. Détails dans catalogue-existant.json.</x:v>
      </x:c>
    </x:row>
    <x:row r="1688">
      <x:c r="A1688" t="str">
        <x:v>DW-1683</x:v>
      </x:c>
      <x:c r="B1688" t="str">
        <x:v>DW-0342</x:v>
      </x:c>
      <x:c r="C1688" t="str">
        <x:v>Composition héritée</x:v>
      </x:c>
      <x:c r="D1688" t="str">
        <x:v>Eau et réseaux</x:v>
      </x:c>
      <x:c r="E1688" t="str">
        <x:v>Station de pompage — Rivière, berges et gué / relais temporaire envisagé</x:v>
      </x:c>
      <x:c r="F1688" t="n">
        <x:v>10</x:v>
      </x:c>
      <x:c r="G1688" t="n">
        <x:v>4</x:v>
      </x:c>
      <x:c r="H1688" t="n">
        <x:v>12</x:v>
      </x:c>
      <x:c r="I1688" t="str">
        <x:v>À qualifier par lieu</x:v>
      </x:c>
      <x:c r="J1688" t="str">
        <x:v>https://github.com/darknigthmare/deadwall-last-enclosure/blob/e28f46223e73105ab2c5d83f3d50b99b58ef53e6/codex-3000/compositions/Eau et réseaux/DW-1683.md</x:v>
      </x:c>
      <x:c r="K1688" t="str">
        <x:v>Source min 30,20 m ; max 240,180 m ; modèle 30 × 20 m ; niveaux 0. Détails dans catalogue-existant.json.</x:v>
      </x:c>
    </x:row>
    <x:row r="1689">
      <x:c r="A1689" t="str">
        <x:v>DW-1684</x:v>
      </x:c>
      <x:c r="B1689" t="str">
        <x:v>DW-0342</x:v>
      </x:c>
      <x:c r="C1689" t="str">
        <x:v>Composition héritée</x:v>
      </x:c>
      <x:c r="D1689" t="str">
        <x:v>Eau et réseaux</x:v>
      </x:c>
      <x:c r="E1689" t="str">
        <x:v>Station de pompage — Zone industrielle / évacuation interrompue</x:v>
      </x:c>
      <x:c r="F1689" t="n">
        <x:v>10</x:v>
      </x:c>
      <x:c r="G1689" t="n">
        <x:v>4</x:v>
      </x:c>
      <x:c r="H1689" t="n">
        <x:v>12</x:v>
      </x:c>
      <x:c r="I1689" t="str">
        <x:v>À qualifier par lieu</x:v>
      </x:c>
      <x:c r="J1689" t="str">
        <x:v>https://github.com/darknigthmare/deadwall-last-enclosure/blob/e28f46223e73105ab2c5d83f3d50b99b58ef53e6/codex-3000/compositions/Eau et réseaux/DW-1684.md</x:v>
      </x:c>
      <x:c r="K1689" t="str">
        <x:v>Source min 30,20 m ; max 240,180 m ; modèle 30 × 20 m ; niveaux 0. Détails dans catalogue-existant.json.</x:v>
      </x:c>
    </x:row>
    <x:row r="1690">
      <x:c r="A1690" t="str">
        <x:v>DW-1685</x:v>
      </x:c>
      <x:c r="B1690" t="str">
        <x:v>DW-0343</x:v>
      </x:c>
      <x:c r="C1690" t="str">
        <x:v>Composition héritée</x:v>
      </x:c>
      <x:c r="D1690" t="str">
        <x:v>Eau et réseaux</x:v>
      </x:c>
      <x:c r="E1690" t="str">
        <x:v>Usine de traitement d'eau — Ville moyenne / réseau principal coupé</x:v>
      </x:c>
      <x:c r="F1690" t="n">
        <x:v>10</x:v>
      </x:c>
      <x:c r="G1690" t="n">
        <x:v>4</x:v>
      </x:c>
      <x:c r="H1690" t="n">
        <x:v>12</x:v>
      </x:c>
      <x:c r="I1690" t="str">
        <x:v>À qualifier par lieu</x:v>
      </x:c>
      <x:c r="J1690" t="str">
        <x:v>https://github.com/darknigthmare/deadwall-last-enclosure/blob/e28f46223e73105ab2c5d83f3d50b99b58ef53e6/codex-3000/compositions/Eau et réseaux/DW-1685.md</x:v>
      </x:c>
      <x:c r="K1690" t="str">
        <x:v>Source min 30,20 m ; max 240,180 m ; modèle 30 × 20 m ; niveaux 0. Détails dans catalogue-existant.json.</x:v>
      </x:c>
    </x:row>
    <x:row r="1691">
      <x:c r="A1691" t="str">
        <x:v>DW-1686</x:v>
      </x:c>
      <x:c r="B1691" t="str">
        <x:v>DW-0343</x:v>
      </x:c>
      <x:c r="C1691" t="str">
        <x:v>Composition héritée</x:v>
      </x:c>
      <x:c r="D1691" t="str">
        <x:v>Eau et réseaux</x:v>
      </x:c>
      <x:c r="E1691" t="str">
        <x:v>Usine de traitement d'eau — Pompage et services techniques / arrêt de maintenance</x:v>
      </x:c>
      <x:c r="F1691" t="n">
        <x:v>10</x:v>
      </x:c>
      <x:c r="G1691" t="n">
        <x:v>4</x:v>
      </x:c>
      <x:c r="H1691" t="n">
        <x:v>12</x:v>
      </x:c>
      <x:c r="I1691" t="str">
        <x:v>À qualifier par lieu</x:v>
      </x:c>
      <x:c r="J1691" t="str">
        <x:v>https://github.com/darknigthmare/deadwall-last-enclosure/blob/e28f46223e73105ab2c5d83f3d50b99b58ef53e6/codex-3000/compositions/Eau et réseaux/DW-1686.md</x:v>
      </x:c>
      <x:c r="K1691" t="str">
        <x:v>Source min 30,20 m ; max 240,180 m ; modèle 30 × 20 m ; niveaux 0. Détails dans catalogue-existant.json.</x:v>
      </x:c>
    </x:row>
    <x:row r="1692">
      <x:c r="A1692" t="str">
        <x:v>DW-1687</x:v>
      </x:c>
      <x:c r="B1692" t="str">
        <x:v>DW-0344</x:v>
      </x:c>
      <x:c r="C1692" t="str">
        <x:v>Composition héritée</x:v>
      </x:c>
      <x:c r="D1692" t="str">
        <x:v>Eau et réseaux</x:v>
      </x:c>
      <x:c r="E1692" t="str">
        <x:v>Station d'épuration — Zone industrielle / repli organisé interrompu</x:v>
      </x:c>
      <x:c r="F1692" t="n">
        <x:v>10</x:v>
      </x:c>
      <x:c r="G1692" t="n">
        <x:v>4</x:v>
      </x:c>
      <x:c r="H1692" t="n">
        <x:v>12</x:v>
      </x:c>
      <x:c r="I1692" t="str">
        <x:v>À qualifier par lieu</x:v>
      </x:c>
      <x:c r="J1692" t="str">
        <x:v>https://github.com/darknigthmare/deadwall-last-enclosure/blob/e28f46223e73105ab2c5d83f3d50b99b58ef53e6/codex-3000/compositions/Eau et réseaux/DW-1687.md</x:v>
      </x:c>
      <x:c r="K1692" t="str">
        <x:v>Source min 30,20 m ; max 240,180 m ; modèle 30 × 20 m ; niveaux 0. Détails dans catalogue-existant.json.</x:v>
      </x:c>
    </x:row>
    <x:row r="1693">
      <x:c r="A1693" t="str">
        <x:v>DW-1688</x:v>
      </x:c>
      <x:c r="B1693" t="str">
        <x:v>DW-0344</x:v>
      </x:c>
      <x:c r="C1693" t="str">
        <x:v>Composition héritée</x:v>
      </x:c>
      <x:c r="D1693" t="str">
        <x:v>Eau et réseaux</x:v>
      </x:c>
      <x:c r="E1693" t="str">
        <x:v>Station d'épuration — Rivière, berges et gué / première récupération passée</x:v>
      </x:c>
      <x:c r="F1693" t="n">
        <x:v>10</x:v>
      </x:c>
      <x:c r="G1693" t="n">
        <x:v>4</x:v>
      </x:c>
      <x:c r="H1693" t="n">
        <x:v>12</x:v>
      </x:c>
      <x:c r="I1693" t="str">
        <x:v>À qualifier par lieu</x:v>
      </x:c>
      <x:c r="J1693" t="str">
        <x:v>https://github.com/darknigthmare/deadwall-last-enclosure/blob/e28f46223e73105ab2c5d83f3d50b99b58ef53e6/codex-3000/compositions/Eau et réseaux/DW-1688.md</x:v>
      </x:c>
      <x:c r="K1693" t="str">
        <x:v>Source min 30,20 m ; max 240,180 m ; modèle 30 × 20 m ; niveaux 0. Détails dans catalogue-existant.json.</x:v>
      </x:c>
    </x:row>
    <x:row r="1694">
      <x:c r="A1694" t="str">
        <x:v>DW-1689</x:v>
      </x:c>
      <x:c r="B1694" t="str">
        <x:v>DW-0345</x:v>
      </x:c>
      <x:c r="C1694" t="str">
        <x:v>Composition héritée</x:v>
      </x:c>
      <x:c r="D1694" t="str">
        <x:v>Eau et réseaux</x:v>
      </x:c>
      <x:c r="E1694" t="str">
        <x:v>Bassin d'orage — Pompage et services techniques / évacuation interrompue</x:v>
      </x:c>
      <x:c r="F1694" t="n">
        <x:v>10</x:v>
      </x:c>
      <x:c r="G1694" t="n">
        <x:v>4</x:v>
      </x:c>
      <x:c r="H1694" t="n">
        <x:v>12</x:v>
      </x:c>
      <x:c r="I1694" t="str">
        <x:v>À qualifier par lieu</x:v>
      </x:c>
      <x:c r="J1694" t="str">
        <x:v>https://github.com/darknigthmare/deadwall-last-enclosure/blob/e28f46223e73105ab2c5d83f3d50b99b58ef53e6/codex-3000/compositions/Eau et réseaux/DW-1689.md</x:v>
      </x:c>
      <x:c r="K1694" t="str">
        <x:v>Source min 30,20 m ; max 240,180 m ; modèle 30 × 20 m ; niveaux 0. Détails dans catalogue-existant.json.</x:v>
      </x:c>
    </x:row>
    <x:row r="1695">
      <x:c r="A1695" t="str">
        <x:v>DW-1690</x:v>
      </x:c>
      <x:c r="B1695" t="str">
        <x:v>DW-0345</x:v>
      </x:c>
      <x:c r="C1695" t="str">
        <x:v>Composition héritée</x:v>
      </x:c>
      <x:c r="D1695" t="str">
        <x:v>Eau et réseaux</x:v>
      </x:c>
      <x:c r="E1695" t="str">
        <x:v>Bassin d'orage — Ville moyenne / service déplacé à l’arrière</x:v>
      </x:c>
      <x:c r="F1695" t="n">
        <x:v>10</x:v>
      </x:c>
      <x:c r="G1695" t="n">
        <x:v>4</x:v>
      </x:c>
      <x:c r="H1695" t="n">
        <x:v>12</x:v>
      </x:c>
      <x:c r="I1695" t="str">
        <x:v>À qualifier par lieu</x:v>
      </x:c>
      <x:c r="J1695" t="str">
        <x:v>https://github.com/darknigthmare/deadwall-last-enclosure/blob/e28f46223e73105ab2c5d83f3d50b99b58ef53e6/codex-3000/compositions/Eau et réseaux/DW-1690.md</x:v>
      </x:c>
      <x:c r="K1695" t="str">
        <x:v>Source min 30,20 m ; max 240,180 m ; modèle 30 × 20 m ; niveaux 0. Détails dans catalogue-existant.json.</x:v>
      </x:c>
    </x:row>
    <x:row r="1696">
      <x:c r="A1696" t="str">
        <x:v>DW-1691</x:v>
      </x:c>
      <x:c r="B1696" t="str">
        <x:v>DW-0346</x:v>
      </x:c>
      <x:c r="C1696" t="str">
        <x:v>Composition héritée</x:v>
      </x:c>
      <x:c r="D1696" t="str">
        <x:v>Eau et réseaux</x:v>
      </x:c>
      <x:c r="E1696" t="str">
        <x:v>Réservoir enterré — Rivière, berges et gué / arrêt de maintenance</x:v>
      </x:c>
      <x:c r="F1696" t="n">
        <x:v>10</x:v>
      </x:c>
      <x:c r="G1696" t="n">
        <x:v>3</x:v>
      </x:c>
      <x:c r="H1696" t="n">
        <x:v>9</x:v>
      </x:c>
      <x:c r="I1696" t="str">
        <x:v>À qualifier par lieu</x:v>
      </x:c>
      <x:c r="J1696" t="str">
        <x:v>https://github.com/darknigthmare/deadwall-last-enclosure/blob/e28f46223e73105ab2c5d83f3d50b99b58ef53e6/codex-3000/compositions/Eau et réseaux/DW-1691.md</x:v>
      </x:c>
      <x:c r="K1696" t="str">
        <x:v>Source min 30,20 m ; max 240,180 m ; modèle 30 × 20 m ; niveaux -1, 0. Détails dans catalogue-existant.json.</x:v>
      </x:c>
    </x:row>
    <x:row r="1697">
      <x:c r="A1697" t="str">
        <x:v>DW-1692</x:v>
      </x:c>
      <x:c r="B1697" t="str">
        <x:v>DW-0346</x:v>
      </x:c>
      <x:c r="C1697" t="str">
        <x:v>Composition héritée</x:v>
      </x:c>
      <x:c r="D1697" t="str">
        <x:v>Eau et réseaux</x:v>
      </x:c>
      <x:c r="E1697" t="str">
        <x:v>Réservoir enterré — Zone industrielle / reprise progressive de la végétation</x:v>
      </x:c>
      <x:c r="F1697" t="n">
        <x:v>10</x:v>
      </x:c>
      <x:c r="G1697" t="n">
        <x:v>3</x:v>
      </x:c>
      <x:c r="H1697" t="n">
        <x:v>9</x:v>
      </x:c>
      <x:c r="I1697" t="str">
        <x:v>À qualifier par lieu</x:v>
      </x:c>
      <x:c r="J1697" t="str">
        <x:v>https://github.com/darknigthmare/deadwall-last-enclosure/blob/e28f46223e73105ab2c5d83f3d50b99b58ef53e6/codex-3000/compositions/Eau et réseaux/DW-1692.md</x:v>
      </x:c>
      <x:c r="K1697" t="str">
        <x:v>Source min 30,20 m ; max 240,180 m ; modèle 30 × 20 m ; niveaux -1, 0. Détails dans catalogue-existant.json.</x:v>
      </x:c>
    </x:row>
    <x:row r="1698">
      <x:c r="A1698" t="str">
        <x:v>DW-1693</x:v>
      </x:c>
      <x:c r="B1698" t="str">
        <x:v>DW-0347</x:v>
      </x:c>
      <x:c r="C1698" t="str">
        <x:v>Composition héritée</x:v>
      </x:c>
      <x:c r="D1698" t="str">
        <x:v>Eau et réseaux</x:v>
      </x:c>
      <x:c r="E1698" t="str">
        <x:v>Canal avec écluse — Ville moyenne / première récupération passée</x:v>
      </x:c>
      <x:c r="F1698" t="n">
        <x:v>10</x:v>
      </x:c>
      <x:c r="G1698" t="n">
        <x:v>4</x:v>
      </x:c>
      <x:c r="H1698" t="n">
        <x:v>12</x:v>
      </x:c>
      <x:c r="I1698" t="str">
        <x:v>À qualifier par lieu</x:v>
      </x:c>
      <x:c r="J1698" t="str">
        <x:v>https://github.com/darknigthmare/deadwall-last-enclosure/blob/e28f46223e73105ab2c5d83f3d50b99b58ef53e6/codex-3000/compositions/Eau et réseaux/DW-1693.md</x:v>
      </x:c>
      <x:c r="K1698" t="str">
        <x:v>Source min 30,20 m ; max 240,180 m ; modèle 30 × 20 m ; niveaux 0. Détails dans catalogue-existant.json.</x:v>
      </x:c>
    </x:row>
    <x:row r="1699">
      <x:c r="A1699" t="str">
        <x:v>DW-1694</x:v>
      </x:c>
      <x:c r="B1699" t="str">
        <x:v>DW-0347</x:v>
      </x:c>
      <x:c r="C1699" t="str">
        <x:v>Composition héritée</x:v>
      </x:c>
      <x:c r="D1699" t="str">
        <x:v>Eau et réseaux</x:v>
      </x:c>
      <x:c r="E1699" t="str">
        <x:v>Canal avec écluse — Pompage et services techniques / relais temporaire envisagé</x:v>
      </x:c>
      <x:c r="F1699" t="n">
        <x:v>10</x:v>
      </x:c>
      <x:c r="G1699" t="n">
        <x:v>4</x:v>
      </x:c>
      <x:c r="H1699" t="n">
        <x:v>12</x:v>
      </x:c>
      <x:c r="I1699" t="str">
        <x:v>À qualifier par lieu</x:v>
      </x:c>
      <x:c r="J1699" t="str">
        <x:v>https://github.com/darknigthmare/deadwall-last-enclosure/blob/e28f46223e73105ab2c5d83f3d50b99b58ef53e6/codex-3000/compositions/Eau et réseaux/DW-1694.md</x:v>
      </x:c>
      <x:c r="K1699" t="str">
        <x:v>Source min 30,20 m ; max 240,180 m ; modèle 30 × 20 m ; niveaux 0. Détails dans catalogue-existant.json.</x:v>
      </x:c>
    </x:row>
    <x:row r="1700">
      <x:c r="A1700" t="str">
        <x:v>DW-1695</x:v>
      </x:c>
      <x:c r="B1700" t="str">
        <x:v>DW-0348</x:v>
      </x:c>
      <x:c r="C1700" t="str">
        <x:v>Composition héritée</x:v>
      </x:c>
      <x:c r="D1700" t="str">
        <x:v>Eau et réseaux</x:v>
      </x:c>
      <x:c r="E1700" t="str">
        <x:v>Aqueduc ancien — Zone industrielle / service déplacé à l’arrière</x:v>
      </x:c>
      <x:c r="F1700" t="n">
        <x:v>10</x:v>
      </x:c>
      <x:c r="G1700" t="n">
        <x:v>4</x:v>
      </x:c>
      <x:c r="H1700" t="n">
        <x:v>12</x:v>
      </x:c>
      <x:c r="I1700" t="str">
        <x:v>À qualifier par lieu</x:v>
      </x:c>
      <x:c r="J1700" t="str">
        <x:v>https://github.com/darknigthmare/deadwall-last-enclosure/blob/e28f46223e73105ab2c5d83f3d50b99b58ef53e6/codex-3000/compositions/Eau et réseaux/DW-1695.md</x:v>
      </x:c>
      <x:c r="K1700" t="str">
        <x:v>Source min 30,20 m ; max 240,180 m ; modèle 30 × 20 m ; niveaux 0. Détails dans catalogue-existant.json.</x:v>
      </x:c>
    </x:row>
    <x:row r="1701">
      <x:c r="A1701" t="str">
        <x:v>DW-1696</x:v>
      </x:c>
      <x:c r="B1701" t="str">
        <x:v>DW-0348</x:v>
      </x:c>
      <x:c r="C1701" t="str">
        <x:v>Composition héritée</x:v>
      </x:c>
      <x:c r="D1701" t="str">
        <x:v>Eau et réseaux</x:v>
      </x:c>
      <x:c r="E1701" t="str">
        <x:v>Aqueduc ancien — Rivière, berges et gué / réseau principal coupé</x:v>
      </x:c>
      <x:c r="F1701" t="n">
        <x:v>10</x:v>
      </x:c>
      <x:c r="G1701" t="n">
        <x:v>4</x:v>
      </x:c>
      <x:c r="H1701" t="n">
        <x:v>12</x:v>
      </x:c>
      <x:c r="I1701" t="str">
        <x:v>À qualifier par lieu</x:v>
      </x:c>
      <x:c r="J1701" t="str">
        <x:v>https://github.com/darknigthmare/deadwall-last-enclosure/blob/e28f46223e73105ab2c5d83f3d50b99b58ef53e6/codex-3000/compositions/Eau et réseaux/DW-1696.md</x:v>
      </x:c>
      <x:c r="K1701" t="str">
        <x:v>Source min 30,20 m ; max 240,180 m ; modèle 30 × 20 m ; niveaux 0. Détails dans catalogue-existant.json.</x:v>
      </x:c>
    </x:row>
    <x:row r="1702">
      <x:c r="A1702" t="str">
        <x:v>DW-1697</x:v>
      </x:c>
      <x:c r="B1702" t="str">
        <x:v>DW-0349</x:v>
      </x:c>
      <x:c r="C1702" t="str">
        <x:v>Composition héritée</x:v>
      </x:c>
      <x:c r="D1702" t="str">
        <x:v>Eau et réseaux</x:v>
      </x:c>
      <x:c r="E1702" t="str">
        <x:v>Collecteur visitable fictif — Pompage et services techniques / reprise progressive de la végétation</x:v>
      </x:c>
      <x:c r="F1702" t="n">
        <x:v>10</x:v>
      </x:c>
      <x:c r="G1702" t="n">
        <x:v>4</x:v>
      </x:c>
      <x:c r="H1702" t="n">
        <x:v>10</x:v>
      </x:c>
      <x:c r="I1702" t="str">
        <x:v>À qualifier par lieu</x:v>
      </x:c>
      <x:c r="J1702" t="str">
        <x:v>https://github.com/darknigthmare/deadwall-last-enclosure/blob/e28f46223e73105ab2c5d83f3d50b99b58ef53e6/codex-3000/compositions/Eau et réseaux/DW-1697.md</x:v>
      </x:c>
      <x:c r="K1702" t="str">
        <x:v>Source min 30,20 m ; max 240,180 m ; modèle 30 × 20 m ; niveaux 0. Détails dans catalogue-existant.json.</x:v>
      </x:c>
    </x:row>
    <x:row r="1703">
      <x:c r="A1703" t="str">
        <x:v>DW-1698</x:v>
      </x:c>
      <x:c r="B1703" t="str">
        <x:v>DW-0349</x:v>
      </x:c>
      <x:c r="C1703" t="str">
        <x:v>Composition héritée</x:v>
      </x:c>
      <x:c r="D1703" t="str">
        <x:v>Eau et réseaux</x:v>
      </x:c>
      <x:c r="E1703" t="str">
        <x:v>Collecteur visitable fictif — Ville moyenne / repli organisé interrompu</x:v>
      </x:c>
      <x:c r="F1703" t="n">
        <x:v>10</x:v>
      </x:c>
      <x:c r="G1703" t="n">
        <x:v>4</x:v>
      </x:c>
      <x:c r="H1703" t="n">
        <x:v>10</x:v>
      </x:c>
      <x:c r="I1703" t="str">
        <x:v>À qualifier par lieu</x:v>
      </x:c>
      <x:c r="J1703" t="str">
        <x:v>https://github.com/darknigthmare/deadwall-last-enclosure/blob/e28f46223e73105ab2c5d83f3d50b99b58ef53e6/codex-3000/compositions/Eau et réseaux/DW-1698.md</x:v>
      </x:c>
      <x:c r="K1703" t="str">
        <x:v>Source min 30,20 m ; max 240,180 m ; modèle 30 × 20 m ; niveaux 0. Détails dans catalogue-existant.json.</x:v>
      </x:c>
    </x:row>
    <x:row r="1704">
      <x:c r="A1704" t="str">
        <x:v>DW-1699</x:v>
      </x:c>
      <x:c r="B1704" t="str">
        <x:v>DW-0350</x:v>
      </x:c>
      <x:c r="C1704" t="str">
        <x:v>Composition héritée</x:v>
      </x:c>
      <x:c r="D1704" t="str">
        <x:v>Eau et réseaux</x:v>
      </x:c>
      <x:c r="E1704" t="str">
        <x:v>Local d'égout de quartier — Rivière, berges et gué / relais temporaire envisagé</x:v>
      </x:c>
      <x:c r="F1704" t="n">
        <x:v>10</x:v>
      </x:c>
      <x:c r="G1704" t="n">
        <x:v>3</x:v>
      </x:c>
      <x:c r="H1704" t="n">
        <x:v>7</x:v>
      </x:c>
      <x:c r="I1704" t="str">
        <x:v>À qualifier par lieu</x:v>
      </x:c>
      <x:c r="J1704" t="str">
        <x:v>https://github.com/darknigthmare/deadwall-last-enclosure/blob/e28f46223e73105ab2c5d83f3d50b99b58ef53e6/codex-3000/compositions/Eau et réseaux/DW-1699.md</x:v>
      </x:c>
      <x:c r="K1704" t="str">
        <x:v>Source min 30,20 m ; max 240,180 m ; modèle 30 × 20 m ; niveaux 0. Détails dans catalogue-existant.json.</x:v>
      </x:c>
    </x:row>
    <x:row r="1705">
      <x:c r="A1705" t="str">
        <x:v>DW-1700</x:v>
      </x:c>
      <x:c r="B1705" t="str">
        <x:v>DW-0350</x:v>
      </x:c>
      <x:c r="C1705" t="str">
        <x:v>Composition héritée</x:v>
      </x:c>
      <x:c r="D1705" t="str">
        <x:v>Eau et réseaux</x:v>
      </x:c>
      <x:c r="E1705" t="str">
        <x:v>Local d'égout de quartier — Zone industrielle / évacuation interrompue</x:v>
      </x:c>
      <x:c r="F1705" t="n">
        <x:v>10</x:v>
      </x:c>
      <x:c r="G1705" t="n">
        <x:v>3</x:v>
      </x:c>
      <x:c r="H1705" t="n">
        <x:v>7</x:v>
      </x:c>
      <x:c r="I1705" t="str">
        <x:v>À qualifier par lieu</x:v>
      </x:c>
      <x:c r="J1705" t="str">
        <x:v>https://github.com/darknigthmare/deadwall-last-enclosure/blob/e28f46223e73105ab2c5d83f3d50b99b58ef53e6/codex-3000/compositions/Eau et réseaux/DW-1700.md</x:v>
      </x:c>
      <x:c r="K1705" t="str">
        <x:v>Source min 30,20 m ; max 240,180 m ; modèle 30 × 20 m ; niveaux 0. Détails dans catalogue-existant.json.</x:v>
      </x:c>
    </x:row>
    <x:row r="1706">
      <x:c r="A1706" t="str">
        <x:v>DW-1701</x:v>
      </x:c>
      <x:c r="B1706" t="str">
        <x:v>DW-0351</x:v>
      </x:c>
      <x:c r="C1706" t="str">
        <x:v>Composition héritée</x:v>
      </x:c>
      <x:c r="D1706" t="str">
        <x:v>Eau et réseaux</x:v>
      </x:c>
      <x:c r="E1706" t="str">
        <x:v>Lavoir ancien — Ville moyenne / réseau principal coupé</x:v>
      </x:c>
      <x:c r="F1706" t="n">
        <x:v>10</x:v>
      </x:c>
      <x:c r="G1706" t="n">
        <x:v>4</x:v>
      </x:c>
      <x:c r="H1706" t="n">
        <x:v>12</x:v>
      </x:c>
      <x:c r="I1706" t="str">
        <x:v>À qualifier par lieu</x:v>
      </x:c>
      <x:c r="J1706" t="str">
        <x:v>https://github.com/darknigthmare/deadwall-last-enclosure/blob/e28f46223e73105ab2c5d83f3d50b99b58ef53e6/codex-3000/compositions/Eau et réseaux/DW-1701.md</x:v>
      </x:c>
      <x:c r="K1706" t="str">
        <x:v>Source min 30,20 m ; max 240,180 m ; modèle 30 × 20 m ; niveaux 0. Détails dans catalogue-existant.json.</x:v>
      </x:c>
    </x:row>
    <x:row r="1707">
      <x:c r="A1707" t="str">
        <x:v>DW-1702</x:v>
      </x:c>
      <x:c r="B1707" t="str">
        <x:v>DW-0351</x:v>
      </x:c>
      <x:c r="C1707" t="str">
        <x:v>Composition héritée</x:v>
      </x:c>
      <x:c r="D1707" t="str">
        <x:v>Eau et réseaux</x:v>
      </x:c>
      <x:c r="E1707" t="str">
        <x:v>Lavoir ancien — Pompage et services techniques / arrêt de maintenance</x:v>
      </x:c>
      <x:c r="F1707" t="n">
        <x:v>10</x:v>
      </x:c>
      <x:c r="G1707" t="n">
        <x:v>4</x:v>
      </x:c>
      <x:c r="H1707" t="n">
        <x:v>12</x:v>
      </x:c>
      <x:c r="I1707" t="str">
        <x:v>À qualifier par lieu</x:v>
      </x:c>
      <x:c r="J1707" t="str">
        <x:v>https://github.com/darknigthmare/deadwall-last-enclosure/blob/e28f46223e73105ab2c5d83f3d50b99b58ef53e6/codex-3000/compositions/Eau et réseaux/DW-1702.md</x:v>
      </x:c>
      <x:c r="K1707" t="str">
        <x:v>Source min 30,20 m ; max 240,180 m ; modèle 30 × 20 m ; niveaux 0. Détails dans catalogue-existant.json.</x:v>
      </x:c>
    </x:row>
    <x:row r="1708">
      <x:c r="A1708" t="str">
        <x:v>DW-1703</x:v>
      </x:c>
      <x:c r="B1708" t="str">
        <x:v>DW-0352</x:v>
      </x:c>
      <x:c r="C1708" t="str">
        <x:v>Composition héritée</x:v>
      </x:c>
      <x:c r="D1708" t="str">
        <x:v>Eau et réseaux</x:v>
      </x:c>
      <x:c r="E1708" t="str">
        <x:v>Fontaine de village — Zone industrielle / repli organisé interrompu</x:v>
      </x:c>
      <x:c r="F1708" t="n">
        <x:v>10</x:v>
      </x:c>
      <x:c r="G1708" t="n">
        <x:v>3</x:v>
      </x:c>
      <x:c r="H1708" t="n">
        <x:v>9</x:v>
      </x:c>
      <x:c r="I1708" t="str">
        <x:v>À qualifier par lieu</x:v>
      </x:c>
      <x:c r="J1708" t="str">
        <x:v>https://github.com/darknigthmare/deadwall-last-enclosure/blob/e28f46223e73105ab2c5d83f3d50b99b58ef53e6/codex-3000/compositions/Eau et réseaux/DW-1703.md</x:v>
      </x:c>
      <x:c r="K1708" t="str">
        <x:v>Source min 30,20 m ; max 240,180 m ; modèle 30 × 20 m ; niveaux 0. Détails dans catalogue-existant.json.</x:v>
      </x:c>
    </x:row>
    <x:row r="1709">
      <x:c r="A1709" t="str">
        <x:v>DW-1704</x:v>
      </x:c>
      <x:c r="B1709" t="str">
        <x:v>DW-0352</x:v>
      </x:c>
      <x:c r="C1709" t="str">
        <x:v>Composition héritée</x:v>
      </x:c>
      <x:c r="D1709" t="str">
        <x:v>Eau et réseaux</x:v>
      </x:c>
      <x:c r="E1709" t="str">
        <x:v>Fontaine de village — Rivière, berges et gué / première récupération passée</x:v>
      </x:c>
      <x:c r="F1709" t="n">
        <x:v>10</x:v>
      </x:c>
      <x:c r="G1709" t="n">
        <x:v>3</x:v>
      </x:c>
      <x:c r="H1709" t="n">
        <x:v>9</x:v>
      </x:c>
      <x:c r="I1709" t="str">
        <x:v>À qualifier par lieu</x:v>
      </x:c>
      <x:c r="J1709" t="str">
        <x:v>https://github.com/darknigthmare/deadwall-last-enclosure/blob/e28f46223e73105ab2c5d83f3d50b99b58ef53e6/codex-3000/compositions/Eau et réseaux/DW-1704.md</x:v>
      </x:c>
      <x:c r="K1709" t="str">
        <x:v>Source min 30,20 m ; max 240,180 m ; modèle 30 × 20 m ; niveaux 0. Détails dans catalogue-existant.json.</x:v>
      </x:c>
    </x:row>
    <x:row r="1710">
      <x:c r="A1710" t="str">
        <x:v>DW-1705</x:v>
      </x:c>
      <x:c r="B1710" t="str">
        <x:v>DW-0353</x:v>
      </x:c>
      <x:c r="C1710" t="str">
        <x:v>Composition héritée</x:v>
      </x:c>
      <x:c r="D1710" t="str">
        <x:v>Eau et réseaux</x:v>
      </x:c>
      <x:c r="E1710" t="str">
        <x:v>Puits agricole — Pompage et services techniques / évacuation interrompue</x:v>
      </x:c>
      <x:c r="F1710" t="n">
        <x:v>10</x:v>
      </x:c>
      <x:c r="G1710" t="n">
        <x:v>4</x:v>
      </x:c>
      <x:c r="H1710" t="n">
        <x:v>12</x:v>
      </x:c>
      <x:c r="I1710" t="str">
        <x:v>À qualifier par lieu</x:v>
      </x:c>
      <x:c r="J1710" t="str">
        <x:v>https://github.com/darknigthmare/deadwall-last-enclosure/blob/e28f46223e73105ab2c5d83f3d50b99b58ef53e6/codex-3000/compositions/Eau et réseaux/DW-1705.md</x:v>
      </x:c>
      <x:c r="K1710" t="str">
        <x:v>Source min 30,20 m ; max 240,180 m ; modèle 30 × 20 m ; niveaux 0. Détails dans catalogue-existant.json.</x:v>
      </x:c>
    </x:row>
    <x:row r="1711">
      <x:c r="A1711" t="str">
        <x:v>DW-1706</x:v>
      </x:c>
      <x:c r="B1711" t="str">
        <x:v>DW-0353</x:v>
      </x:c>
      <x:c r="C1711" t="str">
        <x:v>Composition héritée</x:v>
      </x:c>
      <x:c r="D1711" t="str">
        <x:v>Eau et réseaux</x:v>
      </x:c>
      <x:c r="E1711" t="str">
        <x:v>Puits agricole — Ville moyenne / service déplacé à l’arrière</x:v>
      </x:c>
      <x:c r="F1711" t="n">
        <x:v>10</x:v>
      </x:c>
      <x:c r="G1711" t="n">
        <x:v>4</x:v>
      </x:c>
      <x:c r="H1711" t="n">
        <x:v>12</x:v>
      </x:c>
      <x:c r="I1711" t="str">
        <x:v>À qualifier par lieu</x:v>
      </x:c>
      <x:c r="J1711" t="str">
        <x:v>https://github.com/darknigthmare/deadwall-last-enclosure/blob/e28f46223e73105ab2c5d83f3d50b99b58ef53e6/codex-3000/compositions/Eau et réseaux/DW-1706.md</x:v>
      </x:c>
      <x:c r="K1711" t="str">
        <x:v>Source min 30,20 m ; max 240,180 m ; modèle 30 × 20 m ; niveaux 0. Détails dans catalogue-existant.json.</x:v>
      </x:c>
    </x:row>
    <x:row r="1712">
      <x:c r="A1712" t="str">
        <x:v>DW-1707</x:v>
      </x:c>
      <x:c r="B1712" t="str">
        <x:v>DW-0354</x:v>
      </x:c>
      <x:c r="C1712" t="str">
        <x:v>Composition héritée</x:v>
      </x:c>
      <x:c r="D1712" t="str">
        <x:v>Eau et réseaux</x:v>
      </x:c>
      <x:c r="E1712" t="str">
        <x:v>Station d'irrigation — Rivière, berges et gué / arrêt de maintenance</x:v>
      </x:c>
      <x:c r="F1712" t="n">
        <x:v>10</x:v>
      </x:c>
      <x:c r="G1712" t="n">
        <x:v>4</x:v>
      </x:c>
      <x:c r="H1712" t="n">
        <x:v>12</x:v>
      </x:c>
      <x:c r="I1712" t="str">
        <x:v>À qualifier par lieu</x:v>
      </x:c>
      <x:c r="J1712" t="str">
        <x:v>https://github.com/darknigthmare/deadwall-last-enclosure/blob/e28f46223e73105ab2c5d83f3d50b99b58ef53e6/codex-3000/compositions/Eau et réseaux/DW-1707.md</x:v>
      </x:c>
      <x:c r="K1712" t="str">
        <x:v>Source min 30,20 m ; max 240,180 m ; modèle 30 × 20 m ; niveaux 0. Détails dans catalogue-existant.json.</x:v>
      </x:c>
    </x:row>
    <x:row r="1713">
      <x:c r="A1713" t="str">
        <x:v>DW-1708</x:v>
      </x:c>
      <x:c r="B1713" t="str">
        <x:v>DW-0354</x:v>
      </x:c>
      <x:c r="C1713" t="str">
        <x:v>Composition héritée</x:v>
      </x:c>
      <x:c r="D1713" t="str">
        <x:v>Eau et réseaux</x:v>
      </x:c>
      <x:c r="E1713" t="str">
        <x:v>Station d'irrigation — Zone industrielle / reprise progressive de la végétation</x:v>
      </x:c>
      <x:c r="F1713" t="n">
        <x:v>10</x:v>
      </x:c>
      <x:c r="G1713" t="n">
        <x:v>4</x:v>
      </x:c>
      <x:c r="H1713" t="n">
        <x:v>12</x:v>
      </x:c>
      <x:c r="I1713" t="str">
        <x:v>À qualifier par lieu</x:v>
      </x:c>
      <x:c r="J1713" t="str">
        <x:v>https://github.com/darknigthmare/deadwall-last-enclosure/blob/e28f46223e73105ab2c5d83f3d50b99b58ef53e6/codex-3000/compositions/Eau et réseaux/DW-1708.md</x:v>
      </x:c>
      <x:c r="K1713" t="str">
        <x:v>Source min 30,20 m ; max 240,180 m ; modèle 30 × 20 m ; niveaux 0. Détails dans catalogue-existant.json.</x:v>
      </x:c>
    </x:row>
    <x:row r="1714">
      <x:c r="A1714" t="str">
        <x:v>DW-1709</x:v>
      </x:c>
      <x:c r="B1714" t="str">
        <x:v>DW-0355</x:v>
      </x:c>
      <x:c r="C1714" t="str">
        <x:v>Composition héritée</x:v>
      </x:c>
      <x:c r="D1714" t="str">
        <x:v>Eau et réseaux</x:v>
      </x:c>
      <x:c r="E1714" t="str">
        <x:v>Barrage de petite rivière — Ville moyenne / première récupération passée</x:v>
      </x:c>
      <x:c r="F1714" t="n">
        <x:v>10</x:v>
      </x:c>
      <x:c r="G1714" t="n">
        <x:v>4</x:v>
      </x:c>
      <x:c r="H1714" t="n">
        <x:v>12</x:v>
      </x:c>
      <x:c r="I1714" t="str">
        <x:v>À qualifier par lieu</x:v>
      </x:c>
      <x:c r="J1714" t="str">
        <x:v>https://github.com/darknigthmare/deadwall-last-enclosure/blob/e28f46223e73105ab2c5d83f3d50b99b58ef53e6/codex-3000/compositions/Eau et réseaux/DW-1709.md</x:v>
      </x:c>
      <x:c r="K1714" t="str">
        <x:v>Source min 30,20 m ; max 240,180 m ; modèle 30 × 20 m ; niveaux 0. Détails dans catalogue-existant.json.</x:v>
      </x:c>
    </x:row>
    <x:row r="1715">
      <x:c r="A1715" t="str">
        <x:v>DW-1710</x:v>
      </x:c>
      <x:c r="B1715" t="str">
        <x:v>DW-0355</x:v>
      </x:c>
      <x:c r="C1715" t="str">
        <x:v>Composition héritée</x:v>
      </x:c>
      <x:c r="D1715" t="str">
        <x:v>Eau et réseaux</x:v>
      </x:c>
      <x:c r="E1715" t="str">
        <x:v>Barrage de petite rivière — Pompage et services techniques / relais temporaire envisagé</x:v>
      </x:c>
      <x:c r="F1715" t="n">
        <x:v>10</x:v>
      </x:c>
      <x:c r="G1715" t="n">
        <x:v>4</x:v>
      </x:c>
      <x:c r="H1715" t="n">
        <x:v>12</x:v>
      </x:c>
      <x:c r="I1715" t="str">
        <x:v>À qualifier par lieu</x:v>
      </x:c>
      <x:c r="J1715" t="str">
        <x:v>https://github.com/darknigthmare/deadwall-last-enclosure/blob/e28f46223e73105ab2c5d83f3d50b99b58ef53e6/codex-3000/compositions/Eau et réseaux/DW-1710.md</x:v>
      </x:c>
      <x:c r="K1715" t="str">
        <x:v>Source min 30,20 m ; max 240,180 m ; modèle 30 × 20 m ; niveaux 0. Détails dans catalogue-existant.json.</x:v>
      </x:c>
    </x:row>
    <x:row r="1716">
      <x:c r="A1716" t="str">
        <x:v>DW-1711</x:v>
      </x:c>
      <x:c r="B1716" t="str">
        <x:v>DW-0356</x:v>
      </x:c>
      <x:c r="C1716" t="str">
        <x:v>Composition héritée</x:v>
      </x:c>
      <x:c r="D1716" t="str">
        <x:v>Eau et réseaux</x:v>
      </x:c>
      <x:c r="E1716" t="str">
        <x:v>Digue côtière — Zone industrielle / service déplacé à l’arrière</x:v>
      </x:c>
      <x:c r="F1716" t="n">
        <x:v>10</x:v>
      </x:c>
      <x:c r="G1716" t="n">
        <x:v>3</x:v>
      </x:c>
      <x:c r="H1716" t="n">
        <x:v>7</x:v>
      </x:c>
      <x:c r="I1716" t="str">
        <x:v>À qualifier par lieu</x:v>
      </x:c>
      <x:c r="J1716" t="str">
        <x:v>https://github.com/darknigthmare/deadwall-last-enclosure/blob/e28f46223e73105ab2c5d83f3d50b99b58ef53e6/codex-3000/compositions/Eau et réseaux/DW-1711.md</x:v>
      </x:c>
      <x:c r="K1716" t="str">
        <x:v>Source min 30,20 m ; max 240,180 m ; modèle 30 × 20 m ; niveaux 0. Détails dans catalogue-existant.json.</x:v>
      </x:c>
    </x:row>
    <x:row r="1717">
      <x:c r="A1717" t="str">
        <x:v>DW-1712</x:v>
      </x:c>
      <x:c r="B1717" t="str">
        <x:v>DW-0356</x:v>
      </x:c>
      <x:c r="C1717" t="str">
        <x:v>Composition héritée</x:v>
      </x:c>
      <x:c r="D1717" t="str">
        <x:v>Eau et réseaux</x:v>
      </x:c>
      <x:c r="E1717" t="str">
        <x:v>Digue côtière — Rivière, berges et gué / réseau principal coupé</x:v>
      </x:c>
      <x:c r="F1717" t="n">
        <x:v>10</x:v>
      </x:c>
      <x:c r="G1717" t="n">
        <x:v>3</x:v>
      </x:c>
      <x:c r="H1717" t="n">
        <x:v>7</x:v>
      </x:c>
      <x:c r="I1717" t="str">
        <x:v>À qualifier par lieu</x:v>
      </x:c>
      <x:c r="J1717" t="str">
        <x:v>https://github.com/darknigthmare/deadwall-last-enclosure/blob/e28f46223e73105ab2c5d83f3d50b99b58ef53e6/codex-3000/compositions/Eau et réseaux/DW-1712.md</x:v>
      </x:c>
      <x:c r="K1717" t="str">
        <x:v>Source min 30,20 m ; max 240,180 m ; modèle 30 × 20 m ; niveaux 0. Détails dans catalogue-existant.json.</x:v>
      </x:c>
    </x:row>
    <x:row r="1718">
      <x:c r="A1718" t="str">
        <x:v>DW-1713</x:v>
      </x:c>
      <x:c r="B1718" t="str">
        <x:v>DW-0357</x:v>
      </x:c>
      <x:c r="C1718" t="str">
        <x:v>Composition héritée</x:v>
      </x:c>
      <x:c r="D1718" t="str">
        <x:v>Eau et réseaux</x:v>
      </x:c>
      <x:c r="E1718" t="str">
        <x:v>Portes anti-crue fictives — Pompage et services techniques / reprise progressive de la végétation</x:v>
      </x:c>
      <x:c r="F1718" t="n">
        <x:v>10</x:v>
      </x:c>
      <x:c r="G1718" t="n">
        <x:v>3</x:v>
      </x:c>
      <x:c r="H1718" t="n">
        <x:v>7</x:v>
      </x:c>
      <x:c r="I1718" t="str">
        <x:v>À qualifier par lieu</x:v>
      </x:c>
      <x:c r="J1718" t="str">
        <x:v>https://github.com/darknigthmare/deadwall-last-enclosure/blob/e28f46223e73105ab2c5d83f3d50b99b58ef53e6/codex-3000/compositions/Eau et réseaux/DW-1713.md</x:v>
      </x:c>
      <x:c r="K1718" t="str">
        <x:v>Source min 30,20 m ; max 240,180 m ; modèle 30 × 20 m ; niveaux 0. Détails dans catalogue-existant.json.</x:v>
      </x:c>
    </x:row>
    <x:row r="1719">
      <x:c r="A1719" t="str">
        <x:v>DW-1714</x:v>
      </x:c>
      <x:c r="B1719" t="str">
        <x:v>DW-0357</x:v>
      </x:c>
      <x:c r="C1719" t="str">
        <x:v>Composition héritée</x:v>
      </x:c>
      <x:c r="D1719" t="str">
        <x:v>Eau et réseaux</x:v>
      </x:c>
      <x:c r="E1719" t="str">
        <x:v>Portes anti-crue fictives — Ville moyenne / repli organisé interrompu</x:v>
      </x:c>
      <x:c r="F1719" t="n">
        <x:v>10</x:v>
      </x:c>
      <x:c r="G1719" t="n">
        <x:v>3</x:v>
      </x:c>
      <x:c r="H1719" t="n">
        <x:v>7</x:v>
      </x:c>
      <x:c r="I1719" t="str">
        <x:v>À qualifier par lieu</x:v>
      </x:c>
      <x:c r="J1719" t="str">
        <x:v>https://github.com/darknigthmare/deadwall-last-enclosure/blob/e28f46223e73105ab2c5d83f3d50b99b58ef53e6/codex-3000/compositions/Eau et réseaux/DW-1714.md</x:v>
      </x:c>
      <x:c r="K1719" t="str">
        <x:v>Source min 30,20 m ; max 240,180 m ; modèle 30 × 20 m ; niveaux 0. Détails dans catalogue-existant.json.</x:v>
      </x:c>
    </x:row>
    <x:row r="1720">
      <x:c r="A1720" t="str">
        <x:v>DW-1715</x:v>
      </x:c>
      <x:c r="B1720" t="str">
        <x:v>DW-0358</x:v>
      </x:c>
      <x:c r="C1720" t="str">
        <x:v>Composition héritée</x:v>
      </x:c>
      <x:c r="D1720" t="str">
        <x:v>Eau et réseaux</x:v>
      </x:c>
      <x:c r="E1720" t="str">
        <x:v>Dépôt de citernes — Rivière, berges et gué / relais temporaire envisagé</x:v>
      </x:c>
      <x:c r="F1720" t="n">
        <x:v>10</x:v>
      </x:c>
      <x:c r="G1720" t="n">
        <x:v>4</x:v>
      </x:c>
      <x:c r="H1720" t="n">
        <x:v>12</x:v>
      </x:c>
      <x:c r="I1720" t="str">
        <x:v>À qualifier par lieu</x:v>
      </x:c>
      <x:c r="J1720" t="str">
        <x:v>https://github.com/darknigthmare/deadwall-last-enclosure/blob/e28f46223e73105ab2c5d83f3d50b99b58ef53e6/codex-3000/compositions/Eau et réseaux/DW-1715.md</x:v>
      </x:c>
      <x:c r="K1720" t="str">
        <x:v>Source min 30,20 m ; max 240,180 m ; modèle 30 × 20 m ; niveaux 0. Détails dans catalogue-existant.json.</x:v>
      </x:c>
    </x:row>
    <x:row r="1721">
      <x:c r="A1721" t="str">
        <x:v>DW-1716</x:v>
      </x:c>
      <x:c r="B1721" t="str">
        <x:v>DW-0358</x:v>
      </x:c>
      <x:c r="C1721" t="str">
        <x:v>Composition héritée</x:v>
      </x:c>
      <x:c r="D1721" t="str">
        <x:v>Eau et réseaux</x:v>
      </x:c>
      <x:c r="E1721" t="str">
        <x:v>Dépôt de citernes — Zone industrielle / évacuation interrompue</x:v>
      </x:c>
      <x:c r="F1721" t="n">
        <x:v>10</x:v>
      </x:c>
      <x:c r="G1721" t="n">
        <x:v>4</x:v>
      </x:c>
      <x:c r="H1721" t="n">
        <x:v>12</x:v>
      </x:c>
      <x:c r="I1721" t="str">
        <x:v>À qualifier par lieu</x:v>
      </x:c>
      <x:c r="J1721" t="str">
        <x:v>https://github.com/darknigthmare/deadwall-last-enclosure/blob/e28f46223e73105ab2c5d83f3d50b99b58ef53e6/codex-3000/compositions/Eau et réseaux/DW-1716.md</x:v>
      </x:c>
      <x:c r="K1721" t="str">
        <x:v>Source min 30,20 m ; max 240,180 m ; modèle 30 × 20 m ; niveaux 0. Détails dans catalogue-existant.json.</x:v>
      </x:c>
    </x:row>
    <x:row r="1722">
      <x:c r="A1722" t="str">
        <x:v>DW-1717</x:v>
      </x:c>
      <x:c r="B1722" t="str">
        <x:v>DW-0359</x:v>
      </x:c>
      <x:c r="C1722" t="str">
        <x:v>Composition héritée</x:v>
      </x:c>
      <x:c r="D1722" t="str">
        <x:v>Eau et réseaux</x:v>
      </x:c>
      <x:c r="E1722" t="str">
        <x:v>Captage forestier — Ville moyenne / réseau principal coupé</x:v>
      </x:c>
      <x:c r="F1722" t="n">
        <x:v>10</x:v>
      </x:c>
      <x:c r="G1722" t="n">
        <x:v>3</x:v>
      </x:c>
      <x:c r="H1722" t="n">
        <x:v>9</x:v>
      </x:c>
      <x:c r="I1722" t="str">
        <x:v>À qualifier par lieu</x:v>
      </x:c>
      <x:c r="J1722" t="str">
        <x:v>https://github.com/darknigthmare/deadwall-last-enclosure/blob/e28f46223e73105ab2c5d83f3d50b99b58ef53e6/codex-3000/compositions/Eau et réseaux/DW-1717.md</x:v>
      </x:c>
      <x:c r="K1722" t="str">
        <x:v>Source min 30,20 m ; max 240,180 m ; modèle 30 × 20 m ; niveaux 0. Détails dans catalogue-existant.json.</x:v>
      </x:c>
    </x:row>
    <x:row r="1723">
      <x:c r="A1723" t="str">
        <x:v>DW-1718</x:v>
      </x:c>
      <x:c r="B1723" t="str">
        <x:v>DW-0359</x:v>
      </x:c>
      <x:c r="C1723" t="str">
        <x:v>Composition héritée</x:v>
      </x:c>
      <x:c r="D1723" t="str">
        <x:v>Eau et réseaux</x:v>
      </x:c>
      <x:c r="E1723" t="str">
        <x:v>Captage forestier — Pompage et services techniques / arrêt de maintenance</x:v>
      </x:c>
      <x:c r="F1723" t="n">
        <x:v>10</x:v>
      </x:c>
      <x:c r="G1723" t="n">
        <x:v>3</x:v>
      </x:c>
      <x:c r="H1723" t="n">
        <x:v>9</x:v>
      </x:c>
      <x:c r="I1723" t="str">
        <x:v>À qualifier par lieu</x:v>
      </x:c>
      <x:c r="J1723" t="str">
        <x:v>https://github.com/darknigthmare/deadwall-last-enclosure/blob/e28f46223e73105ab2c5d83f3d50b99b58ef53e6/codex-3000/compositions/Eau et réseaux/DW-1718.md</x:v>
      </x:c>
      <x:c r="K1723" t="str">
        <x:v>Source min 30,20 m ; max 240,180 m ; modèle 30 × 20 m ; niveaux 0. Détails dans catalogue-existant.json.</x:v>
      </x:c>
    </x:row>
    <x:row r="1724">
      <x:c r="A1724" t="str">
        <x:v>DW-1719</x:v>
      </x:c>
      <x:c r="B1724" t="str">
        <x:v>DW-0360</x:v>
      </x:c>
      <x:c r="C1724" t="str">
        <x:v>Composition héritée</x:v>
      </x:c>
      <x:c r="D1724" t="str">
        <x:v>Eau et réseaux</x:v>
      </x:c>
      <x:c r="E1724" t="str">
        <x:v>Réseau de bassins abandonné — Zone industrielle / repli organisé interrompu</x:v>
      </x:c>
      <x:c r="F1724" t="n">
        <x:v>10</x:v>
      </x:c>
      <x:c r="G1724" t="n">
        <x:v>4</x:v>
      </x:c>
      <x:c r="H1724" t="n">
        <x:v>12</x:v>
      </x:c>
      <x:c r="I1724" t="str">
        <x:v>À qualifier par lieu</x:v>
      </x:c>
      <x:c r="J1724" t="str">
        <x:v>https://github.com/darknigthmare/deadwall-last-enclosure/blob/e28f46223e73105ab2c5d83f3d50b99b58ef53e6/codex-3000/compositions/Eau et réseaux/DW-1719.md</x:v>
      </x:c>
      <x:c r="K1724" t="str">
        <x:v>Source min 30,20 m ; max 240,180 m ; modèle 30 × 20 m ; niveaux 0. Détails dans catalogue-existant.json.</x:v>
      </x:c>
    </x:row>
    <x:row r="1725">
      <x:c r="A1725" t="str">
        <x:v>DW-1720</x:v>
      </x:c>
      <x:c r="B1725" t="str">
        <x:v>DW-0360</x:v>
      </x:c>
      <x:c r="C1725" t="str">
        <x:v>Composition héritée</x:v>
      </x:c>
      <x:c r="D1725" t="str">
        <x:v>Eau et réseaux</x:v>
      </x:c>
      <x:c r="E1725" t="str">
        <x:v>Réseau de bassins abandonné — Rivière, berges et gué / première récupération passée</x:v>
      </x:c>
      <x:c r="F1725" t="n">
        <x:v>10</x:v>
      </x:c>
      <x:c r="G1725" t="n">
        <x:v>4</x:v>
      </x:c>
      <x:c r="H1725" t="n">
        <x:v>12</x:v>
      </x:c>
      <x:c r="I1725" t="str">
        <x:v>À qualifier par lieu</x:v>
      </x:c>
      <x:c r="J1725" t="str">
        <x:v>https://github.com/darknigthmare/deadwall-last-enclosure/blob/e28f46223e73105ab2c5d83f3d50b99b58ef53e6/codex-3000/compositions/Eau et réseaux/DW-1720.md</x:v>
      </x:c>
      <x:c r="K1725" t="str">
        <x:v>Source min 30,20 m ; max 240,180 m ; modèle 30 × 20 m ; niveaux 0. Détails dans catalogue-existant.json.</x:v>
      </x:c>
    </x:row>
    <x:row r="1726">
      <x:c r="A1726" t="str">
        <x:v>DW-1721</x:v>
      </x:c>
      <x:c r="B1726" t="str">
        <x:v>DW-0361</x:v>
      </x:c>
      <x:c r="C1726" t="str">
        <x:v>Composition héritée</x:v>
      </x:c>
      <x:c r="D1726" t="str">
        <x:v>Agriculture</x:v>
      </x:c>
      <x:c r="E1726" t="str">
        <x:v>Ferme céréalière — Ferme, verger et pâtures / évacuation interrompue</x:v>
      </x:c>
      <x:c r="F1726" t="n">
        <x:v>8</x:v>
      </x:c>
      <x:c r="G1726" t="n">
        <x:v>5</x:v>
      </x:c>
      <x:c r="H1726" t="n">
        <x:v>15</x:v>
      </x:c>
      <x:c r="I1726" t="str">
        <x:v>À qualifier par lieu</x:v>
      </x:c>
      <x:c r="J1726" t="str">
        <x:v>https://github.com/darknigthmare/deadwall-last-enclosure/blob/e28f46223e73105ab2c5d83f3d50b99b58ef53e6/codex-3000/compositions/Agriculture/DW-1721.md</x:v>
      </x:c>
      <x:c r="K1726" t="str">
        <x:v>Source min 90,60 m ; max 700,450 m ; modèle 78 × 60 m ; niveaux 0. Détails dans catalogue-existant.json.</x:v>
      </x:c>
    </x:row>
    <x:row r="1727">
      <x:c r="A1727" t="str">
        <x:v>DW-1722</x:v>
      </x:c>
      <x:c r="B1727" t="str">
        <x:v>DW-0361</x:v>
      </x:c>
      <x:c r="C1727" t="str">
        <x:v>Composition héritée</x:v>
      </x:c>
      <x:c r="D1727" t="str">
        <x:v>Agriculture</x:v>
      </x:c>
      <x:c r="E1727" t="str">
        <x:v>Ferme céréalière — Hameau / service déplacé à l’arrière</x:v>
      </x:c>
      <x:c r="F1727" t="n">
        <x:v>8</x:v>
      </x:c>
      <x:c r="G1727" t="n">
        <x:v>5</x:v>
      </x:c>
      <x:c r="H1727" t="n">
        <x:v>15</x:v>
      </x:c>
      <x:c r="I1727" t="str">
        <x:v>À qualifier par lieu</x:v>
      </x:c>
      <x:c r="J1727" t="str">
        <x:v>https://github.com/darknigthmare/deadwall-last-enclosure/blob/e28f46223e73105ab2c5d83f3d50b99b58ef53e6/codex-3000/compositions/Agriculture/DW-1722.md</x:v>
      </x:c>
      <x:c r="K1727" t="str">
        <x:v>Source min 90,60 m ; max 700,450 m ; modèle 78 × 60 m ; niveaux 0. Détails dans catalogue-existant.json.</x:v>
      </x:c>
    </x:row>
    <x:row r="1728">
      <x:c r="A1728" t="str">
        <x:v>DW-1723</x:v>
      </x:c>
      <x:c r="B1728" t="str">
        <x:v>DW-0362</x:v>
      </x:c>
      <x:c r="C1728" t="str">
        <x:v>Composition héritée</x:v>
      </x:c>
      <x:c r="D1728" t="str">
        <x:v>Agriculture</x:v>
      </x:c>
      <x:c r="E1728" t="str">
        <x:v>Ferme bovine — Prairie et friche ouverte / arrêt de maintenance</x:v>
      </x:c>
      <x:c r="F1728" t="n">
        <x:v>8</x:v>
      </x:c>
      <x:c r="G1728" t="n">
        <x:v>5</x:v>
      </x:c>
      <x:c r="H1728" t="n">
        <x:v>15</x:v>
      </x:c>
      <x:c r="I1728" t="str">
        <x:v>À qualifier par lieu</x:v>
      </x:c>
      <x:c r="J1728" t="str">
        <x:v>https://github.com/darknigthmare/deadwall-last-enclosure/blob/e28f46223e73105ab2c5d83f3d50b99b58ef53e6/codex-3000/compositions/Agriculture/DW-1723.md</x:v>
      </x:c>
      <x:c r="K1728" t="str">
        <x:v>Source min 90,60 m ; max 700,450 m ; modèle 78 × 60 m ; niveaux 0. Détails dans catalogue-existant.json.</x:v>
      </x:c>
    </x:row>
    <x:row r="1729">
      <x:c r="A1729" t="str">
        <x:v>DW-1724</x:v>
      </x:c>
      <x:c r="B1729" t="str">
        <x:v>DW-0362</x:v>
      </x:c>
      <x:c r="C1729" t="str">
        <x:v>Composition héritée</x:v>
      </x:c>
      <x:c r="D1729" t="str">
        <x:v>Agriculture</x:v>
      </x:c>
      <x:c r="E1729" t="str">
        <x:v>Ferme bovine — Plateau sec et terrain aride / reprise progressive de la végétation</x:v>
      </x:c>
      <x:c r="F1729" t="n">
        <x:v>10</x:v>
      </x:c>
      <x:c r="G1729" t="n">
        <x:v>5</x:v>
      </x:c>
      <x:c r="H1729" t="n">
        <x:v>15</x:v>
      </x:c>
      <x:c r="I1729" t="str">
        <x:v>À qualifier par lieu</x:v>
      </x:c>
      <x:c r="J1729" t="str">
        <x:v>https://github.com/darknigthmare/deadwall-last-enclosure/blob/e28f46223e73105ab2c5d83f3d50b99b58ef53e6/codex-3000/compositions/Agriculture/DW-1724.md</x:v>
      </x:c>
      <x:c r="K1729" t="str">
        <x:v>Source min 90,60 m ; max 700,450 m ; modèle 78 × 60 m ; niveaux 0. Détails dans catalogue-existant.json.</x:v>
      </x:c>
    </x:row>
    <x:row r="1730">
      <x:c r="A1730" t="str">
        <x:v>DW-1725</x:v>
      </x:c>
      <x:c r="B1730" t="str">
        <x:v>DW-0363</x:v>
      </x:c>
      <x:c r="C1730" t="str">
        <x:v>Composition héritée</x:v>
      </x:c>
      <x:c r="D1730" t="str">
        <x:v>Agriculture</x:v>
      </x:c>
      <x:c r="E1730" t="str">
        <x:v>Bergerie — Hameau / première récupération passée</x:v>
      </x:c>
      <x:c r="F1730" t="n">
        <x:v>8</x:v>
      </x:c>
      <x:c r="G1730" t="n">
        <x:v>4</x:v>
      </x:c>
      <x:c r="H1730" t="n">
        <x:v>12</x:v>
      </x:c>
      <x:c r="I1730" t="str">
        <x:v>À qualifier par lieu</x:v>
      </x:c>
      <x:c r="J1730" t="str">
        <x:v>https://github.com/darknigthmare/deadwall-last-enclosure/blob/e28f46223e73105ab2c5d83f3d50b99b58ef53e6/codex-3000/compositions/Agriculture/DW-1725.md</x:v>
      </x:c>
      <x:c r="K1730" t="str">
        <x:v>Source min 90,60 m ; max 700,450 m ; modèle 78 × 60 m ; niveaux 0. Détails dans catalogue-existant.json.</x:v>
      </x:c>
    </x:row>
    <x:row r="1731">
      <x:c r="A1731" t="str">
        <x:v>DW-1726</x:v>
      </x:c>
      <x:c r="B1731" t="str">
        <x:v>DW-0363</x:v>
      </x:c>
      <x:c r="C1731" t="str">
        <x:v>Composition héritée</x:v>
      </x:c>
      <x:c r="D1731" t="str">
        <x:v>Agriculture</x:v>
      </x:c>
      <x:c r="E1731" t="str">
        <x:v>Bergerie — Ferme, verger et pâtures / relais temporaire envisagé</x:v>
      </x:c>
      <x:c r="F1731" t="n">
        <x:v>8</x:v>
      </x:c>
      <x:c r="G1731" t="n">
        <x:v>4</x:v>
      </x:c>
      <x:c r="H1731" t="n">
        <x:v>12</x:v>
      </x:c>
      <x:c r="I1731" t="str">
        <x:v>À qualifier par lieu</x:v>
      </x:c>
      <x:c r="J1731" t="str">
        <x:v>https://github.com/darknigthmare/deadwall-last-enclosure/blob/e28f46223e73105ab2c5d83f3d50b99b58ef53e6/codex-3000/compositions/Agriculture/DW-1726.md</x:v>
      </x:c>
      <x:c r="K1731" t="str">
        <x:v>Source min 90,60 m ; max 700,450 m ; modèle 78 × 60 m ; niveaux 0. Détails dans catalogue-existant.json.</x:v>
      </x:c>
    </x:row>
    <x:row r="1732">
      <x:c r="A1732" t="str">
        <x:v>DW-1727</x:v>
      </x:c>
      <x:c r="B1732" t="str">
        <x:v>DW-0364</x:v>
      </x:c>
      <x:c r="C1732" t="str">
        <x:v>Composition héritée</x:v>
      </x:c>
      <x:c r="D1732" t="str">
        <x:v>Agriculture</x:v>
      </x:c>
      <x:c r="E1732" t="str">
        <x:v>Élevage avicole — Plateau sec et terrain aride / service déplacé à l’arrière</x:v>
      </x:c>
      <x:c r="F1732" t="n">
        <x:v>10</x:v>
      </x:c>
      <x:c r="G1732" t="n">
        <x:v>4</x:v>
      </x:c>
      <x:c r="H1732" t="n">
        <x:v>12</x:v>
      </x:c>
      <x:c r="I1732" t="str">
        <x:v>À qualifier par lieu</x:v>
      </x:c>
      <x:c r="J1732" t="str">
        <x:v>https://github.com/darknigthmare/deadwall-last-enclosure/blob/e28f46223e73105ab2c5d83f3d50b99b58ef53e6/codex-3000/compositions/Agriculture/DW-1727.md</x:v>
      </x:c>
      <x:c r="K1732" t="str">
        <x:v>Source min 90,60 m ; max 700,450 m ; modèle 78 × 60 m ; niveaux 0. Détails dans catalogue-existant.json.</x:v>
      </x:c>
    </x:row>
    <x:row r="1733">
      <x:c r="A1733" t="str">
        <x:v>DW-1728</x:v>
      </x:c>
      <x:c r="B1733" t="str">
        <x:v>DW-0364</x:v>
      </x:c>
      <x:c r="C1733" t="str">
        <x:v>Composition héritée</x:v>
      </x:c>
      <x:c r="D1733" t="str">
        <x:v>Agriculture</x:v>
      </x:c>
      <x:c r="E1733" t="str">
        <x:v>Élevage avicole — Prairie et friche ouverte / réseau principal coupé</x:v>
      </x:c>
      <x:c r="F1733" t="n">
        <x:v>8</x:v>
      </x:c>
      <x:c r="G1733" t="n">
        <x:v>4</x:v>
      </x:c>
      <x:c r="H1733" t="n">
        <x:v>12</x:v>
      </x:c>
      <x:c r="I1733" t="str">
        <x:v>À qualifier par lieu</x:v>
      </x:c>
      <x:c r="J1733" t="str">
        <x:v>https://github.com/darknigthmare/deadwall-last-enclosure/blob/e28f46223e73105ab2c5d83f3d50b99b58ef53e6/codex-3000/compositions/Agriculture/DW-1728.md</x:v>
      </x:c>
      <x:c r="K1733" t="str">
        <x:v>Source min 90,60 m ; max 700,450 m ; modèle 78 × 60 m ; niveaux 0. Détails dans catalogue-existant.json.</x:v>
      </x:c>
    </x:row>
    <x:row r="1734">
      <x:c r="A1734" t="str">
        <x:v>DW-1729</x:v>
      </x:c>
      <x:c r="B1734" t="str">
        <x:v>DW-0365</x:v>
      </x:c>
      <x:c r="C1734" t="str">
        <x:v>Composition héritée</x:v>
      </x:c>
      <x:c r="D1734" t="str">
        <x:v>Agriculture</x:v>
      </x:c>
      <x:c r="E1734" t="str">
        <x:v>Porcherie désaffectée — Ferme, verger et pâtures / reprise progressive de la végétation</x:v>
      </x:c>
      <x:c r="F1734" t="n">
        <x:v>8</x:v>
      </x:c>
      <x:c r="G1734" t="n">
        <x:v>4</x:v>
      </x:c>
      <x:c r="H1734" t="n">
        <x:v>12</x:v>
      </x:c>
      <x:c r="I1734" t="str">
        <x:v>À qualifier par lieu</x:v>
      </x:c>
      <x:c r="J1734" t="str">
        <x:v>https://github.com/darknigthmare/deadwall-last-enclosure/blob/e28f46223e73105ab2c5d83f3d50b99b58ef53e6/codex-3000/compositions/Agriculture/DW-1729.md</x:v>
      </x:c>
      <x:c r="K1734" t="str">
        <x:v>Source min 90,60 m ; max 700,450 m ; modèle 78 × 60 m ; niveaux 0. Détails dans catalogue-existant.json.</x:v>
      </x:c>
    </x:row>
    <x:row r="1735">
      <x:c r="A1735" t="str">
        <x:v>DW-1730</x:v>
      </x:c>
      <x:c r="B1735" t="str">
        <x:v>DW-0365</x:v>
      </x:c>
      <x:c r="C1735" t="str">
        <x:v>Composition héritée</x:v>
      </x:c>
      <x:c r="D1735" t="str">
        <x:v>Agriculture</x:v>
      </x:c>
      <x:c r="E1735" t="str">
        <x:v>Porcherie désaffectée — Hameau / repli organisé interrompu</x:v>
      </x:c>
      <x:c r="F1735" t="n">
        <x:v>8</x:v>
      </x:c>
      <x:c r="G1735" t="n">
        <x:v>4</x:v>
      </x:c>
      <x:c r="H1735" t="n">
        <x:v>12</x:v>
      </x:c>
      <x:c r="I1735" t="str">
        <x:v>À qualifier par lieu</x:v>
      </x:c>
      <x:c r="J1735" t="str">
        <x:v>https://github.com/darknigthmare/deadwall-last-enclosure/blob/e28f46223e73105ab2c5d83f3d50b99b58ef53e6/codex-3000/compositions/Agriculture/DW-1730.md</x:v>
      </x:c>
      <x:c r="K1735" t="str">
        <x:v>Source min 90,60 m ; max 700,450 m ; modèle 78 × 60 m ; niveaux 0. Détails dans catalogue-existant.json.</x:v>
      </x:c>
    </x:row>
    <x:row r="1736">
      <x:c r="A1736" t="str">
        <x:v>DW-1731</x:v>
      </x:c>
      <x:c r="B1736" t="str">
        <x:v>DW-0366</x:v>
      </x:c>
      <x:c r="C1736" t="str">
        <x:v>Composition héritée</x:v>
      </x:c>
      <x:c r="D1736" t="str">
        <x:v>Agriculture</x:v>
      </x:c>
      <x:c r="E1736" t="str">
        <x:v>Ferme laitière — Prairie et friche ouverte / relais temporaire envisagé</x:v>
      </x:c>
      <x:c r="F1736" t="n">
        <x:v>8</x:v>
      </x:c>
      <x:c r="G1736" t="n">
        <x:v>4</x:v>
      </x:c>
      <x:c r="H1736" t="n">
        <x:v>12</x:v>
      </x:c>
      <x:c r="I1736" t="str">
        <x:v>À qualifier par lieu</x:v>
      </x:c>
      <x:c r="J1736" t="str">
        <x:v>https://github.com/darknigthmare/deadwall-last-enclosure/blob/e28f46223e73105ab2c5d83f3d50b99b58ef53e6/codex-3000/compositions/Agriculture/DW-1731.md</x:v>
      </x:c>
      <x:c r="K1736" t="str">
        <x:v>Source min 90,60 m ; max 700,450 m ; modèle 78 × 60 m ; niveaux 0. Détails dans catalogue-existant.json.</x:v>
      </x:c>
    </x:row>
    <x:row r="1737">
      <x:c r="A1737" t="str">
        <x:v>DW-1732</x:v>
      </x:c>
      <x:c r="B1737" t="str">
        <x:v>DW-0366</x:v>
      </x:c>
      <x:c r="C1737" t="str">
        <x:v>Composition héritée</x:v>
      </x:c>
      <x:c r="D1737" t="str">
        <x:v>Agriculture</x:v>
      </x:c>
      <x:c r="E1737" t="str">
        <x:v>Ferme laitière — Plateau sec et terrain aride / évacuation interrompue</x:v>
      </x:c>
      <x:c r="F1737" t="n">
        <x:v>10</x:v>
      </x:c>
      <x:c r="G1737" t="n">
        <x:v>4</x:v>
      </x:c>
      <x:c r="H1737" t="n">
        <x:v>12</x:v>
      </x:c>
      <x:c r="I1737" t="str">
        <x:v>À qualifier par lieu</x:v>
      </x:c>
      <x:c r="J1737" t="str">
        <x:v>https://github.com/darknigthmare/deadwall-last-enclosure/blob/e28f46223e73105ab2c5d83f3d50b99b58ef53e6/codex-3000/compositions/Agriculture/DW-1732.md</x:v>
      </x:c>
      <x:c r="K1737" t="str">
        <x:v>Source min 90,60 m ; max 700,450 m ; modèle 78 × 60 m ; niveaux 0. Détails dans catalogue-existant.json.</x:v>
      </x:c>
    </x:row>
    <x:row r="1738">
      <x:c r="A1738" t="str">
        <x:v>DW-1733</x:v>
      </x:c>
      <x:c r="B1738" t="str">
        <x:v>DW-0367</x:v>
      </x:c>
      <x:c r="C1738" t="str">
        <x:v>Composition héritée</x:v>
      </x:c>
      <x:c r="D1738" t="str">
        <x:v>Agriculture</x:v>
      </x:c>
      <x:c r="E1738" t="str">
        <x:v>Exploitation maraîchère — Hameau / réseau principal coupé</x:v>
      </x:c>
      <x:c r="F1738" t="n">
        <x:v>8</x:v>
      </x:c>
      <x:c r="G1738" t="n">
        <x:v>4</x:v>
      </x:c>
      <x:c r="H1738" t="n">
        <x:v>12</x:v>
      </x:c>
      <x:c r="I1738" t="str">
        <x:v>À qualifier par lieu</x:v>
      </x:c>
      <x:c r="J1738" t="str">
        <x:v>https://github.com/darknigthmare/deadwall-last-enclosure/blob/e28f46223e73105ab2c5d83f3d50b99b58ef53e6/codex-3000/compositions/Agriculture/DW-1733.md</x:v>
      </x:c>
      <x:c r="K1738" t="str">
        <x:v>Source min 90,60 m ; max 700,450 m ; modèle 78 × 60 m ; niveaux 0. Détails dans catalogue-existant.json.</x:v>
      </x:c>
    </x:row>
    <x:row r="1739">
      <x:c r="A1739" t="str">
        <x:v>DW-1734</x:v>
      </x:c>
      <x:c r="B1739" t="str">
        <x:v>DW-0367</x:v>
      </x:c>
      <x:c r="C1739" t="str">
        <x:v>Composition héritée</x:v>
      </x:c>
      <x:c r="D1739" t="str">
        <x:v>Agriculture</x:v>
      </x:c>
      <x:c r="E1739" t="str">
        <x:v>Exploitation maraîchère — Ferme, verger et pâtures / arrêt de maintenance</x:v>
      </x:c>
      <x:c r="F1739" t="n">
        <x:v>8</x:v>
      </x:c>
      <x:c r="G1739" t="n">
        <x:v>4</x:v>
      </x:c>
      <x:c r="H1739" t="n">
        <x:v>12</x:v>
      </x:c>
      <x:c r="I1739" t="str">
        <x:v>À qualifier par lieu</x:v>
      </x:c>
      <x:c r="J1739" t="str">
        <x:v>https://github.com/darknigthmare/deadwall-last-enclosure/blob/e28f46223e73105ab2c5d83f3d50b99b58ef53e6/codex-3000/compositions/Agriculture/DW-1734.md</x:v>
      </x:c>
      <x:c r="K1739" t="str">
        <x:v>Source min 90,60 m ; max 700,450 m ; modèle 78 × 60 m ; niveaux 0. Détails dans catalogue-existant.json.</x:v>
      </x:c>
    </x:row>
    <x:row r="1740">
      <x:c r="A1740" t="str">
        <x:v>DW-1735</x:v>
      </x:c>
      <x:c r="B1740" t="str">
        <x:v>DW-0368</x:v>
      </x:c>
      <x:c r="C1740" t="str">
        <x:v>Composition héritée</x:v>
      </x:c>
      <x:c r="D1740" t="str">
        <x:v>Agriculture</x:v>
      </x:c>
      <x:c r="E1740" t="str">
        <x:v>Serres horticoles — Plateau sec et terrain aride / repli organisé interrompu</x:v>
      </x:c>
      <x:c r="F1740" t="n">
        <x:v>10</x:v>
      </x:c>
      <x:c r="G1740" t="n">
        <x:v>4</x:v>
      </x:c>
      <x:c r="H1740" t="n">
        <x:v>12</x:v>
      </x:c>
      <x:c r="I1740" t="str">
        <x:v>À qualifier par lieu</x:v>
      </x:c>
      <x:c r="J1740" t="str">
        <x:v>https://github.com/darknigthmare/deadwall-last-enclosure/blob/e28f46223e73105ab2c5d83f3d50b99b58ef53e6/codex-3000/compositions/Agriculture/DW-1735.md</x:v>
      </x:c>
      <x:c r="K1740" t="str">
        <x:v>Source min 90,60 m ; max 700,450 m ; modèle 78 × 60 m ; niveaux 0. Détails dans catalogue-existant.json.</x:v>
      </x:c>
    </x:row>
    <x:row r="1741">
      <x:c r="A1741" t="str">
        <x:v>DW-1736</x:v>
      </x:c>
      <x:c r="B1741" t="str">
        <x:v>DW-0368</x:v>
      </x:c>
      <x:c r="C1741" t="str">
        <x:v>Composition héritée</x:v>
      </x:c>
      <x:c r="D1741" t="str">
        <x:v>Agriculture</x:v>
      </x:c>
      <x:c r="E1741" t="str">
        <x:v>Serres horticoles — Prairie et friche ouverte / première récupération passée</x:v>
      </x:c>
      <x:c r="F1741" t="n">
        <x:v>8</x:v>
      </x:c>
      <x:c r="G1741" t="n">
        <x:v>4</x:v>
      </x:c>
      <x:c r="H1741" t="n">
        <x:v>12</x:v>
      </x:c>
      <x:c r="I1741" t="str">
        <x:v>À qualifier par lieu</x:v>
      </x:c>
      <x:c r="J1741" t="str">
        <x:v>https://github.com/darknigthmare/deadwall-last-enclosure/blob/e28f46223e73105ab2c5d83f3d50b99b58ef53e6/codex-3000/compositions/Agriculture/DW-1736.md</x:v>
      </x:c>
      <x:c r="K1741" t="str">
        <x:v>Source min 90,60 m ; max 700,450 m ; modèle 78 × 60 m ; niveaux 0. Détails dans catalogue-existant.json.</x:v>
      </x:c>
    </x:row>
    <x:row r="1742">
      <x:c r="A1742" t="str">
        <x:v>DW-1737</x:v>
      </x:c>
      <x:c r="B1742" t="str">
        <x:v>DW-0369</x:v>
      </x:c>
      <x:c r="C1742" t="str">
        <x:v>Composition héritée</x:v>
      </x:c>
      <x:c r="D1742" t="str">
        <x:v>Agriculture</x:v>
      </x:c>
      <x:c r="E1742" t="str">
        <x:v>Verger — Ferme, verger et pâtures / évacuation interrompue</x:v>
      </x:c>
      <x:c r="F1742" t="n">
        <x:v>8</x:v>
      </x:c>
      <x:c r="G1742" t="n">
        <x:v>4</x:v>
      </x:c>
      <x:c r="H1742" t="n">
        <x:v>12</x:v>
      </x:c>
      <x:c r="I1742" t="str">
        <x:v>À qualifier par lieu</x:v>
      </x:c>
      <x:c r="J1742" t="str">
        <x:v>https://github.com/darknigthmare/deadwall-last-enclosure/blob/e28f46223e73105ab2c5d83f3d50b99b58ef53e6/codex-3000/compositions/Agriculture/DW-1737.md</x:v>
      </x:c>
      <x:c r="K1742" t="str">
        <x:v>Source min 90,60 m ; max 700,450 m ; modèle 78 × 60 m ; niveaux 0. Détails dans catalogue-existant.json.</x:v>
      </x:c>
    </x:row>
    <x:row r="1743">
      <x:c r="A1743" t="str">
        <x:v>DW-1738</x:v>
      </x:c>
      <x:c r="B1743" t="str">
        <x:v>DW-0369</x:v>
      </x:c>
      <x:c r="C1743" t="str">
        <x:v>Composition héritée</x:v>
      </x:c>
      <x:c r="D1743" t="str">
        <x:v>Agriculture</x:v>
      </x:c>
      <x:c r="E1743" t="str">
        <x:v>Verger — Hameau / service déplacé à l’arrière</x:v>
      </x:c>
      <x:c r="F1743" t="n">
        <x:v>8</x:v>
      </x:c>
      <x:c r="G1743" t="n">
        <x:v>4</x:v>
      </x:c>
      <x:c r="H1743" t="n">
        <x:v>12</x:v>
      </x:c>
      <x:c r="I1743" t="str">
        <x:v>À qualifier par lieu</x:v>
      </x:c>
      <x:c r="J1743" t="str">
        <x:v>https://github.com/darknigthmare/deadwall-last-enclosure/blob/e28f46223e73105ab2c5d83f3d50b99b58ef53e6/codex-3000/compositions/Agriculture/DW-1738.md</x:v>
      </x:c>
      <x:c r="K1743" t="str">
        <x:v>Source min 90,60 m ; max 700,450 m ; modèle 78 × 60 m ; niveaux 0. Détails dans catalogue-existant.json.</x:v>
      </x:c>
    </x:row>
    <x:row r="1744">
      <x:c r="A1744" t="str">
        <x:v>DW-1739</x:v>
      </x:c>
      <x:c r="B1744" t="str">
        <x:v>DW-0370</x:v>
      </x:c>
      <x:c r="C1744" t="str">
        <x:v>Composition héritée</x:v>
      </x:c>
      <x:c r="D1744" t="str">
        <x:v>Agriculture</x:v>
      </x:c>
      <x:c r="E1744" t="str">
        <x:v>Vignoble fictif — Prairie et friche ouverte / arrêt de maintenance</x:v>
      </x:c>
      <x:c r="F1744" t="n">
        <x:v>8</x:v>
      </x:c>
      <x:c r="G1744" t="n">
        <x:v>4</x:v>
      </x:c>
      <x:c r="H1744" t="n">
        <x:v>12</x:v>
      </x:c>
      <x:c r="I1744" t="str">
        <x:v>À qualifier par lieu</x:v>
      </x:c>
      <x:c r="J1744" t="str">
        <x:v>https://github.com/darknigthmare/deadwall-last-enclosure/blob/e28f46223e73105ab2c5d83f3d50b99b58ef53e6/codex-3000/compositions/Agriculture/DW-1739.md</x:v>
      </x:c>
      <x:c r="K1744" t="str">
        <x:v>Source min 90,60 m ; max 700,450 m ; modèle 78 × 60 m ; niveaux 0. Détails dans catalogue-existant.json.</x:v>
      </x:c>
    </x:row>
    <x:row r="1745">
      <x:c r="A1745" t="str">
        <x:v>DW-1740</x:v>
      </x:c>
      <x:c r="B1745" t="str">
        <x:v>DW-0370</x:v>
      </x:c>
      <x:c r="C1745" t="str">
        <x:v>Composition héritée</x:v>
      </x:c>
      <x:c r="D1745" t="str">
        <x:v>Agriculture</x:v>
      </x:c>
      <x:c r="E1745" t="str">
        <x:v>Vignoble fictif — Plateau sec et terrain aride / reprise progressive de la végétation</x:v>
      </x:c>
      <x:c r="F1745" t="n">
        <x:v>10</x:v>
      </x:c>
      <x:c r="G1745" t="n">
        <x:v>4</x:v>
      </x:c>
      <x:c r="H1745" t="n">
        <x:v>12</x:v>
      </x:c>
      <x:c r="I1745" t="str">
        <x:v>À qualifier par lieu</x:v>
      </x:c>
      <x:c r="J1745" t="str">
        <x:v>https://github.com/darknigthmare/deadwall-last-enclosure/blob/e28f46223e73105ab2c5d83f3d50b99b58ef53e6/codex-3000/compositions/Agriculture/DW-1740.md</x:v>
      </x:c>
      <x:c r="K1745" t="str">
        <x:v>Source min 90,60 m ; max 700,450 m ; modèle 78 × 60 m ; niveaux 0. Détails dans catalogue-existant.json.</x:v>
      </x:c>
    </x:row>
    <x:row r="1746">
      <x:c r="A1746" t="str">
        <x:v>DW-1741</x:v>
      </x:c>
      <x:c r="B1746" t="str">
        <x:v>DW-0371</x:v>
      </x:c>
      <x:c r="C1746" t="str">
        <x:v>Composition héritée</x:v>
      </x:c>
      <x:c r="D1746" t="str">
        <x:v>Agriculture</x:v>
      </x:c>
      <x:c r="E1746" t="str">
        <x:v>Oliveraie — Hameau / première récupération passée</x:v>
      </x:c>
      <x:c r="F1746" t="n">
        <x:v>8</x:v>
      </x:c>
      <x:c r="G1746" t="n">
        <x:v>4</x:v>
      </x:c>
      <x:c r="H1746" t="n">
        <x:v>12</x:v>
      </x:c>
      <x:c r="I1746" t="str">
        <x:v>À qualifier par lieu</x:v>
      </x:c>
      <x:c r="J1746" t="str">
        <x:v>https://github.com/darknigthmare/deadwall-last-enclosure/blob/e28f46223e73105ab2c5d83f3d50b99b58ef53e6/codex-3000/compositions/Agriculture/DW-1741.md</x:v>
      </x:c>
      <x:c r="K1746" t="str">
        <x:v>Source min 90,60 m ; max 700,450 m ; modèle 78 × 60 m ; niveaux 0. Détails dans catalogue-existant.json.</x:v>
      </x:c>
    </x:row>
    <x:row r="1747">
      <x:c r="A1747" t="str">
        <x:v>DW-1742</x:v>
      </x:c>
      <x:c r="B1747" t="str">
        <x:v>DW-0371</x:v>
      </x:c>
      <x:c r="C1747" t="str">
        <x:v>Composition héritée</x:v>
      </x:c>
      <x:c r="D1747" t="str">
        <x:v>Agriculture</x:v>
      </x:c>
      <x:c r="E1747" t="str">
        <x:v>Oliveraie — Ferme, verger et pâtures / relais temporaire envisagé</x:v>
      </x:c>
      <x:c r="F1747" t="n">
        <x:v>8</x:v>
      </x:c>
      <x:c r="G1747" t="n">
        <x:v>4</x:v>
      </x:c>
      <x:c r="H1747" t="n">
        <x:v>12</x:v>
      </x:c>
      <x:c r="I1747" t="str">
        <x:v>À qualifier par lieu</x:v>
      </x:c>
      <x:c r="J1747" t="str">
        <x:v>https://github.com/darknigthmare/deadwall-last-enclosure/blob/e28f46223e73105ab2c5d83f3d50b99b58ef53e6/codex-3000/compositions/Agriculture/DW-1742.md</x:v>
      </x:c>
      <x:c r="K1747" t="str">
        <x:v>Source min 90,60 m ; max 700,450 m ; modèle 78 × 60 m ; niveaux 0. Détails dans catalogue-existant.json.</x:v>
      </x:c>
    </x:row>
    <x:row r="1748">
      <x:c r="A1748" t="str">
        <x:v>DW-1743</x:v>
      </x:c>
      <x:c r="B1748" t="str">
        <x:v>DW-0372</x:v>
      </x:c>
      <x:c r="C1748" t="str">
        <x:v>Composition héritée</x:v>
      </x:c>
      <x:c r="D1748" t="str">
        <x:v>Agriculture</x:v>
      </x:c>
      <x:c r="E1748" t="str">
        <x:v>Ferme apicole — Plateau sec et terrain aride / service déplacé à l’arrière</x:v>
      </x:c>
      <x:c r="F1748" t="n">
        <x:v>10</x:v>
      </x:c>
      <x:c r="G1748" t="n">
        <x:v>4</x:v>
      </x:c>
      <x:c r="H1748" t="n">
        <x:v>12</x:v>
      </x:c>
      <x:c r="I1748" t="str">
        <x:v>À qualifier par lieu</x:v>
      </x:c>
      <x:c r="J1748" t="str">
        <x:v>https://github.com/darknigthmare/deadwall-last-enclosure/blob/e28f46223e73105ab2c5d83f3d50b99b58ef53e6/codex-3000/compositions/Agriculture/DW-1743.md</x:v>
      </x:c>
      <x:c r="K1748" t="str">
        <x:v>Source min 90,60 m ; max 700,450 m ; modèle 78 × 60 m ; niveaux 0. Détails dans catalogue-existant.json.</x:v>
      </x:c>
    </x:row>
    <x:row r="1749">
      <x:c r="A1749" t="str">
        <x:v>DW-1744</x:v>
      </x:c>
      <x:c r="B1749" t="str">
        <x:v>DW-0372</x:v>
      </x:c>
      <x:c r="C1749" t="str">
        <x:v>Composition héritée</x:v>
      </x:c>
      <x:c r="D1749" t="str">
        <x:v>Agriculture</x:v>
      </x:c>
      <x:c r="E1749" t="str">
        <x:v>Ferme apicole — Prairie et friche ouverte / réseau principal coupé</x:v>
      </x:c>
      <x:c r="F1749" t="n">
        <x:v>8</x:v>
      </x:c>
      <x:c r="G1749" t="n">
        <x:v>4</x:v>
      </x:c>
      <x:c r="H1749" t="n">
        <x:v>12</x:v>
      </x:c>
      <x:c r="I1749" t="str">
        <x:v>À qualifier par lieu</x:v>
      </x:c>
      <x:c r="J1749" t="str">
        <x:v>https://github.com/darknigthmare/deadwall-last-enclosure/blob/e28f46223e73105ab2c5d83f3d50b99b58ef53e6/codex-3000/compositions/Agriculture/DW-1744.md</x:v>
      </x:c>
      <x:c r="K1749" t="str">
        <x:v>Source min 90,60 m ; max 700,450 m ; modèle 78 × 60 m ; niveaux 0. Détails dans catalogue-existant.json.</x:v>
      </x:c>
    </x:row>
    <x:row r="1750">
      <x:c r="A1750" t="str">
        <x:v>DW-1745</x:v>
      </x:c>
      <x:c r="B1750" t="str">
        <x:v>DW-0373</x:v>
      </x:c>
      <x:c r="C1750" t="str">
        <x:v>Composition héritée</x:v>
      </x:c>
      <x:c r="D1750" t="str">
        <x:v>Agriculture</x:v>
      </x:c>
      <x:c r="E1750" t="str">
        <x:v>Centre équestre — Ferme, verger et pâtures / reprise progressive de la végétation</x:v>
      </x:c>
      <x:c r="F1750" t="n">
        <x:v>8</x:v>
      </x:c>
      <x:c r="G1750" t="n">
        <x:v>5</x:v>
      </x:c>
      <x:c r="H1750" t="n">
        <x:v>15</x:v>
      </x:c>
      <x:c r="I1750" t="str">
        <x:v>À qualifier par lieu</x:v>
      </x:c>
      <x:c r="J1750" t="str">
        <x:v>https://github.com/darknigthmare/deadwall-last-enclosure/blob/e28f46223e73105ab2c5d83f3d50b99b58ef53e6/codex-3000/compositions/Agriculture/DW-1745.md</x:v>
      </x:c>
      <x:c r="K1750" t="str">
        <x:v>Source min 90,60 m ; max 700,450 m ; modèle 78 × 60 m ; niveaux 0. Détails dans catalogue-existant.json.</x:v>
      </x:c>
    </x:row>
    <x:row r="1751">
      <x:c r="A1751" t="str">
        <x:v>DW-1746</x:v>
      </x:c>
      <x:c r="B1751" t="str">
        <x:v>DW-0373</x:v>
      </x:c>
      <x:c r="C1751" t="str">
        <x:v>Composition héritée</x:v>
      </x:c>
      <x:c r="D1751" t="str">
        <x:v>Agriculture</x:v>
      </x:c>
      <x:c r="E1751" t="str">
        <x:v>Centre équestre — Hameau / repli organisé interrompu</x:v>
      </x:c>
      <x:c r="F1751" t="n">
        <x:v>8</x:v>
      </x:c>
      <x:c r="G1751" t="n">
        <x:v>5</x:v>
      </x:c>
      <x:c r="H1751" t="n">
        <x:v>15</x:v>
      </x:c>
      <x:c r="I1751" t="str">
        <x:v>À qualifier par lieu</x:v>
      </x:c>
      <x:c r="J1751" t="str">
        <x:v>https://github.com/darknigthmare/deadwall-last-enclosure/blob/e28f46223e73105ab2c5d83f3d50b99b58ef53e6/codex-3000/compositions/Agriculture/DW-1746.md</x:v>
      </x:c>
      <x:c r="K1751" t="str">
        <x:v>Source min 90,60 m ; max 700,450 m ; modèle 78 × 60 m ; niveaux 0. Détails dans catalogue-existant.json.</x:v>
      </x:c>
    </x:row>
    <x:row r="1752">
      <x:c r="A1752" t="str">
        <x:v>DW-1747</x:v>
      </x:c>
      <x:c r="B1752" t="str">
        <x:v>DW-0374</x:v>
      </x:c>
      <x:c r="C1752" t="str">
        <x:v>Composition héritée</x:v>
      </x:c>
      <x:c r="D1752" t="str">
        <x:v>Agriculture</x:v>
      </x:c>
      <x:c r="E1752" t="str">
        <x:v>Ferme pédagogique — Prairie et friche ouverte / relais temporaire envisagé</x:v>
      </x:c>
      <x:c r="F1752" t="n">
        <x:v>8</x:v>
      </x:c>
      <x:c r="G1752" t="n">
        <x:v>4</x:v>
      </x:c>
      <x:c r="H1752" t="n">
        <x:v>12</x:v>
      </x:c>
      <x:c r="I1752" t="str">
        <x:v>À qualifier par lieu</x:v>
      </x:c>
      <x:c r="J1752" t="str">
        <x:v>https://github.com/darknigthmare/deadwall-last-enclosure/blob/e28f46223e73105ab2c5d83f3d50b99b58ef53e6/codex-3000/compositions/Agriculture/DW-1747.md</x:v>
      </x:c>
      <x:c r="K1752" t="str">
        <x:v>Source min 90,60 m ; max 700,450 m ; modèle 78 × 60 m ; niveaux 0. Détails dans catalogue-existant.json.</x:v>
      </x:c>
    </x:row>
    <x:row r="1753">
      <x:c r="A1753" t="str">
        <x:v>DW-1748</x:v>
      </x:c>
      <x:c r="B1753" t="str">
        <x:v>DW-0374</x:v>
      </x:c>
      <x:c r="C1753" t="str">
        <x:v>Composition héritée</x:v>
      </x:c>
      <x:c r="D1753" t="str">
        <x:v>Agriculture</x:v>
      </x:c>
      <x:c r="E1753" t="str">
        <x:v>Ferme pédagogique — Plateau sec et terrain aride / évacuation interrompue</x:v>
      </x:c>
      <x:c r="F1753" t="n">
        <x:v>10</x:v>
      </x:c>
      <x:c r="G1753" t="n">
        <x:v>4</x:v>
      </x:c>
      <x:c r="H1753" t="n">
        <x:v>12</x:v>
      </x:c>
      <x:c r="I1753" t="str">
        <x:v>À qualifier par lieu</x:v>
      </x:c>
      <x:c r="J1753" t="str">
        <x:v>https://github.com/darknigthmare/deadwall-last-enclosure/blob/e28f46223e73105ab2c5d83f3d50b99b58ef53e6/codex-3000/compositions/Agriculture/DW-1748.md</x:v>
      </x:c>
      <x:c r="K1753" t="str">
        <x:v>Source min 90,60 m ; max 700,450 m ; modèle 78 × 60 m ; niveaux 0. Détails dans catalogue-existant.json.</x:v>
      </x:c>
    </x:row>
    <x:row r="1754">
      <x:c r="A1754" t="str">
        <x:v>DW-1749</x:v>
      </x:c>
      <x:c r="B1754" t="str">
        <x:v>DW-0375</x:v>
      </x:c>
      <x:c r="C1754" t="str">
        <x:v>Composition héritée</x:v>
      </x:c>
      <x:c r="D1754" t="str">
        <x:v>Agriculture</x:v>
      </x:c>
      <x:c r="E1754" t="str">
        <x:v>Coopérative agricole — Hameau / réseau principal coupé</x:v>
      </x:c>
      <x:c r="F1754" t="n">
        <x:v>8</x:v>
      </x:c>
      <x:c r="G1754" t="n">
        <x:v>4</x:v>
      </x:c>
      <x:c r="H1754" t="n">
        <x:v>12</x:v>
      </x:c>
      <x:c r="I1754" t="str">
        <x:v>À qualifier par lieu</x:v>
      </x:c>
      <x:c r="J1754" t="str">
        <x:v>https://github.com/darknigthmare/deadwall-last-enclosure/blob/e28f46223e73105ab2c5d83f3d50b99b58ef53e6/codex-3000/compositions/Agriculture/DW-1749.md</x:v>
      </x:c>
      <x:c r="K1754" t="str">
        <x:v>Source min 90,60 m ; max 700,450 m ; modèle 78 × 60 m ; niveaux 0. Détails dans catalogue-existant.json.</x:v>
      </x:c>
    </x:row>
    <x:row r="1755">
      <x:c r="A1755" t="str">
        <x:v>DW-1750</x:v>
      </x:c>
      <x:c r="B1755" t="str">
        <x:v>DW-0375</x:v>
      </x:c>
      <x:c r="C1755" t="str">
        <x:v>Composition héritée</x:v>
      </x:c>
      <x:c r="D1755" t="str">
        <x:v>Agriculture</x:v>
      </x:c>
      <x:c r="E1755" t="str">
        <x:v>Coopérative agricole — Ferme, verger et pâtures / arrêt de maintenance</x:v>
      </x:c>
      <x:c r="F1755" t="n">
        <x:v>8</x:v>
      </x:c>
      <x:c r="G1755" t="n">
        <x:v>4</x:v>
      </x:c>
      <x:c r="H1755" t="n">
        <x:v>12</x:v>
      </x:c>
      <x:c r="I1755" t="str">
        <x:v>À qualifier par lieu</x:v>
      </x:c>
      <x:c r="J1755" t="str">
        <x:v>https://github.com/darknigthmare/deadwall-last-enclosure/blob/e28f46223e73105ab2c5d83f3d50b99b58ef53e6/codex-3000/compositions/Agriculture/DW-1750.md</x:v>
      </x:c>
      <x:c r="K1755" t="str">
        <x:v>Source min 90,60 m ; max 700,450 m ; modèle 78 × 60 m ; niveaux 0. Détails dans catalogue-existant.json.</x:v>
      </x:c>
    </x:row>
    <x:row r="1756">
      <x:c r="A1756" t="str">
        <x:v>DW-1751</x:v>
      </x:c>
      <x:c r="B1756" t="str">
        <x:v>DW-0376</x:v>
      </x:c>
      <x:c r="C1756" t="str">
        <x:v>Composition héritée</x:v>
      </x:c>
      <x:c r="D1756" t="str">
        <x:v>Agriculture</x:v>
      </x:c>
      <x:c r="E1756" t="str">
        <x:v>Silo à grains — Plateau sec et terrain aride / repli organisé interrompu</x:v>
      </x:c>
      <x:c r="F1756" t="n">
        <x:v>10</x:v>
      </x:c>
      <x:c r="G1756" t="n">
        <x:v>4</x:v>
      </x:c>
      <x:c r="H1756" t="n">
        <x:v>12</x:v>
      </x:c>
      <x:c r="I1756" t="str">
        <x:v>À qualifier par lieu</x:v>
      </x:c>
      <x:c r="J1756" t="str">
        <x:v>https://github.com/darknigthmare/deadwall-last-enclosure/blob/e28f46223e73105ab2c5d83f3d50b99b58ef53e6/codex-3000/compositions/Agriculture/DW-1751.md</x:v>
      </x:c>
      <x:c r="K1756" t="str">
        <x:v>Source min 90,60 m ; max 700,450 m ; modèle 78 × 60 m ; niveaux 0. Détails dans catalogue-existant.json.</x:v>
      </x:c>
    </x:row>
    <x:row r="1757">
      <x:c r="A1757" t="str">
        <x:v>DW-1752</x:v>
      </x:c>
      <x:c r="B1757" t="str">
        <x:v>DW-0376</x:v>
      </x:c>
      <x:c r="C1757" t="str">
        <x:v>Composition héritée</x:v>
      </x:c>
      <x:c r="D1757" t="str">
        <x:v>Agriculture</x:v>
      </x:c>
      <x:c r="E1757" t="str">
        <x:v>Silo à grains — Prairie et friche ouverte / première récupération passée</x:v>
      </x:c>
      <x:c r="F1757" t="n">
        <x:v>8</x:v>
      </x:c>
      <x:c r="G1757" t="n">
        <x:v>4</x:v>
      </x:c>
      <x:c r="H1757" t="n">
        <x:v>12</x:v>
      </x:c>
      <x:c r="I1757" t="str">
        <x:v>À qualifier par lieu</x:v>
      </x:c>
      <x:c r="J1757" t="str">
        <x:v>https://github.com/darknigthmare/deadwall-last-enclosure/blob/e28f46223e73105ab2c5d83f3d50b99b58ef53e6/codex-3000/compositions/Agriculture/DW-1752.md</x:v>
      </x:c>
      <x:c r="K1757" t="str">
        <x:v>Source min 90,60 m ; max 700,450 m ; modèle 78 × 60 m ; niveaux 0. Détails dans catalogue-existant.json.</x:v>
      </x:c>
    </x:row>
    <x:row r="1758">
      <x:c r="A1758" t="str">
        <x:v>DW-1753</x:v>
      </x:c>
      <x:c r="B1758" t="str">
        <x:v>DW-0377</x:v>
      </x:c>
      <x:c r="C1758" t="str">
        <x:v>Composition héritée</x:v>
      </x:c>
      <x:c r="D1758" t="str">
        <x:v>Agriculture</x:v>
      </x:c>
      <x:c r="E1758" t="str">
        <x:v>Dépôt d'amendements agricoles — Ferme, verger et pâtures / évacuation interrompue</x:v>
      </x:c>
      <x:c r="F1758" t="n">
        <x:v>8</x:v>
      </x:c>
      <x:c r="G1758" t="n">
        <x:v>4</x:v>
      </x:c>
      <x:c r="H1758" t="n">
        <x:v>12</x:v>
      </x:c>
      <x:c r="I1758" t="str">
        <x:v>À qualifier par lieu</x:v>
      </x:c>
      <x:c r="J1758" t="str">
        <x:v>https://github.com/darknigthmare/deadwall-last-enclosure/blob/e28f46223e73105ab2c5d83f3d50b99b58ef53e6/codex-3000/compositions/Agriculture/DW-1753.md</x:v>
      </x:c>
      <x:c r="K1758" t="str">
        <x:v>Source min 90,60 m ; max 700,450 m ; modèle 78 × 60 m ; niveaux 0. Détails dans catalogue-existant.json.</x:v>
      </x:c>
    </x:row>
    <x:row r="1759">
      <x:c r="A1759" t="str">
        <x:v>DW-1754</x:v>
      </x:c>
      <x:c r="B1759" t="str">
        <x:v>DW-0377</x:v>
      </x:c>
      <x:c r="C1759" t="str">
        <x:v>Composition héritée</x:v>
      </x:c>
      <x:c r="D1759" t="str">
        <x:v>Agriculture</x:v>
      </x:c>
      <x:c r="E1759" t="str">
        <x:v>Dépôt d'amendements agricoles — Hameau / service déplacé à l’arrière</x:v>
      </x:c>
      <x:c r="F1759" t="n">
        <x:v>8</x:v>
      </x:c>
      <x:c r="G1759" t="n">
        <x:v>4</x:v>
      </x:c>
      <x:c r="H1759" t="n">
        <x:v>12</x:v>
      </x:c>
      <x:c r="I1759" t="str">
        <x:v>À qualifier par lieu</x:v>
      </x:c>
      <x:c r="J1759" t="str">
        <x:v>https://github.com/darknigthmare/deadwall-last-enclosure/blob/e28f46223e73105ab2c5d83f3d50b99b58ef53e6/codex-3000/compositions/Agriculture/DW-1754.md</x:v>
      </x:c>
      <x:c r="K1759" t="str">
        <x:v>Source min 90,60 m ; max 700,450 m ; modèle 78 × 60 m ; niveaux 0. Détails dans catalogue-existant.json.</x:v>
      </x:c>
    </x:row>
    <x:row r="1760">
      <x:c r="A1760" t="str">
        <x:v>DW-1755</x:v>
      </x:c>
      <x:c r="B1760" t="str">
        <x:v>DW-0378</x:v>
      </x:c>
      <x:c r="C1760" t="str">
        <x:v>Composition héritée</x:v>
      </x:c>
      <x:c r="D1760" t="str">
        <x:v>Agriculture</x:v>
      </x:c>
      <x:c r="E1760" t="str">
        <x:v>Champ abandonné en friche — Prairie et friche ouverte / arrêt de maintenance</x:v>
      </x:c>
      <x:c r="F1760" t="n">
        <x:v>8</x:v>
      </x:c>
      <x:c r="G1760" t="n">
        <x:v>4</x:v>
      </x:c>
      <x:c r="H1760" t="n">
        <x:v>12</x:v>
      </x:c>
      <x:c r="I1760" t="str">
        <x:v>À qualifier par lieu</x:v>
      </x:c>
      <x:c r="J1760" t="str">
        <x:v>https://github.com/darknigthmare/deadwall-last-enclosure/blob/e28f46223e73105ab2c5d83f3d50b99b58ef53e6/codex-3000/compositions/Agriculture/DW-1755.md</x:v>
      </x:c>
      <x:c r="K1760" t="str">
        <x:v>Source min 90,60 m ; max 700,450 m ; modèle 78 × 60 m ; niveaux 0. Détails dans catalogue-existant.json.</x:v>
      </x:c>
    </x:row>
    <x:row r="1761">
      <x:c r="A1761" t="str">
        <x:v>DW-1756</x:v>
      </x:c>
      <x:c r="B1761" t="str">
        <x:v>DW-0378</x:v>
      </x:c>
      <x:c r="C1761" t="str">
        <x:v>Composition héritée</x:v>
      </x:c>
      <x:c r="D1761" t="str">
        <x:v>Agriculture</x:v>
      </x:c>
      <x:c r="E1761" t="str">
        <x:v>Champ abandonné en friche — Plateau sec et terrain aride / reprise progressive de la végétation</x:v>
      </x:c>
      <x:c r="F1761" t="n">
        <x:v>10</x:v>
      </x:c>
      <x:c r="G1761" t="n">
        <x:v>4</x:v>
      </x:c>
      <x:c r="H1761" t="n">
        <x:v>12</x:v>
      </x:c>
      <x:c r="I1761" t="str">
        <x:v>À qualifier par lieu</x:v>
      </x:c>
      <x:c r="J1761" t="str">
        <x:v>https://github.com/darknigthmare/deadwall-last-enclosure/blob/e28f46223e73105ab2c5d83f3d50b99b58ef53e6/codex-3000/compositions/Agriculture/DW-1756.md</x:v>
      </x:c>
      <x:c r="K1761" t="str">
        <x:v>Source min 90,60 m ; max 700,450 m ; modèle 78 × 60 m ; niveaux 0. Détails dans catalogue-existant.json.</x:v>
      </x:c>
    </x:row>
    <x:row r="1762">
      <x:c r="A1762" t="str">
        <x:v>DW-1757</x:v>
      </x:c>
      <x:c r="B1762" t="str">
        <x:v>DW-0379</x:v>
      </x:c>
      <x:c r="C1762" t="str">
        <x:v>Composition héritée</x:v>
      </x:c>
      <x:c r="D1762" t="str">
        <x:v>Agriculture</x:v>
      </x:c>
      <x:c r="E1762" t="str">
        <x:v>Jardins familiaux — Hameau / première récupération passée</x:v>
      </x:c>
      <x:c r="F1762" t="n">
        <x:v>8</x:v>
      </x:c>
      <x:c r="G1762" t="n">
        <x:v>4</x:v>
      </x:c>
      <x:c r="H1762" t="n">
        <x:v>10</x:v>
      </x:c>
      <x:c r="I1762" t="str">
        <x:v>À qualifier par lieu</x:v>
      </x:c>
      <x:c r="J1762" t="str">
        <x:v>https://github.com/darknigthmare/deadwall-last-enclosure/blob/e28f46223e73105ab2c5d83f3d50b99b58ef53e6/codex-3000/compositions/Agriculture/DW-1757.md</x:v>
      </x:c>
      <x:c r="K1762" t="str">
        <x:v>Source min 90,60 m ; max 700,450 m ; modèle 78 × 60 m ; niveaux 0. Détails dans catalogue-existant.json.</x:v>
      </x:c>
    </x:row>
    <x:row r="1763">
      <x:c r="A1763" t="str">
        <x:v>DW-1758</x:v>
      </x:c>
      <x:c r="B1763" t="str">
        <x:v>DW-0379</x:v>
      </x:c>
      <x:c r="C1763" t="str">
        <x:v>Composition héritée</x:v>
      </x:c>
      <x:c r="D1763" t="str">
        <x:v>Agriculture</x:v>
      </x:c>
      <x:c r="E1763" t="str">
        <x:v>Jardins familiaux — Ferme, verger et pâtures / relais temporaire envisagé</x:v>
      </x:c>
      <x:c r="F1763" t="n">
        <x:v>8</x:v>
      </x:c>
      <x:c r="G1763" t="n">
        <x:v>4</x:v>
      </x:c>
      <x:c r="H1763" t="n">
        <x:v>10</x:v>
      </x:c>
      <x:c r="I1763" t="str">
        <x:v>À qualifier par lieu</x:v>
      </x:c>
      <x:c r="J1763" t="str">
        <x:v>https://github.com/darknigthmare/deadwall-last-enclosure/blob/e28f46223e73105ab2c5d83f3d50b99b58ef53e6/codex-3000/compositions/Agriculture/DW-1758.md</x:v>
      </x:c>
      <x:c r="K1763" t="str">
        <x:v>Source min 90,60 m ; max 700,450 m ; modèle 78 × 60 m ; niveaux 0. Détails dans catalogue-existant.json.</x:v>
      </x:c>
    </x:row>
    <x:row r="1764">
      <x:c r="A1764" t="str">
        <x:v>DW-1759</x:v>
      </x:c>
      <x:c r="B1764" t="str">
        <x:v>DW-0380</x:v>
      </x:c>
      <x:c r="C1764" t="str">
        <x:v>Composition héritée</x:v>
      </x:c>
      <x:c r="D1764" t="str">
        <x:v>Agriculture</x:v>
      </x:c>
      <x:c r="E1764" t="str">
        <x:v>Ferme expérimentale — Plateau sec et terrain aride / service déplacé à l’arrière</x:v>
      </x:c>
      <x:c r="F1764" t="n">
        <x:v>10</x:v>
      </x:c>
      <x:c r="G1764" t="n">
        <x:v>4</x:v>
      </x:c>
      <x:c r="H1764" t="n">
        <x:v>12</x:v>
      </x:c>
      <x:c r="I1764" t="str">
        <x:v>À qualifier par lieu</x:v>
      </x:c>
      <x:c r="J1764" t="str">
        <x:v>https://github.com/darknigthmare/deadwall-last-enclosure/blob/e28f46223e73105ab2c5d83f3d50b99b58ef53e6/codex-3000/compositions/Agriculture/DW-1759.md</x:v>
      </x:c>
      <x:c r="K1764" t="str">
        <x:v>Source min 90,60 m ; max 700,450 m ; modèle 78 × 60 m ; niveaux 0. Détails dans catalogue-existant.json.</x:v>
      </x:c>
    </x:row>
    <x:row r="1765">
      <x:c r="A1765" t="str">
        <x:v>DW-1760</x:v>
      </x:c>
      <x:c r="B1765" t="str">
        <x:v>DW-0380</x:v>
      </x:c>
      <x:c r="C1765" t="str">
        <x:v>Composition héritée</x:v>
      </x:c>
      <x:c r="D1765" t="str">
        <x:v>Agriculture</x:v>
      </x:c>
      <x:c r="E1765" t="str">
        <x:v>Ferme expérimentale — Prairie et friche ouverte / réseau principal coupé</x:v>
      </x:c>
      <x:c r="F1765" t="n">
        <x:v>8</x:v>
      </x:c>
      <x:c r="G1765" t="n">
        <x:v>4</x:v>
      </x:c>
      <x:c r="H1765" t="n">
        <x:v>12</x:v>
      </x:c>
      <x:c r="I1765" t="str">
        <x:v>À qualifier par lieu</x:v>
      </x:c>
      <x:c r="J1765" t="str">
        <x:v>https://github.com/darknigthmare/deadwall-last-enclosure/blob/e28f46223e73105ab2c5d83f3d50b99b58ef53e6/codex-3000/compositions/Agriculture/DW-1760.md</x:v>
      </x:c>
      <x:c r="K1765" t="str">
        <x:v>Source min 90,60 m ; max 700,450 m ; modèle 78 × 60 m ; niveaux 0. Détails dans catalogue-existant.json.</x:v>
      </x:c>
    </x:row>
    <x:row r="1766">
      <x:c r="A1766" t="str">
        <x:v>DW-1761</x:v>
      </x:c>
      <x:c r="B1766" t="str">
        <x:v>DW-0381</x:v>
      </x:c>
      <x:c r="C1766" t="str">
        <x:v>Composition héritée</x:v>
      </x:c>
      <x:c r="D1766" t="str">
        <x:v>Forêts et filière bois</x:v>
      </x:c>
      <x:c r="E1766" t="str">
        <x:v>Scierie de vallée — Petit bois et lisière / reprise progressive de la végétation</x:v>
      </x:c>
      <x:c r="F1766" t="n">
        <x:v>8</x:v>
      </x:c>
      <x:c r="G1766" t="n">
        <x:v>5</x:v>
      </x:c>
      <x:c r="H1766" t="n">
        <x:v>15</x:v>
      </x:c>
      <x:c r="I1766" t="str">
        <x:v>À qualifier par lieu</x:v>
      </x:c>
      <x:c r="J1766" t="str">
        <x:v>https://github.com/darknigthmare/deadwall-last-enclosure/blob/e28f46223e73105ab2c5d83f3d50b99b58ef53e6/codex-3000/compositions/Forêts et filière bois/DW-1761.md</x:v>
      </x:c>
      <x:c r="K1766" t="str">
        <x:v>Source min 90,70 m ; max 900,700 m ; modèle 78 × 70 m ; niveaux 0. Détails dans catalogue-existant.json.</x:v>
      </x:c>
    </x:row>
    <x:row r="1767">
      <x:c r="A1767" t="str">
        <x:v>DW-1762</x:v>
      </x:c>
      <x:c r="B1767" t="str">
        <x:v>DW-0381</x:v>
      </x:c>
      <x:c r="C1767" t="str">
        <x:v>Composition héritée</x:v>
      </x:c>
      <x:c r="D1767" t="str">
        <x:v>Forêts et filière bois</x:v>
      </x:c>
      <x:c r="E1767" t="str">
        <x:v>Scierie de vallée — Clairière et coupe forestière / repli organisé interrompu</x:v>
      </x:c>
      <x:c r="F1767" t="n">
        <x:v>8</x:v>
      </x:c>
      <x:c r="G1767" t="n">
        <x:v>5</x:v>
      </x:c>
      <x:c r="H1767" t="n">
        <x:v>15</x:v>
      </x:c>
      <x:c r="I1767" t="str">
        <x:v>À qualifier par lieu</x:v>
      </x:c>
      <x:c r="J1767" t="str">
        <x:v>https://github.com/darknigthmare/deadwall-last-enclosure/blob/e28f46223e73105ab2c5d83f3d50b99b58ef53e6/codex-3000/compositions/Forêts et filière bois/DW-1762.md</x:v>
      </x:c>
      <x:c r="K1767" t="str">
        <x:v>Source min 90,70 m ; max 900,700 m ; modèle 78 × 70 m ; niveaux 0. Détails dans catalogue-existant.json.</x:v>
      </x:c>
    </x:row>
    <x:row r="1768">
      <x:c r="A1768" t="str">
        <x:v>DW-1763</x:v>
      </x:c>
      <x:c r="B1768" t="str">
        <x:v>DW-0382</x:v>
      </x:c>
      <x:c r="C1768" t="str">
        <x:v>Composition héritée</x:v>
      </x:c>
      <x:c r="D1768" t="str">
        <x:v>Forêts et filière bois</x:v>
      </x:c>
      <x:c r="E1768" t="str">
        <x:v>Petite scierie artisanale — Forêt immense / relais temporaire envisagé</x:v>
      </x:c>
      <x:c r="F1768" t="n">
        <x:v>10</x:v>
      </x:c>
      <x:c r="G1768" t="n">
        <x:v>4</x:v>
      </x:c>
      <x:c r="H1768" t="n">
        <x:v>12</x:v>
      </x:c>
      <x:c r="I1768" t="str">
        <x:v>À qualifier par lieu</x:v>
      </x:c>
      <x:c r="J1768" t="str">
        <x:v>https://github.com/darknigthmare/deadwall-last-enclosure/blob/e28f46223e73105ab2c5d83f3d50b99b58ef53e6/codex-3000/compositions/Forêts et filière bois/DW-1763.md</x:v>
      </x:c>
      <x:c r="K1768" t="str">
        <x:v>Source min 90,70 m ; max 900,700 m ; modèle 78 × 70 m ; niveaux 0. Détails dans catalogue-existant.json.</x:v>
      </x:c>
    </x:row>
    <x:row r="1769">
      <x:c r="A1769" t="str">
        <x:v>DW-1764</x:v>
      </x:c>
      <x:c r="B1769" t="str">
        <x:v>DW-0382</x:v>
      </x:c>
      <x:c r="C1769" t="str">
        <x:v>Composition héritée</x:v>
      </x:c>
      <x:c r="D1769" t="str">
        <x:v>Forêts et filière bois</x:v>
      </x:c>
      <x:c r="E1769" t="str">
        <x:v>Petite scierie artisanale — Scierie et dépôt de bois / évacuation interrompue</x:v>
      </x:c>
      <x:c r="F1769" t="n">
        <x:v>8</x:v>
      </x:c>
      <x:c r="G1769" t="n">
        <x:v>4</x:v>
      </x:c>
      <x:c r="H1769" t="n">
        <x:v>12</x:v>
      </x:c>
      <x:c r="I1769" t="str">
        <x:v>À qualifier par lieu</x:v>
      </x:c>
      <x:c r="J1769" t="str">
        <x:v>https://github.com/darknigthmare/deadwall-last-enclosure/blob/e28f46223e73105ab2c5d83f3d50b99b58ef53e6/codex-3000/compositions/Forêts et filière bois/DW-1764.md</x:v>
      </x:c>
      <x:c r="K1769" t="str">
        <x:v>Source min 90,70 m ; max 900,700 m ; modèle 78 × 70 m ; niveaux 0. Détails dans catalogue-existant.json.</x:v>
      </x:c>
    </x:row>
    <x:row r="1770">
      <x:c r="A1770" t="str">
        <x:v>DW-1765</x:v>
      </x:c>
      <x:c r="B1770" t="str">
        <x:v>DW-0383</x:v>
      </x:c>
      <x:c r="C1770" t="str">
        <x:v>Composition héritée</x:v>
      </x:c>
      <x:c r="D1770" t="str">
        <x:v>Forêts et filière bois</x:v>
      </x:c>
      <x:c r="E1770" t="str">
        <x:v>Dépôt de grumes — Clairière et coupe forestière / réseau principal coupé</x:v>
      </x:c>
      <x:c r="F1770" t="n">
        <x:v>8</x:v>
      </x:c>
      <x:c r="G1770" t="n">
        <x:v>3</x:v>
      </x:c>
      <x:c r="H1770" t="n">
        <x:v>9</x:v>
      </x:c>
      <x:c r="I1770" t="str">
        <x:v>À qualifier par lieu</x:v>
      </x:c>
      <x:c r="J1770" t="str">
        <x:v>https://github.com/darknigthmare/deadwall-last-enclosure/blob/e28f46223e73105ab2c5d83f3d50b99b58ef53e6/codex-3000/compositions/Forêts et filière bois/DW-1765.md</x:v>
      </x:c>
      <x:c r="K1770" t="str">
        <x:v>Source min 90,70 m ; max 900,700 m ; modèle 78 × 70 m ; niveaux 0. Détails dans catalogue-existant.json.</x:v>
      </x:c>
    </x:row>
    <x:row r="1771">
      <x:c r="A1771" t="str">
        <x:v>DW-1766</x:v>
      </x:c>
      <x:c r="B1771" t="str">
        <x:v>DW-0383</x:v>
      </x:c>
      <x:c r="C1771" t="str">
        <x:v>Composition héritée</x:v>
      </x:c>
      <x:c r="D1771" t="str">
        <x:v>Forêts et filière bois</x:v>
      </x:c>
      <x:c r="E1771" t="str">
        <x:v>Dépôt de grumes — Petit bois et lisière / arrêt de maintenance</x:v>
      </x:c>
      <x:c r="F1771" t="n">
        <x:v>8</x:v>
      </x:c>
      <x:c r="G1771" t="n">
        <x:v>3</x:v>
      </x:c>
      <x:c r="H1771" t="n">
        <x:v>9</x:v>
      </x:c>
      <x:c r="I1771" t="str">
        <x:v>À qualifier par lieu</x:v>
      </x:c>
      <x:c r="J1771" t="str">
        <x:v>https://github.com/darknigthmare/deadwall-last-enclosure/blob/e28f46223e73105ab2c5d83f3d50b99b58ef53e6/codex-3000/compositions/Forêts et filière bois/DW-1766.md</x:v>
      </x:c>
      <x:c r="K1771" t="str">
        <x:v>Source min 90,70 m ; max 900,700 m ; modèle 78 × 70 m ; niveaux 0. Détails dans catalogue-existant.json.</x:v>
      </x:c>
    </x:row>
    <x:row r="1772">
      <x:c r="A1772" t="str">
        <x:v>DW-1767</x:v>
      </x:c>
      <x:c r="B1772" t="str">
        <x:v>DW-0384</x:v>
      </x:c>
      <x:c r="C1772" t="str">
        <x:v>Composition héritée</x:v>
      </x:c>
      <x:c r="D1772" t="str">
        <x:v>Forêts et filière bois</x:v>
      </x:c>
      <x:c r="E1772" t="str">
        <x:v>Séchoir à bois — Scierie et dépôt de bois / repli organisé interrompu</x:v>
      </x:c>
      <x:c r="F1772" t="n">
        <x:v>8</x:v>
      </x:c>
      <x:c r="G1772" t="n">
        <x:v>3</x:v>
      </x:c>
      <x:c r="H1772" t="n">
        <x:v>9</x:v>
      </x:c>
      <x:c r="I1772" t="str">
        <x:v>À qualifier par lieu</x:v>
      </x:c>
      <x:c r="J1772" t="str">
        <x:v>https://github.com/darknigthmare/deadwall-last-enclosure/blob/e28f46223e73105ab2c5d83f3d50b99b58ef53e6/codex-3000/compositions/Forêts et filière bois/DW-1767.md</x:v>
      </x:c>
      <x:c r="K1772" t="str">
        <x:v>Source min 90,70 m ; max 900,700 m ; modèle 78 × 70 m ; niveaux 0. Détails dans catalogue-existant.json.</x:v>
      </x:c>
    </x:row>
    <x:row r="1773">
      <x:c r="A1773" t="str">
        <x:v>DW-1768</x:v>
      </x:c>
      <x:c r="B1773" t="str">
        <x:v>DW-0384</x:v>
      </x:c>
      <x:c r="C1773" t="str">
        <x:v>Composition héritée</x:v>
      </x:c>
      <x:c r="D1773" t="str">
        <x:v>Forêts et filière bois</x:v>
      </x:c>
      <x:c r="E1773" t="str">
        <x:v>Séchoir à bois — Forêt immense / première récupération passée</x:v>
      </x:c>
      <x:c r="F1773" t="n">
        <x:v>10</x:v>
      </x:c>
      <x:c r="G1773" t="n">
        <x:v>3</x:v>
      </x:c>
      <x:c r="H1773" t="n">
        <x:v>9</x:v>
      </x:c>
      <x:c r="I1773" t="str">
        <x:v>À qualifier par lieu</x:v>
      </x:c>
      <x:c r="J1773" t="str">
        <x:v>https://github.com/darknigthmare/deadwall-last-enclosure/blob/e28f46223e73105ab2c5d83f3d50b99b58ef53e6/codex-3000/compositions/Forêts et filière bois/DW-1768.md</x:v>
      </x:c>
      <x:c r="K1773" t="str">
        <x:v>Source min 90,70 m ; max 900,700 m ; modèle 78 × 70 m ; niveaux 0. Détails dans catalogue-existant.json.</x:v>
      </x:c>
    </x:row>
    <x:row r="1774">
      <x:c r="A1774" t="str">
        <x:v>DW-1769</x:v>
      </x:c>
      <x:c r="B1774" t="str">
        <x:v>DW-0385</x:v>
      </x:c>
      <x:c r="C1774" t="str">
        <x:v>Composition héritée</x:v>
      </x:c>
      <x:c r="D1774" t="str">
        <x:v>Forêts et filière bois</x:v>
      </x:c>
      <x:c r="E1774" t="str">
        <x:v>Atelier de charbon patrimonial — Petit bois et lisière / évacuation interrompue</x:v>
      </x:c>
      <x:c r="F1774" t="n">
        <x:v>8</x:v>
      </x:c>
      <x:c r="G1774" t="n">
        <x:v>4</x:v>
      </x:c>
      <x:c r="H1774" t="n">
        <x:v>12</x:v>
      </x:c>
      <x:c r="I1774" t="str">
        <x:v>À qualifier par lieu</x:v>
      </x:c>
      <x:c r="J1774" t="str">
        <x:v>https://github.com/darknigthmare/deadwall-last-enclosure/blob/e28f46223e73105ab2c5d83f3d50b99b58ef53e6/codex-3000/compositions/Forêts et filière bois/DW-1769.md</x:v>
      </x:c>
      <x:c r="K1774" t="str">
        <x:v>Source min 90,70 m ; max 900,700 m ; modèle 78 × 70 m ; niveaux 0. Détails dans catalogue-existant.json.</x:v>
      </x:c>
    </x:row>
    <x:row r="1775">
      <x:c r="A1775" t="str">
        <x:v>DW-1770</x:v>
      </x:c>
      <x:c r="B1775" t="str">
        <x:v>DW-0385</x:v>
      </x:c>
      <x:c r="C1775" t="str">
        <x:v>Composition héritée</x:v>
      </x:c>
      <x:c r="D1775" t="str">
        <x:v>Forêts et filière bois</x:v>
      </x:c>
      <x:c r="E1775" t="str">
        <x:v>Atelier de charbon patrimonial — Clairière et coupe forestière / service déplacé à l’arrière</x:v>
      </x:c>
      <x:c r="F1775" t="n">
        <x:v>8</x:v>
      </x:c>
      <x:c r="G1775" t="n">
        <x:v>4</x:v>
      </x:c>
      <x:c r="H1775" t="n">
        <x:v>12</x:v>
      </x:c>
      <x:c r="I1775" t="str">
        <x:v>À qualifier par lieu</x:v>
      </x:c>
      <x:c r="J1775" t="str">
        <x:v>https://github.com/darknigthmare/deadwall-last-enclosure/blob/e28f46223e73105ab2c5d83f3d50b99b58ef53e6/codex-3000/compositions/Forêts et filière bois/DW-1770.md</x:v>
      </x:c>
      <x:c r="K1775" t="str">
        <x:v>Source min 90,70 m ; max 900,700 m ; modèle 78 × 70 m ; niveaux 0. Détails dans catalogue-existant.json.</x:v>
      </x:c>
    </x:row>
    <x:row r="1776">
      <x:c r="A1776" t="str">
        <x:v>DW-1771</x:v>
      </x:c>
      <x:c r="B1776" t="str">
        <x:v>DW-0386</x:v>
      </x:c>
      <x:c r="C1776" t="str">
        <x:v>Composition héritée</x:v>
      </x:c>
      <x:c r="D1776" t="str">
        <x:v>Forêts et filière bois</x:v>
      </x:c>
      <x:c r="E1776" t="str">
        <x:v>Maison forestière — Forêt immense / arrêt de maintenance</x:v>
      </x:c>
      <x:c r="F1776" t="n">
        <x:v>10</x:v>
      </x:c>
      <x:c r="G1776" t="n">
        <x:v>4</x:v>
      </x:c>
      <x:c r="H1776" t="n">
        <x:v>12</x:v>
      </x:c>
      <x:c r="I1776" t="str">
        <x:v>À qualifier par lieu</x:v>
      </x:c>
      <x:c r="J1776" t="str">
        <x:v>https://github.com/darknigthmare/deadwall-last-enclosure/blob/e28f46223e73105ab2c5d83f3d50b99b58ef53e6/codex-3000/compositions/Forêts et filière bois/DW-1771.md</x:v>
      </x:c>
      <x:c r="K1776" t="str">
        <x:v>Source min 90,70 m ; max 900,700 m ; modèle 78 × 70 m ; niveaux 0. Détails dans catalogue-existant.json.</x:v>
      </x:c>
    </x:row>
    <x:row r="1777">
      <x:c r="A1777" t="str">
        <x:v>DW-1772</x:v>
      </x:c>
      <x:c r="B1777" t="str">
        <x:v>DW-0386</x:v>
      </x:c>
      <x:c r="C1777" t="str">
        <x:v>Composition héritée</x:v>
      </x:c>
      <x:c r="D1777" t="str">
        <x:v>Forêts et filière bois</x:v>
      </x:c>
      <x:c r="E1777" t="str">
        <x:v>Maison forestière — Scierie et dépôt de bois / reprise progressive de la végétation</x:v>
      </x:c>
      <x:c r="F1777" t="n">
        <x:v>8</x:v>
      </x:c>
      <x:c r="G1777" t="n">
        <x:v>4</x:v>
      </x:c>
      <x:c r="H1777" t="n">
        <x:v>12</x:v>
      </x:c>
      <x:c r="I1777" t="str">
        <x:v>À qualifier par lieu</x:v>
      </x:c>
      <x:c r="J1777" t="str">
        <x:v>https://github.com/darknigthmare/deadwall-last-enclosure/blob/e28f46223e73105ab2c5d83f3d50b99b58ef53e6/codex-3000/compositions/Forêts et filière bois/DW-1772.md</x:v>
      </x:c>
      <x:c r="K1777" t="str">
        <x:v>Source min 90,70 m ; max 900,700 m ; modèle 78 × 70 m ; niveaux 0. Détails dans catalogue-existant.json.</x:v>
      </x:c>
    </x:row>
    <x:row r="1778">
      <x:c r="A1778" t="str">
        <x:v>DW-1773</x:v>
      </x:c>
      <x:c r="B1778" t="str">
        <x:v>DW-0387</x:v>
      </x:c>
      <x:c r="C1778" t="str">
        <x:v>Composition héritée</x:v>
      </x:c>
      <x:c r="D1778" t="str">
        <x:v>Forêts et filière bois</x:v>
      </x:c>
      <x:c r="E1778" t="str">
        <x:v>Camp de bûcherons — Clairière et coupe forestière / première récupération passée</x:v>
      </x:c>
      <x:c r="F1778" t="n">
        <x:v>8</x:v>
      </x:c>
      <x:c r="G1778" t="n">
        <x:v>4</x:v>
      </x:c>
      <x:c r="H1778" t="n">
        <x:v>12</x:v>
      </x:c>
      <x:c r="I1778" t="str">
        <x:v>À qualifier par lieu</x:v>
      </x:c>
      <x:c r="J1778" t="str">
        <x:v>https://github.com/darknigthmare/deadwall-last-enclosure/blob/e28f46223e73105ab2c5d83f3d50b99b58ef53e6/codex-3000/compositions/Forêts et filière bois/DW-1773.md</x:v>
      </x:c>
      <x:c r="K1778" t="str">
        <x:v>Source min 90,70 m ; max 900,700 m ; modèle 78 × 70 m ; niveaux 0. Détails dans catalogue-existant.json.</x:v>
      </x:c>
    </x:row>
    <x:row r="1779">
      <x:c r="A1779" t="str">
        <x:v>DW-1774</x:v>
      </x:c>
      <x:c r="B1779" t="str">
        <x:v>DW-0387</x:v>
      </x:c>
      <x:c r="C1779" t="str">
        <x:v>Composition héritée</x:v>
      </x:c>
      <x:c r="D1779" t="str">
        <x:v>Forêts et filière bois</x:v>
      </x:c>
      <x:c r="E1779" t="str">
        <x:v>Camp de bûcherons — Petit bois et lisière / relais temporaire envisagé</x:v>
      </x:c>
      <x:c r="F1779" t="n">
        <x:v>8</x:v>
      </x:c>
      <x:c r="G1779" t="n">
        <x:v>4</x:v>
      </x:c>
      <x:c r="H1779" t="n">
        <x:v>12</x:v>
      </x:c>
      <x:c r="I1779" t="str">
        <x:v>À qualifier par lieu</x:v>
      </x:c>
      <x:c r="J1779" t="str">
        <x:v>https://github.com/darknigthmare/deadwall-last-enclosure/blob/e28f46223e73105ab2c5d83f3d50b99b58ef53e6/codex-3000/compositions/Forêts et filière bois/DW-1774.md</x:v>
      </x:c>
      <x:c r="K1779" t="str">
        <x:v>Source min 90,70 m ; max 900,700 m ; modèle 78 × 70 m ; niveaux 0. Détails dans catalogue-existant.json.</x:v>
      </x:c>
    </x:row>
    <x:row r="1780">
      <x:c r="A1780" t="str">
        <x:v>DW-1775</x:v>
      </x:c>
      <x:c r="B1780" t="str">
        <x:v>DW-0388</x:v>
      </x:c>
      <x:c r="C1780" t="str">
        <x:v>Composition héritée</x:v>
      </x:c>
      <x:c r="D1780" t="str">
        <x:v>Forêts et filière bois</x:v>
      </x:c>
      <x:c r="E1780" t="str">
        <x:v>Cabane d'observation — Scierie et dépôt de bois / service déplacé à l’arrière</x:v>
      </x:c>
      <x:c r="F1780" t="n">
        <x:v>8</x:v>
      </x:c>
      <x:c r="G1780" t="n">
        <x:v>3</x:v>
      </x:c>
      <x:c r="H1780" t="n">
        <x:v>9</x:v>
      </x:c>
      <x:c r="I1780" t="str">
        <x:v>À qualifier par lieu</x:v>
      </x:c>
      <x:c r="J1780" t="str">
        <x:v>https://github.com/darknigthmare/deadwall-last-enclosure/blob/e28f46223e73105ab2c5d83f3d50b99b58ef53e6/codex-3000/compositions/Forêts et filière bois/DW-1775.md</x:v>
      </x:c>
      <x:c r="K1780" t="str">
        <x:v>Source min 90,70 m ; max 900,700 m ; modèle 78 × 70 m ; niveaux 0. Détails dans catalogue-existant.json.</x:v>
      </x:c>
    </x:row>
    <x:row r="1781">
      <x:c r="A1781" t="str">
        <x:v>DW-1776</x:v>
      </x:c>
      <x:c r="B1781" t="str">
        <x:v>DW-0388</x:v>
      </x:c>
      <x:c r="C1781" t="str">
        <x:v>Composition héritée</x:v>
      </x:c>
      <x:c r="D1781" t="str">
        <x:v>Forêts et filière bois</x:v>
      </x:c>
      <x:c r="E1781" t="str">
        <x:v>Cabane d'observation — Forêt immense / réseau principal coupé</x:v>
      </x:c>
      <x:c r="F1781" t="n">
        <x:v>10</x:v>
      </x:c>
      <x:c r="G1781" t="n">
        <x:v>3</x:v>
      </x:c>
      <x:c r="H1781" t="n">
        <x:v>9</x:v>
      </x:c>
      <x:c r="I1781" t="str">
        <x:v>À qualifier par lieu</x:v>
      </x:c>
      <x:c r="J1781" t="str">
        <x:v>https://github.com/darknigthmare/deadwall-last-enclosure/blob/e28f46223e73105ab2c5d83f3d50b99b58ef53e6/codex-3000/compositions/Forêts et filière bois/DW-1776.md</x:v>
      </x:c>
      <x:c r="K1781" t="str">
        <x:v>Source min 90,70 m ; max 900,700 m ; modèle 78 × 70 m ; niveaux 0. Détails dans catalogue-existant.json.</x:v>
      </x:c>
    </x:row>
    <x:row r="1782">
      <x:c r="A1782" t="str">
        <x:v>DW-1777</x:v>
      </x:c>
      <x:c r="B1782" t="str">
        <x:v>DW-0389</x:v>
      </x:c>
      <x:c r="C1782" t="str">
        <x:v>Composition héritée</x:v>
      </x:c>
      <x:c r="D1782" t="str">
        <x:v>Forêts et filière bois</x:v>
      </x:c>
      <x:c r="E1782" t="str">
        <x:v>Tour d'observation naturaliste — Petit bois et lisière / reprise progressive de la végétation</x:v>
      </x:c>
      <x:c r="F1782" t="n">
        <x:v>8</x:v>
      </x:c>
      <x:c r="G1782" t="n">
        <x:v>3</x:v>
      </x:c>
      <x:c r="H1782" t="n">
        <x:v>7</x:v>
      </x:c>
      <x:c r="I1782" t="str">
        <x:v>À qualifier par lieu</x:v>
      </x:c>
      <x:c r="J1782" t="str">
        <x:v>https://github.com/darknigthmare/deadwall-last-enclosure/blob/e28f46223e73105ab2c5d83f3d50b99b58ef53e6/codex-3000/compositions/Forêts et filière bois/DW-1777.md</x:v>
      </x:c>
      <x:c r="K1782" t="str">
        <x:v>Source min 90,70 m ; max 900,700 m ; modèle 78 × 70 m ; niveaux 0. Détails dans catalogue-existant.json.</x:v>
      </x:c>
    </x:row>
    <x:row r="1783">
      <x:c r="A1783" t="str">
        <x:v>DW-1778</x:v>
      </x:c>
      <x:c r="B1783" t="str">
        <x:v>DW-0389</x:v>
      </x:c>
      <x:c r="C1783" t="str">
        <x:v>Composition héritée</x:v>
      </x:c>
      <x:c r="D1783" t="str">
        <x:v>Forêts et filière bois</x:v>
      </x:c>
      <x:c r="E1783" t="str">
        <x:v>Tour d'observation naturaliste — Clairière et coupe forestière / repli organisé interrompu</x:v>
      </x:c>
      <x:c r="F1783" t="n">
        <x:v>8</x:v>
      </x:c>
      <x:c r="G1783" t="n">
        <x:v>3</x:v>
      </x:c>
      <x:c r="H1783" t="n">
        <x:v>7</x:v>
      </x:c>
      <x:c r="I1783" t="str">
        <x:v>À qualifier par lieu</x:v>
      </x:c>
      <x:c r="J1783" t="str">
        <x:v>https://github.com/darknigthmare/deadwall-last-enclosure/blob/e28f46223e73105ab2c5d83f3d50b99b58ef53e6/codex-3000/compositions/Forêts et filière bois/DW-1778.md</x:v>
      </x:c>
      <x:c r="K1783" t="str">
        <x:v>Source min 90,70 m ; max 900,700 m ; modèle 78 × 70 m ; niveaux 0. Détails dans catalogue-existant.json.</x:v>
      </x:c>
    </x:row>
    <x:row r="1784">
      <x:c r="A1784" t="str">
        <x:v>DW-1779</x:v>
      </x:c>
      <x:c r="B1784" t="str">
        <x:v>DW-0390</x:v>
      </x:c>
      <x:c r="C1784" t="str">
        <x:v>Composition héritée</x:v>
      </x:c>
      <x:c r="D1784" t="str">
        <x:v>Forêts et filière bois</x:v>
      </x:c>
      <x:c r="E1784" t="str">
        <x:v>Pépinière forestière — Forêt immense / relais temporaire envisagé</x:v>
      </x:c>
      <x:c r="F1784" t="n">
        <x:v>10</x:v>
      </x:c>
      <x:c r="G1784" t="n">
        <x:v>4</x:v>
      </x:c>
      <x:c r="H1784" t="n">
        <x:v>12</x:v>
      </x:c>
      <x:c r="I1784" t="str">
        <x:v>À qualifier par lieu</x:v>
      </x:c>
      <x:c r="J1784" t="str">
        <x:v>https://github.com/darknigthmare/deadwall-last-enclosure/blob/e28f46223e73105ab2c5d83f3d50b99b58ef53e6/codex-3000/compositions/Forêts et filière bois/DW-1779.md</x:v>
      </x:c>
      <x:c r="K1784" t="str">
        <x:v>Source min 90,70 m ; max 900,700 m ; modèle 78 × 70 m ; niveaux 0. Détails dans catalogue-existant.json.</x:v>
      </x:c>
    </x:row>
    <x:row r="1785">
      <x:c r="A1785" t="str">
        <x:v>DW-1780</x:v>
      </x:c>
      <x:c r="B1785" t="str">
        <x:v>DW-0390</x:v>
      </x:c>
      <x:c r="C1785" t="str">
        <x:v>Composition héritée</x:v>
      </x:c>
      <x:c r="D1785" t="str">
        <x:v>Forêts et filière bois</x:v>
      </x:c>
      <x:c r="E1785" t="str">
        <x:v>Pépinière forestière — Scierie et dépôt de bois / évacuation interrompue</x:v>
      </x:c>
      <x:c r="F1785" t="n">
        <x:v>8</x:v>
      </x:c>
      <x:c r="G1785" t="n">
        <x:v>4</x:v>
      </x:c>
      <x:c r="H1785" t="n">
        <x:v>12</x:v>
      </x:c>
      <x:c r="I1785" t="str">
        <x:v>À qualifier par lieu</x:v>
      </x:c>
      <x:c r="J1785" t="str">
        <x:v>https://github.com/darknigthmare/deadwall-last-enclosure/blob/e28f46223e73105ab2c5d83f3d50b99b58ef53e6/codex-3000/compositions/Forêts et filière bois/DW-1780.md</x:v>
      </x:c>
      <x:c r="K1785" t="str">
        <x:v>Source min 90,70 m ; max 900,700 m ; modèle 78 × 70 m ; niveaux 0. Détails dans catalogue-existant.json.</x:v>
      </x:c>
    </x:row>
    <x:row r="1786">
      <x:c r="A1786" t="str">
        <x:v>DW-1781</x:v>
      </x:c>
      <x:c r="B1786" t="str">
        <x:v>DW-0391</x:v>
      </x:c>
      <x:c r="C1786" t="str">
        <x:v>Composition héritée</x:v>
      </x:c>
      <x:c r="D1786" t="str">
        <x:v>Forêts et filière bois</x:v>
      </x:c>
      <x:c r="E1786" t="str">
        <x:v>Clairière de coupe — Clairière et coupe forestière / réseau principal coupé</x:v>
      </x:c>
      <x:c r="F1786" t="n">
        <x:v>8</x:v>
      </x:c>
      <x:c r="G1786" t="n">
        <x:v>4</x:v>
      </x:c>
      <x:c r="H1786" t="n">
        <x:v>12</x:v>
      </x:c>
      <x:c r="I1786" t="str">
        <x:v>À qualifier par lieu</x:v>
      </x:c>
      <x:c r="J1786" t="str">
        <x:v>https://github.com/darknigthmare/deadwall-last-enclosure/blob/e28f46223e73105ab2c5d83f3d50b99b58ef53e6/codex-3000/compositions/Forêts et filière bois/DW-1781.md</x:v>
      </x:c>
      <x:c r="K1786" t="str">
        <x:v>Source min 90,70 m ; max 900,700 m ; modèle 78 × 70 m ; niveaux 0. Détails dans catalogue-existant.json.</x:v>
      </x:c>
    </x:row>
    <x:row r="1787">
      <x:c r="A1787" t="str">
        <x:v>DW-1782</x:v>
      </x:c>
      <x:c r="B1787" t="str">
        <x:v>DW-0391</x:v>
      </x:c>
      <x:c r="C1787" t="str">
        <x:v>Composition héritée</x:v>
      </x:c>
      <x:c r="D1787" t="str">
        <x:v>Forêts et filière bois</x:v>
      </x:c>
      <x:c r="E1787" t="str">
        <x:v>Clairière de coupe — Petit bois et lisière / arrêt de maintenance</x:v>
      </x:c>
      <x:c r="F1787" t="n">
        <x:v>8</x:v>
      </x:c>
      <x:c r="G1787" t="n">
        <x:v>4</x:v>
      </x:c>
      <x:c r="H1787" t="n">
        <x:v>12</x:v>
      </x:c>
      <x:c r="I1787" t="str">
        <x:v>À qualifier par lieu</x:v>
      </x:c>
      <x:c r="J1787" t="str">
        <x:v>https://github.com/darknigthmare/deadwall-last-enclosure/blob/e28f46223e73105ab2c5d83f3d50b99b58ef53e6/codex-3000/compositions/Forêts et filière bois/DW-1782.md</x:v>
      </x:c>
      <x:c r="K1787" t="str">
        <x:v>Source min 90,70 m ; max 900,700 m ; modèle 78 × 70 m ; niveaux 0. Détails dans catalogue-existant.json.</x:v>
      </x:c>
    </x:row>
    <x:row r="1788">
      <x:c r="A1788" t="str">
        <x:v>DW-1783</x:v>
      </x:c>
      <x:c r="B1788" t="str">
        <x:v>DW-0392</x:v>
      </x:c>
      <x:c r="C1788" t="str">
        <x:v>Composition héritée</x:v>
      </x:c>
      <x:c r="D1788" t="str">
        <x:v>Forêts et filière bois</x:v>
      </x:c>
      <x:c r="E1788" t="str">
        <x:v>Forêt ancienne — Scierie et dépôt de bois / repli organisé interrompu</x:v>
      </x:c>
      <x:c r="F1788" t="n">
        <x:v>8</x:v>
      </x:c>
      <x:c r="G1788" t="n">
        <x:v>4</x:v>
      </x:c>
      <x:c r="H1788" t="n">
        <x:v>12</x:v>
      </x:c>
      <x:c r="I1788" t="str">
        <x:v>À qualifier par lieu</x:v>
      </x:c>
      <x:c r="J1788" t="str">
        <x:v>https://github.com/darknigthmare/deadwall-last-enclosure/blob/e28f46223e73105ab2c5d83f3d50b99b58ef53e6/codex-3000/compositions/Forêts et filière bois/DW-1783.md</x:v>
      </x:c>
      <x:c r="K1788" t="str">
        <x:v>Source min 90,70 m ; max 900,700 m ; modèle 78 × 70 m ; niveaux 0. Détails dans catalogue-existant.json.</x:v>
      </x:c>
    </x:row>
    <x:row r="1789">
      <x:c r="A1789" t="str">
        <x:v>DW-1784</x:v>
      </x:c>
      <x:c r="B1789" t="str">
        <x:v>DW-0392</x:v>
      </x:c>
      <x:c r="C1789" t="str">
        <x:v>Composition héritée</x:v>
      </x:c>
      <x:c r="D1789" t="str">
        <x:v>Forêts et filière bois</x:v>
      </x:c>
      <x:c r="E1789" t="str">
        <x:v>Forêt ancienne — Forêt immense / première récupération passée</x:v>
      </x:c>
      <x:c r="F1789" t="n">
        <x:v>10</x:v>
      </x:c>
      <x:c r="G1789" t="n">
        <x:v>4</x:v>
      </x:c>
      <x:c r="H1789" t="n">
        <x:v>12</x:v>
      </x:c>
      <x:c r="I1789" t="str">
        <x:v>À qualifier par lieu</x:v>
      </x:c>
      <x:c r="J1789" t="str">
        <x:v>https://github.com/darknigthmare/deadwall-last-enclosure/blob/e28f46223e73105ab2c5d83f3d50b99b58ef53e6/codex-3000/compositions/Forêts et filière bois/DW-1784.md</x:v>
      </x:c>
      <x:c r="K1789" t="str">
        <x:v>Source min 90,70 m ; max 900,700 m ; modèle 78 × 70 m ; niveaux 0. Détails dans catalogue-existant.json.</x:v>
      </x:c>
    </x:row>
    <x:row r="1790">
      <x:c r="A1790" t="str">
        <x:v>DW-1785</x:v>
      </x:c>
      <x:c r="B1790" t="str">
        <x:v>DW-0393</x:v>
      </x:c>
      <x:c r="C1790" t="str">
        <x:v>Composition héritée</x:v>
      </x:c>
      <x:c r="D1790" t="str">
        <x:v>Forêts et filière bois</x:v>
      </x:c>
      <x:c r="E1790" t="str">
        <x:v>Plantation de conifères — Petit bois et lisière / évacuation interrompue</x:v>
      </x:c>
      <x:c r="F1790" t="n">
        <x:v>8</x:v>
      </x:c>
      <x:c r="G1790" t="n">
        <x:v>4</x:v>
      </x:c>
      <x:c r="H1790" t="n">
        <x:v>12</x:v>
      </x:c>
      <x:c r="I1790" t="str">
        <x:v>À qualifier par lieu</x:v>
      </x:c>
      <x:c r="J1790" t="str">
        <x:v>https://github.com/darknigthmare/deadwall-last-enclosure/blob/e28f46223e73105ab2c5d83f3d50b99b58ef53e6/codex-3000/compositions/Forêts et filière bois/DW-1785.md</x:v>
      </x:c>
      <x:c r="K1790" t="str">
        <x:v>Source min 90,70 m ; max 900,700 m ; modèle 78 × 70 m ; niveaux 0. Détails dans catalogue-existant.json.</x:v>
      </x:c>
    </x:row>
    <x:row r="1791">
      <x:c r="A1791" t="str">
        <x:v>DW-1786</x:v>
      </x:c>
      <x:c r="B1791" t="str">
        <x:v>DW-0393</x:v>
      </x:c>
      <x:c r="C1791" t="str">
        <x:v>Composition héritée</x:v>
      </x:c>
      <x:c r="D1791" t="str">
        <x:v>Forêts et filière bois</x:v>
      </x:c>
      <x:c r="E1791" t="str">
        <x:v>Plantation de conifères — Clairière et coupe forestière / service déplacé à l’arrière</x:v>
      </x:c>
      <x:c r="F1791" t="n">
        <x:v>8</x:v>
      </x:c>
      <x:c r="G1791" t="n">
        <x:v>4</x:v>
      </x:c>
      <x:c r="H1791" t="n">
        <x:v>12</x:v>
      </x:c>
      <x:c r="I1791" t="str">
        <x:v>À qualifier par lieu</x:v>
      </x:c>
      <x:c r="J1791" t="str">
        <x:v>https://github.com/darknigthmare/deadwall-last-enclosure/blob/e28f46223e73105ab2c5d83f3d50b99b58ef53e6/codex-3000/compositions/Forêts et filière bois/DW-1786.md</x:v>
      </x:c>
      <x:c r="K1791" t="str">
        <x:v>Source min 90,70 m ; max 900,700 m ; modèle 78 × 70 m ; niveaux 0. Détails dans catalogue-existant.json.</x:v>
      </x:c>
    </x:row>
    <x:row r="1792">
      <x:c r="A1792" t="str">
        <x:v>DW-1787</x:v>
      </x:c>
      <x:c r="B1792" t="str">
        <x:v>DW-0394</x:v>
      </x:c>
      <x:c r="C1792" t="str">
        <x:v>Composition héritée</x:v>
      </x:c>
      <x:c r="D1792" t="str">
        <x:v>Forêts et filière bois</x:v>
      </x:c>
      <x:c r="E1792" t="str">
        <x:v>Bois riverain — Forêt immense / arrêt de maintenance</x:v>
      </x:c>
      <x:c r="F1792" t="n">
        <x:v>10</x:v>
      </x:c>
      <x:c r="G1792" t="n">
        <x:v>4</x:v>
      </x:c>
      <x:c r="H1792" t="n">
        <x:v>10</x:v>
      </x:c>
      <x:c r="I1792" t="str">
        <x:v>À qualifier par lieu</x:v>
      </x:c>
      <x:c r="J1792" t="str">
        <x:v>https://github.com/darknigthmare/deadwall-last-enclosure/blob/e28f46223e73105ab2c5d83f3d50b99b58ef53e6/codex-3000/compositions/Forêts et filière bois/DW-1787.md</x:v>
      </x:c>
      <x:c r="K1792" t="str">
        <x:v>Source min 90,70 m ; max 900,700 m ; modèle 78 × 70 m ; niveaux 0. Détails dans catalogue-existant.json.</x:v>
      </x:c>
    </x:row>
    <x:row r="1793">
      <x:c r="A1793" t="str">
        <x:v>DW-1788</x:v>
      </x:c>
      <x:c r="B1793" t="str">
        <x:v>DW-0394</x:v>
      </x:c>
      <x:c r="C1793" t="str">
        <x:v>Composition héritée</x:v>
      </x:c>
      <x:c r="D1793" t="str">
        <x:v>Forêts et filière bois</x:v>
      </x:c>
      <x:c r="E1793" t="str">
        <x:v>Bois riverain — Scierie et dépôt de bois / reprise progressive de la végétation</x:v>
      </x:c>
      <x:c r="F1793" t="n">
        <x:v>8</x:v>
      </x:c>
      <x:c r="G1793" t="n">
        <x:v>4</x:v>
      </x:c>
      <x:c r="H1793" t="n">
        <x:v>10</x:v>
      </x:c>
      <x:c r="I1793" t="str">
        <x:v>À qualifier par lieu</x:v>
      </x:c>
      <x:c r="J1793" t="str">
        <x:v>https://github.com/darknigthmare/deadwall-last-enclosure/blob/e28f46223e73105ab2c5d83f3d50b99b58ef53e6/codex-3000/compositions/Forêts et filière bois/DW-1788.md</x:v>
      </x:c>
      <x:c r="K1793" t="str">
        <x:v>Source min 90,70 m ; max 900,700 m ; modèle 78 × 70 m ; niveaux 0. Détails dans catalogue-existant.json.</x:v>
      </x:c>
    </x:row>
    <x:row r="1794">
      <x:c r="A1794" t="str">
        <x:v>DW-1789</x:v>
      </x:c>
      <x:c r="B1794" t="str">
        <x:v>DW-0395</x:v>
      </x:c>
      <x:c r="C1794" t="str">
        <x:v>Composition héritée</x:v>
      </x:c>
      <x:c r="D1794" t="str">
        <x:v>Forêts et filière bois</x:v>
      </x:c>
      <x:c r="E1794" t="str">
        <x:v>Bois brûlé — Clairière et coupe forestière / première récupération passée</x:v>
      </x:c>
      <x:c r="F1794" t="n">
        <x:v>8</x:v>
      </x:c>
      <x:c r="G1794" t="n">
        <x:v>4</x:v>
      </x:c>
      <x:c r="H1794" t="n">
        <x:v>12</x:v>
      </x:c>
      <x:c r="I1794" t="str">
        <x:v>À qualifier par lieu</x:v>
      </x:c>
      <x:c r="J1794" t="str">
        <x:v>https://github.com/darknigthmare/deadwall-last-enclosure/blob/e28f46223e73105ab2c5d83f3d50b99b58ef53e6/codex-3000/compositions/Forêts et filière bois/DW-1789.md</x:v>
      </x:c>
      <x:c r="K1794" t="str">
        <x:v>Source min 90,70 m ; max 900,700 m ; modèle 78 × 70 m ; niveaux 0. Détails dans catalogue-existant.json.</x:v>
      </x:c>
    </x:row>
    <x:row r="1795">
      <x:c r="A1795" t="str">
        <x:v>DW-1790</x:v>
      </x:c>
      <x:c r="B1795" t="str">
        <x:v>DW-0395</x:v>
      </x:c>
      <x:c r="C1795" t="str">
        <x:v>Composition héritée</x:v>
      </x:c>
      <x:c r="D1795" t="str">
        <x:v>Forêts et filière bois</x:v>
      </x:c>
      <x:c r="E1795" t="str">
        <x:v>Bois brûlé — Petit bois et lisière / relais temporaire envisagé</x:v>
      </x:c>
      <x:c r="F1795" t="n">
        <x:v>8</x:v>
      </x:c>
      <x:c r="G1795" t="n">
        <x:v>4</x:v>
      </x:c>
      <x:c r="H1795" t="n">
        <x:v>12</x:v>
      </x:c>
      <x:c r="I1795" t="str">
        <x:v>À qualifier par lieu</x:v>
      </x:c>
      <x:c r="J1795" t="str">
        <x:v>https://github.com/darknigthmare/deadwall-last-enclosure/blob/e28f46223e73105ab2c5d83f3d50b99b58ef53e6/codex-3000/compositions/Forêts et filière bois/DW-1790.md</x:v>
      </x:c>
      <x:c r="K1795" t="str">
        <x:v>Source min 90,70 m ; max 900,700 m ; modèle 78 × 70 m ; niveaux 0. Détails dans catalogue-existant.json.</x:v>
      </x:c>
    </x:row>
    <x:row r="1796">
      <x:c r="A1796" t="str">
        <x:v>DW-1791</x:v>
      </x:c>
      <x:c r="B1796" t="str">
        <x:v>DW-0396</x:v>
      </x:c>
      <x:c r="C1796" t="str">
        <x:v>Composition héritée</x:v>
      </x:c>
      <x:c r="D1796" t="str">
        <x:v>Forêts et filière bois</x:v>
      </x:c>
      <x:c r="E1796" t="str">
        <x:v>Bois de tempête — Scierie et dépôt de bois / service déplacé à l’arrière</x:v>
      </x:c>
      <x:c r="F1796" t="n">
        <x:v>8</x:v>
      </x:c>
      <x:c r="G1796" t="n">
        <x:v>3</x:v>
      </x:c>
      <x:c r="H1796" t="n">
        <x:v>7</x:v>
      </x:c>
      <x:c r="I1796" t="str">
        <x:v>À qualifier par lieu</x:v>
      </x:c>
      <x:c r="J1796" t="str">
        <x:v>https://github.com/darknigthmare/deadwall-last-enclosure/blob/e28f46223e73105ab2c5d83f3d50b99b58ef53e6/codex-3000/compositions/Forêts et filière bois/DW-1791.md</x:v>
      </x:c>
      <x:c r="K1796" t="str">
        <x:v>Source min 90,70 m ; max 900,700 m ; modèle 78 × 70 m ; niveaux 0. Détails dans catalogue-existant.json.</x:v>
      </x:c>
    </x:row>
    <x:row r="1797">
      <x:c r="A1797" t="str">
        <x:v>DW-1792</x:v>
      </x:c>
      <x:c r="B1797" t="str">
        <x:v>DW-0396</x:v>
      </x:c>
      <x:c r="C1797" t="str">
        <x:v>Composition héritée</x:v>
      </x:c>
      <x:c r="D1797" t="str">
        <x:v>Forêts et filière bois</x:v>
      </x:c>
      <x:c r="E1797" t="str">
        <x:v>Bois de tempête — Forêt immense / réseau principal coupé</x:v>
      </x:c>
      <x:c r="F1797" t="n">
        <x:v>10</x:v>
      </x:c>
      <x:c r="G1797" t="n">
        <x:v>3</x:v>
      </x:c>
      <x:c r="H1797" t="n">
        <x:v>7</x:v>
      </x:c>
      <x:c r="I1797" t="str">
        <x:v>À qualifier par lieu</x:v>
      </x:c>
      <x:c r="J1797" t="str">
        <x:v>https://github.com/darknigthmare/deadwall-last-enclosure/blob/e28f46223e73105ab2c5d83f3d50b99b58ef53e6/codex-3000/compositions/Forêts et filière bois/DW-1792.md</x:v>
      </x:c>
      <x:c r="K1797" t="str">
        <x:v>Source min 90,70 m ; max 900,700 m ; modèle 78 × 70 m ; niveaux 0. Détails dans catalogue-existant.json.</x:v>
      </x:c>
    </x:row>
    <x:row r="1798">
      <x:c r="A1798" t="str">
        <x:v>DW-1793</x:v>
      </x:c>
      <x:c r="B1798" t="str">
        <x:v>DW-0397</x:v>
      </x:c>
      <x:c r="C1798" t="str">
        <x:v>Composition héritée</x:v>
      </x:c>
      <x:c r="D1798" t="str">
        <x:v>Forêts et filière bois</x:v>
      </x:c>
      <x:c r="E1798" t="str">
        <x:v>Zone de débardage — Petit bois et lisière / reprise progressive de la végétation</x:v>
      </x:c>
      <x:c r="F1798" t="n">
        <x:v>8</x:v>
      </x:c>
      <x:c r="G1798" t="n">
        <x:v>4</x:v>
      </x:c>
      <x:c r="H1798" t="n">
        <x:v>10</x:v>
      </x:c>
      <x:c r="I1798" t="str">
        <x:v>À qualifier par lieu</x:v>
      </x:c>
      <x:c r="J1798" t="str">
        <x:v>https://github.com/darknigthmare/deadwall-last-enclosure/blob/e28f46223e73105ab2c5d83f3d50b99b58ef53e6/codex-3000/compositions/Forêts et filière bois/DW-1793.md</x:v>
      </x:c>
      <x:c r="K1798" t="str">
        <x:v>Source min 90,70 m ; max 900,700 m ; modèle 78 × 70 m ; niveaux 0. Détails dans catalogue-existant.json.</x:v>
      </x:c>
    </x:row>
    <x:row r="1799">
      <x:c r="A1799" t="str">
        <x:v>DW-1794</x:v>
      </x:c>
      <x:c r="B1799" t="str">
        <x:v>DW-0397</x:v>
      </x:c>
      <x:c r="C1799" t="str">
        <x:v>Composition héritée</x:v>
      </x:c>
      <x:c r="D1799" t="str">
        <x:v>Forêts et filière bois</x:v>
      </x:c>
      <x:c r="E1799" t="str">
        <x:v>Zone de débardage — Clairière et coupe forestière / repli organisé interrompu</x:v>
      </x:c>
      <x:c r="F1799" t="n">
        <x:v>8</x:v>
      </x:c>
      <x:c r="G1799" t="n">
        <x:v>4</x:v>
      </x:c>
      <x:c r="H1799" t="n">
        <x:v>10</x:v>
      </x:c>
      <x:c r="I1799" t="str">
        <x:v>À qualifier par lieu</x:v>
      </x:c>
      <x:c r="J1799" t="str">
        <x:v>https://github.com/darknigthmare/deadwall-last-enclosure/blob/e28f46223e73105ab2c5d83f3d50b99b58ef53e6/codex-3000/compositions/Forêts et filière bois/DW-1794.md</x:v>
      </x:c>
      <x:c r="K1799" t="str">
        <x:v>Source min 90,70 m ; max 900,700 m ; modèle 78 × 70 m ; niveaux 0. Détails dans catalogue-existant.json.</x:v>
      </x:c>
    </x:row>
    <x:row r="1800">
      <x:c r="A1800" t="str">
        <x:v>DW-1795</x:v>
      </x:c>
      <x:c r="B1800" t="str">
        <x:v>DW-0398</x:v>
      </x:c>
      <x:c r="C1800" t="str">
        <x:v>Composition héritée</x:v>
      </x:c>
      <x:c r="D1800" t="str">
        <x:v>Forêts et filière bois</x:v>
      </x:c>
      <x:c r="E1800" t="str">
        <x:v>Atelier de palettes — Forêt immense / relais temporaire envisagé</x:v>
      </x:c>
      <x:c r="F1800" t="n">
        <x:v>10</x:v>
      </x:c>
      <x:c r="G1800" t="n">
        <x:v>4</x:v>
      </x:c>
      <x:c r="H1800" t="n">
        <x:v>12</x:v>
      </x:c>
      <x:c r="I1800" t="str">
        <x:v>À qualifier par lieu</x:v>
      </x:c>
      <x:c r="J1800" t="str">
        <x:v>https://github.com/darknigthmare/deadwall-last-enclosure/blob/e28f46223e73105ab2c5d83f3d50b99b58ef53e6/codex-3000/compositions/Forêts et filière bois/DW-1795.md</x:v>
      </x:c>
      <x:c r="K1800" t="str">
        <x:v>Source min 90,70 m ; max 900,700 m ; modèle 78 × 70 m ; niveaux 0. Détails dans catalogue-existant.json.</x:v>
      </x:c>
    </x:row>
    <x:row r="1801">
      <x:c r="A1801" t="str">
        <x:v>DW-1796</x:v>
      </x:c>
      <x:c r="B1801" t="str">
        <x:v>DW-0398</x:v>
      </x:c>
      <x:c r="C1801" t="str">
        <x:v>Composition héritée</x:v>
      </x:c>
      <x:c r="D1801" t="str">
        <x:v>Forêts et filière bois</x:v>
      </x:c>
      <x:c r="E1801" t="str">
        <x:v>Atelier de palettes — Scierie et dépôt de bois / évacuation interrompue</x:v>
      </x:c>
      <x:c r="F1801" t="n">
        <x:v>8</x:v>
      </x:c>
      <x:c r="G1801" t="n">
        <x:v>4</x:v>
      </x:c>
      <x:c r="H1801" t="n">
        <x:v>12</x:v>
      </x:c>
      <x:c r="I1801" t="str">
        <x:v>À qualifier par lieu</x:v>
      </x:c>
      <x:c r="J1801" t="str">
        <x:v>https://github.com/darknigthmare/deadwall-last-enclosure/blob/e28f46223e73105ab2c5d83f3d50b99b58ef53e6/codex-3000/compositions/Forêts et filière bois/DW-1796.md</x:v>
      </x:c>
      <x:c r="K1801" t="str">
        <x:v>Source min 90,70 m ; max 900,700 m ; modèle 78 × 70 m ; niveaux 0. Détails dans catalogue-existant.json.</x:v>
      </x:c>
    </x:row>
    <x:row r="1802">
      <x:c r="A1802" t="str">
        <x:v>DW-1797</x:v>
      </x:c>
      <x:c r="B1802" t="str">
        <x:v>DW-0399</x:v>
      </x:c>
      <x:c r="C1802" t="str">
        <x:v>Composition héritée</x:v>
      </x:c>
      <x:c r="D1802" t="str">
        <x:v>Forêts et filière bois</x:v>
      </x:c>
      <x:c r="E1802" t="str">
        <x:v>Dépôt de bois de chauffage — Clairière et coupe forestière / réseau principal coupé</x:v>
      </x:c>
      <x:c r="F1802" t="n">
        <x:v>8</x:v>
      </x:c>
      <x:c r="G1802" t="n">
        <x:v>4</x:v>
      </x:c>
      <x:c r="H1802" t="n">
        <x:v>12</x:v>
      </x:c>
      <x:c r="I1802" t="str">
        <x:v>À qualifier par lieu</x:v>
      </x:c>
      <x:c r="J1802" t="str">
        <x:v>https://github.com/darknigthmare/deadwall-last-enclosure/blob/e28f46223e73105ab2c5d83f3d50b99b58ef53e6/codex-3000/compositions/Forêts et filière bois/DW-1797.md</x:v>
      </x:c>
      <x:c r="K1802" t="str">
        <x:v>Source min 90,70 m ; max 900,700 m ; modèle 78 × 70 m ; niveaux 0. Détails dans catalogue-existant.json.</x:v>
      </x:c>
    </x:row>
    <x:row r="1803">
      <x:c r="A1803" t="str">
        <x:v>DW-1798</x:v>
      </x:c>
      <x:c r="B1803" t="str">
        <x:v>DW-0399</x:v>
      </x:c>
      <x:c r="C1803" t="str">
        <x:v>Composition héritée</x:v>
      </x:c>
      <x:c r="D1803" t="str">
        <x:v>Forêts et filière bois</x:v>
      </x:c>
      <x:c r="E1803" t="str">
        <x:v>Dépôt de bois de chauffage — Petit bois et lisière / arrêt de maintenance</x:v>
      </x:c>
      <x:c r="F1803" t="n">
        <x:v>8</x:v>
      </x:c>
      <x:c r="G1803" t="n">
        <x:v>4</x:v>
      </x:c>
      <x:c r="H1803" t="n">
        <x:v>12</x:v>
      </x:c>
      <x:c r="I1803" t="str">
        <x:v>À qualifier par lieu</x:v>
      </x:c>
      <x:c r="J1803" t="str">
        <x:v>https://github.com/darknigthmare/deadwall-last-enclosure/blob/e28f46223e73105ab2c5d83f3d50b99b58ef53e6/codex-3000/compositions/Forêts et filière bois/DW-1798.md</x:v>
      </x:c>
      <x:c r="K1803" t="str">
        <x:v>Source min 90,70 m ; max 900,700 m ; modèle 78 × 70 m ; niveaux 0. Détails dans catalogue-existant.json.</x:v>
      </x:c>
    </x:row>
    <x:row r="1804">
      <x:c r="A1804" t="str">
        <x:v>DW-1799</x:v>
      </x:c>
      <x:c r="B1804" t="str">
        <x:v>DW-0400</x:v>
      </x:c>
      <x:c r="C1804" t="str">
        <x:v>Composition héritée</x:v>
      </x:c>
      <x:c r="D1804" t="str">
        <x:v>Forêts et filière bois</x:v>
      </x:c>
      <x:c r="E1804" t="str">
        <x:v>Arboretum — Scierie et dépôt de bois / repli organisé interrompu</x:v>
      </x:c>
      <x:c r="F1804" t="n">
        <x:v>8</x:v>
      </x:c>
      <x:c r="G1804" t="n">
        <x:v>4</x:v>
      </x:c>
      <x:c r="H1804" t="n">
        <x:v>12</x:v>
      </x:c>
      <x:c r="I1804" t="str">
        <x:v>À qualifier par lieu</x:v>
      </x:c>
      <x:c r="J1804" t="str">
        <x:v>https://github.com/darknigthmare/deadwall-last-enclosure/blob/e28f46223e73105ab2c5d83f3d50b99b58ef53e6/codex-3000/compositions/Forêts et filière bois/DW-1799.md</x:v>
      </x:c>
      <x:c r="K1804" t="str">
        <x:v>Source min 90,70 m ; max 900,700 m ; modèle 78 × 70 m ; niveaux 0. Détails dans catalogue-existant.json.</x:v>
      </x:c>
    </x:row>
    <x:row r="1805">
      <x:c r="A1805" t="str">
        <x:v>DW-1800</x:v>
      </x:c>
      <x:c r="B1805" t="str">
        <x:v>DW-0400</x:v>
      </x:c>
      <x:c r="C1805" t="str">
        <x:v>Composition héritée</x:v>
      </x:c>
      <x:c r="D1805" t="str">
        <x:v>Forêts et filière bois</x:v>
      </x:c>
      <x:c r="E1805" t="str">
        <x:v>Arboretum — Forêt immense / première récupération passée</x:v>
      </x:c>
      <x:c r="F1805" t="n">
        <x:v>10</x:v>
      </x:c>
      <x:c r="G1805" t="n">
        <x:v>4</x:v>
      </x:c>
      <x:c r="H1805" t="n">
        <x:v>12</x:v>
      </x:c>
      <x:c r="I1805" t="str">
        <x:v>À qualifier par lieu</x:v>
      </x:c>
      <x:c r="J1805" t="str">
        <x:v>https://github.com/darknigthmare/deadwall-last-enclosure/blob/e28f46223e73105ab2c5d83f3d50b99b58ef53e6/codex-3000/compositions/Forêts et filière bois/DW-1800.md</x:v>
      </x:c>
      <x:c r="K1805" t="str">
        <x:v>Source min 90,70 m ; max 900,700 m ; modèle 78 × 70 m ; niveaux 0. Détails dans catalogue-existant.json.</x:v>
      </x:c>
    </x:row>
    <x:row r="1806">
      <x:c r="A1806" t="str">
        <x:v>DW-1801</x:v>
      </x:c>
      <x:c r="B1806" t="str">
        <x:v>DW-0401</x:v>
      </x:c>
      <x:c r="C1806" t="str">
        <x:v>Composition héritée</x:v>
      </x:c>
      <x:c r="D1806" t="str">
        <x:v>Mines et matériaux</x:v>
      </x:c>
      <x:c r="E1806" t="str">
        <x:v>Mine à galerie — Mine à galerie / évacuation interrompue</x:v>
      </x:c>
      <x:c r="F1806" t="n">
        <x:v>8</x:v>
      </x:c>
      <x:c r="G1806" t="n">
        <x:v>5</x:v>
      </x:c>
      <x:c r="H1806" t="n">
        <x:v>15</x:v>
      </x:c>
      <x:c r="I1806" t="str">
        <x:v>À qualifier par lieu</x:v>
      </x:c>
      <x:c r="J1806" t="str">
        <x:v>https://github.com/darknigthmare/deadwall-last-enclosure/blob/e28f46223e73105ab2c5d83f3d50b99b58ef53e6/codex-3000/compositions/Mines et matériaux/DW-1801.md</x:v>
      </x:c>
      <x:c r="K1806" t="str">
        <x:v>Source min 75,45 m ; max 800,500 m ; modèle 75 × 45 m ; niveaux -1, 0. Détails dans catalogue-existant.json.</x:v>
      </x:c>
    </x:row>
    <x:row r="1807">
      <x:c r="A1807" t="str">
        <x:v>DW-1802</x:v>
      </x:c>
      <x:c r="B1807" t="str">
        <x:v>DW-0401</x:v>
      </x:c>
      <x:c r="C1807" t="str">
        <x:v>Composition héritée</x:v>
      </x:c>
      <x:c r="D1807" t="str">
        <x:v>Mines et matériaux</x:v>
      </x:c>
      <x:c r="E1807" t="str">
        <x:v>Mine à galerie — Montagne et col / service déplacé à l’arrière</x:v>
      </x:c>
      <x:c r="F1807" t="n">
        <x:v>10</x:v>
      </x:c>
      <x:c r="G1807" t="n">
        <x:v>5</x:v>
      </x:c>
      <x:c r="H1807" t="n">
        <x:v>15</x:v>
      </x:c>
      <x:c r="I1807" t="str">
        <x:v>À qualifier par lieu</x:v>
      </x:c>
      <x:c r="J1807" t="str">
        <x:v>https://github.com/darknigthmare/deadwall-last-enclosure/blob/e28f46223e73105ab2c5d83f3d50b99b58ef53e6/codex-3000/compositions/Mines et matériaux/DW-1802.md</x:v>
      </x:c>
      <x:c r="K1807" t="str">
        <x:v>Source min 75,45 m ; max 800,500 m ; modèle 75 × 45 m ; niveaux -1, 0. Détails dans catalogue-existant.json.</x:v>
      </x:c>
    </x:row>
    <x:row r="1808">
      <x:c r="A1808" t="str">
        <x:v>DW-1803</x:v>
      </x:c>
      <x:c r="B1808" t="str">
        <x:v>DW-0402</x:v>
      </x:c>
      <x:c r="C1808" t="str">
        <x:v>Composition héritée</x:v>
      </x:c>
      <x:c r="D1808" t="str">
        <x:v>Mines et matériaux</x:v>
      </x:c>
      <x:c r="E1808" t="str">
        <x:v>Mine à ciel ouvert — Carrière / arrêt de maintenance</x:v>
      </x:c>
      <x:c r="F1808" t="n">
        <x:v>8</x:v>
      </x:c>
      <x:c r="G1808" t="n">
        <x:v>4</x:v>
      </x:c>
      <x:c r="H1808" t="n">
        <x:v>12</x:v>
      </x:c>
      <x:c r="I1808" t="str">
        <x:v>À qualifier par lieu</x:v>
      </x:c>
      <x:c r="J1808" t="str">
        <x:v>https://github.com/darknigthmare/deadwall-last-enclosure/blob/e28f46223e73105ab2c5d83f3d50b99b58ef53e6/codex-3000/compositions/Mines et matériaux/DW-1803.md</x:v>
      </x:c>
      <x:c r="K1808" t="str">
        <x:v>Source min 75,45 m ; max 800,500 m ; modèle 75 × 45 m ; niveaux 0. Détails dans catalogue-existant.json.</x:v>
      </x:c>
    </x:row>
    <x:row r="1809">
      <x:c r="A1809" t="str">
        <x:v>DW-1804</x:v>
      </x:c>
      <x:c r="B1809" t="str">
        <x:v>DW-0402</x:v>
      </x:c>
      <x:c r="C1809" t="str">
        <x:v>Composition héritée</x:v>
      </x:c>
      <x:c r="D1809" t="str">
        <x:v>Mines et matériaux</x:v>
      </x:c>
      <x:c r="E1809" t="str">
        <x:v>Mine à ciel ouvert — Plateau sec et terrain aride / reprise progressive de la végétation</x:v>
      </x:c>
      <x:c r="F1809" t="n">
        <x:v>10</x:v>
      </x:c>
      <x:c r="G1809" t="n">
        <x:v>4</x:v>
      </x:c>
      <x:c r="H1809" t="n">
        <x:v>12</x:v>
      </x:c>
      <x:c r="I1809" t="str">
        <x:v>À qualifier par lieu</x:v>
      </x:c>
      <x:c r="J1809" t="str">
        <x:v>https://github.com/darknigthmare/deadwall-last-enclosure/blob/e28f46223e73105ab2c5d83f3d50b99b58ef53e6/codex-3000/compositions/Mines et matériaux/DW-1804.md</x:v>
      </x:c>
      <x:c r="K1809" t="str">
        <x:v>Source min 75,45 m ; max 800,500 m ; modèle 75 × 45 m ; niveaux 0. Détails dans catalogue-existant.json.</x:v>
      </x:c>
    </x:row>
    <x:row r="1810">
      <x:c r="A1810" t="str">
        <x:v>DW-1805</x:v>
      </x:c>
      <x:c r="B1810" t="str">
        <x:v>DW-0403</x:v>
      </x:c>
      <x:c r="C1810" t="str">
        <x:v>Composition héritée</x:v>
      </x:c>
      <x:c r="D1810" t="str">
        <x:v>Mines et matériaux</x:v>
      </x:c>
      <x:c r="E1810" t="str">
        <x:v>Carrière de pierre — Montagne et col / première récupération passée</x:v>
      </x:c>
      <x:c r="F1810" t="n">
        <x:v>10</x:v>
      </x:c>
      <x:c r="G1810" t="n">
        <x:v>4</x:v>
      </x:c>
      <x:c r="H1810" t="n">
        <x:v>12</x:v>
      </x:c>
      <x:c r="I1810" t="str">
        <x:v>À qualifier par lieu</x:v>
      </x:c>
      <x:c r="J1810" t="str">
        <x:v>https://github.com/darknigthmare/deadwall-last-enclosure/blob/e28f46223e73105ab2c5d83f3d50b99b58ef53e6/codex-3000/compositions/Mines et matériaux/DW-1805.md</x:v>
      </x:c>
      <x:c r="K1810" t="str">
        <x:v>Source min 75,45 m ; max 800,500 m ; modèle 75 × 45 m ; niveaux 0. Détails dans catalogue-existant.json.</x:v>
      </x:c>
    </x:row>
    <x:row r="1811">
      <x:c r="A1811" t="str">
        <x:v>DW-1806</x:v>
      </x:c>
      <x:c r="B1811" t="str">
        <x:v>DW-0403</x:v>
      </x:c>
      <x:c r="C1811" t="str">
        <x:v>Composition héritée</x:v>
      </x:c>
      <x:c r="D1811" t="str">
        <x:v>Mines et matériaux</x:v>
      </x:c>
      <x:c r="E1811" t="str">
        <x:v>Carrière de pierre — Mine à galerie / relais temporaire envisagé</x:v>
      </x:c>
      <x:c r="F1811" t="n">
        <x:v>8</x:v>
      </x:c>
      <x:c r="G1811" t="n">
        <x:v>4</x:v>
      </x:c>
      <x:c r="H1811" t="n">
        <x:v>12</x:v>
      </x:c>
      <x:c r="I1811" t="str">
        <x:v>À qualifier par lieu</x:v>
      </x:c>
      <x:c r="J1811" t="str">
        <x:v>https://github.com/darknigthmare/deadwall-last-enclosure/blob/e28f46223e73105ab2c5d83f3d50b99b58ef53e6/codex-3000/compositions/Mines et matériaux/DW-1806.md</x:v>
      </x:c>
      <x:c r="K1811" t="str">
        <x:v>Source min 75,45 m ; max 800,500 m ; modèle 75 × 45 m ; niveaux 0. Détails dans catalogue-existant.json.</x:v>
      </x:c>
    </x:row>
    <x:row r="1812">
      <x:c r="A1812" t="str">
        <x:v>DW-1807</x:v>
      </x:c>
      <x:c r="B1812" t="str">
        <x:v>DW-0404</x:v>
      </x:c>
      <x:c r="C1812" t="str">
        <x:v>Composition héritée</x:v>
      </x:c>
      <x:c r="D1812" t="str">
        <x:v>Mines et matériaux</x:v>
      </x:c>
      <x:c r="E1812" t="str">
        <x:v>Carrière de granulats — Plateau sec et terrain aride / service déplacé à l’arrière</x:v>
      </x:c>
      <x:c r="F1812" t="n">
        <x:v>10</x:v>
      </x:c>
      <x:c r="G1812" t="n">
        <x:v>4</x:v>
      </x:c>
      <x:c r="H1812" t="n">
        <x:v>12</x:v>
      </x:c>
      <x:c r="I1812" t="str">
        <x:v>À qualifier par lieu</x:v>
      </x:c>
      <x:c r="J1812" t="str">
        <x:v>https://github.com/darknigthmare/deadwall-last-enclosure/blob/e28f46223e73105ab2c5d83f3d50b99b58ef53e6/codex-3000/compositions/Mines et matériaux/DW-1807.md</x:v>
      </x:c>
      <x:c r="K1812" t="str">
        <x:v>Source min 75,45 m ; max 800,500 m ; modèle 75 × 45 m ; niveaux 0. Détails dans catalogue-existant.json.</x:v>
      </x:c>
    </x:row>
    <x:row r="1813">
      <x:c r="A1813" t="str">
        <x:v>DW-1808</x:v>
      </x:c>
      <x:c r="B1813" t="str">
        <x:v>DW-0404</x:v>
      </x:c>
      <x:c r="C1813" t="str">
        <x:v>Composition héritée</x:v>
      </x:c>
      <x:c r="D1813" t="str">
        <x:v>Mines et matériaux</x:v>
      </x:c>
      <x:c r="E1813" t="str">
        <x:v>Carrière de granulats — Carrière / réseau principal coupé</x:v>
      </x:c>
      <x:c r="F1813" t="n">
        <x:v>8</x:v>
      </x:c>
      <x:c r="G1813" t="n">
        <x:v>4</x:v>
      </x:c>
      <x:c r="H1813" t="n">
        <x:v>12</x:v>
      </x:c>
      <x:c r="I1813" t="str">
        <x:v>À qualifier par lieu</x:v>
      </x:c>
      <x:c r="J1813" t="str">
        <x:v>https://github.com/darknigthmare/deadwall-last-enclosure/blob/e28f46223e73105ab2c5d83f3d50b99b58ef53e6/codex-3000/compositions/Mines et matériaux/DW-1808.md</x:v>
      </x:c>
      <x:c r="K1813" t="str">
        <x:v>Source min 75,45 m ; max 800,500 m ; modèle 75 × 45 m ; niveaux 0. Détails dans catalogue-existant.json.</x:v>
      </x:c>
    </x:row>
    <x:row r="1814">
      <x:c r="A1814" t="str">
        <x:v>DW-1809</x:v>
      </x:c>
      <x:c r="B1814" t="str">
        <x:v>DW-0405</x:v>
      </x:c>
      <x:c r="C1814" t="str">
        <x:v>Composition héritée</x:v>
      </x:c>
      <x:c r="D1814" t="str">
        <x:v>Mines et matériaux</x:v>
      </x:c>
      <x:c r="E1814" t="str">
        <x:v>Sablière — Mine à galerie / reprise progressive de la végétation</x:v>
      </x:c>
      <x:c r="F1814" t="n">
        <x:v>8</x:v>
      </x:c>
      <x:c r="G1814" t="n">
        <x:v>4</x:v>
      </x:c>
      <x:c r="H1814" t="n">
        <x:v>12</x:v>
      </x:c>
      <x:c r="I1814" t="str">
        <x:v>À qualifier par lieu</x:v>
      </x:c>
      <x:c r="J1814" t="str">
        <x:v>https://github.com/darknigthmare/deadwall-last-enclosure/blob/e28f46223e73105ab2c5d83f3d50b99b58ef53e6/codex-3000/compositions/Mines et matériaux/DW-1809.md</x:v>
      </x:c>
      <x:c r="K1814" t="str">
        <x:v>Source min 75,45 m ; max 800,500 m ; modèle 75 × 45 m ; niveaux 0. Détails dans catalogue-existant.json.</x:v>
      </x:c>
    </x:row>
    <x:row r="1815">
      <x:c r="A1815" t="str">
        <x:v>DW-1810</x:v>
      </x:c>
      <x:c r="B1815" t="str">
        <x:v>DW-0405</x:v>
      </x:c>
      <x:c r="C1815" t="str">
        <x:v>Composition héritée</x:v>
      </x:c>
      <x:c r="D1815" t="str">
        <x:v>Mines et matériaux</x:v>
      </x:c>
      <x:c r="E1815" t="str">
        <x:v>Sablière — Montagne et col / repli organisé interrompu</x:v>
      </x:c>
      <x:c r="F1815" t="n">
        <x:v>10</x:v>
      </x:c>
      <x:c r="G1815" t="n">
        <x:v>4</x:v>
      </x:c>
      <x:c r="H1815" t="n">
        <x:v>12</x:v>
      </x:c>
      <x:c r="I1815" t="str">
        <x:v>À qualifier par lieu</x:v>
      </x:c>
      <x:c r="J1815" t="str">
        <x:v>https://github.com/darknigthmare/deadwall-last-enclosure/blob/e28f46223e73105ab2c5d83f3d50b99b58ef53e6/codex-3000/compositions/Mines et matériaux/DW-1810.md</x:v>
      </x:c>
      <x:c r="K1815" t="str">
        <x:v>Source min 75,45 m ; max 800,500 m ; modèle 75 × 45 m ; niveaux 0. Détails dans catalogue-existant.json.</x:v>
      </x:c>
    </x:row>
    <x:row r="1816">
      <x:c r="A1816" t="str">
        <x:v>DW-1811</x:v>
      </x:c>
      <x:c r="B1816" t="str">
        <x:v>DW-0406</x:v>
      </x:c>
      <x:c r="C1816" t="str">
        <x:v>Composition héritée</x:v>
      </x:c>
      <x:c r="D1816" t="str">
        <x:v>Mines et matériaux</x:v>
      </x:c>
      <x:c r="E1816" t="str">
        <x:v>Gravière — Carrière / relais temporaire envisagé</x:v>
      </x:c>
      <x:c r="F1816" t="n">
        <x:v>8</x:v>
      </x:c>
      <x:c r="G1816" t="n">
        <x:v>4</x:v>
      </x:c>
      <x:c r="H1816" t="n">
        <x:v>12</x:v>
      </x:c>
      <x:c r="I1816" t="str">
        <x:v>À qualifier par lieu</x:v>
      </x:c>
      <x:c r="J1816" t="str">
        <x:v>https://github.com/darknigthmare/deadwall-last-enclosure/blob/e28f46223e73105ab2c5d83f3d50b99b58ef53e6/codex-3000/compositions/Mines et matériaux/DW-1811.md</x:v>
      </x:c>
      <x:c r="K1816" t="str">
        <x:v>Source min 75,45 m ; max 800,500 m ; modèle 75 × 45 m ; niveaux 0. Détails dans catalogue-existant.json.</x:v>
      </x:c>
    </x:row>
    <x:row r="1817">
      <x:c r="A1817" t="str">
        <x:v>DW-1812</x:v>
      </x:c>
      <x:c r="B1817" t="str">
        <x:v>DW-0406</x:v>
      </x:c>
      <x:c r="C1817" t="str">
        <x:v>Composition héritée</x:v>
      </x:c>
      <x:c r="D1817" t="str">
        <x:v>Mines et matériaux</x:v>
      </x:c>
      <x:c r="E1817" t="str">
        <x:v>Gravière — Plateau sec et terrain aride / évacuation interrompue</x:v>
      </x:c>
      <x:c r="F1817" t="n">
        <x:v>10</x:v>
      </x:c>
      <x:c r="G1817" t="n">
        <x:v>4</x:v>
      </x:c>
      <x:c r="H1817" t="n">
        <x:v>12</x:v>
      </x:c>
      <x:c r="I1817" t="str">
        <x:v>À qualifier par lieu</x:v>
      </x:c>
      <x:c r="J1817" t="str">
        <x:v>https://github.com/darknigthmare/deadwall-last-enclosure/blob/e28f46223e73105ab2c5d83f3d50b99b58ef53e6/codex-3000/compositions/Mines et matériaux/DW-1812.md</x:v>
      </x:c>
      <x:c r="K1817" t="str">
        <x:v>Source min 75,45 m ; max 800,500 m ; modèle 75 × 45 m ; niveaux 0. Détails dans catalogue-existant.json.</x:v>
      </x:c>
    </x:row>
    <x:row r="1818">
      <x:c r="A1818" t="str">
        <x:v>DW-1813</x:v>
      </x:c>
      <x:c r="B1818" t="str">
        <x:v>DW-0407</x:v>
      </x:c>
      <x:c r="C1818" t="str">
        <x:v>Composition héritée</x:v>
      </x:c>
      <x:c r="D1818" t="str">
        <x:v>Mines et matériaux</x:v>
      </x:c>
      <x:c r="E1818" t="str">
        <x:v>Mine désaffectée inondée — Montagne et col / réseau principal coupé</x:v>
      </x:c>
      <x:c r="F1818" t="n">
        <x:v>10</x:v>
      </x:c>
      <x:c r="G1818" t="n">
        <x:v>4</x:v>
      </x:c>
      <x:c r="H1818" t="n">
        <x:v>12</x:v>
      </x:c>
      <x:c r="I1818" t="str">
        <x:v>À qualifier par lieu</x:v>
      </x:c>
      <x:c r="J1818" t="str">
        <x:v>https://github.com/darknigthmare/deadwall-last-enclosure/blob/e28f46223e73105ab2c5d83f3d50b99b58ef53e6/codex-3000/compositions/Mines et matériaux/DW-1813.md</x:v>
      </x:c>
      <x:c r="K1818" t="str">
        <x:v>Source min 75,45 m ; max 800,500 m ; modèle 75 × 45 m ; niveaux -1, 0. Détails dans catalogue-existant.json.</x:v>
      </x:c>
    </x:row>
    <x:row r="1819">
      <x:c r="A1819" t="str">
        <x:v>DW-1814</x:v>
      </x:c>
      <x:c r="B1819" t="str">
        <x:v>DW-0407</x:v>
      </x:c>
      <x:c r="C1819" t="str">
        <x:v>Composition héritée</x:v>
      </x:c>
      <x:c r="D1819" t="str">
        <x:v>Mines et matériaux</x:v>
      </x:c>
      <x:c r="E1819" t="str">
        <x:v>Mine désaffectée inondée — Mine à galerie / arrêt de maintenance</x:v>
      </x:c>
      <x:c r="F1819" t="n">
        <x:v>8</x:v>
      </x:c>
      <x:c r="G1819" t="n">
        <x:v>4</x:v>
      </x:c>
      <x:c r="H1819" t="n">
        <x:v>12</x:v>
      </x:c>
      <x:c r="I1819" t="str">
        <x:v>À qualifier par lieu</x:v>
      </x:c>
      <x:c r="J1819" t="str">
        <x:v>https://github.com/darknigthmare/deadwall-last-enclosure/blob/e28f46223e73105ab2c5d83f3d50b99b58ef53e6/codex-3000/compositions/Mines et matériaux/DW-1814.md</x:v>
      </x:c>
      <x:c r="K1819" t="str">
        <x:v>Source min 75,45 m ; max 800,500 m ; modèle 75 × 45 m ; niveaux -1, 0. Détails dans catalogue-existant.json.</x:v>
      </x:c>
    </x:row>
    <x:row r="1820">
      <x:c r="A1820" t="str">
        <x:v>DW-1815</x:v>
      </x:c>
      <x:c r="B1820" t="str">
        <x:v>DW-0408</x:v>
      </x:c>
      <x:c r="C1820" t="str">
        <x:v>Composition héritée</x:v>
      </x:c>
      <x:c r="D1820" t="str">
        <x:v>Mines et matériaux</x:v>
      </x:c>
      <x:c r="E1820" t="str">
        <x:v>Puits de mine ancien — Plateau sec et terrain aride / repli organisé interrompu</x:v>
      </x:c>
      <x:c r="F1820" t="n">
        <x:v>10</x:v>
      </x:c>
      <x:c r="G1820" t="n">
        <x:v>4</x:v>
      </x:c>
      <x:c r="H1820" t="n">
        <x:v>12</x:v>
      </x:c>
      <x:c r="I1820" t="str">
        <x:v>À qualifier par lieu</x:v>
      </x:c>
      <x:c r="J1820" t="str">
        <x:v>https://github.com/darknigthmare/deadwall-last-enclosure/blob/e28f46223e73105ab2c5d83f3d50b99b58ef53e6/codex-3000/compositions/Mines et matériaux/DW-1815.md</x:v>
      </x:c>
      <x:c r="K1820" t="str">
        <x:v>Source min 75,45 m ; max 800,500 m ; modèle 75 × 45 m ; niveaux -1, 0. Détails dans catalogue-existant.json.</x:v>
      </x:c>
    </x:row>
    <x:row r="1821">
      <x:c r="A1821" t="str">
        <x:v>DW-1816</x:v>
      </x:c>
      <x:c r="B1821" t="str">
        <x:v>DW-0408</x:v>
      </x:c>
      <x:c r="C1821" t="str">
        <x:v>Composition héritée</x:v>
      </x:c>
      <x:c r="D1821" t="str">
        <x:v>Mines et matériaux</x:v>
      </x:c>
      <x:c r="E1821" t="str">
        <x:v>Puits de mine ancien — Carrière / première récupération passée</x:v>
      </x:c>
      <x:c r="F1821" t="n">
        <x:v>8</x:v>
      </x:c>
      <x:c r="G1821" t="n">
        <x:v>4</x:v>
      </x:c>
      <x:c r="H1821" t="n">
        <x:v>12</x:v>
      </x:c>
      <x:c r="I1821" t="str">
        <x:v>À qualifier par lieu</x:v>
      </x:c>
      <x:c r="J1821" t="str">
        <x:v>https://github.com/darknigthmare/deadwall-last-enclosure/blob/e28f46223e73105ab2c5d83f3d50b99b58ef53e6/codex-3000/compositions/Mines et matériaux/DW-1816.md</x:v>
      </x:c>
      <x:c r="K1821" t="str">
        <x:v>Source min 75,45 m ; max 800,500 m ; modèle 75 × 45 m ; niveaux -1, 0. Détails dans catalogue-existant.json.</x:v>
      </x:c>
    </x:row>
    <x:row r="1822">
      <x:c r="A1822" t="str">
        <x:v>DW-1817</x:v>
      </x:c>
      <x:c r="B1822" t="str">
        <x:v>DW-0409</x:v>
      </x:c>
      <x:c r="C1822" t="str">
        <x:v>Composition héritée</x:v>
      </x:c>
      <x:c r="D1822" t="str">
        <x:v>Mines et matériaux</x:v>
      </x:c>
      <x:c r="E1822" t="str">
        <x:v>Mine de sel fictive — Mine à galerie / évacuation interrompue</x:v>
      </x:c>
      <x:c r="F1822" t="n">
        <x:v>8</x:v>
      </x:c>
      <x:c r="G1822" t="n">
        <x:v>4</x:v>
      </x:c>
      <x:c r="H1822" t="n">
        <x:v>12</x:v>
      </x:c>
      <x:c r="I1822" t="str">
        <x:v>À qualifier par lieu</x:v>
      </x:c>
      <x:c r="J1822" t="str">
        <x:v>https://github.com/darknigthmare/deadwall-last-enclosure/blob/e28f46223e73105ab2c5d83f3d50b99b58ef53e6/codex-3000/compositions/Mines et matériaux/DW-1817.md</x:v>
      </x:c>
      <x:c r="K1822" t="str">
        <x:v>Source min 75,45 m ; max 800,500 m ; modèle 75 × 45 m ; niveaux -1, 0. Détails dans catalogue-existant.json.</x:v>
      </x:c>
    </x:row>
    <x:row r="1823">
      <x:c r="A1823" t="str">
        <x:v>DW-1818</x:v>
      </x:c>
      <x:c r="B1823" t="str">
        <x:v>DW-0409</x:v>
      </x:c>
      <x:c r="C1823" t="str">
        <x:v>Composition héritée</x:v>
      </x:c>
      <x:c r="D1823" t="str">
        <x:v>Mines et matériaux</x:v>
      </x:c>
      <x:c r="E1823" t="str">
        <x:v>Mine de sel fictive — Montagne et col / service déplacé à l’arrière</x:v>
      </x:c>
      <x:c r="F1823" t="n">
        <x:v>10</x:v>
      </x:c>
      <x:c r="G1823" t="n">
        <x:v>4</x:v>
      </x:c>
      <x:c r="H1823" t="n">
        <x:v>12</x:v>
      </x:c>
      <x:c r="I1823" t="str">
        <x:v>À qualifier par lieu</x:v>
      </x:c>
      <x:c r="J1823" t="str">
        <x:v>https://github.com/darknigthmare/deadwall-last-enclosure/blob/e28f46223e73105ab2c5d83f3d50b99b58ef53e6/codex-3000/compositions/Mines et matériaux/DW-1818.md</x:v>
      </x:c>
      <x:c r="K1823" t="str">
        <x:v>Source min 75,45 m ; max 800,500 m ; modèle 75 × 45 m ; niveaux -1, 0. Détails dans catalogue-existant.json.</x:v>
      </x:c>
    </x:row>
    <x:row r="1824">
      <x:c r="A1824" t="str">
        <x:v>DW-1819</x:v>
      </x:c>
      <x:c r="B1824" t="str">
        <x:v>DW-0410</x:v>
      </x:c>
      <x:c r="C1824" t="str">
        <x:v>Composition héritée</x:v>
      </x:c>
      <x:c r="D1824" t="str">
        <x:v>Mines et matériaux</x:v>
      </x:c>
      <x:c r="E1824" t="str">
        <x:v>Mine de charbon historique — Carrière / arrêt de maintenance</x:v>
      </x:c>
      <x:c r="F1824" t="n">
        <x:v>8</x:v>
      </x:c>
      <x:c r="G1824" t="n">
        <x:v>4</x:v>
      </x:c>
      <x:c r="H1824" t="n">
        <x:v>12</x:v>
      </x:c>
      <x:c r="I1824" t="str">
        <x:v>À qualifier par lieu</x:v>
      </x:c>
      <x:c r="J1824" t="str">
        <x:v>https://github.com/darknigthmare/deadwall-last-enclosure/blob/e28f46223e73105ab2c5d83f3d50b99b58ef53e6/codex-3000/compositions/Mines et matériaux/DW-1819.md</x:v>
      </x:c>
      <x:c r="K1824" t="str">
        <x:v>Source min 75,45 m ; max 800,500 m ; modèle 75 × 45 m ; niveaux -1, 0. Détails dans catalogue-existant.json.</x:v>
      </x:c>
    </x:row>
    <x:row r="1825">
      <x:c r="A1825" t="str">
        <x:v>DW-1820</x:v>
      </x:c>
      <x:c r="B1825" t="str">
        <x:v>DW-0410</x:v>
      </x:c>
      <x:c r="C1825" t="str">
        <x:v>Composition héritée</x:v>
      </x:c>
      <x:c r="D1825" t="str">
        <x:v>Mines et matériaux</x:v>
      </x:c>
      <x:c r="E1825" t="str">
        <x:v>Mine de charbon historique — Plateau sec et terrain aride / reprise progressive de la végétation</x:v>
      </x:c>
      <x:c r="F1825" t="n">
        <x:v>10</x:v>
      </x:c>
      <x:c r="G1825" t="n">
        <x:v>4</x:v>
      </x:c>
      <x:c r="H1825" t="n">
        <x:v>12</x:v>
      </x:c>
      <x:c r="I1825" t="str">
        <x:v>À qualifier par lieu</x:v>
      </x:c>
      <x:c r="J1825" t="str">
        <x:v>https://github.com/darknigthmare/deadwall-last-enclosure/blob/e28f46223e73105ab2c5d83f3d50b99b58ef53e6/codex-3000/compositions/Mines et matériaux/DW-1820.md</x:v>
      </x:c>
      <x:c r="K1825" t="str">
        <x:v>Source min 75,45 m ; max 800,500 m ; modèle 75 × 45 m ; niveaux -1, 0. Détails dans catalogue-existant.json.</x:v>
      </x:c>
    </x:row>
    <x:row r="1826">
      <x:c r="A1826" t="str">
        <x:v>DW-1821</x:v>
      </x:c>
      <x:c r="B1826" t="str">
        <x:v>DW-0411</x:v>
      </x:c>
      <x:c r="C1826" t="str">
        <x:v>Composition héritée</x:v>
      </x:c>
      <x:c r="D1826" t="str">
        <x:v>Mines et matériaux</x:v>
      </x:c>
      <x:c r="E1826" t="str">
        <x:v>Galerie de prospection — Montagne et col / première récupération passée</x:v>
      </x:c>
      <x:c r="F1826" t="n">
        <x:v>10</x:v>
      </x:c>
      <x:c r="G1826" t="n">
        <x:v>3</x:v>
      </x:c>
      <x:c r="H1826" t="n">
        <x:v>9</x:v>
      </x:c>
      <x:c r="I1826" t="str">
        <x:v>À qualifier par lieu</x:v>
      </x:c>
      <x:c r="J1826" t="str">
        <x:v>https://github.com/darknigthmare/deadwall-last-enclosure/blob/e28f46223e73105ab2c5d83f3d50b99b58ef53e6/codex-3000/compositions/Mines et matériaux/DW-1821.md</x:v>
      </x:c>
      <x:c r="K1826" t="str">
        <x:v>Source min 75,45 m ; max 800,500 m ; modèle 75 × 45 m ; niveaux 0. Détails dans catalogue-existant.json.</x:v>
      </x:c>
    </x:row>
    <x:row r="1827">
      <x:c r="A1827" t="str">
        <x:v>DW-1822</x:v>
      </x:c>
      <x:c r="B1827" t="str">
        <x:v>DW-0411</x:v>
      </x:c>
      <x:c r="C1827" t="str">
        <x:v>Composition héritée</x:v>
      </x:c>
      <x:c r="D1827" t="str">
        <x:v>Mines et matériaux</x:v>
      </x:c>
      <x:c r="E1827" t="str">
        <x:v>Galerie de prospection — Mine à galerie / relais temporaire envisagé</x:v>
      </x:c>
      <x:c r="F1827" t="n">
        <x:v>8</x:v>
      </x:c>
      <x:c r="G1827" t="n">
        <x:v>3</x:v>
      </x:c>
      <x:c r="H1827" t="n">
        <x:v>9</x:v>
      </x:c>
      <x:c r="I1827" t="str">
        <x:v>À qualifier par lieu</x:v>
      </x:c>
      <x:c r="J1827" t="str">
        <x:v>https://github.com/darknigthmare/deadwall-last-enclosure/blob/e28f46223e73105ab2c5d83f3d50b99b58ef53e6/codex-3000/compositions/Mines et matériaux/DW-1822.md</x:v>
      </x:c>
      <x:c r="K1827" t="str">
        <x:v>Source min 75,45 m ; max 800,500 m ; modèle 75 × 45 m ; niveaux 0. Détails dans catalogue-existant.json.</x:v>
      </x:c>
    </x:row>
    <x:row r="1828">
      <x:c r="A1828" t="str">
        <x:v>DW-1823</x:v>
      </x:c>
      <x:c r="B1828" t="str">
        <x:v>DW-0412</x:v>
      </x:c>
      <x:c r="C1828" t="str">
        <x:v>Composition héritée</x:v>
      </x:c>
      <x:c r="D1828" t="str">
        <x:v>Mines et matériaux</x:v>
      </x:c>
      <x:c r="E1828" t="str">
        <x:v>Centre de concassage — Plateau sec et terrain aride / service déplacé à l’arrière</x:v>
      </x:c>
      <x:c r="F1828" t="n">
        <x:v>10</x:v>
      </x:c>
      <x:c r="G1828" t="n">
        <x:v>4</x:v>
      </x:c>
      <x:c r="H1828" t="n">
        <x:v>12</x:v>
      </x:c>
      <x:c r="I1828" t="str">
        <x:v>À qualifier par lieu</x:v>
      </x:c>
      <x:c r="J1828" t="str">
        <x:v>https://github.com/darknigthmare/deadwall-last-enclosure/blob/e28f46223e73105ab2c5d83f3d50b99b58ef53e6/codex-3000/compositions/Mines et matériaux/DW-1823.md</x:v>
      </x:c>
      <x:c r="K1828" t="str">
        <x:v>Source min 75,45 m ; max 800,500 m ; modèle 75 × 45 m ; niveaux 0. Détails dans catalogue-existant.json.</x:v>
      </x:c>
    </x:row>
    <x:row r="1829">
      <x:c r="A1829" t="str">
        <x:v>DW-1824</x:v>
      </x:c>
      <x:c r="B1829" t="str">
        <x:v>DW-0412</x:v>
      </x:c>
      <x:c r="C1829" t="str">
        <x:v>Composition héritée</x:v>
      </x:c>
      <x:c r="D1829" t="str">
        <x:v>Mines et matériaux</x:v>
      </x:c>
      <x:c r="E1829" t="str">
        <x:v>Centre de concassage — Carrière / réseau principal coupé</x:v>
      </x:c>
      <x:c r="F1829" t="n">
        <x:v>8</x:v>
      </x:c>
      <x:c r="G1829" t="n">
        <x:v>4</x:v>
      </x:c>
      <x:c r="H1829" t="n">
        <x:v>12</x:v>
      </x:c>
      <x:c r="I1829" t="str">
        <x:v>À qualifier par lieu</x:v>
      </x:c>
      <x:c r="J1829" t="str">
        <x:v>https://github.com/darknigthmare/deadwall-last-enclosure/blob/e28f46223e73105ab2c5d83f3d50b99b58ef53e6/codex-3000/compositions/Mines et matériaux/DW-1824.md</x:v>
      </x:c>
      <x:c r="K1829" t="str">
        <x:v>Source min 75,45 m ; max 800,500 m ; modèle 75 × 45 m ; niveaux 0. Détails dans catalogue-existant.json.</x:v>
      </x:c>
    </x:row>
    <x:row r="1830">
      <x:c r="A1830" t="str">
        <x:v>DW-1825</x:v>
      </x:c>
      <x:c r="B1830" t="str">
        <x:v>DW-0413</x:v>
      </x:c>
      <x:c r="C1830" t="str">
        <x:v>Composition héritée</x:v>
      </x:c>
      <x:c r="D1830" t="str">
        <x:v>Mines et matériaux</x:v>
      </x:c>
      <x:c r="E1830" t="str">
        <x:v>Atelier de tailleur de pierre — Mine à galerie / reprise progressive de la végétation</x:v>
      </x:c>
      <x:c r="F1830" t="n">
        <x:v>8</x:v>
      </x:c>
      <x:c r="G1830" t="n">
        <x:v>4</x:v>
      </x:c>
      <x:c r="H1830" t="n">
        <x:v>12</x:v>
      </x:c>
      <x:c r="I1830" t="str">
        <x:v>À qualifier par lieu</x:v>
      </x:c>
      <x:c r="J1830" t="str">
        <x:v>https://github.com/darknigthmare/deadwall-last-enclosure/blob/e28f46223e73105ab2c5d83f3d50b99b58ef53e6/codex-3000/compositions/Mines et matériaux/DW-1825.md</x:v>
      </x:c>
      <x:c r="K1830" t="str">
        <x:v>Source min 75,45 m ; max 800,500 m ; modèle 75 × 45 m ; niveaux 0. Détails dans catalogue-existant.json.</x:v>
      </x:c>
    </x:row>
    <x:row r="1831">
      <x:c r="A1831" t="str">
        <x:v>DW-1826</x:v>
      </x:c>
      <x:c r="B1831" t="str">
        <x:v>DW-0413</x:v>
      </x:c>
      <x:c r="C1831" t="str">
        <x:v>Composition héritée</x:v>
      </x:c>
      <x:c r="D1831" t="str">
        <x:v>Mines et matériaux</x:v>
      </x:c>
      <x:c r="E1831" t="str">
        <x:v>Atelier de tailleur de pierre — Montagne et col / repli organisé interrompu</x:v>
      </x:c>
      <x:c r="F1831" t="n">
        <x:v>10</x:v>
      </x:c>
      <x:c r="G1831" t="n">
        <x:v>4</x:v>
      </x:c>
      <x:c r="H1831" t="n">
        <x:v>12</x:v>
      </x:c>
      <x:c r="I1831" t="str">
        <x:v>À qualifier par lieu</x:v>
      </x:c>
      <x:c r="J1831" t="str">
        <x:v>https://github.com/darknigthmare/deadwall-last-enclosure/blob/e28f46223e73105ab2c5d83f3d50b99b58ef53e6/codex-3000/compositions/Mines et matériaux/DW-1826.md</x:v>
      </x:c>
      <x:c r="K1831" t="str">
        <x:v>Source min 75,45 m ; max 800,500 m ; modèle 75 × 45 m ; niveaux 0. Détails dans catalogue-existant.json.</x:v>
      </x:c>
    </x:row>
    <x:row r="1832">
      <x:c r="A1832" t="str">
        <x:v>DW-1827</x:v>
      </x:c>
      <x:c r="B1832" t="str">
        <x:v>DW-0414</x:v>
      </x:c>
      <x:c r="C1832" t="str">
        <x:v>Composition héritée</x:v>
      </x:c>
      <x:c r="D1832" t="str">
        <x:v>Mines et matériaux</x:v>
      </x:c>
      <x:c r="E1832" t="str">
        <x:v>Négoce de roches décoratives — Carrière / relais temporaire envisagé</x:v>
      </x:c>
      <x:c r="F1832" t="n">
        <x:v>8</x:v>
      </x:c>
      <x:c r="G1832" t="n">
        <x:v>4</x:v>
      </x:c>
      <x:c r="H1832" t="n">
        <x:v>12</x:v>
      </x:c>
      <x:c r="I1832" t="str">
        <x:v>À qualifier par lieu</x:v>
      </x:c>
      <x:c r="J1832" t="str">
        <x:v>https://github.com/darknigthmare/deadwall-last-enclosure/blob/e28f46223e73105ab2c5d83f3d50b99b58ef53e6/codex-3000/compositions/Mines et matériaux/DW-1827.md</x:v>
      </x:c>
      <x:c r="K1832" t="str">
        <x:v>Source min 75,45 m ; max 800,500 m ; modèle 75 × 45 m ; niveaux 0. Détails dans catalogue-existant.json.</x:v>
      </x:c>
    </x:row>
    <x:row r="1833">
      <x:c r="A1833" t="str">
        <x:v>DW-1828</x:v>
      </x:c>
      <x:c r="B1833" t="str">
        <x:v>DW-0414</x:v>
      </x:c>
      <x:c r="C1833" t="str">
        <x:v>Composition héritée</x:v>
      </x:c>
      <x:c r="D1833" t="str">
        <x:v>Mines et matériaux</x:v>
      </x:c>
      <x:c r="E1833" t="str">
        <x:v>Négoce de roches décoratives — Plateau sec et terrain aride / évacuation interrompue</x:v>
      </x:c>
      <x:c r="F1833" t="n">
        <x:v>10</x:v>
      </x:c>
      <x:c r="G1833" t="n">
        <x:v>4</x:v>
      </x:c>
      <x:c r="H1833" t="n">
        <x:v>12</x:v>
      </x:c>
      <x:c r="I1833" t="str">
        <x:v>À qualifier par lieu</x:v>
      </x:c>
      <x:c r="J1833" t="str">
        <x:v>https://github.com/darknigthmare/deadwall-last-enclosure/blob/e28f46223e73105ab2c5d83f3d50b99b58ef53e6/codex-3000/compositions/Mines et matériaux/DW-1828.md</x:v>
      </x:c>
      <x:c r="K1833" t="str">
        <x:v>Source min 75,45 m ; max 800,500 m ; modèle 75 × 45 m ; niveaux 0. Détails dans catalogue-existant.json.</x:v>
      </x:c>
    </x:row>
    <x:row r="1834">
      <x:c r="A1834" t="str">
        <x:v>DW-1829</x:v>
      </x:c>
      <x:c r="B1834" t="str">
        <x:v>DW-0415</x:v>
      </x:c>
      <x:c r="C1834" t="str">
        <x:v>Composition héritée</x:v>
      </x:c>
      <x:c r="D1834" t="str">
        <x:v>Mines et matériaux</x:v>
      </x:c>
      <x:c r="E1834" t="str">
        <x:v>Ancienne briqueterie — Montagne et col / réseau principal coupé</x:v>
      </x:c>
      <x:c r="F1834" t="n">
        <x:v>10</x:v>
      </x:c>
      <x:c r="G1834" t="n">
        <x:v>4</x:v>
      </x:c>
      <x:c r="H1834" t="n">
        <x:v>12</x:v>
      </x:c>
      <x:c r="I1834" t="str">
        <x:v>À qualifier par lieu</x:v>
      </x:c>
      <x:c r="J1834" t="str">
        <x:v>https://github.com/darknigthmare/deadwall-last-enclosure/blob/e28f46223e73105ab2c5d83f3d50b99b58ef53e6/codex-3000/compositions/Mines et matériaux/DW-1829.md</x:v>
      </x:c>
      <x:c r="K1834" t="str">
        <x:v>Source min 75,45 m ; max 800,500 m ; modèle 75 × 45 m ; niveaux 0. Détails dans catalogue-existant.json.</x:v>
      </x:c>
    </x:row>
    <x:row r="1835">
      <x:c r="A1835" t="str">
        <x:v>DW-1830</x:v>
      </x:c>
      <x:c r="B1835" t="str">
        <x:v>DW-0415</x:v>
      </x:c>
      <x:c r="C1835" t="str">
        <x:v>Composition héritée</x:v>
      </x:c>
      <x:c r="D1835" t="str">
        <x:v>Mines et matériaux</x:v>
      </x:c>
      <x:c r="E1835" t="str">
        <x:v>Ancienne briqueterie — Mine à galerie / arrêt de maintenance</x:v>
      </x:c>
      <x:c r="F1835" t="n">
        <x:v>8</x:v>
      </x:c>
      <x:c r="G1835" t="n">
        <x:v>4</x:v>
      </x:c>
      <x:c r="H1835" t="n">
        <x:v>12</x:v>
      </x:c>
      <x:c r="I1835" t="str">
        <x:v>À qualifier par lieu</x:v>
      </x:c>
      <x:c r="J1835" t="str">
        <x:v>https://github.com/darknigthmare/deadwall-last-enclosure/blob/e28f46223e73105ab2c5d83f3d50b99b58ef53e6/codex-3000/compositions/Mines et matériaux/DW-1830.md</x:v>
      </x:c>
      <x:c r="K1835" t="str">
        <x:v>Source min 75,45 m ; max 800,500 m ; modèle 75 × 45 m ; niveaux 0. Détails dans catalogue-existant.json.</x:v>
      </x:c>
    </x:row>
    <x:row r="1836">
      <x:c r="A1836" t="str">
        <x:v>DW-1831</x:v>
      </x:c>
      <x:c r="B1836" t="str">
        <x:v>DW-0416</x:v>
      </x:c>
      <x:c r="C1836" t="str">
        <x:v>Composition héritée</x:v>
      </x:c>
      <x:c r="D1836" t="str">
        <x:v>Mines et matériaux</x:v>
      </x:c>
      <x:c r="E1836" t="str">
        <x:v>Four à chaux patrimonial — Plateau sec et terrain aride / repli organisé interrompu</x:v>
      </x:c>
      <x:c r="F1836" t="n">
        <x:v>10</x:v>
      </x:c>
      <x:c r="G1836" t="n">
        <x:v>4</x:v>
      </x:c>
      <x:c r="H1836" t="n">
        <x:v>12</x:v>
      </x:c>
      <x:c r="I1836" t="str">
        <x:v>À qualifier par lieu</x:v>
      </x:c>
      <x:c r="J1836" t="str">
        <x:v>https://github.com/darknigthmare/deadwall-last-enclosure/blob/e28f46223e73105ab2c5d83f3d50b99b58ef53e6/codex-3000/compositions/Mines et matériaux/DW-1831.md</x:v>
      </x:c>
      <x:c r="K1836" t="str">
        <x:v>Source min 75,45 m ; max 800,500 m ; modèle 75 × 45 m ; niveaux 0. Détails dans catalogue-existant.json.</x:v>
      </x:c>
    </x:row>
    <x:row r="1837">
      <x:c r="A1837" t="str">
        <x:v>DW-1832</x:v>
      </x:c>
      <x:c r="B1837" t="str">
        <x:v>DW-0416</x:v>
      </x:c>
      <x:c r="C1837" t="str">
        <x:v>Composition héritée</x:v>
      </x:c>
      <x:c r="D1837" t="str">
        <x:v>Mines et matériaux</x:v>
      </x:c>
      <x:c r="E1837" t="str">
        <x:v>Four à chaux patrimonial — Carrière / première récupération passée</x:v>
      </x:c>
      <x:c r="F1837" t="n">
        <x:v>8</x:v>
      </x:c>
      <x:c r="G1837" t="n">
        <x:v>4</x:v>
      </x:c>
      <x:c r="H1837" t="n">
        <x:v>12</x:v>
      </x:c>
      <x:c r="I1837" t="str">
        <x:v>À qualifier par lieu</x:v>
      </x:c>
      <x:c r="J1837" t="str">
        <x:v>https://github.com/darknigthmare/deadwall-last-enclosure/blob/e28f46223e73105ab2c5d83f3d50b99b58ef53e6/codex-3000/compositions/Mines et matériaux/DW-1832.md</x:v>
      </x:c>
      <x:c r="K1837" t="str">
        <x:v>Source min 75,45 m ; max 800,500 m ; modèle 75 × 45 m ; niveaux 0. Détails dans catalogue-existant.json.</x:v>
      </x:c>
    </x:row>
    <x:row r="1838">
      <x:c r="A1838" t="str">
        <x:v>DW-1833</x:v>
      </x:c>
      <x:c r="B1838" t="str">
        <x:v>DW-0417</x:v>
      </x:c>
      <x:c r="C1838" t="str">
        <x:v>Composition héritée</x:v>
      </x:c>
      <x:c r="D1838" t="str">
        <x:v>Mines et matériaux</x:v>
      </x:c>
      <x:c r="E1838" t="str">
        <x:v>Champ de terrils — Mine à galerie / évacuation interrompue</x:v>
      </x:c>
      <x:c r="F1838" t="n">
        <x:v>8</x:v>
      </x:c>
      <x:c r="G1838" t="n">
        <x:v>4</x:v>
      </x:c>
      <x:c r="H1838" t="n">
        <x:v>12</x:v>
      </x:c>
      <x:c r="I1838" t="str">
        <x:v>À qualifier par lieu</x:v>
      </x:c>
      <x:c r="J1838" t="str">
        <x:v>https://github.com/darknigthmare/deadwall-last-enclosure/blob/e28f46223e73105ab2c5d83f3d50b99b58ef53e6/codex-3000/compositions/Mines et matériaux/DW-1833.md</x:v>
      </x:c>
      <x:c r="K1838" t="str">
        <x:v>Source min 75,45 m ; max 800,500 m ; modèle 75 × 45 m ; niveaux 0. Détails dans catalogue-existant.json.</x:v>
      </x:c>
    </x:row>
    <x:row r="1839">
      <x:c r="A1839" t="str">
        <x:v>DW-1834</x:v>
      </x:c>
      <x:c r="B1839" t="str">
        <x:v>DW-0417</x:v>
      </x:c>
      <x:c r="C1839" t="str">
        <x:v>Composition héritée</x:v>
      </x:c>
      <x:c r="D1839" t="str">
        <x:v>Mines et matériaux</x:v>
      </x:c>
      <x:c r="E1839" t="str">
        <x:v>Champ de terrils — Montagne et col / service déplacé à l’arrière</x:v>
      </x:c>
      <x:c r="F1839" t="n">
        <x:v>10</x:v>
      </x:c>
      <x:c r="G1839" t="n">
        <x:v>4</x:v>
      </x:c>
      <x:c r="H1839" t="n">
        <x:v>12</x:v>
      </x:c>
      <x:c r="I1839" t="str">
        <x:v>À qualifier par lieu</x:v>
      </x:c>
      <x:c r="J1839" t="str">
        <x:v>https://github.com/darknigthmare/deadwall-last-enclosure/blob/e28f46223e73105ab2c5d83f3d50b99b58ef53e6/codex-3000/compositions/Mines et matériaux/DW-1834.md</x:v>
      </x:c>
      <x:c r="K1839" t="str">
        <x:v>Source min 75,45 m ; max 800,500 m ; modèle 75 × 45 m ; niveaux 0. Détails dans catalogue-existant.json.</x:v>
      </x:c>
    </x:row>
    <x:row r="1840">
      <x:c r="A1840" t="str">
        <x:v>DW-1835</x:v>
      </x:c>
      <x:c r="B1840" t="str">
        <x:v>DW-0418</x:v>
      </x:c>
      <x:c r="C1840" t="str">
        <x:v>Composition héritée</x:v>
      </x:c>
      <x:c r="D1840" t="str">
        <x:v>Mines et matériaux</x:v>
      </x:c>
      <x:c r="E1840" t="str">
        <x:v>Base géologique — Carrière / arrêt de maintenance</x:v>
      </x:c>
      <x:c r="F1840" t="n">
        <x:v>8</x:v>
      </x:c>
      <x:c r="G1840" t="n">
        <x:v>4</x:v>
      </x:c>
      <x:c r="H1840" t="n">
        <x:v>12</x:v>
      </x:c>
      <x:c r="I1840" t="str">
        <x:v>À qualifier par lieu</x:v>
      </x:c>
      <x:c r="J1840" t="str">
        <x:v>https://github.com/darknigthmare/deadwall-last-enclosure/blob/e28f46223e73105ab2c5d83f3d50b99b58ef53e6/codex-3000/compositions/Mines et matériaux/DW-1835.md</x:v>
      </x:c>
      <x:c r="K1840" t="str">
        <x:v>Source min 75,45 m ; max 800,500 m ; modèle 75 × 45 m ; niveaux 0. Détails dans catalogue-existant.json.</x:v>
      </x:c>
    </x:row>
    <x:row r="1841">
      <x:c r="A1841" t="str">
        <x:v>DW-1836</x:v>
      </x:c>
      <x:c r="B1841" t="str">
        <x:v>DW-0418</x:v>
      </x:c>
      <x:c r="C1841" t="str">
        <x:v>Composition héritée</x:v>
      </x:c>
      <x:c r="D1841" t="str">
        <x:v>Mines et matériaux</x:v>
      </x:c>
      <x:c r="E1841" t="str">
        <x:v>Base géologique — Plateau sec et terrain aride / reprise progressive de la végétation</x:v>
      </x:c>
      <x:c r="F1841" t="n">
        <x:v>10</x:v>
      </x:c>
      <x:c r="G1841" t="n">
        <x:v>4</x:v>
      </x:c>
      <x:c r="H1841" t="n">
        <x:v>12</x:v>
      </x:c>
      <x:c r="I1841" t="str">
        <x:v>À qualifier par lieu</x:v>
      </x:c>
      <x:c r="J1841" t="str">
        <x:v>https://github.com/darknigthmare/deadwall-last-enclosure/blob/e28f46223e73105ab2c5d83f3d50b99b58ef53e6/codex-3000/compositions/Mines et matériaux/DW-1836.md</x:v>
      </x:c>
      <x:c r="K1841" t="str">
        <x:v>Source min 75,45 m ; max 800,500 m ; modèle 75 × 45 m ; niveaux 0. Détails dans catalogue-existant.json.</x:v>
      </x:c>
    </x:row>
    <x:row r="1842">
      <x:c r="A1842" t="str">
        <x:v>DW-1837</x:v>
      </x:c>
      <x:c r="B1842" t="str">
        <x:v>DW-0419</x:v>
      </x:c>
      <x:c r="C1842" t="str">
        <x:v>Composition héritée</x:v>
      </x:c>
      <x:c r="D1842" t="str">
        <x:v>Mines et matériaux</x:v>
      </x:c>
      <x:c r="E1842" t="str">
        <x:v>Tunnel minier réaffecté — Montagne et col / première récupération passée</x:v>
      </x:c>
      <x:c r="F1842" t="n">
        <x:v>10</x:v>
      </x:c>
      <x:c r="G1842" t="n">
        <x:v>4</x:v>
      </x:c>
      <x:c r="H1842" t="n">
        <x:v>12</x:v>
      </x:c>
      <x:c r="I1842" t="str">
        <x:v>À qualifier par lieu</x:v>
      </x:c>
      <x:c r="J1842" t="str">
        <x:v>https://github.com/darknigthmare/deadwall-last-enclosure/blob/e28f46223e73105ab2c5d83f3d50b99b58ef53e6/codex-3000/compositions/Mines et matériaux/DW-1837.md</x:v>
      </x:c>
      <x:c r="K1842" t="str">
        <x:v>Source min 75,45 m ; max 800,500 m ; modèle 75 × 45 m ; niveaux 0. Détails dans catalogue-existant.json.</x:v>
      </x:c>
    </x:row>
    <x:row r="1843">
      <x:c r="A1843" t="str">
        <x:v>DW-1838</x:v>
      </x:c>
      <x:c r="B1843" t="str">
        <x:v>DW-0419</x:v>
      </x:c>
      <x:c r="C1843" t="str">
        <x:v>Composition héritée</x:v>
      </x:c>
      <x:c r="D1843" t="str">
        <x:v>Mines et matériaux</x:v>
      </x:c>
      <x:c r="E1843" t="str">
        <x:v>Tunnel minier réaffecté — Mine à galerie / relais temporaire envisagé</x:v>
      </x:c>
      <x:c r="F1843" t="n">
        <x:v>8</x:v>
      </x:c>
      <x:c r="G1843" t="n">
        <x:v>4</x:v>
      </x:c>
      <x:c r="H1843" t="n">
        <x:v>12</x:v>
      </x:c>
      <x:c r="I1843" t="str">
        <x:v>À qualifier par lieu</x:v>
      </x:c>
      <x:c r="J1843" t="str">
        <x:v>https://github.com/darknigthmare/deadwall-last-enclosure/blob/e28f46223e73105ab2c5d83f3d50b99b58ef53e6/codex-3000/compositions/Mines et matériaux/DW-1838.md</x:v>
      </x:c>
      <x:c r="K1843" t="str">
        <x:v>Source min 75,45 m ; max 800,500 m ; modèle 75 × 45 m ; niveaux 0. Détails dans catalogue-existant.json.</x:v>
      </x:c>
    </x:row>
    <x:row r="1844">
      <x:c r="A1844" t="str">
        <x:v>DW-1839</x:v>
      </x:c>
      <x:c r="B1844" t="str">
        <x:v>DW-0420</x:v>
      </x:c>
      <x:c r="C1844" t="str">
        <x:v>Composition héritée</x:v>
      </x:c>
      <x:c r="D1844" t="str">
        <x:v>Mines et matériaux</x:v>
      </x:c>
      <x:c r="E1844" t="str">
        <x:v>Village minier fantôme — Plateau sec et terrain aride / service déplacé à l’arrière</x:v>
      </x:c>
      <x:c r="F1844" t="n">
        <x:v>10</x:v>
      </x:c>
      <x:c r="G1844" t="n">
        <x:v>5</x:v>
      </x:c>
      <x:c r="H1844" t="n">
        <x:v>15</x:v>
      </x:c>
      <x:c r="I1844" t="str">
        <x:v>À qualifier par lieu</x:v>
      </x:c>
      <x:c r="J1844" t="str">
        <x:v>https://github.com/darknigthmare/deadwall-last-enclosure/blob/e28f46223e73105ab2c5d83f3d50b99b58ef53e6/codex-3000/compositions/Mines et matériaux/DW-1839.md</x:v>
      </x:c>
      <x:c r="K1844" t="str">
        <x:v>Source min 75,45 m ; max 800,500 m ; modèle 75 × 45 m ; niveaux 0. Détails dans catalogue-existant.json.</x:v>
      </x:c>
    </x:row>
    <x:row r="1845">
      <x:c r="A1845" t="str">
        <x:v>DW-1840</x:v>
      </x:c>
      <x:c r="B1845" t="str">
        <x:v>DW-0420</x:v>
      </x:c>
      <x:c r="C1845" t="str">
        <x:v>Composition héritée</x:v>
      </x:c>
      <x:c r="D1845" t="str">
        <x:v>Mines et matériaux</x:v>
      </x:c>
      <x:c r="E1845" t="str">
        <x:v>Village minier fantôme — Carrière / réseau principal coupé</x:v>
      </x:c>
      <x:c r="F1845" t="n">
        <x:v>8</x:v>
      </x:c>
      <x:c r="G1845" t="n">
        <x:v>5</x:v>
      </x:c>
      <x:c r="H1845" t="n">
        <x:v>15</x:v>
      </x:c>
      <x:c r="I1845" t="str">
        <x:v>À qualifier par lieu</x:v>
      </x:c>
      <x:c r="J1845" t="str">
        <x:v>https://github.com/darknigthmare/deadwall-last-enclosure/blob/e28f46223e73105ab2c5d83f3d50b99b58ef53e6/codex-3000/compositions/Mines et matériaux/DW-1840.md</x:v>
      </x:c>
      <x:c r="K1845" t="str">
        <x:v>Source min 75,45 m ; max 800,500 m ; modèle 75 × 45 m ; niveaux 0. Détails dans catalogue-existant.json.</x:v>
      </x:c>
    </x:row>
    <x:row r="1846">
      <x:c r="A1846" t="str">
        <x:v>DW-1841</x:v>
      </x:c>
      <x:c r="B1846" t="str">
        <x:v>DW-0421</x:v>
      </x:c>
      <x:c r="C1846" t="str">
        <x:v>Composition héritée</x:v>
      </x:c>
      <x:c r="D1846" t="str">
        <x:v>Ports et activités nautiques</x:v>
      </x:c>
      <x:c r="E1846" t="str">
        <x:v>Port de pêche — Port marchand / reprise progressive de la végétation</x:v>
      </x:c>
      <x:c r="F1846" t="n">
        <x:v>10</x:v>
      </x:c>
      <x:c r="G1846" t="n">
        <x:v>4</x:v>
      </x:c>
      <x:c r="H1846" t="n">
        <x:v>12</x:v>
      </x:c>
      <x:c r="I1846" t="str">
        <x:v>À qualifier par lieu</x:v>
      </x:c>
      <x:c r="J1846" t="str">
        <x:v>https://github.com/darknigthmare/deadwall-last-enclosure/blob/e28f46223e73105ab2c5d83f3d50b99b58ef53e6/codex-3000/compositions/Ports et activités nautiques/DW-1841.md</x:v>
      </x:c>
      <x:c r="K1846" t="str">
        <x:v>Source min 80,55 m ; max 700,350 m ; modèle 80 × 55 m ; niveaux 0. Détails dans catalogue-existant.json.</x:v>
      </x:c>
    </x:row>
    <x:row r="1847">
      <x:c r="A1847" t="str">
        <x:v>DW-1842</x:v>
      </x:c>
      <x:c r="B1847" t="str">
        <x:v>DW-0421</x:v>
      </x:c>
      <x:c r="C1847" t="str">
        <x:v>Composition héritée</x:v>
      </x:c>
      <x:c r="D1847" t="str">
        <x:v>Ports et activités nautiques</x:v>
      </x:c>
      <x:c r="E1847" t="str">
        <x:v>Port de pêche — Lac et base de loisirs / repli organisé interrompu</x:v>
      </x:c>
      <x:c r="F1847" t="n">
        <x:v>10</x:v>
      </x:c>
      <x:c r="G1847" t="n">
        <x:v>4</x:v>
      </x:c>
      <x:c r="H1847" t="n">
        <x:v>12</x:v>
      </x:c>
      <x:c r="I1847" t="str">
        <x:v>À qualifier par lieu</x:v>
      </x:c>
      <x:c r="J1847" t="str">
        <x:v>https://github.com/darknigthmare/deadwall-last-enclosure/blob/e28f46223e73105ab2c5d83f3d50b99b58ef53e6/codex-3000/compositions/Ports et activités nautiques/DW-1842.md</x:v>
      </x:c>
      <x:c r="K1847" t="str">
        <x:v>Source min 80,55 m ; max 700,350 m ; modèle 80 × 55 m ; niveaux 0. Détails dans catalogue-existant.json.</x:v>
      </x:c>
    </x:row>
    <x:row r="1848">
      <x:c r="A1848" t="str">
        <x:v>DW-1843</x:v>
      </x:c>
      <x:c r="B1848" t="str">
        <x:v>DW-0422</x:v>
      </x:c>
      <x:c r="C1848" t="str">
        <x:v>Composition héritée</x:v>
      </x:c>
      <x:c r="D1848" t="str">
        <x:v>Ports et activités nautiques</x:v>
      </x:c>
      <x:c r="E1848" t="str">
        <x:v>Port de plaisance — Plage et dune / relais temporaire envisagé</x:v>
      </x:c>
      <x:c r="F1848" t="n">
        <x:v>10</x:v>
      </x:c>
      <x:c r="G1848" t="n">
        <x:v>4</x:v>
      </x:c>
      <x:c r="H1848" t="n">
        <x:v>12</x:v>
      </x:c>
      <x:c r="I1848" t="str">
        <x:v>À qualifier par lieu</x:v>
      </x:c>
      <x:c r="J1848" t="str">
        <x:v>https://github.com/darknigthmare/deadwall-last-enclosure/blob/e28f46223e73105ab2c5d83f3d50b99b58ef53e6/codex-3000/compositions/Ports et activités nautiques/DW-1843.md</x:v>
      </x:c>
      <x:c r="K1848" t="str">
        <x:v>Source min 80,55 m ; max 700,350 m ; modèle 80 × 55 m ; niveaux 0. Détails dans catalogue-existant.json.</x:v>
      </x:c>
    </x:row>
    <x:row r="1849">
      <x:c r="A1849" t="str">
        <x:v>DW-1844</x:v>
      </x:c>
      <x:c r="B1849" t="str">
        <x:v>DW-0422</x:v>
      </x:c>
      <x:c r="C1849" t="str">
        <x:v>Composition héritée</x:v>
      </x:c>
      <x:c r="D1849" t="str">
        <x:v>Ports et activités nautiques</x:v>
      </x:c>
      <x:c r="E1849" t="str">
        <x:v>Port de plaisance — Rivière, berges et gué / évacuation interrompue</x:v>
      </x:c>
      <x:c r="F1849" t="n">
        <x:v>10</x:v>
      </x:c>
      <x:c r="G1849" t="n">
        <x:v>4</x:v>
      </x:c>
      <x:c r="H1849" t="n">
        <x:v>12</x:v>
      </x:c>
      <x:c r="I1849" t="str">
        <x:v>À qualifier par lieu</x:v>
      </x:c>
      <x:c r="J1849" t="str">
        <x:v>https://github.com/darknigthmare/deadwall-last-enclosure/blob/e28f46223e73105ab2c5d83f3d50b99b58ef53e6/codex-3000/compositions/Ports et activités nautiques/DW-1844.md</x:v>
      </x:c>
      <x:c r="K1849" t="str">
        <x:v>Source min 80,55 m ; max 700,350 m ; modèle 80 × 55 m ; niveaux 0. Détails dans catalogue-existant.json.</x:v>
      </x:c>
    </x:row>
    <x:row r="1850">
      <x:c r="A1850" t="str">
        <x:v>DW-1845</x:v>
      </x:c>
      <x:c r="B1850" t="str">
        <x:v>DW-0423</x:v>
      </x:c>
      <x:c r="C1850" t="str">
        <x:v>Composition héritée</x:v>
      </x:c>
      <x:c r="D1850" t="str">
        <x:v>Ports et activités nautiques</x:v>
      </x:c>
      <x:c r="E1850" t="str">
        <x:v>Port de commerce — Lac et base de loisirs / réseau principal coupé</x:v>
      </x:c>
      <x:c r="F1850" t="n">
        <x:v>10</x:v>
      </x:c>
      <x:c r="G1850" t="n">
        <x:v>4</x:v>
      </x:c>
      <x:c r="H1850" t="n">
        <x:v>12</x:v>
      </x:c>
      <x:c r="I1850" t="str">
        <x:v>À qualifier par lieu</x:v>
      </x:c>
      <x:c r="J1850" t="str">
        <x:v>https://github.com/darknigthmare/deadwall-last-enclosure/blob/e28f46223e73105ab2c5d83f3d50b99b58ef53e6/codex-3000/compositions/Ports et activités nautiques/DW-1845.md</x:v>
      </x:c>
      <x:c r="K1850" t="str">
        <x:v>Source min 80,55 m ; max 700,350 m ; modèle 80 × 55 m ; niveaux 0. Détails dans catalogue-existant.json.</x:v>
      </x:c>
    </x:row>
    <x:row r="1851">
      <x:c r="A1851" t="str">
        <x:v>DW-1846</x:v>
      </x:c>
      <x:c r="B1851" t="str">
        <x:v>DW-0423</x:v>
      </x:c>
      <x:c r="C1851" t="str">
        <x:v>Composition héritée</x:v>
      </x:c>
      <x:c r="D1851" t="str">
        <x:v>Ports et activités nautiques</x:v>
      </x:c>
      <x:c r="E1851" t="str">
        <x:v>Port de commerce — Port marchand / arrêt de maintenance</x:v>
      </x:c>
      <x:c r="F1851" t="n">
        <x:v>10</x:v>
      </x:c>
      <x:c r="G1851" t="n">
        <x:v>4</x:v>
      </x:c>
      <x:c r="H1851" t="n">
        <x:v>12</x:v>
      </x:c>
      <x:c r="I1851" t="str">
        <x:v>À qualifier par lieu</x:v>
      </x:c>
      <x:c r="J1851" t="str">
        <x:v>https://github.com/darknigthmare/deadwall-last-enclosure/blob/e28f46223e73105ab2c5d83f3d50b99b58ef53e6/codex-3000/compositions/Ports et activités nautiques/DW-1846.md</x:v>
      </x:c>
      <x:c r="K1851" t="str">
        <x:v>Source min 80,55 m ; max 700,350 m ; modèle 80 × 55 m ; niveaux 0. Détails dans catalogue-existant.json.</x:v>
      </x:c>
    </x:row>
    <x:row r="1852">
      <x:c r="A1852" t="str">
        <x:v>DW-1847</x:v>
      </x:c>
      <x:c r="B1852" t="str">
        <x:v>DW-0424</x:v>
      </x:c>
      <x:c r="C1852" t="str">
        <x:v>Composition héritée</x:v>
      </x:c>
      <x:c r="D1852" t="str">
        <x:v>Ports et activités nautiques</x:v>
      </x:c>
      <x:c r="E1852" t="str">
        <x:v>Terminal ferry — Rivière, berges et gué / repli organisé interrompu</x:v>
      </x:c>
      <x:c r="F1852" t="n">
        <x:v>10</x:v>
      </x:c>
      <x:c r="G1852" t="n">
        <x:v>4</x:v>
      </x:c>
      <x:c r="H1852" t="n">
        <x:v>10</x:v>
      </x:c>
      <x:c r="I1852" t="str">
        <x:v>À qualifier par lieu</x:v>
      </x:c>
      <x:c r="J1852" t="str">
        <x:v>https://github.com/darknigthmare/deadwall-last-enclosure/blob/e28f46223e73105ab2c5d83f3d50b99b58ef53e6/codex-3000/compositions/Ports et activités nautiques/DW-1847.md</x:v>
      </x:c>
      <x:c r="K1852" t="str">
        <x:v>Source min 80,55 m ; max 700,350 m ; modèle 80 × 55 m ; niveaux 0. Détails dans catalogue-existant.json.</x:v>
      </x:c>
    </x:row>
    <x:row r="1853">
      <x:c r="A1853" t="str">
        <x:v>DW-1848</x:v>
      </x:c>
      <x:c r="B1853" t="str">
        <x:v>DW-0424</x:v>
      </x:c>
      <x:c r="C1853" t="str">
        <x:v>Composition héritée</x:v>
      </x:c>
      <x:c r="D1853" t="str">
        <x:v>Ports et activités nautiques</x:v>
      </x:c>
      <x:c r="E1853" t="str">
        <x:v>Terminal ferry — Plage et dune / première récupération passée</x:v>
      </x:c>
      <x:c r="F1853" t="n">
        <x:v>10</x:v>
      </x:c>
      <x:c r="G1853" t="n">
        <x:v>4</x:v>
      </x:c>
      <x:c r="H1853" t="n">
        <x:v>10</x:v>
      </x:c>
      <x:c r="I1853" t="str">
        <x:v>À qualifier par lieu</x:v>
      </x:c>
      <x:c r="J1853" t="str">
        <x:v>https://github.com/darknigthmare/deadwall-last-enclosure/blob/e28f46223e73105ab2c5d83f3d50b99b58ef53e6/codex-3000/compositions/Ports et activités nautiques/DW-1848.md</x:v>
      </x:c>
      <x:c r="K1853" t="str">
        <x:v>Source min 80,55 m ; max 700,350 m ; modèle 80 × 55 m ; niveaux 0. Détails dans catalogue-existant.json.</x:v>
      </x:c>
    </x:row>
    <x:row r="1854">
      <x:c r="A1854" t="str">
        <x:v>DW-1849</x:v>
      </x:c>
      <x:c r="B1854" t="str">
        <x:v>DW-0425</x:v>
      </x:c>
      <x:c r="C1854" t="str">
        <x:v>Composition héritée</x:v>
      </x:c>
      <x:c r="D1854" t="str">
        <x:v>Ports et activités nautiques</x:v>
      </x:c>
      <x:c r="E1854" t="str">
        <x:v>Chantier naval — Port marchand / évacuation interrompue</x:v>
      </x:c>
      <x:c r="F1854" t="n">
        <x:v>10</x:v>
      </x:c>
      <x:c r="G1854" t="n">
        <x:v>4</x:v>
      </x:c>
      <x:c r="H1854" t="n">
        <x:v>12</x:v>
      </x:c>
      <x:c r="I1854" t="str">
        <x:v>À qualifier par lieu</x:v>
      </x:c>
      <x:c r="J1854" t="str">
        <x:v>https://github.com/darknigthmare/deadwall-last-enclosure/blob/e28f46223e73105ab2c5d83f3d50b99b58ef53e6/codex-3000/compositions/Ports et activités nautiques/DW-1849.md</x:v>
      </x:c>
      <x:c r="K1854" t="str">
        <x:v>Source min 80,55 m ; max 700,350 m ; modèle 80 × 55 m ; niveaux 0. Détails dans catalogue-existant.json.</x:v>
      </x:c>
    </x:row>
    <x:row r="1855">
      <x:c r="A1855" t="str">
        <x:v>DW-1850</x:v>
      </x:c>
      <x:c r="B1855" t="str">
        <x:v>DW-0425</x:v>
      </x:c>
      <x:c r="C1855" t="str">
        <x:v>Composition héritée</x:v>
      </x:c>
      <x:c r="D1855" t="str">
        <x:v>Ports et activités nautiques</x:v>
      </x:c>
      <x:c r="E1855" t="str">
        <x:v>Chantier naval — Lac et base de loisirs / service déplacé à l’arrière</x:v>
      </x:c>
      <x:c r="F1855" t="n">
        <x:v>10</x:v>
      </x:c>
      <x:c r="G1855" t="n">
        <x:v>4</x:v>
      </x:c>
      <x:c r="H1855" t="n">
        <x:v>12</x:v>
      </x:c>
      <x:c r="I1855" t="str">
        <x:v>À qualifier par lieu</x:v>
      </x:c>
      <x:c r="J1855" t="str">
        <x:v>https://github.com/darknigthmare/deadwall-last-enclosure/blob/e28f46223e73105ab2c5d83f3d50b99b58ef53e6/codex-3000/compositions/Ports et activités nautiques/DW-1850.md</x:v>
      </x:c>
      <x:c r="K1855" t="str">
        <x:v>Source min 80,55 m ; max 700,350 m ; modèle 80 × 55 m ; niveaux 0. Détails dans catalogue-existant.json.</x:v>
      </x:c>
    </x:row>
    <x:row r="1856">
      <x:c r="A1856" t="str">
        <x:v>DW-1851</x:v>
      </x:c>
      <x:c r="B1856" t="str">
        <x:v>DW-0426</x:v>
      </x:c>
      <x:c r="C1856" t="str">
        <x:v>Composition héritée</x:v>
      </x:c>
      <x:c r="D1856" t="str">
        <x:v>Ports et activités nautiques</x:v>
      </x:c>
      <x:c r="E1856" t="str">
        <x:v>Atelier de réparation nautique — Plage et dune / arrêt de maintenance</x:v>
      </x:c>
      <x:c r="F1856" t="n">
        <x:v>10</x:v>
      </x:c>
      <x:c r="G1856" t="n">
        <x:v>4</x:v>
      </x:c>
      <x:c r="H1856" t="n">
        <x:v>10</x:v>
      </x:c>
      <x:c r="I1856" t="str">
        <x:v>À qualifier par lieu</x:v>
      </x:c>
      <x:c r="J1856" t="str">
        <x:v>https://github.com/darknigthmare/deadwall-last-enclosure/blob/e28f46223e73105ab2c5d83f3d50b99b58ef53e6/codex-3000/compositions/Ports et activités nautiques/DW-1851.md</x:v>
      </x:c>
      <x:c r="K1856" t="str">
        <x:v>Source min 80,55 m ; max 700,350 m ; modèle 80 × 55 m ; niveaux 0. Détails dans catalogue-existant.json.</x:v>
      </x:c>
    </x:row>
    <x:row r="1857">
      <x:c r="A1857" t="str">
        <x:v>DW-1852</x:v>
      </x:c>
      <x:c r="B1857" t="str">
        <x:v>DW-0426</x:v>
      </x:c>
      <x:c r="C1857" t="str">
        <x:v>Composition héritée</x:v>
      </x:c>
      <x:c r="D1857" t="str">
        <x:v>Ports et activités nautiques</x:v>
      </x:c>
      <x:c r="E1857" t="str">
        <x:v>Atelier de réparation nautique — Rivière, berges et gué / reprise progressive de la végétation</x:v>
      </x:c>
      <x:c r="F1857" t="n">
        <x:v>10</x:v>
      </x:c>
      <x:c r="G1857" t="n">
        <x:v>4</x:v>
      </x:c>
      <x:c r="H1857" t="n">
        <x:v>10</x:v>
      </x:c>
      <x:c r="I1857" t="str">
        <x:v>À qualifier par lieu</x:v>
      </x:c>
      <x:c r="J1857" t="str">
        <x:v>https://github.com/darknigthmare/deadwall-last-enclosure/blob/e28f46223e73105ab2c5d83f3d50b99b58ef53e6/codex-3000/compositions/Ports et activités nautiques/DW-1852.md</x:v>
      </x:c>
      <x:c r="K1857" t="str">
        <x:v>Source min 80,55 m ; max 700,350 m ; modèle 80 × 55 m ; niveaux 0. Détails dans catalogue-existant.json.</x:v>
      </x:c>
    </x:row>
    <x:row r="1858">
      <x:c r="A1858" t="str">
        <x:v>DW-1853</x:v>
      </x:c>
      <x:c r="B1858" t="str">
        <x:v>DW-0427</x:v>
      </x:c>
      <x:c r="C1858" t="str">
        <x:v>Composition héritée</x:v>
      </x:c>
      <x:c r="D1858" t="str">
        <x:v>Ports et activités nautiques</x:v>
      </x:c>
      <x:c r="E1858" t="str">
        <x:v>Capitainerie — Lac et base de loisirs / première récupération passée</x:v>
      </x:c>
      <x:c r="F1858" t="n">
        <x:v>10</x:v>
      </x:c>
      <x:c r="G1858" t="n">
        <x:v>4</x:v>
      </x:c>
      <x:c r="H1858" t="n">
        <x:v>12</x:v>
      </x:c>
      <x:c r="I1858" t="str">
        <x:v>À qualifier par lieu</x:v>
      </x:c>
      <x:c r="J1858" t="str">
        <x:v>https://github.com/darknigthmare/deadwall-last-enclosure/blob/e28f46223e73105ab2c5d83f3d50b99b58ef53e6/codex-3000/compositions/Ports et activités nautiques/DW-1853.md</x:v>
      </x:c>
      <x:c r="K1858" t="str">
        <x:v>Source min 80,55 m ; max 700,350 m ; modèle 80 × 55 m ; niveaux 0. Détails dans catalogue-existant.json.</x:v>
      </x:c>
    </x:row>
    <x:row r="1859">
      <x:c r="A1859" t="str">
        <x:v>DW-1854</x:v>
      </x:c>
      <x:c r="B1859" t="str">
        <x:v>DW-0427</x:v>
      </x:c>
      <x:c r="C1859" t="str">
        <x:v>Composition héritée</x:v>
      </x:c>
      <x:c r="D1859" t="str">
        <x:v>Ports et activités nautiques</x:v>
      </x:c>
      <x:c r="E1859" t="str">
        <x:v>Capitainerie — Port marchand / relais temporaire envisagé</x:v>
      </x:c>
      <x:c r="F1859" t="n">
        <x:v>10</x:v>
      </x:c>
      <x:c r="G1859" t="n">
        <x:v>4</x:v>
      </x:c>
      <x:c r="H1859" t="n">
        <x:v>12</x:v>
      </x:c>
      <x:c r="I1859" t="str">
        <x:v>À qualifier par lieu</x:v>
      </x:c>
      <x:c r="J1859" t="str">
        <x:v>https://github.com/darknigthmare/deadwall-last-enclosure/blob/e28f46223e73105ab2c5d83f3d50b99b58ef53e6/codex-3000/compositions/Ports et activités nautiques/DW-1854.md</x:v>
      </x:c>
      <x:c r="K1859" t="str">
        <x:v>Source min 80,55 m ; max 700,350 m ; modèle 80 × 55 m ; niveaux 0. Détails dans catalogue-existant.json.</x:v>
      </x:c>
    </x:row>
    <x:row r="1860">
      <x:c r="A1860" t="str">
        <x:v>DW-1855</x:v>
      </x:c>
      <x:c r="B1860" t="str">
        <x:v>DW-0428</x:v>
      </x:c>
      <x:c r="C1860" t="str">
        <x:v>Composition héritée</x:v>
      </x:c>
      <x:c r="D1860" t="str">
        <x:v>Ports et activités nautiques</x:v>
      </x:c>
      <x:c r="E1860" t="str">
        <x:v>Hangar à bateaux — Rivière, berges et gué / service déplacé à l’arrière</x:v>
      </x:c>
      <x:c r="F1860" t="n">
        <x:v>10</x:v>
      </x:c>
      <x:c r="G1860" t="n">
        <x:v>4</x:v>
      </x:c>
      <x:c r="H1860" t="n">
        <x:v>12</x:v>
      </x:c>
      <x:c r="I1860" t="str">
        <x:v>À qualifier par lieu</x:v>
      </x:c>
      <x:c r="J1860" t="str">
        <x:v>https://github.com/darknigthmare/deadwall-last-enclosure/blob/e28f46223e73105ab2c5d83f3d50b99b58ef53e6/codex-3000/compositions/Ports et activités nautiques/DW-1855.md</x:v>
      </x:c>
      <x:c r="K1860" t="str">
        <x:v>Source min 80,55 m ; max 700,350 m ; modèle 80 × 55 m ; niveaux 0. Détails dans catalogue-existant.json.</x:v>
      </x:c>
    </x:row>
    <x:row r="1861">
      <x:c r="A1861" t="str">
        <x:v>DW-1856</x:v>
      </x:c>
      <x:c r="B1861" t="str">
        <x:v>DW-0428</x:v>
      </x:c>
      <x:c r="C1861" t="str">
        <x:v>Composition héritée</x:v>
      </x:c>
      <x:c r="D1861" t="str">
        <x:v>Ports et activités nautiques</x:v>
      </x:c>
      <x:c r="E1861" t="str">
        <x:v>Hangar à bateaux — Plage et dune / réseau principal coupé</x:v>
      </x:c>
      <x:c r="F1861" t="n">
        <x:v>10</x:v>
      </x:c>
      <x:c r="G1861" t="n">
        <x:v>4</x:v>
      </x:c>
      <x:c r="H1861" t="n">
        <x:v>12</x:v>
      </x:c>
      <x:c r="I1861" t="str">
        <x:v>À qualifier par lieu</x:v>
      </x:c>
      <x:c r="J1861" t="str">
        <x:v>https://github.com/darknigthmare/deadwall-last-enclosure/blob/e28f46223e73105ab2c5d83f3d50b99b58ef53e6/codex-3000/compositions/Ports et activités nautiques/DW-1856.md</x:v>
      </x:c>
      <x:c r="K1861" t="str">
        <x:v>Source min 80,55 m ; max 700,350 m ; modèle 80 × 55 m ; niveaux 0. Détails dans catalogue-existant.json.</x:v>
      </x:c>
    </x:row>
    <x:row r="1862">
      <x:c r="A1862" t="str">
        <x:v>DW-1857</x:v>
      </x:c>
      <x:c r="B1862" t="str">
        <x:v>DW-0429</x:v>
      </x:c>
      <x:c r="C1862" t="str">
        <x:v>Composition héritée</x:v>
      </x:c>
      <x:c r="D1862" t="str">
        <x:v>Ports et activités nautiques</x:v>
      </x:c>
      <x:c r="E1862" t="str">
        <x:v>Écluse portuaire — Port marchand / reprise progressive de la végétation</x:v>
      </x:c>
      <x:c r="F1862" t="n">
        <x:v>10</x:v>
      </x:c>
      <x:c r="G1862" t="n">
        <x:v>4</x:v>
      </x:c>
      <x:c r="H1862" t="n">
        <x:v>10</x:v>
      </x:c>
      <x:c r="I1862" t="str">
        <x:v>À qualifier par lieu</x:v>
      </x:c>
      <x:c r="J1862" t="str">
        <x:v>https://github.com/darknigthmare/deadwall-last-enclosure/blob/e28f46223e73105ab2c5d83f3d50b99b58ef53e6/codex-3000/compositions/Ports et activités nautiques/DW-1857.md</x:v>
      </x:c>
      <x:c r="K1862" t="str">
        <x:v>Source min 80,55 m ; max 700,350 m ; modèle 80 × 55 m ; niveaux 0. Détails dans catalogue-existant.json.</x:v>
      </x:c>
    </x:row>
    <x:row r="1863">
      <x:c r="A1863" t="str">
        <x:v>DW-1858</x:v>
      </x:c>
      <x:c r="B1863" t="str">
        <x:v>DW-0429</x:v>
      </x:c>
      <x:c r="C1863" t="str">
        <x:v>Composition héritée</x:v>
      </x:c>
      <x:c r="D1863" t="str">
        <x:v>Ports et activités nautiques</x:v>
      </x:c>
      <x:c r="E1863" t="str">
        <x:v>Écluse portuaire — Lac et base de loisirs / repli organisé interrompu</x:v>
      </x:c>
      <x:c r="F1863" t="n">
        <x:v>10</x:v>
      </x:c>
      <x:c r="G1863" t="n">
        <x:v>4</x:v>
      </x:c>
      <x:c r="H1863" t="n">
        <x:v>10</x:v>
      </x:c>
      <x:c r="I1863" t="str">
        <x:v>À qualifier par lieu</x:v>
      </x:c>
      <x:c r="J1863" t="str">
        <x:v>https://github.com/darknigthmare/deadwall-last-enclosure/blob/e28f46223e73105ab2c5d83f3d50b99b58ef53e6/codex-3000/compositions/Ports et activités nautiques/DW-1858.md</x:v>
      </x:c>
      <x:c r="K1863" t="str">
        <x:v>Source min 80,55 m ; max 700,350 m ; modèle 80 × 55 m ; niveaux 0. Détails dans catalogue-existant.json.</x:v>
      </x:c>
    </x:row>
    <x:row r="1864">
      <x:c r="A1864" t="str">
        <x:v>DW-1859</x:v>
      </x:c>
      <x:c r="B1864" t="str">
        <x:v>DW-0430</x:v>
      </x:c>
      <x:c r="C1864" t="str">
        <x:v>Composition héritée</x:v>
      </x:c>
      <x:c r="D1864" t="str">
        <x:v>Ports et activités nautiques</x:v>
      </x:c>
      <x:c r="E1864" t="str">
        <x:v>Dépôt de conteneurs — Plage et dune / relais temporaire envisagé</x:v>
      </x:c>
      <x:c r="F1864" t="n">
        <x:v>10</x:v>
      </x:c>
      <x:c r="G1864" t="n">
        <x:v>4</x:v>
      </x:c>
      <x:c r="H1864" t="n">
        <x:v>10</x:v>
      </x:c>
      <x:c r="I1864" t="str">
        <x:v>À qualifier par lieu</x:v>
      </x:c>
      <x:c r="J1864" t="str">
        <x:v>https://github.com/darknigthmare/deadwall-last-enclosure/blob/e28f46223e73105ab2c5d83f3d50b99b58ef53e6/codex-3000/compositions/Ports et activités nautiques/DW-1859.md</x:v>
      </x:c>
      <x:c r="K1864" t="str">
        <x:v>Source min 80,55 m ; max 700,350 m ; modèle 80 × 55 m ; niveaux 0. Détails dans catalogue-existant.json.</x:v>
      </x:c>
    </x:row>
    <x:row r="1865">
      <x:c r="A1865" t="str">
        <x:v>DW-1860</x:v>
      </x:c>
      <x:c r="B1865" t="str">
        <x:v>DW-0430</x:v>
      </x:c>
      <x:c r="C1865" t="str">
        <x:v>Composition héritée</x:v>
      </x:c>
      <x:c r="D1865" t="str">
        <x:v>Ports et activités nautiques</x:v>
      </x:c>
      <x:c r="E1865" t="str">
        <x:v>Dépôt de conteneurs — Rivière, berges et gué / évacuation interrompue</x:v>
      </x:c>
      <x:c r="F1865" t="n">
        <x:v>10</x:v>
      </x:c>
      <x:c r="G1865" t="n">
        <x:v>4</x:v>
      </x:c>
      <x:c r="H1865" t="n">
        <x:v>10</x:v>
      </x:c>
      <x:c r="I1865" t="str">
        <x:v>À qualifier par lieu</x:v>
      </x:c>
      <x:c r="J1865" t="str">
        <x:v>https://github.com/darknigthmare/deadwall-last-enclosure/blob/e28f46223e73105ab2c5d83f3d50b99b58ef53e6/codex-3000/compositions/Ports et activités nautiques/DW-1860.md</x:v>
      </x:c>
      <x:c r="K1865" t="str">
        <x:v>Source min 80,55 m ; max 700,350 m ; modèle 80 × 55 m ; niveaux 0. Détails dans catalogue-existant.json.</x:v>
      </x:c>
    </x:row>
    <x:row r="1866">
      <x:c r="A1866" t="str">
        <x:v>DW-1861</x:v>
      </x:c>
      <x:c r="B1866" t="str">
        <x:v>DW-0431</x:v>
      </x:c>
      <x:c r="C1866" t="str">
        <x:v>Composition héritée</x:v>
      </x:c>
      <x:c r="D1866" t="str">
        <x:v>Ports et activités nautiques</x:v>
      </x:c>
      <x:c r="E1866" t="str">
        <x:v>Entrepôt douanier fictif — Lac et base de loisirs / réseau principal coupé</x:v>
      </x:c>
      <x:c r="F1866" t="n">
        <x:v>10</x:v>
      </x:c>
      <x:c r="G1866" t="n">
        <x:v>4</x:v>
      </x:c>
      <x:c r="H1866" t="n">
        <x:v>12</x:v>
      </x:c>
      <x:c r="I1866" t="str">
        <x:v>À qualifier par lieu</x:v>
      </x:c>
      <x:c r="J1866" t="str">
        <x:v>https://github.com/darknigthmare/deadwall-last-enclosure/blob/e28f46223e73105ab2c5d83f3d50b99b58ef53e6/codex-3000/compositions/Ports et activités nautiques/DW-1861.md</x:v>
      </x:c>
      <x:c r="K1866" t="str">
        <x:v>Source min 80,55 m ; max 700,350 m ; modèle 80 × 55 m ; niveaux 0. Détails dans catalogue-existant.json.</x:v>
      </x:c>
    </x:row>
    <x:row r="1867">
      <x:c r="A1867" t="str">
        <x:v>DW-1862</x:v>
      </x:c>
      <x:c r="B1867" t="str">
        <x:v>DW-0431</x:v>
      </x:c>
      <x:c r="C1867" t="str">
        <x:v>Composition héritée</x:v>
      </x:c>
      <x:c r="D1867" t="str">
        <x:v>Ports et activités nautiques</x:v>
      </x:c>
      <x:c r="E1867" t="str">
        <x:v>Entrepôt douanier fictif — Port marchand / arrêt de maintenance</x:v>
      </x:c>
      <x:c r="F1867" t="n">
        <x:v>10</x:v>
      </x:c>
      <x:c r="G1867" t="n">
        <x:v>4</x:v>
      </x:c>
      <x:c r="H1867" t="n">
        <x:v>12</x:v>
      </x:c>
      <x:c r="I1867" t="str">
        <x:v>À qualifier par lieu</x:v>
      </x:c>
      <x:c r="J1867" t="str">
        <x:v>https://github.com/darknigthmare/deadwall-last-enclosure/blob/e28f46223e73105ab2c5d83f3d50b99b58ef53e6/codex-3000/compositions/Ports et activités nautiques/DW-1862.md</x:v>
      </x:c>
      <x:c r="K1867" t="str">
        <x:v>Source min 80,55 m ; max 700,350 m ; modèle 80 × 55 m ; niveaux 0. Détails dans catalogue-existant.json.</x:v>
      </x:c>
    </x:row>
    <x:row r="1868">
      <x:c r="A1868" t="str">
        <x:v>DW-1863</x:v>
      </x:c>
      <x:c r="B1868" t="str">
        <x:v>DW-0432</x:v>
      </x:c>
      <x:c r="C1868" t="str">
        <x:v>Composition héritée</x:v>
      </x:c>
      <x:c r="D1868" t="str">
        <x:v>Ports et activités nautiques</x:v>
      </x:c>
      <x:c r="E1868" t="str">
        <x:v>Gare fluviale — Rivière, berges et gué / repli organisé interrompu</x:v>
      </x:c>
      <x:c r="F1868" t="n">
        <x:v>10</x:v>
      </x:c>
      <x:c r="G1868" t="n">
        <x:v>4</x:v>
      </x:c>
      <x:c r="H1868" t="n">
        <x:v>12</x:v>
      </x:c>
      <x:c r="I1868" t="str">
        <x:v>À qualifier par lieu</x:v>
      </x:c>
      <x:c r="J1868" t="str">
        <x:v>https://github.com/darknigthmare/deadwall-last-enclosure/blob/e28f46223e73105ab2c5d83f3d50b99b58ef53e6/codex-3000/compositions/Ports et activités nautiques/DW-1863.md</x:v>
      </x:c>
      <x:c r="K1868" t="str">
        <x:v>Source min 80,55 m ; max 700,350 m ; modèle 80 × 55 m ; niveaux 0. Détails dans catalogue-existant.json.</x:v>
      </x:c>
    </x:row>
    <x:row r="1869">
      <x:c r="A1869" t="str">
        <x:v>DW-1864</x:v>
      </x:c>
      <x:c r="B1869" t="str">
        <x:v>DW-0432</x:v>
      </x:c>
      <x:c r="C1869" t="str">
        <x:v>Composition héritée</x:v>
      </x:c>
      <x:c r="D1869" t="str">
        <x:v>Ports et activités nautiques</x:v>
      </x:c>
      <x:c r="E1869" t="str">
        <x:v>Gare fluviale — Plage et dune / première récupération passée</x:v>
      </x:c>
      <x:c r="F1869" t="n">
        <x:v>10</x:v>
      </x:c>
      <x:c r="G1869" t="n">
        <x:v>4</x:v>
      </x:c>
      <x:c r="H1869" t="n">
        <x:v>12</x:v>
      </x:c>
      <x:c r="I1869" t="str">
        <x:v>À qualifier par lieu</x:v>
      </x:c>
      <x:c r="J1869" t="str">
        <x:v>https://github.com/darknigthmare/deadwall-last-enclosure/blob/e28f46223e73105ab2c5d83f3d50b99b58ef53e6/codex-3000/compositions/Ports et activités nautiques/DW-1864.md</x:v>
      </x:c>
      <x:c r="K1869" t="str">
        <x:v>Source min 80,55 m ; max 700,350 m ; modèle 80 × 55 m ; niveaux 0. Détails dans catalogue-existant.json.</x:v>
      </x:c>
    </x:row>
    <x:row r="1870">
      <x:c r="A1870" t="str">
        <x:v>DW-1865</x:v>
      </x:c>
      <x:c r="B1870" t="str">
        <x:v>DW-0433</x:v>
      </x:c>
      <x:c r="C1870" t="str">
        <x:v>Composition héritée</x:v>
      </x:c>
      <x:c r="D1870" t="str">
        <x:v>Ports et activités nautiques</x:v>
      </x:c>
      <x:c r="E1870" t="str">
        <x:v>Petit embarcadère — Port marchand / évacuation interrompue</x:v>
      </x:c>
      <x:c r="F1870" t="n">
        <x:v>10</x:v>
      </x:c>
      <x:c r="G1870" t="n">
        <x:v>4</x:v>
      </x:c>
      <x:c r="H1870" t="n">
        <x:v>12</x:v>
      </x:c>
      <x:c r="I1870" t="str">
        <x:v>À qualifier par lieu</x:v>
      </x:c>
      <x:c r="J1870" t="str">
        <x:v>https://github.com/darknigthmare/deadwall-last-enclosure/blob/e28f46223e73105ab2c5d83f3d50b99b58ef53e6/codex-3000/compositions/Ports et activités nautiques/DW-1865.md</x:v>
      </x:c>
      <x:c r="K1870" t="str">
        <x:v>Source min 80,55 m ; max 700,350 m ; modèle 80 × 55 m ; niveaux 0. Détails dans catalogue-existant.json.</x:v>
      </x:c>
    </x:row>
    <x:row r="1871">
      <x:c r="A1871" t="str">
        <x:v>DW-1866</x:v>
      </x:c>
      <x:c r="B1871" t="str">
        <x:v>DW-0433</x:v>
      </x:c>
      <x:c r="C1871" t="str">
        <x:v>Composition héritée</x:v>
      </x:c>
      <x:c r="D1871" t="str">
        <x:v>Ports et activités nautiques</x:v>
      </x:c>
      <x:c r="E1871" t="str">
        <x:v>Petit embarcadère — Lac et base de loisirs / service déplacé à l’arrière</x:v>
      </x:c>
      <x:c r="F1871" t="n">
        <x:v>10</x:v>
      </x:c>
      <x:c r="G1871" t="n">
        <x:v>4</x:v>
      </x:c>
      <x:c r="H1871" t="n">
        <x:v>12</x:v>
      </x:c>
      <x:c r="I1871" t="str">
        <x:v>À qualifier par lieu</x:v>
      </x:c>
      <x:c r="J1871" t="str">
        <x:v>https://github.com/darknigthmare/deadwall-last-enclosure/blob/e28f46223e73105ab2c5d83f3d50b99b58ef53e6/codex-3000/compositions/Ports et activités nautiques/DW-1866.md</x:v>
      </x:c>
      <x:c r="K1871" t="str">
        <x:v>Source min 80,55 m ; max 700,350 m ; modèle 80 × 55 m ; niveaux 0. Détails dans catalogue-existant.json.</x:v>
      </x:c>
    </x:row>
    <x:row r="1872">
      <x:c r="A1872" t="str">
        <x:v>DW-1867</x:v>
      </x:c>
      <x:c r="B1872" t="str">
        <x:v>DW-0434</x:v>
      </x:c>
      <x:c r="C1872" t="str">
        <x:v>Composition héritée</x:v>
      </x:c>
      <x:c r="D1872" t="str">
        <x:v>Ports et activités nautiques</x:v>
      </x:c>
      <x:c r="E1872" t="str">
        <x:v>Base nautique de loisirs — Plage et dune / arrêt de maintenance</x:v>
      </x:c>
      <x:c r="F1872" t="n">
        <x:v>10</x:v>
      </x:c>
      <x:c r="G1872" t="n">
        <x:v>4</x:v>
      </x:c>
      <x:c r="H1872" t="n">
        <x:v>12</x:v>
      </x:c>
      <x:c r="I1872" t="str">
        <x:v>À qualifier par lieu</x:v>
      </x:c>
      <x:c r="J1872" t="str">
        <x:v>https://github.com/darknigthmare/deadwall-last-enclosure/blob/e28f46223e73105ab2c5d83f3d50b99b58ef53e6/codex-3000/compositions/Ports et activités nautiques/DW-1867.md</x:v>
      </x:c>
      <x:c r="K1872" t="str">
        <x:v>Source min 80,55 m ; max 700,350 m ; modèle 80 × 55 m ; niveaux 0. Détails dans catalogue-existant.json.</x:v>
      </x:c>
    </x:row>
    <x:row r="1873">
      <x:c r="A1873" t="str">
        <x:v>DW-1868</x:v>
      </x:c>
      <x:c r="B1873" t="str">
        <x:v>DW-0434</x:v>
      </x:c>
      <x:c r="C1873" t="str">
        <x:v>Composition héritée</x:v>
      </x:c>
      <x:c r="D1873" t="str">
        <x:v>Ports et activités nautiques</x:v>
      </x:c>
      <x:c r="E1873" t="str">
        <x:v>Base nautique de loisirs — Rivière, berges et gué / reprise progressive de la végétation</x:v>
      </x:c>
      <x:c r="F1873" t="n">
        <x:v>10</x:v>
      </x:c>
      <x:c r="G1873" t="n">
        <x:v>4</x:v>
      </x:c>
      <x:c r="H1873" t="n">
        <x:v>12</x:v>
      </x:c>
      <x:c r="I1873" t="str">
        <x:v>À qualifier par lieu</x:v>
      </x:c>
      <x:c r="J1873" t="str">
        <x:v>https://github.com/darknigthmare/deadwall-last-enclosure/blob/e28f46223e73105ab2c5d83f3d50b99b58ef53e6/codex-3000/compositions/Ports et activités nautiques/DW-1868.md</x:v>
      </x:c>
      <x:c r="K1873" t="str">
        <x:v>Source min 80,55 m ; max 700,350 m ; modèle 80 × 55 m ; niveaux 0. Détails dans catalogue-existant.json.</x:v>
      </x:c>
    </x:row>
    <x:row r="1874">
      <x:c r="A1874" t="str">
        <x:v>DW-1869</x:v>
      </x:c>
      <x:c r="B1874" t="str">
        <x:v>DW-0435</x:v>
      </x:c>
      <x:c r="C1874" t="str">
        <x:v>Composition héritée</x:v>
      </x:c>
      <x:c r="D1874" t="str">
        <x:v>Ports et activités nautiques</x:v>
      </x:c>
      <x:c r="E1874" t="str">
        <x:v>Bateau-restaurant amarré — Lac et base de loisirs / première récupération passée</x:v>
      </x:c>
      <x:c r="F1874" t="n">
        <x:v>10</x:v>
      </x:c>
      <x:c r="G1874" t="n">
        <x:v>4</x:v>
      </x:c>
      <x:c r="H1874" t="n">
        <x:v>10</x:v>
      </x:c>
      <x:c r="I1874" t="str">
        <x:v>À qualifier par lieu</x:v>
      </x:c>
      <x:c r="J1874" t="str">
        <x:v>https://github.com/darknigthmare/deadwall-last-enclosure/blob/e28f46223e73105ab2c5d83f3d50b99b58ef53e6/codex-3000/compositions/Ports et activités nautiques/DW-1869.md</x:v>
      </x:c>
      <x:c r="K1874" t="str">
        <x:v>Source min 80,55 m ; max 700,350 m ; modèle 80 × 55 m ; niveaux 0. Détails dans catalogue-existant.json.</x:v>
      </x:c>
    </x:row>
    <x:row r="1875">
      <x:c r="A1875" t="str">
        <x:v>DW-1870</x:v>
      </x:c>
      <x:c r="B1875" t="str">
        <x:v>DW-0435</x:v>
      </x:c>
      <x:c r="C1875" t="str">
        <x:v>Composition héritée</x:v>
      </x:c>
      <x:c r="D1875" t="str">
        <x:v>Ports et activités nautiques</x:v>
      </x:c>
      <x:c r="E1875" t="str">
        <x:v>Bateau-restaurant amarré — Port marchand / relais temporaire envisagé</x:v>
      </x:c>
      <x:c r="F1875" t="n">
        <x:v>10</x:v>
      </x:c>
      <x:c r="G1875" t="n">
        <x:v>4</x:v>
      </x:c>
      <x:c r="H1875" t="n">
        <x:v>10</x:v>
      </x:c>
      <x:c r="I1875" t="str">
        <x:v>À qualifier par lieu</x:v>
      </x:c>
      <x:c r="J1875" t="str">
        <x:v>https://github.com/darknigthmare/deadwall-last-enclosure/blob/e28f46223e73105ab2c5d83f3d50b99b58ef53e6/codex-3000/compositions/Ports et activités nautiques/DW-1870.md</x:v>
      </x:c>
      <x:c r="K1875" t="str">
        <x:v>Source min 80,55 m ; max 700,350 m ; modèle 80 × 55 m ; niveaux 0. Détails dans catalogue-existant.json.</x:v>
      </x:c>
    </x:row>
    <x:row r="1876">
      <x:c r="A1876" t="str">
        <x:v>DW-1871</x:v>
      </x:c>
      <x:c r="B1876" t="str">
        <x:v>DW-0436</x:v>
      </x:c>
      <x:c r="C1876" t="str">
        <x:v>Composition héritée</x:v>
      </x:c>
      <x:c r="D1876" t="str">
        <x:v>Ports et activités nautiques</x:v>
      </x:c>
      <x:c r="E1876" t="str">
        <x:v>Phare côtier — Rivière, berges et gué / service déplacé à l’arrière</x:v>
      </x:c>
      <x:c r="F1876" t="n">
        <x:v>10</x:v>
      </x:c>
      <x:c r="G1876" t="n">
        <x:v>4</x:v>
      </x:c>
      <x:c r="H1876" t="n">
        <x:v>10</x:v>
      </x:c>
      <x:c r="I1876" t="str">
        <x:v>À qualifier par lieu</x:v>
      </x:c>
      <x:c r="J1876" t="str">
        <x:v>https://github.com/darknigthmare/deadwall-last-enclosure/blob/e28f46223e73105ab2c5d83f3d50b99b58ef53e6/codex-3000/compositions/Ports et activités nautiques/DW-1871.md</x:v>
      </x:c>
      <x:c r="K1876" t="str">
        <x:v>Source min 80,55 m ; max 700,350 m ; modèle 80 × 55 m ; niveaux 0. Détails dans catalogue-existant.json.</x:v>
      </x:c>
    </x:row>
    <x:row r="1877">
      <x:c r="A1877" t="str">
        <x:v>DW-1872</x:v>
      </x:c>
      <x:c r="B1877" t="str">
        <x:v>DW-0436</x:v>
      </x:c>
      <x:c r="C1877" t="str">
        <x:v>Composition héritée</x:v>
      </x:c>
      <x:c r="D1877" t="str">
        <x:v>Ports et activités nautiques</x:v>
      </x:c>
      <x:c r="E1877" t="str">
        <x:v>Phare côtier — Plage et dune / réseau principal coupé</x:v>
      </x:c>
      <x:c r="F1877" t="n">
        <x:v>10</x:v>
      </x:c>
      <x:c r="G1877" t="n">
        <x:v>4</x:v>
      </x:c>
      <x:c r="H1877" t="n">
        <x:v>10</x:v>
      </x:c>
      <x:c r="I1877" t="str">
        <x:v>À qualifier par lieu</x:v>
      </x:c>
      <x:c r="J1877" t="str">
        <x:v>https://github.com/darknigthmare/deadwall-last-enclosure/blob/e28f46223e73105ab2c5d83f3d50b99b58ef53e6/codex-3000/compositions/Ports et activités nautiques/DW-1872.md</x:v>
      </x:c>
      <x:c r="K1877" t="str">
        <x:v>Source min 80,55 m ; max 700,350 m ; modèle 80 × 55 m ; niveaux 0. Détails dans catalogue-existant.json.</x:v>
      </x:c>
    </x:row>
    <x:row r="1878">
      <x:c r="A1878" t="str">
        <x:v>DW-1873</x:v>
      </x:c>
      <x:c r="B1878" t="str">
        <x:v>DW-0437</x:v>
      </x:c>
      <x:c r="C1878" t="str">
        <x:v>Composition héritée</x:v>
      </x:c>
      <x:c r="D1878" t="str">
        <x:v>Ports et activités nautiques</x:v>
      </x:c>
      <x:c r="E1878" t="str">
        <x:v>Dépôt de dragage abandonné — Port marchand / reprise progressive de la végétation</x:v>
      </x:c>
      <x:c r="F1878" t="n">
        <x:v>10</x:v>
      </x:c>
      <x:c r="G1878" t="n">
        <x:v>4</x:v>
      </x:c>
      <x:c r="H1878" t="n">
        <x:v>12</x:v>
      </x:c>
      <x:c r="I1878" t="str">
        <x:v>À qualifier par lieu</x:v>
      </x:c>
      <x:c r="J1878" t="str">
        <x:v>https://github.com/darknigthmare/deadwall-last-enclosure/blob/e28f46223e73105ab2c5d83f3d50b99b58ef53e6/codex-3000/compositions/Ports et activités nautiques/DW-1873.md</x:v>
      </x:c>
      <x:c r="K1878" t="str">
        <x:v>Source min 80,55 m ; max 700,350 m ; modèle 80 × 55 m ; niveaux 0. Détails dans catalogue-existant.json.</x:v>
      </x:c>
    </x:row>
    <x:row r="1879">
      <x:c r="A1879" t="str">
        <x:v>DW-1874</x:v>
      </x:c>
      <x:c r="B1879" t="str">
        <x:v>DW-0437</x:v>
      </x:c>
      <x:c r="C1879" t="str">
        <x:v>Composition héritée</x:v>
      </x:c>
      <x:c r="D1879" t="str">
        <x:v>Ports et activités nautiques</x:v>
      </x:c>
      <x:c r="E1879" t="str">
        <x:v>Dépôt de dragage abandonné — Lac et base de loisirs / repli organisé interrompu</x:v>
      </x:c>
      <x:c r="F1879" t="n">
        <x:v>10</x:v>
      </x:c>
      <x:c r="G1879" t="n">
        <x:v>4</x:v>
      </x:c>
      <x:c r="H1879" t="n">
        <x:v>12</x:v>
      </x:c>
      <x:c r="I1879" t="str">
        <x:v>À qualifier par lieu</x:v>
      </x:c>
      <x:c r="J1879" t="str">
        <x:v>https://github.com/darknigthmare/deadwall-last-enclosure/blob/e28f46223e73105ab2c5d83f3d50b99b58ef53e6/codex-3000/compositions/Ports et activités nautiques/DW-1874.md</x:v>
      </x:c>
      <x:c r="K1879" t="str">
        <x:v>Source min 80,55 m ; max 700,350 m ; modèle 80 × 55 m ; niveaux 0. Détails dans catalogue-existant.json.</x:v>
      </x:c>
    </x:row>
    <x:row r="1880">
      <x:c r="A1880" t="str">
        <x:v>DW-1875</x:v>
      </x:c>
      <x:c r="B1880" t="str">
        <x:v>DW-0438</x:v>
      </x:c>
      <x:c r="C1880" t="str">
        <x:v>Composition héritée</x:v>
      </x:c>
      <x:c r="D1880" t="str">
        <x:v>Ports et activités nautiques</x:v>
      </x:c>
      <x:c r="E1880" t="str">
        <x:v>Port sec intérieur — Plage et dune / relais temporaire envisagé</x:v>
      </x:c>
      <x:c r="F1880" t="n">
        <x:v>10</x:v>
      </x:c>
      <x:c r="G1880" t="n">
        <x:v>4</x:v>
      </x:c>
      <x:c r="H1880" t="n">
        <x:v>12</x:v>
      </x:c>
      <x:c r="I1880" t="str">
        <x:v>À qualifier par lieu</x:v>
      </x:c>
      <x:c r="J1880" t="str">
        <x:v>https://github.com/darknigthmare/deadwall-last-enclosure/blob/e28f46223e73105ab2c5d83f3d50b99b58ef53e6/codex-3000/compositions/Ports et activités nautiques/DW-1875.md</x:v>
      </x:c>
      <x:c r="K1880" t="str">
        <x:v>Source min 80,55 m ; max 700,350 m ; modèle 80 × 55 m ; niveaux 0. Détails dans catalogue-existant.json.</x:v>
      </x:c>
    </x:row>
    <x:row r="1881">
      <x:c r="A1881" t="str">
        <x:v>DW-1876</x:v>
      </x:c>
      <x:c r="B1881" t="str">
        <x:v>DW-0438</x:v>
      </x:c>
      <x:c r="C1881" t="str">
        <x:v>Composition héritée</x:v>
      </x:c>
      <x:c r="D1881" t="str">
        <x:v>Ports et activités nautiques</x:v>
      </x:c>
      <x:c r="E1881" t="str">
        <x:v>Port sec intérieur — Rivière, berges et gué / évacuation interrompue</x:v>
      </x:c>
      <x:c r="F1881" t="n">
        <x:v>10</x:v>
      </x:c>
      <x:c r="G1881" t="n">
        <x:v>4</x:v>
      </x:c>
      <x:c r="H1881" t="n">
        <x:v>12</x:v>
      </x:c>
      <x:c r="I1881" t="str">
        <x:v>À qualifier par lieu</x:v>
      </x:c>
      <x:c r="J1881" t="str">
        <x:v>https://github.com/darknigthmare/deadwall-last-enclosure/blob/e28f46223e73105ab2c5d83f3d50b99b58ef53e6/codex-3000/compositions/Ports et activités nautiques/DW-1876.md</x:v>
      </x:c>
      <x:c r="K1881" t="str">
        <x:v>Source min 80,55 m ; max 700,350 m ; modèle 80 × 55 m ; niveaux 0. Détails dans catalogue-existant.json.</x:v>
      </x:c>
    </x:row>
    <x:row r="1882">
      <x:c r="A1882" t="str">
        <x:v>DW-1877</x:v>
      </x:c>
      <x:c r="B1882" t="str">
        <x:v>DW-0439</x:v>
      </x:c>
      <x:c r="C1882" t="str">
        <x:v>Composition héritée</x:v>
      </x:c>
      <x:c r="D1882" t="str">
        <x:v>Ports et activités nautiques</x:v>
      </x:c>
      <x:c r="E1882" t="str">
        <x:v>Marina sinistrée — Lac et base de loisirs / réseau principal coupé</x:v>
      </x:c>
      <x:c r="F1882" t="n">
        <x:v>10</x:v>
      </x:c>
      <x:c r="G1882" t="n">
        <x:v>4</x:v>
      </x:c>
      <x:c r="H1882" t="n">
        <x:v>12</x:v>
      </x:c>
      <x:c r="I1882" t="str">
        <x:v>À qualifier par lieu</x:v>
      </x:c>
      <x:c r="J1882" t="str">
        <x:v>https://github.com/darknigthmare/deadwall-last-enclosure/blob/e28f46223e73105ab2c5d83f3d50b99b58ef53e6/codex-3000/compositions/Ports et activités nautiques/DW-1877.md</x:v>
      </x:c>
      <x:c r="K1882" t="str">
        <x:v>Source min 80,55 m ; max 700,350 m ; modèle 80 × 55 m ; niveaux 0. Détails dans catalogue-existant.json.</x:v>
      </x:c>
    </x:row>
    <x:row r="1883">
      <x:c r="A1883" t="str">
        <x:v>DW-1878</x:v>
      </x:c>
      <x:c r="B1883" t="str">
        <x:v>DW-0439</x:v>
      </x:c>
      <x:c r="C1883" t="str">
        <x:v>Composition héritée</x:v>
      </x:c>
      <x:c r="D1883" t="str">
        <x:v>Ports et activités nautiques</x:v>
      </x:c>
      <x:c r="E1883" t="str">
        <x:v>Marina sinistrée — Port marchand / arrêt de maintenance</x:v>
      </x:c>
      <x:c r="F1883" t="n">
        <x:v>10</x:v>
      </x:c>
      <x:c r="G1883" t="n">
        <x:v>4</x:v>
      </x:c>
      <x:c r="H1883" t="n">
        <x:v>12</x:v>
      </x:c>
      <x:c r="I1883" t="str">
        <x:v>À qualifier par lieu</x:v>
      </x:c>
      <x:c r="J1883" t="str">
        <x:v>https://github.com/darknigthmare/deadwall-last-enclosure/blob/e28f46223e73105ab2c5d83f3d50b99b58ef53e6/codex-3000/compositions/Ports et activités nautiques/DW-1878.md</x:v>
      </x:c>
      <x:c r="K1883" t="str">
        <x:v>Source min 80,55 m ; max 700,350 m ; modèle 80 × 55 m ; niveaux 0. Détails dans catalogue-existant.json.</x:v>
      </x:c>
    </x:row>
    <x:row r="1884">
      <x:c r="A1884" t="str">
        <x:v>DW-1879</x:v>
      </x:c>
      <x:c r="B1884" t="str">
        <x:v>DW-0440</x:v>
      </x:c>
      <x:c r="C1884" t="str">
        <x:v>Composition héritée</x:v>
      </x:c>
      <x:c r="D1884" t="str">
        <x:v>Ports et activités nautiques</x:v>
      </x:c>
      <x:c r="E1884" t="str">
        <x:v>Hameau lacustre — Rivière, berges et gué / repli organisé interrompu</x:v>
      </x:c>
      <x:c r="F1884" t="n">
        <x:v>10</x:v>
      </x:c>
      <x:c r="G1884" t="n">
        <x:v>4</x:v>
      </x:c>
      <x:c r="H1884" t="n">
        <x:v>12</x:v>
      </x:c>
      <x:c r="I1884" t="str">
        <x:v>À qualifier par lieu</x:v>
      </x:c>
      <x:c r="J1884" t="str">
        <x:v>https://github.com/darknigthmare/deadwall-last-enclosure/blob/e28f46223e73105ab2c5d83f3d50b99b58ef53e6/codex-3000/compositions/Ports et activités nautiques/DW-1879.md</x:v>
      </x:c>
      <x:c r="K1884" t="str">
        <x:v>Source min 80,55 m ; max 700,350 m ; modèle 80 × 55 m ; niveaux 0. Détails dans catalogue-existant.json.</x:v>
      </x:c>
    </x:row>
    <x:row r="1885">
      <x:c r="A1885" t="str">
        <x:v>DW-1880</x:v>
      </x:c>
      <x:c r="B1885" t="str">
        <x:v>DW-0440</x:v>
      </x:c>
      <x:c r="C1885" t="str">
        <x:v>Composition héritée</x:v>
      </x:c>
      <x:c r="D1885" t="str">
        <x:v>Ports et activités nautiques</x:v>
      </x:c>
      <x:c r="E1885" t="str">
        <x:v>Hameau lacustre — Plage et dune / première récupération passée</x:v>
      </x:c>
      <x:c r="F1885" t="n">
        <x:v>10</x:v>
      </x:c>
      <x:c r="G1885" t="n">
        <x:v>4</x:v>
      </x:c>
      <x:c r="H1885" t="n">
        <x:v>12</x:v>
      </x:c>
      <x:c r="I1885" t="str">
        <x:v>À qualifier par lieu</x:v>
      </x:c>
      <x:c r="J1885" t="str">
        <x:v>https://github.com/darknigthmare/deadwall-last-enclosure/blob/e28f46223e73105ab2c5d83f3d50b99b58ef53e6/codex-3000/compositions/Ports et activités nautiques/DW-1880.md</x:v>
      </x:c>
      <x:c r="K1885" t="str">
        <x:v>Source min 80,55 m ; max 700,350 m ; modèle 80 × 55 m ; niveaux 0. Détails dans catalogue-existant.json.</x:v>
      </x:c>
    </x:row>
    <x:row r="1886">
      <x:c r="A1886" t="str">
        <x:v>DW-1881</x:v>
      </x:c>
      <x:c r="B1886" t="str">
        <x:v>DW-0441</x:v>
      </x:c>
      <x:c r="C1886" t="str">
        <x:v>Composition héritée</x:v>
      </x:c>
      <x:c r="D1886" t="str">
        <x:v>Loisirs et culture</x:v>
      </x:c>
      <x:c r="E1886" t="str">
        <x:v>Parc urbain — Zone de loisirs / évacuation interrompue</x:v>
      </x:c>
      <x:c r="F1886" t="n">
        <x:v>8</x:v>
      </x:c>
      <x:c r="G1886" t="n">
        <x:v>4</x:v>
      </x:c>
      <x:c r="H1886" t="n">
        <x:v>10</x:v>
      </x:c>
      <x:c r="I1886" t="str">
        <x:v>À qualifier par lieu</x:v>
      </x:c>
      <x:c r="J1886" t="str">
        <x:v>https://github.com/darknigthmare/deadwall-last-enclosure/blob/e28f46223e73105ab2c5d83f3d50b99b58ef53e6/codex-3000/compositions/Loisirs et culture/DW-1881.md</x:v>
      </x:c>
      <x:c r="K1886" t="str">
        <x:v>Source min 40,28 m ; max 300,200 m ; modèle 40 × 28 m ; niveaux 0. Détails dans catalogue-existant.json.</x:v>
      </x:c>
    </x:row>
    <x:row r="1887">
      <x:c r="A1887" t="str">
        <x:v>DW-1882</x:v>
      </x:c>
      <x:c r="B1887" t="str">
        <x:v>DW-0441</x:v>
      </x:c>
      <x:c r="C1887" t="str">
        <x:v>Composition héritée</x:v>
      </x:c>
      <x:c r="D1887" t="str">
        <x:v>Loisirs et culture</x:v>
      </x:c>
      <x:c r="E1887" t="str">
        <x:v>Parc urbain — Plage et dune / service déplacé à l’arrière</x:v>
      </x:c>
      <x:c r="F1887" t="n">
        <x:v>10</x:v>
      </x:c>
      <x:c r="G1887" t="n">
        <x:v>4</x:v>
      </x:c>
      <x:c r="H1887" t="n">
        <x:v>10</x:v>
      </x:c>
      <x:c r="I1887" t="str">
        <x:v>À qualifier par lieu</x:v>
      </x:c>
      <x:c r="J1887" t="str">
        <x:v>https://github.com/darknigthmare/deadwall-last-enclosure/blob/e28f46223e73105ab2c5d83f3d50b99b58ef53e6/codex-3000/compositions/Loisirs et culture/DW-1882.md</x:v>
      </x:c>
      <x:c r="K1887" t="str">
        <x:v>Source min 40,28 m ; max 300,200 m ; modèle 40 × 28 m ; niveaux 0. Détails dans catalogue-existant.json.</x:v>
      </x:c>
    </x:row>
    <x:row r="1888">
      <x:c r="A1888" t="str">
        <x:v>DW-1883</x:v>
      </x:c>
      <x:c r="B1888" t="str">
        <x:v>DW-0442</x:v>
      </x:c>
      <x:c r="C1888" t="str">
        <x:v>Composition héritée</x:v>
      </x:c>
      <x:c r="D1888" t="str">
        <x:v>Loisirs et culture</x:v>
      </x:c>
      <x:c r="E1888" t="str">
        <x:v>Terrain de football — Lac et base de loisirs / arrêt de maintenance</x:v>
      </x:c>
      <x:c r="F1888" t="n">
        <x:v>10</x:v>
      </x:c>
      <x:c r="G1888" t="n">
        <x:v>4</x:v>
      </x:c>
      <x:c r="H1888" t="n">
        <x:v>12</x:v>
      </x:c>
      <x:c r="I1888" t="str">
        <x:v>À qualifier par lieu</x:v>
      </x:c>
      <x:c r="J1888" t="str">
        <x:v>https://github.com/darknigthmare/deadwall-last-enclosure/blob/e28f46223e73105ab2c5d83f3d50b99b58ef53e6/codex-3000/compositions/Loisirs et culture/DW-1883.md</x:v>
      </x:c>
      <x:c r="K1888" t="str">
        <x:v>Source min 40,28 m ; max 300,200 m ; modèle 40 × 28 m ; niveaux 0. Détails dans catalogue-existant.json.</x:v>
      </x:c>
    </x:row>
    <x:row r="1889">
      <x:c r="A1889" t="str">
        <x:v>DW-1884</x:v>
      </x:c>
      <x:c r="B1889" t="str">
        <x:v>DW-0442</x:v>
      </x:c>
      <x:c r="C1889" t="str">
        <x:v>Composition héritée</x:v>
      </x:c>
      <x:c r="D1889" t="str">
        <x:v>Loisirs et culture</x:v>
      </x:c>
      <x:c r="E1889" t="str">
        <x:v>Terrain de football — Ville moyenne / reprise progressive de la végétation</x:v>
      </x:c>
      <x:c r="F1889" t="n">
        <x:v>8</x:v>
      </x:c>
      <x:c r="G1889" t="n">
        <x:v>4</x:v>
      </x:c>
      <x:c r="H1889" t="n">
        <x:v>12</x:v>
      </x:c>
      <x:c r="I1889" t="str">
        <x:v>À qualifier par lieu</x:v>
      </x:c>
      <x:c r="J1889" t="str">
        <x:v>https://github.com/darknigthmare/deadwall-last-enclosure/blob/e28f46223e73105ab2c5d83f3d50b99b58ef53e6/codex-3000/compositions/Loisirs et culture/DW-1884.md</x:v>
      </x:c>
      <x:c r="K1889" t="str">
        <x:v>Source min 40,28 m ; max 300,200 m ; modèle 40 × 28 m ; niveaux 0. Détails dans catalogue-existant.json.</x:v>
      </x:c>
    </x:row>
    <x:row r="1890">
      <x:c r="A1890" t="str">
        <x:v>DW-1885</x:v>
      </x:c>
      <x:c r="B1890" t="str">
        <x:v>DW-0443</x:v>
      </x:c>
      <x:c r="C1890" t="str">
        <x:v>Composition héritée</x:v>
      </x:c>
      <x:c r="D1890" t="str">
        <x:v>Loisirs et culture</x:v>
      </x:c>
      <x:c r="E1890" t="str">
        <x:v>Stade municipal — Plage et dune / première récupération passée</x:v>
      </x:c>
      <x:c r="F1890" t="n">
        <x:v>10</x:v>
      </x:c>
      <x:c r="G1890" t="n">
        <x:v>4</x:v>
      </x:c>
      <x:c r="H1890" t="n">
        <x:v>10</x:v>
      </x:c>
      <x:c r="I1890" t="str">
        <x:v>À qualifier par lieu</x:v>
      </x:c>
      <x:c r="J1890" t="str">
        <x:v>https://github.com/darknigthmare/deadwall-last-enclosure/blob/e28f46223e73105ab2c5d83f3d50b99b58ef53e6/codex-3000/compositions/Loisirs et culture/DW-1885.md</x:v>
      </x:c>
      <x:c r="K1890" t="str">
        <x:v>Source min 40,28 m ; max 300,200 m ; modèle 40 × 28 m ; niveaux 0. Détails dans catalogue-existant.json.</x:v>
      </x:c>
    </x:row>
    <x:row r="1891">
      <x:c r="A1891" t="str">
        <x:v>DW-1886</x:v>
      </x:c>
      <x:c r="B1891" t="str">
        <x:v>DW-0443</x:v>
      </x:c>
      <x:c r="C1891" t="str">
        <x:v>Composition héritée</x:v>
      </x:c>
      <x:c r="D1891" t="str">
        <x:v>Loisirs et culture</x:v>
      </x:c>
      <x:c r="E1891" t="str">
        <x:v>Stade municipal — Zone de loisirs / relais temporaire envisagé</x:v>
      </x:c>
      <x:c r="F1891" t="n">
        <x:v>8</x:v>
      </x:c>
      <x:c r="G1891" t="n">
        <x:v>4</x:v>
      </x:c>
      <x:c r="H1891" t="n">
        <x:v>10</x:v>
      </x:c>
      <x:c r="I1891" t="str">
        <x:v>À qualifier par lieu</x:v>
      </x:c>
      <x:c r="J1891" t="str">
        <x:v>https://github.com/darknigthmare/deadwall-last-enclosure/blob/e28f46223e73105ab2c5d83f3d50b99b58ef53e6/codex-3000/compositions/Loisirs et culture/DW-1886.md</x:v>
      </x:c>
      <x:c r="K1891" t="str">
        <x:v>Source min 40,28 m ; max 300,200 m ; modèle 40 × 28 m ; niveaux 0. Détails dans catalogue-existant.json.</x:v>
      </x:c>
    </x:row>
    <x:row r="1892">
      <x:c r="A1892" t="str">
        <x:v>DW-1887</x:v>
      </x:c>
      <x:c r="B1892" t="str">
        <x:v>DW-0444</x:v>
      </x:c>
      <x:c r="C1892" t="str">
        <x:v>Composition héritée</x:v>
      </x:c>
      <x:c r="D1892" t="str">
        <x:v>Loisirs et culture</x:v>
      </x:c>
      <x:c r="E1892" t="str">
        <x:v>Gymnase — Ville moyenne / service déplacé à l’arrière</x:v>
      </x:c>
      <x:c r="F1892" t="n">
        <x:v>8</x:v>
      </x:c>
      <x:c r="G1892" t="n">
        <x:v>4</x:v>
      </x:c>
      <x:c r="H1892" t="n">
        <x:v>12</x:v>
      </x:c>
      <x:c r="I1892" t="str">
        <x:v>À qualifier par lieu</x:v>
      </x:c>
      <x:c r="J1892" t="str">
        <x:v>https://github.com/darknigthmare/deadwall-last-enclosure/blob/e28f46223e73105ab2c5d83f3d50b99b58ef53e6/codex-3000/compositions/Loisirs et culture/DW-1887.md</x:v>
      </x:c>
      <x:c r="K1892" t="str">
        <x:v>Source min 40,28 m ; max 300,200 m ; modèle 40 × 28 m ; niveaux 0. Détails dans catalogue-existant.json.</x:v>
      </x:c>
    </x:row>
    <x:row r="1893">
      <x:c r="A1893" t="str">
        <x:v>DW-1888</x:v>
      </x:c>
      <x:c r="B1893" t="str">
        <x:v>DW-0444</x:v>
      </x:c>
      <x:c r="C1893" t="str">
        <x:v>Composition héritée</x:v>
      </x:c>
      <x:c r="D1893" t="str">
        <x:v>Loisirs et culture</x:v>
      </x:c>
      <x:c r="E1893" t="str">
        <x:v>Gymnase — Lac et base de loisirs / réseau principal coupé</x:v>
      </x:c>
      <x:c r="F1893" t="n">
        <x:v>10</x:v>
      </x:c>
      <x:c r="G1893" t="n">
        <x:v>4</x:v>
      </x:c>
      <x:c r="H1893" t="n">
        <x:v>12</x:v>
      </x:c>
      <x:c r="I1893" t="str">
        <x:v>À qualifier par lieu</x:v>
      </x:c>
      <x:c r="J1893" t="str">
        <x:v>https://github.com/darknigthmare/deadwall-last-enclosure/blob/e28f46223e73105ab2c5d83f3d50b99b58ef53e6/codex-3000/compositions/Loisirs et culture/DW-1888.md</x:v>
      </x:c>
      <x:c r="K1893" t="str">
        <x:v>Source min 40,28 m ; max 300,200 m ; modèle 40 × 28 m ; niveaux 0. Détails dans catalogue-existant.json.</x:v>
      </x:c>
    </x:row>
    <x:row r="1894">
      <x:c r="A1894" t="str">
        <x:v>DW-1889</x:v>
      </x:c>
      <x:c r="B1894" t="str">
        <x:v>DW-0445</x:v>
      </x:c>
      <x:c r="C1894" t="str">
        <x:v>Composition héritée</x:v>
      </x:c>
      <x:c r="D1894" t="str">
        <x:v>Loisirs et culture</x:v>
      </x:c>
      <x:c r="E1894" t="str">
        <x:v>Piscine municipale — Zone de loisirs / reprise progressive de la végétation</x:v>
      </x:c>
      <x:c r="F1894" t="n">
        <x:v>8</x:v>
      </x:c>
      <x:c r="G1894" t="n">
        <x:v>5</x:v>
      </x:c>
      <x:c r="H1894" t="n">
        <x:v>15</x:v>
      </x:c>
      <x:c r="I1894" t="str">
        <x:v>À qualifier par lieu</x:v>
      </x:c>
      <x:c r="J1894" t="str">
        <x:v>https://github.com/darknigthmare/deadwall-last-enclosure/blob/e28f46223e73105ab2c5d83f3d50b99b58ef53e6/codex-3000/compositions/Loisirs et culture/DW-1889.md</x:v>
      </x:c>
      <x:c r="K1894" t="str">
        <x:v>Source min 40,28 m ; max 300,200 m ; modèle 40 × 28 m ; niveaux 0. Détails dans catalogue-existant.json.</x:v>
      </x:c>
    </x:row>
    <x:row r="1895">
      <x:c r="A1895" t="str">
        <x:v>DW-1890</x:v>
      </x:c>
      <x:c r="B1895" t="str">
        <x:v>DW-0445</x:v>
      </x:c>
      <x:c r="C1895" t="str">
        <x:v>Composition héritée</x:v>
      </x:c>
      <x:c r="D1895" t="str">
        <x:v>Loisirs et culture</x:v>
      </x:c>
      <x:c r="E1895" t="str">
        <x:v>Piscine municipale — Plage et dune / repli organisé interrompu</x:v>
      </x:c>
      <x:c r="F1895" t="n">
        <x:v>10</x:v>
      </x:c>
      <x:c r="G1895" t="n">
        <x:v>5</x:v>
      </x:c>
      <x:c r="H1895" t="n">
        <x:v>15</x:v>
      </x:c>
      <x:c r="I1895" t="str">
        <x:v>À qualifier par lieu</x:v>
      </x:c>
      <x:c r="J1895" t="str">
        <x:v>https://github.com/darknigthmare/deadwall-last-enclosure/blob/e28f46223e73105ab2c5d83f3d50b99b58ef53e6/codex-3000/compositions/Loisirs et culture/DW-1890.md</x:v>
      </x:c>
      <x:c r="K1895" t="str">
        <x:v>Source min 40,28 m ; max 300,200 m ; modèle 40 × 28 m ; niveaux 0. Détails dans catalogue-existant.json.</x:v>
      </x:c>
    </x:row>
    <x:row r="1896">
      <x:c r="A1896" t="str">
        <x:v>DW-1891</x:v>
      </x:c>
      <x:c r="B1896" t="str">
        <x:v>DW-0446</x:v>
      </x:c>
      <x:c r="C1896" t="str">
        <x:v>Composition héritée</x:v>
      </x:c>
      <x:c r="D1896" t="str">
        <x:v>Loisirs et culture</x:v>
      </x:c>
      <x:c r="E1896" t="str">
        <x:v>Cinéma multiplexe — Lac et base de loisirs / relais temporaire envisagé</x:v>
      </x:c>
      <x:c r="F1896" t="n">
        <x:v>10</x:v>
      </x:c>
      <x:c r="G1896" t="n">
        <x:v>5</x:v>
      </x:c>
      <x:c r="H1896" t="n">
        <x:v>15</x:v>
      </x:c>
      <x:c r="I1896" t="str">
        <x:v>À qualifier par lieu</x:v>
      </x:c>
      <x:c r="J1896" t="str">
        <x:v>https://github.com/darknigthmare/deadwall-last-enclosure/blob/e28f46223e73105ab2c5d83f3d50b99b58ef53e6/codex-3000/compositions/Loisirs et culture/DW-1891.md</x:v>
      </x:c>
      <x:c r="K1896" t="str">
        <x:v>Source min 40,28 m ; max 300,200 m ; modèle 40 × 28 m ; niveaux 0. Détails dans catalogue-existant.json.</x:v>
      </x:c>
    </x:row>
    <x:row r="1897">
      <x:c r="A1897" t="str">
        <x:v>DW-1892</x:v>
      </x:c>
      <x:c r="B1897" t="str">
        <x:v>DW-0446</x:v>
      </x:c>
      <x:c r="C1897" t="str">
        <x:v>Composition héritée</x:v>
      </x:c>
      <x:c r="D1897" t="str">
        <x:v>Loisirs et culture</x:v>
      </x:c>
      <x:c r="E1897" t="str">
        <x:v>Cinéma multiplexe — Ville moyenne / évacuation interrompue</x:v>
      </x:c>
      <x:c r="F1897" t="n">
        <x:v>8</x:v>
      </x:c>
      <x:c r="G1897" t="n">
        <x:v>5</x:v>
      </x:c>
      <x:c r="H1897" t="n">
        <x:v>15</x:v>
      </x:c>
      <x:c r="I1897" t="str">
        <x:v>À qualifier par lieu</x:v>
      </x:c>
      <x:c r="J1897" t="str">
        <x:v>https://github.com/darknigthmare/deadwall-last-enclosure/blob/e28f46223e73105ab2c5d83f3d50b99b58ef53e6/codex-3000/compositions/Loisirs et culture/DW-1892.md</x:v>
      </x:c>
      <x:c r="K1897" t="str">
        <x:v>Source min 40,28 m ; max 300,200 m ; modèle 40 × 28 m ; niveaux 0. Détails dans catalogue-existant.json.</x:v>
      </x:c>
    </x:row>
    <x:row r="1898">
      <x:c r="A1898" t="str">
        <x:v>DW-1893</x:v>
      </x:c>
      <x:c r="B1898" t="str">
        <x:v>DW-0447</x:v>
      </x:c>
      <x:c r="C1898" t="str">
        <x:v>Composition héritée</x:v>
      </x:c>
      <x:c r="D1898" t="str">
        <x:v>Loisirs et culture</x:v>
      </x:c>
      <x:c r="E1898" t="str">
        <x:v>Cinéma de quartier — Plage et dune / réseau principal coupé</x:v>
      </x:c>
      <x:c r="F1898" t="n">
        <x:v>10</x:v>
      </x:c>
      <x:c r="G1898" t="n">
        <x:v>4</x:v>
      </x:c>
      <x:c r="H1898" t="n">
        <x:v>12</x:v>
      </x:c>
      <x:c r="I1898" t="str">
        <x:v>À qualifier par lieu</x:v>
      </x:c>
      <x:c r="J1898" t="str">
        <x:v>https://github.com/darknigthmare/deadwall-last-enclosure/blob/e28f46223e73105ab2c5d83f3d50b99b58ef53e6/codex-3000/compositions/Loisirs et culture/DW-1893.md</x:v>
      </x:c>
      <x:c r="K1898" t="str">
        <x:v>Source min 40,28 m ; max 300,200 m ; modèle 40 × 28 m ; niveaux 0. Détails dans catalogue-existant.json.</x:v>
      </x:c>
    </x:row>
    <x:row r="1899">
      <x:c r="A1899" t="str">
        <x:v>DW-1894</x:v>
      </x:c>
      <x:c r="B1899" t="str">
        <x:v>DW-0447</x:v>
      </x:c>
      <x:c r="C1899" t="str">
        <x:v>Composition héritée</x:v>
      </x:c>
      <x:c r="D1899" t="str">
        <x:v>Loisirs et culture</x:v>
      </x:c>
      <x:c r="E1899" t="str">
        <x:v>Cinéma de quartier — Zone de loisirs / arrêt de maintenance</x:v>
      </x:c>
      <x:c r="F1899" t="n">
        <x:v>8</x:v>
      </x:c>
      <x:c r="G1899" t="n">
        <x:v>4</x:v>
      </x:c>
      <x:c r="H1899" t="n">
        <x:v>12</x:v>
      </x:c>
      <x:c r="I1899" t="str">
        <x:v>À qualifier par lieu</x:v>
      </x:c>
      <x:c r="J1899" t="str">
        <x:v>https://github.com/darknigthmare/deadwall-last-enclosure/blob/e28f46223e73105ab2c5d83f3d50b99b58ef53e6/codex-3000/compositions/Loisirs et culture/DW-1894.md</x:v>
      </x:c>
      <x:c r="K1899" t="str">
        <x:v>Source min 40,28 m ; max 300,200 m ; modèle 40 × 28 m ; niveaux 0. Détails dans catalogue-existant.json.</x:v>
      </x:c>
    </x:row>
    <x:row r="1900">
      <x:c r="A1900" t="str">
        <x:v>DW-1895</x:v>
      </x:c>
      <x:c r="B1900" t="str">
        <x:v>DW-0448</x:v>
      </x:c>
      <x:c r="C1900" t="str">
        <x:v>Composition héritée</x:v>
      </x:c>
      <x:c r="D1900" t="str">
        <x:v>Loisirs et culture</x:v>
      </x:c>
      <x:c r="E1900" t="str">
        <x:v>Théâtre — Ville moyenne / repli organisé interrompu</x:v>
      </x:c>
      <x:c r="F1900" t="n">
        <x:v>8</x:v>
      </x:c>
      <x:c r="G1900" t="n">
        <x:v>5</x:v>
      </x:c>
      <x:c r="H1900" t="n">
        <x:v>15</x:v>
      </x:c>
      <x:c r="I1900" t="str">
        <x:v>À qualifier par lieu</x:v>
      </x:c>
      <x:c r="J1900" t="str">
        <x:v>https://github.com/darknigthmare/deadwall-last-enclosure/blob/e28f46223e73105ab2c5d83f3d50b99b58ef53e6/codex-3000/compositions/Loisirs et culture/DW-1895.md</x:v>
      </x:c>
      <x:c r="K1900" t="str">
        <x:v>Source min 40,28 m ; max 300,200 m ; modèle 40 × 28 m ; niveaux 0. Détails dans catalogue-existant.json.</x:v>
      </x:c>
    </x:row>
    <x:row r="1901">
      <x:c r="A1901" t="str">
        <x:v>DW-1896</x:v>
      </x:c>
      <x:c r="B1901" t="str">
        <x:v>DW-0448</x:v>
      </x:c>
      <x:c r="C1901" t="str">
        <x:v>Composition héritée</x:v>
      </x:c>
      <x:c r="D1901" t="str">
        <x:v>Loisirs et culture</x:v>
      </x:c>
      <x:c r="E1901" t="str">
        <x:v>Théâtre — Lac et base de loisirs / première récupération passée</x:v>
      </x:c>
      <x:c r="F1901" t="n">
        <x:v>10</x:v>
      </x:c>
      <x:c r="G1901" t="n">
        <x:v>5</x:v>
      </x:c>
      <x:c r="H1901" t="n">
        <x:v>15</x:v>
      </x:c>
      <x:c r="I1901" t="str">
        <x:v>À qualifier par lieu</x:v>
      </x:c>
      <x:c r="J1901" t="str">
        <x:v>https://github.com/darknigthmare/deadwall-last-enclosure/blob/e28f46223e73105ab2c5d83f3d50b99b58ef53e6/codex-3000/compositions/Loisirs et culture/DW-1896.md</x:v>
      </x:c>
      <x:c r="K1901" t="str">
        <x:v>Source min 40,28 m ; max 300,200 m ; modèle 40 × 28 m ; niveaux 0. Détails dans catalogue-existant.json.</x:v>
      </x:c>
    </x:row>
    <x:row r="1902">
      <x:c r="A1902" t="str">
        <x:v>DW-1897</x:v>
      </x:c>
      <x:c r="B1902" t="str">
        <x:v>DW-0449</x:v>
      </x:c>
      <x:c r="C1902" t="str">
        <x:v>Composition héritée</x:v>
      </x:c>
      <x:c r="D1902" t="str">
        <x:v>Loisirs et culture</x:v>
      </x:c>
      <x:c r="E1902" t="str">
        <x:v>Salle de concert — Zone de loisirs / évacuation interrompue</x:v>
      </x:c>
      <x:c r="F1902" t="n">
        <x:v>8</x:v>
      </x:c>
      <x:c r="G1902" t="n">
        <x:v>5</x:v>
      </x:c>
      <x:c r="H1902" t="n">
        <x:v>15</x:v>
      </x:c>
      <x:c r="I1902" t="str">
        <x:v>À qualifier par lieu</x:v>
      </x:c>
      <x:c r="J1902" t="str">
        <x:v>https://github.com/darknigthmare/deadwall-last-enclosure/blob/e28f46223e73105ab2c5d83f3d50b99b58ef53e6/codex-3000/compositions/Loisirs et culture/DW-1897.md</x:v>
      </x:c>
      <x:c r="K1902" t="str">
        <x:v>Source min 40,28 m ; max 300,200 m ; modèle 40 × 28 m ; niveaux 0. Détails dans catalogue-existant.json.</x:v>
      </x:c>
    </x:row>
    <x:row r="1903">
      <x:c r="A1903" t="str">
        <x:v>DW-1898</x:v>
      </x:c>
      <x:c r="B1903" t="str">
        <x:v>DW-0449</x:v>
      </x:c>
      <x:c r="C1903" t="str">
        <x:v>Composition héritée</x:v>
      </x:c>
      <x:c r="D1903" t="str">
        <x:v>Loisirs et culture</x:v>
      </x:c>
      <x:c r="E1903" t="str">
        <x:v>Salle de concert — Plage et dune / service déplacé à l’arrière</x:v>
      </x:c>
      <x:c r="F1903" t="n">
        <x:v>10</x:v>
      </x:c>
      <x:c r="G1903" t="n">
        <x:v>5</x:v>
      </x:c>
      <x:c r="H1903" t="n">
        <x:v>15</x:v>
      </x:c>
      <x:c r="I1903" t="str">
        <x:v>À qualifier par lieu</x:v>
      </x:c>
      <x:c r="J1903" t="str">
        <x:v>https://github.com/darknigthmare/deadwall-last-enclosure/blob/e28f46223e73105ab2c5d83f3d50b99b58ef53e6/codex-3000/compositions/Loisirs et culture/DW-1898.md</x:v>
      </x:c>
      <x:c r="K1903" t="str">
        <x:v>Source min 40,28 m ; max 300,200 m ; modèle 40 × 28 m ; niveaux 0. Détails dans catalogue-existant.json.</x:v>
      </x:c>
    </x:row>
    <x:row r="1904">
      <x:c r="A1904" t="str">
        <x:v>DW-1899</x:v>
      </x:c>
      <x:c r="B1904" t="str">
        <x:v>DW-0450</x:v>
      </x:c>
      <x:c r="C1904" t="str">
        <x:v>Composition héritée</x:v>
      </x:c>
      <x:c r="D1904" t="str">
        <x:v>Loisirs et culture</x:v>
      </x:c>
      <x:c r="E1904" t="str">
        <x:v>Musée local — Lac et base de loisirs / arrêt de maintenance</x:v>
      </x:c>
      <x:c r="F1904" t="n">
        <x:v>10</x:v>
      </x:c>
      <x:c r="G1904" t="n">
        <x:v>4</x:v>
      </x:c>
      <x:c r="H1904" t="n">
        <x:v>12</x:v>
      </x:c>
      <x:c r="I1904" t="str">
        <x:v>À qualifier par lieu</x:v>
      </x:c>
      <x:c r="J1904" t="str">
        <x:v>https://github.com/darknigthmare/deadwall-last-enclosure/blob/e28f46223e73105ab2c5d83f3d50b99b58ef53e6/codex-3000/compositions/Loisirs et culture/DW-1899.md</x:v>
      </x:c>
      <x:c r="K1904" t="str">
        <x:v>Source min 40,28 m ; max 300,200 m ; modèle 40 × 28 m ; niveaux 0. Détails dans catalogue-existant.json.</x:v>
      </x:c>
    </x:row>
    <x:row r="1905">
      <x:c r="A1905" t="str">
        <x:v>DW-1900</x:v>
      </x:c>
      <x:c r="B1905" t="str">
        <x:v>DW-0450</x:v>
      </x:c>
      <x:c r="C1905" t="str">
        <x:v>Composition héritée</x:v>
      </x:c>
      <x:c r="D1905" t="str">
        <x:v>Loisirs et culture</x:v>
      </x:c>
      <x:c r="E1905" t="str">
        <x:v>Musée local — Ville moyenne / reprise progressive de la végétation</x:v>
      </x:c>
      <x:c r="F1905" t="n">
        <x:v>8</x:v>
      </x:c>
      <x:c r="G1905" t="n">
        <x:v>4</x:v>
      </x:c>
      <x:c r="H1905" t="n">
        <x:v>12</x:v>
      </x:c>
      <x:c r="I1905" t="str">
        <x:v>À qualifier par lieu</x:v>
      </x:c>
      <x:c r="J1905" t="str">
        <x:v>https://github.com/darknigthmare/deadwall-last-enclosure/blob/e28f46223e73105ab2c5d83f3d50b99b58ef53e6/codex-3000/compositions/Loisirs et culture/DW-1900.md</x:v>
      </x:c>
      <x:c r="K1905" t="str">
        <x:v>Source min 40,28 m ; max 300,200 m ; modèle 40 × 28 m ; niveaux 0. Détails dans catalogue-existant.json.</x:v>
      </x:c>
    </x:row>
    <x:row r="1906">
      <x:c r="A1906" t="str">
        <x:v>DW-1901</x:v>
      </x:c>
      <x:c r="B1906" t="str">
        <x:v>DW-0451</x:v>
      </x:c>
      <x:c r="C1906" t="str">
        <x:v>Composition héritée</x:v>
      </x:c>
      <x:c r="D1906" t="str">
        <x:v>Loisirs et culture</x:v>
      </x:c>
      <x:c r="E1906" t="str">
        <x:v>Musée industriel — Plage et dune / première récupération passée</x:v>
      </x:c>
      <x:c r="F1906" t="n">
        <x:v>10</x:v>
      </x:c>
      <x:c r="G1906" t="n">
        <x:v>4</x:v>
      </x:c>
      <x:c r="H1906" t="n">
        <x:v>10</x:v>
      </x:c>
      <x:c r="I1906" t="str">
        <x:v>À qualifier par lieu</x:v>
      </x:c>
      <x:c r="J1906" t="str">
        <x:v>https://github.com/darknigthmare/deadwall-last-enclosure/blob/e28f46223e73105ab2c5d83f3d50b99b58ef53e6/codex-3000/compositions/Loisirs et culture/DW-1901.md</x:v>
      </x:c>
      <x:c r="K1906" t="str">
        <x:v>Source min 40,28 m ; max 300,200 m ; modèle 40 × 28 m ; niveaux 0. Détails dans catalogue-existant.json.</x:v>
      </x:c>
    </x:row>
    <x:row r="1907">
      <x:c r="A1907" t="str">
        <x:v>DW-1902</x:v>
      </x:c>
      <x:c r="B1907" t="str">
        <x:v>DW-0451</x:v>
      </x:c>
      <x:c r="C1907" t="str">
        <x:v>Composition héritée</x:v>
      </x:c>
      <x:c r="D1907" t="str">
        <x:v>Loisirs et culture</x:v>
      </x:c>
      <x:c r="E1907" t="str">
        <x:v>Musée industriel — Zone de loisirs / relais temporaire envisagé</x:v>
      </x:c>
      <x:c r="F1907" t="n">
        <x:v>8</x:v>
      </x:c>
      <x:c r="G1907" t="n">
        <x:v>4</x:v>
      </x:c>
      <x:c r="H1907" t="n">
        <x:v>10</x:v>
      </x:c>
      <x:c r="I1907" t="str">
        <x:v>À qualifier par lieu</x:v>
      </x:c>
      <x:c r="J1907" t="str">
        <x:v>https://github.com/darknigthmare/deadwall-last-enclosure/blob/e28f46223e73105ab2c5d83f3d50b99b58ef53e6/codex-3000/compositions/Loisirs et culture/DW-1902.md</x:v>
      </x:c>
      <x:c r="K1907" t="str">
        <x:v>Source min 40,28 m ; max 300,200 m ; modèle 40 × 28 m ; niveaux 0. Détails dans catalogue-existant.json.</x:v>
      </x:c>
    </x:row>
    <x:row r="1908">
      <x:c r="A1908" t="str">
        <x:v>DW-1903</x:v>
      </x:c>
      <x:c r="B1908" t="str">
        <x:v>DW-0452</x:v>
      </x:c>
      <x:c r="C1908" t="str">
        <x:v>Composition héritée</x:v>
      </x:c>
      <x:c r="D1908" t="str">
        <x:v>Loisirs et culture</x:v>
      </x:c>
      <x:c r="E1908" t="str">
        <x:v>Parc d'attractions abandonné — Ville moyenne / service déplacé à l’arrière</x:v>
      </x:c>
      <x:c r="F1908" t="n">
        <x:v>8</x:v>
      </x:c>
      <x:c r="G1908" t="n">
        <x:v>4</x:v>
      </x:c>
      <x:c r="H1908" t="n">
        <x:v>10</x:v>
      </x:c>
      <x:c r="I1908" t="str">
        <x:v>À qualifier par lieu</x:v>
      </x:c>
      <x:c r="J1908" t="str">
        <x:v>https://github.com/darknigthmare/deadwall-last-enclosure/blob/e28f46223e73105ab2c5d83f3d50b99b58ef53e6/codex-3000/compositions/Loisirs et culture/DW-1903.md</x:v>
      </x:c>
      <x:c r="K1908" t="str">
        <x:v>Source min 40,28 m ; max 300,200 m ; modèle 40 × 28 m ; niveaux 0. Détails dans catalogue-existant.json.</x:v>
      </x:c>
    </x:row>
    <x:row r="1909">
      <x:c r="A1909" t="str">
        <x:v>DW-1904</x:v>
      </x:c>
      <x:c r="B1909" t="str">
        <x:v>DW-0452</x:v>
      </x:c>
      <x:c r="C1909" t="str">
        <x:v>Composition héritée</x:v>
      </x:c>
      <x:c r="D1909" t="str">
        <x:v>Loisirs et culture</x:v>
      </x:c>
      <x:c r="E1909" t="str">
        <x:v>Parc d'attractions abandonné — Lac et base de loisirs / réseau principal coupé</x:v>
      </x:c>
      <x:c r="F1909" t="n">
        <x:v>10</x:v>
      </x:c>
      <x:c r="G1909" t="n">
        <x:v>4</x:v>
      </x:c>
      <x:c r="H1909" t="n">
        <x:v>10</x:v>
      </x:c>
      <x:c r="I1909" t="str">
        <x:v>À qualifier par lieu</x:v>
      </x:c>
      <x:c r="J1909" t="str">
        <x:v>https://github.com/darknigthmare/deadwall-last-enclosure/blob/e28f46223e73105ab2c5d83f3d50b99b58ef53e6/codex-3000/compositions/Loisirs et culture/DW-1904.md</x:v>
      </x:c>
      <x:c r="K1909" t="str">
        <x:v>Source min 40,28 m ; max 300,200 m ; modèle 40 × 28 m ; niveaux 0. Détails dans catalogue-existant.json.</x:v>
      </x:c>
    </x:row>
    <x:row r="1910">
      <x:c r="A1910" t="str">
        <x:v>DW-1905</x:v>
      </x:c>
      <x:c r="B1910" t="str">
        <x:v>DW-0453</x:v>
      </x:c>
      <x:c r="C1910" t="str">
        <x:v>Composition héritée</x:v>
      </x:c>
      <x:c r="D1910" t="str">
        <x:v>Loisirs et culture</x:v>
      </x:c>
      <x:c r="E1910" t="str">
        <x:v>Fête foraine démontée — Zone de loisirs / reprise progressive de la végétation</x:v>
      </x:c>
      <x:c r="F1910" t="n">
        <x:v>8</x:v>
      </x:c>
      <x:c r="G1910" t="n">
        <x:v>4</x:v>
      </x:c>
      <x:c r="H1910" t="n">
        <x:v>12</x:v>
      </x:c>
      <x:c r="I1910" t="str">
        <x:v>À qualifier par lieu</x:v>
      </x:c>
      <x:c r="J1910" t="str">
        <x:v>https://github.com/darknigthmare/deadwall-last-enclosure/blob/e28f46223e73105ab2c5d83f3d50b99b58ef53e6/codex-3000/compositions/Loisirs et culture/DW-1905.md</x:v>
      </x:c>
      <x:c r="K1910" t="str">
        <x:v>Source min 40,28 m ; max 300,200 m ; modèle 40 × 28 m ; niveaux 0. Détails dans catalogue-existant.json.</x:v>
      </x:c>
    </x:row>
    <x:row r="1911">
      <x:c r="A1911" t="str">
        <x:v>DW-1906</x:v>
      </x:c>
      <x:c r="B1911" t="str">
        <x:v>DW-0453</x:v>
      </x:c>
      <x:c r="C1911" t="str">
        <x:v>Composition héritée</x:v>
      </x:c>
      <x:c r="D1911" t="str">
        <x:v>Loisirs et culture</x:v>
      </x:c>
      <x:c r="E1911" t="str">
        <x:v>Fête foraine démontée — Plage et dune / repli organisé interrompu</x:v>
      </x:c>
      <x:c r="F1911" t="n">
        <x:v>10</x:v>
      </x:c>
      <x:c r="G1911" t="n">
        <x:v>4</x:v>
      </x:c>
      <x:c r="H1911" t="n">
        <x:v>12</x:v>
      </x:c>
      <x:c r="I1911" t="str">
        <x:v>À qualifier par lieu</x:v>
      </x:c>
      <x:c r="J1911" t="str">
        <x:v>https://github.com/darknigthmare/deadwall-last-enclosure/blob/e28f46223e73105ab2c5d83f3d50b99b58ef53e6/codex-3000/compositions/Loisirs et culture/DW-1906.md</x:v>
      </x:c>
      <x:c r="K1911" t="str">
        <x:v>Source min 40,28 m ; max 300,200 m ; modèle 40 × 28 m ; niveaux 0. Détails dans catalogue-existant.json.</x:v>
      </x:c>
    </x:row>
    <x:row r="1912">
      <x:c r="A1912" t="str">
        <x:v>DW-1907</x:v>
      </x:c>
      <x:c r="B1912" t="str">
        <x:v>DW-0454</x:v>
      </x:c>
      <x:c r="C1912" t="str">
        <x:v>Composition héritée</x:v>
      </x:c>
      <x:c r="D1912" t="str">
        <x:v>Loisirs et culture</x:v>
      </x:c>
      <x:c r="E1912" t="str">
        <x:v>Campement de clairière — Lac et base de loisirs / relais temporaire envisagé</x:v>
      </x:c>
      <x:c r="F1912" t="n">
        <x:v>10</x:v>
      </x:c>
      <x:c r="G1912" t="n">
        <x:v>4</x:v>
      </x:c>
      <x:c r="H1912" t="n">
        <x:v>12</x:v>
      </x:c>
      <x:c r="I1912" t="str">
        <x:v>À qualifier par lieu</x:v>
      </x:c>
      <x:c r="J1912" t="str">
        <x:v>https://github.com/darknigthmare/deadwall-last-enclosure/blob/e28f46223e73105ab2c5d83f3d50b99b58ef53e6/codex-3000/compositions/Loisirs et culture/DW-1907.md</x:v>
      </x:c>
      <x:c r="K1912" t="str">
        <x:v>Source min 40,28 m ; max 300,200 m ; modèle 40 × 28 m ; niveaux 0. Détails dans catalogue-existant.json.</x:v>
      </x:c>
    </x:row>
    <x:row r="1913">
      <x:c r="A1913" t="str">
        <x:v>DW-1908</x:v>
      </x:c>
      <x:c r="B1913" t="str">
        <x:v>DW-0454</x:v>
      </x:c>
      <x:c r="C1913" t="str">
        <x:v>Composition héritée</x:v>
      </x:c>
      <x:c r="D1913" t="str">
        <x:v>Loisirs et culture</x:v>
      </x:c>
      <x:c r="E1913" t="str">
        <x:v>Campement de clairière — Ville moyenne / évacuation interrompue</x:v>
      </x:c>
      <x:c r="F1913" t="n">
        <x:v>8</x:v>
      </x:c>
      <x:c r="G1913" t="n">
        <x:v>4</x:v>
      </x:c>
      <x:c r="H1913" t="n">
        <x:v>12</x:v>
      </x:c>
      <x:c r="I1913" t="str">
        <x:v>À qualifier par lieu</x:v>
      </x:c>
      <x:c r="J1913" t="str">
        <x:v>https://github.com/darknigthmare/deadwall-last-enclosure/blob/e28f46223e73105ab2c5d83f3d50b99b58ef53e6/codex-3000/compositions/Loisirs et culture/DW-1908.md</x:v>
      </x:c>
      <x:c r="K1913" t="str">
        <x:v>Source min 40,28 m ; max 300,200 m ; modèle 40 × 28 m ; niveaux 0. Détails dans catalogue-existant.json.</x:v>
      </x:c>
    </x:row>
    <x:row r="1914">
      <x:c r="A1914" t="str">
        <x:v>DW-1909</x:v>
      </x:c>
      <x:c r="B1914" t="str">
        <x:v>DW-0455</x:v>
      </x:c>
      <x:c r="C1914" t="str">
        <x:v>Composition héritée</x:v>
      </x:c>
      <x:c r="D1914" t="str">
        <x:v>Loisirs et culture</x:v>
      </x:c>
      <x:c r="E1914" t="str">
        <x:v>Base de scoutisme — Plage et dune / réseau principal coupé</x:v>
      </x:c>
      <x:c r="F1914" t="n">
        <x:v>10</x:v>
      </x:c>
      <x:c r="G1914" t="n">
        <x:v>4</x:v>
      </x:c>
      <x:c r="H1914" t="n">
        <x:v>12</x:v>
      </x:c>
      <x:c r="I1914" t="str">
        <x:v>À qualifier par lieu</x:v>
      </x:c>
      <x:c r="J1914" t="str">
        <x:v>https://github.com/darknigthmare/deadwall-last-enclosure/blob/e28f46223e73105ab2c5d83f3d50b99b58ef53e6/codex-3000/compositions/Loisirs et culture/DW-1909.md</x:v>
      </x:c>
      <x:c r="K1914" t="str">
        <x:v>Source min 40,28 m ; max 300,200 m ; modèle 40 × 28 m ; niveaux 0. Détails dans catalogue-existant.json.</x:v>
      </x:c>
    </x:row>
    <x:row r="1915">
      <x:c r="A1915" t="str">
        <x:v>DW-1910</x:v>
      </x:c>
      <x:c r="B1915" t="str">
        <x:v>DW-0455</x:v>
      </x:c>
      <x:c r="C1915" t="str">
        <x:v>Composition héritée</x:v>
      </x:c>
      <x:c r="D1915" t="str">
        <x:v>Loisirs et culture</x:v>
      </x:c>
      <x:c r="E1915" t="str">
        <x:v>Base de scoutisme — Zone de loisirs / arrêt de maintenance</x:v>
      </x:c>
      <x:c r="F1915" t="n">
        <x:v>8</x:v>
      </x:c>
      <x:c r="G1915" t="n">
        <x:v>4</x:v>
      </x:c>
      <x:c r="H1915" t="n">
        <x:v>12</x:v>
      </x:c>
      <x:c r="I1915" t="str">
        <x:v>À qualifier par lieu</x:v>
      </x:c>
      <x:c r="J1915" t="str">
        <x:v>https://github.com/darknigthmare/deadwall-last-enclosure/blob/e28f46223e73105ab2c5d83f3d50b99b58ef53e6/codex-3000/compositions/Loisirs et culture/DW-1910.md</x:v>
      </x:c>
      <x:c r="K1915" t="str">
        <x:v>Source min 40,28 m ; max 300,200 m ; modèle 40 × 28 m ; niveaux 0. Détails dans catalogue-existant.json.</x:v>
      </x:c>
    </x:row>
    <x:row r="1916">
      <x:c r="A1916" t="str">
        <x:v>DW-1911</x:v>
      </x:c>
      <x:c r="B1916" t="str">
        <x:v>DW-0456</x:v>
      </x:c>
      <x:c r="C1916" t="str">
        <x:v>Composition héritée</x:v>
      </x:c>
      <x:c r="D1916" t="str">
        <x:v>Loisirs et culture</x:v>
      </x:c>
      <x:c r="E1916" t="str">
        <x:v>Club de tennis — Ville moyenne / repli organisé interrompu</x:v>
      </x:c>
      <x:c r="F1916" t="n">
        <x:v>8</x:v>
      </x:c>
      <x:c r="G1916" t="n">
        <x:v>4</x:v>
      </x:c>
      <x:c r="H1916" t="n">
        <x:v>12</x:v>
      </x:c>
      <x:c r="I1916" t="str">
        <x:v>À qualifier par lieu</x:v>
      </x:c>
      <x:c r="J1916" t="str">
        <x:v>https://github.com/darknigthmare/deadwall-last-enclosure/blob/e28f46223e73105ab2c5d83f3d50b99b58ef53e6/codex-3000/compositions/Loisirs et culture/DW-1911.md</x:v>
      </x:c>
      <x:c r="K1916" t="str">
        <x:v>Source min 40,28 m ; max 300,200 m ; modèle 40 × 28 m ; niveaux 0. Détails dans catalogue-existant.json.</x:v>
      </x:c>
    </x:row>
    <x:row r="1917">
      <x:c r="A1917" t="str">
        <x:v>DW-1912</x:v>
      </x:c>
      <x:c r="B1917" t="str">
        <x:v>DW-0456</x:v>
      </x:c>
      <x:c r="C1917" t="str">
        <x:v>Composition héritée</x:v>
      </x:c>
      <x:c r="D1917" t="str">
        <x:v>Loisirs et culture</x:v>
      </x:c>
      <x:c r="E1917" t="str">
        <x:v>Club de tennis — Lac et base de loisirs / première récupération passée</x:v>
      </x:c>
      <x:c r="F1917" t="n">
        <x:v>10</x:v>
      </x:c>
      <x:c r="G1917" t="n">
        <x:v>4</x:v>
      </x:c>
      <x:c r="H1917" t="n">
        <x:v>12</x:v>
      </x:c>
      <x:c r="I1917" t="str">
        <x:v>À qualifier par lieu</x:v>
      </x:c>
      <x:c r="J1917" t="str">
        <x:v>https://github.com/darknigthmare/deadwall-last-enclosure/blob/e28f46223e73105ab2c5d83f3d50b99b58ef53e6/codex-3000/compositions/Loisirs et culture/DW-1912.md</x:v>
      </x:c>
      <x:c r="K1917" t="str">
        <x:v>Source min 40,28 m ; max 300,200 m ; modèle 40 × 28 m ; niveaux 0. Détails dans catalogue-existant.json.</x:v>
      </x:c>
    </x:row>
    <x:row r="1918">
      <x:c r="A1918" t="str">
        <x:v>DW-1913</x:v>
      </x:c>
      <x:c r="B1918" t="str">
        <x:v>DW-0457</x:v>
      </x:c>
      <x:c r="C1918" t="str">
        <x:v>Composition héritée</x:v>
      </x:c>
      <x:c r="D1918" t="str">
        <x:v>Loisirs et culture</x:v>
      </x:c>
      <x:c r="E1918" t="str">
        <x:v>Bowling — Zone de loisirs / évacuation interrompue</x:v>
      </x:c>
      <x:c r="F1918" t="n">
        <x:v>8</x:v>
      </x:c>
      <x:c r="G1918" t="n">
        <x:v>4</x:v>
      </x:c>
      <x:c r="H1918" t="n">
        <x:v>12</x:v>
      </x:c>
      <x:c r="I1918" t="str">
        <x:v>À qualifier par lieu</x:v>
      </x:c>
      <x:c r="J1918" t="str">
        <x:v>https://github.com/darknigthmare/deadwall-last-enclosure/blob/e28f46223e73105ab2c5d83f3d50b99b58ef53e6/codex-3000/compositions/Loisirs et culture/DW-1913.md</x:v>
      </x:c>
      <x:c r="K1918" t="str">
        <x:v>Source min 40,28 m ; max 300,200 m ; modèle 40 × 28 m ; niveaux 0. Détails dans catalogue-existant.json.</x:v>
      </x:c>
    </x:row>
    <x:row r="1919">
      <x:c r="A1919" t="str">
        <x:v>DW-1914</x:v>
      </x:c>
      <x:c r="B1919" t="str">
        <x:v>DW-0457</x:v>
      </x:c>
      <x:c r="C1919" t="str">
        <x:v>Composition héritée</x:v>
      </x:c>
      <x:c r="D1919" t="str">
        <x:v>Loisirs et culture</x:v>
      </x:c>
      <x:c r="E1919" t="str">
        <x:v>Bowling — Plage et dune / service déplacé à l’arrière</x:v>
      </x:c>
      <x:c r="F1919" t="n">
        <x:v>10</x:v>
      </x:c>
      <x:c r="G1919" t="n">
        <x:v>4</x:v>
      </x:c>
      <x:c r="H1919" t="n">
        <x:v>12</x:v>
      </x:c>
      <x:c r="I1919" t="str">
        <x:v>À qualifier par lieu</x:v>
      </x:c>
      <x:c r="J1919" t="str">
        <x:v>https://github.com/darknigthmare/deadwall-last-enclosure/blob/e28f46223e73105ab2c5d83f3d50b99b58ef53e6/codex-3000/compositions/Loisirs et culture/DW-1914.md</x:v>
      </x:c>
      <x:c r="K1919" t="str">
        <x:v>Source min 40,28 m ; max 300,200 m ; modèle 40 × 28 m ; niveaux 0. Détails dans catalogue-existant.json.</x:v>
      </x:c>
    </x:row>
    <x:row r="1920">
      <x:c r="A1920" t="str">
        <x:v>DW-1915</x:v>
      </x:c>
      <x:c r="B1920" t="str">
        <x:v>DW-0458</x:v>
      </x:c>
      <x:c r="C1920" t="str">
        <x:v>Composition héritée</x:v>
      </x:c>
      <x:c r="D1920" t="str">
        <x:v>Loisirs et culture</x:v>
      </x:c>
      <x:c r="E1920" t="str">
        <x:v>Salle d'arcade — Lac et base de loisirs / arrêt de maintenance</x:v>
      </x:c>
      <x:c r="F1920" t="n">
        <x:v>10</x:v>
      </x:c>
      <x:c r="G1920" t="n">
        <x:v>4</x:v>
      </x:c>
      <x:c r="H1920" t="n">
        <x:v>12</x:v>
      </x:c>
      <x:c r="I1920" t="str">
        <x:v>À qualifier par lieu</x:v>
      </x:c>
      <x:c r="J1920" t="str">
        <x:v>https://github.com/darknigthmare/deadwall-last-enclosure/blob/e28f46223e73105ab2c5d83f3d50b99b58ef53e6/codex-3000/compositions/Loisirs et culture/DW-1915.md</x:v>
      </x:c>
      <x:c r="K1920" t="str">
        <x:v>Source min 40,28 m ; max 300,200 m ; modèle 40 × 28 m ; niveaux 0. Détails dans catalogue-existant.json.</x:v>
      </x:c>
    </x:row>
    <x:row r="1921">
      <x:c r="A1921" t="str">
        <x:v>DW-1916</x:v>
      </x:c>
      <x:c r="B1921" t="str">
        <x:v>DW-0458</x:v>
      </x:c>
      <x:c r="C1921" t="str">
        <x:v>Composition héritée</x:v>
      </x:c>
      <x:c r="D1921" t="str">
        <x:v>Loisirs et culture</x:v>
      </x:c>
      <x:c r="E1921" t="str">
        <x:v>Salle d'arcade — Ville moyenne / reprise progressive de la végétation</x:v>
      </x:c>
      <x:c r="F1921" t="n">
        <x:v>8</x:v>
      </x:c>
      <x:c r="G1921" t="n">
        <x:v>4</x:v>
      </x:c>
      <x:c r="H1921" t="n">
        <x:v>12</x:v>
      </x:c>
      <x:c r="I1921" t="str">
        <x:v>À qualifier par lieu</x:v>
      </x:c>
      <x:c r="J1921" t="str">
        <x:v>https://github.com/darknigthmare/deadwall-last-enclosure/blob/e28f46223e73105ab2c5d83f3d50b99b58ef53e6/codex-3000/compositions/Loisirs et culture/DW-1916.md</x:v>
      </x:c>
      <x:c r="K1921" t="str">
        <x:v>Source min 40,28 m ; max 300,200 m ; modèle 40 × 28 m ; niveaux 0. Détails dans catalogue-existant.json.</x:v>
      </x:c>
    </x:row>
    <x:row r="1922">
      <x:c r="A1922" t="str">
        <x:v>DW-1917</x:v>
      </x:c>
      <x:c r="B1922" t="str">
        <x:v>DW-0459</x:v>
      </x:c>
      <x:c r="C1922" t="str">
        <x:v>Composition héritée</x:v>
      </x:c>
      <x:c r="D1922" t="str">
        <x:v>Loisirs et culture</x:v>
      </x:c>
      <x:c r="E1922" t="str">
        <x:v>Jardin botanique — Plage et dune / première récupération passée</x:v>
      </x:c>
      <x:c r="F1922" t="n">
        <x:v>10</x:v>
      </x:c>
      <x:c r="G1922" t="n">
        <x:v>4</x:v>
      </x:c>
      <x:c r="H1922" t="n">
        <x:v>12</x:v>
      </x:c>
      <x:c r="I1922" t="str">
        <x:v>À qualifier par lieu</x:v>
      </x:c>
      <x:c r="J1922" t="str">
        <x:v>https://github.com/darknigthmare/deadwall-last-enclosure/blob/e28f46223e73105ab2c5d83f3d50b99b58ef53e6/codex-3000/compositions/Loisirs et culture/DW-1917.md</x:v>
      </x:c>
      <x:c r="K1922" t="str">
        <x:v>Source min 40,28 m ; max 300,200 m ; modèle 40 × 28 m ; niveaux 0. Détails dans catalogue-existant.json.</x:v>
      </x:c>
    </x:row>
    <x:row r="1923">
      <x:c r="A1923" t="str">
        <x:v>DW-1918</x:v>
      </x:c>
      <x:c r="B1923" t="str">
        <x:v>DW-0459</x:v>
      </x:c>
      <x:c r="C1923" t="str">
        <x:v>Composition héritée</x:v>
      </x:c>
      <x:c r="D1923" t="str">
        <x:v>Loisirs et culture</x:v>
      </x:c>
      <x:c r="E1923" t="str">
        <x:v>Jardin botanique — Zone de loisirs / relais temporaire envisagé</x:v>
      </x:c>
      <x:c r="F1923" t="n">
        <x:v>8</x:v>
      </x:c>
      <x:c r="G1923" t="n">
        <x:v>4</x:v>
      </x:c>
      <x:c r="H1923" t="n">
        <x:v>12</x:v>
      </x:c>
      <x:c r="I1923" t="str">
        <x:v>À qualifier par lieu</x:v>
      </x:c>
      <x:c r="J1923" t="str">
        <x:v>https://github.com/darknigthmare/deadwall-last-enclosure/blob/e28f46223e73105ab2c5d83f3d50b99b58ef53e6/codex-3000/compositions/Loisirs et culture/DW-1918.md</x:v>
      </x:c>
      <x:c r="K1923" t="str">
        <x:v>Source min 40,28 m ; max 300,200 m ; modèle 40 × 28 m ; niveaux 0. Détails dans catalogue-existant.json.</x:v>
      </x:c>
    </x:row>
    <x:row r="1924">
      <x:c r="A1924" t="str">
        <x:v>DW-1919</x:v>
      </x:c>
      <x:c r="B1924" t="str">
        <x:v>DW-0460</x:v>
      </x:c>
      <x:c r="C1924" t="str">
        <x:v>Composition héritée</x:v>
      </x:c>
      <x:c r="D1924" t="str">
        <x:v>Loisirs et culture</x:v>
      </x:c>
      <x:c r="E1924" t="str">
        <x:v>Cimetière paysager — Ville moyenne / service déplacé à l’arrière</x:v>
      </x:c>
      <x:c r="F1924" t="n">
        <x:v>8</x:v>
      </x:c>
      <x:c r="G1924" t="n">
        <x:v>4</x:v>
      </x:c>
      <x:c r="H1924" t="n">
        <x:v>10</x:v>
      </x:c>
      <x:c r="I1924" t="str">
        <x:v>À qualifier par lieu</x:v>
      </x:c>
      <x:c r="J1924" t="str">
        <x:v>https://github.com/darknigthmare/deadwall-last-enclosure/blob/e28f46223e73105ab2c5d83f3d50b99b58ef53e6/codex-3000/compositions/Loisirs et culture/DW-1919.md</x:v>
      </x:c>
      <x:c r="K1924" t="str">
        <x:v>Source min 40,28 m ; max 300,200 m ; modèle 40 × 28 m ; niveaux 0. Détails dans catalogue-existant.json.</x:v>
      </x:c>
    </x:row>
    <x:row r="1925">
      <x:c r="A1925" t="str">
        <x:v>DW-1920</x:v>
      </x:c>
      <x:c r="B1925" t="str">
        <x:v>DW-0460</x:v>
      </x:c>
      <x:c r="C1925" t="str">
        <x:v>Composition héritée</x:v>
      </x:c>
      <x:c r="D1925" t="str">
        <x:v>Loisirs et culture</x:v>
      </x:c>
      <x:c r="E1925" t="str">
        <x:v>Cimetière paysager — Lac et base de loisirs / réseau principal coupé</x:v>
      </x:c>
      <x:c r="F1925" t="n">
        <x:v>10</x:v>
      </x:c>
      <x:c r="G1925" t="n">
        <x:v>4</x:v>
      </x:c>
      <x:c r="H1925" t="n">
        <x:v>10</x:v>
      </x:c>
      <x:c r="I1925" t="str">
        <x:v>À qualifier par lieu</x:v>
      </x:c>
      <x:c r="J1925" t="str">
        <x:v>https://github.com/darknigthmare/deadwall-last-enclosure/blob/e28f46223e73105ab2c5d83f3d50b99b58ef53e6/codex-3000/compositions/Loisirs et culture/DW-1920.md</x:v>
      </x:c>
      <x:c r="K1925" t="str">
        <x:v>Source min 40,28 m ; max 300,200 m ; modèle 40 × 28 m ; niveaux 0. Détails dans catalogue-existant.json.</x:v>
      </x:c>
    </x:row>
    <x:row r="1926">
      <x:c r="A1926" t="str">
        <x:v>DW-1921</x:v>
      </x:c>
      <x:c r="B1926" t="str">
        <x:v>DW-0461</x:v>
      </x:c>
      <x:c r="C1926" t="str">
        <x:v>Composition héritée</x:v>
      </x:c>
      <x:c r="D1926" t="str">
        <x:v>Quartiers et agglomérations</x:v>
      </x:c>
      <x:c r="E1926" t="str">
        <x:v>Village-rue — Hameau / reprise progressive de la végétation</x:v>
      </x:c>
      <x:c r="F1926" t="n">
        <x:v>10</x:v>
      </x:c>
      <x:c r="G1926" t="n">
        <x:v>5</x:v>
      </x:c>
      <x:c r="H1926" t="n">
        <x:v>15</x:v>
      </x:c>
      <x:c r="I1926" t="str">
        <x:v>À qualifier par lieu</x:v>
      </x:c>
      <x:c r="J1926" t="str">
        <x:v>https://github.com/darknigthmare/deadwall-last-enclosure/blob/e28f46223e73105ab2c5d83f3d50b99b58ef53e6/codex-3000/compositions/Quartiers et agglomérations/DW-1921.md</x:v>
      </x:c>
      <x:c r="K1926" t="str">
        <x:v>Source min 250,200 m ; max 1200,900 m ; modèle 250 × 200 m ; niveaux 0. Détails dans catalogue-existant.json.</x:v>
      </x:c>
    </x:row>
    <x:row r="1927">
      <x:c r="A1927" t="str">
        <x:v>DW-1922</x:v>
      </x:c>
      <x:c r="B1927" t="str">
        <x:v>DW-0461</x:v>
      </x:c>
      <x:c r="C1927" t="str">
        <x:v>Composition héritée</x:v>
      </x:c>
      <x:c r="D1927" t="str">
        <x:v>Quartiers et agglomérations</x:v>
      </x:c>
      <x:c r="E1927" t="str">
        <x:v>Village-rue — Ville moyenne / repli organisé interrompu</x:v>
      </x:c>
      <x:c r="F1927" t="n">
        <x:v>10</x:v>
      </x:c>
      <x:c r="G1927" t="n">
        <x:v>5</x:v>
      </x:c>
      <x:c r="H1927" t="n">
        <x:v>15</x:v>
      </x:c>
      <x:c r="I1927" t="str">
        <x:v>À qualifier par lieu</x:v>
      </x:c>
      <x:c r="J1927" t="str">
        <x:v>https://github.com/darknigthmare/deadwall-last-enclosure/blob/e28f46223e73105ab2c5d83f3d50b99b58ef53e6/codex-3000/compositions/Quartiers et agglomérations/DW-1922.md</x:v>
      </x:c>
      <x:c r="K1927" t="str">
        <x:v>Source min 250,200 m ; max 1200,900 m ; modèle 250 × 200 m ; niveaux 0. Détails dans catalogue-existant.json.</x:v>
      </x:c>
    </x:row>
    <x:row r="1928">
      <x:c r="A1928" t="str">
        <x:v>DW-1923</x:v>
      </x:c>
      <x:c r="B1928" t="str">
        <x:v>DW-0462</x:v>
      </x:c>
      <x:c r="C1928" t="str">
        <x:v>Composition héritée</x:v>
      </x:c>
      <x:c r="D1928" t="str">
        <x:v>Quartiers et agglomérations</x:v>
      </x:c>
      <x:c r="E1928" t="str">
        <x:v>Village autour d'une place — Village et bourg / relais temporaire envisagé</x:v>
      </x:c>
      <x:c r="F1928" t="n">
        <x:v>10</x:v>
      </x:c>
      <x:c r="G1928" t="n">
        <x:v>5</x:v>
      </x:c>
      <x:c r="H1928" t="n">
        <x:v>15</x:v>
      </x:c>
      <x:c r="I1928" t="str">
        <x:v>À qualifier par lieu</x:v>
      </x:c>
      <x:c r="J1928" t="str">
        <x:v>https://github.com/darknigthmare/deadwall-last-enclosure/blob/e28f46223e73105ab2c5d83f3d50b99b58ef53e6/codex-3000/compositions/Quartiers et agglomérations/DW-1923.md</x:v>
      </x:c>
      <x:c r="K1928" t="str">
        <x:v>Source min 250,200 m ; max 1200,900 m ; modèle 250 × 200 m ; niveaux 0. Détails dans catalogue-existant.json.</x:v>
      </x:c>
    </x:row>
    <x:row r="1929">
      <x:c r="A1929" t="str">
        <x:v>DW-1924</x:v>
      </x:c>
      <x:c r="B1929" t="str">
        <x:v>DW-0462</x:v>
      </x:c>
      <x:c r="C1929" t="str">
        <x:v>Composition héritée</x:v>
      </x:c>
      <x:c r="D1929" t="str">
        <x:v>Quartiers et agglomérations</x:v>
      </x:c>
      <x:c r="E1929" t="str">
        <x:v>Village autour d'une place — Grande ville et métropole / évacuation interrompue</x:v>
      </x:c>
      <x:c r="F1929" t="n">
        <x:v>10</x:v>
      </x:c>
      <x:c r="G1929" t="n">
        <x:v>5</x:v>
      </x:c>
      <x:c r="H1929" t="n">
        <x:v>15</x:v>
      </x:c>
      <x:c r="I1929" t="str">
        <x:v>À qualifier par lieu</x:v>
      </x:c>
      <x:c r="J1929" t="str">
        <x:v>https://github.com/darknigthmare/deadwall-last-enclosure/blob/e28f46223e73105ab2c5d83f3d50b99b58ef53e6/codex-3000/compositions/Quartiers et agglomérations/DW-1924.md</x:v>
      </x:c>
      <x:c r="K1929" t="str">
        <x:v>Source min 250,200 m ; max 1200,900 m ; modèle 250 × 200 m ; niveaux 0. Détails dans catalogue-existant.json.</x:v>
      </x:c>
    </x:row>
    <x:row r="1930">
      <x:c r="A1930" t="str">
        <x:v>DW-1925</x:v>
      </x:c>
      <x:c r="B1930" t="str">
        <x:v>DW-0463</x:v>
      </x:c>
      <x:c r="C1930" t="str">
        <x:v>Composition héritée</x:v>
      </x:c>
      <x:c r="D1930" t="str">
        <x:v>Quartiers et agglomérations</x:v>
      </x:c>
      <x:c r="E1930" t="str">
        <x:v>Village agricole dispersé — Ville moyenne / réseau principal coupé</x:v>
      </x:c>
      <x:c r="F1930" t="n">
        <x:v>10</x:v>
      </x:c>
      <x:c r="G1930" t="n">
        <x:v>4</x:v>
      </x:c>
      <x:c r="H1930" t="n">
        <x:v>12</x:v>
      </x:c>
      <x:c r="I1930" t="str">
        <x:v>À qualifier par lieu</x:v>
      </x:c>
      <x:c r="J1930" t="str">
        <x:v>https://github.com/darknigthmare/deadwall-last-enclosure/blob/e28f46223e73105ab2c5d83f3d50b99b58ef53e6/codex-3000/compositions/Quartiers et agglomérations/DW-1925.md</x:v>
      </x:c>
      <x:c r="K1930" t="str">
        <x:v>Source min 250,200 m ; max 1200,900 m ; modèle 250 × 200 m ; niveaux 0. Détails dans catalogue-existant.json.</x:v>
      </x:c>
    </x:row>
    <x:row r="1931">
      <x:c r="A1931" t="str">
        <x:v>DW-1926</x:v>
      </x:c>
      <x:c r="B1931" t="str">
        <x:v>DW-0463</x:v>
      </x:c>
      <x:c r="C1931" t="str">
        <x:v>Composition héritée</x:v>
      </x:c>
      <x:c r="D1931" t="str">
        <x:v>Quartiers et agglomérations</x:v>
      </x:c>
      <x:c r="E1931" t="str">
        <x:v>Village agricole dispersé — Hameau / arrêt de maintenance</x:v>
      </x:c>
      <x:c r="F1931" t="n">
        <x:v>10</x:v>
      </x:c>
      <x:c r="G1931" t="n">
        <x:v>4</x:v>
      </x:c>
      <x:c r="H1931" t="n">
        <x:v>12</x:v>
      </x:c>
      <x:c r="I1931" t="str">
        <x:v>À qualifier par lieu</x:v>
      </x:c>
      <x:c r="J1931" t="str">
        <x:v>https://github.com/darknigthmare/deadwall-last-enclosure/blob/e28f46223e73105ab2c5d83f3d50b99b58ef53e6/codex-3000/compositions/Quartiers et agglomérations/DW-1926.md</x:v>
      </x:c>
      <x:c r="K1931" t="str">
        <x:v>Source min 250,200 m ; max 1200,900 m ; modèle 250 × 200 m ; niveaux 0. Détails dans catalogue-existant.json.</x:v>
      </x:c>
    </x:row>
    <x:row r="1932">
      <x:c r="A1932" t="str">
        <x:v>DW-1927</x:v>
      </x:c>
      <x:c r="B1932" t="str">
        <x:v>DW-0464</x:v>
      </x:c>
      <x:c r="C1932" t="str">
        <x:v>Composition héritée</x:v>
      </x:c>
      <x:c r="D1932" t="str">
        <x:v>Quartiers et agglomérations</x:v>
      </x:c>
      <x:c r="E1932" t="str">
        <x:v>Village perché — Grande ville et métropole / repli organisé interrompu</x:v>
      </x:c>
      <x:c r="F1932" t="n">
        <x:v>10</x:v>
      </x:c>
      <x:c r="G1932" t="n">
        <x:v>4</x:v>
      </x:c>
      <x:c r="H1932" t="n">
        <x:v>10</x:v>
      </x:c>
      <x:c r="I1932" t="str">
        <x:v>À qualifier par lieu</x:v>
      </x:c>
      <x:c r="J1932" t="str">
        <x:v>https://github.com/darknigthmare/deadwall-last-enclosure/blob/e28f46223e73105ab2c5d83f3d50b99b58ef53e6/codex-3000/compositions/Quartiers et agglomérations/DW-1927.md</x:v>
      </x:c>
      <x:c r="K1932" t="str">
        <x:v>Source min 250,200 m ; max 1200,900 m ; modèle 250 × 200 m ; niveaux 0. Détails dans catalogue-existant.json.</x:v>
      </x:c>
    </x:row>
    <x:row r="1933">
      <x:c r="A1933" t="str">
        <x:v>DW-1928</x:v>
      </x:c>
      <x:c r="B1933" t="str">
        <x:v>DW-0464</x:v>
      </x:c>
      <x:c r="C1933" t="str">
        <x:v>Composition héritée</x:v>
      </x:c>
      <x:c r="D1933" t="str">
        <x:v>Quartiers et agglomérations</x:v>
      </x:c>
      <x:c r="E1933" t="str">
        <x:v>Village perché — Village et bourg / première récupération passée</x:v>
      </x:c>
      <x:c r="F1933" t="n">
        <x:v>10</x:v>
      </x:c>
      <x:c r="G1933" t="n">
        <x:v>4</x:v>
      </x:c>
      <x:c r="H1933" t="n">
        <x:v>10</x:v>
      </x:c>
      <x:c r="I1933" t="str">
        <x:v>À qualifier par lieu</x:v>
      </x:c>
      <x:c r="J1933" t="str">
        <x:v>https://github.com/darknigthmare/deadwall-last-enclosure/blob/e28f46223e73105ab2c5d83f3d50b99b58ef53e6/codex-3000/compositions/Quartiers et agglomérations/DW-1928.md</x:v>
      </x:c>
      <x:c r="K1933" t="str">
        <x:v>Source min 250,200 m ; max 1200,900 m ; modèle 250 × 200 m ; niveaux 0. Détails dans catalogue-existant.json.</x:v>
      </x:c>
    </x:row>
    <x:row r="1934">
      <x:c r="A1934" t="str">
        <x:v>DW-1929</x:v>
      </x:c>
      <x:c r="B1934" t="str">
        <x:v>DW-0465</x:v>
      </x:c>
      <x:c r="C1934" t="str">
        <x:v>Composition héritée</x:v>
      </x:c>
      <x:c r="D1934" t="str">
        <x:v>Quartiers et agglomérations</x:v>
      </x:c>
      <x:c r="E1934" t="str">
        <x:v>Village forestier — Hameau / évacuation interrompue</x:v>
      </x:c>
      <x:c r="F1934" t="n">
        <x:v>10</x:v>
      </x:c>
      <x:c r="G1934" t="n">
        <x:v>4</x:v>
      </x:c>
      <x:c r="H1934" t="n">
        <x:v>12</x:v>
      </x:c>
      <x:c r="I1934" t="str">
        <x:v>À qualifier par lieu</x:v>
      </x:c>
      <x:c r="J1934" t="str">
        <x:v>https://github.com/darknigthmare/deadwall-last-enclosure/blob/e28f46223e73105ab2c5d83f3d50b99b58ef53e6/codex-3000/compositions/Quartiers et agglomérations/DW-1929.md</x:v>
      </x:c>
      <x:c r="K1934" t="str">
        <x:v>Source min 250,200 m ; max 1200,900 m ; modèle 250 × 200 m ; niveaux 0. Détails dans catalogue-existant.json.</x:v>
      </x:c>
    </x:row>
    <x:row r="1935">
      <x:c r="A1935" t="str">
        <x:v>DW-1930</x:v>
      </x:c>
      <x:c r="B1935" t="str">
        <x:v>DW-0465</x:v>
      </x:c>
      <x:c r="C1935" t="str">
        <x:v>Composition héritée</x:v>
      </x:c>
      <x:c r="D1935" t="str">
        <x:v>Quartiers et agglomérations</x:v>
      </x:c>
      <x:c r="E1935" t="str">
        <x:v>Village forestier — Ville moyenne / service déplacé à l’arrière</x:v>
      </x:c>
      <x:c r="F1935" t="n">
        <x:v>10</x:v>
      </x:c>
      <x:c r="G1935" t="n">
        <x:v>4</x:v>
      </x:c>
      <x:c r="H1935" t="n">
        <x:v>12</x:v>
      </x:c>
      <x:c r="I1935" t="str">
        <x:v>À qualifier par lieu</x:v>
      </x:c>
      <x:c r="J1935" t="str">
        <x:v>https://github.com/darknigthmare/deadwall-last-enclosure/blob/e28f46223e73105ab2c5d83f3d50b99b58ef53e6/codex-3000/compositions/Quartiers et agglomérations/DW-1930.md</x:v>
      </x:c>
      <x:c r="K1935" t="str">
        <x:v>Source min 250,200 m ; max 1200,900 m ; modèle 250 × 200 m ; niveaux 0. Détails dans catalogue-existant.json.</x:v>
      </x:c>
    </x:row>
    <x:row r="1936">
      <x:c r="A1936" t="str">
        <x:v>DW-1931</x:v>
      </x:c>
      <x:c r="B1936" t="str">
        <x:v>DW-0466</x:v>
      </x:c>
      <x:c r="C1936" t="str">
        <x:v>Composition héritée</x:v>
      </x:c>
      <x:c r="D1936" t="str">
        <x:v>Quartiers et agglomérations</x:v>
      </x:c>
      <x:c r="E1936" t="str">
        <x:v>Village minier reconverti — Village et bourg / arrêt de maintenance</x:v>
      </x:c>
      <x:c r="F1936" t="n">
        <x:v>10</x:v>
      </x:c>
      <x:c r="G1936" t="n">
        <x:v>4</x:v>
      </x:c>
      <x:c r="H1936" t="n">
        <x:v>12</x:v>
      </x:c>
      <x:c r="I1936" t="str">
        <x:v>À qualifier par lieu</x:v>
      </x:c>
      <x:c r="J1936" t="str">
        <x:v>https://github.com/darknigthmare/deadwall-last-enclosure/blob/e28f46223e73105ab2c5d83f3d50b99b58ef53e6/codex-3000/compositions/Quartiers et agglomérations/DW-1931.md</x:v>
      </x:c>
      <x:c r="K1936" t="str">
        <x:v>Source min 250,200 m ; max 1200,900 m ; modèle 250 × 200 m ; niveaux 0. Détails dans catalogue-existant.json.</x:v>
      </x:c>
    </x:row>
    <x:row r="1937">
      <x:c r="A1937" t="str">
        <x:v>DW-1932</x:v>
      </x:c>
      <x:c r="B1937" t="str">
        <x:v>DW-0466</x:v>
      </x:c>
      <x:c r="C1937" t="str">
        <x:v>Composition héritée</x:v>
      </x:c>
      <x:c r="D1937" t="str">
        <x:v>Quartiers et agglomérations</x:v>
      </x:c>
      <x:c r="E1937" t="str">
        <x:v>Village minier reconverti — Grande ville et métropole / reprise progressive de la végétation</x:v>
      </x:c>
      <x:c r="F1937" t="n">
        <x:v>10</x:v>
      </x:c>
      <x:c r="G1937" t="n">
        <x:v>4</x:v>
      </x:c>
      <x:c r="H1937" t="n">
        <x:v>12</x:v>
      </x:c>
      <x:c r="I1937" t="str">
        <x:v>À qualifier par lieu</x:v>
      </x:c>
      <x:c r="J1937" t="str">
        <x:v>https://github.com/darknigthmare/deadwall-last-enclosure/blob/e28f46223e73105ab2c5d83f3d50b99b58ef53e6/codex-3000/compositions/Quartiers et agglomérations/DW-1932.md</x:v>
      </x:c>
      <x:c r="K1937" t="str">
        <x:v>Source min 250,200 m ; max 1200,900 m ; modèle 250 × 200 m ; niveaux 0. Détails dans catalogue-existant.json.</x:v>
      </x:c>
    </x:row>
    <x:row r="1938">
      <x:c r="A1938" t="str">
        <x:v>DW-1933</x:v>
      </x:c>
      <x:c r="B1938" t="str">
        <x:v>DW-0467</x:v>
      </x:c>
      <x:c r="C1938" t="str">
        <x:v>Composition héritée</x:v>
      </x:c>
      <x:c r="D1938" t="str">
        <x:v>Quartiers et agglomérations</x:v>
      </x:c>
      <x:c r="E1938" t="str">
        <x:v>Village côtier — Ville moyenne / première récupération passée</x:v>
      </x:c>
      <x:c r="F1938" t="n">
        <x:v>10</x:v>
      </x:c>
      <x:c r="G1938" t="n">
        <x:v>4</x:v>
      </x:c>
      <x:c r="H1938" t="n">
        <x:v>12</x:v>
      </x:c>
      <x:c r="I1938" t="str">
        <x:v>À qualifier par lieu</x:v>
      </x:c>
      <x:c r="J1938" t="str">
        <x:v>https://github.com/darknigthmare/deadwall-last-enclosure/blob/e28f46223e73105ab2c5d83f3d50b99b58ef53e6/codex-3000/compositions/Quartiers et agglomérations/DW-1933.md</x:v>
      </x:c>
      <x:c r="K1938" t="str">
        <x:v>Source min 250,200 m ; max 1200,900 m ; modèle 250 × 200 m ; niveaux 0. Détails dans catalogue-existant.json.</x:v>
      </x:c>
    </x:row>
    <x:row r="1939">
      <x:c r="A1939" t="str">
        <x:v>DW-1934</x:v>
      </x:c>
      <x:c r="B1939" t="str">
        <x:v>DW-0467</x:v>
      </x:c>
      <x:c r="C1939" t="str">
        <x:v>Composition héritée</x:v>
      </x:c>
      <x:c r="D1939" t="str">
        <x:v>Quartiers et agglomérations</x:v>
      </x:c>
      <x:c r="E1939" t="str">
        <x:v>Village côtier — Hameau / relais temporaire envisagé</x:v>
      </x:c>
      <x:c r="F1939" t="n">
        <x:v>10</x:v>
      </x:c>
      <x:c r="G1939" t="n">
        <x:v>4</x:v>
      </x:c>
      <x:c r="H1939" t="n">
        <x:v>12</x:v>
      </x:c>
      <x:c r="I1939" t="str">
        <x:v>À qualifier par lieu</x:v>
      </x:c>
      <x:c r="J1939" t="str">
        <x:v>https://github.com/darknigthmare/deadwall-last-enclosure/blob/e28f46223e73105ab2c5d83f3d50b99b58ef53e6/codex-3000/compositions/Quartiers et agglomérations/DW-1934.md</x:v>
      </x:c>
      <x:c r="K1939" t="str">
        <x:v>Source min 250,200 m ; max 1200,900 m ; modèle 250 × 200 m ; niveaux 0. Détails dans catalogue-existant.json.</x:v>
      </x:c>
    </x:row>
    <x:row r="1940">
      <x:c r="A1940" t="str">
        <x:v>DW-1935</x:v>
      </x:c>
      <x:c r="B1940" t="str">
        <x:v>DW-0468</x:v>
      </x:c>
      <x:c r="C1940" t="str">
        <x:v>Composition héritée</x:v>
      </x:c>
      <x:c r="D1940" t="str">
        <x:v>Quartiers et agglomérations</x:v>
      </x:c>
      <x:c r="E1940" t="str">
        <x:v>Bourg ferroviaire — Grande ville et métropole / service déplacé à l’arrière</x:v>
      </x:c>
      <x:c r="F1940" t="n">
        <x:v>10</x:v>
      </x:c>
      <x:c r="G1940" t="n">
        <x:v>4</x:v>
      </x:c>
      <x:c r="H1940" t="n">
        <x:v>12</x:v>
      </x:c>
      <x:c r="I1940" t="str">
        <x:v>À qualifier par lieu</x:v>
      </x:c>
      <x:c r="J1940" t="str">
        <x:v>https://github.com/darknigthmare/deadwall-last-enclosure/blob/e28f46223e73105ab2c5d83f3d50b99b58ef53e6/codex-3000/compositions/Quartiers et agglomérations/DW-1935.md</x:v>
      </x:c>
      <x:c r="K1940" t="str">
        <x:v>Source min 250,200 m ; max 1200,900 m ; modèle 250 × 200 m ; niveaux 0. Détails dans catalogue-existant.json.</x:v>
      </x:c>
    </x:row>
    <x:row r="1941">
      <x:c r="A1941" t="str">
        <x:v>DW-1936</x:v>
      </x:c>
      <x:c r="B1941" t="str">
        <x:v>DW-0468</x:v>
      </x:c>
      <x:c r="C1941" t="str">
        <x:v>Composition héritée</x:v>
      </x:c>
      <x:c r="D1941" t="str">
        <x:v>Quartiers et agglomérations</x:v>
      </x:c>
      <x:c r="E1941" t="str">
        <x:v>Bourg ferroviaire — Village et bourg / réseau principal coupé</x:v>
      </x:c>
      <x:c r="F1941" t="n">
        <x:v>10</x:v>
      </x:c>
      <x:c r="G1941" t="n">
        <x:v>4</x:v>
      </x:c>
      <x:c r="H1941" t="n">
        <x:v>12</x:v>
      </x:c>
      <x:c r="I1941" t="str">
        <x:v>À qualifier par lieu</x:v>
      </x:c>
      <x:c r="J1941" t="str">
        <x:v>https://github.com/darknigthmare/deadwall-last-enclosure/blob/e28f46223e73105ab2c5d83f3d50b99b58ef53e6/codex-3000/compositions/Quartiers et agglomérations/DW-1936.md</x:v>
      </x:c>
      <x:c r="K1941" t="str">
        <x:v>Source min 250,200 m ; max 1200,900 m ; modèle 250 × 200 m ; niveaux 0. Détails dans catalogue-existant.json.</x:v>
      </x:c>
    </x:row>
    <x:row r="1942">
      <x:c r="A1942" t="str">
        <x:v>DW-1937</x:v>
      </x:c>
      <x:c r="B1942" t="str">
        <x:v>DW-0469</x:v>
      </x:c>
      <x:c r="C1942" t="str">
        <x:v>Composition héritée</x:v>
      </x:c>
      <x:c r="D1942" t="str">
        <x:v>Quartiers et agglomérations</x:v>
      </x:c>
      <x:c r="E1942" t="str">
        <x:v>Bourg de carrefour — Hameau / reprise progressive de la végétation</x:v>
      </x:c>
      <x:c r="F1942" t="n">
        <x:v>10</x:v>
      </x:c>
      <x:c r="G1942" t="n">
        <x:v>4</x:v>
      </x:c>
      <x:c r="H1942" t="n">
        <x:v>12</x:v>
      </x:c>
      <x:c r="I1942" t="str">
        <x:v>À qualifier par lieu</x:v>
      </x:c>
      <x:c r="J1942" t="str">
        <x:v>https://github.com/darknigthmare/deadwall-last-enclosure/blob/e28f46223e73105ab2c5d83f3d50b99b58ef53e6/codex-3000/compositions/Quartiers et agglomérations/DW-1937.md</x:v>
      </x:c>
      <x:c r="K1942" t="str">
        <x:v>Source min 250,200 m ; max 1200,900 m ; modèle 250 × 200 m ; niveaux 0. Détails dans catalogue-existant.json.</x:v>
      </x:c>
    </x:row>
    <x:row r="1943">
      <x:c r="A1943" t="str">
        <x:v>DW-1938</x:v>
      </x:c>
      <x:c r="B1943" t="str">
        <x:v>DW-0469</x:v>
      </x:c>
      <x:c r="C1943" t="str">
        <x:v>Composition héritée</x:v>
      </x:c>
      <x:c r="D1943" t="str">
        <x:v>Quartiers et agglomérations</x:v>
      </x:c>
      <x:c r="E1943" t="str">
        <x:v>Bourg de carrefour — Ville moyenne / repli organisé interrompu</x:v>
      </x:c>
      <x:c r="F1943" t="n">
        <x:v>10</x:v>
      </x:c>
      <x:c r="G1943" t="n">
        <x:v>4</x:v>
      </x:c>
      <x:c r="H1943" t="n">
        <x:v>12</x:v>
      </x:c>
      <x:c r="I1943" t="str">
        <x:v>À qualifier par lieu</x:v>
      </x:c>
      <x:c r="J1943" t="str">
        <x:v>https://github.com/darknigthmare/deadwall-last-enclosure/blob/e28f46223e73105ab2c5d83f3d50b99b58ef53e6/codex-3000/compositions/Quartiers et agglomérations/DW-1938.md</x:v>
      </x:c>
      <x:c r="K1943" t="str">
        <x:v>Source min 250,200 m ; max 1200,900 m ; modèle 250 × 200 m ; niveaux 0. Détails dans catalogue-existant.json.</x:v>
      </x:c>
    </x:row>
    <x:row r="1944">
      <x:c r="A1944" t="str">
        <x:v>DW-1939</x:v>
      </x:c>
      <x:c r="B1944" t="str">
        <x:v>DW-0470</x:v>
      </x:c>
      <x:c r="C1944" t="str">
        <x:v>Composition héritée</x:v>
      </x:c>
      <x:c r="D1944" t="str">
        <x:v>Quartiers et agglomérations</x:v>
      </x:c>
      <x:c r="E1944" t="str">
        <x:v>Hameau de montagne — Village et bourg / relais temporaire envisagé</x:v>
      </x:c>
      <x:c r="F1944" t="n">
        <x:v>10</x:v>
      </x:c>
      <x:c r="G1944" t="n">
        <x:v>4</x:v>
      </x:c>
      <x:c r="H1944" t="n">
        <x:v>12</x:v>
      </x:c>
      <x:c r="I1944" t="str">
        <x:v>À qualifier par lieu</x:v>
      </x:c>
      <x:c r="J1944" t="str">
        <x:v>https://github.com/darknigthmare/deadwall-last-enclosure/blob/e28f46223e73105ab2c5d83f3d50b99b58ef53e6/codex-3000/compositions/Quartiers et agglomérations/DW-1939.md</x:v>
      </x:c>
      <x:c r="K1944" t="str">
        <x:v>Source min 250,200 m ; max 1200,900 m ; modèle 250 × 200 m ; niveaux 0. Détails dans catalogue-existant.json.</x:v>
      </x:c>
    </x:row>
    <x:row r="1945">
      <x:c r="A1945" t="str">
        <x:v>DW-1940</x:v>
      </x:c>
      <x:c r="B1945" t="str">
        <x:v>DW-0470</x:v>
      </x:c>
      <x:c r="C1945" t="str">
        <x:v>Composition héritée</x:v>
      </x:c>
      <x:c r="D1945" t="str">
        <x:v>Quartiers et agglomérations</x:v>
      </x:c>
      <x:c r="E1945" t="str">
        <x:v>Hameau de montagne — Grande ville et métropole / évacuation interrompue</x:v>
      </x:c>
      <x:c r="F1945" t="n">
        <x:v>10</x:v>
      </x:c>
      <x:c r="G1945" t="n">
        <x:v>4</x:v>
      </x:c>
      <x:c r="H1945" t="n">
        <x:v>12</x:v>
      </x:c>
      <x:c r="I1945" t="str">
        <x:v>À qualifier par lieu</x:v>
      </x:c>
      <x:c r="J1945" t="str">
        <x:v>https://github.com/darknigthmare/deadwall-last-enclosure/blob/e28f46223e73105ab2c5d83f3d50b99b58ef53e6/codex-3000/compositions/Quartiers et agglomérations/DW-1940.md</x:v>
      </x:c>
      <x:c r="K1945" t="str">
        <x:v>Source min 250,200 m ; max 1200,900 m ; modèle 250 × 200 m ; niveaux 0. Détails dans catalogue-existant.json.</x:v>
      </x:c>
    </x:row>
    <x:row r="1946">
      <x:c r="A1946" t="str">
        <x:v>DW-1941</x:v>
      </x:c>
      <x:c r="B1946" t="str">
        <x:v>DW-0471</x:v>
      </x:c>
      <x:c r="C1946" t="str">
        <x:v>Composition héritée</x:v>
      </x:c>
      <x:c r="D1946" t="str">
        <x:v>Quartiers et agglomérations</x:v>
      </x:c>
      <x:c r="E1946" t="str">
        <x:v>Lotissement périurbain — Ville moyenne / réseau principal coupé</x:v>
      </x:c>
      <x:c r="F1946" t="n">
        <x:v>10</x:v>
      </x:c>
      <x:c r="G1946" t="n">
        <x:v>4</x:v>
      </x:c>
      <x:c r="H1946" t="n">
        <x:v>12</x:v>
      </x:c>
      <x:c r="I1946" t="str">
        <x:v>À qualifier par lieu</x:v>
      </x:c>
      <x:c r="J1946" t="str">
        <x:v>https://github.com/darknigthmare/deadwall-last-enclosure/blob/e28f46223e73105ab2c5d83f3d50b99b58ef53e6/codex-3000/compositions/Quartiers et agglomérations/DW-1941.md</x:v>
      </x:c>
      <x:c r="K1946" t="str">
        <x:v>Source min 250,200 m ; max 1200,900 m ; modèle 250 × 200 m ; niveaux 0. Détails dans catalogue-existant.json.</x:v>
      </x:c>
    </x:row>
    <x:row r="1947">
      <x:c r="A1947" t="str">
        <x:v>DW-1942</x:v>
      </x:c>
      <x:c r="B1947" t="str">
        <x:v>DW-0471</x:v>
      </x:c>
      <x:c r="C1947" t="str">
        <x:v>Composition héritée</x:v>
      </x:c>
      <x:c r="D1947" t="str">
        <x:v>Quartiers et agglomérations</x:v>
      </x:c>
      <x:c r="E1947" t="str">
        <x:v>Lotissement périurbain — Hameau / arrêt de maintenance</x:v>
      </x:c>
      <x:c r="F1947" t="n">
        <x:v>10</x:v>
      </x:c>
      <x:c r="G1947" t="n">
        <x:v>4</x:v>
      </x:c>
      <x:c r="H1947" t="n">
        <x:v>12</x:v>
      </x:c>
      <x:c r="I1947" t="str">
        <x:v>À qualifier par lieu</x:v>
      </x:c>
      <x:c r="J1947" t="str">
        <x:v>https://github.com/darknigthmare/deadwall-last-enclosure/blob/e28f46223e73105ab2c5d83f3d50b99b58ef53e6/codex-3000/compositions/Quartiers et agglomérations/DW-1942.md</x:v>
      </x:c>
      <x:c r="K1947" t="str">
        <x:v>Source min 250,200 m ; max 1200,900 m ; modèle 250 × 200 m ; niveaux 0. Détails dans catalogue-existant.json.</x:v>
      </x:c>
    </x:row>
    <x:row r="1948">
      <x:c r="A1948" t="str">
        <x:v>DW-1943</x:v>
      </x:c>
      <x:c r="B1948" t="str">
        <x:v>DW-0472</x:v>
      </x:c>
      <x:c r="C1948" t="str">
        <x:v>Composition héritée</x:v>
      </x:c>
      <x:c r="D1948" t="str">
        <x:v>Quartiers et agglomérations</x:v>
      </x:c>
      <x:c r="E1948" t="str">
        <x:v>Quartier pavillonnaire ancien — Grande ville et métropole / repli organisé interrompu</x:v>
      </x:c>
      <x:c r="F1948" t="n">
        <x:v>10</x:v>
      </x:c>
      <x:c r="G1948" t="n">
        <x:v>4</x:v>
      </x:c>
      <x:c r="H1948" t="n">
        <x:v>12</x:v>
      </x:c>
      <x:c r="I1948" t="str">
        <x:v>À qualifier par lieu</x:v>
      </x:c>
      <x:c r="J1948" t="str">
        <x:v>https://github.com/darknigthmare/deadwall-last-enclosure/blob/e28f46223e73105ab2c5d83f3d50b99b58ef53e6/codex-3000/compositions/Quartiers et agglomérations/DW-1943.md</x:v>
      </x:c>
      <x:c r="K1948" t="str">
        <x:v>Source min 250,200 m ; max 1200,900 m ; modèle 250 × 200 m ; niveaux 0. Détails dans catalogue-existant.json.</x:v>
      </x:c>
    </x:row>
    <x:row r="1949">
      <x:c r="A1949" t="str">
        <x:v>DW-1944</x:v>
      </x:c>
      <x:c r="B1949" t="str">
        <x:v>DW-0472</x:v>
      </x:c>
      <x:c r="C1949" t="str">
        <x:v>Composition héritée</x:v>
      </x:c>
      <x:c r="D1949" t="str">
        <x:v>Quartiers et agglomérations</x:v>
      </x:c>
      <x:c r="E1949" t="str">
        <x:v>Quartier pavillonnaire ancien — Village et bourg / première récupération passée</x:v>
      </x:c>
      <x:c r="F1949" t="n">
        <x:v>10</x:v>
      </x:c>
      <x:c r="G1949" t="n">
        <x:v>4</x:v>
      </x:c>
      <x:c r="H1949" t="n">
        <x:v>12</x:v>
      </x:c>
      <x:c r="I1949" t="str">
        <x:v>À qualifier par lieu</x:v>
      </x:c>
      <x:c r="J1949" t="str">
        <x:v>https://github.com/darknigthmare/deadwall-last-enclosure/blob/e28f46223e73105ab2c5d83f3d50b99b58ef53e6/codex-3000/compositions/Quartiers et agglomérations/DW-1944.md</x:v>
      </x:c>
      <x:c r="K1949" t="str">
        <x:v>Source min 250,200 m ; max 1200,900 m ; modèle 250 × 200 m ; niveaux 0. Détails dans catalogue-existant.json.</x:v>
      </x:c>
    </x:row>
    <x:row r="1950">
      <x:c r="A1950" t="str">
        <x:v>DW-1945</x:v>
      </x:c>
      <x:c r="B1950" t="str">
        <x:v>DW-0473</x:v>
      </x:c>
      <x:c r="C1950" t="str">
        <x:v>Composition héritée</x:v>
      </x:c>
      <x:c r="D1950" t="str">
        <x:v>Quartiers et agglomérations</x:v>
      </x:c>
      <x:c r="E1950" t="str">
        <x:v>Centre-ville dense — Hameau / évacuation interrompue</x:v>
      </x:c>
      <x:c r="F1950" t="n">
        <x:v>10</x:v>
      </x:c>
      <x:c r="G1950" t="n">
        <x:v>5</x:v>
      </x:c>
      <x:c r="H1950" t="n">
        <x:v>15</x:v>
      </x:c>
      <x:c r="I1950" t="str">
        <x:v>À qualifier par lieu</x:v>
      </x:c>
      <x:c r="J1950" t="str">
        <x:v>https://github.com/darknigthmare/deadwall-last-enclosure/blob/e28f46223e73105ab2c5d83f3d50b99b58ef53e6/codex-3000/compositions/Quartiers et agglomérations/DW-1945.md</x:v>
      </x:c>
      <x:c r="K1950" t="str">
        <x:v>Source min 250,200 m ; max 1200,900 m ; modèle 250 × 200 m ; niveaux 0. Détails dans catalogue-existant.json.</x:v>
      </x:c>
    </x:row>
    <x:row r="1951">
      <x:c r="A1951" t="str">
        <x:v>DW-1946</x:v>
      </x:c>
      <x:c r="B1951" t="str">
        <x:v>DW-0473</x:v>
      </x:c>
      <x:c r="C1951" t="str">
        <x:v>Composition héritée</x:v>
      </x:c>
      <x:c r="D1951" t="str">
        <x:v>Quartiers et agglomérations</x:v>
      </x:c>
      <x:c r="E1951" t="str">
        <x:v>Centre-ville dense — Ville moyenne / service déplacé à l’arrière</x:v>
      </x:c>
      <x:c r="F1951" t="n">
        <x:v>10</x:v>
      </x:c>
      <x:c r="G1951" t="n">
        <x:v>5</x:v>
      </x:c>
      <x:c r="H1951" t="n">
        <x:v>15</x:v>
      </x:c>
      <x:c r="I1951" t="str">
        <x:v>À qualifier par lieu</x:v>
      </x:c>
      <x:c r="J1951" t="str">
        <x:v>https://github.com/darknigthmare/deadwall-last-enclosure/blob/e28f46223e73105ab2c5d83f3d50b99b58ef53e6/codex-3000/compositions/Quartiers et agglomérations/DW-1946.md</x:v>
      </x:c>
      <x:c r="K1951" t="str">
        <x:v>Source min 250,200 m ; max 1200,900 m ; modèle 250 × 200 m ; niveaux 0. Détails dans catalogue-existant.json.</x:v>
      </x:c>
    </x:row>
    <x:row r="1952">
      <x:c r="A1952" t="str">
        <x:v>DW-1947</x:v>
      </x:c>
      <x:c r="B1952" t="str">
        <x:v>DW-0474</x:v>
      </x:c>
      <x:c r="C1952" t="str">
        <x:v>Composition héritée</x:v>
      </x:c>
      <x:c r="D1952" t="str">
        <x:v>Quartiers et agglomérations</x:v>
      </x:c>
      <x:c r="E1952" t="str">
        <x:v>Faubourg industriel — Village et bourg / arrêt de maintenance</x:v>
      </x:c>
      <x:c r="F1952" t="n">
        <x:v>10</x:v>
      </x:c>
      <x:c r="G1952" t="n">
        <x:v>4</x:v>
      </x:c>
      <x:c r="H1952" t="n">
        <x:v>12</x:v>
      </x:c>
      <x:c r="I1952" t="str">
        <x:v>À qualifier par lieu</x:v>
      </x:c>
      <x:c r="J1952" t="str">
        <x:v>https://github.com/darknigthmare/deadwall-last-enclosure/blob/e28f46223e73105ab2c5d83f3d50b99b58ef53e6/codex-3000/compositions/Quartiers et agglomérations/DW-1947.md</x:v>
      </x:c>
      <x:c r="K1952" t="str">
        <x:v>Source min 250,200 m ; max 1200,900 m ; modèle 250 × 200 m ; niveaux 0. Détails dans catalogue-existant.json.</x:v>
      </x:c>
    </x:row>
    <x:row r="1953">
      <x:c r="A1953" t="str">
        <x:v>DW-1948</x:v>
      </x:c>
      <x:c r="B1953" t="str">
        <x:v>DW-0474</x:v>
      </x:c>
      <x:c r="C1953" t="str">
        <x:v>Composition héritée</x:v>
      </x:c>
      <x:c r="D1953" t="str">
        <x:v>Quartiers et agglomérations</x:v>
      </x:c>
      <x:c r="E1953" t="str">
        <x:v>Faubourg industriel — Grande ville et métropole / reprise progressive de la végétation</x:v>
      </x:c>
      <x:c r="F1953" t="n">
        <x:v>10</x:v>
      </x:c>
      <x:c r="G1953" t="n">
        <x:v>4</x:v>
      </x:c>
      <x:c r="H1953" t="n">
        <x:v>12</x:v>
      </x:c>
      <x:c r="I1953" t="str">
        <x:v>À qualifier par lieu</x:v>
      </x:c>
      <x:c r="J1953" t="str">
        <x:v>https://github.com/darknigthmare/deadwall-last-enclosure/blob/e28f46223e73105ab2c5d83f3d50b99b58ef53e6/codex-3000/compositions/Quartiers et agglomérations/DW-1948.md</x:v>
      </x:c>
      <x:c r="K1953" t="str">
        <x:v>Source min 250,200 m ; max 1200,900 m ; modèle 250 × 200 m ; niveaux 0. Détails dans catalogue-existant.json.</x:v>
      </x:c>
    </x:row>
    <x:row r="1954">
      <x:c r="A1954" t="str">
        <x:v>DW-1949</x:v>
      </x:c>
      <x:c r="B1954" t="str">
        <x:v>DW-0475</x:v>
      </x:c>
      <x:c r="C1954" t="str">
        <x:v>Composition héritée</x:v>
      </x:c>
      <x:c r="D1954" t="str">
        <x:v>Quartiers et agglomérations</x:v>
      </x:c>
      <x:c r="E1954" t="str">
        <x:v>Quartier portuaire habité — Ville moyenne / première récupération passée</x:v>
      </x:c>
      <x:c r="F1954" t="n">
        <x:v>10</x:v>
      </x:c>
      <x:c r="G1954" t="n">
        <x:v>4</x:v>
      </x:c>
      <x:c r="H1954" t="n">
        <x:v>12</x:v>
      </x:c>
      <x:c r="I1954" t="str">
        <x:v>À qualifier par lieu</x:v>
      </x:c>
      <x:c r="J1954" t="str">
        <x:v>https://github.com/darknigthmare/deadwall-last-enclosure/blob/e28f46223e73105ab2c5d83f3d50b99b58ef53e6/codex-3000/compositions/Quartiers et agglomérations/DW-1949.md</x:v>
      </x:c>
      <x:c r="K1954" t="str">
        <x:v>Source min 250,200 m ; max 1200,900 m ; modèle 250 × 200 m ; niveaux 0. Détails dans catalogue-existant.json.</x:v>
      </x:c>
    </x:row>
    <x:row r="1955">
      <x:c r="A1955" t="str">
        <x:v>DW-1950</x:v>
      </x:c>
      <x:c r="B1955" t="str">
        <x:v>DW-0475</x:v>
      </x:c>
      <x:c r="C1955" t="str">
        <x:v>Composition héritée</x:v>
      </x:c>
      <x:c r="D1955" t="str">
        <x:v>Quartiers et agglomérations</x:v>
      </x:c>
      <x:c r="E1955" t="str">
        <x:v>Quartier portuaire habité — Hameau / relais temporaire envisagé</x:v>
      </x:c>
      <x:c r="F1955" t="n">
        <x:v>10</x:v>
      </x:c>
      <x:c r="G1955" t="n">
        <x:v>4</x:v>
      </x:c>
      <x:c r="H1955" t="n">
        <x:v>12</x:v>
      </x:c>
      <x:c r="I1955" t="str">
        <x:v>À qualifier par lieu</x:v>
      </x:c>
      <x:c r="J1955" t="str">
        <x:v>https://github.com/darknigthmare/deadwall-last-enclosure/blob/e28f46223e73105ab2c5d83f3d50b99b58ef53e6/codex-3000/compositions/Quartiers et agglomérations/DW-1950.md</x:v>
      </x:c>
      <x:c r="K1955" t="str">
        <x:v>Source min 250,200 m ; max 1200,900 m ; modèle 250 × 200 m ; niveaux 0. Détails dans catalogue-existant.json.</x:v>
      </x:c>
    </x:row>
    <x:row r="1956">
      <x:c r="A1956" t="str">
        <x:v>DW-1951</x:v>
      </x:c>
      <x:c r="B1956" t="str">
        <x:v>DW-0476</x:v>
      </x:c>
      <x:c r="C1956" t="str">
        <x:v>Composition héritée</x:v>
      </x:c>
      <x:c r="D1956" t="str">
        <x:v>Quartiers et agglomérations</x:v>
      </x:c>
      <x:c r="E1956" t="str">
        <x:v>Quartier hospitalier — Grande ville et métropole / service déplacé à l’arrière</x:v>
      </x:c>
      <x:c r="F1956" t="n">
        <x:v>10</x:v>
      </x:c>
      <x:c r="G1956" t="n">
        <x:v>4</x:v>
      </x:c>
      <x:c r="H1956" t="n">
        <x:v>12</x:v>
      </x:c>
      <x:c r="I1956" t="str">
        <x:v>À qualifier par lieu</x:v>
      </x:c>
      <x:c r="J1956" t="str">
        <x:v>https://github.com/darknigthmare/deadwall-last-enclosure/blob/e28f46223e73105ab2c5d83f3d50b99b58ef53e6/codex-3000/compositions/Quartiers et agglomérations/DW-1951.md</x:v>
      </x:c>
      <x:c r="K1956" t="str">
        <x:v>Source min 250,200 m ; max 1200,900 m ; modèle 250 × 200 m ; niveaux 0. Détails dans catalogue-existant.json.</x:v>
      </x:c>
    </x:row>
    <x:row r="1957">
      <x:c r="A1957" t="str">
        <x:v>DW-1952</x:v>
      </x:c>
      <x:c r="B1957" t="str">
        <x:v>DW-0476</x:v>
      </x:c>
      <x:c r="C1957" t="str">
        <x:v>Composition héritée</x:v>
      </x:c>
      <x:c r="D1957" t="str">
        <x:v>Quartiers et agglomérations</x:v>
      </x:c>
      <x:c r="E1957" t="str">
        <x:v>Quartier hospitalier — Village et bourg / réseau principal coupé</x:v>
      </x:c>
      <x:c r="F1957" t="n">
        <x:v>10</x:v>
      </x:c>
      <x:c r="G1957" t="n">
        <x:v>4</x:v>
      </x:c>
      <x:c r="H1957" t="n">
        <x:v>12</x:v>
      </x:c>
      <x:c r="I1957" t="str">
        <x:v>À qualifier par lieu</x:v>
      </x:c>
      <x:c r="J1957" t="str">
        <x:v>https://github.com/darknigthmare/deadwall-last-enclosure/blob/e28f46223e73105ab2c5d83f3d50b99b58ef53e6/codex-3000/compositions/Quartiers et agglomérations/DW-1952.md</x:v>
      </x:c>
      <x:c r="K1957" t="str">
        <x:v>Source min 250,200 m ; max 1200,900 m ; modèle 250 × 200 m ; niveaux 0. Détails dans catalogue-existant.json.</x:v>
      </x:c>
    </x:row>
    <x:row r="1958">
      <x:c r="A1958" t="str">
        <x:v>DW-1953</x:v>
      </x:c>
      <x:c r="B1958" t="str">
        <x:v>DW-0477</x:v>
      </x:c>
      <x:c r="C1958" t="str">
        <x:v>Composition héritée</x:v>
      </x:c>
      <x:c r="D1958" t="str">
        <x:v>Quartiers et agglomérations</x:v>
      </x:c>
      <x:c r="E1958" t="str">
        <x:v>Quartier universitaire — Hameau / reprise progressive de la végétation</x:v>
      </x:c>
      <x:c r="F1958" t="n">
        <x:v>10</x:v>
      </x:c>
      <x:c r="G1958" t="n">
        <x:v>4</x:v>
      </x:c>
      <x:c r="H1958" t="n">
        <x:v>12</x:v>
      </x:c>
      <x:c r="I1958" t="str">
        <x:v>À qualifier par lieu</x:v>
      </x:c>
      <x:c r="J1958" t="str">
        <x:v>https://github.com/darknigthmare/deadwall-last-enclosure/blob/e28f46223e73105ab2c5d83f3d50b99b58ef53e6/codex-3000/compositions/Quartiers et agglomérations/DW-1953.md</x:v>
      </x:c>
      <x:c r="K1958" t="str">
        <x:v>Source min 250,200 m ; max 1200,900 m ; modèle 250 × 200 m ; niveaux 0. Détails dans catalogue-existant.json.</x:v>
      </x:c>
    </x:row>
    <x:row r="1959">
      <x:c r="A1959" t="str">
        <x:v>DW-1954</x:v>
      </x:c>
      <x:c r="B1959" t="str">
        <x:v>DW-0477</x:v>
      </x:c>
      <x:c r="C1959" t="str">
        <x:v>Composition héritée</x:v>
      </x:c>
      <x:c r="D1959" t="str">
        <x:v>Quartiers et agglomérations</x:v>
      </x:c>
      <x:c r="E1959" t="str">
        <x:v>Quartier universitaire — Ville moyenne / repli organisé interrompu</x:v>
      </x:c>
      <x:c r="F1959" t="n">
        <x:v>10</x:v>
      </x:c>
      <x:c r="G1959" t="n">
        <x:v>4</x:v>
      </x:c>
      <x:c r="H1959" t="n">
        <x:v>12</x:v>
      </x:c>
      <x:c r="I1959" t="str">
        <x:v>À qualifier par lieu</x:v>
      </x:c>
      <x:c r="J1959" t="str">
        <x:v>https://github.com/darknigthmare/deadwall-last-enclosure/blob/e28f46223e73105ab2c5d83f3d50b99b58ef53e6/codex-3000/compositions/Quartiers et agglomérations/DW-1954.md</x:v>
      </x:c>
      <x:c r="K1959" t="str">
        <x:v>Source min 250,200 m ; max 1200,900 m ; modèle 250 × 200 m ; niveaux 0. Détails dans catalogue-existant.json.</x:v>
      </x:c>
    </x:row>
    <x:row r="1960">
      <x:c r="A1960" t="str">
        <x:v>DW-1955</x:v>
      </x:c>
      <x:c r="B1960" t="str">
        <x:v>DW-0478</x:v>
      </x:c>
      <x:c r="C1960" t="str">
        <x:v>Composition héritée</x:v>
      </x:c>
      <x:c r="D1960" t="str">
        <x:v>Quartiers et agglomérations</x:v>
      </x:c>
      <x:c r="E1960" t="str">
        <x:v>Cité-jardin — Village et bourg / relais temporaire envisagé</x:v>
      </x:c>
      <x:c r="F1960" t="n">
        <x:v>10</x:v>
      </x:c>
      <x:c r="G1960" t="n">
        <x:v>4</x:v>
      </x:c>
      <x:c r="H1960" t="n">
        <x:v>12</x:v>
      </x:c>
      <x:c r="I1960" t="str">
        <x:v>À qualifier par lieu</x:v>
      </x:c>
      <x:c r="J1960" t="str">
        <x:v>https://github.com/darknigthmare/deadwall-last-enclosure/blob/e28f46223e73105ab2c5d83f3d50b99b58ef53e6/codex-3000/compositions/Quartiers et agglomérations/DW-1955.md</x:v>
      </x:c>
      <x:c r="K1960" t="str">
        <x:v>Source min 250,200 m ; max 1200,900 m ; modèle 250 × 200 m ; niveaux 0. Détails dans catalogue-existant.json.</x:v>
      </x:c>
    </x:row>
    <x:row r="1961">
      <x:c r="A1961" t="str">
        <x:v>DW-1956</x:v>
      </x:c>
      <x:c r="B1961" t="str">
        <x:v>DW-0478</x:v>
      </x:c>
      <x:c r="C1961" t="str">
        <x:v>Composition héritée</x:v>
      </x:c>
      <x:c r="D1961" t="str">
        <x:v>Quartiers et agglomérations</x:v>
      </x:c>
      <x:c r="E1961" t="str">
        <x:v>Cité-jardin — Grande ville et métropole / évacuation interrompue</x:v>
      </x:c>
      <x:c r="F1961" t="n">
        <x:v>10</x:v>
      </x:c>
      <x:c r="G1961" t="n">
        <x:v>4</x:v>
      </x:c>
      <x:c r="H1961" t="n">
        <x:v>12</x:v>
      </x:c>
      <x:c r="I1961" t="str">
        <x:v>À qualifier par lieu</x:v>
      </x:c>
      <x:c r="J1961" t="str">
        <x:v>https://github.com/darknigthmare/deadwall-last-enclosure/blob/e28f46223e73105ab2c5d83f3d50b99b58ef53e6/codex-3000/compositions/Quartiers et agglomérations/DW-1956.md</x:v>
      </x:c>
      <x:c r="K1961" t="str">
        <x:v>Source min 250,200 m ; max 1200,900 m ; modèle 250 × 200 m ; niveaux 0. Détails dans catalogue-existant.json.</x:v>
      </x:c>
    </x:row>
    <x:row r="1962">
      <x:c r="A1962" t="str">
        <x:v>DW-1957</x:v>
      </x:c>
      <x:c r="B1962" t="str">
        <x:v>DW-0479</x:v>
      </x:c>
      <x:c r="C1962" t="str">
        <x:v>Composition héritée</x:v>
      </x:c>
      <x:c r="D1962" t="str">
        <x:v>Quartiers et agglomérations</x:v>
      </x:c>
      <x:c r="E1962" t="str">
        <x:v>Ville nouvelle en chantier — Ville moyenne / réseau principal coupé</x:v>
      </x:c>
      <x:c r="F1962" t="n">
        <x:v>10</x:v>
      </x:c>
      <x:c r="G1962" t="n">
        <x:v>4</x:v>
      </x:c>
      <x:c r="H1962" t="n">
        <x:v>12</x:v>
      </x:c>
      <x:c r="I1962" t="str">
        <x:v>À qualifier par lieu</x:v>
      </x:c>
      <x:c r="J1962" t="str">
        <x:v>https://github.com/darknigthmare/deadwall-last-enclosure/blob/e28f46223e73105ab2c5d83f3d50b99b58ef53e6/codex-3000/compositions/Quartiers et agglomérations/DW-1957.md</x:v>
      </x:c>
      <x:c r="K1962" t="str">
        <x:v>Source min 250,200 m ; max 1200,900 m ; modèle 250 × 200 m ; niveaux 0. Détails dans catalogue-existant.json.</x:v>
      </x:c>
    </x:row>
    <x:row r="1963">
      <x:c r="A1963" t="str">
        <x:v>DW-1958</x:v>
      </x:c>
      <x:c r="B1963" t="str">
        <x:v>DW-0479</x:v>
      </x:c>
      <x:c r="C1963" t="str">
        <x:v>Composition héritée</x:v>
      </x:c>
      <x:c r="D1963" t="str">
        <x:v>Quartiers et agglomérations</x:v>
      </x:c>
      <x:c r="E1963" t="str">
        <x:v>Ville nouvelle en chantier — Hameau / arrêt de maintenance</x:v>
      </x:c>
      <x:c r="F1963" t="n">
        <x:v>10</x:v>
      </x:c>
      <x:c r="G1963" t="n">
        <x:v>4</x:v>
      </x:c>
      <x:c r="H1963" t="n">
        <x:v>12</x:v>
      </x:c>
      <x:c r="I1963" t="str">
        <x:v>À qualifier par lieu</x:v>
      </x:c>
      <x:c r="J1963" t="str">
        <x:v>https://github.com/darknigthmare/deadwall-last-enclosure/blob/e28f46223e73105ab2c5d83f3d50b99b58ef53e6/codex-3000/compositions/Quartiers et agglomérations/DW-1958.md</x:v>
      </x:c>
      <x:c r="K1963" t="str">
        <x:v>Source min 250,200 m ; max 1200,900 m ; modèle 250 × 200 m ; niveaux 0. Détails dans catalogue-existant.json.</x:v>
      </x:c>
    </x:row>
    <x:row r="1964">
      <x:c r="A1964" t="str">
        <x:v>DW-1959</x:v>
      </x:c>
      <x:c r="B1964" t="str">
        <x:v>DW-0480</x:v>
      </x:c>
      <x:c r="C1964" t="str">
        <x:v>Composition héritée</x:v>
      </x:c>
      <x:c r="D1964" t="str">
        <x:v>Quartiers et agglomérations</x:v>
      </x:c>
      <x:c r="E1964" t="str">
        <x:v>Petite ville évacuée — Grande ville et métropole / repli organisé interrompu</x:v>
      </x:c>
      <x:c r="F1964" t="n">
        <x:v>10</x:v>
      </x:c>
      <x:c r="G1964" t="n">
        <x:v>4</x:v>
      </x:c>
      <x:c r="H1964" t="n">
        <x:v>12</x:v>
      </x:c>
      <x:c r="I1964" t="str">
        <x:v>À qualifier par lieu</x:v>
      </x:c>
      <x:c r="J1964" t="str">
        <x:v>https://github.com/darknigthmare/deadwall-last-enclosure/blob/e28f46223e73105ab2c5d83f3d50b99b58ef53e6/codex-3000/compositions/Quartiers et agglomérations/DW-1959.md</x:v>
      </x:c>
      <x:c r="K1964" t="str">
        <x:v>Source min 250,200 m ; max 1200,900 m ; modèle 250 × 200 m ; niveaux 0. Détails dans catalogue-existant.json.</x:v>
      </x:c>
    </x:row>
    <x:row r="1965">
      <x:c r="A1965" t="str">
        <x:v>DW-1960</x:v>
      </x:c>
      <x:c r="B1965" t="str">
        <x:v>DW-0480</x:v>
      </x:c>
      <x:c r="C1965" t="str">
        <x:v>Composition héritée</x:v>
      </x:c>
      <x:c r="D1965" t="str">
        <x:v>Quartiers et agglomérations</x:v>
      </x:c>
      <x:c r="E1965" t="str">
        <x:v>Petite ville évacuée — Village et bourg / première récupération passée</x:v>
      </x:c>
      <x:c r="F1965" t="n">
        <x:v>10</x:v>
      </x:c>
      <x:c r="G1965" t="n">
        <x:v>4</x:v>
      </x:c>
      <x:c r="H1965" t="n">
        <x:v>12</x:v>
      </x:c>
      <x:c r="I1965" t="str">
        <x:v>À qualifier par lieu</x:v>
      </x:c>
      <x:c r="J1965" t="str">
        <x:v>https://github.com/darknigthmare/deadwall-last-enclosure/blob/e28f46223e73105ab2c5d83f3d50b99b58ef53e6/codex-3000/compositions/Quartiers et agglomérations/DW-1960.md</x:v>
      </x:c>
      <x:c r="K1965" t="str">
        <x:v>Source min 250,200 m ; max 1200,900 m ; modèle 250 × 200 m ; niveaux 0. Détails dans catalogue-existant.json.</x:v>
      </x:c>
    </x:row>
    <x:row r="1966">
      <x:c r="A1966" t="str">
        <x:v>DW-1961</x:v>
      </x:c>
      <x:c r="B1966" t="str">
        <x:v>DW-0481</x:v>
      </x:c>
      <x:c r="C1966" t="str">
        <x:v>Composition héritée</x:v>
      </x:c>
      <x:c r="D1966" t="str">
        <x:v>Ruines et lieux dégradés visitables</x:v>
      </x:c>
      <x:c r="E1966" t="str">
        <x:v>Maison effondrée visitable — Ruine envahie et reprise végétale / évacuation interrompue</x:v>
      </x:c>
      <x:c r="F1966" t="n">
        <x:v>8</x:v>
      </x:c>
      <x:c r="G1966" t="n">
        <x:v>4</x:v>
      </x:c>
      <x:c r="H1966" t="n">
        <x:v>12</x:v>
      </x:c>
      <x:c r="I1966" t="str">
        <x:v>À qualifier par lieu</x:v>
      </x:c>
      <x:c r="J1966" t="str">
        <x:v>https://github.com/darknigthmare/deadwall-last-enclosure/blob/e28f46223e73105ab2c5d83f3d50b99b58ef53e6/codex-3000/compositions/Ruines et lieux dégradés visitables/DW-1961.md</x:v>
      </x:c>
      <x:c r="K1966" t="str">
        <x:v>Source min 20,16 m ; max 180,120 m ; modèle 25 × 18 m ; niveaux 0. Détails dans catalogue-existant.json.</x:v>
      </x:c>
    </x:row>
    <x:row r="1967">
      <x:c r="A1967" t="str">
        <x:v>DW-1962</x:v>
      </x:c>
      <x:c r="B1967" t="str">
        <x:v>DW-0481</x:v>
      </x:c>
      <x:c r="C1967" t="str">
        <x:v>Composition héritée</x:v>
      </x:c>
      <x:c r="D1967" t="str">
        <x:v>Ruines et lieux dégradés visitables</x:v>
      </x:c>
      <x:c r="E1967" t="str">
        <x:v>Maison effondrée visitable — Zone industrielle / service déplacé à l’arrière</x:v>
      </x:c>
      <x:c r="F1967" t="n">
        <x:v>8</x:v>
      </x:c>
      <x:c r="G1967" t="n">
        <x:v>4</x:v>
      </x:c>
      <x:c r="H1967" t="n">
        <x:v>12</x:v>
      </x:c>
      <x:c r="I1967" t="str">
        <x:v>À qualifier par lieu</x:v>
      </x:c>
      <x:c r="J1967" t="str">
        <x:v>https://github.com/darknigthmare/deadwall-last-enclosure/blob/e28f46223e73105ab2c5d83f3d50b99b58ef53e6/codex-3000/compositions/Ruines et lieux dégradés visitables/DW-1962.md</x:v>
      </x:c>
      <x:c r="K1967" t="str">
        <x:v>Source min 20,16 m ; max 180,120 m ; modèle 25 × 18 m ; niveaux 0. Détails dans catalogue-existant.json.</x:v>
      </x:c>
    </x:row>
    <x:row r="1968">
      <x:c r="A1968" t="str">
        <x:v>DW-1963</x:v>
      </x:c>
      <x:c r="B1968" t="str">
        <x:v>DW-0482</x:v>
      </x:c>
      <x:c r="C1968" t="str">
        <x:v>Composition héritée</x:v>
      </x:c>
      <x:c r="D1968" t="str">
        <x:v>Ruines et lieux dégradés visitables</x:v>
      </x:c>
      <x:c r="E1968" t="str">
        <x:v>Maison incendiée — Centre ancien / arrêt de maintenance</x:v>
      </x:c>
      <x:c r="F1968" t="n">
        <x:v>8</x:v>
      </x:c>
      <x:c r="G1968" t="n">
        <x:v>4</x:v>
      </x:c>
      <x:c r="H1968" t="n">
        <x:v>12</x:v>
      </x:c>
      <x:c r="I1968" t="str">
        <x:v>À qualifier par lieu</x:v>
      </x:c>
      <x:c r="J1968" t="str">
        <x:v>https://github.com/darknigthmare/deadwall-last-enclosure/blob/e28f46223e73105ab2c5d83f3d50b99b58ef53e6/codex-3000/compositions/Ruines et lieux dégradés visitables/DW-1963.md</x:v>
      </x:c>
      <x:c r="K1968" t="str">
        <x:v>Source min 20,16 m ; max 180,120 m ; modèle 25 × 18 m ; niveaux 0. Détails dans catalogue-existant.json.</x:v>
      </x:c>
    </x:row>
    <x:row r="1969">
      <x:c r="A1969" t="str">
        <x:v>DW-1964</x:v>
      </x:c>
      <x:c r="B1969" t="str">
        <x:v>DW-0482</x:v>
      </x:c>
      <x:c r="C1969" t="str">
        <x:v>Composition héritée</x:v>
      </x:c>
      <x:c r="D1969" t="str">
        <x:v>Ruines et lieux dégradés visitables</x:v>
      </x:c>
      <x:c r="E1969" t="str">
        <x:v>Maison incendiée — Petit bois et lisière / reprise progressive de la végétation</x:v>
      </x:c>
      <x:c r="F1969" t="n">
        <x:v>8</x:v>
      </x:c>
      <x:c r="G1969" t="n">
        <x:v>4</x:v>
      </x:c>
      <x:c r="H1969" t="n">
        <x:v>12</x:v>
      </x:c>
      <x:c r="I1969" t="str">
        <x:v>À qualifier par lieu</x:v>
      </x:c>
      <x:c r="J1969" t="str">
        <x:v>https://github.com/darknigthmare/deadwall-last-enclosure/blob/e28f46223e73105ab2c5d83f3d50b99b58ef53e6/codex-3000/compositions/Ruines et lieux dégradés visitables/DW-1964.md</x:v>
      </x:c>
      <x:c r="K1969" t="str">
        <x:v>Source min 20,16 m ; max 180,120 m ; modèle 25 × 18 m ; niveaux 0. Détails dans catalogue-existant.json.</x:v>
      </x:c>
    </x:row>
    <x:row r="1970">
      <x:c r="A1970" t="str">
        <x:v>DW-1965</x:v>
      </x:c>
      <x:c r="B1970" t="str">
        <x:v>DW-0483</x:v>
      </x:c>
      <x:c r="C1970" t="str">
        <x:v>Composition héritée</x:v>
      </x:c>
      <x:c r="D1970" t="str">
        <x:v>Ruines et lieux dégradés visitables</x:v>
      </x:c>
      <x:c r="E1970" t="str">
        <x:v>Immeuble partiellement effondré — Zone industrielle / première récupération passée</x:v>
      </x:c>
      <x:c r="F1970" t="n">
        <x:v>8</x:v>
      </x:c>
      <x:c r="G1970" t="n">
        <x:v>4</x:v>
      </x:c>
      <x:c r="H1970" t="n">
        <x:v>12</x:v>
      </x:c>
      <x:c r="I1970" t="str">
        <x:v>À qualifier par lieu</x:v>
      </x:c>
      <x:c r="J1970" t="str">
        <x:v>https://github.com/darknigthmare/deadwall-last-enclosure/blob/e28f46223e73105ab2c5d83f3d50b99b58ef53e6/codex-3000/compositions/Ruines et lieux dégradés visitables/DW-1965.md</x:v>
      </x:c>
      <x:c r="K1970" t="str">
        <x:v>Source min 20,16 m ; max 180,120 m ; modèle 25 × 18 m ; niveaux 0, 1. Détails dans catalogue-existant.json.</x:v>
      </x:c>
    </x:row>
    <x:row r="1971">
      <x:c r="A1971" t="str">
        <x:v>DW-1966</x:v>
      </x:c>
      <x:c r="B1971" t="str">
        <x:v>DW-0483</x:v>
      </x:c>
      <x:c r="C1971" t="str">
        <x:v>Composition héritée</x:v>
      </x:c>
      <x:c r="D1971" t="str">
        <x:v>Ruines et lieux dégradés visitables</x:v>
      </x:c>
      <x:c r="E1971" t="str">
        <x:v>Immeuble partiellement effondré — Ruine envahie et reprise végétale / relais temporaire envisagé</x:v>
      </x:c>
      <x:c r="F1971" t="n">
        <x:v>8</x:v>
      </x:c>
      <x:c r="G1971" t="n">
        <x:v>4</x:v>
      </x:c>
      <x:c r="H1971" t="n">
        <x:v>12</x:v>
      </x:c>
      <x:c r="I1971" t="str">
        <x:v>À qualifier par lieu</x:v>
      </x:c>
      <x:c r="J1971" t="str">
        <x:v>https://github.com/darknigthmare/deadwall-last-enclosure/blob/e28f46223e73105ab2c5d83f3d50b99b58ef53e6/codex-3000/compositions/Ruines et lieux dégradés visitables/DW-1966.md</x:v>
      </x:c>
      <x:c r="K1971" t="str">
        <x:v>Source min 20,16 m ; max 180,120 m ; modèle 25 × 18 m ; niveaux 0, 1. Détails dans catalogue-existant.json.</x:v>
      </x:c>
    </x:row>
    <x:row r="1972">
      <x:c r="A1972" t="str">
        <x:v>DW-1967</x:v>
      </x:c>
      <x:c r="B1972" t="str">
        <x:v>DW-0484</x:v>
      </x:c>
      <x:c r="C1972" t="str">
        <x:v>Composition héritée</x:v>
      </x:c>
      <x:c r="D1972" t="str">
        <x:v>Ruines et lieux dégradés visitables</x:v>
      </x:c>
      <x:c r="E1972" t="str">
        <x:v>Hôtel abandonné visitable — Petit bois et lisière / service déplacé à l’arrière</x:v>
      </x:c>
      <x:c r="F1972" t="n">
        <x:v>8</x:v>
      </x:c>
      <x:c r="G1972" t="n">
        <x:v>5</x:v>
      </x:c>
      <x:c r="H1972" t="n">
        <x:v>13</x:v>
      </x:c>
      <x:c r="I1972" t="str">
        <x:v>À qualifier par lieu</x:v>
      </x:c>
      <x:c r="J1972" t="str">
        <x:v>https://github.com/darknigthmare/deadwall-last-enclosure/blob/e28f46223e73105ab2c5d83f3d50b99b58ef53e6/codex-3000/compositions/Ruines et lieux dégradés visitables/DW-1967.md</x:v>
      </x:c>
      <x:c r="K1972" t="str">
        <x:v>Source min 20,16 m ; max 180,120 m ; modèle 26 × 22 m ; niveaux 0, 1, 2. Détails dans catalogue-existant.json.</x:v>
      </x:c>
    </x:row>
    <x:row r="1973">
      <x:c r="A1973" t="str">
        <x:v>DW-1968</x:v>
      </x:c>
      <x:c r="B1973" t="str">
        <x:v>DW-0484</x:v>
      </x:c>
      <x:c r="C1973" t="str">
        <x:v>Composition héritée</x:v>
      </x:c>
      <x:c r="D1973" t="str">
        <x:v>Ruines et lieux dégradés visitables</x:v>
      </x:c>
      <x:c r="E1973" t="str">
        <x:v>Hôtel abandonné visitable — Centre ancien / réseau principal coupé</x:v>
      </x:c>
      <x:c r="F1973" t="n">
        <x:v>8</x:v>
      </x:c>
      <x:c r="G1973" t="n">
        <x:v>5</x:v>
      </x:c>
      <x:c r="H1973" t="n">
        <x:v>13</x:v>
      </x:c>
      <x:c r="I1973" t="str">
        <x:v>À qualifier par lieu</x:v>
      </x:c>
      <x:c r="J1973" t="str">
        <x:v>https://github.com/darknigthmare/deadwall-last-enclosure/blob/e28f46223e73105ab2c5d83f3d50b99b58ef53e6/codex-3000/compositions/Ruines et lieux dégradés visitables/DW-1968.md</x:v>
      </x:c>
      <x:c r="K1973" t="str">
        <x:v>Source min 20,16 m ; max 180,120 m ; modèle 26 × 22 m ; niveaux 0, 1, 2. Détails dans catalogue-existant.json.</x:v>
      </x:c>
    </x:row>
    <x:row r="1974">
      <x:c r="A1974" t="str">
        <x:v>DW-1969</x:v>
      </x:c>
      <x:c r="B1974" t="str">
        <x:v>DW-0485</x:v>
      </x:c>
      <x:c r="C1974" t="str">
        <x:v>Composition héritée</x:v>
      </x:c>
      <x:c r="D1974" t="str">
        <x:v>Ruines et lieux dégradés visitables</x:v>
      </x:c>
      <x:c r="E1974" t="str">
        <x:v>Centre commercial pillé — Ruine envahie et reprise végétale / reprise progressive de la végétation</x:v>
      </x:c>
      <x:c r="F1974" t="n">
        <x:v>8</x:v>
      </x:c>
      <x:c r="G1974" t="n">
        <x:v>5</x:v>
      </x:c>
      <x:c r="H1974" t="n">
        <x:v>13</x:v>
      </x:c>
      <x:c r="I1974" t="str">
        <x:v>À qualifier par lieu</x:v>
      </x:c>
      <x:c r="J1974" t="str">
        <x:v>https://github.com/darknigthmare/deadwall-last-enclosure/blob/e28f46223e73105ab2c5d83f3d50b99b58ef53e6/codex-3000/compositions/Ruines et lieux dégradés visitables/DW-1969.md</x:v>
      </x:c>
      <x:c r="K1974" t="str">
        <x:v>Source min 20,16 m ; max 180,120 m ; modèle 26 × 22 m ; niveaux 0. Détails dans catalogue-existant.json.</x:v>
      </x:c>
    </x:row>
    <x:row r="1975">
      <x:c r="A1975" t="str">
        <x:v>DW-1970</x:v>
      </x:c>
      <x:c r="B1975" t="str">
        <x:v>DW-0485</x:v>
      </x:c>
      <x:c r="C1975" t="str">
        <x:v>Composition héritée</x:v>
      </x:c>
      <x:c r="D1975" t="str">
        <x:v>Ruines et lieux dégradés visitables</x:v>
      </x:c>
      <x:c r="E1975" t="str">
        <x:v>Centre commercial pillé — Zone industrielle / repli organisé interrompu</x:v>
      </x:c>
      <x:c r="F1975" t="n">
        <x:v>8</x:v>
      </x:c>
      <x:c r="G1975" t="n">
        <x:v>5</x:v>
      </x:c>
      <x:c r="H1975" t="n">
        <x:v>13</x:v>
      </x:c>
      <x:c r="I1975" t="str">
        <x:v>À qualifier par lieu</x:v>
      </x:c>
      <x:c r="J1975" t="str">
        <x:v>https://github.com/darknigthmare/deadwall-last-enclosure/blob/e28f46223e73105ab2c5d83f3d50b99b58ef53e6/codex-3000/compositions/Ruines et lieux dégradés visitables/DW-1970.md</x:v>
      </x:c>
      <x:c r="K1975" t="str">
        <x:v>Source min 20,16 m ; max 180,120 m ; modèle 26 × 22 m ; niveaux 0. Détails dans catalogue-existant.json.</x:v>
      </x:c>
    </x:row>
    <x:row r="1976">
      <x:c r="A1976" t="str">
        <x:v>DW-1971</x:v>
      </x:c>
      <x:c r="B1976" t="str">
        <x:v>DW-0486</x:v>
      </x:c>
      <x:c r="C1976" t="str">
        <x:v>Composition héritée</x:v>
      </x:c>
      <x:c r="D1976" t="str">
        <x:v>Ruines et lieux dégradés visitables</x:v>
      </x:c>
      <x:c r="E1976" t="str">
        <x:v>Supermarché sinistré — Centre ancien / relais temporaire envisagé</x:v>
      </x:c>
      <x:c r="F1976" t="n">
        <x:v>8</x:v>
      </x:c>
      <x:c r="G1976" t="n">
        <x:v>4</x:v>
      </x:c>
      <x:c r="H1976" t="n">
        <x:v>12</x:v>
      </x:c>
      <x:c r="I1976" t="str">
        <x:v>À qualifier par lieu</x:v>
      </x:c>
      <x:c r="J1976" t="str">
        <x:v>https://github.com/darknigthmare/deadwall-last-enclosure/blob/e28f46223e73105ab2c5d83f3d50b99b58ef53e6/codex-3000/compositions/Ruines et lieux dégradés visitables/DW-1971.md</x:v>
      </x:c>
      <x:c r="K1976" t="str">
        <x:v>Source min 20,16 m ; max 180,120 m ; modèle 25 × 18 m ; niveaux 0. Détails dans catalogue-existant.json.</x:v>
      </x:c>
    </x:row>
    <x:row r="1977">
      <x:c r="A1977" t="str">
        <x:v>DW-1972</x:v>
      </x:c>
      <x:c r="B1977" t="str">
        <x:v>DW-0486</x:v>
      </x:c>
      <x:c r="C1977" t="str">
        <x:v>Composition héritée</x:v>
      </x:c>
      <x:c r="D1977" t="str">
        <x:v>Ruines et lieux dégradés visitables</x:v>
      </x:c>
      <x:c r="E1977" t="str">
        <x:v>Supermarché sinistré — Petit bois et lisière / évacuation interrompue</x:v>
      </x:c>
      <x:c r="F1977" t="n">
        <x:v>8</x:v>
      </x:c>
      <x:c r="G1977" t="n">
        <x:v>4</x:v>
      </x:c>
      <x:c r="H1977" t="n">
        <x:v>12</x:v>
      </x:c>
      <x:c r="I1977" t="str">
        <x:v>À qualifier par lieu</x:v>
      </x:c>
      <x:c r="J1977" t="str">
        <x:v>https://github.com/darknigthmare/deadwall-last-enclosure/blob/e28f46223e73105ab2c5d83f3d50b99b58ef53e6/codex-3000/compositions/Ruines et lieux dégradés visitables/DW-1972.md</x:v>
      </x:c>
      <x:c r="K1977" t="str">
        <x:v>Source min 20,16 m ; max 180,120 m ; modèle 25 × 18 m ; niveaux 0. Détails dans catalogue-existant.json.</x:v>
      </x:c>
    </x:row>
    <x:row r="1978">
      <x:c r="A1978" t="str">
        <x:v>DW-1973</x:v>
      </x:c>
      <x:c r="B1978" t="str">
        <x:v>DW-0487</x:v>
      </x:c>
      <x:c r="C1978" t="str">
        <x:v>Composition héritée</x:v>
      </x:c>
      <x:c r="D1978" t="str">
        <x:v>Ruines et lieux dégradés visitables</x:v>
      </x:c>
      <x:c r="E1978" t="str">
        <x:v>Garage éventré — Zone industrielle / réseau principal coupé</x:v>
      </x:c>
      <x:c r="F1978" t="n">
        <x:v>8</x:v>
      </x:c>
      <x:c r="G1978" t="n">
        <x:v>4</x:v>
      </x:c>
      <x:c r="H1978" t="n">
        <x:v>12</x:v>
      </x:c>
      <x:c r="I1978" t="str">
        <x:v>À qualifier par lieu</x:v>
      </x:c>
      <x:c r="J1978" t="str">
        <x:v>https://github.com/darknigthmare/deadwall-last-enclosure/blob/e28f46223e73105ab2c5d83f3d50b99b58ef53e6/codex-3000/compositions/Ruines et lieux dégradés visitables/DW-1973.md</x:v>
      </x:c>
      <x:c r="K1978" t="str">
        <x:v>Source min 20,16 m ; max 180,120 m ; modèle 25 × 18 m ; niveaux 0. Détails dans catalogue-existant.json.</x:v>
      </x:c>
    </x:row>
    <x:row r="1979">
      <x:c r="A1979" t="str">
        <x:v>DW-1974</x:v>
      </x:c>
      <x:c r="B1979" t="str">
        <x:v>DW-0487</x:v>
      </x:c>
      <x:c r="C1979" t="str">
        <x:v>Composition héritée</x:v>
      </x:c>
      <x:c r="D1979" t="str">
        <x:v>Ruines et lieux dégradés visitables</x:v>
      </x:c>
      <x:c r="E1979" t="str">
        <x:v>Garage éventré — Ruine envahie et reprise végétale / arrêt de maintenance</x:v>
      </x:c>
      <x:c r="F1979" t="n">
        <x:v>8</x:v>
      </x:c>
      <x:c r="G1979" t="n">
        <x:v>4</x:v>
      </x:c>
      <x:c r="H1979" t="n">
        <x:v>12</x:v>
      </x:c>
      <x:c r="I1979" t="str">
        <x:v>À qualifier par lieu</x:v>
      </x:c>
      <x:c r="J1979" t="str">
        <x:v>https://github.com/darknigthmare/deadwall-last-enclosure/blob/e28f46223e73105ab2c5d83f3d50b99b58ef53e6/codex-3000/compositions/Ruines et lieux dégradés visitables/DW-1974.md</x:v>
      </x:c>
      <x:c r="K1979" t="str">
        <x:v>Source min 20,16 m ; max 180,120 m ; modèle 25 × 18 m ; niveaux 0. Détails dans catalogue-existant.json.</x:v>
      </x:c>
    </x:row>
    <x:row r="1980">
      <x:c r="A1980" t="str">
        <x:v>DW-1975</x:v>
      </x:c>
      <x:c r="B1980" t="str">
        <x:v>DW-0488</x:v>
      </x:c>
      <x:c r="C1980" t="str">
        <x:v>Composition héritée</x:v>
      </x:c>
      <x:c r="D1980" t="str">
        <x:v>Ruines et lieux dégradés visitables</x:v>
      </x:c>
      <x:c r="E1980" t="str">
        <x:v>Entrepôt à toit percé — Petit bois et lisière / repli organisé interrompu</x:v>
      </x:c>
      <x:c r="F1980" t="n">
        <x:v>8</x:v>
      </x:c>
      <x:c r="G1980" t="n">
        <x:v>4</x:v>
      </x:c>
      <x:c r="H1980" t="n">
        <x:v>10</x:v>
      </x:c>
      <x:c r="I1980" t="str">
        <x:v>À qualifier par lieu</x:v>
      </x:c>
      <x:c r="J1980" t="str">
        <x:v>https://github.com/darknigthmare/deadwall-last-enclosure/blob/e28f46223e73105ab2c5d83f3d50b99b58ef53e6/codex-3000/compositions/Ruines et lieux dégradés visitables/DW-1975.md</x:v>
      </x:c>
      <x:c r="K1980" t="str">
        <x:v>Source min 20,16 m ; max 180,120 m ; modèle 25 × 18 m ; niveaux 0. Détails dans catalogue-existant.json.</x:v>
      </x:c>
    </x:row>
    <x:row r="1981">
      <x:c r="A1981" t="str">
        <x:v>DW-1976</x:v>
      </x:c>
      <x:c r="B1981" t="str">
        <x:v>DW-0488</x:v>
      </x:c>
      <x:c r="C1981" t="str">
        <x:v>Composition héritée</x:v>
      </x:c>
      <x:c r="D1981" t="str">
        <x:v>Ruines et lieux dégradés visitables</x:v>
      </x:c>
      <x:c r="E1981" t="str">
        <x:v>Entrepôt à toit percé — Centre ancien / première récupération passée</x:v>
      </x:c>
      <x:c r="F1981" t="n">
        <x:v>8</x:v>
      </x:c>
      <x:c r="G1981" t="n">
        <x:v>4</x:v>
      </x:c>
      <x:c r="H1981" t="n">
        <x:v>10</x:v>
      </x:c>
      <x:c r="I1981" t="str">
        <x:v>À qualifier par lieu</x:v>
      </x:c>
      <x:c r="J1981" t="str">
        <x:v>https://github.com/darknigthmare/deadwall-last-enclosure/blob/e28f46223e73105ab2c5d83f3d50b99b58ef53e6/codex-3000/compositions/Ruines et lieux dégradés visitables/DW-1976.md</x:v>
      </x:c>
      <x:c r="K1981" t="str">
        <x:v>Source min 20,16 m ; max 180,120 m ; modèle 25 × 18 m ; niveaux 0. Détails dans catalogue-existant.json.</x:v>
      </x:c>
    </x:row>
    <x:row r="1982">
      <x:c r="A1982" t="str">
        <x:v>DW-1977</x:v>
      </x:c>
      <x:c r="B1982" t="str">
        <x:v>DW-0489</x:v>
      </x:c>
      <x:c r="C1982" t="str">
        <x:v>Composition héritée</x:v>
      </x:c>
      <x:c r="D1982" t="str">
        <x:v>Ruines et lieux dégradés visitables</x:v>
      </x:c>
      <x:c r="E1982" t="str">
        <x:v>Usine en friche — Ruine envahie et reprise végétale / évacuation interrompue</x:v>
      </x:c>
      <x:c r="F1982" t="n">
        <x:v>8</x:v>
      </x:c>
      <x:c r="G1982" t="n">
        <x:v>4</x:v>
      </x:c>
      <x:c r="H1982" t="n">
        <x:v>12</x:v>
      </x:c>
      <x:c r="I1982" t="str">
        <x:v>À qualifier par lieu</x:v>
      </x:c>
      <x:c r="J1982" t="str">
        <x:v>https://github.com/darknigthmare/deadwall-last-enclosure/blob/e28f46223e73105ab2c5d83f3d50b99b58ef53e6/codex-3000/compositions/Ruines et lieux dégradés visitables/DW-1977.md</x:v>
      </x:c>
      <x:c r="K1982" t="str">
        <x:v>Source min 20,16 m ; max 180,120 m ; modèle 25 × 18 m ; niveaux 0. Détails dans catalogue-existant.json.</x:v>
      </x:c>
    </x:row>
    <x:row r="1983">
      <x:c r="A1983" t="str">
        <x:v>DW-1978</x:v>
      </x:c>
      <x:c r="B1983" t="str">
        <x:v>DW-0489</x:v>
      </x:c>
      <x:c r="C1983" t="str">
        <x:v>Composition héritée</x:v>
      </x:c>
      <x:c r="D1983" t="str">
        <x:v>Ruines et lieux dégradés visitables</x:v>
      </x:c>
      <x:c r="E1983" t="str">
        <x:v>Usine en friche — Zone industrielle / service déplacé à l’arrière</x:v>
      </x:c>
      <x:c r="F1983" t="n">
        <x:v>8</x:v>
      </x:c>
      <x:c r="G1983" t="n">
        <x:v>4</x:v>
      </x:c>
      <x:c r="H1983" t="n">
        <x:v>12</x:v>
      </x:c>
      <x:c r="I1983" t="str">
        <x:v>À qualifier par lieu</x:v>
      </x:c>
      <x:c r="J1983" t="str">
        <x:v>https://github.com/darknigthmare/deadwall-last-enclosure/blob/e28f46223e73105ab2c5d83f3d50b99b58ef53e6/codex-3000/compositions/Ruines et lieux dégradés visitables/DW-1978.md</x:v>
      </x:c>
      <x:c r="K1983" t="str">
        <x:v>Source min 20,16 m ; max 180,120 m ; modèle 25 × 18 m ; niveaux 0. Détails dans catalogue-existant.json.</x:v>
      </x:c>
    </x:row>
    <x:row r="1984">
      <x:c r="A1984" t="str">
        <x:v>DW-1979</x:v>
      </x:c>
      <x:c r="B1984" t="str">
        <x:v>DW-0490</x:v>
      </x:c>
      <x:c r="C1984" t="str">
        <x:v>Composition héritée</x:v>
      </x:c>
      <x:c r="D1984" t="str">
        <x:v>Ruines et lieux dégradés visitables</x:v>
      </x:c>
      <x:c r="E1984" t="str">
        <x:v>École endommagée — Centre ancien / arrêt de maintenance</x:v>
      </x:c>
      <x:c r="F1984" t="n">
        <x:v>8</x:v>
      </x:c>
      <x:c r="G1984" t="n">
        <x:v>4</x:v>
      </x:c>
      <x:c r="H1984" t="n">
        <x:v>12</x:v>
      </x:c>
      <x:c r="I1984" t="str">
        <x:v>À qualifier par lieu</x:v>
      </x:c>
      <x:c r="J1984" t="str">
        <x:v>https://github.com/darknigthmare/deadwall-last-enclosure/blob/e28f46223e73105ab2c5d83f3d50b99b58ef53e6/codex-3000/compositions/Ruines et lieux dégradés visitables/DW-1979.md</x:v>
      </x:c>
      <x:c r="K1984" t="str">
        <x:v>Source min 20,16 m ; max 180,120 m ; modèle 25 × 18 m ; niveaux 0. Détails dans catalogue-existant.json.</x:v>
      </x:c>
    </x:row>
    <x:row r="1985">
      <x:c r="A1985" t="str">
        <x:v>DW-1980</x:v>
      </x:c>
      <x:c r="B1985" t="str">
        <x:v>DW-0490</x:v>
      </x:c>
      <x:c r="C1985" t="str">
        <x:v>Composition héritée</x:v>
      </x:c>
      <x:c r="D1985" t="str">
        <x:v>Ruines et lieux dégradés visitables</x:v>
      </x:c>
      <x:c r="E1985" t="str">
        <x:v>École endommagée — Petit bois et lisière / reprise progressive de la végétation</x:v>
      </x:c>
      <x:c r="F1985" t="n">
        <x:v>8</x:v>
      </x:c>
      <x:c r="G1985" t="n">
        <x:v>4</x:v>
      </x:c>
      <x:c r="H1985" t="n">
        <x:v>12</x:v>
      </x:c>
      <x:c r="I1985" t="str">
        <x:v>À qualifier par lieu</x:v>
      </x:c>
      <x:c r="J1985" t="str">
        <x:v>https://github.com/darknigthmare/deadwall-last-enclosure/blob/e28f46223e73105ab2c5d83f3d50b99b58ef53e6/codex-3000/compositions/Ruines et lieux dégradés visitables/DW-1980.md</x:v>
      </x:c>
      <x:c r="K1985" t="str">
        <x:v>Source min 20,16 m ; max 180,120 m ; modèle 25 × 18 m ; niveaux 0. Détails dans catalogue-existant.json.</x:v>
      </x:c>
    </x:row>
    <x:row r="1986">
      <x:c r="A1986" t="str">
        <x:v>DW-1981</x:v>
      </x:c>
      <x:c r="B1986" t="str">
        <x:v>DW-0491</x:v>
      </x:c>
      <x:c r="C1986" t="str">
        <x:v>Composition héritée</x:v>
      </x:c>
      <x:c r="D1986" t="str">
        <x:v>Ruines et lieux dégradés visitables</x:v>
      </x:c>
      <x:c r="E1986" t="str">
        <x:v>Hôpital évacué — Zone industrielle / première récupération passée</x:v>
      </x:c>
      <x:c r="F1986" t="n">
        <x:v>8</x:v>
      </x:c>
      <x:c r="G1986" t="n">
        <x:v>4</x:v>
      </x:c>
      <x:c r="H1986" t="n">
        <x:v>12</x:v>
      </x:c>
      <x:c r="I1986" t="str">
        <x:v>À qualifier par lieu</x:v>
      </x:c>
      <x:c r="J1986" t="str">
        <x:v>https://github.com/darknigthmare/deadwall-last-enclosure/blob/e28f46223e73105ab2c5d83f3d50b99b58ef53e6/codex-3000/compositions/Ruines et lieux dégradés visitables/DW-1981.md</x:v>
      </x:c>
      <x:c r="K1986" t="str">
        <x:v>Source min 20,16 m ; max 180,120 m ; modèle 25 × 18 m ; niveaux 0. Détails dans catalogue-existant.json.</x:v>
      </x:c>
    </x:row>
    <x:row r="1987">
      <x:c r="A1987" t="str">
        <x:v>DW-1982</x:v>
      </x:c>
      <x:c r="B1987" t="str">
        <x:v>DW-0491</x:v>
      </x:c>
      <x:c r="C1987" t="str">
        <x:v>Composition héritée</x:v>
      </x:c>
      <x:c r="D1987" t="str">
        <x:v>Ruines et lieux dégradés visitables</x:v>
      </x:c>
      <x:c r="E1987" t="str">
        <x:v>Hôpital évacué — Ruine envahie et reprise végétale / relais temporaire envisagé</x:v>
      </x:c>
      <x:c r="F1987" t="n">
        <x:v>8</x:v>
      </x:c>
      <x:c r="G1987" t="n">
        <x:v>4</x:v>
      </x:c>
      <x:c r="H1987" t="n">
        <x:v>12</x:v>
      </x:c>
      <x:c r="I1987" t="str">
        <x:v>À qualifier par lieu</x:v>
      </x:c>
      <x:c r="J1987" t="str">
        <x:v>https://github.com/darknigthmare/deadwall-last-enclosure/blob/e28f46223e73105ab2c5d83f3d50b99b58ef53e6/codex-3000/compositions/Ruines et lieux dégradés visitables/DW-1982.md</x:v>
      </x:c>
      <x:c r="K1987" t="str">
        <x:v>Source min 20,16 m ; max 180,120 m ; modèle 25 × 18 m ; niveaux 0. Détails dans catalogue-existant.json.</x:v>
      </x:c>
    </x:row>
    <x:row r="1988">
      <x:c r="A1988" t="str">
        <x:v>DW-1983</x:v>
      </x:c>
      <x:c r="B1988" t="str">
        <x:v>DW-0492</x:v>
      </x:c>
      <x:c r="C1988" t="str">
        <x:v>Composition héritée</x:v>
      </x:c>
      <x:c r="D1988" t="str">
        <x:v>Ruines et lieux dégradés visitables</x:v>
      </x:c>
      <x:c r="E1988" t="str">
        <x:v>Église en ruine — Petit bois et lisière / service déplacé à l’arrière</x:v>
      </x:c>
      <x:c r="F1988" t="n">
        <x:v>8</x:v>
      </x:c>
      <x:c r="G1988" t="n">
        <x:v>4</x:v>
      </x:c>
      <x:c r="H1988" t="n">
        <x:v>12</x:v>
      </x:c>
      <x:c r="I1988" t="str">
        <x:v>À qualifier par lieu</x:v>
      </x:c>
      <x:c r="J1988" t="str">
        <x:v>https://github.com/darknigthmare/deadwall-last-enclosure/blob/e28f46223e73105ab2c5d83f3d50b99b58ef53e6/codex-3000/compositions/Ruines et lieux dégradés visitables/DW-1983.md</x:v>
      </x:c>
      <x:c r="K1988" t="str">
        <x:v>Source min 20,16 m ; max 180,120 m ; modèle 25 × 18 m ; niveaux 0. Détails dans catalogue-existant.json.</x:v>
      </x:c>
    </x:row>
    <x:row r="1989">
      <x:c r="A1989" t="str">
        <x:v>DW-1984</x:v>
      </x:c>
      <x:c r="B1989" t="str">
        <x:v>DW-0492</x:v>
      </x:c>
      <x:c r="C1989" t="str">
        <x:v>Composition héritée</x:v>
      </x:c>
      <x:c r="D1989" t="str">
        <x:v>Ruines et lieux dégradés visitables</x:v>
      </x:c>
      <x:c r="E1989" t="str">
        <x:v>Église en ruine — Centre ancien / réseau principal coupé</x:v>
      </x:c>
      <x:c r="F1989" t="n">
        <x:v>8</x:v>
      </x:c>
      <x:c r="G1989" t="n">
        <x:v>4</x:v>
      </x:c>
      <x:c r="H1989" t="n">
        <x:v>12</x:v>
      </x:c>
      <x:c r="I1989" t="str">
        <x:v>À qualifier par lieu</x:v>
      </x:c>
      <x:c r="J1989" t="str">
        <x:v>https://github.com/darknigthmare/deadwall-last-enclosure/blob/e28f46223e73105ab2c5d83f3d50b99b58ef53e6/codex-3000/compositions/Ruines et lieux dégradés visitables/DW-1984.md</x:v>
      </x:c>
      <x:c r="K1989" t="str">
        <x:v>Source min 20,16 m ; max 180,120 m ; modèle 25 × 18 m ; niveaux 0. Détails dans catalogue-existant.json.</x:v>
      </x:c>
    </x:row>
    <x:row r="1990">
      <x:c r="A1990" t="str">
        <x:v>DW-1985</x:v>
      </x:c>
      <x:c r="B1990" t="str">
        <x:v>DW-0493</x:v>
      </x:c>
      <x:c r="C1990" t="str">
        <x:v>Composition héritée</x:v>
      </x:c>
      <x:c r="D1990" t="str">
        <x:v>Ruines et lieux dégradés visitables</x:v>
      </x:c>
      <x:c r="E1990" t="str">
        <x:v>Fort envahi par la végétation — Ruine envahie et reprise végétale / reprise progressive de la végétation</x:v>
      </x:c>
      <x:c r="F1990" t="n">
        <x:v>8</x:v>
      </x:c>
      <x:c r="G1990" t="n">
        <x:v>4</x:v>
      </x:c>
      <x:c r="H1990" t="n">
        <x:v>10</x:v>
      </x:c>
      <x:c r="I1990" t="str">
        <x:v>À qualifier par lieu</x:v>
      </x:c>
      <x:c r="J1990" t="str">
        <x:v>https://github.com/darknigthmare/deadwall-last-enclosure/blob/e28f46223e73105ab2c5d83f3d50b99b58ef53e6/codex-3000/compositions/Ruines et lieux dégradés visitables/DW-1985.md</x:v>
      </x:c>
      <x:c r="K1990" t="str">
        <x:v>Source min 20,16 m ; max 180,120 m ; modèle 25 × 18 m ; niveaux 0. Détails dans catalogue-existant.json.</x:v>
      </x:c>
    </x:row>
    <x:row r="1991">
      <x:c r="A1991" t="str">
        <x:v>DW-1986</x:v>
      </x:c>
      <x:c r="B1991" t="str">
        <x:v>DW-0493</x:v>
      </x:c>
      <x:c r="C1991" t="str">
        <x:v>Composition héritée</x:v>
      </x:c>
      <x:c r="D1991" t="str">
        <x:v>Ruines et lieux dégradés visitables</x:v>
      </x:c>
      <x:c r="E1991" t="str">
        <x:v>Fort envahi par la végétation — Zone industrielle / repli organisé interrompu</x:v>
      </x:c>
      <x:c r="F1991" t="n">
        <x:v>8</x:v>
      </x:c>
      <x:c r="G1991" t="n">
        <x:v>4</x:v>
      </x:c>
      <x:c r="H1991" t="n">
        <x:v>10</x:v>
      </x:c>
      <x:c r="I1991" t="str">
        <x:v>À qualifier par lieu</x:v>
      </x:c>
      <x:c r="J1991" t="str">
        <x:v>https://github.com/darknigthmare/deadwall-last-enclosure/blob/e28f46223e73105ab2c5d83f3d50b99b58ef53e6/codex-3000/compositions/Ruines et lieux dégradés visitables/DW-1986.md</x:v>
      </x:c>
      <x:c r="K1991" t="str">
        <x:v>Source min 20,16 m ; max 180,120 m ; modèle 25 × 18 m ; niveaux 0. Détails dans catalogue-existant.json.</x:v>
      </x:c>
    </x:row>
    <x:row r="1992">
      <x:c r="A1992" t="str">
        <x:v>DW-1987</x:v>
      </x:c>
      <x:c r="B1992" t="str">
        <x:v>DW-0494</x:v>
      </x:c>
      <x:c r="C1992" t="str">
        <x:v>Composition héritée</x:v>
      </x:c>
      <x:c r="D1992" t="str">
        <x:v>Ruines et lieux dégradés visitables</x:v>
      </x:c>
      <x:c r="E1992" t="str">
        <x:v>Station-service brûlée — Centre ancien / relais temporaire envisagé</x:v>
      </x:c>
      <x:c r="F1992" t="n">
        <x:v>8</x:v>
      </x:c>
      <x:c r="G1992" t="n">
        <x:v>4</x:v>
      </x:c>
      <x:c r="H1992" t="n">
        <x:v>12</x:v>
      </x:c>
      <x:c r="I1992" t="str">
        <x:v>À qualifier par lieu</x:v>
      </x:c>
      <x:c r="J1992" t="str">
        <x:v>https://github.com/darknigthmare/deadwall-last-enclosure/blob/e28f46223e73105ab2c5d83f3d50b99b58ef53e6/codex-3000/compositions/Ruines et lieux dégradés visitables/DW-1987.md</x:v>
      </x:c>
      <x:c r="K1992" t="str">
        <x:v>Source min 20,16 m ; max 180,120 m ; modèle 25 × 18 m ; niveaux 0. Détails dans catalogue-existant.json.</x:v>
      </x:c>
    </x:row>
    <x:row r="1993">
      <x:c r="A1993" t="str">
        <x:v>DW-1988</x:v>
      </x:c>
      <x:c r="B1993" t="str">
        <x:v>DW-0494</x:v>
      </x:c>
      <x:c r="C1993" t="str">
        <x:v>Composition héritée</x:v>
      </x:c>
      <x:c r="D1993" t="str">
        <x:v>Ruines et lieux dégradés visitables</x:v>
      </x:c>
      <x:c r="E1993" t="str">
        <x:v>Station-service brûlée — Petit bois et lisière / évacuation interrompue</x:v>
      </x:c>
      <x:c r="F1993" t="n">
        <x:v>8</x:v>
      </x:c>
      <x:c r="G1993" t="n">
        <x:v>4</x:v>
      </x:c>
      <x:c r="H1993" t="n">
        <x:v>12</x:v>
      </x:c>
      <x:c r="I1993" t="str">
        <x:v>À qualifier par lieu</x:v>
      </x:c>
      <x:c r="J1993" t="str">
        <x:v>https://github.com/darknigthmare/deadwall-last-enclosure/blob/e28f46223e73105ab2c5d83f3d50b99b58ef53e6/codex-3000/compositions/Ruines et lieux dégradés visitables/DW-1988.md</x:v>
      </x:c>
      <x:c r="K1993" t="str">
        <x:v>Source min 20,16 m ; max 180,120 m ; modèle 25 × 18 m ; niveaux 0. Détails dans catalogue-existant.json.</x:v>
      </x:c>
    </x:row>
    <x:row r="1994">
      <x:c r="A1994" t="str">
        <x:v>DW-1989</x:v>
      </x:c>
      <x:c r="B1994" t="str">
        <x:v>DW-0495</x:v>
      </x:c>
      <x:c r="C1994" t="str">
        <x:v>Composition héritée</x:v>
      </x:c>
      <x:c r="D1994" t="str">
        <x:v>Ruines et lieux dégradés visitables</x:v>
      </x:c>
      <x:c r="E1994" t="str">
        <x:v>Pont rompu — Zone industrielle / réseau principal coupé</x:v>
      </x:c>
      <x:c r="F1994" t="n">
        <x:v>8</x:v>
      </x:c>
      <x:c r="G1994" t="n">
        <x:v>4</x:v>
      </x:c>
      <x:c r="H1994" t="n">
        <x:v>12</x:v>
      </x:c>
      <x:c r="I1994" t="str">
        <x:v>À qualifier par lieu</x:v>
      </x:c>
      <x:c r="J1994" t="str">
        <x:v>https://github.com/darknigthmare/deadwall-last-enclosure/blob/e28f46223e73105ab2c5d83f3d50b99b58ef53e6/codex-3000/compositions/Ruines et lieux dégradés visitables/DW-1989.md</x:v>
      </x:c>
      <x:c r="K1994" t="str">
        <x:v>Source min 20,16 m ; max 180,120 m ; modèle 25 × 18 m ; niveaux 0. Détails dans catalogue-existant.json.</x:v>
      </x:c>
    </x:row>
    <x:row r="1995">
      <x:c r="A1995" t="str">
        <x:v>DW-1990</x:v>
      </x:c>
      <x:c r="B1995" t="str">
        <x:v>DW-0495</x:v>
      </x:c>
      <x:c r="C1995" t="str">
        <x:v>Composition héritée</x:v>
      </x:c>
      <x:c r="D1995" t="str">
        <x:v>Ruines et lieux dégradés visitables</x:v>
      </x:c>
      <x:c r="E1995" t="str">
        <x:v>Pont rompu — Ruine envahie et reprise végétale / arrêt de maintenance</x:v>
      </x:c>
      <x:c r="F1995" t="n">
        <x:v>8</x:v>
      </x:c>
      <x:c r="G1995" t="n">
        <x:v>4</x:v>
      </x:c>
      <x:c r="H1995" t="n">
        <x:v>12</x:v>
      </x:c>
      <x:c r="I1995" t="str">
        <x:v>À qualifier par lieu</x:v>
      </x:c>
      <x:c r="J1995" t="str">
        <x:v>https://github.com/darknigthmare/deadwall-last-enclosure/blob/e28f46223e73105ab2c5d83f3d50b99b58ef53e6/codex-3000/compositions/Ruines et lieux dégradés visitables/DW-1990.md</x:v>
      </x:c>
      <x:c r="K1995" t="str">
        <x:v>Source min 20,16 m ; max 180,120 m ; modèle 25 × 18 m ; niveaux 0. Détails dans catalogue-existant.json.</x:v>
      </x:c>
    </x:row>
    <x:row r="1996">
      <x:c r="A1996" t="str">
        <x:v>DW-1991</x:v>
      </x:c>
      <x:c r="B1996" t="str">
        <x:v>DW-0496</x:v>
      </x:c>
      <x:c r="C1996" t="str">
        <x:v>Composition héritée</x:v>
      </x:c>
      <x:c r="D1996" t="str">
        <x:v>Ruines et lieux dégradés visitables</x:v>
      </x:c>
      <x:c r="E1996" t="str">
        <x:v>Tunnel obstrué — Petit bois et lisière / repli organisé interrompu</x:v>
      </x:c>
      <x:c r="F1996" t="n">
        <x:v>8</x:v>
      </x:c>
      <x:c r="G1996" t="n">
        <x:v>4</x:v>
      </x:c>
      <x:c r="H1996" t="n">
        <x:v>12</x:v>
      </x:c>
      <x:c r="I1996" t="str">
        <x:v>À qualifier par lieu</x:v>
      </x:c>
      <x:c r="J1996" t="str">
        <x:v>https://github.com/darknigthmare/deadwall-last-enclosure/blob/e28f46223e73105ab2c5d83f3d50b99b58ef53e6/codex-3000/compositions/Ruines et lieux dégradés visitables/DW-1991.md</x:v>
      </x:c>
      <x:c r="K1996" t="str">
        <x:v>Source min 20,16 m ; max 180,120 m ; modèle 25 × 18 m ; niveaux 0. Détails dans catalogue-existant.json.</x:v>
      </x:c>
    </x:row>
    <x:row r="1997">
      <x:c r="A1997" t="str">
        <x:v>DW-1992</x:v>
      </x:c>
      <x:c r="B1997" t="str">
        <x:v>DW-0496</x:v>
      </x:c>
      <x:c r="C1997" t="str">
        <x:v>Composition héritée</x:v>
      </x:c>
      <x:c r="D1997" t="str">
        <x:v>Ruines et lieux dégradés visitables</x:v>
      </x:c>
      <x:c r="E1997" t="str">
        <x:v>Tunnel obstrué — Centre ancien / première récupération passée</x:v>
      </x:c>
      <x:c r="F1997" t="n">
        <x:v>8</x:v>
      </x:c>
      <x:c r="G1997" t="n">
        <x:v>4</x:v>
      </x:c>
      <x:c r="H1997" t="n">
        <x:v>12</x:v>
      </x:c>
      <x:c r="I1997" t="str">
        <x:v>À qualifier par lieu</x:v>
      </x:c>
      <x:c r="J1997" t="str">
        <x:v>https://github.com/darknigthmare/deadwall-last-enclosure/blob/e28f46223e73105ab2c5d83f3d50b99b58ef53e6/codex-3000/compositions/Ruines et lieux dégradés visitables/DW-1992.md</x:v>
      </x:c>
      <x:c r="K1997" t="str">
        <x:v>Source min 20,16 m ; max 180,120 m ; modèle 25 × 18 m ; niveaux 0. Détails dans catalogue-existant.json.</x:v>
      </x:c>
    </x:row>
    <x:row r="1998">
      <x:c r="A1998" t="str">
        <x:v>DW-1993</x:v>
      </x:c>
      <x:c r="B1998" t="str">
        <x:v>DW-0497</x:v>
      </x:c>
      <x:c r="C1998" t="str">
        <x:v>Composition héritée</x:v>
      </x:c>
      <x:c r="D1998" t="str">
        <x:v>Ruines et lieux dégradés visitables</x:v>
      </x:c>
      <x:c r="E1998" t="str">
        <x:v>Mine abandonnée visitable — Ruine envahie et reprise végétale / évacuation interrompue</x:v>
      </x:c>
      <x:c r="F1998" t="n">
        <x:v>8</x:v>
      </x:c>
      <x:c r="G1998" t="n">
        <x:v>4</x:v>
      </x:c>
      <x:c r="H1998" t="n">
        <x:v>10</x:v>
      </x:c>
      <x:c r="I1998" t="str">
        <x:v>À qualifier par lieu</x:v>
      </x:c>
      <x:c r="J1998" t="str">
        <x:v>https://github.com/darknigthmare/deadwall-last-enclosure/blob/e28f46223e73105ab2c5d83f3d50b99b58ef53e6/codex-3000/compositions/Ruines et lieux dégradés visitables/DW-1993.md</x:v>
      </x:c>
      <x:c r="K1998" t="str">
        <x:v>Source min 20,16 m ; max 180,120 m ; modèle 25 × 18 m ; niveaux -1, 0. Détails dans catalogue-existant.json.</x:v>
      </x:c>
    </x:row>
    <x:row r="1999">
      <x:c r="A1999" t="str">
        <x:v>DW-1994</x:v>
      </x:c>
      <x:c r="B1999" t="str">
        <x:v>DW-0497</x:v>
      </x:c>
      <x:c r="C1999" t="str">
        <x:v>Composition héritée</x:v>
      </x:c>
      <x:c r="D1999" t="str">
        <x:v>Ruines et lieux dégradés visitables</x:v>
      </x:c>
      <x:c r="E1999" t="str">
        <x:v>Mine abandonnée visitable — Zone industrielle / service déplacé à l’arrière</x:v>
      </x:c>
      <x:c r="F1999" t="n">
        <x:v>8</x:v>
      </x:c>
      <x:c r="G1999" t="n">
        <x:v>4</x:v>
      </x:c>
      <x:c r="H1999" t="n">
        <x:v>10</x:v>
      </x:c>
      <x:c r="I1999" t="str">
        <x:v>À qualifier par lieu</x:v>
      </x:c>
      <x:c r="J1999" t="str">
        <x:v>https://github.com/darknigthmare/deadwall-last-enclosure/blob/e28f46223e73105ab2c5d83f3d50b99b58ef53e6/codex-3000/compositions/Ruines et lieux dégradés visitables/DW-1994.md</x:v>
      </x:c>
      <x:c r="K1999" t="str">
        <x:v>Source min 20,16 m ; max 180,120 m ; modèle 25 × 18 m ; niveaux -1, 0. Détails dans catalogue-existant.json.</x:v>
      </x:c>
    </x:row>
    <x:row r="2000">
      <x:c r="A2000" t="str">
        <x:v>DW-1995</x:v>
      </x:c>
      <x:c r="B2000" t="str">
        <x:v>DW-0498</x:v>
      </x:c>
      <x:c r="C2000" t="str">
        <x:v>Composition héritée</x:v>
      </x:c>
      <x:c r="D2000" t="str">
        <x:v>Ruines et lieux dégradés visitables</x:v>
      </x:c>
      <x:c r="E2000" t="str">
        <x:v>Motel gagné par la forêt — Centre ancien / arrêt de maintenance</x:v>
      </x:c>
      <x:c r="F2000" t="n">
        <x:v>8</x:v>
      </x:c>
      <x:c r="G2000" t="n">
        <x:v>4</x:v>
      </x:c>
      <x:c r="H2000" t="n">
        <x:v>10</x:v>
      </x:c>
      <x:c r="I2000" t="str">
        <x:v>À qualifier par lieu</x:v>
      </x:c>
      <x:c r="J2000" t="str">
        <x:v>https://github.com/darknigthmare/deadwall-last-enclosure/blob/e28f46223e73105ab2c5d83f3d50b99b58ef53e6/codex-3000/compositions/Ruines et lieux dégradés visitables/DW-1995.md</x:v>
      </x:c>
      <x:c r="K2000" t="str">
        <x:v>Source min 20,16 m ; max 180,120 m ; modèle 25 × 18 m ; niveaux 0, 1. Détails dans catalogue-existant.json.</x:v>
      </x:c>
    </x:row>
    <x:row r="2001">
      <x:c r="A2001" t="str">
        <x:v>DW-1996</x:v>
      </x:c>
      <x:c r="B2001" t="str">
        <x:v>DW-0498</x:v>
      </x:c>
      <x:c r="C2001" t="str">
        <x:v>Composition héritée</x:v>
      </x:c>
      <x:c r="D2001" t="str">
        <x:v>Ruines et lieux dégradés visitables</x:v>
      </x:c>
      <x:c r="E2001" t="str">
        <x:v>Motel gagné par la forêt — Petit bois et lisière / reprise progressive de la végétation</x:v>
      </x:c>
      <x:c r="F2001" t="n">
        <x:v>8</x:v>
      </x:c>
      <x:c r="G2001" t="n">
        <x:v>4</x:v>
      </x:c>
      <x:c r="H2001" t="n">
        <x:v>10</x:v>
      </x:c>
      <x:c r="I2001" t="str">
        <x:v>À qualifier par lieu</x:v>
      </x:c>
      <x:c r="J2001" t="str">
        <x:v>https://github.com/darknigthmare/deadwall-last-enclosure/blob/e28f46223e73105ab2c5d83f3d50b99b58ef53e6/codex-3000/compositions/Ruines et lieux dégradés visitables/DW-1996.md</x:v>
      </x:c>
      <x:c r="K2001" t="str">
        <x:v>Source min 20,16 m ; max 180,120 m ; modèle 25 × 18 m ; niveaux 0, 1. Détails dans catalogue-existant.json.</x:v>
      </x:c>
    </x:row>
    <x:row r="2002">
      <x:c r="A2002" t="str">
        <x:v>DW-1997</x:v>
      </x:c>
      <x:c r="B2002" t="str">
        <x:v>DW-0499</x:v>
      </x:c>
      <x:c r="C2002" t="str">
        <x:v>Composition héritée</x:v>
      </x:c>
      <x:c r="D2002" t="str">
        <x:v>Ruines et lieux dégradés visitables</x:v>
      </x:c>
      <x:c r="E2002" t="str">
        <x:v>Village ruiné visitable — Zone industrielle / première récupération passée</x:v>
      </x:c>
      <x:c r="F2002" t="n">
        <x:v>8</x:v>
      </x:c>
      <x:c r="G2002" t="n">
        <x:v>5</x:v>
      </x:c>
      <x:c r="H2002" t="n">
        <x:v>15</x:v>
      </x:c>
      <x:c r="I2002" t="str">
        <x:v>À qualifier par lieu</x:v>
      </x:c>
      <x:c r="J2002" t="str">
        <x:v>https://github.com/darknigthmare/deadwall-last-enclosure/blob/e28f46223e73105ab2c5d83f3d50b99b58ef53e6/codex-3000/compositions/Ruines et lieux dégradés visitables/DW-1997.md</x:v>
      </x:c>
      <x:c r="K2002" t="str">
        <x:v>Source min 20,16 m ; max 180,120 m ; modèle 26 × 22 m ; niveaux 0. Détails dans catalogue-existant.json.</x:v>
      </x:c>
    </x:row>
    <x:row r="2003">
      <x:c r="A2003" t="str">
        <x:v>DW-1998</x:v>
      </x:c>
      <x:c r="B2003" t="str">
        <x:v>DW-0499</x:v>
      </x:c>
      <x:c r="C2003" t="str">
        <x:v>Composition héritée</x:v>
      </x:c>
      <x:c r="D2003" t="str">
        <x:v>Ruines et lieux dégradés visitables</x:v>
      </x:c>
      <x:c r="E2003" t="str">
        <x:v>Village ruiné visitable — Ruine envahie et reprise végétale / relais temporaire envisagé</x:v>
      </x:c>
      <x:c r="F2003" t="n">
        <x:v>8</x:v>
      </x:c>
      <x:c r="G2003" t="n">
        <x:v>5</x:v>
      </x:c>
      <x:c r="H2003" t="n">
        <x:v>15</x:v>
      </x:c>
      <x:c r="I2003" t="str">
        <x:v>À qualifier par lieu</x:v>
      </x:c>
      <x:c r="J2003" t="str">
        <x:v>https://github.com/darknigthmare/deadwall-last-enclosure/blob/e28f46223e73105ab2c5d83f3d50b99b58ef53e6/codex-3000/compositions/Ruines et lieux dégradés visitables/DW-1998.md</x:v>
      </x:c>
      <x:c r="K2003" t="str">
        <x:v>Source min 20,16 m ; max 180,120 m ; modèle 26 × 22 m ; niveaux 0. Détails dans catalogue-existant.json.</x:v>
      </x:c>
    </x:row>
    <x:row r="2004">
      <x:c r="A2004" t="str">
        <x:v>DW-1999</x:v>
      </x:c>
      <x:c r="B2004" t="str">
        <x:v>DW-0500</x:v>
      </x:c>
      <x:c r="C2004" t="str">
        <x:v>Composition héritée</x:v>
      </x:c>
      <x:c r="D2004" t="str">
        <x:v>Ruines et lieux dégradés visitables</x:v>
      </x:c>
      <x:c r="E2004" t="str">
        <x:v>Bunker civil dégradé — Petit bois et lisière / service déplacé à l’arrière</x:v>
      </x:c>
      <x:c r="F2004" t="n">
        <x:v>8</x:v>
      </x:c>
      <x:c r="G2004" t="n">
        <x:v>5</x:v>
      </x:c>
      <x:c r="H2004" t="n">
        <x:v>13</x:v>
      </x:c>
      <x:c r="I2004" t="str">
        <x:v>À qualifier par lieu</x:v>
      </x:c>
      <x:c r="J2004" t="str">
        <x:v>https://github.com/darknigthmare/deadwall-last-enclosure/blob/e28f46223e73105ab2c5d83f3d50b99b58ef53e6/codex-3000/compositions/Ruines et lieux dégradés visitables/DW-1999.md</x:v>
      </x:c>
      <x:c r="K2004" t="str">
        <x:v>Source min 20,16 m ; max 180,120 m ; modèle 26 × 22 m ; niveaux -1, 0. Détails dans catalogue-existant.json.</x:v>
      </x:c>
    </x:row>
    <x:row r="2005">
      <x:c r="A2005" t="str">
        <x:v>DW-2000</x:v>
      </x:c>
      <x:c r="B2005" t="str">
        <x:v>DW-0500</x:v>
      </x:c>
      <x:c r="C2005" t="str">
        <x:v>Composition héritée</x:v>
      </x:c>
      <x:c r="D2005" t="str">
        <x:v>Ruines et lieux dégradés visitables</x:v>
      </x:c>
      <x:c r="E2005" t="str">
        <x:v>Bunker civil dégradé — Centre ancien / réseau principal coupé</x:v>
      </x:c>
      <x:c r="F2005" t="n">
        <x:v>8</x:v>
      </x:c>
      <x:c r="G2005" t="n">
        <x:v>5</x:v>
      </x:c>
      <x:c r="H2005" t="n">
        <x:v>13</x:v>
      </x:c>
      <x:c r="I2005" t="str">
        <x:v>À qualifier par lieu</x:v>
      </x:c>
      <x:c r="J2005" t="str">
        <x:v>https://github.com/darknigthmare/deadwall-last-enclosure/blob/e28f46223e73105ab2c5d83f3d50b99b58ef53e6/codex-3000/compositions/Ruines et lieux dégradés visitables/DW-2000.md</x:v>
      </x:c>
      <x:c r="K2005" t="str">
        <x:v>Source min 20,16 m ; max 180,120 m ; modèle 26 × 22 m ; niveaux -1, 0. Détails dans catalogue-existant.json.</x:v>
      </x:c>
    </x:row>
    <x:row r="2006">
      <x:c r="A2006" t="str">
        <x:v>DW-2001</x:v>
      </x:c>
      <x:c r="B2006" t="str">
        <x:v>DW-0501</x:v>
      </x:c>
      <x:c r="C2006" t="str">
        <x:v>Composition héritée</x:v>
      </x:c>
      <x:c r="D2006" t="str">
        <x:v>habitat</x:v>
      </x:c>
      <x:c r="E2006" t="str">
        <x:v>Maison de lotissement — variante 01 — Quartier pavillonnaire / reprise progressive de la végétation</x:v>
      </x:c>
      <x:c r="F2006" t="n">
        <x:v>8</x:v>
      </x:c>
      <x:c r="G2006" t="n">
        <x:v>5</x:v>
      </x:c>
      <x:c r="H2006" t="n">
        <x:v>0</x:v>
      </x:c>
      <x:c r="I2006" t="str">
        <x:v>À qualifier par lieu</x:v>
      </x:c>
      <x:c r="J2006" t="str">
        <x:v>https://github.com/darknigthmare/deadwall-last-enclosure/blob/e28f46223e73105ab2c5d83f3d50b99b58ef53e6/codex-3000/compositions/habitat/DW-2001.md</x:v>
      </x:c>
      <x:c r="K2006" t="str">
        <x:v>Source min 10,9 m ; max 10,9 m ; modèle 26 × 22 m ; niveaux 0, 1. Détails dans catalogue-existant.json.</x:v>
      </x:c>
    </x:row>
    <x:row r="2007">
      <x:c r="A2007" t="str">
        <x:v>DW-2002</x:v>
      </x:c>
      <x:c r="B2007" t="str">
        <x:v>DW-0501</x:v>
      </x:c>
      <x:c r="C2007" t="str">
        <x:v>Composition héritée</x:v>
      </x:c>
      <x:c r="D2007" t="str">
        <x:v>habitat</x:v>
      </x:c>
      <x:c r="E2007" t="str">
        <x:v>Maison de lotissement — variante 01 — Village et bourg / repli organisé interrompu</x:v>
      </x:c>
      <x:c r="F2007" t="n">
        <x:v>8</x:v>
      </x:c>
      <x:c r="G2007" t="n">
        <x:v>5</x:v>
      </x:c>
      <x:c r="H2007" t="n">
        <x:v>0</x:v>
      </x:c>
      <x:c r="I2007" t="str">
        <x:v>À qualifier par lieu</x:v>
      </x:c>
      <x:c r="J2007" t="str">
        <x:v>https://github.com/darknigthmare/deadwall-last-enclosure/blob/e28f46223e73105ab2c5d83f3d50b99b58ef53e6/codex-3000/compositions/habitat/DW-2002.md</x:v>
      </x:c>
      <x:c r="K2007" t="str">
        <x:v>Source min 10,9 m ; max 10,9 m ; modèle 26 × 22 m ; niveaux 0, 1. Détails dans catalogue-existant.json.</x:v>
      </x:c>
    </x:row>
    <x:row r="2008">
      <x:c r="A2008" t="str">
        <x:v>DW-2003</x:v>
      </x:c>
      <x:c r="B2008" t="str">
        <x:v>DW-0502</x:v>
      </x:c>
      <x:c r="C2008" t="str">
        <x:v>Composition héritée</x:v>
      </x:c>
      <x:c r="D2008" t="str">
        <x:v>habitat</x:v>
      </x:c>
      <x:c r="E2008" t="str">
        <x:v>Maison mitoyenne — variante 01 — Hameau / relais temporaire envisagé</x:v>
      </x:c>
      <x:c r="F2008" t="n">
        <x:v>8</x:v>
      </x:c>
      <x:c r="G2008" t="n">
        <x:v>5</x:v>
      </x:c>
      <x:c r="H2008" t="n">
        <x:v>0</x:v>
      </x:c>
      <x:c r="I2008" t="str">
        <x:v>À qualifier par lieu</x:v>
      </x:c>
      <x:c r="J2008" t="str">
        <x:v>https://github.com/darknigthmare/deadwall-last-enclosure/blob/e28f46223e73105ab2c5d83f3d50b99b58ef53e6/codex-3000/compositions/habitat/DW-2003.md</x:v>
      </x:c>
      <x:c r="K2008" t="str">
        <x:v>Source min 21,26 m ; max 21,26 m ; modèle 26 × 26 m ; niveaux 0. Détails dans catalogue-existant.json.</x:v>
      </x:c>
    </x:row>
    <x:row r="2009">
      <x:c r="A2009" t="str">
        <x:v>DW-2004</x:v>
      </x:c>
      <x:c r="B2009" t="str">
        <x:v>DW-0502</x:v>
      </x:c>
      <x:c r="C2009" t="str">
        <x:v>Composition héritée</x:v>
      </x:c>
      <x:c r="D2009" t="str">
        <x:v>habitat</x:v>
      </x:c>
      <x:c r="E2009" t="str">
        <x:v>Maison mitoyenne — variante 01 — Quartier collectif / évacuation interrompue</x:v>
      </x:c>
      <x:c r="F2009" t="n">
        <x:v>8</x:v>
      </x:c>
      <x:c r="G2009" t="n">
        <x:v>5</x:v>
      </x:c>
      <x:c r="H2009" t="n">
        <x:v>0</x:v>
      </x:c>
      <x:c r="I2009" t="str">
        <x:v>À qualifier par lieu</x:v>
      </x:c>
      <x:c r="J2009" t="str">
        <x:v>https://github.com/darknigthmare/deadwall-last-enclosure/blob/e28f46223e73105ab2c5d83f3d50b99b58ef53e6/codex-3000/compositions/habitat/DW-2004.md</x:v>
      </x:c>
      <x:c r="K2009" t="str">
        <x:v>Source min 21,26 m ; max 21,26 m ; modèle 26 × 26 m ; niveaux 0. Détails dans catalogue-existant.json.</x:v>
      </x:c>
    </x:row>
    <x:row r="2010">
      <x:c r="A2010" t="str">
        <x:v>DW-2005</x:v>
      </x:c>
      <x:c r="B2010" t="str">
        <x:v>DW-0503</x:v>
      </x:c>
      <x:c r="C2010" t="str">
        <x:v>Composition héritée</x:v>
      </x:c>
      <x:c r="D2010" t="str">
        <x:v>habitat</x:v>
      </x:c>
      <x:c r="E2010" t="str">
        <x:v>Villa isolée — variante 01 — Village et bourg / réseau principal coupé</x:v>
      </x:c>
      <x:c r="F2010" t="n">
        <x:v>8</x:v>
      </x:c>
      <x:c r="G2010" t="n">
        <x:v>7</x:v>
      </x:c>
      <x:c r="H2010" t="n">
        <x:v>0</x:v>
      </x:c>
      <x:c r="I2010" t="str">
        <x:v>À qualifier par lieu</x:v>
      </x:c>
      <x:c r="J2010" t="str">
        <x:v>https://github.com/darknigthmare/deadwall-last-enclosure/blob/e28f46223e73105ab2c5d83f3d50b99b58ef53e6/codex-3000/compositions/habitat/DW-2005.md</x:v>
      </x:c>
      <x:c r="K2010" t="str">
        <x:v>Source min 32,43 m ; max 32,43 m ; modèle 32 × 43 m ; niveaux 0. Détails dans catalogue-existant.json.</x:v>
      </x:c>
    </x:row>
    <x:row r="2011">
      <x:c r="A2011" t="str">
        <x:v>DW-2006</x:v>
      </x:c>
      <x:c r="B2011" t="str">
        <x:v>DW-0503</x:v>
      </x:c>
      <x:c r="C2011" t="str">
        <x:v>Composition héritée</x:v>
      </x:c>
      <x:c r="D2011" t="str">
        <x:v>habitat</x:v>
      </x:c>
      <x:c r="E2011" t="str">
        <x:v>Villa isolée — variante 01 — Quartier pavillonnaire / arrêt de maintenance</x:v>
      </x:c>
      <x:c r="F2011" t="n">
        <x:v>8</x:v>
      </x:c>
      <x:c r="G2011" t="n">
        <x:v>7</x:v>
      </x:c>
      <x:c r="H2011" t="n">
        <x:v>0</x:v>
      </x:c>
      <x:c r="I2011" t="str">
        <x:v>À qualifier par lieu</x:v>
      </x:c>
      <x:c r="J2011" t="str">
        <x:v>https://github.com/darknigthmare/deadwall-last-enclosure/blob/e28f46223e73105ab2c5d83f3d50b99b58ef53e6/codex-3000/compositions/habitat/DW-2006.md</x:v>
      </x:c>
      <x:c r="K2011" t="str">
        <x:v>Source min 32,43 m ; max 32,43 m ; modèle 32 × 43 m ; niveaux 0. Détails dans catalogue-existant.json.</x:v>
      </x:c>
    </x:row>
    <x:row r="2012">
      <x:c r="A2012" t="str">
        <x:v>DW-2007</x:v>
      </x:c>
      <x:c r="B2012" t="str">
        <x:v>DW-0504</x:v>
      </x:c>
      <x:c r="C2012" t="str">
        <x:v>Composition héritée</x:v>
      </x:c>
      <x:c r="D2012" t="str">
        <x:v>habitat</x:v>
      </x:c>
      <x:c r="E2012" t="str">
        <x:v>Ferme familiale — variante 01 — Quartier collectif / repli organisé interrompu</x:v>
      </x:c>
      <x:c r="F2012" t="n">
        <x:v>8</x:v>
      </x:c>
      <x:c r="G2012" t="n">
        <x:v>6</x:v>
      </x:c>
      <x:c r="H2012" t="n">
        <x:v>0</x:v>
      </x:c>
      <x:c r="I2012" t="str">
        <x:v>À qualifier par lieu</x:v>
      </x:c>
      <x:c r="J2012" t="str">
        <x:v>https://github.com/darknigthmare/deadwall-last-enclosure/blob/e28f46223e73105ab2c5d83f3d50b99b58ef53e6/codex-3000/compositions/habitat/DW-2007.md</x:v>
      </x:c>
      <x:c r="K2012" t="str">
        <x:v>Source min 43,60 m ; max 43,60 m ; modèle 43 × 60 m ; niveaux 0. Détails dans catalogue-existant.json.</x:v>
      </x:c>
    </x:row>
    <x:row r="2013">
      <x:c r="A2013" t="str">
        <x:v>DW-2008</x:v>
      </x:c>
      <x:c r="B2013" t="str">
        <x:v>DW-0504</x:v>
      </x:c>
      <x:c r="C2013" t="str">
        <x:v>Composition héritée</x:v>
      </x:c>
      <x:c r="D2013" t="str">
        <x:v>habitat</x:v>
      </x:c>
      <x:c r="E2013" t="str">
        <x:v>Ferme familiale — variante 01 — Hameau / première récupération passée</x:v>
      </x:c>
      <x:c r="F2013" t="n">
        <x:v>8</x:v>
      </x:c>
      <x:c r="G2013" t="n">
        <x:v>6</x:v>
      </x:c>
      <x:c r="H2013" t="n">
        <x:v>0</x:v>
      </x:c>
      <x:c r="I2013" t="str">
        <x:v>À qualifier par lieu</x:v>
      </x:c>
      <x:c r="J2013" t="str">
        <x:v>https://github.com/darknigthmare/deadwall-last-enclosure/blob/e28f46223e73105ab2c5d83f3d50b99b58ef53e6/codex-3000/compositions/habitat/DW-2008.md</x:v>
      </x:c>
      <x:c r="K2013" t="str">
        <x:v>Source min 43,60 m ; max 43,60 m ; modèle 43 × 60 m ; niveaux 0. Détails dans catalogue-existant.json.</x:v>
      </x:c>
    </x:row>
    <x:row r="2014">
      <x:c r="A2014" t="str">
        <x:v>DW-2009</x:v>
      </x:c>
      <x:c r="B2014" t="str">
        <x:v>DW-0505</x:v>
      </x:c>
      <x:c r="C2014" t="str">
        <x:v>Composition héritée</x:v>
      </x:c>
      <x:c r="D2014" t="str">
        <x:v>habitat</x:v>
      </x:c>
      <x:c r="E2014" t="str">
        <x:v>Immeuble résidentiel — variante 01 — Quartier pavillonnaire / évacuation interrompue</x:v>
      </x:c>
      <x:c r="F2014" t="n">
        <x:v>8</x:v>
      </x:c>
      <x:c r="G2014" t="n">
        <x:v>5</x:v>
      </x:c>
      <x:c r="H2014" t="n">
        <x:v>0</x:v>
      </x:c>
      <x:c r="I2014" t="str">
        <x:v>À qualifier par lieu</x:v>
      </x:c>
      <x:c r="J2014" t="str">
        <x:v>https://github.com/darknigthmare/deadwall-last-enclosure/blob/e28f46223e73105ab2c5d83f3d50b99b58ef53e6/codex-3000/compositions/habitat/DW-2009.md</x:v>
      </x:c>
      <x:c r="K2014" t="str">
        <x:v>Source min 54,23 m ; max 54,23 m ; modèle 54 × 23 m ; niveaux 0, 1, 2. Détails dans catalogue-existant.json.</x:v>
      </x:c>
    </x:row>
    <x:row r="2015">
      <x:c r="A2015" t="str">
        <x:v>DW-2010</x:v>
      </x:c>
      <x:c r="B2015" t="str">
        <x:v>DW-0505</x:v>
      </x:c>
      <x:c r="C2015" t="str">
        <x:v>Composition héritée</x:v>
      </x:c>
      <x:c r="D2015" t="str">
        <x:v>habitat</x:v>
      </x:c>
      <x:c r="E2015" t="str">
        <x:v>Immeuble résidentiel — variante 01 — Village et bourg / service déplacé à l’arrière</x:v>
      </x:c>
      <x:c r="F2015" t="n">
        <x:v>8</x:v>
      </x:c>
      <x:c r="G2015" t="n">
        <x:v>5</x:v>
      </x:c>
      <x:c r="H2015" t="n">
        <x:v>0</x:v>
      </x:c>
      <x:c r="I2015" t="str">
        <x:v>À qualifier par lieu</x:v>
      </x:c>
      <x:c r="J2015" t="str">
        <x:v>https://github.com/darknigthmare/deadwall-last-enclosure/blob/e28f46223e73105ab2c5d83f3d50b99b58ef53e6/codex-3000/compositions/habitat/DW-2010.md</x:v>
      </x:c>
      <x:c r="K2015" t="str">
        <x:v>Source min 54,23 m ; max 54,23 m ; modèle 54 × 23 m ; niveaux 0, 1, 2. Détails dans catalogue-existant.json.</x:v>
      </x:c>
    </x:row>
    <x:row r="2016">
      <x:c r="A2016" t="str">
        <x:v>DW-2011</x:v>
      </x:c>
      <x:c r="B2016" t="str">
        <x:v>DW-0506</x:v>
      </x:c>
      <x:c r="C2016" t="str">
        <x:v>Composition héritée</x:v>
      </x:c>
      <x:c r="D2016" t="str">
        <x:v>habitat</x:v>
      </x:c>
      <x:c r="E2016" t="str">
        <x:v>Barre de logements — variante 01 — Hameau / arrêt de maintenance</x:v>
      </x:c>
      <x:c r="F2016" t="n">
        <x:v>8</x:v>
      </x:c>
      <x:c r="G2016" t="n">
        <x:v>5</x:v>
      </x:c>
      <x:c r="H2016" t="n">
        <x:v>0</x:v>
      </x:c>
      <x:c r="I2016" t="str">
        <x:v>À qualifier par lieu</x:v>
      </x:c>
      <x:c r="J2016" t="str">
        <x:v>https://github.com/darknigthmare/deadwall-last-enclosure/blob/e28f46223e73105ab2c5d83f3d50b99b58ef53e6/codex-3000/compositions/habitat/DW-2011.md</x:v>
      </x:c>
      <x:c r="K2016" t="str">
        <x:v>Source min 65,40 m ; max 65,40 m ; modèle 65 × 40 m ; niveaux 0, 1, 2. Détails dans catalogue-existant.json.</x:v>
      </x:c>
    </x:row>
    <x:row r="2017">
      <x:c r="A2017" t="str">
        <x:v>DW-2012</x:v>
      </x:c>
      <x:c r="B2017" t="str">
        <x:v>DW-0506</x:v>
      </x:c>
      <x:c r="C2017" t="str">
        <x:v>Composition héritée</x:v>
      </x:c>
      <x:c r="D2017" t="str">
        <x:v>habitat</x:v>
      </x:c>
      <x:c r="E2017" t="str">
        <x:v>Barre de logements — variante 01 — Quartier collectif / reprise progressive de la végétation</x:v>
      </x:c>
      <x:c r="F2017" t="n">
        <x:v>8</x:v>
      </x:c>
      <x:c r="G2017" t="n">
        <x:v>5</x:v>
      </x:c>
      <x:c r="H2017" t="n">
        <x:v>0</x:v>
      </x:c>
      <x:c r="I2017" t="str">
        <x:v>À qualifier par lieu</x:v>
      </x:c>
      <x:c r="J2017" t="str">
        <x:v>https://github.com/darknigthmare/deadwall-last-enclosure/blob/e28f46223e73105ab2c5d83f3d50b99b58ef53e6/codex-3000/compositions/habitat/DW-2012.md</x:v>
      </x:c>
      <x:c r="K2017" t="str">
        <x:v>Source min 65,40 m ; max 65,40 m ; modèle 65 × 40 m ; niveaux 0, 1, 2. Détails dans catalogue-existant.json.</x:v>
      </x:c>
    </x:row>
    <x:row r="2018">
      <x:c r="A2018" t="str">
        <x:v>DW-2013</x:v>
      </x:c>
      <x:c r="B2018" t="str">
        <x:v>DW-0507</x:v>
      </x:c>
      <x:c r="C2018" t="str">
        <x:v>Composition héritée</x:v>
      </x:c>
      <x:c r="D2018" t="str">
        <x:v>habitat</x:v>
      </x:c>
      <x:c r="E2018" t="str">
        <x:v>Résidence senior — variante 01 — Village et bourg / première récupération passée</x:v>
      </x:c>
      <x:c r="F2018" t="n">
        <x:v>8</x:v>
      </x:c>
      <x:c r="G2018" t="n">
        <x:v>5</x:v>
      </x:c>
      <x:c r="H2018" t="n">
        <x:v>0</x:v>
      </x:c>
      <x:c r="I2018" t="str">
        <x:v>À qualifier par lieu</x:v>
      </x:c>
      <x:c r="J2018" t="str">
        <x:v>https://github.com/darknigthmare/deadwall-last-enclosure/blob/e28f46223e73105ab2c5d83f3d50b99b58ef53e6/codex-3000/compositions/habitat/DW-2013.md</x:v>
      </x:c>
      <x:c r="K2018" t="str">
        <x:v>Source min 76,57 m ; max 76,57 m ; modèle 76 × 57 m ; niveaux 0, 1. Détails dans catalogue-existant.json.</x:v>
      </x:c>
    </x:row>
    <x:row r="2019">
      <x:c r="A2019" t="str">
        <x:v>DW-2014</x:v>
      </x:c>
      <x:c r="B2019" t="str">
        <x:v>DW-0507</x:v>
      </x:c>
      <x:c r="C2019" t="str">
        <x:v>Composition héritée</x:v>
      </x:c>
      <x:c r="D2019" t="str">
        <x:v>habitat</x:v>
      </x:c>
      <x:c r="E2019" t="str">
        <x:v>Résidence senior — variante 01 — Quartier pavillonnaire / relais temporaire envisagé</x:v>
      </x:c>
      <x:c r="F2019" t="n">
        <x:v>8</x:v>
      </x:c>
      <x:c r="G2019" t="n">
        <x:v>5</x:v>
      </x:c>
      <x:c r="H2019" t="n">
        <x:v>0</x:v>
      </x:c>
      <x:c r="I2019" t="str">
        <x:v>À qualifier par lieu</x:v>
      </x:c>
      <x:c r="J2019" t="str">
        <x:v>https://github.com/darknigthmare/deadwall-last-enclosure/blob/e28f46223e73105ab2c5d83f3d50b99b58ef53e6/codex-3000/compositions/habitat/DW-2014.md</x:v>
      </x:c>
      <x:c r="K2019" t="str">
        <x:v>Source min 76,57 m ; max 76,57 m ; modèle 76 × 57 m ; niveaux 0, 1. Détails dans catalogue-existant.json.</x:v>
      </x:c>
    </x:row>
    <x:row r="2020">
      <x:c r="A2020" t="str">
        <x:v>DW-2015</x:v>
      </x:c>
      <x:c r="B2020" t="str">
        <x:v>DW-0508</x:v>
      </x:c>
      <x:c r="C2020" t="str">
        <x:v>Composition héritée</x:v>
      </x:c>
      <x:c r="D2020" t="str">
        <x:v>habitat</x:v>
      </x:c>
      <x:c r="E2020" t="str">
        <x:v>Maison avec sous-sol — variante 01 — Quartier collectif / service déplacé à l’arrière</x:v>
      </x:c>
      <x:c r="F2020" t="n">
        <x:v>8</x:v>
      </x:c>
      <x:c r="G2020" t="n">
        <x:v>5</x:v>
      </x:c>
      <x:c r="H2020" t="n">
        <x:v>0</x:v>
      </x:c>
      <x:c r="I2020" t="str">
        <x:v>À qualifier par lieu</x:v>
      </x:c>
      <x:c r="J2020" t="str">
        <x:v>https://github.com/darknigthmare/deadwall-last-enclosure/blob/e28f46223e73105ab2c5d83f3d50b99b58ef53e6/codex-3000/compositions/habitat/DW-2015.md</x:v>
      </x:c>
      <x:c r="K2020" t="str">
        <x:v>Source min 15,20 m ; max 15,20 m ; modèle 26 × 22 m ; niveaux 0. Détails dans catalogue-existant.json.</x:v>
      </x:c>
    </x:row>
    <x:row r="2021">
      <x:c r="A2021" t="str">
        <x:v>DW-2016</x:v>
      </x:c>
      <x:c r="B2021" t="str">
        <x:v>DW-0508</x:v>
      </x:c>
      <x:c r="C2021" t="str">
        <x:v>Composition héritée</x:v>
      </x:c>
      <x:c r="D2021" t="str">
        <x:v>habitat</x:v>
      </x:c>
      <x:c r="E2021" t="str">
        <x:v>Maison avec sous-sol — variante 01 — Hameau / réseau principal coupé</x:v>
      </x:c>
      <x:c r="F2021" t="n">
        <x:v>8</x:v>
      </x:c>
      <x:c r="G2021" t="n">
        <x:v>5</x:v>
      </x:c>
      <x:c r="H2021" t="n">
        <x:v>0</x:v>
      </x:c>
      <x:c r="I2021" t="str">
        <x:v>À qualifier par lieu</x:v>
      </x:c>
      <x:c r="J2021" t="str">
        <x:v>https://github.com/darknigthmare/deadwall-last-enclosure/blob/e28f46223e73105ab2c5d83f3d50b99b58ef53e6/codex-3000/compositions/habitat/DW-2016.md</x:v>
      </x:c>
      <x:c r="K2021" t="str">
        <x:v>Source min 15,20 m ; max 15,20 m ; modèle 26 × 22 m ; niveaux 0. Détails dans catalogue-existant.json.</x:v>
      </x:c>
    </x:row>
    <x:row r="2022">
      <x:c r="A2022" t="str">
        <x:v>DW-2017</x:v>
      </x:c>
      <x:c r="B2022" t="str">
        <x:v>DW-0509</x:v>
      </x:c>
      <x:c r="C2022" t="str">
        <x:v>Composition héritée</x:v>
      </x:c>
      <x:c r="D2022" t="str">
        <x:v>commerce</x:v>
      </x:c>
      <x:c r="E2022" t="str">
        <x:v>Supérette — variante 01 — Zone commerciale / reprise progressive de la végétation</x:v>
      </x:c>
      <x:c r="F2022" t="n">
        <x:v>8</x:v>
      </x:c>
      <x:c r="G2022" t="n">
        <x:v>5</x:v>
      </x:c>
      <x:c r="H2022" t="n">
        <x:v>0</x:v>
      </x:c>
      <x:c r="I2022" t="str">
        <x:v>À qualifier par lieu</x:v>
      </x:c>
      <x:c r="J2022" t="str">
        <x:v>https://github.com/darknigthmare/deadwall-last-enclosure/blob/e28f46223e73105ab2c5d83f3d50b99b58ef53e6/codex-3000/compositions/commerce/DW-2017.md</x:v>
      </x:c>
      <x:c r="K2022" t="str">
        <x:v>Source min 26,37 m ; max 26,37 m ; modèle 26 × 37 m ; niveaux 0, 1. Détails dans catalogue-existant.json.</x:v>
      </x:c>
    </x:row>
    <x:row r="2023">
      <x:c r="A2023" t="str">
        <x:v>DW-2018</x:v>
      </x:c>
      <x:c r="B2023" t="str">
        <x:v>DW-0509</x:v>
      </x:c>
      <x:c r="C2023" t="str">
        <x:v>Composition héritée</x:v>
      </x:c>
      <x:c r="D2023" t="str">
        <x:v>commerce</x:v>
      </x:c>
      <x:c r="E2023" t="str">
        <x:v>Supérette — variante 01 — Village et bourg / repli organisé interrompu</x:v>
      </x:c>
      <x:c r="F2023" t="n">
        <x:v>8</x:v>
      </x:c>
      <x:c r="G2023" t="n">
        <x:v>5</x:v>
      </x:c>
      <x:c r="H2023" t="n">
        <x:v>0</x:v>
      </x:c>
      <x:c r="I2023" t="str">
        <x:v>À qualifier par lieu</x:v>
      </x:c>
      <x:c r="J2023" t="str">
        <x:v>https://github.com/darknigthmare/deadwall-last-enclosure/blob/e28f46223e73105ab2c5d83f3d50b99b58ef53e6/codex-3000/compositions/commerce/DW-2018.md</x:v>
      </x:c>
      <x:c r="K2023" t="str">
        <x:v>Source min 26,37 m ; max 26,37 m ; modèle 26 × 37 m ; niveaux 0, 1. Détails dans catalogue-existant.json.</x:v>
      </x:c>
    </x:row>
    <x:row r="2024">
      <x:c r="A2024" t="str">
        <x:v>DW-2019</x:v>
      </x:c>
      <x:c r="B2024" t="str">
        <x:v>DW-0510</x:v>
      </x:c>
      <x:c r="C2024" t="str">
        <x:v>Composition héritée</x:v>
      </x:c>
      <x:c r="D2024" t="str">
        <x:v>commerce</x:v>
      </x:c>
      <x:c r="E2024" t="str">
        <x:v>Centre commercial — variante 01 — Ville moyenne / relais temporaire envisagé</x:v>
      </x:c>
      <x:c r="F2024" t="n">
        <x:v>8</x:v>
      </x:c>
      <x:c r="G2024" t="n">
        <x:v>6</x:v>
      </x:c>
      <x:c r="H2024" t="n">
        <x:v>0</x:v>
      </x:c>
      <x:c r="I2024" t="str">
        <x:v>À qualifier par lieu</x:v>
      </x:c>
      <x:c r="J2024" t="str">
        <x:v>https://github.com/darknigthmare/deadwall-last-enclosure/blob/e28f46223e73105ab2c5d83f3d50b99b58ef53e6/codex-3000/compositions/commerce/DW-2019.md</x:v>
      </x:c>
      <x:c r="K2024" t="str">
        <x:v>Source min 37,54 m ; max 37,54 m ; modèle 37 × 54 m ; niveaux 0. Détails dans catalogue-existant.json.</x:v>
      </x:c>
    </x:row>
    <x:row r="2025">
      <x:c r="A2025" t="str">
        <x:v>DW-2020</x:v>
      </x:c>
      <x:c r="B2025" t="str">
        <x:v>DW-0510</x:v>
      </x:c>
      <x:c r="C2025" t="str">
        <x:v>Composition héritée</x:v>
      </x:c>
      <x:c r="D2025" t="str">
        <x:v>commerce</x:v>
      </x:c>
      <x:c r="E2025" t="str">
        <x:v>Centre commercial — variante 01 — Grande ville et métropole / évacuation interrompue</x:v>
      </x:c>
      <x:c r="F2025" t="n">
        <x:v>8</x:v>
      </x:c>
      <x:c r="G2025" t="n">
        <x:v>6</x:v>
      </x:c>
      <x:c r="H2025" t="n">
        <x:v>0</x:v>
      </x:c>
      <x:c r="I2025" t="str">
        <x:v>À qualifier par lieu</x:v>
      </x:c>
      <x:c r="J2025" t="str">
        <x:v>https://github.com/darknigthmare/deadwall-last-enclosure/blob/e28f46223e73105ab2c5d83f3d50b99b58ef53e6/codex-3000/compositions/commerce/DW-2020.md</x:v>
      </x:c>
      <x:c r="K2025" t="str">
        <x:v>Source min 37,54 m ; max 37,54 m ; modèle 37 × 54 m ; niveaux 0. Détails dans catalogue-existant.json.</x:v>
      </x:c>
    </x:row>
    <x:row r="2026">
      <x:c r="A2026" t="str">
        <x:v>DW-2021</x:v>
      </x:c>
      <x:c r="B2026" t="str">
        <x:v>DW-0511</x:v>
      </x:c>
      <x:c r="C2026" t="str">
        <x:v>Composition héritée</x:v>
      </x:c>
      <x:c r="D2026" t="str">
        <x:v>commerce</x:v>
      </x:c>
      <x:c r="E2026" t="str">
        <x:v>Supermarché — variante 01 — Village et bourg / réseau principal coupé</x:v>
      </x:c>
      <x:c r="F2026" t="n">
        <x:v>8</x:v>
      </x:c>
      <x:c r="G2026" t="n">
        <x:v>7</x:v>
      </x:c>
      <x:c r="H2026" t="n">
        <x:v>0</x:v>
      </x:c>
      <x:c r="I2026" t="str">
        <x:v>À qualifier par lieu</x:v>
      </x:c>
      <x:c r="J2026" t="str">
        <x:v>https://github.com/darknigthmare/deadwall-last-enclosure/blob/e28f46223e73105ab2c5d83f3d50b99b58ef53e6/codex-3000/compositions/commerce/DW-2021.md</x:v>
      </x:c>
      <x:c r="K2026" t="str">
        <x:v>Source min 48,17 m ; max 48,17 m ; modèle 48 × 29 m ; niveaux 0. Détails dans catalogue-existant.json.</x:v>
      </x:c>
    </x:row>
    <x:row r="2027">
      <x:c r="A2027" t="str">
        <x:v>DW-2022</x:v>
      </x:c>
      <x:c r="B2027" t="str">
        <x:v>DW-0511</x:v>
      </x:c>
      <x:c r="C2027" t="str">
        <x:v>Composition héritée</x:v>
      </x:c>
      <x:c r="D2027" t="str">
        <x:v>commerce</x:v>
      </x:c>
      <x:c r="E2027" t="str">
        <x:v>Supermarché — variante 01 — Zone commerciale / arrêt de maintenance</x:v>
      </x:c>
      <x:c r="F2027" t="n">
        <x:v>8</x:v>
      </x:c>
      <x:c r="G2027" t="n">
        <x:v>7</x:v>
      </x:c>
      <x:c r="H2027" t="n">
        <x:v>0</x:v>
      </x:c>
      <x:c r="I2027" t="str">
        <x:v>À qualifier par lieu</x:v>
      </x:c>
      <x:c r="J2027" t="str">
        <x:v>https://github.com/darknigthmare/deadwall-last-enclosure/blob/e28f46223e73105ab2c5d83f3d50b99b58ef53e6/codex-3000/compositions/commerce/DW-2022.md</x:v>
      </x:c>
      <x:c r="K2027" t="str">
        <x:v>Source min 48,17 m ; max 48,17 m ; modèle 48 × 29 m ; niveaux 0. Détails dans catalogue-existant.json.</x:v>
      </x:c>
    </x:row>
    <x:row r="2028">
      <x:c r="A2028" t="str">
        <x:v>DW-2023</x:v>
      </x:c>
      <x:c r="B2028" t="str">
        <x:v>DW-0512</x:v>
      </x:c>
      <x:c r="C2028" t="str">
        <x:v>Composition héritée</x:v>
      </x:c>
      <x:c r="D2028" t="str">
        <x:v>commerce</x:v>
      </x:c>
      <x:c r="E2028" t="str">
        <x:v>Magasin de bricolage — variante 01 — Grande ville et métropole / repli organisé interrompu</x:v>
      </x:c>
      <x:c r="F2028" t="n">
        <x:v>8</x:v>
      </x:c>
      <x:c r="G2028" t="n">
        <x:v>5</x:v>
      </x:c>
      <x:c r="H2028" t="n">
        <x:v>0</x:v>
      </x:c>
      <x:c r="I2028" t="str">
        <x:v>À qualifier par lieu</x:v>
      </x:c>
      <x:c r="J2028" t="str">
        <x:v>https://github.com/darknigthmare/deadwall-last-enclosure/blob/e28f46223e73105ab2c5d83f3d50b99b58ef53e6/codex-3000/compositions/commerce/DW-2023.md</x:v>
      </x:c>
      <x:c r="K2028" t="str">
        <x:v>Source min 59,34 m ; max 59,34 m ; modèle 59 × 34 m ; niveaux 0. Détails dans catalogue-existant.json.</x:v>
      </x:c>
    </x:row>
    <x:row r="2029">
      <x:c r="A2029" t="str">
        <x:v>DW-2024</x:v>
      </x:c>
      <x:c r="B2029" t="str">
        <x:v>DW-0512</x:v>
      </x:c>
      <x:c r="C2029" t="str">
        <x:v>Composition héritée</x:v>
      </x:c>
      <x:c r="D2029" t="str">
        <x:v>commerce</x:v>
      </x:c>
      <x:c r="E2029" t="str">
        <x:v>Magasin de bricolage — variante 01 — Ville moyenne / première récupération passée</x:v>
      </x:c>
      <x:c r="F2029" t="n">
        <x:v>8</x:v>
      </x:c>
      <x:c r="G2029" t="n">
        <x:v>5</x:v>
      </x:c>
      <x:c r="H2029" t="n">
        <x:v>0</x:v>
      </x:c>
      <x:c r="I2029" t="str">
        <x:v>À qualifier par lieu</x:v>
      </x:c>
      <x:c r="J2029" t="str">
        <x:v>https://github.com/darknigthmare/deadwall-last-enclosure/blob/e28f46223e73105ab2c5d83f3d50b99b58ef53e6/codex-3000/compositions/commerce/DW-2024.md</x:v>
      </x:c>
      <x:c r="K2029" t="str">
        <x:v>Source min 59,34 m ; max 59,34 m ; modèle 59 × 34 m ; niveaux 0. Détails dans catalogue-existant.json.</x:v>
      </x:c>
    </x:row>
    <x:row r="2030">
      <x:c r="A2030" t="str">
        <x:v>DW-2025</x:v>
      </x:c>
      <x:c r="B2030" t="str">
        <x:v>DW-0513</x:v>
      </x:c>
      <x:c r="C2030" t="str">
        <x:v>Composition héritée</x:v>
      </x:c>
      <x:c r="D2030" t="str">
        <x:v>commerce</x:v>
      </x:c>
      <x:c r="E2030" t="str">
        <x:v>Pharmacie — variante 01 — Zone commerciale / évacuation interrompue</x:v>
      </x:c>
      <x:c r="F2030" t="n">
        <x:v>8</x:v>
      </x:c>
      <x:c r="G2030" t="n">
        <x:v>4</x:v>
      </x:c>
      <x:c r="H2030" t="n">
        <x:v>0</x:v>
      </x:c>
      <x:c r="I2030" t="str">
        <x:v>À qualifier par lieu</x:v>
      </x:c>
      <x:c r="J2030" t="str">
        <x:v>https://github.com/darknigthmare/deadwall-last-enclosure/blob/e28f46223e73105ab2c5d83f3d50b99b58ef53e6/codex-3000/compositions/commerce/DW-2025.md</x:v>
      </x:c>
      <x:c r="K2030" t="str">
        <x:v>Source min 70,51 m ; max 70,51 m ; modèle 70 × 51 m ; niveaux 0, 1. Détails dans catalogue-existant.json.</x:v>
      </x:c>
    </x:row>
    <x:row r="2031">
      <x:c r="A2031" t="str">
        <x:v>DW-2026</x:v>
      </x:c>
      <x:c r="B2031" t="str">
        <x:v>DW-0513</x:v>
      </x:c>
      <x:c r="C2031" t="str">
        <x:v>Composition héritée</x:v>
      </x:c>
      <x:c r="D2031" t="str">
        <x:v>commerce</x:v>
      </x:c>
      <x:c r="E2031" t="str">
        <x:v>Pharmacie — variante 01 — Village et bourg / service déplacé à l’arrière</x:v>
      </x:c>
      <x:c r="F2031" t="n">
        <x:v>8</x:v>
      </x:c>
      <x:c r="G2031" t="n">
        <x:v>4</x:v>
      </x:c>
      <x:c r="H2031" t="n">
        <x:v>0</x:v>
      </x:c>
      <x:c r="I2031" t="str">
        <x:v>À qualifier par lieu</x:v>
      </x:c>
      <x:c r="J2031" t="str">
        <x:v>https://github.com/darknigthmare/deadwall-last-enclosure/blob/e28f46223e73105ab2c5d83f3d50b99b58ef53e6/codex-3000/compositions/commerce/DW-2026.md</x:v>
      </x:c>
      <x:c r="K2031" t="str">
        <x:v>Source min 70,51 m ; max 70,51 m ; modèle 70 × 51 m ; niveaux 0, 1. Détails dans catalogue-existant.json.</x:v>
      </x:c>
    </x:row>
    <x:row r="2032">
      <x:c r="A2032" t="str">
        <x:v>DW-2027</x:v>
      </x:c>
      <x:c r="B2032" t="str">
        <x:v>DW-0514</x:v>
      </x:c>
      <x:c r="C2032" t="str">
        <x:v>Composition héritée</x:v>
      </x:c>
      <x:c r="D2032" t="str">
        <x:v>commerce</x:v>
      </x:c>
      <x:c r="E2032" t="str">
        <x:v>Station-service — variante 01 — Ville moyenne / arrêt de maintenance</x:v>
      </x:c>
      <x:c r="F2032" t="n">
        <x:v>8</x:v>
      </x:c>
      <x:c r="G2032" t="n">
        <x:v>5</x:v>
      </x:c>
      <x:c r="H2032" t="n">
        <x:v>0</x:v>
      </x:c>
      <x:c r="I2032" t="str">
        <x:v>À qualifier par lieu</x:v>
      </x:c>
      <x:c r="J2032" t="str">
        <x:v>https://github.com/darknigthmare/deadwall-last-enclosure/blob/e28f46223e73105ab2c5d83f3d50b99b58ef53e6/codex-3000/compositions/commerce/DW-2027.md</x:v>
      </x:c>
      <x:c r="K2032" t="str">
        <x:v>Source min 81,14 m ; max 81,14 m ; modèle 78 × 22 m ; niveaux 0. Détails dans catalogue-existant.json.</x:v>
      </x:c>
    </x:row>
    <x:row r="2033">
      <x:c r="A2033" t="str">
        <x:v>DW-2028</x:v>
      </x:c>
      <x:c r="B2033" t="str">
        <x:v>DW-0514</x:v>
      </x:c>
      <x:c r="C2033" t="str">
        <x:v>Composition héritée</x:v>
      </x:c>
      <x:c r="D2033" t="str">
        <x:v>commerce</x:v>
      </x:c>
      <x:c r="E2033" t="str">
        <x:v>Station-service — variante 01 — Grande ville et métropole / reprise progressive de la végétation</x:v>
      </x:c>
      <x:c r="F2033" t="n">
        <x:v>8</x:v>
      </x:c>
      <x:c r="G2033" t="n">
        <x:v>5</x:v>
      </x:c>
      <x:c r="H2033" t="n">
        <x:v>0</x:v>
      </x:c>
      <x:c r="I2033" t="str">
        <x:v>À qualifier par lieu</x:v>
      </x:c>
      <x:c r="J2033" t="str">
        <x:v>https://github.com/darknigthmare/deadwall-last-enclosure/blob/e28f46223e73105ab2c5d83f3d50b99b58ef53e6/codex-3000/compositions/commerce/DW-2028.md</x:v>
      </x:c>
      <x:c r="K2033" t="str">
        <x:v>Source min 81,14 m ; max 81,14 m ; modèle 78 × 22 m ; niveaux 0. Détails dans catalogue-existant.json.</x:v>
      </x:c>
    </x:row>
    <x:row r="2034">
      <x:c r="A2034" t="str">
        <x:v>DW-2029</x:v>
      </x:c>
      <x:c r="B2034" t="str">
        <x:v>DW-0515</x:v>
      </x:c>
      <x:c r="C2034" t="str">
        <x:v>Composition héritée</x:v>
      </x:c>
      <x:c r="D2034" t="str">
        <x:v>commerce</x:v>
      </x:c>
      <x:c r="E2034" t="str">
        <x:v>Restaurant routier — variante 01 — Village et bourg / première récupération passée</x:v>
      </x:c>
      <x:c r="F2034" t="n">
        <x:v>8</x:v>
      </x:c>
      <x:c r="G2034" t="n">
        <x:v>5</x:v>
      </x:c>
      <x:c r="H2034" t="n">
        <x:v>0</x:v>
      </x:c>
      <x:c r="I2034" t="str">
        <x:v>À qualifier par lieu</x:v>
      </x:c>
      <x:c r="J2034" t="str">
        <x:v>https://github.com/darknigthmare/deadwall-last-enclosure/blob/e28f46223e73105ab2c5d83f3d50b99b58ef53e6/codex-3000/compositions/commerce/DW-2029.md</x:v>
      </x:c>
      <x:c r="K2034" t="str">
        <x:v>Source min 20,31 m ; max 20,31 m ; modèle 26 × 31 m ; niveaux 0. Détails dans catalogue-existant.json.</x:v>
      </x:c>
    </x:row>
    <x:row r="2035">
      <x:c r="A2035" t="str">
        <x:v>DW-2030</x:v>
      </x:c>
      <x:c r="B2035" t="str">
        <x:v>DW-0515</x:v>
      </x:c>
      <x:c r="C2035" t="str">
        <x:v>Composition héritée</x:v>
      </x:c>
      <x:c r="D2035" t="str">
        <x:v>commerce</x:v>
      </x:c>
      <x:c r="E2035" t="str">
        <x:v>Restaurant routier — variante 01 — Zone commerciale / relais temporaire envisagé</x:v>
      </x:c>
      <x:c r="F2035" t="n">
        <x:v>8</x:v>
      </x:c>
      <x:c r="G2035" t="n">
        <x:v>5</x:v>
      </x:c>
      <x:c r="H2035" t="n">
        <x:v>0</x:v>
      </x:c>
      <x:c r="I2035" t="str">
        <x:v>À qualifier par lieu</x:v>
      </x:c>
      <x:c r="J2035" t="str">
        <x:v>https://github.com/darknigthmare/deadwall-last-enclosure/blob/e28f46223e73105ab2c5d83f3d50b99b58ef53e6/codex-3000/compositions/commerce/DW-2030.md</x:v>
      </x:c>
      <x:c r="K2035" t="str">
        <x:v>Source min 20,31 m ; max 20,31 m ; modèle 26 × 31 m ; niveaux 0. Détails dans catalogue-existant.json.</x:v>
      </x:c>
    </x:row>
    <x:row r="2036">
      <x:c r="A2036" t="str">
        <x:v>DW-2031</x:v>
      </x:c>
      <x:c r="B2036" t="str">
        <x:v>DW-0516</x:v>
      </x:c>
      <x:c r="C2036" t="str">
        <x:v>Composition héritée</x:v>
      </x:c>
      <x:c r="D2036" t="str">
        <x:v>commerce</x:v>
      </x:c>
      <x:c r="E2036" t="str">
        <x:v>Hôtel — variante 01 — Grande ville et métropole / service déplacé à l’arrière</x:v>
      </x:c>
      <x:c r="F2036" t="n">
        <x:v>8</x:v>
      </x:c>
      <x:c r="G2036" t="n">
        <x:v>6</x:v>
      </x:c>
      <x:c r="H2036" t="n">
        <x:v>0</x:v>
      </x:c>
      <x:c r="I2036" t="str">
        <x:v>À qualifier par lieu</x:v>
      </x:c>
      <x:c r="J2036" t="str">
        <x:v>https://github.com/darknigthmare/deadwall-last-enclosure/blob/e28f46223e73105ab2c5d83f3d50b99b58ef53e6/codex-3000/compositions/commerce/DW-2031.md</x:v>
      </x:c>
      <x:c r="K2036" t="str">
        <x:v>Source min 31,48 m ; max 31,48 m ; modèle 31 × 48 m ; niveaux 0. Détails dans catalogue-existant.json.</x:v>
      </x:c>
    </x:row>
    <x:row r="2037">
      <x:c r="A2037" t="str">
        <x:v>DW-2032</x:v>
      </x:c>
      <x:c r="B2037" t="str">
        <x:v>DW-0516</x:v>
      </x:c>
      <x:c r="C2037" t="str">
        <x:v>Composition héritée</x:v>
      </x:c>
      <x:c r="D2037" t="str">
        <x:v>commerce</x:v>
      </x:c>
      <x:c r="E2037" t="str">
        <x:v>Hôtel — variante 01 — Ville moyenne / réseau principal coupé</x:v>
      </x:c>
      <x:c r="F2037" t="n">
        <x:v>8</x:v>
      </x:c>
      <x:c r="G2037" t="n">
        <x:v>6</x:v>
      </x:c>
      <x:c r="H2037" t="n">
        <x:v>0</x:v>
      </x:c>
      <x:c r="I2037" t="str">
        <x:v>À qualifier par lieu</x:v>
      </x:c>
      <x:c r="J2037" t="str">
        <x:v>https://github.com/darknigthmare/deadwall-last-enclosure/blob/e28f46223e73105ab2c5d83f3d50b99b58ef53e6/codex-3000/compositions/commerce/DW-2032.md</x:v>
      </x:c>
      <x:c r="K2037" t="str">
        <x:v>Source min 31,48 m ; max 31,48 m ; modèle 31 × 48 m ; niveaux 0. Détails dans catalogue-existant.json.</x:v>
      </x:c>
    </x:row>
    <x:row r="2038">
      <x:c r="A2038" t="str">
        <x:v>DW-2033</x:v>
      </x:c>
      <x:c r="B2038" t="str">
        <x:v>DW-0517</x:v>
      </x:c>
      <x:c r="C2038" t="str">
        <x:v>Composition héritée</x:v>
      </x:c>
      <x:c r="D2038" t="str">
        <x:v>industrie</x:v>
      </x:c>
      <x:c r="E2038" t="str">
        <x:v>Scierie — variante 01 — Zone industrielle / reprise progressive de la végétation</x:v>
      </x:c>
      <x:c r="F2038" t="n">
        <x:v>8</x:v>
      </x:c>
      <x:c r="G2038" t="n">
        <x:v>5</x:v>
      </x:c>
      <x:c r="H2038" t="n">
        <x:v>0</x:v>
      </x:c>
      <x:c r="I2038" t="str">
        <x:v>À qualifier par lieu</x:v>
      </x:c>
      <x:c r="J2038" t="str">
        <x:v>https://github.com/darknigthmare/deadwall-last-enclosure/blob/e28f46223e73105ab2c5d83f3d50b99b58ef53e6/codex-3000/compositions/industrie/DW-2033.md</x:v>
      </x:c>
      <x:c r="K2038" t="str">
        <x:v>Source min 42,11 m ; max 42,11 m ; modèle 42 × 22 m ; niveaux 0. Détails dans catalogue-existant.json.</x:v>
      </x:c>
    </x:row>
    <x:row r="2039">
      <x:c r="A2039" t="str">
        <x:v>DW-2034</x:v>
      </x:c>
      <x:c r="B2039" t="str">
        <x:v>DW-0517</x:v>
      </x:c>
      <x:c r="C2039" t="str">
        <x:v>Composition héritée</x:v>
      </x:c>
      <x:c r="D2039" t="str">
        <x:v>industrie</x:v>
      </x:c>
      <x:c r="E2039" t="str">
        <x:v>Scierie — variante 01 — Entrepôt et plateforme logistique / repli organisé interrompu</x:v>
      </x:c>
      <x:c r="F2039" t="n">
        <x:v>8</x:v>
      </x:c>
      <x:c r="G2039" t="n">
        <x:v>5</x:v>
      </x:c>
      <x:c r="H2039" t="n">
        <x:v>0</x:v>
      </x:c>
      <x:c r="I2039" t="str">
        <x:v>À qualifier par lieu</x:v>
      </x:c>
      <x:c r="J2039" t="str">
        <x:v>https://github.com/darknigthmare/deadwall-last-enclosure/blob/e28f46223e73105ab2c5d83f3d50b99b58ef53e6/codex-3000/compositions/industrie/DW-2034.md</x:v>
      </x:c>
      <x:c r="K2039" t="str">
        <x:v>Source min 42,11 m ; max 42,11 m ; modèle 42 × 22 m ; niveaux 0. Détails dans catalogue-existant.json.</x:v>
      </x:c>
    </x:row>
    <x:row r="2040">
      <x:c r="A2040" t="str">
        <x:v>DW-2035</x:v>
      </x:c>
      <x:c r="B2040" t="str">
        <x:v>DW-0518</x:v>
      </x:c>
      <x:c r="C2040" t="str">
        <x:v>Composition héritée</x:v>
      </x:c>
      <x:c r="D2040" t="str">
        <x:v>industrie</x:v>
      </x:c>
      <x:c r="E2040" t="str">
        <x:v>Garage automobile — variante 01 — Atelier et artisanat / relais temporaire envisagé</x:v>
      </x:c>
      <x:c r="F2040" t="n">
        <x:v>8</x:v>
      </x:c>
      <x:c r="G2040" t="n">
        <x:v>5</x:v>
      </x:c>
      <x:c r="H2040" t="n">
        <x:v>0</x:v>
      </x:c>
      <x:c r="I2040" t="str">
        <x:v>À qualifier par lieu</x:v>
      </x:c>
      <x:c r="J2040" t="str">
        <x:v>https://github.com/darknigthmare/deadwall-last-enclosure/blob/e28f46223e73105ab2c5d83f3d50b99b58ef53e6/codex-3000/compositions/industrie/DW-2035.md</x:v>
      </x:c>
      <x:c r="K2040" t="str">
        <x:v>Source min 53,28 m ; max 53,28 m ; modèle 53 × 28 m ; niveaux 0. Détails dans catalogue-existant.json.</x:v>
      </x:c>
    </x:row>
    <x:row r="2041">
      <x:c r="A2041" t="str">
        <x:v>DW-2036</x:v>
      </x:c>
      <x:c r="B2041" t="str">
        <x:v>DW-0518</x:v>
      </x:c>
      <x:c r="C2041" t="str">
        <x:v>Composition héritée</x:v>
      </x:c>
      <x:c r="D2041" t="str">
        <x:v>industrie</x:v>
      </x:c>
      <x:c r="E2041" t="str">
        <x:v>Garage automobile — variante 01 — Gare et fret / évacuation interrompue</x:v>
      </x:c>
      <x:c r="F2041" t="n">
        <x:v>10</x:v>
      </x:c>
      <x:c r="G2041" t="n">
        <x:v>5</x:v>
      </x:c>
      <x:c r="H2041" t="n">
        <x:v>0</x:v>
      </x:c>
      <x:c r="I2041" t="str">
        <x:v>À qualifier par lieu</x:v>
      </x:c>
      <x:c r="J2041" t="str">
        <x:v>https://github.com/darknigthmare/deadwall-last-enclosure/blob/e28f46223e73105ab2c5d83f3d50b99b58ef53e6/codex-3000/compositions/industrie/DW-2036.md</x:v>
      </x:c>
      <x:c r="K2041" t="str">
        <x:v>Source min 53,28 m ; max 53,28 m ; modèle 53 × 28 m ; niveaux 0. Détails dans catalogue-existant.json.</x:v>
      </x:c>
    </x:row>
    <x:row r="2042">
      <x:c r="A2042" t="str">
        <x:v>DW-2037</x:v>
      </x:c>
      <x:c r="B2042" t="str">
        <x:v>DW-0519</x:v>
      </x:c>
      <x:c r="C2042" t="str">
        <x:v>Composition héritée</x:v>
      </x:c>
      <x:c r="D2042" t="str">
        <x:v>industrie</x:v>
      </x:c>
      <x:c r="E2042" t="str">
        <x:v>Entrepôt logistique — variante 01 — Entrepôt et plateforme logistique / réseau principal coupé</x:v>
      </x:c>
      <x:c r="F2042" t="n">
        <x:v>8</x:v>
      </x:c>
      <x:c r="G2042" t="n">
        <x:v>5</x:v>
      </x:c>
      <x:c r="H2042" t="n">
        <x:v>0</x:v>
      </x:c>
      <x:c r="I2042" t="str">
        <x:v>À qualifier par lieu</x:v>
      </x:c>
      <x:c r="J2042" t="str">
        <x:v>https://github.com/darknigthmare/deadwall-last-enclosure/blob/e28f46223e73105ab2c5d83f3d50b99b58ef53e6/codex-3000/compositions/industrie/DW-2037.md</x:v>
      </x:c>
      <x:c r="K2042" t="str">
        <x:v>Source min 64,45 m ; max 64,45 m ; modèle 64 × 45 m ; niveaux 0. Détails dans catalogue-existant.json.</x:v>
      </x:c>
    </x:row>
    <x:row r="2043">
      <x:c r="A2043" t="str">
        <x:v>DW-2038</x:v>
      </x:c>
      <x:c r="B2043" t="str">
        <x:v>DW-0519</x:v>
      </x:c>
      <x:c r="C2043" t="str">
        <x:v>Composition héritée</x:v>
      </x:c>
      <x:c r="D2043" t="str">
        <x:v>industrie</x:v>
      </x:c>
      <x:c r="E2043" t="str">
        <x:v>Entrepôt logistique — variante 01 — Zone industrielle / arrêt de maintenance</x:v>
      </x:c>
      <x:c r="F2043" t="n">
        <x:v>8</x:v>
      </x:c>
      <x:c r="G2043" t="n">
        <x:v>5</x:v>
      </x:c>
      <x:c r="H2043" t="n">
        <x:v>0</x:v>
      </x:c>
      <x:c r="I2043" t="str">
        <x:v>À qualifier par lieu</x:v>
      </x:c>
      <x:c r="J2043" t="str">
        <x:v>https://github.com/darknigthmare/deadwall-last-enclosure/blob/e28f46223e73105ab2c5d83f3d50b99b58ef53e6/codex-3000/compositions/industrie/DW-2038.md</x:v>
      </x:c>
      <x:c r="K2043" t="str">
        <x:v>Source min 64,45 m ; max 64,45 m ; modèle 64 × 45 m ; niveaux 0. Détails dans catalogue-existant.json.</x:v>
      </x:c>
    </x:row>
    <x:row r="2044">
      <x:c r="A2044" t="str">
        <x:v>DW-2039</x:v>
      </x:c>
      <x:c r="B2044" t="str">
        <x:v>DW-0520</x:v>
      </x:c>
      <x:c r="C2044" t="str">
        <x:v>Composition héritée</x:v>
      </x:c>
      <x:c r="D2044" t="str">
        <x:v>industrie</x:v>
      </x:c>
      <x:c r="E2044" t="str">
        <x:v>Petite usine — variante 01 — Gare et fret / repli organisé interrompu</x:v>
      </x:c>
      <x:c r="F2044" t="n">
        <x:v>10</x:v>
      </x:c>
      <x:c r="G2044" t="n">
        <x:v>5</x:v>
      </x:c>
      <x:c r="H2044" t="n">
        <x:v>0</x:v>
      </x:c>
      <x:c r="I2044" t="str">
        <x:v>À qualifier par lieu</x:v>
      </x:c>
      <x:c r="J2044" t="str">
        <x:v>https://github.com/darknigthmare/deadwall-last-enclosure/blob/e28f46223e73105ab2c5d83f3d50b99b58ef53e6/codex-3000/compositions/industrie/DW-2039.md</x:v>
      </x:c>
      <x:c r="K2044" t="str">
        <x:v>Source min 75,62 m ; max 75,62 m ; modèle 75 × 62 m ; niveaux 0. Détails dans catalogue-existant.json.</x:v>
      </x:c>
    </x:row>
    <x:row r="2045">
      <x:c r="A2045" t="str">
        <x:v>DW-2040</x:v>
      </x:c>
      <x:c r="B2045" t="str">
        <x:v>DW-0520</x:v>
      </x:c>
      <x:c r="C2045" t="str">
        <x:v>Composition héritée</x:v>
      </x:c>
      <x:c r="D2045" t="str">
        <x:v>industrie</x:v>
      </x:c>
      <x:c r="E2045" t="str">
        <x:v>Petite usine — variante 01 — Atelier et artisanat / première récupération passée</x:v>
      </x:c>
      <x:c r="F2045" t="n">
        <x:v>8</x:v>
      </x:c>
      <x:c r="G2045" t="n">
        <x:v>5</x:v>
      </x:c>
      <x:c r="H2045" t="n">
        <x:v>0</x:v>
      </x:c>
      <x:c r="I2045" t="str">
        <x:v>À qualifier par lieu</x:v>
      </x:c>
      <x:c r="J2045" t="str">
        <x:v>https://github.com/darknigthmare/deadwall-last-enclosure/blob/e28f46223e73105ab2c5d83f3d50b99b58ef53e6/codex-3000/compositions/industrie/DW-2040.md</x:v>
      </x:c>
      <x:c r="K2045" t="str">
        <x:v>Source min 75,62 m ; max 75,62 m ; modèle 75 × 62 m ; niveaux 0. Détails dans catalogue-existant.json.</x:v>
      </x:c>
    </x:row>
    <x:row r="2046">
      <x:c r="A2046" t="str">
        <x:v>DW-2041</x:v>
      </x:c>
      <x:c r="B2046" t="str">
        <x:v>DW-0521</x:v>
      </x:c>
      <x:c r="C2046" t="str">
        <x:v>Composition héritée</x:v>
      </x:c>
      <x:c r="D2046" t="str">
        <x:v>industrie</x:v>
      </x:c>
      <x:c r="E2046" t="str">
        <x:v>Carrière — variante 01 — Zone industrielle / évacuation interrompue</x:v>
      </x:c>
      <x:c r="F2046" t="n">
        <x:v>8</x:v>
      </x:c>
      <x:c r="G2046" t="n">
        <x:v>5</x:v>
      </x:c>
      <x:c r="H2046" t="n">
        <x:v>0</x:v>
      </x:c>
      <x:c r="I2046" t="str">
        <x:v>À qualifier par lieu</x:v>
      </x:c>
      <x:c r="J2046" t="str">
        <x:v>https://github.com/darknigthmare/deadwall-last-enclosure/blob/e28f46223e73105ab2c5d83f3d50b99b58ef53e6/codex-3000/compositions/industrie/DW-2041.md</x:v>
      </x:c>
      <x:c r="K2046" t="str">
        <x:v>Source min 14,25 m ; max 14,25 m ; modèle 26 × 25 m ; niveaux 0. Détails dans catalogue-existant.json.</x:v>
      </x:c>
    </x:row>
    <x:row r="2047">
      <x:c r="A2047" t="str">
        <x:v>DW-2042</x:v>
      </x:c>
      <x:c r="B2047" t="str">
        <x:v>DW-0521</x:v>
      </x:c>
      <x:c r="C2047" t="str">
        <x:v>Composition héritée</x:v>
      </x:c>
      <x:c r="D2047" t="str">
        <x:v>industrie</x:v>
      </x:c>
      <x:c r="E2047" t="str">
        <x:v>Carrière — variante 01 — Entrepôt et plateforme logistique / service déplacé à l’arrière</x:v>
      </x:c>
      <x:c r="F2047" t="n">
        <x:v>8</x:v>
      </x:c>
      <x:c r="G2047" t="n">
        <x:v>5</x:v>
      </x:c>
      <x:c r="H2047" t="n">
        <x:v>0</x:v>
      </x:c>
      <x:c r="I2047" t="str">
        <x:v>À qualifier par lieu</x:v>
      </x:c>
      <x:c r="J2047" t="str">
        <x:v>https://github.com/darknigthmare/deadwall-last-enclosure/blob/e28f46223e73105ab2c5d83f3d50b99b58ef53e6/codex-3000/compositions/industrie/DW-2042.md</x:v>
      </x:c>
      <x:c r="K2047" t="str">
        <x:v>Source min 14,25 m ; max 14,25 m ; modèle 26 × 25 m ; niveaux 0. Détails dans catalogue-existant.json.</x:v>
      </x:c>
    </x:row>
    <x:row r="2048">
      <x:c r="A2048" t="str">
        <x:v>DW-2043</x:v>
      </x:c>
      <x:c r="B2048" t="str">
        <x:v>DW-0522</x:v>
      </x:c>
      <x:c r="C2048" t="str">
        <x:v>Composition héritée</x:v>
      </x:c>
      <x:c r="D2048" t="str">
        <x:v>industrie</x:v>
      </x:c>
      <x:c r="E2048" t="str">
        <x:v>Mine — variante 01 — Atelier et artisanat / arrêt de maintenance</x:v>
      </x:c>
      <x:c r="F2048" t="n">
        <x:v>8</x:v>
      </x:c>
      <x:c r="G2048" t="n">
        <x:v>6</x:v>
      </x:c>
      <x:c r="H2048" t="n">
        <x:v>0</x:v>
      </x:c>
      <x:c r="I2048" t="str">
        <x:v>À qualifier par lieu</x:v>
      </x:c>
      <x:c r="J2048" t="str">
        <x:v>https://github.com/darknigthmare/deadwall-last-enclosure/blob/e28f46223e73105ab2c5d83f3d50b99b58ef53e6/codex-3000/compositions/industrie/DW-2043.md</x:v>
      </x:c>
      <x:c r="K2048" t="str">
        <x:v>Source min 25,42 m ; max 25,42 m ; modèle 28 × 42 m ; niveaux 0. Détails dans catalogue-existant.json.</x:v>
      </x:c>
    </x:row>
    <x:row r="2049">
      <x:c r="A2049" t="str">
        <x:v>DW-2044</x:v>
      </x:c>
      <x:c r="B2049" t="str">
        <x:v>DW-0522</x:v>
      </x:c>
      <x:c r="C2049" t="str">
        <x:v>Composition héritée</x:v>
      </x:c>
      <x:c r="D2049" t="str">
        <x:v>industrie</x:v>
      </x:c>
      <x:c r="E2049" t="str">
        <x:v>Mine — variante 01 — Gare et fret / reprise progressive de la végétation</x:v>
      </x:c>
      <x:c r="F2049" t="n">
        <x:v>10</x:v>
      </x:c>
      <x:c r="G2049" t="n">
        <x:v>6</x:v>
      </x:c>
      <x:c r="H2049" t="n">
        <x:v>0</x:v>
      </x:c>
      <x:c r="I2049" t="str">
        <x:v>À qualifier par lieu</x:v>
      </x:c>
      <x:c r="J2049" t="str">
        <x:v>https://github.com/darknigthmare/deadwall-last-enclosure/blob/e28f46223e73105ab2c5d83f3d50b99b58ef53e6/codex-3000/compositions/industrie/DW-2044.md</x:v>
      </x:c>
      <x:c r="K2049" t="str">
        <x:v>Source min 25,42 m ; max 25,42 m ; modèle 28 × 42 m ; niveaux 0. Détails dans catalogue-existant.json.</x:v>
      </x:c>
    </x:row>
    <x:row r="2050">
      <x:c r="A2050" t="str">
        <x:v>DW-2045</x:v>
      </x:c>
      <x:c r="B2050" t="str">
        <x:v>DW-0523</x:v>
      </x:c>
      <x:c r="C2050" t="str">
        <x:v>Composition héritée</x:v>
      </x:c>
      <x:c r="D2050" t="str">
        <x:v>industrie</x:v>
      </x:c>
      <x:c r="E2050" t="str">
        <x:v>Centrale locale — variante 01 — Entrepôt et plateforme logistique / première récupération passée</x:v>
      </x:c>
      <x:c r="F2050" t="n">
        <x:v>8</x:v>
      </x:c>
      <x:c r="G2050" t="n">
        <x:v>5</x:v>
      </x:c>
      <x:c r="H2050" t="n">
        <x:v>0</x:v>
      </x:c>
      <x:c r="I2050" t="str">
        <x:v>À qualifier par lieu</x:v>
      </x:c>
      <x:c r="J2050" t="str">
        <x:v>https://github.com/darknigthmare/deadwall-last-enclosure/blob/e28f46223e73105ab2c5d83f3d50b99b58ef53e6/codex-3000/compositions/industrie/DW-2045.md</x:v>
      </x:c>
      <x:c r="K2050" t="str">
        <x:v>Source min 36,59 m ; max 36,59 m ; modèle 36 × 59 m ; niveaux 0. Détails dans catalogue-existant.json.</x:v>
      </x:c>
    </x:row>
    <x:row r="2051">
      <x:c r="A2051" t="str">
        <x:v>DW-2046</x:v>
      </x:c>
      <x:c r="B2051" t="str">
        <x:v>DW-0523</x:v>
      </x:c>
      <x:c r="C2051" t="str">
        <x:v>Composition héritée</x:v>
      </x:c>
      <x:c r="D2051" t="str">
        <x:v>industrie</x:v>
      </x:c>
      <x:c r="E2051" t="str">
        <x:v>Centrale locale — variante 01 — Zone industrielle / relais temporaire envisagé</x:v>
      </x:c>
      <x:c r="F2051" t="n">
        <x:v>8</x:v>
      </x:c>
      <x:c r="G2051" t="n">
        <x:v>5</x:v>
      </x:c>
      <x:c r="H2051" t="n">
        <x:v>0</x:v>
      </x:c>
      <x:c r="I2051" t="str">
        <x:v>À qualifier par lieu</x:v>
      </x:c>
      <x:c r="J2051" t="str">
        <x:v>https://github.com/darknigthmare/deadwall-last-enclosure/blob/e28f46223e73105ab2c5d83f3d50b99b58ef53e6/codex-3000/compositions/industrie/DW-2046.md</x:v>
      </x:c>
      <x:c r="K2051" t="str">
        <x:v>Source min 36,59 m ; max 36,59 m ; modèle 36 × 59 m ; niveaux 0. Détails dans catalogue-existant.json.</x:v>
      </x:c>
    </x:row>
    <x:row r="2052">
      <x:c r="A2052" t="str">
        <x:v>DW-2047</x:v>
      </x:c>
      <x:c r="B2052" t="str">
        <x:v>DW-0524</x:v>
      </x:c>
      <x:c r="C2052" t="str">
        <x:v>Composition héritée</x:v>
      </x:c>
      <x:c r="D2052" t="str">
        <x:v>industrie</x:v>
      </x:c>
      <x:c r="E2052" t="str">
        <x:v>Station de pompage — variante 01 — Gare et fret / service déplacé à l’arrière</x:v>
      </x:c>
      <x:c r="F2052" t="n">
        <x:v>10</x:v>
      </x:c>
      <x:c r="G2052" t="n">
        <x:v>5</x:v>
      </x:c>
      <x:c r="H2052" t="n">
        <x:v>0</x:v>
      </x:c>
      <x:c r="I2052" t="str">
        <x:v>À qualifier par lieu</x:v>
      </x:c>
      <x:c r="J2052" t="str">
        <x:v>https://github.com/darknigthmare/deadwall-last-enclosure/blob/e28f46223e73105ab2c5d83f3d50b99b58ef53e6/codex-3000/compositions/industrie/DW-2047.md</x:v>
      </x:c>
      <x:c r="K2052" t="str">
        <x:v>Source min 47,22 m ; max 47,22 m ; modèle 47 × 22 m ; niveaux 0. Détails dans catalogue-existant.json.</x:v>
      </x:c>
    </x:row>
    <x:row r="2053">
      <x:c r="A2053" t="str">
        <x:v>DW-2048</x:v>
      </x:c>
      <x:c r="B2053" t="str">
        <x:v>DW-0524</x:v>
      </x:c>
      <x:c r="C2053" t="str">
        <x:v>Composition héritée</x:v>
      </x:c>
      <x:c r="D2053" t="str">
        <x:v>industrie</x:v>
      </x:c>
      <x:c r="E2053" t="str">
        <x:v>Station de pompage — variante 01 — Atelier et artisanat / réseau principal coupé</x:v>
      </x:c>
      <x:c r="F2053" t="n">
        <x:v>8</x:v>
      </x:c>
      <x:c r="G2053" t="n">
        <x:v>5</x:v>
      </x:c>
      <x:c r="H2053" t="n">
        <x:v>0</x:v>
      </x:c>
      <x:c r="I2053" t="str">
        <x:v>À qualifier par lieu</x:v>
      </x:c>
      <x:c r="J2053" t="str">
        <x:v>https://github.com/darknigthmare/deadwall-last-enclosure/blob/e28f46223e73105ab2c5d83f3d50b99b58ef53e6/codex-3000/compositions/industrie/DW-2048.md</x:v>
      </x:c>
      <x:c r="K2053" t="str">
        <x:v>Source min 47,22 m ; max 47,22 m ; modèle 47 × 22 m ; niveaux 0. Détails dans catalogue-existant.json.</x:v>
      </x:c>
    </x:row>
    <x:row r="2054">
      <x:c r="A2054" t="str">
        <x:v>DW-2049</x:v>
      </x:c>
      <x:c r="B2054" t="str">
        <x:v>DW-0525</x:v>
      </x:c>
      <x:c r="C2054" t="str">
        <x:v>Composition héritée</x:v>
      </x:c>
      <x:c r="D2054" t="str">
        <x:v>public</x:v>
      </x:c>
      <x:c r="E2054" t="str">
        <x:v>École — variante 01 — École, mairie et bâtiments civiques / reprise progressive de la végétation</x:v>
      </x:c>
      <x:c r="F2054" t="n">
        <x:v>8</x:v>
      </x:c>
      <x:c r="G2054" t="n">
        <x:v>5</x:v>
      </x:c>
      <x:c r="H2054" t="n">
        <x:v>0</x:v>
      </x:c>
      <x:c r="I2054" t="str">
        <x:v>À qualifier par lieu</x:v>
      </x:c>
      <x:c r="J2054" t="str">
        <x:v>https://github.com/darknigthmare/deadwall-last-enclosure/blob/e28f46223e73105ab2c5d83f3d50b99b58ef53e6/codex-3000/compositions/public/DW-2049.md</x:v>
      </x:c>
      <x:c r="K2054" t="str">
        <x:v>Source min 58,39 m ; max 58,39 m ; modèle 58 × 39 m ; niveaux 0, 1. Détails dans catalogue-existant.json.</x:v>
      </x:c>
    </x:row>
    <x:row r="2055">
      <x:c r="A2055" t="str">
        <x:v>DW-2050</x:v>
      </x:c>
      <x:c r="B2055" t="str">
        <x:v>DW-0525</x:v>
      </x:c>
      <x:c r="C2055" t="str">
        <x:v>Composition héritée</x:v>
      </x:c>
      <x:c r="D2055" t="str">
        <x:v>public</x:v>
      </x:c>
      <x:c r="E2055" t="str">
        <x:v>École — variante 01 — Village et bourg / repli organisé interrompu</x:v>
      </x:c>
      <x:c r="F2055" t="n">
        <x:v>8</x:v>
      </x:c>
      <x:c r="G2055" t="n">
        <x:v>5</x:v>
      </x:c>
      <x:c r="H2055" t="n">
        <x:v>0</x:v>
      </x:c>
      <x:c r="I2055" t="str">
        <x:v>À qualifier par lieu</x:v>
      </x:c>
      <x:c r="J2055" t="str">
        <x:v>https://github.com/darknigthmare/deadwall-last-enclosure/blob/e28f46223e73105ab2c5d83f3d50b99b58ef53e6/codex-3000/compositions/public/DW-2050.md</x:v>
      </x:c>
      <x:c r="K2055" t="str">
        <x:v>Source min 58,39 m ; max 58,39 m ; modèle 58 × 39 m ; niveaux 0, 1. Détails dans catalogue-existant.json.</x:v>
      </x:c>
    </x:row>
    <x:row r="2056">
      <x:c r="A2056" t="str">
        <x:v>DW-2051</x:v>
      </x:c>
      <x:c r="B2056" t="str">
        <x:v>DW-0526</x:v>
      </x:c>
      <x:c r="C2056" t="str">
        <x:v>Composition héritée</x:v>
      </x:c>
      <x:c r="D2056" t="str">
        <x:v>public</x:v>
      </x:c>
      <x:c r="E2056" t="str">
        <x:v>Mairie — variante 01 — Ville moyenne / relais temporaire envisagé</x:v>
      </x:c>
      <x:c r="F2056" t="n">
        <x:v>8</x:v>
      </x:c>
      <x:c r="G2056" t="n">
        <x:v>5</x:v>
      </x:c>
      <x:c r="H2056" t="n">
        <x:v>0</x:v>
      </x:c>
      <x:c r="I2056" t="str">
        <x:v>À qualifier par lieu</x:v>
      </x:c>
      <x:c r="J2056" t="str">
        <x:v>https://github.com/darknigthmare/deadwall-last-enclosure/blob/e28f46223e73105ab2c5d83f3d50b99b58ef53e6/codex-3000/compositions/public/DW-2051.md</x:v>
      </x:c>
      <x:c r="K2056" t="str">
        <x:v>Source min 69,56 m ; max 69,56 m ; modèle 69 × 56 m ; niveaux 0. Détails dans catalogue-existant.json.</x:v>
      </x:c>
    </x:row>
    <x:row r="2057">
      <x:c r="A2057" t="str">
        <x:v>DW-2052</x:v>
      </x:c>
      <x:c r="B2057" t="str">
        <x:v>DW-0526</x:v>
      </x:c>
      <x:c r="C2057" t="str">
        <x:v>Composition héritée</x:v>
      </x:c>
      <x:c r="D2057" t="str">
        <x:v>public</x:v>
      </x:c>
      <x:c r="E2057" t="str">
        <x:v>Mairie — variante 01 — Centre d’évacuation abandonné / évacuation interrompue</x:v>
      </x:c>
      <x:c r="F2057" t="n">
        <x:v>8</x:v>
      </x:c>
      <x:c r="G2057" t="n">
        <x:v>5</x:v>
      </x:c>
      <x:c r="H2057" t="n">
        <x:v>0</x:v>
      </x:c>
      <x:c r="I2057" t="str">
        <x:v>À qualifier par lieu</x:v>
      </x:c>
      <x:c r="J2057" t="str">
        <x:v>https://github.com/darknigthmare/deadwall-last-enclosure/blob/e28f46223e73105ab2c5d83f3d50b99b58ef53e6/codex-3000/compositions/public/DW-2052.md</x:v>
      </x:c>
      <x:c r="K2057" t="str">
        <x:v>Source min 69,56 m ; max 69,56 m ; modèle 69 × 56 m ; niveaux 0. Détails dans catalogue-existant.json.</x:v>
      </x:c>
    </x:row>
    <x:row r="2058">
      <x:c r="A2058" t="str">
        <x:v>DW-2053</x:v>
      </x:c>
      <x:c r="B2058" t="str">
        <x:v>DW-0527</x:v>
      </x:c>
      <x:c r="C2058" t="str">
        <x:v>Composition héritée</x:v>
      </x:c>
      <x:c r="D2058" t="str">
        <x:v>public</x:v>
      </x:c>
      <x:c r="E2058" t="str">
        <x:v>Clinique — variante 01 — Village et bourg / réseau principal coupé</x:v>
      </x:c>
      <x:c r="F2058" t="n">
        <x:v>8</x:v>
      </x:c>
      <x:c r="G2058" t="n">
        <x:v>6</x:v>
      </x:c>
      <x:c r="H2058" t="n">
        <x:v>0</x:v>
      </x:c>
      <x:c r="I2058" t="str">
        <x:v>À qualifier par lieu</x:v>
      </x:c>
      <x:c r="J2058" t="str">
        <x:v>https://github.com/darknigthmare/deadwall-last-enclosure/blob/e28f46223e73105ab2c5d83f3d50b99b58ef53e6/codex-3000/compositions/public/DW-2053.md</x:v>
      </x:c>
      <x:c r="K2058" t="str">
        <x:v>Source min 80,19 m ; max 80,19 m ; modèle 78 × 22 m ; niveaux 0. Détails dans catalogue-existant.json.</x:v>
      </x:c>
    </x:row>
    <x:row r="2059">
      <x:c r="A2059" t="str">
        <x:v>DW-2054</x:v>
      </x:c>
      <x:c r="B2059" t="str">
        <x:v>DW-0527</x:v>
      </x:c>
      <x:c r="C2059" t="str">
        <x:v>Composition héritée</x:v>
      </x:c>
      <x:c r="D2059" t="str">
        <x:v>public</x:v>
      </x:c>
      <x:c r="E2059" t="str">
        <x:v>Clinique — variante 01 — École, mairie et bâtiments civiques / arrêt de maintenance</x:v>
      </x:c>
      <x:c r="F2059" t="n">
        <x:v>8</x:v>
      </x:c>
      <x:c r="G2059" t="n">
        <x:v>6</x:v>
      </x:c>
      <x:c r="H2059" t="n">
        <x:v>0</x:v>
      </x:c>
      <x:c r="I2059" t="str">
        <x:v>À qualifier par lieu</x:v>
      </x:c>
      <x:c r="J2059" t="str">
        <x:v>https://github.com/darknigthmare/deadwall-last-enclosure/blob/e28f46223e73105ab2c5d83f3d50b99b58ef53e6/codex-3000/compositions/public/DW-2054.md</x:v>
      </x:c>
      <x:c r="K2059" t="str">
        <x:v>Source min 80,19 m ; max 80,19 m ; modèle 78 × 22 m ; niveaux 0. Détails dans catalogue-existant.json.</x:v>
      </x:c>
    </x:row>
    <x:row r="2060">
      <x:c r="A2060" t="str">
        <x:v>DW-2055</x:v>
      </x:c>
      <x:c r="B2060" t="str">
        <x:v>DW-0528</x:v>
      </x:c>
      <x:c r="C2060" t="str">
        <x:v>Composition héritée</x:v>
      </x:c>
      <x:c r="D2060" t="str">
        <x:v>public</x:v>
      </x:c>
      <x:c r="E2060" t="str">
        <x:v>Caserne de pompiers — variante 01 — Centre d’évacuation abandonné / repli organisé interrompu</x:v>
      </x:c>
      <x:c r="F2060" t="n">
        <x:v>8</x:v>
      </x:c>
      <x:c r="G2060" t="n">
        <x:v>6</x:v>
      </x:c>
      <x:c r="H2060" t="n">
        <x:v>0</x:v>
      </x:c>
      <x:c r="I2060" t="str">
        <x:v>À qualifier par lieu</x:v>
      </x:c>
      <x:c r="J2060" t="str">
        <x:v>https://github.com/darknigthmare/deadwall-last-enclosure/blob/e28f46223e73105ab2c5d83f3d50b99b58ef53e6/codex-3000/compositions/public/DW-2055.md</x:v>
      </x:c>
      <x:c r="K2060" t="str">
        <x:v>Source min 19,36 m ; max 19,36 m ; modèle 28 × 36 m ; niveaux 0. Détails dans catalogue-existant.json.</x:v>
      </x:c>
    </x:row>
    <x:row r="2061">
      <x:c r="A2061" t="str">
        <x:v>DW-2056</x:v>
      </x:c>
      <x:c r="B2061" t="str">
        <x:v>DW-0528</x:v>
      </x:c>
      <x:c r="C2061" t="str">
        <x:v>Composition héritée</x:v>
      </x:c>
      <x:c r="D2061" t="str">
        <x:v>public</x:v>
      </x:c>
      <x:c r="E2061" t="str">
        <x:v>Caserne de pompiers — variante 01 — Ville moyenne / première récupération passée</x:v>
      </x:c>
      <x:c r="F2061" t="n">
        <x:v>8</x:v>
      </x:c>
      <x:c r="G2061" t="n">
        <x:v>6</x:v>
      </x:c>
      <x:c r="H2061" t="n">
        <x:v>0</x:v>
      </x:c>
      <x:c r="I2061" t="str">
        <x:v>À qualifier par lieu</x:v>
      </x:c>
      <x:c r="J2061" t="str">
        <x:v>https://github.com/darknigthmare/deadwall-last-enclosure/blob/e28f46223e73105ab2c5d83f3d50b99b58ef53e6/codex-3000/compositions/public/DW-2056.md</x:v>
      </x:c>
      <x:c r="K2061" t="str">
        <x:v>Source min 19,36 m ; max 19,36 m ; modèle 28 × 36 m ; niveaux 0. Détails dans catalogue-existant.json.</x:v>
      </x:c>
    </x:row>
    <x:row r="2062">
      <x:c r="A2062" t="str">
        <x:v>DW-2057</x:v>
      </x:c>
      <x:c r="B2062" t="str">
        <x:v>DW-0529</x:v>
      </x:c>
      <x:c r="C2062" t="str">
        <x:v>Composition héritée</x:v>
      </x:c>
      <x:c r="D2062" t="str">
        <x:v>public</x:v>
      </x:c>
      <x:c r="E2062" t="str">
        <x:v>Poste de police — variante 01 — École, mairie et bâtiments civiques / évacuation interrompue</x:v>
      </x:c>
      <x:c r="F2062" t="n">
        <x:v>8</x:v>
      </x:c>
      <x:c r="G2062" t="n">
        <x:v>5</x:v>
      </x:c>
      <x:c r="H2062" t="n">
        <x:v>0</x:v>
      </x:c>
      <x:c r="I2062" t="str">
        <x:v>À qualifier par lieu</x:v>
      </x:c>
      <x:c r="J2062" t="str">
        <x:v>https://github.com/darknigthmare/deadwall-last-enclosure/blob/e28f46223e73105ab2c5d83f3d50b99b58ef53e6/codex-3000/compositions/public/DW-2057.md</x:v>
      </x:c>
      <x:c r="K2062" t="str">
        <x:v>Source min 30,53 m ; max 30,53 m ; modèle 30 × 53 m ; niveaux 0, 1. Détails dans catalogue-existant.json.</x:v>
      </x:c>
    </x:row>
    <x:row r="2063">
      <x:c r="A2063" t="str">
        <x:v>DW-2058</x:v>
      </x:c>
      <x:c r="B2063" t="str">
        <x:v>DW-0529</x:v>
      </x:c>
      <x:c r="C2063" t="str">
        <x:v>Composition héritée</x:v>
      </x:c>
      <x:c r="D2063" t="str">
        <x:v>public</x:v>
      </x:c>
      <x:c r="E2063" t="str">
        <x:v>Poste de police — variante 01 — Village et bourg / service déplacé à l’arrière</x:v>
      </x:c>
      <x:c r="F2063" t="n">
        <x:v>8</x:v>
      </x:c>
      <x:c r="G2063" t="n">
        <x:v>5</x:v>
      </x:c>
      <x:c r="H2063" t="n">
        <x:v>0</x:v>
      </x:c>
      <x:c r="I2063" t="str">
        <x:v>À qualifier par lieu</x:v>
      </x:c>
      <x:c r="J2063" t="str">
        <x:v>https://github.com/darknigthmare/deadwall-last-enclosure/blob/e28f46223e73105ab2c5d83f3d50b99b58ef53e6/codex-3000/compositions/public/DW-2058.md</x:v>
      </x:c>
      <x:c r="K2063" t="str">
        <x:v>Source min 30,53 m ; max 30,53 m ; modèle 30 × 53 m ; niveaux 0, 1. Détails dans catalogue-existant.json.</x:v>
      </x:c>
    </x:row>
    <x:row r="2064">
      <x:c r="A2064" t="str">
        <x:v>DW-2059</x:v>
      </x:c>
      <x:c r="B2064" t="str">
        <x:v>DW-0530</x:v>
      </x:c>
      <x:c r="C2064" t="str">
        <x:v>Composition héritée</x:v>
      </x:c>
      <x:c r="D2064" t="str">
        <x:v>public</x:v>
      </x:c>
      <x:c r="E2064" t="str">
        <x:v>Bibliothèque — variante 01 — Ville moyenne / arrêt de maintenance</x:v>
      </x:c>
      <x:c r="F2064" t="n">
        <x:v>8</x:v>
      </x:c>
      <x:c r="G2064" t="n">
        <x:v>5</x:v>
      </x:c>
      <x:c r="H2064" t="n">
        <x:v>0</x:v>
      </x:c>
      <x:c r="I2064" t="str">
        <x:v>À qualifier par lieu</x:v>
      </x:c>
      <x:c r="J2064" t="str">
        <x:v>https://github.com/darknigthmare/deadwall-last-enclosure/blob/e28f46223e73105ab2c5d83f3d50b99b58ef53e6/codex-3000/compositions/public/DW-2059.md</x:v>
      </x:c>
      <x:c r="K2064" t="str">
        <x:v>Source min 41,16 m ; max 41,16 m ; modèle 41 × 22 m ; niveaux 0. Détails dans catalogue-existant.json.</x:v>
      </x:c>
    </x:row>
    <x:row r="2065">
      <x:c r="A2065" t="str">
        <x:v>DW-2060</x:v>
      </x:c>
      <x:c r="B2065" t="str">
        <x:v>DW-0530</x:v>
      </x:c>
      <x:c r="C2065" t="str">
        <x:v>Composition héritée</x:v>
      </x:c>
      <x:c r="D2065" t="str">
        <x:v>public</x:v>
      </x:c>
      <x:c r="E2065" t="str">
        <x:v>Bibliothèque — variante 01 — Centre d’évacuation abandonné / reprise progressive de la végétation</x:v>
      </x:c>
      <x:c r="F2065" t="n">
        <x:v>8</x:v>
      </x:c>
      <x:c r="G2065" t="n">
        <x:v>5</x:v>
      </x:c>
      <x:c r="H2065" t="n">
        <x:v>0</x:v>
      </x:c>
      <x:c r="I2065" t="str">
        <x:v>À qualifier par lieu</x:v>
      </x:c>
      <x:c r="J2065" t="str">
        <x:v>https://github.com/darknigthmare/deadwall-last-enclosure/blob/e28f46223e73105ab2c5d83f3d50b99b58ef53e6/codex-3000/compositions/public/DW-2060.md</x:v>
      </x:c>
      <x:c r="K2065" t="str">
        <x:v>Source min 41,16 m ; max 41,16 m ; modèle 41 × 22 m ; niveaux 0. Détails dans catalogue-existant.json.</x:v>
      </x:c>
    </x:row>
    <x:row r="2066">
      <x:c r="A2066" t="str">
        <x:v>DW-2061</x:v>
      </x:c>
      <x:c r="B2066" t="str">
        <x:v>DW-0531</x:v>
      </x:c>
      <x:c r="C2066" t="str">
        <x:v>Composition héritée</x:v>
      </x:c>
      <x:c r="D2066" t="str">
        <x:v>public</x:v>
      </x:c>
      <x:c r="E2066" t="str">
        <x:v>Salle des fêtes — variante 01 — Village et bourg / première récupération passée</x:v>
      </x:c>
      <x:c r="F2066" t="n">
        <x:v>8</x:v>
      </x:c>
      <x:c r="G2066" t="n">
        <x:v>5</x:v>
      </x:c>
      <x:c r="H2066" t="n">
        <x:v>0</x:v>
      </x:c>
      <x:c r="I2066" t="str">
        <x:v>À qualifier par lieu</x:v>
      </x:c>
      <x:c r="J2066" t="str">
        <x:v>https://github.com/darknigthmare/deadwall-last-enclosure/blob/e28f46223e73105ab2c5d83f3d50b99b58ef53e6/codex-3000/compositions/public/DW-2061.md</x:v>
      </x:c>
      <x:c r="K2066" t="str">
        <x:v>Source min 52,33 m ; max 52,33 m ; modèle 52 × 33 m ; niveaux 0. Détails dans catalogue-existant.json.</x:v>
      </x:c>
    </x:row>
    <x:row r="2067">
      <x:c r="A2067" t="str">
        <x:v>DW-2062</x:v>
      </x:c>
      <x:c r="B2067" t="str">
        <x:v>DW-0531</x:v>
      </x:c>
      <x:c r="C2067" t="str">
        <x:v>Composition héritée</x:v>
      </x:c>
      <x:c r="D2067" t="str">
        <x:v>public</x:v>
      </x:c>
      <x:c r="E2067" t="str">
        <x:v>Salle des fêtes — variante 01 — École, mairie et bâtiments civiques / relais temporaire envisagé</x:v>
      </x:c>
      <x:c r="F2067" t="n">
        <x:v>8</x:v>
      </x:c>
      <x:c r="G2067" t="n">
        <x:v>5</x:v>
      </x:c>
      <x:c r="H2067" t="n">
        <x:v>0</x:v>
      </x:c>
      <x:c r="I2067" t="str">
        <x:v>À qualifier par lieu</x:v>
      </x:c>
      <x:c r="J2067" t="str">
        <x:v>https://github.com/darknigthmare/deadwall-last-enclosure/blob/e28f46223e73105ab2c5d83f3d50b99b58ef53e6/codex-3000/compositions/public/DW-2062.md</x:v>
      </x:c>
      <x:c r="K2067" t="str">
        <x:v>Source min 52,33 m ; max 52,33 m ; modèle 52 × 33 m ; niveaux 0. Détails dans catalogue-existant.json.</x:v>
      </x:c>
    </x:row>
    <x:row r="2068">
      <x:c r="A2068" t="str">
        <x:v>DW-2063</x:v>
      </x:c>
      <x:c r="B2068" t="str">
        <x:v>DW-0532</x:v>
      </x:c>
      <x:c r="C2068" t="str">
        <x:v>Composition héritée</x:v>
      </x:c>
      <x:c r="D2068" t="str">
        <x:v>public</x:v>
      </x:c>
      <x:c r="E2068" t="str">
        <x:v>Église et presbytère — variante 01 — Centre d’évacuation abandonné / service déplacé à l’arrière</x:v>
      </x:c>
      <x:c r="F2068" t="n">
        <x:v>8</x:v>
      </x:c>
      <x:c r="G2068" t="n">
        <x:v>5</x:v>
      </x:c>
      <x:c r="H2068" t="n">
        <x:v>0</x:v>
      </x:c>
      <x:c r="I2068" t="str">
        <x:v>À qualifier par lieu</x:v>
      </x:c>
      <x:c r="J2068" t="str">
        <x:v>https://github.com/darknigthmare/deadwall-last-enclosure/blob/e28f46223e73105ab2c5d83f3d50b99b58ef53e6/codex-3000/compositions/public/DW-2063.md</x:v>
      </x:c>
      <x:c r="K2068" t="str">
        <x:v>Source min 63,50 m ; max 63,50 m ; modèle 63 × 50 m ; niveaux 0. Détails dans catalogue-existant.json.</x:v>
      </x:c>
    </x:row>
    <x:row r="2069">
      <x:c r="A2069" t="str">
        <x:v>DW-2064</x:v>
      </x:c>
      <x:c r="B2069" t="str">
        <x:v>DW-0532</x:v>
      </x:c>
      <x:c r="C2069" t="str">
        <x:v>Composition héritée</x:v>
      </x:c>
      <x:c r="D2069" t="str">
        <x:v>public</x:v>
      </x:c>
      <x:c r="E2069" t="str">
        <x:v>Église et presbytère — variante 01 — Ville moyenne / réseau principal coupé</x:v>
      </x:c>
      <x:c r="F2069" t="n">
        <x:v>8</x:v>
      </x:c>
      <x:c r="G2069" t="n">
        <x:v>5</x:v>
      </x:c>
      <x:c r="H2069" t="n">
        <x:v>0</x:v>
      </x:c>
      <x:c r="I2069" t="str">
        <x:v>À qualifier par lieu</x:v>
      </x:c>
      <x:c r="J2069" t="str">
        <x:v>https://github.com/darknigthmare/deadwall-last-enclosure/blob/e28f46223e73105ab2c5d83f3d50b99b58ef53e6/codex-3000/compositions/public/DW-2064.md</x:v>
      </x:c>
      <x:c r="K2069" t="str">
        <x:v>Source min 63,50 m ; max 63,50 m ; modèle 63 × 50 m ; niveaux 0. Détails dans catalogue-existant.json.</x:v>
      </x:c>
    </x:row>
    <x:row r="2070">
      <x:c r="A2070" t="str">
        <x:v>DW-2065</x:v>
      </x:c>
      <x:c r="B2070" t="str">
        <x:v>DW-0533</x:v>
      </x:c>
      <x:c r="C2070" t="str">
        <x:v>Composition héritée</x:v>
      </x:c>
      <x:c r="D2070" t="str">
        <x:v>rural</x:v>
      </x:c>
      <x:c r="E2070" t="str">
        <x:v>Hameau agricole — variante 01 — Ferme, verger et pâtures / reprise progressive de la végétation</x:v>
      </x:c>
      <x:c r="F2070" t="n">
        <x:v>8</x:v>
      </x:c>
      <x:c r="G2070" t="n">
        <x:v>6</x:v>
      </x:c>
      <x:c r="H2070" t="n">
        <x:v>0</x:v>
      </x:c>
      <x:c r="I2070" t="str">
        <x:v>À qualifier par lieu</x:v>
      </x:c>
      <x:c r="J2070" t="str">
        <x:v>https://github.com/darknigthmare/deadwall-last-enclosure/blob/e28f46223e73105ab2c5d83f3d50b99b58ef53e6/codex-3000/compositions/rural/DW-2065.md</x:v>
      </x:c>
      <x:c r="K2070" t="str">
        <x:v>Source min 74,13 m ; max 74,13 m ; modèle 74 × 22 m ; niveaux 0. Détails dans catalogue-existant.json.</x:v>
      </x:c>
    </x:row>
    <x:row r="2071">
      <x:c r="A2071" t="str">
        <x:v>DW-2066</x:v>
      </x:c>
      <x:c r="B2071" t="str">
        <x:v>DW-0533</x:v>
      </x:c>
      <x:c r="C2071" t="str">
        <x:v>Composition héritée</x:v>
      </x:c>
      <x:c r="D2071" t="str">
        <x:v>rural</x:v>
      </x:c>
      <x:c r="E2071" t="str">
        <x:v>Hameau agricole — variante 01 — Petit bois et lisière / repli organisé interrompu</x:v>
      </x:c>
      <x:c r="F2071" t="n">
        <x:v>8</x:v>
      </x:c>
      <x:c r="G2071" t="n">
        <x:v>6</x:v>
      </x:c>
      <x:c r="H2071" t="n">
        <x:v>0</x:v>
      </x:c>
      <x:c r="I2071" t="str">
        <x:v>À qualifier par lieu</x:v>
      </x:c>
      <x:c r="J2071" t="str">
        <x:v>https://github.com/darknigthmare/deadwall-last-enclosure/blob/e28f46223e73105ab2c5d83f3d50b99b58ef53e6/codex-3000/compositions/rural/DW-2066.md</x:v>
      </x:c>
      <x:c r="K2071" t="str">
        <x:v>Source min 74,13 m ; max 74,13 m ; modèle 74 × 22 m ; niveaux 0. Détails dans catalogue-existant.json.</x:v>
      </x:c>
    </x:row>
    <x:row r="2072">
      <x:c r="A2072" t="str">
        <x:v>DW-2067</x:v>
      </x:c>
      <x:c r="B2072" t="str">
        <x:v>DW-0534</x:v>
      </x:c>
      <x:c r="C2072" t="str">
        <x:v>Composition héritée</x:v>
      </x:c>
      <x:c r="D2072" t="str">
        <x:v>rural</x:v>
      </x:c>
      <x:c r="E2072" t="str">
        <x:v>Cabane forestière — variante 01 — Prairie et friche ouverte / relais temporaire envisagé</x:v>
      </x:c>
      <x:c r="F2072" t="n">
        <x:v>8</x:v>
      </x:c>
      <x:c r="G2072" t="n">
        <x:v>4</x:v>
      </x:c>
      <x:c r="H2072" t="n">
        <x:v>0</x:v>
      </x:c>
      <x:c r="I2072" t="str">
        <x:v>À qualifier par lieu</x:v>
      </x:c>
      <x:c r="J2072" t="str">
        <x:v>https://github.com/darknigthmare/deadwall-last-enclosure/blob/e28f46223e73105ab2c5d83f3d50b99b58ef53e6/codex-3000/compositions/rural/DW-2067.md</x:v>
      </x:c>
      <x:c r="K2072" t="str">
        <x:v>Source min 13,30 m ; max 13,30 m ; modèle 25 × 30 m ; niveaux 0. Détails dans catalogue-existant.json.</x:v>
      </x:c>
    </x:row>
    <x:row r="2073">
      <x:c r="A2073" t="str">
        <x:v>DW-2068</x:v>
      </x:c>
      <x:c r="B2073" t="str">
        <x:v>DW-0534</x:v>
      </x:c>
      <x:c r="C2073" t="str">
        <x:v>Composition héritée</x:v>
      </x:c>
      <x:c r="D2073" t="str">
        <x:v>rural</x:v>
      </x:c>
      <x:c r="E2073" t="str">
        <x:v>Cabane forestière — variante 01 — Hameau / évacuation interrompue</x:v>
      </x:c>
      <x:c r="F2073" t="n">
        <x:v>8</x:v>
      </x:c>
      <x:c r="G2073" t="n">
        <x:v>4</x:v>
      </x:c>
      <x:c r="H2073" t="n">
        <x:v>0</x:v>
      </x:c>
      <x:c r="I2073" t="str">
        <x:v>À qualifier par lieu</x:v>
      </x:c>
      <x:c r="J2073" t="str">
        <x:v>https://github.com/darknigthmare/deadwall-last-enclosure/blob/e28f46223e73105ab2c5d83f3d50b99b58ef53e6/codex-3000/compositions/rural/DW-2068.md</x:v>
      </x:c>
      <x:c r="K2073" t="str">
        <x:v>Source min 13,30 m ; max 13,30 m ; modèle 25 × 30 m ; niveaux 0. Détails dans catalogue-existant.json.</x:v>
      </x:c>
    </x:row>
    <x:row r="2074">
      <x:c r="A2074" t="str">
        <x:v>DW-2069</x:v>
      </x:c>
      <x:c r="B2074" t="str">
        <x:v>DW-0535</x:v>
      </x:c>
      <x:c r="C2074" t="str">
        <x:v>Composition héritée</x:v>
      </x:c>
      <x:c r="D2074" t="str">
        <x:v>rural</x:v>
      </x:c>
      <x:c r="E2074" t="str">
        <x:v>Dépôt forestier — variante 01 — Petit bois et lisière / réseau principal coupé</x:v>
      </x:c>
      <x:c r="F2074" t="n">
        <x:v>8</x:v>
      </x:c>
      <x:c r="G2074" t="n">
        <x:v>5</x:v>
      </x:c>
      <x:c r="H2074" t="n">
        <x:v>0</x:v>
      </x:c>
      <x:c r="I2074" t="str">
        <x:v>À qualifier par lieu</x:v>
      </x:c>
      <x:c r="J2074" t="str">
        <x:v>https://github.com/darknigthmare/deadwall-last-enclosure/blob/e28f46223e73105ab2c5d83f3d50b99b58ef53e6/codex-3000/compositions/rural/DW-2069.md</x:v>
      </x:c>
      <x:c r="K2074" t="str">
        <x:v>Source min 24,47 m ; max 24,47 m ; modèle 26 × 47 m ; niveaux 0. Détails dans catalogue-existant.json.</x:v>
      </x:c>
    </x:row>
    <x:row r="2075">
      <x:c r="A2075" t="str">
        <x:v>DW-2070</x:v>
      </x:c>
      <x:c r="B2075" t="str">
        <x:v>DW-0535</x:v>
      </x:c>
      <x:c r="C2075" t="str">
        <x:v>Composition héritée</x:v>
      </x:c>
      <x:c r="D2075" t="str">
        <x:v>rural</x:v>
      </x:c>
      <x:c r="E2075" t="str">
        <x:v>Dépôt forestier — variante 01 — Ferme, verger et pâtures / arrêt de maintenance</x:v>
      </x:c>
      <x:c r="F2075" t="n">
        <x:v>8</x:v>
      </x:c>
      <x:c r="G2075" t="n">
        <x:v>5</x:v>
      </x:c>
      <x:c r="H2075" t="n">
        <x:v>0</x:v>
      </x:c>
      <x:c r="I2075" t="str">
        <x:v>À qualifier par lieu</x:v>
      </x:c>
      <x:c r="J2075" t="str">
        <x:v>https://github.com/darknigthmare/deadwall-last-enclosure/blob/e28f46223e73105ab2c5d83f3d50b99b58ef53e6/codex-3000/compositions/rural/DW-2070.md</x:v>
      </x:c>
      <x:c r="K2075" t="str">
        <x:v>Source min 24,47 m ; max 24,47 m ; modèle 26 × 47 m ; niveaux 0. Détails dans catalogue-existant.json.</x:v>
      </x:c>
    </x:row>
    <x:row r="2076">
      <x:c r="A2076" t="str">
        <x:v>DW-2071</x:v>
      </x:c>
      <x:c r="B2076" t="str">
        <x:v>DW-0536</x:v>
      </x:c>
      <x:c r="C2076" t="str">
        <x:v>Composition héritée</x:v>
      </x:c>
      <x:c r="D2076" t="str">
        <x:v>rural</x:v>
      </x:c>
      <x:c r="E2076" t="str">
        <x:v>Ferme céréalière — variante 01 — Hameau / repli organisé interrompu</x:v>
      </x:c>
      <x:c r="F2076" t="n">
        <x:v>8</x:v>
      </x:c>
      <x:c r="G2076" t="n">
        <x:v>5</x:v>
      </x:c>
      <x:c r="H2076" t="n">
        <x:v>0</x:v>
      </x:c>
      <x:c r="I2076" t="str">
        <x:v>À qualifier par lieu</x:v>
      </x:c>
      <x:c r="J2076" t="str">
        <x:v>https://github.com/darknigthmare/deadwall-last-enclosure/blob/e28f46223e73105ab2c5d83f3d50b99b58ef53e6/codex-3000/compositions/rural/DW-2071.md</x:v>
      </x:c>
      <x:c r="K2076" t="str">
        <x:v>Source min 35,10 m ; max 35,10 m ; modèle 35 × 22 m ; niveaux 0. Détails dans catalogue-existant.json.</x:v>
      </x:c>
    </x:row>
    <x:row r="2077">
      <x:c r="A2077" t="str">
        <x:v>DW-2072</x:v>
      </x:c>
      <x:c r="B2077" t="str">
        <x:v>DW-0536</x:v>
      </x:c>
      <x:c r="C2077" t="str">
        <x:v>Composition héritée</x:v>
      </x:c>
      <x:c r="D2077" t="str">
        <x:v>rural</x:v>
      </x:c>
      <x:c r="E2077" t="str">
        <x:v>Ferme céréalière — variante 01 — Prairie et friche ouverte / première récupération passée</x:v>
      </x:c>
      <x:c r="F2077" t="n">
        <x:v>8</x:v>
      </x:c>
      <x:c r="G2077" t="n">
        <x:v>5</x:v>
      </x:c>
      <x:c r="H2077" t="n">
        <x:v>0</x:v>
      </x:c>
      <x:c r="I2077" t="str">
        <x:v>À qualifier par lieu</x:v>
      </x:c>
      <x:c r="J2077" t="str">
        <x:v>https://github.com/darknigthmare/deadwall-last-enclosure/blob/e28f46223e73105ab2c5d83f3d50b99b58ef53e6/codex-3000/compositions/rural/DW-2072.md</x:v>
      </x:c>
      <x:c r="K2077" t="str">
        <x:v>Source min 35,10 m ; max 35,10 m ; modèle 35 × 22 m ; niveaux 0. Détails dans catalogue-existant.json.</x:v>
      </x:c>
    </x:row>
    <x:row r="2078">
      <x:c r="A2078" t="str">
        <x:v>DW-2073</x:v>
      </x:c>
      <x:c r="B2078" t="str">
        <x:v>DW-0537</x:v>
      </x:c>
      <x:c r="C2078" t="str">
        <x:v>Composition héritée</x:v>
      </x:c>
      <x:c r="D2078" t="str">
        <x:v>rural</x:v>
      </x:c>
      <x:c r="E2078" t="str">
        <x:v>Ferme d'élevage — variante 01 — Ferme, verger et pâtures / évacuation interrompue</x:v>
      </x:c>
      <x:c r="F2078" t="n">
        <x:v>8</x:v>
      </x:c>
      <x:c r="G2078" t="n">
        <x:v>5</x:v>
      </x:c>
      <x:c r="H2078" t="n">
        <x:v>0</x:v>
      </x:c>
      <x:c r="I2078" t="str">
        <x:v>À qualifier par lieu</x:v>
      </x:c>
      <x:c r="J2078" t="str">
        <x:v>https://github.com/darknigthmare/deadwall-last-enclosure/blob/e28f46223e73105ab2c5d83f3d50b99b58ef53e6/codex-3000/compositions/rural/DW-2073.md</x:v>
      </x:c>
      <x:c r="K2078" t="str">
        <x:v>Source min 46,27 m ; max 46,27 m ; modèle 46 × 27 m ; niveaux 0. Détails dans catalogue-existant.json.</x:v>
      </x:c>
    </x:row>
    <x:row r="2079">
      <x:c r="A2079" t="str">
        <x:v>DW-2074</x:v>
      </x:c>
      <x:c r="B2079" t="str">
        <x:v>DW-0537</x:v>
      </x:c>
      <x:c r="C2079" t="str">
        <x:v>Composition héritée</x:v>
      </x:c>
      <x:c r="D2079" t="str">
        <x:v>rural</x:v>
      </x:c>
      <x:c r="E2079" t="str">
        <x:v>Ferme d'élevage — variante 01 — Petit bois et lisière / service déplacé à l’arrière</x:v>
      </x:c>
      <x:c r="F2079" t="n">
        <x:v>8</x:v>
      </x:c>
      <x:c r="G2079" t="n">
        <x:v>5</x:v>
      </x:c>
      <x:c r="H2079" t="n">
        <x:v>0</x:v>
      </x:c>
      <x:c r="I2079" t="str">
        <x:v>À qualifier par lieu</x:v>
      </x:c>
      <x:c r="J2079" t="str">
        <x:v>https://github.com/darknigthmare/deadwall-last-enclosure/blob/e28f46223e73105ab2c5d83f3d50b99b58ef53e6/codex-3000/compositions/rural/DW-2074.md</x:v>
      </x:c>
      <x:c r="K2079" t="str">
        <x:v>Source min 46,27 m ; max 46,27 m ; modèle 46 × 27 m ; niveaux 0. Détails dans catalogue-existant.json.</x:v>
      </x:c>
    </x:row>
    <x:row r="2080">
      <x:c r="A2080" t="str">
        <x:v>DW-2075</x:v>
      </x:c>
      <x:c r="B2080" t="str">
        <x:v>DW-0538</x:v>
      </x:c>
      <x:c r="C2080" t="str">
        <x:v>Composition héritée</x:v>
      </x:c>
      <x:c r="D2080" t="str">
        <x:v>rural</x:v>
      </x:c>
      <x:c r="E2080" t="str">
        <x:v>Relais de chasse — variante 01 — Prairie et friche ouverte / arrêt de maintenance</x:v>
      </x:c>
      <x:c r="F2080" t="n">
        <x:v>8</x:v>
      </x:c>
      <x:c r="G2080" t="n">
        <x:v>4</x:v>
      </x:c>
      <x:c r="H2080" t="n">
        <x:v>0</x:v>
      </x:c>
      <x:c r="I2080" t="str">
        <x:v>À qualifier par lieu</x:v>
      </x:c>
      <x:c r="J2080" t="str">
        <x:v>https://github.com/darknigthmare/deadwall-last-enclosure/blob/e28f46223e73105ab2c5d83f3d50b99b58ef53e6/codex-3000/compositions/rural/DW-2075.md</x:v>
      </x:c>
      <x:c r="K2080" t="str">
        <x:v>Source min 57,44 m ; max 57,44 m ; modèle 57 × 44 m ; niveaux 0. Détails dans catalogue-existant.json.</x:v>
      </x:c>
    </x:row>
    <x:row r="2081">
      <x:c r="A2081" t="str">
        <x:v>DW-2076</x:v>
      </x:c>
      <x:c r="B2081" t="str">
        <x:v>DW-0538</x:v>
      </x:c>
      <x:c r="C2081" t="str">
        <x:v>Composition héritée</x:v>
      </x:c>
      <x:c r="D2081" t="str">
        <x:v>rural</x:v>
      </x:c>
      <x:c r="E2081" t="str">
        <x:v>Relais de chasse — variante 01 — Hameau / reprise progressive de la végétation</x:v>
      </x:c>
      <x:c r="F2081" t="n">
        <x:v>8</x:v>
      </x:c>
      <x:c r="G2081" t="n">
        <x:v>4</x:v>
      </x:c>
      <x:c r="H2081" t="n">
        <x:v>0</x:v>
      </x:c>
      <x:c r="I2081" t="str">
        <x:v>À qualifier par lieu</x:v>
      </x:c>
      <x:c r="J2081" t="str">
        <x:v>https://github.com/darknigthmare/deadwall-last-enclosure/blob/e28f46223e73105ab2c5d83f3d50b99b58ef53e6/codex-3000/compositions/rural/DW-2076.md</x:v>
      </x:c>
      <x:c r="K2081" t="str">
        <x:v>Source min 57,44 m ; max 57,44 m ; modèle 57 × 44 m ; niveaux 0. Détails dans catalogue-existant.json.</x:v>
      </x:c>
    </x:row>
    <x:row r="2082">
      <x:c r="A2082" t="str">
        <x:v>DW-2077</x:v>
      </x:c>
      <x:c r="B2082" t="str">
        <x:v>DW-0539</x:v>
      </x:c>
      <x:c r="C2082" t="str">
        <x:v>Composition héritée</x:v>
      </x:c>
      <x:c r="D2082" t="str">
        <x:v>rural</x:v>
      </x:c>
      <x:c r="E2082" t="str">
        <x:v>Moulin rural — variante 01 — Petit bois et lisière / première récupération passée</x:v>
      </x:c>
      <x:c r="F2082" t="n">
        <x:v>8</x:v>
      </x:c>
      <x:c r="G2082" t="n">
        <x:v>4</x:v>
      </x:c>
      <x:c r="H2082" t="n">
        <x:v>0</x:v>
      </x:c>
      <x:c r="I2082" t="str">
        <x:v>À qualifier par lieu</x:v>
      </x:c>
      <x:c r="J2082" t="str">
        <x:v>https://github.com/darknigthmare/deadwall-last-enclosure/blob/e28f46223e73105ab2c5d83f3d50b99b58ef53e6/codex-3000/compositions/rural/DW-2077.md</x:v>
      </x:c>
      <x:c r="K2082" t="str">
        <x:v>Source min 68,61 m ; max 68,61 m ; modèle 68 × 61 m ; niveaux 0. Détails dans catalogue-existant.json.</x:v>
      </x:c>
    </x:row>
    <x:row r="2083">
      <x:c r="A2083" t="str">
        <x:v>DW-2078</x:v>
      </x:c>
      <x:c r="B2083" t="str">
        <x:v>DW-0539</x:v>
      </x:c>
      <x:c r="C2083" t="str">
        <x:v>Composition héritée</x:v>
      </x:c>
      <x:c r="D2083" t="str">
        <x:v>rural</x:v>
      </x:c>
      <x:c r="E2083" t="str">
        <x:v>Moulin rural — variante 01 — Ferme, verger et pâtures / relais temporaire envisagé</x:v>
      </x:c>
      <x:c r="F2083" t="n">
        <x:v>8</x:v>
      </x:c>
      <x:c r="G2083" t="n">
        <x:v>4</x:v>
      </x:c>
      <x:c r="H2083" t="n">
        <x:v>0</x:v>
      </x:c>
      <x:c r="I2083" t="str">
        <x:v>À qualifier par lieu</x:v>
      </x:c>
      <x:c r="J2083" t="str">
        <x:v>https://github.com/darknigthmare/deadwall-last-enclosure/blob/e28f46223e73105ab2c5d83f3d50b99b58ef53e6/codex-3000/compositions/rural/DW-2078.md</x:v>
      </x:c>
      <x:c r="K2083" t="str">
        <x:v>Source min 68,61 m ; max 68,61 m ; modèle 68 × 61 m ; niveaux 0. Détails dans catalogue-existant.json.</x:v>
      </x:c>
    </x:row>
    <x:row r="2084">
      <x:c r="A2084" t="str">
        <x:v>DW-2079</x:v>
      </x:c>
      <x:c r="B2084" t="str">
        <x:v>DW-0540</x:v>
      </x:c>
      <x:c r="C2084" t="str">
        <x:v>Composition héritée</x:v>
      </x:c>
      <x:c r="D2084" t="str">
        <x:v>rural</x:v>
      </x:c>
      <x:c r="E2084" t="str">
        <x:v>Serres maraîchères — variante 01 — Hameau / service déplacé à l’arrière</x:v>
      </x:c>
      <x:c r="F2084" t="n">
        <x:v>8</x:v>
      </x:c>
      <x:c r="G2084" t="n">
        <x:v>5</x:v>
      </x:c>
      <x:c r="H2084" t="n">
        <x:v>0</x:v>
      </x:c>
      <x:c r="I2084" t="str">
        <x:v>À qualifier par lieu</x:v>
      </x:c>
      <x:c r="J2084" t="str">
        <x:v>https://github.com/darknigthmare/deadwall-last-enclosure/blob/e28f46223e73105ab2c5d83f3d50b99b58ef53e6/codex-3000/compositions/rural/DW-2079.md</x:v>
      </x:c>
      <x:c r="K2084" t="str">
        <x:v>Source min 79,24 m ; max 79,24 m ; modèle 78 × 24 m ; niveaux 0. Détails dans catalogue-existant.json.</x:v>
      </x:c>
    </x:row>
    <x:row r="2085">
      <x:c r="A2085" t="str">
        <x:v>DW-2080</x:v>
      </x:c>
      <x:c r="B2085" t="str">
        <x:v>DW-0540</x:v>
      </x:c>
      <x:c r="C2085" t="str">
        <x:v>Composition héritée</x:v>
      </x:c>
      <x:c r="D2085" t="str">
        <x:v>rural</x:v>
      </x:c>
      <x:c r="E2085" t="str">
        <x:v>Serres maraîchères — variante 01 — Prairie et friche ouverte / réseau principal coupé</x:v>
      </x:c>
      <x:c r="F2085" t="n">
        <x:v>8</x:v>
      </x:c>
      <x:c r="G2085" t="n">
        <x:v>5</x:v>
      </x:c>
      <x:c r="H2085" t="n">
        <x:v>0</x:v>
      </x:c>
      <x:c r="I2085" t="str">
        <x:v>À qualifier par lieu</x:v>
      </x:c>
      <x:c r="J2085" t="str">
        <x:v>https://github.com/darknigthmare/deadwall-last-enclosure/blob/e28f46223e73105ab2c5d83f3d50b99b58ef53e6/codex-3000/compositions/rural/DW-2080.md</x:v>
      </x:c>
      <x:c r="K2085" t="str">
        <x:v>Source min 79,24 m ; max 79,24 m ; modèle 78 × 24 m ; niveaux 0. Détails dans catalogue-existant.json.</x:v>
      </x:c>
    </x:row>
    <x:row r="2086">
      <x:c r="A2086" t="str">
        <x:v>DW-2081</x:v>
      </x:c>
      <x:c r="B2086" t="str">
        <x:v>DW-0541</x:v>
      </x:c>
      <x:c r="C2086" t="str">
        <x:v>Composition héritée</x:v>
      </x:c>
      <x:c r="D2086" t="str">
        <x:v>militaire</x:v>
      </x:c>
      <x:c r="E2086" t="str">
        <x:v>Bunker de défense civile — variante 01 — Grand camp allié / reprise progressive de la végétation</x:v>
      </x:c>
      <x:c r="F2086" t="n">
        <x:v>10</x:v>
      </x:c>
      <x:c r="G2086" t="n">
        <x:v>6</x:v>
      </x:c>
      <x:c r="H2086" t="n">
        <x:v>0</x:v>
      </x:c>
      <x:c r="I2086" t="str">
        <x:v>À qualifier par lieu</x:v>
      </x:c>
      <x:c r="J2086" t="str">
        <x:v>https://github.com/darknigthmare/deadwall-last-enclosure/blob/e28f46223e73105ab2c5d83f3d50b99b58ef53e6/codex-3000/compositions/militaire/DW-2081.md</x:v>
      </x:c>
      <x:c r="K2086" t="str">
        <x:v>Source min 18,41 m ; max 18,41 m ; modèle 28 × 41 m ; niveaux 0, 1. Détails dans catalogue-existant.json.</x:v>
      </x:c>
    </x:row>
    <x:row r="2087">
      <x:c r="A2087" t="str">
        <x:v>DW-2082</x:v>
      </x:c>
      <x:c r="B2087" t="str">
        <x:v>DW-0541</x:v>
      </x:c>
      <x:c r="C2087" t="str">
        <x:v>Composition héritée</x:v>
      </x:c>
      <x:c r="D2087" t="str">
        <x:v>militaire</x:v>
      </x:c>
      <x:c r="E2087" t="str">
        <x:v>Bunker de défense civile — variante 01 — Camp de fortune / repli organisé interrompu</x:v>
      </x:c>
      <x:c r="F2087" t="n">
        <x:v>8</x:v>
      </x:c>
      <x:c r="G2087" t="n">
        <x:v>6</x:v>
      </x:c>
      <x:c r="H2087" t="n">
        <x:v>0</x:v>
      </x:c>
      <x:c r="I2087" t="str">
        <x:v>À qualifier par lieu</x:v>
      </x:c>
      <x:c r="J2087" t="str">
        <x:v>https://github.com/darknigthmare/deadwall-last-enclosure/blob/e28f46223e73105ab2c5d83f3d50b99b58ef53e6/codex-3000/compositions/militaire/DW-2082.md</x:v>
      </x:c>
      <x:c r="K2087" t="str">
        <x:v>Source min 18,41 m ; max 18,41 m ; modèle 28 × 41 m ; niveaux 0, 1. Détails dans catalogue-existant.json.</x:v>
      </x:c>
    </x:row>
    <x:row r="2088">
      <x:c r="A2088" t="str">
        <x:v>DW-2083</x:v>
      </x:c>
      <x:c r="B2088" t="str">
        <x:v>DW-0542</x:v>
      </x:c>
      <x:c r="C2088" t="str">
        <x:v>Composition héritée</x:v>
      </x:c>
      <x:c r="D2088" t="str">
        <x:v>militaire</x:v>
      </x:c>
      <x:c r="E2088" t="str">
        <x:v>Dépôt militaire — variante 01 — Camp hostile / relais temporaire envisagé</x:v>
      </x:c>
      <x:c r="F2088" t="n">
        <x:v>10</x:v>
      </x:c>
      <x:c r="G2088" t="n">
        <x:v>5</x:v>
      </x:c>
      <x:c r="H2088" t="n">
        <x:v>0</x:v>
      </x:c>
      <x:c r="I2088" t="str">
        <x:v>À qualifier par lieu</x:v>
      </x:c>
      <x:c r="J2088" t="str">
        <x:v>https://github.com/darknigthmare/deadwall-last-enclosure/blob/e28f46223e73105ab2c5d83f3d50b99b58ef53e6/codex-3000/compositions/militaire/DW-2083.md</x:v>
      </x:c>
      <x:c r="K2088" t="str">
        <x:v>Source min 29,58 m ; max 29,58 m ; modèle 29 × 58 m ; niveaux 0. Détails dans catalogue-existant.json.</x:v>
      </x:c>
    </x:row>
    <x:row r="2089">
      <x:c r="A2089" t="str">
        <x:v>DW-2084</x:v>
      </x:c>
      <x:c r="B2089" t="str">
        <x:v>DW-0542</x:v>
      </x:c>
      <x:c r="C2089" t="str">
        <x:v>Composition héritée</x:v>
      </x:c>
      <x:c r="D2089" t="str">
        <x:v>militaire</x:v>
      </x:c>
      <x:c r="E2089" t="str">
        <x:v>Dépôt militaire — variante 01 — Centre d’évacuation abandonné / évacuation interrompue</x:v>
      </x:c>
      <x:c r="F2089" t="n">
        <x:v>8</x:v>
      </x:c>
      <x:c r="G2089" t="n">
        <x:v>5</x:v>
      </x:c>
      <x:c r="H2089" t="n">
        <x:v>0</x:v>
      </x:c>
      <x:c r="I2089" t="str">
        <x:v>À qualifier par lieu</x:v>
      </x:c>
      <x:c r="J2089" t="str">
        <x:v>https://github.com/darknigthmare/deadwall-last-enclosure/blob/e28f46223e73105ab2c5d83f3d50b99b58ef53e6/codex-3000/compositions/militaire/DW-2084.md</x:v>
      </x:c>
      <x:c r="K2089" t="str">
        <x:v>Source min 29,58 m ; max 29,58 m ; modèle 29 × 58 m ; niveaux 0. Détails dans catalogue-existant.json.</x:v>
      </x:c>
    </x:row>
    <x:row r="2090">
      <x:c r="A2090" t="str">
        <x:v>DW-2085</x:v>
      </x:c>
      <x:c r="B2090" t="str">
        <x:v>DW-0543</x:v>
      </x:c>
      <x:c r="C2090" t="str">
        <x:v>Composition héritée</x:v>
      </x:c>
      <x:c r="D2090" t="str">
        <x:v>militaire</x:v>
      </x:c>
      <x:c r="E2090" t="str">
        <x:v>Poste de contrôle — variante 01 — Camp de fortune / réseau principal coupé</x:v>
      </x:c>
      <x:c r="F2090" t="n">
        <x:v>8</x:v>
      </x:c>
      <x:c r="G2090" t="n">
        <x:v>5</x:v>
      </x:c>
      <x:c r="H2090" t="n">
        <x:v>0</x:v>
      </x:c>
      <x:c r="I2090" t="str">
        <x:v>À qualifier par lieu</x:v>
      </x:c>
      <x:c r="J2090" t="str">
        <x:v>https://github.com/darknigthmare/deadwall-last-enclosure/blob/e28f46223e73105ab2c5d83f3d50b99b58ef53e6/codex-3000/compositions/militaire/DW-2085.md</x:v>
      </x:c>
      <x:c r="K2090" t="str">
        <x:v>Source min 40,21 m ; max 40,21 m ; modèle 40 × 22 m ; niveaux 0. Détails dans catalogue-existant.json.</x:v>
      </x:c>
    </x:row>
    <x:row r="2091">
      <x:c r="A2091" t="str">
        <x:v>DW-2086</x:v>
      </x:c>
      <x:c r="B2091" t="str">
        <x:v>DW-0543</x:v>
      </x:c>
      <x:c r="C2091" t="str">
        <x:v>Composition héritée</x:v>
      </x:c>
      <x:c r="D2091" t="str">
        <x:v>militaire</x:v>
      </x:c>
      <x:c r="E2091" t="str">
        <x:v>Poste de contrôle — variante 01 — Grand camp allié / arrêt de maintenance</x:v>
      </x:c>
      <x:c r="F2091" t="n">
        <x:v>10</x:v>
      </x:c>
      <x:c r="G2091" t="n">
        <x:v>5</x:v>
      </x:c>
      <x:c r="H2091" t="n">
        <x:v>0</x:v>
      </x:c>
      <x:c r="I2091" t="str">
        <x:v>À qualifier par lieu</x:v>
      </x:c>
      <x:c r="J2091" t="str">
        <x:v>https://github.com/darknigthmare/deadwall-last-enclosure/blob/e28f46223e73105ab2c5d83f3d50b99b58ef53e6/codex-3000/compositions/militaire/DW-2086.md</x:v>
      </x:c>
      <x:c r="K2091" t="str">
        <x:v>Source min 40,21 m ; max 40,21 m ; modèle 40 × 22 m ; niveaux 0. Détails dans catalogue-existant.json.</x:v>
      </x:c>
    </x:row>
    <x:row r="2092">
      <x:c r="A2092" t="str">
        <x:v>DW-2087</x:v>
      </x:c>
      <x:c r="B2092" t="str">
        <x:v>DW-0544</x:v>
      </x:c>
      <x:c r="C2092" t="str">
        <x:v>Composition héritée</x:v>
      </x:c>
      <x:c r="D2092" t="str">
        <x:v>militaire</x:v>
      </x:c>
      <x:c r="E2092" t="str">
        <x:v>Camp retranché abandonné — variante 01 — Centre d’évacuation abandonné / repli organisé interrompu</x:v>
      </x:c>
      <x:c r="F2092" t="n">
        <x:v>8</x:v>
      </x:c>
      <x:c r="G2092" t="n">
        <x:v>5</x:v>
      </x:c>
      <x:c r="H2092" t="n">
        <x:v>0</x:v>
      </x:c>
      <x:c r="I2092" t="str">
        <x:v>À qualifier par lieu</x:v>
      </x:c>
      <x:c r="J2092" t="str">
        <x:v>https://github.com/darknigthmare/deadwall-last-enclosure/blob/e28f46223e73105ab2c5d83f3d50b99b58ef53e6/codex-3000/compositions/militaire/DW-2087.md</x:v>
      </x:c>
      <x:c r="K2092" t="str">
        <x:v>Source min 51,38 m ; max 51,38 m ; modèle 51 × 38 m ; niveaux 0. Détails dans catalogue-existant.json.</x:v>
      </x:c>
    </x:row>
    <x:row r="2093">
      <x:c r="A2093" t="str">
        <x:v>DW-2088</x:v>
      </x:c>
      <x:c r="B2093" t="str">
        <x:v>DW-0544</x:v>
      </x:c>
      <x:c r="C2093" t="str">
        <x:v>Composition héritée</x:v>
      </x:c>
      <x:c r="D2093" t="str">
        <x:v>militaire</x:v>
      </x:c>
      <x:c r="E2093" t="str">
        <x:v>Camp retranché abandonné — variante 01 — Camp hostile / première récupération passée</x:v>
      </x:c>
      <x:c r="F2093" t="n">
        <x:v>10</x:v>
      </x:c>
      <x:c r="G2093" t="n">
        <x:v>5</x:v>
      </x:c>
      <x:c r="H2093" t="n">
        <x:v>0</x:v>
      </x:c>
      <x:c r="I2093" t="str">
        <x:v>À qualifier par lieu</x:v>
      </x:c>
      <x:c r="J2093" t="str">
        <x:v>https://github.com/darknigthmare/deadwall-last-enclosure/blob/e28f46223e73105ab2c5d83f3d50b99b58ef53e6/codex-3000/compositions/militaire/DW-2088.md</x:v>
      </x:c>
      <x:c r="K2093" t="str">
        <x:v>Source min 51,38 m ; max 51,38 m ; modèle 51 × 38 m ; niveaux 0. Détails dans catalogue-existant.json.</x:v>
      </x:c>
    </x:row>
    <x:row r="2094">
      <x:c r="A2094" t="str">
        <x:v>DW-2089</x:v>
      </x:c>
      <x:c r="B2094" t="str">
        <x:v>DW-0545</x:v>
      </x:c>
      <x:c r="C2094" t="str">
        <x:v>Composition héritée</x:v>
      </x:c>
      <x:c r="D2094" t="str">
        <x:v>militaire</x:v>
      </x:c>
      <x:c r="E2094" t="str">
        <x:v>Abri ferroviaire — variante 01 — Grand camp allié / évacuation interrompue</x:v>
      </x:c>
      <x:c r="F2094" t="n">
        <x:v>10</x:v>
      </x:c>
      <x:c r="G2094" t="n">
        <x:v>4</x:v>
      </x:c>
      <x:c r="H2094" t="n">
        <x:v>0</x:v>
      </x:c>
      <x:c r="I2094" t="str">
        <x:v>À qualifier par lieu</x:v>
      </x:c>
      <x:c r="J2094" t="str">
        <x:v>https://github.com/darknigthmare/deadwall-last-enclosure/blob/e28f46223e73105ab2c5d83f3d50b99b58ef53e6/codex-3000/compositions/militaire/DW-2089.md</x:v>
      </x:c>
      <x:c r="K2094" t="str">
        <x:v>Source min 62,55 m ; max 62,55 m ; modèle 62 × 55 m ; niveaux 0. Détails dans catalogue-existant.json.</x:v>
      </x:c>
    </x:row>
    <x:row r="2095">
      <x:c r="A2095" t="str">
        <x:v>DW-2090</x:v>
      </x:c>
      <x:c r="B2095" t="str">
        <x:v>DW-0545</x:v>
      </x:c>
      <x:c r="C2095" t="str">
        <x:v>Composition héritée</x:v>
      </x:c>
      <x:c r="D2095" t="str">
        <x:v>militaire</x:v>
      </x:c>
      <x:c r="E2095" t="str">
        <x:v>Abri ferroviaire — variante 01 — Camp de fortune / service déplacé à l’arrière</x:v>
      </x:c>
      <x:c r="F2095" t="n">
        <x:v>8</x:v>
      </x:c>
      <x:c r="G2095" t="n">
        <x:v>4</x:v>
      </x:c>
      <x:c r="H2095" t="n">
        <x:v>0</x:v>
      </x:c>
      <x:c r="I2095" t="str">
        <x:v>À qualifier par lieu</x:v>
      </x:c>
      <x:c r="J2095" t="str">
        <x:v>https://github.com/darknigthmare/deadwall-last-enclosure/blob/e28f46223e73105ab2c5d83f3d50b99b58ef53e6/codex-3000/compositions/militaire/DW-2090.md</x:v>
      </x:c>
      <x:c r="K2095" t="str">
        <x:v>Source min 62,55 m ; max 62,55 m ; modèle 62 × 55 m ; niveaux 0. Détails dans catalogue-existant.json.</x:v>
      </x:c>
    </x:row>
    <x:row r="2096">
      <x:c r="A2096" t="str">
        <x:v>DW-2091</x:v>
      </x:c>
      <x:c r="B2096" t="str">
        <x:v>DW-0546</x:v>
      </x:c>
      <x:c r="C2096" t="str">
        <x:v>Composition héritée</x:v>
      </x:c>
      <x:c r="D2096" t="str">
        <x:v>militaire</x:v>
      </x:c>
      <x:c r="E2096" t="str">
        <x:v>Site radar — variante 01 — Camp hostile / arrêt de maintenance</x:v>
      </x:c>
      <x:c r="F2096" t="n">
        <x:v>10</x:v>
      </x:c>
      <x:c r="G2096" t="n">
        <x:v>5</x:v>
      </x:c>
      <x:c r="H2096" t="n">
        <x:v>0</x:v>
      </x:c>
      <x:c r="I2096" t="str">
        <x:v>À qualifier par lieu</x:v>
      </x:c>
      <x:c r="J2096" t="str">
        <x:v>https://github.com/darknigthmare/deadwall-last-enclosure/blob/e28f46223e73105ab2c5d83f3d50b99b58ef53e6/codex-3000/compositions/militaire/DW-2091.md</x:v>
      </x:c>
      <x:c r="K2096" t="str">
        <x:v>Source min 73,18 m ; max 73,18 m ; modèle 73 × 22 m ; niveaux 0. Détails dans catalogue-existant.json.</x:v>
      </x:c>
    </x:row>
    <x:row r="2097">
      <x:c r="A2097" t="str">
        <x:v>DW-2092</x:v>
      </x:c>
      <x:c r="B2097" t="str">
        <x:v>DW-0546</x:v>
      </x:c>
      <x:c r="C2097" t="str">
        <x:v>Composition héritée</x:v>
      </x:c>
      <x:c r="D2097" t="str">
        <x:v>militaire</x:v>
      </x:c>
      <x:c r="E2097" t="str">
        <x:v>Site radar — variante 01 — Centre d’évacuation abandonné / reprise progressive de la végétation</x:v>
      </x:c>
      <x:c r="F2097" t="n">
        <x:v>8</x:v>
      </x:c>
      <x:c r="G2097" t="n">
        <x:v>5</x:v>
      </x:c>
      <x:c r="H2097" t="n">
        <x:v>0</x:v>
      </x:c>
      <x:c r="I2097" t="str">
        <x:v>À qualifier par lieu</x:v>
      </x:c>
      <x:c r="J2097" t="str">
        <x:v>https://github.com/darknigthmare/deadwall-last-enclosure/blob/e28f46223e73105ab2c5d83f3d50b99b58ef53e6/codex-3000/compositions/militaire/DW-2092.md</x:v>
      </x:c>
      <x:c r="K2097" t="str">
        <x:v>Source min 73,18 m ; max 73,18 m ; modèle 73 × 22 m ; niveaux 0. Détails dans catalogue-existant.json.</x:v>
      </x:c>
    </x:row>
    <x:row r="2098">
      <x:c r="A2098" t="str">
        <x:v>DW-2093</x:v>
      </x:c>
      <x:c r="B2098" t="str">
        <x:v>DW-0547</x:v>
      </x:c>
      <x:c r="C2098" t="str">
        <x:v>Composition héritée</x:v>
      </x:c>
      <x:c r="D2098" t="str">
        <x:v>militaire</x:v>
      </x:c>
      <x:c r="E2098" t="str">
        <x:v>Batterie côtière — variante 01 — Camp de fortune / première récupération passée</x:v>
      </x:c>
      <x:c r="F2098" t="n">
        <x:v>8</x:v>
      </x:c>
      <x:c r="G2098" t="n">
        <x:v>4</x:v>
      </x:c>
      <x:c r="H2098" t="n">
        <x:v>0</x:v>
      </x:c>
      <x:c r="I2098" t="str">
        <x:v>À qualifier par lieu</x:v>
      </x:c>
      <x:c r="J2098" t="str">
        <x:v>https://github.com/darknigthmare/deadwall-last-enclosure/blob/e28f46223e73105ab2c5d83f3d50b99b58ef53e6/codex-3000/compositions/militaire/DW-2093.md</x:v>
      </x:c>
      <x:c r="K2098" t="str">
        <x:v>Source min 12,35 m ; max 12,35 m ; modèle 25 × 35 m ; niveaux 0. Détails dans catalogue-existant.json.</x:v>
      </x:c>
    </x:row>
    <x:row r="2099">
      <x:c r="A2099" t="str">
        <x:v>DW-2094</x:v>
      </x:c>
      <x:c r="B2099" t="str">
        <x:v>DW-0547</x:v>
      </x:c>
      <x:c r="C2099" t="str">
        <x:v>Composition héritée</x:v>
      </x:c>
      <x:c r="D2099" t="str">
        <x:v>militaire</x:v>
      </x:c>
      <x:c r="E2099" t="str">
        <x:v>Batterie côtière — variante 01 — Grand camp allié / relais temporaire envisagé</x:v>
      </x:c>
      <x:c r="F2099" t="n">
        <x:v>10</x:v>
      </x:c>
      <x:c r="G2099" t="n">
        <x:v>4</x:v>
      </x:c>
      <x:c r="H2099" t="n">
        <x:v>0</x:v>
      </x:c>
      <x:c r="I2099" t="str">
        <x:v>À qualifier par lieu</x:v>
      </x:c>
      <x:c r="J2099" t="str">
        <x:v>https://github.com/darknigthmare/deadwall-last-enclosure/blob/e28f46223e73105ab2c5d83f3d50b99b58ef53e6/codex-3000/compositions/militaire/DW-2094.md</x:v>
      </x:c>
      <x:c r="K2099" t="str">
        <x:v>Source min 12,35 m ; max 12,35 m ; modèle 25 × 35 m ; niveaux 0. Détails dans catalogue-existant.json.</x:v>
      </x:c>
    </x:row>
    <x:row r="2100">
      <x:c r="A2100" t="str">
        <x:v>DW-2095</x:v>
      </x:c>
      <x:c r="B2100" t="str">
        <x:v>DW-0548</x:v>
      </x:c>
      <x:c r="C2100" t="str">
        <x:v>Composition héritée</x:v>
      </x:c>
      <x:c r="D2100" t="str">
        <x:v>militaire</x:v>
      </x:c>
      <x:c r="E2100" t="str">
        <x:v>Dépôt carburant sécurisé — variante 01 — Centre d’évacuation abandonné / service déplacé à l’arrière</x:v>
      </x:c>
      <x:c r="F2100" t="n">
        <x:v>8</x:v>
      </x:c>
      <x:c r="G2100" t="n">
        <x:v>5</x:v>
      </x:c>
      <x:c r="H2100" t="n">
        <x:v>0</x:v>
      </x:c>
      <x:c r="I2100" t="str">
        <x:v>À qualifier par lieu</x:v>
      </x:c>
      <x:c r="J2100" t="str">
        <x:v>https://github.com/darknigthmare/deadwall-last-enclosure/blob/e28f46223e73105ab2c5d83f3d50b99b58ef53e6/codex-3000/compositions/militaire/DW-2095.md</x:v>
      </x:c>
      <x:c r="K2100" t="str">
        <x:v>Source min 23,52 m ; max 23,52 m ; modèle 26 × 52 m ; niveaux 0. Détails dans catalogue-existant.json.</x:v>
      </x:c>
    </x:row>
    <x:row r="2101">
      <x:c r="A2101" t="str">
        <x:v>DW-2096</x:v>
      </x:c>
      <x:c r="B2101" t="str">
        <x:v>DW-0548</x:v>
      </x:c>
      <x:c r="C2101" t="str">
        <x:v>Composition héritée</x:v>
      </x:c>
      <x:c r="D2101" t="str">
        <x:v>militaire</x:v>
      </x:c>
      <x:c r="E2101" t="str">
        <x:v>Dépôt carburant sécurisé — variante 01 — Camp hostile / réseau principal coupé</x:v>
      </x:c>
      <x:c r="F2101" t="n">
        <x:v>10</x:v>
      </x:c>
      <x:c r="G2101" t="n">
        <x:v>5</x:v>
      </x:c>
      <x:c r="H2101" t="n">
        <x:v>0</x:v>
      </x:c>
      <x:c r="I2101" t="str">
        <x:v>À qualifier par lieu</x:v>
      </x:c>
      <x:c r="J2101" t="str">
        <x:v>https://github.com/darknigthmare/deadwall-last-enclosure/blob/e28f46223e73105ab2c5d83f3d50b99b58ef53e6/codex-3000/compositions/militaire/DW-2096.md</x:v>
      </x:c>
      <x:c r="K2101" t="str">
        <x:v>Source min 23,52 m ; max 23,52 m ; modèle 26 × 52 m ; niveaux 0. Détails dans catalogue-existant.json.</x:v>
      </x:c>
    </x:row>
    <x:row r="2102">
      <x:c r="A2102" t="str">
        <x:v>DW-2097</x:v>
      </x:c>
      <x:c r="B2102" t="str">
        <x:v>DW-0549</x:v>
      </x:c>
      <x:c r="C2102" t="str">
        <x:v>Composition héritée</x:v>
      </x:c>
      <x:c r="D2102" t="str">
        <x:v>transport</x:v>
      </x:c>
      <x:c r="E2102" t="str">
        <x:v>Gare routière — variante 01 — Station-service et aire routière / reprise progressive de la végétation</x:v>
      </x:c>
      <x:c r="F2102" t="n">
        <x:v>8</x:v>
      </x:c>
      <x:c r="G2102" t="n">
        <x:v>5</x:v>
      </x:c>
      <x:c r="H2102" t="n">
        <x:v>0</x:v>
      </x:c>
      <x:c r="I2102" t="str">
        <x:v>À qualifier par lieu</x:v>
      </x:c>
      <x:c r="J2102" t="str">
        <x:v>https://github.com/darknigthmare/deadwall-last-enclosure/blob/e28f46223e73105ab2c5d83f3d50b99b58ef53e6/codex-3000/compositions/transport/DW-2097.md</x:v>
      </x:c>
      <x:c r="K2102" t="str">
        <x:v>Source min 34,15 m ; max 34,15 m ; modèle 34 × 22 m ; niveaux 0. Détails dans catalogue-existant.json.</x:v>
      </x:c>
    </x:row>
    <x:row r="2103">
      <x:c r="A2103" t="str">
        <x:v>DW-2098</x:v>
      </x:c>
      <x:c r="B2103" t="str">
        <x:v>DW-0549</x:v>
      </x:c>
      <x:c r="C2103" t="str">
        <x:v>Composition héritée</x:v>
      </x:c>
      <x:c r="D2103" t="str">
        <x:v>transport</x:v>
      </x:c>
      <x:c r="E2103" t="str">
        <x:v>Gare routière — variante 01 — Port marchand / repli organisé interrompu</x:v>
      </x:c>
      <x:c r="F2103" t="n">
        <x:v>10</x:v>
      </x:c>
      <x:c r="G2103" t="n">
        <x:v>5</x:v>
      </x:c>
      <x:c r="H2103" t="n">
        <x:v>0</x:v>
      </x:c>
      <x:c r="I2103" t="str">
        <x:v>À qualifier par lieu</x:v>
      </x:c>
      <x:c r="J2103" t="str">
        <x:v>https://github.com/darknigthmare/deadwall-last-enclosure/blob/e28f46223e73105ab2c5d83f3d50b99b58ef53e6/codex-3000/compositions/transport/DW-2098.md</x:v>
      </x:c>
      <x:c r="K2103" t="str">
        <x:v>Source min 34,15 m ; max 34,15 m ; modèle 34 × 22 m ; niveaux 0. Détails dans catalogue-existant.json.</x:v>
      </x:c>
    </x:row>
    <x:row r="2104">
      <x:c r="A2104" t="str">
        <x:v>DW-2099</x:v>
      </x:c>
      <x:c r="B2104" t="str">
        <x:v>DW-0550</x:v>
      </x:c>
      <x:c r="C2104" t="str">
        <x:v>Composition héritée</x:v>
      </x:c>
      <x:c r="D2104" t="str">
        <x:v>transport</x:v>
      </x:c>
      <x:c r="E2104" t="str">
        <x:v>Dépôt de bus — variante 01 — Gare et fret / relais temporaire envisagé</x:v>
      </x:c>
      <x:c r="F2104" t="n">
        <x:v>10</x:v>
      </x:c>
      <x:c r="G2104" t="n">
        <x:v>5</x:v>
      </x:c>
      <x:c r="H2104" t="n">
        <x:v>0</x:v>
      </x:c>
      <x:c r="I2104" t="str">
        <x:v>À qualifier par lieu</x:v>
      </x:c>
      <x:c r="J2104" t="str">
        <x:v>https://github.com/darknigthmare/deadwall-last-enclosure/blob/e28f46223e73105ab2c5d83f3d50b99b58ef53e6/codex-3000/compositions/transport/DW-2099.md</x:v>
      </x:c>
      <x:c r="K2104" t="str">
        <x:v>Source min 45,32 m ; max 45,32 m ; modèle 45 × 32 m ; niveaux 0. Détails dans catalogue-existant.json.</x:v>
      </x:c>
    </x:row>
    <x:row r="2105">
      <x:c r="A2105" t="str">
        <x:v>DW-2100</x:v>
      </x:c>
      <x:c r="B2105" t="str">
        <x:v>DW-0550</x:v>
      </x:c>
      <x:c r="C2105" t="str">
        <x:v>Composition héritée</x:v>
      </x:c>
      <x:c r="D2105" t="str">
        <x:v>transport</x:v>
      </x:c>
      <x:c r="E2105" t="str">
        <x:v>Dépôt de bus — variante 01 — Routes et coutures territoriales / évacuation interrompue</x:v>
      </x:c>
      <x:c r="F2105" t="n">
        <x:v>10</x:v>
      </x:c>
      <x:c r="G2105" t="n">
        <x:v>5</x:v>
      </x:c>
      <x:c r="H2105" t="n">
        <x:v>0</x:v>
      </x:c>
      <x:c r="I2105" t="str">
        <x:v>À qualifier par lieu</x:v>
      </x:c>
      <x:c r="J2105" t="str">
        <x:v>https://github.com/darknigthmare/deadwall-last-enclosure/blob/e28f46223e73105ab2c5d83f3d50b99b58ef53e6/codex-3000/compositions/transport/DW-2100.md</x:v>
      </x:c>
      <x:c r="K2105" t="str">
        <x:v>Source min 45,32 m ; max 45,32 m ; modèle 45 × 32 m ; niveaux 0. Détails dans catalogue-existant.json.</x:v>
      </x:c>
    </x:row>
    <x:row r="2106">
      <x:c r="A2106" t="str">
        <x:v>DW-2101</x:v>
      </x:c>
      <x:c r="B2106" t="str">
        <x:v>DW-0551</x:v>
      </x:c>
      <x:c r="C2106" t="str">
        <x:v>Composition héritée</x:v>
      </x:c>
      <x:c r="D2106" t="str">
        <x:v>transport</x:v>
      </x:c>
      <x:c r="E2106" t="str">
        <x:v>Gare ferroviaire — variante 01 — Port marchand / réseau principal coupé</x:v>
      </x:c>
      <x:c r="F2106" t="n">
        <x:v>10</x:v>
      </x:c>
      <x:c r="G2106" t="n">
        <x:v>5</x:v>
      </x:c>
      <x:c r="H2106" t="n">
        <x:v>0</x:v>
      </x:c>
      <x:c r="I2106" t="str">
        <x:v>À qualifier par lieu</x:v>
      </x:c>
      <x:c r="J2106" t="str">
        <x:v>https://github.com/darknigthmare/deadwall-last-enclosure/blob/e28f46223e73105ab2c5d83f3d50b99b58ef53e6/codex-3000/compositions/transport/DW-2101.md</x:v>
      </x:c>
      <x:c r="K2106" t="str">
        <x:v>Source min 56,49 m ; max 56,49 m ; modèle 56 × 49 m ; niveaux 0. Détails dans catalogue-existant.json.</x:v>
      </x:c>
    </x:row>
    <x:row r="2107">
      <x:c r="A2107" t="str">
        <x:v>DW-2102</x:v>
      </x:c>
      <x:c r="B2107" t="str">
        <x:v>DW-0551</x:v>
      </x:c>
      <x:c r="C2107" t="str">
        <x:v>Composition héritée</x:v>
      </x:c>
      <x:c r="D2107" t="str">
        <x:v>transport</x:v>
      </x:c>
      <x:c r="E2107" t="str">
        <x:v>Gare ferroviaire — variante 01 — Station-service et aire routière / arrêt de maintenance</x:v>
      </x:c>
      <x:c r="F2107" t="n">
        <x:v>8</x:v>
      </x:c>
      <x:c r="G2107" t="n">
        <x:v>5</x:v>
      </x:c>
      <x:c r="H2107" t="n">
        <x:v>0</x:v>
      </x:c>
      <x:c r="I2107" t="str">
        <x:v>À qualifier par lieu</x:v>
      </x:c>
      <x:c r="J2107" t="str">
        <x:v>https://github.com/darknigthmare/deadwall-last-enclosure/blob/e28f46223e73105ab2c5d83f3d50b99b58ef53e6/codex-3000/compositions/transport/DW-2102.md</x:v>
      </x:c>
      <x:c r="K2107" t="str">
        <x:v>Source min 56,49 m ; max 56,49 m ; modèle 56 × 49 m ; niveaux 0. Détails dans catalogue-existant.json.</x:v>
      </x:c>
    </x:row>
    <x:row r="2108">
      <x:c r="A2108" t="str">
        <x:v>DW-2103</x:v>
      </x:c>
      <x:c r="B2108" t="str">
        <x:v>DW-0552</x:v>
      </x:c>
      <x:c r="C2108" t="str">
        <x:v>Composition héritée</x:v>
      </x:c>
      <x:c r="D2108" t="str">
        <x:v>transport</x:v>
      </x:c>
      <x:c r="E2108" t="str">
        <x:v>Aire d'autoroute — variante 01 — Routes et coutures territoriales / repli organisé interrompu</x:v>
      </x:c>
      <x:c r="F2108" t="n">
        <x:v>10</x:v>
      </x:c>
      <x:c r="G2108" t="n">
        <x:v>5</x:v>
      </x:c>
      <x:c r="H2108" t="n">
        <x:v>0</x:v>
      </x:c>
      <x:c r="I2108" t="str">
        <x:v>À qualifier par lieu</x:v>
      </x:c>
      <x:c r="J2108" t="str">
        <x:v>https://github.com/darknigthmare/deadwall-last-enclosure/blob/e28f46223e73105ab2c5d83f3d50b99b58ef53e6/codex-3000/compositions/transport/DW-2103.md</x:v>
      </x:c>
      <x:c r="K2108" t="str">
        <x:v>Source min 67,12 m ; max 67,12 m ; modèle 67 × 22 m ; niveaux 0. Détails dans catalogue-existant.json.</x:v>
      </x:c>
    </x:row>
    <x:row r="2109">
      <x:c r="A2109" t="str">
        <x:v>DW-2104</x:v>
      </x:c>
      <x:c r="B2109" t="str">
        <x:v>DW-0552</x:v>
      </x:c>
      <x:c r="C2109" t="str">
        <x:v>Composition héritée</x:v>
      </x:c>
      <x:c r="D2109" t="str">
        <x:v>transport</x:v>
      </x:c>
      <x:c r="E2109" t="str">
        <x:v>Aire d'autoroute — variante 01 — Gare et fret / première récupération passée</x:v>
      </x:c>
      <x:c r="F2109" t="n">
        <x:v>10</x:v>
      </x:c>
      <x:c r="G2109" t="n">
        <x:v>5</x:v>
      </x:c>
      <x:c r="H2109" t="n">
        <x:v>0</x:v>
      </x:c>
      <x:c r="I2109" t="str">
        <x:v>À qualifier par lieu</x:v>
      </x:c>
      <x:c r="J2109" t="str">
        <x:v>https://github.com/darknigthmare/deadwall-last-enclosure/blob/e28f46223e73105ab2c5d83f3d50b99b58ef53e6/codex-3000/compositions/transport/DW-2104.md</x:v>
      </x:c>
      <x:c r="K2109" t="str">
        <x:v>Source min 67,12 m ; max 67,12 m ; modèle 67 × 22 m ; niveaux 0. Détails dans catalogue-existant.json.</x:v>
      </x:c>
    </x:row>
    <x:row r="2110">
      <x:c r="A2110" t="str">
        <x:v>DW-2105</x:v>
      </x:c>
      <x:c r="B2110" t="str">
        <x:v>DW-0553</x:v>
      </x:c>
      <x:c r="C2110" t="str">
        <x:v>Composition héritée</x:v>
      </x:c>
      <x:c r="D2110" t="str">
        <x:v>transport</x:v>
      </x:c>
      <x:c r="E2110" t="str">
        <x:v>Parking silo — variante 01 — Station-service et aire routière / évacuation interrompue</x:v>
      </x:c>
      <x:c r="F2110" t="n">
        <x:v>8</x:v>
      </x:c>
      <x:c r="G2110" t="n">
        <x:v>4</x:v>
      </x:c>
      <x:c r="H2110" t="n">
        <x:v>0</x:v>
      </x:c>
      <x:c r="I2110" t="str">
        <x:v>À qualifier par lieu</x:v>
      </x:c>
      <x:c r="J2110" t="str">
        <x:v>https://github.com/darknigthmare/deadwall-last-enclosure/blob/e28f46223e73105ab2c5d83f3d50b99b58ef53e6/codex-3000/compositions/transport/DW-2105.md</x:v>
      </x:c>
      <x:c r="K2110" t="str">
        <x:v>Source min 78,29 m ; max 78,29 m ; modèle 78 × 29 m ; niveaux 0. Détails dans catalogue-existant.json.</x:v>
      </x:c>
    </x:row>
    <x:row r="2111">
      <x:c r="A2111" t="str">
        <x:v>DW-2106</x:v>
      </x:c>
      <x:c r="B2111" t="str">
        <x:v>DW-0553</x:v>
      </x:c>
      <x:c r="C2111" t="str">
        <x:v>Composition héritée</x:v>
      </x:c>
      <x:c r="D2111" t="str">
        <x:v>transport</x:v>
      </x:c>
      <x:c r="E2111" t="str">
        <x:v>Parking silo — variante 01 — Port marchand / service déplacé à l’arrière</x:v>
      </x:c>
      <x:c r="F2111" t="n">
        <x:v>10</x:v>
      </x:c>
      <x:c r="G2111" t="n">
        <x:v>4</x:v>
      </x:c>
      <x:c r="H2111" t="n">
        <x:v>0</x:v>
      </x:c>
      <x:c r="I2111" t="str">
        <x:v>À qualifier par lieu</x:v>
      </x:c>
      <x:c r="J2111" t="str">
        <x:v>https://github.com/darknigthmare/deadwall-last-enclosure/blob/e28f46223e73105ab2c5d83f3d50b99b58ef53e6/codex-3000/compositions/transport/DW-2106.md</x:v>
      </x:c>
      <x:c r="K2111" t="str">
        <x:v>Source min 78,29 m ; max 78,29 m ; modèle 78 × 29 m ; niveaux 0. Détails dans catalogue-existant.json.</x:v>
      </x:c>
    </x:row>
    <x:row r="2112">
      <x:c r="A2112" t="str">
        <x:v>DW-2107</x:v>
      </x:c>
      <x:c r="B2112" t="str">
        <x:v>DW-0554</x:v>
      </x:c>
      <x:c r="C2112" t="str">
        <x:v>Composition héritée</x:v>
      </x:c>
      <x:c r="D2112" t="str">
        <x:v>transport</x:v>
      </x:c>
      <x:c r="E2112" t="str">
        <x:v>Terminal poids lourds — variante 01 — Gare et fret / arrêt de maintenance</x:v>
      </x:c>
      <x:c r="F2112" t="n">
        <x:v>10</x:v>
      </x:c>
      <x:c r="G2112" t="n">
        <x:v>5</x:v>
      </x:c>
      <x:c r="H2112" t="n">
        <x:v>0</x:v>
      </x:c>
      <x:c r="I2112" t="str">
        <x:v>À qualifier par lieu</x:v>
      </x:c>
      <x:c r="J2112" t="str">
        <x:v>https://github.com/darknigthmare/deadwall-last-enclosure/blob/e28f46223e73105ab2c5d83f3d50b99b58ef53e6/codex-3000/compositions/transport/DW-2107.md</x:v>
      </x:c>
      <x:c r="K2112" t="str">
        <x:v>Source min 17,46 m ; max 17,46 m ; modèle 26 × 46 m ; niveaux 0. Détails dans catalogue-existant.json.</x:v>
      </x:c>
    </x:row>
    <x:row r="2113">
      <x:c r="A2113" t="str">
        <x:v>DW-2108</x:v>
      </x:c>
      <x:c r="B2113" t="str">
        <x:v>DW-0554</x:v>
      </x:c>
      <x:c r="C2113" t="str">
        <x:v>Composition héritée</x:v>
      </x:c>
      <x:c r="D2113" t="str">
        <x:v>transport</x:v>
      </x:c>
      <x:c r="E2113" t="str">
        <x:v>Terminal poids lourds — variante 01 — Routes et coutures territoriales / reprise progressive de la végétation</x:v>
      </x:c>
      <x:c r="F2113" t="n">
        <x:v>10</x:v>
      </x:c>
      <x:c r="G2113" t="n">
        <x:v>5</x:v>
      </x:c>
      <x:c r="H2113" t="n">
        <x:v>0</x:v>
      </x:c>
      <x:c r="I2113" t="str">
        <x:v>À qualifier par lieu</x:v>
      </x:c>
      <x:c r="J2113" t="str">
        <x:v>https://github.com/darknigthmare/deadwall-last-enclosure/blob/e28f46223e73105ab2c5d83f3d50b99b58ef53e6/codex-3000/compositions/transport/DW-2108.md</x:v>
      </x:c>
      <x:c r="K2113" t="str">
        <x:v>Source min 17,46 m ; max 17,46 m ; modèle 26 × 46 m ; niveaux 0. Détails dans catalogue-existant.json.</x:v>
      </x:c>
    </x:row>
    <x:row r="2114">
      <x:c r="A2114" t="str">
        <x:v>DW-2109</x:v>
      </x:c>
      <x:c r="B2114" t="str">
        <x:v>DW-0555</x:v>
      </x:c>
      <x:c r="C2114" t="str">
        <x:v>Composition héritée</x:v>
      </x:c>
      <x:c r="D2114" t="str">
        <x:v>transport</x:v>
      </x:c>
      <x:c r="E2114" t="str">
        <x:v>Port de plaisance — variante 01 — Port marchand / première récupération passée</x:v>
      </x:c>
      <x:c r="F2114" t="n">
        <x:v>10</x:v>
      </x:c>
      <x:c r="G2114" t="n">
        <x:v>5</x:v>
      </x:c>
      <x:c r="H2114" t="n">
        <x:v>0</x:v>
      </x:c>
      <x:c r="I2114" t="str">
        <x:v>À qualifier par lieu</x:v>
      </x:c>
      <x:c r="J2114" t="str">
        <x:v>https://github.com/darknigthmare/deadwall-last-enclosure/blob/e28f46223e73105ab2c5d83f3d50b99b58ef53e6/codex-3000/compositions/transport/DW-2109.md</x:v>
      </x:c>
      <x:c r="K2114" t="str">
        <x:v>Source min 28,9 m ; max 28,9 m ; modèle 28 × 22 m ; niveaux 0. Détails dans catalogue-existant.json.</x:v>
      </x:c>
    </x:row>
    <x:row r="2115">
      <x:c r="A2115" t="str">
        <x:v>DW-2110</x:v>
      </x:c>
      <x:c r="B2115" t="str">
        <x:v>DW-0555</x:v>
      </x:c>
      <x:c r="C2115" t="str">
        <x:v>Composition héritée</x:v>
      </x:c>
      <x:c r="D2115" t="str">
        <x:v>transport</x:v>
      </x:c>
      <x:c r="E2115" t="str">
        <x:v>Port de plaisance — variante 01 — Station-service et aire routière / relais temporaire envisagé</x:v>
      </x:c>
      <x:c r="F2115" t="n">
        <x:v>8</x:v>
      </x:c>
      <x:c r="G2115" t="n">
        <x:v>5</x:v>
      </x:c>
      <x:c r="H2115" t="n">
        <x:v>0</x:v>
      </x:c>
      <x:c r="I2115" t="str">
        <x:v>À qualifier par lieu</x:v>
      </x:c>
      <x:c r="J2115" t="str">
        <x:v>https://github.com/darknigthmare/deadwall-last-enclosure/blob/e28f46223e73105ab2c5d83f3d50b99b58ef53e6/codex-3000/compositions/transport/DW-2110.md</x:v>
      </x:c>
      <x:c r="K2115" t="str">
        <x:v>Source min 28,9 m ; max 28,9 m ; modèle 28 × 22 m ; niveaux 0. Détails dans catalogue-existant.json.</x:v>
      </x:c>
    </x:row>
    <x:row r="2116">
      <x:c r="A2116" t="str">
        <x:v>DW-2111</x:v>
      </x:c>
      <x:c r="B2116" t="str">
        <x:v>DW-0556</x:v>
      </x:c>
      <x:c r="C2116" t="str">
        <x:v>Composition héritée</x:v>
      </x:c>
      <x:c r="D2116" t="str">
        <x:v>transport</x:v>
      </x:c>
      <x:c r="E2116" t="str">
        <x:v>Petit aérodrome — variante 01 — Routes et coutures territoriales / service déplacé à l’arrière</x:v>
      </x:c>
      <x:c r="F2116" t="n">
        <x:v>10</x:v>
      </x:c>
      <x:c r="G2116" t="n">
        <x:v>5</x:v>
      </x:c>
      <x:c r="H2116" t="n">
        <x:v>0</x:v>
      </x:c>
      <x:c r="I2116" t="str">
        <x:v>À qualifier par lieu</x:v>
      </x:c>
      <x:c r="J2116" t="str">
        <x:v>https://github.com/darknigthmare/deadwall-last-enclosure/blob/e28f46223e73105ab2c5d83f3d50b99b58ef53e6/codex-3000/compositions/transport/DW-2111.md</x:v>
      </x:c>
      <x:c r="K2116" t="str">
        <x:v>Source min 39,26 m ; max 39,26 m ; modèle 39 × 26 m ; niveaux 0. Détails dans catalogue-existant.json.</x:v>
      </x:c>
    </x:row>
    <x:row r="2117">
      <x:c r="A2117" t="str">
        <x:v>DW-2112</x:v>
      </x:c>
      <x:c r="B2117" t="str">
        <x:v>DW-0556</x:v>
      </x:c>
      <x:c r="C2117" t="str">
        <x:v>Composition héritée</x:v>
      </x:c>
      <x:c r="D2117" t="str">
        <x:v>transport</x:v>
      </x:c>
      <x:c r="E2117" t="str">
        <x:v>Petit aérodrome — variante 01 — Gare et fret / réseau principal coupé</x:v>
      </x:c>
      <x:c r="F2117" t="n">
        <x:v>10</x:v>
      </x:c>
      <x:c r="G2117" t="n">
        <x:v>5</x:v>
      </x:c>
      <x:c r="H2117" t="n">
        <x:v>0</x:v>
      </x:c>
      <x:c r="I2117" t="str">
        <x:v>À qualifier par lieu</x:v>
      </x:c>
      <x:c r="J2117" t="str">
        <x:v>https://github.com/darknigthmare/deadwall-last-enclosure/blob/e28f46223e73105ab2c5d83f3d50b99b58ef53e6/codex-3000/compositions/transport/DW-2112.md</x:v>
      </x:c>
      <x:c r="K2117" t="str">
        <x:v>Source min 39,26 m ; max 39,26 m ; modèle 39 × 26 m ; niveaux 0. Détails dans catalogue-existant.json.</x:v>
      </x:c>
    </x:row>
    <x:row r="2118">
      <x:c r="A2118" t="str">
        <x:v>DW-2113</x:v>
      </x:c>
      <x:c r="B2118" t="str">
        <x:v>DW-0557</x:v>
      </x:c>
      <x:c r="C2118" t="str">
        <x:v>Composition héritée</x:v>
      </x:c>
      <x:c r="D2118" t="str">
        <x:v>ruines</x:v>
      </x:c>
      <x:c r="E2118" t="str">
        <x:v>Maison incendiée — variante 01 — Ruine envahie et reprise végétale / reprise progressive de la végétation</x:v>
      </x:c>
      <x:c r="F2118" t="n">
        <x:v>8</x:v>
      </x:c>
      <x:c r="G2118" t="n">
        <x:v>3</x:v>
      </x:c>
      <x:c r="H2118" t="n">
        <x:v>0</x:v>
      </x:c>
      <x:c r="I2118" t="str">
        <x:v>À qualifier par lieu</x:v>
      </x:c>
      <x:c r="J2118" t="str">
        <x:v>https://github.com/darknigthmare/deadwall-last-enclosure/blob/e28f46223e73105ab2c5d83f3d50b99b58ef53e6/codex-3000/compositions/ruines/DW-2113.md</x:v>
      </x:c>
      <x:c r="K2118" t="str">
        <x:v>Source min 50,43 m ; max 50,43 m ; modèle 50 × 43 m ; niveaux 0, 1. Détails dans catalogue-existant.json.</x:v>
      </x:c>
    </x:row>
    <x:row r="2119">
      <x:c r="A2119" t="str">
        <x:v>DW-2114</x:v>
      </x:c>
      <x:c r="B2119" t="str">
        <x:v>DW-0557</x:v>
      </x:c>
      <x:c r="C2119" t="str">
        <x:v>Composition héritée</x:v>
      </x:c>
      <x:c r="D2119" t="str">
        <x:v>ruines</x:v>
      </x:c>
      <x:c r="E2119" t="str">
        <x:v>Maison incendiée — variante 01 — Zone industrielle / repli organisé interrompu</x:v>
      </x:c>
      <x:c r="F2119" t="n">
        <x:v>8</x:v>
      </x:c>
      <x:c r="G2119" t="n">
        <x:v>3</x:v>
      </x:c>
      <x:c r="H2119" t="n">
        <x:v>0</x:v>
      </x:c>
      <x:c r="I2119" t="str">
        <x:v>À qualifier par lieu</x:v>
      </x:c>
      <x:c r="J2119" t="str">
        <x:v>https://github.com/darknigthmare/deadwall-last-enclosure/blob/e28f46223e73105ab2c5d83f3d50b99b58ef53e6/codex-3000/compositions/ruines/DW-2114.md</x:v>
      </x:c>
      <x:c r="K2119" t="str">
        <x:v>Source min 50,43 m ; max 50,43 m ; modèle 50 × 43 m ; niveaux 0, 1. Détails dans catalogue-existant.json.</x:v>
      </x:c>
    </x:row>
    <x:row r="2120">
      <x:c r="A2120" t="str">
        <x:v>DW-2115</x:v>
      </x:c>
      <x:c r="B2120" t="str">
        <x:v>DW-0558</x:v>
      </x:c>
      <x:c r="C2120" t="str">
        <x:v>Composition héritée</x:v>
      </x:c>
      <x:c r="D2120" t="str">
        <x:v>ruines</x:v>
      </x:c>
      <x:c r="E2120" t="str">
        <x:v>Immeuble éventré — variante 01 — Centre ancien / relais temporaire envisagé</x:v>
      </x:c>
      <x:c r="F2120" t="n">
        <x:v>8</x:v>
      </x:c>
      <x:c r="G2120" t="n">
        <x:v>4</x:v>
      </x:c>
      <x:c r="H2120" t="n">
        <x:v>0</x:v>
      </x:c>
      <x:c r="I2120" t="str">
        <x:v>À qualifier par lieu</x:v>
      </x:c>
      <x:c r="J2120" t="str">
        <x:v>https://github.com/darknigthmare/deadwall-last-enclosure/blob/e28f46223e73105ab2c5d83f3d50b99b58ef53e6/codex-3000/compositions/ruines/DW-2115.md</x:v>
      </x:c>
      <x:c r="K2120" t="str">
        <x:v>Source min 61,60 m ; max 61,60 m ; modèle 61 × 60 m ; niveaux 0, 1. Détails dans catalogue-existant.json.</x:v>
      </x:c>
    </x:row>
    <x:row r="2121">
      <x:c r="A2121" t="str">
        <x:v>DW-2116</x:v>
      </x:c>
      <x:c r="B2121" t="str">
        <x:v>DW-0558</x:v>
      </x:c>
      <x:c r="C2121" t="str">
        <x:v>Composition héritée</x:v>
      </x:c>
      <x:c r="D2121" t="str">
        <x:v>ruines</x:v>
      </x:c>
      <x:c r="E2121" t="str">
        <x:v>Immeuble éventré — variante 01 — Petit bois et lisière / évacuation interrompue</x:v>
      </x:c>
      <x:c r="F2121" t="n">
        <x:v>8</x:v>
      </x:c>
      <x:c r="G2121" t="n">
        <x:v>4</x:v>
      </x:c>
      <x:c r="H2121" t="n">
        <x:v>0</x:v>
      </x:c>
      <x:c r="I2121" t="str">
        <x:v>À qualifier par lieu</x:v>
      </x:c>
      <x:c r="J2121" t="str">
        <x:v>https://github.com/darknigthmare/deadwall-last-enclosure/blob/e28f46223e73105ab2c5d83f3d50b99b58ef53e6/codex-3000/compositions/ruines/DW-2116.md</x:v>
      </x:c>
      <x:c r="K2121" t="str">
        <x:v>Source min 61,60 m ; max 61,60 m ; modèle 61 × 60 m ; niveaux 0, 1. Détails dans catalogue-existant.json.</x:v>
      </x:c>
    </x:row>
    <x:row r="2122">
      <x:c r="A2122" t="str">
        <x:v>DW-2117</x:v>
      </x:c>
      <x:c r="B2122" t="str">
        <x:v>DW-0559</x:v>
      </x:c>
      <x:c r="C2122" t="str">
        <x:v>Composition héritée</x:v>
      </x:c>
      <x:c r="D2122" t="str">
        <x:v>ruines</x:v>
      </x:c>
      <x:c r="E2122" t="str">
        <x:v>Commerce pillé — variante 01 — Zone industrielle / réseau principal coupé</x:v>
      </x:c>
      <x:c r="F2122" t="n">
        <x:v>8</x:v>
      </x:c>
      <x:c r="G2122" t="n">
        <x:v>4</x:v>
      </x:c>
      <x:c r="H2122" t="n">
        <x:v>0</x:v>
      </x:c>
      <x:c r="I2122" t="str">
        <x:v>À qualifier par lieu</x:v>
      </x:c>
      <x:c r="J2122" t="str">
        <x:v>https://github.com/darknigthmare/deadwall-last-enclosure/blob/e28f46223e73105ab2c5d83f3d50b99b58ef53e6/codex-3000/compositions/ruines/DW-2117.md</x:v>
      </x:c>
      <x:c r="K2122" t="str">
        <x:v>Source min 72,23 m ; max 72,23 m ; modèle 72 × 23 m ; niveaux 0. Détails dans catalogue-existant.json.</x:v>
      </x:c>
    </x:row>
    <x:row r="2123">
      <x:c r="A2123" t="str">
        <x:v>DW-2118</x:v>
      </x:c>
      <x:c r="B2123" t="str">
        <x:v>DW-0559</x:v>
      </x:c>
      <x:c r="C2123" t="str">
        <x:v>Composition héritée</x:v>
      </x:c>
      <x:c r="D2123" t="str">
        <x:v>ruines</x:v>
      </x:c>
      <x:c r="E2123" t="str">
        <x:v>Commerce pillé — variante 01 — Ruine envahie et reprise végétale / arrêt de maintenance</x:v>
      </x:c>
      <x:c r="F2123" t="n">
        <x:v>8</x:v>
      </x:c>
      <x:c r="G2123" t="n">
        <x:v>4</x:v>
      </x:c>
      <x:c r="H2123" t="n">
        <x:v>0</x:v>
      </x:c>
      <x:c r="I2123" t="str">
        <x:v>À qualifier par lieu</x:v>
      </x:c>
      <x:c r="J2123" t="str">
        <x:v>https://github.com/darknigthmare/deadwall-last-enclosure/blob/e28f46223e73105ab2c5d83f3d50b99b58ef53e6/codex-3000/compositions/ruines/DW-2118.md</x:v>
      </x:c>
      <x:c r="K2123" t="str">
        <x:v>Source min 72,23 m ; max 72,23 m ; modèle 72 × 23 m ; niveaux 0. Détails dans catalogue-existant.json.</x:v>
      </x:c>
    </x:row>
    <x:row r="2124">
      <x:c r="A2124" t="str">
        <x:v>DW-2119</x:v>
      </x:c>
      <x:c r="B2124" t="str">
        <x:v>DW-0560</x:v>
      </x:c>
      <x:c r="C2124" t="str">
        <x:v>Composition héritée</x:v>
      </x:c>
      <x:c r="D2124" t="str">
        <x:v>ruines</x:v>
      </x:c>
      <x:c r="E2124" t="str">
        <x:v>Usine sinistrée — variante 01 — Petit bois et lisière / repli organisé interrompu</x:v>
      </x:c>
      <x:c r="F2124" t="n">
        <x:v>8</x:v>
      </x:c>
      <x:c r="G2124" t="n">
        <x:v>4</x:v>
      </x:c>
      <x:c r="H2124" t="n">
        <x:v>0</x:v>
      </x:c>
      <x:c r="I2124" t="str">
        <x:v>À qualifier par lieu</x:v>
      </x:c>
      <x:c r="J2124" t="str">
        <x:v>https://github.com/darknigthmare/deadwall-last-enclosure/blob/e28f46223e73105ab2c5d83f3d50b99b58ef53e6/codex-3000/compositions/ruines/DW-2119.md</x:v>
      </x:c>
      <x:c r="K2124" t="str">
        <x:v>Source min 11,40 m ; max 11,40 m ; modèle 25 × 40 m ; niveaux 0. Détails dans catalogue-existant.json.</x:v>
      </x:c>
    </x:row>
    <x:row r="2125">
      <x:c r="A2125" t="str">
        <x:v>DW-2120</x:v>
      </x:c>
      <x:c r="B2125" t="str">
        <x:v>DW-0560</x:v>
      </x:c>
      <x:c r="C2125" t="str">
        <x:v>Composition héritée</x:v>
      </x:c>
      <x:c r="D2125" t="str">
        <x:v>ruines</x:v>
      </x:c>
      <x:c r="E2125" t="str">
        <x:v>Usine sinistrée — variante 01 — Centre ancien / première récupération passée</x:v>
      </x:c>
      <x:c r="F2125" t="n">
        <x:v>8</x:v>
      </x:c>
      <x:c r="G2125" t="n">
        <x:v>4</x:v>
      </x:c>
      <x:c r="H2125" t="n">
        <x:v>0</x:v>
      </x:c>
      <x:c r="I2125" t="str">
        <x:v>À qualifier par lieu</x:v>
      </x:c>
      <x:c r="J2125" t="str">
        <x:v>https://github.com/darknigthmare/deadwall-last-enclosure/blob/e28f46223e73105ab2c5d83f3d50b99b58ef53e6/codex-3000/compositions/ruines/DW-2120.md</x:v>
      </x:c>
      <x:c r="K2125" t="str">
        <x:v>Source min 11,40 m ; max 11,40 m ; modèle 25 × 40 m ; niveaux 0. Détails dans catalogue-existant.json.</x:v>
      </x:c>
    </x:row>
    <x:row r="2126">
      <x:c r="A2126" t="str">
        <x:v>DW-2121</x:v>
      </x:c>
      <x:c r="B2126" t="str">
        <x:v>DW-0561</x:v>
      </x:c>
      <x:c r="C2126" t="str">
        <x:v>Composition héritée</x:v>
      </x:c>
      <x:c r="D2126" t="str">
        <x:v>ruines</x:v>
      </x:c>
      <x:c r="E2126" t="str">
        <x:v>Hôtel abandonné — variante 01 — Ruine envahie et reprise végétale / évacuation interrompue</x:v>
      </x:c>
      <x:c r="F2126" t="n">
        <x:v>8</x:v>
      </x:c>
      <x:c r="G2126" t="n">
        <x:v>5</x:v>
      </x:c>
      <x:c r="H2126" t="n">
        <x:v>0</x:v>
      </x:c>
      <x:c r="I2126" t="str">
        <x:v>À qualifier par lieu</x:v>
      </x:c>
      <x:c r="J2126" t="str">
        <x:v>https://github.com/darknigthmare/deadwall-last-enclosure/blob/e28f46223e73105ab2c5d83f3d50b99b58ef53e6/codex-3000/compositions/ruines/DW-2121.md</x:v>
      </x:c>
      <x:c r="K2126" t="str">
        <x:v>Source min 22,57 m ; max 22,57 m ; modèle 26 × 57 m ; niveaux 0, 1. Détails dans catalogue-existant.json.</x:v>
      </x:c>
    </x:row>
    <x:row r="2127">
      <x:c r="A2127" t="str">
        <x:v>DW-2122</x:v>
      </x:c>
      <x:c r="B2127" t="str">
        <x:v>DW-0561</x:v>
      </x:c>
      <x:c r="C2127" t="str">
        <x:v>Composition héritée</x:v>
      </x:c>
      <x:c r="D2127" t="str">
        <x:v>ruines</x:v>
      </x:c>
      <x:c r="E2127" t="str">
        <x:v>Hôtel abandonné — variante 01 — Zone industrielle / service déplacé à l’arrière</x:v>
      </x:c>
      <x:c r="F2127" t="n">
        <x:v>8</x:v>
      </x:c>
      <x:c r="G2127" t="n">
        <x:v>5</x:v>
      </x:c>
      <x:c r="H2127" t="n">
        <x:v>0</x:v>
      </x:c>
      <x:c r="I2127" t="str">
        <x:v>À qualifier par lieu</x:v>
      </x:c>
      <x:c r="J2127" t="str">
        <x:v>https://github.com/darknigthmare/deadwall-last-enclosure/blob/e28f46223e73105ab2c5d83f3d50b99b58ef53e6/codex-3000/compositions/ruines/DW-2122.md</x:v>
      </x:c>
      <x:c r="K2127" t="str">
        <x:v>Source min 22,57 m ; max 22,57 m ; modèle 26 × 57 m ; niveaux 0, 1. Détails dans catalogue-existant.json.</x:v>
      </x:c>
    </x:row>
    <x:row r="2128">
      <x:c r="A2128" t="str">
        <x:v>DW-2123</x:v>
      </x:c>
      <x:c r="B2128" t="str">
        <x:v>DW-0562</x:v>
      </x:c>
      <x:c r="C2128" t="str">
        <x:v>Composition héritée</x:v>
      </x:c>
      <x:c r="D2128" t="str">
        <x:v>ruines</x:v>
      </x:c>
      <x:c r="E2128" t="str">
        <x:v>Lotissement ravagé — variante 01 — Centre ancien / arrêt de maintenance</x:v>
      </x:c>
      <x:c r="F2128" t="n">
        <x:v>8</x:v>
      </x:c>
      <x:c r="G2128" t="n">
        <x:v>4</x:v>
      </x:c>
      <x:c r="H2128" t="n">
        <x:v>0</x:v>
      </x:c>
      <x:c r="I2128" t="str">
        <x:v>À qualifier par lieu</x:v>
      </x:c>
      <x:c r="J2128" t="str">
        <x:v>https://github.com/darknigthmare/deadwall-last-enclosure/blob/e28f46223e73105ab2c5d83f3d50b99b58ef53e6/codex-3000/compositions/ruines/DW-2123.md</x:v>
      </x:c>
      <x:c r="K2128" t="str">
        <x:v>Source min 33,20 m ; max 33,20 m ; modèle 33 × 20 m ; niveaux 0. Détails dans catalogue-existant.json.</x:v>
      </x:c>
    </x:row>
    <x:row r="2129">
      <x:c r="A2129" t="str">
        <x:v>DW-2124</x:v>
      </x:c>
      <x:c r="B2129" t="str">
        <x:v>DW-0562</x:v>
      </x:c>
      <x:c r="C2129" t="str">
        <x:v>Composition héritée</x:v>
      </x:c>
      <x:c r="D2129" t="str">
        <x:v>ruines</x:v>
      </x:c>
      <x:c r="E2129" t="str">
        <x:v>Lotissement ravagé — variante 01 — Petit bois et lisière / reprise progressive de la végétation</x:v>
      </x:c>
      <x:c r="F2129" t="n">
        <x:v>8</x:v>
      </x:c>
      <x:c r="G2129" t="n">
        <x:v>4</x:v>
      </x:c>
      <x:c r="H2129" t="n">
        <x:v>0</x:v>
      </x:c>
      <x:c r="I2129" t="str">
        <x:v>À qualifier par lieu</x:v>
      </x:c>
      <x:c r="J2129" t="str">
        <x:v>https://github.com/darknigthmare/deadwall-last-enclosure/blob/e28f46223e73105ab2c5d83f3d50b99b58ef53e6/codex-3000/compositions/ruines/DW-2124.md</x:v>
      </x:c>
      <x:c r="K2129" t="str">
        <x:v>Source min 33,20 m ; max 33,20 m ; modèle 33 × 20 m ; niveaux 0. Détails dans catalogue-existant.json.</x:v>
      </x:c>
    </x:row>
    <x:row r="2130">
      <x:c r="A2130" t="str">
        <x:v>DW-2125</x:v>
      </x:c>
      <x:c r="B2130" t="str">
        <x:v>DW-0563</x:v>
      </x:c>
      <x:c r="C2130" t="str">
        <x:v>Composition héritée</x:v>
      </x:c>
      <x:c r="D2130" t="str">
        <x:v>ruines</x:v>
      </x:c>
      <x:c r="E2130" t="str">
        <x:v>Village déserté — variante 01 — Zone industrielle / première récupération passée</x:v>
      </x:c>
      <x:c r="F2130" t="n">
        <x:v>8</x:v>
      </x:c>
      <x:c r="G2130" t="n">
        <x:v>5</x:v>
      </x:c>
      <x:c r="H2130" t="n">
        <x:v>0</x:v>
      </x:c>
      <x:c r="I2130" t="str">
        <x:v>À qualifier par lieu</x:v>
      </x:c>
      <x:c r="J2130" t="str">
        <x:v>https://github.com/darknigthmare/deadwall-last-enclosure/blob/e28f46223e73105ab2c5d83f3d50b99b58ef53e6/codex-3000/compositions/ruines/DW-2125.md</x:v>
      </x:c>
      <x:c r="K2130" t="str">
        <x:v>Source min 44,37 m ; max 44,37 m ; modèle 44 × 37 m ; niveaux 0. Détails dans catalogue-existant.json.</x:v>
      </x:c>
    </x:row>
    <x:row r="2131">
      <x:c r="A2131" t="str">
        <x:v>DW-2126</x:v>
      </x:c>
      <x:c r="B2131" t="str">
        <x:v>DW-0563</x:v>
      </x:c>
      <x:c r="C2131" t="str">
        <x:v>Composition héritée</x:v>
      </x:c>
      <x:c r="D2131" t="str">
        <x:v>ruines</x:v>
      </x:c>
      <x:c r="E2131" t="str">
        <x:v>Village déserté — variante 01 — Ruine envahie et reprise végétale / relais temporaire envisagé</x:v>
      </x:c>
      <x:c r="F2131" t="n">
        <x:v>8</x:v>
      </x:c>
      <x:c r="G2131" t="n">
        <x:v>5</x:v>
      </x:c>
      <x:c r="H2131" t="n">
        <x:v>0</x:v>
      </x:c>
      <x:c r="I2131" t="str">
        <x:v>À qualifier par lieu</x:v>
      </x:c>
      <x:c r="J2131" t="str">
        <x:v>https://github.com/darknigthmare/deadwall-last-enclosure/blob/e28f46223e73105ab2c5d83f3d50b99b58ef53e6/codex-3000/compositions/ruines/DW-2126.md</x:v>
      </x:c>
      <x:c r="K2131" t="str">
        <x:v>Source min 44,37 m ; max 44,37 m ; modèle 44 × 37 m ; niveaux 0. Détails dans catalogue-existant.json.</x:v>
      </x:c>
    </x:row>
    <x:row r="2132">
      <x:c r="A2132" t="str">
        <x:v>DW-2127</x:v>
      </x:c>
      <x:c r="B2132" t="str">
        <x:v>DW-0564</x:v>
      </x:c>
      <x:c r="C2132" t="str">
        <x:v>Composition héritée</x:v>
      </x:c>
      <x:c r="D2132" t="str">
        <x:v>ruines</x:v>
      </x:c>
      <x:c r="E2132" t="str">
        <x:v>Centre commercial effondré — variante 01 — Petit bois et lisière / service déplacé à l’arrière</x:v>
      </x:c>
      <x:c r="F2132" t="n">
        <x:v>8</x:v>
      </x:c>
      <x:c r="G2132" t="n">
        <x:v>5</x:v>
      </x:c>
      <x:c r="H2132" t="n">
        <x:v>0</x:v>
      </x:c>
      <x:c r="I2132" t="str">
        <x:v>À qualifier par lieu</x:v>
      </x:c>
      <x:c r="J2132" t="str">
        <x:v>https://github.com/darknigthmare/deadwall-last-enclosure/blob/e28f46223e73105ab2c5d83f3d50b99b58ef53e6/codex-3000/compositions/ruines/DW-2127.md</x:v>
      </x:c>
      <x:c r="K2132" t="str">
        <x:v>Source min 55,54 m ; max 55,54 m ; modèle 55 × 54 m ; niveaux 0. Détails dans catalogue-existant.json.</x:v>
      </x:c>
    </x:row>
    <x:row r="2133">
      <x:c r="A2133" t="str">
        <x:v>DW-2128</x:v>
      </x:c>
      <x:c r="B2133" t="str">
        <x:v>DW-0564</x:v>
      </x:c>
      <x:c r="C2133" t="str">
        <x:v>Composition héritée</x:v>
      </x:c>
      <x:c r="D2133" t="str">
        <x:v>ruines</x:v>
      </x:c>
      <x:c r="E2133" t="str">
        <x:v>Centre commercial effondré — variante 01 — Centre ancien / réseau principal coupé</x:v>
      </x:c>
      <x:c r="F2133" t="n">
        <x:v>8</x:v>
      </x:c>
      <x:c r="G2133" t="n">
        <x:v>5</x:v>
      </x:c>
      <x:c r="H2133" t="n">
        <x:v>0</x:v>
      </x:c>
      <x:c r="I2133" t="str">
        <x:v>À qualifier par lieu</x:v>
      </x:c>
      <x:c r="J2133" t="str">
        <x:v>https://github.com/darknigthmare/deadwall-last-enclosure/blob/e28f46223e73105ab2c5d83f3d50b99b58ef53e6/codex-3000/compositions/ruines/DW-2128.md</x:v>
      </x:c>
      <x:c r="K2133" t="str">
        <x:v>Source min 55,54 m ; max 55,54 m ; modèle 55 × 54 m ; niveaux 0. Détails dans catalogue-existant.json.</x:v>
      </x:c>
    </x:row>
    <x:row r="2134">
      <x:c r="A2134" t="str">
        <x:v>DW-2129</x:v>
      </x:c>
      <x:c r="B2134" t="str">
        <x:v>DW-0565</x:v>
      </x:c>
      <x:c r="C2134" t="str">
        <x:v>Composition héritée</x:v>
      </x:c>
      <x:c r="D2134" t="str">
        <x:v>habitat</x:v>
      </x:c>
      <x:c r="E2134" t="str">
        <x:v>Maison de lotissement — variante 02 — Quartier pavillonnaire / reprise progressive de la végétation</x:v>
      </x:c>
      <x:c r="F2134" t="n">
        <x:v>8</x:v>
      </x:c>
      <x:c r="G2134" t="n">
        <x:v>5</x:v>
      </x:c>
      <x:c r="H2134" t="n">
        <x:v>0</x:v>
      </x:c>
      <x:c r="I2134" t="str">
        <x:v>À qualifier par lieu</x:v>
      </x:c>
      <x:c r="J2134" t="str">
        <x:v>https://github.com/darknigthmare/deadwall-last-enclosure/blob/e28f46223e73105ab2c5d83f3d50b99b58ef53e6/codex-3000/compositions/habitat/DW-2129.md</x:v>
      </x:c>
      <x:c r="K2134" t="str">
        <x:v>Source min 66,17 m ; max 66,17 m ; modèle 66 × 22 m ; niveaux 0, 1. Détails dans catalogue-existant.json.</x:v>
      </x:c>
    </x:row>
    <x:row r="2135">
      <x:c r="A2135" t="str">
        <x:v>DW-2130</x:v>
      </x:c>
      <x:c r="B2135" t="str">
        <x:v>DW-0565</x:v>
      </x:c>
      <x:c r="C2135" t="str">
        <x:v>Composition héritée</x:v>
      </x:c>
      <x:c r="D2135" t="str">
        <x:v>habitat</x:v>
      </x:c>
      <x:c r="E2135" t="str">
        <x:v>Maison de lotissement — variante 02 — Village et bourg / repli organisé interrompu</x:v>
      </x:c>
      <x:c r="F2135" t="n">
        <x:v>8</x:v>
      </x:c>
      <x:c r="G2135" t="n">
        <x:v>5</x:v>
      </x:c>
      <x:c r="H2135" t="n">
        <x:v>0</x:v>
      </x:c>
      <x:c r="I2135" t="str">
        <x:v>À qualifier par lieu</x:v>
      </x:c>
      <x:c r="J2135" t="str">
        <x:v>https://github.com/darknigthmare/deadwall-last-enclosure/blob/e28f46223e73105ab2c5d83f3d50b99b58ef53e6/codex-3000/compositions/habitat/DW-2130.md</x:v>
      </x:c>
      <x:c r="K2135" t="str">
        <x:v>Source min 66,17 m ; max 66,17 m ; modèle 66 × 22 m ; niveaux 0, 1. Détails dans catalogue-existant.json.</x:v>
      </x:c>
    </x:row>
    <x:row r="2136">
      <x:c r="A2136" t="str">
        <x:v>DW-2131</x:v>
      </x:c>
      <x:c r="B2136" t="str">
        <x:v>DW-0566</x:v>
      </x:c>
      <x:c r="C2136" t="str">
        <x:v>Composition héritée</x:v>
      </x:c>
      <x:c r="D2136" t="str">
        <x:v>habitat</x:v>
      </x:c>
      <x:c r="E2136" t="str">
        <x:v>Maison mitoyenne — variante 02 — Hameau / relais temporaire envisagé</x:v>
      </x:c>
      <x:c r="F2136" t="n">
        <x:v>8</x:v>
      </x:c>
      <x:c r="G2136" t="n">
        <x:v>5</x:v>
      </x:c>
      <x:c r="H2136" t="n">
        <x:v>0</x:v>
      </x:c>
      <x:c r="I2136" t="str">
        <x:v>À qualifier par lieu</x:v>
      </x:c>
      <x:c r="J2136" t="str">
        <x:v>https://github.com/darknigthmare/deadwall-last-enclosure/blob/e28f46223e73105ab2c5d83f3d50b99b58ef53e6/codex-3000/compositions/habitat/DW-2131.md</x:v>
      </x:c>
      <x:c r="K2136" t="str">
        <x:v>Source min 77,34 m ; max 77,34 m ; modèle 77 × 34 m ; niveaux 0. Détails dans catalogue-existant.json.</x:v>
      </x:c>
    </x:row>
    <x:row r="2137">
      <x:c r="A2137" t="str">
        <x:v>DW-2132</x:v>
      </x:c>
      <x:c r="B2137" t="str">
        <x:v>DW-0566</x:v>
      </x:c>
      <x:c r="C2137" t="str">
        <x:v>Composition héritée</x:v>
      </x:c>
      <x:c r="D2137" t="str">
        <x:v>habitat</x:v>
      </x:c>
      <x:c r="E2137" t="str">
        <x:v>Maison mitoyenne — variante 02 — Quartier collectif / évacuation interrompue</x:v>
      </x:c>
      <x:c r="F2137" t="n">
        <x:v>8</x:v>
      </x:c>
      <x:c r="G2137" t="n">
        <x:v>5</x:v>
      </x:c>
      <x:c r="H2137" t="n">
        <x:v>0</x:v>
      </x:c>
      <x:c r="I2137" t="str">
        <x:v>À qualifier par lieu</x:v>
      </x:c>
      <x:c r="J2137" t="str">
        <x:v>https://github.com/darknigthmare/deadwall-last-enclosure/blob/e28f46223e73105ab2c5d83f3d50b99b58ef53e6/codex-3000/compositions/habitat/DW-2132.md</x:v>
      </x:c>
      <x:c r="K2137" t="str">
        <x:v>Source min 77,34 m ; max 77,34 m ; modèle 77 × 34 m ; niveaux 0. Détails dans catalogue-existant.json.</x:v>
      </x:c>
    </x:row>
    <x:row r="2138">
      <x:c r="A2138" t="str">
        <x:v>DW-2133</x:v>
      </x:c>
      <x:c r="B2138" t="str">
        <x:v>DW-0567</x:v>
      </x:c>
      <x:c r="C2138" t="str">
        <x:v>Composition héritée</x:v>
      </x:c>
      <x:c r="D2138" t="str">
        <x:v>habitat</x:v>
      </x:c>
      <x:c r="E2138" t="str">
        <x:v>Villa isolée — variante 02 — Village et bourg / réseau principal coupé</x:v>
      </x:c>
      <x:c r="F2138" t="n">
        <x:v>8</x:v>
      </x:c>
      <x:c r="G2138" t="n">
        <x:v>7</x:v>
      </x:c>
      <x:c r="H2138" t="n">
        <x:v>0</x:v>
      </x:c>
      <x:c r="I2138" t="str">
        <x:v>À qualifier par lieu</x:v>
      </x:c>
      <x:c r="J2138" t="str">
        <x:v>https://github.com/darknigthmare/deadwall-last-enclosure/blob/e28f46223e73105ab2c5d83f3d50b99b58ef53e6/codex-3000/compositions/habitat/DW-2133.md</x:v>
      </x:c>
      <x:c r="K2138" t="str">
        <x:v>Source min 16,51 m ; max 16,51 m ; modèle 29 × 51 m ; niveaux 0. Détails dans catalogue-existant.json.</x:v>
      </x:c>
    </x:row>
    <x:row r="2139">
      <x:c r="A2139" t="str">
        <x:v>DW-2134</x:v>
      </x:c>
      <x:c r="B2139" t="str">
        <x:v>DW-0567</x:v>
      </x:c>
      <x:c r="C2139" t="str">
        <x:v>Composition héritée</x:v>
      </x:c>
      <x:c r="D2139" t="str">
        <x:v>habitat</x:v>
      </x:c>
      <x:c r="E2139" t="str">
        <x:v>Villa isolée — variante 02 — Quartier pavillonnaire / arrêt de maintenance</x:v>
      </x:c>
      <x:c r="F2139" t="n">
        <x:v>8</x:v>
      </x:c>
      <x:c r="G2139" t="n">
        <x:v>7</x:v>
      </x:c>
      <x:c r="H2139" t="n">
        <x:v>0</x:v>
      </x:c>
      <x:c r="I2139" t="str">
        <x:v>À qualifier par lieu</x:v>
      </x:c>
      <x:c r="J2139" t="str">
        <x:v>https://github.com/darknigthmare/deadwall-last-enclosure/blob/e28f46223e73105ab2c5d83f3d50b99b58ef53e6/codex-3000/compositions/habitat/DW-2134.md</x:v>
      </x:c>
      <x:c r="K2139" t="str">
        <x:v>Source min 16,51 m ; max 16,51 m ; modèle 29 × 51 m ; niveaux 0. Détails dans catalogue-existant.json.</x:v>
      </x:c>
    </x:row>
    <x:row r="2140">
      <x:c r="A2140" t="str">
        <x:v>DW-2135</x:v>
      </x:c>
      <x:c r="B2140" t="str">
        <x:v>DW-0568</x:v>
      </x:c>
      <x:c r="C2140" t="str">
        <x:v>Composition héritée</x:v>
      </x:c>
      <x:c r="D2140" t="str">
        <x:v>habitat</x:v>
      </x:c>
      <x:c r="E2140" t="str">
        <x:v>Ferme familiale — variante 02 — Quartier collectif / repli organisé interrompu</x:v>
      </x:c>
      <x:c r="F2140" t="n">
        <x:v>8</x:v>
      </x:c>
      <x:c r="G2140" t="n">
        <x:v>6</x:v>
      </x:c>
      <x:c r="H2140" t="n">
        <x:v>0</x:v>
      </x:c>
      <x:c r="I2140" t="str">
        <x:v>À qualifier par lieu</x:v>
      </x:c>
      <x:c r="J2140" t="str">
        <x:v>https://github.com/darknigthmare/deadwall-last-enclosure/blob/e28f46223e73105ab2c5d83f3d50b99b58ef53e6/codex-3000/compositions/habitat/DW-2135.md</x:v>
      </x:c>
      <x:c r="K2140" t="str">
        <x:v>Source min 27,14 m ; max 27,14 m ; modèle 28 × 22 m ; niveaux 0. Détails dans catalogue-existant.json.</x:v>
      </x:c>
    </x:row>
    <x:row r="2141">
      <x:c r="A2141" t="str">
        <x:v>DW-2136</x:v>
      </x:c>
      <x:c r="B2141" t="str">
        <x:v>DW-0568</x:v>
      </x:c>
      <x:c r="C2141" t="str">
        <x:v>Composition héritée</x:v>
      </x:c>
      <x:c r="D2141" t="str">
        <x:v>habitat</x:v>
      </x:c>
      <x:c r="E2141" t="str">
        <x:v>Ferme familiale — variante 02 — Hameau / première récupération passée</x:v>
      </x:c>
      <x:c r="F2141" t="n">
        <x:v>8</x:v>
      </x:c>
      <x:c r="G2141" t="n">
        <x:v>6</x:v>
      </x:c>
      <x:c r="H2141" t="n">
        <x:v>0</x:v>
      </x:c>
      <x:c r="I2141" t="str">
        <x:v>À qualifier par lieu</x:v>
      </x:c>
      <x:c r="J2141" t="str">
        <x:v>https://github.com/darknigthmare/deadwall-last-enclosure/blob/e28f46223e73105ab2c5d83f3d50b99b58ef53e6/codex-3000/compositions/habitat/DW-2136.md</x:v>
      </x:c>
      <x:c r="K2141" t="str">
        <x:v>Source min 27,14 m ; max 27,14 m ; modèle 28 × 22 m ; niveaux 0. Détails dans catalogue-existant.json.</x:v>
      </x:c>
    </x:row>
    <x:row r="2142">
      <x:c r="A2142" t="str">
        <x:v>DW-2137</x:v>
      </x:c>
      <x:c r="B2142" t="str">
        <x:v>DW-0569</x:v>
      </x:c>
      <x:c r="C2142" t="str">
        <x:v>Composition héritée</x:v>
      </x:c>
      <x:c r="D2142" t="str">
        <x:v>habitat</x:v>
      </x:c>
      <x:c r="E2142" t="str">
        <x:v>Immeuble résidentiel — variante 02 — Quartier pavillonnaire / évacuation interrompue</x:v>
      </x:c>
      <x:c r="F2142" t="n">
        <x:v>8</x:v>
      </x:c>
      <x:c r="G2142" t="n">
        <x:v>5</x:v>
      </x:c>
      <x:c r="H2142" t="n">
        <x:v>0</x:v>
      </x:c>
      <x:c r="I2142" t="str">
        <x:v>À qualifier par lieu</x:v>
      </x:c>
      <x:c r="J2142" t="str">
        <x:v>https://github.com/darknigthmare/deadwall-last-enclosure/blob/e28f46223e73105ab2c5d83f3d50b99b58ef53e6/codex-3000/compositions/habitat/DW-2137.md</x:v>
      </x:c>
      <x:c r="K2142" t="str">
        <x:v>Source min 38,31 m ; max 38,31 m ; modèle 38 × 31 m ; niveaux 0, 1, 2. Détails dans catalogue-existant.json.</x:v>
      </x:c>
    </x:row>
    <x:row r="2143">
      <x:c r="A2143" t="str">
        <x:v>DW-2138</x:v>
      </x:c>
      <x:c r="B2143" t="str">
        <x:v>DW-0569</x:v>
      </x:c>
      <x:c r="C2143" t="str">
        <x:v>Composition héritée</x:v>
      </x:c>
      <x:c r="D2143" t="str">
        <x:v>habitat</x:v>
      </x:c>
      <x:c r="E2143" t="str">
        <x:v>Immeuble résidentiel — variante 02 — Village et bourg / service déplacé à l’arrière</x:v>
      </x:c>
      <x:c r="F2143" t="n">
        <x:v>8</x:v>
      </x:c>
      <x:c r="G2143" t="n">
        <x:v>5</x:v>
      </x:c>
      <x:c r="H2143" t="n">
        <x:v>0</x:v>
      </x:c>
      <x:c r="I2143" t="str">
        <x:v>À qualifier par lieu</x:v>
      </x:c>
      <x:c r="J2143" t="str">
        <x:v>https://github.com/darknigthmare/deadwall-last-enclosure/blob/e28f46223e73105ab2c5d83f3d50b99b58ef53e6/codex-3000/compositions/habitat/DW-2138.md</x:v>
      </x:c>
      <x:c r="K2143" t="str">
        <x:v>Source min 38,31 m ; max 38,31 m ; modèle 38 × 31 m ; niveaux 0, 1, 2. Détails dans catalogue-existant.json.</x:v>
      </x:c>
    </x:row>
    <x:row r="2144">
      <x:c r="A2144" t="str">
        <x:v>DW-2139</x:v>
      </x:c>
      <x:c r="B2144" t="str">
        <x:v>DW-0570</x:v>
      </x:c>
      <x:c r="C2144" t="str">
        <x:v>Composition héritée</x:v>
      </x:c>
      <x:c r="D2144" t="str">
        <x:v>habitat</x:v>
      </x:c>
      <x:c r="E2144" t="str">
        <x:v>Barre de logements — variante 02 — Hameau / arrêt de maintenance</x:v>
      </x:c>
      <x:c r="F2144" t="n">
        <x:v>8</x:v>
      </x:c>
      <x:c r="G2144" t="n">
        <x:v>5</x:v>
      </x:c>
      <x:c r="H2144" t="n">
        <x:v>0</x:v>
      </x:c>
      <x:c r="I2144" t="str">
        <x:v>À qualifier par lieu</x:v>
      </x:c>
      <x:c r="J2144" t="str">
        <x:v>https://github.com/darknigthmare/deadwall-last-enclosure/blob/e28f46223e73105ab2c5d83f3d50b99b58ef53e6/codex-3000/compositions/habitat/DW-2139.md</x:v>
      </x:c>
      <x:c r="K2144" t="str">
        <x:v>Source min 49,48 m ; max 49,48 m ; modèle 49 × 48 m ; niveaux 0, 1. Détails dans catalogue-existant.json.</x:v>
      </x:c>
    </x:row>
    <x:row r="2145">
      <x:c r="A2145" t="str">
        <x:v>DW-2140</x:v>
      </x:c>
      <x:c r="B2145" t="str">
        <x:v>DW-0570</x:v>
      </x:c>
      <x:c r="C2145" t="str">
        <x:v>Composition héritée</x:v>
      </x:c>
      <x:c r="D2145" t="str">
        <x:v>habitat</x:v>
      </x:c>
      <x:c r="E2145" t="str">
        <x:v>Barre de logements — variante 02 — Quartier collectif / reprise progressive de la végétation</x:v>
      </x:c>
      <x:c r="F2145" t="n">
        <x:v>8</x:v>
      </x:c>
      <x:c r="G2145" t="n">
        <x:v>5</x:v>
      </x:c>
      <x:c r="H2145" t="n">
        <x:v>0</x:v>
      </x:c>
      <x:c r="I2145" t="str">
        <x:v>À qualifier par lieu</x:v>
      </x:c>
      <x:c r="J2145" t="str">
        <x:v>https://github.com/darknigthmare/deadwall-last-enclosure/blob/e28f46223e73105ab2c5d83f3d50b99b58ef53e6/codex-3000/compositions/habitat/DW-2140.md</x:v>
      </x:c>
      <x:c r="K2145" t="str">
        <x:v>Source min 49,48 m ; max 49,48 m ; modèle 49 × 48 m ; niveaux 0, 1. Détails dans catalogue-existant.json.</x:v>
      </x:c>
    </x:row>
    <x:row r="2146">
      <x:c r="A2146" t="str">
        <x:v>DW-2141</x:v>
      </x:c>
      <x:c r="B2146" t="str">
        <x:v>DW-0571</x:v>
      </x:c>
      <x:c r="C2146" t="str">
        <x:v>Composition héritée</x:v>
      </x:c>
      <x:c r="D2146" t="str">
        <x:v>habitat</x:v>
      </x:c>
      <x:c r="E2146" t="str">
        <x:v>Résidence senior — variante 02 — Village et bourg / première récupération passée</x:v>
      </x:c>
      <x:c r="F2146" t="n">
        <x:v>8</x:v>
      </x:c>
      <x:c r="G2146" t="n">
        <x:v>5</x:v>
      </x:c>
      <x:c r="H2146" t="n">
        <x:v>0</x:v>
      </x:c>
      <x:c r="I2146" t="str">
        <x:v>À qualifier par lieu</x:v>
      </x:c>
      <x:c r="J2146" t="str">
        <x:v>https://github.com/darknigthmare/deadwall-last-enclosure/blob/e28f46223e73105ab2c5d83f3d50b99b58ef53e6/codex-3000/compositions/habitat/DW-2141.md</x:v>
      </x:c>
      <x:c r="K2146" t="str">
        <x:v>Source min 60,11 m ; max 60,11 m ; modèle 60 × 22 m ; niveaux 0, 1, 2. Détails dans catalogue-existant.json.</x:v>
      </x:c>
    </x:row>
    <x:row r="2147">
      <x:c r="A2147" t="str">
        <x:v>DW-2142</x:v>
      </x:c>
      <x:c r="B2147" t="str">
        <x:v>DW-0571</x:v>
      </x:c>
      <x:c r="C2147" t="str">
        <x:v>Composition héritée</x:v>
      </x:c>
      <x:c r="D2147" t="str">
        <x:v>habitat</x:v>
      </x:c>
      <x:c r="E2147" t="str">
        <x:v>Résidence senior — variante 02 — Quartier pavillonnaire / relais temporaire envisagé</x:v>
      </x:c>
      <x:c r="F2147" t="n">
        <x:v>8</x:v>
      </x:c>
      <x:c r="G2147" t="n">
        <x:v>5</x:v>
      </x:c>
      <x:c r="H2147" t="n">
        <x:v>0</x:v>
      </x:c>
      <x:c r="I2147" t="str">
        <x:v>À qualifier par lieu</x:v>
      </x:c>
      <x:c r="J2147" t="str">
        <x:v>https://github.com/darknigthmare/deadwall-last-enclosure/blob/e28f46223e73105ab2c5d83f3d50b99b58ef53e6/codex-3000/compositions/habitat/DW-2142.md</x:v>
      </x:c>
      <x:c r="K2147" t="str">
        <x:v>Source min 60,11 m ; max 60,11 m ; modèle 60 × 22 m ; niveaux 0, 1, 2. Détails dans catalogue-existant.json.</x:v>
      </x:c>
    </x:row>
    <x:row r="2148">
      <x:c r="A2148" t="str">
        <x:v>DW-2143</x:v>
      </x:c>
      <x:c r="B2148" t="str">
        <x:v>DW-0572</x:v>
      </x:c>
      <x:c r="C2148" t="str">
        <x:v>Composition héritée</x:v>
      </x:c>
      <x:c r="D2148" t="str">
        <x:v>habitat</x:v>
      </x:c>
      <x:c r="E2148" t="str">
        <x:v>Maison avec sous-sol — variante 02 — Quartier collectif / service déplacé à l’arrière</x:v>
      </x:c>
      <x:c r="F2148" t="n">
        <x:v>8</x:v>
      </x:c>
      <x:c r="G2148" t="n">
        <x:v>5</x:v>
      </x:c>
      <x:c r="H2148" t="n">
        <x:v>0</x:v>
      </x:c>
      <x:c r="I2148" t="str">
        <x:v>À qualifier par lieu</x:v>
      </x:c>
      <x:c r="J2148" t="str">
        <x:v>https://github.com/darknigthmare/deadwall-last-enclosure/blob/e28f46223e73105ab2c5d83f3d50b99b58ef53e6/codex-3000/compositions/habitat/DW-2143.md</x:v>
      </x:c>
      <x:c r="K2148" t="str">
        <x:v>Source min 71,28 m ; max 71,28 m ; modèle 71 × 28 m ; niveaux 0. Détails dans catalogue-existant.json.</x:v>
      </x:c>
    </x:row>
    <x:row r="2149">
      <x:c r="A2149" t="str">
        <x:v>DW-2144</x:v>
      </x:c>
      <x:c r="B2149" t="str">
        <x:v>DW-0572</x:v>
      </x:c>
      <x:c r="C2149" t="str">
        <x:v>Composition héritée</x:v>
      </x:c>
      <x:c r="D2149" t="str">
        <x:v>habitat</x:v>
      </x:c>
      <x:c r="E2149" t="str">
        <x:v>Maison avec sous-sol — variante 02 — Hameau / réseau principal coupé</x:v>
      </x:c>
      <x:c r="F2149" t="n">
        <x:v>8</x:v>
      </x:c>
      <x:c r="G2149" t="n">
        <x:v>5</x:v>
      </x:c>
      <x:c r="H2149" t="n">
        <x:v>0</x:v>
      </x:c>
      <x:c r="I2149" t="str">
        <x:v>À qualifier par lieu</x:v>
      </x:c>
      <x:c r="J2149" t="str">
        <x:v>https://github.com/darknigthmare/deadwall-last-enclosure/blob/e28f46223e73105ab2c5d83f3d50b99b58ef53e6/codex-3000/compositions/habitat/DW-2144.md</x:v>
      </x:c>
      <x:c r="K2149" t="str">
        <x:v>Source min 71,28 m ; max 71,28 m ; modèle 71 × 28 m ; niveaux 0. Détails dans catalogue-existant.json.</x:v>
      </x:c>
    </x:row>
    <x:row r="2150">
      <x:c r="A2150" t="str">
        <x:v>DW-2145</x:v>
      </x:c>
      <x:c r="B2150" t="str">
        <x:v>DW-0573</x:v>
      </x:c>
      <x:c r="C2150" t="str">
        <x:v>Composition héritée</x:v>
      </x:c>
      <x:c r="D2150" t="str">
        <x:v>commerce</x:v>
      </x:c>
      <x:c r="E2150" t="str">
        <x:v>Supérette — variante 02 — Zone commerciale / reprise progressive de la végétation</x:v>
      </x:c>
      <x:c r="F2150" t="n">
        <x:v>8</x:v>
      </x:c>
      <x:c r="G2150" t="n">
        <x:v>5</x:v>
      </x:c>
      <x:c r="H2150" t="n">
        <x:v>0</x:v>
      </x:c>
      <x:c r="I2150" t="str">
        <x:v>À qualifier par lieu</x:v>
      </x:c>
      <x:c r="J2150" t="str">
        <x:v>https://github.com/darknigthmare/deadwall-last-enclosure/blob/e28f46223e73105ab2c5d83f3d50b99b58ef53e6/codex-3000/compositions/commerce/DW-2145.md</x:v>
      </x:c>
      <x:c r="K2150" t="str">
        <x:v>Source min 10,45 m ; max 10,45 m ; modèle 26 × 45 m ; niveaux 0, 1. Détails dans catalogue-existant.json.</x:v>
      </x:c>
    </x:row>
    <x:row r="2151">
      <x:c r="A2151" t="str">
        <x:v>DW-2146</x:v>
      </x:c>
      <x:c r="B2151" t="str">
        <x:v>DW-0573</x:v>
      </x:c>
      <x:c r="C2151" t="str">
        <x:v>Composition héritée</x:v>
      </x:c>
      <x:c r="D2151" t="str">
        <x:v>commerce</x:v>
      </x:c>
      <x:c r="E2151" t="str">
        <x:v>Supérette — variante 02 — Village et bourg / repli organisé interrompu</x:v>
      </x:c>
      <x:c r="F2151" t="n">
        <x:v>8</x:v>
      </x:c>
      <x:c r="G2151" t="n">
        <x:v>5</x:v>
      </x:c>
      <x:c r="H2151" t="n">
        <x:v>0</x:v>
      </x:c>
      <x:c r="I2151" t="str">
        <x:v>À qualifier par lieu</x:v>
      </x:c>
      <x:c r="J2151" t="str">
        <x:v>https://github.com/darknigthmare/deadwall-last-enclosure/blob/e28f46223e73105ab2c5d83f3d50b99b58ef53e6/codex-3000/compositions/commerce/DW-2146.md</x:v>
      </x:c>
      <x:c r="K2151" t="str">
        <x:v>Source min 10,45 m ; max 10,45 m ; modèle 26 × 45 m ; niveaux 0, 1. Détails dans catalogue-existant.json.</x:v>
      </x:c>
    </x:row>
    <x:row r="2152">
      <x:c r="A2152" t="str">
        <x:v>DW-2147</x:v>
      </x:c>
      <x:c r="B2152" t="str">
        <x:v>DW-0574</x:v>
      </x:c>
      <x:c r="C2152" t="str">
        <x:v>Composition héritée</x:v>
      </x:c>
      <x:c r="D2152" t="str">
        <x:v>commerce</x:v>
      </x:c>
      <x:c r="E2152" t="str">
        <x:v>Centre commercial — variante 02 — Ville moyenne / relais temporaire envisagé</x:v>
      </x:c>
      <x:c r="F2152" t="n">
        <x:v>8</x:v>
      </x:c>
      <x:c r="G2152" t="n">
        <x:v>6</x:v>
      </x:c>
      <x:c r="H2152" t="n">
        <x:v>0</x:v>
      </x:c>
      <x:c r="I2152" t="str">
        <x:v>À qualifier par lieu</x:v>
      </x:c>
      <x:c r="J2152" t="str">
        <x:v>https://github.com/darknigthmare/deadwall-last-enclosure/blob/e28f46223e73105ab2c5d83f3d50b99b58ef53e6/codex-3000/compositions/commerce/DW-2147.md</x:v>
      </x:c>
      <x:c r="K2152" t="str">
        <x:v>Source min 21,62 m ; max 21,62 m ; modèle 28 × 62 m ; niveaux 0. Détails dans catalogue-existant.json.</x:v>
      </x:c>
    </x:row>
    <x:row r="2153">
      <x:c r="A2153" t="str">
        <x:v>DW-2148</x:v>
      </x:c>
      <x:c r="B2153" t="str">
        <x:v>DW-0574</x:v>
      </x:c>
      <x:c r="C2153" t="str">
        <x:v>Composition héritée</x:v>
      </x:c>
      <x:c r="D2153" t="str">
        <x:v>commerce</x:v>
      </x:c>
      <x:c r="E2153" t="str">
        <x:v>Centre commercial — variante 02 — Grande ville et métropole / évacuation interrompue</x:v>
      </x:c>
      <x:c r="F2153" t="n">
        <x:v>8</x:v>
      </x:c>
      <x:c r="G2153" t="n">
        <x:v>6</x:v>
      </x:c>
      <x:c r="H2153" t="n">
        <x:v>0</x:v>
      </x:c>
      <x:c r="I2153" t="str">
        <x:v>À qualifier par lieu</x:v>
      </x:c>
      <x:c r="J2153" t="str">
        <x:v>https://github.com/darknigthmare/deadwall-last-enclosure/blob/e28f46223e73105ab2c5d83f3d50b99b58ef53e6/codex-3000/compositions/commerce/DW-2148.md</x:v>
      </x:c>
      <x:c r="K2153" t="str">
        <x:v>Source min 21,62 m ; max 21,62 m ; modèle 28 × 62 m ; niveaux 0. Détails dans catalogue-existant.json.</x:v>
      </x:c>
    </x:row>
    <x:row r="2154">
      <x:c r="A2154" t="str">
        <x:v>DW-2149</x:v>
      </x:c>
      <x:c r="B2154" t="str">
        <x:v>DW-0575</x:v>
      </x:c>
      <x:c r="C2154" t="str">
        <x:v>Composition héritée</x:v>
      </x:c>
      <x:c r="D2154" t="str">
        <x:v>commerce</x:v>
      </x:c>
      <x:c r="E2154" t="str">
        <x:v>Supermarché — variante 02 — Village et bourg / réseau principal coupé</x:v>
      </x:c>
      <x:c r="F2154" t="n">
        <x:v>8</x:v>
      </x:c>
      <x:c r="G2154" t="n">
        <x:v>7</x:v>
      </x:c>
      <x:c r="H2154" t="n">
        <x:v>0</x:v>
      </x:c>
      <x:c r="I2154" t="str">
        <x:v>À qualifier par lieu</x:v>
      </x:c>
      <x:c r="J2154" t="str">
        <x:v>https://github.com/darknigthmare/deadwall-last-enclosure/blob/e28f46223e73105ab2c5d83f3d50b99b58ef53e6/codex-3000/compositions/commerce/DW-2149.md</x:v>
      </x:c>
      <x:c r="K2154" t="str">
        <x:v>Source min 32,25 m ; max 32,25 m ; modèle 32 × 29 m ; niveaux 0. Détails dans catalogue-existant.json.</x:v>
      </x:c>
    </x:row>
    <x:row r="2155">
      <x:c r="A2155" t="str">
        <x:v>DW-2150</x:v>
      </x:c>
      <x:c r="B2155" t="str">
        <x:v>DW-0575</x:v>
      </x:c>
      <x:c r="C2155" t="str">
        <x:v>Composition héritée</x:v>
      </x:c>
      <x:c r="D2155" t="str">
        <x:v>commerce</x:v>
      </x:c>
      <x:c r="E2155" t="str">
        <x:v>Supermarché — variante 02 — Zone commerciale / arrêt de maintenance</x:v>
      </x:c>
      <x:c r="F2155" t="n">
        <x:v>8</x:v>
      </x:c>
      <x:c r="G2155" t="n">
        <x:v>7</x:v>
      </x:c>
      <x:c r="H2155" t="n">
        <x:v>0</x:v>
      </x:c>
      <x:c r="I2155" t="str">
        <x:v>À qualifier par lieu</x:v>
      </x:c>
      <x:c r="J2155" t="str">
        <x:v>https://github.com/darknigthmare/deadwall-last-enclosure/blob/e28f46223e73105ab2c5d83f3d50b99b58ef53e6/codex-3000/compositions/commerce/DW-2150.md</x:v>
      </x:c>
      <x:c r="K2155" t="str">
        <x:v>Source min 32,25 m ; max 32,25 m ; modèle 32 × 29 m ; niveaux 0. Détails dans catalogue-existant.json.</x:v>
      </x:c>
    </x:row>
    <x:row r="2156">
      <x:c r="A2156" t="str">
        <x:v>DW-2151</x:v>
      </x:c>
      <x:c r="B2156" t="str">
        <x:v>DW-0576</x:v>
      </x:c>
      <x:c r="C2156" t="str">
        <x:v>Composition héritée</x:v>
      </x:c>
      <x:c r="D2156" t="str">
        <x:v>commerce</x:v>
      </x:c>
      <x:c r="E2156" t="str">
        <x:v>Magasin de bricolage — variante 02 — Grande ville et métropole / repli organisé interrompu</x:v>
      </x:c>
      <x:c r="F2156" t="n">
        <x:v>8</x:v>
      </x:c>
      <x:c r="G2156" t="n">
        <x:v>5</x:v>
      </x:c>
      <x:c r="H2156" t="n">
        <x:v>0</x:v>
      </x:c>
      <x:c r="I2156" t="str">
        <x:v>À qualifier par lieu</x:v>
      </x:c>
      <x:c r="J2156" t="str">
        <x:v>https://github.com/darknigthmare/deadwall-last-enclosure/blob/e28f46223e73105ab2c5d83f3d50b99b58ef53e6/codex-3000/compositions/commerce/DW-2151.md</x:v>
      </x:c>
      <x:c r="K2156" t="str">
        <x:v>Source min 43,42 m ; max 43,42 m ; modèle 43 × 42 m ; niveaux 0. Détails dans catalogue-existant.json.</x:v>
      </x:c>
    </x:row>
    <x:row r="2157">
      <x:c r="A2157" t="str">
        <x:v>DW-2152</x:v>
      </x:c>
      <x:c r="B2157" t="str">
        <x:v>DW-0576</x:v>
      </x:c>
      <x:c r="C2157" t="str">
        <x:v>Composition héritée</x:v>
      </x:c>
      <x:c r="D2157" t="str">
        <x:v>commerce</x:v>
      </x:c>
      <x:c r="E2157" t="str">
        <x:v>Magasin de bricolage — variante 02 — Ville moyenne / première récupération passée</x:v>
      </x:c>
      <x:c r="F2157" t="n">
        <x:v>8</x:v>
      </x:c>
      <x:c r="G2157" t="n">
        <x:v>5</x:v>
      </x:c>
      <x:c r="H2157" t="n">
        <x:v>0</x:v>
      </x:c>
      <x:c r="I2157" t="str">
        <x:v>À qualifier par lieu</x:v>
      </x:c>
      <x:c r="J2157" t="str">
        <x:v>https://github.com/darknigthmare/deadwall-last-enclosure/blob/e28f46223e73105ab2c5d83f3d50b99b58ef53e6/codex-3000/compositions/commerce/DW-2152.md</x:v>
      </x:c>
      <x:c r="K2157" t="str">
        <x:v>Source min 43,42 m ; max 43,42 m ; modèle 43 × 42 m ; niveaux 0. Détails dans catalogue-existant.json.</x:v>
      </x:c>
    </x:row>
    <x:row r="2158">
      <x:c r="A2158" t="str">
        <x:v>DW-2153</x:v>
      </x:c>
      <x:c r="B2158" t="str">
        <x:v>DW-0577</x:v>
      </x:c>
      <x:c r="C2158" t="str">
        <x:v>Composition héritée</x:v>
      </x:c>
      <x:c r="D2158" t="str">
        <x:v>commerce</x:v>
      </x:c>
      <x:c r="E2158" t="str">
        <x:v>Pharmacie — variante 02 — Zone commerciale / évacuation interrompue</x:v>
      </x:c>
      <x:c r="F2158" t="n">
        <x:v>8</x:v>
      </x:c>
      <x:c r="G2158" t="n">
        <x:v>4</x:v>
      </x:c>
      <x:c r="H2158" t="n">
        <x:v>0</x:v>
      </x:c>
      <x:c r="I2158" t="str">
        <x:v>À qualifier par lieu</x:v>
      </x:c>
      <x:c r="J2158" t="str">
        <x:v>https://github.com/darknigthmare/deadwall-last-enclosure/blob/e28f46223e73105ab2c5d83f3d50b99b58ef53e6/codex-3000/compositions/commerce/DW-2153.md</x:v>
      </x:c>
      <x:c r="K2158" t="str">
        <x:v>Source min 54,59 m ; max 54,59 m ; modèle 54 × 59 m ; niveaux 0, 1. Détails dans catalogue-existant.json.</x:v>
      </x:c>
    </x:row>
    <x:row r="2159">
      <x:c r="A2159" t="str">
        <x:v>DW-2154</x:v>
      </x:c>
      <x:c r="B2159" t="str">
        <x:v>DW-0577</x:v>
      </x:c>
      <x:c r="C2159" t="str">
        <x:v>Composition héritée</x:v>
      </x:c>
      <x:c r="D2159" t="str">
        <x:v>commerce</x:v>
      </x:c>
      <x:c r="E2159" t="str">
        <x:v>Pharmacie — variante 02 — Village et bourg / service déplacé à l’arrière</x:v>
      </x:c>
      <x:c r="F2159" t="n">
        <x:v>8</x:v>
      </x:c>
      <x:c r="G2159" t="n">
        <x:v>4</x:v>
      </x:c>
      <x:c r="H2159" t="n">
        <x:v>0</x:v>
      </x:c>
      <x:c r="I2159" t="str">
        <x:v>À qualifier par lieu</x:v>
      </x:c>
      <x:c r="J2159" t="str">
        <x:v>https://github.com/darknigthmare/deadwall-last-enclosure/blob/e28f46223e73105ab2c5d83f3d50b99b58ef53e6/codex-3000/compositions/commerce/DW-2154.md</x:v>
      </x:c>
      <x:c r="K2159" t="str">
        <x:v>Source min 54,59 m ; max 54,59 m ; modèle 54 × 59 m ; niveaux 0, 1. Détails dans catalogue-existant.json.</x:v>
      </x:c>
    </x:row>
    <x:row r="2160">
      <x:c r="A2160" t="str">
        <x:v>DW-2155</x:v>
      </x:c>
      <x:c r="B2160" t="str">
        <x:v>DW-0578</x:v>
      </x:c>
      <x:c r="C2160" t="str">
        <x:v>Composition héritée</x:v>
      </x:c>
      <x:c r="D2160" t="str">
        <x:v>commerce</x:v>
      </x:c>
      <x:c r="E2160" t="str">
        <x:v>Station-service — variante 02 — Ville moyenne / arrêt de maintenance</x:v>
      </x:c>
      <x:c r="F2160" t="n">
        <x:v>8</x:v>
      </x:c>
      <x:c r="G2160" t="n">
        <x:v>5</x:v>
      </x:c>
      <x:c r="H2160" t="n">
        <x:v>0</x:v>
      </x:c>
      <x:c r="I2160" t="str">
        <x:v>À qualifier par lieu</x:v>
      </x:c>
      <x:c r="J2160" t="str">
        <x:v>https://github.com/darknigthmare/deadwall-last-enclosure/blob/e28f46223e73105ab2c5d83f3d50b99b58ef53e6/codex-3000/compositions/commerce/DW-2155.md</x:v>
      </x:c>
      <x:c r="K2160" t="str">
        <x:v>Source min 65,22 m ; max 65,22 m ; modèle 65 × 22 m ; niveaux 0. Détails dans catalogue-existant.json.</x:v>
      </x:c>
    </x:row>
    <x:row r="2161">
      <x:c r="A2161" t="str">
        <x:v>DW-2156</x:v>
      </x:c>
      <x:c r="B2161" t="str">
        <x:v>DW-0578</x:v>
      </x:c>
      <x:c r="C2161" t="str">
        <x:v>Composition héritée</x:v>
      </x:c>
      <x:c r="D2161" t="str">
        <x:v>commerce</x:v>
      </x:c>
      <x:c r="E2161" t="str">
        <x:v>Station-service — variante 02 — Grande ville et métropole / reprise progressive de la végétation</x:v>
      </x:c>
      <x:c r="F2161" t="n">
        <x:v>8</x:v>
      </x:c>
      <x:c r="G2161" t="n">
        <x:v>5</x:v>
      </x:c>
      <x:c r="H2161" t="n">
        <x:v>0</x:v>
      </x:c>
      <x:c r="I2161" t="str">
        <x:v>À qualifier par lieu</x:v>
      </x:c>
      <x:c r="J2161" t="str">
        <x:v>https://github.com/darknigthmare/deadwall-last-enclosure/blob/e28f46223e73105ab2c5d83f3d50b99b58ef53e6/codex-3000/compositions/commerce/DW-2156.md</x:v>
      </x:c>
      <x:c r="K2161" t="str">
        <x:v>Source min 65,22 m ; max 65,22 m ; modèle 65 × 22 m ; niveaux 0. Détails dans catalogue-existant.json.</x:v>
      </x:c>
    </x:row>
    <x:row r="2162">
      <x:c r="A2162" t="str">
        <x:v>DW-2157</x:v>
      </x:c>
      <x:c r="B2162" t="str">
        <x:v>DW-0579</x:v>
      </x:c>
      <x:c r="C2162" t="str">
        <x:v>Composition héritée</x:v>
      </x:c>
      <x:c r="D2162" t="str">
        <x:v>commerce</x:v>
      </x:c>
      <x:c r="E2162" t="str">
        <x:v>Restaurant routier — variante 02 — Village et bourg / première récupération passée</x:v>
      </x:c>
      <x:c r="F2162" t="n">
        <x:v>8</x:v>
      </x:c>
      <x:c r="G2162" t="n">
        <x:v>5</x:v>
      </x:c>
      <x:c r="H2162" t="n">
        <x:v>0</x:v>
      </x:c>
      <x:c r="I2162" t="str">
        <x:v>À qualifier par lieu</x:v>
      </x:c>
      <x:c r="J2162" t="str">
        <x:v>https://github.com/darknigthmare/deadwall-last-enclosure/blob/e28f46223e73105ab2c5d83f3d50b99b58ef53e6/codex-3000/compositions/commerce/DW-2157.md</x:v>
      </x:c>
      <x:c r="K2162" t="str">
        <x:v>Source min 76,39 m ; max 76,39 m ; modèle 76 × 39 m ; niveaux 0. Détails dans catalogue-existant.json.</x:v>
      </x:c>
    </x:row>
    <x:row r="2163">
      <x:c r="A2163" t="str">
        <x:v>DW-2158</x:v>
      </x:c>
      <x:c r="B2163" t="str">
        <x:v>DW-0579</x:v>
      </x:c>
      <x:c r="C2163" t="str">
        <x:v>Composition héritée</x:v>
      </x:c>
      <x:c r="D2163" t="str">
        <x:v>commerce</x:v>
      </x:c>
      <x:c r="E2163" t="str">
        <x:v>Restaurant routier — variante 02 — Zone commerciale / relais temporaire envisagé</x:v>
      </x:c>
      <x:c r="F2163" t="n">
        <x:v>8</x:v>
      </x:c>
      <x:c r="G2163" t="n">
        <x:v>5</x:v>
      </x:c>
      <x:c r="H2163" t="n">
        <x:v>0</x:v>
      </x:c>
      <x:c r="I2163" t="str">
        <x:v>À qualifier par lieu</x:v>
      </x:c>
      <x:c r="J2163" t="str">
        <x:v>https://github.com/darknigthmare/deadwall-last-enclosure/blob/e28f46223e73105ab2c5d83f3d50b99b58ef53e6/codex-3000/compositions/commerce/DW-2158.md</x:v>
      </x:c>
      <x:c r="K2163" t="str">
        <x:v>Source min 76,39 m ; max 76,39 m ; modèle 76 × 39 m ; niveaux 0. Détails dans catalogue-existant.json.</x:v>
      </x:c>
    </x:row>
    <x:row r="2164">
      <x:c r="A2164" t="str">
        <x:v>DW-2159</x:v>
      </x:c>
      <x:c r="B2164" t="str">
        <x:v>DW-0580</x:v>
      </x:c>
      <x:c r="C2164" t="str">
        <x:v>Composition héritée</x:v>
      </x:c>
      <x:c r="D2164" t="str">
        <x:v>commerce</x:v>
      </x:c>
      <x:c r="E2164" t="str">
        <x:v>Hôtel — variante 02 — Grande ville et métropole / service déplacé à l’arrière</x:v>
      </x:c>
      <x:c r="F2164" t="n">
        <x:v>8</x:v>
      </x:c>
      <x:c r="G2164" t="n">
        <x:v>6</x:v>
      </x:c>
      <x:c r="H2164" t="n">
        <x:v>0</x:v>
      </x:c>
      <x:c r="I2164" t="str">
        <x:v>À qualifier par lieu</x:v>
      </x:c>
      <x:c r="J2164" t="str">
        <x:v>https://github.com/darknigthmare/deadwall-last-enclosure/blob/e28f46223e73105ab2c5d83f3d50b99b58ef53e6/codex-3000/compositions/commerce/DW-2159.md</x:v>
      </x:c>
      <x:c r="K2164" t="str">
        <x:v>Source min 15,56 m ; max 15,56 m ; modèle 28 × 56 m ; niveaux 0. Détails dans catalogue-existant.json.</x:v>
      </x:c>
    </x:row>
    <x:row r="2165">
      <x:c r="A2165" t="str">
        <x:v>DW-2160</x:v>
      </x:c>
      <x:c r="B2165" t="str">
        <x:v>DW-0580</x:v>
      </x:c>
      <x:c r="C2165" t="str">
        <x:v>Composition héritée</x:v>
      </x:c>
      <x:c r="D2165" t="str">
        <x:v>commerce</x:v>
      </x:c>
      <x:c r="E2165" t="str">
        <x:v>Hôtel — variante 02 — Ville moyenne / réseau principal coupé</x:v>
      </x:c>
      <x:c r="F2165" t="n">
        <x:v>8</x:v>
      </x:c>
      <x:c r="G2165" t="n">
        <x:v>6</x:v>
      </x:c>
      <x:c r="H2165" t="n">
        <x:v>0</x:v>
      </x:c>
      <x:c r="I2165" t="str">
        <x:v>À qualifier par lieu</x:v>
      </x:c>
      <x:c r="J2165" t="str">
        <x:v>https://github.com/darknigthmare/deadwall-last-enclosure/blob/e28f46223e73105ab2c5d83f3d50b99b58ef53e6/codex-3000/compositions/commerce/DW-2160.md</x:v>
      </x:c>
      <x:c r="K2165" t="str">
        <x:v>Source min 15,56 m ; max 15,56 m ; modèle 28 × 56 m ; niveaux 0. Détails dans catalogue-existant.json.</x:v>
      </x:c>
    </x:row>
    <x:row r="2166">
      <x:c r="A2166" t="str">
        <x:v>DW-2161</x:v>
      </x:c>
      <x:c r="B2166" t="str">
        <x:v>DW-0581</x:v>
      </x:c>
      <x:c r="C2166" t="str">
        <x:v>Composition héritée</x:v>
      </x:c>
      <x:c r="D2166" t="str">
        <x:v>industrie</x:v>
      </x:c>
      <x:c r="E2166" t="str">
        <x:v>Scierie — variante 02 — Zone industrielle / reprise progressive de la végétation</x:v>
      </x:c>
      <x:c r="F2166" t="n">
        <x:v>8</x:v>
      </x:c>
      <x:c r="G2166" t="n">
        <x:v>5</x:v>
      </x:c>
      <x:c r="H2166" t="n">
        <x:v>0</x:v>
      </x:c>
      <x:c r="I2166" t="str">
        <x:v>À qualifier par lieu</x:v>
      </x:c>
      <x:c r="J2166" t="str">
        <x:v>https://github.com/darknigthmare/deadwall-last-enclosure/blob/e28f46223e73105ab2c5d83f3d50b99b58ef53e6/codex-3000/compositions/industrie/DW-2161.md</x:v>
      </x:c>
      <x:c r="K2166" t="str">
        <x:v>Source min 26,19 m ; max 26,19 m ; modèle 26 × 22 m ; niveaux 0. Détails dans catalogue-existant.json.</x:v>
      </x:c>
    </x:row>
    <x:row r="2167">
      <x:c r="A2167" t="str">
        <x:v>DW-2162</x:v>
      </x:c>
      <x:c r="B2167" t="str">
        <x:v>DW-0581</x:v>
      </x:c>
      <x:c r="C2167" t="str">
        <x:v>Composition héritée</x:v>
      </x:c>
      <x:c r="D2167" t="str">
        <x:v>industrie</x:v>
      </x:c>
      <x:c r="E2167" t="str">
        <x:v>Scierie — variante 02 — Entrepôt et plateforme logistique / repli organisé interrompu</x:v>
      </x:c>
      <x:c r="F2167" t="n">
        <x:v>8</x:v>
      </x:c>
      <x:c r="G2167" t="n">
        <x:v>5</x:v>
      </x:c>
      <x:c r="H2167" t="n">
        <x:v>0</x:v>
      </x:c>
      <x:c r="I2167" t="str">
        <x:v>À qualifier par lieu</x:v>
      </x:c>
      <x:c r="J2167" t="str">
        <x:v>https://github.com/darknigthmare/deadwall-last-enclosure/blob/e28f46223e73105ab2c5d83f3d50b99b58ef53e6/codex-3000/compositions/industrie/DW-2162.md</x:v>
      </x:c>
      <x:c r="K2167" t="str">
        <x:v>Source min 26,19 m ; max 26,19 m ; modèle 26 × 22 m ; niveaux 0. Détails dans catalogue-existant.json.</x:v>
      </x:c>
    </x:row>
    <x:row r="2168">
      <x:c r="A2168" t="str">
        <x:v>DW-2163</x:v>
      </x:c>
      <x:c r="B2168" t="str">
        <x:v>DW-0582</x:v>
      </x:c>
      <x:c r="C2168" t="str">
        <x:v>Composition héritée</x:v>
      </x:c>
      <x:c r="D2168" t="str">
        <x:v>industrie</x:v>
      </x:c>
      <x:c r="E2168" t="str">
        <x:v>Garage automobile — variante 02 — Atelier et artisanat / relais temporaire envisagé</x:v>
      </x:c>
      <x:c r="F2168" t="n">
        <x:v>8</x:v>
      </x:c>
      <x:c r="G2168" t="n">
        <x:v>5</x:v>
      </x:c>
      <x:c r="H2168" t="n">
        <x:v>0</x:v>
      </x:c>
      <x:c r="I2168" t="str">
        <x:v>À qualifier par lieu</x:v>
      </x:c>
      <x:c r="J2168" t="str">
        <x:v>https://github.com/darknigthmare/deadwall-last-enclosure/blob/e28f46223e73105ab2c5d83f3d50b99b58ef53e6/codex-3000/compositions/industrie/DW-2163.md</x:v>
      </x:c>
      <x:c r="K2168" t="str">
        <x:v>Source min 37,36 m ; max 37,36 m ; modèle 37 × 36 m ; niveaux 0. Détails dans catalogue-existant.json.</x:v>
      </x:c>
    </x:row>
    <x:row r="2169">
      <x:c r="A2169" t="str">
        <x:v>DW-2164</x:v>
      </x:c>
      <x:c r="B2169" t="str">
        <x:v>DW-0582</x:v>
      </x:c>
      <x:c r="C2169" t="str">
        <x:v>Composition héritée</x:v>
      </x:c>
      <x:c r="D2169" t="str">
        <x:v>industrie</x:v>
      </x:c>
      <x:c r="E2169" t="str">
        <x:v>Garage automobile — variante 02 — Gare et fret / évacuation interrompue</x:v>
      </x:c>
      <x:c r="F2169" t="n">
        <x:v>10</x:v>
      </x:c>
      <x:c r="G2169" t="n">
        <x:v>5</x:v>
      </x:c>
      <x:c r="H2169" t="n">
        <x:v>0</x:v>
      </x:c>
      <x:c r="I2169" t="str">
        <x:v>À qualifier par lieu</x:v>
      </x:c>
      <x:c r="J2169" t="str">
        <x:v>https://github.com/darknigthmare/deadwall-last-enclosure/blob/e28f46223e73105ab2c5d83f3d50b99b58ef53e6/codex-3000/compositions/industrie/DW-2164.md</x:v>
      </x:c>
      <x:c r="K2169" t="str">
        <x:v>Source min 37,36 m ; max 37,36 m ; modèle 37 × 36 m ; niveaux 0. Détails dans catalogue-existant.json.</x:v>
      </x:c>
    </x:row>
    <x:row r="2170">
      <x:c r="A2170" t="str">
        <x:v>DW-2165</x:v>
      </x:c>
      <x:c r="B2170" t="str">
        <x:v>DW-0583</x:v>
      </x:c>
      <x:c r="C2170" t="str">
        <x:v>Composition héritée</x:v>
      </x:c>
      <x:c r="D2170" t="str">
        <x:v>industrie</x:v>
      </x:c>
      <x:c r="E2170" t="str">
        <x:v>Entrepôt logistique — variante 02 — Entrepôt et plateforme logistique / réseau principal coupé</x:v>
      </x:c>
      <x:c r="F2170" t="n">
        <x:v>8</x:v>
      </x:c>
      <x:c r="G2170" t="n">
        <x:v>5</x:v>
      </x:c>
      <x:c r="H2170" t="n">
        <x:v>0</x:v>
      </x:c>
      <x:c r="I2170" t="str">
        <x:v>À qualifier par lieu</x:v>
      </x:c>
      <x:c r="J2170" t="str">
        <x:v>https://github.com/darknigthmare/deadwall-last-enclosure/blob/e28f46223e73105ab2c5d83f3d50b99b58ef53e6/codex-3000/compositions/industrie/DW-2165.md</x:v>
      </x:c>
      <x:c r="K2170" t="str">
        <x:v>Source min 48,53 m ; max 48,53 m ; modèle 48 × 53 m ; niveaux 0. Détails dans catalogue-existant.json.</x:v>
      </x:c>
    </x:row>
    <x:row r="2171">
      <x:c r="A2171" t="str">
        <x:v>DW-2166</x:v>
      </x:c>
      <x:c r="B2171" t="str">
        <x:v>DW-0583</x:v>
      </x:c>
      <x:c r="C2171" t="str">
        <x:v>Composition héritée</x:v>
      </x:c>
      <x:c r="D2171" t="str">
        <x:v>industrie</x:v>
      </x:c>
      <x:c r="E2171" t="str">
        <x:v>Entrepôt logistique — variante 02 — Zone industrielle / arrêt de maintenance</x:v>
      </x:c>
      <x:c r="F2171" t="n">
        <x:v>8</x:v>
      </x:c>
      <x:c r="G2171" t="n">
        <x:v>5</x:v>
      </x:c>
      <x:c r="H2171" t="n">
        <x:v>0</x:v>
      </x:c>
      <x:c r="I2171" t="str">
        <x:v>À qualifier par lieu</x:v>
      </x:c>
      <x:c r="J2171" t="str">
        <x:v>https://github.com/darknigthmare/deadwall-last-enclosure/blob/e28f46223e73105ab2c5d83f3d50b99b58ef53e6/codex-3000/compositions/industrie/DW-2166.md</x:v>
      </x:c>
      <x:c r="K2171" t="str">
        <x:v>Source min 48,53 m ; max 48,53 m ; modèle 48 × 53 m ; niveaux 0. Détails dans catalogue-existant.json.</x:v>
      </x:c>
    </x:row>
    <x:row r="2172">
      <x:c r="A2172" t="str">
        <x:v>DW-2167</x:v>
      </x:c>
      <x:c r="B2172" t="str">
        <x:v>DW-0584</x:v>
      </x:c>
      <x:c r="C2172" t="str">
        <x:v>Composition héritée</x:v>
      </x:c>
      <x:c r="D2172" t="str">
        <x:v>industrie</x:v>
      </x:c>
      <x:c r="E2172" t="str">
        <x:v>Petite usine — variante 02 — Gare et fret / repli organisé interrompu</x:v>
      </x:c>
      <x:c r="F2172" t="n">
        <x:v>10</x:v>
      </x:c>
      <x:c r="G2172" t="n">
        <x:v>5</x:v>
      </x:c>
      <x:c r="H2172" t="n">
        <x:v>0</x:v>
      </x:c>
      <x:c r="I2172" t="str">
        <x:v>À qualifier par lieu</x:v>
      </x:c>
      <x:c r="J2172" t="str">
        <x:v>https://github.com/darknigthmare/deadwall-last-enclosure/blob/e28f46223e73105ab2c5d83f3d50b99b58ef53e6/codex-3000/compositions/industrie/DW-2167.md</x:v>
      </x:c>
      <x:c r="K2172" t="str">
        <x:v>Source min 59,16 m ; max 59,16 m ; modèle 59 × 22 m ; niveaux 0. Détails dans catalogue-existant.json.</x:v>
      </x:c>
    </x:row>
    <x:row r="2173">
      <x:c r="A2173" t="str">
        <x:v>DW-2168</x:v>
      </x:c>
      <x:c r="B2173" t="str">
        <x:v>DW-0584</x:v>
      </x:c>
      <x:c r="C2173" t="str">
        <x:v>Composition héritée</x:v>
      </x:c>
      <x:c r="D2173" t="str">
        <x:v>industrie</x:v>
      </x:c>
      <x:c r="E2173" t="str">
        <x:v>Petite usine — variante 02 — Atelier et artisanat / première récupération passée</x:v>
      </x:c>
      <x:c r="F2173" t="n">
        <x:v>8</x:v>
      </x:c>
      <x:c r="G2173" t="n">
        <x:v>5</x:v>
      </x:c>
      <x:c r="H2173" t="n">
        <x:v>0</x:v>
      </x:c>
      <x:c r="I2173" t="str">
        <x:v>À qualifier par lieu</x:v>
      </x:c>
      <x:c r="J2173" t="str">
        <x:v>https://github.com/darknigthmare/deadwall-last-enclosure/blob/e28f46223e73105ab2c5d83f3d50b99b58ef53e6/codex-3000/compositions/industrie/DW-2168.md</x:v>
      </x:c>
      <x:c r="K2173" t="str">
        <x:v>Source min 59,16 m ; max 59,16 m ; modèle 59 × 22 m ; niveaux 0. Détails dans catalogue-existant.json.</x:v>
      </x:c>
    </x:row>
    <x:row r="2174">
      <x:c r="A2174" t="str">
        <x:v>DW-2169</x:v>
      </x:c>
      <x:c r="B2174" t="str">
        <x:v>DW-0585</x:v>
      </x:c>
      <x:c r="C2174" t="str">
        <x:v>Composition héritée</x:v>
      </x:c>
      <x:c r="D2174" t="str">
        <x:v>industrie</x:v>
      </x:c>
      <x:c r="E2174" t="str">
        <x:v>Carrière — variante 02 — Zone industrielle / évacuation interrompue</x:v>
      </x:c>
      <x:c r="F2174" t="n">
        <x:v>8</x:v>
      </x:c>
      <x:c r="G2174" t="n">
        <x:v>5</x:v>
      </x:c>
      <x:c r="H2174" t="n">
        <x:v>0</x:v>
      </x:c>
      <x:c r="I2174" t="str">
        <x:v>À qualifier par lieu</x:v>
      </x:c>
      <x:c r="J2174" t="str">
        <x:v>https://github.com/darknigthmare/deadwall-last-enclosure/blob/e28f46223e73105ab2c5d83f3d50b99b58ef53e6/codex-3000/compositions/industrie/DW-2169.md</x:v>
      </x:c>
      <x:c r="K2174" t="str">
        <x:v>Source min 70,33 m ; max 70,33 m ; modèle 70 × 33 m ; niveaux 0. Détails dans catalogue-existant.json.</x:v>
      </x:c>
    </x:row>
    <x:row r="2175">
      <x:c r="A2175" t="str">
        <x:v>DW-2170</x:v>
      </x:c>
      <x:c r="B2175" t="str">
        <x:v>DW-0585</x:v>
      </x:c>
      <x:c r="C2175" t="str">
        <x:v>Composition héritée</x:v>
      </x:c>
      <x:c r="D2175" t="str">
        <x:v>industrie</x:v>
      </x:c>
      <x:c r="E2175" t="str">
        <x:v>Carrière — variante 02 — Entrepôt et plateforme logistique / service déplacé à l’arrière</x:v>
      </x:c>
      <x:c r="F2175" t="n">
        <x:v>8</x:v>
      </x:c>
      <x:c r="G2175" t="n">
        <x:v>5</x:v>
      </x:c>
      <x:c r="H2175" t="n">
        <x:v>0</x:v>
      </x:c>
      <x:c r="I2175" t="str">
        <x:v>À qualifier par lieu</x:v>
      </x:c>
      <x:c r="J2175" t="str">
        <x:v>https://github.com/darknigthmare/deadwall-last-enclosure/blob/e28f46223e73105ab2c5d83f3d50b99b58ef53e6/codex-3000/compositions/industrie/DW-2170.md</x:v>
      </x:c>
      <x:c r="K2175" t="str">
        <x:v>Source min 70,33 m ; max 70,33 m ; modèle 70 × 33 m ; niveaux 0. Détails dans catalogue-existant.json.</x:v>
      </x:c>
    </x:row>
    <x:row r="2176">
      <x:c r="A2176" t="str">
        <x:v>DW-2171</x:v>
      </x:c>
      <x:c r="B2176" t="str">
        <x:v>DW-0586</x:v>
      </x:c>
      <x:c r="C2176" t="str">
        <x:v>Composition héritée</x:v>
      </x:c>
      <x:c r="D2176" t="str">
        <x:v>industrie</x:v>
      </x:c>
      <x:c r="E2176" t="str">
        <x:v>Mine — variante 02 — Atelier et artisanat / arrêt de maintenance</x:v>
      </x:c>
      <x:c r="F2176" t="n">
        <x:v>8</x:v>
      </x:c>
      <x:c r="G2176" t="n">
        <x:v>6</x:v>
      </x:c>
      <x:c r="H2176" t="n">
        <x:v>0</x:v>
      </x:c>
      <x:c r="I2176" t="str">
        <x:v>À qualifier par lieu</x:v>
      </x:c>
      <x:c r="J2176" t="str">
        <x:v>https://github.com/darknigthmare/deadwall-last-enclosure/blob/e28f46223e73105ab2c5d83f3d50b99b58ef53e6/codex-3000/compositions/industrie/DW-2171.md</x:v>
      </x:c>
      <x:c r="K2176" t="str">
        <x:v>Source min 81,50 m ; max 81,50 m ; modèle 78 × 50 m ; niveaux 0. Détails dans catalogue-existant.json.</x:v>
      </x:c>
    </x:row>
    <x:row r="2177">
      <x:c r="A2177" t="str">
        <x:v>DW-2172</x:v>
      </x:c>
      <x:c r="B2177" t="str">
        <x:v>DW-0586</x:v>
      </x:c>
      <x:c r="C2177" t="str">
        <x:v>Composition héritée</x:v>
      </x:c>
      <x:c r="D2177" t="str">
        <x:v>industrie</x:v>
      </x:c>
      <x:c r="E2177" t="str">
        <x:v>Mine — variante 02 — Gare et fret / reprise progressive de la végétation</x:v>
      </x:c>
      <x:c r="F2177" t="n">
        <x:v>10</x:v>
      </x:c>
      <x:c r="G2177" t="n">
        <x:v>6</x:v>
      </x:c>
      <x:c r="H2177" t="n">
        <x:v>0</x:v>
      </x:c>
      <x:c r="I2177" t="str">
        <x:v>À qualifier par lieu</x:v>
      </x:c>
      <x:c r="J2177" t="str">
        <x:v>https://github.com/darknigthmare/deadwall-last-enclosure/blob/e28f46223e73105ab2c5d83f3d50b99b58ef53e6/codex-3000/compositions/industrie/DW-2172.md</x:v>
      </x:c>
      <x:c r="K2177" t="str">
        <x:v>Source min 81,50 m ; max 81,50 m ; modèle 78 × 50 m ; niveaux 0. Détails dans catalogue-existant.json.</x:v>
      </x:c>
    </x:row>
    <x:row r="2178">
      <x:c r="A2178" t="str">
        <x:v>DW-2173</x:v>
      </x:c>
      <x:c r="B2178" t="str">
        <x:v>DW-0587</x:v>
      </x:c>
      <x:c r="C2178" t="str">
        <x:v>Composition héritée</x:v>
      </x:c>
      <x:c r="D2178" t="str">
        <x:v>industrie</x:v>
      </x:c>
      <x:c r="E2178" t="str">
        <x:v>Centrale locale — variante 02 — Entrepôt et plateforme logistique / première récupération passée</x:v>
      </x:c>
      <x:c r="F2178" t="n">
        <x:v>8</x:v>
      </x:c>
      <x:c r="G2178" t="n">
        <x:v>5</x:v>
      </x:c>
      <x:c r="H2178" t="n">
        <x:v>0</x:v>
      </x:c>
      <x:c r="I2178" t="str">
        <x:v>À qualifier par lieu</x:v>
      </x:c>
      <x:c r="J2178" t="str">
        <x:v>https://github.com/darknigthmare/deadwall-last-enclosure/blob/e28f46223e73105ab2c5d83f3d50b99b58ef53e6/codex-3000/compositions/industrie/DW-2173.md</x:v>
      </x:c>
      <x:c r="K2178" t="str">
        <x:v>Source min 20,13 m ; max 20,13 m ; modèle 26 × 22 m ; niveaux 0. Détails dans catalogue-existant.json.</x:v>
      </x:c>
    </x:row>
    <x:row r="2179">
      <x:c r="A2179" t="str">
        <x:v>DW-2174</x:v>
      </x:c>
      <x:c r="B2179" t="str">
        <x:v>DW-0587</x:v>
      </x:c>
      <x:c r="C2179" t="str">
        <x:v>Composition héritée</x:v>
      </x:c>
      <x:c r="D2179" t="str">
        <x:v>industrie</x:v>
      </x:c>
      <x:c r="E2179" t="str">
        <x:v>Centrale locale — variante 02 — Zone industrielle / relais temporaire envisagé</x:v>
      </x:c>
      <x:c r="F2179" t="n">
        <x:v>8</x:v>
      </x:c>
      <x:c r="G2179" t="n">
        <x:v>5</x:v>
      </x:c>
      <x:c r="H2179" t="n">
        <x:v>0</x:v>
      </x:c>
      <x:c r="I2179" t="str">
        <x:v>À qualifier par lieu</x:v>
      </x:c>
      <x:c r="J2179" t="str">
        <x:v>https://github.com/darknigthmare/deadwall-last-enclosure/blob/e28f46223e73105ab2c5d83f3d50b99b58ef53e6/codex-3000/compositions/industrie/DW-2174.md</x:v>
      </x:c>
      <x:c r="K2179" t="str">
        <x:v>Source min 20,13 m ; max 20,13 m ; modèle 26 × 22 m ; niveaux 0. Détails dans catalogue-existant.json.</x:v>
      </x:c>
    </x:row>
    <x:row r="2180">
      <x:c r="A2180" t="str">
        <x:v>DW-2175</x:v>
      </x:c>
      <x:c r="B2180" t="str">
        <x:v>DW-0588</x:v>
      </x:c>
      <x:c r="C2180" t="str">
        <x:v>Composition héritée</x:v>
      </x:c>
      <x:c r="D2180" t="str">
        <x:v>industrie</x:v>
      </x:c>
      <x:c r="E2180" t="str">
        <x:v>Station de pompage — variante 02 — Gare et fret / service déplacé à l’arrière</x:v>
      </x:c>
      <x:c r="F2180" t="n">
        <x:v>10</x:v>
      </x:c>
      <x:c r="G2180" t="n">
        <x:v>5</x:v>
      </x:c>
      <x:c r="H2180" t="n">
        <x:v>0</x:v>
      </x:c>
      <x:c r="I2180" t="str">
        <x:v>À qualifier par lieu</x:v>
      </x:c>
      <x:c r="J2180" t="str">
        <x:v>https://github.com/darknigthmare/deadwall-last-enclosure/blob/e28f46223e73105ab2c5d83f3d50b99b58ef53e6/codex-3000/compositions/industrie/DW-2175.md</x:v>
      </x:c>
      <x:c r="K2180" t="str">
        <x:v>Source min 31,30 m ; max 31,30 m ; modèle 31 × 30 m ; niveaux 0. Détails dans catalogue-existant.json.</x:v>
      </x:c>
    </x:row>
    <x:row r="2181">
      <x:c r="A2181" t="str">
        <x:v>DW-2176</x:v>
      </x:c>
      <x:c r="B2181" t="str">
        <x:v>DW-0588</x:v>
      </x:c>
      <x:c r="C2181" t="str">
        <x:v>Composition héritée</x:v>
      </x:c>
      <x:c r="D2181" t="str">
        <x:v>industrie</x:v>
      </x:c>
      <x:c r="E2181" t="str">
        <x:v>Station de pompage — variante 02 — Atelier et artisanat / réseau principal coupé</x:v>
      </x:c>
      <x:c r="F2181" t="n">
        <x:v>8</x:v>
      </x:c>
      <x:c r="G2181" t="n">
        <x:v>5</x:v>
      </x:c>
      <x:c r="H2181" t="n">
        <x:v>0</x:v>
      </x:c>
      <x:c r="I2181" t="str">
        <x:v>À qualifier par lieu</x:v>
      </x:c>
      <x:c r="J2181" t="str">
        <x:v>https://github.com/darknigthmare/deadwall-last-enclosure/blob/e28f46223e73105ab2c5d83f3d50b99b58ef53e6/codex-3000/compositions/industrie/DW-2176.md</x:v>
      </x:c>
      <x:c r="K2181" t="str">
        <x:v>Source min 31,30 m ; max 31,30 m ; modèle 31 × 30 m ; niveaux 0. Détails dans catalogue-existant.json.</x:v>
      </x:c>
    </x:row>
    <x:row r="2182">
      <x:c r="A2182" t="str">
        <x:v>DW-2177</x:v>
      </x:c>
      <x:c r="B2182" t="str">
        <x:v>DW-0589</x:v>
      </x:c>
      <x:c r="C2182" t="str">
        <x:v>Composition héritée</x:v>
      </x:c>
      <x:c r="D2182" t="str">
        <x:v>public</x:v>
      </x:c>
      <x:c r="E2182" t="str">
        <x:v>École — variante 02 — École, mairie et bâtiments civiques / reprise progressive de la végétation</x:v>
      </x:c>
      <x:c r="F2182" t="n">
        <x:v>8</x:v>
      </x:c>
      <x:c r="G2182" t="n">
        <x:v>5</x:v>
      </x:c>
      <x:c r="H2182" t="n">
        <x:v>0</x:v>
      </x:c>
      <x:c r="I2182" t="str">
        <x:v>À qualifier par lieu</x:v>
      </x:c>
      <x:c r="J2182" t="str">
        <x:v>https://github.com/darknigthmare/deadwall-last-enclosure/blob/e28f46223e73105ab2c5d83f3d50b99b58ef53e6/codex-3000/compositions/public/DW-2177.md</x:v>
      </x:c>
      <x:c r="K2182" t="str">
        <x:v>Source min 42,47 m ; max 42,47 m ; modèle 42 × 47 m ; niveaux 0, 1. Détails dans catalogue-existant.json.</x:v>
      </x:c>
    </x:row>
    <x:row r="2183">
      <x:c r="A2183" t="str">
        <x:v>DW-2178</x:v>
      </x:c>
      <x:c r="B2183" t="str">
        <x:v>DW-0589</x:v>
      </x:c>
      <x:c r="C2183" t="str">
        <x:v>Composition héritée</x:v>
      </x:c>
      <x:c r="D2183" t="str">
        <x:v>public</x:v>
      </x:c>
      <x:c r="E2183" t="str">
        <x:v>École — variante 02 — Village et bourg / repli organisé interrompu</x:v>
      </x:c>
      <x:c r="F2183" t="n">
        <x:v>8</x:v>
      </x:c>
      <x:c r="G2183" t="n">
        <x:v>5</x:v>
      </x:c>
      <x:c r="H2183" t="n">
        <x:v>0</x:v>
      </x:c>
      <x:c r="I2183" t="str">
        <x:v>À qualifier par lieu</x:v>
      </x:c>
      <x:c r="J2183" t="str">
        <x:v>https://github.com/darknigthmare/deadwall-last-enclosure/blob/e28f46223e73105ab2c5d83f3d50b99b58ef53e6/codex-3000/compositions/public/DW-2178.md</x:v>
      </x:c>
      <x:c r="K2183" t="str">
        <x:v>Source min 42,47 m ; max 42,47 m ; modèle 42 × 47 m ; niveaux 0, 1. Détails dans catalogue-existant.json.</x:v>
      </x:c>
    </x:row>
    <x:row r="2184">
      <x:c r="A2184" t="str">
        <x:v>DW-2179</x:v>
      </x:c>
      <x:c r="B2184" t="str">
        <x:v>DW-0590</x:v>
      </x:c>
      <x:c r="C2184" t="str">
        <x:v>Composition héritée</x:v>
      </x:c>
      <x:c r="D2184" t="str">
        <x:v>public</x:v>
      </x:c>
      <x:c r="E2184" t="str">
        <x:v>Mairie — variante 02 — Ville moyenne / relais temporaire envisagé</x:v>
      </x:c>
      <x:c r="F2184" t="n">
        <x:v>8</x:v>
      </x:c>
      <x:c r="G2184" t="n">
        <x:v>5</x:v>
      </x:c>
      <x:c r="H2184" t="n">
        <x:v>0</x:v>
      </x:c>
      <x:c r="I2184" t="str">
        <x:v>À qualifier par lieu</x:v>
      </x:c>
      <x:c r="J2184" t="str">
        <x:v>https://github.com/darknigthmare/deadwall-last-enclosure/blob/e28f46223e73105ab2c5d83f3d50b99b58ef53e6/codex-3000/compositions/public/DW-2179.md</x:v>
      </x:c>
      <x:c r="K2184" t="str">
        <x:v>Source min 53,10 m ; max 53,10 m ; modèle 53 × 22 m ; niveaux 0. Détails dans catalogue-existant.json.</x:v>
      </x:c>
    </x:row>
    <x:row r="2185">
      <x:c r="A2185" t="str">
        <x:v>DW-2180</x:v>
      </x:c>
      <x:c r="B2185" t="str">
        <x:v>DW-0590</x:v>
      </x:c>
      <x:c r="C2185" t="str">
        <x:v>Composition héritée</x:v>
      </x:c>
      <x:c r="D2185" t="str">
        <x:v>public</x:v>
      </x:c>
      <x:c r="E2185" t="str">
        <x:v>Mairie — variante 02 — Centre d’évacuation abandonné / évacuation interrompue</x:v>
      </x:c>
      <x:c r="F2185" t="n">
        <x:v>8</x:v>
      </x:c>
      <x:c r="G2185" t="n">
        <x:v>5</x:v>
      </x:c>
      <x:c r="H2185" t="n">
        <x:v>0</x:v>
      </x:c>
      <x:c r="I2185" t="str">
        <x:v>À qualifier par lieu</x:v>
      </x:c>
      <x:c r="J2185" t="str">
        <x:v>https://github.com/darknigthmare/deadwall-last-enclosure/blob/e28f46223e73105ab2c5d83f3d50b99b58ef53e6/codex-3000/compositions/public/DW-2180.md</x:v>
      </x:c>
      <x:c r="K2185" t="str">
        <x:v>Source min 53,10 m ; max 53,10 m ; modèle 53 × 22 m ; niveaux 0. Détails dans catalogue-existant.json.</x:v>
      </x:c>
    </x:row>
    <x:row r="2186">
      <x:c r="A2186" t="str">
        <x:v>DW-2181</x:v>
      </x:c>
      <x:c r="B2186" t="str">
        <x:v>DW-0591</x:v>
      </x:c>
      <x:c r="C2186" t="str">
        <x:v>Composition héritée</x:v>
      </x:c>
      <x:c r="D2186" t="str">
        <x:v>public</x:v>
      </x:c>
      <x:c r="E2186" t="str">
        <x:v>Clinique — variante 02 — Village et bourg / réseau principal coupé</x:v>
      </x:c>
      <x:c r="F2186" t="n">
        <x:v>8</x:v>
      </x:c>
      <x:c r="G2186" t="n">
        <x:v>6</x:v>
      </x:c>
      <x:c r="H2186" t="n">
        <x:v>0</x:v>
      </x:c>
      <x:c r="I2186" t="str">
        <x:v>À qualifier par lieu</x:v>
      </x:c>
      <x:c r="J2186" t="str">
        <x:v>https://github.com/darknigthmare/deadwall-last-enclosure/blob/e28f46223e73105ab2c5d83f3d50b99b58ef53e6/codex-3000/compositions/public/DW-2181.md</x:v>
      </x:c>
      <x:c r="K2186" t="str">
        <x:v>Source min 64,27 m ; max 64,27 m ; modèle 64 × 27 m ; niveaux 0. Détails dans catalogue-existant.json.</x:v>
      </x:c>
    </x:row>
    <x:row r="2187">
      <x:c r="A2187" t="str">
        <x:v>DW-2182</x:v>
      </x:c>
      <x:c r="B2187" t="str">
        <x:v>DW-0591</x:v>
      </x:c>
      <x:c r="C2187" t="str">
        <x:v>Composition héritée</x:v>
      </x:c>
      <x:c r="D2187" t="str">
        <x:v>public</x:v>
      </x:c>
      <x:c r="E2187" t="str">
        <x:v>Clinique — variante 02 — École, mairie et bâtiments civiques / arrêt de maintenance</x:v>
      </x:c>
      <x:c r="F2187" t="n">
        <x:v>8</x:v>
      </x:c>
      <x:c r="G2187" t="n">
        <x:v>6</x:v>
      </x:c>
      <x:c r="H2187" t="n">
        <x:v>0</x:v>
      </x:c>
      <x:c r="I2187" t="str">
        <x:v>À qualifier par lieu</x:v>
      </x:c>
      <x:c r="J2187" t="str">
        <x:v>https://github.com/darknigthmare/deadwall-last-enclosure/blob/e28f46223e73105ab2c5d83f3d50b99b58ef53e6/codex-3000/compositions/public/DW-2182.md</x:v>
      </x:c>
      <x:c r="K2187" t="str">
        <x:v>Source min 64,27 m ; max 64,27 m ; modèle 64 × 27 m ; niveaux 0. Détails dans catalogue-existant.json.</x:v>
      </x:c>
    </x:row>
    <x:row r="2188">
      <x:c r="A2188" t="str">
        <x:v>DW-2183</x:v>
      </x:c>
      <x:c r="B2188" t="str">
        <x:v>DW-0592</x:v>
      </x:c>
      <x:c r="C2188" t="str">
        <x:v>Composition héritée</x:v>
      </x:c>
      <x:c r="D2188" t="str">
        <x:v>public</x:v>
      </x:c>
      <x:c r="E2188" t="str">
        <x:v>Caserne de pompiers — variante 02 — Centre d’évacuation abandonné / repli organisé interrompu</x:v>
      </x:c>
      <x:c r="F2188" t="n">
        <x:v>8</x:v>
      </x:c>
      <x:c r="G2188" t="n">
        <x:v>6</x:v>
      </x:c>
      <x:c r="H2188" t="n">
        <x:v>0</x:v>
      </x:c>
      <x:c r="I2188" t="str">
        <x:v>À qualifier par lieu</x:v>
      </x:c>
      <x:c r="J2188" t="str">
        <x:v>https://github.com/darknigthmare/deadwall-last-enclosure/blob/e28f46223e73105ab2c5d83f3d50b99b58ef53e6/codex-3000/compositions/public/DW-2183.md</x:v>
      </x:c>
      <x:c r="K2188" t="str">
        <x:v>Source min 75,44 m ; max 75,44 m ; modèle 75 × 44 m ; niveaux 0. Détails dans catalogue-existant.json.</x:v>
      </x:c>
    </x:row>
    <x:row r="2189">
      <x:c r="A2189" t="str">
        <x:v>DW-2184</x:v>
      </x:c>
      <x:c r="B2189" t="str">
        <x:v>DW-0592</x:v>
      </x:c>
      <x:c r="C2189" t="str">
        <x:v>Composition héritée</x:v>
      </x:c>
      <x:c r="D2189" t="str">
        <x:v>public</x:v>
      </x:c>
      <x:c r="E2189" t="str">
        <x:v>Caserne de pompiers — variante 02 — Ville moyenne / première récupération passée</x:v>
      </x:c>
      <x:c r="F2189" t="n">
        <x:v>8</x:v>
      </x:c>
      <x:c r="G2189" t="n">
        <x:v>6</x:v>
      </x:c>
      <x:c r="H2189" t="n">
        <x:v>0</x:v>
      </x:c>
      <x:c r="I2189" t="str">
        <x:v>À qualifier par lieu</x:v>
      </x:c>
      <x:c r="J2189" t="str">
        <x:v>https://github.com/darknigthmare/deadwall-last-enclosure/blob/e28f46223e73105ab2c5d83f3d50b99b58ef53e6/codex-3000/compositions/public/DW-2184.md</x:v>
      </x:c>
      <x:c r="K2189" t="str">
        <x:v>Source min 75,44 m ; max 75,44 m ; modèle 75 × 44 m ; niveaux 0. Détails dans catalogue-existant.json.</x:v>
      </x:c>
    </x:row>
    <x:row r="2190">
      <x:c r="A2190" t="str">
        <x:v>DW-2185</x:v>
      </x:c>
      <x:c r="B2190" t="str">
        <x:v>DW-0593</x:v>
      </x:c>
      <x:c r="C2190" t="str">
        <x:v>Composition héritée</x:v>
      </x:c>
      <x:c r="D2190" t="str">
        <x:v>public</x:v>
      </x:c>
      <x:c r="E2190" t="str">
        <x:v>Poste de police — variante 02 — École, mairie et bâtiments civiques / évacuation interrompue</x:v>
      </x:c>
      <x:c r="F2190" t="n">
        <x:v>8</x:v>
      </x:c>
      <x:c r="G2190" t="n">
        <x:v>5</x:v>
      </x:c>
      <x:c r="H2190" t="n">
        <x:v>0</x:v>
      </x:c>
      <x:c r="I2190" t="str">
        <x:v>À qualifier par lieu</x:v>
      </x:c>
      <x:c r="J2190" t="str">
        <x:v>https://github.com/darknigthmare/deadwall-last-enclosure/blob/e28f46223e73105ab2c5d83f3d50b99b58ef53e6/codex-3000/compositions/public/DW-2185.md</x:v>
      </x:c>
      <x:c r="K2190" t="str">
        <x:v>Source min 14,61 m ; max 14,61 m ; modèle 26 × 61 m ; niveaux 0, 1. Détails dans catalogue-existant.json.</x:v>
      </x:c>
    </x:row>
    <x:row r="2191">
      <x:c r="A2191" t="str">
        <x:v>DW-2186</x:v>
      </x:c>
      <x:c r="B2191" t="str">
        <x:v>DW-0593</x:v>
      </x:c>
      <x:c r="C2191" t="str">
        <x:v>Composition héritée</x:v>
      </x:c>
      <x:c r="D2191" t="str">
        <x:v>public</x:v>
      </x:c>
      <x:c r="E2191" t="str">
        <x:v>Poste de police — variante 02 — Village et bourg / service déplacé à l’arrière</x:v>
      </x:c>
      <x:c r="F2191" t="n">
        <x:v>8</x:v>
      </x:c>
      <x:c r="G2191" t="n">
        <x:v>5</x:v>
      </x:c>
      <x:c r="H2191" t="n">
        <x:v>0</x:v>
      </x:c>
      <x:c r="I2191" t="str">
        <x:v>À qualifier par lieu</x:v>
      </x:c>
      <x:c r="J2191" t="str">
        <x:v>https://github.com/darknigthmare/deadwall-last-enclosure/blob/e28f46223e73105ab2c5d83f3d50b99b58ef53e6/codex-3000/compositions/public/DW-2186.md</x:v>
      </x:c>
      <x:c r="K2191" t="str">
        <x:v>Source min 14,61 m ; max 14,61 m ; modèle 26 × 61 m ; niveaux 0, 1. Détails dans catalogue-existant.json.</x:v>
      </x:c>
    </x:row>
    <x:row r="2192">
      <x:c r="A2192" t="str">
        <x:v>DW-2187</x:v>
      </x:c>
      <x:c r="B2192" t="str">
        <x:v>DW-0594</x:v>
      </x:c>
      <x:c r="C2192" t="str">
        <x:v>Composition héritée</x:v>
      </x:c>
      <x:c r="D2192" t="str">
        <x:v>public</x:v>
      </x:c>
      <x:c r="E2192" t="str">
        <x:v>Bibliothèque — variante 02 — Ville moyenne / arrêt de maintenance</x:v>
      </x:c>
      <x:c r="F2192" t="n">
        <x:v>8</x:v>
      </x:c>
      <x:c r="G2192" t="n">
        <x:v>5</x:v>
      </x:c>
      <x:c r="H2192" t="n">
        <x:v>0</x:v>
      </x:c>
      <x:c r="I2192" t="str">
        <x:v>À qualifier par lieu</x:v>
      </x:c>
      <x:c r="J2192" t="str">
        <x:v>https://github.com/darknigthmare/deadwall-last-enclosure/blob/e28f46223e73105ab2c5d83f3d50b99b58ef53e6/codex-3000/compositions/public/DW-2187.md</x:v>
      </x:c>
      <x:c r="K2192" t="str">
        <x:v>Source min 25,24 m ; max 25,24 m ; modèle 26 × 24 m ; niveaux 0. Détails dans catalogue-existant.json.</x:v>
      </x:c>
    </x:row>
    <x:row r="2193">
      <x:c r="A2193" t="str">
        <x:v>DW-2188</x:v>
      </x:c>
      <x:c r="B2193" t="str">
        <x:v>DW-0594</x:v>
      </x:c>
      <x:c r="C2193" t="str">
        <x:v>Composition héritée</x:v>
      </x:c>
      <x:c r="D2193" t="str">
        <x:v>public</x:v>
      </x:c>
      <x:c r="E2193" t="str">
        <x:v>Bibliothèque — variante 02 — Centre d’évacuation abandonné / reprise progressive de la végétation</x:v>
      </x:c>
      <x:c r="F2193" t="n">
        <x:v>8</x:v>
      </x:c>
      <x:c r="G2193" t="n">
        <x:v>5</x:v>
      </x:c>
      <x:c r="H2193" t="n">
        <x:v>0</x:v>
      </x:c>
      <x:c r="I2193" t="str">
        <x:v>À qualifier par lieu</x:v>
      </x:c>
      <x:c r="J2193" t="str">
        <x:v>https://github.com/darknigthmare/deadwall-last-enclosure/blob/e28f46223e73105ab2c5d83f3d50b99b58ef53e6/codex-3000/compositions/public/DW-2188.md</x:v>
      </x:c>
      <x:c r="K2193" t="str">
        <x:v>Source min 25,24 m ; max 25,24 m ; modèle 26 × 24 m ; niveaux 0. Détails dans catalogue-existant.json.</x:v>
      </x:c>
    </x:row>
    <x:row r="2194">
      <x:c r="A2194" t="str">
        <x:v>DW-2189</x:v>
      </x:c>
      <x:c r="B2194" t="str">
        <x:v>DW-0595</x:v>
      </x:c>
      <x:c r="C2194" t="str">
        <x:v>Composition héritée</x:v>
      </x:c>
      <x:c r="D2194" t="str">
        <x:v>public</x:v>
      </x:c>
      <x:c r="E2194" t="str">
        <x:v>Salle des fêtes — variante 02 — Village et bourg / première récupération passée</x:v>
      </x:c>
      <x:c r="F2194" t="n">
        <x:v>8</x:v>
      </x:c>
      <x:c r="G2194" t="n">
        <x:v>5</x:v>
      </x:c>
      <x:c r="H2194" t="n">
        <x:v>0</x:v>
      </x:c>
      <x:c r="I2194" t="str">
        <x:v>À qualifier par lieu</x:v>
      </x:c>
      <x:c r="J2194" t="str">
        <x:v>https://github.com/darknigthmare/deadwall-last-enclosure/blob/e28f46223e73105ab2c5d83f3d50b99b58ef53e6/codex-3000/compositions/public/DW-2189.md</x:v>
      </x:c>
      <x:c r="K2194" t="str">
        <x:v>Source min 36,41 m ; max 36,41 m ; modèle 36 × 41 m ; niveaux 0. Détails dans catalogue-existant.json.</x:v>
      </x:c>
    </x:row>
    <x:row r="2195">
      <x:c r="A2195" t="str">
        <x:v>DW-2190</x:v>
      </x:c>
      <x:c r="B2195" t="str">
        <x:v>DW-0595</x:v>
      </x:c>
      <x:c r="C2195" t="str">
        <x:v>Composition héritée</x:v>
      </x:c>
      <x:c r="D2195" t="str">
        <x:v>public</x:v>
      </x:c>
      <x:c r="E2195" t="str">
        <x:v>Salle des fêtes — variante 02 — École, mairie et bâtiments civiques / relais temporaire envisagé</x:v>
      </x:c>
      <x:c r="F2195" t="n">
        <x:v>8</x:v>
      </x:c>
      <x:c r="G2195" t="n">
        <x:v>5</x:v>
      </x:c>
      <x:c r="H2195" t="n">
        <x:v>0</x:v>
      </x:c>
      <x:c r="I2195" t="str">
        <x:v>À qualifier par lieu</x:v>
      </x:c>
      <x:c r="J2195" t="str">
        <x:v>https://github.com/darknigthmare/deadwall-last-enclosure/blob/e28f46223e73105ab2c5d83f3d50b99b58ef53e6/codex-3000/compositions/public/DW-2190.md</x:v>
      </x:c>
      <x:c r="K2195" t="str">
        <x:v>Source min 36,41 m ; max 36,41 m ; modèle 36 × 41 m ; niveaux 0. Détails dans catalogue-existant.json.</x:v>
      </x:c>
    </x:row>
    <x:row r="2196">
      <x:c r="A2196" t="str">
        <x:v>DW-2191</x:v>
      </x:c>
      <x:c r="B2196" t="str">
        <x:v>DW-0596</x:v>
      </x:c>
      <x:c r="C2196" t="str">
        <x:v>Composition héritée</x:v>
      </x:c>
      <x:c r="D2196" t="str">
        <x:v>public</x:v>
      </x:c>
      <x:c r="E2196" t="str">
        <x:v>Église et presbytère — variante 02 — Centre d’évacuation abandonné / service déplacé à l’arrière</x:v>
      </x:c>
      <x:c r="F2196" t="n">
        <x:v>8</x:v>
      </x:c>
      <x:c r="G2196" t="n">
        <x:v>5</x:v>
      </x:c>
      <x:c r="H2196" t="n">
        <x:v>0</x:v>
      </x:c>
      <x:c r="I2196" t="str">
        <x:v>À qualifier par lieu</x:v>
      </x:c>
      <x:c r="J2196" t="str">
        <x:v>https://github.com/darknigthmare/deadwall-last-enclosure/blob/e28f46223e73105ab2c5d83f3d50b99b58ef53e6/codex-3000/compositions/public/DW-2191.md</x:v>
      </x:c>
      <x:c r="K2196" t="str">
        <x:v>Source min 47,58 m ; max 47,58 m ; modèle 47 × 58 m ; niveaux 0. Détails dans catalogue-existant.json.</x:v>
      </x:c>
    </x:row>
    <x:row r="2197">
      <x:c r="A2197" t="str">
        <x:v>DW-2192</x:v>
      </x:c>
      <x:c r="B2197" t="str">
        <x:v>DW-0596</x:v>
      </x:c>
      <x:c r="C2197" t="str">
        <x:v>Composition héritée</x:v>
      </x:c>
      <x:c r="D2197" t="str">
        <x:v>public</x:v>
      </x:c>
      <x:c r="E2197" t="str">
        <x:v>Église et presbytère — variante 02 — Ville moyenne / réseau principal coupé</x:v>
      </x:c>
      <x:c r="F2197" t="n">
        <x:v>8</x:v>
      </x:c>
      <x:c r="G2197" t="n">
        <x:v>5</x:v>
      </x:c>
      <x:c r="H2197" t="n">
        <x:v>0</x:v>
      </x:c>
      <x:c r="I2197" t="str">
        <x:v>À qualifier par lieu</x:v>
      </x:c>
      <x:c r="J2197" t="str">
        <x:v>https://github.com/darknigthmare/deadwall-last-enclosure/blob/e28f46223e73105ab2c5d83f3d50b99b58ef53e6/codex-3000/compositions/public/DW-2192.md</x:v>
      </x:c>
      <x:c r="K2197" t="str">
        <x:v>Source min 47,58 m ; max 47,58 m ; modèle 47 × 58 m ; niveaux 0. Détails dans catalogue-existant.json.</x:v>
      </x:c>
    </x:row>
    <x:row r="2198">
      <x:c r="A2198" t="str">
        <x:v>DW-2193</x:v>
      </x:c>
      <x:c r="B2198" t="str">
        <x:v>DW-0597</x:v>
      </x:c>
      <x:c r="C2198" t="str">
        <x:v>Composition héritée</x:v>
      </x:c>
      <x:c r="D2198" t="str">
        <x:v>rural</x:v>
      </x:c>
      <x:c r="E2198" t="str">
        <x:v>Hameau agricole — variante 02 — Ferme, verger et pâtures / reprise progressive de la végétation</x:v>
      </x:c>
      <x:c r="F2198" t="n">
        <x:v>8</x:v>
      </x:c>
      <x:c r="G2198" t="n">
        <x:v>6</x:v>
      </x:c>
      <x:c r="H2198" t="n">
        <x:v>0</x:v>
      </x:c>
      <x:c r="I2198" t="str">
        <x:v>À qualifier par lieu</x:v>
      </x:c>
      <x:c r="J2198" t="str">
        <x:v>https://github.com/darknigthmare/deadwall-last-enclosure/blob/e28f46223e73105ab2c5d83f3d50b99b58ef53e6/codex-3000/compositions/rural/DW-2193.md</x:v>
      </x:c>
      <x:c r="K2198" t="str">
        <x:v>Source min 58,21 m ; max 58,21 m ; modèle 58 × 22 m ; niveaux 0. Détails dans catalogue-existant.json.</x:v>
      </x:c>
    </x:row>
    <x:row r="2199">
      <x:c r="A2199" t="str">
        <x:v>DW-2194</x:v>
      </x:c>
      <x:c r="B2199" t="str">
        <x:v>DW-0597</x:v>
      </x:c>
      <x:c r="C2199" t="str">
        <x:v>Composition héritée</x:v>
      </x:c>
      <x:c r="D2199" t="str">
        <x:v>rural</x:v>
      </x:c>
      <x:c r="E2199" t="str">
        <x:v>Hameau agricole — variante 02 — Petit bois et lisière / repli organisé interrompu</x:v>
      </x:c>
      <x:c r="F2199" t="n">
        <x:v>8</x:v>
      </x:c>
      <x:c r="G2199" t="n">
        <x:v>6</x:v>
      </x:c>
      <x:c r="H2199" t="n">
        <x:v>0</x:v>
      </x:c>
      <x:c r="I2199" t="str">
        <x:v>À qualifier par lieu</x:v>
      </x:c>
      <x:c r="J2199" t="str">
        <x:v>https://github.com/darknigthmare/deadwall-last-enclosure/blob/e28f46223e73105ab2c5d83f3d50b99b58ef53e6/codex-3000/compositions/rural/DW-2194.md</x:v>
      </x:c>
      <x:c r="K2199" t="str">
        <x:v>Source min 58,21 m ; max 58,21 m ; modèle 58 × 22 m ; niveaux 0. Détails dans catalogue-existant.json.</x:v>
      </x:c>
    </x:row>
    <x:row r="2200">
      <x:c r="A2200" t="str">
        <x:v>DW-2195</x:v>
      </x:c>
      <x:c r="B2200" t="str">
        <x:v>DW-0598</x:v>
      </x:c>
      <x:c r="C2200" t="str">
        <x:v>Composition héritée</x:v>
      </x:c>
      <x:c r="D2200" t="str">
        <x:v>rural</x:v>
      </x:c>
      <x:c r="E2200" t="str">
        <x:v>Cabane forestière — variante 02 — Prairie et friche ouverte / relais temporaire envisagé</x:v>
      </x:c>
      <x:c r="F2200" t="n">
        <x:v>8</x:v>
      </x:c>
      <x:c r="G2200" t="n">
        <x:v>4</x:v>
      </x:c>
      <x:c r="H2200" t="n">
        <x:v>0</x:v>
      </x:c>
      <x:c r="I2200" t="str">
        <x:v>À qualifier par lieu</x:v>
      </x:c>
      <x:c r="J2200" t="str">
        <x:v>https://github.com/darknigthmare/deadwall-last-enclosure/blob/e28f46223e73105ab2c5d83f3d50b99b58ef53e6/codex-3000/compositions/rural/DW-2195.md</x:v>
      </x:c>
      <x:c r="K2200" t="str">
        <x:v>Source min 69,38 m ; max 69,38 m ; modèle 69 × 38 m ; niveaux 0. Détails dans catalogue-existant.json.</x:v>
      </x:c>
    </x:row>
    <x:row r="2201">
      <x:c r="A2201" t="str">
        <x:v>DW-2196</x:v>
      </x:c>
      <x:c r="B2201" t="str">
        <x:v>DW-0598</x:v>
      </x:c>
      <x:c r="C2201" t="str">
        <x:v>Composition héritée</x:v>
      </x:c>
      <x:c r="D2201" t="str">
        <x:v>rural</x:v>
      </x:c>
      <x:c r="E2201" t="str">
        <x:v>Cabane forestière — variante 02 — Hameau / évacuation interrompue</x:v>
      </x:c>
      <x:c r="F2201" t="n">
        <x:v>8</x:v>
      </x:c>
      <x:c r="G2201" t="n">
        <x:v>4</x:v>
      </x:c>
      <x:c r="H2201" t="n">
        <x:v>0</x:v>
      </x:c>
      <x:c r="I2201" t="str">
        <x:v>À qualifier par lieu</x:v>
      </x:c>
      <x:c r="J2201" t="str">
        <x:v>https://github.com/darknigthmare/deadwall-last-enclosure/blob/e28f46223e73105ab2c5d83f3d50b99b58ef53e6/codex-3000/compositions/rural/DW-2196.md</x:v>
      </x:c>
      <x:c r="K2201" t="str">
        <x:v>Source min 69,38 m ; max 69,38 m ; modèle 69 × 38 m ; niveaux 0. Détails dans catalogue-existant.json.</x:v>
      </x:c>
    </x:row>
    <x:row r="2202">
      <x:c r="A2202" t="str">
        <x:v>DW-2197</x:v>
      </x:c>
      <x:c r="B2202" t="str">
        <x:v>DW-0599</x:v>
      </x:c>
      <x:c r="C2202" t="str">
        <x:v>Composition héritée</x:v>
      </x:c>
      <x:c r="D2202" t="str">
        <x:v>rural</x:v>
      </x:c>
      <x:c r="E2202" t="str">
        <x:v>Dépôt forestier — variante 02 — Petit bois et lisière / réseau principal coupé</x:v>
      </x:c>
      <x:c r="F2202" t="n">
        <x:v>8</x:v>
      </x:c>
      <x:c r="G2202" t="n">
        <x:v>5</x:v>
      </x:c>
      <x:c r="H2202" t="n">
        <x:v>0</x:v>
      </x:c>
      <x:c r="I2202" t="str">
        <x:v>À qualifier par lieu</x:v>
      </x:c>
      <x:c r="J2202" t="str">
        <x:v>https://github.com/darknigthmare/deadwall-last-enclosure/blob/e28f46223e73105ab2c5d83f3d50b99b58ef53e6/codex-3000/compositions/rural/DW-2197.md</x:v>
      </x:c>
      <x:c r="K2202" t="str">
        <x:v>Source min 80,55 m ; max 80,55 m ; modèle 78 × 55 m ; niveaux 0. Détails dans catalogue-existant.json.</x:v>
      </x:c>
    </x:row>
    <x:row r="2203">
      <x:c r="A2203" t="str">
        <x:v>DW-2198</x:v>
      </x:c>
      <x:c r="B2203" t="str">
        <x:v>DW-0599</x:v>
      </x:c>
      <x:c r="C2203" t="str">
        <x:v>Composition héritée</x:v>
      </x:c>
      <x:c r="D2203" t="str">
        <x:v>rural</x:v>
      </x:c>
      <x:c r="E2203" t="str">
        <x:v>Dépôt forestier — variante 02 — Ferme, verger et pâtures / arrêt de maintenance</x:v>
      </x:c>
      <x:c r="F2203" t="n">
        <x:v>8</x:v>
      </x:c>
      <x:c r="G2203" t="n">
        <x:v>5</x:v>
      </x:c>
      <x:c r="H2203" t="n">
        <x:v>0</x:v>
      </x:c>
      <x:c r="I2203" t="str">
        <x:v>À qualifier par lieu</x:v>
      </x:c>
      <x:c r="J2203" t="str">
        <x:v>https://github.com/darknigthmare/deadwall-last-enclosure/blob/e28f46223e73105ab2c5d83f3d50b99b58ef53e6/codex-3000/compositions/rural/DW-2198.md</x:v>
      </x:c>
      <x:c r="K2203" t="str">
        <x:v>Source min 80,55 m ; max 80,55 m ; modèle 78 × 55 m ; niveaux 0. Détails dans catalogue-existant.json.</x:v>
      </x:c>
    </x:row>
    <x:row r="2204">
      <x:c r="A2204" t="str">
        <x:v>DW-2199</x:v>
      </x:c>
      <x:c r="B2204" t="str">
        <x:v>DW-0600</x:v>
      </x:c>
      <x:c r="C2204" t="str">
        <x:v>Composition héritée</x:v>
      </x:c>
      <x:c r="D2204" t="str">
        <x:v>rural</x:v>
      </x:c>
      <x:c r="E2204" t="str">
        <x:v>Ferme céréalière — variante 02 — Hameau / repli organisé interrompu</x:v>
      </x:c>
      <x:c r="F2204" t="n">
        <x:v>8</x:v>
      </x:c>
      <x:c r="G2204" t="n">
        <x:v>5</x:v>
      </x:c>
      <x:c r="H2204" t="n">
        <x:v>0</x:v>
      </x:c>
      <x:c r="I2204" t="str">
        <x:v>À qualifier par lieu</x:v>
      </x:c>
      <x:c r="J2204" t="str">
        <x:v>https://github.com/darknigthmare/deadwall-last-enclosure/blob/e28f46223e73105ab2c5d83f3d50b99b58ef53e6/codex-3000/compositions/rural/DW-2199.md</x:v>
      </x:c>
      <x:c r="K2204" t="str">
        <x:v>Source min 19,18 m ; max 19,18 m ; modèle 26 × 22 m ; niveaux 0. Détails dans catalogue-existant.json.</x:v>
      </x:c>
    </x:row>
    <x:row r="2205">
      <x:c r="A2205" t="str">
        <x:v>DW-2200</x:v>
      </x:c>
      <x:c r="B2205" t="str">
        <x:v>DW-0600</x:v>
      </x:c>
      <x:c r="C2205" t="str">
        <x:v>Composition héritée</x:v>
      </x:c>
      <x:c r="D2205" t="str">
        <x:v>rural</x:v>
      </x:c>
      <x:c r="E2205" t="str">
        <x:v>Ferme céréalière — variante 02 — Prairie et friche ouverte / première récupération passée</x:v>
      </x:c>
      <x:c r="F2205" t="n">
        <x:v>8</x:v>
      </x:c>
      <x:c r="G2205" t="n">
        <x:v>5</x:v>
      </x:c>
      <x:c r="H2205" t="n">
        <x:v>0</x:v>
      </x:c>
      <x:c r="I2205" t="str">
        <x:v>À qualifier par lieu</x:v>
      </x:c>
      <x:c r="J2205" t="str">
        <x:v>https://github.com/darknigthmare/deadwall-last-enclosure/blob/e28f46223e73105ab2c5d83f3d50b99b58ef53e6/codex-3000/compositions/rural/DW-2200.md</x:v>
      </x:c>
      <x:c r="K2205" t="str">
        <x:v>Source min 19,18 m ; max 19,18 m ; modèle 26 × 22 m ; niveaux 0. Détails dans catalogue-existant.json.</x:v>
      </x:c>
    </x:row>
    <x:row r="2206">
      <x:c r="A2206" t="str">
        <x:v>DW-2201</x:v>
      </x:c>
      <x:c r="B2206" t="str">
        <x:v>DW-0601</x:v>
      </x:c>
      <x:c r="C2206" t="str">
        <x:v>Composition héritée</x:v>
      </x:c>
      <x:c r="D2206" t="str">
        <x:v>rural</x:v>
      </x:c>
      <x:c r="E2206" t="str">
        <x:v>Ferme d'élevage — variante 02 — Ferme, verger et pâtures / évacuation interrompue</x:v>
      </x:c>
      <x:c r="F2206" t="n">
        <x:v>8</x:v>
      </x:c>
      <x:c r="G2206" t="n">
        <x:v>5</x:v>
      </x:c>
      <x:c r="H2206" t="n">
        <x:v>0</x:v>
      </x:c>
      <x:c r="I2206" t="str">
        <x:v>À qualifier par lieu</x:v>
      </x:c>
      <x:c r="J2206" t="str">
        <x:v>https://github.com/darknigthmare/deadwall-last-enclosure/blob/e28f46223e73105ab2c5d83f3d50b99b58ef53e6/codex-3000/compositions/rural/DW-2201.md</x:v>
      </x:c>
      <x:c r="K2206" t="str">
        <x:v>Source min 30,35 m ; max 30,35 m ; modèle 30 × 35 m ; niveaux 0. Détails dans catalogue-existant.json.</x:v>
      </x:c>
    </x:row>
    <x:row r="2207">
      <x:c r="A2207" t="str">
        <x:v>DW-2202</x:v>
      </x:c>
      <x:c r="B2207" t="str">
        <x:v>DW-0601</x:v>
      </x:c>
      <x:c r="C2207" t="str">
        <x:v>Composition héritée</x:v>
      </x:c>
      <x:c r="D2207" t="str">
        <x:v>rural</x:v>
      </x:c>
      <x:c r="E2207" t="str">
        <x:v>Ferme d'élevage — variante 02 — Petit bois et lisière / service déplacé à l’arrière</x:v>
      </x:c>
      <x:c r="F2207" t="n">
        <x:v>8</x:v>
      </x:c>
      <x:c r="G2207" t="n">
        <x:v>5</x:v>
      </x:c>
      <x:c r="H2207" t="n">
        <x:v>0</x:v>
      </x:c>
      <x:c r="I2207" t="str">
        <x:v>À qualifier par lieu</x:v>
      </x:c>
      <x:c r="J2207" t="str">
        <x:v>https://github.com/darknigthmare/deadwall-last-enclosure/blob/e28f46223e73105ab2c5d83f3d50b99b58ef53e6/codex-3000/compositions/rural/DW-2202.md</x:v>
      </x:c>
      <x:c r="K2207" t="str">
        <x:v>Source min 30,35 m ; max 30,35 m ; modèle 30 × 35 m ; niveaux 0. Détails dans catalogue-existant.json.</x:v>
      </x:c>
    </x:row>
    <x:row r="2208">
      <x:c r="A2208" t="str">
        <x:v>DW-2203</x:v>
      </x:c>
      <x:c r="B2208" t="str">
        <x:v>DW-0602</x:v>
      </x:c>
      <x:c r="C2208" t="str">
        <x:v>Composition héritée</x:v>
      </x:c>
      <x:c r="D2208" t="str">
        <x:v>rural</x:v>
      </x:c>
      <x:c r="E2208" t="str">
        <x:v>Relais de chasse — variante 02 — Prairie et friche ouverte / arrêt de maintenance</x:v>
      </x:c>
      <x:c r="F2208" t="n">
        <x:v>8</x:v>
      </x:c>
      <x:c r="G2208" t="n">
        <x:v>4</x:v>
      </x:c>
      <x:c r="H2208" t="n">
        <x:v>0</x:v>
      </x:c>
      <x:c r="I2208" t="str">
        <x:v>À qualifier par lieu</x:v>
      </x:c>
      <x:c r="J2208" t="str">
        <x:v>https://github.com/darknigthmare/deadwall-last-enclosure/blob/e28f46223e73105ab2c5d83f3d50b99b58ef53e6/codex-3000/compositions/rural/DW-2203.md</x:v>
      </x:c>
      <x:c r="K2208" t="str">
        <x:v>Source min 41,52 m ; max 41,52 m ; modèle 41 × 52 m ; niveaux 0. Détails dans catalogue-existant.json.</x:v>
      </x:c>
    </x:row>
    <x:row r="2209">
      <x:c r="A2209" t="str">
        <x:v>DW-2204</x:v>
      </x:c>
      <x:c r="B2209" t="str">
        <x:v>DW-0602</x:v>
      </x:c>
      <x:c r="C2209" t="str">
        <x:v>Composition héritée</x:v>
      </x:c>
      <x:c r="D2209" t="str">
        <x:v>rural</x:v>
      </x:c>
      <x:c r="E2209" t="str">
        <x:v>Relais de chasse — variante 02 — Hameau / reprise progressive de la végétation</x:v>
      </x:c>
      <x:c r="F2209" t="n">
        <x:v>8</x:v>
      </x:c>
      <x:c r="G2209" t="n">
        <x:v>4</x:v>
      </x:c>
      <x:c r="H2209" t="n">
        <x:v>0</x:v>
      </x:c>
      <x:c r="I2209" t="str">
        <x:v>À qualifier par lieu</x:v>
      </x:c>
      <x:c r="J2209" t="str">
        <x:v>https://github.com/darknigthmare/deadwall-last-enclosure/blob/e28f46223e73105ab2c5d83f3d50b99b58ef53e6/codex-3000/compositions/rural/DW-2204.md</x:v>
      </x:c>
      <x:c r="K2209" t="str">
        <x:v>Source min 41,52 m ; max 41,52 m ; modèle 41 × 52 m ; niveaux 0. Détails dans catalogue-existant.json.</x:v>
      </x:c>
    </x:row>
    <x:row r="2210">
      <x:c r="A2210" t="str">
        <x:v>DW-2205</x:v>
      </x:c>
      <x:c r="B2210" t="str">
        <x:v>DW-0603</x:v>
      </x:c>
      <x:c r="C2210" t="str">
        <x:v>Composition héritée</x:v>
      </x:c>
      <x:c r="D2210" t="str">
        <x:v>rural</x:v>
      </x:c>
      <x:c r="E2210" t="str">
        <x:v>Moulin rural — variante 02 — Petit bois et lisière / première récupération passée</x:v>
      </x:c>
      <x:c r="F2210" t="n">
        <x:v>8</x:v>
      </x:c>
      <x:c r="G2210" t="n">
        <x:v>4</x:v>
      </x:c>
      <x:c r="H2210" t="n">
        <x:v>0</x:v>
      </x:c>
      <x:c r="I2210" t="str">
        <x:v>À qualifier par lieu</x:v>
      </x:c>
      <x:c r="J2210" t="str">
        <x:v>https://github.com/darknigthmare/deadwall-last-enclosure/blob/e28f46223e73105ab2c5d83f3d50b99b58ef53e6/codex-3000/compositions/rural/DW-2205.md</x:v>
      </x:c>
      <x:c r="K2210" t="str">
        <x:v>Source min 52,15 m ; max 52,15 m ; modèle 52 × 18 m ; niveaux 0. Détails dans catalogue-existant.json.</x:v>
      </x:c>
    </x:row>
    <x:row r="2211">
      <x:c r="A2211" t="str">
        <x:v>DW-2206</x:v>
      </x:c>
      <x:c r="B2211" t="str">
        <x:v>DW-0603</x:v>
      </x:c>
      <x:c r="C2211" t="str">
        <x:v>Composition héritée</x:v>
      </x:c>
      <x:c r="D2211" t="str">
        <x:v>rural</x:v>
      </x:c>
      <x:c r="E2211" t="str">
        <x:v>Moulin rural — variante 02 — Ferme, verger et pâtures / relais temporaire envisagé</x:v>
      </x:c>
      <x:c r="F2211" t="n">
        <x:v>8</x:v>
      </x:c>
      <x:c r="G2211" t="n">
        <x:v>4</x:v>
      </x:c>
      <x:c r="H2211" t="n">
        <x:v>0</x:v>
      </x:c>
      <x:c r="I2211" t="str">
        <x:v>À qualifier par lieu</x:v>
      </x:c>
      <x:c r="J2211" t="str">
        <x:v>https://github.com/darknigthmare/deadwall-last-enclosure/blob/e28f46223e73105ab2c5d83f3d50b99b58ef53e6/codex-3000/compositions/rural/DW-2206.md</x:v>
      </x:c>
      <x:c r="K2211" t="str">
        <x:v>Source min 52,15 m ; max 52,15 m ; modèle 52 × 18 m ; niveaux 0. Détails dans catalogue-existant.json.</x:v>
      </x:c>
    </x:row>
    <x:row r="2212">
      <x:c r="A2212" t="str">
        <x:v>DW-2207</x:v>
      </x:c>
      <x:c r="B2212" t="str">
        <x:v>DW-0604</x:v>
      </x:c>
      <x:c r="C2212" t="str">
        <x:v>Composition héritée</x:v>
      </x:c>
      <x:c r="D2212" t="str">
        <x:v>rural</x:v>
      </x:c>
      <x:c r="E2212" t="str">
        <x:v>Serres maraîchères — variante 02 — Hameau / service déplacé à l’arrière</x:v>
      </x:c>
      <x:c r="F2212" t="n">
        <x:v>8</x:v>
      </x:c>
      <x:c r="G2212" t="n">
        <x:v>5</x:v>
      </x:c>
      <x:c r="H2212" t="n">
        <x:v>0</x:v>
      </x:c>
      <x:c r="I2212" t="str">
        <x:v>À qualifier par lieu</x:v>
      </x:c>
      <x:c r="J2212" t="str">
        <x:v>https://github.com/darknigthmare/deadwall-last-enclosure/blob/e28f46223e73105ab2c5d83f3d50b99b58ef53e6/codex-3000/compositions/rural/DW-2207.md</x:v>
      </x:c>
      <x:c r="K2212" t="str">
        <x:v>Source min 63,32 m ; max 63,32 m ; modèle 63 × 32 m ; niveaux 0. Détails dans catalogue-existant.json.</x:v>
      </x:c>
    </x:row>
    <x:row r="2213">
      <x:c r="A2213" t="str">
        <x:v>DW-2208</x:v>
      </x:c>
      <x:c r="B2213" t="str">
        <x:v>DW-0604</x:v>
      </x:c>
      <x:c r="C2213" t="str">
        <x:v>Composition héritée</x:v>
      </x:c>
      <x:c r="D2213" t="str">
        <x:v>rural</x:v>
      </x:c>
      <x:c r="E2213" t="str">
        <x:v>Serres maraîchères — variante 02 — Prairie et friche ouverte / réseau principal coupé</x:v>
      </x:c>
      <x:c r="F2213" t="n">
        <x:v>8</x:v>
      </x:c>
      <x:c r="G2213" t="n">
        <x:v>5</x:v>
      </x:c>
      <x:c r="H2213" t="n">
        <x:v>0</x:v>
      </x:c>
      <x:c r="I2213" t="str">
        <x:v>À qualifier par lieu</x:v>
      </x:c>
      <x:c r="J2213" t="str">
        <x:v>https://github.com/darknigthmare/deadwall-last-enclosure/blob/e28f46223e73105ab2c5d83f3d50b99b58ef53e6/codex-3000/compositions/rural/DW-2208.md</x:v>
      </x:c>
      <x:c r="K2213" t="str">
        <x:v>Source min 63,32 m ; max 63,32 m ; modèle 63 × 32 m ; niveaux 0. Détails dans catalogue-existant.json.</x:v>
      </x:c>
    </x:row>
    <x:row r="2214">
      <x:c r="A2214" t="str">
        <x:v>DW-2209</x:v>
      </x:c>
      <x:c r="B2214" t="str">
        <x:v>DW-0605</x:v>
      </x:c>
      <x:c r="C2214" t="str">
        <x:v>Composition héritée</x:v>
      </x:c>
      <x:c r="D2214" t="str">
        <x:v>militaire</x:v>
      </x:c>
      <x:c r="E2214" t="str">
        <x:v>Bunker de défense civile — variante 02 — Grand camp allié / reprise progressive de la végétation</x:v>
      </x:c>
      <x:c r="F2214" t="n">
        <x:v>10</x:v>
      </x:c>
      <x:c r="G2214" t="n">
        <x:v>6</x:v>
      </x:c>
      <x:c r="H2214" t="n">
        <x:v>0</x:v>
      </x:c>
      <x:c r="I2214" t="str">
        <x:v>À qualifier par lieu</x:v>
      </x:c>
      <x:c r="J2214" t="str">
        <x:v>https://github.com/darknigthmare/deadwall-last-enclosure/blob/e28f46223e73105ab2c5d83f3d50b99b58ef53e6/codex-3000/compositions/militaire/DW-2209.md</x:v>
      </x:c>
      <x:c r="K2214" t="str">
        <x:v>Source min 74,49 m ; max 74,49 m ; modèle 74 × 49 m ; niveaux 0, 1. Détails dans catalogue-existant.json.</x:v>
      </x:c>
    </x:row>
    <x:row r="2215">
      <x:c r="A2215" t="str">
        <x:v>DW-2210</x:v>
      </x:c>
      <x:c r="B2215" t="str">
        <x:v>DW-0605</x:v>
      </x:c>
      <x:c r="C2215" t="str">
        <x:v>Composition héritée</x:v>
      </x:c>
      <x:c r="D2215" t="str">
        <x:v>militaire</x:v>
      </x:c>
      <x:c r="E2215" t="str">
        <x:v>Bunker de défense civile — variante 02 — Camp de fortune / repli organisé interrompu</x:v>
      </x:c>
      <x:c r="F2215" t="n">
        <x:v>8</x:v>
      </x:c>
      <x:c r="G2215" t="n">
        <x:v>6</x:v>
      </x:c>
      <x:c r="H2215" t="n">
        <x:v>0</x:v>
      </x:c>
      <x:c r="I2215" t="str">
        <x:v>À qualifier par lieu</x:v>
      </x:c>
      <x:c r="J2215" t="str">
        <x:v>https://github.com/darknigthmare/deadwall-last-enclosure/blob/e28f46223e73105ab2c5d83f3d50b99b58ef53e6/codex-3000/compositions/militaire/DW-2210.md</x:v>
      </x:c>
      <x:c r="K2215" t="str">
        <x:v>Source min 74,49 m ; max 74,49 m ; modèle 74 × 49 m ; niveaux 0, 1. Détails dans catalogue-existant.json.</x:v>
      </x:c>
    </x:row>
    <x:row r="2216">
      <x:c r="A2216" t="str">
        <x:v>DW-2211</x:v>
      </x:c>
      <x:c r="B2216" t="str">
        <x:v>DW-0606</x:v>
      </x:c>
      <x:c r="C2216" t="str">
        <x:v>Composition héritée</x:v>
      </x:c>
      <x:c r="D2216" t="str">
        <x:v>militaire</x:v>
      </x:c>
      <x:c r="E2216" t="str">
        <x:v>Dépôt militaire — variante 02 — Camp hostile / relais temporaire envisagé</x:v>
      </x:c>
      <x:c r="F2216" t="n">
        <x:v>10</x:v>
      </x:c>
      <x:c r="G2216" t="n">
        <x:v>5</x:v>
      </x:c>
      <x:c r="H2216" t="n">
        <x:v>0</x:v>
      </x:c>
      <x:c r="I2216" t="str">
        <x:v>À qualifier par lieu</x:v>
      </x:c>
      <x:c r="J2216" t="str">
        <x:v>https://github.com/darknigthmare/deadwall-last-enclosure/blob/e28f46223e73105ab2c5d83f3d50b99b58ef53e6/codex-3000/compositions/militaire/DW-2211.md</x:v>
      </x:c>
      <x:c r="K2216" t="str">
        <x:v>Source min 13,12 m ; max 13,12 m ; modèle 26 × 22 m ; niveaux 0. Détails dans catalogue-existant.json.</x:v>
      </x:c>
    </x:row>
    <x:row r="2217">
      <x:c r="A2217" t="str">
        <x:v>DW-2212</x:v>
      </x:c>
      <x:c r="B2217" t="str">
        <x:v>DW-0606</x:v>
      </x:c>
      <x:c r="C2217" t="str">
        <x:v>Composition héritée</x:v>
      </x:c>
      <x:c r="D2217" t="str">
        <x:v>militaire</x:v>
      </x:c>
      <x:c r="E2217" t="str">
        <x:v>Dépôt militaire — variante 02 — Centre d’évacuation abandonné / évacuation interrompue</x:v>
      </x:c>
      <x:c r="F2217" t="n">
        <x:v>8</x:v>
      </x:c>
      <x:c r="G2217" t="n">
        <x:v>5</x:v>
      </x:c>
      <x:c r="H2217" t="n">
        <x:v>0</x:v>
      </x:c>
      <x:c r="I2217" t="str">
        <x:v>À qualifier par lieu</x:v>
      </x:c>
      <x:c r="J2217" t="str">
        <x:v>https://github.com/darknigthmare/deadwall-last-enclosure/blob/e28f46223e73105ab2c5d83f3d50b99b58ef53e6/codex-3000/compositions/militaire/DW-2212.md</x:v>
      </x:c>
      <x:c r="K2217" t="str">
        <x:v>Source min 13,12 m ; max 13,12 m ; modèle 26 × 22 m ; niveaux 0. Détails dans catalogue-existant.json.</x:v>
      </x:c>
    </x:row>
    <x:row r="2218">
      <x:c r="A2218" t="str">
        <x:v>DW-2213</x:v>
      </x:c>
      <x:c r="B2218" t="str">
        <x:v>DW-0607</x:v>
      </x:c>
      <x:c r="C2218" t="str">
        <x:v>Composition héritée</x:v>
      </x:c>
      <x:c r="D2218" t="str">
        <x:v>militaire</x:v>
      </x:c>
      <x:c r="E2218" t="str">
        <x:v>Poste de contrôle — variante 02 — Camp de fortune / réseau principal coupé</x:v>
      </x:c>
      <x:c r="F2218" t="n">
        <x:v>8</x:v>
      </x:c>
      <x:c r="G2218" t="n">
        <x:v>5</x:v>
      </x:c>
      <x:c r="H2218" t="n">
        <x:v>0</x:v>
      </x:c>
      <x:c r="I2218" t="str">
        <x:v>À qualifier par lieu</x:v>
      </x:c>
      <x:c r="J2218" t="str">
        <x:v>https://github.com/darknigthmare/deadwall-last-enclosure/blob/e28f46223e73105ab2c5d83f3d50b99b58ef53e6/codex-3000/compositions/militaire/DW-2213.md</x:v>
      </x:c>
      <x:c r="K2218" t="str">
        <x:v>Source min 24,29 m ; max 24,29 m ; modèle 26 × 29 m ; niveaux 0. Détails dans catalogue-existant.json.</x:v>
      </x:c>
    </x:row>
    <x:row r="2219">
      <x:c r="A2219" t="str">
        <x:v>DW-2214</x:v>
      </x:c>
      <x:c r="B2219" t="str">
        <x:v>DW-0607</x:v>
      </x:c>
      <x:c r="C2219" t="str">
        <x:v>Composition héritée</x:v>
      </x:c>
      <x:c r="D2219" t="str">
        <x:v>militaire</x:v>
      </x:c>
      <x:c r="E2219" t="str">
        <x:v>Poste de contrôle — variante 02 — Grand camp allié / arrêt de maintenance</x:v>
      </x:c>
      <x:c r="F2219" t="n">
        <x:v>10</x:v>
      </x:c>
      <x:c r="G2219" t="n">
        <x:v>5</x:v>
      </x:c>
      <x:c r="H2219" t="n">
        <x:v>0</x:v>
      </x:c>
      <x:c r="I2219" t="str">
        <x:v>À qualifier par lieu</x:v>
      </x:c>
      <x:c r="J2219" t="str">
        <x:v>https://github.com/darknigthmare/deadwall-last-enclosure/blob/e28f46223e73105ab2c5d83f3d50b99b58ef53e6/codex-3000/compositions/militaire/DW-2214.md</x:v>
      </x:c>
      <x:c r="K2219" t="str">
        <x:v>Source min 24,29 m ; max 24,29 m ; modèle 26 × 29 m ; niveaux 0. Détails dans catalogue-existant.json.</x:v>
      </x:c>
    </x:row>
    <x:row r="2220">
      <x:c r="A2220" t="str">
        <x:v>DW-2215</x:v>
      </x:c>
      <x:c r="B2220" t="str">
        <x:v>DW-0608</x:v>
      </x:c>
      <x:c r="C2220" t="str">
        <x:v>Composition héritée</x:v>
      </x:c>
      <x:c r="D2220" t="str">
        <x:v>militaire</x:v>
      </x:c>
      <x:c r="E2220" t="str">
        <x:v>Camp retranché abandonné — variante 02 — Centre d’évacuation abandonné / repli organisé interrompu</x:v>
      </x:c>
      <x:c r="F2220" t="n">
        <x:v>8</x:v>
      </x:c>
      <x:c r="G2220" t="n">
        <x:v>5</x:v>
      </x:c>
      <x:c r="H2220" t="n">
        <x:v>0</x:v>
      </x:c>
      <x:c r="I2220" t="str">
        <x:v>À qualifier par lieu</x:v>
      </x:c>
      <x:c r="J2220" t="str">
        <x:v>https://github.com/darknigthmare/deadwall-last-enclosure/blob/e28f46223e73105ab2c5d83f3d50b99b58ef53e6/codex-3000/compositions/militaire/DW-2215.md</x:v>
      </x:c>
      <x:c r="K2220" t="str">
        <x:v>Source min 35,46 m ; max 35,46 m ; modèle 35 × 46 m ; niveaux 0. Détails dans catalogue-existant.json.</x:v>
      </x:c>
    </x:row>
    <x:row r="2221">
      <x:c r="A2221" t="str">
        <x:v>DW-2216</x:v>
      </x:c>
      <x:c r="B2221" t="str">
        <x:v>DW-0608</x:v>
      </x:c>
      <x:c r="C2221" t="str">
        <x:v>Composition héritée</x:v>
      </x:c>
      <x:c r="D2221" t="str">
        <x:v>militaire</x:v>
      </x:c>
      <x:c r="E2221" t="str">
        <x:v>Camp retranché abandonné — variante 02 — Camp hostile / première récupération passée</x:v>
      </x:c>
      <x:c r="F2221" t="n">
        <x:v>10</x:v>
      </x:c>
      <x:c r="G2221" t="n">
        <x:v>5</x:v>
      </x:c>
      <x:c r="H2221" t="n">
        <x:v>0</x:v>
      </x:c>
      <x:c r="I2221" t="str">
        <x:v>À qualifier par lieu</x:v>
      </x:c>
      <x:c r="J2221" t="str">
        <x:v>https://github.com/darknigthmare/deadwall-last-enclosure/blob/e28f46223e73105ab2c5d83f3d50b99b58ef53e6/codex-3000/compositions/militaire/DW-2216.md</x:v>
      </x:c>
      <x:c r="K2221" t="str">
        <x:v>Source min 35,46 m ; max 35,46 m ; modèle 35 × 46 m ; niveaux 0. Détails dans catalogue-existant.json.</x:v>
      </x:c>
    </x:row>
    <x:row r="2222">
      <x:c r="A2222" t="str">
        <x:v>DW-2217</x:v>
      </x:c>
      <x:c r="B2222" t="str">
        <x:v>DW-0609</x:v>
      </x:c>
      <x:c r="C2222" t="str">
        <x:v>Composition héritée</x:v>
      </x:c>
      <x:c r="D2222" t="str">
        <x:v>militaire</x:v>
      </x:c>
      <x:c r="E2222" t="str">
        <x:v>Abri ferroviaire — variante 02 — Grand camp allié / évacuation interrompue</x:v>
      </x:c>
      <x:c r="F2222" t="n">
        <x:v>10</x:v>
      </x:c>
      <x:c r="G2222" t="n">
        <x:v>4</x:v>
      </x:c>
      <x:c r="H2222" t="n">
        <x:v>0</x:v>
      </x:c>
      <x:c r="I2222" t="str">
        <x:v>À qualifier par lieu</x:v>
      </x:c>
      <x:c r="J2222" t="str">
        <x:v>https://github.com/darknigthmare/deadwall-last-enclosure/blob/e28f46223e73105ab2c5d83f3d50b99b58ef53e6/codex-3000/compositions/militaire/DW-2217.md</x:v>
      </x:c>
      <x:c r="K2222" t="str">
        <x:v>Source min 46,9 m ; max 46,9 m ; modèle 46 × 18 m ; niveaux 0. Détails dans catalogue-existant.json.</x:v>
      </x:c>
    </x:row>
    <x:row r="2223">
      <x:c r="A2223" t="str">
        <x:v>DW-2218</x:v>
      </x:c>
      <x:c r="B2223" t="str">
        <x:v>DW-0609</x:v>
      </x:c>
      <x:c r="C2223" t="str">
        <x:v>Composition héritée</x:v>
      </x:c>
      <x:c r="D2223" t="str">
        <x:v>militaire</x:v>
      </x:c>
      <x:c r="E2223" t="str">
        <x:v>Abri ferroviaire — variante 02 — Camp de fortune / service déplacé à l’arrière</x:v>
      </x:c>
      <x:c r="F2223" t="n">
        <x:v>8</x:v>
      </x:c>
      <x:c r="G2223" t="n">
        <x:v>4</x:v>
      </x:c>
      <x:c r="H2223" t="n">
        <x:v>0</x:v>
      </x:c>
      <x:c r="I2223" t="str">
        <x:v>À qualifier par lieu</x:v>
      </x:c>
      <x:c r="J2223" t="str">
        <x:v>https://github.com/darknigthmare/deadwall-last-enclosure/blob/e28f46223e73105ab2c5d83f3d50b99b58ef53e6/codex-3000/compositions/militaire/DW-2218.md</x:v>
      </x:c>
      <x:c r="K2223" t="str">
        <x:v>Source min 46,9 m ; max 46,9 m ; modèle 46 × 18 m ; niveaux 0. Détails dans catalogue-existant.json.</x:v>
      </x:c>
    </x:row>
    <x:row r="2224">
      <x:c r="A2224" t="str">
        <x:v>DW-2219</x:v>
      </x:c>
      <x:c r="B2224" t="str">
        <x:v>DW-0610</x:v>
      </x:c>
      <x:c r="C2224" t="str">
        <x:v>Composition héritée</x:v>
      </x:c>
      <x:c r="D2224" t="str">
        <x:v>militaire</x:v>
      </x:c>
      <x:c r="E2224" t="str">
        <x:v>Site radar — variante 02 — Camp hostile / arrêt de maintenance</x:v>
      </x:c>
      <x:c r="F2224" t="n">
        <x:v>10</x:v>
      </x:c>
      <x:c r="G2224" t="n">
        <x:v>5</x:v>
      </x:c>
      <x:c r="H2224" t="n">
        <x:v>0</x:v>
      </x:c>
      <x:c r="I2224" t="str">
        <x:v>À qualifier par lieu</x:v>
      </x:c>
      <x:c r="J2224" t="str">
        <x:v>https://github.com/darknigthmare/deadwall-last-enclosure/blob/e28f46223e73105ab2c5d83f3d50b99b58ef53e6/codex-3000/compositions/militaire/DW-2219.md</x:v>
      </x:c>
      <x:c r="K2224" t="str">
        <x:v>Source min 57,26 m ; max 57,26 m ; modèle 57 × 26 m ; niveaux 0. Détails dans catalogue-existant.json.</x:v>
      </x:c>
    </x:row>
    <x:row r="2225">
      <x:c r="A2225" t="str">
        <x:v>DW-2220</x:v>
      </x:c>
      <x:c r="B2225" t="str">
        <x:v>DW-0610</x:v>
      </x:c>
      <x:c r="C2225" t="str">
        <x:v>Composition héritée</x:v>
      </x:c>
      <x:c r="D2225" t="str">
        <x:v>militaire</x:v>
      </x:c>
      <x:c r="E2225" t="str">
        <x:v>Site radar — variante 02 — Centre d’évacuation abandonné / reprise progressive de la végétation</x:v>
      </x:c>
      <x:c r="F2225" t="n">
        <x:v>8</x:v>
      </x:c>
      <x:c r="G2225" t="n">
        <x:v>5</x:v>
      </x:c>
      <x:c r="H2225" t="n">
        <x:v>0</x:v>
      </x:c>
      <x:c r="I2225" t="str">
        <x:v>À qualifier par lieu</x:v>
      </x:c>
      <x:c r="J2225" t="str">
        <x:v>https://github.com/darknigthmare/deadwall-last-enclosure/blob/e28f46223e73105ab2c5d83f3d50b99b58ef53e6/codex-3000/compositions/militaire/DW-2220.md</x:v>
      </x:c>
      <x:c r="K2225" t="str">
        <x:v>Source min 57,26 m ; max 57,26 m ; modèle 57 × 26 m ; niveaux 0. Détails dans catalogue-existant.json.</x:v>
      </x:c>
    </x:row>
    <x:row r="2226">
      <x:c r="A2226" t="str">
        <x:v>DW-2221</x:v>
      </x:c>
      <x:c r="B2226" t="str">
        <x:v>DW-0611</x:v>
      </x:c>
      <x:c r="C2226" t="str">
        <x:v>Composition héritée</x:v>
      </x:c>
      <x:c r="D2226" t="str">
        <x:v>militaire</x:v>
      </x:c>
      <x:c r="E2226" t="str">
        <x:v>Batterie côtière — variante 02 — Camp de fortune / première récupération passée</x:v>
      </x:c>
      <x:c r="F2226" t="n">
        <x:v>8</x:v>
      </x:c>
      <x:c r="G2226" t="n">
        <x:v>4</x:v>
      </x:c>
      <x:c r="H2226" t="n">
        <x:v>0</x:v>
      </x:c>
      <x:c r="I2226" t="str">
        <x:v>À qualifier par lieu</x:v>
      </x:c>
      <x:c r="J2226" t="str">
        <x:v>https://github.com/darknigthmare/deadwall-last-enclosure/blob/e28f46223e73105ab2c5d83f3d50b99b58ef53e6/codex-3000/compositions/militaire/DW-2221.md</x:v>
      </x:c>
      <x:c r="K2226" t="str">
        <x:v>Source min 68,43 m ; max 68,43 m ; modèle 68 × 43 m ; niveaux 0. Détails dans catalogue-existant.json.</x:v>
      </x:c>
    </x:row>
    <x:row r="2227">
      <x:c r="A2227" t="str">
        <x:v>DW-2222</x:v>
      </x:c>
      <x:c r="B2227" t="str">
        <x:v>DW-0611</x:v>
      </x:c>
      <x:c r="C2227" t="str">
        <x:v>Composition héritée</x:v>
      </x:c>
      <x:c r="D2227" t="str">
        <x:v>militaire</x:v>
      </x:c>
      <x:c r="E2227" t="str">
        <x:v>Batterie côtière — variante 02 — Grand camp allié / relais temporaire envisagé</x:v>
      </x:c>
      <x:c r="F2227" t="n">
        <x:v>10</x:v>
      </x:c>
      <x:c r="G2227" t="n">
        <x:v>4</x:v>
      </x:c>
      <x:c r="H2227" t="n">
        <x:v>0</x:v>
      </x:c>
      <x:c r="I2227" t="str">
        <x:v>À qualifier par lieu</x:v>
      </x:c>
      <x:c r="J2227" t="str">
        <x:v>https://github.com/darknigthmare/deadwall-last-enclosure/blob/e28f46223e73105ab2c5d83f3d50b99b58ef53e6/codex-3000/compositions/militaire/DW-2222.md</x:v>
      </x:c>
      <x:c r="K2227" t="str">
        <x:v>Source min 68,43 m ; max 68,43 m ; modèle 68 × 43 m ; niveaux 0. Détails dans catalogue-existant.json.</x:v>
      </x:c>
    </x:row>
    <x:row r="2228">
      <x:c r="A2228" t="str">
        <x:v>DW-2223</x:v>
      </x:c>
      <x:c r="B2228" t="str">
        <x:v>DW-0612</x:v>
      </x:c>
      <x:c r="C2228" t="str">
        <x:v>Composition héritée</x:v>
      </x:c>
      <x:c r="D2228" t="str">
        <x:v>militaire</x:v>
      </x:c>
      <x:c r="E2228" t="str">
        <x:v>Dépôt carburant sécurisé — variante 02 — Centre d’évacuation abandonné / service déplacé à l’arrière</x:v>
      </x:c>
      <x:c r="F2228" t="n">
        <x:v>8</x:v>
      </x:c>
      <x:c r="G2228" t="n">
        <x:v>5</x:v>
      </x:c>
      <x:c r="H2228" t="n">
        <x:v>0</x:v>
      </x:c>
      <x:c r="I2228" t="str">
        <x:v>À qualifier par lieu</x:v>
      </x:c>
      <x:c r="J2228" t="str">
        <x:v>https://github.com/darknigthmare/deadwall-last-enclosure/blob/e28f46223e73105ab2c5d83f3d50b99b58ef53e6/codex-3000/compositions/militaire/DW-2223.md</x:v>
      </x:c>
      <x:c r="K2228" t="str">
        <x:v>Source min 79,60 m ; max 79,60 m ; modèle 78 × 60 m ; niveaux 0. Détails dans catalogue-existant.json.</x:v>
      </x:c>
    </x:row>
    <x:row r="2229">
      <x:c r="A2229" t="str">
        <x:v>DW-2224</x:v>
      </x:c>
      <x:c r="B2229" t="str">
        <x:v>DW-0612</x:v>
      </x:c>
      <x:c r="C2229" t="str">
        <x:v>Composition héritée</x:v>
      </x:c>
      <x:c r="D2229" t="str">
        <x:v>militaire</x:v>
      </x:c>
      <x:c r="E2229" t="str">
        <x:v>Dépôt carburant sécurisé — variante 02 — Camp hostile / réseau principal coupé</x:v>
      </x:c>
      <x:c r="F2229" t="n">
        <x:v>10</x:v>
      </x:c>
      <x:c r="G2229" t="n">
        <x:v>5</x:v>
      </x:c>
      <x:c r="H2229" t="n">
        <x:v>0</x:v>
      </x:c>
      <x:c r="I2229" t="str">
        <x:v>À qualifier par lieu</x:v>
      </x:c>
      <x:c r="J2229" t="str">
        <x:v>https://github.com/darknigthmare/deadwall-last-enclosure/blob/e28f46223e73105ab2c5d83f3d50b99b58ef53e6/codex-3000/compositions/militaire/DW-2224.md</x:v>
      </x:c>
      <x:c r="K2229" t="str">
        <x:v>Source min 79,60 m ; max 79,60 m ; modèle 78 × 60 m ; niveaux 0. Détails dans catalogue-existant.json.</x:v>
      </x:c>
    </x:row>
    <x:row r="2230">
      <x:c r="A2230" t="str">
        <x:v>DW-2225</x:v>
      </x:c>
      <x:c r="B2230" t="str">
        <x:v>DW-0613</x:v>
      </x:c>
      <x:c r="C2230" t="str">
        <x:v>Composition héritée</x:v>
      </x:c>
      <x:c r="D2230" t="str">
        <x:v>transport</x:v>
      </x:c>
      <x:c r="E2230" t="str">
        <x:v>Gare routière — variante 02 — Station-service et aire routière / reprise progressive de la végétation</x:v>
      </x:c>
      <x:c r="F2230" t="n">
        <x:v>8</x:v>
      </x:c>
      <x:c r="G2230" t="n">
        <x:v>5</x:v>
      </x:c>
      <x:c r="H2230" t="n">
        <x:v>0</x:v>
      </x:c>
      <x:c r="I2230" t="str">
        <x:v>À qualifier par lieu</x:v>
      </x:c>
      <x:c r="J2230" t="str">
        <x:v>https://github.com/darknigthmare/deadwall-last-enclosure/blob/e28f46223e73105ab2c5d83f3d50b99b58ef53e6/codex-3000/compositions/transport/DW-2225.md</x:v>
      </x:c>
      <x:c r="K2230" t="str">
        <x:v>Source min 18,23 m ; max 18,23 m ; modèle 26 × 23 m ; niveaux 0. Détails dans catalogue-existant.json.</x:v>
      </x:c>
    </x:row>
    <x:row r="2231">
      <x:c r="A2231" t="str">
        <x:v>DW-2226</x:v>
      </x:c>
      <x:c r="B2231" t="str">
        <x:v>DW-0613</x:v>
      </x:c>
      <x:c r="C2231" t="str">
        <x:v>Composition héritée</x:v>
      </x:c>
      <x:c r="D2231" t="str">
        <x:v>transport</x:v>
      </x:c>
      <x:c r="E2231" t="str">
        <x:v>Gare routière — variante 02 — Port marchand / repli organisé interrompu</x:v>
      </x:c>
      <x:c r="F2231" t="n">
        <x:v>10</x:v>
      </x:c>
      <x:c r="G2231" t="n">
        <x:v>5</x:v>
      </x:c>
      <x:c r="H2231" t="n">
        <x:v>0</x:v>
      </x:c>
      <x:c r="I2231" t="str">
        <x:v>À qualifier par lieu</x:v>
      </x:c>
      <x:c r="J2231" t="str">
        <x:v>https://github.com/darknigthmare/deadwall-last-enclosure/blob/e28f46223e73105ab2c5d83f3d50b99b58ef53e6/codex-3000/compositions/transport/DW-2226.md</x:v>
      </x:c>
      <x:c r="K2231" t="str">
        <x:v>Source min 18,23 m ; max 18,23 m ; modèle 26 × 23 m ; niveaux 0. Détails dans catalogue-existant.json.</x:v>
      </x:c>
    </x:row>
    <x:row r="2232">
      <x:c r="A2232" t="str">
        <x:v>DW-2227</x:v>
      </x:c>
      <x:c r="B2232" t="str">
        <x:v>DW-0614</x:v>
      </x:c>
      <x:c r="C2232" t="str">
        <x:v>Composition héritée</x:v>
      </x:c>
      <x:c r="D2232" t="str">
        <x:v>transport</x:v>
      </x:c>
      <x:c r="E2232" t="str">
        <x:v>Dépôt de bus — variante 02 — Gare et fret / relais temporaire envisagé</x:v>
      </x:c>
      <x:c r="F2232" t="n">
        <x:v>10</x:v>
      </x:c>
      <x:c r="G2232" t="n">
        <x:v>5</x:v>
      </x:c>
      <x:c r="H2232" t="n">
        <x:v>0</x:v>
      </x:c>
      <x:c r="I2232" t="str">
        <x:v>À qualifier par lieu</x:v>
      </x:c>
      <x:c r="J2232" t="str">
        <x:v>https://github.com/darknigthmare/deadwall-last-enclosure/blob/e28f46223e73105ab2c5d83f3d50b99b58ef53e6/codex-3000/compositions/transport/DW-2227.md</x:v>
      </x:c>
      <x:c r="K2232" t="str">
        <x:v>Source min 29,40 m ; max 29,40 m ; modèle 29 × 40 m ; niveaux 0. Détails dans catalogue-existant.json.</x:v>
      </x:c>
    </x:row>
    <x:row r="2233">
      <x:c r="A2233" t="str">
        <x:v>DW-2228</x:v>
      </x:c>
      <x:c r="B2233" t="str">
        <x:v>DW-0614</x:v>
      </x:c>
      <x:c r="C2233" t="str">
        <x:v>Composition héritée</x:v>
      </x:c>
      <x:c r="D2233" t="str">
        <x:v>transport</x:v>
      </x:c>
      <x:c r="E2233" t="str">
        <x:v>Dépôt de bus — variante 02 — Routes et coutures territoriales / évacuation interrompue</x:v>
      </x:c>
      <x:c r="F2233" t="n">
        <x:v>10</x:v>
      </x:c>
      <x:c r="G2233" t="n">
        <x:v>5</x:v>
      </x:c>
      <x:c r="H2233" t="n">
        <x:v>0</x:v>
      </x:c>
      <x:c r="I2233" t="str">
        <x:v>À qualifier par lieu</x:v>
      </x:c>
      <x:c r="J2233" t="str">
        <x:v>https://github.com/darknigthmare/deadwall-last-enclosure/blob/e28f46223e73105ab2c5d83f3d50b99b58ef53e6/codex-3000/compositions/transport/DW-2228.md</x:v>
      </x:c>
      <x:c r="K2233" t="str">
        <x:v>Source min 29,40 m ; max 29,40 m ; modèle 29 × 40 m ; niveaux 0. Détails dans catalogue-existant.json.</x:v>
      </x:c>
    </x:row>
    <x:row r="2234">
      <x:c r="A2234" t="str">
        <x:v>DW-2229</x:v>
      </x:c>
      <x:c r="B2234" t="str">
        <x:v>DW-0615</x:v>
      </x:c>
      <x:c r="C2234" t="str">
        <x:v>Composition héritée</x:v>
      </x:c>
      <x:c r="D2234" t="str">
        <x:v>transport</x:v>
      </x:c>
      <x:c r="E2234" t="str">
        <x:v>Gare ferroviaire — variante 02 — Port marchand / réseau principal coupé</x:v>
      </x:c>
      <x:c r="F2234" t="n">
        <x:v>10</x:v>
      </x:c>
      <x:c r="G2234" t="n">
        <x:v>5</x:v>
      </x:c>
      <x:c r="H2234" t="n">
        <x:v>0</x:v>
      </x:c>
      <x:c r="I2234" t="str">
        <x:v>À qualifier par lieu</x:v>
      </x:c>
      <x:c r="J2234" t="str">
        <x:v>https://github.com/darknigthmare/deadwall-last-enclosure/blob/e28f46223e73105ab2c5d83f3d50b99b58ef53e6/codex-3000/compositions/transport/DW-2229.md</x:v>
      </x:c>
      <x:c r="K2234" t="str">
        <x:v>Source min 40,57 m ; max 40,57 m ; modèle 40 × 57 m ; niveaux 0. Détails dans catalogue-existant.json.</x:v>
      </x:c>
    </x:row>
    <x:row r="2235">
      <x:c r="A2235" t="str">
        <x:v>DW-2230</x:v>
      </x:c>
      <x:c r="B2235" t="str">
        <x:v>DW-0615</x:v>
      </x:c>
      <x:c r="C2235" t="str">
        <x:v>Composition héritée</x:v>
      </x:c>
      <x:c r="D2235" t="str">
        <x:v>transport</x:v>
      </x:c>
      <x:c r="E2235" t="str">
        <x:v>Gare ferroviaire — variante 02 — Station-service et aire routière / arrêt de maintenance</x:v>
      </x:c>
      <x:c r="F2235" t="n">
        <x:v>8</x:v>
      </x:c>
      <x:c r="G2235" t="n">
        <x:v>5</x:v>
      </x:c>
      <x:c r="H2235" t="n">
        <x:v>0</x:v>
      </x:c>
      <x:c r="I2235" t="str">
        <x:v>À qualifier par lieu</x:v>
      </x:c>
      <x:c r="J2235" t="str">
        <x:v>https://github.com/darknigthmare/deadwall-last-enclosure/blob/e28f46223e73105ab2c5d83f3d50b99b58ef53e6/codex-3000/compositions/transport/DW-2230.md</x:v>
      </x:c>
      <x:c r="K2235" t="str">
        <x:v>Source min 40,57 m ; max 40,57 m ; modèle 40 × 57 m ; niveaux 0. Détails dans catalogue-existant.json.</x:v>
      </x:c>
    </x:row>
    <x:row r="2236">
      <x:c r="A2236" t="str">
        <x:v>DW-2231</x:v>
      </x:c>
      <x:c r="B2236" t="str">
        <x:v>DW-0616</x:v>
      </x:c>
      <x:c r="C2236" t="str">
        <x:v>Composition héritée</x:v>
      </x:c>
      <x:c r="D2236" t="str">
        <x:v>transport</x:v>
      </x:c>
      <x:c r="E2236" t="str">
        <x:v>Aire d'autoroute — variante 02 — Routes et coutures territoriales / repli organisé interrompu</x:v>
      </x:c>
      <x:c r="F2236" t="n">
        <x:v>10</x:v>
      </x:c>
      <x:c r="G2236" t="n">
        <x:v>5</x:v>
      </x:c>
      <x:c r="H2236" t="n">
        <x:v>0</x:v>
      </x:c>
      <x:c r="I2236" t="str">
        <x:v>À qualifier par lieu</x:v>
      </x:c>
      <x:c r="J2236" t="str">
        <x:v>https://github.com/darknigthmare/deadwall-last-enclosure/blob/e28f46223e73105ab2c5d83f3d50b99b58ef53e6/codex-3000/compositions/transport/DW-2231.md</x:v>
      </x:c>
      <x:c r="K2236" t="str">
        <x:v>Source min 51,20 m ; max 51,20 m ; modèle 51 × 22 m ; niveaux 0. Détails dans catalogue-existant.json.</x:v>
      </x:c>
    </x:row>
    <x:row r="2237">
      <x:c r="A2237" t="str">
        <x:v>DW-2232</x:v>
      </x:c>
      <x:c r="B2237" t="str">
        <x:v>DW-0616</x:v>
      </x:c>
      <x:c r="C2237" t="str">
        <x:v>Composition héritée</x:v>
      </x:c>
      <x:c r="D2237" t="str">
        <x:v>transport</x:v>
      </x:c>
      <x:c r="E2237" t="str">
        <x:v>Aire d'autoroute — variante 02 — Gare et fret / première récupération passée</x:v>
      </x:c>
      <x:c r="F2237" t="n">
        <x:v>10</x:v>
      </x:c>
      <x:c r="G2237" t="n">
        <x:v>5</x:v>
      </x:c>
      <x:c r="H2237" t="n">
        <x:v>0</x:v>
      </x:c>
      <x:c r="I2237" t="str">
        <x:v>À qualifier par lieu</x:v>
      </x:c>
      <x:c r="J2237" t="str">
        <x:v>https://github.com/darknigthmare/deadwall-last-enclosure/blob/e28f46223e73105ab2c5d83f3d50b99b58ef53e6/codex-3000/compositions/transport/DW-2232.md</x:v>
      </x:c>
      <x:c r="K2237" t="str">
        <x:v>Source min 51,20 m ; max 51,20 m ; modèle 51 × 22 m ; niveaux 0. Détails dans catalogue-existant.json.</x:v>
      </x:c>
    </x:row>
    <x:row r="2238">
      <x:c r="A2238" t="str">
        <x:v>DW-2233</x:v>
      </x:c>
      <x:c r="B2238" t="str">
        <x:v>DW-0617</x:v>
      </x:c>
      <x:c r="C2238" t="str">
        <x:v>Composition héritée</x:v>
      </x:c>
      <x:c r="D2238" t="str">
        <x:v>transport</x:v>
      </x:c>
      <x:c r="E2238" t="str">
        <x:v>Parking silo — variante 02 — Station-service et aire routière / évacuation interrompue</x:v>
      </x:c>
      <x:c r="F2238" t="n">
        <x:v>8</x:v>
      </x:c>
      <x:c r="G2238" t="n">
        <x:v>4</x:v>
      </x:c>
      <x:c r="H2238" t="n">
        <x:v>0</x:v>
      </x:c>
      <x:c r="I2238" t="str">
        <x:v>À qualifier par lieu</x:v>
      </x:c>
      <x:c r="J2238" t="str">
        <x:v>https://github.com/darknigthmare/deadwall-last-enclosure/blob/e28f46223e73105ab2c5d83f3d50b99b58ef53e6/codex-3000/compositions/transport/DW-2233.md</x:v>
      </x:c>
      <x:c r="K2238" t="str">
        <x:v>Source min 62,37 m ; max 62,37 m ; modèle 62 × 37 m ; niveaux 0. Détails dans catalogue-existant.json.</x:v>
      </x:c>
    </x:row>
    <x:row r="2239">
      <x:c r="A2239" t="str">
        <x:v>DW-2234</x:v>
      </x:c>
      <x:c r="B2239" t="str">
        <x:v>DW-0617</x:v>
      </x:c>
      <x:c r="C2239" t="str">
        <x:v>Composition héritée</x:v>
      </x:c>
      <x:c r="D2239" t="str">
        <x:v>transport</x:v>
      </x:c>
      <x:c r="E2239" t="str">
        <x:v>Parking silo — variante 02 — Port marchand / service déplacé à l’arrière</x:v>
      </x:c>
      <x:c r="F2239" t="n">
        <x:v>10</x:v>
      </x:c>
      <x:c r="G2239" t="n">
        <x:v>4</x:v>
      </x:c>
      <x:c r="H2239" t="n">
        <x:v>0</x:v>
      </x:c>
      <x:c r="I2239" t="str">
        <x:v>À qualifier par lieu</x:v>
      </x:c>
      <x:c r="J2239" t="str">
        <x:v>https://github.com/darknigthmare/deadwall-last-enclosure/blob/e28f46223e73105ab2c5d83f3d50b99b58ef53e6/codex-3000/compositions/transport/DW-2234.md</x:v>
      </x:c>
      <x:c r="K2239" t="str">
        <x:v>Source min 62,37 m ; max 62,37 m ; modèle 62 × 37 m ; niveaux 0. Détails dans catalogue-existant.json.</x:v>
      </x:c>
    </x:row>
    <x:row r="2240">
      <x:c r="A2240" t="str">
        <x:v>DW-2235</x:v>
      </x:c>
      <x:c r="B2240" t="str">
        <x:v>DW-0618</x:v>
      </x:c>
      <x:c r="C2240" t="str">
        <x:v>Composition héritée</x:v>
      </x:c>
      <x:c r="D2240" t="str">
        <x:v>transport</x:v>
      </x:c>
      <x:c r="E2240" t="str">
        <x:v>Terminal poids lourds — variante 02 — Gare et fret / arrêt de maintenance</x:v>
      </x:c>
      <x:c r="F2240" t="n">
        <x:v>10</x:v>
      </x:c>
      <x:c r="G2240" t="n">
        <x:v>5</x:v>
      </x:c>
      <x:c r="H2240" t="n">
        <x:v>0</x:v>
      </x:c>
      <x:c r="I2240" t="str">
        <x:v>À qualifier par lieu</x:v>
      </x:c>
      <x:c r="J2240" t="str">
        <x:v>https://github.com/darknigthmare/deadwall-last-enclosure/blob/e28f46223e73105ab2c5d83f3d50b99b58ef53e6/codex-3000/compositions/transport/DW-2235.md</x:v>
      </x:c>
      <x:c r="K2240" t="str">
        <x:v>Source min 73,54 m ; max 73,54 m ; modèle 73 × 54 m ; niveaux 0. Détails dans catalogue-existant.json.</x:v>
      </x:c>
    </x:row>
    <x:row r="2241">
      <x:c r="A2241" t="str">
        <x:v>DW-2236</x:v>
      </x:c>
      <x:c r="B2241" t="str">
        <x:v>DW-0618</x:v>
      </x:c>
      <x:c r="C2241" t="str">
        <x:v>Composition héritée</x:v>
      </x:c>
      <x:c r="D2241" t="str">
        <x:v>transport</x:v>
      </x:c>
      <x:c r="E2241" t="str">
        <x:v>Terminal poids lourds — variante 02 — Routes et coutures territoriales / reprise progressive de la végétation</x:v>
      </x:c>
      <x:c r="F2241" t="n">
        <x:v>10</x:v>
      </x:c>
      <x:c r="G2241" t="n">
        <x:v>5</x:v>
      </x:c>
      <x:c r="H2241" t="n">
        <x:v>0</x:v>
      </x:c>
      <x:c r="I2241" t="str">
        <x:v>À qualifier par lieu</x:v>
      </x:c>
      <x:c r="J2241" t="str">
        <x:v>https://github.com/darknigthmare/deadwall-last-enclosure/blob/e28f46223e73105ab2c5d83f3d50b99b58ef53e6/codex-3000/compositions/transport/DW-2236.md</x:v>
      </x:c>
      <x:c r="K2241" t="str">
        <x:v>Source min 73,54 m ; max 73,54 m ; modèle 73 × 54 m ; niveaux 0. Détails dans catalogue-existant.json.</x:v>
      </x:c>
    </x:row>
    <x:row r="2242">
      <x:c r="A2242" t="str">
        <x:v>DW-2237</x:v>
      </x:c>
      <x:c r="B2242" t="str">
        <x:v>DW-0619</x:v>
      </x:c>
      <x:c r="C2242" t="str">
        <x:v>Composition héritée</x:v>
      </x:c>
      <x:c r="D2242" t="str">
        <x:v>transport</x:v>
      </x:c>
      <x:c r="E2242" t="str">
        <x:v>Port de plaisance — variante 02 — Port marchand / première récupération passée</x:v>
      </x:c>
      <x:c r="F2242" t="n">
        <x:v>10</x:v>
      </x:c>
      <x:c r="G2242" t="n">
        <x:v>5</x:v>
      </x:c>
      <x:c r="H2242" t="n">
        <x:v>0</x:v>
      </x:c>
      <x:c r="I2242" t="str">
        <x:v>À qualifier par lieu</x:v>
      </x:c>
      <x:c r="J2242" t="str">
        <x:v>https://github.com/darknigthmare/deadwall-last-enclosure/blob/e28f46223e73105ab2c5d83f3d50b99b58ef53e6/codex-3000/compositions/transport/DW-2237.md</x:v>
      </x:c>
      <x:c r="K2242" t="str">
        <x:v>Source min 12,17 m ; max 12,17 m ; modèle 26 × 22 m ; niveaux 0. Détails dans catalogue-existant.json.</x:v>
      </x:c>
    </x:row>
    <x:row r="2243">
      <x:c r="A2243" t="str">
        <x:v>DW-2238</x:v>
      </x:c>
      <x:c r="B2243" t="str">
        <x:v>DW-0619</x:v>
      </x:c>
      <x:c r="C2243" t="str">
        <x:v>Composition héritée</x:v>
      </x:c>
      <x:c r="D2243" t="str">
        <x:v>transport</x:v>
      </x:c>
      <x:c r="E2243" t="str">
        <x:v>Port de plaisance — variante 02 — Station-service et aire routière / relais temporaire envisagé</x:v>
      </x:c>
      <x:c r="F2243" t="n">
        <x:v>8</x:v>
      </x:c>
      <x:c r="G2243" t="n">
        <x:v>5</x:v>
      </x:c>
      <x:c r="H2243" t="n">
        <x:v>0</x:v>
      </x:c>
      <x:c r="I2243" t="str">
        <x:v>À qualifier par lieu</x:v>
      </x:c>
      <x:c r="J2243" t="str">
        <x:v>https://github.com/darknigthmare/deadwall-last-enclosure/blob/e28f46223e73105ab2c5d83f3d50b99b58ef53e6/codex-3000/compositions/transport/DW-2238.md</x:v>
      </x:c>
      <x:c r="K2243" t="str">
        <x:v>Source min 12,17 m ; max 12,17 m ; modèle 26 × 22 m ; niveaux 0. Détails dans catalogue-existant.json.</x:v>
      </x:c>
    </x:row>
    <x:row r="2244">
      <x:c r="A2244" t="str">
        <x:v>DW-2239</x:v>
      </x:c>
      <x:c r="B2244" t="str">
        <x:v>DW-0620</x:v>
      </x:c>
      <x:c r="C2244" t="str">
        <x:v>Composition héritée</x:v>
      </x:c>
      <x:c r="D2244" t="str">
        <x:v>transport</x:v>
      </x:c>
      <x:c r="E2244" t="str">
        <x:v>Petit aérodrome — variante 02 — Routes et coutures territoriales / service déplacé à l’arrière</x:v>
      </x:c>
      <x:c r="F2244" t="n">
        <x:v>10</x:v>
      </x:c>
      <x:c r="G2244" t="n">
        <x:v>5</x:v>
      </x:c>
      <x:c r="H2244" t="n">
        <x:v>0</x:v>
      </x:c>
      <x:c r="I2244" t="str">
        <x:v>À qualifier par lieu</x:v>
      </x:c>
      <x:c r="J2244" t="str">
        <x:v>https://github.com/darknigthmare/deadwall-last-enclosure/blob/e28f46223e73105ab2c5d83f3d50b99b58ef53e6/codex-3000/compositions/transport/DW-2239.md</x:v>
      </x:c>
      <x:c r="K2244" t="str">
        <x:v>Source min 23,34 m ; max 23,34 m ; modèle 26 × 34 m ; niveaux 0. Détails dans catalogue-existant.json.</x:v>
      </x:c>
    </x:row>
    <x:row r="2245">
      <x:c r="A2245" t="str">
        <x:v>DW-2240</x:v>
      </x:c>
      <x:c r="B2245" t="str">
        <x:v>DW-0620</x:v>
      </x:c>
      <x:c r="C2245" t="str">
        <x:v>Composition héritée</x:v>
      </x:c>
      <x:c r="D2245" t="str">
        <x:v>transport</x:v>
      </x:c>
      <x:c r="E2245" t="str">
        <x:v>Petit aérodrome — variante 02 — Gare et fret / réseau principal coupé</x:v>
      </x:c>
      <x:c r="F2245" t="n">
        <x:v>10</x:v>
      </x:c>
      <x:c r="G2245" t="n">
        <x:v>5</x:v>
      </x:c>
      <x:c r="H2245" t="n">
        <x:v>0</x:v>
      </x:c>
      <x:c r="I2245" t="str">
        <x:v>À qualifier par lieu</x:v>
      </x:c>
      <x:c r="J2245" t="str">
        <x:v>https://github.com/darknigthmare/deadwall-last-enclosure/blob/e28f46223e73105ab2c5d83f3d50b99b58ef53e6/codex-3000/compositions/transport/DW-2240.md</x:v>
      </x:c>
      <x:c r="K2245" t="str">
        <x:v>Source min 23,34 m ; max 23,34 m ; modèle 26 × 34 m ; niveaux 0. Détails dans catalogue-existant.json.</x:v>
      </x:c>
    </x:row>
    <x:row r="2246">
      <x:c r="A2246" t="str">
        <x:v>DW-2241</x:v>
      </x:c>
      <x:c r="B2246" t="str">
        <x:v>DW-0621</x:v>
      </x:c>
      <x:c r="C2246" t="str">
        <x:v>Composition héritée</x:v>
      </x:c>
      <x:c r="D2246" t="str">
        <x:v>ruines</x:v>
      </x:c>
      <x:c r="E2246" t="str">
        <x:v>Maison incendiée — variante 02 — Ruine envahie et reprise végétale / reprise progressive de la végétation</x:v>
      </x:c>
      <x:c r="F2246" t="n">
        <x:v>8</x:v>
      </x:c>
      <x:c r="G2246" t="n">
        <x:v>3</x:v>
      </x:c>
      <x:c r="H2246" t="n">
        <x:v>0</x:v>
      </x:c>
      <x:c r="I2246" t="str">
        <x:v>À qualifier par lieu</x:v>
      </x:c>
      <x:c r="J2246" t="str">
        <x:v>https://github.com/darknigthmare/deadwall-last-enclosure/blob/e28f46223e73105ab2c5d83f3d50b99b58ef53e6/codex-3000/compositions/ruines/DW-2241.md</x:v>
      </x:c>
      <x:c r="K2246" t="str">
        <x:v>Source min 34,51 m ; max 34,51 m ; modèle 34 × 51 m ; niveaux 0, 1. Détails dans catalogue-existant.json.</x:v>
      </x:c>
    </x:row>
    <x:row r="2247">
      <x:c r="A2247" t="str">
        <x:v>DW-2242</x:v>
      </x:c>
      <x:c r="B2247" t="str">
        <x:v>DW-0621</x:v>
      </x:c>
      <x:c r="C2247" t="str">
        <x:v>Composition héritée</x:v>
      </x:c>
      <x:c r="D2247" t="str">
        <x:v>ruines</x:v>
      </x:c>
      <x:c r="E2247" t="str">
        <x:v>Maison incendiée — variante 02 — Zone industrielle / repli organisé interrompu</x:v>
      </x:c>
      <x:c r="F2247" t="n">
        <x:v>8</x:v>
      </x:c>
      <x:c r="G2247" t="n">
        <x:v>3</x:v>
      </x:c>
      <x:c r="H2247" t="n">
        <x:v>0</x:v>
      </x:c>
      <x:c r="I2247" t="str">
        <x:v>À qualifier par lieu</x:v>
      </x:c>
      <x:c r="J2247" t="str">
        <x:v>https://github.com/darknigthmare/deadwall-last-enclosure/blob/e28f46223e73105ab2c5d83f3d50b99b58ef53e6/codex-3000/compositions/ruines/DW-2242.md</x:v>
      </x:c>
      <x:c r="K2247" t="str">
        <x:v>Source min 34,51 m ; max 34,51 m ; modèle 34 × 51 m ; niveaux 0, 1. Détails dans catalogue-existant.json.</x:v>
      </x:c>
    </x:row>
    <x:row r="2248">
      <x:c r="A2248" t="str">
        <x:v>DW-2243</x:v>
      </x:c>
      <x:c r="B2248" t="str">
        <x:v>DW-0622</x:v>
      </x:c>
      <x:c r="C2248" t="str">
        <x:v>Composition héritée</x:v>
      </x:c>
      <x:c r="D2248" t="str">
        <x:v>ruines</x:v>
      </x:c>
      <x:c r="E2248" t="str">
        <x:v>Immeuble éventré — variante 02 — Centre ancien / relais temporaire envisagé</x:v>
      </x:c>
      <x:c r="F2248" t="n">
        <x:v>8</x:v>
      </x:c>
      <x:c r="G2248" t="n">
        <x:v>4</x:v>
      </x:c>
      <x:c r="H2248" t="n">
        <x:v>0</x:v>
      </x:c>
      <x:c r="I2248" t="str">
        <x:v>À qualifier par lieu</x:v>
      </x:c>
      <x:c r="J2248" t="str">
        <x:v>https://github.com/darknigthmare/deadwall-last-enclosure/blob/e28f46223e73105ab2c5d83f3d50b99b58ef53e6/codex-3000/compositions/ruines/DW-2243.md</x:v>
      </x:c>
      <x:c r="K2248" t="str">
        <x:v>Source min 45,14 m ; max 45,14 m ; modèle 45 × 18 m ; niveaux 0, 1, 2. Détails dans catalogue-existant.json.</x:v>
      </x:c>
    </x:row>
    <x:row r="2249">
      <x:c r="A2249" t="str">
        <x:v>DW-2244</x:v>
      </x:c>
      <x:c r="B2249" t="str">
        <x:v>DW-0622</x:v>
      </x:c>
      <x:c r="C2249" t="str">
        <x:v>Composition héritée</x:v>
      </x:c>
      <x:c r="D2249" t="str">
        <x:v>ruines</x:v>
      </x:c>
      <x:c r="E2249" t="str">
        <x:v>Immeuble éventré — variante 02 — Petit bois et lisière / évacuation interrompue</x:v>
      </x:c>
      <x:c r="F2249" t="n">
        <x:v>8</x:v>
      </x:c>
      <x:c r="G2249" t="n">
        <x:v>4</x:v>
      </x:c>
      <x:c r="H2249" t="n">
        <x:v>0</x:v>
      </x:c>
      <x:c r="I2249" t="str">
        <x:v>À qualifier par lieu</x:v>
      </x:c>
      <x:c r="J2249" t="str">
        <x:v>https://github.com/darknigthmare/deadwall-last-enclosure/blob/e28f46223e73105ab2c5d83f3d50b99b58ef53e6/codex-3000/compositions/ruines/DW-2244.md</x:v>
      </x:c>
      <x:c r="K2249" t="str">
        <x:v>Source min 45,14 m ; max 45,14 m ; modèle 45 × 18 m ; niveaux 0, 1, 2. Détails dans catalogue-existant.json.</x:v>
      </x:c>
    </x:row>
    <x:row r="2250">
      <x:c r="A2250" t="str">
        <x:v>DW-2245</x:v>
      </x:c>
      <x:c r="B2250" t="str">
        <x:v>DW-0623</x:v>
      </x:c>
      <x:c r="C2250" t="str">
        <x:v>Composition héritée</x:v>
      </x:c>
      <x:c r="D2250" t="str">
        <x:v>ruines</x:v>
      </x:c>
      <x:c r="E2250" t="str">
        <x:v>Commerce pillé — variante 02 — Zone industrielle / réseau principal coupé</x:v>
      </x:c>
      <x:c r="F2250" t="n">
        <x:v>8</x:v>
      </x:c>
      <x:c r="G2250" t="n">
        <x:v>4</x:v>
      </x:c>
      <x:c r="H2250" t="n">
        <x:v>0</x:v>
      </x:c>
      <x:c r="I2250" t="str">
        <x:v>À qualifier par lieu</x:v>
      </x:c>
      <x:c r="J2250" t="str">
        <x:v>https://github.com/darknigthmare/deadwall-last-enclosure/blob/e28f46223e73105ab2c5d83f3d50b99b58ef53e6/codex-3000/compositions/ruines/DW-2245.md</x:v>
      </x:c>
      <x:c r="K2250" t="str">
        <x:v>Source min 56,31 m ; max 56,31 m ; modèle 56 × 31 m ; niveaux 0. Détails dans catalogue-existant.json.</x:v>
      </x:c>
    </x:row>
    <x:row r="2251">
      <x:c r="A2251" t="str">
        <x:v>DW-2246</x:v>
      </x:c>
      <x:c r="B2251" t="str">
        <x:v>DW-0623</x:v>
      </x:c>
      <x:c r="C2251" t="str">
        <x:v>Composition héritée</x:v>
      </x:c>
      <x:c r="D2251" t="str">
        <x:v>ruines</x:v>
      </x:c>
      <x:c r="E2251" t="str">
        <x:v>Commerce pillé — variante 02 — Ruine envahie et reprise végétale / arrêt de maintenance</x:v>
      </x:c>
      <x:c r="F2251" t="n">
        <x:v>8</x:v>
      </x:c>
      <x:c r="G2251" t="n">
        <x:v>4</x:v>
      </x:c>
      <x:c r="H2251" t="n">
        <x:v>0</x:v>
      </x:c>
      <x:c r="I2251" t="str">
        <x:v>À qualifier par lieu</x:v>
      </x:c>
      <x:c r="J2251" t="str">
        <x:v>https://github.com/darknigthmare/deadwall-last-enclosure/blob/e28f46223e73105ab2c5d83f3d50b99b58ef53e6/codex-3000/compositions/ruines/DW-2246.md</x:v>
      </x:c>
      <x:c r="K2251" t="str">
        <x:v>Source min 56,31 m ; max 56,31 m ; modèle 56 × 31 m ; niveaux 0. Détails dans catalogue-existant.json.</x:v>
      </x:c>
    </x:row>
    <x:row r="2252">
      <x:c r="A2252" t="str">
        <x:v>DW-2247</x:v>
      </x:c>
      <x:c r="B2252" t="str">
        <x:v>DW-0624</x:v>
      </x:c>
      <x:c r="C2252" t="str">
        <x:v>Composition héritée</x:v>
      </x:c>
      <x:c r="D2252" t="str">
        <x:v>ruines</x:v>
      </x:c>
      <x:c r="E2252" t="str">
        <x:v>Usine sinistrée — variante 02 — Petit bois et lisière / repli organisé interrompu</x:v>
      </x:c>
      <x:c r="F2252" t="n">
        <x:v>8</x:v>
      </x:c>
      <x:c r="G2252" t="n">
        <x:v>4</x:v>
      </x:c>
      <x:c r="H2252" t="n">
        <x:v>0</x:v>
      </x:c>
      <x:c r="I2252" t="str">
        <x:v>À qualifier par lieu</x:v>
      </x:c>
      <x:c r="J2252" t="str">
        <x:v>https://github.com/darknigthmare/deadwall-last-enclosure/blob/e28f46223e73105ab2c5d83f3d50b99b58ef53e6/codex-3000/compositions/ruines/DW-2247.md</x:v>
      </x:c>
      <x:c r="K2252" t="str">
        <x:v>Source min 67,48 m ; max 67,48 m ; modèle 67 × 48 m ; niveaux 0. Détails dans catalogue-existant.json.</x:v>
      </x:c>
    </x:row>
    <x:row r="2253">
      <x:c r="A2253" t="str">
        <x:v>DW-2248</x:v>
      </x:c>
      <x:c r="B2253" t="str">
        <x:v>DW-0624</x:v>
      </x:c>
      <x:c r="C2253" t="str">
        <x:v>Composition héritée</x:v>
      </x:c>
      <x:c r="D2253" t="str">
        <x:v>ruines</x:v>
      </x:c>
      <x:c r="E2253" t="str">
        <x:v>Usine sinistrée — variante 02 — Centre ancien / première récupération passée</x:v>
      </x:c>
      <x:c r="F2253" t="n">
        <x:v>8</x:v>
      </x:c>
      <x:c r="G2253" t="n">
        <x:v>4</x:v>
      </x:c>
      <x:c r="H2253" t="n">
        <x:v>0</x:v>
      </x:c>
      <x:c r="I2253" t="str">
        <x:v>À qualifier par lieu</x:v>
      </x:c>
      <x:c r="J2253" t="str">
        <x:v>https://github.com/darknigthmare/deadwall-last-enclosure/blob/e28f46223e73105ab2c5d83f3d50b99b58ef53e6/codex-3000/compositions/ruines/DW-2248.md</x:v>
      </x:c>
      <x:c r="K2253" t="str">
        <x:v>Source min 67,48 m ; max 67,48 m ; modèle 67 × 48 m ; niveaux 0. Détails dans catalogue-existant.json.</x:v>
      </x:c>
    </x:row>
    <x:row r="2254">
      <x:c r="A2254" t="str">
        <x:v>DW-2249</x:v>
      </x:c>
      <x:c r="B2254" t="str">
        <x:v>DW-0625</x:v>
      </x:c>
      <x:c r="C2254" t="str">
        <x:v>Composition héritée</x:v>
      </x:c>
      <x:c r="D2254" t="str">
        <x:v>ruines</x:v>
      </x:c>
      <x:c r="E2254" t="str">
        <x:v>Hôtel abandonné — variante 02 — Ruine envahie et reprise végétale / évacuation interrompue</x:v>
      </x:c>
      <x:c r="F2254" t="n">
        <x:v>8</x:v>
      </x:c>
      <x:c r="G2254" t="n">
        <x:v>5</x:v>
      </x:c>
      <x:c r="H2254" t="n">
        <x:v>0</x:v>
      </x:c>
      <x:c r="I2254" t="str">
        <x:v>À qualifier par lieu</x:v>
      </x:c>
      <x:c r="J2254" t="str">
        <x:v>https://github.com/darknigthmare/deadwall-last-enclosure/blob/e28f46223e73105ab2c5d83f3d50b99b58ef53e6/codex-3000/compositions/ruines/DW-2249.md</x:v>
      </x:c>
      <x:c r="K2254" t="str">
        <x:v>Source min 78,11 m ; max 78,11 m ; modèle 78 × 22 m ; niveaux 0, 1. Détails dans catalogue-existant.json.</x:v>
      </x:c>
    </x:row>
    <x:row r="2255">
      <x:c r="A2255" t="str">
        <x:v>DW-2250</x:v>
      </x:c>
      <x:c r="B2255" t="str">
        <x:v>DW-0625</x:v>
      </x:c>
      <x:c r="C2255" t="str">
        <x:v>Composition héritée</x:v>
      </x:c>
      <x:c r="D2255" t="str">
        <x:v>ruines</x:v>
      </x:c>
      <x:c r="E2255" t="str">
        <x:v>Hôtel abandonné — variante 02 — Zone industrielle / service déplacé à l’arrière</x:v>
      </x:c>
      <x:c r="F2255" t="n">
        <x:v>8</x:v>
      </x:c>
      <x:c r="G2255" t="n">
        <x:v>5</x:v>
      </x:c>
      <x:c r="H2255" t="n">
        <x:v>0</x:v>
      </x:c>
      <x:c r="I2255" t="str">
        <x:v>À qualifier par lieu</x:v>
      </x:c>
      <x:c r="J2255" t="str">
        <x:v>https://github.com/darknigthmare/deadwall-last-enclosure/blob/e28f46223e73105ab2c5d83f3d50b99b58ef53e6/codex-3000/compositions/ruines/DW-2250.md</x:v>
      </x:c>
      <x:c r="K2255" t="str">
        <x:v>Source min 78,11 m ; max 78,11 m ; modèle 78 × 22 m ; niveaux 0, 1. Détails dans catalogue-existant.json.</x:v>
      </x:c>
    </x:row>
    <x:row r="2256">
      <x:c r="A2256" t="str">
        <x:v>DW-2251</x:v>
      </x:c>
      <x:c r="B2256" t="str">
        <x:v>DW-0626</x:v>
      </x:c>
      <x:c r="C2256" t="str">
        <x:v>Composition héritée</x:v>
      </x:c>
      <x:c r="D2256" t="str">
        <x:v>ruines</x:v>
      </x:c>
      <x:c r="E2256" t="str">
        <x:v>Lotissement ravagé — variante 02 — Centre ancien / arrêt de maintenance</x:v>
      </x:c>
      <x:c r="F2256" t="n">
        <x:v>8</x:v>
      </x:c>
      <x:c r="G2256" t="n">
        <x:v>4</x:v>
      </x:c>
      <x:c r="H2256" t="n">
        <x:v>0</x:v>
      </x:c>
      <x:c r="I2256" t="str">
        <x:v>À qualifier par lieu</x:v>
      </x:c>
      <x:c r="J2256" t="str">
        <x:v>https://github.com/darknigthmare/deadwall-last-enclosure/blob/e28f46223e73105ab2c5d83f3d50b99b58ef53e6/codex-3000/compositions/ruines/DW-2251.md</x:v>
      </x:c>
      <x:c r="K2256" t="str">
        <x:v>Source min 17,28 m ; max 17,28 m ; modèle 25 × 28 m ; niveaux 0. Détails dans catalogue-existant.json.</x:v>
      </x:c>
    </x:row>
    <x:row r="2257">
      <x:c r="A2257" t="str">
        <x:v>DW-2252</x:v>
      </x:c>
      <x:c r="B2257" t="str">
        <x:v>DW-0626</x:v>
      </x:c>
      <x:c r="C2257" t="str">
        <x:v>Composition héritée</x:v>
      </x:c>
      <x:c r="D2257" t="str">
        <x:v>ruines</x:v>
      </x:c>
      <x:c r="E2257" t="str">
        <x:v>Lotissement ravagé — variante 02 — Petit bois et lisière / reprise progressive de la végétation</x:v>
      </x:c>
      <x:c r="F2257" t="n">
        <x:v>8</x:v>
      </x:c>
      <x:c r="G2257" t="n">
        <x:v>4</x:v>
      </x:c>
      <x:c r="H2257" t="n">
        <x:v>0</x:v>
      </x:c>
      <x:c r="I2257" t="str">
        <x:v>À qualifier par lieu</x:v>
      </x:c>
      <x:c r="J2257" t="str">
        <x:v>https://github.com/darknigthmare/deadwall-last-enclosure/blob/e28f46223e73105ab2c5d83f3d50b99b58ef53e6/codex-3000/compositions/ruines/DW-2252.md</x:v>
      </x:c>
      <x:c r="K2257" t="str">
        <x:v>Source min 17,28 m ; max 17,28 m ; modèle 25 × 28 m ; niveaux 0. Détails dans catalogue-existant.json.</x:v>
      </x:c>
    </x:row>
    <x:row r="2258">
      <x:c r="A2258" t="str">
        <x:v>DW-2253</x:v>
      </x:c>
      <x:c r="B2258" t="str">
        <x:v>DW-0627</x:v>
      </x:c>
      <x:c r="C2258" t="str">
        <x:v>Composition héritée</x:v>
      </x:c>
      <x:c r="D2258" t="str">
        <x:v>ruines</x:v>
      </x:c>
      <x:c r="E2258" t="str">
        <x:v>Village déserté — variante 02 — Zone industrielle / première récupération passée</x:v>
      </x:c>
      <x:c r="F2258" t="n">
        <x:v>8</x:v>
      </x:c>
      <x:c r="G2258" t="n">
        <x:v>5</x:v>
      </x:c>
      <x:c r="H2258" t="n">
        <x:v>0</x:v>
      </x:c>
      <x:c r="I2258" t="str">
        <x:v>À qualifier par lieu</x:v>
      </x:c>
      <x:c r="J2258" t="str">
        <x:v>https://github.com/darknigthmare/deadwall-last-enclosure/blob/e28f46223e73105ab2c5d83f3d50b99b58ef53e6/codex-3000/compositions/ruines/DW-2253.md</x:v>
      </x:c>
      <x:c r="K2258" t="str">
        <x:v>Source min 28,45 m ; max 28,45 m ; modèle 28 × 45 m ; niveaux 0. Détails dans catalogue-existant.json.</x:v>
      </x:c>
    </x:row>
    <x:row r="2259">
      <x:c r="A2259" t="str">
        <x:v>DW-2254</x:v>
      </x:c>
      <x:c r="B2259" t="str">
        <x:v>DW-0627</x:v>
      </x:c>
      <x:c r="C2259" t="str">
        <x:v>Composition héritée</x:v>
      </x:c>
      <x:c r="D2259" t="str">
        <x:v>ruines</x:v>
      </x:c>
      <x:c r="E2259" t="str">
        <x:v>Village déserté — variante 02 — Ruine envahie et reprise végétale / relais temporaire envisagé</x:v>
      </x:c>
      <x:c r="F2259" t="n">
        <x:v>8</x:v>
      </x:c>
      <x:c r="G2259" t="n">
        <x:v>5</x:v>
      </x:c>
      <x:c r="H2259" t="n">
        <x:v>0</x:v>
      </x:c>
      <x:c r="I2259" t="str">
        <x:v>À qualifier par lieu</x:v>
      </x:c>
      <x:c r="J2259" t="str">
        <x:v>https://github.com/darknigthmare/deadwall-last-enclosure/blob/e28f46223e73105ab2c5d83f3d50b99b58ef53e6/codex-3000/compositions/ruines/DW-2254.md</x:v>
      </x:c>
      <x:c r="K2259" t="str">
        <x:v>Source min 28,45 m ; max 28,45 m ; modèle 28 × 45 m ; niveaux 0. Détails dans catalogue-existant.json.</x:v>
      </x:c>
    </x:row>
    <x:row r="2260">
      <x:c r="A2260" t="str">
        <x:v>DW-2255</x:v>
      </x:c>
      <x:c r="B2260" t="str">
        <x:v>DW-0628</x:v>
      </x:c>
      <x:c r="C2260" t="str">
        <x:v>Composition héritée</x:v>
      </x:c>
      <x:c r="D2260" t="str">
        <x:v>ruines</x:v>
      </x:c>
      <x:c r="E2260" t="str">
        <x:v>Centre commercial effondré — variante 02 — Petit bois et lisière / service déplacé à l’arrière</x:v>
      </x:c>
      <x:c r="F2260" t="n">
        <x:v>8</x:v>
      </x:c>
      <x:c r="G2260" t="n">
        <x:v>5</x:v>
      </x:c>
      <x:c r="H2260" t="n">
        <x:v>0</x:v>
      </x:c>
      <x:c r="I2260" t="str">
        <x:v>À qualifier par lieu</x:v>
      </x:c>
      <x:c r="J2260" t="str">
        <x:v>https://github.com/darknigthmare/deadwall-last-enclosure/blob/e28f46223e73105ab2c5d83f3d50b99b58ef53e6/codex-3000/compositions/ruines/DW-2255.md</x:v>
      </x:c>
      <x:c r="K2260" t="str">
        <x:v>Source min 39,62 m ; max 39,62 m ; modèle 39 × 62 m ; niveaux 0. Détails dans catalogue-existant.json.</x:v>
      </x:c>
    </x:row>
    <x:row r="2261">
      <x:c r="A2261" t="str">
        <x:v>DW-2256</x:v>
      </x:c>
      <x:c r="B2261" t="str">
        <x:v>DW-0628</x:v>
      </x:c>
      <x:c r="C2261" t="str">
        <x:v>Composition héritée</x:v>
      </x:c>
      <x:c r="D2261" t="str">
        <x:v>ruines</x:v>
      </x:c>
      <x:c r="E2261" t="str">
        <x:v>Centre commercial effondré — variante 02 — Centre ancien / réseau principal coupé</x:v>
      </x:c>
      <x:c r="F2261" t="n">
        <x:v>8</x:v>
      </x:c>
      <x:c r="G2261" t="n">
        <x:v>5</x:v>
      </x:c>
      <x:c r="H2261" t="n">
        <x:v>0</x:v>
      </x:c>
      <x:c r="I2261" t="str">
        <x:v>À qualifier par lieu</x:v>
      </x:c>
      <x:c r="J2261" t="str">
        <x:v>https://github.com/darknigthmare/deadwall-last-enclosure/blob/e28f46223e73105ab2c5d83f3d50b99b58ef53e6/codex-3000/compositions/ruines/DW-2256.md</x:v>
      </x:c>
      <x:c r="K2261" t="str">
        <x:v>Source min 39,62 m ; max 39,62 m ; modèle 39 × 62 m ; niveaux 0. Détails dans catalogue-existant.json.</x:v>
      </x:c>
    </x:row>
    <x:row r="2262">
      <x:c r="A2262" t="str">
        <x:v>DW-2257</x:v>
      </x:c>
      <x:c r="B2262" t="str">
        <x:v>DW-0629</x:v>
      </x:c>
      <x:c r="C2262" t="str">
        <x:v>Composition héritée</x:v>
      </x:c>
      <x:c r="D2262" t="str">
        <x:v>habitat</x:v>
      </x:c>
      <x:c r="E2262" t="str">
        <x:v>Maison de lotissement — variante 03 — Quartier pavillonnaire / reprise progressive de la végétation</x:v>
      </x:c>
      <x:c r="F2262" t="n">
        <x:v>8</x:v>
      </x:c>
      <x:c r="G2262" t="n">
        <x:v>5</x:v>
      </x:c>
      <x:c r="H2262" t="n">
        <x:v>0</x:v>
      </x:c>
      <x:c r="I2262" t="str">
        <x:v>À qualifier par lieu</x:v>
      </x:c>
      <x:c r="J2262" t="str">
        <x:v>https://github.com/darknigthmare/deadwall-last-enclosure/blob/e28f46223e73105ab2c5d83f3d50b99b58ef53e6/codex-3000/compositions/habitat/DW-2257.md</x:v>
      </x:c>
      <x:c r="K2262" t="str">
        <x:v>Source min 50,25 m ; max 50,25 m ; modèle 50 × 25 m ; niveaux 0, 1. Détails dans catalogue-existant.json.</x:v>
      </x:c>
    </x:row>
    <x:row r="2263">
      <x:c r="A2263" t="str">
        <x:v>DW-2258</x:v>
      </x:c>
      <x:c r="B2263" t="str">
        <x:v>DW-0629</x:v>
      </x:c>
      <x:c r="C2263" t="str">
        <x:v>Composition héritée</x:v>
      </x:c>
      <x:c r="D2263" t="str">
        <x:v>habitat</x:v>
      </x:c>
      <x:c r="E2263" t="str">
        <x:v>Maison de lotissement — variante 03 — Village et bourg / repli organisé interrompu</x:v>
      </x:c>
      <x:c r="F2263" t="n">
        <x:v>8</x:v>
      </x:c>
      <x:c r="G2263" t="n">
        <x:v>5</x:v>
      </x:c>
      <x:c r="H2263" t="n">
        <x:v>0</x:v>
      </x:c>
      <x:c r="I2263" t="str">
        <x:v>À qualifier par lieu</x:v>
      </x:c>
      <x:c r="J2263" t="str">
        <x:v>https://github.com/darknigthmare/deadwall-last-enclosure/blob/e28f46223e73105ab2c5d83f3d50b99b58ef53e6/codex-3000/compositions/habitat/DW-2258.md</x:v>
      </x:c>
      <x:c r="K2263" t="str">
        <x:v>Source min 50,25 m ; max 50,25 m ; modèle 50 × 25 m ; niveaux 0, 1. Détails dans catalogue-existant.json.</x:v>
      </x:c>
    </x:row>
    <x:row r="2264">
      <x:c r="A2264" t="str">
        <x:v>DW-2259</x:v>
      </x:c>
      <x:c r="B2264" t="str">
        <x:v>DW-0630</x:v>
      </x:c>
      <x:c r="C2264" t="str">
        <x:v>Composition héritée</x:v>
      </x:c>
      <x:c r="D2264" t="str">
        <x:v>habitat</x:v>
      </x:c>
      <x:c r="E2264" t="str">
        <x:v>Maison mitoyenne — variante 03 — Hameau / relais temporaire envisagé</x:v>
      </x:c>
      <x:c r="F2264" t="n">
        <x:v>8</x:v>
      </x:c>
      <x:c r="G2264" t="n">
        <x:v>5</x:v>
      </x:c>
      <x:c r="H2264" t="n">
        <x:v>0</x:v>
      </x:c>
      <x:c r="I2264" t="str">
        <x:v>À qualifier par lieu</x:v>
      </x:c>
      <x:c r="J2264" t="str">
        <x:v>https://github.com/darknigthmare/deadwall-last-enclosure/blob/e28f46223e73105ab2c5d83f3d50b99b58ef53e6/codex-3000/compositions/habitat/DW-2259.md</x:v>
      </x:c>
      <x:c r="K2264" t="str">
        <x:v>Source min 61,42 m ; max 61,42 m ; modèle 61 × 42 m ; niveaux 0. Détails dans catalogue-existant.json.</x:v>
      </x:c>
    </x:row>
    <x:row r="2265">
      <x:c r="A2265" t="str">
        <x:v>DW-2260</x:v>
      </x:c>
      <x:c r="B2265" t="str">
        <x:v>DW-0630</x:v>
      </x:c>
      <x:c r="C2265" t="str">
        <x:v>Composition héritée</x:v>
      </x:c>
      <x:c r="D2265" t="str">
        <x:v>habitat</x:v>
      </x:c>
      <x:c r="E2265" t="str">
        <x:v>Maison mitoyenne — variante 03 — Quartier collectif / évacuation interrompue</x:v>
      </x:c>
      <x:c r="F2265" t="n">
        <x:v>8</x:v>
      </x:c>
      <x:c r="G2265" t="n">
        <x:v>5</x:v>
      </x:c>
      <x:c r="H2265" t="n">
        <x:v>0</x:v>
      </x:c>
      <x:c r="I2265" t="str">
        <x:v>À qualifier par lieu</x:v>
      </x:c>
      <x:c r="J2265" t="str">
        <x:v>https://github.com/darknigthmare/deadwall-last-enclosure/blob/e28f46223e73105ab2c5d83f3d50b99b58ef53e6/codex-3000/compositions/habitat/DW-2260.md</x:v>
      </x:c>
      <x:c r="K2265" t="str">
        <x:v>Source min 61,42 m ; max 61,42 m ; modèle 61 × 42 m ; niveaux 0. Détails dans catalogue-existant.json.</x:v>
      </x:c>
    </x:row>
    <x:row r="2266">
      <x:c r="A2266" t="str">
        <x:v>DW-2261</x:v>
      </x:c>
      <x:c r="B2266" t="str">
        <x:v>DW-0631</x:v>
      </x:c>
      <x:c r="C2266" t="str">
        <x:v>Composition héritée</x:v>
      </x:c>
      <x:c r="D2266" t="str">
        <x:v>habitat</x:v>
      </x:c>
      <x:c r="E2266" t="str">
        <x:v>Villa isolée — variante 03 — Village et bourg / réseau principal coupé</x:v>
      </x:c>
      <x:c r="F2266" t="n">
        <x:v>8</x:v>
      </x:c>
      <x:c r="G2266" t="n">
        <x:v>7</x:v>
      </x:c>
      <x:c r="H2266" t="n">
        <x:v>0</x:v>
      </x:c>
      <x:c r="I2266" t="str">
        <x:v>À qualifier par lieu</x:v>
      </x:c>
      <x:c r="J2266" t="str">
        <x:v>https://github.com/darknigthmare/deadwall-last-enclosure/blob/e28f46223e73105ab2c5d83f3d50b99b58ef53e6/codex-3000/compositions/habitat/DW-2261.md</x:v>
      </x:c>
      <x:c r="K2266" t="str">
        <x:v>Source min 72,59 m ; max 72,59 m ; modèle 72 × 59 m ; niveaux 0. Détails dans catalogue-existant.json.</x:v>
      </x:c>
    </x:row>
    <x:row r="2267">
      <x:c r="A2267" t="str">
        <x:v>DW-2262</x:v>
      </x:c>
      <x:c r="B2267" t="str">
        <x:v>DW-0631</x:v>
      </x:c>
      <x:c r="C2267" t="str">
        <x:v>Composition héritée</x:v>
      </x:c>
      <x:c r="D2267" t="str">
        <x:v>habitat</x:v>
      </x:c>
      <x:c r="E2267" t="str">
        <x:v>Villa isolée — variante 03 — Quartier pavillonnaire / arrêt de maintenance</x:v>
      </x:c>
      <x:c r="F2267" t="n">
        <x:v>8</x:v>
      </x:c>
      <x:c r="G2267" t="n">
        <x:v>7</x:v>
      </x:c>
      <x:c r="H2267" t="n">
        <x:v>0</x:v>
      </x:c>
      <x:c r="I2267" t="str">
        <x:v>À qualifier par lieu</x:v>
      </x:c>
      <x:c r="J2267" t="str">
        <x:v>https://github.com/darknigthmare/deadwall-last-enclosure/blob/e28f46223e73105ab2c5d83f3d50b99b58ef53e6/codex-3000/compositions/habitat/DW-2262.md</x:v>
      </x:c>
      <x:c r="K2267" t="str">
        <x:v>Source min 72,59 m ; max 72,59 m ; modèle 72 × 59 m ; niveaux 0. Détails dans catalogue-existant.json.</x:v>
      </x:c>
    </x:row>
    <x:row r="2268">
      <x:c r="A2268" t="str">
        <x:v>DW-2263</x:v>
      </x:c>
      <x:c r="B2268" t="str">
        <x:v>DW-0632</x:v>
      </x:c>
      <x:c r="C2268" t="str">
        <x:v>Composition héritée</x:v>
      </x:c>
      <x:c r="D2268" t="str">
        <x:v>habitat</x:v>
      </x:c>
      <x:c r="E2268" t="str">
        <x:v>Ferme familiale — variante 03 — Quartier collectif / repli organisé interrompu</x:v>
      </x:c>
      <x:c r="F2268" t="n">
        <x:v>8</x:v>
      </x:c>
      <x:c r="G2268" t="n">
        <x:v>6</x:v>
      </x:c>
      <x:c r="H2268" t="n">
        <x:v>0</x:v>
      </x:c>
      <x:c r="I2268" t="str">
        <x:v>À qualifier par lieu</x:v>
      </x:c>
      <x:c r="J2268" t="str">
        <x:v>https://github.com/darknigthmare/deadwall-last-enclosure/blob/e28f46223e73105ab2c5d83f3d50b99b58ef53e6/codex-3000/compositions/habitat/DW-2263.md</x:v>
      </x:c>
      <x:c r="K2268" t="str">
        <x:v>Source min 11,22 m ; max 11,22 m ; modèle 28 × 22 m ; niveaux 0. Détails dans catalogue-existant.json.</x:v>
      </x:c>
    </x:row>
    <x:row r="2269">
      <x:c r="A2269" t="str">
        <x:v>DW-2264</x:v>
      </x:c>
      <x:c r="B2269" t="str">
        <x:v>DW-0632</x:v>
      </x:c>
      <x:c r="C2269" t="str">
        <x:v>Composition héritée</x:v>
      </x:c>
      <x:c r="D2269" t="str">
        <x:v>habitat</x:v>
      </x:c>
      <x:c r="E2269" t="str">
        <x:v>Ferme familiale — variante 03 — Hameau / première récupération passée</x:v>
      </x:c>
      <x:c r="F2269" t="n">
        <x:v>8</x:v>
      </x:c>
      <x:c r="G2269" t="n">
        <x:v>6</x:v>
      </x:c>
      <x:c r="H2269" t="n">
        <x:v>0</x:v>
      </x:c>
      <x:c r="I2269" t="str">
        <x:v>À qualifier par lieu</x:v>
      </x:c>
      <x:c r="J2269" t="str">
        <x:v>https://github.com/darknigthmare/deadwall-last-enclosure/blob/e28f46223e73105ab2c5d83f3d50b99b58ef53e6/codex-3000/compositions/habitat/DW-2264.md</x:v>
      </x:c>
      <x:c r="K2269" t="str">
        <x:v>Source min 11,22 m ; max 11,22 m ; modèle 28 × 22 m ; niveaux 0. Détails dans catalogue-existant.json.</x:v>
      </x:c>
    </x:row>
    <x:row r="2270">
      <x:c r="A2270" t="str">
        <x:v>DW-2265</x:v>
      </x:c>
      <x:c r="B2270" t="str">
        <x:v>DW-0633</x:v>
      </x:c>
      <x:c r="C2270" t="str">
        <x:v>Composition héritée</x:v>
      </x:c>
      <x:c r="D2270" t="str">
        <x:v>habitat</x:v>
      </x:c>
      <x:c r="E2270" t="str">
        <x:v>Immeuble résidentiel — variante 03 — Quartier pavillonnaire / évacuation interrompue</x:v>
      </x:c>
      <x:c r="F2270" t="n">
        <x:v>8</x:v>
      </x:c>
      <x:c r="G2270" t="n">
        <x:v>5</x:v>
      </x:c>
      <x:c r="H2270" t="n">
        <x:v>0</x:v>
      </x:c>
      <x:c r="I2270" t="str">
        <x:v>À qualifier par lieu</x:v>
      </x:c>
      <x:c r="J2270" t="str">
        <x:v>https://github.com/darknigthmare/deadwall-last-enclosure/blob/e28f46223e73105ab2c5d83f3d50b99b58ef53e6/codex-3000/compositions/habitat/DW-2265.md</x:v>
      </x:c>
      <x:c r="K2270" t="str">
        <x:v>Source min 22,39 m ; max 22,39 m ; modèle 26 × 39 m ; niveaux 0, 1. Détails dans catalogue-existant.json.</x:v>
      </x:c>
    </x:row>
    <x:row r="2271">
      <x:c r="A2271" t="str">
        <x:v>DW-2266</x:v>
      </x:c>
      <x:c r="B2271" t="str">
        <x:v>DW-0633</x:v>
      </x:c>
      <x:c r="C2271" t="str">
        <x:v>Composition héritée</x:v>
      </x:c>
      <x:c r="D2271" t="str">
        <x:v>habitat</x:v>
      </x:c>
      <x:c r="E2271" t="str">
        <x:v>Immeuble résidentiel — variante 03 — Village et bourg / service déplacé à l’arrière</x:v>
      </x:c>
      <x:c r="F2271" t="n">
        <x:v>8</x:v>
      </x:c>
      <x:c r="G2271" t="n">
        <x:v>5</x:v>
      </x:c>
      <x:c r="H2271" t="n">
        <x:v>0</x:v>
      </x:c>
      <x:c r="I2271" t="str">
        <x:v>À qualifier par lieu</x:v>
      </x:c>
      <x:c r="J2271" t="str">
        <x:v>https://github.com/darknigthmare/deadwall-last-enclosure/blob/e28f46223e73105ab2c5d83f3d50b99b58ef53e6/codex-3000/compositions/habitat/DW-2266.md</x:v>
      </x:c>
      <x:c r="K2271" t="str">
        <x:v>Source min 22,39 m ; max 22,39 m ; modèle 26 × 39 m ; niveaux 0, 1. Détails dans catalogue-existant.json.</x:v>
      </x:c>
    </x:row>
    <x:row r="2272">
      <x:c r="A2272" t="str">
        <x:v>DW-2267</x:v>
      </x:c>
      <x:c r="B2272" t="str">
        <x:v>DW-0634</x:v>
      </x:c>
      <x:c r="C2272" t="str">
        <x:v>Composition héritée</x:v>
      </x:c>
      <x:c r="D2272" t="str">
        <x:v>habitat</x:v>
      </x:c>
      <x:c r="E2272" t="str">
        <x:v>Barre de logements — variante 03 — Hameau / arrêt de maintenance</x:v>
      </x:c>
      <x:c r="F2272" t="n">
        <x:v>8</x:v>
      </x:c>
      <x:c r="G2272" t="n">
        <x:v>5</x:v>
      </x:c>
      <x:c r="H2272" t="n">
        <x:v>0</x:v>
      </x:c>
      <x:c r="I2272" t="str">
        <x:v>À qualifier par lieu</x:v>
      </x:c>
      <x:c r="J2272" t="str">
        <x:v>https://github.com/darknigthmare/deadwall-last-enclosure/blob/e28f46223e73105ab2c5d83f3d50b99b58ef53e6/codex-3000/compositions/habitat/DW-2267.md</x:v>
      </x:c>
      <x:c r="K2272" t="str">
        <x:v>Source min 33,56 m ; max 33,56 m ; modèle 33 × 56 m ; niveaux 0, 1, 2. Détails dans catalogue-existant.json.</x:v>
      </x:c>
    </x:row>
    <x:row r="2273">
      <x:c r="A2273" t="str">
        <x:v>DW-2268</x:v>
      </x:c>
      <x:c r="B2273" t="str">
        <x:v>DW-0634</x:v>
      </x:c>
      <x:c r="C2273" t="str">
        <x:v>Composition héritée</x:v>
      </x:c>
      <x:c r="D2273" t="str">
        <x:v>habitat</x:v>
      </x:c>
      <x:c r="E2273" t="str">
        <x:v>Barre de logements — variante 03 — Quartier collectif / reprise progressive de la végétation</x:v>
      </x:c>
      <x:c r="F2273" t="n">
        <x:v>8</x:v>
      </x:c>
      <x:c r="G2273" t="n">
        <x:v>5</x:v>
      </x:c>
      <x:c r="H2273" t="n">
        <x:v>0</x:v>
      </x:c>
      <x:c r="I2273" t="str">
        <x:v>À qualifier par lieu</x:v>
      </x:c>
      <x:c r="J2273" t="str">
        <x:v>https://github.com/darknigthmare/deadwall-last-enclosure/blob/e28f46223e73105ab2c5d83f3d50b99b58ef53e6/codex-3000/compositions/habitat/DW-2268.md</x:v>
      </x:c>
      <x:c r="K2273" t="str">
        <x:v>Source min 33,56 m ; max 33,56 m ; modèle 33 × 56 m ; niveaux 0, 1, 2. Détails dans catalogue-existant.json.</x:v>
      </x:c>
    </x:row>
    <x:row r="2274">
      <x:c r="A2274" t="str">
        <x:v>DW-2269</x:v>
      </x:c>
      <x:c r="B2274" t="str">
        <x:v>DW-0635</x:v>
      </x:c>
      <x:c r="C2274" t="str">
        <x:v>Composition héritée</x:v>
      </x:c>
      <x:c r="D2274" t="str">
        <x:v>habitat</x:v>
      </x:c>
      <x:c r="E2274" t="str">
        <x:v>Résidence senior — variante 03 — Village et bourg / première récupération passée</x:v>
      </x:c>
      <x:c r="F2274" t="n">
        <x:v>8</x:v>
      </x:c>
      <x:c r="G2274" t="n">
        <x:v>5</x:v>
      </x:c>
      <x:c r="H2274" t="n">
        <x:v>0</x:v>
      </x:c>
      <x:c r="I2274" t="str">
        <x:v>À qualifier par lieu</x:v>
      </x:c>
      <x:c r="J2274" t="str">
        <x:v>https://github.com/darknigthmare/deadwall-last-enclosure/blob/e28f46223e73105ab2c5d83f3d50b99b58ef53e6/codex-3000/compositions/habitat/DW-2269.md</x:v>
      </x:c>
      <x:c r="K2274" t="str">
        <x:v>Source min 44,19 m ; max 44,19 m ; modèle 44 × 22 m ; niveaux 0, 1, 2. Détails dans catalogue-existant.json.</x:v>
      </x:c>
    </x:row>
    <x:row r="2275">
      <x:c r="A2275" t="str">
        <x:v>DW-2270</x:v>
      </x:c>
      <x:c r="B2275" t="str">
        <x:v>DW-0635</x:v>
      </x:c>
      <x:c r="C2275" t="str">
        <x:v>Composition héritée</x:v>
      </x:c>
      <x:c r="D2275" t="str">
        <x:v>habitat</x:v>
      </x:c>
      <x:c r="E2275" t="str">
        <x:v>Résidence senior — variante 03 — Quartier pavillonnaire / relais temporaire envisagé</x:v>
      </x:c>
      <x:c r="F2275" t="n">
        <x:v>8</x:v>
      </x:c>
      <x:c r="G2275" t="n">
        <x:v>5</x:v>
      </x:c>
      <x:c r="H2275" t="n">
        <x:v>0</x:v>
      </x:c>
      <x:c r="I2275" t="str">
        <x:v>À qualifier par lieu</x:v>
      </x:c>
      <x:c r="J2275" t="str">
        <x:v>https://github.com/darknigthmare/deadwall-last-enclosure/blob/e28f46223e73105ab2c5d83f3d50b99b58ef53e6/codex-3000/compositions/habitat/DW-2270.md</x:v>
      </x:c>
      <x:c r="K2275" t="str">
        <x:v>Source min 44,19 m ; max 44,19 m ; modèle 44 × 22 m ; niveaux 0, 1, 2. Détails dans catalogue-existant.json.</x:v>
      </x:c>
    </x:row>
    <x:row r="2276">
      <x:c r="A2276" t="str">
        <x:v>DW-2271</x:v>
      </x:c>
      <x:c r="B2276" t="str">
        <x:v>DW-0636</x:v>
      </x:c>
      <x:c r="C2276" t="str">
        <x:v>Composition héritée</x:v>
      </x:c>
      <x:c r="D2276" t="str">
        <x:v>habitat</x:v>
      </x:c>
      <x:c r="E2276" t="str">
        <x:v>Maison avec sous-sol — variante 03 — Quartier collectif / service déplacé à l’arrière</x:v>
      </x:c>
      <x:c r="F2276" t="n">
        <x:v>8</x:v>
      </x:c>
      <x:c r="G2276" t="n">
        <x:v>5</x:v>
      </x:c>
      <x:c r="H2276" t="n">
        <x:v>0</x:v>
      </x:c>
      <x:c r="I2276" t="str">
        <x:v>À qualifier par lieu</x:v>
      </x:c>
      <x:c r="J2276" t="str">
        <x:v>https://github.com/darknigthmare/deadwall-last-enclosure/blob/e28f46223e73105ab2c5d83f3d50b99b58ef53e6/codex-3000/compositions/habitat/DW-2271.md</x:v>
      </x:c>
      <x:c r="K2276" t="str">
        <x:v>Source min 55,36 m ; max 55,36 m ; modèle 55 × 36 m ; niveaux 0. Détails dans catalogue-existant.json.</x:v>
      </x:c>
    </x:row>
    <x:row r="2277">
      <x:c r="A2277" t="str">
        <x:v>DW-2272</x:v>
      </x:c>
      <x:c r="B2277" t="str">
        <x:v>DW-0636</x:v>
      </x:c>
      <x:c r="C2277" t="str">
        <x:v>Composition héritée</x:v>
      </x:c>
      <x:c r="D2277" t="str">
        <x:v>habitat</x:v>
      </x:c>
      <x:c r="E2277" t="str">
        <x:v>Maison avec sous-sol — variante 03 — Hameau / réseau principal coupé</x:v>
      </x:c>
      <x:c r="F2277" t="n">
        <x:v>8</x:v>
      </x:c>
      <x:c r="G2277" t="n">
        <x:v>5</x:v>
      </x:c>
      <x:c r="H2277" t="n">
        <x:v>0</x:v>
      </x:c>
      <x:c r="I2277" t="str">
        <x:v>À qualifier par lieu</x:v>
      </x:c>
      <x:c r="J2277" t="str">
        <x:v>https://github.com/darknigthmare/deadwall-last-enclosure/blob/e28f46223e73105ab2c5d83f3d50b99b58ef53e6/codex-3000/compositions/habitat/DW-2272.md</x:v>
      </x:c>
      <x:c r="K2277" t="str">
        <x:v>Source min 55,36 m ; max 55,36 m ; modèle 55 × 36 m ; niveaux 0. Détails dans catalogue-existant.json.</x:v>
      </x:c>
    </x:row>
    <x:row r="2278">
      <x:c r="A2278" t="str">
        <x:v>DW-2273</x:v>
      </x:c>
      <x:c r="B2278" t="str">
        <x:v>DW-0637</x:v>
      </x:c>
      <x:c r="C2278" t="str">
        <x:v>Composition héritée</x:v>
      </x:c>
      <x:c r="D2278" t="str">
        <x:v>commerce</x:v>
      </x:c>
      <x:c r="E2278" t="str">
        <x:v>Supérette — variante 03 — Zone commerciale / reprise progressive de la végétation</x:v>
      </x:c>
      <x:c r="F2278" t="n">
        <x:v>8</x:v>
      </x:c>
      <x:c r="G2278" t="n">
        <x:v>5</x:v>
      </x:c>
      <x:c r="H2278" t="n">
        <x:v>0</x:v>
      </x:c>
      <x:c r="I2278" t="str">
        <x:v>À qualifier par lieu</x:v>
      </x:c>
      <x:c r="J2278" t="str">
        <x:v>https://github.com/darknigthmare/deadwall-last-enclosure/blob/e28f46223e73105ab2c5d83f3d50b99b58ef53e6/codex-3000/compositions/commerce/DW-2273.md</x:v>
      </x:c>
      <x:c r="K2278" t="str">
        <x:v>Source min 66,53 m ; max 66,53 m ; modèle 66 × 53 m ; niveaux 0, 1. Détails dans catalogue-existant.json.</x:v>
      </x:c>
    </x:row>
    <x:row r="2279">
      <x:c r="A2279" t="str">
        <x:v>DW-2274</x:v>
      </x:c>
      <x:c r="B2279" t="str">
        <x:v>DW-0637</x:v>
      </x:c>
      <x:c r="C2279" t="str">
        <x:v>Composition héritée</x:v>
      </x:c>
      <x:c r="D2279" t="str">
        <x:v>commerce</x:v>
      </x:c>
      <x:c r="E2279" t="str">
        <x:v>Supérette — variante 03 — Village et bourg / repli organisé interrompu</x:v>
      </x:c>
      <x:c r="F2279" t="n">
        <x:v>8</x:v>
      </x:c>
      <x:c r="G2279" t="n">
        <x:v>5</x:v>
      </x:c>
      <x:c r="H2279" t="n">
        <x:v>0</x:v>
      </x:c>
      <x:c r="I2279" t="str">
        <x:v>À qualifier par lieu</x:v>
      </x:c>
      <x:c r="J2279" t="str">
        <x:v>https://github.com/darknigthmare/deadwall-last-enclosure/blob/e28f46223e73105ab2c5d83f3d50b99b58ef53e6/codex-3000/compositions/commerce/DW-2274.md</x:v>
      </x:c>
      <x:c r="K2279" t="str">
        <x:v>Source min 66,53 m ; max 66,53 m ; modèle 66 × 53 m ; niveaux 0, 1. Détails dans catalogue-existant.json.</x:v>
      </x:c>
    </x:row>
    <x:row r="2280">
      <x:c r="A2280" t="str">
        <x:v>DW-2275</x:v>
      </x:c>
      <x:c r="B2280" t="str">
        <x:v>DW-0638</x:v>
      </x:c>
      <x:c r="C2280" t="str">
        <x:v>Composition héritée</x:v>
      </x:c>
      <x:c r="D2280" t="str">
        <x:v>commerce</x:v>
      </x:c>
      <x:c r="E2280" t="str">
        <x:v>Centre commercial — variante 03 — Ville moyenne / relais temporaire envisagé</x:v>
      </x:c>
      <x:c r="F2280" t="n">
        <x:v>8</x:v>
      </x:c>
      <x:c r="G2280" t="n">
        <x:v>6</x:v>
      </x:c>
      <x:c r="H2280" t="n">
        <x:v>0</x:v>
      </x:c>
      <x:c r="I2280" t="str">
        <x:v>À qualifier par lieu</x:v>
      </x:c>
      <x:c r="J2280" t="str">
        <x:v>https://github.com/darknigthmare/deadwall-last-enclosure/blob/e28f46223e73105ab2c5d83f3d50b99b58ef53e6/codex-3000/compositions/commerce/DW-2275.md</x:v>
      </x:c>
      <x:c r="K2280" t="str">
        <x:v>Source min 77,16 m ; max 77,16 m ; modèle 77 × 22 m ; niveaux 0. Détails dans catalogue-existant.json.</x:v>
      </x:c>
    </x:row>
    <x:row r="2281">
      <x:c r="A2281" t="str">
        <x:v>DW-2276</x:v>
      </x:c>
      <x:c r="B2281" t="str">
        <x:v>DW-0638</x:v>
      </x:c>
      <x:c r="C2281" t="str">
        <x:v>Composition héritée</x:v>
      </x:c>
      <x:c r="D2281" t="str">
        <x:v>commerce</x:v>
      </x:c>
      <x:c r="E2281" t="str">
        <x:v>Centre commercial — variante 03 — Grande ville et métropole / évacuation interrompue</x:v>
      </x:c>
      <x:c r="F2281" t="n">
        <x:v>8</x:v>
      </x:c>
      <x:c r="G2281" t="n">
        <x:v>6</x:v>
      </x:c>
      <x:c r="H2281" t="n">
        <x:v>0</x:v>
      </x:c>
      <x:c r="I2281" t="str">
        <x:v>À qualifier par lieu</x:v>
      </x:c>
      <x:c r="J2281" t="str">
        <x:v>https://github.com/darknigthmare/deadwall-last-enclosure/blob/e28f46223e73105ab2c5d83f3d50b99b58ef53e6/codex-3000/compositions/commerce/DW-2276.md</x:v>
      </x:c>
      <x:c r="K2281" t="str">
        <x:v>Source min 77,16 m ; max 77,16 m ; modèle 77 × 22 m ; niveaux 0. Détails dans catalogue-existant.json.</x:v>
      </x:c>
    </x:row>
    <x:row r="2282">
      <x:c r="A2282" t="str">
        <x:v>DW-2277</x:v>
      </x:c>
      <x:c r="B2282" t="str">
        <x:v>DW-0639</x:v>
      </x:c>
      <x:c r="C2282" t="str">
        <x:v>Composition héritée</x:v>
      </x:c>
      <x:c r="D2282" t="str">
        <x:v>commerce</x:v>
      </x:c>
      <x:c r="E2282" t="str">
        <x:v>Supermarché — variante 03 — Village et bourg / réseau principal coupé</x:v>
      </x:c>
      <x:c r="F2282" t="n">
        <x:v>8</x:v>
      </x:c>
      <x:c r="G2282" t="n">
        <x:v>7</x:v>
      </x:c>
      <x:c r="H2282" t="n">
        <x:v>0</x:v>
      </x:c>
      <x:c r="I2282" t="str">
        <x:v>À qualifier par lieu</x:v>
      </x:c>
      <x:c r="J2282" t="str">
        <x:v>https://github.com/darknigthmare/deadwall-last-enclosure/blob/e28f46223e73105ab2c5d83f3d50b99b58ef53e6/codex-3000/compositions/commerce/DW-2277.md</x:v>
      </x:c>
      <x:c r="K2282" t="str">
        <x:v>Source min 16,33 m ; max 16,33 m ; modèle 29 × 33 m ; niveaux 0. Détails dans catalogue-existant.json.</x:v>
      </x:c>
    </x:row>
    <x:row r="2283">
      <x:c r="A2283" t="str">
        <x:v>DW-2278</x:v>
      </x:c>
      <x:c r="B2283" t="str">
        <x:v>DW-0639</x:v>
      </x:c>
      <x:c r="C2283" t="str">
        <x:v>Composition héritée</x:v>
      </x:c>
      <x:c r="D2283" t="str">
        <x:v>commerce</x:v>
      </x:c>
      <x:c r="E2283" t="str">
        <x:v>Supermarché — variante 03 — Zone commerciale / arrêt de maintenance</x:v>
      </x:c>
      <x:c r="F2283" t="n">
        <x:v>8</x:v>
      </x:c>
      <x:c r="G2283" t="n">
        <x:v>7</x:v>
      </x:c>
      <x:c r="H2283" t="n">
        <x:v>0</x:v>
      </x:c>
      <x:c r="I2283" t="str">
        <x:v>À qualifier par lieu</x:v>
      </x:c>
      <x:c r="J2283" t="str">
        <x:v>https://github.com/darknigthmare/deadwall-last-enclosure/blob/e28f46223e73105ab2c5d83f3d50b99b58ef53e6/codex-3000/compositions/commerce/DW-2278.md</x:v>
      </x:c>
      <x:c r="K2283" t="str">
        <x:v>Source min 16,33 m ; max 16,33 m ; modèle 29 × 33 m ; niveaux 0. Détails dans catalogue-existant.json.</x:v>
      </x:c>
    </x:row>
    <x:row r="2284">
      <x:c r="A2284" t="str">
        <x:v>DW-2279</x:v>
      </x:c>
      <x:c r="B2284" t="str">
        <x:v>DW-0640</x:v>
      </x:c>
      <x:c r="C2284" t="str">
        <x:v>Composition héritée</x:v>
      </x:c>
      <x:c r="D2284" t="str">
        <x:v>commerce</x:v>
      </x:c>
      <x:c r="E2284" t="str">
        <x:v>Magasin de bricolage — variante 03 — Grande ville et métropole / repli organisé interrompu</x:v>
      </x:c>
      <x:c r="F2284" t="n">
        <x:v>8</x:v>
      </x:c>
      <x:c r="G2284" t="n">
        <x:v>5</x:v>
      </x:c>
      <x:c r="H2284" t="n">
        <x:v>0</x:v>
      </x:c>
      <x:c r="I2284" t="str">
        <x:v>À qualifier par lieu</x:v>
      </x:c>
      <x:c r="J2284" t="str">
        <x:v>https://github.com/darknigthmare/deadwall-last-enclosure/blob/e28f46223e73105ab2c5d83f3d50b99b58ef53e6/codex-3000/compositions/commerce/DW-2279.md</x:v>
      </x:c>
      <x:c r="K2284" t="str">
        <x:v>Source min 27,50 m ; max 27,50 m ; modèle 27 × 50 m ; niveaux 0. Détails dans catalogue-existant.json.</x:v>
      </x:c>
    </x:row>
    <x:row r="2285">
      <x:c r="A2285" t="str">
        <x:v>DW-2280</x:v>
      </x:c>
      <x:c r="B2285" t="str">
        <x:v>DW-0640</x:v>
      </x:c>
      <x:c r="C2285" t="str">
        <x:v>Composition héritée</x:v>
      </x:c>
      <x:c r="D2285" t="str">
        <x:v>commerce</x:v>
      </x:c>
      <x:c r="E2285" t="str">
        <x:v>Magasin de bricolage — variante 03 — Ville moyenne / première récupération passée</x:v>
      </x:c>
      <x:c r="F2285" t="n">
        <x:v>8</x:v>
      </x:c>
      <x:c r="G2285" t="n">
        <x:v>5</x:v>
      </x:c>
      <x:c r="H2285" t="n">
        <x:v>0</x:v>
      </x:c>
      <x:c r="I2285" t="str">
        <x:v>À qualifier par lieu</x:v>
      </x:c>
      <x:c r="J2285" t="str">
        <x:v>https://github.com/darknigthmare/deadwall-last-enclosure/blob/e28f46223e73105ab2c5d83f3d50b99b58ef53e6/codex-3000/compositions/commerce/DW-2280.md</x:v>
      </x:c>
      <x:c r="K2285" t="str">
        <x:v>Source min 27,50 m ; max 27,50 m ; modèle 27 × 50 m ; niveaux 0. Détails dans catalogue-existant.json.</x:v>
      </x:c>
    </x:row>
    <x:row r="2286">
      <x:c r="A2286" t="str">
        <x:v>DW-2281</x:v>
      </x:c>
      <x:c r="B2286" t="str">
        <x:v>DW-0641</x:v>
      </x:c>
      <x:c r="C2286" t="str">
        <x:v>Composition héritée</x:v>
      </x:c>
      <x:c r="D2286" t="str">
        <x:v>commerce</x:v>
      </x:c>
      <x:c r="E2286" t="str">
        <x:v>Pharmacie — variante 03 — Zone commerciale / évacuation interrompue</x:v>
      </x:c>
      <x:c r="F2286" t="n">
        <x:v>8</x:v>
      </x:c>
      <x:c r="G2286" t="n">
        <x:v>4</x:v>
      </x:c>
      <x:c r="H2286" t="n">
        <x:v>0</x:v>
      </x:c>
      <x:c r="I2286" t="str">
        <x:v>À qualifier par lieu</x:v>
      </x:c>
      <x:c r="J2286" t="str">
        <x:v>https://github.com/darknigthmare/deadwall-last-enclosure/blob/e28f46223e73105ab2c5d83f3d50b99b58ef53e6/codex-3000/compositions/commerce/DW-2281.md</x:v>
      </x:c>
      <x:c r="K2286" t="str">
        <x:v>Source min 38,13 m ; max 38,13 m ; modèle 38 × 18 m ; niveaux 0, 1. Détails dans catalogue-existant.json.</x:v>
      </x:c>
    </x:row>
    <x:row r="2287">
      <x:c r="A2287" t="str">
        <x:v>DW-2282</x:v>
      </x:c>
      <x:c r="B2287" t="str">
        <x:v>DW-0641</x:v>
      </x:c>
      <x:c r="C2287" t="str">
        <x:v>Composition héritée</x:v>
      </x:c>
      <x:c r="D2287" t="str">
        <x:v>commerce</x:v>
      </x:c>
      <x:c r="E2287" t="str">
        <x:v>Pharmacie — variante 03 — Village et bourg / service déplacé à l’arrière</x:v>
      </x:c>
      <x:c r="F2287" t="n">
        <x:v>8</x:v>
      </x:c>
      <x:c r="G2287" t="n">
        <x:v>4</x:v>
      </x:c>
      <x:c r="H2287" t="n">
        <x:v>0</x:v>
      </x:c>
      <x:c r="I2287" t="str">
        <x:v>À qualifier par lieu</x:v>
      </x:c>
      <x:c r="J2287" t="str">
        <x:v>https://github.com/darknigthmare/deadwall-last-enclosure/blob/e28f46223e73105ab2c5d83f3d50b99b58ef53e6/codex-3000/compositions/commerce/DW-2282.md</x:v>
      </x:c>
      <x:c r="K2287" t="str">
        <x:v>Source min 38,13 m ; max 38,13 m ; modèle 38 × 18 m ; niveaux 0, 1. Détails dans catalogue-existant.json.</x:v>
      </x:c>
    </x:row>
    <x:row r="2288">
      <x:c r="A2288" t="str">
        <x:v>DW-2283</x:v>
      </x:c>
      <x:c r="B2288" t="str">
        <x:v>DW-0642</x:v>
      </x:c>
      <x:c r="C2288" t="str">
        <x:v>Composition héritée</x:v>
      </x:c>
      <x:c r="D2288" t="str">
        <x:v>commerce</x:v>
      </x:c>
      <x:c r="E2288" t="str">
        <x:v>Station-service — variante 03 — Ville moyenne / arrêt de maintenance</x:v>
      </x:c>
      <x:c r="F2288" t="n">
        <x:v>8</x:v>
      </x:c>
      <x:c r="G2288" t="n">
        <x:v>5</x:v>
      </x:c>
      <x:c r="H2288" t="n">
        <x:v>0</x:v>
      </x:c>
      <x:c r="I2288" t="str">
        <x:v>À qualifier par lieu</x:v>
      </x:c>
      <x:c r="J2288" t="str">
        <x:v>https://github.com/darknigthmare/deadwall-last-enclosure/blob/e28f46223e73105ab2c5d83f3d50b99b58ef53e6/codex-3000/compositions/commerce/DW-2283.md</x:v>
      </x:c>
      <x:c r="K2288" t="str">
        <x:v>Source min 49,30 m ; max 49,30 m ; modèle 49 × 30 m ; niveaux 0. Détails dans catalogue-existant.json.</x:v>
      </x:c>
    </x:row>
    <x:row r="2289">
      <x:c r="A2289" t="str">
        <x:v>DW-2284</x:v>
      </x:c>
      <x:c r="B2289" t="str">
        <x:v>DW-0642</x:v>
      </x:c>
      <x:c r="C2289" t="str">
        <x:v>Composition héritée</x:v>
      </x:c>
      <x:c r="D2289" t="str">
        <x:v>commerce</x:v>
      </x:c>
      <x:c r="E2289" t="str">
        <x:v>Station-service — variante 03 — Grande ville et métropole / reprise progressive de la végétation</x:v>
      </x:c>
      <x:c r="F2289" t="n">
        <x:v>8</x:v>
      </x:c>
      <x:c r="G2289" t="n">
        <x:v>5</x:v>
      </x:c>
      <x:c r="H2289" t="n">
        <x:v>0</x:v>
      </x:c>
      <x:c r="I2289" t="str">
        <x:v>À qualifier par lieu</x:v>
      </x:c>
      <x:c r="J2289" t="str">
        <x:v>https://github.com/darknigthmare/deadwall-last-enclosure/blob/e28f46223e73105ab2c5d83f3d50b99b58ef53e6/codex-3000/compositions/commerce/DW-2284.md</x:v>
      </x:c>
      <x:c r="K2289" t="str">
        <x:v>Source min 49,30 m ; max 49,30 m ; modèle 49 × 30 m ; niveaux 0. Détails dans catalogue-existant.json.</x:v>
      </x:c>
    </x:row>
    <x:row r="2290">
      <x:c r="A2290" t="str">
        <x:v>DW-2285</x:v>
      </x:c>
      <x:c r="B2290" t="str">
        <x:v>DW-0643</x:v>
      </x:c>
      <x:c r="C2290" t="str">
        <x:v>Composition héritée</x:v>
      </x:c>
      <x:c r="D2290" t="str">
        <x:v>commerce</x:v>
      </x:c>
      <x:c r="E2290" t="str">
        <x:v>Restaurant routier — variante 03 — Village et bourg / première récupération passée</x:v>
      </x:c>
      <x:c r="F2290" t="n">
        <x:v>8</x:v>
      </x:c>
      <x:c r="G2290" t="n">
        <x:v>5</x:v>
      </x:c>
      <x:c r="H2290" t="n">
        <x:v>0</x:v>
      </x:c>
      <x:c r="I2290" t="str">
        <x:v>À qualifier par lieu</x:v>
      </x:c>
      <x:c r="J2290" t="str">
        <x:v>https://github.com/darknigthmare/deadwall-last-enclosure/blob/e28f46223e73105ab2c5d83f3d50b99b58ef53e6/codex-3000/compositions/commerce/DW-2285.md</x:v>
      </x:c>
      <x:c r="K2290" t="str">
        <x:v>Source min 60,47 m ; max 60,47 m ; modèle 60 × 47 m ; niveaux 0. Détails dans catalogue-existant.json.</x:v>
      </x:c>
    </x:row>
    <x:row r="2291">
      <x:c r="A2291" t="str">
        <x:v>DW-2286</x:v>
      </x:c>
      <x:c r="B2291" t="str">
        <x:v>DW-0643</x:v>
      </x:c>
      <x:c r="C2291" t="str">
        <x:v>Composition héritée</x:v>
      </x:c>
      <x:c r="D2291" t="str">
        <x:v>commerce</x:v>
      </x:c>
      <x:c r="E2291" t="str">
        <x:v>Restaurant routier — variante 03 — Zone commerciale / relais temporaire envisagé</x:v>
      </x:c>
      <x:c r="F2291" t="n">
        <x:v>8</x:v>
      </x:c>
      <x:c r="G2291" t="n">
        <x:v>5</x:v>
      </x:c>
      <x:c r="H2291" t="n">
        <x:v>0</x:v>
      </x:c>
      <x:c r="I2291" t="str">
        <x:v>À qualifier par lieu</x:v>
      </x:c>
      <x:c r="J2291" t="str">
        <x:v>https://github.com/darknigthmare/deadwall-last-enclosure/blob/e28f46223e73105ab2c5d83f3d50b99b58ef53e6/codex-3000/compositions/commerce/DW-2286.md</x:v>
      </x:c>
      <x:c r="K2291" t="str">
        <x:v>Source min 60,47 m ; max 60,47 m ; modèle 60 × 47 m ; niveaux 0. Détails dans catalogue-existant.json.</x:v>
      </x:c>
    </x:row>
    <x:row r="2292">
      <x:c r="A2292" t="str">
        <x:v>DW-2287</x:v>
      </x:c>
      <x:c r="B2292" t="str">
        <x:v>DW-0644</x:v>
      </x:c>
      <x:c r="C2292" t="str">
        <x:v>Composition héritée</x:v>
      </x:c>
      <x:c r="D2292" t="str">
        <x:v>commerce</x:v>
      </x:c>
      <x:c r="E2292" t="str">
        <x:v>Hôtel — variante 03 — Grande ville et métropole / service déplacé à l’arrière</x:v>
      </x:c>
      <x:c r="F2292" t="n">
        <x:v>8</x:v>
      </x:c>
      <x:c r="G2292" t="n">
        <x:v>6</x:v>
      </x:c>
      <x:c r="H2292" t="n">
        <x:v>0</x:v>
      </x:c>
      <x:c r="I2292" t="str">
        <x:v>À qualifier par lieu</x:v>
      </x:c>
      <x:c r="J2292" t="str">
        <x:v>https://github.com/darknigthmare/deadwall-last-enclosure/blob/e28f46223e73105ab2c5d83f3d50b99b58ef53e6/codex-3000/compositions/commerce/DW-2287.md</x:v>
      </x:c>
      <x:c r="K2292" t="str">
        <x:v>Source min 71,10 m ; max 71,10 m ; modèle 71 × 22 m ; niveaux 0. Détails dans catalogue-existant.json.</x:v>
      </x:c>
    </x:row>
    <x:row r="2293">
      <x:c r="A2293" t="str">
        <x:v>DW-2288</x:v>
      </x:c>
      <x:c r="B2293" t="str">
        <x:v>DW-0644</x:v>
      </x:c>
      <x:c r="C2293" t="str">
        <x:v>Composition héritée</x:v>
      </x:c>
      <x:c r="D2293" t="str">
        <x:v>commerce</x:v>
      </x:c>
      <x:c r="E2293" t="str">
        <x:v>Hôtel — variante 03 — Ville moyenne / réseau principal coupé</x:v>
      </x:c>
      <x:c r="F2293" t="n">
        <x:v>8</x:v>
      </x:c>
      <x:c r="G2293" t="n">
        <x:v>6</x:v>
      </x:c>
      <x:c r="H2293" t="n">
        <x:v>0</x:v>
      </x:c>
      <x:c r="I2293" t="str">
        <x:v>À qualifier par lieu</x:v>
      </x:c>
      <x:c r="J2293" t="str">
        <x:v>https://github.com/darknigthmare/deadwall-last-enclosure/blob/e28f46223e73105ab2c5d83f3d50b99b58ef53e6/codex-3000/compositions/commerce/DW-2288.md</x:v>
      </x:c>
      <x:c r="K2293" t="str">
        <x:v>Source min 71,10 m ; max 71,10 m ; modèle 71 × 22 m ; niveaux 0. Détails dans catalogue-existant.json.</x:v>
      </x:c>
    </x:row>
    <x:row r="2294">
      <x:c r="A2294" t="str">
        <x:v>DW-2289</x:v>
      </x:c>
      <x:c r="B2294" t="str">
        <x:v>DW-0645</x:v>
      </x:c>
      <x:c r="C2294" t="str">
        <x:v>Composition héritée</x:v>
      </x:c>
      <x:c r="D2294" t="str">
        <x:v>industrie</x:v>
      </x:c>
      <x:c r="E2294" t="str">
        <x:v>Scierie — variante 03 — Zone industrielle / reprise progressive de la végétation</x:v>
      </x:c>
      <x:c r="F2294" t="n">
        <x:v>8</x:v>
      </x:c>
      <x:c r="G2294" t="n">
        <x:v>5</x:v>
      </x:c>
      <x:c r="H2294" t="n">
        <x:v>0</x:v>
      </x:c>
      <x:c r="I2294" t="str">
        <x:v>À qualifier par lieu</x:v>
      </x:c>
      <x:c r="J2294" t="str">
        <x:v>https://github.com/darknigthmare/deadwall-last-enclosure/blob/e28f46223e73105ab2c5d83f3d50b99b58ef53e6/codex-3000/compositions/industrie/DW-2289.md</x:v>
      </x:c>
      <x:c r="K2294" t="str">
        <x:v>Source min 10,27 m ; max 10,27 m ; modèle 26 × 27 m ; niveaux 0. Détails dans catalogue-existant.json.</x:v>
      </x:c>
    </x:row>
    <x:row r="2295">
      <x:c r="A2295" t="str">
        <x:v>DW-2290</x:v>
      </x:c>
      <x:c r="B2295" t="str">
        <x:v>DW-0645</x:v>
      </x:c>
      <x:c r="C2295" t="str">
        <x:v>Composition héritée</x:v>
      </x:c>
      <x:c r="D2295" t="str">
        <x:v>industrie</x:v>
      </x:c>
      <x:c r="E2295" t="str">
        <x:v>Scierie — variante 03 — Entrepôt et plateforme logistique / repli organisé interrompu</x:v>
      </x:c>
      <x:c r="F2295" t="n">
        <x:v>8</x:v>
      </x:c>
      <x:c r="G2295" t="n">
        <x:v>5</x:v>
      </x:c>
      <x:c r="H2295" t="n">
        <x:v>0</x:v>
      </x:c>
      <x:c r="I2295" t="str">
        <x:v>À qualifier par lieu</x:v>
      </x:c>
      <x:c r="J2295" t="str">
        <x:v>https://github.com/darknigthmare/deadwall-last-enclosure/blob/e28f46223e73105ab2c5d83f3d50b99b58ef53e6/codex-3000/compositions/industrie/DW-2290.md</x:v>
      </x:c>
      <x:c r="K2295" t="str">
        <x:v>Source min 10,27 m ; max 10,27 m ; modèle 26 × 27 m ; niveaux 0. Détails dans catalogue-existant.json.</x:v>
      </x:c>
    </x:row>
    <x:row r="2296">
      <x:c r="A2296" t="str">
        <x:v>DW-2291</x:v>
      </x:c>
      <x:c r="B2296" t="str">
        <x:v>DW-0646</x:v>
      </x:c>
      <x:c r="C2296" t="str">
        <x:v>Composition héritée</x:v>
      </x:c>
      <x:c r="D2296" t="str">
        <x:v>industrie</x:v>
      </x:c>
      <x:c r="E2296" t="str">
        <x:v>Garage automobile — variante 03 — Atelier et artisanat / relais temporaire envisagé</x:v>
      </x:c>
      <x:c r="F2296" t="n">
        <x:v>8</x:v>
      </x:c>
      <x:c r="G2296" t="n">
        <x:v>5</x:v>
      </x:c>
      <x:c r="H2296" t="n">
        <x:v>0</x:v>
      </x:c>
      <x:c r="I2296" t="str">
        <x:v>À qualifier par lieu</x:v>
      </x:c>
      <x:c r="J2296" t="str">
        <x:v>https://github.com/darknigthmare/deadwall-last-enclosure/blob/e28f46223e73105ab2c5d83f3d50b99b58ef53e6/codex-3000/compositions/industrie/DW-2291.md</x:v>
      </x:c>
      <x:c r="K2296" t="str">
        <x:v>Source min 21,44 m ; max 21,44 m ; modèle 26 × 44 m ; niveaux 0. Détails dans catalogue-existant.json.</x:v>
      </x:c>
    </x:row>
    <x:row r="2297">
      <x:c r="A2297" t="str">
        <x:v>DW-2292</x:v>
      </x:c>
      <x:c r="B2297" t="str">
        <x:v>DW-0646</x:v>
      </x:c>
      <x:c r="C2297" t="str">
        <x:v>Composition héritée</x:v>
      </x:c>
      <x:c r="D2297" t="str">
        <x:v>industrie</x:v>
      </x:c>
      <x:c r="E2297" t="str">
        <x:v>Garage automobile — variante 03 — Gare et fret / évacuation interrompue</x:v>
      </x:c>
      <x:c r="F2297" t="n">
        <x:v>10</x:v>
      </x:c>
      <x:c r="G2297" t="n">
        <x:v>5</x:v>
      </x:c>
      <x:c r="H2297" t="n">
        <x:v>0</x:v>
      </x:c>
      <x:c r="I2297" t="str">
        <x:v>À qualifier par lieu</x:v>
      </x:c>
      <x:c r="J2297" t="str">
        <x:v>https://github.com/darknigthmare/deadwall-last-enclosure/blob/e28f46223e73105ab2c5d83f3d50b99b58ef53e6/codex-3000/compositions/industrie/DW-2292.md</x:v>
      </x:c>
      <x:c r="K2297" t="str">
        <x:v>Source min 21,44 m ; max 21,44 m ; modèle 26 × 44 m ; niveaux 0. Détails dans catalogue-existant.json.</x:v>
      </x:c>
    </x:row>
    <x:row r="2298">
      <x:c r="A2298" t="str">
        <x:v>DW-2293</x:v>
      </x:c>
      <x:c r="B2298" t="str">
        <x:v>DW-0647</x:v>
      </x:c>
      <x:c r="C2298" t="str">
        <x:v>Composition héritée</x:v>
      </x:c>
      <x:c r="D2298" t="str">
        <x:v>industrie</x:v>
      </x:c>
      <x:c r="E2298" t="str">
        <x:v>Entrepôt logistique — variante 03 — Entrepôt et plateforme logistique / réseau principal coupé</x:v>
      </x:c>
      <x:c r="F2298" t="n">
        <x:v>8</x:v>
      </x:c>
      <x:c r="G2298" t="n">
        <x:v>5</x:v>
      </x:c>
      <x:c r="H2298" t="n">
        <x:v>0</x:v>
      </x:c>
      <x:c r="I2298" t="str">
        <x:v>À qualifier par lieu</x:v>
      </x:c>
      <x:c r="J2298" t="str">
        <x:v>https://github.com/darknigthmare/deadwall-last-enclosure/blob/e28f46223e73105ab2c5d83f3d50b99b58ef53e6/codex-3000/compositions/industrie/DW-2293.md</x:v>
      </x:c>
      <x:c r="K2298" t="str">
        <x:v>Source min 32,61 m ; max 32,61 m ; modèle 32 × 61 m ; niveaux 0. Détails dans catalogue-existant.json.</x:v>
      </x:c>
    </x:row>
    <x:row r="2299">
      <x:c r="A2299" t="str">
        <x:v>DW-2294</x:v>
      </x:c>
      <x:c r="B2299" t="str">
        <x:v>DW-0647</x:v>
      </x:c>
      <x:c r="C2299" t="str">
        <x:v>Composition héritée</x:v>
      </x:c>
      <x:c r="D2299" t="str">
        <x:v>industrie</x:v>
      </x:c>
      <x:c r="E2299" t="str">
        <x:v>Entrepôt logistique — variante 03 — Zone industrielle / arrêt de maintenance</x:v>
      </x:c>
      <x:c r="F2299" t="n">
        <x:v>8</x:v>
      </x:c>
      <x:c r="G2299" t="n">
        <x:v>5</x:v>
      </x:c>
      <x:c r="H2299" t="n">
        <x:v>0</x:v>
      </x:c>
      <x:c r="I2299" t="str">
        <x:v>À qualifier par lieu</x:v>
      </x:c>
      <x:c r="J2299" t="str">
        <x:v>https://github.com/darknigthmare/deadwall-last-enclosure/blob/e28f46223e73105ab2c5d83f3d50b99b58ef53e6/codex-3000/compositions/industrie/DW-2294.md</x:v>
      </x:c>
      <x:c r="K2299" t="str">
        <x:v>Source min 32,61 m ; max 32,61 m ; modèle 32 × 61 m ; niveaux 0. Détails dans catalogue-existant.json.</x:v>
      </x:c>
    </x:row>
    <x:row r="2300">
      <x:c r="A2300" t="str">
        <x:v>DW-2295</x:v>
      </x:c>
      <x:c r="B2300" t="str">
        <x:v>DW-0648</x:v>
      </x:c>
      <x:c r="C2300" t="str">
        <x:v>Composition héritée</x:v>
      </x:c>
      <x:c r="D2300" t="str">
        <x:v>industrie</x:v>
      </x:c>
      <x:c r="E2300" t="str">
        <x:v>Petite usine — variante 03 — Gare et fret / repli organisé interrompu</x:v>
      </x:c>
      <x:c r="F2300" t="n">
        <x:v>10</x:v>
      </x:c>
      <x:c r="G2300" t="n">
        <x:v>5</x:v>
      </x:c>
      <x:c r="H2300" t="n">
        <x:v>0</x:v>
      </x:c>
      <x:c r="I2300" t="str">
        <x:v>À qualifier par lieu</x:v>
      </x:c>
      <x:c r="J2300" t="str">
        <x:v>https://github.com/darknigthmare/deadwall-last-enclosure/blob/e28f46223e73105ab2c5d83f3d50b99b58ef53e6/codex-3000/compositions/industrie/DW-2295.md</x:v>
      </x:c>
      <x:c r="K2300" t="str">
        <x:v>Source min 43,24 m ; max 43,24 m ; modèle 43 × 24 m ; niveaux 0. Détails dans catalogue-existant.json.</x:v>
      </x:c>
    </x:row>
    <x:row r="2301">
      <x:c r="A2301" t="str">
        <x:v>DW-2296</x:v>
      </x:c>
      <x:c r="B2301" t="str">
        <x:v>DW-0648</x:v>
      </x:c>
      <x:c r="C2301" t="str">
        <x:v>Composition héritée</x:v>
      </x:c>
      <x:c r="D2301" t="str">
        <x:v>industrie</x:v>
      </x:c>
      <x:c r="E2301" t="str">
        <x:v>Petite usine — variante 03 — Atelier et artisanat / première récupération passée</x:v>
      </x:c>
      <x:c r="F2301" t="n">
        <x:v>8</x:v>
      </x:c>
      <x:c r="G2301" t="n">
        <x:v>5</x:v>
      </x:c>
      <x:c r="H2301" t="n">
        <x:v>0</x:v>
      </x:c>
      <x:c r="I2301" t="str">
        <x:v>À qualifier par lieu</x:v>
      </x:c>
      <x:c r="J2301" t="str">
        <x:v>https://github.com/darknigthmare/deadwall-last-enclosure/blob/e28f46223e73105ab2c5d83f3d50b99b58ef53e6/codex-3000/compositions/industrie/DW-2296.md</x:v>
      </x:c>
      <x:c r="K2301" t="str">
        <x:v>Source min 43,24 m ; max 43,24 m ; modèle 43 × 24 m ; niveaux 0. Détails dans catalogue-existant.json.</x:v>
      </x:c>
    </x:row>
    <x:row r="2302">
      <x:c r="A2302" t="str">
        <x:v>DW-2297</x:v>
      </x:c>
      <x:c r="B2302" t="str">
        <x:v>DW-0649</x:v>
      </x:c>
      <x:c r="C2302" t="str">
        <x:v>Composition héritée</x:v>
      </x:c>
      <x:c r="D2302" t="str">
        <x:v>industrie</x:v>
      </x:c>
      <x:c r="E2302" t="str">
        <x:v>Carrière — variante 03 — Zone industrielle / évacuation interrompue</x:v>
      </x:c>
      <x:c r="F2302" t="n">
        <x:v>8</x:v>
      </x:c>
      <x:c r="G2302" t="n">
        <x:v>5</x:v>
      </x:c>
      <x:c r="H2302" t="n">
        <x:v>0</x:v>
      </x:c>
      <x:c r="I2302" t="str">
        <x:v>À qualifier par lieu</x:v>
      </x:c>
      <x:c r="J2302" t="str">
        <x:v>https://github.com/darknigthmare/deadwall-last-enclosure/blob/e28f46223e73105ab2c5d83f3d50b99b58ef53e6/codex-3000/compositions/industrie/DW-2297.md</x:v>
      </x:c>
      <x:c r="K2302" t="str">
        <x:v>Source min 54,41 m ; max 54,41 m ; modèle 54 × 41 m ; niveaux 0. Détails dans catalogue-existant.json.</x:v>
      </x:c>
    </x:row>
    <x:row r="2303">
      <x:c r="A2303" t="str">
        <x:v>DW-2298</x:v>
      </x:c>
      <x:c r="B2303" t="str">
        <x:v>DW-0649</x:v>
      </x:c>
      <x:c r="C2303" t="str">
        <x:v>Composition héritée</x:v>
      </x:c>
      <x:c r="D2303" t="str">
        <x:v>industrie</x:v>
      </x:c>
      <x:c r="E2303" t="str">
        <x:v>Carrière — variante 03 — Entrepôt et plateforme logistique / service déplacé à l’arrière</x:v>
      </x:c>
      <x:c r="F2303" t="n">
        <x:v>8</x:v>
      </x:c>
      <x:c r="G2303" t="n">
        <x:v>5</x:v>
      </x:c>
      <x:c r="H2303" t="n">
        <x:v>0</x:v>
      </x:c>
      <x:c r="I2303" t="str">
        <x:v>À qualifier par lieu</x:v>
      </x:c>
      <x:c r="J2303" t="str">
        <x:v>https://github.com/darknigthmare/deadwall-last-enclosure/blob/e28f46223e73105ab2c5d83f3d50b99b58ef53e6/codex-3000/compositions/industrie/DW-2298.md</x:v>
      </x:c>
      <x:c r="K2303" t="str">
        <x:v>Source min 54,41 m ; max 54,41 m ; modèle 54 × 41 m ; niveaux 0. Détails dans catalogue-existant.json.</x:v>
      </x:c>
    </x:row>
    <x:row r="2304">
      <x:c r="A2304" t="str">
        <x:v>DW-2299</x:v>
      </x:c>
      <x:c r="B2304" t="str">
        <x:v>DW-0650</x:v>
      </x:c>
      <x:c r="C2304" t="str">
        <x:v>Composition héritée</x:v>
      </x:c>
      <x:c r="D2304" t="str">
        <x:v>industrie</x:v>
      </x:c>
      <x:c r="E2304" t="str">
        <x:v>Mine — variante 03 — Atelier et artisanat / arrêt de maintenance</x:v>
      </x:c>
      <x:c r="F2304" t="n">
        <x:v>8</x:v>
      </x:c>
      <x:c r="G2304" t="n">
        <x:v>6</x:v>
      </x:c>
      <x:c r="H2304" t="n">
        <x:v>0</x:v>
      </x:c>
      <x:c r="I2304" t="str">
        <x:v>À qualifier par lieu</x:v>
      </x:c>
      <x:c r="J2304" t="str">
        <x:v>https://github.com/darknigthmare/deadwall-last-enclosure/blob/e28f46223e73105ab2c5d83f3d50b99b58ef53e6/codex-3000/compositions/industrie/DW-2299.md</x:v>
      </x:c>
      <x:c r="K2304" t="str">
        <x:v>Source min 65,58 m ; max 65,58 m ; modèle 65 × 58 m ; niveaux 0. Détails dans catalogue-existant.json.</x:v>
      </x:c>
    </x:row>
    <x:row r="2305">
      <x:c r="A2305" t="str">
        <x:v>DW-2300</x:v>
      </x:c>
      <x:c r="B2305" t="str">
        <x:v>DW-0650</x:v>
      </x:c>
      <x:c r="C2305" t="str">
        <x:v>Composition héritée</x:v>
      </x:c>
      <x:c r="D2305" t="str">
        <x:v>industrie</x:v>
      </x:c>
      <x:c r="E2305" t="str">
        <x:v>Mine — variante 03 — Gare et fret / reprise progressive de la végétation</x:v>
      </x:c>
      <x:c r="F2305" t="n">
        <x:v>10</x:v>
      </x:c>
      <x:c r="G2305" t="n">
        <x:v>6</x:v>
      </x:c>
      <x:c r="H2305" t="n">
        <x:v>0</x:v>
      </x:c>
      <x:c r="I2305" t="str">
        <x:v>À qualifier par lieu</x:v>
      </x:c>
      <x:c r="J2305" t="str">
        <x:v>https://github.com/darknigthmare/deadwall-last-enclosure/blob/e28f46223e73105ab2c5d83f3d50b99b58ef53e6/codex-3000/compositions/industrie/DW-2300.md</x:v>
      </x:c>
      <x:c r="K2305" t="str">
        <x:v>Source min 65,58 m ; max 65,58 m ; modèle 65 × 58 m ; niveaux 0. Détails dans catalogue-existant.json.</x:v>
      </x:c>
    </x:row>
    <x:row r="2306">
      <x:c r="A2306" t="str">
        <x:v>DW-2301</x:v>
      </x:c>
      <x:c r="B2306" t="str">
        <x:v>DW-0651</x:v>
      </x:c>
      <x:c r="C2306" t="str">
        <x:v>Composition héritée</x:v>
      </x:c>
      <x:c r="D2306" t="str">
        <x:v>industrie</x:v>
      </x:c>
      <x:c r="E2306" t="str">
        <x:v>Centrale locale — variante 03 — Entrepôt et plateforme logistique / première récupération passée</x:v>
      </x:c>
      <x:c r="F2306" t="n">
        <x:v>8</x:v>
      </x:c>
      <x:c r="G2306" t="n">
        <x:v>5</x:v>
      </x:c>
      <x:c r="H2306" t="n">
        <x:v>0</x:v>
      </x:c>
      <x:c r="I2306" t="str">
        <x:v>À qualifier par lieu</x:v>
      </x:c>
      <x:c r="J2306" t="str">
        <x:v>https://github.com/darknigthmare/deadwall-last-enclosure/blob/e28f46223e73105ab2c5d83f3d50b99b58ef53e6/codex-3000/compositions/industrie/DW-2301.md</x:v>
      </x:c>
      <x:c r="K2306" t="str">
        <x:v>Source min 76,21 m ; max 76,21 m ; modèle 76 × 22 m ; niveaux 0. Détails dans catalogue-existant.json.</x:v>
      </x:c>
    </x:row>
    <x:row r="2307">
      <x:c r="A2307" t="str">
        <x:v>DW-2302</x:v>
      </x:c>
      <x:c r="B2307" t="str">
        <x:v>DW-0651</x:v>
      </x:c>
      <x:c r="C2307" t="str">
        <x:v>Composition héritée</x:v>
      </x:c>
      <x:c r="D2307" t="str">
        <x:v>industrie</x:v>
      </x:c>
      <x:c r="E2307" t="str">
        <x:v>Centrale locale — variante 03 — Zone industrielle / relais temporaire envisagé</x:v>
      </x:c>
      <x:c r="F2307" t="n">
        <x:v>8</x:v>
      </x:c>
      <x:c r="G2307" t="n">
        <x:v>5</x:v>
      </x:c>
      <x:c r="H2307" t="n">
        <x:v>0</x:v>
      </x:c>
      <x:c r="I2307" t="str">
        <x:v>À qualifier par lieu</x:v>
      </x:c>
      <x:c r="J2307" t="str">
        <x:v>https://github.com/darknigthmare/deadwall-last-enclosure/blob/e28f46223e73105ab2c5d83f3d50b99b58ef53e6/codex-3000/compositions/industrie/DW-2302.md</x:v>
      </x:c>
      <x:c r="K2307" t="str">
        <x:v>Source min 76,21 m ; max 76,21 m ; modèle 76 × 22 m ; niveaux 0. Détails dans catalogue-existant.json.</x:v>
      </x:c>
    </x:row>
    <x:row r="2308">
      <x:c r="A2308" t="str">
        <x:v>DW-2303</x:v>
      </x:c>
      <x:c r="B2308" t="str">
        <x:v>DW-0652</x:v>
      </x:c>
      <x:c r="C2308" t="str">
        <x:v>Composition héritée</x:v>
      </x:c>
      <x:c r="D2308" t="str">
        <x:v>industrie</x:v>
      </x:c>
      <x:c r="E2308" t="str">
        <x:v>Station de pompage — variante 03 — Gare et fret / service déplacé à l’arrière</x:v>
      </x:c>
      <x:c r="F2308" t="n">
        <x:v>10</x:v>
      </x:c>
      <x:c r="G2308" t="n">
        <x:v>5</x:v>
      </x:c>
      <x:c r="H2308" t="n">
        <x:v>0</x:v>
      </x:c>
      <x:c r="I2308" t="str">
        <x:v>À qualifier par lieu</x:v>
      </x:c>
      <x:c r="J2308" t="str">
        <x:v>https://github.com/darknigthmare/deadwall-last-enclosure/blob/e28f46223e73105ab2c5d83f3d50b99b58ef53e6/codex-3000/compositions/industrie/DW-2303.md</x:v>
      </x:c>
      <x:c r="K2308" t="str">
        <x:v>Source min 15,38 m ; max 15,38 m ; modèle 26 × 38 m ; niveaux 0. Détails dans catalogue-existant.json.</x:v>
      </x:c>
    </x:row>
    <x:row r="2309">
      <x:c r="A2309" t="str">
        <x:v>DW-2304</x:v>
      </x:c>
      <x:c r="B2309" t="str">
        <x:v>DW-0652</x:v>
      </x:c>
      <x:c r="C2309" t="str">
        <x:v>Composition héritée</x:v>
      </x:c>
      <x:c r="D2309" t="str">
        <x:v>industrie</x:v>
      </x:c>
      <x:c r="E2309" t="str">
        <x:v>Station de pompage — variante 03 — Atelier et artisanat / réseau principal coupé</x:v>
      </x:c>
      <x:c r="F2309" t="n">
        <x:v>8</x:v>
      </x:c>
      <x:c r="G2309" t="n">
        <x:v>5</x:v>
      </x:c>
      <x:c r="H2309" t="n">
        <x:v>0</x:v>
      </x:c>
      <x:c r="I2309" t="str">
        <x:v>À qualifier par lieu</x:v>
      </x:c>
      <x:c r="J2309" t="str">
        <x:v>https://github.com/darknigthmare/deadwall-last-enclosure/blob/e28f46223e73105ab2c5d83f3d50b99b58ef53e6/codex-3000/compositions/industrie/DW-2304.md</x:v>
      </x:c>
      <x:c r="K2309" t="str">
        <x:v>Source min 15,38 m ; max 15,38 m ; modèle 26 × 38 m ; niveaux 0. Détails dans catalogue-existant.json.</x:v>
      </x:c>
    </x:row>
    <x:row r="2310">
      <x:c r="A2310" t="str">
        <x:v>DW-2305</x:v>
      </x:c>
      <x:c r="B2310" t="str">
        <x:v>DW-0653</x:v>
      </x:c>
      <x:c r="C2310" t="str">
        <x:v>Composition héritée</x:v>
      </x:c>
      <x:c r="D2310" t="str">
        <x:v>public</x:v>
      </x:c>
      <x:c r="E2310" t="str">
        <x:v>École — variante 03 — École, mairie et bâtiments civiques / reprise progressive de la végétation</x:v>
      </x:c>
      <x:c r="F2310" t="n">
        <x:v>8</x:v>
      </x:c>
      <x:c r="G2310" t="n">
        <x:v>5</x:v>
      </x:c>
      <x:c r="H2310" t="n">
        <x:v>0</x:v>
      </x:c>
      <x:c r="I2310" t="str">
        <x:v>À qualifier par lieu</x:v>
      </x:c>
      <x:c r="J2310" t="str">
        <x:v>https://github.com/darknigthmare/deadwall-last-enclosure/blob/e28f46223e73105ab2c5d83f3d50b99b58ef53e6/codex-3000/compositions/public/DW-2305.md</x:v>
      </x:c>
      <x:c r="K2310" t="str">
        <x:v>Source min 26,55 m ; max 26,55 m ; modèle 26 × 55 m ; niveaux 0, 1. Détails dans catalogue-existant.json.</x:v>
      </x:c>
    </x:row>
    <x:row r="2311">
      <x:c r="A2311" t="str">
        <x:v>DW-2306</x:v>
      </x:c>
      <x:c r="B2311" t="str">
        <x:v>DW-0653</x:v>
      </x:c>
      <x:c r="C2311" t="str">
        <x:v>Composition héritée</x:v>
      </x:c>
      <x:c r="D2311" t="str">
        <x:v>public</x:v>
      </x:c>
      <x:c r="E2311" t="str">
        <x:v>École — variante 03 — Village et bourg / repli organisé interrompu</x:v>
      </x:c>
      <x:c r="F2311" t="n">
        <x:v>8</x:v>
      </x:c>
      <x:c r="G2311" t="n">
        <x:v>5</x:v>
      </x:c>
      <x:c r="H2311" t="n">
        <x:v>0</x:v>
      </x:c>
      <x:c r="I2311" t="str">
        <x:v>À qualifier par lieu</x:v>
      </x:c>
      <x:c r="J2311" t="str">
        <x:v>https://github.com/darknigthmare/deadwall-last-enclosure/blob/e28f46223e73105ab2c5d83f3d50b99b58ef53e6/codex-3000/compositions/public/DW-2306.md</x:v>
      </x:c>
      <x:c r="K2311" t="str">
        <x:v>Source min 26,55 m ; max 26,55 m ; modèle 26 × 55 m ; niveaux 0, 1. Détails dans catalogue-existant.json.</x:v>
      </x:c>
    </x:row>
    <x:row r="2312">
      <x:c r="A2312" t="str">
        <x:v>DW-2307</x:v>
      </x:c>
      <x:c r="B2312" t="str">
        <x:v>DW-0654</x:v>
      </x:c>
      <x:c r="C2312" t="str">
        <x:v>Composition héritée</x:v>
      </x:c>
      <x:c r="D2312" t="str">
        <x:v>public</x:v>
      </x:c>
      <x:c r="E2312" t="str">
        <x:v>Mairie — variante 03 — Ville moyenne / relais temporaire envisagé</x:v>
      </x:c>
      <x:c r="F2312" t="n">
        <x:v>8</x:v>
      </x:c>
      <x:c r="G2312" t="n">
        <x:v>5</x:v>
      </x:c>
      <x:c r="H2312" t="n">
        <x:v>0</x:v>
      </x:c>
      <x:c r="I2312" t="str">
        <x:v>À qualifier par lieu</x:v>
      </x:c>
      <x:c r="J2312" t="str">
        <x:v>https://github.com/darknigthmare/deadwall-last-enclosure/blob/e28f46223e73105ab2c5d83f3d50b99b58ef53e6/codex-3000/compositions/public/DW-2307.md</x:v>
      </x:c>
      <x:c r="K2312" t="str">
        <x:v>Source min 37,18 m ; max 37,18 m ; modèle 37 × 22 m ; niveaux 0. Détails dans catalogue-existant.json.</x:v>
      </x:c>
    </x:row>
    <x:row r="2313">
      <x:c r="A2313" t="str">
        <x:v>DW-2308</x:v>
      </x:c>
      <x:c r="B2313" t="str">
        <x:v>DW-0654</x:v>
      </x:c>
      <x:c r="C2313" t="str">
        <x:v>Composition héritée</x:v>
      </x:c>
      <x:c r="D2313" t="str">
        <x:v>public</x:v>
      </x:c>
      <x:c r="E2313" t="str">
        <x:v>Mairie — variante 03 — Centre d’évacuation abandonné / évacuation interrompue</x:v>
      </x:c>
      <x:c r="F2313" t="n">
        <x:v>8</x:v>
      </x:c>
      <x:c r="G2313" t="n">
        <x:v>5</x:v>
      </x:c>
      <x:c r="H2313" t="n">
        <x:v>0</x:v>
      </x:c>
      <x:c r="I2313" t="str">
        <x:v>À qualifier par lieu</x:v>
      </x:c>
      <x:c r="J2313" t="str">
        <x:v>https://github.com/darknigthmare/deadwall-last-enclosure/blob/e28f46223e73105ab2c5d83f3d50b99b58ef53e6/codex-3000/compositions/public/DW-2308.md</x:v>
      </x:c>
      <x:c r="K2313" t="str">
        <x:v>Source min 37,18 m ; max 37,18 m ; modèle 37 × 22 m ; niveaux 0. Détails dans catalogue-existant.json.</x:v>
      </x:c>
    </x:row>
    <x:row r="2314">
      <x:c r="A2314" t="str">
        <x:v>DW-2309</x:v>
      </x:c>
      <x:c r="B2314" t="str">
        <x:v>DW-0655</x:v>
      </x:c>
      <x:c r="C2314" t="str">
        <x:v>Composition héritée</x:v>
      </x:c>
      <x:c r="D2314" t="str">
        <x:v>public</x:v>
      </x:c>
      <x:c r="E2314" t="str">
        <x:v>Clinique — variante 03 — Village et bourg / réseau principal coupé</x:v>
      </x:c>
      <x:c r="F2314" t="n">
        <x:v>8</x:v>
      </x:c>
      <x:c r="G2314" t="n">
        <x:v>6</x:v>
      </x:c>
      <x:c r="H2314" t="n">
        <x:v>0</x:v>
      </x:c>
      <x:c r="I2314" t="str">
        <x:v>À qualifier par lieu</x:v>
      </x:c>
      <x:c r="J2314" t="str">
        <x:v>https://github.com/darknigthmare/deadwall-last-enclosure/blob/e28f46223e73105ab2c5d83f3d50b99b58ef53e6/codex-3000/compositions/public/DW-2309.md</x:v>
      </x:c>
      <x:c r="K2314" t="str">
        <x:v>Source min 48,35 m ; max 48,35 m ; modèle 48 × 35 m ; niveaux 0. Détails dans catalogue-existant.json.</x:v>
      </x:c>
    </x:row>
    <x:row r="2315">
      <x:c r="A2315" t="str">
        <x:v>DW-2310</x:v>
      </x:c>
      <x:c r="B2315" t="str">
        <x:v>DW-0655</x:v>
      </x:c>
      <x:c r="C2315" t="str">
        <x:v>Composition héritée</x:v>
      </x:c>
      <x:c r="D2315" t="str">
        <x:v>public</x:v>
      </x:c>
      <x:c r="E2315" t="str">
        <x:v>Clinique — variante 03 — École, mairie et bâtiments civiques / arrêt de maintenance</x:v>
      </x:c>
      <x:c r="F2315" t="n">
        <x:v>8</x:v>
      </x:c>
      <x:c r="G2315" t="n">
        <x:v>6</x:v>
      </x:c>
      <x:c r="H2315" t="n">
        <x:v>0</x:v>
      </x:c>
      <x:c r="I2315" t="str">
        <x:v>À qualifier par lieu</x:v>
      </x:c>
      <x:c r="J2315" t="str">
        <x:v>https://github.com/darknigthmare/deadwall-last-enclosure/blob/e28f46223e73105ab2c5d83f3d50b99b58ef53e6/codex-3000/compositions/public/DW-2310.md</x:v>
      </x:c>
      <x:c r="K2315" t="str">
        <x:v>Source min 48,35 m ; max 48,35 m ; modèle 48 × 35 m ; niveaux 0. Détails dans catalogue-existant.json.</x:v>
      </x:c>
    </x:row>
    <x:row r="2316">
      <x:c r="A2316" t="str">
        <x:v>DW-2311</x:v>
      </x:c>
      <x:c r="B2316" t="str">
        <x:v>DW-0656</x:v>
      </x:c>
      <x:c r="C2316" t="str">
        <x:v>Composition héritée</x:v>
      </x:c>
      <x:c r="D2316" t="str">
        <x:v>public</x:v>
      </x:c>
      <x:c r="E2316" t="str">
        <x:v>Caserne de pompiers — variante 03 — Centre d’évacuation abandonné / repli organisé interrompu</x:v>
      </x:c>
      <x:c r="F2316" t="n">
        <x:v>8</x:v>
      </x:c>
      <x:c r="G2316" t="n">
        <x:v>6</x:v>
      </x:c>
      <x:c r="H2316" t="n">
        <x:v>0</x:v>
      </x:c>
      <x:c r="I2316" t="str">
        <x:v>À qualifier par lieu</x:v>
      </x:c>
      <x:c r="J2316" t="str">
        <x:v>https://github.com/darknigthmare/deadwall-last-enclosure/blob/e28f46223e73105ab2c5d83f3d50b99b58ef53e6/codex-3000/compositions/public/DW-2311.md</x:v>
      </x:c>
      <x:c r="K2316" t="str">
        <x:v>Source min 59,52 m ; max 59,52 m ; modèle 59 × 52 m ; niveaux 0. Détails dans catalogue-existant.json.</x:v>
      </x:c>
    </x:row>
    <x:row r="2317">
      <x:c r="A2317" t="str">
        <x:v>DW-2312</x:v>
      </x:c>
      <x:c r="B2317" t="str">
        <x:v>DW-0656</x:v>
      </x:c>
      <x:c r="C2317" t="str">
        <x:v>Composition héritée</x:v>
      </x:c>
      <x:c r="D2317" t="str">
        <x:v>public</x:v>
      </x:c>
      <x:c r="E2317" t="str">
        <x:v>Caserne de pompiers — variante 03 — Ville moyenne / première récupération passée</x:v>
      </x:c>
      <x:c r="F2317" t="n">
        <x:v>8</x:v>
      </x:c>
      <x:c r="G2317" t="n">
        <x:v>6</x:v>
      </x:c>
      <x:c r="H2317" t="n">
        <x:v>0</x:v>
      </x:c>
      <x:c r="I2317" t="str">
        <x:v>À qualifier par lieu</x:v>
      </x:c>
      <x:c r="J2317" t="str">
        <x:v>https://github.com/darknigthmare/deadwall-last-enclosure/blob/e28f46223e73105ab2c5d83f3d50b99b58ef53e6/codex-3000/compositions/public/DW-2312.md</x:v>
      </x:c>
      <x:c r="K2317" t="str">
        <x:v>Source min 59,52 m ; max 59,52 m ; modèle 59 × 52 m ; niveaux 0. Détails dans catalogue-existant.json.</x:v>
      </x:c>
    </x:row>
    <x:row r="2318">
      <x:c r="A2318" t="str">
        <x:v>DW-2313</x:v>
      </x:c>
      <x:c r="B2318" t="str">
        <x:v>DW-0657</x:v>
      </x:c>
      <x:c r="C2318" t="str">
        <x:v>Composition héritée</x:v>
      </x:c>
      <x:c r="D2318" t="str">
        <x:v>public</x:v>
      </x:c>
      <x:c r="E2318" t="str">
        <x:v>Poste de police — variante 03 — École, mairie et bâtiments civiques / évacuation interrompue</x:v>
      </x:c>
      <x:c r="F2318" t="n">
        <x:v>8</x:v>
      </x:c>
      <x:c r="G2318" t="n">
        <x:v>5</x:v>
      </x:c>
      <x:c r="H2318" t="n">
        <x:v>0</x:v>
      </x:c>
      <x:c r="I2318" t="str">
        <x:v>À qualifier par lieu</x:v>
      </x:c>
      <x:c r="J2318" t="str">
        <x:v>https://github.com/darknigthmare/deadwall-last-enclosure/blob/e28f46223e73105ab2c5d83f3d50b99b58ef53e6/codex-3000/compositions/public/DW-2313.md</x:v>
      </x:c>
      <x:c r="K2318" t="str">
        <x:v>Source min 70,15 m ; max 70,15 m ; modèle 70 × 22 m ; niveaux 0, 1. Détails dans catalogue-existant.json.</x:v>
      </x:c>
    </x:row>
    <x:row r="2319">
      <x:c r="A2319" t="str">
        <x:v>DW-2314</x:v>
      </x:c>
      <x:c r="B2319" t="str">
        <x:v>DW-0657</x:v>
      </x:c>
      <x:c r="C2319" t="str">
        <x:v>Composition héritée</x:v>
      </x:c>
      <x:c r="D2319" t="str">
        <x:v>public</x:v>
      </x:c>
      <x:c r="E2319" t="str">
        <x:v>Poste de police — variante 03 — Village et bourg / service déplacé à l’arrière</x:v>
      </x:c>
      <x:c r="F2319" t="n">
        <x:v>8</x:v>
      </x:c>
      <x:c r="G2319" t="n">
        <x:v>5</x:v>
      </x:c>
      <x:c r="H2319" t="n">
        <x:v>0</x:v>
      </x:c>
      <x:c r="I2319" t="str">
        <x:v>À qualifier par lieu</x:v>
      </x:c>
      <x:c r="J2319" t="str">
        <x:v>https://github.com/darknigthmare/deadwall-last-enclosure/blob/e28f46223e73105ab2c5d83f3d50b99b58ef53e6/codex-3000/compositions/public/DW-2314.md</x:v>
      </x:c>
      <x:c r="K2319" t="str">
        <x:v>Source min 70,15 m ; max 70,15 m ; modèle 70 × 22 m ; niveaux 0, 1. Détails dans catalogue-existant.json.</x:v>
      </x:c>
    </x:row>
    <x:row r="2320">
      <x:c r="A2320" t="str">
        <x:v>DW-2315</x:v>
      </x:c>
      <x:c r="B2320" t="str">
        <x:v>DW-0658</x:v>
      </x:c>
      <x:c r="C2320" t="str">
        <x:v>Composition héritée</x:v>
      </x:c>
      <x:c r="D2320" t="str">
        <x:v>public</x:v>
      </x:c>
      <x:c r="E2320" t="str">
        <x:v>Bibliothèque — variante 03 — Ville moyenne / arrêt de maintenance</x:v>
      </x:c>
      <x:c r="F2320" t="n">
        <x:v>8</x:v>
      </x:c>
      <x:c r="G2320" t="n">
        <x:v>5</x:v>
      </x:c>
      <x:c r="H2320" t="n">
        <x:v>0</x:v>
      </x:c>
      <x:c r="I2320" t="str">
        <x:v>À qualifier par lieu</x:v>
      </x:c>
      <x:c r="J2320" t="str">
        <x:v>https://github.com/darknigthmare/deadwall-last-enclosure/blob/e28f46223e73105ab2c5d83f3d50b99b58ef53e6/codex-3000/compositions/public/DW-2315.md</x:v>
      </x:c>
      <x:c r="K2320" t="str">
        <x:v>Source min 81,32 m ; max 81,32 m ; modèle 78 × 32 m ; niveaux 0. Détails dans catalogue-existant.json.</x:v>
      </x:c>
    </x:row>
    <x:row r="2321">
      <x:c r="A2321" t="str">
        <x:v>DW-2316</x:v>
      </x:c>
      <x:c r="B2321" t="str">
        <x:v>DW-0658</x:v>
      </x:c>
      <x:c r="C2321" t="str">
        <x:v>Composition héritée</x:v>
      </x:c>
      <x:c r="D2321" t="str">
        <x:v>public</x:v>
      </x:c>
      <x:c r="E2321" t="str">
        <x:v>Bibliothèque — variante 03 — Centre d’évacuation abandonné / reprise progressive de la végétation</x:v>
      </x:c>
      <x:c r="F2321" t="n">
        <x:v>8</x:v>
      </x:c>
      <x:c r="G2321" t="n">
        <x:v>5</x:v>
      </x:c>
      <x:c r="H2321" t="n">
        <x:v>0</x:v>
      </x:c>
      <x:c r="I2321" t="str">
        <x:v>À qualifier par lieu</x:v>
      </x:c>
      <x:c r="J2321" t="str">
        <x:v>https://github.com/darknigthmare/deadwall-last-enclosure/blob/e28f46223e73105ab2c5d83f3d50b99b58ef53e6/codex-3000/compositions/public/DW-2316.md</x:v>
      </x:c>
      <x:c r="K2321" t="str">
        <x:v>Source min 81,32 m ; max 81,32 m ; modèle 78 × 32 m ; niveaux 0. Détails dans catalogue-existant.json.</x:v>
      </x:c>
    </x:row>
    <x:row r="2322">
      <x:c r="A2322" t="str">
        <x:v>DW-2317</x:v>
      </x:c>
      <x:c r="B2322" t="str">
        <x:v>DW-0659</x:v>
      </x:c>
      <x:c r="C2322" t="str">
        <x:v>Composition héritée</x:v>
      </x:c>
      <x:c r="D2322" t="str">
        <x:v>public</x:v>
      </x:c>
      <x:c r="E2322" t="str">
        <x:v>Salle des fêtes — variante 03 — Village et bourg / première récupération passée</x:v>
      </x:c>
      <x:c r="F2322" t="n">
        <x:v>8</x:v>
      </x:c>
      <x:c r="G2322" t="n">
        <x:v>5</x:v>
      </x:c>
      <x:c r="H2322" t="n">
        <x:v>0</x:v>
      </x:c>
      <x:c r="I2322" t="str">
        <x:v>À qualifier par lieu</x:v>
      </x:c>
      <x:c r="J2322" t="str">
        <x:v>https://github.com/darknigthmare/deadwall-last-enclosure/blob/e28f46223e73105ab2c5d83f3d50b99b58ef53e6/codex-3000/compositions/public/DW-2317.md</x:v>
      </x:c>
      <x:c r="K2322" t="str">
        <x:v>Source min 20,49 m ; max 20,49 m ; modèle 26 × 49 m ; niveaux 0. Détails dans catalogue-existant.json.</x:v>
      </x:c>
    </x:row>
    <x:row r="2323">
      <x:c r="A2323" t="str">
        <x:v>DW-2318</x:v>
      </x:c>
      <x:c r="B2323" t="str">
        <x:v>DW-0659</x:v>
      </x:c>
      <x:c r="C2323" t="str">
        <x:v>Composition héritée</x:v>
      </x:c>
      <x:c r="D2323" t="str">
        <x:v>public</x:v>
      </x:c>
      <x:c r="E2323" t="str">
        <x:v>Salle des fêtes — variante 03 — École, mairie et bâtiments civiques / relais temporaire envisagé</x:v>
      </x:c>
      <x:c r="F2323" t="n">
        <x:v>8</x:v>
      </x:c>
      <x:c r="G2323" t="n">
        <x:v>5</x:v>
      </x:c>
      <x:c r="H2323" t="n">
        <x:v>0</x:v>
      </x:c>
      <x:c r="I2323" t="str">
        <x:v>À qualifier par lieu</x:v>
      </x:c>
      <x:c r="J2323" t="str">
        <x:v>https://github.com/darknigthmare/deadwall-last-enclosure/blob/e28f46223e73105ab2c5d83f3d50b99b58ef53e6/codex-3000/compositions/public/DW-2318.md</x:v>
      </x:c>
      <x:c r="K2323" t="str">
        <x:v>Source min 20,49 m ; max 20,49 m ; modèle 26 × 49 m ; niveaux 0. Détails dans catalogue-existant.json.</x:v>
      </x:c>
    </x:row>
    <x:row r="2324">
      <x:c r="A2324" t="str">
        <x:v>DW-2319</x:v>
      </x:c>
      <x:c r="B2324" t="str">
        <x:v>DW-0660</x:v>
      </x:c>
      <x:c r="C2324" t="str">
        <x:v>Composition héritée</x:v>
      </x:c>
      <x:c r="D2324" t="str">
        <x:v>public</x:v>
      </x:c>
      <x:c r="E2324" t="str">
        <x:v>Église et presbytère — variante 03 — Centre d’évacuation abandonné / service déplacé à l’arrière</x:v>
      </x:c>
      <x:c r="F2324" t="n">
        <x:v>8</x:v>
      </x:c>
      <x:c r="G2324" t="n">
        <x:v>5</x:v>
      </x:c>
      <x:c r="H2324" t="n">
        <x:v>0</x:v>
      </x:c>
      <x:c r="I2324" t="str">
        <x:v>À qualifier par lieu</x:v>
      </x:c>
      <x:c r="J2324" t="str">
        <x:v>https://github.com/darknigthmare/deadwall-last-enclosure/blob/e28f46223e73105ab2c5d83f3d50b99b58ef53e6/codex-3000/compositions/public/DW-2319.md</x:v>
      </x:c>
      <x:c r="K2324" t="str">
        <x:v>Source min 31,12 m ; max 31,12 m ; modèle 31 × 22 m ; niveaux 0. Détails dans catalogue-existant.json.</x:v>
      </x:c>
    </x:row>
    <x:row r="2325">
      <x:c r="A2325" t="str">
        <x:v>DW-2320</x:v>
      </x:c>
      <x:c r="B2325" t="str">
        <x:v>DW-0660</x:v>
      </x:c>
      <x:c r="C2325" t="str">
        <x:v>Composition héritée</x:v>
      </x:c>
      <x:c r="D2325" t="str">
        <x:v>public</x:v>
      </x:c>
      <x:c r="E2325" t="str">
        <x:v>Église et presbytère — variante 03 — Ville moyenne / réseau principal coupé</x:v>
      </x:c>
      <x:c r="F2325" t="n">
        <x:v>8</x:v>
      </x:c>
      <x:c r="G2325" t="n">
        <x:v>5</x:v>
      </x:c>
      <x:c r="H2325" t="n">
        <x:v>0</x:v>
      </x:c>
      <x:c r="I2325" t="str">
        <x:v>À qualifier par lieu</x:v>
      </x:c>
      <x:c r="J2325" t="str">
        <x:v>https://github.com/darknigthmare/deadwall-last-enclosure/blob/e28f46223e73105ab2c5d83f3d50b99b58ef53e6/codex-3000/compositions/public/DW-2320.md</x:v>
      </x:c>
      <x:c r="K2325" t="str">
        <x:v>Source min 31,12 m ; max 31,12 m ; modèle 31 × 22 m ; niveaux 0. Détails dans catalogue-existant.json.</x:v>
      </x:c>
    </x:row>
    <x:row r="2326">
      <x:c r="A2326" t="str">
        <x:v>DW-2321</x:v>
      </x:c>
      <x:c r="B2326" t="str">
        <x:v>DW-0661</x:v>
      </x:c>
      <x:c r="C2326" t="str">
        <x:v>Composition héritée</x:v>
      </x:c>
      <x:c r="D2326" t="str">
        <x:v>rural</x:v>
      </x:c>
      <x:c r="E2326" t="str">
        <x:v>Hameau agricole — variante 03 — Ferme, verger et pâtures / reprise progressive de la végétation</x:v>
      </x:c>
      <x:c r="F2326" t="n">
        <x:v>8</x:v>
      </x:c>
      <x:c r="G2326" t="n">
        <x:v>6</x:v>
      </x:c>
      <x:c r="H2326" t="n">
        <x:v>0</x:v>
      </x:c>
      <x:c r="I2326" t="str">
        <x:v>À qualifier par lieu</x:v>
      </x:c>
      <x:c r="J2326" t="str">
        <x:v>https://github.com/darknigthmare/deadwall-last-enclosure/blob/e28f46223e73105ab2c5d83f3d50b99b58ef53e6/codex-3000/compositions/rural/DW-2321.md</x:v>
      </x:c>
      <x:c r="K2326" t="str">
        <x:v>Source min 42,29 m ; max 42,29 m ; modèle 42 × 29 m ; niveaux 0. Détails dans catalogue-existant.json.</x:v>
      </x:c>
    </x:row>
    <x:row r="2327">
      <x:c r="A2327" t="str">
        <x:v>DW-2322</x:v>
      </x:c>
      <x:c r="B2327" t="str">
        <x:v>DW-0661</x:v>
      </x:c>
      <x:c r="C2327" t="str">
        <x:v>Composition héritée</x:v>
      </x:c>
      <x:c r="D2327" t="str">
        <x:v>rural</x:v>
      </x:c>
      <x:c r="E2327" t="str">
        <x:v>Hameau agricole — variante 03 — Petit bois et lisière / repli organisé interrompu</x:v>
      </x:c>
      <x:c r="F2327" t="n">
        <x:v>8</x:v>
      </x:c>
      <x:c r="G2327" t="n">
        <x:v>6</x:v>
      </x:c>
      <x:c r="H2327" t="n">
        <x:v>0</x:v>
      </x:c>
      <x:c r="I2327" t="str">
        <x:v>À qualifier par lieu</x:v>
      </x:c>
      <x:c r="J2327" t="str">
        <x:v>https://github.com/darknigthmare/deadwall-last-enclosure/blob/e28f46223e73105ab2c5d83f3d50b99b58ef53e6/codex-3000/compositions/rural/DW-2322.md</x:v>
      </x:c>
      <x:c r="K2327" t="str">
        <x:v>Source min 42,29 m ; max 42,29 m ; modèle 42 × 29 m ; niveaux 0. Détails dans catalogue-existant.json.</x:v>
      </x:c>
    </x:row>
    <x:row r="2328">
      <x:c r="A2328" t="str">
        <x:v>DW-2323</x:v>
      </x:c>
      <x:c r="B2328" t="str">
        <x:v>DW-0662</x:v>
      </x:c>
      <x:c r="C2328" t="str">
        <x:v>Composition héritée</x:v>
      </x:c>
      <x:c r="D2328" t="str">
        <x:v>rural</x:v>
      </x:c>
      <x:c r="E2328" t="str">
        <x:v>Cabane forestière — variante 03 — Prairie et friche ouverte / relais temporaire envisagé</x:v>
      </x:c>
      <x:c r="F2328" t="n">
        <x:v>8</x:v>
      </x:c>
      <x:c r="G2328" t="n">
        <x:v>4</x:v>
      </x:c>
      <x:c r="H2328" t="n">
        <x:v>0</x:v>
      </x:c>
      <x:c r="I2328" t="str">
        <x:v>À qualifier par lieu</x:v>
      </x:c>
      <x:c r="J2328" t="str">
        <x:v>https://github.com/darknigthmare/deadwall-last-enclosure/blob/e28f46223e73105ab2c5d83f3d50b99b58ef53e6/codex-3000/compositions/rural/DW-2323.md</x:v>
      </x:c>
      <x:c r="K2328" t="str">
        <x:v>Source min 53,46 m ; max 53,46 m ; modèle 53 × 46 m ; niveaux 0. Détails dans catalogue-existant.json.</x:v>
      </x:c>
    </x:row>
    <x:row r="2329">
      <x:c r="A2329" t="str">
        <x:v>DW-2324</x:v>
      </x:c>
      <x:c r="B2329" t="str">
        <x:v>DW-0662</x:v>
      </x:c>
      <x:c r="C2329" t="str">
        <x:v>Composition héritée</x:v>
      </x:c>
      <x:c r="D2329" t="str">
        <x:v>rural</x:v>
      </x:c>
      <x:c r="E2329" t="str">
        <x:v>Cabane forestière — variante 03 — Hameau / évacuation interrompue</x:v>
      </x:c>
      <x:c r="F2329" t="n">
        <x:v>8</x:v>
      </x:c>
      <x:c r="G2329" t="n">
        <x:v>4</x:v>
      </x:c>
      <x:c r="H2329" t="n">
        <x:v>0</x:v>
      </x:c>
      <x:c r="I2329" t="str">
        <x:v>À qualifier par lieu</x:v>
      </x:c>
      <x:c r="J2329" t="str">
        <x:v>https://github.com/darknigthmare/deadwall-last-enclosure/blob/e28f46223e73105ab2c5d83f3d50b99b58ef53e6/codex-3000/compositions/rural/DW-2324.md</x:v>
      </x:c>
      <x:c r="K2329" t="str">
        <x:v>Source min 53,46 m ; max 53,46 m ; modèle 53 × 46 m ; niveaux 0. Détails dans catalogue-existant.json.</x:v>
      </x:c>
    </x:row>
    <x:row r="2330">
      <x:c r="A2330" t="str">
        <x:v>DW-2325</x:v>
      </x:c>
      <x:c r="B2330" t="str">
        <x:v>DW-0663</x:v>
      </x:c>
      <x:c r="C2330" t="str">
        <x:v>Composition héritée</x:v>
      </x:c>
      <x:c r="D2330" t="str">
        <x:v>rural</x:v>
      </x:c>
      <x:c r="E2330" t="str">
        <x:v>Dépôt forestier — variante 03 — Petit bois et lisière / réseau principal coupé</x:v>
      </x:c>
      <x:c r="F2330" t="n">
        <x:v>8</x:v>
      </x:c>
      <x:c r="G2330" t="n">
        <x:v>5</x:v>
      </x:c>
      <x:c r="H2330" t="n">
        <x:v>0</x:v>
      </x:c>
      <x:c r="I2330" t="str">
        <x:v>À qualifier par lieu</x:v>
      </x:c>
      <x:c r="J2330" t="str">
        <x:v>https://github.com/darknigthmare/deadwall-last-enclosure/blob/e28f46223e73105ab2c5d83f3d50b99b58ef53e6/codex-3000/compositions/rural/DW-2325.md</x:v>
      </x:c>
      <x:c r="K2330" t="str">
        <x:v>Source min 64,9 m ; max 64,9 m ; modèle 64 × 22 m ; niveaux 0. Détails dans catalogue-existant.json.</x:v>
      </x:c>
    </x:row>
    <x:row r="2331">
      <x:c r="A2331" t="str">
        <x:v>DW-2326</x:v>
      </x:c>
      <x:c r="B2331" t="str">
        <x:v>DW-0663</x:v>
      </x:c>
      <x:c r="C2331" t="str">
        <x:v>Composition héritée</x:v>
      </x:c>
      <x:c r="D2331" t="str">
        <x:v>rural</x:v>
      </x:c>
      <x:c r="E2331" t="str">
        <x:v>Dépôt forestier — variante 03 — Ferme, verger et pâtures / arrêt de maintenance</x:v>
      </x:c>
      <x:c r="F2331" t="n">
        <x:v>8</x:v>
      </x:c>
      <x:c r="G2331" t="n">
        <x:v>5</x:v>
      </x:c>
      <x:c r="H2331" t="n">
        <x:v>0</x:v>
      </x:c>
      <x:c r="I2331" t="str">
        <x:v>À qualifier par lieu</x:v>
      </x:c>
      <x:c r="J2331" t="str">
        <x:v>https://github.com/darknigthmare/deadwall-last-enclosure/blob/e28f46223e73105ab2c5d83f3d50b99b58ef53e6/codex-3000/compositions/rural/DW-2326.md</x:v>
      </x:c>
      <x:c r="K2331" t="str">
        <x:v>Source min 64,9 m ; max 64,9 m ; modèle 64 × 22 m ; niveaux 0. Détails dans catalogue-existant.json.</x:v>
      </x:c>
    </x:row>
    <x:row r="2332">
      <x:c r="A2332" t="str">
        <x:v>DW-2327</x:v>
      </x:c>
      <x:c r="B2332" t="str">
        <x:v>DW-0664</x:v>
      </x:c>
      <x:c r="C2332" t="str">
        <x:v>Composition héritée</x:v>
      </x:c>
      <x:c r="D2332" t="str">
        <x:v>rural</x:v>
      </x:c>
      <x:c r="E2332" t="str">
        <x:v>Ferme céréalière — variante 03 — Hameau / repli organisé interrompu</x:v>
      </x:c>
      <x:c r="F2332" t="n">
        <x:v>8</x:v>
      </x:c>
      <x:c r="G2332" t="n">
        <x:v>5</x:v>
      </x:c>
      <x:c r="H2332" t="n">
        <x:v>0</x:v>
      </x:c>
      <x:c r="I2332" t="str">
        <x:v>À qualifier par lieu</x:v>
      </x:c>
      <x:c r="J2332" t="str">
        <x:v>https://github.com/darknigthmare/deadwall-last-enclosure/blob/e28f46223e73105ab2c5d83f3d50b99b58ef53e6/codex-3000/compositions/rural/DW-2327.md</x:v>
      </x:c>
      <x:c r="K2332" t="str">
        <x:v>Source min 75,26 m ; max 75,26 m ; modèle 75 × 26 m ; niveaux 0. Détails dans catalogue-existant.json.</x:v>
      </x:c>
    </x:row>
    <x:row r="2333">
      <x:c r="A2333" t="str">
        <x:v>DW-2328</x:v>
      </x:c>
      <x:c r="B2333" t="str">
        <x:v>DW-0664</x:v>
      </x:c>
      <x:c r="C2333" t="str">
        <x:v>Composition héritée</x:v>
      </x:c>
      <x:c r="D2333" t="str">
        <x:v>rural</x:v>
      </x:c>
      <x:c r="E2333" t="str">
        <x:v>Ferme céréalière — variante 03 — Prairie et friche ouverte / première récupération passée</x:v>
      </x:c>
      <x:c r="F2333" t="n">
        <x:v>8</x:v>
      </x:c>
      <x:c r="G2333" t="n">
        <x:v>5</x:v>
      </x:c>
      <x:c r="H2333" t="n">
        <x:v>0</x:v>
      </x:c>
      <x:c r="I2333" t="str">
        <x:v>À qualifier par lieu</x:v>
      </x:c>
      <x:c r="J2333" t="str">
        <x:v>https://github.com/darknigthmare/deadwall-last-enclosure/blob/e28f46223e73105ab2c5d83f3d50b99b58ef53e6/codex-3000/compositions/rural/DW-2328.md</x:v>
      </x:c>
      <x:c r="K2333" t="str">
        <x:v>Source min 75,26 m ; max 75,26 m ; modèle 75 × 26 m ; niveaux 0. Détails dans catalogue-existant.json.</x:v>
      </x:c>
    </x:row>
    <x:row r="2334">
      <x:c r="A2334" t="str">
        <x:v>DW-2329</x:v>
      </x:c>
      <x:c r="B2334" t="str">
        <x:v>DW-0665</x:v>
      </x:c>
      <x:c r="C2334" t="str">
        <x:v>Composition héritée</x:v>
      </x:c>
      <x:c r="D2334" t="str">
        <x:v>rural</x:v>
      </x:c>
      <x:c r="E2334" t="str">
        <x:v>Ferme d'élevage — variante 03 — Ferme, verger et pâtures / évacuation interrompue</x:v>
      </x:c>
      <x:c r="F2334" t="n">
        <x:v>8</x:v>
      </x:c>
      <x:c r="G2334" t="n">
        <x:v>5</x:v>
      </x:c>
      <x:c r="H2334" t="n">
        <x:v>0</x:v>
      </x:c>
      <x:c r="I2334" t="str">
        <x:v>À qualifier par lieu</x:v>
      </x:c>
      <x:c r="J2334" t="str">
        <x:v>https://github.com/darknigthmare/deadwall-last-enclosure/blob/e28f46223e73105ab2c5d83f3d50b99b58ef53e6/codex-3000/compositions/rural/DW-2329.md</x:v>
      </x:c>
      <x:c r="K2334" t="str">
        <x:v>Source min 14,43 m ; max 14,43 m ; modèle 26 × 43 m ; niveaux 0. Détails dans catalogue-existant.json.</x:v>
      </x:c>
    </x:row>
    <x:row r="2335">
      <x:c r="A2335" t="str">
        <x:v>DW-2330</x:v>
      </x:c>
      <x:c r="B2335" t="str">
        <x:v>DW-0665</x:v>
      </x:c>
      <x:c r="C2335" t="str">
        <x:v>Composition héritée</x:v>
      </x:c>
      <x:c r="D2335" t="str">
        <x:v>rural</x:v>
      </x:c>
      <x:c r="E2335" t="str">
        <x:v>Ferme d'élevage — variante 03 — Petit bois et lisière / service déplacé à l’arrière</x:v>
      </x:c>
      <x:c r="F2335" t="n">
        <x:v>8</x:v>
      </x:c>
      <x:c r="G2335" t="n">
        <x:v>5</x:v>
      </x:c>
      <x:c r="H2335" t="n">
        <x:v>0</x:v>
      </x:c>
      <x:c r="I2335" t="str">
        <x:v>À qualifier par lieu</x:v>
      </x:c>
      <x:c r="J2335" t="str">
        <x:v>https://github.com/darknigthmare/deadwall-last-enclosure/blob/e28f46223e73105ab2c5d83f3d50b99b58ef53e6/codex-3000/compositions/rural/DW-2330.md</x:v>
      </x:c>
      <x:c r="K2335" t="str">
        <x:v>Source min 14,43 m ; max 14,43 m ; modèle 26 × 43 m ; niveaux 0. Détails dans catalogue-existant.json.</x:v>
      </x:c>
    </x:row>
    <x:row r="2336">
      <x:c r="A2336" t="str">
        <x:v>DW-2331</x:v>
      </x:c>
      <x:c r="B2336" t="str">
        <x:v>DW-0666</x:v>
      </x:c>
      <x:c r="C2336" t="str">
        <x:v>Composition héritée</x:v>
      </x:c>
      <x:c r="D2336" t="str">
        <x:v>rural</x:v>
      </x:c>
      <x:c r="E2336" t="str">
        <x:v>Relais de chasse — variante 03 — Prairie et friche ouverte / arrêt de maintenance</x:v>
      </x:c>
      <x:c r="F2336" t="n">
        <x:v>8</x:v>
      </x:c>
      <x:c r="G2336" t="n">
        <x:v>4</x:v>
      </x:c>
      <x:c r="H2336" t="n">
        <x:v>0</x:v>
      </x:c>
      <x:c r="I2336" t="str">
        <x:v>À qualifier par lieu</x:v>
      </x:c>
      <x:c r="J2336" t="str">
        <x:v>https://github.com/darknigthmare/deadwall-last-enclosure/blob/e28f46223e73105ab2c5d83f3d50b99b58ef53e6/codex-3000/compositions/rural/DW-2331.md</x:v>
      </x:c>
      <x:c r="K2336" t="str">
        <x:v>Source min 25,60 m ; max 25,60 m ; modèle 25 × 60 m ; niveaux 0. Détails dans catalogue-existant.json.</x:v>
      </x:c>
    </x:row>
    <x:row r="2337">
      <x:c r="A2337" t="str">
        <x:v>DW-2332</x:v>
      </x:c>
      <x:c r="B2337" t="str">
        <x:v>DW-0666</x:v>
      </x:c>
      <x:c r="C2337" t="str">
        <x:v>Composition héritée</x:v>
      </x:c>
      <x:c r="D2337" t="str">
        <x:v>rural</x:v>
      </x:c>
      <x:c r="E2337" t="str">
        <x:v>Relais de chasse — variante 03 — Hameau / reprise progressive de la végétation</x:v>
      </x:c>
      <x:c r="F2337" t="n">
        <x:v>8</x:v>
      </x:c>
      <x:c r="G2337" t="n">
        <x:v>4</x:v>
      </x:c>
      <x:c r="H2337" t="n">
        <x:v>0</x:v>
      </x:c>
      <x:c r="I2337" t="str">
        <x:v>À qualifier par lieu</x:v>
      </x:c>
      <x:c r="J2337" t="str">
        <x:v>https://github.com/darknigthmare/deadwall-last-enclosure/blob/e28f46223e73105ab2c5d83f3d50b99b58ef53e6/codex-3000/compositions/rural/DW-2332.md</x:v>
      </x:c>
      <x:c r="K2337" t="str">
        <x:v>Source min 25,60 m ; max 25,60 m ; modèle 25 × 60 m ; niveaux 0. Détails dans catalogue-existant.json.</x:v>
      </x:c>
    </x:row>
    <x:row r="2338">
      <x:c r="A2338" t="str">
        <x:v>DW-2333</x:v>
      </x:c>
      <x:c r="B2338" t="str">
        <x:v>DW-0667</x:v>
      </x:c>
      <x:c r="C2338" t="str">
        <x:v>Composition héritée</x:v>
      </x:c>
      <x:c r="D2338" t="str">
        <x:v>rural</x:v>
      </x:c>
      <x:c r="E2338" t="str">
        <x:v>Moulin rural — variante 03 — Petit bois et lisière / première récupération passée</x:v>
      </x:c>
      <x:c r="F2338" t="n">
        <x:v>8</x:v>
      </x:c>
      <x:c r="G2338" t="n">
        <x:v>4</x:v>
      </x:c>
      <x:c r="H2338" t="n">
        <x:v>0</x:v>
      </x:c>
      <x:c r="I2338" t="str">
        <x:v>À qualifier par lieu</x:v>
      </x:c>
      <x:c r="J2338" t="str">
        <x:v>https://github.com/darknigthmare/deadwall-last-enclosure/blob/e28f46223e73105ab2c5d83f3d50b99b58ef53e6/codex-3000/compositions/rural/DW-2333.md</x:v>
      </x:c>
      <x:c r="K2338" t="str">
        <x:v>Source min 36,23 m ; max 36,23 m ; modèle 36 × 23 m ; niveaux 0. Détails dans catalogue-existant.json.</x:v>
      </x:c>
    </x:row>
    <x:row r="2339">
      <x:c r="A2339" t="str">
        <x:v>DW-2334</x:v>
      </x:c>
      <x:c r="B2339" t="str">
        <x:v>DW-0667</x:v>
      </x:c>
      <x:c r="C2339" t="str">
        <x:v>Composition héritée</x:v>
      </x:c>
      <x:c r="D2339" t="str">
        <x:v>rural</x:v>
      </x:c>
      <x:c r="E2339" t="str">
        <x:v>Moulin rural — variante 03 — Ferme, verger et pâtures / relais temporaire envisagé</x:v>
      </x:c>
      <x:c r="F2339" t="n">
        <x:v>8</x:v>
      </x:c>
      <x:c r="G2339" t="n">
        <x:v>4</x:v>
      </x:c>
      <x:c r="H2339" t="n">
        <x:v>0</x:v>
      </x:c>
      <x:c r="I2339" t="str">
        <x:v>À qualifier par lieu</x:v>
      </x:c>
      <x:c r="J2339" t="str">
        <x:v>https://github.com/darknigthmare/deadwall-last-enclosure/blob/e28f46223e73105ab2c5d83f3d50b99b58ef53e6/codex-3000/compositions/rural/DW-2334.md</x:v>
      </x:c>
      <x:c r="K2339" t="str">
        <x:v>Source min 36,23 m ; max 36,23 m ; modèle 36 × 23 m ; niveaux 0. Détails dans catalogue-existant.json.</x:v>
      </x:c>
    </x:row>
    <x:row r="2340">
      <x:c r="A2340" t="str">
        <x:v>DW-2335</x:v>
      </x:c>
      <x:c r="B2340" t="str">
        <x:v>DW-0668</x:v>
      </x:c>
      <x:c r="C2340" t="str">
        <x:v>Composition héritée</x:v>
      </x:c>
      <x:c r="D2340" t="str">
        <x:v>rural</x:v>
      </x:c>
      <x:c r="E2340" t="str">
        <x:v>Serres maraîchères — variante 03 — Hameau / service déplacé à l’arrière</x:v>
      </x:c>
      <x:c r="F2340" t="n">
        <x:v>8</x:v>
      </x:c>
      <x:c r="G2340" t="n">
        <x:v>5</x:v>
      </x:c>
      <x:c r="H2340" t="n">
        <x:v>0</x:v>
      </x:c>
      <x:c r="I2340" t="str">
        <x:v>À qualifier par lieu</x:v>
      </x:c>
      <x:c r="J2340" t="str">
        <x:v>https://github.com/darknigthmare/deadwall-last-enclosure/blob/e28f46223e73105ab2c5d83f3d50b99b58ef53e6/codex-3000/compositions/rural/DW-2335.md</x:v>
      </x:c>
      <x:c r="K2340" t="str">
        <x:v>Source min 47,40 m ; max 47,40 m ; modèle 47 × 40 m ; niveaux 0. Détails dans catalogue-existant.json.</x:v>
      </x:c>
    </x:row>
    <x:row r="2341">
      <x:c r="A2341" t="str">
        <x:v>DW-2336</x:v>
      </x:c>
      <x:c r="B2341" t="str">
        <x:v>DW-0668</x:v>
      </x:c>
      <x:c r="C2341" t="str">
        <x:v>Composition héritée</x:v>
      </x:c>
      <x:c r="D2341" t="str">
        <x:v>rural</x:v>
      </x:c>
      <x:c r="E2341" t="str">
        <x:v>Serres maraîchères — variante 03 — Prairie et friche ouverte / réseau principal coupé</x:v>
      </x:c>
      <x:c r="F2341" t="n">
        <x:v>8</x:v>
      </x:c>
      <x:c r="G2341" t="n">
        <x:v>5</x:v>
      </x:c>
      <x:c r="H2341" t="n">
        <x:v>0</x:v>
      </x:c>
      <x:c r="I2341" t="str">
        <x:v>À qualifier par lieu</x:v>
      </x:c>
      <x:c r="J2341" t="str">
        <x:v>https://github.com/darknigthmare/deadwall-last-enclosure/blob/e28f46223e73105ab2c5d83f3d50b99b58ef53e6/codex-3000/compositions/rural/DW-2336.md</x:v>
      </x:c>
      <x:c r="K2341" t="str">
        <x:v>Source min 47,40 m ; max 47,40 m ; modèle 47 × 40 m ; niveaux 0. Détails dans catalogue-existant.json.</x:v>
      </x:c>
    </x:row>
    <x:row r="2342">
      <x:c r="A2342" t="str">
        <x:v>DW-2337</x:v>
      </x:c>
      <x:c r="B2342" t="str">
        <x:v>DW-0669</x:v>
      </x:c>
      <x:c r="C2342" t="str">
        <x:v>Composition héritée</x:v>
      </x:c>
      <x:c r="D2342" t="str">
        <x:v>militaire</x:v>
      </x:c>
      <x:c r="E2342" t="str">
        <x:v>Bunker de défense civile — variante 03 — Grand camp allié / reprise progressive de la végétation</x:v>
      </x:c>
      <x:c r="F2342" t="n">
        <x:v>10</x:v>
      </x:c>
      <x:c r="G2342" t="n">
        <x:v>6</x:v>
      </x:c>
      <x:c r="H2342" t="n">
        <x:v>0</x:v>
      </x:c>
      <x:c r="I2342" t="str">
        <x:v>À qualifier par lieu</x:v>
      </x:c>
      <x:c r="J2342" t="str">
        <x:v>https://github.com/darknigthmare/deadwall-last-enclosure/blob/e28f46223e73105ab2c5d83f3d50b99b58ef53e6/codex-3000/compositions/militaire/DW-2337.md</x:v>
      </x:c>
      <x:c r="K2342" t="str">
        <x:v>Source min 58,57 m ; max 58,57 m ; modèle 58 × 57 m ; niveaux 0, 1. Détails dans catalogue-existant.json.</x:v>
      </x:c>
    </x:row>
    <x:row r="2343">
      <x:c r="A2343" t="str">
        <x:v>DW-2338</x:v>
      </x:c>
      <x:c r="B2343" t="str">
        <x:v>DW-0669</x:v>
      </x:c>
      <x:c r="C2343" t="str">
        <x:v>Composition héritée</x:v>
      </x:c>
      <x:c r="D2343" t="str">
        <x:v>militaire</x:v>
      </x:c>
      <x:c r="E2343" t="str">
        <x:v>Bunker de défense civile — variante 03 — Camp de fortune / repli organisé interrompu</x:v>
      </x:c>
      <x:c r="F2343" t="n">
        <x:v>8</x:v>
      </x:c>
      <x:c r="G2343" t="n">
        <x:v>6</x:v>
      </x:c>
      <x:c r="H2343" t="n">
        <x:v>0</x:v>
      </x:c>
      <x:c r="I2343" t="str">
        <x:v>À qualifier par lieu</x:v>
      </x:c>
      <x:c r="J2343" t="str">
        <x:v>https://github.com/darknigthmare/deadwall-last-enclosure/blob/e28f46223e73105ab2c5d83f3d50b99b58ef53e6/codex-3000/compositions/militaire/DW-2338.md</x:v>
      </x:c>
      <x:c r="K2343" t="str">
        <x:v>Source min 58,57 m ; max 58,57 m ; modèle 58 × 57 m ; niveaux 0, 1. Détails dans catalogue-existant.json.</x:v>
      </x:c>
    </x:row>
    <x:row r="2344">
      <x:c r="A2344" t="str">
        <x:v>DW-2339</x:v>
      </x:c>
      <x:c r="B2344" t="str">
        <x:v>DW-0670</x:v>
      </x:c>
      <x:c r="C2344" t="str">
        <x:v>Composition héritée</x:v>
      </x:c>
      <x:c r="D2344" t="str">
        <x:v>militaire</x:v>
      </x:c>
      <x:c r="E2344" t="str">
        <x:v>Dépôt militaire — variante 03 — Camp hostile / relais temporaire envisagé</x:v>
      </x:c>
      <x:c r="F2344" t="n">
        <x:v>10</x:v>
      </x:c>
      <x:c r="G2344" t="n">
        <x:v>5</x:v>
      </x:c>
      <x:c r="H2344" t="n">
        <x:v>0</x:v>
      </x:c>
      <x:c r="I2344" t="str">
        <x:v>À qualifier par lieu</x:v>
      </x:c>
      <x:c r="J2344" t="str">
        <x:v>https://github.com/darknigthmare/deadwall-last-enclosure/blob/e28f46223e73105ab2c5d83f3d50b99b58ef53e6/codex-3000/compositions/militaire/DW-2339.md</x:v>
      </x:c>
      <x:c r="K2344" t="str">
        <x:v>Source min 69,20 m ; max 69,20 m ; modèle 69 × 22 m ; niveaux 0. Détails dans catalogue-existant.json.</x:v>
      </x:c>
    </x:row>
    <x:row r="2345">
      <x:c r="A2345" t="str">
        <x:v>DW-2340</x:v>
      </x:c>
      <x:c r="B2345" t="str">
        <x:v>DW-0670</x:v>
      </x:c>
      <x:c r="C2345" t="str">
        <x:v>Composition héritée</x:v>
      </x:c>
      <x:c r="D2345" t="str">
        <x:v>militaire</x:v>
      </x:c>
      <x:c r="E2345" t="str">
        <x:v>Dépôt militaire — variante 03 — Centre d’évacuation abandonné / évacuation interrompue</x:v>
      </x:c>
      <x:c r="F2345" t="n">
        <x:v>8</x:v>
      </x:c>
      <x:c r="G2345" t="n">
        <x:v>5</x:v>
      </x:c>
      <x:c r="H2345" t="n">
        <x:v>0</x:v>
      </x:c>
      <x:c r="I2345" t="str">
        <x:v>À qualifier par lieu</x:v>
      </x:c>
      <x:c r="J2345" t="str">
        <x:v>https://github.com/darknigthmare/deadwall-last-enclosure/blob/e28f46223e73105ab2c5d83f3d50b99b58ef53e6/codex-3000/compositions/militaire/DW-2340.md</x:v>
      </x:c>
      <x:c r="K2345" t="str">
        <x:v>Source min 69,20 m ; max 69,20 m ; modèle 69 × 22 m ; niveaux 0. Détails dans catalogue-existant.json.</x:v>
      </x:c>
    </x:row>
    <x:row r="2346">
      <x:c r="A2346" t="str">
        <x:v>DW-2341</x:v>
      </x:c>
      <x:c r="B2346" t="str">
        <x:v>DW-0671</x:v>
      </x:c>
      <x:c r="C2346" t="str">
        <x:v>Composition héritée</x:v>
      </x:c>
      <x:c r="D2346" t="str">
        <x:v>militaire</x:v>
      </x:c>
      <x:c r="E2346" t="str">
        <x:v>Poste de contrôle — variante 03 — Camp de fortune / réseau principal coupé</x:v>
      </x:c>
      <x:c r="F2346" t="n">
        <x:v>8</x:v>
      </x:c>
      <x:c r="G2346" t="n">
        <x:v>5</x:v>
      </x:c>
      <x:c r="H2346" t="n">
        <x:v>0</x:v>
      </x:c>
      <x:c r="I2346" t="str">
        <x:v>À qualifier par lieu</x:v>
      </x:c>
      <x:c r="J2346" t="str">
        <x:v>https://github.com/darknigthmare/deadwall-last-enclosure/blob/e28f46223e73105ab2c5d83f3d50b99b58ef53e6/codex-3000/compositions/militaire/DW-2341.md</x:v>
      </x:c>
      <x:c r="K2346" t="str">
        <x:v>Source min 80,37 m ; max 80,37 m ; modèle 78 × 37 m ; niveaux 0. Détails dans catalogue-existant.json.</x:v>
      </x:c>
    </x:row>
    <x:row r="2347">
      <x:c r="A2347" t="str">
        <x:v>DW-2342</x:v>
      </x:c>
      <x:c r="B2347" t="str">
        <x:v>DW-0671</x:v>
      </x:c>
      <x:c r="C2347" t="str">
        <x:v>Composition héritée</x:v>
      </x:c>
      <x:c r="D2347" t="str">
        <x:v>militaire</x:v>
      </x:c>
      <x:c r="E2347" t="str">
        <x:v>Poste de contrôle — variante 03 — Grand camp allié / arrêt de maintenance</x:v>
      </x:c>
      <x:c r="F2347" t="n">
        <x:v>10</x:v>
      </x:c>
      <x:c r="G2347" t="n">
        <x:v>5</x:v>
      </x:c>
      <x:c r="H2347" t="n">
        <x:v>0</x:v>
      </x:c>
      <x:c r="I2347" t="str">
        <x:v>À qualifier par lieu</x:v>
      </x:c>
      <x:c r="J2347" t="str">
        <x:v>https://github.com/darknigthmare/deadwall-last-enclosure/blob/e28f46223e73105ab2c5d83f3d50b99b58ef53e6/codex-3000/compositions/militaire/DW-2342.md</x:v>
      </x:c>
      <x:c r="K2347" t="str">
        <x:v>Source min 80,37 m ; max 80,37 m ; modèle 78 × 37 m ; niveaux 0. Détails dans catalogue-existant.json.</x:v>
      </x:c>
    </x:row>
    <x:row r="2348">
      <x:c r="A2348" t="str">
        <x:v>DW-2343</x:v>
      </x:c>
      <x:c r="B2348" t="str">
        <x:v>DW-0672</x:v>
      </x:c>
      <x:c r="C2348" t="str">
        <x:v>Composition héritée</x:v>
      </x:c>
      <x:c r="D2348" t="str">
        <x:v>militaire</x:v>
      </x:c>
      <x:c r="E2348" t="str">
        <x:v>Camp retranché abandonné — variante 03 — Centre d’évacuation abandonné / repli organisé interrompu</x:v>
      </x:c>
      <x:c r="F2348" t="n">
        <x:v>8</x:v>
      </x:c>
      <x:c r="G2348" t="n">
        <x:v>5</x:v>
      </x:c>
      <x:c r="H2348" t="n">
        <x:v>0</x:v>
      </x:c>
      <x:c r="I2348" t="str">
        <x:v>À qualifier par lieu</x:v>
      </x:c>
      <x:c r="J2348" t="str">
        <x:v>https://github.com/darknigthmare/deadwall-last-enclosure/blob/e28f46223e73105ab2c5d83f3d50b99b58ef53e6/codex-3000/compositions/militaire/DW-2343.md</x:v>
      </x:c>
      <x:c r="K2348" t="str">
        <x:v>Source min 19,54 m ; max 19,54 m ; modèle 26 × 54 m ; niveaux 0. Détails dans catalogue-existant.json.</x:v>
      </x:c>
    </x:row>
    <x:row r="2349">
      <x:c r="A2349" t="str">
        <x:v>DW-2344</x:v>
      </x:c>
      <x:c r="B2349" t="str">
        <x:v>DW-0672</x:v>
      </x:c>
      <x:c r="C2349" t="str">
        <x:v>Composition héritée</x:v>
      </x:c>
      <x:c r="D2349" t="str">
        <x:v>militaire</x:v>
      </x:c>
      <x:c r="E2349" t="str">
        <x:v>Camp retranché abandonné — variante 03 — Camp hostile / première récupération passée</x:v>
      </x:c>
      <x:c r="F2349" t="n">
        <x:v>10</x:v>
      </x:c>
      <x:c r="G2349" t="n">
        <x:v>5</x:v>
      </x:c>
      <x:c r="H2349" t="n">
        <x:v>0</x:v>
      </x:c>
      <x:c r="I2349" t="str">
        <x:v>À qualifier par lieu</x:v>
      </x:c>
      <x:c r="J2349" t="str">
        <x:v>https://github.com/darknigthmare/deadwall-last-enclosure/blob/e28f46223e73105ab2c5d83f3d50b99b58ef53e6/codex-3000/compositions/militaire/DW-2344.md</x:v>
      </x:c>
      <x:c r="K2349" t="str">
        <x:v>Source min 19,54 m ; max 19,54 m ; modèle 26 × 54 m ; niveaux 0. Détails dans catalogue-existant.json.</x:v>
      </x:c>
    </x:row>
    <x:row r="2350">
      <x:c r="A2350" t="str">
        <x:v>DW-2345</x:v>
      </x:c>
      <x:c r="B2350" t="str">
        <x:v>DW-0673</x:v>
      </x:c>
      <x:c r="C2350" t="str">
        <x:v>Composition héritée</x:v>
      </x:c>
      <x:c r="D2350" t="str">
        <x:v>militaire</x:v>
      </x:c>
      <x:c r="E2350" t="str">
        <x:v>Abri ferroviaire — variante 03 — Grand camp allié / évacuation interrompue</x:v>
      </x:c>
      <x:c r="F2350" t="n">
        <x:v>10</x:v>
      </x:c>
      <x:c r="G2350" t="n">
        <x:v>4</x:v>
      </x:c>
      <x:c r="H2350" t="n">
        <x:v>0</x:v>
      </x:c>
      <x:c r="I2350" t="str">
        <x:v>À qualifier par lieu</x:v>
      </x:c>
      <x:c r="J2350" t="str">
        <x:v>https://github.com/darknigthmare/deadwall-last-enclosure/blob/e28f46223e73105ab2c5d83f3d50b99b58ef53e6/codex-3000/compositions/militaire/DW-2345.md</x:v>
      </x:c>
      <x:c r="K2350" t="str">
        <x:v>Source min 30,17 m ; max 30,17 m ; modèle 30 × 18 m ; niveaux 0. Détails dans catalogue-existant.json.</x:v>
      </x:c>
    </x:row>
    <x:row r="2351">
      <x:c r="A2351" t="str">
        <x:v>DW-2346</x:v>
      </x:c>
      <x:c r="B2351" t="str">
        <x:v>DW-0673</x:v>
      </x:c>
      <x:c r="C2351" t="str">
        <x:v>Composition héritée</x:v>
      </x:c>
      <x:c r="D2351" t="str">
        <x:v>militaire</x:v>
      </x:c>
      <x:c r="E2351" t="str">
        <x:v>Abri ferroviaire — variante 03 — Camp de fortune / service déplacé à l’arrière</x:v>
      </x:c>
      <x:c r="F2351" t="n">
        <x:v>8</x:v>
      </x:c>
      <x:c r="G2351" t="n">
        <x:v>4</x:v>
      </x:c>
      <x:c r="H2351" t="n">
        <x:v>0</x:v>
      </x:c>
      <x:c r="I2351" t="str">
        <x:v>À qualifier par lieu</x:v>
      </x:c>
      <x:c r="J2351" t="str">
        <x:v>https://github.com/darknigthmare/deadwall-last-enclosure/blob/e28f46223e73105ab2c5d83f3d50b99b58ef53e6/codex-3000/compositions/militaire/DW-2346.md</x:v>
      </x:c>
      <x:c r="K2351" t="str">
        <x:v>Source min 30,17 m ; max 30,17 m ; modèle 30 × 18 m ; niveaux 0. Détails dans catalogue-existant.json.</x:v>
      </x:c>
    </x:row>
    <x:row r="2352">
      <x:c r="A2352" t="str">
        <x:v>DW-2347</x:v>
      </x:c>
      <x:c r="B2352" t="str">
        <x:v>DW-0674</x:v>
      </x:c>
      <x:c r="C2352" t="str">
        <x:v>Composition héritée</x:v>
      </x:c>
      <x:c r="D2352" t="str">
        <x:v>militaire</x:v>
      </x:c>
      <x:c r="E2352" t="str">
        <x:v>Site radar — variante 03 — Camp hostile / arrêt de maintenance</x:v>
      </x:c>
      <x:c r="F2352" t="n">
        <x:v>10</x:v>
      </x:c>
      <x:c r="G2352" t="n">
        <x:v>5</x:v>
      </x:c>
      <x:c r="H2352" t="n">
        <x:v>0</x:v>
      </x:c>
      <x:c r="I2352" t="str">
        <x:v>À qualifier par lieu</x:v>
      </x:c>
      <x:c r="J2352" t="str">
        <x:v>https://github.com/darknigthmare/deadwall-last-enclosure/blob/e28f46223e73105ab2c5d83f3d50b99b58ef53e6/codex-3000/compositions/militaire/DW-2347.md</x:v>
      </x:c>
      <x:c r="K2352" t="str">
        <x:v>Source min 41,34 m ; max 41,34 m ; modèle 41 × 34 m ; niveaux 0. Détails dans catalogue-existant.json.</x:v>
      </x:c>
    </x:row>
    <x:row r="2353">
      <x:c r="A2353" t="str">
        <x:v>DW-2348</x:v>
      </x:c>
      <x:c r="B2353" t="str">
        <x:v>DW-0674</x:v>
      </x:c>
      <x:c r="C2353" t="str">
        <x:v>Composition héritée</x:v>
      </x:c>
      <x:c r="D2353" t="str">
        <x:v>militaire</x:v>
      </x:c>
      <x:c r="E2353" t="str">
        <x:v>Site radar — variante 03 — Centre d’évacuation abandonné / reprise progressive de la végétation</x:v>
      </x:c>
      <x:c r="F2353" t="n">
        <x:v>8</x:v>
      </x:c>
      <x:c r="G2353" t="n">
        <x:v>5</x:v>
      </x:c>
      <x:c r="H2353" t="n">
        <x:v>0</x:v>
      </x:c>
      <x:c r="I2353" t="str">
        <x:v>À qualifier par lieu</x:v>
      </x:c>
      <x:c r="J2353" t="str">
        <x:v>https://github.com/darknigthmare/deadwall-last-enclosure/blob/e28f46223e73105ab2c5d83f3d50b99b58ef53e6/codex-3000/compositions/militaire/DW-2348.md</x:v>
      </x:c>
      <x:c r="K2353" t="str">
        <x:v>Source min 41,34 m ; max 41,34 m ; modèle 41 × 34 m ; niveaux 0. Détails dans catalogue-existant.json.</x:v>
      </x:c>
    </x:row>
    <x:row r="2354">
      <x:c r="A2354" t="str">
        <x:v>DW-2349</x:v>
      </x:c>
      <x:c r="B2354" t="str">
        <x:v>DW-0675</x:v>
      </x:c>
      <x:c r="C2354" t="str">
        <x:v>Composition héritée</x:v>
      </x:c>
      <x:c r="D2354" t="str">
        <x:v>militaire</x:v>
      </x:c>
      <x:c r="E2354" t="str">
        <x:v>Batterie côtière — variante 03 — Camp de fortune / première récupération passée</x:v>
      </x:c>
      <x:c r="F2354" t="n">
        <x:v>8</x:v>
      </x:c>
      <x:c r="G2354" t="n">
        <x:v>4</x:v>
      </x:c>
      <x:c r="H2354" t="n">
        <x:v>0</x:v>
      </x:c>
      <x:c r="I2354" t="str">
        <x:v>À qualifier par lieu</x:v>
      </x:c>
      <x:c r="J2354" t="str">
        <x:v>https://github.com/darknigthmare/deadwall-last-enclosure/blob/e28f46223e73105ab2c5d83f3d50b99b58ef53e6/codex-3000/compositions/militaire/DW-2349.md</x:v>
      </x:c>
      <x:c r="K2354" t="str">
        <x:v>Source min 52,51 m ; max 52,51 m ; modèle 52 × 51 m ; niveaux 0. Détails dans catalogue-existant.json.</x:v>
      </x:c>
    </x:row>
    <x:row r="2355">
      <x:c r="A2355" t="str">
        <x:v>DW-2350</x:v>
      </x:c>
      <x:c r="B2355" t="str">
        <x:v>DW-0675</x:v>
      </x:c>
      <x:c r="C2355" t="str">
        <x:v>Composition héritée</x:v>
      </x:c>
      <x:c r="D2355" t="str">
        <x:v>militaire</x:v>
      </x:c>
      <x:c r="E2355" t="str">
        <x:v>Batterie côtière — variante 03 — Grand camp allié / relais temporaire envisagé</x:v>
      </x:c>
      <x:c r="F2355" t="n">
        <x:v>10</x:v>
      </x:c>
      <x:c r="G2355" t="n">
        <x:v>4</x:v>
      </x:c>
      <x:c r="H2355" t="n">
        <x:v>0</x:v>
      </x:c>
      <x:c r="I2355" t="str">
        <x:v>À qualifier par lieu</x:v>
      </x:c>
      <x:c r="J2355" t="str">
        <x:v>https://github.com/darknigthmare/deadwall-last-enclosure/blob/e28f46223e73105ab2c5d83f3d50b99b58ef53e6/codex-3000/compositions/militaire/DW-2350.md</x:v>
      </x:c>
      <x:c r="K2355" t="str">
        <x:v>Source min 52,51 m ; max 52,51 m ; modèle 52 × 51 m ; niveaux 0. Détails dans catalogue-existant.json.</x:v>
      </x:c>
    </x:row>
    <x:row r="2356">
      <x:c r="A2356" t="str">
        <x:v>DW-2351</x:v>
      </x:c>
      <x:c r="B2356" t="str">
        <x:v>DW-0676</x:v>
      </x:c>
      <x:c r="C2356" t="str">
        <x:v>Composition héritée</x:v>
      </x:c>
      <x:c r="D2356" t="str">
        <x:v>militaire</x:v>
      </x:c>
      <x:c r="E2356" t="str">
        <x:v>Dépôt carburant sécurisé — variante 03 — Centre d’évacuation abandonné / service déplacé à l’arrière</x:v>
      </x:c>
      <x:c r="F2356" t="n">
        <x:v>8</x:v>
      </x:c>
      <x:c r="G2356" t="n">
        <x:v>5</x:v>
      </x:c>
      <x:c r="H2356" t="n">
        <x:v>0</x:v>
      </x:c>
      <x:c r="I2356" t="str">
        <x:v>À qualifier par lieu</x:v>
      </x:c>
      <x:c r="J2356" t="str">
        <x:v>https://github.com/darknigthmare/deadwall-last-enclosure/blob/e28f46223e73105ab2c5d83f3d50b99b58ef53e6/codex-3000/compositions/militaire/DW-2351.md</x:v>
      </x:c>
      <x:c r="K2356" t="str">
        <x:v>Source min 63,14 m ; max 63,14 m ; modèle 63 × 22 m ; niveaux 0. Détails dans catalogue-existant.json.</x:v>
      </x:c>
    </x:row>
    <x:row r="2357">
      <x:c r="A2357" t="str">
        <x:v>DW-2352</x:v>
      </x:c>
      <x:c r="B2357" t="str">
        <x:v>DW-0676</x:v>
      </x:c>
      <x:c r="C2357" t="str">
        <x:v>Composition héritée</x:v>
      </x:c>
      <x:c r="D2357" t="str">
        <x:v>militaire</x:v>
      </x:c>
      <x:c r="E2357" t="str">
        <x:v>Dépôt carburant sécurisé — variante 03 — Camp hostile / réseau principal coupé</x:v>
      </x:c>
      <x:c r="F2357" t="n">
        <x:v>10</x:v>
      </x:c>
      <x:c r="G2357" t="n">
        <x:v>5</x:v>
      </x:c>
      <x:c r="H2357" t="n">
        <x:v>0</x:v>
      </x:c>
      <x:c r="I2357" t="str">
        <x:v>À qualifier par lieu</x:v>
      </x:c>
      <x:c r="J2357" t="str">
        <x:v>https://github.com/darknigthmare/deadwall-last-enclosure/blob/e28f46223e73105ab2c5d83f3d50b99b58ef53e6/codex-3000/compositions/militaire/DW-2352.md</x:v>
      </x:c>
      <x:c r="K2357" t="str">
        <x:v>Source min 63,14 m ; max 63,14 m ; modèle 63 × 22 m ; niveaux 0. Détails dans catalogue-existant.json.</x:v>
      </x:c>
    </x:row>
    <x:row r="2358">
      <x:c r="A2358" t="str">
        <x:v>DW-2353</x:v>
      </x:c>
      <x:c r="B2358" t="str">
        <x:v>DW-0677</x:v>
      </x:c>
      <x:c r="C2358" t="str">
        <x:v>Composition héritée</x:v>
      </x:c>
      <x:c r="D2358" t="str">
        <x:v>transport</x:v>
      </x:c>
      <x:c r="E2358" t="str">
        <x:v>Gare routière — variante 03 — Station-service et aire routière / reprise progressive de la végétation</x:v>
      </x:c>
      <x:c r="F2358" t="n">
        <x:v>8</x:v>
      </x:c>
      <x:c r="G2358" t="n">
        <x:v>5</x:v>
      </x:c>
      <x:c r="H2358" t="n">
        <x:v>0</x:v>
      </x:c>
      <x:c r="I2358" t="str">
        <x:v>À qualifier par lieu</x:v>
      </x:c>
      <x:c r="J2358" t="str">
        <x:v>https://github.com/darknigthmare/deadwall-last-enclosure/blob/e28f46223e73105ab2c5d83f3d50b99b58ef53e6/codex-3000/compositions/transport/DW-2353.md</x:v>
      </x:c>
      <x:c r="K2358" t="str">
        <x:v>Source min 74,31 m ; max 74,31 m ; modèle 74 × 31 m ; niveaux 0. Détails dans catalogue-existant.json.</x:v>
      </x:c>
    </x:row>
    <x:row r="2359">
      <x:c r="A2359" t="str">
        <x:v>DW-2354</x:v>
      </x:c>
      <x:c r="B2359" t="str">
        <x:v>DW-0677</x:v>
      </x:c>
      <x:c r="C2359" t="str">
        <x:v>Composition héritée</x:v>
      </x:c>
      <x:c r="D2359" t="str">
        <x:v>transport</x:v>
      </x:c>
      <x:c r="E2359" t="str">
        <x:v>Gare routière — variante 03 — Port marchand / repli organisé interrompu</x:v>
      </x:c>
      <x:c r="F2359" t="n">
        <x:v>10</x:v>
      </x:c>
      <x:c r="G2359" t="n">
        <x:v>5</x:v>
      </x:c>
      <x:c r="H2359" t="n">
        <x:v>0</x:v>
      </x:c>
      <x:c r="I2359" t="str">
        <x:v>À qualifier par lieu</x:v>
      </x:c>
      <x:c r="J2359" t="str">
        <x:v>https://github.com/darknigthmare/deadwall-last-enclosure/blob/e28f46223e73105ab2c5d83f3d50b99b58ef53e6/codex-3000/compositions/transport/DW-2354.md</x:v>
      </x:c>
      <x:c r="K2359" t="str">
        <x:v>Source min 74,31 m ; max 74,31 m ; modèle 74 × 31 m ; niveaux 0. Détails dans catalogue-existant.json.</x:v>
      </x:c>
    </x:row>
    <x:row r="2360">
      <x:c r="A2360" t="str">
        <x:v>DW-2355</x:v>
      </x:c>
      <x:c r="B2360" t="str">
        <x:v>DW-0678</x:v>
      </x:c>
      <x:c r="C2360" t="str">
        <x:v>Composition héritée</x:v>
      </x:c>
      <x:c r="D2360" t="str">
        <x:v>transport</x:v>
      </x:c>
      <x:c r="E2360" t="str">
        <x:v>Dépôt de bus — variante 03 — Gare et fret / relais temporaire envisagé</x:v>
      </x:c>
      <x:c r="F2360" t="n">
        <x:v>10</x:v>
      </x:c>
      <x:c r="G2360" t="n">
        <x:v>5</x:v>
      </x:c>
      <x:c r="H2360" t="n">
        <x:v>0</x:v>
      </x:c>
      <x:c r="I2360" t="str">
        <x:v>À qualifier par lieu</x:v>
      </x:c>
      <x:c r="J2360" t="str">
        <x:v>https://github.com/darknigthmare/deadwall-last-enclosure/blob/e28f46223e73105ab2c5d83f3d50b99b58ef53e6/codex-3000/compositions/transport/DW-2355.md</x:v>
      </x:c>
      <x:c r="K2360" t="str">
        <x:v>Source min 13,48 m ; max 13,48 m ; modèle 26 × 48 m ; niveaux 0. Détails dans catalogue-existant.json.</x:v>
      </x:c>
    </x:row>
    <x:row r="2361">
      <x:c r="A2361" t="str">
        <x:v>DW-2356</x:v>
      </x:c>
      <x:c r="B2361" t="str">
        <x:v>DW-0678</x:v>
      </x:c>
      <x:c r="C2361" t="str">
        <x:v>Composition héritée</x:v>
      </x:c>
      <x:c r="D2361" t="str">
        <x:v>transport</x:v>
      </x:c>
      <x:c r="E2361" t="str">
        <x:v>Dépôt de bus — variante 03 — Routes et coutures territoriales / évacuation interrompue</x:v>
      </x:c>
      <x:c r="F2361" t="n">
        <x:v>10</x:v>
      </x:c>
      <x:c r="G2361" t="n">
        <x:v>5</x:v>
      </x:c>
      <x:c r="H2361" t="n">
        <x:v>0</x:v>
      </x:c>
      <x:c r="I2361" t="str">
        <x:v>À qualifier par lieu</x:v>
      </x:c>
      <x:c r="J2361" t="str">
        <x:v>https://github.com/darknigthmare/deadwall-last-enclosure/blob/e28f46223e73105ab2c5d83f3d50b99b58ef53e6/codex-3000/compositions/transport/DW-2356.md</x:v>
      </x:c>
      <x:c r="K2361" t="str">
        <x:v>Source min 13,48 m ; max 13,48 m ; modèle 26 × 48 m ; niveaux 0. Détails dans catalogue-existant.json.</x:v>
      </x:c>
    </x:row>
    <x:row r="2362">
      <x:c r="A2362" t="str">
        <x:v>DW-2357</x:v>
      </x:c>
      <x:c r="B2362" t="str">
        <x:v>DW-0679</x:v>
      </x:c>
      <x:c r="C2362" t="str">
        <x:v>Composition héritée</x:v>
      </x:c>
      <x:c r="D2362" t="str">
        <x:v>transport</x:v>
      </x:c>
      <x:c r="E2362" t="str">
        <x:v>Gare ferroviaire — variante 03 — Port marchand / réseau principal coupé</x:v>
      </x:c>
      <x:c r="F2362" t="n">
        <x:v>10</x:v>
      </x:c>
      <x:c r="G2362" t="n">
        <x:v>5</x:v>
      </x:c>
      <x:c r="H2362" t="n">
        <x:v>0</x:v>
      </x:c>
      <x:c r="I2362" t="str">
        <x:v>À qualifier par lieu</x:v>
      </x:c>
      <x:c r="J2362" t="str">
        <x:v>https://github.com/darknigthmare/deadwall-last-enclosure/blob/e28f46223e73105ab2c5d83f3d50b99b58ef53e6/codex-3000/compositions/transport/DW-2357.md</x:v>
      </x:c>
      <x:c r="K2362" t="str">
        <x:v>Source min 24,11 m ; max 24,11 m ; modèle 26 × 22 m ; niveaux 0. Détails dans catalogue-existant.json.</x:v>
      </x:c>
    </x:row>
    <x:row r="2363">
      <x:c r="A2363" t="str">
        <x:v>DW-2358</x:v>
      </x:c>
      <x:c r="B2363" t="str">
        <x:v>DW-0679</x:v>
      </x:c>
      <x:c r="C2363" t="str">
        <x:v>Composition héritée</x:v>
      </x:c>
      <x:c r="D2363" t="str">
        <x:v>transport</x:v>
      </x:c>
      <x:c r="E2363" t="str">
        <x:v>Gare ferroviaire — variante 03 — Station-service et aire routière / arrêt de maintenance</x:v>
      </x:c>
      <x:c r="F2363" t="n">
        <x:v>8</x:v>
      </x:c>
      <x:c r="G2363" t="n">
        <x:v>5</x:v>
      </x:c>
      <x:c r="H2363" t="n">
        <x:v>0</x:v>
      </x:c>
      <x:c r="I2363" t="str">
        <x:v>À qualifier par lieu</x:v>
      </x:c>
      <x:c r="J2363" t="str">
        <x:v>https://github.com/darknigthmare/deadwall-last-enclosure/blob/e28f46223e73105ab2c5d83f3d50b99b58ef53e6/codex-3000/compositions/transport/DW-2358.md</x:v>
      </x:c>
      <x:c r="K2363" t="str">
        <x:v>Source min 24,11 m ; max 24,11 m ; modèle 26 × 22 m ; niveaux 0. Détails dans catalogue-existant.json.</x:v>
      </x:c>
    </x:row>
    <x:row r="2364">
      <x:c r="A2364" t="str">
        <x:v>DW-2359</x:v>
      </x:c>
      <x:c r="B2364" t="str">
        <x:v>DW-0680</x:v>
      </x:c>
      <x:c r="C2364" t="str">
        <x:v>Composition héritée</x:v>
      </x:c>
      <x:c r="D2364" t="str">
        <x:v>transport</x:v>
      </x:c>
      <x:c r="E2364" t="str">
        <x:v>Aire d'autoroute — variante 03 — Routes et coutures territoriales / repli organisé interrompu</x:v>
      </x:c>
      <x:c r="F2364" t="n">
        <x:v>10</x:v>
      </x:c>
      <x:c r="G2364" t="n">
        <x:v>5</x:v>
      </x:c>
      <x:c r="H2364" t="n">
        <x:v>0</x:v>
      </x:c>
      <x:c r="I2364" t="str">
        <x:v>À qualifier par lieu</x:v>
      </x:c>
      <x:c r="J2364" t="str">
        <x:v>https://github.com/darknigthmare/deadwall-last-enclosure/blob/e28f46223e73105ab2c5d83f3d50b99b58ef53e6/codex-3000/compositions/transport/DW-2359.md</x:v>
      </x:c>
      <x:c r="K2364" t="str">
        <x:v>Source min 35,28 m ; max 35,28 m ; modèle 35 × 28 m ; niveaux 0. Détails dans catalogue-existant.json.</x:v>
      </x:c>
    </x:row>
    <x:row r="2365">
      <x:c r="A2365" t="str">
        <x:v>DW-2360</x:v>
      </x:c>
      <x:c r="B2365" t="str">
        <x:v>DW-0680</x:v>
      </x:c>
      <x:c r="C2365" t="str">
        <x:v>Composition héritée</x:v>
      </x:c>
      <x:c r="D2365" t="str">
        <x:v>transport</x:v>
      </x:c>
      <x:c r="E2365" t="str">
        <x:v>Aire d'autoroute — variante 03 — Gare et fret / première récupération passée</x:v>
      </x:c>
      <x:c r="F2365" t="n">
        <x:v>10</x:v>
      </x:c>
      <x:c r="G2365" t="n">
        <x:v>5</x:v>
      </x:c>
      <x:c r="H2365" t="n">
        <x:v>0</x:v>
      </x:c>
      <x:c r="I2365" t="str">
        <x:v>À qualifier par lieu</x:v>
      </x:c>
      <x:c r="J2365" t="str">
        <x:v>https://github.com/darknigthmare/deadwall-last-enclosure/blob/e28f46223e73105ab2c5d83f3d50b99b58ef53e6/codex-3000/compositions/transport/DW-2360.md</x:v>
      </x:c>
      <x:c r="K2365" t="str">
        <x:v>Source min 35,28 m ; max 35,28 m ; modèle 35 × 28 m ; niveaux 0. Détails dans catalogue-existant.json.</x:v>
      </x:c>
    </x:row>
    <x:row r="2366">
      <x:c r="A2366" t="str">
        <x:v>DW-2361</x:v>
      </x:c>
      <x:c r="B2366" t="str">
        <x:v>DW-0681</x:v>
      </x:c>
      <x:c r="C2366" t="str">
        <x:v>Composition héritée</x:v>
      </x:c>
      <x:c r="D2366" t="str">
        <x:v>transport</x:v>
      </x:c>
      <x:c r="E2366" t="str">
        <x:v>Parking silo — variante 03 — Station-service et aire routière / évacuation interrompue</x:v>
      </x:c>
      <x:c r="F2366" t="n">
        <x:v>8</x:v>
      </x:c>
      <x:c r="G2366" t="n">
        <x:v>4</x:v>
      </x:c>
      <x:c r="H2366" t="n">
        <x:v>0</x:v>
      </x:c>
      <x:c r="I2366" t="str">
        <x:v>À qualifier par lieu</x:v>
      </x:c>
      <x:c r="J2366" t="str">
        <x:v>https://github.com/darknigthmare/deadwall-last-enclosure/blob/e28f46223e73105ab2c5d83f3d50b99b58ef53e6/codex-3000/compositions/transport/DW-2361.md</x:v>
      </x:c>
      <x:c r="K2366" t="str">
        <x:v>Source min 46,45 m ; max 46,45 m ; modèle 46 × 45 m ; niveaux 0. Détails dans catalogue-existant.json.</x:v>
      </x:c>
    </x:row>
    <x:row r="2367">
      <x:c r="A2367" t="str">
        <x:v>DW-2362</x:v>
      </x:c>
      <x:c r="B2367" t="str">
        <x:v>DW-0681</x:v>
      </x:c>
      <x:c r="C2367" t="str">
        <x:v>Composition héritée</x:v>
      </x:c>
      <x:c r="D2367" t="str">
        <x:v>transport</x:v>
      </x:c>
      <x:c r="E2367" t="str">
        <x:v>Parking silo — variante 03 — Port marchand / service déplacé à l’arrière</x:v>
      </x:c>
      <x:c r="F2367" t="n">
        <x:v>10</x:v>
      </x:c>
      <x:c r="G2367" t="n">
        <x:v>4</x:v>
      </x:c>
      <x:c r="H2367" t="n">
        <x:v>0</x:v>
      </x:c>
      <x:c r="I2367" t="str">
        <x:v>À qualifier par lieu</x:v>
      </x:c>
      <x:c r="J2367" t="str">
        <x:v>https://github.com/darknigthmare/deadwall-last-enclosure/blob/e28f46223e73105ab2c5d83f3d50b99b58ef53e6/codex-3000/compositions/transport/DW-2362.md</x:v>
      </x:c>
      <x:c r="K2367" t="str">
        <x:v>Source min 46,45 m ; max 46,45 m ; modèle 46 × 45 m ; niveaux 0. Détails dans catalogue-existant.json.</x:v>
      </x:c>
    </x:row>
    <x:row r="2368">
      <x:c r="A2368" t="str">
        <x:v>DW-2363</x:v>
      </x:c>
      <x:c r="B2368" t="str">
        <x:v>DW-0682</x:v>
      </x:c>
      <x:c r="C2368" t="str">
        <x:v>Composition héritée</x:v>
      </x:c>
      <x:c r="D2368" t="str">
        <x:v>transport</x:v>
      </x:c>
      <x:c r="E2368" t="str">
        <x:v>Terminal poids lourds — variante 03 — Gare et fret / arrêt de maintenance</x:v>
      </x:c>
      <x:c r="F2368" t="n">
        <x:v>10</x:v>
      </x:c>
      <x:c r="G2368" t="n">
        <x:v>5</x:v>
      </x:c>
      <x:c r="H2368" t="n">
        <x:v>0</x:v>
      </x:c>
      <x:c r="I2368" t="str">
        <x:v>À qualifier par lieu</x:v>
      </x:c>
      <x:c r="J2368" t="str">
        <x:v>https://github.com/darknigthmare/deadwall-last-enclosure/blob/e28f46223e73105ab2c5d83f3d50b99b58ef53e6/codex-3000/compositions/transport/DW-2363.md</x:v>
      </x:c>
      <x:c r="K2368" t="str">
        <x:v>Source min 57,62 m ; max 57,62 m ; modèle 57 × 62 m ; niveaux 0. Détails dans catalogue-existant.json.</x:v>
      </x:c>
    </x:row>
    <x:row r="2369">
      <x:c r="A2369" t="str">
        <x:v>DW-2364</x:v>
      </x:c>
      <x:c r="B2369" t="str">
        <x:v>DW-0682</x:v>
      </x:c>
      <x:c r="C2369" t="str">
        <x:v>Composition héritée</x:v>
      </x:c>
      <x:c r="D2369" t="str">
        <x:v>transport</x:v>
      </x:c>
      <x:c r="E2369" t="str">
        <x:v>Terminal poids lourds — variante 03 — Routes et coutures territoriales / reprise progressive de la végétation</x:v>
      </x:c>
      <x:c r="F2369" t="n">
        <x:v>10</x:v>
      </x:c>
      <x:c r="G2369" t="n">
        <x:v>5</x:v>
      </x:c>
      <x:c r="H2369" t="n">
        <x:v>0</x:v>
      </x:c>
      <x:c r="I2369" t="str">
        <x:v>À qualifier par lieu</x:v>
      </x:c>
      <x:c r="J2369" t="str">
        <x:v>https://github.com/darknigthmare/deadwall-last-enclosure/blob/e28f46223e73105ab2c5d83f3d50b99b58ef53e6/codex-3000/compositions/transport/DW-2364.md</x:v>
      </x:c>
      <x:c r="K2369" t="str">
        <x:v>Source min 57,62 m ; max 57,62 m ; modèle 57 × 62 m ; niveaux 0. Détails dans catalogue-existant.json.</x:v>
      </x:c>
    </x:row>
    <x:row r="2370">
      <x:c r="A2370" t="str">
        <x:v>DW-2365</x:v>
      </x:c>
      <x:c r="B2370" t="str">
        <x:v>DW-0683</x:v>
      </x:c>
      <x:c r="C2370" t="str">
        <x:v>Composition héritée</x:v>
      </x:c>
      <x:c r="D2370" t="str">
        <x:v>transport</x:v>
      </x:c>
      <x:c r="E2370" t="str">
        <x:v>Port de plaisance — variante 03 — Port marchand / première récupération passée</x:v>
      </x:c>
      <x:c r="F2370" t="n">
        <x:v>10</x:v>
      </x:c>
      <x:c r="G2370" t="n">
        <x:v>5</x:v>
      </x:c>
      <x:c r="H2370" t="n">
        <x:v>0</x:v>
      </x:c>
      <x:c r="I2370" t="str">
        <x:v>À qualifier par lieu</x:v>
      </x:c>
      <x:c r="J2370" t="str">
        <x:v>https://github.com/darknigthmare/deadwall-last-enclosure/blob/e28f46223e73105ab2c5d83f3d50b99b58ef53e6/codex-3000/compositions/transport/DW-2365.md</x:v>
      </x:c>
      <x:c r="K2370" t="str">
        <x:v>Source min 68,25 m ; max 68,25 m ; modèle 68 × 25 m ; niveaux 0. Détails dans catalogue-existant.json.</x:v>
      </x:c>
    </x:row>
    <x:row r="2371">
      <x:c r="A2371" t="str">
        <x:v>DW-2366</x:v>
      </x:c>
      <x:c r="B2371" t="str">
        <x:v>DW-0683</x:v>
      </x:c>
      <x:c r="C2371" t="str">
        <x:v>Composition héritée</x:v>
      </x:c>
      <x:c r="D2371" t="str">
        <x:v>transport</x:v>
      </x:c>
      <x:c r="E2371" t="str">
        <x:v>Port de plaisance — variante 03 — Station-service et aire routière / relais temporaire envisagé</x:v>
      </x:c>
      <x:c r="F2371" t="n">
        <x:v>8</x:v>
      </x:c>
      <x:c r="G2371" t="n">
        <x:v>5</x:v>
      </x:c>
      <x:c r="H2371" t="n">
        <x:v>0</x:v>
      </x:c>
      <x:c r="I2371" t="str">
        <x:v>À qualifier par lieu</x:v>
      </x:c>
      <x:c r="J2371" t="str">
        <x:v>https://github.com/darknigthmare/deadwall-last-enclosure/blob/e28f46223e73105ab2c5d83f3d50b99b58ef53e6/codex-3000/compositions/transport/DW-2366.md</x:v>
      </x:c>
      <x:c r="K2371" t="str">
        <x:v>Source min 68,25 m ; max 68,25 m ; modèle 68 × 25 m ; niveaux 0. Détails dans catalogue-existant.json.</x:v>
      </x:c>
    </x:row>
    <x:row r="2372">
      <x:c r="A2372" t="str">
        <x:v>DW-2367</x:v>
      </x:c>
      <x:c r="B2372" t="str">
        <x:v>DW-0684</x:v>
      </x:c>
      <x:c r="C2372" t="str">
        <x:v>Composition héritée</x:v>
      </x:c>
      <x:c r="D2372" t="str">
        <x:v>transport</x:v>
      </x:c>
      <x:c r="E2372" t="str">
        <x:v>Petit aérodrome — variante 03 — Routes et coutures territoriales / service déplacé à l’arrière</x:v>
      </x:c>
      <x:c r="F2372" t="n">
        <x:v>10</x:v>
      </x:c>
      <x:c r="G2372" t="n">
        <x:v>5</x:v>
      </x:c>
      <x:c r="H2372" t="n">
        <x:v>0</x:v>
      </x:c>
      <x:c r="I2372" t="str">
        <x:v>À qualifier par lieu</x:v>
      </x:c>
      <x:c r="J2372" t="str">
        <x:v>https://github.com/darknigthmare/deadwall-last-enclosure/blob/e28f46223e73105ab2c5d83f3d50b99b58ef53e6/codex-3000/compositions/transport/DW-2367.md</x:v>
      </x:c>
      <x:c r="K2372" t="str">
        <x:v>Source min 79,42 m ; max 79,42 m ; modèle 78 × 42 m ; niveaux 0. Détails dans catalogue-existant.json.</x:v>
      </x:c>
    </x:row>
    <x:row r="2373">
      <x:c r="A2373" t="str">
        <x:v>DW-2368</x:v>
      </x:c>
      <x:c r="B2373" t="str">
        <x:v>DW-0684</x:v>
      </x:c>
      <x:c r="C2373" t="str">
        <x:v>Composition héritée</x:v>
      </x:c>
      <x:c r="D2373" t="str">
        <x:v>transport</x:v>
      </x:c>
      <x:c r="E2373" t="str">
        <x:v>Petit aérodrome — variante 03 — Gare et fret / réseau principal coupé</x:v>
      </x:c>
      <x:c r="F2373" t="n">
        <x:v>10</x:v>
      </x:c>
      <x:c r="G2373" t="n">
        <x:v>5</x:v>
      </x:c>
      <x:c r="H2373" t="n">
        <x:v>0</x:v>
      </x:c>
      <x:c r="I2373" t="str">
        <x:v>À qualifier par lieu</x:v>
      </x:c>
      <x:c r="J2373" t="str">
        <x:v>https://github.com/darknigthmare/deadwall-last-enclosure/blob/e28f46223e73105ab2c5d83f3d50b99b58ef53e6/codex-3000/compositions/transport/DW-2368.md</x:v>
      </x:c>
      <x:c r="K2373" t="str">
        <x:v>Source min 79,42 m ; max 79,42 m ; modèle 78 × 42 m ; niveaux 0. Détails dans catalogue-existant.json.</x:v>
      </x:c>
    </x:row>
    <x:row r="2374">
      <x:c r="A2374" t="str">
        <x:v>DW-2369</x:v>
      </x:c>
      <x:c r="B2374" t="str">
        <x:v>DW-0685</x:v>
      </x:c>
      <x:c r="C2374" t="str">
        <x:v>Composition héritée</x:v>
      </x:c>
      <x:c r="D2374" t="str">
        <x:v>ruines</x:v>
      </x:c>
      <x:c r="E2374" t="str">
        <x:v>Maison incendiée — variante 03 — Ruine envahie et reprise végétale / reprise progressive de la végétation</x:v>
      </x:c>
      <x:c r="F2374" t="n">
        <x:v>8</x:v>
      </x:c>
      <x:c r="G2374" t="n">
        <x:v>3</x:v>
      </x:c>
      <x:c r="H2374" t="n">
        <x:v>0</x:v>
      </x:c>
      <x:c r="I2374" t="str">
        <x:v>À qualifier par lieu</x:v>
      </x:c>
      <x:c r="J2374" t="str">
        <x:v>https://github.com/darknigthmare/deadwall-last-enclosure/blob/e28f46223e73105ab2c5d83f3d50b99b58ef53e6/codex-3000/compositions/ruines/DW-2369.md</x:v>
      </x:c>
      <x:c r="K2374" t="str">
        <x:v>Source min 18,59 m ; max 18,59 m ; modèle 24 × 59 m ; niveaux 0, 1. Détails dans catalogue-existant.json.</x:v>
      </x:c>
    </x:row>
    <x:row r="2375">
      <x:c r="A2375" t="str">
        <x:v>DW-2370</x:v>
      </x:c>
      <x:c r="B2375" t="str">
        <x:v>DW-0685</x:v>
      </x:c>
      <x:c r="C2375" t="str">
        <x:v>Composition héritée</x:v>
      </x:c>
      <x:c r="D2375" t="str">
        <x:v>ruines</x:v>
      </x:c>
      <x:c r="E2375" t="str">
        <x:v>Maison incendiée — variante 03 — Zone industrielle / repli organisé interrompu</x:v>
      </x:c>
      <x:c r="F2375" t="n">
        <x:v>8</x:v>
      </x:c>
      <x:c r="G2375" t="n">
        <x:v>3</x:v>
      </x:c>
      <x:c r="H2375" t="n">
        <x:v>0</x:v>
      </x:c>
      <x:c r="I2375" t="str">
        <x:v>À qualifier par lieu</x:v>
      </x:c>
      <x:c r="J2375" t="str">
        <x:v>https://github.com/darknigthmare/deadwall-last-enclosure/blob/e28f46223e73105ab2c5d83f3d50b99b58ef53e6/codex-3000/compositions/ruines/DW-2370.md</x:v>
      </x:c>
      <x:c r="K2375" t="str">
        <x:v>Source min 18,59 m ; max 18,59 m ; modèle 24 × 59 m ; niveaux 0, 1. Détails dans catalogue-existant.json.</x:v>
      </x:c>
    </x:row>
    <x:row r="2376">
      <x:c r="A2376" t="str">
        <x:v>DW-2371</x:v>
      </x:c>
      <x:c r="B2376" t="str">
        <x:v>DW-0686</x:v>
      </x:c>
      <x:c r="C2376" t="str">
        <x:v>Composition héritée</x:v>
      </x:c>
      <x:c r="D2376" t="str">
        <x:v>ruines</x:v>
      </x:c>
      <x:c r="E2376" t="str">
        <x:v>Immeuble éventré — variante 03 — Centre ancien / relais temporaire envisagé</x:v>
      </x:c>
      <x:c r="F2376" t="n">
        <x:v>8</x:v>
      </x:c>
      <x:c r="G2376" t="n">
        <x:v>4</x:v>
      </x:c>
      <x:c r="H2376" t="n">
        <x:v>0</x:v>
      </x:c>
      <x:c r="I2376" t="str">
        <x:v>À qualifier par lieu</x:v>
      </x:c>
      <x:c r="J2376" t="str">
        <x:v>https://github.com/darknigthmare/deadwall-last-enclosure/blob/e28f46223e73105ab2c5d83f3d50b99b58ef53e6/codex-3000/compositions/ruines/DW-2371.md</x:v>
      </x:c>
      <x:c r="K2376" t="str">
        <x:v>Source min 29,22 m ; max 29,22 m ; modèle 29 × 22 m ; niveaux 0, 1, 2. Détails dans catalogue-existant.json.</x:v>
      </x:c>
    </x:row>
    <x:row r="2377">
      <x:c r="A2377" t="str">
        <x:v>DW-2372</x:v>
      </x:c>
      <x:c r="B2377" t="str">
        <x:v>DW-0686</x:v>
      </x:c>
      <x:c r="C2377" t="str">
        <x:v>Composition héritée</x:v>
      </x:c>
      <x:c r="D2377" t="str">
        <x:v>ruines</x:v>
      </x:c>
      <x:c r="E2377" t="str">
        <x:v>Immeuble éventré — variante 03 — Petit bois et lisière / évacuation interrompue</x:v>
      </x:c>
      <x:c r="F2377" t="n">
        <x:v>8</x:v>
      </x:c>
      <x:c r="G2377" t="n">
        <x:v>4</x:v>
      </x:c>
      <x:c r="H2377" t="n">
        <x:v>0</x:v>
      </x:c>
      <x:c r="I2377" t="str">
        <x:v>À qualifier par lieu</x:v>
      </x:c>
      <x:c r="J2377" t="str">
        <x:v>https://github.com/darknigthmare/deadwall-last-enclosure/blob/e28f46223e73105ab2c5d83f3d50b99b58ef53e6/codex-3000/compositions/ruines/DW-2372.md</x:v>
      </x:c>
      <x:c r="K2377" t="str">
        <x:v>Source min 29,22 m ; max 29,22 m ; modèle 29 × 22 m ; niveaux 0, 1, 2. Détails dans catalogue-existant.json.</x:v>
      </x:c>
    </x:row>
    <x:row r="2378">
      <x:c r="A2378" t="str">
        <x:v>DW-2373</x:v>
      </x:c>
      <x:c r="B2378" t="str">
        <x:v>DW-0687</x:v>
      </x:c>
      <x:c r="C2378" t="str">
        <x:v>Composition héritée</x:v>
      </x:c>
      <x:c r="D2378" t="str">
        <x:v>ruines</x:v>
      </x:c>
      <x:c r="E2378" t="str">
        <x:v>Commerce pillé — variante 03 — Zone industrielle / réseau principal coupé</x:v>
      </x:c>
      <x:c r="F2378" t="n">
        <x:v>8</x:v>
      </x:c>
      <x:c r="G2378" t="n">
        <x:v>4</x:v>
      </x:c>
      <x:c r="H2378" t="n">
        <x:v>0</x:v>
      </x:c>
      <x:c r="I2378" t="str">
        <x:v>À qualifier par lieu</x:v>
      </x:c>
      <x:c r="J2378" t="str">
        <x:v>https://github.com/darknigthmare/deadwall-last-enclosure/blob/e28f46223e73105ab2c5d83f3d50b99b58ef53e6/codex-3000/compositions/ruines/DW-2373.md</x:v>
      </x:c>
      <x:c r="K2378" t="str">
        <x:v>Source min 40,39 m ; max 40,39 m ; modèle 40 × 39 m ; niveaux 0. Détails dans catalogue-existant.json.</x:v>
      </x:c>
    </x:row>
    <x:row r="2379">
      <x:c r="A2379" t="str">
        <x:v>DW-2374</x:v>
      </x:c>
      <x:c r="B2379" t="str">
        <x:v>DW-0687</x:v>
      </x:c>
      <x:c r="C2379" t="str">
        <x:v>Composition héritée</x:v>
      </x:c>
      <x:c r="D2379" t="str">
        <x:v>ruines</x:v>
      </x:c>
      <x:c r="E2379" t="str">
        <x:v>Commerce pillé — variante 03 — Ruine envahie et reprise végétale / arrêt de maintenance</x:v>
      </x:c>
      <x:c r="F2379" t="n">
        <x:v>8</x:v>
      </x:c>
      <x:c r="G2379" t="n">
        <x:v>4</x:v>
      </x:c>
      <x:c r="H2379" t="n">
        <x:v>0</x:v>
      </x:c>
      <x:c r="I2379" t="str">
        <x:v>À qualifier par lieu</x:v>
      </x:c>
      <x:c r="J2379" t="str">
        <x:v>https://github.com/darknigthmare/deadwall-last-enclosure/blob/e28f46223e73105ab2c5d83f3d50b99b58ef53e6/codex-3000/compositions/ruines/DW-2374.md</x:v>
      </x:c>
      <x:c r="K2379" t="str">
        <x:v>Source min 40,39 m ; max 40,39 m ; modèle 40 × 39 m ; niveaux 0. Détails dans catalogue-existant.json.</x:v>
      </x:c>
    </x:row>
    <x:row r="2380">
      <x:c r="A2380" t="str">
        <x:v>DW-2375</x:v>
      </x:c>
      <x:c r="B2380" t="str">
        <x:v>DW-0688</x:v>
      </x:c>
      <x:c r="C2380" t="str">
        <x:v>Composition héritée</x:v>
      </x:c>
      <x:c r="D2380" t="str">
        <x:v>ruines</x:v>
      </x:c>
      <x:c r="E2380" t="str">
        <x:v>Usine sinistrée — variante 03 — Petit bois et lisière / repli organisé interrompu</x:v>
      </x:c>
      <x:c r="F2380" t="n">
        <x:v>8</x:v>
      </x:c>
      <x:c r="G2380" t="n">
        <x:v>4</x:v>
      </x:c>
      <x:c r="H2380" t="n">
        <x:v>0</x:v>
      </x:c>
      <x:c r="I2380" t="str">
        <x:v>À qualifier par lieu</x:v>
      </x:c>
      <x:c r="J2380" t="str">
        <x:v>https://github.com/darknigthmare/deadwall-last-enclosure/blob/e28f46223e73105ab2c5d83f3d50b99b58ef53e6/codex-3000/compositions/ruines/DW-2375.md</x:v>
      </x:c>
      <x:c r="K2380" t="str">
        <x:v>Source min 51,56 m ; max 51,56 m ; modèle 51 × 56 m ; niveaux 0. Détails dans catalogue-existant.json.</x:v>
      </x:c>
    </x:row>
    <x:row r="2381">
      <x:c r="A2381" t="str">
        <x:v>DW-2376</x:v>
      </x:c>
      <x:c r="B2381" t="str">
        <x:v>DW-0688</x:v>
      </x:c>
      <x:c r="C2381" t="str">
        <x:v>Composition héritée</x:v>
      </x:c>
      <x:c r="D2381" t="str">
        <x:v>ruines</x:v>
      </x:c>
      <x:c r="E2381" t="str">
        <x:v>Usine sinistrée — variante 03 — Centre ancien / première récupération passée</x:v>
      </x:c>
      <x:c r="F2381" t="n">
        <x:v>8</x:v>
      </x:c>
      <x:c r="G2381" t="n">
        <x:v>4</x:v>
      </x:c>
      <x:c r="H2381" t="n">
        <x:v>0</x:v>
      </x:c>
      <x:c r="I2381" t="str">
        <x:v>À qualifier par lieu</x:v>
      </x:c>
      <x:c r="J2381" t="str">
        <x:v>https://github.com/darknigthmare/deadwall-last-enclosure/blob/e28f46223e73105ab2c5d83f3d50b99b58ef53e6/codex-3000/compositions/ruines/DW-2376.md</x:v>
      </x:c>
      <x:c r="K2381" t="str">
        <x:v>Source min 51,56 m ; max 51,56 m ; modèle 51 × 56 m ; niveaux 0. Détails dans catalogue-existant.json.</x:v>
      </x:c>
    </x:row>
    <x:row r="2382">
      <x:c r="A2382" t="str">
        <x:v>DW-2377</x:v>
      </x:c>
      <x:c r="B2382" t="str">
        <x:v>DW-0689</x:v>
      </x:c>
      <x:c r="C2382" t="str">
        <x:v>Composition héritée</x:v>
      </x:c>
      <x:c r="D2382" t="str">
        <x:v>ruines</x:v>
      </x:c>
      <x:c r="E2382" t="str">
        <x:v>Hôtel abandonné — variante 03 — Ruine envahie et reprise végétale / évacuation interrompue</x:v>
      </x:c>
      <x:c r="F2382" t="n">
        <x:v>8</x:v>
      </x:c>
      <x:c r="G2382" t="n">
        <x:v>5</x:v>
      </x:c>
      <x:c r="H2382" t="n">
        <x:v>0</x:v>
      </x:c>
      <x:c r="I2382" t="str">
        <x:v>À qualifier par lieu</x:v>
      </x:c>
      <x:c r="J2382" t="str">
        <x:v>https://github.com/darknigthmare/deadwall-last-enclosure/blob/e28f46223e73105ab2c5d83f3d50b99b58ef53e6/codex-3000/compositions/ruines/DW-2377.md</x:v>
      </x:c>
      <x:c r="K2382" t="str">
        <x:v>Source min 62,19 m ; max 62,19 m ; modèle 62 × 22 m ; niveaux 0, 1. Détails dans catalogue-existant.json.</x:v>
      </x:c>
    </x:row>
    <x:row r="2383">
      <x:c r="A2383" t="str">
        <x:v>DW-2378</x:v>
      </x:c>
      <x:c r="B2383" t="str">
        <x:v>DW-0689</x:v>
      </x:c>
      <x:c r="C2383" t="str">
        <x:v>Composition héritée</x:v>
      </x:c>
      <x:c r="D2383" t="str">
        <x:v>ruines</x:v>
      </x:c>
      <x:c r="E2383" t="str">
        <x:v>Hôtel abandonné — variante 03 — Zone industrielle / service déplacé à l’arrière</x:v>
      </x:c>
      <x:c r="F2383" t="n">
        <x:v>8</x:v>
      </x:c>
      <x:c r="G2383" t="n">
        <x:v>5</x:v>
      </x:c>
      <x:c r="H2383" t="n">
        <x:v>0</x:v>
      </x:c>
      <x:c r="I2383" t="str">
        <x:v>À qualifier par lieu</x:v>
      </x:c>
      <x:c r="J2383" t="str">
        <x:v>https://github.com/darknigthmare/deadwall-last-enclosure/blob/e28f46223e73105ab2c5d83f3d50b99b58ef53e6/codex-3000/compositions/ruines/DW-2378.md</x:v>
      </x:c>
      <x:c r="K2383" t="str">
        <x:v>Source min 62,19 m ; max 62,19 m ; modèle 62 × 22 m ; niveaux 0, 1. Détails dans catalogue-existant.json.</x:v>
      </x:c>
    </x:row>
    <x:row r="2384">
      <x:c r="A2384" t="str">
        <x:v>DW-2379</x:v>
      </x:c>
      <x:c r="B2384" t="str">
        <x:v>DW-0690</x:v>
      </x:c>
      <x:c r="C2384" t="str">
        <x:v>Composition héritée</x:v>
      </x:c>
      <x:c r="D2384" t="str">
        <x:v>ruines</x:v>
      </x:c>
      <x:c r="E2384" t="str">
        <x:v>Lotissement ravagé — variante 03 — Centre ancien / arrêt de maintenance</x:v>
      </x:c>
      <x:c r="F2384" t="n">
        <x:v>8</x:v>
      </x:c>
      <x:c r="G2384" t="n">
        <x:v>4</x:v>
      </x:c>
      <x:c r="H2384" t="n">
        <x:v>0</x:v>
      </x:c>
      <x:c r="I2384" t="str">
        <x:v>À qualifier par lieu</x:v>
      </x:c>
      <x:c r="J2384" t="str">
        <x:v>https://github.com/darknigthmare/deadwall-last-enclosure/blob/e28f46223e73105ab2c5d83f3d50b99b58ef53e6/codex-3000/compositions/ruines/DW-2379.md</x:v>
      </x:c>
      <x:c r="K2384" t="str">
        <x:v>Source min 73,36 m ; max 73,36 m ; modèle 73 × 36 m ; niveaux 0. Détails dans catalogue-existant.json.</x:v>
      </x:c>
    </x:row>
    <x:row r="2385">
      <x:c r="A2385" t="str">
        <x:v>DW-2380</x:v>
      </x:c>
      <x:c r="B2385" t="str">
        <x:v>DW-0690</x:v>
      </x:c>
      <x:c r="C2385" t="str">
        <x:v>Composition héritée</x:v>
      </x:c>
      <x:c r="D2385" t="str">
        <x:v>ruines</x:v>
      </x:c>
      <x:c r="E2385" t="str">
        <x:v>Lotissement ravagé — variante 03 — Petit bois et lisière / reprise progressive de la végétation</x:v>
      </x:c>
      <x:c r="F2385" t="n">
        <x:v>8</x:v>
      </x:c>
      <x:c r="G2385" t="n">
        <x:v>4</x:v>
      </x:c>
      <x:c r="H2385" t="n">
        <x:v>0</x:v>
      </x:c>
      <x:c r="I2385" t="str">
        <x:v>À qualifier par lieu</x:v>
      </x:c>
      <x:c r="J2385" t="str">
        <x:v>https://github.com/darknigthmare/deadwall-last-enclosure/blob/e28f46223e73105ab2c5d83f3d50b99b58ef53e6/codex-3000/compositions/ruines/DW-2380.md</x:v>
      </x:c>
      <x:c r="K2385" t="str">
        <x:v>Source min 73,36 m ; max 73,36 m ; modèle 73 × 36 m ; niveaux 0. Détails dans catalogue-existant.json.</x:v>
      </x:c>
    </x:row>
    <x:row r="2386">
      <x:c r="A2386" t="str">
        <x:v>DW-2381</x:v>
      </x:c>
      <x:c r="B2386" t="str">
        <x:v>DW-0691</x:v>
      </x:c>
      <x:c r="C2386" t="str">
        <x:v>Composition héritée</x:v>
      </x:c>
      <x:c r="D2386" t="str">
        <x:v>ruines</x:v>
      </x:c>
      <x:c r="E2386" t="str">
        <x:v>Village déserté — variante 03 — Zone industrielle / première récupération passée</x:v>
      </x:c>
      <x:c r="F2386" t="n">
        <x:v>8</x:v>
      </x:c>
      <x:c r="G2386" t="n">
        <x:v>5</x:v>
      </x:c>
      <x:c r="H2386" t="n">
        <x:v>0</x:v>
      </x:c>
      <x:c r="I2386" t="str">
        <x:v>À qualifier par lieu</x:v>
      </x:c>
      <x:c r="J2386" t="str">
        <x:v>https://github.com/darknigthmare/deadwall-last-enclosure/blob/e28f46223e73105ab2c5d83f3d50b99b58ef53e6/codex-3000/compositions/ruines/DW-2381.md</x:v>
      </x:c>
      <x:c r="K2386" t="str">
        <x:v>Source min 12,53 m ; max 12,53 m ; modèle 26 × 53 m ; niveaux 0. Détails dans catalogue-existant.json.</x:v>
      </x:c>
    </x:row>
    <x:row r="2387">
      <x:c r="A2387" t="str">
        <x:v>DW-2382</x:v>
      </x:c>
      <x:c r="B2387" t="str">
        <x:v>DW-0691</x:v>
      </x:c>
      <x:c r="C2387" t="str">
        <x:v>Composition héritée</x:v>
      </x:c>
      <x:c r="D2387" t="str">
        <x:v>ruines</x:v>
      </x:c>
      <x:c r="E2387" t="str">
        <x:v>Village déserté — variante 03 — Ruine envahie et reprise végétale / relais temporaire envisagé</x:v>
      </x:c>
      <x:c r="F2387" t="n">
        <x:v>8</x:v>
      </x:c>
      <x:c r="G2387" t="n">
        <x:v>5</x:v>
      </x:c>
      <x:c r="H2387" t="n">
        <x:v>0</x:v>
      </x:c>
      <x:c r="I2387" t="str">
        <x:v>À qualifier par lieu</x:v>
      </x:c>
      <x:c r="J2387" t="str">
        <x:v>https://github.com/darknigthmare/deadwall-last-enclosure/blob/e28f46223e73105ab2c5d83f3d50b99b58ef53e6/codex-3000/compositions/ruines/DW-2382.md</x:v>
      </x:c>
      <x:c r="K2387" t="str">
        <x:v>Source min 12,53 m ; max 12,53 m ; modèle 26 × 53 m ; niveaux 0. Détails dans catalogue-existant.json.</x:v>
      </x:c>
    </x:row>
    <x:row r="2388">
      <x:c r="A2388" t="str">
        <x:v>DW-2383</x:v>
      </x:c>
      <x:c r="B2388" t="str">
        <x:v>DW-0692</x:v>
      </x:c>
      <x:c r="C2388" t="str">
        <x:v>Composition héritée</x:v>
      </x:c>
      <x:c r="D2388" t="str">
        <x:v>ruines</x:v>
      </x:c>
      <x:c r="E2388" t="str">
        <x:v>Centre commercial effondré — variante 03 — Petit bois et lisière / service déplacé à l’arrière</x:v>
      </x:c>
      <x:c r="F2388" t="n">
        <x:v>8</x:v>
      </x:c>
      <x:c r="G2388" t="n">
        <x:v>5</x:v>
      </x:c>
      <x:c r="H2388" t="n">
        <x:v>0</x:v>
      </x:c>
      <x:c r="I2388" t="str">
        <x:v>À qualifier par lieu</x:v>
      </x:c>
      <x:c r="J2388" t="str">
        <x:v>https://github.com/darknigthmare/deadwall-last-enclosure/blob/e28f46223e73105ab2c5d83f3d50b99b58ef53e6/codex-3000/compositions/ruines/DW-2383.md</x:v>
      </x:c>
      <x:c r="K2388" t="str">
        <x:v>Source min 23,16 m ; max 23,16 m ; modèle 26 × 22 m ; niveaux 0. Détails dans catalogue-existant.json.</x:v>
      </x:c>
    </x:row>
    <x:row r="2389">
      <x:c r="A2389" t="str">
        <x:v>DW-2384</x:v>
      </x:c>
      <x:c r="B2389" t="str">
        <x:v>DW-0692</x:v>
      </x:c>
      <x:c r="C2389" t="str">
        <x:v>Composition héritée</x:v>
      </x:c>
      <x:c r="D2389" t="str">
        <x:v>ruines</x:v>
      </x:c>
      <x:c r="E2389" t="str">
        <x:v>Centre commercial effondré — variante 03 — Centre ancien / réseau principal coupé</x:v>
      </x:c>
      <x:c r="F2389" t="n">
        <x:v>8</x:v>
      </x:c>
      <x:c r="G2389" t="n">
        <x:v>5</x:v>
      </x:c>
      <x:c r="H2389" t="n">
        <x:v>0</x:v>
      </x:c>
      <x:c r="I2389" t="str">
        <x:v>À qualifier par lieu</x:v>
      </x:c>
      <x:c r="J2389" t="str">
        <x:v>https://github.com/darknigthmare/deadwall-last-enclosure/blob/e28f46223e73105ab2c5d83f3d50b99b58ef53e6/codex-3000/compositions/ruines/DW-2384.md</x:v>
      </x:c>
      <x:c r="K2389" t="str">
        <x:v>Source min 23,16 m ; max 23,16 m ; modèle 26 × 22 m ; niveaux 0. Détails dans catalogue-existant.json.</x:v>
      </x:c>
    </x:row>
    <x:row r="2390">
      <x:c r="A2390" t="str">
        <x:v>DW-2385</x:v>
      </x:c>
      <x:c r="B2390" t="str">
        <x:v>DW-0693</x:v>
      </x:c>
      <x:c r="C2390" t="str">
        <x:v>Composition héritée</x:v>
      </x:c>
      <x:c r="D2390" t="str">
        <x:v>habitat</x:v>
      </x:c>
      <x:c r="E2390" t="str">
        <x:v>Maison de lotissement — variante 04 — Quartier pavillonnaire / reprise progressive de la végétation</x:v>
      </x:c>
      <x:c r="F2390" t="n">
        <x:v>8</x:v>
      </x:c>
      <x:c r="G2390" t="n">
        <x:v>5</x:v>
      </x:c>
      <x:c r="H2390" t="n">
        <x:v>0</x:v>
      </x:c>
      <x:c r="I2390" t="str">
        <x:v>À qualifier par lieu</x:v>
      </x:c>
      <x:c r="J2390" t="str">
        <x:v>https://github.com/darknigthmare/deadwall-last-enclosure/blob/e28f46223e73105ab2c5d83f3d50b99b58ef53e6/codex-3000/compositions/habitat/DW-2385.md</x:v>
      </x:c>
      <x:c r="K2390" t="str">
        <x:v>Source min 34,33 m ; max 34,33 m ; modèle 34 × 33 m ; niveaux 0, 1. Détails dans catalogue-existant.json.</x:v>
      </x:c>
    </x:row>
    <x:row r="2391">
      <x:c r="A2391" t="str">
        <x:v>DW-2386</x:v>
      </x:c>
      <x:c r="B2391" t="str">
        <x:v>DW-0693</x:v>
      </x:c>
      <x:c r="C2391" t="str">
        <x:v>Composition héritée</x:v>
      </x:c>
      <x:c r="D2391" t="str">
        <x:v>habitat</x:v>
      </x:c>
      <x:c r="E2391" t="str">
        <x:v>Maison de lotissement — variante 04 — Village et bourg / repli organisé interrompu</x:v>
      </x:c>
      <x:c r="F2391" t="n">
        <x:v>8</x:v>
      </x:c>
      <x:c r="G2391" t="n">
        <x:v>5</x:v>
      </x:c>
      <x:c r="H2391" t="n">
        <x:v>0</x:v>
      </x:c>
      <x:c r="I2391" t="str">
        <x:v>À qualifier par lieu</x:v>
      </x:c>
      <x:c r="J2391" t="str">
        <x:v>https://github.com/darknigthmare/deadwall-last-enclosure/blob/e28f46223e73105ab2c5d83f3d50b99b58ef53e6/codex-3000/compositions/habitat/DW-2386.md</x:v>
      </x:c>
      <x:c r="K2391" t="str">
        <x:v>Source min 34,33 m ; max 34,33 m ; modèle 34 × 33 m ; niveaux 0, 1. Détails dans catalogue-existant.json.</x:v>
      </x:c>
    </x:row>
    <x:row r="2392">
      <x:c r="A2392" t="str">
        <x:v>DW-2387</x:v>
      </x:c>
      <x:c r="B2392" t="str">
        <x:v>DW-0694</x:v>
      </x:c>
      <x:c r="C2392" t="str">
        <x:v>Composition héritée</x:v>
      </x:c>
      <x:c r="D2392" t="str">
        <x:v>habitat</x:v>
      </x:c>
      <x:c r="E2392" t="str">
        <x:v>Maison mitoyenne — variante 04 — Hameau / relais temporaire envisagé</x:v>
      </x:c>
      <x:c r="F2392" t="n">
        <x:v>8</x:v>
      </x:c>
      <x:c r="G2392" t="n">
        <x:v>5</x:v>
      </x:c>
      <x:c r="H2392" t="n">
        <x:v>0</x:v>
      </x:c>
      <x:c r="I2392" t="str">
        <x:v>À qualifier par lieu</x:v>
      </x:c>
      <x:c r="J2392" t="str">
        <x:v>https://github.com/darknigthmare/deadwall-last-enclosure/blob/e28f46223e73105ab2c5d83f3d50b99b58ef53e6/codex-3000/compositions/habitat/DW-2387.md</x:v>
      </x:c>
      <x:c r="K2392" t="str">
        <x:v>Source min 45,50 m ; max 45,50 m ; modèle 45 × 50 m ; niveaux 0. Détails dans catalogue-existant.json.</x:v>
      </x:c>
    </x:row>
    <x:row r="2393">
      <x:c r="A2393" t="str">
        <x:v>DW-2388</x:v>
      </x:c>
      <x:c r="B2393" t="str">
        <x:v>DW-0694</x:v>
      </x:c>
      <x:c r="C2393" t="str">
        <x:v>Composition héritée</x:v>
      </x:c>
      <x:c r="D2393" t="str">
        <x:v>habitat</x:v>
      </x:c>
      <x:c r="E2393" t="str">
        <x:v>Maison mitoyenne — variante 04 — Quartier collectif / évacuation interrompue</x:v>
      </x:c>
      <x:c r="F2393" t="n">
        <x:v>8</x:v>
      </x:c>
      <x:c r="G2393" t="n">
        <x:v>5</x:v>
      </x:c>
      <x:c r="H2393" t="n">
        <x:v>0</x:v>
      </x:c>
      <x:c r="I2393" t="str">
        <x:v>À qualifier par lieu</x:v>
      </x:c>
      <x:c r="J2393" t="str">
        <x:v>https://github.com/darknigthmare/deadwall-last-enclosure/blob/e28f46223e73105ab2c5d83f3d50b99b58ef53e6/codex-3000/compositions/habitat/DW-2388.md</x:v>
      </x:c>
      <x:c r="K2393" t="str">
        <x:v>Source min 45,50 m ; max 45,50 m ; modèle 45 × 50 m ; niveaux 0. Détails dans catalogue-existant.json.</x:v>
      </x:c>
    </x:row>
    <x:row r="2394">
      <x:c r="A2394" t="str">
        <x:v>DW-2389</x:v>
      </x:c>
      <x:c r="B2394" t="str">
        <x:v>DW-0695</x:v>
      </x:c>
      <x:c r="C2394" t="str">
        <x:v>Composition héritée</x:v>
      </x:c>
      <x:c r="D2394" t="str">
        <x:v>habitat</x:v>
      </x:c>
      <x:c r="E2394" t="str">
        <x:v>Villa isolée — variante 04 — Village et bourg / réseau principal coupé</x:v>
      </x:c>
      <x:c r="F2394" t="n">
        <x:v>8</x:v>
      </x:c>
      <x:c r="G2394" t="n">
        <x:v>7</x:v>
      </x:c>
      <x:c r="H2394" t="n">
        <x:v>0</x:v>
      </x:c>
      <x:c r="I2394" t="str">
        <x:v>À qualifier par lieu</x:v>
      </x:c>
      <x:c r="J2394" t="str">
        <x:v>https://github.com/darknigthmare/deadwall-last-enclosure/blob/e28f46223e73105ab2c5d83f3d50b99b58ef53e6/codex-3000/compositions/habitat/DW-2389.md</x:v>
      </x:c>
      <x:c r="K2394" t="str">
        <x:v>Source min 56,13 m ; max 56,13 m ; modèle 56 × 29 m ; niveaux 0. Détails dans catalogue-existant.json.</x:v>
      </x:c>
    </x:row>
    <x:row r="2395">
      <x:c r="A2395" t="str">
        <x:v>DW-2390</x:v>
      </x:c>
      <x:c r="B2395" t="str">
        <x:v>DW-0695</x:v>
      </x:c>
      <x:c r="C2395" t="str">
        <x:v>Composition héritée</x:v>
      </x:c>
      <x:c r="D2395" t="str">
        <x:v>habitat</x:v>
      </x:c>
      <x:c r="E2395" t="str">
        <x:v>Villa isolée — variante 04 — Quartier pavillonnaire / arrêt de maintenance</x:v>
      </x:c>
      <x:c r="F2395" t="n">
        <x:v>8</x:v>
      </x:c>
      <x:c r="G2395" t="n">
        <x:v>7</x:v>
      </x:c>
      <x:c r="H2395" t="n">
        <x:v>0</x:v>
      </x:c>
      <x:c r="I2395" t="str">
        <x:v>À qualifier par lieu</x:v>
      </x:c>
      <x:c r="J2395" t="str">
        <x:v>https://github.com/darknigthmare/deadwall-last-enclosure/blob/e28f46223e73105ab2c5d83f3d50b99b58ef53e6/codex-3000/compositions/habitat/DW-2390.md</x:v>
      </x:c>
      <x:c r="K2395" t="str">
        <x:v>Source min 56,13 m ; max 56,13 m ; modèle 56 × 29 m ; niveaux 0. Détails dans catalogue-existant.json.</x:v>
      </x:c>
    </x:row>
    <x:row r="2396">
      <x:c r="A2396" t="str">
        <x:v>DW-2391</x:v>
      </x:c>
      <x:c r="B2396" t="str">
        <x:v>DW-0696</x:v>
      </x:c>
      <x:c r="C2396" t="str">
        <x:v>Composition héritée</x:v>
      </x:c>
      <x:c r="D2396" t="str">
        <x:v>habitat</x:v>
      </x:c>
      <x:c r="E2396" t="str">
        <x:v>Ferme familiale — variante 04 — Quartier collectif / repli organisé interrompu</x:v>
      </x:c>
      <x:c r="F2396" t="n">
        <x:v>8</x:v>
      </x:c>
      <x:c r="G2396" t="n">
        <x:v>6</x:v>
      </x:c>
      <x:c r="H2396" t="n">
        <x:v>0</x:v>
      </x:c>
      <x:c r="I2396" t="str">
        <x:v>À qualifier par lieu</x:v>
      </x:c>
      <x:c r="J2396" t="str">
        <x:v>https://github.com/darknigthmare/deadwall-last-enclosure/blob/e28f46223e73105ab2c5d83f3d50b99b58ef53e6/codex-3000/compositions/habitat/DW-2391.md</x:v>
      </x:c>
      <x:c r="K2396" t="str">
        <x:v>Source min 67,30 m ; max 67,30 m ; modèle 67 × 30 m ; niveaux 0. Détails dans catalogue-existant.json.</x:v>
      </x:c>
    </x:row>
    <x:row r="2397">
      <x:c r="A2397" t="str">
        <x:v>DW-2392</x:v>
      </x:c>
      <x:c r="B2397" t="str">
        <x:v>DW-0696</x:v>
      </x:c>
      <x:c r="C2397" t="str">
        <x:v>Composition héritée</x:v>
      </x:c>
      <x:c r="D2397" t="str">
        <x:v>habitat</x:v>
      </x:c>
      <x:c r="E2397" t="str">
        <x:v>Ferme familiale — variante 04 — Hameau / première récupération passée</x:v>
      </x:c>
      <x:c r="F2397" t="n">
        <x:v>8</x:v>
      </x:c>
      <x:c r="G2397" t="n">
        <x:v>6</x:v>
      </x:c>
      <x:c r="H2397" t="n">
        <x:v>0</x:v>
      </x:c>
      <x:c r="I2397" t="str">
        <x:v>À qualifier par lieu</x:v>
      </x:c>
      <x:c r="J2397" t="str">
        <x:v>https://github.com/darknigthmare/deadwall-last-enclosure/blob/e28f46223e73105ab2c5d83f3d50b99b58ef53e6/codex-3000/compositions/habitat/DW-2392.md</x:v>
      </x:c>
      <x:c r="K2397" t="str">
        <x:v>Source min 67,30 m ; max 67,30 m ; modèle 67 × 30 m ; niveaux 0. Détails dans catalogue-existant.json.</x:v>
      </x:c>
    </x:row>
    <x:row r="2398">
      <x:c r="A2398" t="str">
        <x:v>DW-2393</x:v>
      </x:c>
      <x:c r="B2398" t="str">
        <x:v>DW-0697</x:v>
      </x:c>
      <x:c r="C2398" t="str">
        <x:v>Composition héritée</x:v>
      </x:c>
      <x:c r="D2398" t="str">
        <x:v>habitat</x:v>
      </x:c>
      <x:c r="E2398" t="str">
        <x:v>Immeuble résidentiel — variante 04 — Quartier pavillonnaire / évacuation interrompue</x:v>
      </x:c>
      <x:c r="F2398" t="n">
        <x:v>8</x:v>
      </x:c>
      <x:c r="G2398" t="n">
        <x:v>5</x:v>
      </x:c>
      <x:c r="H2398" t="n">
        <x:v>0</x:v>
      </x:c>
      <x:c r="I2398" t="str">
        <x:v>À qualifier par lieu</x:v>
      </x:c>
      <x:c r="J2398" t="str">
        <x:v>https://github.com/darknigthmare/deadwall-last-enclosure/blob/e28f46223e73105ab2c5d83f3d50b99b58ef53e6/codex-3000/compositions/habitat/DW-2393.md</x:v>
      </x:c>
      <x:c r="K2398" t="str">
        <x:v>Source min 78,47 m ; max 78,47 m ; modèle 78 × 47 m ; niveaux 0, 1, 2. Détails dans catalogue-existant.json.</x:v>
      </x:c>
    </x:row>
    <x:row r="2399">
      <x:c r="A2399" t="str">
        <x:v>DW-2394</x:v>
      </x:c>
      <x:c r="B2399" t="str">
        <x:v>DW-0697</x:v>
      </x:c>
      <x:c r="C2399" t="str">
        <x:v>Composition héritée</x:v>
      </x:c>
      <x:c r="D2399" t="str">
        <x:v>habitat</x:v>
      </x:c>
      <x:c r="E2399" t="str">
        <x:v>Immeuble résidentiel — variante 04 — Village et bourg / service déplacé à l’arrière</x:v>
      </x:c>
      <x:c r="F2399" t="n">
        <x:v>8</x:v>
      </x:c>
      <x:c r="G2399" t="n">
        <x:v>5</x:v>
      </x:c>
      <x:c r="H2399" t="n">
        <x:v>0</x:v>
      </x:c>
      <x:c r="I2399" t="str">
        <x:v>À qualifier par lieu</x:v>
      </x:c>
      <x:c r="J2399" t="str">
        <x:v>https://github.com/darknigthmare/deadwall-last-enclosure/blob/e28f46223e73105ab2c5d83f3d50b99b58ef53e6/codex-3000/compositions/habitat/DW-2394.md</x:v>
      </x:c>
      <x:c r="K2399" t="str">
        <x:v>Source min 78,47 m ; max 78,47 m ; modèle 78 × 47 m ; niveaux 0, 1, 2. Détails dans catalogue-existant.json.</x:v>
      </x:c>
    </x:row>
    <x:row r="2400">
      <x:c r="A2400" t="str">
        <x:v>DW-2395</x:v>
      </x:c>
      <x:c r="B2400" t="str">
        <x:v>DW-0698</x:v>
      </x:c>
      <x:c r="C2400" t="str">
        <x:v>Composition héritée</x:v>
      </x:c>
      <x:c r="D2400" t="str">
        <x:v>habitat</x:v>
      </x:c>
      <x:c r="E2400" t="str">
        <x:v>Barre de logements — variante 04 — Hameau / arrêt de maintenance</x:v>
      </x:c>
      <x:c r="F2400" t="n">
        <x:v>8</x:v>
      </x:c>
      <x:c r="G2400" t="n">
        <x:v>5</x:v>
      </x:c>
      <x:c r="H2400" t="n">
        <x:v>0</x:v>
      </x:c>
      <x:c r="I2400" t="str">
        <x:v>À qualifier par lieu</x:v>
      </x:c>
      <x:c r="J2400" t="str">
        <x:v>https://github.com/darknigthmare/deadwall-last-enclosure/blob/e28f46223e73105ab2c5d83f3d50b99b58ef53e6/codex-3000/compositions/habitat/DW-2395.md</x:v>
      </x:c>
      <x:c r="K2400" t="str">
        <x:v>Source min 17,10 m ; max 17,10 m ; modèle 26 × 22 m ; niveaux 0, 1, 2. Détails dans catalogue-existant.json.</x:v>
      </x:c>
    </x:row>
    <x:row r="2401">
      <x:c r="A2401" t="str">
        <x:v>DW-2396</x:v>
      </x:c>
      <x:c r="B2401" t="str">
        <x:v>DW-0698</x:v>
      </x:c>
      <x:c r="C2401" t="str">
        <x:v>Composition héritée</x:v>
      </x:c>
      <x:c r="D2401" t="str">
        <x:v>habitat</x:v>
      </x:c>
      <x:c r="E2401" t="str">
        <x:v>Barre de logements — variante 04 — Quartier collectif / reprise progressive de la végétation</x:v>
      </x:c>
      <x:c r="F2401" t="n">
        <x:v>8</x:v>
      </x:c>
      <x:c r="G2401" t="n">
        <x:v>5</x:v>
      </x:c>
      <x:c r="H2401" t="n">
        <x:v>0</x:v>
      </x:c>
      <x:c r="I2401" t="str">
        <x:v>À qualifier par lieu</x:v>
      </x:c>
      <x:c r="J2401" t="str">
        <x:v>https://github.com/darknigthmare/deadwall-last-enclosure/blob/e28f46223e73105ab2c5d83f3d50b99b58ef53e6/codex-3000/compositions/habitat/DW-2396.md</x:v>
      </x:c>
      <x:c r="K2401" t="str">
        <x:v>Source min 17,10 m ; max 17,10 m ; modèle 26 × 22 m ; niveaux 0, 1, 2. Détails dans catalogue-existant.json.</x:v>
      </x:c>
    </x:row>
    <x:row r="2402">
      <x:c r="A2402" t="str">
        <x:v>DW-2397</x:v>
      </x:c>
      <x:c r="B2402" t="str">
        <x:v>DW-0699</x:v>
      </x:c>
      <x:c r="C2402" t="str">
        <x:v>Composition héritée</x:v>
      </x:c>
      <x:c r="D2402" t="str">
        <x:v>habitat</x:v>
      </x:c>
      <x:c r="E2402" t="str">
        <x:v>Résidence senior — variante 04 — Village et bourg / première récupération passée</x:v>
      </x:c>
      <x:c r="F2402" t="n">
        <x:v>8</x:v>
      </x:c>
      <x:c r="G2402" t="n">
        <x:v>5</x:v>
      </x:c>
      <x:c r="H2402" t="n">
        <x:v>0</x:v>
      </x:c>
      <x:c r="I2402" t="str">
        <x:v>À qualifier par lieu</x:v>
      </x:c>
      <x:c r="J2402" t="str">
        <x:v>https://github.com/darknigthmare/deadwall-last-enclosure/blob/e28f46223e73105ab2c5d83f3d50b99b58ef53e6/codex-3000/compositions/habitat/DW-2397.md</x:v>
      </x:c>
      <x:c r="K2402" t="str">
        <x:v>Source min 28,27 m ; max 28,27 m ; modèle 28 × 27 m ; niveaux 0, 1. Détails dans catalogue-existant.json.</x:v>
      </x:c>
    </x:row>
    <x:row r="2403">
      <x:c r="A2403" t="str">
        <x:v>DW-2398</x:v>
      </x:c>
      <x:c r="B2403" t="str">
        <x:v>DW-0699</x:v>
      </x:c>
      <x:c r="C2403" t="str">
        <x:v>Composition héritée</x:v>
      </x:c>
      <x:c r="D2403" t="str">
        <x:v>habitat</x:v>
      </x:c>
      <x:c r="E2403" t="str">
        <x:v>Résidence senior — variante 04 — Quartier pavillonnaire / relais temporaire envisagé</x:v>
      </x:c>
      <x:c r="F2403" t="n">
        <x:v>8</x:v>
      </x:c>
      <x:c r="G2403" t="n">
        <x:v>5</x:v>
      </x:c>
      <x:c r="H2403" t="n">
        <x:v>0</x:v>
      </x:c>
      <x:c r="I2403" t="str">
        <x:v>À qualifier par lieu</x:v>
      </x:c>
      <x:c r="J2403" t="str">
        <x:v>https://github.com/darknigthmare/deadwall-last-enclosure/blob/e28f46223e73105ab2c5d83f3d50b99b58ef53e6/codex-3000/compositions/habitat/DW-2398.md</x:v>
      </x:c>
      <x:c r="K2403" t="str">
        <x:v>Source min 28,27 m ; max 28,27 m ; modèle 28 × 27 m ; niveaux 0, 1. Détails dans catalogue-existant.json.</x:v>
      </x:c>
    </x:row>
    <x:row r="2404">
      <x:c r="A2404" t="str">
        <x:v>DW-2399</x:v>
      </x:c>
      <x:c r="B2404" t="str">
        <x:v>DW-0700</x:v>
      </x:c>
      <x:c r="C2404" t="str">
        <x:v>Composition héritée</x:v>
      </x:c>
      <x:c r="D2404" t="str">
        <x:v>habitat</x:v>
      </x:c>
      <x:c r="E2404" t="str">
        <x:v>Maison avec sous-sol — variante 04 — Quartier collectif / service déplacé à l’arrière</x:v>
      </x:c>
      <x:c r="F2404" t="n">
        <x:v>8</x:v>
      </x:c>
      <x:c r="G2404" t="n">
        <x:v>5</x:v>
      </x:c>
      <x:c r="H2404" t="n">
        <x:v>0</x:v>
      </x:c>
      <x:c r="I2404" t="str">
        <x:v>À qualifier par lieu</x:v>
      </x:c>
      <x:c r="J2404" t="str">
        <x:v>https://github.com/darknigthmare/deadwall-last-enclosure/blob/e28f46223e73105ab2c5d83f3d50b99b58ef53e6/codex-3000/compositions/habitat/DW-2399.md</x:v>
      </x:c>
      <x:c r="K2404" t="str">
        <x:v>Source min 39,44 m ; max 39,44 m ; modèle 39 × 44 m ; niveaux 0. Détails dans catalogue-existant.json.</x:v>
      </x:c>
    </x:row>
    <x:row r="2405">
      <x:c r="A2405" t="str">
        <x:v>DW-2400</x:v>
      </x:c>
      <x:c r="B2405" t="str">
        <x:v>DW-0700</x:v>
      </x:c>
      <x:c r="C2405" t="str">
        <x:v>Composition héritée</x:v>
      </x:c>
      <x:c r="D2405" t="str">
        <x:v>habitat</x:v>
      </x:c>
      <x:c r="E2405" t="str">
        <x:v>Maison avec sous-sol — variante 04 — Hameau / réseau principal coupé</x:v>
      </x:c>
      <x:c r="F2405" t="n">
        <x:v>8</x:v>
      </x:c>
      <x:c r="G2405" t="n">
        <x:v>5</x:v>
      </x:c>
      <x:c r="H2405" t="n">
        <x:v>0</x:v>
      </x:c>
      <x:c r="I2405" t="str">
        <x:v>À qualifier par lieu</x:v>
      </x:c>
      <x:c r="J2405" t="str">
        <x:v>https://github.com/darknigthmare/deadwall-last-enclosure/blob/e28f46223e73105ab2c5d83f3d50b99b58ef53e6/codex-3000/compositions/habitat/DW-2400.md</x:v>
      </x:c>
      <x:c r="K2405" t="str">
        <x:v>Source min 39,44 m ; max 39,44 m ; modèle 39 × 44 m ; niveaux 0. Détails dans catalogue-existant.json.</x:v>
      </x:c>
    </x:row>
    <x:row r="2406">
      <x:c r="A2406" t="str">
        <x:v>DW-2401</x:v>
      </x:c>
      <x:c r="B2406" t="str">
        <x:v>DW-0701</x:v>
      </x:c>
      <x:c r="C2406" t="str">
        <x:v>Composition héritée</x:v>
      </x:c>
      <x:c r="D2406" t="str">
        <x:v>commerce</x:v>
      </x:c>
      <x:c r="E2406" t="str">
        <x:v>Supérette — variante 04 — Zone commerciale / reprise progressive de la végétation</x:v>
      </x:c>
      <x:c r="F2406" t="n">
        <x:v>8</x:v>
      </x:c>
      <x:c r="G2406" t="n">
        <x:v>5</x:v>
      </x:c>
      <x:c r="H2406" t="n">
        <x:v>0</x:v>
      </x:c>
      <x:c r="I2406" t="str">
        <x:v>À qualifier par lieu</x:v>
      </x:c>
      <x:c r="J2406" t="str">
        <x:v>https://github.com/darknigthmare/deadwall-last-enclosure/blob/e28f46223e73105ab2c5d83f3d50b99b58ef53e6/codex-3000/compositions/commerce/DW-2401.md</x:v>
      </x:c>
      <x:c r="K2406" t="str">
        <x:v>Source min 50,61 m ; max 50,61 m ; modèle 50 × 61 m ; niveaux 0, 1. Détails dans catalogue-existant.json.</x:v>
      </x:c>
    </x:row>
    <x:row r="2407">
      <x:c r="A2407" t="str">
        <x:v>DW-2402</x:v>
      </x:c>
      <x:c r="B2407" t="str">
        <x:v>DW-0701</x:v>
      </x:c>
      <x:c r="C2407" t="str">
        <x:v>Composition héritée</x:v>
      </x:c>
      <x:c r="D2407" t="str">
        <x:v>commerce</x:v>
      </x:c>
      <x:c r="E2407" t="str">
        <x:v>Supérette — variante 04 — Village et bourg / repli organisé interrompu</x:v>
      </x:c>
      <x:c r="F2407" t="n">
        <x:v>8</x:v>
      </x:c>
      <x:c r="G2407" t="n">
        <x:v>5</x:v>
      </x:c>
      <x:c r="H2407" t="n">
        <x:v>0</x:v>
      </x:c>
      <x:c r="I2407" t="str">
        <x:v>À qualifier par lieu</x:v>
      </x:c>
      <x:c r="J2407" t="str">
        <x:v>https://github.com/darknigthmare/deadwall-last-enclosure/blob/e28f46223e73105ab2c5d83f3d50b99b58ef53e6/codex-3000/compositions/commerce/DW-2402.md</x:v>
      </x:c>
      <x:c r="K2407" t="str">
        <x:v>Source min 50,61 m ; max 50,61 m ; modèle 50 × 61 m ; niveaux 0, 1. Détails dans catalogue-existant.json.</x:v>
      </x:c>
    </x:row>
    <x:row r="2408">
      <x:c r="A2408" t="str">
        <x:v>DW-2403</x:v>
      </x:c>
      <x:c r="B2408" t="str">
        <x:v>DW-0702</x:v>
      </x:c>
      <x:c r="C2408" t="str">
        <x:v>Composition héritée</x:v>
      </x:c>
      <x:c r="D2408" t="str">
        <x:v>commerce</x:v>
      </x:c>
      <x:c r="E2408" t="str">
        <x:v>Centre commercial — variante 04 — Ville moyenne / relais temporaire envisagé</x:v>
      </x:c>
      <x:c r="F2408" t="n">
        <x:v>8</x:v>
      </x:c>
      <x:c r="G2408" t="n">
        <x:v>6</x:v>
      </x:c>
      <x:c r="H2408" t="n">
        <x:v>0</x:v>
      </x:c>
      <x:c r="I2408" t="str">
        <x:v>À qualifier par lieu</x:v>
      </x:c>
      <x:c r="J2408" t="str">
        <x:v>https://github.com/darknigthmare/deadwall-last-enclosure/blob/e28f46223e73105ab2c5d83f3d50b99b58ef53e6/codex-3000/compositions/commerce/DW-2403.md</x:v>
      </x:c>
      <x:c r="K2408" t="str">
        <x:v>Source min 61,24 m ; max 61,24 m ; modèle 61 × 24 m ; niveaux 0. Détails dans catalogue-existant.json.</x:v>
      </x:c>
    </x:row>
    <x:row r="2409">
      <x:c r="A2409" t="str">
        <x:v>DW-2404</x:v>
      </x:c>
      <x:c r="B2409" t="str">
        <x:v>DW-0702</x:v>
      </x:c>
      <x:c r="C2409" t="str">
        <x:v>Composition héritée</x:v>
      </x:c>
      <x:c r="D2409" t="str">
        <x:v>commerce</x:v>
      </x:c>
      <x:c r="E2409" t="str">
        <x:v>Centre commercial — variante 04 — Grande ville et métropole / évacuation interrompue</x:v>
      </x:c>
      <x:c r="F2409" t="n">
        <x:v>8</x:v>
      </x:c>
      <x:c r="G2409" t="n">
        <x:v>6</x:v>
      </x:c>
      <x:c r="H2409" t="n">
        <x:v>0</x:v>
      </x:c>
      <x:c r="I2409" t="str">
        <x:v>À qualifier par lieu</x:v>
      </x:c>
      <x:c r="J2409" t="str">
        <x:v>https://github.com/darknigthmare/deadwall-last-enclosure/blob/e28f46223e73105ab2c5d83f3d50b99b58ef53e6/codex-3000/compositions/commerce/DW-2404.md</x:v>
      </x:c>
      <x:c r="K2409" t="str">
        <x:v>Source min 61,24 m ; max 61,24 m ; modèle 61 × 24 m ; niveaux 0. Détails dans catalogue-existant.json.</x:v>
      </x:c>
    </x:row>
    <x:row r="2410">
      <x:c r="A2410" t="str">
        <x:v>DW-2405</x:v>
      </x:c>
      <x:c r="B2410" t="str">
        <x:v>DW-0703</x:v>
      </x:c>
      <x:c r="C2410" t="str">
        <x:v>Composition héritée</x:v>
      </x:c>
      <x:c r="D2410" t="str">
        <x:v>commerce</x:v>
      </x:c>
      <x:c r="E2410" t="str">
        <x:v>Supermarché — variante 04 — Village et bourg / réseau principal coupé</x:v>
      </x:c>
      <x:c r="F2410" t="n">
        <x:v>8</x:v>
      </x:c>
      <x:c r="G2410" t="n">
        <x:v>7</x:v>
      </x:c>
      <x:c r="H2410" t="n">
        <x:v>0</x:v>
      </x:c>
      <x:c r="I2410" t="str">
        <x:v>À qualifier par lieu</x:v>
      </x:c>
      <x:c r="J2410" t="str">
        <x:v>https://github.com/darknigthmare/deadwall-last-enclosure/blob/e28f46223e73105ab2c5d83f3d50b99b58ef53e6/codex-3000/compositions/commerce/DW-2405.md</x:v>
      </x:c>
      <x:c r="K2410" t="str">
        <x:v>Source min 72,41 m ; max 72,41 m ; modèle 72 × 41 m ; niveaux 0. Détails dans catalogue-existant.json.</x:v>
      </x:c>
    </x:row>
    <x:row r="2411">
      <x:c r="A2411" t="str">
        <x:v>DW-2406</x:v>
      </x:c>
      <x:c r="B2411" t="str">
        <x:v>DW-0703</x:v>
      </x:c>
      <x:c r="C2411" t="str">
        <x:v>Composition héritée</x:v>
      </x:c>
      <x:c r="D2411" t="str">
        <x:v>commerce</x:v>
      </x:c>
      <x:c r="E2411" t="str">
        <x:v>Supermarché — variante 04 — Zone commerciale / arrêt de maintenance</x:v>
      </x:c>
      <x:c r="F2411" t="n">
        <x:v>8</x:v>
      </x:c>
      <x:c r="G2411" t="n">
        <x:v>7</x:v>
      </x:c>
      <x:c r="H2411" t="n">
        <x:v>0</x:v>
      </x:c>
      <x:c r="I2411" t="str">
        <x:v>À qualifier par lieu</x:v>
      </x:c>
      <x:c r="J2411" t="str">
        <x:v>https://github.com/darknigthmare/deadwall-last-enclosure/blob/e28f46223e73105ab2c5d83f3d50b99b58ef53e6/codex-3000/compositions/commerce/DW-2406.md</x:v>
      </x:c>
      <x:c r="K2411" t="str">
        <x:v>Source min 72,41 m ; max 72,41 m ; modèle 72 × 41 m ; niveaux 0. Détails dans catalogue-existant.json.</x:v>
      </x:c>
    </x:row>
    <x:row r="2412">
      <x:c r="A2412" t="str">
        <x:v>DW-2407</x:v>
      </x:c>
      <x:c r="B2412" t="str">
        <x:v>DW-0704</x:v>
      </x:c>
      <x:c r="C2412" t="str">
        <x:v>Composition héritée</x:v>
      </x:c>
      <x:c r="D2412" t="str">
        <x:v>commerce</x:v>
      </x:c>
      <x:c r="E2412" t="str">
        <x:v>Magasin de bricolage — variante 04 — Grande ville et métropole / repli organisé interrompu</x:v>
      </x:c>
      <x:c r="F2412" t="n">
        <x:v>8</x:v>
      </x:c>
      <x:c r="G2412" t="n">
        <x:v>5</x:v>
      </x:c>
      <x:c r="H2412" t="n">
        <x:v>0</x:v>
      </x:c>
      <x:c r="I2412" t="str">
        <x:v>À qualifier par lieu</x:v>
      </x:c>
      <x:c r="J2412" t="str">
        <x:v>https://github.com/darknigthmare/deadwall-last-enclosure/blob/e28f46223e73105ab2c5d83f3d50b99b58ef53e6/codex-3000/compositions/commerce/DW-2407.md</x:v>
      </x:c>
      <x:c r="K2412" t="str">
        <x:v>Source min 11,58 m ; max 11,58 m ; modèle 26 × 58 m ; niveaux 0. Détails dans catalogue-existant.json.</x:v>
      </x:c>
    </x:row>
    <x:row r="2413">
      <x:c r="A2413" t="str">
        <x:v>DW-2408</x:v>
      </x:c>
      <x:c r="B2413" t="str">
        <x:v>DW-0704</x:v>
      </x:c>
      <x:c r="C2413" t="str">
        <x:v>Composition héritée</x:v>
      </x:c>
      <x:c r="D2413" t="str">
        <x:v>commerce</x:v>
      </x:c>
      <x:c r="E2413" t="str">
        <x:v>Magasin de bricolage — variante 04 — Ville moyenne / première récupération passée</x:v>
      </x:c>
      <x:c r="F2413" t="n">
        <x:v>8</x:v>
      </x:c>
      <x:c r="G2413" t="n">
        <x:v>5</x:v>
      </x:c>
      <x:c r="H2413" t="n">
        <x:v>0</x:v>
      </x:c>
      <x:c r="I2413" t="str">
        <x:v>À qualifier par lieu</x:v>
      </x:c>
      <x:c r="J2413" t="str">
        <x:v>https://github.com/darknigthmare/deadwall-last-enclosure/blob/e28f46223e73105ab2c5d83f3d50b99b58ef53e6/codex-3000/compositions/commerce/DW-2408.md</x:v>
      </x:c>
      <x:c r="K2413" t="str">
        <x:v>Source min 11,58 m ; max 11,58 m ; modèle 26 × 58 m ; niveaux 0. Détails dans catalogue-existant.json.</x:v>
      </x:c>
    </x:row>
    <x:row r="2414">
      <x:c r="A2414" t="str">
        <x:v>DW-2409</x:v>
      </x:c>
      <x:c r="B2414" t="str">
        <x:v>DW-0705</x:v>
      </x:c>
      <x:c r="C2414" t="str">
        <x:v>Composition héritée</x:v>
      </x:c>
      <x:c r="D2414" t="str">
        <x:v>commerce</x:v>
      </x:c>
      <x:c r="E2414" t="str">
        <x:v>Pharmacie — variante 04 — Zone commerciale / évacuation interrompue</x:v>
      </x:c>
      <x:c r="F2414" t="n">
        <x:v>8</x:v>
      </x:c>
      <x:c r="G2414" t="n">
        <x:v>4</x:v>
      </x:c>
      <x:c r="H2414" t="n">
        <x:v>0</x:v>
      </x:c>
      <x:c r="I2414" t="str">
        <x:v>À qualifier par lieu</x:v>
      </x:c>
      <x:c r="J2414" t="str">
        <x:v>https://github.com/darknigthmare/deadwall-last-enclosure/blob/e28f46223e73105ab2c5d83f3d50b99b58ef53e6/codex-3000/compositions/commerce/DW-2409.md</x:v>
      </x:c>
      <x:c r="K2414" t="str">
        <x:v>Source min 22,21 m ; max 22,21 m ; modèle 25 × 21 m ; niveaux 0, 1. Détails dans catalogue-existant.json.</x:v>
      </x:c>
    </x:row>
    <x:row r="2415">
      <x:c r="A2415" t="str">
        <x:v>DW-2410</x:v>
      </x:c>
      <x:c r="B2415" t="str">
        <x:v>DW-0705</x:v>
      </x:c>
      <x:c r="C2415" t="str">
        <x:v>Composition héritée</x:v>
      </x:c>
      <x:c r="D2415" t="str">
        <x:v>commerce</x:v>
      </x:c>
      <x:c r="E2415" t="str">
        <x:v>Pharmacie — variante 04 — Village et bourg / service déplacé à l’arrière</x:v>
      </x:c>
      <x:c r="F2415" t="n">
        <x:v>8</x:v>
      </x:c>
      <x:c r="G2415" t="n">
        <x:v>4</x:v>
      </x:c>
      <x:c r="H2415" t="n">
        <x:v>0</x:v>
      </x:c>
      <x:c r="I2415" t="str">
        <x:v>À qualifier par lieu</x:v>
      </x:c>
      <x:c r="J2415" t="str">
        <x:v>https://github.com/darknigthmare/deadwall-last-enclosure/blob/e28f46223e73105ab2c5d83f3d50b99b58ef53e6/codex-3000/compositions/commerce/DW-2410.md</x:v>
      </x:c>
      <x:c r="K2415" t="str">
        <x:v>Source min 22,21 m ; max 22,21 m ; modèle 25 × 21 m ; niveaux 0, 1. Détails dans catalogue-existant.json.</x:v>
      </x:c>
    </x:row>
    <x:row r="2416">
      <x:c r="A2416" t="str">
        <x:v>DW-2411</x:v>
      </x:c>
      <x:c r="B2416" t="str">
        <x:v>DW-0706</x:v>
      </x:c>
      <x:c r="C2416" t="str">
        <x:v>Composition héritée</x:v>
      </x:c>
      <x:c r="D2416" t="str">
        <x:v>commerce</x:v>
      </x:c>
      <x:c r="E2416" t="str">
        <x:v>Station-service — variante 04 — Ville moyenne / arrêt de maintenance</x:v>
      </x:c>
      <x:c r="F2416" t="n">
        <x:v>8</x:v>
      </x:c>
      <x:c r="G2416" t="n">
        <x:v>5</x:v>
      </x:c>
      <x:c r="H2416" t="n">
        <x:v>0</x:v>
      </x:c>
      <x:c r="I2416" t="str">
        <x:v>À qualifier par lieu</x:v>
      </x:c>
      <x:c r="J2416" t="str">
        <x:v>https://github.com/darknigthmare/deadwall-last-enclosure/blob/e28f46223e73105ab2c5d83f3d50b99b58ef53e6/codex-3000/compositions/commerce/DW-2411.md</x:v>
      </x:c>
      <x:c r="K2416" t="str">
        <x:v>Source min 33,38 m ; max 33,38 m ; modèle 33 × 38 m ; niveaux 0. Détails dans catalogue-existant.json.</x:v>
      </x:c>
    </x:row>
    <x:row r="2417">
      <x:c r="A2417" t="str">
        <x:v>DW-2412</x:v>
      </x:c>
      <x:c r="B2417" t="str">
        <x:v>DW-0706</x:v>
      </x:c>
      <x:c r="C2417" t="str">
        <x:v>Composition héritée</x:v>
      </x:c>
      <x:c r="D2417" t="str">
        <x:v>commerce</x:v>
      </x:c>
      <x:c r="E2417" t="str">
        <x:v>Station-service — variante 04 — Grande ville et métropole / reprise progressive de la végétation</x:v>
      </x:c>
      <x:c r="F2417" t="n">
        <x:v>8</x:v>
      </x:c>
      <x:c r="G2417" t="n">
        <x:v>5</x:v>
      </x:c>
      <x:c r="H2417" t="n">
        <x:v>0</x:v>
      </x:c>
      <x:c r="I2417" t="str">
        <x:v>À qualifier par lieu</x:v>
      </x:c>
      <x:c r="J2417" t="str">
        <x:v>https://github.com/darknigthmare/deadwall-last-enclosure/blob/e28f46223e73105ab2c5d83f3d50b99b58ef53e6/codex-3000/compositions/commerce/DW-2412.md</x:v>
      </x:c>
      <x:c r="K2417" t="str">
        <x:v>Source min 33,38 m ; max 33,38 m ; modèle 33 × 38 m ; niveaux 0. Détails dans catalogue-existant.json.</x:v>
      </x:c>
    </x:row>
    <x:row r="2418">
      <x:c r="A2418" t="str">
        <x:v>DW-2413</x:v>
      </x:c>
      <x:c r="B2418" t="str">
        <x:v>DW-0707</x:v>
      </x:c>
      <x:c r="C2418" t="str">
        <x:v>Composition héritée</x:v>
      </x:c>
      <x:c r="D2418" t="str">
        <x:v>commerce</x:v>
      </x:c>
      <x:c r="E2418" t="str">
        <x:v>Restaurant routier — variante 04 — Village et bourg / première récupération passée</x:v>
      </x:c>
      <x:c r="F2418" t="n">
        <x:v>8</x:v>
      </x:c>
      <x:c r="G2418" t="n">
        <x:v>5</x:v>
      </x:c>
      <x:c r="H2418" t="n">
        <x:v>0</x:v>
      </x:c>
      <x:c r="I2418" t="str">
        <x:v>À qualifier par lieu</x:v>
      </x:c>
      <x:c r="J2418" t="str">
        <x:v>https://github.com/darknigthmare/deadwall-last-enclosure/blob/e28f46223e73105ab2c5d83f3d50b99b58ef53e6/codex-3000/compositions/commerce/DW-2413.md</x:v>
      </x:c>
      <x:c r="K2418" t="str">
        <x:v>Source min 44,55 m ; max 44,55 m ; modèle 44 × 55 m ; niveaux 0. Détails dans catalogue-existant.json.</x:v>
      </x:c>
    </x:row>
    <x:row r="2419">
      <x:c r="A2419" t="str">
        <x:v>DW-2414</x:v>
      </x:c>
      <x:c r="B2419" t="str">
        <x:v>DW-0707</x:v>
      </x:c>
      <x:c r="C2419" t="str">
        <x:v>Composition héritée</x:v>
      </x:c>
      <x:c r="D2419" t="str">
        <x:v>commerce</x:v>
      </x:c>
      <x:c r="E2419" t="str">
        <x:v>Restaurant routier — variante 04 — Zone commerciale / relais temporaire envisagé</x:v>
      </x:c>
      <x:c r="F2419" t="n">
        <x:v>8</x:v>
      </x:c>
      <x:c r="G2419" t="n">
        <x:v>5</x:v>
      </x:c>
      <x:c r="H2419" t="n">
        <x:v>0</x:v>
      </x:c>
      <x:c r="I2419" t="str">
        <x:v>À qualifier par lieu</x:v>
      </x:c>
      <x:c r="J2419" t="str">
        <x:v>https://github.com/darknigthmare/deadwall-last-enclosure/blob/e28f46223e73105ab2c5d83f3d50b99b58ef53e6/codex-3000/compositions/commerce/DW-2414.md</x:v>
      </x:c>
      <x:c r="K2419" t="str">
        <x:v>Source min 44,55 m ; max 44,55 m ; modèle 44 × 55 m ; niveaux 0. Détails dans catalogue-existant.json.</x:v>
      </x:c>
    </x:row>
    <x:row r="2420">
      <x:c r="A2420" t="str">
        <x:v>DW-2415</x:v>
      </x:c>
      <x:c r="B2420" t="str">
        <x:v>DW-0708</x:v>
      </x:c>
      <x:c r="C2420" t="str">
        <x:v>Composition héritée</x:v>
      </x:c>
      <x:c r="D2420" t="str">
        <x:v>commerce</x:v>
      </x:c>
      <x:c r="E2420" t="str">
        <x:v>Hôtel — variante 04 — Grande ville et métropole / service déplacé à l’arrière</x:v>
      </x:c>
      <x:c r="F2420" t="n">
        <x:v>8</x:v>
      </x:c>
      <x:c r="G2420" t="n">
        <x:v>6</x:v>
      </x:c>
      <x:c r="H2420" t="n">
        <x:v>0</x:v>
      </x:c>
      <x:c r="I2420" t="str">
        <x:v>À qualifier par lieu</x:v>
      </x:c>
      <x:c r="J2420" t="str">
        <x:v>https://github.com/darknigthmare/deadwall-last-enclosure/blob/e28f46223e73105ab2c5d83f3d50b99b58ef53e6/codex-3000/compositions/commerce/DW-2415.md</x:v>
      </x:c>
      <x:c r="K2420" t="str">
        <x:v>Source min 55,18 m ; max 55,18 m ; modèle 55 × 22 m ; niveaux 0. Détails dans catalogue-existant.json.</x:v>
      </x:c>
    </x:row>
    <x:row r="2421">
      <x:c r="A2421" t="str">
        <x:v>DW-2416</x:v>
      </x:c>
      <x:c r="B2421" t="str">
        <x:v>DW-0708</x:v>
      </x:c>
      <x:c r="C2421" t="str">
        <x:v>Composition héritée</x:v>
      </x:c>
      <x:c r="D2421" t="str">
        <x:v>commerce</x:v>
      </x:c>
      <x:c r="E2421" t="str">
        <x:v>Hôtel — variante 04 — Ville moyenne / réseau principal coupé</x:v>
      </x:c>
      <x:c r="F2421" t="n">
        <x:v>8</x:v>
      </x:c>
      <x:c r="G2421" t="n">
        <x:v>6</x:v>
      </x:c>
      <x:c r="H2421" t="n">
        <x:v>0</x:v>
      </x:c>
      <x:c r="I2421" t="str">
        <x:v>À qualifier par lieu</x:v>
      </x:c>
      <x:c r="J2421" t="str">
        <x:v>https://github.com/darknigthmare/deadwall-last-enclosure/blob/e28f46223e73105ab2c5d83f3d50b99b58ef53e6/codex-3000/compositions/commerce/DW-2416.md</x:v>
      </x:c>
      <x:c r="K2421" t="str">
        <x:v>Source min 55,18 m ; max 55,18 m ; modèle 55 × 22 m ; niveaux 0. Détails dans catalogue-existant.json.</x:v>
      </x:c>
    </x:row>
    <x:row r="2422">
      <x:c r="A2422" t="str">
        <x:v>DW-2417</x:v>
      </x:c>
      <x:c r="B2422" t="str">
        <x:v>DW-0709</x:v>
      </x:c>
      <x:c r="C2422" t="str">
        <x:v>Composition héritée</x:v>
      </x:c>
      <x:c r="D2422" t="str">
        <x:v>industrie</x:v>
      </x:c>
      <x:c r="E2422" t="str">
        <x:v>Scierie — variante 04 — Zone industrielle / reprise progressive de la végétation</x:v>
      </x:c>
      <x:c r="F2422" t="n">
        <x:v>8</x:v>
      </x:c>
      <x:c r="G2422" t="n">
        <x:v>5</x:v>
      </x:c>
      <x:c r="H2422" t="n">
        <x:v>0</x:v>
      </x:c>
      <x:c r="I2422" t="str">
        <x:v>À qualifier par lieu</x:v>
      </x:c>
      <x:c r="J2422" t="str">
        <x:v>https://github.com/darknigthmare/deadwall-last-enclosure/blob/e28f46223e73105ab2c5d83f3d50b99b58ef53e6/codex-3000/compositions/industrie/DW-2417.md</x:v>
      </x:c>
      <x:c r="K2422" t="str">
        <x:v>Source min 66,35 m ; max 66,35 m ; modèle 66 × 35 m ; niveaux 0. Détails dans catalogue-existant.json.</x:v>
      </x:c>
    </x:row>
    <x:row r="2423">
      <x:c r="A2423" t="str">
        <x:v>DW-2418</x:v>
      </x:c>
      <x:c r="B2423" t="str">
        <x:v>DW-0709</x:v>
      </x:c>
      <x:c r="C2423" t="str">
        <x:v>Composition héritée</x:v>
      </x:c>
      <x:c r="D2423" t="str">
        <x:v>industrie</x:v>
      </x:c>
      <x:c r="E2423" t="str">
        <x:v>Scierie — variante 04 — Entrepôt et plateforme logistique / repli organisé interrompu</x:v>
      </x:c>
      <x:c r="F2423" t="n">
        <x:v>8</x:v>
      </x:c>
      <x:c r="G2423" t="n">
        <x:v>5</x:v>
      </x:c>
      <x:c r="H2423" t="n">
        <x:v>0</x:v>
      </x:c>
      <x:c r="I2423" t="str">
        <x:v>À qualifier par lieu</x:v>
      </x:c>
      <x:c r="J2423" t="str">
        <x:v>https://github.com/darknigthmare/deadwall-last-enclosure/blob/e28f46223e73105ab2c5d83f3d50b99b58ef53e6/codex-3000/compositions/industrie/DW-2418.md</x:v>
      </x:c>
      <x:c r="K2423" t="str">
        <x:v>Source min 66,35 m ; max 66,35 m ; modèle 66 × 35 m ; niveaux 0. Détails dans catalogue-existant.json.</x:v>
      </x:c>
    </x:row>
    <x:row r="2424">
      <x:c r="A2424" t="str">
        <x:v>DW-2419</x:v>
      </x:c>
      <x:c r="B2424" t="str">
        <x:v>DW-0710</x:v>
      </x:c>
      <x:c r="C2424" t="str">
        <x:v>Composition héritée</x:v>
      </x:c>
      <x:c r="D2424" t="str">
        <x:v>industrie</x:v>
      </x:c>
      <x:c r="E2424" t="str">
        <x:v>Garage automobile — variante 04 — Atelier et artisanat / relais temporaire envisagé</x:v>
      </x:c>
      <x:c r="F2424" t="n">
        <x:v>8</x:v>
      </x:c>
      <x:c r="G2424" t="n">
        <x:v>5</x:v>
      </x:c>
      <x:c r="H2424" t="n">
        <x:v>0</x:v>
      </x:c>
      <x:c r="I2424" t="str">
        <x:v>À qualifier par lieu</x:v>
      </x:c>
      <x:c r="J2424" t="str">
        <x:v>https://github.com/darknigthmare/deadwall-last-enclosure/blob/e28f46223e73105ab2c5d83f3d50b99b58ef53e6/codex-3000/compositions/industrie/DW-2419.md</x:v>
      </x:c>
      <x:c r="K2424" t="str">
        <x:v>Source min 77,52 m ; max 77,52 m ; modèle 77 × 52 m ; niveaux 0. Détails dans catalogue-existant.json.</x:v>
      </x:c>
    </x:row>
    <x:row r="2425">
      <x:c r="A2425" t="str">
        <x:v>DW-2420</x:v>
      </x:c>
      <x:c r="B2425" t="str">
        <x:v>DW-0710</x:v>
      </x:c>
      <x:c r="C2425" t="str">
        <x:v>Composition héritée</x:v>
      </x:c>
      <x:c r="D2425" t="str">
        <x:v>industrie</x:v>
      </x:c>
      <x:c r="E2425" t="str">
        <x:v>Garage automobile — variante 04 — Gare et fret / évacuation interrompue</x:v>
      </x:c>
      <x:c r="F2425" t="n">
        <x:v>10</x:v>
      </x:c>
      <x:c r="G2425" t="n">
        <x:v>5</x:v>
      </x:c>
      <x:c r="H2425" t="n">
        <x:v>0</x:v>
      </x:c>
      <x:c r="I2425" t="str">
        <x:v>À qualifier par lieu</x:v>
      </x:c>
      <x:c r="J2425" t="str">
        <x:v>https://github.com/darknigthmare/deadwall-last-enclosure/blob/e28f46223e73105ab2c5d83f3d50b99b58ef53e6/codex-3000/compositions/industrie/DW-2420.md</x:v>
      </x:c>
      <x:c r="K2425" t="str">
        <x:v>Source min 77,52 m ; max 77,52 m ; modèle 77 × 52 m ; niveaux 0. Détails dans catalogue-existant.json.</x:v>
      </x:c>
    </x:row>
    <x:row r="2426">
      <x:c r="A2426" t="str">
        <x:v>DW-2421</x:v>
      </x:c>
      <x:c r="B2426" t="str">
        <x:v>DW-0711</x:v>
      </x:c>
      <x:c r="C2426" t="str">
        <x:v>Composition héritée</x:v>
      </x:c>
      <x:c r="D2426" t="str">
        <x:v>industrie</x:v>
      </x:c>
      <x:c r="E2426" t="str">
        <x:v>Entrepôt logistique — variante 04 — Entrepôt et plateforme logistique / réseau principal coupé</x:v>
      </x:c>
      <x:c r="F2426" t="n">
        <x:v>8</x:v>
      </x:c>
      <x:c r="G2426" t="n">
        <x:v>5</x:v>
      </x:c>
      <x:c r="H2426" t="n">
        <x:v>0</x:v>
      </x:c>
      <x:c r="I2426" t="str">
        <x:v>À qualifier par lieu</x:v>
      </x:c>
      <x:c r="J2426" t="str">
        <x:v>https://github.com/darknigthmare/deadwall-last-enclosure/blob/e28f46223e73105ab2c5d83f3d50b99b58ef53e6/codex-3000/compositions/industrie/DW-2421.md</x:v>
      </x:c>
      <x:c r="K2426" t="str">
        <x:v>Source min 16,15 m ; max 16,15 m ; modèle 26 × 22 m ; niveaux 0. Détails dans catalogue-existant.json.</x:v>
      </x:c>
    </x:row>
    <x:row r="2427">
      <x:c r="A2427" t="str">
        <x:v>DW-2422</x:v>
      </x:c>
      <x:c r="B2427" t="str">
        <x:v>DW-0711</x:v>
      </x:c>
      <x:c r="C2427" t="str">
        <x:v>Composition héritée</x:v>
      </x:c>
      <x:c r="D2427" t="str">
        <x:v>industrie</x:v>
      </x:c>
      <x:c r="E2427" t="str">
        <x:v>Entrepôt logistique — variante 04 — Zone industrielle / arrêt de maintenance</x:v>
      </x:c>
      <x:c r="F2427" t="n">
        <x:v>8</x:v>
      </x:c>
      <x:c r="G2427" t="n">
        <x:v>5</x:v>
      </x:c>
      <x:c r="H2427" t="n">
        <x:v>0</x:v>
      </x:c>
      <x:c r="I2427" t="str">
        <x:v>À qualifier par lieu</x:v>
      </x:c>
      <x:c r="J2427" t="str">
        <x:v>https://github.com/darknigthmare/deadwall-last-enclosure/blob/e28f46223e73105ab2c5d83f3d50b99b58ef53e6/codex-3000/compositions/industrie/DW-2422.md</x:v>
      </x:c>
      <x:c r="K2427" t="str">
        <x:v>Source min 16,15 m ; max 16,15 m ; modèle 26 × 22 m ; niveaux 0. Détails dans catalogue-existant.json.</x:v>
      </x:c>
    </x:row>
    <x:row r="2428">
      <x:c r="A2428" t="str">
        <x:v>DW-2423</x:v>
      </x:c>
      <x:c r="B2428" t="str">
        <x:v>DW-0712</x:v>
      </x:c>
      <x:c r="C2428" t="str">
        <x:v>Composition héritée</x:v>
      </x:c>
      <x:c r="D2428" t="str">
        <x:v>industrie</x:v>
      </x:c>
      <x:c r="E2428" t="str">
        <x:v>Petite usine — variante 04 — Gare et fret / repli organisé interrompu</x:v>
      </x:c>
      <x:c r="F2428" t="n">
        <x:v>10</x:v>
      </x:c>
      <x:c r="G2428" t="n">
        <x:v>5</x:v>
      </x:c>
      <x:c r="H2428" t="n">
        <x:v>0</x:v>
      </x:c>
      <x:c r="I2428" t="str">
        <x:v>À qualifier par lieu</x:v>
      </x:c>
      <x:c r="J2428" t="str">
        <x:v>https://github.com/darknigthmare/deadwall-last-enclosure/blob/e28f46223e73105ab2c5d83f3d50b99b58ef53e6/codex-3000/compositions/industrie/DW-2423.md</x:v>
      </x:c>
      <x:c r="K2428" t="str">
        <x:v>Source min 27,32 m ; max 27,32 m ; modèle 27 × 32 m ; niveaux 0. Détails dans catalogue-existant.json.</x:v>
      </x:c>
    </x:row>
    <x:row r="2429">
      <x:c r="A2429" t="str">
        <x:v>DW-2424</x:v>
      </x:c>
      <x:c r="B2429" t="str">
        <x:v>DW-0712</x:v>
      </x:c>
      <x:c r="C2429" t="str">
        <x:v>Composition héritée</x:v>
      </x:c>
      <x:c r="D2429" t="str">
        <x:v>industrie</x:v>
      </x:c>
      <x:c r="E2429" t="str">
        <x:v>Petite usine — variante 04 — Atelier et artisanat / première récupération passée</x:v>
      </x:c>
      <x:c r="F2429" t="n">
        <x:v>8</x:v>
      </x:c>
      <x:c r="G2429" t="n">
        <x:v>5</x:v>
      </x:c>
      <x:c r="H2429" t="n">
        <x:v>0</x:v>
      </x:c>
      <x:c r="I2429" t="str">
        <x:v>À qualifier par lieu</x:v>
      </x:c>
      <x:c r="J2429" t="str">
        <x:v>https://github.com/darknigthmare/deadwall-last-enclosure/blob/e28f46223e73105ab2c5d83f3d50b99b58ef53e6/codex-3000/compositions/industrie/DW-2424.md</x:v>
      </x:c>
      <x:c r="K2429" t="str">
        <x:v>Source min 27,32 m ; max 27,32 m ; modèle 27 × 32 m ; niveaux 0. Détails dans catalogue-existant.json.</x:v>
      </x:c>
    </x:row>
    <x:row r="2430">
      <x:c r="A2430" t="str">
        <x:v>DW-2425</x:v>
      </x:c>
      <x:c r="B2430" t="str">
        <x:v>DW-0713</x:v>
      </x:c>
      <x:c r="C2430" t="str">
        <x:v>Composition héritée</x:v>
      </x:c>
      <x:c r="D2430" t="str">
        <x:v>industrie</x:v>
      </x:c>
      <x:c r="E2430" t="str">
        <x:v>Carrière — variante 04 — Zone industrielle / évacuation interrompue</x:v>
      </x:c>
      <x:c r="F2430" t="n">
        <x:v>8</x:v>
      </x:c>
      <x:c r="G2430" t="n">
        <x:v>5</x:v>
      </x:c>
      <x:c r="H2430" t="n">
        <x:v>0</x:v>
      </x:c>
      <x:c r="I2430" t="str">
        <x:v>À qualifier par lieu</x:v>
      </x:c>
      <x:c r="J2430" t="str">
        <x:v>https://github.com/darknigthmare/deadwall-last-enclosure/blob/e28f46223e73105ab2c5d83f3d50b99b58ef53e6/codex-3000/compositions/industrie/DW-2425.md</x:v>
      </x:c>
      <x:c r="K2430" t="str">
        <x:v>Source min 38,49 m ; max 38,49 m ; modèle 38 × 49 m ; niveaux 0. Détails dans catalogue-existant.json.</x:v>
      </x:c>
    </x:row>
    <x:row r="2431">
      <x:c r="A2431" t="str">
        <x:v>DW-2426</x:v>
      </x:c>
      <x:c r="B2431" t="str">
        <x:v>DW-0713</x:v>
      </x:c>
      <x:c r="C2431" t="str">
        <x:v>Composition héritée</x:v>
      </x:c>
      <x:c r="D2431" t="str">
        <x:v>industrie</x:v>
      </x:c>
      <x:c r="E2431" t="str">
        <x:v>Carrière — variante 04 — Entrepôt et plateforme logistique / service déplacé à l’arrière</x:v>
      </x:c>
      <x:c r="F2431" t="n">
        <x:v>8</x:v>
      </x:c>
      <x:c r="G2431" t="n">
        <x:v>5</x:v>
      </x:c>
      <x:c r="H2431" t="n">
        <x:v>0</x:v>
      </x:c>
      <x:c r="I2431" t="str">
        <x:v>À qualifier par lieu</x:v>
      </x:c>
      <x:c r="J2431" t="str">
        <x:v>https://github.com/darknigthmare/deadwall-last-enclosure/blob/e28f46223e73105ab2c5d83f3d50b99b58ef53e6/codex-3000/compositions/industrie/DW-2426.md</x:v>
      </x:c>
      <x:c r="K2431" t="str">
        <x:v>Source min 38,49 m ; max 38,49 m ; modèle 38 × 49 m ; niveaux 0. Détails dans catalogue-existant.json.</x:v>
      </x:c>
    </x:row>
    <x:row r="2432">
      <x:c r="A2432" t="str">
        <x:v>DW-2427</x:v>
      </x:c>
      <x:c r="B2432" t="str">
        <x:v>DW-0714</x:v>
      </x:c>
      <x:c r="C2432" t="str">
        <x:v>Composition héritée</x:v>
      </x:c>
      <x:c r="D2432" t="str">
        <x:v>industrie</x:v>
      </x:c>
      <x:c r="E2432" t="str">
        <x:v>Mine — variante 04 — Atelier et artisanat / arrêt de maintenance</x:v>
      </x:c>
      <x:c r="F2432" t="n">
        <x:v>8</x:v>
      </x:c>
      <x:c r="G2432" t="n">
        <x:v>6</x:v>
      </x:c>
      <x:c r="H2432" t="n">
        <x:v>0</x:v>
      </x:c>
      <x:c r="I2432" t="str">
        <x:v>À qualifier par lieu</x:v>
      </x:c>
      <x:c r="J2432" t="str">
        <x:v>https://github.com/darknigthmare/deadwall-last-enclosure/blob/e28f46223e73105ab2c5d83f3d50b99b58ef53e6/codex-3000/compositions/industrie/DW-2427.md</x:v>
      </x:c>
      <x:c r="K2432" t="str">
        <x:v>Source min 49,12 m ; max 49,12 m ; modèle 49 × 22 m ; niveaux 0. Détails dans catalogue-existant.json.</x:v>
      </x:c>
    </x:row>
    <x:row r="2433">
      <x:c r="A2433" t="str">
        <x:v>DW-2428</x:v>
      </x:c>
      <x:c r="B2433" t="str">
        <x:v>DW-0714</x:v>
      </x:c>
      <x:c r="C2433" t="str">
        <x:v>Composition héritée</x:v>
      </x:c>
      <x:c r="D2433" t="str">
        <x:v>industrie</x:v>
      </x:c>
      <x:c r="E2433" t="str">
        <x:v>Mine — variante 04 — Gare et fret / reprise progressive de la végétation</x:v>
      </x:c>
      <x:c r="F2433" t="n">
        <x:v>10</x:v>
      </x:c>
      <x:c r="G2433" t="n">
        <x:v>6</x:v>
      </x:c>
      <x:c r="H2433" t="n">
        <x:v>0</x:v>
      </x:c>
      <x:c r="I2433" t="str">
        <x:v>À qualifier par lieu</x:v>
      </x:c>
      <x:c r="J2433" t="str">
        <x:v>https://github.com/darknigthmare/deadwall-last-enclosure/blob/e28f46223e73105ab2c5d83f3d50b99b58ef53e6/codex-3000/compositions/industrie/DW-2428.md</x:v>
      </x:c>
      <x:c r="K2433" t="str">
        <x:v>Source min 49,12 m ; max 49,12 m ; modèle 49 × 22 m ; niveaux 0. Détails dans catalogue-existant.json.</x:v>
      </x:c>
    </x:row>
    <x:row r="2434">
      <x:c r="A2434" t="str">
        <x:v>DW-2429</x:v>
      </x:c>
      <x:c r="B2434" t="str">
        <x:v>DW-0715</x:v>
      </x:c>
      <x:c r="C2434" t="str">
        <x:v>Composition héritée</x:v>
      </x:c>
      <x:c r="D2434" t="str">
        <x:v>industrie</x:v>
      </x:c>
      <x:c r="E2434" t="str">
        <x:v>Centrale locale — variante 04 — Entrepôt et plateforme logistique / première récupération passée</x:v>
      </x:c>
      <x:c r="F2434" t="n">
        <x:v>8</x:v>
      </x:c>
      <x:c r="G2434" t="n">
        <x:v>5</x:v>
      </x:c>
      <x:c r="H2434" t="n">
        <x:v>0</x:v>
      </x:c>
      <x:c r="I2434" t="str">
        <x:v>À qualifier par lieu</x:v>
      </x:c>
      <x:c r="J2434" t="str">
        <x:v>https://github.com/darknigthmare/deadwall-last-enclosure/blob/e28f46223e73105ab2c5d83f3d50b99b58ef53e6/codex-3000/compositions/industrie/DW-2429.md</x:v>
      </x:c>
      <x:c r="K2434" t="str">
        <x:v>Source min 60,29 m ; max 60,29 m ; modèle 60 × 29 m ; niveaux 0. Détails dans catalogue-existant.json.</x:v>
      </x:c>
    </x:row>
    <x:row r="2435">
      <x:c r="A2435" t="str">
        <x:v>DW-2430</x:v>
      </x:c>
      <x:c r="B2435" t="str">
        <x:v>DW-0715</x:v>
      </x:c>
      <x:c r="C2435" t="str">
        <x:v>Composition héritée</x:v>
      </x:c>
      <x:c r="D2435" t="str">
        <x:v>industrie</x:v>
      </x:c>
      <x:c r="E2435" t="str">
        <x:v>Centrale locale — variante 04 — Zone industrielle / relais temporaire envisagé</x:v>
      </x:c>
      <x:c r="F2435" t="n">
        <x:v>8</x:v>
      </x:c>
      <x:c r="G2435" t="n">
        <x:v>5</x:v>
      </x:c>
      <x:c r="H2435" t="n">
        <x:v>0</x:v>
      </x:c>
      <x:c r="I2435" t="str">
        <x:v>À qualifier par lieu</x:v>
      </x:c>
      <x:c r="J2435" t="str">
        <x:v>https://github.com/darknigthmare/deadwall-last-enclosure/blob/e28f46223e73105ab2c5d83f3d50b99b58ef53e6/codex-3000/compositions/industrie/DW-2430.md</x:v>
      </x:c>
      <x:c r="K2435" t="str">
        <x:v>Source min 60,29 m ; max 60,29 m ; modèle 60 × 29 m ; niveaux 0. Détails dans catalogue-existant.json.</x:v>
      </x:c>
    </x:row>
    <x:row r="2436">
      <x:c r="A2436" t="str">
        <x:v>DW-2431</x:v>
      </x:c>
      <x:c r="B2436" t="str">
        <x:v>DW-0716</x:v>
      </x:c>
      <x:c r="C2436" t="str">
        <x:v>Composition héritée</x:v>
      </x:c>
      <x:c r="D2436" t="str">
        <x:v>industrie</x:v>
      </x:c>
      <x:c r="E2436" t="str">
        <x:v>Station de pompage — variante 04 — Gare et fret / service déplacé à l’arrière</x:v>
      </x:c>
      <x:c r="F2436" t="n">
        <x:v>10</x:v>
      </x:c>
      <x:c r="G2436" t="n">
        <x:v>5</x:v>
      </x:c>
      <x:c r="H2436" t="n">
        <x:v>0</x:v>
      </x:c>
      <x:c r="I2436" t="str">
        <x:v>À qualifier par lieu</x:v>
      </x:c>
      <x:c r="J2436" t="str">
        <x:v>https://github.com/darknigthmare/deadwall-last-enclosure/blob/e28f46223e73105ab2c5d83f3d50b99b58ef53e6/codex-3000/compositions/industrie/DW-2431.md</x:v>
      </x:c>
      <x:c r="K2436" t="str">
        <x:v>Source min 71,46 m ; max 71,46 m ; modèle 71 × 46 m ; niveaux 0. Détails dans catalogue-existant.json.</x:v>
      </x:c>
    </x:row>
    <x:row r="2437">
      <x:c r="A2437" t="str">
        <x:v>DW-2432</x:v>
      </x:c>
      <x:c r="B2437" t="str">
        <x:v>DW-0716</x:v>
      </x:c>
      <x:c r="C2437" t="str">
        <x:v>Composition héritée</x:v>
      </x:c>
      <x:c r="D2437" t="str">
        <x:v>industrie</x:v>
      </x:c>
      <x:c r="E2437" t="str">
        <x:v>Station de pompage — variante 04 — Atelier et artisanat / réseau principal coupé</x:v>
      </x:c>
      <x:c r="F2437" t="n">
        <x:v>8</x:v>
      </x:c>
      <x:c r="G2437" t="n">
        <x:v>5</x:v>
      </x:c>
      <x:c r="H2437" t="n">
        <x:v>0</x:v>
      </x:c>
      <x:c r="I2437" t="str">
        <x:v>À qualifier par lieu</x:v>
      </x:c>
      <x:c r="J2437" t="str">
        <x:v>https://github.com/darknigthmare/deadwall-last-enclosure/blob/e28f46223e73105ab2c5d83f3d50b99b58ef53e6/codex-3000/compositions/industrie/DW-2432.md</x:v>
      </x:c>
      <x:c r="K2437" t="str">
        <x:v>Source min 71,46 m ; max 71,46 m ; modèle 71 × 46 m ; niveaux 0. Détails dans catalogue-existant.json.</x:v>
      </x:c>
    </x:row>
    <x:row r="2438">
      <x:c r="A2438" t="str">
        <x:v>DW-2433</x:v>
      </x:c>
      <x:c r="B2438" t="str">
        <x:v>DW-0717</x:v>
      </x:c>
      <x:c r="C2438" t="str">
        <x:v>Composition héritée</x:v>
      </x:c>
      <x:c r="D2438" t="str">
        <x:v>public</x:v>
      </x:c>
      <x:c r="E2438" t="str">
        <x:v>École — variante 04 — École, mairie et bâtiments civiques / reprise progressive de la végétation</x:v>
      </x:c>
      <x:c r="F2438" t="n">
        <x:v>8</x:v>
      </x:c>
      <x:c r="G2438" t="n">
        <x:v>5</x:v>
      </x:c>
      <x:c r="H2438" t="n">
        <x:v>0</x:v>
      </x:c>
      <x:c r="I2438" t="str">
        <x:v>À qualifier par lieu</x:v>
      </x:c>
      <x:c r="J2438" t="str">
        <x:v>https://github.com/darknigthmare/deadwall-last-enclosure/blob/e28f46223e73105ab2c5d83f3d50b99b58ef53e6/codex-3000/compositions/public/DW-2433.md</x:v>
      </x:c>
      <x:c r="K2438" t="str">
        <x:v>Source min 10,9 m ; max 10,9 m ; modèle 26 × 22 m ; niveaux 0, 1. Détails dans catalogue-existant.json.</x:v>
      </x:c>
    </x:row>
    <x:row r="2439">
      <x:c r="A2439" t="str">
        <x:v>DW-2434</x:v>
      </x:c>
      <x:c r="B2439" t="str">
        <x:v>DW-0717</x:v>
      </x:c>
      <x:c r="C2439" t="str">
        <x:v>Composition héritée</x:v>
      </x:c>
      <x:c r="D2439" t="str">
        <x:v>public</x:v>
      </x:c>
      <x:c r="E2439" t="str">
        <x:v>École — variante 04 — Village et bourg / repli organisé interrompu</x:v>
      </x:c>
      <x:c r="F2439" t="n">
        <x:v>8</x:v>
      </x:c>
      <x:c r="G2439" t="n">
        <x:v>5</x:v>
      </x:c>
      <x:c r="H2439" t="n">
        <x:v>0</x:v>
      </x:c>
      <x:c r="I2439" t="str">
        <x:v>À qualifier par lieu</x:v>
      </x:c>
      <x:c r="J2439" t="str">
        <x:v>https://github.com/darknigthmare/deadwall-last-enclosure/blob/e28f46223e73105ab2c5d83f3d50b99b58ef53e6/codex-3000/compositions/public/DW-2434.md</x:v>
      </x:c>
      <x:c r="K2439" t="str">
        <x:v>Source min 10,9 m ; max 10,9 m ; modèle 26 × 22 m ; niveaux 0, 1. Détails dans catalogue-existant.json.</x:v>
      </x:c>
    </x:row>
    <x:row r="2440">
      <x:c r="A2440" t="str">
        <x:v>DW-2435</x:v>
      </x:c>
      <x:c r="B2440" t="str">
        <x:v>DW-0718</x:v>
      </x:c>
      <x:c r="C2440" t="str">
        <x:v>Composition héritée</x:v>
      </x:c>
      <x:c r="D2440" t="str">
        <x:v>public</x:v>
      </x:c>
      <x:c r="E2440" t="str">
        <x:v>Mairie — variante 04 — Ville moyenne / relais temporaire envisagé</x:v>
      </x:c>
      <x:c r="F2440" t="n">
        <x:v>8</x:v>
      </x:c>
      <x:c r="G2440" t="n">
        <x:v>5</x:v>
      </x:c>
      <x:c r="H2440" t="n">
        <x:v>0</x:v>
      </x:c>
      <x:c r="I2440" t="str">
        <x:v>À qualifier par lieu</x:v>
      </x:c>
      <x:c r="J2440" t="str">
        <x:v>https://github.com/darknigthmare/deadwall-last-enclosure/blob/e28f46223e73105ab2c5d83f3d50b99b58ef53e6/codex-3000/compositions/public/DW-2435.md</x:v>
      </x:c>
      <x:c r="K2440" t="str">
        <x:v>Source min 21,26 m ; max 21,26 m ; modèle 26 × 26 m ; niveaux 0. Détails dans catalogue-existant.json.</x:v>
      </x:c>
    </x:row>
    <x:row r="2441">
      <x:c r="A2441" t="str">
        <x:v>DW-2436</x:v>
      </x:c>
      <x:c r="B2441" t="str">
        <x:v>DW-0718</x:v>
      </x:c>
      <x:c r="C2441" t="str">
        <x:v>Composition héritée</x:v>
      </x:c>
      <x:c r="D2441" t="str">
        <x:v>public</x:v>
      </x:c>
      <x:c r="E2441" t="str">
        <x:v>Mairie — variante 04 — Centre d’évacuation abandonné / évacuation interrompue</x:v>
      </x:c>
      <x:c r="F2441" t="n">
        <x:v>8</x:v>
      </x:c>
      <x:c r="G2441" t="n">
        <x:v>5</x:v>
      </x:c>
      <x:c r="H2441" t="n">
        <x:v>0</x:v>
      </x:c>
      <x:c r="I2441" t="str">
        <x:v>À qualifier par lieu</x:v>
      </x:c>
      <x:c r="J2441" t="str">
        <x:v>https://github.com/darknigthmare/deadwall-last-enclosure/blob/e28f46223e73105ab2c5d83f3d50b99b58ef53e6/codex-3000/compositions/public/DW-2436.md</x:v>
      </x:c>
      <x:c r="K2441" t="str">
        <x:v>Source min 21,26 m ; max 21,26 m ; modèle 26 × 26 m ; niveaux 0. Détails dans catalogue-existant.json.</x:v>
      </x:c>
    </x:row>
    <x:row r="2442">
      <x:c r="A2442" t="str">
        <x:v>DW-2437</x:v>
      </x:c>
      <x:c r="B2442" t="str">
        <x:v>DW-0719</x:v>
      </x:c>
      <x:c r="C2442" t="str">
        <x:v>Composition héritée</x:v>
      </x:c>
      <x:c r="D2442" t="str">
        <x:v>public</x:v>
      </x:c>
      <x:c r="E2442" t="str">
        <x:v>Clinique — variante 04 — Village et bourg / réseau principal coupé</x:v>
      </x:c>
      <x:c r="F2442" t="n">
        <x:v>8</x:v>
      </x:c>
      <x:c r="G2442" t="n">
        <x:v>6</x:v>
      </x:c>
      <x:c r="H2442" t="n">
        <x:v>0</x:v>
      </x:c>
      <x:c r="I2442" t="str">
        <x:v>À qualifier par lieu</x:v>
      </x:c>
      <x:c r="J2442" t="str">
        <x:v>https://github.com/darknigthmare/deadwall-last-enclosure/blob/e28f46223e73105ab2c5d83f3d50b99b58ef53e6/codex-3000/compositions/public/DW-2437.md</x:v>
      </x:c>
      <x:c r="K2442" t="str">
        <x:v>Source min 32,43 m ; max 32,43 m ; modèle 32 × 43 m ; niveaux 0. Détails dans catalogue-existant.json.</x:v>
      </x:c>
    </x:row>
    <x:row r="2443">
      <x:c r="A2443" t="str">
        <x:v>DW-2438</x:v>
      </x:c>
      <x:c r="B2443" t="str">
        <x:v>DW-0719</x:v>
      </x:c>
      <x:c r="C2443" t="str">
        <x:v>Composition héritée</x:v>
      </x:c>
      <x:c r="D2443" t="str">
        <x:v>public</x:v>
      </x:c>
      <x:c r="E2443" t="str">
        <x:v>Clinique — variante 04 — École, mairie et bâtiments civiques / arrêt de maintenance</x:v>
      </x:c>
      <x:c r="F2443" t="n">
        <x:v>8</x:v>
      </x:c>
      <x:c r="G2443" t="n">
        <x:v>6</x:v>
      </x:c>
      <x:c r="H2443" t="n">
        <x:v>0</x:v>
      </x:c>
      <x:c r="I2443" t="str">
        <x:v>À qualifier par lieu</x:v>
      </x:c>
      <x:c r="J2443" t="str">
        <x:v>https://github.com/darknigthmare/deadwall-last-enclosure/blob/e28f46223e73105ab2c5d83f3d50b99b58ef53e6/codex-3000/compositions/public/DW-2438.md</x:v>
      </x:c>
      <x:c r="K2443" t="str">
        <x:v>Source min 32,43 m ; max 32,43 m ; modèle 32 × 43 m ; niveaux 0. Détails dans catalogue-existant.json.</x:v>
      </x:c>
    </x:row>
    <x:row r="2444">
      <x:c r="A2444" t="str">
        <x:v>DW-2439</x:v>
      </x:c>
      <x:c r="B2444" t="str">
        <x:v>DW-0720</x:v>
      </x:c>
      <x:c r="C2444" t="str">
        <x:v>Composition héritée</x:v>
      </x:c>
      <x:c r="D2444" t="str">
        <x:v>public</x:v>
      </x:c>
      <x:c r="E2444" t="str">
        <x:v>Caserne de pompiers — variante 04 — Centre d’évacuation abandonné / repli organisé interrompu</x:v>
      </x:c>
      <x:c r="F2444" t="n">
        <x:v>8</x:v>
      </x:c>
      <x:c r="G2444" t="n">
        <x:v>6</x:v>
      </x:c>
      <x:c r="H2444" t="n">
        <x:v>0</x:v>
      </x:c>
      <x:c r="I2444" t="str">
        <x:v>À qualifier par lieu</x:v>
      </x:c>
      <x:c r="J2444" t="str">
        <x:v>https://github.com/darknigthmare/deadwall-last-enclosure/blob/e28f46223e73105ab2c5d83f3d50b99b58ef53e6/codex-3000/compositions/public/DW-2439.md</x:v>
      </x:c>
      <x:c r="K2444" t="str">
        <x:v>Source min 43,60 m ; max 43,60 m ; modèle 43 × 60 m ; niveaux 0. Détails dans catalogue-existant.json.</x:v>
      </x:c>
    </x:row>
    <x:row r="2445">
      <x:c r="A2445" t="str">
        <x:v>DW-2440</x:v>
      </x:c>
      <x:c r="B2445" t="str">
        <x:v>DW-0720</x:v>
      </x:c>
      <x:c r="C2445" t="str">
        <x:v>Composition héritée</x:v>
      </x:c>
      <x:c r="D2445" t="str">
        <x:v>public</x:v>
      </x:c>
      <x:c r="E2445" t="str">
        <x:v>Caserne de pompiers — variante 04 — Ville moyenne / première récupération passée</x:v>
      </x:c>
      <x:c r="F2445" t="n">
        <x:v>8</x:v>
      </x:c>
      <x:c r="G2445" t="n">
        <x:v>6</x:v>
      </x:c>
      <x:c r="H2445" t="n">
        <x:v>0</x:v>
      </x:c>
      <x:c r="I2445" t="str">
        <x:v>À qualifier par lieu</x:v>
      </x:c>
      <x:c r="J2445" t="str">
        <x:v>https://github.com/darknigthmare/deadwall-last-enclosure/blob/e28f46223e73105ab2c5d83f3d50b99b58ef53e6/codex-3000/compositions/public/DW-2440.md</x:v>
      </x:c>
      <x:c r="K2445" t="str">
        <x:v>Source min 43,60 m ; max 43,60 m ; modèle 43 × 60 m ; niveaux 0. Détails dans catalogue-existant.json.</x:v>
      </x:c>
    </x:row>
    <x:row r="2446">
      <x:c r="A2446" t="str">
        <x:v>DW-2441</x:v>
      </x:c>
      <x:c r="B2446" t="str">
        <x:v>DW-0721</x:v>
      </x:c>
      <x:c r="C2446" t="str">
        <x:v>Composition héritée</x:v>
      </x:c>
      <x:c r="D2446" t="str">
        <x:v>public</x:v>
      </x:c>
      <x:c r="E2446" t="str">
        <x:v>Poste de police — variante 04 — École, mairie et bâtiments civiques / évacuation interrompue</x:v>
      </x:c>
      <x:c r="F2446" t="n">
        <x:v>8</x:v>
      </x:c>
      <x:c r="G2446" t="n">
        <x:v>5</x:v>
      </x:c>
      <x:c r="H2446" t="n">
        <x:v>0</x:v>
      </x:c>
      <x:c r="I2446" t="str">
        <x:v>À qualifier par lieu</x:v>
      </x:c>
      <x:c r="J2446" t="str">
        <x:v>https://github.com/darknigthmare/deadwall-last-enclosure/blob/e28f46223e73105ab2c5d83f3d50b99b58ef53e6/codex-3000/compositions/public/DW-2441.md</x:v>
      </x:c>
      <x:c r="K2446" t="str">
        <x:v>Source min 54,23 m ; max 54,23 m ; modèle 54 × 23 m ; niveaux 0, 1. Détails dans catalogue-existant.json.</x:v>
      </x:c>
    </x:row>
    <x:row r="2447">
      <x:c r="A2447" t="str">
        <x:v>DW-2442</x:v>
      </x:c>
      <x:c r="B2447" t="str">
        <x:v>DW-0721</x:v>
      </x:c>
      <x:c r="C2447" t="str">
        <x:v>Composition héritée</x:v>
      </x:c>
      <x:c r="D2447" t="str">
        <x:v>public</x:v>
      </x:c>
      <x:c r="E2447" t="str">
        <x:v>Poste de police — variante 04 — Village et bourg / service déplacé à l’arrière</x:v>
      </x:c>
      <x:c r="F2447" t="n">
        <x:v>8</x:v>
      </x:c>
      <x:c r="G2447" t="n">
        <x:v>5</x:v>
      </x:c>
      <x:c r="H2447" t="n">
        <x:v>0</x:v>
      </x:c>
      <x:c r="I2447" t="str">
        <x:v>À qualifier par lieu</x:v>
      </x:c>
      <x:c r="J2447" t="str">
        <x:v>https://github.com/darknigthmare/deadwall-last-enclosure/blob/e28f46223e73105ab2c5d83f3d50b99b58ef53e6/codex-3000/compositions/public/DW-2442.md</x:v>
      </x:c>
      <x:c r="K2447" t="str">
        <x:v>Source min 54,23 m ; max 54,23 m ; modèle 54 × 23 m ; niveaux 0, 1. Détails dans catalogue-existant.json.</x:v>
      </x:c>
    </x:row>
    <x:row r="2448">
      <x:c r="A2448" t="str">
        <x:v>DW-2443</x:v>
      </x:c>
      <x:c r="B2448" t="str">
        <x:v>DW-0722</x:v>
      </x:c>
      <x:c r="C2448" t="str">
        <x:v>Composition héritée</x:v>
      </x:c>
      <x:c r="D2448" t="str">
        <x:v>public</x:v>
      </x:c>
      <x:c r="E2448" t="str">
        <x:v>Bibliothèque — variante 04 — Ville moyenne / arrêt de maintenance</x:v>
      </x:c>
      <x:c r="F2448" t="n">
        <x:v>8</x:v>
      </x:c>
      <x:c r="G2448" t="n">
        <x:v>5</x:v>
      </x:c>
      <x:c r="H2448" t="n">
        <x:v>0</x:v>
      </x:c>
      <x:c r="I2448" t="str">
        <x:v>À qualifier par lieu</x:v>
      </x:c>
      <x:c r="J2448" t="str">
        <x:v>https://github.com/darknigthmare/deadwall-last-enclosure/blob/e28f46223e73105ab2c5d83f3d50b99b58ef53e6/codex-3000/compositions/public/DW-2443.md</x:v>
      </x:c>
      <x:c r="K2448" t="str">
        <x:v>Source min 65,40 m ; max 65,40 m ; modèle 65 × 40 m ; niveaux 0. Détails dans catalogue-existant.json.</x:v>
      </x:c>
    </x:row>
    <x:row r="2449">
      <x:c r="A2449" t="str">
        <x:v>DW-2444</x:v>
      </x:c>
      <x:c r="B2449" t="str">
        <x:v>DW-0722</x:v>
      </x:c>
      <x:c r="C2449" t="str">
        <x:v>Composition héritée</x:v>
      </x:c>
      <x:c r="D2449" t="str">
        <x:v>public</x:v>
      </x:c>
      <x:c r="E2449" t="str">
        <x:v>Bibliothèque — variante 04 — Centre d’évacuation abandonné / reprise progressive de la végétation</x:v>
      </x:c>
      <x:c r="F2449" t="n">
        <x:v>8</x:v>
      </x:c>
      <x:c r="G2449" t="n">
        <x:v>5</x:v>
      </x:c>
      <x:c r="H2449" t="n">
        <x:v>0</x:v>
      </x:c>
      <x:c r="I2449" t="str">
        <x:v>À qualifier par lieu</x:v>
      </x:c>
      <x:c r="J2449" t="str">
        <x:v>https://github.com/darknigthmare/deadwall-last-enclosure/blob/e28f46223e73105ab2c5d83f3d50b99b58ef53e6/codex-3000/compositions/public/DW-2444.md</x:v>
      </x:c>
      <x:c r="K2449" t="str">
        <x:v>Source min 65,40 m ; max 65,40 m ; modèle 65 × 40 m ; niveaux 0. Détails dans catalogue-existant.json.</x:v>
      </x:c>
    </x:row>
    <x:row r="2450">
      <x:c r="A2450" t="str">
        <x:v>DW-2445</x:v>
      </x:c>
      <x:c r="B2450" t="str">
        <x:v>DW-0723</x:v>
      </x:c>
      <x:c r="C2450" t="str">
        <x:v>Composition héritée</x:v>
      </x:c>
      <x:c r="D2450" t="str">
        <x:v>public</x:v>
      </x:c>
      <x:c r="E2450" t="str">
        <x:v>Salle des fêtes — variante 04 — Village et bourg / première récupération passée</x:v>
      </x:c>
      <x:c r="F2450" t="n">
        <x:v>8</x:v>
      </x:c>
      <x:c r="G2450" t="n">
        <x:v>5</x:v>
      </x:c>
      <x:c r="H2450" t="n">
        <x:v>0</x:v>
      </x:c>
      <x:c r="I2450" t="str">
        <x:v>À qualifier par lieu</x:v>
      </x:c>
      <x:c r="J2450" t="str">
        <x:v>https://github.com/darknigthmare/deadwall-last-enclosure/blob/e28f46223e73105ab2c5d83f3d50b99b58ef53e6/codex-3000/compositions/public/DW-2445.md</x:v>
      </x:c>
      <x:c r="K2450" t="str">
        <x:v>Source min 76,57 m ; max 76,57 m ; modèle 76 × 57 m ; niveaux 0. Détails dans catalogue-existant.json.</x:v>
      </x:c>
    </x:row>
    <x:row r="2451">
      <x:c r="A2451" t="str">
        <x:v>DW-2446</x:v>
      </x:c>
      <x:c r="B2451" t="str">
        <x:v>DW-0723</x:v>
      </x:c>
      <x:c r="C2451" t="str">
        <x:v>Composition héritée</x:v>
      </x:c>
      <x:c r="D2451" t="str">
        <x:v>public</x:v>
      </x:c>
      <x:c r="E2451" t="str">
        <x:v>Salle des fêtes — variante 04 — École, mairie et bâtiments civiques / relais temporaire envisagé</x:v>
      </x:c>
      <x:c r="F2451" t="n">
        <x:v>8</x:v>
      </x:c>
      <x:c r="G2451" t="n">
        <x:v>5</x:v>
      </x:c>
      <x:c r="H2451" t="n">
        <x:v>0</x:v>
      </x:c>
      <x:c r="I2451" t="str">
        <x:v>À qualifier par lieu</x:v>
      </x:c>
      <x:c r="J2451" t="str">
        <x:v>https://github.com/darknigthmare/deadwall-last-enclosure/blob/e28f46223e73105ab2c5d83f3d50b99b58ef53e6/codex-3000/compositions/public/DW-2446.md</x:v>
      </x:c>
      <x:c r="K2451" t="str">
        <x:v>Source min 76,57 m ; max 76,57 m ; modèle 76 × 57 m ; niveaux 0. Détails dans catalogue-existant.json.</x:v>
      </x:c>
    </x:row>
    <x:row r="2452">
      <x:c r="A2452" t="str">
        <x:v>DW-2447</x:v>
      </x:c>
      <x:c r="B2452" t="str">
        <x:v>DW-0724</x:v>
      </x:c>
      <x:c r="C2452" t="str">
        <x:v>Composition héritée</x:v>
      </x:c>
      <x:c r="D2452" t="str">
        <x:v>public</x:v>
      </x:c>
      <x:c r="E2452" t="str">
        <x:v>Église et presbytère — variante 04 — Centre d’évacuation abandonné / service déplacé à l’arrière</x:v>
      </x:c>
      <x:c r="F2452" t="n">
        <x:v>8</x:v>
      </x:c>
      <x:c r="G2452" t="n">
        <x:v>5</x:v>
      </x:c>
      <x:c r="H2452" t="n">
        <x:v>0</x:v>
      </x:c>
      <x:c r="I2452" t="str">
        <x:v>À qualifier par lieu</x:v>
      </x:c>
      <x:c r="J2452" t="str">
        <x:v>https://github.com/darknigthmare/deadwall-last-enclosure/blob/e28f46223e73105ab2c5d83f3d50b99b58ef53e6/codex-3000/compositions/public/DW-2447.md</x:v>
      </x:c>
      <x:c r="K2452" t="str">
        <x:v>Source min 15,20 m ; max 15,20 m ; modèle 26 × 22 m ; niveaux 0. Détails dans catalogue-existant.json.</x:v>
      </x:c>
    </x:row>
    <x:row r="2453">
      <x:c r="A2453" t="str">
        <x:v>DW-2448</x:v>
      </x:c>
      <x:c r="B2453" t="str">
        <x:v>DW-0724</x:v>
      </x:c>
      <x:c r="C2453" t="str">
        <x:v>Composition héritée</x:v>
      </x:c>
      <x:c r="D2453" t="str">
        <x:v>public</x:v>
      </x:c>
      <x:c r="E2453" t="str">
        <x:v>Église et presbytère — variante 04 — Ville moyenne / réseau principal coupé</x:v>
      </x:c>
      <x:c r="F2453" t="n">
        <x:v>8</x:v>
      </x:c>
      <x:c r="G2453" t="n">
        <x:v>5</x:v>
      </x:c>
      <x:c r="H2453" t="n">
        <x:v>0</x:v>
      </x:c>
      <x:c r="I2453" t="str">
        <x:v>À qualifier par lieu</x:v>
      </x:c>
      <x:c r="J2453" t="str">
        <x:v>https://github.com/darknigthmare/deadwall-last-enclosure/blob/e28f46223e73105ab2c5d83f3d50b99b58ef53e6/codex-3000/compositions/public/DW-2448.md</x:v>
      </x:c>
      <x:c r="K2453" t="str">
        <x:v>Source min 15,20 m ; max 15,20 m ; modèle 26 × 22 m ; niveaux 0. Détails dans catalogue-existant.json.</x:v>
      </x:c>
    </x:row>
    <x:row r="2454">
      <x:c r="A2454" t="str">
        <x:v>DW-2449</x:v>
      </x:c>
      <x:c r="B2454" t="str">
        <x:v>DW-0725</x:v>
      </x:c>
      <x:c r="C2454" t="str">
        <x:v>Composition héritée</x:v>
      </x:c>
      <x:c r="D2454" t="str">
        <x:v>rural</x:v>
      </x:c>
      <x:c r="E2454" t="str">
        <x:v>Hameau agricole — variante 04 — Ferme, verger et pâtures / reprise progressive de la végétation</x:v>
      </x:c>
      <x:c r="F2454" t="n">
        <x:v>8</x:v>
      </x:c>
      <x:c r="G2454" t="n">
        <x:v>6</x:v>
      </x:c>
      <x:c r="H2454" t="n">
        <x:v>0</x:v>
      </x:c>
      <x:c r="I2454" t="str">
        <x:v>À qualifier par lieu</x:v>
      </x:c>
      <x:c r="J2454" t="str">
        <x:v>https://github.com/darknigthmare/deadwall-last-enclosure/blob/e28f46223e73105ab2c5d83f3d50b99b58ef53e6/codex-3000/compositions/rural/DW-2449.md</x:v>
      </x:c>
      <x:c r="K2454" t="str">
        <x:v>Source min 26,37 m ; max 26,37 m ; modèle 28 × 37 m ; niveaux 0. Détails dans catalogue-existant.json.</x:v>
      </x:c>
    </x:row>
    <x:row r="2455">
      <x:c r="A2455" t="str">
        <x:v>DW-2450</x:v>
      </x:c>
      <x:c r="B2455" t="str">
        <x:v>DW-0725</x:v>
      </x:c>
      <x:c r="C2455" t="str">
        <x:v>Composition héritée</x:v>
      </x:c>
      <x:c r="D2455" t="str">
        <x:v>rural</x:v>
      </x:c>
      <x:c r="E2455" t="str">
        <x:v>Hameau agricole — variante 04 — Petit bois et lisière / repli organisé interrompu</x:v>
      </x:c>
      <x:c r="F2455" t="n">
        <x:v>8</x:v>
      </x:c>
      <x:c r="G2455" t="n">
        <x:v>6</x:v>
      </x:c>
      <x:c r="H2455" t="n">
        <x:v>0</x:v>
      </x:c>
      <x:c r="I2455" t="str">
        <x:v>À qualifier par lieu</x:v>
      </x:c>
      <x:c r="J2455" t="str">
        <x:v>https://github.com/darknigthmare/deadwall-last-enclosure/blob/e28f46223e73105ab2c5d83f3d50b99b58ef53e6/codex-3000/compositions/rural/DW-2450.md</x:v>
      </x:c>
      <x:c r="K2455" t="str">
        <x:v>Source min 26,37 m ; max 26,37 m ; modèle 28 × 37 m ; niveaux 0. Détails dans catalogue-existant.json.</x:v>
      </x:c>
    </x:row>
    <x:row r="2456">
      <x:c r="A2456" t="str">
        <x:v>DW-2451</x:v>
      </x:c>
      <x:c r="B2456" t="str">
        <x:v>DW-0726</x:v>
      </x:c>
      <x:c r="C2456" t="str">
        <x:v>Composition héritée</x:v>
      </x:c>
      <x:c r="D2456" t="str">
        <x:v>rural</x:v>
      </x:c>
      <x:c r="E2456" t="str">
        <x:v>Cabane forestière — variante 04 — Prairie et friche ouverte / relais temporaire envisagé</x:v>
      </x:c>
      <x:c r="F2456" t="n">
        <x:v>8</x:v>
      </x:c>
      <x:c r="G2456" t="n">
        <x:v>4</x:v>
      </x:c>
      <x:c r="H2456" t="n">
        <x:v>0</x:v>
      </x:c>
      <x:c r="I2456" t="str">
        <x:v>À qualifier par lieu</x:v>
      </x:c>
      <x:c r="J2456" t="str">
        <x:v>https://github.com/darknigthmare/deadwall-last-enclosure/blob/e28f46223e73105ab2c5d83f3d50b99b58ef53e6/codex-3000/compositions/rural/DW-2451.md</x:v>
      </x:c>
      <x:c r="K2456" t="str">
        <x:v>Source min 37,54 m ; max 37,54 m ; modèle 37 × 54 m ; niveaux 0. Détails dans catalogue-existant.json.</x:v>
      </x:c>
    </x:row>
    <x:row r="2457">
      <x:c r="A2457" t="str">
        <x:v>DW-2452</x:v>
      </x:c>
      <x:c r="B2457" t="str">
        <x:v>DW-0726</x:v>
      </x:c>
      <x:c r="C2457" t="str">
        <x:v>Composition héritée</x:v>
      </x:c>
      <x:c r="D2457" t="str">
        <x:v>rural</x:v>
      </x:c>
      <x:c r="E2457" t="str">
        <x:v>Cabane forestière — variante 04 — Hameau / évacuation interrompue</x:v>
      </x:c>
      <x:c r="F2457" t="n">
        <x:v>8</x:v>
      </x:c>
      <x:c r="G2457" t="n">
        <x:v>4</x:v>
      </x:c>
      <x:c r="H2457" t="n">
        <x:v>0</x:v>
      </x:c>
      <x:c r="I2457" t="str">
        <x:v>À qualifier par lieu</x:v>
      </x:c>
      <x:c r="J2457" t="str">
        <x:v>https://github.com/darknigthmare/deadwall-last-enclosure/blob/e28f46223e73105ab2c5d83f3d50b99b58ef53e6/codex-3000/compositions/rural/DW-2452.md</x:v>
      </x:c>
      <x:c r="K2457" t="str">
        <x:v>Source min 37,54 m ; max 37,54 m ; modèle 37 × 54 m ; niveaux 0. Détails dans catalogue-existant.json.</x:v>
      </x:c>
    </x:row>
    <x:row r="2458">
      <x:c r="A2458" t="str">
        <x:v>DW-2453</x:v>
      </x:c>
      <x:c r="B2458" t="str">
        <x:v>DW-0727</x:v>
      </x:c>
      <x:c r="C2458" t="str">
        <x:v>Composition héritée</x:v>
      </x:c>
      <x:c r="D2458" t="str">
        <x:v>rural</x:v>
      </x:c>
      <x:c r="E2458" t="str">
        <x:v>Dépôt forestier — variante 04 — Petit bois et lisière / réseau principal coupé</x:v>
      </x:c>
      <x:c r="F2458" t="n">
        <x:v>8</x:v>
      </x:c>
      <x:c r="G2458" t="n">
        <x:v>5</x:v>
      </x:c>
      <x:c r="H2458" t="n">
        <x:v>0</x:v>
      </x:c>
      <x:c r="I2458" t="str">
        <x:v>À qualifier par lieu</x:v>
      </x:c>
      <x:c r="J2458" t="str">
        <x:v>https://github.com/darknigthmare/deadwall-last-enclosure/blob/e28f46223e73105ab2c5d83f3d50b99b58ef53e6/codex-3000/compositions/rural/DW-2453.md</x:v>
      </x:c>
      <x:c r="K2458" t="str">
        <x:v>Source min 48,17 m ; max 48,17 m ; modèle 48 × 22 m ; niveaux 0. Détails dans catalogue-existant.json.</x:v>
      </x:c>
    </x:row>
    <x:row r="2459">
      <x:c r="A2459" t="str">
        <x:v>DW-2454</x:v>
      </x:c>
      <x:c r="B2459" t="str">
        <x:v>DW-0727</x:v>
      </x:c>
      <x:c r="C2459" t="str">
        <x:v>Composition héritée</x:v>
      </x:c>
      <x:c r="D2459" t="str">
        <x:v>rural</x:v>
      </x:c>
      <x:c r="E2459" t="str">
        <x:v>Dépôt forestier — variante 04 — Ferme, verger et pâtures / arrêt de maintenance</x:v>
      </x:c>
      <x:c r="F2459" t="n">
        <x:v>8</x:v>
      </x:c>
      <x:c r="G2459" t="n">
        <x:v>5</x:v>
      </x:c>
      <x:c r="H2459" t="n">
        <x:v>0</x:v>
      </x:c>
      <x:c r="I2459" t="str">
        <x:v>À qualifier par lieu</x:v>
      </x:c>
      <x:c r="J2459" t="str">
        <x:v>https://github.com/darknigthmare/deadwall-last-enclosure/blob/e28f46223e73105ab2c5d83f3d50b99b58ef53e6/codex-3000/compositions/rural/DW-2454.md</x:v>
      </x:c>
      <x:c r="K2459" t="str">
        <x:v>Source min 48,17 m ; max 48,17 m ; modèle 48 × 22 m ; niveaux 0. Détails dans catalogue-existant.json.</x:v>
      </x:c>
    </x:row>
    <x:row r="2460">
      <x:c r="A2460" t="str">
        <x:v>DW-2455</x:v>
      </x:c>
      <x:c r="B2460" t="str">
        <x:v>DW-0728</x:v>
      </x:c>
      <x:c r="C2460" t="str">
        <x:v>Composition héritée</x:v>
      </x:c>
      <x:c r="D2460" t="str">
        <x:v>rural</x:v>
      </x:c>
      <x:c r="E2460" t="str">
        <x:v>Ferme céréalière — variante 04 — Hameau / repli organisé interrompu</x:v>
      </x:c>
      <x:c r="F2460" t="n">
        <x:v>8</x:v>
      </x:c>
      <x:c r="G2460" t="n">
        <x:v>5</x:v>
      </x:c>
      <x:c r="H2460" t="n">
        <x:v>0</x:v>
      </x:c>
      <x:c r="I2460" t="str">
        <x:v>À qualifier par lieu</x:v>
      </x:c>
      <x:c r="J2460" t="str">
        <x:v>https://github.com/darknigthmare/deadwall-last-enclosure/blob/e28f46223e73105ab2c5d83f3d50b99b58ef53e6/codex-3000/compositions/rural/DW-2455.md</x:v>
      </x:c>
      <x:c r="K2460" t="str">
        <x:v>Source min 59,34 m ; max 59,34 m ; modèle 59 × 34 m ; niveaux 0. Détails dans catalogue-existant.json.</x:v>
      </x:c>
    </x:row>
    <x:row r="2461">
      <x:c r="A2461" t="str">
        <x:v>DW-2456</x:v>
      </x:c>
      <x:c r="B2461" t="str">
        <x:v>DW-0728</x:v>
      </x:c>
      <x:c r="C2461" t="str">
        <x:v>Composition héritée</x:v>
      </x:c>
      <x:c r="D2461" t="str">
        <x:v>rural</x:v>
      </x:c>
      <x:c r="E2461" t="str">
        <x:v>Ferme céréalière — variante 04 — Prairie et friche ouverte / première récupération passée</x:v>
      </x:c>
      <x:c r="F2461" t="n">
        <x:v>8</x:v>
      </x:c>
      <x:c r="G2461" t="n">
        <x:v>5</x:v>
      </x:c>
      <x:c r="H2461" t="n">
        <x:v>0</x:v>
      </x:c>
      <x:c r="I2461" t="str">
        <x:v>À qualifier par lieu</x:v>
      </x:c>
      <x:c r="J2461" t="str">
        <x:v>https://github.com/darknigthmare/deadwall-last-enclosure/blob/e28f46223e73105ab2c5d83f3d50b99b58ef53e6/codex-3000/compositions/rural/DW-2456.md</x:v>
      </x:c>
      <x:c r="K2461" t="str">
        <x:v>Source min 59,34 m ; max 59,34 m ; modèle 59 × 34 m ; niveaux 0. Détails dans catalogue-existant.json.</x:v>
      </x:c>
    </x:row>
    <x:row r="2462">
      <x:c r="A2462" t="str">
        <x:v>DW-2457</x:v>
      </x:c>
      <x:c r="B2462" t="str">
        <x:v>DW-0729</x:v>
      </x:c>
      <x:c r="C2462" t="str">
        <x:v>Composition héritée</x:v>
      </x:c>
      <x:c r="D2462" t="str">
        <x:v>rural</x:v>
      </x:c>
      <x:c r="E2462" t="str">
        <x:v>Ferme d'élevage — variante 04 — Ferme, verger et pâtures / évacuation interrompue</x:v>
      </x:c>
      <x:c r="F2462" t="n">
        <x:v>8</x:v>
      </x:c>
      <x:c r="G2462" t="n">
        <x:v>5</x:v>
      </x:c>
      <x:c r="H2462" t="n">
        <x:v>0</x:v>
      </x:c>
      <x:c r="I2462" t="str">
        <x:v>À qualifier par lieu</x:v>
      </x:c>
      <x:c r="J2462" t="str">
        <x:v>https://github.com/darknigthmare/deadwall-last-enclosure/blob/e28f46223e73105ab2c5d83f3d50b99b58ef53e6/codex-3000/compositions/rural/DW-2457.md</x:v>
      </x:c>
      <x:c r="K2462" t="str">
        <x:v>Source min 70,51 m ; max 70,51 m ; modèle 70 × 51 m ; niveaux 0. Détails dans catalogue-existant.json.</x:v>
      </x:c>
    </x:row>
    <x:row r="2463">
      <x:c r="A2463" t="str">
        <x:v>DW-2458</x:v>
      </x:c>
      <x:c r="B2463" t="str">
        <x:v>DW-0729</x:v>
      </x:c>
      <x:c r="C2463" t="str">
        <x:v>Composition héritée</x:v>
      </x:c>
      <x:c r="D2463" t="str">
        <x:v>rural</x:v>
      </x:c>
      <x:c r="E2463" t="str">
        <x:v>Ferme d'élevage — variante 04 — Petit bois et lisière / service déplacé à l’arrière</x:v>
      </x:c>
      <x:c r="F2463" t="n">
        <x:v>8</x:v>
      </x:c>
      <x:c r="G2463" t="n">
        <x:v>5</x:v>
      </x:c>
      <x:c r="H2463" t="n">
        <x:v>0</x:v>
      </x:c>
      <x:c r="I2463" t="str">
        <x:v>À qualifier par lieu</x:v>
      </x:c>
      <x:c r="J2463" t="str">
        <x:v>https://github.com/darknigthmare/deadwall-last-enclosure/blob/e28f46223e73105ab2c5d83f3d50b99b58ef53e6/codex-3000/compositions/rural/DW-2458.md</x:v>
      </x:c>
      <x:c r="K2463" t="str">
        <x:v>Source min 70,51 m ; max 70,51 m ; modèle 70 × 51 m ; niveaux 0. Détails dans catalogue-existant.json.</x:v>
      </x:c>
    </x:row>
    <x:row r="2464">
      <x:c r="A2464" t="str">
        <x:v>DW-2459</x:v>
      </x:c>
      <x:c r="B2464" t="str">
        <x:v>DW-0730</x:v>
      </x:c>
      <x:c r="C2464" t="str">
        <x:v>Composition héritée</x:v>
      </x:c>
      <x:c r="D2464" t="str">
        <x:v>rural</x:v>
      </x:c>
      <x:c r="E2464" t="str">
        <x:v>Relais de chasse — variante 04 — Prairie et friche ouverte / arrêt de maintenance</x:v>
      </x:c>
      <x:c r="F2464" t="n">
        <x:v>8</x:v>
      </x:c>
      <x:c r="G2464" t="n">
        <x:v>4</x:v>
      </x:c>
      <x:c r="H2464" t="n">
        <x:v>0</x:v>
      </x:c>
      <x:c r="I2464" t="str">
        <x:v>À qualifier par lieu</x:v>
      </x:c>
      <x:c r="J2464" t="str">
        <x:v>https://github.com/darknigthmare/deadwall-last-enclosure/blob/e28f46223e73105ab2c5d83f3d50b99b58ef53e6/codex-3000/compositions/rural/DW-2459.md</x:v>
      </x:c>
      <x:c r="K2464" t="str">
        <x:v>Source min 81,14 m ; max 81,14 m ; modèle 78 × 18 m ; niveaux 0. Détails dans catalogue-existant.json.</x:v>
      </x:c>
    </x:row>
    <x:row r="2465">
      <x:c r="A2465" t="str">
        <x:v>DW-2460</x:v>
      </x:c>
      <x:c r="B2465" t="str">
        <x:v>DW-0730</x:v>
      </x:c>
      <x:c r="C2465" t="str">
        <x:v>Composition héritée</x:v>
      </x:c>
      <x:c r="D2465" t="str">
        <x:v>rural</x:v>
      </x:c>
      <x:c r="E2465" t="str">
        <x:v>Relais de chasse — variante 04 — Hameau / reprise progressive de la végétation</x:v>
      </x:c>
      <x:c r="F2465" t="n">
        <x:v>8</x:v>
      </x:c>
      <x:c r="G2465" t="n">
        <x:v>4</x:v>
      </x:c>
      <x:c r="H2465" t="n">
        <x:v>0</x:v>
      </x:c>
      <x:c r="I2465" t="str">
        <x:v>À qualifier par lieu</x:v>
      </x:c>
      <x:c r="J2465" t="str">
        <x:v>https://github.com/darknigthmare/deadwall-last-enclosure/blob/e28f46223e73105ab2c5d83f3d50b99b58ef53e6/codex-3000/compositions/rural/DW-2460.md</x:v>
      </x:c>
      <x:c r="K2465" t="str">
        <x:v>Source min 81,14 m ; max 81,14 m ; modèle 78 × 18 m ; niveaux 0. Détails dans catalogue-existant.json.</x:v>
      </x:c>
    </x:row>
    <x:row r="2466">
      <x:c r="A2466" t="str">
        <x:v>DW-2461</x:v>
      </x:c>
      <x:c r="B2466" t="str">
        <x:v>DW-0731</x:v>
      </x:c>
      <x:c r="C2466" t="str">
        <x:v>Composition héritée</x:v>
      </x:c>
      <x:c r="D2466" t="str">
        <x:v>rural</x:v>
      </x:c>
      <x:c r="E2466" t="str">
        <x:v>Moulin rural — variante 04 — Petit bois et lisière / première récupération passée</x:v>
      </x:c>
      <x:c r="F2466" t="n">
        <x:v>8</x:v>
      </x:c>
      <x:c r="G2466" t="n">
        <x:v>4</x:v>
      </x:c>
      <x:c r="H2466" t="n">
        <x:v>0</x:v>
      </x:c>
      <x:c r="I2466" t="str">
        <x:v>À qualifier par lieu</x:v>
      </x:c>
      <x:c r="J2466" t="str">
        <x:v>https://github.com/darknigthmare/deadwall-last-enclosure/blob/e28f46223e73105ab2c5d83f3d50b99b58ef53e6/codex-3000/compositions/rural/DW-2461.md</x:v>
      </x:c>
      <x:c r="K2466" t="str">
        <x:v>Source min 20,31 m ; max 20,31 m ; modèle 25 × 31 m ; niveaux 0. Détails dans catalogue-existant.json.</x:v>
      </x:c>
    </x:row>
    <x:row r="2467">
      <x:c r="A2467" t="str">
        <x:v>DW-2462</x:v>
      </x:c>
      <x:c r="B2467" t="str">
        <x:v>DW-0731</x:v>
      </x:c>
      <x:c r="C2467" t="str">
        <x:v>Composition héritée</x:v>
      </x:c>
      <x:c r="D2467" t="str">
        <x:v>rural</x:v>
      </x:c>
      <x:c r="E2467" t="str">
        <x:v>Moulin rural — variante 04 — Ferme, verger et pâtures / relais temporaire envisagé</x:v>
      </x:c>
      <x:c r="F2467" t="n">
        <x:v>8</x:v>
      </x:c>
      <x:c r="G2467" t="n">
        <x:v>4</x:v>
      </x:c>
      <x:c r="H2467" t="n">
        <x:v>0</x:v>
      </x:c>
      <x:c r="I2467" t="str">
        <x:v>À qualifier par lieu</x:v>
      </x:c>
      <x:c r="J2467" t="str">
        <x:v>https://github.com/darknigthmare/deadwall-last-enclosure/blob/e28f46223e73105ab2c5d83f3d50b99b58ef53e6/codex-3000/compositions/rural/DW-2462.md</x:v>
      </x:c>
      <x:c r="K2467" t="str">
        <x:v>Source min 20,31 m ; max 20,31 m ; modèle 25 × 31 m ; niveaux 0. Détails dans catalogue-existant.json.</x:v>
      </x:c>
    </x:row>
    <x:row r="2468">
      <x:c r="A2468" t="str">
        <x:v>DW-2463</x:v>
      </x:c>
      <x:c r="B2468" t="str">
        <x:v>DW-0732</x:v>
      </x:c>
      <x:c r="C2468" t="str">
        <x:v>Composition héritée</x:v>
      </x:c>
      <x:c r="D2468" t="str">
        <x:v>rural</x:v>
      </x:c>
      <x:c r="E2468" t="str">
        <x:v>Serres maraîchères — variante 04 — Hameau / service déplacé à l’arrière</x:v>
      </x:c>
      <x:c r="F2468" t="n">
        <x:v>8</x:v>
      </x:c>
      <x:c r="G2468" t="n">
        <x:v>5</x:v>
      </x:c>
      <x:c r="H2468" t="n">
        <x:v>0</x:v>
      </x:c>
      <x:c r="I2468" t="str">
        <x:v>À qualifier par lieu</x:v>
      </x:c>
      <x:c r="J2468" t="str">
        <x:v>https://github.com/darknigthmare/deadwall-last-enclosure/blob/e28f46223e73105ab2c5d83f3d50b99b58ef53e6/codex-3000/compositions/rural/DW-2463.md</x:v>
      </x:c>
      <x:c r="K2468" t="str">
        <x:v>Source min 31,48 m ; max 31,48 m ; modèle 31 × 48 m ; niveaux 0. Détails dans catalogue-existant.json.</x:v>
      </x:c>
    </x:row>
    <x:row r="2469">
      <x:c r="A2469" t="str">
        <x:v>DW-2464</x:v>
      </x:c>
      <x:c r="B2469" t="str">
        <x:v>DW-0732</x:v>
      </x:c>
      <x:c r="C2469" t="str">
        <x:v>Composition héritée</x:v>
      </x:c>
      <x:c r="D2469" t="str">
        <x:v>rural</x:v>
      </x:c>
      <x:c r="E2469" t="str">
        <x:v>Serres maraîchères — variante 04 — Prairie et friche ouverte / réseau principal coupé</x:v>
      </x:c>
      <x:c r="F2469" t="n">
        <x:v>8</x:v>
      </x:c>
      <x:c r="G2469" t="n">
        <x:v>5</x:v>
      </x:c>
      <x:c r="H2469" t="n">
        <x:v>0</x:v>
      </x:c>
      <x:c r="I2469" t="str">
        <x:v>À qualifier par lieu</x:v>
      </x:c>
      <x:c r="J2469" t="str">
        <x:v>https://github.com/darknigthmare/deadwall-last-enclosure/blob/e28f46223e73105ab2c5d83f3d50b99b58ef53e6/codex-3000/compositions/rural/DW-2464.md</x:v>
      </x:c>
      <x:c r="K2469" t="str">
        <x:v>Source min 31,48 m ; max 31,48 m ; modèle 31 × 48 m ; niveaux 0. Détails dans catalogue-existant.json.</x:v>
      </x:c>
    </x:row>
    <x:row r="2470">
      <x:c r="A2470" t="str">
        <x:v>DW-2465</x:v>
      </x:c>
      <x:c r="B2470" t="str">
        <x:v>DW-0733</x:v>
      </x:c>
      <x:c r="C2470" t="str">
        <x:v>Composition héritée</x:v>
      </x:c>
      <x:c r="D2470" t="str">
        <x:v>militaire</x:v>
      </x:c>
      <x:c r="E2470" t="str">
        <x:v>Bunker de défense civile — variante 04 — Grand camp allié / reprise progressive de la végétation</x:v>
      </x:c>
      <x:c r="F2470" t="n">
        <x:v>10</x:v>
      </x:c>
      <x:c r="G2470" t="n">
        <x:v>6</x:v>
      </x:c>
      <x:c r="H2470" t="n">
        <x:v>0</x:v>
      </x:c>
      <x:c r="I2470" t="str">
        <x:v>À qualifier par lieu</x:v>
      </x:c>
      <x:c r="J2470" t="str">
        <x:v>https://github.com/darknigthmare/deadwall-last-enclosure/blob/e28f46223e73105ab2c5d83f3d50b99b58ef53e6/codex-3000/compositions/militaire/DW-2465.md</x:v>
      </x:c>
      <x:c r="K2470" t="str">
        <x:v>Source min 42,11 m ; max 42,11 m ; modèle 42 × 22 m ; niveaux 0, 1. Détails dans catalogue-existant.json.</x:v>
      </x:c>
    </x:row>
    <x:row r="2471">
      <x:c r="A2471" t="str">
        <x:v>DW-2466</x:v>
      </x:c>
      <x:c r="B2471" t="str">
        <x:v>DW-0733</x:v>
      </x:c>
      <x:c r="C2471" t="str">
        <x:v>Composition héritée</x:v>
      </x:c>
      <x:c r="D2471" t="str">
        <x:v>militaire</x:v>
      </x:c>
      <x:c r="E2471" t="str">
        <x:v>Bunker de défense civile — variante 04 — Camp de fortune / repli organisé interrompu</x:v>
      </x:c>
      <x:c r="F2471" t="n">
        <x:v>8</x:v>
      </x:c>
      <x:c r="G2471" t="n">
        <x:v>6</x:v>
      </x:c>
      <x:c r="H2471" t="n">
        <x:v>0</x:v>
      </x:c>
      <x:c r="I2471" t="str">
        <x:v>À qualifier par lieu</x:v>
      </x:c>
      <x:c r="J2471" t="str">
        <x:v>https://github.com/darknigthmare/deadwall-last-enclosure/blob/e28f46223e73105ab2c5d83f3d50b99b58ef53e6/codex-3000/compositions/militaire/DW-2466.md</x:v>
      </x:c>
      <x:c r="K2471" t="str">
        <x:v>Source min 42,11 m ; max 42,11 m ; modèle 42 × 22 m ; niveaux 0, 1. Détails dans catalogue-existant.json.</x:v>
      </x:c>
    </x:row>
    <x:row r="2472">
      <x:c r="A2472" t="str">
        <x:v>DW-2467</x:v>
      </x:c>
      <x:c r="B2472" t="str">
        <x:v>DW-0734</x:v>
      </x:c>
      <x:c r="C2472" t="str">
        <x:v>Composition héritée</x:v>
      </x:c>
      <x:c r="D2472" t="str">
        <x:v>militaire</x:v>
      </x:c>
      <x:c r="E2472" t="str">
        <x:v>Dépôt militaire — variante 04 — Camp hostile / relais temporaire envisagé</x:v>
      </x:c>
      <x:c r="F2472" t="n">
        <x:v>10</x:v>
      </x:c>
      <x:c r="G2472" t="n">
        <x:v>5</x:v>
      </x:c>
      <x:c r="H2472" t="n">
        <x:v>0</x:v>
      </x:c>
      <x:c r="I2472" t="str">
        <x:v>À qualifier par lieu</x:v>
      </x:c>
      <x:c r="J2472" t="str">
        <x:v>https://github.com/darknigthmare/deadwall-last-enclosure/blob/e28f46223e73105ab2c5d83f3d50b99b58ef53e6/codex-3000/compositions/militaire/DW-2467.md</x:v>
      </x:c>
      <x:c r="K2472" t="str">
        <x:v>Source min 53,28 m ; max 53,28 m ; modèle 53 × 28 m ; niveaux 0. Détails dans catalogue-existant.json.</x:v>
      </x:c>
    </x:row>
    <x:row r="2473">
      <x:c r="A2473" t="str">
        <x:v>DW-2468</x:v>
      </x:c>
      <x:c r="B2473" t="str">
        <x:v>DW-0734</x:v>
      </x:c>
      <x:c r="C2473" t="str">
        <x:v>Composition héritée</x:v>
      </x:c>
      <x:c r="D2473" t="str">
        <x:v>militaire</x:v>
      </x:c>
      <x:c r="E2473" t="str">
        <x:v>Dépôt militaire — variante 04 — Centre d’évacuation abandonné / évacuation interrompue</x:v>
      </x:c>
      <x:c r="F2473" t="n">
        <x:v>8</x:v>
      </x:c>
      <x:c r="G2473" t="n">
        <x:v>5</x:v>
      </x:c>
      <x:c r="H2473" t="n">
        <x:v>0</x:v>
      </x:c>
      <x:c r="I2473" t="str">
        <x:v>À qualifier par lieu</x:v>
      </x:c>
      <x:c r="J2473" t="str">
        <x:v>https://github.com/darknigthmare/deadwall-last-enclosure/blob/e28f46223e73105ab2c5d83f3d50b99b58ef53e6/codex-3000/compositions/militaire/DW-2468.md</x:v>
      </x:c>
      <x:c r="K2473" t="str">
        <x:v>Source min 53,28 m ; max 53,28 m ; modèle 53 × 28 m ; niveaux 0. Détails dans catalogue-existant.json.</x:v>
      </x:c>
    </x:row>
    <x:row r="2474">
      <x:c r="A2474" t="str">
        <x:v>DW-2469</x:v>
      </x:c>
      <x:c r="B2474" t="str">
        <x:v>DW-0735</x:v>
      </x:c>
      <x:c r="C2474" t="str">
        <x:v>Composition héritée</x:v>
      </x:c>
      <x:c r="D2474" t="str">
        <x:v>militaire</x:v>
      </x:c>
      <x:c r="E2474" t="str">
        <x:v>Poste de contrôle — variante 04 — Camp de fortune / réseau principal coupé</x:v>
      </x:c>
      <x:c r="F2474" t="n">
        <x:v>8</x:v>
      </x:c>
      <x:c r="G2474" t="n">
        <x:v>5</x:v>
      </x:c>
      <x:c r="H2474" t="n">
        <x:v>0</x:v>
      </x:c>
      <x:c r="I2474" t="str">
        <x:v>À qualifier par lieu</x:v>
      </x:c>
      <x:c r="J2474" t="str">
        <x:v>https://github.com/darknigthmare/deadwall-last-enclosure/blob/e28f46223e73105ab2c5d83f3d50b99b58ef53e6/codex-3000/compositions/militaire/DW-2469.md</x:v>
      </x:c>
      <x:c r="K2474" t="str">
        <x:v>Source min 64,45 m ; max 64,45 m ; modèle 64 × 45 m ; niveaux 0. Détails dans catalogue-existant.json.</x:v>
      </x:c>
    </x:row>
    <x:row r="2475">
      <x:c r="A2475" t="str">
        <x:v>DW-2470</x:v>
      </x:c>
      <x:c r="B2475" t="str">
        <x:v>DW-0735</x:v>
      </x:c>
      <x:c r="C2475" t="str">
        <x:v>Composition héritée</x:v>
      </x:c>
      <x:c r="D2475" t="str">
        <x:v>militaire</x:v>
      </x:c>
      <x:c r="E2475" t="str">
        <x:v>Poste de contrôle — variante 04 — Grand camp allié / arrêt de maintenance</x:v>
      </x:c>
      <x:c r="F2475" t="n">
        <x:v>10</x:v>
      </x:c>
      <x:c r="G2475" t="n">
        <x:v>5</x:v>
      </x:c>
      <x:c r="H2475" t="n">
        <x:v>0</x:v>
      </x:c>
      <x:c r="I2475" t="str">
        <x:v>À qualifier par lieu</x:v>
      </x:c>
      <x:c r="J2475" t="str">
        <x:v>https://github.com/darknigthmare/deadwall-last-enclosure/blob/e28f46223e73105ab2c5d83f3d50b99b58ef53e6/codex-3000/compositions/militaire/DW-2470.md</x:v>
      </x:c>
      <x:c r="K2475" t="str">
        <x:v>Source min 64,45 m ; max 64,45 m ; modèle 64 × 45 m ; niveaux 0. Détails dans catalogue-existant.json.</x:v>
      </x:c>
    </x:row>
    <x:row r="2476">
      <x:c r="A2476" t="str">
        <x:v>DW-2471</x:v>
      </x:c>
      <x:c r="B2476" t="str">
        <x:v>DW-0736</x:v>
      </x:c>
      <x:c r="C2476" t="str">
        <x:v>Composition héritée</x:v>
      </x:c>
      <x:c r="D2476" t="str">
        <x:v>militaire</x:v>
      </x:c>
      <x:c r="E2476" t="str">
        <x:v>Camp retranché abandonné — variante 04 — Centre d’évacuation abandonné / repli organisé interrompu</x:v>
      </x:c>
      <x:c r="F2476" t="n">
        <x:v>8</x:v>
      </x:c>
      <x:c r="G2476" t="n">
        <x:v>5</x:v>
      </x:c>
      <x:c r="H2476" t="n">
        <x:v>0</x:v>
      </x:c>
      <x:c r="I2476" t="str">
        <x:v>À qualifier par lieu</x:v>
      </x:c>
      <x:c r="J2476" t="str">
        <x:v>https://github.com/darknigthmare/deadwall-last-enclosure/blob/e28f46223e73105ab2c5d83f3d50b99b58ef53e6/codex-3000/compositions/militaire/DW-2471.md</x:v>
      </x:c>
      <x:c r="K2476" t="str">
        <x:v>Source min 75,62 m ; max 75,62 m ; modèle 75 × 62 m ; niveaux 0. Détails dans catalogue-existant.json.</x:v>
      </x:c>
    </x:row>
    <x:row r="2477">
      <x:c r="A2477" t="str">
        <x:v>DW-2472</x:v>
      </x:c>
      <x:c r="B2477" t="str">
        <x:v>DW-0736</x:v>
      </x:c>
      <x:c r="C2477" t="str">
        <x:v>Composition héritée</x:v>
      </x:c>
      <x:c r="D2477" t="str">
        <x:v>militaire</x:v>
      </x:c>
      <x:c r="E2477" t="str">
        <x:v>Camp retranché abandonné — variante 04 — Camp hostile / première récupération passée</x:v>
      </x:c>
      <x:c r="F2477" t="n">
        <x:v>10</x:v>
      </x:c>
      <x:c r="G2477" t="n">
        <x:v>5</x:v>
      </x:c>
      <x:c r="H2477" t="n">
        <x:v>0</x:v>
      </x:c>
      <x:c r="I2477" t="str">
        <x:v>À qualifier par lieu</x:v>
      </x:c>
      <x:c r="J2477" t="str">
        <x:v>https://github.com/darknigthmare/deadwall-last-enclosure/blob/e28f46223e73105ab2c5d83f3d50b99b58ef53e6/codex-3000/compositions/militaire/DW-2472.md</x:v>
      </x:c>
      <x:c r="K2477" t="str">
        <x:v>Source min 75,62 m ; max 75,62 m ; modèle 75 × 62 m ; niveaux 0. Détails dans catalogue-existant.json.</x:v>
      </x:c>
    </x:row>
    <x:row r="2478">
      <x:c r="A2478" t="str">
        <x:v>DW-2473</x:v>
      </x:c>
      <x:c r="B2478" t="str">
        <x:v>DW-0737</x:v>
      </x:c>
      <x:c r="C2478" t="str">
        <x:v>Composition héritée</x:v>
      </x:c>
      <x:c r="D2478" t="str">
        <x:v>militaire</x:v>
      </x:c>
      <x:c r="E2478" t="str">
        <x:v>Abri ferroviaire — variante 04 — Grand camp allié / évacuation interrompue</x:v>
      </x:c>
      <x:c r="F2478" t="n">
        <x:v>10</x:v>
      </x:c>
      <x:c r="G2478" t="n">
        <x:v>4</x:v>
      </x:c>
      <x:c r="H2478" t="n">
        <x:v>0</x:v>
      </x:c>
      <x:c r="I2478" t="str">
        <x:v>À qualifier par lieu</x:v>
      </x:c>
      <x:c r="J2478" t="str">
        <x:v>https://github.com/darknigthmare/deadwall-last-enclosure/blob/e28f46223e73105ab2c5d83f3d50b99b58ef53e6/codex-3000/compositions/militaire/DW-2473.md</x:v>
      </x:c>
      <x:c r="K2478" t="str">
        <x:v>Source min 14,25 m ; max 14,25 m ; modèle 25 × 25 m ; niveaux 0. Détails dans catalogue-existant.json.</x:v>
      </x:c>
    </x:row>
    <x:row r="2479">
      <x:c r="A2479" t="str">
        <x:v>DW-2474</x:v>
      </x:c>
      <x:c r="B2479" t="str">
        <x:v>DW-0737</x:v>
      </x:c>
      <x:c r="C2479" t="str">
        <x:v>Composition héritée</x:v>
      </x:c>
      <x:c r="D2479" t="str">
        <x:v>militaire</x:v>
      </x:c>
      <x:c r="E2479" t="str">
        <x:v>Abri ferroviaire — variante 04 — Camp de fortune / service déplacé à l’arrière</x:v>
      </x:c>
      <x:c r="F2479" t="n">
        <x:v>8</x:v>
      </x:c>
      <x:c r="G2479" t="n">
        <x:v>4</x:v>
      </x:c>
      <x:c r="H2479" t="n">
        <x:v>0</x:v>
      </x:c>
      <x:c r="I2479" t="str">
        <x:v>À qualifier par lieu</x:v>
      </x:c>
      <x:c r="J2479" t="str">
        <x:v>https://github.com/darknigthmare/deadwall-last-enclosure/blob/e28f46223e73105ab2c5d83f3d50b99b58ef53e6/codex-3000/compositions/militaire/DW-2474.md</x:v>
      </x:c>
      <x:c r="K2479" t="str">
        <x:v>Source min 14,25 m ; max 14,25 m ; modèle 25 × 25 m ; niveaux 0. Détails dans catalogue-existant.json.</x:v>
      </x:c>
    </x:row>
    <x:row r="2480">
      <x:c r="A2480" t="str">
        <x:v>DW-2475</x:v>
      </x:c>
      <x:c r="B2480" t="str">
        <x:v>DW-0738</x:v>
      </x:c>
      <x:c r="C2480" t="str">
        <x:v>Composition héritée</x:v>
      </x:c>
      <x:c r="D2480" t="str">
        <x:v>militaire</x:v>
      </x:c>
      <x:c r="E2480" t="str">
        <x:v>Site radar — variante 04 — Camp hostile / arrêt de maintenance</x:v>
      </x:c>
      <x:c r="F2480" t="n">
        <x:v>10</x:v>
      </x:c>
      <x:c r="G2480" t="n">
        <x:v>5</x:v>
      </x:c>
      <x:c r="H2480" t="n">
        <x:v>0</x:v>
      </x:c>
      <x:c r="I2480" t="str">
        <x:v>À qualifier par lieu</x:v>
      </x:c>
      <x:c r="J2480" t="str">
        <x:v>https://github.com/darknigthmare/deadwall-last-enclosure/blob/e28f46223e73105ab2c5d83f3d50b99b58ef53e6/codex-3000/compositions/militaire/DW-2475.md</x:v>
      </x:c>
      <x:c r="K2480" t="str">
        <x:v>Source min 25,42 m ; max 25,42 m ; modèle 26 × 42 m ; niveaux 0. Détails dans catalogue-existant.json.</x:v>
      </x:c>
    </x:row>
    <x:row r="2481">
      <x:c r="A2481" t="str">
        <x:v>DW-2476</x:v>
      </x:c>
      <x:c r="B2481" t="str">
        <x:v>DW-0738</x:v>
      </x:c>
      <x:c r="C2481" t="str">
        <x:v>Composition héritée</x:v>
      </x:c>
      <x:c r="D2481" t="str">
        <x:v>militaire</x:v>
      </x:c>
      <x:c r="E2481" t="str">
        <x:v>Site radar — variante 04 — Centre d’évacuation abandonné / reprise progressive de la végétation</x:v>
      </x:c>
      <x:c r="F2481" t="n">
        <x:v>8</x:v>
      </x:c>
      <x:c r="G2481" t="n">
        <x:v>5</x:v>
      </x:c>
      <x:c r="H2481" t="n">
        <x:v>0</x:v>
      </x:c>
      <x:c r="I2481" t="str">
        <x:v>À qualifier par lieu</x:v>
      </x:c>
      <x:c r="J2481" t="str">
        <x:v>https://github.com/darknigthmare/deadwall-last-enclosure/blob/e28f46223e73105ab2c5d83f3d50b99b58ef53e6/codex-3000/compositions/militaire/DW-2476.md</x:v>
      </x:c>
      <x:c r="K2481" t="str">
        <x:v>Source min 25,42 m ; max 25,42 m ; modèle 26 × 42 m ; niveaux 0. Détails dans catalogue-existant.json.</x:v>
      </x:c>
    </x:row>
    <x:row r="2482">
      <x:c r="A2482" t="str">
        <x:v>DW-2477</x:v>
      </x:c>
      <x:c r="B2482" t="str">
        <x:v>DW-0739</x:v>
      </x:c>
      <x:c r="C2482" t="str">
        <x:v>Composition héritée</x:v>
      </x:c>
      <x:c r="D2482" t="str">
        <x:v>militaire</x:v>
      </x:c>
      <x:c r="E2482" t="str">
        <x:v>Batterie côtière — variante 04 — Camp de fortune / première récupération passée</x:v>
      </x:c>
      <x:c r="F2482" t="n">
        <x:v>8</x:v>
      </x:c>
      <x:c r="G2482" t="n">
        <x:v>4</x:v>
      </x:c>
      <x:c r="H2482" t="n">
        <x:v>0</x:v>
      </x:c>
      <x:c r="I2482" t="str">
        <x:v>À qualifier par lieu</x:v>
      </x:c>
      <x:c r="J2482" t="str">
        <x:v>https://github.com/darknigthmare/deadwall-last-enclosure/blob/e28f46223e73105ab2c5d83f3d50b99b58ef53e6/codex-3000/compositions/militaire/DW-2477.md</x:v>
      </x:c>
      <x:c r="K2482" t="str">
        <x:v>Source min 36,59 m ; max 36,59 m ; modèle 36 × 59 m ; niveaux 0. Détails dans catalogue-existant.json.</x:v>
      </x:c>
    </x:row>
    <x:row r="2483">
      <x:c r="A2483" t="str">
        <x:v>DW-2478</x:v>
      </x:c>
      <x:c r="B2483" t="str">
        <x:v>DW-0739</x:v>
      </x:c>
      <x:c r="C2483" t="str">
        <x:v>Composition héritée</x:v>
      </x:c>
      <x:c r="D2483" t="str">
        <x:v>militaire</x:v>
      </x:c>
      <x:c r="E2483" t="str">
        <x:v>Batterie côtière — variante 04 — Grand camp allié / relais temporaire envisagé</x:v>
      </x:c>
      <x:c r="F2483" t="n">
        <x:v>10</x:v>
      </x:c>
      <x:c r="G2483" t="n">
        <x:v>4</x:v>
      </x:c>
      <x:c r="H2483" t="n">
        <x:v>0</x:v>
      </x:c>
      <x:c r="I2483" t="str">
        <x:v>À qualifier par lieu</x:v>
      </x:c>
      <x:c r="J2483" t="str">
        <x:v>https://github.com/darknigthmare/deadwall-last-enclosure/blob/e28f46223e73105ab2c5d83f3d50b99b58ef53e6/codex-3000/compositions/militaire/DW-2478.md</x:v>
      </x:c>
      <x:c r="K2483" t="str">
        <x:v>Source min 36,59 m ; max 36,59 m ; modèle 36 × 59 m ; niveaux 0. Détails dans catalogue-existant.json.</x:v>
      </x:c>
    </x:row>
    <x:row r="2484">
      <x:c r="A2484" t="str">
        <x:v>DW-2479</x:v>
      </x:c>
      <x:c r="B2484" t="str">
        <x:v>DW-0740</x:v>
      </x:c>
      <x:c r="C2484" t="str">
        <x:v>Composition héritée</x:v>
      </x:c>
      <x:c r="D2484" t="str">
        <x:v>militaire</x:v>
      </x:c>
      <x:c r="E2484" t="str">
        <x:v>Dépôt carburant sécurisé — variante 04 — Centre d’évacuation abandonné / service déplacé à l’arrière</x:v>
      </x:c>
      <x:c r="F2484" t="n">
        <x:v>8</x:v>
      </x:c>
      <x:c r="G2484" t="n">
        <x:v>5</x:v>
      </x:c>
      <x:c r="H2484" t="n">
        <x:v>0</x:v>
      </x:c>
      <x:c r="I2484" t="str">
        <x:v>À qualifier par lieu</x:v>
      </x:c>
      <x:c r="J2484" t="str">
        <x:v>https://github.com/darknigthmare/deadwall-last-enclosure/blob/e28f46223e73105ab2c5d83f3d50b99b58ef53e6/codex-3000/compositions/militaire/DW-2479.md</x:v>
      </x:c>
      <x:c r="K2484" t="str">
        <x:v>Source min 47,22 m ; max 47,22 m ; modèle 47 × 22 m ; niveaux 0. Détails dans catalogue-existant.json.</x:v>
      </x:c>
    </x:row>
    <x:row r="2485">
      <x:c r="A2485" t="str">
        <x:v>DW-2480</x:v>
      </x:c>
      <x:c r="B2485" t="str">
        <x:v>DW-0740</x:v>
      </x:c>
      <x:c r="C2485" t="str">
        <x:v>Composition héritée</x:v>
      </x:c>
      <x:c r="D2485" t="str">
        <x:v>militaire</x:v>
      </x:c>
      <x:c r="E2485" t="str">
        <x:v>Dépôt carburant sécurisé — variante 04 — Camp hostile / réseau principal coupé</x:v>
      </x:c>
      <x:c r="F2485" t="n">
        <x:v>10</x:v>
      </x:c>
      <x:c r="G2485" t="n">
        <x:v>5</x:v>
      </x:c>
      <x:c r="H2485" t="n">
        <x:v>0</x:v>
      </x:c>
      <x:c r="I2485" t="str">
        <x:v>À qualifier par lieu</x:v>
      </x:c>
      <x:c r="J2485" t="str">
        <x:v>https://github.com/darknigthmare/deadwall-last-enclosure/blob/e28f46223e73105ab2c5d83f3d50b99b58ef53e6/codex-3000/compositions/militaire/DW-2480.md</x:v>
      </x:c>
      <x:c r="K2485" t="str">
        <x:v>Source min 47,22 m ; max 47,22 m ; modèle 47 × 22 m ; niveaux 0. Détails dans catalogue-existant.json.</x:v>
      </x:c>
    </x:row>
    <x:row r="2486">
      <x:c r="A2486" t="str">
        <x:v>DW-2481</x:v>
      </x:c>
      <x:c r="B2486" t="str">
        <x:v>DW-0741</x:v>
      </x:c>
      <x:c r="C2486" t="str">
        <x:v>Composition héritée</x:v>
      </x:c>
      <x:c r="D2486" t="str">
        <x:v>transport</x:v>
      </x:c>
      <x:c r="E2486" t="str">
        <x:v>Gare routière — variante 04 — Station-service et aire routière / reprise progressive de la végétation</x:v>
      </x:c>
      <x:c r="F2486" t="n">
        <x:v>8</x:v>
      </x:c>
      <x:c r="G2486" t="n">
        <x:v>5</x:v>
      </x:c>
      <x:c r="H2486" t="n">
        <x:v>0</x:v>
      </x:c>
      <x:c r="I2486" t="str">
        <x:v>À qualifier par lieu</x:v>
      </x:c>
      <x:c r="J2486" t="str">
        <x:v>https://github.com/darknigthmare/deadwall-last-enclosure/blob/e28f46223e73105ab2c5d83f3d50b99b58ef53e6/codex-3000/compositions/transport/DW-2481.md</x:v>
      </x:c>
      <x:c r="K2486" t="str">
        <x:v>Source min 58,39 m ; max 58,39 m ; modèle 58 × 39 m ; niveaux 0. Détails dans catalogue-existant.json.</x:v>
      </x:c>
    </x:row>
    <x:row r="2487">
      <x:c r="A2487" t="str">
        <x:v>DW-2482</x:v>
      </x:c>
      <x:c r="B2487" t="str">
        <x:v>DW-0741</x:v>
      </x:c>
      <x:c r="C2487" t="str">
        <x:v>Composition héritée</x:v>
      </x:c>
      <x:c r="D2487" t="str">
        <x:v>transport</x:v>
      </x:c>
      <x:c r="E2487" t="str">
        <x:v>Gare routière — variante 04 — Port marchand / repli organisé interrompu</x:v>
      </x:c>
      <x:c r="F2487" t="n">
        <x:v>10</x:v>
      </x:c>
      <x:c r="G2487" t="n">
        <x:v>5</x:v>
      </x:c>
      <x:c r="H2487" t="n">
        <x:v>0</x:v>
      </x:c>
      <x:c r="I2487" t="str">
        <x:v>À qualifier par lieu</x:v>
      </x:c>
      <x:c r="J2487" t="str">
        <x:v>https://github.com/darknigthmare/deadwall-last-enclosure/blob/e28f46223e73105ab2c5d83f3d50b99b58ef53e6/codex-3000/compositions/transport/DW-2482.md</x:v>
      </x:c>
      <x:c r="K2487" t="str">
        <x:v>Source min 58,39 m ; max 58,39 m ; modèle 58 × 39 m ; niveaux 0. Détails dans catalogue-existant.json.</x:v>
      </x:c>
    </x:row>
    <x:row r="2488">
      <x:c r="A2488" t="str">
        <x:v>DW-2483</x:v>
      </x:c>
      <x:c r="B2488" t="str">
        <x:v>DW-0742</x:v>
      </x:c>
      <x:c r="C2488" t="str">
        <x:v>Composition héritée</x:v>
      </x:c>
      <x:c r="D2488" t="str">
        <x:v>transport</x:v>
      </x:c>
      <x:c r="E2488" t="str">
        <x:v>Dépôt de bus — variante 04 — Gare et fret / relais temporaire envisagé</x:v>
      </x:c>
      <x:c r="F2488" t="n">
        <x:v>10</x:v>
      </x:c>
      <x:c r="G2488" t="n">
        <x:v>5</x:v>
      </x:c>
      <x:c r="H2488" t="n">
        <x:v>0</x:v>
      </x:c>
      <x:c r="I2488" t="str">
        <x:v>À qualifier par lieu</x:v>
      </x:c>
      <x:c r="J2488" t="str">
        <x:v>https://github.com/darknigthmare/deadwall-last-enclosure/blob/e28f46223e73105ab2c5d83f3d50b99b58ef53e6/codex-3000/compositions/transport/DW-2483.md</x:v>
      </x:c>
      <x:c r="K2488" t="str">
        <x:v>Source min 69,56 m ; max 69,56 m ; modèle 69 × 56 m ; niveaux 0. Détails dans catalogue-existant.json.</x:v>
      </x:c>
    </x:row>
    <x:row r="2489">
      <x:c r="A2489" t="str">
        <x:v>DW-2484</x:v>
      </x:c>
      <x:c r="B2489" t="str">
        <x:v>DW-0742</x:v>
      </x:c>
      <x:c r="C2489" t="str">
        <x:v>Composition héritée</x:v>
      </x:c>
      <x:c r="D2489" t="str">
        <x:v>transport</x:v>
      </x:c>
      <x:c r="E2489" t="str">
        <x:v>Dépôt de bus — variante 04 — Routes et coutures territoriales / évacuation interrompue</x:v>
      </x:c>
      <x:c r="F2489" t="n">
        <x:v>10</x:v>
      </x:c>
      <x:c r="G2489" t="n">
        <x:v>5</x:v>
      </x:c>
      <x:c r="H2489" t="n">
        <x:v>0</x:v>
      </x:c>
      <x:c r="I2489" t="str">
        <x:v>À qualifier par lieu</x:v>
      </x:c>
      <x:c r="J2489" t="str">
        <x:v>https://github.com/darknigthmare/deadwall-last-enclosure/blob/e28f46223e73105ab2c5d83f3d50b99b58ef53e6/codex-3000/compositions/transport/DW-2484.md</x:v>
      </x:c>
      <x:c r="K2489" t="str">
        <x:v>Source min 69,56 m ; max 69,56 m ; modèle 69 × 56 m ; niveaux 0. Détails dans catalogue-existant.json.</x:v>
      </x:c>
    </x:row>
    <x:row r="2490">
      <x:c r="A2490" t="str">
        <x:v>DW-2485</x:v>
      </x:c>
      <x:c r="B2490" t="str">
        <x:v>DW-0743</x:v>
      </x:c>
      <x:c r="C2490" t="str">
        <x:v>Composition héritée</x:v>
      </x:c>
      <x:c r="D2490" t="str">
        <x:v>transport</x:v>
      </x:c>
      <x:c r="E2490" t="str">
        <x:v>Gare ferroviaire — variante 04 — Port marchand / réseau principal coupé</x:v>
      </x:c>
      <x:c r="F2490" t="n">
        <x:v>10</x:v>
      </x:c>
      <x:c r="G2490" t="n">
        <x:v>5</x:v>
      </x:c>
      <x:c r="H2490" t="n">
        <x:v>0</x:v>
      </x:c>
      <x:c r="I2490" t="str">
        <x:v>À qualifier par lieu</x:v>
      </x:c>
      <x:c r="J2490" t="str">
        <x:v>https://github.com/darknigthmare/deadwall-last-enclosure/blob/e28f46223e73105ab2c5d83f3d50b99b58ef53e6/codex-3000/compositions/transport/DW-2485.md</x:v>
      </x:c>
      <x:c r="K2490" t="str">
        <x:v>Source min 80,19 m ; max 80,19 m ; modèle 78 × 22 m ; niveaux 0. Détails dans catalogue-existant.json.</x:v>
      </x:c>
    </x:row>
    <x:row r="2491">
      <x:c r="A2491" t="str">
        <x:v>DW-2486</x:v>
      </x:c>
      <x:c r="B2491" t="str">
        <x:v>DW-0743</x:v>
      </x:c>
      <x:c r="C2491" t="str">
        <x:v>Composition héritée</x:v>
      </x:c>
      <x:c r="D2491" t="str">
        <x:v>transport</x:v>
      </x:c>
      <x:c r="E2491" t="str">
        <x:v>Gare ferroviaire — variante 04 — Station-service et aire routière / arrêt de maintenance</x:v>
      </x:c>
      <x:c r="F2491" t="n">
        <x:v>8</x:v>
      </x:c>
      <x:c r="G2491" t="n">
        <x:v>5</x:v>
      </x:c>
      <x:c r="H2491" t="n">
        <x:v>0</x:v>
      </x:c>
      <x:c r="I2491" t="str">
        <x:v>À qualifier par lieu</x:v>
      </x:c>
      <x:c r="J2491" t="str">
        <x:v>https://github.com/darknigthmare/deadwall-last-enclosure/blob/e28f46223e73105ab2c5d83f3d50b99b58ef53e6/codex-3000/compositions/transport/DW-2486.md</x:v>
      </x:c>
      <x:c r="K2491" t="str">
        <x:v>Source min 80,19 m ; max 80,19 m ; modèle 78 × 22 m ; niveaux 0. Détails dans catalogue-existant.json.</x:v>
      </x:c>
    </x:row>
    <x:row r="2492">
      <x:c r="A2492" t="str">
        <x:v>DW-2487</x:v>
      </x:c>
      <x:c r="B2492" t="str">
        <x:v>DW-0744</x:v>
      </x:c>
      <x:c r="C2492" t="str">
        <x:v>Composition héritée</x:v>
      </x:c>
      <x:c r="D2492" t="str">
        <x:v>transport</x:v>
      </x:c>
      <x:c r="E2492" t="str">
        <x:v>Aire d'autoroute — variante 04 — Routes et coutures territoriales / repli organisé interrompu</x:v>
      </x:c>
      <x:c r="F2492" t="n">
        <x:v>10</x:v>
      </x:c>
      <x:c r="G2492" t="n">
        <x:v>5</x:v>
      </x:c>
      <x:c r="H2492" t="n">
        <x:v>0</x:v>
      </x:c>
      <x:c r="I2492" t="str">
        <x:v>À qualifier par lieu</x:v>
      </x:c>
      <x:c r="J2492" t="str">
        <x:v>https://github.com/darknigthmare/deadwall-last-enclosure/blob/e28f46223e73105ab2c5d83f3d50b99b58ef53e6/codex-3000/compositions/transport/DW-2487.md</x:v>
      </x:c>
      <x:c r="K2492" t="str">
        <x:v>Source min 19,36 m ; max 19,36 m ; modèle 26 × 36 m ; niveaux 0. Détails dans catalogue-existant.json.</x:v>
      </x:c>
    </x:row>
    <x:row r="2493">
      <x:c r="A2493" t="str">
        <x:v>DW-2488</x:v>
      </x:c>
      <x:c r="B2493" t="str">
        <x:v>DW-0744</x:v>
      </x:c>
      <x:c r="C2493" t="str">
        <x:v>Composition héritée</x:v>
      </x:c>
      <x:c r="D2493" t="str">
        <x:v>transport</x:v>
      </x:c>
      <x:c r="E2493" t="str">
        <x:v>Aire d'autoroute — variante 04 — Gare et fret / première récupération passée</x:v>
      </x:c>
      <x:c r="F2493" t="n">
        <x:v>10</x:v>
      </x:c>
      <x:c r="G2493" t="n">
        <x:v>5</x:v>
      </x:c>
      <x:c r="H2493" t="n">
        <x:v>0</x:v>
      </x:c>
      <x:c r="I2493" t="str">
        <x:v>À qualifier par lieu</x:v>
      </x:c>
      <x:c r="J2493" t="str">
        <x:v>https://github.com/darknigthmare/deadwall-last-enclosure/blob/e28f46223e73105ab2c5d83f3d50b99b58ef53e6/codex-3000/compositions/transport/DW-2488.md</x:v>
      </x:c>
      <x:c r="K2493" t="str">
        <x:v>Source min 19,36 m ; max 19,36 m ; modèle 26 × 36 m ; niveaux 0. Détails dans catalogue-existant.json.</x:v>
      </x:c>
    </x:row>
    <x:row r="2494">
      <x:c r="A2494" t="str">
        <x:v>DW-2489</x:v>
      </x:c>
      <x:c r="B2494" t="str">
        <x:v>DW-0745</x:v>
      </x:c>
      <x:c r="C2494" t="str">
        <x:v>Composition héritée</x:v>
      </x:c>
      <x:c r="D2494" t="str">
        <x:v>transport</x:v>
      </x:c>
      <x:c r="E2494" t="str">
        <x:v>Parking silo — variante 04 — Station-service et aire routière / évacuation interrompue</x:v>
      </x:c>
      <x:c r="F2494" t="n">
        <x:v>8</x:v>
      </x:c>
      <x:c r="G2494" t="n">
        <x:v>4</x:v>
      </x:c>
      <x:c r="H2494" t="n">
        <x:v>0</x:v>
      </x:c>
      <x:c r="I2494" t="str">
        <x:v>À qualifier par lieu</x:v>
      </x:c>
      <x:c r="J2494" t="str">
        <x:v>https://github.com/darknigthmare/deadwall-last-enclosure/blob/e28f46223e73105ab2c5d83f3d50b99b58ef53e6/codex-3000/compositions/transport/DW-2489.md</x:v>
      </x:c>
      <x:c r="K2494" t="str">
        <x:v>Source min 30,53 m ; max 30,53 m ; modèle 30 × 53 m ; niveaux 0. Détails dans catalogue-existant.json.</x:v>
      </x:c>
    </x:row>
    <x:row r="2495">
      <x:c r="A2495" t="str">
        <x:v>DW-2490</x:v>
      </x:c>
      <x:c r="B2495" t="str">
        <x:v>DW-0745</x:v>
      </x:c>
      <x:c r="C2495" t="str">
        <x:v>Composition héritée</x:v>
      </x:c>
      <x:c r="D2495" t="str">
        <x:v>transport</x:v>
      </x:c>
      <x:c r="E2495" t="str">
        <x:v>Parking silo — variante 04 — Port marchand / service déplacé à l’arrière</x:v>
      </x:c>
      <x:c r="F2495" t="n">
        <x:v>10</x:v>
      </x:c>
      <x:c r="G2495" t="n">
        <x:v>4</x:v>
      </x:c>
      <x:c r="H2495" t="n">
        <x:v>0</x:v>
      </x:c>
      <x:c r="I2495" t="str">
        <x:v>À qualifier par lieu</x:v>
      </x:c>
      <x:c r="J2495" t="str">
        <x:v>https://github.com/darknigthmare/deadwall-last-enclosure/blob/e28f46223e73105ab2c5d83f3d50b99b58ef53e6/codex-3000/compositions/transport/DW-2490.md</x:v>
      </x:c>
      <x:c r="K2495" t="str">
        <x:v>Source min 30,53 m ; max 30,53 m ; modèle 30 × 53 m ; niveaux 0. Détails dans catalogue-existant.json.</x:v>
      </x:c>
    </x:row>
    <x:row r="2496">
      <x:c r="A2496" t="str">
        <x:v>DW-2491</x:v>
      </x:c>
      <x:c r="B2496" t="str">
        <x:v>DW-0746</x:v>
      </x:c>
      <x:c r="C2496" t="str">
        <x:v>Composition héritée</x:v>
      </x:c>
      <x:c r="D2496" t="str">
        <x:v>transport</x:v>
      </x:c>
      <x:c r="E2496" t="str">
        <x:v>Terminal poids lourds — variante 04 — Gare et fret / arrêt de maintenance</x:v>
      </x:c>
      <x:c r="F2496" t="n">
        <x:v>10</x:v>
      </x:c>
      <x:c r="G2496" t="n">
        <x:v>5</x:v>
      </x:c>
      <x:c r="H2496" t="n">
        <x:v>0</x:v>
      </x:c>
      <x:c r="I2496" t="str">
        <x:v>À qualifier par lieu</x:v>
      </x:c>
      <x:c r="J2496" t="str">
        <x:v>https://github.com/darknigthmare/deadwall-last-enclosure/blob/e28f46223e73105ab2c5d83f3d50b99b58ef53e6/codex-3000/compositions/transport/DW-2491.md</x:v>
      </x:c>
      <x:c r="K2496" t="str">
        <x:v>Source min 41,16 m ; max 41,16 m ; modèle 41 × 22 m ; niveaux 0. Détails dans catalogue-existant.json.</x:v>
      </x:c>
    </x:row>
    <x:row r="2497">
      <x:c r="A2497" t="str">
        <x:v>DW-2492</x:v>
      </x:c>
      <x:c r="B2497" t="str">
        <x:v>DW-0746</x:v>
      </x:c>
      <x:c r="C2497" t="str">
        <x:v>Composition héritée</x:v>
      </x:c>
      <x:c r="D2497" t="str">
        <x:v>transport</x:v>
      </x:c>
      <x:c r="E2497" t="str">
        <x:v>Terminal poids lourds — variante 04 — Routes et coutures territoriales / reprise progressive de la végétation</x:v>
      </x:c>
      <x:c r="F2497" t="n">
        <x:v>10</x:v>
      </x:c>
      <x:c r="G2497" t="n">
        <x:v>5</x:v>
      </x:c>
      <x:c r="H2497" t="n">
        <x:v>0</x:v>
      </x:c>
      <x:c r="I2497" t="str">
        <x:v>À qualifier par lieu</x:v>
      </x:c>
      <x:c r="J2497" t="str">
        <x:v>https://github.com/darknigthmare/deadwall-last-enclosure/blob/e28f46223e73105ab2c5d83f3d50b99b58ef53e6/codex-3000/compositions/transport/DW-2492.md</x:v>
      </x:c>
      <x:c r="K2497" t="str">
        <x:v>Source min 41,16 m ; max 41,16 m ; modèle 41 × 22 m ; niveaux 0. Détails dans catalogue-existant.json.</x:v>
      </x:c>
    </x:row>
    <x:row r="2498">
      <x:c r="A2498" t="str">
        <x:v>DW-2493</x:v>
      </x:c>
      <x:c r="B2498" t="str">
        <x:v>DW-0747</x:v>
      </x:c>
      <x:c r="C2498" t="str">
        <x:v>Composition héritée</x:v>
      </x:c>
      <x:c r="D2498" t="str">
        <x:v>transport</x:v>
      </x:c>
      <x:c r="E2498" t="str">
        <x:v>Port de plaisance — variante 04 — Port marchand / première récupération passée</x:v>
      </x:c>
      <x:c r="F2498" t="n">
        <x:v>10</x:v>
      </x:c>
      <x:c r="G2498" t="n">
        <x:v>5</x:v>
      </x:c>
      <x:c r="H2498" t="n">
        <x:v>0</x:v>
      </x:c>
      <x:c r="I2498" t="str">
        <x:v>À qualifier par lieu</x:v>
      </x:c>
      <x:c r="J2498" t="str">
        <x:v>https://github.com/darknigthmare/deadwall-last-enclosure/blob/e28f46223e73105ab2c5d83f3d50b99b58ef53e6/codex-3000/compositions/transport/DW-2493.md</x:v>
      </x:c>
      <x:c r="K2498" t="str">
        <x:v>Source min 52,33 m ; max 52,33 m ; modèle 52 × 33 m ; niveaux 0. Détails dans catalogue-existant.json.</x:v>
      </x:c>
    </x:row>
    <x:row r="2499">
      <x:c r="A2499" t="str">
        <x:v>DW-2494</x:v>
      </x:c>
      <x:c r="B2499" t="str">
        <x:v>DW-0747</x:v>
      </x:c>
      <x:c r="C2499" t="str">
        <x:v>Composition héritée</x:v>
      </x:c>
      <x:c r="D2499" t="str">
        <x:v>transport</x:v>
      </x:c>
      <x:c r="E2499" t="str">
        <x:v>Port de plaisance — variante 04 — Station-service et aire routière / relais temporaire envisagé</x:v>
      </x:c>
      <x:c r="F2499" t="n">
        <x:v>8</x:v>
      </x:c>
      <x:c r="G2499" t="n">
        <x:v>5</x:v>
      </x:c>
      <x:c r="H2499" t="n">
        <x:v>0</x:v>
      </x:c>
      <x:c r="I2499" t="str">
        <x:v>À qualifier par lieu</x:v>
      </x:c>
      <x:c r="J2499" t="str">
        <x:v>https://github.com/darknigthmare/deadwall-last-enclosure/blob/e28f46223e73105ab2c5d83f3d50b99b58ef53e6/codex-3000/compositions/transport/DW-2494.md</x:v>
      </x:c>
      <x:c r="K2499" t="str">
        <x:v>Source min 52,33 m ; max 52,33 m ; modèle 52 × 33 m ; niveaux 0. Détails dans catalogue-existant.json.</x:v>
      </x:c>
    </x:row>
    <x:row r="2500">
      <x:c r="A2500" t="str">
        <x:v>DW-2495</x:v>
      </x:c>
      <x:c r="B2500" t="str">
        <x:v>DW-0748</x:v>
      </x:c>
      <x:c r="C2500" t="str">
        <x:v>Composition héritée</x:v>
      </x:c>
      <x:c r="D2500" t="str">
        <x:v>transport</x:v>
      </x:c>
      <x:c r="E2500" t="str">
        <x:v>Petit aérodrome — variante 04 — Routes et coutures territoriales / service déplacé à l’arrière</x:v>
      </x:c>
      <x:c r="F2500" t="n">
        <x:v>10</x:v>
      </x:c>
      <x:c r="G2500" t="n">
        <x:v>5</x:v>
      </x:c>
      <x:c r="H2500" t="n">
        <x:v>0</x:v>
      </x:c>
      <x:c r="I2500" t="str">
        <x:v>À qualifier par lieu</x:v>
      </x:c>
      <x:c r="J2500" t="str">
        <x:v>https://github.com/darknigthmare/deadwall-last-enclosure/blob/e28f46223e73105ab2c5d83f3d50b99b58ef53e6/codex-3000/compositions/transport/DW-2495.md</x:v>
      </x:c>
      <x:c r="K2500" t="str">
        <x:v>Source min 63,50 m ; max 63,50 m ; modèle 63 × 50 m ; niveaux 0. Détails dans catalogue-existant.json.</x:v>
      </x:c>
    </x:row>
    <x:row r="2501">
      <x:c r="A2501" t="str">
        <x:v>DW-2496</x:v>
      </x:c>
      <x:c r="B2501" t="str">
        <x:v>DW-0748</x:v>
      </x:c>
      <x:c r="C2501" t="str">
        <x:v>Composition héritée</x:v>
      </x:c>
      <x:c r="D2501" t="str">
        <x:v>transport</x:v>
      </x:c>
      <x:c r="E2501" t="str">
        <x:v>Petit aérodrome — variante 04 — Gare et fret / réseau principal coupé</x:v>
      </x:c>
      <x:c r="F2501" t="n">
        <x:v>10</x:v>
      </x:c>
      <x:c r="G2501" t="n">
        <x:v>5</x:v>
      </x:c>
      <x:c r="H2501" t="n">
        <x:v>0</x:v>
      </x:c>
      <x:c r="I2501" t="str">
        <x:v>À qualifier par lieu</x:v>
      </x:c>
      <x:c r="J2501" t="str">
        <x:v>https://github.com/darknigthmare/deadwall-last-enclosure/blob/e28f46223e73105ab2c5d83f3d50b99b58ef53e6/codex-3000/compositions/transport/DW-2496.md</x:v>
      </x:c>
      <x:c r="K2501" t="str">
        <x:v>Source min 63,50 m ; max 63,50 m ; modèle 63 × 50 m ; niveaux 0. Détails dans catalogue-existant.json.</x:v>
      </x:c>
    </x:row>
    <x:row r="2502">
      <x:c r="A2502" t="str">
        <x:v>DW-2497</x:v>
      </x:c>
      <x:c r="B2502" t="str">
        <x:v>DW-0749</x:v>
      </x:c>
      <x:c r="C2502" t="str">
        <x:v>Composition héritée</x:v>
      </x:c>
      <x:c r="D2502" t="str">
        <x:v>ruines</x:v>
      </x:c>
      <x:c r="E2502" t="str">
        <x:v>Maison incendiée — variante 04 — Ruine envahie et reprise végétale / reprise progressive de la végétation</x:v>
      </x:c>
      <x:c r="F2502" t="n">
        <x:v>8</x:v>
      </x:c>
      <x:c r="G2502" t="n">
        <x:v>3</x:v>
      </x:c>
      <x:c r="H2502" t="n">
        <x:v>0</x:v>
      </x:c>
      <x:c r="I2502" t="str">
        <x:v>À qualifier par lieu</x:v>
      </x:c>
      <x:c r="J2502" t="str">
        <x:v>https://github.com/darknigthmare/deadwall-last-enclosure/blob/e28f46223e73105ab2c5d83f3d50b99b58ef53e6/codex-3000/compositions/ruines/DW-2497.md</x:v>
      </x:c>
      <x:c r="K2502" t="str">
        <x:v>Source min 74,13 m ; max 74,13 m ; modèle 74 × 18 m ; niveaux 0, 1. Détails dans catalogue-existant.json.</x:v>
      </x:c>
    </x:row>
    <x:row r="2503">
      <x:c r="A2503" t="str">
        <x:v>DW-2498</x:v>
      </x:c>
      <x:c r="B2503" t="str">
        <x:v>DW-0749</x:v>
      </x:c>
      <x:c r="C2503" t="str">
        <x:v>Composition héritée</x:v>
      </x:c>
      <x:c r="D2503" t="str">
        <x:v>ruines</x:v>
      </x:c>
      <x:c r="E2503" t="str">
        <x:v>Maison incendiée — variante 04 — Zone industrielle / repli organisé interrompu</x:v>
      </x:c>
      <x:c r="F2503" t="n">
        <x:v>8</x:v>
      </x:c>
      <x:c r="G2503" t="n">
        <x:v>3</x:v>
      </x:c>
      <x:c r="H2503" t="n">
        <x:v>0</x:v>
      </x:c>
      <x:c r="I2503" t="str">
        <x:v>À qualifier par lieu</x:v>
      </x:c>
      <x:c r="J2503" t="str">
        <x:v>https://github.com/darknigthmare/deadwall-last-enclosure/blob/e28f46223e73105ab2c5d83f3d50b99b58ef53e6/codex-3000/compositions/ruines/DW-2498.md</x:v>
      </x:c>
      <x:c r="K2503" t="str">
        <x:v>Source min 74,13 m ; max 74,13 m ; modèle 74 × 18 m ; niveaux 0, 1. Détails dans catalogue-existant.json.</x:v>
      </x:c>
    </x:row>
    <x:row r="2504">
      <x:c r="A2504" t="str">
        <x:v>DW-2499</x:v>
      </x:c>
      <x:c r="B2504" t="str">
        <x:v>DW-0750</x:v>
      </x:c>
      <x:c r="C2504" t="str">
        <x:v>Composition héritée</x:v>
      </x:c>
      <x:c r="D2504" t="str">
        <x:v>ruines</x:v>
      </x:c>
      <x:c r="E2504" t="str">
        <x:v>Immeuble éventré — variante 04 — Centre ancien / relais temporaire envisagé</x:v>
      </x:c>
      <x:c r="F2504" t="n">
        <x:v>8</x:v>
      </x:c>
      <x:c r="G2504" t="n">
        <x:v>4</x:v>
      </x:c>
      <x:c r="H2504" t="n">
        <x:v>0</x:v>
      </x:c>
      <x:c r="I2504" t="str">
        <x:v>À qualifier par lieu</x:v>
      </x:c>
      <x:c r="J2504" t="str">
        <x:v>https://github.com/darknigthmare/deadwall-last-enclosure/blob/e28f46223e73105ab2c5d83f3d50b99b58ef53e6/codex-3000/compositions/ruines/DW-2499.md</x:v>
      </x:c>
      <x:c r="K2504" t="str">
        <x:v>Source min 13,30 m ; max 13,30 m ; modèle 25 × 30 m ; niveaux 0, 1. Détails dans catalogue-existant.json.</x:v>
      </x:c>
    </x:row>
    <x:row r="2505">
      <x:c r="A2505" t="str">
        <x:v>DW-2500</x:v>
      </x:c>
      <x:c r="B2505" t="str">
        <x:v>DW-0750</x:v>
      </x:c>
      <x:c r="C2505" t="str">
        <x:v>Composition héritée</x:v>
      </x:c>
      <x:c r="D2505" t="str">
        <x:v>ruines</x:v>
      </x:c>
      <x:c r="E2505" t="str">
        <x:v>Immeuble éventré — variante 04 — Petit bois et lisière / évacuation interrompue</x:v>
      </x:c>
      <x:c r="F2505" t="n">
        <x:v>8</x:v>
      </x:c>
      <x:c r="G2505" t="n">
        <x:v>4</x:v>
      </x:c>
      <x:c r="H2505" t="n">
        <x:v>0</x:v>
      </x:c>
      <x:c r="I2505" t="str">
        <x:v>À qualifier par lieu</x:v>
      </x:c>
      <x:c r="J2505" t="str">
        <x:v>https://github.com/darknigthmare/deadwall-last-enclosure/blob/e28f46223e73105ab2c5d83f3d50b99b58ef53e6/codex-3000/compositions/ruines/DW-2500.md</x:v>
      </x:c>
      <x:c r="K2505" t="str">
        <x:v>Source min 13,30 m ; max 13,30 m ; modèle 25 × 30 m ; niveaux 0, 1. Détails dans catalogue-existant.json.</x:v>
      </x:c>
    </x:row>
    <x:row r="2506">
      <x:c r="A2506" t="str">
        <x:v>DW-2501</x:v>
      </x:c>
      <x:c r="B2506" t="str">
        <x:v>DW-0751</x:v>
      </x:c>
      <x:c r="C2506" t="str">
        <x:v>Composition héritée</x:v>
      </x:c>
      <x:c r="D2506" t="str">
        <x:v>ruines</x:v>
      </x:c>
      <x:c r="E2506" t="str">
        <x:v>Commerce pillé — variante 04 — Zone industrielle / réseau principal coupé</x:v>
      </x:c>
      <x:c r="F2506" t="n">
        <x:v>8</x:v>
      </x:c>
      <x:c r="G2506" t="n">
        <x:v>4</x:v>
      </x:c>
      <x:c r="H2506" t="n">
        <x:v>0</x:v>
      </x:c>
      <x:c r="I2506" t="str">
        <x:v>À qualifier par lieu</x:v>
      </x:c>
      <x:c r="J2506" t="str">
        <x:v>https://github.com/darknigthmare/deadwall-last-enclosure/blob/e28f46223e73105ab2c5d83f3d50b99b58ef53e6/codex-3000/compositions/ruines/DW-2501.md</x:v>
      </x:c>
      <x:c r="K2506" t="str">
        <x:v>Source min 24,47 m ; max 24,47 m ; modèle 25 × 47 m ; niveaux 0. Détails dans catalogue-existant.json.</x:v>
      </x:c>
    </x:row>
    <x:row r="2507">
      <x:c r="A2507" t="str">
        <x:v>DW-2502</x:v>
      </x:c>
      <x:c r="B2507" t="str">
        <x:v>DW-0751</x:v>
      </x:c>
      <x:c r="C2507" t="str">
        <x:v>Composition héritée</x:v>
      </x:c>
      <x:c r="D2507" t="str">
        <x:v>ruines</x:v>
      </x:c>
      <x:c r="E2507" t="str">
        <x:v>Commerce pillé — variante 04 — Ruine envahie et reprise végétale / arrêt de maintenance</x:v>
      </x:c>
      <x:c r="F2507" t="n">
        <x:v>8</x:v>
      </x:c>
      <x:c r="G2507" t="n">
        <x:v>4</x:v>
      </x:c>
      <x:c r="H2507" t="n">
        <x:v>0</x:v>
      </x:c>
      <x:c r="I2507" t="str">
        <x:v>À qualifier par lieu</x:v>
      </x:c>
      <x:c r="J2507" t="str">
        <x:v>https://github.com/darknigthmare/deadwall-last-enclosure/blob/e28f46223e73105ab2c5d83f3d50b99b58ef53e6/codex-3000/compositions/ruines/DW-2502.md</x:v>
      </x:c>
      <x:c r="K2507" t="str">
        <x:v>Source min 24,47 m ; max 24,47 m ; modèle 25 × 47 m ; niveaux 0. Détails dans catalogue-existant.json.</x:v>
      </x:c>
    </x:row>
    <x:row r="2508">
      <x:c r="A2508" t="str">
        <x:v>DW-2503</x:v>
      </x:c>
      <x:c r="B2508" t="str">
        <x:v>DW-0752</x:v>
      </x:c>
      <x:c r="C2508" t="str">
        <x:v>Composition héritée</x:v>
      </x:c>
      <x:c r="D2508" t="str">
        <x:v>ruines</x:v>
      </x:c>
      <x:c r="E2508" t="str">
        <x:v>Usine sinistrée — variante 04 — Petit bois et lisière / repli organisé interrompu</x:v>
      </x:c>
      <x:c r="F2508" t="n">
        <x:v>8</x:v>
      </x:c>
      <x:c r="G2508" t="n">
        <x:v>4</x:v>
      </x:c>
      <x:c r="H2508" t="n">
        <x:v>0</x:v>
      </x:c>
      <x:c r="I2508" t="str">
        <x:v>À qualifier par lieu</x:v>
      </x:c>
      <x:c r="J2508" t="str">
        <x:v>https://github.com/darknigthmare/deadwall-last-enclosure/blob/e28f46223e73105ab2c5d83f3d50b99b58ef53e6/codex-3000/compositions/ruines/DW-2503.md</x:v>
      </x:c>
      <x:c r="K2508" t="str">
        <x:v>Source min 35,10 m ; max 35,10 m ; modèle 35 × 18 m ; niveaux 0. Détails dans catalogue-existant.json.</x:v>
      </x:c>
    </x:row>
    <x:row r="2509">
      <x:c r="A2509" t="str">
        <x:v>DW-2504</x:v>
      </x:c>
      <x:c r="B2509" t="str">
        <x:v>DW-0752</x:v>
      </x:c>
      <x:c r="C2509" t="str">
        <x:v>Composition héritée</x:v>
      </x:c>
      <x:c r="D2509" t="str">
        <x:v>ruines</x:v>
      </x:c>
      <x:c r="E2509" t="str">
        <x:v>Usine sinistrée — variante 04 — Centre ancien / première récupération passée</x:v>
      </x:c>
      <x:c r="F2509" t="n">
        <x:v>8</x:v>
      </x:c>
      <x:c r="G2509" t="n">
        <x:v>4</x:v>
      </x:c>
      <x:c r="H2509" t="n">
        <x:v>0</x:v>
      </x:c>
      <x:c r="I2509" t="str">
        <x:v>À qualifier par lieu</x:v>
      </x:c>
      <x:c r="J2509" t="str">
        <x:v>https://github.com/darknigthmare/deadwall-last-enclosure/blob/e28f46223e73105ab2c5d83f3d50b99b58ef53e6/codex-3000/compositions/ruines/DW-2504.md</x:v>
      </x:c>
      <x:c r="K2509" t="str">
        <x:v>Source min 35,10 m ; max 35,10 m ; modèle 35 × 18 m ; niveaux 0. Détails dans catalogue-existant.json.</x:v>
      </x:c>
    </x:row>
    <x:row r="2510">
      <x:c r="A2510" t="str">
        <x:v>DW-2505</x:v>
      </x:c>
      <x:c r="B2510" t="str">
        <x:v>DW-0753</x:v>
      </x:c>
      <x:c r="C2510" t="str">
        <x:v>Composition héritée</x:v>
      </x:c>
      <x:c r="D2510" t="str">
        <x:v>ruines</x:v>
      </x:c>
      <x:c r="E2510" t="str">
        <x:v>Hôtel abandonné — variante 04 — Ruine envahie et reprise végétale / évacuation interrompue</x:v>
      </x:c>
      <x:c r="F2510" t="n">
        <x:v>8</x:v>
      </x:c>
      <x:c r="G2510" t="n">
        <x:v>5</x:v>
      </x:c>
      <x:c r="H2510" t="n">
        <x:v>0</x:v>
      </x:c>
      <x:c r="I2510" t="str">
        <x:v>À qualifier par lieu</x:v>
      </x:c>
      <x:c r="J2510" t="str">
        <x:v>https://github.com/darknigthmare/deadwall-last-enclosure/blob/e28f46223e73105ab2c5d83f3d50b99b58ef53e6/codex-3000/compositions/ruines/DW-2505.md</x:v>
      </x:c>
      <x:c r="K2510" t="str">
        <x:v>Source min 46,27 m ; max 46,27 m ; modèle 46 × 27 m ; niveaux 0, 1. Détails dans catalogue-existant.json.</x:v>
      </x:c>
    </x:row>
    <x:row r="2511">
      <x:c r="A2511" t="str">
        <x:v>DW-2506</x:v>
      </x:c>
      <x:c r="B2511" t="str">
        <x:v>DW-0753</x:v>
      </x:c>
      <x:c r="C2511" t="str">
        <x:v>Composition héritée</x:v>
      </x:c>
      <x:c r="D2511" t="str">
        <x:v>ruines</x:v>
      </x:c>
      <x:c r="E2511" t="str">
        <x:v>Hôtel abandonné — variante 04 — Zone industrielle / service déplacé à l’arrière</x:v>
      </x:c>
      <x:c r="F2511" t="n">
        <x:v>8</x:v>
      </x:c>
      <x:c r="G2511" t="n">
        <x:v>5</x:v>
      </x:c>
      <x:c r="H2511" t="n">
        <x:v>0</x:v>
      </x:c>
      <x:c r="I2511" t="str">
        <x:v>À qualifier par lieu</x:v>
      </x:c>
      <x:c r="J2511" t="str">
        <x:v>https://github.com/darknigthmare/deadwall-last-enclosure/blob/e28f46223e73105ab2c5d83f3d50b99b58ef53e6/codex-3000/compositions/ruines/DW-2506.md</x:v>
      </x:c>
      <x:c r="K2511" t="str">
        <x:v>Source min 46,27 m ; max 46,27 m ; modèle 46 × 27 m ; niveaux 0, 1. Détails dans catalogue-existant.json.</x:v>
      </x:c>
    </x:row>
    <x:row r="2512">
      <x:c r="A2512" t="str">
        <x:v>DW-2507</x:v>
      </x:c>
      <x:c r="B2512" t="str">
        <x:v>DW-0754</x:v>
      </x:c>
      <x:c r="C2512" t="str">
        <x:v>Composition héritée</x:v>
      </x:c>
      <x:c r="D2512" t="str">
        <x:v>ruines</x:v>
      </x:c>
      <x:c r="E2512" t="str">
        <x:v>Lotissement ravagé — variante 04 — Centre ancien / arrêt de maintenance</x:v>
      </x:c>
      <x:c r="F2512" t="n">
        <x:v>8</x:v>
      </x:c>
      <x:c r="G2512" t="n">
        <x:v>4</x:v>
      </x:c>
      <x:c r="H2512" t="n">
        <x:v>0</x:v>
      </x:c>
      <x:c r="I2512" t="str">
        <x:v>À qualifier par lieu</x:v>
      </x:c>
      <x:c r="J2512" t="str">
        <x:v>https://github.com/darknigthmare/deadwall-last-enclosure/blob/e28f46223e73105ab2c5d83f3d50b99b58ef53e6/codex-3000/compositions/ruines/DW-2507.md</x:v>
      </x:c>
      <x:c r="K2512" t="str">
        <x:v>Source min 57,44 m ; max 57,44 m ; modèle 57 × 44 m ; niveaux 0. Détails dans catalogue-existant.json.</x:v>
      </x:c>
    </x:row>
    <x:row r="2513">
      <x:c r="A2513" t="str">
        <x:v>DW-2508</x:v>
      </x:c>
      <x:c r="B2513" t="str">
        <x:v>DW-0754</x:v>
      </x:c>
      <x:c r="C2513" t="str">
        <x:v>Composition héritée</x:v>
      </x:c>
      <x:c r="D2513" t="str">
        <x:v>ruines</x:v>
      </x:c>
      <x:c r="E2513" t="str">
        <x:v>Lotissement ravagé — variante 04 — Petit bois et lisière / reprise progressive de la végétation</x:v>
      </x:c>
      <x:c r="F2513" t="n">
        <x:v>8</x:v>
      </x:c>
      <x:c r="G2513" t="n">
        <x:v>4</x:v>
      </x:c>
      <x:c r="H2513" t="n">
        <x:v>0</x:v>
      </x:c>
      <x:c r="I2513" t="str">
        <x:v>À qualifier par lieu</x:v>
      </x:c>
      <x:c r="J2513" t="str">
        <x:v>https://github.com/darknigthmare/deadwall-last-enclosure/blob/e28f46223e73105ab2c5d83f3d50b99b58ef53e6/codex-3000/compositions/ruines/DW-2508.md</x:v>
      </x:c>
      <x:c r="K2513" t="str">
        <x:v>Source min 57,44 m ; max 57,44 m ; modèle 57 × 44 m ; niveaux 0. Détails dans catalogue-existant.json.</x:v>
      </x:c>
    </x:row>
    <x:row r="2514">
      <x:c r="A2514" t="str">
        <x:v>DW-2509</x:v>
      </x:c>
      <x:c r="B2514" t="str">
        <x:v>DW-0755</x:v>
      </x:c>
      <x:c r="C2514" t="str">
        <x:v>Composition héritée</x:v>
      </x:c>
      <x:c r="D2514" t="str">
        <x:v>ruines</x:v>
      </x:c>
      <x:c r="E2514" t="str">
        <x:v>Village déserté — variante 04 — Zone industrielle / première récupération passée</x:v>
      </x:c>
      <x:c r="F2514" t="n">
        <x:v>8</x:v>
      </x:c>
      <x:c r="G2514" t="n">
        <x:v>5</x:v>
      </x:c>
      <x:c r="H2514" t="n">
        <x:v>0</x:v>
      </x:c>
      <x:c r="I2514" t="str">
        <x:v>À qualifier par lieu</x:v>
      </x:c>
      <x:c r="J2514" t="str">
        <x:v>https://github.com/darknigthmare/deadwall-last-enclosure/blob/e28f46223e73105ab2c5d83f3d50b99b58ef53e6/codex-3000/compositions/ruines/DW-2509.md</x:v>
      </x:c>
      <x:c r="K2514" t="str">
        <x:v>Source min 68,61 m ; max 68,61 m ; modèle 68 × 61 m ; niveaux 0. Détails dans catalogue-existant.json.</x:v>
      </x:c>
    </x:row>
    <x:row r="2515">
      <x:c r="A2515" t="str">
        <x:v>DW-2510</x:v>
      </x:c>
      <x:c r="B2515" t="str">
        <x:v>DW-0755</x:v>
      </x:c>
      <x:c r="C2515" t="str">
        <x:v>Composition héritée</x:v>
      </x:c>
      <x:c r="D2515" t="str">
        <x:v>ruines</x:v>
      </x:c>
      <x:c r="E2515" t="str">
        <x:v>Village déserté — variante 04 — Ruine envahie et reprise végétale / relais temporaire envisagé</x:v>
      </x:c>
      <x:c r="F2515" t="n">
        <x:v>8</x:v>
      </x:c>
      <x:c r="G2515" t="n">
        <x:v>5</x:v>
      </x:c>
      <x:c r="H2515" t="n">
        <x:v>0</x:v>
      </x:c>
      <x:c r="I2515" t="str">
        <x:v>À qualifier par lieu</x:v>
      </x:c>
      <x:c r="J2515" t="str">
        <x:v>https://github.com/darknigthmare/deadwall-last-enclosure/blob/e28f46223e73105ab2c5d83f3d50b99b58ef53e6/codex-3000/compositions/ruines/DW-2510.md</x:v>
      </x:c>
      <x:c r="K2515" t="str">
        <x:v>Source min 68,61 m ; max 68,61 m ; modèle 68 × 61 m ; niveaux 0. Détails dans catalogue-existant.json.</x:v>
      </x:c>
    </x:row>
    <x:row r="2516">
      <x:c r="A2516" t="str">
        <x:v>DW-2511</x:v>
      </x:c>
      <x:c r="B2516" t="str">
        <x:v>DW-0756</x:v>
      </x:c>
      <x:c r="C2516" t="str">
        <x:v>Composition héritée</x:v>
      </x:c>
      <x:c r="D2516" t="str">
        <x:v>ruines</x:v>
      </x:c>
      <x:c r="E2516" t="str">
        <x:v>Centre commercial effondré — variante 04 — Petit bois et lisière / service déplacé à l’arrière</x:v>
      </x:c>
      <x:c r="F2516" t="n">
        <x:v>8</x:v>
      </x:c>
      <x:c r="G2516" t="n">
        <x:v>5</x:v>
      </x:c>
      <x:c r="H2516" t="n">
        <x:v>0</x:v>
      </x:c>
      <x:c r="I2516" t="str">
        <x:v>À qualifier par lieu</x:v>
      </x:c>
      <x:c r="J2516" t="str">
        <x:v>https://github.com/darknigthmare/deadwall-last-enclosure/blob/e28f46223e73105ab2c5d83f3d50b99b58ef53e6/codex-3000/compositions/ruines/DW-2511.md</x:v>
      </x:c>
      <x:c r="K2516" t="str">
        <x:v>Source min 79,24 m ; max 79,24 m ; modèle 78 × 24 m ; niveaux 0. Détails dans catalogue-existant.json.</x:v>
      </x:c>
    </x:row>
    <x:row r="2517">
      <x:c r="A2517" t="str">
        <x:v>DW-2512</x:v>
      </x:c>
      <x:c r="B2517" t="str">
        <x:v>DW-0756</x:v>
      </x:c>
      <x:c r="C2517" t="str">
        <x:v>Composition héritée</x:v>
      </x:c>
      <x:c r="D2517" t="str">
        <x:v>ruines</x:v>
      </x:c>
      <x:c r="E2517" t="str">
        <x:v>Centre commercial effondré — variante 04 — Centre ancien / réseau principal coupé</x:v>
      </x:c>
      <x:c r="F2517" t="n">
        <x:v>8</x:v>
      </x:c>
      <x:c r="G2517" t="n">
        <x:v>5</x:v>
      </x:c>
      <x:c r="H2517" t="n">
        <x:v>0</x:v>
      </x:c>
      <x:c r="I2517" t="str">
        <x:v>À qualifier par lieu</x:v>
      </x:c>
      <x:c r="J2517" t="str">
        <x:v>https://github.com/darknigthmare/deadwall-last-enclosure/blob/e28f46223e73105ab2c5d83f3d50b99b58ef53e6/codex-3000/compositions/ruines/DW-2512.md</x:v>
      </x:c>
      <x:c r="K2517" t="str">
        <x:v>Source min 79,24 m ; max 79,24 m ; modèle 78 × 24 m ; niveaux 0. Détails dans catalogue-existant.json.</x:v>
      </x:c>
    </x:row>
    <x:row r="2518">
      <x:c r="A2518" t="str">
        <x:v>DW-2513</x:v>
      </x:c>
      <x:c r="B2518" t="str">
        <x:v>DW-0757</x:v>
      </x:c>
      <x:c r="C2518" t="str">
        <x:v>Composition héritée</x:v>
      </x:c>
      <x:c r="D2518" t="str">
        <x:v>habitat</x:v>
      </x:c>
      <x:c r="E2518" t="str">
        <x:v>Maison de lotissement — variante 05 — Quartier pavillonnaire / reprise progressive de la végétation</x:v>
      </x:c>
      <x:c r="F2518" t="n">
        <x:v>8</x:v>
      </x:c>
      <x:c r="G2518" t="n">
        <x:v>5</x:v>
      </x:c>
      <x:c r="H2518" t="n">
        <x:v>0</x:v>
      </x:c>
      <x:c r="I2518" t="str">
        <x:v>À qualifier par lieu</x:v>
      </x:c>
      <x:c r="J2518" t="str">
        <x:v>https://github.com/darknigthmare/deadwall-last-enclosure/blob/e28f46223e73105ab2c5d83f3d50b99b58ef53e6/codex-3000/compositions/habitat/DW-2513.md</x:v>
      </x:c>
      <x:c r="K2518" t="str">
        <x:v>Source min 18,41 m ; max 18,41 m ; modèle 26 × 41 m ; niveaux 0, 1. Détails dans catalogue-existant.json.</x:v>
      </x:c>
    </x:row>
    <x:row r="2519">
      <x:c r="A2519" t="str">
        <x:v>DW-2514</x:v>
      </x:c>
      <x:c r="B2519" t="str">
        <x:v>DW-0757</x:v>
      </x:c>
      <x:c r="C2519" t="str">
        <x:v>Composition héritée</x:v>
      </x:c>
      <x:c r="D2519" t="str">
        <x:v>habitat</x:v>
      </x:c>
      <x:c r="E2519" t="str">
        <x:v>Maison de lotissement — variante 05 — Village et bourg / repli organisé interrompu</x:v>
      </x:c>
      <x:c r="F2519" t="n">
        <x:v>8</x:v>
      </x:c>
      <x:c r="G2519" t="n">
        <x:v>5</x:v>
      </x:c>
      <x:c r="H2519" t="n">
        <x:v>0</x:v>
      </x:c>
      <x:c r="I2519" t="str">
        <x:v>À qualifier par lieu</x:v>
      </x:c>
      <x:c r="J2519" t="str">
        <x:v>https://github.com/darknigthmare/deadwall-last-enclosure/blob/e28f46223e73105ab2c5d83f3d50b99b58ef53e6/codex-3000/compositions/habitat/DW-2514.md</x:v>
      </x:c>
      <x:c r="K2519" t="str">
        <x:v>Source min 18,41 m ; max 18,41 m ; modèle 26 × 41 m ; niveaux 0, 1. Détails dans catalogue-existant.json.</x:v>
      </x:c>
    </x:row>
    <x:row r="2520">
      <x:c r="A2520" t="str">
        <x:v>DW-2515</x:v>
      </x:c>
      <x:c r="B2520" t="str">
        <x:v>DW-0758</x:v>
      </x:c>
      <x:c r="C2520" t="str">
        <x:v>Composition héritée</x:v>
      </x:c>
      <x:c r="D2520" t="str">
        <x:v>habitat</x:v>
      </x:c>
      <x:c r="E2520" t="str">
        <x:v>Maison mitoyenne — variante 05 — Hameau / relais temporaire envisagé</x:v>
      </x:c>
      <x:c r="F2520" t="n">
        <x:v>8</x:v>
      </x:c>
      <x:c r="G2520" t="n">
        <x:v>5</x:v>
      </x:c>
      <x:c r="H2520" t="n">
        <x:v>0</x:v>
      </x:c>
      <x:c r="I2520" t="str">
        <x:v>À qualifier par lieu</x:v>
      </x:c>
      <x:c r="J2520" t="str">
        <x:v>https://github.com/darknigthmare/deadwall-last-enclosure/blob/e28f46223e73105ab2c5d83f3d50b99b58ef53e6/codex-3000/compositions/habitat/DW-2515.md</x:v>
      </x:c>
      <x:c r="K2520" t="str">
        <x:v>Source min 29,58 m ; max 29,58 m ; modèle 29 × 58 m ; niveaux 0. Détails dans catalogue-existant.json.</x:v>
      </x:c>
    </x:row>
    <x:row r="2521">
      <x:c r="A2521" t="str">
        <x:v>DW-2516</x:v>
      </x:c>
      <x:c r="B2521" t="str">
        <x:v>DW-0758</x:v>
      </x:c>
      <x:c r="C2521" t="str">
        <x:v>Composition héritée</x:v>
      </x:c>
      <x:c r="D2521" t="str">
        <x:v>habitat</x:v>
      </x:c>
      <x:c r="E2521" t="str">
        <x:v>Maison mitoyenne — variante 05 — Quartier collectif / évacuation interrompue</x:v>
      </x:c>
      <x:c r="F2521" t="n">
        <x:v>8</x:v>
      </x:c>
      <x:c r="G2521" t="n">
        <x:v>5</x:v>
      </x:c>
      <x:c r="H2521" t="n">
        <x:v>0</x:v>
      </x:c>
      <x:c r="I2521" t="str">
        <x:v>À qualifier par lieu</x:v>
      </x:c>
      <x:c r="J2521" t="str">
        <x:v>https://github.com/darknigthmare/deadwall-last-enclosure/blob/e28f46223e73105ab2c5d83f3d50b99b58ef53e6/codex-3000/compositions/habitat/DW-2516.md</x:v>
      </x:c>
      <x:c r="K2521" t="str">
        <x:v>Source min 29,58 m ; max 29,58 m ; modèle 29 × 58 m ; niveaux 0. Détails dans catalogue-existant.json.</x:v>
      </x:c>
    </x:row>
    <x:row r="2522">
      <x:c r="A2522" t="str">
        <x:v>DW-2517</x:v>
      </x:c>
      <x:c r="B2522" t="str">
        <x:v>DW-0759</x:v>
      </x:c>
      <x:c r="C2522" t="str">
        <x:v>Composition héritée</x:v>
      </x:c>
      <x:c r="D2522" t="str">
        <x:v>habitat</x:v>
      </x:c>
      <x:c r="E2522" t="str">
        <x:v>Villa isolée — variante 05 — Village et bourg / réseau principal coupé</x:v>
      </x:c>
      <x:c r="F2522" t="n">
        <x:v>8</x:v>
      </x:c>
      <x:c r="G2522" t="n">
        <x:v>7</x:v>
      </x:c>
      <x:c r="H2522" t="n">
        <x:v>0</x:v>
      </x:c>
      <x:c r="I2522" t="str">
        <x:v>À qualifier par lieu</x:v>
      </x:c>
      <x:c r="J2522" t="str">
        <x:v>https://github.com/darknigthmare/deadwall-last-enclosure/blob/e28f46223e73105ab2c5d83f3d50b99b58ef53e6/codex-3000/compositions/habitat/DW-2517.md</x:v>
      </x:c>
      <x:c r="K2522" t="str">
        <x:v>Source min 40,21 m ; max 40,21 m ; modèle 40 × 29 m ; niveaux 0. Détails dans catalogue-existant.json.</x:v>
      </x:c>
    </x:row>
    <x:row r="2523">
      <x:c r="A2523" t="str">
        <x:v>DW-2518</x:v>
      </x:c>
      <x:c r="B2523" t="str">
        <x:v>DW-0759</x:v>
      </x:c>
      <x:c r="C2523" t="str">
        <x:v>Composition héritée</x:v>
      </x:c>
      <x:c r="D2523" t="str">
        <x:v>habitat</x:v>
      </x:c>
      <x:c r="E2523" t="str">
        <x:v>Villa isolée — variante 05 — Quartier pavillonnaire / arrêt de maintenance</x:v>
      </x:c>
      <x:c r="F2523" t="n">
        <x:v>8</x:v>
      </x:c>
      <x:c r="G2523" t="n">
        <x:v>7</x:v>
      </x:c>
      <x:c r="H2523" t="n">
        <x:v>0</x:v>
      </x:c>
      <x:c r="I2523" t="str">
        <x:v>À qualifier par lieu</x:v>
      </x:c>
      <x:c r="J2523" t="str">
        <x:v>https://github.com/darknigthmare/deadwall-last-enclosure/blob/e28f46223e73105ab2c5d83f3d50b99b58ef53e6/codex-3000/compositions/habitat/DW-2518.md</x:v>
      </x:c>
      <x:c r="K2523" t="str">
        <x:v>Source min 40,21 m ; max 40,21 m ; modèle 40 × 29 m ; niveaux 0. Détails dans catalogue-existant.json.</x:v>
      </x:c>
    </x:row>
    <x:row r="2524">
      <x:c r="A2524" t="str">
        <x:v>DW-2519</x:v>
      </x:c>
      <x:c r="B2524" t="str">
        <x:v>DW-0760</x:v>
      </x:c>
      <x:c r="C2524" t="str">
        <x:v>Composition héritée</x:v>
      </x:c>
      <x:c r="D2524" t="str">
        <x:v>habitat</x:v>
      </x:c>
      <x:c r="E2524" t="str">
        <x:v>Ferme familiale — variante 05 — Quartier collectif / repli organisé interrompu</x:v>
      </x:c>
      <x:c r="F2524" t="n">
        <x:v>8</x:v>
      </x:c>
      <x:c r="G2524" t="n">
        <x:v>6</x:v>
      </x:c>
      <x:c r="H2524" t="n">
        <x:v>0</x:v>
      </x:c>
      <x:c r="I2524" t="str">
        <x:v>À qualifier par lieu</x:v>
      </x:c>
      <x:c r="J2524" t="str">
        <x:v>https://github.com/darknigthmare/deadwall-last-enclosure/blob/e28f46223e73105ab2c5d83f3d50b99b58ef53e6/codex-3000/compositions/habitat/DW-2519.md</x:v>
      </x:c>
      <x:c r="K2524" t="str">
        <x:v>Source min 51,38 m ; max 51,38 m ; modèle 51 × 38 m ; niveaux 0. Détails dans catalogue-existant.json.</x:v>
      </x:c>
    </x:row>
    <x:row r="2525">
      <x:c r="A2525" t="str">
        <x:v>DW-2520</x:v>
      </x:c>
      <x:c r="B2525" t="str">
        <x:v>DW-0760</x:v>
      </x:c>
      <x:c r="C2525" t="str">
        <x:v>Composition héritée</x:v>
      </x:c>
      <x:c r="D2525" t="str">
        <x:v>habitat</x:v>
      </x:c>
      <x:c r="E2525" t="str">
        <x:v>Ferme familiale — variante 05 — Hameau / première récupération passée</x:v>
      </x:c>
      <x:c r="F2525" t="n">
        <x:v>8</x:v>
      </x:c>
      <x:c r="G2525" t="n">
        <x:v>6</x:v>
      </x:c>
      <x:c r="H2525" t="n">
        <x:v>0</x:v>
      </x:c>
      <x:c r="I2525" t="str">
        <x:v>À qualifier par lieu</x:v>
      </x:c>
      <x:c r="J2525" t="str">
        <x:v>https://github.com/darknigthmare/deadwall-last-enclosure/blob/e28f46223e73105ab2c5d83f3d50b99b58ef53e6/codex-3000/compositions/habitat/DW-2520.md</x:v>
      </x:c>
      <x:c r="K2525" t="str">
        <x:v>Source min 51,38 m ; max 51,38 m ; modèle 51 × 38 m ; niveaux 0. Détails dans catalogue-existant.json.</x:v>
      </x:c>
    </x:row>
    <x:row r="2526">
      <x:c r="A2526" t="str">
        <x:v>DW-2521</x:v>
      </x:c>
      <x:c r="B2526" t="str">
        <x:v>DW-0761</x:v>
      </x:c>
      <x:c r="C2526" t="str">
        <x:v>Composition héritée</x:v>
      </x:c>
      <x:c r="D2526" t="str">
        <x:v>habitat</x:v>
      </x:c>
      <x:c r="E2526" t="str">
        <x:v>Immeuble résidentiel — variante 05 — Quartier pavillonnaire / évacuation interrompue</x:v>
      </x:c>
      <x:c r="F2526" t="n">
        <x:v>8</x:v>
      </x:c>
      <x:c r="G2526" t="n">
        <x:v>5</x:v>
      </x:c>
      <x:c r="H2526" t="n">
        <x:v>0</x:v>
      </x:c>
      <x:c r="I2526" t="str">
        <x:v>À qualifier par lieu</x:v>
      </x:c>
      <x:c r="J2526" t="str">
        <x:v>https://github.com/darknigthmare/deadwall-last-enclosure/blob/e28f46223e73105ab2c5d83f3d50b99b58ef53e6/codex-3000/compositions/habitat/DW-2521.md</x:v>
      </x:c>
      <x:c r="K2526" t="str">
        <x:v>Source min 62,55 m ; max 62,55 m ; modèle 62 × 55 m ; niveaux 0, 1, 2. Détails dans catalogue-existant.json.</x:v>
      </x:c>
    </x:row>
    <x:row r="2527">
      <x:c r="A2527" t="str">
        <x:v>DW-2522</x:v>
      </x:c>
      <x:c r="B2527" t="str">
        <x:v>DW-0761</x:v>
      </x:c>
      <x:c r="C2527" t="str">
        <x:v>Composition héritée</x:v>
      </x:c>
      <x:c r="D2527" t="str">
        <x:v>habitat</x:v>
      </x:c>
      <x:c r="E2527" t="str">
        <x:v>Immeuble résidentiel — variante 05 — Village et bourg / service déplacé à l’arrière</x:v>
      </x:c>
      <x:c r="F2527" t="n">
        <x:v>8</x:v>
      </x:c>
      <x:c r="G2527" t="n">
        <x:v>5</x:v>
      </x:c>
      <x:c r="H2527" t="n">
        <x:v>0</x:v>
      </x:c>
      <x:c r="I2527" t="str">
        <x:v>À qualifier par lieu</x:v>
      </x:c>
      <x:c r="J2527" t="str">
        <x:v>https://github.com/darknigthmare/deadwall-last-enclosure/blob/e28f46223e73105ab2c5d83f3d50b99b58ef53e6/codex-3000/compositions/habitat/DW-2522.md</x:v>
      </x:c>
      <x:c r="K2527" t="str">
        <x:v>Source min 62,55 m ; max 62,55 m ; modèle 62 × 55 m ; niveaux 0, 1, 2. Détails dans catalogue-existant.json.</x:v>
      </x:c>
    </x:row>
    <x:row r="2528">
      <x:c r="A2528" t="str">
        <x:v>DW-2523</x:v>
      </x:c>
      <x:c r="B2528" t="str">
        <x:v>DW-0762</x:v>
      </x:c>
      <x:c r="C2528" t="str">
        <x:v>Composition héritée</x:v>
      </x:c>
      <x:c r="D2528" t="str">
        <x:v>habitat</x:v>
      </x:c>
      <x:c r="E2528" t="str">
        <x:v>Barre de logements — variante 05 — Hameau / arrêt de maintenance</x:v>
      </x:c>
      <x:c r="F2528" t="n">
        <x:v>8</x:v>
      </x:c>
      <x:c r="G2528" t="n">
        <x:v>5</x:v>
      </x:c>
      <x:c r="H2528" t="n">
        <x:v>0</x:v>
      </x:c>
      <x:c r="I2528" t="str">
        <x:v>À qualifier par lieu</x:v>
      </x:c>
      <x:c r="J2528" t="str">
        <x:v>https://github.com/darknigthmare/deadwall-last-enclosure/blob/e28f46223e73105ab2c5d83f3d50b99b58ef53e6/codex-3000/compositions/habitat/DW-2523.md</x:v>
      </x:c>
      <x:c r="K2528" t="str">
        <x:v>Source min 73,18 m ; max 73,18 m ; modèle 73 × 22 m ; niveaux 0, 1. Détails dans catalogue-existant.json.</x:v>
      </x:c>
    </x:row>
    <x:row r="2529">
      <x:c r="A2529" t="str">
        <x:v>DW-2524</x:v>
      </x:c>
      <x:c r="B2529" t="str">
        <x:v>DW-0762</x:v>
      </x:c>
      <x:c r="C2529" t="str">
        <x:v>Composition héritée</x:v>
      </x:c>
      <x:c r="D2529" t="str">
        <x:v>habitat</x:v>
      </x:c>
      <x:c r="E2529" t="str">
        <x:v>Barre de logements — variante 05 — Quartier collectif / reprise progressive de la végétation</x:v>
      </x:c>
      <x:c r="F2529" t="n">
        <x:v>8</x:v>
      </x:c>
      <x:c r="G2529" t="n">
        <x:v>5</x:v>
      </x:c>
      <x:c r="H2529" t="n">
        <x:v>0</x:v>
      </x:c>
      <x:c r="I2529" t="str">
        <x:v>À qualifier par lieu</x:v>
      </x:c>
      <x:c r="J2529" t="str">
        <x:v>https://github.com/darknigthmare/deadwall-last-enclosure/blob/e28f46223e73105ab2c5d83f3d50b99b58ef53e6/codex-3000/compositions/habitat/DW-2524.md</x:v>
      </x:c>
      <x:c r="K2529" t="str">
        <x:v>Source min 73,18 m ; max 73,18 m ; modèle 73 × 22 m ; niveaux 0, 1. Détails dans catalogue-existant.json.</x:v>
      </x:c>
    </x:row>
    <x:row r="2530">
      <x:c r="A2530" t="str">
        <x:v>DW-2525</x:v>
      </x:c>
      <x:c r="B2530" t="str">
        <x:v>DW-0763</x:v>
      </x:c>
      <x:c r="C2530" t="str">
        <x:v>Composition héritée</x:v>
      </x:c>
      <x:c r="D2530" t="str">
        <x:v>habitat</x:v>
      </x:c>
      <x:c r="E2530" t="str">
        <x:v>Résidence senior — variante 05 — Village et bourg / première récupération passée</x:v>
      </x:c>
      <x:c r="F2530" t="n">
        <x:v>8</x:v>
      </x:c>
      <x:c r="G2530" t="n">
        <x:v>5</x:v>
      </x:c>
      <x:c r="H2530" t="n">
        <x:v>0</x:v>
      </x:c>
      <x:c r="I2530" t="str">
        <x:v>À qualifier par lieu</x:v>
      </x:c>
      <x:c r="J2530" t="str">
        <x:v>https://github.com/darknigthmare/deadwall-last-enclosure/blob/e28f46223e73105ab2c5d83f3d50b99b58ef53e6/codex-3000/compositions/habitat/DW-2525.md</x:v>
      </x:c>
      <x:c r="K2530" t="str">
        <x:v>Source min 12,35 m ; max 12,35 m ; modèle 26 × 35 m ; niveaux 0, 1, 2. Détails dans catalogue-existant.json.</x:v>
      </x:c>
    </x:row>
    <x:row r="2531">
      <x:c r="A2531" t="str">
        <x:v>DW-2526</x:v>
      </x:c>
      <x:c r="B2531" t="str">
        <x:v>DW-0763</x:v>
      </x:c>
      <x:c r="C2531" t="str">
        <x:v>Composition héritée</x:v>
      </x:c>
      <x:c r="D2531" t="str">
        <x:v>habitat</x:v>
      </x:c>
      <x:c r="E2531" t="str">
        <x:v>Résidence senior — variante 05 — Quartier pavillonnaire / relais temporaire envisagé</x:v>
      </x:c>
      <x:c r="F2531" t="n">
        <x:v>8</x:v>
      </x:c>
      <x:c r="G2531" t="n">
        <x:v>5</x:v>
      </x:c>
      <x:c r="H2531" t="n">
        <x:v>0</x:v>
      </x:c>
      <x:c r="I2531" t="str">
        <x:v>À qualifier par lieu</x:v>
      </x:c>
      <x:c r="J2531" t="str">
        <x:v>https://github.com/darknigthmare/deadwall-last-enclosure/blob/e28f46223e73105ab2c5d83f3d50b99b58ef53e6/codex-3000/compositions/habitat/DW-2526.md</x:v>
      </x:c>
      <x:c r="K2531" t="str">
        <x:v>Source min 12,35 m ; max 12,35 m ; modèle 26 × 35 m ; niveaux 0, 1, 2. Détails dans catalogue-existant.json.</x:v>
      </x:c>
    </x:row>
    <x:row r="2532">
      <x:c r="A2532" t="str">
        <x:v>DW-2527</x:v>
      </x:c>
      <x:c r="B2532" t="str">
        <x:v>DW-0764</x:v>
      </x:c>
      <x:c r="C2532" t="str">
        <x:v>Composition héritée</x:v>
      </x:c>
      <x:c r="D2532" t="str">
        <x:v>habitat</x:v>
      </x:c>
      <x:c r="E2532" t="str">
        <x:v>Maison avec sous-sol — variante 05 — Quartier collectif / service déplacé à l’arrière</x:v>
      </x:c>
      <x:c r="F2532" t="n">
        <x:v>8</x:v>
      </x:c>
      <x:c r="G2532" t="n">
        <x:v>5</x:v>
      </x:c>
      <x:c r="H2532" t="n">
        <x:v>0</x:v>
      </x:c>
      <x:c r="I2532" t="str">
        <x:v>À qualifier par lieu</x:v>
      </x:c>
      <x:c r="J2532" t="str">
        <x:v>https://github.com/darknigthmare/deadwall-last-enclosure/blob/e28f46223e73105ab2c5d83f3d50b99b58ef53e6/codex-3000/compositions/habitat/DW-2527.md</x:v>
      </x:c>
      <x:c r="K2532" t="str">
        <x:v>Source min 23,52 m ; max 23,52 m ; modèle 26 × 52 m ; niveaux 0. Détails dans catalogue-existant.json.</x:v>
      </x:c>
    </x:row>
    <x:row r="2533">
      <x:c r="A2533" t="str">
        <x:v>DW-2528</x:v>
      </x:c>
      <x:c r="B2533" t="str">
        <x:v>DW-0764</x:v>
      </x:c>
      <x:c r="C2533" t="str">
        <x:v>Composition héritée</x:v>
      </x:c>
      <x:c r="D2533" t="str">
        <x:v>habitat</x:v>
      </x:c>
      <x:c r="E2533" t="str">
        <x:v>Maison avec sous-sol — variante 05 — Hameau / réseau principal coupé</x:v>
      </x:c>
      <x:c r="F2533" t="n">
        <x:v>8</x:v>
      </x:c>
      <x:c r="G2533" t="n">
        <x:v>5</x:v>
      </x:c>
      <x:c r="H2533" t="n">
        <x:v>0</x:v>
      </x:c>
      <x:c r="I2533" t="str">
        <x:v>À qualifier par lieu</x:v>
      </x:c>
      <x:c r="J2533" t="str">
        <x:v>https://github.com/darknigthmare/deadwall-last-enclosure/blob/e28f46223e73105ab2c5d83f3d50b99b58ef53e6/codex-3000/compositions/habitat/DW-2528.md</x:v>
      </x:c>
      <x:c r="K2533" t="str">
        <x:v>Source min 23,52 m ; max 23,52 m ; modèle 26 × 52 m ; niveaux 0. Détails dans catalogue-existant.json.</x:v>
      </x:c>
    </x:row>
    <x:row r="2534">
      <x:c r="A2534" t="str">
        <x:v>DW-2529</x:v>
      </x:c>
      <x:c r="B2534" t="str">
        <x:v>DW-0765</x:v>
      </x:c>
      <x:c r="C2534" t="str">
        <x:v>Composition héritée</x:v>
      </x:c>
      <x:c r="D2534" t="str">
        <x:v>commerce</x:v>
      </x:c>
      <x:c r="E2534" t="str">
        <x:v>Supérette — variante 05 — Zone commerciale / reprise progressive de la végétation</x:v>
      </x:c>
      <x:c r="F2534" t="n">
        <x:v>8</x:v>
      </x:c>
      <x:c r="G2534" t="n">
        <x:v>5</x:v>
      </x:c>
      <x:c r="H2534" t="n">
        <x:v>0</x:v>
      </x:c>
      <x:c r="I2534" t="str">
        <x:v>À qualifier par lieu</x:v>
      </x:c>
      <x:c r="J2534" t="str">
        <x:v>https://github.com/darknigthmare/deadwall-last-enclosure/blob/e28f46223e73105ab2c5d83f3d50b99b58ef53e6/codex-3000/compositions/commerce/DW-2529.md</x:v>
      </x:c>
      <x:c r="K2534" t="str">
        <x:v>Source min 34,15 m ; max 34,15 m ; modèle 34 × 22 m ; niveaux 0, 1. Détails dans catalogue-existant.json.</x:v>
      </x:c>
    </x:row>
    <x:row r="2535">
      <x:c r="A2535" t="str">
        <x:v>DW-2530</x:v>
      </x:c>
      <x:c r="B2535" t="str">
        <x:v>DW-0765</x:v>
      </x:c>
      <x:c r="C2535" t="str">
        <x:v>Composition héritée</x:v>
      </x:c>
      <x:c r="D2535" t="str">
        <x:v>commerce</x:v>
      </x:c>
      <x:c r="E2535" t="str">
        <x:v>Supérette — variante 05 — Village et bourg / repli organisé interrompu</x:v>
      </x:c>
      <x:c r="F2535" t="n">
        <x:v>8</x:v>
      </x:c>
      <x:c r="G2535" t="n">
        <x:v>5</x:v>
      </x:c>
      <x:c r="H2535" t="n">
        <x:v>0</x:v>
      </x:c>
      <x:c r="I2535" t="str">
        <x:v>À qualifier par lieu</x:v>
      </x:c>
      <x:c r="J2535" t="str">
        <x:v>https://github.com/darknigthmare/deadwall-last-enclosure/blob/e28f46223e73105ab2c5d83f3d50b99b58ef53e6/codex-3000/compositions/commerce/DW-2530.md</x:v>
      </x:c>
      <x:c r="K2535" t="str">
        <x:v>Source min 34,15 m ; max 34,15 m ; modèle 34 × 22 m ; niveaux 0, 1. Détails dans catalogue-existant.json.</x:v>
      </x:c>
    </x:row>
    <x:row r="2536">
      <x:c r="A2536" t="str">
        <x:v>DW-2531</x:v>
      </x:c>
      <x:c r="B2536" t="str">
        <x:v>DW-0766</x:v>
      </x:c>
      <x:c r="C2536" t="str">
        <x:v>Composition héritée</x:v>
      </x:c>
      <x:c r="D2536" t="str">
        <x:v>commerce</x:v>
      </x:c>
      <x:c r="E2536" t="str">
        <x:v>Centre commercial — variante 05 — Ville moyenne / relais temporaire envisagé</x:v>
      </x:c>
      <x:c r="F2536" t="n">
        <x:v>8</x:v>
      </x:c>
      <x:c r="G2536" t="n">
        <x:v>6</x:v>
      </x:c>
      <x:c r="H2536" t="n">
        <x:v>0</x:v>
      </x:c>
      <x:c r="I2536" t="str">
        <x:v>À qualifier par lieu</x:v>
      </x:c>
      <x:c r="J2536" t="str">
        <x:v>https://github.com/darknigthmare/deadwall-last-enclosure/blob/e28f46223e73105ab2c5d83f3d50b99b58ef53e6/codex-3000/compositions/commerce/DW-2531.md</x:v>
      </x:c>
      <x:c r="K2536" t="str">
        <x:v>Source min 45,32 m ; max 45,32 m ; modèle 45 × 32 m ; niveaux 0. Détails dans catalogue-existant.json.</x:v>
      </x:c>
    </x:row>
    <x:row r="2537">
      <x:c r="A2537" t="str">
        <x:v>DW-2532</x:v>
      </x:c>
      <x:c r="B2537" t="str">
        <x:v>DW-0766</x:v>
      </x:c>
      <x:c r="C2537" t="str">
        <x:v>Composition héritée</x:v>
      </x:c>
      <x:c r="D2537" t="str">
        <x:v>commerce</x:v>
      </x:c>
      <x:c r="E2537" t="str">
        <x:v>Centre commercial — variante 05 — Grande ville et métropole / évacuation interrompue</x:v>
      </x:c>
      <x:c r="F2537" t="n">
        <x:v>8</x:v>
      </x:c>
      <x:c r="G2537" t="n">
        <x:v>6</x:v>
      </x:c>
      <x:c r="H2537" t="n">
        <x:v>0</x:v>
      </x:c>
      <x:c r="I2537" t="str">
        <x:v>À qualifier par lieu</x:v>
      </x:c>
      <x:c r="J2537" t="str">
        <x:v>https://github.com/darknigthmare/deadwall-last-enclosure/blob/e28f46223e73105ab2c5d83f3d50b99b58ef53e6/codex-3000/compositions/commerce/DW-2532.md</x:v>
      </x:c>
      <x:c r="K2537" t="str">
        <x:v>Source min 45,32 m ; max 45,32 m ; modèle 45 × 32 m ; niveaux 0. Détails dans catalogue-existant.json.</x:v>
      </x:c>
    </x:row>
    <x:row r="2538">
      <x:c r="A2538" t="str">
        <x:v>DW-2533</x:v>
      </x:c>
      <x:c r="B2538" t="str">
        <x:v>DW-0767</x:v>
      </x:c>
      <x:c r="C2538" t="str">
        <x:v>Composition héritée</x:v>
      </x:c>
      <x:c r="D2538" t="str">
        <x:v>commerce</x:v>
      </x:c>
      <x:c r="E2538" t="str">
        <x:v>Supermarché — variante 05 — Village et bourg / réseau principal coupé</x:v>
      </x:c>
      <x:c r="F2538" t="n">
        <x:v>8</x:v>
      </x:c>
      <x:c r="G2538" t="n">
        <x:v>7</x:v>
      </x:c>
      <x:c r="H2538" t="n">
        <x:v>0</x:v>
      </x:c>
      <x:c r="I2538" t="str">
        <x:v>À qualifier par lieu</x:v>
      </x:c>
      <x:c r="J2538" t="str">
        <x:v>https://github.com/darknigthmare/deadwall-last-enclosure/blob/e28f46223e73105ab2c5d83f3d50b99b58ef53e6/codex-3000/compositions/commerce/DW-2533.md</x:v>
      </x:c>
      <x:c r="K2538" t="str">
        <x:v>Source min 56,49 m ; max 56,49 m ; modèle 56 × 49 m ; niveaux 0. Détails dans catalogue-existant.json.</x:v>
      </x:c>
    </x:row>
    <x:row r="2539">
      <x:c r="A2539" t="str">
        <x:v>DW-2534</x:v>
      </x:c>
      <x:c r="B2539" t="str">
        <x:v>DW-0767</x:v>
      </x:c>
      <x:c r="C2539" t="str">
        <x:v>Composition héritée</x:v>
      </x:c>
      <x:c r="D2539" t="str">
        <x:v>commerce</x:v>
      </x:c>
      <x:c r="E2539" t="str">
        <x:v>Supermarché — variante 05 — Zone commerciale / arrêt de maintenance</x:v>
      </x:c>
      <x:c r="F2539" t="n">
        <x:v>8</x:v>
      </x:c>
      <x:c r="G2539" t="n">
        <x:v>7</x:v>
      </x:c>
      <x:c r="H2539" t="n">
        <x:v>0</x:v>
      </x:c>
      <x:c r="I2539" t="str">
        <x:v>À qualifier par lieu</x:v>
      </x:c>
      <x:c r="J2539" t="str">
        <x:v>https://github.com/darknigthmare/deadwall-last-enclosure/blob/e28f46223e73105ab2c5d83f3d50b99b58ef53e6/codex-3000/compositions/commerce/DW-2534.md</x:v>
      </x:c>
      <x:c r="K2539" t="str">
        <x:v>Source min 56,49 m ; max 56,49 m ; modèle 56 × 49 m ; niveaux 0. Détails dans catalogue-existant.json.</x:v>
      </x:c>
    </x:row>
    <x:row r="2540">
      <x:c r="A2540" t="str">
        <x:v>DW-2535</x:v>
      </x:c>
      <x:c r="B2540" t="str">
        <x:v>DW-0768</x:v>
      </x:c>
      <x:c r="C2540" t="str">
        <x:v>Composition héritée</x:v>
      </x:c>
      <x:c r="D2540" t="str">
        <x:v>commerce</x:v>
      </x:c>
      <x:c r="E2540" t="str">
        <x:v>Magasin de bricolage — variante 05 — Grande ville et métropole / repli organisé interrompu</x:v>
      </x:c>
      <x:c r="F2540" t="n">
        <x:v>8</x:v>
      </x:c>
      <x:c r="G2540" t="n">
        <x:v>5</x:v>
      </x:c>
      <x:c r="H2540" t="n">
        <x:v>0</x:v>
      </x:c>
      <x:c r="I2540" t="str">
        <x:v>À qualifier par lieu</x:v>
      </x:c>
      <x:c r="J2540" t="str">
        <x:v>https://github.com/darknigthmare/deadwall-last-enclosure/blob/e28f46223e73105ab2c5d83f3d50b99b58ef53e6/codex-3000/compositions/commerce/DW-2535.md</x:v>
      </x:c>
      <x:c r="K2540" t="str">
        <x:v>Source min 67,12 m ; max 67,12 m ; modèle 67 × 22 m ; niveaux 0. Détails dans catalogue-existant.json.</x:v>
      </x:c>
    </x:row>
    <x:row r="2541">
      <x:c r="A2541" t="str">
        <x:v>DW-2536</x:v>
      </x:c>
      <x:c r="B2541" t="str">
        <x:v>DW-0768</x:v>
      </x:c>
      <x:c r="C2541" t="str">
        <x:v>Composition héritée</x:v>
      </x:c>
      <x:c r="D2541" t="str">
        <x:v>commerce</x:v>
      </x:c>
      <x:c r="E2541" t="str">
        <x:v>Magasin de bricolage — variante 05 — Ville moyenne / première récupération passée</x:v>
      </x:c>
      <x:c r="F2541" t="n">
        <x:v>8</x:v>
      </x:c>
      <x:c r="G2541" t="n">
        <x:v>5</x:v>
      </x:c>
      <x:c r="H2541" t="n">
        <x:v>0</x:v>
      </x:c>
      <x:c r="I2541" t="str">
        <x:v>À qualifier par lieu</x:v>
      </x:c>
      <x:c r="J2541" t="str">
        <x:v>https://github.com/darknigthmare/deadwall-last-enclosure/blob/e28f46223e73105ab2c5d83f3d50b99b58ef53e6/codex-3000/compositions/commerce/DW-2536.md</x:v>
      </x:c>
      <x:c r="K2541" t="str">
        <x:v>Source min 67,12 m ; max 67,12 m ; modèle 67 × 22 m ; niveaux 0. Détails dans catalogue-existant.json.</x:v>
      </x:c>
    </x:row>
    <x:row r="2542">
      <x:c r="A2542" t="str">
        <x:v>DW-2537</x:v>
      </x:c>
      <x:c r="B2542" t="str">
        <x:v>DW-0769</x:v>
      </x:c>
      <x:c r="C2542" t="str">
        <x:v>Composition héritée</x:v>
      </x:c>
      <x:c r="D2542" t="str">
        <x:v>commerce</x:v>
      </x:c>
      <x:c r="E2542" t="str">
        <x:v>Pharmacie — variante 05 — Zone commerciale / évacuation interrompue</x:v>
      </x:c>
      <x:c r="F2542" t="n">
        <x:v>8</x:v>
      </x:c>
      <x:c r="G2542" t="n">
        <x:v>4</x:v>
      </x:c>
      <x:c r="H2542" t="n">
        <x:v>0</x:v>
      </x:c>
      <x:c r="I2542" t="str">
        <x:v>À qualifier par lieu</x:v>
      </x:c>
      <x:c r="J2542" t="str">
        <x:v>https://github.com/darknigthmare/deadwall-last-enclosure/blob/e28f46223e73105ab2c5d83f3d50b99b58ef53e6/codex-3000/compositions/commerce/DW-2537.md</x:v>
      </x:c>
      <x:c r="K2542" t="str">
        <x:v>Source min 78,29 m ; max 78,29 m ; modèle 78 × 29 m ; niveaux 0, 1. Détails dans catalogue-existant.json.</x:v>
      </x:c>
    </x:row>
    <x:row r="2543">
      <x:c r="A2543" t="str">
        <x:v>DW-2538</x:v>
      </x:c>
      <x:c r="B2543" t="str">
        <x:v>DW-0769</x:v>
      </x:c>
      <x:c r="C2543" t="str">
        <x:v>Composition héritée</x:v>
      </x:c>
      <x:c r="D2543" t="str">
        <x:v>commerce</x:v>
      </x:c>
      <x:c r="E2543" t="str">
        <x:v>Pharmacie — variante 05 — Village et bourg / service déplacé à l’arrière</x:v>
      </x:c>
      <x:c r="F2543" t="n">
        <x:v>8</x:v>
      </x:c>
      <x:c r="G2543" t="n">
        <x:v>4</x:v>
      </x:c>
      <x:c r="H2543" t="n">
        <x:v>0</x:v>
      </x:c>
      <x:c r="I2543" t="str">
        <x:v>À qualifier par lieu</x:v>
      </x:c>
      <x:c r="J2543" t="str">
        <x:v>https://github.com/darknigthmare/deadwall-last-enclosure/blob/e28f46223e73105ab2c5d83f3d50b99b58ef53e6/codex-3000/compositions/commerce/DW-2538.md</x:v>
      </x:c>
      <x:c r="K2543" t="str">
        <x:v>Source min 78,29 m ; max 78,29 m ; modèle 78 × 29 m ; niveaux 0, 1. Détails dans catalogue-existant.json.</x:v>
      </x:c>
    </x:row>
    <x:row r="2544">
      <x:c r="A2544" t="str">
        <x:v>DW-2539</x:v>
      </x:c>
      <x:c r="B2544" t="str">
        <x:v>DW-0770</x:v>
      </x:c>
      <x:c r="C2544" t="str">
        <x:v>Composition héritée</x:v>
      </x:c>
      <x:c r="D2544" t="str">
        <x:v>commerce</x:v>
      </x:c>
      <x:c r="E2544" t="str">
        <x:v>Station-service — variante 05 — Ville moyenne / arrêt de maintenance</x:v>
      </x:c>
      <x:c r="F2544" t="n">
        <x:v>8</x:v>
      </x:c>
      <x:c r="G2544" t="n">
        <x:v>5</x:v>
      </x:c>
      <x:c r="H2544" t="n">
        <x:v>0</x:v>
      </x:c>
      <x:c r="I2544" t="str">
        <x:v>À qualifier par lieu</x:v>
      </x:c>
      <x:c r="J2544" t="str">
        <x:v>https://github.com/darknigthmare/deadwall-last-enclosure/blob/e28f46223e73105ab2c5d83f3d50b99b58ef53e6/codex-3000/compositions/commerce/DW-2539.md</x:v>
      </x:c>
      <x:c r="K2544" t="str">
        <x:v>Source min 17,46 m ; max 17,46 m ; modèle 26 × 46 m ; niveaux 0. Détails dans catalogue-existant.json.</x:v>
      </x:c>
    </x:row>
    <x:row r="2545">
      <x:c r="A2545" t="str">
        <x:v>DW-2540</x:v>
      </x:c>
      <x:c r="B2545" t="str">
        <x:v>DW-0770</x:v>
      </x:c>
      <x:c r="C2545" t="str">
        <x:v>Composition héritée</x:v>
      </x:c>
      <x:c r="D2545" t="str">
        <x:v>commerce</x:v>
      </x:c>
      <x:c r="E2545" t="str">
        <x:v>Station-service — variante 05 — Grande ville et métropole / reprise progressive de la végétation</x:v>
      </x:c>
      <x:c r="F2545" t="n">
        <x:v>8</x:v>
      </x:c>
      <x:c r="G2545" t="n">
        <x:v>5</x:v>
      </x:c>
      <x:c r="H2545" t="n">
        <x:v>0</x:v>
      </x:c>
      <x:c r="I2545" t="str">
        <x:v>À qualifier par lieu</x:v>
      </x:c>
      <x:c r="J2545" t="str">
        <x:v>https://github.com/darknigthmare/deadwall-last-enclosure/blob/e28f46223e73105ab2c5d83f3d50b99b58ef53e6/codex-3000/compositions/commerce/DW-2540.md</x:v>
      </x:c>
      <x:c r="K2545" t="str">
        <x:v>Source min 17,46 m ; max 17,46 m ; modèle 26 × 46 m ; niveaux 0. Détails dans catalogue-existant.json.</x:v>
      </x:c>
    </x:row>
    <x:row r="2546">
      <x:c r="A2546" t="str">
        <x:v>DW-2541</x:v>
      </x:c>
      <x:c r="B2546" t="str">
        <x:v>DW-0771</x:v>
      </x:c>
      <x:c r="C2546" t="str">
        <x:v>Composition héritée</x:v>
      </x:c>
      <x:c r="D2546" t="str">
        <x:v>commerce</x:v>
      </x:c>
      <x:c r="E2546" t="str">
        <x:v>Restaurant routier — variante 05 — Village et bourg / première récupération passée</x:v>
      </x:c>
      <x:c r="F2546" t="n">
        <x:v>8</x:v>
      </x:c>
      <x:c r="G2546" t="n">
        <x:v>5</x:v>
      </x:c>
      <x:c r="H2546" t="n">
        <x:v>0</x:v>
      </x:c>
      <x:c r="I2546" t="str">
        <x:v>À qualifier par lieu</x:v>
      </x:c>
      <x:c r="J2546" t="str">
        <x:v>https://github.com/darknigthmare/deadwall-last-enclosure/blob/e28f46223e73105ab2c5d83f3d50b99b58ef53e6/codex-3000/compositions/commerce/DW-2541.md</x:v>
      </x:c>
      <x:c r="K2546" t="str">
        <x:v>Source min 28,9 m ; max 28,9 m ; modèle 28 × 22 m ; niveaux 0. Détails dans catalogue-existant.json.</x:v>
      </x:c>
    </x:row>
    <x:row r="2547">
      <x:c r="A2547" t="str">
        <x:v>DW-2542</x:v>
      </x:c>
      <x:c r="B2547" t="str">
        <x:v>DW-0771</x:v>
      </x:c>
      <x:c r="C2547" t="str">
        <x:v>Composition héritée</x:v>
      </x:c>
      <x:c r="D2547" t="str">
        <x:v>commerce</x:v>
      </x:c>
      <x:c r="E2547" t="str">
        <x:v>Restaurant routier — variante 05 — Zone commerciale / relais temporaire envisagé</x:v>
      </x:c>
      <x:c r="F2547" t="n">
        <x:v>8</x:v>
      </x:c>
      <x:c r="G2547" t="n">
        <x:v>5</x:v>
      </x:c>
      <x:c r="H2547" t="n">
        <x:v>0</x:v>
      </x:c>
      <x:c r="I2547" t="str">
        <x:v>À qualifier par lieu</x:v>
      </x:c>
      <x:c r="J2547" t="str">
        <x:v>https://github.com/darknigthmare/deadwall-last-enclosure/blob/e28f46223e73105ab2c5d83f3d50b99b58ef53e6/codex-3000/compositions/commerce/DW-2542.md</x:v>
      </x:c>
      <x:c r="K2547" t="str">
        <x:v>Source min 28,9 m ; max 28,9 m ; modèle 28 × 22 m ; niveaux 0. Détails dans catalogue-existant.json.</x:v>
      </x:c>
    </x:row>
    <x:row r="2548">
      <x:c r="A2548" t="str">
        <x:v>DW-2543</x:v>
      </x:c>
      <x:c r="B2548" t="str">
        <x:v>DW-0772</x:v>
      </x:c>
      <x:c r="C2548" t="str">
        <x:v>Composition héritée</x:v>
      </x:c>
      <x:c r="D2548" t="str">
        <x:v>commerce</x:v>
      </x:c>
      <x:c r="E2548" t="str">
        <x:v>Hôtel — variante 05 — Grande ville et métropole / service déplacé à l’arrière</x:v>
      </x:c>
      <x:c r="F2548" t="n">
        <x:v>8</x:v>
      </x:c>
      <x:c r="G2548" t="n">
        <x:v>6</x:v>
      </x:c>
      <x:c r="H2548" t="n">
        <x:v>0</x:v>
      </x:c>
      <x:c r="I2548" t="str">
        <x:v>À qualifier par lieu</x:v>
      </x:c>
      <x:c r="J2548" t="str">
        <x:v>https://github.com/darknigthmare/deadwall-last-enclosure/blob/e28f46223e73105ab2c5d83f3d50b99b58ef53e6/codex-3000/compositions/commerce/DW-2543.md</x:v>
      </x:c>
      <x:c r="K2548" t="str">
        <x:v>Source min 39,26 m ; max 39,26 m ; modèle 39 × 26 m ; niveaux 0. Détails dans catalogue-existant.json.</x:v>
      </x:c>
    </x:row>
    <x:row r="2549">
      <x:c r="A2549" t="str">
        <x:v>DW-2544</x:v>
      </x:c>
      <x:c r="B2549" t="str">
        <x:v>DW-0772</x:v>
      </x:c>
      <x:c r="C2549" t="str">
        <x:v>Composition héritée</x:v>
      </x:c>
      <x:c r="D2549" t="str">
        <x:v>commerce</x:v>
      </x:c>
      <x:c r="E2549" t="str">
        <x:v>Hôtel — variante 05 — Ville moyenne / réseau principal coupé</x:v>
      </x:c>
      <x:c r="F2549" t="n">
        <x:v>8</x:v>
      </x:c>
      <x:c r="G2549" t="n">
        <x:v>6</x:v>
      </x:c>
      <x:c r="H2549" t="n">
        <x:v>0</x:v>
      </x:c>
      <x:c r="I2549" t="str">
        <x:v>À qualifier par lieu</x:v>
      </x:c>
      <x:c r="J2549" t="str">
        <x:v>https://github.com/darknigthmare/deadwall-last-enclosure/blob/e28f46223e73105ab2c5d83f3d50b99b58ef53e6/codex-3000/compositions/commerce/DW-2544.md</x:v>
      </x:c>
      <x:c r="K2549" t="str">
        <x:v>Source min 39,26 m ; max 39,26 m ; modèle 39 × 26 m ; niveaux 0. Détails dans catalogue-existant.json.</x:v>
      </x:c>
    </x:row>
    <x:row r="2550">
      <x:c r="A2550" t="str">
        <x:v>DW-2545</x:v>
      </x:c>
      <x:c r="B2550" t="str">
        <x:v>DW-0773</x:v>
      </x:c>
      <x:c r="C2550" t="str">
        <x:v>Composition héritée</x:v>
      </x:c>
      <x:c r="D2550" t="str">
        <x:v>industrie</x:v>
      </x:c>
      <x:c r="E2550" t="str">
        <x:v>Scierie — variante 05 — Zone industrielle / reprise progressive de la végétation</x:v>
      </x:c>
      <x:c r="F2550" t="n">
        <x:v>8</x:v>
      </x:c>
      <x:c r="G2550" t="n">
        <x:v>5</x:v>
      </x:c>
      <x:c r="H2550" t="n">
        <x:v>0</x:v>
      </x:c>
      <x:c r="I2550" t="str">
        <x:v>À qualifier par lieu</x:v>
      </x:c>
      <x:c r="J2550" t="str">
        <x:v>https://github.com/darknigthmare/deadwall-last-enclosure/blob/e28f46223e73105ab2c5d83f3d50b99b58ef53e6/codex-3000/compositions/industrie/DW-2545.md</x:v>
      </x:c>
      <x:c r="K2550" t="str">
        <x:v>Source min 50,43 m ; max 50,43 m ; modèle 50 × 43 m ; niveaux 0. Détails dans catalogue-existant.json.</x:v>
      </x:c>
    </x:row>
    <x:row r="2551">
      <x:c r="A2551" t="str">
        <x:v>DW-2546</x:v>
      </x:c>
      <x:c r="B2551" t="str">
        <x:v>DW-0773</x:v>
      </x:c>
      <x:c r="C2551" t="str">
        <x:v>Composition héritée</x:v>
      </x:c>
      <x:c r="D2551" t="str">
        <x:v>industrie</x:v>
      </x:c>
      <x:c r="E2551" t="str">
        <x:v>Scierie — variante 05 — Entrepôt et plateforme logistique / repli organisé interrompu</x:v>
      </x:c>
      <x:c r="F2551" t="n">
        <x:v>8</x:v>
      </x:c>
      <x:c r="G2551" t="n">
        <x:v>5</x:v>
      </x:c>
      <x:c r="H2551" t="n">
        <x:v>0</x:v>
      </x:c>
      <x:c r="I2551" t="str">
        <x:v>À qualifier par lieu</x:v>
      </x:c>
      <x:c r="J2551" t="str">
        <x:v>https://github.com/darknigthmare/deadwall-last-enclosure/blob/e28f46223e73105ab2c5d83f3d50b99b58ef53e6/codex-3000/compositions/industrie/DW-2546.md</x:v>
      </x:c>
      <x:c r="K2551" t="str">
        <x:v>Source min 50,43 m ; max 50,43 m ; modèle 50 × 43 m ; niveaux 0. Détails dans catalogue-existant.json.</x:v>
      </x:c>
    </x:row>
    <x:row r="2552">
      <x:c r="A2552" t="str">
        <x:v>DW-2547</x:v>
      </x:c>
      <x:c r="B2552" t="str">
        <x:v>DW-0774</x:v>
      </x:c>
      <x:c r="C2552" t="str">
        <x:v>Composition héritée</x:v>
      </x:c>
      <x:c r="D2552" t="str">
        <x:v>industrie</x:v>
      </x:c>
      <x:c r="E2552" t="str">
        <x:v>Garage automobile — variante 05 — Atelier et artisanat / relais temporaire envisagé</x:v>
      </x:c>
      <x:c r="F2552" t="n">
        <x:v>8</x:v>
      </x:c>
      <x:c r="G2552" t="n">
        <x:v>5</x:v>
      </x:c>
      <x:c r="H2552" t="n">
        <x:v>0</x:v>
      </x:c>
      <x:c r="I2552" t="str">
        <x:v>À qualifier par lieu</x:v>
      </x:c>
      <x:c r="J2552" t="str">
        <x:v>https://github.com/darknigthmare/deadwall-last-enclosure/blob/e28f46223e73105ab2c5d83f3d50b99b58ef53e6/codex-3000/compositions/industrie/DW-2547.md</x:v>
      </x:c>
      <x:c r="K2552" t="str">
        <x:v>Source min 61,60 m ; max 61,60 m ; modèle 61 × 60 m ; niveaux 0. Détails dans catalogue-existant.json.</x:v>
      </x:c>
    </x:row>
    <x:row r="2553">
      <x:c r="A2553" t="str">
        <x:v>DW-2548</x:v>
      </x:c>
      <x:c r="B2553" t="str">
        <x:v>DW-0774</x:v>
      </x:c>
      <x:c r="C2553" t="str">
        <x:v>Composition héritée</x:v>
      </x:c>
      <x:c r="D2553" t="str">
        <x:v>industrie</x:v>
      </x:c>
      <x:c r="E2553" t="str">
        <x:v>Garage automobile — variante 05 — Gare et fret / évacuation interrompue</x:v>
      </x:c>
      <x:c r="F2553" t="n">
        <x:v>10</x:v>
      </x:c>
      <x:c r="G2553" t="n">
        <x:v>5</x:v>
      </x:c>
      <x:c r="H2553" t="n">
        <x:v>0</x:v>
      </x:c>
      <x:c r="I2553" t="str">
        <x:v>À qualifier par lieu</x:v>
      </x:c>
      <x:c r="J2553" t="str">
        <x:v>https://github.com/darknigthmare/deadwall-last-enclosure/blob/e28f46223e73105ab2c5d83f3d50b99b58ef53e6/codex-3000/compositions/industrie/DW-2548.md</x:v>
      </x:c>
      <x:c r="K2553" t="str">
        <x:v>Source min 61,60 m ; max 61,60 m ; modèle 61 × 60 m ; niveaux 0. Détails dans catalogue-existant.json.</x:v>
      </x:c>
    </x:row>
    <x:row r="2554">
      <x:c r="A2554" t="str">
        <x:v>DW-2549</x:v>
      </x:c>
      <x:c r="B2554" t="str">
        <x:v>DW-0775</x:v>
      </x:c>
      <x:c r="C2554" t="str">
        <x:v>Composition héritée</x:v>
      </x:c>
      <x:c r="D2554" t="str">
        <x:v>industrie</x:v>
      </x:c>
      <x:c r="E2554" t="str">
        <x:v>Entrepôt logistique — variante 05 — Entrepôt et plateforme logistique / réseau principal coupé</x:v>
      </x:c>
      <x:c r="F2554" t="n">
        <x:v>8</x:v>
      </x:c>
      <x:c r="G2554" t="n">
        <x:v>5</x:v>
      </x:c>
      <x:c r="H2554" t="n">
        <x:v>0</x:v>
      </x:c>
      <x:c r="I2554" t="str">
        <x:v>À qualifier par lieu</x:v>
      </x:c>
      <x:c r="J2554" t="str">
        <x:v>https://github.com/darknigthmare/deadwall-last-enclosure/blob/e28f46223e73105ab2c5d83f3d50b99b58ef53e6/codex-3000/compositions/industrie/DW-2549.md</x:v>
      </x:c>
      <x:c r="K2554" t="str">
        <x:v>Source min 72,23 m ; max 72,23 m ; modèle 72 × 23 m ; niveaux 0. Détails dans catalogue-existant.json.</x:v>
      </x:c>
    </x:row>
    <x:row r="2555">
      <x:c r="A2555" t="str">
        <x:v>DW-2550</x:v>
      </x:c>
      <x:c r="B2555" t="str">
        <x:v>DW-0775</x:v>
      </x:c>
      <x:c r="C2555" t="str">
        <x:v>Composition héritée</x:v>
      </x:c>
      <x:c r="D2555" t="str">
        <x:v>industrie</x:v>
      </x:c>
      <x:c r="E2555" t="str">
        <x:v>Entrepôt logistique — variante 05 — Zone industrielle / arrêt de maintenance</x:v>
      </x:c>
      <x:c r="F2555" t="n">
        <x:v>8</x:v>
      </x:c>
      <x:c r="G2555" t="n">
        <x:v>5</x:v>
      </x:c>
      <x:c r="H2555" t="n">
        <x:v>0</x:v>
      </x:c>
      <x:c r="I2555" t="str">
        <x:v>À qualifier par lieu</x:v>
      </x:c>
      <x:c r="J2555" t="str">
        <x:v>https://github.com/darknigthmare/deadwall-last-enclosure/blob/e28f46223e73105ab2c5d83f3d50b99b58ef53e6/codex-3000/compositions/industrie/DW-2550.md</x:v>
      </x:c>
      <x:c r="K2555" t="str">
        <x:v>Source min 72,23 m ; max 72,23 m ; modèle 72 × 23 m ; niveaux 0. Détails dans catalogue-existant.json.</x:v>
      </x:c>
    </x:row>
    <x:row r="2556">
      <x:c r="A2556" t="str">
        <x:v>DW-2551</x:v>
      </x:c>
      <x:c r="B2556" t="str">
        <x:v>DW-0776</x:v>
      </x:c>
      <x:c r="C2556" t="str">
        <x:v>Composition héritée</x:v>
      </x:c>
      <x:c r="D2556" t="str">
        <x:v>industrie</x:v>
      </x:c>
      <x:c r="E2556" t="str">
        <x:v>Petite usine — variante 05 — Gare et fret / repli organisé interrompu</x:v>
      </x:c>
      <x:c r="F2556" t="n">
        <x:v>10</x:v>
      </x:c>
      <x:c r="G2556" t="n">
        <x:v>5</x:v>
      </x:c>
      <x:c r="H2556" t="n">
        <x:v>0</x:v>
      </x:c>
      <x:c r="I2556" t="str">
        <x:v>À qualifier par lieu</x:v>
      </x:c>
      <x:c r="J2556" t="str">
        <x:v>https://github.com/darknigthmare/deadwall-last-enclosure/blob/e28f46223e73105ab2c5d83f3d50b99b58ef53e6/codex-3000/compositions/industrie/DW-2551.md</x:v>
      </x:c>
      <x:c r="K2556" t="str">
        <x:v>Source min 11,40 m ; max 11,40 m ; modèle 26 × 40 m ; niveaux 0. Détails dans catalogue-existant.json.</x:v>
      </x:c>
    </x:row>
    <x:row r="2557">
      <x:c r="A2557" t="str">
        <x:v>DW-2552</x:v>
      </x:c>
      <x:c r="B2557" t="str">
        <x:v>DW-0776</x:v>
      </x:c>
      <x:c r="C2557" t="str">
        <x:v>Composition héritée</x:v>
      </x:c>
      <x:c r="D2557" t="str">
        <x:v>industrie</x:v>
      </x:c>
      <x:c r="E2557" t="str">
        <x:v>Petite usine — variante 05 — Atelier et artisanat / première récupération passée</x:v>
      </x:c>
      <x:c r="F2557" t="n">
        <x:v>8</x:v>
      </x:c>
      <x:c r="G2557" t="n">
        <x:v>5</x:v>
      </x:c>
      <x:c r="H2557" t="n">
        <x:v>0</x:v>
      </x:c>
      <x:c r="I2557" t="str">
        <x:v>À qualifier par lieu</x:v>
      </x:c>
      <x:c r="J2557" t="str">
        <x:v>https://github.com/darknigthmare/deadwall-last-enclosure/blob/e28f46223e73105ab2c5d83f3d50b99b58ef53e6/codex-3000/compositions/industrie/DW-2552.md</x:v>
      </x:c>
      <x:c r="K2557" t="str">
        <x:v>Source min 11,40 m ; max 11,40 m ; modèle 26 × 40 m ; niveaux 0. Détails dans catalogue-existant.json.</x:v>
      </x:c>
    </x:row>
    <x:row r="2558">
      <x:c r="A2558" t="str">
        <x:v>DW-2553</x:v>
      </x:c>
      <x:c r="B2558" t="str">
        <x:v>DW-0777</x:v>
      </x:c>
      <x:c r="C2558" t="str">
        <x:v>Composition héritée</x:v>
      </x:c>
      <x:c r="D2558" t="str">
        <x:v>industrie</x:v>
      </x:c>
      <x:c r="E2558" t="str">
        <x:v>Carrière — variante 05 — Zone industrielle / évacuation interrompue</x:v>
      </x:c>
      <x:c r="F2558" t="n">
        <x:v>8</x:v>
      </x:c>
      <x:c r="G2558" t="n">
        <x:v>5</x:v>
      </x:c>
      <x:c r="H2558" t="n">
        <x:v>0</x:v>
      </x:c>
      <x:c r="I2558" t="str">
        <x:v>À qualifier par lieu</x:v>
      </x:c>
      <x:c r="J2558" t="str">
        <x:v>https://github.com/darknigthmare/deadwall-last-enclosure/blob/e28f46223e73105ab2c5d83f3d50b99b58ef53e6/codex-3000/compositions/industrie/DW-2553.md</x:v>
      </x:c>
      <x:c r="K2558" t="str">
        <x:v>Source min 22,57 m ; max 22,57 m ; modèle 26 × 57 m ; niveaux 0. Détails dans catalogue-existant.json.</x:v>
      </x:c>
    </x:row>
    <x:row r="2559">
      <x:c r="A2559" t="str">
        <x:v>DW-2554</x:v>
      </x:c>
      <x:c r="B2559" t="str">
        <x:v>DW-0777</x:v>
      </x:c>
      <x:c r="C2559" t="str">
        <x:v>Composition héritée</x:v>
      </x:c>
      <x:c r="D2559" t="str">
        <x:v>industrie</x:v>
      </x:c>
      <x:c r="E2559" t="str">
        <x:v>Carrière — variante 05 — Entrepôt et plateforme logistique / service déplacé à l’arrière</x:v>
      </x:c>
      <x:c r="F2559" t="n">
        <x:v>8</x:v>
      </x:c>
      <x:c r="G2559" t="n">
        <x:v>5</x:v>
      </x:c>
      <x:c r="H2559" t="n">
        <x:v>0</x:v>
      </x:c>
      <x:c r="I2559" t="str">
        <x:v>À qualifier par lieu</x:v>
      </x:c>
      <x:c r="J2559" t="str">
        <x:v>https://github.com/darknigthmare/deadwall-last-enclosure/blob/e28f46223e73105ab2c5d83f3d50b99b58ef53e6/codex-3000/compositions/industrie/DW-2554.md</x:v>
      </x:c>
      <x:c r="K2559" t="str">
        <x:v>Source min 22,57 m ; max 22,57 m ; modèle 26 × 57 m ; niveaux 0. Détails dans catalogue-existant.json.</x:v>
      </x:c>
    </x:row>
    <x:row r="2560">
      <x:c r="A2560" t="str">
        <x:v>DW-2555</x:v>
      </x:c>
      <x:c r="B2560" t="str">
        <x:v>DW-0778</x:v>
      </x:c>
      <x:c r="C2560" t="str">
        <x:v>Composition héritée</x:v>
      </x:c>
      <x:c r="D2560" t="str">
        <x:v>industrie</x:v>
      </x:c>
      <x:c r="E2560" t="str">
        <x:v>Mine — variante 05 — Atelier et artisanat / arrêt de maintenance</x:v>
      </x:c>
      <x:c r="F2560" t="n">
        <x:v>8</x:v>
      </x:c>
      <x:c r="G2560" t="n">
        <x:v>6</x:v>
      </x:c>
      <x:c r="H2560" t="n">
        <x:v>0</x:v>
      </x:c>
      <x:c r="I2560" t="str">
        <x:v>À qualifier par lieu</x:v>
      </x:c>
      <x:c r="J2560" t="str">
        <x:v>https://github.com/darknigthmare/deadwall-last-enclosure/blob/e28f46223e73105ab2c5d83f3d50b99b58ef53e6/codex-3000/compositions/industrie/DW-2555.md</x:v>
      </x:c>
      <x:c r="K2560" t="str">
        <x:v>Source min 33,20 m ; max 33,20 m ; modèle 33 × 22 m ; niveaux 0. Détails dans catalogue-existant.json.</x:v>
      </x:c>
    </x:row>
    <x:row r="2561">
      <x:c r="A2561" t="str">
        <x:v>DW-2556</x:v>
      </x:c>
      <x:c r="B2561" t="str">
        <x:v>DW-0778</x:v>
      </x:c>
      <x:c r="C2561" t="str">
        <x:v>Composition héritée</x:v>
      </x:c>
      <x:c r="D2561" t="str">
        <x:v>industrie</x:v>
      </x:c>
      <x:c r="E2561" t="str">
        <x:v>Mine — variante 05 — Gare et fret / reprise progressive de la végétation</x:v>
      </x:c>
      <x:c r="F2561" t="n">
        <x:v>10</x:v>
      </x:c>
      <x:c r="G2561" t="n">
        <x:v>6</x:v>
      </x:c>
      <x:c r="H2561" t="n">
        <x:v>0</x:v>
      </x:c>
      <x:c r="I2561" t="str">
        <x:v>À qualifier par lieu</x:v>
      </x:c>
      <x:c r="J2561" t="str">
        <x:v>https://github.com/darknigthmare/deadwall-last-enclosure/blob/e28f46223e73105ab2c5d83f3d50b99b58ef53e6/codex-3000/compositions/industrie/DW-2556.md</x:v>
      </x:c>
      <x:c r="K2561" t="str">
        <x:v>Source min 33,20 m ; max 33,20 m ; modèle 33 × 22 m ; niveaux 0. Détails dans catalogue-existant.json.</x:v>
      </x:c>
    </x:row>
    <x:row r="2562">
      <x:c r="A2562" t="str">
        <x:v>DW-2557</x:v>
      </x:c>
      <x:c r="B2562" t="str">
        <x:v>DW-0779</x:v>
      </x:c>
      <x:c r="C2562" t="str">
        <x:v>Composition héritée</x:v>
      </x:c>
      <x:c r="D2562" t="str">
        <x:v>industrie</x:v>
      </x:c>
      <x:c r="E2562" t="str">
        <x:v>Centrale locale — variante 05 — Entrepôt et plateforme logistique / première récupération passée</x:v>
      </x:c>
      <x:c r="F2562" t="n">
        <x:v>8</x:v>
      </x:c>
      <x:c r="G2562" t="n">
        <x:v>5</x:v>
      </x:c>
      <x:c r="H2562" t="n">
        <x:v>0</x:v>
      </x:c>
      <x:c r="I2562" t="str">
        <x:v>À qualifier par lieu</x:v>
      </x:c>
      <x:c r="J2562" t="str">
        <x:v>https://github.com/darknigthmare/deadwall-last-enclosure/blob/e28f46223e73105ab2c5d83f3d50b99b58ef53e6/codex-3000/compositions/industrie/DW-2557.md</x:v>
      </x:c>
      <x:c r="K2562" t="str">
        <x:v>Source min 44,37 m ; max 44,37 m ; modèle 44 × 37 m ; niveaux 0. Détails dans catalogue-existant.json.</x:v>
      </x:c>
    </x:row>
    <x:row r="2563">
      <x:c r="A2563" t="str">
        <x:v>DW-2558</x:v>
      </x:c>
      <x:c r="B2563" t="str">
        <x:v>DW-0779</x:v>
      </x:c>
      <x:c r="C2563" t="str">
        <x:v>Composition héritée</x:v>
      </x:c>
      <x:c r="D2563" t="str">
        <x:v>industrie</x:v>
      </x:c>
      <x:c r="E2563" t="str">
        <x:v>Centrale locale — variante 05 — Zone industrielle / relais temporaire envisagé</x:v>
      </x:c>
      <x:c r="F2563" t="n">
        <x:v>8</x:v>
      </x:c>
      <x:c r="G2563" t="n">
        <x:v>5</x:v>
      </x:c>
      <x:c r="H2563" t="n">
        <x:v>0</x:v>
      </x:c>
      <x:c r="I2563" t="str">
        <x:v>À qualifier par lieu</x:v>
      </x:c>
      <x:c r="J2563" t="str">
        <x:v>https://github.com/darknigthmare/deadwall-last-enclosure/blob/e28f46223e73105ab2c5d83f3d50b99b58ef53e6/codex-3000/compositions/industrie/DW-2558.md</x:v>
      </x:c>
      <x:c r="K2563" t="str">
        <x:v>Source min 44,37 m ; max 44,37 m ; modèle 44 × 37 m ; niveaux 0. Détails dans catalogue-existant.json.</x:v>
      </x:c>
    </x:row>
    <x:row r="2564">
      <x:c r="A2564" t="str">
        <x:v>DW-2559</x:v>
      </x:c>
      <x:c r="B2564" t="str">
        <x:v>DW-0780</x:v>
      </x:c>
      <x:c r="C2564" t="str">
        <x:v>Composition héritée</x:v>
      </x:c>
      <x:c r="D2564" t="str">
        <x:v>industrie</x:v>
      </x:c>
      <x:c r="E2564" t="str">
        <x:v>Station de pompage — variante 05 — Gare et fret / service déplacé à l’arrière</x:v>
      </x:c>
      <x:c r="F2564" t="n">
        <x:v>10</x:v>
      </x:c>
      <x:c r="G2564" t="n">
        <x:v>5</x:v>
      </x:c>
      <x:c r="H2564" t="n">
        <x:v>0</x:v>
      </x:c>
      <x:c r="I2564" t="str">
        <x:v>À qualifier par lieu</x:v>
      </x:c>
      <x:c r="J2564" t="str">
        <x:v>https://github.com/darknigthmare/deadwall-last-enclosure/blob/e28f46223e73105ab2c5d83f3d50b99b58ef53e6/codex-3000/compositions/industrie/DW-2559.md</x:v>
      </x:c>
      <x:c r="K2564" t="str">
        <x:v>Source min 55,54 m ; max 55,54 m ; modèle 55 × 54 m ; niveaux 0. Détails dans catalogue-existant.json.</x:v>
      </x:c>
    </x:row>
    <x:row r="2565">
      <x:c r="A2565" t="str">
        <x:v>DW-2560</x:v>
      </x:c>
      <x:c r="B2565" t="str">
        <x:v>DW-0780</x:v>
      </x:c>
      <x:c r="C2565" t="str">
        <x:v>Composition héritée</x:v>
      </x:c>
      <x:c r="D2565" t="str">
        <x:v>industrie</x:v>
      </x:c>
      <x:c r="E2565" t="str">
        <x:v>Station de pompage — variante 05 — Atelier et artisanat / réseau principal coupé</x:v>
      </x:c>
      <x:c r="F2565" t="n">
        <x:v>8</x:v>
      </x:c>
      <x:c r="G2565" t="n">
        <x:v>5</x:v>
      </x:c>
      <x:c r="H2565" t="n">
        <x:v>0</x:v>
      </x:c>
      <x:c r="I2565" t="str">
        <x:v>À qualifier par lieu</x:v>
      </x:c>
      <x:c r="J2565" t="str">
        <x:v>https://github.com/darknigthmare/deadwall-last-enclosure/blob/e28f46223e73105ab2c5d83f3d50b99b58ef53e6/codex-3000/compositions/industrie/DW-2560.md</x:v>
      </x:c>
      <x:c r="K2565" t="str">
        <x:v>Source min 55,54 m ; max 55,54 m ; modèle 55 × 54 m ; niveaux 0. Détails dans catalogue-existant.json.</x:v>
      </x:c>
    </x:row>
    <x:row r="2566">
      <x:c r="A2566" t="str">
        <x:v>DW-2561</x:v>
      </x:c>
      <x:c r="B2566" t="str">
        <x:v>DW-0781</x:v>
      </x:c>
      <x:c r="C2566" t="str">
        <x:v>Composition héritée</x:v>
      </x:c>
      <x:c r="D2566" t="str">
        <x:v>public</x:v>
      </x:c>
      <x:c r="E2566" t="str">
        <x:v>École — variante 05 — École, mairie et bâtiments civiques / reprise progressive de la végétation</x:v>
      </x:c>
      <x:c r="F2566" t="n">
        <x:v>8</x:v>
      </x:c>
      <x:c r="G2566" t="n">
        <x:v>5</x:v>
      </x:c>
      <x:c r="H2566" t="n">
        <x:v>0</x:v>
      </x:c>
      <x:c r="I2566" t="str">
        <x:v>À qualifier par lieu</x:v>
      </x:c>
      <x:c r="J2566" t="str">
        <x:v>https://github.com/darknigthmare/deadwall-last-enclosure/blob/e28f46223e73105ab2c5d83f3d50b99b58ef53e6/codex-3000/compositions/public/DW-2561.md</x:v>
      </x:c>
      <x:c r="K2566" t="str">
        <x:v>Source min 66,17 m ; max 66,17 m ; modèle 66 × 22 m ; niveaux 0, 1. Détails dans catalogue-existant.json.</x:v>
      </x:c>
    </x:row>
    <x:row r="2567">
      <x:c r="A2567" t="str">
        <x:v>DW-2562</x:v>
      </x:c>
      <x:c r="B2567" t="str">
        <x:v>DW-0781</x:v>
      </x:c>
      <x:c r="C2567" t="str">
        <x:v>Composition héritée</x:v>
      </x:c>
      <x:c r="D2567" t="str">
        <x:v>public</x:v>
      </x:c>
      <x:c r="E2567" t="str">
        <x:v>École — variante 05 — Village et bourg / repli organisé interrompu</x:v>
      </x:c>
      <x:c r="F2567" t="n">
        <x:v>8</x:v>
      </x:c>
      <x:c r="G2567" t="n">
        <x:v>5</x:v>
      </x:c>
      <x:c r="H2567" t="n">
        <x:v>0</x:v>
      </x:c>
      <x:c r="I2567" t="str">
        <x:v>À qualifier par lieu</x:v>
      </x:c>
      <x:c r="J2567" t="str">
        <x:v>https://github.com/darknigthmare/deadwall-last-enclosure/blob/e28f46223e73105ab2c5d83f3d50b99b58ef53e6/codex-3000/compositions/public/DW-2562.md</x:v>
      </x:c>
      <x:c r="K2567" t="str">
        <x:v>Source min 66,17 m ; max 66,17 m ; modèle 66 × 22 m ; niveaux 0, 1. Détails dans catalogue-existant.json.</x:v>
      </x:c>
    </x:row>
    <x:row r="2568">
      <x:c r="A2568" t="str">
        <x:v>DW-2563</x:v>
      </x:c>
      <x:c r="B2568" t="str">
        <x:v>DW-0782</x:v>
      </x:c>
      <x:c r="C2568" t="str">
        <x:v>Composition héritée</x:v>
      </x:c>
      <x:c r="D2568" t="str">
        <x:v>public</x:v>
      </x:c>
      <x:c r="E2568" t="str">
        <x:v>Mairie — variante 05 — Ville moyenne / relais temporaire envisagé</x:v>
      </x:c>
      <x:c r="F2568" t="n">
        <x:v>8</x:v>
      </x:c>
      <x:c r="G2568" t="n">
        <x:v>5</x:v>
      </x:c>
      <x:c r="H2568" t="n">
        <x:v>0</x:v>
      </x:c>
      <x:c r="I2568" t="str">
        <x:v>À qualifier par lieu</x:v>
      </x:c>
      <x:c r="J2568" t="str">
        <x:v>https://github.com/darknigthmare/deadwall-last-enclosure/blob/e28f46223e73105ab2c5d83f3d50b99b58ef53e6/codex-3000/compositions/public/DW-2563.md</x:v>
      </x:c>
      <x:c r="K2568" t="str">
        <x:v>Source min 77,34 m ; max 77,34 m ; modèle 77 × 34 m ; niveaux 0. Détails dans catalogue-existant.json.</x:v>
      </x:c>
    </x:row>
    <x:row r="2569">
      <x:c r="A2569" t="str">
        <x:v>DW-2564</x:v>
      </x:c>
      <x:c r="B2569" t="str">
        <x:v>DW-0782</x:v>
      </x:c>
      <x:c r="C2569" t="str">
        <x:v>Composition héritée</x:v>
      </x:c>
      <x:c r="D2569" t="str">
        <x:v>public</x:v>
      </x:c>
      <x:c r="E2569" t="str">
        <x:v>Mairie — variante 05 — Centre d’évacuation abandonné / évacuation interrompue</x:v>
      </x:c>
      <x:c r="F2569" t="n">
        <x:v>8</x:v>
      </x:c>
      <x:c r="G2569" t="n">
        <x:v>5</x:v>
      </x:c>
      <x:c r="H2569" t="n">
        <x:v>0</x:v>
      </x:c>
      <x:c r="I2569" t="str">
        <x:v>À qualifier par lieu</x:v>
      </x:c>
      <x:c r="J2569" t="str">
        <x:v>https://github.com/darknigthmare/deadwall-last-enclosure/blob/e28f46223e73105ab2c5d83f3d50b99b58ef53e6/codex-3000/compositions/public/DW-2564.md</x:v>
      </x:c>
      <x:c r="K2569" t="str">
        <x:v>Source min 77,34 m ; max 77,34 m ; modèle 77 × 34 m ; niveaux 0. Détails dans catalogue-existant.json.</x:v>
      </x:c>
    </x:row>
    <x:row r="2570">
      <x:c r="A2570" t="str">
        <x:v>DW-2565</x:v>
      </x:c>
      <x:c r="B2570" t="str">
        <x:v>DW-0783</x:v>
      </x:c>
      <x:c r="C2570" t="str">
        <x:v>Composition héritée</x:v>
      </x:c>
      <x:c r="D2570" t="str">
        <x:v>public</x:v>
      </x:c>
      <x:c r="E2570" t="str">
        <x:v>Clinique — variante 05 — Village et bourg / réseau principal coupé</x:v>
      </x:c>
      <x:c r="F2570" t="n">
        <x:v>8</x:v>
      </x:c>
      <x:c r="G2570" t="n">
        <x:v>6</x:v>
      </x:c>
      <x:c r="H2570" t="n">
        <x:v>0</x:v>
      </x:c>
      <x:c r="I2570" t="str">
        <x:v>À qualifier par lieu</x:v>
      </x:c>
      <x:c r="J2570" t="str">
        <x:v>https://github.com/darknigthmare/deadwall-last-enclosure/blob/e28f46223e73105ab2c5d83f3d50b99b58ef53e6/codex-3000/compositions/public/DW-2565.md</x:v>
      </x:c>
      <x:c r="K2570" t="str">
        <x:v>Source min 16,51 m ; max 16,51 m ; modèle 28 × 51 m ; niveaux 0. Détails dans catalogue-existant.json.</x:v>
      </x:c>
    </x:row>
    <x:row r="2571">
      <x:c r="A2571" t="str">
        <x:v>DW-2566</x:v>
      </x:c>
      <x:c r="B2571" t="str">
        <x:v>DW-0783</x:v>
      </x:c>
      <x:c r="C2571" t="str">
        <x:v>Composition héritée</x:v>
      </x:c>
      <x:c r="D2571" t="str">
        <x:v>public</x:v>
      </x:c>
      <x:c r="E2571" t="str">
        <x:v>Clinique — variante 05 — École, mairie et bâtiments civiques / arrêt de maintenance</x:v>
      </x:c>
      <x:c r="F2571" t="n">
        <x:v>8</x:v>
      </x:c>
      <x:c r="G2571" t="n">
        <x:v>6</x:v>
      </x:c>
      <x:c r="H2571" t="n">
        <x:v>0</x:v>
      </x:c>
      <x:c r="I2571" t="str">
        <x:v>À qualifier par lieu</x:v>
      </x:c>
      <x:c r="J2571" t="str">
        <x:v>https://github.com/darknigthmare/deadwall-last-enclosure/blob/e28f46223e73105ab2c5d83f3d50b99b58ef53e6/codex-3000/compositions/public/DW-2566.md</x:v>
      </x:c>
      <x:c r="K2571" t="str">
        <x:v>Source min 16,51 m ; max 16,51 m ; modèle 28 × 51 m ; niveaux 0. Détails dans catalogue-existant.json.</x:v>
      </x:c>
    </x:row>
    <x:row r="2572">
      <x:c r="A2572" t="str">
        <x:v>DW-2567</x:v>
      </x:c>
      <x:c r="B2572" t="str">
        <x:v>DW-0784</x:v>
      </x:c>
      <x:c r="C2572" t="str">
        <x:v>Composition héritée</x:v>
      </x:c>
      <x:c r="D2572" t="str">
        <x:v>public</x:v>
      </x:c>
      <x:c r="E2572" t="str">
        <x:v>Caserne de pompiers — variante 05 — Centre d’évacuation abandonné / repli organisé interrompu</x:v>
      </x:c>
      <x:c r="F2572" t="n">
        <x:v>8</x:v>
      </x:c>
      <x:c r="G2572" t="n">
        <x:v>6</x:v>
      </x:c>
      <x:c r="H2572" t="n">
        <x:v>0</x:v>
      </x:c>
      <x:c r="I2572" t="str">
        <x:v>À qualifier par lieu</x:v>
      </x:c>
      <x:c r="J2572" t="str">
        <x:v>https://github.com/darknigthmare/deadwall-last-enclosure/blob/e28f46223e73105ab2c5d83f3d50b99b58ef53e6/codex-3000/compositions/public/DW-2567.md</x:v>
      </x:c>
      <x:c r="K2572" t="str">
        <x:v>Source min 27,14 m ; max 27,14 m ; modèle 28 × 22 m ; niveaux 0. Détails dans catalogue-existant.json.</x:v>
      </x:c>
    </x:row>
    <x:row r="2573">
      <x:c r="A2573" t="str">
        <x:v>DW-2568</x:v>
      </x:c>
      <x:c r="B2573" t="str">
        <x:v>DW-0784</x:v>
      </x:c>
      <x:c r="C2573" t="str">
        <x:v>Composition héritée</x:v>
      </x:c>
      <x:c r="D2573" t="str">
        <x:v>public</x:v>
      </x:c>
      <x:c r="E2573" t="str">
        <x:v>Caserne de pompiers — variante 05 — Ville moyenne / première récupération passée</x:v>
      </x:c>
      <x:c r="F2573" t="n">
        <x:v>8</x:v>
      </x:c>
      <x:c r="G2573" t="n">
        <x:v>6</x:v>
      </x:c>
      <x:c r="H2573" t="n">
        <x:v>0</x:v>
      </x:c>
      <x:c r="I2573" t="str">
        <x:v>À qualifier par lieu</x:v>
      </x:c>
      <x:c r="J2573" t="str">
        <x:v>https://github.com/darknigthmare/deadwall-last-enclosure/blob/e28f46223e73105ab2c5d83f3d50b99b58ef53e6/codex-3000/compositions/public/DW-2568.md</x:v>
      </x:c>
      <x:c r="K2573" t="str">
        <x:v>Source min 27,14 m ; max 27,14 m ; modèle 28 × 22 m ; niveaux 0. Détails dans catalogue-existant.json.</x:v>
      </x:c>
    </x:row>
    <x:row r="2574">
      <x:c r="A2574" t="str">
        <x:v>DW-2569</x:v>
      </x:c>
      <x:c r="B2574" t="str">
        <x:v>DW-0785</x:v>
      </x:c>
      <x:c r="C2574" t="str">
        <x:v>Composition héritée</x:v>
      </x:c>
      <x:c r="D2574" t="str">
        <x:v>public</x:v>
      </x:c>
      <x:c r="E2574" t="str">
        <x:v>Poste de police — variante 05 — École, mairie et bâtiments civiques / évacuation interrompue</x:v>
      </x:c>
      <x:c r="F2574" t="n">
        <x:v>8</x:v>
      </x:c>
      <x:c r="G2574" t="n">
        <x:v>5</x:v>
      </x:c>
      <x:c r="H2574" t="n">
        <x:v>0</x:v>
      </x:c>
      <x:c r="I2574" t="str">
        <x:v>À qualifier par lieu</x:v>
      </x:c>
      <x:c r="J2574" t="str">
        <x:v>https://github.com/darknigthmare/deadwall-last-enclosure/blob/e28f46223e73105ab2c5d83f3d50b99b58ef53e6/codex-3000/compositions/public/DW-2569.md</x:v>
      </x:c>
      <x:c r="K2574" t="str">
        <x:v>Source min 38,31 m ; max 38,31 m ; modèle 38 × 31 m ; niveaux 0, 1. Détails dans catalogue-existant.json.</x:v>
      </x:c>
    </x:row>
    <x:row r="2575">
      <x:c r="A2575" t="str">
        <x:v>DW-2570</x:v>
      </x:c>
      <x:c r="B2575" t="str">
        <x:v>DW-0785</x:v>
      </x:c>
      <x:c r="C2575" t="str">
        <x:v>Composition héritée</x:v>
      </x:c>
      <x:c r="D2575" t="str">
        <x:v>public</x:v>
      </x:c>
      <x:c r="E2575" t="str">
        <x:v>Poste de police — variante 05 — Village et bourg / service déplacé à l’arrière</x:v>
      </x:c>
      <x:c r="F2575" t="n">
        <x:v>8</x:v>
      </x:c>
      <x:c r="G2575" t="n">
        <x:v>5</x:v>
      </x:c>
      <x:c r="H2575" t="n">
        <x:v>0</x:v>
      </x:c>
      <x:c r="I2575" t="str">
        <x:v>À qualifier par lieu</x:v>
      </x:c>
      <x:c r="J2575" t="str">
        <x:v>https://github.com/darknigthmare/deadwall-last-enclosure/blob/e28f46223e73105ab2c5d83f3d50b99b58ef53e6/codex-3000/compositions/public/DW-2570.md</x:v>
      </x:c>
      <x:c r="K2575" t="str">
        <x:v>Source min 38,31 m ; max 38,31 m ; modèle 38 × 31 m ; niveaux 0, 1. Détails dans catalogue-existant.json.</x:v>
      </x:c>
    </x:row>
    <x:row r="2576">
      <x:c r="A2576" t="str">
        <x:v>DW-2571</x:v>
      </x:c>
      <x:c r="B2576" t="str">
        <x:v>DW-0786</x:v>
      </x:c>
      <x:c r="C2576" t="str">
        <x:v>Composition héritée</x:v>
      </x:c>
      <x:c r="D2576" t="str">
        <x:v>public</x:v>
      </x:c>
      <x:c r="E2576" t="str">
        <x:v>Bibliothèque — variante 05 — Ville moyenne / arrêt de maintenance</x:v>
      </x:c>
      <x:c r="F2576" t="n">
        <x:v>8</x:v>
      </x:c>
      <x:c r="G2576" t="n">
        <x:v>5</x:v>
      </x:c>
      <x:c r="H2576" t="n">
        <x:v>0</x:v>
      </x:c>
      <x:c r="I2576" t="str">
        <x:v>À qualifier par lieu</x:v>
      </x:c>
      <x:c r="J2576" t="str">
        <x:v>https://github.com/darknigthmare/deadwall-last-enclosure/blob/e28f46223e73105ab2c5d83f3d50b99b58ef53e6/codex-3000/compositions/public/DW-2571.md</x:v>
      </x:c>
      <x:c r="K2576" t="str">
        <x:v>Source min 49,48 m ; max 49,48 m ; modèle 49 × 48 m ; niveaux 0. Détails dans catalogue-existant.json.</x:v>
      </x:c>
    </x:row>
    <x:row r="2577">
      <x:c r="A2577" t="str">
        <x:v>DW-2572</x:v>
      </x:c>
      <x:c r="B2577" t="str">
        <x:v>DW-0786</x:v>
      </x:c>
      <x:c r="C2577" t="str">
        <x:v>Composition héritée</x:v>
      </x:c>
      <x:c r="D2577" t="str">
        <x:v>public</x:v>
      </x:c>
      <x:c r="E2577" t="str">
        <x:v>Bibliothèque — variante 05 — Centre d’évacuation abandonné / reprise progressive de la végétation</x:v>
      </x:c>
      <x:c r="F2577" t="n">
        <x:v>8</x:v>
      </x:c>
      <x:c r="G2577" t="n">
        <x:v>5</x:v>
      </x:c>
      <x:c r="H2577" t="n">
        <x:v>0</x:v>
      </x:c>
      <x:c r="I2577" t="str">
        <x:v>À qualifier par lieu</x:v>
      </x:c>
      <x:c r="J2577" t="str">
        <x:v>https://github.com/darknigthmare/deadwall-last-enclosure/blob/e28f46223e73105ab2c5d83f3d50b99b58ef53e6/codex-3000/compositions/public/DW-2572.md</x:v>
      </x:c>
      <x:c r="K2577" t="str">
        <x:v>Source min 49,48 m ; max 49,48 m ; modèle 49 × 48 m ; niveaux 0. Détails dans catalogue-existant.json.</x:v>
      </x:c>
    </x:row>
    <x:row r="2578">
      <x:c r="A2578" t="str">
        <x:v>DW-2573</x:v>
      </x:c>
      <x:c r="B2578" t="str">
        <x:v>DW-0787</x:v>
      </x:c>
      <x:c r="C2578" t="str">
        <x:v>Composition héritée</x:v>
      </x:c>
      <x:c r="D2578" t="str">
        <x:v>public</x:v>
      </x:c>
      <x:c r="E2578" t="str">
        <x:v>Salle des fêtes — variante 05 — Village et bourg / première récupération passée</x:v>
      </x:c>
      <x:c r="F2578" t="n">
        <x:v>8</x:v>
      </x:c>
      <x:c r="G2578" t="n">
        <x:v>5</x:v>
      </x:c>
      <x:c r="H2578" t="n">
        <x:v>0</x:v>
      </x:c>
      <x:c r="I2578" t="str">
        <x:v>À qualifier par lieu</x:v>
      </x:c>
      <x:c r="J2578" t="str">
        <x:v>https://github.com/darknigthmare/deadwall-last-enclosure/blob/e28f46223e73105ab2c5d83f3d50b99b58ef53e6/codex-3000/compositions/public/DW-2573.md</x:v>
      </x:c>
      <x:c r="K2578" t="str">
        <x:v>Source min 60,11 m ; max 60,11 m ; modèle 60 × 22 m ; niveaux 0. Détails dans catalogue-existant.json.</x:v>
      </x:c>
    </x:row>
    <x:row r="2579">
      <x:c r="A2579" t="str">
        <x:v>DW-2574</x:v>
      </x:c>
      <x:c r="B2579" t="str">
        <x:v>DW-0787</x:v>
      </x:c>
      <x:c r="C2579" t="str">
        <x:v>Composition héritée</x:v>
      </x:c>
      <x:c r="D2579" t="str">
        <x:v>public</x:v>
      </x:c>
      <x:c r="E2579" t="str">
        <x:v>Salle des fêtes — variante 05 — École, mairie et bâtiments civiques / relais temporaire envisagé</x:v>
      </x:c>
      <x:c r="F2579" t="n">
        <x:v>8</x:v>
      </x:c>
      <x:c r="G2579" t="n">
        <x:v>5</x:v>
      </x:c>
      <x:c r="H2579" t="n">
        <x:v>0</x:v>
      </x:c>
      <x:c r="I2579" t="str">
        <x:v>À qualifier par lieu</x:v>
      </x:c>
      <x:c r="J2579" t="str">
        <x:v>https://github.com/darknigthmare/deadwall-last-enclosure/blob/e28f46223e73105ab2c5d83f3d50b99b58ef53e6/codex-3000/compositions/public/DW-2574.md</x:v>
      </x:c>
      <x:c r="K2579" t="str">
        <x:v>Source min 60,11 m ; max 60,11 m ; modèle 60 × 22 m ; niveaux 0. Détails dans catalogue-existant.json.</x:v>
      </x:c>
    </x:row>
    <x:row r="2580">
      <x:c r="A2580" t="str">
        <x:v>DW-2575</x:v>
      </x:c>
      <x:c r="B2580" t="str">
        <x:v>DW-0788</x:v>
      </x:c>
      <x:c r="C2580" t="str">
        <x:v>Composition héritée</x:v>
      </x:c>
      <x:c r="D2580" t="str">
        <x:v>public</x:v>
      </x:c>
      <x:c r="E2580" t="str">
        <x:v>Église et presbytère — variante 05 — Centre d’évacuation abandonné / service déplacé à l’arrière</x:v>
      </x:c>
      <x:c r="F2580" t="n">
        <x:v>8</x:v>
      </x:c>
      <x:c r="G2580" t="n">
        <x:v>5</x:v>
      </x:c>
      <x:c r="H2580" t="n">
        <x:v>0</x:v>
      </x:c>
      <x:c r="I2580" t="str">
        <x:v>À qualifier par lieu</x:v>
      </x:c>
      <x:c r="J2580" t="str">
        <x:v>https://github.com/darknigthmare/deadwall-last-enclosure/blob/e28f46223e73105ab2c5d83f3d50b99b58ef53e6/codex-3000/compositions/public/DW-2575.md</x:v>
      </x:c>
      <x:c r="K2580" t="str">
        <x:v>Source min 71,28 m ; max 71,28 m ; modèle 71 × 28 m ; niveaux 0. Détails dans catalogue-existant.json.</x:v>
      </x:c>
    </x:row>
    <x:row r="2581">
      <x:c r="A2581" t="str">
        <x:v>DW-2576</x:v>
      </x:c>
      <x:c r="B2581" t="str">
        <x:v>DW-0788</x:v>
      </x:c>
      <x:c r="C2581" t="str">
        <x:v>Composition héritée</x:v>
      </x:c>
      <x:c r="D2581" t="str">
        <x:v>public</x:v>
      </x:c>
      <x:c r="E2581" t="str">
        <x:v>Église et presbytère — variante 05 — Ville moyenne / réseau principal coupé</x:v>
      </x:c>
      <x:c r="F2581" t="n">
        <x:v>8</x:v>
      </x:c>
      <x:c r="G2581" t="n">
        <x:v>5</x:v>
      </x:c>
      <x:c r="H2581" t="n">
        <x:v>0</x:v>
      </x:c>
      <x:c r="I2581" t="str">
        <x:v>À qualifier par lieu</x:v>
      </x:c>
      <x:c r="J2581" t="str">
        <x:v>https://github.com/darknigthmare/deadwall-last-enclosure/blob/e28f46223e73105ab2c5d83f3d50b99b58ef53e6/codex-3000/compositions/public/DW-2576.md</x:v>
      </x:c>
      <x:c r="K2581" t="str">
        <x:v>Source min 71,28 m ; max 71,28 m ; modèle 71 × 28 m ; niveaux 0. Détails dans catalogue-existant.json.</x:v>
      </x:c>
    </x:row>
    <x:row r="2582">
      <x:c r="A2582" t="str">
        <x:v>DW-2577</x:v>
      </x:c>
      <x:c r="B2582" t="str">
        <x:v>DW-0789</x:v>
      </x:c>
      <x:c r="C2582" t="str">
        <x:v>Composition héritée</x:v>
      </x:c>
      <x:c r="D2582" t="str">
        <x:v>rural</x:v>
      </x:c>
      <x:c r="E2582" t="str">
        <x:v>Hameau agricole — variante 05 — Ferme, verger et pâtures / reprise progressive de la végétation</x:v>
      </x:c>
      <x:c r="F2582" t="n">
        <x:v>8</x:v>
      </x:c>
      <x:c r="G2582" t="n">
        <x:v>6</x:v>
      </x:c>
      <x:c r="H2582" t="n">
        <x:v>0</x:v>
      </x:c>
      <x:c r="I2582" t="str">
        <x:v>À qualifier par lieu</x:v>
      </x:c>
      <x:c r="J2582" t="str">
        <x:v>https://github.com/darknigthmare/deadwall-last-enclosure/blob/e28f46223e73105ab2c5d83f3d50b99b58ef53e6/codex-3000/compositions/rural/DW-2577.md</x:v>
      </x:c>
      <x:c r="K2582" t="str">
        <x:v>Source min 10,45 m ; max 10,45 m ; modèle 28 × 45 m ; niveaux 0. Détails dans catalogue-existant.json.</x:v>
      </x:c>
    </x:row>
    <x:row r="2583">
      <x:c r="A2583" t="str">
        <x:v>DW-2578</x:v>
      </x:c>
      <x:c r="B2583" t="str">
        <x:v>DW-0789</x:v>
      </x:c>
      <x:c r="C2583" t="str">
        <x:v>Composition héritée</x:v>
      </x:c>
      <x:c r="D2583" t="str">
        <x:v>rural</x:v>
      </x:c>
      <x:c r="E2583" t="str">
        <x:v>Hameau agricole — variante 05 — Petit bois et lisière / repli organisé interrompu</x:v>
      </x:c>
      <x:c r="F2583" t="n">
        <x:v>8</x:v>
      </x:c>
      <x:c r="G2583" t="n">
        <x:v>6</x:v>
      </x:c>
      <x:c r="H2583" t="n">
        <x:v>0</x:v>
      </x:c>
      <x:c r="I2583" t="str">
        <x:v>À qualifier par lieu</x:v>
      </x:c>
      <x:c r="J2583" t="str">
        <x:v>https://github.com/darknigthmare/deadwall-last-enclosure/blob/e28f46223e73105ab2c5d83f3d50b99b58ef53e6/codex-3000/compositions/rural/DW-2578.md</x:v>
      </x:c>
      <x:c r="K2583" t="str">
        <x:v>Source min 10,45 m ; max 10,45 m ; modèle 28 × 45 m ; niveaux 0. Détails dans catalogue-existant.json.</x:v>
      </x:c>
    </x:row>
    <x:row r="2584">
      <x:c r="A2584" t="str">
        <x:v>DW-2579</x:v>
      </x:c>
      <x:c r="B2584" t="str">
        <x:v>DW-0790</x:v>
      </x:c>
      <x:c r="C2584" t="str">
        <x:v>Composition héritée</x:v>
      </x:c>
      <x:c r="D2584" t="str">
        <x:v>rural</x:v>
      </x:c>
      <x:c r="E2584" t="str">
        <x:v>Cabane forestière — variante 05 — Prairie et friche ouverte / relais temporaire envisagé</x:v>
      </x:c>
      <x:c r="F2584" t="n">
        <x:v>8</x:v>
      </x:c>
      <x:c r="G2584" t="n">
        <x:v>4</x:v>
      </x:c>
      <x:c r="H2584" t="n">
        <x:v>0</x:v>
      </x:c>
      <x:c r="I2584" t="str">
        <x:v>À qualifier par lieu</x:v>
      </x:c>
      <x:c r="J2584" t="str">
        <x:v>https://github.com/darknigthmare/deadwall-last-enclosure/blob/e28f46223e73105ab2c5d83f3d50b99b58ef53e6/codex-3000/compositions/rural/DW-2579.md</x:v>
      </x:c>
      <x:c r="K2584" t="str">
        <x:v>Source min 21,62 m ; max 21,62 m ; modèle 25 × 62 m ; niveaux 0. Détails dans catalogue-existant.json.</x:v>
      </x:c>
    </x:row>
    <x:row r="2585">
      <x:c r="A2585" t="str">
        <x:v>DW-2580</x:v>
      </x:c>
      <x:c r="B2585" t="str">
        <x:v>DW-0790</x:v>
      </x:c>
      <x:c r="C2585" t="str">
        <x:v>Composition héritée</x:v>
      </x:c>
      <x:c r="D2585" t="str">
        <x:v>rural</x:v>
      </x:c>
      <x:c r="E2585" t="str">
        <x:v>Cabane forestière — variante 05 — Hameau / évacuation interrompue</x:v>
      </x:c>
      <x:c r="F2585" t="n">
        <x:v>8</x:v>
      </x:c>
      <x:c r="G2585" t="n">
        <x:v>4</x:v>
      </x:c>
      <x:c r="H2585" t="n">
        <x:v>0</x:v>
      </x:c>
      <x:c r="I2585" t="str">
        <x:v>À qualifier par lieu</x:v>
      </x:c>
      <x:c r="J2585" t="str">
        <x:v>https://github.com/darknigthmare/deadwall-last-enclosure/blob/e28f46223e73105ab2c5d83f3d50b99b58ef53e6/codex-3000/compositions/rural/DW-2580.md</x:v>
      </x:c>
      <x:c r="K2585" t="str">
        <x:v>Source min 21,62 m ; max 21,62 m ; modèle 25 × 62 m ; niveaux 0. Détails dans catalogue-existant.json.</x:v>
      </x:c>
    </x:row>
    <x:row r="2586">
      <x:c r="A2586" t="str">
        <x:v>DW-2581</x:v>
      </x:c>
      <x:c r="B2586" t="str">
        <x:v>DW-0791</x:v>
      </x:c>
      <x:c r="C2586" t="str">
        <x:v>Composition héritée</x:v>
      </x:c>
      <x:c r="D2586" t="str">
        <x:v>rural</x:v>
      </x:c>
      <x:c r="E2586" t="str">
        <x:v>Dépôt forestier — variante 05 — Petit bois et lisière / réseau principal coupé</x:v>
      </x:c>
      <x:c r="F2586" t="n">
        <x:v>8</x:v>
      </x:c>
      <x:c r="G2586" t="n">
        <x:v>5</x:v>
      </x:c>
      <x:c r="H2586" t="n">
        <x:v>0</x:v>
      </x:c>
      <x:c r="I2586" t="str">
        <x:v>À qualifier par lieu</x:v>
      </x:c>
      <x:c r="J2586" t="str">
        <x:v>https://github.com/darknigthmare/deadwall-last-enclosure/blob/e28f46223e73105ab2c5d83f3d50b99b58ef53e6/codex-3000/compositions/rural/DW-2581.md</x:v>
      </x:c>
      <x:c r="K2586" t="str">
        <x:v>Source min 32,25 m ; max 32,25 m ; modèle 32 × 25 m ; niveaux 0. Détails dans catalogue-existant.json.</x:v>
      </x:c>
    </x:row>
    <x:row r="2587">
      <x:c r="A2587" t="str">
        <x:v>DW-2582</x:v>
      </x:c>
      <x:c r="B2587" t="str">
        <x:v>DW-0791</x:v>
      </x:c>
      <x:c r="C2587" t="str">
        <x:v>Composition héritée</x:v>
      </x:c>
      <x:c r="D2587" t="str">
        <x:v>rural</x:v>
      </x:c>
      <x:c r="E2587" t="str">
        <x:v>Dépôt forestier — variante 05 — Ferme, verger et pâtures / arrêt de maintenance</x:v>
      </x:c>
      <x:c r="F2587" t="n">
        <x:v>8</x:v>
      </x:c>
      <x:c r="G2587" t="n">
        <x:v>5</x:v>
      </x:c>
      <x:c r="H2587" t="n">
        <x:v>0</x:v>
      </x:c>
      <x:c r="I2587" t="str">
        <x:v>À qualifier par lieu</x:v>
      </x:c>
      <x:c r="J2587" t="str">
        <x:v>https://github.com/darknigthmare/deadwall-last-enclosure/blob/e28f46223e73105ab2c5d83f3d50b99b58ef53e6/codex-3000/compositions/rural/DW-2582.md</x:v>
      </x:c>
      <x:c r="K2587" t="str">
        <x:v>Source min 32,25 m ; max 32,25 m ; modèle 32 × 25 m ; niveaux 0. Détails dans catalogue-existant.json.</x:v>
      </x:c>
    </x:row>
    <x:row r="2588">
      <x:c r="A2588" t="str">
        <x:v>DW-2583</x:v>
      </x:c>
      <x:c r="B2588" t="str">
        <x:v>DW-0792</x:v>
      </x:c>
      <x:c r="C2588" t="str">
        <x:v>Composition héritée</x:v>
      </x:c>
      <x:c r="D2588" t="str">
        <x:v>rural</x:v>
      </x:c>
      <x:c r="E2588" t="str">
        <x:v>Ferme céréalière — variante 05 — Hameau / repli organisé interrompu</x:v>
      </x:c>
      <x:c r="F2588" t="n">
        <x:v>8</x:v>
      </x:c>
      <x:c r="G2588" t="n">
        <x:v>5</x:v>
      </x:c>
      <x:c r="H2588" t="n">
        <x:v>0</x:v>
      </x:c>
      <x:c r="I2588" t="str">
        <x:v>À qualifier par lieu</x:v>
      </x:c>
      <x:c r="J2588" t="str">
        <x:v>https://github.com/darknigthmare/deadwall-last-enclosure/blob/e28f46223e73105ab2c5d83f3d50b99b58ef53e6/codex-3000/compositions/rural/DW-2583.md</x:v>
      </x:c>
      <x:c r="K2588" t="str">
        <x:v>Source min 43,42 m ; max 43,42 m ; modèle 43 × 42 m ; niveaux 0. Détails dans catalogue-existant.json.</x:v>
      </x:c>
    </x:row>
    <x:row r="2589">
      <x:c r="A2589" t="str">
        <x:v>DW-2584</x:v>
      </x:c>
      <x:c r="B2589" t="str">
        <x:v>DW-0792</x:v>
      </x:c>
      <x:c r="C2589" t="str">
        <x:v>Composition héritée</x:v>
      </x:c>
      <x:c r="D2589" t="str">
        <x:v>rural</x:v>
      </x:c>
      <x:c r="E2589" t="str">
        <x:v>Ferme céréalière — variante 05 — Prairie et friche ouverte / première récupération passée</x:v>
      </x:c>
      <x:c r="F2589" t="n">
        <x:v>8</x:v>
      </x:c>
      <x:c r="G2589" t="n">
        <x:v>5</x:v>
      </x:c>
      <x:c r="H2589" t="n">
        <x:v>0</x:v>
      </x:c>
      <x:c r="I2589" t="str">
        <x:v>À qualifier par lieu</x:v>
      </x:c>
      <x:c r="J2589" t="str">
        <x:v>https://github.com/darknigthmare/deadwall-last-enclosure/blob/e28f46223e73105ab2c5d83f3d50b99b58ef53e6/codex-3000/compositions/rural/DW-2584.md</x:v>
      </x:c>
      <x:c r="K2589" t="str">
        <x:v>Source min 43,42 m ; max 43,42 m ; modèle 43 × 42 m ; niveaux 0. Détails dans catalogue-existant.json.</x:v>
      </x:c>
    </x:row>
    <x:row r="2590">
      <x:c r="A2590" t="str">
        <x:v>DW-2585</x:v>
      </x:c>
      <x:c r="B2590" t="str">
        <x:v>DW-0793</x:v>
      </x:c>
      <x:c r="C2590" t="str">
        <x:v>Composition héritée</x:v>
      </x:c>
      <x:c r="D2590" t="str">
        <x:v>rural</x:v>
      </x:c>
      <x:c r="E2590" t="str">
        <x:v>Ferme d'élevage — variante 05 — Ferme, verger et pâtures / évacuation interrompue</x:v>
      </x:c>
      <x:c r="F2590" t="n">
        <x:v>8</x:v>
      </x:c>
      <x:c r="G2590" t="n">
        <x:v>5</x:v>
      </x:c>
      <x:c r="H2590" t="n">
        <x:v>0</x:v>
      </x:c>
      <x:c r="I2590" t="str">
        <x:v>À qualifier par lieu</x:v>
      </x:c>
      <x:c r="J2590" t="str">
        <x:v>https://github.com/darknigthmare/deadwall-last-enclosure/blob/e28f46223e73105ab2c5d83f3d50b99b58ef53e6/codex-3000/compositions/rural/DW-2585.md</x:v>
      </x:c>
      <x:c r="K2590" t="str">
        <x:v>Source min 54,59 m ; max 54,59 m ; modèle 54 × 59 m ; niveaux 0. Détails dans catalogue-existant.json.</x:v>
      </x:c>
    </x:row>
    <x:row r="2591">
      <x:c r="A2591" t="str">
        <x:v>DW-2586</x:v>
      </x:c>
      <x:c r="B2591" t="str">
        <x:v>DW-0793</x:v>
      </x:c>
      <x:c r="C2591" t="str">
        <x:v>Composition héritée</x:v>
      </x:c>
      <x:c r="D2591" t="str">
        <x:v>rural</x:v>
      </x:c>
      <x:c r="E2591" t="str">
        <x:v>Ferme d'élevage — variante 05 — Petit bois et lisière / service déplacé à l’arrière</x:v>
      </x:c>
      <x:c r="F2591" t="n">
        <x:v>8</x:v>
      </x:c>
      <x:c r="G2591" t="n">
        <x:v>5</x:v>
      </x:c>
      <x:c r="H2591" t="n">
        <x:v>0</x:v>
      </x:c>
      <x:c r="I2591" t="str">
        <x:v>À qualifier par lieu</x:v>
      </x:c>
      <x:c r="J2591" t="str">
        <x:v>https://github.com/darknigthmare/deadwall-last-enclosure/blob/e28f46223e73105ab2c5d83f3d50b99b58ef53e6/codex-3000/compositions/rural/DW-2586.md</x:v>
      </x:c>
      <x:c r="K2591" t="str">
        <x:v>Source min 54,59 m ; max 54,59 m ; modèle 54 × 59 m ; niveaux 0. Détails dans catalogue-existant.json.</x:v>
      </x:c>
    </x:row>
    <x:row r="2592">
      <x:c r="A2592" t="str">
        <x:v>DW-2587</x:v>
      </x:c>
      <x:c r="B2592" t="str">
        <x:v>DW-0794</x:v>
      </x:c>
      <x:c r="C2592" t="str">
        <x:v>Composition héritée</x:v>
      </x:c>
      <x:c r="D2592" t="str">
        <x:v>rural</x:v>
      </x:c>
      <x:c r="E2592" t="str">
        <x:v>Relais de chasse — variante 05 — Prairie et friche ouverte / arrêt de maintenance</x:v>
      </x:c>
      <x:c r="F2592" t="n">
        <x:v>8</x:v>
      </x:c>
      <x:c r="G2592" t="n">
        <x:v>4</x:v>
      </x:c>
      <x:c r="H2592" t="n">
        <x:v>0</x:v>
      </x:c>
      <x:c r="I2592" t="str">
        <x:v>À qualifier par lieu</x:v>
      </x:c>
      <x:c r="J2592" t="str">
        <x:v>https://github.com/darknigthmare/deadwall-last-enclosure/blob/e28f46223e73105ab2c5d83f3d50b99b58ef53e6/codex-3000/compositions/rural/DW-2587.md</x:v>
      </x:c>
      <x:c r="K2592" t="str">
        <x:v>Source min 65,22 m ; max 65,22 m ; modèle 65 × 22 m ; niveaux 0. Détails dans catalogue-existant.json.</x:v>
      </x:c>
    </x:row>
    <x:row r="2593">
      <x:c r="A2593" t="str">
        <x:v>DW-2588</x:v>
      </x:c>
      <x:c r="B2593" t="str">
        <x:v>DW-0794</x:v>
      </x:c>
      <x:c r="C2593" t="str">
        <x:v>Composition héritée</x:v>
      </x:c>
      <x:c r="D2593" t="str">
        <x:v>rural</x:v>
      </x:c>
      <x:c r="E2593" t="str">
        <x:v>Relais de chasse — variante 05 — Hameau / reprise progressive de la végétation</x:v>
      </x:c>
      <x:c r="F2593" t="n">
        <x:v>8</x:v>
      </x:c>
      <x:c r="G2593" t="n">
        <x:v>4</x:v>
      </x:c>
      <x:c r="H2593" t="n">
        <x:v>0</x:v>
      </x:c>
      <x:c r="I2593" t="str">
        <x:v>À qualifier par lieu</x:v>
      </x:c>
      <x:c r="J2593" t="str">
        <x:v>https://github.com/darknigthmare/deadwall-last-enclosure/blob/e28f46223e73105ab2c5d83f3d50b99b58ef53e6/codex-3000/compositions/rural/DW-2588.md</x:v>
      </x:c>
      <x:c r="K2593" t="str">
        <x:v>Source min 65,22 m ; max 65,22 m ; modèle 65 × 22 m ; niveaux 0. Détails dans catalogue-existant.json.</x:v>
      </x:c>
    </x:row>
    <x:row r="2594">
      <x:c r="A2594" t="str">
        <x:v>DW-2589</x:v>
      </x:c>
      <x:c r="B2594" t="str">
        <x:v>DW-0795</x:v>
      </x:c>
      <x:c r="C2594" t="str">
        <x:v>Composition héritée</x:v>
      </x:c>
      <x:c r="D2594" t="str">
        <x:v>rural</x:v>
      </x:c>
      <x:c r="E2594" t="str">
        <x:v>Moulin rural — variante 05 — Petit bois et lisière / première récupération passée</x:v>
      </x:c>
      <x:c r="F2594" t="n">
        <x:v>8</x:v>
      </x:c>
      <x:c r="G2594" t="n">
        <x:v>4</x:v>
      </x:c>
      <x:c r="H2594" t="n">
        <x:v>0</x:v>
      </x:c>
      <x:c r="I2594" t="str">
        <x:v>À qualifier par lieu</x:v>
      </x:c>
      <x:c r="J2594" t="str">
        <x:v>https://github.com/darknigthmare/deadwall-last-enclosure/blob/e28f46223e73105ab2c5d83f3d50b99b58ef53e6/codex-3000/compositions/rural/DW-2589.md</x:v>
      </x:c>
      <x:c r="K2594" t="str">
        <x:v>Source min 76,39 m ; max 76,39 m ; modèle 76 × 39 m ; niveaux 0. Détails dans catalogue-existant.json.</x:v>
      </x:c>
    </x:row>
    <x:row r="2595">
      <x:c r="A2595" t="str">
        <x:v>DW-2590</x:v>
      </x:c>
      <x:c r="B2595" t="str">
        <x:v>DW-0795</x:v>
      </x:c>
      <x:c r="C2595" t="str">
        <x:v>Composition héritée</x:v>
      </x:c>
      <x:c r="D2595" t="str">
        <x:v>rural</x:v>
      </x:c>
      <x:c r="E2595" t="str">
        <x:v>Moulin rural — variante 05 — Ferme, verger et pâtures / relais temporaire envisagé</x:v>
      </x:c>
      <x:c r="F2595" t="n">
        <x:v>8</x:v>
      </x:c>
      <x:c r="G2595" t="n">
        <x:v>4</x:v>
      </x:c>
      <x:c r="H2595" t="n">
        <x:v>0</x:v>
      </x:c>
      <x:c r="I2595" t="str">
        <x:v>À qualifier par lieu</x:v>
      </x:c>
      <x:c r="J2595" t="str">
        <x:v>https://github.com/darknigthmare/deadwall-last-enclosure/blob/e28f46223e73105ab2c5d83f3d50b99b58ef53e6/codex-3000/compositions/rural/DW-2590.md</x:v>
      </x:c>
      <x:c r="K2595" t="str">
        <x:v>Source min 76,39 m ; max 76,39 m ; modèle 76 × 39 m ; niveaux 0. Détails dans catalogue-existant.json.</x:v>
      </x:c>
    </x:row>
    <x:row r="2596">
      <x:c r="A2596" t="str">
        <x:v>DW-2591</x:v>
      </x:c>
      <x:c r="B2596" t="str">
        <x:v>DW-0796</x:v>
      </x:c>
      <x:c r="C2596" t="str">
        <x:v>Composition héritée</x:v>
      </x:c>
      <x:c r="D2596" t="str">
        <x:v>rural</x:v>
      </x:c>
      <x:c r="E2596" t="str">
        <x:v>Serres maraîchères — variante 05 — Hameau / service déplacé à l’arrière</x:v>
      </x:c>
      <x:c r="F2596" t="n">
        <x:v>8</x:v>
      </x:c>
      <x:c r="G2596" t="n">
        <x:v>5</x:v>
      </x:c>
      <x:c r="H2596" t="n">
        <x:v>0</x:v>
      </x:c>
      <x:c r="I2596" t="str">
        <x:v>À qualifier par lieu</x:v>
      </x:c>
      <x:c r="J2596" t="str">
        <x:v>https://github.com/darknigthmare/deadwall-last-enclosure/blob/e28f46223e73105ab2c5d83f3d50b99b58ef53e6/codex-3000/compositions/rural/DW-2591.md</x:v>
      </x:c>
      <x:c r="K2596" t="str">
        <x:v>Source min 15,56 m ; max 15,56 m ; modèle 26 × 56 m ; niveaux 0. Détails dans catalogue-existant.json.</x:v>
      </x:c>
    </x:row>
    <x:row r="2597">
      <x:c r="A2597" t="str">
        <x:v>DW-2592</x:v>
      </x:c>
      <x:c r="B2597" t="str">
        <x:v>DW-0796</x:v>
      </x:c>
      <x:c r="C2597" t="str">
        <x:v>Composition héritée</x:v>
      </x:c>
      <x:c r="D2597" t="str">
        <x:v>rural</x:v>
      </x:c>
      <x:c r="E2597" t="str">
        <x:v>Serres maraîchères — variante 05 — Prairie et friche ouverte / réseau principal coupé</x:v>
      </x:c>
      <x:c r="F2597" t="n">
        <x:v>8</x:v>
      </x:c>
      <x:c r="G2597" t="n">
        <x:v>5</x:v>
      </x:c>
      <x:c r="H2597" t="n">
        <x:v>0</x:v>
      </x:c>
      <x:c r="I2597" t="str">
        <x:v>À qualifier par lieu</x:v>
      </x:c>
      <x:c r="J2597" t="str">
        <x:v>https://github.com/darknigthmare/deadwall-last-enclosure/blob/e28f46223e73105ab2c5d83f3d50b99b58ef53e6/codex-3000/compositions/rural/DW-2592.md</x:v>
      </x:c>
      <x:c r="K2597" t="str">
        <x:v>Source min 15,56 m ; max 15,56 m ; modèle 26 × 56 m ; niveaux 0. Détails dans catalogue-existant.json.</x:v>
      </x:c>
    </x:row>
    <x:row r="2598">
      <x:c r="A2598" t="str">
        <x:v>DW-2593</x:v>
      </x:c>
      <x:c r="B2598" t="str">
        <x:v>DW-0797</x:v>
      </x:c>
      <x:c r="C2598" t="str">
        <x:v>Composition héritée</x:v>
      </x:c>
      <x:c r="D2598" t="str">
        <x:v>militaire</x:v>
      </x:c>
      <x:c r="E2598" t="str">
        <x:v>Bunker de défense civile — variante 05 — Grand camp allié / reprise progressive de la végétation</x:v>
      </x:c>
      <x:c r="F2598" t="n">
        <x:v>10</x:v>
      </x:c>
      <x:c r="G2598" t="n">
        <x:v>6</x:v>
      </x:c>
      <x:c r="H2598" t="n">
        <x:v>0</x:v>
      </x:c>
      <x:c r="I2598" t="str">
        <x:v>À qualifier par lieu</x:v>
      </x:c>
      <x:c r="J2598" t="str">
        <x:v>https://github.com/darknigthmare/deadwall-last-enclosure/blob/e28f46223e73105ab2c5d83f3d50b99b58ef53e6/codex-3000/compositions/militaire/DW-2593.md</x:v>
      </x:c>
      <x:c r="K2598" t="str">
        <x:v>Source min 26,19 m ; max 26,19 m ; modèle 28 × 22 m ; niveaux 0, 1. Détails dans catalogue-existant.json.</x:v>
      </x:c>
    </x:row>
    <x:row r="2599">
      <x:c r="A2599" t="str">
        <x:v>DW-2594</x:v>
      </x:c>
      <x:c r="B2599" t="str">
        <x:v>DW-0797</x:v>
      </x:c>
      <x:c r="C2599" t="str">
        <x:v>Composition héritée</x:v>
      </x:c>
      <x:c r="D2599" t="str">
        <x:v>militaire</x:v>
      </x:c>
      <x:c r="E2599" t="str">
        <x:v>Bunker de défense civile — variante 05 — Camp de fortune / repli organisé interrompu</x:v>
      </x:c>
      <x:c r="F2599" t="n">
        <x:v>8</x:v>
      </x:c>
      <x:c r="G2599" t="n">
        <x:v>6</x:v>
      </x:c>
      <x:c r="H2599" t="n">
        <x:v>0</x:v>
      </x:c>
      <x:c r="I2599" t="str">
        <x:v>À qualifier par lieu</x:v>
      </x:c>
      <x:c r="J2599" t="str">
        <x:v>https://github.com/darknigthmare/deadwall-last-enclosure/blob/e28f46223e73105ab2c5d83f3d50b99b58ef53e6/codex-3000/compositions/militaire/DW-2594.md</x:v>
      </x:c>
      <x:c r="K2599" t="str">
        <x:v>Source min 26,19 m ; max 26,19 m ; modèle 28 × 22 m ; niveaux 0, 1. Détails dans catalogue-existant.json.</x:v>
      </x:c>
    </x:row>
    <x:row r="2600">
      <x:c r="A2600" t="str">
        <x:v>DW-2595</x:v>
      </x:c>
      <x:c r="B2600" t="str">
        <x:v>DW-0798</x:v>
      </x:c>
      <x:c r="C2600" t="str">
        <x:v>Composition héritée</x:v>
      </x:c>
      <x:c r="D2600" t="str">
        <x:v>militaire</x:v>
      </x:c>
      <x:c r="E2600" t="str">
        <x:v>Dépôt militaire — variante 05 — Camp hostile / relais temporaire envisagé</x:v>
      </x:c>
      <x:c r="F2600" t="n">
        <x:v>10</x:v>
      </x:c>
      <x:c r="G2600" t="n">
        <x:v>5</x:v>
      </x:c>
      <x:c r="H2600" t="n">
        <x:v>0</x:v>
      </x:c>
      <x:c r="I2600" t="str">
        <x:v>À qualifier par lieu</x:v>
      </x:c>
      <x:c r="J2600" t="str">
        <x:v>https://github.com/darknigthmare/deadwall-last-enclosure/blob/e28f46223e73105ab2c5d83f3d50b99b58ef53e6/codex-3000/compositions/militaire/DW-2595.md</x:v>
      </x:c>
      <x:c r="K2600" t="str">
        <x:v>Source min 37,36 m ; max 37,36 m ; modèle 37 × 36 m ; niveaux 0. Détails dans catalogue-existant.json.</x:v>
      </x:c>
    </x:row>
    <x:row r="2601">
      <x:c r="A2601" t="str">
        <x:v>DW-2596</x:v>
      </x:c>
      <x:c r="B2601" t="str">
        <x:v>DW-0798</x:v>
      </x:c>
      <x:c r="C2601" t="str">
        <x:v>Composition héritée</x:v>
      </x:c>
      <x:c r="D2601" t="str">
        <x:v>militaire</x:v>
      </x:c>
      <x:c r="E2601" t="str">
        <x:v>Dépôt militaire — variante 05 — Centre d’évacuation abandonné / évacuation interrompue</x:v>
      </x:c>
      <x:c r="F2601" t="n">
        <x:v>8</x:v>
      </x:c>
      <x:c r="G2601" t="n">
        <x:v>5</x:v>
      </x:c>
      <x:c r="H2601" t="n">
        <x:v>0</x:v>
      </x:c>
      <x:c r="I2601" t="str">
        <x:v>À qualifier par lieu</x:v>
      </x:c>
      <x:c r="J2601" t="str">
        <x:v>https://github.com/darknigthmare/deadwall-last-enclosure/blob/e28f46223e73105ab2c5d83f3d50b99b58ef53e6/codex-3000/compositions/militaire/DW-2596.md</x:v>
      </x:c>
      <x:c r="K2601" t="str">
        <x:v>Source min 37,36 m ; max 37,36 m ; modèle 37 × 36 m ; niveaux 0. Détails dans catalogue-existant.json.</x:v>
      </x:c>
    </x:row>
    <x:row r="2602">
      <x:c r="A2602" t="str">
        <x:v>DW-2597</x:v>
      </x:c>
      <x:c r="B2602" t="str">
        <x:v>DW-0799</x:v>
      </x:c>
      <x:c r="C2602" t="str">
        <x:v>Composition héritée</x:v>
      </x:c>
      <x:c r="D2602" t="str">
        <x:v>militaire</x:v>
      </x:c>
      <x:c r="E2602" t="str">
        <x:v>Poste de contrôle — variante 05 — Camp de fortune / réseau principal coupé</x:v>
      </x:c>
      <x:c r="F2602" t="n">
        <x:v>8</x:v>
      </x:c>
      <x:c r="G2602" t="n">
        <x:v>5</x:v>
      </x:c>
      <x:c r="H2602" t="n">
        <x:v>0</x:v>
      </x:c>
      <x:c r="I2602" t="str">
        <x:v>À qualifier par lieu</x:v>
      </x:c>
      <x:c r="J2602" t="str">
        <x:v>https://github.com/darknigthmare/deadwall-last-enclosure/blob/e28f46223e73105ab2c5d83f3d50b99b58ef53e6/codex-3000/compositions/militaire/DW-2597.md</x:v>
      </x:c>
      <x:c r="K2602" t="str">
        <x:v>Source min 48,53 m ; max 48,53 m ; modèle 48 × 53 m ; niveaux 0. Détails dans catalogue-existant.json.</x:v>
      </x:c>
    </x:row>
    <x:row r="2603">
      <x:c r="A2603" t="str">
        <x:v>DW-2598</x:v>
      </x:c>
      <x:c r="B2603" t="str">
        <x:v>DW-0799</x:v>
      </x:c>
      <x:c r="C2603" t="str">
        <x:v>Composition héritée</x:v>
      </x:c>
      <x:c r="D2603" t="str">
        <x:v>militaire</x:v>
      </x:c>
      <x:c r="E2603" t="str">
        <x:v>Poste de contrôle — variante 05 — Grand camp allié / arrêt de maintenance</x:v>
      </x:c>
      <x:c r="F2603" t="n">
        <x:v>10</x:v>
      </x:c>
      <x:c r="G2603" t="n">
        <x:v>5</x:v>
      </x:c>
      <x:c r="H2603" t="n">
        <x:v>0</x:v>
      </x:c>
      <x:c r="I2603" t="str">
        <x:v>À qualifier par lieu</x:v>
      </x:c>
      <x:c r="J2603" t="str">
        <x:v>https://github.com/darknigthmare/deadwall-last-enclosure/blob/e28f46223e73105ab2c5d83f3d50b99b58ef53e6/codex-3000/compositions/militaire/DW-2598.md</x:v>
      </x:c>
      <x:c r="K2603" t="str">
        <x:v>Source min 48,53 m ; max 48,53 m ; modèle 48 × 53 m ; niveaux 0. Détails dans catalogue-existant.json.</x:v>
      </x:c>
    </x:row>
    <x:row r="2604">
      <x:c r="A2604" t="str">
        <x:v>DW-2599</x:v>
      </x:c>
      <x:c r="B2604" t="str">
        <x:v>DW-0800</x:v>
      </x:c>
      <x:c r="C2604" t="str">
        <x:v>Composition héritée</x:v>
      </x:c>
      <x:c r="D2604" t="str">
        <x:v>militaire</x:v>
      </x:c>
      <x:c r="E2604" t="str">
        <x:v>Camp retranché abandonné — variante 05 — Centre d’évacuation abandonné / repli organisé interrompu</x:v>
      </x:c>
      <x:c r="F2604" t="n">
        <x:v>8</x:v>
      </x:c>
      <x:c r="G2604" t="n">
        <x:v>5</x:v>
      </x:c>
      <x:c r="H2604" t="n">
        <x:v>0</x:v>
      </x:c>
      <x:c r="I2604" t="str">
        <x:v>À qualifier par lieu</x:v>
      </x:c>
      <x:c r="J2604" t="str">
        <x:v>https://github.com/darknigthmare/deadwall-last-enclosure/blob/e28f46223e73105ab2c5d83f3d50b99b58ef53e6/codex-3000/compositions/militaire/DW-2599.md</x:v>
      </x:c>
      <x:c r="K2604" t="str">
        <x:v>Source min 59,16 m ; max 59,16 m ; modèle 59 × 22 m ; niveaux 0. Détails dans catalogue-existant.json.</x:v>
      </x:c>
    </x:row>
    <x:row r="2605">
      <x:c r="A2605" t="str">
        <x:v>DW-2600</x:v>
      </x:c>
      <x:c r="B2605" t="str">
        <x:v>DW-0800</x:v>
      </x:c>
      <x:c r="C2605" t="str">
        <x:v>Composition héritée</x:v>
      </x:c>
      <x:c r="D2605" t="str">
        <x:v>militaire</x:v>
      </x:c>
      <x:c r="E2605" t="str">
        <x:v>Camp retranché abandonné — variante 05 — Camp hostile / première récupération passée</x:v>
      </x:c>
      <x:c r="F2605" t="n">
        <x:v>10</x:v>
      </x:c>
      <x:c r="G2605" t="n">
        <x:v>5</x:v>
      </x:c>
      <x:c r="H2605" t="n">
        <x:v>0</x:v>
      </x:c>
      <x:c r="I2605" t="str">
        <x:v>À qualifier par lieu</x:v>
      </x:c>
      <x:c r="J2605" t="str">
        <x:v>https://github.com/darknigthmare/deadwall-last-enclosure/blob/e28f46223e73105ab2c5d83f3d50b99b58ef53e6/codex-3000/compositions/militaire/DW-2600.md</x:v>
      </x:c>
      <x:c r="K2605" t="str">
        <x:v>Source min 59,16 m ; max 59,16 m ; modèle 59 × 22 m ; niveaux 0. Détails dans catalogue-existant.json.</x:v>
      </x:c>
    </x:row>
    <x:row r="2606">
      <x:c r="A2606" t="str">
        <x:v>DW-2601</x:v>
      </x:c>
      <x:c r="B2606" t="str">
        <x:v>DW-0801</x:v>
      </x:c>
      <x:c r="C2606" t="str">
        <x:v>Composition héritée</x:v>
      </x:c>
      <x:c r="D2606" t="str">
        <x:v>militaire</x:v>
      </x:c>
      <x:c r="E2606" t="str">
        <x:v>Abri ferroviaire — variante 05 — Grand camp allié / évacuation interrompue</x:v>
      </x:c>
      <x:c r="F2606" t="n">
        <x:v>10</x:v>
      </x:c>
      <x:c r="G2606" t="n">
        <x:v>4</x:v>
      </x:c>
      <x:c r="H2606" t="n">
        <x:v>0</x:v>
      </x:c>
      <x:c r="I2606" t="str">
        <x:v>À qualifier par lieu</x:v>
      </x:c>
      <x:c r="J2606" t="str">
        <x:v>https://github.com/darknigthmare/deadwall-last-enclosure/blob/e28f46223e73105ab2c5d83f3d50b99b58ef53e6/codex-3000/compositions/militaire/DW-2601.md</x:v>
      </x:c>
      <x:c r="K2606" t="str">
        <x:v>Source min 70,33 m ; max 70,33 m ; modèle 70 × 33 m ; niveaux 0. Détails dans catalogue-existant.json.</x:v>
      </x:c>
    </x:row>
    <x:row r="2607">
      <x:c r="A2607" t="str">
        <x:v>DW-2602</x:v>
      </x:c>
      <x:c r="B2607" t="str">
        <x:v>DW-0801</x:v>
      </x:c>
      <x:c r="C2607" t="str">
        <x:v>Composition héritée</x:v>
      </x:c>
      <x:c r="D2607" t="str">
        <x:v>militaire</x:v>
      </x:c>
      <x:c r="E2607" t="str">
        <x:v>Abri ferroviaire — variante 05 — Camp de fortune / service déplacé à l’arrière</x:v>
      </x:c>
      <x:c r="F2607" t="n">
        <x:v>8</x:v>
      </x:c>
      <x:c r="G2607" t="n">
        <x:v>4</x:v>
      </x:c>
      <x:c r="H2607" t="n">
        <x:v>0</x:v>
      </x:c>
      <x:c r="I2607" t="str">
        <x:v>À qualifier par lieu</x:v>
      </x:c>
      <x:c r="J2607" t="str">
        <x:v>https://github.com/darknigthmare/deadwall-last-enclosure/blob/e28f46223e73105ab2c5d83f3d50b99b58ef53e6/codex-3000/compositions/militaire/DW-2602.md</x:v>
      </x:c>
      <x:c r="K2607" t="str">
        <x:v>Source min 70,33 m ; max 70,33 m ; modèle 70 × 33 m ; niveaux 0. Détails dans catalogue-existant.json.</x:v>
      </x:c>
    </x:row>
    <x:row r="2608">
      <x:c r="A2608" t="str">
        <x:v>DW-2603</x:v>
      </x:c>
      <x:c r="B2608" t="str">
        <x:v>DW-0802</x:v>
      </x:c>
      <x:c r="C2608" t="str">
        <x:v>Composition héritée</x:v>
      </x:c>
      <x:c r="D2608" t="str">
        <x:v>militaire</x:v>
      </x:c>
      <x:c r="E2608" t="str">
        <x:v>Site radar — variante 05 — Camp hostile / arrêt de maintenance</x:v>
      </x:c>
      <x:c r="F2608" t="n">
        <x:v>10</x:v>
      </x:c>
      <x:c r="G2608" t="n">
        <x:v>5</x:v>
      </x:c>
      <x:c r="H2608" t="n">
        <x:v>0</x:v>
      </x:c>
      <x:c r="I2608" t="str">
        <x:v>À qualifier par lieu</x:v>
      </x:c>
      <x:c r="J2608" t="str">
        <x:v>https://github.com/darknigthmare/deadwall-last-enclosure/blob/e28f46223e73105ab2c5d83f3d50b99b58ef53e6/codex-3000/compositions/militaire/DW-2603.md</x:v>
      </x:c>
      <x:c r="K2608" t="str">
        <x:v>Source min 81,50 m ; max 81,50 m ; modèle 78 × 50 m ; niveaux 0. Détails dans catalogue-existant.json.</x:v>
      </x:c>
    </x:row>
    <x:row r="2609">
      <x:c r="A2609" t="str">
        <x:v>DW-2604</x:v>
      </x:c>
      <x:c r="B2609" t="str">
        <x:v>DW-0802</x:v>
      </x:c>
      <x:c r="C2609" t="str">
        <x:v>Composition héritée</x:v>
      </x:c>
      <x:c r="D2609" t="str">
        <x:v>militaire</x:v>
      </x:c>
      <x:c r="E2609" t="str">
        <x:v>Site radar — variante 05 — Centre d’évacuation abandonné / reprise progressive de la végétation</x:v>
      </x:c>
      <x:c r="F2609" t="n">
        <x:v>8</x:v>
      </x:c>
      <x:c r="G2609" t="n">
        <x:v>5</x:v>
      </x:c>
      <x:c r="H2609" t="n">
        <x:v>0</x:v>
      </x:c>
      <x:c r="I2609" t="str">
        <x:v>À qualifier par lieu</x:v>
      </x:c>
      <x:c r="J2609" t="str">
        <x:v>https://github.com/darknigthmare/deadwall-last-enclosure/blob/e28f46223e73105ab2c5d83f3d50b99b58ef53e6/codex-3000/compositions/militaire/DW-2604.md</x:v>
      </x:c>
      <x:c r="K2609" t="str">
        <x:v>Source min 81,50 m ; max 81,50 m ; modèle 78 × 50 m ; niveaux 0. Détails dans catalogue-existant.json.</x:v>
      </x:c>
    </x:row>
    <x:row r="2610">
      <x:c r="A2610" t="str">
        <x:v>DW-2605</x:v>
      </x:c>
      <x:c r="B2610" t="str">
        <x:v>DW-0803</x:v>
      </x:c>
      <x:c r="C2610" t="str">
        <x:v>Composition héritée</x:v>
      </x:c>
      <x:c r="D2610" t="str">
        <x:v>militaire</x:v>
      </x:c>
      <x:c r="E2610" t="str">
        <x:v>Batterie côtière — variante 05 — Camp de fortune / première récupération passée</x:v>
      </x:c>
      <x:c r="F2610" t="n">
        <x:v>8</x:v>
      </x:c>
      <x:c r="G2610" t="n">
        <x:v>4</x:v>
      </x:c>
      <x:c r="H2610" t="n">
        <x:v>0</x:v>
      </x:c>
      <x:c r="I2610" t="str">
        <x:v>À qualifier par lieu</x:v>
      </x:c>
      <x:c r="J2610" t="str">
        <x:v>https://github.com/darknigthmare/deadwall-last-enclosure/blob/e28f46223e73105ab2c5d83f3d50b99b58ef53e6/codex-3000/compositions/militaire/DW-2605.md</x:v>
      </x:c>
      <x:c r="K2610" t="str">
        <x:v>Source min 20,13 m ; max 20,13 m ; modèle 25 × 18 m ; niveaux 0. Détails dans catalogue-existant.json.</x:v>
      </x:c>
    </x:row>
    <x:row r="2611">
      <x:c r="A2611" t="str">
        <x:v>DW-2606</x:v>
      </x:c>
      <x:c r="B2611" t="str">
        <x:v>DW-0803</x:v>
      </x:c>
      <x:c r="C2611" t="str">
        <x:v>Composition héritée</x:v>
      </x:c>
      <x:c r="D2611" t="str">
        <x:v>militaire</x:v>
      </x:c>
      <x:c r="E2611" t="str">
        <x:v>Batterie côtière — variante 05 — Grand camp allié / relais temporaire envisagé</x:v>
      </x:c>
      <x:c r="F2611" t="n">
        <x:v>10</x:v>
      </x:c>
      <x:c r="G2611" t="n">
        <x:v>4</x:v>
      </x:c>
      <x:c r="H2611" t="n">
        <x:v>0</x:v>
      </x:c>
      <x:c r="I2611" t="str">
        <x:v>À qualifier par lieu</x:v>
      </x:c>
      <x:c r="J2611" t="str">
        <x:v>https://github.com/darknigthmare/deadwall-last-enclosure/blob/e28f46223e73105ab2c5d83f3d50b99b58ef53e6/codex-3000/compositions/militaire/DW-2606.md</x:v>
      </x:c>
      <x:c r="K2611" t="str">
        <x:v>Source min 20,13 m ; max 20,13 m ; modèle 25 × 18 m ; niveaux 0. Détails dans catalogue-existant.json.</x:v>
      </x:c>
    </x:row>
    <x:row r="2612">
      <x:c r="A2612" t="str">
        <x:v>DW-2607</x:v>
      </x:c>
      <x:c r="B2612" t="str">
        <x:v>DW-0804</x:v>
      </x:c>
      <x:c r="C2612" t="str">
        <x:v>Composition héritée</x:v>
      </x:c>
      <x:c r="D2612" t="str">
        <x:v>militaire</x:v>
      </x:c>
      <x:c r="E2612" t="str">
        <x:v>Dépôt carburant sécurisé — variante 05 — Centre d’évacuation abandonné / service déplacé à l’arrière</x:v>
      </x:c>
      <x:c r="F2612" t="n">
        <x:v>8</x:v>
      </x:c>
      <x:c r="G2612" t="n">
        <x:v>5</x:v>
      </x:c>
      <x:c r="H2612" t="n">
        <x:v>0</x:v>
      </x:c>
      <x:c r="I2612" t="str">
        <x:v>À qualifier par lieu</x:v>
      </x:c>
      <x:c r="J2612" t="str">
        <x:v>https://github.com/darknigthmare/deadwall-last-enclosure/blob/e28f46223e73105ab2c5d83f3d50b99b58ef53e6/codex-3000/compositions/militaire/DW-2607.md</x:v>
      </x:c>
      <x:c r="K2612" t="str">
        <x:v>Source min 31,30 m ; max 31,30 m ; modèle 31 × 30 m ; niveaux 0. Détails dans catalogue-existant.json.</x:v>
      </x:c>
    </x:row>
    <x:row r="2613">
      <x:c r="A2613" t="str">
        <x:v>DW-2608</x:v>
      </x:c>
      <x:c r="B2613" t="str">
        <x:v>DW-0804</x:v>
      </x:c>
      <x:c r="C2613" t="str">
        <x:v>Composition héritée</x:v>
      </x:c>
      <x:c r="D2613" t="str">
        <x:v>militaire</x:v>
      </x:c>
      <x:c r="E2613" t="str">
        <x:v>Dépôt carburant sécurisé — variante 05 — Camp hostile / réseau principal coupé</x:v>
      </x:c>
      <x:c r="F2613" t="n">
        <x:v>10</x:v>
      </x:c>
      <x:c r="G2613" t="n">
        <x:v>5</x:v>
      </x:c>
      <x:c r="H2613" t="n">
        <x:v>0</x:v>
      </x:c>
      <x:c r="I2613" t="str">
        <x:v>À qualifier par lieu</x:v>
      </x:c>
      <x:c r="J2613" t="str">
        <x:v>https://github.com/darknigthmare/deadwall-last-enclosure/blob/e28f46223e73105ab2c5d83f3d50b99b58ef53e6/codex-3000/compositions/militaire/DW-2608.md</x:v>
      </x:c>
      <x:c r="K2613" t="str">
        <x:v>Source min 31,30 m ; max 31,30 m ; modèle 31 × 30 m ; niveaux 0. Détails dans catalogue-existant.json.</x:v>
      </x:c>
    </x:row>
    <x:row r="2614">
      <x:c r="A2614" t="str">
        <x:v>DW-2609</x:v>
      </x:c>
      <x:c r="B2614" t="str">
        <x:v>DW-0805</x:v>
      </x:c>
      <x:c r="C2614" t="str">
        <x:v>Composition héritée</x:v>
      </x:c>
      <x:c r="D2614" t="str">
        <x:v>transport</x:v>
      </x:c>
      <x:c r="E2614" t="str">
        <x:v>Gare routière — variante 05 — Station-service et aire routière / reprise progressive de la végétation</x:v>
      </x:c>
      <x:c r="F2614" t="n">
        <x:v>8</x:v>
      </x:c>
      <x:c r="G2614" t="n">
        <x:v>5</x:v>
      </x:c>
      <x:c r="H2614" t="n">
        <x:v>0</x:v>
      </x:c>
      <x:c r="I2614" t="str">
        <x:v>À qualifier par lieu</x:v>
      </x:c>
      <x:c r="J2614" t="str">
        <x:v>https://github.com/darknigthmare/deadwall-last-enclosure/blob/e28f46223e73105ab2c5d83f3d50b99b58ef53e6/codex-3000/compositions/transport/DW-2609.md</x:v>
      </x:c>
      <x:c r="K2614" t="str">
        <x:v>Source min 42,47 m ; max 42,47 m ; modèle 42 × 47 m ; niveaux 0. Détails dans catalogue-existant.json.</x:v>
      </x:c>
    </x:row>
    <x:row r="2615">
      <x:c r="A2615" t="str">
        <x:v>DW-2610</x:v>
      </x:c>
      <x:c r="B2615" t="str">
        <x:v>DW-0805</x:v>
      </x:c>
      <x:c r="C2615" t="str">
        <x:v>Composition héritée</x:v>
      </x:c>
      <x:c r="D2615" t="str">
        <x:v>transport</x:v>
      </x:c>
      <x:c r="E2615" t="str">
        <x:v>Gare routière — variante 05 — Port marchand / repli organisé interrompu</x:v>
      </x:c>
      <x:c r="F2615" t="n">
        <x:v>10</x:v>
      </x:c>
      <x:c r="G2615" t="n">
        <x:v>5</x:v>
      </x:c>
      <x:c r="H2615" t="n">
        <x:v>0</x:v>
      </x:c>
      <x:c r="I2615" t="str">
        <x:v>À qualifier par lieu</x:v>
      </x:c>
      <x:c r="J2615" t="str">
        <x:v>https://github.com/darknigthmare/deadwall-last-enclosure/blob/e28f46223e73105ab2c5d83f3d50b99b58ef53e6/codex-3000/compositions/transport/DW-2610.md</x:v>
      </x:c>
      <x:c r="K2615" t="str">
        <x:v>Source min 42,47 m ; max 42,47 m ; modèle 42 × 47 m ; niveaux 0. Détails dans catalogue-existant.json.</x:v>
      </x:c>
    </x:row>
    <x:row r="2616">
      <x:c r="A2616" t="str">
        <x:v>DW-2611</x:v>
      </x:c>
      <x:c r="B2616" t="str">
        <x:v>DW-0806</x:v>
      </x:c>
      <x:c r="C2616" t="str">
        <x:v>Composition héritée</x:v>
      </x:c>
      <x:c r="D2616" t="str">
        <x:v>transport</x:v>
      </x:c>
      <x:c r="E2616" t="str">
        <x:v>Dépôt de bus — variante 05 — Gare et fret / relais temporaire envisagé</x:v>
      </x:c>
      <x:c r="F2616" t="n">
        <x:v>10</x:v>
      </x:c>
      <x:c r="G2616" t="n">
        <x:v>5</x:v>
      </x:c>
      <x:c r="H2616" t="n">
        <x:v>0</x:v>
      </x:c>
      <x:c r="I2616" t="str">
        <x:v>À qualifier par lieu</x:v>
      </x:c>
      <x:c r="J2616" t="str">
        <x:v>https://github.com/darknigthmare/deadwall-last-enclosure/blob/e28f46223e73105ab2c5d83f3d50b99b58ef53e6/codex-3000/compositions/transport/DW-2611.md</x:v>
      </x:c>
      <x:c r="K2616" t="str">
        <x:v>Source min 53,10 m ; max 53,10 m ; modèle 53 × 22 m ; niveaux 0. Détails dans catalogue-existant.json.</x:v>
      </x:c>
    </x:row>
    <x:row r="2617">
      <x:c r="A2617" t="str">
        <x:v>DW-2612</x:v>
      </x:c>
      <x:c r="B2617" t="str">
        <x:v>DW-0806</x:v>
      </x:c>
      <x:c r="C2617" t="str">
        <x:v>Composition héritée</x:v>
      </x:c>
      <x:c r="D2617" t="str">
        <x:v>transport</x:v>
      </x:c>
      <x:c r="E2617" t="str">
        <x:v>Dépôt de bus — variante 05 — Routes et coutures territoriales / évacuation interrompue</x:v>
      </x:c>
      <x:c r="F2617" t="n">
        <x:v>10</x:v>
      </x:c>
      <x:c r="G2617" t="n">
        <x:v>5</x:v>
      </x:c>
      <x:c r="H2617" t="n">
        <x:v>0</x:v>
      </x:c>
      <x:c r="I2617" t="str">
        <x:v>À qualifier par lieu</x:v>
      </x:c>
      <x:c r="J2617" t="str">
        <x:v>https://github.com/darknigthmare/deadwall-last-enclosure/blob/e28f46223e73105ab2c5d83f3d50b99b58ef53e6/codex-3000/compositions/transport/DW-2612.md</x:v>
      </x:c>
      <x:c r="K2617" t="str">
        <x:v>Source min 53,10 m ; max 53,10 m ; modèle 53 × 22 m ; niveaux 0. Détails dans catalogue-existant.json.</x:v>
      </x:c>
    </x:row>
    <x:row r="2618">
      <x:c r="A2618" t="str">
        <x:v>DW-2613</x:v>
      </x:c>
      <x:c r="B2618" t="str">
        <x:v>DW-0807</x:v>
      </x:c>
      <x:c r="C2618" t="str">
        <x:v>Composition héritée</x:v>
      </x:c>
      <x:c r="D2618" t="str">
        <x:v>transport</x:v>
      </x:c>
      <x:c r="E2618" t="str">
        <x:v>Gare ferroviaire — variante 05 — Port marchand / réseau principal coupé</x:v>
      </x:c>
      <x:c r="F2618" t="n">
        <x:v>10</x:v>
      </x:c>
      <x:c r="G2618" t="n">
        <x:v>5</x:v>
      </x:c>
      <x:c r="H2618" t="n">
        <x:v>0</x:v>
      </x:c>
      <x:c r="I2618" t="str">
        <x:v>À qualifier par lieu</x:v>
      </x:c>
      <x:c r="J2618" t="str">
        <x:v>https://github.com/darknigthmare/deadwall-last-enclosure/blob/e28f46223e73105ab2c5d83f3d50b99b58ef53e6/codex-3000/compositions/transport/DW-2613.md</x:v>
      </x:c>
      <x:c r="K2618" t="str">
        <x:v>Source min 64,27 m ; max 64,27 m ; modèle 64 × 27 m ; niveaux 0. Détails dans catalogue-existant.json.</x:v>
      </x:c>
    </x:row>
    <x:row r="2619">
      <x:c r="A2619" t="str">
        <x:v>DW-2614</x:v>
      </x:c>
      <x:c r="B2619" t="str">
        <x:v>DW-0807</x:v>
      </x:c>
      <x:c r="C2619" t="str">
        <x:v>Composition héritée</x:v>
      </x:c>
      <x:c r="D2619" t="str">
        <x:v>transport</x:v>
      </x:c>
      <x:c r="E2619" t="str">
        <x:v>Gare ferroviaire — variante 05 — Station-service et aire routière / arrêt de maintenance</x:v>
      </x:c>
      <x:c r="F2619" t="n">
        <x:v>8</x:v>
      </x:c>
      <x:c r="G2619" t="n">
        <x:v>5</x:v>
      </x:c>
      <x:c r="H2619" t="n">
        <x:v>0</x:v>
      </x:c>
      <x:c r="I2619" t="str">
        <x:v>À qualifier par lieu</x:v>
      </x:c>
      <x:c r="J2619" t="str">
        <x:v>https://github.com/darknigthmare/deadwall-last-enclosure/blob/e28f46223e73105ab2c5d83f3d50b99b58ef53e6/codex-3000/compositions/transport/DW-2614.md</x:v>
      </x:c>
      <x:c r="K2619" t="str">
        <x:v>Source min 64,27 m ; max 64,27 m ; modèle 64 × 27 m ; niveaux 0. Détails dans catalogue-existant.json.</x:v>
      </x:c>
    </x:row>
    <x:row r="2620">
      <x:c r="A2620" t="str">
        <x:v>DW-2615</x:v>
      </x:c>
      <x:c r="B2620" t="str">
        <x:v>DW-0808</x:v>
      </x:c>
      <x:c r="C2620" t="str">
        <x:v>Composition héritée</x:v>
      </x:c>
      <x:c r="D2620" t="str">
        <x:v>transport</x:v>
      </x:c>
      <x:c r="E2620" t="str">
        <x:v>Aire d'autoroute — variante 05 — Routes et coutures territoriales / repli organisé interrompu</x:v>
      </x:c>
      <x:c r="F2620" t="n">
        <x:v>10</x:v>
      </x:c>
      <x:c r="G2620" t="n">
        <x:v>5</x:v>
      </x:c>
      <x:c r="H2620" t="n">
        <x:v>0</x:v>
      </x:c>
      <x:c r="I2620" t="str">
        <x:v>À qualifier par lieu</x:v>
      </x:c>
      <x:c r="J2620" t="str">
        <x:v>https://github.com/darknigthmare/deadwall-last-enclosure/blob/e28f46223e73105ab2c5d83f3d50b99b58ef53e6/codex-3000/compositions/transport/DW-2615.md</x:v>
      </x:c>
      <x:c r="K2620" t="str">
        <x:v>Source min 75,44 m ; max 75,44 m ; modèle 75 × 44 m ; niveaux 0. Détails dans catalogue-existant.json.</x:v>
      </x:c>
    </x:row>
    <x:row r="2621">
      <x:c r="A2621" t="str">
        <x:v>DW-2616</x:v>
      </x:c>
      <x:c r="B2621" t="str">
        <x:v>DW-0808</x:v>
      </x:c>
      <x:c r="C2621" t="str">
        <x:v>Composition héritée</x:v>
      </x:c>
      <x:c r="D2621" t="str">
        <x:v>transport</x:v>
      </x:c>
      <x:c r="E2621" t="str">
        <x:v>Aire d'autoroute — variante 05 — Gare et fret / première récupération passée</x:v>
      </x:c>
      <x:c r="F2621" t="n">
        <x:v>10</x:v>
      </x:c>
      <x:c r="G2621" t="n">
        <x:v>5</x:v>
      </x:c>
      <x:c r="H2621" t="n">
        <x:v>0</x:v>
      </x:c>
      <x:c r="I2621" t="str">
        <x:v>À qualifier par lieu</x:v>
      </x:c>
      <x:c r="J2621" t="str">
        <x:v>https://github.com/darknigthmare/deadwall-last-enclosure/blob/e28f46223e73105ab2c5d83f3d50b99b58ef53e6/codex-3000/compositions/transport/DW-2616.md</x:v>
      </x:c>
      <x:c r="K2621" t="str">
        <x:v>Source min 75,44 m ; max 75,44 m ; modèle 75 × 44 m ; niveaux 0. Détails dans catalogue-existant.json.</x:v>
      </x:c>
    </x:row>
    <x:row r="2622">
      <x:c r="A2622" t="str">
        <x:v>DW-2617</x:v>
      </x:c>
      <x:c r="B2622" t="str">
        <x:v>DW-0809</x:v>
      </x:c>
      <x:c r="C2622" t="str">
        <x:v>Composition héritée</x:v>
      </x:c>
      <x:c r="D2622" t="str">
        <x:v>transport</x:v>
      </x:c>
      <x:c r="E2622" t="str">
        <x:v>Parking silo — variante 05 — Station-service et aire routière / évacuation interrompue</x:v>
      </x:c>
      <x:c r="F2622" t="n">
        <x:v>8</x:v>
      </x:c>
      <x:c r="G2622" t="n">
        <x:v>4</x:v>
      </x:c>
      <x:c r="H2622" t="n">
        <x:v>0</x:v>
      </x:c>
      <x:c r="I2622" t="str">
        <x:v>À qualifier par lieu</x:v>
      </x:c>
      <x:c r="J2622" t="str">
        <x:v>https://github.com/darknigthmare/deadwall-last-enclosure/blob/e28f46223e73105ab2c5d83f3d50b99b58ef53e6/codex-3000/compositions/transport/DW-2617.md</x:v>
      </x:c>
      <x:c r="K2622" t="str">
        <x:v>Source min 14,61 m ; max 14,61 m ; modèle 25 × 61 m ; niveaux 0. Détails dans catalogue-existant.json.</x:v>
      </x:c>
    </x:row>
    <x:row r="2623">
      <x:c r="A2623" t="str">
        <x:v>DW-2618</x:v>
      </x:c>
      <x:c r="B2623" t="str">
        <x:v>DW-0809</x:v>
      </x:c>
      <x:c r="C2623" t="str">
        <x:v>Composition héritée</x:v>
      </x:c>
      <x:c r="D2623" t="str">
        <x:v>transport</x:v>
      </x:c>
      <x:c r="E2623" t="str">
        <x:v>Parking silo — variante 05 — Port marchand / service déplacé à l’arrière</x:v>
      </x:c>
      <x:c r="F2623" t="n">
        <x:v>10</x:v>
      </x:c>
      <x:c r="G2623" t="n">
        <x:v>4</x:v>
      </x:c>
      <x:c r="H2623" t="n">
        <x:v>0</x:v>
      </x:c>
      <x:c r="I2623" t="str">
        <x:v>À qualifier par lieu</x:v>
      </x:c>
      <x:c r="J2623" t="str">
        <x:v>https://github.com/darknigthmare/deadwall-last-enclosure/blob/e28f46223e73105ab2c5d83f3d50b99b58ef53e6/codex-3000/compositions/transport/DW-2618.md</x:v>
      </x:c>
      <x:c r="K2623" t="str">
        <x:v>Source min 14,61 m ; max 14,61 m ; modèle 25 × 61 m ; niveaux 0. Détails dans catalogue-existant.json.</x:v>
      </x:c>
    </x:row>
    <x:row r="2624">
      <x:c r="A2624" t="str">
        <x:v>DW-2619</x:v>
      </x:c>
      <x:c r="B2624" t="str">
        <x:v>DW-0810</x:v>
      </x:c>
      <x:c r="C2624" t="str">
        <x:v>Composition héritée</x:v>
      </x:c>
      <x:c r="D2624" t="str">
        <x:v>transport</x:v>
      </x:c>
      <x:c r="E2624" t="str">
        <x:v>Terminal poids lourds — variante 05 — Gare et fret / arrêt de maintenance</x:v>
      </x:c>
      <x:c r="F2624" t="n">
        <x:v>10</x:v>
      </x:c>
      <x:c r="G2624" t="n">
        <x:v>5</x:v>
      </x:c>
      <x:c r="H2624" t="n">
        <x:v>0</x:v>
      </x:c>
      <x:c r="I2624" t="str">
        <x:v>À qualifier par lieu</x:v>
      </x:c>
      <x:c r="J2624" t="str">
        <x:v>https://github.com/darknigthmare/deadwall-last-enclosure/blob/e28f46223e73105ab2c5d83f3d50b99b58ef53e6/codex-3000/compositions/transport/DW-2619.md</x:v>
      </x:c>
      <x:c r="K2624" t="str">
        <x:v>Source min 25,24 m ; max 25,24 m ; modèle 26 × 24 m ; niveaux 0. Détails dans catalogue-existant.json.</x:v>
      </x:c>
    </x:row>
    <x:row r="2625">
      <x:c r="A2625" t="str">
        <x:v>DW-2620</x:v>
      </x:c>
      <x:c r="B2625" t="str">
        <x:v>DW-0810</x:v>
      </x:c>
      <x:c r="C2625" t="str">
        <x:v>Composition héritée</x:v>
      </x:c>
      <x:c r="D2625" t="str">
        <x:v>transport</x:v>
      </x:c>
      <x:c r="E2625" t="str">
        <x:v>Terminal poids lourds — variante 05 — Routes et coutures territoriales / reprise progressive de la végétation</x:v>
      </x:c>
      <x:c r="F2625" t="n">
        <x:v>10</x:v>
      </x:c>
      <x:c r="G2625" t="n">
        <x:v>5</x:v>
      </x:c>
      <x:c r="H2625" t="n">
        <x:v>0</x:v>
      </x:c>
      <x:c r="I2625" t="str">
        <x:v>À qualifier par lieu</x:v>
      </x:c>
      <x:c r="J2625" t="str">
        <x:v>https://github.com/darknigthmare/deadwall-last-enclosure/blob/e28f46223e73105ab2c5d83f3d50b99b58ef53e6/codex-3000/compositions/transport/DW-2620.md</x:v>
      </x:c>
      <x:c r="K2625" t="str">
        <x:v>Source min 25,24 m ; max 25,24 m ; modèle 26 × 24 m ; niveaux 0. Détails dans catalogue-existant.json.</x:v>
      </x:c>
    </x:row>
    <x:row r="2626">
      <x:c r="A2626" t="str">
        <x:v>DW-2621</x:v>
      </x:c>
      <x:c r="B2626" t="str">
        <x:v>DW-0811</x:v>
      </x:c>
      <x:c r="C2626" t="str">
        <x:v>Composition héritée</x:v>
      </x:c>
      <x:c r="D2626" t="str">
        <x:v>transport</x:v>
      </x:c>
      <x:c r="E2626" t="str">
        <x:v>Port de plaisance — variante 05 — Port marchand / première récupération passée</x:v>
      </x:c>
      <x:c r="F2626" t="n">
        <x:v>10</x:v>
      </x:c>
      <x:c r="G2626" t="n">
        <x:v>5</x:v>
      </x:c>
      <x:c r="H2626" t="n">
        <x:v>0</x:v>
      </x:c>
      <x:c r="I2626" t="str">
        <x:v>À qualifier par lieu</x:v>
      </x:c>
      <x:c r="J2626" t="str">
        <x:v>https://github.com/darknigthmare/deadwall-last-enclosure/blob/e28f46223e73105ab2c5d83f3d50b99b58ef53e6/codex-3000/compositions/transport/DW-2621.md</x:v>
      </x:c>
      <x:c r="K2626" t="str">
        <x:v>Source min 36,41 m ; max 36,41 m ; modèle 36 × 41 m ; niveaux 0. Détails dans catalogue-existant.json.</x:v>
      </x:c>
    </x:row>
    <x:row r="2627">
      <x:c r="A2627" t="str">
        <x:v>DW-2622</x:v>
      </x:c>
      <x:c r="B2627" t="str">
        <x:v>DW-0811</x:v>
      </x:c>
      <x:c r="C2627" t="str">
        <x:v>Composition héritée</x:v>
      </x:c>
      <x:c r="D2627" t="str">
        <x:v>transport</x:v>
      </x:c>
      <x:c r="E2627" t="str">
        <x:v>Port de plaisance — variante 05 — Station-service et aire routière / relais temporaire envisagé</x:v>
      </x:c>
      <x:c r="F2627" t="n">
        <x:v>8</x:v>
      </x:c>
      <x:c r="G2627" t="n">
        <x:v>5</x:v>
      </x:c>
      <x:c r="H2627" t="n">
        <x:v>0</x:v>
      </x:c>
      <x:c r="I2627" t="str">
        <x:v>À qualifier par lieu</x:v>
      </x:c>
      <x:c r="J2627" t="str">
        <x:v>https://github.com/darknigthmare/deadwall-last-enclosure/blob/e28f46223e73105ab2c5d83f3d50b99b58ef53e6/codex-3000/compositions/transport/DW-2622.md</x:v>
      </x:c>
      <x:c r="K2627" t="str">
        <x:v>Source min 36,41 m ; max 36,41 m ; modèle 36 × 41 m ; niveaux 0. Détails dans catalogue-existant.json.</x:v>
      </x:c>
    </x:row>
    <x:row r="2628">
      <x:c r="A2628" t="str">
        <x:v>DW-2623</x:v>
      </x:c>
      <x:c r="B2628" t="str">
        <x:v>DW-0812</x:v>
      </x:c>
      <x:c r="C2628" t="str">
        <x:v>Composition héritée</x:v>
      </x:c>
      <x:c r="D2628" t="str">
        <x:v>transport</x:v>
      </x:c>
      <x:c r="E2628" t="str">
        <x:v>Petit aérodrome — variante 05 — Routes et coutures territoriales / service déplacé à l’arrière</x:v>
      </x:c>
      <x:c r="F2628" t="n">
        <x:v>10</x:v>
      </x:c>
      <x:c r="G2628" t="n">
        <x:v>5</x:v>
      </x:c>
      <x:c r="H2628" t="n">
        <x:v>0</x:v>
      </x:c>
      <x:c r="I2628" t="str">
        <x:v>À qualifier par lieu</x:v>
      </x:c>
      <x:c r="J2628" t="str">
        <x:v>https://github.com/darknigthmare/deadwall-last-enclosure/blob/e28f46223e73105ab2c5d83f3d50b99b58ef53e6/codex-3000/compositions/transport/DW-2623.md</x:v>
      </x:c>
      <x:c r="K2628" t="str">
        <x:v>Source min 47,58 m ; max 47,58 m ; modèle 47 × 58 m ; niveaux 0. Détails dans catalogue-existant.json.</x:v>
      </x:c>
    </x:row>
    <x:row r="2629">
      <x:c r="A2629" t="str">
        <x:v>DW-2624</x:v>
      </x:c>
      <x:c r="B2629" t="str">
        <x:v>DW-0812</x:v>
      </x:c>
      <x:c r="C2629" t="str">
        <x:v>Composition héritée</x:v>
      </x:c>
      <x:c r="D2629" t="str">
        <x:v>transport</x:v>
      </x:c>
      <x:c r="E2629" t="str">
        <x:v>Petit aérodrome — variante 05 — Gare et fret / réseau principal coupé</x:v>
      </x:c>
      <x:c r="F2629" t="n">
        <x:v>10</x:v>
      </x:c>
      <x:c r="G2629" t="n">
        <x:v>5</x:v>
      </x:c>
      <x:c r="H2629" t="n">
        <x:v>0</x:v>
      </x:c>
      <x:c r="I2629" t="str">
        <x:v>À qualifier par lieu</x:v>
      </x:c>
      <x:c r="J2629" t="str">
        <x:v>https://github.com/darknigthmare/deadwall-last-enclosure/blob/e28f46223e73105ab2c5d83f3d50b99b58ef53e6/codex-3000/compositions/transport/DW-2624.md</x:v>
      </x:c>
      <x:c r="K2629" t="str">
        <x:v>Source min 47,58 m ; max 47,58 m ; modèle 47 × 58 m ; niveaux 0. Détails dans catalogue-existant.json.</x:v>
      </x:c>
    </x:row>
    <x:row r="2630">
      <x:c r="A2630" t="str">
        <x:v>DW-2625</x:v>
      </x:c>
      <x:c r="B2630" t="str">
        <x:v>DW-0813</x:v>
      </x:c>
      <x:c r="C2630" t="str">
        <x:v>Composition héritée</x:v>
      </x:c>
      <x:c r="D2630" t="str">
        <x:v>ruines</x:v>
      </x:c>
      <x:c r="E2630" t="str">
        <x:v>Maison incendiée — variante 05 — Ruine envahie et reprise végétale / reprise progressive de la végétation</x:v>
      </x:c>
      <x:c r="F2630" t="n">
        <x:v>8</x:v>
      </x:c>
      <x:c r="G2630" t="n">
        <x:v>3</x:v>
      </x:c>
      <x:c r="H2630" t="n">
        <x:v>0</x:v>
      </x:c>
      <x:c r="I2630" t="str">
        <x:v>À qualifier par lieu</x:v>
      </x:c>
      <x:c r="J2630" t="str">
        <x:v>https://github.com/darknigthmare/deadwall-last-enclosure/blob/e28f46223e73105ab2c5d83f3d50b99b58ef53e6/codex-3000/compositions/ruines/DW-2625.md</x:v>
      </x:c>
      <x:c r="K2630" t="str">
        <x:v>Source min 58,21 m ; max 58,21 m ; modèle 58 × 21 m ; niveaux 0, 1. Détails dans catalogue-existant.json.</x:v>
      </x:c>
    </x:row>
    <x:row r="2631">
      <x:c r="A2631" t="str">
        <x:v>DW-2626</x:v>
      </x:c>
      <x:c r="B2631" t="str">
        <x:v>DW-0813</x:v>
      </x:c>
      <x:c r="C2631" t="str">
        <x:v>Composition héritée</x:v>
      </x:c>
      <x:c r="D2631" t="str">
        <x:v>ruines</x:v>
      </x:c>
      <x:c r="E2631" t="str">
        <x:v>Maison incendiée — variante 05 — Zone industrielle / repli organisé interrompu</x:v>
      </x:c>
      <x:c r="F2631" t="n">
        <x:v>8</x:v>
      </x:c>
      <x:c r="G2631" t="n">
        <x:v>3</x:v>
      </x:c>
      <x:c r="H2631" t="n">
        <x:v>0</x:v>
      </x:c>
      <x:c r="I2631" t="str">
        <x:v>À qualifier par lieu</x:v>
      </x:c>
      <x:c r="J2631" t="str">
        <x:v>https://github.com/darknigthmare/deadwall-last-enclosure/blob/e28f46223e73105ab2c5d83f3d50b99b58ef53e6/codex-3000/compositions/ruines/DW-2626.md</x:v>
      </x:c>
      <x:c r="K2631" t="str">
        <x:v>Source min 58,21 m ; max 58,21 m ; modèle 58 × 21 m ; niveaux 0, 1. Détails dans catalogue-existant.json.</x:v>
      </x:c>
    </x:row>
    <x:row r="2632">
      <x:c r="A2632" t="str">
        <x:v>DW-2627</x:v>
      </x:c>
      <x:c r="B2632" t="str">
        <x:v>DW-0814</x:v>
      </x:c>
      <x:c r="C2632" t="str">
        <x:v>Composition héritée</x:v>
      </x:c>
      <x:c r="D2632" t="str">
        <x:v>ruines</x:v>
      </x:c>
      <x:c r="E2632" t="str">
        <x:v>Immeuble éventré — variante 05 — Centre ancien / relais temporaire envisagé</x:v>
      </x:c>
      <x:c r="F2632" t="n">
        <x:v>8</x:v>
      </x:c>
      <x:c r="G2632" t="n">
        <x:v>4</x:v>
      </x:c>
      <x:c r="H2632" t="n">
        <x:v>0</x:v>
      </x:c>
      <x:c r="I2632" t="str">
        <x:v>À qualifier par lieu</x:v>
      </x:c>
      <x:c r="J2632" t="str">
        <x:v>https://github.com/darknigthmare/deadwall-last-enclosure/blob/e28f46223e73105ab2c5d83f3d50b99b58ef53e6/codex-3000/compositions/ruines/DW-2627.md</x:v>
      </x:c>
      <x:c r="K2632" t="str">
        <x:v>Source min 69,38 m ; max 69,38 m ; modèle 69 × 38 m ; niveaux 0, 1, 2. Détails dans catalogue-existant.json.</x:v>
      </x:c>
    </x:row>
    <x:row r="2633">
      <x:c r="A2633" t="str">
        <x:v>DW-2628</x:v>
      </x:c>
      <x:c r="B2633" t="str">
        <x:v>DW-0814</x:v>
      </x:c>
      <x:c r="C2633" t="str">
        <x:v>Composition héritée</x:v>
      </x:c>
      <x:c r="D2633" t="str">
        <x:v>ruines</x:v>
      </x:c>
      <x:c r="E2633" t="str">
        <x:v>Immeuble éventré — variante 05 — Petit bois et lisière / évacuation interrompue</x:v>
      </x:c>
      <x:c r="F2633" t="n">
        <x:v>8</x:v>
      </x:c>
      <x:c r="G2633" t="n">
        <x:v>4</x:v>
      </x:c>
      <x:c r="H2633" t="n">
        <x:v>0</x:v>
      </x:c>
      <x:c r="I2633" t="str">
        <x:v>À qualifier par lieu</x:v>
      </x:c>
      <x:c r="J2633" t="str">
        <x:v>https://github.com/darknigthmare/deadwall-last-enclosure/blob/e28f46223e73105ab2c5d83f3d50b99b58ef53e6/codex-3000/compositions/ruines/DW-2628.md</x:v>
      </x:c>
      <x:c r="K2633" t="str">
        <x:v>Source min 69,38 m ; max 69,38 m ; modèle 69 × 38 m ; niveaux 0, 1, 2. Détails dans catalogue-existant.json.</x:v>
      </x:c>
    </x:row>
    <x:row r="2634">
      <x:c r="A2634" t="str">
        <x:v>DW-2629</x:v>
      </x:c>
      <x:c r="B2634" t="str">
        <x:v>DW-0815</x:v>
      </x:c>
      <x:c r="C2634" t="str">
        <x:v>Composition héritée</x:v>
      </x:c>
      <x:c r="D2634" t="str">
        <x:v>ruines</x:v>
      </x:c>
      <x:c r="E2634" t="str">
        <x:v>Commerce pillé — variante 05 — Zone industrielle / réseau principal coupé</x:v>
      </x:c>
      <x:c r="F2634" t="n">
        <x:v>8</x:v>
      </x:c>
      <x:c r="G2634" t="n">
        <x:v>4</x:v>
      </x:c>
      <x:c r="H2634" t="n">
        <x:v>0</x:v>
      </x:c>
      <x:c r="I2634" t="str">
        <x:v>À qualifier par lieu</x:v>
      </x:c>
      <x:c r="J2634" t="str">
        <x:v>https://github.com/darknigthmare/deadwall-last-enclosure/blob/e28f46223e73105ab2c5d83f3d50b99b58ef53e6/codex-3000/compositions/ruines/DW-2629.md</x:v>
      </x:c>
      <x:c r="K2634" t="str">
        <x:v>Source min 80,55 m ; max 80,55 m ; modèle 78 × 55 m ; niveaux 0. Détails dans catalogue-existant.json.</x:v>
      </x:c>
    </x:row>
    <x:row r="2635">
      <x:c r="A2635" t="str">
        <x:v>DW-2630</x:v>
      </x:c>
      <x:c r="B2635" t="str">
        <x:v>DW-0815</x:v>
      </x:c>
      <x:c r="C2635" t="str">
        <x:v>Composition héritée</x:v>
      </x:c>
      <x:c r="D2635" t="str">
        <x:v>ruines</x:v>
      </x:c>
      <x:c r="E2635" t="str">
        <x:v>Commerce pillé — variante 05 — Ruine envahie et reprise végétale / arrêt de maintenance</x:v>
      </x:c>
      <x:c r="F2635" t="n">
        <x:v>8</x:v>
      </x:c>
      <x:c r="G2635" t="n">
        <x:v>4</x:v>
      </x:c>
      <x:c r="H2635" t="n">
        <x:v>0</x:v>
      </x:c>
      <x:c r="I2635" t="str">
        <x:v>À qualifier par lieu</x:v>
      </x:c>
      <x:c r="J2635" t="str">
        <x:v>https://github.com/darknigthmare/deadwall-last-enclosure/blob/e28f46223e73105ab2c5d83f3d50b99b58ef53e6/codex-3000/compositions/ruines/DW-2630.md</x:v>
      </x:c>
      <x:c r="K2635" t="str">
        <x:v>Source min 80,55 m ; max 80,55 m ; modèle 78 × 55 m ; niveaux 0. Détails dans catalogue-existant.json.</x:v>
      </x:c>
    </x:row>
    <x:row r="2636">
      <x:c r="A2636" t="str">
        <x:v>DW-2631</x:v>
      </x:c>
      <x:c r="B2636" t="str">
        <x:v>DW-0816</x:v>
      </x:c>
      <x:c r="C2636" t="str">
        <x:v>Composition héritée</x:v>
      </x:c>
      <x:c r="D2636" t="str">
        <x:v>ruines</x:v>
      </x:c>
      <x:c r="E2636" t="str">
        <x:v>Usine sinistrée — variante 05 — Petit bois et lisière / repli organisé interrompu</x:v>
      </x:c>
      <x:c r="F2636" t="n">
        <x:v>8</x:v>
      </x:c>
      <x:c r="G2636" t="n">
        <x:v>4</x:v>
      </x:c>
      <x:c r="H2636" t="n">
        <x:v>0</x:v>
      </x:c>
      <x:c r="I2636" t="str">
        <x:v>À qualifier par lieu</x:v>
      </x:c>
      <x:c r="J2636" t="str">
        <x:v>https://github.com/darknigthmare/deadwall-last-enclosure/blob/e28f46223e73105ab2c5d83f3d50b99b58ef53e6/codex-3000/compositions/ruines/DW-2631.md</x:v>
      </x:c>
      <x:c r="K2636" t="str">
        <x:v>Source min 19,18 m ; max 19,18 m ; modèle 25 × 18 m ; niveaux 0. Détails dans catalogue-existant.json.</x:v>
      </x:c>
    </x:row>
    <x:row r="2637">
      <x:c r="A2637" t="str">
        <x:v>DW-2632</x:v>
      </x:c>
      <x:c r="B2637" t="str">
        <x:v>DW-0816</x:v>
      </x:c>
      <x:c r="C2637" t="str">
        <x:v>Composition héritée</x:v>
      </x:c>
      <x:c r="D2637" t="str">
        <x:v>ruines</x:v>
      </x:c>
      <x:c r="E2637" t="str">
        <x:v>Usine sinistrée — variante 05 — Centre ancien / première récupération passée</x:v>
      </x:c>
      <x:c r="F2637" t="n">
        <x:v>8</x:v>
      </x:c>
      <x:c r="G2637" t="n">
        <x:v>4</x:v>
      </x:c>
      <x:c r="H2637" t="n">
        <x:v>0</x:v>
      </x:c>
      <x:c r="I2637" t="str">
        <x:v>À qualifier par lieu</x:v>
      </x:c>
      <x:c r="J2637" t="str">
        <x:v>https://github.com/darknigthmare/deadwall-last-enclosure/blob/e28f46223e73105ab2c5d83f3d50b99b58ef53e6/codex-3000/compositions/ruines/DW-2632.md</x:v>
      </x:c>
      <x:c r="K2637" t="str">
        <x:v>Source min 19,18 m ; max 19,18 m ; modèle 25 × 18 m ; niveaux 0. Détails dans catalogue-existant.json.</x:v>
      </x:c>
    </x:row>
    <x:row r="2638">
      <x:c r="A2638" t="str">
        <x:v>DW-2633</x:v>
      </x:c>
      <x:c r="B2638" t="str">
        <x:v>DW-0817</x:v>
      </x:c>
      <x:c r="C2638" t="str">
        <x:v>Composition héritée</x:v>
      </x:c>
      <x:c r="D2638" t="str">
        <x:v>ruines</x:v>
      </x:c>
      <x:c r="E2638" t="str">
        <x:v>Hôtel abandonné — variante 05 — Ruine envahie et reprise végétale / évacuation interrompue</x:v>
      </x:c>
      <x:c r="F2638" t="n">
        <x:v>8</x:v>
      </x:c>
      <x:c r="G2638" t="n">
        <x:v>5</x:v>
      </x:c>
      <x:c r="H2638" t="n">
        <x:v>0</x:v>
      </x:c>
      <x:c r="I2638" t="str">
        <x:v>À qualifier par lieu</x:v>
      </x:c>
      <x:c r="J2638" t="str">
        <x:v>https://github.com/darknigthmare/deadwall-last-enclosure/blob/e28f46223e73105ab2c5d83f3d50b99b58ef53e6/codex-3000/compositions/ruines/DW-2633.md</x:v>
      </x:c>
      <x:c r="K2638" t="str">
        <x:v>Source min 30,35 m ; max 30,35 m ; modèle 30 × 35 m ; niveaux 0, 1. Détails dans catalogue-existant.json.</x:v>
      </x:c>
    </x:row>
    <x:row r="2639">
      <x:c r="A2639" t="str">
        <x:v>DW-2634</x:v>
      </x:c>
      <x:c r="B2639" t="str">
        <x:v>DW-0817</x:v>
      </x:c>
      <x:c r="C2639" t="str">
        <x:v>Composition héritée</x:v>
      </x:c>
      <x:c r="D2639" t="str">
        <x:v>ruines</x:v>
      </x:c>
      <x:c r="E2639" t="str">
        <x:v>Hôtel abandonné — variante 05 — Zone industrielle / service déplacé à l’arrière</x:v>
      </x:c>
      <x:c r="F2639" t="n">
        <x:v>8</x:v>
      </x:c>
      <x:c r="G2639" t="n">
        <x:v>5</x:v>
      </x:c>
      <x:c r="H2639" t="n">
        <x:v>0</x:v>
      </x:c>
      <x:c r="I2639" t="str">
        <x:v>À qualifier par lieu</x:v>
      </x:c>
      <x:c r="J2639" t="str">
        <x:v>https://github.com/darknigthmare/deadwall-last-enclosure/blob/e28f46223e73105ab2c5d83f3d50b99b58ef53e6/codex-3000/compositions/ruines/DW-2634.md</x:v>
      </x:c>
      <x:c r="K2639" t="str">
        <x:v>Source min 30,35 m ; max 30,35 m ; modèle 30 × 35 m ; niveaux 0, 1. Détails dans catalogue-existant.json.</x:v>
      </x:c>
    </x:row>
    <x:row r="2640">
      <x:c r="A2640" t="str">
        <x:v>DW-2635</x:v>
      </x:c>
      <x:c r="B2640" t="str">
        <x:v>DW-0818</x:v>
      </x:c>
      <x:c r="C2640" t="str">
        <x:v>Composition héritée</x:v>
      </x:c>
      <x:c r="D2640" t="str">
        <x:v>ruines</x:v>
      </x:c>
      <x:c r="E2640" t="str">
        <x:v>Lotissement ravagé — variante 05 — Centre ancien / arrêt de maintenance</x:v>
      </x:c>
      <x:c r="F2640" t="n">
        <x:v>8</x:v>
      </x:c>
      <x:c r="G2640" t="n">
        <x:v>4</x:v>
      </x:c>
      <x:c r="H2640" t="n">
        <x:v>0</x:v>
      </x:c>
      <x:c r="I2640" t="str">
        <x:v>À qualifier par lieu</x:v>
      </x:c>
      <x:c r="J2640" t="str">
        <x:v>https://github.com/darknigthmare/deadwall-last-enclosure/blob/e28f46223e73105ab2c5d83f3d50b99b58ef53e6/codex-3000/compositions/ruines/DW-2635.md</x:v>
      </x:c>
      <x:c r="K2640" t="str">
        <x:v>Source min 41,52 m ; max 41,52 m ; modèle 41 × 52 m ; niveaux 0. Détails dans catalogue-existant.json.</x:v>
      </x:c>
    </x:row>
    <x:row r="2641">
      <x:c r="A2641" t="str">
        <x:v>DW-2636</x:v>
      </x:c>
      <x:c r="B2641" t="str">
        <x:v>DW-0818</x:v>
      </x:c>
      <x:c r="C2641" t="str">
        <x:v>Composition héritée</x:v>
      </x:c>
      <x:c r="D2641" t="str">
        <x:v>ruines</x:v>
      </x:c>
      <x:c r="E2641" t="str">
        <x:v>Lotissement ravagé — variante 05 — Petit bois et lisière / reprise progressive de la végétation</x:v>
      </x:c>
      <x:c r="F2641" t="n">
        <x:v>8</x:v>
      </x:c>
      <x:c r="G2641" t="n">
        <x:v>4</x:v>
      </x:c>
      <x:c r="H2641" t="n">
        <x:v>0</x:v>
      </x:c>
      <x:c r="I2641" t="str">
        <x:v>À qualifier par lieu</x:v>
      </x:c>
      <x:c r="J2641" t="str">
        <x:v>https://github.com/darknigthmare/deadwall-last-enclosure/blob/e28f46223e73105ab2c5d83f3d50b99b58ef53e6/codex-3000/compositions/ruines/DW-2636.md</x:v>
      </x:c>
      <x:c r="K2641" t="str">
        <x:v>Source min 41,52 m ; max 41,52 m ; modèle 41 × 52 m ; niveaux 0. Détails dans catalogue-existant.json.</x:v>
      </x:c>
    </x:row>
    <x:row r="2642">
      <x:c r="A2642" t="str">
        <x:v>DW-2637</x:v>
      </x:c>
      <x:c r="B2642" t="str">
        <x:v>DW-0819</x:v>
      </x:c>
      <x:c r="C2642" t="str">
        <x:v>Composition héritée</x:v>
      </x:c>
      <x:c r="D2642" t="str">
        <x:v>ruines</x:v>
      </x:c>
      <x:c r="E2642" t="str">
        <x:v>Village déserté — variante 05 — Zone industrielle / première récupération passée</x:v>
      </x:c>
      <x:c r="F2642" t="n">
        <x:v>8</x:v>
      </x:c>
      <x:c r="G2642" t="n">
        <x:v>5</x:v>
      </x:c>
      <x:c r="H2642" t="n">
        <x:v>0</x:v>
      </x:c>
      <x:c r="I2642" t="str">
        <x:v>À qualifier par lieu</x:v>
      </x:c>
      <x:c r="J2642" t="str">
        <x:v>https://github.com/darknigthmare/deadwall-last-enclosure/blob/e28f46223e73105ab2c5d83f3d50b99b58ef53e6/codex-3000/compositions/ruines/DW-2637.md</x:v>
      </x:c>
      <x:c r="K2642" t="str">
        <x:v>Source min 52,15 m ; max 52,15 m ; modèle 52 × 22 m ; niveaux 0. Détails dans catalogue-existant.json.</x:v>
      </x:c>
    </x:row>
    <x:row r="2643">
      <x:c r="A2643" t="str">
        <x:v>DW-2638</x:v>
      </x:c>
      <x:c r="B2643" t="str">
        <x:v>DW-0819</x:v>
      </x:c>
      <x:c r="C2643" t="str">
        <x:v>Composition héritée</x:v>
      </x:c>
      <x:c r="D2643" t="str">
        <x:v>ruines</x:v>
      </x:c>
      <x:c r="E2643" t="str">
        <x:v>Village déserté — variante 05 — Ruine envahie et reprise végétale / relais temporaire envisagé</x:v>
      </x:c>
      <x:c r="F2643" t="n">
        <x:v>8</x:v>
      </x:c>
      <x:c r="G2643" t="n">
        <x:v>5</x:v>
      </x:c>
      <x:c r="H2643" t="n">
        <x:v>0</x:v>
      </x:c>
      <x:c r="I2643" t="str">
        <x:v>À qualifier par lieu</x:v>
      </x:c>
      <x:c r="J2643" t="str">
        <x:v>https://github.com/darknigthmare/deadwall-last-enclosure/blob/e28f46223e73105ab2c5d83f3d50b99b58ef53e6/codex-3000/compositions/ruines/DW-2638.md</x:v>
      </x:c>
      <x:c r="K2643" t="str">
        <x:v>Source min 52,15 m ; max 52,15 m ; modèle 52 × 22 m ; niveaux 0. Détails dans catalogue-existant.json.</x:v>
      </x:c>
    </x:row>
    <x:row r="2644">
      <x:c r="A2644" t="str">
        <x:v>DW-2639</x:v>
      </x:c>
      <x:c r="B2644" t="str">
        <x:v>DW-0820</x:v>
      </x:c>
      <x:c r="C2644" t="str">
        <x:v>Composition héritée</x:v>
      </x:c>
      <x:c r="D2644" t="str">
        <x:v>ruines</x:v>
      </x:c>
      <x:c r="E2644" t="str">
        <x:v>Centre commercial effondré — variante 05 — Petit bois et lisière / service déplacé à l’arrière</x:v>
      </x:c>
      <x:c r="F2644" t="n">
        <x:v>8</x:v>
      </x:c>
      <x:c r="G2644" t="n">
        <x:v>5</x:v>
      </x:c>
      <x:c r="H2644" t="n">
        <x:v>0</x:v>
      </x:c>
      <x:c r="I2644" t="str">
        <x:v>À qualifier par lieu</x:v>
      </x:c>
      <x:c r="J2644" t="str">
        <x:v>https://github.com/darknigthmare/deadwall-last-enclosure/blob/e28f46223e73105ab2c5d83f3d50b99b58ef53e6/codex-3000/compositions/ruines/DW-2639.md</x:v>
      </x:c>
      <x:c r="K2644" t="str">
        <x:v>Source min 63,32 m ; max 63,32 m ; modèle 63 × 32 m ; niveaux 0. Détails dans catalogue-existant.json.</x:v>
      </x:c>
    </x:row>
    <x:row r="2645">
      <x:c r="A2645" t="str">
        <x:v>DW-2640</x:v>
      </x:c>
      <x:c r="B2645" t="str">
        <x:v>DW-0820</x:v>
      </x:c>
      <x:c r="C2645" t="str">
        <x:v>Composition héritée</x:v>
      </x:c>
      <x:c r="D2645" t="str">
        <x:v>ruines</x:v>
      </x:c>
      <x:c r="E2645" t="str">
        <x:v>Centre commercial effondré — variante 05 — Centre ancien / réseau principal coupé</x:v>
      </x:c>
      <x:c r="F2645" t="n">
        <x:v>8</x:v>
      </x:c>
      <x:c r="G2645" t="n">
        <x:v>5</x:v>
      </x:c>
      <x:c r="H2645" t="n">
        <x:v>0</x:v>
      </x:c>
      <x:c r="I2645" t="str">
        <x:v>À qualifier par lieu</x:v>
      </x:c>
      <x:c r="J2645" t="str">
        <x:v>https://github.com/darknigthmare/deadwall-last-enclosure/blob/e28f46223e73105ab2c5d83f3d50b99b58ef53e6/codex-3000/compositions/ruines/DW-2640.md</x:v>
      </x:c>
      <x:c r="K2645" t="str">
        <x:v>Source min 63,32 m ; max 63,32 m ; modèle 63 × 32 m ; niveaux 0. Détails dans catalogue-existant.json.</x:v>
      </x:c>
    </x:row>
    <x:row r="2646">
      <x:c r="A2646" t="str">
        <x:v>DW-2641</x:v>
      </x:c>
      <x:c r="B2646" t="str">
        <x:v>DW-0821</x:v>
      </x:c>
      <x:c r="C2646" t="str">
        <x:v>Composition héritée</x:v>
      </x:c>
      <x:c r="D2646" t="str">
        <x:v>habitat</x:v>
      </x:c>
      <x:c r="E2646" t="str">
        <x:v>Maison de lotissement — variante 06 — Quartier pavillonnaire / reprise progressive de la végétation</x:v>
      </x:c>
      <x:c r="F2646" t="n">
        <x:v>8</x:v>
      </x:c>
      <x:c r="G2646" t="n">
        <x:v>5</x:v>
      </x:c>
      <x:c r="H2646" t="n">
        <x:v>0</x:v>
      </x:c>
      <x:c r="I2646" t="str">
        <x:v>À qualifier par lieu</x:v>
      </x:c>
      <x:c r="J2646" t="str">
        <x:v>https://github.com/darknigthmare/deadwall-last-enclosure/blob/e28f46223e73105ab2c5d83f3d50b99b58ef53e6/codex-3000/compositions/habitat/DW-2641.md</x:v>
      </x:c>
      <x:c r="K2646" t="str">
        <x:v>Source min 74,49 m ; max 74,49 m ; modèle 74 × 49 m ; niveaux 0, 1. Détails dans catalogue-existant.json.</x:v>
      </x:c>
    </x:row>
    <x:row r="2647">
      <x:c r="A2647" t="str">
        <x:v>DW-2642</x:v>
      </x:c>
      <x:c r="B2647" t="str">
        <x:v>DW-0821</x:v>
      </x:c>
      <x:c r="C2647" t="str">
        <x:v>Composition héritée</x:v>
      </x:c>
      <x:c r="D2647" t="str">
        <x:v>habitat</x:v>
      </x:c>
      <x:c r="E2647" t="str">
        <x:v>Maison de lotissement — variante 06 — Village et bourg / repli organisé interrompu</x:v>
      </x:c>
      <x:c r="F2647" t="n">
        <x:v>8</x:v>
      </x:c>
      <x:c r="G2647" t="n">
        <x:v>5</x:v>
      </x:c>
      <x:c r="H2647" t="n">
        <x:v>0</x:v>
      </x:c>
      <x:c r="I2647" t="str">
        <x:v>À qualifier par lieu</x:v>
      </x:c>
      <x:c r="J2647" t="str">
        <x:v>https://github.com/darknigthmare/deadwall-last-enclosure/blob/e28f46223e73105ab2c5d83f3d50b99b58ef53e6/codex-3000/compositions/habitat/DW-2642.md</x:v>
      </x:c>
      <x:c r="K2647" t="str">
        <x:v>Source min 74,49 m ; max 74,49 m ; modèle 74 × 49 m ; niveaux 0, 1. Détails dans catalogue-existant.json.</x:v>
      </x:c>
    </x:row>
    <x:row r="2648">
      <x:c r="A2648" t="str">
        <x:v>DW-2643</x:v>
      </x:c>
      <x:c r="B2648" t="str">
        <x:v>DW-0822</x:v>
      </x:c>
      <x:c r="C2648" t="str">
        <x:v>Composition héritée</x:v>
      </x:c>
      <x:c r="D2648" t="str">
        <x:v>habitat</x:v>
      </x:c>
      <x:c r="E2648" t="str">
        <x:v>Maison mitoyenne — variante 06 — Hameau / relais temporaire envisagé</x:v>
      </x:c>
      <x:c r="F2648" t="n">
        <x:v>8</x:v>
      </x:c>
      <x:c r="G2648" t="n">
        <x:v>5</x:v>
      </x:c>
      <x:c r="H2648" t="n">
        <x:v>0</x:v>
      </x:c>
      <x:c r="I2648" t="str">
        <x:v>À qualifier par lieu</x:v>
      </x:c>
      <x:c r="J2648" t="str">
        <x:v>https://github.com/darknigthmare/deadwall-last-enclosure/blob/e28f46223e73105ab2c5d83f3d50b99b58ef53e6/codex-3000/compositions/habitat/DW-2643.md</x:v>
      </x:c>
      <x:c r="K2648" t="str">
        <x:v>Source min 13,12 m ; max 13,12 m ; modèle 26 × 22 m ; niveaux 0. Détails dans catalogue-existant.json.</x:v>
      </x:c>
    </x:row>
    <x:row r="2649">
      <x:c r="A2649" t="str">
        <x:v>DW-2644</x:v>
      </x:c>
      <x:c r="B2649" t="str">
        <x:v>DW-0822</x:v>
      </x:c>
      <x:c r="C2649" t="str">
        <x:v>Composition héritée</x:v>
      </x:c>
      <x:c r="D2649" t="str">
        <x:v>habitat</x:v>
      </x:c>
      <x:c r="E2649" t="str">
        <x:v>Maison mitoyenne — variante 06 — Quartier collectif / évacuation interrompue</x:v>
      </x:c>
      <x:c r="F2649" t="n">
        <x:v>8</x:v>
      </x:c>
      <x:c r="G2649" t="n">
        <x:v>5</x:v>
      </x:c>
      <x:c r="H2649" t="n">
        <x:v>0</x:v>
      </x:c>
      <x:c r="I2649" t="str">
        <x:v>À qualifier par lieu</x:v>
      </x:c>
      <x:c r="J2649" t="str">
        <x:v>https://github.com/darknigthmare/deadwall-last-enclosure/blob/e28f46223e73105ab2c5d83f3d50b99b58ef53e6/codex-3000/compositions/habitat/DW-2644.md</x:v>
      </x:c>
      <x:c r="K2649" t="str">
        <x:v>Source min 13,12 m ; max 13,12 m ; modèle 26 × 22 m ; niveaux 0. Détails dans catalogue-existant.json.</x:v>
      </x:c>
    </x:row>
    <x:row r="2650">
      <x:c r="A2650" t="str">
        <x:v>DW-2645</x:v>
      </x:c>
      <x:c r="B2650" t="str">
        <x:v>DW-0823</x:v>
      </x:c>
      <x:c r="C2650" t="str">
        <x:v>Composition héritée</x:v>
      </x:c>
      <x:c r="D2650" t="str">
        <x:v>habitat</x:v>
      </x:c>
      <x:c r="E2650" t="str">
        <x:v>Villa isolée — variante 06 — Village et bourg / réseau principal coupé</x:v>
      </x:c>
      <x:c r="F2650" t="n">
        <x:v>8</x:v>
      </x:c>
      <x:c r="G2650" t="n">
        <x:v>7</x:v>
      </x:c>
      <x:c r="H2650" t="n">
        <x:v>0</x:v>
      </x:c>
      <x:c r="I2650" t="str">
        <x:v>À qualifier par lieu</x:v>
      </x:c>
      <x:c r="J2650" t="str">
        <x:v>https://github.com/darknigthmare/deadwall-last-enclosure/blob/e28f46223e73105ab2c5d83f3d50b99b58ef53e6/codex-3000/compositions/habitat/DW-2645.md</x:v>
      </x:c>
      <x:c r="K2650" t="str">
        <x:v>Source min 24,29 m ; max 24,29 m ; modèle 29 × 29 m ; niveaux 0. Détails dans catalogue-existant.json.</x:v>
      </x:c>
    </x:row>
    <x:row r="2651">
      <x:c r="A2651" t="str">
        <x:v>DW-2646</x:v>
      </x:c>
      <x:c r="B2651" t="str">
        <x:v>DW-0823</x:v>
      </x:c>
      <x:c r="C2651" t="str">
        <x:v>Composition héritée</x:v>
      </x:c>
      <x:c r="D2651" t="str">
        <x:v>habitat</x:v>
      </x:c>
      <x:c r="E2651" t="str">
        <x:v>Villa isolée — variante 06 — Quartier pavillonnaire / arrêt de maintenance</x:v>
      </x:c>
      <x:c r="F2651" t="n">
        <x:v>8</x:v>
      </x:c>
      <x:c r="G2651" t="n">
        <x:v>7</x:v>
      </x:c>
      <x:c r="H2651" t="n">
        <x:v>0</x:v>
      </x:c>
      <x:c r="I2651" t="str">
        <x:v>À qualifier par lieu</x:v>
      </x:c>
      <x:c r="J2651" t="str">
        <x:v>https://github.com/darknigthmare/deadwall-last-enclosure/blob/e28f46223e73105ab2c5d83f3d50b99b58ef53e6/codex-3000/compositions/habitat/DW-2646.md</x:v>
      </x:c>
      <x:c r="K2651" t="str">
        <x:v>Source min 24,29 m ; max 24,29 m ; modèle 29 × 29 m ; niveaux 0. Détails dans catalogue-existant.json.</x:v>
      </x:c>
    </x:row>
    <x:row r="2652">
      <x:c r="A2652" t="str">
        <x:v>DW-2647</x:v>
      </x:c>
      <x:c r="B2652" t="str">
        <x:v>DW-0824</x:v>
      </x:c>
      <x:c r="C2652" t="str">
        <x:v>Composition héritée</x:v>
      </x:c>
      <x:c r="D2652" t="str">
        <x:v>habitat</x:v>
      </x:c>
      <x:c r="E2652" t="str">
        <x:v>Ferme familiale — variante 06 — Quartier collectif / repli organisé interrompu</x:v>
      </x:c>
      <x:c r="F2652" t="n">
        <x:v>8</x:v>
      </x:c>
      <x:c r="G2652" t="n">
        <x:v>6</x:v>
      </x:c>
      <x:c r="H2652" t="n">
        <x:v>0</x:v>
      </x:c>
      <x:c r="I2652" t="str">
        <x:v>À qualifier par lieu</x:v>
      </x:c>
      <x:c r="J2652" t="str">
        <x:v>https://github.com/darknigthmare/deadwall-last-enclosure/blob/e28f46223e73105ab2c5d83f3d50b99b58ef53e6/codex-3000/compositions/habitat/DW-2647.md</x:v>
      </x:c>
      <x:c r="K2652" t="str">
        <x:v>Source min 35,46 m ; max 35,46 m ; modèle 35 × 46 m ; niveaux 0. Détails dans catalogue-existant.json.</x:v>
      </x:c>
    </x:row>
    <x:row r="2653">
      <x:c r="A2653" t="str">
        <x:v>DW-2648</x:v>
      </x:c>
      <x:c r="B2653" t="str">
        <x:v>DW-0824</x:v>
      </x:c>
      <x:c r="C2653" t="str">
        <x:v>Composition héritée</x:v>
      </x:c>
      <x:c r="D2653" t="str">
        <x:v>habitat</x:v>
      </x:c>
      <x:c r="E2653" t="str">
        <x:v>Ferme familiale — variante 06 — Hameau / première récupération passée</x:v>
      </x:c>
      <x:c r="F2653" t="n">
        <x:v>8</x:v>
      </x:c>
      <x:c r="G2653" t="n">
        <x:v>6</x:v>
      </x:c>
      <x:c r="H2653" t="n">
        <x:v>0</x:v>
      </x:c>
      <x:c r="I2653" t="str">
        <x:v>À qualifier par lieu</x:v>
      </x:c>
      <x:c r="J2653" t="str">
        <x:v>https://github.com/darknigthmare/deadwall-last-enclosure/blob/e28f46223e73105ab2c5d83f3d50b99b58ef53e6/codex-3000/compositions/habitat/DW-2648.md</x:v>
      </x:c>
      <x:c r="K2653" t="str">
        <x:v>Source min 35,46 m ; max 35,46 m ; modèle 35 × 46 m ; niveaux 0. Détails dans catalogue-existant.json.</x:v>
      </x:c>
    </x:row>
    <x:row r="2654">
      <x:c r="A2654" t="str">
        <x:v>DW-2649</x:v>
      </x:c>
      <x:c r="B2654" t="str">
        <x:v>DW-0825</x:v>
      </x:c>
      <x:c r="C2654" t="str">
        <x:v>Composition héritée</x:v>
      </x:c>
      <x:c r="D2654" t="str">
        <x:v>habitat</x:v>
      </x:c>
      <x:c r="E2654" t="str">
        <x:v>Immeuble résidentiel — variante 06 — Quartier pavillonnaire / évacuation interrompue</x:v>
      </x:c>
      <x:c r="F2654" t="n">
        <x:v>8</x:v>
      </x:c>
      <x:c r="G2654" t="n">
        <x:v>5</x:v>
      </x:c>
      <x:c r="H2654" t="n">
        <x:v>0</x:v>
      </x:c>
      <x:c r="I2654" t="str">
        <x:v>À qualifier par lieu</x:v>
      </x:c>
      <x:c r="J2654" t="str">
        <x:v>https://github.com/darknigthmare/deadwall-last-enclosure/blob/e28f46223e73105ab2c5d83f3d50b99b58ef53e6/codex-3000/compositions/habitat/DW-2649.md</x:v>
      </x:c>
      <x:c r="K2654" t="str">
        <x:v>Source min 46,9 m ; max 46,9 m ; modèle 46 × 22 m ; niveaux 0, 1. Détails dans catalogue-existant.json.</x:v>
      </x:c>
    </x:row>
    <x:row r="2655">
      <x:c r="A2655" t="str">
        <x:v>DW-2650</x:v>
      </x:c>
      <x:c r="B2655" t="str">
        <x:v>DW-0825</x:v>
      </x:c>
      <x:c r="C2655" t="str">
        <x:v>Composition héritée</x:v>
      </x:c>
      <x:c r="D2655" t="str">
        <x:v>habitat</x:v>
      </x:c>
      <x:c r="E2655" t="str">
        <x:v>Immeuble résidentiel — variante 06 — Village et bourg / service déplacé à l’arrière</x:v>
      </x:c>
      <x:c r="F2655" t="n">
        <x:v>8</x:v>
      </x:c>
      <x:c r="G2655" t="n">
        <x:v>5</x:v>
      </x:c>
      <x:c r="H2655" t="n">
        <x:v>0</x:v>
      </x:c>
      <x:c r="I2655" t="str">
        <x:v>À qualifier par lieu</x:v>
      </x:c>
      <x:c r="J2655" t="str">
        <x:v>https://github.com/darknigthmare/deadwall-last-enclosure/blob/e28f46223e73105ab2c5d83f3d50b99b58ef53e6/codex-3000/compositions/habitat/DW-2650.md</x:v>
      </x:c>
      <x:c r="K2655" t="str">
        <x:v>Source min 46,9 m ; max 46,9 m ; modèle 46 × 22 m ; niveaux 0, 1. Détails dans catalogue-existant.json.</x:v>
      </x:c>
    </x:row>
    <x:row r="2656">
      <x:c r="A2656" t="str">
        <x:v>DW-2651</x:v>
      </x:c>
      <x:c r="B2656" t="str">
        <x:v>DW-0826</x:v>
      </x:c>
      <x:c r="C2656" t="str">
        <x:v>Composition héritée</x:v>
      </x:c>
      <x:c r="D2656" t="str">
        <x:v>habitat</x:v>
      </x:c>
      <x:c r="E2656" t="str">
        <x:v>Barre de logements — variante 06 — Hameau / arrêt de maintenance</x:v>
      </x:c>
      <x:c r="F2656" t="n">
        <x:v>8</x:v>
      </x:c>
      <x:c r="G2656" t="n">
        <x:v>5</x:v>
      </x:c>
      <x:c r="H2656" t="n">
        <x:v>0</x:v>
      </x:c>
      <x:c r="I2656" t="str">
        <x:v>À qualifier par lieu</x:v>
      </x:c>
      <x:c r="J2656" t="str">
        <x:v>https://github.com/darknigthmare/deadwall-last-enclosure/blob/e28f46223e73105ab2c5d83f3d50b99b58ef53e6/codex-3000/compositions/habitat/DW-2651.md</x:v>
      </x:c>
      <x:c r="K2656" t="str">
        <x:v>Source min 57,26 m ; max 57,26 m ; modèle 57 × 26 m ; niveaux 0, 1, 2. Détails dans catalogue-existant.json.</x:v>
      </x:c>
    </x:row>
    <x:row r="2657">
      <x:c r="A2657" t="str">
        <x:v>DW-2652</x:v>
      </x:c>
      <x:c r="B2657" t="str">
        <x:v>DW-0826</x:v>
      </x:c>
      <x:c r="C2657" t="str">
        <x:v>Composition héritée</x:v>
      </x:c>
      <x:c r="D2657" t="str">
        <x:v>habitat</x:v>
      </x:c>
      <x:c r="E2657" t="str">
        <x:v>Barre de logements — variante 06 — Quartier collectif / reprise progressive de la végétation</x:v>
      </x:c>
      <x:c r="F2657" t="n">
        <x:v>8</x:v>
      </x:c>
      <x:c r="G2657" t="n">
        <x:v>5</x:v>
      </x:c>
      <x:c r="H2657" t="n">
        <x:v>0</x:v>
      </x:c>
      <x:c r="I2657" t="str">
        <x:v>À qualifier par lieu</x:v>
      </x:c>
      <x:c r="J2657" t="str">
        <x:v>https://github.com/darknigthmare/deadwall-last-enclosure/blob/e28f46223e73105ab2c5d83f3d50b99b58ef53e6/codex-3000/compositions/habitat/DW-2652.md</x:v>
      </x:c>
      <x:c r="K2657" t="str">
        <x:v>Source min 57,26 m ; max 57,26 m ; modèle 57 × 26 m ; niveaux 0, 1, 2. Détails dans catalogue-existant.json.</x:v>
      </x:c>
    </x:row>
    <x:row r="2658">
      <x:c r="A2658" t="str">
        <x:v>DW-2653</x:v>
      </x:c>
      <x:c r="B2658" t="str">
        <x:v>DW-0827</x:v>
      </x:c>
      <x:c r="C2658" t="str">
        <x:v>Composition héritée</x:v>
      </x:c>
      <x:c r="D2658" t="str">
        <x:v>habitat</x:v>
      </x:c>
      <x:c r="E2658" t="str">
        <x:v>Résidence senior — variante 06 — Village et bourg / première récupération passée</x:v>
      </x:c>
      <x:c r="F2658" t="n">
        <x:v>8</x:v>
      </x:c>
      <x:c r="G2658" t="n">
        <x:v>5</x:v>
      </x:c>
      <x:c r="H2658" t="n">
        <x:v>0</x:v>
      </x:c>
      <x:c r="I2658" t="str">
        <x:v>À qualifier par lieu</x:v>
      </x:c>
      <x:c r="J2658" t="str">
        <x:v>https://github.com/darknigthmare/deadwall-last-enclosure/blob/e28f46223e73105ab2c5d83f3d50b99b58ef53e6/codex-3000/compositions/habitat/DW-2653.md</x:v>
      </x:c>
      <x:c r="K2658" t="str">
        <x:v>Source min 68,43 m ; max 68,43 m ; modèle 68 × 43 m ; niveaux 0, 1, 2. Détails dans catalogue-existant.json.</x:v>
      </x:c>
    </x:row>
    <x:row r="2659">
      <x:c r="A2659" t="str">
        <x:v>DW-2654</x:v>
      </x:c>
      <x:c r="B2659" t="str">
        <x:v>DW-0827</x:v>
      </x:c>
      <x:c r="C2659" t="str">
        <x:v>Composition héritée</x:v>
      </x:c>
      <x:c r="D2659" t="str">
        <x:v>habitat</x:v>
      </x:c>
      <x:c r="E2659" t="str">
        <x:v>Résidence senior — variante 06 — Quartier pavillonnaire / relais temporaire envisagé</x:v>
      </x:c>
      <x:c r="F2659" t="n">
        <x:v>8</x:v>
      </x:c>
      <x:c r="G2659" t="n">
        <x:v>5</x:v>
      </x:c>
      <x:c r="H2659" t="n">
        <x:v>0</x:v>
      </x:c>
      <x:c r="I2659" t="str">
        <x:v>À qualifier par lieu</x:v>
      </x:c>
      <x:c r="J2659" t="str">
        <x:v>https://github.com/darknigthmare/deadwall-last-enclosure/blob/e28f46223e73105ab2c5d83f3d50b99b58ef53e6/codex-3000/compositions/habitat/DW-2654.md</x:v>
      </x:c>
      <x:c r="K2659" t="str">
        <x:v>Source min 68,43 m ; max 68,43 m ; modèle 68 × 43 m ; niveaux 0, 1, 2. Détails dans catalogue-existant.json.</x:v>
      </x:c>
    </x:row>
    <x:row r="2660">
      <x:c r="A2660" t="str">
        <x:v>DW-2655</x:v>
      </x:c>
      <x:c r="B2660" t="str">
        <x:v>DW-0828</x:v>
      </x:c>
      <x:c r="C2660" t="str">
        <x:v>Composition héritée</x:v>
      </x:c>
      <x:c r="D2660" t="str">
        <x:v>habitat</x:v>
      </x:c>
      <x:c r="E2660" t="str">
        <x:v>Maison avec sous-sol — variante 06 — Quartier collectif / service déplacé à l’arrière</x:v>
      </x:c>
      <x:c r="F2660" t="n">
        <x:v>8</x:v>
      </x:c>
      <x:c r="G2660" t="n">
        <x:v>5</x:v>
      </x:c>
      <x:c r="H2660" t="n">
        <x:v>0</x:v>
      </x:c>
      <x:c r="I2660" t="str">
        <x:v>À qualifier par lieu</x:v>
      </x:c>
      <x:c r="J2660" t="str">
        <x:v>https://github.com/darknigthmare/deadwall-last-enclosure/blob/e28f46223e73105ab2c5d83f3d50b99b58ef53e6/codex-3000/compositions/habitat/DW-2655.md</x:v>
      </x:c>
      <x:c r="K2660" t="str">
        <x:v>Source min 79,60 m ; max 79,60 m ; modèle 78 × 60 m ; niveaux 0. Détails dans catalogue-existant.json.</x:v>
      </x:c>
    </x:row>
    <x:row r="2661">
      <x:c r="A2661" t="str">
        <x:v>DW-2656</x:v>
      </x:c>
      <x:c r="B2661" t="str">
        <x:v>DW-0828</x:v>
      </x:c>
      <x:c r="C2661" t="str">
        <x:v>Composition héritée</x:v>
      </x:c>
      <x:c r="D2661" t="str">
        <x:v>habitat</x:v>
      </x:c>
      <x:c r="E2661" t="str">
        <x:v>Maison avec sous-sol — variante 06 — Hameau / réseau principal coupé</x:v>
      </x:c>
      <x:c r="F2661" t="n">
        <x:v>8</x:v>
      </x:c>
      <x:c r="G2661" t="n">
        <x:v>5</x:v>
      </x:c>
      <x:c r="H2661" t="n">
        <x:v>0</x:v>
      </x:c>
      <x:c r="I2661" t="str">
        <x:v>À qualifier par lieu</x:v>
      </x:c>
      <x:c r="J2661" t="str">
        <x:v>https://github.com/darknigthmare/deadwall-last-enclosure/blob/e28f46223e73105ab2c5d83f3d50b99b58ef53e6/codex-3000/compositions/habitat/DW-2656.md</x:v>
      </x:c>
      <x:c r="K2661" t="str">
        <x:v>Source min 79,60 m ; max 79,60 m ; modèle 78 × 60 m ; niveaux 0. Détails dans catalogue-existant.json.</x:v>
      </x:c>
    </x:row>
    <x:row r="2662">
      <x:c r="A2662" t="str">
        <x:v>DW-2657</x:v>
      </x:c>
      <x:c r="B2662" t="str">
        <x:v>DW-0829</x:v>
      </x:c>
      <x:c r="C2662" t="str">
        <x:v>Composition héritée</x:v>
      </x:c>
      <x:c r="D2662" t="str">
        <x:v>commerce</x:v>
      </x:c>
      <x:c r="E2662" t="str">
        <x:v>Supérette — variante 06 — Zone commerciale / reprise progressive de la végétation</x:v>
      </x:c>
      <x:c r="F2662" t="n">
        <x:v>8</x:v>
      </x:c>
      <x:c r="G2662" t="n">
        <x:v>5</x:v>
      </x:c>
      <x:c r="H2662" t="n">
        <x:v>0</x:v>
      </x:c>
      <x:c r="I2662" t="str">
        <x:v>À qualifier par lieu</x:v>
      </x:c>
      <x:c r="J2662" t="str">
        <x:v>https://github.com/darknigthmare/deadwall-last-enclosure/blob/e28f46223e73105ab2c5d83f3d50b99b58ef53e6/codex-3000/compositions/commerce/DW-2657.md</x:v>
      </x:c>
      <x:c r="K2662" t="str">
        <x:v>Source min 18,23 m ; max 18,23 m ; modèle 26 × 23 m ; niveaux 0, 1. Détails dans catalogue-existant.json.</x:v>
      </x:c>
    </x:row>
    <x:row r="2663">
      <x:c r="A2663" t="str">
        <x:v>DW-2658</x:v>
      </x:c>
      <x:c r="B2663" t="str">
        <x:v>DW-0829</x:v>
      </x:c>
      <x:c r="C2663" t="str">
        <x:v>Composition héritée</x:v>
      </x:c>
      <x:c r="D2663" t="str">
        <x:v>commerce</x:v>
      </x:c>
      <x:c r="E2663" t="str">
        <x:v>Supérette — variante 06 — Village et bourg / repli organisé interrompu</x:v>
      </x:c>
      <x:c r="F2663" t="n">
        <x:v>8</x:v>
      </x:c>
      <x:c r="G2663" t="n">
        <x:v>5</x:v>
      </x:c>
      <x:c r="H2663" t="n">
        <x:v>0</x:v>
      </x:c>
      <x:c r="I2663" t="str">
        <x:v>À qualifier par lieu</x:v>
      </x:c>
      <x:c r="J2663" t="str">
        <x:v>https://github.com/darknigthmare/deadwall-last-enclosure/blob/e28f46223e73105ab2c5d83f3d50b99b58ef53e6/codex-3000/compositions/commerce/DW-2658.md</x:v>
      </x:c>
      <x:c r="K2663" t="str">
        <x:v>Source min 18,23 m ; max 18,23 m ; modèle 26 × 23 m ; niveaux 0, 1. Détails dans catalogue-existant.json.</x:v>
      </x:c>
    </x:row>
    <x:row r="2664">
      <x:c r="A2664" t="str">
        <x:v>DW-2659</x:v>
      </x:c>
      <x:c r="B2664" t="str">
        <x:v>DW-0830</x:v>
      </x:c>
      <x:c r="C2664" t="str">
        <x:v>Composition héritée</x:v>
      </x:c>
      <x:c r="D2664" t="str">
        <x:v>commerce</x:v>
      </x:c>
      <x:c r="E2664" t="str">
        <x:v>Centre commercial — variante 06 — Ville moyenne / relais temporaire envisagé</x:v>
      </x:c>
      <x:c r="F2664" t="n">
        <x:v>8</x:v>
      </x:c>
      <x:c r="G2664" t="n">
        <x:v>6</x:v>
      </x:c>
      <x:c r="H2664" t="n">
        <x:v>0</x:v>
      </x:c>
      <x:c r="I2664" t="str">
        <x:v>À qualifier par lieu</x:v>
      </x:c>
      <x:c r="J2664" t="str">
        <x:v>https://github.com/darknigthmare/deadwall-last-enclosure/blob/e28f46223e73105ab2c5d83f3d50b99b58ef53e6/codex-3000/compositions/commerce/DW-2659.md</x:v>
      </x:c>
      <x:c r="K2664" t="str">
        <x:v>Source min 29,40 m ; max 29,40 m ; modèle 29 × 40 m ; niveaux 0. Détails dans catalogue-existant.json.</x:v>
      </x:c>
    </x:row>
    <x:row r="2665">
      <x:c r="A2665" t="str">
        <x:v>DW-2660</x:v>
      </x:c>
      <x:c r="B2665" t="str">
        <x:v>DW-0830</x:v>
      </x:c>
      <x:c r="C2665" t="str">
        <x:v>Composition héritée</x:v>
      </x:c>
      <x:c r="D2665" t="str">
        <x:v>commerce</x:v>
      </x:c>
      <x:c r="E2665" t="str">
        <x:v>Centre commercial — variante 06 — Grande ville et métropole / évacuation interrompue</x:v>
      </x:c>
      <x:c r="F2665" t="n">
        <x:v>8</x:v>
      </x:c>
      <x:c r="G2665" t="n">
        <x:v>6</x:v>
      </x:c>
      <x:c r="H2665" t="n">
        <x:v>0</x:v>
      </x:c>
      <x:c r="I2665" t="str">
        <x:v>À qualifier par lieu</x:v>
      </x:c>
      <x:c r="J2665" t="str">
        <x:v>https://github.com/darknigthmare/deadwall-last-enclosure/blob/e28f46223e73105ab2c5d83f3d50b99b58ef53e6/codex-3000/compositions/commerce/DW-2660.md</x:v>
      </x:c>
      <x:c r="K2665" t="str">
        <x:v>Source min 29,40 m ; max 29,40 m ; modèle 29 × 40 m ; niveaux 0. Détails dans catalogue-existant.json.</x:v>
      </x:c>
    </x:row>
    <x:row r="2666">
      <x:c r="A2666" t="str">
        <x:v>DW-2661</x:v>
      </x:c>
      <x:c r="B2666" t="str">
        <x:v>DW-0831</x:v>
      </x:c>
      <x:c r="C2666" t="str">
        <x:v>Composition héritée</x:v>
      </x:c>
      <x:c r="D2666" t="str">
        <x:v>commerce</x:v>
      </x:c>
      <x:c r="E2666" t="str">
        <x:v>Supermarché — variante 06 — Village et bourg / réseau principal coupé</x:v>
      </x:c>
      <x:c r="F2666" t="n">
        <x:v>8</x:v>
      </x:c>
      <x:c r="G2666" t="n">
        <x:v>7</x:v>
      </x:c>
      <x:c r="H2666" t="n">
        <x:v>0</x:v>
      </x:c>
      <x:c r="I2666" t="str">
        <x:v>À qualifier par lieu</x:v>
      </x:c>
      <x:c r="J2666" t="str">
        <x:v>https://github.com/darknigthmare/deadwall-last-enclosure/blob/e28f46223e73105ab2c5d83f3d50b99b58ef53e6/codex-3000/compositions/commerce/DW-2661.md</x:v>
      </x:c>
      <x:c r="K2666" t="str">
        <x:v>Source min 40,57 m ; max 40,57 m ; modèle 40 × 57 m ; niveaux 0. Détails dans catalogue-existant.json.</x:v>
      </x:c>
    </x:row>
    <x:row r="2667">
      <x:c r="A2667" t="str">
        <x:v>DW-2662</x:v>
      </x:c>
      <x:c r="B2667" t="str">
        <x:v>DW-0831</x:v>
      </x:c>
      <x:c r="C2667" t="str">
        <x:v>Composition héritée</x:v>
      </x:c>
      <x:c r="D2667" t="str">
        <x:v>commerce</x:v>
      </x:c>
      <x:c r="E2667" t="str">
        <x:v>Supermarché — variante 06 — Zone commerciale / arrêt de maintenance</x:v>
      </x:c>
      <x:c r="F2667" t="n">
        <x:v>8</x:v>
      </x:c>
      <x:c r="G2667" t="n">
        <x:v>7</x:v>
      </x:c>
      <x:c r="H2667" t="n">
        <x:v>0</x:v>
      </x:c>
      <x:c r="I2667" t="str">
        <x:v>À qualifier par lieu</x:v>
      </x:c>
      <x:c r="J2667" t="str">
        <x:v>https://github.com/darknigthmare/deadwall-last-enclosure/blob/e28f46223e73105ab2c5d83f3d50b99b58ef53e6/codex-3000/compositions/commerce/DW-2662.md</x:v>
      </x:c>
      <x:c r="K2667" t="str">
        <x:v>Source min 40,57 m ; max 40,57 m ; modèle 40 × 57 m ; niveaux 0. Détails dans catalogue-existant.json.</x:v>
      </x:c>
    </x:row>
    <x:row r="2668">
      <x:c r="A2668" t="str">
        <x:v>DW-2663</x:v>
      </x:c>
      <x:c r="B2668" t="str">
        <x:v>DW-0832</x:v>
      </x:c>
      <x:c r="C2668" t="str">
        <x:v>Composition héritée</x:v>
      </x:c>
      <x:c r="D2668" t="str">
        <x:v>commerce</x:v>
      </x:c>
      <x:c r="E2668" t="str">
        <x:v>Magasin de bricolage — variante 06 — Grande ville et métropole / repli organisé interrompu</x:v>
      </x:c>
      <x:c r="F2668" t="n">
        <x:v>8</x:v>
      </x:c>
      <x:c r="G2668" t="n">
        <x:v>5</x:v>
      </x:c>
      <x:c r="H2668" t="n">
        <x:v>0</x:v>
      </x:c>
      <x:c r="I2668" t="str">
        <x:v>À qualifier par lieu</x:v>
      </x:c>
      <x:c r="J2668" t="str">
        <x:v>https://github.com/darknigthmare/deadwall-last-enclosure/blob/e28f46223e73105ab2c5d83f3d50b99b58ef53e6/codex-3000/compositions/commerce/DW-2663.md</x:v>
      </x:c>
      <x:c r="K2668" t="str">
        <x:v>Source min 51,20 m ; max 51,20 m ; modèle 51 × 22 m ; niveaux 0. Détails dans catalogue-existant.json.</x:v>
      </x:c>
    </x:row>
    <x:row r="2669">
      <x:c r="A2669" t="str">
        <x:v>DW-2664</x:v>
      </x:c>
      <x:c r="B2669" t="str">
        <x:v>DW-0832</x:v>
      </x:c>
      <x:c r="C2669" t="str">
        <x:v>Composition héritée</x:v>
      </x:c>
      <x:c r="D2669" t="str">
        <x:v>commerce</x:v>
      </x:c>
      <x:c r="E2669" t="str">
        <x:v>Magasin de bricolage — variante 06 — Ville moyenne / première récupération passée</x:v>
      </x:c>
      <x:c r="F2669" t="n">
        <x:v>8</x:v>
      </x:c>
      <x:c r="G2669" t="n">
        <x:v>5</x:v>
      </x:c>
      <x:c r="H2669" t="n">
        <x:v>0</x:v>
      </x:c>
      <x:c r="I2669" t="str">
        <x:v>À qualifier par lieu</x:v>
      </x:c>
      <x:c r="J2669" t="str">
        <x:v>https://github.com/darknigthmare/deadwall-last-enclosure/blob/e28f46223e73105ab2c5d83f3d50b99b58ef53e6/codex-3000/compositions/commerce/DW-2664.md</x:v>
      </x:c>
      <x:c r="K2669" t="str">
        <x:v>Source min 51,20 m ; max 51,20 m ; modèle 51 × 22 m ; niveaux 0. Détails dans catalogue-existant.json.</x:v>
      </x:c>
    </x:row>
    <x:row r="2670">
      <x:c r="A2670" t="str">
        <x:v>DW-2665</x:v>
      </x:c>
      <x:c r="B2670" t="str">
        <x:v>DW-0833</x:v>
      </x:c>
      <x:c r="C2670" t="str">
        <x:v>Composition héritée</x:v>
      </x:c>
      <x:c r="D2670" t="str">
        <x:v>commerce</x:v>
      </x:c>
      <x:c r="E2670" t="str">
        <x:v>Pharmacie — variante 06 — Zone commerciale / évacuation interrompue</x:v>
      </x:c>
      <x:c r="F2670" t="n">
        <x:v>8</x:v>
      </x:c>
      <x:c r="G2670" t="n">
        <x:v>4</x:v>
      </x:c>
      <x:c r="H2670" t="n">
        <x:v>0</x:v>
      </x:c>
      <x:c r="I2670" t="str">
        <x:v>À qualifier par lieu</x:v>
      </x:c>
      <x:c r="J2670" t="str">
        <x:v>https://github.com/darknigthmare/deadwall-last-enclosure/blob/e28f46223e73105ab2c5d83f3d50b99b58ef53e6/codex-3000/compositions/commerce/DW-2665.md</x:v>
      </x:c>
      <x:c r="K2670" t="str">
        <x:v>Source min 62,37 m ; max 62,37 m ; modèle 62 × 37 m ; niveaux 0, 1. Détails dans catalogue-existant.json.</x:v>
      </x:c>
    </x:row>
    <x:row r="2671">
      <x:c r="A2671" t="str">
        <x:v>DW-2666</x:v>
      </x:c>
      <x:c r="B2671" t="str">
        <x:v>DW-0833</x:v>
      </x:c>
      <x:c r="C2671" t="str">
        <x:v>Composition héritée</x:v>
      </x:c>
      <x:c r="D2671" t="str">
        <x:v>commerce</x:v>
      </x:c>
      <x:c r="E2671" t="str">
        <x:v>Pharmacie — variante 06 — Village et bourg / service déplacé à l’arrière</x:v>
      </x:c>
      <x:c r="F2671" t="n">
        <x:v>8</x:v>
      </x:c>
      <x:c r="G2671" t="n">
        <x:v>4</x:v>
      </x:c>
      <x:c r="H2671" t="n">
        <x:v>0</x:v>
      </x:c>
      <x:c r="I2671" t="str">
        <x:v>À qualifier par lieu</x:v>
      </x:c>
      <x:c r="J2671" t="str">
        <x:v>https://github.com/darknigthmare/deadwall-last-enclosure/blob/e28f46223e73105ab2c5d83f3d50b99b58ef53e6/codex-3000/compositions/commerce/DW-2666.md</x:v>
      </x:c>
      <x:c r="K2671" t="str">
        <x:v>Source min 62,37 m ; max 62,37 m ; modèle 62 × 37 m ; niveaux 0, 1. Détails dans catalogue-existant.json.</x:v>
      </x:c>
    </x:row>
    <x:row r="2672">
      <x:c r="A2672" t="str">
        <x:v>DW-2667</x:v>
      </x:c>
      <x:c r="B2672" t="str">
        <x:v>DW-0834</x:v>
      </x:c>
      <x:c r="C2672" t="str">
        <x:v>Composition héritée</x:v>
      </x:c>
      <x:c r="D2672" t="str">
        <x:v>commerce</x:v>
      </x:c>
      <x:c r="E2672" t="str">
        <x:v>Station-service — variante 06 — Ville moyenne / arrêt de maintenance</x:v>
      </x:c>
      <x:c r="F2672" t="n">
        <x:v>8</x:v>
      </x:c>
      <x:c r="G2672" t="n">
        <x:v>5</x:v>
      </x:c>
      <x:c r="H2672" t="n">
        <x:v>0</x:v>
      </x:c>
      <x:c r="I2672" t="str">
        <x:v>À qualifier par lieu</x:v>
      </x:c>
      <x:c r="J2672" t="str">
        <x:v>https://github.com/darknigthmare/deadwall-last-enclosure/blob/e28f46223e73105ab2c5d83f3d50b99b58ef53e6/codex-3000/compositions/commerce/DW-2667.md</x:v>
      </x:c>
      <x:c r="K2672" t="str">
        <x:v>Source min 73,54 m ; max 73,54 m ; modèle 73 × 54 m ; niveaux 0. Détails dans catalogue-existant.json.</x:v>
      </x:c>
    </x:row>
    <x:row r="2673">
      <x:c r="A2673" t="str">
        <x:v>DW-2668</x:v>
      </x:c>
      <x:c r="B2673" t="str">
        <x:v>DW-0834</x:v>
      </x:c>
      <x:c r="C2673" t="str">
        <x:v>Composition héritée</x:v>
      </x:c>
      <x:c r="D2673" t="str">
        <x:v>commerce</x:v>
      </x:c>
      <x:c r="E2673" t="str">
        <x:v>Station-service — variante 06 — Grande ville et métropole / reprise progressive de la végétation</x:v>
      </x:c>
      <x:c r="F2673" t="n">
        <x:v>8</x:v>
      </x:c>
      <x:c r="G2673" t="n">
        <x:v>5</x:v>
      </x:c>
      <x:c r="H2673" t="n">
        <x:v>0</x:v>
      </x:c>
      <x:c r="I2673" t="str">
        <x:v>À qualifier par lieu</x:v>
      </x:c>
      <x:c r="J2673" t="str">
        <x:v>https://github.com/darknigthmare/deadwall-last-enclosure/blob/e28f46223e73105ab2c5d83f3d50b99b58ef53e6/codex-3000/compositions/commerce/DW-2668.md</x:v>
      </x:c>
      <x:c r="K2673" t="str">
        <x:v>Source min 73,54 m ; max 73,54 m ; modèle 73 × 54 m ; niveaux 0. Détails dans catalogue-existant.json.</x:v>
      </x:c>
    </x:row>
    <x:row r="2674">
      <x:c r="A2674" t="str">
        <x:v>DW-2669</x:v>
      </x:c>
      <x:c r="B2674" t="str">
        <x:v>DW-0835</x:v>
      </x:c>
      <x:c r="C2674" t="str">
        <x:v>Composition héritée</x:v>
      </x:c>
      <x:c r="D2674" t="str">
        <x:v>commerce</x:v>
      </x:c>
      <x:c r="E2674" t="str">
        <x:v>Restaurant routier — variante 06 — Village et bourg / première récupération passée</x:v>
      </x:c>
      <x:c r="F2674" t="n">
        <x:v>8</x:v>
      </x:c>
      <x:c r="G2674" t="n">
        <x:v>5</x:v>
      </x:c>
      <x:c r="H2674" t="n">
        <x:v>0</x:v>
      </x:c>
      <x:c r="I2674" t="str">
        <x:v>À qualifier par lieu</x:v>
      </x:c>
      <x:c r="J2674" t="str">
        <x:v>https://github.com/darknigthmare/deadwall-last-enclosure/blob/e28f46223e73105ab2c5d83f3d50b99b58ef53e6/codex-3000/compositions/commerce/DW-2669.md</x:v>
      </x:c>
      <x:c r="K2674" t="str">
        <x:v>Source min 12,17 m ; max 12,17 m ; modèle 26 × 22 m ; niveaux 0. Détails dans catalogue-existant.json.</x:v>
      </x:c>
    </x:row>
    <x:row r="2675">
      <x:c r="A2675" t="str">
        <x:v>DW-2670</x:v>
      </x:c>
      <x:c r="B2675" t="str">
        <x:v>DW-0835</x:v>
      </x:c>
      <x:c r="C2675" t="str">
        <x:v>Composition héritée</x:v>
      </x:c>
      <x:c r="D2675" t="str">
        <x:v>commerce</x:v>
      </x:c>
      <x:c r="E2675" t="str">
        <x:v>Restaurant routier — variante 06 — Zone commerciale / relais temporaire envisagé</x:v>
      </x:c>
      <x:c r="F2675" t="n">
        <x:v>8</x:v>
      </x:c>
      <x:c r="G2675" t="n">
        <x:v>5</x:v>
      </x:c>
      <x:c r="H2675" t="n">
        <x:v>0</x:v>
      </x:c>
      <x:c r="I2675" t="str">
        <x:v>À qualifier par lieu</x:v>
      </x:c>
      <x:c r="J2675" t="str">
        <x:v>https://github.com/darknigthmare/deadwall-last-enclosure/blob/e28f46223e73105ab2c5d83f3d50b99b58ef53e6/codex-3000/compositions/commerce/DW-2670.md</x:v>
      </x:c>
      <x:c r="K2675" t="str">
        <x:v>Source min 12,17 m ; max 12,17 m ; modèle 26 × 22 m ; niveaux 0. Détails dans catalogue-existant.json.</x:v>
      </x:c>
    </x:row>
    <x:row r="2676">
      <x:c r="A2676" t="str">
        <x:v>DW-2671</x:v>
      </x:c>
      <x:c r="B2676" t="str">
        <x:v>DW-0836</x:v>
      </x:c>
      <x:c r="C2676" t="str">
        <x:v>Composition héritée</x:v>
      </x:c>
      <x:c r="D2676" t="str">
        <x:v>commerce</x:v>
      </x:c>
      <x:c r="E2676" t="str">
        <x:v>Hôtel — variante 06 — Grande ville et métropole / service déplacé à l’arrière</x:v>
      </x:c>
      <x:c r="F2676" t="n">
        <x:v>8</x:v>
      </x:c>
      <x:c r="G2676" t="n">
        <x:v>6</x:v>
      </x:c>
      <x:c r="H2676" t="n">
        <x:v>0</x:v>
      </x:c>
      <x:c r="I2676" t="str">
        <x:v>À qualifier par lieu</x:v>
      </x:c>
      <x:c r="J2676" t="str">
        <x:v>https://github.com/darknigthmare/deadwall-last-enclosure/blob/e28f46223e73105ab2c5d83f3d50b99b58ef53e6/codex-3000/compositions/commerce/DW-2671.md</x:v>
      </x:c>
      <x:c r="K2676" t="str">
        <x:v>Source min 23,34 m ; max 23,34 m ; modèle 28 × 34 m ; niveaux 0. Détails dans catalogue-existant.json.</x:v>
      </x:c>
    </x:row>
    <x:row r="2677">
      <x:c r="A2677" t="str">
        <x:v>DW-2672</x:v>
      </x:c>
      <x:c r="B2677" t="str">
        <x:v>DW-0836</x:v>
      </x:c>
      <x:c r="C2677" t="str">
        <x:v>Composition héritée</x:v>
      </x:c>
      <x:c r="D2677" t="str">
        <x:v>commerce</x:v>
      </x:c>
      <x:c r="E2677" t="str">
        <x:v>Hôtel — variante 06 — Ville moyenne / réseau principal coupé</x:v>
      </x:c>
      <x:c r="F2677" t="n">
        <x:v>8</x:v>
      </x:c>
      <x:c r="G2677" t="n">
        <x:v>6</x:v>
      </x:c>
      <x:c r="H2677" t="n">
        <x:v>0</x:v>
      </x:c>
      <x:c r="I2677" t="str">
        <x:v>À qualifier par lieu</x:v>
      </x:c>
      <x:c r="J2677" t="str">
        <x:v>https://github.com/darknigthmare/deadwall-last-enclosure/blob/e28f46223e73105ab2c5d83f3d50b99b58ef53e6/codex-3000/compositions/commerce/DW-2672.md</x:v>
      </x:c>
      <x:c r="K2677" t="str">
        <x:v>Source min 23,34 m ; max 23,34 m ; modèle 28 × 34 m ; niveaux 0. Détails dans catalogue-existant.json.</x:v>
      </x:c>
    </x:row>
    <x:row r="2678">
      <x:c r="A2678" t="str">
        <x:v>DW-2673</x:v>
      </x:c>
      <x:c r="B2678" t="str">
        <x:v>DW-0837</x:v>
      </x:c>
      <x:c r="C2678" t="str">
        <x:v>Composition héritée</x:v>
      </x:c>
      <x:c r="D2678" t="str">
        <x:v>industrie</x:v>
      </x:c>
      <x:c r="E2678" t="str">
        <x:v>Scierie — variante 06 — Zone industrielle / reprise progressive de la végétation</x:v>
      </x:c>
      <x:c r="F2678" t="n">
        <x:v>8</x:v>
      </x:c>
      <x:c r="G2678" t="n">
        <x:v>5</x:v>
      </x:c>
      <x:c r="H2678" t="n">
        <x:v>0</x:v>
      </x:c>
      <x:c r="I2678" t="str">
        <x:v>À qualifier par lieu</x:v>
      </x:c>
      <x:c r="J2678" t="str">
        <x:v>https://github.com/darknigthmare/deadwall-last-enclosure/blob/e28f46223e73105ab2c5d83f3d50b99b58ef53e6/codex-3000/compositions/industrie/DW-2673.md</x:v>
      </x:c>
      <x:c r="K2678" t="str">
        <x:v>Source min 34,51 m ; max 34,51 m ; modèle 34 × 51 m ; niveaux 0. Détails dans catalogue-existant.json.</x:v>
      </x:c>
    </x:row>
    <x:row r="2679">
      <x:c r="A2679" t="str">
        <x:v>DW-2674</x:v>
      </x:c>
      <x:c r="B2679" t="str">
        <x:v>DW-0837</x:v>
      </x:c>
      <x:c r="C2679" t="str">
        <x:v>Composition héritée</x:v>
      </x:c>
      <x:c r="D2679" t="str">
        <x:v>industrie</x:v>
      </x:c>
      <x:c r="E2679" t="str">
        <x:v>Scierie — variante 06 — Entrepôt et plateforme logistique / repli organisé interrompu</x:v>
      </x:c>
      <x:c r="F2679" t="n">
        <x:v>8</x:v>
      </x:c>
      <x:c r="G2679" t="n">
        <x:v>5</x:v>
      </x:c>
      <x:c r="H2679" t="n">
        <x:v>0</x:v>
      </x:c>
      <x:c r="I2679" t="str">
        <x:v>À qualifier par lieu</x:v>
      </x:c>
      <x:c r="J2679" t="str">
        <x:v>https://github.com/darknigthmare/deadwall-last-enclosure/blob/e28f46223e73105ab2c5d83f3d50b99b58ef53e6/codex-3000/compositions/industrie/DW-2674.md</x:v>
      </x:c>
      <x:c r="K2679" t="str">
        <x:v>Source min 34,51 m ; max 34,51 m ; modèle 34 × 51 m ; niveaux 0. Détails dans catalogue-existant.json.</x:v>
      </x:c>
    </x:row>
    <x:row r="2680">
      <x:c r="A2680" t="str">
        <x:v>DW-2675</x:v>
      </x:c>
      <x:c r="B2680" t="str">
        <x:v>DW-0838</x:v>
      </x:c>
      <x:c r="C2680" t="str">
        <x:v>Composition héritée</x:v>
      </x:c>
      <x:c r="D2680" t="str">
        <x:v>industrie</x:v>
      </x:c>
      <x:c r="E2680" t="str">
        <x:v>Garage automobile — variante 06 — Atelier et artisanat / relais temporaire envisagé</x:v>
      </x:c>
      <x:c r="F2680" t="n">
        <x:v>8</x:v>
      </x:c>
      <x:c r="G2680" t="n">
        <x:v>5</x:v>
      </x:c>
      <x:c r="H2680" t="n">
        <x:v>0</x:v>
      </x:c>
      <x:c r="I2680" t="str">
        <x:v>À qualifier par lieu</x:v>
      </x:c>
      <x:c r="J2680" t="str">
        <x:v>https://github.com/darknigthmare/deadwall-last-enclosure/blob/e28f46223e73105ab2c5d83f3d50b99b58ef53e6/codex-3000/compositions/industrie/DW-2675.md</x:v>
      </x:c>
      <x:c r="K2680" t="str">
        <x:v>Source min 45,14 m ; max 45,14 m ; modèle 45 × 22 m ; niveaux 0. Détails dans catalogue-existant.json.</x:v>
      </x:c>
    </x:row>
    <x:row r="2681">
      <x:c r="A2681" t="str">
        <x:v>DW-2676</x:v>
      </x:c>
      <x:c r="B2681" t="str">
        <x:v>DW-0838</x:v>
      </x:c>
      <x:c r="C2681" t="str">
        <x:v>Composition héritée</x:v>
      </x:c>
      <x:c r="D2681" t="str">
        <x:v>industrie</x:v>
      </x:c>
      <x:c r="E2681" t="str">
        <x:v>Garage automobile — variante 06 — Gare et fret / évacuation interrompue</x:v>
      </x:c>
      <x:c r="F2681" t="n">
        <x:v>10</x:v>
      </x:c>
      <x:c r="G2681" t="n">
        <x:v>5</x:v>
      </x:c>
      <x:c r="H2681" t="n">
        <x:v>0</x:v>
      </x:c>
      <x:c r="I2681" t="str">
        <x:v>À qualifier par lieu</x:v>
      </x:c>
      <x:c r="J2681" t="str">
        <x:v>https://github.com/darknigthmare/deadwall-last-enclosure/blob/e28f46223e73105ab2c5d83f3d50b99b58ef53e6/codex-3000/compositions/industrie/DW-2676.md</x:v>
      </x:c>
      <x:c r="K2681" t="str">
        <x:v>Source min 45,14 m ; max 45,14 m ; modèle 45 × 22 m ; niveaux 0. Détails dans catalogue-existant.json.</x:v>
      </x:c>
    </x:row>
    <x:row r="2682">
      <x:c r="A2682" t="str">
        <x:v>DW-2677</x:v>
      </x:c>
      <x:c r="B2682" t="str">
        <x:v>DW-0839</x:v>
      </x:c>
      <x:c r="C2682" t="str">
        <x:v>Composition héritée</x:v>
      </x:c>
      <x:c r="D2682" t="str">
        <x:v>industrie</x:v>
      </x:c>
      <x:c r="E2682" t="str">
        <x:v>Entrepôt logistique — variante 06 — Entrepôt et plateforme logistique / réseau principal coupé</x:v>
      </x:c>
      <x:c r="F2682" t="n">
        <x:v>8</x:v>
      </x:c>
      <x:c r="G2682" t="n">
        <x:v>5</x:v>
      </x:c>
      <x:c r="H2682" t="n">
        <x:v>0</x:v>
      </x:c>
      <x:c r="I2682" t="str">
        <x:v>À qualifier par lieu</x:v>
      </x:c>
      <x:c r="J2682" t="str">
        <x:v>https://github.com/darknigthmare/deadwall-last-enclosure/blob/e28f46223e73105ab2c5d83f3d50b99b58ef53e6/codex-3000/compositions/industrie/DW-2677.md</x:v>
      </x:c>
      <x:c r="K2682" t="str">
        <x:v>Source min 56,31 m ; max 56,31 m ; modèle 56 × 31 m ; niveaux 0. Détails dans catalogue-existant.json.</x:v>
      </x:c>
    </x:row>
    <x:row r="2683">
      <x:c r="A2683" t="str">
        <x:v>DW-2678</x:v>
      </x:c>
      <x:c r="B2683" t="str">
        <x:v>DW-0839</x:v>
      </x:c>
      <x:c r="C2683" t="str">
        <x:v>Composition héritée</x:v>
      </x:c>
      <x:c r="D2683" t="str">
        <x:v>industrie</x:v>
      </x:c>
      <x:c r="E2683" t="str">
        <x:v>Entrepôt logistique — variante 06 — Zone industrielle / arrêt de maintenance</x:v>
      </x:c>
      <x:c r="F2683" t="n">
        <x:v>8</x:v>
      </x:c>
      <x:c r="G2683" t="n">
        <x:v>5</x:v>
      </x:c>
      <x:c r="H2683" t="n">
        <x:v>0</x:v>
      </x:c>
      <x:c r="I2683" t="str">
        <x:v>À qualifier par lieu</x:v>
      </x:c>
      <x:c r="J2683" t="str">
        <x:v>https://github.com/darknigthmare/deadwall-last-enclosure/blob/e28f46223e73105ab2c5d83f3d50b99b58ef53e6/codex-3000/compositions/industrie/DW-2678.md</x:v>
      </x:c>
      <x:c r="K2683" t="str">
        <x:v>Source min 56,31 m ; max 56,31 m ; modèle 56 × 31 m ; niveaux 0. Détails dans catalogue-existant.json.</x:v>
      </x:c>
    </x:row>
    <x:row r="2684">
      <x:c r="A2684" t="str">
        <x:v>DW-2679</x:v>
      </x:c>
      <x:c r="B2684" t="str">
        <x:v>DW-0840</x:v>
      </x:c>
      <x:c r="C2684" t="str">
        <x:v>Composition héritée</x:v>
      </x:c>
      <x:c r="D2684" t="str">
        <x:v>industrie</x:v>
      </x:c>
      <x:c r="E2684" t="str">
        <x:v>Petite usine — variante 06 — Gare et fret / repli organisé interrompu</x:v>
      </x:c>
      <x:c r="F2684" t="n">
        <x:v>10</x:v>
      </x:c>
      <x:c r="G2684" t="n">
        <x:v>5</x:v>
      </x:c>
      <x:c r="H2684" t="n">
        <x:v>0</x:v>
      </x:c>
      <x:c r="I2684" t="str">
        <x:v>À qualifier par lieu</x:v>
      </x:c>
      <x:c r="J2684" t="str">
        <x:v>https://github.com/darknigthmare/deadwall-last-enclosure/blob/e28f46223e73105ab2c5d83f3d50b99b58ef53e6/codex-3000/compositions/industrie/DW-2679.md</x:v>
      </x:c>
      <x:c r="K2684" t="str">
        <x:v>Source min 67,48 m ; max 67,48 m ; modèle 67 × 48 m ; niveaux 0. Détails dans catalogue-existant.json.</x:v>
      </x:c>
    </x:row>
    <x:row r="2685">
      <x:c r="A2685" t="str">
        <x:v>DW-2680</x:v>
      </x:c>
      <x:c r="B2685" t="str">
        <x:v>DW-0840</x:v>
      </x:c>
      <x:c r="C2685" t="str">
        <x:v>Composition héritée</x:v>
      </x:c>
      <x:c r="D2685" t="str">
        <x:v>industrie</x:v>
      </x:c>
      <x:c r="E2685" t="str">
        <x:v>Petite usine — variante 06 — Atelier et artisanat / première récupération passée</x:v>
      </x:c>
      <x:c r="F2685" t="n">
        <x:v>8</x:v>
      </x:c>
      <x:c r="G2685" t="n">
        <x:v>5</x:v>
      </x:c>
      <x:c r="H2685" t="n">
        <x:v>0</x:v>
      </x:c>
      <x:c r="I2685" t="str">
        <x:v>À qualifier par lieu</x:v>
      </x:c>
      <x:c r="J2685" t="str">
        <x:v>https://github.com/darknigthmare/deadwall-last-enclosure/blob/e28f46223e73105ab2c5d83f3d50b99b58ef53e6/codex-3000/compositions/industrie/DW-2680.md</x:v>
      </x:c>
      <x:c r="K2685" t="str">
        <x:v>Source min 67,48 m ; max 67,48 m ; modèle 67 × 48 m ; niveaux 0. Détails dans catalogue-existant.json.</x:v>
      </x:c>
    </x:row>
    <x:row r="2686">
      <x:c r="A2686" t="str">
        <x:v>DW-2681</x:v>
      </x:c>
      <x:c r="B2686" t="str">
        <x:v>DW-0841</x:v>
      </x:c>
      <x:c r="C2686" t="str">
        <x:v>Composition héritée</x:v>
      </x:c>
      <x:c r="D2686" t="str">
        <x:v>industrie</x:v>
      </x:c>
      <x:c r="E2686" t="str">
        <x:v>Carrière — variante 06 — Zone industrielle / évacuation interrompue</x:v>
      </x:c>
      <x:c r="F2686" t="n">
        <x:v>8</x:v>
      </x:c>
      <x:c r="G2686" t="n">
        <x:v>5</x:v>
      </x:c>
      <x:c r="H2686" t="n">
        <x:v>0</x:v>
      </x:c>
      <x:c r="I2686" t="str">
        <x:v>À qualifier par lieu</x:v>
      </x:c>
      <x:c r="J2686" t="str">
        <x:v>https://github.com/darknigthmare/deadwall-last-enclosure/blob/e28f46223e73105ab2c5d83f3d50b99b58ef53e6/codex-3000/compositions/industrie/DW-2681.md</x:v>
      </x:c>
      <x:c r="K2686" t="str">
        <x:v>Source min 78,11 m ; max 78,11 m ; modèle 78 × 22 m ; niveaux 0. Détails dans catalogue-existant.json.</x:v>
      </x:c>
    </x:row>
    <x:row r="2687">
      <x:c r="A2687" t="str">
        <x:v>DW-2682</x:v>
      </x:c>
      <x:c r="B2687" t="str">
        <x:v>DW-0841</x:v>
      </x:c>
      <x:c r="C2687" t="str">
        <x:v>Composition héritée</x:v>
      </x:c>
      <x:c r="D2687" t="str">
        <x:v>industrie</x:v>
      </x:c>
      <x:c r="E2687" t="str">
        <x:v>Carrière — variante 06 — Entrepôt et plateforme logistique / service déplacé à l’arrière</x:v>
      </x:c>
      <x:c r="F2687" t="n">
        <x:v>8</x:v>
      </x:c>
      <x:c r="G2687" t="n">
        <x:v>5</x:v>
      </x:c>
      <x:c r="H2687" t="n">
        <x:v>0</x:v>
      </x:c>
      <x:c r="I2687" t="str">
        <x:v>À qualifier par lieu</x:v>
      </x:c>
      <x:c r="J2687" t="str">
        <x:v>https://github.com/darknigthmare/deadwall-last-enclosure/blob/e28f46223e73105ab2c5d83f3d50b99b58ef53e6/codex-3000/compositions/industrie/DW-2682.md</x:v>
      </x:c>
      <x:c r="K2687" t="str">
        <x:v>Source min 78,11 m ; max 78,11 m ; modèle 78 × 22 m ; niveaux 0. Détails dans catalogue-existant.json.</x:v>
      </x:c>
    </x:row>
    <x:row r="2688">
      <x:c r="A2688" t="str">
        <x:v>DW-2683</x:v>
      </x:c>
      <x:c r="B2688" t="str">
        <x:v>DW-0842</x:v>
      </x:c>
      <x:c r="C2688" t="str">
        <x:v>Composition héritée</x:v>
      </x:c>
      <x:c r="D2688" t="str">
        <x:v>industrie</x:v>
      </x:c>
      <x:c r="E2688" t="str">
        <x:v>Mine — variante 06 — Atelier et artisanat / arrêt de maintenance</x:v>
      </x:c>
      <x:c r="F2688" t="n">
        <x:v>8</x:v>
      </x:c>
      <x:c r="G2688" t="n">
        <x:v>6</x:v>
      </x:c>
      <x:c r="H2688" t="n">
        <x:v>0</x:v>
      </x:c>
      <x:c r="I2688" t="str">
        <x:v>À qualifier par lieu</x:v>
      </x:c>
      <x:c r="J2688" t="str">
        <x:v>https://github.com/darknigthmare/deadwall-last-enclosure/blob/e28f46223e73105ab2c5d83f3d50b99b58ef53e6/codex-3000/compositions/industrie/DW-2683.md</x:v>
      </x:c>
      <x:c r="K2688" t="str">
        <x:v>Source min 17,28 m ; max 17,28 m ; modèle 28 × 28 m ; niveaux 0. Détails dans catalogue-existant.json.</x:v>
      </x:c>
    </x:row>
    <x:row r="2689">
      <x:c r="A2689" t="str">
        <x:v>DW-2684</x:v>
      </x:c>
      <x:c r="B2689" t="str">
        <x:v>DW-0842</x:v>
      </x:c>
      <x:c r="C2689" t="str">
        <x:v>Composition héritée</x:v>
      </x:c>
      <x:c r="D2689" t="str">
        <x:v>industrie</x:v>
      </x:c>
      <x:c r="E2689" t="str">
        <x:v>Mine — variante 06 — Gare et fret / reprise progressive de la végétation</x:v>
      </x:c>
      <x:c r="F2689" t="n">
        <x:v>10</x:v>
      </x:c>
      <x:c r="G2689" t="n">
        <x:v>6</x:v>
      </x:c>
      <x:c r="H2689" t="n">
        <x:v>0</x:v>
      </x:c>
      <x:c r="I2689" t="str">
        <x:v>À qualifier par lieu</x:v>
      </x:c>
      <x:c r="J2689" t="str">
        <x:v>https://github.com/darknigthmare/deadwall-last-enclosure/blob/e28f46223e73105ab2c5d83f3d50b99b58ef53e6/codex-3000/compositions/industrie/DW-2684.md</x:v>
      </x:c>
      <x:c r="K2689" t="str">
        <x:v>Source min 17,28 m ; max 17,28 m ; modèle 28 × 28 m ; niveaux 0. Détails dans catalogue-existant.json.</x:v>
      </x:c>
    </x:row>
    <x:row r="2690">
      <x:c r="A2690" t="str">
        <x:v>DW-2685</x:v>
      </x:c>
      <x:c r="B2690" t="str">
        <x:v>DW-0843</x:v>
      </x:c>
      <x:c r="C2690" t="str">
        <x:v>Composition héritée</x:v>
      </x:c>
      <x:c r="D2690" t="str">
        <x:v>industrie</x:v>
      </x:c>
      <x:c r="E2690" t="str">
        <x:v>Centrale locale — variante 06 — Entrepôt et plateforme logistique / première récupération passée</x:v>
      </x:c>
      <x:c r="F2690" t="n">
        <x:v>8</x:v>
      </x:c>
      <x:c r="G2690" t="n">
        <x:v>5</x:v>
      </x:c>
      <x:c r="H2690" t="n">
        <x:v>0</x:v>
      </x:c>
      <x:c r="I2690" t="str">
        <x:v>À qualifier par lieu</x:v>
      </x:c>
      <x:c r="J2690" t="str">
        <x:v>https://github.com/darknigthmare/deadwall-last-enclosure/blob/e28f46223e73105ab2c5d83f3d50b99b58ef53e6/codex-3000/compositions/industrie/DW-2685.md</x:v>
      </x:c>
      <x:c r="K2690" t="str">
        <x:v>Source min 28,45 m ; max 28,45 m ; modèle 28 × 45 m ; niveaux 0. Détails dans catalogue-existant.json.</x:v>
      </x:c>
    </x:row>
    <x:row r="2691">
      <x:c r="A2691" t="str">
        <x:v>DW-2686</x:v>
      </x:c>
      <x:c r="B2691" t="str">
        <x:v>DW-0843</x:v>
      </x:c>
      <x:c r="C2691" t="str">
        <x:v>Composition héritée</x:v>
      </x:c>
      <x:c r="D2691" t="str">
        <x:v>industrie</x:v>
      </x:c>
      <x:c r="E2691" t="str">
        <x:v>Centrale locale — variante 06 — Zone industrielle / relais temporaire envisagé</x:v>
      </x:c>
      <x:c r="F2691" t="n">
        <x:v>8</x:v>
      </x:c>
      <x:c r="G2691" t="n">
        <x:v>5</x:v>
      </x:c>
      <x:c r="H2691" t="n">
        <x:v>0</x:v>
      </x:c>
      <x:c r="I2691" t="str">
        <x:v>À qualifier par lieu</x:v>
      </x:c>
      <x:c r="J2691" t="str">
        <x:v>https://github.com/darknigthmare/deadwall-last-enclosure/blob/e28f46223e73105ab2c5d83f3d50b99b58ef53e6/codex-3000/compositions/industrie/DW-2686.md</x:v>
      </x:c>
      <x:c r="K2691" t="str">
        <x:v>Source min 28,45 m ; max 28,45 m ; modèle 28 × 45 m ; niveaux 0. Détails dans catalogue-existant.json.</x:v>
      </x:c>
    </x:row>
    <x:row r="2692">
      <x:c r="A2692" t="str">
        <x:v>DW-2687</x:v>
      </x:c>
      <x:c r="B2692" t="str">
        <x:v>DW-0844</x:v>
      </x:c>
      <x:c r="C2692" t="str">
        <x:v>Composition héritée</x:v>
      </x:c>
      <x:c r="D2692" t="str">
        <x:v>industrie</x:v>
      </x:c>
      <x:c r="E2692" t="str">
        <x:v>Station de pompage — variante 06 — Gare et fret / service déplacé à l’arrière</x:v>
      </x:c>
      <x:c r="F2692" t="n">
        <x:v>10</x:v>
      </x:c>
      <x:c r="G2692" t="n">
        <x:v>5</x:v>
      </x:c>
      <x:c r="H2692" t="n">
        <x:v>0</x:v>
      </x:c>
      <x:c r="I2692" t="str">
        <x:v>À qualifier par lieu</x:v>
      </x:c>
      <x:c r="J2692" t="str">
        <x:v>https://github.com/darknigthmare/deadwall-last-enclosure/blob/e28f46223e73105ab2c5d83f3d50b99b58ef53e6/codex-3000/compositions/industrie/DW-2687.md</x:v>
      </x:c>
      <x:c r="K2692" t="str">
        <x:v>Source min 39,62 m ; max 39,62 m ; modèle 39 × 62 m ; niveaux 0. Détails dans catalogue-existant.json.</x:v>
      </x:c>
    </x:row>
    <x:row r="2693">
      <x:c r="A2693" t="str">
        <x:v>DW-2688</x:v>
      </x:c>
      <x:c r="B2693" t="str">
        <x:v>DW-0844</x:v>
      </x:c>
      <x:c r="C2693" t="str">
        <x:v>Composition héritée</x:v>
      </x:c>
      <x:c r="D2693" t="str">
        <x:v>industrie</x:v>
      </x:c>
      <x:c r="E2693" t="str">
        <x:v>Station de pompage — variante 06 — Atelier et artisanat / réseau principal coupé</x:v>
      </x:c>
      <x:c r="F2693" t="n">
        <x:v>8</x:v>
      </x:c>
      <x:c r="G2693" t="n">
        <x:v>5</x:v>
      </x:c>
      <x:c r="H2693" t="n">
        <x:v>0</x:v>
      </x:c>
      <x:c r="I2693" t="str">
        <x:v>À qualifier par lieu</x:v>
      </x:c>
      <x:c r="J2693" t="str">
        <x:v>https://github.com/darknigthmare/deadwall-last-enclosure/blob/e28f46223e73105ab2c5d83f3d50b99b58ef53e6/codex-3000/compositions/industrie/DW-2688.md</x:v>
      </x:c>
      <x:c r="K2693" t="str">
        <x:v>Source min 39,62 m ; max 39,62 m ; modèle 39 × 62 m ; niveaux 0. Détails dans catalogue-existant.json.</x:v>
      </x:c>
    </x:row>
    <x:row r="2694">
      <x:c r="A2694" t="str">
        <x:v>DW-2689</x:v>
      </x:c>
      <x:c r="B2694" t="str">
        <x:v>DW-0845</x:v>
      </x:c>
      <x:c r="C2694" t="str">
        <x:v>Composition héritée</x:v>
      </x:c>
      <x:c r="D2694" t="str">
        <x:v>public</x:v>
      </x:c>
      <x:c r="E2694" t="str">
        <x:v>École — variante 06 — École, mairie et bâtiments civiques / reprise progressive de la végétation</x:v>
      </x:c>
      <x:c r="F2694" t="n">
        <x:v>8</x:v>
      </x:c>
      <x:c r="G2694" t="n">
        <x:v>5</x:v>
      </x:c>
      <x:c r="H2694" t="n">
        <x:v>0</x:v>
      </x:c>
      <x:c r="I2694" t="str">
        <x:v>À qualifier par lieu</x:v>
      </x:c>
      <x:c r="J2694" t="str">
        <x:v>https://github.com/darknigthmare/deadwall-last-enclosure/blob/e28f46223e73105ab2c5d83f3d50b99b58ef53e6/codex-3000/compositions/public/DW-2689.md</x:v>
      </x:c>
      <x:c r="K2694" t="str">
        <x:v>Source min 50,25 m ; max 50,25 m ; modèle 50 × 25 m ; niveaux 0, 1. Détails dans catalogue-existant.json.</x:v>
      </x:c>
    </x:row>
    <x:row r="2695">
      <x:c r="A2695" t="str">
        <x:v>DW-2690</x:v>
      </x:c>
      <x:c r="B2695" t="str">
        <x:v>DW-0845</x:v>
      </x:c>
      <x:c r="C2695" t="str">
        <x:v>Composition héritée</x:v>
      </x:c>
      <x:c r="D2695" t="str">
        <x:v>public</x:v>
      </x:c>
      <x:c r="E2695" t="str">
        <x:v>École — variante 06 — Village et bourg / repli organisé interrompu</x:v>
      </x:c>
      <x:c r="F2695" t="n">
        <x:v>8</x:v>
      </x:c>
      <x:c r="G2695" t="n">
        <x:v>5</x:v>
      </x:c>
      <x:c r="H2695" t="n">
        <x:v>0</x:v>
      </x:c>
      <x:c r="I2695" t="str">
        <x:v>À qualifier par lieu</x:v>
      </x:c>
      <x:c r="J2695" t="str">
        <x:v>https://github.com/darknigthmare/deadwall-last-enclosure/blob/e28f46223e73105ab2c5d83f3d50b99b58ef53e6/codex-3000/compositions/public/DW-2690.md</x:v>
      </x:c>
      <x:c r="K2695" t="str">
        <x:v>Source min 50,25 m ; max 50,25 m ; modèle 50 × 25 m ; niveaux 0, 1. Détails dans catalogue-existant.json.</x:v>
      </x:c>
    </x:row>
    <x:row r="2696">
      <x:c r="A2696" t="str">
        <x:v>DW-2691</x:v>
      </x:c>
      <x:c r="B2696" t="str">
        <x:v>DW-0846</x:v>
      </x:c>
      <x:c r="C2696" t="str">
        <x:v>Composition héritée</x:v>
      </x:c>
      <x:c r="D2696" t="str">
        <x:v>public</x:v>
      </x:c>
      <x:c r="E2696" t="str">
        <x:v>Mairie — variante 06 — Ville moyenne / relais temporaire envisagé</x:v>
      </x:c>
      <x:c r="F2696" t="n">
        <x:v>8</x:v>
      </x:c>
      <x:c r="G2696" t="n">
        <x:v>5</x:v>
      </x:c>
      <x:c r="H2696" t="n">
        <x:v>0</x:v>
      </x:c>
      <x:c r="I2696" t="str">
        <x:v>À qualifier par lieu</x:v>
      </x:c>
      <x:c r="J2696" t="str">
        <x:v>https://github.com/darknigthmare/deadwall-last-enclosure/blob/e28f46223e73105ab2c5d83f3d50b99b58ef53e6/codex-3000/compositions/public/DW-2691.md</x:v>
      </x:c>
      <x:c r="K2696" t="str">
        <x:v>Source min 61,42 m ; max 61,42 m ; modèle 61 × 42 m ; niveaux 0. Détails dans catalogue-existant.json.</x:v>
      </x:c>
    </x:row>
    <x:row r="2697">
      <x:c r="A2697" t="str">
        <x:v>DW-2692</x:v>
      </x:c>
      <x:c r="B2697" t="str">
        <x:v>DW-0846</x:v>
      </x:c>
      <x:c r="C2697" t="str">
        <x:v>Composition héritée</x:v>
      </x:c>
      <x:c r="D2697" t="str">
        <x:v>public</x:v>
      </x:c>
      <x:c r="E2697" t="str">
        <x:v>Mairie — variante 06 — Centre d’évacuation abandonné / évacuation interrompue</x:v>
      </x:c>
      <x:c r="F2697" t="n">
        <x:v>8</x:v>
      </x:c>
      <x:c r="G2697" t="n">
        <x:v>5</x:v>
      </x:c>
      <x:c r="H2697" t="n">
        <x:v>0</x:v>
      </x:c>
      <x:c r="I2697" t="str">
        <x:v>À qualifier par lieu</x:v>
      </x:c>
      <x:c r="J2697" t="str">
        <x:v>https://github.com/darknigthmare/deadwall-last-enclosure/blob/e28f46223e73105ab2c5d83f3d50b99b58ef53e6/codex-3000/compositions/public/DW-2692.md</x:v>
      </x:c>
      <x:c r="K2697" t="str">
        <x:v>Source min 61,42 m ; max 61,42 m ; modèle 61 × 42 m ; niveaux 0. Détails dans catalogue-existant.json.</x:v>
      </x:c>
    </x:row>
    <x:row r="2698">
      <x:c r="A2698" t="str">
        <x:v>DW-2693</x:v>
      </x:c>
      <x:c r="B2698" t="str">
        <x:v>DW-0847</x:v>
      </x:c>
      <x:c r="C2698" t="str">
        <x:v>Composition héritée</x:v>
      </x:c>
      <x:c r="D2698" t="str">
        <x:v>public</x:v>
      </x:c>
      <x:c r="E2698" t="str">
        <x:v>Clinique — variante 06 — Village et bourg / réseau principal coupé</x:v>
      </x:c>
      <x:c r="F2698" t="n">
        <x:v>8</x:v>
      </x:c>
      <x:c r="G2698" t="n">
        <x:v>6</x:v>
      </x:c>
      <x:c r="H2698" t="n">
        <x:v>0</x:v>
      </x:c>
      <x:c r="I2698" t="str">
        <x:v>À qualifier par lieu</x:v>
      </x:c>
      <x:c r="J2698" t="str">
        <x:v>https://github.com/darknigthmare/deadwall-last-enclosure/blob/e28f46223e73105ab2c5d83f3d50b99b58ef53e6/codex-3000/compositions/public/DW-2693.md</x:v>
      </x:c>
      <x:c r="K2698" t="str">
        <x:v>Source min 72,59 m ; max 72,59 m ; modèle 72 × 59 m ; niveaux 0. Détails dans catalogue-existant.json.</x:v>
      </x:c>
    </x:row>
    <x:row r="2699">
      <x:c r="A2699" t="str">
        <x:v>DW-2694</x:v>
      </x:c>
      <x:c r="B2699" t="str">
        <x:v>DW-0847</x:v>
      </x:c>
      <x:c r="C2699" t="str">
        <x:v>Composition héritée</x:v>
      </x:c>
      <x:c r="D2699" t="str">
        <x:v>public</x:v>
      </x:c>
      <x:c r="E2699" t="str">
        <x:v>Clinique — variante 06 — École, mairie et bâtiments civiques / arrêt de maintenance</x:v>
      </x:c>
      <x:c r="F2699" t="n">
        <x:v>8</x:v>
      </x:c>
      <x:c r="G2699" t="n">
        <x:v>6</x:v>
      </x:c>
      <x:c r="H2699" t="n">
        <x:v>0</x:v>
      </x:c>
      <x:c r="I2699" t="str">
        <x:v>À qualifier par lieu</x:v>
      </x:c>
      <x:c r="J2699" t="str">
        <x:v>https://github.com/darknigthmare/deadwall-last-enclosure/blob/e28f46223e73105ab2c5d83f3d50b99b58ef53e6/codex-3000/compositions/public/DW-2694.md</x:v>
      </x:c>
      <x:c r="K2699" t="str">
        <x:v>Source min 72,59 m ; max 72,59 m ; modèle 72 × 59 m ; niveaux 0. Détails dans catalogue-existant.json.</x:v>
      </x:c>
    </x:row>
    <x:row r="2700">
      <x:c r="A2700" t="str">
        <x:v>DW-2695</x:v>
      </x:c>
      <x:c r="B2700" t="str">
        <x:v>DW-0848</x:v>
      </x:c>
      <x:c r="C2700" t="str">
        <x:v>Composition héritée</x:v>
      </x:c>
      <x:c r="D2700" t="str">
        <x:v>public</x:v>
      </x:c>
      <x:c r="E2700" t="str">
        <x:v>Caserne de pompiers — variante 06 — Centre d’évacuation abandonné / repli organisé interrompu</x:v>
      </x:c>
      <x:c r="F2700" t="n">
        <x:v>8</x:v>
      </x:c>
      <x:c r="G2700" t="n">
        <x:v>6</x:v>
      </x:c>
      <x:c r="H2700" t="n">
        <x:v>0</x:v>
      </x:c>
      <x:c r="I2700" t="str">
        <x:v>À qualifier par lieu</x:v>
      </x:c>
      <x:c r="J2700" t="str">
        <x:v>https://github.com/darknigthmare/deadwall-last-enclosure/blob/e28f46223e73105ab2c5d83f3d50b99b58ef53e6/codex-3000/compositions/public/DW-2695.md</x:v>
      </x:c>
      <x:c r="K2700" t="str">
        <x:v>Source min 11,22 m ; max 11,22 m ; modèle 28 × 22 m ; niveaux 0. Détails dans catalogue-existant.json.</x:v>
      </x:c>
    </x:row>
    <x:row r="2701">
      <x:c r="A2701" t="str">
        <x:v>DW-2696</x:v>
      </x:c>
      <x:c r="B2701" t="str">
        <x:v>DW-0848</x:v>
      </x:c>
      <x:c r="C2701" t="str">
        <x:v>Composition héritée</x:v>
      </x:c>
      <x:c r="D2701" t="str">
        <x:v>public</x:v>
      </x:c>
      <x:c r="E2701" t="str">
        <x:v>Caserne de pompiers — variante 06 — Ville moyenne / première récupération passée</x:v>
      </x:c>
      <x:c r="F2701" t="n">
        <x:v>8</x:v>
      </x:c>
      <x:c r="G2701" t="n">
        <x:v>6</x:v>
      </x:c>
      <x:c r="H2701" t="n">
        <x:v>0</x:v>
      </x:c>
      <x:c r="I2701" t="str">
        <x:v>À qualifier par lieu</x:v>
      </x:c>
      <x:c r="J2701" t="str">
        <x:v>https://github.com/darknigthmare/deadwall-last-enclosure/blob/e28f46223e73105ab2c5d83f3d50b99b58ef53e6/codex-3000/compositions/public/DW-2696.md</x:v>
      </x:c>
      <x:c r="K2701" t="str">
        <x:v>Source min 11,22 m ; max 11,22 m ; modèle 28 × 22 m ; niveaux 0. Détails dans catalogue-existant.json.</x:v>
      </x:c>
    </x:row>
    <x:row r="2702">
      <x:c r="A2702" t="str">
        <x:v>DW-2697</x:v>
      </x:c>
      <x:c r="B2702" t="str">
        <x:v>DW-0849</x:v>
      </x:c>
      <x:c r="C2702" t="str">
        <x:v>Composition héritée</x:v>
      </x:c>
      <x:c r="D2702" t="str">
        <x:v>public</x:v>
      </x:c>
      <x:c r="E2702" t="str">
        <x:v>Poste de police — variante 06 — École, mairie et bâtiments civiques / évacuation interrompue</x:v>
      </x:c>
      <x:c r="F2702" t="n">
        <x:v>8</x:v>
      </x:c>
      <x:c r="G2702" t="n">
        <x:v>5</x:v>
      </x:c>
      <x:c r="H2702" t="n">
        <x:v>0</x:v>
      </x:c>
      <x:c r="I2702" t="str">
        <x:v>À qualifier par lieu</x:v>
      </x:c>
      <x:c r="J2702" t="str">
        <x:v>https://github.com/darknigthmare/deadwall-last-enclosure/blob/e28f46223e73105ab2c5d83f3d50b99b58ef53e6/codex-3000/compositions/public/DW-2697.md</x:v>
      </x:c>
      <x:c r="K2702" t="str">
        <x:v>Source min 22,39 m ; max 22,39 m ; modèle 26 × 39 m ; niveaux 0, 1. Détails dans catalogue-existant.json.</x:v>
      </x:c>
    </x:row>
    <x:row r="2703">
      <x:c r="A2703" t="str">
        <x:v>DW-2698</x:v>
      </x:c>
      <x:c r="B2703" t="str">
        <x:v>DW-0849</x:v>
      </x:c>
      <x:c r="C2703" t="str">
        <x:v>Composition héritée</x:v>
      </x:c>
      <x:c r="D2703" t="str">
        <x:v>public</x:v>
      </x:c>
      <x:c r="E2703" t="str">
        <x:v>Poste de police — variante 06 — Village et bourg / service déplacé à l’arrière</x:v>
      </x:c>
      <x:c r="F2703" t="n">
        <x:v>8</x:v>
      </x:c>
      <x:c r="G2703" t="n">
        <x:v>5</x:v>
      </x:c>
      <x:c r="H2703" t="n">
        <x:v>0</x:v>
      </x:c>
      <x:c r="I2703" t="str">
        <x:v>À qualifier par lieu</x:v>
      </x:c>
      <x:c r="J2703" t="str">
        <x:v>https://github.com/darknigthmare/deadwall-last-enclosure/blob/e28f46223e73105ab2c5d83f3d50b99b58ef53e6/codex-3000/compositions/public/DW-2698.md</x:v>
      </x:c>
      <x:c r="K2703" t="str">
        <x:v>Source min 22,39 m ; max 22,39 m ; modèle 26 × 39 m ; niveaux 0, 1. Détails dans catalogue-existant.json.</x:v>
      </x:c>
    </x:row>
    <x:row r="2704">
      <x:c r="A2704" t="str">
        <x:v>DW-2699</x:v>
      </x:c>
      <x:c r="B2704" t="str">
        <x:v>DW-0850</x:v>
      </x:c>
      <x:c r="C2704" t="str">
        <x:v>Composition héritée</x:v>
      </x:c>
      <x:c r="D2704" t="str">
        <x:v>public</x:v>
      </x:c>
      <x:c r="E2704" t="str">
        <x:v>Bibliothèque — variante 06 — Ville moyenne / arrêt de maintenance</x:v>
      </x:c>
      <x:c r="F2704" t="n">
        <x:v>8</x:v>
      </x:c>
      <x:c r="G2704" t="n">
        <x:v>5</x:v>
      </x:c>
      <x:c r="H2704" t="n">
        <x:v>0</x:v>
      </x:c>
      <x:c r="I2704" t="str">
        <x:v>À qualifier par lieu</x:v>
      </x:c>
      <x:c r="J2704" t="str">
        <x:v>https://github.com/darknigthmare/deadwall-last-enclosure/blob/e28f46223e73105ab2c5d83f3d50b99b58ef53e6/codex-3000/compositions/public/DW-2699.md</x:v>
      </x:c>
      <x:c r="K2704" t="str">
        <x:v>Source min 33,56 m ; max 33,56 m ; modèle 33 × 56 m ; niveaux 0. Détails dans catalogue-existant.json.</x:v>
      </x:c>
    </x:row>
    <x:row r="2705">
      <x:c r="A2705" t="str">
        <x:v>DW-2700</x:v>
      </x:c>
      <x:c r="B2705" t="str">
        <x:v>DW-0850</x:v>
      </x:c>
      <x:c r="C2705" t="str">
        <x:v>Composition héritée</x:v>
      </x:c>
      <x:c r="D2705" t="str">
        <x:v>public</x:v>
      </x:c>
      <x:c r="E2705" t="str">
        <x:v>Bibliothèque — variante 06 — Centre d’évacuation abandonné / reprise progressive de la végétation</x:v>
      </x:c>
      <x:c r="F2705" t="n">
        <x:v>8</x:v>
      </x:c>
      <x:c r="G2705" t="n">
        <x:v>5</x:v>
      </x:c>
      <x:c r="H2705" t="n">
        <x:v>0</x:v>
      </x:c>
      <x:c r="I2705" t="str">
        <x:v>À qualifier par lieu</x:v>
      </x:c>
      <x:c r="J2705" t="str">
        <x:v>https://github.com/darknigthmare/deadwall-last-enclosure/blob/e28f46223e73105ab2c5d83f3d50b99b58ef53e6/codex-3000/compositions/public/DW-2700.md</x:v>
      </x:c>
      <x:c r="K2705" t="str">
        <x:v>Source min 33,56 m ; max 33,56 m ; modèle 33 × 56 m ; niveaux 0. Détails dans catalogue-existant.json.</x:v>
      </x:c>
    </x:row>
    <x:row r="2706">
      <x:c r="A2706" t="str">
        <x:v>DW-2701</x:v>
      </x:c>
      <x:c r="B2706" t="str">
        <x:v>DW-0851</x:v>
      </x:c>
      <x:c r="C2706" t="str">
        <x:v>Composition héritée</x:v>
      </x:c>
      <x:c r="D2706" t="str">
        <x:v>public</x:v>
      </x:c>
      <x:c r="E2706" t="str">
        <x:v>Salle des fêtes — variante 06 — Village et bourg / première récupération passée</x:v>
      </x:c>
      <x:c r="F2706" t="n">
        <x:v>8</x:v>
      </x:c>
      <x:c r="G2706" t="n">
        <x:v>5</x:v>
      </x:c>
      <x:c r="H2706" t="n">
        <x:v>0</x:v>
      </x:c>
      <x:c r="I2706" t="str">
        <x:v>À qualifier par lieu</x:v>
      </x:c>
      <x:c r="J2706" t="str">
        <x:v>https://github.com/darknigthmare/deadwall-last-enclosure/blob/e28f46223e73105ab2c5d83f3d50b99b58ef53e6/codex-3000/compositions/public/DW-2701.md</x:v>
      </x:c>
      <x:c r="K2706" t="str">
        <x:v>Source min 44,19 m ; max 44,19 m ; modèle 44 × 22 m ; niveaux 0. Détails dans catalogue-existant.json.</x:v>
      </x:c>
    </x:row>
    <x:row r="2707">
      <x:c r="A2707" t="str">
        <x:v>DW-2702</x:v>
      </x:c>
      <x:c r="B2707" t="str">
        <x:v>DW-0851</x:v>
      </x:c>
      <x:c r="C2707" t="str">
        <x:v>Composition héritée</x:v>
      </x:c>
      <x:c r="D2707" t="str">
        <x:v>public</x:v>
      </x:c>
      <x:c r="E2707" t="str">
        <x:v>Salle des fêtes — variante 06 — École, mairie et bâtiments civiques / relais temporaire envisagé</x:v>
      </x:c>
      <x:c r="F2707" t="n">
        <x:v>8</x:v>
      </x:c>
      <x:c r="G2707" t="n">
        <x:v>5</x:v>
      </x:c>
      <x:c r="H2707" t="n">
        <x:v>0</x:v>
      </x:c>
      <x:c r="I2707" t="str">
        <x:v>À qualifier par lieu</x:v>
      </x:c>
      <x:c r="J2707" t="str">
        <x:v>https://github.com/darknigthmare/deadwall-last-enclosure/blob/e28f46223e73105ab2c5d83f3d50b99b58ef53e6/codex-3000/compositions/public/DW-2702.md</x:v>
      </x:c>
      <x:c r="K2707" t="str">
        <x:v>Source min 44,19 m ; max 44,19 m ; modèle 44 × 22 m ; niveaux 0. Détails dans catalogue-existant.json.</x:v>
      </x:c>
    </x:row>
    <x:row r="2708">
      <x:c r="A2708" t="str">
        <x:v>DW-2703</x:v>
      </x:c>
      <x:c r="B2708" t="str">
        <x:v>DW-0852</x:v>
      </x:c>
      <x:c r="C2708" t="str">
        <x:v>Composition héritée</x:v>
      </x:c>
      <x:c r="D2708" t="str">
        <x:v>public</x:v>
      </x:c>
      <x:c r="E2708" t="str">
        <x:v>Église et presbytère — variante 06 — Centre d’évacuation abandonné / service déplacé à l’arrière</x:v>
      </x:c>
      <x:c r="F2708" t="n">
        <x:v>8</x:v>
      </x:c>
      <x:c r="G2708" t="n">
        <x:v>5</x:v>
      </x:c>
      <x:c r="H2708" t="n">
        <x:v>0</x:v>
      </x:c>
      <x:c r="I2708" t="str">
        <x:v>À qualifier par lieu</x:v>
      </x:c>
      <x:c r="J2708" t="str">
        <x:v>https://github.com/darknigthmare/deadwall-last-enclosure/blob/e28f46223e73105ab2c5d83f3d50b99b58ef53e6/codex-3000/compositions/public/DW-2703.md</x:v>
      </x:c>
      <x:c r="K2708" t="str">
        <x:v>Source min 55,36 m ; max 55,36 m ; modèle 55 × 36 m ; niveaux 0. Détails dans catalogue-existant.json.</x:v>
      </x:c>
    </x:row>
    <x:row r="2709">
      <x:c r="A2709" t="str">
        <x:v>DW-2704</x:v>
      </x:c>
      <x:c r="B2709" t="str">
        <x:v>DW-0852</x:v>
      </x:c>
      <x:c r="C2709" t="str">
        <x:v>Composition héritée</x:v>
      </x:c>
      <x:c r="D2709" t="str">
        <x:v>public</x:v>
      </x:c>
      <x:c r="E2709" t="str">
        <x:v>Église et presbytère — variante 06 — Ville moyenne / réseau principal coupé</x:v>
      </x:c>
      <x:c r="F2709" t="n">
        <x:v>8</x:v>
      </x:c>
      <x:c r="G2709" t="n">
        <x:v>5</x:v>
      </x:c>
      <x:c r="H2709" t="n">
        <x:v>0</x:v>
      </x:c>
      <x:c r="I2709" t="str">
        <x:v>À qualifier par lieu</x:v>
      </x:c>
      <x:c r="J2709" t="str">
        <x:v>https://github.com/darknigthmare/deadwall-last-enclosure/blob/e28f46223e73105ab2c5d83f3d50b99b58ef53e6/codex-3000/compositions/public/DW-2704.md</x:v>
      </x:c>
      <x:c r="K2709" t="str">
        <x:v>Source min 55,36 m ; max 55,36 m ; modèle 55 × 36 m ; niveaux 0. Détails dans catalogue-existant.json.</x:v>
      </x:c>
    </x:row>
    <x:row r="2710">
      <x:c r="A2710" t="str">
        <x:v>DW-2705</x:v>
      </x:c>
      <x:c r="B2710" t="str">
        <x:v>DW-0853</x:v>
      </x:c>
      <x:c r="C2710" t="str">
        <x:v>Composition héritée</x:v>
      </x:c>
      <x:c r="D2710" t="str">
        <x:v>rural</x:v>
      </x:c>
      <x:c r="E2710" t="str">
        <x:v>Hameau agricole — variante 06 — Ferme, verger et pâtures / reprise progressive de la végétation</x:v>
      </x:c>
      <x:c r="F2710" t="n">
        <x:v>8</x:v>
      </x:c>
      <x:c r="G2710" t="n">
        <x:v>6</x:v>
      </x:c>
      <x:c r="H2710" t="n">
        <x:v>0</x:v>
      </x:c>
      <x:c r="I2710" t="str">
        <x:v>À qualifier par lieu</x:v>
      </x:c>
      <x:c r="J2710" t="str">
        <x:v>https://github.com/darknigthmare/deadwall-last-enclosure/blob/e28f46223e73105ab2c5d83f3d50b99b58ef53e6/codex-3000/compositions/rural/DW-2705.md</x:v>
      </x:c>
      <x:c r="K2710" t="str">
        <x:v>Source min 66,53 m ; max 66,53 m ; modèle 66 × 53 m ; niveaux 0. Détails dans catalogue-existant.json.</x:v>
      </x:c>
    </x:row>
    <x:row r="2711">
      <x:c r="A2711" t="str">
        <x:v>DW-2706</x:v>
      </x:c>
      <x:c r="B2711" t="str">
        <x:v>DW-0853</x:v>
      </x:c>
      <x:c r="C2711" t="str">
        <x:v>Composition héritée</x:v>
      </x:c>
      <x:c r="D2711" t="str">
        <x:v>rural</x:v>
      </x:c>
      <x:c r="E2711" t="str">
        <x:v>Hameau agricole — variante 06 — Petit bois et lisière / repli organisé interrompu</x:v>
      </x:c>
      <x:c r="F2711" t="n">
        <x:v>8</x:v>
      </x:c>
      <x:c r="G2711" t="n">
        <x:v>6</x:v>
      </x:c>
      <x:c r="H2711" t="n">
        <x:v>0</x:v>
      </x:c>
      <x:c r="I2711" t="str">
        <x:v>À qualifier par lieu</x:v>
      </x:c>
      <x:c r="J2711" t="str">
        <x:v>https://github.com/darknigthmare/deadwall-last-enclosure/blob/e28f46223e73105ab2c5d83f3d50b99b58ef53e6/codex-3000/compositions/rural/DW-2706.md</x:v>
      </x:c>
      <x:c r="K2711" t="str">
        <x:v>Source min 66,53 m ; max 66,53 m ; modèle 66 × 53 m ; niveaux 0. Détails dans catalogue-existant.json.</x:v>
      </x:c>
    </x:row>
    <x:row r="2712">
      <x:c r="A2712" t="str">
        <x:v>DW-2707</x:v>
      </x:c>
      <x:c r="B2712" t="str">
        <x:v>DW-0854</x:v>
      </x:c>
      <x:c r="C2712" t="str">
        <x:v>Composition héritée</x:v>
      </x:c>
      <x:c r="D2712" t="str">
        <x:v>rural</x:v>
      </x:c>
      <x:c r="E2712" t="str">
        <x:v>Cabane forestière — variante 06 — Prairie et friche ouverte / relais temporaire envisagé</x:v>
      </x:c>
      <x:c r="F2712" t="n">
        <x:v>8</x:v>
      </x:c>
      <x:c r="G2712" t="n">
        <x:v>4</x:v>
      </x:c>
      <x:c r="H2712" t="n">
        <x:v>0</x:v>
      </x:c>
      <x:c r="I2712" t="str">
        <x:v>À qualifier par lieu</x:v>
      </x:c>
      <x:c r="J2712" t="str">
        <x:v>https://github.com/darknigthmare/deadwall-last-enclosure/blob/e28f46223e73105ab2c5d83f3d50b99b58ef53e6/codex-3000/compositions/rural/DW-2707.md</x:v>
      </x:c>
      <x:c r="K2712" t="str">
        <x:v>Source min 77,16 m ; max 77,16 m ; modèle 77 × 18 m ; niveaux 0. Détails dans catalogue-existant.json.</x:v>
      </x:c>
    </x:row>
    <x:row r="2713">
      <x:c r="A2713" t="str">
        <x:v>DW-2708</x:v>
      </x:c>
      <x:c r="B2713" t="str">
        <x:v>DW-0854</x:v>
      </x:c>
      <x:c r="C2713" t="str">
        <x:v>Composition héritée</x:v>
      </x:c>
      <x:c r="D2713" t="str">
        <x:v>rural</x:v>
      </x:c>
      <x:c r="E2713" t="str">
        <x:v>Cabane forestière — variante 06 — Hameau / évacuation interrompue</x:v>
      </x:c>
      <x:c r="F2713" t="n">
        <x:v>8</x:v>
      </x:c>
      <x:c r="G2713" t="n">
        <x:v>4</x:v>
      </x:c>
      <x:c r="H2713" t="n">
        <x:v>0</x:v>
      </x:c>
      <x:c r="I2713" t="str">
        <x:v>À qualifier par lieu</x:v>
      </x:c>
      <x:c r="J2713" t="str">
        <x:v>https://github.com/darknigthmare/deadwall-last-enclosure/blob/e28f46223e73105ab2c5d83f3d50b99b58ef53e6/codex-3000/compositions/rural/DW-2708.md</x:v>
      </x:c>
      <x:c r="K2713" t="str">
        <x:v>Source min 77,16 m ; max 77,16 m ; modèle 77 × 18 m ; niveaux 0. Détails dans catalogue-existant.json.</x:v>
      </x:c>
    </x:row>
    <x:row r="2714">
      <x:c r="A2714" t="str">
        <x:v>DW-2709</x:v>
      </x:c>
      <x:c r="B2714" t="str">
        <x:v>DW-0855</x:v>
      </x:c>
      <x:c r="C2714" t="str">
        <x:v>Composition héritée</x:v>
      </x:c>
      <x:c r="D2714" t="str">
        <x:v>rural</x:v>
      </x:c>
      <x:c r="E2714" t="str">
        <x:v>Dépôt forestier — variante 06 — Petit bois et lisière / réseau principal coupé</x:v>
      </x:c>
      <x:c r="F2714" t="n">
        <x:v>8</x:v>
      </x:c>
      <x:c r="G2714" t="n">
        <x:v>5</x:v>
      </x:c>
      <x:c r="H2714" t="n">
        <x:v>0</x:v>
      </x:c>
      <x:c r="I2714" t="str">
        <x:v>À qualifier par lieu</x:v>
      </x:c>
      <x:c r="J2714" t="str">
        <x:v>https://github.com/darknigthmare/deadwall-last-enclosure/blob/e28f46223e73105ab2c5d83f3d50b99b58ef53e6/codex-3000/compositions/rural/DW-2709.md</x:v>
      </x:c>
      <x:c r="K2714" t="str">
        <x:v>Source min 16,33 m ; max 16,33 m ; modèle 26 × 33 m ; niveaux 0. Détails dans catalogue-existant.json.</x:v>
      </x:c>
    </x:row>
    <x:row r="2715">
      <x:c r="A2715" t="str">
        <x:v>DW-2710</x:v>
      </x:c>
      <x:c r="B2715" t="str">
        <x:v>DW-0855</x:v>
      </x:c>
      <x:c r="C2715" t="str">
        <x:v>Composition héritée</x:v>
      </x:c>
      <x:c r="D2715" t="str">
        <x:v>rural</x:v>
      </x:c>
      <x:c r="E2715" t="str">
        <x:v>Dépôt forestier — variante 06 — Ferme, verger et pâtures / arrêt de maintenance</x:v>
      </x:c>
      <x:c r="F2715" t="n">
        <x:v>8</x:v>
      </x:c>
      <x:c r="G2715" t="n">
        <x:v>5</x:v>
      </x:c>
      <x:c r="H2715" t="n">
        <x:v>0</x:v>
      </x:c>
      <x:c r="I2715" t="str">
        <x:v>À qualifier par lieu</x:v>
      </x:c>
      <x:c r="J2715" t="str">
        <x:v>https://github.com/darknigthmare/deadwall-last-enclosure/blob/e28f46223e73105ab2c5d83f3d50b99b58ef53e6/codex-3000/compositions/rural/DW-2710.md</x:v>
      </x:c>
      <x:c r="K2715" t="str">
        <x:v>Source min 16,33 m ; max 16,33 m ; modèle 26 × 33 m ; niveaux 0. Détails dans catalogue-existant.json.</x:v>
      </x:c>
    </x:row>
    <x:row r="2716">
      <x:c r="A2716" t="str">
        <x:v>DW-2711</x:v>
      </x:c>
      <x:c r="B2716" t="str">
        <x:v>DW-0856</x:v>
      </x:c>
      <x:c r="C2716" t="str">
        <x:v>Composition héritée</x:v>
      </x:c>
      <x:c r="D2716" t="str">
        <x:v>rural</x:v>
      </x:c>
      <x:c r="E2716" t="str">
        <x:v>Ferme céréalière — variante 06 — Hameau / repli organisé interrompu</x:v>
      </x:c>
      <x:c r="F2716" t="n">
        <x:v>8</x:v>
      </x:c>
      <x:c r="G2716" t="n">
        <x:v>5</x:v>
      </x:c>
      <x:c r="H2716" t="n">
        <x:v>0</x:v>
      </x:c>
      <x:c r="I2716" t="str">
        <x:v>À qualifier par lieu</x:v>
      </x:c>
      <x:c r="J2716" t="str">
        <x:v>https://github.com/darknigthmare/deadwall-last-enclosure/blob/e28f46223e73105ab2c5d83f3d50b99b58ef53e6/codex-3000/compositions/rural/DW-2711.md</x:v>
      </x:c>
      <x:c r="K2716" t="str">
        <x:v>Source min 27,50 m ; max 27,50 m ; modèle 27 × 50 m ; niveaux 0. Détails dans catalogue-existant.json.</x:v>
      </x:c>
    </x:row>
    <x:row r="2717">
      <x:c r="A2717" t="str">
        <x:v>DW-2712</x:v>
      </x:c>
      <x:c r="B2717" t="str">
        <x:v>DW-0856</x:v>
      </x:c>
      <x:c r="C2717" t="str">
        <x:v>Composition héritée</x:v>
      </x:c>
      <x:c r="D2717" t="str">
        <x:v>rural</x:v>
      </x:c>
      <x:c r="E2717" t="str">
        <x:v>Ferme céréalière — variante 06 — Prairie et friche ouverte / première récupération passée</x:v>
      </x:c>
      <x:c r="F2717" t="n">
        <x:v>8</x:v>
      </x:c>
      <x:c r="G2717" t="n">
        <x:v>5</x:v>
      </x:c>
      <x:c r="H2717" t="n">
        <x:v>0</x:v>
      </x:c>
      <x:c r="I2717" t="str">
        <x:v>À qualifier par lieu</x:v>
      </x:c>
      <x:c r="J2717" t="str">
        <x:v>https://github.com/darknigthmare/deadwall-last-enclosure/blob/e28f46223e73105ab2c5d83f3d50b99b58ef53e6/codex-3000/compositions/rural/DW-2712.md</x:v>
      </x:c>
      <x:c r="K2717" t="str">
        <x:v>Source min 27,50 m ; max 27,50 m ; modèle 27 × 50 m ; niveaux 0. Détails dans catalogue-existant.json.</x:v>
      </x:c>
    </x:row>
    <x:row r="2718">
      <x:c r="A2718" t="str">
        <x:v>DW-2713</x:v>
      </x:c>
      <x:c r="B2718" t="str">
        <x:v>DW-0857</x:v>
      </x:c>
      <x:c r="C2718" t="str">
        <x:v>Composition héritée</x:v>
      </x:c>
      <x:c r="D2718" t="str">
        <x:v>rural</x:v>
      </x:c>
      <x:c r="E2718" t="str">
        <x:v>Ferme d'élevage — variante 06 — Ferme, verger et pâtures / évacuation interrompue</x:v>
      </x:c>
      <x:c r="F2718" t="n">
        <x:v>8</x:v>
      </x:c>
      <x:c r="G2718" t="n">
        <x:v>5</x:v>
      </x:c>
      <x:c r="H2718" t="n">
        <x:v>0</x:v>
      </x:c>
      <x:c r="I2718" t="str">
        <x:v>À qualifier par lieu</x:v>
      </x:c>
      <x:c r="J2718" t="str">
        <x:v>https://github.com/darknigthmare/deadwall-last-enclosure/blob/e28f46223e73105ab2c5d83f3d50b99b58ef53e6/codex-3000/compositions/rural/DW-2713.md</x:v>
      </x:c>
      <x:c r="K2718" t="str">
        <x:v>Source min 38,13 m ; max 38,13 m ; modèle 38 × 22 m ; niveaux 0. Détails dans catalogue-existant.json.</x:v>
      </x:c>
    </x:row>
    <x:row r="2719">
      <x:c r="A2719" t="str">
        <x:v>DW-2714</x:v>
      </x:c>
      <x:c r="B2719" t="str">
        <x:v>DW-0857</x:v>
      </x:c>
      <x:c r="C2719" t="str">
        <x:v>Composition héritée</x:v>
      </x:c>
      <x:c r="D2719" t="str">
        <x:v>rural</x:v>
      </x:c>
      <x:c r="E2719" t="str">
        <x:v>Ferme d'élevage — variante 06 — Petit bois et lisière / service déplacé à l’arrière</x:v>
      </x:c>
      <x:c r="F2719" t="n">
        <x:v>8</x:v>
      </x:c>
      <x:c r="G2719" t="n">
        <x:v>5</x:v>
      </x:c>
      <x:c r="H2719" t="n">
        <x:v>0</x:v>
      </x:c>
      <x:c r="I2719" t="str">
        <x:v>À qualifier par lieu</x:v>
      </x:c>
      <x:c r="J2719" t="str">
        <x:v>https://github.com/darknigthmare/deadwall-last-enclosure/blob/e28f46223e73105ab2c5d83f3d50b99b58ef53e6/codex-3000/compositions/rural/DW-2714.md</x:v>
      </x:c>
      <x:c r="K2719" t="str">
        <x:v>Source min 38,13 m ; max 38,13 m ; modèle 38 × 22 m ; niveaux 0. Détails dans catalogue-existant.json.</x:v>
      </x:c>
    </x:row>
    <x:row r="2720">
      <x:c r="A2720" t="str">
        <x:v>DW-2715</x:v>
      </x:c>
      <x:c r="B2720" t="str">
        <x:v>DW-0858</x:v>
      </x:c>
      <x:c r="C2720" t="str">
        <x:v>Composition héritée</x:v>
      </x:c>
      <x:c r="D2720" t="str">
        <x:v>rural</x:v>
      </x:c>
      <x:c r="E2720" t="str">
        <x:v>Relais de chasse — variante 06 — Prairie et friche ouverte / arrêt de maintenance</x:v>
      </x:c>
      <x:c r="F2720" t="n">
        <x:v>8</x:v>
      </x:c>
      <x:c r="G2720" t="n">
        <x:v>4</x:v>
      </x:c>
      <x:c r="H2720" t="n">
        <x:v>0</x:v>
      </x:c>
      <x:c r="I2720" t="str">
        <x:v>À qualifier par lieu</x:v>
      </x:c>
      <x:c r="J2720" t="str">
        <x:v>https://github.com/darknigthmare/deadwall-last-enclosure/blob/e28f46223e73105ab2c5d83f3d50b99b58ef53e6/codex-3000/compositions/rural/DW-2715.md</x:v>
      </x:c>
      <x:c r="K2720" t="str">
        <x:v>Source min 49,30 m ; max 49,30 m ; modèle 49 × 30 m ; niveaux 0. Détails dans catalogue-existant.json.</x:v>
      </x:c>
    </x:row>
    <x:row r="2721">
      <x:c r="A2721" t="str">
        <x:v>DW-2716</x:v>
      </x:c>
      <x:c r="B2721" t="str">
        <x:v>DW-0858</x:v>
      </x:c>
      <x:c r="C2721" t="str">
        <x:v>Composition héritée</x:v>
      </x:c>
      <x:c r="D2721" t="str">
        <x:v>rural</x:v>
      </x:c>
      <x:c r="E2721" t="str">
        <x:v>Relais de chasse — variante 06 — Hameau / reprise progressive de la végétation</x:v>
      </x:c>
      <x:c r="F2721" t="n">
        <x:v>8</x:v>
      </x:c>
      <x:c r="G2721" t="n">
        <x:v>4</x:v>
      </x:c>
      <x:c r="H2721" t="n">
        <x:v>0</x:v>
      </x:c>
      <x:c r="I2721" t="str">
        <x:v>À qualifier par lieu</x:v>
      </x:c>
      <x:c r="J2721" t="str">
        <x:v>https://github.com/darknigthmare/deadwall-last-enclosure/blob/e28f46223e73105ab2c5d83f3d50b99b58ef53e6/codex-3000/compositions/rural/DW-2716.md</x:v>
      </x:c>
      <x:c r="K2721" t="str">
        <x:v>Source min 49,30 m ; max 49,30 m ; modèle 49 × 30 m ; niveaux 0. Détails dans catalogue-existant.json.</x:v>
      </x:c>
    </x:row>
    <x:row r="2722">
      <x:c r="A2722" t="str">
        <x:v>DW-2717</x:v>
      </x:c>
      <x:c r="B2722" t="str">
        <x:v>DW-0859</x:v>
      </x:c>
      <x:c r="C2722" t="str">
        <x:v>Composition héritée</x:v>
      </x:c>
      <x:c r="D2722" t="str">
        <x:v>rural</x:v>
      </x:c>
      <x:c r="E2722" t="str">
        <x:v>Moulin rural — variante 06 — Petit bois et lisière / première récupération passée</x:v>
      </x:c>
      <x:c r="F2722" t="n">
        <x:v>8</x:v>
      </x:c>
      <x:c r="G2722" t="n">
        <x:v>4</x:v>
      </x:c>
      <x:c r="H2722" t="n">
        <x:v>0</x:v>
      </x:c>
      <x:c r="I2722" t="str">
        <x:v>À qualifier par lieu</x:v>
      </x:c>
      <x:c r="J2722" t="str">
        <x:v>https://github.com/darknigthmare/deadwall-last-enclosure/blob/e28f46223e73105ab2c5d83f3d50b99b58ef53e6/codex-3000/compositions/rural/DW-2717.md</x:v>
      </x:c>
      <x:c r="K2722" t="str">
        <x:v>Source min 60,47 m ; max 60,47 m ; modèle 60 × 47 m ; niveaux 0. Détails dans catalogue-existant.json.</x:v>
      </x:c>
    </x:row>
    <x:row r="2723">
      <x:c r="A2723" t="str">
        <x:v>DW-2718</x:v>
      </x:c>
      <x:c r="B2723" t="str">
        <x:v>DW-0859</x:v>
      </x:c>
      <x:c r="C2723" t="str">
        <x:v>Composition héritée</x:v>
      </x:c>
      <x:c r="D2723" t="str">
        <x:v>rural</x:v>
      </x:c>
      <x:c r="E2723" t="str">
        <x:v>Moulin rural — variante 06 — Ferme, verger et pâtures / relais temporaire envisagé</x:v>
      </x:c>
      <x:c r="F2723" t="n">
        <x:v>8</x:v>
      </x:c>
      <x:c r="G2723" t="n">
        <x:v>4</x:v>
      </x:c>
      <x:c r="H2723" t="n">
        <x:v>0</x:v>
      </x:c>
      <x:c r="I2723" t="str">
        <x:v>À qualifier par lieu</x:v>
      </x:c>
      <x:c r="J2723" t="str">
        <x:v>https://github.com/darknigthmare/deadwall-last-enclosure/blob/e28f46223e73105ab2c5d83f3d50b99b58ef53e6/codex-3000/compositions/rural/DW-2718.md</x:v>
      </x:c>
      <x:c r="K2723" t="str">
        <x:v>Source min 60,47 m ; max 60,47 m ; modèle 60 × 47 m ; niveaux 0. Détails dans catalogue-existant.json.</x:v>
      </x:c>
    </x:row>
    <x:row r="2724">
      <x:c r="A2724" t="str">
        <x:v>DW-2719</x:v>
      </x:c>
      <x:c r="B2724" t="str">
        <x:v>DW-0860</x:v>
      </x:c>
      <x:c r="C2724" t="str">
        <x:v>Composition héritée</x:v>
      </x:c>
      <x:c r="D2724" t="str">
        <x:v>rural</x:v>
      </x:c>
      <x:c r="E2724" t="str">
        <x:v>Serres maraîchères — variante 06 — Hameau / service déplacé à l’arrière</x:v>
      </x:c>
      <x:c r="F2724" t="n">
        <x:v>8</x:v>
      </x:c>
      <x:c r="G2724" t="n">
        <x:v>5</x:v>
      </x:c>
      <x:c r="H2724" t="n">
        <x:v>0</x:v>
      </x:c>
      <x:c r="I2724" t="str">
        <x:v>À qualifier par lieu</x:v>
      </x:c>
      <x:c r="J2724" t="str">
        <x:v>https://github.com/darknigthmare/deadwall-last-enclosure/blob/e28f46223e73105ab2c5d83f3d50b99b58ef53e6/codex-3000/compositions/rural/DW-2719.md</x:v>
      </x:c>
      <x:c r="K2724" t="str">
        <x:v>Source min 71,10 m ; max 71,10 m ; modèle 71 × 22 m ; niveaux 0. Détails dans catalogue-existant.json.</x:v>
      </x:c>
    </x:row>
    <x:row r="2725">
      <x:c r="A2725" t="str">
        <x:v>DW-2720</x:v>
      </x:c>
      <x:c r="B2725" t="str">
        <x:v>DW-0860</x:v>
      </x:c>
      <x:c r="C2725" t="str">
        <x:v>Composition héritée</x:v>
      </x:c>
      <x:c r="D2725" t="str">
        <x:v>rural</x:v>
      </x:c>
      <x:c r="E2725" t="str">
        <x:v>Serres maraîchères — variante 06 — Prairie et friche ouverte / réseau principal coupé</x:v>
      </x:c>
      <x:c r="F2725" t="n">
        <x:v>8</x:v>
      </x:c>
      <x:c r="G2725" t="n">
        <x:v>5</x:v>
      </x:c>
      <x:c r="H2725" t="n">
        <x:v>0</x:v>
      </x:c>
      <x:c r="I2725" t="str">
        <x:v>À qualifier par lieu</x:v>
      </x:c>
      <x:c r="J2725" t="str">
        <x:v>https://github.com/darknigthmare/deadwall-last-enclosure/blob/e28f46223e73105ab2c5d83f3d50b99b58ef53e6/codex-3000/compositions/rural/DW-2720.md</x:v>
      </x:c>
      <x:c r="K2725" t="str">
        <x:v>Source min 71,10 m ; max 71,10 m ; modèle 71 × 22 m ; niveaux 0. Détails dans catalogue-existant.json.</x:v>
      </x:c>
    </x:row>
    <x:row r="2726">
      <x:c r="A2726" t="str">
        <x:v>DW-2721</x:v>
      </x:c>
      <x:c r="B2726" t="str">
        <x:v>DW-0861</x:v>
      </x:c>
      <x:c r="C2726" t="str">
        <x:v>Composition héritée</x:v>
      </x:c>
      <x:c r="D2726" t="str">
        <x:v>militaire</x:v>
      </x:c>
      <x:c r="E2726" t="str">
        <x:v>Bunker de défense civile — variante 06 — Grand camp allié / reprise progressive de la végétation</x:v>
      </x:c>
      <x:c r="F2726" t="n">
        <x:v>10</x:v>
      </x:c>
      <x:c r="G2726" t="n">
        <x:v>6</x:v>
      </x:c>
      <x:c r="H2726" t="n">
        <x:v>0</x:v>
      </x:c>
      <x:c r="I2726" t="str">
        <x:v>À qualifier par lieu</x:v>
      </x:c>
      <x:c r="J2726" t="str">
        <x:v>https://github.com/darknigthmare/deadwall-last-enclosure/blob/e28f46223e73105ab2c5d83f3d50b99b58ef53e6/codex-3000/compositions/militaire/DW-2721.md</x:v>
      </x:c>
      <x:c r="K2726" t="str">
        <x:v>Source min 10,27 m ; max 10,27 m ; modèle 28 × 27 m ; niveaux 0, 1. Détails dans catalogue-existant.json.</x:v>
      </x:c>
    </x:row>
    <x:row r="2727">
      <x:c r="A2727" t="str">
        <x:v>DW-2722</x:v>
      </x:c>
      <x:c r="B2727" t="str">
        <x:v>DW-0861</x:v>
      </x:c>
      <x:c r="C2727" t="str">
        <x:v>Composition héritée</x:v>
      </x:c>
      <x:c r="D2727" t="str">
        <x:v>militaire</x:v>
      </x:c>
      <x:c r="E2727" t="str">
        <x:v>Bunker de défense civile — variante 06 — Camp de fortune / repli organisé interrompu</x:v>
      </x:c>
      <x:c r="F2727" t="n">
        <x:v>8</x:v>
      </x:c>
      <x:c r="G2727" t="n">
        <x:v>6</x:v>
      </x:c>
      <x:c r="H2727" t="n">
        <x:v>0</x:v>
      </x:c>
      <x:c r="I2727" t="str">
        <x:v>À qualifier par lieu</x:v>
      </x:c>
      <x:c r="J2727" t="str">
        <x:v>https://github.com/darknigthmare/deadwall-last-enclosure/blob/e28f46223e73105ab2c5d83f3d50b99b58ef53e6/codex-3000/compositions/militaire/DW-2722.md</x:v>
      </x:c>
      <x:c r="K2727" t="str">
        <x:v>Source min 10,27 m ; max 10,27 m ; modèle 28 × 27 m ; niveaux 0, 1. Détails dans catalogue-existant.json.</x:v>
      </x:c>
    </x:row>
    <x:row r="2728">
      <x:c r="A2728" t="str">
        <x:v>DW-2723</x:v>
      </x:c>
      <x:c r="B2728" t="str">
        <x:v>DW-0862</x:v>
      </x:c>
      <x:c r="C2728" t="str">
        <x:v>Composition héritée</x:v>
      </x:c>
      <x:c r="D2728" t="str">
        <x:v>militaire</x:v>
      </x:c>
      <x:c r="E2728" t="str">
        <x:v>Dépôt militaire — variante 06 — Camp hostile / relais temporaire envisagé</x:v>
      </x:c>
      <x:c r="F2728" t="n">
        <x:v>10</x:v>
      </x:c>
      <x:c r="G2728" t="n">
        <x:v>5</x:v>
      </x:c>
      <x:c r="H2728" t="n">
        <x:v>0</x:v>
      </x:c>
      <x:c r="I2728" t="str">
        <x:v>À qualifier par lieu</x:v>
      </x:c>
      <x:c r="J2728" t="str">
        <x:v>https://github.com/darknigthmare/deadwall-last-enclosure/blob/e28f46223e73105ab2c5d83f3d50b99b58ef53e6/codex-3000/compositions/militaire/DW-2723.md</x:v>
      </x:c>
      <x:c r="K2728" t="str">
        <x:v>Source min 21,44 m ; max 21,44 m ; modèle 26 × 44 m ; niveaux 0. Détails dans catalogue-existant.json.</x:v>
      </x:c>
    </x:row>
    <x:row r="2729">
      <x:c r="A2729" t="str">
        <x:v>DW-2724</x:v>
      </x:c>
      <x:c r="B2729" t="str">
        <x:v>DW-0862</x:v>
      </x:c>
      <x:c r="C2729" t="str">
        <x:v>Composition héritée</x:v>
      </x:c>
      <x:c r="D2729" t="str">
        <x:v>militaire</x:v>
      </x:c>
      <x:c r="E2729" t="str">
        <x:v>Dépôt militaire — variante 06 — Centre d’évacuation abandonné / évacuation interrompue</x:v>
      </x:c>
      <x:c r="F2729" t="n">
        <x:v>8</x:v>
      </x:c>
      <x:c r="G2729" t="n">
        <x:v>5</x:v>
      </x:c>
      <x:c r="H2729" t="n">
        <x:v>0</x:v>
      </x:c>
      <x:c r="I2729" t="str">
        <x:v>À qualifier par lieu</x:v>
      </x:c>
      <x:c r="J2729" t="str">
        <x:v>https://github.com/darknigthmare/deadwall-last-enclosure/blob/e28f46223e73105ab2c5d83f3d50b99b58ef53e6/codex-3000/compositions/militaire/DW-2724.md</x:v>
      </x:c>
      <x:c r="K2729" t="str">
        <x:v>Source min 21,44 m ; max 21,44 m ; modèle 26 × 44 m ; niveaux 0. Détails dans catalogue-existant.json.</x:v>
      </x:c>
    </x:row>
    <x:row r="2730">
      <x:c r="A2730" t="str">
        <x:v>DW-2725</x:v>
      </x:c>
      <x:c r="B2730" t="str">
        <x:v>DW-0863</x:v>
      </x:c>
      <x:c r="C2730" t="str">
        <x:v>Composition héritée</x:v>
      </x:c>
      <x:c r="D2730" t="str">
        <x:v>militaire</x:v>
      </x:c>
      <x:c r="E2730" t="str">
        <x:v>Poste de contrôle — variante 06 — Camp de fortune / réseau principal coupé</x:v>
      </x:c>
      <x:c r="F2730" t="n">
        <x:v>8</x:v>
      </x:c>
      <x:c r="G2730" t="n">
        <x:v>5</x:v>
      </x:c>
      <x:c r="H2730" t="n">
        <x:v>0</x:v>
      </x:c>
      <x:c r="I2730" t="str">
        <x:v>À qualifier par lieu</x:v>
      </x:c>
      <x:c r="J2730" t="str">
        <x:v>https://github.com/darknigthmare/deadwall-last-enclosure/blob/e28f46223e73105ab2c5d83f3d50b99b58ef53e6/codex-3000/compositions/militaire/DW-2725.md</x:v>
      </x:c>
      <x:c r="K2730" t="str">
        <x:v>Source min 32,61 m ; max 32,61 m ; modèle 32 × 61 m ; niveaux 0. Détails dans catalogue-existant.json.</x:v>
      </x:c>
    </x:row>
    <x:row r="2731">
      <x:c r="A2731" t="str">
        <x:v>DW-2726</x:v>
      </x:c>
      <x:c r="B2731" t="str">
        <x:v>DW-0863</x:v>
      </x:c>
      <x:c r="C2731" t="str">
        <x:v>Composition héritée</x:v>
      </x:c>
      <x:c r="D2731" t="str">
        <x:v>militaire</x:v>
      </x:c>
      <x:c r="E2731" t="str">
        <x:v>Poste de contrôle — variante 06 — Grand camp allié / arrêt de maintenance</x:v>
      </x:c>
      <x:c r="F2731" t="n">
        <x:v>10</x:v>
      </x:c>
      <x:c r="G2731" t="n">
        <x:v>5</x:v>
      </x:c>
      <x:c r="H2731" t="n">
        <x:v>0</x:v>
      </x:c>
      <x:c r="I2731" t="str">
        <x:v>À qualifier par lieu</x:v>
      </x:c>
      <x:c r="J2731" t="str">
        <x:v>https://github.com/darknigthmare/deadwall-last-enclosure/blob/e28f46223e73105ab2c5d83f3d50b99b58ef53e6/codex-3000/compositions/militaire/DW-2726.md</x:v>
      </x:c>
      <x:c r="K2731" t="str">
        <x:v>Source min 32,61 m ; max 32,61 m ; modèle 32 × 61 m ; niveaux 0. Détails dans catalogue-existant.json.</x:v>
      </x:c>
    </x:row>
    <x:row r="2732">
      <x:c r="A2732" t="str">
        <x:v>DW-2727</x:v>
      </x:c>
      <x:c r="B2732" t="str">
        <x:v>DW-0864</x:v>
      </x:c>
      <x:c r="C2732" t="str">
        <x:v>Composition héritée</x:v>
      </x:c>
      <x:c r="D2732" t="str">
        <x:v>militaire</x:v>
      </x:c>
      <x:c r="E2732" t="str">
        <x:v>Camp retranché abandonné — variante 06 — Centre d’évacuation abandonné / repli organisé interrompu</x:v>
      </x:c>
      <x:c r="F2732" t="n">
        <x:v>8</x:v>
      </x:c>
      <x:c r="G2732" t="n">
        <x:v>5</x:v>
      </x:c>
      <x:c r="H2732" t="n">
        <x:v>0</x:v>
      </x:c>
      <x:c r="I2732" t="str">
        <x:v>À qualifier par lieu</x:v>
      </x:c>
      <x:c r="J2732" t="str">
        <x:v>https://github.com/darknigthmare/deadwall-last-enclosure/blob/e28f46223e73105ab2c5d83f3d50b99b58ef53e6/codex-3000/compositions/militaire/DW-2727.md</x:v>
      </x:c>
      <x:c r="K2732" t="str">
        <x:v>Source min 43,24 m ; max 43,24 m ; modèle 43 × 24 m ; niveaux 0. Détails dans catalogue-existant.json.</x:v>
      </x:c>
    </x:row>
    <x:row r="2733">
      <x:c r="A2733" t="str">
        <x:v>DW-2728</x:v>
      </x:c>
      <x:c r="B2733" t="str">
        <x:v>DW-0864</x:v>
      </x:c>
      <x:c r="C2733" t="str">
        <x:v>Composition héritée</x:v>
      </x:c>
      <x:c r="D2733" t="str">
        <x:v>militaire</x:v>
      </x:c>
      <x:c r="E2733" t="str">
        <x:v>Camp retranché abandonné — variante 06 — Camp hostile / première récupération passée</x:v>
      </x:c>
      <x:c r="F2733" t="n">
        <x:v>10</x:v>
      </x:c>
      <x:c r="G2733" t="n">
        <x:v>5</x:v>
      </x:c>
      <x:c r="H2733" t="n">
        <x:v>0</x:v>
      </x:c>
      <x:c r="I2733" t="str">
        <x:v>À qualifier par lieu</x:v>
      </x:c>
      <x:c r="J2733" t="str">
        <x:v>https://github.com/darknigthmare/deadwall-last-enclosure/blob/e28f46223e73105ab2c5d83f3d50b99b58ef53e6/codex-3000/compositions/militaire/DW-2728.md</x:v>
      </x:c>
      <x:c r="K2733" t="str">
        <x:v>Source min 43,24 m ; max 43,24 m ; modèle 43 × 24 m ; niveaux 0. Détails dans catalogue-existant.json.</x:v>
      </x:c>
    </x:row>
    <x:row r="2734">
      <x:c r="A2734" t="str">
        <x:v>DW-2729</x:v>
      </x:c>
      <x:c r="B2734" t="str">
        <x:v>DW-0865</x:v>
      </x:c>
      <x:c r="C2734" t="str">
        <x:v>Composition héritée</x:v>
      </x:c>
      <x:c r="D2734" t="str">
        <x:v>militaire</x:v>
      </x:c>
      <x:c r="E2734" t="str">
        <x:v>Abri ferroviaire — variante 06 — Grand camp allié / évacuation interrompue</x:v>
      </x:c>
      <x:c r="F2734" t="n">
        <x:v>10</x:v>
      </x:c>
      <x:c r="G2734" t="n">
        <x:v>4</x:v>
      </x:c>
      <x:c r="H2734" t="n">
        <x:v>0</x:v>
      </x:c>
      <x:c r="I2734" t="str">
        <x:v>À qualifier par lieu</x:v>
      </x:c>
      <x:c r="J2734" t="str">
        <x:v>https://github.com/darknigthmare/deadwall-last-enclosure/blob/e28f46223e73105ab2c5d83f3d50b99b58ef53e6/codex-3000/compositions/militaire/DW-2729.md</x:v>
      </x:c>
      <x:c r="K2734" t="str">
        <x:v>Source min 54,41 m ; max 54,41 m ; modèle 54 × 41 m ; niveaux 0. Détails dans catalogue-existant.json.</x:v>
      </x:c>
    </x:row>
    <x:row r="2735">
      <x:c r="A2735" t="str">
        <x:v>DW-2730</x:v>
      </x:c>
      <x:c r="B2735" t="str">
        <x:v>DW-0865</x:v>
      </x:c>
      <x:c r="C2735" t="str">
        <x:v>Composition héritée</x:v>
      </x:c>
      <x:c r="D2735" t="str">
        <x:v>militaire</x:v>
      </x:c>
      <x:c r="E2735" t="str">
        <x:v>Abri ferroviaire — variante 06 — Camp de fortune / service déplacé à l’arrière</x:v>
      </x:c>
      <x:c r="F2735" t="n">
        <x:v>8</x:v>
      </x:c>
      <x:c r="G2735" t="n">
        <x:v>4</x:v>
      </x:c>
      <x:c r="H2735" t="n">
        <x:v>0</x:v>
      </x:c>
      <x:c r="I2735" t="str">
        <x:v>À qualifier par lieu</x:v>
      </x:c>
      <x:c r="J2735" t="str">
        <x:v>https://github.com/darknigthmare/deadwall-last-enclosure/blob/e28f46223e73105ab2c5d83f3d50b99b58ef53e6/codex-3000/compositions/militaire/DW-2730.md</x:v>
      </x:c>
      <x:c r="K2735" t="str">
        <x:v>Source min 54,41 m ; max 54,41 m ; modèle 54 × 41 m ; niveaux 0. Détails dans catalogue-existant.json.</x:v>
      </x:c>
    </x:row>
    <x:row r="2736">
      <x:c r="A2736" t="str">
        <x:v>DW-2731</x:v>
      </x:c>
      <x:c r="B2736" t="str">
        <x:v>DW-0866</x:v>
      </x:c>
      <x:c r="C2736" t="str">
        <x:v>Composition héritée</x:v>
      </x:c>
      <x:c r="D2736" t="str">
        <x:v>militaire</x:v>
      </x:c>
      <x:c r="E2736" t="str">
        <x:v>Site radar — variante 06 — Camp hostile / arrêt de maintenance</x:v>
      </x:c>
      <x:c r="F2736" t="n">
        <x:v>10</x:v>
      </x:c>
      <x:c r="G2736" t="n">
        <x:v>5</x:v>
      </x:c>
      <x:c r="H2736" t="n">
        <x:v>0</x:v>
      </x:c>
      <x:c r="I2736" t="str">
        <x:v>À qualifier par lieu</x:v>
      </x:c>
      <x:c r="J2736" t="str">
        <x:v>https://github.com/darknigthmare/deadwall-last-enclosure/blob/e28f46223e73105ab2c5d83f3d50b99b58ef53e6/codex-3000/compositions/militaire/DW-2731.md</x:v>
      </x:c>
      <x:c r="K2736" t="str">
        <x:v>Source min 65,58 m ; max 65,58 m ; modèle 65 × 58 m ; niveaux 0. Détails dans catalogue-existant.json.</x:v>
      </x:c>
    </x:row>
    <x:row r="2737">
      <x:c r="A2737" t="str">
        <x:v>DW-2732</x:v>
      </x:c>
      <x:c r="B2737" t="str">
        <x:v>DW-0866</x:v>
      </x:c>
      <x:c r="C2737" t="str">
        <x:v>Composition héritée</x:v>
      </x:c>
      <x:c r="D2737" t="str">
        <x:v>militaire</x:v>
      </x:c>
      <x:c r="E2737" t="str">
        <x:v>Site radar — variante 06 — Centre d’évacuation abandonné / reprise progressive de la végétation</x:v>
      </x:c>
      <x:c r="F2737" t="n">
        <x:v>8</x:v>
      </x:c>
      <x:c r="G2737" t="n">
        <x:v>5</x:v>
      </x:c>
      <x:c r="H2737" t="n">
        <x:v>0</x:v>
      </x:c>
      <x:c r="I2737" t="str">
        <x:v>À qualifier par lieu</x:v>
      </x:c>
      <x:c r="J2737" t="str">
        <x:v>https://github.com/darknigthmare/deadwall-last-enclosure/blob/e28f46223e73105ab2c5d83f3d50b99b58ef53e6/codex-3000/compositions/militaire/DW-2732.md</x:v>
      </x:c>
      <x:c r="K2737" t="str">
        <x:v>Source min 65,58 m ; max 65,58 m ; modèle 65 × 58 m ; niveaux 0. Détails dans catalogue-existant.json.</x:v>
      </x:c>
    </x:row>
    <x:row r="2738">
      <x:c r="A2738" t="str">
        <x:v>DW-2733</x:v>
      </x:c>
      <x:c r="B2738" t="str">
        <x:v>DW-0867</x:v>
      </x:c>
      <x:c r="C2738" t="str">
        <x:v>Composition héritée</x:v>
      </x:c>
      <x:c r="D2738" t="str">
        <x:v>militaire</x:v>
      </x:c>
      <x:c r="E2738" t="str">
        <x:v>Batterie côtière — variante 06 — Camp de fortune / première récupération passée</x:v>
      </x:c>
      <x:c r="F2738" t="n">
        <x:v>8</x:v>
      </x:c>
      <x:c r="G2738" t="n">
        <x:v>4</x:v>
      </x:c>
      <x:c r="H2738" t="n">
        <x:v>0</x:v>
      </x:c>
      <x:c r="I2738" t="str">
        <x:v>À qualifier par lieu</x:v>
      </x:c>
      <x:c r="J2738" t="str">
        <x:v>https://github.com/darknigthmare/deadwall-last-enclosure/blob/e28f46223e73105ab2c5d83f3d50b99b58ef53e6/codex-3000/compositions/militaire/DW-2733.md</x:v>
      </x:c>
      <x:c r="K2738" t="str">
        <x:v>Source min 76,21 m ; max 76,21 m ; modèle 76 × 21 m ; niveaux 0. Détails dans catalogue-existant.json.</x:v>
      </x:c>
    </x:row>
    <x:row r="2739">
      <x:c r="A2739" t="str">
        <x:v>DW-2734</x:v>
      </x:c>
      <x:c r="B2739" t="str">
        <x:v>DW-0867</x:v>
      </x:c>
      <x:c r="C2739" t="str">
        <x:v>Composition héritée</x:v>
      </x:c>
      <x:c r="D2739" t="str">
        <x:v>militaire</x:v>
      </x:c>
      <x:c r="E2739" t="str">
        <x:v>Batterie côtière — variante 06 — Grand camp allié / relais temporaire envisagé</x:v>
      </x:c>
      <x:c r="F2739" t="n">
        <x:v>10</x:v>
      </x:c>
      <x:c r="G2739" t="n">
        <x:v>4</x:v>
      </x:c>
      <x:c r="H2739" t="n">
        <x:v>0</x:v>
      </x:c>
      <x:c r="I2739" t="str">
        <x:v>À qualifier par lieu</x:v>
      </x:c>
      <x:c r="J2739" t="str">
        <x:v>https://github.com/darknigthmare/deadwall-last-enclosure/blob/e28f46223e73105ab2c5d83f3d50b99b58ef53e6/codex-3000/compositions/militaire/DW-2734.md</x:v>
      </x:c>
      <x:c r="K2739" t="str">
        <x:v>Source min 76,21 m ; max 76,21 m ; modèle 76 × 21 m ; niveaux 0. Détails dans catalogue-existant.json.</x:v>
      </x:c>
    </x:row>
    <x:row r="2740">
      <x:c r="A2740" t="str">
        <x:v>DW-2735</x:v>
      </x:c>
      <x:c r="B2740" t="str">
        <x:v>DW-0868</x:v>
      </x:c>
      <x:c r="C2740" t="str">
        <x:v>Composition héritée</x:v>
      </x:c>
      <x:c r="D2740" t="str">
        <x:v>militaire</x:v>
      </x:c>
      <x:c r="E2740" t="str">
        <x:v>Dépôt carburant sécurisé — variante 06 — Centre d’évacuation abandonné / service déplacé à l’arrière</x:v>
      </x:c>
      <x:c r="F2740" t="n">
        <x:v>8</x:v>
      </x:c>
      <x:c r="G2740" t="n">
        <x:v>5</x:v>
      </x:c>
      <x:c r="H2740" t="n">
        <x:v>0</x:v>
      </x:c>
      <x:c r="I2740" t="str">
        <x:v>À qualifier par lieu</x:v>
      </x:c>
      <x:c r="J2740" t="str">
        <x:v>https://github.com/darknigthmare/deadwall-last-enclosure/blob/e28f46223e73105ab2c5d83f3d50b99b58ef53e6/codex-3000/compositions/militaire/DW-2735.md</x:v>
      </x:c>
      <x:c r="K2740" t="str">
        <x:v>Source min 15,38 m ; max 15,38 m ; modèle 26 × 38 m ; niveaux 0. Détails dans catalogue-existant.json.</x:v>
      </x:c>
    </x:row>
    <x:row r="2741">
      <x:c r="A2741" t="str">
        <x:v>DW-2736</x:v>
      </x:c>
      <x:c r="B2741" t="str">
        <x:v>DW-0868</x:v>
      </x:c>
      <x:c r="C2741" t="str">
        <x:v>Composition héritée</x:v>
      </x:c>
      <x:c r="D2741" t="str">
        <x:v>militaire</x:v>
      </x:c>
      <x:c r="E2741" t="str">
        <x:v>Dépôt carburant sécurisé — variante 06 — Camp hostile / réseau principal coupé</x:v>
      </x:c>
      <x:c r="F2741" t="n">
        <x:v>10</x:v>
      </x:c>
      <x:c r="G2741" t="n">
        <x:v>5</x:v>
      </x:c>
      <x:c r="H2741" t="n">
        <x:v>0</x:v>
      </x:c>
      <x:c r="I2741" t="str">
        <x:v>À qualifier par lieu</x:v>
      </x:c>
      <x:c r="J2741" t="str">
        <x:v>https://github.com/darknigthmare/deadwall-last-enclosure/blob/e28f46223e73105ab2c5d83f3d50b99b58ef53e6/codex-3000/compositions/militaire/DW-2736.md</x:v>
      </x:c>
      <x:c r="K2741" t="str">
        <x:v>Source min 15,38 m ; max 15,38 m ; modèle 26 × 38 m ; niveaux 0. Détails dans catalogue-existant.json.</x:v>
      </x:c>
    </x:row>
    <x:row r="2742">
      <x:c r="A2742" t="str">
        <x:v>DW-2737</x:v>
      </x:c>
      <x:c r="B2742" t="str">
        <x:v>DW-0869</x:v>
      </x:c>
      <x:c r="C2742" t="str">
        <x:v>Composition héritée</x:v>
      </x:c>
      <x:c r="D2742" t="str">
        <x:v>transport</x:v>
      </x:c>
      <x:c r="E2742" t="str">
        <x:v>Gare routière — variante 06 — Station-service et aire routière / reprise progressive de la végétation</x:v>
      </x:c>
      <x:c r="F2742" t="n">
        <x:v>8</x:v>
      </x:c>
      <x:c r="G2742" t="n">
        <x:v>5</x:v>
      </x:c>
      <x:c r="H2742" t="n">
        <x:v>0</x:v>
      </x:c>
      <x:c r="I2742" t="str">
        <x:v>À qualifier par lieu</x:v>
      </x:c>
      <x:c r="J2742" t="str">
        <x:v>https://github.com/darknigthmare/deadwall-last-enclosure/blob/e28f46223e73105ab2c5d83f3d50b99b58ef53e6/codex-3000/compositions/transport/DW-2737.md</x:v>
      </x:c>
      <x:c r="K2742" t="str">
        <x:v>Source min 26,55 m ; max 26,55 m ; modèle 26 × 55 m ; niveaux 0. Détails dans catalogue-existant.json.</x:v>
      </x:c>
    </x:row>
    <x:row r="2743">
      <x:c r="A2743" t="str">
        <x:v>DW-2738</x:v>
      </x:c>
      <x:c r="B2743" t="str">
        <x:v>DW-0869</x:v>
      </x:c>
      <x:c r="C2743" t="str">
        <x:v>Composition héritée</x:v>
      </x:c>
      <x:c r="D2743" t="str">
        <x:v>transport</x:v>
      </x:c>
      <x:c r="E2743" t="str">
        <x:v>Gare routière — variante 06 — Port marchand / repli organisé interrompu</x:v>
      </x:c>
      <x:c r="F2743" t="n">
        <x:v>10</x:v>
      </x:c>
      <x:c r="G2743" t="n">
        <x:v>5</x:v>
      </x:c>
      <x:c r="H2743" t="n">
        <x:v>0</x:v>
      </x:c>
      <x:c r="I2743" t="str">
        <x:v>À qualifier par lieu</x:v>
      </x:c>
      <x:c r="J2743" t="str">
        <x:v>https://github.com/darknigthmare/deadwall-last-enclosure/blob/e28f46223e73105ab2c5d83f3d50b99b58ef53e6/codex-3000/compositions/transport/DW-2738.md</x:v>
      </x:c>
      <x:c r="K2743" t="str">
        <x:v>Source min 26,55 m ; max 26,55 m ; modèle 26 × 55 m ; niveaux 0. Détails dans catalogue-existant.json.</x:v>
      </x:c>
    </x:row>
    <x:row r="2744">
      <x:c r="A2744" t="str">
        <x:v>DW-2739</x:v>
      </x:c>
      <x:c r="B2744" t="str">
        <x:v>DW-0870</x:v>
      </x:c>
      <x:c r="C2744" t="str">
        <x:v>Composition héritée</x:v>
      </x:c>
      <x:c r="D2744" t="str">
        <x:v>transport</x:v>
      </x:c>
      <x:c r="E2744" t="str">
        <x:v>Dépôt de bus — variante 06 — Gare et fret / relais temporaire envisagé</x:v>
      </x:c>
      <x:c r="F2744" t="n">
        <x:v>10</x:v>
      </x:c>
      <x:c r="G2744" t="n">
        <x:v>5</x:v>
      </x:c>
      <x:c r="H2744" t="n">
        <x:v>0</x:v>
      </x:c>
      <x:c r="I2744" t="str">
        <x:v>À qualifier par lieu</x:v>
      </x:c>
      <x:c r="J2744" t="str">
        <x:v>https://github.com/darknigthmare/deadwall-last-enclosure/blob/e28f46223e73105ab2c5d83f3d50b99b58ef53e6/codex-3000/compositions/transport/DW-2739.md</x:v>
      </x:c>
      <x:c r="K2744" t="str">
        <x:v>Source min 37,18 m ; max 37,18 m ; modèle 37 × 22 m ; niveaux 0. Détails dans catalogue-existant.json.</x:v>
      </x:c>
    </x:row>
    <x:row r="2745">
      <x:c r="A2745" t="str">
        <x:v>DW-2740</x:v>
      </x:c>
      <x:c r="B2745" t="str">
        <x:v>DW-0870</x:v>
      </x:c>
      <x:c r="C2745" t="str">
        <x:v>Composition héritée</x:v>
      </x:c>
      <x:c r="D2745" t="str">
        <x:v>transport</x:v>
      </x:c>
      <x:c r="E2745" t="str">
        <x:v>Dépôt de bus — variante 06 — Routes et coutures territoriales / évacuation interrompue</x:v>
      </x:c>
      <x:c r="F2745" t="n">
        <x:v>10</x:v>
      </x:c>
      <x:c r="G2745" t="n">
        <x:v>5</x:v>
      </x:c>
      <x:c r="H2745" t="n">
        <x:v>0</x:v>
      </x:c>
      <x:c r="I2745" t="str">
        <x:v>À qualifier par lieu</x:v>
      </x:c>
      <x:c r="J2745" t="str">
        <x:v>https://github.com/darknigthmare/deadwall-last-enclosure/blob/e28f46223e73105ab2c5d83f3d50b99b58ef53e6/codex-3000/compositions/transport/DW-2740.md</x:v>
      </x:c>
      <x:c r="K2745" t="str">
        <x:v>Source min 37,18 m ; max 37,18 m ; modèle 37 × 22 m ; niveaux 0. Détails dans catalogue-existant.json.</x:v>
      </x:c>
    </x:row>
    <x:row r="2746">
      <x:c r="A2746" t="str">
        <x:v>DW-2741</x:v>
      </x:c>
      <x:c r="B2746" t="str">
        <x:v>DW-0871</x:v>
      </x:c>
      <x:c r="C2746" t="str">
        <x:v>Composition héritée</x:v>
      </x:c>
      <x:c r="D2746" t="str">
        <x:v>transport</x:v>
      </x:c>
      <x:c r="E2746" t="str">
        <x:v>Gare ferroviaire — variante 06 — Port marchand / réseau principal coupé</x:v>
      </x:c>
      <x:c r="F2746" t="n">
        <x:v>10</x:v>
      </x:c>
      <x:c r="G2746" t="n">
        <x:v>5</x:v>
      </x:c>
      <x:c r="H2746" t="n">
        <x:v>0</x:v>
      </x:c>
      <x:c r="I2746" t="str">
        <x:v>À qualifier par lieu</x:v>
      </x:c>
      <x:c r="J2746" t="str">
        <x:v>https://github.com/darknigthmare/deadwall-last-enclosure/blob/e28f46223e73105ab2c5d83f3d50b99b58ef53e6/codex-3000/compositions/transport/DW-2741.md</x:v>
      </x:c>
      <x:c r="K2746" t="str">
        <x:v>Source min 48,35 m ; max 48,35 m ; modèle 48 × 35 m ; niveaux 0. Détails dans catalogue-existant.json.</x:v>
      </x:c>
    </x:row>
    <x:row r="2747">
      <x:c r="A2747" t="str">
        <x:v>DW-2742</x:v>
      </x:c>
      <x:c r="B2747" t="str">
        <x:v>DW-0871</x:v>
      </x:c>
      <x:c r="C2747" t="str">
        <x:v>Composition héritée</x:v>
      </x:c>
      <x:c r="D2747" t="str">
        <x:v>transport</x:v>
      </x:c>
      <x:c r="E2747" t="str">
        <x:v>Gare ferroviaire — variante 06 — Station-service et aire routière / arrêt de maintenance</x:v>
      </x:c>
      <x:c r="F2747" t="n">
        <x:v>8</x:v>
      </x:c>
      <x:c r="G2747" t="n">
        <x:v>5</x:v>
      </x:c>
      <x:c r="H2747" t="n">
        <x:v>0</x:v>
      </x:c>
      <x:c r="I2747" t="str">
        <x:v>À qualifier par lieu</x:v>
      </x:c>
      <x:c r="J2747" t="str">
        <x:v>https://github.com/darknigthmare/deadwall-last-enclosure/blob/e28f46223e73105ab2c5d83f3d50b99b58ef53e6/codex-3000/compositions/transport/DW-2742.md</x:v>
      </x:c>
      <x:c r="K2747" t="str">
        <x:v>Source min 48,35 m ; max 48,35 m ; modèle 48 × 35 m ; niveaux 0. Détails dans catalogue-existant.json.</x:v>
      </x:c>
    </x:row>
    <x:row r="2748">
      <x:c r="A2748" t="str">
        <x:v>DW-2743</x:v>
      </x:c>
      <x:c r="B2748" t="str">
        <x:v>DW-0872</x:v>
      </x:c>
      <x:c r="C2748" t="str">
        <x:v>Composition héritée</x:v>
      </x:c>
      <x:c r="D2748" t="str">
        <x:v>transport</x:v>
      </x:c>
      <x:c r="E2748" t="str">
        <x:v>Aire d'autoroute — variante 06 — Routes et coutures territoriales / repli organisé interrompu</x:v>
      </x:c>
      <x:c r="F2748" t="n">
        <x:v>10</x:v>
      </x:c>
      <x:c r="G2748" t="n">
        <x:v>5</x:v>
      </x:c>
      <x:c r="H2748" t="n">
        <x:v>0</x:v>
      </x:c>
      <x:c r="I2748" t="str">
        <x:v>À qualifier par lieu</x:v>
      </x:c>
      <x:c r="J2748" t="str">
        <x:v>https://github.com/darknigthmare/deadwall-last-enclosure/blob/e28f46223e73105ab2c5d83f3d50b99b58ef53e6/codex-3000/compositions/transport/DW-2743.md</x:v>
      </x:c>
      <x:c r="K2748" t="str">
        <x:v>Source min 59,52 m ; max 59,52 m ; modèle 59 × 52 m ; niveaux 0. Détails dans catalogue-existant.json.</x:v>
      </x:c>
    </x:row>
    <x:row r="2749">
      <x:c r="A2749" t="str">
        <x:v>DW-2744</x:v>
      </x:c>
      <x:c r="B2749" t="str">
        <x:v>DW-0872</x:v>
      </x:c>
      <x:c r="C2749" t="str">
        <x:v>Composition héritée</x:v>
      </x:c>
      <x:c r="D2749" t="str">
        <x:v>transport</x:v>
      </x:c>
      <x:c r="E2749" t="str">
        <x:v>Aire d'autoroute — variante 06 — Gare et fret / première récupération passée</x:v>
      </x:c>
      <x:c r="F2749" t="n">
        <x:v>10</x:v>
      </x:c>
      <x:c r="G2749" t="n">
        <x:v>5</x:v>
      </x:c>
      <x:c r="H2749" t="n">
        <x:v>0</x:v>
      </x:c>
      <x:c r="I2749" t="str">
        <x:v>À qualifier par lieu</x:v>
      </x:c>
      <x:c r="J2749" t="str">
        <x:v>https://github.com/darknigthmare/deadwall-last-enclosure/blob/e28f46223e73105ab2c5d83f3d50b99b58ef53e6/codex-3000/compositions/transport/DW-2744.md</x:v>
      </x:c>
      <x:c r="K2749" t="str">
        <x:v>Source min 59,52 m ; max 59,52 m ; modèle 59 × 52 m ; niveaux 0. Détails dans catalogue-existant.json.</x:v>
      </x:c>
    </x:row>
    <x:row r="2750">
      <x:c r="A2750" t="str">
        <x:v>DW-2745</x:v>
      </x:c>
      <x:c r="B2750" t="str">
        <x:v>DW-0873</x:v>
      </x:c>
      <x:c r="C2750" t="str">
        <x:v>Composition héritée</x:v>
      </x:c>
      <x:c r="D2750" t="str">
        <x:v>transport</x:v>
      </x:c>
      <x:c r="E2750" t="str">
        <x:v>Parking silo — variante 06 — Station-service et aire routière / évacuation interrompue</x:v>
      </x:c>
      <x:c r="F2750" t="n">
        <x:v>8</x:v>
      </x:c>
      <x:c r="G2750" t="n">
        <x:v>4</x:v>
      </x:c>
      <x:c r="H2750" t="n">
        <x:v>0</x:v>
      </x:c>
      <x:c r="I2750" t="str">
        <x:v>À qualifier par lieu</x:v>
      </x:c>
      <x:c r="J2750" t="str">
        <x:v>https://github.com/darknigthmare/deadwall-last-enclosure/blob/e28f46223e73105ab2c5d83f3d50b99b58ef53e6/codex-3000/compositions/transport/DW-2745.md</x:v>
      </x:c>
      <x:c r="K2750" t="str">
        <x:v>Source min 70,15 m ; max 70,15 m ; modèle 70 × 18 m ; niveaux 0. Détails dans catalogue-existant.json.</x:v>
      </x:c>
    </x:row>
    <x:row r="2751">
      <x:c r="A2751" t="str">
        <x:v>DW-2746</x:v>
      </x:c>
      <x:c r="B2751" t="str">
        <x:v>DW-0873</x:v>
      </x:c>
      <x:c r="C2751" t="str">
        <x:v>Composition héritée</x:v>
      </x:c>
      <x:c r="D2751" t="str">
        <x:v>transport</x:v>
      </x:c>
      <x:c r="E2751" t="str">
        <x:v>Parking silo — variante 06 — Port marchand / service déplacé à l’arrière</x:v>
      </x:c>
      <x:c r="F2751" t="n">
        <x:v>10</x:v>
      </x:c>
      <x:c r="G2751" t="n">
        <x:v>4</x:v>
      </x:c>
      <x:c r="H2751" t="n">
        <x:v>0</x:v>
      </x:c>
      <x:c r="I2751" t="str">
        <x:v>À qualifier par lieu</x:v>
      </x:c>
      <x:c r="J2751" t="str">
        <x:v>https://github.com/darknigthmare/deadwall-last-enclosure/blob/e28f46223e73105ab2c5d83f3d50b99b58ef53e6/codex-3000/compositions/transport/DW-2746.md</x:v>
      </x:c>
      <x:c r="K2751" t="str">
        <x:v>Source min 70,15 m ; max 70,15 m ; modèle 70 × 18 m ; niveaux 0. Détails dans catalogue-existant.json.</x:v>
      </x:c>
    </x:row>
    <x:row r="2752">
      <x:c r="A2752" t="str">
        <x:v>DW-2747</x:v>
      </x:c>
      <x:c r="B2752" t="str">
        <x:v>DW-0874</x:v>
      </x:c>
      <x:c r="C2752" t="str">
        <x:v>Composition héritée</x:v>
      </x:c>
      <x:c r="D2752" t="str">
        <x:v>transport</x:v>
      </x:c>
      <x:c r="E2752" t="str">
        <x:v>Terminal poids lourds — variante 06 — Gare et fret / arrêt de maintenance</x:v>
      </x:c>
      <x:c r="F2752" t="n">
        <x:v>10</x:v>
      </x:c>
      <x:c r="G2752" t="n">
        <x:v>5</x:v>
      </x:c>
      <x:c r="H2752" t="n">
        <x:v>0</x:v>
      </x:c>
      <x:c r="I2752" t="str">
        <x:v>À qualifier par lieu</x:v>
      </x:c>
      <x:c r="J2752" t="str">
        <x:v>https://github.com/darknigthmare/deadwall-last-enclosure/blob/e28f46223e73105ab2c5d83f3d50b99b58ef53e6/codex-3000/compositions/transport/DW-2747.md</x:v>
      </x:c>
      <x:c r="K2752" t="str">
        <x:v>Source min 81,32 m ; max 81,32 m ; modèle 78 × 32 m ; niveaux 0. Détails dans catalogue-existant.json.</x:v>
      </x:c>
    </x:row>
    <x:row r="2753">
      <x:c r="A2753" t="str">
        <x:v>DW-2748</x:v>
      </x:c>
      <x:c r="B2753" t="str">
        <x:v>DW-0874</x:v>
      </x:c>
      <x:c r="C2753" t="str">
        <x:v>Composition héritée</x:v>
      </x:c>
      <x:c r="D2753" t="str">
        <x:v>transport</x:v>
      </x:c>
      <x:c r="E2753" t="str">
        <x:v>Terminal poids lourds — variante 06 — Routes et coutures territoriales / reprise progressive de la végétation</x:v>
      </x:c>
      <x:c r="F2753" t="n">
        <x:v>10</x:v>
      </x:c>
      <x:c r="G2753" t="n">
        <x:v>5</x:v>
      </x:c>
      <x:c r="H2753" t="n">
        <x:v>0</x:v>
      </x:c>
      <x:c r="I2753" t="str">
        <x:v>À qualifier par lieu</x:v>
      </x:c>
      <x:c r="J2753" t="str">
        <x:v>https://github.com/darknigthmare/deadwall-last-enclosure/blob/e28f46223e73105ab2c5d83f3d50b99b58ef53e6/codex-3000/compositions/transport/DW-2748.md</x:v>
      </x:c>
      <x:c r="K2753" t="str">
        <x:v>Source min 81,32 m ; max 81,32 m ; modèle 78 × 32 m ; niveaux 0. Détails dans catalogue-existant.json.</x:v>
      </x:c>
    </x:row>
    <x:row r="2754">
      <x:c r="A2754" t="str">
        <x:v>DW-2749</x:v>
      </x:c>
      <x:c r="B2754" t="str">
        <x:v>DW-0875</x:v>
      </x:c>
      <x:c r="C2754" t="str">
        <x:v>Composition héritée</x:v>
      </x:c>
      <x:c r="D2754" t="str">
        <x:v>transport</x:v>
      </x:c>
      <x:c r="E2754" t="str">
        <x:v>Port de plaisance — variante 06 — Port marchand / première récupération passée</x:v>
      </x:c>
      <x:c r="F2754" t="n">
        <x:v>10</x:v>
      </x:c>
      <x:c r="G2754" t="n">
        <x:v>5</x:v>
      </x:c>
      <x:c r="H2754" t="n">
        <x:v>0</x:v>
      </x:c>
      <x:c r="I2754" t="str">
        <x:v>À qualifier par lieu</x:v>
      </x:c>
      <x:c r="J2754" t="str">
        <x:v>https://github.com/darknigthmare/deadwall-last-enclosure/blob/e28f46223e73105ab2c5d83f3d50b99b58ef53e6/codex-3000/compositions/transport/DW-2749.md</x:v>
      </x:c>
      <x:c r="K2754" t="str">
        <x:v>Source min 20,49 m ; max 20,49 m ; modèle 26 × 49 m ; niveaux 0. Détails dans catalogue-existant.json.</x:v>
      </x:c>
    </x:row>
    <x:row r="2755">
      <x:c r="A2755" t="str">
        <x:v>DW-2750</x:v>
      </x:c>
      <x:c r="B2755" t="str">
        <x:v>DW-0875</x:v>
      </x:c>
      <x:c r="C2755" t="str">
        <x:v>Composition héritée</x:v>
      </x:c>
      <x:c r="D2755" t="str">
        <x:v>transport</x:v>
      </x:c>
      <x:c r="E2755" t="str">
        <x:v>Port de plaisance — variante 06 — Station-service et aire routière / relais temporaire envisagé</x:v>
      </x:c>
      <x:c r="F2755" t="n">
        <x:v>8</x:v>
      </x:c>
      <x:c r="G2755" t="n">
        <x:v>5</x:v>
      </x:c>
      <x:c r="H2755" t="n">
        <x:v>0</x:v>
      </x:c>
      <x:c r="I2755" t="str">
        <x:v>À qualifier par lieu</x:v>
      </x:c>
      <x:c r="J2755" t="str">
        <x:v>https://github.com/darknigthmare/deadwall-last-enclosure/blob/e28f46223e73105ab2c5d83f3d50b99b58ef53e6/codex-3000/compositions/transport/DW-2750.md</x:v>
      </x:c>
      <x:c r="K2755" t="str">
        <x:v>Source min 20,49 m ; max 20,49 m ; modèle 26 × 49 m ; niveaux 0. Détails dans catalogue-existant.json.</x:v>
      </x:c>
    </x:row>
    <x:row r="2756">
      <x:c r="A2756" t="str">
        <x:v>DW-2751</x:v>
      </x:c>
      <x:c r="B2756" t="str">
        <x:v>DW-0876</x:v>
      </x:c>
      <x:c r="C2756" t="str">
        <x:v>Composition héritée</x:v>
      </x:c>
      <x:c r="D2756" t="str">
        <x:v>transport</x:v>
      </x:c>
      <x:c r="E2756" t="str">
        <x:v>Petit aérodrome — variante 06 — Routes et coutures territoriales / service déplacé à l’arrière</x:v>
      </x:c>
      <x:c r="F2756" t="n">
        <x:v>10</x:v>
      </x:c>
      <x:c r="G2756" t="n">
        <x:v>5</x:v>
      </x:c>
      <x:c r="H2756" t="n">
        <x:v>0</x:v>
      </x:c>
      <x:c r="I2756" t="str">
        <x:v>À qualifier par lieu</x:v>
      </x:c>
      <x:c r="J2756" t="str">
        <x:v>https://github.com/darknigthmare/deadwall-last-enclosure/blob/e28f46223e73105ab2c5d83f3d50b99b58ef53e6/codex-3000/compositions/transport/DW-2751.md</x:v>
      </x:c>
      <x:c r="K2756" t="str">
        <x:v>Source min 31,12 m ; max 31,12 m ; modèle 31 × 22 m ; niveaux 0. Détails dans catalogue-existant.json.</x:v>
      </x:c>
    </x:row>
    <x:row r="2757">
      <x:c r="A2757" t="str">
        <x:v>DW-2752</x:v>
      </x:c>
      <x:c r="B2757" t="str">
        <x:v>DW-0876</x:v>
      </x:c>
      <x:c r="C2757" t="str">
        <x:v>Composition héritée</x:v>
      </x:c>
      <x:c r="D2757" t="str">
        <x:v>transport</x:v>
      </x:c>
      <x:c r="E2757" t="str">
        <x:v>Petit aérodrome — variante 06 — Gare et fret / réseau principal coupé</x:v>
      </x:c>
      <x:c r="F2757" t="n">
        <x:v>10</x:v>
      </x:c>
      <x:c r="G2757" t="n">
        <x:v>5</x:v>
      </x:c>
      <x:c r="H2757" t="n">
        <x:v>0</x:v>
      </x:c>
      <x:c r="I2757" t="str">
        <x:v>À qualifier par lieu</x:v>
      </x:c>
      <x:c r="J2757" t="str">
        <x:v>https://github.com/darknigthmare/deadwall-last-enclosure/blob/e28f46223e73105ab2c5d83f3d50b99b58ef53e6/codex-3000/compositions/transport/DW-2752.md</x:v>
      </x:c>
      <x:c r="K2757" t="str">
        <x:v>Source min 31,12 m ; max 31,12 m ; modèle 31 × 22 m ; niveaux 0. Détails dans catalogue-existant.json.</x:v>
      </x:c>
    </x:row>
    <x:row r="2758">
      <x:c r="A2758" t="str">
        <x:v>DW-2753</x:v>
      </x:c>
      <x:c r="B2758" t="str">
        <x:v>DW-0877</x:v>
      </x:c>
      <x:c r="C2758" t="str">
        <x:v>Composition héritée</x:v>
      </x:c>
      <x:c r="D2758" t="str">
        <x:v>ruines</x:v>
      </x:c>
      <x:c r="E2758" t="str">
        <x:v>Maison incendiée — variante 06 — Ruine envahie et reprise végétale / reprise progressive de la végétation</x:v>
      </x:c>
      <x:c r="F2758" t="n">
        <x:v>8</x:v>
      </x:c>
      <x:c r="G2758" t="n">
        <x:v>3</x:v>
      </x:c>
      <x:c r="H2758" t="n">
        <x:v>0</x:v>
      </x:c>
      <x:c r="I2758" t="str">
        <x:v>À qualifier par lieu</x:v>
      </x:c>
      <x:c r="J2758" t="str">
        <x:v>https://github.com/darknigthmare/deadwall-last-enclosure/blob/e28f46223e73105ab2c5d83f3d50b99b58ef53e6/codex-3000/compositions/ruines/DW-2753.md</x:v>
      </x:c>
      <x:c r="K2758" t="str">
        <x:v>Source min 42,29 m ; max 42,29 m ; modèle 42 × 29 m ; niveaux 0, 1. Détails dans catalogue-existant.json.</x:v>
      </x:c>
    </x:row>
    <x:row r="2759">
      <x:c r="A2759" t="str">
        <x:v>DW-2754</x:v>
      </x:c>
      <x:c r="B2759" t="str">
        <x:v>DW-0877</x:v>
      </x:c>
      <x:c r="C2759" t="str">
        <x:v>Composition héritée</x:v>
      </x:c>
      <x:c r="D2759" t="str">
        <x:v>ruines</x:v>
      </x:c>
      <x:c r="E2759" t="str">
        <x:v>Maison incendiée — variante 06 — Zone industrielle / repli organisé interrompu</x:v>
      </x:c>
      <x:c r="F2759" t="n">
        <x:v>8</x:v>
      </x:c>
      <x:c r="G2759" t="n">
        <x:v>3</x:v>
      </x:c>
      <x:c r="H2759" t="n">
        <x:v>0</x:v>
      </x:c>
      <x:c r="I2759" t="str">
        <x:v>À qualifier par lieu</x:v>
      </x:c>
      <x:c r="J2759" t="str">
        <x:v>https://github.com/darknigthmare/deadwall-last-enclosure/blob/e28f46223e73105ab2c5d83f3d50b99b58ef53e6/codex-3000/compositions/ruines/DW-2754.md</x:v>
      </x:c>
      <x:c r="K2759" t="str">
        <x:v>Source min 42,29 m ; max 42,29 m ; modèle 42 × 29 m ; niveaux 0, 1. Détails dans catalogue-existant.json.</x:v>
      </x:c>
    </x:row>
    <x:row r="2760">
      <x:c r="A2760" t="str">
        <x:v>DW-2755</x:v>
      </x:c>
      <x:c r="B2760" t="str">
        <x:v>DW-0878</x:v>
      </x:c>
      <x:c r="C2760" t="str">
        <x:v>Composition héritée</x:v>
      </x:c>
      <x:c r="D2760" t="str">
        <x:v>ruines</x:v>
      </x:c>
      <x:c r="E2760" t="str">
        <x:v>Immeuble éventré — variante 06 — Centre ancien / relais temporaire envisagé</x:v>
      </x:c>
      <x:c r="F2760" t="n">
        <x:v>8</x:v>
      </x:c>
      <x:c r="G2760" t="n">
        <x:v>4</x:v>
      </x:c>
      <x:c r="H2760" t="n">
        <x:v>0</x:v>
      </x:c>
      <x:c r="I2760" t="str">
        <x:v>À qualifier par lieu</x:v>
      </x:c>
      <x:c r="J2760" t="str">
        <x:v>https://github.com/darknigthmare/deadwall-last-enclosure/blob/e28f46223e73105ab2c5d83f3d50b99b58ef53e6/codex-3000/compositions/ruines/DW-2755.md</x:v>
      </x:c>
      <x:c r="K2760" t="str">
        <x:v>Source min 53,46 m ; max 53,46 m ; modèle 53 × 46 m ; niveaux 0, 1, 2. Détails dans catalogue-existant.json.</x:v>
      </x:c>
    </x:row>
    <x:row r="2761">
      <x:c r="A2761" t="str">
        <x:v>DW-2756</x:v>
      </x:c>
      <x:c r="B2761" t="str">
        <x:v>DW-0878</x:v>
      </x:c>
      <x:c r="C2761" t="str">
        <x:v>Composition héritée</x:v>
      </x:c>
      <x:c r="D2761" t="str">
        <x:v>ruines</x:v>
      </x:c>
      <x:c r="E2761" t="str">
        <x:v>Immeuble éventré — variante 06 — Petit bois et lisière / évacuation interrompue</x:v>
      </x:c>
      <x:c r="F2761" t="n">
        <x:v>8</x:v>
      </x:c>
      <x:c r="G2761" t="n">
        <x:v>4</x:v>
      </x:c>
      <x:c r="H2761" t="n">
        <x:v>0</x:v>
      </x:c>
      <x:c r="I2761" t="str">
        <x:v>À qualifier par lieu</x:v>
      </x:c>
      <x:c r="J2761" t="str">
        <x:v>https://github.com/darknigthmare/deadwall-last-enclosure/blob/e28f46223e73105ab2c5d83f3d50b99b58ef53e6/codex-3000/compositions/ruines/DW-2756.md</x:v>
      </x:c>
      <x:c r="K2761" t="str">
        <x:v>Source min 53,46 m ; max 53,46 m ; modèle 53 × 46 m ; niveaux 0, 1, 2. Détails dans catalogue-existant.json.</x:v>
      </x:c>
    </x:row>
    <x:row r="2762">
      <x:c r="A2762" t="str">
        <x:v>DW-2757</x:v>
      </x:c>
      <x:c r="B2762" t="str">
        <x:v>DW-0879</x:v>
      </x:c>
      <x:c r="C2762" t="str">
        <x:v>Composition héritée</x:v>
      </x:c>
      <x:c r="D2762" t="str">
        <x:v>ruines</x:v>
      </x:c>
      <x:c r="E2762" t="str">
        <x:v>Commerce pillé — variante 06 — Zone industrielle / réseau principal coupé</x:v>
      </x:c>
      <x:c r="F2762" t="n">
        <x:v>8</x:v>
      </x:c>
      <x:c r="G2762" t="n">
        <x:v>4</x:v>
      </x:c>
      <x:c r="H2762" t="n">
        <x:v>0</x:v>
      </x:c>
      <x:c r="I2762" t="str">
        <x:v>À qualifier par lieu</x:v>
      </x:c>
      <x:c r="J2762" t="str">
        <x:v>https://github.com/darknigthmare/deadwall-last-enclosure/blob/e28f46223e73105ab2c5d83f3d50b99b58ef53e6/codex-3000/compositions/ruines/DW-2757.md</x:v>
      </x:c>
      <x:c r="K2762" t="str">
        <x:v>Source min 64,9 m ; max 64,9 m ; modèle 64 × 18 m ; niveaux 0. Détails dans catalogue-existant.json.</x:v>
      </x:c>
    </x:row>
    <x:row r="2763">
      <x:c r="A2763" t="str">
        <x:v>DW-2758</x:v>
      </x:c>
      <x:c r="B2763" t="str">
        <x:v>DW-0879</x:v>
      </x:c>
      <x:c r="C2763" t="str">
        <x:v>Composition héritée</x:v>
      </x:c>
      <x:c r="D2763" t="str">
        <x:v>ruines</x:v>
      </x:c>
      <x:c r="E2763" t="str">
        <x:v>Commerce pillé — variante 06 — Ruine envahie et reprise végétale / arrêt de maintenance</x:v>
      </x:c>
      <x:c r="F2763" t="n">
        <x:v>8</x:v>
      </x:c>
      <x:c r="G2763" t="n">
        <x:v>4</x:v>
      </x:c>
      <x:c r="H2763" t="n">
        <x:v>0</x:v>
      </x:c>
      <x:c r="I2763" t="str">
        <x:v>À qualifier par lieu</x:v>
      </x:c>
      <x:c r="J2763" t="str">
        <x:v>https://github.com/darknigthmare/deadwall-last-enclosure/blob/e28f46223e73105ab2c5d83f3d50b99b58ef53e6/codex-3000/compositions/ruines/DW-2758.md</x:v>
      </x:c>
      <x:c r="K2763" t="str">
        <x:v>Source min 64,9 m ; max 64,9 m ; modèle 64 × 18 m ; niveaux 0. Détails dans catalogue-existant.json.</x:v>
      </x:c>
    </x:row>
    <x:row r="2764">
      <x:c r="A2764" t="str">
        <x:v>DW-2759</x:v>
      </x:c>
      <x:c r="B2764" t="str">
        <x:v>DW-0880</x:v>
      </x:c>
      <x:c r="C2764" t="str">
        <x:v>Composition héritée</x:v>
      </x:c>
      <x:c r="D2764" t="str">
        <x:v>ruines</x:v>
      </x:c>
      <x:c r="E2764" t="str">
        <x:v>Usine sinistrée — variante 06 — Petit bois et lisière / repli organisé interrompu</x:v>
      </x:c>
      <x:c r="F2764" t="n">
        <x:v>8</x:v>
      </x:c>
      <x:c r="G2764" t="n">
        <x:v>4</x:v>
      </x:c>
      <x:c r="H2764" t="n">
        <x:v>0</x:v>
      </x:c>
      <x:c r="I2764" t="str">
        <x:v>À qualifier par lieu</x:v>
      </x:c>
      <x:c r="J2764" t="str">
        <x:v>https://github.com/darknigthmare/deadwall-last-enclosure/blob/e28f46223e73105ab2c5d83f3d50b99b58ef53e6/codex-3000/compositions/ruines/DW-2759.md</x:v>
      </x:c>
      <x:c r="K2764" t="str">
        <x:v>Source min 75,26 m ; max 75,26 m ; modèle 75 × 26 m ; niveaux 0. Détails dans catalogue-existant.json.</x:v>
      </x:c>
    </x:row>
    <x:row r="2765">
      <x:c r="A2765" t="str">
        <x:v>DW-2760</x:v>
      </x:c>
      <x:c r="B2765" t="str">
        <x:v>DW-0880</x:v>
      </x:c>
      <x:c r="C2765" t="str">
        <x:v>Composition héritée</x:v>
      </x:c>
      <x:c r="D2765" t="str">
        <x:v>ruines</x:v>
      </x:c>
      <x:c r="E2765" t="str">
        <x:v>Usine sinistrée — variante 06 — Centre ancien / première récupération passée</x:v>
      </x:c>
      <x:c r="F2765" t="n">
        <x:v>8</x:v>
      </x:c>
      <x:c r="G2765" t="n">
        <x:v>4</x:v>
      </x:c>
      <x:c r="H2765" t="n">
        <x:v>0</x:v>
      </x:c>
      <x:c r="I2765" t="str">
        <x:v>À qualifier par lieu</x:v>
      </x:c>
      <x:c r="J2765" t="str">
        <x:v>https://github.com/darknigthmare/deadwall-last-enclosure/blob/e28f46223e73105ab2c5d83f3d50b99b58ef53e6/codex-3000/compositions/ruines/DW-2760.md</x:v>
      </x:c>
      <x:c r="K2765" t="str">
        <x:v>Source min 75,26 m ; max 75,26 m ; modèle 75 × 26 m ; niveaux 0. Détails dans catalogue-existant.json.</x:v>
      </x:c>
    </x:row>
    <x:row r="2766">
      <x:c r="A2766" t="str">
        <x:v>DW-2761</x:v>
      </x:c>
      <x:c r="B2766" t="str">
        <x:v>DW-0881</x:v>
      </x:c>
      <x:c r="C2766" t="str">
        <x:v>Composition héritée</x:v>
      </x:c>
      <x:c r="D2766" t="str">
        <x:v>ruines</x:v>
      </x:c>
      <x:c r="E2766" t="str">
        <x:v>Hôtel abandonné — variante 06 — Ruine envahie et reprise végétale / évacuation interrompue</x:v>
      </x:c>
      <x:c r="F2766" t="n">
        <x:v>8</x:v>
      </x:c>
      <x:c r="G2766" t="n">
        <x:v>5</x:v>
      </x:c>
      <x:c r="H2766" t="n">
        <x:v>0</x:v>
      </x:c>
      <x:c r="I2766" t="str">
        <x:v>À qualifier par lieu</x:v>
      </x:c>
      <x:c r="J2766" t="str">
        <x:v>https://github.com/darknigthmare/deadwall-last-enclosure/blob/e28f46223e73105ab2c5d83f3d50b99b58ef53e6/codex-3000/compositions/ruines/DW-2761.md</x:v>
      </x:c>
      <x:c r="K2766" t="str">
        <x:v>Source min 14,43 m ; max 14,43 m ; modèle 26 × 43 m ; niveaux 0, 1. Détails dans catalogue-existant.json.</x:v>
      </x:c>
    </x:row>
    <x:row r="2767">
      <x:c r="A2767" t="str">
        <x:v>DW-2762</x:v>
      </x:c>
      <x:c r="B2767" t="str">
        <x:v>DW-0881</x:v>
      </x:c>
      <x:c r="C2767" t="str">
        <x:v>Composition héritée</x:v>
      </x:c>
      <x:c r="D2767" t="str">
        <x:v>ruines</x:v>
      </x:c>
      <x:c r="E2767" t="str">
        <x:v>Hôtel abandonné — variante 06 — Zone industrielle / service déplacé à l’arrière</x:v>
      </x:c>
      <x:c r="F2767" t="n">
        <x:v>8</x:v>
      </x:c>
      <x:c r="G2767" t="n">
        <x:v>5</x:v>
      </x:c>
      <x:c r="H2767" t="n">
        <x:v>0</x:v>
      </x:c>
      <x:c r="I2767" t="str">
        <x:v>À qualifier par lieu</x:v>
      </x:c>
      <x:c r="J2767" t="str">
        <x:v>https://github.com/darknigthmare/deadwall-last-enclosure/blob/e28f46223e73105ab2c5d83f3d50b99b58ef53e6/codex-3000/compositions/ruines/DW-2762.md</x:v>
      </x:c>
      <x:c r="K2767" t="str">
        <x:v>Source min 14,43 m ; max 14,43 m ; modèle 26 × 43 m ; niveaux 0, 1. Détails dans catalogue-existant.json.</x:v>
      </x:c>
    </x:row>
    <x:row r="2768">
      <x:c r="A2768" t="str">
        <x:v>DW-2763</x:v>
      </x:c>
      <x:c r="B2768" t="str">
        <x:v>DW-0882</x:v>
      </x:c>
      <x:c r="C2768" t="str">
        <x:v>Composition héritée</x:v>
      </x:c>
      <x:c r="D2768" t="str">
        <x:v>ruines</x:v>
      </x:c>
      <x:c r="E2768" t="str">
        <x:v>Lotissement ravagé — variante 06 — Centre ancien / arrêt de maintenance</x:v>
      </x:c>
      <x:c r="F2768" t="n">
        <x:v>8</x:v>
      </x:c>
      <x:c r="G2768" t="n">
        <x:v>4</x:v>
      </x:c>
      <x:c r="H2768" t="n">
        <x:v>0</x:v>
      </x:c>
      <x:c r="I2768" t="str">
        <x:v>À qualifier par lieu</x:v>
      </x:c>
      <x:c r="J2768" t="str">
        <x:v>https://github.com/darknigthmare/deadwall-last-enclosure/blob/e28f46223e73105ab2c5d83f3d50b99b58ef53e6/codex-3000/compositions/ruines/DW-2763.md</x:v>
      </x:c>
      <x:c r="K2768" t="str">
        <x:v>Source min 25,60 m ; max 25,60 m ; modèle 25 × 60 m ; niveaux 0. Détails dans catalogue-existant.json.</x:v>
      </x:c>
    </x:row>
    <x:row r="2769">
      <x:c r="A2769" t="str">
        <x:v>DW-2764</x:v>
      </x:c>
      <x:c r="B2769" t="str">
        <x:v>DW-0882</x:v>
      </x:c>
      <x:c r="C2769" t="str">
        <x:v>Composition héritée</x:v>
      </x:c>
      <x:c r="D2769" t="str">
        <x:v>ruines</x:v>
      </x:c>
      <x:c r="E2769" t="str">
        <x:v>Lotissement ravagé — variante 06 — Petit bois et lisière / reprise progressive de la végétation</x:v>
      </x:c>
      <x:c r="F2769" t="n">
        <x:v>8</x:v>
      </x:c>
      <x:c r="G2769" t="n">
        <x:v>4</x:v>
      </x:c>
      <x:c r="H2769" t="n">
        <x:v>0</x:v>
      </x:c>
      <x:c r="I2769" t="str">
        <x:v>À qualifier par lieu</x:v>
      </x:c>
      <x:c r="J2769" t="str">
        <x:v>https://github.com/darknigthmare/deadwall-last-enclosure/blob/e28f46223e73105ab2c5d83f3d50b99b58ef53e6/codex-3000/compositions/ruines/DW-2764.md</x:v>
      </x:c>
      <x:c r="K2769" t="str">
        <x:v>Source min 25,60 m ; max 25,60 m ; modèle 25 × 60 m ; niveaux 0. Détails dans catalogue-existant.json.</x:v>
      </x:c>
    </x:row>
    <x:row r="2770">
      <x:c r="A2770" t="str">
        <x:v>DW-2765</x:v>
      </x:c>
      <x:c r="B2770" t="str">
        <x:v>DW-0883</x:v>
      </x:c>
      <x:c r="C2770" t="str">
        <x:v>Composition héritée</x:v>
      </x:c>
      <x:c r="D2770" t="str">
        <x:v>ruines</x:v>
      </x:c>
      <x:c r="E2770" t="str">
        <x:v>Village déserté — variante 06 — Zone industrielle / première récupération passée</x:v>
      </x:c>
      <x:c r="F2770" t="n">
        <x:v>8</x:v>
      </x:c>
      <x:c r="G2770" t="n">
        <x:v>5</x:v>
      </x:c>
      <x:c r="H2770" t="n">
        <x:v>0</x:v>
      </x:c>
      <x:c r="I2770" t="str">
        <x:v>À qualifier par lieu</x:v>
      </x:c>
      <x:c r="J2770" t="str">
        <x:v>https://github.com/darknigthmare/deadwall-last-enclosure/blob/e28f46223e73105ab2c5d83f3d50b99b58ef53e6/codex-3000/compositions/ruines/DW-2765.md</x:v>
      </x:c>
      <x:c r="K2770" t="str">
        <x:v>Source min 36,23 m ; max 36,23 m ; modèle 36 × 23 m ; niveaux 0. Détails dans catalogue-existant.json.</x:v>
      </x:c>
    </x:row>
    <x:row r="2771">
      <x:c r="A2771" t="str">
        <x:v>DW-2766</x:v>
      </x:c>
      <x:c r="B2771" t="str">
        <x:v>DW-0883</x:v>
      </x:c>
      <x:c r="C2771" t="str">
        <x:v>Composition héritée</x:v>
      </x:c>
      <x:c r="D2771" t="str">
        <x:v>ruines</x:v>
      </x:c>
      <x:c r="E2771" t="str">
        <x:v>Village déserté — variante 06 — Ruine envahie et reprise végétale / relais temporaire envisagé</x:v>
      </x:c>
      <x:c r="F2771" t="n">
        <x:v>8</x:v>
      </x:c>
      <x:c r="G2771" t="n">
        <x:v>5</x:v>
      </x:c>
      <x:c r="H2771" t="n">
        <x:v>0</x:v>
      </x:c>
      <x:c r="I2771" t="str">
        <x:v>À qualifier par lieu</x:v>
      </x:c>
      <x:c r="J2771" t="str">
        <x:v>https://github.com/darknigthmare/deadwall-last-enclosure/blob/e28f46223e73105ab2c5d83f3d50b99b58ef53e6/codex-3000/compositions/ruines/DW-2766.md</x:v>
      </x:c>
      <x:c r="K2771" t="str">
        <x:v>Source min 36,23 m ; max 36,23 m ; modèle 36 × 23 m ; niveaux 0. Détails dans catalogue-existant.json.</x:v>
      </x:c>
    </x:row>
    <x:row r="2772">
      <x:c r="A2772" t="str">
        <x:v>DW-2767</x:v>
      </x:c>
      <x:c r="B2772" t="str">
        <x:v>DW-0884</x:v>
      </x:c>
      <x:c r="C2772" t="str">
        <x:v>Composition héritée</x:v>
      </x:c>
      <x:c r="D2772" t="str">
        <x:v>ruines</x:v>
      </x:c>
      <x:c r="E2772" t="str">
        <x:v>Centre commercial effondré — variante 06 — Petit bois et lisière / service déplacé à l’arrière</x:v>
      </x:c>
      <x:c r="F2772" t="n">
        <x:v>8</x:v>
      </x:c>
      <x:c r="G2772" t="n">
        <x:v>5</x:v>
      </x:c>
      <x:c r="H2772" t="n">
        <x:v>0</x:v>
      </x:c>
      <x:c r="I2772" t="str">
        <x:v>À qualifier par lieu</x:v>
      </x:c>
      <x:c r="J2772" t="str">
        <x:v>https://github.com/darknigthmare/deadwall-last-enclosure/blob/e28f46223e73105ab2c5d83f3d50b99b58ef53e6/codex-3000/compositions/ruines/DW-2767.md</x:v>
      </x:c>
      <x:c r="K2772" t="str">
        <x:v>Source min 47,40 m ; max 47,40 m ; modèle 47 × 40 m ; niveaux 0. Détails dans catalogue-existant.json.</x:v>
      </x:c>
    </x:row>
    <x:row r="2773">
      <x:c r="A2773" t="str">
        <x:v>DW-2768</x:v>
      </x:c>
      <x:c r="B2773" t="str">
        <x:v>DW-0884</x:v>
      </x:c>
      <x:c r="C2773" t="str">
        <x:v>Composition héritée</x:v>
      </x:c>
      <x:c r="D2773" t="str">
        <x:v>ruines</x:v>
      </x:c>
      <x:c r="E2773" t="str">
        <x:v>Centre commercial effondré — variante 06 — Centre ancien / réseau principal coupé</x:v>
      </x:c>
      <x:c r="F2773" t="n">
        <x:v>8</x:v>
      </x:c>
      <x:c r="G2773" t="n">
        <x:v>5</x:v>
      </x:c>
      <x:c r="H2773" t="n">
        <x:v>0</x:v>
      </x:c>
      <x:c r="I2773" t="str">
        <x:v>À qualifier par lieu</x:v>
      </x:c>
      <x:c r="J2773" t="str">
        <x:v>https://github.com/darknigthmare/deadwall-last-enclosure/blob/e28f46223e73105ab2c5d83f3d50b99b58ef53e6/codex-3000/compositions/ruines/DW-2768.md</x:v>
      </x:c>
      <x:c r="K2773" t="str">
        <x:v>Source min 47,40 m ; max 47,40 m ; modèle 47 × 40 m ; niveaux 0. Détails dans catalogue-existant.json.</x:v>
      </x:c>
    </x:row>
    <x:row r="2774">
      <x:c r="A2774" t="str">
        <x:v>DW-2769</x:v>
      </x:c>
      <x:c r="B2774" t="str">
        <x:v>DW-0885</x:v>
      </x:c>
      <x:c r="C2774" t="str">
        <x:v>Composition héritée</x:v>
      </x:c>
      <x:c r="D2774" t="str">
        <x:v>habitat</x:v>
      </x:c>
      <x:c r="E2774" t="str">
        <x:v>Maison de lotissement — variante 07 — Quartier pavillonnaire / reprise progressive de la végétation</x:v>
      </x:c>
      <x:c r="F2774" t="n">
        <x:v>8</x:v>
      </x:c>
      <x:c r="G2774" t="n">
        <x:v>5</x:v>
      </x:c>
      <x:c r="H2774" t="n">
        <x:v>0</x:v>
      </x:c>
      <x:c r="I2774" t="str">
        <x:v>À qualifier par lieu</x:v>
      </x:c>
      <x:c r="J2774" t="str">
        <x:v>https://github.com/darknigthmare/deadwall-last-enclosure/blob/e28f46223e73105ab2c5d83f3d50b99b58ef53e6/codex-3000/compositions/habitat/DW-2769.md</x:v>
      </x:c>
      <x:c r="K2774" t="str">
        <x:v>Source min 58,57 m ; max 58,57 m ; modèle 58 × 57 m ; niveaux 0, 1. Détails dans catalogue-existant.json.</x:v>
      </x:c>
    </x:row>
    <x:row r="2775">
      <x:c r="A2775" t="str">
        <x:v>DW-2770</x:v>
      </x:c>
      <x:c r="B2775" t="str">
        <x:v>DW-0885</x:v>
      </x:c>
      <x:c r="C2775" t="str">
        <x:v>Composition héritée</x:v>
      </x:c>
      <x:c r="D2775" t="str">
        <x:v>habitat</x:v>
      </x:c>
      <x:c r="E2775" t="str">
        <x:v>Maison de lotissement — variante 07 — Village et bourg / repli organisé interrompu</x:v>
      </x:c>
      <x:c r="F2775" t="n">
        <x:v>8</x:v>
      </x:c>
      <x:c r="G2775" t="n">
        <x:v>5</x:v>
      </x:c>
      <x:c r="H2775" t="n">
        <x:v>0</x:v>
      </x:c>
      <x:c r="I2775" t="str">
        <x:v>À qualifier par lieu</x:v>
      </x:c>
      <x:c r="J2775" t="str">
        <x:v>https://github.com/darknigthmare/deadwall-last-enclosure/blob/e28f46223e73105ab2c5d83f3d50b99b58ef53e6/codex-3000/compositions/habitat/DW-2770.md</x:v>
      </x:c>
      <x:c r="K2775" t="str">
        <x:v>Source min 58,57 m ; max 58,57 m ; modèle 58 × 57 m ; niveaux 0, 1. Détails dans catalogue-existant.json.</x:v>
      </x:c>
    </x:row>
    <x:row r="2776">
      <x:c r="A2776" t="str">
        <x:v>DW-2771</x:v>
      </x:c>
      <x:c r="B2776" t="str">
        <x:v>DW-0886</x:v>
      </x:c>
      <x:c r="C2776" t="str">
        <x:v>Composition héritée</x:v>
      </x:c>
      <x:c r="D2776" t="str">
        <x:v>habitat</x:v>
      </x:c>
      <x:c r="E2776" t="str">
        <x:v>Maison mitoyenne — variante 07 — Hameau / relais temporaire envisagé</x:v>
      </x:c>
      <x:c r="F2776" t="n">
        <x:v>8</x:v>
      </x:c>
      <x:c r="G2776" t="n">
        <x:v>5</x:v>
      </x:c>
      <x:c r="H2776" t="n">
        <x:v>0</x:v>
      </x:c>
      <x:c r="I2776" t="str">
        <x:v>À qualifier par lieu</x:v>
      </x:c>
      <x:c r="J2776" t="str">
        <x:v>https://github.com/darknigthmare/deadwall-last-enclosure/blob/e28f46223e73105ab2c5d83f3d50b99b58ef53e6/codex-3000/compositions/habitat/DW-2771.md</x:v>
      </x:c>
      <x:c r="K2776" t="str">
        <x:v>Source min 69,20 m ; max 69,20 m ; modèle 69 × 22 m ; niveaux 0. Détails dans catalogue-existant.json.</x:v>
      </x:c>
    </x:row>
    <x:row r="2777">
      <x:c r="A2777" t="str">
        <x:v>DW-2772</x:v>
      </x:c>
      <x:c r="B2777" t="str">
        <x:v>DW-0886</x:v>
      </x:c>
      <x:c r="C2777" t="str">
        <x:v>Composition héritée</x:v>
      </x:c>
      <x:c r="D2777" t="str">
        <x:v>habitat</x:v>
      </x:c>
      <x:c r="E2777" t="str">
        <x:v>Maison mitoyenne — variante 07 — Quartier collectif / évacuation interrompue</x:v>
      </x:c>
      <x:c r="F2777" t="n">
        <x:v>8</x:v>
      </x:c>
      <x:c r="G2777" t="n">
        <x:v>5</x:v>
      </x:c>
      <x:c r="H2777" t="n">
        <x:v>0</x:v>
      </x:c>
      <x:c r="I2777" t="str">
        <x:v>À qualifier par lieu</x:v>
      </x:c>
      <x:c r="J2777" t="str">
        <x:v>https://github.com/darknigthmare/deadwall-last-enclosure/blob/e28f46223e73105ab2c5d83f3d50b99b58ef53e6/codex-3000/compositions/habitat/DW-2772.md</x:v>
      </x:c>
      <x:c r="K2777" t="str">
        <x:v>Source min 69,20 m ; max 69,20 m ; modèle 69 × 22 m ; niveaux 0. Détails dans catalogue-existant.json.</x:v>
      </x:c>
    </x:row>
    <x:row r="2778">
      <x:c r="A2778" t="str">
        <x:v>DW-2773</x:v>
      </x:c>
      <x:c r="B2778" t="str">
        <x:v>DW-0887</x:v>
      </x:c>
      <x:c r="C2778" t="str">
        <x:v>Composition héritée</x:v>
      </x:c>
      <x:c r="D2778" t="str">
        <x:v>habitat</x:v>
      </x:c>
      <x:c r="E2778" t="str">
        <x:v>Villa isolée — variante 07 — Village et bourg / réseau principal coupé</x:v>
      </x:c>
      <x:c r="F2778" t="n">
        <x:v>8</x:v>
      </x:c>
      <x:c r="G2778" t="n">
        <x:v>7</x:v>
      </x:c>
      <x:c r="H2778" t="n">
        <x:v>0</x:v>
      </x:c>
      <x:c r="I2778" t="str">
        <x:v>À qualifier par lieu</x:v>
      </x:c>
      <x:c r="J2778" t="str">
        <x:v>https://github.com/darknigthmare/deadwall-last-enclosure/blob/e28f46223e73105ab2c5d83f3d50b99b58ef53e6/codex-3000/compositions/habitat/DW-2773.md</x:v>
      </x:c>
      <x:c r="K2778" t="str">
        <x:v>Source min 80,37 m ; max 80,37 m ; modèle 78 × 37 m ; niveaux 0. Détails dans catalogue-existant.json.</x:v>
      </x:c>
    </x:row>
    <x:row r="2779">
      <x:c r="A2779" t="str">
        <x:v>DW-2774</x:v>
      </x:c>
      <x:c r="B2779" t="str">
        <x:v>DW-0887</x:v>
      </x:c>
      <x:c r="C2779" t="str">
        <x:v>Composition héritée</x:v>
      </x:c>
      <x:c r="D2779" t="str">
        <x:v>habitat</x:v>
      </x:c>
      <x:c r="E2779" t="str">
        <x:v>Villa isolée — variante 07 — Quartier pavillonnaire / arrêt de maintenance</x:v>
      </x:c>
      <x:c r="F2779" t="n">
        <x:v>8</x:v>
      </x:c>
      <x:c r="G2779" t="n">
        <x:v>7</x:v>
      </x:c>
      <x:c r="H2779" t="n">
        <x:v>0</x:v>
      </x:c>
      <x:c r="I2779" t="str">
        <x:v>À qualifier par lieu</x:v>
      </x:c>
      <x:c r="J2779" t="str">
        <x:v>https://github.com/darknigthmare/deadwall-last-enclosure/blob/e28f46223e73105ab2c5d83f3d50b99b58ef53e6/codex-3000/compositions/habitat/DW-2774.md</x:v>
      </x:c>
      <x:c r="K2779" t="str">
        <x:v>Source min 80,37 m ; max 80,37 m ; modèle 78 × 37 m ; niveaux 0. Détails dans catalogue-existant.json.</x:v>
      </x:c>
    </x:row>
    <x:row r="2780">
      <x:c r="A2780" t="str">
        <x:v>DW-2775</x:v>
      </x:c>
      <x:c r="B2780" t="str">
        <x:v>DW-0888</x:v>
      </x:c>
      <x:c r="C2780" t="str">
        <x:v>Composition héritée</x:v>
      </x:c>
      <x:c r="D2780" t="str">
        <x:v>habitat</x:v>
      </x:c>
      <x:c r="E2780" t="str">
        <x:v>Ferme familiale — variante 07 — Quartier collectif / repli organisé interrompu</x:v>
      </x:c>
      <x:c r="F2780" t="n">
        <x:v>8</x:v>
      </x:c>
      <x:c r="G2780" t="n">
        <x:v>6</x:v>
      </x:c>
      <x:c r="H2780" t="n">
        <x:v>0</x:v>
      </x:c>
      <x:c r="I2780" t="str">
        <x:v>À qualifier par lieu</x:v>
      </x:c>
      <x:c r="J2780" t="str">
        <x:v>https://github.com/darknigthmare/deadwall-last-enclosure/blob/e28f46223e73105ab2c5d83f3d50b99b58ef53e6/codex-3000/compositions/habitat/DW-2775.md</x:v>
      </x:c>
      <x:c r="K2780" t="str">
        <x:v>Source min 19,54 m ; max 19,54 m ; modèle 28 × 54 m ; niveaux 0. Détails dans catalogue-existant.json.</x:v>
      </x:c>
    </x:row>
    <x:row r="2781">
      <x:c r="A2781" t="str">
        <x:v>DW-2776</x:v>
      </x:c>
      <x:c r="B2781" t="str">
        <x:v>DW-0888</x:v>
      </x:c>
      <x:c r="C2781" t="str">
        <x:v>Composition héritée</x:v>
      </x:c>
      <x:c r="D2781" t="str">
        <x:v>habitat</x:v>
      </x:c>
      <x:c r="E2781" t="str">
        <x:v>Ferme familiale — variante 07 — Hameau / première récupération passée</x:v>
      </x:c>
      <x:c r="F2781" t="n">
        <x:v>8</x:v>
      </x:c>
      <x:c r="G2781" t="n">
        <x:v>6</x:v>
      </x:c>
      <x:c r="H2781" t="n">
        <x:v>0</x:v>
      </x:c>
      <x:c r="I2781" t="str">
        <x:v>À qualifier par lieu</x:v>
      </x:c>
      <x:c r="J2781" t="str">
        <x:v>https://github.com/darknigthmare/deadwall-last-enclosure/blob/e28f46223e73105ab2c5d83f3d50b99b58ef53e6/codex-3000/compositions/habitat/DW-2776.md</x:v>
      </x:c>
      <x:c r="K2781" t="str">
        <x:v>Source min 19,54 m ; max 19,54 m ; modèle 28 × 54 m ; niveaux 0. Détails dans catalogue-existant.json.</x:v>
      </x:c>
    </x:row>
    <x:row r="2782">
      <x:c r="A2782" t="str">
        <x:v>DW-2777</x:v>
      </x:c>
      <x:c r="B2782" t="str">
        <x:v>DW-0889</x:v>
      </x:c>
      <x:c r="C2782" t="str">
        <x:v>Composition héritée</x:v>
      </x:c>
      <x:c r="D2782" t="str">
        <x:v>habitat</x:v>
      </x:c>
      <x:c r="E2782" t="str">
        <x:v>Immeuble résidentiel — variante 07 — Quartier pavillonnaire / évacuation interrompue</x:v>
      </x:c>
      <x:c r="F2782" t="n">
        <x:v>8</x:v>
      </x:c>
      <x:c r="G2782" t="n">
        <x:v>5</x:v>
      </x:c>
      <x:c r="H2782" t="n">
        <x:v>0</x:v>
      </x:c>
      <x:c r="I2782" t="str">
        <x:v>À qualifier par lieu</x:v>
      </x:c>
      <x:c r="J2782" t="str">
        <x:v>https://github.com/darknigthmare/deadwall-last-enclosure/blob/e28f46223e73105ab2c5d83f3d50b99b58ef53e6/codex-3000/compositions/habitat/DW-2777.md</x:v>
      </x:c>
      <x:c r="K2782" t="str">
        <x:v>Source min 30,17 m ; max 30,17 m ; modèle 30 × 22 m ; niveaux 0, 1, 2. Détails dans catalogue-existant.json.</x:v>
      </x:c>
    </x:row>
    <x:row r="2783">
      <x:c r="A2783" t="str">
        <x:v>DW-2778</x:v>
      </x:c>
      <x:c r="B2783" t="str">
        <x:v>DW-0889</x:v>
      </x:c>
      <x:c r="C2783" t="str">
        <x:v>Composition héritée</x:v>
      </x:c>
      <x:c r="D2783" t="str">
        <x:v>habitat</x:v>
      </x:c>
      <x:c r="E2783" t="str">
        <x:v>Immeuble résidentiel — variante 07 — Village et bourg / service déplacé à l’arrière</x:v>
      </x:c>
      <x:c r="F2783" t="n">
        <x:v>8</x:v>
      </x:c>
      <x:c r="G2783" t="n">
        <x:v>5</x:v>
      </x:c>
      <x:c r="H2783" t="n">
        <x:v>0</x:v>
      </x:c>
      <x:c r="I2783" t="str">
        <x:v>À qualifier par lieu</x:v>
      </x:c>
      <x:c r="J2783" t="str">
        <x:v>https://github.com/darknigthmare/deadwall-last-enclosure/blob/e28f46223e73105ab2c5d83f3d50b99b58ef53e6/codex-3000/compositions/habitat/DW-2778.md</x:v>
      </x:c>
      <x:c r="K2783" t="str">
        <x:v>Source min 30,17 m ; max 30,17 m ; modèle 30 × 22 m ; niveaux 0, 1, 2. Détails dans catalogue-existant.json.</x:v>
      </x:c>
    </x:row>
    <x:row r="2784">
      <x:c r="A2784" t="str">
        <x:v>DW-2779</x:v>
      </x:c>
      <x:c r="B2784" t="str">
        <x:v>DW-0890</x:v>
      </x:c>
      <x:c r="C2784" t="str">
        <x:v>Composition héritée</x:v>
      </x:c>
      <x:c r="D2784" t="str">
        <x:v>habitat</x:v>
      </x:c>
      <x:c r="E2784" t="str">
        <x:v>Barre de logements — variante 07 — Hameau / arrêt de maintenance</x:v>
      </x:c>
      <x:c r="F2784" t="n">
        <x:v>8</x:v>
      </x:c>
      <x:c r="G2784" t="n">
        <x:v>5</x:v>
      </x:c>
      <x:c r="H2784" t="n">
        <x:v>0</x:v>
      </x:c>
      <x:c r="I2784" t="str">
        <x:v>À qualifier par lieu</x:v>
      </x:c>
      <x:c r="J2784" t="str">
        <x:v>https://github.com/darknigthmare/deadwall-last-enclosure/blob/e28f46223e73105ab2c5d83f3d50b99b58ef53e6/codex-3000/compositions/habitat/DW-2779.md</x:v>
      </x:c>
      <x:c r="K2784" t="str">
        <x:v>Source min 41,34 m ; max 41,34 m ; modèle 41 × 34 m ; niveaux 0, 1, 2. Détails dans catalogue-existant.json.</x:v>
      </x:c>
    </x:row>
    <x:row r="2785">
      <x:c r="A2785" t="str">
        <x:v>DW-2780</x:v>
      </x:c>
      <x:c r="B2785" t="str">
        <x:v>DW-0890</x:v>
      </x:c>
      <x:c r="C2785" t="str">
        <x:v>Composition héritée</x:v>
      </x:c>
      <x:c r="D2785" t="str">
        <x:v>habitat</x:v>
      </x:c>
      <x:c r="E2785" t="str">
        <x:v>Barre de logements — variante 07 — Quartier collectif / reprise progressive de la végétation</x:v>
      </x:c>
      <x:c r="F2785" t="n">
        <x:v>8</x:v>
      </x:c>
      <x:c r="G2785" t="n">
        <x:v>5</x:v>
      </x:c>
      <x:c r="H2785" t="n">
        <x:v>0</x:v>
      </x:c>
      <x:c r="I2785" t="str">
        <x:v>À qualifier par lieu</x:v>
      </x:c>
      <x:c r="J2785" t="str">
        <x:v>https://github.com/darknigthmare/deadwall-last-enclosure/blob/e28f46223e73105ab2c5d83f3d50b99b58ef53e6/codex-3000/compositions/habitat/DW-2780.md</x:v>
      </x:c>
      <x:c r="K2785" t="str">
        <x:v>Source min 41,34 m ; max 41,34 m ; modèle 41 × 34 m ; niveaux 0, 1, 2. Détails dans catalogue-existant.json.</x:v>
      </x:c>
    </x:row>
    <x:row r="2786">
      <x:c r="A2786" t="str">
        <x:v>DW-2781</x:v>
      </x:c>
      <x:c r="B2786" t="str">
        <x:v>DW-0891</x:v>
      </x:c>
      <x:c r="C2786" t="str">
        <x:v>Composition héritée</x:v>
      </x:c>
      <x:c r="D2786" t="str">
        <x:v>habitat</x:v>
      </x:c>
      <x:c r="E2786" t="str">
        <x:v>Résidence senior — variante 07 — Village et bourg / première récupération passée</x:v>
      </x:c>
      <x:c r="F2786" t="n">
        <x:v>8</x:v>
      </x:c>
      <x:c r="G2786" t="n">
        <x:v>5</x:v>
      </x:c>
      <x:c r="H2786" t="n">
        <x:v>0</x:v>
      </x:c>
      <x:c r="I2786" t="str">
        <x:v>À qualifier par lieu</x:v>
      </x:c>
      <x:c r="J2786" t="str">
        <x:v>https://github.com/darknigthmare/deadwall-last-enclosure/blob/e28f46223e73105ab2c5d83f3d50b99b58ef53e6/codex-3000/compositions/habitat/DW-2781.md</x:v>
      </x:c>
      <x:c r="K2786" t="str">
        <x:v>Source min 52,51 m ; max 52,51 m ; modèle 52 × 51 m ; niveaux 0, 1. Détails dans catalogue-existant.json.</x:v>
      </x:c>
    </x:row>
    <x:row r="2787">
      <x:c r="A2787" t="str">
        <x:v>DW-2782</x:v>
      </x:c>
      <x:c r="B2787" t="str">
        <x:v>DW-0891</x:v>
      </x:c>
      <x:c r="C2787" t="str">
        <x:v>Composition héritée</x:v>
      </x:c>
      <x:c r="D2787" t="str">
        <x:v>habitat</x:v>
      </x:c>
      <x:c r="E2787" t="str">
        <x:v>Résidence senior — variante 07 — Quartier pavillonnaire / relais temporaire envisagé</x:v>
      </x:c>
      <x:c r="F2787" t="n">
        <x:v>8</x:v>
      </x:c>
      <x:c r="G2787" t="n">
        <x:v>5</x:v>
      </x:c>
      <x:c r="H2787" t="n">
        <x:v>0</x:v>
      </x:c>
      <x:c r="I2787" t="str">
        <x:v>À qualifier par lieu</x:v>
      </x:c>
      <x:c r="J2787" t="str">
        <x:v>https://github.com/darknigthmare/deadwall-last-enclosure/blob/e28f46223e73105ab2c5d83f3d50b99b58ef53e6/codex-3000/compositions/habitat/DW-2782.md</x:v>
      </x:c>
      <x:c r="K2787" t="str">
        <x:v>Source min 52,51 m ; max 52,51 m ; modèle 52 × 51 m ; niveaux 0, 1. Détails dans catalogue-existant.json.</x:v>
      </x:c>
    </x:row>
    <x:row r="2788">
      <x:c r="A2788" t="str">
        <x:v>DW-2783</x:v>
      </x:c>
      <x:c r="B2788" t="str">
        <x:v>DW-0892</x:v>
      </x:c>
      <x:c r="C2788" t="str">
        <x:v>Composition héritée</x:v>
      </x:c>
      <x:c r="D2788" t="str">
        <x:v>habitat</x:v>
      </x:c>
      <x:c r="E2788" t="str">
        <x:v>Maison avec sous-sol — variante 07 — Quartier collectif / service déplacé à l’arrière</x:v>
      </x:c>
      <x:c r="F2788" t="n">
        <x:v>8</x:v>
      </x:c>
      <x:c r="G2788" t="n">
        <x:v>5</x:v>
      </x:c>
      <x:c r="H2788" t="n">
        <x:v>0</x:v>
      </x:c>
      <x:c r="I2788" t="str">
        <x:v>À qualifier par lieu</x:v>
      </x:c>
      <x:c r="J2788" t="str">
        <x:v>https://github.com/darknigthmare/deadwall-last-enclosure/blob/e28f46223e73105ab2c5d83f3d50b99b58ef53e6/codex-3000/compositions/habitat/DW-2783.md</x:v>
      </x:c>
      <x:c r="K2788" t="str">
        <x:v>Source min 63,14 m ; max 63,14 m ; modèle 63 × 22 m ; niveaux 0. Détails dans catalogue-existant.json.</x:v>
      </x:c>
    </x:row>
    <x:row r="2789">
      <x:c r="A2789" t="str">
        <x:v>DW-2784</x:v>
      </x:c>
      <x:c r="B2789" t="str">
        <x:v>DW-0892</x:v>
      </x:c>
      <x:c r="C2789" t="str">
        <x:v>Composition héritée</x:v>
      </x:c>
      <x:c r="D2789" t="str">
        <x:v>habitat</x:v>
      </x:c>
      <x:c r="E2789" t="str">
        <x:v>Maison avec sous-sol — variante 07 — Hameau / réseau principal coupé</x:v>
      </x:c>
      <x:c r="F2789" t="n">
        <x:v>8</x:v>
      </x:c>
      <x:c r="G2789" t="n">
        <x:v>5</x:v>
      </x:c>
      <x:c r="H2789" t="n">
        <x:v>0</x:v>
      </x:c>
      <x:c r="I2789" t="str">
        <x:v>À qualifier par lieu</x:v>
      </x:c>
      <x:c r="J2789" t="str">
        <x:v>https://github.com/darknigthmare/deadwall-last-enclosure/blob/e28f46223e73105ab2c5d83f3d50b99b58ef53e6/codex-3000/compositions/habitat/DW-2784.md</x:v>
      </x:c>
      <x:c r="K2789" t="str">
        <x:v>Source min 63,14 m ; max 63,14 m ; modèle 63 × 22 m ; niveaux 0. Détails dans catalogue-existant.json.</x:v>
      </x:c>
    </x:row>
    <x:row r="2790">
      <x:c r="A2790" t="str">
        <x:v>DW-2785</x:v>
      </x:c>
      <x:c r="B2790" t="str">
        <x:v>DW-0893</x:v>
      </x:c>
      <x:c r="C2790" t="str">
        <x:v>Composition héritée</x:v>
      </x:c>
      <x:c r="D2790" t="str">
        <x:v>commerce</x:v>
      </x:c>
      <x:c r="E2790" t="str">
        <x:v>Supérette — variante 07 — Zone commerciale / reprise progressive de la végétation</x:v>
      </x:c>
      <x:c r="F2790" t="n">
        <x:v>8</x:v>
      </x:c>
      <x:c r="G2790" t="n">
        <x:v>5</x:v>
      </x:c>
      <x:c r="H2790" t="n">
        <x:v>0</x:v>
      </x:c>
      <x:c r="I2790" t="str">
        <x:v>À qualifier par lieu</x:v>
      </x:c>
      <x:c r="J2790" t="str">
        <x:v>https://github.com/darknigthmare/deadwall-last-enclosure/blob/e28f46223e73105ab2c5d83f3d50b99b58ef53e6/codex-3000/compositions/commerce/DW-2785.md</x:v>
      </x:c>
      <x:c r="K2790" t="str">
        <x:v>Source min 74,31 m ; max 74,31 m ; modèle 74 × 31 m ; niveaux 0, 1. Détails dans catalogue-existant.json.</x:v>
      </x:c>
    </x:row>
    <x:row r="2791">
      <x:c r="A2791" t="str">
        <x:v>DW-2786</x:v>
      </x:c>
      <x:c r="B2791" t="str">
        <x:v>DW-0893</x:v>
      </x:c>
      <x:c r="C2791" t="str">
        <x:v>Composition héritée</x:v>
      </x:c>
      <x:c r="D2791" t="str">
        <x:v>commerce</x:v>
      </x:c>
      <x:c r="E2791" t="str">
        <x:v>Supérette — variante 07 — Village et bourg / repli organisé interrompu</x:v>
      </x:c>
      <x:c r="F2791" t="n">
        <x:v>8</x:v>
      </x:c>
      <x:c r="G2791" t="n">
        <x:v>5</x:v>
      </x:c>
      <x:c r="H2791" t="n">
        <x:v>0</x:v>
      </x:c>
      <x:c r="I2791" t="str">
        <x:v>À qualifier par lieu</x:v>
      </x:c>
      <x:c r="J2791" t="str">
        <x:v>https://github.com/darknigthmare/deadwall-last-enclosure/blob/e28f46223e73105ab2c5d83f3d50b99b58ef53e6/codex-3000/compositions/commerce/DW-2786.md</x:v>
      </x:c>
      <x:c r="K2791" t="str">
        <x:v>Source min 74,31 m ; max 74,31 m ; modèle 74 × 31 m ; niveaux 0, 1. Détails dans catalogue-existant.json.</x:v>
      </x:c>
    </x:row>
    <x:row r="2792">
      <x:c r="A2792" t="str">
        <x:v>DW-2787</x:v>
      </x:c>
      <x:c r="B2792" t="str">
        <x:v>DW-0894</x:v>
      </x:c>
      <x:c r="C2792" t="str">
        <x:v>Composition héritée</x:v>
      </x:c>
      <x:c r="D2792" t="str">
        <x:v>commerce</x:v>
      </x:c>
      <x:c r="E2792" t="str">
        <x:v>Centre commercial — variante 07 — Ville moyenne / relais temporaire envisagé</x:v>
      </x:c>
      <x:c r="F2792" t="n">
        <x:v>8</x:v>
      </x:c>
      <x:c r="G2792" t="n">
        <x:v>6</x:v>
      </x:c>
      <x:c r="H2792" t="n">
        <x:v>0</x:v>
      </x:c>
      <x:c r="I2792" t="str">
        <x:v>À qualifier par lieu</x:v>
      </x:c>
      <x:c r="J2792" t="str">
        <x:v>https://github.com/darknigthmare/deadwall-last-enclosure/blob/e28f46223e73105ab2c5d83f3d50b99b58ef53e6/codex-3000/compositions/commerce/DW-2787.md</x:v>
      </x:c>
      <x:c r="K2792" t="str">
        <x:v>Source min 13,48 m ; max 13,48 m ; modèle 28 × 48 m ; niveaux 0. Détails dans catalogue-existant.json.</x:v>
      </x:c>
    </x:row>
    <x:row r="2793">
      <x:c r="A2793" t="str">
        <x:v>DW-2788</x:v>
      </x:c>
      <x:c r="B2793" t="str">
        <x:v>DW-0894</x:v>
      </x:c>
      <x:c r="C2793" t="str">
        <x:v>Composition héritée</x:v>
      </x:c>
      <x:c r="D2793" t="str">
        <x:v>commerce</x:v>
      </x:c>
      <x:c r="E2793" t="str">
        <x:v>Centre commercial — variante 07 — Grande ville et métropole / évacuation interrompue</x:v>
      </x:c>
      <x:c r="F2793" t="n">
        <x:v>8</x:v>
      </x:c>
      <x:c r="G2793" t="n">
        <x:v>6</x:v>
      </x:c>
      <x:c r="H2793" t="n">
        <x:v>0</x:v>
      </x:c>
      <x:c r="I2793" t="str">
        <x:v>À qualifier par lieu</x:v>
      </x:c>
      <x:c r="J2793" t="str">
        <x:v>https://github.com/darknigthmare/deadwall-last-enclosure/blob/e28f46223e73105ab2c5d83f3d50b99b58ef53e6/codex-3000/compositions/commerce/DW-2788.md</x:v>
      </x:c>
      <x:c r="K2793" t="str">
        <x:v>Source min 13,48 m ; max 13,48 m ; modèle 28 × 48 m ; niveaux 0. Détails dans catalogue-existant.json.</x:v>
      </x:c>
    </x:row>
    <x:row r="2794">
      <x:c r="A2794" t="str">
        <x:v>DW-2789</x:v>
      </x:c>
      <x:c r="B2794" t="str">
        <x:v>DW-0895</x:v>
      </x:c>
      <x:c r="C2794" t="str">
        <x:v>Composition héritée</x:v>
      </x:c>
      <x:c r="D2794" t="str">
        <x:v>commerce</x:v>
      </x:c>
      <x:c r="E2794" t="str">
        <x:v>Supermarché — variante 07 — Village et bourg / réseau principal coupé</x:v>
      </x:c>
      <x:c r="F2794" t="n">
        <x:v>8</x:v>
      </x:c>
      <x:c r="G2794" t="n">
        <x:v>7</x:v>
      </x:c>
      <x:c r="H2794" t="n">
        <x:v>0</x:v>
      </x:c>
      <x:c r="I2794" t="str">
        <x:v>À qualifier par lieu</x:v>
      </x:c>
      <x:c r="J2794" t="str">
        <x:v>https://github.com/darknigthmare/deadwall-last-enclosure/blob/e28f46223e73105ab2c5d83f3d50b99b58ef53e6/codex-3000/compositions/commerce/DW-2789.md</x:v>
      </x:c>
      <x:c r="K2794" t="str">
        <x:v>Source min 24,11 m ; max 24,11 m ; modèle 29 × 29 m ; niveaux 0. Détails dans catalogue-existant.json.</x:v>
      </x:c>
    </x:row>
    <x:row r="2795">
      <x:c r="A2795" t="str">
        <x:v>DW-2790</x:v>
      </x:c>
      <x:c r="B2795" t="str">
        <x:v>DW-0895</x:v>
      </x:c>
      <x:c r="C2795" t="str">
        <x:v>Composition héritée</x:v>
      </x:c>
      <x:c r="D2795" t="str">
        <x:v>commerce</x:v>
      </x:c>
      <x:c r="E2795" t="str">
        <x:v>Supermarché — variante 07 — Zone commerciale / arrêt de maintenance</x:v>
      </x:c>
      <x:c r="F2795" t="n">
        <x:v>8</x:v>
      </x:c>
      <x:c r="G2795" t="n">
        <x:v>7</x:v>
      </x:c>
      <x:c r="H2795" t="n">
        <x:v>0</x:v>
      </x:c>
      <x:c r="I2795" t="str">
        <x:v>À qualifier par lieu</x:v>
      </x:c>
      <x:c r="J2795" t="str">
        <x:v>https://github.com/darknigthmare/deadwall-last-enclosure/blob/e28f46223e73105ab2c5d83f3d50b99b58ef53e6/codex-3000/compositions/commerce/DW-2790.md</x:v>
      </x:c>
      <x:c r="K2795" t="str">
        <x:v>Source min 24,11 m ; max 24,11 m ; modèle 29 × 29 m ; niveaux 0. Détails dans catalogue-existant.json.</x:v>
      </x:c>
    </x:row>
    <x:row r="2796">
      <x:c r="A2796" t="str">
        <x:v>DW-2791</x:v>
      </x:c>
      <x:c r="B2796" t="str">
        <x:v>DW-0896</x:v>
      </x:c>
      <x:c r="C2796" t="str">
        <x:v>Composition héritée</x:v>
      </x:c>
      <x:c r="D2796" t="str">
        <x:v>commerce</x:v>
      </x:c>
      <x:c r="E2796" t="str">
        <x:v>Magasin de bricolage — variante 07 — Grande ville et métropole / repli organisé interrompu</x:v>
      </x:c>
      <x:c r="F2796" t="n">
        <x:v>8</x:v>
      </x:c>
      <x:c r="G2796" t="n">
        <x:v>5</x:v>
      </x:c>
      <x:c r="H2796" t="n">
        <x:v>0</x:v>
      </x:c>
      <x:c r="I2796" t="str">
        <x:v>À qualifier par lieu</x:v>
      </x:c>
      <x:c r="J2796" t="str">
        <x:v>https://github.com/darknigthmare/deadwall-last-enclosure/blob/e28f46223e73105ab2c5d83f3d50b99b58ef53e6/codex-3000/compositions/commerce/DW-2791.md</x:v>
      </x:c>
      <x:c r="K2796" t="str">
        <x:v>Source min 35,28 m ; max 35,28 m ; modèle 35 × 28 m ; niveaux 0. Détails dans catalogue-existant.json.</x:v>
      </x:c>
    </x:row>
    <x:row r="2797">
      <x:c r="A2797" t="str">
        <x:v>DW-2792</x:v>
      </x:c>
      <x:c r="B2797" t="str">
        <x:v>DW-0896</x:v>
      </x:c>
      <x:c r="C2797" t="str">
        <x:v>Composition héritée</x:v>
      </x:c>
      <x:c r="D2797" t="str">
        <x:v>commerce</x:v>
      </x:c>
      <x:c r="E2797" t="str">
        <x:v>Magasin de bricolage — variante 07 — Ville moyenne / première récupération passée</x:v>
      </x:c>
      <x:c r="F2797" t="n">
        <x:v>8</x:v>
      </x:c>
      <x:c r="G2797" t="n">
        <x:v>5</x:v>
      </x:c>
      <x:c r="H2797" t="n">
        <x:v>0</x:v>
      </x:c>
      <x:c r="I2797" t="str">
        <x:v>À qualifier par lieu</x:v>
      </x:c>
      <x:c r="J2797" t="str">
        <x:v>https://github.com/darknigthmare/deadwall-last-enclosure/blob/e28f46223e73105ab2c5d83f3d50b99b58ef53e6/codex-3000/compositions/commerce/DW-2792.md</x:v>
      </x:c>
      <x:c r="K2797" t="str">
        <x:v>Source min 35,28 m ; max 35,28 m ; modèle 35 × 28 m ; niveaux 0. Détails dans catalogue-existant.json.</x:v>
      </x:c>
    </x:row>
    <x:row r="2798">
      <x:c r="A2798" t="str">
        <x:v>DW-2793</x:v>
      </x:c>
      <x:c r="B2798" t="str">
        <x:v>DW-0897</x:v>
      </x:c>
      <x:c r="C2798" t="str">
        <x:v>Composition héritée</x:v>
      </x:c>
      <x:c r="D2798" t="str">
        <x:v>commerce</x:v>
      </x:c>
      <x:c r="E2798" t="str">
        <x:v>Pharmacie — variante 07 — Zone commerciale / évacuation interrompue</x:v>
      </x:c>
      <x:c r="F2798" t="n">
        <x:v>8</x:v>
      </x:c>
      <x:c r="G2798" t="n">
        <x:v>4</x:v>
      </x:c>
      <x:c r="H2798" t="n">
        <x:v>0</x:v>
      </x:c>
      <x:c r="I2798" t="str">
        <x:v>À qualifier par lieu</x:v>
      </x:c>
      <x:c r="J2798" t="str">
        <x:v>https://github.com/darknigthmare/deadwall-last-enclosure/blob/e28f46223e73105ab2c5d83f3d50b99b58ef53e6/codex-3000/compositions/commerce/DW-2793.md</x:v>
      </x:c>
      <x:c r="K2798" t="str">
        <x:v>Source min 46,45 m ; max 46,45 m ; modèle 46 × 45 m ; niveaux 0, 1. Détails dans catalogue-existant.json.</x:v>
      </x:c>
    </x:row>
    <x:row r="2799">
      <x:c r="A2799" t="str">
        <x:v>DW-2794</x:v>
      </x:c>
      <x:c r="B2799" t="str">
        <x:v>DW-0897</x:v>
      </x:c>
      <x:c r="C2799" t="str">
        <x:v>Composition héritée</x:v>
      </x:c>
      <x:c r="D2799" t="str">
        <x:v>commerce</x:v>
      </x:c>
      <x:c r="E2799" t="str">
        <x:v>Pharmacie — variante 07 — Village et bourg / service déplacé à l’arrière</x:v>
      </x:c>
      <x:c r="F2799" t="n">
        <x:v>8</x:v>
      </x:c>
      <x:c r="G2799" t="n">
        <x:v>4</x:v>
      </x:c>
      <x:c r="H2799" t="n">
        <x:v>0</x:v>
      </x:c>
      <x:c r="I2799" t="str">
        <x:v>À qualifier par lieu</x:v>
      </x:c>
      <x:c r="J2799" t="str">
        <x:v>https://github.com/darknigthmare/deadwall-last-enclosure/blob/e28f46223e73105ab2c5d83f3d50b99b58ef53e6/codex-3000/compositions/commerce/DW-2794.md</x:v>
      </x:c>
      <x:c r="K2799" t="str">
        <x:v>Source min 46,45 m ; max 46,45 m ; modèle 46 × 45 m ; niveaux 0, 1. Détails dans catalogue-existant.json.</x:v>
      </x:c>
    </x:row>
    <x:row r="2800">
      <x:c r="A2800" t="str">
        <x:v>DW-2795</x:v>
      </x:c>
      <x:c r="B2800" t="str">
        <x:v>DW-0898</x:v>
      </x:c>
      <x:c r="C2800" t="str">
        <x:v>Composition héritée</x:v>
      </x:c>
      <x:c r="D2800" t="str">
        <x:v>commerce</x:v>
      </x:c>
      <x:c r="E2800" t="str">
        <x:v>Station-service — variante 07 — Ville moyenne / arrêt de maintenance</x:v>
      </x:c>
      <x:c r="F2800" t="n">
        <x:v>8</x:v>
      </x:c>
      <x:c r="G2800" t="n">
        <x:v>5</x:v>
      </x:c>
      <x:c r="H2800" t="n">
        <x:v>0</x:v>
      </x:c>
      <x:c r="I2800" t="str">
        <x:v>À qualifier par lieu</x:v>
      </x:c>
      <x:c r="J2800" t="str">
        <x:v>https://github.com/darknigthmare/deadwall-last-enclosure/blob/e28f46223e73105ab2c5d83f3d50b99b58ef53e6/codex-3000/compositions/commerce/DW-2795.md</x:v>
      </x:c>
      <x:c r="K2800" t="str">
        <x:v>Source min 57,62 m ; max 57,62 m ; modèle 57 × 62 m ; niveaux 0. Détails dans catalogue-existant.json.</x:v>
      </x:c>
    </x:row>
    <x:row r="2801">
      <x:c r="A2801" t="str">
        <x:v>DW-2796</x:v>
      </x:c>
      <x:c r="B2801" t="str">
        <x:v>DW-0898</x:v>
      </x:c>
      <x:c r="C2801" t="str">
        <x:v>Composition héritée</x:v>
      </x:c>
      <x:c r="D2801" t="str">
        <x:v>commerce</x:v>
      </x:c>
      <x:c r="E2801" t="str">
        <x:v>Station-service — variante 07 — Grande ville et métropole / reprise progressive de la végétation</x:v>
      </x:c>
      <x:c r="F2801" t="n">
        <x:v>8</x:v>
      </x:c>
      <x:c r="G2801" t="n">
        <x:v>5</x:v>
      </x:c>
      <x:c r="H2801" t="n">
        <x:v>0</x:v>
      </x:c>
      <x:c r="I2801" t="str">
        <x:v>À qualifier par lieu</x:v>
      </x:c>
      <x:c r="J2801" t="str">
        <x:v>https://github.com/darknigthmare/deadwall-last-enclosure/blob/e28f46223e73105ab2c5d83f3d50b99b58ef53e6/codex-3000/compositions/commerce/DW-2796.md</x:v>
      </x:c>
      <x:c r="K2801" t="str">
        <x:v>Source min 57,62 m ; max 57,62 m ; modèle 57 × 62 m ; niveaux 0. Détails dans catalogue-existant.json.</x:v>
      </x:c>
    </x:row>
    <x:row r="2802">
      <x:c r="A2802" t="str">
        <x:v>DW-2797</x:v>
      </x:c>
      <x:c r="B2802" t="str">
        <x:v>DW-0899</x:v>
      </x:c>
      <x:c r="C2802" t="str">
        <x:v>Composition héritée</x:v>
      </x:c>
      <x:c r="D2802" t="str">
        <x:v>commerce</x:v>
      </x:c>
      <x:c r="E2802" t="str">
        <x:v>Restaurant routier — variante 07 — Village et bourg / première récupération passée</x:v>
      </x:c>
      <x:c r="F2802" t="n">
        <x:v>8</x:v>
      </x:c>
      <x:c r="G2802" t="n">
        <x:v>5</x:v>
      </x:c>
      <x:c r="H2802" t="n">
        <x:v>0</x:v>
      </x:c>
      <x:c r="I2802" t="str">
        <x:v>À qualifier par lieu</x:v>
      </x:c>
      <x:c r="J2802" t="str">
        <x:v>https://github.com/darknigthmare/deadwall-last-enclosure/blob/e28f46223e73105ab2c5d83f3d50b99b58ef53e6/codex-3000/compositions/commerce/DW-2797.md</x:v>
      </x:c>
      <x:c r="K2802" t="str">
        <x:v>Source min 68,25 m ; max 68,25 m ; modèle 68 × 25 m ; niveaux 0. Détails dans catalogue-existant.json.</x:v>
      </x:c>
    </x:row>
    <x:row r="2803">
      <x:c r="A2803" t="str">
        <x:v>DW-2798</x:v>
      </x:c>
      <x:c r="B2803" t="str">
        <x:v>DW-0899</x:v>
      </x:c>
      <x:c r="C2803" t="str">
        <x:v>Composition héritée</x:v>
      </x:c>
      <x:c r="D2803" t="str">
        <x:v>commerce</x:v>
      </x:c>
      <x:c r="E2803" t="str">
        <x:v>Restaurant routier — variante 07 — Zone commerciale / relais temporaire envisagé</x:v>
      </x:c>
      <x:c r="F2803" t="n">
        <x:v>8</x:v>
      </x:c>
      <x:c r="G2803" t="n">
        <x:v>5</x:v>
      </x:c>
      <x:c r="H2803" t="n">
        <x:v>0</x:v>
      </x:c>
      <x:c r="I2803" t="str">
        <x:v>À qualifier par lieu</x:v>
      </x:c>
      <x:c r="J2803" t="str">
        <x:v>https://github.com/darknigthmare/deadwall-last-enclosure/blob/e28f46223e73105ab2c5d83f3d50b99b58ef53e6/codex-3000/compositions/commerce/DW-2798.md</x:v>
      </x:c>
      <x:c r="K2803" t="str">
        <x:v>Source min 68,25 m ; max 68,25 m ; modèle 68 × 25 m ; niveaux 0. Détails dans catalogue-existant.json.</x:v>
      </x:c>
    </x:row>
    <x:row r="2804">
      <x:c r="A2804" t="str">
        <x:v>DW-2799</x:v>
      </x:c>
      <x:c r="B2804" t="str">
        <x:v>DW-0900</x:v>
      </x:c>
      <x:c r="C2804" t="str">
        <x:v>Composition héritée</x:v>
      </x:c>
      <x:c r="D2804" t="str">
        <x:v>commerce</x:v>
      </x:c>
      <x:c r="E2804" t="str">
        <x:v>Hôtel — variante 07 — Grande ville et métropole / service déplacé à l’arrière</x:v>
      </x:c>
      <x:c r="F2804" t="n">
        <x:v>8</x:v>
      </x:c>
      <x:c r="G2804" t="n">
        <x:v>6</x:v>
      </x:c>
      <x:c r="H2804" t="n">
        <x:v>0</x:v>
      </x:c>
      <x:c r="I2804" t="str">
        <x:v>À qualifier par lieu</x:v>
      </x:c>
      <x:c r="J2804" t="str">
        <x:v>https://github.com/darknigthmare/deadwall-last-enclosure/blob/e28f46223e73105ab2c5d83f3d50b99b58ef53e6/codex-3000/compositions/commerce/DW-2799.md</x:v>
      </x:c>
      <x:c r="K2804" t="str">
        <x:v>Source min 79,42 m ; max 79,42 m ; modèle 78 × 42 m ; niveaux 0. Détails dans catalogue-existant.json.</x:v>
      </x:c>
    </x:row>
    <x:row r="2805">
      <x:c r="A2805" t="str">
        <x:v>DW-2800</x:v>
      </x:c>
      <x:c r="B2805" t="str">
        <x:v>DW-0900</x:v>
      </x:c>
      <x:c r="C2805" t="str">
        <x:v>Composition héritée</x:v>
      </x:c>
      <x:c r="D2805" t="str">
        <x:v>commerce</x:v>
      </x:c>
      <x:c r="E2805" t="str">
        <x:v>Hôtel — variante 07 — Ville moyenne / réseau principal coupé</x:v>
      </x:c>
      <x:c r="F2805" t="n">
        <x:v>8</x:v>
      </x:c>
      <x:c r="G2805" t="n">
        <x:v>6</x:v>
      </x:c>
      <x:c r="H2805" t="n">
        <x:v>0</x:v>
      </x:c>
      <x:c r="I2805" t="str">
        <x:v>À qualifier par lieu</x:v>
      </x:c>
      <x:c r="J2805" t="str">
        <x:v>https://github.com/darknigthmare/deadwall-last-enclosure/blob/e28f46223e73105ab2c5d83f3d50b99b58ef53e6/codex-3000/compositions/commerce/DW-2800.md</x:v>
      </x:c>
      <x:c r="K2805" t="str">
        <x:v>Source min 79,42 m ; max 79,42 m ; modèle 78 × 42 m ; niveaux 0. Détails dans catalogue-existant.json.</x:v>
      </x:c>
    </x:row>
    <x:row r="2806">
      <x:c r="A2806" t="str">
        <x:v>DW-2801</x:v>
      </x:c>
      <x:c r="B2806" t="str">
        <x:v>DW-0901</x:v>
      </x:c>
      <x:c r="C2806" t="str">
        <x:v>Composition héritée</x:v>
      </x:c>
      <x:c r="D2806" t="str">
        <x:v>industrie</x:v>
      </x:c>
      <x:c r="E2806" t="str">
        <x:v>Scierie — variante 07 — Zone industrielle / reprise progressive de la végétation</x:v>
      </x:c>
      <x:c r="F2806" t="n">
        <x:v>8</x:v>
      </x:c>
      <x:c r="G2806" t="n">
        <x:v>5</x:v>
      </x:c>
      <x:c r="H2806" t="n">
        <x:v>0</x:v>
      </x:c>
      <x:c r="I2806" t="str">
        <x:v>À qualifier par lieu</x:v>
      </x:c>
      <x:c r="J2806" t="str">
        <x:v>https://github.com/darknigthmare/deadwall-last-enclosure/blob/e28f46223e73105ab2c5d83f3d50b99b58ef53e6/codex-3000/compositions/industrie/DW-2801.md</x:v>
      </x:c>
      <x:c r="K2806" t="str">
        <x:v>Source min 18,59 m ; max 18,59 m ; modèle 26 × 59 m ; niveaux 0. Détails dans catalogue-existant.json.</x:v>
      </x:c>
    </x:row>
    <x:row r="2807">
      <x:c r="A2807" t="str">
        <x:v>DW-2802</x:v>
      </x:c>
      <x:c r="B2807" t="str">
        <x:v>DW-0901</x:v>
      </x:c>
      <x:c r="C2807" t="str">
        <x:v>Composition héritée</x:v>
      </x:c>
      <x:c r="D2807" t="str">
        <x:v>industrie</x:v>
      </x:c>
      <x:c r="E2807" t="str">
        <x:v>Scierie — variante 07 — Entrepôt et plateforme logistique / repli organisé interrompu</x:v>
      </x:c>
      <x:c r="F2807" t="n">
        <x:v>8</x:v>
      </x:c>
      <x:c r="G2807" t="n">
        <x:v>5</x:v>
      </x:c>
      <x:c r="H2807" t="n">
        <x:v>0</x:v>
      </x:c>
      <x:c r="I2807" t="str">
        <x:v>À qualifier par lieu</x:v>
      </x:c>
      <x:c r="J2807" t="str">
        <x:v>https://github.com/darknigthmare/deadwall-last-enclosure/blob/e28f46223e73105ab2c5d83f3d50b99b58ef53e6/codex-3000/compositions/industrie/DW-2802.md</x:v>
      </x:c>
      <x:c r="K2807" t="str">
        <x:v>Source min 18,59 m ; max 18,59 m ; modèle 26 × 59 m ; niveaux 0. Détails dans catalogue-existant.json.</x:v>
      </x:c>
    </x:row>
    <x:row r="2808">
      <x:c r="A2808" t="str">
        <x:v>DW-2803</x:v>
      </x:c>
      <x:c r="B2808" t="str">
        <x:v>DW-0902</x:v>
      </x:c>
      <x:c r="C2808" t="str">
        <x:v>Composition héritée</x:v>
      </x:c>
      <x:c r="D2808" t="str">
        <x:v>industrie</x:v>
      </x:c>
      <x:c r="E2808" t="str">
        <x:v>Garage automobile — variante 07 — Atelier et artisanat / relais temporaire envisagé</x:v>
      </x:c>
      <x:c r="F2808" t="n">
        <x:v>8</x:v>
      </x:c>
      <x:c r="G2808" t="n">
        <x:v>5</x:v>
      </x:c>
      <x:c r="H2808" t="n">
        <x:v>0</x:v>
      </x:c>
      <x:c r="I2808" t="str">
        <x:v>À qualifier par lieu</x:v>
      </x:c>
      <x:c r="J2808" t="str">
        <x:v>https://github.com/darknigthmare/deadwall-last-enclosure/blob/e28f46223e73105ab2c5d83f3d50b99b58ef53e6/codex-3000/compositions/industrie/DW-2803.md</x:v>
      </x:c>
      <x:c r="K2808" t="str">
        <x:v>Source min 29,22 m ; max 29,22 m ; modèle 29 × 22 m ; niveaux 0. Détails dans catalogue-existant.json.</x:v>
      </x:c>
    </x:row>
    <x:row r="2809">
      <x:c r="A2809" t="str">
        <x:v>DW-2804</x:v>
      </x:c>
      <x:c r="B2809" t="str">
        <x:v>DW-0902</x:v>
      </x:c>
      <x:c r="C2809" t="str">
        <x:v>Composition héritée</x:v>
      </x:c>
      <x:c r="D2809" t="str">
        <x:v>industrie</x:v>
      </x:c>
      <x:c r="E2809" t="str">
        <x:v>Garage automobile — variante 07 — Gare et fret / évacuation interrompue</x:v>
      </x:c>
      <x:c r="F2809" t="n">
        <x:v>10</x:v>
      </x:c>
      <x:c r="G2809" t="n">
        <x:v>5</x:v>
      </x:c>
      <x:c r="H2809" t="n">
        <x:v>0</x:v>
      </x:c>
      <x:c r="I2809" t="str">
        <x:v>À qualifier par lieu</x:v>
      </x:c>
      <x:c r="J2809" t="str">
        <x:v>https://github.com/darknigthmare/deadwall-last-enclosure/blob/e28f46223e73105ab2c5d83f3d50b99b58ef53e6/codex-3000/compositions/industrie/DW-2804.md</x:v>
      </x:c>
      <x:c r="K2809" t="str">
        <x:v>Source min 29,22 m ; max 29,22 m ; modèle 29 × 22 m ; niveaux 0. Détails dans catalogue-existant.json.</x:v>
      </x:c>
    </x:row>
    <x:row r="2810">
      <x:c r="A2810" t="str">
        <x:v>DW-2805</x:v>
      </x:c>
      <x:c r="B2810" t="str">
        <x:v>DW-0903</x:v>
      </x:c>
      <x:c r="C2810" t="str">
        <x:v>Composition héritée</x:v>
      </x:c>
      <x:c r="D2810" t="str">
        <x:v>industrie</x:v>
      </x:c>
      <x:c r="E2810" t="str">
        <x:v>Entrepôt logistique — variante 07 — Entrepôt et plateforme logistique / réseau principal coupé</x:v>
      </x:c>
      <x:c r="F2810" t="n">
        <x:v>8</x:v>
      </x:c>
      <x:c r="G2810" t="n">
        <x:v>5</x:v>
      </x:c>
      <x:c r="H2810" t="n">
        <x:v>0</x:v>
      </x:c>
      <x:c r="I2810" t="str">
        <x:v>À qualifier par lieu</x:v>
      </x:c>
      <x:c r="J2810" t="str">
        <x:v>https://github.com/darknigthmare/deadwall-last-enclosure/blob/e28f46223e73105ab2c5d83f3d50b99b58ef53e6/codex-3000/compositions/industrie/DW-2805.md</x:v>
      </x:c>
      <x:c r="K2810" t="str">
        <x:v>Source min 40,39 m ; max 40,39 m ; modèle 40 × 39 m ; niveaux 0. Détails dans catalogue-existant.json.</x:v>
      </x:c>
    </x:row>
    <x:row r="2811">
      <x:c r="A2811" t="str">
        <x:v>DW-2806</x:v>
      </x:c>
      <x:c r="B2811" t="str">
        <x:v>DW-0903</x:v>
      </x:c>
      <x:c r="C2811" t="str">
        <x:v>Composition héritée</x:v>
      </x:c>
      <x:c r="D2811" t="str">
        <x:v>industrie</x:v>
      </x:c>
      <x:c r="E2811" t="str">
        <x:v>Entrepôt logistique — variante 07 — Zone industrielle / arrêt de maintenance</x:v>
      </x:c>
      <x:c r="F2811" t="n">
        <x:v>8</x:v>
      </x:c>
      <x:c r="G2811" t="n">
        <x:v>5</x:v>
      </x:c>
      <x:c r="H2811" t="n">
        <x:v>0</x:v>
      </x:c>
      <x:c r="I2811" t="str">
        <x:v>À qualifier par lieu</x:v>
      </x:c>
      <x:c r="J2811" t="str">
        <x:v>https://github.com/darknigthmare/deadwall-last-enclosure/blob/e28f46223e73105ab2c5d83f3d50b99b58ef53e6/codex-3000/compositions/industrie/DW-2806.md</x:v>
      </x:c>
      <x:c r="K2811" t="str">
        <x:v>Source min 40,39 m ; max 40,39 m ; modèle 40 × 39 m ; niveaux 0. Détails dans catalogue-existant.json.</x:v>
      </x:c>
    </x:row>
    <x:row r="2812">
      <x:c r="A2812" t="str">
        <x:v>DW-2807</x:v>
      </x:c>
      <x:c r="B2812" t="str">
        <x:v>DW-0904</x:v>
      </x:c>
      <x:c r="C2812" t="str">
        <x:v>Composition héritée</x:v>
      </x:c>
      <x:c r="D2812" t="str">
        <x:v>industrie</x:v>
      </x:c>
      <x:c r="E2812" t="str">
        <x:v>Petite usine — variante 07 — Gare et fret / repli organisé interrompu</x:v>
      </x:c>
      <x:c r="F2812" t="n">
        <x:v>10</x:v>
      </x:c>
      <x:c r="G2812" t="n">
        <x:v>5</x:v>
      </x:c>
      <x:c r="H2812" t="n">
        <x:v>0</x:v>
      </x:c>
      <x:c r="I2812" t="str">
        <x:v>À qualifier par lieu</x:v>
      </x:c>
      <x:c r="J2812" t="str">
        <x:v>https://github.com/darknigthmare/deadwall-last-enclosure/blob/e28f46223e73105ab2c5d83f3d50b99b58ef53e6/codex-3000/compositions/industrie/DW-2807.md</x:v>
      </x:c>
      <x:c r="K2812" t="str">
        <x:v>Source min 51,56 m ; max 51,56 m ; modèle 51 × 56 m ; niveaux 0. Détails dans catalogue-existant.json.</x:v>
      </x:c>
    </x:row>
    <x:row r="2813">
      <x:c r="A2813" t="str">
        <x:v>DW-2808</x:v>
      </x:c>
      <x:c r="B2813" t="str">
        <x:v>DW-0904</x:v>
      </x:c>
      <x:c r="C2813" t="str">
        <x:v>Composition héritée</x:v>
      </x:c>
      <x:c r="D2813" t="str">
        <x:v>industrie</x:v>
      </x:c>
      <x:c r="E2813" t="str">
        <x:v>Petite usine — variante 07 — Atelier et artisanat / première récupération passée</x:v>
      </x:c>
      <x:c r="F2813" t="n">
        <x:v>8</x:v>
      </x:c>
      <x:c r="G2813" t="n">
        <x:v>5</x:v>
      </x:c>
      <x:c r="H2813" t="n">
        <x:v>0</x:v>
      </x:c>
      <x:c r="I2813" t="str">
        <x:v>À qualifier par lieu</x:v>
      </x:c>
      <x:c r="J2813" t="str">
        <x:v>https://github.com/darknigthmare/deadwall-last-enclosure/blob/e28f46223e73105ab2c5d83f3d50b99b58ef53e6/codex-3000/compositions/industrie/DW-2808.md</x:v>
      </x:c>
      <x:c r="K2813" t="str">
        <x:v>Source min 51,56 m ; max 51,56 m ; modèle 51 × 56 m ; niveaux 0. Détails dans catalogue-existant.json.</x:v>
      </x:c>
    </x:row>
    <x:row r="2814">
      <x:c r="A2814" t="str">
        <x:v>DW-2809</x:v>
      </x:c>
      <x:c r="B2814" t="str">
        <x:v>DW-0905</x:v>
      </x:c>
      <x:c r="C2814" t="str">
        <x:v>Composition héritée</x:v>
      </x:c>
      <x:c r="D2814" t="str">
        <x:v>industrie</x:v>
      </x:c>
      <x:c r="E2814" t="str">
        <x:v>Carrière — variante 07 — Zone industrielle / évacuation interrompue</x:v>
      </x:c>
      <x:c r="F2814" t="n">
        <x:v>8</x:v>
      </x:c>
      <x:c r="G2814" t="n">
        <x:v>5</x:v>
      </x:c>
      <x:c r="H2814" t="n">
        <x:v>0</x:v>
      </x:c>
      <x:c r="I2814" t="str">
        <x:v>À qualifier par lieu</x:v>
      </x:c>
      <x:c r="J2814" t="str">
        <x:v>https://github.com/darknigthmare/deadwall-last-enclosure/blob/e28f46223e73105ab2c5d83f3d50b99b58ef53e6/codex-3000/compositions/industrie/DW-2809.md</x:v>
      </x:c>
      <x:c r="K2814" t="str">
        <x:v>Source min 62,19 m ; max 62,19 m ; modèle 62 × 22 m ; niveaux 0. Détails dans catalogue-existant.json.</x:v>
      </x:c>
    </x:row>
    <x:row r="2815">
      <x:c r="A2815" t="str">
        <x:v>DW-2810</x:v>
      </x:c>
      <x:c r="B2815" t="str">
        <x:v>DW-0905</x:v>
      </x:c>
      <x:c r="C2815" t="str">
        <x:v>Composition héritée</x:v>
      </x:c>
      <x:c r="D2815" t="str">
        <x:v>industrie</x:v>
      </x:c>
      <x:c r="E2815" t="str">
        <x:v>Carrière — variante 07 — Entrepôt et plateforme logistique / service déplacé à l’arrière</x:v>
      </x:c>
      <x:c r="F2815" t="n">
        <x:v>8</x:v>
      </x:c>
      <x:c r="G2815" t="n">
        <x:v>5</x:v>
      </x:c>
      <x:c r="H2815" t="n">
        <x:v>0</x:v>
      </x:c>
      <x:c r="I2815" t="str">
        <x:v>À qualifier par lieu</x:v>
      </x:c>
      <x:c r="J2815" t="str">
        <x:v>https://github.com/darknigthmare/deadwall-last-enclosure/blob/e28f46223e73105ab2c5d83f3d50b99b58ef53e6/codex-3000/compositions/industrie/DW-2810.md</x:v>
      </x:c>
      <x:c r="K2815" t="str">
        <x:v>Source min 62,19 m ; max 62,19 m ; modèle 62 × 22 m ; niveaux 0. Détails dans catalogue-existant.json.</x:v>
      </x:c>
    </x:row>
    <x:row r="2816">
      <x:c r="A2816" t="str">
        <x:v>DW-2811</x:v>
      </x:c>
      <x:c r="B2816" t="str">
        <x:v>DW-0906</x:v>
      </x:c>
      <x:c r="C2816" t="str">
        <x:v>Composition héritée</x:v>
      </x:c>
      <x:c r="D2816" t="str">
        <x:v>industrie</x:v>
      </x:c>
      <x:c r="E2816" t="str">
        <x:v>Mine — variante 07 — Atelier et artisanat / arrêt de maintenance</x:v>
      </x:c>
      <x:c r="F2816" t="n">
        <x:v>8</x:v>
      </x:c>
      <x:c r="G2816" t="n">
        <x:v>6</x:v>
      </x:c>
      <x:c r="H2816" t="n">
        <x:v>0</x:v>
      </x:c>
      <x:c r="I2816" t="str">
        <x:v>À qualifier par lieu</x:v>
      </x:c>
      <x:c r="J2816" t="str">
        <x:v>https://github.com/darknigthmare/deadwall-last-enclosure/blob/e28f46223e73105ab2c5d83f3d50b99b58ef53e6/codex-3000/compositions/industrie/DW-2811.md</x:v>
      </x:c>
      <x:c r="K2816" t="str">
        <x:v>Source min 73,36 m ; max 73,36 m ; modèle 73 × 36 m ; niveaux 0. Détails dans catalogue-existant.json.</x:v>
      </x:c>
    </x:row>
    <x:row r="2817">
      <x:c r="A2817" t="str">
        <x:v>DW-2812</x:v>
      </x:c>
      <x:c r="B2817" t="str">
        <x:v>DW-0906</x:v>
      </x:c>
      <x:c r="C2817" t="str">
        <x:v>Composition héritée</x:v>
      </x:c>
      <x:c r="D2817" t="str">
        <x:v>industrie</x:v>
      </x:c>
      <x:c r="E2817" t="str">
        <x:v>Mine — variante 07 — Gare et fret / reprise progressive de la végétation</x:v>
      </x:c>
      <x:c r="F2817" t="n">
        <x:v>10</x:v>
      </x:c>
      <x:c r="G2817" t="n">
        <x:v>6</x:v>
      </x:c>
      <x:c r="H2817" t="n">
        <x:v>0</x:v>
      </x:c>
      <x:c r="I2817" t="str">
        <x:v>À qualifier par lieu</x:v>
      </x:c>
      <x:c r="J2817" t="str">
        <x:v>https://github.com/darknigthmare/deadwall-last-enclosure/blob/e28f46223e73105ab2c5d83f3d50b99b58ef53e6/codex-3000/compositions/industrie/DW-2812.md</x:v>
      </x:c>
      <x:c r="K2817" t="str">
        <x:v>Source min 73,36 m ; max 73,36 m ; modèle 73 × 36 m ; niveaux 0. Détails dans catalogue-existant.json.</x:v>
      </x:c>
    </x:row>
    <x:row r="2818">
      <x:c r="A2818" t="str">
        <x:v>DW-2813</x:v>
      </x:c>
      <x:c r="B2818" t="str">
        <x:v>DW-0907</x:v>
      </x:c>
      <x:c r="C2818" t="str">
        <x:v>Composition héritée</x:v>
      </x:c>
      <x:c r="D2818" t="str">
        <x:v>industrie</x:v>
      </x:c>
      <x:c r="E2818" t="str">
        <x:v>Centrale locale — variante 07 — Entrepôt et plateforme logistique / première récupération passée</x:v>
      </x:c>
      <x:c r="F2818" t="n">
        <x:v>8</x:v>
      </x:c>
      <x:c r="G2818" t="n">
        <x:v>5</x:v>
      </x:c>
      <x:c r="H2818" t="n">
        <x:v>0</x:v>
      </x:c>
      <x:c r="I2818" t="str">
        <x:v>À qualifier par lieu</x:v>
      </x:c>
      <x:c r="J2818" t="str">
        <x:v>https://github.com/darknigthmare/deadwall-last-enclosure/blob/e28f46223e73105ab2c5d83f3d50b99b58ef53e6/codex-3000/compositions/industrie/DW-2813.md</x:v>
      </x:c>
      <x:c r="K2818" t="str">
        <x:v>Source min 12,53 m ; max 12,53 m ; modèle 26 × 53 m ; niveaux 0. Détails dans catalogue-existant.json.</x:v>
      </x:c>
    </x:row>
    <x:row r="2819">
      <x:c r="A2819" t="str">
        <x:v>DW-2814</x:v>
      </x:c>
      <x:c r="B2819" t="str">
        <x:v>DW-0907</x:v>
      </x:c>
      <x:c r="C2819" t="str">
        <x:v>Composition héritée</x:v>
      </x:c>
      <x:c r="D2819" t="str">
        <x:v>industrie</x:v>
      </x:c>
      <x:c r="E2819" t="str">
        <x:v>Centrale locale — variante 07 — Zone industrielle / relais temporaire envisagé</x:v>
      </x:c>
      <x:c r="F2819" t="n">
        <x:v>8</x:v>
      </x:c>
      <x:c r="G2819" t="n">
        <x:v>5</x:v>
      </x:c>
      <x:c r="H2819" t="n">
        <x:v>0</x:v>
      </x:c>
      <x:c r="I2819" t="str">
        <x:v>À qualifier par lieu</x:v>
      </x:c>
      <x:c r="J2819" t="str">
        <x:v>https://github.com/darknigthmare/deadwall-last-enclosure/blob/e28f46223e73105ab2c5d83f3d50b99b58ef53e6/codex-3000/compositions/industrie/DW-2814.md</x:v>
      </x:c>
      <x:c r="K2819" t="str">
        <x:v>Source min 12,53 m ; max 12,53 m ; modèle 26 × 53 m ; niveaux 0. Détails dans catalogue-existant.json.</x:v>
      </x:c>
    </x:row>
    <x:row r="2820">
      <x:c r="A2820" t="str">
        <x:v>DW-2815</x:v>
      </x:c>
      <x:c r="B2820" t="str">
        <x:v>DW-0908</x:v>
      </x:c>
      <x:c r="C2820" t="str">
        <x:v>Composition héritée</x:v>
      </x:c>
      <x:c r="D2820" t="str">
        <x:v>industrie</x:v>
      </x:c>
      <x:c r="E2820" t="str">
        <x:v>Station de pompage — variante 07 — Gare et fret / service déplacé à l’arrière</x:v>
      </x:c>
      <x:c r="F2820" t="n">
        <x:v>10</x:v>
      </x:c>
      <x:c r="G2820" t="n">
        <x:v>5</x:v>
      </x:c>
      <x:c r="H2820" t="n">
        <x:v>0</x:v>
      </x:c>
      <x:c r="I2820" t="str">
        <x:v>À qualifier par lieu</x:v>
      </x:c>
      <x:c r="J2820" t="str">
        <x:v>https://github.com/darknigthmare/deadwall-last-enclosure/blob/e28f46223e73105ab2c5d83f3d50b99b58ef53e6/codex-3000/compositions/industrie/DW-2815.md</x:v>
      </x:c>
      <x:c r="K2820" t="str">
        <x:v>Source min 23,16 m ; max 23,16 m ; modèle 26 × 22 m ; niveaux 0. Détails dans catalogue-existant.json.</x:v>
      </x:c>
    </x:row>
    <x:row r="2821">
      <x:c r="A2821" t="str">
        <x:v>DW-2816</x:v>
      </x:c>
      <x:c r="B2821" t="str">
        <x:v>DW-0908</x:v>
      </x:c>
      <x:c r="C2821" t="str">
        <x:v>Composition héritée</x:v>
      </x:c>
      <x:c r="D2821" t="str">
        <x:v>industrie</x:v>
      </x:c>
      <x:c r="E2821" t="str">
        <x:v>Station de pompage — variante 07 — Atelier et artisanat / réseau principal coupé</x:v>
      </x:c>
      <x:c r="F2821" t="n">
        <x:v>8</x:v>
      </x:c>
      <x:c r="G2821" t="n">
        <x:v>5</x:v>
      </x:c>
      <x:c r="H2821" t="n">
        <x:v>0</x:v>
      </x:c>
      <x:c r="I2821" t="str">
        <x:v>À qualifier par lieu</x:v>
      </x:c>
      <x:c r="J2821" t="str">
        <x:v>https://github.com/darknigthmare/deadwall-last-enclosure/blob/e28f46223e73105ab2c5d83f3d50b99b58ef53e6/codex-3000/compositions/industrie/DW-2816.md</x:v>
      </x:c>
      <x:c r="K2821" t="str">
        <x:v>Source min 23,16 m ; max 23,16 m ; modèle 26 × 22 m ; niveaux 0. Détails dans catalogue-existant.json.</x:v>
      </x:c>
    </x:row>
    <x:row r="2822">
      <x:c r="A2822" t="str">
        <x:v>DW-2817</x:v>
      </x:c>
      <x:c r="B2822" t="str">
        <x:v>DW-0909</x:v>
      </x:c>
      <x:c r="C2822" t="str">
        <x:v>Composition héritée</x:v>
      </x:c>
      <x:c r="D2822" t="str">
        <x:v>public</x:v>
      </x:c>
      <x:c r="E2822" t="str">
        <x:v>École — variante 07 — École, mairie et bâtiments civiques / reprise progressive de la végétation</x:v>
      </x:c>
      <x:c r="F2822" t="n">
        <x:v>8</x:v>
      </x:c>
      <x:c r="G2822" t="n">
        <x:v>5</x:v>
      </x:c>
      <x:c r="H2822" t="n">
        <x:v>0</x:v>
      </x:c>
      <x:c r="I2822" t="str">
        <x:v>À qualifier par lieu</x:v>
      </x:c>
      <x:c r="J2822" t="str">
        <x:v>https://github.com/darknigthmare/deadwall-last-enclosure/blob/e28f46223e73105ab2c5d83f3d50b99b58ef53e6/codex-3000/compositions/public/DW-2817.md</x:v>
      </x:c>
      <x:c r="K2822" t="str">
        <x:v>Source min 34,33 m ; max 34,33 m ; modèle 34 × 33 m ; niveaux 0, 1. Détails dans catalogue-existant.json.</x:v>
      </x:c>
    </x:row>
    <x:row r="2823">
      <x:c r="A2823" t="str">
        <x:v>DW-2818</x:v>
      </x:c>
      <x:c r="B2823" t="str">
        <x:v>DW-0909</x:v>
      </x:c>
      <x:c r="C2823" t="str">
        <x:v>Composition héritée</x:v>
      </x:c>
      <x:c r="D2823" t="str">
        <x:v>public</x:v>
      </x:c>
      <x:c r="E2823" t="str">
        <x:v>École — variante 07 — Village et bourg / repli organisé interrompu</x:v>
      </x:c>
      <x:c r="F2823" t="n">
        <x:v>8</x:v>
      </x:c>
      <x:c r="G2823" t="n">
        <x:v>5</x:v>
      </x:c>
      <x:c r="H2823" t="n">
        <x:v>0</x:v>
      </x:c>
      <x:c r="I2823" t="str">
        <x:v>À qualifier par lieu</x:v>
      </x:c>
      <x:c r="J2823" t="str">
        <x:v>https://github.com/darknigthmare/deadwall-last-enclosure/blob/e28f46223e73105ab2c5d83f3d50b99b58ef53e6/codex-3000/compositions/public/DW-2818.md</x:v>
      </x:c>
      <x:c r="K2823" t="str">
        <x:v>Source min 34,33 m ; max 34,33 m ; modèle 34 × 33 m ; niveaux 0, 1. Détails dans catalogue-existant.json.</x:v>
      </x:c>
    </x:row>
    <x:row r="2824">
      <x:c r="A2824" t="str">
        <x:v>DW-2819</x:v>
      </x:c>
      <x:c r="B2824" t="str">
        <x:v>DW-0910</x:v>
      </x:c>
      <x:c r="C2824" t="str">
        <x:v>Composition héritée</x:v>
      </x:c>
      <x:c r="D2824" t="str">
        <x:v>public</x:v>
      </x:c>
      <x:c r="E2824" t="str">
        <x:v>Mairie — variante 07 — Ville moyenne / relais temporaire envisagé</x:v>
      </x:c>
      <x:c r="F2824" t="n">
        <x:v>8</x:v>
      </x:c>
      <x:c r="G2824" t="n">
        <x:v>5</x:v>
      </x:c>
      <x:c r="H2824" t="n">
        <x:v>0</x:v>
      </x:c>
      <x:c r="I2824" t="str">
        <x:v>À qualifier par lieu</x:v>
      </x:c>
      <x:c r="J2824" t="str">
        <x:v>https://github.com/darknigthmare/deadwall-last-enclosure/blob/e28f46223e73105ab2c5d83f3d50b99b58ef53e6/codex-3000/compositions/public/DW-2819.md</x:v>
      </x:c>
      <x:c r="K2824" t="str">
        <x:v>Source min 45,50 m ; max 45,50 m ; modèle 45 × 50 m ; niveaux 0. Détails dans catalogue-existant.json.</x:v>
      </x:c>
    </x:row>
    <x:row r="2825">
      <x:c r="A2825" t="str">
        <x:v>DW-2820</x:v>
      </x:c>
      <x:c r="B2825" t="str">
        <x:v>DW-0910</x:v>
      </x:c>
      <x:c r="C2825" t="str">
        <x:v>Composition héritée</x:v>
      </x:c>
      <x:c r="D2825" t="str">
        <x:v>public</x:v>
      </x:c>
      <x:c r="E2825" t="str">
        <x:v>Mairie — variante 07 — Centre d’évacuation abandonné / évacuation interrompue</x:v>
      </x:c>
      <x:c r="F2825" t="n">
        <x:v>8</x:v>
      </x:c>
      <x:c r="G2825" t="n">
        <x:v>5</x:v>
      </x:c>
      <x:c r="H2825" t="n">
        <x:v>0</x:v>
      </x:c>
      <x:c r="I2825" t="str">
        <x:v>À qualifier par lieu</x:v>
      </x:c>
      <x:c r="J2825" t="str">
        <x:v>https://github.com/darknigthmare/deadwall-last-enclosure/blob/e28f46223e73105ab2c5d83f3d50b99b58ef53e6/codex-3000/compositions/public/DW-2820.md</x:v>
      </x:c>
      <x:c r="K2825" t="str">
        <x:v>Source min 45,50 m ; max 45,50 m ; modèle 45 × 50 m ; niveaux 0. Détails dans catalogue-existant.json.</x:v>
      </x:c>
    </x:row>
    <x:row r="2826">
      <x:c r="A2826" t="str">
        <x:v>DW-2821</x:v>
      </x:c>
      <x:c r="B2826" t="str">
        <x:v>DW-0911</x:v>
      </x:c>
      <x:c r="C2826" t="str">
        <x:v>Composition héritée</x:v>
      </x:c>
      <x:c r="D2826" t="str">
        <x:v>public</x:v>
      </x:c>
      <x:c r="E2826" t="str">
        <x:v>Clinique — variante 07 — Village et bourg / réseau principal coupé</x:v>
      </x:c>
      <x:c r="F2826" t="n">
        <x:v>8</x:v>
      </x:c>
      <x:c r="G2826" t="n">
        <x:v>6</x:v>
      </x:c>
      <x:c r="H2826" t="n">
        <x:v>0</x:v>
      </x:c>
      <x:c r="I2826" t="str">
        <x:v>À qualifier par lieu</x:v>
      </x:c>
      <x:c r="J2826" t="str">
        <x:v>https://github.com/darknigthmare/deadwall-last-enclosure/blob/e28f46223e73105ab2c5d83f3d50b99b58ef53e6/codex-3000/compositions/public/DW-2821.md</x:v>
      </x:c>
      <x:c r="K2826" t="str">
        <x:v>Source min 56,13 m ; max 56,13 m ; modèle 56 × 22 m ; niveaux 0. Détails dans catalogue-existant.json.</x:v>
      </x:c>
    </x:row>
    <x:row r="2827">
      <x:c r="A2827" t="str">
        <x:v>DW-2822</x:v>
      </x:c>
      <x:c r="B2827" t="str">
        <x:v>DW-0911</x:v>
      </x:c>
      <x:c r="C2827" t="str">
        <x:v>Composition héritée</x:v>
      </x:c>
      <x:c r="D2827" t="str">
        <x:v>public</x:v>
      </x:c>
      <x:c r="E2827" t="str">
        <x:v>Clinique — variante 07 — École, mairie et bâtiments civiques / arrêt de maintenance</x:v>
      </x:c>
      <x:c r="F2827" t="n">
        <x:v>8</x:v>
      </x:c>
      <x:c r="G2827" t="n">
        <x:v>6</x:v>
      </x:c>
      <x:c r="H2827" t="n">
        <x:v>0</x:v>
      </x:c>
      <x:c r="I2827" t="str">
        <x:v>À qualifier par lieu</x:v>
      </x:c>
      <x:c r="J2827" t="str">
        <x:v>https://github.com/darknigthmare/deadwall-last-enclosure/blob/e28f46223e73105ab2c5d83f3d50b99b58ef53e6/codex-3000/compositions/public/DW-2822.md</x:v>
      </x:c>
      <x:c r="K2827" t="str">
        <x:v>Source min 56,13 m ; max 56,13 m ; modèle 56 × 22 m ; niveaux 0. Détails dans catalogue-existant.json.</x:v>
      </x:c>
    </x:row>
    <x:row r="2828">
      <x:c r="A2828" t="str">
        <x:v>DW-2823</x:v>
      </x:c>
      <x:c r="B2828" t="str">
        <x:v>DW-0912</x:v>
      </x:c>
      <x:c r="C2828" t="str">
        <x:v>Composition héritée</x:v>
      </x:c>
      <x:c r="D2828" t="str">
        <x:v>public</x:v>
      </x:c>
      <x:c r="E2828" t="str">
        <x:v>Caserne de pompiers — variante 07 — Centre d’évacuation abandonné / repli organisé interrompu</x:v>
      </x:c>
      <x:c r="F2828" t="n">
        <x:v>8</x:v>
      </x:c>
      <x:c r="G2828" t="n">
        <x:v>6</x:v>
      </x:c>
      <x:c r="H2828" t="n">
        <x:v>0</x:v>
      </x:c>
      <x:c r="I2828" t="str">
        <x:v>À qualifier par lieu</x:v>
      </x:c>
      <x:c r="J2828" t="str">
        <x:v>https://github.com/darknigthmare/deadwall-last-enclosure/blob/e28f46223e73105ab2c5d83f3d50b99b58ef53e6/codex-3000/compositions/public/DW-2823.md</x:v>
      </x:c>
      <x:c r="K2828" t="str">
        <x:v>Source min 67,30 m ; max 67,30 m ; modèle 67 × 30 m ; niveaux 0. Détails dans catalogue-existant.json.</x:v>
      </x:c>
    </x:row>
    <x:row r="2829">
      <x:c r="A2829" t="str">
        <x:v>DW-2824</x:v>
      </x:c>
      <x:c r="B2829" t="str">
        <x:v>DW-0912</x:v>
      </x:c>
      <x:c r="C2829" t="str">
        <x:v>Composition héritée</x:v>
      </x:c>
      <x:c r="D2829" t="str">
        <x:v>public</x:v>
      </x:c>
      <x:c r="E2829" t="str">
        <x:v>Caserne de pompiers — variante 07 — Ville moyenne / première récupération passée</x:v>
      </x:c>
      <x:c r="F2829" t="n">
        <x:v>8</x:v>
      </x:c>
      <x:c r="G2829" t="n">
        <x:v>6</x:v>
      </x:c>
      <x:c r="H2829" t="n">
        <x:v>0</x:v>
      </x:c>
      <x:c r="I2829" t="str">
        <x:v>À qualifier par lieu</x:v>
      </x:c>
      <x:c r="J2829" t="str">
        <x:v>https://github.com/darknigthmare/deadwall-last-enclosure/blob/e28f46223e73105ab2c5d83f3d50b99b58ef53e6/codex-3000/compositions/public/DW-2824.md</x:v>
      </x:c>
      <x:c r="K2829" t="str">
        <x:v>Source min 67,30 m ; max 67,30 m ; modèle 67 × 30 m ; niveaux 0. Détails dans catalogue-existant.json.</x:v>
      </x:c>
    </x:row>
    <x:row r="2830">
      <x:c r="A2830" t="str">
        <x:v>DW-2825</x:v>
      </x:c>
      <x:c r="B2830" t="str">
        <x:v>DW-0913</x:v>
      </x:c>
      <x:c r="C2830" t="str">
        <x:v>Composition héritée</x:v>
      </x:c>
      <x:c r="D2830" t="str">
        <x:v>public</x:v>
      </x:c>
      <x:c r="E2830" t="str">
        <x:v>Poste de police — variante 07 — École, mairie et bâtiments civiques / évacuation interrompue</x:v>
      </x:c>
      <x:c r="F2830" t="n">
        <x:v>8</x:v>
      </x:c>
      <x:c r="G2830" t="n">
        <x:v>5</x:v>
      </x:c>
      <x:c r="H2830" t="n">
        <x:v>0</x:v>
      </x:c>
      <x:c r="I2830" t="str">
        <x:v>À qualifier par lieu</x:v>
      </x:c>
      <x:c r="J2830" t="str">
        <x:v>https://github.com/darknigthmare/deadwall-last-enclosure/blob/e28f46223e73105ab2c5d83f3d50b99b58ef53e6/codex-3000/compositions/public/DW-2825.md</x:v>
      </x:c>
      <x:c r="K2830" t="str">
        <x:v>Source min 78,47 m ; max 78,47 m ; modèle 78 × 47 m ; niveaux 0, 1. Détails dans catalogue-existant.json.</x:v>
      </x:c>
    </x:row>
    <x:row r="2831">
      <x:c r="A2831" t="str">
        <x:v>DW-2826</x:v>
      </x:c>
      <x:c r="B2831" t="str">
        <x:v>DW-0913</x:v>
      </x:c>
      <x:c r="C2831" t="str">
        <x:v>Composition héritée</x:v>
      </x:c>
      <x:c r="D2831" t="str">
        <x:v>public</x:v>
      </x:c>
      <x:c r="E2831" t="str">
        <x:v>Poste de police — variante 07 — Village et bourg / service déplacé à l’arrière</x:v>
      </x:c>
      <x:c r="F2831" t="n">
        <x:v>8</x:v>
      </x:c>
      <x:c r="G2831" t="n">
        <x:v>5</x:v>
      </x:c>
      <x:c r="H2831" t="n">
        <x:v>0</x:v>
      </x:c>
      <x:c r="I2831" t="str">
        <x:v>À qualifier par lieu</x:v>
      </x:c>
      <x:c r="J2831" t="str">
        <x:v>https://github.com/darknigthmare/deadwall-last-enclosure/blob/e28f46223e73105ab2c5d83f3d50b99b58ef53e6/codex-3000/compositions/public/DW-2826.md</x:v>
      </x:c>
      <x:c r="K2831" t="str">
        <x:v>Source min 78,47 m ; max 78,47 m ; modèle 78 × 47 m ; niveaux 0, 1. Détails dans catalogue-existant.json.</x:v>
      </x:c>
    </x:row>
    <x:row r="2832">
      <x:c r="A2832" t="str">
        <x:v>DW-2827</x:v>
      </x:c>
      <x:c r="B2832" t="str">
        <x:v>DW-0914</x:v>
      </x:c>
      <x:c r="C2832" t="str">
        <x:v>Composition héritée</x:v>
      </x:c>
      <x:c r="D2832" t="str">
        <x:v>public</x:v>
      </x:c>
      <x:c r="E2832" t="str">
        <x:v>Bibliothèque — variante 07 — Ville moyenne / arrêt de maintenance</x:v>
      </x:c>
      <x:c r="F2832" t="n">
        <x:v>8</x:v>
      </x:c>
      <x:c r="G2832" t="n">
        <x:v>5</x:v>
      </x:c>
      <x:c r="H2832" t="n">
        <x:v>0</x:v>
      </x:c>
      <x:c r="I2832" t="str">
        <x:v>À qualifier par lieu</x:v>
      </x:c>
      <x:c r="J2832" t="str">
        <x:v>https://github.com/darknigthmare/deadwall-last-enclosure/blob/e28f46223e73105ab2c5d83f3d50b99b58ef53e6/codex-3000/compositions/public/DW-2827.md</x:v>
      </x:c>
      <x:c r="K2832" t="str">
        <x:v>Source min 17,10 m ; max 17,10 m ; modèle 26 × 22 m ; niveaux 0. Détails dans catalogue-existant.json.</x:v>
      </x:c>
    </x:row>
    <x:row r="2833">
      <x:c r="A2833" t="str">
        <x:v>DW-2828</x:v>
      </x:c>
      <x:c r="B2833" t="str">
        <x:v>DW-0914</x:v>
      </x:c>
      <x:c r="C2833" t="str">
        <x:v>Composition héritée</x:v>
      </x:c>
      <x:c r="D2833" t="str">
        <x:v>public</x:v>
      </x:c>
      <x:c r="E2833" t="str">
        <x:v>Bibliothèque — variante 07 — Centre d’évacuation abandonné / reprise progressive de la végétation</x:v>
      </x:c>
      <x:c r="F2833" t="n">
        <x:v>8</x:v>
      </x:c>
      <x:c r="G2833" t="n">
        <x:v>5</x:v>
      </x:c>
      <x:c r="H2833" t="n">
        <x:v>0</x:v>
      </x:c>
      <x:c r="I2833" t="str">
        <x:v>À qualifier par lieu</x:v>
      </x:c>
      <x:c r="J2833" t="str">
        <x:v>https://github.com/darknigthmare/deadwall-last-enclosure/blob/e28f46223e73105ab2c5d83f3d50b99b58ef53e6/codex-3000/compositions/public/DW-2828.md</x:v>
      </x:c>
      <x:c r="K2833" t="str">
        <x:v>Source min 17,10 m ; max 17,10 m ; modèle 26 × 22 m ; niveaux 0. Détails dans catalogue-existant.json.</x:v>
      </x:c>
    </x:row>
    <x:row r="2834">
      <x:c r="A2834" t="str">
        <x:v>DW-2829</x:v>
      </x:c>
      <x:c r="B2834" t="str">
        <x:v>DW-0915</x:v>
      </x:c>
      <x:c r="C2834" t="str">
        <x:v>Composition héritée</x:v>
      </x:c>
      <x:c r="D2834" t="str">
        <x:v>public</x:v>
      </x:c>
      <x:c r="E2834" t="str">
        <x:v>Salle des fêtes — variante 07 — Village et bourg / première récupération passée</x:v>
      </x:c>
      <x:c r="F2834" t="n">
        <x:v>8</x:v>
      </x:c>
      <x:c r="G2834" t="n">
        <x:v>5</x:v>
      </x:c>
      <x:c r="H2834" t="n">
        <x:v>0</x:v>
      </x:c>
      <x:c r="I2834" t="str">
        <x:v>À qualifier par lieu</x:v>
      </x:c>
      <x:c r="J2834" t="str">
        <x:v>https://github.com/darknigthmare/deadwall-last-enclosure/blob/e28f46223e73105ab2c5d83f3d50b99b58ef53e6/codex-3000/compositions/public/DW-2829.md</x:v>
      </x:c>
      <x:c r="K2834" t="str">
        <x:v>Source min 28,27 m ; max 28,27 m ; modèle 28 × 27 m ; niveaux 0. Détails dans catalogue-existant.json.</x:v>
      </x:c>
    </x:row>
    <x:row r="2835">
      <x:c r="A2835" t="str">
        <x:v>DW-2830</x:v>
      </x:c>
      <x:c r="B2835" t="str">
        <x:v>DW-0915</x:v>
      </x:c>
      <x:c r="C2835" t="str">
        <x:v>Composition héritée</x:v>
      </x:c>
      <x:c r="D2835" t="str">
        <x:v>public</x:v>
      </x:c>
      <x:c r="E2835" t="str">
        <x:v>Salle des fêtes — variante 07 — École, mairie et bâtiments civiques / relais temporaire envisagé</x:v>
      </x:c>
      <x:c r="F2835" t="n">
        <x:v>8</x:v>
      </x:c>
      <x:c r="G2835" t="n">
        <x:v>5</x:v>
      </x:c>
      <x:c r="H2835" t="n">
        <x:v>0</x:v>
      </x:c>
      <x:c r="I2835" t="str">
        <x:v>À qualifier par lieu</x:v>
      </x:c>
      <x:c r="J2835" t="str">
        <x:v>https://github.com/darknigthmare/deadwall-last-enclosure/blob/e28f46223e73105ab2c5d83f3d50b99b58ef53e6/codex-3000/compositions/public/DW-2830.md</x:v>
      </x:c>
      <x:c r="K2835" t="str">
        <x:v>Source min 28,27 m ; max 28,27 m ; modèle 28 × 27 m ; niveaux 0. Détails dans catalogue-existant.json.</x:v>
      </x:c>
    </x:row>
    <x:row r="2836">
      <x:c r="A2836" t="str">
        <x:v>DW-2831</x:v>
      </x:c>
      <x:c r="B2836" t="str">
        <x:v>DW-0916</x:v>
      </x:c>
      <x:c r="C2836" t="str">
        <x:v>Composition héritée</x:v>
      </x:c>
      <x:c r="D2836" t="str">
        <x:v>public</x:v>
      </x:c>
      <x:c r="E2836" t="str">
        <x:v>Église et presbytère — variante 07 — Centre d’évacuation abandonné / service déplacé à l’arrière</x:v>
      </x:c>
      <x:c r="F2836" t="n">
        <x:v>8</x:v>
      </x:c>
      <x:c r="G2836" t="n">
        <x:v>5</x:v>
      </x:c>
      <x:c r="H2836" t="n">
        <x:v>0</x:v>
      </x:c>
      <x:c r="I2836" t="str">
        <x:v>À qualifier par lieu</x:v>
      </x:c>
      <x:c r="J2836" t="str">
        <x:v>https://github.com/darknigthmare/deadwall-last-enclosure/blob/e28f46223e73105ab2c5d83f3d50b99b58ef53e6/codex-3000/compositions/public/DW-2831.md</x:v>
      </x:c>
      <x:c r="K2836" t="str">
        <x:v>Source min 39,44 m ; max 39,44 m ; modèle 39 × 44 m ; niveaux 0. Détails dans catalogue-existant.json.</x:v>
      </x:c>
    </x:row>
    <x:row r="2837">
      <x:c r="A2837" t="str">
        <x:v>DW-2832</x:v>
      </x:c>
      <x:c r="B2837" t="str">
        <x:v>DW-0916</x:v>
      </x:c>
      <x:c r="C2837" t="str">
        <x:v>Composition héritée</x:v>
      </x:c>
      <x:c r="D2837" t="str">
        <x:v>public</x:v>
      </x:c>
      <x:c r="E2837" t="str">
        <x:v>Église et presbytère — variante 07 — Ville moyenne / réseau principal coupé</x:v>
      </x:c>
      <x:c r="F2837" t="n">
        <x:v>8</x:v>
      </x:c>
      <x:c r="G2837" t="n">
        <x:v>5</x:v>
      </x:c>
      <x:c r="H2837" t="n">
        <x:v>0</x:v>
      </x:c>
      <x:c r="I2837" t="str">
        <x:v>À qualifier par lieu</x:v>
      </x:c>
      <x:c r="J2837" t="str">
        <x:v>https://github.com/darknigthmare/deadwall-last-enclosure/blob/e28f46223e73105ab2c5d83f3d50b99b58ef53e6/codex-3000/compositions/public/DW-2832.md</x:v>
      </x:c>
      <x:c r="K2837" t="str">
        <x:v>Source min 39,44 m ; max 39,44 m ; modèle 39 × 44 m ; niveaux 0. Détails dans catalogue-existant.json.</x:v>
      </x:c>
    </x:row>
    <x:row r="2838">
      <x:c r="A2838" t="str">
        <x:v>DW-2833</x:v>
      </x:c>
      <x:c r="B2838" t="str">
        <x:v>DW-0917</x:v>
      </x:c>
      <x:c r="C2838" t="str">
        <x:v>Composition héritée</x:v>
      </x:c>
      <x:c r="D2838" t="str">
        <x:v>rural</x:v>
      </x:c>
      <x:c r="E2838" t="str">
        <x:v>Hameau agricole — variante 07 — Ferme, verger et pâtures / reprise progressive de la végétation</x:v>
      </x:c>
      <x:c r="F2838" t="n">
        <x:v>8</x:v>
      </x:c>
      <x:c r="G2838" t="n">
        <x:v>6</x:v>
      </x:c>
      <x:c r="H2838" t="n">
        <x:v>0</x:v>
      </x:c>
      <x:c r="I2838" t="str">
        <x:v>À qualifier par lieu</x:v>
      </x:c>
      <x:c r="J2838" t="str">
        <x:v>https://github.com/darknigthmare/deadwall-last-enclosure/blob/e28f46223e73105ab2c5d83f3d50b99b58ef53e6/codex-3000/compositions/rural/DW-2833.md</x:v>
      </x:c>
      <x:c r="K2838" t="str">
        <x:v>Source min 50,61 m ; max 50,61 m ; modèle 50 × 61 m ; niveaux 0. Détails dans catalogue-existant.json.</x:v>
      </x:c>
    </x:row>
    <x:row r="2839">
      <x:c r="A2839" t="str">
        <x:v>DW-2834</x:v>
      </x:c>
      <x:c r="B2839" t="str">
        <x:v>DW-0917</x:v>
      </x:c>
      <x:c r="C2839" t="str">
        <x:v>Composition héritée</x:v>
      </x:c>
      <x:c r="D2839" t="str">
        <x:v>rural</x:v>
      </x:c>
      <x:c r="E2839" t="str">
        <x:v>Hameau agricole — variante 07 — Petit bois et lisière / repli organisé interrompu</x:v>
      </x:c>
      <x:c r="F2839" t="n">
        <x:v>8</x:v>
      </x:c>
      <x:c r="G2839" t="n">
        <x:v>6</x:v>
      </x:c>
      <x:c r="H2839" t="n">
        <x:v>0</x:v>
      </x:c>
      <x:c r="I2839" t="str">
        <x:v>À qualifier par lieu</x:v>
      </x:c>
      <x:c r="J2839" t="str">
        <x:v>https://github.com/darknigthmare/deadwall-last-enclosure/blob/e28f46223e73105ab2c5d83f3d50b99b58ef53e6/codex-3000/compositions/rural/DW-2834.md</x:v>
      </x:c>
      <x:c r="K2839" t="str">
        <x:v>Source min 50,61 m ; max 50,61 m ; modèle 50 × 61 m ; niveaux 0. Détails dans catalogue-existant.json.</x:v>
      </x:c>
    </x:row>
    <x:row r="2840">
      <x:c r="A2840" t="str">
        <x:v>DW-2835</x:v>
      </x:c>
      <x:c r="B2840" t="str">
        <x:v>DW-0918</x:v>
      </x:c>
      <x:c r="C2840" t="str">
        <x:v>Composition héritée</x:v>
      </x:c>
      <x:c r="D2840" t="str">
        <x:v>rural</x:v>
      </x:c>
      <x:c r="E2840" t="str">
        <x:v>Cabane forestière — variante 07 — Prairie et friche ouverte / relais temporaire envisagé</x:v>
      </x:c>
      <x:c r="F2840" t="n">
        <x:v>8</x:v>
      </x:c>
      <x:c r="G2840" t="n">
        <x:v>4</x:v>
      </x:c>
      <x:c r="H2840" t="n">
        <x:v>0</x:v>
      </x:c>
      <x:c r="I2840" t="str">
        <x:v>À qualifier par lieu</x:v>
      </x:c>
      <x:c r="J2840" t="str">
        <x:v>https://github.com/darknigthmare/deadwall-last-enclosure/blob/e28f46223e73105ab2c5d83f3d50b99b58ef53e6/codex-3000/compositions/rural/DW-2835.md</x:v>
      </x:c>
      <x:c r="K2840" t="str">
        <x:v>Source min 61,24 m ; max 61,24 m ; modèle 61 × 24 m ; niveaux 0. Détails dans catalogue-existant.json.</x:v>
      </x:c>
    </x:row>
    <x:row r="2841">
      <x:c r="A2841" t="str">
        <x:v>DW-2836</x:v>
      </x:c>
      <x:c r="B2841" t="str">
        <x:v>DW-0918</x:v>
      </x:c>
      <x:c r="C2841" t="str">
        <x:v>Composition héritée</x:v>
      </x:c>
      <x:c r="D2841" t="str">
        <x:v>rural</x:v>
      </x:c>
      <x:c r="E2841" t="str">
        <x:v>Cabane forestière — variante 07 — Hameau / évacuation interrompue</x:v>
      </x:c>
      <x:c r="F2841" t="n">
        <x:v>8</x:v>
      </x:c>
      <x:c r="G2841" t="n">
        <x:v>4</x:v>
      </x:c>
      <x:c r="H2841" t="n">
        <x:v>0</x:v>
      </x:c>
      <x:c r="I2841" t="str">
        <x:v>À qualifier par lieu</x:v>
      </x:c>
      <x:c r="J2841" t="str">
        <x:v>https://github.com/darknigthmare/deadwall-last-enclosure/blob/e28f46223e73105ab2c5d83f3d50b99b58ef53e6/codex-3000/compositions/rural/DW-2836.md</x:v>
      </x:c>
      <x:c r="K2841" t="str">
        <x:v>Source min 61,24 m ; max 61,24 m ; modèle 61 × 24 m ; niveaux 0. Détails dans catalogue-existant.json.</x:v>
      </x:c>
    </x:row>
    <x:row r="2842">
      <x:c r="A2842" t="str">
        <x:v>DW-2837</x:v>
      </x:c>
      <x:c r="B2842" t="str">
        <x:v>DW-0919</x:v>
      </x:c>
      <x:c r="C2842" t="str">
        <x:v>Composition héritée</x:v>
      </x:c>
      <x:c r="D2842" t="str">
        <x:v>rural</x:v>
      </x:c>
      <x:c r="E2842" t="str">
        <x:v>Dépôt forestier — variante 07 — Petit bois et lisière / réseau principal coupé</x:v>
      </x:c>
      <x:c r="F2842" t="n">
        <x:v>8</x:v>
      </x:c>
      <x:c r="G2842" t="n">
        <x:v>5</x:v>
      </x:c>
      <x:c r="H2842" t="n">
        <x:v>0</x:v>
      </x:c>
      <x:c r="I2842" t="str">
        <x:v>À qualifier par lieu</x:v>
      </x:c>
      <x:c r="J2842" t="str">
        <x:v>https://github.com/darknigthmare/deadwall-last-enclosure/blob/e28f46223e73105ab2c5d83f3d50b99b58ef53e6/codex-3000/compositions/rural/DW-2837.md</x:v>
      </x:c>
      <x:c r="K2842" t="str">
        <x:v>Source min 72,41 m ; max 72,41 m ; modèle 72 × 41 m ; niveaux 0. Détails dans catalogue-existant.json.</x:v>
      </x:c>
    </x:row>
    <x:row r="2843">
      <x:c r="A2843" t="str">
        <x:v>DW-2838</x:v>
      </x:c>
      <x:c r="B2843" t="str">
        <x:v>DW-0919</x:v>
      </x:c>
      <x:c r="C2843" t="str">
        <x:v>Composition héritée</x:v>
      </x:c>
      <x:c r="D2843" t="str">
        <x:v>rural</x:v>
      </x:c>
      <x:c r="E2843" t="str">
        <x:v>Dépôt forestier — variante 07 — Ferme, verger et pâtures / arrêt de maintenance</x:v>
      </x:c>
      <x:c r="F2843" t="n">
        <x:v>8</x:v>
      </x:c>
      <x:c r="G2843" t="n">
        <x:v>5</x:v>
      </x:c>
      <x:c r="H2843" t="n">
        <x:v>0</x:v>
      </x:c>
      <x:c r="I2843" t="str">
        <x:v>À qualifier par lieu</x:v>
      </x:c>
      <x:c r="J2843" t="str">
        <x:v>https://github.com/darknigthmare/deadwall-last-enclosure/blob/e28f46223e73105ab2c5d83f3d50b99b58ef53e6/codex-3000/compositions/rural/DW-2838.md</x:v>
      </x:c>
      <x:c r="K2843" t="str">
        <x:v>Source min 72,41 m ; max 72,41 m ; modèle 72 × 41 m ; niveaux 0. Détails dans catalogue-existant.json.</x:v>
      </x:c>
    </x:row>
    <x:row r="2844">
      <x:c r="A2844" t="str">
        <x:v>DW-2839</x:v>
      </x:c>
      <x:c r="B2844" t="str">
        <x:v>DW-0920</x:v>
      </x:c>
      <x:c r="C2844" t="str">
        <x:v>Composition héritée</x:v>
      </x:c>
      <x:c r="D2844" t="str">
        <x:v>rural</x:v>
      </x:c>
      <x:c r="E2844" t="str">
        <x:v>Ferme céréalière — variante 07 — Hameau / repli organisé interrompu</x:v>
      </x:c>
      <x:c r="F2844" t="n">
        <x:v>8</x:v>
      </x:c>
      <x:c r="G2844" t="n">
        <x:v>5</x:v>
      </x:c>
      <x:c r="H2844" t="n">
        <x:v>0</x:v>
      </x:c>
      <x:c r="I2844" t="str">
        <x:v>À qualifier par lieu</x:v>
      </x:c>
      <x:c r="J2844" t="str">
        <x:v>https://github.com/darknigthmare/deadwall-last-enclosure/blob/e28f46223e73105ab2c5d83f3d50b99b58ef53e6/codex-3000/compositions/rural/DW-2839.md</x:v>
      </x:c>
      <x:c r="K2844" t="str">
        <x:v>Source min 11,58 m ; max 11,58 m ; modèle 26 × 58 m ; niveaux 0. Détails dans catalogue-existant.json.</x:v>
      </x:c>
    </x:row>
    <x:row r="2845">
      <x:c r="A2845" t="str">
        <x:v>DW-2840</x:v>
      </x:c>
      <x:c r="B2845" t="str">
        <x:v>DW-0920</x:v>
      </x:c>
      <x:c r="C2845" t="str">
        <x:v>Composition héritée</x:v>
      </x:c>
      <x:c r="D2845" t="str">
        <x:v>rural</x:v>
      </x:c>
      <x:c r="E2845" t="str">
        <x:v>Ferme céréalière — variante 07 — Prairie et friche ouverte / première récupération passée</x:v>
      </x:c>
      <x:c r="F2845" t="n">
        <x:v>8</x:v>
      </x:c>
      <x:c r="G2845" t="n">
        <x:v>5</x:v>
      </x:c>
      <x:c r="H2845" t="n">
        <x:v>0</x:v>
      </x:c>
      <x:c r="I2845" t="str">
        <x:v>À qualifier par lieu</x:v>
      </x:c>
      <x:c r="J2845" t="str">
        <x:v>https://github.com/darknigthmare/deadwall-last-enclosure/blob/e28f46223e73105ab2c5d83f3d50b99b58ef53e6/codex-3000/compositions/rural/DW-2840.md</x:v>
      </x:c>
      <x:c r="K2845" t="str">
        <x:v>Source min 11,58 m ; max 11,58 m ; modèle 26 × 58 m ; niveaux 0. Détails dans catalogue-existant.json.</x:v>
      </x:c>
    </x:row>
    <x:row r="2846">
      <x:c r="A2846" t="str">
        <x:v>DW-2841</x:v>
      </x:c>
      <x:c r="B2846" t="str">
        <x:v>DW-0921</x:v>
      </x:c>
      <x:c r="C2846" t="str">
        <x:v>Composition héritée</x:v>
      </x:c>
      <x:c r="D2846" t="str">
        <x:v>rural</x:v>
      </x:c>
      <x:c r="E2846" t="str">
        <x:v>Ferme d'élevage — variante 07 — Ferme, verger et pâtures / évacuation interrompue</x:v>
      </x:c>
      <x:c r="F2846" t="n">
        <x:v>8</x:v>
      </x:c>
      <x:c r="G2846" t="n">
        <x:v>5</x:v>
      </x:c>
      <x:c r="H2846" t="n">
        <x:v>0</x:v>
      </x:c>
      <x:c r="I2846" t="str">
        <x:v>À qualifier par lieu</x:v>
      </x:c>
      <x:c r="J2846" t="str">
        <x:v>https://github.com/darknigthmare/deadwall-last-enclosure/blob/e28f46223e73105ab2c5d83f3d50b99b58ef53e6/codex-3000/compositions/rural/DW-2841.md</x:v>
      </x:c>
      <x:c r="K2846" t="str">
        <x:v>Source min 22,21 m ; max 22,21 m ; modèle 26 × 22 m ; niveaux 0. Détails dans catalogue-existant.json.</x:v>
      </x:c>
    </x:row>
    <x:row r="2847">
      <x:c r="A2847" t="str">
        <x:v>DW-2842</x:v>
      </x:c>
      <x:c r="B2847" t="str">
        <x:v>DW-0921</x:v>
      </x:c>
      <x:c r="C2847" t="str">
        <x:v>Composition héritée</x:v>
      </x:c>
      <x:c r="D2847" t="str">
        <x:v>rural</x:v>
      </x:c>
      <x:c r="E2847" t="str">
        <x:v>Ferme d'élevage — variante 07 — Petit bois et lisière / service déplacé à l’arrière</x:v>
      </x:c>
      <x:c r="F2847" t="n">
        <x:v>8</x:v>
      </x:c>
      <x:c r="G2847" t="n">
        <x:v>5</x:v>
      </x:c>
      <x:c r="H2847" t="n">
        <x:v>0</x:v>
      </x:c>
      <x:c r="I2847" t="str">
        <x:v>À qualifier par lieu</x:v>
      </x:c>
      <x:c r="J2847" t="str">
        <x:v>https://github.com/darknigthmare/deadwall-last-enclosure/blob/e28f46223e73105ab2c5d83f3d50b99b58ef53e6/codex-3000/compositions/rural/DW-2842.md</x:v>
      </x:c>
      <x:c r="K2847" t="str">
        <x:v>Source min 22,21 m ; max 22,21 m ; modèle 26 × 22 m ; niveaux 0. Détails dans catalogue-existant.json.</x:v>
      </x:c>
    </x:row>
    <x:row r="2848">
      <x:c r="A2848" t="str">
        <x:v>DW-2843</x:v>
      </x:c>
      <x:c r="B2848" t="str">
        <x:v>DW-0922</x:v>
      </x:c>
      <x:c r="C2848" t="str">
        <x:v>Composition héritée</x:v>
      </x:c>
      <x:c r="D2848" t="str">
        <x:v>rural</x:v>
      </x:c>
      <x:c r="E2848" t="str">
        <x:v>Relais de chasse — variante 07 — Prairie et friche ouverte / arrêt de maintenance</x:v>
      </x:c>
      <x:c r="F2848" t="n">
        <x:v>8</x:v>
      </x:c>
      <x:c r="G2848" t="n">
        <x:v>4</x:v>
      </x:c>
      <x:c r="H2848" t="n">
        <x:v>0</x:v>
      </x:c>
      <x:c r="I2848" t="str">
        <x:v>À qualifier par lieu</x:v>
      </x:c>
      <x:c r="J2848" t="str">
        <x:v>https://github.com/darknigthmare/deadwall-last-enclosure/blob/e28f46223e73105ab2c5d83f3d50b99b58ef53e6/codex-3000/compositions/rural/DW-2843.md</x:v>
      </x:c>
      <x:c r="K2848" t="str">
        <x:v>Source min 33,38 m ; max 33,38 m ; modèle 33 × 38 m ; niveaux 0. Détails dans catalogue-existant.json.</x:v>
      </x:c>
    </x:row>
    <x:row r="2849">
      <x:c r="A2849" t="str">
        <x:v>DW-2844</x:v>
      </x:c>
      <x:c r="B2849" t="str">
        <x:v>DW-0922</x:v>
      </x:c>
      <x:c r="C2849" t="str">
        <x:v>Composition héritée</x:v>
      </x:c>
      <x:c r="D2849" t="str">
        <x:v>rural</x:v>
      </x:c>
      <x:c r="E2849" t="str">
        <x:v>Relais de chasse — variante 07 — Hameau / reprise progressive de la végétation</x:v>
      </x:c>
      <x:c r="F2849" t="n">
        <x:v>8</x:v>
      </x:c>
      <x:c r="G2849" t="n">
        <x:v>4</x:v>
      </x:c>
      <x:c r="H2849" t="n">
        <x:v>0</x:v>
      </x:c>
      <x:c r="I2849" t="str">
        <x:v>À qualifier par lieu</x:v>
      </x:c>
      <x:c r="J2849" t="str">
        <x:v>https://github.com/darknigthmare/deadwall-last-enclosure/blob/e28f46223e73105ab2c5d83f3d50b99b58ef53e6/codex-3000/compositions/rural/DW-2844.md</x:v>
      </x:c>
      <x:c r="K2849" t="str">
        <x:v>Source min 33,38 m ; max 33,38 m ; modèle 33 × 38 m ; niveaux 0. Détails dans catalogue-existant.json.</x:v>
      </x:c>
    </x:row>
    <x:row r="2850">
      <x:c r="A2850" t="str">
        <x:v>DW-2845</x:v>
      </x:c>
      <x:c r="B2850" t="str">
        <x:v>DW-0923</x:v>
      </x:c>
      <x:c r="C2850" t="str">
        <x:v>Composition héritée</x:v>
      </x:c>
      <x:c r="D2850" t="str">
        <x:v>rural</x:v>
      </x:c>
      <x:c r="E2850" t="str">
        <x:v>Moulin rural — variante 07 — Petit bois et lisière / première récupération passée</x:v>
      </x:c>
      <x:c r="F2850" t="n">
        <x:v>8</x:v>
      </x:c>
      <x:c r="G2850" t="n">
        <x:v>4</x:v>
      </x:c>
      <x:c r="H2850" t="n">
        <x:v>0</x:v>
      </x:c>
      <x:c r="I2850" t="str">
        <x:v>À qualifier par lieu</x:v>
      </x:c>
      <x:c r="J2850" t="str">
        <x:v>https://github.com/darknigthmare/deadwall-last-enclosure/blob/e28f46223e73105ab2c5d83f3d50b99b58ef53e6/codex-3000/compositions/rural/DW-2845.md</x:v>
      </x:c>
      <x:c r="K2850" t="str">
        <x:v>Source min 44,55 m ; max 44,55 m ; modèle 44 × 55 m ; niveaux 0. Détails dans catalogue-existant.json.</x:v>
      </x:c>
    </x:row>
    <x:row r="2851">
      <x:c r="A2851" t="str">
        <x:v>DW-2846</x:v>
      </x:c>
      <x:c r="B2851" t="str">
        <x:v>DW-0923</x:v>
      </x:c>
      <x:c r="C2851" t="str">
        <x:v>Composition héritée</x:v>
      </x:c>
      <x:c r="D2851" t="str">
        <x:v>rural</x:v>
      </x:c>
      <x:c r="E2851" t="str">
        <x:v>Moulin rural — variante 07 — Ferme, verger et pâtures / relais temporaire envisagé</x:v>
      </x:c>
      <x:c r="F2851" t="n">
        <x:v>8</x:v>
      </x:c>
      <x:c r="G2851" t="n">
        <x:v>4</x:v>
      </x:c>
      <x:c r="H2851" t="n">
        <x:v>0</x:v>
      </x:c>
      <x:c r="I2851" t="str">
        <x:v>À qualifier par lieu</x:v>
      </x:c>
      <x:c r="J2851" t="str">
        <x:v>https://github.com/darknigthmare/deadwall-last-enclosure/blob/e28f46223e73105ab2c5d83f3d50b99b58ef53e6/codex-3000/compositions/rural/DW-2846.md</x:v>
      </x:c>
      <x:c r="K2851" t="str">
        <x:v>Source min 44,55 m ; max 44,55 m ; modèle 44 × 55 m ; niveaux 0. Détails dans catalogue-existant.json.</x:v>
      </x:c>
    </x:row>
    <x:row r="2852">
      <x:c r="A2852" t="str">
        <x:v>DW-2847</x:v>
      </x:c>
      <x:c r="B2852" t="str">
        <x:v>DW-0924</x:v>
      </x:c>
      <x:c r="C2852" t="str">
        <x:v>Composition héritée</x:v>
      </x:c>
      <x:c r="D2852" t="str">
        <x:v>rural</x:v>
      </x:c>
      <x:c r="E2852" t="str">
        <x:v>Serres maraîchères — variante 07 — Hameau / service déplacé à l’arrière</x:v>
      </x:c>
      <x:c r="F2852" t="n">
        <x:v>8</x:v>
      </x:c>
      <x:c r="G2852" t="n">
        <x:v>5</x:v>
      </x:c>
      <x:c r="H2852" t="n">
        <x:v>0</x:v>
      </x:c>
      <x:c r="I2852" t="str">
        <x:v>À qualifier par lieu</x:v>
      </x:c>
      <x:c r="J2852" t="str">
        <x:v>https://github.com/darknigthmare/deadwall-last-enclosure/blob/e28f46223e73105ab2c5d83f3d50b99b58ef53e6/codex-3000/compositions/rural/DW-2847.md</x:v>
      </x:c>
      <x:c r="K2852" t="str">
        <x:v>Source min 55,18 m ; max 55,18 m ; modèle 55 × 22 m ; niveaux 0. Détails dans catalogue-existant.json.</x:v>
      </x:c>
    </x:row>
    <x:row r="2853">
      <x:c r="A2853" t="str">
        <x:v>DW-2848</x:v>
      </x:c>
      <x:c r="B2853" t="str">
        <x:v>DW-0924</x:v>
      </x:c>
      <x:c r="C2853" t="str">
        <x:v>Composition héritée</x:v>
      </x:c>
      <x:c r="D2853" t="str">
        <x:v>rural</x:v>
      </x:c>
      <x:c r="E2853" t="str">
        <x:v>Serres maraîchères — variante 07 — Prairie et friche ouverte / réseau principal coupé</x:v>
      </x:c>
      <x:c r="F2853" t="n">
        <x:v>8</x:v>
      </x:c>
      <x:c r="G2853" t="n">
        <x:v>5</x:v>
      </x:c>
      <x:c r="H2853" t="n">
        <x:v>0</x:v>
      </x:c>
      <x:c r="I2853" t="str">
        <x:v>À qualifier par lieu</x:v>
      </x:c>
      <x:c r="J2853" t="str">
        <x:v>https://github.com/darknigthmare/deadwall-last-enclosure/blob/e28f46223e73105ab2c5d83f3d50b99b58ef53e6/codex-3000/compositions/rural/DW-2848.md</x:v>
      </x:c>
      <x:c r="K2853" t="str">
        <x:v>Source min 55,18 m ; max 55,18 m ; modèle 55 × 22 m ; niveaux 0. Détails dans catalogue-existant.json.</x:v>
      </x:c>
    </x:row>
    <x:row r="2854">
      <x:c r="A2854" t="str">
        <x:v>DW-2849</x:v>
      </x:c>
      <x:c r="B2854" t="str">
        <x:v>DW-0925</x:v>
      </x:c>
      <x:c r="C2854" t="str">
        <x:v>Composition héritée</x:v>
      </x:c>
      <x:c r="D2854" t="str">
        <x:v>militaire</x:v>
      </x:c>
      <x:c r="E2854" t="str">
        <x:v>Bunker de défense civile — variante 07 — Grand camp allié / reprise progressive de la végétation</x:v>
      </x:c>
      <x:c r="F2854" t="n">
        <x:v>10</x:v>
      </x:c>
      <x:c r="G2854" t="n">
        <x:v>6</x:v>
      </x:c>
      <x:c r="H2854" t="n">
        <x:v>0</x:v>
      </x:c>
      <x:c r="I2854" t="str">
        <x:v>À qualifier par lieu</x:v>
      </x:c>
      <x:c r="J2854" t="str">
        <x:v>https://github.com/darknigthmare/deadwall-last-enclosure/blob/e28f46223e73105ab2c5d83f3d50b99b58ef53e6/codex-3000/compositions/militaire/DW-2849.md</x:v>
      </x:c>
      <x:c r="K2854" t="str">
        <x:v>Source min 66,35 m ; max 66,35 m ; modèle 66 × 35 m ; niveaux 0, 1. Détails dans catalogue-existant.json.</x:v>
      </x:c>
    </x:row>
    <x:row r="2855">
      <x:c r="A2855" t="str">
        <x:v>DW-2850</x:v>
      </x:c>
      <x:c r="B2855" t="str">
        <x:v>DW-0925</x:v>
      </x:c>
      <x:c r="C2855" t="str">
        <x:v>Composition héritée</x:v>
      </x:c>
      <x:c r="D2855" t="str">
        <x:v>militaire</x:v>
      </x:c>
      <x:c r="E2855" t="str">
        <x:v>Bunker de défense civile — variante 07 — Camp de fortune / repli organisé interrompu</x:v>
      </x:c>
      <x:c r="F2855" t="n">
        <x:v>8</x:v>
      </x:c>
      <x:c r="G2855" t="n">
        <x:v>6</x:v>
      </x:c>
      <x:c r="H2855" t="n">
        <x:v>0</x:v>
      </x:c>
      <x:c r="I2855" t="str">
        <x:v>À qualifier par lieu</x:v>
      </x:c>
      <x:c r="J2855" t="str">
        <x:v>https://github.com/darknigthmare/deadwall-last-enclosure/blob/e28f46223e73105ab2c5d83f3d50b99b58ef53e6/codex-3000/compositions/militaire/DW-2850.md</x:v>
      </x:c>
      <x:c r="K2855" t="str">
        <x:v>Source min 66,35 m ; max 66,35 m ; modèle 66 × 35 m ; niveaux 0, 1. Détails dans catalogue-existant.json.</x:v>
      </x:c>
    </x:row>
    <x:row r="2856">
      <x:c r="A2856" t="str">
        <x:v>DW-2851</x:v>
      </x:c>
      <x:c r="B2856" t="str">
        <x:v>DW-0926</x:v>
      </x:c>
      <x:c r="C2856" t="str">
        <x:v>Composition héritée</x:v>
      </x:c>
      <x:c r="D2856" t="str">
        <x:v>militaire</x:v>
      </x:c>
      <x:c r="E2856" t="str">
        <x:v>Dépôt militaire — variante 07 — Camp hostile / relais temporaire envisagé</x:v>
      </x:c>
      <x:c r="F2856" t="n">
        <x:v>10</x:v>
      </x:c>
      <x:c r="G2856" t="n">
        <x:v>5</x:v>
      </x:c>
      <x:c r="H2856" t="n">
        <x:v>0</x:v>
      </x:c>
      <x:c r="I2856" t="str">
        <x:v>À qualifier par lieu</x:v>
      </x:c>
      <x:c r="J2856" t="str">
        <x:v>https://github.com/darknigthmare/deadwall-last-enclosure/blob/e28f46223e73105ab2c5d83f3d50b99b58ef53e6/codex-3000/compositions/militaire/DW-2851.md</x:v>
      </x:c>
      <x:c r="K2856" t="str">
        <x:v>Source min 77,52 m ; max 77,52 m ; modèle 77 × 52 m ; niveaux 0. Détails dans catalogue-existant.json.</x:v>
      </x:c>
    </x:row>
    <x:row r="2857">
      <x:c r="A2857" t="str">
        <x:v>DW-2852</x:v>
      </x:c>
      <x:c r="B2857" t="str">
        <x:v>DW-0926</x:v>
      </x:c>
      <x:c r="C2857" t="str">
        <x:v>Composition héritée</x:v>
      </x:c>
      <x:c r="D2857" t="str">
        <x:v>militaire</x:v>
      </x:c>
      <x:c r="E2857" t="str">
        <x:v>Dépôt militaire — variante 07 — Centre d’évacuation abandonné / évacuation interrompue</x:v>
      </x:c>
      <x:c r="F2857" t="n">
        <x:v>8</x:v>
      </x:c>
      <x:c r="G2857" t="n">
        <x:v>5</x:v>
      </x:c>
      <x:c r="H2857" t="n">
        <x:v>0</x:v>
      </x:c>
      <x:c r="I2857" t="str">
        <x:v>À qualifier par lieu</x:v>
      </x:c>
      <x:c r="J2857" t="str">
        <x:v>https://github.com/darknigthmare/deadwall-last-enclosure/blob/e28f46223e73105ab2c5d83f3d50b99b58ef53e6/codex-3000/compositions/militaire/DW-2852.md</x:v>
      </x:c>
      <x:c r="K2857" t="str">
        <x:v>Source min 77,52 m ; max 77,52 m ; modèle 77 × 52 m ; niveaux 0. Détails dans catalogue-existant.json.</x:v>
      </x:c>
    </x:row>
    <x:row r="2858">
      <x:c r="A2858" t="str">
        <x:v>DW-2853</x:v>
      </x:c>
      <x:c r="B2858" t="str">
        <x:v>DW-0927</x:v>
      </x:c>
      <x:c r="C2858" t="str">
        <x:v>Composition héritée</x:v>
      </x:c>
      <x:c r="D2858" t="str">
        <x:v>militaire</x:v>
      </x:c>
      <x:c r="E2858" t="str">
        <x:v>Poste de contrôle — variante 07 — Camp de fortune / réseau principal coupé</x:v>
      </x:c>
      <x:c r="F2858" t="n">
        <x:v>8</x:v>
      </x:c>
      <x:c r="G2858" t="n">
        <x:v>5</x:v>
      </x:c>
      <x:c r="H2858" t="n">
        <x:v>0</x:v>
      </x:c>
      <x:c r="I2858" t="str">
        <x:v>À qualifier par lieu</x:v>
      </x:c>
      <x:c r="J2858" t="str">
        <x:v>https://github.com/darknigthmare/deadwall-last-enclosure/blob/e28f46223e73105ab2c5d83f3d50b99b58ef53e6/codex-3000/compositions/militaire/DW-2853.md</x:v>
      </x:c>
      <x:c r="K2858" t="str">
        <x:v>Source min 16,15 m ; max 16,15 m ; modèle 26 × 22 m ; niveaux 0. Détails dans catalogue-existant.json.</x:v>
      </x:c>
    </x:row>
    <x:row r="2859">
      <x:c r="A2859" t="str">
        <x:v>DW-2854</x:v>
      </x:c>
      <x:c r="B2859" t="str">
        <x:v>DW-0927</x:v>
      </x:c>
      <x:c r="C2859" t="str">
        <x:v>Composition héritée</x:v>
      </x:c>
      <x:c r="D2859" t="str">
        <x:v>militaire</x:v>
      </x:c>
      <x:c r="E2859" t="str">
        <x:v>Poste de contrôle — variante 07 — Grand camp allié / arrêt de maintenance</x:v>
      </x:c>
      <x:c r="F2859" t="n">
        <x:v>10</x:v>
      </x:c>
      <x:c r="G2859" t="n">
        <x:v>5</x:v>
      </x:c>
      <x:c r="H2859" t="n">
        <x:v>0</x:v>
      </x:c>
      <x:c r="I2859" t="str">
        <x:v>À qualifier par lieu</x:v>
      </x:c>
      <x:c r="J2859" t="str">
        <x:v>https://github.com/darknigthmare/deadwall-last-enclosure/blob/e28f46223e73105ab2c5d83f3d50b99b58ef53e6/codex-3000/compositions/militaire/DW-2854.md</x:v>
      </x:c>
      <x:c r="K2859" t="str">
        <x:v>Source min 16,15 m ; max 16,15 m ; modèle 26 × 22 m ; niveaux 0. Détails dans catalogue-existant.json.</x:v>
      </x:c>
    </x:row>
    <x:row r="2860">
      <x:c r="A2860" t="str">
        <x:v>DW-2855</x:v>
      </x:c>
      <x:c r="B2860" t="str">
        <x:v>DW-0928</x:v>
      </x:c>
      <x:c r="C2860" t="str">
        <x:v>Composition héritée</x:v>
      </x:c>
      <x:c r="D2860" t="str">
        <x:v>militaire</x:v>
      </x:c>
      <x:c r="E2860" t="str">
        <x:v>Camp retranché abandonné — variante 07 — Centre d’évacuation abandonné / repli organisé interrompu</x:v>
      </x:c>
      <x:c r="F2860" t="n">
        <x:v>8</x:v>
      </x:c>
      <x:c r="G2860" t="n">
        <x:v>5</x:v>
      </x:c>
      <x:c r="H2860" t="n">
        <x:v>0</x:v>
      </x:c>
      <x:c r="I2860" t="str">
        <x:v>À qualifier par lieu</x:v>
      </x:c>
      <x:c r="J2860" t="str">
        <x:v>https://github.com/darknigthmare/deadwall-last-enclosure/blob/e28f46223e73105ab2c5d83f3d50b99b58ef53e6/codex-3000/compositions/militaire/DW-2855.md</x:v>
      </x:c>
      <x:c r="K2860" t="str">
        <x:v>Source min 27,32 m ; max 27,32 m ; modèle 27 × 32 m ; niveaux 0. Détails dans catalogue-existant.json.</x:v>
      </x:c>
    </x:row>
    <x:row r="2861">
      <x:c r="A2861" t="str">
        <x:v>DW-2856</x:v>
      </x:c>
      <x:c r="B2861" t="str">
        <x:v>DW-0928</x:v>
      </x:c>
      <x:c r="C2861" t="str">
        <x:v>Composition héritée</x:v>
      </x:c>
      <x:c r="D2861" t="str">
        <x:v>militaire</x:v>
      </x:c>
      <x:c r="E2861" t="str">
        <x:v>Camp retranché abandonné — variante 07 — Camp hostile / première récupération passée</x:v>
      </x:c>
      <x:c r="F2861" t="n">
        <x:v>10</x:v>
      </x:c>
      <x:c r="G2861" t="n">
        <x:v>5</x:v>
      </x:c>
      <x:c r="H2861" t="n">
        <x:v>0</x:v>
      </x:c>
      <x:c r="I2861" t="str">
        <x:v>À qualifier par lieu</x:v>
      </x:c>
      <x:c r="J2861" t="str">
        <x:v>https://github.com/darknigthmare/deadwall-last-enclosure/blob/e28f46223e73105ab2c5d83f3d50b99b58ef53e6/codex-3000/compositions/militaire/DW-2856.md</x:v>
      </x:c>
      <x:c r="K2861" t="str">
        <x:v>Source min 27,32 m ; max 27,32 m ; modèle 27 × 32 m ; niveaux 0. Détails dans catalogue-existant.json.</x:v>
      </x:c>
    </x:row>
    <x:row r="2862">
      <x:c r="A2862" t="str">
        <x:v>DW-2857</x:v>
      </x:c>
      <x:c r="B2862" t="str">
        <x:v>DW-0929</x:v>
      </x:c>
      <x:c r="C2862" t="str">
        <x:v>Composition héritée</x:v>
      </x:c>
      <x:c r="D2862" t="str">
        <x:v>militaire</x:v>
      </x:c>
      <x:c r="E2862" t="str">
        <x:v>Abri ferroviaire — variante 07 — Grand camp allié / évacuation interrompue</x:v>
      </x:c>
      <x:c r="F2862" t="n">
        <x:v>10</x:v>
      </x:c>
      <x:c r="G2862" t="n">
        <x:v>4</x:v>
      </x:c>
      <x:c r="H2862" t="n">
        <x:v>0</x:v>
      </x:c>
      <x:c r="I2862" t="str">
        <x:v>À qualifier par lieu</x:v>
      </x:c>
      <x:c r="J2862" t="str">
        <x:v>https://github.com/darknigthmare/deadwall-last-enclosure/blob/e28f46223e73105ab2c5d83f3d50b99b58ef53e6/codex-3000/compositions/militaire/DW-2857.md</x:v>
      </x:c>
      <x:c r="K2862" t="str">
        <x:v>Source min 38,49 m ; max 38,49 m ; modèle 38 × 49 m ; niveaux 0. Détails dans catalogue-existant.json.</x:v>
      </x:c>
    </x:row>
    <x:row r="2863">
      <x:c r="A2863" t="str">
        <x:v>DW-2858</x:v>
      </x:c>
      <x:c r="B2863" t="str">
        <x:v>DW-0929</x:v>
      </x:c>
      <x:c r="C2863" t="str">
        <x:v>Composition héritée</x:v>
      </x:c>
      <x:c r="D2863" t="str">
        <x:v>militaire</x:v>
      </x:c>
      <x:c r="E2863" t="str">
        <x:v>Abri ferroviaire — variante 07 — Camp de fortune / service déplacé à l’arrière</x:v>
      </x:c>
      <x:c r="F2863" t="n">
        <x:v>8</x:v>
      </x:c>
      <x:c r="G2863" t="n">
        <x:v>4</x:v>
      </x:c>
      <x:c r="H2863" t="n">
        <x:v>0</x:v>
      </x:c>
      <x:c r="I2863" t="str">
        <x:v>À qualifier par lieu</x:v>
      </x:c>
      <x:c r="J2863" t="str">
        <x:v>https://github.com/darknigthmare/deadwall-last-enclosure/blob/e28f46223e73105ab2c5d83f3d50b99b58ef53e6/codex-3000/compositions/militaire/DW-2858.md</x:v>
      </x:c>
      <x:c r="K2863" t="str">
        <x:v>Source min 38,49 m ; max 38,49 m ; modèle 38 × 49 m ; niveaux 0. Détails dans catalogue-existant.json.</x:v>
      </x:c>
    </x:row>
    <x:row r="2864">
      <x:c r="A2864" t="str">
        <x:v>DW-2859</x:v>
      </x:c>
      <x:c r="B2864" t="str">
        <x:v>DW-0930</x:v>
      </x:c>
      <x:c r="C2864" t="str">
        <x:v>Composition héritée</x:v>
      </x:c>
      <x:c r="D2864" t="str">
        <x:v>militaire</x:v>
      </x:c>
      <x:c r="E2864" t="str">
        <x:v>Site radar — variante 07 — Camp hostile / arrêt de maintenance</x:v>
      </x:c>
      <x:c r="F2864" t="n">
        <x:v>10</x:v>
      </x:c>
      <x:c r="G2864" t="n">
        <x:v>5</x:v>
      </x:c>
      <x:c r="H2864" t="n">
        <x:v>0</x:v>
      </x:c>
      <x:c r="I2864" t="str">
        <x:v>À qualifier par lieu</x:v>
      </x:c>
      <x:c r="J2864" t="str">
        <x:v>https://github.com/darknigthmare/deadwall-last-enclosure/blob/e28f46223e73105ab2c5d83f3d50b99b58ef53e6/codex-3000/compositions/militaire/DW-2859.md</x:v>
      </x:c>
      <x:c r="K2864" t="str">
        <x:v>Source min 49,12 m ; max 49,12 m ; modèle 49 × 22 m ; niveaux 0. Détails dans catalogue-existant.json.</x:v>
      </x:c>
    </x:row>
    <x:row r="2865">
      <x:c r="A2865" t="str">
        <x:v>DW-2860</x:v>
      </x:c>
      <x:c r="B2865" t="str">
        <x:v>DW-0930</x:v>
      </x:c>
      <x:c r="C2865" t="str">
        <x:v>Composition héritée</x:v>
      </x:c>
      <x:c r="D2865" t="str">
        <x:v>militaire</x:v>
      </x:c>
      <x:c r="E2865" t="str">
        <x:v>Site radar — variante 07 — Centre d’évacuation abandonné / reprise progressive de la végétation</x:v>
      </x:c>
      <x:c r="F2865" t="n">
        <x:v>8</x:v>
      </x:c>
      <x:c r="G2865" t="n">
        <x:v>5</x:v>
      </x:c>
      <x:c r="H2865" t="n">
        <x:v>0</x:v>
      </x:c>
      <x:c r="I2865" t="str">
        <x:v>À qualifier par lieu</x:v>
      </x:c>
      <x:c r="J2865" t="str">
        <x:v>https://github.com/darknigthmare/deadwall-last-enclosure/blob/e28f46223e73105ab2c5d83f3d50b99b58ef53e6/codex-3000/compositions/militaire/DW-2860.md</x:v>
      </x:c>
      <x:c r="K2865" t="str">
        <x:v>Source min 49,12 m ; max 49,12 m ; modèle 49 × 22 m ; niveaux 0. Détails dans catalogue-existant.json.</x:v>
      </x:c>
    </x:row>
    <x:row r="2866">
      <x:c r="A2866" t="str">
        <x:v>DW-2861</x:v>
      </x:c>
      <x:c r="B2866" t="str">
        <x:v>DW-0931</x:v>
      </x:c>
      <x:c r="C2866" t="str">
        <x:v>Composition héritée</x:v>
      </x:c>
      <x:c r="D2866" t="str">
        <x:v>militaire</x:v>
      </x:c>
      <x:c r="E2866" t="str">
        <x:v>Batterie côtière — variante 07 — Camp de fortune / première récupération passée</x:v>
      </x:c>
      <x:c r="F2866" t="n">
        <x:v>8</x:v>
      </x:c>
      <x:c r="G2866" t="n">
        <x:v>4</x:v>
      </x:c>
      <x:c r="H2866" t="n">
        <x:v>0</x:v>
      </x:c>
      <x:c r="I2866" t="str">
        <x:v>À qualifier par lieu</x:v>
      </x:c>
      <x:c r="J2866" t="str">
        <x:v>https://github.com/darknigthmare/deadwall-last-enclosure/blob/e28f46223e73105ab2c5d83f3d50b99b58ef53e6/codex-3000/compositions/militaire/DW-2861.md</x:v>
      </x:c>
      <x:c r="K2866" t="str">
        <x:v>Source min 60,29 m ; max 60,29 m ; modèle 60 × 29 m ; niveaux 0. Détails dans catalogue-existant.json.</x:v>
      </x:c>
    </x:row>
    <x:row r="2867">
      <x:c r="A2867" t="str">
        <x:v>DW-2862</x:v>
      </x:c>
      <x:c r="B2867" t="str">
        <x:v>DW-0931</x:v>
      </x:c>
      <x:c r="C2867" t="str">
        <x:v>Composition héritée</x:v>
      </x:c>
      <x:c r="D2867" t="str">
        <x:v>militaire</x:v>
      </x:c>
      <x:c r="E2867" t="str">
        <x:v>Batterie côtière — variante 07 — Grand camp allié / relais temporaire envisagé</x:v>
      </x:c>
      <x:c r="F2867" t="n">
        <x:v>10</x:v>
      </x:c>
      <x:c r="G2867" t="n">
        <x:v>4</x:v>
      </x:c>
      <x:c r="H2867" t="n">
        <x:v>0</x:v>
      </x:c>
      <x:c r="I2867" t="str">
        <x:v>À qualifier par lieu</x:v>
      </x:c>
      <x:c r="J2867" t="str">
        <x:v>https://github.com/darknigthmare/deadwall-last-enclosure/blob/e28f46223e73105ab2c5d83f3d50b99b58ef53e6/codex-3000/compositions/militaire/DW-2862.md</x:v>
      </x:c>
      <x:c r="K2867" t="str">
        <x:v>Source min 60,29 m ; max 60,29 m ; modèle 60 × 29 m ; niveaux 0. Détails dans catalogue-existant.json.</x:v>
      </x:c>
    </x:row>
    <x:row r="2868">
      <x:c r="A2868" t="str">
        <x:v>DW-2863</x:v>
      </x:c>
      <x:c r="B2868" t="str">
        <x:v>DW-0932</x:v>
      </x:c>
      <x:c r="C2868" t="str">
        <x:v>Composition héritée</x:v>
      </x:c>
      <x:c r="D2868" t="str">
        <x:v>militaire</x:v>
      </x:c>
      <x:c r="E2868" t="str">
        <x:v>Dépôt carburant sécurisé — variante 07 — Centre d’évacuation abandonné / service déplacé à l’arrière</x:v>
      </x:c>
      <x:c r="F2868" t="n">
        <x:v>8</x:v>
      </x:c>
      <x:c r="G2868" t="n">
        <x:v>5</x:v>
      </x:c>
      <x:c r="H2868" t="n">
        <x:v>0</x:v>
      </x:c>
      <x:c r="I2868" t="str">
        <x:v>À qualifier par lieu</x:v>
      </x:c>
      <x:c r="J2868" t="str">
        <x:v>https://github.com/darknigthmare/deadwall-last-enclosure/blob/e28f46223e73105ab2c5d83f3d50b99b58ef53e6/codex-3000/compositions/militaire/DW-2863.md</x:v>
      </x:c>
      <x:c r="K2868" t="str">
        <x:v>Source min 71,46 m ; max 71,46 m ; modèle 71 × 46 m ; niveaux 0. Détails dans catalogue-existant.json.</x:v>
      </x:c>
    </x:row>
    <x:row r="2869">
      <x:c r="A2869" t="str">
        <x:v>DW-2864</x:v>
      </x:c>
      <x:c r="B2869" t="str">
        <x:v>DW-0932</x:v>
      </x:c>
      <x:c r="C2869" t="str">
        <x:v>Composition héritée</x:v>
      </x:c>
      <x:c r="D2869" t="str">
        <x:v>militaire</x:v>
      </x:c>
      <x:c r="E2869" t="str">
        <x:v>Dépôt carburant sécurisé — variante 07 — Camp hostile / réseau principal coupé</x:v>
      </x:c>
      <x:c r="F2869" t="n">
        <x:v>10</x:v>
      </x:c>
      <x:c r="G2869" t="n">
        <x:v>5</x:v>
      </x:c>
      <x:c r="H2869" t="n">
        <x:v>0</x:v>
      </x:c>
      <x:c r="I2869" t="str">
        <x:v>À qualifier par lieu</x:v>
      </x:c>
      <x:c r="J2869" t="str">
        <x:v>https://github.com/darknigthmare/deadwall-last-enclosure/blob/e28f46223e73105ab2c5d83f3d50b99b58ef53e6/codex-3000/compositions/militaire/DW-2864.md</x:v>
      </x:c>
      <x:c r="K2869" t="str">
        <x:v>Source min 71,46 m ; max 71,46 m ; modèle 71 × 46 m ; niveaux 0. Détails dans catalogue-existant.json.</x:v>
      </x:c>
    </x:row>
    <x:row r="2870">
      <x:c r="A2870" t="str">
        <x:v>DW-2865</x:v>
      </x:c>
      <x:c r="B2870" t="str">
        <x:v>DW-0933</x:v>
      </x:c>
      <x:c r="C2870" t="str">
        <x:v>Composition héritée</x:v>
      </x:c>
      <x:c r="D2870" t="str">
        <x:v>transport</x:v>
      </x:c>
      <x:c r="E2870" t="str">
        <x:v>Gare routière — variante 07 — Station-service et aire routière / reprise progressive de la végétation</x:v>
      </x:c>
      <x:c r="F2870" t="n">
        <x:v>8</x:v>
      </x:c>
      <x:c r="G2870" t="n">
        <x:v>5</x:v>
      </x:c>
      <x:c r="H2870" t="n">
        <x:v>0</x:v>
      </x:c>
      <x:c r="I2870" t="str">
        <x:v>À qualifier par lieu</x:v>
      </x:c>
      <x:c r="J2870" t="str">
        <x:v>https://github.com/darknigthmare/deadwall-last-enclosure/blob/e28f46223e73105ab2c5d83f3d50b99b58ef53e6/codex-3000/compositions/transport/DW-2865.md</x:v>
      </x:c>
      <x:c r="K2870" t="str">
        <x:v>Source min 10,9 m ; max 10,9 m ; modèle 26 × 22 m ; niveaux 0. Détails dans catalogue-existant.json.</x:v>
      </x:c>
    </x:row>
    <x:row r="2871">
      <x:c r="A2871" t="str">
        <x:v>DW-2866</x:v>
      </x:c>
      <x:c r="B2871" t="str">
        <x:v>DW-0933</x:v>
      </x:c>
      <x:c r="C2871" t="str">
        <x:v>Composition héritée</x:v>
      </x:c>
      <x:c r="D2871" t="str">
        <x:v>transport</x:v>
      </x:c>
      <x:c r="E2871" t="str">
        <x:v>Gare routière — variante 07 — Port marchand / repli organisé interrompu</x:v>
      </x:c>
      <x:c r="F2871" t="n">
        <x:v>10</x:v>
      </x:c>
      <x:c r="G2871" t="n">
        <x:v>5</x:v>
      </x:c>
      <x:c r="H2871" t="n">
        <x:v>0</x:v>
      </x:c>
      <x:c r="I2871" t="str">
        <x:v>À qualifier par lieu</x:v>
      </x:c>
      <x:c r="J2871" t="str">
        <x:v>https://github.com/darknigthmare/deadwall-last-enclosure/blob/e28f46223e73105ab2c5d83f3d50b99b58ef53e6/codex-3000/compositions/transport/DW-2866.md</x:v>
      </x:c>
      <x:c r="K2871" t="str">
        <x:v>Source min 10,9 m ; max 10,9 m ; modèle 26 × 22 m ; niveaux 0. Détails dans catalogue-existant.json.</x:v>
      </x:c>
    </x:row>
    <x:row r="2872">
      <x:c r="A2872" t="str">
        <x:v>DW-2867</x:v>
      </x:c>
      <x:c r="B2872" t="str">
        <x:v>DW-0934</x:v>
      </x:c>
      <x:c r="C2872" t="str">
        <x:v>Composition héritée</x:v>
      </x:c>
      <x:c r="D2872" t="str">
        <x:v>transport</x:v>
      </x:c>
      <x:c r="E2872" t="str">
        <x:v>Dépôt de bus — variante 07 — Gare et fret / relais temporaire envisagé</x:v>
      </x:c>
      <x:c r="F2872" t="n">
        <x:v>10</x:v>
      </x:c>
      <x:c r="G2872" t="n">
        <x:v>5</x:v>
      </x:c>
      <x:c r="H2872" t="n">
        <x:v>0</x:v>
      </x:c>
      <x:c r="I2872" t="str">
        <x:v>À qualifier par lieu</x:v>
      </x:c>
      <x:c r="J2872" t="str">
        <x:v>https://github.com/darknigthmare/deadwall-last-enclosure/blob/e28f46223e73105ab2c5d83f3d50b99b58ef53e6/codex-3000/compositions/transport/DW-2867.md</x:v>
      </x:c>
      <x:c r="K2872" t="str">
        <x:v>Source min 21,26 m ; max 21,26 m ; modèle 26 × 26 m ; niveaux 0. Détails dans catalogue-existant.json.</x:v>
      </x:c>
    </x:row>
    <x:row r="2873">
      <x:c r="A2873" t="str">
        <x:v>DW-2868</x:v>
      </x:c>
      <x:c r="B2873" t="str">
        <x:v>DW-0934</x:v>
      </x:c>
      <x:c r="C2873" t="str">
        <x:v>Composition héritée</x:v>
      </x:c>
      <x:c r="D2873" t="str">
        <x:v>transport</x:v>
      </x:c>
      <x:c r="E2873" t="str">
        <x:v>Dépôt de bus — variante 07 — Routes et coutures territoriales / évacuation interrompue</x:v>
      </x:c>
      <x:c r="F2873" t="n">
        <x:v>10</x:v>
      </x:c>
      <x:c r="G2873" t="n">
        <x:v>5</x:v>
      </x:c>
      <x:c r="H2873" t="n">
        <x:v>0</x:v>
      </x:c>
      <x:c r="I2873" t="str">
        <x:v>À qualifier par lieu</x:v>
      </x:c>
      <x:c r="J2873" t="str">
        <x:v>https://github.com/darknigthmare/deadwall-last-enclosure/blob/e28f46223e73105ab2c5d83f3d50b99b58ef53e6/codex-3000/compositions/transport/DW-2868.md</x:v>
      </x:c>
      <x:c r="K2873" t="str">
        <x:v>Source min 21,26 m ; max 21,26 m ; modèle 26 × 26 m ; niveaux 0. Détails dans catalogue-existant.json.</x:v>
      </x:c>
    </x:row>
    <x:row r="2874">
      <x:c r="A2874" t="str">
        <x:v>DW-2869</x:v>
      </x:c>
      <x:c r="B2874" t="str">
        <x:v>DW-0935</x:v>
      </x:c>
      <x:c r="C2874" t="str">
        <x:v>Composition héritée</x:v>
      </x:c>
      <x:c r="D2874" t="str">
        <x:v>transport</x:v>
      </x:c>
      <x:c r="E2874" t="str">
        <x:v>Gare ferroviaire — variante 07 — Port marchand / réseau principal coupé</x:v>
      </x:c>
      <x:c r="F2874" t="n">
        <x:v>10</x:v>
      </x:c>
      <x:c r="G2874" t="n">
        <x:v>5</x:v>
      </x:c>
      <x:c r="H2874" t="n">
        <x:v>0</x:v>
      </x:c>
      <x:c r="I2874" t="str">
        <x:v>À qualifier par lieu</x:v>
      </x:c>
      <x:c r="J2874" t="str">
        <x:v>https://github.com/darknigthmare/deadwall-last-enclosure/blob/e28f46223e73105ab2c5d83f3d50b99b58ef53e6/codex-3000/compositions/transport/DW-2869.md</x:v>
      </x:c>
      <x:c r="K2874" t="str">
        <x:v>Source min 32,43 m ; max 32,43 m ; modèle 32 × 43 m ; niveaux 0. Détails dans catalogue-existant.json.</x:v>
      </x:c>
    </x:row>
    <x:row r="2875">
      <x:c r="A2875" t="str">
        <x:v>DW-2870</x:v>
      </x:c>
      <x:c r="B2875" t="str">
        <x:v>DW-0935</x:v>
      </x:c>
      <x:c r="C2875" t="str">
        <x:v>Composition héritée</x:v>
      </x:c>
      <x:c r="D2875" t="str">
        <x:v>transport</x:v>
      </x:c>
      <x:c r="E2875" t="str">
        <x:v>Gare ferroviaire — variante 07 — Station-service et aire routière / arrêt de maintenance</x:v>
      </x:c>
      <x:c r="F2875" t="n">
        <x:v>8</x:v>
      </x:c>
      <x:c r="G2875" t="n">
        <x:v>5</x:v>
      </x:c>
      <x:c r="H2875" t="n">
        <x:v>0</x:v>
      </x:c>
      <x:c r="I2875" t="str">
        <x:v>À qualifier par lieu</x:v>
      </x:c>
      <x:c r="J2875" t="str">
        <x:v>https://github.com/darknigthmare/deadwall-last-enclosure/blob/e28f46223e73105ab2c5d83f3d50b99b58ef53e6/codex-3000/compositions/transport/DW-2870.md</x:v>
      </x:c>
      <x:c r="K2875" t="str">
        <x:v>Source min 32,43 m ; max 32,43 m ; modèle 32 × 43 m ; niveaux 0. Détails dans catalogue-existant.json.</x:v>
      </x:c>
    </x:row>
    <x:row r="2876">
      <x:c r="A2876" t="str">
        <x:v>DW-2871</x:v>
      </x:c>
      <x:c r="B2876" t="str">
        <x:v>DW-0936</x:v>
      </x:c>
      <x:c r="C2876" t="str">
        <x:v>Composition héritée</x:v>
      </x:c>
      <x:c r="D2876" t="str">
        <x:v>transport</x:v>
      </x:c>
      <x:c r="E2876" t="str">
        <x:v>Aire d'autoroute — variante 07 — Routes et coutures territoriales / repli organisé interrompu</x:v>
      </x:c>
      <x:c r="F2876" t="n">
        <x:v>10</x:v>
      </x:c>
      <x:c r="G2876" t="n">
        <x:v>5</x:v>
      </x:c>
      <x:c r="H2876" t="n">
        <x:v>0</x:v>
      </x:c>
      <x:c r="I2876" t="str">
        <x:v>À qualifier par lieu</x:v>
      </x:c>
      <x:c r="J2876" t="str">
        <x:v>https://github.com/darknigthmare/deadwall-last-enclosure/blob/e28f46223e73105ab2c5d83f3d50b99b58ef53e6/codex-3000/compositions/transport/DW-2871.md</x:v>
      </x:c>
      <x:c r="K2876" t="str">
        <x:v>Source min 43,60 m ; max 43,60 m ; modèle 43 × 60 m ; niveaux 0. Détails dans catalogue-existant.json.</x:v>
      </x:c>
    </x:row>
    <x:row r="2877">
      <x:c r="A2877" t="str">
        <x:v>DW-2872</x:v>
      </x:c>
      <x:c r="B2877" t="str">
        <x:v>DW-0936</x:v>
      </x:c>
      <x:c r="C2877" t="str">
        <x:v>Composition héritée</x:v>
      </x:c>
      <x:c r="D2877" t="str">
        <x:v>transport</x:v>
      </x:c>
      <x:c r="E2877" t="str">
        <x:v>Aire d'autoroute — variante 07 — Gare et fret / première récupération passée</x:v>
      </x:c>
      <x:c r="F2877" t="n">
        <x:v>10</x:v>
      </x:c>
      <x:c r="G2877" t="n">
        <x:v>5</x:v>
      </x:c>
      <x:c r="H2877" t="n">
        <x:v>0</x:v>
      </x:c>
      <x:c r="I2877" t="str">
        <x:v>À qualifier par lieu</x:v>
      </x:c>
      <x:c r="J2877" t="str">
        <x:v>https://github.com/darknigthmare/deadwall-last-enclosure/blob/e28f46223e73105ab2c5d83f3d50b99b58ef53e6/codex-3000/compositions/transport/DW-2872.md</x:v>
      </x:c>
      <x:c r="K2877" t="str">
        <x:v>Source min 43,60 m ; max 43,60 m ; modèle 43 × 60 m ; niveaux 0. Détails dans catalogue-existant.json.</x:v>
      </x:c>
    </x:row>
    <x:row r="2878">
      <x:c r="A2878" t="str">
        <x:v>DW-2873</x:v>
      </x:c>
      <x:c r="B2878" t="str">
        <x:v>DW-0937</x:v>
      </x:c>
      <x:c r="C2878" t="str">
        <x:v>Composition héritée</x:v>
      </x:c>
      <x:c r="D2878" t="str">
        <x:v>transport</x:v>
      </x:c>
      <x:c r="E2878" t="str">
        <x:v>Parking silo — variante 07 — Station-service et aire routière / évacuation interrompue</x:v>
      </x:c>
      <x:c r="F2878" t="n">
        <x:v>8</x:v>
      </x:c>
      <x:c r="G2878" t="n">
        <x:v>4</x:v>
      </x:c>
      <x:c r="H2878" t="n">
        <x:v>0</x:v>
      </x:c>
      <x:c r="I2878" t="str">
        <x:v>À qualifier par lieu</x:v>
      </x:c>
      <x:c r="J2878" t="str">
        <x:v>https://github.com/darknigthmare/deadwall-last-enclosure/blob/e28f46223e73105ab2c5d83f3d50b99b58ef53e6/codex-3000/compositions/transport/DW-2873.md</x:v>
      </x:c>
      <x:c r="K2878" t="str">
        <x:v>Source min 54,23 m ; max 54,23 m ; modèle 54 × 23 m ; niveaux 0. Détails dans catalogue-existant.json.</x:v>
      </x:c>
    </x:row>
    <x:row r="2879">
      <x:c r="A2879" t="str">
        <x:v>DW-2874</x:v>
      </x:c>
      <x:c r="B2879" t="str">
        <x:v>DW-0937</x:v>
      </x:c>
      <x:c r="C2879" t="str">
        <x:v>Composition héritée</x:v>
      </x:c>
      <x:c r="D2879" t="str">
        <x:v>transport</x:v>
      </x:c>
      <x:c r="E2879" t="str">
        <x:v>Parking silo — variante 07 — Port marchand / service déplacé à l’arrière</x:v>
      </x:c>
      <x:c r="F2879" t="n">
        <x:v>10</x:v>
      </x:c>
      <x:c r="G2879" t="n">
        <x:v>4</x:v>
      </x:c>
      <x:c r="H2879" t="n">
        <x:v>0</x:v>
      </x:c>
      <x:c r="I2879" t="str">
        <x:v>À qualifier par lieu</x:v>
      </x:c>
      <x:c r="J2879" t="str">
        <x:v>https://github.com/darknigthmare/deadwall-last-enclosure/blob/e28f46223e73105ab2c5d83f3d50b99b58ef53e6/codex-3000/compositions/transport/DW-2874.md</x:v>
      </x:c>
      <x:c r="K2879" t="str">
        <x:v>Source min 54,23 m ; max 54,23 m ; modèle 54 × 23 m ; niveaux 0. Détails dans catalogue-existant.json.</x:v>
      </x:c>
    </x:row>
    <x:row r="2880">
      <x:c r="A2880" t="str">
        <x:v>DW-2875</x:v>
      </x:c>
      <x:c r="B2880" t="str">
        <x:v>DW-0938</x:v>
      </x:c>
      <x:c r="C2880" t="str">
        <x:v>Composition héritée</x:v>
      </x:c>
      <x:c r="D2880" t="str">
        <x:v>transport</x:v>
      </x:c>
      <x:c r="E2880" t="str">
        <x:v>Terminal poids lourds — variante 07 — Gare et fret / arrêt de maintenance</x:v>
      </x:c>
      <x:c r="F2880" t="n">
        <x:v>10</x:v>
      </x:c>
      <x:c r="G2880" t="n">
        <x:v>5</x:v>
      </x:c>
      <x:c r="H2880" t="n">
        <x:v>0</x:v>
      </x:c>
      <x:c r="I2880" t="str">
        <x:v>À qualifier par lieu</x:v>
      </x:c>
      <x:c r="J2880" t="str">
        <x:v>https://github.com/darknigthmare/deadwall-last-enclosure/blob/e28f46223e73105ab2c5d83f3d50b99b58ef53e6/codex-3000/compositions/transport/DW-2875.md</x:v>
      </x:c>
      <x:c r="K2880" t="str">
        <x:v>Source min 65,40 m ; max 65,40 m ; modèle 65 × 40 m ; niveaux 0. Détails dans catalogue-existant.json.</x:v>
      </x:c>
    </x:row>
    <x:row r="2881">
      <x:c r="A2881" t="str">
        <x:v>DW-2876</x:v>
      </x:c>
      <x:c r="B2881" t="str">
        <x:v>DW-0938</x:v>
      </x:c>
      <x:c r="C2881" t="str">
        <x:v>Composition héritée</x:v>
      </x:c>
      <x:c r="D2881" t="str">
        <x:v>transport</x:v>
      </x:c>
      <x:c r="E2881" t="str">
        <x:v>Terminal poids lourds — variante 07 — Routes et coutures territoriales / reprise progressive de la végétation</x:v>
      </x:c>
      <x:c r="F2881" t="n">
        <x:v>10</x:v>
      </x:c>
      <x:c r="G2881" t="n">
        <x:v>5</x:v>
      </x:c>
      <x:c r="H2881" t="n">
        <x:v>0</x:v>
      </x:c>
      <x:c r="I2881" t="str">
        <x:v>À qualifier par lieu</x:v>
      </x:c>
      <x:c r="J2881" t="str">
        <x:v>https://github.com/darknigthmare/deadwall-last-enclosure/blob/e28f46223e73105ab2c5d83f3d50b99b58ef53e6/codex-3000/compositions/transport/DW-2876.md</x:v>
      </x:c>
      <x:c r="K2881" t="str">
        <x:v>Source min 65,40 m ; max 65,40 m ; modèle 65 × 40 m ; niveaux 0. Détails dans catalogue-existant.json.</x:v>
      </x:c>
    </x:row>
    <x:row r="2882">
      <x:c r="A2882" t="str">
        <x:v>DW-2877</x:v>
      </x:c>
      <x:c r="B2882" t="str">
        <x:v>DW-0939</x:v>
      </x:c>
      <x:c r="C2882" t="str">
        <x:v>Composition héritée</x:v>
      </x:c>
      <x:c r="D2882" t="str">
        <x:v>transport</x:v>
      </x:c>
      <x:c r="E2882" t="str">
        <x:v>Port de plaisance — variante 07 — Port marchand / première récupération passée</x:v>
      </x:c>
      <x:c r="F2882" t="n">
        <x:v>10</x:v>
      </x:c>
      <x:c r="G2882" t="n">
        <x:v>5</x:v>
      </x:c>
      <x:c r="H2882" t="n">
        <x:v>0</x:v>
      </x:c>
      <x:c r="I2882" t="str">
        <x:v>À qualifier par lieu</x:v>
      </x:c>
      <x:c r="J2882" t="str">
        <x:v>https://github.com/darknigthmare/deadwall-last-enclosure/blob/e28f46223e73105ab2c5d83f3d50b99b58ef53e6/codex-3000/compositions/transport/DW-2877.md</x:v>
      </x:c>
      <x:c r="K2882" t="str">
        <x:v>Source min 76,57 m ; max 76,57 m ; modèle 76 × 57 m ; niveaux 0. Détails dans catalogue-existant.json.</x:v>
      </x:c>
    </x:row>
    <x:row r="2883">
      <x:c r="A2883" t="str">
        <x:v>DW-2878</x:v>
      </x:c>
      <x:c r="B2883" t="str">
        <x:v>DW-0939</x:v>
      </x:c>
      <x:c r="C2883" t="str">
        <x:v>Composition héritée</x:v>
      </x:c>
      <x:c r="D2883" t="str">
        <x:v>transport</x:v>
      </x:c>
      <x:c r="E2883" t="str">
        <x:v>Port de plaisance — variante 07 — Station-service et aire routière / relais temporaire envisagé</x:v>
      </x:c>
      <x:c r="F2883" t="n">
        <x:v>8</x:v>
      </x:c>
      <x:c r="G2883" t="n">
        <x:v>5</x:v>
      </x:c>
      <x:c r="H2883" t="n">
        <x:v>0</x:v>
      </x:c>
      <x:c r="I2883" t="str">
        <x:v>À qualifier par lieu</x:v>
      </x:c>
      <x:c r="J2883" t="str">
        <x:v>https://github.com/darknigthmare/deadwall-last-enclosure/blob/e28f46223e73105ab2c5d83f3d50b99b58ef53e6/codex-3000/compositions/transport/DW-2878.md</x:v>
      </x:c>
      <x:c r="K2883" t="str">
        <x:v>Source min 76,57 m ; max 76,57 m ; modèle 76 × 57 m ; niveaux 0. Détails dans catalogue-existant.json.</x:v>
      </x:c>
    </x:row>
    <x:row r="2884">
      <x:c r="A2884" t="str">
        <x:v>DW-2879</x:v>
      </x:c>
      <x:c r="B2884" t="str">
        <x:v>DW-0940</x:v>
      </x:c>
      <x:c r="C2884" t="str">
        <x:v>Composition héritée</x:v>
      </x:c>
      <x:c r="D2884" t="str">
        <x:v>transport</x:v>
      </x:c>
      <x:c r="E2884" t="str">
        <x:v>Petit aérodrome — variante 07 — Routes et coutures territoriales / service déplacé à l’arrière</x:v>
      </x:c>
      <x:c r="F2884" t="n">
        <x:v>10</x:v>
      </x:c>
      <x:c r="G2884" t="n">
        <x:v>5</x:v>
      </x:c>
      <x:c r="H2884" t="n">
        <x:v>0</x:v>
      </x:c>
      <x:c r="I2884" t="str">
        <x:v>À qualifier par lieu</x:v>
      </x:c>
      <x:c r="J2884" t="str">
        <x:v>https://github.com/darknigthmare/deadwall-last-enclosure/blob/e28f46223e73105ab2c5d83f3d50b99b58ef53e6/codex-3000/compositions/transport/DW-2879.md</x:v>
      </x:c>
      <x:c r="K2884" t="str">
        <x:v>Source min 15,20 m ; max 15,20 m ; modèle 26 × 22 m ; niveaux 0. Détails dans catalogue-existant.json.</x:v>
      </x:c>
    </x:row>
    <x:row r="2885">
      <x:c r="A2885" t="str">
        <x:v>DW-2880</x:v>
      </x:c>
      <x:c r="B2885" t="str">
        <x:v>DW-0940</x:v>
      </x:c>
      <x:c r="C2885" t="str">
        <x:v>Composition héritée</x:v>
      </x:c>
      <x:c r="D2885" t="str">
        <x:v>transport</x:v>
      </x:c>
      <x:c r="E2885" t="str">
        <x:v>Petit aérodrome — variante 07 — Gare et fret / réseau principal coupé</x:v>
      </x:c>
      <x:c r="F2885" t="n">
        <x:v>10</x:v>
      </x:c>
      <x:c r="G2885" t="n">
        <x:v>5</x:v>
      </x:c>
      <x:c r="H2885" t="n">
        <x:v>0</x:v>
      </x:c>
      <x:c r="I2885" t="str">
        <x:v>À qualifier par lieu</x:v>
      </x:c>
      <x:c r="J2885" t="str">
        <x:v>https://github.com/darknigthmare/deadwall-last-enclosure/blob/e28f46223e73105ab2c5d83f3d50b99b58ef53e6/codex-3000/compositions/transport/DW-2880.md</x:v>
      </x:c>
      <x:c r="K2885" t="str">
        <x:v>Source min 15,20 m ; max 15,20 m ; modèle 26 × 22 m ; niveaux 0. Détails dans catalogue-existant.json.</x:v>
      </x:c>
    </x:row>
    <x:row r="2886">
      <x:c r="A2886" t="str">
        <x:v>DW-2881</x:v>
      </x:c>
      <x:c r="B2886" t="str">
        <x:v>DW-0941</x:v>
      </x:c>
      <x:c r="C2886" t="str">
        <x:v>Composition héritée</x:v>
      </x:c>
      <x:c r="D2886" t="str">
        <x:v>ruines</x:v>
      </x:c>
      <x:c r="E2886" t="str">
        <x:v>Maison incendiée — variante 07 — Ruine envahie et reprise végétale / reprise progressive de la végétation</x:v>
      </x:c>
      <x:c r="F2886" t="n">
        <x:v>8</x:v>
      </x:c>
      <x:c r="G2886" t="n">
        <x:v>3</x:v>
      </x:c>
      <x:c r="H2886" t="n">
        <x:v>0</x:v>
      </x:c>
      <x:c r="I2886" t="str">
        <x:v>À qualifier par lieu</x:v>
      </x:c>
      <x:c r="J2886" t="str">
        <x:v>https://github.com/darknigthmare/deadwall-last-enclosure/blob/e28f46223e73105ab2c5d83f3d50b99b58ef53e6/codex-3000/compositions/ruines/DW-2881.md</x:v>
      </x:c>
      <x:c r="K2886" t="str">
        <x:v>Source min 26,37 m ; max 26,37 m ; modèle 26 × 37 m ; niveaux 0, 1. Détails dans catalogue-existant.json.</x:v>
      </x:c>
    </x:row>
    <x:row r="2887">
      <x:c r="A2887" t="str">
        <x:v>DW-2882</x:v>
      </x:c>
      <x:c r="B2887" t="str">
        <x:v>DW-0941</x:v>
      </x:c>
      <x:c r="C2887" t="str">
        <x:v>Composition héritée</x:v>
      </x:c>
      <x:c r="D2887" t="str">
        <x:v>ruines</x:v>
      </x:c>
      <x:c r="E2887" t="str">
        <x:v>Maison incendiée — variante 07 — Zone industrielle / repli organisé interrompu</x:v>
      </x:c>
      <x:c r="F2887" t="n">
        <x:v>8</x:v>
      </x:c>
      <x:c r="G2887" t="n">
        <x:v>3</x:v>
      </x:c>
      <x:c r="H2887" t="n">
        <x:v>0</x:v>
      </x:c>
      <x:c r="I2887" t="str">
        <x:v>À qualifier par lieu</x:v>
      </x:c>
      <x:c r="J2887" t="str">
        <x:v>https://github.com/darknigthmare/deadwall-last-enclosure/blob/e28f46223e73105ab2c5d83f3d50b99b58ef53e6/codex-3000/compositions/ruines/DW-2882.md</x:v>
      </x:c>
      <x:c r="K2887" t="str">
        <x:v>Source min 26,37 m ; max 26,37 m ; modèle 26 × 37 m ; niveaux 0, 1. Détails dans catalogue-existant.json.</x:v>
      </x:c>
    </x:row>
    <x:row r="2888">
      <x:c r="A2888" t="str">
        <x:v>DW-2883</x:v>
      </x:c>
      <x:c r="B2888" t="str">
        <x:v>DW-0942</x:v>
      </x:c>
      <x:c r="C2888" t="str">
        <x:v>Composition héritée</x:v>
      </x:c>
      <x:c r="D2888" t="str">
        <x:v>ruines</x:v>
      </x:c>
      <x:c r="E2888" t="str">
        <x:v>Immeuble éventré — variante 07 — Centre ancien / relais temporaire envisagé</x:v>
      </x:c>
      <x:c r="F2888" t="n">
        <x:v>8</x:v>
      </x:c>
      <x:c r="G2888" t="n">
        <x:v>4</x:v>
      </x:c>
      <x:c r="H2888" t="n">
        <x:v>0</x:v>
      </x:c>
      <x:c r="I2888" t="str">
        <x:v>À qualifier par lieu</x:v>
      </x:c>
      <x:c r="J2888" t="str">
        <x:v>https://github.com/darknigthmare/deadwall-last-enclosure/blob/e28f46223e73105ab2c5d83f3d50b99b58ef53e6/codex-3000/compositions/ruines/DW-2883.md</x:v>
      </x:c>
      <x:c r="K2888" t="str">
        <x:v>Source min 37,54 m ; max 37,54 m ; modèle 37 × 54 m ; niveaux 0, 1. Détails dans catalogue-existant.json.</x:v>
      </x:c>
    </x:row>
    <x:row r="2889">
      <x:c r="A2889" t="str">
        <x:v>DW-2884</x:v>
      </x:c>
      <x:c r="B2889" t="str">
        <x:v>DW-0942</x:v>
      </x:c>
      <x:c r="C2889" t="str">
        <x:v>Composition héritée</x:v>
      </x:c>
      <x:c r="D2889" t="str">
        <x:v>ruines</x:v>
      </x:c>
      <x:c r="E2889" t="str">
        <x:v>Immeuble éventré — variante 07 — Petit bois et lisière / évacuation interrompue</x:v>
      </x:c>
      <x:c r="F2889" t="n">
        <x:v>8</x:v>
      </x:c>
      <x:c r="G2889" t="n">
        <x:v>4</x:v>
      </x:c>
      <x:c r="H2889" t="n">
        <x:v>0</x:v>
      </x:c>
      <x:c r="I2889" t="str">
        <x:v>À qualifier par lieu</x:v>
      </x:c>
      <x:c r="J2889" t="str">
        <x:v>https://github.com/darknigthmare/deadwall-last-enclosure/blob/e28f46223e73105ab2c5d83f3d50b99b58ef53e6/codex-3000/compositions/ruines/DW-2884.md</x:v>
      </x:c>
      <x:c r="K2889" t="str">
        <x:v>Source min 37,54 m ; max 37,54 m ; modèle 37 × 54 m ; niveaux 0, 1. Détails dans catalogue-existant.json.</x:v>
      </x:c>
    </x:row>
    <x:row r="2890">
      <x:c r="A2890" t="str">
        <x:v>DW-2885</x:v>
      </x:c>
      <x:c r="B2890" t="str">
        <x:v>DW-0943</x:v>
      </x:c>
      <x:c r="C2890" t="str">
        <x:v>Composition héritée</x:v>
      </x:c>
      <x:c r="D2890" t="str">
        <x:v>ruines</x:v>
      </x:c>
      <x:c r="E2890" t="str">
        <x:v>Commerce pillé — variante 07 — Zone industrielle / réseau principal coupé</x:v>
      </x:c>
      <x:c r="F2890" t="n">
        <x:v>8</x:v>
      </x:c>
      <x:c r="G2890" t="n">
        <x:v>4</x:v>
      </x:c>
      <x:c r="H2890" t="n">
        <x:v>0</x:v>
      </x:c>
      <x:c r="I2890" t="str">
        <x:v>À qualifier par lieu</x:v>
      </x:c>
      <x:c r="J2890" t="str">
        <x:v>https://github.com/darknigthmare/deadwall-last-enclosure/blob/e28f46223e73105ab2c5d83f3d50b99b58ef53e6/codex-3000/compositions/ruines/DW-2885.md</x:v>
      </x:c>
      <x:c r="K2890" t="str">
        <x:v>Source min 48,17 m ; max 48,17 m ; modèle 48 × 18 m ; niveaux 0. Détails dans catalogue-existant.json.</x:v>
      </x:c>
    </x:row>
    <x:row r="2891">
      <x:c r="A2891" t="str">
        <x:v>DW-2886</x:v>
      </x:c>
      <x:c r="B2891" t="str">
        <x:v>DW-0943</x:v>
      </x:c>
      <x:c r="C2891" t="str">
        <x:v>Composition héritée</x:v>
      </x:c>
      <x:c r="D2891" t="str">
        <x:v>ruines</x:v>
      </x:c>
      <x:c r="E2891" t="str">
        <x:v>Commerce pillé — variante 07 — Ruine envahie et reprise végétale / arrêt de maintenance</x:v>
      </x:c>
      <x:c r="F2891" t="n">
        <x:v>8</x:v>
      </x:c>
      <x:c r="G2891" t="n">
        <x:v>4</x:v>
      </x:c>
      <x:c r="H2891" t="n">
        <x:v>0</x:v>
      </x:c>
      <x:c r="I2891" t="str">
        <x:v>À qualifier par lieu</x:v>
      </x:c>
      <x:c r="J2891" t="str">
        <x:v>https://github.com/darknigthmare/deadwall-last-enclosure/blob/e28f46223e73105ab2c5d83f3d50b99b58ef53e6/codex-3000/compositions/ruines/DW-2886.md</x:v>
      </x:c>
      <x:c r="K2891" t="str">
        <x:v>Source min 48,17 m ; max 48,17 m ; modèle 48 × 18 m ; niveaux 0. Détails dans catalogue-existant.json.</x:v>
      </x:c>
    </x:row>
    <x:row r="2892">
      <x:c r="A2892" t="str">
        <x:v>DW-2887</x:v>
      </x:c>
      <x:c r="B2892" t="str">
        <x:v>DW-0944</x:v>
      </x:c>
      <x:c r="C2892" t="str">
        <x:v>Composition héritée</x:v>
      </x:c>
      <x:c r="D2892" t="str">
        <x:v>ruines</x:v>
      </x:c>
      <x:c r="E2892" t="str">
        <x:v>Usine sinistrée — variante 07 — Petit bois et lisière / repli organisé interrompu</x:v>
      </x:c>
      <x:c r="F2892" t="n">
        <x:v>8</x:v>
      </x:c>
      <x:c r="G2892" t="n">
        <x:v>4</x:v>
      </x:c>
      <x:c r="H2892" t="n">
        <x:v>0</x:v>
      </x:c>
      <x:c r="I2892" t="str">
        <x:v>À qualifier par lieu</x:v>
      </x:c>
      <x:c r="J2892" t="str">
        <x:v>https://github.com/darknigthmare/deadwall-last-enclosure/blob/e28f46223e73105ab2c5d83f3d50b99b58ef53e6/codex-3000/compositions/ruines/DW-2887.md</x:v>
      </x:c>
      <x:c r="K2892" t="str">
        <x:v>Source min 59,34 m ; max 59,34 m ; modèle 59 × 34 m ; niveaux 0. Détails dans catalogue-existant.json.</x:v>
      </x:c>
    </x:row>
    <x:row r="2893">
      <x:c r="A2893" t="str">
        <x:v>DW-2888</x:v>
      </x:c>
      <x:c r="B2893" t="str">
        <x:v>DW-0944</x:v>
      </x:c>
      <x:c r="C2893" t="str">
        <x:v>Composition héritée</x:v>
      </x:c>
      <x:c r="D2893" t="str">
        <x:v>ruines</x:v>
      </x:c>
      <x:c r="E2893" t="str">
        <x:v>Usine sinistrée — variante 07 — Centre ancien / première récupération passée</x:v>
      </x:c>
      <x:c r="F2893" t="n">
        <x:v>8</x:v>
      </x:c>
      <x:c r="G2893" t="n">
        <x:v>4</x:v>
      </x:c>
      <x:c r="H2893" t="n">
        <x:v>0</x:v>
      </x:c>
      <x:c r="I2893" t="str">
        <x:v>À qualifier par lieu</x:v>
      </x:c>
      <x:c r="J2893" t="str">
        <x:v>https://github.com/darknigthmare/deadwall-last-enclosure/blob/e28f46223e73105ab2c5d83f3d50b99b58ef53e6/codex-3000/compositions/ruines/DW-2888.md</x:v>
      </x:c>
      <x:c r="K2893" t="str">
        <x:v>Source min 59,34 m ; max 59,34 m ; modèle 59 × 34 m ; niveaux 0. Détails dans catalogue-existant.json.</x:v>
      </x:c>
    </x:row>
    <x:row r="2894">
      <x:c r="A2894" t="str">
        <x:v>DW-2889</x:v>
      </x:c>
      <x:c r="B2894" t="str">
        <x:v>DW-0945</x:v>
      </x:c>
      <x:c r="C2894" t="str">
        <x:v>Composition héritée</x:v>
      </x:c>
      <x:c r="D2894" t="str">
        <x:v>ruines</x:v>
      </x:c>
      <x:c r="E2894" t="str">
        <x:v>Hôtel abandonné — variante 07 — Ruine envahie et reprise végétale / évacuation interrompue</x:v>
      </x:c>
      <x:c r="F2894" t="n">
        <x:v>8</x:v>
      </x:c>
      <x:c r="G2894" t="n">
        <x:v>5</x:v>
      </x:c>
      <x:c r="H2894" t="n">
        <x:v>0</x:v>
      </x:c>
      <x:c r="I2894" t="str">
        <x:v>À qualifier par lieu</x:v>
      </x:c>
      <x:c r="J2894" t="str">
        <x:v>https://github.com/darknigthmare/deadwall-last-enclosure/blob/e28f46223e73105ab2c5d83f3d50b99b58ef53e6/codex-3000/compositions/ruines/DW-2889.md</x:v>
      </x:c>
      <x:c r="K2894" t="str">
        <x:v>Source min 70,51 m ; max 70,51 m ; modèle 70 × 51 m ; niveaux 0, 1. Détails dans catalogue-existant.json.</x:v>
      </x:c>
    </x:row>
    <x:row r="2895">
      <x:c r="A2895" t="str">
        <x:v>DW-2890</x:v>
      </x:c>
      <x:c r="B2895" t="str">
        <x:v>DW-0945</x:v>
      </x:c>
      <x:c r="C2895" t="str">
        <x:v>Composition héritée</x:v>
      </x:c>
      <x:c r="D2895" t="str">
        <x:v>ruines</x:v>
      </x:c>
      <x:c r="E2895" t="str">
        <x:v>Hôtel abandonné — variante 07 — Zone industrielle / service déplacé à l’arrière</x:v>
      </x:c>
      <x:c r="F2895" t="n">
        <x:v>8</x:v>
      </x:c>
      <x:c r="G2895" t="n">
        <x:v>5</x:v>
      </x:c>
      <x:c r="H2895" t="n">
        <x:v>0</x:v>
      </x:c>
      <x:c r="I2895" t="str">
        <x:v>À qualifier par lieu</x:v>
      </x:c>
      <x:c r="J2895" t="str">
        <x:v>https://github.com/darknigthmare/deadwall-last-enclosure/blob/e28f46223e73105ab2c5d83f3d50b99b58ef53e6/codex-3000/compositions/ruines/DW-2890.md</x:v>
      </x:c>
      <x:c r="K2895" t="str">
        <x:v>Source min 70,51 m ; max 70,51 m ; modèle 70 × 51 m ; niveaux 0, 1. Détails dans catalogue-existant.json.</x:v>
      </x:c>
    </x:row>
    <x:row r="2896">
      <x:c r="A2896" t="str">
        <x:v>DW-2891</x:v>
      </x:c>
      <x:c r="B2896" t="str">
        <x:v>DW-0946</x:v>
      </x:c>
      <x:c r="C2896" t="str">
        <x:v>Composition héritée</x:v>
      </x:c>
      <x:c r="D2896" t="str">
        <x:v>ruines</x:v>
      </x:c>
      <x:c r="E2896" t="str">
        <x:v>Lotissement ravagé — variante 07 — Centre ancien / arrêt de maintenance</x:v>
      </x:c>
      <x:c r="F2896" t="n">
        <x:v>8</x:v>
      </x:c>
      <x:c r="G2896" t="n">
        <x:v>4</x:v>
      </x:c>
      <x:c r="H2896" t="n">
        <x:v>0</x:v>
      </x:c>
      <x:c r="I2896" t="str">
        <x:v>À qualifier par lieu</x:v>
      </x:c>
      <x:c r="J2896" t="str">
        <x:v>https://github.com/darknigthmare/deadwall-last-enclosure/blob/e28f46223e73105ab2c5d83f3d50b99b58ef53e6/codex-3000/compositions/ruines/DW-2891.md</x:v>
      </x:c>
      <x:c r="K2896" t="str">
        <x:v>Source min 81,14 m ; max 81,14 m ; modèle 78 × 18 m ; niveaux 0. Détails dans catalogue-existant.json.</x:v>
      </x:c>
    </x:row>
    <x:row r="2897">
      <x:c r="A2897" t="str">
        <x:v>DW-2892</x:v>
      </x:c>
      <x:c r="B2897" t="str">
        <x:v>DW-0946</x:v>
      </x:c>
      <x:c r="C2897" t="str">
        <x:v>Composition héritée</x:v>
      </x:c>
      <x:c r="D2897" t="str">
        <x:v>ruines</x:v>
      </x:c>
      <x:c r="E2897" t="str">
        <x:v>Lotissement ravagé — variante 07 — Petit bois et lisière / reprise progressive de la végétation</x:v>
      </x:c>
      <x:c r="F2897" t="n">
        <x:v>8</x:v>
      </x:c>
      <x:c r="G2897" t="n">
        <x:v>4</x:v>
      </x:c>
      <x:c r="H2897" t="n">
        <x:v>0</x:v>
      </x:c>
      <x:c r="I2897" t="str">
        <x:v>À qualifier par lieu</x:v>
      </x:c>
      <x:c r="J2897" t="str">
        <x:v>https://github.com/darknigthmare/deadwall-last-enclosure/blob/e28f46223e73105ab2c5d83f3d50b99b58ef53e6/codex-3000/compositions/ruines/DW-2892.md</x:v>
      </x:c>
      <x:c r="K2897" t="str">
        <x:v>Source min 81,14 m ; max 81,14 m ; modèle 78 × 18 m ; niveaux 0. Détails dans catalogue-existant.json.</x:v>
      </x:c>
    </x:row>
    <x:row r="2898">
      <x:c r="A2898" t="str">
        <x:v>DW-2893</x:v>
      </x:c>
      <x:c r="B2898" t="str">
        <x:v>DW-0947</x:v>
      </x:c>
      <x:c r="C2898" t="str">
        <x:v>Composition héritée</x:v>
      </x:c>
      <x:c r="D2898" t="str">
        <x:v>ruines</x:v>
      </x:c>
      <x:c r="E2898" t="str">
        <x:v>Village déserté — variante 07 — Zone industrielle / première récupération passée</x:v>
      </x:c>
      <x:c r="F2898" t="n">
        <x:v>8</x:v>
      </x:c>
      <x:c r="G2898" t="n">
        <x:v>5</x:v>
      </x:c>
      <x:c r="H2898" t="n">
        <x:v>0</x:v>
      </x:c>
      <x:c r="I2898" t="str">
        <x:v>À qualifier par lieu</x:v>
      </x:c>
      <x:c r="J2898" t="str">
        <x:v>https://github.com/darknigthmare/deadwall-last-enclosure/blob/e28f46223e73105ab2c5d83f3d50b99b58ef53e6/codex-3000/compositions/ruines/DW-2893.md</x:v>
      </x:c>
      <x:c r="K2898" t="str">
        <x:v>Source min 20,31 m ; max 20,31 m ; modèle 26 × 31 m ; niveaux 0. Détails dans catalogue-existant.json.</x:v>
      </x:c>
    </x:row>
    <x:row r="2899">
      <x:c r="A2899" t="str">
        <x:v>DW-2894</x:v>
      </x:c>
      <x:c r="B2899" t="str">
        <x:v>DW-0947</x:v>
      </x:c>
      <x:c r="C2899" t="str">
        <x:v>Composition héritée</x:v>
      </x:c>
      <x:c r="D2899" t="str">
        <x:v>ruines</x:v>
      </x:c>
      <x:c r="E2899" t="str">
        <x:v>Village déserté — variante 07 — Ruine envahie et reprise végétale / relais temporaire envisagé</x:v>
      </x:c>
      <x:c r="F2899" t="n">
        <x:v>8</x:v>
      </x:c>
      <x:c r="G2899" t="n">
        <x:v>5</x:v>
      </x:c>
      <x:c r="H2899" t="n">
        <x:v>0</x:v>
      </x:c>
      <x:c r="I2899" t="str">
        <x:v>À qualifier par lieu</x:v>
      </x:c>
      <x:c r="J2899" t="str">
        <x:v>https://github.com/darknigthmare/deadwall-last-enclosure/blob/e28f46223e73105ab2c5d83f3d50b99b58ef53e6/codex-3000/compositions/ruines/DW-2894.md</x:v>
      </x:c>
      <x:c r="K2899" t="str">
        <x:v>Source min 20,31 m ; max 20,31 m ; modèle 26 × 31 m ; niveaux 0. Détails dans catalogue-existant.json.</x:v>
      </x:c>
    </x:row>
    <x:row r="2900">
      <x:c r="A2900" t="str">
        <x:v>DW-2895</x:v>
      </x:c>
      <x:c r="B2900" t="str">
        <x:v>DW-0948</x:v>
      </x:c>
      <x:c r="C2900" t="str">
        <x:v>Composition héritée</x:v>
      </x:c>
      <x:c r="D2900" t="str">
        <x:v>ruines</x:v>
      </x:c>
      <x:c r="E2900" t="str">
        <x:v>Centre commercial effondré — variante 07 — Petit bois et lisière / service déplacé à l’arrière</x:v>
      </x:c>
      <x:c r="F2900" t="n">
        <x:v>8</x:v>
      </x:c>
      <x:c r="G2900" t="n">
        <x:v>5</x:v>
      </x:c>
      <x:c r="H2900" t="n">
        <x:v>0</x:v>
      </x:c>
      <x:c r="I2900" t="str">
        <x:v>À qualifier par lieu</x:v>
      </x:c>
      <x:c r="J2900" t="str">
        <x:v>https://github.com/darknigthmare/deadwall-last-enclosure/blob/e28f46223e73105ab2c5d83f3d50b99b58ef53e6/codex-3000/compositions/ruines/DW-2895.md</x:v>
      </x:c>
      <x:c r="K2900" t="str">
        <x:v>Source min 31,48 m ; max 31,48 m ; modèle 31 × 48 m ; niveaux 0. Détails dans catalogue-existant.json.</x:v>
      </x:c>
    </x:row>
    <x:row r="2901">
      <x:c r="A2901" t="str">
        <x:v>DW-2896</x:v>
      </x:c>
      <x:c r="B2901" t="str">
        <x:v>DW-0948</x:v>
      </x:c>
      <x:c r="C2901" t="str">
        <x:v>Composition héritée</x:v>
      </x:c>
      <x:c r="D2901" t="str">
        <x:v>ruines</x:v>
      </x:c>
      <x:c r="E2901" t="str">
        <x:v>Centre commercial effondré — variante 07 — Centre ancien / réseau principal coupé</x:v>
      </x:c>
      <x:c r="F2901" t="n">
        <x:v>8</x:v>
      </x:c>
      <x:c r="G2901" t="n">
        <x:v>5</x:v>
      </x:c>
      <x:c r="H2901" t="n">
        <x:v>0</x:v>
      </x:c>
      <x:c r="I2901" t="str">
        <x:v>À qualifier par lieu</x:v>
      </x:c>
      <x:c r="J2901" t="str">
        <x:v>https://github.com/darknigthmare/deadwall-last-enclosure/blob/e28f46223e73105ab2c5d83f3d50b99b58ef53e6/codex-3000/compositions/ruines/DW-2896.md</x:v>
      </x:c>
      <x:c r="K2901" t="str">
        <x:v>Source min 31,48 m ; max 31,48 m ; modèle 31 × 48 m ; niveaux 0. Détails dans catalogue-existant.json.</x:v>
      </x:c>
    </x:row>
    <x:row r="2902">
      <x:c r="A2902" t="str">
        <x:v>DW-2897</x:v>
      </x:c>
      <x:c r="B2902" t="str">
        <x:v>DW-0949</x:v>
      </x:c>
      <x:c r="C2902" t="str">
        <x:v>Composition héritée</x:v>
      </x:c>
      <x:c r="D2902" t="str">
        <x:v>habitat</x:v>
      </x:c>
      <x:c r="E2902" t="str">
        <x:v>Maison de lotissement — variante 08 — Quartier pavillonnaire / reprise progressive de la végétation</x:v>
      </x:c>
      <x:c r="F2902" t="n">
        <x:v>8</x:v>
      </x:c>
      <x:c r="G2902" t="n">
        <x:v>5</x:v>
      </x:c>
      <x:c r="H2902" t="n">
        <x:v>0</x:v>
      </x:c>
      <x:c r="I2902" t="str">
        <x:v>À qualifier par lieu</x:v>
      </x:c>
      <x:c r="J2902" t="str">
        <x:v>https://github.com/darknigthmare/deadwall-last-enclosure/blob/e28f46223e73105ab2c5d83f3d50b99b58ef53e6/codex-3000/compositions/habitat/DW-2897.md</x:v>
      </x:c>
      <x:c r="K2902" t="str">
        <x:v>Source min 42,11 m ; max 42,11 m ; modèle 42 × 22 m ; niveaux 0, 1. Détails dans catalogue-existant.json.</x:v>
      </x:c>
    </x:row>
    <x:row r="2903">
      <x:c r="A2903" t="str">
        <x:v>DW-2898</x:v>
      </x:c>
      <x:c r="B2903" t="str">
        <x:v>DW-0949</x:v>
      </x:c>
      <x:c r="C2903" t="str">
        <x:v>Composition héritée</x:v>
      </x:c>
      <x:c r="D2903" t="str">
        <x:v>habitat</x:v>
      </x:c>
      <x:c r="E2903" t="str">
        <x:v>Maison de lotissement — variante 08 — Village et bourg / repli organisé interrompu</x:v>
      </x:c>
      <x:c r="F2903" t="n">
        <x:v>8</x:v>
      </x:c>
      <x:c r="G2903" t="n">
        <x:v>5</x:v>
      </x:c>
      <x:c r="H2903" t="n">
        <x:v>0</x:v>
      </x:c>
      <x:c r="I2903" t="str">
        <x:v>À qualifier par lieu</x:v>
      </x:c>
      <x:c r="J2903" t="str">
        <x:v>https://github.com/darknigthmare/deadwall-last-enclosure/blob/e28f46223e73105ab2c5d83f3d50b99b58ef53e6/codex-3000/compositions/habitat/DW-2898.md</x:v>
      </x:c>
      <x:c r="K2903" t="str">
        <x:v>Source min 42,11 m ; max 42,11 m ; modèle 42 × 22 m ; niveaux 0, 1. Détails dans catalogue-existant.json.</x:v>
      </x:c>
    </x:row>
    <x:row r="2904">
      <x:c r="A2904" t="str">
        <x:v>DW-2899</x:v>
      </x:c>
      <x:c r="B2904" t="str">
        <x:v>DW-0950</x:v>
      </x:c>
      <x:c r="C2904" t="str">
        <x:v>Composition héritée</x:v>
      </x:c>
      <x:c r="D2904" t="str">
        <x:v>habitat</x:v>
      </x:c>
      <x:c r="E2904" t="str">
        <x:v>Maison mitoyenne — variante 08 — Hameau / relais temporaire envisagé</x:v>
      </x:c>
      <x:c r="F2904" t="n">
        <x:v>8</x:v>
      </x:c>
      <x:c r="G2904" t="n">
        <x:v>5</x:v>
      </x:c>
      <x:c r="H2904" t="n">
        <x:v>0</x:v>
      </x:c>
      <x:c r="I2904" t="str">
        <x:v>À qualifier par lieu</x:v>
      </x:c>
      <x:c r="J2904" t="str">
        <x:v>https://github.com/darknigthmare/deadwall-last-enclosure/blob/e28f46223e73105ab2c5d83f3d50b99b58ef53e6/codex-3000/compositions/habitat/DW-2899.md</x:v>
      </x:c>
      <x:c r="K2904" t="str">
        <x:v>Source min 53,28 m ; max 53,28 m ; modèle 53 × 28 m ; niveaux 0. Détails dans catalogue-existant.json.</x:v>
      </x:c>
    </x:row>
    <x:row r="2905">
      <x:c r="A2905" t="str">
        <x:v>DW-2900</x:v>
      </x:c>
      <x:c r="B2905" t="str">
        <x:v>DW-0950</x:v>
      </x:c>
      <x:c r="C2905" t="str">
        <x:v>Composition héritée</x:v>
      </x:c>
      <x:c r="D2905" t="str">
        <x:v>habitat</x:v>
      </x:c>
      <x:c r="E2905" t="str">
        <x:v>Maison mitoyenne — variante 08 — Quartier collectif / évacuation interrompue</x:v>
      </x:c>
      <x:c r="F2905" t="n">
        <x:v>8</x:v>
      </x:c>
      <x:c r="G2905" t="n">
        <x:v>5</x:v>
      </x:c>
      <x:c r="H2905" t="n">
        <x:v>0</x:v>
      </x:c>
      <x:c r="I2905" t="str">
        <x:v>À qualifier par lieu</x:v>
      </x:c>
      <x:c r="J2905" t="str">
        <x:v>https://github.com/darknigthmare/deadwall-last-enclosure/blob/e28f46223e73105ab2c5d83f3d50b99b58ef53e6/codex-3000/compositions/habitat/DW-2900.md</x:v>
      </x:c>
      <x:c r="K2905" t="str">
        <x:v>Source min 53,28 m ; max 53,28 m ; modèle 53 × 28 m ; niveaux 0. Détails dans catalogue-existant.json.</x:v>
      </x:c>
    </x:row>
    <x:row r="2906">
      <x:c r="A2906" t="str">
        <x:v>DW-2901</x:v>
      </x:c>
      <x:c r="B2906" t="str">
        <x:v>DW-0951</x:v>
      </x:c>
      <x:c r="C2906" t="str">
        <x:v>Composition héritée</x:v>
      </x:c>
      <x:c r="D2906" t="str">
        <x:v>habitat</x:v>
      </x:c>
      <x:c r="E2906" t="str">
        <x:v>Villa isolée — variante 08 — Village et bourg / réseau principal coupé</x:v>
      </x:c>
      <x:c r="F2906" t="n">
        <x:v>8</x:v>
      </x:c>
      <x:c r="G2906" t="n">
        <x:v>7</x:v>
      </x:c>
      <x:c r="H2906" t="n">
        <x:v>0</x:v>
      </x:c>
      <x:c r="I2906" t="str">
        <x:v>À qualifier par lieu</x:v>
      </x:c>
      <x:c r="J2906" t="str">
        <x:v>https://github.com/darknigthmare/deadwall-last-enclosure/blob/e28f46223e73105ab2c5d83f3d50b99b58ef53e6/codex-3000/compositions/habitat/DW-2901.md</x:v>
      </x:c>
      <x:c r="K2906" t="str">
        <x:v>Source min 64,45 m ; max 64,45 m ; modèle 64 × 45 m ; niveaux 0. Détails dans catalogue-existant.json.</x:v>
      </x:c>
    </x:row>
    <x:row r="2907">
      <x:c r="A2907" t="str">
        <x:v>DW-2902</x:v>
      </x:c>
      <x:c r="B2907" t="str">
        <x:v>DW-0951</x:v>
      </x:c>
      <x:c r="C2907" t="str">
        <x:v>Composition héritée</x:v>
      </x:c>
      <x:c r="D2907" t="str">
        <x:v>habitat</x:v>
      </x:c>
      <x:c r="E2907" t="str">
        <x:v>Villa isolée — variante 08 — Quartier pavillonnaire / arrêt de maintenance</x:v>
      </x:c>
      <x:c r="F2907" t="n">
        <x:v>8</x:v>
      </x:c>
      <x:c r="G2907" t="n">
        <x:v>7</x:v>
      </x:c>
      <x:c r="H2907" t="n">
        <x:v>0</x:v>
      </x:c>
      <x:c r="I2907" t="str">
        <x:v>À qualifier par lieu</x:v>
      </x:c>
      <x:c r="J2907" t="str">
        <x:v>https://github.com/darknigthmare/deadwall-last-enclosure/blob/e28f46223e73105ab2c5d83f3d50b99b58ef53e6/codex-3000/compositions/habitat/DW-2902.md</x:v>
      </x:c>
      <x:c r="K2907" t="str">
        <x:v>Source min 64,45 m ; max 64,45 m ; modèle 64 × 45 m ; niveaux 0. Détails dans catalogue-existant.json.</x:v>
      </x:c>
    </x:row>
    <x:row r="2908">
      <x:c r="A2908" t="str">
        <x:v>DW-2903</x:v>
      </x:c>
      <x:c r="B2908" t="str">
        <x:v>DW-0952</x:v>
      </x:c>
      <x:c r="C2908" t="str">
        <x:v>Composition héritée</x:v>
      </x:c>
      <x:c r="D2908" t="str">
        <x:v>habitat</x:v>
      </x:c>
      <x:c r="E2908" t="str">
        <x:v>Ferme familiale — variante 08 — Quartier collectif / repli organisé interrompu</x:v>
      </x:c>
      <x:c r="F2908" t="n">
        <x:v>8</x:v>
      </x:c>
      <x:c r="G2908" t="n">
        <x:v>6</x:v>
      </x:c>
      <x:c r="H2908" t="n">
        <x:v>0</x:v>
      </x:c>
      <x:c r="I2908" t="str">
        <x:v>À qualifier par lieu</x:v>
      </x:c>
      <x:c r="J2908" t="str">
        <x:v>https://github.com/darknigthmare/deadwall-last-enclosure/blob/e28f46223e73105ab2c5d83f3d50b99b58ef53e6/codex-3000/compositions/habitat/DW-2903.md</x:v>
      </x:c>
      <x:c r="K2908" t="str">
        <x:v>Source min 75,62 m ; max 75,62 m ; modèle 75 × 62 m ; niveaux 0. Détails dans catalogue-existant.json.</x:v>
      </x:c>
    </x:row>
    <x:row r="2909">
      <x:c r="A2909" t="str">
        <x:v>DW-2904</x:v>
      </x:c>
      <x:c r="B2909" t="str">
        <x:v>DW-0952</x:v>
      </x:c>
      <x:c r="C2909" t="str">
        <x:v>Composition héritée</x:v>
      </x:c>
      <x:c r="D2909" t="str">
        <x:v>habitat</x:v>
      </x:c>
      <x:c r="E2909" t="str">
        <x:v>Ferme familiale — variante 08 — Hameau / première récupération passée</x:v>
      </x:c>
      <x:c r="F2909" t="n">
        <x:v>8</x:v>
      </x:c>
      <x:c r="G2909" t="n">
        <x:v>6</x:v>
      </x:c>
      <x:c r="H2909" t="n">
        <x:v>0</x:v>
      </x:c>
      <x:c r="I2909" t="str">
        <x:v>À qualifier par lieu</x:v>
      </x:c>
      <x:c r="J2909" t="str">
        <x:v>https://github.com/darknigthmare/deadwall-last-enclosure/blob/e28f46223e73105ab2c5d83f3d50b99b58ef53e6/codex-3000/compositions/habitat/DW-2904.md</x:v>
      </x:c>
      <x:c r="K2909" t="str">
        <x:v>Source min 75,62 m ; max 75,62 m ; modèle 75 × 62 m ; niveaux 0. Détails dans catalogue-existant.json.</x:v>
      </x:c>
    </x:row>
    <x:row r="2910">
      <x:c r="A2910" t="str">
        <x:v>DW-2905</x:v>
      </x:c>
      <x:c r="B2910" t="str">
        <x:v>DW-0953</x:v>
      </x:c>
      <x:c r="C2910" t="str">
        <x:v>Composition héritée</x:v>
      </x:c>
      <x:c r="D2910" t="str">
        <x:v>habitat</x:v>
      </x:c>
      <x:c r="E2910" t="str">
        <x:v>Immeuble résidentiel — variante 08 — Quartier pavillonnaire / évacuation interrompue</x:v>
      </x:c>
      <x:c r="F2910" t="n">
        <x:v>8</x:v>
      </x:c>
      <x:c r="G2910" t="n">
        <x:v>5</x:v>
      </x:c>
      <x:c r="H2910" t="n">
        <x:v>0</x:v>
      </x:c>
      <x:c r="I2910" t="str">
        <x:v>À qualifier par lieu</x:v>
      </x:c>
      <x:c r="J2910" t="str">
        <x:v>https://github.com/darknigthmare/deadwall-last-enclosure/blob/e28f46223e73105ab2c5d83f3d50b99b58ef53e6/codex-3000/compositions/habitat/DW-2905.md</x:v>
      </x:c>
      <x:c r="K2910" t="str">
        <x:v>Source min 14,25 m ; max 14,25 m ; modèle 26 × 25 m ; niveaux 0, 1, 2. Détails dans catalogue-existant.json.</x:v>
      </x:c>
    </x:row>
    <x:row r="2911">
      <x:c r="A2911" t="str">
        <x:v>DW-2906</x:v>
      </x:c>
      <x:c r="B2911" t="str">
        <x:v>DW-0953</x:v>
      </x:c>
      <x:c r="C2911" t="str">
        <x:v>Composition héritée</x:v>
      </x:c>
      <x:c r="D2911" t="str">
        <x:v>habitat</x:v>
      </x:c>
      <x:c r="E2911" t="str">
        <x:v>Immeuble résidentiel — variante 08 — Village et bourg / service déplacé à l’arrière</x:v>
      </x:c>
      <x:c r="F2911" t="n">
        <x:v>8</x:v>
      </x:c>
      <x:c r="G2911" t="n">
        <x:v>5</x:v>
      </x:c>
      <x:c r="H2911" t="n">
        <x:v>0</x:v>
      </x:c>
      <x:c r="I2911" t="str">
        <x:v>À qualifier par lieu</x:v>
      </x:c>
      <x:c r="J2911" t="str">
        <x:v>https://github.com/darknigthmare/deadwall-last-enclosure/blob/e28f46223e73105ab2c5d83f3d50b99b58ef53e6/codex-3000/compositions/habitat/DW-2906.md</x:v>
      </x:c>
      <x:c r="K2911" t="str">
        <x:v>Source min 14,25 m ; max 14,25 m ; modèle 26 × 25 m ; niveaux 0, 1, 2. Détails dans catalogue-existant.json.</x:v>
      </x:c>
    </x:row>
    <x:row r="2912">
      <x:c r="A2912" t="str">
        <x:v>DW-2907</x:v>
      </x:c>
      <x:c r="B2912" t="str">
        <x:v>DW-0954</x:v>
      </x:c>
      <x:c r="C2912" t="str">
        <x:v>Composition héritée</x:v>
      </x:c>
      <x:c r="D2912" t="str">
        <x:v>habitat</x:v>
      </x:c>
      <x:c r="E2912" t="str">
        <x:v>Barre de logements — variante 08 — Hameau / arrêt de maintenance</x:v>
      </x:c>
      <x:c r="F2912" t="n">
        <x:v>8</x:v>
      </x:c>
      <x:c r="G2912" t="n">
        <x:v>5</x:v>
      </x:c>
      <x:c r="H2912" t="n">
        <x:v>0</x:v>
      </x:c>
      <x:c r="I2912" t="str">
        <x:v>À qualifier par lieu</x:v>
      </x:c>
      <x:c r="J2912" t="str">
        <x:v>https://github.com/darknigthmare/deadwall-last-enclosure/blob/e28f46223e73105ab2c5d83f3d50b99b58ef53e6/codex-3000/compositions/habitat/DW-2907.md</x:v>
      </x:c>
      <x:c r="K2912" t="str">
        <x:v>Source min 25,42 m ; max 25,42 m ; modèle 26 × 42 m ; niveaux 0, 1. Détails dans catalogue-existant.json.</x:v>
      </x:c>
    </x:row>
    <x:row r="2913">
      <x:c r="A2913" t="str">
        <x:v>DW-2908</x:v>
      </x:c>
      <x:c r="B2913" t="str">
        <x:v>DW-0954</x:v>
      </x:c>
      <x:c r="C2913" t="str">
        <x:v>Composition héritée</x:v>
      </x:c>
      <x:c r="D2913" t="str">
        <x:v>habitat</x:v>
      </x:c>
      <x:c r="E2913" t="str">
        <x:v>Barre de logements — variante 08 — Quartier collectif / reprise progressive de la végétation</x:v>
      </x:c>
      <x:c r="F2913" t="n">
        <x:v>8</x:v>
      </x:c>
      <x:c r="G2913" t="n">
        <x:v>5</x:v>
      </x:c>
      <x:c r="H2913" t="n">
        <x:v>0</x:v>
      </x:c>
      <x:c r="I2913" t="str">
        <x:v>À qualifier par lieu</x:v>
      </x:c>
      <x:c r="J2913" t="str">
        <x:v>https://github.com/darknigthmare/deadwall-last-enclosure/blob/e28f46223e73105ab2c5d83f3d50b99b58ef53e6/codex-3000/compositions/habitat/DW-2908.md</x:v>
      </x:c>
      <x:c r="K2913" t="str">
        <x:v>Source min 25,42 m ; max 25,42 m ; modèle 26 × 42 m ; niveaux 0, 1. Détails dans catalogue-existant.json.</x:v>
      </x:c>
    </x:row>
    <x:row r="2914">
      <x:c r="A2914" t="str">
        <x:v>DW-2909</x:v>
      </x:c>
      <x:c r="B2914" t="str">
        <x:v>DW-0955</x:v>
      </x:c>
      <x:c r="C2914" t="str">
        <x:v>Composition héritée</x:v>
      </x:c>
      <x:c r="D2914" t="str">
        <x:v>habitat</x:v>
      </x:c>
      <x:c r="E2914" t="str">
        <x:v>Résidence senior — variante 08 — Village et bourg / première récupération passée</x:v>
      </x:c>
      <x:c r="F2914" t="n">
        <x:v>8</x:v>
      </x:c>
      <x:c r="G2914" t="n">
        <x:v>5</x:v>
      </x:c>
      <x:c r="H2914" t="n">
        <x:v>0</x:v>
      </x:c>
      <x:c r="I2914" t="str">
        <x:v>À qualifier par lieu</x:v>
      </x:c>
      <x:c r="J2914" t="str">
        <x:v>https://github.com/darknigthmare/deadwall-last-enclosure/blob/e28f46223e73105ab2c5d83f3d50b99b58ef53e6/codex-3000/compositions/habitat/DW-2909.md</x:v>
      </x:c>
      <x:c r="K2914" t="str">
        <x:v>Source min 36,59 m ; max 36,59 m ; modèle 36 × 59 m ; niveaux 0, 1, 2. Détails dans catalogue-existant.json.</x:v>
      </x:c>
    </x:row>
    <x:row r="2915">
      <x:c r="A2915" t="str">
        <x:v>DW-2910</x:v>
      </x:c>
      <x:c r="B2915" t="str">
        <x:v>DW-0955</x:v>
      </x:c>
      <x:c r="C2915" t="str">
        <x:v>Composition héritée</x:v>
      </x:c>
      <x:c r="D2915" t="str">
        <x:v>habitat</x:v>
      </x:c>
      <x:c r="E2915" t="str">
        <x:v>Résidence senior — variante 08 — Quartier pavillonnaire / relais temporaire envisagé</x:v>
      </x:c>
      <x:c r="F2915" t="n">
        <x:v>8</x:v>
      </x:c>
      <x:c r="G2915" t="n">
        <x:v>5</x:v>
      </x:c>
      <x:c r="H2915" t="n">
        <x:v>0</x:v>
      </x:c>
      <x:c r="I2915" t="str">
        <x:v>À qualifier par lieu</x:v>
      </x:c>
      <x:c r="J2915" t="str">
        <x:v>https://github.com/darknigthmare/deadwall-last-enclosure/blob/e28f46223e73105ab2c5d83f3d50b99b58ef53e6/codex-3000/compositions/habitat/DW-2910.md</x:v>
      </x:c>
      <x:c r="K2915" t="str">
        <x:v>Source min 36,59 m ; max 36,59 m ; modèle 36 × 59 m ; niveaux 0, 1, 2. Détails dans catalogue-existant.json.</x:v>
      </x:c>
    </x:row>
    <x:row r="2916">
      <x:c r="A2916" t="str">
        <x:v>DW-2911</x:v>
      </x:c>
      <x:c r="B2916" t="str">
        <x:v>DW-0956</x:v>
      </x:c>
      <x:c r="C2916" t="str">
        <x:v>Composition héritée</x:v>
      </x:c>
      <x:c r="D2916" t="str">
        <x:v>habitat</x:v>
      </x:c>
      <x:c r="E2916" t="str">
        <x:v>Maison avec sous-sol — variante 08 — Quartier collectif / service déplacé à l’arrière</x:v>
      </x:c>
      <x:c r="F2916" t="n">
        <x:v>8</x:v>
      </x:c>
      <x:c r="G2916" t="n">
        <x:v>5</x:v>
      </x:c>
      <x:c r="H2916" t="n">
        <x:v>0</x:v>
      </x:c>
      <x:c r="I2916" t="str">
        <x:v>À qualifier par lieu</x:v>
      </x:c>
      <x:c r="J2916" t="str">
        <x:v>https://github.com/darknigthmare/deadwall-last-enclosure/blob/e28f46223e73105ab2c5d83f3d50b99b58ef53e6/codex-3000/compositions/habitat/DW-2911.md</x:v>
      </x:c>
      <x:c r="K2916" t="str">
        <x:v>Source min 47,22 m ; max 47,22 m ; modèle 47 × 22 m ; niveaux 0. Détails dans catalogue-existant.json.</x:v>
      </x:c>
    </x:row>
    <x:row r="2917">
      <x:c r="A2917" t="str">
        <x:v>DW-2912</x:v>
      </x:c>
      <x:c r="B2917" t="str">
        <x:v>DW-0956</x:v>
      </x:c>
      <x:c r="C2917" t="str">
        <x:v>Composition héritée</x:v>
      </x:c>
      <x:c r="D2917" t="str">
        <x:v>habitat</x:v>
      </x:c>
      <x:c r="E2917" t="str">
        <x:v>Maison avec sous-sol — variante 08 — Hameau / réseau principal coupé</x:v>
      </x:c>
      <x:c r="F2917" t="n">
        <x:v>8</x:v>
      </x:c>
      <x:c r="G2917" t="n">
        <x:v>5</x:v>
      </x:c>
      <x:c r="H2917" t="n">
        <x:v>0</x:v>
      </x:c>
      <x:c r="I2917" t="str">
        <x:v>À qualifier par lieu</x:v>
      </x:c>
      <x:c r="J2917" t="str">
        <x:v>https://github.com/darknigthmare/deadwall-last-enclosure/blob/e28f46223e73105ab2c5d83f3d50b99b58ef53e6/codex-3000/compositions/habitat/DW-2912.md</x:v>
      </x:c>
      <x:c r="K2917" t="str">
        <x:v>Source min 47,22 m ; max 47,22 m ; modèle 47 × 22 m ; niveaux 0. Détails dans catalogue-existant.json.</x:v>
      </x:c>
    </x:row>
    <x:row r="2918">
      <x:c r="A2918" t="str">
        <x:v>DW-2913</x:v>
      </x:c>
      <x:c r="B2918" t="str">
        <x:v>DW-0957</x:v>
      </x:c>
      <x:c r="C2918" t="str">
        <x:v>Composition héritée</x:v>
      </x:c>
      <x:c r="D2918" t="str">
        <x:v>commerce</x:v>
      </x:c>
      <x:c r="E2918" t="str">
        <x:v>Supérette — variante 08 — Zone commerciale / reprise progressive de la végétation</x:v>
      </x:c>
      <x:c r="F2918" t="n">
        <x:v>8</x:v>
      </x:c>
      <x:c r="G2918" t="n">
        <x:v>5</x:v>
      </x:c>
      <x:c r="H2918" t="n">
        <x:v>0</x:v>
      </x:c>
      <x:c r="I2918" t="str">
        <x:v>À qualifier par lieu</x:v>
      </x:c>
      <x:c r="J2918" t="str">
        <x:v>https://github.com/darknigthmare/deadwall-last-enclosure/blob/e28f46223e73105ab2c5d83f3d50b99b58ef53e6/codex-3000/compositions/commerce/DW-2913.md</x:v>
      </x:c>
      <x:c r="K2918" t="str">
        <x:v>Source min 58,39 m ; max 58,39 m ; modèle 58 × 39 m ; niveaux 0, 1. Détails dans catalogue-existant.json.</x:v>
      </x:c>
    </x:row>
    <x:row r="2919">
      <x:c r="A2919" t="str">
        <x:v>DW-2914</x:v>
      </x:c>
      <x:c r="B2919" t="str">
        <x:v>DW-0957</x:v>
      </x:c>
      <x:c r="C2919" t="str">
        <x:v>Composition héritée</x:v>
      </x:c>
      <x:c r="D2919" t="str">
        <x:v>commerce</x:v>
      </x:c>
      <x:c r="E2919" t="str">
        <x:v>Supérette — variante 08 — Village et bourg / repli organisé interrompu</x:v>
      </x:c>
      <x:c r="F2919" t="n">
        <x:v>8</x:v>
      </x:c>
      <x:c r="G2919" t="n">
        <x:v>5</x:v>
      </x:c>
      <x:c r="H2919" t="n">
        <x:v>0</x:v>
      </x:c>
      <x:c r="I2919" t="str">
        <x:v>À qualifier par lieu</x:v>
      </x:c>
      <x:c r="J2919" t="str">
        <x:v>https://github.com/darknigthmare/deadwall-last-enclosure/blob/e28f46223e73105ab2c5d83f3d50b99b58ef53e6/codex-3000/compositions/commerce/DW-2914.md</x:v>
      </x:c>
      <x:c r="K2919" t="str">
        <x:v>Source min 58,39 m ; max 58,39 m ; modèle 58 × 39 m ; niveaux 0, 1. Détails dans catalogue-existant.json.</x:v>
      </x:c>
    </x:row>
    <x:row r="2920">
      <x:c r="A2920" t="str">
        <x:v>DW-2915</x:v>
      </x:c>
      <x:c r="B2920" t="str">
        <x:v>DW-0958</x:v>
      </x:c>
      <x:c r="C2920" t="str">
        <x:v>Composition héritée</x:v>
      </x:c>
      <x:c r="D2920" t="str">
        <x:v>commerce</x:v>
      </x:c>
      <x:c r="E2920" t="str">
        <x:v>Centre commercial — variante 08 — Ville moyenne / relais temporaire envisagé</x:v>
      </x:c>
      <x:c r="F2920" t="n">
        <x:v>8</x:v>
      </x:c>
      <x:c r="G2920" t="n">
        <x:v>6</x:v>
      </x:c>
      <x:c r="H2920" t="n">
        <x:v>0</x:v>
      </x:c>
      <x:c r="I2920" t="str">
        <x:v>À qualifier par lieu</x:v>
      </x:c>
      <x:c r="J2920" t="str">
        <x:v>https://github.com/darknigthmare/deadwall-last-enclosure/blob/e28f46223e73105ab2c5d83f3d50b99b58ef53e6/codex-3000/compositions/commerce/DW-2915.md</x:v>
      </x:c>
      <x:c r="K2920" t="str">
        <x:v>Source min 69,56 m ; max 69,56 m ; modèle 69 × 56 m ; niveaux 0. Détails dans catalogue-existant.json.</x:v>
      </x:c>
    </x:row>
    <x:row r="2921">
      <x:c r="A2921" t="str">
        <x:v>DW-2916</x:v>
      </x:c>
      <x:c r="B2921" t="str">
        <x:v>DW-0958</x:v>
      </x:c>
      <x:c r="C2921" t="str">
        <x:v>Composition héritée</x:v>
      </x:c>
      <x:c r="D2921" t="str">
        <x:v>commerce</x:v>
      </x:c>
      <x:c r="E2921" t="str">
        <x:v>Centre commercial — variante 08 — Grande ville et métropole / évacuation interrompue</x:v>
      </x:c>
      <x:c r="F2921" t="n">
        <x:v>8</x:v>
      </x:c>
      <x:c r="G2921" t="n">
        <x:v>6</x:v>
      </x:c>
      <x:c r="H2921" t="n">
        <x:v>0</x:v>
      </x:c>
      <x:c r="I2921" t="str">
        <x:v>À qualifier par lieu</x:v>
      </x:c>
      <x:c r="J2921" t="str">
        <x:v>https://github.com/darknigthmare/deadwall-last-enclosure/blob/e28f46223e73105ab2c5d83f3d50b99b58ef53e6/codex-3000/compositions/commerce/DW-2916.md</x:v>
      </x:c>
      <x:c r="K2921" t="str">
        <x:v>Source min 69,56 m ; max 69,56 m ; modèle 69 × 56 m ; niveaux 0. Détails dans catalogue-existant.json.</x:v>
      </x:c>
    </x:row>
    <x:row r="2922">
      <x:c r="A2922" t="str">
        <x:v>DW-2917</x:v>
      </x:c>
      <x:c r="B2922" t="str">
        <x:v>DW-0959</x:v>
      </x:c>
      <x:c r="C2922" t="str">
        <x:v>Composition héritée</x:v>
      </x:c>
      <x:c r="D2922" t="str">
        <x:v>commerce</x:v>
      </x:c>
      <x:c r="E2922" t="str">
        <x:v>Supermarché — variante 08 — Village et bourg / réseau principal coupé</x:v>
      </x:c>
      <x:c r="F2922" t="n">
        <x:v>8</x:v>
      </x:c>
      <x:c r="G2922" t="n">
        <x:v>7</x:v>
      </x:c>
      <x:c r="H2922" t="n">
        <x:v>0</x:v>
      </x:c>
      <x:c r="I2922" t="str">
        <x:v>À qualifier par lieu</x:v>
      </x:c>
      <x:c r="J2922" t="str">
        <x:v>https://github.com/darknigthmare/deadwall-last-enclosure/blob/e28f46223e73105ab2c5d83f3d50b99b58ef53e6/codex-3000/compositions/commerce/DW-2917.md</x:v>
      </x:c>
      <x:c r="K2922" t="str">
        <x:v>Source min 80,19 m ; max 80,19 m ; modèle 78 × 29 m ; niveaux 0. Détails dans catalogue-existant.json.</x:v>
      </x:c>
    </x:row>
    <x:row r="2923">
      <x:c r="A2923" t="str">
        <x:v>DW-2918</x:v>
      </x:c>
      <x:c r="B2923" t="str">
        <x:v>DW-0959</x:v>
      </x:c>
      <x:c r="C2923" t="str">
        <x:v>Composition héritée</x:v>
      </x:c>
      <x:c r="D2923" t="str">
        <x:v>commerce</x:v>
      </x:c>
      <x:c r="E2923" t="str">
        <x:v>Supermarché — variante 08 — Zone commerciale / arrêt de maintenance</x:v>
      </x:c>
      <x:c r="F2923" t="n">
        <x:v>8</x:v>
      </x:c>
      <x:c r="G2923" t="n">
        <x:v>7</x:v>
      </x:c>
      <x:c r="H2923" t="n">
        <x:v>0</x:v>
      </x:c>
      <x:c r="I2923" t="str">
        <x:v>À qualifier par lieu</x:v>
      </x:c>
      <x:c r="J2923" t="str">
        <x:v>https://github.com/darknigthmare/deadwall-last-enclosure/blob/e28f46223e73105ab2c5d83f3d50b99b58ef53e6/codex-3000/compositions/commerce/DW-2918.md</x:v>
      </x:c>
      <x:c r="K2923" t="str">
        <x:v>Source min 80,19 m ; max 80,19 m ; modèle 78 × 29 m ; niveaux 0. Détails dans catalogue-existant.json.</x:v>
      </x:c>
    </x:row>
    <x:row r="2924">
      <x:c r="A2924" t="str">
        <x:v>DW-2919</x:v>
      </x:c>
      <x:c r="B2924" t="str">
        <x:v>DW-0960</x:v>
      </x:c>
      <x:c r="C2924" t="str">
        <x:v>Composition héritée</x:v>
      </x:c>
      <x:c r="D2924" t="str">
        <x:v>commerce</x:v>
      </x:c>
      <x:c r="E2924" t="str">
        <x:v>Magasin de bricolage — variante 08 — Grande ville et métropole / repli organisé interrompu</x:v>
      </x:c>
      <x:c r="F2924" t="n">
        <x:v>8</x:v>
      </x:c>
      <x:c r="G2924" t="n">
        <x:v>5</x:v>
      </x:c>
      <x:c r="H2924" t="n">
        <x:v>0</x:v>
      </x:c>
      <x:c r="I2924" t="str">
        <x:v>À qualifier par lieu</x:v>
      </x:c>
      <x:c r="J2924" t="str">
        <x:v>https://github.com/darknigthmare/deadwall-last-enclosure/blob/e28f46223e73105ab2c5d83f3d50b99b58ef53e6/codex-3000/compositions/commerce/DW-2919.md</x:v>
      </x:c>
      <x:c r="K2924" t="str">
        <x:v>Source min 19,36 m ; max 19,36 m ; modèle 26 × 36 m ; niveaux 0. Détails dans catalogue-existant.json.</x:v>
      </x:c>
    </x:row>
    <x:row r="2925">
      <x:c r="A2925" t="str">
        <x:v>DW-2920</x:v>
      </x:c>
      <x:c r="B2925" t="str">
        <x:v>DW-0960</x:v>
      </x:c>
      <x:c r="C2925" t="str">
        <x:v>Composition héritée</x:v>
      </x:c>
      <x:c r="D2925" t="str">
        <x:v>commerce</x:v>
      </x:c>
      <x:c r="E2925" t="str">
        <x:v>Magasin de bricolage — variante 08 — Ville moyenne / première récupération passée</x:v>
      </x:c>
      <x:c r="F2925" t="n">
        <x:v>8</x:v>
      </x:c>
      <x:c r="G2925" t="n">
        <x:v>5</x:v>
      </x:c>
      <x:c r="H2925" t="n">
        <x:v>0</x:v>
      </x:c>
      <x:c r="I2925" t="str">
        <x:v>À qualifier par lieu</x:v>
      </x:c>
      <x:c r="J2925" t="str">
        <x:v>https://github.com/darknigthmare/deadwall-last-enclosure/blob/e28f46223e73105ab2c5d83f3d50b99b58ef53e6/codex-3000/compositions/commerce/DW-2920.md</x:v>
      </x:c>
      <x:c r="K2925" t="str">
        <x:v>Source min 19,36 m ; max 19,36 m ; modèle 26 × 36 m ; niveaux 0. Détails dans catalogue-existant.json.</x:v>
      </x:c>
    </x:row>
    <x:row r="2926">
      <x:c r="A2926" t="str">
        <x:v>DW-2921</x:v>
      </x:c>
      <x:c r="B2926" t="str">
        <x:v>DW-0961</x:v>
      </x:c>
      <x:c r="C2926" t="str">
        <x:v>Composition héritée</x:v>
      </x:c>
      <x:c r="D2926" t="str">
        <x:v>commerce</x:v>
      </x:c>
      <x:c r="E2926" t="str">
        <x:v>Pharmacie — variante 08 — Zone commerciale / évacuation interrompue</x:v>
      </x:c>
      <x:c r="F2926" t="n">
        <x:v>8</x:v>
      </x:c>
      <x:c r="G2926" t="n">
        <x:v>4</x:v>
      </x:c>
      <x:c r="H2926" t="n">
        <x:v>0</x:v>
      </x:c>
      <x:c r="I2926" t="str">
        <x:v>À qualifier par lieu</x:v>
      </x:c>
      <x:c r="J2926" t="str">
        <x:v>https://github.com/darknigthmare/deadwall-last-enclosure/blob/e28f46223e73105ab2c5d83f3d50b99b58ef53e6/codex-3000/compositions/commerce/DW-2921.md</x:v>
      </x:c>
      <x:c r="K2926" t="str">
        <x:v>Source min 30,53 m ; max 30,53 m ; modèle 30 × 53 m ; niveaux 0, 1. Détails dans catalogue-existant.json.</x:v>
      </x:c>
    </x:row>
    <x:row r="2927">
      <x:c r="A2927" t="str">
        <x:v>DW-2922</x:v>
      </x:c>
      <x:c r="B2927" t="str">
        <x:v>DW-0961</x:v>
      </x:c>
      <x:c r="C2927" t="str">
        <x:v>Composition héritée</x:v>
      </x:c>
      <x:c r="D2927" t="str">
        <x:v>commerce</x:v>
      </x:c>
      <x:c r="E2927" t="str">
        <x:v>Pharmacie — variante 08 — Village et bourg / service déplacé à l’arrière</x:v>
      </x:c>
      <x:c r="F2927" t="n">
        <x:v>8</x:v>
      </x:c>
      <x:c r="G2927" t="n">
        <x:v>4</x:v>
      </x:c>
      <x:c r="H2927" t="n">
        <x:v>0</x:v>
      </x:c>
      <x:c r="I2927" t="str">
        <x:v>À qualifier par lieu</x:v>
      </x:c>
      <x:c r="J2927" t="str">
        <x:v>https://github.com/darknigthmare/deadwall-last-enclosure/blob/e28f46223e73105ab2c5d83f3d50b99b58ef53e6/codex-3000/compositions/commerce/DW-2922.md</x:v>
      </x:c>
      <x:c r="K2927" t="str">
        <x:v>Source min 30,53 m ; max 30,53 m ; modèle 30 × 53 m ; niveaux 0, 1. Détails dans catalogue-existant.json.</x:v>
      </x:c>
    </x:row>
    <x:row r="2928">
      <x:c r="A2928" t="str">
        <x:v>DW-2923</x:v>
      </x:c>
      <x:c r="B2928" t="str">
        <x:v>DW-0962</x:v>
      </x:c>
      <x:c r="C2928" t="str">
        <x:v>Composition héritée</x:v>
      </x:c>
      <x:c r="D2928" t="str">
        <x:v>commerce</x:v>
      </x:c>
      <x:c r="E2928" t="str">
        <x:v>Station-service — variante 08 — Ville moyenne / arrêt de maintenance</x:v>
      </x:c>
      <x:c r="F2928" t="n">
        <x:v>8</x:v>
      </x:c>
      <x:c r="G2928" t="n">
        <x:v>5</x:v>
      </x:c>
      <x:c r="H2928" t="n">
        <x:v>0</x:v>
      </x:c>
      <x:c r="I2928" t="str">
        <x:v>À qualifier par lieu</x:v>
      </x:c>
      <x:c r="J2928" t="str">
        <x:v>https://github.com/darknigthmare/deadwall-last-enclosure/blob/e28f46223e73105ab2c5d83f3d50b99b58ef53e6/codex-3000/compositions/commerce/DW-2923.md</x:v>
      </x:c>
      <x:c r="K2928" t="str">
        <x:v>Source min 41,16 m ; max 41,16 m ; modèle 41 × 22 m ; niveaux 0. Détails dans catalogue-existant.json.</x:v>
      </x:c>
    </x:row>
    <x:row r="2929">
      <x:c r="A2929" t="str">
        <x:v>DW-2924</x:v>
      </x:c>
      <x:c r="B2929" t="str">
        <x:v>DW-0962</x:v>
      </x:c>
      <x:c r="C2929" t="str">
        <x:v>Composition héritée</x:v>
      </x:c>
      <x:c r="D2929" t="str">
        <x:v>commerce</x:v>
      </x:c>
      <x:c r="E2929" t="str">
        <x:v>Station-service — variante 08 — Grande ville et métropole / reprise progressive de la végétation</x:v>
      </x:c>
      <x:c r="F2929" t="n">
        <x:v>8</x:v>
      </x:c>
      <x:c r="G2929" t="n">
        <x:v>5</x:v>
      </x:c>
      <x:c r="H2929" t="n">
        <x:v>0</x:v>
      </x:c>
      <x:c r="I2929" t="str">
        <x:v>À qualifier par lieu</x:v>
      </x:c>
      <x:c r="J2929" t="str">
        <x:v>https://github.com/darknigthmare/deadwall-last-enclosure/blob/e28f46223e73105ab2c5d83f3d50b99b58ef53e6/codex-3000/compositions/commerce/DW-2924.md</x:v>
      </x:c>
      <x:c r="K2929" t="str">
        <x:v>Source min 41,16 m ; max 41,16 m ; modèle 41 × 22 m ; niveaux 0. Détails dans catalogue-existant.json.</x:v>
      </x:c>
    </x:row>
    <x:row r="2930">
      <x:c r="A2930" t="str">
        <x:v>DW-2925</x:v>
      </x:c>
      <x:c r="B2930" t="str">
        <x:v>DW-0963</x:v>
      </x:c>
      <x:c r="C2930" t="str">
        <x:v>Composition héritée</x:v>
      </x:c>
      <x:c r="D2930" t="str">
        <x:v>commerce</x:v>
      </x:c>
      <x:c r="E2930" t="str">
        <x:v>Restaurant routier — variante 08 — Village et bourg / première récupération passée</x:v>
      </x:c>
      <x:c r="F2930" t="n">
        <x:v>8</x:v>
      </x:c>
      <x:c r="G2930" t="n">
        <x:v>5</x:v>
      </x:c>
      <x:c r="H2930" t="n">
        <x:v>0</x:v>
      </x:c>
      <x:c r="I2930" t="str">
        <x:v>À qualifier par lieu</x:v>
      </x:c>
      <x:c r="J2930" t="str">
        <x:v>https://github.com/darknigthmare/deadwall-last-enclosure/blob/e28f46223e73105ab2c5d83f3d50b99b58ef53e6/codex-3000/compositions/commerce/DW-2925.md</x:v>
      </x:c>
      <x:c r="K2930" t="str">
        <x:v>Source min 52,33 m ; max 52,33 m ; modèle 52 × 33 m ; niveaux 0. Détails dans catalogue-existant.json.</x:v>
      </x:c>
    </x:row>
    <x:row r="2931">
      <x:c r="A2931" t="str">
        <x:v>DW-2926</x:v>
      </x:c>
      <x:c r="B2931" t="str">
        <x:v>DW-0963</x:v>
      </x:c>
      <x:c r="C2931" t="str">
        <x:v>Composition héritée</x:v>
      </x:c>
      <x:c r="D2931" t="str">
        <x:v>commerce</x:v>
      </x:c>
      <x:c r="E2931" t="str">
        <x:v>Restaurant routier — variante 08 — Zone commerciale / relais temporaire envisagé</x:v>
      </x:c>
      <x:c r="F2931" t="n">
        <x:v>8</x:v>
      </x:c>
      <x:c r="G2931" t="n">
        <x:v>5</x:v>
      </x:c>
      <x:c r="H2931" t="n">
        <x:v>0</x:v>
      </x:c>
      <x:c r="I2931" t="str">
        <x:v>À qualifier par lieu</x:v>
      </x:c>
      <x:c r="J2931" t="str">
        <x:v>https://github.com/darknigthmare/deadwall-last-enclosure/blob/e28f46223e73105ab2c5d83f3d50b99b58ef53e6/codex-3000/compositions/commerce/DW-2926.md</x:v>
      </x:c>
      <x:c r="K2931" t="str">
        <x:v>Source min 52,33 m ; max 52,33 m ; modèle 52 × 33 m ; niveaux 0. Détails dans catalogue-existant.json.</x:v>
      </x:c>
    </x:row>
    <x:row r="2932">
      <x:c r="A2932" t="str">
        <x:v>DW-2927</x:v>
      </x:c>
      <x:c r="B2932" t="str">
        <x:v>DW-0964</x:v>
      </x:c>
      <x:c r="C2932" t="str">
        <x:v>Composition héritée</x:v>
      </x:c>
      <x:c r="D2932" t="str">
        <x:v>commerce</x:v>
      </x:c>
      <x:c r="E2932" t="str">
        <x:v>Hôtel — variante 08 — Grande ville et métropole / service déplacé à l’arrière</x:v>
      </x:c>
      <x:c r="F2932" t="n">
        <x:v>8</x:v>
      </x:c>
      <x:c r="G2932" t="n">
        <x:v>6</x:v>
      </x:c>
      <x:c r="H2932" t="n">
        <x:v>0</x:v>
      </x:c>
      <x:c r="I2932" t="str">
        <x:v>À qualifier par lieu</x:v>
      </x:c>
      <x:c r="J2932" t="str">
        <x:v>https://github.com/darknigthmare/deadwall-last-enclosure/blob/e28f46223e73105ab2c5d83f3d50b99b58ef53e6/codex-3000/compositions/commerce/DW-2927.md</x:v>
      </x:c>
      <x:c r="K2932" t="str">
        <x:v>Source min 63,50 m ; max 63,50 m ; modèle 63 × 50 m ; niveaux 0. Détails dans catalogue-existant.json.</x:v>
      </x:c>
    </x:row>
    <x:row r="2933">
      <x:c r="A2933" t="str">
        <x:v>DW-2928</x:v>
      </x:c>
      <x:c r="B2933" t="str">
        <x:v>DW-0964</x:v>
      </x:c>
      <x:c r="C2933" t="str">
        <x:v>Composition héritée</x:v>
      </x:c>
      <x:c r="D2933" t="str">
        <x:v>commerce</x:v>
      </x:c>
      <x:c r="E2933" t="str">
        <x:v>Hôtel — variante 08 — Ville moyenne / réseau principal coupé</x:v>
      </x:c>
      <x:c r="F2933" t="n">
        <x:v>8</x:v>
      </x:c>
      <x:c r="G2933" t="n">
        <x:v>6</x:v>
      </x:c>
      <x:c r="H2933" t="n">
        <x:v>0</x:v>
      </x:c>
      <x:c r="I2933" t="str">
        <x:v>À qualifier par lieu</x:v>
      </x:c>
      <x:c r="J2933" t="str">
        <x:v>https://github.com/darknigthmare/deadwall-last-enclosure/blob/e28f46223e73105ab2c5d83f3d50b99b58ef53e6/codex-3000/compositions/commerce/DW-2928.md</x:v>
      </x:c>
      <x:c r="K2933" t="str">
        <x:v>Source min 63,50 m ; max 63,50 m ; modèle 63 × 50 m ; niveaux 0. Détails dans catalogue-existant.json.</x:v>
      </x:c>
    </x:row>
    <x:row r="2934">
      <x:c r="A2934" t="str">
        <x:v>DW-2929</x:v>
      </x:c>
      <x:c r="B2934" t="str">
        <x:v>DW-0965</x:v>
      </x:c>
      <x:c r="C2934" t="str">
        <x:v>Composition héritée</x:v>
      </x:c>
      <x:c r="D2934" t="str">
        <x:v>industrie</x:v>
      </x:c>
      <x:c r="E2934" t="str">
        <x:v>Scierie — variante 08 — Zone industrielle / reprise progressive de la végétation</x:v>
      </x:c>
      <x:c r="F2934" t="n">
        <x:v>8</x:v>
      </x:c>
      <x:c r="G2934" t="n">
        <x:v>5</x:v>
      </x:c>
      <x:c r="H2934" t="n">
        <x:v>0</x:v>
      </x:c>
      <x:c r="I2934" t="str">
        <x:v>À qualifier par lieu</x:v>
      </x:c>
      <x:c r="J2934" t="str">
        <x:v>https://github.com/darknigthmare/deadwall-last-enclosure/blob/e28f46223e73105ab2c5d83f3d50b99b58ef53e6/codex-3000/compositions/industrie/DW-2929.md</x:v>
      </x:c>
      <x:c r="K2934" t="str">
        <x:v>Source min 74,13 m ; max 74,13 m ; modèle 74 × 22 m ; niveaux 0. Détails dans catalogue-existant.json.</x:v>
      </x:c>
    </x:row>
    <x:row r="2935">
      <x:c r="A2935" t="str">
        <x:v>DW-2930</x:v>
      </x:c>
      <x:c r="B2935" t="str">
        <x:v>DW-0965</x:v>
      </x:c>
      <x:c r="C2935" t="str">
        <x:v>Composition héritée</x:v>
      </x:c>
      <x:c r="D2935" t="str">
        <x:v>industrie</x:v>
      </x:c>
      <x:c r="E2935" t="str">
        <x:v>Scierie — variante 08 — Entrepôt et plateforme logistique / repli organisé interrompu</x:v>
      </x:c>
      <x:c r="F2935" t="n">
        <x:v>8</x:v>
      </x:c>
      <x:c r="G2935" t="n">
        <x:v>5</x:v>
      </x:c>
      <x:c r="H2935" t="n">
        <x:v>0</x:v>
      </x:c>
      <x:c r="I2935" t="str">
        <x:v>À qualifier par lieu</x:v>
      </x:c>
      <x:c r="J2935" t="str">
        <x:v>https://github.com/darknigthmare/deadwall-last-enclosure/blob/e28f46223e73105ab2c5d83f3d50b99b58ef53e6/codex-3000/compositions/industrie/DW-2930.md</x:v>
      </x:c>
      <x:c r="K2935" t="str">
        <x:v>Source min 74,13 m ; max 74,13 m ; modèle 74 × 22 m ; niveaux 0. Détails dans catalogue-existant.json.</x:v>
      </x:c>
    </x:row>
    <x:row r="2936">
      <x:c r="A2936" t="str">
        <x:v>DW-2931</x:v>
      </x:c>
      <x:c r="B2936" t="str">
        <x:v>DW-0966</x:v>
      </x:c>
      <x:c r="C2936" t="str">
        <x:v>Composition héritée</x:v>
      </x:c>
      <x:c r="D2936" t="str">
        <x:v>industrie</x:v>
      </x:c>
      <x:c r="E2936" t="str">
        <x:v>Garage automobile — variante 08 — Atelier et artisanat / relais temporaire envisagé</x:v>
      </x:c>
      <x:c r="F2936" t="n">
        <x:v>8</x:v>
      </x:c>
      <x:c r="G2936" t="n">
        <x:v>5</x:v>
      </x:c>
      <x:c r="H2936" t="n">
        <x:v>0</x:v>
      </x:c>
      <x:c r="I2936" t="str">
        <x:v>À qualifier par lieu</x:v>
      </x:c>
      <x:c r="J2936" t="str">
        <x:v>https://github.com/darknigthmare/deadwall-last-enclosure/blob/e28f46223e73105ab2c5d83f3d50b99b58ef53e6/codex-3000/compositions/industrie/DW-2931.md</x:v>
      </x:c>
      <x:c r="K2936" t="str">
        <x:v>Source min 13,30 m ; max 13,30 m ; modèle 26 × 30 m ; niveaux 0. Détails dans catalogue-existant.json.</x:v>
      </x:c>
    </x:row>
    <x:row r="2937">
      <x:c r="A2937" t="str">
        <x:v>DW-2932</x:v>
      </x:c>
      <x:c r="B2937" t="str">
        <x:v>DW-0966</x:v>
      </x:c>
      <x:c r="C2937" t="str">
        <x:v>Composition héritée</x:v>
      </x:c>
      <x:c r="D2937" t="str">
        <x:v>industrie</x:v>
      </x:c>
      <x:c r="E2937" t="str">
        <x:v>Garage automobile — variante 08 — Gare et fret / évacuation interrompue</x:v>
      </x:c>
      <x:c r="F2937" t="n">
        <x:v>10</x:v>
      </x:c>
      <x:c r="G2937" t="n">
        <x:v>5</x:v>
      </x:c>
      <x:c r="H2937" t="n">
        <x:v>0</x:v>
      </x:c>
      <x:c r="I2937" t="str">
        <x:v>À qualifier par lieu</x:v>
      </x:c>
      <x:c r="J2937" t="str">
        <x:v>https://github.com/darknigthmare/deadwall-last-enclosure/blob/e28f46223e73105ab2c5d83f3d50b99b58ef53e6/codex-3000/compositions/industrie/DW-2932.md</x:v>
      </x:c>
      <x:c r="K2937" t="str">
        <x:v>Source min 13,30 m ; max 13,30 m ; modèle 26 × 30 m ; niveaux 0. Détails dans catalogue-existant.json.</x:v>
      </x:c>
    </x:row>
    <x:row r="2938">
      <x:c r="A2938" t="str">
        <x:v>DW-2933</x:v>
      </x:c>
      <x:c r="B2938" t="str">
        <x:v>DW-0967</x:v>
      </x:c>
      <x:c r="C2938" t="str">
        <x:v>Composition héritée</x:v>
      </x:c>
      <x:c r="D2938" t="str">
        <x:v>industrie</x:v>
      </x:c>
      <x:c r="E2938" t="str">
        <x:v>Entrepôt logistique — variante 08 — Entrepôt et plateforme logistique / réseau principal coupé</x:v>
      </x:c>
      <x:c r="F2938" t="n">
        <x:v>8</x:v>
      </x:c>
      <x:c r="G2938" t="n">
        <x:v>5</x:v>
      </x:c>
      <x:c r="H2938" t="n">
        <x:v>0</x:v>
      </x:c>
      <x:c r="I2938" t="str">
        <x:v>À qualifier par lieu</x:v>
      </x:c>
      <x:c r="J2938" t="str">
        <x:v>https://github.com/darknigthmare/deadwall-last-enclosure/blob/e28f46223e73105ab2c5d83f3d50b99b58ef53e6/codex-3000/compositions/industrie/DW-2933.md</x:v>
      </x:c>
      <x:c r="K2938" t="str">
        <x:v>Source min 24,47 m ; max 24,47 m ; modèle 26 × 47 m ; niveaux 0. Détails dans catalogue-existant.json.</x:v>
      </x:c>
    </x:row>
    <x:row r="2939">
      <x:c r="A2939" t="str">
        <x:v>DW-2934</x:v>
      </x:c>
      <x:c r="B2939" t="str">
        <x:v>DW-0967</x:v>
      </x:c>
      <x:c r="C2939" t="str">
        <x:v>Composition héritée</x:v>
      </x:c>
      <x:c r="D2939" t="str">
        <x:v>industrie</x:v>
      </x:c>
      <x:c r="E2939" t="str">
        <x:v>Entrepôt logistique — variante 08 — Zone industrielle / arrêt de maintenance</x:v>
      </x:c>
      <x:c r="F2939" t="n">
        <x:v>8</x:v>
      </x:c>
      <x:c r="G2939" t="n">
        <x:v>5</x:v>
      </x:c>
      <x:c r="H2939" t="n">
        <x:v>0</x:v>
      </x:c>
      <x:c r="I2939" t="str">
        <x:v>À qualifier par lieu</x:v>
      </x:c>
      <x:c r="J2939" t="str">
        <x:v>https://github.com/darknigthmare/deadwall-last-enclosure/blob/e28f46223e73105ab2c5d83f3d50b99b58ef53e6/codex-3000/compositions/industrie/DW-2934.md</x:v>
      </x:c>
      <x:c r="K2939" t="str">
        <x:v>Source min 24,47 m ; max 24,47 m ; modèle 26 × 47 m ; niveaux 0. Détails dans catalogue-existant.json.</x:v>
      </x:c>
    </x:row>
    <x:row r="2940">
      <x:c r="A2940" t="str">
        <x:v>DW-2935</x:v>
      </x:c>
      <x:c r="B2940" t="str">
        <x:v>DW-0968</x:v>
      </x:c>
      <x:c r="C2940" t="str">
        <x:v>Composition héritée</x:v>
      </x:c>
      <x:c r="D2940" t="str">
        <x:v>industrie</x:v>
      </x:c>
      <x:c r="E2940" t="str">
        <x:v>Petite usine — variante 08 — Gare et fret / repli organisé interrompu</x:v>
      </x:c>
      <x:c r="F2940" t="n">
        <x:v>10</x:v>
      </x:c>
      <x:c r="G2940" t="n">
        <x:v>5</x:v>
      </x:c>
      <x:c r="H2940" t="n">
        <x:v>0</x:v>
      </x:c>
      <x:c r="I2940" t="str">
        <x:v>À qualifier par lieu</x:v>
      </x:c>
      <x:c r="J2940" t="str">
        <x:v>https://github.com/darknigthmare/deadwall-last-enclosure/blob/e28f46223e73105ab2c5d83f3d50b99b58ef53e6/codex-3000/compositions/industrie/DW-2935.md</x:v>
      </x:c>
      <x:c r="K2940" t="str">
        <x:v>Source min 35,10 m ; max 35,10 m ; modèle 35 × 22 m ; niveaux 0. Détails dans catalogue-existant.json.</x:v>
      </x:c>
    </x:row>
    <x:row r="2941">
      <x:c r="A2941" t="str">
        <x:v>DW-2936</x:v>
      </x:c>
      <x:c r="B2941" t="str">
        <x:v>DW-0968</x:v>
      </x:c>
      <x:c r="C2941" t="str">
        <x:v>Composition héritée</x:v>
      </x:c>
      <x:c r="D2941" t="str">
        <x:v>industrie</x:v>
      </x:c>
      <x:c r="E2941" t="str">
        <x:v>Petite usine — variante 08 — Atelier et artisanat / première récupération passée</x:v>
      </x:c>
      <x:c r="F2941" t="n">
        <x:v>8</x:v>
      </x:c>
      <x:c r="G2941" t="n">
        <x:v>5</x:v>
      </x:c>
      <x:c r="H2941" t="n">
        <x:v>0</x:v>
      </x:c>
      <x:c r="I2941" t="str">
        <x:v>À qualifier par lieu</x:v>
      </x:c>
      <x:c r="J2941" t="str">
        <x:v>https://github.com/darknigthmare/deadwall-last-enclosure/blob/e28f46223e73105ab2c5d83f3d50b99b58ef53e6/codex-3000/compositions/industrie/DW-2936.md</x:v>
      </x:c>
      <x:c r="K2941" t="str">
        <x:v>Source min 35,10 m ; max 35,10 m ; modèle 35 × 22 m ; niveaux 0. Détails dans catalogue-existant.json.</x:v>
      </x:c>
    </x:row>
    <x:row r="2942">
      <x:c r="A2942" t="str">
        <x:v>DW-2937</x:v>
      </x:c>
      <x:c r="B2942" t="str">
        <x:v>DW-0969</x:v>
      </x:c>
      <x:c r="C2942" t="str">
        <x:v>Composition héritée</x:v>
      </x:c>
      <x:c r="D2942" t="str">
        <x:v>industrie</x:v>
      </x:c>
      <x:c r="E2942" t="str">
        <x:v>Carrière — variante 08 — Zone industrielle / évacuation interrompue</x:v>
      </x:c>
      <x:c r="F2942" t="n">
        <x:v>8</x:v>
      </x:c>
      <x:c r="G2942" t="n">
        <x:v>5</x:v>
      </x:c>
      <x:c r="H2942" t="n">
        <x:v>0</x:v>
      </x:c>
      <x:c r="I2942" t="str">
        <x:v>À qualifier par lieu</x:v>
      </x:c>
      <x:c r="J2942" t="str">
        <x:v>https://github.com/darknigthmare/deadwall-last-enclosure/blob/e28f46223e73105ab2c5d83f3d50b99b58ef53e6/codex-3000/compositions/industrie/DW-2937.md</x:v>
      </x:c>
      <x:c r="K2942" t="str">
        <x:v>Source min 46,27 m ; max 46,27 m ; modèle 46 × 27 m ; niveaux 0. Détails dans catalogue-existant.json.</x:v>
      </x:c>
    </x:row>
    <x:row r="2943">
      <x:c r="A2943" t="str">
        <x:v>DW-2938</x:v>
      </x:c>
      <x:c r="B2943" t="str">
        <x:v>DW-0969</x:v>
      </x:c>
      <x:c r="C2943" t="str">
        <x:v>Composition héritée</x:v>
      </x:c>
      <x:c r="D2943" t="str">
        <x:v>industrie</x:v>
      </x:c>
      <x:c r="E2943" t="str">
        <x:v>Carrière — variante 08 — Entrepôt et plateforme logistique / service déplacé à l’arrière</x:v>
      </x:c>
      <x:c r="F2943" t="n">
        <x:v>8</x:v>
      </x:c>
      <x:c r="G2943" t="n">
        <x:v>5</x:v>
      </x:c>
      <x:c r="H2943" t="n">
        <x:v>0</x:v>
      </x:c>
      <x:c r="I2943" t="str">
        <x:v>À qualifier par lieu</x:v>
      </x:c>
      <x:c r="J2943" t="str">
        <x:v>https://github.com/darknigthmare/deadwall-last-enclosure/blob/e28f46223e73105ab2c5d83f3d50b99b58ef53e6/codex-3000/compositions/industrie/DW-2938.md</x:v>
      </x:c>
      <x:c r="K2943" t="str">
        <x:v>Source min 46,27 m ; max 46,27 m ; modèle 46 × 27 m ; niveaux 0. Détails dans catalogue-existant.json.</x:v>
      </x:c>
    </x:row>
    <x:row r="2944">
      <x:c r="A2944" t="str">
        <x:v>DW-2939</x:v>
      </x:c>
      <x:c r="B2944" t="str">
        <x:v>DW-0970</x:v>
      </x:c>
      <x:c r="C2944" t="str">
        <x:v>Composition héritée</x:v>
      </x:c>
      <x:c r="D2944" t="str">
        <x:v>industrie</x:v>
      </x:c>
      <x:c r="E2944" t="str">
        <x:v>Mine — variante 08 — Atelier et artisanat / arrêt de maintenance</x:v>
      </x:c>
      <x:c r="F2944" t="n">
        <x:v>8</x:v>
      </x:c>
      <x:c r="G2944" t="n">
        <x:v>6</x:v>
      </x:c>
      <x:c r="H2944" t="n">
        <x:v>0</x:v>
      </x:c>
      <x:c r="I2944" t="str">
        <x:v>À qualifier par lieu</x:v>
      </x:c>
      <x:c r="J2944" t="str">
        <x:v>https://github.com/darknigthmare/deadwall-last-enclosure/blob/e28f46223e73105ab2c5d83f3d50b99b58ef53e6/codex-3000/compositions/industrie/DW-2939.md</x:v>
      </x:c>
      <x:c r="K2944" t="str">
        <x:v>Source min 57,44 m ; max 57,44 m ; modèle 57 × 44 m ; niveaux 0. Détails dans catalogue-existant.json.</x:v>
      </x:c>
    </x:row>
    <x:row r="2945">
      <x:c r="A2945" t="str">
        <x:v>DW-2940</x:v>
      </x:c>
      <x:c r="B2945" t="str">
        <x:v>DW-0970</x:v>
      </x:c>
      <x:c r="C2945" t="str">
        <x:v>Composition héritée</x:v>
      </x:c>
      <x:c r="D2945" t="str">
        <x:v>industrie</x:v>
      </x:c>
      <x:c r="E2945" t="str">
        <x:v>Mine — variante 08 — Gare et fret / reprise progressive de la végétation</x:v>
      </x:c>
      <x:c r="F2945" t="n">
        <x:v>10</x:v>
      </x:c>
      <x:c r="G2945" t="n">
        <x:v>6</x:v>
      </x:c>
      <x:c r="H2945" t="n">
        <x:v>0</x:v>
      </x:c>
      <x:c r="I2945" t="str">
        <x:v>À qualifier par lieu</x:v>
      </x:c>
      <x:c r="J2945" t="str">
        <x:v>https://github.com/darknigthmare/deadwall-last-enclosure/blob/e28f46223e73105ab2c5d83f3d50b99b58ef53e6/codex-3000/compositions/industrie/DW-2940.md</x:v>
      </x:c>
      <x:c r="K2945" t="str">
        <x:v>Source min 57,44 m ; max 57,44 m ; modèle 57 × 44 m ; niveaux 0. Détails dans catalogue-existant.json.</x:v>
      </x:c>
    </x:row>
    <x:row r="2946">
      <x:c r="A2946" t="str">
        <x:v>DW-2941</x:v>
      </x:c>
      <x:c r="B2946" t="str">
        <x:v>DW-0971</x:v>
      </x:c>
      <x:c r="C2946" t="str">
        <x:v>Composition héritée</x:v>
      </x:c>
      <x:c r="D2946" t="str">
        <x:v>industrie</x:v>
      </x:c>
      <x:c r="E2946" t="str">
        <x:v>Centrale locale — variante 08 — Entrepôt et plateforme logistique / première récupération passée</x:v>
      </x:c>
      <x:c r="F2946" t="n">
        <x:v>8</x:v>
      </x:c>
      <x:c r="G2946" t="n">
        <x:v>5</x:v>
      </x:c>
      <x:c r="H2946" t="n">
        <x:v>0</x:v>
      </x:c>
      <x:c r="I2946" t="str">
        <x:v>À qualifier par lieu</x:v>
      </x:c>
      <x:c r="J2946" t="str">
        <x:v>https://github.com/darknigthmare/deadwall-last-enclosure/blob/e28f46223e73105ab2c5d83f3d50b99b58ef53e6/codex-3000/compositions/industrie/DW-2941.md</x:v>
      </x:c>
      <x:c r="K2946" t="str">
        <x:v>Source min 68,61 m ; max 68,61 m ; modèle 68 × 61 m ; niveaux 0. Détails dans catalogue-existant.json.</x:v>
      </x:c>
    </x:row>
    <x:row r="2947">
      <x:c r="A2947" t="str">
        <x:v>DW-2942</x:v>
      </x:c>
      <x:c r="B2947" t="str">
        <x:v>DW-0971</x:v>
      </x:c>
      <x:c r="C2947" t="str">
        <x:v>Composition héritée</x:v>
      </x:c>
      <x:c r="D2947" t="str">
        <x:v>industrie</x:v>
      </x:c>
      <x:c r="E2947" t="str">
        <x:v>Centrale locale — variante 08 — Zone industrielle / relais temporaire envisagé</x:v>
      </x:c>
      <x:c r="F2947" t="n">
        <x:v>8</x:v>
      </x:c>
      <x:c r="G2947" t="n">
        <x:v>5</x:v>
      </x:c>
      <x:c r="H2947" t="n">
        <x:v>0</x:v>
      </x:c>
      <x:c r="I2947" t="str">
        <x:v>À qualifier par lieu</x:v>
      </x:c>
      <x:c r="J2947" t="str">
        <x:v>https://github.com/darknigthmare/deadwall-last-enclosure/blob/e28f46223e73105ab2c5d83f3d50b99b58ef53e6/codex-3000/compositions/industrie/DW-2942.md</x:v>
      </x:c>
      <x:c r="K2947" t="str">
        <x:v>Source min 68,61 m ; max 68,61 m ; modèle 68 × 61 m ; niveaux 0. Détails dans catalogue-existant.json.</x:v>
      </x:c>
    </x:row>
    <x:row r="2948">
      <x:c r="A2948" t="str">
        <x:v>DW-2943</x:v>
      </x:c>
      <x:c r="B2948" t="str">
        <x:v>DW-0972</x:v>
      </x:c>
      <x:c r="C2948" t="str">
        <x:v>Composition héritée</x:v>
      </x:c>
      <x:c r="D2948" t="str">
        <x:v>industrie</x:v>
      </x:c>
      <x:c r="E2948" t="str">
        <x:v>Station de pompage — variante 08 — Gare et fret / service déplacé à l’arrière</x:v>
      </x:c>
      <x:c r="F2948" t="n">
        <x:v>10</x:v>
      </x:c>
      <x:c r="G2948" t="n">
        <x:v>5</x:v>
      </x:c>
      <x:c r="H2948" t="n">
        <x:v>0</x:v>
      </x:c>
      <x:c r="I2948" t="str">
        <x:v>À qualifier par lieu</x:v>
      </x:c>
      <x:c r="J2948" t="str">
        <x:v>https://github.com/darknigthmare/deadwall-last-enclosure/blob/e28f46223e73105ab2c5d83f3d50b99b58ef53e6/codex-3000/compositions/industrie/DW-2943.md</x:v>
      </x:c>
      <x:c r="K2948" t="str">
        <x:v>Source min 79,24 m ; max 79,24 m ; modèle 78 × 24 m ; niveaux 0. Détails dans catalogue-existant.json.</x:v>
      </x:c>
    </x:row>
    <x:row r="2949">
      <x:c r="A2949" t="str">
        <x:v>DW-2944</x:v>
      </x:c>
      <x:c r="B2949" t="str">
        <x:v>DW-0972</x:v>
      </x:c>
      <x:c r="C2949" t="str">
        <x:v>Composition héritée</x:v>
      </x:c>
      <x:c r="D2949" t="str">
        <x:v>industrie</x:v>
      </x:c>
      <x:c r="E2949" t="str">
        <x:v>Station de pompage — variante 08 — Atelier et artisanat / réseau principal coupé</x:v>
      </x:c>
      <x:c r="F2949" t="n">
        <x:v>8</x:v>
      </x:c>
      <x:c r="G2949" t="n">
        <x:v>5</x:v>
      </x:c>
      <x:c r="H2949" t="n">
        <x:v>0</x:v>
      </x:c>
      <x:c r="I2949" t="str">
        <x:v>À qualifier par lieu</x:v>
      </x:c>
      <x:c r="J2949" t="str">
        <x:v>https://github.com/darknigthmare/deadwall-last-enclosure/blob/e28f46223e73105ab2c5d83f3d50b99b58ef53e6/codex-3000/compositions/industrie/DW-2944.md</x:v>
      </x:c>
      <x:c r="K2949" t="str">
        <x:v>Source min 79,24 m ; max 79,24 m ; modèle 78 × 24 m ; niveaux 0. Détails dans catalogue-existant.json.</x:v>
      </x:c>
    </x:row>
    <x:row r="2950">
      <x:c r="A2950" t="str">
        <x:v>DW-2945</x:v>
      </x:c>
      <x:c r="B2950" t="str">
        <x:v>DW-0973</x:v>
      </x:c>
      <x:c r="C2950" t="str">
        <x:v>Composition héritée</x:v>
      </x:c>
      <x:c r="D2950" t="str">
        <x:v>public</x:v>
      </x:c>
      <x:c r="E2950" t="str">
        <x:v>École — variante 08 — École, mairie et bâtiments civiques / reprise progressive de la végétation</x:v>
      </x:c>
      <x:c r="F2950" t="n">
        <x:v>8</x:v>
      </x:c>
      <x:c r="G2950" t="n">
        <x:v>5</x:v>
      </x:c>
      <x:c r="H2950" t="n">
        <x:v>0</x:v>
      </x:c>
      <x:c r="I2950" t="str">
        <x:v>À qualifier par lieu</x:v>
      </x:c>
      <x:c r="J2950" t="str">
        <x:v>https://github.com/darknigthmare/deadwall-last-enclosure/blob/e28f46223e73105ab2c5d83f3d50b99b58ef53e6/codex-3000/compositions/public/DW-2945.md</x:v>
      </x:c>
      <x:c r="K2950" t="str">
        <x:v>Source min 18,41 m ; max 18,41 m ; modèle 26 × 41 m ; niveaux 0, 1. Détails dans catalogue-existant.json.</x:v>
      </x:c>
    </x:row>
    <x:row r="2951">
      <x:c r="A2951" t="str">
        <x:v>DW-2946</x:v>
      </x:c>
      <x:c r="B2951" t="str">
        <x:v>DW-0973</x:v>
      </x:c>
      <x:c r="C2951" t="str">
        <x:v>Composition héritée</x:v>
      </x:c>
      <x:c r="D2951" t="str">
        <x:v>public</x:v>
      </x:c>
      <x:c r="E2951" t="str">
        <x:v>École — variante 08 — Village et bourg / repli organisé interrompu</x:v>
      </x:c>
      <x:c r="F2951" t="n">
        <x:v>8</x:v>
      </x:c>
      <x:c r="G2951" t="n">
        <x:v>5</x:v>
      </x:c>
      <x:c r="H2951" t="n">
        <x:v>0</x:v>
      </x:c>
      <x:c r="I2951" t="str">
        <x:v>À qualifier par lieu</x:v>
      </x:c>
      <x:c r="J2951" t="str">
        <x:v>https://github.com/darknigthmare/deadwall-last-enclosure/blob/e28f46223e73105ab2c5d83f3d50b99b58ef53e6/codex-3000/compositions/public/DW-2946.md</x:v>
      </x:c>
      <x:c r="K2951" t="str">
        <x:v>Source min 18,41 m ; max 18,41 m ; modèle 26 × 41 m ; niveaux 0, 1. Détails dans catalogue-existant.json.</x:v>
      </x:c>
    </x:row>
    <x:row r="2952">
      <x:c r="A2952" t="str">
        <x:v>DW-2947</x:v>
      </x:c>
      <x:c r="B2952" t="str">
        <x:v>DW-0974</x:v>
      </x:c>
      <x:c r="C2952" t="str">
        <x:v>Composition héritée</x:v>
      </x:c>
      <x:c r="D2952" t="str">
        <x:v>public</x:v>
      </x:c>
      <x:c r="E2952" t="str">
        <x:v>Mairie — variante 08 — Ville moyenne / relais temporaire envisagé</x:v>
      </x:c>
      <x:c r="F2952" t="n">
        <x:v>8</x:v>
      </x:c>
      <x:c r="G2952" t="n">
        <x:v>5</x:v>
      </x:c>
      <x:c r="H2952" t="n">
        <x:v>0</x:v>
      </x:c>
      <x:c r="I2952" t="str">
        <x:v>À qualifier par lieu</x:v>
      </x:c>
      <x:c r="J2952" t="str">
        <x:v>https://github.com/darknigthmare/deadwall-last-enclosure/blob/e28f46223e73105ab2c5d83f3d50b99b58ef53e6/codex-3000/compositions/public/DW-2947.md</x:v>
      </x:c>
      <x:c r="K2952" t="str">
        <x:v>Source min 29,58 m ; max 29,58 m ; modèle 29 × 58 m ; niveaux 0. Détails dans catalogue-existant.json.</x:v>
      </x:c>
    </x:row>
    <x:row r="2953">
      <x:c r="A2953" t="str">
        <x:v>DW-2948</x:v>
      </x:c>
      <x:c r="B2953" t="str">
        <x:v>DW-0974</x:v>
      </x:c>
      <x:c r="C2953" t="str">
        <x:v>Composition héritée</x:v>
      </x:c>
      <x:c r="D2953" t="str">
        <x:v>public</x:v>
      </x:c>
      <x:c r="E2953" t="str">
        <x:v>Mairie — variante 08 — Centre d’évacuation abandonné / évacuation interrompue</x:v>
      </x:c>
      <x:c r="F2953" t="n">
        <x:v>8</x:v>
      </x:c>
      <x:c r="G2953" t="n">
        <x:v>5</x:v>
      </x:c>
      <x:c r="H2953" t="n">
        <x:v>0</x:v>
      </x:c>
      <x:c r="I2953" t="str">
        <x:v>À qualifier par lieu</x:v>
      </x:c>
      <x:c r="J2953" t="str">
        <x:v>https://github.com/darknigthmare/deadwall-last-enclosure/blob/e28f46223e73105ab2c5d83f3d50b99b58ef53e6/codex-3000/compositions/public/DW-2948.md</x:v>
      </x:c>
      <x:c r="K2953" t="str">
        <x:v>Source min 29,58 m ; max 29,58 m ; modèle 29 × 58 m ; niveaux 0. Détails dans catalogue-existant.json.</x:v>
      </x:c>
    </x:row>
    <x:row r="2954">
      <x:c r="A2954" t="str">
        <x:v>DW-2949</x:v>
      </x:c>
      <x:c r="B2954" t="str">
        <x:v>DW-0975</x:v>
      </x:c>
      <x:c r="C2954" t="str">
        <x:v>Composition héritée</x:v>
      </x:c>
      <x:c r="D2954" t="str">
        <x:v>public</x:v>
      </x:c>
      <x:c r="E2954" t="str">
        <x:v>Clinique — variante 08 — Village et bourg / réseau principal coupé</x:v>
      </x:c>
      <x:c r="F2954" t="n">
        <x:v>8</x:v>
      </x:c>
      <x:c r="G2954" t="n">
        <x:v>6</x:v>
      </x:c>
      <x:c r="H2954" t="n">
        <x:v>0</x:v>
      </x:c>
      <x:c r="I2954" t="str">
        <x:v>À qualifier par lieu</x:v>
      </x:c>
      <x:c r="J2954" t="str">
        <x:v>https://github.com/darknigthmare/deadwall-last-enclosure/blob/e28f46223e73105ab2c5d83f3d50b99b58ef53e6/codex-3000/compositions/public/DW-2949.md</x:v>
      </x:c>
      <x:c r="K2954" t="str">
        <x:v>Source min 40,21 m ; max 40,21 m ; modèle 40 × 22 m ; niveaux 0. Détails dans catalogue-existant.json.</x:v>
      </x:c>
    </x:row>
    <x:row r="2955">
      <x:c r="A2955" t="str">
        <x:v>DW-2950</x:v>
      </x:c>
      <x:c r="B2955" t="str">
        <x:v>DW-0975</x:v>
      </x:c>
      <x:c r="C2955" t="str">
        <x:v>Composition héritée</x:v>
      </x:c>
      <x:c r="D2955" t="str">
        <x:v>public</x:v>
      </x:c>
      <x:c r="E2955" t="str">
        <x:v>Clinique — variante 08 — École, mairie et bâtiments civiques / arrêt de maintenance</x:v>
      </x:c>
      <x:c r="F2955" t="n">
        <x:v>8</x:v>
      </x:c>
      <x:c r="G2955" t="n">
        <x:v>6</x:v>
      </x:c>
      <x:c r="H2955" t="n">
        <x:v>0</x:v>
      </x:c>
      <x:c r="I2955" t="str">
        <x:v>À qualifier par lieu</x:v>
      </x:c>
      <x:c r="J2955" t="str">
        <x:v>https://github.com/darknigthmare/deadwall-last-enclosure/blob/e28f46223e73105ab2c5d83f3d50b99b58ef53e6/codex-3000/compositions/public/DW-2950.md</x:v>
      </x:c>
      <x:c r="K2955" t="str">
        <x:v>Source min 40,21 m ; max 40,21 m ; modèle 40 × 22 m ; niveaux 0. Détails dans catalogue-existant.json.</x:v>
      </x:c>
    </x:row>
    <x:row r="2956">
      <x:c r="A2956" t="str">
        <x:v>DW-2951</x:v>
      </x:c>
      <x:c r="B2956" t="str">
        <x:v>DW-0976</x:v>
      </x:c>
      <x:c r="C2956" t="str">
        <x:v>Composition héritée</x:v>
      </x:c>
      <x:c r="D2956" t="str">
        <x:v>public</x:v>
      </x:c>
      <x:c r="E2956" t="str">
        <x:v>Caserne de pompiers — variante 08 — Centre d’évacuation abandonné / repli organisé interrompu</x:v>
      </x:c>
      <x:c r="F2956" t="n">
        <x:v>8</x:v>
      </x:c>
      <x:c r="G2956" t="n">
        <x:v>6</x:v>
      </x:c>
      <x:c r="H2956" t="n">
        <x:v>0</x:v>
      </x:c>
      <x:c r="I2956" t="str">
        <x:v>À qualifier par lieu</x:v>
      </x:c>
      <x:c r="J2956" t="str">
        <x:v>https://github.com/darknigthmare/deadwall-last-enclosure/blob/e28f46223e73105ab2c5d83f3d50b99b58ef53e6/codex-3000/compositions/public/DW-2951.md</x:v>
      </x:c>
      <x:c r="K2956" t="str">
        <x:v>Source min 51,38 m ; max 51,38 m ; modèle 51 × 38 m ; niveaux 0. Détails dans catalogue-existant.json.</x:v>
      </x:c>
    </x:row>
    <x:row r="2957">
      <x:c r="A2957" t="str">
        <x:v>DW-2952</x:v>
      </x:c>
      <x:c r="B2957" t="str">
        <x:v>DW-0976</x:v>
      </x:c>
      <x:c r="C2957" t="str">
        <x:v>Composition héritée</x:v>
      </x:c>
      <x:c r="D2957" t="str">
        <x:v>public</x:v>
      </x:c>
      <x:c r="E2957" t="str">
        <x:v>Caserne de pompiers — variante 08 — Ville moyenne / première récupération passée</x:v>
      </x:c>
      <x:c r="F2957" t="n">
        <x:v>8</x:v>
      </x:c>
      <x:c r="G2957" t="n">
        <x:v>6</x:v>
      </x:c>
      <x:c r="H2957" t="n">
        <x:v>0</x:v>
      </x:c>
      <x:c r="I2957" t="str">
        <x:v>À qualifier par lieu</x:v>
      </x:c>
      <x:c r="J2957" t="str">
        <x:v>https://github.com/darknigthmare/deadwall-last-enclosure/blob/e28f46223e73105ab2c5d83f3d50b99b58ef53e6/codex-3000/compositions/public/DW-2952.md</x:v>
      </x:c>
      <x:c r="K2957" t="str">
        <x:v>Source min 51,38 m ; max 51,38 m ; modèle 51 × 38 m ; niveaux 0. Détails dans catalogue-existant.json.</x:v>
      </x:c>
    </x:row>
    <x:row r="2958">
      <x:c r="A2958" t="str">
        <x:v>DW-2953</x:v>
      </x:c>
      <x:c r="B2958" t="str">
        <x:v>DW-0977</x:v>
      </x:c>
      <x:c r="C2958" t="str">
        <x:v>Composition héritée</x:v>
      </x:c>
      <x:c r="D2958" t="str">
        <x:v>public</x:v>
      </x:c>
      <x:c r="E2958" t="str">
        <x:v>Poste de police — variante 08 — École, mairie et bâtiments civiques / évacuation interrompue</x:v>
      </x:c>
      <x:c r="F2958" t="n">
        <x:v>8</x:v>
      </x:c>
      <x:c r="G2958" t="n">
        <x:v>5</x:v>
      </x:c>
      <x:c r="H2958" t="n">
        <x:v>0</x:v>
      </x:c>
      <x:c r="I2958" t="str">
        <x:v>À qualifier par lieu</x:v>
      </x:c>
      <x:c r="J2958" t="str">
        <x:v>https://github.com/darknigthmare/deadwall-last-enclosure/blob/e28f46223e73105ab2c5d83f3d50b99b58ef53e6/codex-3000/compositions/public/DW-2953.md</x:v>
      </x:c>
      <x:c r="K2958" t="str">
        <x:v>Source min 62,55 m ; max 62,55 m ; modèle 62 × 55 m ; niveaux 0, 1. Détails dans catalogue-existant.json.</x:v>
      </x:c>
    </x:row>
    <x:row r="2959">
      <x:c r="A2959" t="str">
        <x:v>DW-2954</x:v>
      </x:c>
      <x:c r="B2959" t="str">
        <x:v>DW-0977</x:v>
      </x:c>
      <x:c r="C2959" t="str">
        <x:v>Composition héritée</x:v>
      </x:c>
      <x:c r="D2959" t="str">
        <x:v>public</x:v>
      </x:c>
      <x:c r="E2959" t="str">
        <x:v>Poste de police — variante 08 — Village et bourg / service déplacé à l’arrière</x:v>
      </x:c>
      <x:c r="F2959" t="n">
        <x:v>8</x:v>
      </x:c>
      <x:c r="G2959" t="n">
        <x:v>5</x:v>
      </x:c>
      <x:c r="H2959" t="n">
        <x:v>0</x:v>
      </x:c>
      <x:c r="I2959" t="str">
        <x:v>À qualifier par lieu</x:v>
      </x:c>
      <x:c r="J2959" t="str">
        <x:v>https://github.com/darknigthmare/deadwall-last-enclosure/blob/e28f46223e73105ab2c5d83f3d50b99b58ef53e6/codex-3000/compositions/public/DW-2954.md</x:v>
      </x:c>
      <x:c r="K2959" t="str">
        <x:v>Source min 62,55 m ; max 62,55 m ; modèle 62 × 55 m ; niveaux 0, 1. Détails dans catalogue-existant.json.</x:v>
      </x:c>
    </x:row>
    <x:row r="2960">
      <x:c r="A2960" t="str">
        <x:v>DW-2955</x:v>
      </x:c>
      <x:c r="B2960" t="str">
        <x:v>DW-0978</x:v>
      </x:c>
      <x:c r="C2960" t="str">
        <x:v>Composition héritée</x:v>
      </x:c>
      <x:c r="D2960" t="str">
        <x:v>public</x:v>
      </x:c>
      <x:c r="E2960" t="str">
        <x:v>Bibliothèque — variante 08 — Ville moyenne / arrêt de maintenance</x:v>
      </x:c>
      <x:c r="F2960" t="n">
        <x:v>8</x:v>
      </x:c>
      <x:c r="G2960" t="n">
        <x:v>5</x:v>
      </x:c>
      <x:c r="H2960" t="n">
        <x:v>0</x:v>
      </x:c>
      <x:c r="I2960" t="str">
        <x:v>À qualifier par lieu</x:v>
      </x:c>
      <x:c r="J2960" t="str">
        <x:v>https://github.com/darknigthmare/deadwall-last-enclosure/blob/e28f46223e73105ab2c5d83f3d50b99b58ef53e6/codex-3000/compositions/public/DW-2955.md</x:v>
      </x:c>
      <x:c r="K2960" t="str">
        <x:v>Source min 73,18 m ; max 73,18 m ; modèle 73 × 22 m ; niveaux 0. Détails dans catalogue-existant.json.</x:v>
      </x:c>
    </x:row>
    <x:row r="2961">
      <x:c r="A2961" t="str">
        <x:v>DW-2956</x:v>
      </x:c>
      <x:c r="B2961" t="str">
        <x:v>DW-0978</x:v>
      </x:c>
      <x:c r="C2961" t="str">
        <x:v>Composition héritée</x:v>
      </x:c>
      <x:c r="D2961" t="str">
        <x:v>public</x:v>
      </x:c>
      <x:c r="E2961" t="str">
        <x:v>Bibliothèque — variante 08 — Centre d’évacuation abandonné / reprise progressive de la végétation</x:v>
      </x:c>
      <x:c r="F2961" t="n">
        <x:v>8</x:v>
      </x:c>
      <x:c r="G2961" t="n">
        <x:v>5</x:v>
      </x:c>
      <x:c r="H2961" t="n">
        <x:v>0</x:v>
      </x:c>
      <x:c r="I2961" t="str">
        <x:v>À qualifier par lieu</x:v>
      </x:c>
      <x:c r="J2961" t="str">
        <x:v>https://github.com/darknigthmare/deadwall-last-enclosure/blob/e28f46223e73105ab2c5d83f3d50b99b58ef53e6/codex-3000/compositions/public/DW-2956.md</x:v>
      </x:c>
      <x:c r="K2961" t="str">
        <x:v>Source min 73,18 m ; max 73,18 m ; modèle 73 × 22 m ; niveaux 0. Détails dans catalogue-existant.json.</x:v>
      </x:c>
    </x:row>
    <x:row r="2962">
      <x:c r="A2962" t="str">
        <x:v>DW-2957</x:v>
      </x:c>
      <x:c r="B2962" t="str">
        <x:v>DW-0979</x:v>
      </x:c>
      <x:c r="C2962" t="str">
        <x:v>Composition héritée</x:v>
      </x:c>
      <x:c r="D2962" t="str">
        <x:v>public</x:v>
      </x:c>
      <x:c r="E2962" t="str">
        <x:v>Salle des fêtes — variante 08 — Village et bourg / première récupération passée</x:v>
      </x:c>
      <x:c r="F2962" t="n">
        <x:v>8</x:v>
      </x:c>
      <x:c r="G2962" t="n">
        <x:v>5</x:v>
      </x:c>
      <x:c r="H2962" t="n">
        <x:v>0</x:v>
      </x:c>
      <x:c r="I2962" t="str">
        <x:v>À qualifier par lieu</x:v>
      </x:c>
      <x:c r="J2962" t="str">
        <x:v>https://github.com/darknigthmare/deadwall-last-enclosure/blob/e28f46223e73105ab2c5d83f3d50b99b58ef53e6/codex-3000/compositions/public/DW-2957.md</x:v>
      </x:c>
      <x:c r="K2962" t="str">
        <x:v>Source min 12,35 m ; max 12,35 m ; modèle 26 × 35 m ; niveaux 0. Détails dans catalogue-existant.json.</x:v>
      </x:c>
    </x:row>
    <x:row r="2963">
      <x:c r="A2963" t="str">
        <x:v>DW-2958</x:v>
      </x:c>
      <x:c r="B2963" t="str">
        <x:v>DW-0979</x:v>
      </x:c>
      <x:c r="C2963" t="str">
        <x:v>Composition héritée</x:v>
      </x:c>
      <x:c r="D2963" t="str">
        <x:v>public</x:v>
      </x:c>
      <x:c r="E2963" t="str">
        <x:v>Salle des fêtes — variante 08 — École, mairie et bâtiments civiques / relais temporaire envisagé</x:v>
      </x:c>
      <x:c r="F2963" t="n">
        <x:v>8</x:v>
      </x:c>
      <x:c r="G2963" t="n">
        <x:v>5</x:v>
      </x:c>
      <x:c r="H2963" t="n">
        <x:v>0</x:v>
      </x:c>
      <x:c r="I2963" t="str">
        <x:v>À qualifier par lieu</x:v>
      </x:c>
      <x:c r="J2963" t="str">
        <x:v>https://github.com/darknigthmare/deadwall-last-enclosure/blob/e28f46223e73105ab2c5d83f3d50b99b58ef53e6/codex-3000/compositions/public/DW-2958.md</x:v>
      </x:c>
      <x:c r="K2963" t="str">
        <x:v>Source min 12,35 m ; max 12,35 m ; modèle 26 × 35 m ; niveaux 0. Détails dans catalogue-existant.json.</x:v>
      </x:c>
    </x:row>
    <x:row r="2964">
      <x:c r="A2964" t="str">
        <x:v>DW-2959</x:v>
      </x:c>
      <x:c r="B2964" t="str">
        <x:v>DW-0980</x:v>
      </x:c>
      <x:c r="C2964" t="str">
        <x:v>Composition héritée</x:v>
      </x:c>
      <x:c r="D2964" t="str">
        <x:v>public</x:v>
      </x:c>
      <x:c r="E2964" t="str">
        <x:v>Église et presbytère — variante 08 — Centre d’évacuation abandonné / service déplacé à l’arrière</x:v>
      </x:c>
      <x:c r="F2964" t="n">
        <x:v>8</x:v>
      </x:c>
      <x:c r="G2964" t="n">
        <x:v>5</x:v>
      </x:c>
      <x:c r="H2964" t="n">
        <x:v>0</x:v>
      </x:c>
      <x:c r="I2964" t="str">
        <x:v>À qualifier par lieu</x:v>
      </x:c>
      <x:c r="J2964" t="str">
        <x:v>https://github.com/darknigthmare/deadwall-last-enclosure/blob/e28f46223e73105ab2c5d83f3d50b99b58ef53e6/codex-3000/compositions/public/DW-2959.md</x:v>
      </x:c>
      <x:c r="K2964" t="str">
        <x:v>Source min 23,52 m ; max 23,52 m ; modèle 26 × 52 m ; niveaux 0. Détails dans catalogue-existant.json.</x:v>
      </x:c>
    </x:row>
    <x:row r="2965">
      <x:c r="A2965" t="str">
        <x:v>DW-2960</x:v>
      </x:c>
      <x:c r="B2965" t="str">
        <x:v>DW-0980</x:v>
      </x:c>
      <x:c r="C2965" t="str">
        <x:v>Composition héritée</x:v>
      </x:c>
      <x:c r="D2965" t="str">
        <x:v>public</x:v>
      </x:c>
      <x:c r="E2965" t="str">
        <x:v>Église et presbytère — variante 08 — Ville moyenne / réseau principal coupé</x:v>
      </x:c>
      <x:c r="F2965" t="n">
        <x:v>8</x:v>
      </x:c>
      <x:c r="G2965" t="n">
        <x:v>5</x:v>
      </x:c>
      <x:c r="H2965" t="n">
        <x:v>0</x:v>
      </x:c>
      <x:c r="I2965" t="str">
        <x:v>À qualifier par lieu</x:v>
      </x:c>
      <x:c r="J2965" t="str">
        <x:v>https://github.com/darknigthmare/deadwall-last-enclosure/blob/e28f46223e73105ab2c5d83f3d50b99b58ef53e6/codex-3000/compositions/public/DW-2960.md</x:v>
      </x:c>
      <x:c r="K2965" t="str">
        <x:v>Source min 23,52 m ; max 23,52 m ; modèle 26 × 52 m ; niveaux 0. Détails dans catalogue-existant.json.</x:v>
      </x:c>
    </x:row>
    <x:row r="2966">
      <x:c r="A2966" t="str">
        <x:v>DW-2961</x:v>
      </x:c>
      <x:c r="B2966" t="str">
        <x:v>DW-0981</x:v>
      </x:c>
      <x:c r="C2966" t="str">
        <x:v>Composition héritée</x:v>
      </x:c>
      <x:c r="D2966" t="str">
        <x:v>rural</x:v>
      </x:c>
      <x:c r="E2966" t="str">
        <x:v>Hameau agricole — variante 08 — Ferme, verger et pâtures / reprise progressive de la végétation</x:v>
      </x:c>
      <x:c r="F2966" t="n">
        <x:v>8</x:v>
      </x:c>
      <x:c r="G2966" t="n">
        <x:v>6</x:v>
      </x:c>
      <x:c r="H2966" t="n">
        <x:v>0</x:v>
      </x:c>
      <x:c r="I2966" t="str">
        <x:v>À qualifier par lieu</x:v>
      </x:c>
      <x:c r="J2966" t="str">
        <x:v>https://github.com/darknigthmare/deadwall-last-enclosure/blob/e28f46223e73105ab2c5d83f3d50b99b58ef53e6/codex-3000/compositions/rural/DW-2961.md</x:v>
      </x:c>
      <x:c r="K2966" t="str">
        <x:v>Source min 34,15 m ; max 34,15 m ; modèle 34 × 22 m ; niveaux 0. Détails dans catalogue-existant.json.</x:v>
      </x:c>
    </x:row>
    <x:row r="2967">
      <x:c r="A2967" t="str">
        <x:v>DW-2962</x:v>
      </x:c>
      <x:c r="B2967" t="str">
        <x:v>DW-0981</x:v>
      </x:c>
      <x:c r="C2967" t="str">
        <x:v>Composition héritée</x:v>
      </x:c>
      <x:c r="D2967" t="str">
        <x:v>rural</x:v>
      </x:c>
      <x:c r="E2967" t="str">
        <x:v>Hameau agricole — variante 08 — Petit bois et lisière / repli organisé interrompu</x:v>
      </x:c>
      <x:c r="F2967" t="n">
        <x:v>8</x:v>
      </x:c>
      <x:c r="G2967" t="n">
        <x:v>6</x:v>
      </x:c>
      <x:c r="H2967" t="n">
        <x:v>0</x:v>
      </x:c>
      <x:c r="I2967" t="str">
        <x:v>À qualifier par lieu</x:v>
      </x:c>
      <x:c r="J2967" t="str">
        <x:v>https://github.com/darknigthmare/deadwall-last-enclosure/blob/e28f46223e73105ab2c5d83f3d50b99b58ef53e6/codex-3000/compositions/rural/DW-2962.md</x:v>
      </x:c>
      <x:c r="K2967" t="str">
        <x:v>Source min 34,15 m ; max 34,15 m ; modèle 34 × 22 m ; niveaux 0. Détails dans catalogue-existant.json.</x:v>
      </x:c>
    </x:row>
    <x:row r="2968">
      <x:c r="A2968" t="str">
        <x:v>DW-2963</x:v>
      </x:c>
      <x:c r="B2968" t="str">
        <x:v>DW-0982</x:v>
      </x:c>
      <x:c r="C2968" t="str">
        <x:v>Composition héritée</x:v>
      </x:c>
      <x:c r="D2968" t="str">
        <x:v>rural</x:v>
      </x:c>
      <x:c r="E2968" t="str">
        <x:v>Cabane forestière — variante 08 — Prairie et friche ouverte / relais temporaire envisagé</x:v>
      </x:c>
      <x:c r="F2968" t="n">
        <x:v>8</x:v>
      </x:c>
      <x:c r="G2968" t="n">
        <x:v>4</x:v>
      </x:c>
      <x:c r="H2968" t="n">
        <x:v>0</x:v>
      </x:c>
      <x:c r="I2968" t="str">
        <x:v>À qualifier par lieu</x:v>
      </x:c>
      <x:c r="J2968" t="str">
        <x:v>https://github.com/darknigthmare/deadwall-last-enclosure/blob/e28f46223e73105ab2c5d83f3d50b99b58ef53e6/codex-3000/compositions/rural/DW-2963.md</x:v>
      </x:c>
      <x:c r="K2968" t="str">
        <x:v>Source min 45,32 m ; max 45,32 m ; modèle 45 × 32 m ; niveaux 0. Détails dans catalogue-existant.json.</x:v>
      </x:c>
    </x:row>
    <x:row r="2969">
      <x:c r="A2969" t="str">
        <x:v>DW-2964</x:v>
      </x:c>
      <x:c r="B2969" t="str">
        <x:v>DW-0982</x:v>
      </x:c>
      <x:c r="C2969" t="str">
        <x:v>Composition héritée</x:v>
      </x:c>
      <x:c r="D2969" t="str">
        <x:v>rural</x:v>
      </x:c>
      <x:c r="E2969" t="str">
        <x:v>Cabane forestière — variante 08 — Hameau / évacuation interrompue</x:v>
      </x:c>
      <x:c r="F2969" t="n">
        <x:v>8</x:v>
      </x:c>
      <x:c r="G2969" t="n">
        <x:v>4</x:v>
      </x:c>
      <x:c r="H2969" t="n">
        <x:v>0</x:v>
      </x:c>
      <x:c r="I2969" t="str">
        <x:v>À qualifier par lieu</x:v>
      </x:c>
      <x:c r="J2969" t="str">
        <x:v>https://github.com/darknigthmare/deadwall-last-enclosure/blob/e28f46223e73105ab2c5d83f3d50b99b58ef53e6/codex-3000/compositions/rural/DW-2964.md</x:v>
      </x:c>
      <x:c r="K2969" t="str">
        <x:v>Source min 45,32 m ; max 45,32 m ; modèle 45 × 32 m ; niveaux 0. Détails dans catalogue-existant.json.</x:v>
      </x:c>
    </x:row>
    <x:row r="2970">
      <x:c r="A2970" t="str">
        <x:v>DW-2965</x:v>
      </x:c>
      <x:c r="B2970" t="str">
        <x:v>DW-0983</x:v>
      </x:c>
      <x:c r="C2970" t="str">
        <x:v>Composition héritée</x:v>
      </x:c>
      <x:c r="D2970" t="str">
        <x:v>rural</x:v>
      </x:c>
      <x:c r="E2970" t="str">
        <x:v>Dépôt forestier — variante 08 — Petit bois et lisière / réseau principal coupé</x:v>
      </x:c>
      <x:c r="F2970" t="n">
        <x:v>8</x:v>
      </x:c>
      <x:c r="G2970" t="n">
        <x:v>5</x:v>
      </x:c>
      <x:c r="H2970" t="n">
        <x:v>0</x:v>
      </x:c>
      <x:c r="I2970" t="str">
        <x:v>À qualifier par lieu</x:v>
      </x:c>
      <x:c r="J2970" t="str">
        <x:v>https://github.com/darknigthmare/deadwall-last-enclosure/blob/e28f46223e73105ab2c5d83f3d50b99b58ef53e6/codex-3000/compositions/rural/DW-2965.md</x:v>
      </x:c>
      <x:c r="K2970" t="str">
        <x:v>Source min 56,49 m ; max 56,49 m ; modèle 56 × 49 m ; niveaux 0. Détails dans catalogue-existant.json.</x:v>
      </x:c>
    </x:row>
    <x:row r="2971">
      <x:c r="A2971" t="str">
        <x:v>DW-2966</x:v>
      </x:c>
      <x:c r="B2971" t="str">
        <x:v>DW-0983</x:v>
      </x:c>
      <x:c r="C2971" t="str">
        <x:v>Composition héritée</x:v>
      </x:c>
      <x:c r="D2971" t="str">
        <x:v>rural</x:v>
      </x:c>
      <x:c r="E2971" t="str">
        <x:v>Dépôt forestier — variante 08 — Ferme, verger et pâtures / arrêt de maintenance</x:v>
      </x:c>
      <x:c r="F2971" t="n">
        <x:v>8</x:v>
      </x:c>
      <x:c r="G2971" t="n">
        <x:v>5</x:v>
      </x:c>
      <x:c r="H2971" t="n">
        <x:v>0</x:v>
      </x:c>
      <x:c r="I2971" t="str">
        <x:v>À qualifier par lieu</x:v>
      </x:c>
      <x:c r="J2971" t="str">
        <x:v>https://github.com/darknigthmare/deadwall-last-enclosure/blob/e28f46223e73105ab2c5d83f3d50b99b58ef53e6/codex-3000/compositions/rural/DW-2966.md</x:v>
      </x:c>
      <x:c r="K2971" t="str">
        <x:v>Source min 56,49 m ; max 56,49 m ; modèle 56 × 49 m ; niveaux 0. Détails dans catalogue-existant.json.</x:v>
      </x:c>
    </x:row>
    <x:row r="2972">
      <x:c r="A2972" t="str">
        <x:v>DW-2967</x:v>
      </x:c>
      <x:c r="B2972" t="str">
        <x:v>DW-0984</x:v>
      </x:c>
      <x:c r="C2972" t="str">
        <x:v>Composition héritée</x:v>
      </x:c>
      <x:c r="D2972" t="str">
        <x:v>rural</x:v>
      </x:c>
      <x:c r="E2972" t="str">
        <x:v>Ferme céréalière — variante 08 — Hameau / repli organisé interrompu</x:v>
      </x:c>
      <x:c r="F2972" t="n">
        <x:v>8</x:v>
      </x:c>
      <x:c r="G2972" t="n">
        <x:v>5</x:v>
      </x:c>
      <x:c r="H2972" t="n">
        <x:v>0</x:v>
      </x:c>
      <x:c r="I2972" t="str">
        <x:v>À qualifier par lieu</x:v>
      </x:c>
      <x:c r="J2972" t="str">
        <x:v>https://github.com/darknigthmare/deadwall-last-enclosure/blob/e28f46223e73105ab2c5d83f3d50b99b58ef53e6/codex-3000/compositions/rural/DW-2967.md</x:v>
      </x:c>
      <x:c r="K2972" t="str">
        <x:v>Source min 67,12 m ; max 67,12 m ; modèle 67 × 22 m ; niveaux 0. Détails dans catalogue-existant.json.</x:v>
      </x:c>
    </x:row>
    <x:row r="2973">
      <x:c r="A2973" t="str">
        <x:v>DW-2968</x:v>
      </x:c>
      <x:c r="B2973" t="str">
        <x:v>DW-0984</x:v>
      </x:c>
      <x:c r="C2973" t="str">
        <x:v>Composition héritée</x:v>
      </x:c>
      <x:c r="D2973" t="str">
        <x:v>rural</x:v>
      </x:c>
      <x:c r="E2973" t="str">
        <x:v>Ferme céréalière — variante 08 — Prairie et friche ouverte / première récupération passée</x:v>
      </x:c>
      <x:c r="F2973" t="n">
        <x:v>8</x:v>
      </x:c>
      <x:c r="G2973" t="n">
        <x:v>5</x:v>
      </x:c>
      <x:c r="H2973" t="n">
        <x:v>0</x:v>
      </x:c>
      <x:c r="I2973" t="str">
        <x:v>À qualifier par lieu</x:v>
      </x:c>
      <x:c r="J2973" t="str">
        <x:v>https://github.com/darknigthmare/deadwall-last-enclosure/blob/e28f46223e73105ab2c5d83f3d50b99b58ef53e6/codex-3000/compositions/rural/DW-2968.md</x:v>
      </x:c>
      <x:c r="K2973" t="str">
        <x:v>Source min 67,12 m ; max 67,12 m ; modèle 67 × 22 m ; niveaux 0. Détails dans catalogue-existant.json.</x:v>
      </x:c>
    </x:row>
    <x:row r="2974">
      <x:c r="A2974" t="str">
        <x:v>DW-2969</x:v>
      </x:c>
      <x:c r="B2974" t="str">
        <x:v>DW-0985</x:v>
      </x:c>
      <x:c r="C2974" t="str">
        <x:v>Composition héritée</x:v>
      </x:c>
      <x:c r="D2974" t="str">
        <x:v>rural</x:v>
      </x:c>
      <x:c r="E2974" t="str">
        <x:v>Ferme d'élevage — variante 08 — Ferme, verger et pâtures / évacuation interrompue</x:v>
      </x:c>
      <x:c r="F2974" t="n">
        <x:v>8</x:v>
      </x:c>
      <x:c r="G2974" t="n">
        <x:v>5</x:v>
      </x:c>
      <x:c r="H2974" t="n">
        <x:v>0</x:v>
      </x:c>
      <x:c r="I2974" t="str">
        <x:v>À qualifier par lieu</x:v>
      </x:c>
      <x:c r="J2974" t="str">
        <x:v>https://github.com/darknigthmare/deadwall-last-enclosure/blob/e28f46223e73105ab2c5d83f3d50b99b58ef53e6/codex-3000/compositions/rural/DW-2969.md</x:v>
      </x:c>
      <x:c r="K2974" t="str">
        <x:v>Source min 78,29 m ; max 78,29 m ; modèle 78 × 29 m ; niveaux 0. Détails dans catalogue-existant.json.</x:v>
      </x:c>
    </x:row>
    <x:row r="2975">
      <x:c r="A2975" t="str">
        <x:v>DW-2970</x:v>
      </x:c>
      <x:c r="B2975" t="str">
        <x:v>DW-0985</x:v>
      </x:c>
      <x:c r="C2975" t="str">
        <x:v>Composition héritée</x:v>
      </x:c>
      <x:c r="D2975" t="str">
        <x:v>rural</x:v>
      </x:c>
      <x:c r="E2975" t="str">
        <x:v>Ferme d'élevage — variante 08 — Petit bois et lisière / service déplacé à l’arrière</x:v>
      </x:c>
      <x:c r="F2975" t="n">
        <x:v>8</x:v>
      </x:c>
      <x:c r="G2975" t="n">
        <x:v>5</x:v>
      </x:c>
      <x:c r="H2975" t="n">
        <x:v>0</x:v>
      </x:c>
      <x:c r="I2975" t="str">
        <x:v>À qualifier par lieu</x:v>
      </x:c>
      <x:c r="J2975" t="str">
        <x:v>https://github.com/darknigthmare/deadwall-last-enclosure/blob/e28f46223e73105ab2c5d83f3d50b99b58ef53e6/codex-3000/compositions/rural/DW-2970.md</x:v>
      </x:c>
      <x:c r="K2975" t="str">
        <x:v>Source min 78,29 m ; max 78,29 m ; modèle 78 × 29 m ; niveaux 0. Détails dans catalogue-existant.json.</x:v>
      </x:c>
    </x:row>
    <x:row r="2976">
      <x:c r="A2976" t="str">
        <x:v>DW-2971</x:v>
      </x:c>
      <x:c r="B2976" t="str">
        <x:v>DW-0986</x:v>
      </x:c>
      <x:c r="C2976" t="str">
        <x:v>Composition héritée</x:v>
      </x:c>
      <x:c r="D2976" t="str">
        <x:v>rural</x:v>
      </x:c>
      <x:c r="E2976" t="str">
        <x:v>Relais de chasse — variante 08 — Prairie et friche ouverte / arrêt de maintenance</x:v>
      </x:c>
      <x:c r="F2976" t="n">
        <x:v>8</x:v>
      </x:c>
      <x:c r="G2976" t="n">
        <x:v>4</x:v>
      </x:c>
      <x:c r="H2976" t="n">
        <x:v>0</x:v>
      </x:c>
      <x:c r="I2976" t="str">
        <x:v>À qualifier par lieu</x:v>
      </x:c>
      <x:c r="J2976" t="str">
        <x:v>https://github.com/darknigthmare/deadwall-last-enclosure/blob/e28f46223e73105ab2c5d83f3d50b99b58ef53e6/codex-3000/compositions/rural/DW-2971.md</x:v>
      </x:c>
      <x:c r="K2976" t="str">
        <x:v>Source min 17,46 m ; max 17,46 m ; modèle 25 × 46 m ; niveaux 0. Détails dans catalogue-existant.json.</x:v>
      </x:c>
    </x:row>
    <x:row r="2977">
      <x:c r="A2977" t="str">
        <x:v>DW-2972</x:v>
      </x:c>
      <x:c r="B2977" t="str">
        <x:v>DW-0986</x:v>
      </x:c>
      <x:c r="C2977" t="str">
        <x:v>Composition héritée</x:v>
      </x:c>
      <x:c r="D2977" t="str">
        <x:v>rural</x:v>
      </x:c>
      <x:c r="E2977" t="str">
        <x:v>Relais de chasse — variante 08 — Hameau / reprise progressive de la végétation</x:v>
      </x:c>
      <x:c r="F2977" t="n">
        <x:v>8</x:v>
      </x:c>
      <x:c r="G2977" t="n">
        <x:v>4</x:v>
      </x:c>
      <x:c r="H2977" t="n">
        <x:v>0</x:v>
      </x:c>
      <x:c r="I2977" t="str">
        <x:v>À qualifier par lieu</x:v>
      </x:c>
      <x:c r="J2977" t="str">
        <x:v>https://github.com/darknigthmare/deadwall-last-enclosure/blob/e28f46223e73105ab2c5d83f3d50b99b58ef53e6/codex-3000/compositions/rural/DW-2972.md</x:v>
      </x:c>
      <x:c r="K2977" t="str">
        <x:v>Source min 17,46 m ; max 17,46 m ; modèle 25 × 46 m ; niveaux 0. Détails dans catalogue-existant.json.</x:v>
      </x:c>
    </x:row>
    <x:row r="2978">
      <x:c r="A2978" t="str">
        <x:v>DW-2973</x:v>
      </x:c>
      <x:c r="B2978" t="str">
        <x:v>DW-0987</x:v>
      </x:c>
      <x:c r="C2978" t="str">
        <x:v>Composition héritée</x:v>
      </x:c>
      <x:c r="D2978" t="str">
        <x:v>rural</x:v>
      </x:c>
      <x:c r="E2978" t="str">
        <x:v>Moulin rural — variante 08 — Petit bois et lisière / première récupération passée</x:v>
      </x:c>
      <x:c r="F2978" t="n">
        <x:v>8</x:v>
      </x:c>
      <x:c r="G2978" t="n">
        <x:v>4</x:v>
      </x:c>
      <x:c r="H2978" t="n">
        <x:v>0</x:v>
      </x:c>
      <x:c r="I2978" t="str">
        <x:v>À qualifier par lieu</x:v>
      </x:c>
      <x:c r="J2978" t="str">
        <x:v>https://github.com/darknigthmare/deadwall-last-enclosure/blob/e28f46223e73105ab2c5d83f3d50b99b58ef53e6/codex-3000/compositions/rural/DW-2973.md</x:v>
      </x:c>
      <x:c r="K2978" t="str">
        <x:v>Source min 28,9 m ; max 28,9 m ; modèle 28 × 18 m ; niveaux 0. Détails dans catalogue-existant.json.</x:v>
      </x:c>
    </x:row>
    <x:row r="2979">
      <x:c r="A2979" t="str">
        <x:v>DW-2974</x:v>
      </x:c>
      <x:c r="B2979" t="str">
        <x:v>DW-0987</x:v>
      </x:c>
      <x:c r="C2979" t="str">
        <x:v>Composition héritée</x:v>
      </x:c>
      <x:c r="D2979" t="str">
        <x:v>rural</x:v>
      </x:c>
      <x:c r="E2979" t="str">
        <x:v>Moulin rural — variante 08 — Ferme, verger et pâtures / relais temporaire envisagé</x:v>
      </x:c>
      <x:c r="F2979" t="n">
        <x:v>8</x:v>
      </x:c>
      <x:c r="G2979" t="n">
        <x:v>4</x:v>
      </x:c>
      <x:c r="H2979" t="n">
        <x:v>0</x:v>
      </x:c>
      <x:c r="I2979" t="str">
        <x:v>À qualifier par lieu</x:v>
      </x:c>
      <x:c r="J2979" t="str">
        <x:v>https://github.com/darknigthmare/deadwall-last-enclosure/blob/e28f46223e73105ab2c5d83f3d50b99b58ef53e6/codex-3000/compositions/rural/DW-2974.md</x:v>
      </x:c>
      <x:c r="K2979" t="str">
        <x:v>Source min 28,9 m ; max 28,9 m ; modèle 28 × 18 m ; niveaux 0. Détails dans catalogue-existant.json.</x:v>
      </x:c>
    </x:row>
    <x:row r="2980">
      <x:c r="A2980" t="str">
        <x:v>DW-2975</x:v>
      </x:c>
      <x:c r="B2980" t="str">
        <x:v>DW-0988</x:v>
      </x:c>
      <x:c r="C2980" t="str">
        <x:v>Composition héritée</x:v>
      </x:c>
      <x:c r="D2980" t="str">
        <x:v>rural</x:v>
      </x:c>
      <x:c r="E2980" t="str">
        <x:v>Serres maraîchères — variante 08 — Hameau / service déplacé à l’arrière</x:v>
      </x:c>
      <x:c r="F2980" t="n">
        <x:v>8</x:v>
      </x:c>
      <x:c r="G2980" t="n">
        <x:v>5</x:v>
      </x:c>
      <x:c r="H2980" t="n">
        <x:v>0</x:v>
      </x:c>
      <x:c r="I2980" t="str">
        <x:v>À qualifier par lieu</x:v>
      </x:c>
      <x:c r="J2980" t="str">
        <x:v>https://github.com/darknigthmare/deadwall-last-enclosure/blob/e28f46223e73105ab2c5d83f3d50b99b58ef53e6/codex-3000/compositions/rural/DW-2975.md</x:v>
      </x:c>
      <x:c r="K2980" t="str">
        <x:v>Source min 39,26 m ; max 39,26 m ; modèle 39 × 26 m ; niveaux 0. Détails dans catalogue-existant.json.</x:v>
      </x:c>
    </x:row>
    <x:row r="2981">
      <x:c r="A2981" t="str">
        <x:v>DW-2976</x:v>
      </x:c>
      <x:c r="B2981" t="str">
        <x:v>DW-0988</x:v>
      </x:c>
      <x:c r="C2981" t="str">
        <x:v>Composition héritée</x:v>
      </x:c>
      <x:c r="D2981" t="str">
        <x:v>rural</x:v>
      </x:c>
      <x:c r="E2981" t="str">
        <x:v>Serres maraîchères — variante 08 — Prairie et friche ouverte / réseau principal coupé</x:v>
      </x:c>
      <x:c r="F2981" t="n">
        <x:v>8</x:v>
      </x:c>
      <x:c r="G2981" t="n">
        <x:v>5</x:v>
      </x:c>
      <x:c r="H2981" t="n">
        <x:v>0</x:v>
      </x:c>
      <x:c r="I2981" t="str">
        <x:v>À qualifier par lieu</x:v>
      </x:c>
      <x:c r="J2981" t="str">
        <x:v>https://github.com/darknigthmare/deadwall-last-enclosure/blob/e28f46223e73105ab2c5d83f3d50b99b58ef53e6/codex-3000/compositions/rural/DW-2976.md</x:v>
      </x:c>
      <x:c r="K2981" t="str">
        <x:v>Source min 39,26 m ; max 39,26 m ; modèle 39 × 26 m ; niveaux 0. Détails dans catalogue-existant.json.</x:v>
      </x:c>
    </x:row>
    <x:row r="2982">
      <x:c r="A2982" t="str">
        <x:v>DW-2977</x:v>
      </x:c>
      <x:c r="B2982" t="str">
        <x:v>DW-0989</x:v>
      </x:c>
      <x:c r="C2982" t="str">
        <x:v>Composition héritée</x:v>
      </x:c>
      <x:c r="D2982" t="str">
        <x:v>militaire</x:v>
      </x:c>
      <x:c r="E2982" t="str">
        <x:v>Bunker de défense civile — variante 08 — Grand camp allié / reprise progressive de la végétation</x:v>
      </x:c>
      <x:c r="F2982" t="n">
        <x:v>10</x:v>
      </x:c>
      <x:c r="G2982" t="n">
        <x:v>6</x:v>
      </x:c>
      <x:c r="H2982" t="n">
        <x:v>0</x:v>
      </x:c>
      <x:c r="I2982" t="str">
        <x:v>À qualifier par lieu</x:v>
      </x:c>
      <x:c r="J2982" t="str">
        <x:v>https://github.com/darknigthmare/deadwall-last-enclosure/blob/e28f46223e73105ab2c5d83f3d50b99b58ef53e6/codex-3000/compositions/militaire/DW-2977.md</x:v>
      </x:c>
      <x:c r="K2982" t="str">
        <x:v>Source min 50,43 m ; max 50,43 m ; modèle 50 × 43 m ; niveaux 0, 1. Détails dans catalogue-existant.json.</x:v>
      </x:c>
    </x:row>
    <x:row r="2983">
      <x:c r="A2983" t="str">
        <x:v>DW-2978</x:v>
      </x:c>
      <x:c r="B2983" t="str">
        <x:v>DW-0989</x:v>
      </x:c>
      <x:c r="C2983" t="str">
        <x:v>Composition héritée</x:v>
      </x:c>
      <x:c r="D2983" t="str">
        <x:v>militaire</x:v>
      </x:c>
      <x:c r="E2983" t="str">
        <x:v>Bunker de défense civile — variante 08 — Camp de fortune / repli organisé interrompu</x:v>
      </x:c>
      <x:c r="F2983" t="n">
        <x:v>8</x:v>
      </x:c>
      <x:c r="G2983" t="n">
        <x:v>6</x:v>
      </x:c>
      <x:c r="H2983" t="n">
        <x:v>0</x:v>
      </x:c>
      <x:c r="I2983" t="str">
        <x:v>À qualifier par lieu</x:v>
      </x:c>
      <x:c r="J2983" t="str">
        <x:v>https://github.com/darknigthmare/deadwall-last-enclosure/blob/e28f46223e73105ab2c5d83f3d50b99b58ef53e6/codex-3000/compositions/militaire/DW-2978.md</x:v>
      </x:c>
      <x:c r="K2983" t="str">
        <x:v>Source min 50,43 m ; max 50,43 m ; modèle 50 × 43 m ; niveaux 0, 1. Détails dans catalogue-existant.json.</x:v>
      </x:c>
    </x:row>
    <x:row r="2984">
      <x:c r="A2984" t="str">
        <x:v>DW-2979</x:v>
      </x:c>
      <x:c r="B2984" t="str">
        <x:v>DW-0990</x:v>
      </x:c>
      <x:c r="C2984" t="str">
        <x:v>Composition héritée</x:v>
      </x:c>
      <x:c r="D2984" t="str">
        <x:v>militaire</x:v>
      </x:c>
      <x:c r="E2984" t="str">
        <x:v>Dépôt militaire — variante 08 — Camp hostile / relais temporaire envisagé</x:v>
      </x:c>
      <x:c r="F2984" t="n">
        <x:v>10</x:v>
      </x:c>
      <x:c r="G2984" t="n">
        <x:v>5</x:v>
      </x:c>
      <x:c r="H2984" t="n">
        <x:v>0</x:v>
      </x:c>
      <x:c r="I2984" t="str">
        <x:v>À qualifier par lieu</x:v>
      </x:c>
      <x:c r="J2984" t="str">
        <x:v>https://github.com/darknigthmare/deadwall-last-enclosure/blob/e28f46223e73105ab2c5d83f3d50b99b58ef53e6/codex-3000/compositions/militaire/DW-2979.md</x:v>
      </x:c>
      <x:c r="K2984" t="str">
        <x:v>Source min 61,60 m ; max 61,60 m ; modèle 61 × 60 m ; niveaux 0. Détails dans catalogue-existant.json.</x:v>
      </x:c>
    </x:row>
    <x:row r="2985">
      <x:c r="A2985" t="str">
        <x:v>DW-2980</x:v>
      </x:c>
      <x:c r="B2985" t="str">
        <x:v>DW-0990</x:v>
      </x:c>
      <x:c r="C2985" t="str">
        <x:v>Composition héritée</x:v>
      </x:c>
      <x:c r="D2985" t="str">
        <x:v>militaire</x:v>
      </x:c>
      <x:c r="E2985" t="str">
        <x:v>Dépôt militaire — variante 08 — Centre d’évacuation abandonné / évacuation interrompue</x:v>
      </x:c>
      <x:c r="F2985" t="n">
        <x:v>8</x:v>
      </x:c>
      <x:c r="G2985" t="n">
        <x:v>5</x:v>
      </x:c>
      <x:c r="H2985" t="n">
        <x:v>0</x:v>
      </x:c>
      <x:c r="I2985" t="str">
        <x:v>À qualifier par lieu</x:v>
      </x:c>
      <x:c r="J2985" t="str">
        <x:v>https://github.com/darknigthmare/deadwall-last-enclosure/blob/e28f46223e73105ab2c5d83f3d50b99b58ef53e6/codex-3000/compositions/militaire/DW-2980.md</x:v>
      </x:c>
      <x:c r="K2985" t="str">
        <x:v>Source min 61,60 m ; max 61,60 m ; modèle 61 × 60 m ; niveaux 0. Détails dans catalogue-existant.json.</x:v>
      </x:c>
    </x:row>
    <x:row r="2986">
      <x:c r="A2986" t="str">
        <x:v>DW-2981</x:v>
      </x:c>
      <x:c r="B2986" t="str">
        <x:v>DW-0991</x:v>
      </x:c>
      <x:c r="C2986" t="str">
        <x:v>Composition héritée</x:v>
      </x:c>
      <x:c r="D2986" t="str">
        <x:v>militaire</x:v>
      </x:c>
      <x:c r="E2986" t="str">
        <x:v>Poste de contrôle — variante 08 — Camp de fortune / réseau principal coupé</x:v>
      </x:c>
      <x:c r="F2986" t="n">
        <x:v>8</x:v>
      </x:c>
      <x:c r="G2986" t="n">
        <x:v>5</x:v>
      </x:c>
      <x:c r="H2986" t="n">
        <x:v>0</x:v>
      </x:c>
      <x:c r="I2986" t="str">
        <x:v>À qualifier par lieu</x:v>
      </x:c>
      <x:c r="J2986" t="str">
        <x:v>https://github.com/darknigthmare/deadwall-last-enclosure/blob/e28f46223e73105ab2c5d83f3d50b99b58ef53e6/codex-3000/compositions/militaire/DW-2981.md</x:v>
      </x:c>
      <x:c r="K2986" t="str">
        <x:v>Source min 72,23 m ; max 72,23 m ; modèle 72 × 23 m ; niveaux 0. Détails dans catalogue-existant.json.</x:v>
      </x:c>
    </x:row>
    <x:row r="2987">
      <x:c r="A2987" t="str">
        <x:v>DW-2982</x:v>
      </x:c>
      <x:c r="B2987" t="str">
        <x:v>DW-0991</x:v>
      </x:c>
      <x:c r="C2987" t="str">
        <x:v>Composition héritée</x:v>
      </x:c>
      <x:c r="D2987" t="str">
        <x:v>militaire</x:v>
      </x:c>
      <x:c r="E2987" t="str">
        <x:v>Poste de contrôle — variante 08 — Grand camp allié / arrêt de maintenance</x:v>
      </x:c>
      <x:c r="F2987" t="n">
        <x:v>10</x:v>
      </x:c>
      <x:c r="G2987" t="n">
        <x:v>5</x:v>
      </x:c>
      <x:c r="H2987" t="n">
        <x:v>0</x:v>
      </x:c>
      <x:c r="I2987" t="str">
        <x:v>À qualifier par lieu</x:v>
      </x:c>
      <x:c r="J2987" t="str">
        <x:v>https://github.com/darknigthmare/deadwall-last-enclosure/blob/e28f46223e73105ab2c5d83f3d50b99b58ef53e6/codex-3000/compositions/militaire/DW-2982.md</x:v>
      </x:c>
      <x:c r="K2987" t="str">
        <x:v>Source min 72,23 m ; max 72,23 m ; modèle 72 × 23 m ; niveaux 0. Détails dans catalogue-existant.json.</x:v>
      </x:c>
    </x:row>
    <x:row r="2988">
      <x:c r="A2988" t="str">
        <x:v>DW-2983</x:v>
      </x:c>
      <x:c r="B2988" t="str">
        <x:v>DW-0992</x:v>
      </x:c>
      <x:c r="C2988" t="str">
        <x:v>Composition héritée</x:v>
      </x:c>
      <x:c r="D2988" t="str">
        <x:v>militaire</x:v>
      </x:c>
      <x:c r="E2988" t="str">
        <x:v>Camp retranché abandonné — variante 08 — Centre d’évacuation abandonné / repli organisé interrompu</x:v>
      </x:c>
      <x:c r="F2988" t="n">
        <x:v>8</x:v>
      </x:c>
      <x:c r="G2988" t="n">
        <x:v>5</x:v>
      </x:c>
      <x:c r="H2988" t="n">
        <x:v>0</x:v>
      </x:c>
      <x:c r="I2988" t="str">
        <x:v>À qualifier par lieu</x:v>
      </x:c>
      <x:c r="J2988" t="str">
        <x:v>https://github.com/darknigthmare/deadwall-last-enclosure/blob/e28f46223e73105ab2c5d83f3d50b99b58ef53e6/codex-3000/compositions/militaire/DW-2983.md</x:v>
      </x:c>
      <x:c r="K2988" t="str">
        <x:v>Source min 11,40 m ; max 11,40 m ; modèle 26 × 40 m ; niveaux 0. Détails dans catalogue-existant.json.</x:v>
      </x:c>
    </x:row>
    <x:row r="2989">
      <x:c r="A2989" t="str">
        <x:v>DW-2984</x:v>
      </x:c>
      <x:c r="B2989" t="str">
        <x:v>DW-0992</x:v>
      </x:c>
      <x:c r="C2989" t="str">
        <x:v>Composition héritée</x:v>
      </x:c>
      <x:c r="D2989" t="str">
        <x:v>militaire</x:v>
      </x:c>
      <x:c r="E2989" t="str">
        <x:v>Camp retranché abandonné — variante 08 — Camp hostile / première récupération passée</x:v>
      </x:c>
      <x:c r="F2989" t="n">
        <x:v>10</x:v>
      </x:c>
      <x:c r="G2989" t="n">
        <x:v>5</x:v>
      </x:c>
      <x:c r="H2989" t="n">
        <x:v>0</x:v>
      </x:c>
      <x:c r="I2989" t="str">
        <x:v>À qualifier par lieu</x:v>
      </x:c>
      <x:c r="J2989" t="str">
        <x:v>https://github.com/darknigthmare/deadwall-last-enclosure/blob/e28f46223e73105ab2c5d83f3d50b99b58ef53e6/codex-3000/compositions/militaire/DW-2984.md</x:v>
      </x:c>
      <x:c r="K2989" t="str">
        <x:v>Source min 11,40 m ; max 11,40 m ; modèle 26 × 40 m ; niveaux 0. Détails dans catalogue-existant.json.</x:v>
      </x:c>
    </x:row>
    <x:row r="2990">
      <x:c r="A2990" t="str">
        <x:v>DW-2985</x:v>
      </x:c>
      <x:c r="B2990" t="str">
        <x:v>DW-0993</x:v>
      </x:c>
      <x:c r="C2990" t="str">
        <x:v>Composition héritée</x:v>
      </x:c>
      <x:c r="D2990" t="str">
        <x:v>militaire</x:v>
      </x:c>
      <x:c r="E2990" t="str">
        <x:v>Abri ferroviaire — variante 08 — Grand camp allié / évacuation interrompue</x:v>
      </x:c>
      <x:c r="F2990" t="n">
        <x:v>10</x:v>
      </x:c>
      <x:c r="G2990" t="n">
        <x:v>4</x:v>
      </x:c>
      <x:c r="H2990" t="n">
        <x:v>0</x:v>
      </x:c>
      <x:c r="I2990" t="str">
        <x:v>À qualifier par lieu</x:v>
      </x:c>
      <x:c r="J2990" t="str">
        <x:v>https://github.com/darknigthmare/deadwall-last-enclosure/blob/e28f46223e73105ab2c5d83f3d50b99b58ef53e6/codex-3000/compositions/militaire/DW-2985.md</x:v>
      </x:c>
      <x:c r="K2990" t="str">
        <x:v>Source min 22,57 m ; max 22,57 m ; modèle 25 × 57 m ; niveaux 0. Détails dans catalogue-existant.json.</x:v>
      </x:c>
    </x:row>
    <x:row r="2991">
      <x:c r="A2991" t="str">
        <x:v>DW-2986</x:v>
      </x:c>
      <x:c r="B2991" t="str">
        <x:v>DW-0993</x:v>
      </x:c>
      <x:c r="C2991" t="str">
        <x:v>Composition héritée</x:v>
      </x:c>
      <x:c r="D2991" t="str">
        <x:v>militaire</x:v>
      </x:c>
      <x:c r="E2991" t="str">
        <x:v>Abri ferroviaire — variante 08 — Camp de fortune / service déplacé à l’arrière</x:v>
      </x:c>
      <x:c r="F2991" t="n">
        <x:v>8</x:v>
      </x:c>
      <x:c r="G2991" t="n">
        <x:v>4</x:v>
      </x:c>
      <x:c r="H2991" t="n">
        <x:v>0</x:v>
      </x:c>
      <x:c r="I2991" t="str">
        <x:v>À qualifier par lieu</x:v>
      </x:c>
      <x:c r="J2991" t="str">
        <x:v>https://github.com/darknigthmare/deadwall-last-enclosure/blob/e28f46223e73105ab2c5d83f3d50b99b58ef53e6/codex-3000/compositions/militaire/DW-2986.md</x:v>
      </x:c>
      <x:c r="K2991" t="str">
        <x:v>Source min 22,57 m ; max 22,57 m ; modèle 25 × 57 m ; niveaux 0. Détails dans catalogue-existant.json.</x:v>
      </x:c>
    </x:row>
    <x:row r="2992">
      <x:c r="A2992" t="str">
        <x:v>DW-2987</x:v>
      </x:c>
      <x:c r="B2992" t="str">
        <x:v>DW-0994</x:v>
      </x:c>
      <x:c r="C2992" t="str">
        <x:v>Composition héritée</x:v>
      </x:c>
      <x:c r="D2992" t="str">
        <x:v>militaire</x:v>
      </x:c>
      <x:c r="E2992" t="str">
        <x:v>Site radar — variante 08 — Camp hostile / arrêt de maintenance</x:v>
      </x:c>
      <x:c r="F2992" t="n">
        <x:v>10</x:v>
      </x:c>
      <x:c r="G2992" t="n">
        <x:v>5</x:v>
      </x:c>
      <x:c r="H2992" t="n">
        <x:v>0</x:v>
      </x:c>
      <x:c r="I2992" t="str">
        <x:v>À qualifier par lieu</x:v>
      </x:c>
      <x:c r="J2992" t="str">
        <x:v>https://github.com/darknigthmare/deadwall-last-enclosure/blob/e28f46223e73105ab2c5d83f3d50b99b58ef53e6/codex-3000/compositions/militaire/DW-2987.md</x:v>
      </x:c>
      <x:c r="K2992" t="str">
        <x:v>Source min 33,20 m ; max 33,20 m ; modèle 33 × 22 m ; niveaux 0. Détails dans catalogue-existant.json.</x:v>
      </x:c>
    </x:row>
    <x:row r="2993">
      <x:c r="A2993" t="str">
        <x:v>DW-2988</x:v>
      </x:c>
      <x:c r="B2993" t="str">
        <x:v>DW-0994</x:v>
      </x:c>
      <x:c r="C2993" t="str">
        <x:v>Composition héritée</x:v>
      </x:c>
      <x:c r="D2993" t="str">
        <x:v>militaire</x:v>
      </x:c>
      <x:c r="E2993" t="str">
        <x:v>Site radar — variante 08 — Centre d’évacuation abandonné / reprise progressive de la végétation</x:v>
      </x:c>
      <x:c r="F2993" t="n">
        <x:v>8</x:v>
      </x:c>
      <x:c r="G2993" t="n">
        <x:v>5</x:v>
      </x:c>
      <x:c r="H2993" t="n">
        <x:v>0</x:v>
      </x:c>
      <x:c r="I2993" t="str">
        <x:v>À qualifier par lieu</x:v>
      </x:c>
      <x:c r="J2993" t="str">
        <x:v>https://github.com/darknigthmare/deadwall-last-enclosure/blob/e28f46223e73105ab2c5d83f3d50b99b58ef53e6/codex-3000/compositions/militaire/DW-2988.md</x:v>
      </x:c>
      <x:c r="K2993" t="str">
        <x:v>Source min 33,20 m ; max 33,20 m ; modèle 33 × 22 m ; niveaux 0. Détails dans catalogue-existant.json.</x:v>
      </x:c>
    </x:row>
    <x:row r="2994">
      <x:c r="A2994" t="str">
        <x:v>DW-2989</x:v>
      </x:c>
      <x:c r="B2994" t="str">
        <x:v>DW-0995</x:v>
      </x:c>
      <x:c r="C2994" t="str">
        <x:v>Composition héritée</x:v>
      </x:c>
      <x:c r="D2994" t="str">
        <x:v>militaire</x:v>
      </x:c>
      <x:c r="E2994" t="str">
        <x:v>Batterie côtière — variante 08 — Camp de fortune / première récupération passée</x:v>
      </x:c>
      <x:c r="F2994" t="n">
        <x:v>8</x:v>
      </x:c>
      <x:c r="G2994" t="n">
        <x:v>4</x:v>
      </x:c>
      <x:c r="H2994" t="n">
        <x:v>0</x:v>
      </x:c>
      <x:c r="I2994" t="str">
        <x:v>À qualifier par lieu</x:v>
      </x:c>
      <x:c r="J2994" t="str">
        <x:v>https://github.com/darknigthmare/deadwall-last-enclosure/blob/e28f46223e73105ab2c5d83f3d50b99b58ef53e6/codex-3000/compositions/militaire/DW-2989.md</x:v>
      </x:c>
      <x:c r="K2994" t="str">
        <x:v>Source min 44,37 m ; max 44,37 m ; modèle 44 × 37 m ; niveaux 0. Détails dans catalogue-existant.json.</x:v>
      </x:c>
    </x:row>
    <x:row r="2995">
      <x:c r="A2995" t="str">
        <x:v>DW-2990</x:v>
      </x:c>
      <x:c r="B2995" t="str">
        <x:v>DW-0995</x:v>
      </x:c>
      <x:c r="C2995" t="str">
        <x:v>Composition héritée</x:v>
      </x:c>
      <x:c r="D2995" t="str">
        <x:v>militaire</x:v>
      </x:c>
      <x:c r="E2995" t="str">
        <x:v>Batterie côtière — variante 08 — Grand camp allié / relais temporaire envisagé</x:v>
      </x:c>
      <x:c r="F2995" t="n">
        <x:v>10</x:v>
      </x:c>
      <x:c r="G2995" t="n">
        <x:v>4</x:v>
      </x:c>
      <x:c r="H2995" t="n">
        <x:v>0</x:v>
      </x:c>
      <x:c r="I2995" t="str">
        <x:v>À qualifier par lieu</x:v>
      </x:c>
      <x:c r="J2995" t="str">
        <x:v>https://github.com/darknigthmare/deadwall-last-enclosure/blob/e28f46223e73105ab2c5d83f3d50b99b58ef53e6/codex-3000/compositions/militaire/DW-2990.md</x:v>
      </x:c>
      <x:c r="K2995" t="str">
        <x:v>Source min 44,37 m ; max 44,37 m ; modèle 44 × 37 m ; niveaux 0. Détails dans catalogue-existant.json.</x:v>
      </x:c>
    </x:row>
    <x:row r="2996">
      <x:c r="A2996" t="str">
        <x:v>DW-2991</x:v>
      </x:c>
      <x:c r="B2996" t="str">
        <x:v>DW-0996</x:v>
      </x:c>
      <x:c r="C2996" t="str">
        <x:v>Composition héritée</x:v>
      </x:c>
      <x:c r="D2996" t="str">
        <x:v>militaire</x:v>
      </x:c>
      <x:c r="E2996" t="str">
        <x:v>Dépôt carburant sécurisé — variante 08 — Centre d’évacuation abandonné / service déplacé à l’arrière</x:v>
      </x:c>
      <x:c r="F2996" t="n">
        <x:v>8</x:v>
      </x:c>
      <x:c r="G2996" t="n">
        <x:v>5</x:v>
      </x:c>
      <x:c r="H2996" t="n">
        <x:v>0</x:v>
      </x:c>
      <x:c r="I2996" t="str">
        <x:v>À qualifier par lieu</x:v>
      </x:c>
      <x:c r="J2996" t="str">
        <x:v>https://github.com/darknigthmare/deadwall-last-enclosure/blob/e28f46223e73105ab2c5d83f3d50b99b58ef53e6/codex-3000/compositions/militaire/DW-2991.md</x:v>
      </x:c>
      <x:c r="K2996" t="str">
        <x:v>Source min 55,54 m ; max 55,54 m ; modèle 55 × 54 m ; niveaux 0. Détails dans catalogue-existant.json.</x:v>
      </x:c>
    </x:row>
    <x:row r="2997">
      <x:c r="A2997" t="str">
        <x:v>DW-2992</x:v>
      </x:c>
      <x:c r="B2997" t="str">
        <x:v>DW-0996</x:v>
      </x:c>
      <x:c r="C2997" t="str">
        <x:v>Composition héritée</x:v>
      </x:c>
      <x:c r="D2997" t="str">
        <x:v>militaire</x:v>
      </x:c>
      <x:c r="E2997" t="str">
        <x:v>Dépôt carburant sécurisé — variante 08 — Camp hostile / réseau principal coupé</x:v>
      </x:c>
      <x:c r="F2997" t="n">
        <x:v>10</x:v>
      </x:c>
      <x:c r="G2997" t="n">
        <x:v>5</x:v>
      </x:c>
      <x:c r="H2997" t="n">
        <x:v>0</x:v>
      </x:c>
      <x:c r="I2997" t="str">
        <x:v>À qualifier par lieu</x:v>
      </x:c>
      <x:c r="J2997" t="str">
        <x:v>https://github.com/darknigthmare/deadwall-last-enclosure/blob/e28f46223e73105ab2c5d83f3d50b99b58ef53e6/codex-3000/compositions/militaire/DW-2992.md</x:v>
      </x:c>
      <x:c r="K2997" t="str">
        <x:v>Source min 55,54 m ; max 55,54 m ; modèle 55 × 54 m ; niveaux 0. Détails dans catalogue-existant.json.</x:v>
      </x:c>
    </x:row>
    <x:row r="2998">
      <x:c r="A2998" t="str">
        <x:v>DW-2993</x:v>
      </x:c>
      <x:c r="B2998" t="str">
        <x:v>DW-0997</x:v>
      </x:c>
      <x:c r="C2998" t="str">
        <x:v>Composition héritée</x:v>
      </x:c>
      <x:c r="D2998" t="str">
        <x:v>transport</x:v>
      </x:c>
      <x:c r="E2998" t="str">
        <x:v>Gare routière — variante 08 — Station-service et aire routière / reprise progressive de la végétation</x:v>
      </x:c>
      <x:c r="F2998" t="n">
        <x:v>8</x:v>
      </x:c>
      <x:c r="G2998" t="n">
        <x:v>5</x:v>
      </x:c>
      <x:c r="H2998" t="n">
        <x:v>0</x:v>
      </x:c>
      <x:c r="I2998" t="str">
        <x:v>À qualifier par lieu</x:v>
      </x:c>
      <x:c r="J2998" t="str">
        <x:v>https://github.com/darknigthmare/deadwall-last-enclosure/blob/e28f46223e73105ab2c5d83f3d50b99b58ef53e6/codex-3000/compositions/transport/DW-2993.md</x:v>
      </x:c>
      <x:c r="K2998" t="str">
        <x:v>Source min 66,17 m ; max 66,17 m ; modèle 66 × 22 m ; niveaux 0. Détails dans catalogue-existant.json.</x:v>
      </x:c>
    </x:row>
    <x:row r="2999">
      <x:c r="A2999" t="str">
        <x:v>DW-2994</x:v>
      </x:c>
      <x:c r="B2999" t="str">
        <x:v>DW-0997</x:v>
      </x:c>
      <x:c r="C2999" t="str">
        <x:v>Composition héritée</x:v>
      </x:c>
      <x:c r="D2999" t="str">
        <x:v>transport</x:v>
      </x:c>
      <x:c r="E2999" t="str">
        <x:v>Gare routière — variante 08 — Port marchand / repli organisé interrompu</x:v>
      </x:c>
      <x:c r="F2999" t="n">
        <x:v>10</x:v>
      </x:c>
      <x:c r="G2999" t="n">
        <x:v>5</x:v>
      </x:c>
      <x:c r="H2999" t="n">
        <x:v>0</x:v>
      </x:c>
      <x:c r="I2999" t="str">
        <x:v>À qualifier par lieu</x:v>
      </x:c>
      <x:c r="J2999" t="str">
        <x:v>https://github.com/darknigthmare/deadwall-last-enclosure/blob/e28f46223e73105ab2c5d83f3d50b99b58ef53e6/codex-3000/compositions/transport/DW-2994.md</x:v>
      </x:c>
      <x:c r="K2999" t="str">
        <x:v>Source min 66,17 m ; max 66,17 m ; modèle 66 × 22 m ; niveaux 0. Détails dans catalogue-existant.json.</x:v>
      </x:c>
    </x:row>
    <x:row r="3000">
      <x:c r="A3000" t="str">
        <x:v>DW-2995</x:v>
      </x:c>
      <x:c r="B3000" t="str">
        <x:v>DW-0998</x:v>
      </x:c>
      <x:c r="C3000" t="str">
        <x:v>Composition héritée</x:v>
      </x:c>
      <x:c r="D3000" t="str">
        <x:v>transport</x:v>
      </x:c>
      <x:c r="E3000" t="str">
        <x:v>Dépôt de bus — variante 08 — Gare et fret / relais temporaire envisagé</x:v>
      </x:c>
      <x:c r="F3000" t="n">
        <x:v>10</x:v>
      </x:c>
      <x:c r="G3000" t="n">
        <x:v>5</x:v>
      </x:c>
      <x:c r="H3000" t="n">
        <x:v>0</x:v>
      </x:c>
      <x:c r="I3000" t="str">
        <x:v>À qualifier par lieu</x:v>
      </x:c>
      <x:c r="J3000" t="str">
        <x:v>https://github.com/darknigthmare/deadwall-last-enclosure/blob/e28f46223e73105ab2c5d83f3d50b99b58ef53e6/codex-3000/compositions/transport/DW-2995.md</x:v>
      </x:c>
      <x:c r="K3000" t="str">
        <x:v>Source min 77,34 m ; max 77,34 m ; modèle 77 × 34 m ; niveaux 0. Détails dans catalogue-existant.json.</x:v>
      </x:c>
    </x:row>
    <x:row r="3001">
      <x:c r="A3001" t="str">
        <x:v>DW-2996</x:v>
      </x:c>
      <x:c r="B3001" t="str">
        <x:v>DW-0998</x:v>
      </x:c>
      <x:c r="C3001" t="str">
        <x:v>Composition héritée</x:v>
      </x:c>
      <x:c r="D3001" t="str">
        <x:v>transport</x:v>
      </x:c>
      <x:c r="E3001" t="str">
        <x:v>Dépôt de bus — variante 08 — Routes et coutures territoriales / évacuation interrompue</x:v>
      </x:c>
      <x:c r="F3001" t="n">
        <x:v>10</x:v>
      </x:c>
      <x:c r="G3001" t="n">
        <x:v>5</x:v>
      </x:c>
      <x:c r="H3001" t="n">
        <x:v>0</x:v>
      </x:c>
      <x:c r="I3001" t="str">
        <x:v>À qualifier par lieu</x:v>
      </x:c>
      <x:c r="J3001" t="str">
        <x:v>https://github.com/darknigthmare/deadwall-last-enclosure/blob/e28f46223e73105ab2c5d83f3d50b99b58ef53e6/codex-3000/compositions/transport/DW-2996.md</x:v>
      </x:c>
      <x:c r="K3001" t="str">
        <x:v>Source min 77,34 m ; max 77,34 m ; modèle 77 × 34 m ; niveaux 0. Détails dans catalogue-existant.json.</x:v>
      </x:c>
    </x:row>
    <x:row r="3002">
      <x:c r="A3002" t="str">
        <x:v>DW-2997</x:v>
      </x:c>
      <x:c r="B3002" t="str">
        <x:v>DW-0999</x:v>
      </x:c>
      <x:c r="C3002" t="str">
        <x:v>Composition héritée</x:v>
      </x:c>
      <x:c r="D3002" t="str">
        <x:v>transport</x:v>
      </x:c>
      <x:c r="E3002" t="str">
        <x:v>Gare ferroviaire — variante 08 — Port marchand / réseau principal coupé</x:v>
      </x:c>
      <x:c r="F3002" t="n">
        <x:v>10</x:v>
      </x:c>
      <x:c r="G3002" t="n">
        <x:v>5</x:v>
      </x:c>
      <x:c r="H3002" t="n">
        <x:v>0</x:v>
      </x:c>
      <x:c r="I3002" t="str">
        <x:v>À qualifier par lieu</x:v>
      </x:c>
      <x:c r="J3002" t="str">
        <x:v>https://github.com/darknigthmare/deadwall-last-enclosure/blob/e28f46223e73105ab2c5d83f3d50b99b58ef53e6/codex-3000/compositions/transport/DW-2997.md</x:v>
      </x:c>
      <x:c r="K3002" t="str">
        <x:v>Source min 16,51 m ; max 16,51 m ; modèle 26 × 51 m ; niveaux 0. Détails dans catalogue-existant.json.</x:v>
      </x:c>
    </x:row>
    <x:row r="3003">
      <x:c r="A3003" t="str">
        <x:v>DW-2998</x:v>
      </x:c>
      <x:c r="B3003" t="str">
        <x:v>DW-0999</x:v>
      </x:c>
      <x:c r="C3003" t="str">
        <x:v>Composition héritée</x:v>
      </x:c>
      <x:c r="D3003" t="str">
        <x:v>transport</x:v>
      </x:c>
      <x:c r="E3003" t="str">
        <x:v>Gare ferroviaire — variante 08 — Station-service et aire routière / arrêt de maintenance</x:v>
      </x:c>
      <x:c r="F3003" t="n">
        <x:v>8</x:v>
      </x:c>
      <x:c r="G3003" t="n">
        <x:v>5</x:v>
      </x:c>
      <x:c r="H3003" t="n">
        <x:v>0</x:v>
      </x:c>
      <x:c r="I3003" t="str">
        <x:v>À qualifier par lieu</x:v>
      </x:c>
      <x:c r="J3003" t="str">
        <x:v>https://github.com/darknigthmare/deadwall-last-enclosure/blob/e28f46223e73105ab2c5d83f3d50b99b58ef53e6/codex-3000/compositions/transport/DW-2998.md</x:v>
      </x:c>
      <x:c r="K3003" t="str">
        <x:v>Source min 16,51 m ; max 16,51 m ; modèle 26 × 51 m ; niveaux 0. Détails dans catalogue-existant.json.</x:v>
      </x:c>
    </x:row>
    <x:row r="3004">
      <x:c r="A3004" t="str">
        <x:v>DW-2999</x:v>
      </x:c>
      <x:c r="B3004" t="str">
        <x:v>DW-1000</x:v>
      </x:c>
      <x:c r="C3004" t="str">
        <x:v>Composition héritée</x:v>
      </x:c>
      <x:c r="D3004" t="str">
        <x:v>transport</x:v>
      </x:c>
      <x:c r="E3004" t="str">
        <x:v>Aire d'autoroute — variante 08 — Routes et coutures territoriales / repli organisé interrompu</x:v>
      </x:c>
      <x:c r="F3004" t="n">
        <x:v>10</x:v>
      </x:c>
      <x:c r="G3004" t="n">
        <x:v>5</x:v>
      </x:c>
      <x:c r="H3004" t="n">
        <x:v>0</x:v>
      </x:c>
      <x:c r="I3004" t="str">
        <x:v>À qualifier par lieu</x:v>
      </x:c>
      <x:c r="J3004" t="str">
        <x:v>https://github.com/darknigthmare/deadwall-last-enclosure/blob/e28f46223e73105ab2c5d83f3d50b99b58ef53e6/codex-3000/compositions/transport/DW-2999.md</x:v>
      </x:c>
      <x:c r="K3004" t="str">
        <x:v>Source min 27,14 m ; max 27,14 m ; modèle 27 × 22 m ; niveaux 0. Détails dans catalogue-existant.json.</x:v>
      </x:c>
    </x:row>
    <x:row r="3005">
      <x:c r="A3005" t="str">
        <x:v>DW-3000</x:v>
      </x:c>
      <x:c r="B3005" t="str">
        <x:v>DW-1000</x:v>
      </x:c>
      <x:c r="C3005" t="str">
        <x:v>Composition héritée</x:v>
      </x:c>
      <x:c r="D3005" t="str">
        <x:v>transport</x:v>
      </x:c>
      <x:c r="E3005" t="str">
        <x:v>Aire d'autoroute — variante 08 — Gare et fret / première récupération passée</x:v>
      </x:c>
      <x:c r="F3005" t="n">
        <x:v>10</x:v>
      </x:c>
      <x:c r="G3005" t="n">
        <x:v>5</x:v>
      </x:c>
      <x:c r="H3005" t="n">
        <x:v>0</x:v>
      </x:c>
      <x:c r="I3005" t="str">
        <x:v>À qualifier par lieu</x:v>
      </x:c>
      <x:c r="J3005" t="str">
        <x:v>https://github.com/darknigthmare/deadwall-last-enclosure/blob/e28f46223e73105ab2c5d83f3d50b99b58ef53e6/codex-3000/compositions/transport/DW-3000.md</x:v>
      </x:c>
      <x:c r="K3005" t="str">
        <x:v>Source min 27,14 m ; max 27,14 m ; modèle 27 × 22 m ; niveaux 0. Détails dans catalogue-existant.json.</x:v>
      </x:c>
    </x:row>
    <x:row r="3006">
      <x:c r="A3006" t="str">
        <x:v>DW-3001</x:v>
      </x:c>
      <x:c r="B3006" t="str">
        <x:v>DW-3001</x:v>
      </x:c>
      <x:c r="C3006" t="str">
        <x:v>Parent indépendant 1.58</x:v>
      </x:c>
      <x:c r="D3006" t="str">
        <x:v>Habitat individuel</x:v>
      </x:c>
      <x:c r="E3006" t="str">
        <x:v>Maison-atelier de reliure</x:v>
      </x:c>
      <x:c r="F3006" t="n">
        <x:v>9</x:v>
      </x:c>
      <x:c r="G3006" t="n">
        <x:v>8</x:v>
      </x:c>
      <x:c r="H3006" t="n">
        <x:v>8</x:v>
      </x:c>
      <x:c r="I3006" t="str">
        <x:v>À qualifier par lieu</x:v>
      </x:c>
      <x:c r="J3006" t="str">
        <x:v>https://github.com/darknigthmare/deadwall-last-enclosure/blob/e28f46223e73105ab2c5d83f3d50b99b58ef53e6/codex-3000/addendum-1.58/PROGRAMMES_A.json</x:v>
      </x:c>
      <x:c r="K3006" t="str">
        <x:v>Source min 32,36 m ; max 32,36 m ; modèle 32 × 36 m ; niveaux 0, 1. Détails dans catalogue-existant.json.</x:v>
      </x:c>
    </x:row>
    <x:row r="3007">
      <x:c r="A3007" t="str">
        <x:v>DW-3002</x:v>
      </x:c>
      <x:c r="B3007" t="str">
        <x:v>DW-3002</x:v>
      </x:c>
      <x:c r="C3007" t="str">
        <x:v>Parent indépendant 1.58</x:v>
      </x:c>
      <x:c r="D3007" t="str">
        <x:v>Habitat individuel</x:v>
      </x:c>
      <x:c r="E3007" t="str">
        <x:v>Maison-atelier de lutherie</x:v>
      </x:c>
      <x:c r="F3007" t="n">
        <x:v>9</x:v>
      </x:c>
      <x:c r="G3007" t="n">
        <x:v>8</x:v>
      </x:c>
      <x:c r="H3007" t="n">
        <x:v>8</x:v>
      </x:c>
      <x:c r="I3007" t="str">
        <x:v>À qualifier par lieu</x:v>
      </x:c>
      <x:c r="J3007" t="str">
        <x:v>https://github.com/darknigthmare/deadwall-last-enclosure/blob/e28f46223e73105ab2c5d83f3d50b99b58ef53e6/codex-3000/addendum-1.58/PROGRAMMES_A.json</x:v>
      </x:c>
      <x:c r="K3007" t="str">
        <x:v>Source min 32,36 m ; max 32,36 m ; modèle 32 × 36 m ; niveaux 0, 1. Détails dans catalogue-existant.json.</x:v>
      </x:c>
    </x:row>
    <x:row r="3008">
      <x:c r="A3008" t="str">
        <x:v>DW-3003</x:v>
      </x:c>
      <x:c r="B3008" t="str">
        <x:v>DW-3003</x:v>
      </x:c>
      <x:c r="C3008" t="str">
        <x:v>Parent indépendant 1.58</x:v>
      </x:c>
      <x:c r="D3008" t="str">
        <x:v>Habitat individuel</x:v>
      </x:c>
      <x:c r="E3008" t="str">
        <x:v>Habitat de restauration du papier</x:v>
      </x:c>
      <x:c r="F3008" t="n">
        <x:v>9</x:v>
      </x:c>
      <x:c r="G3008" t="n">
        <x:v>8</x:v>
      </x:c>
      <x:c r="H3008" t="n">
        <x:v>8</x:v>
      </x:c>
      <x:c r="I3008" t="str">
        <x:v>À qualifier par lieu</x:v>
      </x:c>
      <x:c r="J3008" t="str">
        <x:v>https://github.com/darknigthmare/deadwall-last-enclosure/blob/e28f46223e73105ab2c5d83f3d50b99b58ef53e6/codex-3000/addendum-1.58/PROGRAMMES_A.json</x:v>
      </x:c>
      <x:c r="K3008" t="str">
        <x:v>Source min 32,36 m ; max 32,36 m ; modèle 32 × 36 m ; niveaux 0, 1. Détails dans catalogue-existant.json.</x:v>
      </x:c>
    </x:row>
    <x:row r="3009">
      <x:c r="A3009" t="str">
        <x:v>DW-3004</x:v>
      </x:c>
      <x:c r="B3009" t="str">
        <x:v>DW-3004</x:v>
      </x:c>
      <x:c r="C3009" t="str">
        <x:v>Parent indépendant 1.58</x:v>
      </x:c>
      <x:c r="D3009" t="str">
        <x:v>Habitat individuel</x:v>
      </x:c>
      <x:c r="E3009" t="str">
        <x:v>Maison de cartographie artisanale</x:v>
      </x:c>
      <x:c r="F3009" t="n">
        <x:v>9</x:v>
      </x:c>
      <x:c r="G3009" t="n">
        <x:v>8</x:v>
      </x:c>
      <x:c r="H3009" t="n">
        <x:v>8</x:v>
      </x:c>
      <x:c r="I3009" t="str">
        <x:v>À qualifier par lieu</x:v>
      </x:c>
      <x:c r="J3009" t="str">
        <x:v>https://github.com/darknigthmare/deadwall-last-enclosure/blob/e28f46223e73105ab2c5d83f3d50b99b58ef53e6/codex-3000/addendum-1.58/PROGRAMMES_A.json</x:v>
      </x:c>
      <x:c r="K3009" t="str">
        <x:v>Source min 32,36 m ; max 32,36 m ; modèle 32 × 36 m ; niveaux 0, 1. Détails dans catalogue-existant.json.</x:v>
      </x:c>
    </x:row>
    <x:row r="3010">
      <x:c r="A3010" t="str">
        <x:v>DW-3005</x:v>
      </x:c>
      <x:c r="B3010" t="str">
        <x:v>DW-3005</x:v>
      </x:c>
      <x:c r="C3010" t="str">
        <x:v>Parent indépendant 1.58</x:v>
      </x:c>
      <x:c r="D3010" t="str">
        <x:v>Habitat individuel</x:v>
      </x:c>
      <x:c r="E3010" t="str">
        <x:v>Maison-atelier de gravure</x:v>
      </x:c>
      <x:c r="F3010" t="n">
        <x:v>9</x:v>
      </x:c>
      <x:c r="G3010" t="n">
        <x:v>8</x:v>
      </x:c>
      <x:c r="H3010" t="n">
        <x:v>8</x:v>
      </x:c>
      <x:c r="I3010" t="str">
        <x:v>À qualifier par lieu</x:v>
      </x:c>
      <x:c r="J3010" t="str">
        <x:v>https://github.com/darknigthmare/deadwall-last-enclosure/blob/e28f46223e73105ab2c5d83f3d50b99b58ef53e6/codex-3000/addendum-1.58/PROGRAMMES_A.json</x:v>
      </x:c>
      <x:c r="K3010" t="str">
        <x:v>Source min 32,36 m ; max 32,36 m ; modèle 32 × 36 m ; niveaux 0, 1. Détails dans catalogue-existant.json.</x:v>
      </x:c>
    </x:row>
    <x:row r="3011">
      <x:c r="A3011" t="str">
        <x:v>DW-3006</x:v>
      </x:c>
      <x:c r="B3011" t="str">
        <x:v>DW-3006</x:v>
      </x:c>
      <x:c r="C3011" t="str">
        <x:v>Parent indépendant 1.58</x:v>
      </x:c>
      <x:c r="D3011" t="str">
        <x:v>Habitat individuel</x:v>
      </x:c>
      <x:c r="E3011" t="str">
        <x:v>Logement d'horloger réparateur</x:v>
      </x:c>
      <x:c r="F3011" t="n">
        <x:v>9</x:v>
      </x:c>
      <x:c r="G3011" t="n">
        <x:v>8</x:v>
      </x:c>
      <x:c r="H3011" t="n">
        <x:v>8</x:v>
      </x:c>
      <x:c r="I3011" t="str">
        <x:v>À qualifier par lieu</x:v>
      </x:c>
      <x:c r="J3011" t="str">
        <x:v>https://github.com/darknigthmare/deadwall-last-enclosure/blob/e28f46223e73105ab2c5d83f3d50b99b58ef53e6/codex-3000/addendum-1.58/PROGRAMMES_A.json</x:v>
      </x:c>
      <x:c r="K3011" t="str">
        <x:v>Source min 32,36 m ; max 32,36 m ; modèle 32 × 36 m ; niveaux 0, 1. Détails dans catalogue-existant.json.</x:v>
      </x:c>
    </x:row>
    <x:row r="3012">
      <x:c r="A3012" t="str">
        <x:v>DW-3007</x:v>
      </x:c>
      <x:c r="B3012" t="str">
        <x:v>DW-3007</x:v>
      </x:c>
      <x:c r="C3012" t="str">
        <x:v>Parent indépendant 1.58</x:v>
      </x:c>
      <x:c r="D3012" t="str">
        <x:v>Habitat individuel</x:v>
      </x:c>
      <x:c r="E3012" t="str">
        <x:v>Maison de potier domestique</x:v>
      </x:c>
      <x:c r="F3012" t="n">
        <x:v>9</x:v>
      </x:c>
      <x:c r="G3012" t="n">
        <x:v>8</x:v>
      </x:c>
      <x:c r="H3012" t="n">
        <x:v>8</x:v>
      </x:c>
      <x:c r="I3012" t="str">
        <x:v>À qualifier par lieu</x:v>
      </x:c>
      <x:c r="J3012" t="str">
        <x:v>https://github.com/darknigthmare/deadwall-last-enclosure/blob/e28f46223e73105ab2c5d83f3d50b99b58ef53e6/codex-3000/addendum-1.58/PROGRAMMES_A.json</x:v>
      </x:c>
      <x:c r="K3012" t="str">
        <x:v>Source min 32,36 m ; max 32,36 m ; modèle 32 × 36 m ; niveaux 0, 1. Détails dans catalogue-existant.json.</x:v>
      </x:c>
    </x:row>
    <x:row r="3013">
      <x:c r="A3013" t="str">
        <x:v>DW-3008</x:v>
      </x:c>
      <x:c r="B3013" t="str">
        <x:v>DW-3008</x:v>
      </x:c>
      <x:c r="C3013" t="str">
        <x:v>Parent indépendant 1.58</x:v>
      </x:c>
      <x:c r="D3013" t="str">
        <x:v>Habitat individuel</x:v>
      </x:c>
      <x:c r="E3013" t="str">
        <x:v>Habitat de vannerie</x:v>
      </x:c>
      <x:c r="F3013" t="n">
        <x:v>9</x:v>
      </x:c>
      <x:c r="G3013" t="n">
        <x:v>8</x:v>
      </x:c>
      <x:c r="H3013" t="n">
        <x:v>8</x:v>
      </x:c>
      <x:c r="I3013" t="str">
        <x:v>À qualifier par lieu</x:v>
      </x:c>
      <x:c r="J3013" t="str">
        <x:v>https://github.com/darknigthmare/deadwall-last-enclosure/blob/e28f46223e73105ab2c5d83f3d50b99b58ef53e6/codex-3000/addendum-1.58/PROGRAMMES_A.json</x:v>
      </x:c>
      <x:c r="K3013" t="str">
        <x:v>Source min 32,36 m ; max 32,36 m ; modèle 32 × 36 m ; niveaux 0, 1. Détails dans catalogue-existant.json.</x:v>
      </x:c>
    </x:row>
    <x:row r="3014">
      <x:c r="A3014" t="str">
        <x:v>DW-3009</x:v>
      </x:c>
      <x:c r="B3014" t="str">
        <x:v>DW-3009</x:v>
      </x:c>
      <x:c r="C3014" t="str">
        <x:v>Parent indépendant 1.58</x:v>
      </x:c>
      <x:c r="D3014" t="str">
        <x:v>Habitat individuel</x:v>
      </x:c>
      <x:c r="E3014" t="str">
        <x:v>Maison de broderie artisanale</x:v>
      </x:c>
      <x:c r="F3014" t="n">
        <x:v>9</x:v>
      </x:c>
      <x:c r="G3014" t="n">
        <x:v>8</x:v>
      </x:c>
      <x:c r="H3014" t="n">
        <x:v>8</x:v>
      </x:c>
      <x:c r="I3014" t="str">
        <x:v>À qualifier par lieu</x:v>
      </x:c>
      <x:c r="J3014" t="str">
        <x:v>https://github.com/darknigthmare/deadwall-last-enclosure/blob/e28f46223e73105ab2c5d83f3d50b99b58ef53e6/codex-3000/addendum-1.58/PROGRAMMES_A.json</x:v>
      </x:c>
      <x:c r="K3014" t="str">
        <x:v>Source min 32,36 m ; max 32,36 m ; modèle 32 × 36 m ; niveaux 0, 1. Détails dans catalogue-existant.json.</x:v>
      </x:c>
    </x:row>
    <x:row r="3015">
      <x:c r="A3015" t="str">
        <x:v>DW-3010</x:v>
      </x:c>
      <x:c r="B3015" t="str">
        <x:v>DW-3010</x:v>
      </x:c>
      <x:c r="C3015" t="str">
        <x:v>Parent indépendant 1.58</x:v>
      </x:c>
      <x:c r="D3015" t="str">
        <x:v>Habitat individuel</x:v>
      </x:c>
      <x:c r="E3015" t="str">
        <x:v>Logement-atelier de modiste</x:v>
      </x:c>
      <x:c r="F3015" t="n">
        <x:v>9</x:v>
      </x:c>
      <x:c r="G3015" t="n">
        <x:v>8</x:v>
      </x:c>
      <x:c r="H3015" t="n">
        <x:v>8</x:v>
      </x:c>
      <x:c r="I3015" t="str">
        <x:v>À qualifier par lieu</x:v>
      </x:c>
      <x:c r="J3015" t="str">
        <x:v>https://github.com/darknigthmare/deadwall-last-enclosure/blob/e28f46223e73105ab2c5d83f3d50b99b58ef53e6/codex-3000/addendum-1.58/PROGRAMMES_A.json</x:v>
      </x:c>
      <x:c r="K3015" t="str">
        <x:v>Source min 32,36 m ; max 32,36 m ; modèle 32 × 36 m ; niveaux 0, 1. Détails dans catalogue-existant.json.</x:v>
      </x:c>
    </x:row>
    <x:row r="3016">
      <x:c r="A3016" t="str">
        <x:v>DW-3011</x:v>
      </x:c>
      <x:c r="B3016" t="str">
        <x:v>DW-3011</x:v>
      </x:c>
      <x:c r="C3016" t="str">
        <x:v>Parent indépendant 1.58</x:v>
      </x:c>
      <x:c r="D3016" t="str">
        <x:v>Habitat individuel</x:v>
      </x:c>
      <x:c r="E3016" t="str">
        <x:v>Maison de tapissier décorateur</x:v>
      </x:c>
      <x:c r="F3016" t="n">
        <x:v>9</x:v>
      </x:c>
      <x:c r="G3016" t="n">
        <x:v>8</x:v>
      </x:c>
      <x:c r="H3016" t="n">
        <x:v>8</x:v>
      </x:c>
      <x:c r="I3016" t="str">
        <x:v>À qualifier par lieu</x:v>
      </x:c>
      <x:c r="J3016" t="str">
        <x:v>https://github.com/darknigthmare/deadwall-last-enclosure/blob/e28f46223e73105ab2c5d83f3d50b99b58ef53e6/codex-3000/addendum-1.58/PROGRAMMES_A.json</x:v>
      </x:c>
      <x:c r="K3016" t="str">
        <x:v>Source min 32,36 m ; max 32,36 m ; modèle 32 × 36 m ; niveaux 0, 1. Détails dans catalogue-existant.json.</x:v>
      </x:c>
    </x:row>
    <x:row r="3017">
      <x:c r="A3017" t="str">
        <x:v>DW-3012</x:v>
      </x:c>
      <x:c r="B3017" t="str">
        <x:v>DW-3012</x:v>
      </x:c>
      <x:c r="C3017" t="str">
        <x:v>Parent indépendant 1.58</x:v>
      </x:c>
      <x:c r="D3017" t="str">
        <x:v>Habitat individuel</x:v>
      </x:c>
      <x:c r="E3017" t="str">
        <x:v>Habitat de vitrailliste</x:v>
      </x:c>
      <x:c r="F3017" t="n">
        <x:v>9</x:v>
      </x:c>
      <x:c r="G3017" t="n">
        <x:v>8</x:v>
      </x:c>
      <x:c r="H3017" t="n">
        <x:v>8</x:v>
      </x:c>
      <x:c r="I3017" t="str">
        <x:v>À qualifier par lieu</x:v>
      </x:c>
      <x:c r="J3017" t="str">
        <x:v>https://github.com/darknigthmare/deadwall-last-enclosure/blob/e28f46223e73105ab2c5d83f3d50b99b58ef53e6/codex-3000/addendum-1.58/PROGRAMMES_A.json</x:v>
      </x:c>
      <x:c r="K3017" t="str">
        <x:v>Source min 32,36 m ; max 32,36 m ; modèle 32 × 36 m ; niveaux 0, 1. Détails dans catalogue-existant.json.</x:v>
      </x:c>
    </x:row>
    <x:row r="3018">
      <x:c r="A3018" t="str">
        <x:v>DW-3013</x:v>
      </x:c>
      <x:c r="B3018" t="str">
        <x:v>DW-3013</x:v>
      </x:c>
      <x:c r="C3018" t="str">
        <x:v>Parent indépendant 1.58</x:v>
      </x:c>
      <x:c r="D3018" t="str">
        <x:v>Habitat individuel</x:v>
      </x:c>
      <x:c r="E3018" t="str">
        <x:v>Maison-atelier de ciselure</x:v>
      </x:c>
      <x:c r="F3018" t="n">
        <x:v>9</x:v>
      </x:c>
      <x:c r="G3018" t="n">
        <x:v>8</x:v>
      </x:c>
      <x:c r="H3018" t="n">
        <x:v>8</x:v>
      </x:c>
      <x:c r="I3018" t="str">
        <x:v>À qualifier par lieu</x:v>
      </x:c>
      <x:c r="J3018" t="str">
        <x:v>https://github.com/darknigthmare/deadwall-last-enclosure/blob/e28f46223e73105ab2c5d83f3d50b99b58ef53e6/codex-3000/addendum-1.58/PROGRAMMES_A.json</x:v>
      </x:c>
      <x:c r="K3018" t="str">
        <x:v>Source min 32,36 m ; max 32,36 m ; modèle 32 × 36 m ; niveaux 0, 1. Détails dans catalogue-existant.json.</x:v>
      </x:c>
    </x:row>
    <x:row r="3019">
      <x:c r="A3019" t="str">
        <x:v>DW-3014</x:v>
      </x:c>
      <x:c r="B3019" t="str">
        <x:v>DW-3014</x:v>
      </x:c>
      <x:c r="C3019" t="str">
        <x:v>Parent indépendant 1.58</x:v>
      </x:c>
      <x:c r="D3019" t="str">
        <x:v>Habitat individuel</x:v>
      </x:c>
      <x:c r="E3019" t="str">
        <x:v>Logement de réparation de jouets</x:v>
      </x:c>
      <x:c r="F3019" t="n">
        <x:v>9</x:v>
      </x:c>
      <x:c r="G3019" t="n">
        <x:v>8</x:v>
      </x:c>
      <x:c r="H3019" t="n">
        <x:v>8</x:v>
      </x:c>
      <x:c r="I3019" t="str">
        <x:v>À qualifier par lieu</x:v>
      </x:c>
      <x:c r="J3019" t="str">
        <x:v>https://github.com/darknigthmare/deadwall-last-enclosure/blob/e28f46223e73105ab2c5d83f3d50b99b58ef53e6/codex-3000/addendum-1.58/PROGRAMMES_A.json</x:v>
      </x:c>
      <x:c r="K3019" t="str">
        <x:v>Source min 32,36 m ; max 32,36 m ; modèle 32 × 36 m ; niveaux 0, 1. Détails dans catalogue-existant.json.</x:v>
      </x:c>
    </x:row>
    <x:row r="3020">
      <x:c r="A3020" t="str">
        <x:v>DW-3015</x:v>
      </x:c>
      <x:c r="B3020" t="str">
        <x:v>DW-3015</x:v>
      </x:c>
      <x:c r="C3020" t="str">
        <x:v>Parent indépendant 1.58</x:v>
      </x:c>
      <x:c r="D3020" t="str">
        <x:v>Habitat individuel</x:v>
      </x:c>
      <x:c r="E3020" t="str">
        <x:v>Maison de fabrication d'étuis</x:v>
      </x:c>
      <x:c r="F3020" t="n">
        <x:v>9</x:v>
      </x:c>
      <x:c r="G3020" t="n">
        <x:v>8</x:v>
      </x:c>
      <x:c r="H3020" t="n">
        <x:v>8</x:v>
      </x:c>
      <x:c r="I3020" t="str">
        <x:v>À qualifier par lieu</x:v>
      </x:c>
      <x:c r="J3020" t="str">
        <x:v>https://github.com/darknigthmare/deadwall-last-enclosure/blob/e28f46223e73105ab2c5d83f3d50b99b58ef53e6/codex-3000/addendum-1.58/PROGRAMMES_A.json</x:v>
      </x:c>
      <x:c r="K3020" t="str">
        <x:v>Source min 32,36 m ; max 32,36 m ; modèle 32 × 36 m ; niveaux 0, 1. Détails dans catalogue-existant.json.</x:v>
      </x:c>
    </x:row>
    <x:row r="3021">
      <x:c r="A3021" t="str">
        <x:v>DW-3016</x:v>
      </x:c>
      <x:c r="B3021" t="str">
        <x:v>DW-3016</x:v>
      </x:c>
      <x:c r="C3021" t="str">
        <x:v>Parent indépendant 1.58</x:v>
      </x:c>
      <x:c r="D3021" t="str">
        <x:v>Habitat individuel</x:v>
      </x:c>
      <x:c r="E3021" t="str">
        <x:v>Habitat de réparation d'instruments à vent</x:v>
      </x:c>
      <x:c r="F3021" t="n">
        <x:v>9</x:v>
      </x:c>
      <x:c r="G3021" t="n">
        <x:v>8</x:v>
      </x:c>
      <x:c r="H3021" t="n">
        <x:v>8</x:v>
      </x:c>
      <x:c r="I3021" t="str">
        <x:v>À qualifier par lieu</x:v>
      </x:c>
      <x:c r="J3021" t="str">
        <x:v>https://github.com/darknigthmare/deadwall-last-enclosure/blob/e28f46223e73105ab2c5d83f3d50b99b58ef53e6/codex-3000/addendum-1.58/PROGRAMMES_A.json</x:v>
      </x:c>
      <x:c r="K3021" t="str">
        <x:v>Source min 32,36 m ; max 32,36 m ; modèle 32 × 36 m ; niveaux 0, 1. Détails dans catalogue-existant.json.</x:v>
      </x:c>
    </x:row>
    <x:row r="3022">
      <x:c r="A3022" t="str">
        <x:v>DW-3017</x:v>
      </x:c>
      <x:c r="B3022" t="str">
        <x:v>DW-3017</x:v>
      </x:c>
      <x:c r="C3022" t="str">
        <x:v>Parent indépendant 1.58</x:v>
      </x:c>
      <x:c r="D3022" t="str">
        <x:v>Habitat individuel</x:v>
      </x:c>
      <x:c r="E3022" t="str">
        <x:v>Maison de coutelier artisanal</x:v>
      </x:c>
      <x:c r="F3022" t="n">
        <x:v>9</x:v>
      </x:c>
      <x:c r="G3022" t="n">
        <x:v>8</x:v>
      </x:c>
      <x:c r="H3022" t="n">
        <x:v>8</x:v>
      </x:c>
      <x:c r="I3022" t="str">
        <x:v>À qualifier par lieu</x:v>
      </x:c>
      <x:c r="J3022" t="str">
        <x:v>https://github.com/darknigthmare/deadwall-last-enclosure/blob/e28f46223e73105ab2c5d83f3d50b99b58ef53e6/codex-3000/addendum-1.58/PROGRAMMES_A.json</x:v>
      </x:c>
      <x:c r="K3022" t="str">
        <x:v>Source min 32,36 m ; max 32,36 m ; modèle 32 × 36 m ; niveaux 0, 1. Détails dans catalogue-existant.json.</x:v>
      </x:c>
    </x:row>
    <x:row r="3023">
      <x:c r="A3023" t="str">
        <x:v>DW-3018</x:v>
      </x:c>
      <x:c r="B3023" t="str">
        <x:v>DW-3018</x:v>
      </x:c>
      <x:c r="C3023" t="str">
        <x:v>Parent indépendant 1.58</x:v>
      </x:c>
      <x:c r="D3023" t="str">
        <x:v>Habitat individuel</x:v>
      </x:c>
      <x:c r="E3023" t="str">
        <x:v>Logement-atelier de sellerie</x:v>
      </x:c>
      <x:c r="F3023" t="n">
        <x:v>9</x:v>
      </x:c>
      <x:c r="G3023" t="n">
        <x:v>8</x:v>
      </x:c>
      <x:c r="H3023" t="n">
        <x:v>8</x:v>
      </x:c>
      <x:c r="I3023" t="str">
        <x:v>À qualifier par lieu</x:v>
      </x:c>
      <x:c r="J3023" t="str">
        <x:v>https://github.com/darknigthmare/deadwall-last-enclosure/blob/e28f46223e73105ab2c5d83f3d50b99b58ef53e6/codex-3000/addendum-1.58/PROGRAMMES_A.json</x:v>
      </x:c>
      <x:c r="K3023" t="str">
        <x:v>Source min 32,36 m ; max 32,36 m ; modèle 32 × 36 m ; niveaux 0, 1. Détails dans catalogue-existant.json.</x:v>
      </x:c>
    </x:row>
    <x:row r="3024">
      <x:c r="A3024" t="str">
        <x:v>DW-3019</x:v>
      </x:c>
      <x:c r="B3024" t="str">
        <x:v>DW-3019</x:v>
      </x:c>
      <x:c r="C3024" t="str">
        <x:v>Parent indépendant 1.58</x:v>
      </x:c>
      <x:c r="D3024" t="str">
        <x:v>Habitat individuel</x:v>
      </x:c>
      <x:c r="E3024" t="str">
        <x:v>Maison de ganterie</x:v>
      </x:c>
      <x:c r="F3024" t="n">
        <x:v>9</x:v>
      </x:c>
      <x:c r="G3024" t="n">
        <x:v>8</x:v>
      </x:c>
      <x:c r="H3024" t="n">
        <x:v>8</x:v>
      </x:c>
      <x:c r="I3024" t="str">
        <x:v>À qualifier par lieu</x:v>
      </x:c>
      <x:c r="J3024" t="str">
        <x:v>https://github.com/darknigthmare/deadwall-last-enclosure/blob/e28f46223e73105ab2c5d83f3d50b99b58ef53e6/codex-3000/addendum-1.58/PROGRAMMES_A.json</x:v>
      </x:c>
      <x:c r="K3024" t="str">
        <x:v>Source min 32,36 m ; max 32,36 m ; modèle 32 × 36 m ; niveaux 0, 1. Détails dans catalogue-existant.json.</x:v>
      </x:c>
    </x:row>
    <x:row r="3025">
      <x:c r="A3025" t="str">
        <x:v>DW-3020</x:v>
      </x:c>
      <x:c r="B3025" t="str">
        <x:v>DW-3020</x:v>
      </x:c>
      <x:c r="C3025" t="str">
        <x:v>Parent indépendant 1.58</x:v>
      </x:c>
      <x:c r="D3025" t="str">
        <x:v>Habitat individuel</x:v>
      </x:c>
      <x:c r="E3025" t="str">
        <x:v>Habitat d'enluminure</x:v>
      </x:c>
      <x:c r="F3025" t="n">
        <x:v>9</x:v>
      </x:c>
      <x:c r="G3025" t="n">
        <x:v>8</x:v>
      </x:c>
      <x:c r="H3025" t="n">
        <x:v>8</x:v>
      </x:c>
      <x:c r="I3025" t="str">
        <x:v>À qualifier par lieu</x:v>
      </x:c>
      <x:c r="J3025" t="str">
        <x:v>https://github.com/darknigthmare/deadwall-last-enclosure/blob/e28f46223e73105ab2c5d83f3d50b99b58ef53e6/codex-3000/addendum-1.58/PROGRAMMES_A.json</x:v>
      </x:c>
      <x:c r="K3025" t="str">
        <x:v>Source min 32,36 m ; max 32,36 m ; modèle 32 × 36 m ; niveaux 0, 1. Détails dans catalogue-existant.json.</x:v>
      </x:c>
    </x:row>
    <x:row r="3026">
      <x:c r="A3026" t="str">
        <x:v>DW-3021</x:v>
      </x:c>
      <x:c r="B3026" t="str">
        <x:v>DW-3021</x:v>
      </x:c>
      <x:c r="C3026" t="str">
        <x:v>Parent indépendant 1.58</x:v>
      </x:c>
      <x:c r="D3026" t="str">
        <x:v>Habitat individuel</x:v>
      </x:c>
      <x:c r="E3026" t="str">
        <x:v>Maison de garde d'enfants partagée</x:v>
      </x:c>
      <x:c r="F3026" t="n">
        <x:v>9</x:v>
      </x:c>
      <x:c r="G3026" t="n">
        <x:v>8</x:v>
      </x:c>
      <x:c r="H3026" t="n">
        <x:v>8</x:v>
      </x:c>
      <x:c r="I3026" t="str">
        <x:v>À qualifier par lieu</x:v>
      </x:c>
      <x:c r="J3026" t="str">
        <x:v>https://github.com/darknigthmare/deadwall-last-enclosure/blob/e28f46223e73105ab2c5d83f3d50b99b58ef53e6/codex-3000/addendum-1.58/PROGRAMMES_A.json</x:v>
      </x:c>
      <x:c r="K3026" t="str">
        <x:v>Source min 32,36 m ; max 32,36 m ; modèle 32 × 36 m ; niveaux 0, 1. Détails dans catalogue-existant.json.</x:v>
      </x:c>
    </x:row>
    <x:row r="3027">
      <x:c r="A3027" t="str">
        <x:v>DW-3022</x:v>
      </x:c>
      <x:c r="B3027" t="str">
        <x:v>DW-3022</x:v>
      </x:c>
      <x:c r="C3027" t="str">
        <x:v>Parent indépendant 1.58</x:v>
      </x:c>
      <x:c r="D3027" t="str">
        <x:v>Habitat individuel</x:v>
      </x:c>
      <x:c r="E3027" t="str">
        <x:v>Habitat à chambre de veille</x:v>
      </x:c>
      <x:c r="F3027" t="n">
        <x:v>9</x:v>
      </x:c>
      <x:c r="G3027" t="n">
        <x:v>8</x:v>
      </x:c>
      <x:c r="H3027" t="n">
        <x:v>8</x:v>
      </x:c>
      <x:c r="I3027" t="str">
        <x:v>À qualifier par lieu</x:v>
      </x:c>
      <x:c r="J3027" t="str">
        <x:v>https://github.com/darknigthmare/deadwall-last-enclosure/blob/e28f46223e73105ab2c5d83f3d50b99b58ef53e6/codex-3000/addendum-1.58/PROGRAMMES_A.json</x:v>
      </x:c>
      <x:c r="K3027" t="str">
        <x:v>Source min 32,36 m ; max 32,36 m ; modèle 32 × 36 m ; niveaux 0, 1. Détails dans catalogue-existant.json.</x:v>
      </x:c>
    </x:row>
    <x:row r="3028">
      <x:c r="A3028" t="str">
        <x:v>DW-3023</x:v>
      </x:c>
      <x:c r="B3028" t="str">
        <x:v>DW-3023</x:v>
      </x:c>
      <x:c r="C3028" t="str">
        <x:v>Parent indépendant 1.58</x:v>
      </x:c>
      <x:c r="D3028" t="str">
        <x:v>Habitat individuel</x:v>
      </x:c>
      <x:c r="E3028" t="str">
        <x:v>Maison d'accueil de fratries</x:v>
      </x:c>
      <x:c r="F3028" t="n">
        <x:v>9</x:v>
      </x:c>
      <x:c r="G3028" t="n">
        <x:v>8</x:v>
      </x:c>
      <x:c r="H3028" t="n">
        <x:v>8</x:v>
      </x:c>
      <x:c r="I3028" t="str">
        <x:v>À qualifier par lieu</x:v>
      </x:c>
      <x:c r="J3028" t="str">
        <x:v>https://github.com/darknigthmare/deadwall-last-enclosure/blob/e28f46223e73105ab2c5d83f3d50b99b58ef53e6/codex-3000/addendum-1.58/PROGRAMMES_A.json</x:v>
      </x:c>
      <x:c r="K3028" t="str">
        <x:v>Source min 32,36 m ; max 32,36 m ; modèle 32 × 36 m ; niveaux 0, 1. Détails dans catalogue-existant.json.</x:v>
      </x:c>
    </x:row>
    <x:row r="3029">
      <x:c r="A3029" t="str">
        <x:v>DW-3024</x:v>
      </x:c>
      <x:c r="B3029" t="str">
        <x:v>DW-3024</x:v>
      </x:c>
      <x:c r="C3029" t="str">
        <x:v>Parent indépendant 1.58</x:v>
      </x:c>
      <x:c r="D3029" t="str">
        <x:v>Habitat individuel</x:v>
      </x:c>
      <x:c r="E3029" t="str">
        <x:v>Habitat de garde alternée familiale</x:v>
      </x:c>
      <x:c r="F3029" t="n">
        <x:v>9</x:v>
      </x:c>
      <x:c r="G3029" t="n">
        <x:v>8</x:v>
      </x:c>
      <x:c r="H3029" t="n">
        <x:v>8</x:v>
      </x:c>
      <x:c r="I3029" t="str">
        <x:v>À qualifier par lieu</x:v>
      </x:c>
      <x:c r="J3029" t="str">
        <x:v>https://github.com/darknigthmare/deadwall-last-enclosure/blob/e28f46223e73105ab2c5d83f3d50b99b58ef53e6/codex-3000/addendum-1.58/PROGRAMMES_A.json</x:v>
      </x:c>
      <x:c r="K3029" t="str">
        <x:v>Source min 32,36 m ; max 32,36 m ; modèle 32 × 36 m ; niveaux 0, 1. Détails dans catalogue-existant.json.</x:v>
      </x:c>
    </x:row>
    <x:row r="3030">
      <x:c r="A3030" t="str">
        <x:v>DW-3025</x:v>
      </x:c>
      <x:c r="B3030" t="str">
        <x:v>DW-3025</x:v>
      </x:c>
      <x:c r="C3030" t="str">
        <x:v>Parent indépendant 1.58</x:v>
      </x:c>
      <x:c r="D3030" t="str">
        <x:v>Habitat individuel</x:v>
      </x:c>
      <x:c r="E3030" t="str">
        <x:v>Maison de familles recomposées</x:v>
      </x:c>
      <x:c r="F3030" t="n">
        <x:v>9</x:v>
      </x:c>
      <x:c r="G3030" t="n">
        <x:v>8</x:v>
      </x:c>
      <x:c r="H3030" t="n">
        <x:v>8</x:v>
      </x:c>
      <x:c r="I3030" t="str">
        <x:v>À qualifier par lieu</x:v>
      </x:c>
      <x:c r="J3030" t="str">
        <x:v>https://github.com/darknigthmare/deadwall-last-enclosure/blob/e28f46223e73105ab2c5d83f3d50b99b58ef53e6/codex-3000/addendum-1.58/PROGRAMMES_A.json</x:v>
      </x:c>
      <x:c r="K3030" t="str">
        <x:v>Source min 32,36 m ; max 32,36 m ; modèle 32 × 36 m ; niveaux 0, 1. Détails dans catalogue-existant.json.</x:v>
      </x:c>
    </x:row>
    <x:row r="3031">
      <x:c r="A3031" t="str">
        <x:v>DW-3026</x:v>
      </x:c>
      <x:c r="B3031" t="str">
        <x:v>DW-3026</x:v>
      </x:c>
      <x:c r="C3031" t="str">
        <x:v>Parent indépendant 1.58</x:v>
      </x:c>
      <x:c r="D3031" t="str">
        <x:v>Habitat individuel</x:v>
      </x:c>
      <x:c r="E3031" t="str">
        <x:v>Maison de retour de convalescence</x:v>
      </x:c>
      <x:c r="F3031" t="n">
        <x:v>9</x:v>
      </x:c>
      <x:c r="G3031" t="n">
        <x:v>8</x:v>
      </x:c>
      <x:c r="H3031" t="n">
        <x:v>8</x:v>
      </x:c>
      <x:c r="I3031" t="str">
        <x:v>À qualifier par lieu</x:v>
      </x:c>
      <x:c r="J3031" t="str">
        <x:v>https://github.com/darknigthmare/deadwall-last-enclosure/blob/e28f46223e73105ab2c5d83f3d50b99b58ef53e6/codex-3000/addendum-1.58/PROGRAMMES_A.json</x:v>
      </x:c>
      <x:c r="K3031" t="str">
        <x:v>Source min 32,36 m ; max 32,36 m ; modèle 32 × 36 m ; niveaux 0, 1. Détails dans catalogue-existant.json.</x:v>
      </x:c>
    </x:row>
    <x:row r="3032">
      <x:c r="A3032" t="str">
        <x:v>DW-3027</x:v>
      </x:c>
      <x:c r="B3032" t="str">
        <x:v>DW-3027</x:v>
      </x:c>
      <x:c r="C3032" t="str">
        <x:v>Parent indépendant 1.58</x:v>
      </x:c>
      <x:c r="D3032" t="str">
        <x:v>Habitat individuel</x:v>
      </x:c>
      <x:c r="E3032" t="str">
        <x:v>Habitat de lecture tactile</x:v>
      </x:c>
      <x:c r="F3032" t="n">
        <x:v>9</x:v>
      </x:c>
      <x:c r="G3032" t="n">
        <x:v>8</x:v>
      </x:c>
      <x:c r="H3032" t="n">
        <x:v>8</x:v>
      </x:c>
      <x:c r="I3032" t="str">
        <x:v>À qualifier par lieu</x:v>
      </x:c>
      <x:c r="J3032" t="str">
        <x:v>https://github.com/darknigthmare/deadwall-last-enclosure/blob/e28f46223e73105ab2c5d83f3d50b99b58ef53e6/codex-3000/addendum-1.58/PROGRAMMES_A.json</x:v>
      </x:c>
      <x:c r="K3032" t="str">
        <x:v>Source min 32,36 m ; max 32,36 m ; modèle 32 × 36 m ; niveaux 0, 1. Détails dans catalogue-existant.json.</x:v>
      </x:c>
    </x:row>
    <x:row r="3033">
      <x:c r="A3033" t="str">
        <x:v>DW-3028</x:v>
      </x:c>
      <x:c r="B3033" t="str">
        <x:v>DW-3028</x:v>
      </x:c>
      <x:c r="C3033" t="str">
        <x:v>Parent indépendant 1.58</x:v>
      </x:c>
      <x:c r="D3033" t="str">
        <x:v>Habitat individuel</x:v>
      </x:c>
      <x:c r="E3033" t="str">
        <x:v>Maison de mobilité accompagnée</x:v>
      </x:c>
      <x:c r="F3033" t="n">
        <x:v>9</x:v>
      </x:c>
      <x:c r="G3033" t="n">
        <x:v>8</x:v>
      </x:c>
      <x:c r="H3033" t="n">
        <x:v>8</x:v>
      </x:c>
      <x:c r="I3033" t="str">
        <x:v>À qualifier par lieu</x:v>
      </x:c>
      <x:c r="J3033" t="str">
        <x:v>https://github.com/darknigthmare/deadwall-last-enclosure/blob/e28f46223e73105ab2c5d83f3d50b99b58ef53e6/codex-3000/addendum-1.58/PROGRAMMES_A.json</x:v>
      </x:c>
      <x:c r="K3033" t="str">
        <x:v>Source min 32,36 m ; max 32,36 m ; modèle 32 × 36 m ; niveaux 0, 1. Détails dans catalogue-existant.json.</x:v>
      </x:c>
    </x:row>
    <x:row r="3034">
      <x:c r="A3034" t="str">
        <x:v>DW-3029</x:v>
      </x:c>
      <x:c r="B3034" t="str">
        <x:v>DW-3029</x:v>
      </x:c>
      <x:c r="C3034" t="str">
        <x:v>Parent indépendant 1.58</x:v>
      </x:c>
      <x:c r="D3034" t="str">
        <x:v>Habitat individuel</x:v>
      </x:c>
      <x:c r="E3034" t="str">
        <x:v>Habitat à cuisine nutritionnelle</x:v>
      </x:c>
      <x:c r="F3034" t="n">
        <x:v>9</x:v>
      </x:c>
      <x:c r="G3034" t="n">
        <x:v>8</x:v>
      </x:c>
      <x:c r="H3034" t="n">
        <x:v>8</x:v>
      </x:c>
      <x:c r="I3034" t="str">
        <x:v>À qualifier par lieu</x:v>
      </x:c>
      <x:c r="J3034" t="str">
        <x:v>https://github.com/darknigthmare/deadwall-last-enclosure/blob/e28f46223e73105ab2c5d83f3d50b99b58ef53e6/codex-3000/addendum-1.58/PROGRAMMES_A.json</x:v>
      </x:c>
      <x:c r="K3034" t="str">
        <x:v>Source min 32,36 m ; max 32,36 m ; modèle 32 × 36 m ; niveaux 0, 1. Détails dans catalogue-existant.json.</x:v>
      </x:c>
    </x:row>
    <x:row r="3035">
      <x:c r="A3035" t="str">
        <x:v>DW-3030</x:v>
      </x:c>
      <x:c r="B3035" t="str">
        <x:v>DW-3030</x:v>
      </x:c>
      <x:c r="C3035" t="str">
        <x:v>Parent indépendant 1.58</x:v>
      </x:c>
      <x:c r="D3035" t="str">
        <x:v>Habitat individuel</x:v>
      </x:c>
      <x:c r="E3035" t="str">
        <x:v>Maison de repas intergénérationnels</x:v>
      </x:c>
      <x:c r="F3035" t="n">
        <x:v>9</x:v>
      </x:c>
      <x:c r="G3035" t="n">
        <x:v>8</x:v>
      </x:c>
      <x:c r="H3035" t="n">
        <x:v>8</x:v>
      </x:c>
      <x:c r="I3035" t="str">
        <x:v>À qualifier par lieu</x:v>
      </x:c>
      <x:c r="J3035" t="str">
        <x:v>https://github.com/darknigthmare/deadwall-last-enclosure/blob/e28f46223e73105ab2c5d83f3d50b99b58ef53e6/codex-3000/addendum-1.58/PROGRAMMES_A.json</x:v>
      </x:c>
      <x:c r="K3035" t="str">
        <x:v>Source min 32,36 m ; max 32,36 m ; modèle 32 × 36 m ; niveaux 0, 1. Détails dans catalogue-existant.json.</x:v>
      </x:c>
    </x:row>
    <x:row r="3036">
      <x:c r="A3036" t="str">
        <x:v>DW-3031</x:v>
      </x:c>
      <x:c r="B3036" t="str">
        <x:v>DW-3031</x:v>
      </x:c>
      <x:c r="C3036" t="str">
        <x:v>Parent indépendant 1.58</x:v>
      </x:c>
      <x:c r="D3036" t="str">
        <x:v>Habitat individuel</x:v>
      </x:c>
      <x:c r="E3036" t="str">
        <x:v>Maison de mémoire familiale</x:v>
      </x:c>
      <x:c r="F3036" t="n">
        <x:v>9</x:v>
      </x:c>
      <x:c r="G3036" t="n">
        <x:v>8</x:v>
      </x:c>
      <x:c r="H3036" t="n">
        <x:v>8</x:v>
      </x:c>
      <x:c r="I3036" t="str">
        <x:v>À qualifier par lieu</x:v>
      </x:c>
      <x:c r="J3036" t="str">
        <x:v>https://github.com/darknigthmare/deadwall-last-enclosure/blob/e28f46223e73105ab2c5d83f3d50b99b58ef53e6/codex-3000/addendum-1.58/PROGRAMMES_A.json</x:v>
      </x:c>
      <x:c r="K3036" t="str">
        <x:v>Source min 32,36 m ; max 32,36 m ; modèle 32 × 36 m ; niveaux 0, 1. Détails dans catalogue-existant.json.</x:v>
      </x:c>
    </x:row>
    <x:row r="3037">
      <x:c r="A3037" t="str">
        <x:v>DW-3032</x:v>
      </x:c>
      <x:c r="B3037" t="str">
        <x:v>DW-3032</x:v>
      </x:c>
      <x:c r="C3037" t="str">
        <x:v>Parent indépendant 1.58</x:v>
      </x:c>
      <x:c r="D3037" t="str">
        <x:v>Habitat individuel</x:v>
      </x:c>
      <x:c r="E3037" t="str">
        <x:v>Habitation de traduction à domicile</x:v>
      </x:c>
      <x:c r="F3037" t="n">
        <x:v>9</x:v>
      </x:c>
      <x:c r="G3037" t="n">
        <x:v>8</x:v>
      </x:c>
      <x:c r="H3037" t="n">
        <x:v>8</x:v>
      </x:c>
      <x:c r="I3037" t="str">
        <x:v>À qualifier par lieu</x:v>
      </x:c>
      <x:c r="J3037" t="str">
        <x:v>https://github.com/darknigthmare/deadwall-last-enclosure/blob/e28f46223e73105ab2c5d83f3d50b99b58ef53e6/codex-3000/addendum-1.58/PROGRAMMES_A.json</x:v>
      </x:c>
      <x:c r="K3037" t="str">
        <x:v>Source min 32,36 m ; max 32,36 m ; modèle 32 × 36 m ; niveaux 0, 1. Détails dans catalogue-existant.json.</x:v>
      </x:c>
    </x:row>
    <x:row r="3038">
      <x:c r="A3038" t="str">
        <x:v>DW-3033</x:v>
      </x:c>
      <x:c r="B3038" t="str">
        <x:v>DW-3033</x:v>
      </x:c>
      <x:c r="C3038" t="str">
        <x:v>Parent indépendant 1.58</x:v>
      </x:c>
      <x:c r="D3038" t="str">
        <x:v>Habitat individuel</x:v>
      </x:c>
      <x:c r="E3038" t="str">
        <x:v>Maison d'étude acoustique domestique</x:v>
      </x:c>
      <x:c r="F3038" t="n">
        <x:v>9</x:v>
      </x:c>
      <x:c r="G3038" t="n">
        <x:v>8</x:v>
      </x:c>
      <x:c r="H3038" t="n">
        <x:v>8</x:v>
      </x:c>
      <x:c r="I3038" t="str">
        <x:v>À qualifier par lieu</x:v>
      </x:c>
      <x:c r="J3038" t="str">
        <x:v>https://github.com/darknigthmare/deadwall-last-enclosure/blob/e28f46223e73105ab2c5d83f3d50b99b58ef53e6/codex-3000/addendum-1.58/PROGRAMMES_A.json</x:v>
      </x:c>
      <x:c r="K3038" t="str">
        <x:v>Source min 32,36 m ; max 32,36 m ; modèle 32 × 36 m ; niveaux 0, 1. Détails dans catalogue-existant.json.</x:v>
      </x:c>
    </x:row>
    <x:row r="3039">
      <x:c r="A3039" t="str">
        <x:v>DW-3034</x:v>
      </x:c>
      <x:c r="B3039" t="str">
        <x:v>DW-3034</x:v>
      </x:c>
      <x:c r="C3039" t="str">
        <x:v>Parent indépendant 1.58</x:v>
      </x:c>
      <x:c r="D3039" t="str">
        <x:v>Habitat individuel</x:v>
      </x:c>
      <x:c r="E3039" t="str">
        <x:v>Habitat de couture partagée</x:v>
      </x:c>
      <x:c r="F3039" t="n">
        <x:v>9</x:v>
      </x:c>
      <x:c r="G3039" t="n">
        <x:v>8</x:v>
      </x:c>
      <x:c r="H3039" t="n">
        <x:v>8</x:v>
      </x:c>
      <x:c r="I3039" t="str">
        <x:v>À qualifier par lieu</x:v>
      </x:c>
      <x:c r="J3039" t="str">
        <x:v>https://github.com/darknigthmare/deadwall-last-enclosure/blob/e28f46223e73105ab2c5d83f3d50b99b58ef53e6/codex-3000/addendum-1.58/PROGRAMMES_A.json</x:v>
      </x:c>
      <x:c r="K3039" t="str">
        <x:v>Source min 32,36 m ; max 32,36 m ; modèle 32 × 36 m ; niveaux 0, 1. Détails dans catalogue-existant.json.</x:v>
      </x:c>
    </x:row>
    <x:row r="3040">
      <x:c r="A3040" t="str">
        <x:v>DW-3035</x:v>
      </x:c>
      <x:c r="B3040" t="str">
        <x:v>DW-3035</x:v>
      </x:c>
      <x:c r="C3040" t="str">
        <x:v>Parent indépendant 1.58</x:v>
      </x:c>
      <x:c r="D3040" t="str">
        <x:v>Habitat individuel</x:v>
      </x:c>
      <x:c r="E3040" t="str">
        <x:v>Maison de conservation de semences</x:v>
      </x:c>
      <x:c r="F3040" t="n">
        <x:v>9</x:v>
      </x:c>
      <x:c r="G3040" t="n">
        <x:v>8</x:v>
      </x:c>
      <x:c r="H3040" t="n">
        <x:v>8</x:v>
      </x:c>
      <x:c r="I3040" t="str">
        <x:v>À qualifier par lieu</x:v>
      </x:c>
      <x:c r="J3040" t="str">
        <x:v>https://github.com/darknigthmare/deadwall-last-enclosure/blob/e28f46223e73105ab2c5d83f3d50b99b58ef53e6/codex-3000/addendum-1.58/PROGRAMMES_A.json</x:v>
      </x:c>
      <x:c r="K3040" t="str">
        <x:v>Source min 32,36 m ; max 32,36 m ; modèle 32 × 36 m ; niveaux 0, 1. Détails dans catalogue-existant.json.</x:v>
      </x:c>
    </x:row>
    <x:row r="3041">
      <x:c r="A3041" t="str">
        <x:v>DW-3036</x:v>
      </x:c>
      <x:c r="B3041" t="str">
        <x:v>DW-3036</x:v>
      </x:c>
      <x:c r="C3041" t="str">
        <x:v>Parent indépendant 1.58</x:v>
      </x:c>
      <x:c r="D3041" t="str">
        <x:v>Habitat individuel</x:v>
      </x:c>
      <x:c r="E3041" t="str">
        <x:v>Habitation de jardinier de collections</x:v>
      </x:c>
      <x:c r="F3041" t="n">
        <x:v>9</x:v>
      </x:c>
      <x:c r="G3041" t="n">
        <x:v>8</x:v>
      </x:c>
      <x:c r="H3041" t="n">
        <x:v>8</x:v>
      </x:c>
      <x:c r="I3041" t="str">
        <x:v>À qualifier par lieu</x:v>
      </x:c>
      <x:c r="J3041" t="str">
        <x:v>https://github.com/darknigthmare/deadwall-last-enclosure/blob/e28f46223e73105ab2c5d83f3d50b99b58ef53e6/codex-3000/addendum-1.58/PROGRAMMES_A.json</x:v>
      </x:c>
      <x:c r="K3041" t="str">
        <x:v>Source min 32,36 m ; max 32,36 m ; modèle 32 × 36 m ; niveaux 0, 1. Détails dans catalogue-existant.json.</x:v>
      </x:c>
    </x:row>
    <x:row r="3042">
      <x:c r="A3042" t="str">
        <x:v>DW-3037</x:v>
      </x:c>
      <x:c r="B3042" t="str">
        <x:v>DW-3037</x:v>
      </x:c>
      <x:c r="C3042" t="str">
        <x:v>Parent indépendant 1.58</x:v>
      </x:c>
      <x:c r="D3042" t="str">
        <x:v>Habitat individuel</x:v>
      </x:c>
      <x:c r="E3042" t="str">
        <x:v>Maison de préparation de randonnées</x:v>
      </x:c>
      <x:c r="F3042" t="n">
        <x:v>9</x:v>
      </x:c>
      <x:c r="G3042" t="n">
        <x:v>8</x:v>
      </x:c>
      <x:c r="H3042" t="n">
        <x:v>8</x:v>
      </x:c>
      <x:c r="I3042" t="str">
        <x:v>À qualifier par lieu</x:v>
      </x:c>
      <x:c r="J3042" t="str">
        <x:v>https://github.com/darknigthmare/deadwall-last-enclosure/blob/e28f46223e73105ab2c5d83f3d50b99b58ef53e6/codex-3000/addendum-1.58/PROGRAMMES_A.json</x:v>
      </x:c>
      <x:c r="K3042" t="str">
        <x:v>Source min 32,36 m ; max 32,36 m ; modèle 32 × 36 m ; niveaux 0, 1. Détails dans catalogue-existant.json.</x:v>
      </x:c>
    </x:row>
    <x:row r="3043">
      <x:c r="A3043" t="str">
        <x:v>DW-3038</x:v>
      </x:c>
      <x:c r="B3043" t="str">
        <x:v>DW-3038</x:v>
      </x:c>
      <x:c r="C3043" t="str">
        <x:v>Parent indépendant 1.58</x:v>
      </x:c>
      <x:c r="D3043" t="str">
        <x:v>Habitat individuel</x:v>
      </x:c>
      <x:c r="E3043" t="str">
        <x:v>Habitat d'entretien de cycles familiaux</x:v>
      </x:c>
      <x:c r="F3043" t="n">
        <x:v>9</x:v>
      </x:c>
      <x:c r="G3043" t="n">
        <x:v>8</x:v>
      </x:c>
      <x:c r="H3043" t="n">
        <x:v>8</x:v>
      </x:c>
      <x:c r="I3043" t="str">
        <x:v>À qualifier par lieu</x:v>
      </x:c>
      <x:c r="J3043" t="str">
        <x:v>https://github.com/darknigthmare/deadwall-last-enclosure/blob/e28f46223e73105ab2c5d83f3d50b99b58ef53e6/codex-3000/addendum-1.58/PROGRAMMES_A.json</x:v>
      </x:c>
      <x:c r="K3043" t="str">
        <x:v>Source min 32,36 m ; max 32,36 m ; modèle 32 × 36 m ; niveaux 0, 1. Détails dans catalogue-existant.json.</x:v>
      </x:c>
    </x:row>
    <x:row r="3044">
      <x:c r="A3044" t="str">
        <x:v>DW-3039</x:v>
      </x:c>
      <x:c r="B3044" t="str">
        <x:v>DW-3039</x:v>
      </x:c>
      <x:c r="C3044" t="str">
        <x:v>Parent indépendant 1.58</x:v>
      </x:c>
      <x:c r="D3044" t="str">
        <x:v>Habitat individuel</x:v>
      </x:c>
      <x:c r="E3044" t="str">
        <x:v>Maison de cuisine de bocaux</x:v>
      </x:c>
      <x:c r="F3044" t="n">
        <x:v>9</x:v>
      </x:c>
      <x:c r="G3044" t="n">
        <x:v>8</x:v>
      </x:c>
      <x:c r="H3044" t="n">
        <x:v>8</x:v>
      </x:c>
      <x:c r="I3044" t="str">
        <x:v>À qualifier par lieu</x:v>
      </x:c>
      <x:c r="J3044" t="str">
        <x:v>https://github.com/darknigthmare/deadwall-last-enclosure/blob/e28f46223e73105ab2c5d83f3d50b99b58ef53e6/codex-3000/addendum-1.58/PROGRAMMES_A.json</x:v>
      </x:c>
      <x:c r="K3044" t="str">
        <x:v>Source min 32,36 m ; max 32,36 m ; modèle 32 × 36 m ; niveaux 0, 1. Détails dans catalogue-existant.json.</x:v>
      </x:c>
    </x:row>
    <x:row r="3045">
      <x:c r="A3045" t="str">
        <x:v>DW-3040</x:v>
      </x:c>
      <x:c r="B3045" t="str">
        <x:v>DW-3040</x:v>
      </x:c>
      <x:c r="C3045" t="str">
        <x:v>Parent indépendant 1.58</x:v>
      </x:c>
      <x:c r="D3045" t="str">
        <x:v>Habitat individuel</x:v>
      </x:c>
      <x:c r="E3045" t="str">
        <x:v>Habitat de photographie argentique</x:v>
      </x:c>
      <x:c r="F3045" t="n">
        <x:v>9</x:v>
      </x:c>
      <x:c r="G3045" t="n">
        <x:v>8</x:v>
      </x:c>
      <x:c r="H3045" t="n">
        <x:v>8</x:v>
      </x:c>
      <x:c r="I3045" t="str">
        <x:v>À qualifier par lieu</x:v>
      </x:c>
      <x:c r="J3045" t="str">
        <x:v>https://github.com/darknigthmare/deadwall-last-enclosure/blob/e28f46223e73105ab2c5d83f3d50b99b58ef53e6/codex-3000/addendum-1.58/PROGRAMMES_A.json</x:v>
      </x:c>
      <x:c r="K3045" t="str">
        <x:v>Source min 32,36 m ; max 32,36 m ; modèle 32 × 36 m ; niveaux 0, 1. Détails dans catalogue-existant.json.</x:v>
      </x:c>
    </x:row>
    <x:row r="3046">
      <x:c r="A3046" t="str">
        <x:v>DW-3041</x:v>
      </x:c>
      <x:c r="B3046" t="str">
        <x:v>DW-3041</x:v>
      </x:c>
      <x:c r="C3046" t="str">
        <x:v>Parent indépendant 1.58</x:v>
      </x:c>
      <x:c r="D3046" t="str">
        <x:v>Habitat collectif</x:v>
      </x:c>
      <x:c r="E3046" t="str">
        <x:v>Résidence de personnels de nuit</x:v>
      </x:c>
      <x:c r="F3046" t="n">
        <x:v>9</x:v>
      </x:c>
      <x:c r="G3046" t="n">
        <x:v>8</x:v>
      </x:c>
      <x:c r="H3046" t="n">
        <x:v>8</x:v>
      </x:c>
      <x:c r="I3046" t="str">
        <x:v>À qualifier par lieu</x:v>
      </x:c>
      <x:c r="J3046" t="str">
        <x:v>https://github.com/darknigthmare/deadwall-last-enclosure/blob/e28f46223e73105ab2c5d83f3d50b99b58ef53e6/codex-3000/addendum-1.58/PROGRAMMES_A.json</x:v>
      </x:c>
      <x:c r="K3046" t="str">
        <x:v>Source min 38,36 m ; max 38,36 m ; modèle 38 × 36 m ; niveaux 0, 1. Détails dans catalogue-existant.json.</x:v>
      </x:c>
    </x:row>
    <x:row r="3047">
      <x:c r="A3047" t="str">
        <x:v>DW-3042</x:v>
      </x:c>
      <x:c r="B3047" t="str">
        <x:v>DW-3042</x:v>
      </x:c>
      <x:c r="C3047" t="str">
        <x:v>Parent indépendant 1.58</x:v>
      </x:c>
      <x:c r="D3047" t="str">
        <x:v>Habitat collectif</x:v>
      </x:c>
      <x:c r="E3047" t="str">
        <x:v>Logements d'astreinte électrique</x:v>
      </x:c>
      <x:c r="F3047" t="n">
        <x:v>9</x:v>
      </x:c>
      <x:c r="G3047" t="n">
        <x:v>8</x:v>
      </x:c>
      <x:c r="H3047" t="n">
        <x:v>8</x:v>
      </x:c>
      <x:c r="I3047" t="str">
        <x:v>À qualifier par lieu</x:v>
      </x:c>
      <x:c r="J3047" t="str">
        <x:v>https://github.com/darknigthmare/deadwall-last-enclosure/blob/e28f46223e73105ab2c5d83f3d50b99b58ef53e6/codex-3000/addendum-1.58/PROGRAMMES_A.json</x:v>
      </x:c>
      <x:c r="K3047" t="str">
        <x:v>Source min 38,36 m ; max 38,36 m ; modèle 38 × 36 m ; niveaux 0, 1. Détails dans catalogue-existant.json.</x:v>
      </x:c>
    </x:row>
    <x:row r="3048">
      <x:c r="A3048" t="str">
        <x:v>DW-3043</x:v>
      </x:c>
      <x:c r="B3048" t="str">
        <x:v>DW-3043</x:v>
      </x:c>
      <x:c r="C3048" t="str">
        <x:v>Parent indépendant 1.58</x:v>
      </x:c>
      <x:c r="D3048" t="str">
        <x:v>Habitat collectif</x:v>
      </x:c>
      <x:c r="E3048" t="str">
        <x:v>Foyer de marins à terre</x:v>
      </x:c>
      <x:c r="F3048" t="n">
        <x:v>9</x:v>
      </x:c>
      <x:c r="G3048" t="n">
        <x:v>8</x:v>
      </x:c>
      <x:c r="H3048" t="n">
        <x:v>8</x:v>
      </x:c>
      <x:c r="I3048" t="str">
        <x:v>À qualifier par lieu</x:v>
      </x:c>
      <x:c r="J3048" t="str">
        <x:v>https://github.com/darknigthmare/deadwall-last-enclosure/blob/e28f46223e73105ab2c5d83f3d50b99b58ef53e6/codex-3000/addendum-1.58/PROGRAMMES_A.json</x:v>
      </x:c>
      <x:c r="K3048" t="str">
        <x:v>Source min 38,36 m ; max 38,36 m ; modèle 38 × 36 m ; niveaux 0, 1. Détails dans catalogue-existant.json.</x:v>
      </x:c>
    </x:row>
    <x:row r="3049">
      <x:c r="A3049" t="str">
        <x:v>DW-3044</x:v>
      </x:c>
      <x:c r="B3049" t="str">
        <x:v>DW-3044</x:v>
      </x:c>
      <x:c r="C3049" t="str">
        <x:v>Parent indépendant 1.58</x:v>
      </x:c>
      <x:c r="D3049" t="str">
        <x:v>Habitat collectif</x:v>
      </x:c>
      <x:c r="E3049" t="str">
        <x:v>Habitat de travailleurs du froid</x:v>
      </x:c>
      <x:c r="F3049" t="n">
        <x:v>9</x:v>
      </x:c>
      <x:c r="G3049" t="n">
        <x:v>8</x:v>
      </x:c>
      <x:c r="H3049" t="n">
        <x:v>8</x:v>
      </x:c>
      <x:c r="I3049" t="str">
        <x:v>À qualifier par lieu</x:v>
      </x:c>
      <x:c r="J3049" t="str">
        <x:v>https://github.com/darknigthmare/deadwall-last-enclosure/blob/e28f46223e73105ab2c5d83f3d50b99b58ef53e6/codex-3000/addendum-1.58/PROGRAMMES_A.json</x:v>
      </x:c>
      <x:c r="K3049" t="str">
        <x:v>Source min 38,36 m ; max 38,36 m ; modèle 38 × 36 m ; niveaux 0, 1. Détails dans catalogue-existant.json.</x:v>
      </x:c>
    </x:row>
    <x:row r="3050">
      <x:c r="A3050" t="str">
        <x:v>DW-3045</x:v>
      </x:c>
      <x:c r="B3050" t="str">
        <x:v>DW-3045</x:v>
      </x:c>
      <x:c r="C3050" t="str">
        <x:v>Parent indépendant 1.58</x:v>
      </x:c>
      <x:c r="D3050" t="str">
        <x:v>Habitat collectif</x:v>
      </x:c>
      <x:c r="E3050" t="str">
        <x:v>Résidence de tourneurs itinérants</x:v>
      </x:c>
      <x:c r="F3050" t="n">
        <x:v>9</x:v>
      </x:c>
      <x:c r="G3050" t="n">
        <x:v>8</x:v>
      </x:c>
      <x:c r="H3050" t="n">
        <x:v>8</x:v>
      </x:c>
      <x:c r="I3050" t="str">
        <x:v>À qualifier par lieu</x:v>
      </x:c>
      <x:c r="J3050" t="str">
        <x:v>https://github.com/darknigthmare/deadwall-last-enclosure/blob/e28f46223e73105ab2c5d83f3d50b99b58ef53e6/codex-3000/addendum-1.58/PROGRAMMES_A.json</x:v>
      </x:c>
      <x:c r="K3050" t="str">
        <x:v>Source min 38,36 m ; max 38,36 m ; modèle 38 × 36 m ; niveaux 0, 1. Détails dans catalogue-existant.json.</x:v>
      </x:c>
    </x:row>
    <x:row r="3051">
      <x:c r="A3051" t="str">
        <x:v>DW-3046</x:v>
      </x:c>
      <x:c r="B3051" t="str">
        <x:v>DW-3046</x:v>
      </x:c>
      <x:c r="C3051" t="str">
        <x:v>Parent indépendant 1.58</x:v>
      </x:c>
      <x:c r="D3051" t="str">
        <x:v>Habitat collectif</x:v>
      </x:c>
      <x:c r="E3051" t="str">
        <x:v>Logements de mineurs en rotation</x:v>
      </x:c>
      <x:c r="F3051" t="n">
        <x:v>9</x:v>
      </x:c>
      <x:c r="G3051" t="n">
        <x:v>8</x:v>
      </x:c>
      <x:c r="H3051" t="n">
        <x:v>8</x:v>
      </x:c>
      <x:c r="I3051" t="str">
        <x:v>À qualifier par lieu</x:v>
      </x:c>
      <x:c r="J3051" t="str">
        <x:v>https://github.com/darknigthmare/deadwall-last-enclosure/blob/e28f46223e73105ab2c5d83f3d50b99b58ef53e6/codex-3000/addendum-1.58/PROGRAMMES_A.json</x:v>
      </x:c>
      <x:c r="K3051" t="str">
        <x:v>Source min 38,36 m ; max 38,36 m ; modèle 38 × 36 m ; niveaux 0, 1. Détails dans catalogue-existant.json.</x:v>
      </x:c>
    </x:row>
    <x:row r="3052">
      <x:c r="A3052" t="str">
        <x:v>DW-3047</x:v>
      </x:c>
      <x:c r="B3052" t="str">
        <x:v>DW-3047</x:v>
      </x:c>
      <x:c r="C3052" t="str">
        <x:v>Parent indépendant 1.58</x:v>
      </x:c>
      <x:c r="D3052" t="str">
        <x:v>Habitat collectif</x:v>
      </x:c>
      <x:c r="E3052" t="str">
        <x:v>Foyer de machinistes de théâtre</x:v>
      </x:c>
      <x:c r="F3052" t="n">
        <x:v>9</x:v>
      </x:c>
      <x:c r="G3052" t="n">
        <x:v>8</x:v>
      </x:c>
      <x:c r="H3052" t="n">
        <x:v>8</x:v>
      </x:c>
      <x:c r="I3052" t="str">
        <x:v>À qualifier par lieu</x:v>
      </x:c>
      <x:c r="J3052" t="str">
        <x:v>https://github.com/darknigthmare/deadwall-last-enclosure/blob/e28f46223e73105ab2c5d83f3d50b99b58ef53e6/codex-3000/addendum-1.58/PROGRAMMES_A.json</x:v>
      </x:c>
      <x:c r="K3052" t="str">
        <x:v>Source min 38,36 m ; max 38,36 m ; modèle 38 × 36 m ; niveaux 0, 1. Détails dans catalogue-existant.json.</x:v>
      </x:c>
    </x:row>
    <x:row r="3053">
      <x:c r="A3053" t="str">
        <x:v>DW-3048</x:v>
      </x:c>
      <x:c r="B3053" t="str">
        <x:v>DW-3048</x:v>
      </x:c>
      <x:c r="C3053" t="str">
        <x:v>Parent indépendant 1.58</x:v>
      </x:c>
      <x:c r="D3053" t="str">
        <x:v>Habitat collectif</x:v>
      </x:c>
      <x:c r="E3053" t="str">
        <x:v>Résidence de saisonniers de verger</x:v>
      </x:c>
      <x:c r="F3053" t="n">
        <x:v>9</x:v>
      </x:c>
      <x:c r="G3053" t="n">
        <x:v>8</x:v>
      </x:c>
      <x:c r="H3053" t="n">
        <x:v>8</x:v>
      </x:c>
      <x:c r="I3053" t="str">
        <x:v>À qualifier par lieu</x:v>
      </x:c>
      <x:c r="J3053" t="str">
        <x:v>https://github.com/darknigthmare/deadwall-last-enclosure/blob/e28f46223e73105ab2c5d83f3d50b99b58ef53e6/codex-3000/addendum-1.58/PROGRAMMES_A.json</x:v>
      </x:c>
      <x:c r="K3053" t="str">
        <x:v>Source min 38,36 m ; max 38,36 m ; modèle 38 × 36 m ; niveaux 0, 1. Détails dans catalogue-existant.json.</x:v>
      </x:c>
    </x:row>
    <x:row r="3054">
      <x:c r="A3054" t="str">
        <x:v>DW-3049</x:v>
      </x:c>
      <x:c r="B3054" t="str">
        <x:v>DW-3049</x:v>
      </x:c>
      <x:c r="C3054" t="str">
        <x:v>Parent indépendant 1.58</x:v>
      </x:c>
      <x:c r="D3054" t="str">
        <x:v>Habitat collectif</x:v>
      </x:c>
      <x:c r="E3054" t="str">
        <x:v>Logements d'apprentis boulangers</x:v>
      </x:c>
      <x:c r="F3054" t="n">
        <x:v>9</x:v>
      </x:c>
      <x:c r="G3054" t="n">
        <x:v>8</x:v>
      </x:c>
      <x:c r="H3054" t="n">
        <x:v>8</x:v>
      </x:c>
      <x:c r="I3054" t="str">
        <x:v>À qualifier par lieu</x:v>
      </x:c>
      <x:c r="J3054" t="str">
        <x:v>https://github.com/darknigthmare/deadwall-last-enclosure/blob/e28f46223e73105ab2c5d83f3d50b99b58ef53e6/codex-3000/addendum-1.58/PROGRAMMES_A.json</x:v>
      </x:c>
      <x:c r="K3054" t="str">
        <x:v>Source min 38,36 m ; max 38,36 m ; modèle 38 × 36 m ; niveaux 0, 1. Détails dans catalogue-existant.json.</x:v>
      </x:c>
    </x:row>
    <x:row r="3055">
      <x:c r="A3055" t="str">
        <x:v>DW-3050</x:v>
      </x:c>
      <x:c r="B3055" t="str">
        <x:v>DW-3050</x:v>
      </x:c>
      <x:c r="C3055" t="str">
        <x:v>Parent indépendant 1.58</x:v>
      </x:c>
      <x:c r="D3055" t="str">
        <x:v>Habitat collectif</x:v>
      </x:c>
      <x:c r="E3055" t="str">
        <x:v>Habitat de compagnons charpentiers</x:v>
      </x:c>
      <x:c r="F3055" t="n">
        <x:v>9</x:v>
      </x:c>
      <x:c r="G3055" t="n">
        <x:v>8</x:v>
      </x:c>
      <x:c r="H3055" t="n">
        <x:v>8</x:v>
      </x:c>
      <x:c r="I3055" t="str">
        <x:v>À qualifier par lieu</x:v>
      </x:c>
      <x:c r="J3055" t="str">
        <x:v>https://github.com/darknigthmare/deadwall-last-enclosure/blob/e28f46223e73105ab2c5d83f3d50b99b58ef53e6/codex-3000/addendum-1.58/PROGRAMMES_A.json</x:v>
      </x:c>
      <x:c r="K3055" t="str">
        <x:v>Source min 38,36 m ; max 38,36 m ; modèle 38 × 36 m ; niveaux 0, 1. Détails dans catalogue-existant.json.</x:v>
      </x:c>
    </x:row>
    <x:row r="3056">
      <x:c r="A3056" t="str">
        <x:v>DW-3051</x:v>
      </x:c>
      <x:c r="B3056" t="str">
        <x:v>DW-3051</x:v>
      </x:c>
      <x:c r="C3056" t="str">
        <x:v>Parent indépendant 1.58</x:v>
      </x:c>
      <x:c r="D3056" t="str">
        <x:v>Habitat collectif</x:v>
      </x:c>
      <x:c r="E3056" t="str">
        <x:v>Résidence de chauffeurs en relève</x:v>
      </x:c>
      <x:c r="F3056" t="n">
        <x:v>9</x:v>
      </x:c>
      <x:c r="G3056" t="n">
        <x:v>8</x:v>
      </x:c>
      <x:c r="H3056" t="n">
        <x:v>8</x:v>
      </x:c>
      <x:c r="I3056" t="str">
        <x:v>À qualifier par lieu</x:v>
      </x:c>
      <x:c r="J3056" t="str">
        <x:v>https://github.com/darknigthmare/deadwall-last-enclosure/blob/e28f46223e73105ab2c5d83f3d50b99b58ef53e6/codex-3000/addendum-1.58/PROGRAMMES_A.json</x:v>
      </x:c>
      <x:c r="K3056" t="str">
        <x:v>Source min 38,36 m ; max 38,36 m ; modèle 38 × 36 m ; niveaux 0, 1. Détails dans catalogue-existant.json.</x:v>
      </x:c>
    </x:row>
    <x:row r="3057">
      <x:c r="A3057" t="str">
        <x:v>DW-3052</x:v>
      </x:c>
      <x:c r="B3057" t="str">
        <x:v>DW-3052</x:v>
      </x:c>
      <x:c r="C3057" t="str">
        <x:v>Parent indépendant 1.58</x:v>
      </x:c>
      <x:c r="D3057" t="str">
        <x:v>Habitat collectif</x:v>
      </x:c>
      <x:c r="E3057" t="str">
        <x:v>Logements de convoyeurs civils</x:v>
      </x:c>
      <x:c r="F3057" t="n">
        <x:v>9</x:v>
      </x:c>
      <x:c r="G3057" t="n">
        <x:v>8</x:v>
      </x:c>
      <x:c r="H3057" t="n">
        <x:v>8</x:v>
      </x:c>
      <x:c r="I3057" t="str">
        <x:v>À qualifier par lieu</x:v>
      </x:c>
      <x:c r="J3057" t="str">
        <x:v>https://github.com/darknigthmare/deadwall-last-enclosure/blob/e28f46223e73105ab2c5d83f3d50b99b58ef53e6/codex-3000/addendum-1.58/PROGRAMMES_A.json</x:v>
      </x:c>
      <x:c r="K3057" t="str">
        <x:v>Source min 38,36 m ; max 38,36 m ; modèle 38 × 36 m ; niveaux 0, 1. Détails dans catalogue-existant.json.</x:v>
      </x:c>
    </x:row>
    <x:row r="3058">
      <x:c r="A3058" t="str">
        <x:v>DW-3053</x:v>
      </x:c>
      <x:c r="B3058" t="str">
        <x:v>DW-3053</x:v>
      </x:c>
      <x:c r="C3058" t="str">
        <x:v>Parent indépendant 1.58</x:v>
      </x:c>
      <x:c r="D3058" t="str">
        <x:v>Habitat collectif</x:v>
      </x:c>
      <x:c r="E3058" t="str">
        <x:v>Habitat de restaurateurs d'archives</x:v>
      </x:c>
      <x:c r="F3058" t="n">
        <x:v>9</x:v>
      </x:c>
      <x:c r="G3058" t="n">
        <x:v>8</x:v>
      </x:c>
      <x:c r="H3058" t="n">
        <x:v>8</x:v>
      </x:c>
      <x:c r="I3058" t="str">
        <x:v>À qualifier par lieu</x:v>
      </x:c>
      <x:c r="J3058" t="str">
        <x:v>https://github.com/darknigthmare/deadwall-last-enclosure/blob/e28f46223e73105ab2c5d83f3d50b99b58ef53e6/codex-3000/addendum-1.58/PROGRAMMES_A.json</x:v>
      </x:c>
      <x:c r="K3058" t="str">
        <x:v>Source min 38,36 m ; max 38,36 m ; modèle 38 × 36 m ; niveaux 0, 1. Détails dans catalogue-existant.json.</x:v>
      </x:c>
    </x:row>
    <x:row r="3059">
      <x:c r="A3059" t="str">
        <x:v>DW-3054</x:v>
      </x:c>
      <x:c r="B3059" t="str">
        <x:v>DW-3054</x:v>
      </x:c>
      <x:c r="C3059" t="str">
        <x:v>Parent indépendant 1.58</x:v>
      </x:c>
      <x:c r="D3059" t="str">
        <x:v>Habitat collectif</x:v>
      </x:c>
      <x:c r="E3059" t="str">
        <x:v>Résidence d'équipes de cartographie</x:v>
      </x:c>
      <x:c r="F3059" t="n">
        <x:v>9</x:v>
      </x:c>
      <x:c r="G3059" t="n">
        <x:v>8</x:v>
      </x:c>
      <x:c r="H3059" t="n">
        <x:v>8</x:v>
      </x:c>
      <x:c r="I3059" t="str">
        <x:v>À qualifier par lieu</x:v>
      </x:c>
      <x:c r="J3059" t="str">
        <x:v>https://github.com/darknigthmare/deadwall-last-enclosure/blob/e28f46223e73105ab2c5d83f3d50b99b58ef53e6/codex-3000/addendum-1.58/PROGRAMMES_A.json</x:v>
      </x:c>
      <x:c r="K3059" t="str">
        <x:v>Source min 38,36 m ; max 38,36 m ; modèle 38 × 36 m ; niveaux 0, 1. Détails dans catalogue-existant.json.</x:v>
      </x:c>
    </x:row>
    <x:row r="3060">
      <x:c r="A3060" t="str">
        <x:v>DW-3055</x:v>
      </x:c>
      <x:c r="B3060" t="str">
        <x:v>DW-3055</x:v>
      </x:c>
      <x:c r="C3060" t="str">
        <x:v>Parent indépendant 1.58</x:v>
      </x:c>
      <x:c r="D3060" t="str">
        <x:v>Habitat collectif</x:v>
      </x:c>
      <x:c r="E3060" t="str">
        <x:v>Foyer d'opérateurs de téléphonie</x:v>
      </x:c>
      <x:c r="F3060" t="n">
        <x:v>9</x:v>
      </x:c>
      <x:c r="G3060" t="n">
        <x:v>8</x:v>
      </x:c>
      <x:c r="H3060" t="n">
        <x:v>8</x:v>
      </x:c>
      <x:c r="I3060" t="str">
        <x:v>À qualifier par lieu</x:v>
      </x:c>
      <x:c r="J3060" t="str">
        <x:v>https://github.com/darknigthmare/deadwall-last-enclosure/blob/e28f46223e73105ab2c5d83f3d50b99b58ef53e6/codex-3000/addendum-1.58/PROGRAMMES_A.json</x:v>
      </x:c>
      <x:c r="K3060" t="str">
        <x:v>Source min 38,36 m ; max 38,36 m ; modèle 38 × 36 m ; niveaux 0, 1. Détails dans catalogue-existant.json.</x:v>
      </x:c>
    </x:row>
    <x:row r="3061">
      <x:c r="A3061" t="str">
        <x:v>DW-3056</x:v>
      </x:c>
      <x:c r="B3061" t="str">
        <x:v>DW-3056</x:v>
      </x:c>
      <x:c r="C3061" t="str">
        <x:v>Parent indépendant 1.58</x:v>
      </x:c>
      <x:c r="D3061" t="str">
        <x:v>Habitat collectif</x:v>
      </x:c>
      <x:c r="E3061" t="str">
        <x:v>Logements de gardes de musée</x:v>
      </x:c>
      <x:c r="F3061" t="n">
        <x:v>9</x:v>
      </x:c>
      <x:c r="G3061" t="n">
        <x:v>8</x:v>
      </x:c>
      <x:c r="H3061" t="n">
        <x:v>8</x:v>
      </x:c>
      <x:c r="I3061" t="str">
        <x:v>À qualifier par lieu</x:v>
      </x:c>
      <x:c r="J3061" t="str">
        <x:v>https://github.com/darknigthmare/deadwall-last-enclosure/blob/e28f46223e73105ab2c5d83f3d50b99b58ef53e6/codex-3000/addendum-1.58/PROGRAMMES_A.json</x:v>
      </x:c>
      <x:c r="K3061" t="str">
        <x:v>Source min 38,36 m ; max 38,36 m ; modèle 38 × 36 m ; niveaux 0, 1. Détails dans catalogue-existant.json.</x:v>
      </x:c>
    </x:row>
    <x:row r="3062">
      <x:c r="A3062" t="str">
        <x:v>DW-3057</x:v>
      </x:c>
      <x:c r="B3062" t="str">
        <x:v>DW-3057</x:v>
      </x:c>
      <x:c r="C3062" t="str">
        <x:v>Parent indépendant 1.58</x:v>
      </x:c>
      <x:c r="D3062" t="str">
        <x:v>Habitat collectif</x:v>
      </x:c>
      <x:c r="E3062" t="str">
        <x:v>Résidence de techniciens d'imagerie</x:v>
      </x:c>
      <x:c r="F3062" t="n">
        <x:v>9</x:v>
      </x:c>
      <x:c r="G3062" t="n">
        <x:v>8</x:v>
      </x:c>
      <x:c r="H3062" t="n">
        <x:v>8</x:v>
      </x:c>
      <x:c r="I3062" t="str">
        <x:v>À qualifier par lieu</x:v>
      </x:c>
      <x:c r="J3062" t="str">
        <x:v>https://github.com/darknigthmare/deadwall-last-enclosure/blob/e28f46223e73105ab2c5d83f3d50b99b58ef53e6/codex-3000/addendum-1.58/PROGRAMMES_A.json</x:v>
      </x:c>
      <x:c r="K3062" t="str">
        <x:v>Source min 38,36 m ; max 38,36 m ; modèle 38 × 36 m ; niveaux 0, 1. Détails dans catalogue-existant.json.</x:v>
      </x:c>
    </x:row>
    <x:row r="3063">
      <x:c r="A3063" t="str">
        <x:v>DW-3058</x:v>
      </x:c>
      <x:c r="B3063" t="str">
        <x:v>DW-3058</x:v>
      </x:c>
      <x:c r="C3063" t="str">
        <x:v>Parent indépendant 1.58</x:v>
      </x:c>
      <x:c r="D3063" t="str">
        <x:v>Habitat collectif</x:v>
      </x:c>
      <x:c r="E3063" t="str">
        <x:v>Habitat de préparateurs pharmaceutiques</x:v>
      </x:c>
      <x:c r="F3063" t="n">
        <x:v>9</x:v>
      </x:c>
      <x:c r="G3063" t="n">
        <x:v>8</x:v>
      </x:c>
      <x:c r="H3063" t="n">
        <x:v>8</x:v>
      </x:c>
      <x:c r="I3063" t="str">
        <x:v>À qualifier par lieu</x:v>
      </x:c>
      <x:c r="J3063" t="str">
        <x:v>https://github.com/darknigthmare/deadwall-last-enclosure/blob/e28f46223e73105ab2c5d83f3d50b99b58ef53e6/codex-3000/addendum-1.58/PROGRAMMES_A.json</x:v>
      </x:c>
      <x:c r="K3063" t="str">
        <x:v>Source min 38,36 m ; max 38,36 m ; modèle 38 × 36 m ; niveaux 0, 1. Détails dans catalogue-existant.json.</x:v>
      </x:c>
    </x:row>
    <x:row r="3064">
      <x:c r="A3064" t="str">
        <x:v>DW-3059</x:v>
      </x:c>
      <x:c r="B3064" t="str">
        <x:v>DW-3059</x:v>
      </x:c>
      <x:c r="C3064" t="str">
        <x:v>Parent indépendant 1.58</x:v>
      </x:c>
      <x:c r="D3064" t="str">
        <x:v>Habitat collectif</x:v>
      </x:c>
      <x:c r="E3064" t="str">
        <x:v>Foyer d'aides à domicile</x:v>
      </x:c>
      <x:c r="F3064" t="n">
        <x:v>9</x:v>
      </x:c>
      <x:c r="G3064" t="n">
        <x:v>8</x:v>
      </x:c>
      <x:c r="H3064" t="n">
        <x:v>8</x:v>
      </x:c>
      <x:c r="I3064" t="str">
        <x:v>À qualifier par lieu</x:v>
      </x:c>
      <x:c r="J3064" t="str">
        <x:v>https://github.com/darknigthmare/deadwall-last-enclosure/blob/e28f46223e73105ab2c5d83f3d50b99b58ef53e6/codex-3000/addendum-1.58/PROGRAMMES_A.json</x:v>
      </x:c>
      <x:c r="K3064" t="str">
        <x:v>Source min 38,36 m ; max 38,36 m ; modèle 38 × 36 m ; niveaux 0, 1. Détails dans catalogue-existant.json.</x:v>
      </x:c>
    </x:row>
    <x:row r="3065">
      <x:c r="A3065" t="str">
        <x:v>DW-3060</x:v>
      </x:c>
      <x:c r="B3065" t="str">
        <x:v>DW-3060</x:v>
      </x:c>
      <x:c r="C3065" t="str">
        <x:v>Parent indépendant 1.58</x:v>
      </x:c>
      <x:c r="D3065" t="str">
        <x:v>Habitat collectif</x:v>
      </x:c>
      <x:c r="E3065" t="str">
        <x:v>Logements de cuisiniers de collectivité</x:v>
      </x:c>
      <x:c r="F3065" t="n">
        <x:v>9</x:v>
      </x:c>
      <x:c r="G3065" t="n">
        <x:v>8</x:v>
      </x:c>
      <x:c r="H3065" t="n">
        <x:v>8</x:v>
      </x:c>
      <x:c r="I3065" t="str">
        <x:v>À qualifier par lieu</x:v>
      </x:c>
      <x:c r="J3065" t="str">
        <x:v>https://github.com/darknigthmare/deadwall-last-enclosure/blob/e28f46223e73105ab2c5d83f3d50b99b58ef53e6/codex-3000/addendum-1.58/PROGRAMMES_A.json</x:v>
      </x:c>
      <x:c r="K3065" t="str">
        <x:v>Source min 38,36 m ; max 38,36 m ; modèle 38 × 36 m ; niveaux 0, 1. Détails dans catalogue-existant.json.</x:v>
      </x:c>
    </x:row>
    <x:row r="3066">
      <x:c r="A3066" t="str">
        <x:v>DW-3061</x:v>
      </x:c>
      <x:c r="B3066" t="str">
        <x:v>DW-3061</x:v>
      </x:c>
      <x:c r="C3066" t="str">
        <x:v>Parent indépendant 1.58</x:v>
      </x:c>
      <x:c r="D3066" t="str">
        <x:v>Habitat collectif</x:v>
      </x:c>
      <x:c r="E3066" t="str">
        <x:v>Résidence de médiateurs linguistiques</x:v>
      </x:c>
      <x:c r="F3066" t="n">
        <x:v>9</x:v>
      </x:c>
      <x:c r="G3066" t="n">
        <x:v>8</x:v>
      </x:c>
      <x:c r="H3066" t="n">
        <x:v>8</x:v>
      </x:c>
      <x:c r="I3066" t="str">
        <x:v>À qualifier par lieu</x:v>
      </x:c>
      <x:c r="J3066" t="str">
        <x:v>https://github.com/darknigthmare/deadwall-last-enclosure/blob/e28f46223e73105ab2c5d83f3d50b99b58ef53e6/codex-3000/addendum-1.58/PROGRAMMES_A.json</x:v>
      </x:c>
      <x:c r="K3066" t="str">
        <x:v>Source min 38,36 m ; max 38,36 m ; modèle 38 × 36 m ; niveaux 0, 1. Détails dans catalogue-existant.json.</x:v>
      </x:c>
    </x:row>
    <x:row r="3067">
      <x:c r="A3067" t="str">
        <x:v>DW-3062</x:v>
      </x:c>
      <x:c r="B3067" t="str">
        <x:v>DW-3062</x:v>
      </x:c>
      <x:c r="C3067" t="str">
        <x:v>Parent indépendant 1.58</x:v>
      </x:c>
      <x:c r="D3067" t="str">
        <x:v>Habitat collectif</x:v>
      </x:c>
      <x:c r="E3067" t="str">
        <x:v>Logements de soigneurs animaliers</x:v>
      </x:c>
      <x:c r="F3067" t="n">
        <x:v>9</x:v>
      </x:c>
      <x:c r="G3067" t="n">
        <x:v>8</x:v>
      </x:c>
      <x:c r="H3067" t="n">
        <x:v>8</x:v>
      </x:c>
      <x:c r="I3067" t="str">
        <x:v>À qualifier par lieu</x:v>
      </x:c>
      <x:c r="J3067" t="str">
        <x:v>https://github.com/darknigthmare/deadwall-last-enclosure/blob/e28f46223e73105ab2c5d83f3d50b99b58ef53e6/codex-3000/addendum-1.58/PROGRAMMES_A.json</x:v>
      </x:c>
      <x:c r="K3067" t="str">
        <x:v>Source min 38,36 m ; max 38,36 m ; modèle 38 × 36 m ; niveaux 0, 1. Détails dans catalogue-existant.json.</x:v>
      </x:c>
    </x:row>
    <x:row r="3068">
      <x:c r="A3068" t="str">
        <x:v>DW-3063</x:v>
      </x:c>
      <x:c r="B3068" t="str">
        <x:v>DW-3063</x:v>
      </x:c>
      <x:c r="C3068" t="str">
        <x:v>Parent indépendant 1.58</x:v>
      </x:c>
      <x:c r="D3068" t="str">
        <x:v>Habitat collectif</x:v>
      </x:c>
      <x:c r="E3068" t="str">
        <x:v>Habitat de réparateurs de cycles</x:v>
      </x:c>
      <x:c r="F3068" t="n">
        <x:v>9</x:v>
      </x:c>
      <x:c r="G3068" t="n">
        <x:v>8</x:v>
      </x:c>
      <x:c r="H3068" t="n">
        <x:v>8</x:v>
      </x:c>
      <x:c r="I3068" t="str">
        <x:v>À qualifier par lieu</x:v>
      </x:c>
      <x:c r="J3068" t="str">
        <x:v>https://github.com/darknigthmare/deadwall-last-enclosure/blob/e28f46223e73105ab2c5d83f3d50b99b58ef53e6/codex-3000/addendum-1.58/PROGRAMMES_A.json</x:v>
      </x:c>
      <x:c r="K3068" t="str">
        <x:v>Source min 38,36 m ; max 38,36 m ; modèle 38 × 36 m ; niveaux 0, 1. Détails dans catalogue-existant.json.</x:v>
      </x:c>
    </x:row>
    <x:row r="3069">
      <x:c r="A3069" t="str">
        <x:v>DW-3064</x:v>
      </x:c>
      <x:c r="B3069" t="str">
        <x:v>DW-3064</x:v>
      </x:c>
      <x:c r="C3069" t="str">
        <x:v>Parent indépendant 1.58</x:v>
      </x:c>
      <x:c r="D3069" t="str">
        <x:v>Habitat collectif</x:v>
      </x:c>
      <x:c r="E3069" t="str">
        <x:v>Foyer de travailleurs des serres</x:v>
      </x:c>
      <x:c r="F3069" t="n">
        <x:v>9</x:v>
      </x:c>
      <x:c r="G3069" t="n">
        <x:v>8</x:v>
      </x:c>
      <x:c r="H3069" t="n">
        <x:v>8</x:v>
      </x:c>
      <x:c r="I3069" t="str">
        <x:v>À qualifier par lieu</x:v>
      </x:c>
      <x:c r="J3069" t="str">
        <x:v>https://github.com/darknigthmare/deadwall-last-enclosure/blob/e28f46223e73105ab2c5d83f3d50b99b58ef53e6/codex-3000/addendum-1.58/PROGRAMMES_A.json</x:v>
      </x:c>
      <x:c r="K3069" t="str">
        <x:v>Source min 38,36 m ; max 38,36 m ; modèle 38 × 36 m ; niveaux 0, 1. Détails dans catalogue-existant.json.</x:v>
      </x:c>
    </x:row>
    <x:row r="3070">
      <x:c r="A3070" t="str">
        <x:v>DW-3065</x:v>
      </x:c>
      <x:c r="B3070" t="str">
        <x:v>DW-3065</x:v>
      </x:c>
      <x:c r="C3070" t="str">
        <x:v>Parent indépendant 1.58</x:v>
      </x:c>
      <x:c r="D3070" t="str">
        <x:v>Habitat collectif</x:v>
      </x:c>
      <x:c r="E3070" t="str">
        <x:v>Logements de gardiens de dépôt</x:v>
      </x:c>
      <x:c r="F3070" t="n">
        <x:v>9</x:v>
      </x:c>
      <x:c r="G3070" t="n">
        <x:v>8</x:v>
      </x:c>
      <x:c r="H3070" t="n">
        <x:v>8</x:v>
      </x:c>
      <x:c r="I3070" t="str">
        <x:v>À qualifier par lieu</x:v>
      </x:c>
      <x:c r="J3070" t="str">
        <x:v>https://github.com/darknigthmare/deadwall-last-enclosure/blob/e28f46223e73105ab2c5d83f3d50b99b58ef53e6/codex-3000/addendum-1.58/PROGRAMMES_A.json</x:v>
      </x:c>
      <x:c r="K3070" t="str">
        <x:v>Source min 38,36 m ; max 38,36 m ; modèle 38 × 36 m ; niveaux 0, 1. Détails dans catalogue-existant.json.</x:v>
      </x:c>
    </x:row>
    <x:row r="3071">
      <x:c r="A3071" t="str">
        <x:v>DW-3066</x:v>
      </x:c>
      <x:c r="B3071" t="str">
        <x:v>DW-3066</x:v>
      </x:c>
      <x:c r="C3071" t="str">
        <x:v>Parent indépendant 1.58</x:v>
      </x:c>
      <x:c r="D3071" t="str">
        <x:v>Habitat collectif</x:v>
      </x:c>
      <x:c r="E3071" t="str">
        <x:v>Résidence de manutentionnaires du textile</x:v>
      </x:c>
      <x:c r="F3071" t="n">
        <x:v>9</x:v>
      </x:c>
      <x:c r="G3071" t="n">
        <x:v>8</x:v>
      </x:c>
      <x:c r="H3071" t="n">
        <x:v>8</x:v>
      </x:c>
      <x:c r="I3071" t="str">
        <x:v>À qualifier par lieu</x:v>
      </x:c>
      <x:c r="J3071" t="str">
        <x:v>https://github.com/darknigthmare/deadwall-last-enclosure/blob/e28f46223e73105ab2c5d83f3d50b99b58ef53e6/codex-3000/addendum-1.58/PROGRAMMES_A.json</x:v>
      </x:c>
      <x:c r="K3071" t="str">
        <x:v>Source min 38,36 m ; max 38,36 m ; modèle 38 × 36 m ; niveaux 0, 1. Détails dans catalogue-existant.json.</x:v>
      </x:c>
    </x:row>
    <x:row r="3072">
      <x:c r="A3072" t="str">
        <x:v>DW-3067</x:v>
      </x:c>
      <x:c r="B3072" t="str">
        <x:v>DW-3067</x:v>
      </x:c>
      <x:c r="C3072" t="str">
        <x:v>Parent indépendant 1.58</x:v>
      </x:c>
      <x:c r="D3072" t="str">
        <x:v>Habitat collectif</x:v>
      </x:c>
      <x:c r="E3072" t="str">
        <x:v>Habitat de réparateurs de toiture</x:v>
      </x:c>
      <x:c r="F3072" t="n">
        <x:v>9</x:v>
      </x:c>
      <x:c r="G3072" t="n">
        <x:v>8</x:v>
      </x:c>
      <x:c r="H3072" t="n">
        <x:v>8</x:v>
      </x:c>
      <x:c r="I3072" t="str">
        <x:v>À qualifier par lieu</x:v>
      </x:c>
      <x:c r="J3072" t="str">
        <x:v>https://github.com/darknigthmare/deadwall-last-enclosure/blob/e28f46223e73105ab2c5d83f3d50b99b58ef53e6/codex-3000/addendum-1.58/PROGRAMMES_A.json</x:v>
      </x:c>
      <x:c r="K3072" t="str">
        <x:v>Source min 38,36 m ; max 38,36 m ; modèle 38 × 36 m ; niveaux 0, 1. Détails dans catalogue-existant.json.</x:v>
      </x:c>
    </x:row>
    <x:row r="3073">
      <x:c r="A3073" t="str">
        <x:v>DW-3068</x:v>
      </x:c>
      <x:c r="B3073" t="str">
        <x:v>DW-3068</x:v>
      </x:c>
      <x:c r="C3073" t="str">
        <x:v>Parent indépendant 1.58</x:v>
      </x:c>
      <x:c r="D3073" t="str">
        <x:v>Habitat collectif</x:v>
      </x:c>
      <x:c r="E3073" t="str">
        <x:v>Logements d'agents du courrier</x:v>
      </x:c>
      <x:c r="F3073" t="n">
        <x:v>9</x:v>
      </x:c>
      <x:c r="G3073" t="n">
        <x:v>8</x:v>
      </x:c>
      <x:c r="H3073" t="n">
        <x:v>8</x:v>
      </x:c>
      <x:c r="I3073" t="str">
        <x:v>À qualifier par lieu</x:v>
      </x:c>
      <x:c r="J3073" t="str">
        <x:v>https://github.com/darknigthmare/deadwall-last-enclosure/blob/e28f46223e73105ab2c5d83f3d50b99b58ef53e6/codex-3000/addendum-1.58/PROGRAMMES_A.json</x:v>
      </x:c>
      <x:c r="K3073" t="str">
        <x:v>Source min 38,36 m ; max 38,36 m ; modèle 38 × 36 m ; niveaux 0, 1. Détails dans catalogue-existant.json.</x:v>
      </x:c>
    </x:row>
    <x:row r="3074">
      <x:c r="A3074" t="str">
        <x:v>DW-3069</x:v>
      </x:c>
      <x:c r="B3074" t="str">
        <x:v>DW-3069</x:v>
      </x:c>
      <x:c r="C3074" t="str">
        <x:v>Parent indépendant 1.58</x:v>
      </x:c>
      <x:c r="D3074" t="str">
        <x:v>Habitat collectif</x:v>
      </x:c>
      <x:c r="E3074" t="str">
        <x:v>Résidence de contrôleurs des sols</x:v>
      </x:c>
      <x:c r="F3074" t="n">
        <x:v>9</x:v>
      </x:c>
      <x:c r="G3074" t="n">
        <x:v>8</x:v>
      </x:c>
      <x:c r="H3074" t="n">
        <x:v>8</x:v>
      </x:c>
      <x:c r="I3074" t="str">
        <x:v>À qualifier par lieu</x:v>
      </x:c>
      <x:c r="J3074" t="str">
        <x:v>https://github.com/darknigthmare/deadwall-last-enclosure/blob/e28f46223e73105ab2c5d83f3d50b99b58ef53e6/codex-3000/addendum-1.58/PROGRAMMES_A.json</x:v>
      </x:c>
      <x:c r="K3074" t="str">
        <x:v>Source min 38,36 m ; max 38,36 m ; modèle 38 × 36 m ; niveaux 0, 1. Détails dans catalogue-existant.json.</x:v>
      </x:c>
    </x:row>
    <x:row r="3075">
      <x:c r="A3075" t="str">
        <x:v>DW-3070</x:v>
      </x:c>
      <x:c r="B3075" t="str">
        <x:v>DW-3070</x:v>
      </x:c>
      <x:c r="C3075" t="str">
        <x:v>Parent indépendant 1.58</x:v>
      </x:c>
      <x:c r="D3075" t="str">
        <x:v>Habitat collectif</x:v>
      </x:c>
      <x:c r="E3075" t="str">
        <x:v>Foyer de conducteurs d'engins</x:v>
      </x:c>
      <x:c r="F3075" t="n">
        <x:v>9</x:v>
      </x:c>
      <x:c r="G3075" t="n">
        <x:v>8</x:v>
      </x:c>
      <x:c r="H3075" t="n">
        <x:v>8</x:v>
      </x:c>
      <x:c r="I3075" t="str">
        <x:v>À qualifier par lieu</x:v>
      </x:c>
      <x:c r="J3075" t="str">
        <x:v>https://github.com/darknigthmare/deadwall-last-enclosure/blob/e28f46223e73105ab2c5d83f3d50b99b58ef53e6/codex-3000/addendum-1.58/PROGRAMMES_A.json</x:v>
      </x:c>
      <x:c r="K3075" t="str">
        <x:v>Source min 38,36 m ; max 38,36 m ; modèle 38 × 36 m ; niveaux 0, 1. Détails dans catalogue-existant.json.</x:v>
      </x:c>
    </x:row>
    <x:row r="3076">
      <x:c r="A3076" t="str">
        <x:v>DW-3071</x:v>
      </x:c>
      <x:c r="B3076" t="str">
        <x:v>DW-3071</x:v>
      </x:c>
      <x:c r="C3076" t="str">
        <x:v>Parent indépendant 1.58</x:v>
      </x:c>
      <x:c r="D3076" t="str">
        <x:v>Habitat collectif</x:v>
      </x:c>
      <x:c r="E3076" t="str">
        <x:v>Habitat à cuisines familiales séparées</x:v>
      </x:c>
      <x:c r="F3076" t="n">
        <x:v>9</x:v>
      </x:c>
      <x:c r="G3076" t="n">
        <x:v>8</x:v>
      </x:c>
      <x:c r="H3076" t="n">
        <x:v>8</x:v>
      </x:c>
      <x:c r="I3076" t="str">
        <x:v>À qualifier par lieu</x:v>
      </x:c>
      <x:c r="J3076" t="str">
        <x:v>https://github.com/darknigthmare/deadwall-last-enclosure/blob/e28f46223e73105ab2c5d83f3d50b99b58ef53e6/codex-3000/addendum-1.58/PROGRAMMES_A.json</x:v>
      </x:c>
      <x:c r="K3076" t="str">
        <x:v>Source min 38,36 m ; max 38,36 m ; modèle 38 × 36 m ; niveaux 0, 1. Détails dans catalogue-existant.json.</x:v>
      </x:c>
    </x:row>
    <x:row r="3077">
      <x:c r="A3077" t="str">
        <x:v>DW-3072</x:v>
      </x:c>
      <x:c r="B3077" t="str">
        <x:v>DW-3072</x:v>
      </x:c>
      <x:c r="C3077" t="str">
        <x:v>Parent indépendant 1.58</x:v>
      </x:c>
      <x:c r="D3077" t="str">
        <x:v>Habitat collectif</x:v>
      </x:c>
      <x:c r="E3077" t="str">
        <x:v>Résidence à buanderie commune</x:v>
      </x:c>
      <x:c r="F3077" t="n">
        <x:v>9</x:v>
      </x:c>
      <x:c r="G3077" t="n">
        <x:v>8</x:v>
      </x:c>
      <x:c r="H3077" t="n">
        <x:v>8</x:v>
      </x:c>
      <x:c r="I3077" t="str">
        <x:v>À qualifier par lieu</x:v>
      </x:c>
      <x:c r="J3077" t="str">
        <x:v>https://github.com/darknigthmare/deadwall-last-enclosure/blob/e28f46223e73105ab2c5d83f3d50b99b58ef53e6/codex-3000/addendum-1.58/PROGRAMMES_A.json</x:v>
      </x:c>
      <x:c r="K3077" t="str">
        <x:v>Source min 38,36 m ; max 38,36 m ; modèle 38 × 36 m ; niveaux 0, 1. Détails dans catalogue-existant.json.</x:v>
      </x:c>
    </x:row>
    <x:row r="3078">
      <x:c r="A3078" t="str">
        <x:v>DW-3073</x:v>
      </x:c>
      <x:c r="B3078" t="str">
        <x:v>DW-3073</x:v>
      </x:c>
      <x:c r="C3078" t="str">
        <x:v>Parent indépendant 1.58</x:v>
      </x:c>
      <x:c r="D3078" t="str">
        <x:v>Habitat collectif</x:v>
      </x:c>
      <x:c r="E3078" t="str">
        <x:v>Habitat à réparation domestique commune</x:v>
      </x:c>
      <x:c r="F3078" t="n">
        <x:v>9</x:v>
      </x:c>
      <x:c r="G3078" t="n">
        <x:v>8</x:v>
      </x:c>
      <x:c r="H3078" t="n">
        <x:v>8</x:v>
      </x:c>
      <x:c r="I3078" t="str">
        <x:v>À qualifier par lieu</x:v>
      </x:c>
      <x:c r="J3078" t="str">
        <x:v>https://github.com/darknigthmare/deadwall-last-enclosure/blob/e28f46223e73105ab2c5d83f3d50b99b58ef53e6/codex-3000/addendum-1.58/PROGRAMMES_A.json</x:v>
      </x:c>
      <x:c r="K3078" t="str">
        <x:v>Source min 38,36 m ; max 38,36 m ; modèle 38 × 36 m ; niveaux 0, 1. Détails dans catalogue-existant.json.</x:v>
      </x:c>
    </x:row>
    <x:row r="3079">
      <x:c r="A3079" t="str">
        <x:v>DW-3074</x:v>
      </x:c>
      <x:c r="B3079" t="str">
        <x:v>DW-3074</x:v>
      </x:c>
      <x:c r="C3079" t="str">
        <x:v>Parent indépendant 1.58</x:v>
      </x:c>
      <x:c r="D3079" t="str">
        <x:v>Habitat collectif</x:v>
      </x:c>
      <x:c r="E3079" t="str">
        <x:v>Logements d'auto-construction accompagnée</x:v>
      </x:c>
      <x:c r="F3079" t="n">
        <x:v>9</x:v>
      </x:c>
      <x:c r="G3079" t="n">
        <x:v>8</x:v>
      </x:c>
      <x:c r="H3079" t="n">
        <x:v>8</x:v>
      </x:c>
      <x:c r="I3079" t="str">
        <x:v>À qualifier par lieu</x:v>
      </x:c>
      <x:c r="J3079" t="str">
        <x:v>https://github.com/darknigthmare/deadwall-last-enclosure/blob/e28f46223e73105ab2c5d83f3d50b99b58ef53e6/codex-3000/addendum-1.58/PROGRAMMES_A.json</x:v>
      </x:c>
      <x:c r="K3079" t="str">
        <x:v>Source min 38,36 m ; max 38,36 m ; modèle 38 × 36 m ; niveaux 0, 1. Détails dans catalogue-existant.json.</x:v>
      </x:c>
    </x:row>
    <x:row r="3080">
      <x:c r="A3080" t="str">
        <x:v>DW-3075</x:v>
      </x:c>
      <x:c r="B3080" t="str">
        <x:v>DW-3075</x:v>
      </x:c>
      <x:c r="C3080" t="str">
        <x:v>Parent indépendant 1.58</x:v>
      </x:c>
      <x:c r="D3080" t="str">
        <x:v>Habitat collectif</x:v>
      </x:c>
      <x:c r="E3080" t="str">
        <x:v>Habitat à archives domestiques communes</x:v>
      </x:c>
      <x:c r="F3080" t="n">
        <x:v>9</x:v>
      </x:c>
      <x:c r="G3080" t="n">
        <x:v>8</x:v>
      </x:c>
      <x:c r="H3080" t="n">
        <x:v>8</x:v>
      </x:c>
      <x:c r="I3080" t="str">
        <x:v>À qualifier par lieu</x:v>
      </x:c>
      <x:c r="J3080" t="str">
        <x:v>https://github.com/darknigthmare/deadwall-last-enclosure/blob/e28f46223e73105ab2c5d83f3d50b99b58ef53e6/codex-3000/addendum-1.58/PROGRAMMES_A.json</x:v>
      </x:c>
      <x:c r="K3080" t="str">
        <x:v>Source min 38,36 m ; max 38,36 m ; modèle 38 × 36 m ; niveaux 0, 1. Détails dans catalogue-existant.json.</x:v>
      </x:c>
    </x:row>
    <x:row r="3081">
      <x:c r="A3081" t="str">
        <x:v>DW-3076</x:v>
      </x:c>
      <x:c r="B3081" t="str">
        <x:v>DW-3076</x:v>
      </x:c>
      <x:c r="C3081" t="str">
        <x:v>Parent indépendant 1.58</x:v>
      </x:c>
      <x:c r="D3081" t="str">
        <x:v>Habitat collectif</x:v>
      </x:c>
      <x:c r="E3081" t="str">
        <x:v>Logements à garde-meubles mutualisé</x:v>
      </x:c>
      <x:c r="F3081" t="n">
        <x:v>9</x:v>
      </x:c>
      <x:c r="G3081" t="n">
        <x:v>8</x:v>
      </x:c>
      <x:c r="H3081" t="n">
        <x:v>8</x:v>
      </x:c>
      <x:c r="I3081" t="str">
        <x:v>À qualifier par lieu</x:v>
      </x:c>
      <x:c r="J3081" t="str">
        <x:v>https://github.com/darknigthmare/deadwall-last-enclosure/blob/e28f46223e73105ab2c5d83f3d50b99b58ef53e6/codex-3000/addendum-1.58/PROGRAMMES_A.json</x:v>
      </x:c>
      <x:c r="K3081" t="str">
        <x:v>Source min 38,36 m ; max 38,36 m ; modèle 38 × 36 m ; niveaux 0, 1. Détails dans catalogue-existant.json.</x:v>
      </x:c>
    </x:row>
    <x:row r="3082">
      <x:c r="A3082" t="str">
        <x:v>DW-3077</x:v>
      </x:c>
      <x:c r="B3082" t="str">
        <x:v>DW-3077</x:v>
      </x:c>
      <x:c r="C3082" t="str">
        <x:v>Parent indépendant 1.58</x:v>
      </x:c>
      <x:c r="D3082" t="str">
        <x:v>Habitat collectif</x:v>
      </x:c>
      <x:c r="E3082" t="str">
        <x:v>Résidence à bureaux isolés</x:v>
      </x:c>
      <x:c r="F3082" t="n">
        <x:v>9</x:v>
      </x:c>
      <x:c r="G3082" t="n">
        <x:v>8</x:v>
      </x:c>
      <x:c r="H3082" t="n">
        <x:v>8</x:v>
      </x:c>
      <x:c r="I3082" t="str">
        <x:v>À qualifier par lieu</x:v>
      </x:c>
      <x:c r="J3082" t="str">
        <x:v>https://github.com/darknigthmare/deadwall-last-enclosure/blob/e28f46223e73105ab2c5d83f3d50b99b58ef53e6/codex-3000/addendum-1.58/PROGRAMMES_A.json</x:v>
      </x:c>
      <x:c r="K3082" t="str">
        <x:v>Source min 38,36 m ; max 38,36 m ; modèle 38 × 36 m ; niveaux 0, 1. Détails dans catalogue-existant.json.</x:v>
      </x:c>
    </x:row>
    <x:row r="3083">
      <x:c r="A3083" t="str">
        <x:v>DW-3078</x:v>
      </x:c>
      <x:c r="B3083" t="str">
        <x:v>DW-3078</x:v>
      </x:c>
      <x:c r="C3083" t="str">
        <x:v>Parent indépendant 1.58</x:v>
      </x:c>
      <x:c r="D3083" t="str">
        <x:v>Habitat collectif</x:v>
      </x:c>
      <x:c r="E3083" t="str">
        <x:v>Habitat à répétition musicale résidentielle</x:v>
      </x:c>
      <x:c r="F3083" t="n">
        <x:v>9</x:v>
      </x:c>
      <x:c r="G3083" t="n">
        <x:v>8</x:v>
      </x:c>
      <x:c r="H3083" t="n">
        <x:v>8</x:v>
      </x:c>
      <x:c r="I3083" t="str">
        <x:v>À qualifier par lieu</x:v>
      </x:c>
      <x:c r="J3083" t="str">
        <x:v>https://github.com/darknigthmare/deadwall-last-enclosure/blob/e28f46223e73105ab2c5d83f3d50b99b58ef53e6/codex-3000/addendum-1.58/PROGRAMMES_A.json</x:v>
      </x:c>
      <x:c r="K3083" t="str">
        <x:v>Source min 38,36 m ; max 38,36 m ; modèle 38 × 36 m ; niveaux 0, 1. Détails dans catalogue-existant.json.</x:v>
      </x:c>
    </x:row>
    <x:row r="3084">
      <x:c r="A3084" t="str">
        <x:v>DW-3079</x:v>
      </x:c>
      <x:c r="B3084" t="str">
        <x:v>DW-3079</x:v>
      </x:c>
      <x:c r="C3084" t="str">
        <x:v>Parent indépendant 1.58</x:v>
      </x:c>
      <x:c r="D3084" t="str">
        <x:v>Habitat collectif</x:v>
      </x:c>
      <x:c r="E3084" t="str">
        <x:v>Logements d'accueil de familles migrantes</x:v>
      </x:c>
      <x:c r="F3084" t="n">
        <x:v>9</x:v>
      </x:c>
      <x:c r="G3084" t="n">
        <x:v>8</x:v>
      </x:c>
      <x:c r="H3084" t="n">
        <x:v>8</x:v>
      </x:c>
      <x:c r="I3084" t="str">
        <x:v>À qualifier par lieu</x:v>
      </x:c>
      <x:c r="J3084" t="str">
        <x:v>https://github.com/darknigthmare/deadwall-last-enclosure/blob/e28f46223e73105ab2c5d83f3d50b99b58ef53e6/codex-3000/addendum-1.58/PROGRAMMES_A.json</x:v>
      </x:c>
      <x:c r="K3084" t="str">
        <x:v>Source min 38,36 m ; max 38,36 m ; modèle 38 × 36 m ; niveaux 0, 1. Détails dans catalogue-existant.json.</x:v>
      </x:c>
    </x:row>
    <x:row r="3085">
      <x:c r="A3085" t="str">
        <x:v>DW-3080</x:v>
      </x:c>
      <x:c r="B3085" t="str">
        <x:v>DW-3080</x:v>
      </x:c>
      <x:c r="C3085" t="str">
        <x:v>Parent indépendant 1.58</x:v>
      </x:c>
      <x:c r="D3085" t="str">
        <x:v>Habitat collectif</x:v>
      </x:c>
      <x:c r="E3085" t="str">
        <x:v>Maison résidentielle de familles relais</x:v>
      </x:c>
      <x:c r="F3085" t="n">
        <x:v>9</x:v>
      </x:c>
      <x:c r="G3085" t="n">
        <x:v>8</x:v>
      </x:c>
      <x:c r="H3085" t="n">
        <x:v>8</x:v>
      </x:c>
      <x:c r="I3085" t="str">
        <x:v>À qualifier par lieu</x:v>
      </x:c>
      <x:c r="J3085" t="str">
        <x:v>https://github.com/darknigthmare/deadwall-last-enclosure/blob/e28f46223e73105ab2c5d83f3d50b99b58ef53e6/codex-3000/addendum-1.58/PROGRAMMES_A.json</x:v>
      </x:c>
      <x:c r="K3085" t="str">
        <x:v>Source min 38,36 m ; max 38,36 m ; modèle 38 × 36 m ; niveaux 0, 1. Détails dans catalogue-existant.json.</x:v>
      </x:c>
    </x:row>
    <x:row r="3086">
      <x:c r="A3086" t="str">
        <x:v>DW-3081</x:v>
      </x:c>
      <x:c r="B3086" t="str">
        <x:v>DW-3081</x:v>
      </x:c>
      <x:c r="C3086" t="str">
        <x:v>Parent indépendant 1.58</x:v>
      </x:c>
      <x:c r="D3086" t="str">
        <x:v>Habitat collectif</x:v>
      </x:c>
      <x:c r="E3086" t="str">
        <x:v>Habitat de voisinage intergénérationnel</x:v>
      </x:c>
      <x:c r="F3086" t="n">
        <x:v>9</x:v>
      </x:c>
      <x:c r="G3086" t="n">
        <x:v>8</x:v>
      </x:c>
      <x:c r="H3086" t="n">
        <x:v>8</x:v>
      </x:c>
      <x:c r="I3086" t="str">
        <x:v>À qualifier par lieu</x:v>
      </x:c>
      <x:c r="J3086" t="str">
        <x:v>https://github.com/darknigthmare/deadwall-last-enclosure/blob/e28f46223e73105ab2c5d83f3d50b99b58ef53e6/codex-3000/addendum-1.58/PROGRAMMES_A.json</x:v>
      </x:c>
      <x:c r="K3086" t="str">
        <x:v>Source min 38,36 m ; max 38,36 m ; modèle 38 × 36 m ; niveaux 0, 1. Détails dans catalogue-existant.json.</x:v>
      </x:c>
    </x:row>
    <x:row r="3087">
      <x:c r="A3087" t="str">
        <x:v>DW-3082</x:v>
      </x:c>
      <x:c r="B3087" t="str">
        <x:v>DW-3082</x:v>
      </x:c>
      <x:c r="C3087" t="str">
        <x:v>Parent indépendant 1.58</x:v>
      </x:c>
      <x:c r="D3087" t="str">
        <x:v>Habitat collectif</x:v>
      </x:c>
      <x:c r="E3087" t="str">
        <x:v>Résidence de fratries autonomes</x:v>
      </x:c>
      <x:c r="F3087" t="n">
        <x:v>9</x:v>
      </x:c>
      <x:c r="G3087" t="n">
        <x:v>8</x:v>
      </x:c>
      <x:c r="H3087" t="n">
        <x:v>8</x:v>
      </x:c>
      <x:c r="I3087" t="str">
        <x:v>À qualifier par lieu</x:v>
      </x:c>
      <x:c r="J3087" t="str">
        <x:v>https://github.com/darknigthmare/deadwall-last-enclosure/blob/e28f46223e73105ab2c5d83f3d50b99b58ef53e6/codex-3000/addendum-1.58/PROGRAMMES_A.json</x:v>
      </x:c>
      <x:c r="K3087" t="str">
        <x:v>Source min 38,36 m ; max 38,36 m ; modèle 38 × 36 m ; niveaux 0, 1. Détails dans catalogue-existant.json.</x:v>
      </x:c>
    </x:row>
    <x:row r="3088">
      <x:c r="A3088" t="str">
        <x:v>DW-3083</x:v>
      </x:c>
      <x:c r="B3088" t="str">
        <x:v>DW-3083</x:v>
      </x:c>
      <x:c r="C3088" t="str">
        <x:v>Parent indépendant 1.58</x:v>
      </x:c>
      <x:c r="D3088" t="str">
        <x:v>Habitat collectif</x:v>
      </x:c>
      <x:c r="E3088" t="str">
        <x:v>Habitat à préparation cycliste commune</x:v>
      </x:c>
      <x:c r="F3088" t="n">
        <x:v>9</x:v>
      </x:c>
      <x:c r="G3088" t="n">
        <x:v>8</x:v>
      </x:c>
      <x:c r="H3088" t="n">
        <x:v>8</x:v>
      </x:c>
      <x:c r="I3088" t="str">
        <x:v>À qualifier par lieu</x:v>
      </x:c>
      <x:c r="J3088" t="str">
        <x:v>https://github.com/darknigthmare/deadwall-last-enclosure/blob/e28f46223e73105ab2c5d83f3d50b99b58ef53e6/codex-3000/addendum-1.58/PROGRAMMES_A.json</x:v>
      </x:c>
      <x:c r="K3088" t="str">
        <x:v>Source min 38,36 m ; max 38,36 m ; modèle 38 × 36 m ; niveaux 0, 1. Détails dans catalogue-existant.json.</x:v>
      </x:c>
    </x:row>
    <x:row r="3089">
      <x:c r="A3089" t="str">
        <x:v>DW-3084</x:v>
      </x:c>
      <x:c r="B3089" t="str">
        <x:v>DW-3084</x:v>
      </x:c>
      <x:c r="C3089" t="str">
        <x:v>Parent indépendant 1.58</x:v>
      </x:c>
      <x:c r="D3089" t="str">
        <x:v>Habitat collectif</x:v>
      </x:c>
      <x:c r="E3089" t="str">
        <x:v>Logements à préparation alimentaire adaptée</x:v>
      </x:c>
      <x:c r="F3089" t="n">
        <x:v>9</x:v>
      </x:c>
      <x:c r="G3089" t="n">
        <x:v>8</x:v>
      </x:c>
      <x:c r="H3089" t="n">
        <x:v>8</x:v>
      </x:c>
      <x:c r="I3089" t="str">
        <x:v>À qualifier par lieu</x:v>
      </x:c>
      <x:c r="J3089" t="str">
        <x:v>https://github.com/darknigthmare/deadwall-last-enclosure/blob/e28f46223e73105ab2c5d83f3d50b99b58ef53e6/codex-3000/addendum-1.58/PROGRAMMES_A.json</x:v>
      </x:c>
      <x:c r="K3089" t="str">
        <x:v>Source min 38,36 m ; max 38,36 m ; modèle 38 × 36 m ; niveaux 0, 1. Détails dans catalogue-existant.json.</x:v>
      </x:c>
    </x:row>
    <x:row r="3090">
      <x:c r="A3090" t="str">
        <x:v>DW-3085</x:v>
      </x:c>
      <x:c r="B3090" t="str">
        <x:v>DW-3085</x:v>
      </x:c>
      <x:c r="C3090" t="str">
        <x:v>Parent indépendant 1.58</x:v>
      </x:c>
      <x:c r="D3090" t="str">
        <x:v>Habitat collectif</x:v>
      </x:c>
      <x:c r="E3090" t="str">
        <x:v>Résidence à veille parentale commune</x:v>
      </x:c>
      <x:c r="F3090" t="n">
        <x:v>9</x:v>
      </x:c>
      <x:c r="G3090" t="n">
        <x:v>8</x:v>
      </x:c>
      <x:c r="H3090" t="n">
        <x:v>8</x:v>
      </x:c>
      <x:c r="I3090" t="str">
        <x:v>À qualifier par lieu</x:v>
      </x:c>
      <x:c r="J3090" t="str">
        <x:v>https://github.com/darknigthmare/deadwall-last-enclosure/blob/e28f46223e73105ab2c5d83f3d50b99b58ef53e6/codex-3000/addendum-1.58/PROGRAMMES_A.json</x:v>
      </x:c>
      <x:c r="K3090" t="str">
        <x:v>Source min 38,36 m ; max 38,36 m ; modèle 38 × 36 m ; niveaux 0, 1. Détails dans catalogue-existant.json.</x:v>
      </x:c>
    </x:row>
    <x:row r="3091">
      <x:c r="A3091" t="str">
        <x:v>DW-3086</x:v>
      </x:c>
      <x:c r="B3091" t="str">
        <x:v>DW-3086</x:v>
      </x:c>
      <x:c r="C3091" t="str">
        <x:v>Parent indépendant 1.58</x:v>
      </x:c>
      <x:c r="D3091" t="str">
        <x:v>Habitat collectif</x:v>
      </x:c>
      <x:c r="E3091" t="str">
        <x:v>Habitat à cuisines d'essai communes</x:v>
      </x:c>
      <x:c r="F3091" t="n">
        <x:v>9</x:v>
      </x:c>
      <x:c r="G3091" t="n">
        <x:v>8</x:v>
      </x:c>
      <x:c r="H3091" t="n">
        <x:v>8</x:v>
      </x:c>
      <x:c r="I3091" t="str">
        <x:v>À qualifier par lieu</x:v>
      </x:c>
      <x:c r="J3091" t="str">
        <x:v>https://github.com/darknigthmare/deadwall-last-enclosure/blob/e28f46223e73105ab2c5d83f3d50b99b58ef53e6/codex-3000/addendum-1.58/PROGRAMMES_A.json</x:v>
      </x:c>
      <x:c r="K3091" t="str">
        <x:v>Source min 38,36 m ; max 38,36 m ; modèle 38 × 36 m ; niveaux 0, 1. Détails dans catalogue-existant.json.</x:v>
      </x:c>
    </x:row>
    <x:row r="3092">
      <x:c r="A3092" t="str">
        <x:v>DW-3087</x:v>
      </x:c>
      <x:c r="B3092" t="str">
        <x:v>DW-3087</x:v>
      </x:c>
      <x:c r="C3092" t="str">
        <x:v>Parent indépendant 1.58</x:v>
      </x:c>
      <x:c r="D3092" t="str">
        <x:v>Habitat collectif</x:v>
      </x:c>
      <x:c r="E3092" t="str">
        <x:v>Logements de collecte botanique</x:v>
      </x:c>
      <x:c r="F3092" t="n">
        <x:v>9</x:v>
      </x:c>
      <x:c r="G3092" t="n">
        <x:v>8</x:v>
      </x:c>
      <x:c r="H3092" t="n">
        <x:v>8</x:v>
      </x:c>
      <x:c r="I3092" t="str">
        <x:v>À qualifier par lieu</x:v>
      </x:c>
      <x:c r="J3092" t="str">
        <x:v>https://github.com/darknigthmare/deadwall-last-enclosure/blob/e28f46223e73105ab2c5d83f3d50b99b58ef53e6/codex-3000/addendum-1.58/PROGRAMMES_A.json</x:v>
      </x:c>
      <x:c r="K3092" t="str">
        <x:v>Source min 38,36 m ; max 38,36 m ; modèle 38 × 36 m ; niveaux 0, 1. Détails dans catalogue-existant.json.</x:v>
      </x:c>
    </x:row>
    <x:row r="3093">
      <x:c r="A3093" t="str">
        <x:v>DW-3088</x:v>
      </x:c>
      <x:c r="B3093" t="str">
        <x:v>DW-3088</x:v>
      </x:c>
      <x:c r="C3093" t="str">
        <x:v>Parent indépendant 1.58</x:v>
      </x:c>
      <x:c r="D3093" t="str">
        <x:v>Habitat collectif</x:v>
      </x:c>
      <x:c r="E3093" t="str">
        <x:v>Résidence de coopération artisanale</x:v>
      </x:c>
      <x:c r="F3093" t="n">
        <x:v>9</x:v>
      </x:c>
      <x:c r="G3093" t="n">
        <x:v>8</x:v>
      </x:c>
      <x:c r="H3093" t="n">
        <x:v>8</x:v>
      </x:c>
      <x:c r="I3093" t="str">
        <x:v>À qualifier par lieu</x:v>
      </x:c>
      <x:c r="J3093" t="str">
        <x:v>https://github.com/darknigthmare/deadwall-last-enclosure/blob/e28f46223e73105ab2c5d83f3d50b99b58ef53e6/codex-3000/addendum-1.58/PROGRAMMES_A.json</x:v>
      </x:c>
      <x:c r="K3093" t="str">
        <x:v>Source min 38,36 m ; max 38,36 m ; modèle 38 × 36 m ; niveaux 0, 1. Détails dans catalogue-existant.json.</x:v>
      </x:c>
    </x:row>
    <x:row r="3094">
      <x:c r="A3094" t="str">
        <x:v>DW-3089</x:v>
      </x:c>
      <x:c r="B3094" t="str">
        <x:v>DW-3089</x:v>
      </x:c>
      <x:c r="C3094" t="str">
        <x:v>Parent indépendant 1.58</x:v>
      </x:c>
      <x:c r="D3094" t="str">
        <x:v>Habitat collectif</x:v>
      </x:c>
      <x:c r="E3094" t="str">
        <x:v>Habitat de mobilité saisonnière</x:v>
      </x:c>
      <x:c r="F3094" t="n">
        <x:v>9</x:v>
      </x:c>
      <x:c r="G3094" t="n">
        <x:v>8</x:v>
      </x:c>
      <x:c r="H3094" t="n">
        <x:v>8</x:v>
      </x:c>
      <x:c r="I3094" t="str">
        <x:v>À qualifier par lieu</x:v>
      </x:c>
      <x:c r="J3094" t="str">
        <x:v>https://github.com/darknigthmare/deadwall-last-enclosure/blob/e28f46223e73105ab2c5d83f3d50b99b58ef53e6/codex-3000/addendum-1.58/PROGRAMMES_A.json</x:v>
      </x:c>
      <x:c r="K3094" t="str">
        <x:v>Source min 38,36 m ; max 38,36 m ; modèle 38 × 36 m ; niveaux 0, 1. Détails dans catalogue-existant.json.</x:v>
      </x:c>
    </x:row>
    <x:row r="3095">
      <x:c r="A3095" t="str">
        <x:v>DW-3090</x:v>
      </x:c>
      <x:c r="B3095" t="str">
        <x:v>DW-3090</x:v>
      </x:c>
      <x:c r="C3095" t="str">
        <x:v>Parent indépendant 1.58</x:v>
      </x:c>
      <x:c r="D3095" t="str">
        <x:v>Habitat collectif</x:v>
      </x:c>
      <x:c r="E3095" t="str">
        <x:v>Logements à vestiaire de chantier commun</x:v>
      </x:c>
      <x:c r="F3095" t="n">
        <x:v>9</x:v>
      </x:c>
      <x:c r="G3095" t="n">
        <x:v>8</x:v>
      </x:c>
      <x:c r="H3095" t="n">
        <x:v>8</x:v>
      </x:c>
      <x:c r="I3095" t="str">
        <x:v>À qualifier par lieu</x:v>
      </x:c>
      <x:c r="J3095" t="str">
        <x:v>https://github.com/darknigthmare/deadwall-last-enclosure/blob/e28f46223e73105ab2c5d83f3d50b99b58ef53e6/codex-3000/addendum-1.58/PROGRAMMES_A.json</x:v>
      </x:c>
      <x:c r="K3095" t="str">
        <x:v>Source min 38,36 m ; max 38,36 m ; modèle 38 × 36 m ; niveaux 0, 1. Détails dans catalogue-existant.json.</x:v>
      </x:c>
    </x:row>
    <x:row r="3096">
      <x:c r="A3096" t="str">
        <x:v>DW-3091</x:v>
      </x:c>
      <x:c r="B3096" t="str">
        <x:v>DW-3091</x:v>
      </x:c>
      <x:c r="C3096" t="str">
        <x:v>Parent indépendant 1.58</x:v>
      </x:c>
      <x:c r="D3096" t="str">
        <x:v>Santé</x:v>
      </x:c>
      <x:c r="E3096" t="str">
        <x:v>Centre d'orthoptie</x:v>
      </x:c>
      <x:c r="F3096" t="n">
        <x:v>9</x:v>
      </x:c>
      <x:c r="G3096" t="n">
        <x:v>8</x:v>
      </x:c>
      <x:c r="H3096" t="n">
        <x:v>8</x:v>
      </x:c>
      <x:c r="I3096" t="str">
        <x:v>À qualifier par lieu</x:v>
      </x:c>
      <x:c r="J3096" t="str">
        <x:v>https://github.com/darknigthmare/deadwall-last-enclosure/blob/e28f46223e73105ab2c5d83f3d50b99b58ef53e6/codex-3000/addendum-1.58/PROGRAMMES_A.json</x:v>
      </x:c>
      <x:c r="K3096" t="str">
        <x:v>Source min 36,40 m ; max 36,40 m ; modèle 36 × 40 m ; niveaux 0. Détails dans catalogue-existant.json.</x:v>
      </x:c>
    </x:row>
    <x:row r="3097">
      <x:c r="A3097" t="str">
        <x:v>DW-3092</x:v>
      </x:c>
      <x:c r="B3097" t="str">
        <x:v>DW-3092</x:v>
      </x:c>
      <x:c r="C3097" t="str">
        <x:v>Parent indépendant 1.58</x:v>
      </x:c>
      <x:c r="D3097" t="str">
        <x:v>Santé</x:v>
      </x:c>
      <x:c r="E3097" t="str">
        <x:v>Cabinet d'audiométrie</x:v>
      </x:c>
      <x:c r="F3097" t="n">
        <x:v>9</x:v>
      </x:c>
      <x:c r="G3097" t="n">
        <x:v>8</x:v>
      </x:c>
      <x:c r="H3097" t="n">
        <x:v>8</x:v>
      </x:c>
      <x:c r="I3097" t="str">
        <x:v>À qualifier par lieu</x:v>
      </x:c>
      <x:c r="J3097" t="str">
        <x:v>https://github.com/darknigthmare/deadwall-last-enclosure/blob/e28f46223e73105ab2c5d83f3d50b99b58ef53e6/codex-3000/addendum-1.58/PROGRAMMES_A.json</x:v>
      </x:c>
      <x:c r="K3097" t="str">
        <x:v>Source min 36,40 m ; max 36,40 m ; modèle 36 × 40 m ; niveaux 0. Détails dans catalogue-existant.json.</x:v>
      </x:c>
    </x:row>
    <x:row r="3098">
      <x:c r="A3098" t="str">
        <x:v>DW-3093</x:v>
      </x:c>
      <x:c r="B3098" t="str">
        <x:v>DW-3093</x:v>
      </x:c>
      <x:c r="C3098" t="str">
        <x:v>Parent indépendant 1.58</x:v>
      </x:c>
      <x:c r="D3098" t="str">
        <x:v>Santé</x:v>
      </x:c>
      <x:c r="E3098" t="str">
        <x:v>Centre d'orthophonie</x:v>
      </x:c>
      <x:c r="F3098" t="n">
        <x:v>9</x:v>
      </x:c>
      <x:c r="G3098" t="n">
        <x:v>8</x:v>
      </x:c>
      <x:c r="H3098" t="n">
        <x:v>8</x:v>
      </x:c>
      <x:c r="I3098" t="str">
        <x:v>À qualifier par lieu</x:v>
      </x:c>
      <x:c r="J3098" t="str">
        <x:v>https://github.com/darknigthmare/deadwall-last-enclosure/blob/e28f46223e73105ab2c5d83f3d50b99b58ef53e6/codex-3000/addendum-1.58/PROGRAMMES_A.json</x:v>
      </x:c>
      <x:c r="K3098" t="str">
        <x:v>Source min 36,40 m ; max 36,40 m ; modèle 36 × 40 m ; niveaux 0. Détails dans catalogue-existant.json.</x:v>
      </x:c>
    </x:row>
    <x:row r="3099">
      <x:c r="A3099" t="str">
        <x:v>DW-3094</x:v>
      </x:c>
      <x:c r="B3099" t="str">
        <x:v>DW-3094</x:v>
      </x:c>
      <x:c r="C3099" t="str">
        <x:v>Parent indépendant 1.58</x:v>
      </x:c>
      <x:c r="D3099" t="str">
        <x:v>Santé</x:v>
      </x:c>
      <x:c r="E3099" t="str">
        <x:v>Cabinet de podologie</x:v>
      </x:c>
      <x:c r="F3099" t="n">
        <x:v>9</x:v>
      </x:c>
      <x:c r="G3099" t="n">
        <x:v>8</x:v>
      </x:c>
      <x:c r="H3099" t="n">
        <x:v>8</x:v>
      </x:c>
      <x:c r="I3099" t="str">
        <x:v>À qualifier par lieu</x:v>
      </x:c>
      <x:c r="J3099" t="str">
        <x:v>https://github.com/darknigthmare/deadwall-last-enclosure/blob/e28f46223e73105ab2c5d83f3d50b99b58ef53e6/codex-3000/addendum-1.58/PROGRAMMES_A.json</x:v>
      </x:c>
      <x:c r="K3099" t="str">
        <x:v>Source min 36,40 m ; max 36,40 m ; modèle 36 × 40 m ; niveaux 0. Détails dans catalogue-existant.json.</x:v>
      </x:c>
    </x:row>
    <x:row r="3100">
      <x:c r="A3100" t="str">
        <x:v>DW-3095</x:v>
      </x:c>
      <x:c r="B3100" t="str">
        <x:v>DW-3095</x:v>
      </x:c>
      <x:c r="C3100" t="str">
        <x:v>Parent indépendant 1.58</x:v>
      </x:c>
      <x:c r="D3100" t="str">
        <x:v>Santé</x:v>
      </x:c>
      <x:c r="E3100" t="str">
        <x:v>Centre de dermatologie ambulatoire</x:v>
      </x:c>
      <x:c r="F3100" t="n">
        <x:v>9</x:v>
      </x:c>
      <x:c r="G3100" t="n">
        <x:v>8</x:v>
      </x:c>
      <x:c r="H3100" t="n">
        <x:v>8</x:v>
      </x:c>
      <x:c r="I3100" t="str">
        <x:v>À qualifier par lieu</x:v>
      </x:c>
      <x:c r="J3100" t="str">
        <x:v>https://github.com/darknigthmare/deadwall-last-enclosure/blob/e28f46223e73105ab2c5d83f3d50b99b58ef53e6/codex-3000/addendum-1.58/PROGRAMMES_A.json</x:v>
      </x:c>
      <x:c r="K3100" t="str">
        <x:v>Source min 36,40 m ; max 36,40 m ; modèle 36 × 40 m ; niveaux 0. Détails dans catalogue-existant.json.</x:v>
      </x:c>
    </x:row>
    <x:row r="3101">
      <x:c r="A3101" t="str">
        <x:v>DW-3096</x:v>
      </x:c>
      <x:c r="B3101" t="str">
        <x:v>DW-3096</x:v>
      </x:c>
      <x:c r="C3101" t="str">
        <x:v>Parent indépendant 1.58</x:v>
      </x:c>
      <x:c r="D3101" t="str">
        <x:v>Santé</x:v>
      </x:c>
      <x:c r="E3101" t="str">
        <x:v>Centre d'allergologie</x:v>
      </x:c>
      <x:c r="F3101" t="n">
        <x:v>9</x:v>
      </x:c>
      <x:c r="G3101" t="n">
        <x:v>8</x:v>
      </x:c>
      <x:c r="H3101" t="n">
        <x:v>8</x:v>
      </x:c>
      <x:c r="I3101" t="str">
        <x:v>À qualifier par lieu</x:v>
      </x:c>
      <x:c r="J3101" t="str">
        <x:v>https://github.com/darknigthmare/deadwall-last-enclosure/blob/e28f46223e73105ab2c5d83f3d50b99b58ef53e6/codex-3000/addendum-1.58/PROGRAMMES_A.json</x:v>
      </x:c>
      <x:c r="K3101" t="str">
        <x:v>Source min 36,40 m ; max 36,40 m ; modèle 36 × 40 m ; niveaux 0. Détails dans catalogue-existant.json.</x:v>
      </x:c>
    </x:row>
    <x:row r="3102">
      <x:c r="A3102" t="str">
        <x:v>DW-3097</x:v>
      </x:c>
      <x:c r="B3102" t="str">
        <x:v>DW-3097</x:v>
      </x:c>
      <x:c r="C3102" t="str">
        <x:v>Parent indépendant 1.58</x:v>
      </x:c>
      <x:c r="D3102" t="str">
        <x:v>Santé</x:v>
      </x:c>
      <x:c r="E3102" t="str">
        <x:v>Consultation d'endocrinologie</x:v>
      </x:c>
      <x:c r="F3102" t="n">
        <x:v>9</x:v>
      </x:c>
      <x:c r="G3102" t="n">
        <x:v>8</x:v>
      </x:c>
      <x:c r="H3102" t="n">
        <x:v>8</x:v>
      </x:c>
      <x:c r="I3102" t="str">
        <x:v>À qualifier par lieu</x:v>
      </x:c>
      <x:c r="J3102" t="str">
        <x:v>https://github.com/darknigthmare/deadwall-last-enclosure/blob/e28f46223e73105ab2c5d83f3d50b99b58ef53e6/codex-3000/addendum-1.58/PROGRAMMES_A.json</x:v>
      </x:c>
      <x:c r="K3102" t="str">
        <x:v>Source min 36,40 m ; max 36,40 m ; modèle 36 × 40 m ; niveaux 0. Détails dans catalogue-existant.json.</x:v>
      </x:c>
    </x:row>
    <x:row r="3103">
      <x:c r="A3103" t="str">
        <x:v>DW-3098</x:v>
      </x:c>
      <x:c r="B3103" t="str">
        <x:v>DW-3098</x:v>
      </x:c>
      <x:c r="C3103" t="str">
        <x:v>Parent indépendant 1.58</x:v>
      </x:c>
      <x:c r="D3103" t="str">
        <x:v>Santé</x:v>
      </x:c>
      <x:c r="E3103" t="str">
        <x:v>Centre de cardiologie ambulatoire</x:v>
      </x:c>
      <x:c r="F3103" t="n">
        <x:v>9</x:v>
      </x:c>
      <x:c r="G3103" t="n">
        <x:v>8</x:v>
      </x:c>
      <x:c r="H3103" t="n">
        <x:v>8</x:v>
      </x:c>
      <x:c r="I3103" t="str">
        <x:v>À qualifier par lieu</x:v>
      </x:c>
      <x:c r="J3103" t="str">
        <x:v>https://github.com/darknigthmare/deadwall-last-enclosure/blob/e28f46223e73105ab2c5d83f3d50b99b58ef53e6/codex-3000/addendum-1.58/PROGRAMMES_A.json</x:v>
      </x:c>
      <x:c r="K3103" t="str">
        <x:v>Source min 36,40 m ; max 36,40 m ; modèle 36 × 40 m ; niveaux 0. Détails dans catalogue-existant.json.</x:v>
      </x:c>
    </x:row>
    <x:row r="3104">
      <x:c r="A3104" t="str">
        <x:v>DW-3099</x:v>
      </x:c>
      <x:c r="B3104" t="str">
        <x:v>DW-3099</x:v>
      </x:c>
      <x:c r="C3104" t="str">
        <x:v>Parent indépendant 1.58</x:v>
      </x:c>
      <x:c r="D3104" t="str">
        <x:v>Santé</x:v>
      </x:c>
      <x:c r="E3104" t="str">
        <x:v>Centre de pneumologie</x:v>
      </x:c>
      <x:c r="F3104" t="n">
        <x:v>9</x:v>
      </x:c>
      <x:c r="G3104" t="n">
        <x:v>8</x:v>
      </x:c>
      <x:c r="H3104" t="n">
        <x:v>8</x:v>
      </x:c>
      <x:c r="I3104" t="str">
        <x:v>À qualifier par lieu</x:v>
      </x:c>
      <x:c r="J3104" t="str">
        <x:v>https://github.com/darknigthmare/deadwall-last-enclosure/blob/e28f46223e73105ab2c5d83f3d50b99b58ef53e6/codex-3000/addendum-1.58/PROGRAMMES_A.json</x:v>
      </x:c>
      <x:c r="K3104" t="str">
        <x:v>Source min 36,40 m ; max 36,40 m ; modèle 36 × 40 m ; niveaux 0. Détails dans catalogue-existant.json.</x:v>
      </x:c>
    </x:row>
    <x:row r="3105">
      <x:c r="A3105" t="str">
        <x:v>DW-3100</x:v>
      </x:c>
      <x:c r="B3105" t="str">
        <x:v>DW-3100</x:v>
      </x:c>
      <x:c r="C3105" t="str">
        <x:v>Parent indépendant 1.58</x:v>
      </x:c>
      <x:c r="D3105" t="str">
        <x:v>Santé</x:v>
      </x:c>
      <x:c r="E3105" t="str">
        <x:v>Consultation de gastroentérologie</x:v>
      </x:c>
      <x:c r="F3105" t="n">
        <x:v>9</x:v>
      </x:c>
      <x:c r="G3105" t="n">
        <x:v>8</x:v>
      </x:c>
      <x:c r="H3105" t="n">
        <x:v>8</x:v>
      </x:c>
      <x:c r="I3105" t="str">
        <x:v>À qualifier par lieu</x:v>
      </x:c>
      <x:c r="J3105" t="str">
        <x:v>https://github.com/darknigthmare/deadwall-last-enclosure/blob/e28f46223e73105ab2c5d83f3d50b99b58ef53e6/codex-3000/addendum-1.58/PROGRAMMES_A.json</x:v>
      </x:c>
      <x:c r="K3105" t="str">
        <x:v>Source min 36,40 m ; max 36,40 m ; modèle 36 × 40 m ; niveaux 0. Détails dans catalogue-existant.json.</x:v>
      </x:c>
    </x:row>
    <x:row r="3106">
      <x:c r="A3106" t="str">
        <x:v>DW-3101</x:v>
      </x:c>
      <x:c r="B3106" t="str">
        <x:v>DW-3101</x:v>
      </x:c>
      <x:c r="C3106" t="str">
        <x:v>Parent indépendant 1.58</x:v>
      </x:c>
      <x:c r="D3106" t="str">
        <x:v>Santé</x:v>
      </x:c>
      <x:c r="E3106" t="str">
        <x:v>Centre d'examen du sommeil</x:v>
      </x:c>
      <x:c r="F3106" t="n">
        <x:v>9</x:v>
      </x:c>
      <x:c r="G3106" t="n">
        <x:v>8</x:v>
      </x:c>
      <x:c r="H3106" t="n">
        <x:v>8</x:v>
      </x:c>
      <x:c r="I3106" t="str">
        <x:v>À qualifier par lieu</x:v>
      </x:c>
      <x:c r="J3106" t="str">
        <x:v>https://github.com/darknigthmare/deadwall-last-enclosure/blob/e28f46223e73105ab2c5d83f3d50b99b58ef53e6/codex-3000/addendum-1.58/PROGRAMMES_A.json</x:v>
      </x:c>
      <x:c r="K3106" t="str">
        <x:v>Source min 36,40 m ; max 36,40 m ; modèle 36 × 40 m ; niveaux 0. Détails dans catalogue-existant.json.</x:v>
      </x:c>
    </x:row>
    <x:row r="3107">
      <x:c r="A3107" t="str">
        <x:v>DW-3102</x:v>
      </x:c>
      <x:c r="B3107" t="str">
        <x:v>DW-3102</x:v>
      </x:c>
      <x:c r="C3107" t="str">
        <x:v>Parent indépendant 1.58</x:v>
      </x:c>
      <x:c r="D3107" t="str">
        <x:v>Santé</x:v>
      </x:c>
      <x:c r="E3107" t="str">
        <x:v>Consultation de neurologie</x:v>
      </x:c>
      <x:c r="F3107" t="n">
        <x:v>9</x:v>
      </x:c>
      <x:c r="G3107" t="n">
        <x:v>8</x:v>
      </x:c>
      <x:c r="H3107" t="n">
        <x:v>8</x:v>
      </x:c>
      <x:c r="I3107" t="str">
        <x:v>À qualifier par lieu</x:v>
      </x:c>
      <x:c r="J3107" t="str">
        <x:v>https://github.com/darknigthmare/deadwall-last-enclosure/blob/e28f46223e73105ab2c5d83f3d50b99b58ef53e6/codex-3000/addendum-1.58/PROGRAMMES_A.json</x:v>
      </x:c>
      <x:c r="K3107" t="str">
        <x:v>Source min 36,40 m ; max 36,40 m ; modèle 36 × 40 m ; niveaux 0. Détails dans catalogue-existant.json.</x:v>
      </x:c>
    </x:row>
    <x:row r="3108">
      <x:c r="A3108" t="str">
        <x:v>DW-3103</x:v>
      </x:c>
      <x:c r="B3108" t="str">
        <x:v>DW-3103</x:v>
      </x:c>
      <x:c r="C3108" t="str">
        <x:v>Parent indépendant 1.58</x:v>
      </x:c>
      <x:c r="D3108" t="str">
        <x:v>Santé</x:v>
      </x:c>
      <x:c r="E3108" t="str">
        <x:v>Consultation gynécologique ambulatoire</x:v>
      </x:c>
      <x:c r="F3108" t="n">
        <x:v>9</x:v>
      </x:c>
      <x:c r="G3108" t="n">
        <x:v>8</x:v>
      </x:c>
      <x:c r="H3108" t="n">
        <x:v>8</x:v>
      </x:c>
      <x:c r="I3108" t="str">
        <x:v>À qualifier par lieu</x:v>
      </x:c>
      <x:c r="J3108" t="str">
        <x:v>https://github.com/darknigthmare/deadwall-last-enclosure/blob/e28f46223e73105ab2c5d83f3d50b99b58ef53e6/codex-3000/addendum-1.58/PROGRAMMES_A.json</x:v>
      </x:c>
      <x:c r="K3108" t="str">
        <x:v>Source min 36,40 m ; max 36,40 m ; modèle 36 × 40 m ; niveaux 0. Détails dans catalogue-existant.json.</x:v>
      </x:c>
    </x:row>
    <x:row r="3109">
      <x:c r="A3109" t="str">
        <x:v>DW-3104</x:v>
      </x:c>
      <x:c r="B3109" t="str">
        <x:v>DW-3104</x:v>
      </x:c>
      <x:c r="C3109" t="str">
        <x:v>Parent indépendant 1.58</x:v>
      </x:c>
      <x:c r="D3109" t="str">
        <x:v>Santé</x:v>
      </x:c>
      <x:c r="E3109" t="str">
        <x:v>Centre de suivi orthopédique</x:v>
      </x:c>
      <x:c r="F3109" t="n">
        <x:v>9</x:v>
      </x:c>
      <x:c r="G3109" t="n">
        <x:v>8</x:v>
      </x:c>
      <x:c r="H3109" t="n">
        <x:v>8</x:v>
      </x:c>
      <x:c r="I3109" t="str">
        <x:v>À qualifier par lieu</x:v>
      </x:c>
      <x:c r="J3109" t="str">
        <x:v>https://github.com/darknigthmare/deadwall-last-enclosure/blob/e28f46223e73105ab2c5d83f3d50b99b58ef53e6/codex-3000/addendum-1.58/PROGRAMMES_A.json</x:v>
      </x:c>
      <x:c r="K3109" t="str">
        <x:v>Source min 36,40 m ; max 36,40 m ; modèle 36 × 40 m ; niveaux 0. Détails dans catalogue-existant.json.</x:v>
      </x:c>
    </x:row>
    <x:row r="3110">
      <x:c r="A3110" t="str">
        <x:v>DW-3105</x:v>
      </x:c>
      <x:c r="B3110" t="str">
        <x:v>DW-3105</x:v>
      </x:c>
      <x:c r="C3110" t="str">
        <x:v>Parent indépendant 1.58</x:v>
      </x:c>
      <x:c r="D3110" t="str">
        <x:v>Santé</x:v>
      </x:c>
      <x:c r="E3110" t="str">
        <x:v>Centre de nutrition clinique</x:v>
      </x:c>
      <x:c r="F3110" t="n">
        <x:v>9</x:v>
      </x:c>
      <x:c r="G3110" t="n">
        <x:v>8</x:v>
      </x:c>
      <x:c r="H3110" t="n">
        <x:v>8</x:v>
      </x:c>
      <x:c r="I3110" t="str">
        <x:v>À qualifier par lieu</x:v>
      </x:c>
      <x:c r="J3110" t="str">
        <x:v>https://github.com/darknigthmare/deadwall-last-enclosure/blob/e28f46223e73105ab2c5d83f3d50b99b58ef53e6/codex-3000/addendum-1.58/PROGRAMMES_A.json</x:v>
      </x:c>
      <x:c r="K3110" t="str">
        <x:v>Source min 36,40 m ; max 36,40 m ; modèle 36 × 40 m ; niveaux 0. Détails dans catalogue-existant.json.</x:v>
      </x:c>
    </x:row>
    <x:row r="3111">
      <x:c r="A3111" t="str">
        <x:v>DW-3106</x:v>
      </x:c>
      <x:c r="B3111" t="str">
        <x:v>DW-3106</x:v>
      </x:c>
      <x:c r="C3111" t="str">
        <x:v>Parent indépendant 1.58</x:v>
      </x:c>
      <x:c r="D3111" t="str">
        <x:v>Santé</x:v>
      </x:c>
      <x:c r="E3111" t="str">
        <x:v>Consultation de diabétologie</x:v>
      </x:c>
      <x:c r="F3111" t="n">
        <x:v>9</x:v>
      </x:c>
      <x:c r="G3111" t="n">
        <x:v>8</x:v>
      </x:c>
      <x:c r="H3111" t="n">
        <x:v>8</x:v>
      </x:c>
      <x:c r="I3111" t="str">
        <x:v>À qualifier par lieu</x:v>
      </x:c>
      <x:c r="J3111" t="str">
        <x:v>https://github.com/darknigthmare/deadwall-last-enclosure/blob/e28f46223e73105ab2c5d83f3d50b99b58ef53e6/codex-3000/addendum-1.58/PROGRAMMES_A.json</x:v>
      </x:c>
      <x:c r="K3111" t="str">
        <x:v>Source min 36,40 m ; max 36,40 m ; modèle 36 × 40 m ; niveaux 0. Détails dans catalogue-existant.json.</x:v>
      </x:c>
    </x:row>
    <x:row r="3112">
      <x:c r="A3112" t="str">
        <x:v>DW-3107</x:v>
      </x:c>
      <x:c r="B3112" t="str">
        <x:v>DW-3107</x:v>
      </x:c>
      <x:c r="C3112" t="str">
        <x:v>Parent indépendant 1.58</x:v>
      </x:c>
      <x:c r="D3112" t="str">
        <x:v>Santé</x:v>
      </x:c>
      <x:c r="E3112" t="str">
        <x:v>Centre d'urologie ambulatoire</x:v>
      </x:c>
      <x:c r="F3112" t="n">
        <x:v>9</x:v>
      </x:c>
      <x:c r="G3112" t="n">
        <x:v>8</x:v>
      </x:c>
      <x:c r="H3112" t="n">
        <x:v>8</x:v>
      </x:c>
      <x:c r="I3112" t="str">
        <x:v>À qualifier par lieu</x:v>
      </x:c>
      <x:c r="J3112" t="str">
        <x:v>https://github.com/darknigthmare/deadwall-last-enclosure/blob/e28f46223e73105ab2c5d83f3d50b99b58ef53e6/codex-3000/addendum-1.58/PROGRAMMES_A.json</x:v>
      </x:c>
      <x:c r="K3112" t="str">
        <x:v>Source min 36,40 m ; max 36,40 m ; modèle 36 × 40 m ; niveaux 0. Détails dans catalogue-existant.json.</x:v>
      </x:c>
    </x:row>
    <x:row r="3113">
      <x:c r="A3113" t="str">
        <x:v>DW-3108</x:v>
      </x:c>
      <x:c r="B3113" t="str">
        <x:v>DW-3108</x:v>
      </x:c>
      <x:c r="C3113" t="str">
        <x:v>Parent indépendant 1.58</x:v>
      </x:c>
      <x:c r="D3113" t="str">
        <x:v>Santé</x:v>
      </x:c>
      <x:c r="E3113" t="str">
        <x:v>Consultation de rhumatologie</x:v>
      </x:c>
      <x:c r="F3113" t="n">
        <x:v>9</x:v>
      </x:c>
      <x:c r="G3113" t="n">
        <x:v>8</x:v>
      </x:c>
      <x:c r="H3113" t="n">
        <x:v>8</x:v>
      </x:c>
      <x:c r="I3113" t="str">
        <x:v>À qualifier par lieu</x:v>
      </x:c>
      <x:c r="J3113" t="str">
        <x:v>https://github.com/darknigthmare/deadwall-last-enclosure/blob/e28f46223e73105ab2c5d83f3d50b99b58ef53e6/codex-3000/addendum-1.58/PROGRAMMES_A.json</x:v>
      </x:c>
      <x:c r="K3113" t="str">
        <x:v>Source min 36,40 m ; max 36,40 m ; modèle 36 × 40 m ; niveaux 0. Détails dans catalogue-existant.json.</x:v>
      </x:c>
    </x:row>
    <x:row r="3114">
      <x:c r="A3114" t="str">
        <x:v>DW-3109</x:v>
      </x:c>
      <x:c r="B3114" t="str">
        <x:v>DW-3109</x:v>
      </x:c>
      <x:c r="C3114" t="str">
        <x:v>Parent indépendant 1.58</x:v>
      </x:c>
      <x:c r="D3114" t="str">
        <x:v>Santé</x:v>
      </x:c>
      <x:c r="E3114" t="str">
        <x:v>Centre d'évaluation de la douleur</x:v>
      </x:c>
      <x:c r="F3114" t="n">
        <x:v>9</x:v>
      </x:c>
      <x:c r="G3114" t="n">
        <x:v>8</x:v>
      </x:c>
      <x:c r="H3114" t="n">
        <x:v>8</x:v>
      </x:c>
      <x:c r="I3114" t="str">
        <x:v>À qualifier par lieu</x:v>
      </x:c>
      <x:c r="J3114" t="str">
        <x:v>https://github.com/darknigthmare/deadwall-last-enclosure/blob/e28f46223e73105ab2c5d83f3d50b99b58ef53e6/codex-3000/addendum-1.58/PROGRAMMES_A.json</x:v>
      </x:c>
      <x:c r="K3114" t="str">
        <x:v>Source min 36,40 m ; max 36,40 m ; modèle 36 × 40 m ; niveaux 0. Détails dans catalogue-existant.json.</x:v>
      </x:c>
    </x:row>
    <x:row r="3115">
      <x:c r="A3115" t="str">
        <x:v>DW-3110</x:v>
      </x:c>
      <x:c r="B3115" t="str">
        <x:v>DW-3110</x:v>
      </x:c>
      <x:c r="C3115" t="str">
        <x:v>Parent indépendant 1.58</x:v>
      </x:c>
      <x:c r="D3115" t="str">
        <x:v>Santé</x:v>
      </x:c>
      <x:c r="E3115" t="str">
        <x:v>Centre de médecine du travail</x:v>
      </x:c>
      <x:c r="F3115" t="n">
        <x:v>9</x:v>
      </x:c>
      <x:c r="G3115" t="n">
        <x:v>8</x:v>
      </x:c>
      <x:c r="H3115" t="n">
        <x:v>8</x:v>
      </x:c>
      <x:c r="I3115" t="str">
        <x:v>À qualifier par lieu</x:v>
      </x:c>
      <x:c r="J3115" t="str">
        <x:v>https://github.com/darknigthmare/deadwall-last-enclosure/blob/e28f46223e73105ab2c5d83f3d50b99b58ef53e6/codex-3000/addendum-1.58/PROGRAMMES_A.json</x:v>
      </x:c>
      <x:c r="K3115" t="str">
        <x:v>Source min 36,40 m ; max 36,40 m ; modèle 36 × 40 m ; niveaux 0. Détails dans catalogue-existant.json.</x:v>
      </x:c>
    </x:row>
    <x:row r="3116">
      <x:c r="A3116" t="str">
        <x:v>DW-3111</x:v>
      </x:c>
      <x:c r="B3116" t="str">
        <x:v>DW-3111</x:v>
      </x:c>
      <x:c r="C3116" t="str">
        <x:v>Parent indépendant 1.58</x:v>
      </x:c>
      <x:c r="D3116" t="str">
        <x:v>Santé</x:v>
      </x:c>
      <x:c r="E3116" t="str">
        <x:v>Hôpital de jour oncologique</x:v>
      </x:c>
      <x:c r="F3116" t="n">
        <x:v>9</x:v>
      </x:c>
      <x:c r="G3116" t="n">
        <x:v>8</x:v>
      </x:c>
      <x:c r="H3116" t="n">
        <x:v>8</x:v>
      </x:c>
      <x:c r="I3116" t="str">
        <x:v>À qualifier par lieu</x:v>
      </x:c>
      <x:c r="J3116" t="str">
        <x:v>https://github.com/darknigthmare/deadwall-last-enclosure/blob/e28f46223e73105ab2c5d83f3d50b99b58ef53e6/codex-3000/addendum-1.58/PROGRAMMES_A.json</x:v>
      </x:c>
      <x:c r="K3116" t="str">
        <x:v>Source min 36,40 m ; max 36,40 m ; modèle 36 × 40 m ; niveaux 0. Détails dans catalogue-existant.json.</x:v>
      </x:c>
    </x:row>
    <x:row r="3117">
      <x:c r="A3117" t="str">
        <x:v>DW-3112</x:v>
      </x:c>
      <x:c r="B3117" t="str">
        <x:v>DW-3112</x:v>
      </x:c>
      <x:c r="C3117" t="str">
        <x:v>Parent indépendant 1.58</x:v>
      </x:c>
      <x:c r="D3117" t="str">
        <x:v>Santé</x:v>
      </x:c>
      <x:c r="E3117" t="str">
        <x:v>Centre de santé des adolescents</x:v>
      </x:c>
      <x:c r="F3117" t="n">
        <x:v>9</x:v>
      </x:c>
      <x:c r="G3117" t="n">
        <x:v>8</x:v>
      </x:c>
      <x:c r="H3117" t="n">
        <x:v>8</x:v>
      </x:c>
      <x:c r="I3117" t="str">
        <x:v>À qualifier par lieu</x:v>
      </x:c>
      <x:c r="J3117" t="str">
        <x:v>https://github.com/darknigthmare/deadwall-last-enclosure/blob/e28f46223e73105ab2c5d83f3d50b99b58ef53e6/codex-3000/addendum-1.58/PROGRAMMES_A.json</x:v>
      </x:c>
      <x:c r="K3117" t="str">
        <x:v>Source min 36,40 m ; max 36,40 m ; modèle 36 × 40 m ; niveaux 0. Détails dans catalogue-existant.json.</x:v>
      </x:c>
    </x:row>
    <x:row r="3118">
      <x:c r="A3118" t="str">
        <x:v>DW-3113</x:v>
      </x:c>
      <x:c r="B3118" t="str">
        <x:v>DW-3113</x:v>
      </x:c>
      <x:c r="C3118" t="str">
        <x:v>Parent indépendant 1.58</x:v>
      </x:c>
      <x:c r="D3118" t="str">
        <x:v>Santé</x:v>
      </x:c>
      <x:c r="E3118" t="str">
        <x:v>Consultation de génétique clinique</x:v>
      </x:c>
      <x:c r="F3118" t="n">
        <x:v>9</x:v>
      </x:c>
      <x:c r="G3118" t="n">
        <x:v>8</x:v>
      </x:c>
      <x:c r="H3118" t="n">
        <x:v>8</x:v>
      </x:c>
      <x:c r="I3118" t="str">
        <x:v>À qualifier par lieu</x:v>
      </x:c>
      <x:c r="J3118" t="str">
        <x:v>https://github.com/darknigthmare/deadwall-last-enclosure/blob/e28f46223e73105ab2c5d83f3d50b99b58ef53e6/codex-3000/addendum-1.58/PROGRAMMES_A.json</x:v>
      </x:c>
      <x:c r="K3118" t="str">
        <x:v>Source min 36,40 m ; max 36,40 m ; modèle 36 × 40 m ; niveaux 0. Détails dans catalogue-existant.json.</x:v>
      </x:c>
    </x:row>
    <x:row r="3119">
      <x:c r="A3119" t="str">
        <x:v>DW-3114</x:v>
      </x:c>
      <x:c r="B3119" t="str">
        <x:v>DW-3114</x:v>
      </x:c>
      <x:c r="C3119" t="str">
        <x:v>Parent indépendant 1.58</x:v>
      </x:c>
      <x:c r="D3119" t="str">
        <x:v>Santé</x:v>
      </x:c>
      <x:c r="E3119" t="str">
        <x:v>Centre de suivi des plaies</x:v>
      </x:c>
      <x:c r="F3119" t="n">
        <x:v>9</x:v>
      </x:c>
      <x:c r="G3119" t="n">
        <x:v>8</x:v>
      </x:c>
      <x:c r="H3119" t="n">
        <x:v>8</x:v>
      </x:c>
      <x:c r="I3119" t="str">
        <x:v>À qualifier par lieu</x:v>
      </x:c>
      <x:c r="J3119" t="str">
        <x:v>https://github.com/darknigthmare/deadwall-last-enclosure/blob/e28f46223e73105ab2c5d83f3d50b99b58ef53e6/codex-3000/addendum-1.58/PROGRAMMES_A.json</x:v>
      </x:c>
      <x:c r="K3119" t="str">
        <x:v>Source min 36,40 m ; max 36,40 m ; modèle 36 × 40 m ; niveaux 0. Détails dans catalogue-existant.json.</x:v>
      </x:c>
    </x:row>
    <x:row r="3120">
      <x:c r="A3120" t="str">
        <x:v>DW-3115</x:v>
      </x:c>
      <x:c r="B3120" t="str">
        <x:v>DW-3115</x:v>
      </x:c>
      <x:c r="C3120" t="str">
        <x:v>Parent indépendant 1.58</x:v>
      </x:c>
      <x:c r="D3120" t="str">
        <x:v>Santé</x:v>
      </x:c>
      <x:c r="E3120" t="str">
        <x:v>Consultation des brûlures légères</x:v>
      </x:c>
      <x:c r="F3120" t="n">
        <x:v>9</x:v>
      </x:c>
      <x:c r="G3120" t="n">
        <x:v>8</x:v>
      </x:c>
      <x:c r="H3120" t="n">
        <x:v>8</x:v>
      </x:c>
      <x:c r="I3120" t="str">
        <x:v>À qualifier par lieu</x:v>
      </x:c>
      <x:c r="J3120" t="str">
        <x:v>https://github.com/darknigthmare/deadwall-last-enclosure/blob/e28f46223e73105ab2c5d83f3d50b99b58ef53e6/codex-3000/addendum-1.58/PROGRAMMES_A.json</x:v>
      </x:c>
      <x:c r="K3120" t="str">
        <x:v>Source min 36,40 m ; max 36,40 m ; modèle 36 × 40 m ; niveaux 0. Détails dans catalogue-existant.json.</x:v>
      </x:c>
    </x:row>
    <x:row r="3121">
      <x:c r="A3121" t="str">
        <x:v>DW-3116</x:v>
      </x:c>
      <x:c r="B3121" t="str">
        <x:v>DW-3116</x:v>
      </x:c>
      <x:c r="C3121" t="str">
        <x:v>Parent indépendant 1.58</x:v>
      </x:c>
      <x:c r="D3121" t="str">
        <x:v>Santé</x:v>
      </x:c>
      <x:c r="E3121" t="str">
        <x:v>Centre d'explorations vasculaires</x:v>
      </x:c>
      <x:c r="F3121" t="n">
        <x:v>9</x:v>
      </x:c>
      <x:c r="G3121" t="n">
        <x:v>8</x:v>
      </x:c>
      <x:c r="H3121" t="n">
        <x:v>8</x:v>
      </x:c>
      <x:c r="I3121" t="str">
        <x:v>À qualifier par lieu</x:v>
      </x:c>
      <x:c r="J3121" t="str">
        <x:v>https://github.com/darknigthmare/deadwall-last-enclosure/blob/e28f46223e73105ab2c5d83f3d50b99b58ef53e6/codex-3000/addendum-1.58/PROGRAMMES_A.json</x:v>
      </x:c>
      <x:c r="K3121" t="str">
        <x:v>Source min 36,40 m ; max 36,40 m ; modèle 36 × 40 m ; niveaux 0. Détails dans catalogue-existant.json.</x:v>
      </x:c>
    </x:row>
    <x:row r="3122">
      <x:c r="A3122" t="str">
        <x:v>DW-3117</x:v>
      </x:c>
      <x:c r="B3122" t="str">
        <x:v>DW-3117</x:v>
      </x:c>
      <x:c r="C3122" t="str">
        <x:v>Parent indépendant 1.58</x:v>
      </x:c>
      <x:c r="D3122" t="str">
        <x:v>Santé</x:v>
      </x:c>
      <x:c r="E3122" t="str">
        <x:v>Centre d'ophtalmologie ambulatoire</x:v>
      </x:c>
      <x:c r="F3122" t="n">
        <x:v>9</x:v>
      </x:c>
      <x:c r="G3122" t="n">
        <x:v>8</x:v>
      </x:c>
      <x:c r="H3122" t="n">
        <x:v>8</x:v>
      </x:c>
      <x:c r="I3122" t="str">
        <x:v>À qualifier par lieu</x:v>
      </x:c>
      <x:c r="J3122" t="str">
        <x:v>https://github.com/darknigthmare/deadwall-last-enclosure/blob/e28f46223e73105ab2c5d83f3d50b99b58ef53e6/codex-3000/addendum-1.58/PROGRAMMES_A.json</x:v>
      </x:c>
      <x:c r="K3122" t="str">
        <x:v>Source min 36,40 m ; max 36,40 m ; modèle 36 × 40 m ; niveaux 0. Détails dans catalogue-existant.json.</x:v>
      </x:c>
    </x:row>
    <x:row r="3123">
      <x:c r="A3123" t="str">
        <x:v>DW-3118</x:v>
      </x:c>
      <x:c r="B3123" t="str">
        <x:v>DW-3118</x:v>
      </x:c>
      <x:c r="C3123" t="str">
        <x:v>Parent indépendant 1.58</x:v>
      </x:c>
      <x:c r="D3123" t="str">
        <x:v>Santé</x:v>
      </x:c>
      <x:c r="E3123" t="str">
        <x:v>Unité de petite chirurgie ambulatoire</x:v>
      </x:c>
      <x:c r="F3123" t="n">
        <x:v>9</x:v>
      </x:c>
      <x:c r="G3123" t="n">
        <x:v>8</x:v>
      </x:c>
      <x:c r="H3123" t="n">
        <x:v>8</x:v>
      </x:c>
      <x:c r="I3123" t="str">
        <x:v>À qualifier par lieu</x:v>
      </x:c>
      <x:c r="J3123" t="str">
        <x:v>https://github.com/darknigthmare/deadwall-last-enclosure/blob/e28f46223e73105ab2c5d83f3d50b99b58ef53e6/codex-3000/addendum-1.58/PROGRAMMES_A.json</x:v>
      </x:c>
      <x:c r="K3123" t="str">
        <x:v>Source min 36,40 m ; max 36,40 m ; modèle 36 × 40 m ; niveaux 0. Détails dans catalogue-existant.json.</x:v>
      </x:c>
    </x:row>
    <x:row r="3124">
      <x:c r="A3124" t="str">
        <x:v>DW-3119</x:v>
      </x:c>
      <x:c r="B3124" t="str">
        <x:v>DW-3119</x:v>
      </x:c>
      <x:c r="C3124" t="str">
        <x:v>Parent indépendant 1.58</x:v>
      </x:c>
      <x:c r="D3124" t="str">
        <x:v>Santé</x:v>
      </x:c>
      <x:c r="E3124" t="str">
        <x:v>Centre d'ergothérapie</x:v>
      </x:c>
      <x:c r="F3124" t="n">
        <x:v>9</x:v>
      </x:c>
      <x:c r="G3124" t="n">
        <x:v>8</x:v>
      </x:c>
      <x:c r="H3124" t="n">
        <x:v>8</x:v>
      </x:c>
      <x:c r="I3124" t="str">
        <x:v>À qualifier par lieu</x:v>
      </x:c>
      <x:c r="J3124" t="str">
        <x:v>https://github.com/darknigthmare/deadwall-last-enclosure/blob/e28f46223e73105ab2c5d83f3d50b99b58ef53e6/codex-3000/addendum-1.58/PROGRAMMES_A.json</x:v>
      </x:c>
      <x:c r="K3124" t="str">
        <x:v>Source min 36,40 m ; max 36,40 m ; modèle 36 × 40 m ; niveaux 0. Détails dans catalogue-existant.json.</x:v>
      </x:c>
    </x:row>
    <x:row r="3125">
      <x:c r="A3125" t="str">
        <x:v>DW-3120</x:v>
      </x:c>
      <x:c r="B3125" t="str">
        <x:v>DW-3120</x:v>
      </x:c>
      <x:c r="C3125" t="str">
        <x:v>Parent indépendant 1.58</x:v>
      </x:c>
      <x:c r="D3125" t="str">
        <x:v>Santé</x:v>
      </x:c>
      <x:c r="E3125" t="str">
        <x:v>Centre de kinésithérapie pédiatrique</x:v>
      </x:c>
      <x:c r="F3125" t="n">
        <x:v>9</x:v>
      </x:c>
      <x:c r="G3125" t="n">
        <x:v>8</x:v>
      </x:c>
      <x:c r="H3125" t="n">
        <x:v>8</x:v>
      </x:c>
      <x:c r="I3125" t="str">
        <x:v>À qualifier par lieu</x:v>
      </x:c>
      <x:c r="J3125" t="str">
        <x:v>https://github.com/darknigthmare/deadwall-last-enclosure/blob/e28f46223e73105ab2c5d83f3d50b99b58ef53e6/codex-3000/addendum-1.58/PROGRAMMES_A.json</x:v>
      </x:c>
      <x:c r="K3125" t="str">
        <x:v>Source min 36,40 m ; max 36,40 m ; modèle 36 × 40 m ; niveaux 0. Détails dans catalogue-existant.json.</x:v>
      </x:c>
    </x:row>
    <x:row r="3126">
      <x:c r="A3126" t="str">
        <x:v>DW-3121</x:v>
      </x:c>
      <x:c r="B3126" t="str">
        <x:v>DW-3121</x:v>
      </x:c>
      <x:c r="C3126" t="str">
        <x:v>Parent indépendant 1.58</x:v>
      </x:c>
      <x:c r="D3126" t="str">
        <x:v>Santé</x:v>
      </x:c>
      <x:c r="E3126" t="str">
        <x:v>Centre de réadaptation respiratoire</x:v>
      </x:c>
      <x:c r="F3126" t="n">
        <x:v>9</x:v>
      </x:c>
      <x:c r="G3126" t="n">
        <x:v>8</x:v>
      </x:c>
      <x:c r="H3126" t="n">
        <x:v>8</x:v>
      </x:c>
      <x:c r="I3126" t="str">
        <x:v>À qualifier par lieu</x:v>
      </x:c>
      <x:c r="J3126" t="str">
        <x:v>https://github.com/darknigthmare/deadwall-last-enclosure/blob/e28f46223e73105ab2c5d83f3d50b99b58ef53e6/codex-3000/addendum-1.58/PROGRAMMES_A.json</x:v>
      </x:c>
      <x:c r="K3126" t="str">
        <x:v>Source min 36,40 m ; max 36,40 m ; modèle 36 × 40 m ; niveaux 0. Détails dans catalogue-existant.json.</x:v>
      </x:c>
    </x:row>
    <x:row r="3127">
      <x:c r="A3127" t="str">
        <x:v>DW-3122</x:v>
      </x:c>
      <x:c r="B3127" t="str">
        <x:v>DW-3122</x:v>
      </x:c>
      <x:c r="C3127" t="str">
        <x:v>Parent indépendant 1.58</x:v>
      </x:c>
      <x:c r="D3127" t="str">
        <x:v>Santé</x:v>
      </x:c>
      <x:c r="E3127" t="str">
        <x:v>Centre d'évaluation sensorielle</x:v>
      </x:c>
      <x:c r="F3127" t="n">
        <x:v>9</x:v>
      </x:c>
      <x:c r="G3127" t="n">
        <x:v>8</x:v>
      </x:c>
      <x:c r="H3127" t="n">
        <x:v>8</x:v>
      </x:c>
      <x:c r="I3127" t="str">
        <x:v>À qualifier par lieu</x:v>
      </x:c>
      <x:c r="J3127" t="str">
        <x:v>https://github.com/darknigthmare/deadwall-last-enclosure/blob/e28f46223e73105ab2c5d83f3d50b99b58ef53e6/codex-3000/addendum-1.58/PROGRAMMES_A.json</x:v>
      </x:c>
      <x:c r="K3127" t="str">
        <x:v>Source min 36,40 m ; max 36,40 m ; modèle 36 × 40 m ; niveaux 0. Détails dans catalogue-existant.json.</x:v>
      </x:c>
    </x:row>
    <x:row r="3128">
      <x:c r="A3128" t="str">
        <x:v>DW-3123</x:v>
      </x:c>
      <x:c r="B3128" t="str">
        <x:v>DW-3123</x:v>
      </x:c>
      <x:c r="C3128" t="str">
        <x:v>Parent indépendant 1.58</x:v>
      </x:c>
      <x:c r="D3128" t="str">
        <x:v>Santé</x:v>
      </x:c>
      <x:c r="E3128" t="str">
        <x:v>Atelier clinique d'orthèses</x:v>
      </x:c>
      <x:c r="F3128" t="n">
        <x:v>9</x:v>
      </x:c>
      <x:c r="G3128" t="n">
        <x:v>8</x:v>
      </x:c>
      <x:c r="H3128" t="n">
        <x:v>8</x:v>
      </x:c>
      <x:c r="I3128" t="str">
        <x:v>À qualifier par lieu</x:v>
      </x:c>
      <x:c r="J3128" t="str">
        <x:v>https://github.com/darknigthmare/deadwall-last-enclosure/blob/e28f46223e73105ab2c5d83f3d50b99b58ef53e6/codex-3000/addendum-1.58/PROGRAMMES_A.json</x:v>
      </x:c>
      <x:c r="K3128" t="str">
        <x:v>Source min 36,40 m ; max 36,40 m ; modèle 36 × 40 m ; niveaux 0. Détails dans catalogue-existant.json.</x:v>
      </x:c>
    </x:row>
    <x:row r="3129">
      <x:c r="A3129" t="str">
        <x:v>DW-3124</x:v>
      </x:c>
      <x:c r="B3129" t="str">
        <x:v>DW-3124</x:v>
      </x:c>
      <x:c r="C3129" t="str">
        <x:v>Parent indépendant 1.58</x:v>
      </x:c>
      <x:c r="D3129" t="str">
        <x:v>Santé</x:v>
      </x:c>
      <x:c r="E3129" t="str">
        <x:v>Laboratoire de prothèses dentaires</x:v>
      </x:c>
      <x:c r="F3129" t="n">
        <x:v>9</x:v>
      </x:c>
      <x:c r="G3129" t="n">
        <x:v>8</x:v>
      </x:c>
      <x:c r="H3129" t="n">
        <x:v>8</x:v>
      </x:c>
      <x:c r="I3129" t="str">
        <x:v>À qualifier par lieu</x:v>
      </x:c>
      <x:c r="J3129" t="str">
        <x:v>https://github.com/darknigthmare/deadwall-last-enclosure/blob/e28f46223e73105ab2c5d83f3d50b99b58ef53e6/codex-3000/addendum-1.58/PROGRAMMES_A.json</x:v>
      </x:c>
      <x:c r="K3129" t="str">
        <x:v>Source min 36,40 m ; max 36,40 m ; modèle 36 × 40 m ; niveaux 0. Détails dans catalogue-existant.json.</x:v>
      </x:c>
    </x:row>
    <x:row r="3130">
      <x:c r="A3130" t="str">
        <x:v>DW-3125</x:v>
      </x:c>
      <x:c r="B3130" t="str">
        <x:v>DW-3125</x:v>
      </x:c>
      <x:c r="C3130" t="str">
        <x:v>Parent indépendant 1.58</x:v>
      </x:c>
      <x:c r="D3130" t="str">
        <x:v>Santé</x:v>
      </x:c>
      <x:c r="E3130" t="str">
        <x:v>Centre d'audioprothèse</x:v>
      </x:c>
      <x:c r="F3130" t="n">
        <x:v>9</x:v>
      </x:c>
      <x:c r="G3130" t="n">
        <x:v>8</x:v>
      </x:c>
      <x:c r="H3130" t="n">
        <x:v>8</x:v>
      </x:c>
      <x:c r="I3130" t="str">
        <x:v>À qualifier par lieu</x:v>
      </x:c>
      <x:c r="J3130" t="str">
        <x:v>https://github.com/darknigthmare/deadwall-last-enclosure/blob/e28f46223e73105ab2c5d83f3d50b99b58ef53e6/codex-3000/addendum-1.58/PROGRAMMES_A.json</x:v>
      </x:c>
      <x:c r="K3130" t="str">
        <x:v>Source min 36,40 m ; max 36,40 m ; modèle 36 × 40 m ; niveaux 0. Détails dans catalogue-existant.json.</x:v>
      </x:c>
    </x:row>
    <x:row r="3131">
      <x:c r="A3131" t="str">
        <x:v>DW-3126</x:v>
      </x:c>
      <x:c r="B3131" t="str">
        <x:v>DW-3126</x:v>
      </x:c>
      <x:c r="C3131" t="str">
        <x:v>Parent indépendant 1.58</x:v>
      </x:c>
      <x:c r="D3131" t="str">
        <x:v>Santé</x:v>
      </x:c>
      <x:c r="E3131" t="str">
        <x:v>Centre d'hygiène dentaire</x:v>
      </x:c>
      <x:c r="F3131" t="n">
        <x:v>9</x:v>
      </x:c>
      <x:c r="G3131" t="n">
        <x:v>8</x:v>
      </x:c>
      <x:c r="H3131" t="n">
        <x:v>8</x:v>
      </x:c>
      <x:c r="I3131" t="str">
        <x:v>À qualifier par lieu</x:v>
      </x:c>
      <x:c r="J3131" t="str">
        <x:v>https://github.com/darknigthmare/deadwall-last-enclosure/blob/e28f46223e73105ab2c5d83f3d50b99b58ef53e6/codex-3000/addendum-1.58/PROGRAMMES_A.json</x:v>
      </x:c>
      <x:c r="K3131" t="str">
        <x:v>Source min 36,40 m ; max 36,40 m ; modèle 36 × 40 m ; niveaux 0. Détails dans catalogue-existant.json.</x:v>
      </x:c>
    </x:row>
    <x:row r="3132">
      <x:c r="A3132" t="str">
        <x:v>DW-3127</x:v>
      </x:c>
      <x:c r="B3132" t="str">
        <x:v>DW-3127</x:v>
      </x:c>
      <x:c r="C3132" t="str">
        <x:v>Parent indépendant 1.58</x:v>
      </x:c>
      <x:c r="D3132" t="str">
        <x:v>Santé</x:v>
      </x:c>
      <x:c r="E3132" t="str">
        <x:v>Unité de stérilisation ambulatoire</x:v>
      </x:c>
      <x:c r="F3132" t="n">
        <x:v>9</x:v>
      </x:c>
      <x:c r="G3132" t="n">
        <x:v>8</x:v>
      </x:c>
      <x:c r="H3132" t="n">
        <x:v>8</x:v>
      </x:c>
      <x:c r="I3132" t="str">
        <x:v>À qualifier par lieu</x:v>
      </x:c>
      <x:c r="J3132" t="str">
        <x:v>https://github.com/darknigthmare/deadwall-last-enclosure/blob/e28f46223e73105ab2c5d83f3d50b99b58ef53e6/codex-3000/addendum-1.58/PROGRAMMES_A.json</x:v>
      </x:c>
      <x:c r="K3132" t="str">
        <x:v>Source min 36,40 m ; max 36,40 m ; modèle 36 × 40 m ; niveaux 0. Détails dans catalogue-existant.json.</x:v>
      </x:c>
    </x:row>
    <x:row r="3133">
      <x:c r="A3133" t="str">
        <x:v>DW-3128</x:v>
      </x:c>
      <x:c r="B3133" t="str">
        <x:v>DW-3128</x:v>
      </x:c>
      <x:c r="C3133" t="str">
        <x:v>Parent indépendant 1.58</x:v>
      </x:c>
      <x:c r="D3133" t="str">
        <x:v>Santé</x:v>
      </x:c>
      <x:c r="E3133" t="str">
        <x:v>Centre de dépôt d'échantillons cliniques</x:v>
      </x:c>
      <x:c r="F3133" t="n">
        <x:v>9</x:v>
      </x:c>
      <x:c r="G3133" t="n">
        <x:v>8</x:v>
      </x:c>
      <x:c r="H3133" t="n">
        <x:v>8</x:v>
      </x:c>
      <x:c r="I3133" t="str">
        <x:v>À qualifier par lieu</x:v>
      </x:c>
      <x:c r="J3133" t="str">
        <x:v>https://github.com/darknigthmare/deadwall-last-enclosure/blob/e28f46223e73105ab2c5d83f3d50b99b58ef53e6/codex-3000/addendum-1.58/PROGRAMMES_A.json</x:v>
      </x:c>
      <x:c r="K3133" t="str">
        <x:v>Source min 36,40 m ; max 36,40 m ; modèle 36 × 40 m ; niveaux 0. Détails dans catalogue-existant.json.</x:v>
      </x:c>
    </x:row>
    <x:row r="3134">
      <x:c r="A3134" t="str">
        <x:v>DW-3129</x:v>
      </x:c>
      <x:c r="B3134" t="str">
        <x:v>DW-3129</x:v>
      </x:c>
      <x:c r="C3134" t="str">
        <x:v>Parent indépendant 1.58</x:v>
      </x:c>
      <x:c r="D3134" t="str">
        <x:v>Santé</x:v>
      </x:c>
      <x:c r="E3134" t="str">
        <x:v>Réserve biologique de recherche clinique</x:v>
      </x:c>
      <x:c r="F3134" t="n">
        <x:v>9</x:v>
      </x:c>
      <x:c r="G3134" t="n">
        <x:v>8</x:v>
      </x:c>
      <x:c r="H3134" t="n">
        <x:v>8</x:v>
      </x:c>
      <x:c r="I3134" t="str">
        <x:v>À qualifier par lieu</x:v>
      </x:c>
      <x:c r="J3134" t="str">
        <x:v>https://github.com/darknigthmare/deadwall-last-enclosure/blob/e28f46223e73105ab2c5d83f3d50b99b58ef53e6/codex-3000/addendum-1.58/PROGRAMMES_A.json</x:v>
      </x:c>
      <x:c r="K3134" t="str">
        <x:v>Source min 36,40 m ; max 36,40 m ; modèle 36 × 40 m ; niveaux 0. Détails dans catalogue-existant.json.</x:v>
      </x:c>
    </x:row>
    <x:row r="3135">
      <x:c r="A3135" t="str">
        <x:v>DW-3130</x:v>
      </x:c>
      <x:c r="B3135" t="str">
        <x:v>DW-3130</x:v>
      </x:c>
      <x:c r="C3135" t="str">
        <x:v>Parent indépendant 1.58</x:v>
      </x:c>
      <x:c r="D3135" t="str">
        <x:v>Santé</x:v>
      </x:c>
      <x:c r="E3135" t="str">
        <x:v>Unité de préparation de kits médicaux</x:v>
      </x:c>
      <x:c r="F3135" t="n">
        <x:v>9</x:v>
      </x:c>
      <x:c r="G3135" t="n">
        <x:v>8</x:v>
      </x:c>
      <x:c r="H3135" t="n">
        <x:v>8</x:v>
      </x:c>
      <x:c r="I3135" t="str">
        <x:v>À qualifier par lieu</x:v>
      </x:c>
      <x:c r="J3135" t="str">
        <x:v>https://github.com/darknigthmare/deadwall-last-enclosure/blob/e28f46223e73105ab2c5d83f3d50b99b58ef53e6/codex-3000/addendum-1.58/PROGRAMMES_A.json</x:v>
      </x:c>
      <x:c r="K3135" t="str">
        <x:v>Source min 36,40 m ; max 36,40 m ; modèle 36 × 40 m ; niveaux 0. Détails dans catalogue-existant.json.</x:v>
      </x:c>
    </x:row>
    <x:row r="3136">
      <x:c r="A3136" t="str">
        <x:v>DW-3131</x:v>
      </x:c>
      <x:c r="B3136" t="str">
        <x:v>DW-3131</x:v>
      </x:c>
      <x:c r="C3136" t="str">
        <x:v>Parent indépendant 1.58</x:v>
      </x:c>
      <x:c r="D3136" t="str">
        <x:v>Administration et communauté</x:v>
      </x:c>
      <x:c r="E3136" t="str">
        <x:v>Maison de médiation familiale</x:v>
      </x:c>
      <x:c r="F3136" t="n">
        <x:v>9</x:v>
      </x:c>
      <x:c r="G3136" t="n">
        <x:v>8</x:v>
      </x:c>
      <x:c r="H3136" t="n">
        <x:v>8</x:v>
      </x:c>
      <x:c r="I3136" t="str">
        <x:v>À qualifier par lieu</x:v>
      </x:c>
      <x:c r="J3136" t="str">
        <x:v>https://github.com/darknigthmare/deadwall-last-enclosure/blob/e28f46223e73105ab2c5d83f3d50b99b58ef53e6/codex-3000/addendum-1.58/PROGRAMMES_A.json</x:v>
      </x:c>
      <x:c r="K3136" t="str">
        <x:v>Source min 36,40 m ; max 36,40 m ; modèle 36 × 40 m ; niveaux 0. Détails dans catalogue-existant.json.</x:v>
      </x:c>
    </x:row>
    <x:row r="3137">
      <x:c r="A3137" t="str">
        <x:v>DW-3132</x:v>
      </x:c>
      <x:c r="B3137" t="str">
        <x:v>DW-3132</x:v>
      </x:c>
      <x:c r="C3137" t="str">
        <x:v>Parent indépendant 1.58</x:v>
      </x:c>
      <x:c r="D3137" t="str">
        <x:v>Administration et communauté</x:v>
      </x:c>
      <x:c r="E3137" t="str">
        <x:v>Relais d'aide aux aidants</x:v>
      </x:c>
      <x:c r="F3137" t="n">
        <x:v>9</x:v>
      </x:c>
      <x:c r="G3137" t="n">
        <x:v>8</x:v>
      </x:c>
      <x:c r="H3137" t="n">
        <x:v>8</x:v>
      </x:c>
      <x:c r="I3137" t="str">
        <x:v>À qualifier par lieu</x:v>
      </x:c>
      <x:c r="J3137" t="str">
        <x:v>https://github.com/darknigthmare/deadwall-last-enclosure/blob/e28f46223e73105ab2c5d83f3d50b99b58ef53e6/codex-3000/addendum-1.58/PROGRAMMES_A.json</x:v>
      </x:c>
      <x:c r="K3137" t="str">
        <x:v>Source min 36,40 m ; max 36,40 m ; modèle 36 × 40 m ; niveaux 0. Détails dans catalogue-existant.json.</x:v>
      </x:c>
    </x:row>
    <x:row r="3138">
      <x:c r="A3138" t="str">
        <x:v>DW-3133</x:v>
      </x:c>
      <x:c r="B3138" t="str">
        <x:v>DW-3133</x:v>
      </x:c>
      <x:c r="C3138" t="str">
        <x:v>Parent indépendant 1.58</x:v>
      </x:c>
      <x:c r="D3138" t="str">
        <x:v>Administration et communauté</x:v>
      </x:c>
      <x:c r="E3138" t="str">
        <x:v>Maison de soutien à la parentalité</x:v>
      </x:c>
      <x:c r="F3138" t="n">
        <x:v>9</x:v>
      </x:c>
      <x:c r="G3138" t="n">
        <x:v>8</x:v>
      </x:c>
      <x:c r="H3138" t="n">
        <x:v>8</x:v>
      </x:c>
      <x:c r="I3138" t="str">
        <x:v>À qualifier par lieu</x:v>
      </x:c>
      <x:c r="J3138" t="str">
        <x:v>https://github.com/darknigthmare/deadwall-last-enclosure/blob/e28f46223e73105ab2c5d83f3d50b99b58ef53e6/codex-3000/addendum-1.58/PROGRAMMES_A.json</x:v>
      </x:c>
      <x:c r="K3138" t="str">
        <x:v>Source min 36,40 m ; max 36,40 m ; modèle 36 × 40 m ; niveaux 0. Détails dans catalogue-existant.json.</x:v>
      </x:c>
    </x:row>
    <x:row r="3139">
      <x:c r="A3139" t="str">
        <x:v>DW-3134</x:v>
      </x:c>
      <x:c r="B3139" t="str">
        <x:v>DW-3134</x:v>
      </x:c>
      <x:c r="C3139" t="str">
        <x:v>Parent indépendant 1.58</x:v>
      </x:c>
      <x:c r="D3139" t="str">
        <x:v>Administration et communauté</x:v>
      </x:c>
      <x:c r="E3139" t="str">
        <x:v>Centre d'orientation vers le logement</x:v>
      </x:c>
      <x:c r="F3139" t="n">
        <x:v>9</x:v>
      </x:c>
      <x:c r="G3139" t="n">
        <x:v>8</x:v>
      </x:c>
      <x:c r="H3139" t="n">
        <x:v>8</x:v>
      </x:c>
      <x:c r="I3139" t="str">
        <x:v>À qualifier par lieu</x:v>
      </x:c>
      <x:c r="J3139" t="str">
        <x:v>https://github.com/darknigthmare/deadwall-last-enclosure/blob/e28f46223e73105ab2c5d83f3d50b99b58ef53e6/codex-3000/addendum-1.58/PROGRAMMES_A.json</x:v>
      </x:c>
      <x:c r="K3139" t="str">
        <x:v>Source min 36,40 m ; max 36,40 m ; modèle 36 × 40 m ; niveaux 0. Détails dans catalogue-existant.json.</x:v>
      </x:c>
    </x:row>
    <x:row r="3140">
      <x:c r="A3140" t="str">
        <x:v>DW-3135</x:v>
      </x:c>
      <x:c r="B3140" t="str">
        <x:v>DW-3135</x:v>
      </x:c>
      <x:c r="C3140" t="str">
        <x:v>Parent indépendant 1.58</x:v>
      </x:c>
      <x:c r="D3140" t="str">
        <x:v>Administration et communauté</x:v>
      </x:c>
      <x:c r="E3140" t="str">
        <x:v>Relais d'accueil des personnes isolées</x:v>
      </x:c>
      <x:c r="F3140" t="n">
        <x:v>9</x:v>
      </x:c>
      <x:c r="G3140" t="n">
        <x:v>8</x:v>
      </x:c>
      <x:c r="H3140" t="n">
        <x:v>8</x:v>
      </x:c>
      <x:c r="I3140" t="str">
        <x:v>À qualifier par lieu</x:v>
      </x:c>
      <x:c r="J3140" t="str">
        <x:v>https://github.com/darknigthmare/deadwall-last-enclosure/blob/e28f46223e73105ab2c5d83f3d50b99b58ef53e6/codex-3000/addendum-1.58/PROGRAMMES_A.json</x:v>
      </x:c>
      <x:c r="K3140" t="str">
        <x:v>Source min 36,40 m ; max 36,40 m ; modèle 36 × 40 m ; niveaux 0. Détails dans catalogue-existant.json.</x:v>
      </x:c>
    </x:row>
    <x:row r="3141">
      <x:c r="A3141" t="str">
        <x:v>DW-3136</x:v>
      </x:c>
      <x:c r="B3141" t="str">
        <x:v>DW-3136</x:v>
      </x:c>
      <x:c r="C3141" t="str">
        <x:v>Parent indépendant 1.58</x:v>
      </x:c>
      <x:c r="D3141" t="str">
        <x:v>Administration et communauté</x:v>
      </x:c>
      <x:c r="E3141" t="str">
        <x:v>Centre de distribution de vêtements</x:v>
      </x:c>
      <x:c r="F3141" t="n">
        <x:v>9</x:v>
      </x:c>
      <x:c r="G3141" t="n">
        <x:v>8</x:v>
      </x:c>
      <x:c r="H3141" t="n">
        <x:v>8</x:v>
      </x:c>
      <x:c r="I3141" t="str">
        <x:v>À qualifier par lieu</x:v>
      </x:c>
      <x:c r="J3141" t="str">
        <x:v>https://github.com/darknigthmare/deadwall-last-enclosure/blob/e28f46223e73105ab2c5d83f3d50b99b58ef53e6/codex-3000/addendum-1.58/PROGRAMMES_A.json</x:v>
      </x:c>
      <x:c r="K3141" t="str">
        <x:v>Source min 36,40 m ; max 36,40 m ; modèle 36 × 40 m ; niveaux 0. Détails dans catalogue-existant.json.</x:v>
      </x:c>
    </x:row>
    <x:row r="3142">
      <x:c r="A3142" t="str">
        <x:v>DW-3137</x:v>
      </x:c>
      <x:c r="B3142" t="str">
        <x:v>DW-3137</x:v>
      </x:c>
      <x:c r="C3142" t="str">
        <x:v>Parent indépendant 1.58</x:v>
      </x:c>
      <x:c r="D3142" t="str">
        <x:v>Administration et communauté</x:v>
      </x:c>
      <x:c r="E3142" t="str">
        <x:v>Maison d'accès aux droits sociaux</x:v>
      </x:c>
      <x:c r="F3142" t="n">
        <x:v>9</x:v>
      </x:c>
      <x:c r="G3142" t="n">
        <x:v>8</x:v>
      </x:c>
      <x:c r="H3142" t="n">
        <x:v>8</x:v>
      </x:c>
      <x:c r="I3142" t="str">
        <x:v>À qualifier par lieu</x:v>
      </x:c>
      <x:c r="J3142" t="str">
        <x:v>https://github.com/darknigthmare/deadwall-last-enclosure/blob/e28f46223e73105ab2c5d83f3d50b99b58ef53e6/codex-3000/addendum-1.58/PROGRAMMES_A.json</x:v>
      </x:c>
      <x:c r="K3142" t="str">
        <x:v>Source min 36,40 m ; max 36,40 m ; modèle 36 × 40 m ; niveaux 0. Détails dans catalogue-existant.json.</x:v>
      </x:c>
    </x:row>
    <x:row r="3143">
      <x:c r="A3143" t="str">
        <x:v>DW-3138</x:v>
      </x:c>
      <x:c r="B3143" t="str">
        <x:v>DW-3138</x:v>
      </x:c>
      <x:c r="C3143" t="str">
        <x:v>Parent indépendant 1.58</x:v>
      </x:c>
      <x:c r="D3143" t="str">
        <x:v>Administration et communauté</x:v>
      </x:c>
      <x:c r="E3143" t="str">
        <x:v>Relais d'accompagnement du handicap</x:v>
      </x:c>
      <x:c r="F3143" t="n">
        <x:v>9</x:v>
      </x:c>
      <x:c r="G3143" t="n">
        <x:v>8</x:v>
      </x:c>
      <x:c r="H3143" t="n">
        <x:v>8</x:v>
      </x:c>
      <x:c r="I3143" t="str">
        <x:v>À qualifier par lieu</x:v>
      </x:c>
      <x:c r="J3143" t="str">
        <x:v>https://github.com/darknigthmare/deadwall-last-enclosure/blob/e28f46223e73105ab2c5d83f3d50b99b58ef53e6/codex-3000/addendum-1.58/PROGRAMMES_A.json</x:v>
      </x:c>
      <x:c r="K3143" t="str">
        <x:v>Source min 36,40 m ; max 36,40 m ; modèle 36 × 40 m ; niveaux 0. Détails dans catalogue-existant.json.</x:v>
      </x:c>
    </x:row>
    <x:row r="3144">
      <x:c r="A3144" t="str">
        <x:v>DW-3139</x:v>
      </x:c>
      <x:c r="B3144" t="str">
        <x:v>DW-3139</x:v>
      </x:c>
      <x:c r="C3144" t="str">
        <x:v>Parent indépendant 1.58</x:v>
      </x:c>
      <x:c r="D3144" t="str">
        <x:v>Administration et communauté</x:v>
      </x:c>
      <x:c r="E3144" t="str">
        <x:v>Maison d'accompagnement du deuil</x:v>
      </x:c>
      <x:c r="F3144" t="n">
        <x:v>9</x:v>
      </x:c>
      <x:c r="G3144" t="n">
        <x:v>8</x:v>
      </x:c>
      <x:c r="H3144" t="n">
        <x:v>8</x:v>
      </x:c>
      <x:c r="I3144" t="str">
        <x:v>À qualifier par lieu</x:v>
      </x:c>
      <x:c r="J3144" t="str">
        <x:v>https://github.com/darknigthmare/deadwall-last-enclosure/blob/e28f46223e73105ab2c5d83f3d50b99b58ef53e6/codex-3000/addendum-1.58/PROGRAMMES_A.json</x:v>
      </x:c>
      <x:c r="K3144" t="str">
        <x:v>Source min 36,40 m ; max 36,40 m ; modèle 36 × 40 m ; niveaux 0. Détails dans catalogue-existant.json.</x:v>
      </x:c>
    </x:row>
    <x:row r="3145">
      <x:c r="A3145" t="str">
        <x:v>DW-3140</x:v>
      </x:c>
      <x:c r="B3145" t="str">
        <x:v>DW-3140</x:v>
      </x:c>
      <x:c r="C3145" t="str">
        <x:v>Parent indépendant 1.58</x:v>
      </x:c>
      <x:c r="D3145" t="str">
        <x:v>Administration et communauté</x:v>
      </x:c>
      <x:c r="E3145" t="str">
        <x:v>Espace de rencontres familiales encadrées</x:v>
      </x:c>
      <x:c r="F3145" t="n">
        <x:v>9</x:v>
      </x:c>
      <x:c r="G3145" t="n">
        <x:v>8</x:v>
      </x:c>
      <x:c r="H3145" t="n">
        <x:v>8</x:v>
      </x:c>
      <x:c r="I3145" t="str">
        <x:v>À qualifier par lieu</x:v>
      </x:c>
      <x:c r="J3145" t="str">
        <x:v>https://github.com/darknigthmare/deadwall-last-enclosure/blob/e28f46223e73105ab2c5d83f3d50b99b58ef53e6/codex-3000/addendum-1.58/PROGRAMMES_A.json</x:v>
      </x:c>
      <x:c r="K3145" t="str">
        <x:v>Source min 36,40 m ; max 36,40 m ; modèle 36 × 40 m ; niveaux 0. Détails dans catalogue-existant.json.</x:v>
      </x:c>
    </x:row>
    <x:row r="3146">
      <x:c r="A3146" t="str">
        <x:v>DW-3141</x:v>
      </x:c>
      <x:c r="B3146" t="str">
        <x:v>DW-3141</x:v>
      </x:c>
      <x:c r="C3146" t="str">
        <x:v>Parent indépendant 1.58</x:v>
      </x:c>
      <x:c r="D3146" t="str">
        <x:v>Administration et communauté</x:v>
      </x:c>
      <x:c r="E3146" t="str">
        <x:v>Maison d'orientation professionnelle</x:v>
      </x:c>
      <x:c r="F3146" t="n">
        <x:v>9</x:v>
      </x:c>
      <x:c r="G3146" t="n">
        <x:v>8</x:v>
      </x:c>
      <x:c r="H3146" t="n">
        <x:v>8</x:v>
      </x:c>
      <x:c r="I3146" t="str">
        <x:v>À qualifier par lieu</x:v>
      </x:c>
      <x:c r="J3146" t="str">
        <x:v>https://github.com/darknigthmare/deadwall-last-enclosure/blob/e28f46223e73105ab2c5d83f3d50b99b58ef53e6/codex-3000/addendum-1.58/PROGRAMMES_A.json</x:v>
      </x:c>
      <x:c r="K3146" t="str">
        <x:v>Source min 36,40 m ; max 36,40 m ; modèle 36 × 40 m ; niveaux 0. Détails dans catalogue-existant.json.</x:v>
      </x:c>
    </x:row>
    <x:row r="3147">
      <x:c r="A3147" t="str">
        <x:v>DW-3142</x:v>
      </x:c>
      <x:c r="B3147" t="str">
        <x:v>DW-3142</x:v>
      </x:c>
      <x:c r="C3147" t="str">
        <x:v>Parent indépendant 1.58</x:v>
      </x:c>
      <x:c r="D3147" t="str">
        <x:v>Administration et communauté</x:v>
      </x:c>
      <x:c r="E3147" t="str">
        <x:v>Centre de conseil budgétaire</x:v>
      </x:c>
      <x:c r="F3147" t="n">
        <x:v>9</x:v>
      </x:c>
      <x:c r="G3147" t="n">
        <x:v>8</x:v>
      </x:c>
      <x:c r="H3147" t="n">
        <x:v>8</x:v>
      </x:c>
      <x:c r="I3147" t="str">
        <x:v>À qualifier par lieu</x:v>
      </x:c>
      <x:c r="J3147" t="str">
        <x:v>https://github.com/darknigthmare/deadwall-last-enclosure/blob/e28f46223e73105ab2c5d83f3d50b99b58ef53e6/codex-3000/addendum-1.58/PROGRAMMES_A.json</x:v>
      </x:c>
      <x:c r="K3147" t="str">
        <x:v>Source min 36,40 m ; max 36,40 m ; modèle 36 × 40 m ; niveaux 0. Détails dans catalogue-existant.json.</x:v>
      </x:c>
    </x:row>
    <x:row r="3148">
      <x:c r="A3148" t="str">
        <x:v>DW-3143</x:v>
      </x:c>
      <x:c r="B3148" t="str">
        <x:v>DW-3143</x:v>
      </x:c>
      <x:c r="C3148" t="str">
        <x:v>Parent indépendant 1.58</x:v>
      </x:c>
      <x:c r="D3148" t="str">
        <x:v>Administration et communauté</x:v>
      </x:c>
      <x:c r="E3148" t="str">
        <x:v>Relais de protection de l'enfance</x:v>
      </x:c>
      <x:c r="F3148" t="n">
        <x:v>9</x:v>
      </x:c>
      <x:c r="G3148" t="n">
        <x:v>8</x:v>
      </x:c>
      <x:c r="H3148" t="n">
        <x:v>8</x:v>
      </x:c>
      <x:c r="I3148" t="str">
        <x:v>À qualifier par lieu</x:v>
      </x:c>
      <x:c r="J3148" t="str">
        <x:v>https://github.com/darknigthmare/deadwall-last-enclosure/blob/e28f46223e73105ab2c5d83f3d50b99b58ef53e6/codex-3000/addendum-1.58/PROGRAMMES_A.json</x:v>
      </x:c>
      <x:c r="K3148" t="str">
        <x:v>Source min 36,40 m ; max 36,40 m ; modèle 36 × 40 m ; niveaux 0. Détails dans catalogue-existant.json.</x:v>
      </x:c>
    </x:row>
    <x:row r="3149">
      <x:c r="A3149" t="str">
        <x:v>DW-3144</x:v>
      </x:c>
      <x:c r="B3149" t="str">
        <x:v>DW-3144</x:v>
      </x:c>
      <x:c r="C3149" t="str">
        <x:v>Parent indépendant 1.58</x:v>
      </x:c>
      <x:c r="D3149" t="str">
        <x:v>Administration et communauté</x:v>
      </x:c>
      <x:c r="E3149" t="str">
        <x:v>Maison d'entraide des consommateurs</x:v>
      </x:c>
      <x:c r="F3149" t="n">
        <x:v>9</x:v>
      </x:c>
      <x:c r="G3149" t="n">
        <x:v>8</x:v>
      </x:c>
      <x:c r="H3149" t="n">
        <x:v>8</x:v>
      </x:c>
      <x:c r="I3149" t="str">
        <x:v>À qualifier par lieu</x:v>
      </x:c>
      <x:c r="J3149" t="str">
        <x:v>https://github.com/darknigthmare/deadwall-last-enclosure/blob/e28f46223e73105ab2c5d83f3d50b99b58ef53e6/codex-3000/addendum-1.58/PROGRAMMES_A.json</x:v>
      </x:c>
      <x:c r="K3149" t="str">
        <x:v>Source min 36,40 m ; max 36,40 m ; modèle 36 × 40 m ; niveaux 0. Détails dans catalogue-existant.json.</x:v>
      </x:c>
    </x:row>
    <x:row r="3150">
      <x:c r="A3150" t="str">
        <x:v>DW-3145</x:v>
      </x:c>
      <x:c r="B3150" t="str">
        <x:v>DW-3145</x:v>
      </x:c>
      <x:c r="C3150" t="str">
        <x:v>Parent indépendant 1.58</x:v>
      </x:c>
      <x:c r="D3150" t="str">
        <x:v>Administration et communauté</x:v>
      </x:c>
      <x:c r="E3150" t="str">
        <x:v>Relais de communication adaptée</x:v>
      </x:c>
      <x:c r="F3150" t="n">
        <x:v>9</x:v>
      </x:c>
      <x:c r="G3150" t="n">
        <x:v>8</x:v>
      </x:c>
      <x:c r="H3150" t="n">
        <x:v>8</x:v>
      </x:c>
      <x:c r="I3150" t="str">
        <x:v>À qualifier par lieu</x:v>
      </x:c>
      <x:c r="J3150" t="str">
        <x:v>https://github.com/darknigthmare/deadwall-last-enclosure/blob/e28f46223e73105ab2c5d83f3d50b99b58ef53e6/codex-3000/addendum-1.58/PROGRAMMES_A.json</x:v>
      </x:c>
      <x:c r="K3150" t="str">
        <x:v>Source min 36,40 m ; max 36,40 m ; modèle 36 × 40 m ; niveaux 0. Détails dans catalogue-existant.json.</x:v>
      </x:c>
    </x:row>
    <x:row r="3151">
      <x:c r="A3151" t="str">
        <x:v>DW-3146</x:v>
      </x:c>
      <x:c r="B3151" t="str">
        <x:v>DW-3146</x:v>
      </x:c>
      <x:c r="C3151" t="str">
        <x:v>Parent indépendant 1.58</x:v>
      </x:c>
      <x:c r="D3151" t="str">
        <x:v>Administration et communauté</x:v>
      </x:c>
      <x:c r="E3151" t="str">
        <x:v>Maison d'orientation des jeunes majeurs</x:v>
      </x:c>
      <x:c r="F3151" t="n">
        <x:v>9</x:v>
      </x:c>
      <x:c r="G3151" t="n">
        <x:v>8</x:v>
      </x:c>
      <x:c r="H3151" t="n">
        <x:v>8</x:v>
      </x:c>
      <x:c r="I3151" t="str">
        <x:v>À qualifier par lieu</x:v>
      </x:c>
      <x:c r="J3151" t="str">
        <x:v>https://github.com/darknigthmare/deadwall-last-enclosure/blob/e28f46223e73105ab2c5d83f3d50b99b58ef53e6/codex-3000/addendum-1.58/PROGRAMMES_A.json</x:v>
      </x:c>
      <x:c r="K3151" t="str">
        <x:v>Source min 36,40 m ; max 36,40 m ; modèle 36 × 40 m ; niveaux 0. Détails dans catalogue-existant.json.</x:v>
      </x:c>
    </x:row>
    <x:row r="3152">
      <x:c r="A3152" t="str">
        <x:v>DW-3147</x:v>
      </x:c>
      <x:c r="B3152" t="str">
        <x:v>DW-3147</x:v>
      </x:c>
      <x:c r="C3152" t="str">
        <x:v>Parent indépendant 1.58</x:v>
      </x:c>
      <x:c r="D3152" t="str">
        <x:v>Administration et communauté</x:v>
      </x:c>
      <x:c r="E3152" t="str">
        <x:v>Relais de visite aux personnes âgées</x:v>
      </x:c>
      <x:c r="F3152" t="n">
        <x:v>9</x:v>
      </x:c>
      <x:c r="G3152" t="n">
        <x:v>8</x:v>
      </x:c>
      <x:c r="H3152" t="n">
        <x:v>8</x:v>
      </x:c>
      <x:c r="I3152" t="str">
        <x:v>À qualifier par lieu</x:v>
      </x:c>
      <x:c r="J3152" t="str">
        <x:v>https://github.com/darknigthmare/deadwall-last-enclosure/blob/e28f46223e73105ab2c5d83f3d50b99b58ef53e6/codex-3000/addendum-1.58/PROGRAMMES_A.json</x:v>
      </x:c>
      <x:c r="K3152" t="str">
        <x:v>Source min 36,40 m ; max 36,40 m ; modèle 36 × 40 m ; niveaux 0. Détails dans catalogue-existant.json.</x:v>
      </x:c>
    </x:row>
    <x:row r="3153">
      <x:c r="A3153" t="str">
        <x:v>DW-3148</x:v>
      </x:c>
      <x:c r="B3153" t="str">
        <x:v>DW-3148</x:v>
      </x:c>
      <x:c r="C3153" t="str">
        <x:v>Parent indépendant 1.58</x:v>
      </x:c>
      <x:c r="D3153" t="str">
        <x:v>Administration et communauté</x:v>
      </x:c>
      <x:c r="E3153" t="str">
        <x:v>Centre d'accueil linguistique social</x:v>
      </x:c>
      <x:c r="F3153" t="n">
        <x:v>9</x:v>
      </x:c>
      <x:c r="G3153" t="n">
        <x:v>8</x:v>
      </x:c>
      <x:c r="H3153" t="n">
        <x:v>8</x:v>
      </x:c>
      <x:c r="I3153" t="str">
        <x:v>À qualifier par lieu</x:v>
      </x:c>
      <x:c r="J3153" t="str">
        <x:v>https://github.com/darknigthmare/deadwall-last-enclosure/blob/e28f46223e73105ab2c5d83f3d50b99b58ef53e6/codex-3000/addendum-1.58/PROGRAMMES_A.json</x:v>
      </x:c>
      <x:c r="K3153" t="str">
        <x:v>Source min 36,40 m ; max 36,40 m ; modèle 36 × 40 m ; niveaux 0. Détails dans catalogue-existant.json.</x:v>
      </x:c>
    </x:row>
    <x:row r="3154">
      <x:c r="A3154" t="str">
        <x:v>DW-3149</x:v>
      </x:c>
      <x:c r="B3154" t="str">
        <x:v>DW-3149</x:v>
      </x:c>
      <x:c r="C3154" t="str">
        <x:v>Parent indépendant 1.58</x:v>
      </x:c>
      <x:c r="D3154" t="str">
        <x:v>Administration et communauté</x:v>
      </x:c>
      <x:c r="E3154" t="str">
        <x:v>Maison de préparation au retour à l'emploi</x:v>
      </x:c>
      <x:c r="F3154" t="n">
        <x:v>9</x:v>
      </x:c>
      <x:c r="G3154" t="n">
        <x:v>8</x:v>
      </x:c>
      <x:c r="H3154" t="n">
        <x:v>8</x:v>
      </x:c>
      <x:c r="I3154" t="str">
        <x:v>À qualifier par lieu</x:v>
      </x:c>
      <x:c r="J3154" t="str">
        <x:v>https://github.com/darknigthmare/deadwall-last-enclosure/blob/e28f46223e73105ab2c5d83f3d50b99b58ef53e6/codex-3000/addendum-1.58/PROGRAMMES_A.json</x:v>
      </x:c>
      <x:c r="K3154" t="str">
        <x:v>Source min 36,40 m ; max 36,40 m ; modèle 36 × 40 m ; niveaux 0. Détails dans catalogue-existant.json.</x:v>
      </x:c>
    </x:row>
    <x:row r="3155">
      <x:c r="A3155" t="str">
        <x:v>DW-3150</x:v>
      </x:c>
      <x:c r="B3155" t="str">
        <x:v>DW-3150</x:v>
      </x:c>
      <x:c r="C3155" t="str">
        <x:v>Parent indépendant 1.58</x:v>
      </x:c>
      <x:c r="D3155" t="str">
        <x:v>Administration et communauté</x:v>
      </x:c>
      <x:c r="E3155" t="str">
        <x:v>Relais d'accompagnement des sans-abri</x:v>
      </x:c>
      <x:c r="F3155" t="n">
        <x:v>9</x:v>
      </x:c>
      <x:c r="G3155" t="n">
        <x:v>8</x:v>
      </x:c>
      <x:c r="H3155" t="n">
        <x:v>8</x:v>
      </x:c>
      <x:c r="I3155" t="str">
        <x:v>À qualifier par lieu</x:v>
      </x:c>
      <x:c r="J3155" t="str">
        <x:v>https://github.com/darknigthmare/deadwall-last-enclosure/blob/e28f46223e73105ab2c5d83f3d50b99b58ef53e6/codex-3000/addendum-1.58/PROGRAMMES_A.json</x:v>
      </x:c>
      <x:c r="K3155" t="str">
        <x:v>Source min 36,40 m ; max 36,40 m ; modèle 36 × 40 m ; niveaux 0. Détails dans catalogue-existant.json.</x:v>
      </x:c>
    </x:row>
    <x:row r="3156">
      <x:c r="A3156" t="str">
        <x:v>DW-3151</x:v>
      </x:c>
      <x:c r="B3156" t="str">
        <x:v>DW-3151</x:v>
      </x:c>
      <x:c r="C3156" t="str">
        <x:v>Parent indépendant 1.58</x:v>
      </x:c>
      <x:c r="D3156" t="str">
        <x:v>Administration et communauté</x:v>
      </x:c>
      <x:c r="E3156" t="str">
        <x:v>Centre de remise de colis alimentaires</x:v>
      </x:c>
      <x:c r="F3156" t="n">
        <x:v>9</x:v>
      </x:c>
      <x:c r="G3156" t="n">
        <x:v>8</x:v>
      </x:c>
      <x:c r="H3156" t="n">
        <x:v>8</x:v>
      </x:c>
      <x:c r="I3156" t="str">
        <x:v>À qualifier par lieu</x:v>
      </x:c>
      <x:c r="J3156" t="str">
        <x:v>https://github.com/darknigthmare/deadwall-last-enclosure/blob/e28f46223e73105ab2c5d83f3d50b99b58ef53e6/codex-3000/addendum-1.58/PROGRAMMES_A.json</x:v>
      </x:c>
      <x:c r="K3156" t="str">
        <x:v>Source min 36,40 m ; max 36,40 m ; modèle 36 × 40 m ; niveaux 0. Détails dans catalogue-existant.json.</x:v>
      </x:c>
    </x:row>
    <x:row r="3157">
      <x:c r="A3157" t="str">
        <x:v>DW-3152</x:v>
      </x:c>
      <x:c r="B3157" t="str">
        <x:v>DW-3152</x:v>
      </x:c>
      <x:c r="C3157" t="str">
        <x:v>Parent indépendant 1.58</x:v>
      </x:c>
      <x:c r="D3157" t="str">
        <x:v>Administration et communauté</x:v>
      </x:c>
      <x:c r="E3157" t="str">
        <x:v>Maison d'entraide des familles nombreuses</x:v>
      </x:c>
      <x:c r="F3157" t="n">
        <x:v>9</x:v>
      </x:c>
      <x:c r="G3157" t="n">
        <x:v>8</x:v>
      </x:c>
      <x:c r="H3157" t="n">
        <x:v>8</x:v>
      </x:c>
      <x:c r="I3157" t="str">
        <x:v>À qualifier par lieu</x:v>
      </x:c>
      <x:c r="J3157" t="str">
        <x:v>https://github.com/darknigthmare/deadwall-last-enclosure/blob/e28f46223e73105ab2c5d83f3d50b99b58ef53e6/codex-3000/addendum-1.58/PROGRAMMES_A.json</x:v>
      </x:c>
      <x:c r="K3157" t="str">
        <x:v>Source min 36,40 m ; max 36,40 m ; modèle 36 × 40 m ; niveaux 0. Détails dans catalogue-existant.json.</x:v>
      </x:c>
    </x:row>
    <x:row r="3158">
      <x:c r="A3158" t="str">
        <x:v>DW-3153</x:v>
      </x:c>
      <x:c r="B3158" t="str">
        <x:v>DW-3153</x:v>
      </x:c>
      <x:c r="C3158" t="str">
        <x:v>Parent indépendant 1.58</x:v>
      </x:c>
      <x:c r="D3158" t="str">
        <x:v>Administration et communauté</x:v>
      </x:c>
      <x:c r="E3158" t="str">
        <x:v>Relais de préparation de déménagement social</x:v>
      </x:c>
      <x:c r="F3158" t="n">
        <x:v>9</x:v>
      </x:c>
      <x:c r="G3158" t="n">
        <x:v>8</x:v>
      </x:c>
      <x:c r="H3158" t="n">
        <x:v>8</x:v>
      </x:c>
      <x:c r="I3158" t="str">
        <x:v>À qualifier par lieu</x:v>
      </x:c>
      <x:c r="J3158" t="str">
        <x:v>https://github.com/darknigthmare/deadwall-last-enclosure/blob/e28f46223e73105ab2c5d83f3d50b99b58ef53e6/codex-3000/addendum-1.58/PROGRAMMES_A.json</x:v>
      </x:c>
      <x:c r="K3158" t="str">
        <x:v>Source min 36,40 m ; max 36,40 m ; modèle 36 × 40 m ; niveaux 0. Détails dans catalogue-existant.json.</x:v>
      </x:c>
    </x:row>
    <x:row r="3159">
      <x:c r="A3159" t="str">
        <x:v>DW-3154</x:v>
      </x:c>
      <x:c r="B3159" t="str">
        <x:v>DW-3154</x:v>
      </x:c>
      <x:c r="C3159" t="str">
        <x:v>Parent indépendant 1.58</x:v>
      </x:c>
      <x:c r="D3159" t="str">
        <x:v>Administration et communauté</x:v>
      </x:c>
      <x:c r="E3159" t="str">
        <x:v>Maison de soutien aux travailleurs précaires</x:v>
      </x:c>
      <x:c r="F3159" t="n">
        <x:v>9</x:v>
      </x:c>
      <x:c r="G3159" t="n">
        <x:v>8</x:v>
      </x:c>
      <x:c r="H3159" t="n">
        <x:v>8</x:v>
      </x:c>
      <x:c r="I3159" t="str">
        <x:v>À qualifier par lieu</x:v>
      </x:c>
      <x:c r="J3159" t="str">
        <x:v>https://github.com/darknigthmare/deadwall-last-enclosure/blob/e28f46223e73105ab2c5d83f3d50b99b58ef53e6/codex-3000/addendum-1.58/PROGRAMMES_A.json</x:v>
      </x:c>
      <x:c r="K3159" t="str">
        <x:v>Source min 36,40 m ; max 36,40 m ; modèle 36 × 40 m ; niveaux 0. Détails dans catalogue-existant.json.</x:v>
      </x:c>
    </x:row>
    <x:row r="3160">
      <x:c r="A3160" t="str">
        <x:v>DW-3155</x:v>
      </x:c>
      <x:c r="B3160" t="str">
        <x:v>DW-3155</x:v>
      </x:c>
      <x:c r="C3160" t="str">
        <x:v>Parent indépendant 1.58</x:v>
      </x:c>
      <x:c r="D3160" t="str">
        <x:v>Administration et communauté</x:v>
      </x:c>
      <x:c r="E3160" t="str">
        <x:v>Relais de soutien aux familles déplacées</x:v>
      </x:c>
      <x:c r="F3160" t="n">
        <x:v>9</x:v>
      </x:c>
      <x:c r="G3160" t="n">
        <x:v>8</x:v>
      </x:c>
      <x:c r="H3160" t="n">
        <x:v>8</x:v>
      </x:c>
      <x:c r="I3160" t="str">
        <x:v>À qualifier par lieu</x:v>
      </x:c>
      <x:c r="J3160" t="str">
        <x:v>https://github.com/darknigthmare/deadwall-last-enclosure/blob/e28f46223e73105ab2c5d83f3d50b99b58ef53e6/codex-3000/addendum-1.58/PROGRAMMES_A.json</x:v>
      </x:c>
      <x:c r="K3160" t="str">
        <x:v>Source min 36,40 m ; max 36,40 m ; modèle 36 × 40 m ; niveaux 0. Détails dans catalogue-existant.json.</x:v>
      </x:c>
    </x:row>
    <x:row r="3161">
      <x:c r="A3161" t="str">
        <x:v>DW-3156</x:v>
      </x:c>
      <x:c r="B3161" t="str">
        <x:v>DW-3156</x:v>
      </x:c>
      <x:c r="C3161" t="str">
        <x:v>Parent indépendant 1.58</x:v>
      </x:c>
      <x:c r="D3161" t="str">
        <x:v>Hôtellerie et hébergement</x:v>
      </x:c>
      <x:c r="E3161" t="str">
        <x:v>Hostellerie de pèlerins</x:v>
      </x:c>
      <x:c r="F3161" t="n">
        <x:v>9</x:v>
      </x:c>
      <x:c r="G3161" t="n">
        <x:v>8</x:v>
      </x:c>
      <x:c r="H3161" t="n">
        <x:v>8</x:v>
      </x:c>
      <x:c r="I3161" t="str">
        <x:v>À qualifier par lieu</x:v>
      </x:c>
      <x:c r="J3161" t="str">
        <x:v>https://github.com/darknigthmare/deadwall-last-enclosure/blob/e28f46223e73105ab2c5d83f3d50b99b58ef53e6/codex-3000/addendum-1.58/PROGRAMMES_A.json</x:v>
      </x:c>
      <x:c r="K3161" t="str">
        <x:v>Source min 40,36 m ; max 40,36 m ; modèle 40 × 36 m ; niveaux 0, 1. Détails dans catalogue-existant.json.</x:v>
      </x:c>
    </x:row>
    <x:row r="3162">
      <x:c r="A3162" t="str">
        <x:v>DW-3157</x:v>
      </x:c>
      <x:c r="B3162" t="str">
        <x:v>DW-3157</x:v>
      </x:c>
      <x:c r="C3162" t="str">
        <x:v>Parent indépendant 1.58</x:v>
      </x:c>
      <x:c r="D3162" t="str">
        <x:v>Hôtellerie et hébergement</x:v>
      </x:c>
      <x:c r="E3162" t="str">
        <x:v>Maison d'étape cyclotouriste</x:v>
      </x:c>
      <x:c r="F3162" t="n">
        <x:v>9</x:v>
      </x:c>
      <x:c r="G3162" t="n">
        <x:v>8</x:v>
      </x:c>
      <x:c r="H3162" t="n">
        <x:v>8</x:v>
      </x:c>
      <x:c r="I3162" t="str">
        <x:v>À qualifier par lieu</x:v>
      </x:c>
      <x:c r="J3162" t="str">
        <x:v>https://github.com/darknigthmare/deadwall-last-enclosure/blob/e28f46223e73105ab2c5d83f3d50b99b58ef53e6/codex-3000/addendum-1.58/PROGRAMMES_A.json</x:v>
      </x:c>
      <x:c r="K3162" t="str">
        <x:v>Source min 40,36 m ; max 40,36 m ; modèle 40 × 36 m ; niveaux 0, 1. Détails dans catalogue-existant.json.</x:v>
      </x:c>
    </x:row>
    <x:row r="3163">
      <x:c r="A3163" t="str">
        <x:v>DW-3158</x:v>
      </x:c>
      <x:c r="B3163" t="str">
        <x:v>DW-3158</x:v>
      </x:c>
      <x:c r="C3163" t="str">
        <x:v>Parent indépendant 1.58</x:v>
      </x:c>
      <x:c r="D3163" t="str">
        <x:v>Hôtellerie et hébergement</x:v>
      </x:c>
      <x:c r="E3163" t="str">
        <x:v>Hébergement d'équipes de chantier</x:v>
      </x:c>
      <x:c r="F3163" t="n">
        <x:v>9</x:v>
      </x:c>
      <x:c r="G3163" t="n">
        <x:v>8</x:v>
      </x:c>
      <x:c r="H3163" t="n">
        <x:v>8</x:v>
      </x:c>
      <x:c r="I3163" t="str">
        <x:v>À qualifier par lieu</x:v>
      </x:c>
      <x:c r="J3163" t="str">
        <x:v>https://github.com/darknigthmare/deadwall-last-enclosure/blob/e28f46223e73105ab2c5d83f3d50b99b58ef53e6/codex-3000/addendum-1.58/PROGRAMMES_A.json</x:v>
      </x:c>
      <x:c r="K3163" t="str">
        <x:v>Source min 40,36 m ; max 40,36 m ; modèle 40 × 36 m ; niveaux 0, 1. Détails dans catalogue-existant.json.</x:v>
      </x:c>
    </x:row>
    <x:row r="3164">
      <x:c r="A3164" t="str">
        <x:v>DW-3159</x:v>
      </x:c>
      <x:c r="B3164" t="str">
        <x:v>DW-3159</x:v>
      </x:c>
      <x:c r="C3164" t="str">
        <x:v>Parent indépendant 1.58</x:v>
      </x:c>
      <x:c r="D3164" t="str">
        <x:v>Hôtellerie et hébergement</x:v>
      </x:c>
      <x:c r="E3164" t="str">
        <x:v>Pension de longues missions civiles</x:v>
      </x:c>
      <x:c r="F3164" t="n">
        <x:v>9</x:v>
      </x:c>
      <x:c r="G3164" t="n">
        <x:v>8</x:v>
      </x:c>
      <x:c r="H3164" t="n">
        <x:v>8</x:v>
      </x:c>
      <x:c r="I3164" t="str">
        <x:v>À qualifier par lieu</x:v>
      </x:c>
      <x:c r="J3164" t="str">
        <x:v>https://github.com/darknigthmare/deadwall-last-enclosure/blob/e28f46223e73105ab2c5d83f3d50b99b58ef53e6/codex-3000/addendum-1.58/PROGRAMMES_A.json</x:v>
      </x:c>
      <x:c r="K3164" t="str">
        <x:v>Source min 40,36 m ; max 40,36 m ; modèle 40 × 36 m ; niveaux 0, 1. Détails dans catalogue-existant.json.</x:v>
      </x:c>
    </x:row>
    <x:row r="3165">
      <x:c r="A3165" t="str">
        <x:v>DW-3160</x:v>
      </x:c>
      <x:c r="B3165" t="str">
        <x:v>DW-3160</x:v>
      </x:c>
      <x:c r="C3165" t="str">
        <x:v>Parent indépendant 1.58</x:v>
      </x:c>
      <x:c r="D3165" t="str">
        <x:v>Hôtellerie et hébergement</x:v>
      </x:c>
      <x:c r="E3165" t="str">
        <x:v>Halte d'accompagnants de patients</x:v>
      </x:c>
      <x:c r="F3165" t="n">
        <x:v>9</x:v>
      </x:c>
      <x:c r="G3165" t="n">
        <x:v>8</x:v>
      </x:c>
      <x:c r="H3165" t="n">
        <x:v>8</x:v>
      </x:c>
      <x:c r="I3165" t="str">
        <x:v>À qualifier par lieu</x:v>
      </x:c>
      <x:c r="J3165" t="str">
        <x:v>https://github.com/darknigthmare/deadwall-last-enclosure/blob/e28f46223e73105ab2c5d83f3d50b99b58ef53e6/codex-3000/addendum-1.58/PROGRAMMES_A.json</x:v>
      </x:c>
      <x:c r="K3165" t="str">
        <x:v>Source min 40,36 m ; max 40,36 m ; modèle 40 × 36 m ; niveaux 0, 1. Détails dans catalogue-existant.json.</x:v>
      </x:c>
    </x:row>
    <x:row r="3166">
      <x:c r="A3166" t="str">
        <x:v>DW-3161</x:v>
      </x:c>
      <x:c r="B3166" t="str">
        <x:v>DW-3161</x:v>
      </x:c>
      <x:c r="C3166" t="str">
        <x:v>Parent indépendant 1.58</x:v>
      </x:c>
      <x:c r="D3166" t="str">
        <x:v>Hôtellerie et hébergement</x:v>
      </x:c>
      <x:c r="E3166" t="str">
        <x:v>Pension d'équipes de tournage</x:v>
      </x:c>
      <x:c r="F3166" t="n">
        <x:v>9</x:v>
      </x:c>
      <x:c r="G3166" t="n">
        <x:v>8</x:v>
      </x:c>
      <x:c r="H3166" t="n">
        <x:v>8</x:v>
      </x:c>
      <x:c r="I3166" t="str">
        <x:v>À qualifier par lieu</x:v>
      </x:c>
      <x:c r="J3166" t="str">
        <x:v>https://github.com/darknigthmare/deadwall-last-enclosure/blob/e28f46223e73105ab2c5d83f3d50b99b58ef53e6/codex-3000/addendum-1.58/PROGRAMMES_A.json</x:v>
      </x:c>
      <x:c r="K3166" t="str">
        <x:v>Source min 40,36 m ; max 40,36 m ; modèle 40 × 36 m ; niveaux 0, 1. Détails dans catalogue-existant.json.</x:v>
      </x:c>
    </x:row>
    <x:row r="3167">
      <x:c r="A3167" t="str">
        <x:v>DW-3162</x:v>
      </x:c>
      <x:c r="B3167" t="str">
        <x:v>DW-3162</x:v>
      </x:c>
      <x:c r="C3167" t="str">
        <x:v>Parent indépendant 1.58</x:v>
      </x:c>
      <x:c r="D3167" t="str">
        <x:v>Hôtellerie et hébergement</x:v>
      </x:c>
      <x:c r="E3167" t="str">
        <x:v>Hébergement de musiciens en tournée</x:v>
      </x:c>
      <x:c r="F3167" t="n">
        <x:v>9</x:v>
      </x:c>
      <x:c r="G3167" t="n">
        <x:v>8</x:v>
      </x:c>
      <x:c r="H3167" t="n">
        <x:v>8</x:v>
      </x:c>
      <x:c r="I3167" t="str">
        <x:v>À qualifier par lieu</x:v>
      </x:c>
      <x:c r="J3167" t="str">
        <x:v>https://github.com/darknigthmare/deadwall-last-enclosure/blob/e28f46223e73105ab2c5d83f3d50b99b58ef53e6/codex-3000/addendum-1.58/PROGRAMMES_A.json</x:v>
      </x:c>
      <x:c r="K3167" t="str">
        <x:v>Source min 40,36 m ; max 40,36 m ; modèle 40 × 36 m ; niveaux 0, 1. Détails dans catalogue-existant.json.</x:v>
      </x:c>
    </x:row>
    <x:row r="3168">
      <x:c r="A3168" t="str">
        <x:v>DW-3163</x:v>
      </x:c>
      <x:c r="B3168" t="str">
        <x:v>DW-3163</x:v>
      </x:c>
      <x:c r="C3168" t="str">
        <x:v>Parent indépendant 1.58</x:v>
      </x:c>
      <x:c r="D3168" t="str">
        <x:v>Hôtellerie et hébergement</x:v>
      </x:c>
      <x:c r="E3168" t="str">
        <x:v>Halte d'équipes de compétition</x:v>
      </x:c>
      <x:c r="F3168" t="n">
        <x:v>9</x:v>
      </x:c>
      <x:c r="G3168" t="n">
        <x:v>8</x:v>
      </x:c>
      <x:c r="H3168" t="n">
        <x:v>8</x:v>
      </x:c>
      <x:c r="I3168" t="str">
        <x:v>À qualifier par lieu</x:v>
      </x:c>
      <x:c r="J3168" t="str">
        <x:v>https://github.com/darknigthmare/deadwall-last-enclosure/blob/e28f46223e73105ab2c5d83f3d50b99b58ef53e6/codex-3000/addendum-1.58/PROGRAMMES_A.json</x:v>
      </x:c>
      <x:c r="K3168" t="str">
        <x:v>Source min 40,36 m ; max 40,36 m ; modèle 40 × 36 m ; niveaux 0, 1. Détails dans catalogue-existant.json.</x:v>
      </x:c>
    </x:row>
    <x:row r="3169">
      <x:c r="A3169" t="str">
        <x:v>DW-3164</x:v>
      </x:c>
      <x:c r="B3169" t="str">
        <x:v>DW-3164</x:v>
      </x:c>
      <x:c r="C3169" t="str">
        <x:v>Parent indépendant 1.58</x:v>
      </x:c>
      <x:c r="D3169" t="str">
        <x:v>Hôtellerie et hébergement</x:v>
      </x:c>
      <x:c r="E3169" t="str">
        <x:v>Pension de guides de terrain</x:v>
      </x:c>
      <x:c r="F3169" t="n">
        <x:v>9</x:v>
      </x:c>
      <x:c r="G3169" t="n">
        <x:v>8</x:v>
      </x:c>
      <x:c r="H3169" t="n">
        <x:v>8</x:v>
      </x:c>
      <x:c r="I3169" t="str">
        <x:v>À qualifier par lieu</x:v>
      </x:c>
      <x:c r="J3169" t="str">
        <x:v>https://github.com/darknigthmare/deadwall-last-enclosure/blob/e28f46223e73105ab2c5d83f3d50b99b58ef53e6/codex-3000/addendum-1.58/PROGRAMMES_A.json</x:v>
      </x:c>
      <x:c r="K3169" t="str">
        <x:v>Source min 40,36 m ; max 40,36 m ; modèle 40 × 36 m ; niveaux 0, 1. Détails dans catalogue-existant.json.</x:v>
      </x:c>
    </x:row>
    <x:row r="3170">
      <x:c r="A3170" t="str">
        <x:v>DW-3165</x:v>
      </x:c>
      <x:c r="B3170" t="str">
        <x:v>DW-3165</x:v>
      </x:c>
      <x:c r="C3170" t="str">
        <x:v>Parent indépendant 1.58</x:v>
      </x:c>
      <x:c r="D3170" t="str">
        <x:v>Hôtellerie et hébergement</x:v>
      </x:c>
      <x:c r="E3170" t="str">
        <x:v>Maison de séjour d'artistes plasticiens</x:v>
      </x:c>
      <x:c r="F3170" t="n">
        <x:v>9</x:v>
      </x:c>
      <x:c r="G3170" t="n">
        <x:v>8</x:v>
      </x:c>
      <x:c r="H3170" t="n">
        <x:v>8</x:v>
      </x:c>
      <x:c r="I3170" t="str">
        <x:v>À qualifier par lieu</x:v>
      </x:c>
      <x:c r="J3170" t="str">
        <x:v>https://github.com/darknigthmare/deadwall-last-enclosure/blob/e28f46223e73105ab2c5d83f3d50b99b58ef53e6/codex-3000/addendum-1.58/PROGRAMMES_A.json</x:v>
      </x:c>
      <x:c r="K3170" t="str">
        <x:v>Source min 40,36 m ; max 40,36 m ; modèle 40 × 36 m ; niveaux 0, 1. Détails dans catalogue-existant.json.</x:v>
      </x:c>
    </x:row>
    <x:row r="3171">
      <x:c r="A3171" t="str">
        <x:v>DW-3166</x:v>
      </x:c>
      <x:c r="B3171" t="str">
        <x:v>DW-3166</x:v>
      </x:c>
      <x:c r="C3171" t="str">
        <x:v>Parent indépendant 1.58</x:v>
      </x:c>
      <x:c r="D3171" t="str">
        <x:v>Hôtellerie et hébergement</x:v>
      </x:c>
      <x:c r="E3171" t="str">
        <x:v>Hébergement d'équipes de fouille civile</x:v>
      </x:c>
      <x:c r="F3171" t="n">
        <x:v>9</x:v>
      </x:c>
      <x:c r="G3171" t="n">
        <x:v>8</x:v>
      </x:c>
      <x:c r="H3171" t="n">
        <x:v>8</x:v>
      </x:c>
      <x:c r="I3171" t="str">
        <x:v>À qualifier par lieu</x:v>
      </x:c>
      <x:c r="J3171" t="str">
        <x:v>https://github.com/darknigthmare/deadwall-last-enclosure/blob/e28f46223e73105ab2c5d83f3d50b99b58ef53e6/codex-3000/addendum-1.58/PROGRAMMES_A.json</x:v>
      </x:c>
      <x:c r="K3171" t="str">
        <x:v>Source min 40,36 m ; max 40,36 m ; modèle 40 × 36 m ; niveaux 0, 1. Détails dans catalogue-existant.json.</x:v>
      </x:c>
    </x:row>
    <x:row r="3172">
      <x:c r="A3172" t="str">
        <x:v>DW-3167</x:v>
      </x:c>
      <x:c r="B3172" t="str">
        <x:v>DW-3167</x:v>
      </x:c>
      <x:c r="C3172" t="str">
        <x:v>Parent indépendant 1.58</x:v>
      </x:c>
      <x:c r="D3172" t="str">
        <x:v>Hôtellerie et hébergement</x:v>
      </x:c>
      <x:c r="E3172" t="str">
        <x:v>Pension d'équipes de recensement</x:v>
      </x:c>
      <x:c r="F3172" t="n">
        <x:v>9</x:v>
      </x:c>
      <x:c r="G3172" t="n">
        <x:v>8</x:v>
      </x:c>
      <x:c r="H3172" t="n">
        <x:v>8</x:v>
      </x:c>
      <x:c r="I3172" t="str">
        <x:v>À qualifier par lieu</x:v>
      </x:c>
      <x:c r="J3172" t="str">
        <x:v>https://github.com/darknigthmare/deadwall-last-enclosure/blob/e28f46223e73105ab2c5d83f3d50b99b58ef53e6/codex-3000/addendum-1.58/PROGRAMMES_A.json</x:v>
      </x:c>
      <x:c r="K3172" t="str">
        <x:v>Source min 40,36 m ; max 40,36 m ; modèle 40 × 36 m ; niveaux 0, 1. Détails dans catalogue-existant.json.</x:v>
      </x:c>
    </x:row>
    <x:row r="3173">
      <x:c r="A3173" t="str">
        <x:v>DW-3168</x:v>
      </x:c>
      <x:c r="B3173" t="str">
        <x:v>DW-3168</x:v>
      </x:c>
      <x:c r="C3173" t="str">
        <x:v>Parent indépendant 1.58</x:v>
      </x:c>
      <x:c r="D3173" t="str">
        <x:v>Hôtellerie et hébergement</x:v>
      </x:c>
      <x:c r="E3173" t="str">
        <x:v>Halte de bénévoles de secours civil</x:v>
      </x:c>
      <x:c r="F3173" t="n">
        <x:v>9</x:v>
      </x:c>
      <x:c r="G3173" t="n">
        <x:v>8</x:v>
      </x:c>
      <x:c r="H3173" t="n">
        <x:v>8</x:v>
      </x:c>
      <x:c r="I3173" t="str">
        <x:v>À qualifier par lieu</x:v>
      </x:c>
      <x:c r="J3173" t="str">
        <x:v>https://github.com/darknigthmare/deadwall-last-enclosure/blob/e28f46223e73105ab2c5d83f3d50b99b58ef53e6/codex-3000/addendum-1.58/PROGRAMMES_A.json</x:v>
      </x:c>
      <x:c r="K3173" t="str">
        <x:v>Source min 40,36 m ; max 40,36 m ; modèle 40 × 36 m ; niveaux 0, 1. Détails dans catalogue-existant.json.</x:v>
      </x:c>
    </x:row>
    <x:row r="3174">
      <x:c r="A3174" t="str">
        <x:v>DW-3169</x:v>
      </x:c>
      <x:c r="B3174" t="str">
        <x:v>DW-3169</x:v>
      </x:c>
      <x:c r="C3174" t="str">
        <x:v>Parent indépendant 1.58</x:v>
      </x:c>
      <x:c r="D3174" t="str">
        <x:v>Hôtellerie et hébergement</x:v>
      </x:c>
      <x:c r="E3174" t="str">
        <x:v>Maison de séjour de formateurs itinérants</x:v>
      </x:c>
      <x:c r="F3174" t="n">
        <x:v>9</x:v>
      </x:c>
      <x:c r="G3174" t="n">
        <x:v>8</x:v>
      </x:c>
      <x:c r="H3174" t="n">
        <x:v>8</x:v>
      </x:c>
      <x:c r="I3174" t="str">
        <x:v>À qualifier par lieu</x:v>
      </x:c>
      <x:c r="J3174" t="str">
        <x:v>https://github.com/darknigthmare/deadwall-last-enclosure/blob/e28f46223e73105ab2c5d83f3d50b99b58ef53e6/codex-3000/addendum-1.58/PROGRAMMES_A.json</x:v>
      </x:c>
      <x:c r="K3174" t="str">
        <x:v>Source min 40,36 m ; max 40,36 m ; modèle 40 × 36 m ; niveaux 0, 1. Détails dans catalogue-existant.json.</x:v>
      </x:c>
    </x:row>
    <x:row r="3175">
      <x:c r="A3175" t="str">
        <x:v>DW-3170</x:v>
      </x:c>
      <x:c r="B3175" t="str">
        <x:v>DW-3170</x:v>
      </x:c>
      <x:c r="C3175" t="str">
        <x:v>Parent indépendant 1.58</x:v>
      </x:c>
      <x:c r="D3175" t="str">
        <x:v>Hôtellerie et hébergement</x:v>
      </x:c>
      <x:c r="E3175" t="str">
        <x:v>Pension de vendeurs de marché</x:v>
      </x:c>
      <x:c r="F3175" t="n">
        <x:v>9</x:v>
      </x:c>
      <x:c r="G3175" t="n">
        <x:v>8</x:v>
      </x:c>
      <x:c r="H3175" t="n">
        <x:v>8</x:v>
      </x:c>
      <x:c r="I3175" t="str">
        <x:v>À qualifier par lieu</x:v>
      </x:c>
      <x:c r="J3175" t="str">
        <x:v>https://github.com/darknigthmare/deadwall-last-enclosure/blob/e28f46223e73105ab2c5d83f3d50b99b58ef53e6/codex-3000/addendum-1.58/PROGRAMMES_A.json</x:v>
      </x:c>
      <x:c r="K3175" t="str">
        <x:v>Source min 40,36 m ; max 40,36 m ; modèle 40 × 36 m ; niveaux 0, 1. Détails dans catalogue-existant.json.</x:v>
      </x:c>
    </x:row>
    <x:row r="3176">
      <x:c r="A3176" t="str">
        <x:v>DW-3171</x:v>
      </x:c>
      <x:c r="B3176" t="str">
        <x:v>DW-3171</x:v>
      </x:c>
      <x:c r="C3176" t="str">
        <x:v>Parent indépendant 1.58</x:v>
      </x:c>
      <x:c r="D3176" t="str">
        <x:v>Hôtellerie et hébergement</x:v>
      </x:c>
      <x:c r="E3176" t="str">
        <x:v>Hébergement de techniciens de festival</x:v>
      </x:c>
      <x:c r="F3176" t="n">
        <x:v>9</x:v>
      </x:c>
      <x:c r="G3176" t="n">
        <x:v>8</x:v>
      </x:c>
      <x:c r="H3176" t="n">
        <x:v>8</x:v>
      </x:c>
      <x:c r="I3176" t="str">
        <x:v>À qualifier par lieu</x:v>
      </x:c>
      <x:c r="J3176" t="str">
        <x:v>https://github.com/darknigthmare/deadwall-last-enclosure/blob/e28f46223e73105ab2c5d83f3d50b99b58ef53e6/codex-3000/addendum-1.58/PROGRAMMES_A.json</x:v>
      </x:c>
      <x:c r="K3176" t="str">
        <x:v>Source min 40,36 m ; max 40,36 m ; modèle 40 × 36 m ; niveaux 0, 1. Détails dans catalogue-existant.json.</x:v>
      </x:c>
    </x:row>
    <x:row r="3177">
      <x:c r="A3177" t="str">
        <x:v>DW-3172</x:v>
      </x:c>
      <x:c r="B3177" t="str">
        <x:v>DW-3172</x:v>
      </x:c>
      <x:c r="C3177" t="str">
        <x:v>Parent indépendant 1.58</x:v>
      </x:c>
      <x:c r="D3177" t="str">
        <x:v>Hôtellerie et hébergement</x:v>
      </x:c>
      <x:c r="E3177" t="str">
        <x:v>Halte d'équipes vétérinaires mobiles</x:v>
      </x:c>
      <x:c r="F3177" t="n">
        <x:v>9</x:v>
      </x:c>
      <x:c r="G3177" t="n">
        <x:v>8</x:v>
      </x:c>
      <x:c r="H3177" t="n">
        <x:v>8</x:v>
      </x:c>
      <x:c r="I3177" t="str">
        <x:v>À qualifier par lieu</x:v>
      </x:c>
      <x:c r="J3177" t="str">
        <x:v>https://github.com/darknigthmare/deadwall-last-enclosure/blob/e28f46223e73105ab2c5d83f3d50b99b58ef53e6/codex-3000/addendum-1.58/PROGRAMMES_A.json</x:v>
      </x:c>
      <x:c r="K3177" t="str">
        <x:v>Source min 40,36 m ; max 40,36 m ; modèle 40 × 36 m ; niveaux 0, 1. Détails dans catalogue-existant.json.</x:v>
      </x:c>
    </x:row>
    <x:row r="3178">
      <x:c r="A3178" t="str">
        <x:v>DW-3173</x:v>
      </x:c>
      <x:c r="B3178" t="str">
        <x:v>DW-3173</x:v>
      </x:c>
      <x:c r="C3178" t="str">
        <x:v>Parent indépendant 1.58</x:v>
      </x:c>
      <x:c r="D3178" t="str">
        <x:v>Hôtellerie et hébergement</x:v>
      </x:c>
      <x:c r="E3178" t="str">
        <x:v>Pension de chercheurs en botanique</x:v>
      </x:c>
      <x:c r="F3178" t="n">
        <x:v>9</x:v>
      </x:c>
      <x:c r="G3178" t="n">
        <x:v>8</x:v>
      </x:c>
      <x:c r="H3178" t="n">
        <x:v>8</x:v>
      </x:c>
      <x:c r="I3178" t="str">
        <x:v>À qualifier par lieu</x:v>
      </x:c>
      <x:c r="J3178" t="str">
        <x:v>https://github.com/darknigthmare/deadwall-last-enclosure/blob/e28f46223e73105ab2c5d83f3d50b99b58ef53e6/codex-3000/addendum-1.58/PROGRAMMES_A.json</x:v>
      </x:c>
      <x:c r="K3178" t="str">
        <x:v>Source min 40,36 m ; max 40,36 m ; modèle 40 × 36 m ; niveaux 0, 1. Détails dans catalogue-existant.json.</x:v>
      </x:c>
    </x:row>
    <x:row r="3179">
      <x:c r="A3179" t="str">
        <x:v>DW-3174</x:v>
      </x:c>
      <x:c r="B3179" t="str">
        <x:v>DW-3174</x:v>
      </x:c>
      <x:c r="C3179" t="str">
        <x:v>Parent indépendant 1.58</x:v>
      </x:c>
      <x:c r="D3179" t="str">
        <x:v>Hôtellerie et hébergement</x:v>
      </x:c>
      <x:c r="E3179" t="str">
        <x:v>Maison d'accueil de jurys itinérants</x:v>
      </x:c>
      <x:c r="F3179" t="n">
        <x:v>9</x:v>
      </x:c>
      <x:c r="G3179" t="n">
        <x:v>8</x:v>
      </x:c>
      <x:c r="H3179" t="n">
        <x:v>8</x:v>
      </x:c>
      <x:c r="I3179" t="str">
        <x:v>À qualifier par lieu</x:v>
      </x:c>
      <x:c r="J3179" t="str">
        <x:v>https://github.com/darknigthmare/deadwall-last-enclosure/blob/e28f46223e73105ab2c5d83f3d50b99b58ef53e6/codex-3000/addendum-1.58/PROGRAMMES_A.json</x:v>
      </x:c>
      <x:c r="K3179" t="str">
        <x:v>Source min 40,36 m ; max 40,36 m ; modèle 40 × 36 m ; niveaux 0, 1. Détails dans catalogue-existant.json.</x:v>
      </x:c>
    </x:row>
    <x:row r="3180">
      <x:c r="A3180" t="str">
        <x:v>DW-3175</x:v>
      </x:c>
      <x:c r="B3180" t="str">
        <x:v>DW-3175</x:v>
      </x:c>
      <x:c r="C3180" t="str">
        <x:v>Parent indépendant 1.58</x:v>
      </x:c>
      <x:c r="D3180" t="str">
        <x:v>Hôtellerie et hébergement</x:v>
      </x:c>
      <x:c r="E3180" t="str">
        <x:v>Hébergement d'équipes de réparation itinérante</x:v>
      </x:c>
      <x:c r="F3180" t="n">
        <x:v>9</x:v>
      </x:c>
      <x:c r="G3180" t="n">
        <x:v>8</x:v>
      </x:c>
      <x:c r="H3180" t="n">
        <x:v>8</x:v>
      </x:c>
      <x:c r="I3180" t="str">
        <x:v>À qualifier par lieu</x:v>
      </x:c>
      <x:c r="J3180" t="str">
        <x:v>https://github.com/darknigthmare/deadwall-last-enclosure/blob/e28f46223e73105ab2c5d83f3d50b99b58ef53e6/codex-3000/addendum-1.58/PROGRAMMES_A.json</x:v>
      </x:c>
      <x:c r="K3180" t="str">
        <x:v>Source min 40,36 m ; max 40,36 m ; modèle 40 × 36 m ; niveaux 0, 1. Détails dans catalogue-existant.json.</x:v>
      </x:c>
    </x:row>
    <x:row r="3181">
      <x:c r="A3181" t="str">
        <x:v>DW-3176</x:v>
      </x:c>
      <x:c r="B3181" t="str">
        <x:v>DW-3176</x:v>
      </x:c>
      <x:c r="C3181" t="str">
        <x:v>Parent indépendant 1.58</x:v>
      </x:c>
      <x:c r="D3181" t="str">
        <x:v>Alimentation et restauration</x:v>
      </x:c>
      <x:c r="E3181" t="str">
        <x:v>Comptoir de soupes de quartier</x:v>
      </x:c>
      <x:c r="F3181" t="n">
        <x:v>9</x:v>
      </x:c>
      <x:c r="G3181" t="n">
        <x:v>8</x:v>
      </x:c>
      <x:c r="H3181" t="n">
        <x:v>8</x:v>
      </x:c>
      <x:c r="I3181" t="str">
        <x:v>À qualifier par lieu</x:v>
      </x:c>
      <x:c r="J3181" t="str">
        <x:v>https://github.com/darknigthmare/deadwall-last-enclosure/blob/e28f46223e73105ab2c5d83f3d50b99b58ef53e6/codex-3000/addendum-1.58/PROGRAMMES_A.json</x:v>
      </x:c>
      <x:c r="K3181" t="str">
        <x:v>Source min 40,40 m ; max 40,40 m ; modèle 40 × 40 m ; niveaux 0. Détails dans catalogue-existant.json.</x:v>
      </x:c>
    </x:row>
    <x:row r="3182">
      <x:c r="A3182" t="str">
        <x:v>DW-3177</x:v>
      </x:c>
      <x:c r="B3182" t="str">
        <x:v>DW-3177</x:v>
      </x:c>
      <x:c r="C3182" t="str">
        <x:v>Parent indépendant 1.58</x:v>
      </x:c>
      <x:c r="D3182" t="str">
        <x:v>Alimentation et restauration</x:v>
      </x:c>
      <x:c r="E3182" t="str">
        <x:v>Restaurant de grill et maturation</x:v>
      </x:c>
      <x:c r="F3182" t="n">
        <x:v>9</x:v>
      </x:c>
      <x:c r="G3182" t="n">
        <x:v>8</x:v>
      </x:c>
      <x:c r="H3182" t="n">
        <x:v>8</x:v>
      </x:c>
      <x:c r="I3182" t="str">
        <x:v>À qualifier par lieu</x:v>
      </x:c>
      <x:c r="J3182" t="str">
        <x:v>https://github.com/darknigthmare/deadwall-last-enclosure/blob/e28f46223e73105ab2c5d83f3d50b99b58ef53e6/codex-3000/addendum-1.58/PROGRAMMES_A.json</x:v>
      </x:c>
      <x:c r="K3182" t="str">
        <x:v>Source min 40,40 m ; max 40,40 m ; modèle 40 × 40 m ; niveaux 0. Détails dans catalogue-existant.json.</x:v>
      </x:c>
    </x:row>
    <x:row r="3183">
      <x:c r="A3183" t="str">
        <x:v>DW-3178</x:v>
      </x:c>
      <x:c r="B3183" t="str">
        <x:v>DW-3178</x:v>
      </x:c>
      <x:c r="C3183" t="str">
        <x:v>Parent indépendant 1.58</x:v>
      </x:c>
      <x:c r="D3183" t="str">
        <x:v>Alimentation et restauration</x:v>
      </x:c>
      <x:c r="E3183" t="str">
        <x:v>Atelier de pâtes fraîches avec salle de repas</x:v>
      </x:c>
      <x:c r="F3183" t="n">
        <x:v>9</x:v>
      </x:c>
      <x:c r="G3183" t="n">
        <x:v>8</x:v>
      </x:c>
      <x:c r="H3183" t="n">
        <x:v>8</x:v>
      </x:c>
      <x:c r="I3183" t="str">
        <x:v>À qualifier par lieu</x:v>
      </x:c>
      <x:c r="J3183" t="str">
        <x:v>https://github.com/darknigthmare/deadwall-last-enclosure/blob/e28f46223e73105ab2c5d83f3d50b99b58ef53e6/codex-3000/addendum-1.58/PROGRAMMES_A.json</x:v>
      </x:c>
      <x:c r="K3183" t="str">
        <x:v>Source min 40,40 m ; max 40,40 m ; modèle 40 × 40 m ; niveaux 0. Détails dans catalogue-existant.json.</x:v>
      </x:c>
    </x:row>
    <x:row r="3184">
      <x:c r="A3184" t="str">
        <x:v>DW-3179</x:v>
      </x:c>
      <x:c r="B3184" t="str">
        <x:v>DW-3179</x:v>
      </x:c>
      <x:c r="C3184" t="str">
        <x:v>Parent indépendant 1.58</x:v>
      </x:c>
      <x:c r="D3184" t="str">
        <x:v>Alimentation et restauration</x:v>
      </x:c>
      <x:c r="E3184" t="str">
        <x:v>Restaurant de cuisson vapeur</x:v>
      </x:c>
      <x:c r="F3184" t="n">
        <x:v>9</x:v>
      </x:c>
      <x:c r="G3184" t="n">
        <x:v>8</x:v>
      </x:c>
      <x:c r="H3184" t="n">
        <x:v>8</x:v>
      </x:c>
      <x:c r="I3184" t="str">
        <x:v>À qualifier par lieu</x:v>
      </x:c>
      <x:c r="J3184" t="str">
        <x:v>https://github.com/darknigthmare/deadwall-last-enclosure/blob/e28f46223e73105ab2c5d83f3d50b99b58ef53e6/codex-3000/addendum-1.58/PROGRAMMES_A.json</x:v>
      </x:c>
      <x:c r="K3184" t="str">
        <x:v>Source min 40,40 m ; max 40,40 m ; modèle 40 × 40 m ; niveaux 0. Détails dans catalogue-existant.json.</x:v>
      </x:c>
    </x:row>
    <x:row r="3185">
      <x:c r="A3185" t="str">
        <x:v>DW-3180</x:v>
      </x:c>
      <x:c r="B3185" t="str">
        <x:v>DW-3180</x:v>
      </x:c>
      <x:c r="C3185" t="str">
        <x:v>Parent indépendant 1.58</x:v>
      </x:c>
      <x:c r="D3185" t="str">
        <x:v>Alimentation et restauration</x:v>
      </x:c>
      <x:c r="E3185" t="str">
        <x:v>Rôtisserie à service de portions</x:v>
      </x:c>
      <x:c r="F3185" t="n">
        <x:v>9</x:v>
      </x:c>
      <x:c r="G3185" t="n">
        <x:v>8</x:v>
      </x:c>
      <x:c r="H3185" t="n">
        <x:v>8</x:v>
      </x:c>
      <x:c r="I3185" t="str">
        <x:v>À qualifier par lieu</x:v>
      </x:c>
      <x:c r="J3185" t="str">
        <x:v>https://github.com/darknigthmare/deadwall-last-enclosure/blob/e28f46223e73105ab2c5d83f3d50b99b58ef53e6/codex-3000/addendum-1.58/PROGRAMMES_A.json</x:v>
      </x:c>
      <x:c r="K3185" t="str">
        <x:v>Source min 40,40 m ; max 40,40 m ; modèle 40 × 40 m ; niveaux 0. Détails dans catalogue-existant.json.</x:v>
      </x:c>
    </x:row>
    <x:row r="3186">
      <x:c r="A3186" t="str">
        <x:v>DW-3181</x:v>
      </x:c>
      <x:c r="B3186" t="str">
        <x:v>DW-3181</x:v>
      </x:c>
      <x:c r="C3186" t="str">
        <x:v>Parent indépendant 1.58</x:v>
      </x:c>
      <x:c r="D3186" t="str">
        <x:v>Alimentation et restauration</x:v>
      </x:c>
      <x:c r="E3186" t="str">
        <x:v>Cantine de repas individuels conditionnés</x:v>
      </x:c>
      <x:c r="F3186" t="n">
        <x:v>9</x:v>
      </x:c>
      <x:c r="G3186" t="n">
        <x:v>8</x:v>
      </x:c>
      <x:c r="H3186" t="n">
        <x:v>8</x:v>
      </x:c>
      <x:c r="I3186" t="str">
        <x:v>À qualifier par lieu</x:v>
      </x:c>
      <x:c r="J3186" t="str">
        <x:v>https://github.com/darknigthmare/deadwall-last-enclosure/blob/e28f46223e73105ab2c5d83f3d50b99b58ef53e6/codex-3000/addendum-1.58/PROGRAMMES_A.json</x:v>
      </x:c>
      <x:c r="K3186" t="str">
        <x:v>Source min 40,40 m ; max 40,40 m ; modèle 40 × 40 m ; niveaux 0. Détails dans catalogue-existant.json.</x:v>
      </x:c>
    </x:row>
    <x:row r="3187">
      <x:c r="A3187" t="str">
        <x:v>DW-3182</x:v>
      </x:c>
      <x:c r="B3187" t="str">
        <x:v>DW-3182</x:v>
      </x:c>
      <x:c r="C3187" t="str">
        <x:v>Parent indépendant 1.58</x:v>
      </x:c>
      <x:c r="D3187" t="str">
        <x:v>Alimentation et restauration</x:v>
      </x:c>
      <x:c r="E3187" t="str">
        <x:v>Table d'entraide alimentaire locale</x:v>
      </x:c>
      <x:c r="F3187" t="n">
        <x:v>9</x:v>
      </x:c>
      <x:c r="G3187" t="n">
        <x:v>8</x:v>
      </x:c>
      <x:c r="H3187" t="n">
        <x:v>8</x:v>
      </x:c>
      <x:c r="I3187" t="str">
        <x:v>À qualifier par lieu</x:v>
      </x:c>
      <x:c r="J3187" t="str">
        <x:v>https://github.com/darknigthmare/deadwall-last-enclosure/blob/e28f46223e73105ab2c5d83f3d50b99b58ef53e6/codex-3000/addendum-1.58/PROGRAMMES_A.json</x:v>
      </x:c>
      <x:c r="K3187" t="str">
        <x:v>Source min 40,40 m ; max 40,40 m ; modèle 40 × 40 m ; niveaux 0. Détails dans catalogue-existant.json.</x:v>
      </x:c>
    </x:row>
    <x:row r="3188">
      <x:c r="A3188" t="str">
        <x:v>DW-3183</x:v>
      </x:c>
      <x:c r="B3188" t="str">
        <x:v>DW-3183</x:v>
      </x:c>
      <x:c r="C3188" t="str">
        <x:v>Parent indépendant 1.58</x:v>
      </x:c>
      <x:c r="D3188" t="str">
        <x:v>Alimentation et restauration</x:v>
      </x:c>
      <x:c r="E3188" t="str">
        <x:v>Maison de fermentation alimentaire</x:v>
      </x:c>
      <x:c r="F3188" t="n">
        <x:v>9</x:v>
      </x:c>
      <x:c r="G3188" t="n">
        <x:v>8</x:v>
      </x:c>
      <x:c r="H3188" t="n">
        <x:v>8</x:v>
      </x:c>
      <x:c r="I3188" t="str">
        <x:v>À qualifier par lieu</x:v>
      </x:c>
      <x:c r="J3188" t="str">
        <x:v>https://github.com/darknigthmare/deadwall-last-enclosure/blob/e28f46223e73105ab2c5d83f3d50b99b58ef53e6/codex-3000/addendum-1.58/PROGRAMMES_A.json</x:v>
      </x:c>
      <x:c r="K3188" t="str">
        <x:v>Source min 40,40 m ; max 40,40 m ; modèle 40 × 40 m ; niveaux 0. Détails dans catalogue-existant.json.</x:v>
      </x:c>
    </x:row>
    <x:row r="3189">
      <x:c r="A3189" t="str">
        <x:v>DW-3184</x:v>
      </x:c>
      <x:c r="B3189" t="str">
        <x:v>DW-3184</x:v>
      </x:c>
      <x:c r="C3189" t="str">
        <x:v>Parent indépendant 1.58</x:v>
      </x:c>
      <x:c r="D3189" t="str">
        <x:v>Alimentation et restauration</x:v>
      </x:c>
      <x:c r="E3189" t="str">
        <x:v>Atelier de ravioles avec comptoir</x:v>
      </x:c>
      <x:c r="F3189" t="n">
        <x:v>9</x:v>
      </x:c>
      <x:c r="G3189" t="n">
        <x:v>8</x:v>
      </x:c>
      <x:c r="H3189" t="n">
        <x:v>8</x:v>
      </x:c>
      <x:c r="I3189" t="str">
        <x:v>À qualifier par lieu</x:v>
      </x:c>
      <x:c r="J3189" t="str">
        <x:v>https://github.com/darknigthmare/deadwall-last-enclosure/blob/e28f46223e73105ab2c5d83f3d50b99b58ef53e6/codex-3000/addendum-1.58/PROGRAMMES_A.json</x:v>
      </x:c>
      <x:c r="K3189" t="str">
        <x:v>Source min 40,40 m ; max 40,40 m ; modèle 40 × 40 m ; niveaux 0. Détails dans catalogue-existant.json.</x:v>
      </x:c>
    </x:row>
    <x:row r="3190">
      <x:c r="A3190" t="str">
        <x:v>DW-3185</x:v>
      </x:c>
      <x:c r="B3190" t="str">
        <x:v>DW-3185</x:v>
      </x:c>
      <x:c r="C3190" t="str">
        <x:v>Parent indépendant 1.58</x:v>
      </x:c>
      <x:c r="D3190" t="str">
        <x:v>Alimentation et restauration</x:v>
      </x:c>
      <x:c r="E3190" t="str">
        <x:v>Restaurant de galettes à préparation visible</x:v>
      </x:c>
      <x:c r="F3190" t="n">
        <x:v>9</x:v>
      </x:c>
      <x:c r="G3190" t="n">
        <x:v>8</x:v>
      </x:c>
      <x:c r="H3190" t="n">
        <x:v>8</x:v>
      </x:c>
      <x:c r="I3190" t="str">
        <x:v>À qualifier par lieu</x:v>
      </x:c>
      <x:c r="J3190" t="str">
        <x:v>https://github.com/darknigthmare/deadwall-last-enclosure/blob/e28f46223e73105ab2c5d83f3d50b99b58ef53e6/codex-3000/addendum-1.58/PROGRAMMES_A.json</x:v>
      </x:c>
      <x:c r="K3190" t="str">
        <x:v>Source min 40,40 m ; max 40,40 m ; modèle 40 × 40 m ; niveaux 0. Détails dans catalogue-existant.json.</x:v>
      </x:c>
    </x:row>
    <x:row r="3191">
      <x:c r="A3191" t="str">
        <x:v>DW-3186</x:v>
      </x:c>
      <x:c r="B3191" t="str">
        <x:v>DW-3186</x:v>
      </x:c>
      <x:c r="C3191" t="str">
        <x:v>Parent indépendant 1.58</x:v>
      </x:c>
      <x:c r="D3191" t="str">
        <x:v>Alimentation et restauration</x:v>
      </x:c>
      <x:c r="E3191" t="str">
        <x:v>Comptoir de repas froids assemblés</x:v>
      </x:c>
      <x:c r="F3191" t="n">
        <x:v>9</x:v>
      </x:c>
      <x:c r="G3191" t="n">
        <x:v>8</x:v>
      </x:c>
      <x:c r="H3191" t="n">
        <x:v>8</x:v>
      </x:c>
      <x:c r="I3191" t="str">
        <x:v>À qualifier par lieu</x:v>
      </x:c>
      <x:c r="J3191" t="str">
        <x:v>https://github.com/darknigthmare/deadwall-last-enclosure/blob/e28f46223e73105ab2c5d83f3d50b99b58ef53e6/codex-3000/addendum-1.58/PROGRAMMES_A.json</x:v>
      </x:c>
      <x:c r="K3191" t="str">
        <x:v>Source min 40,40 m ; max 40,40 m ; modèle 40 × 40 m ; niveaux 0. Détails dans catalogue-existant.json.</x:v>
      </x:c>
    </x:row>
    <x:row r="3192">
      <x:c r="A3192" t="str">
        <x:v>DW-3187</x:v>
      </x:c>
      <x:c r="B3192" t="str">
        <x:v>DW-3187</x:v>
      </x:c>
      <x:c r="C3192" t="str">
        <x:v>Parent indépendant 1.58</x:v>
      </x:c>
      <x:c r="D3192" t="str">
        <x:v>Alimentation et restauration</x:v>
      </x:c>
      <x:c r="E3192" t="str">
        <x:v>Restaurant de cuisson au four de terre</x:v>
      </x:c>
      <x:c r="F3192" t="n">
        <x:v>9</x:v>
      </x:c>
      <x:c r="G3192" t="n">
        <x:v>8</x:v>
      </x:c>
      <x:c r="H3192" t="n">
        <x:v>8</x:v>
      </x:c>
      <x:c r="I3192" t="str">
        <x:v>À qualifier par lieu</x:v>
      </x:c>
      <x:c r="J3192" t="str">
        <x:v>https://github.com/darknigthmare/deadwall-last-enclosure/blob/e28f46223e73105ab2c5d83f3d50b99b58ef53e6/codex-3000/addendum-1.58/PROGRAMMES_A.json</x:v>
      </x:c>
      <x:c r="K3192" t="str">
        <x:v>Source min 40,40 m ; max 40,40 m ; modèle 40 × 40 m ; niveaux 0. Détails dans catalogue-existant.json.</x:v>
      </x:c>
    </x:row>
    <x:row r="3193">
      <x:c r="A3193" t="str">
        <x:v>DW-3188</x:v>
      </x:c>
      <x:c r="B3193" t="str">
        <x:v>DW-3188</x:v>
      </x:c>
      <x:c r="C3193" t="str">
        <x:v>Parent indépendant 1.58</x:v>
      </x:c>
      <x:c r="D3193" t="str">
        <x:v>Alimentation et restauration</x:v>
      </x:c>
      <x:c r="E3193" t="str">
        <x:v>Maison de préparation de repas de deuil</x:v>
      </x:c>
      <x:c r="F3193" t="n">
        <x:v>9</x:v>
      </x:c>
      <x:c r="G3193" t="n">
        <x:v>8</x:v>
      </x:c>
      <x:c r="H3193" t="n">
        <x:v>8</x:v>
      </x:c>
      <x:c r="I3193" t="str">
        <x:v>À qualifier par lieu</x:v>
      </x:c>
      <x:c r="J3193" t="str">
        <x:v>https://github.com/darknigthmare/deadwall-last-enclosure/blob/e28f46223e73105ab2c5d83f3d50b99b58ef53e6/codex-3000/addendum-1.58/PROGRAMMES_A.json</x:v>
      </x:c>
      <x:c r="K3193" t="str">
        <x:v>Source min 40,40 m ; max 40,40 m ; modèle 40 × 40 m ; niveaux 0. Détails dans catalogue-existant.json.</x:v>
      </x:c>
    </x:row>
    <x:row r="3194">
      <x:c r="A3194" t="str">
        <x:v>DW-3189</x:v>
      </x:c>
      <x:c r="B3194" t="str">
        <x:v>DW-3189</x:v>
      </x:c>
      <x:c r="C3194" t="str">
        <x:v>Parent indépendant 1.58</x:v>
      </x:c>
      <x:c r="D3194" t="str">
        <x:v>Alimentation et restauration</x:v>
      </x:c>
      <x:c r="E3194" t="str">
        <x:v>Atelier de desserts glacés</x:v>
      </x:c>
      <x:c r="F3194" t="n">
        <x:v>9</x:v>
      </x:c>
      <x:c r="G3194" t="n">
        <x:v>8</x:v>
      </x:c>
      <x:c r="H3194" t="n">
        <x:v>8</x:v>
      </x:c>
      <x:c r="I3194" t="str">
        <x:v>À qualifier par lieu</x:v>
      </x:c>
      <x:c r="J3194" t="str">
        <x:v>https://github.com/darknigthmare/deadwall-last-enclosure/blob/e28f46223e73105ab2c5d83f3d50b99b58ef53e6/codex-3000/addendum-1.58/PROGRAMMES_A.json</x:v>
      </x:c>
      <x:c r="K3194" t="str">
        <x:v>Source min 40,40 m ; max 40,40 m ; modèle 40 × 40 m ; niveaux 0. Détails dans catalogue-existant.json.</x:v>
      </x:c>
    </x:row>
    <x:row r="3195">
      <x:c r="A3195" t="str">
        <x:v>DW-3190</x:v>
      </x:c>
      <x:c r="B3195" t="str">
        <x:v>DW-3190</x:v>
      </x:c>
      <x:c r="C3195" t="str">
        <x:v>Parent indépendant 1.58</x:v>
      </x:c>
      <x:c r="D3195" t="str">
        <x:v>Alimentation et restauration</x:v>
      </x:c>
      <x:c r="E3195" t="str">
        <x:v>Maison de thés et infusions préparées</x:v>
      </x:c>
      <x:c r="F3195" t="n">
        <x:v>9</x:v>
      </x:c>
      <x:c r="G3195" t="n">
        <x:v>8</x:v>
      </x:c>
      <x:c r="H3195" t="n">
        <x:v>8</x:v>
      </x:c>
      <x:c r="I3195" t="str">
        <x:v>À qualifier par lieu</x:v>
      </x:c>
      <x:c r="J3195" t="str">
        <x:v>https://github.com/darknigthmare/deadwall-last-enclosure/blob/e28f46223e73105ab2c5d83f3d50b99b58ef53e6/codex-3000/addendum-1.58/PROGRAMMES_A.json</x:v>
      </x:c>
      <x:c r="K3195" t="str">
        <x:v>Source min 40,40 m ; max 40,40 m ; modèle 40 × 40 m ; niveaux 0. Détails dans catalogue-existant.json.</x:v>
      </x:c>
    </x:row>
    <x:row r="3196">
      <x:c r="A3196" t="str">
        <x:v>DW-3191</x:v>
      </x:c>
      <x:c r="B3196" t="str">
        <x:v>DW-3191</x:v>
      </x:c>
      <x:c r="C3196" t="str">
        <x:v>Parent indépendant 1.58</x:v>
      </x:c>
      <x:c r="D3196" t="str">
        <x:v>Alimentation et restauration</x:v>
      </x:c>
      <x:c r="E3196" t="str">
        <x:v>Comptoir de boissons pressées</x:v>
      </x:c>
      <x:c r="F3196" t="n">
        <x:v>9</x:v>
      </x:c>
      <x:c r="G3196" t="n">
        <x:v>8</x:v>
      </x:c>
      <x:c r="H3196" t="n">
        <x:v>8</x:v>
      </x:c>
      <x:c r="I3196" t="str">
        <x:v>À qualifier par lieu</x:v>
      </x:c>
      <x:c r="J3196" t="str">
        <x:v>https://github.com/darknigthmare/deadwall-last-enclosure/blob/e28f46223e73105ab2c5d83f3d50b99b58ef53e6/codex-3000/addendum-1.58/PROGRAMMES_A.json</x:v>
      </x:c>
      <x:c r="K3196" t="str">
        <x:v>Source min 40,40 m ; max 40,40 m ; modèle 40 × 40 m ; niveaux 0. Détails dans catalogue-existant.json.</x:v>
      </x:c>
    </x:row>
    <x:row r="3197">
      <x:c r="A3197" t="str">
        <x:v>DW-3192</x:v>
      </x:c>
      <x:c r="B3197" t="str">
        <x:v>DW-3192</x:v>
      </x:c>
      <x:c r="C3197" t="str">
        <x:v>Parent indépendant 1.58</x:v>
      </x:c>
      <x:c r="D3197" t="str">
        <x:v>Alimentation et restauration</x:v>
      </x:c>
      <x:c r="E3197" t="str">
        <x:v>Atelier de casse-croûtes de voyage</x:v>
      </x:c>
      <x:c r="F3197" t="n">
        <x:v>9</x:v>
      </x:c>
      <x:c r="G3197" t="n">
        <x:v>8</x:v>
      </x:c>
      <x:c r="H3197" t="n">
        <x:v>8</x:v>
      </x:c>
      <x:c r="I3197" t="str">
        <x:v>À qualifier par lieu</x:v>
      </x:c>
      <x:c r="J3197" t="str">
        <x:v>https://github.com/darknigthmare/deadwall-last-enclosure/blob/e28f46223e73105ab2c5d83f3d50b99b58ef53e6/codex-3000/addendum-1.58/PROGRAMMES_A.json</x:v>
      </x:c>
      <x:c r="K3197" t="str">
        <x:v>Source min 40,40 m ; max 40,40 m ; modèle 40 × 40 m ; niveaux 0. Détails dans catalogue-existant.json.</x:v>
      </x:c>
    </x:row>
    <x:row r="3198">
      <x:c r="A3198" t="str">
        <x:v>DW-3193</x:v>
      </x:c>
      <x:c r="B3198" t="str">
        <x:v>DW-3193</x:v>
      </x:c>
      <x:c r="C3198" t="str">
        <x:v>Parent indépendant 1.58</x:v>
      </x:c>
      <x:c r="D3198" t="str">
        <x:v>Alimentation et restauration</x:v>
      </x:c>
      <x:c r="E3198" t="str">
        <x:v>Restaurant à marmites communes</x:v>
      </x:c>
      <x:c r="F3198" t="n">
        <x:v>9</x:v>
      </x:c>
      <x:c r="G3198" t="n">
        <x:v>8</x:v>
      </x:c>
      <x:c r="H3198" t="n">
        <x:v>8</x:v>
      </x:c>
      <x:c r="I3198" t="str">
        <x:v>À qualifier par lieu</x:v>
      </x:c>
      <x:c r="J3198" t="str">
        <x:v>https://github.com/darknigthmare/deadwall-last-enclosure/blob/e28f46223e73105ab2c5d83f3d50b99b58ef53e6/codex-3000/addendum-1.58/PROGRAMMES_A.json</x:v>
      </x:c>
      <x:c r="K3198" t="str">
        <x:v>Source min 40,40 m ; max 40,40 m ; modèle 40 × 40 m ; niveaux 0. Détails dans catalogue-existant.json.</x:v>
      </x:c>
    </x:row>
    <x:row r="3199">
      <x:c r="A3199" t="str">
        <x:v>DW-3194</x:v>
      </x:c>
      <x:c r="B3199" t="str">
        <x:v>DW-3194</x:v>
      </x:c>
      <x:c r="C3199" t="str">
        <x:v>Parent indépendant 1.58</x:v>
      </x:c>
      <x:c r="D3199" t="str">
        <x:v>Alimentation et restauration</x:v>
      </x:c>
      <x:c r="E3199" t="str">
        <x:v>Atelier de crèmes et desserts cuits</x:v>
      </x:c>
      <x:c r="F3199" t="n">
        <x:v>9</x:v>
      </x:c>
      <x:c r="G3199" t="n">
        <x:v>8</x:v>
      </x:c>
      <x:c r="H3199" t="n">
        <x:v>8</x:v>
      </x:c>
      <x:c r="I3199" t="str">
        <x:v>À qualifier par lieu</x:v>
      </x:c>
      <x:c r="J3199" t="str">
        <x:v>https://github.com/darknigthmare/deadwall-last-enclosure/blob/e28f46223e73105ab2c5d83f3d50b99b58ef53e6/codex-3000/addendum-1.58/PROGRAMMES_A.json</x:v>
      </x:c>
      <x:c r="K3199" t="str">
        <x:v>Source min 40,40 m ; max 40,40 m ; modèle 40 × 40 m ; niveaux 0. Détails dans catalogue-existant.json.</x:v>
      </x:c>
    </x:row>
    <x:row r="3200">
      <x:c r="A3200" t="str">
        <x:v>DW-3195</x:v>
      </x:c>
      <x:c r="B3200" t="str">
        <x:v>DW-3195</x:v>
      </x:c>
      <x:c r="C3200" t="str">
        <x:v>Parent indépendant 1.58</x:v>
      </x:c>
      <x:c r="D3200" t="str">
        <x:v>Alimentation et restauration</x:v>
      </x:c>
      <x:c r="E3200" t="str">
        <x:v>Maison de dégustation de conserves</x:v>
      </x:c>
      <x:c r="F3200" t="n">
        <x:v>9</x:v>
      </x:c>
      <x:c r="G3200" t="n">
        <x:v>8</x:v>
      </x:c>
      <x:c r="H3200" t="n">
        <x:v>8</x:v>
      </x:c>
      <x:c r="I3200" t="str">
        <x:v>À qualifier par lieu</x:v>
      </x:c>
      <x:c r="J3200" t="str">
        <x:v>https://github.com/darknigthmare/deadwall-last-enclosure/blob/e28f46223e73105ab2c5d83f3d50b99b58ef53e6/codex-3000/addendum-1.58/PROGRAMMES_A.json</x:v>
      </x:c>
      <x:c r="K3200" t="str">
        <x:v>Source min 40,40 m ; max 40,40 m ; modèle 40 × 40 m ; niveaux 0. Détails dans catalogue-existant.json.</x:v>
      </x:c>
    </x:row>
    <x:row r="3201">
      <x:c r="A3201" t="str">
        <x:v>DW-3196</x:v>
      </x:c>
      <x:c r="B3201" t="str">
        <x:v>DW-3196</x:v>
      </x:c>
      <x:c r="C3201" t="str">
        <x:v>Parent indépendant 1.58</x:v>
      </x:c>
      <x:c r="D3201" t="str">
        <x:v>Alimentation et restauration</x:v>
      </x:c>
      <x:c r="E3201" t="str">
        <x:v>Comptoir de repas à emporter collectifs</x:v>
      </x:c>
      <x:c r="F3201" t="n">
        <x:v>9</x:v>
      </x:c>
      <x:c r="G3201" t="n">
        <x:v>8</x:v>
      </x:c>
      <x:c r="H3201" t="n">
        <x:v>8</x:v>
      </x:c>
      <x:c r="I3201" t="str">
        <x:v>À qualifier par lieu</x:v>
      </x:c>
      <x:c r="J3201" t="str">
        <x:v>https://github.com/darknigthmare/deadwall-last-enclosure/blob/e28f46223e73105ab2c5d83f3d50b99b58ef53e6/codex-3000/addendum-1.58/PROGRAMMES_A.json</x:v>
      </x:c>
      <x:c r="K3201" t="str">
        <x:v>Source min 40,40 m ; max 40,40 m ; modèle 40 × 40 m ; niveaux 0. Détails dans catalogue-existant.json.</x:v>
      </x:c>
    </x:row>
    <x:row r="3202">
      <x:c r="A3202" t="str">
        <x:v>DW-3197</x:v>
      </x:c>
      <x:c r="B3202" t="str">
        <x:v>DW-3197</x:v>
      </x:c>
      <x:c r="C3202" t="str">
        <x:v>Parent indépendant 1.58</x:v>
      </x:c>
      <x:c r="D3202" t="str">
        <x:v>Alimentation et restauration</x:v>
      </x:c>
      <x:c r="E3202" t="str">
        <x:v>Restaurant de plats mijotés de saison</x:v>
      </x:c>
      <x:c r="F3202" t="n">
        <x:v>9</x:v>
      </x:c>
      <x:c r="G3202" t="n">
        <x:v>8</x:v>
      </x:c>
      <x:c r="H3202" t="n">
        <x:v>8</x:v>
      </x:c>
      <x:c r="I3202" t="str">
        <x:v>À qualifier par lieu</x:v>
      </x:c>
      <x:c r="J3202" t="str">
        <x:v>https://github.com/darknigthmare/deadwall-last-enclosure/blob/e28f46223e73105ab2c5d83f3d50b99b58ef53e6/codex-3000/addendum-1.58/PROGRAMMES_A.json</x:v>
      </x:c>
      <x:c r="K3202" t="str">
        <x:v>Source min 40,40 m ; max 40,40 m ; modèle 40 × 40 m ; niveaux 0. Détails dans catalogue-existant.json.</x:v>
      </x:c>
    </x:row>
    <x:row r="3203">
      <x:c r="A3203" t="str">
        <x:v>DW-3198</x:v>
      </x:c>
      <x:c r="B3203" t="str">
        <x:v>DW-3198</x:v>
      </x:c>
      <x:c r="C3203" t="str">
        <x:v>Parent indépendant 1.58</x:v>
      </x:c>
      <x:c r="D3203" t="str">
        <x:v>Alimentation et restauration</x:v>
      </x:c>
      <x:c r="E3203" t="str">
        <x:v>Atelier de tartes salées avec salle de service</x:v>
      </x:c>
      <x:c r="F3203" t="n">
        <x:v>9</x:v>
      </x:c>
      <x:c r="G3203" t="n">
        <x:v>8</x:v>
      </x:c>
      <x:c r="H3203" t="n">
        <x:v>8</x:v>
      </x:c>
      <x:c r="I3203" t="str">
        <x:v>À qualifier par lieu</x:v>
      </x:c>
      <x:c r="J3203" t="str">
        <x:v>https://github.com/darknigthmare/deadwall-last-enclosure/blob/e28f46223e73105ab2c5d83f3d50b99b58ef53e6/codex-3000/addendum-1.58/PROGRAMMES_A.json</x:v>
      </x:c>
      <x:c r="K3203" t="str">
        <x:v>Source min 40,40 m ; max 40,40 m ; modèle 40 × 40 m ; niveaux 0. Détails dans catalogue-existant.json.</x:v>
      </x:c>
    </x:row>
    <x:row r="3204">
      <x:c r="A3204" t="str">
        <x:v>DW-3199</x:v>
      </x:c>
      <x:c r="B3204" t="str">
        <x:v>DW-3199</x:v>
      </x:c>
      <x:c r="C3204" t="str">
        <x:v>Parent indépendant 1.58</x:v>
      </x:c>
      <x:c r="D3204" t="str">
        <x:v>Alimentation et restauration</x:v>
      </x:c>
      <x:c r="E3204" t="str">
        <x:v>Maison de paniers-repas pour excursions</x:v>
      </x:c>
      <x:c r="F3204" t="n">
        <x:v>9</x:v>
      </x:c>
      <x:c r="G3204" t="n">
        <x:v>8</x:v>
      </x:c>
      <x:c r="H3204" t="n">
        <x:v>8</x:v>
      </x:c>
      <x:c r="I3204" t="str">
        <x:v>À qualifier par lieu</x:v>
      </x:c>
      <x:c r="J3204" t="str">
        <x:v>https://github.com/darknigthmare/deadwall-last-enclosure/blob/e28f46223e73105ab2c5d83f3d50b99b58ef53e6/codex-3000/addendum-1.58/PROGRAMMES_A.json</x:v>
      </x:c>
      <x:c r="K3204" t="str">
        <x:v>Source min 40,40 m ; max 40,40 m ; modèle 40 × 40 m ; niveaux 0. Détails dans catalogue-existant.json.</x:v>
      </x:c>
    </x:row>
    <x:row r="3205">
      <x:c r="A3205" t="str">
        <x:v>DW-3200</x:v>
      </x:c>
      <x:c r="B3205" t="str">
        <x:v>DW-3200</x:v>
      </x:c>
      <x:c r="C3205" t="str">
        <x:v>Parent indépendant 1.58</x:v>
      </x:c>
      <x:c r="D3205" t="str">
        <x:v>Alimentation et restauration</x:v>
      </x:c>
      <x:c r="E3205" t="str">
        <x:v>Restaurant d'accueil de groupes scolaires</x:v>
      </x:c>
      <x:c r="F3205" t="n">
        <x:v>9</x:v>
      </x:c>
      <x:c r="G3205" t="n">
        <x:v>8</x:v>
      </x:c>
      <x:c r="H3205" t="n">
        <x:v>8</x:v>
      </x:c>
      <x:c r="I3205" t="str">
        <x:v>À qualifier par lieu</x:v>
      </x:c>
      <x:c r="J3205" t="str">
        <x:v>https://github.com/darknigthmare/deadwall-last-enclosure/blob/e28f46223e73105ab2c5d83f3d50b99b58ef53e6/codex-3000/addendum-1.58/PROGRAMMES_A.json</x:v>
      </x:c>
      <x:c r="K3205" t="str">
        <x:v>Source min 40,40 m ; max 40,40 m ; modèle 40 × 40 m ; niveaux 0. Détails dans catalogue-existant.json.</x:v>
      </x:c>
    </x:row>
    <x:row r="3206">
      <x:c r="A3206" t="str">
        <x:v>DW-3201</x:v>
      </x:c>
      <x:c r="B3206" t="str">
        <x:v>DW-3201</x:v>
      </x:c>
      <x:c r="C3206" t="str">
        <x:v>Parent indépendant 1.58</x:v>
      </x:c>
      <x:c r="D3206" t="str">
        <x:v>Éducation et connaissance</x:v>
      </x:c>
      <x:c r="E3206" t="str">
        <x:v>Centre de formation en plomberie</x:v>
      </x:c>
      <x:c r="F3206" t="n">
        <x:v>9</x:v>
      </x:c>
      <x:c r="G3206" t="n">
        <x:v>8</x:v>
      </x:c>
      <x:c r="H3206" t="n">
        <x:v>8</x:v>
      </x:c>
      <x:c r="I3206" t="str">
        <x:v>À qualifier par lieu</x:v>
      </x:c>
      <x:c r="J3206" t="str">
        <x:v>https://github.com/darknigthmare/deadwall-last-enclosure/blob/e28f46223e73105ab2c5d83f3d50b99b58ef53e6/codex-3000/addendum-1.58/PROGRAMMES_A.json</x:v>
      </x:c>
      <x:c r="K3206" t="str">
        <x:v>Source min 42,36 m ; max 42,36 m ; modèle 42 × 36 m ; niveaux 0, 1. Détails dans catalogue-existant.json.</x:v>
      </x:c>
    </x:row>
    <x:row r="3207">
      <x:c r="A3207" t="str">
        <x:v>DW-3202</x:v>
      </x:c>
      <x:c r="B3207" t="str">
        <x:v>DW-3202</x:v>
      </x:c>
      <x:c r="C3207" t="str">
        <x:v>Parent indépendant 1.58</x:v>
      </x:c>
      <x:c r="D3207" t="str">
        <x:v>Éducation et connaissance</x:v>
      </x:c>
      <x:c r="E3207" t="str">
        <x:v>École d'installation électrique</x:v>
      </x:c>
      <x:c r="F3207" t="n">
        <x:v>9</x:v>
      </x:c>
      <x:c r="G3207" t="n">
        <x:v>8</x:v>
      </x:c>
      <x:c r="H3207" t="n">
        <x:v>8</x:v>
      </x:c>
      <x:c r="I3207" t="str">
        <x:v>À qualifier par lieu</x:v>
      </x:c>
      <x:c r="J3207" t="str">
        <x:v>https://github.com/darknigthmare/deadwall-last-enclosure/blob/e28f46223e73105ab2c5d83f3d50b99b58ef53e6/codex-3000/addendum-1.58/PROGRAMMES_A.json</x:v>
      </x:c>
      <x:c r="K3207" t="str">
        <x:v>Source min 42,36 m ; max 42,36 m ; modèle 42 × 36 m ; niveaux 0, 1. Détails dans catalogue-existant.json.</x:v>
      </x:c>
    </x:row>
    <x:row r="3208">
      <x:c r="A3208" t="str">
        <x:v>DW-3203</x:v>
      </x:c>
      <x:c r="B3208" t="str">
        <x:v>DW-3203</x:v>
      </x:c>
      <x:c r="C3208" t="str">
        <x:v>Parent indépendant 1.58</x:v>
      </x:c>
      <x:c r="D3208" t="str">
        <x:v>Éducation et connaissance</x:v>
      </x:c>
      <x:c r="E3208" t="str">
        <x:v>Centre d'apprentissage de maçonnerie</x:v>
      </x:c>
      <x:c r="F3208" t="n">
        <x:v>9</x:v>
      </x:c>
      <x:c r="G3208" t="n">
        <x:v>8</x:v>
      </x:c>
      <x:c r="H3208" t="n">
        <x:v>8</x:v>
      </x:c>
      <x:c r="I3208" t="str">
        <x:v>À qualifier par lieu</x:v>
      </x:c>
      <x:c r="J3208" t="str">
        <x:v>https://github.com/darknigthmare/deadwall-last-enclosure/blob/e28f46223e73105ab2c5d83f3d50b99b58ef53e6/codex-3000/addendum-1.58/PROGRAMMES_A.json</x:v>
      </x:c>
      <x:c r="K3208" t="str">
        <x:v>Source min 42,36 m ; max 42,36 m ; modèle 42 × 36 m ; niveaux 0, 1. Détails dans catalogue-existant.json.</x:v>
      </x:c>
    </x:row>
    <x:row r="3209">
      <x:c r="A3209" t="str">
        <x:v>DW-3204</x:v>
      </x:c>
      <x:c r="B3209" t="str">
        <x:v>DW-3204</x:v>
      </x:c>
      <x:c r="C3209" t="str">
        <x:v>Parent indépendant 1.58</x:v>
      </x:c>
      <x:c r="D3209" t="str">
        <x:v>Éducation et connaissance</x:v>
      </x:c>
      <x:c r="E3209" t="str">
        <x:v>École de taille de pierre</x:v>
      </x:c>
      <x:c r="F3209" t="n">
        <x:v>9</x:v>
      </x:c>
      <x:c r="G3209" t="n">
        <x:v>8</x:v>
      </x:c>
      <x:c r="H3209" t="n">
        <x:v>8</x:v>
      </x:c>
      <x:c r="I3209" t="str">
        <x:v>À qualifier par lieu</x:v>
      </x:c>
      <x:c r="J3209" t="str">
        <x:v>https://github.com/darknigthmare/deadwall-last-enclosure/blob/e28f46223e73105ab2c5d83f3d50b99b58ef53e6/codex-3000/addendum-1.58/PROGRAMMES_A.json</x:v>
      </x:c>
      <x:c r="K3209" t="str">
        <x:v>Source min 42,36 m ; max 42,36 m ; modèle 42 × 36 m ; niveaux 0, 1. Détails dans catalogue-existant.json.</x:v>
      </x:c>
    </x:row>
    <x:row r="3210">
      <x:c r="A3210" t="str">
        <x:v>DW-3205</x:v>
      </x:c>
      <x:c r="B3210" t="str">
        <x:v>DW-3205</x:v>
      </x:c>
      <x:c r="C3210" t="str">
        <x:v>Parent indépendant 1.58</x:v>
      </x:c>
      <x:c r="D3210" t="str">
        <x:v>Éducation et connaissance</x:v>
      </x:c>
      <x:c r="E3210" t="str">
        <x:v>Centre de formation en soudage</x:v>
      </x:c>
      <x:c r="F3210" t="n">
        <x:v>9</x:v>
      </x:c>
      <x:c r="G3210" t="n">
        <x:v>8</x:v>
      </x:c>
      <x:c r="H3210" t="n">
        <x:v>8</x:v>
      </x:c>
      <x:c r="I3210" t="str">
        <x:v>À qualifier par lieu</x:v>
      </x:c>
      <x:c r="J3210" t="str">
        <x:v>https://github.com/darknigthmare/deadwall-last-enclosure/blob/e28f46223e73105ab2c5d83f3d50b99b58ef53e6/codex-3000/addendum-1.58/PROGRAMMES_A.json</x:v>
      </x:c>
      <x:c r="K3210" t="str">
        <x:v>Source min 42,36 m ; max 42,36 m ; modèle 42 × 36 m ; niveaux 0, 1. Détails dans catalogue-existant.json.</x:v>
      </x:c>
    </x:row>
    <x:row r="3211">
      <x:c r="A3211" t="str">
        <x:v>DW-3206</x:v>
      </x:c>
      <x:c r="B3211" t="str">
        <x:v>DW-3206</x:v>
      </x:c>
      <x:c r="C3211" t="str">
        <x:v>Parent indépendant 1.58</x:v>
      </x:c>
      <x:c r="D3211" t="str">
        <x:v>Éducation et connaissance</x:v>
      </x:c>
      <x:c r="E3211" t="str">
        <x:v>École de ferronnerie d'ornement</x:v>
      </x:c>
      <x:c r="F3211" t="n">
        <x:v>9</x:v>
      </x:c>
      <x:c r="G3211" t="n">
        <x:v>8</x:v>
      </x:c>
      <x:c r="H3211" t="n">
        <x:v>8</x:v>
      </x:c>
      <x:c r="I3211" t="str">
        <x:v>À qualifier par lieu</x:v>
      </x:c>
      <x:c r="J3211" t="str">
        <x:v>https://github.com/darknigthmare/deadwall-last-enclosure/blob/e28f46223e73105ab2c5d83f3d50b99b58ef53e6/codex-3000/addendum-1.58/PROGRAMMES_A.json</x:v>
      </x:c>
      <x:c r="K3211" t="str">
        <x:v>Source min 42,36 m ; max 42,36 m ; modèle 42 × 36 m ; niveaux 0, 1. Détails dans catalogue-existant.json.</x:v>
      </x:c>
    </x:row>
    <x:row r="3212">
      <x:c r="A3212" t="str">
        <x:v>DW-3207</x:v>
      </x:c>
      <x:c r="B3212" t="str">
        <x:v>DW-3207</x:v>
      </x:c>
      <x:c r="C3212" t="str">
        <x:v>Parent indépendant 1.58</x:v>
      </x:c>
      <x:c r="D3212" t="str">
        <x:v>Éducation et connaissance</x:v>
      </x:c>
      <x:c r="E3212" t="str">
        <x:v>Centre d'apprentissage de couverture</x:v>
      </x:c>
      <x:c r="F3212" t="n">
        <x:v>9</x:v>
      </x:c>
      <x:c r="G3212" t="n">
        <x:v>8</x:v>
      </x:c>
      <x:c r="H3212" t="n">
        <x:v>8</x:v>
      </x:c>
      <x:c r="I3212" t="str">
        <x:v>À qualifier par lieu</x:v>
      </x:c>
      <x:c r="J3212" t="str">
        <x:v>https://github.com/darknigthmare/deadwall-last-enclosure/blob/e28f46223e73105ab2c5d83f3d50b99b58ef53e6/codex-3000/addendum-1.58/PROGRAMMES_A.json</x:v>
      </x:c>
      <x:c r="K3212" t="str">
        <x:v>Source min 42,36 m ; max 42,36 m ; modèle 42 × 36 m ; niveaux 0, 1. Détails dans catalogue-existant.json.</x:v>
      </x:c>
    </x:row>
    <x:row r="3213">
      <x:c r="A3213" t="str">
        <x:v>DW-3208</x:v>
      </x:c>
      <x:c r="B3213" t="str">
        <x:v>DW-3208</x:v>
      </x:c>
      <x:c r="C3213" t="str">
        <x:v>Parent indépendant 1.58</x:v>
      </x:c>
      <x:c r="D3213" t="str">
        <x:v>Éducation et connaissance</x:v>
      </x:c>
      <x:c r="E3213" t="str">
        <x:v>École de serrurerie de bâtiment</x:v>
      </x:c>
      <x:c r="F3213" t="n">
        <x:v>9</x:v>
      </x:c>
      <x:c r="G3213" t="n">
        <x:v>8</x:v>
      </x:c>
      <x:c r="H3213" t="n">
        <x:v>8</x:v>
      </x:c>
      <x:c r="I3213" t="str">
        <x:v>À qualifier par lieu</x:v>
      </x:c>
      <x:c r="J3213" t="str">
        <x:v>https://github.com/darknigthmare/deadwall-last-enclosure/blob/e28f46223e73105ab2c5d83f3d50b99b58ef53e6/codex-3000/addendum-1.58/PROGRAMMES_A.json</x:v>
      </x:c>
      <x:c r="K3213" t="str">
        <x:v>Source min 42,36 m ; max 42,36 m ; modèle 42 × 36 m ; niveaux 0, 1. Détails dans catalogue-existant.json.</x:v>
      </x:c>
    </x:row>
    <x:row r="3214">
      <x:c r="A3214" t="str">
        <x:v>DW-3209</x:v>
      </x:c>
      <x:c r="B3214" t="str">
        <x:v>DW-3209</x:v>
      </x:c>
      <x:c r="C3214" t="str">
        <x:v>Parent indépendant 1.58</x:v>
      </x:c>
      <x:c r="D3214" t="str">
        <x:v>Éducation et connaissance</x:v>
      </x:c>
      <x:c r="E3214" t="str">
        <x:v>Centre de formation de mécanique cycliste</x:v>
      </x:c>
      <x:c r="F3214" t="n">
        <x:v>9</x:v>
      </x:c>
      <x:c r="G3214" t="n">
        <x:v>8</x:v>
      </x:c>
      <x:c r="H3214" t="n">
        <x:v>8</x:v>
      </x:c>
      <x:c r="I3214" t="str">
        <x:v>À qualifier par lieu</x:v>
      </x:c>
      <x:c r="J3214" t="str">
        <x:v>https://github.com/darknigthmare/deadwall-last-enclosure/blob/e28f46223e73105ab2c5d83f3d50b99b58ef53e6/codex-3000/addendum-1.58/PROGRAMMES_A.json</x:v>
      </x:c>
      <x:c r="K3214" t="str">
        <x:v>Source min 42,36 m ; max 42,36 m ; modèle 42 × 36 m ; niveaux 0, 1. Détails dans catalogue-existant.json.</x:v>
      </x:c>
    </x:row>
    <x:row r="3215">
      <x:c r="A3215" t="str">
        <x:v>DW-3210</x:v>
      </x:c>
      <x:c r="B3215" t="str">
        <x:v>DW-3210</x:v>
      </x:c>
      <x:c r="C3215" t="str">
        <x:v>Parent indépendant 1.58</x:v>
      </x:c>
      <x:c r="D3215" t="str">
        <x:v>Éducation et connaissance</x:v>
      </x:c>
      <x:c r="E3215" t="str">
        <x:v>École de carrosserie légère</x:v>
      </x:c>
      <x:c r="F3215" t="n">
        <x:v>9</x:v>
      </x:c>
      <x:c r="G3215" t="n">
        <x:v>8</x:v>
      </x:c>
      <x:c r="H3215" t="n">
        <x:v>8</x:v>
      </x:c>
      <x:c r="I3215" t="str">
        <x:v>À qualifier par lieu</x:v>
      </x:c>
      <x:c r="J3215" t="str">
        <x:v>https://github.com/darknigthmare/deadwall-last-enclosure/blob/e28f46223e73105ab2c5d83f3d50b99b58ef53e6/codex-3000/addendum-1.58/PROGRAMMES_A.json</x:v>
      </x:c>
      <x:c r="K3215" t="str">
        <x:v>Source min 42,36 m ; max 42,36 m ; modèle 42 × 36 m ; niveaux 0, 1. Détails dans catalogue-existant.json.</x:v>
      </x:c>
    </x:row>
    <x:row r="3216">
      <x:c r="A3216" t="str">
        <x:v>DW-3211</x:v>
      </x:c>
      <x:c r="B3216" t="str">
        <x:v>DW-3211</x:v>
      </x:c>
      <x:c r="C3216" t="str">
        <x:v>Parent indépendant 1.58</x:v>
      </x:c>
      <x:c r="D3216" t="str">
        <x:v>Éducation et connaissance</x:v>
      </x:c>
      <x:c r="E3216" t="str">
        <x:v>École de reliure documentaire</x:v>
      </x:c>
      <x:c r="F3216" t="n">
        <x:v>9</x:v>
      </x:c>
      <x:c r="G3216" t="n">
        <x:v>8</x:v>
      </x:c>
      <x:c r="H3216" t="n">
        <x:v>8</x:v>
      </x:c>
      <x:c r="I3216" t="str">
        <x:v>À qualifier par lieu</x:v>
      </x:c>
      <x:c r="J3216" t="str">
        <x:v>https://github.com/darknigthmare/deadwall-last-enclosure/blob/e28f46223e73105ab2c5d83f3d50b99b58ef53e6/codex-3000/addendum-1.58/PROGRAMMES_A.json</x:v>
      </x:c>
      <x:c r="K3216" t="str">
        <x:v>Source min 42,36 m ; max 42,36 m ; modèle 42 × 36 m ; niveaux 0, 1. Détails dans catalogue-existant.json.</x:v>
      </x:c>
    </x:row>
    <x:row r="3217">
      <x:c r="A3217" t="str">
        <x:v>DW-3212</x:v>
      </x:c>
      <x:c r="B3217" t="str">
        <x:v>DW-3212</x:v>
      </x:c>
      <x:c r="C3217" t="str">
        <x:v>Parent indépendant 1.58</x:v>
      </x:c>
      <x:c r="D3217" t="str">
        <x:v>Éducation et connaissance</x:v>
      </x:c>
      <x:c r="E3217" t="str">
        <x:v>Centre d'apprentissage de l'impression offset</x:v>
      </x:c>
      <x:c r="F3217" t="n">
        <x:v>9</x:v>
      </x:c>
      <x:c r="G3217" t="n">
        <x:v>8</x:v>
      </x:c>
      <x:c r="H3217" t="n">
        <x:v>8</x:v>
      </x:c>
      <x:c r="I3217" t="str">
        <x:v>À qualifier par lieu</x:v>
      </x:c>
      <x:c r="J3217" t="str">
        <x:v>https://github.com/darknigthmare/deadwall-last-enclosure/blob/e28f46223e73105ab2c5d83f3d50b99b58ef53e6/codex-3000/addendum-1.58/PROGRAMMES_A.json</x:v>
      </x:c>
      <x:c r="K3217" t="str">
        <x:v>Source min 42,36 m ; max 42,36 m ; modèle 42 × 36 m ; niveaux 0, 1. Détails dans catalogue-existant.json.</x:v>
      </x:c>
    </x:row>
    <x:row r="3218">
      <x:c r="A3218" t="str">
        <x:v>DW-3213</x:v>
      </x:c>
      <x:c r="B3218" t="str">
        <x:v>DW-3213</x:v>
      </x:c>
      <x:c r="C3218" t="str">
        <x:v>Parent indépendant 1.58</x:v>
      </x:c>
      <x:c r="D3218" t="str">
        <x:v>Éducation et connaissance</x:v>
      </x:c>
      <x:c r="E3218" t="str">
        <x:v>École de typographie manuelle</x:v>
      </x:c>
      <x:c r="F3218" t="n">
        <x:v>9</x:v>
      </x:c>
      <x:c r="G3218" t="n">
        <x:v>8</x:v>
      </x:c>
      <x:c r="H3218" t="n">
        <x:v>8</x:v>
      </x:c>
      <x:c r="I3218" t="str">
        <x:v>À qualifier par lieu</x:v>
      </x:c>
      <x:c r="J3218" t="str">
        <x:v>https://github.com/darknigthmare/deadwall-last-enclosure/blob/e28f46223e73105ab2c5d83f3d50b99b58ef53e6/codex-3000/addendum-1.58/PROGRAMMES_A.json</x:v>
      </x:c>
      <x:c r="K3218" t="str">
        <x:v>Source min 42,36 m ; max 42,36 m ; modèle 42 × 36 m ; niveaux 0, 1. Détails dans catalogue-existant.json.</x:v>
      </x:c>
    </x:row>
    <x:row r="3219">
      <x:c r="A3219" t="str">
        <x:v>DW-3214</x:v>
      </x:c>
      <x:c r="B3219" t="str">
        <x:v>DW-3214</x:v>
      </x:c>
      <x:c r="C3219" t="str">
        <x:v>Parent indépendant 1.58</x:v>
      </x:c>
      <x:c r="D3219" t="str">
        <x:v>Éducation et connaissance</x:v>
      </x:c>
      <x:c r="E3219" t="str">
        <x:v>Institut de conservation des livres</x:v>
      </x:c>
      <x:c r="F3219" t="n">
        <x:v>9</x:v>
      </x:c>
      <x:c r="G3219" t="n">
        <x:v>8</x:v>
      </x:c>
      <x:c r="H3219" t="n">
        <x:v>8</x:v>
      </x:c>
      <x:c r="I3219" t="str">
        <x:v>À qualifier par lieu</x:v>
      </x:c>
      <x:c r="J3219" t="str">
        <x:v>https://github.com/darknigthmare/deadwall-last-enclosure/blob/e28f46223e73105ab2c5d83f3d50b99b58ef53e6/codex-3000/addendum-1.58/PROGRAMMES_A.json</x:v>
      </x:c>
      <x:c r="K3219" t="str">
        <x:v>Source min 42,36 m ; max 42,36 m ; modèle 42 × 36 m ; niveaux 0, 1. Détails dans catalogue-existant.json.</x:v>
      </x:c>
    </x:row>
    <x:row r="3220">
      <x:c r="A3220" t="str">
        <x:v>DW-3215</x:v>
      </x:c>
      <x:c r="B3220" t="str">
        <x:v>DW-3215</x:v>
      </x:c>
      <x:c r="C3220" t="str">
        <x:v>Parent indépendant 1.58</x:v>
      </x:c>
      <x:c r="D3220" t="str">
        <x:v>Éducation et connaissance</x:v>
      </x:c>
      <x:c r="E3220" t="str">
        <x:v>Centre de formation aux archives numériques</x:v>
      </x:c>
      <x:c r="F3220" t="n">
        <x:v>9</x:v>
      </x:c>
      <x:c r="G3220" t="n">
        <x:v>8</x:v>
      </x:c>
      <x:c r="H3220" t="n">
        <x:v>8</x:v>
      </x:c>
      <x:c r="I3220" t="str">
        <x:v>À qualifier par lieu</x:v>
      </x:c>
      <x:c r="J3220" t="str">
        <x:v>https://github.com/darknigthmare/deadwall-last-enclosure/blob/e28f46223e73105ab2c5d83f3d50b99b58ef53e6/codex-3000/addendum-1.58/PROGRAMMES_A.json</x:v>
      </x:c>
      <x:c r="K3220" t="str">
        <x:v>Source min 42,36 m ; max 42,36 m ; modèle 42 × 36 m ; niveaux 0, 1. Détails dans catalogue-existant.json.</x:v>
      </x:c>
    </x:row>
    <x:row r="3221">
      <x:c r="A3221" t="str">
        <x:v>DW-3216</x:v>
      </x:c>
      <x:c r="B3221" t="str">
        <x:v>DW-3216</x:v>
      </x:c>
      <x:c r="C3221" t="str">
        <x:v>Parent indépendant 1.58</x:v>
      </x:c>
      <x:c r="D3221" t="str">
        <x:v>Éducation et connaissance</x:v>
      </x:c>
      <x:c r="E3221" t="str">
        <x:v>École de cartographie de terrain</x:v>
      </x:c>
      <x:c r="F3221" t="n">
        <x:v>9</x:v>
      </x:c>
      <x:c r="G3221" t="n">
        <x:v>8</x:v>
      </x:c>
      <x:c r="H3221" t="n">
        <x:v>8</x:v>
      </x:c>
      <x:c r="I3221" t="str">
        <x:v>À qualifier par lieu</x:v>
      </x:c>
      <x:c r="J3221" t="str">
        <x:v>https://github.com/darknigthmare/deadwall-last-enclosure/blob/e28f46223e73105ab2c5d83f3d50b99b58ef53e6/codex-3000/addendum-1.58/PROGRAMMES_A.json</x:v>
      </x:c>
      <x:c r="K3221" t="str">
        <x:v>Source min 42,36 m ; max 42,36 m ; modèle 42 × 36 m ; niveaux 0, 1. Détails dans catalogue-existant.json.</x:v>
      </x:c>
    </x:row>
    <x:row r="3222">
      <x:c r="A3222" t="str">
        <x:v>DW-3217</x:v>
      </x:c>
      <x:c r="B3222" t="str">
        <x:v>DW-3217</x:v>
      </x:c>
      <x:c r="C3222" t="str">
        <x:v>Parent indépendant 1.58</x:v>
      </x:c>
      <x:c r="D3222" t="str">
        <x:v>Éducation et connaissance</x:v>
      </x:c>
      <x:c r="E3222" t="str">
        <x:v>Centre d'enseignement topographique</x:v>
      </x:c>
      <x:c r="F3222" t="n">
        <x:v>9</x:v>
      </x:c>
      <x:c r="G3222" t="n">
        <x:v>8</x:v>
      </x:c>
      <x:c r="H3222" t="n">
        <x:v>8</x:v>
      </x:c>
      <x:c r="I3222" t="str">
        <x:v>À qualifier par lieu</x:v>
      </x:c>
      <x:c r="J3222" t="str">
        <x:v>https://github.com/darknigthmare/deadwall-last-enclosure/blob/e28f46223e73105ab2c5d83f3d50b99b58ef53e6/codex-3000/addendum-1.58/PROGRAMMES_A.json</x:v>
      </x:c>
      <x:c r="K3222" t="str">
        <x:v>Source min 42,36 m ; max 42,36 m ; modèle 42 × 36 m ; niveaux 0, 1. Détails dans catalogue-existant.json.</x:v>
      </x:c>
    </x:row>
    <x:row r="3223">
      <x:c r="A3223" t="str">
        <x:v>DW-3218</x:v>
      </x:c>
      <x:c r="B3223" t="str">
        <x:v>DW-3218</x:v>
      </x:c>
      <x:c r="C3223" t="str">
        <x:v>Parent indépendant 1.58</x:v>
      </x:c>
      <x:c r="D3223" t="str">
        <x:v>Éducation et connaissance</x:v>
      </x:c>
      <x:c r="E3223" t="str">
        <x:v>Maison pédagogique de météorologie</x:v>
      </x:c>
      <x:c r="F3223" t="n">
        <x:v>9</x:v>
      </x:c>
      <x:c r="G3223" t="n">
        <x:v>8</x:v>
      </x:c>
      <x:c r="H3223" t="n">
        <x:v>8</x:v>
      </x:c>
      <x:c r="I3223" t="str">
        <x:v>À qualifier par lieu</x:v>
      </x:c>
      <x:c r="J3223" t="str">
        <x:v>https://github.com/darknigthmare/deadwall-last-enclosure/blob/e28f46223e73105ab2c5d83f3d50b99b58ef53e6/codex-3000/addendum-1.58/PROGRAMMES_A.json</x:v>
      </x:c>
      <x:c r="K3223" t="str">
        <x:v>Source min 42,36 m ; max 42,36 m ; modèle 42 × 36 m ; niveaux 0, 1. Détails dans catalogue-existant.json.</x:v>
      </x:c>
    </x:row>
    <x:row r="3224">
      <x:c r="A3224" t="str">
        <x:v>DW-3219</x:v>
      </x:c>
      <x:c r="B3224" t="str">
        <x:v>DW-3219</x:v>
      </x:c>
      <x:c r="C3224" t="str">
        <x:v>Parent indépendant 1.58</x:v>
      </x:c>
      <x:c r="D3224" t="str">
        <x:v>Éducation et connaissance</x:v>
      </x:c>
      <x:c r="E3224" t="str">
        <x:v>École de botanique appliquée</x:v>
      </x:c>
      <x:c r="F3224" t="n">
        <x:v>9</x:v>
      </x:c>
      <x:c r="G3224" t="n">
        <x:v>8</x:v>
      </x:c>
      <x:c r="H3224" t="n">
        <x:v>8</x:v>
      </x:c>
      <x:c r="I3224" t="str">
        <x:v>À qualifier par lieu</x:v>
      </x:c>
      <x:c r="J3224" t="str">
        <x:v>https://github.com/darknigthmare/deadwall-last-enclosure/blob/e28f46223e73105ab2c5d83f3d50b99b58ef53e6/codex-3000/addendum-1.58/PROGRAMMES_A.json</x:v>
      </x:c>
      <x:c r="K3224" t="str">
        <x:v>Source min 42,36 m ; max 42,36 m ; modèle 42 × 36 m ; niveaux 0, 1. Détails dans catalogue-existant.json.</x:v>
      </x:c>
    </x:row>
    <x:row r="3225">
      <x:c r="A3225" t="str">
        <x:v>DW-3220</x:v>
      </x:c>
      <x:c r="B3225" t="str">
        <x:v>DW-3220</x:v>
      </x:c>
      <x:c r="C3225" t="str">
        <x:v>Parent indépendant 1.58</x:v>
      </x:c>
      <x:c r="D3225" t="str">
        <x:v>Éducation et connaissance</x:v>
      </x:c>
      <x:c r="E3225" t="str">
        <x:v>Centre de formation aux semences</x:v>
      </x:c>
      <x:c r="F3225" t="n">
        <x:v>9</x:v>
      </x:c>
      <x:c r="G3225" t="n">
        <x:v>8</x:v>
      </x:c>
      <x:c r="H3225" t="n">
        <x:v>8</x:v>
      </x:c>
      <x:c r="I3225" t="str">
        <x:v>À qualifier par lieu</x:v>
      </x:c>
      <x:c r="J3225" t="str">
        <x:v>https://github.com/darknigthmare/deadwall-last-enclosure/blob/e28f46223e73105ab2c5d83f3d50b99b58ef53e6/codex-3000/addendum-1.58/PROGRAMMES_A.json</x:v>
      </x:c>
      <x:c r="K3225" t="str">
        <x:v>Source min 42,36 m ; max 42,36 m ; modèle 42 × 36 m ; niveaux 0, 1. Détails dans catalogue-existant.json.</x:v>
      </x:c>
    </x:row>
    <x:row r="3226">
      <x:c r="A3226" t="str">
        <x:v>DW-3221</x:v>
      </x:c>
      <x:c r="B3226" t="str">
        <x:v>DW-3221</x:v>
      </x:c>
      <x:c r="C3226" t="str">
        <x:v>Parent indépendant 1.58</x:v>
      </x:c>
      <x:c r="D3226" t="str">
        <x:v>Éducation et connaissance</x:v>
      </x:c>
      <x:c r="E3226" t="str">
        <x:v>École d'interprétation linguistique</x:v>
      </x:c>
      <x:c r="F3226" t="n">
        <x:v>9</x:v>
      </x:c>
      <x:c r="G3226" t="n">
        <x:v>8</x:v>
      </x:c>
      <x:c r="H3226" t="n">
        <x:v>8</x:v>
      </x:c>
      <x:c r="I3226" t="str">
        <x:v>À qualifier par lieu</x:v>
      </x:c>
      <x:c r="J3226" t="str">
        <x:v>https://github.com/darknigthmare/deadwall-last-enclosure/blob/e28f46223e73105ab2c5d83f3d50b99b58ef53e6/codex-3000/addendum-1.58/PROGRAMMES_A.json</x:v>
      </x:c>
      <x:c r="K3226" t="str">
        <x:v>Source min 42,36 m ; max 42,36 m ; modèle 42 × 36 m ; niveaux 0, 1. Détails dans catalogue-existant.json.</x:v>
      </x:c>
    </x:row>
    <x:row r="3227">
      <x:c r="A3227" t="str">
        <x:v>DW-3222</x:v>
      </x:c>
      <x:c r="B3227" t="str">
        <x:v>DW-3222</x:v>
      </x:c>
      <x:c r="C3227" t="str">
        <x:v>Parent indépendant 1.58</x:v>
      </x:c>
      <x:c r="D3227" t="str">
        <x:v>Éducation et connaissance</x:v>
      </x:c>
      <x:c r="E3227" t="str">
        <x:v>Centre de formation radiophonique</x:v>
      </x:c>
      <x:c r="F3227" t="n">
        <x:v>9</x:v>
      </x:c>
      <x:c r="G3227" t="n">
        <x:v>8</x:v>
      </x:c>
      <x:c r="H3227" t="n">
        <x:v>8</x:v>
      </x:c>
      <x:c r="I3227" t="str">
        <x:v>À qualifier par lieu</x:v>
      </x:c>
      <x:c r="J3227" t="str">
        <x:v>https://github.com/darknigthmare/deadwall-last-enclosure/blob/e28f46223e73105ab2c5d83f3d50b99b58ef53e6/codex-3000/addendum-1.58/PROGRAMMES_A.json</x:v>
      </x:c>
      <x:c r="K3227" t="str">
        <x:v>Source min 42,36 m ; max 42,36 m ; modèle 42 × 36 m ; niveaux 0, 1. Détails dans catalogue-existant.json.</x:v>
      </x:c>
    </x:row>
    <x:row r="3228">
      <x:c r="A3228" t="str">
        <x:v>DW-3223</x:v>
      </x:c>
      <x:c r="B3228" t="str">
        <x:v>DW-3223</x:v>
      </x:c>
      <x:c r="C3228" t="str">
        <x:v>Parent indépendant 1.58</x:v>
      </x:c>
      <x:c r="D3228" t="str">
        <x:v>Éducation et connaissance</x:v>
      </x:c>
      <x:c r="E3228" t="str">
        <x:v>École de montage sonore</x:v>
      </x:c>
      <x:c r="F3228" t="n">
        <x:v>9</x:v>
      </x:c>
      <x:c r="G3228" t="n">
        <x:v>8</x:v>
      </x:c>
      <x:c r="H3228" t="n">
        <x:v>8</x:v>
      </x:c>
      <x:c r="I3228" t="str">
        <x:v>À qualifier par lieu</x:v>
      </x:c>
      <x:c r="J3228" t="str">
        <x:v>https://github.com/darknigthmare/deadwall-last-enclosure/blob/e28f46223e73105ab2c5d83f3d50b99b58ef53e6/codex-3000/addendum-1.58/PROGRAMMES_A.json</x:v>
      </x:c>
      <x:c r="K3228" t="str">
        <x:v>Source min 42,36 m ; max 42,36 m ; modèle 42 × 36 m ; niveaux 0, 1. Détails dans catalogue-existant.json.</x:v>
      </x:c>
    </x:row>
    <x:row r="3229">
      <x:c r="A3229" t="str">
        <x:v>DW-3224</x:v>
      </x:c>
      <x:c r="B3229" t="str">
        <x:v>DW-3224</x:v>
      </x:c>
      <x:c r="C3229" t="str">
        <x:v>Parent indépendant 1.58</x:v>
      </x:c>
      <x:c r="D3229" t="str">
        <x:v>Éducation et connaissance</x:v>
      </x:c>
      <x:c r="E3229" t="str">
        <x:v>Centre de formation à la prise de vue</x:v>
      </x:c>
      <x:c r="F3229" t="n">
        <x:v>9</x:v>
      </x:c>
      <x:c r="G3229" t="n">
        <x:v>8</x:v>
      </x:c>
      <x:c r="H3229" t="n">
        <x:v>8</x:v>
      </x:c>
      <x:c r="I3229" t="str">
        <x:v>À qualifier par lieu</x:v>
      </x:c>
      <x:c r="J3229" t="str">
        <x:v>https://github.com/darknigthmare/deadwall-last-enclosure/blob/e28f46223e73105ab2c5d83f3d50b99b58ef53e6/codex-3000/addendum-1.58/PROGRAMMES_A.json</x:v>
      </x:c>
      <x:c r="K3229" t="str">
        <x:v>Source min 42,36 m ; max 42,36 m ; modèle 42 × 36 m ; niveaux 0, 1. Détails dans catalogue-existant.json.</x:v>
      </x:c>
    </x:row>
    <x:row r="3230">
      <x:c r="A3230" t="str">
        <x:v>DW-3225</x:v>
      </x:c>
      <x:c r="B3230" t="str">
        <x:v>DW-3225</x:v>
      </x:c>
      <x:c r="C3230" t="str">
        <x:v>Parent indépendant 1.58</x:v>
      </x:c>
      <x:c r="D3230" t="str">
        <x:v>Éducation et connaissance</x:v>
      </x:c>
      <x:c r="E3230" t="str">
        <x:v>École de photographie de laboratoire</x:v>
      </x:c>
      <x:c r="F3230" t="n">
        <x:v>9</x:v>
      </x:c>
      <x:c r="G3230" t="n">
        <x:v>8</x:v>
      </x:c>
      <x:c r="H3230" t="n">
        <x:v>8</x:v>
      </x:c>
      <x:c r="I3230" t="str">
        <x:v>À qualifier par lieu</x:v>
      </x:c>
      <x:c r="J3230" t="str">
        <x:v>https://github.com/darknigthmare/deadwall-last-enclosure/blob/e28f46223e73105ab2c5d83f3d50b99b58ef53e6/codex-3000/addendum-1.58/PROGRAMMES_A.json</x:v>
      </x:c>
      <x:c r="K3230" t="str">
        <x:v>Source min 42,36 m ; max 42,36 m ; modèle 42 × 36 m ; niveaux 0, 1. Détails dans catalogue-existant.json.</x:v>
      </x:c>
    </x:row>
    <x:row r="3231">
      <x:c r="A3231" t="str">
        <x:v>DW-3226</x:v>
      </x:c>
      <x:c r="B3231" t="str">
        <x:v>DW-3226</x:v>
      </x:c>
      <x:c r="C3231" t="str">
        <x:v>Parent indépendant 1.58</x:v>
      </x:c>
      <x:c r="D3231" t="str">
        <x:v>Éducation et connaissance</x:v>
      </x:c>
      <x:c r="E3231" t="str">
        <x:v>Atelier-école d'animation image par image</x:v>
      </x:c>
      <x:c r="F3231" t="n">
        <x:v>9</x:v>
      </x:c>
      <x:c r="G3231" t="n">
        <x:v>8</x:v>
      </x:c>
      <x:c r="H3231" t="n">
        <x:v>8</x:v>
      </x:c>
      <x:c r="I3231" t="str">
        <x:v>À qualifier par lieu</x:v>
      </x:c>
      <x:c r="J3231" t="str">
        <x:v>https://github.com/darknigthmare/deadwall-last-enclosure/blob/e28f46223e73105ab2c5d83f3d50b99b58ef53e6/codex-3000/addendum-1.58/PROGRAMMES_A.json</x:v>
      </x:c>
      <x:c r="K3231" t="str">
        <x:v>Source min 42,36 m ; max 42,36 m ; modèle 42 × 36 m ; niveaux 0, 1. Détails dans catalogue-existant.json.</x:v>
      </x:c>
    </x:row>
    <x:row r="3232">
      <x:c r="A3232" t="str">
        <x:v>DW-3227</x:v>
      </x:c>
      <x:c r="B3232" t="str">
        <x:v>DW-3227</x:v>
      </x:c>
      <x:c r="C3232" t="str">
        <x:v>Parent indépendant 1.58</x:v>
      </x:c>
      <x:c r="D3232" t="str">
        <x:v>Éducation et connaissance</x:v>
      </x:c>
      <x:c r="E3232" t="str">
        <x:v>Centre de composition sonore électronique</x:v>
      </x:c>
      <x:c r="F3232" t="n">
        <x:v>9</x:v>
      </x:c>
      <x:c r="G3232" t="n">
        <x:v>8</x:v>
      </x:c>
      <x:c r="H3232" t="n">
        <x:v>8</x:v>
      </x:c>
      <x:c r="I3232" t="str">
        <x:v>À qualifier par lieu</x:v>
      </x:c>
      <x:c r="J3232" t="str">
        <x:v>https://github.com/darknigthmare/deadwall-last-enclosure/blob/e28f46223e73105ab2c5d83f3d50b99b58ef53e6/codex-3000/addendum-1.58/PROGRAMMES_A.json</x:v>
      </x:c>
      <x:c r="K3232" t="str">
        <x:v>Source min 42,36 m ; max 42,36 m ; modèle 42 × 36 m ; niveaux 0, 1. Détails dans catalogue-existant.json.</x:v>
      </x:c>
    </x:row>
    <x:row r="3233">
      <x:c r="A3233" t="str">
        <x:v>DW-3228</x:v>
      </x:c>
      <x:c r="B3233" t="str">
        <x:v>DW-3228</x:v>
      </x:c>
      <x:c r="C3233" t="str">
        <x:v>Parent indépendant 1.58</x:v>
      </x:c>
      <x:c r="D3233" t="str">
        <x:v>Éducation et connaissance</x:v>
      </x:c>
      <x:c r="E3233" t="str">
        <x:v>École de régie lumineuse</x:v>
      </x:c>
      <x:c r="F3233" t="n">
        <x:v>9</x:v>
      </x:c>
      <x:c r="G3233" t="n">
        <x:v>8</x:v>
      </x:c>
      <x:c r="H3233" t="n">
        <x:v>8</x:v>
      </x:c>
      <x:c r="I3233" t="str">
        <x:v>À qualifier par lieu</x:v>
      </x:c>
      <x:c r="J3233" t="str">
        <x:v>https://github.com/darknigthmare/deadwall-last-enclosure/blob/e28f46223e73105ab2c5d83f3d50b99b58ef53e6/codex-3000/addendum-1.58/PROGRAMMES_A.json</x:v>
      </x:c>
      <x:c r="K3233" t="str">
        <x:v>Source min 42,36 m ; max 42,36 m ; modèle 42 × 36 m ; niveaux 0, 1. Détails dans catalogue-existant.json.</x:v>
      </x:c>
    </x:row>
    <x:row r="3234">
      <x:c r="A3234" t="str">
        <x:v>DW-3229</x:v>
      </x:c>
      <x:c r="B3234" t="str">
        <x:v>DW-3229</x:v>
      </x:c>
      <x:c r="C3234" t="str">
        <x:v>Parent indépendant 1.58</x:v>
      </x:c>
      <x:c r="D3234" t="str">
        <x:v>Éducation et connaissance</x:v>
      </x:c>
      <x:c r="E3234" t="str">
        <x:v>Centre d'apprentissage de scénographie</x:v>
      </x:c>
      <x:c r="F3234" t="n">
        <x:v>9</x:v>
      </x:c>
      <x:c r="G3234" t="n">
        <x:v>8</x:v>
      </x:c>
      <x:c r="H3234" t="n">
        <x:v>8</x:v>
      </x:c>
      <x:c r="I3234" t="str">
        <x:v>À qualifier par lieu</x:v>
      </x:c>
      <x:c r="J3234" t="str">
        <x:v>https://github.com/darknigthmare/deadwall-last-enclosure/blob/e28f46223e73105ab2c5d83f3d50b99b58ef53e6/codex-3000/addendum-1.58/PROGRAMMES_A.json</x:v>
      </x:c>
      <x:c r="K3234" t="str">
        <x:v>Source min 42,36 m ; max 42,36 m ; modèle 42 × 36 m ; niveaux 0, 1. Détails dans catalogue-existant.json.</x:v>
      </x:c>
    </x:row>
    <x:row r="3235">
      <x:c r="A3235" t="str">
        <x:v>DW-3230</x:v>
      </x:c>
      <x:c r="B3235" t="str">
        <x:v>DW-3230</x:v>
      </x:c>
      <x:c r="C3235" t="str">
        <x:v>Parent indépendant 1.58</x:v>
      </x:c>
      <x:c r="D3235" t="str">
        <x:v>Éducation et connaissance</x:v>
      </x:c>
      <x:c r="E3235" t="str">
        <x:v>École de costume de scène</x:v>
      </x:c>
      <x:c r="F3235" t="n">
        <x:v>9</x:v>
      </x:c>
      <x:c r="G3235" t="n">
        <x:v>8</x:v>
      </x:c>
      <x:c r="H3235" t="n">
        <x:v>8</x:v>
      </x:c>
      <x:c r="I3235" t="str">
        <x:v>À qualifier par lieu</x:v>
      </x:c>
      <x:c r="J3235" t="str">
        <x:v>https://github.com/darknigthmare/deadwall-last-enclosure/blob/e28f46223e73105ab2c5d83f3d50b99b58ef53e6/codex-3000/addendum-1.58/PROGRAMMES_A.json</x:v>
      </x:c>
      <x:c r="K3235" t="str">
        <x:v>Source min 42,36 m ; max 42,36 m ; modèle 42 × 36 m ; niveaux 0, 1. Détails dans catalogue-existant.json.</x:v>
      </x:c>
    </x:row>
    <x:row r="3236">
      <x:c r="A3236" t="str">
        <x:v>DW-3231</x:v>
      </x:c>
      <x:c r="B3236" t="str">
        <x:v>DW-3231</x:v>
      </x:c>
      <x:c r="C3236" t="str">
        <x:v>Parent indépendant 1.58</x:v>
      </x:c>
      <x:c r="D3236" t="str">
        <x:v>Éducation et connaissance</x:v>
      </x:c>
      <x:c r="E3236" t="str">
        <x:v>Centre de formation au froid technique</x:v>
      </x:c>
      <x:c r="F3236" t="n">
        <x:v>9</x:v>
      </x:c>
      <x:c r="G3236" t="n">
        <x:v>8</x:v>
      </x:c>
      <x:c r="H3236" t="n">
        <x:v>8</x:v>
      </x:c>
      <x:c r="I3236" t="str">
        <x:v>À qualifier par lieu</x:v>
      </x:c>
      <x:c r="J3236" t="str">
        <x:v>https://github.com/darknigthmare/deadwall-last-enclosure/blob/e28f46223e73105ab2c5d83f3d50b99b58ef53e6/codex-3000/addendum-1.58/PROGRAMMES_A.json</x:v>
      </x:c>
      <x:c r="K3236" t="str">
        <x:v>Source min 42,36 m ; max 42,36 m ; modèle 42 × 36 m ; niveaux 0, 1. Détails dans catalogue-existant.json.</x:v>
      </x:c>
    </x:row>
    <x:row r="3237">
      <x:c r="A3237" t="str">
        <x:v>DW-3232</x:v>
      </x:c>
      <x:c r="B3237" t="str">
        <x:v>DW-3232</x:v>
      </x:c>
      <x:c r="C3237" t="str">
        <x:v>Parent indépendant 1.58</x:v>
      </x:c>
      <x:c r="D3237" t="str">
        <x:v>Éducation et connaissance</x:v>
      </x:c>
      <x:c r="E3237" t="str">
        <x:v>École de maintenance d'ascenseurs</x:v>
      </x:c>
      <x:c r="F3237" t="n">
        <x:v>9</x:v>
      </x:c>
      <x:c r="G3237" t="n">
        <x:v>8</x:v>
      </x:c>
      <x:c r="H3237" t="n">
        <x:v>8</x:v>
      </x:c>
      <x:c r="I3237" t="str">
        <x:v>À qualifier par lieu</x:v>
      </x:c>
      <x:c r="J3237" t="str">
        <x:v>https://github.com/darknigthmare/deadwall-last-enclosure/blob/e28f46223e73105ab2c5d83f3d50b99b58ef53e6/codex-3000/addendum-1.58/PROGRAMMES_A.json</x:v>
      </x:c>
      <x:c r="K3237" t="str">
        <x:v>Source min 42,36 m ; max 42,36 m ; modèle 42 × 36 m ; niveaux 0, 1. Détails dans catalogue-existant.json.</x:v>
      </x:c>
    </x:row>
    <x:row r="3238">
      <x:c r="A3238" t="str">
        <x:v>DW-3233</x:v>
      </x:c>
      <x:c r="B3238" t="str">
        <x:v>DW-3233</x:v>
      </x:c>
      <x:c r="C3238" t="str">
        <x:v>Parent indépendant 1.58</x:v>
      </x:c>
      <x:c r="D3238" t="str">
        <x:v>Éducation et connaissance</x:v>
      </x:c>
      <x:c r="E3238" t="str">
        <x:v>Centre de réparation d'électroménager pédagogique</x:v>
      </x:c>
      <x:c r="F3238" t="n">
        <x:v>9</x:v>
      </x:c>
      <x:c r="G3238" t="n">
        <x:v>8</x:v>
      </x:c>
      <x:c r="H3238" t="n">
        <x:v>8</x:v>
      </x:c>
      <x:c r="I3238" t="str">
        <x:v>À qualifier par lieu</x:v>
      </x:c>
      <x:c r="J3238" t="str">
        <x:v>https://github.com/darknigthmare/deadwall-last-enclosure/blob/e28f46223e73105ab2c5d83f3d50b99b58ef53e6/codex-3000/addendum-1.58/PROGRAMMES_A.json</x:v>
      </x:c>
      <x:c r="K3238" t="str">
        <x:v>Source min 42,36 m ; max 42,36 m ; modèle 42 × 36 m ; niveaux 0, 1. Détails dans catalogue-existant.json.</x:v>
      </x:c>
    </x:row>
    <x:row r="3239">
      <x:c r="A3239" t="str">
        <x:v>DW-3234</x:v>
      </x:c>
      <x:c r="B3239" t="str">
        <x:v>DW-3234</x:v>
      </x:c>
      <x:c r="C3239" t="str">
        <x:v>Parent indépendant 1.58</x:v>
      </x:c>
      <x:c r="D3239" t="str">
        <x:v>Éducation et connaissance</x:v>
      </x:c>
      <x:c r="E3239" t="str">
        <x:v>École de câblage informatique</x:v>
      </x:c>
      <x:c r="F3239" t="n">
        <x:v>9</x:v>
      </x:c>
      <x:c r="G3239" t="n">
        <x:v>8</x:v>
      </x:c>
      <x:c r="H3239" t="n">
        <x:v>8</x:v>
      </x:c>
      <x:c r="I3239" t="str">
        <x:v>À qualifier par lieu</x:v>
      </x:c>
      <x:c r="J3239" t="str">
        <x:v>https://github.com/darknigthmare/deadwall-last-enclosure/blob/e28f46223e73105ab2c5d83f3d50b99b58ef53e6/codex-3000/addendum-1.58/PROGRAMMES_A.json</x:v>
      </x:c>
      <x:c r="K3239" t="str">
        <x:v>Source min 42,36 m ; max 42,36 m ; modèle 42 × 36 m ; niveaux 0, 1. Détails dans catalogue-existant.json.</x:v>
      </x:c>
    </x:row>
    <x:row r="3240">
      <x:c r="A3240" t="str">
        <x:v>DW-3235</x:v>
      </x:c>
      <x:c r="B3240" t="str">
        <x:v>DW-3235</x:v>
      </x:c>
      <x:c r="C3240" t="str">
        <x:v>Parent indépendant 1.58</x:v>
      </x:c>
      <x:c r="D3240" t="str">
        <x:v>Éducation et connaissance</x:v>
      </x:c>
      <x:c r="E3240" t="str">
        <x:v>Maison de formation radioamateur</x:v>
      </x:c>
      <x:c r="F3240" t="n">
        <x:v>9</x:v>
      </x:c>
      <x:c r="G3240" t="n">
        <x:v>8</x:v>
      </x:c>
      <x:c r="H3240" t="n">
        <x:v>8</x:v>
      </x:c>
      <x:c r="I3240" t="str">
        <x:v>À qualifier par lieu</x:v>
      </x:c>
      <x:c r="J3240" t="str">
        <x:v>https://github.com/darknigthmare/deadwall-last-enclosure/blob/e28f46223e73105ab2c5d83f3d50b99b58ef53e6/codex-3000/addendum-1.58/PROGRAMMES_A.json</x:v>
      </x:c>
      <x:c r="K3240" t="str">
        <x:v>Source min 42,36 m ; max 42,36 m ; modèle 42 × 36 m ; niveaux 0, 1. Détails dans catalogue-existant.json.</x:v>
      </x:c>
    </x:row>
    <x:row r="3241">
      <x:c r="A3241" t="str">
        <x:v>DW-3236</x:v>
      </x:c>
      <x:c r="B3241" t="str">
        <x:v>DW-3236</x:v>
      </x:c>
      <x:c r="C3241" t="str">
        <x:v>Parent indépendant 1.58</x:v>
      </x:c>
      <x:c r="D3241" t="str">
        <x:v>Éducation et connaissance</x:v>
      </x:c>
      <x:c r="E3241" t="str">
        <x:v>École de maintenance des pompes</x:v>
      </x:c>
      <x:c r="F3241" t="n">
        <x:v>9</x:v>
      </x:c>
      <x:c r="G3241" t="n">
        <x:v>8</x:v>
      </x:c>
      <x:c r="H3241" t="n">
        <x:v>8</x:v>
      </x:c>
      <x:c r="I3241" t="str">
        <x:v>À qualifier par lieu</x:v>
      </x:c>
      <x:c r="J3241" t="str">
        <x:v>https://github.com/darknigthmare/deadwall-last-enclosure/blob/e28f46223e73105ab2c5d83f3d50b99b58ef53e6/codex-3000/addendum-1.58/PROGRAMMES_A.json</x:v>
      </x:c>
      <x:c r="K3241" t="str">
        <x:v>Source min 42,36 m ; max 42,36 m ; modèle 42 × 36 m ; niveaux 0, 1. Détails dans catalogue-existant.json.</x:v>
      </x:c>
    </x:row>
    <x:row r="3242">
      <x:c r="A3242" t="str">
        <x:v>DW-3237</x:v>
      </x:c>
      <x:c r="B3242" t="str">
        <x:v>DW-3237</x:v>
      </x:c>
      <x:c r="C3242" t="str">
        <x:v>Parent indépendant 1.58</x:v>
      </x:c>
      <x:c r="D3242" t="str">
        <x:v>Éducation et connaissance</x:v>
      </x:c>
      <x:c r="E3242" t="str">
        <x:v>Centre de formation au tissage</x:v>
      </x:c>
      <x:c r="F3242" t="n">
        <x:v>9</x:v>
      </x:c>
      <x:c r="G3242" t="n">
        <x:v>8</x:v>
      </x:c>
      <x:c r="H3242" t="n">
        <x:v>8</x:v>
      </x:c>
      <x:c r="I3242" t="str">
        <x:v>À qualifier par lieu</x:v>
      </x:c>
      <x:c r="J3242" t="str">
        <x:v>https://github.com/darknigthmare/deadwall-last-enclosure/blob/e28f46223e73105ab2c5d83f3d50b99b58ef53e6/codex-3000/addendum-1.58/PROGRAMMES_A.json</x:v>
      </x:c>
      <x:c r="K3242" t="str">
        <x:v>Source min 42,36 m ; max 42,36 m ; modèle 42 × 36 m ; niveaux 0, 1. Détails dans catalogue-existant.json.</x:v>
      </x:c>
    </x:row>
    <x:row r="3243">
      <x:c r="A3243" t="str">
        <x:v>DW-3238</x:v>
      </x:c>
      <x:c r="B3243" t="str">
        <x:v>DW-3238</x:v>
      </x:c>
      <x:c r="C3243" t="str">
        <x:v>Parent indépendant 1.58</x:v>
      </x:c>
      <x:c r="D3243" t="str">
        <x:v>Éducation et connaissance</x:v>
      </x:c>
      <x:c r="E3243" t="str">
        <x:v>École de maroquinerie</x:v>
      </x:c>
      <x:c r="F3243" t="n">
        <x:v>9</x:v>
      </x:c>
      <x:c r="G3243" t="n">
        <x:v>8</x:v>
      </x:c>
      <x:c r="H3243" t="n">
        <x:v>8</x:v>
      </x:c>
      <x:c r="I3243" t="str">
        <x:v>À qualifier par lieu</x:v>
      </x:c>
      <x:c r="J3243" t="str">
        <x:v>https://github.com/darknigthmare/deadwall-last-enclosure/blob/e28f46223e73105ab2c5d83f3d50b99b58ef53e6/codex-3000/addendum-1.58/PROGRAMMES_A.json</x:v>
      </x:c>
      <x:c r="K3243" t="str">
        <x:v>Source min 42,36 m ; max 42,36 m ; modèle 42 × 36 m ; niveaux 0, 1. Détails dans catalogue-existant.json.</x:v>
      </x:c>
    </x:row>
    <x:row r="3244">
      <x:c r="A3244" t="str">
        <x:v>DW-3239</x:v>
      </x:c>
      <x:c r="B3244" t="str">
        <x:v>DW-3239</x:v>
      </x:c>
      <x:c r="C3244" t="str">
        <x:v>Parent indépendant 1.58</x:v>
      </x:c>
      <x:c r="D3244" t="str">
        <x:v>Éducation et connaissance</x:v>
      </x:c>
      <x:c r="E3244" t="str">
        <x:v>Centre d'apprentissage de céramique</x:v>
      </x:c>
      <x:c r="F3244" t="n">
        <x:v>9</x:v>
      </x:c>
      <x:c r="G3244" t="n">
        <x:v>8</x:v>
      </x:c>
      <x:c r="H3244" t="n">
        <x:v>8</x:v>
      </x:c>
      <x:c r="I3244" t="str">
        <x:v>À qualifier par lieu</x:v>
      </x:c>
      <x:c r="J3244" t="str">
        <x:v>https://github.com/darknigthmare/deadwall-last-enclosure/blob/e28f46223e73105ab2c5d83f3d50b99b58ef53e6/codex-3000/addendum-1.58/PROGRAMMES_A.json</x:v>
      </x:c>
      <x:c r="K3244" t="str">
        <x:v>Source min 42,36 m ; max 42,36 m ; modèle 42 × 36 m ; niveaux 0, 1. Détails dans catalogue-existant.json.</x:v>
      </x:c>
    </x:row>
    <x:row r="3245">
      <x:c r="A3245" t="str">
        <x:v>DW-3240</x:v>
      </x:c>
      <x:c r="B3245" t="str">
        <x:v>DW-3240</x:v>
      </x:c>
      <x:c r="C3245" t="str">
        <x:v>Parent indépendant 1.58</x:v>
      </x:c>
      <x:c r="D3245" t="str">
        <x:v>Éducation et connaissance</x:v>
      </x:c>
      <x:c r="E3245" t="str">
        <x:v>École de restauration du mobilier</x:v>
      </x:c>
      <x:c r="F3245" t="n">
        <x:v>9</x:v>
      </x:c>
      <x:c r="G3245" t="n">
        <x:v>8</x:v>
      </x:c>
      <x:c r="H3245" t="n">
        <x:v>8</x:v>
      </x:c>
      <x:c r="I3245" t="str">
        <x:v>À qualifier par lieu</x:v>
      </x:c>
      <x:c r="J3245" t="str">
        <x:v>https://github.com/darknigthmare/deadwall-last-enclosure/blob/e28f46223e73105ab2c5d83f3d50b99b58ef53e6/codex-3000/addendum-1.58/PROGRAMMES_A.json</x:v>
      </x:c>
      <x:c r="K3245" t="str">
        <x:v>Source min 42,36 m ; max 42,36 m ; modèle 42 × 36 m ; niveaux 0, 1. Détails dans catalogue-existant.json.</x:v>
      </x:c>
    </x:row>
    <x:row r="3246">
      <x:c r="A3246" t="str">
        <x:v>DW-3241</x:v>
      </x:c>
      <x:c r="B3246" t="str">
        <x:v>DW-3241</x:v>
      </x:c>
      <x:c r="C3246" t="str">
        <x:v>Parent indépendant 1.58</x:v>
      </x:c>
      <x:c r="D3246" t="str">
        <x:v>Éducation et connaissance</x:v>
      </x:c>
      <x:c r="E3246" t="str">
        <x:v>Centre de formation en horlogerie</x:v>
      </x:c>
      <x:c r="F3246" t="n">
        <x:v>9</x:v>
      </x:c>
      <x:c r="G3246" t="n">
        <x:v>8</x:v>
      </x:c>
      <x:c r="H3246" t="n">
        <x:v>8</x:v>
      </x:c>
      <x:c r="I3246" t="str">
        <x:v>À qualifier par lieu</x:v>
      </x:c>
      <x:c r="J3246" t="str">
        <x:v>https://github.com/darknigthmare/deadwall-last-enclosure/blob/e28f46223e73105ab2c5d83f3d50b99b58ef53e6/codex-3000/addendum-1.58/PROGRAMMES_A.json</x:v>
      </x:c>
      <x:c r="K3246" t="str">
        <x:v>Source min 42,36 m ; max 42,36 m ; modèle 42 × 36 m ; niveaux 0, 1. Détails dans catalogue-existant.json.</x:v>
      </x:c>
    </x:row>
    <x:row r="3247">
      <x:c r="A3247" t="str">
        <x:v>DW-3242</x:v>
      </x:c>
      <x:c r="B3247" t="str">
        <x:v>DW-3242</x:v>
      </x:c>
      <x:c r="C3247" t="str">
        <x:v>Parent indépendant 1.58</x:v>
      </x:c>
      <x:c r="D3247" t="str">
        <x:v>Éducation et connaissance</x:v>
      </x:c>
      <x:c r="E3247" t="str">
        <x:v>École d'ajustage de prothèses</x:v>
      </x:c>
      <x:c r="F3247" t="n">
        <x:v>9</x:v>
      </x:c>
      <x:c r="G3247" t="n">
        <x:v>8</x:v>
      </x:c>
      <x:c r="H3247" t="n">
        <x:v>8</x:v>
      </x:c>
      <x:c r="I3247" t="str">
        <x:v>À qualifier par lieu</x:v>
      </x:c>
      <x:c r="J3247" t="str">
        <x:v>https://github.com/darknigthmare/deadwall-last-enclosure/blob/e28f46223e73105ab2c5d83f3d50b99b58ef53e6/codex-3000/addendum-1.58/PROGRAMMES_A.json</x:v>
      </x:c>
      <x:c r="K3247" t="str">
        <x:v>Source min 42,36 m ; max 42,36 m ; modèle 42 × 36 m ; niveaux 0, 1. Détails dans catalogue-existant.json.</x:v>
      </x:c>
    </x:row>
    <x:row r="3248">
      <x:c r="A3248" t="str">
        <x:v>DW-3243</x:v>
      </x:c>
      <x:c r="B3248" t="str">
        <x:v>DW-3243</x:v>
      </x:c>
      <x:c r="C3248" t="str">
        <x:v>Parent indépendant 1.58</x:v>
      </x:c>
      <x:c r="D3248" t="str">
        <x:v>Éducation et connaissance</x:v>
      </x:c>
      <x:c r="E3248" t="str">
        <x:v>Centre d'apprentissage d'aides auditives</x:v>
      </x:c>
      <x:c r="F3248" t="n">
        <x:v>9</x:v>
      </x:c>
      <x:c r="G3248" t="n">
        <x:v>8</x:v>
      </x:c>
      <x:c r="H3248" t="n">
        <x:v>8</x:v>
      </x:c>
      <x:c r="I3248" t="str">
        <x:v>À qualifier par lieu</x:v>
      </x:c>
      <x:c r="J3248" t="str">
        <x:v>https://github.com/darknigthmare/deadwall-last-enclosure/blob/e28f46223e73105ab2c5d83f3d50b99b58ef53e6/codex-3000/addendum-1.58/PROGRAMMES_A.json</x:v>
      </x:c>
      <x:c r="K3248" t="str">
        <x:v>Source min 42,36 m ; max 42,36 m ; modèle 42 × 36 m ; niveaux 0, 1. Détails dans catalogue-existant.json.</x:v>
      </x:c>
    </x:row>
    <x:row r="3249">
      <x:c r="A3249" t="str">
        <x:v>DW-3244</x:v>
      </x:c>
      <x:c r="B3249" t="str">
        <x:v>DW-3244</x:v>
      </x:c>
      <x:c r="C3249" t="str">
        <x:v>Parent indépendant 1.58</x:v>
      </x:c>
      <x:c r="D3249" t="str">
        <x:v>Éducation et connaissance</x:v>
      </x:c>
      <x:c r="E3249" t="str">
        <x:v>École de préparation des repas collectifs</x:v>
      </x:c>
      <x:c r="F3249" t="n">
        <x:v>9</x:v>
      </x:c>
      <x:c r="G3249" t="n">
        <x:v>8</x:v>
      </x:c>
      <x:c r="H3249" t="n">
        <x:v>8</x:v>
      </x:c>
      <x:c r="I3249" t="str">
        <x:v>À qualifier par lieu</x:v>
      </x:c>
      <x:c r="J3249" t="str">
        <x:v>https://github.com/darknigthmare/deadwall-last-enclosure/blob/e28f46223e73105ab2c5d83f3d50b99b58ef53e6/codex-3000/addendum-1.58/PROGRAMMES_A.json</x:v>
      </x:c>
      <x:c r="K3249" t="str">
        <x:v>Source min 42,36 m ; max 42,36 m ; modèle 42 × 36 m ; niveaux 0, 1. Détails dans catalogue-existant.json.</x:v>
      </x:c>
    </x:row>
    <x:row r="3250">
      <x:c r="A3250" t="str">
        <x:v>DW-3245</x:v>
      </x:c>
      <x:c r="B3250" t="str">
        <x:v>DW-3245</x:v>
      </x:c>
      <x:c r="C3250" t="str">
        <x:v>Parent indépendant 1.58</x:v>
      </x:c>
      <x:c r="D3250" t="str">
        <x:v>Éducation et connaissance</x:v>
      </x:c>
      <x:c r="E3250" t="str">
        <x:v>Centre de formation à la conservation alimentaire</x:v>
      </x:c>
      <x:c r="F3250" t="n">
        <x:v>9</x:v>
      </x:c>
      <x:c r="G3250" t="n">
        <x:v>8</x:v>
      </x:c>
      <x:c r="H3250" t="n">
        <x:v>8</x:v>
      </x:c>
      <x:c r="I3250" t="str">
        <x:v>À qualifier par lieu</x:v>
      </x:c>
      <x:c r="J3250" t="str">
        <x:v>https://github.com/darknigthmare/deadwall-last-enclosure/blob/e28f46223e73105ab2c5d83f3d50b99b58ef53e6/codex-3000/addendum-1.58/PROGRAMMES_A.json</x:v>
      </x:c>
      <x:c r="K3250" t="str">
        <x:v>Source min 42,36 m ; max 42,36 m ; modèle 42 × 36 m ; niveaux 0, 1. Détails dans catalogue-existant.json.</x:v>
      </x:c>
    </x:row>
    <x:row r="3251">
      <x:c r="A3251" t="str">
        <x:v>DW-3246</x:v>
      </x:c>
      <x:c r="B3251" t="str">
        <x:v>DW-3246</x:v>
      </x:c>
      <x:c r="C3251" t="str">
        <x:v>Parent indépendant 1.58</x:v>
      </x:c>
      <x:c r="D3251" t="str">
        <x:v>Éducation et connaissance</x:v>
      </x:c>
      <x:c r="E3251" t="str">
        <x:v>École de préparation du café</x:v>
      </x:c>
      <x:c r="F3251" t="n">
        <x:v>9</x:v>
      </x:c>
      <x:c r="G3251" t="n">
        <x:v>8</x:v>
      </x:c>
      <x:c r="H3251" t="n">
        <x:v>8</x:v>
      </x:c>
      <x:c r="I3251" t="str">
        <x:v>À qualifier par lieu</x:v>
      </x:c>
      <x:c r="J3251" t="str">
        <x:v>https://github.com/darknigthmare/deadwall-last-enclosure/blob/e28f46223e73105ab2c5d83f3d50b99b58ef53e6/codex-3000/addendum-1.58/PROGRAMMES_A.json</x:v>
      </x:c>
      <x:c r="K3251" t="str">
        <x:v>Source min 42,36 m ; max 42,36 m ; modèle 42 × 36 m ; niveaux 0, 1. Détails dans catalogue-existant.json.</x:v>
      </x:c>
    </x:row>
    <x:row r="3252">
      <x:c r="A3252" t="str">
        <x:v>DW-3247</x:v>
      </x:c>
      <x:c r="B3252" t="str">
        <x:v>DW-3247</x:v>
      </x:c>
      <x:c r="C3252" t="str">
        <x:v>Parent indépendant 1.58</x:v>
      </x:c>
      <x:c r="D3252" t="str">
        <x:v>Éducation et connaissance</x:v>
      </x:c>
      <x:c r="E3252" t="str">
        <x:v>Centre d'apprentissage de logistique de colis</x:v>
      </x:c>
      <x:c r="F3252" t="n">
        <x:v>9</x:v>
      </x:c>
      <x:c r="G3252" t="n">
        <x:v>8</x:v>
      </x:c>
      <x:c r="H3252" t="n">
        <x:v>8</x:v>
      </x:c>
      <x:c r="I3252" t="str">
        <x:v>À qualifier par lieu</x:v>
      </x:c>
      <x:c r="J3252" t="str">
        <x:v>https://github.com/darknigthmare/deadwall-last-enclosure/blob/e28f46223e73105ab2c5d83f3d50b99b58ef53e6/codex-3000/addendum-1.58/PROGRAMMES_A.json</x:v>
      </x:c>
      <x:c r="K3252" t="str">
        <x:v>Source min 42,36 m ; max 42,36 m ; modèle 42 × 36 m ; niveaux 0, 1. Détails dans catalogue-existant.json.</x:v>
      </x:c>
    </x:row>
    <x:row r="3253">
      <x:c r="A3253" t="str">
        <x:v>DW-3248</x:v>
      </x:c>
      <x:c r="B3253" t="str">
        <x:v>DW-3248</x:v>
      </x:c>
      <x:c r="C3253" t="str">
        <x:v>Parent indépendant 1.58</x:v>
      </x:c>
      <x:c r="D3253" t="str">
        <x:v>Éducation et connaissance</x:v>
      </x:c>
      <x:c r="E3253" t="str">
        <x:v>École de classement textile</x:v>
      </x:c>
      <x:c r="F3253" t="n">
        <x:v>9</x:v>
      </x:c>
      <x:c r="G3253" t="n">
        <x:v>8</x:v>
      </x:c>
      <x:c r="H3253" t="n">
        <x:v>8</x:v>
      </x:c>
      <x:c r="I3253" t="str">
        <x:v>À qualifier par lieu</x:v>
      </x:c>
      <x:c r="J3253" t="str">
        <x:v>https://github.com/darknigthmare/deadwall-last-enclosure/blob/e28f46223e73105ab2c5d83f3d50b99b58ef53e6/codex-3000/addendum-1.58/PROGRAMMES_A.json</x:v>
      </x:c>
      <x:c r="K3253" t="str">
        <x:v>Source min 42,36 m ; max 42,36 m ; modèle 42 × 36 m ; niveaux 0, 1. Détails dans catalogue-existant.json.</x:v>
      </x:c>
    </x:row>
    <x:row r="3254">
      <x:c r="A3254" t="str">
        <x:v>DW-3249</x:v>
      </x:c>
      <x:c r="B3254" t="str">
        <x:v>DW-3249</x:v>
      </x:c>
      <x:c r="C3254" t="str">
        <x:v>Parent indépendant 1.58</x:v>
      </x:c>
      <x:c r="D3254" t="str">
        <x:v>Éducation et connaissance</x:v>
      </x:c>
      <x:c r="E3254" t="str">
        <x:v>Centre de formation à la maintenance de jardins</x:v>
      </x:c>
      <x:c r="F3254" t="n">
        <x:v>9</x:v>
      </x:c>
      <x:c r="G3254" t="n">
        <x:v>8</x:v>
      </x:c>
      <x:c r="H3254" t="n">
        <x:v>8</x:v>
      </x:c>
      <x:c r="I3254" t="str">
        <x:v>À qualifier par lieu</x:v>
      </x:c>
      <x:c r="J3254" t="str">
        <x:v>https://github.com/darknigthmare/deadwall-last-enclosure/blob/e28f46223e73105ab2c5d83f3d50b99b58ef53e6/codex-3000/addendum-1.58/PROGRAMMES_A.json</x:v>
      </x:c>
      <x:c r="K3254" t="str">
        <x:v>Source min 42,36 m ; max 42,36 m ; modèle 42 × 36 m ; niveaux 0, 1. Détails dans catalogue-existant.json.</x:v>
      </x:c>
    </x:row>
    <x:row r="3255">
      <x:c r="A3255" t="str">
        <x:v>DW-3250</x:v>
      </x:c>
      <x:c r="B3255" t="str">
        <x:v>DW-3250</x:v>
      </x:c>
      <x:c r="C3255" t="str">
        <x:v>Parent indépendant 1.58</x:v>
      </x:c>
      <x:c r="D3255" t="str">
        <x:v>Éducation et connaissance</x:v>
      </x:c>
      <x:c r="E3255" t="str">
        <x:v>École de fabrication de caisses en bois</x:v>
      </x:c>
      <x:c r="F3255" t="n">
        <x:v>9</x:v>
      </x:c>
      <x:c r="G3255" t="n">
        <x:v>8</x:v>
      </x:c>
      <x:c r="H3255" t="n">
        <x:v>8</x:v>
      </x:c>
      <x:c r="I3255" t="str">
        <x:v>À qualifier par lieu</x:v>
      </x:c>
      <x:c r="J3255" t="str">
        <x:v>https://github.com/darknigthmare/deadwall-last-enclosure/blob/e28f46223e73105ab2c5d83f3d50b99b58ef53e6/codex-3000/addendum-1.58/PROGRAMMES_A.json</x:v>
      </x:c>
      <x:c r="K3255" t="str">
        <x:v>Source min 42,36 m ; max 42,36 m ; modèle 42 × 36 m ; niveaux 0, 1. Détails dans catalogue-existant.json.</x:v>
      </x:c>
    </x:row>
    <x:row r="3256">
      <x:c r="A3256" t="str">
        <x:v>DW-3251</x:v>
      </x:c>
      <x:c r="B3256" t="str">
        <x:v>DW-3251</x:v>
      </x:c>
      <x:c r="C3256" t="str">
        <x:v>Parent indépendant 1.58</x:v>
      </x:c>
      <x:c r="D3256" t="str">
        <x:v>Services et petits ateliers</x:v>
      </x:c>
      <x:c r="E3256" t="str">
        <x:v>Atelier de réparation de casques audio</x:v>
      </x:c>
      <x:c r="F3256" t="n">
        <x:v>9</x:v>
      </x:c>
      <x:c r="G3256" t="n">
        <x:v>6</x:v>
      </x:c>
      <x:c r="H3256" t="n">
        <x:v>6</x:v>
      </x:c>
      <x:c r="I3256" t="str">
        <x:v>À qualifier par lieu</x:v>
      </x:c>
      <x:c r="J3256" t="str">
        <x:v>https://github.com/darknigthmare/deadwall-last-enclosure/blob/e28f46223e73105ab2c5d83f3d50b99b58ef53e6/codex-3000/addendum-1.58/PROGRAMMES_B.json</x:v>
      </x:c>
      <x:c r="K3256" t="str">
        <x:v>Source min 30,28 m ; max 30,28 m ; modèle 30 × 28 m ; niveaux 0, 1. Détails dans catalogue-existant.json.</x:v>
      </x:c>
    </x:row>
    <x:row r="3257">
      <x:c r="A3257" t="str">
        <x:v>DW-3252</x:v>
      </x:c>
      <x:c r="B3257" t="str">
        <x:v>DW-3252</x:v>
      </x:c>
      <x:c r="C3257" t="str">
        <x:v>Parent indépendant 1.58</x:v>
      </x:c>
      <x:c r="D3257" t="str">
        <x:v>Services et petits ateliers</x:v>
      </x:c>
      <x:c r="E3257" t="str">
        <x:v>Accorderie de pianos</x:v>
      </x:c>
      <x:c r="F3257" t="n">
        <x:v>9</x:v>
      </x:c>
      <x:c r="G3257" t="n">
        <x:v>6</x:v>
      </x:c>
      <x:c r="H3257" t="n">
        <x:v>6</x:v>
      </x:c>
      <x:c r="I3257" t="str">
        <x:v>À qualifier par lieu</x:v>
      </x:c>
      <x:c r="J3257" t="str">
        <x:v>https://github.com/darknigthmare/deadwall-last-enclosure/blob/e28f46223e73105ab2c5d83f3d50b99b58ef53e6/codex-3000/addendum-1.58/PROGRAMMES_B.json</x:v>
      </x:c>
      <x:c r="K3257" t="str">
        <x:v>Source min 34,39 m ; max 34,39 m ; modèle 34 × 39 m ; niveaux 0. Détails dans catalogue-existant.json.</x:v>
      </x:c>
    </x:row>
    <x:row r="3258">
      <x:c r="A3258" t="str">
        <x:v>DW-3253</x:v>
      </x:c>
      <x:c r="B3258" t="str">
        <x:v>DW-3253</x:v>
      </x:c>
      <x:c r="C3258" t="str">
        <x:v>Parent indépendant 1.58</x:v>
      </x:c>
      <x:c r="D3258" t="str">
        <x:v>Services et petits ateliers</x:v>
      </x:c>
      <x:c r="E3258" t="str">
        <x:v>Atelier d'entretien des cuivres musicaux</x:v>
      </x:c>
      <x:c r="F3258" t="n">
        <x:v>9</x:v>
      </x:c>
      <x:c r="G3258" t="n">
        <x:v>6</x:v>
      </x:c>
      <x:c r="H3258" t="n">
        <x:v>6</x:v>
      </x:c>
      <x:c r="I3258" t="str">
        <x:v>À qualifier par lieu</x:v>
      </x:c>
      <x:c r="J3258" t="str">
        <x:v>https://github.com/darknigthmare/deadwall-last-enclosure/blob/e28f46223e73105ab2c5d83f3d50b99b58ef53e6/codex-3000/addendum-1.58/PROGRAMMES_B.json</x:v>
      </x:c>
      <x:c r="K3258" t="str">
        <x:v>Source min 38,42 m ; max 38,42 m ; modèle 38 × 42 m ; niveaux 0. Détails dans catalogue-existant.json.</x:v>
      </x:c>
    </x:row>
    <x:row r="3259">
      <x:c r="A3259" t="str">
        <x:v>DW-3254</x:v>
      </x:c>
      <x:c r="B3259" t="str">
        <x:v>DW-3254</x:v>
      </x:c>
      <x:c r="C3259" t="str">
        <x:v>Parent indépendant 1.58</x:v>
      </x:c>
      <x:c r="D3259" t="str">
        <x:v>Services et petits ateliers</x:v>
      </x:c>
      <x:c r="E3259" t="str">
        <x:v>Atelier de réglage des accordéons</x:v>
      </x:c>
      <x:c r="F3259" t="n">
        <x:v>9</x:v>
      </x:c>
      <x:c r="G3259" t="n">
        <x:v>6</x:v>
      </x:c>
      <x:c r="H3259" t="n">
        <x:v>6</x:v>
      </x:c>
      <x:c r="I3259" t="str">
        <x:v>À qualifier par lieu</x:v>
      </x:c>
      <x:c r="J3259" t="str">
        <x:v>https://github.com/darknigthmare/deadwall-last-enclosure/blob/e28f46223e73105ab2c5d83f3d50b99b58ef53e6/codex-3000/addendum-1.58/PROGRAMMES_B.json</x:v>
      </x:c>
      <x:c r="K3259" t="str">
        <x:v>Source min 42,28 m ; max 42,28 m ; modèle 42 × 28 m ; niveaux 0, 1. Détails dans catalogue-existant.json.</x:v>
      </x:c>
    </x:row>
    <x:row r="3260">
      <x:c r="A3260" t="str">
        <x:v>DW-3255</x:v>
      </x:c>
      <x:c r="B3260" t="str">
        <x:v>DW-3255</x:v>
      </x:c>
      <x:c r="C3260" t="str">
        <x:v>Parent indépendant 1.58</x:v>
      </x:c>
      <x:c r="D3260" t="str">
        <x:v>Services et petits ateliers</x:v>
      </x:c>
      <x:c r="E3260" t="str">
        <x:v>Atelier de remise en crin des archets</x:v>
      </x:c>
      <x:c r="F3260" t="n">
        <x:v>9</x:v>
      </x:c>
      <x:c r="G3260" t="n">
        <x:v>6</x:v>
      </x:c>
      <x:c r="H3260" t="n">
        <x:v>6</x:v>
      </x:c>
      <x:c r="I3260" t="str">
        <x:v>À qualifier par lieu</x:v>
      </x:c>
      <x:c r="J3260" t="str">
        <x:v>https://github.com/darknigthmare/deadwall-last-enclosure/blob/e28f46223e73105ab2c5d83f3d50b99b58ef53e6/codex-3000/addendum-1.58/PROGRAMMES_B.json</x:v>
      </x:c>
      <x:c r="K3260" t="str">
        <x:v>Source min 30,36 m ; max 30,36 m ; modèle 30 × 36 m ; niveaux 0. Détails dans catalogue-existant.json.</x:v>
      </x:c>
    </x:row>
    <x:row r="3261">
      <x:c r="A3261" t="str">
        <x:v>DW-3256</x:v>
      </x:c>
      <x:c r="B3261" t="str">
        <x:v>DW-3256</x:v>
      </x:c>
      <x:c r="C3261" t="str">
        <x:v>Parent indépendant 1.58</x:v>
      </x:c>
      <x:c r="D3261" t="str">
        <x:v>Services et petits ateliers</x:v>
      </x:c>
      <x:c r="E3261" t="str">
        <x:v>Atelier d'entretien des orgues de salon</x:v>
      </x:c>
      <x:c r="F3261" t="n">
        <x:v>9</x:v>
      </x:c>
      <x:c r="G3261" t="n">
        <x:v>6</x:v>
      </x:c>
      <x:c r="H3261" t="n">
        <x:v>6</x:v>
      </x:c>
      <x:c r="I3261" t="str">
        <x:v>À qualifier par lieu</x:v>
      </x:c>
      <x:c r="J3261" t="str">
        <x:v>https://github.com/darknigthmare/deadwall-last-enclosure/blob/e28f46223e73105ab2c5d83f3d50b99b58ef53e6/codex-3000/addendum-1.58/PROGRAMMES_B.json</x:v>
      </x:c>
      <x:c r="K3261" t="str">
        <x:v>Source min 34,39 m ; max 34,39 m ; modèle 34 × 39 m ; niveaux 0. Détails dans catalogue-existant.json.</x:v>
      </x:c>
    </x:row>
    <x:row r="3262">
      <x:c r="A3262" t="str">
        <x:v>DW-3257</x:v>
      </x:c>
      <x:c r="B3262" t="str">
        <x:v>DW-3257</x:v>
      </x:c>
      <x:c r="C3262" t="str">
        <x:v>Parent indépendant 1.58</x:v>
      </x:c>
      <x:c r="D3262" t="str">
        <x:v>Services et petits ateliers</x:v>
      </x:c>
      <x:c r="E3262" t="str">
        <x:v>Service de restauration de magnétophones</x:v>
      </x:c>
      <x:c r="F3262" t="n">
        <x:v>9</x:v>
      </x:c>
      <x:c r="G3262" t="n">
        <x:v>6</x:v>
      </x:c>
      <x:c r="H3262" t="n">
        <x:v>6</x:v>
      </x:c>
      <x:c r="I3262" t="str">
        <x:v>À qualifier par lieu</x:v>
      </x:c>
      <x:c r="J3262" t="str">
        <x:v>https://github.com/darknigthmare/deadwall-last-enclosure/blob/e28f46223e73105ab2c5d83f3d50b99b58ef53e6/codex-3000/addendum-1.58/PROGRAMMES_B.json</x:v>
      </x:c>
      <x:c r="K3262" t="str">
        <x:v>Source min 38,28 m ; max 38,28 m ; modèle 38 × 28 m ; niveaux 0, 1. Détails dans catalogue-existant.json.</x:v>
      </x:c>
    </x:row>
    <x:row r="3263">
      <x:c r="A3263" t="str">
        <x:v>DW-3258</x:v>
      </x:c>
      <x:c r="B3263" t="str">
        <x:v>DW-3258</x:v>
      </x:c>
      <x:c r="C3263" t="str">
        <x:v>Parent indépendant 1.58</x:v>
      </x:c>
      <x:c r="D3263" t="str">
        <x:v>Services et petits ateliers</x:v>
      </x:c>
      <x:c r="E3263" t="str">
        <x:v>Laboratoire de tirages photographiques familiaux</x:v>
      </x:c>
      <x:c r="F3263" t="n">
        <x:v>9</x:v>
      </x:c>
      <x:c r="G3263" t="n">
        <x:v>6</x:v>
      </x:c>
      <x:c r="H3263" t="n">
        <x:v>6</x:v>
      </x:c>
      <x:c r="I3263" t="str">
        <x:v>À qualifier par lieu</x:v>
      </x:c>
      <x:c r="J3263" t="str">
        <x:v>https://github.com/darknigthmare/deadwall-last-enclosure/blob/e28f46223e73105ab2c5d83f3d50b99b58ef53e6/codex-3000/addendum-1.58/PROGRAMMES_B.json</x:v>
      </x:c>
      <x:c r="K3263" t="str">
        <x:v>Source min 42,45 m ; max 42,45 m ; modèle 42 × 45 m ; niveaux 0. Détails dans catalogue-existant.json.</x:v>
      </x:c>
    </x:row>
    <x:row r="3264">
      <x:c r="A3264" t="str">
        <x:v>DW-3259</x:v>
      </x:c>
      <x:c r="B3264" t="str">
        <x:v>DW-3259</x:v>
      </x:c>
      <x:c r="C3264" t="str">
        <x:v>Parent indépendant 1.58</x:v>
      </x:c>
      <x:c r="D3264" t="str">
        <x:v>Services et petits ateliers</x:v>
      </x:c>
      <x:c r="E3264" t="str">
        <x:v>Atelier de restauration de films familiaux</x:v>
      </x:c>
      <x:c r="F3264" t="n">
        <x:v>9</x:v>
      </x:c>
      <x:c r="G3264" t="n">
        <x:v>6</x:v>
      </x:c>
      <x:c r="H3264" t="n">
        <x:v>6</x:v>
      </x:c>
      <x:c r="I3264" t="str">
        <x:v>À qualifier par lieu</x:v>
      </x:c>
      <x:c r="J3264" t="str">
        <x:v>https://github.com/darknigthmare/deadwall-last-enclosure/blob/e28f46223e73105ab2c5d83f3d50b99b58ef53e6/codex-3000/addendum-1.58/PROGRAMMES_B.json</x:v>
      </x:c>
      <x:c r="K3264" t="str">
        <x:v>Source min 30,36 m ; max 30,36 m ; modèle 30 × 36 m ; niveaux 0. Détails dans catalogue-existant.json.</x:v>
      </x:c>
    </x:row>
    <x:row r="3265">
      <x:c r="A3265" t="str">
        <x:v>DW-3260</x:v>
      </x:c>
      <x:c r="B3265" t="str">
        <x:v>DW-3260</x:v>
      </x:c>
      <x:c r="C3265" t="str">
        <x:v>Parent indépendant 1.58</x:v>
      </x:c>
      <x:c r="D3265" t="str">
        <x:v>Services et petits ateliers</x:v>
      </x:c>
      <x:c r="E3265" t="str">
        <x:v>Service de transfert de cassettes vidéo</x:v>
      </x:c>
      <x:c r="F3265" t="n">
        <x:v>9</x:v>
      </x:c>
      <x:c r="G3265" t="n">
        <x:v>6</x:v>
      </x:c>
      <x:c r="H3265" t="n">
        <x:v>6</x:v>
      </x:c>
      <x:c r="I3265" t="str">
        <x:v>À qualifier par lieu</x:v>
      </x:c>
      <x:c r="J3265" t="str">
        <x:v>https://github.com/darknigthmare/deadwall-last-enclosure/blob/e28f46223e73105ab2c5d83f3d50b99b58ef53e6/codex-3000/addendum-1.58/PROGRAMMES_B.json</x:v>
      </x:c>
      <x:c r="K3265" t="str">
        <x:v>Source min 34,28 m ; max 34,28 m ; modèle 34 × 28 m ; niveaux 0, 1. Détails dans catalogue-existant.json.</x:v>
      </x:c>
    </x:row>
    <x:row r="3266">
      <x:c r="A3266" t="str">
        <x:v>DW-3261</x:v>
      </x:c>
      <x:c r="B3266" t="str">
        <x:v>DW-3261</x:v>
      </x:c>
      <x:c r="C3266" t="str">
        <x:v>Parent indépendant 1.58</x:v>
      </x:c>
      <x:c r="D3266" t="str">
        <x:v>Services et petits ateliers</x:v>
      </x:c>
      <x:c r="E3266" t="str">
        <x:v>Atelier de reliure de documents privés</x:v>
      </x:c>
      <x:c r="F3266" t="n">
        <x:v>9</x:v>
      </x:c>
      <x:c r="G3266" t="n">
        <x:v>6</x:v>
      </x:c>
      <x:c r="H3266" t="n">
        <x:v>6</x:v>
      </x:c>
      <x:c r="I3266" t="str">
        <x:v>À qualifier par lieu</x:v>
      </x:c>
      <x:c r="J3266" t="str">
        <x:v>https://github.com/darknigthmare/deadwall-last-enclosure/blob/e28f46223e73105ab2c5d83f3d50b99b58ef53e6/codex-3000/addendum-1.58/PROGRAMMES_B.json</x:v>
      </x:c>
      <x:c r="K3266" t="str">
        <x:v>Source min 38,42 m ; max 38,42 m ; modèle 38 × 42 m ; niveaux 0. Détails dans catalogue-existant.json.</x:v>
      </x:c>
    </x:row>
    <x:row r="3267">
      <x:c r="A3267" t="str">
        <x:v>DW-3262</x:v>
      </x:c>
      <x:c r="B3267" t="str">
        <x:v>DW-3262</x:v>
      </x:c>
      <x:c r="C3267" t="str">
        <x:v>Parent indépendant 1.58</x:v>
      </x:c>
      <x:c r="D3267" t="str">
        <x:v>Services et petits ateliers</x:v>
      </x:c>
      <x:c r="E3267" t="str">
        <x:v>Atelier de cachets professionnels</x:v>
      </x:c>
      <x:c r="F3267" t="n">
        <x:v>9</x:v>
      </x:c>
      <x:c r="G3267" t="n">
        <x:v>6</x:v>
      </x:c>
      <x:c r="H3267" t="n">
        <x:v>6</x:v>
      </x:c>
      <x:c r="I3267" t="str">
        <x:v>À qualifier par lieu</x:v>
      </x:c>
      <x:c r="J3267" t="str">
        <x:v>https://github.com/darknigthmare/deadwall-last-enclosure/blob/e28f46223e73105ab2c5d83f3d50b99b58ef53e6/codex-3000/addendum-1.58/PROGRAMMES_B.json</x:v>
      </x:c>
      <x:c r="K3267" t="str">
        <x:v>Source min 42,45 m ; max 42,45 m ; modèle 42 × 45 m ; niveaux 0. Détails dans catalogue-existant.json.</x:v>
      </x:c>
    </x:row>
    <x:row r="3268">
      <x:c r="A3268" t="str">
        <x:v>DW-3263</x:v>
      </x:c>
      <x:c r="B3268" t="str">
        <x:v>DW-3263</x:v>
      </x:c>
      <x:c r="C3268" t="str">
        <x:v>Parent indépendant 1.58</x:v>
      </x:c>
      <x:c r="D3268" t="str">
        <x:v>Services et petits ateliers</x:v>
      </x:c>
      <x:c r="E3268" t="str">
        <x:v>Service de nettoyage des enseignes</x:v>
      </x:c>
      <x:c r="F3268" t="n">
        <x:v>9</x:v>
      </x:c>
      <x:c r="G3268" t="n">
        <x:v>6</x:v>
      </x:c>
      <x:c r="H3268" t="n">
        <x:v>6</x:v>
      </x:c>
      <x:c r="I3268" t="str">
        <x:v>À qualifier par lieu</x:v>
      </x:c>
      <x:c r="J3268" t="str">
        <x:v>https://github.com/darknigthmare/deadwall-last-enclosure/blob/e28f46223e73105ab2c5d83f3d50b99b58ef53e6/codex-3000/addendum-1.58/PROGRAMMES_B.json</x:v>
      </x:c>
      <x:c r="K3268" t="str">
        <x:v>Source min 30,28 m ; max 30,28 m ; modèle 30 × 28 m ; niveaux 0, 1. Détails dans catalogue-existant.json.</x:v>
      </x:c>
    </x:row>
    <x:row r="3269">
      <x:c r="A3269" t="str">
        <x:v>DW-3264</x:v>
      </x:c>
      <x:c r="B3269" t="str">
        <x:v>DW-3264</x:v>
      </x:c>
      <x:c r="C3269" t="str">
        <x:v>Parent indépendant 1.58</x:v>
      </x:c>
      <x:c r="D3269" t="str">
        <x:v>Services et petits ateliers</x:v>
      </x:c>
      <x:c r="E3269" t="str">
        <x:v>Atelier de duplication de badges d'accès</x:v>
      </x:c>
      <x:c r="F3269" t="n">
        <x:v>9</x:v>
      </x:c>
      <x:c r="G3269" t="n">
        <x:v>6</x:v>
      </x:c>
      <x:c r="H3269" t="n">
        <x:v>6</x:v>
      </x:c>
      <x:c r="I3269" t="str">
        <x:v>À qualifier par lieu</x:v>
      </x:c>
      <x:c r="J3269" t="str">
        <x:v>https://github.com/darknigthmare/deadwall-last-enclosure/blob/e28f46223e73105ab2c5d83f3d50b99b58ef53e6/codex-3000/addendum-1.58/PROGRAMMES_B.json</x:v>
      </x:c>
      <x:c r="K3269" t="str">
        <x:v>Source min 34,39 m ; max 34,39 m ; modèle 34 × 39 m ; niveaux 0. Détails dans catalogue-existant.json.</x:v>
      </x:c>
    </x:row>
    <x:row r="3270">
      <x:c r="A3270" t="str">
        <x:v>DW-3265</x:v>
      </x:c>
      <x:c r="B3270" t="str">
        <x:v>DW-3265</x:v>
      </x:c>
      <x:c r="C3270" t="str">
        <x:v>Parent indépendant 1.58</x:v>
      </x:c>
      <x:c r="D3270" t="str">
        <x:v>Services et petits ateliers</x:v>
      </x:c>
      <x:c r="E3270" t="str">
        <x:v>Bureau de déménagement adapté</x:v>
      </x:c>
      <x:c r="F3270" t="n">
        <x:v>9</x:v>
      </x:c>
      <x:c r="G3270" t="n">
        <x:v>6</x:v>
      </x:c>
      <x:c r="H3270" t="n">
        <x:v>6</x:v>
      </x:c>
      <x:c r="I3270" t="str">
        <x:v>À qualifier par lieu</x:v>
      </x:c>
      <x:c r="J3270" t="str">
        <x:v>https://github.com/darknigthmare/deadwall-last-enclosure/blob/e28f46223e73105ab2c5d83f3d50b99b58ef53e6/codex-3000/addendum-1.58/PROGRAMMES_B.json</x:v>
      </x:c>
      <x:c r="K3270" t="str">
        <x:v>Source min 38,42 m ; max 38,42 m ; modèle 38 × 42 m ; niveaux 0. Détails dans catalogue-existant.json.</x:v>
      </x:c>
    </x:row>
    <x:row r="3271">
      <x:c r="A3271" t="str">
        <x:v>DW-3266</x:v>
      </x:c>
      <x:c r="B3271" t="str">
        <x:v>DW-3266</x:v>
      </x:c>
      <x:c r="C3271" t="str">
        <x:v>Parent indépendant 1.58</x:v>
      </x:c>
      <x:c r="D3271" t="str">
        <x:v>Services et petits ateliers</x:v>
      </x:c>
      <x:c r="E3271" t="str">
        <x:v>Conciergerie de clefs locatives</x:v>
      </x:c>
      <x:c r="F3271" t="n">
        <x:v>9</x:v>
      </x:c>
      <x:c r="G3271" t="n">
        <x:v>6</x:v>
      </x:c>
      <x:c r="H3271" t="n">
        <x:v>6</x:v>
      </x:c>
      <x:c r="I3271" t="str">
        <x:v>À qualifier par lieu</x:v>
      </x:c>
      <x:c r="J3271" t="str">
        <x:v>https://github.com/darknigthmare/deadwall-last-enclosure/blob/e28f46223e73105ab2c5d83f3d50b99b58ef53e6/codex-3000/addendum-1.58/PROGRAMMES_B.json</x:v>
      </x:c>
      <x:c r="K3271" t="str">
        <x:v>Source min 42,28 m ; max 42,28 m ; modèle 42 × 28 m ; niveaux 0, 1. Détails dans catalogue-existant.json.</x:v>
      </x:c>
    </x:row>
    <x:row r="3272">
      <x:c r="A3272" t="str">
        <x:v>DW-3267</x:v>
      </x:c>
      <x:c r="B3272" t="str">
        <x:v>DW-3267</x:v>
      </x:c>
      <x:c r="C3272" t="str">
        <x:v>Parent indépendant 1.58</x:v>
      </x:c>
      <x:c r="D3272" t="str">
        <x:v>Services et petits ateliers</x:v>
      </x:c>
      <x:c r="E3272" t="str">
        <x:v>Centre de prêt d'outillage domestique</x:v>
      </x:c>
      <x:c r="F3272" t="n">
        <x:v>9</x:v>
      </x:c>
      <x:c r="G3272" t="n">
        <x:v>6</x:v>
      </x:c>
      <x:c r="H3272" t="n">
        <x:v>6</x:v>
      </x:c>
      <x:c r="I3272" t="str">
        <x:v>À qualifier par lieu</x:v>
      </x:c>
      <x:c r="J3272" t="str">
        <x:v>https://github.com/darknigthmare/deadwall-last-enclosure/blob/e28f46223e73105ab2c5d83f3d50b99b58ef53e6/codex-3000/addendum-1.58/PROGRAMMES_B.json</x:v>
      </x:c>
      <x:c r="K3272" t="str">
        <x:v>Source min 30,36 m ; max 30,36 m ; modèle 30 × 36 m ; niveaux 0. Détails dans catalogue-existant.json.</x:v>
      </x:c>
    </x:row>
    <x:row r="3273">
      <x:c r="A3273" t="str">
        <x:v>DW-3268</x:v>
      </x:c>
      <x:c r="B3273" t="str">
        <x:v>DW-3268</x:v>
      </x:c>
      <x:c r="C3273" t="str">
        <x:v>Parent indépendant 1.58</x:v>
      </x:c>
      <x:c r="D3273" t="str">
        <x:v>Services et petits ateliers</x:v>
      </x:c>
      <x:c r="E3273" t="str">
        <x:v>Service de contrôle de sièges enfants</x:v>
      </x:c>
      <x:c r="F3273" t="n">
        <x:v>9</x:v>
      </x:c>
      <x:c r="G3273" t="n">
        <x:v>6</x:v>
      </x:c>
      <x:c r="H3273" t="n">
        <x:v>6</x:v>
      </x:c>
      <x:c r="I3273" t="str">
        <x:v>À qualifier par lieu</x:v>
      </x:c>
      <x:c r="J3273" t="str">
        <x:v>https://github.com/darknigthmare/deadwall-last-enclosure/blob/e28f46223e73105ab2c5d83f3d50b99b58ef53e6/codex-3000/addendum-1.58/PROGRAMMES_B.json</x:v>
      </x:c>
      <x:c r="K3273" t="str">
        <x:v>Source min 34,39 m ; max 34,39 m ; modèle 34 × 39 m ; niveaux 0. Détails dans catalogue-existant.json.</x:v>
      </x:c>
    </x:row>
    <x:row r="3274">
      <x:c r="A3274" t="str">
        <x:v>DW-3269</x:v>
      </x:c>
      <x:c r="B3274" t="str">
        <x:v>DW-3269</x:v>
      </x:c>
      <x:c r="C3274" t="str">
        <x:v>Parent indépendant 1.58</x:v>
      </x:c>
      <x:c r="D3274" t="str">
        <x:v>Services et petits ateliers</x:v>
      </x:c>
      <x:c r="E3274" t="str">
        <x:v>Atelier de réglage de poussettes</x:v>
      </x:c>
      <x:c r="F3274" t="n">
        <x:v>9</x:v>
      </x:c>
      <x:c r="G3274" t="n">
        <x:v>6</x:v>
      </x:c>
      <x:c r="H3274" t="n">
        <x:v>6</x:v>
      </x:c>
      <x:c r="I3274" t="str">
        <x:v>À qualifier par lieu</x:v>
      </x:c>
      <x:c r="J3274" t="str">
        <x:v>https://github.com/darknigthmare/deadwall-last-enclosure/blob/e28f46223e73105ab2c5d83f3d50b99b58ef53e6/codex-3000/addendum-1.58/PROGRAMMES_B.json</x:v>
      </x:c>
      <x:c r="K3274" t="str">
        <x:v>Source min 38,28 m ; max 38,28 m ; modèle 38 × 28 m ; niveaux 0, 1. Détails dans catalogue-existant.json.</x:v>
      </x:c>
    </x:row>
    <x:row r="3275">
      <x:c r="A3275" t="str">
        <x:v>DW-3270</x:v>
      </x:c>
      <x:c r="B3275" t="str">
        <x:v>DW-3270</x:v>
      </x:c>
      <x:c r="C3275" t="str">
        <x:v>Parent indépendant 1.58</x:v>
      </x:c>
      <x:c r="D3275" t="str">
        <x:v>Services et petits ateliers</x:v>
      </x:c>
      <x:c r="E3275" t="str">
        <x:v>Maison de location de matériel de réception</x:v>
      </x:c>
      <x:c r="F3275" t="n">
        <x:v>9</x:v>
      </x:c>
      <x:c r="G3275" t="n">
        <x:v>6</x:v>
      </x:c>
      <x:c r="H3275" t="n">
        <x:v>6</x:v>
      </x:c>
      <x:c r="I3275" t="str">
        <x:v>À qualifier par lieu</x:v>
      </x:c>
      <x:c r="J3275" t="str">
        <x:v>https://github.com/darknigthmare/deadwall-last-enclosure/blob/e28f46223e73105ab2c5d83f3d50b99b58ef53e6/codex-3000/addendum-1.58/PROGRAMMES_B.json</x:v>
      </x:c>
      <x:c r="K3275" t="str">
        <x:v>Source min 42,45 m ; max 42,45 m ; modèle 42 × 45 m ; niveaux 0. Détails dans catalogue-existant.json.</x:v>
      </x:c>
    </x:row>
    <x:row r="3276">
      <x:c r="A3276" t="str">
        <x:v>DW-3271</x:v>
      </x:c>
      <x:c r="B3276" t="str">
        <x:v>DW-3271</x:v>
      </x:c>
      <x:c r="C3276" t="str">
        <x:v>Parent indépendant 1.58</x:v>
      </x:c>
      <x:c r="D3276" t="str">
        <x:v>Services et petits ateliers</x:v>
      </x:c>
      <x:c r="E3276" t="str">
        <x:v>Atelier de réparation de jeux de société</x:v>
      </x:c>
      <x:c r="F3276" t="n">
        <x:v>9</x:v>
      </x:c>
      <x:c r="G3276" t="n">
        <x:v>6</x:v>
      </x:c>
      <x:c r="H3276" t="n">
        <x:v>6</x:v>
      </x:c>
      <x:c r="I3276" t="str">
        <x:v>À qualifier par lieu</x:v>
      </x:c>
      <x:c r="J3276" t="str">
        <x:v>https://github.com/darknigthmare/deadwall-last-enclosure/blob/e28f46223e73105ab2c5d83f3d50b99b58ef53e6/codex-3000/addendum-1.58/PROGRAMMES_B.json</x:v>
      </x:c>
      <x:c r="K3276" t="str">
        <x:v>Source min 30,36 m ; max 30,36 m ; modèle 30 × 36 m ; niveaux 0. Détails dans catalogue-existant.json.</x:v>
      </x:c>
    </x:row>
    <x:row r="3277">
      <x:c r="A3277" t="str">
        <x:v>DW-3272</x:v>
      </x:c>
      <x:c r="B3277" t="str">
        <x:v>DW-3272</x:v>
      </x:c>
      <x:c r="C3277" t="str">
        <x:v>Parent indépendant 1.58</x:v>
      </x:c>
      <x:c r="D3277" t="str">
        <x:v>Services et petits ateliers</x:v>
      </x:c>
      <x:c r="E3277" t="str">
        <x:v>Atelier de réparation de parapluies</x:v>
      </x:c>
      <x:c r="F3277" t="n">
        <x:v>9</x:v>
      </x:c>
      <x:c r="G3277" t="n">
        <x:v>6</x:v>
      </x:c>
      <x:c r="H3277" t="n">
        <x:v>6</x:v>
      </x:c>
      <x:c r="I3277" t="str">
        <x:v>À qualifier par lieu</x:v>
      </x:c>
      <x:c r="J3277" t="str">
        <x:v>https://github.com/darknigthmare/deadwall-last-enclosure/blob/e28f46223e73105ab2c5d83f3d50b99b58ef53e6/codex-3000/addendum-1.58/PROGRAMMES_B.json</x:v>
      </x:c>
      <x:c r="K3277" t="str">
        <x:v>Source min 34,28 m ; max 34,28 m ; modèle 34 × 28 m ; niveaux 0, 1. Détails dans catalogue-existant.json.</x:v>
      </x:c>
    </x:row>
    <x:row r="3278">
      <x:c r="A3278" t="str">
        <x:v>DW-3273</x:v>
      </x:c>
      <x:c r="B3278" t="str">
        <x:v>DW-3273</x:v>
      </x:c>
      <x:c r="C3278" t="str">
        <x:v>Parent indépendant 1.58</x:v>
      </x:c>
      <x:c r="D3278" t="str">
        <x:v>Services et petits ateliers</x:v>
      </x:c>
      <x:c r="E3278" t="str">
        <x:v>Atelier d'entretien de bagages</x:v>
      </x:c>
      <x:c r="F3278" t="n">
        <x:v>9</x:v>
      </x:c>
      <x:c r="G3278" t="n">
        <x:v>6</x:v>
      </x:c>
      <x:c r="H3278" t="n">
        <x:v>6</x:v>
      </x:c>
      <x:c r="I3278" t="str">
        <x:v>À qualifier par lieu</x:v>
      </x:c>
      <x:c r="J3278" t="str">
        <x:v>https://github.com/darknigthmare/deadwall-last-enclosure/blob/e28f46223e73105ab2c5d83f3d50b99b58ef53e6/codex-3000/addendum-1.58/PROGRAMMES_B.json</x:v>
      </x:c>
      <x:c r="K3278" t="str">
        <x:v>Source min 38,42 m ; max 38,42 m ; modèle 38 × 42 m ; niveaux 0. Détails dans catalogue-existant.json.</x:v>
      </x:c>
    </x:row>
    <x:row r="3279">
      <x:c r="A3279" t="str">
        <x:v>DW-3274</x:v>
      </x:c>
      <x:c r="B3279" t="str">
        <x:v>DW-3274</x:v>
      </x:c>
      <x:c r="C3279" t="str">
        <x:v>Parent indépendant 1.58</x:v>
      </x:c>
      <x:c r="D3279" t="str">
        <x:v>Services et petits ateliers</x:v>
      </x:c>
      <x:c r="E3279" t="str">
        <x:v>Atelier de retension de fauteuils</x:v>
      </x:c>
      <x:c r="F3279" t="n">
        <x:v>9</x:v>
      </x:c>
      <x:c r="G3279" t="n">
        <x:v>6</x:v>
      </x:c>
      <x:c r="H3279" t="n">
        <x:v>6</x:v>
      </x:c>
      <x:c r="I3279" t="str">
        <x:v>À qualifier par lieu</x:v>
      </x:c>
      <x:c r="J3279" t="str">
        <x:v>https://github.com/darknigthmare/deadwall-last-enclosure/blob/e28f46223e73105ab2c5d83f3d50b99b58ef53e6/codex-3000/addendum-1.58/PROGRAMMES_B.json</x:v>
      </x:c>
      <x:c r="K3279" t="str">
        <x:v>Source min 42,45 m ; max 42,45 m ; modèle 42 × 45 m ; niveaux 0. Détails dans catalogue-existant.json.</x:v>
      </x:c>
    </x:row>
    <x:row r="3280">
      <x:c r="A3280" t="str">
        <x:v>DW-3275</x:v>
      </x:c>
      <x:c r="B3280" t="str">
        <x:v>DW-3275</x:v>
      </x:c>
      <x:c r="C3280" t="str">
        <x:v>Parent indépendant 1.58</x:v>
      </x:c>
      <x:c r="D3280" t="str">
        <x:v>Services et petits ateliers</x:v>
      </x:c>
      <x:c r="E3280" t="str">
        <x:v>Atelier de réparation de volets manuels</x:v>
      </x:c>
      <x:c r="F3280" t="n">
        <x:v>9</x:v>
      </x:c>
      <x:c r="G3280" t="n">
        <x:v>6</x:v>
      </x:c>
      <x:c r="H3280" t="n">
        <x:v>6</x:v>
      </x:c>
      <x:c r="I3280" t="str">
        <x:v>À qualifier par lieu</x:v>
      </x:c>
      <x:c r="J3280" t="str">
        <x:v>https://github.com/darknigthmare/deadwall-last-enclosure/blob/e28f46223e73105ab2c5d83f3d50b99b58ef53e6/codex-3000/addendum-1.58/PROGRAMMES_B.json</x:v>
      </x:c>
      <x:c r="K3280" t="str">
        <x:v>Source min 30,28 m ; max 30,28 m ; modèle 30 × 28 m ; niveaux 0, 1. Détails dans catalogue-existant.json.</x:v>
      </x:c>
    </x:row>
    <x:row r="3281">
      <x:c r="A3281" t="str">
        <x:v>DW-3276</x:v>
      </x:c>
      <x:c r="B3281" t="str">
        <x:v>DW-3276</x:v>
      </x:c>
      <x:c r="C3281" t="str">
        <x:v>Parent indépendant 1.58</x:v>
      </x:c>
      <x:c r="D3281" t="str">
        <x:v>Services et petits ateliers</x:v>
      </x:c>
      <x:c r="E3281" t="str">
        <x:v>Atelier d'ajustage de stores intérieurs</x:v>
      </x:c>
      <x:c r="F3281" t="n">
        <x:v>9</x:v>
      </x:c>
      <x:c r="G3281" t="n">
        <x:v>6</x:v>
      </x:c>
      <x:c r="H3281" t="n">
        <x:v>6</x:v>
      </x:c>
      <x:c r="I3281" t="str">
        <x:v>À qualifier par lieu</x:v>
      </x:c>
      <x:c r="J3281" t="str">
        <x:v>https://github.com/darknigthmare/deadwall-last-enclosure/blob/e28f46223e73105ab2c5d83f3d50b99b58ef53e6/codex-3000/addendum-1.58/PROGRAMMES_B.json</x:v>
      </x:c>
      <x:c r="K3281" t="str">
        <x:v>Source min 34,39 m ; max 34,39 m ; modèle 34 × 39 m ; niveaux 0. Détails dans catalogue-existant.json.</x:v>
      </x:c>
    </x:row>
    <x:row r="3282">
      <x:c r="A3282" t="str">
        <x:v>DW-3277</x:v>
      </x:c>
      <x:c r="B3282" t="str">
        <x:v>DW-3277</x:v>
      </x:c>
      <x:c r="C3282" t="str">
        <x:v>Parent indépendant 1.58</x:v>
      </x:c>
      <x:c r="D3282" t="str">
        <x:v>Services et petits ateliers</x:v>
      </x:c>
      <x:c r="E3282" t="str">
        <x:v>Atelier d'entretien de machines à coudre</x:v>
      </x:c>
      <x:c r="F3282" t="n">
        <x:v>9</x:v>
      </x:c>
      <x:c r="G3282" t="n">
        <x:v>6</x:v>
      </x:c>
      <x:c r="H3282" t="n">
        <x:v>6</x:v>
      </x:c>
      <x:c r="I3282" t="str">
        <x:v>À qualifier par lieu</x:v>
      </x:c>
      <x:c r="J3282" t="str">
        <x:v>https://github.com/darknigthmare/deadwall-last-enclosure/blob/e28f46223e73105ab2c5d83f3d50b99b58ef53e6/codex-3000/addendum-1.58/PROGRAMMES_B.json</x:v>
      </x:c>
      <x:c r="K3282" t="str">
        <x:v>Source min 38,42 m ; max 38,42 m ; modèle 38 × 42 m ; niveaux 0. Détails dans catalogue-existant.json.</x:v>
      </x:c>
    </x:row>
    <x:row r="3283">
      <x:c r="A3283" t="str">
        <x:v>DW-3278</x:v>
      </x:c>
      <x:c r="B3283" t="str">
        <x:v>DW-3278</x:v>
      </x:c>
      <x:c r="C3283" t="str">
        <x:v>Parent indépendant 1.58</x:v>
      </x:c>
      <x:c r="D3283" t="str">
        <x:v>Services et petits ateliers</x:v>
      </x:c>
      <x:c r="E3283" t="str">
        <x:v>Service d'affûtage de ciseaux de coiffure</x:v>
      </x:c>
      <x:c r="F3283" t="n">
        <x:v>9</x:v>
      </x:c>
      <x:c r="G3283" t="n">
        <x:v>6</x:v>
      </x:c>
      <x:c r="H3283" t="n">
        <x:v>6</x:v>
      </x:c>
      <x:c r="I3283" t="str">
        <x:v>À qualifier par lieu</x:v>
      </x:c>
      <x:c r="J3283" t="str">
        <x:v>https://github.com/darknigthmare/deadwall-last-enclosure/blob/e28f46223e73105ab2c5d83f3d50b99b58ef53e6/codex-3000/addendum-1.58/PROGRAMMES_B.json</x:v>
      </x:c>
      <x:c r="K3283" t="str">
        <x:v>Source min 42,28 m ; max 42,28 m ; modèle 42 × 28 m ; niveaux 0, 1. Détails dans catalogue-existant.json.</x:v>
      </x:c>
    </x:row>
    <x:row r="3284">
      <x:c r="A3284" t="str">
        <x:v>DW-3279</x:v>
      </x:c>
      <x:c r="B3284" t="str">
        <x:v>DW-3279</x:v>
      </x:c>
      <x:c r="C3284" t="str">
        <x:v>Parent indépendant 1.58</x:v>
      </x:c>
      <x:c r="D3284" t="str">
        <x:v>Services et petits ateliers</x:v>
      </x:c>
      <x:c r="E3284" t="str">
        <x:v>Atelier de repolissage d'argenterie</x:v>
      </x:c>
      <x:c r="F3284" t="n">
        <x:v>9</x:v>
      </x:c>
      <x:c r="G3284" t="n">
        <x:v>6</x:v>
      </x:c>
      <x:c r="H3284" t="n">
        <x:v>6</x:v>
      </x:c>
      <x:c r="I3284" t="str">
        <x:v>À qualifier par lieu</x:v>
      </x:c>
      <x:c r="J3284" t="str">
        <x:v>https://github.com/darknigthmare/deadwall-last-enclosure/blob/e28f46223e73105ab2c5d83f3d50b99b58ef53e6/codex-3000/addendum-1.58/PROGRAMMES_B.json</x:v>
      </x:c>
      <x:c r="K3284" t="str">
        <x:v>Source min 30,36 m ; max 30,36 m ; modèle 30 × 36 m ; niveaux 0. Détails dans catalogue-existant.json.</x:v>
      </x:c>
    </x:row>
    <x:row r="3285">
      <x:c r="A3285" t="str">
        <x:v>DW-3280</x:v>
      </x:c>
      <x:c r="B3285" t="str">
        <x:v>DW-3280</x:v>
      </x:c>
      <x:c r="C3285" t="str">
        <x:v>Parent indépendant 1.58</x:v>
      </x:c>
      <x:c r="D3285" t="str">
        <x:v>Services et petits ateliers</x:v>
      </x:c>
      <x:c r="E3285" t="str">
        <x:v>Service de restauration de tapis</x:v>
      </x:c>
      <x:c r="F3285" t="n">
        <x:v>9</x:v>
      </x:c>
      <x:c r="G3285" t="n">
        <x:v>6</x:v>
      </x:c>
      <x:c r="H3285" t="n">
        <x:v>6</x:v>
      </x:c>
      <x:c r="I3285" t="str">
        <x:v>À qualifier par lieu</x:v>
      </x:c>
      <x:c r="J3285" t="str">
        <x:v>https://github.com/darknigthmare/deadwall-last-enclosure/blob/e28f46223e73105ab2c5d83f3d50b99b58ef53e6/codex-3000/addendum-1.58/PROGRAMMES_B.json</x:v>
      </x:c>
      <x:c r="K3285" t="str">
        <x:v>Source min 34,39 m ; max 34,39 m ; modèle 34 × 39 m ; niveaux 0. Détails dans catalogue-existant.json.</x:v>
      </x:c>
    </x:row>
    <x:row r="3286">
      <x:c r="A3286" t="str">
        <x:v>DW-3281</x:v>
      </x:c>
      <x:c r="B3286" t="str">
        <x:v>DW-3281</x:v>
      </x:c>
      <x:c r="C3286" t="str">
        <x:v>Parent indépendant 1.58</x:v>
      </x:c>
      <x:c r="D3286" t="str">
        <x:v>Services et petits ateliers</x:v>
      </x:c>
      <x:c r="E3286" t="str">
        <x:v>Atelier d'encadrement sur mesure</x:v>
      </x:c>
      <x:c r="F3286" t="n">
        <x:v>9</x:v>
      </x:c>
      <x:c r="G3286" t="n">
        <x:v>6</x:v>
      </x:c>
      <x:c r="H3286" t="n">
        <x:v>6</x:v>
      </x:c>
      <x:c r="I3286" t="str">
        <x:v>À qualifier par lieu</x:v>
      </x:c>
      <x:c r="J3286" t="str">
        <x:v>https://github.com/darknigthmare/deadwall-last-enclosure/blob/e28f46223e73105ab2c5d83f3d50b99b58ef53e6/codex-3000/addendum-1.58/PROGRAMMES_B.json</x:v>
      </x:c>
      <x:c r="K3286" t="str">
        <x:v>Source min 38,28 m ; max 38,28 m ; modèle 38 × 28 m ; niveaux 0, 1. Détails dans catalogue-existant.json.</x:v>
      </x:c>
    </x:row>
    <x:row r="3287">
      <x:c r="A3287" t="str">
        <x:v>DW-3282</x:v>
      </x:c>
      <x:c r="B3287" t="str">
        <x:v>DW-3282</x:v>
      </x:c>
      <x:c r="C3287" t="str">
        <x:v>Parent indépendant 1.58</x:v>
      </x:c>
      <x:c r="D3287" t="str">
        <x:v>Services et petits ateliers</x:v>
      </x:c>
      <x:c r="E3287" t="str">
        <x:v>Atelier de réparation de vitraux domestiques</x:v>
      </x:c>
      <x:c r="F3287" t="n">
        <x:v>9</x:v>
      </x:c>
      <x:c r="G3287" t="n">
        <x:v>6</x:v>
      </x:c>
      <x:c r="H3287" t="n">
        <x:v>6</x:v>
      </x:c>
      <x:c r="I3287" t="str">
        <x:v>À qualifier par lieu</x:v>
      </x:c>
      <x:c r="J3287" t="str">
        <x:v>https://github.com/darknigthmare/deadwall-last-enclosure/blob/e28f46223e73105ab2c5d83f3d50b99b58ef53e6/codex-3000/addendum-1.58/PROGRAMMES_B.json</x:v>
      </x:c>
      <x:c r="K3287" t="str">
        <x:v>Source min 42,45 m ; max 42,45 m ; modèle 42 × 45 m ; niveaux 0. Détails dans catalogue-existant.json.</x:v>
      </x:c>
    </x:row>
    <x:row r="3288">
      <x:c r="A3288" t="str">
        <x:v>DW-3283</x:v>
      </x:c>
      <x:c r="B3288" t="str">
        <x:v>DW-3283</x:v>
      </x:c>
      <x:c r="C3288" t="str">
        <x:v>Parent indépendant 1.58</x:v>
      </x:c>
      <x:c r="D3288" t="str">
        <x:v>Services et petits ateliers</x:v>
      </x:c>
      <x:c r="E3288" t="str">
        <x:v>Atelier de réveils mécaniques</x:v>
      </x:c>
      <x:c r="F3288" t="n">
        <x:v>9</x:v>
      </x:c>
      <x:c r="G3288" t="n">
        <x:v>6</x:v>
      </x:c>
      <x:c r="H3288" t="n">
        <x:v>6</x:v>
      </x:c>
      <x:c r="I3288" t="str">
        <x:v>À qualifier par lieu</x:v>
      </x:c>
      <x:c r="J3288" t="str">
        <x:v>https://github.com/darknigthmare/deadwall-last-enclosure/blob/e28f46223e73105ab2c5d83f3d50b99b58ef53e6/codex-3000/addendum-1.58/PROGRAMMES_B.json</x:v>
      </x:c>
      <x:c r="K3288" t="str">
        <x:v>Source min 30,36 m ; max 30,36 m ; modèle 30 × 36 m ; niveaux 0. Détails dans catalogue-existant.json.</x:v>
      </x:c>
    </x:row>
    <x:row r="3289">
      <x:c r="A3289" t="str">
        <x:v>DW-3284</x:v>
      </x:c>
      <x:c r="B3289" t="str">
        <x:v>DW-3284</x:v>
      </x:c>
      <x:c r="C3289" t="str">
        <x:v>Parent indépendant 1.58</x:v>
      </x:c>
      <x:c r="D3289" t="str">
        <x:v>Services et petits ateliers</x:v>
      </x:c>
      <x:c r="E3289" t="str">
        <x:v>Service de bracelets de montres</x:v>
      </x:c>
      <x:c r="F3289" t="n">
        <x:v>9</x:v>
      </x:c>
      <x:c r="G3289" t="n">
        <x:v>6</x:v>
      </x:c>
      <x:c r="H3289" t="n">
        <x:v>6</x:v>
      </x:c>
      <x:c r="I3289" t="str">
        <x:v>À qualifier par lieu</x:v>
      </x:c>
      <x:c r="J3289" t="str">
        <x:v>https://github.com/darknigthmare/deadwall-last-enclosure/blob/e28f46223e73105ab2c5d83f3d50b99b58ef53e6/codex-3000/addendum-1.58/PROGRAMMES_B.json</x:v>
      </x:c>
      <x:c r="K3289" t="str">
        <x:v>Source min 34,28 m ; max 34,28 m ; modèle 34 × 28 m ; niveaux 0, 1. Détails dans catalogue-existant.json.</x:v>
      </x:c>
    </x:row>
    <x:row r="3290">
      <x:c r="A3290" t="str">
        <x:v>DW-3285</x:v>
      </x:c>
      <x:c r="B3290" t="str">
        <x:v>DW-3285</x:v>
      </x:c>
      <x:c r="C3290" t="str">
        <x:v>Parent indépendant 1.58</x:v>
      </x:c>
      <x:c r="D3290" t="str">
        <x:v>Services et petits ateliers</x:v>
      </x:c>
      <x:c r="E3290" t="str">
        <x:v>Atelier de médailles et distinctions</x:v>
      </x:c>
      <x:c r="F3290" t="n">
        <x:v>9</x:v>
      </x:c>
      <x:c r="G3290" t="n">
        <x:v>6</x:v>
      </x:c>
      <x:c r="H3290" t="n">
        <x:v>6</x:v>
      </x:c>
      <x:c r="I3290" t="str">
        <x:v>À qualifier par lieu</x:v>
      </x:c>
      <x:c r="J3290" t="str">
        <x:v>https://github.com/darknigthmare/deadwall-last-enclosure/blob/e28f46223e73105ab2c5d83f3d50b99b58ef53e6/codex-3000/addendum-1.58/PROGRAMMES_B.json</x:v>
      </x:c>
      <x:c r="K3290" t="str">
        <x:v>Source min 38,42 m ; max 38,42 m ; modèle 38 × 42 m ; niveaux 0. Détails dans catalogue-existant.json.</x:v>
      </x:c>
    </x:row>
    <x:row r="3291">
      <x:c r="A3291" t="str">
        <x:v>DW-3286</x:v>
      </x:c>
      <x:c r="B3291" t="str">
        <x:v>DW-3286</x:v>
      </x:c>
      <x:c r="C3291" t="str">
        <x:v>Parent indépendant 1.58</x:v>
      </x:c>
      <x:c r="D3291" t="str">
        <x:v>Services et petits ateliers</x:v>
      </x:c>
      <x:c r="E3291" t="str">
        <x:v>Bureau de diagnostics d'humidité</x:v>
      </x:c>
      <x:c r="F3291" t="n">
        <x:v>9</x:v>
      </x:c>
      <x:c r="G3291" t="n">
        <x:v>6</x:v>
      </x:c>
      <x:c r="H3291" t="n">
        <x:v>6</x:v>
      </x:c>
      <x:c r="I3291" t="str">
        <x:v>À qualifier par lieu</x:v>
      </x:c>
      <x:c r="J3291" t="str">
        <x:v>https://github.com/darknigthmare/deadwall-last-enclosure/blob/e28f46223e73105ab2c5d83f3d50b99b58ef53e6/codex-3000/addendum-1.58/PROGRAMMES_B.json</x:v>
      </x:c>
      <x:c r="K3291" t="str">
        <x:v>Source min 42,45 m ; max 42,45 m ; modèle 42 × 45 m ; niveaux 0. Détails dans catalogue-existant.json.</x:v>
      </x:c>
    </x:row>
    <x:row r="3292">
      <x:c r="A3292" t="str">
        <x:v>DW-3287</x:v>
      </x:c>
      <x:c r="B3292" t="str">
        <x:v>DW-3287</x:v>
      </x:c>
      <x:c r="C3292" t="str">
        <x:v>Parent indépendant 1.58</x:v>
      </x:c>
      <x:c r="D3292" t="str">
        <x:v>Services et petits ateliers</x:v>
      </x:c>
      <x:c r="E3292" t="str">
        <x:v>Bureau de plans d'accessibilité</x:v>
      </x:c>
      <x:c r="F3292" t="n">
        <x:v>9</x:v>
      </x:c>
      <x:c r="G3292" t="n">
        <x:v>6</x:v>
      </x:c>
      <x:c r="H3292" t="n">
        <x:v>6</x:v>
      </x:c>
      <x:c r="I3292" t="str">
        <x:v>À qualifier par lieu</x:v>
      </x:c>
      <x:c r="J3292" t="str">
        <x:v>https://github.com/darknigthmare/deadwall-last-enclosure/blob/e28f46223e73105ab2c5d83f3d50b99b58ef53e6/codex-3000/addendum-1.58/PROGRAMMES_B.json</x:v>
      </x:c>
      <x:c r="K3292" t="str">
        <x:v>Source min 30,28 m ; max 30,28 m ; modèle 30 × 28 m ; niveaux 0, 1. Détails dans catalogue-existant.json.</x:v>
      </x:c>
    </x:row>
    <x:row r="3293">
      <x:c r="A3293" t="str">
        <x:v>DW-3288</x:v>
      </x:c>
      <x:c r="B3293" t="str">
        <x:v>DW-3288</x:v>
      </x:c>
      <x:c r="C3293" t="str">
        <x:v>Parent indépendant 1.58</x:v>
      </x:c>
      <x:c r="D3293" t="str">
        <x:v>Services et petits ateliers</x:v>
      </x:c>
      <x:c r="E3293" t="str">
        <x:v>Cabinet d'acoustique de l'habitat</x:v>
      </x:c>
      <x:c r="F3293" t="n">
        <x:v>9</x:v>
      </x:c>
      <x:c r="G3293" t="n">
        <x:v>6</x:v>
      </x:c>
      <x:c r="H3293" t="n">
        <x:v>6</x:v>
      </x:c>
      <x:c r="I3293" t="str">
        <x:v>À qualifier par lieu</x:v>
      </x:c>
      <x:c r="J3293" t="str">
        <x:v>https://github.com/darknigthmare/deadwall-last-enclosure/blob/e28f46223e73105ab2c5d83f3d50b99b58ef53e6/codex-3000/addendum-1.58/PROGRAMMES_B.json</x:v>
      </x:c>
      <x:c r="K3293" t="str">
        <x:v>Source min 34,39 m ; max 34,39 m ; modèle 34 × 39 m ; niveaux 0. Détails dans catalogue-existant.json.</x:v>
      </x:c>
    </x:row>
    <x:row r="3294">
      <x:c r="A3294" t="str">
        <x:v>DW-3289</x:v>
      </x:c>
      <x:c r="B3294" t="str">
        <x:v>DW-3289</x:v>
      </x:c>
      <x:c r="C3294" t="str">
        <x:v>Parent indépendant 1.58</x:v>
      </x:c>
      <x:c r="D3294" t="str">
        <x:v>Services et petits ateliers</x:v>
      </x:c>
      <x:c r="E3294" t="str">
        <x:v>Centre de relevés thermographiques</x:v>
      </x:c>
      <x:c r="F3294" t="n">
        <x:v>9</x:v>
      </x:c>
      <x:c r="G3294" t="n">
        <x:v>6</x:v>
      </x:c>
      <x:c r="H3294" t="n">
        <x:v>6</x:v>
      </x:c>
      <x:c r="I3294" t="str">
        <x:v>À qualifier par lieu</x:v>
      </x:c>
      <x:c r="J3294" t="str">
        <x:v>https://github.com/darknigthmare/deadwall-last-enclosure/blob/e28f46223e73105ab2c5d83f3d50b99b58ef53e6/codex-3000/addendum-1.58/PROGRAMMES_B.json</x:v>
      </x:c>
      <x:c r="K3294" t="str">
        <x:v>Source min 38,42 m ; max 38,42 m ; modèle 38 × 42 m ; niveaux 0. Détails dans catalogue-existant.json.</x:v>
      </x:c>
    </x:row>
    <x:row r="3295">
      <x:c r="A3295" t="str">
        <x:v>DW-3290</x:v>
      </x:c>
      <x:c r="B3295" t="str">
        <x:v>DW-3290</x:v>
      </x:c>
      <x:c r="C3295" t="str">
        <x:v>Parent indépendant 1.58</x:v>
      </x:c>
      <x:c r="D3295" t="str">
        <x:v>Services et petits ateliers</x:v>
      </x:c>
      <x:c r="E3295" t="str">
        <x:v>Bureau de dossiers de repérage du bâti</x:v>
      </x:c>
      <x:c r="F3295" t="n">
        <x:v>9</x:v>
      </x:c>
      <x:c r="G3295" t="n">
        <x:v>6</x:v>
      </x:c>
      <x:c r="H3295" t="n">
        <x:v>6</x:v>
      </x:c>
      <x:c r="I3295" t="str">
        <x:v>À qualifier par lieu</x:v>
      </x:c>
      <x:c r="J3295" t="str">
        <x:v>https://github.com/darknigthmare/deadwall-last-enclosure/blob/e28f46223e73105ab2c5d83f3d50b99b58ef53e6/codex-3000/addendum-1.58/PROGRAMMES_B.json</x:v>
      </x:c>
      <x:c r="K3295" t="str">
        <x:v>Source min 42,28 m ; max 42,28 m ; modèle 42 × 28 m ; niveaux 0, 1. Détails dans catalogue-existant.json.</x:v>
      </x:c>
    </x:row>
    <x:row r="3296">
      <x:c r="A3296" t="str">
        <x:v>DW-3291</x:v>
      </x:c>
      <x:c r="B3296" t="str">
        <x:v>DW-3291</x:v>
      </x:c>
      <x:c r="C3296" t="str">
        <x:v>Parent indépendant 1.58</x:v>
      </x:c>
      <x:c r="D3296" t="str">
        <x:v>Services et petits ateliers</x:v>
      </x:c>
      <x:c r="E3296" t="str">
        <x:v>Studio d'applications accessibles</x:v>
      </x:c>
      <x:c r="F3296" t="n">
        <x:v>9</x:v>
      </x:c>
      <x:c r="G3296" t="n">
        <x:v>6</x:v>
      </x:c>
      <x:c r="H3296" t="n">
        <x:v>6</x:v>
      </x:c>
      <x:c r="I3296" t="str">
        <x:v>À qualifier par lieu</x:v>
      </x:c>
      <x:c r="J3296" t="str">
        <x:v>https://github.com/darknigthmare/deadwall-last-enclosure/blob/e28f46223e73105ab2c5d83f3d50b99b58ef53e6/codex-3000/addendum-1.58/PROGRAMMES_B.json</x:v>
      </x:c>
      <x:c r="K3296" t="str">
        <x:v>Source min 30,36 m ; max 30,36 m ; modèle 30 × 36 m ; niveaux 0. Détails dans catalogue-existant.json.</x:v>
      </x:c>
    </x:row>
    <x:row r="3297">
      <x:c r="A3297" t="str">
        <x:v>DW-3292</x:v>
      </x:c>
      <x:c r="B3297" t="str">
        <x:v>DW-3292</x:v>
      </x:c>
      <x:c r="C3297" t="str">
        <x:v>Parent indépendant 1.58</x:v>
      </x:c>
      <x:c r="D3297" t="str">
        <x:v>Services et petits ateliers</x:v>
      </x:c>
      <x:c r="E3297" t="str">
        <x:v>Bureau de logiciels domestiques embarqués</x:v>
      </x:c>
      <x:c r="F3297" t="n">
        <x:v>9</x:v>
      </x:c>
      <x:c r="G3297" t="n">
        <x:v>6</x:v>
      </x:c>
      <x:c r="H3297" t="n">
        <x:v>6</x:v>
      </x:c>
      <x:c r="I3297" t="str">
        <x:v>À qualifier par lieu</x:v>
      </x:c>
      <x:c r="J3297" t="str">
        <x:v>https://github.com/darknigthmare/deadwall-last-enclosure/blob/e28f46223e73105ab2c5d83f3d50b99b58ef53e6/codex-3000/addendum-1.58/PROGRAMMES_B.json</x:v>
      </x:c>
      <x:c r="K3297" t="str">
        <x:v>Source min 34,39 m ; max 34,39 m ; modèle 34 × 39 m ; niveaux 0. Détails dans catalogue-existant.json.</x:v>
      </x:c>
    </x:row>
    <x:row r="3298">
      <x:c r="A3298" t="str">
        <x:v>DW-3293</x:v>
      </x:c>
      <x:c r="B3298" t="str">
        <x:v>DW-3293</x:v>
      </x:c>
      <x:c r="C3298" t="str">
        <x:v>Parent indépendant 1.58</x:v>
      </x:c>
      <x:c r="D3298" t="str">
        <x:v>Services et petits ateliers</x:v>
      </x:c>
      <x:c r="E3298" t="str">
        <x:v>Atelier d'essais d'interfaces mobiles</x:v>
      </x:c>
      <x:c r="F3298" t="n">
        <x:v>9</x:v>
      </x:c>
      <x:c r="G3298" t="n">
        <x:v>6</x:v>
      </x:c>
      <x:c r="H3298" t="n">
        <x:v>6</x:v>
      </x:c>
      <x:c r="I3298" t="str">
        <x:v>À qualifier par lieu</x:v>
      </x:c>
      <x:c r="J3298" t="str">
        <x:v>https://github.com/darknigthmare/deadwall-last-enclosure/blob/e28f46223e73105ab2c5d83f3d50b99b58ef53e6/codex-3000/addendum-1.58/PROGRAMMES_B.json</x:v>
      </x:c>
      <x:c r="K3298" t="str">
        <x:v>Source min 38,28 m ; max 38,28 m ; modèle 38 × 28 m ; niveaux 0, 1. Détails dans catalogue-existant.json.</x:v>
      </x:c>
    </x:row>
    <x:row r="3299">
      <x:c r="A3299" t="str">
        <x:v>DW-3294</x:v>
      </x:c>
      <x:c r="B3299" t="str">
        <x:v>DW-3294</x:v>
      </x:c>
      <x:c r="C3299" t="str">
        <x:v>Parent indépendant 1.58</x:v>
      </x:c>
      <x:c r="D3299" t="str">
        <x:v>Services et petits ateliers</x:v>
      </x:c>
      <x:c r="E3299" t="str">
        <x:v>Studio de tableaux de bord hors ligne</x:v>
      </x:c>
      <x:c r="F3299" t="n">
        <x:v>9</x:v>
      </x:c>
      <x:c r="G3299" t="n">
        <x:v>6</x:v>
      </x:c>
      <x:c r="H3299" t="n">
        <x:v>6</x:v>
      </x:c>
      <x:c r="I3299" t="str">
        <x:v>À qualifier par lieu</x:v>
      </x:c>
      <x:c r="J3299" t="str">
        <x:v>https://github.com/darknigthmare/deadwall-last-enclosure/blob/e28f46223e73105ab2c5d83f3d50b99b58ef53e6/codex-3000/addendum-1.58/PROGRAMMES_B.json</x:v>
      </x:c>
      <x:c r="K3299" t="str">
        <x:v>Source min 42,45 m ; max 42,45 m ; modèle 42 × 45 m ; niveaux 0. Détails dans catalogue-existant.json.</x:v>
      </x:c>
    </x:row>
    <x:row r="3300">
      <x:c r="A3300" t="str">
        <x:v>DW-3295</x:v>
      </x:c>
      <x:c r="B3300" t="str">
        <x:v>DW-3295</x:v>
      </x:c>
      <x:c r="C3300" t="str">
        <x:v>Parent indépendant 1.58</x:v>
      </x:c>
      <x:c r="D3300" t="str">
        <x:v>Services et petits ateliers</x:v>
      </x:c>
      <x:c r="E3300" t="str">
        <x:v>Atelier de logiciels cartographiques</x:v>
      </x:c>
      <x:c r="F3300" t="n">
        <x:v>9</x:v>
      </x:c>
      <x:c r="G3300" t="n">
        <x:v>6</x:v>
      </x:c>
      <x:c r="H3300" t="n">
        <x:v>6</x:v>
      </x:c>
      <x:c r="I3300" t="str">
        <x:v>À qualifier par lieu</x:v>
      </x:c>
      <x:c r="J3300" t="str">
        <x:v>https://github.com/darknigthmare/deadwall-last-enclosure/blob/e28f46223e73105ab2c5d83f3d50b99b58ef53e6/codex-3000/addendum-1.58/PROGRAMMES_B.json</x:v>
      </x:c>
      <x:c r="K3300" t="str">
        <x:v>Source min 30,36 m ; max 30,36 m ; modèle 30 × 36 m ; niveaux 0. Détails dans catalogue-existant.json.</x:v>
      </x:c>
    </x:row>
    <x:row r="3301">
      <x:c r="A3301" t="str">
        <x:v>DW-3296</x:v>
      </x:c>
      <x:c r="B3301" t="str">
        <x:v>DW-3296</x:v>
      </x:c>
      <x:c r="C3301" t="str">
        <x:v>Parent indépendant 1.58</x:v>
      </x:c>
      <x:c r="D3301" t="str">
        <x:v>Services et petits ateliers</x:v>
      </x:c>
      <x:c r="E3301" t="str">
        <x:v>Centre de récupération de données personnelles</x:v>
      </x:c>
      <x:c r="F3301" t="n">
        <x:v>9</x:v>
      </x:c>
      <x:c r="G3301" t="n">
        <x:v>6</x:v>
      </x:c>
      <x:c r="H3301" t="n">
        <x:v>6</x:v>
      </x:c>
      <x:c r="I3301" t="str">
        <x:v>À qualifier par lieu</x:v>
      </x:c>
      <x:c r="J3301" t="str">
        <x:v>https://github.com/darknigthmare/deadwall-last-enclosure/blob/e28f46223e73105ab2c5d83f3d50b99b58ef53e6/codex-3000/addendum-1.58/PROGRAMMES_B.json</x:v>
      </x:c>
      <x:c r="K3301" t="str">
        <x:v>Source min 34,28 m ; max 34,28 m ; modèle 34 × 28 m ; niveaux 0, 1. Détails dans catalogue-existant.json.</x:v>
      </x:c>
    </x:row>
    <x:row r="3302">
      <x:c r="A3302" t="str">
        <x:v>DW-3297</x:v>
      </x:c>
      <x:c r="B3302" t="str">
        <x:v>DW-3297</x:v>
      </x:c>
      <x:c r="C3302" t="str">
        <x:v>Parent indépendant 1.58</x:v>
      </x:c>
      <x:c r="D3302" t="str">
        <x:v>Services et petits ateliers</x:v>
      </x:c>
      <x:c r="E3302" t="str">
        <x:v>Bureau d'archives familiales</x:v>
      </x:c>
      <x:c r="F3302" t="n">
        <x:v>9</x:v>
      </x:c>
      <x:c r="G3302" t="n">
        <x:v>6</x:v>
      </x:c>
      <x:c r="H3302" t="n">
        <x:v>6</x:v>
      </x:c>
      <x:c r="I3302" t="str">
        <x:v>À qualifier par lieu</x:v>
      </x:c>
      <x:c r="J3302" t="str">
        <x:v>https://github.com/darknigthmare/deadwall-last-enclosure/blob/e28f46223e73105ab2c5d83f3d50b99b58ef53e6/codex-3000/addendum-1.58/PROGRAMMES_B.json</x:v>
      </x:c>
      <x:c r="K3302" t="str">
        <x:v>Source min 38,42 m ; max 38,42 m ; modèle 38 × 42 m ; niveaux 0. Détails dans catalogue-existant.json.</x:v>
      </x:c>
    </x:row>
    <x:row r="3303">
      <x:c r="A3303" t="str">
        <x:v>DW-3298</x:v>
      </x:c>
      <x:c r="B3303" t="str">
        <x:v>DW-3298</x:v>
      </x:c>
      <x:c r="C3303" t="str">
        <x:v>Parent indépendant 1.58</x:v>
      </x:c>
      <x:c r="D3303" t="str">
        <x:v>Services et petits ateliers</x:v>
      </x:c>
      <x:c r="E3303" t="str">
        <x:v>Service de numérisation de plans anciens</x:v>
      </x:c>
      <x:c r="F3303" t="n">
        <x:v>9</x:v>
      </x:c>
      <x:c r="G3303" t="n">
        <x:v>6</x:v>
      </x:c>
      <x:c r="H3303" t="n">
        <x:v>6</x:v>
      </x:c>
      <x:c r="I3303" t="str">
        <x:v>À qualifier par lieu</x:v>
      </x:c>
      <x:c r="J3303" t="str">
        <x:v>https://github.com/darknigthmare/deadwall-last-enclosure/blob/e28f46223e73105ab2c5d83f3d50b99b58ef53e6/codex-3000/addendum-1.58/PROGRAMMES_B.json</x:v>
      </x:c>
      <x:c r="K3303" t="str">
        <x:v>Source min 42,45 m ; max 42,45 m ; modèle 42 × 45 m ; niveaux 0. Détails dans catalogue-existant.json.</x:v>
      </x:c>
    </x:row>
    <x:row r="3304">
      <x:c r="A3304" t="str">
        <x:v>DW-3299</x:v>
      </x:c>
      <x:c r="B3304" t="str">
        <x:v>DW-3299</x:v>
      </x:c>
      <x:c r="C3304" t="str">
        <x:v>Parent indépendant 1.58</x:v>
      </x:c>
      <x:c r="D3304" t="str">
        <x:v>Services et petits ateliers</x:v>
      </x:c>
      <x:c r="E3304" t="str">
        <x:v>Atelier d'assistance informatique aux seniors</x:v>
      </x:c>
      <x:c r="F3304" t="n">
        <x:v>9</x:v>
      </x:c>
      <x:c r="G3304" t="n">
        <x:v>6</x:v>
      </x:c>
      <x:c r="H3304" t="n">
        <x:v>6</x:v>
      </x:c>
      <x:c r="I3304" t="str">
        <x:v>À qualifier par lieu</x:v>
      </x:c>
      <x:c r="J3304" t="str">
        <x:v>https://github.com/darknigthmare/deadwall-last-enclosure/blob/e28f46223e73105ab2c5d83f3d50b99b58ef53e6/codex-3000/addendum-1.58/PROGRAMMES_B.json</x:v>
      </x:c>
      <x:c r="K3304" t="str">
        <x:v>Source min 30,28 m ; max 30,28 m ; modèle 30 × 28 m ; niveaux 0, 1. Détails dans catalogue-existant.json.</x:v>
      </x:c>
    </x:row>
    <x:row r="3305">
      <x:c r="A3305" t="str">
        <x:v>DW-3300</x:v>
      </x:c>
      <x:c r="B3305" t="str">
        <x:v>DW-3300</x:v>
      </x:c>
      <x:c r="C3305" t="str">
        <x:v>Parent indépendant 1.58</x:v>
      </x:c>
      <x:c r="D3305" t="str">
        <x:v>Services et petits ateliers</x:v>
      </x:c>
      <x:c r="E3305" t="str">
        <x:v>Centre de tri de cartouches d'impression</x:v>
      </x:c>
      <x:c r="F3305" t="n">
        <x:v>9</x:v>
      </x:c>
      <x:c r="G3305" t="n">
        <x:v>6</x:v>
      </x:c>
      <x:c r="H3305" t="n">
        <x:v>6</x:v>
      </x:c>
      <x:c r="I3305" t="str">
        <x:v>À qualifier par lieu</x:v>
      </x:c>
      <x:c r="J3305" t="str">
        <x:v>https://github.com/darknigthmare/deadwall-last-enclosure/blob/e28f46223e73105ab2c5d83f3d50b99b58ef53e6/codex-3000/addendum-1.58/PROGRAMMES_B.json</x:v>
      </x:c>
      <x:c r="K3305" t="str">
        <x:v>Source min 34,39 m ; max 34,39 m ; modèle 34 × 39 m ; niveaux 0. Détails dans catalogue-existant.json.</x:v>
      </x:c>
    </x:row>
    <x:row r="3306">
      <x:c r="A3306" t="str">
        <x:v>DW-3301</x:v>
      </x:c>
      <x:c r="B3306" t="str">
        <x:v>DW-3301</x:v>
      </x:c>
      <x:c r="C3306" t="str">
        <x:v>Parent indépendant 1.58</x:v>
      </x:c>
      <x:c r="D3306" t="str">
        <x:v>Services et petits ateliers</x:v>
      </x:c>
      <x:c r="E3306" t="str">
        <x:v>Atelier de maintenance d'imprimantes domestiques</x:v>
      </x:c>
      <x:c r="F3306" t="n">
        <x:v>9</x:v>
      </x:c>
      <x:c r="G3306" t="n">
        <x:v>6</x:v>
      </x:c>
      <x:c r="H3306" t="n">
        <x:v>6</x:v>
      </x:c>
      <x:c r="I3306" t="str">
        <x:v>À qualifier par lieu</x:v>
      </x:c>
      <x:c r="J3306" t="str">
        <x:v>https://github.com/darknigthmare/deadwall-last-enclosure/blob/e28f46223e73105ab2c5d83f3d50b99b58ef53e6/codex-3000/addendum-1.58/PROGRAMMES_B.json</x:v>
      </x:c>
      <x:c r="K3306" t="str">
        <x:v>Source min 38,42 m ; max 38,42 m ; modèle 38 × 42 m ; niveaux 0. Détails dans catalogue-existant.json.</x:v>
      </x:c>
    </x:row>
    <x:row r="3307">
      <x:c r="A3307" t="str">
        <x:v>DW-3302</x:v>
      </x:c>
      <x:c r="B3307" t="str">
        <x:v>DW-3302</x:v>
      </x:c>
      <x:c r="C3307" t="str">
        <x:v>Parent indépendant 1.58</x:v>
      </x:c>
      <x:c r="D3307" t="str">
        <x:v>Services et petits ateliers</x:v>
      </x:c>
      <x:c r="E3307" t="str">
        <x:v>Bureau d'organisation d'inventaires</x:v>
      </x:c>
      <x:c r="F3307" t="n">
        <x:v>9</x:v>
      </x:c>
      <x:c r="G3307" t="n">
        <x:v>6</x:v>
      </x:c>
      <x:c r="H3307" t="n">
        <x:v>6</x:v>
      </x:c>
      <x:c r="I3307" t="str">
        <x:v>À qualifier par lieu</x:v>
      </x:c>
      <x:c r="J3307" t="str">
        <x:v>https://github.com/darknigthmare/deadwall-last-enclosure/blob/e28f46223e73105ab2c5d83f3d50b99b58ef53e6/codex-3000/addendum-1.58/PROGRAMMES_B.json</x:v>
      </x:c>
      <x:c r="K3307" t="str">
        <x:v>Source min 42,28 m ; max 42,28 m ; modèle 42 × 28 m ; niveaux 0, 1. Détails dans catalogue-existant.json.</x:v>
      </x:c>
    </x:row>
    <x:row r="3308">
      <x:c r="A3308" t="str">
        <x:v>DW-3303</x:v>
      </x:c>
      <x:c r="B3308" t="str">
        <x:v>DW-3303</x:v>
      </x:c>
      <x:c r="C3308" t="str">
        <x:v>Parent indépendant 1.58</x:v>
      </x:c>
      <x:c r="D3308" t="str">
        <x:v>Services et petits ateliers</x:v>
      </x:c>
      <x:c r="E3308" t="str">
        <x:v>Cabinet de médiation numérique</x:v>
      </x:c>
      <x:c r="F3308" t="n">
        <x:v>9</x:v>
      </x:c>
      <x:c r="G3308" t="n">
        <x:v>6</x:v>
      </x:c>
      <x:c r="H3308" t="n">
        <x:v>6</x:v>
      </x:c>
      <x:c r="I3308" t="str">
        <x:v>À qualifier par lieu</x:v>
      </x:c>
      <x:c r="J3308" t="str">
        <x:v>https://github.com/darknigthmare/deadwall-last-enclosure/blob/e28f46223e73105ab2c5d83f3d50b99b58ef53e6/codex-3000/addendum-1.58/PROGRAMMES_B.json</x:v>
      </x:c>
      <x:c r="K3308" t="str">
        <x:v>Source min 30,36 m ; max 30,36 m ; modèle 30 × 36 m ; niveaux 0. Détails dans catalogue-existant.json.</x:v>
      </x:c>
    </x:row>
    <x:row r="3309">
      <x:c r="A3309" t="str">
        <x:v>DW-3304</x:v>
      </x:c>
      <x:c r="B3309" t="str">
        <x:v>DW-3304</x:v>
      </x:c>
      <x:c r="C3309" t="str">
        <x:v>Parent indépendant 1.58</x:v>
      </x:c>
      <x:c r="D3309" t="str">
        <x:v>Services et petits ateliers</x:v>
      </x:c>
      <x:c r="E3309" t="str">
        <x:v>Service de transcription et sous-titrage</x:v>
      </x:c>
      <x:c r="F3309" t="n">
        <x:v>9</x:v>
      </x:c>
      <x:c r="G3309" t="n">
        <x:v>6</x:v>
      </x:c>
      <x:c r="H3309" t="n">
        <x:v>6</x:v>
      </x:c>
      <x:c r="I3309" t="str">
        <x:v>À qualifier par lieu</x:v>
      </x:c>
      <x:c r="J3309" t="str">
        <x:v>https://github.com/darknigthmare/deadwall-last-enclosure/blob/e28f46223e73105ab2c5d83f3d50b99b58ef53e6/codex-3000/addendum-1.58/PROGRAMMES_B.json</x:v>
      </x:c>
      <x:c r="K3309" t="str">
        <x:v>Source min 34,39 m ; max 34,39 m ; modèle 34 × 39 m ; niveaux 0. Détails dans catalogue-existant.json.</x:v>
      </x:c>
    </x:row>
    <x:row r="3310">
      <x:c r="A3310" t="str">
        <x:v>DW-3305</x:v>
      </x:c>
      <x:c r="B3310" t="str">
        <x:v>DW-3305</x:v>
      </x:c>
      <x:c r="C3310" t="str">
        <x:v>Parent indépendant 1.58</x:v>
      </x:c>
      <x:c r="D3310" t="str">
        <x:v>Services et petits ateliers</x:v>
      </x:c>
      <x:c r="E3310" t="str">
        <x:v>Atelier de livres tactiles</x:v>
      </x:c>
      <x:c r="F3310" t="n">
        <x:v>9</x:v>
      </x:c>
      <x:c r="G3310" t="n">
        <x:v>6</x:v>
      </x:c>
      <x:c r="H3310" t="n">
        <x:v>6</x:v>
      </x:c>
      <x:c r="I3310" t="str">
        <x:v>À qualifier par lieu</x:v>
      </x:c>
      <x:c r="J3310" t="str">
        <x:v>https://github.com/darknigthmare/deadwall-last-enclosure/blob/e28f46223e73105ab2c5d83f3d50b99b58ef53e6/codex-3000/addendum-1.58/PROGRAMMES_B.json</x:v>
      </x:c>
      <x:c r="K3310" t="str">
        <x:v>Source min 38,28 m ; max 38,28 m ; modèle 38 × 28 m ; niveaux 0, 1. Détails dans catalogue-existant.json.</x:v>
      </x:c>
    </x:row>
    <x:row r="3311">
      <x:c r="A3311" t="str">
        <x:v>DW-3306</x:v>
      </x:c>
      <x:c r="B3311" t="str">
        <x:v>DW-3306</x:v>
      </x:c>
      <x:c r="C3311" t="str">
        <x:v>Parent indépendant 1.58</x:v>
      </x:c>
      <x:c r="D3311" t="str">
        <x:v>Services et petits ateliers</x:v>
      </x:c>
      <x:c r="E3311" t="str">
        <x:v>Studio de transcription braille</x:v>
      </x:c>
      <x:c r="F3311" t="n">
        <x:v>9</x:v>
      </x:c>
      <x:c r="G3311" t="n">
        <x:v>6</x:v>
      </x:c>
      <x:c r="H3311" t="n">
        <x:v>6</x:v>
      </x:c>
      <x:c r="I3311" t="str">
        <x:v>À qualifier par lieu</x:v>
      </x:c>
      <x:c r="J3311" t="str">
        <x:v>https://github.com/darknigthmare/deadwall-last-enclosure/blob/e28f46223e73105ab2c5d83f3d50b99b58ef53e6/codex-3000/addendum-1.58/PROGRAMMES_B.json</x:v>
      </x:c>
      <x:c r="K3311" t="str">
        <x:v>Source min 42,45 m ; max 42,45 m ; modèle 42 × 45 m ; niveaux 0. Détails dans catalogue-existant.json.</x:v>
      </x:c>
    </x:row>
    <x:row r="3312">
      <x:c r="A3312" t="str">
        <x:v>DW-3307</x:v>
      </x:c>
      <x:c r="B3312" t="str">
        <x:v>DW-3307</x:v>
      </x:c>
      <x:c r="C3312" t="str">
        <x:v>Parent indépendant 1.58</x:v>
      </x:c>
      <x:c r="D3312" t="str">
        <x:v>Services et petits ateliers</x:v>
      </x:c>
      <x:c r="E3312" t="str">
        <x:v>Bureau d'interprétation de proximité</x:v>
      </x:c>
      <x:c r="F3312" t="n">
        <x:v>9</x:v>
      </x:c>
      <x:c r="G3312" t="n">
        <x:v>6</x:v>
      </x:c>
      <x:c r="H3312" t="n">
        <x:v>6</x:v>
      </x:c>
      <x:c r="I3312" t="str">
        <x:v>À qualifier par lieu</x:v>
      </x:c>
      <x:c r="J3312" t="str">
        <x:v>https://github.com/darknigthmare/deadwall-last-enclosure/blob/e28f46223e73105ab2c5d83f3d50b99b58ef53e6/codex-3000/addendum-1.58/PROGRAMMES_B.json</x:v>
      </x:c>
      <x:c r="K3312" t="str">
        <x:v>Source min 30,36 m ; max 30,36 m ; modèle 30 × 36 m ; niveaux 0. Détails dans catalogue-existant.json.</x:v>
      </x:c>
    </x:row>
    <x:row r="3313">
      <x:c r="A3313" t="str">
        <x:v>DW-3308</x:v>
      </x:c>
      <x:c r="B3313" t="str">
        <x:v>DW-3308</x:v>
      </x:c>
      <x:c r="C3313" t="str">
        <x:v>Parent indépendant 1.58</x:v>
      </x:c>
      <x:c r="D3313" t="str">
        <x:v>Services et petits ateliers</x:v>
      </x:c>
      <x:c r="E3313" t="str">
        <x:v>Centre de transcription de comptes rendus</x:v>
      </x:c>
      <x:c r="F3313" t="n">
        <x:v>9</x:v>
      </x:c>
      <x:c r="G3313" t="n">
        <x:v>6</x:v>
      </x:c>
      <x:c r="H3313" t="n">
        <x:v>6</x:v>
      </x:c>
      <x:c r="I3313" t="str">
        <x:v>À qualifier par lieu</x:v>
      </x:c>
      <x:c r="J3313" t="str">
        <x:v>https://github.com/darknigthmare/deadwall-last-enclosure/blob/e28f46223e73105ab2c5d83f3d50b99b58ef53e6/codex-3000/addendum-1.58/PROGRAMMES_B.json</x:v>
      </x:c>
      <x:c r="K3313" t="str">
        <x:v>Source min 34,28 m ; max 34,28 m ; modèle 34 × 28 m ; niveaux 0, 1. Détails dans catalogue-existant.json.</x:v>
      </x:c>
    </x:row>
    <x:row r="3314">
      <x:c r="A3314" t="str">
        <x:v>DW-3309</x:v>
      </x:c>
      <x:c r="B3314" t="str">
        <x:v>DW-3309</x:v>
      </x:c>
      <x:c r="C3314" t="str">
        <x:v>Parent indépendant 1.58</x:v>
      </x:c>
      <x:c r="D3314" t="str">
        <x:v>Services et petits ateliers</x:v>
      </x:c>
      <x:c r="E3314" t="str">
        <x:v>Atelier de restauration de jouets mécaniques</x:v>
      </x:c>
      <x:c r="F3314" t="n">
        <x:v>9</x:v>
      </x:c>
      <x:c r="G3314" t="n">
        <x:v>6</x:v>
      </x:c>
      <x:c r="H3314" t="n">
        <x:v>6</x:v>
      </x:c>
      <x:c r="I3314" t="str">
        <x:v>À qualifier par lieu</x:v>
      </x:c>
      <x:c r="J3314" t="str">
        <x:v>https://github.com/darknigthmare/deadwall-last-enclosure/blob/e28f46223e73105ab2c5d83f3d50b99b58ef53e6/codex-3000/addendum-1.58/PROGRAMMES_B.json</x:v>
      </x:c>
      <x:c r="K3314" t="str">
        <x:v>Source min 38,42 m ; max 38,42 m ; modèle 38 × 42 m ; niveaux 0. Détails dans catalogue-existant.json.</x:v>
      </x:c>
    </x:row>
    <x:row r="3315">
      <x:c r="A3315" t="str">
        <x:v>DW-3310</x:v>
      </x:c>
      <x:c r="B3315" t="str">
        <x:v>DW-3310</x:v>
      </x:c>
      <x:c r="C3315" t="str">
        <x:v>Parent indépendant 1.58</x:v>
      </x:c>
      <x:c r="D3315" t="str">
        <x:v>Services et petits ateliers</x:v>
      </x:c>
      <x:c r="E3315" t="str">
        <x:v>Service d'adaptation de poignées domestiques</x:v>
      </x:c>
      <x:c r="F3315" t="n">
        <x:v>9</x:v>
      </x:c>
      <x:c r="G3315" t="n">
        <x:v>6</x:v>
      </x:c>
      <x:c r="H3315" t="n">
        <x:v>6</x:v>
      </x:c>
      <x:c r="I3315" t="str">
        <x:v>À qualifier par lieu</x:v>
      </x:c>
      <x:c r="J3315" t="str">
        <x:v>https://github.com/darknigthmare/deadwall-last-enclosure/blob/e28f46223e73105ab2c5d83f3d50b99b58ef53e6/codex-3000/addendum-1.58/PROGRAMMES_B.json</x:v>
      </x:c>
      <x:c r="K3315" t="str">
        <x:v>Source min 42,45 m ; max 42,45 m ; modèle 42 × 45 m ; niveaux 0. Détails dans catalogue-existant.json.</x:v>
      </x:c>
    </x:row>
    <x:row r="3316">
      <x:c r="A3316" t="str">
        <x:v>DW-3311</x:v>
      </x:c>
      <x:c r="B3316" t="str">
        <x:v>DW-3311</x:v>
      </x:c>
      <x:c r="C3316" t="str">
        <x:v>Parent indépendant 1.58</x:v>
      </x:c>
      <x:c r="D3316" t="str">
        <x:v>Commerces non alimentaires</x:v>
      </x:c>
      <x:c r="E3316" t="str">
        <x:v>Comptoir de fournitures de couture</x:v>
      </x:c>
      <x:c r="F3316" t="n">
        <x:v>9</x:v>
      </x:c>
      <x:c r="G3316" t="n">
        <x:v>6</x:v>
      </x:c>
      <x:c r="H3316" t="n">
        <x:v>6</x:v>
      </x:c>
      <x:c r="I3316" t="str">
        <x:v>À qualifier par lieu</x:v>
      </x:c>
      <x:c r="J3316" t="str">
        <x:v>https://github.com/darknigthmare/deadwall-last-enclosure/blob/e28f46223e73105ab2c5d83f3d50b99b58ef53e6/codex-3000/addendum-1.58/PROGRAMMES_B.json</x:v>
      </x:c>
      <x:c r="K3316" t="str">
        <x:v>Source min 30,28 m ; max 30,28 m ; modèle 30 × 28 m ; niveaux 0, 1. Détails dans catalogue-existant.json.</x:v>
      </x:c>
    </x:row>
    <x:row r="3317">
      <x:c r="A3317" t="str">
        <x:v>DW-3312</x:v>
      </x:c>
      <x:c r="B3317" t="str">
        <x:v>DW-3312</x:v>
      </x:c>
      <x:c r="C3317" t="str">
        <x:v>Parent indépendant 1.58</x:v>
      </x:c>
      <x:c r="D3317" t="str">
        <x:v>Commerces non alimentaires</x:v>
      </x:c>
      <x:c r="E3317" t="str">
        <x:v>Boutique de laines et tricot</x:v>
      </x:c>
      <x:c r="F3317" t="n">
        <x:v>9</x:v>
      </x:c>
      <x:c r="G3317" t="n">
        <x:v>6</x:v>
      </x:c>
      <x:c r="H3317" t="n">
        <x:v>6</x:v>
      </x:c>
      <x:c r="I3317" t="str">
        <x:v>À qualifier par lieu</x:v>
      </x:c>
      <x:c r="J3317" t="str">
        <x:v>https://github.com/darknigthmare/deadwall-last-enclosure/blob/e28f46223e73105ab2c5d83f3d50b99b58ef53e6/codex-3000/addendum-1.58/PROGRAMMES_B.json</x:v>
      </x:c>
      <x:c r="K3317" t="str">
        <x:v>Source min 34,39 m ; max 34,39 m ; modèle 34 × 39 m ; niveaux 0. Détails dans catalogue-existant.json.</x:v>
      </x:c>
    </x:row>
    <x:row r="3318">
      <x:c r="A3318" t="str">
        <x:v>DW-3313</x:v>
      </x:c>
      <x:c r="B3318" t="str">
        <x:v>DW-3313</x:v>
      </x:c>
      <x:c r="C3318" t="str">
        <x:v>Parent indépendant 1.58</x:v>
      </x:c>
      <x:c r="D3318" t="str">
        <x:v>Commerces non alimentaires</x:v>
      </x:c>
      <x:c r="E3318" t="str">
        <x:v>Magasin de textiles d'ameublement</x:v>
      </x:c>
      <x:c r="F3318" t="n">
        <x:v>9</x:v>
      </x:c>
      <x:c r="G3318" t="n">
        <x:v>6</x:v>
      </x:c>
      <x:c r="H3318" t="n">
        <x:v>6</x:v>
      </x:c>
      <x:c r="I3318" t="str">
        <x:v>À qualifier par lieu</x:v>
      </x:c>
      <x:c r="J3318" t="str">
        <x:v>https://github.com/darknigthmare/deadwall-last-enclosure/blob/e28f46223e73105ab2c5d83f3d50b99b58ef53e6/codex-3000/addendum-1.58/PROGRAMMES_B.json</x:v>
      </x:c>
      <x:c r="K3318" t="str">
        <x:v>Source min 38,42 m ; max 38,42 m ; modèle 38 × 42 m ; niveaux 0. Détails dans catalogue-existant.json.</x:v>
      </x:c>
    </x:row>
    <x:row r="3319">
      <x:c r="A3319" t="str">
        <x:v>DW-3314</x:v>
      </x:c>
      <x:c r="B3319" t="str">
        <x:v>DW-3314</x:v>
      </x:c>
      <x:c r="C3319" t="str">
        <x:v>Parent indépendant 1.58</x:v>
      </x:c>
      <x:c r="D3319" t="str">
        <x:v>Commerces non alimentaires</x:v>
      </x:c>
      <x:c r="E3319" t="str">
        <x:v>Boutique de linge de maison</x:v>
      </x:c>
      <x:c r="F3319" t="n">
        <x:v>9</x:v>
      </x:c>
      <x:c r="G3319" t="n">
        <x:v>6</x:v>
      </x:c>
      <x:c r="H3319" t="n">
        <x:v>6</x:v>
      </x:c>
      <x:c r="I3319" t="str">
        <x:v>À qualifier par lieu</x:v>
      </x:c>
      <x:c r="J3319" t="str">
        <x:v>https://github.com/darknigthmare/deadwall-last-enclosure/blob/e28f46223e73105ab2c5d83f3d50b99b58ef53e6/codex-3000/addendum-1.58/PROGRAMMES_B.json</x:v>
      </x:c>
      <x:c r="K3319" t="str">
        <x:v>Source min 42,28 m ; max 42,28 m ; modèle 42 × 28 m ; niveaux 0, 1. Détails dans catalogue-existant.json.</x:v>
      </x:c>
    </x:row>
    <x:row r="3320">
      <x:c r="A3320" t="str">
        <x:v>DW-3315</x:v>
      </x:c>
      <x:c r="B3320" t="str">
        <x:v>DW-3315</x:v>
      </x:c>
      <x:c r="C3320" t="str">
        <x:v>Parent indépendant 1.58</x:v>
      </x:c>
      <x:c r="D3320" t="str">
        <x:v>Commerces non alimentaires</x:v>
      </x:c>
      <x:c r="E3320" t="str">
        <x:v>Comptoir de vêtements de travail</x:v>
      </x:c>
      <x:c r="F3320" t="n">
        <x:v>9</x:v>
      </x:c>
      <x:c r="G3320" t="n">
        <x:v>6</x:v>
      </x:c>
      <x:c r="H3320" t="n">
        <x:v>6</x:v>
      </x:c>
      <x:c r="I3320" t="str">
        <x:v>À qualifier par lieu</x:v>
      </x:c>
      <x:c r="J3320" t="str">
        <x:v>https://github.com/darknigthmare/deadwall-last-enclosure/blob/e28f46223e73105ab2c5d83f3d50b99b58ef53e6/codex-3000/addendum-1.58/PROGRAMMES_B.json</x:v>
      </x:c>
      <x:c r="K3320" t="str">
        <x:v>Source min 30,36 m ; max 30,36 m ; modèle 30 × 36 m ; niveaux 0. Détails dans catalogue-existant.json.</x:v>
      </x:c>
    </x:row>
    <x:row r="3321">
      <x:c r="A3321" t="str">
        <x:v>DW-3316</x:v>
      </x:c>
      <x:c r="B3321" t="str">
        <x:v>DW-3316</x:v>
      </x:c>
      <x:c r="C3321" t="str">
        <x:v>Parent indépendant 1.58</x:v>
      </x:c>
      <x:c r="D3321" t="str">
        <x:v>Commerces non alimentaires</x:v>
      </x:c>
      <x:c r="E3321" t="str">
        <x:v>Boutique de chaussures adaptées</x:v>
      </x:c>
      <x:c r="F3321" t="n">
        <x:v>9</x:v>
      </x:c>
      <x:c r="G3321" t="n">
        <x:v>6</x:v>
      </x:c>
      <x:c r="H3321" t="n">
        <x:v>6</x:v>
      </x:c>
      <x:c r="I3321" t="str">
        <x:v>À qualifier par lieu</x:v>
      </x:c>
      <x:c r="J3321" t="str">
        <x:v>https://github.com/darknigthmare/deadwall-last-enclosure/blob/e28f46223e73105ab2c5d83f3d50b99b58ef53e6/codex-3000/addendum-1.58/PROGRAMMES_B.json</x:v>
      </x:c>
      <x:c r="K3321" t="str">
        <x:v>Source min 34,39 m ; max 34,39 m ; modèle 34 × 39 m ; niveaux 0. Détails dans catalogue-existant.json.</x:v>
      </x:c>
    </x:row>
    <x:row r="3322">
      <x:c r="A3322" t="str">
        <x:v>DW-3317</x:v>
      </x:c>
      <x:c r="B3322" t="str">
        <x:v>DW-3317</x:v>
      </x:c>
      <x:c r="C3322" t="str">
        <x:v>Parent indépendant 1.58</x:v>
      </x:c>
      <x:c r="D3322" t="str">
        <x:v>Commerces non alimentaires</x:v>
      </x:c>
      <x:c r="E3322" t="str">
        <x:v>Magasin de tissus imperméables</x:v>
      </x:c>
      <x:c r="F3322" t="n">
        <x:v>9</x:v>
      </x:c>
      <x:c r="G3322" t="n">
        <x:v>6</x:v>
      </x:c>
      <x:c r="H3322" t="n">
        <x:v>6</x:v>
      </x:c>
      <x:c r="I3322" t="str">
        <x:v>À qualifier par lieu</x:v>
      </x:c>
      <x:c r="J3322" t="str">
        <x:v>https://github.com/darknigthmare/deadwall-last-enclosure/blob/e28f46223e73105ab2c5d83f3d50b99b58ef53e6/codex-3000/addendum-1.58/PROGRAMMES_B.json</x:v>
      </x:c>
      <x:c r="K3322" t="str">
        <x:v>Source min 38,28 m ; max 38,28 m ; modèle 38 × 28 m ; niveaux 0, 1. Détails dans catalogue-existant.json.</x:v>
      </x:c>
    </x:row>
    <x:row r="3323">
      <x:c r="A3323" t="str">
        <x:v>DW-3318</x:v>
      </x:c>
      <x:c r="B3323" t="str">
        <x:v>DW-3318</x:v>
      </x:c>
      <x:c r="C3323" t="str">
        <x:v>Parent indépendant 1.58</x:v>
      </x:c>
      <x:c r="D3323" t="str">
        <x:v>Commerces non alimentaires</x:v>
      </x:c>
      <x:c r="E3323" t="str">
        <x:v>Boutique de chapeaux et coiffes</x:v>
      </x:c>
      <x:c r="F3323" t="n">
        <x:v>9</x:v>
      </x:c>
      <x:c r="G3323" t="n">
        <x:v>6</x:v>
      </x:c>
      <x:c r="H3323" t="n">
        <x:v>6</x:v>
      </x:c>
      <x:c r="I3323" t="str">
        <x:v>À qualifier par lieu</x:v>
      </x:c>
      <x:c r="J3323" t="str">
        <x:v>https://github.com/darknigthmare/deadwall-last-enclosure/blob/e28f46223e73105ab2c5d83f3d50b99b58ef53e6/codex-3000/addendum-1.58/PROGRAMMES_B.json</x:v>
      </x:c>
      <x:c r="K3323" t="str">
        <x:v>Source min 42,45 m ; max 42,45 m ; modèle 42 × 45 m ; niveaux 0. Détails dans catalogue-existant.json.</x:v>
      </x:c>
    </x:row>
    <x:row r="3324">
      <x:c r="A3324" t="str">
        <x:v>DW-3319</x:v>
      </x:c>
      <x:c r="B3324" t="str">
        <x:v>DW-3319</x:v>
      </x:c>
      <x:c r="C3324" t="str">
        <x:v>Parent indépendant 1.58</x:v>
      </x:c>
      <x:c r="D3324" t="str">
        <x:v>Commerces non alimentaires</x:v>
      </x:c>
      <x:c r="E3324" t="str">
        <x:v>Comptoir de vêtements cérémoniels</x:v>
      </x:c>
      <x:c r="F3324" t="n">
        <x:v>9</x:v>
      </x:c>
      <x:c r="G3324" t="n">
        <x:v>6</x:v>
      </x:c>
      <x:c r="H3324" t="n">
        <x:v>6</x:v>
      </x:c>
      <x:c r="I3324" t="str">
        <x:v>À qualifier par lieu</x:v>
      </x:c>
      <x:c r="J3324" t="str">
        <x:v>https://github.com/darknigthmare/deadwall-last-enclosure/blob/e28f46223e73105ab2c5d83f3d50b99b58ef53e6/codex-3000/addendum-1.58/PROGRAMMES_B.json</x:v>
      </x:c>
      <x:c r="K3324" t="str">
        <x:v>Source min 30,36 m ; max 30,36 m ; modèle 30 × 36 m ; niveaux 0. Détails dans catalogue-existant.json.</x:v>
      </x:c>
    </x:row>
    <x:row r="3325">
      <x:c r="A3325" t="str">
        <x:v>DW-3320</x:v>
      </x:c>
      <x:c r="B3325" t="str">
        <x:v>DW-3320</x:v>
      </x:c>
      <x:c r="C3325" t="str">
        <x:v>Parent indépendant 1.58</x:v>
      </x:c>
      <x:c r="D3325" t="str">
        <x:v>Commerces non alimentaires</x:v>
      </x:c>
      <x:c r="E3325" t="str">
        <x:v>Magasin de fournitures de cordonnerie</x:v>
      </x:c>
      <x:c r="F3325" t="n">
        <x:v>9</x:v>
      </x:c>
      <x:c r="G3325" t="n">
        <x:v>6</x:v>
      </x:c>
      <x:c r="H3325" t="n">
        <x:v>6</x:v>
      </x:c>
      <x:c r="I3325" t="str">
        <x:v>À qualifier par lieu</x:v>
      </x:c>
      <x:c r="J3325" t="str">
        <x:v>https://github.com/darknigthmare/deadwall-last-enclosure/blob/e28f46223e73105ab2c5d83f3d50b99b58ef53e6/codex-3000/addendum-1.58/PROGRAMMES_B.json</x:v>
      </x:c>
      <x:c r="K3325" t="str">
        <x:v>Source min 34,28 m ; max 34,28 m ; modèle 34 × 28 m ; niveaux 0, 1. Détails dans catalogue-existant.json.</x:v>
      </x:c>
    </x:row>
    <x:row r="3326">
      <x:c r="A3326" t="str">
        <x:v>DW-3321</x:v>
      </x:c>
      <x:c r="B3326" t="str">
        <x:v>DW-3321</x:v>
      </x:c>
      <x:c r="C3326" t="str">
        <x:v>Parent indépendant 1.58</x:v>
      </x:c>
      <x:c r="D3326" t="str">
        <x:v>Commerces non alimentaires</x:v>
      </x:c>
      <x:c r="E3326" t="str">
        <x:v>Boutique d'éclairage domestique</x:v>
      </x:c>
      <x:c r="F3326" t="n">
        <x:v>9</x:v>
      </x:c>
      <x:c r="G3326" t="n">
        <x:v>6</x:v>
      </x:c>
      <x:c r="H3326" t="n">
        <x:v>6</x:v>
      </x:c>
      <x:c r="I3326" t="str">
        <x:v>À qualifier par lieu</x:v>
      </x:c>
      <x:c r="J3326" t="str">
        <x:v>https://github.com/darknigthmare/deadwall-last-enclosure/blob/e28f46223e73105ab2c5d83f3d50b99b58ef53e6/codex-3000/addendum-1.58/PROGRAMMES_B.json</x:v>
      </x:c>
      <x:c r="K3326" t="str">
        <x:v>Source min 38,42 m ; max 38,42 m ; modèle 38 × 42 m ; niveaux 0. Détails dans catalogue-existant.json.</x:v>
      </x:c>
    </x:row>
    <x:row r="3327">
      <x:c r="A3327" t="str">
        <x:v>DW-3322</x:v>
      </x:c>
      <x:c r="B3327" t="str">
        <x:v>DW-3322</x:v>
      </x:c>
      <x:c r="C3327" t="str">
        <x:v>Parent indépendant 1.58</x:v>
      </x:c>
      <x:c r="D3327" t="str">
        <x:v>Commerces non alimentaires</x:v>
      </x:c>
      <x:c r="E3327" t="str">
        <x:v>Comptoir de poignées et ferrures</x:v>
      </x:c>
      <x:c r="F3327" t="n">
        <x:v>9</x:v>
      </x:c>
      <x:c r="G3327" t="n">
        <x:v>6</x:v>
      </x:c>
      <x:c r="H3327" t="n">
        <x:v>6</x:v>
      </x:c>
      <x:c r="I3327" t="str">
        <x:v>À qualifier par lieu</x:v>
      </x:c>
      <x:c r="J3327" t="str">
        <x:v>https://github.com/darknigthmare/deadwall-last-enclosure/blob/e28f46223e73105ab2c5d83f3d50b99b58ef53e6/codex-3000/addendum-1.58/PROGRAMMES_B.json</x:v>
      </x:c>
      <x:c r="K3327" t="str">
        <x:v>Source min 42,45 m ; max 42,45 m ; modèle 42 × 45 m ; niveaux 0. Détails dans catalogue-existant.json.</x:v>
      </x:c>
    </x:row>
    <x:row r="3328">
      <x:c r="A3328" t="str">
        <x:v>DW-3323</x:v>
      </x:c>
      <x:c r="B3328" t="str">
        <x:v>DW-3323</x:v>
      </x:c>
      <x:c r="C3328" t="str">
        <x:v>Parent indépendant 1.58</x:v>
      </x:c>
      <x:c r="D3328" t="str">
        <x:v>Commerces non alimentaires</x:v>
      </x:c>
      <x:c r="E3328" t="str">
        <x:v>Magasin de stores et voilages</x:v>
      </x:c>
      <x:c r="F3328" t="n">
        <x:v>9</x:v>
      </x:c>
      <x:c r="G3328" t="n">
        <x:v>6</x:v>
      </x:c>
      <x:c r="H3328" t="n">
        <x:v>6</x:v>
      </x:c>
      <x:c r="I3328" t="str">
        <x:v>À qualifier par lieu</x:v>
      </x:c>
      <x:c r="J3328" t="str">
        <x:v>https://github.com/darknigthmare/deadwall-last-enclosure/blob/e28f46223e73105ab2c5d83f3d50b99b58ef53e6/codex-3000/addendum-1.58/PROGRAMMES_B.json</x:v>
      </x:c>
      <x:c r="K3328" t="str">
        <x:v>Source min 30,28 m ; max 30,28 m ; modèle 30 × 28 m ; niveaux 0, 1. Détails dans catalogue-existant.json.</x:v>
      </x:c>
    </x:row>
    <x:row r="3329">
      <x:c r="A3329" t="str">
        <x:v>DW-3324</x:v>
      </x:c>
      <x:c r="B3329" t="str">
        <x:v>DW-3324</x:v>
      </x:c>
      <x:c r="C3329" t="str">
        <x:v>Parent indépendant 1.58</x:v>
      </x:c>
      <x:c r="D3329" t="str">
        <x:v>Commerces non alimentaires</x:v>
      </x:c>
      <x:c r="E3329" t="str">
        <x:v>Showroom de cuisines démontables</x:v>
      </x:c>
      <x:c r="F3329" t="n">
        <x:v>9</x:v>
      </x:c>
      <x:c r="G3329" t="n">
        <x:v>6</x:v>
      </x:c>
      <x:c r="H3329" t="n">
        <x:v>6</x:v>
      </x:c>
      <x:c r="I3329" t="str">
        <x:v>À qualifier par lieu</x:v>
      </x:c>
      <x:c r="J3329" t="str">
        <x:v>https://github.com/darknigthmare/deadwall-last-enclosure/blob/e28f46223e73105ab2c5d83f3d50b99b58ef53e6/codex-3000/addendum-1.58/PROGRAMMES_B.json</x:v>
      </x:c>
      <x:c r="K3329" t="str">
        <x:v>Source min 34,39 m ; max 34,39 m ; modèle 34 × 39 m ; niveaux 0. Détails dans catalogue-existant.json.</x:v>
      </x:c>
    </x:row>
    <x:row r="3330">
      <x:c r="A3330" t="str">
        <x:v>DW-3325</x:v>
      </x:c>
      <x:c r="B3330" t="str">
        <x:v>DW-3325</x:v>
      </x:c>
      <x:c r="C3330" t="str">
        <x:v>Parent indépendant 1.58</x:v>
      </x:c>
      <x:c r="D3330" t="str">
        <x:v>Commerces non alimentaires</x:v>
      </x:c>
      <x:c r="E3330" t="str">
        <x:v>Magasin de revêtements de sol souples</x:v>
      </x:c>
      <x:c r="F3330" t="n">
        <x:v>9</x:v>
      </x:c>
      <x:c r="G3330" t="n">
        <x:v>6</x:v>
      </x:c>
      <x:c r="H3330" t="n">
        <x:v>6</x:v>
      </x:c>
      <x:c r="I3330" t="str">
        <x:v>À qualifier par lieu</x:v>
      </x:c>
      <x:c r="J3330" t="str">
        <x:v>https://github.com/darknigthmare/deadwall-last-enclosure/blob/e28f46223e73105ab2c5d83f3d50b99b58ef53e6/codex-3000/addendum-1.58/PROGRAMMES_B.json</x:v>
      </x:c>
      <x:c r="K3330" t="str">
        <x:v>Source min 38,42 m ; max 38,42 m ; modèle 38 × 42 m ; niveaux 0. Détails dans catalogue-existant.json.</x:v>
      </x:c>
    </x:row>
    <x:row r="3331">
      <x:c r="A3331" t="str">
        <x:v>DW-3326</x:v>
      </x:c>
      <x:c r="B3331" t="str">
        <x:v>DW-3326</x:v>
      </x:c>
      <x:c r="C3331" t="str">
        <x:v>Parent indépendant 1.58</x:v>
      </x:c>
      <x:c r="D3331" t="str">
        <x:v>Commerces non alimentaires</x:v>
      </x:c>
      <x:c r="E3331" t="str">
        <x:v>Comptoir de panneaux acoustiques</x:v>
      </x:c>
      <x:c r="F3331" t="n">
        <x:v>9</x:v>
      </x:c>
      <x:c r="G3331" t="n">
        <x:v>6</x:v>
      </x:c>
      <x:c r="H3331" t="n">
        <x:v>6</x:v>
      </x:c>
      <x:c r="I3331" t="str">
        <x:v>À qualifier par lieu</x:v>
      </x:c>
      <x:c r="J3331" t="str">
        <x:v>https://github.com/darknigthmare/deadwall-last-enclosure/blob/e28f46223e73105ab2c5d83f3d50b99b58ef53e6/codex-3000/addendum-1.58/PROGRAMMES_B.json</x:v>
      </x:c>
      <x:c r="K3331" t="str">
        <x:v>Source min 42,28 m ; max 42,28 m ; modèle 42 × 28 m ; niveaux 0, 1. Détails dans catalogue-existant.json.</x:v>
      </x:c>
    </x:row>
    <x:row r="3332">
      <x:c r="A3332" t="str">
        <x:v>DW-3327</x:v>
      </x:c>
      <x:c r="B3332" t="str">
        <x:v>DW-3327</x:v>
      </x:c>
      <x:c r="C3332" t="str">
        <x:v>Parent indépendant 1.58</x:v>
      </x:c>
      <x:c r="D3332" t="str">
        <x:v>Commerces non alimentaires</x:v>
      </x:c>
      <x:c r="E3332" t="str">
        <x:v>Magasin de papier peint</x:v>
      </x:c>
      <x:c r="F3332" t="n">
        <x:v>9</x:v>
      </x:c>
      <x:c r="G3332" t="n">
        <x:v>6</x:v>
      </x:c>
      <x:c r="H3332" t="n">
        <x:v>6</x:v>
      </x:c>
      <x:c r="I3332" t="str">
        <x:v>À qualifier par lieu</x:v>
      </x:c>
      <x:c r="J3332" t="str">
        <x:v>https://github.com/darknigthmare/deadwall-last-enclosure/blob/e28f46223e73105ab2c5d83f3d50b99b58ef53e6/codex-3000/addendum-1.58/PROGRAMMES_B.json</x:v>
      </x:c>
      <x:c r="K3332" t="str">
        <x:v>Source min 30,36 m ; max 30,36 m ; modèle 30 × 36 m ; niveaux 0. Détails dans catalogue-existant.json.</x:v>
      </x:c>
    </x:row>
    <x:row r="3333">
      <x:c r="A3333" t="str">
        <x:v>DW-3328</x:v>
      </x:c>
      <x:c r="B3333" t="str">
        <x:v>DW-3328</x:v>
      </x:c>
      <x:c r="C3333" t="str">
        <x:v>Parent indépendant 1.58</x:v>
      </x:c>
      <x:c r="D3333" t="str">
        <x:v>Commerces non alimentaires</x:v>
      </x:c>
      <x:c r="E3333" t="str">
        <x:v>Boutique de miroirs et vitrages décoratifs</x:v>
      </x:c>
      <x:c r="F3333" t="n">
        <x:v>9</x:v>
      </x:c>
      <x:c r="G3333" t="n">
        <x:v>6</x:v>
      </x:c>
      <x:c r="H3333" t="n">
        <x:v>6</x:v>
      </x:c>
      <x:c r="I3333" t="str">
        <x:v>À qualifier par lieu</x:v>
      </x:c>
      <x:c r="J3333" t="str">
        <x:v>https://github.com/darknigthmare/deadwall-last-enclosure/blob/e28f46223e73105ab2c5d83f3d50b99b58ef53e6/codex-3000/addendum-1.58/PROGRAMMES_B.json</x:v>
      </x:c>
      <x:c r="K3333" t="str">
        <x:v>Source min 34,39 m ; max 34,39 m ; modèle 34 × 39 m ; niveaux 0. Détails dans catalogue-existant.json.</x:v>
      </x:c>
    </x:row>
    <x:row r="3334">
      <x:c r="A3334" t="str">
        <x:v>DW-3329</x:v>
      </x:c>
      <x:c r="B3334" t="str">
        <x:v>DW-3329</x:v>
      </x:c>
      <x:c r="C3334" t="str">
        <x:v>Parent indépendant 1.58</x:v>
      </x:c>
      <x:c r="D3334" t="str">
        <x:v>Commerces non alimentaires</x:v>
      </x:c>
      <x:c r="E3334" t="str">
        <x:v>Comptoir de filtres domestiques</x:v>
      </x:c>
      <x:c r="F3334" t="n">
        <x:v>9</x:v>
      </x:c>
      <x:c r="G3334" t="n">
        <x:v>6</x:v>
      </x:c>
      <x:c r="H3334" t="n">
        <x:v>6</x:v>
      </x:c>
      <x:c r="I3334" t="str">
        <x:v>À qualifier par lieu</x:v>
      </x:c>
      <x:c r="J3334" t="str">
        <x:v>https://github.com/darknigthmare/deadwall-last-enclosure/blob/e28f46223e73105ab2c5d83f3d50b99b58ef53e6/codex-3000/addendum-1.58/PROGRAMMES_B.json</x:v>
      </x:c>
      <x:c r="K3334" t="str">
        <x:v>Source min 38,28 m ; max 38,28 m ; modèle 38 × 28 m ; niveaux 0, 1. Détails dans catalogue-existant.json.</x:v>
      </x:c>
    </x:row>
    <x:row r="3335">
      <x:c r="A3335" t="str">
        <x:v>DW-3330</x:v>
      </x:c>
      <x:c r="B3335" t="str">
        <x:v>DW-3330</x:v>
      </x:c>
      <x:c r="C3335" t="str">
        <x:v>Parent indépendant 1.58</x:v>
      </x:c>
      <x:c r="D3335" t="str">
        <x:v>Commerces non alimentaires</x:v>
      </x:c>
      <x:c r="E3335" t="str">
        <x:v>Showroom de rangements modulaires</x:v>
      </x:c>
      <x:c r="F3335" t="n">
        <x:v>9</x:v>
      </x:c>
      <x:c r="G3335" t="n">
        <x:v>6</x:v>
      </x:c>
      <x:c r="H3335" t="n">
        <x:v>6</x:v>
      </x:c>
      <x:c r="I3335" t="str">
        <x:v>À qualifier par lieu</x:v>
      </x:c>
      <x:c r="J3335" t="str">
        <x:v>https://github.com/darknigthmare/deadwall-last-enclosure/blob/e28f46223e73105ab2c5d83f3d50b99b58ef53e6/codex-3000/addendum-1.58/PROGRAMMES_B.json</x:v>
      </x:c>
      <x:c r="K3335" t="str">
        <x:v>Source min 42,45 m ; max 42,45 m ; modèle 42 × 45 m ; niveaux 0. Détails dans catalogue-existant.json.</x:v>
      </x:c>
    </x:row>
    <x:row r="3336">
      <x:c r="A3336" t="str">
        <x:v>DW-3331</x:v>
      </x:c>
      <x:c r="B3336" t="str">
        <x:v>DW-3331</x:v>
      </x:c>
      <x:c r="C3336" t="str">
        <x:v>Parent indépendant 1.58</x:v>
      </x:c>
      <x:c r="D3336" t="str">
        <x:v>Commerces non alimentaires</x:v>
      </x:c>
      <x:c r="E3336" t="str">
        <x:v>Boutique de modélisme ferroviaire</x:v>
      </x:c>
      <x:c r="F3336" t="n">
        <x:v>9</x:v>
      </x:c>
      <x:c r="G3336" t="n">
        <x:v>6</x:v>
      </x:c>
      <x:c r="H3336" t="n">
        <x:v>6</x:v>
      </x:c>
      <x:c r="I3336" t="str">
        <x:v>À qualifier par lieu</x:v>
      </x:c>
      <x:c r="J3336" t="str">
        <x:v>https://github.com/darknigthmare/deadwall-last-enclosure/blob/e28f46223e73105ab2c5d83f3d50b99b58ef53e6/codex-3000/addendum-1.58/PROGRAMMES_B.json</x:v>
      </x:c>
      <x:c r="K3336" t="str">
        <x:v>Source min 30,36 m ; max 30,36 m ; modèle 30 × 36 m ; niveaux 0. Détails dans catalogue-existant.json.</x:v>
      </x:c>
    </x:row>
    <x:row r="3337">
      <x:c r="A3337" t="str">
        <x:v>DW-3332</x:v>
      </x:c>
      <x:c r="B3337" t="str">
        <x:v>DW-3332</x:v>
      </x:c>
      <x:c r="C3337" t="str">
        <x:v>Parent indépendant 1.58</x:v>
      </x:c>
      <x:c r="D3337" t="str">
        <x:v>Commerces non alimentaires</x:v>
      </x:c>
      <x:c r="E3337" t="str">
        <x:v>Comptoir de maquettes navales</x:v>
      </x:c>
      <x:c r="F3337" t="n">
        <x:v>9</x:v>
      </x:c>
      <x:c r="G3337" t="n">
        <x:v>6</x:v>
      </x:c>
      <x:c r="H3337" t="n">
        <x:v>6</x:v>
      </x:c>
      <x:c r="I3337" t="str">
        <x:v>À qualifier par lieu</x:v>
      </x:c>
      <x:c r="J3337" t="str">
        <x:v>https://github.com/darknigthmare/deadwall-last-enclosure/blob/e28f46223e73105ab2c5d83f3d50b99b58ef53e6/codex-3000/addendum-1.58/PROGRAMMES_B.json</x:v>
      </x:c>
      <x:c r="K3337" t="str">
        <x:v>Source min 34,28 m ; max 34,28 m ; modèle 34 × 28 m ; niveaux 0, 1. Détails dans catalogue-existant.json.</x:v>
      </x:c>
    </x:row>
    <x:row r="3338">
      <x:c r="A3338" t="str">
        <x:v>DW-3333</x:v>
      </x:c>
      <x:c r="B3338" t="str">
        <x:v>DW-3333</x:v>
      </x:c>
      <x:c r="C3338" t="str">
        <x:v>Parent indépendant 1.58</x:v>
      </x:c>
      <x:c r="D3338" t="str">
        <x:v>Commerces non alimentaires</x:v>
      </x:c>
      <x:c r="E3338" t="str">
        <x:v>Boutique de jeux de rôle sur table</x:v>
      </x:c>
      <x:c r="F3338" t="n">
        <x:v>9</x:v>
      </x:c>
      <x:c r="G3338" t="n">
        <x:v>6</x:v>
      </x:c>
      <x:c r="H3338" t="n">
        <x:v>6</x:v>
      </x:c>
      <x:c r="I3338" t="str">
        <x:v>À qualifier par lieu</x:v>
      </x:c>
      <x:c r="J3338" t="str">
        <x:v>https://github.com/darknigthmare/deadwall-last-enclosure/blob/e28f46223e73105ab2c5d83f3d50b99b58ef53e6/codex-3000/addendum-1.58/PROGRAMMES_B.json</x:v>
      </x:c>
      <x:c r="K3338" t="str">
        <x:v>Source min 38,42 m ; max 38,42 m ; modèle 38 × 42 m ; niveaux 0. Détails dans catalogue-existant.json.</x:v>
      </x:c>
    </x:row>
    <x:row r="3339">
      <x:c r="A3339" t="str">
        <x:v>DW-3334</x:v>
      </x:c>
      <x:c r="B3339" t="str">
        <x:v>DW-3334</x:v>
      </x:c>
      <x:c r="C3339" t="str">
        <x:v>Parent indépendant 1.58</x:v>
      </x:c>
      <x:c r="D3339" t="str">
        <x:v>Commerces non alimentaires</x:v>
      </x:c>
      <x:c r="E3339" t="str">
        <x:v>Magasin de puzzles et casse-têtes</x:v>
      </x:c>
      <x:c r="F3339" t="n">
        <x:v>9</x:v>
      </x:c>
      <x:c r="G3339" t="n">
        <x:v>6</x:v>
      </x:c>
      <x:c r="H3339" t="n">
        <x:v>6</x:v>
      </x:c>
      <x:c r="I3339" t="str">
        <x:v>À qualifier par lieu</x:v>
      </x:c>
      <x:c r="J3339" t="str">
        <x:v>https://github.com/darknigthmare/deadwall-last-enclosure/blob/e28f46223e73105ab2c5d83f3d50b99b58ef53e6/codex-3000/addendum-1.58/PROGRAMMES_B.json</x:v>
      </x:c>
      <x:c r="K3339" t="str">
        <x:v>Source min 42,45 m ; max 42,45 m ; modèle 42 × 45 m ; niveaux 0. Détails dans catalogue-existant.json.</x:v>
      </x:c>
    </x:row>
    <x:row r="3340">
      <x:c r="A3340" t="str">
        <x:v>DW-3335</x:v>
      </x:c>
      <x:c r="B3340" t="str">
        <x:v>DW-3335</x:v>
      </x:c>
      <x:c r="C3340" t="str">
        <x:v>Parent indépendant 1.58</x:v>
      </x:c>
      <x:c r="D3340" t="str">
        <x:v>Commerces non alimentaires</x:v>
      </x:c>
      <x:c r="E3340" t="str">
        <x:v>Boutique de matériaux de beaux-arts</x:v>
      </x:c>
      <x:c r="F3340" t="n">
        <x:v>9</x:v>
      </x:c>
      <x:c r="G3340" t="n">
        <x:v>6</x:v>
      </x:c>
      <x:c r="H3340" t="n">
        <x:v>6</x:v>
      </x:c>
      <x:c r="I3340" t="str">
        <x:v>À qualifier par lieu</x:v>
      </x:c>
      <x:c r="J3340" t="str">
        <x:v>https://github.com/darknigthmare/deadwall-last-enclosure/blob/e28f46223e73105ab2c5d83f3d50b99b58ef53e6/codex-3000/addendum-1.58/PROGRAMMES_B.json</x:v>
      </x:c>
      <x:c r="K3340" t="str">
        <x:v>Source min 30,28 m ; max 30,28 m ; modèle 30 × 28 m ; niveaux 0, 1. Détails dans catalogue-existant.json.</x:v>
      </x:c>
    </x:row>
    <x:row r="3341">
      <x:c r="A3341" t="str">
        <x:v>DW-3336</x:v>
      </x:c>
      <x:c r="B3341" t="str">
        <x:v>DW-3336</x:v>
      </x:c>
      <x:c r="C3341" t="str">
        <x:v>Parent indépendant 1.58</x:v>
      </x:c>
      <x:c r="D3341" t="str">
        <x:v>Commerces non alimentaires</x:v>
      </x:c>
      <x:c r="E3341" t="str">
        <x:v>Comptoir de céramique de loisir</x:v>
      </x:c>
      <x:c r="F3341" t="n">
        <x:v>9</x:v>
      </x:c>
      <x:c r="G3341" t="n">
        <x:v>6</x:v>
      </x:c>
      <x:c r="H3341" t="n">
        <x:v>6</x:v>
      </x:c>
      <x:c r="I3341" t="str">
        <x:v>À qualifier par lieu</x:v>
      </x:c>
      <x:c r="J3341" t="str">
        <x:v>https://github.com/darknigthmare/deadwall-last-enclosure/blob/e28f46223e73105ab2c5d83f3d50b99b58ef53e6/codex-3000/addendum-1.58/PROGRAMMES_B.json</x:v>
      </x:c>
      <x:c r="K3341" t="str">
        <x:v>Source min 34,39 m ; max 34,39 m ; modèle 34 × 39 m ; niveaux 0. Détails dans catalogue-existant.json.</x:v>
      </x:c>
    </x:row>
    <x:row r="3342">
      <x:c r="A3342" t="str">
        <x:v>DW-3337</x:v>
      </x:c>
      <x:c r="B3342" t="str">
        <x:v>DW-3337</x:v>
      </x:c>
      <x:c r="C3342" t="str">
        <x:v>Parent indépendant 1.58</x:v>
      </x:c>
      <x:c r="D3342" t="str">
        <x:v>Commerces non alimentaires</x:v>
      </x:c>
      <x:c r="E3342" t="str">
        <x:v>Boutique de fournitures de calligraphie</x:v>
      </x:c>
      <x:c r="F3342" t="n">
        <x:v>9</x:v>
      </x:c>
      <x:c r="G3342" t="n">
        <x:v>6</x:v>
      </x:c>
      <x:c r="H3342" t="n">
        <x:v>6</x:v>
      </x:c>
      <x:c r="I3342" t="str">
        <x:v>À qualifier par lieu</x:v>
      </x:c>
      <x:c r="J3342" t="str">
        <x:v>https://github.com/darknigthmare/deadwall-last-enclosure/blob/e28f46223e73105ab2c5d83f3d50b99b58ef53e6/codex-3000/addendum-1.58/PROGRAMMES_B.json</x:v>
      </x:c>
      <x:c r="K3342" t="str">
        <x:v>Source min 38,42 m ; max 38,42 m ; modèle 38 × 42 m ; niveaux 0. Détails dans catalogue-existant.json.</x:v>
      </x:c>
    </x:row>
    <x:row r="3343">
      <x:c r="A3343" t="str">
        <x:v>DW-3338</x:v>
      </x:c>
      <x:c r="B3343" t="str">
        <x:v>DW-3338</x:v>
      </x:c>
      <x:c r="C3343" t="str">
        <x:v>Parent indépendant 1.58</x:v>
      </x:c>
      <x:c r="D3343" t="str">
        <x:v>Commerces non alimentaires</x:v>
      </x:c>
      <x:c r="E3343" t="str">
        <x:v>Magasin d'accessoires photographiques</x:v>
      </x:c>
      <x:c r="F3343" t="n">
        <x:v>9</x:v>
      </x:c>
      <x:c r="G3343" t="n">
        <x:v>6</x:v>
      </x:c>
      <x:c r="H3343" t="n">
        <x:v>6</x:v>
      </x:c>
      <x:c r="I3343" t="str">
        <x:v>À qualifier par lieu</x:v>
      </x:c>
      <x:c r="J3343" t="str">
        <x:v>https://github.com/darknigthmare/deadwall-last-enclosure/blob/e28f46223e73105ab2c5d83f3d50b99b58ef53e6/codex-3000/addendum-1.58/PROGRAMMES_B.json</x:v>
      </x:c>
      <x:c r="K3343" t="str">
        <x:v>Source min 42,28 m ; max 42,28 m ; modèle 42 × 28 m ; niveaux 0, 1. Détails dans catalogue-existant.json.</x:v>
      </x:c>
    </x:row>
    <x:row r="3344">
      <x:c r="A3344" t="str">
        <x:v>DW-3339</x:v>
      </x:c>
      <x:c r="B3344" t="str">
        <x:v>DW-3339</x:v>
      </x:c>
      <x:c r="C3344" t="str">
        <x:v>Parent indépendant 1.58</x:v>
      </x:c>
      <x:c r="D3344" t="str">
        <x:v>Commerces non alimentaires</x:v>
      </x:c>
      <x:c r="E3344" t="str">
        <x:v>Comptoir d'instruments à cordes</x:v>
      </x:c>
      <x:c r="F3344" t="n">
        <x:v>9</x:v>
      </x:c>
      <x:c r="G3344" t="n">
        <x:v>6</x:v>
      </x:c>
      <x:c r="H3344" t="n">
        <x:v>6</x:v>
      </x:c>
      <x:c r="I3344" t="str">
        <x:v>À qualifier par lieu</x:v>
      </x:c>
      <x:c r="J3344" t="str">
        <x:v>https://github.com/darknigthmare/deadwall-last-enclosure/blob/e28f46223e73105ab2c5d83f3d50b99b58ef53e6/codex-3000/addendum-1.58/PROGRAMMES_B.json</x:v>
      </x:c>
      <x:c r="K3344" t="str">
        <x:v>Source min 30,36 m ; max 30,36 m ; modèle 30 × 36 m ; niveaux 0. Détails dans catalogue-existant.json.</x:v>
      </x:c>
    </x:row>
    <x:row r="3345">
      <x:c r="A3345" t="str">
        <x:v>DW-3340</x:v>
      </x:c>
      <x:c r="B3345" t="str">
        <x:v>DW-3340</x:v>
      </x:c>
      <x:c r="C3345" t="str">
        <x:v>Parent indépendant 1.58</x:v>
      </x:c>
      <x:c r="D3345" t="str">
        <x:v>Commerces non alimentaires</x:v>
      </x:c>
      <x:c r="E3345" t="str">
        <x:v>Boutique de percussions</x:v>
      </x:c>
      <x:c r="F3345" t="n">
        <x:v>9</x:v>
      </x:c>
      <x:c r="G3345" t="n">
        <x:v>6</x:v>
      </x:c>
      <x:c r="H3345" t="n">
        <x:v>6</x:v>
      </x:c>
      <x:c r="I3345" t="str">
        <x:v>À qualifier par lieu</x:v>
      </x:c>
      <x:c r="J3345" t="str">
        <x:v>https://github.com/darknigthmare/deadwall-last-enclosure/blob/e28f46223e73105ab2c5d83f3d50b99b58ef53e6/codex-3000/addendum-1.58/PROGRAMMES_B.json</x:v>
      </x:c>
      <x:c r="K3345" t="str">
        <x:v>Source min 34,39 m ; max 34,39 m ; modèle 34 × 39 m ; niveaux 0. Détails dans catalogue-existant.json.</x:v>
      </x:c>
    </x:row>
    <x:row r="3346">
      <x:c r="A3346" t="str">
        <x:v>DW-3341</x:v>
      </x:c>
      <x:c r="B3346" t="str">
        <x:v>DW-3341</x:v>
      </x:c>
      <x:c r="C3346" t="str">
        <x:v>Parent indépendant 1.58</x:v>
      </x:c>
      <x:c r="D3346" t="str">
        <x:v>Commerces non alimentaires</x:v>
      </x:c>
      <x:c r="E3346" t="str">
        <x:v>Magasin d'accessoires pour vélos</x:v>
      </x:c>
      <x:c r="F3346" t="n">
        <x:v>9</x:v>
      </x:c>
      <x:c r="G3346" t="n">
        <x:v>6</x:v>
      </x:c>
      <x:c r="H3346" t="n">
        <x:v>6</x:v>
      </x:c>
      <x:c r="I3346" t="str">
        <x:v>À qualifier par lieu</x:v>
      </x:c>
      <x:c r="J3346" t="str">
        <x:v>https://github.com/darknigthmare/deadwall-last-enclosure/blob/e28f46223e73105ab2c5d83f3d50b99b58ef53e6/codex-3000/addendum-1.58/PROGRAMMES_B.json</x:v>
      </x:c>
      <x:c r="K3346" t="str">
        <x:v>Source min 38,28 m ; max 38,28 m ; modèle 38 × 28 m ; niveaux 0, 1. Détails dans catalogue-existant.json.</x:v>
      </x:c>
    </x:row>
    <x:row r="3347">
      <x:c r="A3347" t="str">
        <x:v>DW-3342</x:v>
      </x:c>
      <x:c r="B3347" t="str">
        <x:v>DW-3342</x:v>
      </x:c>
      <x:c r="C3347" t="str">
        <x:v>Parent indépendant 1.58</x:v>
      </x:c>
      <x:c r="D3347" t="str">
        <x:v>Commerces non alimentaires</x:v>
      </x:c>
      <x:c r="E3347" t="str">
        <x:v>Comptoir de bagagerie de randonnée</x:v>
      </x:c>
      <x:c r="F3347" t="n">
        <x:v>9</x:v>
      </x:c>
      <x:c r="G3347" t="n">
        <x:v>6</x:v>
      </x:c>
      <x:c r="H3347" t="n">
        <x:v>6</x:v>
      </x:c>
      <x:c r="I3347" t="str">
        <x:v>À qualifier par lieu</x:v>
      </x:c>
      <x:c r="J3347" t="str">
        <x:v>https://github.com/darknigthmare/deadwall-last-enclosure/blob/e28f46223e73105ab2c5d83f3d50b99b58ef53e6/codex-3000/addendum-1.58/PROGRAMMES_B.json</x:v>
      </x:c>
      <x:c r="K3347" t="str">
        <x:v>Source min 42,45 m ; max 42,45 m ; modèle 42 × 45 m ; niveaux 0. Détails dans catalogue-existant.json.</x:v>
      </x:c>
    </x:row>
    <x:row r="3348">
      <x:c r="A3348" t="str">
        <x:v>DW-3343</x:v>
      </x:c>
      <x:c r="B3348" t="str">
        <x:v>DW-3343</x:v>
      </x:c>
      <x:c r="C3348" t="str">
        <x:v>Parent indépendant 1.58</x:v>
      </x:c>
      <x:c r="D3348" t="str">
        <x:v>Commerces non alimentaires</x:v>
      </x:c>
      <x:c r="E3348" t="str">
        <x:v>Boutique de matériel d'orientation</x:v>
      </x:c>
      <x:c r="F3348" t="n">
        <x:v>9</x:v>
      </x:c>
      <x:c r="G3348" t="n">
        <x:v>6</x:v>
      </x:c>
      <x:c r="H3348" t="n">
        <x:v>6</x:v>
      </x:c>
      <x:c r="I3348" t="str">
        <x:v>À qualifier par lieu</x:v>
      </x:c>
      <x:c r="J3348" t="str">
        <x:v>https://github.com/darknigthmare/deadwall-last-enclosure/blob/e28f46223e73105ab2c5d83f3d50b99b58ef53e6/codex-3000/addendum-1.58/PROGRAMMES_B.json</x:v>
      </x:c>
      <x:c r="K3348" t="str">
        <x:v>Source min 30,36 m ; max 30,36 m ; modèle 30 × 36 m ; niveaux 0. Détails dans catalogue-existant.json.</x:v>
      </x:c>
    </x:row>
    <x:row r="3349">
      <x:c r="A3349" t="str">
        <x:v>DW-3344</x:v>
      </x:c>
      <x:c r="B3349" t="str">
        <x:v>DW-3344</x:v>
      </x:c>
      <x:c r="C3349" t="str">
        <x:v>Parent indépendant 1.58</x:v>
      </x:c>
      <x:c r="D3349" t="str">
        <x:v>Commerces non alimentaires</x:v>
      </x:c>
      <x:c r="E3349" t="str">
        <x:v>Magasin d'équipement de camping léger</x:v>
      </x:c>
      <x:c r="F3349" t="n">
        <x:v>9</x:v>
      </x:c>
      <x:c r="G3349" t="n">
        <x:v>6</x:v>
      </x:c>
      <x:c r="H3349" t="n">
        <x:v>6</x:v>
      </x:c>
      <x:c r="I3349" t="str">
        <x:v>À qualifier par lieu</x:v>
      </x:c>
      <x:c r="J3349" t="str">
        <x:v>https://github.com/darknigthmare/deadwall-last-enclosure/blob/e28f46223e73105ab2c5d83f3d50b99b58ef53e6/codex-3000/addendum-1.58/PROGRAMMES_B.json</x:v>
      </x:c>
      <x:c r="K3349" t="str">
        <x:v>Source min 34,28 m ; max 34,28 m ; modèle 34 × 28 m ; niveaux 0, 1. Détails dans catalogue-existant.json.</x:v>
      </x:c>
    </x:row>
    <x:row r="3350">
      <x:c r="A3350" t="str">
        <x:v>DW-3345</x:v>
      </x:c>
      <x:c r="B3350" t="str">
        <x:v>DW-3345</x:v>
      </x:c>
      <x:c r="C3350" t="str">
        <x:v>Parent indépendant 1.58</x:v>
      </x:c>
      <x:c r="D3350" t="str">
        <x:v>Commerces non alimentaires</x:v>
      </x:c>
      <x:c r="E3350" t="str">
        <x:v>Comptoir de cordages de plein air</x:v>
      </x:c>
      <x:c r="F3350" t="n">
        <x:v>9</x:v>
      </x:c>
      <x:c r="G3350" t="n">
        <x:v>6</x:v>
      </x:c>
      <x:c r="H3350" t="n">
        <x:v>6</x:v>
      </x:c>
      <x:c r="I3350" t="str">
        <x:v>À qualifier par lieu</x:v>
      </x:c>
      <x:c r="J3350" t="str">
        <x:v>https://github.com/darknigthmare/deadwall-last-enclosure/blob/e28f46223e73105ab2c5d83f3d50b99b58ef53e6/codex-3000/addendum-1.58/PROGRAMMES_B.json</x:v>
      </x:c>
      <x:c r="K3350" t="str">
        <x:v>Source min 38,42 m ; max 38,42 m ; modèle 38 × 42 m ; niveaux 0. Détails dans catalogue-existant.json.</x:v>
      </x:c>
    </x:row>
    <x:row r="3351">
      <x:c r="A3351" t="str">
        <x:v>DW-3346</x:v>
      </x:c>
      <x:c r="B3351" t="str">
        <x:v>DW-3346</x:v>
      </x:c>
      <x:c r="C3351" t="str">
        <x:v>Parent indépendant 1.58</x:v>
      </x:c>
      <x:c r="D3351" t="str">
        <x:v>Commerces non alimentaires</x:v>
      </x:c>
      <x:c r="E3351" t="str">
        <x:v>Boutique de protections de skating</x:v>
      </x:c>
      <x:c r="F3351" t="n">
        <x:v>9</x:v>
      </x:c>
      <x:c r="G3351" t="n">
        <x:v>6</x:v>
      </x:c>
      <x:c r="H3351" t="n">
        <x:v>6</x:v>
      </x:c>
      <x:c r="I3351" t="str">
        <x:v>À qualifier par lieu</x:v>
      </x:c>
      <x:c r="J3351" t="str">
        <x:v>https://github.com/darknigthmare/deadwall-last-enclosure/blob/e28f46223e73105ab2c5d83f3d50b99b58ef53e6/codex-3000/addendum-1.58/PROGRAMMES_B.json</x:v>
      </x:c>
      <x:c r="K3351" t="str">
        <x:v>Source min 42,45 m ; max 42,45 m ; modèle 42 × 45 m ; niveaux 0. Détails dans catalogue-existant.json.</x:v>
      </x:c>
    </x:row>
    <x:row r="3352">
      <x:c r="A3352" t="str">
        <x:v>DW-3347</x:v>
      </x:c>
      <x:c r="B3352" t="str">
        <x:v>DW-3347</x:v>
      </x:c>
      <x:c r="C3352" t="str">
        <x:v>Parent indépendant 1.58</x:v>
      </x:c>
      <x:c r="D3352" t="str">
        <x:v>Commerces non alimentaires</x:v>
      </x:c>
      <x:c r="E3352" t="str">
        <x:v>Magasin de matériel de pêche à la mouche</x:v>
      </x:c>
      <x:c r="F3352" t="n">
        <x:v>9</x:v>
      </x:c>
      <x:c r="G3352" t="n">
        <x:v>6</x:v>
      </x:c>
      <x:c r="H3352" t="n">
        <x:v>6</x:v>
      </x:c>
      <x:c r="I3352" t="str">
        <x:v>À qualifier par lieu</x:v>
      </x:c>
      <x:c r="J3352" t="str">
        <x:v>https://github.com/darknigthmare/deadwall-last-enclosure/blob/e28f46223e73105ab2c5d83f3d50b99b58ef53e6/codex-3000/addendum-1.58/PROGRAMMES_B.json</x:v>
      </x:c>
      <x:c r="K3352" t="str">
        <x:v>Source min 30,28 m ; max 30,28 m ; modèle 30 × 28 m ; niveaux 0, 1. Détails dans catalogue-existant.json.</x:v>
      </x:c>
    </x:row>
    <x:row r="3353">
      <x:c r="A3353" t="str">
        <x:v>DW-3348</x:v>
      </x:c>
      <x:c r="B3353" t="str">
        <x:v>DW-3348</x:v>
      </x:c>
      <x:c r="C3353" t="str">
        <x:v>Parent indépendant 1.58</x:v>
      </x:c>
      <x:c r="D3353" t="str">
        <x:v>Commerces non alimentaires</x:v>
      </x:c>
      <x:c r="E3353" t="str">
        <x:v>Comptoir de protections de navigation</x:v>
      </x:c>
      <x:c r="F3353" t="n">
        <x:v>9</x:v>
      </x:c>
      <x:c r="G3353" t="n">
        <x:v>6</x:v>
      </x:c>
      <x:c r="H3353" t="n">
        <x:v>6</x:v>
      </x:c>
      <x:c r="I3353" t="str">
        <x:v>À qualifier par lieu</x:v>
      </x:c>
      <x:c r="J3353" t="str">
        <x:v>https://github.com/darknigthmare/deadwall-last-enclosure/blob/e28f46223e73105ab2c5d83f3d50b99b58ef53e6/codex-3000/addendum-1.58/PROGRAMMES_B.json</x:v>
      </x:c>
      <x:c r="K3353" t="str">
        <x:v>Source min 34,39 m ; max 34,39 m ; modèle 34 × 39 m ; niveaux 0. Détails dans catalogue-existant.json.</x:v>
      </x:c>
    </x:row>
    <x:row r="3354">
      <x:c r="A3354" t="str">
        <x:v>DW-3349</x:v>
      </x:c>
      <x:c r="B3354" t="str">
        <x:v>DW-3349</x:v>
      </x:c>
      <x:c r="C3354" t="str">
        <x:v>Parent indépendant 1.58</x:v>
      </x:c>
      <x:c r="D3354" t="str">
        <x:v>Commerces non alimentaires</x:v>
      </x:c>
      <x:c r="E3354" t="str">
        <x:v>Boutique d'accessoires équestres</x:v>
      </x:c>
      <x:c r="F3354" t="n">
        <x:v>9</x:v>
      </x:c>
      <x:c r="G3354" t="n">
        <x:v>6</x:v>
      </x:c>
      <x:c r="H3354" t="n">
        <x:v>6</x:v>
      </x:c>
      <x:c r="I3354" t="str">
        <x:v>À qualifier par lieu</x:v>
      </x:c>
      <x:c r="J3354" t="str">
        <x:v>https://github.com/darknigthmare/deadwall-last-enclosure/blob/e28f46223e73105ab2c5d83f3d50b99b58ef53e6/codex-3000/addendum-1.58/PROGRAMMES_B.json</x:v>
      </x:c>
      <x:c r="K3354" t="str">
        <x:v>Source min 38,42 m ; max 38,42 m ; modèle 38 × 42 m ; niveaux 0. Détails dans catalogue-existant.json.</x:v>
      </x:c>
    </x:row>
    <x:row r="3355">
      <x:c r="A3355" t="str">
        <x:v>DW-3350</x:v>
      </x:c>
      <x:c r="B3355" t="str">
        <x:v>DW-3350</x:v>
      </x:c>
      <x:c r="C3355" t="str">
        <x:v>Parent indépendant 1.58</x:v>
      </x:c>
      <x:c r="D3355" t="str">
        <x:v>Commerces non alimentaires</x:v>
      </x:c>
      <x:c r="E3355" t="str">
        <x:v>Magasin de pièces de trottinettes</x:v>
      </x:c>
      <x:c r="F3355" t="n">
        <x:v>9</x:v>
      </x:c>
      <x:c r="G3355" t="n">
        <x:v>6</x:v>
      </x:c>
      <x:c r="H3355" t="n">
        <x:v>6</x:v>
      </x:c>
      <x:c r="I3355" t="str">
        <x:v>À qualifier par lieu</x:v>
      </x:c>
      <x:c r="J3355" t="str">
        <x:v>https://github.com/darknigthmare/deadwall-last-enclosure/blob/e28f46223e73105ab2c5d83f3d50b99b58ef53e6/codex-3000/addendum-1.58/PROGRAMMES_B.json</x:v>
      </x:c>
      <x:c r="K3355" t="str">
        <x:v>Source min 42,28 m ; max 42,28 m ; modèle 42 × 28 m ; niveaux 0, 1. Détails dans catalogue-existant.json.</x:v>
      </x:c>
    </x:row>
    <x:row r="3356">
      <x:c r="A3356" t="str">
        <x:v>DW-3351</x:v>
      </x:c>
      <x:c r="B3356" t="str">
        <x:v>DW-3351</x:v>
      </x:c>
      <x:c r="C3356" t="str">
        <x:v>Parent indépendant 1.58</x:v>
      </x:c>
      <x:c r="D3356" t="str">
        <x:v>Commerces non alimentaires</x:v>
      </x:c>
      <x:c r="E3356" t="str">
        <x:v>Boutique de graines potagères</x:v>
      </x:c>
      <x:c r="F3356" t="n">
        <x:v>9</x:v>
      </x:c>
      <x:c r="G3356" t="n">
        <x:v>6</x:v>
      </x:c>
      <x:c r="H3356" t="n">
        <x:v>6</x:v>
      </x:c>
      <x:c r="I3356" t="str">
        <x:v>À qualifier par lieu</x:v>
      </x:c>
      <x:c r="J3356" t="str">
        <x:v>https://github.com/darknigthmare/deadwall-last-enclosure/blob/e28f46223e73105ab2c5d83f3d50b99b58ef53e6/codex-3000/addendum-1.58/PROGRAMMES_B.json</x:v>
      </x:c>
      <x:c r="K3356" t="str">
        <x:v>Source min 30,36 m ; max 30,36 m ; modèle 30 × 36 m ; niveaux 0. Détails dans catalogue-existant.json.</x:v>
      </x:c>
    </x:row>
    <x:row r="3357">
      <x:c r="A3357" t="str">
        <x:v>DW-3352</x:v>
      </x:c>
      <x:c r="B3357" t="str">
        <x:v>DW-3352</x:v>
      </x:c>
      <x:c r="C3357" t="str">
        <x:v>Parent indépendant 1.58</x:v>
      </x:c>
      <x:c r="D3357" t="str">
        <x:v>Commerces non alimentaires</x:v>
      </x:c>
      <x:c r="E3357" t="str">
        <x:v>Comptoir d'irrigation domestique</x:v>
      </x:c>
      <x:c r="F3357" t="n">
        <x:v>9</x:v>
      </x:c>
      <x:c r="G3357" t="n">
        <x:v>6</x:v>
      </x:c>
      <x:c r="H3357" t="n">
        <x:v>6</x:v>
      </x:c>
      <x:c r="I3357" t="str">
        <x:v>À qualifier par lieu</x:v>
      </x:c>
      <x:c r="J3357" t="str">
        <x:v>https://github.com/darknigthmare/deadwall-last-enclosure/blob/e28f46223e73105ab2c5d83f3d50b99b58ef53e6/codex-3000/addendum-1.58/PROGRAMMES_B.json</x:v>
      </x:c>
      <x:c r="K3357" t="str">
        <x:v>Source min 34,39 m ; max 34,39 m ; modèle 34 × 39 m ; niveaux 0. Détails dans catalogue-existant.json.</x:v>
      </x:c>
    </x:row>
    <x:row r="3358">
      <x:c r="A3358" t="str">
        <x:v>DW-3353</x:v>
      </x:c>
      <x:c r="B3358" t="str">
        <x:v>DW-3353</x:v>
      </x:c>
      <x:c r="C3358" t="str">
        <x:v>Parent indépendant 1.58</x:v>
      </x:c>
      <x:c r="D3358" t="str">
        <x:v>Commerces non alimentaires</x:v>
      </x:c>
      <x:c r="E3358" t="str">
        <x:v>Magasin de composteurs domestiques</x:v>
      </x:c>
      <x:c r="F3358" t="n">
        <x:v>9</x:v>
      </x:c>
      <x:c r="G3358" t="n">
        <x:v>6</x:v>
      </x:c>
      <x:c r="H3358" t="n">
        <x:v>6</x:v>
      </x:c>
      <x:c r="I3358" t="str">
        <x:v>À qualifier par lieu</x:v>
      </x:c>
      <x:c r="J3358" t="str">
        <x:v>https://github.com/darknigthmare/deadwall-last-enclosure/blob/e28f46223e73105ab2c5d83f3d50b99b58ef53e6/codex-3000/addendum-1.58/PROGRAMMES_B.json</x:v>
      </x:c>
      <x:c r="K3358" t="str">
        <x:v>Source min 38,28 m ; max 38,28 m ; modèle 38 × 28 m ; niveaux 0, 1. Détails dans catalogue-existant.json.</x:v>
      </x:c>
    </x:row>
    <x:row r="3359">
      <x:c r="A3359" t="str">
        <x:v>DW-3354</x:v>
      </x:c>
      <x:c r="B3359" t="str">
        <x:v>DW-3354</x:v>
      </x:c>
      <x:c r="C3359" t="str">
        <x:v>Parent indépendant 1.58</x:v>
      </x:c>
      <x:c r="D3359" t="str">
        <x:v>Commerces non alimentaires</x:v>
      </x:c>
      <x:c r="E3359" t="str">
        <x:v>Boutique d'outils de taille</x:v>
      </x:c>
      <x:c r="F3359" t="n">
        <x:v>9</x:v>
      </x:c>
      <x:c r="G3359" t="n">
        <x:v>6</x:v>
      </x:c>
      <x:c r="H3359" t="n">
        <x:v>6</x:v>
      </x:c>
      <x:c r="I3359" t="str">
        <x:v>À qualifier par lieu</x:v>
      </x:c>
      <x:c r="J3359" t="str">
        <x:v>https://github.com/darknigthmare/deadwall-last-enclosure/blob/e28f46223e73105ab2c5d83f3d50b99b58ef53e6/codex-3000/addendum-1.58/PROGRAMMES_B.json</x:v>
      </x:c>
      <x:c r="K3359" t="str">
        <x:v>Source min 42,45 m ; max 42,45 m ; modèle 42 × 45 m ; niveaux 0. Détails dans catalogue-existant.json.</x:v>
      </x:c>
    </x:row>
    <x:row r="3360">
      <x:c r="A3360" t="str">
        <x:v>DW-3355</x:v>
      </x:c>
      <x:c r="B3360" t="str">
        <x:v>DW-3355</x:v>
      </x:c>
      <x:c r="C3360" t="str">
        <x:v>Parent indépendant 1.58</x:v>
      </x:c>
      <x:c r="D3360" t="str">
        <x:v>Commerces non alimentaires</x:v>
      </x:c>
      <x:c r="E3360" t="str">
        <x:v>Comptoir d'accessoires apicoles</x:v>
      </x:c>
      <x:c r="F3360" t="n">
        <x:v>9</x:v>
      </x:c>
      <x:c r="G3360" t="n">
        <x:v>6</x:v>
      </x:c>
      <x:c r="H3360" t="n">
        <x:v>6</x:v>
      </x:c>
      <x:c r="I3360" t="str">
        <x:v>À qualifier par lieu</x:v>
      </x:c>
      <x:c r="J3360" t="str">
        <x:v>https://github.com/darknigthmare/deadwall-last-enclosure/blob/e28f46223e73105ab2c5d83f3d50b99b58ef53e6/codex-3000/addendum-1.58/PROGRAMMES_B.json</x:v>
      </x:c>
      <x:c r="K3360" t="str">
        <x:v>Source min 30,36 m ; max 30,36 m ; modèle 30 × 36 m ; niveaux 0. Détails dans catalogue-existant.json.</x:v>
      </x:c>
    </x:row>
    <x:row r="3361">
      <x:c r="A3361" t="str">
        <x:v>DW-3356</x:v>
      </x:c>
      <x:c r="B3361" t="str">
        <x:v>DW-3356</x:v>
      </x:c>
      <x:c r="C3361" t="str">
        <x:v>Parent indépendant 1.58</x:v>
      </x:c>
      <x:c r="D3361" t="str">
        <x:v>Commerces non alimentaires</x:v>
      </x:c>
      <x:c r="E3361" t="str">
        <x:v>Magasin de nichoirs et mangeoires</x:v>
      </x:c>
      <x:c r="F3361" t="n">
        <x:v>9</x:v>
      </x:c>
      <x:c r="G3361" t="n">
        <x:v>6</x:v>
      </x:c>
      <x:c r="H3361" t="n">
        <x:v>6</x:v>
      </x:c>
      <x:c r="I3361" t="str">
        <x:v>À qualifier par lieu</x:v>
      </x:c>
      <x:c r="J3361" t="str">
        <x:v>https://github.com/darknigthmare/deadwall-last-enclosure/blob/e28f46223e73105ab2c5d83f3d50b99b58ef53e6/codex-3000/addendum-1.58/PROGRAMMES_B.json</x:v>
      </x:c>
      <x:c r="K3361" t="str">
        <x:v>Source min 34,28 m ; max 34,28 m ; modèle 34 × 28 m ; niveaux 0, 1. Détails dans catalogue-existant.json.</x:v>
      </x:c>
    </x:row>
    <x:row r="3362">
      <x:c r="A3362" t="str">
        <x:v>DW-3357</x:v>
      </x:c>
      <x:c r="B3362" t="str">
        <x:v>DW-3357</x:v>
      </x:c>
      <x:c r="C3362" t="str">
        <x:v>Parent indépendant 1.58</x:v>
      </x:c>
      <x:c r="D3362" t="str">
        <x:v>Commerces non alimentaires</x:v>
      </x:c>
      <x:c r="E3362" t="str">
        <x:v>Boutique de plantes aquatiques domestiques</x:v>
      </x:c>
      <x:c r="F3362" t="n">
        <x:v>9</x:v>
      </x:c>
      <x:c r="G3362" t="n">
        <x:v>6</x:v>
      </x:c>
      <x:c r="H3362" t="n">
        <x:v>6</x:v>
      </x:c>
      <x:c r="I3362" t="str">
        <x:v>À qualifier par lieu</x:v>
      </x:c>
      <x:c r="J3362" t="str">
        <x:v>https://github.com/darknigthmare/deadwall-last-enclosure/blob/e28f46223e73105ab2c5d83f3d50b99b58ef53e6/codex-3000/addendum-1.58/PROGRAMMES_B.json</x:v>
      </x:c>
      <x:c r="K3362" t="str">
        <x:v>Source min 38,42 m ; max 38,42 m ; modèle 38 × 42 m ; niveaux 0. Détails dans catalogue-existant.json.</x:v>
      </x:c>
    </x:row>
    <x:row r="3363">
      <x:c r="A3363" t="str">
        <x:v>DW-3358</x:v>
      </x:c>
      <x:c r="B3363" t="str">
        <x:v>DW-3358</x:v>
      </x:c>
      <x:c r="C3363" t="str">
        <x:v>Parent indépendant 1.58</x:v>
      </x:c>
      <x:c r="D3363" t="str">
        <x:v>Commerces non alimentaires</x:v>
      </x:c>
      <x:c r="E3363" t="str">
        <x:v>Comptoir de mobilier de jardin pliant</x:v>
      </x:c>
      <x:c r="F3363" t="n">
        <x:v>9</x:v>
      </x:c>
      <x:c r="G3363" t="n">
        <x:v>6</x:v>
      </x:c>
      <x:c r="H3363" t="n">
        <x:v>6</x:v>
      </x:c>
      <x:c r="I3363" t="str">
        <x:v>À qualifier par lieu</x:v>
      </x:c>
      <x:c r="J3363" t="str">
        <x:v>https://github.com/darknigthmare/deadwall-last-enclosure/blob/e28f46223e73105ab2c5d83f3d50b99b58ef53e6/codex-3000/addendum-1.58/PROGRAMMES_B.json</x:v>
      </x:c>
      <x:c r="K3363" t="str">
        <x:v>Source min 42,45 m ; max 42,45 m ; modèle 42 × 45 m ; niveaux 0. Détails dans catalogue-existant.json.</x:v>
      </x:c>
    </x:row>
    <x:row r="3364">
      <x:c r="A3364" t="str">
        <x:v>DW-3359</x:v>
      </x:c>
      <x:c r="B3364" t="str">
        <x:v>DW-3359</x:v>
      </x:c>
      <x:c r="C3364" t="str">
        <x:v>Parent indépendant 1.58</x:v>
      </x:c>
      <x:c r="D3364" t="str">
        <x:v>Commerces non alimentaires</x:v>
      </x:c>
      <x:c r="E3364" t="str">
        <x:v>Magasin de clôtures de jardin</x:v>
      </x:c>
      <x:c r="F3364" t="n">
        <x:v>9</x:v>
      </x:c>
      <x:c r="G3364" t="n">
        <x:v>6</x:v>
      </x:c>
      <x:c r="H3364" t="n">
        <x:v>6</x:v>
      </x:c>
      <x:c r="I3364" t="str">
        <x:v>À qualifier par lieu</x:v>
      </x:c>
      <x:c r="J3364" t="str">
        <x:v>https://github.com/darknigthmare/deadwall-last-enclosure/blob/e28f46223e73105ab2c5d83f3d50b99b58ef53e6/codex-3000/addendum-1.58/PROGRAMMES_B.json</x:v>
      </x:c>
      <x:c r="K3364" t="str">
        <x:v>Source min 30,28 m ; max 30,28 m ; modèle 30 × 28 m ; niveaux 0, 1. Détails dans catalogue-existant.json.</x:v>
      </x:c>
    </x:row>
    <x:row r="3365">
      <x:c r="A3365" t="str">
        <x:v>DW-3360</x:v>
      </x:c>
      <x:c r="B3365" t="str">
        <x:v>DW-3360</x:v>
      </x:c>
      <x:c r="C3365" t="str">
        <x:v>Parent indépendant 1.58</x:v>
      </x:c>
      <x:c r="D3365" t="str">
        <x:v>Commerces non alimentaires</x:v>
      </x:c>
      <x:c r="E3365" t="str">
        <x:v>Boutique d'accessoires de serre</x:v>
      </x:c>
      <x:c r="F3365" t="n">
        <x:v>9</x:v>
      </x:c>
      <x:c r="G3365" t="n">
        <x:v>6</x:v>
      </x:c>
      <x:c r="H3365" t="n">
        <x:v>6</x:v>
      </x:c>
      <x:c r="I3365" t="str">
        <x:v>À qualifier par lieu</x:v>
      </x:c>
      <x:c r="J3365" t="str">
        <x:v>https://github.com/darknigthmare/deadwall-last-enclosure/blob/e28f46223e73105ab2c5d83f3d50b99b58ef53e6/codex-3000/addendum-1.58/PROGRAMMES_B.json</x:v>
      </x:c>
      <x:c r="K3365" t="str">
        <x:v>Source min 34,39 m ; max 34,39 m ; modèle 34 × 39 m ; niveaux 0. Détails dans catalogue-existant.json.</x:v>
      </x:c>
    </x:row>
    <x:row r="3366">
      <x:c r="A3366" t="str">
        <x:v>DW-3361</x:v>
      </x:c>
      <x:c r="B3366" t="str">
        <x:v>DW-3361</x:v>
      </x:c>
      <x:c r="C3366" t="str">
        <x:v>Parent indépendant 1.58</x:v>
      </x:c>
      <x:c r="D3366" t="str">
        <x:v>Commerces non alimentaires</x:v>
      </x:c>
      <x:c r="E3366" t="str">
        <x:v>Comptoir de radios de terrain</x:v>
      </x:c>
      <x:c r="F3366" t="n">
        <x:v>9</x:v>
      </x:c>
      <x:c r="G3366" t="n">
        <x:v>6</x:v>
      </x:c>
      <x:c r="H3366" t="n">
        <x:v>6</x:v>
      </x:c>
      <x:c r="I3366" t="str">
        <x:v>À qualifier par lieu</x:v>
      </x:c>
      <x:c r="J3366" t="str">
        <x:v>https://github.com/darknigthmare/deadwall-last-enclosure/blob/e28f46223e73105ab2c5d83f3d50b99b58ef53e6/codex-3000/addendum-1.58/PROGRAMMES_B.json</x:v>
      </x:c>
      <x:c r="K3366" t="str">
        <x:v>Source min 38,42 m ; max 38,42 m ; modèle 38 × 42 m ; niveaux 0. Détails dans catalogue-existant.json.</x:v>
      </x:c>
    </x:row>
    <x:row r="3367">
      <x:c r="A3367" t="str">
        <x:v>DW-3362</x:v>
      </x:c>
      <x:c r="B3367" t="str">
        <x:v>DW-3362</x:v>
      </x:c>
      <x:c r="C3367" t="str">
        <x:v>Parent indépendant 1.58</x:v>
      </x:c>
      <x:c r="D3367" t="str">
        <x:v>Commerces non alimentaires</x:v>
      </x:c>
      <x:c r="E3367" t="str">
        <x:v>Boutique de composants électroniques amateurs</x:v>
      </x:c>
      <x:c r="F3367" t="n">
        <x:v>9</x:v>
      </x:c>
      <x:c r="G3367" t="n">
        <x:v>6</x:v>
      </x:c>
      <x:c r="H3367" t="n">
        <x:v>6</x:v>
      </x:c>
      <x:c r="I3367" t="str">
        <x:v>À qualifier par lieu</x:v>
      </x:c>
      <x:c r="J3367" t="str">
        <x:v>https://github.com/darknigthmare/deadwall-last-enclosure/blob/e28f46223e73105ab2c5d83f3d50b99b58ef53e6/codex-3000/addendum-1.58/PROGRAMMES_B.json</x:v>
      </x:c>
      <x:c r="K3367" t="str">
        <x:v>Source min 42,28 m ; max 42,28 m ; modèle 42 × 28 m ; niveaux 0, 1. Détails dans catalogue-existant.json.</x:v>
      </x:c>
    </x:row>
    <x:row r="3368">
      <x:c r="A3368" t="str">
        <x:v>DW-3363</x:v>
      </x:c>
      <x:c r="B3368" t="str">
        <x:v>DW-3363</x:v>
      </x:c>
      <x:c r="C3368" t="str">
        <x:v>Parent indépendant 1.58</x:v>
      </x:c>
      <x:c r="D3368" t="str">
        <x:v>Commerces non alimentaires</x:v>
      </x:c>
      <x:c r="E3368" t="str">
        <x:v>Magasin d'accessoires de réseau domestique</x:v>
      </x:c>
      <x:c r="F3368" t="n">
        <x:v>9</x:v>
      </x:c>
      <x:c r="G3368" t="n">
        <x:v>6</x:v>
      </x:c>
      <x:c r="H3368" t="n">
        <x:v>6</x:v>
      </x:c>
      <x:c r="I3368" t="str">
        <x:v>À qualifier par lieu</x:v>
      </x:c>
      <x:c r="J3368" t="str">
        <x:v>https://github.com/darknigthmare/deadwall-last-enclosure/blob/e28f46223e73105ab2c5d83f3d50b99b58ef53e6/codex-3000/addendum-1.58/PROGRAMMES_B.json</x:v>
      </x:c>
      <x:c r="K3368" t="str">
        <x:v>Source min 30,36 m ; max 30,36 m ; modèle 30 × 36 m ; niveaux 0. Détails dans catalogue-existant.json.</x:v>
      </x:c>
    </x:row>
    <x:row r="3369">
      <x:c r="A3369" t="str">
        <x:v>DW-3364</x:v>
      </x:c>
      <x:c r="B3369" t="str">
        <x:v>DW-3364</x:v>
      </x:c>
      <x:c r="C3369" t="str">
        <x:v>Parent indépendant 1.58</x:v>
      </x:c>
      <x:c r="D3369" t="str">
        <x:v>Commerces non alimentaires</x:v>
      </x:c>
      <x:c r="E3369" t="str">
        <x:v>Comptoir de claviers adaptés</x:v>
      </x:c>
      <x:c r="F3369" t="n">
        <x:v>9</x:v>
      </x:c>
      <x:c r="G3369" t="n">
        <x:v>6</x:v>
      </x:c>
      <x:c r="H3369" t="n">
        <x:v>6</x:v>
      </x:c>
      <x:c r="I3369" t="str">
        <x:v>À qualifier par lieu</x:v>
      </x:c>
      <x:c r="J3369" t="str">
        <x:v>https://github.com/darknigthmare/deadwall-last-enclosure/blob/e28f46223e73105ab2c5d83f3d50b99b58ef53e6/codex-3000/addendum-1.58/PROGRAMMES_B.json</x:v>
      </x:c>
      <x:c r="K3369" t="str">
        <x:v>Source min 34,39 m ; max 34,39 m ; modèle 34 × 39 m ; niveaux 0. Détails dans catalogue-existant.json.</x:v>
      </x:c>
    </x:row>
    <x:row r="3370">
      <x:c r="A3370" t="str">
        <x:v>DW-3365</x:v>
      </x:c>
      <x:c r="B3370" t="str">
        <x:v>DW-3365</x:v>
      </x:c>
      <x:c r="C3370" t="str">
        <x:v>Parent indépendant 1.58</x:v>
      </x:c>
      <x:c r="D3370" t="str">
        <x:v>Commerces non alimentaires</x:v>
      </x:c>
      <x:c r="E3370" t="str">
        <x:v>Boutique de supports numériques archivables</x:v>
      </x:c>
      <x:c r="F3370" t="n">
        <x:v>9</x:v>
      </x:c>
      <x:c r="G3370" t="n">
        <x:v>6</x:v>
      </x:c>
      <x:c r="H3370" t="n">
        <x:v>6</x:v>
      </x:c>
      <x:c r="I3370" t="str">
        <x:v>À qualifier par lieu</x:v>
      </x:c>
      <x:c r="J3370" t="str">
        <x:v>https://github.com/darknigthmare/deadwall-last-enclosure/blob/e28f46223e73105ab2c5d83f3d50b99b58ef53e6/codex-3000/addendum-1.58/PROGRAMMES_B.json</x:v>
      </x:c>
      <x:c r="K3370" t="str">
        <x:v>Source min 38,28 m ; max 38,28 m ; modèle 38 × 28 m ; niveaux 0, 1. Détails dans catalogue-existant.json.</x:v>
      </x:c>
    </x:row>
    <x:row r="3371">
      <x:c r="A3371" t="str">
        <x:v>DW-3366</x:v>
      </x:c>
      <x:c r="B3371" t="str">
        <x:v>DW-3366</x:v>
      </x:c>
      <x:c r="C3371" t="str">
        <x:v>Parent indépendant 1.58</x:v>
      </x:c>
      <x:c r="D3371" t="str">
        <x:v>Commerces non alimentaires</x:v>
      </x:c>
      <x:c r="E3371" t="str">
        <x:v>Magasin de consommables d'impression</x:v>
      </x:c>
      <x:c r="F3371" t="n">
        <x:v>9</x:v>
      </x:c>
      <x:c r="G3371" t="n">
        <x:v>6</x:v>
      </x:c>
      <x:c r="H3371" t="n">
        <x:v>6</x:v>
      </x:c>
      <x:c r="I3371" t="str">
        <x:v>À qualifier par lieu</x:v>
      </x:c>
      <x:c r="J3371" t="str">
        <x:v>https://github.com/darknigthmare/deadwall-last-enclosure/blob/e28f46223e73105ab2c5d83f3d50b99b58ef53e6/codex-3000/addendum-1.58/PROGRAMMES_B.json</x:v>
      </x:c>
      <x:c r="K3371" t="str">
        <x:v>Source min 42,45 m ; max 42,45 m ; modèle 42 × 45 m ; niveaux 0. Détails dans catalogue-existant.json.</x:v>
      </x:c>
    </x:row>
    <x:row r="3372">
      <x:c r="A3372" t="str">
        <x:v>DW-3367</x:v>
      </x:c>
      <x:c r="B3372" t="str">
        <x:v>DW-3367</x:v>
      </x:c>
      <x:c r="C3372" t="str">
        <x:v>Parent indépendant 1.58</x:v>
      </x:c>
      <x:c r="D3372" t="str">
        <x:v>Commerces non alimentaires</x:v>
      </x:c>
      <x:c r="E3372" t="str">
        <x:v>Comptoir de connectique audiovisuelle</x:v>
      </x:c>
      <x:c r="F3372" t="n">
        <x:v>9</x:v>
      </x:c>
      <x:c r="G3372" t="n">
        <x:v>6</x:v>
      </x:c>
      <x:c r="H3372" t="n">
        <x:v>6</x:v>
      </x:c>
      <x:c r="I3372" t="str">
        <x:v>À qualifier par lieu</x:v>
      </x:c>
      <x:c r="J3372" t="str">
        <x:v>https://github.com/darknigthmare/deadwall-last-enclosure/blob/e28f46223e73105ab2c5d83f3d50b99b58ef53e6/codex-3000/addendum-1.58/PROGRAMMES_B.json</x:v>
      </x:c>
      <x:c r="K3372" t="str">
        <x:v>Source min 30,36 m ; max 30,36 m ; modèle 30 × 36 m ; niveaux 0. Détails dans catalogue-existant.json.</x:v>
      </x:c>
    </x:row>
    <x:row r="3373">
      <x:c r="A3373" t="str">
        <x:v>DW-3368</x:v>
      </x:c>
      <x:c r="B3373" t="str">
        <x:v>DW-3368</x:v>
      </x:c>
      <x:c r="C3373" t="str">
        <x:v>Parent indépendant 1.58</x:v>
      </x:c>
      <x:c r="D3373" t="str">
        <x:v>Commerces non alimentaires</x:v>
      </x:c>
      <x:c r="E3373" t="str">
        <x:v>Boutique de lampes de lecture</x:v>
      </x:c>
      <x:c r="F3373" t="n">
        <x:v>9</x:v>
      </x:c>
      <x:c r="G3373" t="n">
        <x:v>6</x:v>
      </x:c>
      <x:c r="H3373" t="n">
        <x:v>6</x:v>
      </x:c>
      <x:c r="I3373" t="str">
        <x:v>À qualifier par lieu</x:v>
      </x:c>
      <x:c r="J3373" t="str">
        <x:v>https://github.com/darknigthmare/deadwall-last-enclosure/blob/e28f46223e73105ab2c5d83f3d50b99b58ef53e6/codex-3000/addendum-1.58/PROGRAMMES_B.json</x:v>
      </x:c>
      <x:c r="K3373" t="str">
        <x:v>Source min 34,28 m ; max 34,28 m ; modèle 34 × 28 m ; niveaux 0, 1. Détails dans catalogue-existant.json.</x:v>
      </x:c>
    </x:row>
    <x:row r="3374">
      <x:c r="A3374" t="str">
        <x:v>DW-3369</x:v>
      </x:c>
      <x:c r="B3374" t="str">
        <x:v>DW-3369</x:v>
      </x:c>
      <x:c r="C3374" t="str">
        <x:v>Parent indépendant 1.58</x:v>
      </x:c>
      <x:c r="D3374" t="str">
        <x:v>Commerces non alimentaires</x:v>
      </x:c>
      <x:c r="E3374" t="str">
        <x:v>Magasin de rangements de médias</x:v>
      </x:c>
      <x:c r="F3374" t="n">
        <x:v>9</x:v>
      </x:c>
      <x:c r="G3374" t="n">
        <x:v>6</x:v>
      </x:c>
      <x:c r="H3374" t="n">
        <x:v>6</x:v>
      </x:c>
      <x:c r="I3374" t="str">
        <x:v>À qualifier par lieu</x:v>
      </x:c>
      <x:c r="J3374" t="str">
        <x:v>https://github.com/darknigthmare/deadwall-last-enclosure/blob/e28f46223e73105ab2c5d83f3d50b99b58ef53e6/codex-3000/addendum-1.58/PROGRAMMES_B.json</x:v>
      </x:c>
      <x:c r="K3374" t="str">
        <x:v>Source min 38,42 m ; max 38,42 m ; modèle 38 × 42 m ; niveaux 0. Détails dans catalogue-existant.json.</x:v>
      </x:c>
    </x:row>
    <x:row r="3375">
      <x:c r="A3375" t="str">
        <x:v>DW-3370</x:v>
      </x:c>
      <x:c r="B3375" t="str">
        <x:v>DW-3370</x:v>
      </x:c>
      <x:c r="C3375" t="str">
        <x:v>Parent indépendant 1.58</x:v>
      </x:c>
      <x:c r="D3375" t="str">
        <x:v>Commerces non alimentaires</x:v>
      </x:c>
      <x:c r="E3375" t="str">
        <x:v>Comptoir de mobilier informatique réglable</x:v>
      </x:c>
      <x:c r="F3375" t="n">
        <x:v>9</x:v>
      </x:c>
      <x:c r="G3375" t="n">
        <x:v>6</x:v>
      </x:c>
      <x:c r="H3375" t="n">
        <x:v>6</x:v>
      </x:c>
      <x:c r="I3375" t="str">
        <x:v>À qualifier par lieu</x:v>
      </x:c>
      <x:c r="J3375" t="str">
        <x:v>https://github.com/darknigthmare/deadwall-last-enclosure/blob/e28f46223e73105ab2c5d83f3d50b99b58ef53e6/codex-3000/addendum-1.58/PROGRAMMES_B.json</x:v>
      </x:c>
      <x:c r="K3375" t="str">
        <x:v>Source min 42,45 m ; max 42,45 m ; modèle 42 × 45 m ; niveaux 0. Détails dans catalogue-existant.json.</x:v>
      </x:c>
    </x:row>
    <x:row r="3376">
      <x:c r="A3376" t="str">
        <x:v>DW-3371</x:v>
      </x:c>
      <x:c r="B3376" t="str">
        <x:v>DW-3371</x:v>
      </x:c>
      <x:c r="C3376" t="str">
        <x:v>Parent indépendant 1.58</x:v>
      </x:c>
      <x:c r="D3376" t="str">
        <x:v>Commerces non alimentaires</x:v>
      </x:c>
      <x:c r="E3376" t="str">
        <x:v>Boutique de balances de cuisine</x:v>
      </x:c>
      <x:c r="F3376" t="n">
        <x:v>9</x:v>
      </x:c>
      <x:c r="G3376" t="n">
        <x:v>6</x:v>
      </x:c>
      <x:c r="H3376" t="n">
        <x:v>6</x:v>
      </x:c>
      <x:c r="I3376" t="str">
        <x:v>À qualifier par lieu</x:v>
      </x:c>
      <x:c r="J3376" t="str">
        <x:v>https://github.com/darknigthmare/deadwall-last-enclosure/blob/e28f46223e73105ab2c5d83f3d50b99b58ef53e6/codex-3000/addendum-1.58/PROGRAMMES_B.json</x:v>
      </x:c>
      <x:c r="K3376" t="str">
        <x:v>Source min 30,28 m ; max 30,28 m ; modèle 30 × 28 m ; niveaux 0, 1. Détails dans catalogue-existant.json.</x:v>
      </x:c>
    </x:row>
    <x:row r="3377">
      <x:c r="A3377" t="str">
        <x:v>DW-3372</x:v>
      </x:c>
      <x:c r="B3377" t="str">
        <x:v>DW-3372</x:v>
      </x:c>
      <x:c r="C3377" t="str">
        <x:v>Parent indépendant 1.58</x:v>
      </x:c>
      <x:c r="D3377" t="str">
        <x:v>Commerces non alimentaires</x:v>
      </x:c>
      <x:c r="E3377" t="str">
        <x:v>Comptoir de contenants alimentaires réutilisables</x:v>
      </x:c>
      <x:c r="F3377" t="n">
        <x:v>9</x:v>
      </x:c>
      <x:c r="G3377" t="n">
        <x:v>6</x:v>
      </x:c>
      <x:c r="H3377" t="n">
        <x:v>6</x:v>
      </x:c>
      <x:c r="I3377" t="str">
        <x:v>À qualifier par lieu</x:v>
      </x:c>
      <x:c r="J3377" t="str">
        <x:v>https://github.com/darknigthmare/deadwall-last-enclosure/blob/e28f46223e73105ab2c5d83f3d50b99b58ef53e6/codex-3000/addendum-1.58/PROGRAMMES_B.json</x:v>
      </x:c>
      <x:c r="K3377" t="str">
        <x:v>Source min 34,39 m ; max 34,39 m ; modèle 34 × 39 m ; niveaux 0. Détails dans catalogue-existant.json.</x:v>
      </x:c>
    </x:row>
    <x:row r="3378">
      <x:c r="A3378" t="str">
        <x:v>DW-3373</x:v>
      </x:c>
      <x:c r="B3378" t="str">
        <x:v>DW-3373</x:v>
      </x:c>
      <x:c r="C3378" t="str">
        <x:v>Parent indépendant 1.58</x:v>
      </x:c>
      <x:c r="D3378" t="str">
        <x:v>Commerces non alimentaires</x:v>
      </x:c>
      <x:c r="E3378" t="str">
        <x:v>Boutique d'ustensiles de pâtisserie</x:v>
      </x:c>
      <x:c r="F3378" t="n">
        <x:v>9</x:v>
      </x:c>
      <x:c r="G3378" t="n">
        <x:v>6</x:v>
      </x:c>
      <x:c r="H3378" t="n">
        <x:v>6</x:v>
      </x:c>
      <x:c r="I3378" t="str">
        <x:v>À qualifier par lieu</x:v>
      </x:c>
      <x:c r="J3378" t="str">
        <x:v>https://github.com/darknigthmare/deadwall-last-enclosure/blob/e28f46223e73105ab2c5d83f3d50b99b58ef53e6/codex-3000/addendum-1.58/PROGRAMMES_B.json</x:v>
      </x:c>
      <x:c r="K3378" t="str">
        <x:v>Source min 38,42 m ; max 38,42 m ; modèle 38 × 42 m ; niveaux 0. Détails dans catalogue-existant.json.</x:v>
      </x:c>
    </x:row>
    <x:row r="3379">
      <x:c r="A3379" t="str">
        <x:v>DW-3374</x:v>
      </x:c>
      <x:c r="B3379" t="str">
        <x:v>DW-3374</x:v>
      </x:c>
      <x:c r="C3379" t="str">
        <x:v>Parent indépendant 1.58</x:v>
      </x:c>
      <x:c r="D3379" t="str">
        <x:v>Commerces non alimentaires</x:v>
      </x:c>
      <x:c r="E3379" t="str">
        <x:v>Magasin d'articles de conservation domestique</x:v>
      </x:c>
      <x:c r="F3379" t="n">
        <x:v>9</x:v>
      </x:c>
      <x:c r="G3379" t="n">
        <x:v>6</x:v>
      </x:c>
      <x:c r="H3379" t="n">
        <x:v>6</x:v>
      </x:c>
      <x:c r="I3379" t="str">
        <x:v>À qualifier par lieu</x:v>
      </x:c>
      <x:c r="J3379" t="str">
        <x:v>https://github.com/darknigthmare/deadwall-last-enclosure/blob/e28f46223e73105ab2c5d83f3d50b99b58ef53e6/codex-3000/addendum-1.58/PROGRAMMES_B.json</x:v>
      </x:c>
      <x:c r="K3379" t="str">
        <x:v>Source min 42,28 m ; max 42,28 m ; modèle 42 × 28 m ; niveaux 0, 1. Détails dans catalogue-existant.json.</x:v>
      </x:c>
    </x:row>
    <x:row r="3380">
      <x:c r="A3380" t="str">
        <x:v>DW-3375</x:v>
      </x:c>
      <x:c r="B3380" t="str">
        <x:v>DW-3375</x:v>
      </x:c>
      <x:c r="C3380" t="str">
        <x:v>Parent indépendant 1.58</x:v>
      </x:c>
      <x:c r="D3380" t="str">
        <x:v>Commerces non alimentaires</x:v>
      </x:c>
      <x:c r="E3380" t="str">
        <x:v>Comptoir de vaisselle de collectivité</x:v>
      </x:c>
      <x:c r="F3380" t="n">
        <x:v>9</x:v>
      </x:c>
      <x:c r="G3380" t="n">
        <x:v>6</x:v>
      </x:c>
      <x:c r="H3380" t="n">
        <x:v>6</x:v>
      </x:c>
      <x:c r="I3380" t="str">
        <x:v>À qualifier par lieu</x:v>
      </x:c>
      <x:c r="J3380" t="str">
        <x:v>https://github.com/darknigthmare/deadwall-last-enclosure/blob/e28f46223e73105ab2c5d83f3d50b99b58ef53e6/codex-3000/addendum-1.58/PROGRAMMES_B.json</x:v>
      </x:c>
      <x:c r="K3380" t="str">
        <x:v>Source min 30,36 m ; max 30,36 m ; modèle 30 × 36 m ; niveaux 0. Détails dans catalogue-existant.json.</x:v>
      </x:c>
    </x:row>
    <x:row r="3381">
      <x:c r="A3381" t="str">
        <x:v>DW-3376</x:v>
      </x:c>
      <x:c r="B3381" t="str">
        <x:v>DW-3376</x:v>
      </x:c>
      <x:c r="C3381" t="str">
        <x:v>Parent indépendant 1.58</x:v>
      </x:c>
      <x:c r="D3381" t="str">
        <x:v>Commerces non alimentaires</x:v>
      </x:c>
      <x:c r="E3381" t="str">
        <x:v>Boutique d'ustensiles de cuisson extérieure</x:v>
      </x:c>
      <x:c r="F3381" t="n">
        <x:v>9</x:v>
      </x:c>
      <x:c r="G3381" t="n">
        <x:v>6</x:v>
      </x:c>
      <x:c r="H3381" t="n">
        <x:v>6</x:v>
      </x:c>
      <x:c r="I3381" t="str">
        <x:v>À qualifier par lieu</x:v>
      </x:c>
      <x:c r="J3381" t="str">
        <x:v>https://github.com/darknigthmare/deadwall-last-enclosure/blob/e28f46223e73105ab2c5d83f3d50b99b58ef53e6/codex-3000/addendum-1.58/PROGRAMMES_B.json</x:v>
      </x:c>
      <x:c r="K3381" t="str">
        <x:v>Source min 34,39 m ; max 34,39 m ; modèle 34 × 39 m ; niveaux 0. Détails dans catalogue-existant.json.</x:v>
      </x:c>
    </x:row>
    <x:row r="3382">
      <x:c r="A3382" t="str">
        <x:v>DW-3377</x:v>
      </x:c>
      <x:c r="B3382" t="str">
        <x:v>DW-3377</x:v>
      </x:c>
      <x:c r="C3382" t="str">
        <x:v>Parent indépendant 1.58</x:v>
      </x:c>
      <x:c r="D3382" t="str">
        <x:v>Commerces non alimentaires</x:v>
      </x:c>
      <x:c r="E3382" t="str">
        <x:v>Magasin de brosses et entretien manuel</x:v>
      </x:c>
      <x:c r="F3382" t="n">
        <x:v>9</x:v>
      </x:c>
      <x:c r="G3382" t="n">
        <x:v>6</x:v>
      </x:c>
      <x:c r="H3382" t="n">
        <x:v>6</x:v>
      </x:c>
      <x:c r="I3382" t="str">
        <x:v>À qualifier par lieu</x:v>
      </x:c>
      <x:c r="J3382" t="str">
        <x:v>https://github.com/darknigthmare/deadwall-last-enclosure/blob/e28f46223e73105ab2c5d83f3d50b99b58ef53e6/codex-3000/addendum-1.58/PROGRAMMES_B.json</x:v>
      </x:c>
      <x:c r="K3382" t="str">
        <x:v>Source min 38,28 m ; max 38,28 m ; modèle 38 × 28 m ; niveaux 0, 1. Détails dans catalogue-existant.json.</x:v>
      </x:c>
    </x:row>
    <x:row r="3383">
      <x:c r="A3383" t="str">
        <x:v>DW-3378</x:v>
      </x:c>
      <x:c r="B3383" t="str">
        <x:v>DW-3378</x:v>
      </x:c>
      <x:c r="C3383" t="str">
        <x:v>Parent indépendant 1.58</x:v>
      </x:c>
      <x:c r="D3383" t="str">
        <x:v>Commerces non alimentaires</x:v>
      </x:c>
      <x:c r="E3383" t="str">
        <x:v>Comptoir de fournitures de réparation textile</x:v>
      </x:c>
      <x:c r="F3383" t="n">
        <x:v>9</x:v>
      </x:c>
      <x:c r="G3383" t="n">
        <x:v>6</x:v>
      </x:c>
      <x:c r="H3383" t="n">
        <x:v>6</x:v>
      </x:c>
      <x:c r="I3383" t="str">
        <x:v>À qualifier par lieu</x:v>
      </x:c>
      <x:c r="J3383" t="str">
        <x:v>https://github.com/darknigthmare/deadwall-last-enclosure/blob/e28f46223e73105ab2c5d83f3d50b99b58ef53e6/codex-3000/addendum-1.58/PROGRAMMES_B.json</x:v>
      </x:c>
      <x:c r="K3383" t="str">
        <x:v>Source min 42,45 m ; max 42,45 m ; modèle 42 × 45 m ; niveaux 0. Détails dans catalogue-existant.json.</x:v>
      </x:c>
    </x:row>
    <x:row r="3384">
      <x:c r="A3384" t="str">
        <x:v>DW-3379</x:v>
      </x:c>
      <x:c r="B3384" t="str">
        <x:v>DW-3379</x:v>
      </x:c>
      <x:c r="C3384" t="str">
        <x:v>Parent indépendant 1.58</x:v>
      </x:c>
      <x:c r="D3384" t="str">
        <x:v>Commerces non alimentaires</x:v>
      </x:c>
      <x:c r="E3384" t="str">
        <x:v>Boutique d'emballages de réemploi</x:v>
      </x:c>
      <x:c r="F3384" t="n">
        <x:v>9</x:v>
      </x:c>
      <x:c r="G3384" t="n">
        <x:v>6</x:v>
      </x:c>
      <x:c r="H3384" t="n">
        <x:v>6</x:v>
      </x:c>
      <x:c r="I3384" t="str">
        <x:v>À qualifier par lieu</x:v>
      </x:c>
      <x:c r="J3384" t="str">
        <x:v>https://github.com/darknigthmare/deadwall-last-enclosure/blob/e28f46223e73105ab2c5d83f3d50b99b58ef53e6/codex-3000/addendum-1.58/PROGRAMMES_B.json</x:v>
      </x:c>
      <x:c r="K3384" t="str">
        <x:v>Source min 30,36 m ; max 30,36 m ; modèle 30 × 36 m ; niveaux 0. Détails dans catalogue-existant.json.</x:v>
      </x:c>
    </x:row>
    <x:row r="3385">
      <x:c r="A3385" t="str">
        <x:v>DW-3380</x:v>
      </x:c>
      <x:c r="B3385" t="str">
        <x:v>DW-3380</x:v>
      </x:c>
      <x:c r="C3385" t="str">
        <x:v>Parent indépendant 1.58</x:v>
      </x:c>
      <x:c r="D3385" t="str">
        <x:v>Commerces non alimentaires</x:v>
      </x:c>
      <x:c r="E3385" t="str">
        <x:v>Magasin d'accessoires pour animaux âgés</x:v>
      </x:c>
      <x:c r="F3385" t="n">
        <x:v>9</x:v>
      </x:c>
      <x:c r="G3385" t="n">
        <x:v>6</x:v>
      </x:c>
      <x:c r="H3385" t="n">
        <x:v>6</x:v>
      </x:c>
      <x:c r="I3385" t="str">
        <x:v>À qualifier par lieu</x:v>
      </x:c>
      <x:c r="J3385" t="str">
        <x:v>https://github.com/darknigthmare/deadwall-last-enclosure/blob/e28f46223e73105ab2c5d83f3d50b99b58ef53e6/codex-3000/addendum-1.58/PROGRAMMES_B.json</x:v>
      </x:c>
      <x:c r="K3385" t="str">
        <x:v>Source min 34,28 m ; max 34,28 m ; modèle 34 × 28 m ; niveaux 0, 1. Détails dans catalogue-existant.json.</x:v>
      </x:c>
    </x:row>
    <x:row r="3386">
      <x:c r="A3386" t="str">
        <x:v>DW-3381</x:v>
      </x:c>
      <x:c r="B3386" t="str">
        <x:v>DW-3381</x:v>
      </x:c>
      <x:c r="C3386" t="str">
        <x:v>Parent indépendant 1.58</x:v>
      </x:c>
      <x:c r="D3386" t="str">
        <x:v>Loisirs et culture</x:v>
      </x:c>
      <x:c r="E3386" t="str">
        <x:v>Maison de mémoire orale</x:v>
      </x:c>
      <x:c r="F3386" t="n">
        <x:v>9</x:v>
      </x:c>
      <x:c r="G3386" t="n">
        <x:v>6</x:v>
      </x:c>
      <x:c r="H3386" t="n">
        <x:v>6</x:v>
      </x:c>
      <x:c r="I3386" t="str">
        <x:v>À qualifier par lieu</x:v>
      </x:c>
      <x:c r="J3386" t="str">
        <x:v>https://github.com/darknigthmare/deadwall-last-enclosure/blob/e28f46223e73105ab2c5d83f3d50b99b58ef53e6/codex-3000/addendum-1.58/PROGRAMMES_B.json</x:v>
      </x:c>
      <x:c r="K3386" t="str">
        <x:v>Source min 38,31 m ; max 38,31 m ; modèle 38 × 31 m ; niveaux 0, 1. Détails dans catalogue-existant.json.</x:v>
      </x:c>
    </x:row>
    <x:row r="3387">
      <x:c r="A3387" t="str">
        <x:v>DW-3382</x:v>
      </x:c>
      <x:c r="B3387" t="str">
        <x:v>DW-3382</x:v>
      </x:c>
      <x:c r="C3387" t="str">
        <x:v>Parent indépendant 1.58</x:v>
      </x:c>
      <x:c r="D3387" t="str">
        <x:v>Loisirs et culture</x:v>
      </x:c>
      <x:c r="E3387" t="str">
        <x:v>Centre de conservation de cartes postales</x:v>
      </x:c>
      <x:c r="F3387" t="n">
        <x:v>9</x:v>
      </x:c>
      <x:c r="G3387" t="n">
        <x:v>6</x:v>
      </x:c>
      <x:c r="H3387" t="n">
        <x:v>6</x:v>
      </x:c>
      <x:c r="I3387" t="str">
        <x:v>À qualifier par lieu</x:v>
      </x:c>
      <x:c r="J3387" t="str">
        <x:v>https://github.com/darknigthmare/deadwall-last-enclosure/blob/e28f46223e73105ab2c5d83f3d50b99b58ef53e6/codex-3000/addendum-1.58/PROGRAMMES_B.json</x:v>
      </x:c>
      <x:c r="K3387" t="str">
        <x:v>Source min 42,34 m ; max 42,34 m ; modèle 42 × 34 m ; niveaux 0, 1. Détails dans catalogue-existant.json.</x:v>
      </x:c>
    </x:row>
    <x:row r="3388">
      <x:c r="A3388" t="str">
        <x:v>DW-3383</x:v>
      </x:c>
      <x:c r="B3388" t="str">
        <x:v>DW-3383</x:v>
      </x:c>
      <x:c r="C3388" t="str">
        <x:v>Parent indépendant 1.58</x:v>
      </x:c>
      <x:c r="D3388" t="str">
        <x:v>Loisirs et culture</x:v>
      </x:c>
      <x:c r="E3388" t="str">
        <x:v>Archives de photographie de quartier</x:v>
      </x:c>
      <x:c r="F3388" t="n">
        <x:v>9</x:v>
      </x:c>
      <x:c r="G3388" t="n">
        <x:v>6</x:v>
      </x:c>
      <x:c r="H3388" t="n">
        <x:v>6</x:v>
      </x:c>
      <x:c r="I3388" t="str">
        <x:v>À qualifier par lieu</x:v>
      </x:c>
      <x:c r="J3388" t="str">
        <x:v>https://github.com/darknigthmare/deadwall-last-enclosure/blob/e28f46223e73105ab2c5d83f3d50b99b58ef53e6/codex-3000/addendum-1.58/PROGRAMMES_B.json</x:v>
      </x:c>
      <x:c r="K3388" t="str">
        <x:v>Source min 30,28 m ; max 30,28 m ; modèle 30 × 28 m ; niveaux 0, 1. Détails dans catalogue-existant.json.</x:v>
      </x:c>
    </x:row>
    <x:row r="3389">
      <x:c r="A3389" t="str">
        <x:v>DW-3384</x:v>
      </x:c>
      <x:c r="B3389" t="str">
        <x:v>DW-3384</x:v>
      </x:c>
      <x:c r="C3389" t="str">
        <x:v>Parent indépendant 1.58</x:v>
      </x:c>
      <x:c r="D3389" t="str">
        <x:v>Loisirs et culture</x:v>
      </x:c>
      <x:c r="E3389" t="str">
        <x:v>Atelier patrimonial de marionnettes</x:v>
      </x:c>
      <x:c r="F3389" t="n">
        <x:v>9</x:v>
      </x:c>
      <x:c r="G3389" t="n">
        <x:v>6</x:v>
      </x:c>
      <x:c r="H3389" t="n">
        <x:v>6</x:v>
      </x:c>
      <x:c r="I3389" t="str">
        <x:v>À qualifier par lieu</x:v>
      </x:c>
      <x:c r="J3389" t="str">
        <x:v>https://github.com/darknigthmare/deadwall-last-enclosure/blob/e28f46223e73105ab2c5d83f3d50b99b58ef53e6/codex-3000/addendum-1.58/PROGRAMMES_B.json</x:v>
      </x:c>
      <x:c r="K3389" t="str">
        <x:v>Source min 34,31 m ; max 34,31 m ; modèle 34 × 31 m ; niveaux 0, 1. Détails dans catalogue-existant.json.</x:v>
      </x:c>
    </x:row>
    <x:row r="3390">
      <x:c r="A3390" t="str">
        <x:v>DW-3385</x:v>
      </x:c>
      <x:c r="B3390" t="str">
        <x:v>DW-3385</x:v>
      </x:c>
      <x:c r="C3390" t="str">
        <x:v>Parent indépendant 1.58</x:v>
      </x:c>
      <x:c r="D3390" t="str">
        <x:v>Loisirs et culture</x:v>
      </x:c>
      <x:c r="E3390" t="str">
        <x:v>Réserve de costumes de spectacle</x:v>
      </x:c>
      <x:c r="F3390" t="n">
        <x:v>9</x:v>
      </x:c>
      <x:c r="G3390" t="n">
        <x:v>6</x:v>
      </x:c>
      <x:c r="H3390" t="n">
        <x:v>6</x:v>
      </x:c>
      <x:c r="I3390" t="str">
        <x:v>À qualifier par lieu</x:v>
      </x:c>
      <x:c r="J3390" t="str">
        <x:v>https://github.com/darknigthmare/deadwall-last-enclosure/blob/e28f46223e73105ab2c5d83f3d50b99b58ef53e6/codex-3000/addendum-1.58/PROGRAMMES_B.json</x:v>
      </x:c>
      <x:c r="K3390" t="str">
        <x:v>Source min 38,34 m ; max 38,34 m ; modèle 38 × 34 m ; niveaux 0, 1. Détails dans catalogue-existant.json.</x:v>
      </x:c>
    </x:row>
    <x:row r="3391">
      <x:c r="A3391" t="str">
        <x:v>DW-3386</x:v>
      </x:c>
      <x:c r="B3391" t="str">
        <x:v>DW-3386</x:v>
      </x:c>
      <x:c r="C3391" t="str">
        <x:v>Parent indépendant 1.58</x:v>
      </x:c>
      <x:c r="D3391" t="str">
        <x:v>Loisirs et culture</x:v>
      </x:c>
      <x:c r="E3391" t="str">
        <x:v>Maison des décors miniatures</x:v>
      </x:c>
      <x:c r="F3391" t="n">
        <x:v>9</x:v>
      </x:c>
      <x:c r="G3391" t="n">
        <x:v>6</x:v>
      </x:c>
      <x:c r="H3391" t="n">
        <x:v>6</x:v>
      </x:c>
      <x:c r="I3391" t="str">
        <x:v>À qualifier par lieu</x:v>
      </x:c>
      <x:c r="J3391" t="str">
        <x:v>https://github.com/darknigthmare/deadwall-last-enclosure/blob/e28f46223e73105ab2c5d83f3d50b99b58ef53e6/codex-3000/addendum-1.58/PROGRAMMES_B.json</x:v>
      </x:c>
      <x:c r="K3391" t="str">
        <x:v>Source min 42,28 m ; max 42,28 m ; modèle 42 × 28 m ; niveaux 0, 1. Détails dans catalogue-existant.json.</x:v>
      </x:c>
    </x:row>
    <x:row r="3392">
      <x:c r="A3392" t="str">
        <x:v>DW-3387</x:v>
      </x:c>
      <x:c r="B3392" t="str">
        <x:v>DW-3387</x:v>
      </x:c>
      <x:c r="C3392" t="str">
        <x:v>Parent indépendant 1.58</x:v>
      </x:c>
      <x:c r="D3392" t="str">
        <x:v>Loisirs et culture</x:v>
      </x:c>
      <x:c r="E3392" t="str">
        <x:v>Centre de restauration de livres illustrés</x:v>
      </x:c>
      <x:c r="F3392" t="n">
        <x:v>9</x:v>
      </x:c>
      <x:c r="G3392" t="n">
        <x:v>6</x:v>
      </x:c>
      <x:c r="H3392" t="n">
        <x:v>6</x:v>
      </x:c>
      <x:c r="I3392" t="str">
        <x:v>À qualifier par lieu</x:v>
      </x:c>
      <x:c r="J3392" t="str">
        <x:v>https://github.com/darknigthmare/deadwall-last-enclosure/blob/e28f46223e73105ab2c5d83f3d50b99b58ef53e6/codex-3000/addendum-1.58/PROGRAMMES_B.json</x:v>
      </x:c>
      <x:c r="K3392" t="str">
        <x:v>Source min 30,31 m ; max 30,31 m ; modèle 30 × 31 m ; niveaux 0, 1. Détails dans catalogue-existant.json.</x:v>
      </x:c>
    </x:row>
    <x:row r="3393">
      <x:c r="A3393" t="str">
        <x:v>DW-3388</x:v>
      </x:c>
      <x:c r="B3393" t="str">
        <x:v>DW-3388</x:v>
      </x:c>
      <x:c r="C3393" t="str">
        <x:v>Parent indépendant 1.58</x:v>
      </x:c>
      <x:c r="D3393" t="str">
        <x:v>Loisirs et culture</x:v>
      </x:c>
      <x:c r="E3393" t="str">
        <x:v>Atelier de gravure d'art</x:v>
      </x:c>
      <x:c r="F3393" t="n">
        <x:v>9</x:v>
      </x:c>
      <x:c r="G3393" t="n">
        <x:v>6</x:v>
      </x:c>
      <x:c r="H3393" t="n">
        <x:v>6</x:v>
      </x:c>
      <x:c r="I3393" t="str">
        <x:v>À qualifier par lieu</x:v>
      </x:c>
      <x:c r="J3393" t="str">
        <x:v>https://github.com/darknigthmare/deadwall-last-enclosure/blob/e28f46223e73105ab2c5d83f3d50b99b58ef53e6/codex-3000/addendum-1.58/PROGRAMMES_B.json</x:v>
      </x:c>
      <x:c r="K3393" t="str">
        <x:v>Source min 34,34 m ; max 34,34 m ; modèle 34 × 34 m ; niveaux 0, 1. Détails dans catalogue-existant.json.</x:v>
      </x:c>
    </x:row>
    <x:row r="3394">
      <x:c r="A3394" t="str">
        <x:v>DW-3389</x:v>
      </x:c>
      <x:c r="B3394" t="str">
        <x:v>DW-3389</x:v>
      </x:c>
      <x:c r="C3394" t="str">
        <x:v>Parent indépendant 1.58</x:v>
      </x:c>
      <x:c r="D3394" t="str">
        <x:v>Loisirs et culture</x:v>
      </x:c>
      <x:c r="E3394" t="str">
        <x:v>Maison de l'estampe populaire</x:v>
      </x:c>
      <x:c r="F3394" t="n">
        <x:v>9</x:v>
      </x:c>
      <x:c r="G3394" t="n">
        <x:v>6</x:v>
      </x:c>
      <x:c r="H3394" t="n">
        <x:v>6</x:v>
      </x:c>
      <x:c r="I3394" t="str">
        <x:v>À qualifier par lieu</x:v>
      </x:c>
      <x:c r="J3394" t="str">
        <x:v>https://github.com/darknigthmare/deadwall-last-enclosure/blob/e28f46223e73105ab2c5d83f3d50b99b58ef53e6/codex-3000/addendum-1.58/PROGRAMMES_B.json</x:v>
      </x:c>
      <x:c r="K3394" t="str">
        <x:v>Source min 38,28 m ; max 38,28 m ; modèle 38 × 28 m ; niveaux 0, 1. Détails dans catalogue-existant.json.</x:v>
      </x:c>
    </x:row>
    <x:row r="3395">
      <x:c r="A3395" t="str">
        <x:v>DW-3390</x:v>
      </x:c>
      <x:c r="B3395" t="str">
        <x:v>DW-3390</x:v>
      </x:c>
      <x:c r="C3395" t="str">
        <x:v>Parent indépendant 1.58</x:v>
      </x:c>
      <x:c r="D3395" t="str">
        <x:v>Loisirs et culture</x:v>
      </x:c>
      <x:c r="E3395" t="str">
        <x:v>Centre de conservation de sculptures</x:v>
      </x:c>
      <x:c r="F3395" t="n">
        <x:v>9</x:v>
      </x:c>
      <x:c r="G3395" t="n">
        <x:v>6</x:v>
      </x:c>
      <x:c r="H3395" t="n">
        <x:v>6</x:v>
      </x:c>
      <x:c r="I3395" t="str">
        <x:v>À qualifier par lieu</x:v>
      </x:c>
      <x:c r="J3395" t="str">
        <x:v>https://github.com/darknigthmare/deadwall-last-enclosure/blob/e28f46223e73105ab2c5d83f3d50b99b58ef53e6/codex-3000/addendum-1.58/PROGRAMMES_B.json</x:v>
      </x:c>
      <x:c r="K3395" t="str">
        <x:v>Source min 42,31 m ; max 42,31 m ; modèle 42 × 31 m ; niveaux 0, 1. Détails dans catalogue-existant.json.</x:v>
      </x:c>
    </x:row>
    <x:row r="3396">
      <x:c r="A3396" t="str">
        <x:v>DW-3391</x:v>
      </x:c>
      <x:c r="B3396" t="str">
        <x:v>DW-3391</x:v>
      </x:c>
      <x:c r="C3396" t="str">
        <x:v>Parent indépendant 1.58</x:v>
      </x:c>
      <x:c r="D3396" t="str">
        <x:v>Loisirs et culture</x:v>
      </x:c>
      <x:c r="E3396" t="str">
        <x:v>Atelier de mosaïque patrimoniale</x:v>
      </x:c>
      <x:c r="F3396" t="n">
        <x:v>9</x:v>
      </x:c>
      <x:c r="G3396" t="n">
        <x:v>6</x:v>
      </x:c>
      <x:c r="H3396" t="n">
        <x:v>6</x:v>
      </x:c>
      <x:c r="I3396" t="str">
        <x:v>À qualifier par lieu</x:v>
      </x:c>
      <x:c r="J3396" t="str">
        <x:v>https://github.com/darknigthmare/deadwall-last-enclosure/blob/e28f46223e73105ab2c5d83f3d50b99b58ef53e6/codex-3000/addendum-1.58/PROGRAMMES_B.json</x:v>
      </x:c>
      <x:c r="K3396" t="str">
        <x:v>Source min 30,34 m ; max 30,34 m ; modèle 30 × 34 m ; niveaux 0, 1. Détails dans catalogue-existant.json.</x:v>
      </x:c>
    </x:row>
    <x:row r="3397">
      <x:c r="A3397" t="str">
        <x:v>DW-3392</x:v>
      </x:c>
      <x:c r="B3397" t="str">
        <x:v>DW-3392</x:v>
      </x:c>
      <x:c r="C3397" t="str">
        <x:v>Parent indépendant 1.58</x:v>
      </x:c>
      <x:c r="D3397" t="str">
        <x:v>Loisirs et culture</x:v>
      </x:c>
      <x:c r="E3397" t="str">
        <x:v>Maison des métiers du papier</x:v>
      </x:c>
      <x:c r="F3397" t="n">
        <x:v>9</x:v>
      </x:c>
      <x:c r="G3397" t="n">
        <x:v>6</x:v>
      </x:c>
      <x:c r="H3397" t="n">
        <x:v>6</x:v>
      </x:c>
      <x:c r="I3397" t="str">
        <x:v>À qualifier par lieu</x:v>
      </x:c>
      <x:c r="J3397" t="str">
        <x:v>https://github.com/darknigthmare/deadwall-last-enclosure/blob/e28f46223e73105ab2c5d83f3d50b99b58ef53e6/codex-3000/addendum-1.58/PROGRAMMES_B.json</x:v>
      </x:c>
      <x:c r="K3397" t="str">
        <x:v>Source min 34,28 m ; max 34,28 m ; modèle 34 × 28 m ; niveaux 0, 1. Détails dans catalogue-existant.json.</x:v>
      </x:c>
    </x:row>
    <x:row r="3398">
      <x:c r="A3398" t="str">
        <x:v>DW-3393</x:v>
      </x:c>
      <x:c r="B3398" t="str">
        <x:v>DW-3393</x:v>
      </x:c>
      <x:c r="C3398" t="str">
        <x:v>Parent indépendant 1.58</x:v>
      </x:c>
      <x:c r="D3398" t="str">
        <x:v>Loisirs et culture</x:v>
      </x:c>
      <x:c r="E3398" t="str">
        <x:v>Conservatoire de partitions</x:v>
      </x:c>
      <x:c r="F3398" t="n">
        <x:v>9</x:v>
      </x:c>
      <x:c r="G3398" t="n">
        <x:v>6</x:v>
      </x:c>
      <x:c r="H3398" t="n">
        <x:v>6</x:v>
      </x:c>
      <x:c r="I3398" t="str">
        <x:v>À qualifier par lieu</x:v>
      </x:c>
      <x:c r="J3398" t="str">
        <x:v>https://github.com/darknigthmare/deadwall-last-enclosure/blob/e28f46223e73105ab2c5d83f3d50b99b58ef53e6/codex-3000/addendum-1.58/PROGRAMMES_B.json</x:v>
      </x:c>
      <x:c r="K3398" t="str">
        <x:v>Source min 38,31 m ; max 38,31 m ; modèle 38 × 31 m ; niveaux 0, 1. Détails dans catalogue-existant.json.</x:v>
      </x:c>
    </x:row>
    <x:row r="3399">
      <x:c r="A3399" t="str">
        <x:v>DW-3394</x:v>
      </x:c>
      <x:c r="B3399" t="str">
        <x:v>DW-3394</x:v>
      </x:c>
      <x:c r="C3399" t="str">
        <x:v>Parent indépendant 1.58</x:v>
      </x:c>
      <x:c r="D3399" t="str">
        <x:v>Loisirs et culture</x:v>
      </x:c>
      <x:c r="E3399" t="str">
        <x:v>Centre d'écoute de musique enregistrée</x:v>
      </x:c>
      <x:c r="F3399" t="n">
        <x:v>9</x:v>
      </x:c>
      <x:c r="G3399" t="n">
        <x:v>6</x:v>
      </x:c>
      <x:c r="H3399" t="n">
        <x:v>6</x:v>
      </x:c>
      <x:c r="I3399" t="str">
        <x:v>À qualifier par lieu</x:v>
      </x:c>
      <x:c r="J3399" t="str">
        <x:v>https://github.com/darknigthmare/deadwall-last-enclosure/blob/e28f46223e73105ab2c5d83f3d50b99b58ef53e6/codex-3000/addendum-1.58/PROGRAMMES_B.json</x:v>
      </x:c>
      <x:c r="K3399" t="str">
        <x:v>Source min 42,34 m ; max 42,34 m ; modèle 42 × 34 m ; niveaux 0, 1. Détails dans catalogue-existant.json.</x:v>
      </x:c>
    </x:row>
    <x:row r="3400">
      <x:c r="A3400" t="str">
        <x:v>DW-3395</x:v>
      </x:c>
      <x:c r="B3400" t="str">
        <x:v>DW-3395</x:v>
      </x:c>
      <x:c r="C3400" t="str">
        <x:v>Parent indépendant 1.58</x:v>
      </x:c>
      <x:c r="D3400" t="str">
        <x:v>Loisirs et culture</x:v>
      </x:c>
      <x:c r="E3400" t="str">
        <x:v>Atelier de fabrication de décors sonores</x:v>
      </x:c>
      <x:c r="F3400" t="n">
        <x:v>9</x:v>
      </x:c>
      <x:c r="G3400" t="n">
        <x:v>6</x:v>
      </x:c>
      <x:c r="H3400" t="n">
        <x:v>6</x:v>
      </x:c>
      <x:c r="I3400" t="str">
        <x:v>À qualifier par lieu</x:v>
      </x:c>
      <x:c r="J3400" t="str">
        <x:v>https://github.com/darknigthmare/deadwall-last-enclosure/blob/e28f46223e73105ab2c5d83f3d50b99b58ef53e6/codex-3000/addendum-1.58/PROGRAMMES_B.json</x:v>
      </x:c>
      <x:c r="K3400" t="str">
        <x:v>Source min 30,28 m ; max 30,28 m ; modèle 30 × 28 m ; niveaux 0, 1. Détails dans catalogue-existant.json.</x:v>
      </x:c>
    </x:row>
    <x:row r="3401">
      <x:c r="A3401" t="str">
        <x:v>DW-3396</x:v>
      </x:c>
      <x:c r="B3401" t="str">
        <x:v>DW-3396</x:v>
      </x:c>
      <x:c r="C3401" t="str">
        <x:v>Parent indépendant 1.58</x:v>
      </x:c>
      <x:c r="D3401" t="str">
        <x:v>Loisirs et culture</x:v>
      </x:c>
      <x:c r="E3401" t="str">
        <x:v>Maison de la voix parlée</x:v>
      </x:c>
      <x:c r="F3401" t="n">
        <x:v>9</x:v>
      </x:c>
      <x:c r="G3401" t="n">
        <x:v>6</x:v>
      </x:c>
      <x:c r="H3401" t="n">
        <x:v>6</x:v>
      </x:c>
      <x:c r="I3401" t="str">
        <x:v>À qualifier par lieu</x:v>
      </x:c>
      <x:c r="J3401" t="str">
        <x:v>https://github.com/darknigthmare/deadwall-last-enclosure/blob/e28f46223e73105ab2c5d83f3d50b99b58ef53e6/codex-3000/addendum-1.58/PROGRAMMES_B.json</x:v>
      </x:c>
      <x:c r="K3401" t="str">
        <x:v>Source min 34,31 m ; max 34,31 m ; modèle 34 × 31 m ; niveaux 0, 1. Détails dans catalogue-existant.json.</x:v>
      </x:c>
    </x:row>
    <x:row r="3402">
      <x:c r="A3402" t="str">
        <x:v>DW-3397</x:v>
      </x:c>
      <x:c r="B3402" t="str">
        <x:v>DW-3397</x:v>
      </x:c>
      <x:c r="C3402" t="str">
        <x:v>Parent indépendant 1.58</x:v>
      </x:c>
      <x:c r="D3402" t="str">
        <x:v>Loisirs et culture</x:v>
      </x:c>
      <x:c r="E3402" t="str">
        <x:v>Studio de doublage artisanal</x:v>
      </x:c>
      <x:c r="F3402" t="n">
        <x:v>9</x:v>
      </x:c>
      <x:c r="G3402" t="n">
        <x:v>6</x:v>
      </x:c>
      <x:c r="H3402" t="n">
        <x:v>6</x:v>
      </x:c>
      <x:c r="I3402" t="str">
        <x:v>À qualifier par lieu</x:v>
      </x:c>
      <x:c r="J3402" t="str">
        <x:v>https://github.com/darknigthmare/deadwall-last-enclosure/blob/e28f46223e73105ab2c5d83f3d50b99b58ef53e6/codex-3000/addendum-1.58/PROGRAMMES_B.json</x:v>
      </x:c>
      <x:c r="K3402" t="str">
        <x:v>Source min 38,34 m ; max 38,34 m ; modèle 38 × 34 m ; niveaux 0, 1. Détails dans catalogue-existant.json.</x:v>
      </x:c>
    </x:row>
    <x:row r="3403">
      <x:c r="A3403" t="str">
        <x:v>DW-3398</x:v>
      </x:c>
      <x:c r="B3403" t="str">
        <x:v>DW-3398</x:v>
      </x:c>
      <x:c r="C3403" t="str">
        <x:v>Parent indépendant 1.58</x:v>
      </x:c>
      <x:c r="D3403" t="str">
        <x:v>Loisirs et culture</x:v>
      </x:c>
      <x:c r="E3403" t="str">
        <x:v>Centre de sous-titrage culturel</x:v>
      </x:c>
      <x:c r="F3403" t="n">
        <x:v>9</x:v>
      </x:c>
      <x:c r="G3403" t="n">
        <x:v>6</x:v>
      </x:c>
      <x:c r="H3403" t="n">
        <x:v>6</x:v>
      </x:c>
      <x:c r="I3403" t="str">
        <x:v>À qualifier par lieu</x:v>
      </x:c>
      <x:c r="J3403" t="str">
        <x:v>https://github.com/darknigthmare/deadwall-last-enclosure/blob/e28f46223e73105ab2c5d83f3d50b99b58ef53e6/codex-3000/addendum-1.58/PROGRAMMES_B.json</x:v>
      </x:c>
      <x:c r="K3403" t="str">
        <x:v>Source min 42,28 m ; max 42,28 m ; modèle 42 × 28 m ; niveaux 0, 1. Détails dans catalogue-existant.json.</x:v>
      </x:c>
    </x:row>
    <x:row r="3404">
      <x:c r="A3404" t="str">
        <x:v>DW-3399</x:v>
      </x:c>
      <x:c r="B3404" t="str">
        <x:v>DW-3399</x:v>
      </x:c>
      <x:c r="C3404" t="str">
        <x:v>Parent indépendant 1.58</x:v>
      </x:c>
      <x:c r="D3404" t="str">
        <x:v>Loisirs et culture</x:v>
      </x:c>
      <x:c r="E3404" t="str">
        <x:v>Atelier de stop-motion</x:v>
      </x:c>
      <x:c r="F3404" t="n">
        <x:v>9</x:v>
      </x:c>
      <x:c r="G3404" t="n">
        <x:v>6</x:v>
      </x:c>
      <x:c r="H3404" t="n">
        <x:v>6</x:v>
      </x:c>
      <x:c r="I3404" t="str">
        <x:v>À qualifier par lieu</x:v>
      </x:c>
      <x:c r="J3404" t="str">
        <x:v>https://github.com/darknigthmare/deadwall-last-enclosure/blob/e28f46223e73105ab2c5d83f3d50b99b58ef53e6/codex-3000/addendum-1.58/PROGRAMMES_B.json</x:v>
      </x:c>
      <x:c r="K3404" t="str">
        <x:v>Source min 30,31 m ; max 30,31 m ; modèle 30 × 31 m ; niveaux 0, 1. Détails dans catalogue-existant.json.</x:v>
      </x:c>
    </x:row>
    <x:row r="3405">
      <x:c r="A3405" t="str">
        <x:v>DW-3400</x:v>
      </x:c>
      <x:c r="B3405" t="str">
        <x:v>DW-3400</x:v>
      </x:c>
      <x:c r="C3405" t="str">
        <x:v>Parent indépendant 1.58</x:v>
      </x:c>
      <x:c r="D3405" t="str">
        <x:v>Loisirs et culture</x:v>
      </x:c>
      <x:c r="E3405" t="str">
        <x:v>Maison du documentaire local</x:v>
      </x:c>
      <x:c r="F3405" t="n">
        <x:v>9</x:v>
      </x:c>
      <x:c r="G3405" t="n">
        <x:v>6</x:v>
      </x:c>
      <x:c r="H3405" t="n">
        <x:v>6</x:v>
      </x:c>
      <x:c r="I3405" t="str">
        <x:v>À qualifier par lieu</x:v>
      </x:c>
      <x:c r="J3405" t="str">
        <x:v>https://github.com/darknigthmare/deadwall-last-enclosure/blob/e28f46223e73105ab2c5d83f3d50b99b58ef53e6/codex-3000/addendum-1.58/PROGRAMMES_B.json</x:v>
      </x:c>
      <x:c r="K3405" t="str">
        <x:v>Source min 34,34 m ; max 34,34 m ; modèle 34 × 34 m ; niveaux 0, 1. Détails dans catalogue-existant.json.</x:v>
      </x:c>
    </x:row>
    <x:row r="3406">
      <x:c r="A3406" t="str">
        <x:v>DW-3401</x:v>
      </x:c>
      <x:c r="B3406" t="str">
        <x:v>DW-3401</x:v>
      </x:c>
      <x:c r="C3406" t="str">
        <x:v>Parent indépendant 1.58</x:v>
      </x:c>
      <x:c r="D3406" t="str">
        <x:v>Loisirs et culture</x:v>
      </x:c>
      <x:c r="E3406" t="str">
        <x:v>Centre de cartographie culturelle</x:v>
      </x:c>
      <x:c r="F3406" t="n">
        <x:v>9</x:v>
      </x:c>
      <x:c r="G3406" t="n">
        <x:v>6</x:v>
      </x:c>
      <x:c r="H3406" t="n">
        <x:v>6</x:v>
      </x:c>
      <x:c r="I3406" t="str">
        <x:v>À qualifier par lieu</x:v>
      </x:c>
      <x:c r="J3406" t="str">
        <x:v>https://github.com/darknigthmare/deadwall-last-enclosure/blob/e28f46223e73105ab2c5d83f3d50b99b58ef53e6/codex-3000/addendum-1.58/PROGRAMMES_B.json</x:v>
      </x:c>
      <x:c r="K3406" t="str">
        <x:v>Source min 38,28 m ; max 38,28 m ; modèle 38 × 28 m ; niveaux 0, 1. Détails dans catalogue-existant.json.</x:v>
      </x:c>
    </x:row>
    <x:row r="3407">
      <x:c r="A3407" t="str">
        <x:v>DW-3402</x:v>
      </x:c>
      <x:c r="B3407" t="str">
        <x:v>DW-3402</x:v>
      </x:c>
      <x:c r="C3407" t="str">
        <x:v>Parent indépendant 1.58</x:v>
      </x:c>
      <x:c r="D3407" t="str">
        <x:v>Loisirs et culture</x:v>
      </x:c>
      <x:c r="E3407" t="str">
        <x:v>Maison des correspondances d'écrivains</x:v>
      </x:c>
      <x:c r="F3407" t="n">
        <x:v>9</x:v>
      </x:c>
      <x:c r="G3407" t="n">
        <x:v>6</x:v>
      </x:c>
      <x:c r="H3407" t="n">
        <x:v>6</x:v>
      </x:c>
      <x:c r="I3407" t="str">
        <x:v>À qualifier par lieu</x:v>
      </x:c>
      <x:c r="J3407" t="str">
        <x:v>https://github.com/darknigthmare/deadwall-last-enclosure/blob/e28f46223e73105ab2c5d83f3d50b99b58ef53e6/codex-3000/addendum-1.58/PROGRAMMES_B.json</x:v>
      </x:c>
      <x:c r="K3407" t="str">
        <x:v>Source min 42,31 m ; max 42,31 m ; modèle 42 × 31 m ; niveaux 0, 1. Détails dans catalogue-existant.json.</x:v>
      </x:c>
    </x:row>
    <x:row r="3408">
      <x:c r="A3408" t="str">
        <x:v>DW-3403</x:v>
      </x:c>
      <x:c r="B3408" t="str">
        <x:v>DW-3403</x:v>
      </x:c>
      <x:c r="C3408" t="str">
        <x:v>Parent indépendant 1.58</x:v>
      </x:c>
      <x:c r="D3408" t="str">
        <x:v>Loisirs et culture</x:v>
      </x:c>
      <x:c r="E3408" t="str">
        <x:v>Atelier de traduction littéraire</x:v>
      </x:c>
      <x:c r="F3408" t="n">
        <x:v>9</x:v>
      </x:c>
      <x:c r="G3408" t="n">
        <x:v>6</x:v>
      </x:c>
      <x:c r="H3408" t="n">
        <x:v>6</x:v>
      </x:c>
      <x:c r="I3408" t="str">
        <x:v>À qualifier par lieu</x:v>
      </x:c>
      <x:c r="J3408" t="str">
        <x:v>https://github.com/darknigthmare/deadwall-last-enclosure/blob/e28f46223e73105ab2c5d83f3d50b99b58ef53e6/codex-3000/addendum-1.58/PROGRAMMES_B.json</x:v>
      </x:c>
      <x:c r="K3408" t="str">
        <x:v>Source min 30,34 m ; max 30,34 m ; modèle 30 × 34 m ; niveaux 0, 1. Détails dans catalogue-existant.json.</x:v>
      </x:c>
    </x:row>
    <x:row r="3409">
      <x:c r="A3409" t="str">
        <x:v>DW-3404</x:v>
      </x:c>
      <x:c r="B3409" t="str">
        <x:v>DW-3404</x:v>
      </x:c>
      <x:c r="C3409" t="str">
        <x:v>Parent indépendant 1.58</x:v>
      </x:c>
      <x:c r="D3409" t="str">
        <x:v>Loisirs et culture</x:v>
      </x:c>
      <x:c r="E3409" t="str">
        <x:v>Centre de livres sonores</x:v>
      </x:c>
      <x:c r="F3409" t="n">
        <x:v>9</x:v>
      </x:c>
      <x:c r="G3409" t="n">
        <x:v>6</x:v>
      </x:c>
      <x:c r="H3409" t="n">
        <x:v>6</x:v>
      </x:c>
      <x:c r="I3409" t="str">
        <x:v>À qualifier par lieu</x:v>
      </x:c>
      <x:c r="J3409" t="str">
        <x:v>https://github.com/darknigthmare/deadwall-last-enclosure/blob/e28f46223e73105ab2c5d83f3d50b99b58ef53e6/codex-3000/addendum-1.58/PROGRAMMES_B.json</x:v>
      </x:c>
      <x:c r="K3409" t="str">
        <x:v>Source min 34,28 m ; max 34,28 m ; modèle 34 × 28 m ; niveaux 0, 1. Détails dans catalogue-existant.json.</x:v>
      </x:c>
    </x:row>
    <x:row r="3410">
      <x:c r="A3410" t="str">
        <x:v>DW-3405</x:v>
      </x:c>
      <x:c r="B3410" t="str">
        <x:v>DW-3405</x:v>
      </x:c>
      <x:c r="C3410" t="str">
        <x:v>Parent indépendant 1.58</x:v>
      </x:c>
      <x:c r="D3410" t="str">
        <x:v>Loisirs et culture</x:v>
      </x:c>
      <x:c r="E3410" t="str">
        <x:v>Maison des jeux traditionnels</x:v>
      </x:c>
      <x:c r="F3410" t="n">
        <x:v>9</x:v>
      </x:c>
      <x:c r="G3410" t="n">
        <x:v>6</x:v>
      </x:c>
      <x:c r="H3410" t="n">
        <x:v>6</x:v>
      </x:c>
      <x:c r="I3410" t="str">
        <x:v>À qualifier par lieu</x:v>
      </x:c>
      <x:c r="J3410" t="str">
        <x:v>https://github.com/darknigthmare/deadwall-last-enclosure/blob/e28f46223e73105ab2c5d83f3d50b99b58ef53e6/codex-3000/addendum-1.58/PROGRAMMES_B.json</x:v>
      </x:c>
      <x:c r="K3410" t="str">
        <x:v>Source min 38,31 m ; max 38,31 m ; modèle 38 × 31 m ; niveaux 0, 1. Détails dans catalogue-existant.json.</x:v>
      </x:c>
    </x:row>
    <x:row r="3411">
      <x:c r="A3411" t="str">
        <x:v>DW-3406</x:v>
      </x:c>
      <x:c r="B3411" t="str">
        <x:v>DW-3406</x:v>
      </x:c>
      <x:c r="C3411" t="str">
        <x:v>Parent indépendant 1.58</x:v>
      </x:c>
      <x:c r="D3411" t="str">
        <x:v>Loisirs et culture</x:v>
      </x:c>
      <x:c r="E3411" t="str">
        <x:v>Atelier de restauration de jouets patrimoniaux</x:v>
      </x:c>
      <x:c r="F3411" t="n">
        <x:v>9</x:v>
      </x:c>
      <x:c r="G3411" t="n">
        <x:v>6</x:v>
      </x:c>
      <x:c r="H3411" t="n">
        <x:v>6</x:v>
      </x:c>
      <x:c r="I3411" t="str">
        <x:v>À qualifier par lieu</x:v>
      </x:c>
      <x:c r="J3411" t="str">
        <x:v>https://github.com/darknigthmare/deadwall-last-enclosure/blob/e28f46223e73105ab2c5d83f3d50b99b58ef53e6/codex-3000/addendum-1.58/PROGRAMMES_B.json</x:v>
      </x:c>
      <x:c r="K3411" t="str">
        <x:v>Source min 42,34 m ; max 42,34 m ; modèle 42 × 34 m ; niveaux 0, 1. Détails dans catalogue-existant.json.</x:v>
      </x:c>
    </x:row>
    <x:row r="3412">
      <x:c r="A3412" t="str">
        <x:v>DW-3407</x:v>
      </x:c>
      <x:c r="B3412" t="str">
        <x:v>DW-3407</x:v>
      </x:c>
      <x:c r="C3412" t="str">
        <x:v>Parent indépendant 1.58</x:v>
      </x:c>
      <x:c r="D3412" t="str">
        <x:v>Loisirs et culture</x:v>
      </x:c>
      <x:c r="E3412" t="str">
        <x:v>Centre d'histoire de l'affiche</x:v>
      </x:c>
      <x:c r="F3412" t="n">
        <x:v>9</x:v>
      </x:c>
      <x:c r="G3412" t="n">
        <x:v>6</x:v>
      </x:c>
      <x:c r="H3412" t="n">
        <x:v>6</x:v>
      </x:c>
      <x:c r="I3412" t="str">
        <x:v>À qualifier par lieu</x:v>
      </x:c>
      <x:c r="J3412" t="str">
        <x:v>https://github.com/darknigthmare/deadwall-last-enclosure/blob/e28f46223e73105ab2c5d83f3d50b99b58ef53e6/codex-3000/addendum-1.58/PROGRAMMES_B.json</x:v>
      </x:c>
      <x:c r="K3412" t="str">
        <x:v>Source min 30,28 m ; max 30,28 m ; modèle 30 × 28 m ; niveaux 0, 1. Détails dans catalogue-existant.json.</x:v>
      </x:c>
    </x:row>
    <x:row r="3413">
      <x:c r="A3413" t="str">
        <x:v>DW-3408</x:v>
      </x:c>
      <x:c r="B3413" t="str">
        <x:v>DW-3408</x:v>
      </x:c>
      <x:c r="C3413" t="str">
        <x:v>Parent indépendant 1.58</x:v>
      </x:c>
      <x:c r="D3413" t="str">
        <x:v>Loisirs et culture</x:v>
      </x:c>
      <x:c r="E3413" t="str">
        <x:v>Maison des enseignes anciennes</x:v>
      </x:c>
      <x:c r="F3413" t="n">
        <x:v>9</x:v>
      </x:c>
      <x:c r="G3413" t="n">
        <x:v>6</x:v>
      </x:c>
      <x:c r="H3413" t="n">
        <x:v>6</x:v>
      </x:c>
      <x:c r="I3413" t="str">
        <x:v>À qualifier par lieu</x:v>
      </x:c>
      <x:c r="J3413" t="str">
        <x:v>https://github.com/darknigthmare/deadwall-last-enclosure/blob/e28f46223e73105ab2c5d83f3d50b99b58ef53e6/codex-3000/addendum-1.58/PROGRAMMES_B.json</x:v>
      </x:c>
      <x:c r="K3413" t="str">
        <x:v>Source min 34,31 m ; max 34,31 m ; modèle 34 × 31 m ; niveaux 0, 1. Détails dans catalogue-existant.json.</x:v>
      </x:c>
    </x:row>
    <x:row r="3414">
      <x:c r="A3414" t="str">
        <x:v>DW-3409</x:v>
      </x:c>
      <x:c r="B3414" t="str">
        <x:v>DW-3409</x:v>
      </x:c>
      <x:c r="C3414" t="str">
        <x:v>Parent indépendant 1.58</x:v>
      </x:c>
      <x:c r="D3414" t="str">
        <x:v>Loisirs et culture</x:v>
      </x:c>
      <x:c r="E3414" t="str">
        <x:v>Atelier de conservation de vitraux</x:v>
      </x:c>
      <x:c r="F3414" t="n">
        <x:v>9</x:v>
      </x:c>
      <x:c r="G3414" t="n">
        <x:v>6</x:v>
      </x:c>
      <x:c r="H3414" t="n">
        <x:v>6</x:v>
      </x:c>
      <x:c r="I3414" t="str">
        <x:v>À qualifier par lieu</x:v>
      </x:c>
      <x:c r="J3414" t="str">
        <x:v>https://github.com/darknigthmare/deadwall-last-enclosure/blob/e28f46223e73105ab2c5d83f3d50b99b58ef53e6/codex-3000/addendum-1.58/PROGRAMMES_B.json</x:v>
      </x:c>
      <x:c r="K3414" t="str">
        <x:v>Source min 38,34 m ; max 38,34 m ; modèle 38 × 34 m ; niveaux 0, 1. Détails dans catalogue-existant.json.</x:v>
      </x:c>
    </x:row>
    <x:row r="3415">
      <x:c r="A3415" t="str">
        <x:v>DW-3410</x:v>
      </x:c>
      <x:c r="B3415" t="str">
        <x:v>DW-3410</x:v>
      </x:c>
      <x:c r="C3415" t="str">
        <x:v>Parent indépendant 1.58</x:v>
      </x:c>
      <x:c r="D3415" t="str">
        <x:v>Loisirs et culture</x:v>
      </x:c>
      <x:c r="E3415" t="str">
        <x:v>Centre de mémoire des migrations</x:v>
      </x:c>
      <x:c r="F3415" t="n">
        <x:v>9</x:v>
      </x:c>
      <x:c r="G3415" t="n">
        <x:v>6</x:v>
      </x:c>
      <x:c r="H3415" t="n">
        <x:v>6</x:v>
      </x:c>
      <x:c r="I3415" t="str">
        <x:v>À qualifier par lieu</x:v>
      </x:c>
      <x:c r="J3415" t="str">
        <x:v>https://github.com/darknigthmare/deadwall-last-enclosure/blob/e28f46223e73105ab2c5d83f3d50b99b58ef53e6/codex-3000/addendum-1.58/PROGRAMMES_B.json</x:v>
      </x:c>
      <x:c r="K3415" t="str">
        <x:v>Source min 42,28 m ; max 42,28 m ; modèle 42 × 28 m ; niveaux 0, 1. Détails dans catalogue-existant.json.</x:v>
      </x:c>
    </x:row>
    <x:row r="3416">
      <x:c r="A3416" t="str">
        <x:v>DW-3411</x:v>
      </x:c>
      <x:c r="B3416" t="str">
        <x:v>DW-3411</x:v>
      </x:c>
      <x:c r="C3416" t="str">
        <x:v>Parent indépendant 1.58</x:v>
      </x:c>
      <x:c r="D3416" t="str">
        <x:v>Loisirs et culture</x:v>
      </x:c>
      <x:c r="E3416" t="str">
        <x:v>Maison des pratiques culinaires patrimoniales</x:v>
      </x:c>
      <x:c r="F3416" t="n">
        <x:v>9</x:v>
      </x:c>
      <x:c r="G3416" t="n">
        <x:v>6</x:v>
      </x:c>
      <x:c r="H3416" t="n">
        <x:v>6</x:v>
      </x:c>
      <x:c r="I3416" t="str">
        <x:v>À qualifier par lieu</x:v>
      </x:c>
      <x:c r="J3416" t="str">
        <x:v>https://github.com/darknigthmare/deadwall-last-enclosure/blob/e28f46223e73105ab2c5d83f3d50b99b58ef53e6/codex-3000/addendum-1.58/PROGRAMMES_B.json</x:v>
      </x:c>
      <x:c r="K3416" t="str">
        <x:v>Source min 30,31 m ; max 30,31 m ; modèle 30 × 31 m ; niveaux 0, 1. Détails dans catalogue-existant.json.</x:v>
      </x:c>
    </x:row>
    <x:row r="3417">
      <x:c r="A3417" t="str">
        <x:v>DW-3412</x:v>
      </x:c>
      <x:c r="B3417" t="str">
        <x:v>DW-3412</x:v>
      </x:c>
      <x:c r="C3417" t="str">
        <x:v>Parent indépendant 1.58</x:v>
      </x:c>
      <x:c r="D3417" t="str">
        <x:v>Loisirs et culture</x:v>
      </x:c>
      <x:c r="E3417" t="str">
        <x:v>Atelier de conservation de textiles</x:v>
      </x:c>
      <x:c r="F3417" t="n">
        <x:v>9</x:v>
      </x:c>
      <x:c r="G3417" t="n">
        <x:v>6</x:v>
      </x:c>
      <x:c r="H3417" t="n">
        <x:v>6</x:v>
      </x:c>
      <x:c r="I3417" t="str">
        <x:v>À qualifier par lieu</x:v>
      </x:c>
      <x:c r="J3417" t="str">
        <x:v>https://github.com/darknigthmare/deadwall-last-enclosure/blob/e28f46223e73105ab2c5d83f3d50b99b58ef53e6/codex-3000/addendum-1.58/PROGRAMMES_B.json</x:v>
      </x:c>
      <x:c r="K3417" t="str">
        <x:v>Source min 34,34 m ; max 34,34 m ; modèle 34 × 34 m ; niveaux 0, 1. Détails dans catalogue-existant.json.</x:v>
      </x:c>
    </x:row>
    <x:row r="3418">
      <x:c r="A3418" t="str">
        <x:v>DW-3413</x:v>
      </x:c>
      <x:c r="B3418" t="str">
        <x:v>DW-3413</x:v>
      </x:c>
      <x:c r="C3418" t="str">
        <x:v>Parent indépendant 1.58</x:v>
      </x:c>
      <x:c r="D3418" t="str">
        <x:v>Loisirs et culture</x:v>
      </x:c>
      <x:c r="E3418" t="str">
        <x:v>Centre de mémoire du travail domestique</x:v>
      </x:c>
      <x:c r="F3418" t="n">
        <x:v>9</x:v>
      </x:c>
      <x:c r="G3418" t="n">
        <x:v>6</x:v>
      </x:c>
      <x:c r="H3418" t="n">
        <x:v>6</x:v>
      </x:c>
      <x:c r="I3418" t="str">
        <x:v>À qualifier par lieu</x:v>
      </x:c>
      <x:c r="J3418" t="str">
        <x:v>https://github.com/darknigthmare/deadwall-last-enclosure/blob/e28f46223e73105ab2c5d83f3d50b99b58ef53e6/codex-3000/addendum-1.58/PROGRAMMES_B.json</x:v>
      </x:c>
      <x:c r="K3418" t="str">
        <x:v>Source min 38,28 m ; max 38,28 m ; modèle 38 × 28 m ; niveaux 0, 1. Détails dans catalogue-existant.json.</x:v>
      </x:c>
    </x:row>
    <x:row r="3419">
      <x:c r="A3419" t="str">
        <x:v>DW-3414</x:v>
      </x:c>
      <x:c r="B3419" t="str">
        <x:v>DW-3414</x:v>
      </x:c>
      <x:c r="C3419" t="str">
        <x:v>Parent indépendant 1.58</x:v>
      </x:c>
      <x:c r="D3419" t="str">
        <x:v>Loisirs et culture</x:v>
      </x:c>
      <x:c r="E3419" t="str">
        <x:v>Maison des métiers de la rue</x:v>
      </x:c>
      <x:c r="F3419" t="n">
        <x:v>9</x:v>
      </x:c>
      <x:c r="G3419" t="n">
        <x:v>6</x:v>
      </x:c>
      <x:c r="H3419" t="n">
        <x:v>6</x:v>
      </x:c>
      <x:c r="I3419" t="str">
        <x:v>À qualifier par lieu</x:v>
      </x:c>
      <x:c r="J3419" t="str">
        <x:v>https://github.com/darknigthmare/deadwall-last-enclosure/blob/e28f46223e73105ab2c5d83f3d50b99b58ef53e6/codex-3000/addendum-1.58/PROGRAMMES_B.json</x:v>
      </x:c>
      <x:c r="K3419" t="str">
        <x:v>Source min 42,31 m ; max 42,31 m ; modèle 42 × 31 m ; niveaux 0, 1. Détails dans catalogue-existant.json.</x:v>
      </x:c>
    </x:row>
    <x:row r="3420">
      <x:c r="A3420" t="str">
        <x:v>DW-3415</x:v>
      </x:c>
      <x:c r="B3420" t="str">
        <x:v>DW-3415</x:v>
      </x:c>
      <x:c r="C3420" t="str">
        <x:v>Parent indépendant 1.58</x:v>
      </x:c>
      <x:c r="D3420" t="str">
        <x:v>Loisirs et culture</x:v>
      </x:c>
      <x:c r="E3420" t="str">
        <x:v>Centre de lecture de bandes dessinées</x:v>
      </x:c>
      <x:c r="F3420" t="n">
        <x:v>9</x:v>
      </x:c>
      <x:c r="G3420" t="n">
        <x:v>6</x:v>
      </x:c>
      <x:c r="H3420" t="n">
        <x:v>6</x:v>
      </x:c>
      <x:c r="I3420" t="str">
        <x:v>À qualifier par lieu</x:v>
      </x:c>
      <x:c r="J3420" t="str">
        <x:v>https://github.com/darknigthmare/deadwall-last-enclosure/blob/e28f46223e73105ab2c5d83f3d50b99b58ef53e6/codex-3000/addendum-1.58/PROGRAMMES_B.json</x:v>
      </x:c>
      <x:c r="K3420" t="str">
        <x:v>Source min 30,34 m ; max 30,34 m ; modèle 30 × 34 m ; niveaux 0, 1. Détails dans catalogue-existant.json.</x:v>
      </x:c>
    </x:row>
    <x:row r="3421">
      <x:c r="A3421" t="str">
        <x:v>DW-3416</x:v>
      </x:c>
      <x:c r="B3421" t="str">
        <x:v>DW-3416</x:v>
      </x:c>
      <x:c r="C3421" t="str">
        <x:v>Parent indépendant 1.58</x:v>
      </x:c>
      <x:c r="D3421" t="str">
        <x:v>Loisirs et culture</x:v>
      </x:c>
      <x:c r="E3421" t="str">
        <x:v>Atelier de fanzines</x:v>
      </x:c>
      <x:c r="F3421" t="n">
        <x:v>9</x:v>
      </x:c>
      <x:c r="G3421" t="n">
        <x:v>6</x:v>
      </x:c>
      <x:c r="H3421" t="n">
        <x:v>6</x:v>
      </x:c>
      <x:c r="I3421" t="str">
        <x:v>À qualifier par lieu</x:v>
      </x:c>
      <x:c r="J3421" t="str">
        <x:v>https://github.com/darknigthmare/deadwall-last-enclosure/blob/e28f46223e73105ab2c5d83f3d50b99b58ef53e6/codex-3000/addendum-1.58/PROGRAMMES_B.json</x:v>
      </x:c>
      <x:c r="K3421" t="str">
        <x:v>Source min 34,28 m ; max 34,28 m ; modèle 34 × 28 m ; niveaux 0, 1. Détails dans catalogue-existant.json.</x:v>
      </x:c>
    </x:row>
    <x:row r="3422">
      <x:c r="A3422" t="str">
        <x:v>DW-3417</x:v>
      </x:c>
      <x:c r="B3422" t="str">
        <x:v>DW-3417</x:v>
      </x:c>
      <x:c r="C3422" t="str">
        <x:v>Parent indépendant 1.58</x:v>
      </x:c>
      <x:c r="D3422" t="str">
        <x:v>Loisirs et culture</x:v>
      </x:c>
      <x:c r="E3422" t="str">
        <x:v>Maison de l'art postal</x:v>
      </x:c>
      <x:c r="F3422" t="n">
        <x:v>9</x:v>
      </x:c>
      <x:c r="G3422" t="n">
        <x:v>6</x:v>
      </x:c>
      <x:c r="H3422" t="n">
        <x:v>6</x:v>
      </x:c>
      <x:c r="I3422" t="str">
        <x:v>À qualifier par lieu</x:v>
      </x:c>
      <x:c r="J3422" t="str">
        <x:v>https://github.com/darknigthmare/deadwall-last-enclosure/blob/e28f46223e73105ab2c5d83f3d50b99b58ef53e6/codex-3000/addendum-1.58/PROGRAMMES_B.json</x:v>
      </x:c>
      <x:c r="K3422" t="str">
        <x:v>Source min 38,31 m ; max 38,31 m ; modèle 38 × 31 m ; niveaux 0, 1. Détails dans catalogue-existant.json.</x:v>
      </x:c>
    </x:row>
    <x:row r="3423">
      <x:c r="A3423" t="str">
        <x:v>DW-3418</x:v>
      </x:c>
      <x:c r="B3423" t="str">
        <x:v>DW-3418</x:v>
      </x:c>
      <x:c r="C3423" t="str">
        <x:v>Parent indépendant 1.58</x:v>
      </x:c>
      <x:c r="D3423" t="str">
        <x:v>Loisirs et culture</x:v>
      </x:c>
      <x:c r="E3423" t="str">
        <x:v>Centre d'exposition de céramique</x:v>
      </x:c>
      <x:c r="F3423" t="n">
        <x:v>9</x:v>
      </x:c>
      <x:c r="G3423" t="n">
        <x:v>6</x:v>
      </x:c>
      <x:c r="H3423" t="n">
        <x:v>6</x:v>
      </x:c>
      <x:c r="I3423" t="str">
        <x:v>À qualifier par lieu</x:v>
      </x:c>
      <x:c r="J3423" t="str">
        <x:v>https://github.com/darknigthmare/deadwall-last-enclosure/blob/e28f46223e73105ab2c5d83f3d50b99b58ef53e6/codex-3000/addendum-1.58/PROGRAMMES_B.json</x:v>
      </x:c>
      <x:c r="K3423" t="str">
        <x:v>Source min 42,34 m ; max 42,34 m ; modèle 42 × 34 m ; niveaux 0, 1. Détails dans catalogue-existant.json.</x:v>
      </x:c>
    </x:row>
    <x:row r="3424">
      <x:c r="A3424" t="str">
        <x:v>DW-3419</x:v>
      </x:c>
      <x:c r="B3424" t="str">
        <x:v>DW-3419</x:v>
      </x:c>
      <x:c r="C3424" t="str">
        <x:v>Parent indépendant 1.58</x:v>
      </x:c>
      <x:c r="D3424" t="str">
        <x:v>Loisirs et culture</x:v>
      </x:c>
      <x:c r="E3424" t="str">
        <x:v>Atelier de restauration de mobilier patrimonial</x:v>
      </x:c>
      <x:c r="F3424" t="n">
        <x:v>9</x:v>
      </x:c>
      <x:c r="G3424" t="n">
        <x:v>6</x:v>
      </x:c>
      <x:c r="H3424" t="n">
        <x:v>6</x:v>
      </x:c>
      <x:c r="I3424" t="str">
        <x:v>À qualifier par lieu</x:v>
      </x:c>
      <x:c r="J3424" t="str">
        <x:v>https://github.com/darknigthmare/deadwall-last-enclosure/blob/e28f46223e73105ab2c5d83f3d50b99b58ef53e6/codex-3000/addendum-1.58/PROGRAMMES_B.json</x:v>
      </x:c>
      <x:c r="K3424" t="str">
        <x:v>Source min 30,28 m ; max 30,28 m ; modèle 30 × 28 m ; niveaux 0, 1. Détails dans catalogue-existant.json.</x:v>
      </x:c>
    </x:row>
    <x:row r="3425">
      <x:c r="A3425" t="str">
        <x:v>DW-3420</x:v>
      </x:c>
      <x:c r="B3425" t="str">
        <x:v>DW-3420</x:v>
      </x:c>
      <x:c r="C3425" t="str">
        <x:v>Parent indépendant 1.58</x:v>
      </x:c>
      <x:c r="D3425" t="str">
        <x:v>Loisirs et culture</x:v>
      </x:c>
      <x:c r="E3425" t="str">
        <x:v>Maison du dessin d'architecture</x:v>
      </x:c>
      <x:c r="F3425" t="n">
        <x:v>9</x:v>
      </x:c>
      <x:c r="G3425" t="n">
        <x:v>6</x:v>
      </x:c>
      <x:c r="H3425" t="n">
        <x:v>6</x:v>
      </x:c>
      <x:c r="I3425" t="str">
        <x:v>À qualifier par lieu</x:v>
      </x:c>
      <x:c r="J3425" t="str">
        <x:v>https://github.com/darknigthmare/deadwall-last-enclosure/blob/e28f46223e73105ab2c5d83f3d50b99b58ef53e6/codex-3000/addendum-1.58/PROGRAMMES_B.json</x:v>
      </x:c>
      <x:c r="K3425" t="str">
        <x:v>Source min 34,31 m ; max 34,31 m ; modèle 34 × 31 m ; niveaux 0, 1. Détails dans catalogue-existant.json.</x:v>
      </x:c>
    </x:row>
    <x:row r="3426">
      <x:c r="A3426" t="str">
        <x:v>DW-3421</x:v>
      </x:c>
      <x:c r="B3426" t="str">
        <x:v>DW-3421</x:v>
      </x:c>
      <x:c r="C3426" t="str">
        <x:v>Parent indépendant 1.58</x:v>
      </x:c>
      <x:c r="D3426" t="str">
        <x:v>Loisirs et culture</x:v>
      </x:c>
      <x:c r="E3426" t="str">
        <x:v>Centre de mémoire des transports quotidiens</x:v>
      </x:c>
      <x:c r="F3426" t="n">
        <x:v>9</x:v>
      </x:c>
      <x:c r="G3426" t="n">
        <x:v>6</x:v>
      </x:c>
      <x:c r="H3426" t="n">
        <x:v>6</x:v>
      </x:c>
      <x:c r="I3426" t="str">
        <x:v>À qualifier par lieu</x:v>
      </x:c>
      <x:c r="J3426" t="str">
        <x:v>https://github.com/darknigthmare/deadwall-last-enclosure/blob/e28f46223e73105ab2c5d83f3d50b99b58ef53e6/codex-3000/addendum-1.58/PROGRAMMES_B.json</x:v>
      </x:c>
      <x:c r="K3426" t="str">
        <x:v>Source min 38,34 m ; max 38,34 m ; modèle 38 × 34 m ; niveaux 0, 1. Détails dans catalogue-existant.json.</x:v>
      </x:c>
    </x:row>
    <x:row r="3427">
      <x:c r="A3427" t="str">
        <x:v>DW-3422</x:v>
      </x:c>
      <x:c r="B3427" t="str">
        <x:v>DW-3422</x:v>
      </x:c>
      <x:c r="C3427" t="str">
        <x:v>Parent indépendant 1.58</x:v>
      </x:c>
      <x:c r="D3427" t="str">
        <x:v>Loisirs et culture</x:v>
      </x:c>
      <x:c r="E3427" t="str">
        <x:v>Atelier de scénographie d'exposition</x:v>
      </x:c>
      <x:c r="F3427" t="n">
        <x:v>9</x:v>
      </x:c>
      <x:c r="G3427" t="n">
        <x:v>6</x:v>
      </x:c>
      <x:c r="H3427" t="n">
        <x:v>6</x:v>
      </x:c>
      <x:c r="I3427" t="str">
        <x:v>À qualifier par lieu</x:v>
      </x:c>
      <x:c r="J3427" t="str">
        <x:v>https://github.com/darknigthmare/deadwall-last-enclosure/blob/e28f46223e73105ab2c5d83f3d50b99b58ef53e6/codex-3000/addendum-1.58/PROGRAMMES_B.json</x:v>
      </x:c>
      <x:c r="K3427" t="str">
        <x:v>Source min 42,28 m ; max 42,28 m ; modèle 42 × 28 m ; niveaux 0, 1. Détails dans catalogue-existant.json.</x:v>
      </x:c>
    </x:row>
    <x:row r="3428">
      <x:c r="A3428" t="str">
        <x:v>DW-3423</x:v>
      </x:c>
      <x:c r="B3428" t="str">
        <x:v>DW-3423</x:v>
      </x:c>
      <x:c r="C3428" t="str">
        <x:v>Parent indépendant 1.58</x:v>
      </x:c>
      <x:c r="D3428" t="str">
        <x:v>Loisirs et culture</x:v>
      </x:c>
      <x:c r="E3428" t="str">
        <x:v>Maison des cartes et atlas historiques</x:v>
      </x:c>
      <x:c r="F3428" t="n">
        <x:v>9</x:v>
      </x:c>
      <x:c r="G3428" t="n">
        <x:v>6</x:v>
      </x:c>
      <x:c r="H3428" t="n">
        <x:v>6</x:v>
      </x:c>
      <x:c r="I3428" t="str">
        <x:v>À qualifier par lieu</x:v>
      </x:c>
      <x:c r="J3428" t="str">
        <x:v>https://github.com/darknigthmare/deadwall-last-enclosure/blob/e28f46223e73105ab2c5d83f3d50b99b58ef53e6/codex-3000/addendum-1.58/PROGRAMMES_B.json</x:v>
      </x:c>
      <x:c r="K3428" t="str">
        <x:v>Source min 30,31 m ; max 30,31 m ; modèle 30 × 31 m ; niveaux 0, 1. Détails dans catalogue-existant.json.</x:v>
      </x:c>
    </x:row>
    <x:row r="3429">
      <x:c r="A3429" t="str">
        <x:v>DW-3424</x:v>
      </x:c>
      <x:c r="B3429" t="str">
        <x:v>DW-3424</x:v>
      </x:c>
      <x:c r="C3429" t="str">
        <x:v>Parent indépendant 1.58</x:v>
      </x:c>
      <x:c r="D3429" t="str">
        <x:v>Loisirs et culture</x:v>
      </x:c>
      <x:c r="E3429" t="str">
        <x:v>Centre de mémoire des jardins</x:v>
      </x:c>
      <x:c r="F3429" t="n">
        <x:v>9</x:v>
      </x:c>
      <x:c r="G3429" t="n">
        <x:v>6</x:v>
      </x:c>
      <x:c r="H3429" t="n">
        <x:v>6</x:v>
      </x:c>
      <x:c r="I3429" t="str">
        <x:v>À qualifier par lieu</x:v>
      </x:c>
      <x:c r="J3429" t="str">
        <x:v>https://github.com/darknigthmare/deadwall-last-enclosure/blob/e28f46223e73105ab2c5d83f3d50b99b58ef53e6/codex-3000/addendum-1.58/PROGRAMMES_B.json</x:v>
      </x:c>
      <x:c r="K3429" t="str">
        <x:v>Source min 34,34 m ; max 34,34 m ; modèle 34 × 34 m ; niveaux 0, 1. Détails dans catalogue-existant.json.</x:v>
      </x:c>
    </x:row>
    <x:row r="3430">
      <x:c r="A3430" t="str">
        <x:v>DW-3425</x:v>
      </x:c>
      <x:c r="B3430" t="str">
        <x:v>DW-3425</x:v>
      </x:c>
      <x:c r="C3430" t="str">
        <x:v>Parent indépendant 1.58</x:v>
      </x:c>
      <x:c r="D3430" t="str">
        <x:v>Loisirs et culture</x:v>
      </x:c>
      <x:c r="E3430" t="str">
        <x:v>Atelier de conservation de photographies sur verre</x:v>
      </x:c>
      <x:c r="F3430" t="n">
        <x:v>9</x:v>
      </x:c>
      <x:c r="G3430" t="n">
        <x:v>6</x:v>
      </x:c>
      <x:c r="H3430" t="n">
        <x:v>6</x:v>
      </x:c>
      <x:c r="I3430" t="str">
        <x:v>À qualifier par lieu</x:v>
      </x:c>
      <x:c r="J3430" t="str">
        <x:v>https://github.com/darknigthmare/deadwall-last-enclosure/blob/e28f46223e73105ab2c5d83f3d50b99b58ef53e6/codex-3000/addendum-1.58/PROGRAMMES_B.json</x:v>
      </x:c>
      <x:c r="K3430" t="str">
        <x:v>Source min 38,28 m ; max 38,28 m ; modèle 38 × 28 m ; niveaux 0, 1. Détails dans catalogue-existant.json.</x:v>
      </x:c>
    </x:row>
    <x:row r="3431">
      <x:c r="A3431" t="str">
        <x:v>DW-3426</x:v>
      </x:c>
      <x:c r="B3431" t="str">
        <x:v>DW-3426</x:v>
      </x:c>
      <x:c r="C3431" t="str">
        <x:v>Parent indépendant 1.58</x:v>
      </x:c>
      <x:c r="D3431" t="str">
        <x:v>Loisirs et culture</x:v>
      </x:c>
      <x:c r="E3431" t="str">
        <x:v>Salle de pratique du tir à l'arc</x:v>
      </x:c>
      <x:c r="F3431" t="n">
        <x:v>9</x:v>
      </x:c>
      <x:c r="G3431" t="n">
        <x:v>6</x:v>
      </x:c>
      <x:c r="H3431" t="n">
        <x:v>6</x:v>
      </x:c>
      <x:c r="I3431" t="str">
        <x:v>À qualifier par lieu</x:v>
      </x:c>
      <x:c r="J3431" t="str">
        <x:v>https://github.com/darknigthmare/deadwall-last-enclosure/blob/e28f46223e73105ab2c5d83f3d50b99b58ef53e6/codex-3000/addendum-1.58/PROGRAMMES_B.json</x:v>
      </x:c>
      <x:c r="K3431" t="str">
        <x:v>Source min 52,45 m ; max 52,45 m ; modèle 52 × 45 m ; niveaux 0. Détails dans catalogue-existant.json.</x:v>
      </x:c>
    </x:row>
    <x:row r="3432">
      <x:c r="A3432" t="str">
        <x:v>DW-3427</x:v>
      </x:c>
      <x:c r="B3432" t="str">
        <x:v>DW-3427</x:v>
      </x:c>
      <x:c r="C3432" t="str">
        <x:v>Parent indépendant 1.58</x:v>
      </x:c>
      <x:c r="D3432" t="str">
        <x:v>Loisirs et culture</x:v>
      </x:c>
      <x:c r="E3432" t="str">
        <x:v>Salle d'escrime</x:v>
      </x:c>
      <x:c r="F3432" t="n">
        <x:v>9</x:v>
      </x:c>
      <x:c r="G3432" t="n">
        <x:v>6</x:v>
      </x:c>
      <x:c r="H3432" t="n">
        <x:v>6</x:v>
      </x:c>
      <x:c r="I3432" t="str">
        <x:v>À qualifier par lieu</x:v>
      </x:c>
      <x:c r="J3432" t="str">
        <x:v>https://github.com/darknigthmare/deadwall-last-enclosure/blob/e28f46223e73105ab2c5d83f3d50b99b58ef53e6/codex-3000/addendum-1.58/PROGRAMMES_B.json</x:v>
      </x:c>
      <x:c r="K3432" t="str">
        <x:v>Source min 56,36 m ; max 56,36 m ; modèle 56 × 36 m ; niveaux 0. Détails dans catalogue-existant.json.</x:v>
      </x:c>
    </x:row>
    <x:row r="3433">
      <x:c r="A3433" t="str">
        <x:v>DW-3428</x:v>
      </x:c>
      <x:c r="B3433" t="str">
        <x:v>DW-3428</x:v>
      </x:c>
      <x:c r="C3433" t="str">
        <x:v>Parent indépendant 1.58</x:v>
      </x:c>
      <x:c r="D3433" t="str">
        <x:v>Loisirs et culture</x:v>
      </x:c>
      <x:c r="E3433" t="str">
        <x:v>Salle de judo</x:v>
      </x:c>
      <x:c r="F3433" t="n">
        <x:v>9</x:v>
      </x:c>
      <x:c r="G3433" t="n">
        <x:v>6</x:v>
      </x:c>
      <x:c r="H3433" t="n">
        <x:v>6</x:v>
      </x:c>
      <x:c r="I3433" t="str">
        <x:v>À qualifier par lieu</x:v>
      </x:c>
      <x:c r="J3433" t="str">
        <x:v>https://github.com/darknigthmare/deadwall-last-enclosure/blob/e28f46223e73105ab2c5d83f3d50b99b58ef53e6/codex-3000/addendum-1.58/PROGRAMMES_B.json</x:v>
      </x:c>
      <x:c r="K3433" t="str">
        <x:v>Source min 48,39 m ; max 48,39 m ; modèle 48 × 39 m ; niveaux 0. Détails dans catalogue-existant.json.</x:v>
      </x:c>
    </x:row>
    <x:row r="3434">
      <x:c r="A3434" t="str">
        <x:v>DW-3429</x:v>
      </x:c>
      <x:c r="B3434" t="str">
        <x:v>DW-3429</x:v>
      </x:c>
      <x:c r="C3434" t="str">
        <x:v>Parent indépendant 1.58</x:v>
      </x:c>
      <x:c r="D3434" t="str">
        <x:v>Loisirs et culture</x:v>
      </x:c>
      <x:c r="E3434" t="str">
        <x:v>Salle de boxe éducative</x:v>
      </x:c>
      <x:c r="F3434" t="n">
        <x:v>9</x:v>
      </x:c>
      <x:c r="G3434" t="n">
        <x:v>6</x:v>
      </x:c>
      <x:c r="H3434" t="n">
        <x:v>6</x:v>
      </x:c>
      <x:c r="I3434" t="str">
        <x:v>À qualifier par lieu</x:v>
      </x:c>
      <x:c r="J3434" t="str">
        <x:v>https://github.com/darknigthmare/deadwall-last-enclosure/blob/e28f46223e73105ab2c5d83f3d50b99b58ef53e6/codex-3000/addendum-1.58/PROGRAMMES_B.json</x:v>
      </x:c>
      <x:c r="K3434" t="str">
        <x:v>Source min 52,42 m ; max 52,42 m ; modèle 52 × 42 m ; niveaux 0. Détails dans catalogue-existant.json.</x:v>
      </x:c>
    </x:row>
    <x:row r="3435">
      <x:c r="A3435" t="str">
        <x:v>DW-3430</x:v>
      </x:c>
      <x:c r="B3435" t="str">
        <x:v>DW-3430</x:v>
      </x:c>
      <x:c r="C3435" t="str">
        <x:v>Parent indépendant 1.58</x:v>
      </x:c>
      <x:c r="D3435" t="str">
        <x:v>Loisirs et culture</x:v>
      </x:c>
      <x:c r="E3435" t="str">
        <x:v>Salle de gymnastique douce</x:v>
      </x:c>
      <x:c r="F3435" t="n">
        <x:v>9</x:v>
      </x:c>
      <x:c r="G3435" t="n">
        <x:v>6</x:v>
      </x:c>
      <x:c r="H3435" t="n">
        <x:v>6</x:v>
      </x:c>
      <x:c r="I3435" t="str">
        <x:v>À qualifier par lieu</x:v>
      </x:c>
      <x:c r="J3435" t="str">
        <x:v>https://github.com/darknigthmare/deadwall-last-enclosure/blob/e28f46223e73105ab2c5d83f3d50b99b58ef53e6/codex-3000/addendum-1.58/PROGRAMMES_B.json</x:v>
      </x:c>
      <x:c r="K3435" t="str">
        <x:v>Source min 56,45 m ; max 56,45 m ; modèle 56 × 45 m ; niveaux 0. Détails dans catalogue-existant.json.</x:v>
      </x:c>
    </x:row>
    <x:row r="3436">
      <x:c r="A3436" t="str">
        <x:v>DW-3431</x:v>
      </x:c>
      <x:c r="B3436" t="str">
        <x:v>DW-3431</x:v>
      </x:c>
      <x:c r="C3436" t="str">
        <x:v>Parent indépendant 1.58</x:v>
      </x:c>
      <x:c r="D3436" t="str">
        <x:v>Loisirs et culture</x:v>
      </x:c>
      <x:c r="E3436" t="str">
        <x:v>Centre d'entraînement de tennis de table</x:v>
      </x:c>
      <x:c r="F3436" t="n">
        <x:v>9</x:v>
      </x:c>
      <x:c r="G3436" t="n">
        <x:v>6</x:v>
      </x:c>
      <x:c r="H3436" t="n">
        <x:v>6</x:v>
      </x:c>
      <x:c r="I3436" t="str">
        <x:v>À qualifier par lieu</x:v>
      </x:c>
      <x:c r="J3436" t="str">
        <x:v>https://github.com/darknigthmare/deadwall-last-enclosure/blob/e28f46223e73105ab2c5d83f3d50b99b58ef53e6/codex-3000/addendum-1.58/PROGRAMMES_B.json</x:v>
      </x:c>
      <x:c r="K3436" t="str">
        <x:v>Source min 48,36 m ; max 48,36 m ; modèle 48 × 36 m ; niveaux 0. Détails dans catalogue-existant.json.</x:v>
      </x:c>
    </x:row>
    <x:row r="3437">
      <x:c r="A3437" t="str">
        <x:v>DW-3432</x:v>
      </x:c>
      <x:c r="B3437" t="str">
        <x:v>DW-3432</x:v>
      </x:c>
      <x:c r="C3437" t="str">
        <x:v>Parent indépendant 1.58</x:v>
      </x:c>
      <x:c r="D3437" t="str">
        <x:v>Loisirs et culture</x:v>
      </x:c>
      <x:c r="E3437" t="str">
        <x:v>Salle de badminton</x:v>
      </x:c>
      <x:c r="F3437" t="n">
        <x:v>9</x:v>
      </x:c>
      <x:c r="G3437" t="n">
        <x:v>6</x:v>
      </x:c>
      <x:c r="H3437" t="n">
        <x:v>6</x:v>
      </x:c>
      <x:c r="I3437" t="str">
        <x:v>À qualifier par lieu</x:v>
      </x:c>
      <x:c r="J3437" t="str">
        <x:v>https://github.com/darknigthmare/deadwall-last-enclosure/blob/e28f46223e73105ab2c5d83f3d50b99b58ef53e6/codex-3000/addendum-1.58/PROGRAMMES_B.json</x:v>
      </x:c>
      <x:c r="K3437" t="str">
        <x:v>Source min 52,39 m ; max 52,39 m ; modèle 52 × 39 m ; niveaux 0. Détails dans catalogue-existant.json.</x:v>
      </x:c>
    </x:row>
    <x:row r="3438">
      <x:c r="A3438" t="str">
        <x:v>DW-3433</x:v>
      </x:c>
      <x:c r="B3438" t="str">
        <x:v>DW-3433</x:v>
      </x:c>
      <x:c r="C3438" t="str">
        <x:v>Parent indépendant 1.58</x:v>
      </x:c>
      <x:c r="D3438" t="str">
        <x:v>Loisirs et culture</x:v>
      </x:c>
      <x:c r="E3438" t="str">
        <x:v>Salle de squash</x:v>
      </x:c>
      <x:c r="F3438" t="n">
        <x:v>9</x:v>
      </x:c>
      <x:c r="G3438" t="n">
        <x:v>6</x:v>
      </x:c>
      <x:c r="H3438" t="n">
        <x:v>6</x:v>
      </x:c>
      <x:c r="I3438" t="str">
        <x:v>À qualifier par lieu</x:v>
      </x:c>
      <x:c r="J3438" t="str">
        <x:v>https://github.com/darknigthmare/deadwall-last-enclosure/blob/e28f46223e73105ab2c5d83f3d50b99b58ef53e6/codex-3000/addendum-1.58/PROGRAMMES_B.json</x:v>
      </x:c>
      <x:c r="K3438" t="str">
        <x:v>Source min 56,42 m ; max 56,42 m ; modèle 56 × 42 m ; niveaux 0. Détails dans catalogue-existant.json.</x:v>
      </x:c>
    </x:row>
    <x:row r="3439">
      <x:c r="A3439" t="str">
        <x:v>DW-3434</x:v>
      </x:c>
      <x:c r="B3439" t="str">
        <x:v>DW-3434</x:v>
      </x:c>
      <x:c r="C3439" t="str">
        <x:v>Parent indépendant 1.58</x:v>
      </x:c>
      <x:c r="D3439" t="str">
        <x:v>Loisirs et culture</x:v>
      </x:c>
      <x:c r="E3439" t="str">
        <x:v>Salle de danse sportive</x:v>
      </x:c>
      <x:c r="F3439" t="n">
        <x:v>9</x:v>
      </x:c>
      <x:c r="G3439" t="n">
        <x:v>6</x:v>
      </x:c>
      <x:c r="H3439" t="n">
        <x:v>6</x:v>
      </x:c>
      <x:c r="I3439" t="str">
        <x:v>À qualifier par lieu</x:v>
      </x:c>
      <x:c r="J3439" t="str">
        <x:v>https://github.com/darknigthmare/deadwall-last-enclosure/blob/e28f46223e73105ab2c5d83f3d50b99b58ef53e6/codex-3000/addendum-1.58/PROGRAMMES_B.json</x:v>
      </x:c>
      <x:c r="K3439" t="str">
        <x:v>Source min 48,45 m ; max 48,45 m ; modèle 48 × 45 m ; niveaux 0. Détails dans catalogue-existant.json.</x:v>
      </x:c>
    </x:row>
    <x:row r="3440">
      <x:c r="A3440" t="str">
        <x:v>DW-3435</x:v>
      </x:c>
      <x:c r="B3440" t="str">
        <x:v>DW-3435</x:v>
      </x:c>
      <x:c r="C3440" t="str">
        <x:v>Parent indépendant 1.58</x:v>
      </x:c>
      <x:c r="D3440" t="str">
        <x:v>Loisirs et culture</x:v>
      </x:c>
      <x:c r="E3440" t="str">
        <x:v>Salle de yoga associatif</x:v>
      </x:c>
      <x:c r="F3440" t="n">
        <x:v>9</x:v>
      </x:c>
      <x:c r="G3440" t="n">
        <x:v>6</x:v>
      </x:c>
      <x:c r="H3440" t="n">
        <x:v>6</x:v>
      </x:c>
      <x:c r="I3440" t="str">
        <x:v>À qualifier par lieu</x:v>
      </x:c>
      <x:c r="J3440" t="str">
        <x:v>https://github.com/darknigthmare/deadwall-last-enclosure/blob/e28f46223e73105ab2c5d83f3d50b99b58ef53e6/codex-3000/addendum-1.58/PROGRAMMES_B.json</x:v>
      </x:c>
      <x:c r="K3440" t="str">
        <x:v>Source min 52,36 m ; max 52,36 m ; modèle 52 × 36 m ; niveaux 0. Détails dans catalogue-existant.json.</x:v>
      </x:c>
    </x:row>
    <x:row r="3441">
      <x:c r="A3441" t="str">
        <x:v>DW-3436</x:v>
      </x:c>
      <x:c r="B3441" t="str">
        <x:v>DW-3436</x:v>
      </x:c>
      <x:c r="C3441" t="str">
        <x:v>Parent indépendant 1.58</x:v>
      </x:c>
      <x:c r="D3441" t="str">
        <x:v>Loisirs et culture</x:v>
      </x:c>
      <x:c r="E3441" t="str">
        <x:v>Atelier de préparation de patins</x:v>
      </x:c>
      <x:c r="F3441" t="n">
        <x:v>9</x:v>
      </x:c>
      <x:c r="G3441" t="n">
        <x:v>6</x:v>
      </x:c>
      <x:c r="H3441" t="n">
        <x:v>6</x:v>
      </x:c>
      <x:c r="I3441" t="str">
        <x:v>À qualifier par lieu</x:v>
      </x:c>
      <x:c r="J3441" t="str">
        <x:v>https://github.com/darknigthmare/deadwall-last-enclosure/blob/e28f46223e73105ab2c5d83f3d50b99b58ef53e6/codex-3000/addendum-1.58/PROGRAMMES_B.json</x:v>
      </x:c>
      <x:c r="K3441" t="str">
        <x:v>Source min 56,39 m ; max 56,39 m ; modèle 56 × 39 m ; niveaux 0. Détails dans catalogue-existant.json.</x:v>
      </x:c>
    </x:row>
    <x:row r="3442">
      <x:c r="A3442" t="str">
        <x:v>DW-3437</x:v>
      </x:c>
      <x:c r="B3442" t="str">
        <x:v>DW-3437</x:v>
      </x:c>
      <x:c r="C3442" t="str">
        <x:v>Parent indépendant 1.58</x:v>
      </x:c>
      <x:c r="D3442" t="str">
        <x:v>Loisirs et culture</x:v>
      </x:c>
      <x:c r="E3442" t="str">
        <x:v>Maison de club de course d'orientation</x:v>
      </x:c>
      <x:c r="F3442" t="n">
        <x:v>9</x:v>
      </x:c>
      <x:c r="G3442" t="n">
        <x:v>6</x:v>
      </x:c>
      <x:c r="H3442" t="n">
        <x:v>6</x:v>
      </x:c>
      <x:c r="I3442" t="str">
        <x:v>À qualifier par lieu</x:v>
      </x:c>
      <x:c r="J3442" t="str">
        <x:v>https://github.com/darknigthmare/deadwall-last-enclosure/blob/e28f46223e73105ab2c5d83f3d50b99b58ef53e6/codex-3000/addendum-1.58/PROGRAMMES_B.json</x:v>
      </x:c>
      <x:c r="K3442" t="str">
        <x:v>Source min 48,42 m ; max 48,42 m ; modèle 48 × 42 m ; niveaux 0. Détails dans catalogue-existant.json.</x:v>
      </x:c>
    </x:row>
    <x:row r="3443">
      <x:c r="A3443" t="str">
        <x:v>DW-3438</x:v>
      </x:c>
      <x:c r="B3443" t="str">
        <x:v>DW-3438</x:v>
      </x:c>
      <x:c r="C3443" t="str">
        <x:v>Parent indépendant 1.58</x:v>
      </x:c>
      <x:c r="D3443" t="str">
        <x:v>Loisirs et culture</x:v>
      </x:c>
      <x:c r="E3443" t="str">
        <x:v>Local de club de randonnée</x:v>
      </x:c>
      <x:c r="F3443" t="n">
        <x:v>9</x:v>
      </x:c>
      <x:c r="G3443" t="n">
        <x:v>6</x:v>
      </x:c>
      <x:c r="H3443" t="n">
        <x:v>6</x:v>
      </x:c>
      <x:c r="I3443" t="str">
        <x:v>À qualifier par lieu</x:v>
      </x:c>
      <x:c r="J3443" t="str">
        <x:v>https://github.com/darknigthmare/deadwall-last-enclosure/blob/e28f46223e73105ab2c5d83f3d50b99b58ef53e6/codex-3000/addendum-1.58/PROGRAMMES_B.json</x:v>
      </x:c>
      <x:c r="K3443" t="str">
        <x:v>Source min 52,45 m ; max 52,45 m ; modèle 52 × 45 m ; niveaux 0. Détails dans catalogue-existant.json.</x:v>
      </x:c>
    </x:row>
    <x:row r="3444">
      <x:c r="A3444" t="str">
        <x:v>DW-3439</x:v>
      </x:c>
      <x:c r="B3444" t="str">
        <x:v>DW-3439</x:v>
      </x:c>
      <x:c r="C3444" t="str">
        <x:v>Parent indépendant 1.58</x:v>
      </x:c>
      <x:c r="D3444" t="str">
        <x:v>Loisirs et culture</x:v>
      </x:c>
      <x:c r="E3444" t="str">
        <x:v>Maison de club de marche nordique</x:v>
      </x:c>
      <x:c r="F3444" t="n">
        <x:v>9</x:v>
      </x:c>
      <x:c r="G3444" t="n">
        <x:v>6</x:v>
      </x:c>
      <x:c r="H3444" t="n">
        <x:v>6</x:v>
      </x:c>
      <x:c r="I3444" t="str">
        <x:v>À qualifier par lieu</x:v>
      </x:c>
      <x:c r="J3444" t="str">
        <x:v>https://github.com/darknigthmare/deadwall-last-enclosure/blob/e28f46223e73105ab2c5d83f3d50b99b58ef53e6/codex-3000/addendum-1.58/PROGRAMMES_B.json</x:v>
      </x:c>
      <x:c r="K3444" t="str">
        <x:v>Source min 56,36 m ; max 56,36 m ; modèle 56 × 36 m ; niveaux 0. Détails dans catalogue-existant.json.</x:v>
      </x:c>
    </x:row>
    <x:row r="3445">
      <x:c r="A3445" t="str">
        <x:v>DW-3440</x:v>
      </x:c>
      <x:c r="B3445" t="str">
        <x:v>DW-3440</x:v>
      </x:c>
      <x:c r="C3445" t="str">
        <x:v>Parent indépendant 1.58</x:v>
      </x:c>
      <x:c r="D3445" t="str">
        <x:v>Loisirs et culture</x:v>
      </x:c>
      <x:c r="E3445" t="str">
        <x:v>Salle de préparation au cyclotourisme</x:v>
      </x:c>
      <x:c r="F3445" t="n">
        <x:v>9</x:v>
      </x:c>
      <x:c r="G3445" t="n">
        <x:v>6</x:v>
      </x:c>
      <x:c r="H3445" t="n">
        <x:v>6</x:v>
      </x:c>
      <x:c r="I3445" t="str">
        <x:v>À qualifier par lieu</x:v>
      </x:c>
      <x:c r="J3445" t="str">
        <x:v>https://github.com/darknigthmare/deadwall-last-enclosure/blob/e28f46223e73105ab2c5d83f3d50b99b58ef53e6/codex-3000/addendum-1.58/PROGRAMMES_B.json</x:v>
      </x:c>
      <x:c r="K3445" t="str">
        <x:v>Source min 48,39 m ; max 48,39 m ; modèle 48 × 39 m ; niveaux 0. Détails dans catalogue-existant.json.</x:v>
      </x:c>
    </x:row>
    <x:row r="3446">
      <x:c r="A3446" t="str">
        <x:v>DW-3441</x:v>
      </x:c>
      <x:c r="B3446" t="str">
        <x:v>DW-3441</x:v>
      </x:c>
      <x:c r="C3446" t="str">
        <x:v>Parent indépendant 1.58</x:v>
      </x:c>
      <x:c r="D3446" t="str">
        <x:v>Loisirs et culture</x:v>
      </x:c>
      <x:c r="E3446" t="str">
        <x:v>Local de préparation de vélo de montagne</x:v>
      </x:c>
      <x:c r="F3446" t="n">
        <x:v>9</x:v>
      </x:c>
      <x:c r="G3446" t="n">
        <x:v>6</x:v>
      </x:c>
      <x:c r="H3446" t="n">
        <x:v>6</x:v>
      </x:c>
      <x:c r="I3446" t="str">
        <x:v>À qualifier par lieu</x:v>
      </x:c>
      <x:c r="J3446" t="str">
        <x:v>https://github.com/darknigthmare/deadwall-last-enclosure/blob/e28f46223e73105ab2c5d83f3d50b99b58ef53e6/codex-3000/addendum-1.58/PROGRAMMES_B.json</x:v>
      </x:c>
      <x:c r="K3446" t="str">
        <x:v>Source min 52,42 m ; max 52,42 m ; modèle 52 × 42 m ; niveaux 0. Détails dans catalogue-existant.json.</x:v>
      </x:c>
    </x:row>
    <x:row r="3447">
      <x:c r="A3447" t="str">
        <x:v>DW-3442</x:v>
      </x:c>
      <x:c r="B3447" t="str">
        <x:v>DW-3442</x:v>
      </x:c>
      <x:c r="C3447" t="str">
        <x:v>Parent indépendant 1.58</x:v>
      </x:c>
      <x:c r="D3447" t="str">
        <x:v>Loisirs et culture</x:v>
      </x:c>
      <x:c r="E3447" t="str">
        <x:v>Maison des officiels de compétition</x:v>
      </x:c>
      <x:c r="F3447" t="n">
        <x:v>9</x:v>
      </x:c>
      <x:c r="G3447" t="n">
        <x:v>6</x:v>
      </x:c>
      <x:c r="H3447" t="n">
        <x:v>6</x:v>
      </x:c>
      <x:c r="I3447" t="str">
        <x:v>À qualifier par lieu</x:v>
      </x:c>
      <x:c r="J3447" t="str">
        <x:v>https://github.com/darknigthmare/deadwall-last-enclosure/blob/e28f46223e73105ab2c5d83f3d50b99b58ef53e6/codex-3000/addendum-1.58/PROGRAMMES_B.json</x:v>
      </x:c>
      <x:c r="K3447" t="str">
        <x:v>Source min 56,45 m ; max 56,45 m ; modèle 56 × 45 m ; niveaux 0. Détails dans catalogue-existant.json.</x:v>
      </x:c>
    </x:row>
    <x:row r="3448">
      <x:c r="A3448" t="str">
        <x:v>DW-3443</x:v>
      </x:c>
      <x:c r="B3448" t="str">
        <x:v>DW-3443</x:v>
      </x:c>
      <x:c r="C3448" t="str">
        <x:v>Parent indépendant 1.58</x:v>
      </x:c>
      <x:c r="D3448" t="str">
        <x:v>Loisirs et culture</x:v>
      </x:c>
      <x:c r="E3448" t="str">
        <x:v>Centre de préparation de chronométrage sportif</x:v>
      </x:c>
      <x:c r="F3448" t="n">
        <x:v>9</x:v>
      </x:c>
      <x:c r="G3448" t="n">
        <x:v>6</x:v>
      </x:c>
      <x:c r="H3448" t="n">
        <x:v>6</x:v>
      </x:c>
      <x:c r="I3448" t="str">
        <x:v>À qualifier par lieu</x:v>
      </x:c>
      <x:c r="J3448" t="str">
        <x:v>https://github.com/darknigthmare/deadwall-last-enclosure/blob/e28f46223e73105ab2c5d83f3d50b99b58ef53e6/codex-3000/addendum-1.58/PROGRAMMES_B.json</x:v>
      </x:c>
      <x:c r="K3448" t="str">
        <x:v>Source min 48,36 m ; max 48,36 m ; modèle 48 × 36 m ; niveaux 0. Détails dans catalogue-existant.json.</x:v>
      </x:c>
    </x:row>
    <x:row r="3449">
      <x:c r="A3449" t="str">
        <x:v>DW-3444</x:v>
      </x:c>
      <x:c r="B3449" t="str">
        <x:v>DW-3444</x:v>
      </x:c>
      <x:c r="C3449" t="str">
        <x:v>Parent indépendant 1.58</x:v>
      </x:c>
      <x:c r="D3449" t="str">
        <x:v>Loisirs et culture</x:v>
      </x:c>
      <x:c r="E3449" t="str">
        <x:v>Salle d'entraînement de force associative</x:v>
      </x:c>
      <x:c r="F3449" t="n">
        <x:v>9</x:v>
      </x:c>
      <x:c r="G3449" t="n">
        <x:v>6</x:v>
      </x:c>
      <x:c r="H3449" t="n">
        <x:v>6</x:v>
      </x:c>
      <x:c r="I3449" t="str">
        <x:v>À qualifier par lieu</x:v>
      </x:c>
      <x:c r="J3449" t="str">
        <x:v>https://github.com/darknigthmare/deadwall-last-enclosure/blob/e28f46223e73105ab2c5d83f3d50b99b58ef53e6/codex-3000/addendum-1.58/PROGRAMMES_B.json</x:v>
      </x:c>
      <x:c r="K3449" t="str">
        <x:v>Source min 52,39 m ; max 52,39 m ; modèle 52 × 39 m ; niveaux 0. Détails dans catalogue-existant.json.</x:v>
      </x:c>
    </x:row>
    <x:row r="3450">
      <x:c r="A3450" t="str">
        <x:v>DW-3445</x:v>
      </x:c>
      <x:c r="B3450" t="str">
        <x:v>DW-3445</x:v>
      </x:c>
      <x:c r="C3450" t="str">
        <x:v>Parent indépendant 1.58</x:v>
      </x:c>
      <x:c r="D3450" t="str">
        <x:v>Loisirs et culture</x:v>
      </x:c>
      <x:c r="E3450" t="str">
        <x:v>Salle de préparation physique de grimpe</x:v>
      </x:c>
      <x:c r="F3450" t="n">
        <x:v>9</x:v>
      </x:c>
      <x:c r="G3450" t="n">
        <x:v>6</x:v>
      </x:c>
      <x:c r="H3450" t="n">
        <x:v>6</x:v>
      </x:c>
      <x:c r="I3450" t="str">
        <x:v>À qualifier par lieu</x:v>
      </x:c>
      <x:c r="J3450" t="str">
        <x:v>https://github.com/darknigthmare/deadwall-last-enclosure/blob/e28f46223e73105ab2c5d83f3d50b99b58ef53e6/codex-3000/addendum-1.58/PROGRAMMES_B.json</x:v>
      </x:c>
      <x:c r="K3450" t="str">
        <x:v>Source min 56,42 m ; max 56,42 m ; modèle 56 × 42 m ; niveaux 0. Détails dans catalogue-existant.json.</x:v>
      </x:c>
    </x:row>
    <x:row r="3451">
      <x:c r="A3451" t="str">
        <x:v>DW-3446</x:v>
      </x:c>
      <x:c r="B3451" t="str">
        <x:v>DW-3446</x:v>
      </x:c>
      <x:c r="C3451" t="str">
        <x:v>Parent indépendant 1.58</x:v>
      </x:c>
      <x:c r="D3451" t="str">
        <x:v>Loisirs et culture</x:v>
      </x:c>
      <x:c r="E3451" t="str">
        <x:v>Atelier de réparation de filets sportifs</x:v>
      </x:c>
      <x:c r="F3451" t="n">
        <x:v>9</x:v>
      </x:c>
      <x:c r="G3451" t="n">
        <x:v>6</x:v>
      </x:c>
      <x:c r="H3451" t="n">
        <x:v>6</x:v>
      </x:c>
      <x:c r="I3451" t="str">
        <x:v>À qualifier par lieu</x:v>
      </x:c>
      <x:c r="J3451" t="str">
        <x:v>https://github.com/darknigthmare/deadwall-last-enclosure/blob/e28f46223e73105ab2c5d83f3d50b99b58ef53e6/codex-3000/addendum-1.58/PROGRAMMES_B.json</x:v>
      </x:c>
      <x:c r="K3451" t="str">
        <x:v>Source min 48,45 m ; max 48,45 m ; modèle 48 × 45 m ; niveaux 0. Détails dans catalogue-existant.json.</x:v>
      </x:c>
    </x:row>
    <x:row r="3452">
      <x:c r="A3452" t="str">
        <x:v>DW-3447</x:v>
      </x:c>
      <x:c r="B3452" t="str">
        <x:v>DW-3447</x:v>
      </x:c>
      <x:c r="C3452" t="str">
        <x:v>Parent indépendant 1.58</x:v>
      </x:c>
      <x:c r="D3452" t="str">
        <x:v>Loisirs et culture</x:v>
      </x:c>
      <x:c r="E3452" t="str">
        <x:v>Maison de club de pétanque</x:v>
      </x:c>
      <x:c r="F3452" t="n">
        <x:v>9</x:v>
      </x:c>
      <x:c r="G3452" t="n">
        <x:v>6</x:v>
      </x:c>
      <x:c r="H3452" t="n">
        <x:v>6</x:v>
      </x:c>
      <x:c r="I3452" t="str">
        <x:v>À qualifier par lieu</x:v>
      </x:c>
      <x:c r="J3452" t="str">
        <x:v>https://github.com/darknigthmare/deadwall-last-enclosure/blob/e28f46223e73105ab2c5d83f3d50b99b58ef53e6/codex-3000/addendum-1.58/PROGRAMMES_B.json</x:v>
      </x:c>
      <x:c r="K3452" t="str">
        <x:v>Source min 52,36 m ; max 52,36 m ; modèle 52 × 36 m ; niveaux 0. Détails dans catalogue-existant.json.</x:v>
      </x:c>
    </x:row>
    <x:row r="3453">
      <x:c r="A3453" t="str">
        <x:v>DW-3448</x:v>
      </x:c>
      <x:c r="B3453" t="str">
        <x:v>DW-3448</x:v>
      </x:c>
      <x:c r="C3453" t="str">
        <x:v>Parent indépendant 1.58</x:v>
      </x:c>
      <x:c r="D3453" t="str">
        <x:v>Loisirs et culture</x:v>
      </x:c>
      <x:c r="E3453" t="str">
        <x:v>Local de club de palets</x:v>
      </x:c>
      <x:c r="F3453" t="n">
        <x:v>9</x:v>
      </x:c>
      <x:c r="G3453" t="n">
        <x:v>6</x:v>
      </x:c>
      <x:c r="H3453" t="n">
        <x:v>6</x:v>
      </x:c>
      <x:c r="I3453" t="str">
        <x:v>À qualifier par lieu</x:v>
      </x:c>
      <x:c r="J3453" t="str">
        <x:v>https://github.com/darknigthmare/deadwall-last-enclosure/blob/e28f46223e73105ab2c5d83f3d50b99b58ef53e6/codex-3000/addendum-1.58/PROGRAMMES_B.json</x:v>
      </x:c>
      <x:c r="K3453" t="str">
        <x:v>Source min 56,39 m ; max 56,39 m ; modèle 56 × 39 m ; niveaux 0. Détails dans catalogue-existant.json.</x:v>
      </x:c>
    </x:row>
    <x:row r="3454">
      <x:c r="A3454" t="str">
        <x:v>DW-3449</x:v>
      </x:c>
      <x:c r="B3454" t="str">
        <x:v>DW-3449</x:v>
      </x:c>
      <x:c r="C3454" t="str">
        <x:v>Parent indépendant 1.58</x:v>
      </x:c>
      <x:c r="D3454" t="str">
        <x:v>Loisirs et culture</x:v>
      </x:c>
      <x:c r="E3454" t="str">
        <x:v>Salle de préparation d'aviron en intérieur</x:v>
      </x:c>
      <x:c r="F3454" t="n">
        <x:v>9</x:v>
      </x:c>
      <x:c r="G3454" t="n">
        <x:v>6</x:v>
      </x:c>
      <x:c r="H3454" t="n">
        <x:v>6</x:v>
      </x:c>
      <x:c r="I3454" t="str">
        <x:v>À qualifier par lieu</x:v>
      </x:c>
      <x:c r="J3454" t="str">
        <x:v>https://github.com/darknigthmare/deadwall-last-enclosure/blob/e28f46223e73105ab2c5d83f3d50b99b58ef53e6/codex-3000/addendum-1.58/PROGRAMMES_B.json</x:v>
      </x:c>
      <x:c r="K3454" t="str">
        <x:v>Source min 48,42 m ; max 48,42 m ; modèle 48 × 42 m ; niveaux 0. Détails dans catalogue-existant.json.</x:v>
      </x:c>
    </x:row>
    <x:row r="3455">
      <x:c r="A3455" t="str">
        <x:v>DW-3450</x:v>
      </x:c>
      <x:c r="B3455" t="str">
        <x:v>DW-3450</x:v>
      </x:c>
      <x:c r="C3455" t="str">
        <x:v>Parent indépendant 1.58</x:v>
      </x:c>
      <x:c r="D3455" t="str">
        <x:v>Loisirs et culture</x:v>
      </x:c>
      <x:c r="E3455" t="str">
        <x:v>Local de club de kayak terrestre</x:v>
      </x:c>
      <x:c r="F3455" t="n">
        <x:v>9</x:v>
      </x:c>
      <x:c r="G3455" t="n">
        <x:v>6</x:v>
      </x:c>
      <x:c r="H3455" t="n">
        <x:v>6</x:v>
      </x:c>
      <x:c r="I3455" t="str">
        <x:v>À qualifier par lieu</x:v>
      </x:c>
      <x:c r="J3455" t="str">
        <x:v>https://github.com/darknigthmare/deadwall-last-enclosure/blob/e28f46223e73105ab2c5d83f3d50b99b58ef53e6/codex-3000/addendum-1.58/PROGRAMMES_B.json</x:v>
      </x:c>
      <x:c r="K3455" t="str">
        <x:v>Source min 52,45 m ; max 52,45 m ; modèle 52 × 45 m ; niveaux 0. Détails dans catalogue-existant.json.</x:v>
      </x:c>
    </x:row>
    <x:row r="3456">
      <x:c r="A3456" t="str">
        <x:v>DW-3451</x:v>
      </x:c>
      <x:c r="B3456" t="str">
        <x:v>DW-3451</x:v>
      </x:c>
      <x:c r="C3456" t="str">
        <x:v>Parent indépendant 1.58</x:v>
      </x:c>
      <x:c r="D3456" t="str">
        <x:v>Loisirs et culture</x:v>
      </x:c>
      <x:c r="E3456" t="str">
        <x:v>Maison de club de voile terrestre</x:v>
      </x:c>
      <x:c r="F3456" t="n">
        <x:v>9</x:v>
      </x:c>
      <x:c r="G3456" t="n">
        <x:v>6</x:v>
      </x:c>
      <x:c r="H3456" t="n">
        <x:v>6</x:v>
      </x:c>
      <x:c r="I3456" t="str">
        <x:v>À qualifier par lieu</x:v>
      </x:c>
      <x:c r="J3456" t="str">
        <x:v>https://github.com/darknigthmare/deadwall-last-enclosure/blob/e28f46223e73105ab2c5d83f3d50b99b58ef53e6/codex-3000/addendum-1.58/PROGRAMMES_B.json</x:v>
      </x:c>
      <x:c r="K3456" t="str">
        <x:v>Source min 56,36 m ; max 56,36 m ; modèle 56 × 36 m ; niveaux 0. Détails dans catalogue-existant.json.</x:v>
      </x:c>
    </x:row>
    <x:row r="3457">
      <x:c r="A3457" t="str">
        <x:v>DW-3452</x:v>
      </x:c>
      <x:c r="B3457" t="str">
        <x:v>DW-3452</x:v>
      </x:c>
      <x:c r="C3457" t="str">
        <x:v>Parent indépendant 1.58</x:v>
      </x:c>
      <x:c r="D3457" t="str">
        <x:v>Loisirs et culture</x:v>
      </x:c>
      <x:c r="E3457" t="str">
        <x:v>Salle d'entraînement d'équilibre</x:v>
      </x:c>
      <x:c r="F3457" t="n">
        <x:v>9</x:v>
      </x:c>
      <x:c r="G3457" t="n">
        <x:v>6</x:v>
      </x:c>
      <x:c r="H3457" t="n">
        <x:v>6</x:v>
      </x:c>
      <x:c r="I3457" t="str">
        <x:v>À qualifier par lieu</x:v>
      </x:c>
      <x:c r="J3457" t="str">
        <x:v>https://github.com/darknigthmare/deadwall-last-enclosure/blob/e28f46223e73105ab2c5d83f3d50b99b58ef53e6/codex-3000/addendum-1.58/PROGRAMMES_B.json</x:v>
      </x:c>
      <x:c r="K3457" t="str">
        <x:v>Source min 48,39 m ; max 48,39 m ; modèle 48 × 39 m ; niveaux 0. Détails dans catalogue-existant.json.</x:v>
      </x:c>
    </x:row>
    <x:row r="3458">
      <x:c r="A3458" t="str">
        <x:v>DW-3453</x:v>
      </x:c>
      <x:c r="B3458" t="str">
        <x:v>DW-3453</x:v>
      </x:c>
      <x:c r="C3458" t="str">
        <x:v>Parent indépendant 1.58</x:v>
      </x:c>
      <x:c r="D3458" t="str">
        <x:v>Loisirs et culture</x:v>
      </x:c>
      <x:c r="E3458" t="str">
        <x:v>Centre de préparation de handisport</x:v>
      </x:c>
      <x:c r="F3458" t="n">
        <x:v>9</x:v>
      </x:c>
      <x:c r="G3458" t="n">
        <x:v>6</x:v>
      </x:c>
      <x:c r="H3458" t="n">
        <x:v>6</x:v>
      </x:c>
      <x:c r="I3458" t="str">
        <x:v>À qualifier par lieu</x:v>
      </x:c>
      <x:c r="J3458" t="str">
        <x:v>https://github.com/darknigthmare/deadwall-last-enclosure/blob/e28f46223e73105ab2c5d83f3d50b99b58ef53e6/codex-3000/addendum-1.58/PROGRAMMES_B.json</x:v>
      </x:c>
      <x:c r="K3458" t="str">
        <x:v>Source min 52,42 m ; max 52,42 m ; modèle 52 × 42 m ; niveaux 0. Détails dans catalogue-existant.json.</x:v>
      </x:c>
    </x:row>
    <x:row r="3459">
      <x:c r="A3459" t="str">
        <x:v>DW-3454</x:v>
      </x:c>
      <x:c r="B3459" t="str">
        <x:v>DW-3454</x:v>
      </x:c>
      <x:c r="C3459" t="str">
        <x:v>Parent indépendant 1.58</x:v>
      </x:c>
      <x:c r="D3459" t="str">
        <x:v>Loisirs et culture</x:v>
      </x:c>
      <x:c r="E3459" t="str">
        <x:v>Salle de pratique de boccia</x:v>
      </x:c>
      <x:c r="F3459" t="n">
        <x:v>9</x:v>
      </x:c>
      <x:c r="G3459" t="n">
        <x:v>6</x:v>
      </x:c>
      <x:c r="H3459" t="n">
        <x:v>6</x:v>
      </x:c>
      <x:c r="I3459" t="str">
        <x:v>À qualifier par lieu</x:v>
      </x:c>
      <x:c r="J3459" t="str">
        <x:v>https://github.com/darknigthmare/deadwall-last-enclosure/blob/e28f46223e73105ab2c5d83f3d50b99b58ef53e6/codex-3000/addendum-1.58/PROGRAMMES_B.json</x:v>
      </x:c>
      <x:c r="K3459" t="str">
        <x:v>Source min 56,45 m ; max 56,45 m ; modèle 56 × 45 m ; niveaux 0. Détails dans catalogue-existant.json.</x:v>
      </x:c>
    </x:row>
    <x:row r="3460">
      <x:c r="A3460" t="str">
        <x:v>DW-3455</x:v>
      </x:c>
      <x:c r="B3460" t="str">
        <x:v>DW-3455</x:v>
      </x:c>
      <x:c r="C3460" t="str">
        <x:v>Parent indépendant 1.58</x:v>
      </x:c>
      <x:c r="D3460" t="str">
        <x:v>Loisirs et culture</x:v>
      </x:c>
      <x:c r="E3460" t="str">
        <x:v>Maison de bénévoles de course pédestre</x:v>
      </x:c>
      <x:c r="F3460" t="n">
        <x:v>9</x:v>
      </x:c>
      <x:c r="G3460" t="n">
        <x:v>6</x:v>
      </x:c>
      <x:c r="H3460" t="n">
        <x:v>6</x:v>
      </x:c>
      <x:c r="I3460" t="str">
        <x:v>À qualifier par lieu</x:v>
      </x:c>
      <x:c r="J3460" t="str">
        <x:v>https://github.com/darknigthmare/deadwall-last-enclosure/blob/e28f46223e73105ab2c5d83f3d50b99b58ef53e6/codex-3000/addendum-1.58/PROGRAMMES_B.json</x:v>
      </x:c>
      <x:c r="K3460" t="str">
        <x:v>Source min 48,36 m ; max 48,36 m ; modèle 48 × 36 m ; niveaux 0. Détails dans catalogue-existant.json.</x:v>
      </x:c>
    </x:row>
    <x:row r="3461">
      <x:c r="A3461" t="str">
        <x:v>DW-3456</x:v>
      </x:c>
      <x:c r="B3461" t="str">
        <x:v>DW-3456</x:v>
      </x:c>
      <x:c r="C3461" t="str">
        <x:v>Parent indépendant 1.58</x:v>
      </x:c>
      <x:c r="D3461" t="str">
        <x:v>Loisirs et culture</x:v>
      </x:c>
      <x:c r="E3461" t="str">
        <x:v>Salle de répétition de sport chorégraphié</x:v>
      </x:c>
      <x:c r="F3461" t="n">
        <x:v>9</x:v>
      </x:c>
      <x:c r="G3461" t="n">
        <x:v>6</x:v>
      </x:c>
      <x:c r="H3461" t="n">
        <x:v>6</x:v>
      </x:c>
      <x:c r="I3461" t="str">
        <x:v>À qualifier par lieu</x:v>
      </x:c>
      <x:c r="J3461" t="str">
        <x:v>https://github.com/darknigthmare/deadwall-last-enclosure/blob/e28f46223e73105ab2c5d83f3d50b99b58ef53e6/codex-3000/addendum-1.58/PROGRAMMES_B.json</x:v>
      </x:c>
      <x:c r="K3461" t="str">
        <x:v>Source min 52,39 m ; max 52,39 m ; modèle 52 × 39 m ; niveaux 0. Détails dans catalogue-existant.json.</x:v>
      </x:c>
    </x:row>
    <x:row r="3462">
      <x:c r="A3462" t="str">
        <x:v>DW-3457</x:v>
      </x:c>
      <x:c r="B3462" t="str">
        <x:v>DW-3457</x:v>
      </x:c>
      <x:c r="C3462" t="str">
        <x:v>Parent indépendant 1.58</x:v>
      </x:c>
      <x:c r="D3462" t="str">
        <x:v>Loisirs et culture</x:v>
      </x:c>
      <x:c r="E3462" t="str">
        <x:v>Atelier d'entretien de protections sportives</x:v>
      </x:c>
      <x:c r="F3462" t="n">
        <x:v>9</x:v>
      </x:c>
      <x:c r="G3462" t="n">
        <x:v>6</x:v>
      </x:c>
      <x:c r="H3462" t="n">
        <x:v>6</x:v>
      </x:c>
      <x:c r="I3462" t="str">
        <x:v>À qualifier par lieu</x:v>
      </x:c>
      <x:c r="J3462" t="str">
        <x:v>https://github.com/darknigthmare/deadwall-last-enclosure/blob/e28f46223e73105ab2c5d83f3d50b99b58ef53e6/codex-3000/addendum-1.58/PROGRAMMES_B.json</x:v>
      </x:c>
      <x:c r="K3462" t="str">
        <x:v>Source min 56,42 m ; max 56,42 m ; modèle 56 × 42 m ; niveaux 0. Détails dans catalogue-existant.json.</x:v>
      </x:c>
    </x:row>
    <x:row r="3463">
      <x:c r="A3463" t="str">
        <x:v>DW-3458</x:v>
      </x:c>
      <x:c r="B3463" t="str">
        <x:v>DW-3458</x:v>
      </x:c>
      <x:c r="C3463" t="str">
        <x:v>Parent indépendant 1.58</x:v>
      </x:c>
      <x:c r="D3463" t="str">
        <x:v>Loisirs et culture</x:v>
      </x:c>
      <x:c r="E3463" t="str">
        <x:v>Local de club de disc-golf</x:v>
      </x:c>
      <x:c r="F3463" t="n">
        <x:v>9</x:v>
      </x:c>
      <x:c r="G3463" t="n">
        <x:v>6</x:v>
      </x:c>
      <x:c r="H3463" t="n">
        <x:v>6</x:v>
      </x:c>
      <x:c r="I3463" t="str">
        <x:v>À qualifier par lieu</x:v>
      </x:c>
      <x:c r="J3463" t="str">
        <x:v>https://github.com/darknigthmare/deadwall-last-enclosure/blob/e28f46223e73105ab2c5d83f3d50b99b58ef53e6/codex-3000/addendum-1.58/PROGRAMMES_B.json</x:v>
      </x:c>
      <x:c r="K3463" t="str">
        <x:v>Source min 48,45 m ; max 48,45 m ; modèle 48 × 45 m ; niveaux 0. Détails dans catalogue-existant.json.</x:v>
      </x:c>
    </x:row>
    <x:row r="3464">
      <x:c r="A3464" t="str">
        <x:v>DW-3459</x:v>
      </x:c>
      <x:c r="B3464" t="str">
        <x:v>DW-3459</x:v>
      </x:c>
      <x:c r="C3464" t="str">
        <x:v>Parent indépendant 1.58</x:v>
      </x:c>
      <x:c r="D3464" t="str">
        <x:v>Loisirs et culture</x:v>
      </x:c>
      <x:c r="E3464" t="str">
        <x:v>Maison de club de course à pied</x:v>
      </x:c>
      <x:c r="F3464" t="n">
        <x:v>9</x:v>
      </x:c>
      <x:c r="G3464" t="n">
        <x:v>6</x:v>
      </x:c>
      <x:c r="H3464" t="n">
        <x:v>6</x:v>
      </x:c>
      <x:c r="I3464" t="str">
        <x:v>À qualifier par lieu</x:v>
      </x:c>
      <x:c r="J3464" t="str">
        <x:v>https://github.com/darknigthmare/deadwall-last-enclosure/blob/e28f46223e73105ab2c5d83f3d50b99b58ef53e6/codex-3000/addendum-1.58/PROGRAMMES_B.json</x:v>
      </x:c>
      <x:c r="K3464" t="str">
        <x:v>Source min 52,36 m ; max 52,36 m ; modèle 52 × 36 m ; niveaux 0. Détails dans catalogue-existant.json.</x:v>
      </x:c>
    </x:row>
    <x:row r="3465">
      <x:c r="A3465" t="str">
        <x:v>DW-3460</x:v>
      </x:c>
      <x:c r="B3465" t="str">
        <x:v>DW-3460</x:v>
      </x:c>
      <x:c r="C3465" t="str">
        <x:v>Parent indépendant 1.58</x:v>
      </x:c>
      <x:c r="D3465" t="str">
        <x:v>Loisirs et culture</x:v>
      </x:c>
      <x:c r="E3465" t="str">
        <x:v>Centre de prêt de matériel sportif adapté</x:v>
      </x:c>
      <x:c r="F3465" t="n">
        <x:v>9</x:v>
      </x:c>
      <x:c r="G3465" t="n">
        <x:v>6</x:v>
      </x:c>
      <x:c r="H3465" t="n">
        <x:v>6</x:v>
      </x:c>
      <x:c r="I3465" t="str">
        <x:v>À qualifier par lieu</x:v>
      </x:c>
      <x:c r="J3465" t="str">
        <x:v>https://github.com/darknigthmare/deadwall-last-enclosure/blob/e28f46223e73105ab2c5d83f3d50b99b58ef53e6/codex-3000/addendum-1.58/PROGRAMMES_B.json</x:v>
      </x:c>
      <x:c r="K3465" t="str">
        <x:v>Source min 56,39 m ; max 56,39 m ; modèle 56 × 39 m ; niveaux 0. Détails dans catalogue-existant.json.</x:v>
      </x:c>
    </x:row>
    <x:row r="3466">
      <x:c r="A3466" t="str">
        <x:v>DW-3461</x:v>
      </x:c>
      <x:c r="B3466" t="str">
        <x:v>DW-3461</x:v>
      </x:c>
      <x:c r="C3466" t="str">
        <x:v>Parent indépendant 1.58</x:v>
      </x:c>
      <x:c r="D3466" t="str">
        <x:v>Administration et communauté</x:v>
      </x:c>
      <x:c r="E3466" t="str">
        <x:v>Office communal de médiation de voisinage</x:v>
      </x:c>
      <x:c r="F3466" t="n">
        <x:v>9</x:v>
      </x:c>
      <x:c r="G3466" t="n">
        <x:v>6</x:v>
      </x:c>
      <x:c r="H3466" t="n">
        <x:v>6</x:v>
      </x:c>
      <x:c r="I3466" t="str">
        <x:v>À qualifier par lieu</x:v>
      </x:c>
      <x:c r="J3466" t="str">
        <x:v>https://github.com/darknigthmare/deadwall-last-enclosure/blob/e28f46223e73105ab2c5d83f3d50b99b58ef53e6/codex-3000/addendum-1.58/PROGRAMMES_B.json</x:v>
      </x:c>
      <x:c r="K3466" t="str">
        <x:v>Source min 38,28 m ; max 38,28 m ; modèle 38 × 28 m ; niveaux 0, 1. Détails dans catalogue-existant.json.</x:v>
      </x:c>
    </x:row>
    <x:row r="3467">
      <x:c r="A3467" t="str">
        <x:v>DW-3462</x:v>
      </x:c>
      <x:c r="B3467" t="str">
        <x:v>DW-3462</x:v>
      </x:c>
      <x:c r="C3467" t="str">
        <x:v>Parent indépendant 1.58</x:v>
      </x:c>
      <x:c r="D3467" t="str">
        <x:v>Administration et communauté</x:v>
      </x:c>
      <x:c r="E3467" t="str">
        <x:v>Guichet de domiciliation administrative</x:v>
      </x:c>
      <x:c r="F3467" t="n">
        <x:v>9</x:v>
      </x:c>
      <x:c r="G3467" t="n">
        <x:v>6</x:v>
      </x:c>
      <x:c r="H3467" t="n">
        <x:v>6</x:v>
      </x:c>
      <x:c r="I3467" t="str">
        <x:v>À qualifier par lieu</x:v>
      </x:c>
      <x:c r="J3467" t="str">
        <x:v>https://github.com/darknigthmare/deadwall-last-enclosure/blob/e28f46223e73105ab2c5d83f3d50b99b58ef53e6/codex-3000/addendum-1.58/PROGRAMMES_B.json</x:v>
      </x:c>
      <x:c r="K3467" t="str">
        <x:v>Source min 42,31 m ; max 42,31 m ; modèle 42 × 31 m ; niveaux 0, 1. Détails dans catalogue-existant.json.</x:v>
      </x:c>
    </x:row>
    <x:row r="3468">
      <x:c r="A3468" t="str">
        <x:v>DW-3463</x:v>
      </x:c>
      <x:c r="B3468" t="str">
        <x:v>DW-3463</x:v>
      </x:c>
      <x:c r="C3468" t="str">
        <x:v>Parent indépendant 1.58</x:v>
      </x:c>
      <x:c r="D3468" t="str">
        <x:v>Administration et communauté</x:v>
      </x:c>
      <x:c r="E3468" t="str">
        <x:v>Maison des dossiers de logement</x:v>
      </x:c>
      <x:c r="F3468" t="n">
        <x:v>9</x:v>
      </x:c>
      <x:c r="G3468" t="n">
        <x:v>6</x:v>
      </x:c>
      <x:c r="H3468" t="n">
        <x:v>6</x:v>
      </x:c>
      <x:c r="I3468" t="str">
        <x:v>À qualifier par lieu</x:v>
      </x:c>
      <x:c r="J3468" t="str">
        <x:v>https://github.com/darknigthmare/deadwall-last-enclosure/blob/e28f46223e73105ab2c5d83f3d50b99b58ef53e6/codex-3000/addendum-1.58/PROGRAMMES_B.json</x:v>
      </x:c>
      <x:c r="K3468" t="str">
        <x:v>Source min 30,34 m ; max 30,34 m ; modèle 30 × 34 m ; niveaux 0, 1. Détails dans catalogue-existant.json.</x:v>
      </x:c>
    </x:row>
    <x:row r="3469">
      <x:c r="A3469" t="str">
        <x:v>DW-3464</x:v>
      </x:c>
      <x:c r="B3469" t="str">
        <x:v>DW-3464</x:v>
      </x:c>
      <x:c r="C3469" t="str">
        <x:v>Parent indépendant 1.58</x:v>
      </x:c>
      <x:c r="D3469" t="str">
        <x:v>Administration et communauté</x:v>
      </x:c>
      <x:c r="E3469" t="str">
        <x:v>Office d'attribution de jardins partagés</x:v>
      </x:c>
      <x:c r="F3469" t="n">
        <x:v>9</x:v>
      </x:c>
      <x:c r="G3469" t="n">
        <x:v>6</x:v>
      </x:c>
      <x:c r="H3469" t="n">
        <x:v>6</x:v>
      </x:c>
      <x:c r="I3469" t="str">
        <x:v>À qualifier par lieu</x:v>
      </x:c>
      <x:c r="J3469" t="str">
        <x:v>https://github.com/darknigthmare/deadwall-last-enclosure/blob/e28f46223e73105ab2c5d83f3d50b99b58ef53e6/codex-3000/addendum-1.58/PROGRAMMES_B.json</x:v>
      </x:c>
      <x:c r="K3469" t="str">
        <x:v>Source min 34,28 m ; max 34,28 m ; modèle 34 × 28 m ; niveaux 0, 1. Détails dans catalogue-existant.json.</x:v>
      </x:c>
    </x:row>
    <x:row r="3470">
      <x:c r="A3470" t="str">
        <x:v>DW-3465</x:v>
      </x:c>
      <x:c r="B3470" t="str">
        <x:v>DW-3465</x:v>
      </x:c>
      <x:c r="C3470" t="str">
        <x:v>Parent indépendant 1.58</x:v>
      </x:c>
      <x:c r="D3470" t="str">
        <x:v>Administration et communauté</x:v>
      </x:c>
      <x:c r="E3470" t="str">
        <x:v>Centre de dossiers d'urbanisme</x:v>
      </x:c>
      <x:c r="F3470" t="n">
        <x:v>9</x:v>
      </x:c>
      <x:c r="G3470" t="n">
        <x:v>6</x:v>
      </x:c>
      <x:c r="H3470" t="n">
        <x:v>6</x:v>
      </x:c>
      <x:c r="I3470" t="str">
        <x:v>À qualifier par lieu</x:v>
      </x:c>
      <x:c r="J3470" t="str">
        <x:v>https://github.com/darknigthmare/deadwall-last-enclosure/blob/e28f46223e73105ab2c5d83f3d50b99b58ef53e6/codex-3000/addendum-1.58/PROGRAMMES_B.json</x:v>
      </x:c>
      <x:c r="K3470" t="str">
        <x:v>Source min 38,31 m ; max 38,31 m ; modèle 38 × 31 m ; niveaux 0, 1. Détails dans catalogue-existant.json.</x:v>
      </x:c>
    </x:row>
    <x:row r="3471">
      <x:c r="A3471" t="str">
        <x:v>DW-3466</x:v>
      </x:c>
      <x:c r="B3471" t="str">
        <x:v>DW-3466</x:v>
      </x:c>
      <x:c r="C3471" t="str">
        <x:v>Parent indépendant 1.58</x:v>
      </x:c>
      <x:c r="D3471" t="str">
        <x:v>Administration et communauté</x:v>
      </x:c>
      <x:c r="E3471" t="str">
        <x:v>Office des relevés cadastraux</x:v>
      </x:c>
      <x:c r="F3471" t="n">
        <x:v>9</x:v>
      </x:c>
      <x:c r="G3471" t="n">
        <x:v>6</x:v>
      </x:c>
      <x:c r="H3471" t="n">
        <x:v>6</x:v>
      </x:c>
      <x:c r="I3471" t="str">
        <x:v>À qualifier par lieu</x:v>
      </x:c>
      <x:c r="J3471" t="str">
        <x:v>https://github.com/darknigthmare/deadwall-last-enclosure/blob/e28f46223e73105ab2c5d83f3d50b99b58ef53e6/codex-3000/addendum-1.58/PROGRAMMES_B.json</x:v>
      </x:c>
      <x:c r="K3471" t="str">
        <x:v>Source min 42,34 m ; max 42,34 m ; modèle 42 × 34 m ; niveaux 0, 1. Détails dans catalogue-existant.json.</x:v>
      </x:c>
    </x:row>
    <x:row r="3472">
      <x:c r="A3472" t="str">
        <x:v>DW-3467</x:v>
      </x:c>
      <x:c r="B3472" t="str">
        <x:v>DW-3467</x:v>
      </x:c>
      <x:c r="C3472" t="str">
        <x:v>Parent indépendant 1.58</x:v>
      </x:c>
      <x:c r="D3472" t="str">
        <x:v>Administration et communauté</x:v>
      </x:c>
      <x:c r="E3472" t="str">
        <x:v>Maison des concessions funéraires</x:v>
      </x:c>
      <x:c r="F3472" t="n">
        <x:v>9</x:v>
      </x:c>
      <x:c r="G3472" t="n">
        <x:v>6</x:v>
      </x:c>
      <x:c r="H3472" t="n">
        <x:v>6</x:v>
      </x:c>
      <x:c r="I3472" t="str">
        <x:v>À qualifier par lieu</x:v>
      </x:c>
      <x:c r="J3472" t="str">
        <x:v>https://github.com/darknigthmare/deadwall-last-enclosure/blob/e28f46223e73105ab2c5d83f3d50b99b58ef53e6/codex-3000/addendum-1.58/PROGRAMMES_B.json</x:v>
      </x:c>
      <x:c r="K3472" t="str">
        <x:v>Source min 30,28 m ; max 30,28 m ; modèle 30 × 28 m ; niveaux 0, 1. Détails dans catalogue-existant.json.</x:v>
      </x:c>
    </x:row>
    <x:row r="3473">
      <x:c r="A3473" t="str">
        <x:v>DW-3468</x:v>
      </x:c>
      <x:c r="B3473" t="str">
        <x:v>DW-3468</x:v>
      </x:c>
      <x:c r="C3473" t="str">
        <x:v>Parent indépendant 1.58</x:v>
      </x:c>
      <x:c r="D3473" t="str">
        <x:v>Administration et communauté</x:v>
      </x:c>
      <x:c r="E3473" t="str">
        <x:v>Centre des dossiers d'état civil</x:v>
      </x:c>
      <x:c r="F3473" t="n">
        <x:v>9</x:v>
      </x:c>
      <x:c r="G3473" t="n">
        <x:v>6</x:v>
      </x:c>
      <x:c r="H3473" t="n">
        <x:v>6</x:v>
      </x:c>
      <x:c r="I3473" t="str">
        <x:v>À qualifier par lieu</x:v>
      </x:c>
      <x:c r="J3473" t="str">
        <x:v>https://github.com/darknigthmare/deadwall-last-enclosure/blob/e28f46223e73105ab2c5d83f3d50b99b58ef53e6/codex-3000/addendum-1.58/PROGRAMMES_B.json</x:v>
      </x:c>
      <x:c r="K3473" t="str">
        <x:v>Source min 34,31 m ; max 34,31 m ; modèle 34 × 31 m ; niveaux 0, 1. Détails dans catalogue-existant.json.</x:v>
      </x:c>
    </x:row>
    <x:row r="3474">
      <x:c r="A3474" t="str">
        <x:v>DW-3469</x:v>
      </x:c>
      <x:c r="B3474" t="str">
        <x:v>DW-3469</x:v>
      </x:c>
      <x:c r="C3474" t="str">
        <x:v>Parent indépendant 1.58</x:v>
      </x:c>
      <x:c r="D3474" t="str">
        <x:v>Administration et communauté</x:v>
      </x:c>
      <x:c r="E3474" t="str">
        <x:v>Office des associations sportives</x:v>
      </x:c>
      <x:c r="F3474" t="n">
        <x:v>9</x:v>
      </x:c>
      <x:c r="G3474" t="n">
        <x:v>6</x:v>
      </x:c>
      <x:c r="H3474" t="n">
        <x:v>6</x:v>
      </x:c>
      <x:c r="I3474" t="str">
        <x:v>À qualifier par lieu</x:v>
      </x:c>
      <x:c r="J3474" t="str">
        <x:v>https://github.com/darknigthmare/deadwall-last-enclosure/blob/e28f46223e73105ab2c5d83f3d50b99b58ef53e6/codex-3000/addendum-1.58/PROGRAMMES_B.json</x:v>
      </x:c>
      <x:c r="K3474" t="str">
        <x:v>Source min 38,34 m ; max 38,34 m ; modèle 38 × 34 m ; niveaux 0, 1. Détails dans catalogue-existant.json.</x:v>
      </x:c>
    </x:row>
    <x:row r="3475">
      <x:c r="A3475" t="str">
        <x:v>DW-3470</x:v>
      </x:c>
      <x:c r="B3475" t="str">
        <x:v>DW-3470</x:v>
      </x:c>
      <x:c r="C3475" t="str">
        <x:v>Parent indépendant 1.58</x:v>
      </x:c>
      <x:c r="D3475" t="str">
        <x:v>Administration et communauté</x:v>
      </x:c>
      <x:c r="E3475" t="str">
        <x:v>Centre des réservations de salles publiques</x:v>
      </x:c>
      <x:c r="F3475" t="n">
        <x:v>9</x:v>
      </x:c>
      <x:c r="G3475" t="n">
        <x:v>6</x:v>
      </x:c>
      <x:c r="H3475" t="n">
        <x:v>6</x:v>
      </x:c>
      <x:c r="I3475" t="str">
        <x:v>À qualifier par lieu</x:v>
      </x:c>
      <x:c r="J3475" t="str">
        <x:v>https://github.com/darknigthmare/deadwall-last-enclosure/blob/e28f46223e73105ab2c5d83f3d50b99b58ef53e6/codex-3000/addendum-1.58/PROGRAMMES_B.json</x:v>
      </x:c>
      <x:c r="K3475" t="str">
        <x:v>Source min 42,28 m ; max 42,28 m ; modèle 42 × 28 m ; niveaux 0, 1. Détails dans catalogue-existant.json.</x:v>
      </x:c>
    </x:row>
    <x:row r="3476">
      <x:c r="A3476" t="str">
        <x:v>DW-3471</x:v>
      </x:c>
      <x:c r="B3476" t="str">
        <x:v>DW-3471</x:v>
      </x:c>
      <x:c r="C3476" t="str">
        <x:v>Parent indépendant 1.58</x:v>
      </x:c>
      <x:c r="D3476" t="str">
        <x:v>Administration et communauté</x:v>
      </x:c>
      <x:c r="E3476" t="str">
        <x:v>Office des marchés municipaux</x:v>
      </x:c>
      <x:c r="F3476" t="n">
        <x:v>9</x:v>
      </x:c>
      <x:c r="G3476" t="n">
        <x:v>6</x:v>
      </x:c>
      <x:c r="H3476" t="n">
        <x:v>6</x:v>
      </x:c>
      <x:c r="I3476" t="str">
        <x:v>À qualifier par lieu</x:v>
      </x:c>
      <x:c r="J3476" t="str">
        <x:v>https://github.com/darknigthmare/deadwall-last-enclosure/blob/e28f46223e73105ab2c5d83f3d50b99b58ef53e6/codex-3000/addendum-1.58/PROGRAMMES_B.json</x:v>
      </x:c>
      <x:c r="K3476" t="str">
        <x:v>Source min 30,31 m ; max 30,31 m ; modèle 30 × 31 m ; niveaux 0, 1. Détails dans catalogue-existant.json.</x:v>
      </x:c>
    </x:row>
    <x:row r="3477">
      <x:c r="A3477" t="str">
        <x:v>DW-3472</x:v>
      </x:c>
      <x:c r="B3477" t="str">
        <x:v>DW-3472</x:v>
      </x:c>
      <x:c r="C3477" t="str">
        <x:v>Parent indépendant 1.58</x:v>
      </x:c>
      <x:c r="D3477" t="str">
        <x:v>Administration et communauté</x:v>
      </x:c>
      <x:c r="E3477" t="str">
        <x:v>Maison des recours administratifs</x:v>
      </x:c>
      <x:c r="F3477" t="n">
        <x:v>9</x:v>
      </x:c>
      <x:c r="G3477" t="n">
        <x:v>6</x:v>
      </x:c>
      <x:c r="H3477" t="n">
        <x:v>6</x:v>
      </x:c>
      <x:c r="I3477" t="str">
        <x:v>À qualifier par lieu</x:v>
      </x:c>
      <x:c r="J3477" t="str">
        <x:v>https://github.com/darknigthmare/deadwall-last-enclosure/blob/e28f46223e73105ab2c5d83f3d50b99b58ef53e6/codex-3000/addendum-1.58/PROGRAMMES_B.json</x:v>
      </x:c>
      <x:c r="K3477" t="str">
        <x:v>Source min 34,34 m ; max 34,34 m ; modèle 34 × 34 m ; niveaux 0, 1. Détails dans catalogue-existant.json.</x:v>
      </x:c>
    </x:row>
    <x:row r="3478">
      <x:c r="A3478" t="str">
        <x:v>DW-3473</x:v>
      </x:c>
      <x:c r="B3478" t="str">
        <x:v>DW-3473</x:v>
      </x:c>
      <x:c r="C3478" t="str">
        <x:v>Parent indépendant 1.58</x:v>
      </x:c>
      <x:c r="D3478" t="str">
        <x:v>Administration et communauté</x:v>
      </x:c>
      <x:c r="E3478" t="str">
        <x:v>Centre de consultation des enquêtes publiques</x:v>
      </x:c>
      <x:c r="F3478" t="n">
        <x:v>9</x:v>
      </x:c>
      <x:c r="G3478" t="n">
        <x:v>6</x:v>
      </x:c>
      <x:c r="H3478" t="n">
        <x:v>6</x:v>
      </x:c>
      <x:c r="I3478" t="str">
        <x:v>À qualifier par lieu</x:v>
      </x:c>
      <x:c r="J3478" t="str">
        <x:v>https://github.com/darknigthmare/deadwall-last-enclosure/blob/e28f46223e73105ab2c5d83f3d50b99b58ef53e6/codex-3000/addendum-1.58/PROGRAMMES_B.json</x:v>
      </x:c>
      <x:c r="K3478" t="str">
        <x:v>Source min 38,28 m ; max 38,28 m ; modèle 38 × 28 m ; niveaux 0, 1. Détails dans catalogue-existant.json.</x:v>
      </x:c>
    </x:row>
    <x:row r="3479">
      <x:c r="A3479" t="str">
        <x:v>DW-3474</x:v>
      </x:c>
      <x:c r="B3479" t="str">
        <x:v>DW-3474</x:v>
      </x:c>
      <x:c r="C3479" t="str">
        <x:v>Parent indépendant 1.58</x:v>
      </x:c>
      <x:c r="D3479" t="str">
        <x:v>Administration et communauté</x:v>
      </x:c>
      <x:c r="E3479" t="str">
        <x:v>Office de suivi des bâtiments communaux</x:v>
      </x:c>
      <x:c r="F3479" t="n">
        <x:v>9</x:v>
      </x:c>
      <x:c r="G3479" t="n">
        <x:v>6</x:v>
      </x:c>
      <x:c r="H3479" t="n">
        <x:v>6</x:v>
      </x:c>
      <x:c r="I3479" t="str">
        <x:v>À qualifier par lieu</x:v>
      </x:c>
      <x:c r="J3479" t="str">
        <x:v>https://github.com/darknigthmare/deadwall-last-enclosure/blob/e28f46223e73105ab2c5d83f3d50b99b58ef53e6/codex-3000/addendum-1.58/PROGRAMMES_B.json</x:v>
      </x:c>
      <x:c r="K3479" t="str">
        <x:v>Source min 42,31 m ; max 42,31 m ; modèle 42 × 31 m ; niveaux 0, 1. Détails dans catalogue-existant.json.</x:v>
      </x:c>
    </x:row>
    <x:row r="3480">
      <x:c r="A3480" t="str">
        <x:v>DW-3475</x:v>
      </x:c>
      <x:c r="B3480" t="str">
        <x:v>DW-3475</x:v>
      </x:c>
      <x:c r="C3480" t="str">
        <x:v>Parent indépendant 1.58</x:v>
      </x:c>
      <x:c r="D3480" t="str">
        <x:v>Administration et communauté</x:v>
      </x:c>
      <x:c r="E3480" t="str">
        <x:v>Maison des dossiers d'énergie des foyers</x:v>
      </x:c>
      <x:c r="F3480" t="n">
        <x:v>9</x:v>
      </x:c>
      <x:c r="G3480" t="n">
        <x:v>6</x:v>
      </x:c>
      <x:c r="H3480" t="n">
        <x:v>6</x:v>
      </x:c>
      <x:c r="I3480" t="str">
        <x:v>À qualifier par lieu</x:v>
      </x:c>
      <x:c r="J3480" t="str">
        <x:v>https://github.com/darknigthmare/deadwall-last-enclosure/blob/e28f46223e73105ab2c5d83f3d50b99b58ef53e6/codex-3000/addendum-1.58/PROGRAMMES_B.json</x:v>
      </x:c>
      <x:c r="K3480" t="str">
        <x:v>Source min 30,34 m ; max 30,34 m ; modèle 30 × 34 m ; niveaux 0, 1. Détails dans catalogue-existant.json.</x:v>
      </x:c>
    </x:row>
    <x:row r="3481">
      <x:c r="A3481" t="str">
        <x:v>DW-3476</x:v>
      </x:c>
      <x:c r="B3481" t="str">
        <x:v>DW-3476</x:v>
      </x:c>
      <x:c r="C3481" t="str">
        <x:v>Parent indépendant 1.58</x:v>
      </x:c>
      <x:c r="D3481" t="str">
        <x:v>Administration et communauté</x:v>
      </x:c>
      <x:c r="E3481" t="str">
        <x:v>Centre de coordination des collectes de quartier</x:v>
      </x:c>
      <x:c r="F3481" t="n">
        <x:v>9</x:v>
      </x:c>
      <x:c r="G3481" t="n">
        <x:v>6</x:v>
      </x:c>
      <x:c r="H3481" t="n">
        <x:v>6</x:v>
      </x:c>
      <x:c r="I3481" t="str">
        <x:v>À qualifier par lieu</x:v>
      </x:c>
      <x:c r="J3481" t="str">
        <x:v>https://github.com/darknigthmare/deadwall-last-enclosure/blob/e28f46223e73105ab2c5d83f3d50b99b58ef53e6/codex-3000/addendum-1.58/PROGRAMMES_B.json</x:v>
      </x:c>
      <x:c r="K3481" t="str">
        <x:v>Source min 34,28 m ; max 34,28 m ; modèle 34 × 28 m ; niveaux 0, 1. Détails dans catalogue-existant.json.</x:v>
      </x:c>
    </x:row>
    <x:row r="3482">
      <x:c r="A3482" t="str">
        <x:v>DW-3477</x:v>
      </x:c>
      <x:c r="B3482" t="str">
        <x:v>DW-3477</x:v>
      </x:c>
      <x:c r="C3482" t="str">
        <x:v>Parent indépendant 1.58</x:v>
      </x:c>
      <x:c r="D3482" t="str">
        <x:v>Administration et communauté</x:v>
      </x:c>
      <x:c r="E3482" t="str">
        <x:v>Office de demandes de mobilier urbain</x:v>
      </x:c>
      <x:c r="F3482" t="n">
        <x:v>9</x:v>
      </x:c>
      <x:c r="G3482" t="n">
        <x:v>6</x:v>
      </x:c>
      <x:c r="H3482" t="n">
        <x:v>6</x:v>
      </x:c>
      <x:c r="I3482" t="str">
        <x:v>À qualifier par lieu</x:v>
      </x:c>
      <x:c r="J3482" t="str">
        <x:v>https://github.com/darknigthmare/deadwall-last-enclosure/blob/e28f46223e73105ab2c5d83f3d50b99b58ef53e6/codex-3000/addendum-1.58/PROGRAMMES_B.json</x:v>
      </x:c>
      <x:c r="K3482" t="str">
        <x:v>Source min 38,31 m ; max 38,31 m ; modèle 38 × 31 m ; niveaux 0, 1. Détails dans catalogue-existant.json.</x:v>
      </x:c>
    </x:row>
    <x:row r="3483">
      <x:c r="A3483" t="str">
        <x:v>DW-3478</x:v>
      </x:c>
      <x:c r="B3483" t="str">
        <x:v>DW-3478</x:v>
      </x:c>
      <x:c r="C3483" t="str">
        <x:v>Parent indépendant 1.58</x:v>
      </x:c>
      <x:c r="D3483" t="str">
        <x:v>Administration et communauté</x:v>
      </x:c>
      <x:c r="E3483" t="str">
        <x:v>Maison des conseils de quartier</x:v>
      </x:c>
      <x:c r="F3483" t="n">
        <x:v>9</x:v>
      </x:c>
      <x:c r="G3483" t="n">
        <x:v>6</x:v>
      </x:c>
      <x:c r="H3483" t="n">
        <x:v>6</x:v>
      </x:c>
      <x:c r="I3483" t="str">
        <x:v>À qualifier par lieu</x:v>
      </x:c>
      <x:c r="J3483" t="str">
        <x:v>https://github.com/darknigthmare/deadwall-last-enclosure/blob/e28f46223e73105ab2c5d83f3d50b99b58ef53e6/codex-3000/addendum-1.58/PROGRAMMES_B.json</x:v>
      </x:c>
      <x:c r="K3483" t="str">
        <x:v>Source min 42,34 m ; max 42,34 m ; modèle 42 × 34 m ; niveaux 0, 1. Détails dans catalogue-existant.json.</x:v>
      </x:c>
    </x:row>
    <x:row r="3484">
      <x:c r="A3484" t="str">
        <x:v>DW-3479</x:v>
      </x:c>
      <x:c r="B3484" t="str">
        <x:v>DW-3479</x:v>
      </x:c>
      <x:c r="C3484" t="str">
        <x:v>Parent indépendant 1.58</x:v>
      </x:c>
      <x:c r="D3484" t="str">
        <x:v>Administration et communauté</x:v>
      </x:c>
      <x:c r="E3484" t="str">
        <x:v>Centre des budgets participatifs</x:v>
      </x:c>
      <x:c r="F3484" t="n">
        <x:v>9</x:v>
      </x:c>
      <x:c r="G3484" t="n">
        <x:v>6</x:v>
      </x:c>
      <x:c r="H3484" t="n">
        <x:v>6</x:v>
      </x:c>
      <x:c r="I3484" t="str">
        <x:v>À qualifier par lieu</x:v>
      </x:c>
      <x:c r="J3484" t="str">
        <x:v>https://github.com/darknigthmare/deadwall-last-enclosure/blob/e28f46223e73105ab2c5d83f3d50b99b58ef53e6/codex-3000/addendum-1.58/PROGRAMMES_B.json</x:v>
      </x:c>
      <x:c r="K3484" t="str">
        <x:v>Source min 30,28 m ; max 30,28 m ; modèle 30 × 28 m ; niveaux 0, 1. Détails dans catalogue-existant.json.</x:v>
      </x:c>
    </x:row>
    <x:row r="3485">
      <x:c r="A3485" t="str">
        <x:v>DW-3480</x:v>
      </x:c>
      <x:c r="B3485" t="str">
        <x:v>DW-3480</x:v>
      </x:c>
      <x:c r="C3485" t="str">
        <x:v>Parent indépendant 1.58</x:v>
      </x:c>
      <x:c r="D3485" t="str">
        <x:v>Administration et communauté</x:v>
      </x:c>
      <x:c r="E3485" t="str">
        <x:v>Office des jumelages communaux</x:v>
      </x:c>
      <x:c r="F3485" t="n">
        <x:v>9</x:v>
      </x:c>
      <x:c r="G3485" t="n">
        <x:v>6</x:v>
      </x:c>
      <x:c r="H3485" t="n">
        <x:v>6</x:v>
      </x:c>
      <x:c r="I3485" t="str">
        <x:v>À qualifier par lieu</x:v>
      </x:c>
      <x:c r="J3485" t="str">
        <x:v>https://github.com/darknigthmare/deadwall-last-enclosure/blob/e28f46223e73105ab2c5d83f3d50b99b58ef53e6/codex-3000/addendum-1.58/PROGRAMMES_B.json</x:v>
      </x:c>
      <x:c r="K3485" t="str">
        <x:v>Source min 34,31 m ; max 34,31 m ; modèle 34 × 31 m ; niveaux 0, 1. Détails dans catalogue-existant.json.</x:v>
      </x:c>
    </x:row>
    <x:row r="3486">
      <x:c r="A3486" t="str">
        <x:v>DW-3481</x:v>
      </x:c>
      <x:c r="B3486" t="str">
        <x:v>DW-3481</x:v>
      </x:c>
      <x:c r="C3486" t="str">
        <x:v>Parent indépendant 1.58</x:v>
      </x:c>
      <x:c r="D3486" t="str">
        <x:v>Administration et communauté</x:v>
      </x:c>
      <x:c r="E3486" t="str">
        <x:v>Maison des dons de matériel associatif</x:v>
      </x:c>
      <x:c r="F3486" t="n">
        <x:v>9</x:v>
      </x:c>
      <x:c r="G3486" t="n">
        <x:v>6</x:v>
      </x:c>
      <x:c r="H3486" t="n">
        <x:v>6</x:v>
      </x:c>
      <x:c r="I3486" t="str">
        <x:v>À qualifier par lieu</x:v>
      </x:c>
      <x:c r="J3486" t="str">
        <x:v>https://github.com/darknigthmare/deadwall-last-enclosure/blob/e28f46223e73105ab2c5d83f3d50b99b58ef53e6/codex-3000/addendum-1.58/PROGRAMMES_B.json</x:v>
      </x:c>
      <x:c r="K3486" t="str">
        <x:v>Source min 38,34 m ; max 38,34 m ; modèle 38 × 34 m ; niveaux 0, 1. Détails dans catalogue-existant.json.</x:v>
      </x:c>
    </x:row>
    <x:row r="3487">
      <x:c r="A3487" t="str">
        <x:v>DW-3482</x:v>
      </x:c>
      <x:c r="B3487" t="str">
        <x:v>DW-3482</x:v>
      </x:c>
      <x:c r="C3487" t="str">
        <x:v>Parent indépendant 1.58</x:v>
      </x:c>
      <x:c r="D3487" t="str">
        <x:v>Administration et communauté</x:v>
      </x:c>
      <x:c r="E3487" t="str">
        <x:v>Centre d'inscription des bénévoles</x:v>
      </x:c>
      <x:c r="F3487" t="n">
        <x:v>9</x:v>
      </x:c>
      <x:c r="G3487" t="n">
        <x:v>6</x:v>
      </x:c>
      <x:c r="H3487" t="n">
        <x:v>6</x:v>
      </x:c>
      <x:c r="I3487" t="str">
        <x:v>À qualifier par lieu</x:v>
      </x:c>
      <x:c r="J3487" t="str">
        <x:v>https://github.com/darknigthmare/deadwall-last-enclosure/blob/e28f46223e73105ab2c5d83f3d50b99b58ef53e6/codex-3000/addendum-1.58/PROGRAMMES_B.json</x:v>
      </x:c>
      <x:c r="K3487" t="str">
        <x:v>Source min 42,28 m ; max 42,28 m ; modèle 42 × 28 m ; niveaux 0, 1. Détails dans catalogue-existant.json.</x:v>
      </x:c>
    </x:row>
    <x:row r="3488">
      <x:c r="A3488" t="str">
        <x:v>DW-3483</x:v>
      </x:c>
      <x:c r="B3488" t="str">
        <x:v>DW-3483</x:v>
      </x:c>
      <x:c r="C3488" t="str">
        <x:v>Parent indépendant 1.58</x:v>
      </x:c>
      <x:c r="D3488" t="str">
        <x:v>Administration et communauté</x:v>
      </x:c>
      <x:c r="E3488" t="str">
        <x:v>Office des transports scolaires</x:v>
      </x:c>
      <x:c r="F3488" t="n">
        <x:v>9</x:v>
      </x:c>
      <x:c r="G3488" t="n">
        <x:v>6</x:v>
      </x:c>
      <x:c r="H3488" t="n">
        <x:v>6</x:v>
      </x:c>
      <x:c r="I3488" t="str">
        <x:v>À qualifier par lieu</x:v>
      </x:c>
      <x:c r="J3488" t="str">
        <x:v>https://github.com/darknigthmare/deadwall-last-enclosure/blob/e28f46223e73105ab2c5d83f3d50b99b58ef53e6/codex-3000/addendum-1.58/PROGRAMMES_B.json</x:v>
      </x:c>
      <x:c r="K3488" t="str">
        <x:v>Source min 30,31 m ; max 30,31 m ; modèle 30 × 31 m ; niveaux 0, 1. Détails dans catalogue-existant.json.</x:v>
      </x:c>
    </x:row>
    <x:row r="3489">
      <x:c r="A3489" t="str">
        <x:v>DW-3484</x:v>
      </x:c>
      <x:c r="B3489" t="str">
        <x:v>DW-3484</x:v>
      </x:c>
      <x:c r="C3489" t="str">
        <x:v>Parent indépendant 1.58</x:v>
      </x:c>
      <x:c r="D3489" t="str">
        <x:v>Administration et communauté</x:v>
      </x:c>
      <x:c r="E3489" t="str">
        <x:v>Maison des démarches de mobilité réduite</x:v>
      </x:c>
      <x:c r="F3489" t="n">
        <x:v>9</x:v>
      </x:c>
      <x:c r="G3489" t="n">
        <x:v>6</x:v>
      </x:c>
      <x:c r="H3489" t="n">
        <x:v>6</x:v>
      </x:c>
      <x:c r="I3489" t="str">
        <x:v>À qualifier par lieu</x:v>
      </x:c>
      <x:c r="J3489" t="str">
        <x:v>https://github.com/darknigthmare/deadwall-last-enclosure/blob/e28f46223e73105ab2c5d83f3d50b99b58ef53e6/codex-3000/addendum-1.58/PROGRAMMES_B.json</x:v>
      </x:c>
      <x:c r="K3489" t="str">
        <x:v>Source min 34,34 m ; max 34,34 m ; modèle 34 × 34 m ; niveaux 0, 1. Détails dans catalogue-existant.json.</x:v>
      </x:c>
    </x:row>
    <x:row r="3490">
      <x:c r="A3490" t="str">
        <x:v>DW-3485</x:v>
      </x:c>
      <x:c r="B3490" t="str">
        <x:v>DW-3485</x:v>
      </x:c>
      <x:c r="C3490" t="str">
        <x:v>Parent indépendant 1.58</x:v>
      </x:c>
      <x:c r="D3490" t="str">
        <x:v>Administration et communauté</x:v>
      </x:c>
      <x:c r="E3490" t="str">
        <x:v>Centre de dossiers de voirie</x:v>
      </x:c>
      <x:c r="F3490" t="n">
        <x:v>9</x:v>
      </x:c>
      <x:c r="G3490" t="n">
        <x:v>6</x:v>
      </x:c>
      <x:c r="H3490" t="n">
        <x:v>6</x:v>
      </x:c>
      <x:c r="I3490" t="str">
        <x:v>À qualifier par lieu</x:v>
      </x:c>
      <x:c r="J3490" t="str">
        <x:v>https://github.com/darknigthmare/deadwall-last-enclosure/blob/e28f46223e73105ab2c5d83f3d50b99b58ef53e6/codex-3000/addendum-1.58/PROGRAMMES_B.json</x:v>
      </x:c>
      <x:c r="K3490" t="str">
        <x:v>Source min 38,28 m ; max 38,28 m ; modèle 38 × 28 m ; niveaux 0, 1. Détails dans catalogue-existant.json.</x:v>
      </x:c>
    </x:row>
    <x:row r="3491">
      <x:c r="A3491" t="str">
        <x:v>DW-3486</x:v>
      </x:c>
      <x:c r="B3491" t="str">
        <x:v>DW-3486</x:v>
      </x:c>
      <x:c r="C3491" t="str">
        <x:v>Parent indépendant 1.58</x:v>
      </x:c>
      <x:c r="D3491" t="str">
        <x:v>Administration et communauté</x:v>
      </x:c>
      <x:c r="E3491" t="str">
        <x:v>Office des signalements d'éclairage public</x:v>
      </x:c>
      <x:c r="F3491" t="n">
        <x:v>9</x:v>
      </x:c>
      <x:c r="G3491" t="n">
        <x:v>6</x:v>
      </x:c>
      <x:c r="H3491" t="n">
        <x:v>6</x:v>
      </x:c>
      <x:c r="I3491" t="str">
        <x:v>À qualifier par lieu</x:v>
      </x:c>
      <x:c r="J3491" t="str">
        <x:v>https://github.com/darknigthmare/deadwall-last-enclosure/blob/e28f46223e73105ab2c5d83f3d50b99b58ef53e6/codex-3000/addendum-1.58/PROGRAMMES_B.json</x:v>
      </x:c>
      <x:c r="K3491" t="str">
        <x:v>Source min 42,31 m ; max 42,31 m ; modèle 42 × 31 m ; niveaux 0, 1. Détails dans catalogue-existant.json.</x:v>
      </x:c>
    </x:row>
    <x:row r="3492">
      <x:c r="A3492" t="str">
        <x:v>DW-3487</x:v>
      </x:c>
      <x:c r="B3492" t="str">
        <x:v>DW-3487</x:v>
      </x:c>
      <x:c r="C3492" t="str">
        <x:v>Parent indépendant 1.58</x:v>
      </x:c>
      <x:c r="D3492" t="str">
        <x:v>Administration et communauté</x:v>
      </x:c>
      <x:c r="E3492" t="str">
        <x:v>Maison des dossiers de bruit de voisinage</x:v>
      </x:c>
      <x:c r="F3492" t="n">
        <x:v>9</x:v>
      </x:c>
      <x:c r="G3492" t="n">
        <x:v>6</x:v>
      </x:c>
      <x:c r="H3492" t="n">
        <x:v>6</x:v>
      </x:c>
      <x:c r="I3492" t="str">
        <x:v>À qualifier par lieu</x:v>
      </x:c>
      <x:c r="J3492" t="str">
        <x:v>https://github.com/darknigthmare/deadwall-last-enclosure/blob/e28f46223e73105ab2c5d83f3d50b99b58ef53e6/codex-3000/addendum-1.58/PROGRAMMES_B.json</x:v>
      </x:c>
      <x:c r="K3492" t="str">
        <x:v>Source min 30,34 m ; max 30,34 m ; modèle 30 × 34 m ; niveaux 0, 1. Détails dans catalogue-existant.json.</x:v>
      </x:c>
    </x:row>
    <x:row r="3493">
      <x:c r="A3493" t="str">
        <x:v>DW-3488</x:v>
      </x:c>
      <x:c r="B3493" t="str">
        <x:v>DW-3488</x:v>
      </x:c>
      <x:c r="C3493" t="str">
        <x:v>Parent indépendant 1.58</x:v>
      </x:c>
      <x:c r="D3493" t="str">
        <x:v>Administration et communauté</x:v>
      </x:c>
      <x:c r="E3493" t="str">
        <x:v>Centre des demandes d'occupation commerciale</x:v>
      </x:c>
      <x:c r="F3493" t="n">
        <x:v>9</x:v>
      </x:c>
      <x:c r="G3493" t="n">
        <x:v>6</x:v>
      </x:c>
      <x:c r="H3493" t="n">
        <x:v>6</x:v>
      </x:c>
      <x:c r="I3493" t="str">
        <x:v>À qualifier par lieu</x:v>
      </x:c>
      <x:c r="J3493" t="str">
        <x:v>https://github.com/darknigthmare/deadwall-last-enclosure/blob/e28f46223e73105ab2c5d83f3d50b99b58ef53e6/codex-3000/addendum-1.58/PROGRAMMES_B.json</x:v>
      </x:c>
      <x:c r="K3493" t="str">
        <x:v>Source min 34,28 m ; max 34,28 m ; modèle 34 × 28 m ; niveaux 0, 1. Détails dans catalogue-existant.json.</x:v>
      </x:c>
    </x:row>
    <x:row r="3494">
      <x:c r="A3494" t="str">
        <x:v>DW-3489</x:v>
      </x:c>
      <x:c r="B3494" t="str">
        <x:v>DW-3489</x:v>
      </x:c>
      <x:c r="C3494" t="str">
        <x:v>Parent indépendant 1.58</x:v>
      </x:c>
      <x:c r="D3494" t="str">
        <x:v>Administration et communauté</x:v>
      </x:c>
      <x:c r="E3494" t="str">
        <x:v>Office des licences d'événement local</x:v>
      </x:c>
      <x:c r="F3494" t="n">
        <x:v>9</x:v>
      </x:c>
      <x:c r="G3494" t="n">
        <x:v>6</x:v>
      </x:c>
      <x:c r="H3494" t="n">
        <x:v>6</x:v>
      </x:c>
      <x:c r="I3494" t="str">
        <x:v>À qualifier par lieu</x:v>
      </x:c>
      <x:c r="J3494" t="str">
        <x:v>https://github.com/darknigthmare/deadwall-last-enclosure/blob/e28f46223e73105ab2c5d83f3d50b99b58ef53e6/codex-3000/addendum-1.58/PROGRAMMES_B.json</x:v>
      </x:c>
      <x:c r="K3494" t="str">
        <x:v>Source min 38,31 m ; max 38,31 m ; modèle 38 × 31 m ; niveaux 0, 1. Détails dans catalogue-existant.json.</x:v>
      </x:c>
    </x:row>
    <x:row r="3495">
      <x:c r="A3495" t="str">
        <x:v>DW-3490</x:v>
      </x:c>
      <x:c r="B3495" t="str">
        <x:v>DW-3490</x:v>
      </x:c>
      <x:c r="C3495" t="str">
        <x:v>Parent indépendant 1.58</x:v>
      </x:c>
      <x:c r="D3495" t="str">
        <x:v>Administration et communauté</x:v>
      </x:c>
      <x:c r="E3495" t="str">
        <x:v>Maison des projets de patrimoine bâti</x:v>
      </x:c>
      <x:c r="F3495" t="n">
        <x:v>9</x:v>
      </x:c>
      <x:c r="G3495" t="n">
        <x:v>6</x:v>
      </x:c>
      <x:c r="H3495" t="n">
        <x:v>6</x:v>
      </x:c>
      <x:c r="I3495" t="str">
        <x:v>À qualifier par lieu</x:v>
      </x:c>
      <x:c r="J3495" t="str">
        <x:v>https://github.com/darknigthmare/deadwall-last-enclosure/blob/e28f46223e73105ab2c5d83f3d50b99b58ef53e6/codex-3000/addendum-1.58/PROGRAMMES_B.json</x:v>
      </x:c>
      <x:c r="K3495" t="str">
        <x:v>Source min 42,34 m ; max 42,34 m ; modèle 42 × 34 m ; niveaux 0, 1. Détails dans catalogue-existant.json.</x:v>
      </x:c>
    </x:row>
    <x:row r="3496">
      <x:c r="A3496" t="str">
        <x:v>DW-3491</x:v>
      </x:c>
      <x:c r="B3496" t="str">
        <x:v>DW-3491</x:v>
      </x:c>
      <x:c r="C3496" t="str">
        <x:v>Parent indépendant 1.58</x:v>
      </x:c>
      <x:c r="D3496" t="str">
        <x:v>Administration et communauté</x:v>
      </x:c>
      <x:c r="E3496" t="str">
        <x:v>Centre d'accueil des nouveaux habitants</x:v>
      </x:c>
      <x:c r="F3496" t="n">
        <x:v>9</x:v>
      </x:c>
      <x:c r="G3496" t="n">
        <x:v>6</x:v>
      </x:c>
      <x:c r="H3496" t="n">
        <x:v>6</x:v>
      </x:c>
      <x:c r="I3496" t="str">
        <x:v>À qualifier par lieu</x:v>
      </x:c>
      <x:c r="J3496" t="str">
        <x:v>https://github.com/darknigthmare/deadwall-last-enclosure/blob/e28f46223e73105ab2c5d83f3d50b99b58ef53e6/codex-3000/addendum-1.58/PROGRAMMES_B.json</x:v>
      </x:c>
      <x:c r="K3496" t="str">
        <x:v>Source min 30,28 m ; max 30,28 m ; modèle 30 × 28 m ; niveaux 0, 1. Détails dans catalogue-existant.json.</x:v>
      </x:c>
    </x:row>
    <x:row r="3497">
      <x:c r="A3497" t="str">
        <x:v>DW-3492</x:v>
      </x:c>
      <x:c r="B3497" t="str">
        <x:v>DW-3492</x:v>
      </x:c>
      <x:c r="C3497" t="str">
        <x:v>Parent indépendant 1.58</x:v>
      </x:c>
      <x:c r="D3497" t="str">
        <x:v>Administration et communauté</x:v>
      </x:c>
      <x:c r="E3497" t="str">
        <x:v>Office des déclarations d'animaux domestiques</x:v>
      </x:c>
      <x:c r="F3497" t="n">
        <x:v>9</x:v>
      </x:c>
      <x:c r="G3497" t="n">
        <x:v>6</x:v>
      </x:c>
      <x:c r="H3497" t="n">
        <x:v>6</x:v>
      </x:c>
      <x:c r="I3497" t="str">
        <x:v>À qualifier par lieu</x:v>
      </x:c>
      <x:c r="J3497" t="str">
        <x:v>https://github.com/darknigthmare/deadwall-last-enclosure/blob/e28f46223e73105ab2c5d83f3d50b99b58ef53e6/codex-3000/addendum-1.58/PROGRAMMES_B.json</x:v>
      </x:c>
      <x:c r="K3497" t="str">
        <x:v>Source min 34,31 m ; max 34,31 m ; modèle 34 × 31 m ; niveaux 0, 1. Détails dans catalogue-existant.json.</x:v>
      </x:c>
    </x:row>
    <x:row r="3498">
      <x:c r="A3498" t="str">
        <x:v>DW-3493</x:v>
      </x:c>
      <x:c r="B3498" t="str">
        <x:v>DW-3493</x:v>
      </x:c>
      <x:c r="C3498" t="str">
        <x:v>Parent indépendant 1.58</x:v>
      </x:c>
      <x:c r="D3498" t="str">
        <x:v>Administration et communauté</x:v>
      </x:c>
      <x:c r="E3498" t="str">
        <x:v>Maison des démarches de succession communale</x:v>
      </x:c>
      <x:c r="F3498" t="n">
        <x:v>9</x:v>
      </x:c>
      <x:c r="G3498" t="n">
        <x:v>6</x:v>
      </x:c>
      <x:c r="H3498" t="n">
        <x:v>6</x:v>
      </x:c>
      <x:c r="I3498" t="str">
        <x:v>À qualifier par lieu</x:v>
      </x:c>
      <x:c r="J3498" t="str">
        <x:v>https://github.com/darknigthmare/deadwall-last-enclosure/blob/e28f46223e73105ab2c5d83f3d50b99b58ef53e6/codex-3000/addendum-1.58/PROGRAMMES_B.json</x:v>
      </x:c>
      <x:c r="K3498" t="str">
        <x:v>Source min 38,34 m ; max 38,34 m ; modèle 38 × 34 m ; niveaux 0, 1. Détails dans catalogue-existant.json.</x:v>
      </x:c>
    </x:row>
    <x:row r="3499">
      <x:c r="A3499" t="str">
        <x:v>DW-3494</x:v>
      </x:c>
      <x:c r="B3499" t="str">
        <x:v>DW-3494</x:v>
      </x:c>
      <x:c r="C3499" t="str">
        <x:v>Parent indépendant 1.58</x:v>
      </x:c>
      <x:c r="D3499" t="str">
        <x:v>Administration et communauté</x:v>
      </x:c>
      <x:c r="E3499" t="str">
        <x:v>Centre des objets trouvés documentés</x:v>
      </x:c>
      <x:c r="F3499" t="n">
        <x:v>9</x:v>
      </x:c>
      <x:c r="G3499" t="n">
        <x:v>6</x:v>
      </x:c>
      <x:c r="H3499" t="n">
        <x:v>6</x:v>
      </x:c>
      <x:c r="I3499" t="str">
        <x:v>À qualifier par lieu</x:v>
      </x:c>
      <x:c r="J3499" t="str">
        <x:v>https://github.com/darknigthmare/deadwall-last-enclosure/blob/e28f46223e73105ab2c5d83f3d50b99b58ef53e6/codex-3000/addendum-1.58/PROGRAMMES_B.json</x:v>
      </x:c>
      <x:c r="K3499" t="str">
        <x:v>Source min 42,28 m ; max 42,28 m ; modèle 42 × 28 m ; niveaux 0, 1. Détails dans catalogue-existant.json.</x:v>
      </x:c>
    </x:row>
    <x:row r="3500">
      <x:c r="A3500" t="str">
        <x:v>DW-3495</x:v>
      </x:c>
      <x:c r="B3500" t="str">
        <x:v>DW-3495</x:v>
      </x:c>
      <x:c r="C3500" t="str">
        <x:v>Parent indépendant 1.58</x:v>
      </x:c>
      <x:c r="D3500" t="str">
        <x:v>Administration et communauté</x:v>
      </x:c>
      <x:c r="E3500" t="str">
        <x:v>Office des inscriptions électorales</x:v>
      </x:c>
      <x:c r="F3500" t="n">
        <x:v>9</x:v>
      </x:c>
      <x:c r="G3500" t="n">
        <x:v>6</x:v>
      </x:c>
      <x:c r="H3500" t="n">
        <x:v>6</x:v>
      </x:c>
      <x:c r="I3500" t="str">
        <x:v>À qualifier par lieu</x:v>
      </x:c>
      <x:c r="J3500" t="str">
        <x:v>https://github.com/darknigthmare/deadwall-last-enclosure/blob/e28f46223e73105ab2c5d83f3d50b99b58ef53e6/codex-3000/addendum-1.58/PROGRAMMES_B.json</x:v>
      </x:c>
      <x:c r="K3500" t="str">
        <x:v>Source min 30,31 m ; max 30,31 m ; modèle 30 × 31 m ; niveaux 0, 1. Détails dans catalogue-existant.json.</x:v>
      </x:c>
    </x:row>
    <x:row r="3501">
      <x:c r="A3501" t="str">
        <x:v>DW-3496</x:v>
      </x:c>
      <x:c r="B3501" t="str">
        <x:v>DW-3496</x:v>
      </x:c>
      <x:c r="C3501" t="str">
        <x:v>Parent indépendant 1.58</x:v>
      </x:c>
      <x:c r="D3501" t="str">
        <x:v>Administration et communauté</x:v>
      </x:c>
      <x:c r="E3501" t="str">
        <x:v>Maison des procurations civiles</x:v>
      </x:c>
      <x:c r="F3501" t="n">
        <x:v>9</x:v>
      </x:c>
      <x:c r="G3501" t="n">
        <x:v>6</x:v>
      </x:c>
      <x:c r="H3501" t="n">
        <x:v>6</x:v>
      </x:c>
      <x:c r="I3501" t="str">
        <x:v>À qualifier par lieu</x:v>
      </x:c>
      <x:c r="J3501" t="str">
        <x:v>https://github.com/darknigthmare/deadwall-last-enclosure/blob/e28f46223e73105ab2c5d83f3d50b99b58ef53e6/codex-3000/addendum-1.58/PROGRAMMES_B.json</x:v>
      </x:c>
      <x:c r="K3501" t="str">
        <x:v>Source min 34,34 m ; max 34,34 m ; modèle 34 × 34 m ; niveaux 0, 1. Détails dans catalogue-existant.json.</x:v>
      </x:c>
    </x:row>
    <x:row r="3502">
      <x:c r="A3502" t="str">
        <x:v>DW-3497</x:v>
      </x:c>
      <x:c r="B3502" t="str">
        <x:v>DW-3497</x:v>
      </x:c>
      <x:c r="C3502" t="str">
        <x:v>Parent indépendant 1.58</x:v>
      </x:c>
      <x:c r="D3502" t="str">
        <x:v>Administration et communauté</x:v>
      </x:c>
      <x:c r="E3502" t="str">
        <x:v>Centre de dossiers des cantines publiques</x:v>
      </x:c>
      <x:c r="F3502" t="n">
        <x:v>9</x:v>
      </x:c>
      <x:c r="G3502" t="n">
        <x:v>6</x:v>
      </x:c>
      <x:c r="H3502" t="n">
        <x:v>6</x:v>
      </x:c>
      <x:c r="I3502" t="str">
        <x:v>À qualifier par lieu</x:v>
      </x:c>
      <x:c r="J3502" t="str">
        <x:v>https://github.com/darknigthmare/deadwall-last-enclosure/blob/e28f46223e73105ab2c5d83f3d50b99b58ef53e6/codex-3000/addendum-1.58/PROGRAMMES_B.json</x:v>
      </x:c>
      <x:c r="K3502" t="str">
        <x:v>Source min 38,28 m ; max 38,28 m ; modèle 38 × 28 m ; niveaux 0, 1. Détails dans catalogue-existant.json.</x:v>
      </x:c>
    </x:row>
    <x:row r="3503">
      <x:c r="A3503" t="str">
        <x:v>DW-3498</x:v>
      </x:c>
      <x:c r="B3503" t="str">
        <x:v>DW-3498</x:v>
      </x:c>
      <x:c r="C3503" t="str">
        <x:v>Parent indépendant 1.58</x:v>
      </x:c>
      <x:c r="D3503" t="str">
        <x:v>Administration et communauté</x:v>
      </x:c>
      <x:c r="E3503" t="str">
        <x:v>Office des demandes d'eau des immeubles</x:v>
      </x:c>
      <x:c r="F3503" t="n">
        <x:v>9</x:v>
      </x:c>
      <x:c r="G3503" t="n">
        <x:v>6</x:v>
      </x:c>
      <x:c r="H3503" t="n">
        <x:v>6</x:v>
      </x:c>
      <x:c r="I3503" t="str">
        <x:v>À qualifier par lieu</x:v>
      </x:c>
      <x:c r="J3503" t="str">
        <x:v>https://github.com/darknigthmare/deadwall-last-enclosure/blob/e28f46223e73105ab2c5d83f3d50b99b58ef53e6/codex-3000/addendum-1.58/PROGRAMMES_B.json</x:v>
      </x:c>
      <x:c r="K3503" t="str">
        <x:v>Source min 42,31 m ; max 42,31 m ; modèle 42 × 31 m ; niveaux 0, 1. Détails dans catalogue-existant.json.</x:v>
      </x:c>
    </x:row>
    <x:row r="3504">
      <x:c r="A3504" t="str">
        <x:v>DW-3499</x:v>
      </x:c>
      <x:c r="B3504" t="str">
        <x:v>DW-3499</x:v>
      </x:c>
      <x:c r="C3504" t="str">
        <x:v>Parent indépendant 1.58</x:v>
      </x:c>
      <x:c r="D3504" t="str">
        <x:v>Administration et communauté</x:v>
      </x:c>
      <x:c r="E3504" t="str">
        <x:v>Maison des démarches de restitution de logement</x:v>
      </x:c>
      <x:c r="F3504" t="n">
        <x:v>9</x:v>
      </x:c>
      <x:c r="G3504" t="n">
        <x:v>6</x:v>
      </x:c>
      <x:c r="H3504" t="n">
        <x:v>6</x:v>
      </x:c>
      <x:c r="I3504" t="str">
        <x:v>À qualifier par lieu</x:v>
      </x:c>
      <x:c r="J3504" t="str">
        <x:v>https://github.com/darknigthmare/deadwall-last-enclosure/blob/e28f46223e73105ab2c5d83f3d50b99b58ef53e6/codex-3000/addendum-1.58/PROGRAMMES_B.json</x:v>
      </x:c>
      <x:c r="K3504" t="str">
        <x:v>Source min 30,34 m ; max 30,34 m ; modèle 30 × 34 m ; niveaux 0, 1. Détails dans catalogue-existant.json.</x:v>
      </x:c>
    </x:row>
    <x:row r="3505">
      <x:c r="A3505" t="str">
        <x:v>DW-3500</x:v>
      </x:c>
      <x:c r="B3505" t="str">
        <x:v>DW-3500</x:v>
      </x:c>
      <x:c r="C3505" t="str">
        <x:v>Parent indépendant 1.58</x:v>
      </x:c>
      <x:c r="D3505" t="str">
        <x:v>Administration et communauté</x:v>
      </x:c>
      <x:c r="E3505" t="str">
        <x:v>Centre de documentation des décisions communales</x:v>
      </x:c>
      <x:c r="F3505" t="n">
        <x:v>9</x:v>
      </x:c>
      <x:c r="G3505" t="n">
        <x:v>6</x:v>
      </x:c>
      <x:c r="H3505" t="n">
        <x:v>6</x:v>
      </x:c>
      <x:c r="I3505" t="str">
        <x:v>À qualifier par lieu</x:v>
      </x:c>
      <x:c r="J3505" t="str">
        <x:v>https://github.com/darknigthmare/deadwall-last-enclosure/blob/e28f46223e73105ab2c5d83f3d50b99b58ef53e6/codex-3000/addendum-1.58/PROGRAMMES_B.json</x:v>
      </x:c>
      <x:c r="K3505" t="str">
        <x:v>Source min 34,28 m ; max 34,28 m ; modèle 34 × 28 m ; niveaux 0, 1. Détails dans catalogue-existant.json.</x:v>
      </x:c>
    </x:row>
    <x:row r="3506">
      <x:c r="A3506" t="str">
        <x:v>DW-3501</x:v>
      </x:c>
      <x:c r="B3506" t="str">
        <x:v>DW-3501</x:v>
      </x:c>
      <x:c r="C3506" t="str">
        <x:v>Parent indépendant 1.58</x:v>
      </x:c>
      <x:c r="D3506" t="str">
        <x:v>Industrie et production</x:v>
      </x:c>
      <x:c r="E3506" t="str">
        <x:v>Atelier de redressage de châssis agricoles</x:v>
      </x:c>
      <x:c r="F3506" t="n">
        <x:v>9</x:v>
      </x:c>
      <x:c r="G3506" t="n">
        <x:v>8</x:v>
      </x:c>
      <x:c r="H3506" t="n">
        <x:v>8</x:v>
      </x:c>
      <x:c r="I3506" t="str">
        <x:v>À qualifier par lieu</x:v>
      </x:c>
      <x:c r="J3506" t="str">
        <x:v>https://github.com/darknigthmare/deadwall-last-enclosure/blob/e28f46223e73105ab2c5d83f3d50b99b58ef53e6/codex-3000/addendum-1.58/PROGRAMMES_C.json</x:v>
      </x:c>
      <x:c r="K3506" t="str">
        <x:v>Source min 40,36 m ; max 40,36 m ; modèle 40 × 36 m ; niveaux 0. Détails dans catalogue-existant.json.</x:v>
      </x:c>
    </x:row>
    <x:row r="3507">
      <x:c r="A3507" t="str">
        <x:v>DW-3502</x:v>
      </x:c>
      <x:c r="B3507" t="str">
        <x:v>DW-3502</x:v>
      </x:c>
      <x:c r="C3507" t="str">
        <x:v>Parent indépendant 1.58</x:v>
      </x:c>
      <x:c r="D3507" t="str">
        <x:v>Industrie et production</x:v>
      </x:c>
      <x:c r="E3507" t="str">
        <x:v>Forge de ferrures de clôture</x:v>
      </x:c>
      <x:c r="F3507" t="n">
        <x:v>9</x:v>
      </x:c>
      <x:c r="G3507" t="n">
        <x:v>8</x:v>
      </x:c>
      <x:c r="H3507" t="n">
        <x:v>8</x:v>
      </x:c>
      <x:c r="I3507" t="str">
        <x:v>À qualifier par lieu</x:v>
      </x:c>
      <x:c r="J3507" t="str">
        <x:v>https://github.com/darknigthmare/deadwall-last-enclosure/blob/e28f46223e73105ab2c5d83f3d50b99b58ef53e6/codex-3000/addendum-1.58/PROGRAMMES_C.json</x:v>
      </x:c>
      <x:c r="K3507" t="str">
        <x:v>Source min 45,36 m ; max 45,36 m ; modèle 45 × 36 m ; niveaux 0. Détails dans catalogue-existant.json.</x:v>
      </x:c>
    </x:row>
    <x:row r="3508">
      <x:c r="A3508" t="str">
        <x:v>DW-3503</x:v>
      </x:c>
      <x:c r="B3508" t="str">
        <x:v>DW-3503</x:v>
      </x:c>
      <x:c r="C3508" t="str">
        <x:v>Parent indépendant 1.58</x:v>
      </x:c>
      <x:c r="D3508" t="str">
        <x:v>Industrie et production</x:v>
      </x:c>
      <x:c r="E3508" t="str">
        <x:v>Manufacture de ressorts mécaniques</x:v>
      </x:c>
      <x:c r="F3508" t="n">
        <x:v>9</x:v>
      </x:c>
      <x:c r="G3508" t="n">
        <x:v>8</x:v>
      </x:c>
      <x:c r="H3508" t="n">
        <x:v>8</x:v>
      </x:c>
      <x:c r="I3508" t="str">
        <x:v>À qualifier par lieu</x:v>
      </x:c>
      <x:c r="J3508" t="str">
        <x:v>https://github.com/darknigthmare/deadwall-last-enclosure/blob/e28f46223e73105ab2c5d83f3d50b99b58ef53e6/codex-3000/addendum-1.58/PROGRAMMES_C.json</x:v>
      </x:c>
      <x:c r="K3508" t="str">
        <x:v>Source min 50,30 m ; max 50,30 m ; modèle 50 × 30 m ; niveaux 0, 1. Détails dans catalogue-existant.json.</x:v>
      </x:c>
    </x:row>
    <x:row r="3509">
      <x:c r="A3509" t="str">
        <x:v>DW-3504</x:v>
      </x:c>
      <x:c r="B3509" t="str">
        <x:v>DW-3504</x:v>
      </x:c>
      <x:c r="C3509" t="str">
        <x:v>Parent indépendant 1.58</x:v>
      </x:c>
      <x:c r="D3509" t="str">
        <x:v>Industrie et production</x:v>
      </x:c>
      <x:c r="E3509" t="str">
        <x:v>Atelier de roulements reconditionnés</x:v>
      </x:c>
      <x:c r="F3509" t="n">
        <x:v>9</x:v>
      </x:c>
      <x:c r="G3509" t="n">
        <x:v>8</x:v>
      </x:c>
      <x:c r="H3509" t="n">
        <x:v>8</x:v>
      </x:c>
      <x:c r="I3509" t="str">
        <x:v>À qualifier par lieu</x:v>
      </x:c>
      <x:c r="J3509" t="str">
        <x:v>https://github.com/darknigthmare/deadwall-last-enclosure/blob/e28f46223e73105ab2c5d83f3d50b99b58ef53e6/codex-3000/addendum-1.58/PROGRAMMES_C.json</x:v>
      </x:c>
      <x:c r="K3509" t="str">
        <x:v>Source min 55,36 m ; max 55,36 m ; modèle 55 × 36 m ; niveaux 0. Détails dans catalogue-existant.json.</x:v>
      </x:c>
    </x:row>
    <x:row r="3510">
      <x:c r="A3510" t="str">
        <x:v>DW-3505</x:v>
      </x:c>
      <x:c r="B3510" t="str">
        <x:v>DW-3505</x:v>
      </x:c>
      <x:c r="C3510" t="str">
        <x:v>Parent indépendant 1.58</x:v>
      </x:c>
      <x:c r="D3510" t="str">
        <x:v>Industrie et production</x:v>
      </x:c>
      <x:c r="E3510" t="str">
        <x:v>Halle de galvanisation à froid</x:v>
      </x:c>
      <x:c r="F3510" t="n">
        <x:v>9</x:v>
      </x:c>
      <x:c r="G3510" t="n">
        <x:v>8</x:v>
      </x:c>
      <x:c r="H3510" t="n">
        <x:v>8</x:v>
      </x:c>
      <x:c r="I3510" t="str">
        <x:v>À qualifier par lieu</x:v>
      </x:c>
      <x:c r="J3510" t="str">
        <x:v>https://github.com/darknigthmare/deadwall-last-enclosure/blob/e28f46223e73105ab2c5d83f3d50b99b58ef53e6/codex-3000/addendum-1.58/PROGRAMMES_C.json</x:v>
      </x:c>
      <x:c r="K3510" t="str">
        <x:v>Source min 60,36 m ; max 60,36 m ; modèle 60 × 36 m ; niveaux 0. Détails dans catalogue-existant.json.</x:v>
      </x:c>
    </x:row>
    <x:row r="3511">
      <x:c r="A3511" t="str">
        <x:v>DW-3506</x:v>
      </x:c>
      <x:c r="B3511" t="str">
        <x:v>DW-3506</x:v>
      </x:c>
      <x:c r="C3511" t="str">
        <x:v>Parent indépendant 1.58</x:v>
      </x:c>
      <x:c r="D3511" t="str">
        <x:v>Industrie et production</x:v>
      </x:c>
      <x:c r="E3511" t="str">
        <x:v>Atelier de tuyauterie cintrée</x:v>
      </x:c>
      <x:c r="F3511" t="n">
        <x:v>9</x:v>
      </x:c>
      <x:c r="G3511" t="n">
        <x:v>8</x:v>
      </x:c>
      <x:c r="H3511" t="n">
        <x:v>8</x:v>
      </x:c>
      <x:c r="I3511" t="str">
        <x:v>À qualifier par lieu</x:v>
      </x:c>
      <x:c r="J3511" t="str">
        <x:v>https://github.com/darknigthmare/deadwall-last-enclosure/blob/e28f46223e73105ab2c5d83f3d50b99b58ef53e6/codex-3000/addendum-1.58/PROGRAMMES_C.json</x:v>
      </x:c>
      <x:c r="K3511" t="str">
        <x:v>Source min 40,40 m ; max 40,40 m ; modèle 40 × 40 m ; niveaux 0. Détails dans catalogue-existant.json.</x:v>
      </x:c>
    </x:row>
    <x:row r="3512">
      <x:c r="A3512" t="str">
        <x:v>DW-3507</x:v>
      </x:c>
      <x:c r="B3512" t="str">
        <x:v>DW-3507</x:v>
      </x:c>
      <x:c r="C3512" t="str">
        <x:v>Parent indépendant 1.58</x:v>
      </x:c>
      <x:c r="D3512" t="str">
        <x:v>Industrie et production</x:v>
      </x:c>
      <x:c r="E3512" t="str">
        <x:v>Manufacture de vannes manuelles</x:v>
      </x:c>
      <x:c r="F3512" t="n">
        <x:v>9</x:v>
      </x:c>
      <x:c r="G3512" t="n">
        <x:v>8</x:v>
      </x:c>
      <x:c r="H3512" t="n">
        <x:v>8</x:v>
      </x:c>
      <x:c r="I3512" t="str">
        <x:v>À qualifier par lieu</x:v>
      </x:c>
      <x:c r="J3512" t="str">
        <x:v>https://github.com/darknigthmare/deadwall-last-enclosure/blob/e28f46223e73105ab2c5d83f3d50b99b58ef53e6/codex-3000/addendum-1.58/PROGRAMMES_C.json</x:v>
      </x:c>
      <x:c r="K3512" t="str">
        <x:v>Source min 45,40 m ; max 45,40 m ; modèle 45 × 40 m ; niveaux 0. Détails dans catalogue-existant.json.</x:v>
      </x:c>
    </x:row>
    <x:row r="3513">
      <x:c r="A3513" t="str">
        <x:v>DW-3508</x:v>
      </x:c>
      <x:c r="B3513" t="str">
        <x:v>DW-3508</x:v>
      </x:c>
      <x:c r="C3513" t="str">
        <x:v>Parent indépendant 1.58</x:v>
      </x:c>
      <x:c r="D3513" t="str">
        <x:v>Industrie et production</x:v>
      </x:c>
      <x:c r="E3513" t="str">
        <x:v>Atelier de chaînes de transmission</x:v>
      </x:c>
      <x:c r="F3513" t="n">
        <x:v>9</x:v>
      </x:c>
      <x:c r="G3513" t="n">
        <x:v>8</x:v>
      </x:c>
      <x:c r="H3513" t="n">
        <x:v>8</x:v>
      </x:c>
      <x:c r="I3513" t="str">
        <x:v>À qualifier par lieu</x:v>
      </x:c>
      <x:c r="J3513" t="str">
        <x:v>https://github.com/darknigthmare/deadwall-last-enclosure/blob/e28f46223e73105ab2c5d83f3d50b99b58ef53e6/codex-3000/addendum-1.58/PROGRAMMES_C.json</x:v>
      </x:c>
      <x:c r="K3513" t="str">
        <x:v>Source min 50,34 m ; max 50,34 m ; modèle 50 × 34 m ; niveaux 0, 1. Détails dans catalogue-existant.json.</x:v>
      </x:c>
    </x:row>
    <x:row r="3514">
      <x:c r="A3514" t="str">
        <x:v>DW-3509</x:v>
      </x:c>
      <x:c r="B3514" t="str">
        <x:v>DW-3509</x:v>
      </x:c>
      <x:c r="C3514" t="str">
        <x:v>Parent indépendant 1.58</x:v>
      </x:c>
      <x:c r="D3514" t="str">
        <x:v>Industrie et production</x:v>
      </x:c>
      <x:c r="E3514" t="str">
        <x:v>Atelier de lames de scie</x:v>
      </x:c>
      <x:c r="F3514" t="n">
        <x:v>9</x:v>
      </x:c>
      <x:c r="G3514" t="n">
        <x:v>8</x:v>
      </x:c>
      <x:c r="H3514" t="n">
        <x:v>8</x:v>
      </x:c>
      <x:c r="I3514" t="str">
        <x:v>À qualifier par lieu</x:v>
      </x:c>
      <x:c r="J3514" t="str">
        <x:v>https://github.com/darknigthmare/deadwall-last-enclosure/blob/e28f46223e73105ab2c5d83f3d50b99b58ef53e6/codex-3000/addendum-1.58/PROGRAMMES_C.json</x:v>
      </x:c>
      <x:c r="K3514" t="str">
        <x:v>Source min 55,40 m ; max 55,40 m ; modèle 55 × 40 m ; niveaux 0. Détails dans catalogue-existant.json.</x:v>
      </x:c>
    </x:row>
    <x:row r="3515">
      <x:c r="A3515" t="str">
        <x:v>DW-3510</x:v>
      </x:c>
      <x:c r="B3515" t="str">
        <x:v>DW-3510</x:v>
      </x:c>
      <x:c r="C3515" t="str">
        <x:v>Parent indépendant 1.58</x:v>
      </x:c>
      <x:c r="D3515" t="str">
        <x:v>Industrie et production</x:v>
      </x:c>
      <x:c r="E3515" t="str">
        <x:v>Atelier de poinçons d'emboutissage</x:v>
      </x:c>
      <x:c r="F3515" t="n">
        <x:v>9</x:v>
      </x:c>
      <x:c r="G3515" t="n">
        <x:v>8</x:v>
      </x:c>
      <x:c r="H3515" t="n">
        <x:v>8</x:v>
      </x:c>
      <x:c r="I3515" t="str">
        <x:v>À qualifier par lieu</x:v>
      </x:c>
      <x:c r="J3515" t="str">
        <x:v>https://github.com/darknigthmare/deadwall-last-enclosure/blob/e28f46223e73105ab2c5d83f3d50b99b58ef53e6/codex-3000/addendum-1.58/PROGRAMMES_C.json</x:v>
      </x:c>
      <x:c r="K3515" t="str">
        <x:v>Source min 60,40 m ; max 60,40 m ; modèle 60 × 40 m ; niveaux 0. Détails dans catalogue-existant.json.</x:v>
      </x:c>
    </x:row>
    <x:row r="3516">
      <x:c r="A3516" t="str">
        <x:v>DW-3511</x:v>
      </x:c>
      <x:c r="B3516" t="str">
        <x:v>DW-3511</x:v>
      </x:c>
      <x:c r="C3516" t="str">
        <x:v>Parent indépendant 1.58</x:v>
      </x:c>
      <x:c r="D3516" t="str">
        <x:v>Industrie et production</x:v>
      </x:c>
      <x:c r="E3516" t="str">
        <x:v>Atelier de grilles de ventilation</x:v>
      </x:c>
      <x:c r="F3516" t="n">
        <x:v>9</x:v>
      </x:c>
      <x:c r="G3516" t="n">
        <x:v>8</x:v>
      </x:c>
      <x:c r="H3516" t="n">
        <x:v>8</x:v>
      </x:c>
      <x:c r="I3516" t="str">
        <x:v>À qualifier par lieu</x:v>
      </x:c>
      <x:c r="J3516" t="str">
        <x:v>https://github.com/darknigthmare/deadwall-last-enclosure/blob/e28f46223e73105ab2c5d83f3d50b99b58ef53e6/codex-3000/addendum-1.58/PROGRAMMES_C.json</x:v>
      </x:c>
      <x:c r="K3516" t="str">
        <x:v>Source min 40,44 m ; max 40,44 m ; modèle 40 × 44 m ; niveaux 0. Détails dans catalogue-existant.json.</x:v>
      </x:c>
    </x:row>
    <x:row r="3517">
      <x:c r="A3517" t="str">
        <x:v>DW-3512</x:v>
      </x:c>
      <x:c r="B3517" t="str">
        <x:v>DW-3512</x:v>
      </x:c>
      <x:c r="C3517" t="str">
        <x:v>Parent indépendant 1.58</x:v>
      </x:c>
      <x:c r="D3517" t="str">
        <x:v>Industrie et production</x:v>
      </x:c>
      <x:c r="E3517" t="str">
        <x:v>Fabrique de rivets et entretoises</x:v>
      </x:c>
      <x:c r="F3517" t="n">
        <x:v>9</x:v>
      </x:c>
      <x:c r="G3517" t="n">
        <x:v>8</x:v>
      </x:c>
      <x:c r="H3517" t="n">
        <x:v>8</x:v>
      </x:c>
      <x:c r="I3517" t="str">
        <x:v>À qualifier par lieu</x:v>
      </x:c>
      <x:c r="J3517" t="str">
        <x:v>https://github.com/darknigthmare/deadwall-last-enclosure/blob/e28f46223e73105ab2c5d83f3d50b99b58ef53e6/codex-3000/addendum-1.58/PROGRAMMES_C.json</x:v>
      </x:c>
      <x:c r="K3517" t="str">
        <x:v>Source min 45,44 m ; max 45,44 m ; modèle 45 × 44 m ; niveaux 0. Détails dans catalogue-existant.json.</x:v>
      </x:c>
    </x:row>
    <x:row r="3518">
      <x:c r="A3518" t="str">
        <x:v>DW-3513</x:v>
      </x:c>
      <x:c r="B3518" t="str">
        <x:v>DW-3513</x:v>
      </x:c>
      <x:c r="C3518" t="str">
        <x:v>Parent indépendant 1.58</x:v>
      </x:c>
      <x:c r="D3518" t="str">
        <x:v>Industrie et production</x:v>
      </x:c>
      <x:c r="E3518" t="str">
        <x:v>Atelier de balances mécaniques</x:v>
      </x:c>
      <x:c r="F3518" t="n">
        <x:v>9</x:v>
      </x:c>
      <x:c r="G3518" t="n">
        <x:v>8</x:v>
      </x:c>
      <x:c r="H3518" t="n">
        <x:v>8</x:v>
      </x:c>
      <x:c r="I3518" t="str">
        <x:v>À qualifier par lieu</x:v>
      </x:c>
      <x:c r="J3518" t="str">
        <x:v>https://github.com/darknigthmare/deadwall-last-enclosure/blob/e28f46223e73105ab2c5d83f3d50b99b58ef53e6/codex-3000/addendum-1.58/PROGRAMMES_C.json</x:v>
      </x:c>
      <x:c r="K3518" t="str">
        <x:v>Source min 50,38 m ; max 50,38 m ; modèle 50 × 38 m ; niveaux 0, 1. Détails dans catalogue-existant.json.</x:v>
      </x:c>
    </x:row>
    <x:row r="3519">
      <x:c r="A3519" t="str">
        <x:v>DW-3514</x:v>
      </x:c>
      <x:c r="B3519" t="str">
        <x:v>DW-3514</x:v>
      </x:c>
      <x:c r="C3519" t="str">
        <x:v>Parent indépendant 1.58</x:v>
      </x:c>
      <x:c r="D3519" t="str">
        <x:v>Industrie et production</x:v>
      </x:c>
      <x:c r="E3519" t="str">
        <x:v>Atelier de serrures à clés</x:v>
      </x:c>
      <x:c r="F3519" t="n">
        <x:v>9</x:v>
      </x:c>
      <x:c r="G3519" t="n">
        <x:v>8</x:v>
      </x:c>
      <x:c r="H3519" t="n">
        <x:v>8</x:v>
      </x:c>
      <x:c r="I3519" t="str">
        <x:v>À qualifier par lieu</x:v>
      </x:c>
      <x:c r="J3519" t="str">
        <x:v>https://github.com/darknigthmare/deadwall-last-enclosure/blob/e28f46223e73105ab2c5d83f3d50b99b58ef53e6/codex-3000/addendum-1.58/PROGRAMMES_C.json</x:v>
      </x:c>
      <x:c r="K3519" t="str">
        <x:v>Source min 55,44 m ; max 55,44 m ; modèle 55 × 44 m ; niveaux 0. Détails dans catalogue-existant.json.</x:v>
      </x:c>
    </x:row>
    <x:row r="3520">
      <x:c r="A3520" t="str">
        <x:v>DW-3515</x:v>
      </x:c>
      <x:c r="B3520" t="str">
        <x:v>DW-3515</x:v>
      </x:c>
      <x:c r="C3520" t="str">
        <x:v>Parent indépendant 1.58</x:v>
      </x:c>
      <x:c r="D3520" t="str">
        <x:v>Industrie et production</x:v>
      </x:c>
      <x:c r="E3520" t="str">
        <x:v>Halle de contrôle des cordons soudés</x:v>
      </x:c>
      <x:c r="F3520" t="n">
        <x:v>9</x:v>
      </x:c>
      <x:c r="G3520" t="n">
        <x:v>8</x:v>
      </x:c>
      <x:c r="H3520" t="n">
        <x:v>8</x:v>
      </x:c>
      <x:c r="I3520" t="str">
        <x:v>À qualifier par lieu</x:v>
      </x:c>
      <x:c r="J3520" t="str">
        <x:v>https://github.com/darknigthmare/deadwall-last-enclosure/blob/e28f46223e73105ab2c5d83f3d50b99b58ef53e6/codex-3000/addendum-1.58/PROGRAMMES_C.json</x:v>
      </x:c>
      <x:c r="K3520" t="str">
        <x:v>Source min 60,44 m ; max 60,44 m ; modèle 60 × 44 m ; niveaux 0. Détails dans catalogue-existant.json.</x:v>
      </x:c>
    </x:row>
    <x:row r="3521">
      <x:c r="A3521" t="str">
        <x:v>DW-3516</x:v>
      </x:c>
      <x:c r="B3521" t="str">
        <x:v>DW-3516</x:v>
      </x:c>
      <x:c r="C3521" t="str">
        <x:v>Parent indépendant 1.58</x:v>
      </x:c>
      <x:c r="D3521" t="str">
        <x:v>Industrie et production</x:v>
      </x:c>
      <x:c r="E3521" t="str">
        <x:v>Atelier de pompes à piston</x:v>
      </x:c>
      <x:c r="F3521" t="n">
        <x:v>9</x:v>
      </x:c>
      <x:c r="G3521" t="n">
        <x:v>8</x:v>
      </x:c>
      <x:c r="H3521" t="n">
        <x:v>8</x:v>
      </x:c>
      <x:c r="I3521" t="str">
        <x:v>À qualifier par lieu</x:v>
      </x:c>
      <x:c r="J3521" t="str">
        <x:v>https://github.com/darknigthmare/deadwall-last-enclosure/blob/e28f46223e73105ab2c5d83f3d50b99b58ef53e6/codex-3000/addendum-1.58/PROGRAMMES_C.json</x:v>
      </x:c>
      <x:c r="K3521" t="str">
        <x:v>Source min 40,48 m ; max 40,48 m ; modèle 40 × 48 m ; niveaux 0. Détails dans catalogue-existant.json.</x:v>
      </x:c>
    </x:row>
    <x:row r="3522">
      <x:c r="A3522" t="str">
        <x:v>DW-3517</x:v>
      </x:c>
      <x:c r="B3522" t="str">
        <x:v>DW-3517</x:v>
      </x:c>
      <x:c r="C3522" t="str">
        <x:v>Parent indépendant 1.58</x:v>
      </x:c>
      <x:c r="D3522" t="str">
        <x:v>Industrie et production</x:v>
      </x:c>
      <x:c r="E3522" t="str">
        <x:v>Atelier de compresseurs à courroie</x:v>
      </x:c>
      <x:c r="F3522" t="n">
        <x:v>9</x:v>
      </x:c>
      <x:c r="G3522" t="n">
        <x:v>8</x:v>
      </x:c>
      <x:c r="H3522" t="n">
        <x:v>8</x:v>
      </x:c>
      <x:c r="I3522" t="str">
        <x:v>À qualifier par lieu</x:v>
      </x:c>
      <x:c r="J3522" t="str">
        <x:v>https://github.com/darknigthmare/deadwall-last-enclosure/blob/e28f46223e73105ab2c5d83f3d50b99b58ef53e6/codex-3000/addendum-1.58/PROGRAMMES_C.json</x:v>
      </x:c>
      <x:c r="K3522" t="str">
        <x:v>Source min 45,48 m ; max 45,48 m ; modèle 45 × 48 m ; niveaux 0. Détails dans catalogue-existant.json.</x:v>
      </x:c>
    </x:row>
    <x:row r="3523">
      <x:c r="A3523" t="str">
        <x:v>DW-3518</x:v>
      </x:c>
      <x:c r="B3523" t="str">
        <x:v>DW-3518</x:v>
      </x:c>
      <x:c r="C3523" t="str">
        <x:v>Parent indépendant 1.58</x:v>
      </x:c>
      <x:c r="D3523" t="str">
        <x:v>Industrie et production</x:v>
      </x:c>
      <x:c r="E3523" t="str">
        <x:v>Manufacture de poignées métalliques</x:v>
      </x:c>
      <x:c r="F3523" t="n">
        <x:v>9</x:v>
      </x:c>
      <x:c r="G3523" t="n">
        <x:v>8</x:v>
      </x:c>
      <x:c r="H3523" t="n">
        <x:v>8</x:v>
      </x:c>
      <x:c r="I3523" t="str">
        <x:v>À qualifier par lieu</x:v>
      </x:c>
      <x:c r="J3523" t="str">
        <x:v>https://github.com/darknigthmare/deadwall-last-enclosure/blob/e28f46223e73105ab2c5d83f3d50b99b58ef53e6/codex-3000/addendum-1.58/PROGRAMMES_C.json</x:v>
      </x:c>
      <x:c r="K3523" t="str">
        <x:v>Source min 50,42 m ; max 50,42 m ; modèle 50 × 42 m ; niveaux 0, 1. Détails dans catalogue-existant.json.</x:v>
      </x:c>
    </x:row>
    <x:row r="3524">
      <x:c r="A3524" t="str">
        <x:v>DW-3519</x:v>
      </x:c>
      <x:c r="B3524" t="str">
        <x:v>DW-3519</x:v>
      </x:c>
      <x:c r="C3524" t="str">
        <x:v>Parent indépendant 1.58</x:v>
      </x:c>
      <x:c r="D3524" t="str">
        <x:v>Industrie et production</x:v>
      </x:c>
      <x:c r="E3524" t="str">
        <x:v>Atelier de cages de sécurité</x:v>
      </x:c>
      <x:c r="F3524" t="n">
        <x:v>9</x:v>
      </x:c>
      <x:c r="G3524" t="n">
        <x:v>8</x:v>
      </x:c>
      <x:c r="H3524" t="n">
        <x:v>8</x:v>
      </x:c>
      <x:c r="I3524" t="str">
        <x:v>À qualifier par lieu</x:v>
      </x:c>
      <x:c r="J3524" t="str">
        <x:v>https://github.com/darknigthmare/deadwall-last-enclosure/blob/e28f46223e73105ab2c5d83f3d50b99b58ef53e6/codex-3000/addendum-1.58/PROGRAMMES_C.json</x:v>
      </x:c>
      <x:c r="K3524" t="str">
        <x:v>Source min 55,48 m ; max 55,48 m ; modèle 55 × 48 m ; niveaux 0. Détails dans catalogue-existant.json.</x:v>
      </x:c>
    </x:row>
    <x:row r="3525">
      <x:c r="A3525" t="str">
        <x:v>DW-3520</x:v>
      </x:c>
      <x:c r="B3525" t="str">
        <x:v>DW-3520</x:v>
      </x:c>
      <x:c r="C3525" t="str">
        <x:v>Parent indépendant 1.58</x:v>
      </x:c>
      <x:c r="D3525" t="str">
        <x:v>Industrie et production</x:v>
      </x:c>
      <x:c r="E3525" t="str">
        <x:v>Atelier de réparations de treuils</x:v>
      </x:c>
      <x:c r="F3525" t="n">
        <x:v>9</x:v>
      </x:c>
      <x:c r="G3525" t="n">
        <x:v>8</x:v>
      </x:c>
      <x:c r="H3525" t="n">
        <x:v>8</x:v>
      </x:c>
      <x:c r="I3525" t="str">
        <x:v>À qualifier par lieu</x:v>
      </x:c>
      <x:c r="J3525" t="str">
        <x:v>https://github.com/darknigthmare/deadwall-last-enclosure/blob/e28f46223e73105ab2c5d83f3d50b99b58ef53e6/codex-3000/addendum-1.58/PROGRAMMES_C.json</x:v>
      </x:c>
      <x:c r="K3525" t="str">
        <x:v>Source min 60,48 m ; max 60,48 m ; modèle 60 × 48 m ; niveaux 0. Détails dans catalogue-existant.json.</x:v>
      </x:c>
    </x:row>
    <x:row r="3526">
      <x:c r="A3526" t="str">
        <x:v>DW-3521</x:v>
      </x:c>
      <x:c r="B3526" t="str">
        <x:v>DW-3521</x:v>
      </x:c>
      <x:c r="C3526" t="str">
        <x:v>Parent indépendant 1.58</x:v>
      </x:c>
      <x:c r="D3526" t="str">
        <x:v>Industrie et production</x:v>
      </x:c>
      <x:c r="E3526" t="str">
        <x:v>Manufacture de joints découpés</x:v>
      </x:c>
      <x:c r="F3526" t="n">
        <x:v>9</x:v>
      </x:c>
      <x:c r="G3526" t="n">
        <x:v>8</x:v>
      </x:c>
      <x:c r="H3526" t="n">
        <x:v>8</x:v>
      </x:c>
      <x:c r="I3526" t="str">
        <x:v>À qualifier par lieu</x:v>
      </x:c>
      <x:c r="J3526" t="str">
        <x:v>https://github.com/darknigthmare/deadwall-last-enclosure/blob/e28f46223e73105ab2c5d83f3d50b99b58ef53e6/codex-3000/addendum-1.58/PROGRAMMES_C.json</x:v>
      </x:c>
      <x:c r="K3526" t="str">
        <x:v>Source min 40,36 m ; max 40,36 m ; modèle 40 × 36 m ; niveaux 0. Détails dans catalogue-existant.json.</x:v>
      </x:c>
    </x:row>
    <x:row r="3527">
      <x:c r="A3527" t="str">
        <x:v>DW-3522</x:v>
      </x:c>
      <x:c r="B3527" t="str">
        <x:v>DW-3522</x:v>
      </x:c>
      <x:c r="C3527" t="str">
        <x:v>Parent indépendant 1.58</x:v>
      </x:c>
      <x:c r="D3527" t="str">
        <x:v>Industrie et production</x:v>
      </x:c>
      <x:c r="E3527" t="str">
        <x:v>Atelier de gaines textiles techniques</x:v>
      </x:c>
      <x:c r="F3527" t="n">
        <x:v>9</x:v>
      </x:c>
      <x:c r="G3527" t="n">
        <x:v>8</x:v>
      </x:c>
      <x:c r="H3527" t="n">
        <x:v>8</x:v>
      </x:c>
      <x:c r="I3527" t="str">
        <x:v>À qualifier par lieu</x:v>
      </x:c>
      <x:c r="J3527" t="str">
        <x:v>https://github.com/darknigthmare/deadwall-last-enclosure/blob/e28f46223e73105ab2c5d83f3d50b99b58ef53e6/codex-3000/addendum-1.58/PROGRAMMES_C.json</x:v>
      </x:c>
      <x:c r="K3527" t="str">
        <x:v>Source min 45,36 m ; max 45,36 m ; modèle 45 × 36 m ; niveaux 0. Détails dans catalogue-existant.json.</x:v>
      </x:c>
    </x:row>
    <x:row r="3528">
      <x:c r="A3528" t="str">
        <x:v>DW-3523</x:v>
      </x:c>
      <x:c r="B3528" t="str">
        <x:v>DW-3523</x:v>
      </x:c>
      <x:c r="C3528" t="str">
        <x:v>Parent indépendant 1.58</x:v>
      </x:c>
      <x:c r="D3528" t="str">
        <x:v>Industrie et production</x:v>
      </x:c>
      <x:c r="E3528" t="str">
        <x:v>Atelier de filtres de ventilation</x:v>
      </x:c>
      <x:c r="F3528" t="n">
        <x:v>9</x:v>
      </x:c>
      <x:c r="G3528" t="n">
        <x:v>8</x:v>
      </x:c>
      <x:c r="H3528" t="n">
        <x:v>8</x:v>
      </x:c>
      <x:c r="I3528" t="str">
        <x:v>À qualifier par lieu</x:v>
      </x:c>
      <x:c r="J3528" t="str">
        <x:v>https://github.com/darknigthmare/deadwall-last-enclosure/blob/e28f46223e73105ab2c5d83f3d50b99b58ef53e6/codex-3000/addendum-1.58/PROGRAMMES_C.json</x:v>
      </x:c>
      <x:c r="K3528" t="str">
        <x:v>Source min 50,30 m ; max 50,30 m ; modèle 50 × 30 m ; niveaux 0, 1. Détails dans catalogue-existant.json.</x:v>
      </x:c>
    </x:row>
    <x:row r="3529">
      <x:c r="A3529" t="str">
        <x:v>DW-3524</x:v>
      </x:c>
      <x:c r="B3529" t="str">
        <x:v>DW-3524</x:v>
      </x:c>
      <x:c r="C3529" t="str">
        <x:v>Parent indépendant 1.58</x:v>
      </x:c>
      <x:c r="D3529" t="str">
        <x:v>Industrie et production</x:v>
      </x:c>
      <x:c r="E3529" t="str">
        <x:v>Fabrique de courroies cousues</x:v>
      </x:c>
      <x:c r="F3529" t="n">
        <x:v>9</x:v>
      </x:c>
      <x:c r="G3529" t="n">
        <x:v>8</x:v>
      </x:c>
      <x:c r="H3529" t="n">
        <x:v>8</x:v>
      </x:c>
      <x:c r="I3529" t="str">
        <x:v>À qualifier par lieu</x:v>
      </x:c>
      <x:c r="J3529" t="str">
        <x:v>https://github.com/darknigthmare/deadwall-last-enclosure/blob/e28f46223e73105ab2c5d83f3d50b99b58ef53e6/codex-3000/addendum-1.58/PROGRAMMES_C.json</x:v>
      </x:c>
      <x:c r="K3529" t="str">
        <x:v>Source min 55,36 m ; max 55,36 m ; modèle 55 × 36 m ; niveaux 0. Détails dans catalogue-existant.json.</x:v>
      </x:c>
    </x:row>
    <x:row r="3530">
      <x:c r="A3530" t="str">
        <x:v>DW-3525</x:v>
      </x:c>
      <x:c r="B3530" t="str">
        <x:v>DW-3525</x:v>
      </x:c>
      <x:c r="C3530" t="str">
        <x:v>Parent indépendant 1.58</x:v>
      </x:c>
      <x:c r="D3530" t="str">
        <x:v>Industrie et production</x:v>
      </x:c>
      <x:c r="E3530" t="str">
        <x:v>Atelier de bâches de camion</x:v>
      </x:c>
      <x:c r="F3530" t="n">
        <x:v>9</x:v>
      </x:c>
      <x:c r="G3530" t="n">
        <x:v>8</x:v>
      </x:c>
      <x:c r="H3530" t="n">
        <x:v>8</x:v>
      </x:c>
      <x:c r="I3530" t="str">
        <x:v>À qualifier par lieu</x:v>
      </x:c>
      <x:c r="J3530" t="str">
        <x:v>https://github.com/darknigthmare/deadwall-last-enclosure/blob/e28f46223e73105ab2c5d83f3d50b99b58ef53e6/codex-3000/addendum-1.58/PROGRAMMES_C.json</x:v>
      </x:c>
      <x:c r="K3530" t="str">
        <x:v>Source min 60,36 m ; max 60,36 m ; modèle 60 × 36 m ; niveaux 0. Détails dans catalogue-existant.json.</x:v>
      </x:c>
    </x:row>
    <x:row r="3531">
      <x:c r="A3531" t="str">
        <x:v>DW-3526</x:v>
      </x:c>
      <x:c r="B3531" t="str">
        <x:v>DW-3526</x:v>
      </x:c>
      <x:c r="C3531" t="str">
        <x:v>Parent indépendant 1.58</x:v>
      </x:c>
      <x:c r="D3531" t="str">
        <x:v>Industrie et production</x:v>
      </x:c>
      <x:c r="E3531" t="str">
        <x:v>Manufacture de filets de manutention</x:v>
      </x:c>
      <x:c r="F3531" t="n">
        <x:v>9</x:v>
      </x:c>
      <x:c r="G3531" t="n">
        <x:v>8</x:v>
      </x:c>
      <x:c r="H3531" t="n">
        <x:v>8</x:v>
      </x:c>
      <x:c r="I3531" t="str">
        <x:v>À qualifier par lieu</x:v>
      </x:c>
      <x:c r="J3531" t="str">
        <x:v>https://github.com/darknigthmare/deadwall-last-enclosure/blob/e28f46223e73105ab2c5d83f3d50b99b58ef53e6/codex-3000/addendum-1.58/PROGRAMMES_C.json</x:v>
      </x:c>
      <x:c r="K3531" t="str">
        <x:v>Source min 40,40 m ; max 40,40 m ; modèle 40 × 40 m ; niveaux 0. Détails dans catalogue-existant.json.</x:v>
      </x:c>
    </x:row>
    <x:row r="3532">
      <x:c r="A3532" t="str">
        <x:v>DW-3527</x:v>
      </x:c>
      <x:c r="B3532" t="str">
        <x:v>DW-3527</x:v>
      </x:c>
      <x:c r="C3532" t="str">
        <x:v>Parent indépendant 1.58</x:v>
      </x:c>
      <x:c r="D3532" t="str">
        <x:v>Industrie et production</x:v>
      </x:c>
      <x:c r="E3532" t="str">
        <x:v>Atelier de sellerie utilitaire</x:v>
      </x:c>
      <x:c r="F3532" t="n">
        <x:v>9</x:v>
      </x:c>
      <x:c r="G3532" t="n">
        <x:v>8</x:v>
      </x:c>
      <x:c r="H3532" t="n">
        <x:v>8</x:v>
      </x:c>
      <x:c r="I3532" t="str">
        <x:v>À qualifier par lieu</x:v>
      </x:c>
      <x:c r="J3532" t="str">
        <x:v>https://github.com/darknigthmare/deadwall-last-enclosure/blob/e28f46223e73105ab2c5d83f3d50b99b58ef53e6/codex-3000/addendum-1.58/PROGRAMMES_C.json</x:v>
      </x:c>
      <x:c r="K3532" t="str">
        <x:v>Source min 45,40 m ; max 45,40 m ; modèle 45 × 40 m ; niveaux 0. Détails dans catalogue-existant.json.</x:v>
      </x:c>
    </x:row>
    <x:row r="3533">
      <x:c r="A3533" t="str">
        <x:v>DW-3528</x:v>
      </x:c>
      <x:c r="B3533" t="str">
        <x:v>DW-3528</x:v>
      </x:c>
      <x:c r="C3533" t="str">
        <x:v>Parent indépendant 1.58</x:v>
      </x:c>
      <x:c r="D3533" t="str">
        <x:v>Industrie et production</x:v>
      </x:c>
      <x:c r="E3533" t="str">
        <x:v>Atelier de vêtements de soudage</x:v>
      </x:c>
      <x:c r="F3533" t="n">
        <x:v>9</x:v>
      </x:c>
      <x:c r="G3533" t="n">
        <x:v>8</x:v>
      </x:c>
      <x:c r="H3533" t="n">
        <x:v>8</x:v>
      </x:c>
      <x:c r="I3533" t="str">
        <x:v>À qualifier par lieu</x:v>
      </x:c>
      <x:c r="J3533" t="str">
        <x:v>https://github.com/darknigthmare/deadwall-last-enclosure/blob/e28f46223e73105ab2c5d83f3d50b99b58ef53e6/codex-3000/addendum-1.58/PROGRAMMES_C.json</x:v>
      </x:c>
      <x:c r="K3533" t="str">
        <x:v>Source min 50,34 m ; max 50,34 m ; modèle 50 × 34 m ; niveaux 0, 1. Détails dans catalogue-existant.json.</x:v>
      </x:c>
    </x:row>
    <x:row r="3534">
      <x:c r="A3534" t="str">
        <x:v>DW-3529</x:v>
      </x:c>
      <x:c r="B3534" t="str">
        <x:v>DW-3529</x:v>
      </x:c>
      <x:c r="C3534" t="str">
        <x:v>Parent indépendant 1.58</x:v>
      </x:c>
      <x:c r="D3534" t="str">
        <x:v>Industrie et production</x:v>
      </x:c>
      <x:c r="E3534" t="str">
        <x:v>Fabrique de matelas de dortoir</x:v>
      </x:c>
      <x:c r="F3534" t="n">
        <x:v>9</x:v>
      </x:c>
      <x:c r="G3534" t="n">
        <x:v>8</x:v>
      </x:c>
      <x:c r="H3534" t="n">
        <x:v>8</x:v>
      </x:c>
      <x:c r="I3534" t="str">
        <x:v>À qualifier par lieu</x:v>
      </x:c>
      <x:c r="J3534" t="str">
        <x:v>https://github.com/darknigthmare/deadwall-last-enclosure/blob/e28f46223e73105ab2c5d83f3d50b99b58ef53e6/codex-3000/addendum-1.58/PROGRAMMES_C.json</x:v>
      </x:c>
      <x:c r="K3534" t="str">
        <x:v>Source min 55,40 m ; max 55,40 m ; modèle 55 × 40 m ; niveaux 0. Détails dans catalogue-existant.json.</x:v>
      </x:c>
    </x:row>
    <x:row r="3535">
      <x:c r="A3535" t="str">
        <x:v>DW-3530</x:v>
      </x:c>
      <x:c r="B3535" t="str">
        <x:v>DW-3530</x:v>
      </x:c>
      <x:c r="C3535" t="str">
        <x:v>Parent indépendant 1.58</x:v>
      </x:c>
      <x:c r="D3535" t="str">
        <x:v>Industrie et production</x:v>
      </x:c>
      <x:c r="E3535" t="str">
        <x:v>Atelier de réparation de tentes</x:v>
      </x:c>
      <x:c r="F3535" t="n">
        <x:v>9</x:v>
      </x:c>
      <x:c r="G3535" t="n">
        <x:v>8</x:v>
      </x:c>
      <x:c r="H3535" t="n">
        <x:v>8</x:v>
      </x:c>
      <x:c r="I3535" t="str">
        <x:v>À qualifier par lieu</x:v>
      </x:c>
      <x:c r="J3535" t="str">
        <x:v>https://github.com/darknigthmare/deadwall-last-enclosure/blob/e28f46223e73105ab2c5d83f3d50b99b58ef53e6/codex-3000/addendum-1.58/PROGRAMMES_C.json</x:v>
      </x:c>
      <x:c r="K3535" t="str">
        <x:v>Source min 60,40 m ; max 60,40 m ; modèle 60 × 40 m ; niveaux 0. Détails dans catalogue-existant.json.</x:v>
      </x:c>
    </x:row>
    <x:row r="3536">
      <x:c r="A3536" t="str">
        <x:v>DW-3531</x:v>
      </x:c>
      <x:c r="B3536" t="str">
        <x:v>DW-3531</x:v>
      </x:c>
      <x:c r="C3536" t="str">
        <x:v>Parent indépendant 1.58</x:v>
      </x:c>
      <x:c r="D3536" t="str">
        <x:v>Industrie et production</x:v>
      </x:c>
      <x:c r="E3536" t="str">
        <x:v>Atelier de cordages tressés</x:v>
      </x:c>
      <x:c r="F3536" t="n">
        <x:v>9</x:v>
      </x:c>
      <x:c r="G3536" t="n">
        <x:v>8</x:v>
      </x:c>
      <x:c r="H3536" t="n">
        <x:v>8</x:v>
      </x:c>
      <x:c r="I3536" t="str">
        <x:v>À qualifier par lieu</x:v>
      </x:c>
      <x:c r="J3536" t="str">
        <x:v>https://github.com/darknigthmare/deadwall-last-enclosure/blob/e28f46223e73105ab2c5d83f3d50b99b58ef53e6/codex-3000/addendum-1.58/PROGRAMMES_C.json</x:v>
      </x:c>
      <x:c r="K3536" t="str">
        <x:v>Source min 40,44 m ; max 40,44 m ; modèle 40 × 44 m ; niveaux 0. Détails dans catalogue-existant.json.</x:v>
      </x:c>
    </x:row>
    <x:row r="3537">
      <x:c r="A3537" t="str">
        <x:v>DW-3532</x:v>
      </x:c>
      <x:c r="B3537" t="str">
        <x:v>DW-3532</x:v>
      </x:c>
      <x:c r="C3537" t="str">
        <x:v>Parent indépendant 1.58</x:v>
      </x:c>
      <x:c r="D3537" t="str">
        <x:v>Industrie et production</x:v>
      </x:c>
      <x:c r="E3537" t="str">
        <x:v>Manufacture de sacs de récolte</x:v>
      </x:c>
      <x:c r="F3537" t="n">
        <x:v>9</x:v>
      </x:c>
      <x:c r="G3537" t="n">
        <x:v>8</x:v>
      </x:c>
      <x:c r="H3537" t="n">
        <x:v>8</x:v>
      </x:c>
      <x:c r="I3537" t="str">
        <x:v>À qualifier par lieu</x:v>
      </x:c>
      <x:c r="J3537" t="str">
        <x:v>https://github.com/darknigthmare/deadwall-last-enclosure/blob/e28f46223e73105ab2c5d83f3d50b99b58ef53e6/codex-3000/addendum-1.58/PROGRAMMES_C.json</x:v>
      </x:c>
      <x:c r="K3537" t="str">
        <x:v>Source min 45,44 m ; max 45,44 m ; modèle 45 × 44 m ; niveaux 0. Détails dans catalogue-existant.json.</x:v>
      </x:c>
    </x:row>
    <x:row r="3538">
      <x:c r="A3538" t="str">
        <x:v>DW-3533</x:v>
      </x:c>
      <x:c r="B3538" t="str">
        <x:v>DW-3533</x:v>
      </x:c>
      <x:c r="C3538" t="str">
        <x:v>Parent indépendant 1.58</x:v>
      </x:c>
      <x:c r="D3538" t="str">
        <x:v>Industrie et production</x:v>
      </x:c>
      <x:c r="E3538" t="str">
        <x:v>Atelier de feutres isolants</x:v>
      </x:c>
      <x:c r="F3538" t="n">
        <x:v>9</x:v>
      </x:c>
      <x:c r="G3538" t="n">
        <x:v>8</x:v>
      </x:c>
      <x:c r="H3538" t="n">
        <x:v>8</x:v>
      </x:c>
      <x:c r="I3538" t="str">
        <x:v>À qualifier par lieu</x:v>
      </x:c>
      <x:c r="J3538" t="str">
        <x:v>https://github.com/darknigthmare/deadwall-last-enclosure/blob/e28f46223e73105ab2c5d83f3d50b99b58ef53e6/codex-3000/addendum-1.58/PROGRAMMES_C.json</x:v>
      </x:c>
      <x:c r="K3538" t="str">
        <x:v>Source min 50,38 m ; max 50,38 m ; modèle 50 × 38 m ; niveaux 0, 1. Détails dans catalogue-existant.json.</x:v>
      </x:c>
    </x:row>
    <x:row r="3539">
      <x:c r="A3539" t="str">
        <x:v>DW-3534</x:v>
      </x:c>
      <x:c r="B3539" t="str">
        <x:v>DW-3534</x:v>
      </x:c>
      <x:c r="C3539" t="str">
        <x:v>Parent indépendant 1.58</x:v>
      </x:c>
      <x:c r="D3539" t="str">
        <x:v>Industrie et production</x:v>
      </x:c>
      <x:c r="E3539" t="str">
        <x:v>Atelier de rideaux occultants</x:v>
      </x:c>
      <x:c r="F3539" t="n">
        <x:v>9</x:v>
      </x:c>
      <x:c r="G3539" t="n">
        <x:v>8</x:v>
      </x:c>
      <x:c r="H3539" t="n">
        <x:v>8</x:v>
      </x:c>
      <x:c r="I3539" t="str">
        <x:v>À qualifier par lieu</x:v>
      </x:c>
      <x:c r="J3539" t="str">
        <x:v>https://github.com/darknigthmare/deadwall-last-enclosure/blob/e28f46223e73105ab2c5d83f3d50b99b58ef53e6/codex-3000/addendum-1.58/PROGRAMMES_C.json</x:v>
      </x:c>
      <x:c r="K3539" t="str">
        <x:v>Source min 55,44 m ; max 55,44 m ; modèle 55 × 44 m ; niveaux 0. Détails dans catalogue-existant.json.</x:v>
      </x:c>
    </x:row>
    <x:row r="3540">
      <x:c r="A3540" t="str">
        <x:v>DW-3535</x:v>
      </x:c>
      <x:c r="B3540" t="str">
        <x:v>DW-3535</x:v>
      </x:c>
      <x:c r="C3540" t="str">
        <x:v>Parent indépendant 1.58</x:v>
      </x:c>
      <x:c r="D3540" t="str">
        <x:v>Industrie et production</x:v>
      </x:c>
      <x:c r="E3540" t="str">
        <x:v>Fabrique de manchons de canalisation</x:v>
      </x:c>
      <x:c r="F3540" t="n">
        <x:v>9</x:v>
      </x:c>
      <x:c r="G3540" t="n">
        <x:v>8</x:v>
      </x:c>
      <x:c r="H3540" t="n">
        <x:v>8</x:v>
      </x:c>
      <x:c r="I3540" t="str">
        <x:v>À qualifier par lieu</x:v>
      </x:c>
      <x:c r="J3540" t="str">
        <x:v>https://github.com/darknigthmare/deadwall-last-enclosure/blob/e28f46223e73105ab2c5d83f3d50b99b58ef53e6/codex-3000/addendum-1.58/PROGRAMMES_C.json</x:v>
      </x:c>
      <x:c r="K3540" t="str">
        <x:v>Source min 60,44 m ; max 60,44 m ; modèle 60 × 44 m ; niveaux 0. Détails dans catalogue-existant.json.</x:v>
      </x:c>
    </x:row>
    <x:row r="3541">
      <x:c r="A3541" t="str">
        <x:v>DW-3536</x:v>
      </x:c>
      <x:c r="B3541" t="str">
        <x:v>DW-3536</x:v>
      </x:c>
      <x:c r="C3541" t="str">
        <x:v>Parent indépendant 1.58</x:v>
      </x:c>
      <x:c r="D3541" t="str">
        <x:v>Industrie et production</x:v>
      </x:c>
      <x:c r="E3541" t="str">
        <x:v>Atelier de rempaillage de sièges</x:v>
      </x:c>
      <x:c r="F3541" t="n">
        <x:v>9</x:v>
      </x:c>
      <x:c r="G3541" t="n">
        <x:v>8</x:v>
      </x:c>
      <x:c r="H3541" t="n">
        <x:v>8</x:v>
      </x:c>
      <x:c r="I3541" t="str">
        <x:v>À qualifier par lieu</x:v>
      </x:c>
      <x:c r="J3541" t="str">
        <x:v>https://github.com/darknigthmare/deadwall-last-enclosure/blob/e28f46223e73105ab2c5d83f3d50b99b58ef53e6/codex-3000/addendum-1.58/PROGRAMMES_C.json</x:v>
      </x:c>
      <x:c r="K3541" t="str">
        <x:v>Source min 40,48 m ; max 40,48 m ; modèle 40 × 48 m ; niveaux 0. Détails dans catalogue-existant.json.</x:v>
      </x:c>
    </x:row>
    <x:row r="3542">
      <x:c r="A3542" t="str">
        <x:v>DW-3537</x:v>
      </x:c>
      <x:c r="B3542" t="str">
        <x:v>DW-3537</x:v>
      </x:c>
      <x:c r="C3542" t="str">
        <x:v>Parent indépendant 1.58</x:v>
      </x:c>
      <x:c r="D3542" t="str">
        <x:v>Industrie et production</x:v>
      </x:c>
      <x:c r="E3542" t="str">
        <x:v>Manufacture de fenêtres à guillotine</x:v>
      </x:c>
      <x:c r="F3542" t="n">
        <x:v>9</x:v>
      </x:c>
      <x:c r="G3542" t="n">
        <x:v>8</x:v>
      </x:c>
      <x:c r="H3542" t="n">
        <x:v>8</x:v>
      </x:c>
      <x:c r="I3542" t="str">
        <x:v>À qualifier par lieu</x:v>
      </x:c>
      <x:c r="J3542" t="str">
        <x:v>https://github.com/darknigthmare/deadwall-last-enclosure/blob/e28f46223e73105ab2c5d83f3d50b99b58ef53e6/codex-3000/addendum-1.58/PROGRAMMES_C.json</x:v>
      </x:c>
      <x:c r="K3542" t="str">
        <x:v>Source min 45,48 m ; max 45,48 m ; modèle 45 × 48 m ; niveaux 0. Détails dans catalogue-existant.json.</x:v>
      </x:c>
    </x:row>
    <x:row r="3543">
      <x:c r="A3543" t="str">
        <x:v>DW-3538</x:v>
      </x:c>
      <x:c r="B3543" t="str">
        <x:v>DW-3538</x:v>
      </x:c>
      <x:c r="C3543" t="str">
        <x:v>Parent indépendant 1.58</x:v>
      </x:c>
      <x:c r="D3543" t="str">
        <x:v>Industrie et production</x:v>
      </x:c>
      <x:c r="E3543" t="str">
        <x:v>Atelier de charpentes à chevilles</x:v>
      </x:c>
      <x:c r="F3543" t="n">
        <x:v>9</x:v>
      </x:c>
      <x:c r="G3543" t="n">
        <x:v>8</x:v>
      </x:c>
      <x:c r="H3543" t="n">
        <x:v>8</x:v>
      </x:c>
      <x:c r="I3543" t="str">
        <x:v>À qualifier par lieu</x:v>
      </x:c>
      <x:c r="J3543" t="str">
        <x:v>https://github.com/darknigthmare/deadwall-last-enclosure/blob/e28f46223e73105ab2c5d83f3d50b99b58ef53e6/codex-3000/addendum-1.58/PROGRAMMES_C.json</x:v>
      </x:c>
      <x:c r="K3543" t="str">
        <x:v>Source min 50,42 m ; max 50,42 m ; modèle 50 × 42 m ; niveaux 0, 1. Détails dans catalogue-existant.json.</x:v>
      </x:c>
    </x:row>
    <x:row r="3544">
      <x:c r="A3544" t="str">
        <x:v>DW-3539</x:v>
      </x:c>
      <x:c r="B3544" t="str">
        <x:v>DW-3539</x:v>
      </x:c>
      <x:c r="C3544" t="str">
        <x:v>Parent indépendant 1.58</x:v>
      </x:c>
      <x:c r="D3544" t="str">
        <x:v>Industrie et production</x:v>
      </x:c>
      <x:c r="E3544" t="str">
        <x:v>Atelier de bardeaux de bois</x:v>
      </x:c>
      <x:c r="F3544" t="n">
        <x:v>9</x:v>
      </x:c>
      <x:c r="G3544" t="n">
        <x:v>8</x:v>
      </x:c>
      <x:c r="H3544" t="n">
        <x:v>8</x:v>
      </x:c>
      <x:c r="I3544" t="str">
        <x:v>À qualifier par lieu</x:v>
      </x:c>
      <x:c r="J3544" t="str">
        <x:v>https://github.com/darknigthmare/deadwall-last-enclosure/blob/e28f46223e73105ab2c5d83f3d50b99b58ef53e6/codex-3000/addendum-1.58/PROGRAMMES_C.json</x:v>
      </x:c>
      <x:c r="K3544" t="str">
        <x:v>Source min 55,48 m ; max 55,48 m ; modèle 55 × 48 m ; niveaux 0. Détails dans catalogue-existant.json.</x:v>
      </x:c>
    </x:row>
    <x:row r="3545">
      <x:c r="A3545" t="str">
        <x:v>DW-3540</x:v>
      </x:c>
      <x:c r="B3545" t="str">
        <x:v>DW-3540</x:v>
      </x:c>
      <x:c r="C3545" t="str">
        <x:v>Parent indépendant 1.58</x:v>
      </x:c>
      <x:c r="D3545" t="str">
        <x:v>Industrie et production</x:v>
      </x:c>
      <x:c r="E3545" t="str">
        <x:v>Atelier de caisses de transport</x:v>
      </x:c>
      <x:c r="F3545" t="n">
        <x:v>9</x:v>
      </x:c>
      <x:c r="G3545" t="n">
        <x:v>8</x:v>
      </x:c>
      <x:c r="H3545" t="n">
        <x:v>8</x:v>
      </x:c>
      <x:c r="I3545" t="str">
        <x:v>À qualifier par lieu</x:v>
      </x:c>
      <x:c r="J3545" t="str">
        <x:v>https://github.com/darknigthmare/deadwall-last-enclosure/blob/e28f46223e73105ab2c5d83f3d50b99b58ef53e6/codex-3000/addendum-1.58/PROGRAMMES_C.json</x:v>
      </x:c>
      <x:c r="K3545" t="str">
        <x:v>Source min 60,48 m ; max 60,48 m ; modèle 60 × 48 m ; niveaux 0. Détails dans catalogue-existant.json.</x:v>
      </x:c>
    </x:row>
    <x:row r="3546">
      <x:c r="A3546" t="str">
        <x:v>DW-3541</x:v>
      </x:c>
      <x:c r="B3546" t="str">
        <x:v>DW-3541</x:v>
      </x:c>
      <x:c r="C3546" t="str">
        <x:v>Parent indépendant 1.58</x:v>
      </x:c>
      <x:c r="D3546" t="str">
        <x:v>Industrie et production</x:v>
      </x:c>
      <x:c r="E3546" t="str">
        <x:v>Atelier de manches d'outils</x:v>
      </x:c>
      <x:c r="F3546" t="n">
        <x:v>9</x:v>
      </x:c>
      <x:c r="G3546" t="n">
        <x:v>8</x:v>
      </x:c>
      <x:c r="H3546" t="n">
        <x:v>8</x:v>
      </x:c>
      <x:c r="I3546" t="str">
        <x:v>À qualifier par lieu</x:v>
      </x:c>
      <x:c r="J3546" t="str">
        <x:v>https://github.com/darknigthmare/deadwall-last-enclosure/blob/e28f46223e73105ab2c5d83f3d50b99b58ef53e6/codex-3000/addendum-1.58/PROGRAMMES_C.json</x:v>
      </x:c>
      <x:c r="K3546" t="str">
        <x:v>Source min 40,36 m ; max 40,36 m ; modèle 40 × 36 m ; niveaux 0. Détails dans catalogue-existant.json.</x:v>
      </x:c>
    </x:row>
    <x:row r="3547">
      <x:c r="A3547" t="str">
        <x:v>DW-3542</x:v>
      </x:c>
      <x:c r="B3547" t="str">
        <x:v>DW-3542</x:v>
      </x:c>
      <x:c r="C3547" t="str">
        <x:v>Parent indépendant 1.58</x:v>
      </x:c>
      <x:c r="D3547" t="str">
        <x:v>Industrie et production</x:v>
      </x:c>
      <x:c r="E3547" t="str">
        <x:v>Fabrique de volets pliants</x:v>
      </x:c>
      <x:c r="F3547" t="n">
        <x:v>9</x:v>
      </x:c>
      <x:c r="G3547" t="n">
        <x:v>8</x:v>
      </x:c>
      <x:c r="H3547" t="n">
        <x:v>8</x:v>
      </x:c>
      <x:c r="I3547" t="str">
        <x:v>À qualifier par lieu</x:v>
      </x:c>
      <x:c r="J3547" t="str">
        <x:v>https://github.com/darknigthmare/deadwall-last-enclosure/blob/e28f46223e73105ab2c5d83f3d50b99b58ef53e6/codex-3000/addendum-1.58/PROGRAMMES_C.json</x:v>
      </x:c>
      <x:c r="K3547" t="str">
        <x:v>Source min 45,36 m ; max 45,36 m ; modèle 45 × 36 m ; niveaux 0. Détails dans catalogue-existant.json.</x:v>
      </x:c>
    </x:row>
    <x:row r="3548">
      <x:c r="A3548" t="str">
        <x:v>DW-3543</x:v>
      </x:c>
      <x:c r="B3548" t="str">
        <x:v>DW-3543</x:v>
      </x:c>
      <x:c r="C3548" t="str">
        <x:v>Parent indépendant 1.58</x:v>
      </x:c>
      <x:c r="D3548" t="str">
        <x:v>Industrie et production</x:v>
      </x:c>
      <x:c r="E3548" t="str">
        <x:v>Atelier de réparation de tonneaux</x:v>
      </x:c>
      <x:c r="F3548" t="n">
        <x:v>9</x:v>
      </x:c>
      <x:c r="G3548" t="n">
        <x:v>8</x:v>
      </x:c>
      <x:c r="H3548" t="n">
        <x:v>8</x:v>
      </x:c>
      <x:c r="I3548" t="str">
        <x:v>À qualifier par lieu</x:v>
      </x:c>
      <x:c r="J3548" t="str">
        <x:v>https://github.com/darknigthmare/deadwall-last-enclosure/blob/e28f46223e73105ab2c5d83f3d50b99b58ef53e6/codex-3000/addendum-1.58/PROGRAMMES_C.json</x:v>
      </x:c>
      <x:c r="K3548" t="str">
        <x:v>Source min 50,30 m ; max 50,30 m ; modèle 50 × 30 m ; niveaux 0, 1. Détails dans catalogue-existant.json.</x:v>
      </x:c>
    </x:row>
    <x:row r="3549">
      <x:c r="A3549" t="str">
        <x:v>DW-3544</x:v>
      </x:c>
      <x:c r="B3549" t="str">
        <x:v>DW-3544</x:v>
      </x:c>
      <x:c r="C3549" t="str">
        <x:v>Parent indépendant 1.58</x:v>
      </x:c>
      <x:c r="D3549" t="str">
        <x:v>Industrie et production</x:v>
      </x:c>
      <x:c r="E3549" t="str">
        <x:v>Atelier d'escaliers modulaires en bois</x:v>
      </x:c>
      <x:c r="F3549" t="n">
        <x:v>9</x:v>
      </x:c>
      <x:c r="G3549" t="n">
        <x:v>8</x:v>
      </x:c>
      <x:c r="H3549" t="n">
        <x:v>8</x:v>
      </x:c>
      <x:c r="I3549" t="str">
        <x:v>À qualifier par lieu</x:v>
      </x:c>
      <x:c r="J3549" t="str">
        <x:v>https://github.com/darknigthmare/deadwall-last-enclosure/blob/e28f46223e73105ab2c5d83f3d50b99b58ef53e6/codex-3000/addendum-1.58/PROGRAMMES_C.json</x:v>
      </x:c>
      <x:c r="K3549" t="str">
        <x:v>Source min 55,36 m ; max 55,36 m ; modèle 55 × 36 m ; niveaux 0. Détails dans catalogue-existant.json.</x:v>
      </x:c>
    </x:row>
    <x:row r="3550">
      <x:c r="A3550" t="str">
        <x:v>DW-3545</x:v>
      </x:c>
      <x:c r="B3550" t="str">
        <x:v>DW-3545</x:v>
      </x:c>
      <x:c r="C3550" t="str">
        <x:v>Parent indépendant 1.58</x:v>
      </x:c>
      <x:c r="D3550" t="str">
        <x:v>Industrie et production</x:v>
      </x:c>
      <x:c r="E3550" t="str">
        <x:v>Manufacture de coffrages réemployables</x:v>
      </x:c>
      <x:c r="F3550" t="n">
        <x:v>9</x:v>
      </x:c>
      <x:c r="G3550" t="n">
        <x:v>8</x:v>
      </x:c>
      <x:c r="H3550" t="n">
        <x:v>8</x:v>
      </x:c>
      <x:c r="I3550" t="str">
        <x:v>À qualifier par lieu</x:v>
      </x:c>
      <x:c r="J3550" t="str">
        <x:v>https://github.com/darknigthmare/deadwall-last-enclosure/blob/e28f46223e73105ab2c5d83f3d50b99b58ef53e6/codex-3000/addendum-1.58/PROGRAMMES_C.json</x:v>
      </x:c>
      <x:c r="K3550" t="str">
        <x:v>Source min 60,36 m ; max 60,36 m ; modèle 60 × 36 m ; niveaux 0. Détails dans catalogue-existant.json.</x:v>
      </x:c>
    </x:row>
    <x:row r="3551">
      <x:c r="A3551" t="str">
        <x:v>DW-3546</x:v>
      </x:c>
      <x:c r="B3551" t="str">
        <x:v>DW-3546</x:v>
      </x:c>
      <x:c r="C3551" t="str">
        <x:v>Parent indépendant 1.58</x:v>
      </x:c>
      <x:c r="D3551" t="str">
        <x:v>Industrie et production</x:v>
      </x:c>
      <x:c r="E3551" t="str">
        <x:v>Atelier de plinthes profilées</x:v>
      </x:c>
      <x:c r="F3551" t="n">
        <x:v>9</x:v>
      </x:c>
      <x:c r="G3551" t="n">
        <x:v>8</x:v>
      </x:c>
      <x:c r="H3551" t="n">
        <x:v>8</x:v>
      </x:c>
      <x:c r="I3551" t="str">
        <x:v>À qualifier par lieu</x:v>
      </x:c>
      <x:c r="J3551" t="str">
        <x:v>https://github.com/darknigthmare/deadwall-last-enclosure/blob/e28f46223e73105ab2c5d83f3d50b99b58ef53e6/codex-3000/addendum-1.58/PROGRAMMES_C.json</x:v>
      </x:c>
      <x:c r="K3551" t="str">
        <x:v>Source min 40,40 m ; max 40,40 m ; modèle 40 × 40 m ; niveaux 0. Détails dans catalogue-existant.json.</x:v>
      </x:c>
    </x:row>
    <x:row r="3552">
      <x:c r="A3552" t="str">
        <x:v>DW-3547</x:v>
      </x:c>
      <x:c r="B3552" t="str">
        <x:v>DW-3547</x:v>
      </x:c>
      <x:c r="C3552" t="str">
        <x:v>Parent indépendant 1.58</x:v>
      </x:c>
      <x:c r="D3552" t="str">
        <x:v>Industrie et production</x:v>
      </x:c>
      <x:c r="E3552" t="str">
        <x:v>Atelier de meubles de laboratoire</x:v>
      </x:c>
      <x:c r="F3552" t="n">
        <x:v>9</x:v>
      </x:c>
      <x:c r="G3552" t="n">
        <x:v>8</x:v>
      </x:c>
      <x:c r="H3552" t="n">
        <x:v>8</x:v>
      </x:c>
      <x:c r="I3552" t="str">
        <x:v>À qualifier par lieu</x:v>
      </x:c>
      <x:c r="J3552" t="str">
        <x:v>https://github.com/darknigthmare/deadwall-last-enclosure/blob/e28f46223e73105ab2c5d83f3d50b99b58ef53e6/codex-3000/addendum-1.58/PROGRAMMES_C.json</x:v>
      </x:c>
      <x:c r="K3552" t="str">
        <x:v>Source min 45,40 m ; max 45,40 m ; modèle 45 × 40 m ; niveaux 0. Détails dans catalogue-existant.json.</x:v>
      </x:c>
    </x:row>
    <x:row r="3553">
      <x:c r="A3553" t="str">
        <x:v>DW-3548</x:v>
      </x:c>
      <x:c r="B3553" t="str">
        <x:v>DW-3548</x:v>
      </x:c>
      <x:c r="C3553" t="str">
        <x:v>Parent indépendant 1.58</x:v>
      </x:c>
      <x:c r="D3553" t="str">
        <x:v>Industrie et production</x:v>
      </x:c>
      <x:c r="E3553" t="str">
        <x:v>Manufacture de rayonnages en bois</x:v>
      </x:c>
      <x:c r="F3553" t="n">
        <x:v>9</x:v>
      </x:c>
      <x:c r="G3553" t="n">
        <x:v>8</x:v>
      </x:c>
      <x:c r="H3553" t="n">
        <x:v>8</x:v>
      </x:c>
      <x:c r="I3553" t="str">
        <x:v>À qualifier par lieu</x:v>
      </x:c>
      <x:c r="J3553" t="str">
        <x:v>https://github.com/darknigthmare/deadwall-last-enclosure/blob/e28f46223e73105ab2c5d83f3d50b99b58ef53e6/codex-3000/addendum-1.58/PROGRAMMES_C.json</x:v>
      </x:c>
      <x:c r="K3553" t="str">
        <x:v>Source min 50,34 m ; max 50,34 m ; modèle 50 × 34 m ; niveaux 0, 1. Détails dans catalogue-existant.json.</x:v>
      </x:c>
    </x:row>
    <x:row r="3554">
      <x:c r="A3554" t="str">
        <x:v>DW-3549</x:v>
      </x:c>
      <x:c r="B3554" t="str">
        <x:v>DW-3549</x:v>
      </x:c>
      <x:c r="C3554" t="str">
        <x:v>Parent indépendant 1.58</x:v>
      </x:c>
      <x:c r="D3554" t="str">
        <x:v>Industrie et production</x:v>
      </x:c>
      <x:c r="E3554" t="str">
        <x:v>Atelier de roues de charrette</x:v>
      </x:c>
      <x:c r="F3554" t="n">
        <x:v>9</x:v>
      </x:c>
      <x:c r="G3554" t="n">
        <x:v>8</x:v>
      </x:c>
      <x:c r="H3554" t="n">
        <x:v>8</x:v>
      </x:c>
      <x:c r="I3554" t="str">
        <x:v>À qualifier par lieu</x:v>
      </x:c>
      <x:c r="J3554" t="str">
        <x:v>https://github.com/darknigthmare/deadwall-last-enclosure/blob/e28f46223e73105ab2c5d83f3d50b99b58ef53e6/codex-3000/addendum-1.58/PROGRAMMES_C.json</x:v>
      </x:c>
      <x:c r="K3554" t="str">
        <x:v>Source min 55,40 m ; max 55,40 m ; modèle 55 × 40 m ; niveaux 0. Détails dans catalogue-existant.json.</x:v>
      </x:c>
    </x:row>
    <x:row r="3555">
      <x:c r="A3555" t="str">
        <x:v>DW-3550</x:v>
      </x:c>
      <x:c r="B3555" t="str">
        <x:v>DW-3550</x:v>
      </x:c>
      <x:c r="C3555" t="str">
        <x:v>Parent indépendant 1.58</x:v>
      </x:c>
      <x:c r="D3555" t="str">
        <x:v>Industrie et production</x:v>
      </x:c>
      <x:c r="E3555" t="str">
        <x:v>Atelier de cadres d'affichage</x:v>
      </x:c>
      <x:c r="F3555" t="n">
        <x:v>9</x:v>
      </x:c>
      <x:c r="G3555" t="n">
        <x:v>8</x:v>
      </x:c>
      <x:c r="H3555" t="n">
        <x:v>8</x:v>
      </x:c>
      <x:c r="I3555" t="str">
        <x:v>À qualifier par lieu</x:v>
      </x:c>
      <x:c r="J3555" t="str">
        <x:v>https://github.com/darknigthmare/deadwall-last-enclosure/blob/e28f46223e73105ab2c5d83f3d50b99b58ef53e6/codex-3000/addendum-1.58/PROGRAMMES_C.json</x:v>
      </x:c>
      <x:c r="K3555" t="str">
        <x:v>Source min 60,40 m ; max 60,40 m ; modèle 60 × 40 m ; niveaux 0. Détails dans catalogue-existant.json.</x:v>
      </x:c>
    </x:row>
    <x:row r="3556">
      <x:c r="A3556" t="str">
        <x:v>DW-3551</x:v>
      </x:c>
      <x:c r="B3556" t="str">
        <x:v>DW-3551</x:v>
      </x:c>
      <x:c r="C3556" t="str">
        <x:v>Parent indépendant 1.58</x:v>
      </x:c>
      <x:c r="D3556" t="str">
        <x:v>Industrie et production</x:v>
      </x:c>
      <x:c r="E3556" t="str">
        <x:v>Atelier de reliure à dos cousu</x:v>
      </x:c>
      <x:c r="F3556" t="n">
        <x:v>9</x:v>
      </x:c>
      <x:c r="G3556" t="n">
        <x:v>8</x:v>
      </x:c>
      <x:c r="H3556" t="n">
        <x:v>8</x:v>
      </x:c>
      <x:c r="I3556" t="str">
        <x:v>À qualifier par lieu</x:v>
      </x:c>
      <x:c r="J3556" t="str">
        <x:v>https://github.com/darknigthmare/deadwall-last-enclosure/blob/e28f46223e73105ab2c5d83f3d50b99b58ef53e6/codex-3000/addendum-1.58/PROGRAMMES_C.json</x:v>
      </x:c>
      <x:c r="K3556" t="str">
        <x:v>Source min 40,44 m ; max 40,44 m ; modèle 40 × 44 m ; niveaux 0. Détails dans catalogue-existant.json.</x:v>
      </x:c>
    </x:row>
    <x:row r="3557">
      <x:c r="A3557" t="str">
        <x:v>DW-3552</x:v>
      </x:c>
      <x:c r="B3557" t="str">
        <x:v>DW-3552</x:v>
      </x:c>
      <x:c r="C3557" t="str">
        <x:v>Parent indépendant 1.58</x:v>
      </x:c>
      <x:c r="D3557" t="str">
        <x:v>Industrie et production</x:v>
      </x:c>
      <x:c r="E3557" t="str">
        <x:v>Atelier de clichés typographiques</x:v>
      </x:c>
      <x:c r="F3557" t="n">
        <x:v>9</x:v>
      </x:c>
      <x:c r="G3557" t="n">
        <x:v>8</x:v>
      </x:c>
      <x:c r="H3557" t="n">
        <x:v>8</x:v>
      </x:c>
      <x:c r="I3557" t="str">
        <x:v>À qualifier par lieu</x:v>
      </x:c>
      <x:c r="J3557" t="str">
        <x:v>https://github.com/darknigthmare/deadwall-last-enclosure/blob/e28f46223e73105ab2c5d83f3d50b99b58ef53e6/codex-3000/addendum-1.58/PROGRAMMES_C.json</x:v>
      </x:c>
      <x:c r="K3557" t="str">
        <x:v>Source min 45,44 m ; max 45,44 m ; modèle 45 × 44 m ; niveaux 0. Détails dans catalogue-existant.json.</x:v>
      </x:c>
    </x:row>
    <x:row r="3558">
      <x:c r="A3558" t="str">
        <x:v>DW-3553</x:v>
      </x:c>
      <x:c r="B3558" t="str">
        <x:v>DW-3553</x:v>
      </x:c>
      <x:c r="C3558" t="str">
        <x:v>Parent indépendant 1.58</x:v>
      </x:c>
      <x:c r="D3558" t="str">
        <x:v>Industrie et production</x:v>
      </x:c>
      <x:c r="E3558" t="str">
        <x:v>Fabrique de boîtes pliantes</x:v>
      </x:c>
      <x:c r="F3558" t="n">
        <x:v>9</x:v>
      </x:c>
      <x:c r="G3558" t="n">
        <x:v>8</x:v>
      </x:c>
      <x:c r="H3558" t="n">
        <x:v>8</x:v>
      </x:c>
      <x:c r="I3558" t="str">
        <x:v>À qualifier par lieu</x:v>
      </x:c>
      <x:c r="J3558" t="str">
        <x:v>https://github.com/darknigthmare/deadwall-last-enclosure/blob/e28f46223e73105ab2c5d83f3d50b99b58ef53e6/codex-3000/addendum-1.58/PROGRAMMES_C.json</x:v>
      </x:c>
      <x:c r="K3558" t="str">
        <x:v>Source min 50,38 m ; max 50,38 m ; modèle 50 × 38 m ; niveaux 0, 1. Détails dans catalogue-existant.json.</x:v>
      </x:c>
    </x:row>
    <x:row r="3559">
      <x:c r="A3559" t="str">
        <x:v>DW-3554</x:v>
      </x:c>
      <x:c r="B3559" t="str">
        <x:v>DW-3554</x:v>
      </x:c>
      <x:c r="C3559" t="str">
        <x:v>Parent indépendant 1.58</x:v>
      </x:c>
      <x:c r="D3559" t="str">
        <x:v>Industrie et production</x:v>
      </x:c>
      <x:c r="E3559" t="str">
        <x:v>Atelier de sacs en papier kraft</x:v>
      </x:c>
      <x:c r="F3559" t="n">
        <x:v>9</x:v>
      </x:c>
      <x:c r="G3559" t="n">
        <x:v>8</x:v>
      </x:c>
      <x:c r="H3559" t="n">
        <x:v>8</x:v>
      </x:c>
      <x:c r="I3559" t="str">
        <x:v>À qualifier par lieu</x:v>
      </x:c>
      <x:c r="J3559" t="str">
        <x:v>https://github.com/darknigthmare/deadwall-last-enclosure/blob/e28f46223e73105ab2c5d83f3d50b99b58ef53e6/codex-3000/addendum-1.58/PROGRAMMES_C.json</x:v>
      </x:c>
      <x:c r="K3559" t="str">
        <x:v>Source min 55,44 m ; max 55,44 m ; modèle 55 × 44 m ; niveaux 0. Détails dans catalogue-existant.json.</x:v>
      </x:c>
    </x:row>
    <x:row r="3560">
      <x:c r="A3560" t="str">
        <x:v>DW-3555</x:v>
      </x:c>
      <x:c r="B3560" t="str">
        <x:v>DW-3555</x:v>
      </x:c>
      <x:c r="C3560" t="str">
        <x:v>Parent indépendant 1.58</x:v>
      </x:c>
      <x:c r="D3560" t="str">
        <x:v>Industrie et production</x:v>
      </x:c>
      <x:c r="E3560" t="str">
        <x:v>Atelier de tampons encreurs</x:v>
      </x:c>
      <x:c r="F3560" t="n">
        <x:v>9</x:v>
      </x:c>
      <x:c r="G3560" t="n">
        <x:v>8</x:v>
      </x:c>
      <x:c r="H3560" t="n">
        <x:v>8</x:v>
      </x:c>
      <x:c r="I3560" t="str">
        <x:v>À qualifier par lieu</x:v>
      </x:c>
      <x:c r="J3560" t="str">
        <x:v>https://github.com/darknigthmare/deadwall-last-enclosure/blob/e28f46223e73105ab2c5d83f3d50b99b58ef53e6/codex-3000/addendum-1.58/PROGRAMMES_C.json</x:v>
      </x:c>
      <x:c r="K3560" t="str">
        <x:v>Source min 60,44 m ; max 60,44 m ; modèle 60 × 44 m ; niveaux 0. Détails dans catalogue-existant.json.</x:v>
      </x:c>
    </x:row>
    <x:row r="3561">
      <x:c r="A3561" t="str">
        <x:v>DW-3556</x:v>
      </x:c>
      <x:c r="B3561" t="str">
        <x:v>DW-3556</x:v>
      </x:c>
      <x:c r="C3561" t="str">
        <x:v>Parent indépendant 1.58</x:v>
      </x:c>
      <x:c r="D3561" t="str">
        <x:v>Industrie et production</x:v>
      </x:c>
      <x:c r="E3561" t="str">
        <x:v>Atelier d'étiquettes de traçabilité</x:v>
      </x:c>
      <x:c r="F3561" t="n">
        <x:v>9</x:v>
      </x:c>
      <x:c r="G3561" t="n">
        <x:v>8</x:v>
      </x:c>
      <x:c r="H3561" t="n">
        <x:v>8</x:v>
      </x:c>
      <x:c r="I3561" t="str">
        <x:v>À qualifier par lieu</x:v>
      </x:c>
      <x:c r="J3561" t="str">
        <x:v>https://github.com/darknigthmare/deadwall-last-enclosure/blob/e28f46223e73105ab2c5d83f3d50b99b58ef53e6/codex-3000/addendum-1.58/PROGRAMMES_C.json</x:v>
      </x:c>
      <x:c r="K3561" t="str">
        <x:v>Source min 40,48 m ; max 40,48 m ; modèle 40 × 48 m ; niveaux 0. Détails dans catalogue-existant.json.</x:v>
      </x:c>
    </x:row>
    <x:row r="3562">
      <x:c r="A3562" t="str">
        <x:v>DW-3557</x:v>
      </x:c>
      <x:c r="B3562" t="str">
        <x:v>DW-3557</x:v>
      </x:c>
      <x:c r="C3562" t="str">
        <x:v>Parent indépendant 1.58</x:v>
      </x:c>
      <x:c r="D3562" t="str">
        <x:v>Industrie et production</x:v>
      </x:c>
      <x:c r="E3562" t="str">
        <x:v>Atelier de réparation de presses manuelles</x:v>
      </x:c>
      <x:c r="F3562" t="n">
        <x:v>9</x:v>
      </x:c>
      <x:c r="G3562" t="n">
        <x:v>8</x:v>
      </x:c>
      <x:c r="H3562" t="n">
        <x:v>8</x:v>
      </x:c>
      <x:c r="I3562" t="str">
        <x:v>À qualifier par lieu</x:v>
      </x:c>
      <x:c r="J3562" t="str">
        <x:v>https://github.com/darknigthmare/deadwall-last-enclosure/blob/e28f46223e73105ab2c5d83f3d50b99b58ef53e6/codex-3000/addendum-1.58/PROGRAMMES_C.json</x:v>
      </x:c>
      <x:c r="K3562" t="str">
        <x:v>Source min 45,48 m ; max 45,48 m ; modèle 45 × 48 m ; niveaux 0. Détails dans catalogue-existant.json.</x:v>
      </x:c>
    </x:row>
    <x:row r="3563">
      <x:c r="A3563" t="str">
        <x:v>DW-3558</x:v>
      </x:c>
      <x:c r="B3563" t="str">
        <x:v>DW-3558</x:v>
      </x:c>
      <x:c r="C3563" t="str">
        <x:v>Parent indépendant 1.58</x:v>
      </x:c>
      <x:c r="D3563" t="str">
        <x:v>Industrie et production</x:v>
      </x:c>
      <x:c r="E3563" t="str">
        <x:v>Manufacture de chemises d'archives</x:v>
      </x:c>
      <x:c r="F3563" t="n">
        <x:v>9</x:v>
      </x:c>
      <x:c r="G3563" t="n">
        <x:v>8</x:v>
      </x:c>
      <x:c r="H3563" t="n">
        <x:v>8</x:v>
      </x:c>
      <x:c r="I3563" t="str">
        <x:v>À qualifier par lieu</x:v>
      </x:c>
      <x:c r="J3563" t="str">
        <x:v>https://github.com/darknigthmare/deadwall-last-enclosure/blob/e28f46223e73105ab2c5d83f3d50b99b58ef53e6/codex-3000/addendum-1.58/PROGRAMMES_C.json</x:v>
      </x:c>
      <x:c r="K3563" t="str">
        <x:v>Source min 50,42 m ; max 50,42 m ; modèle 50 × 42 m ; niveaux 0, 1. Détails dans catalogue-existant.json.</x:v>
      </x:c>
    </x:row>
    <x:row r="3564">
      <x:c r="A3564" t="str">
        <x:v>DW-3559</x:v>
      </x:c>
      <x:c r="B3564" t="str">
        <x:v>DW-3559</x:v>
      </x:c>
      <x:c r="C3564" t="str">
        <x:v>Parent indépendant 1.58</x:v>
      </x:c>
      <x:c r="D3564" t="str">
        <x:v>Industrie et production</x:v>
      </x:c>
      <x:c r="E3564" t="str">
        <x:v>Atelier de signalétique peinte</x:v>
      </x:c>
      <x:c r="F3564" t="n">
        <x:v>9</x:v>
      </x:c>
      <x:c r="G3564" t="n">
        <x:v>8</x:v>
      </x:c>
      <x:c r="H3564" t="n">
        <x:v>8</x:v>
      </x:c>
      <x:c r="I3564" t="str">
        <x:v>À qualifier par lieu</x:v>
      </x:c>
      <x:c r="J3564" t="str">
        <x:v>https://github.com/darknigthmare/deadwall-last-enclosure/blob/e28f46223e73105ab2c5d83f3d50b99b58ef53e6/codex-3000/addendum-1.58/PROGRAMMES_C.json</x:v>
      </x:c>
      <x:c r="K3564" t="str">
        <x:v>Source min 55,48 m ; max 55,48 m ; modèle 55 × 48 m ; niveaux 0. Détails dans catalogue-existant.json.</x:v>
      </x:c>
    </x:row>
    <x:row r="3565">
      <x:c r="A3565" t="str">
        <x:v>DW-3560</x:v>
      </x:c>
      <x:c r="B3565" t="str">
        <x:v>DW-3560</x:v>
      </x:c>
      <x:c r="C3565" t="str">
        <x:v>Parent indépendant 1.58</x:v>
      </x:c>
      <x:c r="D3565" t="str">
        <x:v>Industrie et production</x:v>
      </x:c>
      <x:c r="E3565" t="str">
        <x:v>Atelier de gravure de plaques de machine</x:v>
      </x:c>
      <x:c r="F3565" t="n">
        <x:v>9</x:v>
      </x:c>
      <x:c r="G3565" t="n">
        <x:v>8</x:v>
      </x:c>
      <x:c r="H3565" t="n">
        <x:v>8</x:v>
      </x:c>
      <x:c r="I3565" t="str">
        <x:v>À qualifier par lieu</x:v>
      </x:c>
      <x:c r="J3565" t="str">
        <x:v>https://github.com/darknigthmare/deadwall-last-enclosure/blob/e28f46223e73105ab2c5d83f3d50b99b58ef53e6/codex-3000/addendum-1.58/PROGRAMMES_C.json</x:v>
      </x:c>
      <x:c r="K3565" t="str">
        <x:v>Source min 60,48 m ; max 60,48 m ; modèle 60 × 48 m ; niveaux 0. Détails dans catalogue-existant.json.</x:v>
      </x:c>
    </x:row>
    <x:row r="3566">
      <x:c r="A3566" t="str">
        <x:v>DW-3561</x:v>
      </x:c>
      <x:c r="B3566" t="str">
        <x:v>DW-3561</x:v>
      </x:c>
      <x:c r="C3566" t="str">
        <x:v>Parent indépendant 1.58</x:v>
      </x:c>
      <x:c r="D3566" t="str">
        <x:v>Industrie et production</x:v>
      </x:c>
      <x:c r="E3566" t="str">
        <x:v>Atelier de bobinage de moteurs</x:v>
      </x:c>
      <x:c r="F3566" t="n">
        <x:v>9</x:v>
      </x:c>
      <x:c r="G3566" t="n">
        <x:v>8</x:v>
      </x:c>
      <x:c r="H3566" t="n">
        <x:v>8</x:v>
      </x:c>
      <x:c r="I3566" t="str">
        <x:v>À qualifier par lieu</x:v>
      </x:c>
      <x:c r="J3566" t="str">
        <x:v>https://github.com/darknigthmare/deadwall-last-enclosure/blob/e28f46223e73105ab2c5d83f3d50b99b58ef53e6/codex-3000/addendum-1.58/PROGRAMMES_C.json</x:v>
      </x:c>
      <x:c r="K3566" t="str">
        <x:v>Source min 40,36 m ; max 40,36 m ; modèle 40 × 36 m ; niveaux 0. Détails dans catalogue-existant.json.</x:v>
      </x:c>
    </x:row>
    <x:row r="3567">
      <x:c r="A3567" t="str">
        <x:v>DW-3562</x:v>
      </x:c>
      <x:c r="B3567" t="str">
        <x:v>DW-3562</x:v>
      </x:c>
      <x:c r="C3567" t="str">
        <x:v>Parent indépendant 1.58</x:v>
      </x:c>
      <x:c r="D3567" t="str">
        <x:v>Industrie et production</x:v>
      </x:c>
      <x:c r="E3567" t="str">
        <x:v>Atelier de transformateurs de commande</x:v>
      </x:c>
      <x:c r="F3567" t="n">
        <x:v>9</x:v>
      </x:c>
      <x:c r="G3567" t="n">
        <x:v>8</x:v>
      </x:c>
      <x:c r="H3567" t="n">
        <x:v>8</x:v>
      </x:c>
      <x:c r="I3567" t="str">
        <x:v>À qualifier par lieu</x:v>
      </x:c>
      <x:c r="J3567" t="str">
        <x:v>https://github.com/darknigthmare/deadwall-last-enclosure/blob/e28f46223e73105ab2c5d83f3d50b99b58ef53e6/codex-3000/addendum-1.58/PROGRAMMES_C.json</x:v>
      </x:c>
      <x:c r="K3567" t="str">
        <x:v>Source min 45,36 m ; max 45,36 m ; modèle 45 × 36 m ; niveaux 0. Détails dans catalogue-existant.json.</x:v>
      </x:c>
    </x:row>
    <x:row r="3568">
      <x:c r="A3568" t="str">
        <x:v>DW-3563</x:v>
      </x:c>
      <x:c r="B3568" t="str">
        <x:v>DW-3563</x:v>
      </x:c>
      <x:c r="C3568" t="str">
        <x:v>Parent indépendant 1.58</x:v>
      </x:c>
      <x:c r="D3568" t="str">
        <x:v>Industrie et production</x:v>
      </x:c>
      <x:c r="E3568" t="str">
        <x:v>Atelier de faisceaux de câblage</x:v>
      </x:c>
      <x:c r="F3568" t="n">
        <x:v>9</x:v>
      </x:c>
      <x:c r="G3568" t="n">
        <x:v>8</x:v>
      </x:c>
      <x:c r="H3568" t="n">
        <x:v>8</x:v>
      </x:c>
      <x:c r="I3568" t="str">
        <x:v>À qualifier par lieu</x:v>
      </x:c>
      <x:c r="J3568" t="str">
        <x:v>https://github.com/darknigthmare/deadwall-last-enclosure/blob/e28f46223e73105ab2c5d83f3d50b99b58ef53e6/codex-3000/addendum-1.58/PROGRAMMES_C.json</x:v>
      </x:c>
      <x:c r="K3568" t="str">
        <x:v>Source min 50,30 m ; max 50,30 m ; modèle 50 × 30 m ; niveaux 0, 1. Détails dans catalogue-existant.json.</x:v>
      </x:c>
    </x:row>
    <x:row r="3569">
      <x:c r="A3569" t="str">
        <x:v>DW-3564</x:v>
      </x:c>
      <x:c r="B3569" t="str">
        <x:v>DW-3564</x:v>
      </x:c>
      <x:c r="C3569" t="str">
        <x:v>Parent indépendant 1.58</x:v>
      </x:c>
      <x:c r="D3569" t="str">
        <x:v>Industrie et production</x:v>
      </x:c>
      <x:c r="E3569" t="str">
        <x:v>Atelier de lampes de chantier</x:v>
      </x:c>
      <x:c r="F3569" t="n">
        <x:v>9</x:v>
      </x:c>
      <x:c r="G3569" t="n">
        <x:v>8</x:v>
      </x:c>
      <x:c r="H3569" t="n">
        <x:v>8</x:v>
      </x:c>
      <x:c r="I3569" t="str">
        <x:v>À qualifier par lieu</x:v>
      </x:c>
      <x:c r="J3569" t="str">
        <x:v>https://github.com/darknigthmare/deadwall-last-enclosure/blob/e28f46223e73105ab2c5d83f3d50b99b58ef53e6/codex-3000/addendum-1.58/PROGRAMMES_C.json</x:v>
      </x:c>
      <x:c r="K3569" t="str">
        <x:v>Source min 55,36 m ; max 55,36 m ; modèle 55 × 36 m ; niveaux 0. Détails dans catalogue-existant.json.</x:v>
      </x:c>
    </x:row>
    <x:row r="3570">
      <x:c r="A3570" t="str">
        <x:v>DW-3565</x:v>
      </x:c>
      <x:c r="B3570" t="str">
        <x:v>DW-3565</x:v>
      </x:c>
      <x:c r="C3570" t="str">
        <x:v>Parent indépendant 1.58</x:v>
      </x:c>
      <x:c r="D3570" t="str">
        <x:v>Industrie et production</x:v>
      </x:c>
      <x:c r="E3570" t="str">
        <x:v>Atelier de postes radio analogiques</x:v>
      </x:c>
      <x:c r="F3570" t="n">
        <x:v>9</x:v>
      </x:c>
      <x:c r="G3570" t="n">
        <x:v>8</x:v>
      </x:c>
      <x:c r="H3570" t="n">
        <x:v>8</x:v>
      </x:c>
      <x:c r="I3570" t="str">
        <x:v>À qualifier par lieu</x:v>
      </x:c>
      <x:c r="J3570" t="str">
        <x:v>https://github.com/darknigthmare/deadwall-last-enclosure/blob/e28f46223e73105ab2c5d83f3d50b99b58ef53e6/codex-3000/addendum-1.58/PROGRAMMES_C.json</x:v>
      </x:c>
      <x:c r="K3570" t="str">
        <x:v>Source min 60,36 m ; max 60,36 m ; modèle 60 × 36 m ; niveaux 0. Détails dans catalogue-existant.json.</x:v>
      </x:c>
    </x:row>
    <x:row r="3571">
      <x:c r="A3571" t="str">
        <x:v>DW-3566</x:v>
      </x:c>
      <x:c r="B3571" t="str">
        <x:v>DW-3566</x:v>
      </x:c>
      <x:c r="C3571" t="str">
        <x:v>Parent indépendant 1.58</x:v>
      </x:c>
      <x:c r="D3571" t="str">
        <x:v>Industrie et production</x:v>
      </x:c>
      <x:c r="E3571" t="str">
        <x:v>Atelier d'instruments à aiguille</x:v>
      </x:c>
      <x:c r="F3571" t="n">
        <x:v>9</x:v>
      </x:c>
      <x:c r="G3571" t="n">
        <x:v>8</x:v>
      </x:c>
      <x:c r="H3571" t="n">
        <x:v>8</x:v>
      </x:c>
      <x:c r="I3571" t="str">
        <x:v>À qualifier par lieu</x:v>
      </x:c>
      <x:c r="J3571" t="str">
        <x:v>https://github.com/darknigthmare/deadwall-last-enclosure/blob/e28f46223e73105ab2c5d83f3d50b99b58ef53e6/codex-3000/addendum-1.58/PROGRAMMES_C.json</x:v>
      </x:c>
      <x:c r="K3571" t="str">
        <x:v>Source min 40,40 m ; max 40,40 m ; modèle 40 × 40 m ; niveaux 0. Détails dans catalogue-existant.json.</x:v>
      </x:c>
    </x:row>
    <x:row r="3572">
      <x:c r="A3572" t="str">
        <x:v>DW-3567</x:v>
      </x:c>
      <x:c r="B3572" t="str">
        <x:v>DW-3567</x:v>
      </x:c>
      <x:c r="C3572" t="str">
        <x:v>Parent indépendant 1.58</x:v>
      </x:c>
      <x:c r="D3572" t="str">
        <x:v>Industrie et production</x:v>
      </x:c>
      <x:c r="E3572" t="str">
        <x:v>Atelier de batteries à boîtiers démontables</x:v>
      </x:c>
      <x:c r="F3572" t="n">
        <x:v>9</x:v>
      </x:c>
      <x:c r="G3572" t="n">
        <x:v>8</x:v>
      </x:c>
      <x:c r="H3572" t="n">
        <x:v>8</x:v>
      </x:c>
      <x:c r="I3572" t="str">
        <x:v>À qualifier par lieu</x:v>
      </x:c>
      <x:c r="J3572" t="str">
        <x:v>https://github.com/darknigthmare/deadwall-last-enclosure/blob/e28f46223e73105ab2c5d83f3d50b99b58ef53e6/codex-3000/addendum-1.58/PROGRAMMES_C.json</x:v>
      </x:c>
      <x:c r="K3572" t="str">
        <x:v>Source min 45,40 m ; max 45,40 m ; modèle 45 × 40 m ; niveaux 0. Détails dans catalogue-existant.json.</x:v>
      </x:c>
    </x:row>
    <x:row r="3573">
      <x:c r="A3573" t="str">
        <x:v>DW-3568</x:v>
      </x:c>
      <x:c r="B3573" t="str">
        <x:v>DW-3568</x:v>
      </x:c>
      <x:c r="C3573" t="str">
        <x:v>Parent indépendant 1.58</x:v>
      </x:c>
      <x:c r="D3573" t="str">
        <x:v>Industrie et production</x:v>
      </x:c>
      <x:c r="E3573" t="str">
        <x:v>Atelier de connecteurs industriels</x:v>
      </x:c>
      <x:c r="F3573" t="n">
        <x:v>9</x:v>
      </x:c>
      <x:c r="G3573" t="n">
        <x:v>8</x:v>
      </x:c>
      <x:c r="H3573" t="n">
        <x:v>8</x:v>
      </x:c>
      <x:c r="I3573" t="str">
        <x:v>À qualifier par lieu</x:v>
      </x:c>
      <x:c r="J3573" t="str">
        <x:v>https://github.com/darknigthmare/deadwall-last-enclosure/blob/e28f46223e73105ab2c5d83f3d50b99b58ef53e6/codex-3000/addendum-1.58/PROGRAMMES_C.json</x:v>
      </x:c>
      <x:c r="K3573" t="str">
        <x:v>Source min 50,34 m ; max 50,34 m ; modèle 50 × 34 m ; niveaux 0, 1. Détails dans catalogue-existant.json.</x:v>
      </x:c>
    </x:row>
    <x:row r="3574">
      <x:c r="A3574" t="str">
        <x:v>DW-3569</x:v>
      </x:c>
      <x:c r="B3574" t="str">
        <x:v>DW-3569</x:v>
      </x:c>
      <x:c r="C3574" t="str">
        <x:v>Parent indépendant 1.58</x:v>
      </x:c>
      <x:c r="D3574" t="str">
        <x:v>Industrie et production</x:v>
      </x:c>
      <x:c r="E3574" t="str">
        <x:v>Atelier de ventilateurs de toiture</x:v>
      </x:c>
      <x:c r="F3574" t="n">
        <x:v>9</x:v>
      </x:c>
      <x:c r="G3574" t="n">
        <x:v>8</x:v>
      </x:c>
      <x:c r="H3574" t="n">
        <x:v>8</x:v>
      </x:c>
      <x:c r="I3574" t="str">
        <x:v>À qualifier par lieu</x:v>
      </x:c>
      <x:c r="J3574" t="str">
        <x:v>https://github.com/darknigthmare/deadwall-last-enclosure/blob/e28f46223e73105ab2c5d83f3d50b99b58ef53e6/codex-3000/addendum-1.58/PROGRAMMES_C.json</x:v>
      </x:c>
      <x:c r="K3574" t="str">
        <x:v>Source min 55,40 m ; max 55,40 m ; modèle 55 × 40 m ; niveaux 0. Détails dans catalogue-existant.json.</x:v>
      </x:c>
    </x:row>
    <x:row r="3575">
      <x:c r="A3575" t="str">
        <x:v>DW-3570</x:v>
      </x:c>
      <x:c r="B3575" t="str">
        <x:v>DW-3570</x:v>
      </x:c>
      <x:c r="C3575" t="str">
        <x:v>Parent indépendant 1.58</x:v>
      </x:c>
      <x:c r="D3575" t="str">
        <x:v>Industrie et production</x:v>
      </x:c>
      <x:c r="E3575" t="str">
        <x:v>Atelier de minuteries mécaniques</x:v>
      </x:c>
      <x:c r="F3575" t="n">
        <x:v>9</x:v>
      </x:c>
      <x:c r="G3575" t="n">
        <x:v>8</x:v>
      </x:c>
      <x:c r="H3575" t="n">
        <x:v>8</x:v>
      </x:c>
      <x:c r="I3575" t="str">
        <x:v>À qualifier par lieu</x:v>
      </x:c>
      <x:c r="J3575" t="str">
        <x:v>https://github.com/darknigthmare/deadwall-last-enclosure/blob/e28f46223e73105ab2c5d83f3d50b99b58ef53e6/codex-3000/addendum-1.58/PROGRAMMES_C.json</x:v>
      </x:c>
      <x:c r="K3575" t="str">
        <x:v>Source min 60,40 m ; max 60,40 m ; modèle 60 × 40 m ; niveaux 0. Détails dans catalogue-existant.json.</x:v>
      </x:c>
    </x:row>
    <x:row r="3576">
      <x:c r="A3576" t="str">
        <x:v>DW-3571</x:v>
      </x:c>
      <x:c r="B3576" t="str">
        <x:v>DW-3571</x:v>
      </x:c>
      <x:c r="C3576" t="str">
        <x:v>Parent indépendant 1.58</x:v>
      </x:c>
      <x:c r="D3576" t="str">
        <x:v>Industrie et production</x:v>
      </x:c>
      <x:c r="E3576" t="str">
        <x:v>Atelier de carreaux de ciment</x:v>
      </x:c>
      <x:c r="F3576" t="n">
        <x:v>9</x:v>
      </x:c>
      <x:c r="G3576" t="n">
        <x:v>8</x:v>
      </x:c>
      <x:c r="H3576" t="n">
        <x:v>8</x:v>
      </x:c>
      <x:c r="I3576" t="str">
        <x:v>À qualifier par lieu</x:v>
      </x:c>
      <x:c r="J3576" t="str">
        <x:v>https://github.com/darknigthmare/deadwall-last-enclosure/blob/e28f46223e73105ab2c5d83f3d50b99b58ef53e6/codex-3000/addendum-1.58/PROGRAMMES_C.json</x:v>
      </x:c>
      <x:c r="K3576" t="str">
        <x:v>Source min 40,44 m ; max 40,44 m ; modèle 40 × 44 m ; niveaux 0. Détails dans catalogue-existant.json.</x:v>
      </x:c>
    </x:row>
    <x:row r="3577">
      <x:c r="A3577" t="str">
        <x:v>DW-3572</x:v>
      </x:c>
      <x:c r="B3577" t="str">
        <x:v>DW-3572</x:v>
      </x:c>
      <x:c r="C3577" t="str">
        <x:v>Parent indépendant 1.58</x:v>
      </x:c>
      <x:c r="D3577" t="str">
        <x:v>Industrie et production</x:v>
      </x:c>
      <x:c r="E3577" t="str">
        <x:v>Atelier de briques réfractaires</x:v>
      </x:c>
      <x:c r="F3577" t="n">
        <x:v>9</x:v>
      </x:c>
      <x:c r="G3577" t="n">
        <x:v>8</x:v>
      </x:c>
      <x:c r="H3577" t="n">
        <x:v>8</x:v>
      </x:c>
      <x:c r="I3577" t="str">
        <x:v>À qualifier par lieu</x:v>
      </x:c>
      <x:c r="J3577" t="str">
        <x:v>https://github.com/darknigthmare/deadwall-last-enclosure/blob/e28f46223e73105ab2c5d83f3d50b99b58ef53e6/codex-3000/addendum-1.58/PROGRAMMES_C.json</x:v>
      </x:c>
      <x:c r="K3577" t="str">
        <x:v>Source min 45,44 m ; max 45,44 m ; modèle 45 × 44 m ; niveaux 0. Détails dans catalogue-existant.json.</x:v>
      </x:c>
    </x:row>
    <x:row r="3578">
      <x:c r="A3578" t="str">
        <x:v>DW-3573</x:v>
      </x:c>
      <x:c r="B3578" t="str">
        <x:v>DW-3573</x:v>
      </x:c>
      <x:c r="C3578" t="str">
        <x:v>Parent indépendant 1.58</x:v>
      </x:c>
      <x:c r="D3578" t="str">
        <x:v>Industrie et production</x:v>
      </x:c>
      <x:c r="E3578" t="str">
        <x:v>Atelier de vitraux de protection</x:v>
      </x:c>
      <x:c r="F3578" t="n">
        <x:v>9</x:v>
      </x:c>
      <x:c r="G3578" t="n">
        <x:v>8</x:v>
      </x:c>
      <x:c r="H3578" t="n">
        <x:v>8</x:v>
      </x:c>
      <x:c r="I3578" t="str">
        <x:v>À qualifier par lieu</x:v>
      </x:c>
      <x:c r="J3578" t="str">
        <x:v>https://github.com/darknigthmare/deadwall-last-enclosure/blob/e28f46223e73105ab2c5d83f3d50b99b58ef53e6/codex-3000/addendum-1.58/PROGRAMMES_C.json</x:v>
      </x:c>
      <x:c r="K3578" t="str">
        <x:v>Source min 50,38 m ; max 50,38 m ; modèle 50 × 38 m ; niveaux 0, 1. Détails dans catalogue-existant.json.</x:v>
      </x:c>
    </x:row>
    <x:row r="3579">
      <x:c r="A3579" t="str">
        <x:v>DW-3574</x:v>
      </x:c>
      <x:c r="B3579" t="str">
        <x:v>DW-3574</x:v>
      </x:c>
      <x:c r="C3579" t="str">
        <x:v>Parent indépendant 1.58</x:v>
      </x:c>
      <x:c r="D3579" t="str">
        <x:v>Industrie et production</x:v>
      </x:c>
      <x:c r="E3579" t="str">
        <x:v>Atelier de doubles vitrages démontables</x:v>
      </x:c>
      <x:c r="F3579" t="n">
        <x:v>9</x:v>
      </x:c>
      <x:c r="G3579" t="n">
        <x:v>8</x:v>
      </x:c>
      <x:c r="H3579" t="n">
        <x:v>8</x:v>
      </x:c>
      <x:c r="I3579" t="str">
        <x:v>À qualifier par lieu</x:v>
      </x:c>
      <x:c r="J3579" t="str">
        <x:v>https://github.com/darknigthmare/deadwall-last-enclosure/blob/e28f46223e73105ab2c5d83f3d50b99b58ef53e6/codex-3000/addendum-1.58/PROGRAMMES_C.json</x:v>
      </x:c>
      <x:c r="K3579" t="str">
        <x:v>Source min 55,44 m ; max 55,44 m ; modèle 55 × 44 m ; niveaux 0. Détails dans catalogue-existant.json.</x:v>
      </x:c>
    </x:row>
    <x:row r="3580">
      <x:c r="A3580" t="str">
        <x:v>DW-3575</x:v>
      </x:c>
      <x:c r="B3580" t="str">
        <x:v>DW-3575</x:v>
      </x:c>
      <x:c r="C3580" t="str">
        <x:v>Parent indépendant 1.58</x:v>
      </x:c>
      <x:c r="D3580" t="str">
        <x:v>Industrie et production</x:v>
      </x:c>
      <x:c r="E3580" t="str">
        <x:v>Atelier de tubes de verre gradués</x:v>
      </x:c>
      <x:c r="F3580" t="n">
        <x:v>9</x:v>
      </x:c>
      <x:c r="G3580" t="n">
        <x:v>8</x:v>
      </x:c>
      <x:c r="H3580" t="n">
        <x:v>8</x:v>
      </x:c>
      <x:c r="I3580" t="str">
        <x:v>À qualifier par lieu</x:v>
      </x:c>
      <x:c r="J3580" t="str">
        <x:v>https://github.com/darknigthmare/deadwall-last-enclosure/blob/e28f46223e73105ab2c5d83f3d50b99b58ef53e6/codex-3000/addendum-1.58/PROGRAMMES_C.json</x:v>
      </x:c>
      <x:c r="K3580" t="str">
        <x:v>Source min 60,44 m ; max 60,44 m ; modèle 60 × 44 m ; niveaux 0. Détails dans catalogue-existant.json.</x:v>
      </x:c>
    </x:row>
    <x:row r="3581">
      <x:c r="A3581" t="str">
        <x:v>DW-3576</x:v>
      </x:c>
      <x:c r="B3581" t="str">
        <x:v>DW-3576</x:v>
      </x:c>
      <x:c r="C3581" t="str">
        <x:v>Parent indépendant 1.58</x:v>
      </x:c>
      <x:c r="D3581" t="str">
        <x:v>Industrie et production</x:v>
      </x:c>
      <x:c r="E3581" t="str">
        <x:v>Manufacture de pièces isolantes en céramique</x:v>
      </x:c>
      <x:c r="F3581" t="n">
        <x:v>9</x:v>
      </x:c>
      <x:c r="G3581" t="n">
        <x:v>8</x:v>
      </x:c>
      <x:c r="H3581" t="n">
        <x:v>8</x:v>
      </x:c>
      <x:c r="I3581" t="str">
        <x:v>À qualifier par lieu</x:v>
      </x:c>
      <x:c r="J3581" t="str">
        <x:v>https://github.com/darknigthmare/deadwall-last-enclosure/blob/e28f46223e73105ab2c5d83f3d50b99b58ef53e6/codex-3000/addendum-1.58/PROGRAMMES_C.json</x:v>
      </x:c>
      <x:c r="K3581" t="str">
        <x:v>Source min 40,48 m ; max 40,48 m ; modèle 40 × 48 m ; niveaux 0. Détails dans catalogue-existant.json.</x:v>
      </x:c>
    </x:row>
    <x:row r="3582">
      <x:c r="A3582" t="str">
        <x:v>DW-3577</x:v>
      </x:c>
      <x:c r="B3582" t="str">
        <x:v>DW-3577</x:v>
      </x:c>
      <x:c r="C3582" t="str">
        <x:v>Parent indépendant 1.58</x:v>
      </x:c>
      <x:c r="D3582" t="str">
        <x:v>Industrie et production</x:v>
      </x:c>
      <x:c r="E3582" t="str">
        <x:v>Atelier de mortiers de réparation</x:v>
      </x:c>
      <x:c r="F3582" t="n">
        <x:v>9</x:v>
      </x:c>
      <x:c r="G3582" t="n">
        <x:v>8</x:v>
      </x:c>
      <x:c r="H3582" t="n">
        <x:v>8</x:v>
      </x:c>
      <x:c r="I3582" t="str">
        <x:v>À qualifier par lieu</x:v>
      </x:c>
      <x:c r="J3582" t="str">
        <x:v>https://github.com/darknigthmare/deadwall-last-enclosure/blob/e28f46223e73105ab2c5d83f3d50b99b58ef53e6/codex-3000/addendum-1.58/PROGRAMMES_C.json</x:v>
      </x:c>
      <x:c r="K3582" t="str">
        <x:v>Source min 45,48 m ; max 45,48 m ; modèle 45 × 48 m ; niveaux 0. Détails dans catalogue-existant.json.</x:v>
      </x:c>
    </x:row>
    <x:row r="3583">
      <x:c r="A3583" t="str">
        <x:v>DW-3578</x:v>
      </x:c>
      <x:c r="B3583" t="str">
        <x:v>DW-3578</x:v>
      </x:c>
      <x:c r="C3583" t="str">
        <x:v>Parent indépendant 1.58</x:v>
      </x:c>
      <x:c r="D3583" t="str">
        <x:v>Industrie et production</x:v>
      </x:c>
      <x:c r="E3583" t="str">
        <x:v>Atelier de dalles de terrasse moulées</x:v>
      </x:c>
      <x:c r="F3583" t="n">
        <x:v>9</x:v>
      </x:c>
      <x:c r="G3583" t="n">
        <x:v>8</x:v>
      </x:c>
      <x:c r="H3583" t="n">
        <x:v>8</x:v>
      </x:c>
      <x:c r="I3583" t="str">
        <x:v>À qualifier par lieu</x:v>
      </x:c>
      <x:c r="J3583" t="str">
        <x:v>https://github.com/darknigthmare/deadwall-last-enclosure/blob/e28f46223e73105ab2c5d83f3d50b99b58ef53e6/codex-3000/addendum-1.58/PROGRAMMES_C.json</x:v>
      </x:c>
      <x:c r="K3583" t="str">
        <x:v>Source min 50,42 m ; max 50,42 m ; modèle 50 × 42 m ; niveaux 0, 1. Détails dans catalogue-existant.json.</x:v>
      </x:c>
    </x:row>
    <x:row r="3584">
      <x:c r="A3584" t="str">
        <x:v>DW-3579</x:v>
      </x:c>
      <x:c r="B3584" t="str">
        <x:v>DW-3579</x:v>
      </x:c>
      <x:c r="C3584" t="str">
        <x:v>Parent indépendant 1.58</x:v>
      </x:c>
      <x:c r="D3584" t="str">
        <x:v>Industrie et production</x:v>
      </x:c>
      <x:c r="E3584" t="str">
        <x:v>Atelier de mosaïques utilitaires</x:v>
      </x:c>
      <x:c r="F3584" t="n">
        <x:v>9</x:v>
      </x:c>
      <x:c r="G3584" t="n">
        <x:v>8</x:v>
      </x:c>
      <x:c r="H3584" t="n">
        <x:v>8</x:v>
      </x:c>
      <x:c r="I3584" t="str">
        <x:v>À qualifier par lieu</x:v>
      </x:c>
      <x:c r="J3584" t="str">
        <x:v>https://github.com/darknigthmare/deadwall-last-enclosure/blob/e28f46223e73105ab2c5d83f3d50b99b58ef53e6/codex-3000/addendum-1.58/PROGRAMMES_C.json</x:v>
      </x:c>
      <x:c r="K3584" t="str">
        <x:v>Source min 55,48 m ; max 55,48 m ; modèle 55 × 48 m ; niveaux 0. Détails dans catalogue-existant.json.</x:v>
      </x:c>
    </x:row>
    <x:row r="3585">
      <x:c r="A3585" t="str">
        <x:v>DW-3580</x:v>
      </x:c>
      <x:c r="B3585" t="str">
        <x:v>DW-3580</x:v>
      </x:c>
      <x:c r="C3585" t="str">
        <x:v>Parent indépendant 1.58</x:v>
      </x:c>
      <x:c r="D3585" t="str">
        <x:v>Industrie et production</x:v>
      </x:c>
      <x:c r="E3585" t="str">
        <x:v>Atelier de conduits de cheminée en terre</x:v>
      </x:c>
      <x:c r="F3585" t="n">
        <x:v>9</x:v>
      </x:c>
      <x:c r="G3585" t="n">
        <x:v>8</x:v>
      </x:c>
      <x:c r="H3585" t="n">
        <x:v>8</x:v>
      </x:c>
      <x:c r="I3585" t="str">
        <x:v>À qualifier par lieu</x:v>
      </x:c>
      <x:c r="J3585" t="str">
        <x:v>https://github.com/darknigthmare/deadwall-last-enclosure/blob/e28f46223e73105ab2c5d83f3d50b99b58ef53e6/codex-3000/addendum-1.58/PROGRAMMES_C.json</x:v>
      </x:c>
      <x:c r="K3585" t="str">
        <x:v>Source min 60,48 m ; max 60,48 m ; modèle 60 × 48 m ; niveaux 0. Détails dans catalogue-existant.json.</x:v>
      </x:c>
    </x:row>
    <x:row r="3586">
      <x:c r="A3586" t="str">
        <x:v>DW-3581</x:v>
      </x:c>
      <x:c r="B3586" t="str">
        <x:v>DW-3581</x:v>
      </x:c>
      <x:c r="C3586" t="str">
        <x:v>Parent indépendant 1.58</x:v>
      </x:c>
      <x:c r="D3586" t="str">
        <x:v>Industrie et production</x:v>
      </x:c>
      <x:c r="E3586" t="str">
        <x:v>Atelier de coffres à outils roulants</x:v>
      </x:c>
      <x:c r="F3586" t="n">
        <x:v>9</x:v>
      </x:c>
      <x:c r="G3586" t="n">
        <x:v>8</x:v>
      </x:c>
      <x:c r="H3586" t="n">
        <x:v>8</x:v>
      </x:c>
      <x:c r="I3586" t="str">
        <x:v>À qualifier par lieu</x:v>
      </x:c>
      <x:c r="J3586" t="str">
        <x:v>https://github.com/darknigthmare/deadwall-last-enclosure/blob/e28f46223e73105ab2c5d83f3d50b99b58ef53e6/codex-3000/addendum-1.58/PROGRAMMES_C.json</x:v>
      </x:c>
      <x:c r="K3586" t="str">
        <x:v>Source min 40,36 m ; max 40,36 m ; modèle 40 × 36 m ; niveaux 0. Détails dans catalogue-existant.json.</x:v>
      </x:c>
    </x:row>
    <x:row r="3587">
      <x:c r="A3587" t="str">
        <x:v>DW-3582</x:v>
      </x:c>
      <x:c r="B3587" t="str">
        <x:v>DW-3582</x:v>
      </x:c>
      <x:c r="C3587" t="str">
        <x:v>Parent indépendant 1.58</x:v>
      </x:c>
      <x:c r="D3587" t="str">
        <x:v>Industrie et production</x:v>
      </x:c>
      <x:c r="E3587" t="str">
        <x:v>Atelier de transpalettes manuels</x:v>
      </x:c>
      <x:c r="F3587" t="n">
        <x:v>9</x:v>
      </x:c>
      <x:c r="G3587" t="n">
        <x:v>8</x:v>
      </x:c>
      <x:c r="H3587" t="n">
        <x:v>8</x:v>
      </x:c>
      <x:c r="I3587" t="str">
        <x:v>À qualifier par lieu</x:v>
      </x:c>
      <x:c r="J3587" t="str">
        <x:v>https://github.com/darknigthmare/deadwall-last-enclosure/blob/e28f46223e73105ab2c5d83f3d50b99b58ef53e6/codex-3000/addendum-1.58/PROGRAMMES_C.json</x:v>
      </x:c>
      <x:c r="K3587" t="str">
        <x:v>Source min 45,36 m ; max 45,36 m ; modèle 45 × 36 m ; niveaux 0. Détails dans catalogue-existant.json.</x:v>
      </x:c>
    </x:row>
    <x:row r="3588">
      <x:c r="A3588" t="str">
        <x:v>DW-3583</x:v>
      </x:c>
      <x:c r="B3588" t="str">
        <x:v>DW-3583</x:v>
      </x:c>
      <x:c r="C3588" t="str">
        <x:v>Parent indépendant 1.58</x:v>
      </x:c>
      <x:c r="D3588" t="str">
        <x:v>Industrie et production</x:v>
      </x:c>
      <x:c r="E3588" t="str">
        <x:v>Atelier de charnières de porte blindée</x:v>
      </x:c>
      <x:c r="F3588" t="n">
        <x:v>9</x:v>
      </x:c>
      <x:c r="G3588" t="n">
        <x:v>8</x:v>
      </x:c>
      <x:c r="H3588" t="n">
        <x:v>8</x:v>
      </x:c>
      <x:c r="I3588" t="str">
        <x:v>À qualifier par lieu</x:v>
      </x:c>
      <x:c r="J3588" t="str">
        <x:v>https://github.com/darknigthmare/deadwall-last-enclosure/blob/e28f46223e73105ab2c5d83f3d50b99b58ef53e6/codex-3000/addendum-1.58/PROGRAMMES_C.json</x:v>
      </x:c>
      <x:c r="K3588" t="str">
        <x:v>Source min 50,30 m ; max 50,30 m ; modèle 50 × 30 m ; niveaux 0, 1. Détails dans catalogue-existant.json.</x:v>
      </x:c>
    </x:row>
    <x:row r="3589">
      <x:c r="A3589" t="str">
        <x:v>DW-3584</x:v>
      </x:c>
      <x:c r="B3589" t="str">
        <x:v>DW-3584</x:v>
      </x:c>
      <x:c r="C3589" t="str">
        <x:v>Parent indépendant 1.58</x:v>
      </x:c>
      <x:c r="D3589" t="str">
        <x:v>Industrie et production</x:v>
      </x:c>
      <x:c r="E3589" t="str">
        <x:v>Atelier de poêles à combustion lente</x:v>
      </x:c>
      <x:c r="F3589" t="n">
        <x:v>9</x:v>
      </x:c>
      <x:c r="G3589" t="n">
        <x:v>8</x:v>
      </x:c>
      <x:c r="H3589" t="n">
        <x:v>8</x:v>
      </x:c>
      <x:c r="I3589" t="str">
        <x:v>À qualifier par lieu</x:v>
      </x:c>
      <x:c r="J3589" t="str">
        <x:v>https://github.com/darknigthmare/deadwall-last-enclosure/blob/e28f46223e73105ab2c5d83f3d50b99b58ef53e6/codex-3000/addendum-1.58/PROGRAMMES_C.json</x:v>
      </x:c>
      <x:c r="K3589" t="str">
        <x:v>Source min 55,36 m ; max 55,36 m ; modèle 55 × 36 m ; niveaux 0. Détails dans catalogue-existant.json.</x:v>
      </x:c>
    </x:row>
    <x:row r="3590">
      <x:c r="A3590" t="str">
        <x:v>DW-3585</x:v>
      </x:c>
      <x:c r="B3590" t="str">
        <x:v>DW-3585</x:v>
      </x:c>
      <x:c r="C3590" t="str">
        <x:v>Parent indépendant 1.58</x:v>
      </x:c>
      <x:c r="D3590" t="str">
        <x:v>Industrie et production</x:v>
      </x:c>
      <x:c r="E3590" t="str">
        <x:v>Atelier de coffrets de secours portatifs</x:v>
      </x:c>
      <x:c r="F3590" t="n">
        <x:v>9</x:v>
      </x:c>
      <x:c r="G3590" t="n">
        <x:v>8</x:v>
      </x:c>
      <x:c r="H3590" t="n">
        <x:v>8</x:v>
      </x:c>
      <x:c r="I3590" t="str">
        <x:v>À qualifier par lieu</x:v>
      </x:c>
      <x:c r="J3590" t="str">
        <x:v>https://github.com/darknigthmare/deadwall-last-enclosure/blob/e28f46223e73105ab2c5d83f3d50b99b58ef53e6/codex-3000/addendum-1.58/PROGRAMMES_C.json</x:v>
      </x:c>
      <x:c r="K3590" t="str">
        <x:v>Source min 60,36 m ; max 60,36 m ; modèle 60 × 36 m ; niveaux 0. Détails dans catalogue-existant.json.</x:v>
      </x:c>
    </x:row>
    <x:row r="3591">
      <x:c r="A3591" t="str">
        <x:v>DW-3586</x:v>
      </x:c>
      <x:c r="B3591" t="str">
        <x:v>DW-3586</x:v>
      </x:c>
      <x:c r="C3591" t="str">
        <x:v>Parent indépendant 1.58</x:v>
      </x:c>
      <x:c r="D3591" t="str">
        <x:v>Agriculture</x:v>
      </x:c>
      <x:c r="E3591" t="str">
        <x:v>Station de nettoyage des semences</x:v>
      </x:c>
      <x:c r="F3591" t="n">
        <x:v>9</x:v>
      </x:c>
      <x:c r="G3591" t="n">
        <x:v>8</x:v>
      </x:c>
      <x:c r="H3591" t="n">
        <x:v>8</x:v>
      </x:c>
      <x:c r="I3591" t="str">
        <x:v>À qualifier par lieu</x:v>
      </x:c>
      <x:c r="J3591" t="str">
        <x:v>https://github.com/darknigthmare/deadwall-last-enclosure/blob/e28f46223e73105ab2c5d83f3d50b99b58ef53e6/codex-3000/addendum-1.58/PROGRAMMES_C.json</x:v>
      </x:c>
      <x:c r="K3591" t="str">
        <x:v>Source min 34,40 m ; max 34,40 m ; modèle 34 × 40 m ; niveaux 0. Détails dans catalogue-existant.json.</x:v>
      </x:c>
    </x:row>
    <x:row r="3592">
      <x:c r="A3592" t="str">
        <x:v>DW-3587</x:v>
      </x:c>
      <x:c r="B3592" t="str">
        <x:v>DW-3587</x:v>
      </x:c>
      <x:c r="C3592" t="str">
        <x:v>Parent indépendant 1.58</x:v>
      </x:c>
      <x:c r="D3592" t="str">
        <x:v>Agriculture</x:v>
      </x:c>
      <x:c r="E3592" t="str">
        <x:v>Maison de conservation des graines paysannes</x:v>
      </x:c>
      <x:c r="F3592" t="n">
        <x:v>9</x:v>
      </x:c>
      <x:c r="G3592" t="n">
        <x:v>8</x:v>
      </x:c>
      <x:c r="H3592" t="n">
        <x:v>8</x:v>
      </x:c>
      <x:c r="I3592" t="str">
        <x:v>À qualifier par lieu</x:v>
      </x:c>
      <x:c r="J3592" t="str">
        <x:v>https://github.com/darknigthmare/deadwall-last-enclosure/blob/e28f46223e73105ab2c5d83f3d50b99b58ef53e6/codex-3000/addendum-1.58/PROGRAMMES_C.json</x:v>
      </x:c>
      <x:c r="K3592" t="str">
        <x:v>Source min 39,40 m ; max 39,40 m ; modèle 39 × 40 m ; niveaux 0. Détails dans catalogue-existant.json.</x:v>
      </x:c>
    </x:row>
    <x:row r="3593">
      <x:c r="A3593" t="str">
        <x:v>DW-3588</x:v>
      </x:c>
      <x:c r="B3593" t="str">
        <x:v>DW-3588</x:v>
      </x:c>
      <x:c r="C3593" t="str">
        <x:v>Parent indépendant 1.58</x:v>
      </x:c>
      <x:c r="D3593" t="str">
        <x:v>Agriculture</x:v>
      </x:c>
      <x:c r="E3593" t="str">
        <x:v>Laboratoire de germination rurale</x:v>
      </x:c>
      <x:c r="F3593" t="n">
        <x:v>9</x:v>
      </x:c>
      <x:c r="G3593" t="n">
        <x:v>8</x:v>
      </x:c>
      <x:c r="H3593" t="n">
        <x:v>8</x:v>
      </x:c>
      <x:c r="I3593" t="str">
        <x:v>À qualifier par lieu</x:v>
      </x:c>
      <x:c r="J3593" t="str">
        <x:v>https://github.com/darknigthmare/deadwall-last-enclosure/blob/e28f46223e73105ab2c5d83f3d50b99b58ef53e6/codex-3000/addendum-1.58/PROGRAMMES_C.json</x:v>
      </x:c>
      <x:c r="K3593" t="str">
        <x:v>Source min 44,34 m ; max 44,34 m ; modèle 44 × 34 m ; niveaux 0, 1. Détails dans catalogue-existant.json.</x:v>
      </x:c>
    </x:row>
    <x:row r="3594">
      <x:c r="A3594" t="str">
        <x:v>DW-3589</x:v>
      </x:c>
      <x:c r="B3594" t="str">
        <x:v>DW-3589</x:v>
      </x:c>
      <x:c r="C3594" t="str">
        <x:v>Parent indépendant 1.58</x:v>
      </x:c>
      <x:c r="D3594" t="str">
        <x:v>Agriculture</x:v>
      </x:c>
      <x:c r="E3594" t="str">
        <x:v>Halle de greffage arboricole</x:v>
      </x:c>
      <x:c r="F3594" t="n">
        <x:v>9</x:v>
      </x:c>
      <x:c r="G3594" t="n">
        <x:v>8</x:v>
      </x:c>
      <x:c r="H3594" t="n">
        <x:v>8</x:v>
      </x:c>
      <x:c r="I3594" t="str">
        <x:v>À qualifier par lieu</x:v>
      </x:c>
      <x:c r="J3594" t="str">
        <x:v>https://github.com/darknigthmare/deadwall-last-enclosure/blob/e28f46223e73105ab2c5d83f3d50b99b58ef53e6/codex-3000/addendum-1.58/PROGRAMMES_C.json</x:v>
      </x:c>
      <x:c r="K3594" t="str">
        <x:v>Source min 49,40 m ; max 49,40 m ; modèle 49 × 40 m ; niveaux 0. Détails dans catalogue-existant.json.</x:v>
      </x:c>
    </x:row>
    <x:row r="3595">
      <x:c r="A3595" t="str">
        <x:v>DW-3590</x:v>
      </x:c>
      <x:c r="B3595" t="str">
        <x:v>DW-3590</x:v>
      </x:c>
      <x:c r="C3595" t="str">
        <x:v>Parent indépendant 1.58</x:v>
      </x:c>
      <x:c r="D3595" t="str">
        <x:v>Agriculture</x:v>
      </x:c>
      <x:c r="E3595" t="str">
        <x:v>Atelier de bouturage de haies</x:v>
      </x:c>
      <x:c r="F3595" t="n">
        <x:v>9</x:v>
      </x:c>
      <x:c r="G3595" t="n">
        <x:v>8</x:v>
      </x:c>
      <x:c r="H3595" t="n">
        <x:v>8</x:v>
      </x:c>
      <x:c r="I3595" t="str">
        <x:v>À qualifier par lieu</x:v>
      </x:c>
      <x:c r="J3595" t="str">
        <x:v>https://github.com/darknigthmare/deadwall-last-enclosure/blob/e28f46223e73105ab2c5d83f3d50b99b58ef53e6/codex-3000/addendum-1.58/PROGRAMMES_C.json</x:v>
      </x:c>
      <x:c r="K3595" t="str">
        <x:v>Source min 54,40 m ; max 54,40 m ; modèle 54 × 40 m ; niveaux 0. Détails dans catalogue-existant.json.</x:v>
      </x:c>
    </x:row>
    <x:row r="3596">
      <x:c r="A3596" t="str">
        <x:v>DW-3591</x:v>
      </x:c>
      <x:c r="B3596" t="str">
        <x:v>DW-3591</x:v>
      </x:c>
      <x:c r="C3596" t="str">
        <x:v>Parent indépendant 1.58</x:v>
      </x:c>
      <x:c r="D3596" t="str">
        <x:v>Agriculture</x:v>
      </x:c>
      <x:c r="E3596" t="str">
        <x:v>Pépinière de restauration bocagère</x:v>
      </x:c>
      <x:c r="F3596" t="n">
        <x:v>9</x:v>
      </x:c>
      <x:c r="G3596" t="n">
        <x:v>8</x:v>
      </x:c>
      <x:c r="H3596" t="n">
        <x:v>8</x:v>
      </x:c>
      <x:c r="I3596" t="str">
        <x:v>À qualifier par lieu</x:v>
      </x:c>
      <x:c r="J3596" t="str">
        <x:v>https://github.com/darknigthmare/deadwall-last-enclosure/blob/e28f46223e73105ab2c5d83f3d50b99b58ef53e6/codex-3000/addendum-1.58/PROGRAMMES_C.json</x:v>
      </x:c>
      <x:c r="K3596" t="str">
        <x:v>Source min 34,44 m ; max 34,44 m ; modèle 34 × 44 m ; niveaux 0. Détails dans catalogue-existant.json.</x:v>
      </x:c>
    </x:row>
    <x:row r="3597">
      <x:c r="A3597" t="str">
        <x:v>DW-3592</x:v>
      </x:c>
      <x:c r="B3597" t="str">
        <x:v>DW-3592</x:v>
      </x:c>
      <x:c r="C3597" t="str">
        <x:v>Parent indépendant 1.58</x:v>
      </x:c>
      <x:c r="D3597" t="str">
        <x:v>Agriculture</x:v>
      </x:c>
      <x:c r="E3597" t="str">
        <x:v>Serre de multiplication des porte-greffes</x:v>
      </x:c>
      <x:c r="F3597" t="n">
        <x:v>9</x:v>
      </x:c>
      <x:c r="G3597" t="n">
        <x:v>8</x:v>
      </x:c>
      <x:c r="H3597" t="n">
        <x:v>8</x:v>
      </x:c>
      <x:c r="I3597" t="str">
        <x:v>À qualifier par lieu</x:v>
      </x:c>
      <x:c r="J3597" t="str">
        <x:v>https://github.com/darknigthmare/deadwall-last-enclosure/blob/e28f46223e73105ab2c5d83f3d50b99b58ef53e6/codex-3000/addendum-1.58/PROGRAMMES_C.json</x:v>
      </x:c>
      <x:c r="K3597" t="str">
        <x:v>Source min 39,44 m ; max 39,44 m ; modèle 39 × 44 m ; niveaux 0. Détails dans catalogue-existant.json.</x:v>
      </x:c>
    </x:row>
    <x:row r="3598">
      <x:c r="A3598" t="str">
        <x:v>DW-3593</x:v>
      </x:c>
      <x:c r="B3598" t="str">
        <x:v>DW-3593</x:v>
      </x:c>
      <x:c r="C3598" t="str">
        <x:v>Parent indépendant 1.58</x:v>
      </x:c>
      <x:c r="D3598" t="str">
        <x:v>Agriculture</x:v>
      </x:c>
      <x:c r="E3598" t="str">
        <x:v>Maison des stolons de fraisiers</x:v>
      </x:c>
      <x:c r="F3598" t="n">
        <x:v>9</x:v>
      </x:c>
      <x:c r="G3598" t="n">
        <x:v>8</x:v>
      </x:c>
      <x:c r="H3598" t="n">
        <x:v>8</x:v>
      </x:c>
      <x:c r="I3598" t="str">
        <x:v>À qualifier par lieu</x:v>
      </x:c>
      <x:c r="J3598" t="str">
        <x:v>https://github.com/darknigthmare/deadwall-last-enclosure/blob/e28f46223e73105ab2c5d83f3d50b99b58ef53e6/codex-3000/addendum-1.58/PROGRAMMES_C.json</x:v>
      </x:c>
      <x:c r="K3598" t="str">
        <x:v>Source min 44,38 m ; max 44,38 m ; modèle 44 × 38 m ; niveaux 0, 1. Détails dans catalogue-existant.json.</x:v>
      </x:c>
    </x:row>
    <x:row r="3599">
      <x:c r="A3599" t="str">
        <x:v>DW-3594</x:v>
      </x:c>
      <x:c r="B3599" t="str">
        <x:v>DW-3594</x:v>
      </x:c>
      <x:c r="C3599" t="str">
        <x:v>Parent indépendant 1.58</x:v>
      </x:c>
      <x:c r="D3599" t="str">
        <x:v>Agriculture</x:v>
      </x:c>
      <x:c r="E3599" t="str">
        <x:v>Serre d'hivernage des plants sensibles</x:v>
      </x:c>
      <x:c r="F3599" t="n">
        <x:v>9</x:v>
      </x:c>
      <x:c r="G3599" t="n">
        <x:v>8</x:v>
      </x:c>
      <x:c r="H3599" t="n">
        <x:v>8</x:v>
      </x:c>
      <x:c r="I3599" t="str">
        <x:v>À qualifier par lieu</x:v>
      </x:c>
      <x:c r="J3599" t="str">
        <x:v>https://github.com/darknigthmare/deadwall-last-enclosure/blob/e28f46223e73105ab2c5d83f3d50b99b58ef53e6/codex-3000/addendum-1.58/PROGRAMMES_C.json</x:v>
      </x:c>
      <x:c r="K3599" t="str">
        <x:v>Source min 49,44 m ; max 49,44 m ; modèle 49 × 44 m ; niveaux 0. Détails dans catalogue-existant.json.</x:v>
      </x:c>
    </x:row>
    <x:row r="3600">
      <x:c r="A3600" t="str">
        <x:v>DW-3595</x:v>
      </x:c>
      <x:c r="B3600" t="str">
        <x:v>DW-3595</x:v>
      </x:c>
      <x:c r="C3600" t="str">
        <x:v>Parent indépendant 1.58</x:v>
      </x:c>
      <x:c r="D3600" t="str">
        <x:v>Agriculture</x:v>
      </x:c>
      <x:c r="E3600" t="str">
        <x:v>Serre de reprise des plants repiqués</x:v>
      </x:c>
      <x:c r="F3600" t="n">
        <x:v>9</x:v>
      </x:c>
      <x:c r="G3600" t="n">
        <x:v>8</x:v>
      </x:c>
      <x:c r="H3600" t="n">
        <x:v>8</x:v>
      </x:c>
      <x:c r="I3600" t="str">
        <x:v>À qualifier par lieu</x:v>
      </x:c>
      <x:c r="J3600" t="str">
        <x:v>https://github.com/darknigthmare/deadwall-last-enclosure/blob/e28f46223e73105ab2c5d83f3d50b99b58ef53e6/codex-3000/addendum-1.58/PROGRAMMES_C.json</x:v>
      </x:c>
      <x:c r="K3600" t="str">
        <x:v>Source min 54,44 m ; max 54,44 m ; modèle 54 × 44 m ; niveaux 0. Détails dans catalogue-existant.json.</x:v>
      </x:c>
    </x:row>
    <x:row r="3601">
      <x:c r="A3601" t="str">
        <x:v>DW-3596</x:v>
      </x:c>
      <x:c r="B3601" t="str">
        <x:v>DW-3596</x:v>
      </x:c>
      <x:c r="C3601" t="str">
        <x:v>Parent indépendant 1.58</x:v>
      </x:c>
      <x:c r="D3601" t="str">
        <x:v>Agriculture</x:v>
      </x:c>
      <x:c r="E3601" t="str">
        <x:v>Atelier de composts horticoles tamisés</x:v>
      </x:c>
      <x:c r="F3601" t="n">
        <x:v>9</x:v>
      </x:c>
      <x:c r="G3601" t="n">
        <x:v>8</x:v>
      </x:c>
      <x:c r="H3601" t="n">
        <x:v>8</x:v>
      </x:c>
      <x:c r="I3601" t="str">
        <x:v>À qualifier par lieu</x:v>
      </x:c>
      <x:c r="J3601" t="str">
        <x:v>https://github.com/darknigthmare/deadwall-last-enclosure/blob/e28f46223e73105ab2c5d83f3d50b99b58ef53e6/codex-3000/addendum-1.58/PROGRAMMES_C.json</x:v>
      </x:c>
      <x:c r="K3601" t="str">
        <x:v>Source min 34,48 m ; max 34,48 m ; modèle 34 × 48 m ; niveaux 0. Détails dans catalogue-existant.json.</x:v>
      </x:c>
    </x:row>
    <x:row r="3602">
      <x:c r="A3602" t="str">
        <x:v>DW-3597</x:v>
      </x:c>
      <x:c r="B3602" t="str">
        <x:v>DW-3597</x:v>
      </x:c>
      <x:c r="C3602" t="str">
        <x:v>Parent indépendant 1.58</x:v>
      </x:c>
      <x:c r="D3602" t="str">
        <x:v>Agriculture</x:v>
      </x:c>
      <x:c r="E3602" t="str">
        <x:v>Station de dosage des substrats</x:v>
      </x:c>
      <x:c r="F3602" t="n">
        <x:v>9</x:v>
      </x:c>
      <x:c r="G3602" t="n">
        <x:v>8</x:v>
      </x:c>
      <x:c r="H3602" t="n">
        <x:v>8</x:v>
      </x:c>
      <x:c r="I3602" t="str">
        <x:v>À qualifier par lieu</x:v>
      </x:c>
      <x:c r="J3602" t="str">
        <x:v>https://github.com/darknigthmare/deadwall-last-enclosure/blob/e28f46223e73105ab2c5d83f3d50b99b58ef53e6/codex-3000/addendum-1.58/PROGRAMMES_C.json</x:v>
      </x:c>
      <x:c r="K3602" t="str">
        <x:v>Source min 39,48 m ; max 39,48 m ; modèle 39 × 48 m ; niveaux 0. Détails dans catalogue-existant.json.</x:v>
      </x:c>
    </x:row>
    <x:row r="3603">
      <x:c r="A3603" t="str">
        <x:v>DW-3598</x:v>
      </x:c>
      <x:c r="B3603" t="str">
        <x:v>DW-3598</x:v>
      </x:c>
      <x:c r="C3603" t="str">
        <x:v>Parent indépendant 1.58</x:v>
      </x:c>
      <x:c r="D3603" t="str">
        <x:v>Agriculture</x:v>
      </x:c>
      <x:c r="E3603" t="str">
        <x:v>Atelier de motteuses maraîchères</x:v>
      </x:c>
      <x:c r="F3603" t="n">
        <x:v>9</x:v>
      </x:c>
      <x:c r="G3603" t="n">
        <x:v>8</x:v>
      </x:c>
      <x:c r="H3603" t="n">
        <x:v>8</x:v>
      </x:c>
      <x:c r="I3603" t="str">
        <x:v>À qualifier par lieu</x:v>
      </x:c>
      <x:c r="J3603" t="str">
        <x:v>https://github.com/darknigthmare/deadwall-last-enclosure/blob/e28f46223e73105ab2c5d83f3d50b99b58ef53e6/codex-3000/addendum-1.58/PROGRAMMES_C.json</x:v>
      </x:c>
      <x:c r="K3603" t="str">
        <x:v>Source min 44,42 m ; max 44,42 m ; modèle 44 × 42 m ; niveaux 0, 1. Détails dans catalogue-existant.json.</x:v>
      </x:c>
    </x:row>
    <x:row r="3604">
      <x:c r="A3604" t="str">
        <x:v>DW-3599</x:v>
      </x:c>
      <x:c r="B3604" t="str">
        <x:v>DW-3599</x:v>
      </x:c>
      <x:c r="C3604" t="str">
        <x:v>Parent indépendant 1.58</x:v>
      </x:c>
      <x:c r="D3604" t="str">
        <x:v>Agriculture</x:v>
      </x:c>
      <x:c r="E3604" t="str">
        <x:v>Station de lavage des caisses de récolte</x:v>
      </x:c>
      <x:c r="F3604" t="n">
        <x:v>9</x:v>
      </x:c>
      <x:c r="G3604" t="n">
        <x:v>8</x:v>
      </x:c>
      <x:c r="H3604" t="n">
        <x:v>8</x:v>
      </x:c>
      <x:c r="I3604" t="str">
        <x:v>À qualifier par lieu</x:v>
      </x:c>
      <x:c r="J3604" t="str">
        <x:v>https://github.com/darknigthmare/deadwall-last-enclosure/blob/e28f46223e73105ab2c5d83f3d50b99b58ef53e6/codex-3000/addendum-1.58/PROGRAMMES_C.json</x:v>
      </x:c>
      <x:c r="K3604" t="str">
        <x:v>Source min 49,48 m ; max 49,48 m ; modèle 49 × 48 m ; niveaux 0. Détails dans catalogue-existant.json.</x:v>
      </x:c>
    </x:row>
    <x:row r="3605">
      <x:c r="A3605" t="str">
        <x:v>DW-3600</x:v>
      </x:c>
      <x:c r="B3605" t="str">
        <x:v>DW-3600</x:v>
      </x:c>
      <x:c r="C3605" t="str">
        <x:v>Parent indépendant 1.58</x:v>
      </x:c>
      <x:c r="D3605" t="str">
        <x:v>Agriculture</x:v>
      </x:c>
      <x:c r="E3605" t="str">
        <x:v>Halle de pesée des récoltes partagées</x:v>
      </x:c>
      <x:c r="F3605" t="n">
        <x:v>9</x:v>
      </x:c>
      <x:c r="G3605" t="n">
        <x:v>8</x:v>
      </x:c>
      <x:c r="H3605" t="n">
        <x:v>8</x:v>
      </x:c>
      <x:c r="I3605" t="str">
        <x:v>À qualifier par lieu</x:v>
      </x:c>
      <x:c r="J3605" t="str">
        <x:v>https://github.com/darknigthmare/deadwall-last-enclosure/blob/e28f46223e73105ab2c5d83f3d50b99b58ef53e6/codex-3000/addendum-1.58/PROGRAMMES_C.json</x:v>
      </x:c>
      <x:c r="K3605" t="str">
        <x:v>Source min 54,48 m ; max 54,48 m ; modèle 54 × 48 m ; niveaux 0. Détails dans catalogue-existant.json.</x:v>
      </x:c>
    </x:row>
    <x:row r="3606">
      <x:c r="A3606" t="str">
        <x:v>DW-3601</x:v>
      </x:c>
      <x:c r="B3606" t="str">
        <x:v>DW-3601</x:v>
      </x:c>
      <x:c r="C3606" t="str">
        <x:v>Parent indépendant 1.58</x:v>
      </x:c>
      <x:c r="D3606" t="str">
        <x:v>Agriculture</x:v>
      </x:c>
      <x:c r="E3606" t="str">
        <x:v>Bureau de diagnostic des sols</x:v>
      </x:c>
      <x:c r="F3606" t="n">
        <x:v>9</x:v>
      </x:c>
      <x:c r="G3606" t="n">
        <x:v>8</x:v>
      </x:c>
      <x:c r="H3606" t="n">
        <x:v>8</x:v>
      </x:c>
      <x:c r="I3606" t="str">
        <x:v>À qualifier par lieu</x:v>
      </x:c>
      <x:c r="J3606" t="str">
        <x:v>https://github.com/darknigthmare/deadwall-last-enclosure/blob/e28f46223e73105ab2c5d83f3d50b99b58ef53e6/codex-3000/addendum-1.58/PROGRAMMES_C.json</x:v>
      </x:c>
      <x:c r="K3606" t="str">
        <x:v>Source min 34,36 m ; max 34,36 m ; modèle 34 × 36 m ; niveaux 0. Détails dans catalogue-existant.json.</x:v>
      </x:c>
    </x:row>
    <x:row r="3607">
      <x:c r="A3607" t="str">
        <x:v>DW-3602</x:v>
      </x:c>
      <x:c r="B3607" t="str">
        <x:v>DW-3602</x:v>
      </x:c>
      <x:c r="C3607" t="str">
        <x:v>Parent indépendant 1.58</x:v>
      </x:c>
      <x:c r="D3607" t="str">
        <x:v>Agriculture</x:v>
      </x:c>
      <x:c r="E3607" t="str">
        <x:v>Atelier d'entretien des outils de greffe</x:v>
      </x:c>
      <x:c r="F3607" t="n">
        <x:v>9</x:v>
      </x:c>
      <x:c r="G3607" t="n">
        <x:v>8</x:v>
      </x:c>
      <x:c r="H3607" t="n">
        <x:v>8</x:v>
      </x:c>
      <x:c r="I3607" t="str">
        <x:v>À qualifier par lieu</x:v>
      </x:c>
      <x:c r="J3607" t="str">
        <x:v>https://github.com/darknigthmare/deadwall-last-enclosure/blob/e28f46223e73105ab2c5d83f3d50b99b58ef53e6/codex-3000/addendum-1.58/PROGRAMMES_C.json</x:v>
      </x:c>
      <x:c r="K3607" t="str">
        <x:v>Source min 39,36 m ; max 39,36 m ; modèle 39 × 36 m ; niveaux 0. Détails dans catalogue-existant.json.</x:v>
      </x:c>
    </x:row>
    <x:row r="3608">
      <x:c r="A3608" t="str">
        <x:v>DW-3603</x:v>
      </x:c>
      <x:c r="B3608" t="str">
        <x:v>DW-3603</x:v>
      </x:c>
      <x:c r="C3608" t="str">
        <x:v>Parent indépendant 1.58</x:v>
      </x:c>
      <x:c r="D3608" t="str">
        <x:v>Agriculture</x:v>
      </x:c>
      <x:c r="E3608" t="str">
        <x:v>Dépôt de supports pour cultures grimpantes</x:v>
      </x:c>
      <x:c r="F3608" t="n">
        <x:v>9</x:v>
      </x:c>
      <x:c r="G3608" t="n">
        <x:v>8</x:v>
      </x:c>
      <x:c r="H3608" t="n">
        <x:v>8</x:v>
      </x:c>
      <x:c r="I3608" t="str">
        <x:v>À qualifier par lieu</x:v>
      </x:c>
      <x:c r="J3608" t="str">
        <x:v>https://github.com/darknigthmare/deadwall-last-enclosure/blob/e28f46223e73105ab2c5d83f3d50b99b58ef53e6/codex-3000/addendum-1.58/PROGRAMMES_C.json</x:v>
      </x:c>
      <x:c r="K3608" t="str">
        <x:v>Source min 44,30 m ; max 44,30 m ; modèle 44 × 30 m ; niveaux 0, 1. Détails dans catalogue-existant.json.</x:v>
      </x:c>
    </x:row>
    <x:row r="3609">
      <x:c r="A3609" t="str">
        <x:v>DW-3604</x:v>
      </x:c>
      <x:c r="B3609" t="str">
        <x:v>DW-3604</x:v>
      </x:c>
      <x:c r="C3609" t="str">
        <x:v>Parent indépendant 1.58</x:v>
      </x:c>
      <x:c r="D3609" t="str">
        <x:v>Agriculture</x:v>
      </x:c>
      <x:c r="E3609" t="str">
        <x:v>Halle de séchage des gerbes</x:v>
      </x:c>
      <x:c r="F3609" t="n">
        <x:v>9</x:v>
      </x:c>
      <x:c r="G3609" t="n">
        <x:v>8</x:v>
      </x:c>
      <x:c r="H3609" t="n">
        <x:v>8</x:v>
      </x:c>
      <x:c r="I3609" t="str">
        <x:v>À qualifier par lieu</x:v>
      </x:c>
      <x:c r="J3609" t="str">
        <x:v>https://github.com/darknigthmare/deadwall-last-enclosure/blob/e28f46223e73105ab2c5d83f3d50b99b58ef53e6/codex-3000/addendum-1.58/PROGRAMMES_C.json</x:v>
      </x:c>
      <x:c r="K3609" t="str">
        <x:v>Source min 49,36 m ; max 49,36 m ; modèle 49 × 36 m ; niveaux 0. Détails dans catalogue-existant.json.</x:v>
      </x:c>
    </x:row>
    <x:row r="3610">
      <x:c r="A3610" t="str">
        <x:v>DW-3605</x:v>
      </x:c>
      <x:c r="B3610" t="str">
        <x:v>DW-3605</x:v>
      </x:c>
      <x:c r="C3610" t="str">
        <x:v>Parent indépendant 1.58</x:v>
      </x:c>
      <x:c r="D3610" t="str">
        <x:v>Agriculture</x:v>
      </x:c>
      <x:c r="E3610" t="str">
        <x:v>Grange de battage des petites récoltes</x:v>
      </x:c>
      <x:c r="F3610" t="n">
        <x:v>9</x:v>
      </x:c>
      <x:c r="G3610" t="n">
        <x:v>8</x:v>
      </x:c>
      <x:c r="H3610" t="n">
        <x:v>8</x:v>
      </x:c>
      <x:c r="I3610" t="str">
        <x:v>À qualifier par lieu</x:v>
      </x:c>
      <x:c r="J3610" t="str">
        <x:v>https://github.com/darknigthmare/deadwall-last-enclosure/blob/e28f46223e73105ab2c5d83f3d50b99b58ef53e6/codex-3000/addendum-1.58/PROGRAMMES_C.json</x:v>
      </x:c>
      <x:c r="K3610" t="str">
        <x:v>Source min 54,36 m ; max 54,36 m ; modèle 54 × 36 m ; niveaux 0. Détails dans catalogue-existant.json.</x:v>
      </x:c>
    </x:row>
    <x:row r="3611">
      <x:c r="A3611" t="str">
        <x:v>DW-3606</x:v>
      </x:c>
      <x:c r="B3611" t="str">
        <x:v>DW-3606</x:v>
      </x:c>
      <x:c r="C3611" t="str">
        <x:v>Parent indépendant 1.58</x:v>
      </x:c>
      <x:c r="D3611" t="str">
        <x:v>Agriculture</x:v>
      </x:c>
      <x:c r="E3611" t="str">
        <x:v>Station de décorticage des semences</x:v>
      </x:c>
      <x:c r="F3611" t="n">
        <x:v>9</x:v>
      </x:c>
      <x:c r="G3611" t="n">
        <x:v>8</x:v>
      </x:c>
      <x:c r="H3611" t="n">
        <x:v>8</x:v>
      </x:c>
      <x:c r="I3611" t="str">
        <x:v>À qualifier par lieu</x:v>
      </x:c>
      <x:c r="J3611" t="str">
        <x:v>https://github.com/darknigthmare/deadwall-last-enclosure/blob/e28f46223e73105ab2c5d83f3d50b99b58ef53e6/codex-3000/addendum-1.58/PROGRAMMES_C.json</x:v>
      </x:c>
      <x:c r="K3611" t="str">
        <x:v>Source min 34,40 m ; max 34,40 m ; modèle 34 × 40 m ; niveaux 0. Détails dans catalogue-existant.json.</x:v>
      </x:c>
    </x:row>
    <x:row r="3612">
      <x:c r="A3612" t="str">
        <x:v>DW-3607</x:v>
      </x:c>
      <x:c r="B3612" t="str">
        <x:v>DW-3607</x:v>
      </x:c>
      <x:c r="C3612" t="str">
        <x:v>Parent indépendant 1.58</x:v>
      </x:c>
      <x:c r="D3612" t="str">
        <x:v>Agriculture</x:v>
      </x:c>
      <x:c r="E3612" t="str">
        <x:v>Atelier de nettoyage des fibres de chanvre</x:v>
      </x:c>
      <x:c r="F3612" t="n">
        <x:v>9</x:v>
      </x:c>
      <x:c r="G3612" t="n">
        <x:v>8</x:v>
      </x:c>
      <x:c r="H3612" t="n">
        <x:v>8</x:v>
      </x:c>
      <x:c r="I3612" t="str">
        <x:v>À qualifier par lieu</x:v>
      </x:c>
      <x:c r="J3612" t="str">
        <x:v>https://github.com/darknigthmare/deadwall-last-enclosure/blob/e28f46223e73105ab2c5d83f3d50b99b58ef53e6/codex-3000/addendum-1.58/PROGRAMMES_C.json</x:v>
      </x:c>
      <x:c r="K3612" t="str">
        <x:v>Source min 39,40 m ; max 39,40 m ; modèle 39 × 40 m ; niveaux 0. Détails dans catalogue-existant.json.</x:v>
      </x:c>
    </x:row>
    <x:row r="3613">
      <x:c r="A3613" t="str">
        <x:v>DW-3608</x:v>
      </x:c>
      <x:c r="B3613" t="str">
        <x:v>DW-3608</x:v>
      </x:c>
      <x:c r="C3613" t="str">
        <x:v>Parent indépendant 1.58</x:v>
      </x:c>
      <x:c r="D3613" t="str">
        <x:v>Agriculture</x:v>
      </x:c>
      <x:c r="E3613" t="str">
        <x:v>Halle de fanage sous couverture</x:v>
      </x:c>
      <x:c r="F3613" t="n">
        <x:v>9</x:v>
      </x:c>
      <x:c r="G3613" t="n">
        <x:v>8</x:v>
      </x:c>
      <x:c r="H3613" t="n">
        <x:v>8</x:v>
      </x:c>
      <x:c r="I3613" t="str">
        <x:v>À qualifier par lieu</x:v>
      </x:c>
      <x:c r="J3613" t="str">
        <x:v>https://github.com/darknigthmare/deadwall-last-enclosure/blob/e28f46223e73105ab2c5d83f3d50b99b58ef53e6/codex-3000/addendum-1.58/PROGRAMMES_C.json</x:v>
      </x:c>
      <x:c r="K3613" t="str">
        <x:v>Source min 44,34 m ; max 44,34 m ; modèle 44 × 34 m ; niveaux 0, 1. Détails dans catalogue-existant.json.</x:v>
      </x:c>
    </x:row>
    <x:row r="3614">
      <x:c r="A3614" t="str">
        <x:v>DW-3609</x:v>
      </x:c>
      <x:c r="B3614" t="str">
        <x:v>DW-3609</x:v>
      </x:c>
      <x:c r="C3614" t="str">
        <x:v>Parent indépendant 1.58</x:v>
      </x:c>
      <x:c r="D3614" t="str">
        <x:v>Agriculture</x:v>
      </x:c>
      <x:c r="E3614" t="str">
        <x:v>Grange de stockage des pailles de litière</x:v>
      </x:c>
      <x:c r="F3614" t="n">
        <x:v>9</x:v>
      </x:c>
      <x:c r="G3614" t="n">
        <x:v>8</x:v>
      </x:c>
      <x:c r="H3614" t="n">
        <x:v>8</x:v>
      </x:c>
      <x:c r="I3614" t="str">
        <x:v>À qualifier par lieu</x:v>
      </x:c>
      <x:c r="J3614" t="str">
        <x:v>https://github.com/darknigthmare/deadwall-last-enclosure/blob/e28f46223e73105ab2c5d83f3d50b99b58ef53e6/codex-3000/addendum-1.58/PROGRAMMES_C.json</x:v>
      </x:c>
      <x:c r="K3614" t="str">
        <x:v>Source min 49,40 m ; max 49,40 m ; modèle 49 × 40 m ; niveaux 0. Détails dans catalogue-existant.json.</x:v>
      </x:c>
    </x:row>
    <x:row r="3615">
      <x:c r="A3615" t="str">
        <x:v>DW-3610</x:v>
      </x:c>
      <x:c r="B3615" t="str">
        <x:v>DW-3610</x:v>
      </x:c>
      <x:c r="C3615" t="str">
        <x:v>Parent indépendant 1.58</x:v>
      </x:c>
      <x:c r="D3615" t="str">
        <x:v>Agriculture</x:v>
      </x:c>
      <x:c r="E3615" t="str">
        <x:v>Atelier de bouchons de fourrage</x:v>
      </x:c>
      <x:c r="F3615" t="n">
        <x:v>9</x:v>
      </x:c>
      <x:c r="G3615" t="n">
        <x:v>8</x:v>
      </x:c>
      <x:c r="H3615" t="n">
        <x:v>8</x:v>
      </x:c>
      <x:c r="I3615" t="str">
        <x:v>À qualifier par lieu</x:v>
      </x:c>
      <x:c r="J3615" t="str">
        <x:v>https://github.com/darknigthmare/deadwall-last-enclosure/blob/e28f46223e73105ab2c5d83f3d50b99b58ef53e6/codex-3000/addendum-1.58/PROGRAMMES_C.json</x:v>
      </x:c>
      <x:c r="K3615" t="str">
        <x:v>Source min 54,40 m ; max 54,40 m ; modèle 54 × 40 m ; niveaux 0. Détails dans catalogue-existant.json.</x:v>
      </x:c>
    </x:row>
    <x:row r="3616">
      <x:c r="A3616" t="str">
        <x:v>DW-3611</x:v>
      </x:c>
      <x:c r="B3616" t="str">
        <x:v>DW-3611</x:v>
      </x:c>
      <x:c r="C3616" t="str">
        <x:v>Parent indépendant 1.58</x:v>
      </x:c>
      <x:c r="D3616" t="str">
        <x:v>Agriculture</x:v>
      </x:c>
      <x:c r="E3616" t="str">
        <x:v>Station de rationnement des élevages</x:v>
      </x:c>
      <x:c r="F3616" t="n">
        <x:v>9</x:v>
      </x:c>
      <x:c r="G3616" t="n">
        <x:v>8</x:v>
      </x:c>
      <x:c r="H3616" t="n">
        <x:v>8</x:v>
      </x:c>
      <x:c r="I3616" t="str">
        <x:v>À qualifier par lieu</x:v>
      </x:c>
      <x:c r="J3616" t="str">
        <x:v>https://github.com/darknigthmare/deadwall-last-enclosure/blob/e28f46223e73105ab2c5d83f3d50b99b58ef53e6/codex-3000/addendum-1.58/PROGRAMMES_C.json</x:v>
      </x:c>
      <x:c r="K3616" t="str">
        <x:v>Source min 34,44 m ; max 34,44 m ; modèle 34 × 44 m ; niveaux 0. Détails dans catalogue-existant.json.</x:v>
      </x:c>
    </x:row>
    <x:row r="3617">
      <x:c r="A3617" t="str">
        <x:v>DW-3612</x:v>
      </x:c>
      <x:c r="B3617" t="str">
        <x:v>DW-3612</x:v>
      </x:c>
      <x:c r="C3617" t="str">
        <x:v>Parent indépendant 1.58</x:v>
      </x:c>
      <x:c r="D3617" t="str">
        <x:v>Agriculture</x:v>
      </x:c>
      <x:c r="E3617" t="str">
        <x:v>Maison des analyses de fourrages</x:v>
      </x:c>
      <x:c r="F3617" t="n">
        <x:v>9</x:v>
      </x:c>
      <x:c r="G3617" t="n">
        <x:v>8</x:v>
      </x:c>
      <x:c r="H3617" t="n">
        <x:v>8</x:v>
      </x:c>
      <x:c r="I3617" t="str">
        <x:v>À qualifier par lieu</x:v>
      </x:c>
      <x:c r="J3617" t="str">
        <x:v>https://github.com/darknigthmare/deadwall-last-enclosure/blob/e28f46223e73105ab2c5d83f3d50b99b58ef53e6/codex-3000/addendum-1.58/PROGRAMMES_C.json</x:v>
      </x:c>
      <x:c r="K3617" t="str">
        <x:v>Source min 39,44 m ; max 39,44 m ; modèle 39 × 44 m ; niveaux 0. Détails dans catalogue-existant.json.</x:v>
      </x:c>
    </x:row>
    <x:row r="3618">
      <x:c r="A3618" t="str">
        <x:v>DW-3613</x:v>
      </x:c>
      <x:c r="B3618" t="str">
        <x:v>DW-3613</x:v>
      </x:c>
      <x:c r="C3618" t="str">
        <x:v>Parent indépendant 1.58</x:v>
      </x:c>
      <x:c r="D3618" t="str">
        <x:v>Agriculture</x:v>
      </x:c>
      <x:c r="E3618" t="str">
        <x:v>Halle de conditionnement des œufs fermiers</x:v>
      </x:c>
      <x:c r="F3618" t="n">
        <x:v>9</x:v>
      </x:c>
      <x:c r="G3618" t="n">
        <x:v>8</x:v>
      </x:c>
      <x:c r="H3618" t="n">
        <x:v>8</x:v>
      </x:c>
      <x:c r="I3618" t="str">
        <x:v>À qualifier par lieu</x:v>
      </x:c>
      <x:c r="J3618" t="str">
        <x:v>https://github.com/darknigthmare/deadwall-last-enclosure/blob/e28f46223e73105ab2c5d83f3d50b99b58ef53e6/codex-3000/addendum-1.58/PROGRAMMES_C.json</x:v>
      </x:c>
      <x:c r="K3618" t="str">
        <x:v>Source min 44,38 m ; max 44,38 m ; modèle 44 × 38 m ; niveaux 0, 1. Détails dans catalogue-existant.json.</x:v>
      </x:c>
    </x:row>
    <x:row r="3619">
      <x:c r="A3619" t="str">
        <x:v>DW-3614</x:v>
      </x:c>
      <x:c r="B3619" t="str">
        <x:v>DW-3614</x:v>
      </x:c>
      <x:c r="C3619" t="str">
        <x:v>Parent indépendant 1.58</x:v>
      </x:c>
      <x:c r="D3619" t="str">
        <x:v>Agriculture</x:v>
      </x:c>
      <x:c r="E3619" t="str">
        <x:v>Bâtiment de soins des poules blessées</x:v>
      </x:c>
      <x:c r="F3619" t="n">
        <x:v>9</x:v>
      </x:c>
      <x:c r="G3619" t="n">
        <x:v>8</x:v>
      </x:c>
      <x:c r="H3619" t="n">
        <x:v>8</x:v>
      </x:c>
      <x:c r="I3619" t="str">
        <x:v>À qualifier par lieu</x:v>
      </x:c>
      <x:c r="J3619" t="str">
        <x:v>https://github.com/darknigthmare/deadwall-last-enclosure/blob/e28f46223e73105ab2c5d83f3d50b99b58ef53e6/codex-3000/addendum-1.58/PROGRAMMES_C.json</x:v>
      </x:c>
      <x:c r="K3619" t="str">
        <x:v>Source min 49,44 m ; max 49,44 m ; modèle 49 × 44 m ; niveaux 0. Détails dans catalogue-existant.json.</x:v>
      </x:c>
    </x:row>
    <x:row r="3620">
      <x:c r="A3620" t="str">
        <x:v>DW-3615</x:v>
      </x:c>
      <x:c r="B3620" t="str">
        <x:v>DW-3615</x:v>
      </x:c>
      <x:c r="C3620" t="str">
        <x:v>Parent indépendant 1.58</x:v>
      </x:c>
      <x:c r="D3620" t="str">
        <x:v>Agriculture</x:v>
      </x:c>
      <x:c r="E3620" t="str">
        <x:v>Poussinière de démarrage avicole</x:v>
      </x:c>
      <x:c r="F3620" t="n">
        <x:v>9</x:v>
      </x:c>
      <x:c r="G3620" t="n">
        <x:v>8</x:v>
      </x:c>
      <x:c r="H3620" t="n">
        <x:v>8</x:v>
      </x:c>
      <x:c r="I3620" t="str">
        <x:v>À qualifier par lieu</x:v>
      </x:c>
      <x:c r="J3620" t="str">
        <x:v>https://github.com/darknigthmare/deadwall-last-enclosure/blob/e28f46223e73105ab2c5d83f3d50b99b58ef53e6/codex-3000/addendum-1.58/PROGRAMMES_C.json</x:v>
      </x:c>
      <x:c r="K3620" t="str">
        <x:v>Source min 54,44 m ; max 54,44 m ; modèle 54 × 44 m ; niveaux 0. Détails dans catalogue-existant.json.</x:v>
      </x:c>
    </x:row>
    <x:row r="3621">
      <x:c r="A3621" t="str">
        <x:v>DW-3616</x:v>
      </x:c>
      <x:c r="B3621" t="str">
        <x:v>DW-3616</x:v>
      </x:c>
      <x:c r="C3621" t="str">
        <x:v>Parent indépendant 1.58</x:v>
      </x:c>
      <x:c r="D3621" t="str">
        <x:v>Agriculture</x:v>
      </x:c>
      <x:c r="E3621" t="str">
        <x:v>Maison de couvaison fermière</x:v>
      </x:c>
      <x:c r="F3621" t="n">
        <x:v>9</x:v>
      </x:c>
      <x:c r="G3621" t="n">
        <x:v>8</x:v>
      </x:c>
      <x:c r="H3621" t="n">
        <x:v>8</x:v>
      </x:c>
      <x:c r="I3621" t="str">
        <x:v>À qualifier par lieu</x:v>
      </x:c>
      <x:c r="J3621" t="str">
        <x:v>https://github.com/darknigthmare/deadwall-last-enclosure/blob/e28f46223e73105ab2c5d83f3d50b99b58ef53e6/codex-3000/addendum-1.58/PROGRAMMES_C.json</x:v>
      </x:c>
      <x:c r="K3621" t="str">
        <x:v>Source min 34,48 m ; max 34,48 m ; modèle 34 × 48 m ; niveaux 0. Détails dans catalogue-existant.json.</x:v>
      </x:c>
    </x:row>
    <x:row r="3622">
      <x:c r="A3622" t="str">
        <x:v>DW-3617</x:v>
      </x:c>
      <x:c r="B3622" t="str">
        <x:v>DW-3617</x:v>
      </x:c>
      <x:c r="C3622" t="str">
        <x:v>Parent indépendant 1.58</x:v>
      </x:c>
      <x:c r="D3622" t="str">
        <x:v>Agriculture</x:v>
      </x:c>
      <x:c r="E3622" t="str">
        <x:v>Atelier de réparation des ruches</x:v>
      </x:c>
      <x:c r="F3622" t="n">
        <x:v>9</x:v>
      </x:c>
      <x:c r="G3622" t="n">
        <x:v>8</x:v>
      </x:c>
      <x:c r="H3622" t="n">
        <x:v>8</x:v>
      </x:c>
      <x:c r="I3622" t="str">
        <x:v>À qualifier par lieu</x:v>
      </x:c>
      <x:c r="J3622" t="str">
        <x:v>https://github.com/darknigthmare/deadwall-last-enclosure/blob/e28f46223e73105ab2c5d83f3d50b99b58ef53e6/codex-3000/addendum-1.58/PROGRAMMES_C.json</x:v>
      </x:c>
      <x:c r="K3622" t="str">
        <x:v>Source min 39,48 m ; max 39,48 m ; modèle 39 × 48 m ; niveaux 0. Détails dans catalogue-existant.json.</x:v>
      </x:c>
    </x:row>
    <x:row r="3623">
      <x:c r="A3623" t="str">
        <x:v>DW-3618</x:v>
      </x:c>
      <x:c r="B3623" t="str">
        <x:v>DW-3618</x:v>
      </x:c>
      <x:c r="C3623" t="str">
        <x:v>Parent indépendant 1.58</x:v>
      </x:c>
      <x:c r="D3623" t="str">
        <x:v>Agriculture</x:v>
      </x:c>
      <x:c r="E3623" t="str">
        <x:v>Maison de préparation des cadres apicoles</x:v>
      </x:c>
      <x:c r="F3623" t="n">
        <x:v>9</x:v>
      </x:c>
      <x:c r="G3623" t="n">
        <x:v>8</x:v>
      </x:c>
      <x:c r="H3623" t="n">
        <x:v>8</x:v>
      </x:c>
      <x:c r="I3623" t="str">
        <x:v>À qualifier par lieu</x:v>
      </x:c>
      <x:c r="J3623" t="str">
        <x:v>https://github.com/darknigthmare/deadwall-last-enclosure/blob/e28f46223e73105ab2c5d83f3d50b99b58ef53e6/codex-3000/addendum-1.58/PROGRAMMES_C.json</x:v>
      </x:c>
      <x:c r="K3623" t="str">
        <x:v>Source min 44,42 m ; max 44,42 m ; modèle 44 × 42 m ; niveaux 0, 1. Détails dans catalogue-existant.json.</x:v>
      </x:c>
    </x:row>
    <x:row r="3624">
      <x:c r="A3624" t="str">
        <x:v>DW-3619</x:v>
      </x:c>
      <x:c r="B3624" t="str">
        <x:v>DW-3619</x:v>
      </x:c>
      <x:c r="C3624" t="str">
        <x:v>Parent indépendant 1.58</x:v>
      </x:c>
      <x:c r="D3624" t="str">
        <x:v>Agriculture</x:v>
      </x:c>
      <x:c r="E3624" t="str">
        <x:v>Centre de mise en quarantaine du matériel apicole</x:v>
      </x:c>
      <x:c r="F3624" t="n">
        <x:v>9</x:v>
      </x:c>
      <x:c r="G3624" t="n">
        <x:v>8</x:v>
      </x:c>
      <x:c r="H3624" t="n">
        <x:v>8</x:v>
      </x:c>
      <x:c r="I3624" t="str">
        <x:v>À qualifier par lieu</x:v>
      </x:c>
      <x:c r="J3624" t="str">
        <x:v>https://github.com/darknigthmare/deadwall-last-enclosure/blob/e28f46223e73105ab2c5d83f3d50b99b58ef53e6/codex-3000/addendum-1.58/PROGRAMMES_C.json</x:v>
      </x:c>
      <x:c r="K3624" t="str">
        <x:v>Source min 49,48 m ; max 49,48 m ; modèle 49 × 48 m ; niveaux 0. Détails dans catalogue-existant.json.</x:v>
      </x:c>
    </x:row>
    <x:row r="3625">
      <x:c r="A3625" t="str">
        <x:v>DW-3620</x:v>
      </x:c>
      <x:c r="B3625" t="str">
        <x:v>DW-3620</x:v>
      </x:c>
      <x:c r="C3625" t="str">
        <x:v>Parent indépendant 1.58</x:v>
      </x:c>
      <x:c r="D3625" t="str">
        <x:v>Agriculture</x:v>
      </x:c>
      <x:c r="E3625" t="str">
        <x:v>Bâtiment de tonte des ovins</x:v>
      </x:c>
      <x:c r="F3625" t="n">
        <x:v>9</x:v>
      </x:c>
      <x:c r="G3625" t="n">
        <x:v>8</x:v>
      </x:c>
      <x:c r="H3625" t="n">
        <x:v>8</x:v>
      </x:c>
      <x:c r="I3625" t="str">
        <x:v>À qualifier par lieu</x:v>
      </x:c>
      <x:c r="J3625" t="str">
        <x:v>https://github.com/darknigthmare/deadwall-last-enclosure/blob/e28f46223e73105ab2c5d83f3d50b99b58ef53e6/codex-3000/addendum-1.58/PROGRAMMES_C.json</x:v>
      </x:c>
      <x:c r="K3625" t="str">
        <x:v>Source min 54,48 m ; max 54,48 m ; modèle 54 × 48 m ; niveaux 0. Détails dans catalogue-existant.json.</x:v>
      </x:c>
    </x:row>
    <x:row r="3626">
      <x:c r="A3626" t="str">
        <x:v>DW-3621</x:v>
      </x:c>
      <x:c r="B3626" t="str">
        <x:v>DW-3621</x:v>
      </x:c>
      <x:c r="C3626" t="str">
        <x:v>Parent indépendant 1.58</x:v>
      </x:c>
      <x:c r="D3626" t="str">
        <x:v>Agriculture</x:v>
      </x:c>
      <x:c r="E3626" t="str">
        <x:v>Halle de classement des laines brutes</x:v>
      </x:c>
      <x:c r="F3626" t="n">
        <x:v>9</x:v>
      </x:c>
      <x:c r="G3626" t="n">
        <x:v>8</x:v>
      </x:c>
      <x:c r="H3626" t="n">
        <x:v>8</x:v>
      </x:c>
      <x:c r="I3626" t="str">
        <x:v>À qualifier par lieu</x:v>
      </x:c>
      <x:c r="J3626" t="str">
        <x:v>https://github.com/darknigthmare/deadwall-last-enclosure/blob/e28f46223e73105ab2c5d83f3d50b99b58ef53e6/codex-3000/addendum-1.58/PROGRAMMES_C.json</x:v>
      </x:c>
      <x:c r="K3626" t="str">
        <x:v>Source min 34,36 m ; max 34,36 m ; modèle 34 × 36 m ; niveaux 0. Détails dans catalogue-existant.json.</x:v>
      </x:c>
    </x:row>
    <x:row r="3627">
      <x:c r="A3627" t="str">
        <x:v>DW-3622</x:v>
      </x:c>
      <x:c r="B3627" t="str">
        <x:v>DW-3622</x:v>
      </x:c>
      <x:c r="C3627" t="str">
        <x:v>Parent indépendant 1.58</x:v>
      </x:c>
      <x:c r="D3627" t="str">
        <x:v>Agriculture</x:v>
      </x:c>
      <x:c r="E3627" t="str">
        <x:v>Bergerie de mise bas compartimentée</x:v>
      </x:c>
      <x:c r="F3627" t="n">
        <x:v>9</x:v>
      </x:c>
      <x:c r="G3627" t="n">
        <x:v>8</x:v>
      </x:c>
      <x:c r="H3627" t="n">
        <x:v>8</x:v>
      </x:c>
      <x:c r="I3627" t="str">
        <x:v>À qualifier par lieu</x:v>
      </x:c>
      <x:c r="J3627" t="str">
        <x:v>https://github.com/darknigthmare/deadwall-last-enclosure/blob/e28f46223e73105ab2c5d83f3d50b99b58ef53e6/codex-3000/addendum-1.58/PROGRAMMES_C.json</x:v>
      </x:c>
      <x:c r="K3627" t="str">
        <x:v>Source min 39,36 m ; max 39,36 m ; modèle 39 × 36 m ; niveaux 0. Détails dans catalogue-existant.json.</x:v>
      </x:c>
    </x:row>
    <x:row r="3628">
      <x:c r="A3628" t="str">
        <x:v>DW-3623</x:v>
      </x:c>
      <x:c r="B3628" t="str">
        <x:v>DW-3623</x:v>
      </x:c>
      <x:c r="C3628" t="str">
        <x:v>Parent indépendant 1.58</x:v>
      </x:c>
      <x:c r="D3628" t="str">
        <x:v>Agriculture</x:v>
      </x:c>
      <x:c r="E3628" t="str">
        <x:v>Chevrerie de soins aux jeunes animaux</x:v>
      </x:c>
      <x:c r="F3628" t="n">
        <x:v>9</x:v>
      </x:c>
      <x:c r="G3628" t="n">
        <x:v>8</x:v>
      </x:c>
      <x:c r="H3628" t="n">
        <x:v>8</x:v>
      </x:c>
      <x:c r="I3628" t="str">
        <x:v>À qualifier par lieu</x:v>
      </x:c>
      <x:c r="J3628" t="str">
        <x:v>https://github.com/darknigthmare/deadwall-last-enclosure/blob/e28f46223e73105ab2c5d83f3d50b99b58ef53e6/codex-3000/addendum-1.58/PROGRAMMES_C.json</x:v>
      </x:c>
      <x:c r="K3628" t="str">
        <x:v>Source min 44,36 m ; max 44,36 m ; modèle 44 × 36 m ; niveaux 0. Détails dans catalogue-existant.json.</x:v>
      </x:c>
    </x:row>
    <x:row r="3629">
      <x:c r="A3629" t="str">
        <x:v>DW-3624</x:v>
      </x:c>
      <x:c r="B3629" t="str">
        <x:v>DW-3624</x:v>
      </x:c>
      <x:c r="C3629" t="str">
        <x:v>Parent indépendant 1.58</x:v>
      </x:c>
      <x:c r="D3629" t="str">
        <x:v>Agriculture</x:v>
      </x:c>
      <x:c r="E3629" t="str">
        <x:v>Bâtiment de parage des sabots</x:v>
      </x:c>
      <x:c r="F3629" t="n">
        <x:v>9</x:v>
      </x:c>
      <x:c r="G3629" t="n">
        <x:v>8</x:v>
      </x:c>
      <x:c r="H3629" t="n">
        <x:v>8</x:v>
      </x:c>
      <x:c r="I3629" t="str">
        <x:v>À qualifier par lieu</x:v>
      </x:c>
      <x:c r="J3629" t="str">
        <x:v>https://github.com/darknigthmare/deadwall-last-enclosure/blob/e28f46223e73105ab2c5d83f3d50b99b58ef53e6/codex-3000/addendum-1.58/PROGRAMMES_C.json</x:v>
      </x:c>
      <x:c r="K3629" t="str">
        <x:v>Source min 49,36 m ; max 49,36 m ; modèle 49 × 36 m ; niveaux 0. Détails dans catalogue-existant.json.</x:v>
      </x:c>
    </x:row>
    <x:row r="3630">
      <x:c r="A3630" t="str">
        <x:v>DW-3625</x:v>
      </x:c>
      <x:c r="B3630" t="str">
        <x:v>DW-3625</x:v>
      </x:c>
      <x:c r="C3630" t="str">
        <x:v>Parent indépendant 1.58</x:v>
      </x:c>
      <x:c r="D3630" t="str">
        <x:v>Agriculture</x:v>
      </x:c>
      <x:c r="E3630" t="str">
        <x:v>Maison de consultation vétérinaire d'élevage</x:v>
      </x:c>
      <x:c r="F3630" t="n">
        <x:v>9</x:v>
      </x:c>
      <x:c r="G3630" t="n">
        <x:v>8</x:v>
      </x:c>
      <x:c r="H3630" t="n">
        <x:v>8</x:v>
      </x:c>
      <x:c r="I3630" t="str">
        <x:v>À qualifier par lieu</x:v>
      </x:c>
      <x:c r="J3630" t="str">
        <x:v>https://github.com/darknigthmare/deadwall-last-enclosure/blob/e28f46223e73105ab2c5d83f3d50b99b58ef53e6/codex-3000/addendum-1.58/PROGRAMMES_C.json</x:v>
      </x:c>
      <x:c r="K3630" t="str">
        <x:v>Source min 54,36 m ; max 54,36 m ; modèle 54 × 36 m ; niveaux 0. Détails dans catalogue-existant.json.</x:v>
      </x:c>
    </x:row>
    <x:row r="3631">
      <x:c r="A3631" t="str">
        <x:v>DW-3626</x:v>
      </x:c>
      <x:c r="B3631" t="str">
        <x:v>DW-3626</x:v>
      </x:c>
      <x:c r="C3631" t="str">
        <x:v>Parent indépendant 1.58</x:v>
      </x:c>
      <x:c r="D3631" t="str">
        <x:v>Agriculture</x:v>
      </x:c>
      <x:c r="E3631" t="str">
        <x:v>Dépôt de pharmacie vétérinaire rurale</x:v>
      </x:c>
      <x:c r="F3631" t="n">
        <x:v>9</x:v>
      </x:c>
      <x:c r="G3631" t="n">
        <x:v>8</x:v>
      </x:c>
      <x:c r="H3631" t="n">
        <x:v>8</x:v>
      </x:c>
      <x:c r="I3631" t="str">
        <x:v>À qualifier par lieu</x:v>
      </x:c>
      <x:c r="J3631" t="str">
        <x:v>https://github.com/darknigthmare/deadwall-last-enclosure/blob/e28f46223e73105ab2c5d83f3d50b99b58ef53e6/codex-3000/addendum-1.58/PROGRAMMES_C.json</x:v>
      </x:c>
      <x:c r="K3631" t="str">
        <x:v>Source min 34,40 m ; max 34,40 m ; modèle 34 × 40 m ; niveaux 0. Détails dans catalogue-existant.json.</x:v>
      </x:c>
    </x:row>
    <x:row r="3632">
      <x:c r="A3632" t="str">
        <x:v>DW-3627</x:v>
      </x:c>
      <x:c r="B3632" t="str">
        <x:v>DW-3627</x:v>
      </x:c>
      <x:c r="C3632" t="str">
        <x:v>Parent indépendant 1.58</x:v>
      </x:c>
      <x:c r="D3632" t="str">
        <x:v>Agriculture</x:v>
      </x:c>
      <x:c r="E3632" t="str">
        <x:v>Bâtiment de collecte du lait en petits lots</x:v>
      </x:c>
      <x:c r="F3632" t="n">
        <x:v>9</x:v>
      </x:c>
      <x:c r="G3632" t="n">
        <x:v>8</x:v>
      </x:c>
      <x:c r="H3632" t="n">
        <x:v>8</x:v>
      </x:c>
      <x:c r="I3632" t="str">
        <x:v>À qualifier par lieu</x:v>
      </x:c>
      <x:c r="J3632" t="str">
        <x:v>https://github.com/darknigthmare/deadwall-last-enclosure/blob/e28f46223e73105ab2c5d83f3d50b99b58ef53e6/codex-3000/addendum-1.58/PROGRAMMES_C.json</x:v>
      </x:c>
      <x:c r="K3632" t="str">
        <x:v>Source min 39,40 m ; max 39,40 m ; modèle 39 × 40 m ; niveaux 0. Détails dans catalogue-existant.json.</x:v>
      </x:c>
    </x:row>
    <x:row r="3633">
      <x:c r="A3633" t="str">
        <x:v>DW-3628</x:v>
      </x:c>
      <x:c r="B3633" t="str">
        <x:v>DW-3628</x:v>
      </x:c>
      <x:c r="C3633" t="str">
        <x:v>Parent indépendant 1.58</x:v>
      </x:c>
      <x:c r="D3633" t="str">
        <x:v>Agriculture</x:v>
      </x:c>
      <x:c r="E3633" t="str">
        <x:v>Salle de traite pédagogique démontée</x:v>
      </x:c>
      <x:c r="F3633" t="n">
        <x:v>9</x:v>
      </x:c>
      <x:c r="G3633" t="n">
        <x:v>8</x:v>
      </x:c>
      <x:c r="H3633" t="n">
        <x:v>8</x:v>
      </x:c>
      <x:c r="I3633" t="str">
        <x:v>À qualifier par lieu</x:v>
      </x:c>
      <x:c r="J3633" t="str">
        <x:v>https://github.com/darknigthmare/deadwall-last-enclosure/blob/e28f46223e73105ab2c5d83f3d50b99b58ef53e6/codex-3000/addendum-1.58/PROGRAMMES_C.json</x:v>
      </x:c>
      <x:c r="K3633" t="str">
        <x:v>Source min 44,34 m ; max 44,34 m ; modèle 44 × 34 m ; niveaux 0, 1. Détails dans catalogue-existant.json.</x:v>
      </x:c>
    </x:row>
    <x:row r="3634">
      <x:c r="A3634" t="str">
        <x:v>DW-3629</x:v>
      </x:c>
      <x:c r="B3634" t="str">
        <x:v>DW-3629</x:v>
      </x:c>
      <x:c r="C3634" t="str">
        <x:v>Parent indépendant 1.58</x:v>
      </x:c>
      <x:c r="D3634" t="str">
        <x:v>Agriculture</x:v>
      </x:c>
      <x:c r="E3634" t="str">
        <x:v>Nurserie bovine à cases séparées</x:v>
      </x:c>
      <x:c r="F3634" t="n">
        <x:v>9</x:v>
      </x:c>
      <x:c r="G3634" t="n">
        <x:v>8</x:v>
      </x:c>
      <x:c r="H3634" t="n">
        <x:v>8</x:v>
      </x:c>
      <x:c r="I3634" t="str">
        <x:v>À qualifier par lieu</x:v>
      </x:c>
      <x:c r="J3634" t="str">
        <x:v>https://github.com/darknigthmare/deadwall-last-enclosure/blob/e28f46223e73105ab2c5d83f3d50b99b58ef53e6/codex-3000/addendum-1.58/PROGRAMMES_C.json</x:v>
      </x:c>
      <x:c r="K3634" t="str">
        <x:v>Source min 49,40 m ; max 49,40 m ; modèle 49 × 40 m ; niveaux 0. Détails dans catalogue-existant.json.</x:v>
      </x:c>
    </x:row>
    <x:row r="3635">
      <x:c r="A3635" t="str">
        <x:v>DW-3630</x:v>
      </x:c>
      <x:c r="B3635" t="str">
        <x:v>DW-3630</x:v>
      </x:c>
      <x:c r="C3635" t="str">
        <x:v>Parent indépendant 1.58</x:v>
      </x:c>
      <x:c r="D3635" t="str">
        <x:v>Agriculture</x:v>
      </x:c>
      <x:c r="E3635" t="str">
        <x:v>Bâtiment de surveillance des vêlages</x:v>
      </x:c>
      <x:c r="F3635" t="n">
        <x:v>9</x:v>
      </x:c>
      <x:c r="G3635" t="n">
        <x:v>8</x:v>
      </x:c>
      <x:c r="H3635" t="n">
        <x:v>8</x:v>
      </x:c>
      <x:c r="I3635" t="str">
        <x:v>À qualifier par lieu</x:v>
      </x:c>
      <x:c r="J3635" t="str">
        <x:v>https://github.com/darknigthmare/deadwall-last-enclosure/blob/e28f46223e73105ab2c5d83f3d50b99b58ef53e6/codex-3000/addendum-1.58/PROGRAMMES_C.json</x:v>
      </x:c>
      <x:c r="K3635" t="str">
        <x:v>Source min 54,40 m ; max 54,40 m ; modèle 54 × 40 m ; niveaux 0. Détails dans catalogue-existant.json.</x:v>
      </x:c>
    </x:row>
    <x:row r="3636">
      <x:c r="A3636" t="str">
        <x:v>DW-3631</x:v>
      </x:c>
      <x:c r="B3636" t="str">
        <x:v>DW-3631</x:v>
      </x:c>
      <x:c r="C3636" t="str">
        <x:v>Parent indépendant 1.58</x:v>
      </x:c>
      <x:c r="D3636" t="str">
        <x:v>Agriculture</x:v>
      </x:c>
      <x:c r="E3636" t="str">
        <x:v>Maison de rééducation des chevaux de travail</x:v>
      </x:c>
      <x:c r="F3636" t="n">
        <x:v>9</x:v>
      </x:c>
      <x:c r="G3636" t="n">
        <x:v>8</x:v>
      </x:c>
      <x:c r="H3636" t="n">
        <x:v>8</x:v>
      </x:c>
      <x:c r="I3636" t="str">
        <x:v>À qualifier par lieu</x:v>
      </x:c>
      <x:c r="J3636" t="str">
        <x:v>https://github.com/darknigthmare/deadwall-last-enclosure/blob/e28f46223e73105ab2c5d83f3d50b99b58ef53e6/codex-3000/addendum-1.58/PROGRAMMES_C.json</x:v>
      </x:c>
      <x:c r="K3636" t="str">
        <x:v>Source min 34,44 m ; max 34,44 m ; modèle 34 × 44 m ; niveaux 0. Détails dans catalogue-existant.json.</x:v>
      </x:c>
    </x:row>
    <x:row r="3637">
      <x:c r="A3637" t="str">
        <x:v>DW-3632</x:v>
      </x:c>
      <x:c r="B3637" t="str">
        <x:v>DW-3632</x:v>
      </x:c>
      <x:c r="C3637" t="str">
        <x:v>Parent indépendant 1.58</x:v>
      </x:c>
      <x:c r="D3637" t="str">
        <x:v>Agriculture</x:v>
      </x:c>
      <x:c r="E3637" t="str">
        <x:v>Atelier de réparation des jougs</x:v>
      </x:c>
      <x:c r="F3637" t="n">
        <x:v>9</x:v>
      </x:c>
      <x:c r="G3637" t="n">
        <x:v>8</x:v>
      </x:c>
      <x:c r="H3637" t="n">
        <x:v>8</x:v>
      </x:c>
      <x:c r="I3637" t="str">
        <x:v>À qualifier par lieu</x:v>
      </x:c>
      <x:c r="J3637" t="str">
        <x:v>https://github.com/darknigthmare/deadwall-last-enclosure/blob/e28f46223e73105ab2c5d83f3d50b99b58ef53e6/codex-3000/addendum-1.58/PROGRAMMES_C.json</x:v>
      </x:c>
      <x:c r="K3637" t="str">
        <x:v>Source min 39,44 m ; max 39,44 m ; modèle 39 × 44 m ; niveaux 0. Détails dans catalogue-existant.json.</x:v>
      </x:c>
    </x:row>
    <x:row r="3638">
      <x:c r="A3638" t="str">
        <x:v>DW-3633</x:v>
      </x:c>
      <x:c r="B3638" t="str">
        <x:v>DW-3633</x:v>
      </x:c>
      <x:c r="C3638" t="str">
        <x:v>Parent indépendant 1.58</x:v>
      </x:c>
      <x:c r="D3638" t="str">
        <x:v>Agriculture</x:v>
      </x:c>
      <x:c r="E3638" t="str">
        <x:v>Écurie de pansage des animaux de trait</x:v>
      </x:c>
      <x:c r="F3638" t="n">
        <x:v>9</x:v>
      </x:c>
      <x:c r="G3638" t="n">
        <x:v>8</x:v>
      </x:c>
      <x:c r="H3638" t="n">
        <x:v>8</x:v>
      </x:c>
      <x:c r="I3638" t="str">
        <x:v>À qualifier par lieu</x:v>
      </x:c>
      <x:c r="J3638" t="str">
        <x:v>https://github.com/darknigthmare/deadwall-last-enclosure/blob/e28f46223e73105ab2c5d83f3d50b99b58ef53e6/codex-3000/addendum-1.58/PROGRAMMES_C.json</x:v>
      </x:c>
      <x:c r="K3638" t="str">
        <x:v>Source min 44,44 m ; max 44,44 m ; modèle 44 × 44 m ; niveaux 0. Détails dans catalogue-existant.json.</x:v>
      </x:c>
    </x:row>
    <x:row r="3639">
      <x:c r="A3639" t="str">
        <x:v>DW-3634</x:v>
      </x:c>
      <x:c r="B3639" t="str">
        <x:v>DW-3634</x:v>
      </x:c>
      <x:c r="C3639" t="str">
        <x:v>Parent indépendant 1.58</x:v>
      </x:c>
      <x:c r="D3639" t="str">
        <x:v>Agriculture</x:v>
      </x:c>
      <x:c r="E3639" t="str">
        <x:v>Bâtiment de pesée des animaux d'élevage</x:v>
      </x:c>
      <x:c r="F3639" t="n">
        <x:v>9</x:v>
      </x:c>
      <x:c r="G3639" t="n">
        <x:v>8</x:v>
      </x:c>
      <x:c r="H3639" t="n">
        <x:v>8</x:v>
      </x:c>
      <x:c r="I3639" t="str">
        <x:v>À qualifier par lieu</x:v>
      </x:c>
      <x:c r="J3639" t="str">
        <x:v>https://github.com/darknigthmare/deadwall-last-enclosure/blob/e28f46223e73105ab2c5d83f3d50b99b58ef53e6/codex-3000/addendum-1.58/PROGRAMMES_C.json</x:v>
      </x:c>
      <x:c r="K3639" t="str">
        <x:v>Source min 49,44 m ; max 49,44 m ; modèle 49 × 44 m ; niveaux 0. Détails dans catalogue-existant.json.</x:v>
      </x:c>
    </x:row>
    <x:row r="3640">
      <x:c r="A3640" t="str">
        <x:v>DW-3635</x:v>
      </x:c>
      <x:c r="B3640" t="str">
        <x:v>DW-3635</x:v>
      </x:c>
      <x:c r="C3640" t="str">
        <x:v>Parent indépendant 1.58</x:v>
      </x:c>
      <x:c r="D3640" t="str">
        <x:v>Agriculture</x:v>
      </x:c>
      <x:c r="E3640" t="str">
        <x:v>Maison d'identification des troupeaux</x:v>
      </x:c>
      <x:c r="F3640" t="n">
        <x:v>9</x:v>
      </x:c>
      <x:c r="G3640" t="n">
        <x:v>8</x:v>
      </x:c>
      <x:c r="H3640" t="n">
        <x:v>8</x:v>
      </x:c>
      <x:c r="I3640" t="str">
        <x:v>À qualifier par lieu</x:v>
      </x:c>
      <x:c r="J3640" t="str">
        <x:v>https://github.com/darknigthmare/deadwall-last-enclosure/blob/e28f46223e73105ab2c5d83f3d50b99b58ef53e6/codex-3000/addendum-1.58/PROGRAMMES_C.json</x:v>
      </x:c>
      <x:c r="K3640" t="str">
        <x:v>Source min 54,44 m ; max 54,44 m ; modèle 54 × 44 m ; niveaux 0. Détails dans catalogue-existant.json.</x:v>
      </x:c>
    </x:row>
    <x:row r="3641">
      <x:c r="A3641" t="str">
        <x:v>DW-3636</x:v>
      </x:c>
      <x:c r="B3641" t="str">
        <x:v>DW-3636</x:v>
      </x:c>
      <x:c r="C3641" t="str">
        <x:v>Parent indépendant 1.58</x:v>
      </x:c>
      <x:c r="D3641" t="str">
        <x:v>Agriculture</x:v>
      </x:c>
      <x:c r="E3641" t="str">
        <x:v>Atelier de lavage des équipements de traite</x:v>
      </x:c>
      <x:c r="F3641" t="n">
        <x:v>9</x:v>
      </x:c>
      <x:c r="G3641" t="n">
        <x:v>8</x:v>
      </x:c>
      <x:c r="H3641" t="n">
        <x:v>8</x:v>
      </x:c>
      <x:c r="I3641" t="str">
        <x:v>À qualifier par lieu</x:v>
      </x:c>
      <x:c r="J3641" t="str">
        <x:v>https://github.com/darknigthmare/deadwall-last-enclosure/blob/e28f46223e73105ab2c5d83f3d50b99b58ef53e6/codex-3000/addendum-1.58/PROGRAMMES_C.json</x:v>
      </x:c>
      <x:c r="K3641" t="str">
        <x:v>Source min 34,48 m ; max 34,48 m ; modèle 34 × 48 m ; niveaux 0. Détails dans catalogue-existant.json.</x:v>
      </x:c>
    </x:row>
    <x:row r="3642">
      <x:c r="A3642" t="str">
        <x:v>DW-3637</x:v>
      </x:c>
      <x:c r="B3642" t="str">
        <x:v>DW-3637</x:v>
      </x:c>
      <x:c r="C3642" t="str">
        <x:v>Parent indépendant 1.58</x:v>
      </x:c>
      <x:c r="D3642" t="str">
        <x:v>Agriculture</x:v>
      </x:c>
      <x:c r="E3642" t="str">
        <x:v>Station de collecte des prélèvements vétérinaires</x:v>
      </x:c>
      <x:c r="F3642" t="n">
        <x:v>9</x:v>
      </x:c>
      <x:c r="G3642" t="n">
        <x:v>8</x:v>
      </x:c>
      <x:c r="H3642" t="n">
        <x:v>8</x:v>
      </x:c>
      <x:c r="I3642" t="str">
        <x:v>À qualifier par lieu</x:v>
      </x:c>
      <x:c r="J3642" t="str">
        <x:v>https://github.com/darknigthmare/deadwall-last-enclosure/blob/e28f46223e73105ab2c5d83f3d50b99b58ef53e6/codex-3000/addendum-1.58/PROGRAMMES_C.json</x:v>
      </x:c>
      <x:c r="K3642" t="str">
        <x:v>Source min 39,48 m ; max 39,48 m ; modèle 39 × 48 m ; niveaux 0. Détails dans catalogue-existant.json.</x:v>
      </x:c>
    </x:row>
    <x:row r="3643">
      <x:c r="A3643" t="str">
        <x:v>DW-3638</x:v>
      </x:c>
      <x:c r="B3643" t="str">
        <x:v>DW-3638</x:v>
      </x:c>
      <x:c r="C3643" t="str">
        <x:v>Parent indépendant 1.58</x:v>
      </x:c>
      <x:c r="D3643" t="str">
        <x:v>Agriculture</x:v>
      </x:c>
      <x:c r="E3643" t="str">
        <x:v>Bâtiment de quarantaine des outils d'élevage</x:v>
      </x:c>
      <x:c r="F3643" t="n">
        <x:v>9</x:v>
      </x:c>
      <x:c r="G3643" t="n">
        <x:v>8</x:v>
      </x:c>
      <x:c r="H3643" t="n">
        <x:v>8</x:v>
      </x:c>
      <x:c r="I3643" t="str">
        <x:v>À qualifier par lieu</x:v>
      </x:c>
      <x:c r="J3643" t="str">
        <x:v>https://github.com/darknigthmare/deadwall-last-enclosure/blob/e28f46223e73105ab2c5d83f3d50b99b58ef53e6/codex-3000/addendum-1.58/PROGRAMMES_C.json</x:v>
      </x:c>
      <x:c r="K3643" t="str">
        <x:v>Source min 44,42 m ; max 44,42 m ; modèle 44 × 42 m ; niveaux 0, 1. Détails dans catalogue-existant.json.</x:v>
      </x:c>
    </x:row>
    <x:row r="3644">
      <x:c r="A3644" t="str">
        <x:v>DW-3639</x:v>
      </x:c>
      <x:c r="B3644" t="str">
        <x:v>DW-3639</x:v>
      </x:c>
      <x:c r="C3644" t="str">
        <x:v>Parent indépendant 1.58</x:v>
      </x:c>
      <x:c r="D3644" t="str">
        <x:v>Agriculture</x:v>
      </x:c>
      <x:c r="E3644" t="str">
        <x:v>Maison des bergers itinérants</x:v>
      </x:c>
      <x:c r="F3644" t="n">
        <x:v>9</x:v>
      </x:c>
      <x:c r="G3644" t="n">
        <x:v>8</x:v>
      </x:c>
      <x:c r="H3644" t="n">
        <x:v>8</x:v>
      </x:c>
      <x:c r="I3644" t="str">
        <x:v>À qualifier par lieu</x:v>
      </x:c>
      <x:c r="J3644" t="str">
        <x:v>https://github.com/darknigthmare/deadwall-last-enclosure/blob/e28f46223e73105ab2c5d83f3d50b99b58ef53e6/codex-3000/addendum-1.58/PROGRAMMES_C.json</x:v>
      </x:c>
      <x:c r="K3644" t="str">
        <x:v>Source min 49,48 m ; max 49,48 m ; modèle 49 × 48 m ; niveaux 0. Détails dans catalogue-existant.json.</x:v>
      </x:c>
    </x:row>
    <x:row r="3645">
      <x:c r="A3645" t="str">
        <x:v>DW-3640</x:v>
      </x:c>
      <x:c r="B3645" t="str">
        <x:v>DW-3640</x:v>
      </x:c>
      <x:c r="C3645" t="str">
        <x:v>Parent indépendant 1.58</x:v>
      </x:c>
      <x:c r="D3645" t="str">
        <x:v>Agriculture</x:v>
      </x:c>
      <x:c r="E3645" t="str">
        <x:v>Dépôt de clôtures mobiles pastorales</x:v>
      </x:c>
      <x:c r="F3645" t="n">
        <x:v>9</x:v>
      </x:c>
      <x:c r="G3645" t="n">
        <x:v>8</x:v>
      </x:c>
      <x:c r="H3645" t="n">
        <x:v>8</x:v>
      </x:c>
      <x:c r="I3645" t="str">
        <x:v>À qualifier par lieu</x:v>
      </x:c>
      <x:c r="J3645" t="str">
        <x:v>https://github.com/darknigthmare/deadwall-last-enclosure/blob/e28f46223e73105ab2c5d83f3d50b99b58ef53e6/codex-3000/addendum-1.58/PROGRAMMES_C.json</x:v>
      </x:c>
      <x:c r="K3645" t="str">
        <x:v>Source min 54,48 m ; max 54,48 m ; modèle 54 × 48 m ; niveaux 0. Détails dans catalogue-existant.json.</x:v>
      </x:c>
    </x:row>
    <x:row r="3646">
      <x:c r="A3646" t="str">
        <x:v>DW-3641</x:v>
      </x:c>
      <x:c r="B3646" t="str">
        <x:v>DW-3641</x:v>
      </x:c>
      <x:c r="C3646" t="str">
        <x:v>Parent indépendant 1.58</x:v>
      </x:c>
      <x:c r="D3646" t="str">
        <x:v>Agriculture</x:v>
      </x:c>
      <x:c r="E3646" t="str">
        <x:v>Atelier de nourrisseurs gravitaires</x:v>
      </x:c>
      <x:c r="F3646" t="n">
        <x:v>9</x:v>
      </x:c>
      <x:c r="G3646" t="n">
        <x:v>8</x:v>
      </x:c>
      <x:c r="H3646" t="n">
        <x:v>8</x:v>
      </x:c>
      <x:c r="I3646" t="str">
        <x:v>À qualifier par lieu</x:v>
      </x:c>
      <x:c r="J3646" t="str">
        <x:v>https://github.com/darknigthmare/deadwall-last-enclosure/blob/e28f46223e73105ab2c5d83f3d50b99b58ef53e6/codex-3000/addendum-1.58/PROGRAMMES_C.json</x:v>
      </x:c>
      <x:c r="K3646" t="str">
        <x:v>Source min 34,36 m ; max 34,36 m ; modèle 34 × 36 m ; niveaux 0. Détails dans catalogue-existant.json.</x:v>
      </x:c>
    </x:row>
    <x:row r="3647">
      <x:c r="A3647" t="str">
        <x:v>DW-3642</x:v>
      </x:c>
      <x:c r="B3647" t="str">
        <x:v>DW-3642</x:v>
      </x:c>
      <x:c r="C3647" t="str">
        <x:v>Parent indépendant 1.58</x:v>
      </x:c>
      <x:c r="D3647" t="str">
        <x:v>Agriculture</x:v>
      </x:c>
      <x:c r="E3647" t="str">
        <x:v>Centre de calibrage des semoirs</x:v>
      </x:c>
      <x:c r="F3647" t="n">
        <x:v>9</x:v>
      </x:c>
      <x:c r="G3647" t="n">
        <x:v>8</x:v>
      </x:c>
      <x:c r="H3647" t="n">
        <x:v>8</x:v>
      </x:c>
      <x:c r="I3647" t="str">
        <x:v>À qualifier par lieu</x:v>
      </x:c>
      <x:c r="J3647" t="str">
        <x:v>https://github.com/darknigthmare/deadwall-last-enclosure/blob/e28f46223e73105ab2c5d83f3d50b99b58ef53e6/codex-3000/addendum-1.58/PROGRAMMES_C.json</x:v>
      </x:c>
      <x:c r="K3647" t="str">
        <x:v>Source min 39,36 m ; max 39,36 m ; modèle 39 × 36 m ; niveaux 0. Détails dans catalogue-existant.json.</x:v>
      </x:c>
    </x:row>
    <x:row r="3648">
      <x:c r="A3648" t="str">
        <x:v>DW-3643</x:v>
      </x:c>
      <x:c r="B3648" t="str">
        <x:v>DW-3643</x:v>
      </x:c>
      <x:c r="C3648" t="str">
        <x:v>Parent indépendant 1.58</x:v>
      </x:c>
      <x:c r="D3648" t="str">
        <x:v>Agriculture</x:v>
      </x:c>
      <x:c r="E3648" t="str">
        <x:v>Atelier de réparation des sécateurs agricoles</x:v>
      </x:c>
      <x:c r="F3648" t="n">
        <x:v>9</x:v>
      </x:c>
      <x:c r="G3648" t="n">
        <x:v>8</x:v>
      </x:c>
      <x:c r="H3648" t="n">
        <x:v>8</x:v>
      </x:c>
      <x:c r="I3648" t="str">
        <x:v>À qualifier par lieu</x:v>
      </x:c>
      <x:c r="J3648" t="str">
        <x:v>https://github.com/darknigthmare/deadwall-last-enclosure/blob/e28f46223e73105ab2c5d83f3d50b99b58ef53e6/codex-3000/addendum-1.58/PROGRAMMES_C.json</x:v>
      </x:c>
      <x:c r="K3648" t="str">
        <x:v>Source min 44,30 m ; max 44,30 m ; modèle 44 × 30 m ; niveaux 0, 1. Détails dans catalogue-existant.json.</x:v>
      </x:c>
    </x:row>
    <x:row r="3649">
      <x:c r="A3649" t="str">
        <x:v>DW-3644</x:v>
      </x:c>
      <x:c r="B3649" t="str">
        <x:v>DW-3644</x:v>
      </x:c>
      <x:c r="C3649" t="str">
        <x:v>Parent indépendant 1.58</x:v>
      </x:c>
      <x:c r="D3649" t="str">
        <x:v>Agriculture</x:v>
      </x:c>
      <x:c r="E3649" t="str">
        <x:v>Halle de réglage des pulvérisateurs démontés</x:v>
      </x:c>
      <x:c r="F3649" t="n">
        <x:v>9</x:v>
      </x:c>
      <x:c r="G3649" t="n">
        <x:v>8</x:v>
      </x:c>
      <x:c r="H3649" t="n">
        <x:v>8</x:v>
      </x:c>
      <x:c r="I3649" t="str">
        <x:v>À qualifier par lieu</x:v>
      </x:c>
      <x:c r="J3649" t="str">
        <x:v>https://github.com/darknigthmare/deadwall-last-enclosure/blob/e28f46223e73105ab2c5d83f3d50b99b58ef53e6/codex-3000/addendum-1.58/PROGRAMMES_C.json</x:v>
      </x:c>
      <x:c r="K3649" t="str">
        <x:v>Source min 49,36 m ; max 49,36 m ; modèle 49 × 36 m ; niveaux 0. Détails dans catalogue-existant.json.</x:v>
      </x:c>
    </x:row>
    <x:row r="3650">
      <x:c r="A3650" t="str">
        <x:v>DW-3645</x:v>
      </x:c>
      <x:c r="B3650" t="str">
        <x:v>DW-3645</x:v>
      </x:c>
      <x:c r="C3650" t="str">
        <x:v>Parent indépendant 1.58</x:v>
      </x:c>
      <x:c r="D3650" t="str">
        <x:v>Agriculture</x:v>
      </x:c>
      <x:c r="E3650" t="str">
        <x:v>Atelier de conduites d'irrigation démontables</x:v>
      </x:c>
      <x:c r="F3650" t="n">
        <x:v>9</x:v>
      </x:c>
      <x:c r="G3650" t="n">
        <x:v>8</x:v>
      </x:c>
      <x:c r="H3650" t="n">
        <x:v>8</x:v>
      </x:c>
      <x:c r="I3650" t="str">
        <x:v>À qualifier par lieu</x:v>
      </x:c>
      <x:c r="J3650" t="str">
        <x:v>https://github.com/darknigthmare/deadwall-last-enclosure/blob/e28f46223e73105ab2c5d83f3d50b99b58ef53e6/codex-3000/addendum-1.58/PROGRAMMES_C.json</x:v>
      </x:c>
      <x:c r="K3650" t="str">
        <x:v>Source min 54,36 m ; max 54,36 m ; modèle 54 × 36 m ; niveaux 0. Détails dans catalogue-existant.json.</x:v>
      </x:c>
    </x:row>
    <x:row r="3651">
      <x:c r="A3651" t="str">
        <x:v>DW-3646</x:v>
      </x:c>
      <x:c r="B3651" t="str">
        <x:v>DW-3646</x:v>
      </x:c>
      <x:c r="C3651" t="str">
        <x:v>Parent indépendant 1.58</x:v>
      </x:c>
      <x:c r="D3651" t="str">
        <x:v>Agriculture</x:v>
      </x:c>
      <x:c r="E3651" t="str">
        <x:v>Dépôt de caisses-palettes agricoles</x:v>
      </x:c>
      <x:c r="F3651" t="n">
        <x:v>9</x:v>
      </x:c>
      <x:c r="G3651" t="n">
        <x:v>8</x:v>
      </x:c>
      <x:c r="H3651" t="n">
        <x:v>8</x:v>
      </x:c>
      <x:c r="I3651" t="str">
        <x:v>À qualifier par lieu</x:v>
      </x:c>
      <x:c r="J3651" t="str">
        <x:v>https://github.com/darknigthmare/deadwall-last-enclosure/blob/e28f46223e73105ab2c5d83f3d50b99b58ef53e6/codex-3000/addendum-1.58/PROGRAMMES_C.json</x:v>
      </x:c>
      <x:c r="K3651" t="str">
        <x:v>Source min 34,40 m ; max 34,40 m ; modèle 34 × 40 m ; niveaux 0. Détails dans catalogue-existant.json.</x:v>
      </x:c>
    </x:row>
    <x:row r="3652">
      <x:c r="A3652" t="str">
        <x:v>DW-3647</x:v>
      </x:c>
      <x:c r="B3652" t="str">
        <x:v>DW-3647</x:v>
      </x:c>
      <x:c r="C3652" t="str">
        <x:v>Parent indépendant 1.58</x:v>
      </x:c>
      <x:c r="D3652" t="str">
        <x:v>Agriculture</x:v>
      </x:c>
      <x:c r="E3652" t="str">
        <x:v>Atelier de roues de brouettes</x:v>
      </x:c>
      <x:c r="F3652" t="n">
        <x:v>9</x:v>
      </x:c>
      <x:c r="G3652" t="n">
        <x:v>8</x:v>
      </x:c>
      <x:c r="H3652" t="n">
        <x:v>8</x:v>
      </x:c>
      <x:c r="I3652" t="str">
        <x:v>À qualifier par lieu</x:v>
      </x:c>
      <x:c r="J3652" t="str">
        <x:v>https://github.com/darknigthmare/deadwall-last-enclosure/blob/e28f46223e73105ab2c5d83f3d50b99b58ef53e6/codex-3000/addendum-1.58/PROGRAMMES_C.json</x:v>
      </x:c>
      <x:c r="K3652" t="str">
        <x:v>Source min 39,40 m ; max 39,40 m ; modèle 39 × 40 m ; niveaux 0. Détails dans catalogue-existant.json.</x:v>
      </x:c>
    </x:row>
    <x:row r="3653">
      <x:c r="A3653" t="str">
        <x:v>DW-3648</x:v>
      </x:c>
      <x:c r="B3653" t="str">
        <x:v>DW-3648</x:v>
      </x:c>
      <x:c r="C3653" t="str">
        <x:v>Parent indépendant 1.58</x:v>
      </x:c>
      <x:c r="D3653" t="str">
        <x:v>Agriculture</x:v>
      </x:c>
      <x:c r="E3653" t="str">
        <x:v>Maison de prêt des outils maraîchers</x:v>
      </x:c>
      <x:c r="F3653" t="n">
        <x:v>9</x:v>
      </x:c>
      <x:c r="G3653" t="n">
        <x:v>8</x:v>
      </x:c>
      <x:c r="H3653" t="n">
        <x:v>8</x:v>
      </x:c>
      <x:c r="I3653" t="str">
        <x:v>À qualifier par lieu</x:v>
      </x:c>
      <x:c r="J3653" t="str">
        <x:v>https://github.com/darknigthmare/deadwall-last-enclosure/blob/e28f46223e73105ab2c5d83f3d50b99b58ef53e6/codex-3000/addendum-1.58/PROGRAMMES_C.json</x:v>
      </x:c>
      <x:c r="K3653" t="str">
        <x:v>Source min 44,34 m ; max 44,34 m ; modèle 44 × 34 m ; niveaux 0, 1. Détails dans catalogue-existant.json.</x:v>
      </x:c>
    </x:row>
    <x:row r="3654">
      <x:c r="A3654" t="str">
        <x:v>DW-3649</x:v>
      </x:c>
      <x:c r="B3654" t="str">
        <x:v>DW-3649</x:v>
      </x:c>
      <x:c r="C3654" t="str">
        <x:v>Parent indépendant 1.58</x:v>
      </x:c>
      <x:c r="D3654" t="str">
        <x:v>Agriculture</x:v>
      </x:c>
      <x:c r="E3654" t="str">
        <x:v>Halle de nettoyage des bulbes conservés</x:v>
      </x:c>
      <x:c r="F3654" t="n">
        <x:v>9</x:v>
      </x:c>
      <x:c r="G3654" t="n">
        <x:v>8</x:v>
      </x:c>
      <x:c r="H3654" t="n">
        <x:v>8</x:v>
      </x:c>
      <x:c r="I3654" t="str">
        <x:v>À qualifier par lieu</x:v>
      </x:c>
      <x:c r="J3654" t="str">
        <x:v>https://github.com/darknigthmare/deadwall-last-enclosure/blob/e28f46223e73105ab2c5d83f3d50b99b58ef53e6/codex-3000/addendum-1.58/PROGRAMMES_C.json</x:v>
      </x:c>
      <x:c r="K3654" t="str">
        <x:v>Source min 49,40 m ; max 49,40 m ; modèle 49 × 40 m ; niveaux 0. Détails dans catalogue-existant.json.</x:v>
      </x:c>
    </x:row>
    <x:row r="3655">
      <x:c r="A3655" t="str">
        <x:v>DW-3650</x:v>
      </x:c>
      <x:c r="B3655" t="str">
        <x:v>DW-3650</x:v>
      </x:c>
      <x:c r="C3655" t="str">
        <x:v>Parent indépendant 1.58</x:v>
      </x:c>
      <x:c r="D3655" t="str">
        <x:v>Agriculture</x:v>
      </x:c>
      <x:c r="E3655" t="str">
        <x:v>Station de cure des tubercules</x:v>
      </x:c>
      <x:c r="F3655" t="n">
        <x:v>9</x:v>
      </x:c>
      <x:c r="G3655" t="n">
        <x:v>8</x:v>
      </x:c>
      <x:c r="H3655" t="n">
        <x:v>8</x:v>
      </x:c>
      <x:c r="I3655" t="str">
        <x:v>À qualifier par lieu</x:v>
      </x:c>
      <x:c r="J3655" t="str">
        <x:v>https://github.com/darknigthmare/deadwall-last-enclosure/blob/e28f46223e73105ab2c5d83f3d50b99b58ef53e6/codex-3000/addendum-1.58/PROGRAMMES_C.json</x:v>
      </x:c>
      <x:c r="K3655" t="str">
        <x:v>Source min 54,40 m ; max 54,40 m ; modèle 54 × 40 m ; niveaux 0. Détails dans catalogue-existant.json.</x:v>
      </x:c>
    </x:row>
    <x:row r="3656">
      <x:c r="A3656" t="str">
        <x:v>DW-3651</x:v>
      </x:c>
      <x:c r="B3656" t="str">
        <x:v>DW-3651</x:v>
      </x:c>
      <x:c r="C3656" t="str">
        <x:v>Parent indépendant 1.58</x:v>
      </x:c>
      <x:c r="D3656" t="str">
        <x:v>Agriculture</x:v>
      </x:c>
      <x:c r="E3656" t="str">
        <x:v>Maison de séchage des plantes médicinales</x:v>
      </x:c>
      <x:c r="F3656" t="n">
        <x:v>9</x:v>
      </x:c>
      <x:c r="G3656" t="n">
        <x:v>8</x:v>
      </x:c>
      <x:c r="H3656" t="n">
        <x:v>8</x:v>
      </x:c>
      <x:c r="I3656" t="str">
        <x:v>À qualifier par lieu</x:v>
      </x:c>
      <x:c r="J3656" t="str">
        <x:v>https://github.com/darknigthmare/deadwall-last-enclosure/blob/e28f46223e73105ab2c5d83f3d50b99b58ef53e6/codex-3000/addendum-1.58/PROGRAMMES_C.json</x:v>
      </x:c>
      <x:c r="K3656" t="str">
        <x:v>Source min 34,44 m ; max 34,44 m ; modèle 34 × 44 m ; niveaux 0. Détails dans catalogue-existant.json.</x:v>
      </x:c>
    </x:row>
    <x:row r="3657">
      <x:c r="A3657" t="str">
        <x:v>DW-3652</x:v>
      </x:c>
      <x:c r="B3657" t="str">
        <x:v>DW-3652</x:v>
      </x:c>
      <x:c r="C3657" t="str">
        <x:v>Parent indépendant 1.58</x:v>
      </x:c>
      <x:c r="D3657" t="str">
        <x:v>Agriculture</x:v>
      </x:c>
      <x:c r="E3657" t="str">
        <x:v>Atelier de tri des fruits à pépins</x:v>
      </x:c>
      <x:c r="F3657" t="n">
        <x:v>9</x:v>
      </x:c>
      <x:c r="G3657" t="n">
        <x:v>8</x:v>
      </x:c>
      <x:c r="H3657" t="n">
        <x:v>8</x:v>
      </x:c>
      <x:c r="I3657" t="str">
        <x:v>À qualifier par lieu</x:v>
      </x:c>
      <x:c r="J3657" t="str">
        <x:v>https://github.com/darknigthmare/deadwall-last-enclosure/blob/e28f46223e73105ab2c5d83f3d50b99b58ef53e6/codex-3000/addendum-1.58/PROGRAMMES_C.json</x:v>
      </x:c>
      <x:c r="K3657" t="str">
        <x:v>Source min 39,44 m ; max 39,44 m ; modèle 39 × 44 m ; niveaux 0. Détails dans catalogue-existant.json.</x:v>
      </x:c>
    </x:row>
    <x:row r="3658">
      <x:c r="A3658" t="str">
        <x:v>DW-3653</x:v>
      </x:c>
      <x:c r="B3658" t="str">
        <x:v>DW-3653</x:v>
      </x:c>
      <x:c r="C3658" t="str">
        <x:v>Parent indépendant 1.58</x:v>
      </x:c>
      <x:c r="D3658" t="str">
        <x:v>Agriculture</x:v>
      </x:c>
      <x:c r="E3658" t="str">
        <x:v>Halle de stockage des racines en bacs</x:v>
      </x:c>
      <x:c r="F3658" t="n">
        <x:v>9</x:v>
      </x:c>
      <x:c r="G3658" t="n">
        <x:v>8</x:v>
      </x:c>
      <x:c r="H3658" t="n">
        <x:v>8</x:v>
      </x:c>
      <x:c r="I3658" t="str">
        <x:v>À qualifier par lieu</x:v>
      </x:c>
      <x:c r="J3658" t="str">
        <x:v>https://github.com/darknigthmare/deadwall-last-enclosure/blob/e28f46223e73105ab2c5d83f3d50b99b58ef53e6/codex-3000/addendum-1.58/PROGRAMMES_C.json</x:v>
      </x:c>
      <x:c r="K3658" t="str">
        <x:v>Source min 44,38 m ; max 44,38 m ; modèle 44 × 38 m ; niveaux 0, 1. Détails dans catalogue-existant.json.</x:v>
      </x:c>
    </x:row>
    <x:row r="3659">
      <x:c r="A3659" t="str">
        <x:v>DW-3654</x:v>
      </x:c>
      <x:c r="B3659" t="str">
        <x:v>DW-3654</x:v>
      </x:c>
      <x:c r="C3659" t="str">
        <x:v>Parent indépendant 1.58</x:v>
      </x:c>
      <x:c r="D3659" t="str">
        <x:v>Agriculture</x:v>
      </x:c>
      <x:c r="E3659" t="str">
        <x:v>Station de lavage des légumes terreux</x:v>
      </x:c>
      <x:c r="F3659" t="n">
        <x:v>9</x:v>
      </x:c>
      <x:c r="G3659" t="n">
        <x:v>8</x:v>
      </x:c>
      <x:c r="H3659" t="n">
        <x:v>8</x:v>
      </x:c>
      <x:c r="I3659" t="str">
        <x:v>À qualifier par lieu</x:v>
      </x:c>
      <x:c r="J3659" t="str">
        <x:v>https://github.com/darknigthmare/deadwall-last-enclosure/blob/e28f46223e73105ab2c5d83f3d50b99b58ef53e6/codex-3000/addendum-1.58/PROGRAMMES_C.json</x:v>
      </x:c>
      <x:c r="K3659" t="str">
        <x:v>Source min 49,44 m ; max 49,44 m ; modèle 49 × 44 m ; niveaux 0. Détails dans catalogue-existant.json.</x:v>
      </x:c>
    </x:row>
    <x:row r="3660">
      <x:c r="A3660" t="str">
        <x:v>DW-3655</x:v>
      </x:c>
      <x:c r="B3660" t="str">
        <x:v>DW-3655</x:v>
      </x:c>
      <x:c r="C3660" t="str">
        <x:v>Parent indépendant 1.58</x:v>
      </x:c>
      <x:c r="D3660" t="str">
        <x:v>Agriculture</x:v>
      </x:c>
      <x:c r="E3660" t="str">
        <x:v>Atelier de préparation des bouquets maraîchers</x:v>
      </x:c>
      <x:c r="F3660" t="n">
        <x:v>9</x:v>
      </x:c>
      <x:c r="G3660" t="n">
        <x:v>8</x:v>
      </x:c>
      <x:c r="H3660" t="n">
        <x:v>8</x:v>
      </x:c>
      <x:c r="I3660" t="str">
        <x:v>À qualifier par lieu</x:v>
      </x:c>
      <x:c r="J3660" t="str">
        <x:v>https://github.com/darknigthmare/deadwall-last-enclosure/blob/e28f46223e73105ab2c5d83f3d50b99b58ef53e6/codex-3000/addendum-1.58/PROGRAMMES_C.json</x:v>
      </x:c>
      <x:c r="K3660" t="str">
        <x:v>Source min 54,44 m ; max 54,44 m ; modèle 54 × 44 m ; niveaux 0. Détails dans catalogue-existant.json.</x:v>
      </x:c>
    </x:row>
    <x:row r="3661">
      <x:c r="A3661" t="str">
        <x:v>DW-3656</x:v>
      </x:c>
      <x:c r="B3661" t="str">
        <x:v>DW-3656</x:v>
      </x:c>
      <x:c r="C3661" t="str">
        <x:v>Parent indépendant 1.58</x:v>
      </x:c>
      <x:c r="D3661" t="str">
        <x:v>Agriculture</x:v>
      </x:c>
      <x:c r="E3661" t="str">
        <x:v>Maison des récoltes communautaires</x:v>
      </x:c>
      <x:c r="F3661" t="n">
        <x:v>9</x:v>
      </x:c>
      <x:c r="G3661" t="n">
        <x:v>8</x:v>
      </x:c>
      <x:c r="H3661" t="n">
        <x:v>8</x:v>
      </x:c>
      <x:c r="I3661" t="str">
        <x:v>À qualifier par lieu</x:v>
      </x:c>
      <x:c r="J3661" t="str">
        <x:v>https://github.com/darknigthmare/deadwall-last-enclosure/blob/e28f46223e73105ab2c5d83f3d50b99b58ef53e6/codex-3000/addendum-1.58/PROGRAMMES_C.json</x:v>
      </x:c>
      <x:c r="K3661" t="str">
        <x:v>Source min 34,48 m ; max 34,48 m ; modèle 34 × 48 m ; niveaux 0. Détails dans catalogue-existant.json.</x:v>
      </x:c>
    </x:row>
    <x:row r="3662">
      <x:c r="A3662" t="str">
        <x:v>DW-3657</x:v>
      </x:c>
      <x:c r="B3662" t="str">
        <x:v>DW-3657</x:v>
      </x:c>
      <x:c r="C3662" t="str">
        <x:v>Parent indépendant 1.58</x:v>
      </x:c>
      <x:c r="D3662" t="str">
        <x:v>Agriculture</x:v>
      </x:c>
      <x:c r="E3662" t="str">
        <x:v>Atelier de sacs de semis contrôlés</x:v>
      </x:c>
      <x:c r="F3662" t="n">
        <x:v>9</x:v>
      </x:c>
      <x:c r="G3662" t="n">
        <x:v>8</x:v>
      </x:c>
      <x:c r="H3662" t="n">
        <x:v>8</x:v>
      </x:c>
      <x:c r="I3662" t="str">
        <x:v>À qualifier par lieu</x:v>
      </x:c>
      <x:c r="J3662" t="str">
        <x:v>https://github.com/darknigthmare/deadwall-last-enclosure/blob/e28f46223e73105ab2c5d83f3d50b99b58ef53e6/codex-3000/addendum-1.58/PROGRAMMES_C.json</x:v>
      </x:c>
      <x:c r="K3662" t="str">
        <x:v>Source min 39,48 m ; max 39,48 m ; modèle 39 × 48 m ; niveaux 0. Détails dans catalogue-existant.json.</x:v>
      </x:c>
    </x:row>
    <x:row r="3663">
      <x:c r="A3663" t="str">
        <x:v>DW-3658</x:v>
      </x:c>
      <x:c r="B3663" t="str">
        <x:v>DW-3658</x:v>
      </x:c>
      <x:c r="C3663" t="str">
        <x:v>Parent indépendant 1.58</x:v>
      </x:c>
      <x:c r="D3663" t="str">
        <x:v>Agriculture</x:v>
      </x:c>
      <x:c r="E3663" t="str">
        <x:v>Station de surveillance des ravageurs</x:v>
      </x:c>
      <x:c r="F3663" t="n">
        <x:v>9</x:v>
      </x:c>
      <x:c r="G3663" t="n">
        <x:v>8</x:v>
      </x:c>
      <x:c r="H3663" t="n">
        <x:v>8</x:v>
      </x:c>
      <x:c r="I3663" t="str">
        <x:v>À qualifier par lieu</x:v>
      </x:c>
      <x:c r="J3663" t="str">
        <x:v>https://github.com/darknigthmare/deadwall-last-enclosure/blob/e28f46223e73105ab2c5d83f3d50b99b58ef53e6/codex-3000/addendum-1.58/PROGRAMMES_C.json</x:v>
      </x:c>
      <x:c r="K3663" t="str">
        <x:v>Source min 44,42 m ; max 44,42 m ; modèle 44 × 42 m ; niveaux 0, 1. Détails dans catalogue-existant.json.</x:v>
      </x:c>
    </x:row>
    <x:row r="3664">
      <x:c r="A3664" t="str">
        <x:v>DW-3659</x:v>
      </x:c>
      <x:c r="B3664" t="str">
        <x:v>DW-3659</x:v>
      </x:c>
      <x:c r="C3664" t="str">
        <x:v>Parent indépendant 1.58</x:v>
      </x:c>
      <x:c r="D3664" t="str">
        <x:v>Agriculture</x:v>
      </x:c>
      <x:c r="E3664" t="str">
        <x:v>Maison de suivi des pollinisateurs</x:v>
      </x:c>
      <x:c r="F3664" t="n">
        <x:v>9</x:v>
      </x:c>
      <x:c r="G3664" t="n">
        <x:v>8</x:v>
      </x:c>
      <x:c r="H3664" t="n">
        <x:v>8</x:v>
      </x:c>
      <x:c r="I3664" t="str">
        <x:v>À qualifier par lieu</x:v>
      </x:c>
      <x:c r="J3664" t="str">
        <x:v>https://github.com/darknigthmare/deadwall-last-enclosure/blob/e28f46223e73105ab2c5d83f3d50b99b58ef53e6/codex-3000/addendum-1.58/PROGRAMMES_C.json</x:v>
      </x:c>
      <x:c r="K3664" t="str">
        <x:v>Source min 49,48 m ; max 49,48 m ; modèle 49 × 48 m ; niveaux 0. Détails dans catalogue-existant.json.</x:v>
      </x:c>
    </x:row>
    <x:row r="3665">
      <x:c r="A3665" t="str">
        <x:v>DW-3660</x:v>
      </x:c>
      <x:c r="B3665" t="str">
        <x:v>DW-3660</x:v>
      </x:c>
      <x:c r="C3665" t="str">
        <x:v>Parent indépendant 1.58</x:v>
      </x:c>
      <x:c r="D3665" t="str">
        <x:v>Agriculture</x:v>
      </x:c>
      <x:c r="E3665" t="str">
        <x:v>Atelier de nichoirs pour auxiliaires agricoles</x:v>
      </x:c>
      <x:c r="F3665" t="n">
        <x:v>9</x:v>
      </x:c>
      <x:c r="G3665" t="n">
        <x:v>8</x:v>
      </x:c>
      <x:c r="H3665" t="n">
        <x:v>8</x:v>
      </x:c>
      <x:c r="I3665" t="str">
        <x:v>À qualifier par lieu</x:v>
      </x:c>
      <x:c r="J3665" t="str">
        <x:v>https://github.com/darknigthmare/deadwall-last-enclosure/blob/e28f46223e73105ab2c5d83f3d50b99b58ef53e6/codex-3000/addendum-1.58/PROGRAMMES_C.json</x:v>
      </x:c>
      <x:c r="K3665" t="str">
        <x:v>Source min 54,48 m ; max 54,48 m ; modèle 54 × 48 m ; niveaux 0. Détails dans catalogue-existant.json.</x:v>
      </x:c>
    </x:row>
    <x:row r="3666">
      <x:c r="A3666" t="str">
        <x:v>DW-3661</x:v>
      </x:c>
      <x:c r="B3666" t="str">
        <x:v>DW-3661</x:v>
      </x:c>
      <x:c r="C3666" t="str">
        <x:v>Parent indépendant 1.58</x:v>
      </x:c>
      <x:c r="D3666" t="str">
        <x:v>Agriculture</x:v>
      </x:c>
      <x:c r="E3666" t="str">
        <x:v>Maison de repérage des haies bocagères</x:v>
      </x:c>
      <x:c r="F3666" t="n">
        <x:v>9</x:v>
      </x:c>
      <x:c r="G3666" t="n">
        <x:v>8</x:v>
      </x:c>
      <x:c r="H3666" t="n">
        <x:v>8</x:v>
      </x:c>
      <x:c r="I3666" t="str">
        <x:v>À qualifier par lieu</x:v>
      </x:c>
      <x:c r="J3666" t="str">
        <x:v>https://github.com/darknigthmare/deadwall-last-enclosure/blob/e28f46223e73105ab2c5d83f3d50b99b58ef53e6/codex-3000/addendum-1.58/PROGRAMMES_C.json</x:v>
      </x:c>
      <x:c r="K3666" t="str">
        <x:v>Source min 34,36 m ; max 34,36 m ; modèle 34 × 36 m ; niveaux 0. Détails dans catalogue-existant.json.</x:v>
      </x:c>
    </x:row>
    <x:row r="3667">
      <x:c r="A3667" t="str">
        <x:v>DW-3662</x:v>
      </x:c>
      <x:c r="B3667" t="str">
        <x:v>DW-3662</x:v>
      </x:c>
      <x:c r="C3667" t="str">
        <x:v>Parent indépendant 1.58</x:v>
      </x:c>
      <x:c r="D3667" t="str">
        <x:v>Agriculture</x:v>
      </x:c>
      <x:c r="E3667" t="str">
        <x:v>Station de contrôle des fruits destinés au stockage</x:v>
      </x:c>
      <x:c r="F3667" t="n">
        <x:v>9</x:v>
      </x:c>
      <x:c r="G3667" t="n">
        <x:v>8</x:v>
      </x:c>
      <x:c r="H3667" t="n">
        <x:v>8</x:v>
      </x:c>
      <x:c r="I3667" t="str">
        <x:v>À qualifier par lieu</x:v>
      </x:c>
      <x:c r="J3667" t="str">
        <x:v>https://github.com/darknigthmare/deadwall-last-enclosure/blob/e28f46223e73105ab2c5d83f3d50b99b58ef53e6/codex-3000/addendum-1.58/PROGRAMMES_C.json</x:v>
      </x:c>
      <x:c r="K3667" t="str">
        <x:v>Source min 39,36 m ; max 39,36 m ; modèle 39 × 36 m ; niveaux 0. Détails dans catalogue-existant.json.</x:v>
      </x:c>
    </x:row>
    <x:row r="3668">
      <x:c r="A3668" t="str">
        <x:v>DW-3663</x:v>
      </x:c>
      <x:c r="B3668" t="str">
        <x:v>DW-3663</x:v>
      </x:c>
      <x:c r="C3668" t="str">
        <x:v>Parent indépendant 1.58</x:v>
      </x:c>
      <x:c r="D3668" t="str">
        <x:v>Agriculture</x:v>
      </x:c>
      <x:c r="E3668" t="str">
        <x:v>Atelier de réparation des filets de verger</x:v>
      </x:c>
      <x:c r="F3668" t="n">
        <x:v>9</x:v>
      </x:c>
      <x:c r="G3668" t="n">
        <x:v>8</x:v>
      </x:c>
      <x:c r="H3668" t="n">
        <x:v>8</x:v>
      </x:c>
      <x:c r="I3668" t="str">
        <x:v>À qualifier par lieu</x:v>
      </x:c>
      <x:c r="J3668" t="str">
        <x:v>https://github.com/darknigthmare/deadwall-last-enclosure/blob/e28f46223e73105ab2c5d83f3d50b99b58ef53e6/codex-3000/addendum-1.58/PROGRAMMES_C.json</x:v>
      </x:c>
      <x:c r="K3668" t="str">
        <x:v>Source min 44,30 m ; max 44,30 m ; modèle 44 × 30 m ; niveaux 0, 1. Détails dans catalogue-existant.json.</x:v>
      </x:c>
    </x:row>
    <x:row r="3669">
      <x:c r="A3669" t="str">
        <x:v>DW-3664</x:v>
      </x:c>
      <x:c r="B3669" t="str">
        <x:v>DW-3664</x:v>
      </x:c>
      <x:c r="C3669" t="str">
        <x:v>Parent indépendant 1.58</x:v>
      </x:c>
      <x:c r="D3669" t="str">
        <x:v>Agriculture</x:v>
      </x:c>
      <x:c r="E3669" t="str">
        <x:v>Halle de tri des copeaux de litière</x:v>
      </x:c>
      <x:c r="F3669" t="n">
        <x:v>9</x:v>
      </x:c>
      <x:c r="G3669" t="n">
        <x:v>8</x:v>
      </x:c>
      <x:c r="H3669" t="n">
        <x:v>8</x:v>
      </x:c>
      <x:c r="I3669" t="str">
        <x:v>À qualifier par lieu</x:v>
      </x:c>
      <x:c r="J3669" t="str">
        <x:v>https://github.com/darknigthmare/deadwall-last-enclosure/blob/e28f46223e73105ab2c5d83f3d50b99b58ef53e6/codex-3000/addendum-1.58/PROGRAMMES_C.json</x:v>
      </x:c>
      <x:c r="K3669" t="str">
        <x:v>Source min 49,36 m ; max 49,36 m ; modèle 49 × 36 m ; niveaux 0. Détails dans catalogue-existant.json.</x:v>
      </x:c>
    </x:row>
    <x:row r="3670">
      <x:c r="A3670" t="str">
        <x:v>DW-3665</x:v>
      </x:c>
      <x:c r="B3670" t="str">
        <x:v>DW-3665</x:v>
      </x:c>
      <x:c r="C3670" t="str">
        <x:v>Parent indépendant 1.58</x:v>
      </x:c>
      <x:c r="D3670" t="str">
        <x:v>Agriculture</x:v>
      </x:c>
      <x:c r="E3670" t="str">
        <x:v>Maison des comptes de récolte solidaire</x:v>
      </x:c>
      <x:c r="F3670" t="n">
        <x:v>9</x:v>
      </x:c>
      <x:c r="G3670" t="n">
        <x:v>8</x:v>
      </x:c>
      <x:c r="H3670" t="n">
        <x:v>8</x:v>
      </x:c>
      <x:c r="I3670" t="str">
        <x:v>À qualifier par lieu</x:v>
      </x:c>
      <x:c r="J3670" t="str">
        <x:v>https://github.com/darknigthmare/deadwall-last-enclosure/blob/e28f46223e73105ab2c5d83f3d50b99b58ef53e6/codex-3000/addendum-1.58/PROGRAMMES_C.json</x:v>
      </x:c>
      <x:c r="K3670" t="str">
        <x:v>Source min 54,36 m ; max 54,36 m ; modèle 54 × 36 m ; niveaux 0. Détails dans catalogue-existant.json.</x:v>
      </x:c>
    </x:row>
    <x:row r="3671">
      <x:c r="A3671" t="str">
        <x:v>DW-3666</x:v>
      </x:c>
      <x:c r="B3671" t="str">
        <x:v>DW-3666</x:v>
      </x:c>
      <x:c r="C3671" t="str">
        <x:v>Parent indépendant 1.58</x:v>
      </x:c>
      <x:c r="D3671" t="str">
        <x:v>Énergie et communication</x:v>
      </x:c>
      <x:c r="E3671" t="str">
        <x:v>Atelier de pompes de captage déposées</x:v>
      </x:c>
      <x:c r="F3671" t="n">
        <x:v>9</x:v>
      </x:c>
      <x:c r="G3671" t="n">
        <x:v>8</x:v>
      </x:c>
      <x:c r="H3671" t="n">
        <x:v>8</x:v>
      </x:c>
      <x:c r="I3671" t="str">
        <x:v>À qualifier par lieu</x:v>
      </x:c>
      <x:c r="J3671" t="str">
        <x:v>https://github.com/darknigthmare/deadwall-last-enclosure/blob/e28f46223e73105ab2c5d83f3d50b99b58ef53e6/codex-3000/addendum-1.58/PROGRAMMES_C.json</x:v>
      </x:c>
      <x:c r="K3671" t="str">
        <x:v>Source min 38,40 m ; max 38,40 m ; modèle 38 × 40 m ; niveaux 0. Détails dans catalogue-existant.json.</x:v>
      </x:c>
    </x:row>
    <x:row r="3672">
      <x:c r="A3672" t="str">
        <x:v>DW-3667</x:v>
      </x:c>
      <x:c r="B3672" t="str">
        <x:v>DW-3667</x:v>
      </x:c>
      <x:c r="C3672" t="str">
        <x:v>Parent indépendant 1.58</x:v>
      </x:c>
      <x:c r="D3672" t="str">
        <x:v>Énergie et communication</x:v>
      </x:c>
      <x:c r="E3672" t="str">
        <x:v>Maison d'échantillonnage de l'eau brute</x:v>
      </x:c>
      <x:c r="F3672" t="n">
        <x:v>9</x:v>
      </x:c>
      <x:c r="G3672" t="n">
        <x:v>8</x:v>
      </x:c>
      <x:c r="H3672" t="n">
        <x:v>8</x:v>
      </x:c>
      <x:c r="I3672" t="str">
        <x:v>À qualifier par lieu</x:v>
      </x:c>
      <x:c r="J3672" t="str">
        <x:v>https://github.com/darknigthmare/deadwall-last-enclosure/blob/e28f46223e73105ab2c5d83f3d50b99b58ef53e6/codex-3000/addendum-1.58/PROGRAMMES_C.json</x:v>
      </x:c>
      <x:c r="K3672" t="str">
        <x:v>Source min 43,40 m ; max 43,40 m ; modèle 43 × 40 m ; niveaux 0. Détails dans catalogue-existant.json.</x:v>
      </x:c>
    </x:row>
    <x:row r="3673">
      <x:c r="A3673" t="str">
        <x:v>DW-3668</x:v>
      </x:c>
      <x:c r="B3673" t="str">
        <x:v>DW-3668</x:v>
      </x:c>
      <x:c r="C3673" t="str">
        <x:v>Parent indépendant 1.58</x:v>
      </x:c>
      <x:c r="D3673" t="str">
        <x:v>Énergie et communication</x:v>
      </x:c>
      <x:c r="E3673" t="str">
        <x:v>Station terrestre de filtres à cartouche</x:v>
      </x:c>
      <x:c r="F3673" t="n">
        <x:v>9</x:v>
      </x:c>
      <x:c r="G3673" t="n">
        <x:v>8</x:v>
      </x:c>
      <x:c r="H3673" t="n">
        <x:v>8</x:v>
      </x:c>
      <x:c r="I3673" t="str">
        <x:v>À qualifier par lieu</x:v>
      </x:c>
      <x:c r="J3673" t="str">
        <x:v>https://github.com/darknigthmare/deadwall-last-enclosure/blob/e28f46223e73105ab2c5d83f3d50b99b58ef53e6/codex-3000/addendum-1.58/PROGRAMMES_C.json</x:v>
      </x:c>
      <x:c r="K3673" t="str">
        <x:v>Source min 48,34 m ; max 48,34 m ; modèle 48 × 34 m ; niveaux 0, 1. Détails dans catalogue-existant.json.</x:v>
      </x:c>
    </x:row>
    <x:row r="3674">
      <x:c r="A3674" t="str">
        <x:v>DW-3669</x:v>
      </x:c>
      <x:c r="B3674" t="str">
        <x:v>DW-3669</x:v>
      </x:c>
      <x:c r="C3674" t="str">
        <x:v>Parent indépendant 1.58</x:v>
      </x:c>
      <x:c r="D3674" t="str">
        <x:v>Énergie et communication</x:v>
      </x:c>
      <x:c r="E3674" t="str">
        <x:v>Bâtiment de commande de surpression</x:v>
      </x:c>
      <x:c r="F3674" t="n">
        <x:v>9</x:v>
      </x:c>
      <x:c r="G3674" t="n">
        <x:v>8</x:v>
      </x:c>
      <x:c r="H3674" t="n">
        <x:v>8</x:v>
      </x:c>
      <x:c r="I3674" t="str">
        <x:v>À qualifier par lieu</x:v>
      </x:c>
      <x:c r="J3674" t="str">
        <x:v>https://github.com/darknigthmare/deadwall-last-enclosure/blob/e28f46223e73105ab2c5d83f3d50b99b58ef53e6/codex-3000/addendum-1.58/PROGRAMMES_C.json</x:v>
      </x:c>
      <x:c r="K3674" t="str">
        <x:v>Source min 53,40 m ; max 53,40 m ; modèle 53 × 40 m ; niveaux 0. Détails dans catalogue-existant.json.</x:v>
      </x:c>
    </x:row>
    <x:row r="3675">
      <x:c r="A3675" t="str">
        <x:v>DW-3670</x:v>
      </x:c>
      <x:c r="B3675" t="str">
        <x:v>DW-3670</x:v>
      </x:c>
      <x:c r="C3675" t="str">
        <x:v>Parent indépendant 1.58</x:v>
      </x:c>
      <x:c r="D3675" t="str">
        <x:v>Énergie et communication</x:v>
      </x:c>
      <x:c r="E3675" t="str">
        <x:v>Atelier de compteurs d'eau démontés</x:v>
      </x:c>
      <x:c r="F3675" t="n">
        <x:v>9</x:v>
      </x:c>
      <x:c r="G3675" t="n">
        <x:v>8</x:v>
      </x:c>
      <x:c r="H3675" t="n">
        <x:v>8</x:v>
      </x:c>
      <x:c r="I3675" t="str">
        <x:v>À qualifier par lieu</x:v>
      </x:c>
      <x:c r="J3675" t="str">
        <x:v>https://github.com/darknigthmare/deadwall-last-enclosure/blob/e28f46223e73105ab2c5d83f3d50b99b58ef53e6/codex-3000/addendum-1.58/PROGRAMMES_C.json</x:v>
      </x:c>
      <x:c r="K3675" t="str">
        <x:v>Source min 58,40 m ; max 58,40 m ; modèle 58 × 40 m ; niveaux 0. Détails dans catalogue-existant.json.</x:v>
      </x:c>
    </x:row>
    <x:row r="3676">
      <x:c r="A3676" t="str">
        <x:v>DW-3671</x:v>
      </x:c>
      <x:c r="B3676" t="str">
        <x:v>DW-3671</x:v>
      </x:c>
      <x:c r="C3676" t="str">
        <x:v>Parent indépendant 1.58</x:v>
      </x:c>
      <x:c r="D3676" t="str">
        <x:v>Énergie et communication</x:v>
      </x:c>
      <x:c r="E3676" t="str">
        <x:v>Station de stockage de raccords hydrauliques</x:v>
      </x:c>
      <x:c r="F3676" t="n">
        <x:v>9</x:v>
      </x:c>
      <x:c r="G3676" t="n">
        <x:v>8</x:v>
      </x:c>
      <x:c r="H3676" t="n">
        <x:v>8</x:v>
      </x:c>
      <x:c r="I3676" t="str">
        <x:v>À qualifier par lieu</x:v>
      </x:c>
      <x:c r="J3676" t="str">
        <x:v>https://github.com/darknigthmare/deadwall-last-enclosure/blob/e28f46223e73105ab2c5d83f3d50b99b58ef53e6/codex-3000/addendum-1.58/PROGRAMMES_C.json</x:v>
      </x:c>
      <x:c r="K3676" t="str">
        <x:v>Source min 38,44 m ; max 38,44 m ; modèle 38 × 44 m ; niveaux 0. Détails dans catalogue-existant.json.</x:v>
      </x:c>
    </x:row>
    <x:row r="3677">
      <x:c r="A3677" t="str">
        <x:v>DW-3672</x:v>
      </x:c>
      <x:c r="B3677" t="str">
        <x:v>DW-3672</x:v>
      </x:c>
      <x:c r="C3677" t="str">
        <x:v>Parent indépendant 1.58</x:v>
      </x:c>
      <x:c r="D3677" t="str">
        <x:v>Énergie et communication</x:v>
      </x:c>
      <x:c r="E3677" t="str">
        <x:v>Maison des essais de joints hydrauliques</x:v>
      </x:c>
      <x:c r="F3677" t="n">
        <x:v>9</x:v>
      </x:c>
      <x:c r="G3677" t="n">
        <x:v>8</x:v>
      </x:c>
      <x:c r="H3677" t="n">
        <x:v>8</x:v>
      </x:c>
      <x:c r="I3677" t="str">
        <x:v>À qualifier par lieu</x:v>
      </x:c>
      <x:c r="J3677" t="str">
        <x:v>https://github.com/darknigthmare/deadwall-last-enclosure/blob/e28f46223e73105ab2c5d83f3d50b99b58ef53e6/codex-3000/addendum-1.58/PROGRAMMES_C.json</x:v>
      </x:c>
      <x:c r="K3677" t="str">
        <x:v>Source min 43,44 m ; max 43,44 m ; modèle 43 × 44 m ; niveaux 0. Détails dans catalogue-existant.json.</x:v>
      </x:c>
    </x:row>
    <x:row r="3678">
      <x:c r="A3678" t="str">
        <x:v>DW-3673</x:v>
      </x:c>
      <x:c r="B3678" t="str">
        <x:v>DW-3673</x:v>
      </x:c>
      <x:c r="C3678" t="str">
        <x:v>Parent indépendant 1.58</x:v>
      </x:c>
      <x:c r="D3678" t="str">
        <x:v>Énergie et communication</x:v>
      </x:c>
      <x:c r="E3678" t="str">
        <x:v>Bâtiment de membranes filtrantes déposées</x:v>
      </x:c>
      <x:c r="F3678" t="n">
        <x:v>9</x:v>
      </x:c>
      <x:c r="G3678" t="n">
        <x:v>8</x:v>
      </x:c>
      <x:c r="H3678" t="n">
        <x:v>8</x:v>
      </x:c>
      <x:c r="I3678" t="str">
        <x:v>À qualifier par lieu</x:v>
      </x:c>
      <x:c r="J3678" t="str">
        <x:v>https://github.com/darknigthmare/deadwall-last-enclosure/blob/e28f46223e73105ab2c5d83f3d50b99b58ef53e6/codex-3000/addendum-1.58/PROGRAMMES_C.json</x:v>
      </x:c>
      <x:c r="K3678" t="str">
        <x:v>Source min 48,38 m ; max 48,38 m ; modèle 48 × 38 m ; niveaux 0, 1. Détails dans catalogue-existant.json.</x:v>
      </x:c>
    </x:row>
    <x:row r="3679">
      <x:c r="A3679" t="str">
        <x:v>DW-3674</x:v>
      </x:c>
      <x:c r="B3679" t="str">
        <x:v>DW-3674</x:v>
      </x:c>
      <x:c r="C3679" t="str">
        <x:v>Parent indépendant 1.58</x:v>
      </x:c>
      <x:c r="D3679" t="str">
        <x:v>Énergie et communication</x:v>
      </x:c>
      <x:c r="E3679" t="str">
        <x:v>Atelier de réparation des fontaines manuelles</x:v>
      </x:c>
      <x:c r="F3679" t="n">
        <x:v>9</x:v>
      </x:c>
      <x:c r="G3679" t="n">
        <x:v>8</x:v>
      </x:c>
      <x:c r="H3679" t="n">
        <x:v>8</x:v>
      </x:c>
      <x:c r="I3679" t="str">
        <x:v>À qualifier par lieu</x:v>
      </x:c>
      <x:c r="J3679" t="str">
        <x:v>https://github.com/darknigthmare/deadwall-last-enclosure/blob/e28f46223e73105ab2c5d83f3d50b99b58ef53e6/codex-3000/addendum-1.58/PROGRAMMES_C.json</x:v>
      </x:c>
      <x:c r="K3679" t="str">
        <x:v>Source min 53,44 m ; max 53,44 m ; modèle 53 × 44 m ; niveaux 0. Détails dans catalogue-existant.json.</x:v>
      </x:c>
    </x:row>
    <x:row r="3680">
      <x:c r="A3680" t="str">
        <x:v>DW-3675</x:v>
      </x:c>
      <x:c r="B3680" t="str">
        <x:v>DW-3675</x:v>
      </x:c>
      <x:c r="C3680" t="str">
        <x:v>Parent indépendant 1.58</x:v>
      </x:c>
      <x:c r="D3680" t="str">
        <x:v>Énergie et communication</x:v>
      </x:c>
      <x:c r="E3680" t="str">
        <x:v>Station des matériels de désinfection arrêtés</x:v>
      </x:c>
      <x:c r="F3680" t="n">
        <x:v>9</x:v>
      </x:c>
      <x:c r="G3680" t="n">
        <x:v>8</x:v>
      </x:c>
      <x:c r="H3680" t="n">
        <x:v>8</x:v>
      </x:c>
      <x:c r="I3680" t="str">
        <x:v>À qualifier par lieu</x:v>
      </x:c>
      <x:c r="J3680" t="str">
        <x:v>https://github.com/darknigthmare/deadwall-last-enclosure/blob/e28f46223e73105ab2c5d83f3d50b99b58ef53e6/codex-3000/addendum-1.58/PROGRAMMES_C.json</x:v>
      </x:c>
      <x:c r="K3680" t="str">
        <x:v>Source min 58,44 m ; max 58,44 m ; modèle 58 × 44 m ; niveaux 0. Détails dans catalogue-existant.json.</x:v>
      </x:c>
    </x:row>
    <x:row r="3681">
      <x:c r="A3681" t="str">
        <x:v>DW-3676</x:v>
      </x:c>
      <x:c r="B3681" t="str">
        <x:v>DW-3676</x:v>
      </x:c>
      <x:c r="C3681" t="str">
        <x:v>Parent indépendant 1.58</x:v>
      </x:c>
      <x:c r="D3681" t="str">
        <x:v>Énergie et communication</x:v>
      </x:c>
      <x:c r="E3681" t="str">
        <x:v>Bâtiment de lavage des petits filtres</x:v>
      </x:c>
      <x:c r="F3681" t="n">
        <x:v>9</x:v>
      </x:c>
      <x:c r="G3681" t="n">
        <x:v>8</x:v>
      </x:c>
      <x:c r="H3681" t="n">
        <x:v>8</x:v>
      </x:c>
      <x:c r="I3681" t="str">
        <x:v>À qualifier par lieu</x:v>
      </x:c>
      <x:c r="J3681" t="str">
        <x:v>https://github.com/darknigthmare/deadwall-last-enclosure/blob/e28f46223e73105ab2c5d83f3d50b99b58ef53e6/codex-3000/addendum-1.58/PROGRAMMES_C.json</x:v>
      </x:c>
      <x:c r="K3681" t="str">
        <x:v>Source min 38,48 m ; max 38,48 m ; modèle 38 × 48 m ; niveaux 0. Détails dans catalogue-existant.json.</x:v>
      </x:c>
    </x:row>
    <x:row r="3682">
      <x:c r="A3682" t="str">
        <x:v>DW-3677</x:v>
      </x:c>
      <x:c r="B3682" t="str">
        <x:v>DW-3677</x:v>
      </x:c>
      <x:c r="C3682" t="str">
        <x:v>Parent indépendant 1.58</x:v>
      </x:c>
      <x:c r="D3682" t="str">
        <x:v>Énergie et communication</x:v>
      </x:c>
      <x:c r="E3682" t="str">
        <x:v>Maison de suivi des pertes de conduites</x:v>
      </x:c>
      <x:c r="F3682" t="n">
        <x:v>9</x:v>
      </x:c>
      <x:c r="G3682" t="n">
        <x:v>8</x:v>
      </x:c>
      <x:c r="H3682" t="n">
        <x:v>8</x:v>
      </x:c>
      <x:c r="I3682" t="str">
        <x:v>À qualifier par lieu</x:v>
      </x:c>
      <x:c r="J3682" t="str">
        <x:v>https://github.com/darknigthmare/deadwall-last-enclosure/blob/e28f46223e73105ab2c5d83f3d50b99b58ef53e6/codex-3000/addendum-1.58/PROGRAMMES_C.json</x:v>
      </x:c>
      <x:c r="K3682" t="str">
        <x:v>Source min 43,48 m ; max 43,48 m ; modèle 43 × 48 m ; niveaux 0. Détails dans catalogue-existant.json.</x:v>
      </x:c>
    </x:row>
    <x:row r="3683">
      <x:c r="A3683" t="str">
        <x:v>DW-3678</x:v>
      </x:c>
      <x:c r="B3683" t="str">
        <x:v>DW-3678</x:v>
      </x:c>
      <x:c r="C3683" t="str">
        <x:v>Parent indépendant 1.58</x:v>
      </x:c>
      <x:c r="D3683" t="str">
        <x:v>Énergie et communication</x:v>
      </x:c>
      <x:c r="E3683" t="str">
        <x:v>Atelier de tubes de distribution sertis</x:v>
      </x:c>
      <x:c r="F3683" t="n">
        <x:v>9</x:v>
      </x:c>
      <x:c r="G3683" t="n">
        <x:v>8</x:v>
      </x:c>
      <x:c r="H3683" t="n">
        <x:v>8</x:v>
      </x:c>
      <x:c r="I3683" t="str">
        <x:v>À qualifier par lieu</x:v>
      </x:c>
      <x:c r="J3683" t="str">
        <x:v>https://github.com/darknigthmare/deadwall-last-enclosure/blob/e28f46223e73105ab2c5d83f3d50b99b58ef53e6/codex-3000/addendum-1.58/PROGRAMMES_C.json</x:v>
      </x:c>
      <x:c r="K3683" t="str">
        <x:v>Source min 48,42 m ; max 48,42 m ; modèle 48 × 42 m ; niveaux 0, 1. Détails dans catalogue-existant.json.</x:v>
      </x:c>
    </x:row>
    <x:row r="3684">
      <x:c r="A3684" t="str">
        <x:v>DW-3679</x:v>
      </x:c>
      <x:c r="B3684" t="str">
        <x:v>DW-3679</x:v>
      </x:c>
      <x:c r="C3684" t="str">
        <x:v>Parent indépendant 1.58</x:v>
      </x:c>
      <x:c r="D3684" t="str">
        <x:v>Énergie et communication</x:v>
      </x:c>
      <x:c r="E3684" t="str">
        <x:v>Station de conditionnement des flacons de terrain</x:v>
      </x:c>
      <x:c r="F3684" t="n">
        <x:v>9</x:v>
      </x:c>
      <x:c r="G3684" t="n">
        <x:v>8</x:v>
      </x:c>
      <x:c r="H3684" t="n">
        <x:v>8</x:v>
      </x:c>
      <x:c r="I3684" t="str">
        <x:v>À qualifier par lieu</x:v>
      </x:c>
      <x:c r="J3684" t="str">
        <x:v>https://github.com/darknigthmare/deadwall-last-enclosure/blob/e28f46223e73105ab2c5d83f3d50b99b58ef53e6/codex-3000/addendum-1.58/PROGRAMMES_C.json</x:v>
      </x:c>
      <x:c r="K3684" t="str">
        <x:v>Source min 53,48 m ; max 53,48 m ; modèle 53 × 48 m ; niveaux 0. Détails dans catalogue-existant.json.</x:v>
      </x:c>
    </x:row>
    <x:row r="3685">
      <x:c r="A3685" t="str">
        <x:v>DW-3680</x:v>
      </x:c>
      <x:c r="B3685" t="str">
        <x:v>DW-3680</x:v>
      </x:c>
      <x:c r="C3685" t="str">
        <x:v>Parent indépendant 1.58</x:v>
      </x:c>
      <x:c r="D3685" t="str">
        <x:v>Énergie et communication</x:v>
      </x:c>
      <x:c r="E3685" t="str">
        <x:v>Bâtiment de commande de drainage fermé</x:v>
      </x:c>
      <x:c r="F3685" t="n">
        <x:v>9</x:v>
      </x:c>
      <x:c r="G3685" t="n">
        <x:v>8</x:v>
      </x:c>
      <x:c r="H3685" t="n">
        <x:v>8</x:v>
      </x:c>
      <x:c r="I3685" t="str">
        <x:v>À qualifier par lieu</x:v>
      </x:c>
      <x:c r="J3685" t="str">
        <x:v>https://github.com/darknigthmare/deadwall-last-enclosure/blob/e28f46223e73105ab2c5d83f3d50b99b58ef53e6/codex-3000/addendum-1.58/PROGRAMMES_C.json</x:v>
      </x:c>
      <x:c r="K3685" t="str">
        <x:v>Source min 58,48 m ; max 58,48 m ; modèle 58 × 48 m ; niveaux 0. Détails dans catalogue-existant.json.</x:v>
      </x:c>
    </x:row>
    <x:row r="3686">
      <x:c r="A3686" t="str">
        <x:v>DW-3681</x:v>
      </x:c>
      <x:c r="B3686" t="str">
        <x:v>DW-3681</x:v>
      </x:c>
      <x:c r="C3686" t="str">
        <x:v>Parent indépendant 1.58</x:v>
      </x:c>
      <x:c r="D3686" t="str">
        <x:v>Énergie et communication</x:v>
      </x:c>
      <x:c r="E3686" t="str">
        <x:v>Maison des archives de prélèvement hydraulique</x:v>
      </x:c>
      <x:c r="F3686" t="n">
        <x:v>9</x:v>
      </x:c>
      <x:c r="G3686" t="n">
        <x:v>8</x:v>
      </x:c>
      <x:c r="H3686" t="n">
        <x:v>8</x:v>
      </x:c>
      <x:c r="I3686" t="str">
        <x:v>À qualifier par lieu</x:v>
      </x:c>
      <x:c r="J3686" t="str">
        <x:v>https://github.com/darknigthmare/deadwall-last-enclosure/blob/e28f46223e73105ab2c5d83f3d50b99b58ef53e6/codex-3000/addendum-1.58/PROGRAMMES_C.json</x:v>
      </x:c>
      <x:c r="K3686" t="str">
        <x:v>Source min 38,36 m ; max 38,36 m ; modèle 38 × 36 m ; niveaux 0. Détails dans catalogue-existant.json.</x:v>
      </x:c>
    </x:row>
    <x:row r="3687">
      <x:c r="A3687" t="str">
        <x:v>DW-3682</x:v>
      </x:c>
      <x:c r="B3687" t="str">
        <x:v>DW-3682</x:v>
      </x:c>
      <x:c r="C3687" t="str">
        <x:v>Parent indépendant 1.58</x:v>
      </x:c>
      <x:c r="D3687" t="str">
        <x:v>Énergie et communication</x:v>
      </x:c>
      <x:c r="E3687" t="str">
        <x:v>Atelier de réparation des flexibles alimentaires</x:v>
      </x:c>
      <x:c r="F3687" t="n">
        <x:v>9</x:v>
      </x:c>
      <x:c r="G3687" t="n">
        <x:v>8</x:v>
      </x:c>
      <x:c r="H3687" t="n">
        <x:v>8</x:v>
      </x:c>
      <x:c r="I3687" t="str">
        <x:v>À qualifier par lieu</x:v>
      </x:c>
      <x:c r="J3687" t="str">
        <x:v>https://github.com/darknigthmare/deadwall-last-enclosure/blob/e28f46223e73105ab2c5d83f3d50b99b58ef53e6/codex-3000/addendum-1.58/PROGRAMMES_C.json</x:v>
      </x:c>
      <x:c r="K3687" t="str">
        <x:v>Source min 43,36 m ; max 43,36 m ; modèle 43 × 36 m ; niveaux 0. Détails dans catalogue-existant.json.</x:v>
      </x:c>
    </x:row>
    <x:row r="3688">
      <x:c r="A3688" t="str">
        <x:v>DW-3683</x:v>
      </x:c>
      <x:c r="B3688" t="str">
        <x:v>DW-3683</x:v>
      </x:c>
      <x:c r="C3688" t="str">
        <x:v>Parent indépendant 1.58</x:v>
      </x:c>
      <x:c r="D3688" t="str">
        <x:v>Industrie et production</x:v>
      </x:c>
      <x:c r="E3688" t="str">
        <x:v>Station de réemploi des cuves portatives</x:v>
      </x:c>
      <x:c r="F3688" t="n">
        <x:v>9</x:v>
      </x:c>
      <x:c r="G3688" t="n">
        <x:v>8</x:v>
      </x:c>
      <x:c r="H3688" t="n">
        <x:v>8</x:v>
      </x:c>
      <x:c r="I3688" t="str">
        <x:v>À qualifier par lieu</x:v>
      </x:c>
      <x:c r="J3688" t="str">
        <x:v>https://github.com/darknigthmare/deadwall-last-enclosure/blob/e28f46223e73105ab2c5d83f3d50b99b58ef53e6/codex-3000/addendum-1.58/PROGRAMMES_C.json</x:v>
      </x:c>
      <x:c r="K3688" t="str">
        <x:v>Source min 48,30 m ; max 48,30 m ; modèle 48 × 30 m ; niveaux 0, 1. Détails dans catalogue-existant.json.</x:v>
      </x:c>
    </x:row>
    <x:row r="3689">
      <x:c r="A3689" t="str">
        <x:v>DW-3684</x:v>
      </x:c>
      <x:c r="B3689" t="str">
        <x:v>DW-3684</x:v>
      </x:c>
      <x:c r="C3689" t="str">
        <x:v>Parent indépendant 1.58</x:v>
      </x:c>
      <x:c r="D3689" t="str">
        <x:v>Énergie et communication</x:v>
      </x:c>
      <x:c r="E3689" t="str">
        <x:v>Bâtiment de distribution de bidons scellés</x:v>
      </x:c>
      <x:c r="F3689" t="n">
        <x:v>9</x:v>
      </x:c>
      <x:c r="G3689" t="n">
        <x:v>8</x:v>
      </x:c>
      <x:c r="H3689" t="n">
        <x:v>8</x:v>
      </x:c>
      <x:c r="I3689" t="str">
        <x:v>À qualifier par lieu</x:v>
      </x:c>
      <x:c r="J3689" t="str">
        <x:v>https://github.com/darknigthmare/deadwall-last-enclosure/blob/e28f46223e73105ab2c5d83f3d50b99b58ef53e6/codex-3000/addendum-1.58/PROGRAMMES_C.json</x:v>
      </x:c>
      <x:c r="K3689" t="str">
        <x:v>Source min 53,36 m ; max 53,36 m ; modèle 53 × 36 m ; niveaux 0. Détails dans catalogue-existant.json.</x:v>
      </x:c>
    </x:row>
    <x:row r="3690">
      <x:c r="A3690" t="str">
        <x:v>DW-3685</x:v>
      </x:c>
      <x:c r="B3690" t="str">
        <x:v>DW-3685</x:v>
      </x:c>
      <x:c r="C3690" t="str">
        <x:v>Parent indépendant 1.58</x:v>
      </x:c>
      <x:c r="D3690" t="str">
        <x:v>Énergie et communication</x:v>
      </x:c>
      <x:c r="E3690" t="str">
        <x:v>Maison des relevés de réseau sanitaire</x:v>
      </x:c>
      <x:c r="F3690" t="n">
        <x:v>9</x:v>
      </x:c>
      <x:c r="G3690" t="n">
        <x:v>8</x:v>
      </x:c>
      <x:c r="H3690" t="n">
        <x:v>8</x:v>
      </x:c>
      <x:c r="I3690" t="str">
        <x:v>À qualifier par lieu</x:v>
      </x:c>
      <x:c r="J3690" t="str">
        <x:v>https://github.com/darknigthmare/deadwall-last-enclosure/blob/e28f46223e73105ab2c5d83f3d50b99b58ef53e6/codex-3000/addendum-1.58/PROGRAMMES_C.json</x:v>
      </x:c>
      <x:c r="K3690" t="str">
        <x:v>Source min 58,36 m ; max 58,36 m ; modèle 58 × 36 m ; niveaux 0. Détails dans catalogue-existant.json.</x:v>
      </x:c>
    </x:row>
    <x:row r="3691">
      <x:c r="A3691" t="str">
        <x:v>DW-3686</x:v>
      </x:c>
      <x:c r="B3691" t="str">
        <x:v>DW-3686</x:v>
      </x:c>
      <x:c r="C3691" t="str">
        <x:v>Parent indépendant 1.58</x:v>
      </x:c>
      <x:c r="D3691" t="str">
        <x:v>Énergie et communication</x:v>
      </x:c>
      <x:c r="E3691" t="str">
        <x:v>Atelier de parafoudres de réseau déposés</x:v>
      </x:c>
      <x:c r="F3691" t="n">
        <x:v>9</x:v>
      </x:c>
      <x:c r="G3691" t="n">
        <x:v>8</x:v>
      </x:c>
      <x:c r="H3691" t="n">
        <x:v>8</x:v>
      </x:c>
      <x:c r="I3691" t="str">
        <x:v>À qualifier par lieu</x:v>
      </x:c>
      <x:c r="J3691" t="str">
        <x:v>https://github.com/darknigthmare/deadwall-last-enclosure/blob/e28f46223e73105ab2c5d83f3d50b99b58ef53e6/codex-3000/addendum-1.58/PROGRAMMES_C.json</x:v>
      </x:c>
      <x:c r="K3691" t="str">
        <x:v>Source min 38,40 m ; max 38,40 m ; modèle 38 × 40 m ; niveaux 0. Détails dans catalogue-existant.json.</x:v>
      </x:c>
    </x:row>
    <x:row r="3692">
      <x:c r="A3692" t="str">
        <x:v>DW-3687</x:v>
      </x:c>
      <x:c r="B3692" t="str">
        <x:v>DW-3687</x:v>
      </x:c>
      <x:c r="C3692" t="str">
        <x:v>Parent indépendant 1.58</x:v>
      </x:c>
      <x:c r="D3692" t="str">
        <x:v>Énergie et communication</x:v>
      </x:c>
      <x:c r="E3692" t="str">
        <x:v>Maison de contrôle des onduleurs arrêtés</x:v>
      </x:c>
      <x:c r="F3692" t="n">
        <x:v>9</x:v>
      </x:c>
      <x:c r="G3692" t="n">
        <x:v>8</x:v>
      </x:c>
      <x:c r="H3692" t="n">
        <x:v>8</x:v>
      </x:c>
      <x:c r="I3692" t="str">
        <x:v>À qualifier par lieu</x:v>
      </x:c>
      <x:c r="J3692" t="str">
        <x:v>https://github.com/darknigthmare/deadwall-last-enclosure/blob/e28f46223e73105ab2c5d83f3d50b99b58ef53e6/codex-3000/addendum-1.58/PROGRAMMES_C.json</x:v>
      </x:c>
      <x:c r="K3692" t="str">
        <x:v>Source min 43,40 m ; max 43,40 m ; modèle 43 × 40 m ; niveaux 0. Détails dans catalogue-existant.json.</x:v>
      </x:c>
    </x:row>
    <x:row r="3693">
      <x:c r="A3693" t="str">
        <x:v>DW-3688</x:v>
      </x:c>
      <x:c r="B3693" t="str">
        <x:v>DW-3688</x:v>
      </x:c>
      <x:c r="C3693" t="str">
        <x:v>Parent indépendant 1.58</x:v>
      </x:c>
      <x:c r="D3693" t="str">
        <x:v>Énergie et communication</x:v>
      </x:c>
      <x:c r="E3693" t="str">
        <x:v>Atelier de coffrets de coupure électrique</x:v>
      </x:c>
      <x:c r="F3693" t="n">
        <x:v>9</x:v>
      </x:c>
      <x:c r="G3693" t="n">
        <x:v>8</x:v>
      </x:c>
      <x:c r="H3693" t="n">
        <x:v>8</x:v>
      </x:c>
      <x:c r="I3693" t="str">
        <x:v>À qualifier par lieu</x:v>
      </x:c>
      <x:c r="J3693" t="str">
        <x:v>https://github.com/darknigthmare/deadwall-last-enclosure/blob/e28f46223e73105ab2c5d83f3d50b99b58ef53e6/codex-3000/addendum-1.58/PROGRAMMES_C.json</x:v>
      </x:c>
      <x:c r="K3693" t="str">
        <x:v>Source min 48,34 m ; max 48,34 m ; modèle 48 × 34 m ; niveaux 0, 1. Détails dans catalogue-existant.json.</x:v>
      </x:c>
    </x:row>
    <x:row r="3694">
      <x:c r="A3694" t="str">
        <x:v>DW-3689</x:v>
      </x:c>
      <x:c r="B3694" t="str">
        <x:v>DW-3689</x:v>
      </x:c>
      <x:c r="C3694" t="str">
        <x:v>Parent indépendant 1.58</x:v>
      </x:c>
      <x:c r="D3694" t="str">
        <x:v>Énergie et communication</x:v>
      </x:c>
      <x:c r="E3694" t="str">
        <x:v>Bâtiment de stockage des câbles de secours</x:v>
      </x:c>
      <x:c r="F3694" t="n">
        <x:v>9</x:v>
      </x:c>
      <x:c r="G3694" t="n">
        <x:v>8</x:v>
      </x:c>
      <x:c r="H3694" t="n">
        <x:v>8</x:v>
      </x:c>
      <x:c r="I3694" t="str">
        <x:v>À qualifier par lieu</x:v>
      </x:c>
      <x:c r="J3694" t="str">
        <x:v>https://github.com/darknigthmare/deadwall-last-enclosure/blob/e28f46223e73105ab2c5d83f3d50b99b58ef53e6/codex-3000/addendum-1.58/PROGRAMMES_C.json</x:v>
      </x:c>
      <x:c r="K3694" t="str">
        <x:v>Source min 53,40 m ; max 53,40 m ; modèle 53 × 40 m ; niveaux 0. Détails dans catalogue-existant.json.</x:v>
      </x:c>
    </x:row>
    <x:row r="3695">
      <x:c r="A3695" t="str">
        <x:v>DW-3690</x:v>
      </x:c>
      <x:c r="B3695" t="str">
        <x:v>DW-3690</x:v>
      </x:c>
      <x:c r="C3695" t="str">
        <x:v>Parent indépendant 1.58</x:v>
      </x:c>
      <x:c r="D3695" t="str">
        <x:v>Énergie et communication</x:v>
      </x:c>
      <x:c r="E3695" t="str">
        <x:v>Maison de maintenance des panneaux solaires déposés</x:v>
      </x:c>
      <x:c r="F3695" t="n">
        <x:v>9</x:v>
      </x:c>
      <x:c r="G3695" t="n">
        <x:v>8</x:v>
      </x:c>
      <x:c r="H3695" t="n">
        <x:v>8</x:v>
      </x:c>
      <x:c r="I3695" t="str">
        <x:v>À qualifier par lieu</x:v>
      </x:c>
      <x:c r="J3695" t="str">
        <x:v>https://github.com/darknigthmare/deadwall-last-enclosure/blob/e28f46223e73105ab2c5d83f3d50b99b58ef53e6/codex-3000/addendum-1.58/PROGRAMMES_C.json</x:v>
      </x:c>
      <x:c r="K3695" t="str">
        <x:v>Source min 58,40 m ; max 58,40 m ; modèle 58 × 40 m ; niveaux 0. Détails dans catalogue-existant.json.</x:v>
      </x:c>
    </x:row>
    <x:row r="3696">
      <x:c r="A3696" t="str">
        <x:v>DW-3691</x:v>
      </x:c>
      <x:c r="B3696" t="str">
        <x:v>DW-3691</x:v>
      </x:c>
      <x:c r="C3696" t="str">
        <x:v>Parent indépendant 1.58</x:v>
      </x:c>
      <x:c r="D3696" t="str">
        <x:v>Énergie et communication</x:v>
      </x:c>
      <x:c r="E3696" t="str">
        <x:v>Atelier de pales d'éoliennes démontées</x:v>
      </x:c>
      <x:c r="F3696" t="n">
        <x:v>9</x:v>
      </x:c>
      <x:c r="G3696" t="n">
        <x:v>8</x:v>
      </x:c>
      <x:c r="H3696" t="n">
        <x:v>8</x:v>
      </x:c>
      <x:c r="I3696" t="str">
        <x:v>À qualifier par lieu</x:v>
      </x:c>
      <x:c r="J3696" t="str">
        <x:v>https://github.com/darknigthmare/deadwall-last-enclosure/blob/e28f46223e73105ab2c5d83f3d50b99b58ef53e6/codex-3000/addendum-1.58/PROGRAMMES_C.json</x:v>
      </x:c>
      <x:c r="K3696" t="str">
        <x:v>Source min 38,44 m ; max 38,44 m ; modèle 38 × 44 m ; niveaux 0. Détails dans catalogue-existant.json.</x:v>
      </x:c>
    </x:row>
    <x:row r="3697">
      <x:c r="A3697" t="str">
        <x:v>DW-3692</x:v>
      </x:c>
      <x:c r="B3697" t="str">
        <x:v>DW-3692</x:v>
      </x:c>
      <x:c r="C3697" t="str">
        <x:v>Parent indépendant 1.58</x:v>
      </x:c>
      <x:c r="D3697" t="str">
        <x:v>Énergie et communication</x:v>
      </x:c>
      <x:c r="E3697" t="str">
        <x:v>Bâtiment de synchronisation électrique hors service</x:v>
      </x:c>
      <x:c r="F3697" t="n">
        <x:v>9</x:v>
      </x:c>
      <x:c r="G3697" t="n">
        <x:v>8</x:v>
      </x:c>
      <x:c r="H3697" t="n">
        <x:v>8</x:v>
      </x:c>
      <x:c r="I3697" t="str">
        <x:v>À qualifier par lieu</x:v>
      </x:c>
      <x:c r="J3697" t="str">
        <x:v>https://github.com/darknigthmare/deadwall-last-enclosure/blob/e28f46223e73105ab2c5d83f3d50b99b58ef53e6/codex-3000/addendum-1.58/PROGRAMMES_C.json</x:v>
      </x:c>
      <x:c r="K3697" t="str">
        <x:v>Source min 43,44 m ; max 43,44 m ; modèle 43 × 44 m ; niveaux 0. Détails dans catalogue-existant.json.</x:v>
      </x:c>
    </x:row>
    <x:row r="3698">
      <x:c r="A3698" t="str">
        <x:v>DW-3693</x:v>
      </x:c>
      <x:c r="B3698" t="str">
        <x:v>DW-3693</x:v>
      </x:c>
      <x:c r="C3698" t="str">
        <x:v>Parent indépendant 1.58</x:v>
      </x:c>
      <x:c r="D3698" t="str">
        <x:v>Énergie et communication</x:v>
      </x:c>
      <x:c r="E3698" t="str">
        <x:v>Atelier de refroidisseurs de transformateurs</x:v>
      </x:c>
      <x:c r="F3698" t="n">
        <x:v>9</x:v>
      </x:c>
      <x:c r="G3698" t="n">
        <x:v>8</x:v>
      </x:c>
      <x:c r="H3698" t="n">
        <x:v>8</x:v>
      </x:c>
      <x:c r="I3698" t="str">
        <x:v>À qualifier par lieu</x:v>
      </x:c>
      <x:c r="J3698" t="str">
        <x:v>https://github.com/darknigthmare/deadwall-last-enclosure/blob/e28f46223e73105ab2c5d83f3d50b99b58ef53e6/codex-3000/addendum-1.58/PROGRAMMES_C.json</x:v>
      </x:c>
      <x:c r="K3698" t="str">
        <x:v>Source min 48,38 m ; max 48,38 m ; modèle 48 × 38 m ; niveaux 0, 1. Détails dans catalogue-existant.json.</x:v>
      </x:c>
    </x:row>
    <x:row r="3699">
      <x:c r="A3699" t="str">
        <x:v>DW-3694</x:v>
      </x:c>
      <x:c r="B3699" t="str">
        <x:v>DW-3694</x:v>
      </x:c>
      <x:c r="C3699" t="str">
        <x:v>Parent indépendant 1.58</x:v>
      </x:c>
      <x:c r="D3699" t="str">
        <x:v>Énergie et communication</x:v>
      </x:c>
      <x:c r="E3699" t="str">
        <x:v>Maison des étalons de tension</x:v>
      </x:c>
      <x:c r="F3699" t="n">
        <x:v>9</x:v>
      </x:c>
      <x:c r="G3699" t="n">
        <x:v>8</x:v>
      </x:c>
      <x:c r="H3699" t="n">
        <x:v>8</x:v>
      </x:c>
      <x:c r="I3699" t="str">
        <x:v>À qualifier par lieu</x:v>
      </x:c>
      <x:c r="J3699" t="str">
        <x:v>https://github.com/darknigthmare/deadwall-last-enclosure/blob/e28f46223e73105ab2c5d83f3d50b99b58ef53e6/codex-3000/addendum-1.58/PROGRAMMES_C.json</x:v>
      </x:c>
      <x:c r="K3699" t="str">
        <x:v>Source min 53,44 m ; max 53,44 m ; modèle 53 × 44 m ; niveaux 0. Détails dans catalogue-existant.json.</x:v>
      </x:c>
    </x:row>
    <x:row r="3700">
      <x:c r="A3700" t="str">
        <x:v>DW-3695</x:v>
      </x:c>
      <x:c r="B3700" t="str">
        <x:v>DW-3695</x:v>
      </x:c>
      <x:c r="C3700" t="str">
        <x:v>Parent indépendant 1.58</x:v>
      </x:c>
      <x:c r="D3700" t="str">
        <x:v>Énergie et communication</x:v>
      </x:c>
      <x:c r="E3700" t="str">
        <x:v>Station de réparation des prises de recharge</x:v>
      </x:c>
      <x:c r="F3700" t="n">
        <x:v>9</x:v>
      </x:c>
      <x:c r="G3700" t="n">
        <x:v>8</x:v>
      </x:c>
      <x:c r="H3700" t="n">
        <x:v>8</x:v>
      </x:c>
      <x:c r="I3700" t="str">
        <x:v>À qualifier par lieu</x:v>
      </x:c>
      <x:c r="J3700" t="str">
        <x:v>https://github.com/darknigthmare/deadwall-last-enclosure/blob/e28f46223e73105ab2c5d83f3d50b99b58ef53e6/codex-3000/addendum-1.58/PROGRAMMES_C.json</x:v>
      </x:c>
      <x:c r="K3700" t="str">
        <x:v>Source min 58,44 m ; max 58,44 m ; modèle 58 × 44 m ; niveaux 0. Détails dans catalogue-existant.json.</x:v>
      </x:c>
    </x:row>
    <x:row r="3701">
      <x:c r="A3701" t="str">
        <x:v>DW-3696</x:v>
      </x:c>
      <x:c r="B3701" t="str">
        <x:v>DW-3696</x:v>
      </x:c>
      <x:c r="C3701" t="str">
        <x:v>Parent indépendant 1.58</x:v>
      </x:c>
      <x:c r="D3701" t="str">
        <x:v>Énergie et communication</x:v>
      </x:c>
      <x:c r="E3701" t="str">
        <x:v>Atelier de groupes électrogènes portatifs</x:v>
      </x:c>
      <x:c r="F3701" t="n">
        <x:v>9</x:v>
      </x:c>
      <x:c r="G3701" t="n">
        <x:v>8</x:v>
      </x:c>
      <x:c r="H3701" t="n">
        <x:v>8</x:v>
      </x:c>
      <x:c r="I3701" t="str">
        <x:v>À qualifier par lieu</x:v>
      </x:c>
      <x:c r="J3701" t="str">
        <x:v>https://github.com/darknigthmare/deadwall-last-enclosure/blob/e28f46223e73105ab2c5d83f3d50b99b58ef53e6/codex-3000/addendum-1.58/PROGRAMMES_C.json</x:v>
      </x:c>
      <x:c r="K3701" t="str">
        <x:v>Source min 38,48 m ; max 38,48 m ; modèle 38 × 48 m ; niveaux 0. Détails dans catalogue-existant.json.</x:v>
      </x:c>
    </x:row>
    <x:row r="3702">
      <x:c r="A3702" t="str">
        <x:v>DW-3697</x:v>
      </x:c>
      <x:c r="B3702" t="str">
        <x:v>DW-3697</x:v>
      </x:c>
      <x:c r="C3702" t="str">
        <x:v>Parent indépendant 1.58</x:v>
      </x:c>
      <x:c r="D3702" t="str">
        <x:v>Énergie et communication</x:v>
      </x:c>
      <x:c r="E3702" t="str">
        <x:v>Dépôt de carburants pour groupes de secours</x:v>
      </x:c>
      <x:c r="F3702" t="n">
        <x:v>9</x:v>
      </x:c>
      <x:c r="G3702" t="n">
        <x:v>8</x:v>
      </x:c>
      <x:c r="H3702" t="n">
        <x:v>8</x:v>
      </x:c>
      <x:c r="I3702" t="str">
        <x:v>À qualifier par lieu</x:v>
      </x:c>
      <x:c r="J3702" t="str">
        <x:v>https://github.com/darknigthmare/deadwall-last-enclosure/blob/e28f46223e73105ab2c5d83f3d50b99b58ef53e6/codex-3000/addendum-1.58/PROGRAMMES_C.json</x:v>
      </x:c>
      <x:c r="K3702" t="str">
        <x:v>Source min 43,48 m ; max 43,48 m ; modèle 43 × 48 m ; niveaux 0. Détails dans catalogue-existant.json.</x:v>
      </x:c>
    </x:row>
    <x:row r="3703">
      <x:c r="A3703" t="str">
        <x:v>DW-3698</x:v>
      </x:c>
      <x:c r="B3703" t="str">
        <x:v>DW-3698</x:v>
      </x:c>
      <x:c r="C3703" t="str">
        <x:v>Parent indépendant 1.58</x:v>
      </x:c>
      <x:c r="D3703" t="str">
        <x:v>Énergie et communication</x:v>
      </x:c>
      <x:c r="E3703" t="str">
        <x:v>Maison des automatismes de commutation</x:v>
      </x:c>
      <x:c r="F3703" t="n">
        <x:v>9</x:v>
      </x:c>
      <x:c r="G3703" t="n">
        <x:v>8</x:v>
      </x:c>
      <x:c r="H3703" t="n">
        <x:v>8</x:v>
      </x:c>
      <x:c r="I3703" t="str">
        <x:v>À qualifier par lieu</x:v>
      </x:c>
      <x:c r="J3703" t="str">
        <x:v>https://github.com/darknigthmare/deadwall-last-enclosure/blob/e28f46223e73105ab2c5d83f3d50b99b58ef53e6/codex-3000/addendum-1.58/PROGRAMMES_C.json</x:v>
      </x:c>
      <x:c r="K3703" t="str">
        <x:v>Source min 48,42 m ; max 48,42 m ; modèle 48 × 42 m ; niveaux 0, 1. Détails dans catalogue-existant.json.</x:v>
      </x:c>
    </x:row>
    <x:row r="3704">
      <x:c r="A3704" t="str">
        <x:v>DW-3699</x:v>
      </x:c>
      <x:c r="B3704" t="str">
        <x:v>DW-3699</x:v>
      </x:c>
      <x:c r="C3704" t="str">
        <x:v>Parent indépendant 1.58</x:v>
      </x:c>
      <x:c r="D3704" t="str">
        <x:v>Énergie et communication</x:v>
      </x:c>
      <x:c r="E3704" t="str">
        <x:v>Atelier de projecteurs autonomes déposés</x:v>
      </x:c>
      <x:c r="F3704" t="n">
        <x:v>9</x:v>
      </x:c>
      <x:c r="G3704" t="n">
        <x:v>8</x:v>
      </x:c>
      <x:c r="H3704" t="n">
        <x:v>8</x:v>
      </x:c>
      <x:c r="I3704" t="str">
        <x:v>À qualifier par lieu</x:v>
      </x:c>
      <x:c r="J3704" t="str">
        <x:v>https://github.com/darknigthmare/deadwall-last-enclosure/blob/e28f46223e73105ab2c5d83f3d50b99b58ef53e6/codex-3000/addendum-1.58/PROGRAMMES_C.json</x:v>
      </x:c>
      <x:c r="K3704" t="str">
        <x:v>Source min 53,48 m ; max 53,48 m ; modèle 53 × 48 m ; niveaux 0. Détails dans catalogue-existant.json.</x:v>
      </x:c>
    </x:row>
    <x:row r="3705">
      <x:c r="A3705" t="str">
        <x:v>DW-3700</x:v>
      </x:c>
      <x:c r="B3705" t="str">
        <x:v>DW-3700</x:v>
      </x:c>
      <x:c r="C3705" t="str">
        <x:v>Parent indépendant 1.58</x:v>
      </x:c>
      <x:c r="D3705" t="str">
        <x:v>Énergie et communication</x:v>
      </x:c>
      <x:c r="E3705" t="str">
        <x:v>Bâtiment de maintenance des coffres de batteries</x:v>
      </x:c>
      <x:c r="F3705" t="n">
        <x:v>9</x:v>
      </x:c>
      <x:c r="G3705" t="n">
        <x:v>8</x:v>
      </x:c>
      <x:c r="H3705" t="n">
        <x:v>8</x:v>
      </x:c>
      <x:c r="I3705" t="str">
        <x:v>À qualifier par lieu</x:v>
      </x:c>
      <x:c r="J3705" t="str">
        <x:v>https://github.com/darknigthmare/deadwall-last-enclosure/blob/e28f46223e73105ab2c5d83f3d50b99b58ef53e6/codex-3000/addendum-1.58/PROGRAMMES_C.json</x:v>
      </x:c>
      <x:c r="K3705" t="str">
        <x:v>Source min 58,48 m ; max 58,48 m ; modèle 58 × 48 m ; niveaux 0. Détails dans catalogue-existant.json.</x:v>
      </x:c>
    </x:row>
    <x:row r="3706">
      <x:c r="A3706" t="str">
        <x:v>DW-3701</x:v>
      </x:c>
      <x:c r="B3706" t="str">
        <x:v>DW-3701</x:v>
      </x:c>
      <x:c r="C3706" t="str">
        <x:v>Parent indépendant 1.58</x:v>
      </x:c>
      <x:c r="D3706" t="str">
        <x:v>Énergie et communication</x:v>
      </x:c>
      <x:c r="E3706" t="str">
        <x:v>Atelier de capteurs météorologiques arrêtés</x:v>
      </x:c>
      <x:c r="F3706" t="n">
        <x:v>9</x:v>
      </x:c>
      <x:c r="G3706" t="n">
        <x:v>8</x:v>
      </x:c>
      <x:c r="H3706" t="n">
        <x:v>8</x:v>
      </x:c>
      <x:c r="I3706" t="str">
        <x:v>À qualifier par lieu</x:v>
      </x:c>
      <x:c r="J3706" t="str">
        <x:v>https://github.com/darknigthmare/deadwall-last-enclosure/blob/e28f46223e73105ab2c5d83f3d50b99b58ef53e6/codex-3000/addendum-1.58/PROGRAMMES_C.json</x:v>
      </x:c>
      <x:c r="K3706" t="str">
        <x:v>Source min 38,36 m ; max 38,36 m ; modèle 38 × 36 m ; niveaux 0. Détails dans catalogue-existant.json.</x:v>
      </x:c>
    </x:row>
    <x:row r="3707">
      <x:c r="A3707" t="str">
        <x:v>DW-3702</x:v>
      </x:c>
      <x:c r="B3707" t="str">
        <x:v>DW-3702</x:v>
      </x:c>
      <x:c r="C3707" t="str">
        <x:v>Parent indépendant 1.58</x:v>
      </x:c>
      <x:c r="D3707" t="str">
        <x:v>Énergie et communication</x:v>
      </x:c>
      <x:c r="E3707" t="str">
        <x:v>Maison des équipements de télécommande de réseau</x:v>
      </x:c>
      <x:c r="F3707" t="n">
        <x:v>9</x:v>
      </x:c>
      <x:c r="G3707" t="n">
        <x:v>8</x:v>
      </x:c>
      <x:c r="H3707" t="n">
        <x:v>8</x:v>
      </x:c>
      <x:c r="I3707" t="str">
        <x:v>À qualifier par lieu</x:v>
      </x:c>
      <x:c r="J3707" t="str">
        <x:v>https://github.com/darknigthmare/deadwall-last-enclosure/blob/e28f46223e73105ab2c5d83f3d50b99b58ef53e6/codex-3000/addendum-1.58/PROGRAMMES_C.json</x:v>
      </x:c>
      <x:c r="K3707" t="str">
        <x:v>Source min 43,36 m ; max 43,36 m ; modèle 43 × 36 m ; niveaux 0. Détails dans catalogue-existant.json.</x:v>
      </x:c>
    </x:row>
    <x:row r="3708">
      <x:c r="A3708" t="str">
        <x:v>DW-3703</x:v>
      </x:c>
      <x:c r="B3708" t="str">
        <x:v>DW-3703</x:v>
      </x:c>
      <x:c r="C3708" t="str">
        <x:v>Parent indépendant 1.58</x:v>
      </x:c>
      <x:c r="D3708" t="str">
        <x:v>Énergie et communication</x:v>
      </x:c>
      <x:c r="E3708" t="str">
        <x:v>Atelier de tresses de mise à la terre</x:v>
      </x:c>
      <x:c r="F3708" t="n">
        <x:v>9</x:v>
      </x:c>
      <x:c r="G3708" t="n">
        <x:v>8</x:v>
      </x:c>
      <x:c r="H3708" t="n">
        <x:v>8</x:v>
      </x:c>
      <x:c r="I3708" t="str">
        <x:v>À qualifier par lieu</x:v>
      </x:c>
      <x:c r="J3708" t="str">
        <x:v>https://github.com/darknigthmare/deadwall-last-enclosure/blob/e28f46223e73105ab2c5d83f3d50b99b58ef53e6/codex-3000/addendum-1.58/PROGRAMMES_C.json</x:v>
      </x:c>
      <x:c r="K3708" t="str">
        <x:v>Source min 48,30 m ; max 48,30 m ; modèle 48 × 30 m ; niveaux 0, 1. Détails dans catalogue-existant.json.</x:v>
      </x:c>
    </x:row>
    <x:row r="3709">
      <x:c r="A3709" t="str">
        <x:v>DW-3704</x:v>
      </x:c>
      <x:c r="B3709" t="str">
        <x:v>DW-3704</x:v>
      </x:c>
      <x:c r="C3709" t="str">
        <x:v>Parent indépendant 1.58</x:v>
      </x:c>
      <x:c r="D3709" t="str">
        <x:v>Énergie et communication</x:v>
      </x:c>
      <x:c r="E3709" t="str">
        <x:v>Station de préparation des kits de panne</x:v>
      </x:c>
      <x:c r="F3709" t="n">
        <x:v>9</x:v>
      </x:c>
      <x:c r="G3709" t="n">
        <x:v>8</x:v>
      </x:c>
      <x:c r="H3709" t="n">
        <x:v>8</x:v>
      </x:c>
      <x:c r="I3709" t="str">
        <x:v>À qualifier par lieu</x:v>
      </x:c>
      <x:c r="J3709" t="str">
        <x:v>https://github.com/darknigthmare/deadwall-last-enclosure/blob/e28f46223e73105ab2c5d83f3d50b99b58ef53e6/codex-3000/addendum-1.58/PROGRAMMES_C.json</x:v>
      </x:c>
      <x:c r="K3709" t="str">
        <x:v>Source min 53,36 m ; max 53,36 m ; modèle 53 × 36 m ; niveaux 0. Détails dans catalogue-existant.json.</x:v>
      </x:c>
    </x:row>
    <x:row r="3710">
      <x:c r="A3710" t="str">
        <x:v>DW-3705</x:v>
      </x:c>
      <x:c r="B3710" t="str">
        <x:v>DW-3705</x:v>
      </x:c>
      <x:c r="C3710" t="str">
        <x:v>Parent indépendant 1.58</x:v>
      </x:c>
      <x:c r="D3710" t="str">
        <x:v>Énergie et communication</x:v>
      </x:c>
      <x:c r="E3710" t="str">
        <x:v>Maison des plans de répartition énergétique</x:v>
      </x:c>
      <x:c r="F3710" t="n">
        <x:v>9</x:v>
      </x:c>
      <x:c r="G3710" t="n">
        <x:v>8</x:v>
      </x:c>
      <x:c r="H3710" t="n">
        <x:v>8</x:v>
      </x:c>
      <x:c r="I3710" t="str">
        <x:v>À qualifier par lieu</x:v>
      </x:c>
      <x:c r="J3710" t="str">
        <x:v>https://github.com/darknigthmare/deadwall-last-enclosure/blob/e28f46223e73105ab2c5d83f3d50b99b58ef53e6/codex-3000/addendum-1.58/PROGRAMMES_C.json</x:v>
      </x:c>
      <x:c r="K3710" t="str">
        <x:v>Source min 58,36 m ; max 58,36 m ; modèle 58 × 36 m ; niveaux 0. Détails dans catalogue-existant.json.</x:v>
      </x:c>
    </x:row>
    <x:row r="3711">
      <x:c r="A3711" t="str">
        <x:v>DW-3706</x:v>
      </x:c>
      <x:c r="B3711" t="str">
        <x:v>DW-3706</x:v>
      </x:c>
      <x:c r="C3711" t="str">
        <x:v>Parent indépendant 1.58</x:v>
      </x:c>
      <x:c r="D3711" t="str">
        <x:v>Industrie et production</x:v>
      </x:c>
      <x:c r="E3711" t="str">
        <x:v>Atelier de tri des métaux de récupération</x:v>
      </x:c>
      <x:c r="F3711" t="n">
        <x:v>9</x:v>
      </x:c>
      <x:c r="G3711" t="n">
        <x:v>8</x:v>
      </x:c>
      <x:c r="H3711" t="n">
        <x:v>8</x:v>
      </x:c>
      <x:c r="I3711" t="str">
        <x:v>À qualifier par lieu</x:v>
      </x:c>
      <x:c r="J3711" t="str">
        <x:v>https://github.com/darknigthmare/deadwall-last-enclosure/blob/e28f46223e73105ab2c5d83f3d50b99b58ef53e6/codex-3000/addendum-1.58/PROGRAMMES_C.json</x:v>
      </x:c>
      <x:c r="K3711" t="str">
        <x:v>Source min 38,40 m ; max 38,40 m ; modèle 38 × 40 m ; niveaux 0. Détails dans catalogue-existant.json.</x:v>
      </x:c>
    </x:row>
    <x:row r="3712">
      <x:c r="A3712" t="str">
        <x:v>DW-3707</x:v>
      </x:c>
      <x:c r="B3712" t="str">
        <x:v>DW-3707</x:v>
      </x:c>
      <x:c r="C3712" t="str">
        <x:v>Parent indépendant 1.58</x:v>
      </x:c>
      <x:c r="D3712" t="str">
        <x:v>Énergie et communication</x:v>
      </x:c>
      <x:c r="E3712" t="str">
        <x:v>Maison de démontage des appareils électroménagers</x:v>
      </x:c>
      <x:c r="F3712" t="n">
        <x:v>9</x:v>
      </x:c>
      <x:c r="G3712" t="n">
        <x:v>8</x:v>
      </x:c>
      <x:c r="H3712" t="n">
        <x:v>8</x:v>
      </x:c>
      <x:c r="I3712" t="str">
        <x:v>À qualifier par lieu</x:v>
      </x:c>
      <x:c r="J3712" t="str">
        <x:v>https://github.com/darknigthmare/deadwall-last-enclosure/blob/e28f46223e73105ab2c5d83f3d50b99b58ef53e6/codex-3000/addendum-1.58/PROGRAMMES_C.json</x:v>
      </x:c>
      <x:c r="K3712" t="str">
        <x:v>Source min 43,40 m ; max 43,40 m ; modèle 43 × 40 m ; niveaux 0. Détails dans catalogue-existant.json.</x:v>
      </x:c>
    </x:row>
    <x:row r="3713">
      <x:c r="A3713" t="str">
        <x:v>DW-3708</x:v>
      </x:c>
      <x:c r="B3713" t="str">
        <x:v>DW-3708</x:v>
      </x:c>
      <x:c r="C3713" t="str">
        <x:v>Parent indépendant 1.58</x:v>
      </x:c>
      <x:c r="D3713" t="str">
        <x:v>Industrie et production</x:v>
      </x:c>
      <x:c r="E3713" t="str">
        <x:v>Halle de réemploi des matériaux de construction</x:v>
      </x:c>
      <x:c r="F3713" t="n">
        <x:v>9</x:v>
      </x:c>
      <x:c r="G3713" t="n">
        <x:v>8</x:v>
      </x:c>
      <x:c r="H3713" t="n">
        <x:v>8</x:v>
      </x:c>
      <x:c r="I3713" t="str">
        <x:v>À qualifier par lieu</x:v>
      </x:c>
      <x:c r="J3713" t="str">
        <x:v>https://github.com/darknigthmare/deadwall-last-enclosure/blob/e28f46223e73105ab2c5d83f3d50b99b58ef53e6/codex-3000/addendum-1.58/PROGRAMMES_C.json</x:v>
      </x:c>
      <x:c r="K3713" t="str">
        <x:v>Source min 48,34 m ; max 48,34 m ; modèle 48 × 34 m ; niveaux 0, 1. Détails dans catalogue-existant.json.</x:v>
      </x:c>
    </x:row>
    <x:row r="3714">
      <x:c r="A3714" t="str">
        <x:v>DW-3709</x:v>
      </x:c>
      <x:c r="B3714" t="str">
        <x:v>DW-3709</x:v>
      </x:c>
      <x:c r="C3714" t="str">
        <x:v>Parent indépendant 1.58</x:v>
      </x:c>
      <x:c r="D3714" t="str">
        <x:v>Industrie et production</x:v>
      </x:c>
      <x:c r="E3714" t="str">
        <x:v>Atelier de reconditionnement des bidons industriels</x:v>
      </x:c>
      <x:c r="F3714" t="n">
        <x:v>9</x:v>
      </x:c>
      <x:c r="G3714" t="n">
        <x:v>8</x:v>
      </x:c>
      <x:c r="H3714" t="n">
        <x:v>8</x:v>
      </x:c>
      <x:c r="I3714" t="str">
        <x:v>À qualifier par lieu</x:v>
      </x:c>
      <x:c r="J3714" t="str">
        <x:v>https://github.com/darknigthmare/deadwall-last-enclosure/blob/e28f46223e73105ab2c5d83f3d50b99b58ef53e6/codex-3000/addendum-1.58/PROGRAMMES_C.json</x:v>
      </x:c>
      <x:c r="K3714" t="str">
        <x:v>Source min 53,40 m ; max 53,40 m ; modèle 53 × 40 m ; niveaux 0. Détails dans catalogue-existant.json.</x:v>
      </x:c>
    </x:row>
    <x:row r="3715">
      <x:c r="A3715" t="str">
        <x:v>DW-3710</x:v>
      </x:c>
      <x:c r="B3715" t="str">
        <x:v>DW-3710</x:v>
      </x:c>
      <x:c r="C3715" t="str">
        <x:v>Parent indépendant 1.58</x:v>
      </x:c>
      <x:c r="D3715" t="str">
        <x:v>Énergie et communication</x:v>
      </x:c>
      <x:c r="E3715" t="str">
        <x:v>Station terrestre de matériel de compostage</x:v>
      </x:c>
      <x:c r="F3715" t="n">
        <x:v>9</x:v>
      </x:c>
      <x:c r="G3715" t="n">
        <x:v>8</x:v>
      </x:c>
      <x:c r="H3715" t="n">
        <x:v>8</x:v>
      </x:c>
      <x:c r="I3715" t="str">
        <x:v>À qualifier par lieu</x:v>
      </x:c>
      <x:c r="J3715" t="str">
        <x:v>https://github.com/darknigthmare/deadwall-last-enclosure/blob/e28f46223e73105ab2c5d83f3d50b99b58ef53e6/codex-3000/addendum-1.58/PROGRAMMES_C.json</x:v>
      </x:c>
      <x:c r="K3715" t="str">
        <x:v>Source min 58,40 m ; max 58,40 m ; modèle 58 × 40 m ; niveaux 0. Détails dans catalogue-existant.json.</x:v>
      </x:c>
    </x:row>
    <x:row r="3716">
      <x:c r="A3716" t="str">
        <x:v>DW-3711</x:v>
      </x:c>
      <x:c r="B3716" t="str">
        <x:v>DW-3711</x:v>
      </x:c>
      <x:c r="C3716" t="str">
        <x:v>Parent indépendant 1.58</x:v>
      </x:c>
      <x:c r="D3716" t="str">
        <x:v>Industrie et production</x:v>
      </x:c>
      <x:c r="E3716" t="str">
        <x:v>Bâtiment de tri des textiles de récupération</x:v>
      </x:c>
      <x:c r="F3716" t="n">
        <x:v>9</x:v>
      </x:c>
      <x:c r="G3716" t="n">
        <x:v>8</x:v>
      </x:c>
      <x:c r="H3716" t="n">
        <x:v>8</x:v>
      </x:c>
      <x:c r="I3716" t="str">
        <x:v>À qualifier par lieu</x:v>
      </x:c>
      <x:c r="J3716" t="str">
        <x:v>https://github.com/darknigthmare/deadwall-last-enclosure/blob/e28f46223e73105ab2c5d83f3d50b99b58ef53e6/codex-3000/addendum-1.58/PROGRAMMES_C.json</x:v>
      </x:c>
      <x:c r="K3716" t="str">
        <x:v>Source min 38,44 m ; max 38,44 m ; modèle 38 × 44 m ; niveaux 0. Détails dans catalogue-existant.json.</x:v>
      </x:c>
    </x:row>
    <x:row r="3717">
      <x:c r="A3717" t="str">
        <x:v>DW-3712</x:v>
      </x:c>
      <x:c r="B3717" t="str">
        <x:v>DW-3712</x:v>
      </x:c>
      <x:c r="C3717" t="str">
        <x:v>Parent indépendant 1.58</x:v>
      </x:c>
      <x:c r="D3717" t="str">
        <x:v>Industrie et production</x:v>
      </x:c>
      <x:c r="E3717" t="str">
        <x:v>Atelier de démontage des fenêtres récupérées</x:v>
      </x:c>
      <x:c r="F3717" t="n">
        <x:v>9</x:v>
      </x:c>
      <x:c r="G3717" t="n">
        <x:v>8</x:v>
      </x:c>
      <x:c r="H3717" t="n">
        <x:v>8</x:v>
      </x:c>
      <x:c r="I3717" t="str">
        <x:v>À qualifier par lieu</x:v>
      </x:c>
      <x:c r="J3717" t="str">
        <x:v>https://github.com/darknigthmare/deadwall-last-enclosure/blob/e28f46223e73105ab2c5d83f3d50b99b58ef53e6/codex-3000/addendum-1.58/PROGRAMMES_C.json</x:v>
      </x:c>
      <x:c r="K3717" t="str">
        <x:v>Source min 43,44 m ; max 43,44 m ; modèle 43 × 44 m ; niveaux 0. Détails dans catalogue-existant.json.</x:v>
      </x:c>
    </x:row>
    <x:row r="3718">
      <x:c r="A3718" t="str">
        <x:v>DW-3713</x:v>
      </x:c>
      <x:c r="B3718" t="str">
        <x:v>DW-3713</x:v>
      </x:c>
      <x:c r="C3718" t="str">
        <x:v>Parent indépendant 1.58</x:v>
      </x:c>
      <x:c r="D3718" t="str">
        <x:v>Industrie et production</x:v>
      </x:c>
      <x:c r="E3718" t="str">
        <x:v>Maison de classement des outils récupérés</x:v>
      </x:c>
      <x:c r="F3718" t="n">
        <x:v>9</x:v>
      </x:c>
      <x:c r="G3718" t="n">
        <x:v>8</x:v>
      </x:c>
      <x:c r="H3718" t="n">
        <x:v>8</x:v>
      </x:c>
      <x:c r="I3718" t="str">
        <x:v>À qualifier par lieu</x:v>
      </x:c>
      <x:c r="J3718" t="str">
        <x:v>https://github.com/darknigthmare/deadwall-last-enclosure/blob/e28f46223e73105ab2c5d83f3d50b99b58ef53e6/codex-3000/addendum-1.58/PROGRAMMES_C.json</x:v>
      </x:c>
      <x:c r="K3718" t="str">
        <x:v>Source min 48,38 m ; max 48,38 m ; modèle 48 × 38 m ; niveaux 0, 1. Détails dans catalogue-existant.json.</x:v>
      </x:c>
    </x:row>
    <x:row r="3719">
      <x:c r="A3719" t="str">
        <x:v>DW-3714</x:v>
      </x:c>
      <x:c r="B3719" t="str">
        <x:v>DW-3714</x:v>
      </x:c>
      <x:c r="C3719" t="str">
        <x:v>Parent indépendant 1.58</x:v>
      </x:c>
      <x:c r="D3719" t="str">
        <x:v>Industrie et production</x:v>
      </x:c>
      <x:c r="E3719" t="str">
        <x:v>Halle de tri des emballages rigides</x:v>
      </x:c>
      <x:c r="F3719" t="n">
        <x:v>9</x:v>
      </x:c>
      <x:c r="G3719" t="n">
        <x:v>8</x:v>
      </x:c>
      <x:c r="H3719" t="n">
        <x:v>8</x:v>
      </x:c>
      <x:c r="I3719" t="str">
        <x:v>À qualifier par lieu</x:v>
      </x:c>
      <x:c r="J3719" t="str">
        <x:v>https://github.com/darknigthmare/deadwall-last-enclosure/blob/e28f46223e73105ab2c5d83f3d50b99b58ef53e6/codex-3000/addendum-1.58/PROGRAMMES_C.json</x:v>
      </x:c>
      <x:c r="K3719" t="str">
        <x:v>Source min 53,44 m ; max 53,44 m ; modèle 53 × 44 m ; niveaux 0. Détails dans catalogue-existant.json.</x:v>
      </x:c>
    </x:row>
    <x:row r="3720">
      <x:c r="A3720" t="str">
        <x:v>DW-3715</x:v>
      </x:c>
      <x:c r="B3720" t="str">
        <x:v>DW-3715</x:v>
      </x:c>
      <x:c r="C3720" t="str">
        <x:v>Parent indépendant 1.58</x:v>
      </x:c>
      <x:c r="D3720" t="str">
        <x:v>Industrie et production</x:v>
      </x:c>
      <x:c r="E3720" t="str">
        <x:v>Atelier de remise en état des meubles collectés</x:v>
      </x:c>
      <x:c r="F3720" t="n">
        <x:v>9</x:v>
      </x:c>
      <x:c r="G3720" t="n">
        <x:v>8</x:v>
      </x:c>
      <x:c r="H3720" t="n">
        <x:v>8</x:v>
      </x:c>
      <x:c r="I3720" t="str">
        <x:v>À qualifier par lieu</x:v>
      </x:c>
      <x:c r="J3720" t="str">
        <x:v>https://github.com/darknigthmare/deadwall-last-enclosure/blob/e28f46223e73105ab2c5d83f3d50b99b58ef53e6/codex-3000/addendum-1.58/PROGRAMMES_C.json</x:v>
      </x:c>
      <x:c r="K3720" t="str">
        <x:v>Source min 58,44 m ; max 58,44 m ; modèle 58 × 44 m ; niveaux 0. Détails dans catalogue-existant.json.</x:v>
      </x:c>
    </x:row>
    <x:row r="3721">
      <x:c r="A3721" t="str">
        <x:v>DW-3716</x:v>
      </x:c>
      <x:c r="B3721" t="str">
        <x:v>DW-3716</x:v>
      </x:c>
      <x:c r="C3721" t="str">
        <x:v>Parent indépendant 1.58</x:v>
      </x:c>
      <x:c r="D3721" t="str">
        <x:v>Industrie et production</x:v>
      </x:c>
      <x:c r="E3721" t="str">
        <x:v>Maison de collecte des lampes hors service</x:v>
      </x:c>
      <x:c r="F3721" t="n">
        <x:v>9</x:v>
      </x:c>
      <x:c r="G3721" t="n">
        <x:v>8</x:v>
      </x:c>
      <x:c r="H3721" t="n">
        <x:v>8</x:v>
      </x:c>
      <x:c r="I3721" t="str">
        <x:v>À qualifier par lieu</x:v>
      </x:c>
      <x:c r="J3721" t="str">
        <x:v>https://github.com/darknigthmare/deadwall-last-enclosure/blob/e28f46223e73105ab2c5d83f3d50b99b58ef53e6/codex-3000/addendum-1.58/PROGRAMMES_C.json</x:v>
      </x:c>
      <x:c r="K3721" t="str">
        <x:v>Source min 38,48 m ; max 38,48 m ; modèle 38 × 48 m ; niveaux 0. Détails dans catalogue-existant.json.</x:v>
      </x:c>
    </x:row>
    <x:row r="3722">
      <x:c r="A3722" t="str">
        <x:v>DW-3717</x:v>
      </x:c>
      <x:c r="B3722" t="str">
        <x:v>DW-3717</x:v>
      </x:c>
      <x:c r="C3722" t="str">
        <x:v>Parent indépendant 1.58</x:v>
      </x:c>
      <x:c r="D3722" t="str">
        <x:v>Industrie et production</x:v>
      </x:c>
      <x:c r="E3722" t="str">
        <x:v>Bâtiment d'isolement des déchets dangereux scellés</x:v>
      </x:c>
      <x:c r="F3722" t="n">
        <x:v>9</x:v>
      </x:c>
      <x:c r="G3722" t="n">
        <x:v>8</x:v>
      </x:c>
      <x:c r="H3722" t="n">
        <x:v>8</x:v>
      </x:c>
      <x:c r="I3722" t="str">
        <x:v>À qualifier par lieu</x:v>
      </x:c>
      <x:c r="J3722" t="str">
        <x:v>https://github.com/darknigthmare/deadwall-last-enclosure/blob/e28f46223e73105ab2c5d83f3d50b99b58ef53e6/codex-3000/addendum-1.58/PROGRAMMES_C.json</x:v>
      </x:c>
      <x:c r="K3722" t="str">
        <x:v>Source min 43,48 m ; max 43,48 m ; modèle 43 × 48 m ; niveaux 0. Détails dans catalogue-existant.json.</x:v>
      </x:c>
    </x:row>
    <x:row r="3723">
      <x:c r="A3723" t="str">
        <x:v>DW-3718</x:v>
      </x:c>
      <x:c r="B3723" t="str">
        <x:v>DW-3718</x:v>
      </x:c>
      <x:c r="C3723" t="str">
        <x:v>Parent indépendant 1.58</x:v>
      </x:c>
      <x:c r="D3723" t="str">
        <x:v>Industrie et production</x:v>
      </x:c>
      <x:c r="E3723" t="str">
        <x:v>Atelier de reconditionnement des bobines de câble</x:v>
      </x:c>
      <x:c r="F3723" t="n">
        <x:v>9</x:v>
      </x:c>
      <x:c r="G3723" t="n">
        <x:v>8</x:v>
      </x:c>
      <x:c r="H3723" t="n">
        <x:v>8</x:v>
      </x:c>
      <x:c r="I3723" t="str">
        <x:v>À qualifier par lieu</x:v>
      </x:c>
      <x:c r="J3723" t="str">
        <x:v>https://github.com/darknigthmare/deadwall-last-enclosure/blob/e28f46223e73105ab2c5d83f3d50b99b58ef53e6/codex-3000/addendum-1.58/PROGRAMMES_C.json</x:v>
      </x:c>
      <x:c r="K3723" t="str">
        <x:v>Source min 48,42 m ; max 48,42 m ; modèle 48 × 42 m ; niveaux 0, 1. Détails dans catalogue-existant.json.</x:v>
      </x:c>
    </x:row>
    <x:row r="3724">
      <x:c r="A3724" t="str">
        <x:v>DW-3719</x:v>
      </x:c>
      <x:c r="B3724" t="str">
        <x:v>DW-3719</x:v>
      </x:c>
      <x:c r="C3724" t="str">
        <x:v>Parent indépendant 1.58</x:v>
      </x:c>
      <x:c r="D3724" t="str">
        <x:v>Industrie et production</x:v>
      </x:c>
      <x:c r="E3724" t="str">
        <x:v>Maison de récupération des pièces de chauffage</x:v>
      </x:c>
      <x:c r="F3724" t="n">
        <x:v>9</x:v>
      </x:c>
      <x:c r="G3724" t="n">
        <x:v>8</x:v>
      </x:c>
      <x:c r="H3724" t="n">
        <x:v>8</x:v>
      </x:c>
      <x:c r="I3724" t="str">
        <x:v>À qualifier par lieu</x:v>
      </x:c>
      <x:c r="J3724" t="str">
        <x:v>https://github.com/darknigthmare/deadwall-last-enclosure/blob/e28f46223e73105ab2c5d83f3d50b99b58ef53e6/codex-3000/addendum-1.58/PROGRAMMES_C.json</x:v>
      </x:c>
      <x:c r="K3724" t="str">
        <x:v>Source min 53,48 m ; max 53,48 m ; modèle 53 × 48 m ; niveaux 0. Détails dans catalogue-existant.json.</x:v>
      </x:c>
    </x:row>
    <x:row r="3725">
      <x:c r="A3725" t="str">
        <x:v>DW-3720</x:v>
      </x:c>
      <x:c r="B3725" t="str">
        <x:v>DW-3720</x:v>
      </x:c>
      <x:c r="C3725" t="str">
        <x:v>Parent indépendant 1.58</x:v>
      </x:c>
      <x:c r="D3725" t="str">
        <x:v>Industrie et production</x:v>
      </x:c>
      <x:c r="E3725" t="str">
        <x:v>Station de réparation des bacs de collecte</x:v>
      </x:c>
      <x:c r="F3725" t="n">
        <x:v>9</x:v>
      </x:c>
      <x:c r="G3725" t="n">
        <x:v>8</x:v>
      </x:c>
      <x:c r="H3725" t="n">
        <x:v>8</x:v>
      </x:c>
      <x:c r="I3725" t="str">
        <x:v>À qualifier par lieu</x:v>
      </x:c>
      <x:c r="J3725" t="str">
        <x:v>https://github.com/darknigthmare/deadwall-last-enclosure/blob/e28f46223e73105ab2c5d83f3d50b99b58ef53e6/codex-3000/addendum-1.58/PROGRAMMES_C.json</x:v>
      </x:c>
      <x:c r="K3725" t="str">
        <x:v>Source min 58,48 m ; max 58,48 m ; modèle 58 × 48 m ; niveaux 0. Détails dans catalogue-existant.json.</x:v>
      </x:c>
    </x:row>
    <x:row r="3726">
      <x:c r="A3726" t="str">
        <x:v>DW-3721</x:v>
      </x:c>
      <x:c r="B3726" t="str">
        <x:v>DW-3721</x:v>
      </x:c>
      <x:c r="C3726" t="str">
        <x:v>Parent indépendant 1.58</x:v>
      </x:c>
      <x:c r="D3726" t="str">
        <x:v>Alimentation et restauration</x:v>
      </x:c>
      <x:c r="E3726" t="str">
        <x:v>Atelier de pâtes sèches laminées</x:v>
      </x:c>
      <x:c r="F3726" t="n">
        <x:v>9</x:v>
      </x:c>
      <x:c r="G3726" t="n">
        <x:v>8</x:v>
      </x:c>
      <x:c r="H3726" t="n">
        <x:v>8</x:v>
      </x:c>
      <x:c r="I3726" t="str">
        <x:v>À qualifier par lieu</x:v>
      </x:c>
      <x:c r="J3726" t="str">
        <x:v>https://github.com/darknigthmare/deadwall-last-enclosure/blob/e28f46223e73105ab2c5d83f3d50b99b58ef53e6/codex-3000/addendum-1.58/PROGRAMMES_C.json</x:v>
      </x:c>
      <x:c r="K3726" t="str">
        <x:v>Source min 38,36 m ; max 38,36 m ; modèle 38 × 36 m ; niveaux 0. Détails dans catalogue-existant.json.</x:v>
      </x:c>
    </x:row>
    <x:row r="3727">
      <x:c r="A3727" t="str">
        <x:v>DW-3722</x:v>
      </x:c>
      <x:c r="B3727" t="str">
        <x:v>DW-3722</x:v>
      </x:c>
      <x:c r="C3727" t="str">
        <x:v>Parent indépendant 1.58</x:v>
      </x:c>
      <x:c r="D3727" t="str">
        <x:v>Alimentation et restauration</x:v>
      </x:c>
      <x:c r="E3727" t="str">
        <x:v>Biscuiterie de rationnement</x:v>
      </x:c>
      <x:c r="F3727" t="n">
        <x:v>9</x:v>
      </x:c>
      <x:c r="G3727" t="n">
        <x:v>8</x:v>
      </x:c>
      <x:c r="H3727" t="n">
        <x:v>8</x:v>
      </x:c>
      <x:c r="I3727" t="str">
        <x:v>À qualifier par lieu</x:v>
      </x:c>
      <x:c r="J3727" t="str">
        <x:v>https://github.com/darknigthmare/deadwall-last-enclosure/blob/e28f46223e73105ab2c5d83f3d50b99b58ef53e6/codex-3000/addendum-1.58/PROGRAMMES_C.json</x:v>
      </x:c>
      <x:c r="K3727" t="str">
        <x:v>Source min 43,36 m ; max 43,36 m ; modèle 43 × 36 m ; niveaux 0. Détails dans catalogue-existant.json.</x:v>
      </x:c>
    </x:row>
    <x:row r="3728">
      <x:c r="A3728" t="str">
        <x:v>DW-3723</x:v>
      </x:c>
      <x:c r="B3728" t="str">
        <x:v>DW-3723</x:v>
      </x:c>
      <x:c r="C3728" t="str">
        <x:v>Parent indépendant 1.58</x:v>
      </x:c>
      <x:c r="D3728" t="str">
        <x:v>Alimentation et restauration</x:v>
      </x:c>
      <x:c r="E3728" t="str">
        <x:v>Atelier de galettes de conservation</x:v>
      </x:c>
      <x:c r="F3728" t="n">
        <x:v>9</x:v>
      </x:c>
      <x:c r="G3728" t="n">
        <x:v>8</x:v>
      </x:c>
      <x:c r="H3728" t="n">
        <x:v>8</x:v>
      </x:c>
      <x:c r="I3728" t="str">
        <x:v>À qualifier par lieu</x:v>
      </x:c>
      <x:c r="J3728" t="str">
        <x:v>https://github.com/darknigthmare/deadwall-last-enclosure/blob/e28f46223e73105ab2c5d83f3d50b99b58ef53e6/codex-3000/addendum-1.58/PROGRAMMES_C.json</x:v>
      </x:c>
      <x:c r="K3728" t="str">
        <x:v>Source min 48,30 m ; max 48,30 m ; modèle 48 × 30 m ; niveaux 0, 1. Détails dans catalogue-existant.json.</x:v>
      </x:c>
    </x:row>
    <x:row r="3729">
      <x:c r="A3729" t="str">
        <x:v>DW-3724</x:v>
      </x:c>
      <x:c r="B3729" t="str">
        <x:v>DW-3724</x:v>
      </x:c>
      <x:c r="C3729" t="str">
        <x:v>Parent indépendant 1.58</x:v>
      </x:c>
      <x:c r="D3729" t="str">
        <x:v>Alimentation et restauration</x:v>
      </x:c>
      <x:c r="E3729" t="str">
        <x:v>Halle de déshydratation des légumes</x:v>
      </x:c>
      <x:c r="F3729" t="n">
        <x:v>9</x:v>
      </x:c>
      <x:c r="G3729" t="n">
        <x:v>8</x:v>
      </x:c>
      <x:c r="H3729" t="n">
        <x:v>8</x:v>
      </x:c>
      <x:c r="I3729" t="str">
        <x:v>À qualifier par lieu</x:v>
      </x:c>
      <x:c r="J3729" t="str">
        <x:v>https://github.com/darknigthmare/deadwall-last-enclosure/blob/e28f46223e73105ab2c5d83f3d50b99b58ef53e6/codex-3000/addendum-1.58/PROGRAMMES_C.json</x:v>
      </x:c>
      <x:c r="K3729" t="str">
        <x:v>Source min 53,36 m ; max 53,36 m ; modèle 53 × 36 m ; niveaux 0. Détails dans catalogue-existant.json.</x:v>
      </x:c>
    </x:row>
    <x:row r="3730">
      <x:c r="A3730" t="str">
        <x:v>DW-3725</x:v>
      </x:c>
      <x:c r="B3730" t="str">
        <x:v>DW-3725</x:v>
      </x:c>
      <x:c r="C3730" t="str">
        <x:v>Parent indépendant 1.58</x:v>
      </x:c>
      <x:c r="D3730" t="str">
        <x:v>Alimentation et restauration</x:v>
      </x:c>
      <x:c r="E3730" t="str">
        <x:v>Atelier de fruits séchés en tranches</x:v>
      </x:c>
      <x:c r="F3730" t="n">
        <x:v>9</x:v>
      </x:c>
      <x:c r="G3730" t="n">
        <x:v>8</x:v>
      </x:c>
      <x:c r="H3730" t="n">
        <x:v>8</x:v>
      </x:c>
      <x:c r="I3730" t="str">
        <x:v>À qualifier par lieu</x:v>
      </x:c>
      <x:c r="J3730" t="str">
        <x:v>https://github.com/darknigthmare/deadwall-last-enclosure/blob/e28f46223e73105ab2c5d83f3d50b99b58ef53e6/codex-3000/addendum-1.58/PROGRAMMES_C.json</x:v>
      </x:c>
      <x:c r="K3730" t="str">
        <x:v>Source min 58,36 m ; max 58,36 m ; modèle 58 × 36 m ; niveaux 0. Détails dans catalogue-existant.json.</x:v>
      </x:c>
    </x:row>
    <x:row r="3731">
      <x:c r="A3731" t="str">
        <x:v>DW-3726</x:v>
      </x:c>
      <x:c r="B3731" t="str">
        <x:v>DW-3726</x:v>
      </x:c>
      <x:c r="C3731" t="str">
        <x:v>Parent indépendant 1.58</x:v>
      </x:c>
      <x:c r="D3731" t="str">
        <x:v>Alimentation et restauration</x:v>
      </x:c>
      <x:c r="E3731" t="str">
        <x:v>Maison de pressage des oléagineux</x:v>
      </x:c>
      <x:c r="F3731" t="n">
        <x:v>9</x:v>
      </x:c>
      <x:c r="G3731" t="n">
        <x:v>8</x:v>
      </x:c>
      <x:c r="H3731" t="n">
        <x:v>8</x:v>
      </x:c>
      <x:c r="I3731" t="str">
        <x:v>À qualifier par lieu</x:v>
      </x:c>
      <x:c r="J3731" t="str">
        <x:v>https://github.com/darknigthmare/deadwall-last-enclosure/blob/e28f46223e73105ab2c5d83f3d50b99b58ef53e6/codex-3000/addendum-1.58/PROGRAMMES_C.json</x:v>
      </x:c>
      <x:c r="K3731" t="str">
        <x:v>Source min 38,40 m ; max 38,40 m ; modèle 38 × 40 m ; niveaux 0. Détails dans catalogue-existant.json.</x:v>
      </x:c>
    </x:row>
    <x:row r="3732">
      <x:c r="A3732" t="str">
        <x:v>DW-3727</x:v>
      </x:c>
      <x:c r="B3732" t="str">
        <x:v>DW-3727</x:v>
      </x:c>
      <x:c r="C3732" t="str">
        <x:v>Parent indépendant 1.58</x:v>
      </x:c>
      <x:c r="D3732" t="str">
        <x:v>Alimentation et restauration</x:v>
      </x:c>
      <x:c r="E3732" t="str">
        <x:v>Atelier de pâte de graines alimentaires</x:v>
      </x:c>
      <x:c r="F3732" t="n">
        <x:v>9</x:v>
      </x:c>
      <x:c r="G3732" t="n">
        <x:v>8</x:v>
      </x:c>
      <x:c r="H3732" t="n">
        <x:v>8</x:v>
      </x:c>
      <x:c r="I3732" t="str">
        <x:v>À qualifier par lieu</x:v>
      </x:c>
      <x:c r="J3732" t="str">
        <x:v>https://github.com/darknigthmare/deadwall-last-enclosure/blob/e28f46223e73105ab2c5d83f3d50b99b58ef53e6/codex-3000/addendum-1.58/PROGRAMMES_C.json</x:v>
      </x:c>
      <x:c r="K3732" t="str">
        <x:v>Source min 43,40 m ; max 43,40 m ; modèle 43 × 40 m ; niveaux 0. Détails dans catalogue-existant.json.</x:v>
      </x:c>
    </x:row>
    <x:row r="3733">
      <x:c r="A3733" t="str">
        <x:v>DW-3728</x:v>
      </x:c>
      <x:c r="B3733" t="str">
        <x:v>DW-3728</x:v>
      </x:c>
      <x:c r="C3733" t="str">
        <x:v>Parent indépendant 1.58</x:v>
      </x:c>
      <x:c r="D3733" t="str">
        <x:v>Alimentation et restauration</x:v>
      </x:c>
      <x:c r="E3733" t="str">
        <x:v>Atelier de farines de légumineuses</x:v>
      </x:c>
      <x:c r="F3733" t="n">
        <x:v>9</x:v>
      </x:c>
      <x:c r="G3733" t="n">
        <x:v>8</x:v>
      </x:c>
      <x:c r="H3733" t="n">
        <x:v>8</x:v>
      </x:c>
      <x:c r="I3733" t="str">
        <x:v>À qualifier par lieu</x:v>
      </x:c>
      <x:c r="J3733" t="str">
        <x:v>https://github.com/darknigthmare/deadwall-last-enclosure/blob/e28f46223e73105ab2c5d83f3d50b99b58ef53e6/codex-3000/addendum-1.58/PROGRAMMES_C.json</x:v>
      </x:c>
      <x:c r="K3733" t="str">
        <x:v>Source min 48,34 m ; max 48,34 m ; modèle 48 × 34 m ; niveaux 0, 1. Détails dans catalogue-existant.json.</x:v>
      </x:c>
    </x:row>
    <x:row r="3734">
      <x:c r="A3734" t="str">
        <x:v>DW-3729</x:v>
      </x:c>
      <x:c r="B3734" t="str">
        <x:v>DW-3729</x:v>
      </x:c>
      <x:c r="C3734" t="str">
        <x:v>Parent indépendant 1.58</x:v>
      </x:c>
      <x:c r="D3734" t="str">
        <x:v>Alimentation et restauration</x:v>
      </x:c>
      <x:c r="E3734" t="str">
        <x:v>Halle de semoules calibrées</x:v>
      </x:c>
      <x:c r="F3734" t="n">
        <x:v>9</x:v>
      </x:c>
      <x:c r="G3734" t="n">
        <x:v>8</x:v>
      </x:c>
      <x:c r="H3734" t="n">
        <x:v>8</x:v>
      </x:c>
      <x:c r="I3734" t="str">
        <x:v>À qualifier par lieu</x:v>
      </x:c>
      <x:c r="J3734" t="str">
        <x:v>https://github.com/darknigthmare/deadwall-last-enclosure/blob/e28f46223e73105ab2c5d83f3d50b99b58ef53e6/codex-3000/addendum-1.58/PROGRAMMES_C.json</x:v>
      </x:c>
      <x:c r="K3734" t="str">
        <x:v>Source min 53,40 m ; max 53,40 m ; modèle 53 × 40 m ; niveaux 0. Détails dans catalogue-existant.json.</x:v>
      </x:c>
    </x:row>
    <x:row r="3735">
      <x:c r="A3735" t="str">
        <x:v>DW-3730</x:v>
      </x:c>
      <x:c r="B3735" t="str">
        <x:v>DW-3730</x:v>
      </x:c>
      <x:c r="C3735" t="str">
        <x:v>Parent indépendant 1.58</x:v>
      </x:c>
      <x:c r="D3735" t="str">
        <x:v>Alimentation et restauration</x:v>
      </x:c>
      <x:c r="E3735" t="str">
        <x:v>Atelier de torréfaction des céréales</x:v>
      </x:c>
      <x:c r="F3735" t="n">
        <x:v>9</x:v>
      </x:c>
      <x:c r="G3735" t="n">
        <x:v>8</x:v>
      </x:c>
      <x:c r="H3735" t="n">
        <x:v>8</x:v>
      </x:c>
      <x:c r="I3735" t="str">
        <x:v>À qualifier par lieu</x:v>
      </x:c>
      <x:c r="J3735" t="str">
        <x:v>https://github.com/darknigthmare/deadwall-last-enclosure/blob/e28f46223e73105ab2c5d83f3d50b99b58ef53e6/codex-3000/addendum-1.58/PROGRAMMES_C.json</x:v>
      </x:c>
      <x:c r="K3735" t="str">
        <x:v>Source min 58,40 m ; max 58,40 m ; modèle 58 × 40 m ; niveaux 0. Détails dans catalogue-existant.json.</x:v>
      </x:c>
    </x:row>
    <x:row r="3736">
      <x:c r="A3736" t="str">
        <x:v>DW-3731</x:v>
      </x:c>
      <x:c r="B3736" t="str">
        <x:v>DW-3731</x:v>
      </x:c>
      <x:c r="C3736" t="str">
        <x:v>Parent indépendant 1.58</x:v>
      </x:c>
      <x:c r="D3736" t="str">
        <x:v>Alimentation et restauration</x:v>
      </x:c>
      <x:c r="E3736" t="str">
        <x:v>Maison de conserves lactofermentées</x:v>
      </x:c>
      <x:c r="F3736" t="n">
        <x:v>9</x:v>
      </x:c>
      <x:c r="G3736" t="n">
        <x:v>8</x:v>
      </x:c>
      <x:c r="H3736" t="n">
        <x:v>8</x:v>
      </x:c>
      <x:c r="I3736" t="str">
        <x:v>À qualifier par lieu</x:v>
      </x:c>
      <x:c r="J3736" t="str">
        <x:v>https://github.com/darknigthmare/deadwall-last-enclosure/blob/e28f46223e73105ab2c5d83f3d50b99b58ef53e6/codex-3000/addendum-1.58/PROGRAMMES_C.json</x:v>
      </x:c>
      <x:c r="K3736" t="str">
        <x:v>Source min 38,44 m ; max 38,44 m ; modèle 38 × 44 m ; niveaux 0. Détails dans catalogue-existant.json.</x:v>
      </x:c>
    </x:row>
    <x:row r="3737">
      <x:c r="A3737" t="str">
        <x:v>DW-3732</x:v>
      </x:c>
      <x:c r="B3737" t="str">
        <x:v>DW-3732</x:v>
      </x:c>
      <x:c r="C3737" t="str">
        <x:v>Parent indépendant 1.58</x:v>
      </x:c>
      <x:c r="D3737" t="str">
        <x:v>Alimentation et restauration</x:v>
      </x:c>
      <x:c r="E3737" t="str">
        <x:v>Atelier de saumures alimentaires</x:v>
      </x:c>
      <x:c r="F3737" t="n">
        <x:v>9</x:v>
      </x:c>
      <x:c r="G3737" t="n">
        <x:v>8</x:v>
      </x:c>
      <x:c r="H3737" t="n">
        <x:v>8</x:v>
      </x:c>
      <x:c r="I3737" t="str">
        <x:v>À qualifier par lieu</x:v>
      </x:c>
      <x:c r="J3737" t="str">
        <x:v>https://github.com/darknigthmare/deadwall-last-enclosure/blob/e28f46223e73105ab2c5d83f3d50b99b58ef53e6/codex-3000/addendum-1.58/PROGRAMMES_C.json</x:v>
      </x:c>
      <x:c r="K3737" t="str">
        <x:v>Source min 43,44 m ; max 43,44 m ; modèle 43 × 44 m ; niveaux 0. Détails dans catalogue-existant.json.</x:v>
      </x:c>
    </x:row>
    <x:row r="3738">
      <x:c r="A3738" t="str">
        <x:v>DW-3733</x:v>
      </x:c>
      <x:c r="B3738" t="str">
        <x:v>DW-3733</x:v>
      </x:c>
      <x:c r="C3738" t="str">
        <x:v>Parent indépendant 1.58</x:v>
      </x:c>
      <x:c r="D3738" t="str">
        <x:v>Alimentation et restauration</x:v>
      </x:c>
      <x:c r="E3738" t="str">
        <x:v>Atelier de condiments en pots</x:v>
      </x:c>
      <x:c r="F3738" t="n">
        <x:v>9</x:v>
      </x:c>
      <x:c r="G3738" t="n">
        <x:v>8</x:v>
      </x:c>
      <x:c r="H3738" t="n">
        <x:v>8</x:v>
      </x:c>
      <x:c r="I3738" t="str">
        <x:v>À qualifier par lieu</x:v>
      </x:c>
      <x:c r="J3738" t="str">
        <x:v>https://github.com/darknigthmare/deadwall-last-enclosure/blob/e28f46223e73105ab2c5d83f3d50b99b58ef53e6/codex-3000/addendum-1.58/PROGRAMMES_C.json</x:v>
      </x:c>
      <x:c r="K3738" t="str">
        <x:v>Source min 48,38 m ; max 48,38 m ; modèle 48 × 38 m ; niveaux 0, 1. Détails dans catalogue-existant.json.</x:v>
      </x:c>
    </x:row>
    <x:row r="3739">
      <x:c r="A3739" t="str">
        <x:v>DW-3734</x:v>
      </x:c>
      <x:c r="B3739" t="str">
        <x:v>DW-3734</x:v>
      </x:c>
      <x:c r="C3739" t="str">
        <x:v>Parent indépendant 1.58</x:v>
      </x:c>
      <x:c r="D3739" t="str">
        <x:v>Alimentation et restauration</x:v>
      </x:c>
      <x:c r="E3739" t="str">
        <x:v>Maison de confitures de garde</x:v>
      </x:c>
      <x:c r="F3739" t="n">
        <x:v>9</x:v>
      </x:c>
      <x:c r="G3739" t="n">
        <x:v>8</x:v>
      </x:c>
      <x:c r="H3739" t="n">
        <x:v>8</x:v>
      </x:c>
      <x:c r="I3739" t="str">
        <x:v>À qualifier par lieu</x:v>
      </x:c>
      <x:c r="J3739" t="str">
        <x:v>https://github.com/darknigthmare/deadwall-last-enclosure/blob/e28f46223e73105ab2c5d83f3d50b99b58ef53e6/codex-3000/addendum-1.58/PROGRAMMES_C.json</x:v>
      </x:c>
      <x:c r="K3739" t="str">
        <x:v>Source min 53,44 m ; max 53,44 m ; modèle 53 × 44 m ; niveaux 0. Détails dans catalogue-existant.json.</x:v>
      </x:c>
    </x:row>
    <x:row r="3740">
      <x:c r="A3740" t="str">
        <x:v>DW-3735</x:v>
      </x:c>
      <x:c r="B3740" t="str">
        <x:v>DW-3735</x:v>
      </x:c>
      <x:c r="C3740" t="str">
        <x:v>Parent indépendant 1.58</x:v>
      </x:c>
      <x:c r="D3740" t="str">
        <x:v>Alimentation et restauration</x:v>
      </x:c>
      <x:c r="E3740" t="str">
        <x:v>Atelier de gelées de fruits filtrées</x:v>
      </x:c>
      <x:c r="F3740" t="n">
        <x:v>9</x:v>
      </x:c>
      <x:c r="G3740" t="n">
        <x:v>8</x:v>
      </x:c>
      <x:c r="H3740" t="n">
        <x:v>8</x:v>
      </x:c>
      <x:c r="I3740" t="str">
        <x:v>À qualifier par lieu</x:v>
      </x:c>
      <x:c r="J3740" t="str">
        <x:v>https://github.com/darknigthmare/deadwall-last-enclosure/blob/e28f46223e73105ab2c5d83f3d50b99b58ef53e6/codex-3000/addendum-1.58/PROGRAMMES_C.json</x:v>
      </x:c>
      <x:c r="K3740" t="str">
        <x:v>Source min 58,44 m ; max 58,44 m ; modèle 58 × 44 m ; niveaux 0. Détails dans catalogue-existant.json.</x:v>
      </x:c>
    </x:row>
    <x:row r="3741">
      <x:c r="A3741" t="str">
        <x:v>DW-3736</x:v>
      </x:c>
      <x:c r="B3741" t="str">
        <x:v>DW-3736</x:v>
      </x:c>
      <x:c r="C3741" t="str">
        <x:v>Parent indépendant 1.58</x:v>
      </x:c>
      <x:c r="D3741" t="str">
        <x:v>Alimentation et restauration</x:v>
      </x:c>
      <x:c r="E3741" t="str">
        <x:v>Atelier de fruits au sirop</x:v>
      </x:c>
      <x:c r="F3741" t="n">
        <x:v>9</x:v>
      </x:c>
      <x:c r="G3741" t="n">
        <x:v>8</x:v>
      </x:c>
      <x:c r="H3741" t="n">
        <x:v>8</x:v>
      </x:c>
      <x:c r="I3741" t="str">
        <x:v>À qualifier par lieu</x:v>
      </x:c>
      <x:c r="J3741" t="str">
        <x:v>https://github.com/darknigthmare/deadwall-last-enclosure/blob/e28f46223e73105ab2c5d83f3d50b99b58ef53e6/codex-3000/addendum-1.58/PROGRAMMES_C.json</x:v>
      </x:c>
      <x:c r="K3741" t="str">
        <x:v>Source min 38,48 m ; max 38,48 m ; modèle 38 × 48 m ; niveaux 0. Détails dans catalogue-existant.json.</x:v>
      </x:c>
    </x:row>
    <x:row r="3742">
      <x:c r="A3742" t="str">
        <x:v>DW-3737</x:v>
      </x:c>
      <x:c r="B3742" t="str">
        <x:v>DW-3737</x:v>
      </x:c>
      <x:c r="C3742" t="str">
        <x:v>Parent indépendant 1.58</x:v>
      </x:c>
      <x:c r="D3742" t="str">
        <x:v>Alimentation et restauration</x:v>
      </x:c>
      <x:c r="E3742" t="str">
        <x:v>Maison de miel conditionné</x:v>
      </x:c>
      <x:c r="F3742" t="n">
        <x:v>9</x:v>
      </x:c>
      <x:c r="G3742" t="n">
        <x:v>8</x:v>
      </x:c>
      <x:c r="H3742" t="n">
        <x:v>8</x:v>
      </x:c>
      <x:c r="I3742" t="str">
        <x:v>À qualifier par lieu</x:v>
      </x:c>
      <x:c r="J3742" t="str">
        <x:v>https://github.com/darknigthmare/deadwall-last-enclosure/blob/e28f46223e73105ab2c5d83f3d50b99b58ef53e6/codex-3000/addendum-1.58/PROGRAMMES_C.json</x:v>
      </x:c>
      <x:c r="K3742" t="str">
        <x:v>Source min 43,48 m ; max 43,48 m ; modèle 43 × 48 m ; niveaux 0. Détails dans catalogue-existant.json.</x:v>
      </x:c>
    </x:row>
    <x:row r="3743">
      <x:c r="A3743" t="str">
        <x:v>DW-3738</x:v>
      </x:c>
      <x:c r="B3743" t="str">
        <x:v>DW-3738</x:v>
      </x:c>
      <x:c r="C3743" t="str">
        <x:v>Parent indépendant 1.58</x:v>
      </x:c>
      <x:c r="D3743" t="str">
        <x:v>Alimentation et restauration</x:v>
      </x:c>
      <x:c r="E3743" t="str">
        <x:v>Atelier de blocs de sucre de ration</x:v>
      </x:c>
      <x:c r="F3743" t="n">
        <x:v>9</x:v>
      </x:c>
      <x:c r="G3743" t="n">
        <x:v>8</x:v>
      </x:c>
      <x:c r="H3743" t="n">
        <x:v>8</x:v>
      </x:c>
      <x:c r="I3743" t="str">
        <x:v>À qualifier par lieu</x:v>
      </x:c>
      <x:c r="J3743" t="str">
        <x:v>https://github.com/darknigthmare/deadwall-last-enclosure/blob/e28f46223e73105ab2c5d83f3d50b99b58ef53e6/codex-3000/addendum-1.58/PROGRAMMES_C.json</x:v>
      </x:c>
      <x:c r="K3743" t="str">
        <x:v>Source min 48,42 m ; max 48,42 m ; modèle 48 × 42 m ; niveaux 0, 1. Détails dans catalogue-existant.json.</x:v>
      </x:c>
    </x:row>
    <x:row r="3744">
      <x:c r="A3744" t="str">
        <x:v>DW-3739</x:v>
      </x:c>
      <x:c r="B3744" t="str">
        <x:v>DW-3739</x:v>
      </x:c>
      <x:c r="C3744" t="str">
        <x:v>Parent indépendant 1.58</x:v>
      </x:c>
      <x:c r="D3744" t="str">
        <x:v>Alimentation et restauration</x:v>
      </x:c>
      <x:c r="E3744" t="str">
        <x:v>Atelier de lait en poudre conditionné</x:v>
      </x:c>
      <x:c r="F3744" t="n">
        <x:v>9</x:v>
      </x:c>
      <x:c r="G3744" t="n">
        <x:v>8</x:v>
      </x:c>
      <x:c r="H3744" t="n">
        <x:v>8</x:v>
      </x:c>
      <x:c r="I3744" t="str">
        <x:v>À qualifier par lieu</x:v>
      </x:c>
      <x:c r="J3744" t="str">
        <x:v>https://github.com/darknigthmare/deadwall-last-enclosure/blob/e28f46223e73105ab2c5d83f3d50b99b58ef53e6/codex-3000/addendum-1.58/PROGRAMMES_C.json</x:v>
      </x:c>
      <x:c r="K3744" t="str">
        <x:v>Source min 53,48 m ; max 53,48 m ; modèle 53 × 48 m ; niveaux 0. Détails dans catalogue-existant.json.</x:v>
      </x:c>
    </x:row>
    <x:row r="3745">
      <x:c r="A3745" t="str">
        <x:v>DW-3740</x:v>
      </x:c>
      <x:c r="B3745" t="str">
        <x:v>DW-3740</x:v>
      </x:c>
      <x:c r="C3745" t="str">
        <x:v>Parent indépendant 1.58</x:v>
      </x:c>
      <x:c r="D3745" t="str">
        <x:v>Alimentation et restauration</x:v>
      </x:c>
      <x:c r="E3745" t="str">
        <x:v>Fromagerie de pressage des tommes</x:v>
      </x:c>
      <x:c r="F3745" t="n">
        <x:v>9</x:v>
      </x:c>
      <x:c r="G3745" t="n">
        <x:v>8</x:v>
      </x:c>
      <x:c r="H3745" t="n">
        <x:v>8</x:v>
      </x:c>
      <x:c r="I3745" t="str">
        <x:v>À qualifier par lieu</x:v>
      </x:c>
      <x:c r="J3745" t="str">
        <x:v>https://github.com/darknigthmare/deadwall-last-enclosure/blob/e28f46223e73105ab2c5d83f3d50b99b58ef53e6/codex-3000/addendum-1.58/PROGRAMMES_C.json</x:v>
      </x:c>
      <x:c r="K3745" t="str">
        <x:v>Source min 58,48 m ; max 58,48 m ; modèle 58 × 48 m ; niveaux 0. Détails dans catalogue-existant.json.</x:v>
      </x:c>
    </x:row>
    <x:row r="3746">
      <x:c r="A3746" t="str">
        <x:v>DW-3741</x:v>
      </x:c>
      <x:c r="B3746" t="str">
        <x:v>DW-3741</x:v>
      </x:c>
      <x:c r="C3746" t="str">
        <x:v>Parent indépendant 1.58</x:v>
      </x:c>
      <x:c r="D3746" t="str">
        <x:v>Alimentation et restauration</x:v>
      </x:c>
      <x:c r="E3746" t="str">
        <x:v>Atelier de beurre en pains</x:v>
      </x:c>
      <x:c r="F3746" t="n">
        <x:v>9</x:v>
      </x:c>
      <x:c r="G3746" t="n">
        <x:v>8</x:v>
      </x:c>
      <x:c r="H3746" t="n">
        <x:v>8</x:v>
      </x:c>
      <x:c r="I3746" t="str">
        <x:v>À qualifier par lieu</x:v>
      </x:c>
      <x:c r="J3746" t="str">
        <x:v>https://github.com/darknigthmare/deadwall-last-enclosure/blob/e28f46223e73105ab2c5d83f3d50b99b58ef53e6/codex-3000/addendum-1.58/PROGRAMMES_C.json</x:v>
      </x:c>
      <x:c r="K3746" t="str">
        <x:v>Source min 38,36 m ; max 38,36 m ; modèle 38 × 36 m ; niveaux 0. Détails dans catalogue-existant.json.</x:v>
      </x:c>
    </x:row>
    <x:row r="3747">
      <x:c r="A3747" t="str">
        <x:v>DW-3742</x:v>
      </x:c>
      <x:c r="B3747" t="str">
        <x:v>DW-3742</x:v>
      </x:c>
      <x:c r="C3747" t="str">
        <x:v>Parent indépendant 1.58</x:v>
      </x:c>
      <x:c r="D3747" t="str">
        <x:v>Alimentation et restauration</x:v>
      </x:c>
      <x:c r="E3747" t="str">
        <x:v>Maison de séchage des fromages</x:v>
      </x:c>
      <x:c r="F3747" t="n">
        <x:v>9</x:v>
      </x:c>
      <x:c r="G3747" t="n">
        <x:v>8</x:v>
      </x:c>
      <x:c r="H3747" t="n">
        <x:v>8</x:v>
      </x:c>
      <x:c r="I3747" t="str">
        <x:v>À qualifier par lieu</x:v>
      </x:c>
      <x:c r="J3747" t="str">
        <x:v>https://github.com/darknigthmare/deadwall-last-enclosure/blob/e28f46223e73105ab2c5d83f3d50b99b58ef53e6/codex-3000/addendum-1.58/PROGRAMMES_C.json</x:v>
      </x:c>
      <x:c r="K3747" t="str">
        <x:v>Source min 43,36 m ; max 43,36 m ; modèle 43 × 36 m ; niveaux 0. Détails dans catalogue-existant.json.</x:v>
      </x:c>
    </x:row>
    <x:row r="3748">
      <x:c r="A3748" t="str">
        <x:v>DW-3743</x:v>
      </x:c>
      <x:c r="B3748" t="str">
        <x:v>DW-3743</x:v>
      </x:c>
      <x:c r="C3748" t="str">
        <x:v>Parent indépendant 1.58</x:v>
      </x:c>
      <x:c r="D3748" t="str">
        <x:v>Alimentation et restauration</x:v>
      </x:c>
      <x:c r="E3748" t="str">
        <x:v>Atelier de viandes séchées emballées</x:v>
      </x:c>
      <x:c r="F3748" t="n">
        <x:v>9</x:v>
      </x:c>
      <x:c r="G3748" t="n">
        <x:v>8</x:v>
      </x:c>
      <x:c r="H3748" t="n">
        <x:v>8</x:v>
      </x:c>
      <x:c r="I3748" t="str">
        <x:v>À qualifier par lieu</x:v>
      </x:c>
      <x:c r="J3748" t="str">
        <x:v>https://github.com/darknigthmare/deadwall-last-enclosure/blob/e28f46223e73105ab2c5d83f3d50b99b58ef53e6/codex-3000/addendum-1.58/PROGRAMMES_C.json</x:v>
      </x:c>
      <x:c r="K3748" t="str">
        <x:v>Source min 48,30 m ; max 48,30 m ; modèle 48 × 30 m ; niveaux 0, 1. Détails dans catalogue-existant.json.</x:v>
      </x:c>
    </x:row>
    <x:row r="3749">
      <x:c r="A3749" t="str">
        <x:v>DW-3744</x:v>
      </x:c>
      <x:c r="B3749" t="str">
        <x:v>DW-3744</x:v>
      </x:c>
      <x:c r="C3749" t="str">
        <x:v>Parent indépendant 1.58</x:v>
      </x:c>
      <x:c r="D3749" t="str">
        <x:v>Alimentation et restauration</x:v>
      </x:c>
      <x:c r="E3749" t="str">
        <x:v>Atelier de poissons en bocaux</x:v>
      </x:c>
      <x:c r="F3749" t="n">
        <x:v>9</x:v>
      </x:c>
      <x:c r="G3749" t="n">
        <x:v>8</x:v>
      </x:c>
      <x:c r="H3749" t="n">
        <x:v>8</x:v>
      </x:c>
      <x:c r="I3749" t="str">
        <x:v>À qualifier par lieu</x:v>
      </x:c>
      <x:c r="J3749" t="str">
        <x:v>https://github.com/darknigthmare/deadwall-last-enclosure/blob/e28f46223e73105ab2c5d83f3d50b99b58ef53e6/codex-3000/addendum-1.58/PROGRAMMES_C.json</x:v>
      </x:c>
      <x:c r="K3749" t="str">
        <x:v>Source min 53,36 m ; max 53,36 m ; modèle 53 × 36 m ; niveaux 0. Détails dans catalogue-existant.json.</x:v>
      </x:c>
    </x:row>
    <x:row r="3750">
      <x:c r="A3750" t="str">
        <x:v>DW-3745</x:v>
      </x:c>
      <x:c r="B3750" t="str">
        <x:v>DW-3745</x:v>
      </x:c>
      <x:c r="C3750" t="str">
        <x:v>Parent indépendant 1.58</x:v>
      </x:c>
      <x:c r="D3750" t="str">
        <x:v>Alimentation et restauration</x:v>
      </x:c>
      <x:c r="E3750" t="str">
        <x:v>Halle de repas de secours en barquettes</x:v>
      </x:c>
      <x:c r="F3750" t="n">
        <x:v>9</x:v>
      </x:c>
      <x:c r="G3750" t="n">
        <x:v>8</x:v>
      </x:c>
      <x:c r="H3750" t="n">
        <x:v>8</x:v>
      </x:c>
      <x:c r="I3750" t="str">
        <x:v>À qualifier par lieu</x:v>
      </x:c>
      <x:c r="J3750" t="str">
        <x:v>https://github.com/darknigthmare/deadwall-last-enclosure/blob/e28f46223e73105ab2c5d83f3d50b99b58ef53e6/codex-3000/addendum-1.58/PROGRAMMES_C.json</x:v>
      </x:c>
      <x:c r="K3750" t="str">
        <x:v>Source min 58,36 m ; max 58,36 m ; modèle 58 × 36 m ; niveaux 0. Détails dans catalogue-existant.json.</x:v>
      </x:c>
    </x:row>
    <x:row r="3751">
      <x:c r="A3751" t="str">
        <x:v>DW-3746</x:v>
      </x:c>
      <x:c r="B3751" t="str">
        <x:v>DW-3746</x:v>
      </x:c>
      <x:c r="C3751" t="str">
        <x:v>Parent indépendant 1.58</x:v>
      </x:c>
      <x:c r="D3751" t="str">
        <x:v>Alimentation et restauration</x:v>
      </x:c>
      <x:c r="E3751" t="str">
        <x:v>Atelier de bouillons concentrés</x:v>
      </x:c>
      <x:c r="F3751" t="n">
        <x:v>9</x:v>
      </x:c>
      <x:c r="G3751" t="n">
        <x:v>8</x:v>
      </x:c>
      <x:c r="H3751" t="n">
        <x:v>8</x:v>
      </x:c>
      <x:c r="I3751" t="str">
        <x:v>À qualifier par lieu</x:v>
      </x:c>
      <x:c r="J3751" t="str">
        <x:v>https://github.com/darknigthmare/deadwall-last-enclosure/blob/e28f46223e73105ab2c5d83f3d50b99b58ef53e6/codex-3000/addendum-1.58/PROGRAMMES_C.json</x:v>
      </x:c>
      <x:c r="K3751" t="str">
        <x:v>Source min 38,40 m ; max 38,40 m ; modèle 38 × 40 m ; niveaux 0. Détails dans catalogue-existant.json.</x:v>
      </x:c>
    </x:row>
    <x:row r="3752">
      <x:c r="A3752" t="str">
        <x:v>DW-3747</x:v>
      </x:c>
      <x:c r="B3752" t="str">
        <x:v>DW-3747</x:v>
      </x:c>
      <x:c r="C3752" t="str">
        <x:v>Parent indépendant 1.58</x:v>
      </x:c>
      <x:c r="D3752" t="str">
        <x:v>Alimentation et restauration</x:v>
      </x:c>
      <x:c r="E3752" t="str">
        <x:v>Atelier d'herbes culinaires conditionnées</x:v>
      </x:c>
      <x:c r="F3752" t="n">
        <x:v>9</x:v>
      </x:c>
      <x:c r="G3752" t="n">
        <x:v>8</x:v>
      </x:c>
      <x:c r="H3752" t="n">
        <x:v>8</x:v>
      </x:c>
      <x:c r="I3752" t="str">
        <x:v>À qualifier par lieu</x:v>
      </x:c>
      <x:c r="J3752" t="str">
        <x:v>https://github.com/darknigthmare/deadwall-last-enclosure/blob/e28f46223e73105ab2c5d83f3d50b99b58ef53e6/codex-3000/addendum-1.58/PROGRAMMES_C.json</x:v>
      </x:c>
      <x:c r="K3752" t="str">
        <x:v>Source min 43,40 m ; max 43,40 m ; modèle 43 × 40 m ; niveaux 0. Détails dans catalogue-existant.json.</x:v>
      </x:c>
    </x:row>
    <x:row r="3753">
      <x:c r="A3753" t="str">
        <x:v>DW-3748</x:v>
      </x:c>
      <x:c r="B3753" t="str">
        <x:v>DW-3748</x:v>
      </x:c>
      <x:c r="C3753" t="str">
        <x:v>Parent indépendant 1.58</x:v>
      </x:c>
      <x:c r="D3753" t="str">
        <x:v>Alimentation et restauration</x:v>
      </x:c>
      <x:c r="E3753" t="str">
        <x:v>Maison de mélanges d'épices</x:v>
      </x:c>
      <x:c r="F3753" t="n">
        <x:v>9</x:v>
      </x:c>
      <x:c r="G3753" t="n">
        <x:v>8</x:v>
      </x:c>
      <x:c r="H3753" t="n">
        <x:v>8</x:v>
      </x:c>
      <x:c r="I3753" t="str">
        <x:v>À qualifier par lieu</x:v>
      </x:c>
      <x:c r="J3753" t="str">
        <x:v>https://github.com/darknigthmare/deadwall-last-enclosure/blob/e28f46223e73105ab2c5d83f3d50b99b58ef53e6/codex-3000/addendum-1.58/PROGRAMMES_C.json</x:v>
      </x:c>
      <x:c r="K3753" t="str">
        <x:v>Source min 48,34 m ; max 48,34 m ; modèle 48 × 34 m ; niveaux 0, 1. Détails dans catalogue-existant.json.</x:v>
      </x:c>
    </x:row>
    <x:row r="3754">
      <x:c r="A3754" t="str">
        <x:v>DW-3749</x:v>
      </x:c>
      <x:c r="B3754" t="str">
        <x:v>DW-3749</x:v>
      </x:c>
      <x:c r="C3754" t="str">
        <x:v>Parent indépendant 1.58</x:v>
      </x:c>
      <x:c r="D3754" t="str">
        <x:v>Alimentation et restauration</x:v>
      </x:c>
      <x:c r="E3754" t="str">
        <x:v>Atelier de rations de marche compressées</x:v>
      </x:c>
      <x:c r="F3754" t="n">
        <x:v>9</x:v>
      </x:c>
      <x:c r="G3754" t="n">
        <x:v>8</x:v>
      </x:c>
      <x:c r="H3754" t="n">
        <x:v>8</x:v>
      </x:c>
      <x:c r="I3754" t="str">
        <x:v>À qualifier par lieu</x:v>
      </x:c>
      <x:c r="J3754" t="str">
        <x:v>https://github.com/darknigthmare/deadwall-last-enclosure/blob/e28f46223e73105ab2c5d83f3d50b99b58ef53e6/codex-3000/addendum-1.58/PROGRAMMES_C.json</x:v>
      </x:c>
      <x:c r="K3754" t="str">
        <x:v>Source min 53,40 m ; max 53,40 m ; modèle 53 × 40 m ; niveaux 0. Détails dans catalogue-existant.json.</x:v>
      </x:c>
    </x:row>
    <x:row r="3755">
      <x:c r="A3755" t="str">
        <x:v>DW-3750</x:v>
      </x:c>
      <x:c r="B3755" t="str">
        <x:v>DW-3750</x:v>
      </x:c>
      <x:c r="C3755" t="str">
        <x:v>Parent indépendant 1.58</x:v>
      </x:c>
      <x:c r="D3755" t="str">
        <x:v>Alimentation et restauration</x:v>
      </x:c>
      <x:c r="E3755" t="str">
        <x:v>Bâtiment de contrôle des conserves de secours</x:v>
      </x:c>
      <x:c r="F3755" t="n">
        <x:v>9</x:v>
      </x:c>
      <x:c r="G3755" t="n">
        <x:v>8</x:v>
      </x:c>
      <x:c r="H3755" t="n">
        <x:v>8</x:v>
      </x:c>
      <x:c r="I3755" t="str">
        <x:v>À qualifier par lieu</x:v>
      </x:c>
      <x:c r="J3755" t="str">
        <x:v>https://github.com/darknigthmare/deadwall-last-enclosure/blob/e28f46223e73105ab2c5d83f3d50b99b58ef53e6/codex-3000/addendum-1.58/PROGRAMMES_C.json</x:v>
      </x:c>
      <x:c r="K3755" t="str">
        <x:v>Source min 58,40 m ; max 58,40 m ; modèle 58 × 40 m ; niveaux 0. Détails dans catalogue-existant.json.</x:v>
      </x:c>
    </x:row>
    <x:row r="3756">
      <x:c r="A3756" t="str">
        <x:v>DW-3751</x:v>
      </x:c>
      <x:c r="B3756" t="str">
        <x:v>DW-3751</x:v>
      </x:c>
      <x:c r="C3756" t="str">
        <x:v>Parent indépendant 1.58</x:v>
      </x:c>
      <x:c r="D3756" t="str">
        <x:v>Entrepôts et réserves</x:v>
      </x:c>
      <x:c r="E3756" t="str">
        <x:v>Maison des caisses réemployables</x:v>
      </x:c>
      <x:c r="F3756" t="n">
        <x:v>9</x:v>
      </x:c>
      <x:c r="G3756" t="n">
        <x:v>8</x:v>
      </x:c>
      <x:c r="H3756" t="n">
        <x:v>8</x:v>
      </x:c>
      <x:c r="I3756" t="str">
        <x:v>À qualifier par lieu</x:v>
      </x:c>
      <x:c r="J3756" t="str">
        <x:v>https://github.com/darknigthmare/deadwall-last-enclosure/blob/e28f46223e73105ab2c5d83f3d50b99b58ef53e6/codex-3000/addendum-1.58/PROGRAMMES_D.json</x:v>
      </x:c>
      <x:c r="K3756" t="str">
        <x:v>Source min 46,42 m ; max 46,42 m ; modèle 46 × 42 m ; niveaux 0. Détails dans catalogue-existant.json.</x:v>
      </x:c>
    </x:row>
    <x:row r="3757">
      <x:c r="A3757" t="str">
        <x:v>DW-3752</x:v>
      </x:c>
      <x:c r="B3757" t="str">
        <x:v>DW-3752</x:v>
      </x:c>
      <x:c r="C3757" t="str">
        <x:v>Parent indépendant 1.58</x:v>
      </x:c>
      <x:c r="D3757" t="str">
        <x:v>Entrepôts et réserves</x:v>
      </x:c>
      <x:c r="E3757" t="str">
        <x:v>Centre des palettes réparables</x:v>
      </x:c>
      <x:c r="F3757" t="n">
        <x:v>9</x:v>
      </x:c>
      <x:c r="G3757" t="n">
        <x:v>8</x:v>
      </x:c>
      <x:c r="H3757" t="n">
        <x:v>8</x:v>
      </x:c>
      <x:c r="I3757" t="str">
        <x:v>À qualifier par lieu</x:v>
      </x:c>
      <x:c r="J3757" t="str">
        <x:v>https://github.com/darknigthmare/deadwall-last-enclosure/blob/e28f46223e73105ab2c5d83f3d50b99b58ef53e6/codex-3000/addendum-1.58/PROGRAMMES_D.json</x:v>
      </x:c>
      <x:c r="K3757" t="str">
        <x:v>Source min 50,46 m ; max 50,46 m ; modèle 50 × 46 m ; niveaux 0. Détails dans catalogue-existant.json.</x:v>
      </x:c>
    </x:row>
    <x:row r="3758">
      <x:c r="A3758" t="str">
        <x:v>DW-3753</x:v>
      </x:c>
      <x:c r="B3758" t="str">
        <x:v>DW-3753</x:v>
      </x:c>
      <x:c r="C3758" t="str">
        <x:v>Parent indépendant 1.58</x:v>
      </x:c>
      <x:c r="D3758" t="str">
        <x:v>Entrepôts et réserves</x:v>
      </x:c>
      <x:c r="E3758" t="str">
        <x:v>Halle des bacs navettes</x:v>
      </x:c>
      <x:c r="F3758" t="n">
        <x:v>9</x:v>
      </x:c>
      <x:c r="G3758" t="n">
        <x:v>8</x:v>
      </x:c>
      <x:c r="H3758" t="n">
        <x:v>8</x:v>
      </x:c>
      <x:c r="I3758" t="str">
        <x:v>À qualifier par lieu</x:v>
      </x:c>
      <x:c r="J3758" t="str">
        <x:v>https://github.com/darknigthmare/deadwall-last-enclosure/blob/e28f46223e73105ab2c5d83f3d50b99b58ef53e6/codex-3000/addendum-1.58/PROGRAMMES_D.json</x:v>
      </x:c>
      <x:c r="K3758" t="str">
        <x:v>Source min 54,50 m ; max 54,50 m ; modèle 54 × 50 m ; niveaux 0. Détails dans catalogue-existant.json.</x:v>
      </x:c>
    </x:row>
    <x:row r="3759">
      <x:c r="A3759" t="str">
        <x:v>DW-3754</x:v>
      </x:c>
      <x:c r="B3759" t="str">
        <x:v>DW-3754</x:v>
      </x:c>
      <x:c r="C3759" t="str">
        <x:v>Parent indépendant 1.58</x:v>
      </x:c>
      <x:c r="D3759" t="str">
        <x:v>Entrepôts et réserves</x:v>
      </x:c>
      <x:c r="E3759" t="str">
        <x:v>Dépôt des rolls de livraison</x:v>
      </x:c>
      <x:c r="F3759" t="n">
        <x:v>9</x:v>
      </x:c>
      <x:c r="G3759" t="n">
        <x:v>8</x:v>
      </x:c>
      <x:c r="H3759" t="n">
        <x:v>8</x:v>
      </x:c>
      <x:c r="I3759" t="str">
        <x:v>À qualifier par lieu</x:v>
      </x:c>
      <x:c r="J3759" t="str">
        <x:v>https://github.com/darknigthmare/deadwall-last-enclosure/blob/e28f46223e73105ab2c5d83f3d50b99b58ef53e6/codex-3000/addendum-1.58/PROGRAMMES_D.json</x:v>
      </x:c>
      <x:c r="K3759" t="str">
        <x:v>Source min 46,42 m ; max 46,42 m ; modèle 46 × 42 m ; niveaux 0. Détails dans catalogue-existant.json.</x:v>
      </x:c>
    </x:row>
    <x:row r="3760">
      <x:c r="A3760" t="str">
        <x:v>DW-3755</x:v>
      </x:c>
      <x:c r="B3760" t="str">
        <x:v>DW-3755</x:v>
      </x:c>
      <x:c r="C3760" t="str">
        <x:v>Parent indépendant 1.58</x:v>
      </x:c>
      <x:c r="D3760" t="str">
        <x:v>Entrepôts et réserves</x:v>
      </x:c>
      <x:c r="E3760" t="str">
        <x:v>Centre de calage des colis fragiles</x:v>
      </x:c>
      <x:c r="F3760" t="n">
        <x:v>9</x:v>
      </x:c>
      <x:c r="G3760" t="n">
        <x:v>8</x:v>
      </x:c>
      <x:c r="H3760" t="n">
        <x:v>8</x:v>
      </x:c>
      <x:c r="I3760" t="str">
        <x:v>À qualifier par lieu</x:v>
      </x:c>
      <x:c r="J3760" t="str">
        <x:v>https://github.com/darknigthmare/deadwall-last-enclosure/blob/e28f46223e73105ab2c5d83f3d50b99b58ef53e6/codex-3000/addendum-1.58/PROGRAMMES_D.json</x:v>
      </x:c>
      <x:c r="K3760" t="str">
        <x:v>Source min 50,46 m ; max 50,46 m ; modèle 50 × 46 m ; niveaux 0. Détails dans catalogue-existant.json.</x:v>
      </x:c>
    </x:row>
    <x:row r="3761">
      <x:c r="A3761" t="str">
        <x:v>DW-3756</x:v>
      </x:c>
      <x:c r="B3761" t="str">
        <x:v>DW-3756</x:v>
      </x:c>
      <x:c r="C3761" t="str">
        <x:v>Parent indépendant 1.58</x:v>
      </x:c>
      <x:c r="D3761" t="str">
        <x:v>Entrepôts et réserves</x:v>
      </x:c>
      <x:c r="E3761" t="str">
        <x:v>Réserve des couvertures de déménagement</x:v>
      </x:c>
      <x:c r="F3761" t="n">
        <x:v>9</x:v>
      </x:c>
      <x:c r="G3761" t="n">
        <x:v>8</x:v>
      </x:c>
      <x:c r="H3761" t="n">
        <x:v>8</x:v>
      </x:c>
      <x:c r="I3761" t="str">
        <x:v>À qualifier par lieu</x:v>
      </x:c>
      <x:c r="J3761" t="str">
        <x:v>https://github.com/darknigthmare/deadwall-last-enclosure/blob/e28f46223e73105ab2c5d83f3d50b99b58ef53e6/codex-3000/addendum-1.58/PROGRAMMES_D.json</x:v>
      </x:c>
      <x:c r="K3761" t="str">
        <x:v>Source min 54,50 m ; max 54,50 m ; modèle 54 × 50 m ; niveaux 0. Détails dans catalogue-existant.json.</x:v>
      </x:c>
    </x:row>
    <x:row r="3762">
      <x:c r="A3762" t="str">
        <x:v>DW-3757</x:v>
      </x:c>
      <x:c r="B3762" t="str">
        <x:v>DW-3757</x:v>
      </x:c>
      <x:c r="C3762" t="str">
        <x:v>Parent indépendant 1.58</x:v>
      </x:c>
      <x:c r="D3762" t="str">
        <x:v>Entrepôts et réserves</x:v>
      </x:c>
      <x:c r="E3762" t="str">
        <x:v>Atelier des caisses de voyage technique</x:v>
      </x:c>
      <x:c r="F3762" t="n">
        <x:v>9</x:v>
      </x:c>
      <x:c r="G3762" t="n">
        <x:v>8</x:v>
      </x:c>
      <x:c r="H3762" t="n">
        <x:v>8</x:v>
      </x:c>
      <x:c r="I3762" t="str">
        <x:v>À qualifier par lieu</x:v>
      </x:c>
      <x:c r="J3762" t="str">
        <x:v>https://github.com/darknigthmare/deadwall-last-enclosure/blob/e28f46223e73105ab2c5d83f3d50b99b58ef53e6/codex-3000/addendum-1.58/PROGRAMMES_D.json</x:v>
      </x:c>
      <x:c r="K3762" t="str">
        <x:v>Source min 46,42 m ; max 46,42 m ; modèle 46 × 42 m ; niveaux 0. Détails dans catalogue-existant.json.</x:v>
      </x:c>
    </x:row>
    <x:row r="3763">
      <x:c r="A3763" t="str">
        <x:v>DW-3758</x:v>
      </x:c>
      <x:c r="B3763" t="str">
        <x:v>DW-3758</x:v>
      </x:c>
      <x:c r="C3763" t="str">
        <x:v>Parent indépendant 1.58</x:v>
      </x:c>
      <x:c r="D3763" t="str">
        <x:v>Entrepôts et réserves</x:v>
      </x:c>
      <x:c r="E3763" t="str">
        <x:v>Centre des archives à déplacer</x:v>
      </x:c>
      <x:c r="F3763" t="n">
        <x:v>9</x:v>
      </x:c>
      <x:c r="G3763" t="n">
        <x:v>8</x:v>
      </x:c>
      <x:c r="H3763" t="n">
        <x:v>8</x:v>
      </x:c>
      <x:c r="I3763" t="str">
        <x:v>À qualifier par lieu</x:v>
      </x:c>
      <x:c r="J3763" t="str">
        <x:v>https://github.com/darknigthmare/deadwall-last-enclosure/blob/e28f46223e73105ab2c5d83f3d50b99b58ef53e6/codex-3000/addendum-1.58/PROGRAMMES_D.json</x:v>
      </x:c>
      <x:c r="K3763" t="str">
        <x:v>Source min 50,46 m ; max 50,46 m ; modèle 50 × 46 m ; niveaux 0. Détails dans catalogue-existant.json.</x:v>
      </x:c>
    </x:row>
    <x:row r="3764">
      <x:c r="A3764" t="str">
        <x:v>DW-3759</x:v>
      </x:c>
      <x:c r="B3764" t="str">
        <x:v>DW-3759</x:v>
      </x:c>
      <x:c r="C3764" t="str">
        <x:v>Parent indépendant 1.58</x:v>
      </x:c>
      <x:c r="D3764" t="str">
        <x:v>Entrepôts et réserves</x:v>
      </x:c>
      <x:c r="E3764" t="str">
        <x:v>Halle de préparation des œuvres en transit</x:v>
      </x:c>
      <x:c r="F3764" t="n">
        <x:v>9</x:v>
      </x:c>
      <x:c r="G3764" t="n">
        <x:v>8</x:v>
      </x:c>
      <x:c r="H3764" t="n">
        <x:v>8</x:v>
      </x:c>
      <x:c r="I3764" t="str">
        <x:v>À qualifier par lieu</x:v>
      </x:c>
      <x:c r="J3764" t="str">
        <x:v>https://github.com/darknigthmare/deadwall-last-enclosure/blob/e28f46223e73105ab2c5d83f3d50b99b58ef53e6/codex-3000/addendum-1.58/PROGRAMMES_D.json</x:v>
      </x:c>
      <x:c r="K3764" t="str">
        <x:v>Source min 54,50 m ; max 54,50 m ; modèle 54 × 50 m ; niveaux 0. Détails dans catalogue-existant.json.</x:v>
      </x:c>
    </x:row>
    <x:row r="3765">
      <x:c r="A3765" t="str">
        <x:v>DW-3760</x:v>
      </x:c>
      <x:c r="B3765" t="str">
        <x:v>DW-3760</x:v>
      </x:c>
      <x:c r="C3765" t="str">
        <x:v>Parent indépendant 1.58</x:v>
      </x:c>
      <x:c r="D3765" t="str">
        <x:v>Entrepôts et réserves</x:v>
      </x:c>
      <x:c r="E3765" t="str">
        <x:v>Maison du regroupement des dons matériels</x:v>
      </x:c>
      <x:c r="F3765" t="n">
        <x:v>9</x:v>
      </x:c>
      <x:c r="G3765" t="n">
        <x:v>8</x:v>
      </x:c>
      <x:c r="H3765" t="n">
        <x:v>8</x:v>
      </x:c>
      <x:c r="I3765" t="str">
        <x:v>À qualifier par lieu</x:v>
      </x:c>
      <x:c r="J3765" t="str">
        <x:v>https://github.com/darknigthmare/deadwall-last-enclosure/blob/e28f46223e73105ab2c5d83f3d50b99b58ef53e6/codex-3000/addendum-1.58/PROGRAMMES_D.json</x:v>
      </x:c>
      <x:c r="K3765" t="str">
        <x:v>Source min 46,42 m ; max 46,42 m ; modèle 46 × 42 m ; niveaux 0. Détails dans catalogue-existant.json.</x:v>
      </x:c>
    </x:row>
    <x:row r="3766">
      <x:c r="A3766" t="str">
        <x:v>DW-3761</x:v>
      </x:c>
      <x:c r="B3766" t="str">
        <x:v>DW-3761</x:v>
      </x:c>
      <x:c r="C3766" t="str">
        <x:v>Parent indépendant 1.58</x:v>
      </x:c>
      <x:c r="D3766" t="str">
        <x:v>Entrepôts et réserves</x:v>
      </x:c>
      <x:c r="E3766" t="str">
        <x:v>Centre des retours de location d'outils</x:v>
      </x:c>
      <x:c r="F3766" t="n">
        <x:v>9</x:v>
      </x:c>
      <x:c r="G3766" t="n">
        <x:v>8</x:v>
      </x:c>
      <x:c r="H3766" t="n">
        <x:v>8</x:v>
      </x:c>
      <x:c r="I3766" t="str">
        <x:v>À qualifier par lieu</x:v>
      </x:c>
      <x:c r="J3766" t="str">
        <x:v>https://github.com/darknigthmare/deadwall-last-enclosure/blob/e28f46223e73105ab2c5d83f3d50b99b58ef53e6/codex-3000/addendum-1.58/PROGRAMMES_D.json</x:v>
      </x:c>
      <x:c r="K3766" t="str">
        <x:v>Source min 50,46 m ; max 50,46 m ; modèle 50 × 46 m ; niveaux 0. Détails dans catalogue-existant.json.</x:v>
      </x:c>
    </x:row>
    <x:row r="3767">
      <x:c r="A3767" t="str">
        <x:v>DW-3762</x:v>
      </x:c>
      <x:c r="B3767" t="str">
        <x:v>DW-3762</x:v>
      </x:c>
      <x:c r="C3767" t="str">
        <x:v>Parent indépendant 1.58</x:v>
      </x:c>
      <x:c r="D3767" t="str">
        <x:v>Entrepôts et réserves</x:v>
      </x:c>
      <x:c r="E3767" t="str">
        <x:v>Halle des emballages de grande longueur</x:v>
      </x:c>
      <x:c r="F3767" t="n">
        <x:v>9</x:v>
      </x:c>
      <x:c r="G3767" t="n">
        <x:v>8</x:v>
      </x:c>
      <x:c r="H3767" t="n">
        <x:v>8</x:v>
      </x:c>
      <x:c r="I3767" t="str">
        <x:v>À qualifier par lieu</x:v>
      </x:c>
      <x:c r="J3767" t="str">
        <x:v>https://github.com/darknigthmare/deadwall-last-enclosure/blob/e28f46223e73105ab2c5d83f3d50b99b58ef53e6/codex-3000/addendum-1.58/PROGRAMMES_D.json</x:v>
      </x:c>
      <x:c r="K3767" t="str">
        <x:v>Source min 54,50 m ; max 54,50 m ; modèle 54 × 50 m ; niveaux 0. Détails dans catalogue-existant.json.</x:v>
      </x:c>
    </x:row>
    <x:row r="3768">
      <x:c r="A3768" t="str">
        <x:v>DW-3763</x:v>
      </x:c>
      <x:c r="B3768" t="str">
        <x:v>DW-3763</x:v>
      </x:c>
      <x:c r="C3768" t="str">
        <x:v>Parent indépendant 1.58</x:v>
      </x:c>
      <x:c r="D3768" t="str">
        <x:v>Entrepôts et réserves</x:v>
      </x:c>
      <x:c r="E3768" t="str">
        <x:v>Réserve des colis à contrôler</x:v>
      </x:c>
      <x:c r="F3768" t="n">
        <x:v>9</x:v>
      </x:c>
      <x:c r="G3768" t="n">
        <x:v>8</x:v>
      </x:c>
      <x:c r="H3768" t="n">
        <x:v>8</x:v>
      </x:c>
      <x:c r="I3768" t="str">
        <x:v>À qualifier par lieu</x:v>
      </x:c>
      <x:c r="J3768" t="str">
        <x:v>https://github.com/darknigthmare/deadwall-last-enclosure/blob/e28f46223e73105ab2c5d83f3d50b99b58ef53e6/codex-3000/addendum-1.58/PROGRAMMES_D.json</x:v>
      </x:c>
      <x:c r="K3768" t="str">
        <x:v>Source min 46,42 m ; max 46,42 m ; modèle 46 × 42 m ; niveaux 0. Détails dans catalogue-existant.json.</x:v>
      </x:c>
    </x:row>
    <x:row r="3769">
      <x:c r="A3769" t="str">
        <x:v>DW-3764</x:v>
      </x:c>
      <x:c r="B3769" t="str">
        <x:v>DW-3764</x:v>
      </x:c>
      <x:c r="C3769" t="str">
        <x:v>Parent indépendant 1.58</x:v>
      </x:c>
      <x:c r="D3769" t="str">
        <x:v>Entrepôts et réserves</x:v>
      </x:c>
      <x:c r="E3769" t="str">
        <x:v>Maison du recyclage des mousses de calage</x:v>
      </x:c>
      <x:c r="F3769" t="n">
        <x:v>9</x:v>
      </x:c>
      <x:c r="G3769" t="n">
        <x:v>8</x:v>
      </x:c>
      <x:c r="H3769" t="n">
        <x:v>8</x:v>
      </x:c>
      <x:c r="I3769" t="str">
        <x:v>À qualifier par lieu</x:v>
      </x:c>
      <x:c r="J3769" t="str">
        <x:v>https://github.com/darknigthmare/deadwall-last-enclosure/blob/e28f46223e73105ab2c5d83f3d50b99b58ef53e6/codex-3000/addendum-1.58/PROGRAMMES_D.json</x:v>
      </x:c>
      <x:c r="K3769" t="str">
        <x:v>Source min 50,46 m ; max 50,46 m ; modèle 50 × 46 m ; niveaux 0. Détails dans catalogue-existant.json.</x:v>
      </x:c>
    </x:row>
    <x:row r="3770">
      <x:c r="A3770" t="str">
        <x:v>DW-3765</x:v>
      </x:c>
      <x:c r="B3770" t="str">
        <x:v>DW-3765</x:v>
      </x:c>
      <x:c r="C3770" t="str">
        <x:v>Parent indépendant 1.58</x:v>
      </x:c>
      <x:c r="D3770" t="str">
        <x:v>Entrepôts et réserves</x:v>
      </x:c>
      <x:c r="E3770" t="str">
        <x:v>Halle des caissons démontables</x:v>
      </x:c>
      <x:c r="F3770" t="n">
        <x:v>9</x:v>
      </x:c>
      <x:c r="G3770" t="n">
        <x:v>8</x:v>
      </x:c>
      <x:c r="H3770" t="n">
        <x:v>8</x:v>
      </x:c>
      <x:c r="I3770" t="str">
        <x:v>À qualifier par lieu</x:v>
      </x:c>
      <x:c r="J3770" t="str">
        <x:v>https://github.com/darknigthmare/deadwall-last-enclosure/blob/e28f46223e73105ab2c5d83f3d50b99b58ef53e6/codex-3000/addendum-1.58/PROGRAMMES_D.json</x:v>
      </x:c>
      <x:c r="K3770" t="str">
        <x:v>Source min 54,50 m ; max 54,50 m ; modèle 54 × 50 m ; niveaux 0. Détails dans catalogue-existant.json.</x:v>
      </x:c>
    </x:row>
    <x:row r="3771">
      <x:c r="A3771" t="str">
        <x:v>DW-3766</x:v>
      </x:c>
      <x:c r="B3771" t="str">
        <x:v>DW-3766</x:v>
      </x:c>
      <x:c r="C3771" t="str">
        <x:v>Parent indépendant 1.58</x:v>
      </x:c>
      <x:c r="D3771" t="str">
        <x:v>Entrepôts et réserves</x:v>
      </x:c>
      <x:c r="E3771" t="str">
        <x:v>Centre des repas en portage</x:v>
      </x:c>
      <x:c r="F3771" t="n">
        <x:v>9</x:v>
      </x:c>
      <x:c r="G3771" t="n">
        <x:v>8</x:v>
      </x:c>
      <x:c r="H3771" t="n">
        <x:v>8</x:v>
      </x:c>
      <x:c r="I3771" t="str">
        <x:v>À qualifier par lieu</x:v>
      </x:c>
      <x:c r="J3771" t="str">
        <x:v>https://github.com/darknigthmare/deadwall-last-enclosure/blob/e28f46223e73105ab2c5d83f3d50b99b58ef53e6/codex-3000/addendum-1.58/PROGRAMMES_D.json</x:v>
      </x:c>
      <x:c r="K3771" t="str">
        <x:v>Source min 46,42 m ; max 46,42 m ; modèle 46 × 42 m ; niveaux 0. Détails dans catalogue-existant.json.</x:v>
      </x:c>
    </x:row>
    <x:row r="3772">
      <x:c r="A3772" t="str">
        <x:v>DW-3767</x:v>
      </x:c>
      <x:c r="B3772" t="str">
        <x:v>DW-3767</x:v>
      </x:c>
      <x:c r="C3772" t="str">
        <x:v>Parent indépendant 1.58</x:v>
      </x:c>
      <x:c r="D3772" t="str">
        <x:v>Entrepôts et réserves</x:v>
      </x:c>
      <x:c r="E3772" t="str">
        <x:v>Halle des produits à chaîne froide</x:v>
      </x:c>
      <x:c r="F3772" t="n">
        <x:v>9</x:v>
      </x:c>
      <x:c r="G3772" t="n">
        <x:v>8</x:v>
      </x:c>
      <x:c r="H3772" t="n">
        <x:v>8</x:v>
      </x:c>
      <x:c r="I3772" t="str">
        <x:v>À qualifier par lieu</x:v>
      </x:c>
      <x:c r="J3772" t="str">
        <x:v>https://github.com/darknigthmare/deadwall-last-enclosure/blob/e28f46223e73105ab2c5d83f3d50b99b58ef53e6/codex-3000/addendum-1.58/PROGRAMMES_D.json</x:v>
      </x:c>
      <x:c r="K3772" t="str">
        <x:v>Source min 50,46 m ; max 50,46 m ; modèle 50 × 46 m ; niveaux 0. Détails dans catalogue-existant.json.</x:v>
      </x:c>
    </x:row>
    <x:row r="3773">
      <x:c r="A3773" t="str">
        <x:v>DW-3768</x:v>
      </x:c>
      <x:c r="B3773" t="str">
        <x:v>DW-3768</x:v>
      </x:c>
      <x:c r="C3773" t="str">
        <x:v>Parent indépendant 1.58</x:v>
      </x:c>
      <x:c r="D3773" t="str">
        <x:v>Entrepôts et réserves</x:v>
      </x:c>
      <x:c r="E3773" t="str">
        <x:v>Réserve des ingrédients allergènes</x:v>
      </x:c>
      <x:c r="F3773" t="n">
        <x:v>9</x:v>
      </x:c>
      <x:c r="G3773" t="n">
        <x:v>8</x:v>
      </x:c>
      <x:c r="H3773" t="n">
        <x:v>8</x:v>
      </x:c>
      <x:c r="I3773" t="str">
        <x:v>À qualifier par lieu</x:v>
      </x:c>
      <x:c r="J3773" t="str">
        <x:v>https://github.com/darknigthmare/deadwall-last-enclosure/blob/e28f46223e73105ab2c5d83f3d50b99b58ef53e6/codex-3000/addendum-1.58/PROGRAMMES_D.json</x:v>
      </x:c>
      <x:c r="K3773" t="str">
        <x:v>Source min 54,50 m ; max 54,50 m ; modèle 54 × 50 m ; niveaux 0. Détails dans catalogue-existant.json.</x:v>
      </x:c>
    </x:row>
    <x:row r="3774">
      <x:c r="A3774" t="str">
        <x:v>DW-3769</x:v>
      </x:c>
      <x:c r="B3774" t="str">
        <x:v>DW-3769</x:v>
      </x:c>
      <x:c r="C3774" t="str">
        <x:v>Parent indépendant 1.58</x:v>
      </x:c>
      <x:c r="D3774" t="str">
        <x:v>Entrepôts et réserves</x:v>
      </x:c>
      <x:c r="E3774" t="str">
        <x:v>Dépôt des rations de randonnée</x:v>
      </x:c>
      <x:c r="F3774" t="n">
        <x:v>9</x:v>
      </x:c>
      <x:c r="G3774" t="n">
        <x:v>8</x:v>
      </x:c>
      <x:c r="H3774" t="n">
        <x:v>8</x:v>
      </x:c>
      <x:c r="I3774" t="str">
        <x:v>À qualifier par lieu</x:v>
      </x:c>
      <x:c r="J3774" t="str">
        <x:v>https://github.com/darknigthmare/deadwall-last-enclosure/blob/e28f46223e73105ab2c5d83f3d50b99b58ef53e6/codex-3000/addendum-1.58/PROGRAMMES_D.json</x:v>
      </x:c>
      <x:c r="K3774" t="str">
        <x:v>Source min 46,42 m ; max 46,42 m ; modèle 46 × 42 m ; niveaux 0. Détails dans catalogue-existant.json.</x:v>
      </x:c>
    </x:row>
    <x:row r="3775">
      <x:c r="A3775" t="str">
        <x:v>DW-3770</x:v>
      </x:c>
      <x:c r="B3775" t="str">
        <x:v>DW-3770</x:v>
      </x:c>
      <x:c r="C3775" t="str">
        <x:v>Parent indépendant 1.58</x:v>
      </x:c>
      <x:c r="D3775" t="str">
        <x:v>Entrepôts et réserves</x:v>
      </x:c>
      <x:c r="E3775" t="str">
        <x:v>Centre des consommables de laboratoire</x:v>
      </x:c>
      <x:c r="F3775" t="n">
        <x:v>9</x:v>
      </x:c>
      <x:c r="G3775" t="n">
        <x:v>8</x:v>
      </x:c>
      <x:c r="H3775" t="n">
        <x:v>8</x:v>
      </x:c>
      <x:c r="I3775" t="str">
        <x:v>À qualifier par lieu</x:v>
      </x:c>
      <x:c r="J3775" t="str">
        <x:v>https://github.com/darknigthmare/deadwall-last-enclosure/blob/e28f46223e73105ab2c5d83f3d50b99b58ef53e6/codex-3000/addendum-1.58/PROGRAMMES_D.json</x:v>
      </x:c>
      <x:c r="K3775" t="str">
        <x:v>Source min 50,46 m ; max 50,46 m ; modèle 50 × 46 m ; niveaux 0. Détails dans catalogue-existant.json.</x:v>
      </x:c>
    </x:row>
    <x:row r="3776">
      <x:c r="A3776" t="str">
        <x:v>DW-3771</x:v>
      </x:c>
      <x:c r="B3776" t="str">
        <x:v>DW-3771</x:v>
      </x:c>
      <x:c r="C3776" t="str">
        <x:v>Parent indépendant 1.58</x:v>
      </x:c>
      <x:c r="D3776" t="str">
        <x:v>Entrepôts et réserves</x:v>
      </x:c>
      <x:c r="E3776" t="str">
        <x:v>Réserve des pansements de campagne</x:v>
      </x:c>
      <x:c r="F3776" t="n">
        <x:v>9</x:v>
      </x:c>
      <x:c r="G3776" t="n">
        <x:v>8</x:v>
      </x:c>
      <x:c r="H3776" t="n">
        <x:v>8</x:v>
      </x:c>
      <x:c r="I3776" t="str">
        <x:v>À qualifier par lieu</x:v>
      </x:c>
      <x:c r="J3776" t="str">
        <x:v>https://github.com/darknigthmare/deadwall-last-enclosure/blob/e28f46223e73105ab2c5d83f3d50b99b58ef53e6/codex-3000/addendum-1.58/PROGRAMMES_D.json</x:v>
      </x:c>
      <x:c r="K3776" t="str">
        <x:v>Source min 54,50 m ; max 54,50 m ; modèle 54 × 50 m ; niveaux 0. Détails dans catalogue-existant.json.</x:v>
      </x:c>
    </x:row>
    <x:row r="3777">
      <x:c r="A3777" t="str">
        <x:v>DW-3772</x:v>
      </x:c>
      <x:c r="B3777" t="str">
        <x:v>DW-3772</x:v>
      </x:c>
      <x:c r="C3777" t="str">
        <x:v>Parent indépendant 1.58</x:v>
      </x:c>
      <x:c r="D3777" t="str">
        <x:v>Entrepôts et réserves</x:v>
      </x:c>
      <x:c r="E3777" t="str">
        <x:v>Halle des fournitures d'évacuation</x:v>
      </x:c>
      <x:c r="F3777" t="n">
        <x:v>9</x:v>
      </x:c>
      <x:c r="G3777" t="n">
        <x:v>8</x:v>
      </x:c>
      <x:c r="H3777" t="n">
        <x:v>8</x:v>
      </x:c>
      <x:c r="I3777" t="str">
        <x:v>À qualifier par lieu</x:v>
      </x:c>
      <x:c r="J3777" t="str">
        <x:v>https://github.com/darknigthmare/deadwall-last-enclosure/blob/e28f46223e73105ab2c5d83f3d50b99b58ef53e6/codex-3000/addendum-1.58/PROGRAMMES_D.json</x:v>
      </x:c>
      <x:c r="K3777" t="str">
        <x:v>Source min 46,42 m ; max 46,42 m ; modèle 46 × 42 m ; niveaux 0. Détails dans catalogue-existant.json.</x:v>
      </x:c>
    </x:row>
    <x:row r="3778">
      <x:c r="A3778" t="str">
        <x:v>DW-3773</x:v>
      </x:c>
      <x:c r="B3778" t="str">
        <x:v>DW-3773</x:v>
      </x:c>
      <x:c r="C3778" t="str">
        <x:v>Parent indépendant 1.58</x:v>
      </x:c>
      <x:c r="D3778" t="str">
        <x:v>Entrepôts et réserves</x:v>
      </x:c>
      <x:c r="E3778" t="str">
        <x:v>Dépôt des pièces de pompage</x:v>
      </x:c>
      <x:c r="F3778" t="n">
        <x:v>9</x:v>
      </x:c>
      <x:c r="G3778" t="n">
        <x:v>8</x:v>
      </x:c>
      <x:c r="H3778" t="n">
        <x:v>8</x:v>
      </x:c>
      <x:c r="I3778" t="str">
        <x:v>À qualifier par lieu</x:v>
      </x:c>
      <x:c r="J3778" t="str">
        <x:v>https://github.com/darknigthmare/deadwall-last-enclosure/blob/e28f46223e73105ab2c5d83f3d50b99b58ef53e6/codex-3000/addendum-1.58/PROGRAMMES_D.json</x:v>
      </x:c>
      <x:c r="K3778" t="str">
        <x:v>Source min 50,46 m ; max 50,46 m ; modèle 50 × 46 m ; niveaux 0. Détails dans catalogue-existant.json.</x:v>
      </x:c>
    </x:row>
    <x:row r="3779">
      <x:c r="A3779" t="str">
        <x:v>DW-3774</x:v>
      </x:c>
      <x:c r="B3779" t="str">
        <x:v>DW-3774</x:v>
      </x:c>
      <x:c r="C3779" t="str">
        <x:v>Parent indépendant 1.58</x:v>
      </x:c>
      <x:c r="D3779" t="str">
        <x:v>Entrepôts et réserves</x:v>
      </x:c>
      <x:c r="E3779" t="str">
        <x:v>Réserve des filtres de ventilation</x:v>
      </x:c>
      <x:c r="F3779" t="n">
        <x:v>9</x:v>
      </x:c>
      <x:c r="G3779" t="n">
        <x:v>8</x:v>
      </x:c>
      <x:c r="H3779" t="n">
        <x:v>8</x:v>
      </x:c>
      <x:c r="I3779" t="str">
        <x:v>À qualifier par lieu</x:v>
      </x:c>
      <x:c r="J3779" t="str">
        <x:v>https://github.com/darknigthmare/deadwall-last-enclosure/blob/e28f46223e73105ab2c5d83f3d50b99b58ef53e6/codex-3000/addendum-1.58/PROGRAMMES_D.json</x:v>
      </x:c>
      <x:c r="K3779" t="str">
        <x:v>Source min 54,50 m ; max 54,50 m ; modèle 54 × 50 m ; niveaux 0. Détails dans catalogue-existant.json.</x:v>
      </x:c>
    </x:row>
    <x:row r="3780">
      <x:c r="A3780" t="str">
        <x:v>DW-3775</x:v>
      </x:c>
      <x:c r="B3780" t="str">
        <x:v>DW-3775</x:v>
      </x:c>
      <x:c r="C3780" t="str">
        <x:v>Parent indépendant 1.58</x:v>
      </x:c>
      <x:c r="D3780" t="str">
        <x:v>Entrepôts et réserves</x:v>
      </x:c>
      <x:c r="E3780" t="str">
        <x:v>Centre des pièces de voirie</x:v>
      </x:c>
      <x:c r="F3780" t="n">
        <x:v>9</x:v>
      </x:c>
      <x:c r="G3780" t="n">
        <x:v>8</x:v>
      </x:c>
      <x:c r="H3780" t="n">
        <x:v>8</x:v>
      </x:c>
      <x:c r="I3780" t="str">
        <x:v>À qualifier par lieu</x:v>
      </x:c>
      <x:c r="J3780" t="str">
        <x:v>https://github.com/darknigthmare/deadwall-last-enclosure/blob/e28f46223e73105ab2c5d83f3d50b99b58ef53e6/codex-3000/addendum-1.58/PROGRAMMES_D.json</x:v>
      </x:c>
      <x:c r="K3780" t="str">
        <x:v>Source min 46,42 m ; max 46,42 m ; modèle 46 × 42 m ; niveaux 0. Détails dans catalogue-existant.json.</x:v>
      </x:c>
    </x:row>
    <x:row r="3781">
      <x:c r="A3781" t="str">
        <x:v>DW-3776</x:v>
      </x:c>
      <x:c r="B3781" t="str">
        <x:v>DW-3776</x:v>
      </x:c>
      <x:c r="C3781" t="str">
        <x:v>Parent indépendant 1.58</x:v>
      </x:c>
      <x:c r="D3781" t="str">
        <x:v>Entrepôts et réserves</x:v>
      </x:c>
      <x:c r="E3781" t="str">
        <x:v>Halle des fournitures de signalisation</x:v>
      </x:c>
      <x:c r="F3781" t="n">
        <x:v>9</x:v>
      </x:c>
      <x:c r="G3781" t="n">
        <x:v>8</x:v>
      </x:c>
      <x:c r="H3781" t="n">
        <x:v>8</x:v>
      </x:c>
      <x:c r="I3781" t="str">
        <x:v>À qualifier par lieu</x:v>
      </x:c>
      <x:c r="J3781" t="str">
        <x:v>https://github.com/darknigthmare/deadwall-last-enclosure/blob/e28f46223e73105ab2c5d83f3d50b99b58ef53e6/codex-3000/addendum-1.58/PROGRAMMES_D.json</x:v>
      </x:c>
      <x:c r="K3781" t="str">
        <x:v>Source min 50,46 m ; max 50,46 m ; modèle 50 × 46 m ; niveaux 0. Détails dans catalogue-existant.json.</x:v>
      </x:c>
    </x:row>
    <x:row r="3782">
      <x:c r="A3782" t="str">
        <x:v>DW-3777</x:v>
      </x:c>
      <x:c r="B3782" t="str">
        <x:v>DW-3777</x:v>
      </x:c>
      <x:c r="C3782" t="str">
        <x:v>Parent indépendant 1.58</x:v>
      </x:c>
      <x:c r="D3782" t="str">
        <x:v>Entrepôts et réserves</x:v>
      </x:c>
      <x:c r="E3782" t="str">
        <x:v>Réserve des câbles de remplacement</x:v>
      </x:c>
      <x:c r="F3782" t="n">
        <x:v>9</x:v>
      </x:c>
      <x:c r="G3782" t="n">
        <x:v>8</x:v>
      </x:c>
      <x:c r="H3782" t="n">
        <x:v>8</x:v>
      </x:c>
      <x:c r="I3782" t="str">
        <x:v>À qualifier par lieu</x:v>
      </x:c>
      <x:c r="J3782" t="str">
        <x:v>https://github.com/darknigthmare/deadwall-last-enclosure/blob/e28f46223e73105ab2c5d83f3d50b99b58ef53e6/codex-3000/addendum-1.58/PROGRAMMES_D.json</x:v>
      </x:c>
      <x:c r="K3782" t="str">
        <x:v>Source min 54,50 m ; max 54,50 m ; modèle 54 × 50 m ; niveaux 0. Détails dans catalogue-existant.json.</x:v>
      </x:c>
    </x:row>
    <x:row r="3783">
      <x:c r="A3783" t="str">
        <x:v>DW-3778</x:v>
      </x:c>
      <x:c r="B3783" t="str">
        <x:v>DW-3778</x:v>
      </x:c>
      <x:c r="C3783" t="str">
        <x:v>Parent indépendant 1.58</x:v>
      </x:c>
      <x:c r="D3783" t="str">
        <x:v>Entrepôts et réserves</x:v>
      </x:c>
      <x:c r="E3783" t="str">
        <x:v>Dépôt des pièces d'irrigation</x:v>
      </x:c>
      <x:c r="F3783" t="n">
        <x:v>9</x:v>
      </x:c>
      <x:c r="G3783" t="n">
        <x:v>8</x:v>
      </x:c>
      <x:c r="H3783" t="n">
        <x:v>8</x:v>
      </x:c>
      <x:c r="I3783" t="str">
        <x:v>À qualifier par lieu</x:v>
      </x:c>
      <x:c r="J3783" t="str">
        <x:v>https://github.com/darknigthmare/deadwall-last-enclosure/blob/e28f46223e73105ab2c5d83f3d50b99b58ef53e6/codex-3000/addendum-1.58/PROGRAMMES_D.json</x:v>
      </x:c>
      <x:c r="K3783" t="str">
        <x:v>Source min 46,42 m ; max 46,42 m ; modèle 46 × 42 m ; niveaux 0. Détails dans catalogue-existant.json.</x:v>
      </x:c>
    </x:row>
    <x:row r="3784">
      <x:c r="A3784" t="str">
        <x:v>DW-3779</x:v>
      </x:c>
      <x:c r="B3784" t="str">
        <x:v>DW-3779</x:v>
      </x:c>
      <x:c r="C3784" t="str">
        <x:v>Parent indépendant 1.58</x:v>
      </x:c>
      <x:c r="D3784" t="str">
        <x:v>Entrepôts et réserves</x:v>
      </x:c>
      <x:c r="E3784" t="str">
        <x:v>Halle des équipements de balisage</x:v>
      </x:c>
      <x:c r="F3784" t="n">
        <x:v>9</x:v>
      </x:c>
      <x:c r="G3784" t="n">
        <x:v>8</x:v>
      </x:c>
      <x:c r="H3784" t="n">
        <x:v>8</x:v>
      </x:c>
      <x:c r="I3784" t="str">
        <x:v>À qualifier par lieu</x:v>
      </x:c>
      <x:c r="J3784" t="str">
        <x:v>https://github.com/darknigthmare/deadwall-last-enclosure/blob/e28f46223e73105ab2c5d83f3d50b99b58ef53e6/codex-3000/addendum-1.58/PROGRAMMES_D.json</x:v>
      </x:c>
      <x:c r="K3784" t="str">
        <x:v>Source min 50,46 m ; max 50,46 m ; modèle 50 × 46 m ; niveaux 0. Détails dans catalogue-existant.json.</x:v>
      </x:c>
    </x:row>
    <x:row r="3785">
      <x:c r="A3785" t="str">
        <x:v>DW-3780</x:v>
      </x:c>
      <x:c r="B3785" t="str">
        <x:v>DW-3780</x:v>
      </x:c>
      <x:c r="C3785" t="str">
        <x:v>Parent indépendant 1.58</x:v>
      </x:c>
      <x:c r="D3785" t="str">
        <x:v>Entrepôts et réserves</x:v>
      </x:c>
      <x:c r="E3785" t="str">
        <x:v>Réserve des fournitures de relogement</x:v>
      </x:c>
      <x:c r="F3785" t="n">
        <x:v>9</x:v>
      </x:c>
      <x:c r="G3785" t="n">
        <x:v>8</x:v>
      </x:c>
      <x:c r="H3785" t="n">
        <x:v>8</x:v>
      </x:c>
      <x:c r="I3785" t="str">
        <x:v>À qualifier par lieu</x:v>
      </x:c>
      <x:c r="J3785" t="str">
        <x:v>https://github.com/darknigthmare/deadwall-last-enclosure/blob/e28f46223e73105ab2c5d83f3d50b99b58ef53e6/codex-3000/addendum-1.58/PROGRAMMES_D.json</x:v>
      </x:c>
      <x:c r="K3785" t="str">
        <x:v>Source min 54,50 m ; max 54,50 m ; modèle 54 × 50 m ; niveaux 0. Détails dans catalogue-existant.json.</x:v>
      </x:c>
    </x:row>
    <x:row r="3786">
      <x:c r="A3786" t="str">
        <x:v>DW-3781</x:v>
      </x:c>
      <x:c r="B3786" t="str">
        <x:v>DW-3781</x:v>
      </x:c>
      <x:c r="C3786" t="str">
        <x:v>Parent indépendant 1.58</x:v>
      </x:c>
      <x:c r="D3786" t="str">
        <x:v>Entrepôts et réserves</x:v>
      </x:c>
      <x:c r="E3786" t="str">
        <x:v>Maison des scellés de fret</x:v>
      </x:c>
      <x:c r="F3786" t="n">
        <x:v>9</x:v>
      </x:c>
      <x:c r="G3786" t="n">
        <x:v>8</x:v>
      </x:c>
      <x:c r="H3786" t="n">
        <x:v>8</x:v>
      </x:c>
      <x:c r="I3786" t="str">
        <x:v>À qualifier par lieu</x:v>
      </x:c>
      <x:c r="J3786" t="str">
        <x:v>https://github.com/darknigthmare/deadwall-last-enclosure/blob/e28f46223e73105ab2c5d83f3d50b99b58ef53e6/codex-3000/addendum-1.58/PROGRAMMES_D.json</x:v>
      </x:c>
      <x:c r="K3786" t="str">
        <x:v>Source min 46,42 m ; max 46,42 m ; modèle 46 × 42 m ; niveaux 0, 1. Détails dans catalogue-existant.json.</x:v>
      </x:c>
    </x:row>
    <x:row r="3787">
      <x:c r="A3787" t="str">
        <x:v>DW-3782</x:v>
      </x:c>
      <x:c r="B3787" t="str">
        <x:v>DW-3782</x:v>
      </x:c>
      <x:c r="C3787" t="str">
        <x:v>Parent indépendant 1.58</x:v>
      </x:c>
      <x:c r="D3787" t="str">
        <x:v>Entrepôts et réserves</x:v>
      </x:c>
      <x:c r="E3787" t="str">
        <x:v>Centre de mesure des colis</x:v>
      </x:c>
      <x:c r="F3787" t="n">
        <x:v>9</x:v>
      </x:c>
      <x:c r="G3787" t="n">
        <x:v>8</x:v>
      </x:c>
      <x:c r="H3787" t="n">
        <x:v>8</x:v>
      </x:c>
      <x:c r="I3787" t="str">
        <x:v>À qualifier par lieu</x:v>
      </x:c>
      <x:c r="J3787" t="str">
        <x:v>https://github.com/darknigthmare/deadwall-last-enclosure/blob/e28f46223e73105ab2c5d83f3d50b99b58ef53e6/codex-3000/addendum-1.58/PROGRAMMES_D.json</x:v>
      </x:c>
      <x:c r="K3787" t="str">
        <x:v>Source min 50,46 m ; max 50,46 m ; modèle 50 × 46 m ; niveaux 0, 1. Détails dans catalogue-existant.json.</x:v>
      </x:c>
    </x:row>
    <x:row r="3788">
      <x:c r="A3788" t="str">
        <x:v>DW-3783</x:v>
      </x:c>
      <x:c r="B3788" t="str">
        <x:v>DW-3783</x:v>
      </x:c>
      <x:c r="C3788" t="str">
        <x:v>Parent indépendant 1.58</x:v>
      </x:c>
      <x:c r="D3788" t="str">
        <x:v>Entrepôts et réserves</x:v>
      </x:c>
      <x:c r="E3788" t="str">
        <x:v>Bureau de groupage des tournées</x:v>
      </x:c>
      <x:c r="F3788" t="n">
        <x:v>9</x:v>
      </x:c>
      <x:c r="G3788" t="n">
        <x:v>8</x:v>
      </x:c>
      <x:c r="H3788" t="n">
        <x:v>8</x:v>
      </x:c>
      <x:c r="I3788" t="str">
        <x:v>À qualifier par lieu</x:v>
      </x:c>
      <x:c r="J3788" t="str">
        <x:v>https://github.com/darknigthmare/deadwall-last-enclosure/blob/e28f46223e73105ab2c5d83f3d50b99b58ef53e6/codex-3000/addendum-1.58/PROGRAMMES_D.json</x:v>
      </x:c>
      <x:c r="K3788" t="str">
        <x:v>Source min 54,50 m ; max 54,50 m ; modèle 54 × 50 m ; niveaux 0, 1. Détails dans catalogue-existant.json.</x:v>
      </x:c>
    </x:row>
    <x:row r="3789">
      <x:c r="A3789" t="str">
        <x:v>DW-3784</x:v>
      </x:c>
      <x:c r="B3789" t="str">
        <x:v>DW-3784</x:v>
      </x:c>
      <x:c r="C3789" t="str">
        <x:v>Parent indépendant 1.58</x:v>
      </x:c>
      <x:c r="D3789" t="str">
        <x:v>Entrepôts et réserves</x:v>
      </x:c>
      <x:c r="E3789" t="str">
        <x:v>Maison de contrôle des marchandises confiées</x:v>
      </x:c>
      <x:c r="F3789" t="n">
        <x:v>9</x:v>
      </x:c>
      <x:c r="G3789" t="n">
        <x:v>8</x:v>
      </x:c>
      <x:c r="H3789" t="n">
        <x:v>8</x:v>
      </x:c>
      <x:c r="I3789" t="str">
        <x:v>À qualifier par lieu</x:v>
      </x:c>
      <x:c r="J3789" t="str">
        <x:v>https://github.com/darknigthmare/deadwall-last-enclosure/blob/e28f46223e73105ab2c5d83f3d50b99b58ef53e6/codex-3000/addendum-1.58/PROGRAMMES_D.json</x:v>
      </x:c>
      <x:c r="K3789" t="str">
        <x:v>Source min 46,42 m ; max 46,42 m ; modèle 46 × 42 m ; niveaux 0, 1. Détails dans catalogue-existant.json.</x:v>
      </x:c>
    </x:row>
    <x:row r="3790">
      <x:c r="A3790" t="str">
        <x:v>DW-3785</x:v>
      </x:c>
      <x:c r="B3790" t="str">
        <x:v>DW-3785</x:v>
      </x:c>
      <x:c r="C3790" t="str">
        <x:v>Parent indépendant 1.58</x:v>
      </x:c>
      <x:c r="D3790" t="str">
        <x:v>Entrepôts et réserves</x:v>
      </x:c>
      <x:c r="E3790" t="str">
        <x:v>Centre de réception des achats collectifs</x:v>
      </x:c>
      <x:c r="F3790" t="n">
        <x:v>9</x:v>
      </x:c>
      <x:c r="G3790" t="n">
        <x:v>8</x:v>
      </x:c>
      <x:c r="H3790" t="n">
        <x:v>8</x:v>
      </x:c>
      <x:c r="I3790" t="str">
        <x:v>À qualifier par lieu</x:v>
      </x:c>
      <x:c r="J3790" t="str">
        <x:v>https://github.com/darknigthmare/deadwall-last-enclosure/blob/e28f46223e73105ab2c5d83f3d50b99b58ef53e6/codex-3000/addendum-1.58/PROGRAMMES_D.json</x:v>
      </x:c>
      <x:c r="K3790" t="str">
        <x:v>Source min 50,46 m ; max 50,46 m ; modèle 50 × 46 m ; niveaux 0, 1. Détails dans catalogue-existant.json.</x:v>
      </x:c>
    </x:row>
    <x:row r="3791">
      <x:c r="A3791" t="str">
        <x:v>DW-3786</x:v>
      </x:c>
      <x:c r="B3791" t="str">
        <x:v>DW-3786</x:v>
      </x:c>
      <x:c r="C3791" t="str">
        <x:v>Parent indépendant 1.58</x:v>
      </x:c>
      <x:c r="D3791" t="str">
        <x:v>Entrepôts et réserves</x:v>
      </x:c>
      <x:c r="E3791" t="str">
        <x:v>Halle de contrôle des expéditions humanitaires</x:v>
      </x:c>
      <x:c r="F3791" t="n">
        <x:v>9</x:v>
      </x:c>
      <x:c r="G3791" t="n">
        <x:v>8</x:v>
      </x:c>
      <x:c r="H3791" t="n">
        <x:v>8</x:v>
      </x:c>
      <x:c r="I3791" t="str">
        <x:v>À qualifier par lieu</x:v>
      </x:c>
      <x:c r="J3791" t="str">
        <x:v>https://github.com/darknigthmare/deadwall-last-enclosure/blob/e28f46223e73105ab2c5d83f3d50b99b58ef53e6/codex-3000/addendum-1.58/PROGRAMMES_D.json</x:v>
      </x:c>
      <x:c r="K3791" t="str">
        <x:v>Source min 54,50 m ; max 54,50 m ; modèle 54 × 50 m ; niveaux 0, 1. Détails dans catalogue-existant.json.</x:v>
      </x:c>
    </x:row>
    <x:row r="3792">
      <x:c r="A3792" t="str">
        <x:v>DW-3787</x:v>
      </x:c>
      <x:c r="B3792" t="str">
        <x:v>DW-3787</x:v>
      </x:c>
      <x:c r="C3792" t="str">
        <x:v>Parent indépendant 1.58</x:v>
      </x:c>
      <x:c r="D3792" t="str">
        <x:v>Entrepôts et réserves</x:v>
      </x:c>
      <x:c r="E3792" t="str">
        <x:v>Maison des plannings de quai</x:v>
      </x:c>
      <x:c r="F3792" t="n">
        <x:v>9</x:v>
      </x:c>
      <x:c r="G3792" t="n">
        <x:v>8</x:v>
      </x:c>
      <x:c r="H3792" t="n">
        <x:v>8</x:v>
      </x:c>
      <x:c r="I3792" t="str">
        <x:v>À qualifier par lieu</x:v>
      </x:c>
      <x:c r="J3792" t="str">
        <x:v>https://github.com/darknigthmare/deadwall-last-enclosure/blob/e28f46223e73105ab2c5d83f3d50b99b58ef53e6/codex-3000/addendum-1.58/PROGRAMMES_D.json</x:v>
      </x:c>
      <x:c r="K3792" t="str">
        <x:v>Source min 46,42 m ; max 46,42 m ; modèle 46 × 42 m ; niveaux 0, 1. Détails dans catalogue-existant.json.</x:v>
      </x:c>
    </x:row>
    <x:row r="3793">
      <x:c r="A3793" t="str">
        <x:v>DW-3788</x:v>
      </x:c>
      <x:c r="B3793" t="str">
        <x:v>DW-3788</x:v>
      </x:c>
      <x:c r="C3793" t="str">
        <x:v>Parent indépendant 1.58</x:v>
      </x:c>
      <x:c r="D3793" t="str">
        <x:v>Entrepôts et réserves</x:v>
      </x:c>
      <x:c r="E3793" t="str">
        <x:v>Centre de conservation des pièces de douane</x:v>
      </x:c>
      <x:c r="F3793" t="n">
        <x:v>9</x:v>
      </x:c>
      <x:c r="G3793" t="n">
        <x:v>8</x:v>
      </x:c>
      <x:c r="H3793" t="n">
        <x:v>8</x:v>
      </x:c>
      <x:c r="I3793" t="str">
        <x:v>À qualifier par lieu</x:v>
      </x:c>
      <x:c r="J3793" t="str">
        <x:v>https://github.com/darknigthmare/deadwall-last-enclosure/blob/e28f46223e73105ab2c5d83f3d50b99b58ef53e6/codex-3000/addendum-1.58/PROGRAMMES_D.json</x:v>
      </x:c>
      <x:c r="K3793" t="str">
        <x:v>Source min 50,46 m ; max 50,46 m ; modèle 50 × 46 m ; niveaux 0, 1. Détails dans catalogue-existant.json.</x:v>
      </x:c>
    </x:row>
    <x:row r="3794">
      <x:c r="A3794" t="str">
        <x:v>DW-3789</x:v>
      </x:c>
      <x:c r="B3794" t="str">
        <x:v>DW-3789</x:v>
      </x:c>
      <x:c r="C3794" t="str">
        <x:v>Parent indépendant 1.58</x:v>
      </x:c>
      <x:c r="D3794" t="str">
        <x:v>Entrepôts et réserves</x:v>
      </x:c>
      <x:c r="E3794" t="str">
        <x:v>Maison du suivi des contenants consignés</x:v>
      </x:c>
      <x:c r="F3794" t="n">
        <x:v>9</x:v>
      </x:c>
      <x:c r="G3794" t="n">
        <x:v>8</x:v>
      </x:c>
      <x:c r="H3794" t="n">
        <x:v>8</x:v>
      </x:c>
      <x:c r="I3794" t="str">
        <x:v>À qualifier par lieu</x:v>
      </x:c>
      <x:c r="J3794" t="str">
        <x:v>https://github.com/darknigthmare/deadwall-last-enclosure/blob/e28f46223e73105ab2c5d83f3d50b99b58ef53e6/codex-3000/addendum-1.58/PROGRAMMES_D.json</x:v>
      </x:c>
      <x:c r="K3794" t="str">
        <x:v>Source min 54,50 m ; max 54,50 m ; modèle 54 × 50 m ; niveaux 0, 1. Détails dans catalogue-existant.json.</x:v>
      </x:c>
    </x:row>
    <x:row r="3795">
      <x:c r="A3795" t="str">
        <x:v>DW-3790</x:v>
      </x:c>
      <x:c r="B3795" t="str">
        <x:v>DW-3790</x:v>
      </x:c>
      <x:c r="C3795" t="str">
        <x:v>Parent indépendant 1.58</x:v>
      </x:c>
      <x:c r="D3795" t="str">
        <x:v>Entrepôts et réserves</x:v>
      </x:c>
      <x:c r="E3795" t="str">
        <x:v>Centre de préparation des inventaires</x:v>
      </x:c>
      <x:c r="F3795" t="n">
        <x:v>9</x:v>
      </x:c>
      <x:c r="G3795" t="n">
        <x:v>8</x:v>
      </x:c>
      <x:c r="H3795" t="n">
        <x:v>8</x:v>
      </x:c>
      <x:c r="I3795" t="str">
        <x:v>À qualifier par lieu</x:v>
      </x:c>
      <x:c r="J3795" t="str">
        <x:v>https://github.com/darknigthmare/deadwall-last-enclosure/blob/e28f46223e73105ab2c5d83f3d50b99b58ef53e6/codex-3000/addendum-1.58/PROGRAMMES_D.json</x:v>
      </x:c>
      <x:c r="K3795" t="str">
        <x:v>Source min 46,42 m ; max 46,42 m ; modèle 46 × 42 m ; niveaux 0, 1. Détails dans catalogue-existant.json.</x:v>
      </x:c>
    </x:row>
    <x:row r="3796">
      <x:c r="A3796" t="str">
        <x:v>DW-3791</x:v>
      </x:c>
      <x:c r="B3796" t="str">
        <x:v>DW-3791</x:v>
      </x:c>
      <x:c r="C3796" t="str">
        <x:v>Parent indépendant 1.58</x:v>
      </x:c>
      <x:c r="D3796" t="str">
        <x:v>Entrepôts et réserves</x:v>
      </x:c>
      <x:c r="E3796" t="str">
        <x:v>Maison des réservations de manutention</x:v>
      </x:c>
      <x:c r="F3796" t="n">
        <x:v>9</x:v>
      </x:c>
      <x:c r="G3796" t="n">
        <x:v>8</x:v>
      </x:c>
      <x:c r="H3796" t="n">
        <x:v>8</x:v>
      </x:c>
      <x:c r="I3796" t="str">
        <x:v>À qualifier par lieu</x:v>
      </x:c>
      <x:c r="J3796" t="str">
        <x:v>https://github.com/darknigthmare/deadwall-last-enclosure/blob/e28f46223e73105ab2c5d83f3d50b99b58ef53e6/codex-3000/addendum-1.58/PROGRAMMES_D.json</x:v>
      </x:c>
      <x:c r="K3796" t="str">
        <x:v>Source min 50,46 m ; max 50,46 m ; modèle 50 × 46 m ; niveaux 0, 1. Détails dans catalogue-existant.json.</x:v>
      </x:c>
    </x:row>
    <x:row r="3797">
      <x:c r="A3797" t="str">
        <x:v>DW-3792</x:v>
      </x:c>
      <x:c r="B3797" t="str">
        <x:v>DW-3792</x:v>
      </x:c>
      <x:c r="C3797" t="str">
        <x:v>Parent indépendant 1.58</x:v>
      </x:c>
      <x:c r="D3797" t="str">
        <x:v>Entrepôts et réserves</x:v>
      </x:c>
      <x:c r="E3797" t="str">
        <x:v>Centre du suivi des colis perdus</x:v>
      </x:c>
      <x:c r="F3797" t="n">
        <x:v>9</x:v>
      </x:c>
      <x:c r="G3797" t="n">
        <x:v>8</x:v>
      </x:c>
      <x:c r="H3797" t="n">
        <x:v>8</x:v>
      </x:c>
      <x:c r="I3797" t="str">
        <x:v>À qualifier par lieu</x:v>
      </x:c>
      <x:c r="J3797" t="str">
        <x:v>https://github.com/darknigthmare/deadwall-last-enclosure/blob/e28f46223e73105ab2c5d83f3d50b99b58ef53e6/codex-3000/addendum-1.58/PROGRAMMES_D.json</x:v>
      </x:c>
      <x:c r="K3797" t="str">
        <x:v>Source min 54,50 m ; max 54,50 m ; modèle 54 × 50 m ; niveaux 0, 1. Détails dans catalogue-existant.json.</x:v>
      </x:c>
    </x:row>
    <x:row r="3798">
      <x:c r="A3798" t="str">
        <x:v>DW-3793</x:v>
      </x:c>
      <x:c r="B3798" t="str">
        <x:v>DW-3793</x:v>
      </x:c>
      <x:c r="C3798" t="str">
        <x:v>Parent indépendant 1.58</x:v>
      </x:c>
      <x:c r="D3798" t="str">
        <x:v>Entrepôts et réserves</x:v>
      </x:c>
      <x:c r="E3798" t="str">
        <x:v>Maison des retours de matériel prêté</x:v>
      </x:c>
      <x:c r="F3798" t="n">
        <x:v>9</x:v>
      </x:c>
      <x:c r="G3798" t="n">
        <x:v>8</x:v>
      </x:c>
      <x:c r="H3798" t="n">
        <x:v>8</x:v>
      </x:c>
      <x:c r="I3798" t="str">
        <x:v>À qualifier par lieu</x:v>
      </x:c>
      <x:c r="J3798" t="str">
        <x:v>https://github.com/darknigthmare/deadwall-last-enclosure/blob/e28f46223e73105ab2c5d83f3d50b99b58ef53e6/codex-3000/addendum-1.58/PROGRAMMES_D.json</x:v>
      </x:c>
      <x:c r="K3798" t="str">
        <x:v>Source min 46,42 m ; max 46,42 m ; modèle 46 × 42 m ; niveaux 0, 1. Détails dans catalogue-existant.json.</x:v>
      </x:c>
    </x:row>
    <x:row r="3799">
      <x:c r="A3799" t="str">
        <x:v>DW-3794</x:v>
      </x:c>
      <x:c r="B3799" t="str">
        <x:v>DW-3794</x:v>
      </x:c>
      <x:c r="C3799" t="str">
        <x:v>Parent indépendant 1.58</x:v>
      </x:c>
      <x:c r="D3799" t="str">
        <x:v>Entrepôts et réserves</x:v>
      </x:c>
      <x:c r="E3799" t="str">
        <x:v>Centre de préparation des convoiements</x:v>
      </x:c>
      <x:c r="F3799" t="n">
        <x:v>9</x:v>
      </x:c>
      <x:c r="G3799" t="n">
        <x:v>8</x:v>
      </x:c>
      <x:c r="H3799" t="n">
        <x:v>8</x:v>
      </x:c>
      <x:c r="I3799" t="str">
        <x:v>À qualifier par lieu</x:v>
      </x:c>
      <x:c r="J3799" t="str">
        <x:v>https://github.com/darknigthmare/deadwall-last-enclosure/blob/e28f46223e73105ab2c5d83f3d50b99b58ef53e6/codex-3000/addendum-1.58/PROGRAMMES_D.json</x:v>
      </x:c>
      <x:c r="K3799" t="str">
        <x:v>Source min 50,46 m ; max 50,46 m ; modèle 50 × 46 m ; niveaux 0, 1. Détails dans catalogue-existant.json.</x:v>
      </x:c>
    </x:row>
    <x:row r="3800">
      <x:c r="A3800" t="str">
        <x:v>DW-3795</x:v>
      </x:c>
      <x:c r="B3800" t="str">
        <x:v>DW-3795</x:v>
      </x:c>
      <x:c r="C3800" t="str">
        <x:v>Parent indépendant 1.58</x:v>
      </x:c>
      <x:c r="D3800" t="str">
        <x:v>Entrepôts et réserves</x:v>
      </x:c>
      <x:c r="E3800" t="str">
        <x:v>Maison de contrôle des stocks de secours</x:v>
      </x:c>
      <x:c r="F3800" t="n">
        <x:v>9</x:v>
      </x:c>
      <x:c r="G3800" t="n">
        <x:v>8</x:v>
      </x:c>
      <x:c r="H3800" t="n">
        <x:v>8</x:v>
      </x:c>
      <x:c r="I3800" t="str">
        <x:v>À qualifier par lieu</x:v>
      </x:c>
      <x:c r="J3800" t="str">
        <x:v>https://github.com/darknigthmare/deadwall-last-enclosure/blob/e28f46223e73105ab2c5d83f3d50b99b58ef53e6/codex-3000/addendum-1.58/PROGRAMMES_D.json</x:v>
      </x:c>
      <x:c r="K3800" t="str">
        <x:v>Source min 54,50 m ; max 54,50 m ; modèle 54 × 50 m ; niveaux 0, 1. Détails dans catalogue-existant.json.</x:v>
      </x:c>
    </x:row>
    <x:row r="3801">
      <x:c r="A3801" t="str">
        <x:v>DW-3796</x:v>
      </x:c>
      <x:c r="B3801" t="str">
        <x:v>DW-3796</x:v>
      </x:c>
      <x:c r="C3801" t="str">
        <x:v>Parent indépendant 1.58</x:v>
      </x:c>
      <x:c r="D3801" t="str">
        <x:v>Services et petits ateliers</x:v>
      </x:c>
      <x:c r="E3801" t="str">
        <x:v>Atelier des transpalettes manuels</x:v>
      </x:c>
      <x:c r="F3801" t="n">
        <x:v>9</x:v>
      </x:c>
      <x:c r="G3801" t="n">
        <x:v>8</x:v>
      </x:c>
      <x:c r="H3801" t="n">
        <x:v>8</x:v>
      </x:c>
      <x:c r="I3801" t="str">
        <x:v>À qualifier par lieu</x:v>
      </x:c>
      <x:c r="J3801" t="str">
        <x:v>https://github.com/darknigthmare/deadwall-last-enclosure/blob/e28f46223e73105ab2c5d83f3d50b99b58ef53e6/codex-3000/addendum-1.58/PROGRAMMES_D.json</x:v>
      </x:c>
      <x:c r="K3801" t="str">
        <x:v>Source min 46,42 m ; max 46,42 m ; modèle 46 × 42 m ; niveaux 0. Détails dans catalogue-existant.json.</x:v>
      </x:c>
    </x:row>
    <x:row r="3802">
      <x:c r="A3802" t="str">
        <x:v>DW-3797</x:v>
      </x:c>
      <x:c r="B3802" t="str">
        <x:v>DW-3797</x:v>
      </x:c>
      <x:c r="C3802" t="str">
        <x:v>Parent indépendant 1.58</x:v>
      </x:c>
      <x:c r="D3802" t="str">
        <x:v>Services et petits ateliers</x:v>
      </x:c>
      <x:c r="E3802" t="str">
        <x:v>Centre des chariots de magasin</x:v>
      </x:c>
      <x:c r="F3802" t="n">
        <x:v>9</x:v>
      </x:c>
      <x:c r="G3802" t="n">
        <x:v>8</x:v>
      </x:c>
      <x:c r="H3802" t="n">
        <x:v>8</x:v>
      </x:c>
      <x:c r="I3802" t="str">
        <x:v>À qualifier par lieu</x:v>
      </x:c>
      <x:c r="J3802" t="str">
        <x:v>https://github.com/darknigthmare/deadwall-last-enclosure/blob/e28f46223e73105ab2c5d83f3d50b99b58ef53e6/codex-3000/addendum-1.58/PROGRAMMES_D.json</x:v>
      </x:c>
      <x:c r="K3802" t="str">
        <x:v>Source min 50,46 m ; max 50,46 m ; modèle 50 × 46 m ; niveaux 0. Détails dans catalogue-existant.json.</x:v>
      </x:c>
    </x:row>
    <x:row r="3803">
      <x:c r="A3803" t="str">
        <x:v>DW-3798</x:v>
      </x:c>
      <x:c r="B3803" t="str">
        <x:v>DW-3798</x:v>
      </x:c>
      <x:c r="C3803" t="str">
        <x:v>Parent indépendant 1.58</x:v>
      </x:c>
      <x:c r="D3803" t="str">
        <x:v>Services et petits ateliers</x:v>
      </x:c>
      <x:c r="E3803" t="str">
        <x:v>Atelier des tables élévatrices</x:v>
      </x:c>
      <x:c r="F3803" t="n">
        <x:v>9</x:v>
      </x:c>
      <x:c r="G3803" t="n">
        <x:v>8</x:v>
      </x:c>
      <x:c r="H3803" t="n">
        <x:v>8</x:v>
      </x:c>
      <x:c r="I3803" t="str">
        <x:v>À qualifier par lieu</x:v>
      </x:c>
      <x:c r="J3803" t="str">
        <x:v>https://github.com/darknigthmare/deadwall-last-enclosure/blob/e28f46223e73105ab2c5d83f3d50b99b58ef53e6/codex-3000/addendum-1.58/PROGRAMMES_D.json</x:v>
      </x:c>
      <x:c r="K3803" t="str">
        <x:v>Source min 54,50 m ; max 54,50 m ; modèle 54 × 50 m ; niveaux 0. Détails dans catalogue-existant.json.</x:v>
      </x:c>
    </x:row>
    <x:row r="3804">
      <x:c r="A3804" t="str">
        <x:v>DW-3799</x:v>
      </x:c>
      <x:c r="B3804" t="str">
        <x:v>DW-3799</x:v>
      </x:c>
      <x:c r="C3804" t="str">
        <x:v>Parent indépendant 1.58</x:v>
      </x:c>
      <x:c r="D3804" t="str">
        <x:v>Services et petits ateliers</x:v>
      </x:c>
      <x:c r="E3804" t="str">
        <x:v>Maison des sangles de charge</x:v>
      </x:c>
      <x:c r="F3804" t="n">
        <x:v>9</x:v>
      </x:c>
      <x:c r="G3804" t="n">
        <x:v>8</x:v>
      </x:c>
      <x:c r="H3804" t="n">
        <x:v>8</x:v>
      </x:c>
      <x:c r="I3804" t="str">
        <x:v>À qualifier par lieu</x:v>
      </x:c>
      <x:c r="J3804" t="str">
        <x:v>https://github.com/darknigthmare/deadwall-last-enclosure/blob/e28f46223e73105ab2c5d83f3d50b99b58ef53e6/codex-3000/addendum-1.58/PROGRAMMES_D.json</x:v>
      </x:c>
      <x:c r="K3804" t="str">
        <x:v>Source min 46,42 m ; max 46,42 m ; modèle 46 × 42 m ; niveaux 0. Détails dans catalogue-existant.json.</x:v>
      </x:c>
    </x:row>
    <x:row r="3805">
      <x:c r="A3805" t="str">
        <x:v>DW-3800</x:v>
      </x:c>
      <x:c r="B3805" t="str">
        <x:v>DW-3800</x:v>
      </x:c>
      <x:c r="C3805" t="str">
        <x:v>Parent indépendant 1.58</x:v>
      </x:c>
      <x:c r="D3805" t="str">
        <x:v>Services et petits ateliers</x:v>
      </x:c>
      <x:c r="E3805" t="str">
        <x:v>Atelier des chaînes de levage</x:v>
      </x:c>
      <x:c r="F3805" t="n">
        <x:v>9</x:v>
      </x:c>
      <x:c r="G3805" t="n">
        <x:v>8</x:v>
      </x:c>
      <x:c r="H3805" t="n">
        <x:v>8</x:v>
      </x:c>
      <x:c r="I3805" t="str">
        <x:v>À qualifier par lieu</x:v>
      </x:c>
      <x:c r="J3805" t="str">
        <x:v>https://github.com/darknigthmare/deadwall-last-enclosure/blob/e28f46223e73105ab2c5d83f3d50b99b58ef53e6/codex-3000/addendum-1.58/PROGRAMMES_D.json</x:v>
      </x:c>
      <x:c r="K3805" t="str">
        <x:v>Source min 50,46 m ; max 50,46 m ; modèle 50 × 46 m ; niveaux 0. Détails dans catalogue-existant.json.</x:v>
      </x:c>
    </x:row>
    <x:row r="3806">
      <x:c r="A3806" t="str">
        <x:v>DW-3801</x:v>
      </x:c>
      <x:c r="B3806" t="str">
        <x:v>DW-3801</x:v>
      </x:c>
      <x:c r="C3806" t="str">
        <x:v>Parent indépendant 1.58</x:v>
      </x:c>
      <x:c r="D3806" t="str">
        <x:v>Services et petits ateliers</x:v>
      </x:c>
      <x:c r="E3806" t="str">
        <x:v>Centre des ventouses de manutention</x:v>
      </x:c>
      <x:c r="F3806" t="n">
        <x:v>9</x:v>
      </x:c>
      <x:c r="G3806" t="n">
        <x:v>8</x:v>
      </x:c>
      <x:c r="H3806" t="n">
        <x:v>8</x:v>
      </x:c>
      <x:c r="I3806" t="str">
        <x:v>À qualifier par lieu</x:v>
      </x:c>
      <x:c r="J3806" t="str">
        <x:v>https://github.com/darknigthmare/deadwall-last-enclosure/blob/e28f46223e73105ab2c5d83f3d50b99b58ef53e6/codex-3000/addendum-1.58/PROGRAMMES_D.json</x:v>
      </x:c>
      <x:c r="K3806" t="str">
        <x:v>Source min 54,50 m ; max 54,50 m ; modèle 54 × 50 m ; niveaux 0. Détails dans catalogue-existant.json.</x:v>
      </x:c>
    </x:row>
    <x:row r="3807">
      <x:c r="A3807" t="str">
        <x:v>DW-3802</x:v>
      </x:c>
      <x:c r="B3807" t="str">
        <x:v>DW-3802</x:v>
      </x:c>
      <x:c r="C3807" t="str">
        <x:v>Parent indépendant 1.58</x:v>
      </x:c>
      <x:c r="D3807" t="str">
        <x:v>Services et petits ateliers</x:v>
      </x:c>
      <x:c r="E3807" t="str">
        <x:v>Atelier des rouleaux de convoyage</x:v>
      </x:c>
      <x:c r="F3807" t="n">
        <x:v>9</x:v>
      </x:c>
      <x:c r="G3807" t="n">
        <x:v>8</x:v>
      </x:c>
      <x:c r="H3807" t="n">
        <x:v>8</x:v>
      </x:c>
      <x:c r="I3807" t="str">
        <x:v>À qualifier par lieu</x:v>
      </x:c>
      <x:c r="J3807" t="str">
        <x:v>https://github.com/darknigthmare/deadwall-last-enclosure/blob/e28f46223e73105ab2c5d83f3d50b99b58ef53e6/codex-3000/addendum-1.58/PROGRAMMES_D.json</x:v>
      </x:c>
      <x:c r="K3807" t="str">
        <x:v>Source min 46,42 m ; max 46,42 m ; modèle 46 × 42 m ; niveaux 0. Détails dans catalogue-existant.json.</x:v>
      </x:c>
    </x:row>
    <x:row r="3808">
      <x:c r="A3808" t="str">
        <x:v>DW-3803</x:v>
      </x:c>
      <x:c r="B3808" t="str">
        <x:v>DW-3803</x:v>
      </x:c>
      <x:c r="C3808" t="str">
        <x:v>Parent indépendant 1.58</x:v>
      </x:c>
      <x:c r="D3808" t="str">
        <x:v>Services et petits ateliers</x:v>
      </x:c>
      <x:c r="E3808" t="str">
        <x:v>Centre des rampes de chargement portables</x:v>
      </x:c>
      <x:c r="F3808" t="n">
        <x:v>9</x:v>
      </x:c>
      <x:c r="G3808" t="n">
        <x:v>8</x:v>
      </x:c>
      <x:c r="H3808" t="n">
        <x:v>8</x:v>
      </x:c>
      <x:c r="I3808" t="str">
        <x:v>À qualifier par lieu</x:v>
      </x:c>
      <x:c r="J3808" t="str">
        <x:v>https://github.com/darknigthmare/deadwall-last-enclosure/blob/e28f46223e73105ab2c5d83f3d50b99b58ef53e6/codex-3000/addendum-1.58/PROGRAMMES_D.json</x:v>
      </x:c>
      <x:c r="K3808" t="str">
        <x:v>Source min 50,46 m ; max 50,46 m ; modèle 50 × 46 m ; niveaux 0. Détails dans catalogue-existant.json.</x:v>
      </x:c>
    </x:row>
    <x:row r="3809">
      <x:c r="A3809" t="str">
        <x:v>DW-3804</x:v>
      </x:c>
      <x:c r="B3809" t="str">
        <x:v>DW-3804</x:v>
      </x:c>
      <x:c r="C3809" t="str">
        <x:v>Parent indépendant 1.58</x:v>
      </x:c>
      <x:c r="D3809" t="str">
        <x:v>Services et petits ateliers</x:v>
      </x:c>
      <x:c r="E3809" t="str">
        <x:v>Atelier des balances de plateforme</x:v>
      </x:c>
      <x:c r="F3809" t="n">
        <x:v>9</x:v>
      </x:c>
      <x:c r="G3809" t="n">
        <x:v>8</x:v>
      </x:c>
      <x:c r="H3809" t="n">
        <x:v>8</x:v>
      </x:c>
      <x:c r="I3809" t="str">
        <x:v>À qualifier par lieu</x:v>
      </x:c>
      <x:c r="J3809" t="str">
        <x:v>https://github.com/darknigthmare/deadwall-last-enclosure/blob/e28f46223e73105ab2c5d83f3d50b99b58ef53e6/codex-3000/addendum-1.58/PROGRAMMES_D.json</x:v>
      </x:c>
      <x:c r="K3809" t="str">
        <x:v>Source min 54,50 m ; max 54,50 m ; modèle 54 × 50 m ; niveaux 0. Détails dans catalogue-existant.json.</x:v>
      </x:c>
    </x:row>
    <x:row r="3810">
      <x:c r="A3810" t="str">
        <x:v>DW-3805</x:v>
      </x:c>
      <x:c r="B3810" t="str">
        <x:v>DW-3805</x:v>
      </x:c>
      <x:c r="C3810" t="str">
        <x:v>Parent indépendant 1.58</x:v>
      </x:c>
      <x:c r="D3810" t="str">
        <x:v>Services et petits ateliers</x:v>
      </x:c>
      <x:c r="E3810" t="str">
        <x:v>Maison des protections d'angle de fret</x:v>
      </x:c>
      <x:c r="F3810" t="n">
        <x:v>9</x:v>
      </x:c>
      <x:c r="G3810" t="n">
        <x:v>8</x:v>
      </x:c>
      <x:c r="H3810" t="n">
        <x:v>8</x:v>
      </x:c>
      <x:c r="I3810" t="str">
        <x:v>À qualifier par lieu</x:v>
      </x:c>
      <x:c r="J3810" t="str">
        <x:v>https://github.com/darknigthmare/deadwall-last-enclosure/blob/e28f46223e73105ab2c5d83f3d50b99b58ef53e6/codex-3000/addendum-1.58/PROGRAMMES_D.json</x:v>
      </x:c>
      <x:c r="K3810" t="str">
        <x:v>Source min 46,42 m ; max 46,42 m ; modèle 46 × 42 m ; niveaux 0. Détails dans catalogue-existant.json.</x:v>
      </x:c>
    </x:row>
    <x:row r="3811">
      <x:c r="A3811" t="str">
        <x:v>DW-3806</x:v>
      </x:c>
      <x:c r="B3811" t="str">
        <x:v>DW-3806</x:v>
      </x:c>
      <x:c r="C3811" t="str">
        <x:v>Parent indépendant 1.58</x:v>
      </x:c>
      <x:c r="D3811" t="str">
        <x:v>Services et petits ateliers</x:v>
      </x:c>
      <x:c r="E3811" t="str">
        <x:v>Atelier des diables de portage</x:v>
      </x:c>
      <x:c r="F3811" t="n">
        <x:v>9</x:v>
      </x:c>
      <x:c r="G3811" t="n">
        <x:v>8</x:v>
      </x:c>
      <x:c r="H3811" t="n">
        <x:v>8</x:v>
      </x:c>
      <x:c r="I3811" t="str">
        <x:v>À qualifier par lieu</x:v>
      </x:c>
      <x:c r="J3811" t="str">
        <x:v>https://github.com/darknigthmare/deadwall-last-enclosure/blob/e28f46223e73105ab2c5d83f3d50b99b58ef53e6/codex-3000/addendum-1.58/PROGRAMMES_D.json</x:v>
      </x:c>
      <x:c r="K3811" t="str">
        <x:v>Source min 50,46 m ; max 50,46 m ; modèle 50 × 46 m ; niveaux 0. Détails dans catalogue-existant.json.</x:v>
      </x:c>
    </x:row>
    <x:row r="3812">
      <x:c r="A3812" t="str">
        <x:v>DW-3807</x:v>
      </x:c>
      <x:c r="B3812" t="str">
        <x:v>DW-3807</x:v>
      </x:c>
      <x:c r="C3812" t="str">
        <x:v>Parent indépendant 1.58</x:v>
      </x:c>
      <x:c r="D3812" t="str">
        <x:v>Services et petits ateliers</x:v>
      </x:c>
      <x:c r="E3812" t="str">
        <x:v>Centre des supports de bobine</x:v>
      </x:c>
      <x:c r="F3812" t="n">
        <x:v>9</x:v>
      </x:c>
      <x:c r="G3812" t="n">
        <x:v>8</x:v>
      </x:c>
      <x:c r="H3812" t="n">
        <x:v>8</x:v>
      </x:c>
      <x:c r="I3812" t="str">
        <x:v>À qualifier par lieu</x:v>
      </x:c>
      <x:c r="J3812" t="str">
        <x:v>https://github.com/darknigthmare/deadwall-last-enclosure/blob/e28f46223e73105ab2c5d83f3d50b99b58ef53e6/codex-3000/addendum-1.58/PROGRAMMES_D.json</x:v>
      </x:c>
      <x:c r="K3812" t="str">
        <x:v>Source min 54,50 m ; max 54,50 m ; modèle 54 × 50 m ; niveaux 0. Détails dans catalogue-existant.json.</x:v>
      </x:c>
    </x:row>
    <x:row r="3813">
      <x:c r="A3813" t="str">
        <x:v>DW-3808</x:v>
      </x:c>
      <x:c r="B3813" t="str">
        <x:v>DW-3808</x:v>
      </x:c>
      <x:c r="C3813" t="str">
        <x:v>Parent indépendant 1.58</x:v>
      </x:c>
      <x:c r="D3813" t="str">
        <x:v>Services et petits ateliers</x:v>
      </x:c>
      <x:c r="E3813" t="str">
        <x:v>Atelier des verrous de caisse mobile</x:v>
      </x:c>
      <x:c r="F3813" t="n">
        <x:v>9</x:v>
      </x:c>
      <x:c r="G3813" t="n">
        <x:v>8</x:v>
      </x:c>
      <x:c r="H3813" t="n">
        <x:v>8</x:v>
      </x:c>
      <x:c r="I3813" t="str">
        <x:v>À qualifier par lieu</x:v>
      </x:c>
      <x:c r="J3813" t="str">
        <x:v>https://github.com/darknigthmare/deadwall-last-enclosure/blob/e28f46223e73105ab2c5d83f3d50b99b58ef53e6/codex-3000/addendum-1.58/PROGRAMMES_D.json</x:v>
      </x:c>
      <x:c r="K3813" t="str">
        <x:v>Source min 46,42 m ; max 46,42 m ; modèle 46 × 42 m ; niveaux 0. Détails dans catalogue-existant.json.</x:v>
      </x:c>
    </x:row>
    <x:row r="3814">
      <x:c r="A3814" t="str">
        <x:v>DW-3809</x:v>
      </x:c>
      <x:c r="B3814" t="str">
        <x:v>DW-3809</x:v>
      </x:c>
      <x:c r="C3814" t="str">
        <x:v>Parent indépendant 1.58</x:v>
      </x:c>
      <x:c r="D3814" t="str">
        <x:v>Services et petits ateliers</x:v>
      </x:c>
      <x:c r="E3814" t="str">
        <x:v>Maison des filets de maintien de charge</x:v>
      </x:c>
      <x:c r="F3814" t="n">
        <x:v>9</x:v>
      </x:c>
      <x:c r="G3814" t="n">
        <x:v>8</x:v>
      </x:c>
      <x:c r="H3814" t="n">
        <x:v>8</x:v>
      </x:c>
      <x:c r="I3814" t="str">
        <x:v>À qualifier par lieu</x:v>
      </x:c>
      <x:c r="J3814" t="str">
        <x:v>https://github.com/darknigthmare/deadwall-last-enclosure/blob/e28f46223e73105ab2c5d83f3d50b99b58ef53e6/codex-3000/addendum-1.58/PROGRAMMES_D.json</x:v>
      </x:c>
      <x:c r="K3814" t="str">
        <x:v>Source min 50,46 m ; max 50,46 m ; modèle 50 × 46 m ; niveaux 0. Détails dans catalogue-existant.json.</x:v>
      </x:c>
    </x:row>
    <x:row r="3815">
      <x:c r="A3815" t="str">
        <x:v>DW-3810</x:v>
      </x:c>
      <x:c r="B3815" t="str">
        <x:v>DW-3810</x:v>
      </x:c>
      <x:c r="C3815" t="str">
        <x:v>Parent indépendant 1.58</x:v>
      </x:c>
      <x:c r="D3815" t="str">
        <x:v>Services et petits ateliers</x:v>
      </x:c>
      <x:c r="E3815" t="str">
        <x:v>Centre des barres de blocage de fret</x:v>
      </x:c>
      <x:c r="F3815" t="n">
        <x:v>9</x:v>
      </x:c>
      <x:c r="G3815" t="n">
        <x:v>8</x:v>
      </x:c>
      <x:c r="H3815" t="n">
        <x:v>8</x:v>
      </x:c>
      <x:c r="I3815" t="str">
        <x:v>À qualifier par lieu</x:v>
      </x:c>
      <x:c r="J3815" t="str">
        <x:v>https://github.com/darknigthmare/deadwall-last-enclosure/blob/e28f46223e73105ab2c5d83f3d50b99b58ef53e6/codex-3000/addendum-1.58/PROGRAMMES_D.json</x:v>
      </x:c>
      <x:c r="K3815" t="str">
        <x:v>Source min 54,50 m ; max 54,50 m ; modèle 54 × 50 m ; niveaux 0. Détails dans catalogue-existant.json.</x:v>
      </x:c>
    </x:row>
    <x:row r="3816">
      <x:c r="A3816" t="str">
        <x:v>DW-3811</x:v>
      </x:c>
      <x:c r="B3816" t="str">
        <x:v>DW-3811</x:v>
      </x:c>
      <x:c r="C3816" t="str">
        <x:v>Parent indépendant 1.58</x:v>
      </x:c>
      <x:c r="D3816" t="str">
        <x:v>Entrepôts et réserves</x:v>
      </x:c>
      <x:c r="E3816" t="str">
        <x:v>Halle des chapiteaux démontés</x:v>
      </x:c>
      <x:c r="F3816" t="n">
        <x:v>9</x:v>
      </x:c>
      <x:c r="G3816" t="n">
        <x:v>8</x:v>
      </x:c>
      <x:c r="H3816" t="n">
        <x:v>8</x:v>
      </x:c>
      <x:c r="I3816" t="str">
        <x:v>À qualifier par lieu</x:v>
      </x:c>
      <x:c r="J3816" t="str">
        <x:v>https://github.com/darknigthmare/deadwall-last-enclosure/blob/e28f46223e73105ab2c5d83f3d50b99b58ef53e6/codex-3000/addendum-1.58/PROGRAMMES_D.json</x:v>
      </x:c>
      <x:c r="K3816" t="str">
        <x:v>Source min 46,42 m ; max 46,42 m ; modèle 46 × 42 m ; niveaux 0. Détails dans catalogue-existant.json.</x:v>
      </x:c>
    </x:row>
    <x:row r="3817">
      <x:c r="A3817" t="str">
        <x:v>DW-3812</x:v>
      </x:c>
      <x:c r="B3817" t="str">
        <x:v>DW-3812</x:v>
      </x:c>
      <x:c r="C3817" t="str">
        <x:v>Parent indépendant 1.58</x:v>
      </x:c>
      <x:c r="D3817" t="str">
        <x:v>Entrepôts et réserves</x:v>
      </x:c>
      <x:c r="E3817" t="str">
        <x:v>Réserve des barrières de foule</x:v>
      </x:c>
      <x:c r="F3817" t="n">
        <x:v>9</x:v>
      </x:c>
      <x:c r="G3817" t="n">
        <x:v>8</x:v>
      </x:c>
      <x:c r="H3817" t="n">
        <x:v>8</x:v>
      </x:c>
      <x:c r="I3817" t="str">
        <x:v>À qualifier par lieu</x:v>
      </x:c>
      <x:c r="J3817" t="str">
        <x:v>https://github.com/darknigthmare/deadwall-last-enclosure/blob/e28f46223e73105ab2c5d83f3d50b99b58ef53e6/codex-3000/addendum-1.58/PROGRAMMES_D.json</x:v>
      </x:c>
      <x:c r="K3817" t="str">
        <x:v>Source min 50,46 m ; max 50,46 m ; modèle 50 × 46 m ; niveaux 0. Détails dans catalogue-existant.json.</x:v>
      </x:c>
    </x:row>
    <x:row r="3818">
      <x:c r="A3818" t="str">
        <x:v>DW-3813</x:v>
      </x:c>
      <x:c r="B3818" t="str">
        <x:v>DW-3813</x:v>
      </x:c>
      <x:c r="C3818" t="str">
        <x:v>Parent indépendant 1.58</x:v>
      </x:c>
      <x:c r="D3818" t="str">
        <x:v>Entrepôts et réserves</x:v>
      </x:c>
      <x:c r="E3818" t="str">
        <x:v>Dépôt des gradins démontables</x:v>
      </x:c>
      <x:c r="F3818" t="n">
        <x:v>9</x:v>
      </x:c>
      <x:c r="G3818" t="n">
        <x:v>8</x:v>
      </x:c>
      <x:c r="H3818" t="n">
        <x:v>8</x:v>
      </x:c>
      <x:c r="I3818" t="str">
        <x:v>À qualifier par lieu</x:v>
      </x:c>
      <x:c r="J3818" t="str">
        <x:v>https://github.com/darknigthmare/deadwall-last-enclosure/blob/e28f46223e73105ab2c5d83f3d50b99b58ef53e6/codex-3000/addendum-1.58/PROGRAMMES_D.json</x:v>
      </x:c>
      <x:c r="K3818" t="str">
        <x:v>Source min 54,50 m ; max 54,50 m ; modèle 54 × 50 m ; niveaux 0. Détails dans catalogue-existant.json.</x:v>
      </x:c>
    </x:row>
    <x:row r="3819">
      <x:c r="A3819" t="str">
        <x:v>DW-3814</x:v>
      </x:c>
      <x:c r="B3819" t="str">
        <x:v>DW-3814</x:v>
      </x:c>
      <x:c r="C3819" t="str">
        <x:v>Parent indépendant 1.58</x:v>
      </x:c>
      <x:c r="D3819" t="str">
        <x:v>Entrepôts et réserves</x:v>
      </x:c>
      <x:c r="E3819" t="str">
        <x:v>Halle des échafaudages roulants</x:v>
      </x:c>
      <x:c r="F3819" t="n">
        <x:v>9</x:v>
      </x:c>
      <x:c r="G3819" t="n">
        <x:v>8</x:v>
      </x:c>
      <x:c r="H3819" t="n">
        <x:v>8</x:v>
      </x:c>
      <x:c r="I3819" t="str">
        <x:v>À qualifier par lieu</x:v>
      </x:c>
      <x:c r="J3819" t="str">
        <x:v>https://github.com/darknigthmare/deadwall-last-enclosure/blob/e28f46223e73105ab2c5d83f3d50b99b58ef53e6/codex-3000/addendum-1.58/PROGRAMMES_D.json</x:v>
      </x:c>
      <x:c r="K3819" t="str">
        <x:v>Source min 46,42 m ; max 46,42 m ; modèle 46 × 42 m ; niveaux 0. Détails dans catalogue-existant.json.</x:v>
      </x:c>
    </x:row>
    <x:row r="3820">
      <x:c r="A3820" t="str">
        <x:v>DW-3815</x:v>
      </x:c>
      <x:c r="B3820" t="str">
        <x:v>DW-3815</x:v>
      </x:c>
      <x:c r="C3820" t="str">
        <x:v>Parent indépendant 1.58</x:v>
      </x:c>
      <x:c r="D3820" t="str">
        <x:v>Entrepôts et réserves</x:v>
      </x:c>
      <x:c r="E3820" t="str">
        <x:v>Réserve des cloisons de chantier</x:v>
      </x:c>
      <x:c r="F3820" t="n">
        <x:v>9</x:v>
      </x:c>
      <x:c r="G3820" t="n">
        <x:v>8</x:v>
      </x:c>
      <x:c r="H3820" t="n">
        <x:v>8</x:v>
      </x:c>
      <x:c r="I3820" t="str">
        <x:v>À qualifier par lieu</x:v>
      </x:c>
      <x:c r="J3820" t="str">
        <x:v>https://github.com/darknigthmare/deadwall-last-enclosure/blob/e28f46223e73105ab2c5d83f3d50b99b58ef53e6/codex-3000/addendum-1.58/PROGRAMMES_D.json</x:v>
      </x:c>
      <x:c r="K3820" t="str">
        <x:v>Source min 50,46 m ; max 50,46 m ; modèle 50 × 46 m ; niveaux 0. Détails dans catalogue-existant.json.</x:v>
      </x:c>
    </x:row>
    <x:row r="3821">
      <x:c r="A3821" t="str">
        <x:v>DW-3816</x:v>
      </x:c>
      <x:c r="B3821" t="str">
        <x:v>DW-3816</x:v>
      </x:c>
      <x:c r="C3821" t="str">
        <x:v>Parent indépendant 1.58</x:v>
      </x:c>
      <x:c r="D3821" t="str">
        <x:v>Entrepôts et réserves</x:v>
      </x:c>
      <x:c r="E3821" t="str">
        <x:v>Dépôt des protections de sol d'événement</x:v>
      </x:c>
      <x:c r="F3821" t="n">
        <x:v>9</x:v>
      </x:c>
      <x:c r="G3821" t="n">
        <x:v>8</x:v>
      </x:c>
      <x:c r="H3821" t="n">
        <x:v>8</x:v>
      </x:c>
      <x:c r="I3821" t="str">
        <x:v>À qualifier par lieu</x:v>
      </x:c>
      <x:c r="J3821" t="str">
        <x:v>https://github.com/darknigthmare/deadwall-last-enclosure/blob/e28f46223e73105ab2c5d83f3d50b99b58ef53e6/codex-3000/addendum-1.58/PROGRAMMES_D.json</x:v>
      </x:c>
      <x:c r="K3821" t="str">
        <x:v>Source min 54,50 m ; max 54,50 m ; modèle 54 × 50 m ; niveaux 0. Détails dans catalogue-existant.json.</x:v>
      </x:c>
    </x:row>
    <x:row r="3822">
      <x:c r="A3822" t="str">
        <x:v>DW-3817</x:v>
      </x:c>
      <x:c r="B3822" t="str">
        <x:v>DW-3817</x:v>
      </x:c>
      <x:c r="C3822" t="str">
        <x:v>Parent indépendant 1.58</x:v>
      </x:c>
      <x:c r="D3822" t="str">
        <x:v>Entrepôts et réserves</x:v>
      </x:c>
      <x:c r="E3822" t="str">
        <x:v>Halle des tapis de passage lourd</x:v>
      </x:c>
      <x:c r="F3822" t="n">
        <x:v>9</x:v>
      </x:c>
      <x:c r="G3822" t="n">
        <x:v>8</x:v>
      </x:c>
      <x:c r="H3822" t="n">
        <x:v>8</x:v>
      </x:c>
      <x:c r="I3822" t="str">
        <x:v>À qualifier par lieu</x:v>
      </x:c>
      <x:c r="J3822" t="str">
        <x:v>https://github.com/darknigthmare/deadwall-last-enclosure/blob/e28f46223e73105ab2c5d83f3d50b99b58ef53e6/codex-3000/addendum-1.58/PROGRAMMES_D.json</x:v>
      </x:c>
      <x:c r="K3822" t="str">
        <x:v>Source min 46,42 m ; max 46,42 m ; modèle 46 × 42 m ; niveaux 0. Détails dans catalogue-existant.json.</x:v>
      </x:c>
    </x:row>
    <x:row r="3823">
      <x:c r="A3823" t="str">
        <x:v>DW-3818</x:v>
      </x:c>
      <x:c r="B3823" t="str">
        <x:v>DW-3818</x:v>
      </x:c>
      <x:c r="C3823" t="str">
        <x:v>Parent indépendant 1.58</x:v>
      </x:c>
      <x:c r="D3823" t="str">
        <x:v>Entrepôts et réserves</x:v>
      </x:c>
      <x:c r="E3823" t="str">
        <x:v>Réserve des passerelles de chantier démontées</x:v>
      </x:c>
      <x:c r="F3823" t="n">
        <x:v>9</x:v>
      </x:c>
      <x:c r="G3823" t="n">
        <x:v>8</x:v>
      </x:c>
      <x:c r="H3823" t="n">
        <x:v>8</x:v>
      </x:c>
      <x:c r="I3823" t="str">
        <x:v>À qualifier par lieu</x:v>
      </x:c>
      <x:c r="J3823" t="str">
        <x:v>https://github.com/darknigthmare/deadwall-last-enclosure/blob/e28f46223e73105ab2c5d83f3d50b99b58ef53e6/codex-3000/addendum-1.58/PROGRAMMES_D.json</x:v>
      </x:c>
      <x:c r="K3823" t="str">
        <x:v>Source min 50,46 m ; max 50,46 m ; modèle 50 × 46 m ; niveaux 0. Détails dans catalogue-existant.json.</x:v>
      </x:c>
    </x:row>
    <x:row r="3824">
      <x:c r="A3824" t="str">
        <x:v>DW-3819</x:v>
      </x:c>
      <x:c r="B3824" t="str">
        <x:v>DW-3819</x:v>
      </x:c>
      <x:c r="C3824" t="str">
        <x:v>Parent indépendant 1.58</x:v>
      </x:c>
      <x:c r="D3824" t="str">
        <x:v>Entrepôts et réserves</x:v>
      </x:c>
      <x:c r="E3824" t="str">
        <x:v>Dépôt des réservoirs souples vides</x:v>
      </x:c>
      <x:c r="F3824" t="n">
        <x:v>9</x:v>
      </x:c>
      <x:c r="G3824" t="n">
        <x:v>8</x:v>
      </x:c>
      <x:c r="H3824" t="n">
        <x:v>8</x:v>
      </x:c>
      <x:c r="I3824" t="str">
        <x:v>À qualifier par lieu</x:v>
      </x:c>
      <x:c r="J3824" t="str">
        <x:v>https://github.com/darknigthmare/deadwall-last-enclosure/blob/e28f46223e73105ab2c5d83f3d50b99b58ef53e6/codex-3000/addendum-1.58/PROGRAMMES_D.json</x:v>
      </x:c>
      <x:c r="K3824" t="str">
        <x:v>Source min 54,50 m ; max 54,50 m ; modèle 54 × 50 m ; niveaux 0. Détails dans catalogue-existant.json.</x:v>
      </x:c>
    </x:row>
    <x:row r="3825">
      <x:c r="A3825" t="str">
        <x:v>DW-3820</x:v>
      </x:c>
      <x:c r="B3825" t="str">
        <x:v>DW-3820</x:v>
      </x:c>
      <x:c r="C3825" t="str">
        <x:v>Parent indépendant 1.58</x:v>
      </x:c>
      <x:c r="D3825" t="str">
        <x:v>Entrepôts et réserves</x:v>
      </x:c>
      <x:c r="E3825" t="str">
        <x:v>Halle des abris de chantier pliants</x:v>
      </x:c>
      <x:c r="F3825" t="n">
        <x:v>9</x:v>
      </x:c>
      <x:c r="G3825" t="n">
        <x:v>8</x:v>
      </x:c>
      <x:c r="H3825" t="n">
        <x:v>8</x:v>
      </x:c>
      <x:c r="I3825" t="str">
        <x:v>À qualifier par lieu</x:v>
      </x:c>
      <x:c r="J3825" t="str">
        <x:v>https://github.com/darknigthmare/deadwall-last-enclosure/blob/e28f46223e73105ab2c5d83f3d50b99b58ef53e6/codex-3000/addendum-1.58/PROGRAMMES_D.json</x:v>
      </x:c>
      <x:c r="K3825" t="str">
        <x:v>Source min 46,42 m ; max 46,42 m ; modèle 46 × 42 m ; niveaux 0. Détails dans catalogue-existant.json.</x:v>
      </x:c>
    </x:row>
    <x:row r="3826">
      <x:c r="A3826" t="str">
        <x:v>DW-3821</x:v>
      </x:c>
      <x:c r="B3826" t="str">
        <x:v>DW-3821</x:v>
      </x:c>
      <x:c r="C3826" t="str">
        <x:v>Parent indépendant 1.58</x:v>
      </x:c>
      <x:c r="D3826" t="str">
        <x:v>Entrepôts et réserves</x:v>
      </x:c>
      <x:c r="E3826" t="str">
        <x:v>Réserve des équipements de portage collectif</x:v>
      </x:c>
      <x:c r="F3826" t="n">
        <x:v>9</x:v>
      </x:c>
      <x:c r="G3826" t="n">
        <x:v>8</x:v>
      </x:c>
      <x:c r="H3826" t="n">
        <x:v>8</x:v>
      </x:c>
      <x:c r="I3826" t="str">
        <x:v>À qualifier par lieu</x:v>
      </x:c>
      <x:c r="J3826" t="str">
        <x:v>https://github.com/darknigthmare/deadwall-last-enclosure/blob/e28f46223e73105ab2c5d83f3d50b99b58ef53e6/codex-3000/addendum-1.58/PROGRAMMES_D.json</x:v>
      </x:c>
      <x:c r="K3826" t="str">
        <x:v>Source min 50,46 m ; max 50,46 m ; modèle 50 × 46 m ; niveaux 0. Détails dans catalogue-existant.json.</x:v>
      </x:c>
    </x:row>
    <x:row r="3827">
      <x:c r="A3827" t="str">
        <x:v>DW-3822</x:v>
      </x:c>
      <x:c r="B3827" t="str">
        <x:v>DW-3822</x:v>
      </x:c>
      <x:c r="C3827" t="str">
        <x:v>Parent indépendant 1.58</x:v>
      </x:c>
      <x:c r="D3827" t="str">
        <x:v>Entrepôts et réserves</x:v>
      </x:c>
      <x:c r="E3827" t="str">
        <x:v>Dépôt des caisses de sonorisation</x:v>
      </x:c>
      <x:c r="F3827" t="n">
        <x:v>9</x:v>
      </x:c>
      <x:c r="G3827" t="n">
        <x:v>8</x:v>
      </x:c>
      <x:c r="H3827" t="n">
        <x:v>8</x:v>
      </x:c>
      <x:c r="I3827" t="str">
        <x:v>À qualifier par lieu</x:v>
      </x:c>
      <x:c r="J3827" t="str">
        <x:v>https://github.com/darknigthmare/deadwall-last-enclosure/blob/e28f46223e73105ab2c5d83f3d50b99b58ef53e6/codex-3000/addendum-1.58/PROGRAMMES_D.json</x:v>
      </x:c>
      <x:c r="K3827" t="str">
        <x:v>Source min 54,50 m ; max 54,50 m ; modèle 54 × 50 m ; niveaux 0. Détails dans catalogue-existant.json.</x:v>
      </x:c>
    </x:row>
    <x:row r="3828">
      <x:c r="A3828" t="str">
        <x:v>DW-3823</x:v>
      </x:c>
      <x:c r="B3828" t="str">
        <x:v>DW-3823</x:v>
      </x:c>
      <x:c r="C3828" t="str">
        <x:v>Parent indépendant 1.58</x:v>
      </x:c>
      <x:c r="D3828" t="str">
        <x:v>Entrepôts et réserves</x:v>
      </x:c>
      <x:c r="E3828" t="str">
        <x:v>Halle des assises d'urgence</x:v>
      </x:c>
      <x:c r="F3828" t="n">
        <x:v>9</x:v>
      </x:c>
      <x:c r="G3828" t="n">
        <x:v>8</x:v>
      </x:c>
      <x:c r="H3828" t="n">
        <x:v>8</x:v>
      </x:c>
      <x:c r="I3828" t="str">
        <x:v>À qualifier par lieu</x:v>
      </x:c>
      <x:c r="J3828" t="str">
        <x:v>https://github.com/darknigthmare/deadwall-last-enclosure/blob/e28f46223e73105ab2c5d83f3d50b99b58ef53e6/codex-3000/addendum-1.58/PROGRAMMES_D.json</x:v>
      </x:c>
      <x:c r="K3828" t="str">
        <x:v>Source min 46,42 m ; max 46,42 m ; modèle 46 × 42 m ; niveaux 0. Détails dans catalogue-existant.json.</x:v>
      </x:c>
    </x:row>
    <x:row r="3829">
      <x:c r="A3829" t="str">
        <x:v>DW-3824</x:v>
      </x:c>
      <x:c r="B3829" t="str">
        <x:v>DW-3824</x:v>
      </x:c>
      <x:c r="C3829" t="str">
        <x:v>Parent indépendant 1.58</x:v>
      </x:c>
      <x:c r="D3829" t="str">
        <x:v>Entrepôts et réserves</x:v>
      </x:c>
      <x:c r="E3829" t="str">
        <x:v>Réserve des plaques de couverture provisoire</x:v>
      </x:c>
      <x:c r="F3829" t="n">
        <x:v>9</x:v>
      </x:c>
      <x:c r="G3829" t="n">
        <x:v>8</x:v>
      </x:c>
      <x:c r="H3829" t="n">
        <x:v>8</x:v>
      </x:c>
      <x:c r="I3829" t="str">
        <x:v>À qualifier par lieu</x:v>
      </x:c>
      <x:c r="J3829" t="str">
        <x:v>https://github.com/darknigthmare/deadwall-last-enclosure/blob/e28f46223e73105ab2c5d83f3d50b99b58ef53e6/codex-3000/addendum-1.58/PROGRAMMES_D.json</x:v>
      </x:c>
      <x:c r="K3829" t="str">
        <x:v>Source min 50,46 m ; max 50,46 m ; modèle 50 × 46 m ; niveaux 0. Détails dans catalogue-existant.json.</x:v>
      </x:c>
    </x:row>
    <x:row r="3830">
      <x:c r="A3830" t="str">
        <x:v>DW-3825</x:v>
      </x:c>
      <x:c r="B3830" t="str">
        <x:v>DW-3825</x:v>
      </x:c>
      <x:c r="C3830" t="str">
        <x:v>Parent indépendant 1.58</x:v>
      </x:c>
      <x:c r="D3830" t="str">
        <x:v>Entrepôts et réserves</x:v>
      </x:c>
      <x:c r="E3830" t="str">
        <x:v>Dépôt des caissons de ravitaillement itinérant</x:v>
      </x:c>
      <x:c r="F3830" t="n">
        <x:v>9</x:v>
      </x:c>
      <x:c r="G3830" t="n">
        <x:v>8</x:v>
      </x:c>
      <x:c r="H3830" t="n">
        <x:v>8</x:v>
      </x:c>
      <x:c r="I3830" t="str">
        <x:v>À qualifier par lieu</x:v>
      </x:c>
      <x:c r="J3830" t="str">
        <x:v>https://github.com/darknigthmare/deadwall-last-enclosure/blob/e28f46223e73105ab2c5d83f3d50b99b58ef53e6/codex-3000/addendum-1.58/PROGRAMMES_D.json</x:v>
      </x:c>
      <x:c r="K3830" t="str">
        <x:v>Source min 54,50 m ; max 54,50 m ; modèle 54 × 50 m ; niveaux 0. Détails dans catalogue-existant.json.</x:v>
      </x:c>
    </x:row>
    <x:row r="3831">
      <x:c r="A3831" t="str">
        <x:v>DW-3826</x:v>
      </x:c>
      <x:c r="B3831" t="str">
        <x:v>DW-3826</x:v>
      </x:c>
      <x:c r="C3831" t="str">
        <x:v>Parent indépendant 1.58</x:v>
      </x:c>
      <x:c r="D3831" t="str">
        <x:v>Automobile et carburant</x:v>
      </x:c>
      <x:c r="E3831" t="str">
        <x:v>Maison de régulation des navettes</x:v>
      </x:c>
      <x:c r="F3831" t="n">
        <x:v>9</x:v>
      </x:c>
      <x:c r="G3831" t="n">
        <x:v>8</x:v>
      </x:c>
      <x:c r="H3831" t="n">
        <x:v>8</x:v>
      </x:c>
      <x:c r="I3831" t="str">
        <x:v>À qualifier par lieu</x:v>
      </x:c>
      <x:c r="J3831" t="str">
        <x:v>https://github.com/darknigthmare/deadwall-last-enclosure/blob/e28f46223e73105ab2c5d83f3d50b99b58ef53e6/codex-3000/addendum-1.58/PROGRAMMES_D.json</x:v>
      </x:c>
      <x:c r="K3831" t="str">
        <x:v>Source min 38,38 m ; max 38,38 m ; modèle 38 × 38 m ; niveaux 0. Détails dans catalogue-existant.json.</x:v>
      </x:c>
    </x:row>
    <x:row r="3832">
      <x:c r="A3832" t="str">
        <x:v>DW-3827</x:v>
      </x:c>
      <x:c r="B3832" t="str">
        <x:v>DW-3827</x:v>
      </x:c>
      <x:c r="C3832" t="str">
        <x:v>Parent indépendant 1.58</x:v>
      </x:c>
      <x:c r="D3832" t="str">
        <x:v>Automobile et carburant</x:v>
      </x:c>
      <x:c r="E3832" t="str">
        <x:v>Centre des transports scolaires</x:v>
      </x:c>
      <x:c r="F3832" t="n">
        <x:v>9</x:v>
      </x:c>
      <x:c r="G3832" t="n">
        <x:v>8</x:v>
      </x:c>
      <x:c r="H3832" t="n">
        <x:v>8</x:v>
      </x:c>
      <x:c r="I3832" t="str">
        <x:v>À qualifier par lieu</x:v>
      </x:c>
      <x:c r="J3832" t="str">
        <x:v>https://github.com/darknigthmare/deadwall-last-enclosure/blob/e28f46223e73105ab2c5d83f3d50b99b58ef53e6/codex-3000/addendum-1.58/PROGRAMMES_D.json</x:v>
      </x:c>
      <x:c r="K3832" t="str">
        <x:v>Source min 42,42 m ; max 42,42 m ; modèle 42 × 42 m ; niveaux 0. Détails dans catalogue-existant.json.</x:v>
      </x:c>
    </x:row>
    <x:row r="3833">
      <x:c r="A3833" t="str">
        <x:v>DW-3828</x:v>
      </x:c>
      <x:c r="B3833" t="str">
        <x:v>DW-3828</x:v>
      </x:c>
      <x:c r="C3833" t="str">
        <x:v>Parent indépendant 1.58</x:v>
      </x:c>
      <x:c r="D3833" t="str">
        <x:v>Automobile et carburant</x:v>
      </x:c>
      <x:c r="E3833" t="str">
        <x:v>Maison du transport accompagné</x:v>
      </x:c>
      <x:c r="F3833" t="n">
        <x:v>9</x:v>
      </x:c>
      <x:c r="G3833" t="n">
        <x:v>8</x:v>
      </x:c>
      <x:c r="H3833" t="n">
        <x:v>8</x:v>
      </x:c>
      <x:c r="I3833" t="str">
        <x:v>À qualifier par lieu</x:v>
      </x:c>
      <x:c r="J3833" t="str">
        <x:v>https://github.com/darknigthmare/deadwall-last-enclosure/blob/e28f46223e73105ab2c5d83f3d50b99b58ef53e6/codex-3000/addendum-1.58/PROGRAMMES_D.json</x:v>
      </x:c>
      <x:c r="K3833" t="str">
        <x:v>Source min 46,46 m ; max 46,46 m ; modèle 46 × 46 m ; niveaux 0. Détails dans catalogue-existant.json.</x:v>
      </x:c>
    </x:row>
    <x:row r="3834">
      <x:c r="A3834" t="str">
        <x:v>DW-3829</x:v>
      </x:c>
      <x:c r="B3834" t="str">
        <x:v>DW-3829</x:v>
      </x:c>
      <x:c r="C3834" t="str">
        <x:v>Parent indépendant 1.58</x:v>
      </x:c>
      <x:c r="D3834" t="str">
        <x:v>Automobile et carburant</x:v>
      </x:c>
      <x:c r="E3834" t="str">
        <x:v>Centre des minibus associatifs</x:v>
      </x:c>
      <x:c r="F3834" t="n">
        <x:v>9</x:v>
      </x:c>
      <x:c r="G3834" t="n">
        <x:v>8</x:v>
      </x:c>
      <x:c r="H3834" t="n">
        <x:v>8</x:v>
      </x:c>
      <x:c r="I3834" t="str">
        <x:v>À qualifier par lieu</x:v>
      </x:c>
      <x:c r="J3834" t="str">
        <x:v>https://github.com/darknigthmare/deadwall-last-enclosure/blob/e28f46223e73105ab2c5d83f3d50b99b58ef53e6/codex-3000/addendum-1.58/PROGRAMMES_D.json</x:v>
      </x:c>
      <x:c r="K3834" t="str">
        <x:v>Source min 38,38 m ; max 38,38 m ; modèle 38 × 38 m ; niveaux 0. Détails dans catalogue-existant.json.</x:v>
      </x:c>
    </x:row>
    <x:row r="3835">
      <x:c r="A3835" t="str">
        <x:v>DW-3830</x:v>
      </x:c>
      <x:c r="B3835" t="str">
        <x:v>DW-3830</x:v>
      </x:c>
      <x:c r="C3835" t="str">
        <x:v>Parent indépendant 1.58</x:v>
      </x:c>
      <x:c r="D3835" t="str">
        <x:v>Automobile et carburant</x:v>
      </x:c>
      <x:c r="E3835" t="str">
        <x:v>Maison des autocars de remplacement</x:v>
      </x:c>
      <x:c r="F3835" t="n">
        <x:v>9</x:v>
      </x:c>
      <x:c r="G3835" t="n">
        <x:v>8</x:v>
      </x:c>
      <x:c r="H3835" t="n">
        <x:v>8</x:v>
      </x:c>
      <x:c r="I3835" t="str">
        <x:v>À qualifier par lieu</x:v>
      </x:c>
      <x:c r="J3835" t="str">
        <x:v>https://github.com/darknigthmare/deadwall-last-enclosure/blob/e28f46223e73105ab2c5d83f3d50b99b58ef53e6/codex-3000/addendum-1.58/PROGRAMMES_D.json</x:v>
      </x:c>
      <x:c r="K3835" t="str">
        <x:v>Source min 42,42 m ; max 42,42 m ; modèle 42 × 42 m ; niveaux 0. Détails dans catalogue-existant.json.</x:v>
      </x:c>
    </x:row>
    <x:row r="3836">
      <x:c r="A3836" t="str">
        <x:v>DW-3831</x:v>
      </x:c>
      <x:c r="B3836" t="str">
        <x:v>DW-3831</x:v>
      </x:c>
      <x:c r="C3836" t="str">
        <x:v>Parent indépendant 1.58</x:v>
      </x:c>
      <x:c r="D3836" t="str">
        <x:v>Automobile et carburant</x:v>
      </x:c>
      <x:c r="E3836" t="str">
        <x:v>Centre des tournées de messagerie urbaine</x:v>
      </x:c>
      <x:c r="F3836" t="n">
        <x:v>9</x:v>
      </x:c>
      <x:c r="G3836" t="n">
        <x:v>8</x:v>
      </x:c>
      <x:c r="H3836" t="n">
        <x:v>8</x:v>
      </x:c>
      <x:c r="I3836" t="str">
        <x:v>À qualifier par lieu</x:v>
      </x:c>
      <x:c r="J3836" t="str">
        <x:v>https://github.com/darknigthmare/deadwall-last-enclosure/blob/e28f46223e73105ab2c5d83f3d50b99b58ef53e6/codex-3000/addendum-1.58/PROGRAMMES_D.json</x:v>
      </x:c>
      <x:c r="K3836" t="str">
        <x:v>Source min 46,46 m ; max 46,46 m ; modèle 46 × 46 m ; niveaux 0. Détails dans catalogue-existant.json.</x:v>
      </x:c>
    </x:row>
    <x:row r="3837">
      <x:c r="A3837" t="str">
        <x:v>DW-3832</x:v>
      </x:c>
      <x:c r="B3837" t="str">
        <x:v>DW-3832</x:v>
      </x:c>
      <x:c r="C3837" t="str">
        <x:v>Parent indépendant 1.58</x:v>
      </x:c>
      <x:c r="D3837" t="str">
        <x:v>Automobile et carburant</x:v>
      </x:c>
      <x:c r="E3837" t="str">
        <x:v>Maison des coursiers à vélo cargo</x:v>
      </x:c>
      <x:c r="F3837" t="n">
        <x:v>9</x:v>
      </x:c>
      <x:c r="G3837" t="n">
        <x:v>8</x:v>
      </x:c>
      <x:c r="H3837" t="n">
        <x:v>8</x:v>
      </x:c>
      <x:c r="I3837" t="str">
        <x:v>À qualifier par lieu</x:v>
      </x:c>
      <x:c r="J3837" t="str">
        <x:v>https://github.com/darknigthmare/deadwall-last-enclosure/blob/e28f46223e73105ab2c5d83f3d50b99b58ef53e6/codex-3000/addendum-1.58/PROGRAMMES_D.json</x:v>
      </x:c>
      <x:c r="K3837" t="str">
        <x:v>Source min 38,38 m ; max 38,38 m ; modèle 38 × 38 m ; niveaux 0. Détails dans catalogue-existant.json.</x:v>
      </x:c>
    </x:row>
    <x:row r="3838">
      <x:c r="A3838" t="str">
        <x:v>DW-3833</x:v>
      </x:c>
      <x:c r="B3838" t="str">
        <x:v>DW-3833</x:v>
      </x:c>
      <x:c r="C3838" t="str">
        <x:v>Parent indépendant 1.58</x:v>
      </x:c>
      <x:c r="D3838" t="str">
        <x:v>Automobile et carburant</x:v>
      </x:c>
      <x:c r="E3838" t="str">
        <x:v>Centre des transports funéraires</x:v>
      </x:c>
      <x:c r="F3838" t="n">
        <x:v>9</x:v>
      </x:c>
      <x:c r="G3838" t="n">
        <x:v>8</x:v>
      </x:c>
      <x:c r="H3838" t="n">
        <x:v>8</x:v>
      </x:c>
      <x:c r="I3838" t="str">
        <x:v>À qualifier par lieu</x:v>
      </x:c>
      <x:c r="J3838" t="str">
        <x:v>https://github.com/darknigthmare/deadwall-last-enclosure/blob/e28f46223e73105ab2c5d83f3d50b99b58ef53e6/codex-3000/addendum-1.58/PROGRAMMES_D.json</x:v>
      </x:c>
      <x:c r="K3838" t="str">
        <x:v>Source min 42,42 m ; max 42,42 m ; modèle 42 × 42 m ; niveaux 0. Détails dans catalogue-existant.json.</x:v>
      </x:c>
    </x:row>
    <x:row r="3839">
      <x:c r="A3839" t="str">
        <x:v>DW-3834</x:v>
      </x:c>
      <x:c r="B3839" t="str">
        <x:v>DW-3834</x:v>
      </x:c>
      <x:c r="C3839" t="str">
        <x:v>Parent indépendant 1.58</x:v>
      </x:c>
      <x:c r="D3839" t="str">
        <x:v>Automobile et carburant</x:v>
      </x:c>
      <x:c r="E3839" t="str">
        <x:v>Maison des convoyeurs automobiles</x:v>
      </x:c>
      <x:c r="F3839" t="n">
        <x:v>9</x:v>
      </x:c>
      <x:c r="G3839" t="n">
        <x:v>8</x:v>
      </x:c>
      <x:c r="H3839" t="n">
        <x:v>8</x:v>
      </x:c>
      <x:c r="I3839" t="str">
        <x:v>À qualifier par lieu</x:v>
      </x:c>
      <x:c r="J3839" t="str">
        <x:v>https://github.com/darknigthmare/deadwall-last-enclosure/blob/e28f46223e73105ab2c5d83f3d50b99b58ef53e6/codex-3000/addendum-1.58/PROGRAMMES_D.json</x:v>
      </x:c>
      <x:c r="K3839" t="str">
        <x:v>Source min 46,46 m ; max 46,46 m ; modèle 46 × 46 m ; niveaux 0. Détails dans catalogue-existant.json.</x:v>
      </x:c>
    </x:row>
    <x:row r="3840">
      <x:c r="A3840" t="str">
        <x:v>DW-3835</x:v>
      </x:c>
      <x:c r="B3840" t="str">
        <x:v>DW-3835</x:v>
      </x:c>
      <x:c r="C3840" t="str">
        <x:v>Parent indépendant 1.58</x:v>
      </x:c>
      <x:c r="D3840" t="str">
        <x:v>Automobile et carburant</x:v>
      </x:c>
      <x:c r="E3840" t="str">
        <x:v>Centre des liaisons de chantier</x:v>
      </x:c>
      <x:c r="F3840" t="n">
        <x:v>9</x:v>
      </x:c>
      <x:c r="G3840" t="n">
        <x:v>8</x:v>
      </x:c>
      <x:c r="H3840" t="n">
        <x:v>8</x:v>
      </x:c>
      <x:c r="I3840" t="str">
        <x:v>À qualifier par lieu</x:v>
      </x:c>
      <x:c r="J3840" t="str">
        <x:v>https://github.com/darknigthmare/deadwall-last-enclosure/blob/e28f46223e73105ab2c5d83f3d50b99b58ef53e6/codex-3000/addendum-1.58/PROGRAMMES_D.json</x:v>
      </x:c>
      <x:c r="K3840" t="str">
        <x:v>Source min 38,38 m ; max 38,38 m ; modèle 38 × 38 m ; niveaux 0. Détails dans catalogue-existant.json.</x:v>
      </x:c>
    </x:row>
    <x:row r="3841">
      <x:c r="A3841" t="str">
        <x:v>DW-3836</x:v>
      </x:c>
      <x:c r="B3841" t="str">
        <x:v>DW-3836</x:v>
      </x:c>
      <x:c r="C3841" t="str">
        <x:v>Parent indépendant 1.58</x:v>
      </x:c>
      <x:c r="D3841" t="str">
        <x:v>Automobile et carburant</x:v>
      </x:c>
      <x:c r="E3841" t="str">
        <x:v>Maison des transports à horaires décalés</x:v>
      </x:c>
      <x:c r="F3841" t="n">
        <x:v>9</x:v>
      </x:c>
      <x:c r="G3841" t="n">
        <x:v>8</x:v>
      </x:c>
      <x:c r="H3841" t="n">
        <x:v>8</x:v>
      </x:c>
      <x:c r="I3841" t="str">
        <x:v>À qualifier par lieu</x:v>
      </x:c>
      <x:c r="J3841" t="str">
        <x:v>https://github.com/darknigthmare/deadwall-last-enclosure/blob/e28f46223e73105ab2c5d83f3d50b99b58ef53e6/codex-3000/addendum-1.58/PROGRAMMES_D.json</x:v>
      </x:c>
      <x:c r="K3841" t="str">
        <x:v>Source min 42,42 m ; max 42,42 m ; modèle 42 × 42 m ; niveaux 0. Détails dans catalogue-existant.json.</x:v>
      </x:c>
    </x:row>
    <x:row r="3842">
      <x:c r="A3842" t="str">
        <x:v>DW-3837</x:v>
      </x:c>
      <x:c r="B3842" t="str">
        <x:v>DW-3837</x:v>
      </x:c>
      <x:c r="C3842" t="str">
        <x:v>Parent indépendant 1.58</x:v>
      </x:c>
      <x:c r="D3842" t="str">
        <x:v>Automobile et carburant</x:v>
      </x:c>
      <x:c r="E3842" t="str">
        <x:v>Centre des transferts interétablissements</x:v>
      </x:c>
      <x:c r="F3842" t="n">
        <x:v>9</x:v>
      </x:c>
      <x:c r="G3842" t="n">
        <x:v>8</x:v>
      </x:c>
      <x:c r="H3842" t="n">
        <x:v>8</x:v>
      </x:c>
      <x:c r="I3842" t="str">
        <x:v>À qualifier par lieu</x:v>
      </x:c>
      <x:c r="J3842" t="str">
        <x:v>https://github.com/darknigthmare/deadwall-last-enclosure/blob/e28f46223e73105ab2c5d83f3d50b99b58ef53e6/codex-3000/addendum-1.58/PROGRAMMES_D.json</x:v>
      </x:c>
      <x:c r="K3842" t="str">
        <x:v>Source min 46,46 m ; max 46,46 m ; modèle 46 × 46 m ; niveaux 0. Détails dans catalogue-existant.json.</x:v>
      </x:c>
    </x:row>
    <x:row r="3843">
      <x:c r="A3843" t="str">
        <x:v>DW-3838</x:v>
      </x:c>
      <x:c r="B3843" t="str">
        <x:v>DW-3838</x:v>
      </x:c>
      <x:c r="C3843" t="str">
        <x:v>Parent indépendant 1.58</x:v>
      </x:c>
      <x:c r="D3843" t="str">
        <x:v>Automobile et carburant</x:v>
      </x:c>
      <x:c r="E3843" t="str">
        <x:v>Maison des véhicules partagés communaux</x:v>
      </x:c>
      <x:c r="F3843" t="n">
        <x:v>9</x:v>
      </x:c>
      <x:c r="G3843" t="n">
        <x:v>8</x:v>
      </x:c>
      <x:c r="H3843" t="n">
        <x:v>8</x:v>
      </x:c>
      <x:c r="I3843" t="str">
        <x:v>À qualifier par lieu</x:v>
      </x:c>
      <x:c r="J3843" t="str">
        <x:v>https://github.com/darknigthmare/deadwall-last-enclosure/blob/e28f46223e73105ab2c5d83f3d50b99b58ef53e6/codex-3000/addendum-1.58/PROGRAMMES_D.json</x:v>
      </x:c>
      <x:c r="K3843" t="str">
        <x:v>Source min 38,38 m ; max 38,38 m ; modèle 38 × 38 m ; niveaux 0. Détails dans catalogue-existant.json.</x:v>
      </x:c>
    </x:row>
    <x:row r="3844">
      <x:c r="A3844" t="str">
        <x:v>DW-3839</x:v>
      </x:c>
      <x:c r="B3844" t="str">
        <x:v>DW-3839</x:v>
      </x:c>
      <x:c r="C3844" t="str">
        <x:v>Parent indépendant 1.58</x:v>
      </x:c>
      <x:c r="D3844" t="str">
        <x:v>Services et petits ateliers</x:v>
      </x:c>
      <x:c r="E3844" t="str">
        <x:v>Atelier des hayons de livraison</x:v>
      </x:c>
      <x:c r="F3844" t="n">
        <x:v>9</x:v>
      </x:c>
      <x:c r="G3844" t="n">
        <x:v>8</x:v>
      </x:c>
      <x:c r="H3844" t="n">
        <x:v>8</x:v>
      </x:c>
      <x:c r="I3844" t="str">
        <x:v>À qualifier par lieu</x:v>
      </x:c>
      <x:c r="J3844" t="str">
        <x:v>https://github.com/darknigthmare/deadwall-last-enclosure/blob/e28f46223e73105ab2c5d83f3d50b99b58ef53e6/codex-3000/addendum-1.58/PROGRAMMES_D.json</x:v>
      </x:c>
      <x:c r="K3844" t="str">
        <x:v>Source min 42,42 m ; max 42,42 m ; modèle 42 × 42 m ; niveaux 0. Détails dans catalogue-existant.json.</x:v>
      </x:c>
    </x:row>
    <x:row r="3845">
      <x:c r="A3845" t="str">
        <x:v>DW-3840</x:v>
      </x:c>
      <x:c r="B3845" t="str">
        <x:v>DW-3840</x:v>
      </x:c>
      <x:c r="C3845" t="str">
        <x:v>Parent indépendant 1.58</x:v>
      </x:c>
      <x:c r="D3845" t="str">
        <x:v>Services et petits ateliers</x:v>
      </x:c>
      <x:c r="E3845" t="str">
        <x:v>Centre des compartiments isothermes</x:v>
      </x:c>
      <x:c r="F3845" t="n">
        <x:v>9</x:v>
      </x:c>
      <x:c r="G3845" t="n">
        <x:v>8</x:v>
      </x:c>
      <x:c r="H3845" t="n">
        <x:v>8</x:v>
      </x:c>
      <x:c r="I3845" t="str">
        <x:v>À qualifier par lieu</x:v>
      </x:c>
      <x:c r="J3845" t="str">
        <x:v>https://github.com/darknigthmare/deadwall-last-enclosure/blob/e28f46223e73105ab2c5d83f3d50b99b58ef53e6/codex-3000/addendum-1.58/PROGRAMMES_D.json</x:v>
      </x:c>
      <x:c r="K3845" t="str">
        <x:v>Source min 46,46 m ; max 46,46 m ; modèle 46 × 46 m ; niveaux 0. Détails dans catalogue-existant.json.</x:v>
      </x:c>
    </x:row>
    <x:row r="3846">
      <x:c r="A3846" t="str">
        <x:v>DW-3841</x:v>
      </x:c>
      <x:c r="B3846" t="str">
        <x:v>DW-3841</x:v>
      </x:c>
      <x:c r="C3846" t="str">
        <x:v>Parent indépendant 1.58</x:v>
      </x:c>
      <x:c r="D3846" t="str">
        <x:v>Services et petits ateliers</x:v>
      </x:c>
      <x:c r="E3846" t="str">
        <x:v>Atelier des galeries utilitaires</x:v>
      </x:c>
      <x:c r="F3846" t="n">
        <x:v>9</x:v>
      </x:c>
      <x:c r="G3846" t="n">
        <x:v>8</x:v>
      </x:c>
      <x:c r="H3846" t="n">
        <x:v>8</x:v>
      </x:c>
      <x:c r="I3846" t="str">
        <x:v>À qualifier par lieu</x:v>
      </x:c>
      <x:c r="J3846" t="str">
        <x:v>https://github.com/darknigthmare/deadwall-last-enclosure/blob/e28f46223e73105ab2c5d83f3d50b99b58ef53e6/codex-3000/addendum-1.58/PROGRAMMES_D.json</x:v>
      </x:c>
      <x:c r="K3846" t="str">
        <x:v>Source min 38,38 m ; max 38,38 m ; modèle 38 × 38 m ; niveaux 0. Détails dans catalogue-existant.json.</x:v>
      </x:c>
    </x:row>
    <x:row r="3847">
      <x:c r="A3847" t="str">
        <x:v>DW-3842</x:v>
      </x:c>
      <x:c r="B3847" t="str">
        <x:v>DW-3842</x:v>
      </x:c>
      <x:c r="C3847" t="str">
        <x:v>Parent indépendant 1.58</x:v>
      </x:c>
      <x:c r="D3847" t="str">
        <x:v>Services et petits ateliers</x:v>
      </x:c>
      <x:c r="E3847" t="str">
        <x:v>Centre des sièges de transport collectif</x:v>
      </x:c>
      <x:c r="F3847" t="n">
        <x:v>9</x:v>
      </x:c>
      <x:c r="G3847" t="n">
        <x:v>8</x:v>
      </x:c>
      <x:c r="H3847" t="n">
        <x:v>8</x:v>
      </x:c>
      <x:c r="I3847" t="str">
        <x:v>À qualifier par lieu</x:v>
      </x:c>
      <x:c r="J3847" t="str">
        <x:v>https://github.com/darknigthmare/deadwall-last-enclosure/blob/e28f46223e73105ab2c5d83f3d50b99b58ef53e6/codex-3000/addendum-1.58/PROGRAMMES_D.json</x:v>
      </x:c>
      <x:c r="K3847" t="str">
        <x:v>Source min 42,42 m ; max 42,42 m ; modèle 42 × 42 m ; niveaux 0. Détails dans catalogue-existant.json.</x:v>
      </x:c>
    </x:row>
    <x:row r="3848">
      <x:c r="A3848" t="str">
        <x:v>DW-3843</x:v>
      </x:c>
      <x:c r="B3848" t="str">
        <x:v>DW-3843</x:v>
      </x:c>
      <x:c r="C3848" t="str">
        <x:v>Parent indépendant 1.58</x:v>
      </x:c>
      <x:c r="D3848" t="str">
        <x:v>Services et petits ateliers</x:v>
      </x:c>
      <x:c r="E3848" t="str">
        <x:v>Atelier des rampes d'accès embarquées</x:v>
      </x:c>
      <x:c r="F3848" t="n">
        <x:v>9</x:v>
      </x:c>
      <x:c r="G3848" t="n">
        <x:v>8</x:v>
      </x:c>
      <x:c r="H3848" t="n">
        <x:v>8</x:v>
      </x:c>
      <x:c r="I3848" t="str">
        <x:v>À qualifier par lieu</x:v>
      </x:c>
      <x:c r="J3848" t="str">
        <x:v>https://github.com/darknigthmare/deadwall-last-enclosure/blob/e28f46223e73105ab2c5d83f3d50b99b58ef53e6/codex-3000/addendum-1.58/PROGRAMMES_D.json</x:v>
      </x:c>
      <x:c r="K3848" t="str">
        <x:v>Source min 46,46 m ; max 46,46 m ; modèle 46 × 46 m ; niveaux 0. Détails dans catalogue-existant.json.</x:v>
      </x:c>
    </x:row>
    <x:row r="3849">
      <x:c r="A3849" t="str">
        <x:v>DW-3844</x:v>
      </x:c>
      <x:c r="B3849" t="str">
        <x:v>DW-3844</x:v>
      </x:c>
      <x:c r="C3849" t="str">
        <x:v>Parent indépendant 1.58</x:v>
      </x:c>
      <x:c r="D3849" t="str">
        <x:v>Services et petits ateliers</x:v>
      </x:c>
      <x:c r="E3849" t="str">
        <x:v>Centre des portes coulissantes utilitaires</x:v>
      </x:c>
      <x:c r="F3849" t="n">
        <x:v>9</x:v>
      </x:c>
      <x:c r="G3849" t="n">
        <x:v>8</x:v>
      </x:c>
      <x:c r="H3849" t="n">
        <x:v>8</x:v>
      </x:c>
      <x:c r="I3849" t="str">
        <x:v>À qualifier par lieu</x:v>
      </x:c>
      <x:c r="J3849" t="str">
        <x:v>https://github.com/darknigthmare/deadwall-last-enclosure/blob/e28f46223e73105ab2c5d83f3d50b99b58ef53e6/codex-3000/addendum-1.58/PROGRAMMES_D.json</x:v>
      </x:c>
      <x:c r="K3849" t="str">
        <x:v>Source min 38,38 m ; max 38,38 m ; modèle 38 × 38 m ; niveaux 0. Détails dans catalogue-existant.json.</x:v>
      </x:c>
    </x:row>
    <x:row r="3850">
      <x:c r="A3850" t="str">
        <x:v>DW-3845</x:v>
      </x:c>
      <x:c r="B3850" t="str">
        <x:v>DW-3845</x:v>
      </x:c>
      <x:c r="C3850" t="str">
        <x:v>Parent indépendant 1.58</x:v>
      </x:c>
      <x:c r="D3850" t="str">
        <x:v>Services et petits ateliers</x:v>
      </x:c>
      <x:c r="E3850" t="str">
        <x:v>Atelier des faisceaux de remorque</x:v>
      </x:c>
      <x:c r="F3850" t="n">
        <x:v>9</x:v>
      </x:c>
      <x:c r="G3850" t="n">
        <x:v>8</x:v>
      </x:c>
      <x:c r="H3850" t="n">
        <x:v>8</x:v>
      </x:c>
      <x:c r="I3850" t="str">
        <x:v>À qualifier par lieu</x:v>
      </x:c>
      <x:c r="J3850" t="str">
        <x:v>https://github.com/darknigthmare/deadwall-last-enclosure/blob/e28f46223e73105ab2c5d83f3d50b99b58ef53e6/codex-3000/addendum-1.58/PROGRAMMES_D.json</x:v>
      </x:c>
      <x:c r="K3850" t="str">
        <x:v>Source min 42,42 m ; max 42,42 m ; modèle 42 × 42 m ; niveaux 0. Détails dans catalogue-existant.json.</x:v>
      </x:c>
    </x:row>
    <x:row r="3851">
      <x:c r="A3851" t="str">
        <x:v>DW-3846</x:v>
      </x:c>
      <x:c r="B3851" t="str">
        <x:v>DW-3846</x:v>
      </x:c>
      <x:c r="C3851" t="str">
        <x:v>Parent indépendant 1.58</x:v>
      </x:c>
      <x:c r="D3851" t="str">
        <x:v>Services et petits ateliers</x:v>
      </x:c>
      <x:c r="E3851" t="str">
        <x:v>Centre des attelages démontés</x:v>
      </x:c>
      <x:c r="F3851" t="n">
        <x:v>9</x:v>
      </x:c>
      <x:c r="G3851" t="n">
        <x:v>8</x:v>
      </x:c>
      <x:c r="H3851" t="n">
        <x:v>8</x:v>
      </x:c>
      <x:c r="I3851" t="str">
        <x:v>À qualifier par lieu</x:v>
      </x:c>
      <x:c r="J3851" t="str">
        <x:v>https://github.com/darknigthmare/deadwall-last-enclosure/blob/e28f46223e73105ab2c5d83f3d50b99b58ef53e6/codex-3000/addendum-1.58/PROGRAMMES_D.json</x:v>
      </x:c>
      <x:c r="K3851" t="str">
        <x:v>Source min 46,46 m ; max 46,46 m ; modèle 46 × 46 m ; niveaux 0. Détails dans catalogue-existant.json.</x:v>
      </x:c>
    </x:row>
    <x:row r="3852">
      <x:c r="A3852" t="str">
        <x:v>DW-3847</x:v>
      </x:c>
      <x:c r="B3852" t="str">
        <x:v>DW-3847</x:v>
      </x:c>
      <x:c r="C3852" t="str">
        <x:v>Parent indépendant 1.58</x:v>
      </x:c>
      <x:c r="D3852" t="str">
        <x:v>Services et petits ateliers</x:v>
      </x:c>
      <x:c r="E3852" t="str">
        <x:v>Atelier des coffres de toit</x:v>
      </x:c>
      <x:c r="F3852" t="n">
        <x:v>9</x:v>
      </x:c>
      <x:c r="G3852" t="n">
        <x:v>8</x:v>
      </x:c>
      <x:c r="H3852" t="n">
        <x:v>8</x:v>
      </x:c>
      <x:c r="I3852" t="str">
        <x:v>À qualifier par lieu</x:v>
      </x:c>
      <x:c r="J3852" t="str">
        <x:v>https://github.com/darknigthmare/deadwall-last-enclosure/blob/e28f46223e73105ab2c5d83f3d50b99b58ef53e6/codex-3000/addendum-1.58/PROGRAMMES_D.json</x:v>
      </x:c>
      <x:c r="K3852" t="str">
        <x:v>Source min 38,38 m ; max 38,38 m ; modèle 38 × 38 m ; niveaux 0. Détails dans catalogue-existant.json.</x:v>
      </x:c>
    </x:row>
    <x:row r="3853">
      <x:c r="A3853" t="str">
        <x:v>DW-3848</x:v>
      </x:c>
      <x:c r="B3853" t="str">
        <x:v>DW-3848</x:v>
      </x:c>
      <x:c r="C3853" t="str">
        <x:v>Parent indépendant 1.58</x:v>
      </x:c>
      <x:c r="D3853" t="str">
        <x:v>Services et petits ateliers</x:v>
      </x:c>
      <x:c r="E3853" t="str">
        <x:v>Centre des chronotachygraphes déposés</x:v>
      </x:c>
      <x:c r="F3853" t="n">
        <x:v>9</x:v>
      </x:c>
      <x:c r="G3853" t="n">
        <x:v>8</x:v>
      </x:c>
      <x:c r="H3853" t="n">
        <x:v>8</x:v>
      </x:c>
      <x:c r="I3853" t="str">
        <x:v>À qualifier par lieu</x:v>
      </x:c>
      <x:c r="J3853" t="str">
        <x:v>https://github.com/darknigthmare/deadwall-last-enclosure/blob/e28f46223e73105ab2c5d83f3d50b99b58ef53e6/codex-3000/addendum-1.58/PROGRAMMES_D.json</x:v>
      </x:c>
      <x:c r="K3853" t="str">
        <x:v>Source min 42,42 m ; max 42,42 m ; modèle 42 × 42 m ; niveaux 0. Détails dans catalogue-existant.json.</x:v>
      </x:c>
    </x:row>
    <x:row r="3854">
      <x:c r="A3854" t="str">
        <x:v>DW-3849</x:v>
      </x:c>
      <x:c r="B3854" t="str">
        <x:v>DW-3849</x:v>
      </x:c>
      <x:c r="C3854" t="str">
        <x:v>Parent indépendant 1.58</x:v>
      </x:c>
      <x:c r="D3854" t="str">
        <x:v>Services et petits ateliers</x:v>
      </x:c>
      <x:c r="E3854" t="str">
        <x:v>Atelier des rétroviseurs de poids lourd</x:v>
      </x:c>
      <x:c r="F3854" t="n">
        <x:v>9</x:v>
      </x:c>
      <x:c r="G3854" t="n">
        <x:v>8</x:v>
      </x:c>
      <x:c r="H3854" t="n">
        <x:v>8</x:v>
      </x:c>
      <x:c r="I3854" t="str">
        <x:v>À qualifier par lieu</x:v>
      </x:c>
      <x:c r="J3854" t="str">
        <x:v>https://github.com/darknigthmare/deadwall-last-enclosure/blob/e28f46223e73105ab2c5d83f3d50b99b58ef53e6/codex-3000/addendum-1.58/PROGRAMMES_D.json</x:v>
      </x:c>
      <x:c r="K3854" t="str">
        <x:v>Source min 46,46 m ; max 46,46 m ; modèle 46 × 46 m ; niveaux 0. Détails dans catalogue-existant.json.</x:v>
      </x:c>
    </x:row>
    <x:row r="3855">
      <x:c r="A3855" t="str">
        <x:v>DW-3850</x:v>
      </x:c>
      <x:c r="B3855" t="str">
        <x:v>DW-3850</x:v>
      </x:c>
      <x:c r="C3855" t="str">
        <x:v>Parent indépendant 1.58</x:v>
      </x:c>
      <x:c r="D3855" t="str">
        <x:v>Services et petits ateliers</x:v>
      </x:c>
      <x:c r="E3855" t="str">
        <x:v>Centre des coupe-batteries de flotte</x:v>
      </x:c>
      <x:c r="F3855" t="n">
        <x:v>9</x:v>
      </x:c>
      <x:c r="G3855" t="n">
        <x:v>8</x:v>
      </x:c>
      <x:c r="H3855" t="n">
        <x:v>8</x:v>
      </x:c>
      <x:c r="I3855" t="str">
        <x:v>À qualifier par lieu</x:v>
      </x:c>
      <x:c r="J3855" t="str">
        <x:v>https://github.com/darknigthmare/deadwall-last-enclosure/blob/e28f46223e73105ab2c5d83f3d50b99b58ef53e6/codex-3000/addendum-1.58/PROGRAMMES_D.json</x:v>
      </x:c>
      <x:c r="K3855" t="str">
        <x:v>Source min 38,38 m ; max 38,38 m ; modèle 38 × 38 m ; niveaux 0. Détails dans catalogue-existant.json.</x:v>
      </x:c>
    </x:row>
    <x:row r="3856">
      <x:c r="A3856" t="str">
        <x:v>DW-3851</x:v>
      </x:c>
      <x:c r="B3856" t="str">
        <x:v>DW-3851</x:v>
      </x:c>
      <x:c r="C3856" t="str">
        <x:v>Parent indépendant 1.58</x:v>
      </x:c>
      <x:c r="D3856" t="str">
        <x:v>Services et petits ateliers</x:v>
      </x:c>
      <x:c r="E3856" t="str">
        <x:v>Atelier des capots de machine mobile</x:v>
      </x:c>
      <x:c r="F3856" t="n">
        <x:v>9</x:v>
      </x:c>
      <x:c r="G3856" t="n">
        <x:v>8</x:v>
      </x:c>
      <x:c r="H3856" t="n">
        <x:v>8</x:v>
      </x:c>
      <x:c r="I3856" t="str">
        <x:v>À qualifier par lieu</x:v>
      </x:c>
      <x:c r="J3856" t="str">
        <x:v>https://github.com/darknigthmare/deadwall-last-enclosure/blob/e28f46223e73105ab2c5d83f3d50b99b58ef53e6/codex-3000/addendum-1.58/PROGRAMMES_D.json</x:v>
      </x:c>
      <x:c r="K3856" t="str">
        <x:v>Source min 42,42 m ; max 42,42 m ; modèle 42 × 42 m ; niveaux 0. Détails dans catalogue-existant.json.</x:v>
      </x:c>
    </x:row>
    <x:row r="3857">
      <x:c r="A3857" t="str">
        <x:v>DW-3852</x:v>
      </x:c>
      <x:c r="B3857" t="str">
        <x:v>DW-3852</x:v>
      </x:c>
      <x:c r="C3857" t="str">
        <x:v>Parent indépendant 1.58</x:v>
      </x:c>
      <x:c r="D3857" t="str">
        <x:v>Services et petits ateliers</x:v>
      </x:c>
      <x:c r="E3857" t="str">
        <x:v>Atelier des pupitres ferroviaires déposés</x:v>
      </x:c>
      <x:c r="F3857" t="n">
        <x:v>9</x:v>
      </x:c>
      <x:c r="G3857" t="n">
        <x:v>8</x:v>
      </x:c>
      <x:c r="H3857" t="n">
        <x:v>8</x:v>
      </x:c>
      <x:c r="I3857" t="str">
        <x:v>À qualifier par lieu</x:v>
      </x:c>
      <x:c r="J3857" t="str">
        <x:v>https://github.com/darknigthmare/deadwall-last-enclosure/blob/e28f46223e73105ab2c5d83f3d50b99b58ef53e6/codex-3000/addendum-1.58/PROGRAMMES_D.json</x:v>
      </x:c>
      <x:c r="K3857" t="str">
        <x:v>Source min 46,46 m ; max 46,46 m ; modèle 46 × 46 m ; niveaux 0. Détails dans catalogue-existant.json.</x:v>
      </x:c>
    </x:row>
    <x:row r="3858">
      <x:c r="A3858" t="str">
        <x:v>DW-3853</x:v>
      </x:c>
      <x:c r="B3858" t="str">
        <x:v>DW-3853</x:v>
      </x:c>
      <x:c r="C3858" t="str">
        <x:v>Parent indépendant 1.58</x:v>
      </x:c>
      <x:c r="D3858" t="str">
        <x:v>Services et petits ateliers</x:v>
      </x:c>
      <x:c r="E3858" t="str">
        <x:v>Centre des lampes de signal ferroviaire</x:v>
      </x:c>
      <x:c r="F3858" t="n">
        <x:v>9</x:v>
      </x:c>
      <x:c r="G3858" t="n">
        <x:v>8</x:v>
      </x:c>
      <x:c r="H3858" t="n">
        <x:v>8</x:v>
      </x:c>
      <x:c r="I3858" t="str">
        <x:v>À qualifier par lieu</x:v>
      </x:c>
      <x:c r="J3858" t="str">
        <x:v>https://github.com/darknigthmare/deadwall-last-enclosure/blob/e28f46223e73105ab2c5d83f3d50b99b58ef53e6/codex-3000/addendum-1.58/PROGRAMMES_D.json</x:v>
      </x:c>
      <x:c r="K3858" t="str">
        <x:v>Source min 38,38 m ; max 38,38 m ; modèle 38 × 38 m ; niveaux 0. Détails dans catalogue-existant.json.</x:v>
      </x:c>
    </x:row>
    <x:row r="3859">
      <x:c r="A3859" t="str">
        <x:v>DW-3854</x:v>
      </x:c>
      <x:c r="B3859" t="str">
        <x:v>DW-3854</x:v>
      </x:c>
      <x:c r="C3859" t="str">
        <x:v>Parent indépendant 1.58</x:v>
      </x:c>
      <x:c r="D3859" t="str">
        <x:v>Services et petits ateliers</x:v>
      </x:c>
      <x:c r="E3859" t="str">
        <x:v>Atelier des sièges de rame déposés</x:v>
      </x:c>
      <x:c r="F3859" t="n">
        <x:v>9</x:v>
      </x:c>
      <x:c r="G3859" t="n">
        <x:v>8</x:v>
      </x:c>
      <x:c r="H3859" t="n">
        <x:v>8</x:v>
      </x:c>
      <x:c r="I3859" t="str">
        <x:v>À qualifier par lieu</x:v>
      </x:c>
      <x:c r="J3859" t="str">
        <x:v>https://github.com/darknigthmare/deadwall-last-enclosure/blob/e28f46223e73105ab2c5d83f3d50b99b58ef53e6/codex-3000/addendum-1.58/PROGRAMMES_D.json</x:v>
      </x:c>
      <x:c r="K3859" t="str">
        <x:v>Source min 42,42 m ; max 42,42 m ; modèle 42 × 42 m ; niveaux 0. Détails dans catalogue-existant.json.</x:v>
      </x:c>
    </x:row>
    <x:row r="3860">
      <x:c r="A3860" t="str">
        <x:v>DW-3855</x:v>
      </x:c>
      <x:c r="B3860" t="str">
        <x:v>DW-3855</x:v>
      </x:c>
      <x:c r="C3860" t="str">
        <x:v>Parent indépendant 1.58</x:v>
      </x:c>
      <x:c r="D3860" t="str">
        <x:v>Services et petits ateliers</x:v>
      </x:c>
      <x:c r="E3860" t="str">
        <x:v>Centre des portes de rame démontées</x:v>
      </x:c>
      <x:c r="F3860" t="n">
        <x:v>9</x:v>
      </x:c>
      <x:c r="G3860" t="n">
        <x:v>8</x:v>
      </x:c>
      <x:c r="H3860" t="n">
        <x:v>8</x:v>
      </x:c>
      <x:c r="I3860" t="str">
        <x:v>À qualifier par lieu</x:v>
      </x:c>
      <x:c r="J3860" t="str">
        <x:v>https://github.com/darknigthmare/deadwall-last-enclosure/blob/e28f46223e73105ab2c5d83f3d50b99b58ef53e6/codex-3000/addendum-1.58/PROGRAMMES_D.json</x:v>
      </x:c>
      <x:c r="K3860" t="str">
        <x:v>Source min 46,46 m ; max 46,46 m ; modèle 46 × 46 m ; niveaux 0. Détails dans catalogue-existant.json.</x:v>
      </x:c>
    </x:row>
    <x:row r="3861">
      <x:c r="A3861" t="str">
        <x:v>DW-3856</x:v>
      </x:c>
      <x:c r="B3861" t="str">
        <x:v>DW-3856</x:v>
      </x:c>
      <x:c r="C3861" t="str">
        <x:v>Parent indépendant 1.58</x:v>
      </x:c>
      <x:c r="D3861" t="str">
        <x:v>Services et petits ateliers</x:v>
      </x:c>
      <x:c r="E3861" t="str">
        <x:v>Atelier des boîtiers d'aiguillage déposés</x:v>
      </x:c>
      <x:c r="F3861" t="n">
        <x:v>9</x:v>
      </x:c>
      <x:c r="G3861" t="n">
        <x:v>8</x:v>
      </x:c>
      <x:c r="H3861" t="n">
        <x:v>8</x:v>
      </x:c>
      <x:c r="I3861" t="str">
        <x:v>À qualifier par lieu</x:v>
      </x:c>
      <x:c r="J3861" t="str">
        <x:v>https://github.com/darknigthmare/deadwall-last-enclosure/blob/e28f46223e73105ab2c5d83f3d50b99b58ef53e6/codex-3000/addendum-1.58/PROGRAMMES_D.json</x:v>
      </x:c>
      <x:c r="K3861" t="str">
        <x:v>Source min 38,38 m ; max 38,38 m ; modèle 38 × 38 m ; niveaux 0. Détails dans catalogue-existant.json.</x:v>
      </x:c>
    </x:row>
    <x:row r="3862">
      <x:c r="A3862" t="str">
        <x:v>DW-3857</x:v>
      </x:c>
      <x:c r="B3862" t="str">
        <x:v>DW-3857</x:v>
      </x:c>
      <x:c r="C3862" t="str">
        <x:v>Parent indépendant 1.58</x:v>
      </x:c>
      <x:c r="D3862" t="str">
        <x:v>Services et petits ateliers</x:v>
      </x:c>
      <x:c r="E3862" t="str">
        <x:v>Centre des freins de wagon déposés</x:v>
      </x:c>
      <x:c r="F3862" t="n">
        <x:v>9</x:v>
      </x:c>
      <x:c r="G3862" t="n">
        <x:v>8</x:v>
      </x:c>
      <x:c r="H3862" t="n">
        <x:v>8</x:v>
      </x:c>
      <x:c r="I3862" t="str">
        <x:v>À qualifier par lieu</x:v>
      </x:c>
      <x:c r="J3862" t="str">
        <x:v>https://github.com/darknigthmare/deadwall-last-enclosure/blob/e28f46223e73105ab2c5d83f3d50b99b58ef53e6/codex-3000/addendum-1.58/PROGRAMMES_D.json</x:v>
      </x:c>
      <x:c r="K3862" t="str">
        <x:v>Source min 42,42 m ; max 42,42 m ; modèle 42 × 42 m ; niveaux 0. Détails dans catalogue-existant.json.</x:v>
      </x:c>
    </x:row>
    <x:row r="3863">
      <x:c r="A3863" t="str">
        <x:v>DW-3858</x:v>
      </x:c>
      <x:c r="B3863" t="str">
        <x:v>DW-3858</x:v>
      </x:c>
      <x:c r="C3863" t="str">
        <x:v>Parent indépendant 1.58</x:v>
      </x:c>
      <x:c r="D3863" t="str">
        <x:v>Services et petits ateliers</x:v>
      </x:c>
      <x:c r="E3863" t="str">
        <x:v>Atelier des marchepieds de rame</x:v>
      </x:c>
      <x:c r="F3863" t="n">
        <x:v>9</x:v>
      </x:c>
      <x:c r="G3863" t="n">
        <x:v>8</x:v>
      </x:c>
      <x:c r="H3863" t="n">
        <x:v>8</x:v>
      </x:c>
      <x:c r="I3863" t="str">
        <x:v>À qualifier par lieu</x:v>
      </x:c>
      <x:c r="J3863" t="str">
        <x:v>https://github.com/darknigthmare/deadwall-last-enclosure/blob/e28f46223e73105ab2c5d83f3d50b99b58ef53e6/codex-3000/addendum-1.58/PROGRAMMES_D.json</x:v>
      </x:c>
      <x:c r="K3863" t="str">
        <x:v>Source min 46,46 m ; max 46,46 m ; modèle 46 × 46 m ; niveaux 0. Détails dans catalogue-existant.json.</x:v>
      </x:c>
    </x:row>
    <x:row r="3864">
      <x:c r="A3864" t="str">
        <x:v>DW-3859</x:v>
      </x:c>
      <x:c r="B3864" t="str">
        <x:v>DW-3859</x:v>
      </x:c>
      <x:c r="C3864" t="str">
        <x:v>Parent indépendant 1.58</x:v>
      </x:c>
      <x:c r="D3864" t="str">
        <x:v>Services et petits ateliers</x:v>
      </x:c>
      <x:c r="E3864" t="str">
        <x:v>Centre des soufflets de liaison déposés</x:v>
      </x:c>
      <x:c r="F3864" t="n">
        <x:v>9</x:v>
      </x:c>
      <x:c r="G3864" t="n">
        <x:v>8</x:v>
      </x:c>
      <x:c r="H3864" t="n">
        <x:v>8</x:v>
      </x:c>
      <x:c r="I3864" t="str">
        <x:v>À qualifier par lieu</x:v>
      </x:c>
      <x:c r="J3864" t="str">
        <x:v>https://github.com/darknigthmare/deadwall-last-enclosure/blob/e28f46223e73105ab2c5d83f3d50b99b58ef53e6/codex-3000/addendum-1.58/PROGRAMMES_D.json</x:v>
      </x:c>
      <x:c r="K3864" t="str">
        <x:v>Source min 38,38 m ; max 38,38 m ; modèle 38 × 38 m ; niveaux 0. Détails dans catalogue-existant.json.</x:v>
      </x:c>
    </x:row>
    <x:row r="3865">
      <x:c r="A3865" t="str">
        <x:v>DW-3860</x:v>
      </x:c>
      <x:c r="B3865" t="str">
        <x:v>DW-3860</x:v>
      </x:c>
      <x:c r="C3865" t="str">
        <x:v>Parent indépendant 1.58</x:v>
      </x:c>
      <x:c r="D3865" t="str">
        <x:v>Services et petits ateliers</x:v>
      </x:c>
      <x:c r="E3865" t="str">
        <x:v>Atelier des vitrages de rame stockés</x:v>
      </x:c>
      <x:c r="F3865" t="n">
        <x:v>9</x:v>
      </x:c>
      <x:c r="G3865" t="n">
        <x:v>8</x:v>
      </x:c>
      <x:c r="H3865" t="n">
        <x:v>8</x:v>
      </x:c>
      <x:c r="I3865" t="str">
        <x:v>À qualifier par lieu</x:v>
      </x:c>
      <x:c r="J3865" t="str">
        <x:v>https://github.com/darknigthmare/deadwall-last-enclosure/blob/e28f46223e73105ab2c5d83f3d50b99b58ef53e6/codex-3000/addendum-1.58/PROGRAMMES_D.json</x:v>
      </x:c>
      <x:c r="K3865" t="str">
        <x:v>Source min 42,42 m ; max 42,42 m ; modèle 42 × 42 m ; niveaux 0. Détails dans catalogue-existant.json.</x:v>
      </x:c>
    </x:row>
    <x:row r="3866">
      <x:c r="A3866" t="str">
        <x:v>DW-3861</x:v>
      </x:c>
      <x:c r="B3866" t="str">
        <x:v>DW-3861</x:v>
      </x:c>
      <x:c r="C3866" t="str">
        <x:v>Parent indépendant 1.58</x:v>
      </x:c>
      <x:c r="D3866" t="str">
        <x:v>Services et petits ateliers</x:v>
      </x:c>
      <x:c r="E3866" t="str">
        <x:v>Centre des panneaux d'information déposés</x:v>
      </x:c>
      <x:c r="F3866" t="n">
        <x:v>9</x:v>
      </x:c>
      <x:c r="G3866" t="n">
        <x:v>8</x:v>
      </x:c>
      <x:c r="H3866" t="n">
        <x:v>8</x:v>
      </x:c>
      <x:c r="I3866" t="str">
        <x:v>À qualifier par lieu</x:v>
      </x:c>
      <x:c r="J3866" t="str">
        <x:v>https://github.com/darknigthmare/deadwall-last-enclosure/blob/e28f46223e73105ab2c5d83f3d50b99b58ef53e6/codex-3000/addendum-1.58/PROGRAMMES_D.json</x:v>
      </x:c>
      <x:c r="K3866" t="str">
        <x:v>Source min 46,46 m ; max 46,46 m ; modèle 46 × 46 m ; niveaux 0. Détails dans catalogue-existant.json.</x:v>
      </x:c>
    </x:row>
    <x:row r="3867">
      <x:c r="A3867" t="str">
        <x:v>DW-3862</x:v>
      </x:c>
      <x:c r="B3867" t="str">
        <x:v>DW-3862</x:v>
      </x:c>
      <x:c r="C3867" t="str">
        <x:v>Parent indépendant 1.58</x:v>
      </x:c>
      <x:c r="D3867" t="str">
        <x:v>Services et petits ateliers</x:v>
      </x:c>
      <x:c r="E3867" t="str">
        <x:v>Atelier des serrures de compartiment</x:v>
      </x:c>
      <x:c r="F3867" t="n">
        <x:v>9</x:v>
      </x:c>
      <x:c r="G3867" t="n">
        <x:v>8</x:v>
      </x:c>
      <x:c r="H3867" t="n">
        <x:v>8</x:v>
      </x:c>
      <x:c r="I3867" t="str">
        <x:v>À qualifier par lieu</x:v>
      </x:c>
      <x:c r="J3867" t="str">
        <x:v>https://github.com/darknigthmare/deadwall-last-enclosure/blob/e28f46223e73105ab2c5d83f3d50b99b58ef53e6/codex-3000/addendum-1.58/PROGRAMMES_D.json</x:v>
      </x:c>
      <x:c r="K3867" t="str">
        <x:v>Source min 38,38 m ; max 38,38 m ; modèle 38 × 38 m ; niveaux 0. Détails dans catalogue-existant.json.</x:v>
      </x:c>
    </x:row>
    <x:row r="3868">
      <x:c r="A3868" t="str">
        <x:v>DW-3863</x:v>
      </x:c>
      <x:c r="B3868" t="str">
        <x:v>DW-3863</x:v>
      </x:c>
      <x:c r="C3868" t="str">
        <x:v>Parent indépendant 1.58</x:v>
      </x:c>
      <x:c r="D3868" t="str">
        <x:v>Services et petits ateliers</x:v>
      </x:c>
      <x:c r="E3868" t="str">
        <x:v>Centre des boîtes de roulement déposées</x:v>
      </x:c>
      <x:c r="F3868" t="n">
        <x:v>9</x:v>
      </x:c>
      <x:c r="G3868" t="n">
        <x:v>8</x:v>
      </x:c>
      <x:c r="H3868" t="n">
        <x:v>8</x:v>
      </x:c>
      <x:c r="I3868" t="str">
        <x:v>À qualifier par lieu</x:v>
      </x:c>
      <x:c r="J3868" t="str">
        <x:v>https://github.com/darknigthmare/deadwall-last-enclosure/blob/e28f46223e73105ab2c5d83f3d50b99b58ef53e6/codex-3000/addendum-1.58/PROGRAMMES_D.json</x:v>
      </x:c>
      <x:c r="K3868" t="str">
        <x:v>Source min 42,42 m ; max 42,42 m ; modèle 42 × 42 m ; niveaux 0. Détails dans catalogue-existant.json.</x:v>
      </x:c>
    </x:row>
    <x:row r="3869">
      <x:c r="A3869" t="str">
        <x:v>DW-3864</x:v>
      </x:c>
      <x:c r="B3869" t="str">
        <x:v>DW-3864</x:v>
      </x:c>
      <x:c r="C3869" t="str">
        <x:v>Parent indépendant 1.58</x:v>
      </x:c>
      <x:c r="D3869" t="str">
        <x:v>Services et petits ateliers</x:v>
      </x:c>
      <x:c r="E3869" t="str">
        <x:v>Maison des pièces de caténaire déposées</x:v>
      </x:c>
      <x:c r="F3869" t="n">
        <x:v>9</x:v>
      </x:c>
      <x:c r="G3869" t="n">
        <x:v>8</x:v>
      </x:c>
      <x:c r="H3869" t="n">
        <x:v>8</x:v>
      </x:c>
      <x:c r="I3869" t="str">
        <x:v>À qualifier par lieu</x:v>
      </x:c>
      <x:c r="J3869" t="str">
        <x:v>https://github.com/darknigthmare/deadwall-last-enclosure/blob/e28f46223e73105ab2c5d83f3d50b99b58ef53e6/codex-3000/addendum-1.58/PROGRAMMES_D.json</x:v>
      </x:c>
      <x:c r="K3869" t="str">
        <x:v>Source min 46,46 m ; max 46,46 m ; modèle 46 × 46 m ; niveaux 0. Détails dans catalogue-existant.json.</x:v>
      </x:c>
    </x:row>
    <x:row r="3870">
      <x:c r="A3870" t="str">
        <x:v>DW-3865</x:v>
      </x:c>
      <x:c r="B3870" t="str">
        <x:v>DW-3865</x:v>
      </x:c>
      <x:c r="C3870" t="str">
        <x:v>Parent indépendant 1.58</x:v>
      </x:c>
      <x:c r="D3870" t="str">
        <x:v>Services et petits ateliers</x:v>
      </x:c>
      <x:c r="E3870" t="str">
        <x:v>Atelier des têtes de feu de circulation</x:v>
      </x:c>
      <x:c r="F3870" t="n">
        <x:v>9</x:v>
      </x:c>
      <x:c r="G3870" t="n">
        <x:v>8</x:v>
      </x:c>
      <x:c r="H3870" t="n">
        <x:v>8</x:v>
      </x:c>
      <x:c r="I3870" t="str">
        <x:v>À qualifier par lieu</x:v>
      </x:c>
      <x:c r="J3870" t="str">
        <x:v>https://github.com/darknigthmare/deadwall-last-enclosure/blob/e28f46223e73105ab2c5d83f3d50b99b58ef53e6/codex-3000/addendum-1.58/PROGRAMMES_D.json</x:v>
      </x:c>
      <x:c r="K3870" t="str">
        <x:v>Source min 38,38 m ; max 38,38 m ; modèle 38 × 38 m ; niveaux 0. Détails dans catalogue-existant.json.</x:v>
      </x:c>
    </x:row>
    <x:row r="3871">
      <x:c r="A3871" t="str">
        <x:v>DW-3866</x:v>
      </x:c>
      <x:c r="B3871" t="str">
        <x:v>DW-3866</x:v>
      </x:c>
      <x:c r="C3871" t="str">
        <x:v>Parent indépendant 1.58</x:v>
      </x:c>
      <x:c r="D3871" t="str">
        <x:v>Services et petits ateliers</x:v>
      </x:c>
      <x:c r="E3871" t="str">
        <x:v>Centre des armoires de carrefour</x:v>
      </x:c>
      <x:c r="F3871" t="n">
        <x:v>9</x:v>
      </x:c>
      <x:c r="G3871" t="n">
        <x:v>8</x:v>
      </x:c>
      <x:c r="H3871" t="n">
        <x:v>8</x:v>
      </x:c>
      <x:c r="I3871" t="str">
        <x:v>À qualifier par lieu</x:v>
      </x:c>
      <x:c r="J3871" t="str">
        <x:v>https://github.com/darknigthmare/deadwall-last-enclosure/blob/e28f46223e73105ab2c5d83f3d50b99b58ef53e6/codex-3000/addendum-1.58/PROGRAMMES_D.json</x:v>
      </x:c>
      <x:c r="K3871" t="str">
        <x:v>Source min 42,42 m ; max 42,42 m ; modèle 42 × 42 m ; niveaux 0. Détails dans catalogue-existant.json.</x:v>
      </x:c>
    </x:row>
    <x:row r="3872">
      <x:c r="A3872" t="str">
        <x:v>DW-3867</x:v>
      </x:c>
      <x:c r="B3872" t="str">
        <x:v>DW-3867</x:v>
      </x:c>
      <x:c r="C3872" t="str">
        <x:v>Parent indépendant 1.58</x:v>
      </x:c>
      <x:c r="D3872" t="str">
        <x:v>Services et petits ateliers</x:v>
      </x:c>
      <x:c r="E3872" t="str">
        <x:v>Atelier des bornes de stationnement</x:v>
      </x:c>
      <x:c r="F3872" t="n">
        <x:v>9</x:v>
      </x:c>
      <x:c r="G3872" t="n">
        <x:v>8</x:v>
      </x:c>
      <x:c r="H3872" t="n">
        <x:v>8</x:v>
      </x:c>
      <x:c r="I3872" t="str">
        <x:v>À qualifier par lieu</x:v>
      </x:c>
      <x:c r="J3872" t="str">
        <x:v>https://github.com/darknigthmare/deadwall-last-enclosure/blob/e28f46223e73105ab2c5d83f3d50b99b58ef53e6/codex-3000/addendum-1.58/PROGRAMMES_D.json</x:v>
      </x:c>
      <x:c r="K3872" t="str">
        <x:v>Source min 46,46 m ; max 46,46 m ; modèle 46 × 46 m ; niveaux 0. Détails dans catalogue-existant.json.</x:v>
      </x:c>
    </x:row>
    <x:row r="3873">
      <x:c r="A3873" t="str">
        <x:v>DW-3868</x:v>
      </x:c>
      <x:c r="B3873" t="str">
        <x:v>DW-3868</x:v>
      </x:c>
      <x:c r="C3873" t="str">
        <x:v>Parent indépendant 1.58</x:v>
      </x:c>
      <x:c r="D3873" t="str">
        <x:v>Services et petits ateliers</x:v>
      </x:c>
      <x:c r="E3873" t="str">
        <x:v>Centre des panneaux à message variable</x:v>
      </x:c>
      <x:c r="F3873" t="n">
        <x:v>9</x:v>
      </x:c>
      <x:c r="G3873" t="n">
        <x:v>8</x:v>
      </x:c>
      <x:c r="H3873" t="n">
        <x:v>8</x:v>
      </x:c>
      <x:c r="I3873" t="str">
        <x:v>À qualifier par lieu</x:v>
      </x:c>
      <x:c r="J3873" t="str">
        <x:v>https://github.com/darknigthmare/deadwall-last-enclosure/blob/e28f46223e73105ab2c5d83f3d50b99b58ef53e6/codex-3000/addendum-1.58/PROGRAMMES_D.json</x:v>
      </x:c>
      <x:c r="K3873" t="str">
        <x:v>Source min 38,38 m ; max 38,38 m ; modèle 38 × 38 m ; niveaux 0. Détails dans catalogue-existant.json.</x:v>
      </x:c>
    </x:row>
    <x:row r="3874">
      <x:c r="A3874" t="str">
        <x:v>DW-3869</x:v>
      </x:c>
      <x:c r="B3874" t="str">
        <x:v>DW-3869</x:v>
      </x:c>
      <x:c r="C3874" t="str">
        <x:v>Parent indépendant 1.58</x:v>
      </x:c>
      <x:c r="D3874" t="str">
        <x:v>Services et petits ateliers</x:v>
      </x:c>
      <x:c r="E3874" t="str">
        <x:v>Atelier des barrières d'accès levantes</x:v>
      </x:c>
      <x:c r="F3874" t="n">
        <x:v>9</x:v>
      </x:c>
      <x:c r="G3874" t="n">
        <x:v>8</x:v>
      </x:c>
      <x:c r="H3874" t="n">
        <x:v>8</x:v>
      </x:c>
      <x:c r="I3874" t="str">
        <x:v>À qualifier par lieu</x:v>
      </x:c>
      <x:c r="J3874" t="str">
        <x:v>https://github.com/darknigthmare/deadwall-last-enclosure/blob/e28f46223e73105ab2c5d83f3d50b99b58ef53e6/codex-3000/addendum-1.58/PROGRAMMES_D.json</x:v>
      </x:c>
      <x:c r="K3874" t="str">
        <x:v>Source min 42,42 m ; max 42,42 m ; modèle 42 × 42 m ; niveaux 0. Détails dans catalogue-existant.json.</x:v>
      </x:c>
    </x:row>
    <x:row r="3875">
      <x:c r="A3875" t="str">
        <x:v>DW-3870</x:v>
      </x:c>
      <x:c r="B3875" t="str">
        <x:v>DW-3870</x:v>
      </x:c>
      <x:c r="C3875" t="str">
        <x:v>Parent indépendant 1.58</x:v>
      </x:c>
      <x:c r="D3875" t="str">
        <x:v>Services et petits ateliers</x:v>
      </x:c>
      <x:c r="E3875" t="str">
        <x:v>Centre des capteurs de chaussée</x:v>
      </x:c>
      <x:c r="F3875" t="n">
        <x:v>9</x:v>
      </x:c>
      <x:c r="G3875" t="n">
        <x:v>8</x:v>
      </x:c>
      <x:c r="H3875" t="n">
        <x:v>8</x:v>
      </x:c>
      <x:c r="I3875" t="str">
        <x:v>À qualifier par lieu</x:v>
      </x:c>
      <x:c r="J3875" t="str">
        <x:v>https://github.com/darknigthmare/deadwall-last-enclosure/blob/e28f46223e73105ab2c5d83f3d50b99b58ef53e6/codex-3000/addendum-1.58/PROGRAMMES_D.json</x:v>
      </x:c>
      <x:c r="K3875" t="str">
        <x:v>Source min 46,46 m ; max 46,46 m ; modèle 46 × 46 m ; niveaux 0. Détails dans catalogue-existant.json.</x:v>
      </x:c>
    </x:row>
    <x:row r="3876">
      <x:c r="A3876" t="str">
        <x:v>DW-3871</x:v>
      </x:c>
      <x:c r="B3876" t="str">
        <x:v>DW-3871</x:v>
      </x:c>
      <x:c r="C3876" t="str">
        <x:v>Parent indépendant 1.58</x:v>
      </x:c>
      <x:c r="D3876" t="str">
        <x:v>Services et petits ateliers</x:v>
      </x:c>
      <x:c r="E3876" t="str">
        <x:v>Atelier des balayeuses de voirie déposées</x:v>
      </x:c>
      <x:c r="F3876" t="n">
        <x:v>9</x:v>
      </x:c>
      <x:c r="G3876" t="n">
        <x:v>8</x:v>
      </x:c>
      <x:c r="H3876" t="n">
        <x:v>8</x:v>
      </x:c>
      <x:c r="I3876" t="str">
        <x:v>À qualifier par lieu</x:v>
      </x:c>
      <x:c r="J3876" t="str">
        <x:v>https://github.com/darknigthmare/deadwall-last-enclosure/blob/e28f46223e73105ab2c5d83f3d50b99b58ef53e6/codex-3000/addendum-1.58/PROGRAMMES_D.json</x:v>
      </x:c>
      <x:c r="K3876" t="str">
        <x:v>Source min 38,38 m ; max 38,38 m ; modèle 38 × 38 m ; niveaux 0. Détails dans catalogue-existant.json.</x:v>
      </x:c>
    </x:row>
    <x:row r="3877">
      <x:c r="A3877" t="str">
        <x:v>DW-3872</x:v>
      </x:c>
      <x:c r="B3877" t="str">
        <x:v>DW-3872</x:v>
      </x:c>
      <x:c r="C3877" t="str">
        <x:v>Parent indépendant 1.58</x:v>
      </x:c>
      <x:c r="D3877" t="str">
        <x:v>Services et petits ateliers</x:v>
      </x:c>
      <x:c r="E3877" t="str">
        <x:v>Centre des têtes de marquage routier</x:v>
      </x:c>
      <x:c r="F3877" t="n">
        <x:v>9</x:v>
      </x:c>
      <x:c r="G3877" t="n">
        <x:v>8</x:v>
      </x:c>
      <x:c r="H3877" t="n">
        <x:v>8</x:v>
      </x:c>
      <x:c r="I3877" t="str">
        <x:v>À qualifier par lieu</x:v>
      </x:c>
      <x:c r="J3877" t="str">
        <x:v>https://github.com/darknigthmare/deadwall-last-enclosure/blob/e28f46223e73105ab2c5d83f3d50b99b58ef53e6/codex-3000/addendum-1.58/PROGRAMMES_D.json</x:v>
      </x:c>
      <x:c r="K3877" t="str">
        <x:v>Source min 42,42 m ; max 42,42 m ; modèle 42 × 42 m ; niveaux 0. Détails dans catalogue-existant.json.</x:v>
      </x:c>
    </x:row>
    <x:row r="3878">
      <x:c r="A3878" t="str">
        <x:v>DW-3873</x:v>
      </x:c>
      <x:c r="B3878" t="str">
        <x:v>DW-3873</x:v>
      </x:c>
      <x:c r="C3878" t="str">
        <x:v>Parent indépendant 1.58</x:v>
      </x:c>
      <x:c r="D3878" t="str">
        <x:v>Services et petits ateliers</x:v>
      </x:c>
      <x:c r="E3878" t="str">
        <x:v>Atelier des saleuses de chaussée</x:v>
      </x:c>
      <x:c r="F3878" t="n">
        <x:v>9</x:v>
      </x:c>
      <x:c r="G3878" t="n">
        <x:v>8</x:v>
      </x:c>
      <x:c r="H3878" t="n">
        <x:v>8</x:v>
      </x:c>
      <x:c r="I3878" t="str">
        <x:v>À qualifier par lieu</x:v>
      </x:c>
      <x:c r="J3878" t="str">
        <x:v>https://github.com/darknigthmare/deadwall-last-enclosure/blob/e28f46223e73105ab2c5d83f3d50b99b58ef53e6/codex-3000/addendum-1.58/PROGRAMMES_D.json</x:v>
      </x:c>
      <x:c r="K3878" t="str">
        <x:v>Source min 46,46 m ; max 46,46 m ; modèle 46 × 46 m ; niveaux 0. Détails dans catalogue-existant.json.</x:v>
      </x:c>
    </x:row>
    <x:row r="3879">
      <x:c r="A3879" t="str">
        <x:v>DW-3874</x:v>
      </x:c>
      <x:c r="B3879" t="str">
        <x:v>DW-3874</x:v>
      </x:c>
      <x:c r="C3879" t="str">
        <x:v>Parent indépendant 1.58</x:v>
      </x:c>
      <x:c r="D3879" t="str">
        <x:v>Services et petits ateliers</x:v>
      </x:c>
      <x:c r="E3879" t="str">
        <x:v>Centre des buses de curage routier</x:v>
      </x:c>
      <x:c r="F3879" t="n">
        <x:v>9</x:v>
      </x:c>
      <x:c r="G3879" t="n">
        <x:v>8</x:v>
      </x:c>
      <x:c r="H3879" t="n">
        <x:v>8</x:v>
      </x:c>
      <x:c r="I3879" t="str">
        <x:v>À qualifier par lieu</x:v>
      </x:c>
      <x:c r="J3879" t="str">
        <x:v>https://github.com/darknigthmare/deadwall-last-enclosure/blob/e28f46223e73105ab2c5d83f3d50b99b58ef53e6/codex-3000/addendum-1.58/PROGRAMMES_D.json</x:v>
      </x:c>
      <x:c r="K3879" t="str">
        <x:v>Source min 38,38 m ; max 38,38 m ; modèle 38 × 38 m ; niveaux 0. Détails dans catalogue-existant.json.</x:v>
      </x:c>
    </x:row>
    <x:row r="3880">
      <x:c r="A3880" t="str">
        <x:v>DW-3875</x:v>
      </x:c>
      <x:c r="B3880" t="str">
        <x:v>DW-3875</x:v>
      </x:c>
      <x:c r="C3880" t="str">
        <x:v>Parent indépendant 1.58</x:v>
      </x:c>
      <x:c r="D3880" t="str">
        <x:v>Services et petits ateliers</x:v>
      </x:c>
      <x:c r="E3880" t="str">
        <x:v>Atelier des plaques de ralentisseur</x:v>
      </x:c>
      <x:c r="F3880" t="n">
        <x:v>9</x:v>
      </x:c>
      <x:c r="G3880" t="n">
        <x:v>8</x:v>
      </x:c>
      <x:c r="H3880" t="n">
        <x:v>8</x:v>
      </x:c>
      <x:c r="I3880" t="str">
        <x:v>À qualifier par lieu</x:v>
      </x:c>
      <x:c r="J3880" t="str">
        <x:v>https://github.com/darknigthmare/deadwall-last-enclosure/blob/e28f46223e73105ab2c5d83f3d50b99b58ef53e6/codex-3000/addendum-1.58/PROGRAMMES_D.json</x:v>
      </x:c>
      <x:c r="K3880" t="str">
        <x:v>Source min 42,42 m ; max 42,42 m ; modèle 42 × 42 m ; niveaux 0. Détails dans catalogue-existant.json.</x:v>
      </x:c>
    </x:row>
    <x:row r="3881">
      <x:c r="A3881" t="str">
        <x:v>DW-3876</x:v>
      </x:c>
      <x:c r="B3881" t="str">
        <x:v>DW-3876</x:v>
      </x:c>
      <x:c r="C3881" t="str">
        <x:v>Parent indépendant 1.58</x:v>
      </x:c>
      <x:c r="D3881" t="str">
        <x:v>Services et petits ateliers</x:v>
      </x:c>
      <x:c r="E3881" t="str">
        <x:v>Centre des abris de signalisation temporaire</x:v>
      </x:c>
      <x:c r="F3881" t="n">
        <x:v>9</x:v>
      </x:c>
      <x:c r="G3881" t="n">
        <x:v>8</x:v>
      </x:c>
      <x:c r="H3881" t="n">
        <x:v>8</x:v>
      </x:c>
      <x:c r="I3881" t="str">
        <x:v>À qualifier par lieu</x:v>
      </x:c>
      <x:c r="J3881" t="str">
        <x:v>https://github.com/darknigthmare/deadwall-last-enclosure/blob/e28f46223e73105ab2c5d83f3d50b99b58ef53e6/codex-3000/addendum-1.58/PROGRAMMES_D.json</x:v>
      </x:c>
      <x:c r="K3881" t="str">
        <x:v>Source min 46,46 m ; max 46,46 m ; modèle 46 × 46 m ; niveaux 0. Détails dans catalogue-existant.json.</x:v>
      </x:c>
    </x:row>
    <x:row r="3882">
      <x:c r="A3882" t="str">
        <x:v>DW-3877</x:v>
      </x:c>
      <x:c r="B3882" t="str">
        <x:v>DW-3877</x:v>
      </x:c>
      <x:c r="C3882" t="str">
        <x:v>Parent indépendant 1.58</x:v>
      </x:c>
      <x:c r="D3882" t="str">
        <x:v>Services et petits ateliers</x:v>
      </x:c>
      <x:c r="E3882" t="str">
        <x:v>Maison des équipements de comptage routier</x:v>
      </x:c>
      <x:c r="F3882" t="n">
        <x:v>9</x:v>
      </x:c>
      <x:c r="G3882" t="n">
        <x:v>8</x:v>
      </x:c>
      <x:c r="H3882" t="n">
        <x:v>8</x:v>
      </x:c>
      <x:c r="I3882" t="str">
        <x:v>À qualifier par lieu</x:v>
      </x:c>
      <x:c r="J3882" t="str">
        <x:v>https://github.com/darknigthmare/deadwall-last-enclosure/blob/e28f46223e73105ab2c5d83f3d50b99b58ef53e6/codex-3000/addendum-1.58/PROGRAMMES_D.json</x:v>
      </x:c>
      <x:c r="K3882" t="str">
        <x:v>Source min 38,38 m ; max 38,38 m ; modèle 38 × 38 m ; niveaux 0. Détails dans catalogue-existant.json.</x:v>
      </x:c>
    </x:row>
    <x:row r="3883">
      <x:c r="A3883" t="str">
        <x:v>DW-3878</x:v>
      </x:c>
      <x:c r="B3883" t="str">
        <x:v>DW-3878</x:v>
      </x:c>
      <x:c r="C3883" t="str">
        <x:v>Parent indépendant 1.58</x:v>
      </x:c>
      <x:c r="D3883" t="str">
        <x:v>Administration et communauté</x:v>
      </x:c>
      <x:c r="E3883" t="str">
        <x:v>Maison des plans de détour de chantier</x:v>
      </x:c>
      <x:c r="F3883" t="n">
        <x:v>9</x:v>
      </x:c>
      <x:c r="G3883" t="n">
        <x:v>8</x:v>
      </x:c>
      <x:c r="H3883" t="n">
        <x:v>8</x:v>
      </x:c>
      <x:c r="I3883" t="str">
        <x:v>À qualifier par lieu</x:v>
      </x:c>
      <x:c r="J3883" t="str">
        <x:v>https://github.com/darknigthmare/deadwall-last-enclosure/blob/e28f46223e73105ab2c5d83f3d50b99b58ef53e6/codex-3000/addendum-1.58/PROGRAMMES_D.json</x:v>
      </x:c>
      <x:c r="K3883" t="str">
        <x:v>Source min 42,42 m ; max 42,42 m ; modèle 42 × 42 m ; niveaux 0, 1. Détails dans catalogue-existant.json.</x:v>
      </x:c>
    </x:row>
    <x:row r="3884">
      <x:c r="A3884" t="str">
        <x:v>DW-3879</x:v>
      </x:c>
      <x:c r="B3884" t="str">
        <x:v>DW-3879</x:v>
      </x:c>
      <x:c r="C3884" t="str">
        <x:v>Parent indépendant 1.58</x:v>
      </x:c>
      <x:c r="D3884" t="str">
        <x:v>Administration et communauté</x:v>
      </x:c>
      <x:c r="E3884" t="str">
        <x:v>Centre des constats d'accident de flotte</x:v>
      </x:c>
      <x:c r="F3884" t="n">
        <x:v>9</x:v>
      </x:c>
      <x:c r="G3884" t="n">
        <x:v>8</x:v>
      </x:c>
      <x:c r="H3884" t="n">
        <x:v>8</x:v>
      </x:c>
      <x:c r="I3884" t="str">
        <x:v>À qualifier par lieu</x:v>
      </x:c>
      <x:c r="J3884" t="str">
        <x:v>https://github.com/darknigthmare/deadwall-last-enclosure/blob/e28f46223e73105ab2c5d83f3d50b99b58ef53e6/codex-3000/addendum-1.58/PROGRAMMES_D.json</x:v>
      </x:c>
      <x:c r="K3884" t="str">
        <x:v>Source min 46,46 m ; max 46,46 m ; modèle 46 × 46 m ; niveaux 0, 1. Détails dans catalogue-existant.json.</x:v>
      </x:c>
    </x:row>
    <x:row r="3885">
      <x:c r="A3885" t="str">
        <x:v>DW-3880</x:v>
      </x:c>
      <x:c r="B3885" t="str">
        <x:v>DW-3880</x:v>
      </x:c>
      <x:c r="C3885" t="str">
        <x:v>Parent indépendant 1.58</x:v>
      </x:c>
      <x:c r="D3885" t="str">
        <x:v>Administration et communauté</x:v>
      </x:c>
      <x:c r="E3885" t="str">
        <x:v>Maison des formations de chargement</x:v>
      </x:c>
      <x:c r="F3885" t="n">
        <x:v>9</x:v>
      </x:c>
      <x:c r="G3885" t="n">
        <x:v>8</x:v>
      </x:c>
      <x:c r="H3885" t="n">
        <x:v>8</x:v>
      </x:c>
      <x:c r="I3885" t="str">
        <x:v>À qualifier par lieu</x:v>
      </x:c>
      <x:c r="J3885" t="str">
        <x:v>https://github.com/darknigthmare/deadwall-last-enclosure/blob/e28f46223e73105ab2c5d83f3d50b99b58ef53e6/codex-3000/addendum-1.58/PROGRAMMES_D.json</x:v>
      </x:c>
      <x:c r="K3885" t="str">
        <x:v>Source min 38,38 m ; max 38,38 m ; modèle 38 × 38 m ; niveaux 0, 1. Détails dans catalogue-existant.json.</x:v>
      </x:c>
    </x:row>
    <x:row r="3886">
      <x:c r="A3886" t="str">
        <x:v>DW-3881</x:v>
      </x:c>
      <x:c r="B3886" t="str">
        <x:v>DW-3881</x:v>
      </x:c>
      <x:c r="C3886" t="str">
        <x:v>Parent indépendant 1.58</x:v>
      </x:c>
      <x:c r="D3886" t="str">
        <x:v>Administration et communauté</x:v>
      </x:c>
      <x:c r="E3886" t="str">
        <x:v>Centre de préparation des parcours accessibles</x:v>
      </x:c>
      <x:c r="F3886" t="n">
        <x:v>9</x:v>
      </x:c>
      <x:c r="G3886" t="n">
        <x:v>8</x:v>
      </x:c>
      <x:c r="H3886" t="n">
        <x:v>8</x:v>
      </x:c>
      <x:c r="I3886" t="str">
        <x:v>À qualifier par lieu</x:v>
      </x:c>
      <x:c r="J3886" t="str">
        <x:v>https://github.com/darknigthmare/deadwall-last-enclosure/blob/e28f46223e73105ab2c5d83f3d50b99b58ef53e6/codex-3000/addendum-1.58/PROGRAMMES_D.json</x:v>
      </x:c>
      <x:c r="K3886" t="str">
        <x:v>Source min 42,42 m ; max 42,42 m ; modèle 42 × 42 m ; niveaux 0, 1. Détails dans catalogue-existant.json.</x:v>
      </x:c>
    </x:row>
    <x:row r="3887">
      <x:c r="A3887" t="str">
        <x:v>DW-3882</x:v>
      </x:c>
      <x:c r="B3887" t="str">
        <x:v>DW-3882</x:v>
      </x:c>
      <x:c r="C3887" t="str">
        <x:v>Parent indépendant 1.58</x:v>
      </x:c>
      <x:c r="D3887" t="str">
        <x:v>Administration et communauté</x:v>
      </x:c>
      <x:c r="E3887" t="str">
        <x:v>Maison des autorisations de convoi exceptionnel</x:v>
      </x:c>
      <x:c r="F3887" t="n">
        <x:v>9</x:v>
      </x:c>
      <x:c r="G3887" t="n">
        <x:v>8</x:v>
      </x:c>
      <x:c r="H3887" t="n">
        <x:v>8</x:v>
      </x:c>
      <x:c r="I3887" t="str">
        <x:v>À qualifier par lieu</x:v>
      </x:c>
      <x:c r="J3887" t="str">
        <x:v>https://github.com/darknigthmare/deadwall-last-enclosure/blob/e28f46223e73105ab2c5d83f3d50b99b58ef53e6/codex-3000/addendum-1.58/PROGRAMMES_D.json</x:v>
      </x:c>
      <x:c r="K3887" t="str">
        <x:v>Source min 46,46 m ; max 46,46 m ; modèle 46 × 46 m ; niveaux 0, 1. Détails dans catalogue-existant.json.</x:v>
      </x:c>
    </x:row>
    <x:row r="3888">
      <x:c r="A3888" t="str">
        <x:v>DW-3883</x:v>
      </x:c>
      <x:c r="B3888" t="str">
        <x:v>DW-3883</x:v>
      </x:c>
      <x:c r="C3888" t="str">
        <x:v>Parent indépendant 1.58</x:v>
      </x:c>
      <x:c r="D3888" t="str">
        <x:v>Administration et communauté</x:v>
      </x:c>
      <x:c r="E3888" t="str">
        <x:v>Centre des contrôles de documents de flotte</x:v>
      </x:c>
      <x:c r="F3888" t="n">
        <x:v>9</x:v>
      </x:c>
      <x:c r="G3888" t="n">
        <x:v>8</x:v>
      </x:c>
      <x:c r="H3888" t="n">
        <x:v>8</x:v>
      </x:c>
      <x:c r="I3888" t="str">
        <x:v>À qualifier par lieu</x:v>
      </x:c>
      <x:c r="J3888" t="str">
        <x:v>https://github.com/darknigthmare/deadwall-last-enclosure/blob/e28f46223e73105ab2c5d83f3d50b99b58ef53e6/codex-3000/addendum-1.58/PROGRAMMES_D.json</x:v>
      </x:c>
      <x:c r="K3888" t="str">
        <x:v>Source min 38,38 m ; max 38,38 m ; modèle 38 × 38 m ; niveaux 0, 1. Détails dans catalogue-existant.json.</x:v>
      </x:c>
    </x:row>
    <x:row r="3889">
      <x:c r="A3889" t="str">
        <x:v>DW-3884</x:v>
      </x:c>
      <x:c r="B3889" t="str">
        <x:v>DW-3884</x:v>
      </x:c>
      <x:c r="C3889" t="str">
        <x:v>Parent indépendant 1.58</x:v>
      </x:c>
      <x:c r="D3889" t="str">
        <x:v>Administration et communauté</x:v>
      </x:c>
      <x:c r="E3889" t="str">
        <x:v>Maison des simulations de conduite sur table</x:v>
      </x:c>
      <x:c r="F3889" t="n">
        <x:v>9</x:v>
      </x:c>
      <x:c r="G3889" t="n">
        <x:v>8</x:v>
      </x:c>
      <x:c r="H3889" t="n">
        <x:v>8</x:v>
      </x:c>
      <x:c r="I3889" t="str">
        <x:v>À qualifier par lieu</x:v>
      </x:c>
      <x:c r="J3889" t="str">
        <x:v>https://github.com/darknigthmare/deadwall-last-enclosure/blob/e28f46223e73105ab2c5d83f3d50b99b58ef53e6/codex-3000/addendum-1.58/PROGRAMMES_D.json</x:v>
      </x:c>
      <x:c r="K3889" t="str">
        <x:v>Source min 42,42 m ; max 42,42 m ; modèle 42 × 42 m ; niveaux 0, 1. Détails dans catalogue-existant.json.</x:v>
      </x:c>
    </x:row>
    <x:row r="3890">
      <x:c r="A3890" t="str">
        <x:v>DW-3885</x:v>
      </x:c>
      <x:c r="B3890" t="str">
        <x:v>DW-3885</x:v>
      </x:c>
      <x:c r="C3890" t="str">
        <x:v>Parent indépendant 1.58</x:v>
      </x:c>
      <x:c r="D3890" t="str">
        <x:v>Administration et communauté</x:v>
      </x:c>
      <x:c r="E3890" t="str">
        <x:v>Centre des appels de dépannage routier</x:v>
      </x:c>
      <x:c r="F3890" t="n">
        <x:v>9</x:v>
      </x:c>
      <x:c r="G3890" t="n">
        <x:v>8</x:v>
      </x:c>
      <x:c r="H3890" t="n">
        <x:v>8</x:v>
      </x:c>
      <x:c r="I3890" t="str">
        <x:v>À qualifier par lieu</x:v>
      </x:c>
      <x:c r="J3890" t="str">
        <x:v>https://github.com/darknigthmare/deadwall-last-enclosure/blob/e28f46223e73105ab2c5d83f3d50b99b58ef53e6/codex-3000/addendum-1.58/PROGRAMMES_D.json</x:v>
      </x:c>
      <x:c r="K3890" t="str">
        <x:v>Source min 46,46 m ; max 46,46 m ; modèle 46 × 46 m ; niveaux 0, 1. Détails dans catalogue-existant.json.</x:v>
      </x:c>
    </x:row>
    <x:row r="3891">
      <x:c r="A3891" t="str">
        <x:v>DW-3886</x:v>
      </x:c>
      <x:c r="B3891" t="str">
        <x:v>DW-3886</x:v>
      </x:c>
      <x:c r="C3891" t="str">
        <x:v>Parent indépendant 1.58</x:v>
      </x:c>
      <x:c r="D3891" t="str">
        <x:v>Administration et communauté</x:v>
      </x:c>
      <x:c r="E3891" t="str">
        <x:v>Maison des garanties de transport de biens</x:v>
      </x:c>
      <x:c r="F3891" t="n">
        <x:v>9</x:v>
      </x:c>
      <x:c r="G3891" t="n">
        <x:v>8</x:v>
      </x:c>
      <x:c r="H3891" t="n">
        <x:v>8</x:v>
      </x:c>
      <x:c r="I3891" t="str">
        <x:v>À qualifier par lieu</x:v>
      </x:c>
      <x:c r="J3891" t="str">
        <x:v>https://github.com/darknigthmare/deadwall-last-enclosure/blob/e28f46223e73105ab2c5d83f3d50b99b58ef53e6/codex-3000/addendum-1.58/PROGRAMMES_D.json</x:v>
      </x:c>
      <x:c r="K3891" t="str">
        <x:v>Source min 38,38 m ; max 38,38 m ; modèle 38 × 38 m ; niveaux 0, 1. Détails dans catalogue-existant.json.</x:v>
      </x:c>
    </x:row>
    <x:row r="3892">
      <x:c r="A3892" t="str">
        <x:v>DW-3887</x:v>
      </x:c>
      <x:c r="B3892" t="str">
        <x:v>DW-3887</x:v>
      </x:c>
      <x:c r="C3892" t="str">
        <x:v>Parent indépendant 1.58</x:v>
      </x:c>
      <x:c r="D3892" t="str">
        <x:v>Administration et communauté</x:v>
      </x:c>
      <x:c r="E3892" t="str">
        <x:v>Centre des objets trouvés en transport</x:v>
      </x:c>
      <x:c r="F3892" t="n">
        <x:v>9</x:v>
      </x:c>
      <x:c r="G3892" t="n">
        <x:v>8</x:v>
      </x:c>
      <x:c r="H3892" t="n">
        <x:v>8</x:v>
      </x:c>
      <x:c r="I3892" t="str">
        <x:v>À qualifier par lieu</x:v>
      </x:c>
      <x:c r="J3892" t="str">
        <x:v>https://github.com/darknigthmare/deadwall-last-enclosure/blob/e28f46223e73105ab2c5d83f3d50b99b58ef53e6/codex-3000/addendum-1.58/PROGRAMMES_D.json</x:v>
      </x:c>
      <x:c r="K3892" t="str">
        <x:v>Source min 42,42 m ; max 42,42 m ; modèle 42 × 42 m ; niveaux 0, 1. Détails dans catalogue-existant.json.</x:v>
      </x:c>
    </x:row>
    <x:row r="3893">
      <x:c r="A3893" t="str">
        <x:v>DW-3888</x:v>
      </x:c>
      <x:c r="B3893" t="str">
        <x:v>DW-3888</x:v>
      </x:c>
      <x:c r="C3893" t="str">
        <x:v>Parent indépendant 1.58</x:v>
      </x:c>
      <x:c r="D3893" t="str">
        <x:v>Administration et communauté</x:v>
      </x:c>
      <x:c r="E3893" t="str">
        <x:v>Maison des cartes de parcours papier</x:v>
      </x:c>
      <x:c r="F3893" t="n">
        <x:v>9</x:v>
      </x:c>
      <x:c r="G3893" t="n">
        <x:v>8</x:v>
      </x:c>
      <x:c r="H3893" t="n">
        <x:v>8</x:v>
      </x:c>
      <x:c r="I3893" t="str">
        <x:v>À qualifier par lieu</x:v>
      </x:c>
      <x:c r="J3893" t="str">
        <x:v>https://github.com/darknigthmare/deadwall-last-enclosure/blob/e28f46223e73105ab2c5d83f3d50b99b58ef53e6/codex-3000/addendum-1.58/PROGRAMMES_D.json</x:v>
      </x:c>
      <x:c r="K3893" t="str">
        <x:v>Source min 46,46 m ; max 46,46 m ; modèle 46 × 46 m ; niveaux 0, 1. Détails dans catalogue-existant.json.</x:v>
      </x:c>
    </x:row>
    <x:row r="3894">
      <x:c r="A3894" t="str">
        <x:v>DW-3889</x:v>
      </x:c>
      <x:c r="B3894" t="str">
        <x:v>DW-3889</x:v>
      </x:c>
      <x:c r="C3894" t="str">
        <x:v>Parent indépendant 1.58</x:v>
      </x:c>
      <x:c r="D3894" t="str">
        <x:v>Administration et communauté</x:v>
      </x:c>
      <x:c r="E3894" t="str">
        <x:v>Centre des équipements de contrôle de gabarit</x:v>
      </x:c>
      <x:c r="F3894" t="n">
        <x:v>9</x:v>
      </x:c>
      <x:c r="G3894" t="n">
        <x:v>8</x:v>
      </x:c>
      <x:c r="H3894" t="n">
        <x:v>8</x:v>
      </x:c>
      <x:c r="I3894" t="str">
        <x:v>À qualifier par lieu</x:v>
      </x:c>
      <x:c r="J3894" t="str">
        <x:v>https://github.com/darknigthmare/deadwall-last-enclosure/blob/e28f46223e73105ab2c5d83f3d50b99b58ef53e6/codex-3000/addendum-1.58/PROGRAMMES_D.json</x:v>
      </x:c>
      <x:c r="K3894" t="str">
        <x:v>Source min 38,38 m ; max 38,38 m ; modèle 38 × 38 m ; niveaux 0, 1. Détails dans catalogue-existant.json.</x:v>
      </x:c>
    </x:row>
    <x:row r="3895">
      <x:c r="A3895" t="str">
        <x:v>DW-3890</x:v>
      </x:c>
      <x:c r="B3895" t="str">
        <x:v>DW-3890</x:v>
      </x:c>
      <x:c r="C3895" t="str">
        <x:v>Parent indépendant 1.58</x:v>
      </x:c>
      <x:c r="D3895" t="str">
        <x:v>Administration et communauté</x:v>
      </x:c>
      <x:c r="E3895" t="str">
        <x:v>Maison des exercices d'évacuation routière</x:v>
      </x:c>
      <x:c r="F3895" t="n">
        <x:v>9</x:v>
      </x:c>
      <x:c r="G3895" t="n">
        <x:v>8</x:v>
      </x:c>
      <x:c r="H3895" t="n">
        <x:v>8</x:v>
      </x:c>
      <x:c r="I3895" t="str">
        <x:v>À qualifier par lieu</x:v>
      </x:c>
      <x:c r="J3895" t="str">
        <x:v>https://github.com/darknigthmare/deadwall-last-enclosure/blob/e28f46223e73105ab2c5d83f3d50b99b58ef53e6/codex-3000/addendum-1.58/PROGRAMMES_D.json</x:v>
      </x:c>
      <x:c r="K3895" t="str">
        <x:v>Source min 42,42 m ; max 42,42 m ; modèle 42 × 42 m ; niveaux 0, 1. Détails dans catalogue-existant.json.</x:v>
      </x:c>
    </x:row>
    <x:row r="3896">
      <x:c r="A3896" t="str">
        <x:v>DW-3891</x:v>
      </x:c>
      <x:c r="B3896" t="str">
        <x:v>DW-3891</x:v>
      </x:c>
      <x:c r="C3896" t="str">
        <x:v>Parent indépendant 1.58</x:v>
      </x:c>
      <x:c r="D3896" t="str">
        <x:v>Secours et protection civile</x:v>
      </x:c>
      <x:c r="E3896" t="str">
        <x:v>Atelier des tuyaux de lutte contre le feu</x:v>
      </x:c>
      <x:c r="F3896" t="n">
        <x:v>9</x:v>
      </x:c>
      <x:c r="G3896" t="n">
        <x:v>8</x:v>
      </x:c>
      <x:c r="H3896" t="n">
        <x:v>8</x:v>
      </x:c>
      <x:c r="I3896" t="str">
        <x:v>À qualifier par lieu</x:v>
      </x:c>
      <x:c r="J3896" t="str">
        <x:v>https://github.com/darknigthmare/deadwall-last-enclosure/blob/e28f46223e73105ab2c5d83f3d50b99b58ef53e6/codex-3000/addendum-1.58/PROGRAMMES_D.json</x:v>
      </x:c>
      <x:c r="K3896" t="str">
        <x:v>Source min 44,44 m ; max 44,44 m ; modèle 44 × 44 m ; niveaux 0, 1. Détails dans catalogue-existant.json.</x:v>
      </x:c>
    </x:row>
    <x:row r="3897">
      <x:c r="A3897" t="str">
        <x:v>DW-3892</x:v>
      </x:c>
      <x:c r="B3897" t="str">
        <x:v>DW-3892</x:v>
      </x:c>
      <x:c r="C3897" t="str">
        <x:v>Parent indépendant 1.58</x:v>
      </x:c>
      <x:c r="D3897" t="str">
        <x:v>Secours et protection civile</x:v>
      </x:c>
      <x:c r="E3897" t="str">
        <x:v>Centre des appareils respiratoires de secours</x:v>
      </x:c>
      <x:c r="F3897" t="n">
        <x:v>9</x:v>
      </x:c>
      <x:c r="G3897" t="n">
        <x:v>8</x:v>
      </x:c>
      <x:c r="H3897" t="n">
        <x:v>8</x:v>
      </x:c>
      <x:c r="I3897" t="str">
        <x:v>À qualifier par lieu</x:v>
      </x:c>
      <x:c r="J3897" t="str">
        <x:v>https://github.com/darknigthmare/deadwall-last-enclosure/blob/e28f46223e73105ab2c5d83f3d50b99b58ef53e6/codex-3000/addendum-1.58/PROGRAMMES_D.json</x:v>
      </x:c>
      <x:c r="K3897" t="str">
        <x:v>Source min 36,36 m ; max 36,36 m ; modèle 36 × 36 m ; niveaux 0, 1. Détails dans catalogue-existant.json.</x:v>
      </x:c>
    </x:row>
    <x:row r="3898">
      <x:c r="A3898" t="str">
        <x:v>DW-3893</x:v>
      </x:c>
      <x:c r="B3898" t="str">
        <x:v>DW-3893</x:v>
      </x:c>
      <x:c r="C3898" t="str">
        <x:v>Parent indépendant 1.58</x:v>
      </x:c>
      <x:c r="D3898" t="str">
        <x:v>Secours et protection civile</x:v>
      </x:c>
      <x:c r="E3898" t="str">
        <x:v>Atelier des civières de portage</x:v>
      </x:c>
      <x:c r="F3898" t="n">
        <x:v>9</x:v>
      </x:c>
      <x:c r="G3898" t="n">
        <x:v>8</x:v>
      </x:c>
      <x:c r="H3898" t="n">
        <x:v>8</x:v>
      </x:c>
      <x:c r="I3898" t="str">
        <x:v>À qualifier par lieu</x:v>
      </x:c>
      <x:c r="J3898" t="str">
        <x:v>https://github.com/darknigthmare/deadwall-last-enclosure/blob/e28f46223e73105ab2c5d83f3d50b99b58ef53e6/codex-3000/addendum-1.58/PROGRAMMES_D.json</x:v>
      </x:c>
      <x:c r="K3898" t="str">
        <x:v>Source min 40,40 m ; max 40,40 m ; modèle 40 × 40 m ; niveaux 0, 1. Détails dans catalogue-existant.json.</x:v>
      </x:c>
    </x:row>
    <x:row r="3899">
      <x:c r="A3899" t="str">
        <x:v>DW-3894</x:v>
      </x:c>
      <x:c r="B3899" t="str">
        <x:v>DW-3894</x:v>
      </x:c>
      <x:c r="C3899" t="str">
        <x:v>Parent indépendant 1.58</x:v>
      </x:c>
      <x:c r="D3899" t="str">
        <x:v>Secours et protection civile</x:v>
      </x:c>
      <x:c r="E3899" t="str">
        <x:v>Centre des échelles de secours démontées</x:v>
      </x:c>
      <x:c r="F3899" t="n">
        <x:v>9</x:v>
      </x:c>
      <x:c r="G3899" t="n">
        <x:v>8</x:v>
      </x:c>
      <x:c r="H3899" t="n">
        <x:v>8</x:v>
      </x:c>
      <x:c r="I3899" t="str">
        <x:v>À qualifier par lieu</x:v>
      </x:c>
      <x:c r="J3899" t="str">
        <x:v>https://github.com/darknigthmare/deadwall-last-enclosure/blob/e28f46223e73105ab2c5d83f3d50b99b58ef53e6/codex-3000/addendum-1.58/PROGRAMMES_D.json</x:v>
      </x:c>
      <x:c r="K3899" t="str">
        <x:v>Source min 44,44 m ; max 44,44 m ; modèle 44 × 44 m ; niveaux 0, 1. Détails dans catalogue-existant.json.</x:v>
      </x:c>
    </x:row>
    <x:row r="3900">
      <x:c r="A3900" t="str">
        <x:v>DW-3895</x:v>
      </x:c>
      <x:c r="B3900" t="str">
        <x:v>DW-3895</x:v>
      </x:c>
      <x:c r="C3900" t="str">
        <x:v>Parent indépendant 1.58</x:v>
      </x:c>
      <x:c r="D3900" t="str">
        <x:v>Secours et protection civile</x:v>
      </x:c>
      <x:c r="E3900" t="str">
        <x:v>Atelier des treuils de récupération</x:v>
      </x:c>
      <x:c r="F3900" t="n">
        <x:v>9</x:v>
      </x:c>
      <x:c r="G3900" t="n">
        <x:v>8</x:v>
      </x:c>
      <x:c r="H3900" t="n">
        <x:v>8</x:v>
      </x:c>
      <x:c r="I3900" t="str">
        <x:v>À qualifier par lieu</x:v>
      </x:c>
      <x:c r="J3900" t="str">
        <x:v>https://github.com/darknigthmare/deadwall-last-enclosure/blob/e28f46223e73105ab2c5d83f3d50b99b58ef53e6/codex-3000/addendum-1.58/PROGRAMMES_D.json</x:v>
      </x:c>
      <x:c r="K3900" t="str">
        <x:v>Source min 36,36 m ; max 36,36 m ; modèle 36 × 36 m ; niveaux 0, 1. Détails dans catalogue-existant.json.</x:v>
      </x:c>
    </x:row>
    <x:row r="3901">
      <x:c r="A3901" t="str">
        <x:v>DW-3896</x:v>
      </x:c>
      <x:c r="B3901" t="str">
        <x:v>DW-3896</x:v>
      </x:c>
      <x:c r="C3901" t="str">
        <x:v>Parent indépendant 1.58</x:v>
      </x:c>
      <x:c r="D3901" t="str">
        <x:v>Secours et protection civile</x:v>
      </x:c>
      <x:c r="E3901" t="str">
        <x:v>Centre des coussins de levage</x:v>
      </x:c>
      <x:c r="F3901" t="n">
        <x:v>9</x:v>
      </x:c>
      <x:c r="G3901" t="n">
        <x:v>8</x:v>
      </x:c>
      <x:c r="H3901" t="n">
        <x:v>8</x:v>
      </x:c>
      <x:c r="I3901" t="str">
        <x:v>À qualifier par lieu</x:v>
      </x:c>
      <x:c r="J3901" t="str">
        <x:v>https://github.com/darknigthmare/deadwall-last-enclosure/blob/e28f46223e73105ab2c5d83f3d50b99b58ef53e6/codex-3000/addendum-1.58/PROGRAMMES_D.json</x:v>
      </x:c>
      <x:c r="K3901" t="str">
        <x:v>Source min 40,40 m ; max 40,40 m ; modèle 40 × 40 m ; niveaux 0, 1. Détails dans catalogue-existant.json.</x:v>
      </x:c>
    </x:row>
    <x:row r="3902">
      <x:c r="A3902" t="str">
        <x:v>DW-3897</x:v>
      </x:c>
      <x:c r="B3902" t="str">
        <x:v>DW-3897</x:v>
      </x:c>
      <x:c r="C3902" t="str">
        <x:v>Parent indépendant 1.58</x:v>
      </x:c>
      <x:c r="D3902" t="str">
        <x:v>Secours et protection civile</x:v>
      </x:c>
      <x:c r="E3902" t="str">
        <x:v>Atelier des pinces de désincarcération</x:v>
      </x:c>
      <x:c r="F3902" t="n">
        <x:v>9</x:v>
      </x:c>
      <x:c r="G3902" t="n">
        <x:v>8</x:v>
      </x:c>
      <x:c r="H3902" t="n">
        <x:v>8</x:v>
      </x:c>
      <x:c r="I3902" t="str">
        <x:v>À qualifier par lieu</x:v>
      </x:c>
      <x:c r="J3902" t="str">
        <x:v>https://github.com/darknigthmare/deadwall-last-enclosure/blob/e28f46223e73105ab2c5d83f3d50b99b58ef53e6/codex-3000/addendum-1.58/PROGRAMMES_D.json</x:v>
      </x:c>
      <x:c r="K3902" t="str">
        <x:v>Source min 44,44 m ; max 44,44 m ; modèle 44 × 44 m ; niveaux 0, 1. Détails dans catalogue-existant.json.</x:v>
      </x:c>
    </x:row>
    <x:row r="3903">
      <x:c r="A3903" t="str">
        <x:v>DW-3898</x:v>
      </x:c>
      <x:c r="B3903" t="str">
        <x:v>DW-3898</x:v>
      </x:c>
      <x:c r="C3903" t="str">
        <x:v>Parent indépendant 1.58</x:v>
      </x:c>
      <x:c r="D3903" t="str">
        <x:v>Secours et protection civile</x:v>
      </x:c>
      <x:c r="E3903" t="str">
        <x:v>Centre des tronçonneuses de secours déposées</x:v>
      </x:c>
      <x:c r="F3903" t="n">
        <x:v>9</x:v>
      </x:c>
      <x:c r="G3903" t="n">
        <x:v>8</x:v>
      </x:c>
      <x:c r="H3903" t="n">
        <x:v>8</x:v>
      </x:c>
      <x:c r="I3903" t="str">
        <x:v>À qualifier par lieu</x:v>
      </x:c>
      <x:c r="J3903" t="str">
        <x:v>https://github.com/darknigthmare/deadwall-last-enclosure/blob/e28f46223e73105ab2c5d83f3d50b99b58ef53e6/codex-3000/addendum-1.58/PROGRAMMES_D.json</x:v>
      </x:c>
      <x:c r="K3903" t="str">
        <x:v>Source min 36,36 m ; max 36,36 m ; modèle 36 × 36 m ; niveaux 0, 1. Détails dans catalogue-existant.json.</x:v>
      </x:c>
    </x:row>
    <x:row r="3904">
      <x:c r="A3904" t="str">
        <x:v>DW-3899</x:v>
      </x:c>
      <x:c r="B3904" t="str">
        <x:v>DW-3899</x:v>
      </x:c>
      <x:c r="C3904" t="str">
        <x:v>Parent indépendant 1.58</x:v>
      </x:c>
      <x:c r="D3904" t="str">
        <x:v>Secours et protection civile</x:v>
      </x:c>
      <x:c r="E3904" t="str">
        <x:v>Atelier des projecteurs d'intervention</x:v>
      </x:c>
      <x:c r="F3904" t="n">
        <x:v>9</x:v>
      </x:c>
      <x:c r="G3904" t="n">
        <x:v>8</x:v>
      </x:c>
      <x:c r="H3904" t="n">
        <x:v>8</x:v>
      </x:c>
      <x:c r="I3904" t="str">
        <x:v>À qualifier par lieu</x:v>
      </x:c>
      <x:c r="J3904" t="str">
        <x:v>https://github.com/darknigthmare/deadwall-last-enclosure/blob/e28f46223e73105ab2c5d83f3d50b99b58ef53e6/codex-3000/addendum-1.58/PROGRAMMES_D.json</x:v>
      </x:c>
      <x:c r="K3904" t="str">
        <x:v>Source min 40,40 m ; max 40,40 m ; modèle 40 × 40 m ; niveaux 0, 1. Détails dans catalogue-existant.json.</x:v>
      </x:c>
    </x:row>
    <x:row r="3905">
      <x:c r="A3905" t="str">
        <x:v>DW-3900</x:v>
      </x:c>
      <x:c r="B3905" t="str">
        <x:v>DW-3900</x:v>
      </x:c>
      <x:c r="C3905" t="str">
        <x:v>Parent indépendant 1.58</x:v>
      </x:c>
      <x:c r="D3905" t="str">
        <x:v>Secours et protection civile</x:v>
      </x:c>
      <x:c r="E3905" t="str">
        <x:v>Centre des pompes d'épuisement déposées</x:v>
      </x:c>
      <x:c r="F3905" t="n">
        <x:v>9</x:v>
      </x:c>
      <x:c r="G3905" t="n">
        <x:v>8</x:v>
      </x:c>
      <x:c r="H3905" t="n">
        <x:v>8</x:v>
      </x:c>
      <x:c r="I3905" t="str">
        <x:v>À qualifier par lieu</x:v>
      </x:c>
      <x:c r="J3905" t="str">
        <x:v>https://github.com/darknigthmare/deadwall-last-enclosure/blob/e28f46223e73105ab2c5d83f3d50b99b58ef53e6/codex-3000/addendum-1.58/PROGRAMMES_D.json</x:v>
      </x:c>
      <x:c r="K3905" t="str">
        <x:v>Source min 44,44 m ; max 44,44 m ; modèle 44 × 44 m ; niveaux 0, 1. Détails dans catalogue-existant.json.</x:v>
      </x:c>
    </x:row>
    <x:row r="3906">
      <x:c r="A3906" t="str">
        <x:v>DW-3901</x:v>
      </x:c>
      <x:c r="B3906" t="str">
        <x:v>DW-3901</x:v>
      </x:c>
      <x:c r="C3906" t="str">
        <x:v>Parent indépendant 1.58</x:v>
      </x:c>
      <x:c r="D3906" t="str">
        <x:v>Secours et protection civile</x:v>
      </x:c>
      <x:c r="E3906" t="str">
        <x:v>Atelier des détecteurs portables de secours</x:v>
      </x:c>
      <x:c r="F3906" t="n">
        <x:v>9</x:v>
      </x:c>
      <x:c r="G3906" t="n">
        <x:v>8</x:v>
      </x:c>
      <x:c r="H3906" t="n">
        <x:v>8</x:v>
      </x:c>
      <x:c r="I3906" t="str">
        <x:v>À qualifier par lieu</x:v>
      </x:c>
      <x:c r="J3906" t="str">
        <x:v>https://github.com/darknigthmare/deadwall-last-enclosure/blob/e28f46223e73105ab2c5d83f3d50b99b58ef53e6/codex-3000/addendum-1.58/PROGRAMMES_D.json</x:v>
      </x:c>
      <x:c r="K3906" t="str">
        <x:v>Source min 36,36 m ; max 36,36 m ; modèle 36 × 36 m ; niveaux 0, 1. Détails dans catalogue-existant.json.</x:v>
      </x:c>
    </x:row>
    <x:row r="3907">
      <x:c r="A3907" t="str">
        <x:v>DW-3902</x:v>
      </x:c>
      <x:c r="B3907" t="str">
        <x:v>DW-3902</x:v>
      </x:c>
      <x:c r="C3907" t="str">
        <x:v>Parent indépendant 1.58</x:v>
      </x:c>
      <x:c r="D3907" t="str">
        <x:v>Secours et protection civile</x:v>
      </x:c>
      <x:c r="E3907" t="str">
        <x:v>Centre des tenues de protection d'intervention</x:v>
      </x:c>
      <x:c r="F3907" t="n">
        <x:v>9</x:v>
      </x:c>
      <x:c r="G3907" t="n">
        <x:v>8</x:v>
      </x:c>
      <x:c r="H3907" t="n">
        <x:v>8</x:v>
      </x:c>
      <x:c r="I3907" t="str">
        <x:v>À qualifier par lieu</x:v>
      </x:c>
      <x:c r="J3907" t="str">
        <x:v>https://github.com/darknigthmare/deadwall-last-enclosure/blob/e28f46223e73105ab2c5d83f3d50b99b58ef53e6/codex-3000/addendum-1.58/PROGRAMMES_D.json</x:v>
      </x:c>
      <x:c r="K3907" t="str">
        <x:v>Source min 40,40 m ; max 40,40 m ; modèle 40 × 40 m ; niveaux 0, 1. Détails dans catalogue-existant.json.</x:v>
      </x:c>
    </x:row>
    <x:row r="3908">
      <x:c r="A3908" t="str">
        <x:v>DW-3903</x:v>
      </x:c>
      <x:c r="B3908" t="str">
        <x:v>DW-3903</x:v>
      </x:c>
      <x:c r="C3908" t="str">
        <x:v>Parent indépendant 1.58</x:v>
      </x:c>
      <x:c r="D3908" t="str">
        <x:v>Secours et protection civile</x:v>
      </x:c>
      <x:c r="E3908" t="str">
        <x:v>Atelier des casques de secours</x:v>
      </x:c>
      <x:c r="F3908" t="n">
        <x:v>9</x:v>
      </x:c>
      <x:c r="G3908" t="n">
        <x:v>8</x:v>
      </x:c>
      <x:c r="H3908" t="n">
        <x:v>8</x:v>
      </x:c>
      <x:c r="I3908" t="str">
        <x:v>À qualifier par lieu</x:v>
      </x:c>
      <x:c r="J3908" t="str">
        <x:v>https://github.com/darknigthmare/deadwall-last-enclosure/blob/e28f46223e73105ab2c5d83f3d50b99b58ef53e6/codex-3000/addendum-1.58/PROGRAMMES_D.json</x:v>
      </x:c>
      <x:c r="K3908" t="str">
        <x:v>Source min 44,44 m ; max 44,44 m ; modèle 44 × 44 m ; niveaux 0, 1. Détails dans catalogue-existant.json.</x:v>
      </x:c>
    </x:row>
    <x:row r="3909">
      <x:c r="A3909" t="str">
        <x:v>DW-3904</x:v>
      </x:c>
      <x:c r="B3909" t="str">
        <x:v>DW-3904</x:v>
      </x:c>
      <x:c r="C3909" t="str">
        <x:v>Parent indépendant 1.58</x:v>
      </x:c>
      <x:c r="D3909" t="str">
        <x:v>Secours et protection civile</x:v>
      </x:c>
      <x:c r="E3909" t="str">
        <x:v>Centre des bouées de sauvetage stockées</x:v>
      </x:c>
      <x:c r="F3909" t="n">
        <x:v>9</x:v>
      </x:c>
      <x:c r="G3909" t="n">
        <x:v>8</x:v>
      </x:c>
      <x:c r="H3909" t="n">
        <x:v>8</x:v>
      </x:c>
      <x:c r="I3909" t="str">
        <x:v>À qualifier par lieu</x:v>
      </x:c>
      <x:c r="J3909" t="str">
        <x:v>https://github.com/darknigthmare/deadwall-last-enclosure/blob/e28f46223e73105ab2c5d83f3d50b99b58ef53e6/codex-3000/addendum-1.58/PROGRAMMES_D.json</x:v>
      </x:c>
      <x:c r="K3909" t="str">
        <x:v>Source min 36,36 m ; max 36,36 m ; modèle 36 × 36 m ; niveaux 0, 1. Détails dans catalogue-existant.json.</x:v>
      </x:c>
    </x:row>
    <x:row r="3910">
      <x:c r="A3910" t="str">
        <x:v>DW-3905</x:v>
      </x:c>
      <x:c r="B3910" t="str">
        <x:v>DW-3905</x:v>
      </x:c>
      <x:c r="C3910" t="str">
        <x:v>Parent indépendant 1.58</x:v>
      </x:c>
      <x:c r="D3910" t="str">
        <x:v>Secours et protection civile</x:v>
      </x:c>
      <x:c r="E3910" t="str">
        <x:v>Atelier des brancards pliants</x:v>
      </x:c>
      <x:c r="F3910" t="n">
        <x:v>9</x:v>
      </x:c>
      <x:c r="G3910" t="n">
        <x:v>8</x:v>
      </x:c>
      <x:c r="H3910" t="n">
        <x:v>8</x:v>
      </x:c>
      <x:c r="I3910" t="str">
        <x:v>À qualifier par lieu</x:v>
      </x:c>
      <x:c r="J3910" t="str">
        <x:v>https://github.com/darknigthmare/deadwall-last-enclosure/blob/e28f46223e73105ab2c5d83f3d50b99b58ef53e6/codex-3000/addendum-1.58/PROGRAMMES_D.json</x:v>
      </x:c>
      <x:c r="K3910" t="str">
        <x:v>Source min 40,40 m ; max 40,40 m ; modèle 40 × 40 m ; niveaux 0, 1. Détails dans catalogue-existant.json.</x:v>
      </x:c>
    </x:row>
    <x:row r="3911">
      <x:c r="A3911" t="str">
        <x:v>DW-3906</x:v>
      </x:c>
      <x:c r="B3911" t="str">
        <x:v>DW-3906</x:v>
      </x:c>
      <x:c r="C3911" t="str">
        <x:v>Parent indépendant 1.58</x:v>
      </x:c>
      <x:c r="D3911" t="str">
        <x:v>Secours et protection civile</x:v>
      </x:c>
      <x:c r="E3911" t="str">
        <x:v>Maison des exercices de recherche terrestre</x:v>
      </x:c>
      <x:c r="F3911" t="n">
        <x:v>9</x:v>
      </x:c>
      <x:c r="G3911" t="n">
        <x:v>8</x:v>
      </x:c>
      <x:c r="H3911" t="n">
        <x:v>8</x:v>
      </x:c>
      <x:c r="I3911" t="str">
        <x:v>À qualifier par lieu</x:v>
      </x:c>
      <x:c r="J3911" t="str">
        <x:v>https://github.com/darknigthmare/deadwall-last-enclosure/blob/e28f46223e73105ab2c5d83f3d50b99b58ef53e6/codex-3000/addendum-1.58/PROGRAMMES_D.json</x:v>
      </x:c>
      <x:c r="K3911" t="str">
        <x:v>Source min 44,44 m ; max 44,44 m ; modèle 44 × 44 m ; niveaux 0, 1. Détails dans catalogue-existant.json.</x:v>
      </x:c>
    </x:row>
    <x:row r="3912">
      <x:c r="A3912" t="str">
        <x:v>DW-3907</x:v>
      </x:c>
      <x:c r="B3912" t="str">
        <x:v>DW-3907</x:v>
      </x:c>
      <x:c r="C3912" t="str">
        <x:v>Parent indépendant 1.58</x:v>
      </x:c>
      <x:c r="D3912" t="str">
        <x:v>Secours et protection civile</x:v>
      </x:c>
      <x:c r="E3912" t="str">
        <x:v>Centre de préparation des équipes de déblaiement</x:v>
      </x:c>
      <x:c r="F3912" t="n">
        <x:v>9</x:v>
      </x:c>
      <x:c r="G3912" t="n">
        <x:v>8</x:v>
      </x:c>
      <x:c r="H3912" t="n">
        <x:v>8</x:v>
      </x:c>
      <x:c r="I3912" t="str">
        <x:v>À qualifier par lieu</x:v>
      </x:c>
      <x:c r="J3912" t="str">
        <x:v>https://github.com/darknigthmare/deadwall-last-enclosure/blob/e28f46223e73105ab2c5d83f3d50b99b58ef53e6/codex-3000/addendum-1.58/PROGRAMMES_D.json</x:v>
      </x:c>
      <x:c r="K3912" t="str">
        <x:v>Source min 36,36 m ; max 36,36 m ; modèle 36 × 36 m ; niveaux 0, 1. Détails dans catalogue-existant.json.</x:v>
      </x:c>
    </x:row>
    <x:row r="3913">
      <x:c r="A3913" t="str">
        <x:v>DW-3908</x:v>
      </x:c>
      <x:c r="B3913" t="str">
        <x:v>DW-3908</x:v>
      </x:c>
      <x:c r="C3913" t="str">
        <x:v>Parent indépendant 1.58</x:v>
      </x:c>
      <x:c r="D3913" t="str">
        <x:v>Secours et protection civile</x:v>
      </x:c>
      <x:c r="E3913" t="str">
        <x:v>Maison des exercices de feu domestique</x:v>
      </x:c>
      <x:c r="F3913" t="n">
        <x:v>9</x:v>
      </x:c>
      <x:c r="G3913" t="n">
        <x:v>8</x:v>
      </x:c>
      <x:c r="H3913" t="n">
        <x:v>8</x:v>
      </x:c>
      <x:c r="I3913" t="str">
        <x:v>À qualifier par lieu</x:v>
      </x:c>
      <x:c r="J3913" t="str">
        <x:v>https://github.com/darknigthmare/deadwall-last-enclosure/blob/e28f46223e73105ab2c5d83f3d50b99b58ef53e6/codex-3000/addendum-1.58/PROGRAMMES_D.json</x:v>
      </x:c>
      <x:c r="K3913" t="str">
        <x:v>Source min 40,40 m ; max 40,40 m ; modèle 40 × 40 m ; niveaux 0, 1. Détails dans catalogue-existant.json.</x:v>
      </x:c>
    </x:row>
    <x:row r="3914">
      <x:c r="A3914" t="str">
        <x:v>DW-3909</x:v>
      </x:c>
      <x:c r="B3914" t="str">
        <x:v>DW-3909</x:v>
      </x:c>
      <x:c r="C3914" t="str">
        <x:v>Parent indépendant 1.58</x:v>
      </x:c>
      <x:c r="D3914" t="str">
        <x:v>Secours et protection civile</x:v>
      </x:c>
      <x:c r="E3914" t="str">
        <x:v>Centre de préparation des secours en hauteur</x:v>
      </x:c>
      <x:c r="F3914" t="n">
        <x:v>9</x:v>
      </x:c>
      <x:c r="G3914" t="n">
        <x:v>8</x:v>
      </x:c>
      <x:c r="H3914" t="n">
        <x:v>8</x:v>
      </x:c>
      <x:c r="I3914" t="str">
        <x:v>À qualifier par lieu</x:v>
      </x:c>
      <x:c r="J3914" t="str">
        <x:v>https://github.com/darknigthmare/deadwall-last-enclosure/blob/e28f46223e73105ab2c5d83f3d50b99b58ef53e6/codex-3000/addendum-1.58/PROGRAMMES_D.json</x:v>
      </x:c>
      <x:c r="K3914" t="str">
        <x:v>Source min 44,44 m ; max 44,44 m ; modèle 44 × 44 m ; niveaux 0, 1. Détails dans catalogue-existant.json.</x:v>
      </x:c>
    </x:row>
    <x:row r="3915">
      <x:c r="A3915" t="str">
        <x:v>DW-3910</x:v>
      </x:c>
      <x:c r="B3915" t="str">
        <x:v>DW-3910</x:v>
      </x:c>
      <x:c r="C3915" t="str">
        <x:v>Parent indépendant 1.58</x:v>
      </x:c>
      <x:c r="D3915" t="str">
        <x:v>Secours et protection civile</x:v>
      </x:c>
      <x:c r="E3915" t="str">
        <x:v>Maison des exercices de panne collective</x:v>
      </x:c>
      <x:c r="F3915" t="n">
        <x:v>9</x:v>
      </x:c>
      <x:c r="G3915" t="n">
        <x:v>8</x:v>
      </x:c>
      <x:c r="H3915" t="n">
        <x:v>8</x:v>
      </x:c>
      <x:c r="I3915" t="str">
        <x:v>À qualifier par lieu</x:v>
      </x:c>
      <x:c r="J3915" t="str">
        <x:v>https://github.com/darknigthmare/deadwall-last-enclosure/blob/e28f46223e73105ab2c5d83f3d50b99b58ef53e6/codex-3000/addendum-1.58/PROGRAMMES_D.json</x:v>
      </x:c>
      <x:c r="K3915" t="str">
        <x:v>Source min 36,36 m ; max 36,36 m ; modèle 36 × 36 m ; niveaux 0, 1. Détails dans catalogue-existant.json.</x:v>
      </x:c>
    </x:row>
    <x:row r="3916">
      <x:c r="A3916" t="str">
        <x:v>DW-3911</x:v>
      </x:c>
      <x:c r="B3916" t="str">
        <x:v>DW-3911</x:v>
      </x:c>
      <x:c r="C3916" t="str">
        <x:v>Parent indépendant 1.58</x:v>
      </x:c>
      <x:c r="D3916" t="str">
        <x:v>Secours et protection civile</x:v>
      </x:c>
      <x:c r="E3916" t="str">
        <x:v>Centre de préparation des recherches en forêt</x:v>
      </x:c>
      <x:c r="F3916" t="n">
        <x:v>9</x:v>
      </x:c>
      <x:c r="G3916" t="n">
        <x:v>8</x:v>
      </x:c>
      <x:c r="H3916" t="n">
        <x:v>8</x:v>
      </x:c>
      <x:c r="I3916" t="str">
        <x:v>À qualifier par lieu</x:v>
      </x:c>
      <x:c r="J3916" t="str">
        <x:v>https://github.com/darknigthmare/deadwall-last-enclosure/blob/e28f46223e73105ab2c5d83f3d50b99b58ef53e6/codex-3000/addendum-1.58/PROGRAMMES_D.json</x:v>
      </x:c>
      <x:c r="K3916" t="str">
        <x:v>Source min 40,40 m ; max 40,40 m ; modèle 40 × 40 m ; niveaux 0, 1. Détails dans catalogue-existant.json.</x:v>
      </x:c>
    </x:row>
    <x:row r="3917">
      <x:c r="A3917" t="str">
        <x:v>DW-3912</x:v>
      </x:c>
      <x:c r="B3917" t="str">
        <x:v>DW-3912</x:v>
      </x:c>
      <x:c r="C3917" t="str">
        <x:v>Parent indépendant 1.58</x:v>
      </x:c>
      <x:c r="D3917" t="str">
        <x:v>Secours et protection civile</x:v>
      </x:c>
      <x:c r="E3917" t="str">
        <x:v>Maison des exercices de secours mécanique</x:v>
      </x:c>
      <x:c r="F3917" t="n">
        <x:v>9</x:v>
      </x:c>
      <x:c r="G3917" t="n">
        <x:v>8</x:v>
      </x:c>
      <x:c r="H3917" t="n">
        <x:v>8</x:v>
      </x:c>
      <x:c r="I3917" t="str">
        <x:v>À qualifier par lieu</x:v>
      </x:c>
      <x:c r="J3917" t="str">
        <x:v>https://github.com/darknigthmare/deadwall-last-enclosure/blob/e28f46223e73105ab2c5d83f3d50b99b58ef53e6/codex-3000/addendum-1.58/PROGRAMMES_D.json</x:v>
      </x:c>
      <x:c r="K3917" t="str">
        <x:v>Source min 44,44 m ; max 44,44 m ; modèle 44 × 44 m ; niveaux 0, 1. Détails dans catalogue-existant.json.</x:v>
      </x:c>
    </x:row>
    <x:row r="3918">
      <x:c r="A3918" t="str">
        <x:v>DW-3913</x:v>
      </x:c>
      <x:c r="B3918" t="str">
        <x:v>DW-3913</x:v>
      </x:c>
      <x:c r="C3918" t="str">
        <x:v>Parent indépendant 1.58</x:v>
      </x:c>
      <x:c r="D3918" t="str">
        <x:v>Secours et protection civile</x:v>
      </x:c>
      <x:c r="E3918" t="str">
        <x:v>Centre de préparation des secours routiers</x:v>
      </x:c>
      <x:c r="F3918" t="n">
        <x:v>9</x:v>
      </x:c>
      <x:c r="G3918" t="n">
        <x:v>8</x:v>
      </x:c>
      <x:c r="H3918" t="n">
        <x:v>8</x:v>
      </x:c>
      <x:c r="I3918" t="str">
        <x:v>À qualifier par lieu</x:v>
      </x:c>
      <x:c r="J3918" t="str">
        <x:v>https://github.com/darknigthmare/deadwall-last-enclosure/blob/e28f46223e73105ab2c5d83f3d50b99b58ef53e6/codex-3000/addendum-1.58/PROGRAMMES_D.json</x:v>
      </x:c>
      <x:c r="K3918" t="str">
        <x:v>Source min 36,36 m ; max 36,36 m ; modèle 36 × 36 m ; niveaux 0, 1. Détails dans catalogue-existant.json.</x:v>
      </x:c>
    </x:row>
    <x:row r="3919">
      <x:c r="A3919" t="str">
        <x:v>DW-3914</x:v>
      </x:c>
      <x:c r="B3919" t="str">
        <x:v>DW-3914</x:v>
      </x:c>
      <x:c r="C3919" t="str">
        <x:v>Parent indépendant 1.58</x:v>
      </x:c>
      <x:c r="D3919" t="str">
        <x:v>Secours et protection civile</x:v>
      </x:c>
      <x:c r="E3919" t="str">
        <x:v>Maison des exercices de rupture de canalisation</x:v>
      </x:c>
      <x:c r="F3919" t="n">
        <x:v>9</x:v>
      </x:c>
      <x:c r="G3919" t="n">
        <x:v>8</x:v>
      </x:c>
      <x:c r="H3919" t="n">
        <x:v>8</x:v>
      </x:c>
      <x:c r="I3919" t="str">
        <x:v>À qualifier par lieu</x:v>
      </x:c>
      <x:c r="J3919" t="str">
        <x:v>https://github.com/darknigthmare/deadwall-last-enclosure/blob/e28f46223e73105ab2c5d83f3d50b99b58ef53e6/codex-3000/addendum-1.58/PROGRAMMES_D.json</x:v>
      </x:c>
      <x:c r="K3919" t="str">
        <x:v>Source min 40,40 m ; max 40,40 m ; modèle 40 × 40 m ; niveaux 0, 1. Détails dans catalogue-existant.json.</x:v>
      </x:c>
    </x:row>
    <x:row r="3920">
      <x:c r="A3920" t="str">
        <x:v>DW-3915</x:v>
      </x:c>
      <x:c r="B3920" t="str">
        <x:v>DW-3915</x:v>
      </x:c>
      <x:c r="C3920" t="str">
        <x:v>Parent indépendant 1.58</x:v>
      </x:c>
      <x:c r="D3920" t="str">
        <x:v>Secours et protection civile</x:v>
      </x:c>
      <x:c r="E3920" t="str">
        <x:v>Centre de préparation des interventions de tempête</x:v>
      </x:c>
      <x:c r="F3920" t="n">
        <x:v>9</x:v>
      </x:c>
      <x:c r="G3920" t="n">
        <x:v>8</x:v>
      </x:c>
      <x:c r="H3920" t="n">
        <x:v>8</x:v>
      </x:c>
      <x:c r="I3920" t="str">
        <x:v>À qualifier par lieu</x:v>
      </x:c>
      <x:c r="J3920" t="str">
        <x:v>https://github.com/darknigthmare/deadwall-last-enclosure/blob/e28f46223e73105ab2c5d83f3d50b99b58ef53e6/codex-3000/addendum-1.58/PROGRAMMES_D.json</x:v>
      </x:c>
      <x:c r="K3920" t="str">
        <x:v>Source min 44,44 m ; max 44,44 m ; modèle 44 × 44 m ; niveaux 0, 1. Détails dans catalogue-existant.json.</x:v>
      </x:c>
    </x:row>
    <x:row r="3921">
      <x:c r="A3921" t="str">
        <x:v>DW-3916</x:v>
      </x:c>
      <x:c r="B3921" t="str">
        <x:v>DW-3916</x:v>
      </x:c>
      <x:c r="C3921" t="str">
        <x:v>Parent indépendant 1.58</x:v>
      </x:c>
      <x:c r="D3921" t="str">
        <x:v>Secours et protection civile</x:v>
      </x:c>
      <x:c r="E3921" t="str">
        <x:v>Maison des exercices de confinement civil</x:v>
      </x:c>
      <x:c r="F3921" t="n">
        <x:v>9</x:v>
      </x:c>
      <x:c r="G3921" t="n">
        <x:v>8</x:v>
      </x:c>
      <x:c r="H3921" t="n">
        <x:v>8</x:v>
      </x:c>
      <x:c r="I3921" t="str">
        <x:v>À qualifier par lieu</x:v>
      </x:c>
      <x:c r="J3921" t="str">
        <x:v>https://github.com/darknigthmare/deadwall-last-enclosure/blob/e28f46223e73105ab2c5d83f3d50b99b58ef53e6/codex-3000/addendum-1.58/PROGRAMMES_D.json</x:v>
      </x:c>
      <x:c r="K3921" t="str">
        <x:v>Source min 36,36 m ; max 36,36 m ; modèle 36 × 36 m ; niveaux 0, 1. Détails dans catalogue-existant.json.</x:v>
      </x:c>
    </x:row>
    <x:row r="3922">
      <x:c r="A3922" t="str">
        <x:v>DW-3917</x:v>
      </x:c>
      <x:c r="B3922" t="str">
        <x:v>DW-3917</x:v>
      </x:c>
      <x:c r="C3922" t="str">
        <x:v>Parent indépendant 1.58</x:v>
      </x:c>
      <x:c r="D3922" t="str">
        <x:v>Secours et protection civile</x:v>
      </x:c>
      <x:c r="E3922" t="str">
        <x:v>Centre de préparation des évacuations d'école</x:v>
      </x:c>
      <x:c r="F3922" t="n">
        <x:v>9</x:v>
      </x:c>
      <x:c r="G3922" t="n">
        <x:v>8</x:v>
      </x:c>
      <x:c r="H3922" t="n">
        <x:v>8</x:v>
      </x:c>
      <x:c r="I3922" t="str">
        <x:v>À qualifier par lieu</x:v>
      </x:c>
      <x:c r="J3922" t="str">
        <x:v>https://github.com/darknigthmare/deadwall-last-enclosure/blob/e28f46223e73105ab2c5d83f3d50b99b58ef53e6/codex-3000/addendum-1.58/PROGRAMMES_D.json</x:v>
      </x:c>
      <x:c r="K3922" t="str">
        <x:v>Source min 40,40 m ; max 40,40 m ; modèle 40 × 40 m ; niveaux 0, 1. Détails dans catalogue-existant.json.</x:v>
      </x:c>
    </x:row>
    <x:row r="3923">
      <x:c r="A3923" t="str">
        <x:v>DW-3918</x:v>
      </x:c>
      <x:c r="B3923" t="str">
        <x:v>DW-3918</x:v>
      </x:c>
      <x:c r="C3923" t="str">
        <x:v>Parent indépendant 1.58</x:v>
      </x:c>
      <x:c r="D3923" t="str">
        <x:v>Secours et protection civile</x:v>
      </x:c>
      <x:c r="E3923" t="str">
        <x:v>Maison des exercices de secours rural</x:v>
      </x:c>
      <x:c r="F3923" t="n">
        <x:v>9</x:v>
      </x:c>
      <x:c r="G3923" t="n">
        <x:v>8</x:v>
      </x:c>
      <x:c r="H3923" t="n">
        <x:v>8</x:v>
      </x:c>
      <x:c r="I3923" t="str">
        <x:v>À qualifier par lieu</x:v>
      </x:c>
      <x:c r="J3923" t="str">
        <x:v>https://github.com/darknigthmare/deadwall-last-enclosure/blob/e28f46223e73105ab2c5d83f3d50b99b58ef53e6/codex-3000/addendum-1.58/PROGRAMMES_D.json</x:v>
      </x:c>
      <x:c r="K3923" t="str">
        <x:v>Source min 44,44 m ; max 44,44 m ; modèle 44 × 44 m ; niveaux 0, 1. Détails dans catalogue-existant.json.</x:v>
      </x:c>
    </x:row>
    <x:row r="3924">
      <x:c r="A3924" t="str">
        <x:v>DW-3919</x:v>
      </x:c>
      <x:c r="B3924" t="str">
        <x:v>DW-3919</x:v>
      </x:c>
      <x:c r="C3924" t="str">
        <x:v>Parent indépendant 1.58</x:v>
      </x:c>
      <x:c r="D3924" t="str">
        <x:v>Secours et protection civile</x:v>
      </x:c>
      <x:c r="E3924" t="str">
        <x:v>Centre de préparation des exercices de quartier</x:v>
      </x:c>
      <x:c r="F3924" t="n">
        <x:v>9</x:v>
      </x:c>
      <x:c r="G3924" t="n">
        <x:v>8</x:v>
      </x:c>
      <x:c r="H3924" t="n">
        <x:v>8</x:v>
      </x:c>
      <x:c r="I3924" t="str">
        <x:v>À qualifier par lieu</x:v>
      </x:c>
      <x:c r="J3924" t="str">
        <x:v>https://github.com/darknigthmare/deadwall-last-enclosure/blob/e28f46223e73105ab2c5d83f3d50b99b58ef53e6/codex-3000/addendum-1.58/PROGRAMMES_D.json</x:v>
      </x:c>
      <x:c r="K3924" t="str">
        <x:v>Source min 36,36 m ; max 36,36 m ; modèle 36 × 36 m ; niveaux 0, 1. Détails dans catalogue-existant.json.</x:v>
      </x:c>
    </x:row>
    <x:row r="3925">
      <x:c r="A3925" t="str">
        <x:v>DW-3920</x:v>
      </x:c>
      <x:c r="B3925" t="str">
        <x:v>DW-3920</x:v>
      </x:c>
      <x:c r="C3925" t="str">
        <x:v>Parent indépendant 1.58</x:v>
      </x:c>
      <x:c r="D3925" t="str">
        <x:v>Secours et protection civile</x:v>
      </x:c>
      <x:c r="E3925" t="str">
        <x:v>Maison des démonstrations de gestes de sécurité</x:v>
      </x:c>
      <x:c r="F3925" t="n">
        <x:v>9</x:v>
      </x:c>
      <x:c r="G3925" t="n">
        <x:v>8</x:v>
      </x:c>
      <x:c r="H3925" t="n">
        <x:v>8</x:v>
      </x:c>
      <x:c r="I3925" t="str">
        <x:v>À qualifier par lieu</x:v>
      </x:c>
      <x:c r="J3925" t="str">
        <x:v>https://github.com/darknigthmare/deadwall-last-enclosure/blob/e28f46223e73105ab2c5d83f3d50b99b58ef53e6/codex-3000/addendum-1.58/PROGRAMMES_D.json</x:v>
      </x:c>
      <x:c r="K3925" t="str">
        <x:v>Source min 40,40 m ; max 40,40 m ; modèle 40 × 40 m ; niveaux 0, 1. Détails dans catalogue-existant.json.</x:v>
      </x:c>
    </x:row>
    <x:row r="3926">
      <x:c r="A3926" t="str">
        <x:v>DW-3921</x:v>
      </x:c>
      <x:c r="B3926" t="str">
        <x:v>DW-3921</x:v>
      </x:c>
      <x:c r="C3926" t="str">
        <x:v>Parent indépendant 1.58</x:v>
      </x:c>
      <x:c r="D3926" t="str">
        <x:v>Secours et protection civile</x:v>
      </x:c>
      <x:c r="E3926" t="str">
        <x:v>Centre des relevés de stabilité après sinistre</x:v>
      </x:c>
      <x:c r="F3926" t="n">
        <x:v>9</x:v>
      </x:c>
      <x:c r="G3926" t="n">
        <x:v>8</x:v>
      </x:c>
      <x:c r="H3926" t="n">
        <x:v>8</x:v>
      </x:c>
      <x:c r="I3926" t="str">
        <x:v>À qualifier par lieu</x:v>
      </x:c>
      <x:c r="J3926" t="str">
        <x:v>https://github.com/darknigthmare/deadwall-last-enclosure/blob/e28f46223e73105ab2c5d83f3d50b99b58ef53e6/codex-3000/addendum-1.58/PROGRAMMES_D.json</x:v>
      </x:c>
      <x:c r="K3926" t="str">
        <x:v>Source min 44,44 m ; max 44,44 m ; modèle 44 × 44 m ; niveaux 0, 1. Détails dans catalogue-existant.json.</x:v>
      </x:c>
    </x:row>
    <x:row r="3927">
      <x:c r="A3927" t="str">
        <x:v>DW-3922</x:v>
      </x:c>
      <x:c r="B3927" t="str">
        <x:v>DW-3922</x:v>
      </x:c>
      <x:c r="C3927" t="str">
        <x:v>Parent indépendant 1.58</x:v>
      </x:c>
      <x:c r="D3927" t="str">
        <x:v>Secours et protection civile</x:v>
      </x:c>
      <x:c r="E3927" t="str">
        <x:v>Maison de coordination des accueils d'urgence</x:v>
      </x:c>
      <x:c r="F3927" t="n">
        <x:v>9</x:v>
      </x:c>
      <x:c r="G3927" t="n">
        <x:v>8</x:v>
      </x:c>
      <x:c r="H3927" t="n">
        <x:v>8</x:v>
      </x:c>
      <x:c r="I3927" t="str">
        <x:v>À qualifier par lieu</x:v>
      </x:c>
      <x:c r="J3927" t="str">
        <x:v>https://github.com/darknigthmare/deadwall-last-enclosure/blob/e28f46223e73105ab2c5d83f3d50b99b58ef53e6/codex-3000/addendum-1.58/PROGRAMMES_D.json</x:v>
      </x:c>
      <x:c r="K3927" t="str">
        <x:v>Source min 36,36 m ; max 36,36 m ; modèle 36 × 36 m ; niveaux 0, 1. Détails dans catalogue-existant.json.</x:v>
      </x:c>
    </x:row>
    <x:row r="3928">
      <x:c r="A3928" t="str">
        <x:v>DW-3923</x:v>
      </x:c>
      <x:c r="B3928" t="str">
        <x:v>DW-3923</x:v>
      </x:c>
      <x:c r="C3928" t="str">
        <x:v>Parent indépendant 1.58</x:v>
      </x:c>
      <x:c r="D3928" t="str">
        <x:v>Secours et protection civile</x:v>
      </x:c>
      <x:c r="E3928" t="str">
        <x:v>Centre de préparation des tours de veille</x:v>
      </x:c>
      <x:c r="F3928" t="n">
        <x:v>9</x:v>
      </x:c>
      <x:c r="G3928" t="n">
        <x:v>8</x:v>
      </x:c>
      <x:c r="H3928" t="n">
        <x:v>8</x:v>
      </x:c>
      <x:c r="I3928" t="str">
        <x:v>À qualifier par lieu</x:v>
      </x:c>
      <x:c r="J3928" t="str">
        <x:v>https://github.com/darknigthmare/deadwall-last-enclosure/blob/e28f46223e73105ab2c5d83f3d50b99b58ef53e6/codex-3000/addendum-1.58/PROGRAMMES_D.json</x:v>
      </x:c>
      <x:c r="K3928" t="str">
        <x:v>Source min 40,40 m ; max 40,40 m ; modèle 40 × 40 m ; niveaux 0, 1. Détails dans catalogue-existant.json.</x:v>
      </x:c>
    </x:row>
    <x:row r="3929">
      <x:c r="A3929" t="str">
        <x:v>DW-3924</x:v>
      </x:c>
      <x:c r="B3929" t="str">
        <x:v>DW-3924</x:v>
      </x:c>
      <x:c r="C3929" t="str">
        <x:v>Parent indépendant 1.58</x:v>
      </x:c>
      <x:c r="D3929" t="str">
        <x:v>Secours et protection civile</x:v>
      </x:c>
      <x:c r="E3929" t="str">
        <x:v>Maison de restitution des clés de site</x:v>
      </x:c>
      <x:c r="F3929" t="n">
        <x:v>9</x:v>
      </x:c>
      <x:c r="G3929" t="n">
        <x:v>8</x:v>
      </x:c>
      <x:c r="H3929" t="n">
        <x:v>8</x:v>
      </x:c>
      <x:c r="I3929" t="str">
        <x:v>À qualifier par lieu</x:v>
      </x:c>
      <x:c r="J3929" t="str">
        <x:v>https://github.com/darknigthmare/deadwall-last-enclosure/blob/e28f46223e73105ab2c5d83f3d50b99b58ef53e6/codex-3000/addendum-1.58/PROGRAMMES_D.json</x:v>
      </x:c>
      <x:c r="K3929" t="str">
        <x:v>Source min 44,44 m ; max 44,44 m ; modèle 44 × 44 m ; niveaux 0, 1. Détails dans catalogue-existant.json.</x:v>
      </x:c>
    </x:row>
    <x:row r="3930">
      <x:c r="A3930" t="str">
        <x:v>DW-3925</x:v>
      </x:c>
      <x:c r="B3930" t="str">
        <x:v>DW-3925</x:v>
      </x:c>
      <x:c r="C3930" t="str">
        <x:v>Parent indépendant 1.58</x:v>
      </x:c>
      <x:c r="D3930" t="str">
        <x:v>Secours et protection civile</x:v>
      </x:c>
      <x:c r="E3930" t="str">
        <x:v>Centre de préparation des fermetures provisoires</x:v>
      </x:c>
      <x:c r="F3930" t="n">
        <x:v>9</x:v>
      </x:c>
      <x:c r="G3930" t="n">
        <x:v>8</x:v>
      </x:c>
      <x:c r="H3930" t="n">
        <x:v>8</x:v>
      </x:c>
      <x:c r="I3930" t="str">
        <x:v>À qualifier par lieu</x:v>
      </x:c>
      <x:c r="J3930" t="str">
        <x:v>https://github.com/darknigthmare/deadwall-last-enclosure/blob/e28f46223e73105ab2c5d83f3d50b99b58ef53e6/codex-3000/addendum-1.58/PROGRAMMES_D.json</x:v>
      </x:c>
      <x:c r="K3930" t="str">
        <x:v>Source min 36,36 m ; max 36,36 m ; modèle 36 × 36 m ; niveaux 0, 1. Détails dans catalogue-existant.json.</x:v>
      </x:c>
    </x:row>
    <x:row r="3931">
      <x:c r="A3931" t="str">
        <x:v>DW-3926</x:v>
      </x:c>
      <x:c r="B3931" t="str">
        <x:v>DW-3926</x:v>
      </x:c>
      <x:c r="C3931" t="str">
        <x:v>Parent indépendant 1.58</x:v>
      </x:c>
      <x:c r="D3931" t="str">
        <x:v>Secours et protection civile</x:v>
      </x:c>
      <x:c r="E3931" t="str">
        <x:v>Maison des enquêtes de départ de feu</x:v>
      </x:c>
      <x:c r="F3931" t="n">
        <x:v>9</x:v>
      </x:c>
      <x:c r="G3931" t="n">
        <x:v>8</x:v>
      </x:c>
      <x:c r="H3931" t="n">
        <x:v>8</x:v>
      </x:c>
      <x:c r="I3931" t="str">
        <x:v>À qualifier par lieu</x:v>
      </x:c>
      <x:c r="J3931" t="str">
        <x:v>https://github.com/darknigthmare/deadwall-last-enclosure/blob/e28f46223e73105ab2c5d83f3d50b99b58ef53e6/codex-3000/addendum-1.58/PROGRAMMES_D.json</x:v>
      </x:c>
      <x:c r="K3931" t="str">
        <x:v>Source min 40,40 m ; max 40,40 m ; modèle 40 × 40 m ; niveaux 0, 1. Détails dans catalogue-existant.json.</x:v>
      </x:c>
    </x:row>
    <x:row r="3932">
      <x:c r="A3932" t="str">
        <x:v>DW-3927</x:v>
      </x:c>
      <x:c r="B3932" t="str">
        <x:v>DW-3927</x:v>
      </x:c>
      <x:c r="C3932" t="str">
        <x:v>Parent indépendant 1.58</x:v>
      </x:c>
      <x:c r="D3932" t="str">
        <x:v>Secours et protection civile</x:v>
      </x:c>
      <x:c r="E3932" t="str">
        <x:v>Centre des archives de passage de gardiennage</x:v>
      </x:c>
      <x:c r="F3932" t="n">
        <x:v>9</x:v>
      </x:c>
      <x:c r="G3932" t="n">
        <x:v>8</x:v>
      </x:c>
      <x:c r="H3932" t="n">
        <x:v>8</x:v>
      </x:c>
      <x:c r="I3932" t="str">
        <x:v>À qualifier par lieu</x:v>
      </x:c>
      <x:c r="J3932" t="str">
        <x:v>https://github.com/darknigthmare/deadwall-last-enclosure/blob/e28f46223e73105ab2c5d83f3d50b99b58ef53e6/codex-3000/addendum-1.58/PROGRAMMES_D.json</x:v>
      </x:c>
      <x:c r="K3932" t="str">
        <x:v>Source min 44,44 m ; max 44,44 m ; modèle 44 × 44 m ; niveaux 0, 1. Détails dans catalogue-existant.json.</x:v>
      </x:c>
    </x:row>
    <x:row r="3933">
      <x:c r="A3933" t="str">
        <x:v>DW-3928</x:v>
      </x:c>
      <x:c r="B3933" t="str">
        <x:v>DW-3928</x:v>
      </x:c>
      <x:c r="C3933" t="str">
        <x:v>Parent indépendant 1.58</x:v>
      </x:c>
      <x:c r="D3933" t="str">
        <x:v>Secours et protection civile</x:v>
      </x:c>
      <x:c r="E3933" t="str">
        <x:v>Maison de préparation des postes de contrôle civils</x:v>
      </x:c>
      <x:c r="F3933" t="n">
        <x:v>9</x:v>
      </x:c>
      <x:c r="G3933" t="n">
        <x:v>8</x:v>
      </x:c>
      <x:c r="H3933" t="n">
        <x:v>8</x:v>
      </x:c>
      <x:c r="I3933" t="str">
        <x:v>À qualifier par lieu</x:v>
      </x:c>
      <x:c r="J3933" t="str">
        <x:v>https://github.com/darknigthmare/deadwall-last-enclosure/blob/e28f46223e73105ab2c5d83f3d50b99b58ef53e6/codex-3000/addendum-1.58/PROGRAMMES_D.json</x:v>
      </x:c>
      <x:c r="K3933" t="str">
        <x:v>Source min 36,36 m ; max 36,36 m ; modèle 36 × 36 m ; niveaux 0, 1. Détails dans catalogue-existant.json.</x:v>
      </x:c>
    </x:row>
    <x:row r="3934">
      <x:c r="A3934" t="str">
        <x:v>DW-3929</x:v>
      </x:c>
      <x:c r="B3934" t="str">
        <x:v>DW-3929</x:v>
      </x:c>
      <x:c r="C3934" t="str">
        <x:v>Parent indépendant 1.58</x:v>
      </x:c>
      <x:c r="D3934" t="str">
        <x:v>Secours et protection civile</x:v>
      </x:c>
      <x:c r="E3934" t="str">
        <x:v>Centre des constats de brèche d'enceinte</x:v>
      </x:c>
      <x:c r="F3934" t="n">
        <x:v>9</x:v>
      </x:c>
      <x:c r="G3934" t="n">
        <x:v>8</x:v>
      </x:c>
      <x:c r="H3934" t="n">
        <x:v>8</x:v>
      </x:c>
      <x:c r="I3934" t="str">
        <x:v>À qualifier par lieu</x:v>
      </x:c>
      <x:c r="J3934" t="str">
        <x:v>https://github.com/darknigthmare/deadwall-last-enclosure/blob/e28f46223e73105ab2c5d83f3d50b99b58ef53e6/codex-3000/addendum-1.58/PROGRAMMES_D.json</x:v>
      </x:c>
      <x:c r="K3934" t="str">
        <x:v>Source min 40,40 m ; max 40,40 m ; modèle 40 × 40 m ; niveaux 0, 1. Détails dans catalogue-existant.json.</x:v>
      </x:c>
    </x:row>
    <x:row r="3935">
      <x:c r="A3935" t="str">
        <x:v>DW-3930</x:v>
      </x:c>
      <x:c r="B3935" t="str">
        <x:v>DW-3930</x:v>
      </x:c>
      <x:c r="C3935" t="str">
        <x:v>Parent indépendant 1.58</x:v>
      </x:c>
      <x:c r="D3935" t="str">
        <x:v>Secours et protection civile</x:v>
      </x:c>
      <x:c r="E3935" t="str">
        <x:v>Maison de coordination du relogement temporaire</x:v>
      </x:c>
      <x:c r="F3935" t="n">
        <x:v>9</x:v>
      </x:c>
      <x:c r="G3935" t="n">
        <x:v>8</x:v>
      </x:c>
      <x:c r="H3935" t="n">
        <x:v>8</x:v>
      </x:c>
      <x:c r="I3935" t="str">
        <x:v>À qualifier par lieu</x:v>
      </x:c>
      <x:c r="J3935" t="str">
        <x:v>https://github.com/darknigthmare/deadwall-last-enclosure/blob/e28f46223e73105ab2c5d83f3d50b99b58ef53e6/codex-3000/addendum-1.58/PROGRAMMES_D.json</x:v>
      </x:c>
      <x:c r="K3935" t="str">
        <x:v>Source min 44,44 m ; max 44,44 m ; modèle 44 × 44 m ; niveaux 0, 1. Détails dans catalogue-existant.json.</x:v>
      </x:c>
    </x:row>
    <x:row r="3936">
      <x:c r="A3936" t="str">
        <x:v>DW-3931</x:v>
      </x:c>
      <x:c r="B3936" t="str">
        <x:v>DW-3931</x:v>
      </x:c>
      <x:c r="C3936" t="str">
        <x:v>Parent indépendant 1.58</x:v>
      </x:c>
      <x:c r="D3936" t="str">
        <x:v>Secours et protection civile</x:v>
      </x:c>
      <x:c r="E3936" t="str">
        <x:v>Centre des appels de secours archivés</x:v>
      </x:c>
      <x:c r="F3936" t="n">
        <x:v>9</x:v>
      </x:c>
      <x:c r="G3936" t="n">
        <x:v>8</x:v>
      </x:c>
      <x:c r="H3936" t="n">
        <x:v>8</x:v>
      </x:c>
      <x:c r="I3936" t="str">
        <x:v>À qualifier par lieu</x:v>
      </x:c>
      <x:c r="J3936" t="str">
        <x:v>https://github.com/darknigthmare/deadwall-last-enclosure/blob/e28f46223e73105ab2c5d83f3d50b99b58ef53e6/codex-3000/addendum-1.58/PROGRAMMES_D.json</x:v>
      </x:c>
      <x:c r="K3936" t="str">
        <x:v>Source min 36,36 m ; max 36,36 m ; modèle 36 × 36 m ; niveaux 0, 1. Détails dans catalogue-existant.json.</x:v>
      </x:c>
    </x:row>
    <x:row r="3937">
      <x:c r="A3937" t="str">
        <x:v>DW-3932</x:v>
      </x:c>
      <x:c r="B3937" t="str">
        <x:v>DW-3932</x:v>
      </x:c>
      <x:c r="C3937" t="str">
        <x:v>Parent indépendant 1.58</x:v>
      </x:c>
      <x:c r="D3937" t="str">
        <x:v>Secours et protection civile</x:v>
      </x:c>
      <x:c r="E3937" t="str">
        <x:v>Maison des inspections de matériel de garde</x:v>
      </x:c>
      <x:c r="F3937" t="n">
        <x:v>9</x:v>
      </x:c>
      <x:c r="G3937" t="n">
        <x:v>8</x:v>
      </x:c>
      <x:c r="H3937" t="n">
        <x:v>8</x:v>
      </x:c>
      <x:c r="I3937" t="str">
        <x:v>À qualifier par lieu</x:v>
      </x:c>
      <x:c r="J3937" t="str">
        <x:v>https://github.com/darknigthmare/deadwall-last-enclosure/blob/e28f46223e73105ab2c5d83f3d50b99b58ef53e6/codex-3000/addendum-1.58/PROGRAMMES_D.json</x:v>
      </x:c>
      <x:c r="K3937" t="str">
        <x:v>Source min 40,40 m ; max 40,40 m ; modèle 40 × 40 m ; niveaux 0, 1. Détails dans catalogue-existant.json.</x:v>
      </x:c>
    </x:row>
    <x:row r="3938">
      <x:c r="A3938" t="str">
        <x:v>DW-3933</x:v>
      </x:c>
      <x:c r="B3938" t="str">
        <x:v>DW-3933</x:v>
      </x:c>
      <x:c r="C3938" t="str">
        <x:v>Parent indépendant 1.58</x:v>
      </x:c>
      <x:c r="D3938" t="str">
        <x:v>Secours et protection civile</x:v>
      </x:c>
      <x:c r="E3938" t="str">
        <x:v>Centre des déclarations de secteur évacué</x:v>
      </x:c>
      <x:c r="F3938" t="n">
        <x:v>9</x:v>
      </x:c>
      <x:c r="G3938" t="n">
        <x:v>8</x:v>
      </x:c>
      <x:c r="H3938" t="n">
        <x:v>8</x:v>
      </x:c>
      <x:c r="I3938" t="str">
        <x:v>À qualifier par lieu</x:v>
      </x:c>
      <x:c r="J3938" t="str">
        <x:v>https://github.com/darknigthmare/deadwall-last-enclosure/blob/e28f46223e73105ab2c5d83f3d50b99b58ef53e6/codex-3000/addendum-1.58/PROGRAMMES_D.json</x:v>
      </x:c>
      <x:c r="K3938" t="str">
        <x:v>Source min 44,44 m ; max 44,44 m ; modèle 44 × 44 m ; niveaux 0, 1. Détails dans catalogue-existant.json.</x:v>
      </x:c>
    </x:row>
    <x:row r="3939">
      <x:c r="A3939" t="str">
        <x:v>DW-3934</x:v>
      </x:c>
      <x:c r="B3939" t="str">
        <x:v>DW-3934</x:v>
      </x:c>
      <x:c r="C3939" t="str">
        <x:v>Parent indépendant 1.58</x:v>
      </x:c>
      <x:c r="D3939" t="str">
        <x:v>Secours et protection civile</x:v>
      </x:c>
      <x:c r="E3939" t="str">
        <x:v>Maison des réserves de serrurerie de protection</x:v>
      </x:c>
      <x:c r="F3939" t="n">
        <x:v>9</x:v>
      </x:c>
      <x:c r="G3939" t="n">
        <x:v>8</x:v>
      </x:c>
      <x:c r="H3939" t="n">
        <x:v>8</x:v>
      </x:c>
      <x:c r="I3939" t="str">
        <x:v>À qualifier par lieu</x:v>
      </x:c>
      <x:c r="J3939" t="str">
        <x:v>https://github.com/darknigthmare/deadwall-last-enclosure/blob/e28f46223e73105ab2c5d83f3d50b99b58ef53e6/codex-3000/addendum-1.58/PROGRAMMES_D.json</x:v>
      </x:c>
      <x:c r="K3939" t="str">
        <x:v>Source min 36,36 m ; max 36,36 m ; modèle 36 × 36 m ; niveaux 0, 1. Détails dans catalogue-existant.json.</x:v>
      </x:c>
    </x:row>
    <x:row r="3940">
      <x:c r="A3940" t="str">
        <x:v>DW-3935</x:v>
      </x:c>
      <x:c r="B3940" t="str">
        <x:v>DW-3935</x:v>
      </x:c>
      <x:c r="C3940" t="str">
        <x:v>Parent indépendant 1.58</x:v>
      </x:c>
      <x:c r="D3940" t="str">
        <x:v>Secours et protection civile</x:v>
      </x:c>
      <x:c r="E3940" t="str">
        <x:v>Centre des registres de matériel sensible</x:v>
      </x:c>
      <x:c r="F3940" t="n">
        <x:v>9</x:v>
      </x:c>
      <x:c r="G3940" t="n">
        <x:v>8</x:v>
      </x:c>
      <x:c r="H3940" t="n">
        <x:v>8</x:v>
      </x:c>
      <x:c r="I3940" t="str">
        <x:v>À qualifier par lieu</x:v>
      </x:c>
      <x:c r="J3940" t="str">
        <x:v>https://github.com/darknigthmare/deadwall-last-enclosure/blob/e28f46223e73105ab2c5d83f3d50b99b58ef53e6/codex-3000/addendum-1.58/PROGRAMMES_D.json</x:v>
      </x:c>
      <x:c r="K3940" t="str">
        <x:v>Source min 40,40 m ; max 40,40 m ; modèle 40 × 40 m ; niveaux 0, 1. Détails dans catalogue-existant.json.</x:v>
      </x:c>
    </x:row>
    <x:row r="3941">
      <x:c r="A3941" t="str">
        <x:v>DW-3936</x:v>
      </x:c>
      <x:c r="B3941" t="str">
        <x:v>DW-3936</x:v>
      </x:c>
      <x:c r="C3941" t="str">
        <x:v>Parent indépendant 1.58</x:v>
      </x:c>
      <x:c r="D3941" t="str">
        <x:v>Secours et protection civile</x:v>
      </x:c>
      <x:c r="E3941" t="str">
        <x:v>Réserve des lits de centre d'accueil</x:v>
      </x:c>
      <x:c r="F3941" t="n">
        <x:v>9</x:v>
      </x:c>
      <x:c r="G3941" t="n">
        <x:v>8</x:v>
      </x:c>
      <x:c r="H3941" t="n">
        <x:v>8</x:v>
      </x:c>
      <x:c r="I3941" t="str">
        <x:v>À qualifier par lieu</x:v>
      </x:c>
      <x:c r="J3941" t="str">
        <x:v>https://github.com/darknigthmare/deadwall-last-enclosure/blob/e28f46223e73105ab2c5d83f3d50b99b58ef53e6/codex-3000/addendum-1.58/PROGRAMMES_D.json</x:v>
      </x:c>
      <x:c r="K3941" t="str">
        <x:v>Source min 44,44 m ; max 44,44 m ; modèle 44 × 44 m ; niveaux 0, 1. Détails dans catalogue-existant.json.</x:v>
      </x:c>
    </x:row>
    <x:row r="3942">
      <x:c r="A3942" t="str">
        <x:v>DW-3937</x:v>
      </x:c>
      <x:c r="B3942" t="str">
        <x:v>DW-3937</x:v>
      </x:c>
      <x:c r="C3942" t="str">
        <x:v>Parent indépendant 1.58</x:v>
      </x:c>
      <x:c r="D3942" t="str">
        <x:v>Secours et protection civile</x:v>
      </x:c>
      <x:c r="E3942" t="str">
        <x:v>Centre des modules de lavage d'urgence</x:v>
      </x:c>
      <x:c r="F3942" t="n">
        <x:v>9</x:v>
      </x:c>
      <x:c r="G3942" t="n">
        <x:v>8</x:v>
      </x:c>
      <x:c r="H3942" t="n">
        <x:v>8</x:v>
      </x:c>
      <x:c r="I3942" t="str">
        <x:v>À qualifier par lieu</x:v>
      </x:c>
      <x:c r="J3942" t="str">
        <x:v>https://github.com/darknigthmare/deadwall-last-enclosure/blob/e28f46223e73105ab2c5d83f3d50b99b58ef53e6/codex-3000/addendum-1.58/PROGRAMMES_D.json</x:v>
      </x:c>
      <x:c r="K3942" t="str">
        <x:v>Source min 36,36 m ; max 36,36 m ; modèle 36 × 36 m ; niveaux 0, 1. Détails dans catalogue-existant.json.</x:v>
      </x:c>
    </x:row>
    <x:row r="3943">
      <x:c r="A3943" t="str">
        <x:v>DW-3938</x:v>
      </x:c>
      <x:c r="B3943" t="str">
        <x:v>DW-3938</x:v>
      </x:c>
      <x:c r="C3943" t="str">
        <x:v>Parent indépendant 1.58</x:v>
      </x:c>
      <x:c r="D3943" t="str">
        <x:v>Secours et protection civile</x:v>
      </x:c>
      <x:c r="E3943" t="str">
        <x:v>Dépôt des générateurs de secours déposés</x:v>
      </x:c>
      <x:c r="F3943" t="n">
        <x:v>9</x:v>
      </x:c>
      <x:c r="G3943" t="n">
        <x:v>8</x:v>
      </x:c>
      <x:c r="H3943" t="n">
        <x:v>8</x:v>
      </x:c>
      <x:c r="I3943" t="str">
        <x:v>À qualifier par lieu</x:v>
      </x:c>
      <x:c r="J3943" t="str">
        <x:v>https://github.com/darknigthmare/deadwall-last-enclosure/blob/e28f46223e73105ab2c5d83f3d50b99b58ef53e6/codex-3000/addendum-1.58/PROGRAMMES_D.json</x:v>
      </x:c>
      <x:c r="K3943" t="str">
        <x:v>Source min 40,40 m ; max 40,40 m ; modèle 40 × 40 m ; niveaux 0, 1. Détails dans catalogue-existant.json.</x:v>
      </x:c>
    </x:row>
    <x:row r="3944">
      <x:c r="A3944" t="str">
        <x:v>DW-3939</x:v>
      </x:c>
      <x:c r="B3944" t="str">
        <x:v>DW-3939</x:v>
      </x:c>
      <x:c r="C3944" t="str">
        <x:v>Parent indépendant 1.58</x:v>
      </x:c>
      <x:c r="D3944" t="str">
        <x:v>Secours et protection civile</x:v>
      </x:c>
      <x:c r="E3944" t="str">
        <x:v>Réserve des lampes de balisage de crise</x:v>
      </x:c>
      <x:c r="F3944" t="n">
        <x:v>9</x:v>
      </x:c>
      <x:c r="G3944" t="n">
        <x:v>8</x:v>
      </x:c>
      <x:c r="H3944" t="n">
        <x:v>8</x:v>
      </x:c>
      <x:c r="I3944" t="str">
        <x:v>À qualifier par lieu</x:v>
      </x:c>
      <x:c r="J3944" t="str">
        <x:v>https://github.com/darknigthmare/deadwall-last-enclosure/blob/e28f46223e73105ab2c5d83f3d50b99b58ef53e6/codex-3000/addendum-1.58/PROGRAMMES_D.json</x:v>
      </x:c>
      <x:c r="K3944" t="str">
        <x:v>Source min 44,44 m ; max 44,44 m ; modèle 44 × 44 m ; niveaux 0, 1. Détails dans catalogue-existant.json.</x:v>
      </x:c>
    </x:row>
    <x:row r="3945">
      <x:c r="A3945" t="str">
        <x:v>DW-3940</x:v>
      </x:c>
      <x:c r="B3945" t="str">
        <x:v>DW-3940</x:v>
      </x:c>
      <x:c r="C3945" t="str">
        <x:v>Parent indépendant 1.58</x:v>
      </x:c>
      <x:c r="D3945" t="str">
        <x:v>Secours et protection civile</x:v>
      </x:c>
      <x:c r="E3945" t="str">
        <x:v>Centre des cuisines d'accueil démontées</x:v>
      </x:c>
      <x:c r="F3945" t="n">
        <x:v>9</x:v>
      </x:c>
      <x:c r="G3945" t="n">
        <x:v>8</x:v>
      </x:c>
      <x:c r="H3945" t="n">
        <x:v>8</x:v>
      </x:c>
      <x:c r="I3945" t="str">
        <x:v>À qualifier par lieu</x:v>
      </x:c>
      <x:c r="J3945" t="str">
        <x:v>https://github.com/darknigthmare/deadwall-last-enclosure/blob/e28f46223e73105ab2c5d83f3d50b99b58ef53e6/codex-3000/addendum-1.58/PROGRAMMES_D.json</x:v>
      </x:c>
      <x:c r="K3945" t="str">
        <x:v>Source min 36,36 m ; max 36,36 m ; modèle 36 × 36 m ; niveaux 0, 1. Détails dans catalogue-existant.json.</x:v>
      </x:c>
    </x:row>
    <x:row r="3946">
      <x:c r="A3946" t="str">
        <x:v>DW-3941</x:v>
      </x:c>
      <x:c r="B3946" t="str">
        <x:v>DW-3941</x:v>
      </x:c>
      <x:c r="C3946" t="str">
        <x:v>Parent indépendant 1.58</x:v>
      </x:c>
      <x:c r="D3946" t="str">
        <x:v>Secours et protection civile</x:v>
      </x:c>
      <x:c r="E3946" t="str">
        <x:v>Dépôt des couvertures de réserve civile</x:v>
      </x:c>
      <x:c r="F3946" t="n">
        <x:v>9</x:v>
      </x:c>
      <x:c r="G3946" t="n">
        <x:v>8</x:v>
      </x:c>
      <x:c r="H3946" t="n">
        <x:v>8</x:v>
      </x:c>
      <x:c r="I3946" t="str">
        <x:v>À qualifier par lieu</x:v>
      </x:c>
      <x:c r="J3946" t="str">
        <x:v>https://github.com/darknigthmare/deadwall-last-enclosure/blob/e28f46223e73105ab2c5d83f3d50b99b58ef53e6/codex-3000/addendum-1.58/PROGRAMMES_D.json</x:v>
      </x:c>
      <x:c r="K3946" t="str">
        <x:v>Source min 40,40 m ; max 40,40 m ; modèle 40 × 40 m ; niveaux 0, 1. Détails dans catalogue-existant.json.</x:v>
      </x:c>
    </x:row>
    <x:row r="3947">
      <x:c r="A3947" t="str">
        <x:v>DW-3942</x:v>
      </x:c>
      <x:c r="B3947" t="str">
        <x:v>DW-3942</x:v>
      </x:c>
      <x:c r="C3947" t="str">
        <x:v>Parent indépendant 1.58</x:v>
      </x:c>
      <x:c r="D3947" t="str">
        <x:v>Secours et protection civile</x:v>
      </x:c>
      <x:c r="E3947" t="str">
        <x:v>Réserve des sanitaires démontables</x:v>
      </x:c>
      <x:c r="F3947" t="n">
        <x:v>9</x:v>
      </x:c>
      <x:c r="G3947" t="n">
        <x:v>8</x:v>
      </x:c>
      <x:c r="H3947" t="n">
        <x:v>8</x:v>
      </x:c>
      <x:c r="I3947" t="str">
        <x:v>À qualifier par lieu</x:v>
      </x:c>
      <x:c r="J3947" t="str">
        <x:v>https://github.com/darknigthmare/deadwall-last-enclosure/blob/e28f46223e73105ab2c5d83f3d50b99b58ef53e6/codex-3000/addendum-1.58/PROGRAMMES_D.json</x:v>
      </x:c>
      <x:c r="K3947" t="str">
        <x:v>Source min 44,44 m ; max 44,44 m ; modèle 44 × 44 m ; niveaux 0, 1. Détails dans catalogue-existant.json.</x:v>
      </x:c>
    </x:row>
    <x:row r="3948">
      <x:c r="A3948" t="str">
        <x:v>DW-3943</x:v>
      </x:c>
      <x:c r="B3948" t="str">
        <x:v>DW-3943</x:v>
      </x:c>
      <x:c r="C3948" t="str">
        <x:v>Parent indépendant 1.58</x:v>
      </x:c>
      <x:c r="D3948" t="str">
        <x:v>Secours et protection civile</x:v>
      </x:c>
      <x:c r="E3948" t="str">
        <x:v>Centre des dispositifs de fermeture d'abri</x:v>
      </x:c>
      <x:c r="F3948" t="n">
        <x:v>9</x:v>
      </x:c>
      <x:c r="G3948" t="n">
        <x:v>8</x:v>
      </x:c>
      <x:c r="H3948" t="n">
        <x:v>8</x:v>
      </x:c>
      <x:c r="I3948" t="str">
        <x:v>À qualifier par lieu</x:v>
      </x:c>
      <x:c r="J3948" t="str">
        <x:v>https://github.com/darknigthmare/deadwall-last-enclosure/blob/e28f46223e73105ab2c5d83f3d50b99b58ef53e6/codex-3000/addendum-1.58/PROGRAMMES_D.json</x:v>
      </x:c>
      <x:c r="K3948" t="str">
        <x:v>Source min 36,36 m ; max 36,36 m ; modèle 36 × 36 m ; niveaux 0, 1. Détails dans catalogue-existant.json.</x:v>
      </x:c>
    </x:row>
    <x:row r="3949">
      <x:c r="A3949" t="str">
        <x:v>DW-3944</x:v>
      </x:c>
      <x:c r="B3949" t="str">
        <x:v>DW-3944</x:v>
      </x:c>
      <x:c r="C3949" t="str">
        <x:v>Parent indépendant 1.58</x:v>
      </x:c>
      <x:c r="D3949" t="str">
        <x:v>Secours et protection civile</x:v>
      </x:c>
      <x:c r="E3949" t="str">
        <x:v>Dépôt des caissons de continuité documentaire</x:v>
      </x:c>
      <x:c r="F3949" t="n">
        <x:v>9</x:v>
      </x:c>
      <x:c r="G3949" t="n">
        <x:v>8</x:v>
      </x:c>
      <x:c r="H3949" t="n">
        <x:v>8</x:v>
      </x:c>
      <x:c r="I3949" t="str">
        <x:v>À qualifier par lieu</x:v>
      </x:c>
      <x:c r="J3949" t="str">
        <x:v>https://github.com/darknigthmare/deadwall-last-enclosure/blob/e28f46223e73105ab2c5d83f3d50b99b58ef53e6/codex-3000/addendum-1.58/PROGRAMMES_D.json</x:v>
      </x:c>
      <x:c r="K3949" t="str">
        <x:v>Source min 40,40 m ; max 40,40 m ; modèle 40 × 40 m ; niveaux 0, 1. Détails dans catalogue-existant.json.</x:v>
      </x:c>
    </x:row>
    <x:row r="3950">
      <x:c r="A3950" t="str">
        <x:v>DW-3945</x:v>
      </x:c>
      <x:c r="B3950" t="str">
        <x:v>DW-3945</x:v>
      </x:c>
      <x:c r="C3950" t="str">
        <x:v>Parent indépendant 1.58</x:v>
      </x:c>
      <x:c r="D3950" t="str">
        <x:v>Secours et protection civile</x:v>
      </x:c>
      <x:c r="E3950" t="str">
        <x:v>Réserve des moyens de distribution d'eau</x:v>
      </x:c>
      <x:c r="F3950" t="n">
        <x:v>9</x:v>
      </x:c>
      <x:c r="G3950" t="n">
        <x:v>8</x:v>
      </x:c>
      <x:c r="H3950" t="n">
        <x:v>8</x:v>
      </x:c>
      <x:c r="I3950" t="str">
        <x:v>À qualifier par lieu</x:v>
      </x:c>
      <x:c r="J3950" t="str">
        <x:v>https://github.com/darknigthmare/deadwall-last-enclosure/blob/e28f46223e73105ab2c5d83f3d50b99b58ef53e6/codex-3000/addendum-1.58/PROGRAMMES_D.json</x:v>
      </x:c>
      <x:c r="K3950" t="str">
        <x:v>Source min 44,44 m ; max 44,44 m ; modèle 44 × 44 m ; niveaux 0, 1. Détails dans catalogue-existant.json.</x:v>
      </x:c>
    </x:row>
    <x:row r="3951">
      <x:c r="A3951" t="str">
        <x:v>DW-3946</x:v>
      </x:c>
      <x:c r="B3951" t="str">
        <x:v>DW-3946</x:v>
      </x:c>
      <x:c r="C3951" t="str">
        <x:v>Parent indépendant 1.58</x:v>
      </x:c>
      <x:c r="D3951" t="str">
        <x:v>Secours et protection civile</x:v>
      </x:c>
      <x:c r="E3951" t="str">
        <x:v>Centre des postes d'accueil mobiles démontés</x:v>
      </x:c>
      <x:c r="F3951" t="n">
        <x:v>9</x:v>
      </x:c>
      <x:c r="G3951" t="n">
        <x:v>8</x:v>
      </x:c>
      <x:c r="H3951" t="n">
        <x:v>8</x:v>
      </x:c>
      <x:c r="I3951" t="str">
        <x:v>À qualifier par lieu</x:v>
      </x:c>
      <x:c r="J3951" t="str">
        <x:v>https://github.com/darknigthmare/deadwall-last-enclosure/blob/e28f46223e73105ab2c5d83f3d50b99b58ef53e6/codex-3000/addendum-1.58/PROGRAMMES_D.json</x:v>
      </x:c>
      <x:c r="K3951" t="str">
        <x:v>Source min 36,36 m ; max 36,36 m ; modèle 36 × 36 m ; niveaux 0, 1. Détails dans catalogue-existant.json.</x:v>
      </x:c>
    </x:row>
    <x:row r="3952">
      <x:c r="A3952" t="str">
        <x:v>DW-3947</x:v>
      </x:c>
      <x:c r="B3952" t="str">
        <x:v>DW-3947</x:v>
      </x:c>
      <x:c r="C3952" t="str">
        <x:v>Parent indépendant 1.58</x:v>
      </x:c>
      <x:c r="D3952" t="str">
        <x:v>Secours et protection civile</x:v>
      </x:c>
      <x:c r="E3952" t="str">
        <x:v>Dépôt des équipements d'identification d'équipe</x:v>
      </x:c>
      <x:c r="F3952" t="n">
        <x:v>9</x:v>
      </x:c>
      <x:c r="G3952" t="n">
        <x:v>8</x:v>
      </x:c>
      <x:c r="H3952" t="n">
        <x:v>8</x:v>
      </x:c>
      <x:c r="I3952" t="str">
        <x:v>À qualifier par lieu</x:v>
      </x:c>
      <x:c r="J3952" t="str">
        <x:v>https://github.com/darknigthmare/deadwall-last-enclosure/blob/e28f46223e73105ab2c5d83f3d50b99b58ef53e6/codex-3000/addendum-1.58/PROGRAMMES_D.json</x:v>
      </x:c>
      <x:c r="K3952" t="str">
        <x:v>Source min 40,40 m ; max 40,40 m ; modèle 40 × 40 m ; niveaux 0, 1. Détails dans catalogue-existant.json.</x:v>
      </x:c>
    </x:row>
    <x:row r="3953">
      <x:c r="A3953" t="str">
        <x:v>DW-3948</x:v>
      </x:c>
      <x:c r="B3953" t="str">
        <x:v>DW-3948</x:v>
      </x:c>
      <x:c r="C3953" t="str">
        <x:v>Parent indépendant 1.58</x:v>
      </x:c>
      <x:c r="D3953" t="str">
        <x:v>Secours et protection civile</x:v>
      </x:c>
      <x:c r="E3953" t="str">
        <x:v>Réserve des séparations d'accueil collectif</x:v>
      </x:c>
      <x:c r="F3953" t="n">
        <x:v>9</x:v>
      </x:c>
      <x:c r="G3953" t="n">
        <x:v>8</x:v>
      </x:c>
      <x:c r="H3953" t="n">
        <x:v>8</x:v>
      </x:c>
      <x:c r="I3953" t="str">
        <x:v>À qualifier par lieu</x:v>
      </x:c>
      <x:c r="J3953" t="str">
        <x:v>https://github.com/darknigthmare/deadwall-last-enclosure/blob/e28f46223e73105ab2c5d83f3d50b99b58ef53e6/codex-3000/addendum-1.58/PROGRAMMES_D.json</x:v>
      </x:c>
      <x:c r="K3953" t="str">
        <x:v>Source min 44,44 m ; max 44,44 m ; modèle 44 × 44 m ; niveaux 0, 1. Détails dans catalogue-existant.json.</x:v>
      </x:c>
    </x:row>
    <x:row r="3954">
      <x:c r="A3954" t="str">
        <x:v>DW-3949</x:v>
      </x:c>
      <x:c r="B3954" t="str">
        <x:v>DW-3949</x:v>
      </x:c>
      <x:c r="C3954" t="str">
        <x:v>Parent indépendant 1.58</x:v>
      </x:c>
      <x:c r="D3954" t="str">
        <x:v>Secours et protection civile</x:v>
      </x:c>
      <x:c r="E3954" t="str">
        <x:v>Centre des matériels de fermeture de vitrage</x:v>
      </x:c>
      <x:c r="F3954" t="n">
        <x:v>9</x:v>
      </x:c>
      <x:c r="G3954" t="n">
        <x:v>8</x:v>
      </x:c>
      <x:c r="H3954" t="n">
        <x:v>8</x:v>
      </x:c>
      <x:c r="I3954" t="str">
        <x:v>À qualifier par lieu</x:v>
      </x:c>
      <x:c r="J3954" t="str">
        <x:v>https://github.com/darknigthmare/deadwall-last-enclosure/blob/e28f46223e73105ab2c5d83f3d50b99b58ef53e6/codex-3000/addendum-1.58/PROGRAMMES_D.json</x:v>
      </x:c>
      <x:c r="K3954" t="str">
        <x:v>Source min 36,36 m ; max 36,36 m ; modèle 36 × 36 m ; niveaux 0, 1. Détails dans catalogue-existant.json.</x:v>
      </x:c>
    </x:row>
    <x:row r="3955">
      <x:c r="A3955" t="str">
        <x:v>DW-3950</x:v>
      </x:c>
      <x:c r="B3955" t="str">
        <x:v>DW-3950</x:v>
      </x:c>
      <x:c r="C3955" t="str">
        <x:v>Parent indépendant 1.58</x:v>
      </x:c>
      <x:c r="D3955" t="str">
        <x:v>Secours et protection civile</x:v>
      </x:c>
      <x:c r="E3955" t="str">
        <x:v>Dépôt des mallettes de maintien de service</x:v>
      </x:c>
      <x:c r="F3955" t="n">
        <x:v>9</x:v>
      </x:c>
      <x:c r="G3955" t="n">
        <x:v>8</x:v>
      </x:c>
      <x:c r="H3955" t="n">
        <x:v>8</x:v>
      </x:c>
      <x:c r="I3955" t="str">
        <x:v>À qualifier par lieu</x:v>
      </x:c>
      <x:c r="J3955" t="str">
        <x:v>https://github.com/darknigthmare/deadwall-last-enclosure/blob/e28f46223e73105ab2c5d83f3d50b99b58ef53e6/codex-3000/addendum-1.58/PROGRAMMES_D.json</x:v>
      </x:c>
      <x:c r="K3955" t="str">
        <x:v>Source min 40,40 m ; max 40,40 m ; modèle 40 × 40 m ; niveaux 0, 1. Détails dans catalogue-existant.json.</x:v>
      </x:c>
    </x:row>
    <x:row r="3956">
      <x:c r="A3956" t="str">
        <x:v>DW-3951</x:v>
      </x:c>
      <x:c r="B3956" t="str">
        <x:v>DW-3951</x:v>
      </x:c>
      <x:c r="C3956" t="str">
        <x:v>Parent indépendant 1.58</x:v>
      </x:c>
      <x:c r="D3956" t="str">
        <x:v>Énergie et communication</x:v>
      </x:c>
      <x:c r="E3956" t="str">
        <x:v>Maison des réparations de répartiteur téléphonique</x:v>
      </x:c>
      <x:c r="F3956" t="n">
        <x:v>9</x:v>
      </x:c>
      <x:c r="G3956" t="n">
        <x:v>8</x:v>
      </x:c>
      <x:c r="H3956" t="n">
        <x:v>8</x:v>
      </x:c>
      <x:c r="I3956" t="str">
        <x:v>À qualifier par lieu</x:v>
      </x:c>
      <x:c r="J3956" t="str">
        <x:v>https://github.com/darknigthmare/deadwall-last-enclosure/blob/e28f46223e73105ab2c5d83f3d50b99b58ef53e6/codex-3000/addendum-1.58/PROGRAMMES_D.json</x:v>
      </x:c>
      <x:c r="K3956" t="str">
        <x:v>Source min 42,42 m ; max 42,42 m ; modèle 42 × 42 m ; niveaux 0, 1. Détails dans catalogue-existant.json.</x:v>
      </x:c>
    </x:row>
    <x:row r="3957">
      <x:c r="A3957" t="str">
        <x:v>DW-3952</x:v>
      </x:c>
      <x:c r="B3957" t="str">
        <x:v>DW-3952</x:v>
      </x:c>
      <x:c r="C3957" t="str">
        <x:v>Parent indépendant 1.58</x:v>
      </x:c>
      <x:c r="D3957" t="str">
        <x:v>Énergie et communication</x:v>
      </x:c>
      <x:c r="E3957" t="str">
        <x:v>Centre des armoires de fibre optique</x:v>
      </x:c>
      <x:c r="F3957" t="n">
        <x:v>9</x:v>
      </x:c>
      <x:c r="G3957" t="n">
        <x:v>8</x:v>
      </x:c>
      <x:c r="H3957" t="n">
        <x:v>8</x:v>
      </x:c>
      <x:c r="I3957" t="str">
        <x:v>À qualifier par lieu</x:v>
      </x:c>
      <x:c r="J3957" t="str">
        <x:v>https://github.com/darknigthmare/deadwall-last-enclosure/blob/e28f46223e73105ab2c5d83f3d50b99b58ef53e6/codex-3000/addendum-1.58/PROGRAMMES_D.json</x:v>
      </x:c>
      <x:c r="K3957" t="str">
        <x:v>Source min 34,34 m ; max 34,34 m ; modèle 34 × 34 m ; niveaux 0, 1. Détails dans catalogue-existant.json.</x:v>
      </x:c>
    </x:row>
    <x:row r="3958">
      <x:c r="A3958" t="str">
        <x:v>DW-3953</x:v>
      </x:c>
      <x:c r="B3958" t="str">
        <x:v>DW-3953</x:v>
      </x:c>
      <x:c r="C3958" t="str">
        <x:v>Parent indépendant 1.58</x:v>
      </x:c>
      <x:c r="D3958" t="str">
        <x:v>Énergie et communication</x:v>
      </x:c>
      <x:c r="E3958" t="str">
        <x:v>Atelier des antennes terrestres déposées</x:v>
      </x:c>
      <x:c r="F3958" t="n">
        <x:v>9</x:v>
      </x:c>
      <x:c r="G3958" t="n">
        <x:v>8</x:v>
      </x:c>
      <x:c r="H3958" t="n">
        <x:v>8</x:v>
      </x:c>
      <x:c r="I3958" t="str">
        <x:v>À qualifier par lieu</x:v>
      </x:c>
      <x:c r="J3958" t="str">
        <x:v>https://github.com/darknigthmare/deadwall-last-enclosure/blob/e28f46223e73105ab2c5d83f3d50b99b58ef53e6/codex-3000/addendum-1.58/PROGRAMMES_D.json</x:v>
      </x:c>
      <x:c r="K3958" t="str">
        <x:v>Source min 38,38 m ; max 38,38 m ; modèle 38 × 38 m ; niveaux 0, 1. Détails dans catalogue-existant.json.</x:v>
      </x:c>
    </x:row>
    <x:row r="3959">
      <x:c r="A3959" t="str">
        <x:v>DW-3954</x:v>
      </x:c>
      <x:c r="B3959" t="str">
        <x:v>DW-3954</x:v>
      </x:c>
      <x:c r="C3959" t="str">
        <x:v>Parent indépendant 1.58</x:v>
      </x:c>
      <x:c r="D3959" t="str">
        <x:v>Énergie et communication</x:v>
      </x:c>
      <x:c r="E3959" t="str">
        <x:v>Maison des relais radio de maintenance</x:v>
      </x:c>
      <x:c r="F3959" t="n">
        <x:v>9</x:v>
      </x:c>
      <x:c r="G3959" t="n">
        <x:v>8</x:v>
      </x:c>
      <x:c r="H3959" t="n">
        <x:v>8</x:v>
      </x:c>
      <x:c r="I3959" t="str">
        <x:v>À qualifier par lieu</x:v>
      </x:c>
      <x:c r="J3959" t="str">
        <x:v>https://github.com/darknigthmare/deadwall-last-enclosure/blob/e28f46223e73105ab2c5d83f3d50b99b58ef53e6/codex-3000/addendum-1.58/PROGRAMMES_D.json</x:v>
      </x:c>
      <x:c r="K3959" t="str">
        <x:v>Source min 42,42 m ; max 42,42 m ; modèle 42 × 42 m ; niveaux 0, 1. Détails dans catalogue-existant.json.</x:v>
      </x:c>
    </x:row>
    <x:row r="3960">
      <x:c r="A3960" t="str">
        <x:v>DW-3955</x:v>
      </x:c>
      <x:c r="B3960" t="str">
        <x:v>DW-3955</x:v>
      </x:c>
      <x:c r="C3960" t="str">
        <x:v>Parent indépendant 1.58</x:v>
      </x:c>
      <x:c r="D3960" t="str">
        <x:v>Énergie et communication</x:v>
      </x:c>
      <x:c r="E3960" t="str">
        <x:v>Centre des postes téléphoniques de service</x:v>
      </x:c>
      <x:c r="F3960" t="n">
        <x:v>9</x:v>
      </x:c>
      <x:c r="G3960" t="n">
        <x:v>8</x:v>
      </x:c>
      <x:c r="H3960" t="n">
        <x:v>8</x:v>
      </x:c>
      <x:c r="I3960" t="str">
        <x:v>À qualifier par lieu</x:v>
      </x:c>
      <x:c r="J3960" t="str">
        <x:v>https://github.com/darknigthmare/deadwall-last-enclosure/blob/e28f46223e73105ab2c5d83f3d50b99b58ef53e6/codex-3000/addendum-1.58/PROGRAMMES_D.json</x:v>
      </x:c>
      <x:c r="K3960" t="str">
        <x:v>Source min 34,34 m ; max 34,34 m ; modèle 34 × 34 m ; niveaux 0, 1. Détails dans catalogue-existant.json.</x:v>
      </x:c>
    </x:row>
    <x:row r="3961">
      <x:c r="A3961" t="str">
        <x:v>DW-3956</x:v>
      </x:c>
      <x:c r="B3961" t="str">
        <x:v>DW-3956</x:v>
      </x:c>
      <x:c r="C3961" t="str">
        <x:v>Parent indépendant 1.58</x:v>
      </x:c>
      <x:c r="D3961" t="str">
        <x:v>Énergie et communication</x:v>
      </x:c>
      <x:c r="E3961" t="str">
        <x:v>Atelier des boîtiers de raccord cuivre</x:v>
      </x:c>
      <x:c r="F3961" t="n">
        <x:v>9</x:v>
      </x:c>
      <x:c r="G3961" t="n">
        <x:v>8</x:v>
      </x:c>
      <x:c r="H3961" t="n">
        <x:v>8</x:v>
      </x:c>
      <x:c r="I3961" t="str">
        <x:v>À qualifier par lieu</x:v>
      </x:c>
      <x:c r="J3961" t="str">
        <x:v>https://github.com/darknigthmare/deadwall-last-enclosure/blob/e28f46223e73105ab2c5d83f3d50b99b58ef53e6/codex-3000/addendum-1.58/PROGRAMMES_D.json</x:v>
      </x:c>
      <x:c r="K3961" t="str">
        <x:v>Source min 38,38 m ; max 38,38 m ; modèle 38 × 38 m ; niveaux 0, 1. Détails dans catalogue-existant.json.</x:v>
      </x:c>
    </x:row>
    <x:row r="3962">
      <x:c r="A3962" t="str">
        <x:v>DW-3957</x:v>
      </x:c>
      <x:c r="B3962" t="str">
        <x:v>DW-3957</x:v>
      </x:c>
      <x:c r="C3962" t="str">
        <x:v>Parent indépendant 1.58</x:v>
      </x:c>
      <x:c r="D3962" t="str">
        <x:v>Énergie et communication</x:v>
      </x:c>
      <x:c r="E3962" t="str">
        <x:v>Maison des radios de chantier confiées</x:v>
      </x:c>
      <x:c r="F3962" t="n">
        <x:v>9</x:v>
      </x:c>
      <x:c r="G3962" t="n">
        <x:v>8</x:v>
      </x:c>
      <x:c r="H3962" t="n">
        <x:v>8</x:v>
      </x:c>
      <x:c r="I3962" t="str">
        <x:v>À qualifier par lieu</x:v>
      </x:c>
      <x:c r="J3962" t="str">
        <x:v>https://github.com/darknigthmare/deadwall-last-enclosure/blob/e28f46223e73105ab2c5d83f3d50b99b58ef53e6/codex-3000/addendum-1.58/PROGRAMMES_D.json</x:v>
      </x:c>
      <x:c r="K3962" t="str">
        <x:v>Source min 42,42 m ; max 42,42 m ; modèle 42 × 42 m ; niveaux 0, 1. Détails dans catalogue-existant.json.</x:v>
      </x:c>
    </x:row>
    <x:row r="3963">
      <x:c r="A3963" t="str">
        <x:v>DW-3958</x:v>
      </x:c>
      <x:c r="B3963" t="str">
        <x:v>DW-3958</x:v>
      </x:c>
      <x:c r="C3963" t="str">
        <x:v>Parent indépendant 1.58</x:v>
      </x:c>
      <x:c r="D3963" t="str">
        <x:v>Énergie et communication</x:v>
      </x:c>
      <x:c r="E3963" t="str">
        <x:v>Centre des baies de brassage déposées</x:v>
      </x:c>
      <x:c r="F3963" t="n">
        <x:v>9</x:v>
      </x:c>
      <x:c r="G3963" t="n">
        <x:v>8</x:v>
      </x:c>
      <x:c r="H3963" t="n">
        <x:v>8</x:v>
      </x:c>
      <x:c r="I3963" t="str">
        <x:v>À qualifier par lieu</x:v>
      </x:c>
      <x:c r="J3963" t="str">
        <x:v>https://github.com/darknigthmare/deadwall-last-enclosure/blob/e28f46223e73105ab2c5d83f3d50b99b58ef53e6/codex-3000/addendum-1.58/PROGRAMMES_D.json</x:v>
      </x:c>
      <x:c r="K3963" t="str">
        <x:v>Source min 34,34 m ; max 34,34 m ; modèle 34 × 34 m ; niveaux 0, 1. Détails dans catalogue-existant.json.</x:v>
      </x:c>
    </x:row>
    <x:row r="3964">
      <x:c r="A3964" t="str">
        <x:v>DW-3959</x:v>
      </x:c>
      <x:c r="B3964" t="str">
        <x:v>DW-3959</x:v>
      </x:c>
      <x:c r="C3964" t="str">
        <x:v>Parent indépendant 1.58</x:v>
      </x:c>
      <x:c r="D3964" t="str">
        <x:v>Énergie et communication</x:v>
      </x:c>
      <x:c r="E3964" t="str">
        <x:v>Atelier des boîtiers d'interphone démontés</x:v>
      </x:c>
      <x:c r="F3964" t="n">
        <x:v>9</x:v>
      </x:c>
      <x:c r="G3964" t="n">
        <x:v>8</x:v>
      </x:c>
      <x:c r="H3964" t="n">
        <x:v>8</x:v>
      </x:c>
      <x:c r="I3964" t="str">
        <x:v>À qualifier par lieu</x:v>
      </x:c>
      <x:c r="J3964" t="str">
        <x:v>https://github.com/darknigthmare/deadwall-last-enclosure/blob/e28f46223e73105ab2c5d83f3d50b99b58ef53e6/codex-3000/addendum-1.58/PROGRAMMES_D.json</x:v>
      </x:c>
      <x:c r="K3964" t="str">
        <x:v>Source min 38,38 m ; max 38,38 m ; modèle 38 × 38 m ; niveaux 0, 1. Détails dans catalogue-existant.json.</x:v>
      </x:c>
    </x:row>
    <x:row r="3965">
      <x:c r="A3965" t="str">
        <x:v>DW-3960</x:v>
      </x:c>
      <x:c r="B3965" t="str">
        <x:v>DW-3960</x:v>
      </x:c>
      <x:c r="C3965" t="str">
        <x:v>Parent indépendant 1.58</x:v>
      </x:c>
      <x:c r="D3965" t="str">
        <x:v>Énergie et communication</x:v>
      </x:c>
      <x:c r="E3965" t="str">
        <x:v>Maison des coffrets de liaison de secours</x:v>
      </x:c>
      <x:c r="F3965" t="n">
        <x:v>9</x:v>
      </x:c>
      <x:c r="G3965" t="n">
        <x:v>8</x:v>
      </x:c>
      <x:c r="H3965" t="n">
        <x:v>8</x:v>
      </x:c>
      <x:c r="I3965" t="str">
        <x:v>À qualifier par lieu</x:v>
      </x:c>
      <x:c r="J3965" t="str">
        <x:v>https://github.com/darknigthmare/deadwall-last-enclosure/blob/e28f46223e73105ab2c5d83f3d50b99b58ef53e6/codex-3000/addendum-1.58/PROGRAMMES_D.json</x:v>
      </x:c>
      <x:c r="K3965" t="str">
        <x:v>Source min 42,42 m ; max 42,42 m ; modèle 42 × 42 m ; niveaux 0, 1. Détails dans catalogue-existant.json.</x:v>
      </x:c>
    </x:row>
    <x:row r="3966">
      <x:c r="A3966" t="str">
        <x:v>DW-3961</x:v>
      </x:c>
      <x:c r="B3966" t="str">
        <x:v>DW-3961</x:v>
      </x:c>
      <x:c r="C3966" t="str">
        <x:v>Parent indépendant 1.58</x:v>
      </x:c>
      <x:c r="D3966" t="str">
        <x:v>Industrie et production</x:v>
      </x:c>
      <x:c r="E3966" t="str">
        <x:v>Laboratoire des contacts électriques</x:v>
      </x:c>
      <x:c r="F3966" t="n">
        <x:v>9</x:v>
      </x:c>
      <x:c r="G3966" t="n">
        <x:v>8</x:v>
      </x:c>
      <x:c r="H3966" t="n">
        <x:v>8</x:v>
      </x:c>
      <x:c r="I3966" t="str">
        <x:v>À qualifier par lieu</x:v>
      </x:c>
      <x:c r="J3966" t="str">
        <x:v>https://github.com/darknigthmare/deadwall-last-enclosure/blob/e28f46223e73105ab2c5d83f3d50b99b58ef53e6/codex-3000/addendum-1.58/PROGRAMMES_D.json</x:v>
      </x:c>
      <x:c r="K3966" t="str">
        <x:v>Source min 34,34 m ; max 34,34 m ; modèle 34 × 34 m ; niveaux 0, 1. Détails dans catalogue-existant.json.</x:v>
      </x:c>
    </x:row>
    <x:row r="3967">
      <x:c r="A3967" t="str">
        <x:v>DW-3962</x:v>
      </x:c>
      <x:c r="B3967" t="str">
        <x:v>DW-3962</x:v>
      </x:c>
      <x:c r="C3967" t="str">
        <x:v>Parent indépendant 1.58</x:v>
      </x:c>
      <x:c r="D3967" t="str">
        <x:v>Industrie et production</x:v>
      </x:c>
      <x:c r="E3967" t="str">
        <x:v>Laboratoire des isolants de câble</x:v>
      </x:c>
      <x:c r="F3967" t="n">
        <x:v>9</x:v>
      </x:c>
      <x:c r="G3967" t="n">
        <x:v>8</x:v>
      </x:c>
      <x:c r="H3967" t="n">
        <x:v>8</x:v>
      </x:c>
      <x:c r="I3967" t="str">
        <x:v>À qualifier par lieu</x:v>
      </x:c>
      <x:c r="J3967" t="str">
        <x:v>https://github.com/darknigthmare/deadwall-last-enclosure/blob/e28f46223e73105ab2c5d83f3d50b99b58ef53e6/codex-3000/addendum-1.58/PROGRAMMES_D.json</x:v>
      </x:c>
      <x:c r="K3967" t="str">
        <x:v>Source min 38,38 m ; max 38,38 m ; modèle 38 × 38 m ; niveaux 0, 1. Détails dans catalogue-existant.json.</x:v>
      </x:c>
    </x:row>
    <x:row r="3968">
      <x:c r="A3968" t="str">
        <x:v>DW-3963</x:v>
      </x:c>
      <x:c r="B3968" t="str">
        <x:v>DW-3963</x:v>
      </x:c>
      <x:c r="C3968" t="str">
        <x:v>Parent indépendant 1.58</x:v>
      </x:c>
      <x:c r="D3968" t="str">
        <x:v>Industrie et production</x:v>
      </x:c>
      <x:c r="E3968" t="str">
        <x:v>Centre des essais de connecteur</x:v>
      </x:c>
      <x:c r="F3968" t="n">
        <x:v>9</x:v>
      </x:c>
      <x:c r="G3968" t="n">
        <x:v>8</x:v>
      </x:c>
      <x:c r="H3968" t="n">
        <x:v>8</x:v>
      </x:c>
      <x:c r="I3968" t="str">
        <x:v>À qualifier par lieu</x:v>
      </x:c>
      <x:c r="J3968" t="str">
        <x:v>https://github.com/darknigthmare/deadwall-last-enclosure/blob/e28f46223e73105ab2c5d83f3d50b99b58ef53e6/codex-3000/addendum-1.58/PROGRAMMES_D.json</x:v>
      </x:c>
      <x:c r="K3968" t="str">
        <x:v>Source min 42,42 m ; max 42,42 m ; modèle 42 × 42 m ; niveaux 0, 1. Détails dans catalogue-existant.json.</x:v>
      </x:c>
    </x:row>
    <x:row r="3969">
      <x:c r="A3969" t="str">
        <x:v>DW-3964</x:v>
      </x:c>
      <x:c r="B3969" t="str">
        <x:v>DW-3964</x:v>
      </x:c>
      <x:c r="C3969" t="str">
        <x:v>Parent indépendant 1.58</x:v>
      </x:c>
      <x:c r="D3969" t="str">
        <x:v>Industrie et production</x:v>
      </x:c>
      <x:c r="E3969" t="str">
        <x:v>Laboratoire des assemblages de circuit</x:v>
      </x:c>
      <x:c r="F3969" t="n">
        <x:v>9</x:v>
      </x:c>
      <x:c r="G3969" t="n">
        <x:v>8</x:v>
      </x:c>
      <x:c r="H3969" t="n">
        <x:v>8</x:v>
      </x:c>
      <x:c r="I3969" t="str">
        <x:v>À qualifier par lieu</x:v>
      </x:c>
      <x:c r="J3969" t="str">
        <x:v>https://github.com/darknigthmare/deadwall-last-enclosure/blob/e28f46223e73105ab2c5d83f3d50b99b58ef53e6/codex-3000/addendum-1.58/PROGRAMMES_D.json</x:v>
      </x:c>
      <x:c r="K3969" t="str">
        <x:v>Source min 34,34 m ; max 34,34 m ; modèle 34 × 34 m ; niveaux 0, 1. Détails dans catalogue-existant.json.</x:v>
      </x:c>
    </x:row>
    <x:row r="3970">
      <x:c r="A3970" t="str">
        <x:v>DW-3965</x:v>
      </x:c>
      <x:c r="B3970" t="str">
        <x:v>DW-3965</x:v>
      </x:c>
      <x:c r="C3970" t="str">
        <x:v>Parent indépendant 1.58</x:v>
      </x:c>
      <x:c r="D3970" t="str">
        <x:v>Industrie et production</x:v>
      </x:c>
      <x:c r="E3970" t="str">
        <x:v>Centre des essais de capteur de pression</x:v>
      </x:c>
      <x:c r="F3970" t="n">
        <x:v>9</x:v>
      </x:c>
      <x:c r="G3970" t="n">
        <x:v>8</x:v>
      </x:c>
      <x:c r="H3970" t="n">
        <x:v>8</x:v>
      </x:c>
      <x:c r="I3970" t="str">
        <x:v>À qualifier par lieu</x:v>
      </x:c>
      <x:c r="J3970" t="str">
        <x:v>https://github.com/darknigthmare/deadwall-last-enclosure/blob/e28f46223e73105ab2c5d83f3d50b99b58ef53e6/codex-3000/addendum-1.58/PROGRAMMES_D.json</x:v>
      </x:c>
      <x:c r="K3970" t="str">
        <x:v>Source min 38,38 m ; max 38,38 m ; modèle 38 × 38 m ; niveaux 0, 1. Détails dans catalogue-existant.json.</x:v>
      </x:c>
    </x:row>
    <x:row r="3971">
      <x:c r="A3971" t="str">
        <x:v>DW-3966</x:v>
      </x:c>
      <x:c r="B3971" t="str">
        <x:v>DW-3966</x:v>
      </x:c>
      <x:c r="C3971" t="str">
        <x:v>Parent indépendant 1.58</x:v>
      </x:c>
      <x:c r="D3971" t="str">
        <x:v>Industrie et production</x:v>
      </x:c>
      <x:c r="E3971" t="str">
        <x:v>Laboratoire des petits moteurs électriques</x:v>
      </x:c>
      <x:c r="F3971" t="n">
        <x:v>9</x:v>
      </x:c>
      <x:c r="G3971" t="n">
        <x:v>8</x:v>
      </x:c>
      <x:c r="H3971" t="n">
        <x:v>8</x:v>
      </x:c>
      <x:c r="I3971" t="str">
        <x:v>À qualifier par lieu</x:v>
      </x:c>
      <x:c r="J3971" t="str">
        <x:v>https://github.com/darknigthmare/deadwall-last-enclosure/blob/e28f46223e73105ab2c5d83f3d50b99b58ef53e6/codex-3000/addendum-1.58/PROGRAMMES_D.json</x:v>
      </x:c>
      <x:c r="K3971" t="str">
        <x:v>Source min 42,42 m ; max 42,42 m ; modèle 42 × 42 m ; niveaux 0, 1. Détails dans catalogue-existant.json.</x:v>
      </x:c>
    </x:row>
    <x:row r="3972">
      <x:c r="A3972" t="str">
        <x:v>DW-3967</x:v>
      </x:c>
      <x:c r="B3972" t="str">
        <x:v>DW-3967</x:v>
      </x:c>
      <x:c r="C3972" t="str">
        <x:v>Parent indépendant 1.58</x:v>
      </x:c>
      <x:c r="D3972" t="str">
        <x:v>Industrie et production</x:v>
      </x:c>
      <x:c r="E3972" t="str">
        <x:v>Centre des essais de protection électrique</x:v>
      </x:c>
      <x:c r="F3972" t="n">
        <x:v>9</x:v>
      </x:c>
      <x:c r="G3972" t="n">
        <x:v>8</x:v>
      </x:c>
      <x:c r="H3972" t="n">
        <x:v>8</x:v>
      </x:c>
      <x:c r="I3972" t="str">
        <x:v>À qualifier par lieu</x:v>
      </x:c>
      <x:c r="J3972" t="str">
        <x:v>https://github.com/darknigthmare/deadwall-last-enclosure/blob/e28f46223e73105ab2c5d83f3d50b99b58ef53e6/codex-3000/addendum-1.58/PROGRAMMES_D.json</x:v>
      </x:c>
      <x:c r="K3972" t="str">
        <x:v>Source min 34,34 m ; max 34,34 m ; modèle 34 × 34 m ; niveaux 0, 1. Détails dans catalogue-existant.json.</x:v>
      </x:c>
    </x:row>
    <x:row r="3973">
      <x:c r="A3973" t="str">
        <x:v>DW-3968</x:v>
      </x:c>
      <x:c r="B3973" t="str">
        <x:v>DW-3968</x:v>
      </x:c>
      <x:c r="C3973" t="str">
        <x:v>Parent indépendant 1.58</x:v>
      </x:c>
      <x:c r="D3973" t="str">
        <x:v>Industrie et production</x:v>
      </x:c>
      <x:c r="E3973" t="str">
        <x:v>Laboratoire des dissipateurs thermiques</x:v>
      </x:c>
      <x:c r="F3973" t="n">
        <x:v>9</x:v>
      </x:c>
      <x:c r="G3973" t="n">
        <x:v>8</x:v>
      </x:c>
      <x:c r="H3973" t="n">
        <x:v>8</x:v>
      </x:c>
      <x:c r="I3973" t="str">
        <x:v>À qualifier par lieu</x:v>
      </x:c>
      <x:c r="J3973" t="str">
        <x:v>https://github.com/darknigthmare/deadwall-last-enclosure/blob/e28f46223e73105ab2c5d83f3d50b99b58ef53e6/codex-3000/addendum-1.58/PROGRAMMES_D.json</x:v>
      </x:c>
      <x:c r="K3973" t="str">
        <x:v>Source min 38,38 m ; max 38,38 m ; modèle 38 × 38 m ; niveaux 0, 1. Détails dans catalogue-existant.json.</x:v>
      </x:c>
    </x:row>
    <x:row r="3974">
      <x:c r="A3974" t="str">
        <x:v>DW-3969</x:v>
      </x:c>
      <x:c r="B3974" t="str">
        <x:v>DW-3969</x:v>
      </x:c>
      <x:c r="C3974" t="str">
        <x:v>Parent indépendant 1.58</x:v>
      </x:c>
      <x:c r="D3974" t="str">
        <x:v>Industrie et production</x:v>
      </x:c>
      <x:c r="E3974" t="str">
        <x:v>Centre des essais de transformateur déposé</x:v>
      </x:c>
      <x:c r="F3974" t="n">
        <x:v>9</x:v>
      </x:c>
      <x:c r="G3974" t="n">
        <x:v>8</x:v>
      </x:c>
      <x:c r="H3974" t="n">
        <x:v>8</x:v>
      </x:c>
      <x:c r="I3974" t="str">
        <x:v>À qualifier par lieu</x:v>
      </x:c>
      <x:c r="J3974" t="str">
        <x:v>https://github.com/darknigthmare/deadwall-last-enclosure/blob/e28f46223e73105ab2c5d83f3d50b99b58ef53e6/codex-3000/addendum-1.58/PROGRAMMES_D.json</x:v>
      </x:c>
      <x:c r="K3974" t="str">
        <x:v>Source min 42,42 m ; max 42,42 m ; modèle 42 × 42 m ; niveaux 0, 1. Détails dans catalogue-existant.json.</x:v>
      </x:c>
    </x:row>
    <x:row r="3975">
      <x:c r="A3975" t="str">
        <x:v>DW-3970</x:v>
      </x:c>
      <x:c r="B3975" t="str">
        <x:v>DW-3970</x:v>
      </x:c>
      <x:c r="C3975" t="str">
        <x:v>Parent indépendant 1.58</x:v>
      </x:c>
      <x:c r="D3975" t="str">
        <x:v>Industrie et production</x:v>
      </x:c>
      <x:c r="E3975" t="str">
        <x:v>Laboratoire des contacts de batterie</x:v>
      </x:c>
      <x:c r="F3975" t="n">
        <x:v>9</x:v>
      </x:c>
      <x:c r="G3975" t="n">
        <x:v>8</x:v>
      </x:c>
      <x:c r="H3975" t="n">
        <x:v>8</x:v>
      </x:c>
      <x:c r="I3975" t="str">
        <x:v>À qualifier par lieu</x:v>
      </x:c>
      <x:c r="J3975" t="str">
        <x:v>https://github.com/darknigthmare/deadwall-last-enclosure/blob/e28f46223e73105ab2c5d83f3d50b99b58ef53e6/codex-3000/addendum-1.58/PROGRAMMES_D.json</x:v>
      </x:c>
      <x:c r="K3975" t="str">
        <x:v>Source min 34,34 m ; max 34,34 m ; modèle 34 × 34 m ; niveaux 0, 1. Détails dans catalogue-existant.json.</x:v>
      </x:c>
    </x:row>
    <x:row r="3976">
      <x:c r="A3976" t="str">
        <x:v>DW-3971</x:v>
      </x:c>
      <x:c r="B3976" t="str">
        <x:v>DW-3971</x:v>
      </x:c>
      <x:c r="C3976" t="str">
        <x:v>Parent indépendant 1.58</x:v>
      </x:c>
      <x:c r="D3976" t="str">
        <x:v>Éducation et connaissance</x:v>
      </x:c>
      <x:c r="E3976" t="str">
        <x:v>Laboratoire des lentilles de mesure</x:v>
      </x:c>
      <x:c r="F3976" t="n">
        <x:v>9</x:v>
      </x:c>
      <x:c r="G3976" t="n">
        <x:v>8</x:v>
      </x:c>
      <x:c r="H3976" t="n">
        <x:v>8</x:v>
      </x:c>
      <x:c r="I3976" t="str">
        <x:v>À qualifier par lieu</x:v>
      </x:c>
      <x:c r="J3976" t="str">
        <x:v>https://github.com/darknigthmare/deadwall-last-enclosure/blob/e28f46223e73105ab2c5d83f3d50b99b58ef53e6/codex-3000/addendum-1.58/PROGRAMMES_D.json</x:v>
      </x:c>
      <x:c r="K3976" t="str">
        <x:v>Source min 38,38 m ; max 38,38 m ; modèle 38 × 38 m ; niveaux 0, 1. Détails dans catalogue-existant.json.</x:v>
      </x:c>
    </x:row>
    <x:row r="3977">
      <x:c r="A3977" t="str">
        <x:v>DW-3972</x:v>
      </x:c>
      <x:c r="B3977" t="str">
        <x:v>DW-3972</x:v>
      </x:c>
      <x:c r="C3977" t="str">
        <x:v>Parent indépendant 1.58</x:v>
      </x:c>
      <x:c r="D3977" t="str">
        <x:v>Éducation et connaissance</x:v>
      </x:c>
      <x:c r="E3977" t="str">
        <x:v>Centre des essais de miroir technique</x:v>
      </x:c>
      <x:c r="F3977" t="n">
        <x:v>9</x:v>
      </x:c>
      <x:c r="G3977" t="n">
        <x:v>8</x:v>
      </x:c>
      <x:c r="H3977" t="n">
        <x:v>8</x:v>
      </x:c>
      <x:c r="I3977" t="str">
        <x:v>À qualifier par lieu</x:v>
      </x:c>
      <x:c r="J3977" t="str">
        <x:v>https://github.com/darknigthmare/deadwall-last-enclosure/blob/e28f46223e73105ab2c5d83f3d50b99b58ef53e6/codex-3000/addendum-1.58/PROGRAMMES_D.json</x:v>
      </x:c>
      <x:c r="K3977" t="str">
        <x:v>Source min 42,42 m ; max 42,42 m ; modèle 42 × 42 m ; niveaux 0, 1. Détails dans catalogue-existant.json.</x:v>
      </x:c>
    </x:row>
    <x:row r="3978">
      <x:c r="A3978" t="str">
        <x:v>DW-3973</x:v>
      </x:c>
      <x:c r="B3978" t="str">
        <x:v>DW-3973</x:v>
      </x:c>
      <x:c r="C3978" t="str">
        <x:v>Parent indépendant 1.58</x:v>
      </x:c>
      <x:c r="D3978" t="str">
        <x:v>Éducation et connaissance</x:v>
      </x:c>
      <x:c r="E3978" t="str">
        <x:v>Laboratoire des fibres lumineuses</x:v>
      </x:c>
      <x:c r="F3978" t="n">
        <x:v>9</x:v>
      </x:c>
      <x:c r="G3978" t="n">
        <x:v>8</x:v>
      </x:c>
      <x:c r="H3978" t="n">
        <x:v>8</x:v>
      </x:c>
      <x:c r="I3978" t="str">
        <x:v>À qualifier par lieu</x:v>
      </x:c>
      <x:c r="J3978" t="str">
        <x:v>https://github.com/darknigthmare/deadwall-last-enclosure/blob/e28f46223e73105ab2c5d83f3d50b99b58ef53e6/codex-3000/addendum-1.58/PROGRAMMES_D.json</x:v>
      </x:c>
      <x:c r="K3978" t="str">
        <x:v>Source min 34,34 m ; max 34,34 m ; modèle 34 × 34 m ; niveaux 0, 1. Détails dans catalogue-existant.json.</x:v>
      </x:c>
    </x:row>
    <x:row r="3979">
      <x:c r="A3979" t="str">
        <x:v>DW-3974</x:v>
      </x:c>
      <x:c r="B3979" t="str">
        <x:v>DW-3974</x:v>
      </x:c>
      <x:c r="C3979" t="str">
        <x:v>Parent indépendant 1.58</x:v>
      </x:c>
      <x:c r="D3979" t="str">
        <x:v>Éducation et connaissance</x:v>
      </x:c>
      <x:c r="E3979" t="str">
        <x:v>Centre des essais de boîtier photographique</x:v>
      </x:c>
      <x:c r="F3979" t="n">
        <x:v>9</x:v>
      </x:c>
      <x:c r="G3979" t="n">
        <x:v>8</x:v>
      </x:c>
      <x:c r="H3979" t="n">
        <x:v>8</x:v>
      </x:c>
      <x:c r="I3979" t="str">
        <x:v>À qualifier par lieu</x:v>
      </x:c>
      <x:c r="J3979" t="str">
        <x:v>https://github.com/darknigthmare/deadwall-last-enclosure/blob/e28f46223e73105ab2c5d83f3d50b99b58ef53e6/codex-3000/addendum-1.58/PROGRAMMES_D.json</x:v>
      </x:c>
      <x:c r="K3979" t="str">
        <x:v>Source min 38,38 m ; max 38,38 m ; modèle 38 × 38 m ; niveaux 0, 1. Détails dans catalogue-existant.json.</x:v>
      </x:c>
    </x:row>
    <x:row r="3980">
      <x:c r="A3980" t="str">
        <x:v>DW-3975</x:v>
      </x:c>
      <x:c r="B3980" t="str">
        <x:v>DW-3975</x:v>
      </x:c>
      <x:c r="C3980" t="str">
        <x:v>Parent indépendant 1.58</x:v>
      </x:c>
      <x:c r="D3980" t="str">
        <x:v>Éducation et connaissance</x:v>
      </x:c>
      <x:c r="E3980" t="str">
        <x:v>Laboratoire des diaphragmes optiques</x:v>
      </x:c>
      <x:c r="F3980" t="n">
        <x:v>9</x:v>
      </x:c>
      <x:c r="G3980" t="n">
        <x:v>8</x:v>
      </x:c>
      <x:c r="H3980" t="n">
        <x:v>8</x:v>
      </x:c>
      <x:c r="I3980" t="str">
        <x:v>À qualifier par lieu</x:v>
      </x:c>
      <x:c r="J3980" t="str">
        <x:v>https://github.com/darknigthmare/deadwall-last-enclosure/blob/e28f46223e73105ab2c5d83f3d50b99b58ef53e6/codex-3000/addendum-1.58/PROGRAMMES_D.json</x:v>
      </x:c>
      <x:c r="K3980" t="str">
        <x:v>Source min 42,42 m ; max 42,42 m ; modèle 42 × 42 m ; niveaux 0, 1. Détails dans catalogue-existant.json.</x:v>
      </x:c>
    </x:row>
    <x:row r="3981">
      <x:c r="A3981" t="str">
        <x:v>DW-3976</x:v>
      </x:c>
      <x:c r="B3981" t="str">
        <x:v>DW-3976</x:v>
      </x:c>
      <x:c r="C3981" t="str">
        <x:v>Parent indépendant 1.58</x:v>
      </x:c>
      <x:c r="D3981" t="str">
        <x:v>Éducation et connaissance</x:v>
      </x:c>
      <x:c r="E3981" t="str">
        <x:v>Centre des essais de filtre optique</x:v>
      </x:c>
      <x:c r="F3981" t="n">
        <x:v>9</x:v>
      </x:c>
      <x:c r="G3981" t="n">
        <x:v>8</x:v>
      </x:c>
      <x:c r="H3981" t="n">
        <x:v>8</x:v>
      </x:c>
      <x:c r="I3981" t="str">
        <x:v>À qualifier par lieu</x:v>
      </x:c>
      <x:c r="J3981" t="str">
        <x:v>https://github.com/darknigthmare/deadwall-last-enclosure/blob/e28f46223e73105ab2c5d83f3d50b99b58ef53e6/codex-3000/addendum-1.58/PROGRAMMES_D.json</x:v>
      </x:c>
      <x:c r="K3981" t="str">
        <x:v>Source min 34,34 m ; max 34,34 m ; modèle 34 × 34 m ; niveaux 0, 1. Détails dans catalogue-existant.json.</x:v>
      </x:c>
    </x:row>
    <x:row r="3982">
      <x:c r="A3982" t="str">
        <x:v>DW-3977</x:v>
      </x:c>
      <x:c r="B3982" t="str">
        <x:v>DW-3977</x:v>
      </x:c>
      <x:c r="C3982" t="str">
        <x:v>Parent indépendant 1.58</x:v>
      </x:c>
      <x:c r="D3982" t="str">
        <x:v>Éducation et connaissance</x:v>
      </x:c>
      <x:c r="E3982" t="str">
        <x:v>Laboratoire des viseurs d'inspection civile</x:v>
      </x:c>
      <x:c r="F3982" t="n">
        <x:v>9</x:v>
      </x:c>
      <x:c r="G3982" t="n">
        <x:v>8</x:v>
      </x:c>
      <x:c r="H3982" t="n">
        <x:v>8</x:v>
      </x:c>
      <x:c r="I3982" t="str">
        <x:v>À qualifier par lieu</x:v>
      </x:c>
      <x:c r="J3982" t="str">
        <x:v>https://github.com/darknigthmare/deadwall-last-enclosure/blob/e28f46223e73105ab2c5d83f3d50b99b58ef53e6/codex-3000/addendum-1.58/PROGRAMMES_D.json</x:v>
      </x:c>
      <x:c r="K3982" t="str">
        <x:v>Source min 38,38 m ; max 38,38 m ; modèle 38 × 38 m ; niveaux 0, 1. Détails dans catalogue-existant.json.</x:v>
      </x:c>
    </x:row>
    <x:row r="3983">
      <x:c r="A3983" t="str">
        <x:v>DW-3978</x:v>
      </x:c>
      <x:c r="B3983" t="str">
        <x:v>DW-3978</x:v>
      </x:c>
      <x:c r="C3983" t="str">
        <x:v>Parent indépendant 1.58</x:v>
      </x:c>
      <x:c r="D3983" t="str">
        <x:v>Éducation et connaissance</x:v>
      </x:c>
      <x:c r="E3983" t="str">
        <x:v>Centre des essais de fenêtre d'instrument</x:v>
      </x:c>
      <x:c r="F3983" t="n">
        <x:v>9</x:v>
      </x:c>
      <x:c r="G3983" t="n">
        <x:v>8</x:v>
      </x:c>
      <x:c r="H3983" t="n">
        <x:v>8</x:v>
      </x:c>
      <x:c r="I3983" t="str">
        <x:v>À qualifier par lieu</x:v>
      </x:c>
      <x:c r="J3983" t="str">
        <x:v>https://github.com/darknigthmare/deadwall-last-enclosure/blob/e28f46223e73105ab2c5d83f3d50b99b58ef53e6/codex-3000/addendum-1.58/PROGRAMMES_D.json</x:v>
      </x:c>
      <x:c r="K3983" t="str">
        <x:v>Source min 42,42 m ; max 42,42 m ; modèle 42 × 42 m ; niveaux 0, 1. Détails dans catalogue-existant.json.</x:v>
      </x:c>
    </x:row>
    <x:row r="3984">
      <x:c r="A3984" t="str">
        <x:v>DW-3979</x:v>
      </x:c>
      <x:c r="B3984" t="str">
        <x:v>DW-3979</x:v>
      </x:c>
      <x:c r="C3984" t="str">
        <x:v>Parent indépendant 1.58</x:v>
      </x:c>
      <x:c r="D3984" t="str">
        <x:v>Éducation et connaissance</x:v>
      </x:c>
      <x:c r="E3984" t="str">
        <x:v>Laboratoire des supports de microscope</x:v>
      </x:c>
      <x:c r="F3984" t="n">
        <x:v>9</x:v>
      </x:c>
      <x:c r="G3984" t="n">
        <x:v>8</x:v>
      </x:c>
      <x:c r="H3984" t="n">
        <x:v>8</x:v>
      </x:c>
      <x:c r="I3984" t="str">
        <x:v>À qualifier par lieu</x:v>
      </x:c>
      <x:c r="J3984" t="str">
        <x:v>https://github.com/darknigthmare/deadwall-last-enclosure/blob/e28f46223e73105ab2c5d83f3d50b99b58ef53e6/codex-3000/addendum-1.58/PROGRAMMES_D.json</x:v>
      </x:c>
      <x:c r="K3984" t="str">
        <x:v>Source min 34,34 m ; max 34,34 m ; modèle 34 × 34 m ; niveaux 0, 1. Détails dans catalogue-existant.json.</x:v>
      </x:c>
    </x:row>
    <x:row r="3985">
      <x:c r="A3985" t="str">
        <x:v>DW-3980</x:v>
      </x:c>
      <x:c r="B3985" t="str">
        <x:v>DW-3980</x:v>
      </x:c>
      <x:c r="C3985" t="str">
        <x:v>Parent indépendant 1.58</x:v>
      </x:c>
      <x:c r="D3985" t="str">
        <x:v>Éducation et connaissance</x:v>
      </x:c>
      <x:c r="E3985" t="str">
        <x:v>Centre des essais d'éclairage d'inspection</x:v>
      </x:c>
      <x:c r="F3985" t="n">
        <x:v>9</x:v>
      </x:c>
      <x:c r="G3985" t="n">
        <x:v>8</x:v>
      </x:c>
      <x:c r="H3985" t="n">
        <x:v>8</x:v>
      </x:c>
      <x:c r="I3985" t="str">
        <x:v>À qualifier par lieu</x:v>
      </x:c>
      <x:c r="J3985" t="str">
        <x:v>https://github.com/darknigthmare/deadwall-last-enclosure/blob/e28f46223e73105ab2c5d83f3d50b99b58ef53e6/codex-3000/addendum-1.58/PROGRAMMES_D.json</x:v>
      </x:c>
      <x:c r="K3985" t="str">
        <x:v>Source min 38,38 m ; max 38,38 m ; modèle 38 × 38 m ; niveaux 0, 1. Détails dans catalogue-existant.json.</x:v>
      </x:c>
    </x:row>
    <x:row r="3986">
      <x:c r="A3986" t="str">
        <x:v>DW-3981</x:v>
      </x:c>
      <x:c r="B3986" t="str">
        <x:v>DW-3981</x:v>
      </x:c>
      <x:c r="C3986" t="str">
        <x:v>Parent indépendant 1.58</x:v>
      </x:c>
      <x:c r="D3986" t="str">
        <x:v>Industrie et production</x:v>
      </x:c>
      <x:c r="E3986" t="str">
        <x:v>Laboratoire des joints de dilatation</x:v>
      </x:c>
      <x:c r="F3986" t="n">
        <x:v>9</x:v>
      </x:c>
      <x:c r="G3986" t="n">
        <x:v>8</x:v>
      </x:c>
      <x:c r="H3986" t="n">
        <x:v>8</x:v>
      </x:c>
      <x:c r="I3986" t="str">
        <x:v>À qualifier par lieu</x:v>
      </x:c>
      <x:c r="J3986" t="str">
        <x:v>https://github.com/darknigthmare/deadwall-last-enclosure/blob/e28f46223e73105ab2c5d83f3d50b99b58ef53e6/codex-3000/addendum-1.58/PROGRAMMES_D.json</x:v>
      </x:c>
      <x:c r="K3986" t="str">
        <x:v>Source min 42,42 m ; max 42,42 m ; modèle 42 × 42 m ; niveaux 0, 1. Détails dans catalogue-existant.json.</x:v>
      </x:c>
    </x:row>
    <x:row r="3987">
      <x:c r="A3987" t="str">
        <x:v>DW-3982</x:v>
      </x:c>
      <x:c r="B3987" t="str">
        <x:v>DW-3982</x:v>
      </x:c>
      <x:c r="C3987" t="str">
        <x:v>Parent indépendant 1.58</x:v>
      </x:c>
      <x:c r="D3987" t="str">
        <x:v>Industrie et production</x:v>
      </x:c>
      <x:c r="E3987" t="str">
        <x:v>Centre des essais de colle d'assemblage</x:v>
      </x:c>
      <x:c r="F3987" t="n">
        <x:v>9</x:v>
      </x:c>
      <x:c r="G3987" t="n">
        <x:v>8</x:v>
      </x:c>
      <x:c r="H3987" t="n">
        <x:v>8</x:v>
      </x:c>
      <x:c r="I3987" t="str">
        <x:v>À qualifier par lieu</x:v>
      </x:c>
      <x:c r="J3987" t="str">
        <x:v>https://github.com/darknigthmare/deadwall-last-enclosure/blob/e28f46223e73105ab2c5d83f3d50b99b58ef53e6/codex-3000/addendum-1.58/PROGRAMMES_D.json</x:v>
      </x:c>
      <x:c r="K3987" t="str">
        <x:v>Source min 34,34 m ; max 34,34 m ; modèle 34 × 34 m ; niveaux 0, 1. Détails dans catalogue-existant.json.</x:v>
      </x:c>
    </x:row>
    <x:row r="3988">
      <x:c r="A3988" t="str">
        <x:v>DW-3983</x:v>
      </x:c>
      <x:c r="B3988" t="str">
        <x:v>DW-3983</x:v>
      </x:c>
      <x:c r="C3988" t="str">
        <x:v>Parent indépendant 1.58</x:v>
      </x:c>
      <x:c r="D3988" t="str">
        <x:v>Industrie et production</x:v>
      </x:c>
      <x:c r="E3988" t="str">
        <x:v>Laboratoire des revêtements anticorrosion</x:v>
      </x:c>
      <x:c r="F3988" t="n">
        <x:v>9</x:v>
      </x:c>
      <x:c r="G3988" t="n">
        <x:v>8</x:v>
      </x:c>
      <x:c r="H3988" t="n">
        <x:v>8</x:v>
      </x:c>
      <x:c r="I3988" t="str">
        <x:v>À qualifier par lieu</x:v>
      </x:c>
      <x:c r="J3988" t="str">
        <x:v>https://github.com/darknigthmare/deadwall-last-enclosure/blob/e28f46223e73105ab2c5d83f3d50b99b58ef53e6/codex-3000/addendum-1.58/PROGRAMMES_D.json</x:v>
      </x:c>
      <x:c r="K3988" t="str">
        <x:v>Source min 38,38 m ; max 38,38 m ; modèle 38 × 38 m ; niveaux 0, 1. Détails dans catalogue-existant.json.</x:v>
      </x:c>
    </x:row>
    <x:row r="3989">
      <x:c r="A3989" t="str">
        <x:v>DW-3984</x:v>
      </x:c>
      <x:c r="B3989" t="str">
        <x:v>DW-3984</x:v>
      </x:c>
      <x:c r="C3989" t="str">
        <x:v>Parent indépendant 1.58</x:v>
      </x:c>
      <x:c r="D3989" t="str">
        <x:v>Industrie et production</x:v>
      </x:c>
      <x:c r="E3989" t="str">
        <x:v>Centre des essais de textile technique</x:v>
      </x:c>
      <x:c r="F3989" t="n">
        <x:v>9</x:v>
      </x:c>
      <x:c r="G3989" t="n">
        <x:v>8</x:v>
      </x:c>
      <x:c r="H3989" t="n">
        <x:v>8</x:v>
      </x:c>
      <x:c r="I3989" t="str">
        <x:v>À qualifier par lieu</x:v>
      </x:c>
      <x:c r="J3989" t="str">
        <x:v>https://github.com/darknigthmare/deadwall-last-enclosure/blob/e28f46223e73105ab2c5d83f3d50b99b58ef53e6/codex-3000/addendum-1.58/PROGRAMMES_D.json</x:v>
      </x:c>
      <x:c r="K3989" t="str">
        <x:v>Source min 42,42 m ; max 42,42 m ; modèle 42 × 42 m ; niveaux 0, 1. Détails dans catalogue-existant.json.</x:v>
      </x:c>
    </x:row>
    <x:row r="3990">
      <x:c r="A3990" t="str">
        <x:v>DW-3985</x:v>
      </x:c>
      <x:c r="B3990" t="str">
        <x:v>DW-3985</x:v>
      </x:c>
      <x:c r="C3990" t="str">
        <x:v>Parent indépendant 1.58</x:v>
      </x:c>
      <x:c r="D3990" t="str">
        <x:v>Industrie et production</x:v>
      </x:c>
      <x:c r="E3990" t="str">
        <x:v>Laboratoire des garnitures de friction</x:v>
      </x:c>
      <x:c r="F3990" t="n">
        <x:v>9</x:v>
      </x:c>
      <x:c r="G3990" t="n">
        <x:v>8</x:v>
      </x:c>
      <x:c r="H3990" t="n">
        <x:v>8</x:v>
      </x:c>
      <x:c r="I3990" t="str">
        <x:v>À qualifier par lieu</x:v>
      </x:c>
      <x:c r="J3990" t="str">
        <x:v>https://github.com/darknigthmare/deadwall-last-enclosure/blob/e28f46223e73105ab2c5d83f3d50b99b58ef53e6/codex-3000/addendum-1.58/PROGRAMMES_D.json</x:v>
      </x:c>
      <x:c r="K3990" t="str">
        <x:v>Source min 34,34 m ; max 34,34 m ; modèle 34 × 34 m ; niveaux 0, 1. Détails dans catalogue-existant.json.</x:v>
      </x:c>
    </x:row>
    <x:row r="3991">
      <x:c r="A3991" t="str">
        <x:v>DW-3986</x:v>
      </x:c>
      <x:c r="B3991" t="str">
        <x:v>DW-3986</x:v>
      </x:c>
      <x:c r="C3991" t="str">
        <x:v>Parent indépendant 1.58</x:v>
      </x:c>
      <x:c r="D3991" t="str">
        <x:v>Industrie et production</x:v>
      </x:c>
      <x:c r="E3991" t="str">
        <x:v>Centre des essais de mousse isolante</x:v>
      </x:c>
      <x:c r="F3991" t="n">
        <x:v>9</x:v>
      </x:c>
      <x:c r="G3991" t="n">
        <x:v>8</x:v>
      </x:c>
      <x:c r="H3991" t="n">
        <x:v>8</x:v>
      </x:c>
      <x:c r="I3991" t="str">
        <x:v>À qualifier par lieu</x:v>
      </x:c>
      <x:c r="J3991" t="str">
        <x:v>https://github.com/darknigthmare/deadwall-last-enclosure/blob/e28f46223e73105ab2c5d83f3d50b99b58ef53e6/codex-3000/addendum-1.58/PROGRAMMES_D.json</x:v>
      </x:c>
      <x:c r="K3991" t="str">
        <x:v>Source min 38,38 m ; max 38,38 m ; modèle 38 × 38 m ; niveaux 0, 1. Détails dans catalogue-existant.json.</x:v>
      </x:c>
    </x:row>
    <x:row r="3992">
      <x:c r="A3992" t="str">
        <x:v>DW-3987</x:v>
      </x:c>
      <x:c r="B3992" t="str">
        <x:v>DW-3987</x:v>
      </x:c>
      <x:c r="C3992" t="str">
        <x:v>Parent indépendant 1.58</x:v>
      </x:c>
      <x:c r="D3992" t="str">
        <x:v>Industrie et production</x:v>
      </x:c>
      <x:c r="E3992" t="str">
        <x:v>Laboratoire des assemblages boulonnés</x:v>
      </x:c>
      <x:c r="F3992" t="n">
        <x:v>9</x:v>
      </x:c>
      <x:c r="G3992" t="n">
        <x:v>8</x:v>
      </x:c>
      <x:c r="H3992" t="n">
        <x:v>8</x:v>
      </x:c>
      <x:c r="I3992" t="str">
        <x:v>À qualifier par lieu</x:v>
      </x:c>
      <x:c r="J3992" t="str">
        <x:v>https://github.com/darknigthmare/deadwall-last-enclosure/blob/e28f46223e73105ab2c5d83f3d50b99b58ef53e6/codex-3000/addendum-1.58/PROGRAMMES_D.json</x:v>
      </x:c>
      <x:c r="K3992" t="str">
        <x:v>Source min 42,42 m ; max 42,42 m ; modèle 42 × 42 m ; niveaux 0, 1. Détails dans catalogue-existant.json.</x:v>
      </x:c>
    </x:row>
    <x:row r="3993">
      <x:c r="A3993" t="str">
        <x:v>DW-3988</x:v>
      </x:c>
      <x:c r="B3993" t="str">
        <x:v>DW-3988</x:v>
      </x:c>
      <x:c r="C3993" t="str">
        <x:v>Parent indépendant 1.58</x:v>
      </x:c>
      <x:c r="D3993" t="str">
        <x:v>Industrie et production</x:v>
      </x:c>
      <x:c r="E3993" t="str">
        <x:v>Centre des essais de membrane souple</x:v>
      </x:c>
      <x:c r="F3993" t="n">
        <x:v>9</x:v>
      </x:c>
      <x:c r="G3993" t="n">
        <x:v>8</x:v>
      </x:c>
      <x:c r="H3993" t="n">
        <x:v>8</x:v>
      </x:c>
      <x:c r="I3993" t="str">
        <x:v>À qualifier par lieu</x:v>
      </x:c>
      <x:c r="J3993" t="str">
        <x:v>https://github.com/darknigthmare/deadwall-last-enclosure/blob/e28f46223e73105ab2c5d83f3d50b99b58ef53e6/codex-3000/addendum-1.58/PROGRAMMES_D.json</x:v>
      </x:c>
      <x:c r="K3993" t="str">
        <x:v>Source min 34,34 m ; max 34,34 m ; modèle 34 × 34 m ; niveaux 0, 1. Détails dans catalogue-existant.json.</x:v>
      </x:c>
    </x:row>
    <x:row r="3994">
      <x:c r="A3994" t="str">
        <x:v>DW-3989</x:v>
      </x:c>
      <x:c r="B3994" t="str">
        <x:v>DW-3989</x:v>
      </x:c>
      <x:c r="C3994" t="str">
        <x:v>Parent indépendant 1.58</x:v>
      </x:c>
      <x:c r="D3994" t="str">
        <x:v>Industrie et production</x:v>
      </x:c>
      <x:c r="E3994" t="str">
        <x:v>Laboratoire des fibres de renfort civil</x:v>
      </x:c>
      <x:c r="F3994" t="n">
        <x:v>9</x:v>
      </x:c>
      <x:c r="G3994" t="n">
        <x:v>8</x:v>
      </x:c>
      <x:c r="H3994" t="n">
        <x:v>8</x:v>
      </x:c>
      <x:c r="I3994" t="str">
        <x:v>À qualifier par lieu</x:v>
      </x:c>
      <x:c r="J3994" t="str">
        <x:v>https://github.com/darknigthmare/deadwall-last-enclosure/blob/e28f46223e73105ab2c5d83f3d50b99b58ef53e6/codex-3000/addendum-1.58/PROGRAMMES_D.json</x:v>
      </x:c>
      <x:c r="K3994" t="str">
        <x:v>Source min 38,38 m ; max 38,38 m ; modèle 38 × 38 m ; niveaux 0, 1. Détails dans catalogue-existant.json.</x:v>
      </x:c>
    </x:row>
    <x:row r="3995">
      <x:c r="A3995" t="str">
        <x:v>DW-3990</x:v>
      </x:c>
      <x:c r="B3995" t="str">
        <x:v>DW-3990</x:v>
      </x:c>
      <x:c r="C3995" t="str">
        <x:v>Parent indépendant 1.58</x:v>
      </x:c>
      <x:c r="D3995" t="str">
        <x:v>Industrie et production</x:v>
      </x:c>
      <x:c r="E3995" t="str">
        <x:v>Centre des essais de surface de roulement</x:v>
      </x:c>
      <x:c r="F3995" t="n">
        <x:v>9</x:v>
      </x:c>
      <x:c r="G3995" t="n">
        <x:v>8</x:v>
      </x:c>
      <x:c r="H3995" t="n">
        <x:v>8</x:v>
      </x:c>
      <x:c r="I3995" t="str">
        <x:v>À qualifier par lieu</x:v>
      </x:c>
      <x:c r="J3995" t="str">
        <x:v>https://github.com/darknigthmare/deadwall-last-enclosure/blob/e28f46223e73105ab2c5d83f3d50b99b58ef53e6/codex-3000/addendum-1.58/PROGRAMMES_D.json</x:v>
      </x:c>
      <x:c r="K3995" t="str">
        <x:v>Source min 42,42 m ; max 42,42 m ; modèle 42 × 42 m ; niveaux 0, 1. Détails dans catalogue-existant.json.</x:v>
      </x:c>
    </x:row>
    <x:row r="3996">
      <x:c r="A3996" t="str">
        <x:v>DW-3991</x:v>
      </x:c>
      <x:c r="B3996" t="str">
        <x:v>DW-3991</x:v>
      </x:c>
      <x:c r="C3996" t="str">
        <x:v>Parent indépendant 1.58</x:v>
      </x:c>
      <x:c r="D3996" t="str">
        <x:v>Éducation et connaissance</x:v>
      </x:c>
      <x:c r="E3996" t="str">
        <x:v>Laboratoire des échanges thermiques civils</x:v>
      </x:c>
      <x:c r="F3996" t="n">
        <x:v>9</x:v>
      </x:c>
      <x:c r="G3996" t="n">
        <x:v>8</x:v>
      </x:c>
      <x:c r="H3996" t="n">
        <x:v>8</x:v>
      </x:c>
      <x:c r="I3996" t="str">
        <x:v>À qualifier par lieu</x:v>
      </x:c>
      <x:c r="J3996" t="str">
        <x:v>https://github.com/darknigthmare/deadwall-last-enclosure/blob/e28f46223e73105ab2c5d83f3d50b99b58ef53e6/codex-3000/addendum-1.58/PROGRAMMES_D.json</x:v>
      </x:c>
      <x:c r="K3996" t="str">
        <x:v>Source min 34,34 m ; max 34,34 m ; modèle 34 × 34 m ; niveaux 0, 1. Détails dans catalogue-existant.json.</x:v>
      </x:c>
    </x:row>
    <x:row r="3997">
      <x:c r="A3997" t="str">
        <x:v>DW-3992</x:v>
      </x:c>
      <x:c r="B3997" t="str">
        <x:v>DW-3992</x:v>
      </x:c>
      <x:c r="C3997" t="str">
        <x:v>Parent indépendant 1.58</x:v>
      </x:c>
      <x:c r="D3997" t="str">
        <x:v>Éducation et connaissance</x:v>
      </x:c>
      <x:c r="E3997" t="str">
        <x:v>Centre des essais d'étanchéité de boîtier</x:v>
      </x:c>
      <x:c r="F3997" t="n">
        <x:v>9</x:v>
      </x:c>
      <x:c r="G3997" t="n">
        <x:v>8</x:v>
      </x:c>
      <x:c r="H3997" t="n">
        <x:v>8</x:v>
      </x:c>
      <x:c r="I3997" t="str">
        <x:v>À qualifier par lieu</x:v>
      </x:c>
      <x:c r="J3997" t="str">
        <x:v>https://github.com/darknigthmare/deadwall-last-enclosure/blob/e28f46223e73105ab2c5d83f3d50b99b58ef53e6/codex-3000/addendum-1.58/PROGRAMMES_D.json</x:v>
      </x:c>
      <x:c r="K3997" t="str">
        <x:v>Source min 38,38 m ; max 38,38 m ; modèle 38 × 38 m ; niveaux 0, 1. Détails dans catalogue-existant.json.</x:v>
      </x:c>
    </x:row>
    <x:row r="3998">
      <x:c r="A3998" t="str">
        <x:v>DW-3993</x:v>
      </x:c>
      <x:c r="B3998" t="str">
        <x:v>DW-3993</x:v>
      </x:c>
      <x:c r="C3998" t="str">
        <x:v>Parent indépendant 1.58</x:v>
      </x:c>
      <x:c r="D3998" t="str">
        <x:v>Éducation et connaissance</x:v>
      </x:c>
      <x:c r="E3998" t="str">
        <x:v>Laboratoire des clapets de ventilation</x:v>
      </x:c>
      <x:c r="F3998" t="n">
        <x:v>9</x:v>
      </x:c>
      <x:c r="G3998" t="n">
        <x:v>8</x:v>
      </x:c>
      <x:c r="H3998" t="n">
        <x:v>8</x:v>
      </x:c>
      <x:c r="I3998" t="str">
        <x:v>À qualifier par lieu</x:v>
      </x:c>
      <x:c r="J3998" t="str">
        <x:v>https://github.com/darknigthmare/deadwall-last-enclosure/blob/e28f46223e73105ab2c5d83f3d50b99b58ef53e6/codex-3000/addendum-1.58/PROGRAMMES_D.json</x:v>
      </x:c>
      <x:c r="K3998" t="str">
        <x:v>Source min 42,42 m ; max 42,42 m ; modèle 42 × 42 m ; niveaux 0, 1. Détails dans catalogue-existant.json.</x:v>
      </x:c>
    </x:row>
    <x:row r="3999">
      <x:c r="A3999" t="str">
        <x:v>DW-3994</x:v>
      </x:c>
      <x:c r="B3999" t="str">
        <x:v>DW-3994</x:v>
      </x:c>
      <x:c r="C3999" t="str">
        <x:v>Parent indépendant 1.58</x:v>
      </x:c>
      <x:c r="D3999" t="str">
        <x:v>Éducation et connaissance</x:v>
      </x:c>
      <x:c r="E3999" t="str">
        <x:v>Centre des essais de filtre à poussière</x:v>
      </x:c>
      <x:c r="F3999" t="n">
        <x:v>9</x:v>
      </x:c>
      <x:c r="G3999" t="n">
        <x:v>8</x:v>
      </x:c>
      <x:c r="H3999" t="n">
        <x:v>8</x:v>
      </x:c>
      <x:c r="I3999" t="str">
        <x:v>À qualifier par lieu</x:v>
      </x:c>
      <x:c r="J3999" t="str">
        <x:v>https://github.com/darknigthmare/deadwall-last-enclosure/blob/e28f46223e73105ab2c5d83f3d50b99b58ef53e6/codex-3000/addendum-1.58/PROGRAMMES_D.json</x:v>
      </x:c>
      <x:c r="K3999" t="str">
        <x:v>Source min 34,34 m ; max 34,34 m ; modèle 34 × 34 m ; niveaux 0, 1. Détails dans catalogue-existant.json.</x:v>
      </x:c>
    </x:row>
    <x:row r="4000">
      <x:c r="A4000" t="str">
        <x:v>DW-3995</x:v>
      </x:c>
      <x:c r="B4000" t="str">
        <x:v>DW-3995</x:v>
      </x:c>
      <x:c r="C4000" t="str">
        <x:v>Parent indépendant 1.58</x:v>
      </x:c>
      <x:c r="D4000" t="str">
        <x:v>Éducation et connaissance</x:v>
      </x:c>
      <x:c r="E4000" t="str">
        <x:v>Laboratoire des boîtiers météorologiques</x:v>
      </x:c>
      <x:c r="F4000" t="n">
        <x:v>9</x:v>
      </x:c>
      <x:c r="G4000" t="n">
        <x:v>8</x:v>
      </x:c>
      <x:c r="H4000" t="n">
        <x:v>8</x:v>
      </x:c>
      <x:c r="I4000" t="str">
        <x:v>À qualifier par lieu</x:v>
      </x:c>
      <x:c r="J4000" t="str">
        <x:v>https://github.com/darknigthmare/deadwall-last-enclosure/blob/e28f46223e73105ab2c5d83f3d50b99b58ef53e6/codex-3000/addendum-1.58/PROGRAMMES_D.json</x:v>
      </x:c>
      <x:c r="K4000" t="str">
        <x:v>Source min 38,38 m ; max 38,38 m ; modèle 38 × 38 m ; niveaux 0, 1. Détails dans catalogue-existant.json.</x:v>
      </x:c>
    </x:row>
    <x:row r="4001">
      <x:c r="A4001" t="str">
        <x:v>DW-3996</x:v>
      </x:c>
      <x:c r="B4001" t="str">
        <x:v>DW-3996</x:v>
      </x:c>
      <x:c r="C4001" t="str">
        <x:v>Parent indépendant 1.58</x:v>
      </x:c>
      <x:c r="D4001" t="str">
        <x:v>Éducation et connaissance</x:v>
      </x:c>
      <x:c r="E4001" t="str">
        <x:v>Centre des essais de sonde de sol</x:v>
      </x:c>
      <x:c r="F4001" t="n">
        <x:v>9</x:v>
      </x:c>
      <x:c r="G4001" t="n">
        <x:v>8</x:v>
      </x:c>
      <x:c r="H4001" t="n">
        <x:v>8</x:v>
      </x:c>
      <x:c r="I4001" t="str">
        <x:v>À qualifier par lieu</x:v>
      </x:c>
      <x:c r="J4001" t="str">
        <x:v>https://github.com/darknigthmare/deadwall-last-enclosure/blob/e28f46223e73105ab2c5d83f3d50b99b58ef53e6/codex-3000/addendum-1.58/PROGRAMMES_D.json</x:v>
      </x:c>
      <x:c r="K4001" t="str">
        <x:v>Source min 42,42 m ; max 42,42 m ; modèle 42 × 42 m ; niveaux 0, 1. Détails dans catalogue-existant.json.</x:v>
      </x:c>
    </x:row>
    <x:row r="4002">
      <x:c r="A4002" t="str">
        <x:v>DW-3997</x:v>
      </x:c>
      <x:c r="B4002" t="str">
        <x:v>DW-3997</x:v>
      </x:c>
      <x:c r="C4002" t="str">
        <x:v>Parent indépendant 1.58</x:v>
      </x:c>
      <x:c r="D4002" t="str">
        <x:v>Éducation et connaissance</x:v>
      </x:c>
      <x:c r="E4002" t="str">
        <x:v>Laboratoire des garnitures de pompe civile</x:v>
      </x:c>
      <x:c r="F4002" t="n">
        <x:v>9</x:v>
      </x:c>
      <x:c r="G4002" t="n">
        <x:v>8</x:v>
      </x:c>
      <x:c r="H4002" t="n">
        <x:v>8</x:v>
      </x:c>
      <x:c r="I4002" t="str">
        <x:v>À qualifier par lieu</x:v>
      </x:c>
      <x:c r="J4002" t="str">
        <x:v>https://github.com/darknigthmare/deadwall-last-enclosure/blob/e28f46223e73105ab2c5d83f3d50b99b58ef53e6/codex-3000/addendum-1.58/PROGRAMMES_D.json</x:v>
      </x:c>
      <x:c r="K4002" t="str">
        <x:v>Source min 34,34 m ; max 34,34 m ; modèle 34 × 34 m ; niveaux 0, 1. Détails dans catalogue-existant.json.</x:v>
      </x:c>
    </x:row>
    <x:row r="4003">
      <x:c r="A4003" t="str">
        <x:v>DW-3998</x:v>
      </x:c>
      <x:c r="B4003" t="str">
        <x:v>DW-3998</x:v>
      </x:c>
      <x:c r="C4003" t="str">
        <x:v>Parent indépendant 1.58</x:v>
      </x:c>
      <x:c r="D4003" t="str">
        <x:v>Éducation et connaissance</x:v>
      </x:c>
      <x:c r="E4003" t="str">
        <x:v>Centre des essais d'emballage thermique</x:v>
      </x:c>
      <x:c r="F4003" t="n">
        <x:v>9</x:v>
      </x:c>
      <x:c r="G4003" t="n">
        <x:v>8</x:v>
      </x:c>
      <x:c r="H4003" t="n">
        <x:v>8</x:v>
      </x:c>
      <x:c r="I4003" t="str">
        <x:v>À qualifier par lieu</x:v>
      </x:c>
      <x:c r="J4003" t="str">
        <x:v>https://github.com/darknigthmare/deadwall-last-enclosure/blob/e28f46223e73105ab2c5d83f3d50b99b58ef53e6/codex-3000/addendum-1.58/PROGRAMMES_D.json</x:v>
      </x:c>
      <x:c r="K4003" t="str">
        <x:v>Source min 38,38 m ; max 38,38 m ; modèle 38 × 38 m ; niveaux 0, 1. Détails dans catalogue-existant.json.</x:v>
      </x:c>
    </x:row>
    <x:row r="4004">
      <x:c r="A4004" t="str">
        <x:v>DW-3999</x:v>
      </x:c>
      <x:c r="B4004" t="str">
        <x:v>DW-3999</x:v>
      </x:c>
      <x:c r="C4004" t="str">
        <x:v>Parent indépendant 1.58</x:v>
      </x:c>
      <x:c r="D4004" t="str">
        <x:v>Éducation et connaissance</x:v>
      </x:c>
      <x:c r="E4004" t="str">
        <x:v>Laboratoire des supports de mesure vibratoire</x:v>
      </x:c>
      <x:c r="F4004" t="n">
        <x:v>9</x:v>
      </x:c>
      <x:c r="G4004" t="n">
        <x:v>8</x:v>
      </x:c>
      <x:c r="H4004" t="n">
        <x:v>8</x:v>
      </x:c>
      <x:c r="I4004" t="str">
        <x:v>À qualifier par lieu</x:v>
      </x:c>
      <x:c r="J4004" t="str">
        <x:v>https://github.com/darknigthmare/deadwall-last-enclosure/blob/e28f46223e73105ab2c5d83f3d50b99b58ef53e6/codex-3000/addendum-1.58/PROGRAMMES_D.json</x:v>
      </x:c>
      <x:c r="K4004" t="str">
        <x:v>Source min 42,42 m ; max 42,42 m ; modèle 42 × 42 m ; niveaux 0, 1. Détails dans catalogue-existant.json.</x:v>
      </x:c>
    </x:row>
    <x:row r="4005">
      <x:c r="A4005" t="str">
        <x:v>DW-4000</x:v>
      </x:c>
      <x:c r="B4005" t="str">
        <x:v>DW-4000</x:v>
      </x:c>
      <x:c r="C4005" t="str">
        <x:v>Parent indépendant 1.58</x:v>
      </x:c>
      <x:c r="D4005" t="str">
        <x:v>Éducation et connaissance</x:v>
      </x:c>
      <x:c r="E4005" t="str">
        <x:v>Centre des essais de protection solaire de façade</x:v>
      </x:c>
      <x:c r="F4005" t="n">
        <x:v>9</x:v>
      </x:c>
      <x:c r="G4005" t="n">
        <x:v>8</x:v>
      </x:c>
      <x:c r="H4005" t="n">
        <x:v>8</x:v>
      </x:c>
      <x:c r="I4005" t="str">
        <x:v>À qualifier par lieu</x:v>
      </x:c>
      <x:c r="J4005" t="str">
        <x:v>https://github.com/darknigthmare/deadwall-last-enclosure/blob/e28f46223e73105ab2c5d83f3d50b99b58ef53e6/codex-3000/addendum-1.58/PROGRAMMES_D.json</x:v>
      </x:c>
      <x:c r="K4005" t="str">
        <x:v>Source min 34,34 m ; max 34,34 m ; modèle 34 × 34 m ; niveaux 0, 1. Détails dans catalogue-existant.json.</x:v>
      </x:c>
    </x:row>
  </x:sheetData>
  <x:mergeCells>
    <x:mergeCell ref="A1:K1"/>
    <x:mergeCell ref="A2:K3"/>
  </x:mergeCells>
  <x:pageMargins left="0.7" right="0.7" top="0.75" bottom="0.75" header="0.3" footer="0.3"/>
  <x:tableParts count="1">
    <x:tablePart xmlns:r="http://schemas.openxmlformats.org/officeDocument/2006/relationships" r:id="R2b1f42ec482144b1"/>
  </x:tableParts>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28" hidden="0" customWidth="1"/>
    <x:col min="3" max="3" width="40" hidden="0" customWidth="1"/>
    <x:col min="4" max="4" width="20" hidden="0" customWidth="1"/>
    <x:col min="5" max="5" width="24" hidden="0" customWidth="1"/>
    <x:col min="6" max="6" width="50" hidden="0" customWidth="1"/>
    <x:col min="7" max="7" width="44" hidden="0" customWidth="1"/>
    <x:col min="8" max="8" width="58" hidden="0" customWidth="1"/>
    <x:col min="9" max="9" width="24" hidden="0" customWidth="1"/>
    <x:col min="10" max="10" width="28" hidden="0" customWidth="1"/>
    <x:col min="11" max="11" width="24" hidden="0" customWidth="1"/>
    <x:col min="12" max="12" width="20" hidden="0" customWidth="1"/>
  </x:cols>
  <x:sheetData>
    <x:row r="1" ht="32" customHeight="1">
      <x:c r="A1" s="3" t="str">
        <x:v>06  /  EXTENSION — 80 OBJECTIFS DE PRODUCTION</x:v>
      </x:c>
      <x:c r="B1" s="3"/>
      <x:c r="C1" s="3"/>
      <x:c r="D1" s="3"/>
      <x:c r="E1" s="3"/>
      <x:c r="F1" s="3"/>
      <x:c r="G1" s="3"/>
      <x:c r="H1" s="3"/>
      <x:c r="I1" s="3"/>
      <x:c r="J1" s="3"/>
      <x:c r="K1" s="3"/>
      <x:c r="L1" s="3"/>
    </x:row>
    <x:row r="2" ht="20" customHeight="1">
      <x:c r="A2" s="9" t="str">
        <x:v>Ces typologies sont un périmètre à concevoir. Les 50 variantes demandées par type sont des objectifs : aucun modèle, plan de référence ou dimension réelle n’est prétendu réalisé.</x:v>
      </x:c>
      <x:c r="B2" s="9"/>
      <x:c r="C2" s="9"/>
      <x:c r="D2" s="9"/>
      <x:c r="E2" s="9"/>
      <x:c r="F2" s="9"/>
      <x:c r="G2" s="9"/>
      <x:c r="H2" s="9"/>
      <x:c r="I2" s="9"/>
      <x:c r="J2" s="9"/>
      <x:c r="K2" s="9"/>
      <x:c r="L2" s="9"/>
    </x:row>
    <x:row r="3" ht="20" customHeight="1">
      <x:c r="A3" s="9"/>
      <x:c r="B3" s="9"/>
      <x:c r="C3" s="9"/>
      <x:c r="D3" s="9"/>
      <x:c r="E3" s="9"/>
      <x:c r="F3" s="9"/>
      <x:c r="G3" s="9"/>
      <x:c r="H3" s="9"/>
      <x:c r="I3" s="9"/>
      <x:c r="J3" s="9"/>
      <x:c r="K3" s="9"/>
      <x:c r="L3" s="9"/>
    </x:row>
    <x:row r="5" ht="34" customHeight="1">
      <x:c r="A5" s="112" t="str">
        <x:v>ID typologie</x:v>
      </x:c>
      <x:c r="B5" s="112" t="str">
        <x:v>Domaine</x:v>
      </x:c>
      <x:c r="C5" s="112" t="str">
        <x:v>Typologie</x:v>
      </x:c>
      <x:c r="D5" s="112" t="str">
        <x:v>Variantes demandées</x:v>
      </x:c>
      <x:c r="E5" s="112" t="str">
        <x:v>Statut conception</x:v>
      </x:c>
      <x:c r="F5" s="112" t="str">
        <x:v>Espaces à détailler</x:v>
      </x:c>
      <x:c r="G5" s="112" t="str">
        <x:v>Réseaux à raccorder</x:v>
      </x:c>
      <x:c r="H5" s="112" t="str">
        <x:v>Règle d’implantation</x:v>
      </x:c>
      <x:c r="I5" s="112" t="str">
        <x:v>Cotes / gabarit auteur (m)</x:v>
      </x:c>
      <x:c r="J5" s="112" t="str">
        <x:v>Plan de référence</x:v>
      </x:c>
      <x:c r="K5" s="112" t="str">
        <x:v>Intégration</x:v>
      </x:c>
      <x:c r="L5" s="112" t="str">
        <x:v>Variantes suivies</x:v>
      </x:c>
    </x:row>
    <x:row r="6" ht="96" customHeight="1">
      <x:c r="A6" s="16" t="str">
        <x:v>EXT-MONDE-T001</x:v>
      </x:c>
      <x:c r="B6" s="16" t="str">
        <x:v>Lacs</x:v>
      </x:c>
      <x:c r="C6" s="16" t="str">
        <x:v>Base nautique lacustre</x:v>
      </x:c>
      <x:c r="D6" s="16" t="n">
        <x:v>50</x:v>
      </x:c>
      <x:c r="E6" s="16" t="str">
        <x:v>Inspection physique</x:v>
      </x:c>
      <x:c r="F6" s="16" t="str">
        <x:v>berge; pontons; accueil; vestiaires; hangar à bateaux; atelier; sanitaires</x:v>
      </x:c>
      <x:c r="G6" s="16" t="str">
        <x:v>eau douce; chemin; route locale</x:v>
      </x:c>
      <x:c r="H6" s="16" t="str">
        <x:v>Rive et profondeur compatibles ; retour terrestre praticable ; aucun ponton flottant sans support.</x:v>
      </x:c>
      <x:c r="I6" s="16" t="str">
        <x:v>Emprise 242–298 × 200–264 m ; hauteur 5,4–6 m ; choix de composition auteur ; dimensions réelles à documenter.</x:v>
      </x:c>
      <x:c r="J6" s="16" t="str">
        <x:v>https://github.com/darknigthmare/deadwall-last-enclosure/blob/e28f46223e73105ab2c5d83f3d50b99b58ef53e6/docs/codex/suivi-monde2026/LACUSTRE_2026.md</x:v>
      </x:c>
      <x:c r="K6" s="16" t="str">
        <x:v>50 plans inspectables dans le Guide auteur ; géométrie partielle et campagne encore ouvertes.</x:v>
      </x:c>
      <x:c r="L6" s="16" t="n">
        <x:f>COUNTIF('Variantes à concevoir'!$B$6:$B$4005,A6)</x:f>
        <x:v>50</x:v>
      </x:c>
    </x:row>
    <x:row r="7" ht="96" customHeight="1">
      <x:c r="A7" s="16" t="str">
        <x:v>EXT-MONDE-T002</x:v>
      </x:c>
      <x:c r="B7" s="16" t="str">
        <x:v>Lacs</x:v>
      </x:c>
      <x:c r="C7" s="16" t="str">
        <x:v>Village de pêche lacustre</x:v>
      </x:c>
      <x:c r="D7" s="16" t="n">
        <x:v>50</x:v>
      </x:c>
      <x:c r="E7" s="16" t="str">
        <x:v>Inspection physique</x:v>
      </x:c>
      <x:c r="F7" s="16" t="str">
        <x:v>berge; pontons; accueil; vestiaires; hangar à bateaux; atelier; sanitaires</x:v>
      </x:c>
      <x:c r="G7" s="16" t="str">
        <x:v>eau douce; chemin; route locale</x:v>
      </x:c>
      <x:c r="H7" s="16" t="str">
        <x:v>Rive et profondeur compatibles ; retour terrestre praticable ; aucun ponton flottant sans support.</x:v>
      </x:c>
      <x:c r="I7" s="16" t="str">
        <x:v>Emprise 242–298 × 200–264 m ; hauteur 4,6–5,2 m ; choix de composition auteur ; dimensions réelles à documenter.</x:v>
      </x:c>
      <x:c r="J7" s="16" t="str">
        <x:v>https://github.com/darknigthmare/deadwall-last-enclosure/blob/e28f46223e73105ab2c5d83f3d50b99b58ef53e6/docs/codex/suivi-monde2026/LACUSTRE_2026.md</x:v>
      </x:c>
      <x:c r="K7" s="16" t="str">
        <x:v>50 plans inspectables dans le Guide auteur ; géométrie partielle et campagne encore ouvertes.</x:v>
      </x:c>
      <x:c r="L7" s="16" t="n">
        <x:f>COUNTIF('Variantes à concevoir'!$B$6:$B$4005,A7)</x:f>
        <x:v>50</x:v>
      </x:c>
    </x:row>
    <x:row r="8" ht="96" customHeight="1">
      <x:c r="A8" s="16" t="str">
        <x:v>EXT-MONDE-T003</x:v>
      </x:c>
      <x:c r="B8" s="16" t="str">
        <x:v>Lacs</x:v>
      </x:c>
      <x:c r="C8" s="16" t="str">
        <x:v>Station limnologique</x:v>
      </x:c>
      <x:c r="D8" s="16" t="n">
        <x:v>50</x:v>
      </x:c>
      <x:c r="E8" s="16" t="str">
        <x:v>Inspection physique</x:v>
      </x:c>
      <x:c r="F8" s="16" t="str">
        <x:v>berge; pontons; accueil; vestiaires; hangar à bateaux; atelier; sanitaires</x:v>
      </x:c>
      <x:c r="G8" s="16" t="str">
        <x:v>eau douce; chemin; route locale</x:v>
      </x:c>
      <x:c r="H8" s="16" t="str">
        <x:v>Rive et profondeur compatibles ; retour terrestre praticable ; aucun ponton flottant sans support.</x:v>
      </x:c>
      <x:c r="I8" s="16" t="str">
        <x:v>Emprise 242–298 × 200–264 m ; hauteur 4,2–4,8 m ; choix de composition auteur ; dimensions réelles à documenter.</x:v>
      </x:c>
      <x:c r="J8" s="16" t="str">
        <x:v>https://github.com/darknigthmare/deadwall-last-enclosure/blob/e28f46223e73105ab2c5d83f3d50b99b58ef53e6/docs/codex/suivi-monde2026/LACUSTRE_2026.md</x:v>
      </x:c>
      <x:c r="K8" s="16" t="str">
        <x:v>50 plans inspectables dans le Guide auteur ; géométrie partielle et campagne encore ouvertes.</x:v>
      </x:c>
      <x:c r="L8" s="16" t="n">
        <x:f>COUNTIF('Variantes à concevoir'!$B$6:$B$4005,A8)</x:f>
        <x:v>50</x:v>
      </x:c>
    </x:row>
    <x:row r="9" ht="96" customHeight="1">
      <x:c r="A9" s="16" t="str">
        <x:v>EXT-MONDE-T004</x:v>
      </x:c>
      <x:c r="B9" s="16" t="str">
        <x:v>Lacs</x:v>
      </x:c>
      <x:c r="C9" s="16" t="str">
        <x:v>Camping de rive</x:v>
      </x:c>
      <x:c r="D9" s="16" t="n">
        <x:v>50</x:v>
      </x:c>
      <x:c r="E9" s="16" t="str">
        <x:v>Inspection physique</x:v>
      </x:c>
      <x:c r="F9" s="16" t="str">
        <x:v>berge; pontons; accueil; vestiaires; hangar à bateaux; atelier; sanitaires</x:v>
      </x:c>
      <x:c r="G9" s="16" t="str">
        <x:v>eau douce; chemin; route locale</x:v>
      </x:c>
      <x:c r="H9" s="16" t="str">
        <x:v>Rive et profondeur compatibles ; retour terrestre praticable ; aucun ponton flottant sans support.</x:v>
      </x:c>
      <x:c r="I9" s="16" t="str">
        <x:v>Emprise 242–298 × 200–264 m ; hauteur 3,8–4,4 m ; choix de composition auteur ; dimensions réelles à documenter.</x:v>
      </x:c>
      <x:c r="J9" s="16" t="str">
        <x:v>https://github.com/darknigthmare/deadwall-last-enclosure/blob/e28f46223e73105ab2c5d83f3d50b99b58ef53e6/docs/codex/suivi-monde2026/LACUSTRE_2026.md</x:v>
      </x:c>
      <x:c r="K9" s="16" t="str">
        <x:v>50 plans inspectables dans le Guide auteur ; géométrie partielle et campagne encore ouvertes.</x:v>
      </x:c>
      <x:c r="L9" s="16" t="n">
        <x:f>COUNTIF('Variantes à concevoir'!$B$6:$B$4005,A9)</x:f>
        <x:v>50</x:v>
      </x:c>
    </x:row>
    <x:row r="10" ht="65" customHeight="1">
      <x:c r="A10" s="16" t="str">
        <x:v>EXT-MONDE-T005</x:v>
      </x:c>
      <x:c r="B10" s="16" t="str">
        <x:v>Navires de haute mer</x:v>
      </x:c>
      <x:c r="C10" s="16" t="str">
        <x:v>Cargo polyvalent</x:v>
      </x:c>
      <x:c r="D10" s="16" t="n">
        <x:v>50</x:v>
      </x:c>
      <x:c r="E10" s="16" t="str">
        <x:v>Inspection physique</x:v>
      </x:c>
      <x:c r="F10" s="16" t="str">
        <x:v>pont extérieur; passerelle; locaux de repos; circulations; atelier; réserve; machine</x:v>
      </x:c>
      <x:c r="G10" s="16" t="str">
        <x:v>chenal; accès nautique; liaison de quai</x:v>
      </x:c>
      <x:c r="H10" s="16" t="str">
        <x:v>Tirant d’eau, compartiments et accès à vérifier par type ; aucune circulation piétonne sur eau.</x:v>
      </x:c>
      <x:c r="I10" s="16" t="str">
        <x:v>L 86,6 ; l 15,2 ; hauteur inconnue ; tirant 6,55 m ; longueur/largeur/tirant sourcés ; hauteur totale réelle inconnue</x:v>
      </x:c>
      <x:c r="J10" s="16" t="str">
        <x:v>https://github.com/darknigthmare/deadwall-last-enclosure/blob/e28f46223e73105ab2c5d83f3d50b99b58ef53e6/docs/codex/suivi-monde2026/references-metriques2026.json</x:v>
      </x:c>
      <x:c r="K10" s="16" t="str">
        <x:v>50 plans inspectables dans le Guide auteur ; géométrie partielle et campagne encore ouvertes.</x:v>
      </x:c>
      <x:c r="L10" s="16" t="n">
        <x:f>COUNTIF('Variantes à concevoir'!$B$6:$B$4005,A10)</x:f>
        <x:v>50</x:v>
      </x:c>
    </x:row>
    <x:row r="11" ht="65" customHeight="1">
      <x:c r="A11" s="16" t="str">
        <x:v>EXT-MONDE-T006</x:v>
      </x:c>
      <x:c r="B11" s="16" t="str">
        <x:v>Navires de haute mer</x:v>
      </x:c>
      <x:c r="C11" s="16" t="str">
        <x:v>Pétrolier océanique</x:v>
      </x:c>
      <x:c r="D11" s="16" t="n">
        <x:v>50</x:v>
      </x:c>
      <x:c r="E11" s="16" t="str">
        <x:v>Inspection physique</x:v>
      </x:c>
      <x:c r="F11" s="16" t="str">
        <x:v>pont extérieur; passerelle; locaux de repos; circulations; atelier; réserve; machine</x:v>
      </x:c>
      <x:c r="G11" s="16" t="str">
        <x:v>chenal; accès nautique; liaison de quai</x:v>
      </x:c>
      <x:c r="H11" s="16" t="str">
        <x:v>Tirant d’eau, compartiments et accès à vérifier par type ; aucune circulation piétonne sur eau.</x:v>
      </x:c>
      <x:c r="I11" s="16" t="str">
        <x:v>L 183,06 ; l 32,2 ; hauteur inconnue ; tirant 13,258 m ; longueur/largeur/tirant sourcés ; hauteur totale réelle inconnue</x:v>
      </x:c>
      <x:c r="J11" s="16" t="str">
        <x:v>https://github.com/darknigthmare/deadwall-last-enclosure/blob/e28f46223e73105ab2c5d83f3d50b99b58ef53e6/docs/codex/suivi-monde2026/references-metriques2026.json</x:v>
      </x:c>
      <x:c r="K11" s="16" t="str">
        <x:v>50 plans inspectables dans le Guide auteur ; géométrie partielle et campagne encore ouvertes.</x:v>
      </x:c>
      <x:c r="L11" s="16" t="n">
        <x:f>COUNTIF('Variantes à concevoir'!$B$6:$B$4005,A11)</x:f>
        <x:v>50</x:v>
      </x:c>
    </x:row>
    <x:row r="12" ht="65" customHeight="1">
      <x:c r="A12" s="16" t="str">
        <x:v>EXT-MONDE-T007</x:v>
      </x:c>
      <x:c r="B12" s="16" t="str">
        <x:v>Navires de haute mer</x:v>
      </x:c>
      <x:c r="C12" s="16" t="str">
        <x:v>Croiseur militaire abandonné</x:v>
      </x:c>
      <x:c r="D12" s="16" t="n">
        <x:v>50</x:v>
      </x:c>
      <x:c r="E12" s="16" t="str">
        <x:v>Inspection physique</x:v>
      </x:c>
      <x:c r="F12" s="16" t="str">
        <x:v>pont extérieur; passerelle; locaux de repos; circulations; atelier; réserve; machine</x:v>
      </x:c>
      <x:c r="G12" s="16" t="str">
        <x:v>chenal; accès nautique; liaison de quai</x:v>
      </x:c>
      <x:c r="H12" s="16" t="str">
        <x:v>Tirant d’eau, compartiments et accès à vérifier par type ; aucune circulation piétonne sur eau.</x:v>
      </x:c>
      <x:c r="I12" s="16" t="str">
        <x:v>L 185,928 ; l 20,117 ; hauteur inconnue ; tirant 7,62 m ; longueur/largeur/tirant sourcés ; hauteur totale réelle inconnue</x:v>
      </x:c>
      <x:c r="J12" s="16" t="str">
        <x:v>https://github.com/darknigthmare/deadwall-last-enclosure/blob/e28f46223e73105ab2c5d83f3d50b99b58ef53e6/docs/codex/suivi-monde2026/references-metriques2026.json</x:v>
      </x:c>
      <x:c r="K12" s="16" t="str">
        <x:v>50 plans inspectables dans le Guide auteur ; géométrie partielle et campagne encore ouvertes.</x:v>
      </x:c>
      <x:c r="L12" s="16" t="n">
        <x:f>COUNTIF('Variantes à concevoir'!$B$6:$B$4005,A12)</x:f>
        <x:v>50</x:v>
      </x:c>
    </x:row>
    <x:row r="13" ht="65" customHeight="1">
      <x:c r="A13" s="16" t="str">
        <x:v>EXT-MONDE-T008</x:v>
      </x:c>
      <x:c r="B13" s="16" t="str">
        <x:v>Navires de haute mer</x:v>
      </x:c>
      <x:c r="C13" s="16" t="str">
        <x:v>Sous-marin en surface</x:v>
      </x:c>
      <x:c r="D13" s="16" t="n">
        <x:v>50</x:v>
      </x:c>
      <x:c r="E13" s="16" t="str">
        <x:v>Inspection physique</x:v>
      </x:c>
      <x:c r="F13" s="16" t="str">
        <x:v>pont extérieur; passerelle; locaux de repos; circulations; atelier; réserve; machine</x:v>
      </x:c>
      <x:c r="G13" s="16" t="str">
        <x:v>chenal; accès nautique; liaison de quai</x:v>
      </x:c>
      <x:c r="H13" s="16" t="str">
        <x:v>Tirant d’eau, compartiments et accès à vérifier par type ; aucune circulation piétonne sur eau.</x:v>
      </x:c>
      <x:c r="I13" s="16" t="str">
        <x:v>L 94,996 ; l 8,306 ; hauteur inconnue ; tirant 4,699 m ; longueur/largeur/tirant sourcés ; hauteur totale réelle inconnue</x:v>
      </x:c>
      <x:c r="J13" s="16" t="str">
        <x:v>https://github.com/darknigthmare/deadwall-last-enclosure/blob/e28f46223e73105ab2c5d83f3d50b99b58ef53e6/docs/codex/suivi-monde2026/references-metriques2026.json</x:v>
      </x:c>
      <x:c r="K13" s="16" t="str">
        <x:v>50 plans inspectables dans le Guide auteur ; géométrie partielle et campagne encore ouvertes.</x:v>
      </x:c>
      <x:c r="L13" s="16" t="n">
        <x:f>COUNTIF('Variantes à concevoir'!$B$6:$B$4005,A13)</x:f>
        <x:v>50</x:v>
      </x:c>
    </x:row>
    <x:row r="14" ht="96" customHeight="1">
      <x:c r="A14" s="16" t="str">
        <x:v>EXT-MONDE-T009</x:v>
      </x:c>
      <x:c r="B14" s="16" t="str">
        <x:v>Offshore</x:v>
      </x:c>
      <x:c r="C14" s="16" t="str">
        <x:v>Plateforme pétrolière fixe</x:v>
      </x:c>
      <x:c r="D14" s="16" t="n">
        <x:v>50</x:v>
      </x:c>
      <x:c r="E14" s="16" t="str">
        <x:v>Inspection physique</x:v>
      </x:c>
      <x:c r="F14" s="16" t="str">
        <x:v>pont de service; poste de contrôle; hébergement; atelier; réserves; accès vertical</x:v>
      </x:c>
      <x:c r="G14" s="16" t="str">
        <x:v>mer profonde; liaison nautique; énergie</x:v>
      </x:c>
      <x:c r="H14" s="16" t="str">
        <x:v>Structure maritime réservée ; appuis et niveaux indépendants ; pas de production automatique.</x:v>
      </x:c>
      <x:c r="I14" s="16" t="str">
        <x:v>Emprise 356–412 × 296–344 m ; hauteur 52–52 m ; choix de composition auteur ; dimensions réelles à documenter.</x:v>
      </x:c>
      <x:c r="J14" s="16" t="str">
        <x:v>https://github.com/darknigthmare/deadwall-last-enclosure/blob/e28f46223e73105ab2c5d83f3d50b99b58ef53e6/docs/codex/suivi-monde2026/PORTS_ILES_2026.md</x:v>
      </x:c>
      <x:c r="K14" s="16" t="str">
        <x:v>50 plans inspectables dans le Guide auteur ; géométrie partielle et campagne encore ouvertes.</x:v>
      </x:c>
      <x:c r="L14" s="16" t="n">
        <x:f>COUNTIF('Variantes à concevoir'!$B$6:$B$4005,A14)</x:f>
        <x:v>50</x:v>
      </x:c>
    </x:row>
    <x:row r="15" ht="96" customHeight="1">
      <x:c r="A15" s="16" t="str">
        <x:v>EXT-MONDE-T010</x:v>
      </x:c>
      <x:c r="B15" s="16" t="str">
        <x:v>Offshore</x:v>
      </x:c>
      <x:c r="C15" s="16" t="str">
        <x:v>Plateforme semi-submersible</x:v>
      </x:c>
      <x:c r="D15" s="16" t="n">
        <x:v>50</x:v>
      </x:c>
      <x:c r="E15" s="16" t="str">
        <x:v>Inspection physique</x:v>
      </x:c>
      <x:c r="F15" s="16" t="str">
        <x:v>pont de service; poste de contrôle; hébergement; atelier; réserves; accès vertical</x:v>
      </x:c>
      <x:c r="G15" s="16" t="str">
        <x:v>mer profonde; liaison nautique; énergie</x:v>
      </x:c>
      <x:c r="H15" s="16" t="str">
        <x:v>Structure maritime réservée ; appuis et niveaux indépendants ; pas de production automatique.</x:v>
      </x:c>
      <x:c r="I15" s="16" t="str">
        <x:v>Emprise 376–432 × 316–364 m ; hauteur 12–12 m ; choix de composition auteur ; dimensions réelles à documenter.</x:v>
      </x:c>
      <x:c r="J15" s="16" t="str">
        <x:v>https://github.com/darknigthmare/deadwall-last-enclosure/blob/e28f46223e73105ab2c5d83f3d50b99b58ef53e6/docs/codex/suivi-monde2026/PORTS_ILES_2026.md</x:v>
      </x:c>
      <x:c r="K15" s="16" t="str">
        <x:v>50 plans inspectables dans le Guide auteur ; géométrie partielle et campagne encore ouvertes.</x:v>
      </x:c>
      <x:c r="L15" s="16" t="n">
        <x:f>COUNTIF('Variantes à concevoir'!$B$6:$B$4005,A15)</x:f>
        <x:v>50</x:v>
      </x:c>
    </x:row>
    <x:row r="16" ht="65" customHeight="1">
      <x:c r="A16" s="16" t="str">
        <x:v>EXT-MONDE-T011</x:v>
      </x:c>
      <x:c r="B16" s="16" t="str">
        <x:v>Offshore</x:v>
      </x:c>
      <x:c r="C16" s="16" t="str">
        <x:v>Navire de soutien offshore</x:v>
      </x:c>
      <x:c r="D16" s="16" t="n">
        <x:v>50</x:v>
      </x:c>
      <x:c r="E16" s="16" t="str">
        <x:v>Inspection physique</x:v>
      </x:c>
      <x:c r="F16" s="16" t="str">
        <x:v>pont de service; poste de contrôle; hébergement; atelier; réserves; accès vertical</x:v>
      </x:c>
      <x:c r="G16" s="16" t="str">
        <x:v>mer profonde; liaison nautique; énergie</x:v>
      </x:c>
      <x:c r="H16" s="16" t="str">
        <x:v>Structure maritime réservée ; appuis et niveaux indépendants ; pas de production automatique.</x:v>
      </x:c>
      <x:c r="I16" s="16" t="str">
        <x:v>L 80 ; l 16,2 ; hauteur inconnue ; tirant 6,15 m ; longueur/largeur/tirant sourcés ; hauteur totale réelle inconnue</x:v>
      </x:c>
      <x:c r="J16" s="16" t="str">
        <x:v>https://github.com/darknigthmare/deadwall-last-enclosure/blob/e28f46223e73105ab2c5d83f3d50b99b58ef53e6/docs/codex/suivi-monde2026/references-metriques2026.json</x:v>
      </x:c>
      <x:c r="K16" s="16" t="str">
        <x:v>50 plans inspectables dans le Guide auteur ; géométrie partielle et campagne encore ouvertes.</x:v>
      </x:c>
      <x:c r="L16" s="16" t="n">
        <x:f>COUNTIF('Variantes à concevoir'!$B$6:$B$4005,A16)</x:f>
        <x:v>50</x:v>
      </x:c>
    </x:row>
    <x:row r="17" ht="96" customHeight="1">
      <x:c r="A17" s="16" t="str">
        <x:v>EXT-MONDE-T012</x:v>
      </x:c>
      <x:c r="B17" s="16" t="str">
        <x:v>Offshore</x:v>
      </x:c>
      <x:c r="C17" s="16" t="str">
        <x:v>Station scientifique marine</x:v>
      </x:c>
      <x:c r="D17" s="16" t="n">
        <x:v>50</x:v>
      </x:c>
      <x:c r="E17" s="16" t="str">
        <x:v>Inspection physique</x:v>
      </x:c>
      <x:c r="F17" s="16" t="str">
        <x:v>pont de service; poste de contrôle; hébergement; atelier; réserves; accès vertical</x:v>
      </x:c>
      <x:c r="G17" s="16" t="str">
        <x:v>mer profonde; liaison nautique; énergie</x:v>
      </x:c>
      <x:c r="H17" s="16" t="str">
        <x:v>Structure maritime réservée ; appuis et niveaux indépendants ; pas de production automatique.</x:v>
      </x:c>
      <x:c r="I17" s="16" t="str">
        <x:v>Emprise 356–412 × 296–344 m ; hauteur 26–26 m ; choix de composition auteur ; dimensions réelles à documenter.</x:v>
      </x:c>
      <x:c r="J17" s="16" t="str">
        <x:v>https://github.com/darknigthmare/deadwall-last-enclosure/blob/e28f46223e73105ab2c5d83f3d50b99b58ef53e6/docs/codex/suivi-monde2026/PORTS_ILES_2026.md</x:v>
      </x:c>
      <x:c r="K17" s="16" t="str">
        <x:v>50 plans inspectables dans le Guide auteur ; géométrie partielle et campagne encore ouvertes.</x:v>
      </x:c>
      <x:c r="L17" s="16" t="n">
        <x:f>COUNTIF('Variantes à concevoir'!$B$6:$B$4005,A17)</x:f>
        <x:v>50</x:v>
      </x:c>
    </x:row>
    <x:row r="18" ht="96" customHeight="1">
      <x:c r="A18" s="16" t="str">
        <x:v>EXT-MONDE-T013</x:v>
      </x:c>
      <x:c r="B18" s="16" t="str">
        <x:v>Ports</x:v>
      </x:c>
      <x:c r="C18" s="16" t="str">
        <x:v>Port de pêche</x:v>
      </x:c>
      <x:c r="D18" s="16" t="n">
        <x:v>50</x:v>
      </x:c>
      <x:c r="E18" s="16" t="str">
        <x:v>Inspection physique</x:v>
      </x:c>
      <x:c r="F18" s="16" t="str">
        <x:v>quais; capitainerie; entrepôts; accueil; atelier; sanitaires; cour de service</x:v>
      </x:c>
      <x:c r="G18" s="16" t="str">
        <x:v>route; chenal; fret selon type</x:v>
      </x:c>
      <x:c r="H18" s="16" t="str">
        <x:v>Côté terre/eau explicite ; chenal connecté ; manutention et visiteurs séparés.</x:v>
      </x:c>
      <x:c r="I18" s="16" t="str">
        <x:v>Emprise 344–400 × 444–492 m ; hauteur 10–10 m ; choix de composition auteur ; dimensions réelles à documenter.</x:v>
      </x:c>
      <x:c r="J18" s="16" t="str">
        <x:v>https://github.com/darknigthmare/deadwall-last-enclosure/blob/e28f46223e73105ab2c5d83f3d50b99b58ef53e6/docs/codex/suivi-monde2026/PORTS_ILES_2026.md</x:v>
      </x:c>
      <x:c r="K18" s="16" t="str">
        <x:v>50 plans inspectables dans le Guide auteur ; géométrie partielle et campagne encore ouvertes.</x:v>
      </x:c>
      <x:c r="L18" s="16" t="n">
        <x:f>COUNTIF('Variantes à concevoir'!$B$6:$B$4005,A18)</x:f>
        <x:v>50</x:v>
      </x:c>
    </x:row>
    <x:row r="19" ht="96" customHeight="1">
      <x:c r="A19" s="16" t="str">
        <x:v>EXT-MONDE-T014</x:v>
      </x:c>
      <x:c r="B19" s="16" t="str">
        <x:v>Ports</x:v>
      </x:c>
      <x:c r="C19" s="16" t="str">
        <x:v>Marina</x:v>
      </x:c>
      <x:c r="D19" s="16" t="n">
        <x:v>50</x:v>
      </x:c>
      <x:c r="E19" s="16" t="str">
        <x:v>Inspection physique</x:v>
      </x:c>
      <x:c r="F19" s="16" t="str">
        <x:v>quais; capitainerie; entrepôts; accueil; atelier; sanitaires; cour de service</x:v>
      </x:c>
      <x:c r="G19" s="16" t="str">
        <x:v>route; chenal; fret selon type</x:v>
      </x:c>
      <x:c r="H19" s="16" t="str">
        <x:v>Côté terre/eau explicite ; chenal connecté ; manutention et visiteurs séparés.</x:v>
      </x:c>
      <x:c r="I19" s="16" t="str">
        <x:v>Emprise 324–380 × 424–472 m ; hauteur 10–10 m ; choix de composition auteur ; dimensions réelles à documenter.</x:v>
      </x:c>
      <x:c r="J19" s="16" t="str">
        <x:v>https://github.com/darknigthmare/deadwall-last-enclosure/blob/e28f46223e73105ab2c5d83f3d50b99b58ef53e6/docs/codex/suivi-monde2026/PORTS_ILES_2026.md</x:v>
      </x:c>
      <x:c r="K19" s="16" t="str">
        <x:v>50 plans inspectables dans le Guide auteur ; géométrie partielle et campagne encore ouvertes.</x:v>
      </x:c>
      <x:c r="L19" s="16" t="n">
        <x:f>COUNTIF('Variantes à concevoir'!$B$6:$B$4005,A19)</x:f>
        <x:v>50</x:v>
      </x:c>
    </x:row>
    <x:row r="20" ht="96" customHeight="1">
      <x:c r="A20" s="16" t="str">
        <x:v>EXT-MONDE-T015</x:v>
      </x:c>
      <x:c r="B20" s="16" t="str">
        <x:v>Ports</x:v>
      </x:c>
      <x:c r="C20" s="16" t="str">
        <x:v>Terminal conteneurs</x:v>
      </x:c>
      <x:c r="D20" s="16" t="n">
        <x:v>50</x:v>
      </x:c>
      <x:c r="E20" s="16" t="str">
        <x:v>Inspection physique</x:v>
      </x:c>
      <x:c r="F20" s="16" t="str">
        <x:v>quais; capitainerie; entrepôts; accueil; atelier; sanitaires; cour de service</x:v>
      </x:c>
      <x:c r="G20" s="16" t="str">
        <x:v>route; chenal; fret selon type</x:v>
      </x:c>
      <x:c r="H20" s="16" t="str">
        <x:v>Côté terre/eau explicite ; chenal connecté ; manutention et visiteurs séparés.</x:v>
      </x:c>
      <x:c r="I20" s="16" t="str">
        <x:v>Emprise 424–480 × 564–612 m ; hauteur 36–36 m ; choix de composition auteur ; dimensions réelles à documenter.</x:v>
      </x:c>
      <x:c r="J20" s="16" t="str">
        <x:v>https://github.com/darknigthmare/deadwall-last-enclosure/blob/e28f46223e73105ab2c5d83f3d50b99b58ef53e6/docs/codex/suivi-monde2026/PORTS_ILES_2026.md</x:v>
      </x:c>
      <x:c r="K20" s="16" t="str">
        <x:v>50 plans inspectables dans le Guide auteur ; géométrie partielle et campagne encore ouvertes.</x:v>
      </x:c>
      <x:c r="L20" s="16" t="n">
        <x:f>COUNTIF('Variantes à concevoir'!$B$6:$B$4005,A20)</x:f>
        <x:v>50</x:v>
      </x:c>
    </x:row>
    <x:row r="21" ht="96" customHeight="1">
      <x:c r="A21" s="16" t="str">
        <x:v>EXT-MONDE-T016</x:v>
      </x:c>
      <x:c r="B21" s="16" t="str">
        <x:v>Ports</x:v>
      </x:c>
      <x:c r="C21" s="16" t="str">
        <x:v>Terminal ferry</x:v>
      </x:c>
      <x:c r="D21" s="16" t="n">
        <x:v>50</x:v>
      </x:c>
      <x:c r="E21" s="16" t="str">
        <x:v>Inspection physique</x:v>
      </x:c>
      <x:c r="F21" s="16" t="str">
        <x:v>quais; capitainerie; entrepôts; accueil; atelier; sanitaires; cour de service</x:v>
      </x:c>
      <x:c r="G21" s="16" t="str">
        <x:v>route; chenal; fret selon type</x:v>
      </x:c>
      <x:c r="H21" s="16" t="str">
        <x:v>Côté terre/eau explicite ; chenal connecté ; manutention et visiteurs séparés.</x:v>
      </x:c>
      <x:c r="I21" s="16" t="str">
        <x:v>Emprise 364–420 × 484–532 m ; hauteur 5–5 m ; choix de composition auteur ; dimensions réelles à documenter.</x:v>
      </x:c>
      <x:c r="J21" s="16" t="str">
        <x:v>https://github.com/darknigthmare/deadwall-last-enclosure/blob/e28f46223e73105ab2c5d83f3d50b99b58ef53e6/docs/codex/suivi-monde2026/PORTS_ILES_2026.md</x:v>
      </x:c>
      <x:c r="K21" s="16" t="str">
        <x:v>50 plans inspectables dans le Guide auteur ; géométrie partielle et campagne encore ouvertes.</x:v>
      </x:c>
      <x:c r="L21" s="16" t="n">
        <x:f>COUNTIF('Variantes à concevoir'!$B$6:$B$4005,A21)</x:f>
        <x:v>50</x:v>
      </x:c>
    </x:row>
    <x:row r="22" ht="96" customHeight="1">
      <x:c r="A22" s="16" t="str">
        <x:v>EXT-MONDE-T017</x:v>
      </x:c>
      <x:c r="B22" s="16" t="str">
        <x:v>Littoral</x:v>
      </x:c>
      <x:c r="C22" s="16" t="str">
        <x:v>Phare et logements</x:v>
      </x:c>
      <x:c r="D22" s="16" t="n">
        <x:v>50</x:v>
      </x:c>
      <x:c r="E22" s="16" t="str">
        <x:v>Inspection physique</x:v>
      </x:c>
      <x:c r="F22" s="16" t="str">
        <x:v>accueil; postes de service; réserves; sanitaires; chemins; locaux techniques</x:v>
      </x:c>
      <x:c r="G22" s="16" t="str">
        <x:v>route locale; littoral; chemins</x:v>
      </x:c>
      <x:c r="H22" s="16" t="str">
        <x:v>Adapter les pièces à l’usage ; relief, marée nominale et rivage avant implantation.</x:v>
      </x:c>
      <x:c r="I22" s="16" t="str">
        <x:v>Emprise 270–342 × 230–294 m ; hauteur 28–36 m ; choix de composition auteur ; dimensions réelles à documenter.</x:v>
      </x:c>
      <x:c r="J22" s="16" t="str">
        <x:v>https://github.com/darknigthmare/deadwall-last-enclosure/blob/e28f46223e73105ab2c5d83f3d50b99b58ef53e6/docs/codex/suivi-monde2026/LITTORAL_2026.md</x:v>
      </x:c>
      <x:c r="K22" s="16" t="str">
        <x:v>50 plans inspectables dans le Guide auteur ; géométrie partielle et campagne encore ouvertes.</x:v>
      </x:c>
      <x:c r="L22" s="16" t="n">
        <x:f>COUNTIF('Variantes à concevoir'!$B$6:$B$4005,A22)</x:f>
        <x:v>50</x:v>
      </x:c>
    </x:row>
    <x:row r="23" ht="96" customHeight="1">
      <x:c r="A23" s="16" t="str">
        <x:v>EXT-MONDE-T018</x:v>
      </x:c>
      <x:c r="B23" s="16" t="str">
        <x:v>Littoral</x:v>
      </x:c>
      <x:c r="C23" s="16" t="str">
        <x:v>Fête foraine portuaire</x:v>
      </x:c>
      <x:c r="D23" s="16" t="n">
        <x:v>50</x:v>
      </x:c>
      <x:c r="E23" s="16" t="str">
        <x:v>Inspection physique</x:v>
      </x:c>
      <x:c r="F23" s="16" t="str">
        <x:v>accueil; postes de service; réserves; sanitaires; chemins; locaux techniques</x:v>
      </x:c>
      <x:c r="G23" s="16" t="str">
        <x:v>route locale; littoral; chemins</x:v>
      </x:c>
      <x:c r="H23" s="16" t="str">
        <x:v>Adapter les pièces à l’usage ; relief, marée nominale et rivage avant implantation.</x:v>
      </x:c>
      <x:c r="I23" s="16" t="str">
        <x:v>Emprise 270–342 × 230–294 m ; hauteur 24–24 m ; choix de composition auteur ; dimensions réelles à documenter.</x:v>
      </x:c>
      <x:c r="J23" s="16" t="str">
        <x:v>https://github.com/darknigthmare/deadwall-last-enclosure/blob/e28f46223e73105ab2c5d83f3d50b99b58ef53e6/docs/codex/suivi-monde2026/LITTORAL_2026.md</x:v>
      </x:c>
      <x:c r="K23" s="16" t="str">
        <x:v>50 plans inspectables dans le Guide auteur ; géométrie partielle et campagne encore ouvertes.</x:v>
      </x:c>
      <x:c r="L23" s="16" t="n">
        <x:f>COUNTIF('Variantes à concevoir'!$B$6:$B$4005,A23)</x:f>
        <x:v>50</x:v>
      </x:c>
    </x:row>
    <x:row r="24" ht="96" customHeight="1">
      <x:c r="A24" s="16" t="str">
        <x:v>EXT-MONDE-T019</x:v>
      </x:c>
      <x:c r="B24" s="16" t="str">
        <x:v>Littoral</x:v>
      </x:c>
      <x:c r="C24" s="16" t="str">
        <x:v>Chantier naval côtier</x:v>
      </x:c>
      <x:c r="D24" s="16" t="n">
        <x:v>50</x:v>
      </x:c>
      <x:c r="E24" s="16" t="str">
        <x:v>Inspection physique</x:v>
      </x:c>
      <x:c r="F24" s="16" t="str">
        <x:v>accueil; postes de service; réserves; sanitaires; chemins; locaux techniques</x:v>
      </x:c>
      <x:c r="G24" s="16" t="str">
        <x:v>route locale; littoral; chemins</x:v>
      </x:c>
      <x:c r="H24" s="16" t="str">
        <x:v>Adapter les pièces à l’usage ; relief, marée nominale et rivage avant implantation.</x:v>
      </x:c>
      <x:c r="I24" s="16" t="str">
        <x:v>Emprise 270–342 × 230–294 m ; hauteur 18–18 m ; choix de composition auteur ; dimensions réelles à documenter.</x:v>
      </x:c>
      <x:c r="J24" s="16" t="str">
        <x:v>https://github.com/darknigthmare/deadwall-last-enclosure/blob/e28f46223e73105ab2c5d83f3d50b99b58ef53e6/docs/codex/suivi-monde2026/LITTORAL_2026.md</x:v>
      </x:c>
      <x:c r="K24" s="16" t="str">
        <x:v>50 plans inspectables dans le Guide auteur ; géométrie partielle et campagne encore ouvertes.</x:v>
      </x:c>
      <x:c r="L24" s="16" t="n">
        <x:f>COUNTIF('Variantes à concevoir'!$B$6:$B$4005,A24)</x:f>
        <x:v>50</x:v>
      </x:c>
    </x:row>
    <x:row r="25" ht="96" customHeight="1">
      <x:c r="A25" s="16" t="str">
        <x:v>EXT-MONDE-T020</x:v>
      </x:c>
      <x:c r="B25" s="16" t="str">
        <x:v>Littoral</x:v>
      </x:c>
      <x:c r="C25" s="16" t="str">
        <x:v>Baie avec village côtier</x:v>
      </x:c>
      <x:c r="D25" s="16" t="n">
        <x:v>50</x:v>
      </x:c>
      <x:c r="E25" s="16" t="str">
        <x:v>Inspection physique</x:v>
      </x:c>
      <x:c r="F25" s="16" t="str">
        <x:v>accueil; postes de service; réserves; sanitaires; chemins; locaux techniques</x:v>
      </x:c>
      <x:c r="G25" s="16" t="str">
        <x:v>route locale; littoral; chemins</x:v>
      </x:c>
      <x:c r="H25" s="16" t="str">
        <x:v>Adapter les pièces à l’usage ; relief, marée nominale et rivage avant implantation.</x:v>
      </x:c>
      <x:c r="I25" s="16" t="str">
        <x:v>Emprise 270–342 × 230–294 m ; hauteur 4,4–4,4 m ; choix de composition auteur ; dimensions réelles à documenter.</x:v>
      </x:c>
      <x:c r="J25" s="16" t="str">
        <x:v>https://github.com/darknigthmare/deadwall-last-enclosure/blob/e28f46223e73105ab2c5d83f3d50b99b58ef53e6/docs/codex/suivi-monde2026/LITTORAL_2026.md</x:v>
      </x:c>
      <x:c r="K25" s="16" t="str">
        <x:v>50 plans inspectables dans le Guide auteur ; géométrie partielle et campagne encore ouvertes.</x:v>
      </x:c>
      <x:c r="L25" s="16" t="n">
        <x:f>COUNTIF('Variantes à concevoir'!$B$6:$B$4005,A25)</x:f>
        <x:v>50</x:v>
      </x:c>
    </x:row>
    <x:row r="26" ht="96" customHeight="1">
      <x:c r="A26" s="16" t="str">
        <x:v>EXT-MONDE-T021</x:v>
      </x:c>
      <x:c r="B26" s="16" t="str">
        <x:v>Fermes élevage</x:v>
      </x:c>
      <x:c r="C26" s="16" t="str">
        <x:v>Ferme laitière</x:v>
      </x:c>
      <x:c r="D26" s="16" t="n">
        <x:v>50</x:v>
      </x:c>
      <x:c r="E26" s="16" t="str">
        <x:v>Inspection physique</x:v>
      </x:c>
      <x:c r="F26" s="16" t="str">
        <x:v>habitation; étable ou boxes; réserve de fourrage; atelier; cour; point d’eau</x:v>
      </x:c>
      <x:c r="G26" s="16" t="str">
        <x:v>voie agricole; eau; électricité</x:v>
      </x:c>
      <x:c r="H26" s="16" t="str">
        <x:v>Enclos compatibles avec espèces ; alimentation finie ; animaux, visiteurs et livraisons séparés.</x:v>
      </x:c>
      <x:c r="I26" s="16" t="str">
        <x:v>Emprise 260–340 × 224–320 m ; hauteur 8,2–8,2 m ; choix de composition auteur ; dimensions réelles à documenter.</x:v>
      </x:c>
      <x:c r="J26" s="16" t="str">
        <x:v>https://github.com/darknigthmare/deadwall-last-enclosure/blob/e28f46223e73105ab2c5d83f3d50b99b58ef53e6/docs/codex/suivi-monde2026/AGRICULTURE_2026.md</x:v>
      </x:c>
      <x:c r="K26" s="16" t="str">
        <x:v>50 plans inspectables dans le Guide auteur ; géométrie partielle et campagne encore ouvertes.</x:v>
      </x:c>
      <x:c r="L26" s="16" t="n">
        <x:f>COUNTIF('Variantes à concevoir'!$B$6:$B$4005,A26)</x:f>
        <x:v>50</x:v>
      </x:c>
    </x:row>
    <x:row r="27" ht="96" customHeight="1">
      <x:c r="A27" s="16" t="str">
        <x:v>EXT-MONDE-T022</x:v>
      </x:c>
      <x:c r="B27" s="16" t="str">
        <x:v>Fermes élevage</x:v>
      </x:c>
      <x:c r="C27" s="16" t="str">
        <x:v>Élevage ovin</x:v>
      </x:c>
      <x:c r="D27" s="16" t="n">
        <x:v>50</x:v>
      </x:c>
      <x:c r="E27" s="16" t="str">
        <x:v>Inspection physique</x:v>
      </x:c>
      <x:c r="F27" s="16" t="str">
        <x:v>habitation; étable ou boxes; réserve de fourrage; atelier; cour; point d’eau</x:v>
      </x:c>
      <x:c r="G27" s="16" t="str">
        <x:v>voie agricole; eau; électricité</x:v>
      </x:c>
      <x:c r="H27" s="16" t="str">
        <x:v>Enclos compatibles avec espèces ; alimentation finie ; animaux, visiteurs et livraisons séparés.</x:v>
      </x:c>
      <x:c r="I27" s="16" t="str">
        <x:v>Emprise 260–340 × 224–320 m ; hauteur 7–7,3 m ; choix de composition auteur ; dimensions réelles à documenter.</x:v>
      </x:c>
      <x:c r="J27" s="16" t="str">
        <x:v>https://github.com/darknigthmare/deadwall-last-enclosure/blob/e28f46223e73105ab2c5d83f3d50b99b58ef53e6/docs/codex/suivi-monde2026/AGRICULTURE_2026.md</x:v>
      </x:c>
      <x:c r="K27" s="16" t="str">
        <x:v>50 plans inspectables dans le Guide auteur ; géométrie partielle et campagne encore ouvertes.</x:v>
      </x:c>
      <x:c r="L27" s="16" t="n">
        <x:f>COUNTIF('Variantes à concevoir'!$B$6:$B$4005,A27)</x:f>
        <x:v>50</x:v>
      </x:c>
    </x:row>
    <x:row r="28" ht="96" customHeight="1">
      <x:c r="A28" s="16" t="str">
        <x:v>EXT-MONDE-T023</x:v>
      </x:c>
      <x:c r="B28" s="16" t="str">
        <x:v>Fermes élevage</x:v>
      </x:c>
      <x:c r="C28" s="16" t="str">
        <x:v>Ferme avicole</x:v>
      </x:c>
      <x:c r="D28" s="16" t="n">
        <x:v>50</x:v>
      </x:c>
      <x:c r="E28" s="16" t="str">
        <x:v>Inspection physique</x:v>
      </x:c>
      <x:c r="F28" s="16" t="str">
        <x:v>habitation; étable ou boxes; réserve de fourrage; atelier; cour; point d’eau</x:v>
      </x:c>
      <x:c r="G28" s="16" t="str">
        <x:v>voie agricole; eau; électricité</x:v>
      </x:c>
      <x:c r="H28" s="16" t="str">
        <x:v>Enclos compatibles avec espèces ; alimentation finie ; animaux, visiteurs et livraisons séparés.</x:v>
      </x:c>
      <x:c r="I28" s="16" t="str">
        <x:v>Emprise 260–340 × 224–320 m ; hauteur 6,8–7,3 m ; choix de composition auteur ; dimensions réelles à documenter.</x:v>
      </x:c>
      <x:c r="J28" s="16" t="str">
        <x:v>https://github.com/darknigthmare/deadwall-last-enclosure/blob/e28f46223e73105ab2c5d83f3d50b99b58ef53e6/docs/codex/suivi-monde2026/AGRICULTURE_2026.md</x:v>
      </x:c>
      <x:c r="K28" s="16" t="str">
        <x:v>50 plans inspectables dans le Guide auteur ; géométrie partielle et campagne encore ouvertes.</x:v>
      </x:c>
      <x:c r="L28" s="16" t="n">
        <x:f>COUNTIF('Variantes à concevoir'!$B$6:$B$4005,A28)</x:f>
        <x:v>50</x:v>
      </x:c>
    </x:row>
    <x:row r="29" ht="96" customHeight="1">
      <x:c r="A29" s="16" t="str">
        <x:v>EXT-MONDE-T024</x:v>
      </x:c>
      <x:c r="B29" s="16" t="str">
        <x:v>Fermes élevage</x:v>
      </x:c>
      <x:c r="C29" s="16" t="str">
        <x:v>Centre équestre rural</x:v>
      </x:c>
      <x:c r="D29" s="16" t="n">
        <x:v>50</x:v>
      </x:c>
      <x:c r="E29" s="16" t="str">
        <x:v>Inspection physique</x:v>
      </x:c>
      <x:c r="F29" s="16" t="str">
        <x:v>habitation; étable ou boxes; réserve de fourrage; atelier; cour; point d’eau</x:v>
      </x:c>
      <x:c r="G29" s="16" t="str">
        <x:v>voie agricole; eau; électricité</x:v>
      </x:c>
      <x:c r="H29" s="16" t="str">
        <x:v>Enclos compatibles avec espèces ; alimentation finie ; animaux, visiteurs et livraisons séparés.</x:v>
      </x:c>
      <x:c r="I29" s="16" t="str">
        <x:v>Emprise 260–340 × 224–320 m ; hauteur 6,5–7,3 m ; choix de composition auteur ; dimensions réelles à documenter.</x:v>
      </x:c>
      <x:c r="J29" s="16" t="str">
        <x:v>https://github.com/darknigthmare/deadwall-last-enclosure/blob/e28f46223e73105ab2c5d83f3d50b99b58ef53e6/docs/codex/suivi-monde2026/AGRICULTURE_2026.md</x:v>
      </x:c>
      <x:c r="K29" s="16" t="str">
        <x:v>50 plans inspectables dans le Guide auteur ; géométrie partielle et campagne encore ouvertes.</x:v>
      </x:c>
      <x:c r="L29" s="16" t="n">
        <x:f>COUNTIF('Variantes à concevoir'!$B$6:$B$4005,A29)</x:f>
        <x:v>50</x:v>
      </x:c>
    </x:row>
    <x:row r="30" ht="96" customHeight="1">
      <x:c r="A30" s="16" t="str">
        <x:v>EXT-MONDE-T025</x:v>
      </x:c>
      <x:c r="B30" s="16" t="str">
        <x:v>Fermes cultures</x:v>
      </x:c>
      <x:c r="C30" s="16" t="str">
        <x:v>Exploitation céréalière</x:v>
      </x:c>
      <x:c r="D30" s="16" t="n">
        <x:v>50</x:v>
      </x:c>
      <x:c r="E30" s="16" t="str">
        <x:v>Inspection physique</x:v>
      </x:c>
      <x:c r="F30" s="16" t="str">
        <x:v>maison; hangar; atelier; stockage; parcelles; local de préparation; sanitaires</x:v>
      </x:c>
      <x:c r="G30" s="16" t="str">
        <x:v>voie agricole; irrigation; route locale</x:v>
      </x:c>
      <x:c r="H30" s="16" t="str">
        <x:v>Cultures adaptées au terrain ; parcelles contiguës ; pas de stock renouvelé par visite.</x:v>
      </x:c>
      <x:c r="I30" s="16" t="str">
        <x:v>Emprise 260–340 × 224–320 m ; hauteur 10,2–10,2 m ; choix de composition auteur ; dimensions réelles à documenter.</x:v>
      </x:c>
      <x:c r="J30" s="16" t="str">
        <x:v>https://github.com/darknigthmare/deadwall-last-enclosure/blob/e28f46223e73105ab2c5d83f3d50b99b58ef53e6/docs/codex/suivi-monde2026/AGRICULTURE_2026.md</x:v>
      </x:c>
      <x:c r="K30" s="16" t="str">
        <x:v>50 plans inspectables dans le Guide auteur ; géométrie partielle et campagne encore ouvertes.</x:v>
      </x:c>
      <x:c r="L30" s="16" t="n">
        <x:f>COUNTIF('Variantes à concevoir'!$B$6:$B$4005,A30)</x:f>
        <x:v>50</x:v>
      </x:c>
    </x:row>
    <x:row r="31" ht="96" customHeight="1">
      <x:c r="A31" s="16" t="str">
        <x:v>EXT-MONDE-T026</x:v>
      </x:c>
      <x:c r="B31" s="16" t="str">
        <x:v>Fermes cultures</x:v>
      </x:c>
      <x:c r="C31" s="16" t="str">
        <x:v>Domaine viticole</x:v>
      </x:c>
      <x:c r="D31" s="16" t="n">
        <x:v>50</x:v>
      </x:c>
      <x:c r="E31" s="16" t="str">
        <x:v>Inspection physique</x:v>
      </x:c>
      <x:c r="F31" s="16" t="str">
        <x:v>maison; hangar; atelier; stockage; parcelles; local de préparation; sanitaires</x:v>
      </x:c>
      <x:c r="G31" s="16" t="str">
        <x:v>voie agricole; irrigation; route locale</x:v>
      </x:c>
      <x:c r="H31" s="16" t="str">
        <x:v>Cultures adaptées au terrain ; parcelles contiguës ; pas de stock renouvelé par visite.</x:v>
      </x:c>
      <x:c r="I31" s="16" t="str">
        <x:v>Emprise 260–340 × 224–320 m ; hauteur 6,5–7,3 m ; choix de composition auteur ; dimensions réelles à documenter.</x:v>
      </x:c>
      <x:c r="J31" s="16" t="str">
        <x:v>https://github.com/darknigthmare/deadwall-last-enclosure/blob/e28f46223e73105ab2c5d83f3d50b99b58ef53e6/docs/codex/suivi-monde2026/AGRICULTURE_2026.md</x:v>
      </x:c>
      <x:c r="K31" s="16" t="str">
        <x:v>50 plans inspectables dans le Guide auteur ; géométrie partielle et campagne encore ouvertes.</x:v>
      </x:c>
      <x:c r="L31" s="16" t="n">
        <x:f>COUNTIF('Variantes à concevoir'!$B$6:$B$4005,A31)</x:f>
        <x:v>50</x:v>
      </x:c>
    </x:row>
    <x:row r="32" ht="96" customHeight="1">
      <x:c r="A32" s="16" t="str">
        <x:v>EXT-MONDE-T027</x:v>
      </x:c>
      <x:c r="B32" s="16" t="str">
        <x:v>Fermes cultures</x:v>
      </x:c>
      <x:c r="C32" s="16" t="str">
        <x:v>Ferme maraîchère</x:v>
      </x:c>
      <x:c r="D32" s="16" t="n">
        <x:v>50</x:v>
      </x:c>
      <x:c r="E32" s="16" t="str">
        <x:v>Inspection physique</x:v>
      </x:c>
      <x:c r="F32" s="16" t="str">
        <x:v>maison; hangar; atelier; stockage; parcelles; local de préparation; sanitaires</x:v>
      </x:c>
      <x:c r="G32" s="16" t="str">
        <x:v>voie agricole; irrigation; route locale</x:v>
      </x:c>
      <x:c r="H32" s="16" t="str">
        <x:v>Cultures adaptées au terrain ; parcelles contiguës ; pas de stock renouvelé par visite.</x:v>
      </x:c>
      <x:c r="I32" s="16" t="str">
        <x:v>Emprise 260–340 × 224–320 m ; hauteur 6,5–7,3 m ; choix de composition auteur ; dimensions réelles à documenter.</x:v>
      </x:c>
      <x:c r="J32" s="16" t="str">
        <x:v>https://github.com/darknigthmare/deadwall-last-enclosure/blob/e28f46223e73105ab2c5d83f3d50b99b58ef53e6/docs/codex/suivi-monde2026/AGRICULTURE_2026.md</x:v>
      </x:c>
      <x:c r="K32" s="16" t="str">
        <x:v>50 plans inspectables dans le Guide auteur ; géométrie partielle et campagne encore ouvertes.</x:v>
      </x:c>
      <x:c r="L32" s="16" t="n">
        <x:f>COUNTIF('Variantes à concevoir'!$B$6:$B$4005,A32)</x:f>
        <x:v>50</x:v>
      </x:c>
    </x:row>
    <x:row r="33" ht="96" customHeight="1">
      <x:c r="A33" s="16" t="str">
        <x:v>EXT-MONDE-T028</x:v>
      </x:c>
      <x:c r="B33" s="16" t="str">
        <x:v>Fermes cultures</x:v>
      </x:c>
      <x:c r="C33" s="16" t="str">
        <x:v>Verger avec conditionnement</x:v>
      </x:c>
      <x:c r="D33" s="16" t="n">
        <x:v>50</x:v>
      </x:c>
      <x:c r="E33" s="16" t="str">
        <x:v>Inspection physique</x:v>
      </x:c>
      <x:c r="F33" s="16" t="str">
        <x:v>maison; hangar; atelier; stockage; parcelles; local de préparation; sanitaires</x:v>
      </x:c>
      <x:c r="G33" s="16" t="str">
        <x:v>voie agricole; irrigation; route locale</x:v>
      </x:c>
      <x:c r="H33" s="16" t="str">
        <x:v>Cultures adaptées au terrain ; parcelles contiguës ; pas de stock renouvelé par visite.</x:v>
      </x:c>
      <x:c r="I33" s="16" t="str">
        <x:v>Emprise 260–340 × 224–320 m ; hauteur 6,5–7,3 m ; choix de composition auteur ; dimensions réelles à documenter.</x:v>
      </x:c>
      <x:c r="J33" s="16" t="str">
        <x:v>https://github.com/darknigthmare/deadwall-last-enclosure/blob/e28f46223e73105ab2c5d83f3d50b99b58ef53e6/docs/codex/suivi-monde2026/AGRICULTURE_2026.md</x:v>
      </x:c>
      <x:c r="K33" s="16" t="str">
        <x:v>50 plans inspectables dans le Guide auteur ; géométrie partielle et campagne encore ouvertes.</x:v>
      </x:c>
      <x:c r="L33" s="16" t="n">
        <x:f>COUNTIF('Variantes à concevoir'!$B$6:$B$4005,A33)</x:f>
        <x:v>50</x:v>
      </x:c>
    </x:row>
    <x:row r="34" ht="96" customHeight="1">
      <x:c r="A34" s="16" t="str">
        <x:v>EXT-MONDE-T029</x:v>
      </x:c>
      <x:c r="B34" s="16" t="str">
        <x:v>Ponts</x:v>
      </x:c>
      <x:c r="C34" s="16" t="str">
        <x:v>Pont routier à poutres</x:v>
      </x:c>
      <x:c r="D34" s="16" t="n">
        <x:v>50</x:v>
      </x:c>
      <x:c r="E34" s="16" t="str">
        <x:v>Inspection physique</x:v>
      </x:c>
      <x:c r="F34" s="16" t="str">
        <x:v>tablier; appuis; culées; accès de maintenance; passage inférieur</x:v>
      </x:c>
      <x:c r="G34" s="16" t="str">
        <x:v>route ou rail; franchissement; chemin inférieur</x:v>
      </x:c>
      <x:c r="H34" s="16" t="str">
        <x:v>Gabarit libre sous tablier ; extrémités raccordées ; aucun nœud entre voies superposées.</x:v>
      </x:c>
      <x:c r="I34" s="16" t="str">
        <x:v>Emprise 620–940 × 800–1440 m ; hauteur 8,2–8,56 m ; choix de composition auteur ; dimensions réelles à documenter.</x:v>
      </x:c>
      <x:c r="J34" s="16" t="str">
        <x:v>https://github.com/darknigthmare/deadwall-last-enclosure/blob/e28f46223e73105ab2c5d83f3d50b99b58ef53e6/docs/codex/suivi-monde2026/PONTS_ECHANGEURS_2026.md</x:v>
      </x:c>
      <x:c r="K34" s="16" t="str">
        <x:v>50 plans inspectables dans le Guide auteur ; géométrie partielle et campagne encore ouvertes.</x:v>
      </x:c>
      <x:c r="L34" s="16" t="n">
        <x:f>COUNTIF('Variantes à concevoir'!$B$6:$B$4005,A34)</x:f>
        <x:v>50</x:v>
      </x:c>
    </x:row>
    <x:row r="35" ht="96" customHeight="1">
      <x:c r="A35" s="16" t="str">
        <x:v>EXT-MONDE-T030</x:v>
      </x:c>
      <x:c r="B35" s="16" t="str">
        <x:v>Ponts</x:v>
      </x:c>
      <x:c r="C35" s="16" t="str">
        <x:v>Pont à arches</x:v>
      </x:c>
      <x:c r="D35" s="16" t="n">
        <x:v>50</x:v>
      </x:c>
      <x:c r="E35" s="16" t="str">
        <x:v>Inspection physique</x:v>
      </x:c>
      <x:c r="F35" s="16" t="str">
        <x:v>tablier; appuis; culées; accès de maintenance; passage inférieur</x:v>
      </x:c>
      <x:c r="G35" s="16" t="str">
        <x:v>route ou rail; franchissement; chemin inférieur</x:v>
      </x:c>
      <x:c r="H35" s="16" t="str">
        <x:v>Gabarit libre sous tablier ; extrémités raccordées ; aucun nœud entre voies superposées.</x:v>
      </x:c>
      <x:c r="I35" s="16" t="str">
        <x:v>Emprise 680–1000 × 1000–1640 m ; hauteur 12–12,36 m ; choix de composition auteur ; dimensions réelles à documenter.</x:v>
      </x:c>
      <x:c r="J35" s="16" t="str">
        <x:v>https://github.com/darknigthmare/deadwall-last-enclosure/blob/e28f46223e73105ab2c5d83f3d50b99b58ef53e6/docs/codex/suivi-monde2026/PONTS_ECHANGEURS_2026.md</x:v>
      </x:c>
      <x:c r="K35" s="16" t="str">
        <x:v>50 plans inspectables dans le Guide auteur ; géométrie partielle et campagne encore ouvertes.</x:v>
      </x:c>
      <x:c r="L35" s="16" t="n">
        <x:f>COUNTIF('Variantes à concevoir'!$B$6:$B$4005,A35)</x:f>
        <x:v>50</x:v>
      </x:c>
    </x:row>
    <x:row r="36" ht="96" customHeight="1">
      <x:c r="A36" s="115" t="str">
        <x:v>EXT-MONDE-T031</x:v>
      </x:c>
      <x:c r="B36" s="115" t="str">
        <x:v>Ponts</x:v>
      </x:c>
      <x:c r="C36" s="115" t="str">
        <x:v>Pont levant portuaire</x:v>
      </x:c>
      <x:c r="D36" s="115" t="n">
        <x:v>50</x:v>
      </x:c>
      <x:c r="E36" s="115" t="str">
        <x:v>Inspection physique</x:v>
      </x:c>
      <x:c r="F36" s="115" t="str">
        <x:v>tablier; appuis; culées; accès de maintenance; passage inférieur</x:v>
      </x:c>
      <x:c r="G36" s="115" t="str">
        <x:v>route ou rail; franchissement; chemin inférieur</x:v>
      </x:c>
      <x:c r="H36" s="115" t="str">
        <x:v>Gabarit libre sous tablier ; extrémités raccordées ; aucun nœud entre voies superposées.</x:v>
      </x:c>
      <x:c r="I36" s="115" t="str">
        <x:v>Emprise 660–980 × 900–1540 m ; hauteur 28,5–36,86 m ; choix de composition auteur ; dimensions réelles à documenter.</x:v>
      </x:c>
      <x:c r="J36" s="115" t="str">
        <x:v>https://github.com/darknigthmare/deadwall-last-enclosure/blob/e28f46223e73105ab2c5d83f3d50b99b58ef53e6/docs/codex/suivi-monde2026/PONTS_ECHANGEURS_2026.md</x:v>
      </x:c>
      <x:c r="K36" s="115" t="str">
        <x:v>50 plans inspectables dans le Guide auteur ; géométrie partielle et campagne encore ouvertes.</x:v>
      </x:c>
      <x:c r="L36" t="n">
        <x:f>COUNTIF('Variantes à concevoir'!$B$6:$B$4005,A36)</x:f>
        <x:v>50</x:v>
      </x:c>
    </x:row>
    <x:row r="37" ht="96" customHeight="1">
      <x:c r="A37" s="115" t="str">
        <x:v>EXT-MONDE-T032</x:v>
      </x:c>
      <x:c r="B37" s="115" t="str">
        <x:v>Ponts</x:v>
      </x:c>
      <x:c r="C37" s="115" t="str">
        <x:v>Viaduc ferroviaire</x:v>
      </x:c>
      <x:c r="D37" s="115" t="n">
        <x:v>50</x:v>
      </x:c>
      <x:c r="E37" s="115" t="str">
        <x:v>Inspection physique</x:v>
      </x:c>
      <x:c r="F37" s="115" t="str">
        <x:v>tablier; appuis; culées; accès de maintenance; passage inférieur</x:v>
      </x:c>
      <x:c r="G37" s="115" t="str">
        <x:v>route ou rail; franchissement; chemin inférieur</x:v>
      </x:c>
      <x:c r="H37" s="115" t="str">
        <x:v>Gabarit libre sous tablier ; extrémités raccordées ; aucun nœud entre voies superposées.</x:v>
      </x:c>
      <x:c r="I37" s="115" t="str">
        <x:v>Emprise 800–1120 × 2600–4200 m ; hauteur 18–18,36 m ; choix de composition auteur ; dimensions réelles à documenter.</x:v>
      </x:c>
      <x:c r="J37" s="115" t="str">
        <x:v>https://github.com/darknigthmare/deadwall-last-enclosure/blob/e28f46223e73105ab2c5d83f3d50b99b58ef53e6/docs/codex/suivi-monde2026/PONTS_ECHANGEURS_2026.md</x:v>
      </x:c>
      <x:c r="K37" s="115" t="str">
        <x:v>50 plans inspectables dans le Guide auteur ; géométrie partielle et campagne encore ouvertes.</x:v>
      </x:c>
      <x:c r="L37" t="n">
        <x:f>COUNTIF('Variantes à concevoir'!$B$6:$B$4005,A37)</x:f>
        <x:v>50</x:v>
      </x:c>
    </x:row>
    <x:row r="38" ht="96" customHeight="1">
      <x:c r="A38" s="115" t="str">
        <x:v>EXT-MONDE-T033</x:v>
      </x:c>
      <x:c r="B38" s="115" t="str">
        <x:v>Échangeurs</x:v>
      </x:c>
      <x:c r="C38" s="115" t="str">
        <x:v>Échangeur en losange</x:v>
      </x:c>
      <x:c r="D38" s="115" t="n">
        <x:v>50</x:v>
      </x:c>
      <x:c r="E38" s="115" t="str">
        <x:v>Inspection physique</x:v>
      </x:c>
      <x:c r="F38" s="115" t="str">
        <x:v>chaussées principales; bretelles; ouvrages; accotements; accès de maintenance</x:v>
      </x:c>
      <x:c r="G38" s="115" t="str">
        <x:v>autoroute; routes structurantes</x:v>
      </x:c>
      <x:c r="H38" s="115" t="str">
        <x:v>Classes de routes et raccords progressifs ; rayons, pentes et emprises à valider avant génération.</x:v>
      </x:c>
      <x:c r="I38" s="115" t="str">
        <x:v>Emprise 1200–1520 × 1200–1840 m ; hauteur 8–8 m ; choix de composition auteur ; dimensions réelles à documenter.</x:v>
      </x:c>
      <x:c r="J38" s="115" t="str">
        <x:v>https://github.com/darknigthmare/deadwall-last-enclosure/blob/e28f46223e73105ab2c5d83f3d50b99b58ef53e6/docs/codex/suivi-monde2026/PONTS_ECHANGEURS_2026.md</x:v>
      </x:c>
      <x:c r="K38" s="115" t="str">
        <x:v>50 plans inspectables dans le Guide auteur ; géométrie partielle et campagne encore ouvertes.</x:v>
      </x:c>
      <x:c r="L38" t="n">
        <x:f>COUNTIF('Variantes à concevoir'!$B$6:$B$4005,A38)</x:f>
        <x:v>50</x:v>
      </x:c>
    </x:row>
    <x:row r="39" ht="96" customHeight="1">
      <x:c r="A39" s="115" t="str">
        <x:v>EXT-MONDE-T034</x:v>
      </x:c>
      <x:c r="B39" s="115" t="str">
        <x:v>Échangeurs</x:v>
      </x:c>
      <x:c r="C39" s="115" t="str">
        <x:v>Échangeur en trompette</x:v>
      </x:c>
      <x:c r="D39" s="115" t="n">
        <x:v>50</x:v>
      </x:c>
      <x:c r="E39" s="115" t="str">
        <x:v>Inspection physique</x:v>
      </x:c>
      <x:c r="F39" s="115" t="str">
        <x:v>chaussées principales; bretelles; ouvrages; accotements; accès de maintenance</x:v>
      </x:c>
      <x:c r="G39" s="115" t="str">
        <x:v>autoroute; routes structurantes</x:v>
      </x:c>
      <x:c r="H39" s="115" t="str">
        <x:v>Classes de routes et raccords progressifs ; rayons, pentes et emprises à valider avant génération.</x:v>
      </x:c>
      <x:c r="I39" s="115" t="str">
        <x:v>Emprise 1200–1520 × 1200–1840 m ; hauteur 8–8 m ; choix de composition auteur ; dimensions réelles à documenter.</x:v>
      </x:c>
      <x:c r="J39" s="115" t="str">
        <x:v>https://github.com/darknigthmare/deadwall-last-enclosure/blob/e28f46223e73105ab2c5d83f3d50b99b58ef53e6/docs/codex/suivi-monde2026/PONTS_ECHANGEURS_2026.md</x:v>
      </x:c>
      <x:c r="K39" s="115" t="str">
        <x:v>50 plans inspectables dans le Guide auteur ; géométrie partielle et campagne encore ouvertes.</x:v>
      </x:c>
      <x:c r="L39" t="n">
        <x:f>COUNTIF('Variantes à concevoir'!$B$6:$B$4005,A39)</x:f>
        <x:v>50</x:v>
      </x:c>
    </x:row>
    <x:row r="40" ht="96" customHeight="1">
      <x:c r="A40" s="115" t="str">
        <x:v>EXT-MONDE-T035</x:v>
      </x:c>
      <x:c r="B40" s="115" t="str">
        <x:v>Échangeurs</x:v>
      </x:c>
      <x:c r="C40" s="115" t="str">
        <x:v>Trèfle autoroutier</x:v>
      </x:c>
      <x:c r="D40" s="115" t="n">
        <x:v>50</x:v>
      </x:c>
      <x:c r="E40" s="115" t="str">
        <x:v>Inspection physique</x:v>
      </x:c>
      <x:c r="F40" s="115" t="str">
        <x:v>chaussées principales; bretelles; ouvrages; accotements; accès de maintenance</x:v>
      </x:c>
      <x:c r="G40" s="115" t="str">
        <x:v>autoroute; routes structurantes</x:v>
      </x:c>
      <x:c r="H40" s="115" t="str">
        <x:v>Classes de routes et raccords progressifs ; rayons, pentes et emprises à valider avant génération.</x:v>
      </x:c>
      <x:c r="I40" s="115" t="str">
        <x:v>Emprise 1400–1720 × 1400–2040 m ; hauteur 8–8 m ; choix de composition auteur ; dimensions réelles à documenter.</x:v>
      </x:c>
      <x:c r="J40" s="115" t="str">
        <x:v>https://github.com/darknigthmare/deadwall-last-enclosure/blob/e28f46223e73105ab2c5d83f3d50b99b58ef53e6/docs/codex/suivi-monde2026/PONTS_ECHANGEURS_2026.md</x:v>
      </x:c>
      <x:c r="K40" s="115" t="str">
        <x:v>50 plans inspectables dans le Guide auteur ; géométrie partielle et campagne encore ouvertes.</x:v>
      </x:c>
      <x:c r="L40" t="n">
        <x:f>COUNTIF('Variantes à concevoir'!$B$6:$B$4005,A40)</x:f>
        <x:v>50</x:v>
      </x:c>
    </x:row>
    <x:row r="41" ht="96" customHeight="1">
      <x:c r="A41" s="115" t="str">
        <x:v>EXT-MONDE-T036</x:v>
      </x:c>
      <x:c r="B41" s="115" t="str">
        <x:v>Échangeurs</x:v>
      </x:c>
      <x:c r="C41" s="115" t="str">
        <x:v>Échangeur directionnel</x:v>
      </x:c>
      <x:c r="D41" s="115" t="n">
        <x:v>50</x:v>
      </x:c>
      <x:c r="E41" s="115" t="str">
        <x:v>Inspection physique</x:v>
      </x:c>
      <x:c r="F41" s="115" t="str">
        <x:v>chaussées principales; bretelles; ouvrages; accotements; accès de maintenance</x:v>
      </x:c>
      <x:c r="G41" s="115" t="str">
        <x:v>autoroute; routes structurantes</x:v>
      </x:c>
      <x:c r="H41" s="115" t="str">
        <x:v>Classes de routes et raccords progressifs ; rayons, pentes et emprises à valider avant génération.</x:v>
      </x:c>
      <x:c r="I41" s="115" t="str">
        <x:v>Emprise 1400–1720 × 1400–2040 m ; hauteur 8–8 m ; choix de composition auteur ; dimensions réelles à documenter.</x:v>
      </x:c>
      <x:c r="J41" s="115" t="str">
        <x:v>https://github.com/darknigthmare/deadwall-last-enclosure/blob/e28f46223e73105ab2c5d83f3d50b99b58ef53e6/docs/codex/suivi-monde2026/PONTS_ECHANGEURS_2026.md</x:v>
      </x:c>
      <x:c r="K41" s="115" t="str">
        <x:v>50 plans inspectables dans le Guide auteur ; géométrie partielle et campagne encore ouvertes.</x:v>
      </x:c>
      <x:c r="L41" t="n">
        <x:f>COUNTIF('Variantes à concevoir'!$B$6:$B$4005,A41)</x:f>
        <x:v>50</x:v>
      </x:c>
    </x:row>
    <x:row r="42" ht="96" customHeight="1">
      <x:c r="A42" s="115" t="str">
        <x:v>EXT-MONDE-T037</x:v>
      </x:c>
      <x:c r="B42" s="115" t="str">
        <x:v>Égouts</x:v>
      </x:c>
      <x:c r="C42" s="115" t="str">
        <x:v>Collecteur urbain</x:v>
      </x:c>
      <x:c r="D42" s="115" t="n">
        <x:v>50</x:v>
      </x:c>
      <x:c r="E42" s="115" t="str">
        <x:v>Inspection physique</x:v>
      </x:c>
      <x:c r="F42" s="115" t="str">
        <x:v>regards; galeries; chambres de visite; local électrique; pompage; accès</x:v>
      </x:c>
      <x:c r="G42" s="115" t="str">
        <x:v>réseau hydraulique; exutoires; surface</x:v>
      </x:c>
      <x:c r="H42" s="115" t="str">
        <x:v>Graphe dirigé vers exutoire ; jonctions explicites ; niveaux et accès de secours sans téléportation.</x:v>
      </x:c>
      <x:c r="I42" s="115" t="str">
        <x:v>Emprise 180–238 × 200–254,3 m ; hauteur 3–3 m ; choix de composition auteur ; dimensions réelles à documenter.</x:v>
      </x:c>
      <x:c r="J42" s="115" t="str">
        <x:v>https://github.com/darknigthmare/deadwall-last-enclosure/blob/e28f46223e73105ab2c5d83f3d50b99b58ef53e6/docs/codex/suivi-monde2026/HLM_ASSAINISSEMENT_2026.md</x:v>
      </x:c>
      <x:c r="K42" s="115" t="str">
        <x:v>50 plans inspectables dans le Guide auteur ; géométrie partielle et campagne encore ouvertes.</x:v>
      </x:c>
      <x:c r="L42" t="n">
        <x:f>COUNTIF('Variantes à concevoir'!$B$6:$B$4005,A42)</x:f>
        <x:v>50</x:v>
      </x:c>
    </x:row>
    <x:row r="43" ht="96" customHeight="1">
      <x:c r="A43" s="115" t="str">
        <x:v>EXT-MONDE-T038</x:v>
      </x:c>
      <x:c r="B43" s="115" t="str">
        <x:v>Égouts</x:v>
      </x:c>
      <x:c r="C43" s="115" t="str">
        <x:v>Réseau unitaire ancien</x:v>
      </x:c>
      <x:c r="D43" s="115" t="n">
        <x:v>50</x:v>
      </x:c>
      <x:c r="E43" s="115" t="str">
        <x:v>Inspection physique</x:v>
      </x:c>
      <x:c r="F43" s="115" t="str">
        <x:v>regards; galeries; chambres de visite; local électrique; pompage; accès</x:v>
      </x:c>
      <x:c r="G43" s="115" t="str">
        <x:v>réseau hydraulique; exutoires; surface</x:v>
      </x:c>
      <x:c r="H43" s="115" t="str">
        <x:v>Graphe dirigé vers exutoire ; jonctions explicites ; niveaux et accès de secours sans téléportation.</x:v>
      </x:c>
      <x:c r="I43" s="115" t="str">
        <x:v>Emprise 180–238 × 200–254,3 m ; hauteur 3–3 m ; choix de composition auteur ; dimensions réelles à documenter.</x:v>
      </x:c>
      <x:c r="J43" s="115" t="str">
        <x:v>https://github.com/darknigthmare/deadwall-last-enclosure/blob/e28f46223e73105ab2c5d83f3d50b99b58ef53e6/docs/codex/suivi-monde2026/HLM_ASSAINISSEMENT_2026.md</x:v>
      </x:c>
      <x:c r="K43" s="115" t="str">
        <x:v>50 plans inspectables dans le Guide auteur ; géométrie partielle et campagne encore ouvertes.</x:v>
      </x:c>
      <x:c r="L43" t="n">
        <x:f>COUNTIF('Variantes à concevoir'!$B$6:$B$4005,A43)</x:f>
        <x:v>50</x:v>
      </x:c>
    </x:row>
    <x:row r="44" ht="96" customHeight="1">
      <x:c r="A44" s="115" t="str">
        <x:v>EXT-MONDE-T039</x:v>
      </x:c>
      <x:c r="B44" s="115" t="str">
        <x:v>Égouts</x:v>
      </x:c>
      <x:c r="C44" s="115" t="str">
        <x:v>Galerie pluviale</x:v>
      </x:c>
      <x:c r="D44" s="115" t="n">
        <x:v>50</x:v>
      </x:c>
      <x:c r="E44" s="115" t="str">
        <x:v>Inspection physique</x:v>
      </x:c>
      <x:c r="F44" s="115" t="str">
        <x:v>regards; galeries; chambres de visite; local électrique; pompage; accès</x:v>
      </x:c>
      <x:c r="G44" s="115" t="str">
        <x:v>réseau hydraulique; exutoires; surface</x:v>
      </x:c>
      <x:c r="H44" s="115" t="str">
        <x:v>Graphe dirigé vers exutoire ; jonctions explicites ; niveaux et accès de secours sans téléportation.</x:v>
      </x:c>
      <x:c r="I44" s="115" t="str">
        <x:v>Emprise 180–238 × 200–254,3 m ; hauteur 3–3 m ; choix de composition auteur ; dimensions réelles à documenter.</x:v>
      </x:c>
      <x:c r="J44" s="115" t="str">
        <x:v>https://github.com/darknigthmare/deadwall-last-enclosure/blob/e28f46223e73105ab2c5d83f3d50b99b58ef53e6/docs/codex/suivi-monde2026/HLM_ASSAINISSEMENT_2026.md</x:v>
      </x:c>
      <x:c r="K44" s="115" t="str">
        <x:v>50 plans inspectables dans le Guide auteur ; géométrie partielle et campagne encore ouvertes.</x:v>
      </x:c>
      <x:c r="L44" t="n">
        <x:f>COUNTIF('Variantes à concevoir'!$B$6:$B$4005,A44)</x:f>
        <x:v>50</x:v>
      </x:c>
    </x:row>
    <x:row r="45" ht="96" customHeight="1">
      <x:c r="A45" s="115" t="str">
        <x:v>EXT-MONDE-T040</x:v>
      </x:c>
      <x:c r="B45" s="115" t="str">
        <x:v>Égouts</x:v>
      </x:c>
      <x:c r="C45" s="115" t="str">
        <x:v>Station souterraine de relevage</x:v>
      </x:c>
      <x:c r="D45" s="115" t="n">
        <x:v>50</x:v>
      </x:c>
      <x:c r="E45" s="115" t="str">
        <x:v>Inspection physique</x:v>
      </x:c>
      <x:c r="F45" s="115" t="str">
        <x:v>regards; galeries; chambres de visite; local électrique; pompage; accès</x:v>
      </x:c>
      <x:c r="G45" s="115" t="str">
        <x:v>réseau hydraulique; exutoires; surface</x:v>
      </x:c>
      <x:c r="H45" s="115" t="str">
        <x:v>Graphe dirigé vers exutoire ; jonctions explicites ; niveaux et accès de secours sans téléportation.</x:v>
      </x:c>
      <x:c r="I45" s="115" t="str">
        <x:v>Emprise 180–238 × 200–254,3 m ; hauteur 3–3 m ; choix de composition auteur ; dimensions réelles à documenter.</x:v>
      </x:c>
      <x:c r="J45" s="115" t="str">
        <x:v>https://github.com/darknigthmare/deadwall-last-enclosure/blob/e28f46223e73105ab2c5d83f3d50b99b58ef53e6/docs/codex/suivi-monde2026/HLM_ASSAINISSEMENT_2026.md</x:v>
      </x:c>
      <x:c r="K45" s="115" t="str">
        <x:v>50 plans inspectables dans le Guide auteur ; géométrie partielle et campagne encore ouvertes.</x:v>
      </x:c>
      <x:c r="L45" t="n">
        <x:f>COUNTIF('Variantes à concevoir'!$B$6:$B$4005,A45)</x:f>
        <x:v>50</x:v>
      </x:c>
    </x:row>
    <x:row r="46" ht="96" customHeight="1">
      <x:c r="A46" s="115" t="str">
        <x:v>EXT-MONDE-T041</x:v>
      </x:c>
      <x:c r="B46" s="115" t="str">
        <x:v>HLM visitables</x:v>
      </x:c>
      <x:c r="C46" s="115" t="str">
        <x:v>Barre HLM</x:v>
      </x:c>
      <x:c r="D46" s="115" t="n">
        <x:v>50</x:v>
      </x:c>
      <x:c r="E46" s="115" t="str">
        <x:v>Inspection physique</x:v>
      </x:c>
      <x:c r="F46" s="115" t="str">
        <x:v>halls; logements; cuisines; salles d’eau; paliers; escaliers; caves; locaux communs</x:v>
      </x:c>
      <x:c r="G46" s="115" t="str">
        <x:v>rue; piétons; eau; électricité; assainissement</x:v>
      </x:c>
      <x:c r="H46" s="115" t="str">
        <x:v>Logements répétés réellement ; portes vers circulation ; cages continues ; locaux techniques dédiés.</x:v>
      </x:c>
      <x:c r="I46" s="115" t="str">
        <x:v>Emprise 77–81,05 × 84,8–100,34 m ; hauteur 9,35–21,55 m ; choix de composition auteur ; dimensions réelles à documenter.</x:v>
      </x:c>
      <x:c r="J46" s="115" t="str">
        <x:v>https://github.com/darknigthmare/deadwall-last-enclosure/blob/e28f46223e73105ab2c5d83f3d50b99b58ef53e6/docs/codex/suivi-monde2026/HLM_ASSAINISSEMENT_2026.md</x:v>
      </x:c>
      <x:c r="K46" s="115" t="str">
        <x:v>50 plans inspectables dans le Guide auteur ; géométrie partielle et campagne encore ouvertes.</x:v>
      </x:c>
      <x:c r="L46" t="n">
        <x:f>COUNTIF('Variantes à concevoir'!$B$6:$B$4005,A46)</x:f>
        <x:v>50</x:v>
      </x:c>
    </x:row>
    <x:row r="47" ht="96" customHeight="1">
      <x:c r="A47" s="115" t="str">
        <x:v>EXT-MONDE-T042</x:v>
      </x:c>
      <x:c r="B47" s="115" t="str">
        <x:v>HLM visitables</x:v>
      </x:c>
      <x:c r="C47" s="115" t="str">
        <x:v>Tour HLM</x:v>
      </x:c>
      <x:c r="D47" s="115" t="n">
        <x:v>50</x:v>
      </x:c>
      <x:c r="E47" s="115" t="str">
        <x:v>Inspection physique</x:v>
      </x:c>
      <x:c r="F47" s="115" t="str">
        <x:v>halls; logements; cuisines; salles d’eau; paliers; escaliers; caves; locaux communs</x:v>
      </x:c>
      <x:c r="G47" s="115" t="str">
        <x:v>rue; piétons; eau; électricité; assainissement</x:v>
      </x:c>
      <x:c r="H47" s="115" t="str">
        <x:v>Logements répétés réellement ; portes vers circulation ; cages continues ; locaux techniques dédiés.</x:v>
      </x:c>
      <x:c r="I47" s="115" t="str">
        <x:v>Emprise 77–81,05 × 84,8–88,46 m ; hauteur 21,35–33,55 m ; choix de composition auteur ; dimensions réelles à documenter.</x:v>
      </x:c>
      <x:c r="J47" s="115" t="str">
        <x:v>https://github.com/darknigthmare/deadwall-last-enclosure/blob/e28f46223e73105ab2c5d83f3d50b99b58ef53e6/docs/codex/suivi-monde2026/HLM_ASSAINISSEMENT_2026.md</x:v>
      </x:c>
      <x:c r="K47" s="115" t="str">
        <x:v>50 plans inspectables dans le Guide auteur ; géométrie partielle et campagne encore ouvertes.</x:v>
      </x:c>
      <x:c r="L47" t="n">
        <x:f>COUNTIF('Variantes à concevoir'!$B$6:$B$4005,A47)</x:f>
        <x:v>50</x:v>
      </x:c>
    </x:row>
    <x:row r="48" ht="96" customHeight="1">
      <x:c r="A48" s="115" t="str">
        <x:v>EXT-MONDE-T043</x:v>
      </x:c>
      <x:c r="B48" s="115" t="str">
        <x:v>HLM visitables</x:v>
      </x:c>
      <x:c r="C48" s="115" t="str">
        <x:v>Résidence en cour</x:v>
      </x:c>
      <x:c r="D48" s="115" t="n">
        <x:v>50</x:v>
      </x:c>
      <x:c r="E48" s="115" t="str">
        <x:v>Inspection physique</x:v>
      </x:c>
      <x:c r="F48" s="115" t="str">
        <x:v>halls; logements; cuisines; salles d’eau; paliers; escaliers; caves; locaux communs</x:v>
      </x:c>
      <x:c r="G48" s="115" t="str">
        <x:v>rue; piétons; eau; électricité; assainissement</x:v>
      </x:c>
      <x:c r="H48" s="115" t="str">
        <x:v>Logements répétés réellement ; portes vers circulation ; cages continues ; locaux techniques dédiés.</x:v>
      </x:c>
      <x:c r="I48" s="115" t="str">
        <x:v>Emprise 133–140,65 × 84,8–148,92 m ; hauteur 12,35–15,55 m ; choix de composition auteur ; dimensions réelles à documenter.</x:v>
      </x:c>
      <x:c r="J48" s="115" t="str">
        <x:v>https://github.com/darknigthmare/deadwall-last-enclosure/blob/e28f46223e73105ab2c5d83f3d50b99b58ef53e6/docs/codex/suivi-monde2026/HLM_ASSAINISSEMENT_2026.md</x:v>
      </x:c>
      <x:c r="K48" s="115" t="str">
        <x:v>50 plans inspectables dans le Guide auteur ; géométrie partielle et campagne encore ouvertes.</x:v>
      </x:c>
      <x:c r="L48" t="n">
        <x:f>COUNTIF('Variantes à concevoir'!$B$6:$B$4005,A48)</x:f>
        <x:v>50</x:v>
      </x:c>
    </x:row>
    <x:row r="49" ht="96" customHeight="1">
      <x:c r="A49" s="115" t="str">
        <x:v>EXT-MONDE-T044</x:v>
      </x:c>
      <x:c r="B49" s="115" t="str">
        <x:v>HLM visitables</x:v>
      </x:c>
      <x:c r="C49" s="115" t="str">
        <x:v>Ensemble HLM mixte</x:v>
      </x:c>
      <x:c r="D49" s="115" t="n">
        <x:v>50</x:v>
      </x:c>
      <x:c r="E49" s="115" t="str">
        <x:v>Inspection physique</x:v>
      </x:c>
      <x:c r="F49" s="115" t="str">
        <x:v>halls; logements; cuisines; salles d’eau; paliers; escaliers; caves; locaux communs</x:v>
      </x:c>
      <x:c r="G49" s="115" t="str">
        <x:v>rue; piétons; eau; électricité; assainissement</x:v>
      </x:c>
      <x:c r="H49" s="115" t="str">
        <x:v>Logements répétés réellement ; portes vers circulation ; cages continues ; locaux techniques dédiés.</x:v>
      </x:c>
      <x:c r="I49" s="115" t="str">
        <x:v>Emprise 135–137,25 × 145,6–153,82 m ; hauteur 18,35–24,55 m ; choix de composition auteur ; dimensions réelles à documenter.</x:v>
      </x:c>
      <x:c r="J49" s="115" t="str">
        <x:v>https://github.com/darknigthmare/deadwall-last-enclosure/blob/e28f46223e73105ab2c5d83f3d50b99b58ef53e6/docs/codex/suivi-monde2026/HLM_ASSAINISSEMENT_2026.md</x:v>
      </x:c>
      <x:c r="K49" s="115" t="str">
        <x:v>50 plans inspectables dans le Guide auteur ; géométrie partielle et campagne encore ouvertes.</x:v>
      </x:c>
      <x:c r="L49" t="n">
        <x:f>COUNTIF('Variantes à concevoir'!$B$6:$B$4005,A49)</x:f>
        <x:v>50</x:v>
      </x:c>
    </x:row>
    <x:row r="50" ht="96" customHeight="1">
      <x:c r="A50" s="115" t="str">
        <x:v>EXT-MONDE-T045</x:v>
      </x:c>
      <x:c r="B50" s="115" t="str">
        <x:v>Trailer parks</x:v>
      </x:c>
      <x:c r="C50" s="115" t="str">
        <x:v>Parc résidentiel de mobil-homes</x:v>
      </x:c>
      <x:c r="D50" s="115" t="n">
        <x:v>50</x:v>
      </x:c>
      <x:c r="E50" s="115" t="str">
        <x:v>Inspection physique</x:v>
      </x:c>
      <x:c r="F50" s="115" t="str">
        <x:v>unités habitées; accueil; sanitaires; buanderie; service; voies internes</x:v>
      </x:c>
      <x:c r="G50" s="115" t="str">
        <x:v>route locale; boucle interne; eau; électricité</x:v>
      </x:c>
      <x:c r="H50" s="115" t="str">
        <x:v>Accès individuel des lots ; distances et dégagements vérifiés ; réseau interne raccordé à une entrée réelle.</x:v>
      </x:c>
      <x:c r="I50" s="115" t="str">
        <x:v>Emprise 84–184 × 118–154 m ; hauteur 3,2–3,2 m ; choix de composition auteur ; dimensions réelles à documenter.</x:v>
      </x:c>
      <x:c r="J50" s="115" t="str">
        <x:v>https://github.com/darknigthmare/deadwall-last-enclosure/blob/e28f46223e73105ab2c5d83f3d50b99b58ef53e6/docs/codex/suivi-monde2026/RESIDENTIEL_2026.md</x:v>
      </x:c>
      <x:c r="K50" s="115" t="str">
        <x:v>50 plans inspectables dans le Guide auteur ; géométrie partielle et campagne encore ouvertes.</x:v>
      </x:c>
      <x:c r="L50" t="n">
        <x:f>COUNTIF('Variantes à concevoir'!$B$6:$B$4005,A50)</x:f>
        <x:v>50</x:v>
      </x:c>
    </x:row>
    <x:row r="51" ht="96" customHeight="1">
      <x:c r="A51" s="115" t="str">
        <x:v>EXT-MONDE-T046</x:v>
      </x:c>
      <x:c r="B51" s="115" t="str">
        <x:v>Trailer parks</x:v>
      </x:c>
      <x:c r="C51" s="115" t="str">
        <x:v>Camping caravanes</x:v>
      </x:c>
      <x:c r="D51" s="115" t="n">
        <x:v>50</x:v>
      </x:c>
      <x:c r="E51" s="115" t="str">
        <x:v>Inspection physique</x:v>
      </x:c>
      <x:c r="F51" s="115" t="str">
        <x:v>unités habitées; accueil; sanitaires; buanderie; service; voies internes</x:v>
      </x:c>
      <x:c r="G51" s="115" t="str">
        <x:v>route locale; boucle interne; eau; électricité</x:v>
      </x:c>
      <x:c r="H51" s="115" t="str">
        <x:v>Accès individuel des lots ; distances et dégagements vérifiés ; réseau interne raccordé à une entrée réelle.</x:v>
      </x:c>
      <x:c r="I51" s="115" t="str">
        <x:v>Emprise 84–184 × 118–154 m ; hauteur 3,2–3,2 m ; choix de composition auteur ; dimensions réelles à documenter.</x:v>
      </x:c>
      <x:c r="J51" s="115" t="str">
        <x:v>https://github.com/darknigthmare/deadwall-last-enclosure/blob/e28f46223e73105ab2c5d83f3d50b99b58ef53e6/docs/codex/suivi-monde2026/RESIDENTIEL_2026.md</x:v>
      </x:c>
      <x:c r="K51" s="115" t="str">
        <x:v>50 plans inspectables dans le Guide auteur ; géométrie partielle et campagne encore ouvertes.</x:v>
      </x:c>
      <x:c r="L51" t="n">
        <x:f>COUNTIF('Variantes à concevoir'!$B$6:$B$4005,A51)</x:f>
        <x:v>50</x:v>
      </x:c>
    </x:row>
    <x:row r="52" ht="96" customHeight="1">
      <x:c r="A52" s="115" t="str">
        <x:v>EXT-MONDE-T047</x:v>
      </x:c>
      <x:c r="B52" s="115" t="str">
        <x:v>Trailer parks</x:v>
      </x:c>
      <x:c r="C52" s="115" t="str">
        <x:v>Camp de travailleurs</x:v>
      </x:c>
      <x:c r="D52" s="115" t="n">
        <x:v>50</x:v>
      </x:c>
      <x:c r="E52" s="115" t="str">
        <x:v>Inspection physique</x:v>
      </x:c>
      <x:c r="F52" s="115" t="str">
        <x:v>unités habitées; accueil; sanitaires; buanderie; service; voies internes</x:v>
      </x:c>
      <x:c r="G52" s="115" t="str">
        <x:v>route locale; boucle interne; eau; électricité</x:v>
      </x:c>
      <x:c r="H52" s="115" t="str">
        <x:v>Accès individuel des lots ; distances et dégagements vérifiés ; réseau interne raccordé à une entrée réelle.</x:v>
      </x:c>
      <x:c r="I52" s="115" t="str">
        <x:v>Emprise 84–184 × 118–154 m ; hauteur 3,4–3,4 m ; choix de composition auteur ; dimensions réelles à documenter.</x:v>
      </x:c>
      <x:c r="J52" s="115" t="str">
        <x:v>https://github.com/darknigthmare/deadwall-last-enclosure/blob/e28f46223e73105ab2c5d83f3d50b99b58ef53e6/docs/codex/suivi-monde2026/RESIDENTIEL_2026.md</x:v>
      </x:c>
      <x:c r="K52" s="115" t="str">
        <x:v>50 plans inspectables dans le Guide auteur ; géométrie partielle et campagne encore ouvertes.</x:v>
      </x:c>
      <x:c r="L52" t="n">
        <x:f>COUNTIF('Variantes à concevoir'!$B$6:$B$4005,A52)</x:f>
        <x:v>50</x:v>
      </x:c>
    </x:row>
    <x:row r="53" ht="96" customHeight="1">
      <x:c r="A53" s="115" t="str">
        <x:v>EXT-MONDE-T048</x:v>
      </x:c>
      <x:c r="B53" s="115" t="str">
        <x:v>Trailer parks</x:v>
      </x:c>
      <x:c r="C53" s="115" t="str">
        <x:v>Parc de caravanes abandonné</x:v>
      </x:c>
      <x:c r="D53" s="115" t="n">
        <x:v>50</x:v>
      </x:c>
      <x:c r="E53" s="115" t="str">
        <x:v>Inspection physique</x:v>
      </x:c>
      <x:c r="F53" s="115" t="str">
        <x:v>unités habitées; accueil; sanitaires; buanderie; service; voies internes</x:v>
      </x:c>
      <x:c r="G53" s="115" t="str">
        <x:v>route locale; boucle interne; eau; électricité</x:v>
      </x:c>
      <x:c r="H53" s="115" t="str">
        <x:v>Accès individuel des lots ; distances et dégagements vérifiés ; réseau interne raccordé à une entrée réelle.</x:v>
      </x:c>
      <x:c r="I53" s="115" t="str">
        <x:v>Emprise 84–184 × 118–154 m ; hauteur 3,2–3,2 m ; choix de composition auteur ; dimensions réelles à documenter.</x:v>
      </x:c>
      <x:c r="J53" s="115" t="str">
        <x:v>https://github.com/darknigthmare/deadwall-last-enclosure/blob/e28f46223e73105ab2c5d83f3d50b99b58ef53e6/docs/codex/suivi-monde2026/RESIDENTIEL_2026.md</x:v>
      </x:c>
      <x:c r="K53" s="115" t="str">
        <x:v>50 plans inspectables dans le Guide auteur ; géométrie partielle et campagne encore ouvertes.</x:v>
      </x:c>
      <x:c r="L53" t="n">
        <x:f>COUNTIF('Variantes à concevoir'!$B$6:$B$4005,A53)</x:f>
        <x:v>50</x:v>
      </x:c>
    </x:row>
    <x:row r="54" ht="96" customHeight="1">
      <x:c r="A54" s="115" t="str">
        <x:v>EXT-MONDE-T049</x:v>
      </x:c>
      <x:c r="B54" s="115" t="str">
        <x:v>Parcs attractions</x:v>
      </x:c>
      <x:c r="C54" s="115" t="str">
        <x:v>Parc familial</x:v>
      </x:c>
      <x:c r="D54" s="115" t="n">
        <x:v>50</x:v>
      </x:c>
      <x:c r="E54" s="115" t="str">
        <x:v>Inspection physique</x:v>
      </x:c>
      <x:c r="F54" s="115" t="str">
        <x:v>entrée; files; attractions; secours; restaurants; sanitaires; atelier; réserves</x:v>
      </x:c>
      <x:c r="G54" s="115" t="str">
        <x:v>route; piétons; service; eau; électricité</x:v>
      </x:c>
      <x:c r="H54" s="115" t="str">
        <x:v>Flux visiteurs/service séparés ; voies de retour ; attractions à l’échelle sans simple compression graphique.</x:v>
      </x:c>
      <x:c r="I54" s="115" t="str">
        <x:v>Emprise 362–410 × 458–490 m ; hauteur 18–18 m ; choix de composition auteur ; dimensions réelles à documenter.</x:v>
      </x:c>
      <x:c r="J54" s="115" t="str">
        <x:v>https://github.com/darknigthmare/deadwall-last-enclosure/blob/e28f46223e73105ab2c5d83f3d50b99b58ef53e6/docs/codex/suivi-monde2026/PARCS_SPORTS_2026.md</x:v>
      </x:c>
      <x:c r="K54" s="115" t="str">
        <x:v>50 plans inspectables dans le Guide auteur ; géométrie partielle et campagne encore ouvertes.</x:v>
      </x:c>
      <x:c r="L54" t="n">
        <x:f>COUNTIF('Variantes à concevoir'!$B$6:$B$4005,A54)</x:f>
        <x:v>50</x:v>
      </x:c>
    </x:row>
    <x:row r="55" ht="96" customHeight="1">
      <x:c r="A55" s="115" t="str">
        <x:v>EXT-MONDE-T050</x:v>
      </x:c>
      <x:c r="B55" s="115" t="str">
        <x:v>Parcs attractions</x:v>
      </x:c>
      <x:c r="C55" s="115" t="str">
        <x:v>Parc à sensations</x:v>
      </x:c>
      <x:c r="D55" s="115" t="n">
        <x:v>50</x:v>
      </x:c>
      <x:c r="E55" s="115" t="str">
        <x:v>Inspection physique</x:v>
      </x:c>
      <x:c r="F55" s="115" t="str">
        <x:v>entrée; files; attractions; secours; restaurants; sanitaires; atelier; réserves</x:v>
      </x:c>
      <x:c r="G55" s="115" t="str">
        <x:v>route; piétons; service; eau; électricité</x:v>
      </x:c>
      <x:c r="H55" s="115" t="str">
        <x:v>Flux visiteurs/service séparés ; voies de retour ; attractions à l’échelle sans simple compression graphique.</x:v>
      </x:c>
      <x:c r="I55" s="115" t="str">
        <x:v>Emprise 488–536 × 614–646 m ; hauteur 58–58 m ; choix de composition auteur ; dimensions réelles à documenter.</x:v>
      </x:c>
      <x:c r="J55" s="115" t="str">
        <x:v>https://github.com/darknigthmare/deadwall-last-enclosure/blob/e28f46223e73105ab2c5d83f3d50b99b58ef53e6/docs/codex/suivi-monde2026/PARCS_SPORTS_2026.md</x:v>
      </x:c>
      <x:c r="K55" s="115" t="str">
        <x:v>50 plans inspectables dans le Guide auteur ; géométrie partielle et campagne encore ouvertes.</x:v>
      </x:c>
      <x:c r="L55" t="n">
        <x:f>COUNTIF('Variantes à concevoir'!$B$6:$B$4005,A55)</x:f>
        <x:v>50</x:v>
      </x:c>
    </x:row>
    <x:row r="56" ht="96" customHeight="1">
      <x:c r="A56" s="115" t="str">
        <x:v>EXT-MONDE-T051</x:v>
      </x:c>
      <x:c r="B56" s="115" t="str">
        <x:v>Parcs attractions</x:v>
      </x:c>
      <x:c r="C56" s="115" t="str">
        <x:v>Parc aquatique</x:v>
      </x:c>
      <x:c r="D56" s="115" t="n">
        <x:v>50</x:v>
      </x:c>
      <x:c r="E56" s="115" t="str">
        <x:v>Inspection physique</x:v>
      </x:c>
      <x:c r="F56" s="115" t="str">
        <x:v>entrée; files; attractions; secours; restaurants; sanitaires; atelier; réserves</x:v>
      </x:c>
      <x:c r="G56" s="115" t="str">
        <x:v>route; piétons; service; eau; électricité</x:v>
      </x:c>
      <x:c r="H56" s="115" t="str">
        <x:v>Flux visiteurs/service séparés ; voies de retour ; attractions à l’échelle sans simple compression graphique.</x:v>
      </x:c>
      <x:c r="I56" s="115" t="str">
        <x:v>Emprise 362–410 × 446–478 m ; hauteur 18–18 m ; choix de composition auteur ; dimensions réelles à documenter.</x:v>
      </x:c>
      <x:c r="J56" s="115" t="str">
        <x:v>https://github.com/darknigthmare/deadwall-last-enclosure/blob/e28f46223e73105ab2c5d83f3d50b99b58ef53e6/docs/codex/suivi-monde2026/PARCS_SPORTS_2026.md</x:v>
      </x:c>
      <x:c r="K56" s="115" t="str">
        <x:v>50 plans inspectables dans le Guide auteur ; géométrie partielle et campagne encore ouvertes.</x:v>
      </x:c>
      <x:c r="L56" t="n">
        <x:f>COUNTIF('Variantes à concevoir'!$B$6:$B$4005,A56)</x:f>
        <x:v>50</x:v>
      </x:c>
    </x:row>
    <x:row r="57" ht="96" customHeight="1">
      <x:c r="A57" s="115" t="str">
        <x:v>EXT-MONDE-T052</x:v>
      </x:c>
      <x:c r="B57" s="115" t="str">
        <x:v>Parcs attractions</x:v>
      </x:c>
      <x:c r="C57" s="115" t="str">
        <x:v>Parc thématique abandonné</x:v>
      </x:c>
      <x:c r="D57" s="115" t="n">
        <x:v>50</x:v>
      </x:c>
      <x:c r="E57" s="115" t="str">
        <x:v>Inspection physique</x:v>
      </x:c>
      <x:c r="F57" s="115" t="str">
        <x:v>entrée; files; attractions; secours; restaurants; sanitaires; atelier; réserves</x:v>
      </x:c>
      <x:c r="G57" s="115" t="str">
        <x:v>route; piétons; service; eau; électricité</x:v>
      </x:c>
      <x:c r="H57" s="115" t="str">
        <x:v>Flux visiteurs/service séparés ; voies de retour ; attractions à l’échelle sans simple compression graphique.</x:v>
      </x:c>
      <x:c r="I57" s="115" t="str">
        <x:v>Emprise 362–410 × 502–534 m ; hauteur 24–24 m ; choix de composition auteur ; dimensions réelles à documenter.</x:v>
      </x:c>
      <x:c r="J57" s="115" t="str">
        <x:v>https://github.com/darknigthmare/deadwall-last-enclosure/blob/e28f46223e73105ab2c5d83f3d50b99b58ef53e6/docs/codex/suivi-monde2026/PARCS_SPORTS_2026.md</x:v>
      </x:c>
      <x:c r="K57" s="115" t="str">
        <x:v>50 plans inspectables dans le Guide auteur ; géométrie partielle et campagne encore ouvertes.</x:v>
      </x:c>
      <x:c r="L57" t="n">
        <x:f>COUNTIF('Variantes à concevoir'!$B$6:$B$4005,A57)</x:f>
        <x:v>50</x:v>
      </x:c>
    </x:row>
    <x:row r="58" ht="96" customHeight="1">
      <x:c r="A58" s="115" t="str">
        <x:v>EXT-MONDE-T053</x:v>
      </x:c>
      <x:c r="B58" s="115" t="str">
        <x:v>Usines</x:v>
      </x:c>
      <x:c r="C58" s="115" t="str">
        <x:v>Usine agroalimentaire</x:v>
      </x:c>
      <x:c r="D58" s="115" t="n">
        <x:v>50</x:v>
      </x:c>
      <x:c r="E58" s="115" t="str">
        <x:v>Inspection physique</x:v>
      </x:c>
      <x:c r="F58" s="115" t="str">
        <x:v>réception; production; atelier; entrepôts; bureaux; vestiaires; chargement</x:v>
      </x:c>
      <x:c r="G58" s="115" t="str">
        <x:v>route de fret; rail si raccordé; énergie; eau</x:v>
      </x:c>
      <x:c r="H58" s="115" t="str">
        <x:v>Processus logique entrée-sortie ; machines et maintenance dégagées ; aucune production gratuite.</x:v>
      </x:c>
      <x:c r="I58" s="115" t="str">
        <x:v>Emprise 350–422 × 320–416 m ; hauteur 6,2–7,2 m ; choix de composition auteur ; dimensions réelles à documenter.</x:v>
      </x:c>
      <x:c r="J58" s="115" t="str">
        <x:v>https://github.com/darknigthmare/deadwall-last-enclosure/blob/e28f46223e73105ab2c5d83f3d50b99b58ef53e6/docs/codex/suivi-monde2026/INDUSTRIE_2026.md</x:v>
      </x:c>
      <x:c r="K58" s="115" t="str">
        <x:v>50 plans inspectables dans le Guide auteur ; géométrie partielle et campagne encore ouvertes.</x:v>
      </x:c>
      <x:c r="L58" t="n">
        <x:f>COUNTIF('Variantes à concevoir'!$B$6:$B$4005,A58)</x:f>
        <x:v>50</x:v>
      </x:c>
    </x:row>
    <x:row r="59" ht="96" customHeight="1">
      <x:c r="A59" s="115" t="str">
        <x:v>EXT-MONDE-T054</x:v>
      </x:c>
      <x:c r="B59" s="115" t="str">
        <x:v>Usines</x:v>
      </x:c>
      <x:c r="C59" s="115" t="str">
        <x:v>Usine de mécanique</x:v>
      </x:c>
      <x:c r="D59" s="115" t="n">
        <x:v>50</x:v>
      </x:c>
      <x:c r="E59" s="115" t="str">
        <x:v>Inspection physique</x:v>
      </x:c>
      <x:c r="F59" s="115" t="str">
        <x:v>réception; production; atelier; entrepôts; bureaux; vestiaires; chargement</x:v>
      </x:c>
      <x:c r="G59" s="115" t="str">
        <x:v>route de fret; rail si raccordé; énergie; eau</x:v>
      </x:c>
      <x:c r="H59" s="115" t="str">
        <x:v>Processus logique entrée-sortie ; machines et maintenance dégagées ; aucune production gratuite.</x:v>
      </x:c>
      <x:c r="I59" s="115" t="str">
        <x:v>Emprise 350–422 × 320–416 m ; hauteur 7,2–8,2 m ; choix de composition auteur ; dimensions réelles à documenter.</x:v>
      </x:c>
      <x:c r="J59" s="115" t="str">
        <x:v>https://github.com/darknigthmare/deadwall-last-enclosure/blob/e28f46223e73105ab2c5d83f3d50b99b58ef53e6/docs/codex/suivi-monde2026/INDUSTRIE_2026.md</x:v>
      </x:c>
      <x:c r="K59" s="115" t="str">
        <x:v>50 plans inspectables dans le Guide auteur ; géométrie partielle et campagne encore ouvertes.</x:v>
      </x:c>
      <x:c r="L59" t="n">
        <x:f>COUNTIF('Variantes à concevoir'!$B$6:$B$4005,A59)</x:f>
        <x:v>50</x:v>
      </x:c>
    </x:row>
    <x:row r="60" ht="96" customHeight="1">
      <x:c r="A60" s="115" t="str">
        <x:v>EXT-MONDE-T055</x:v>
      </x:c>
      <x:c r="B60" s="115" t="str">
        <x:v>Usines</x:v>
      </x:c>
      <x:c r="C60" s="115" t="str">
        <x:v>Usine textile</x:v>
      </x:c>
      <x:c r="D60" s="115" t="n">
        <x:v>50</x:v>
      </x:c>
      <x:c r="E60" s="115" t="str">
        <x:v>Inspection physique</x:v>
      </x:c>
      <x:c r="F60" s="115" t="str">
        <x:v>réception; production; atelier; entrepôts; bureaux; vestiaires; chargement</x:v>
      </x:c>
      <x:c r="G60" s="115" t="str">
        <x:v>route de fret; rail si raccordé; énergie; eau</x:v>
      </x:c>
      <x:c r="H60" s="115" t="str">
        <x:v>Processus logique entrée-sortie ; machines et maintenance dégagées ; aucune production gratuite.</x:v>
      </x:c>
      <x:c r="I60" s="115" t="str">
        <x:v>Emprise 350–422 × 320–416 m ; hauteur 5,8–6,8 m ; choix de composition auteur ; dimensions réelles à documenter.</x:v>
      </x:c>
      <x:c r="J60" s="115" t="str">
        <x:v>https://github.com/darknigthmare/deadwall-last-enclosure/blob/e28f46223e73105ab2c5d83f3d50b99b58ef53e6/docs/codex/suivi-monde2026/INDUSTRIE_2026.md</x:v>
      </x:c>
      <x:c r="K60" s="115" t="str">
        <x:v>50 plans inspectables dans le Guide auteur ; géométrie partielle et campagne encore ouvertes.</x:v>
      </x:c>
      <x:c r="L60" t="n">
        <x:f>COUNTIF('Variantes à concevoir'!$B$6:$B$4005,A60)</x:f>
        <x:v>50</x:v>
      </x:c>
    </x:row>
    <x:row r="61" ht="96" customHeight="1">
      <x:c r="A61" s="115" t="str">
        <x:v>EXT-MONDE-T056</x:v>
      </x:c>
      <x:c r="B61" s="115" t="str">
        <x:v>Usines</x:v>
      </x:c>
      <x:c r="C61" s="115" t="str">
        <x:v>Usine de matériaux</x:v>
      </x:c>
      <x:c r="D61" s="115" t="n">
        <x:v>50</x:v>
      </x:c>
      <x:c r="E61" s="115" t="str">
        <x:v>Inspection physique</x:v>
      </x:c>
      <x:c r="F61" s="115" t="str">
        <x:v>réception; production; atelier; entrepôts; bureaux; vestiaires; chargement</x:v>
      </x:c>
      <x:c r="G61" s="115" t="str">
        <x:v>route de fret; rail si raccordé; énergie; eau</x:v>
      </x:c>
      <x:c r="H61" s="115" t="str">
        <x:v>Processus logique entrée-sortie ; machines et maintenance dégagées ; aucune production gratuite.</x:v>
      </x:c>
      <x:c r="I61" s="115" t="str">
        <x:v>Emprise 350–422 × 320–416 m ; hauteur 10,6–10,6 m ; choix de composition auteur ; dimensions réelles à documenter.</x:v>
      </x:c>
      <x:c r="J61" s="115" t="str">
        <x:v>https://github.com/darknigthmare/deadwall-last-enclosure/blob/e28f46223e73105ab2c5d83f3d50b99b58ef53e6/docs/codex/suivi-monde2026/INDUSTRIE_2026.md</x:v>
      </x:c>
      <x:c r="K61" s="115" t="str">
        <x:v>50 plans inspectables dans le Guide auteur ; géométrie partielle et campagne encore ouvertes.</x:v>
      </x:c>
      <x:c r="L61" t="n">
        <x:f>COUNTIF('Variantes à concevoir'!$B$6:$B$4005,A61)</x:f>
        <x:v>50</x:v>
      </x:c>
    </x:row>
    <x:row r="62" ht="96" customHeight="1">
      <x:c r="A62" s="115" t="str">
        <x:v>EXT-MONDE-T057</x:v>
      </x:c>
      <x:c r="B62" s="115" t="str">
        <x:v>Énergie</x:v>
      </x:c>
      <x:c r="C62" s="115" t="str">
        <x:v>Centrale thermique</x:v>
      </x:c>
      <x:c r="D62" s="115" t="n">
        <x:v>50</x:v>
      </x:c>
      <x:c r="E62" s="115" t="str">
        <x:v>Inspection physique</x:v>
      </x:c>
      <x:c r="F62" s="115" t="str">
        <x:v>commande; conversion; distribution; maintenance; stockage; voies de service</x:v>
      </x:c>
      <x:c r="G62" s="115" t="str">
        <x:v>électricité; route de service; eau selon type</x:v>
      </x:c>
      <x:c r="H62" s="115" t="str">
        <x:v>Chaîne production-distribution-consommateurs ; coupure sauvegardée ; pas de courant créé par un sprite.</x:v>
      </x:c>
      <x:c r="I62" s="115" t="str">
        <x:v>Emprise 430–502 × 440–520 m ; hauteur 24–24 m ; choix de composition auteur ; dimensions réelles à documenter.</x:v>
      </x:c>
      <x:c r="J62" s="115" t="str">
        <x:v>https://github.com/darknigthmare/deadwall-last-enclosure/blob/e28f46223e73105ab2c5d83f3d50b99b58ef53e6/docs/codex/suivi-monde2026/EAU_ENERGIE_2026.md</x:v>
      </x:c>
      <x:c r="K62" s="115" t="str">
        <x:v>50 plans inspectables dans le Guide auteur ; géométrie partielle et campagne encore ouvertes.</x:v>
      </x:c>
      <x:c r="L62" t="n">
        <x:f>COUNTIF('Variantes à concevoir'!$B$6:$B$4005,A62)</x:f>
        <x:v>50</x:v>
      </x:c>
    </x:row>
    <x:row r="63" ht="96" customHeight="1">
      <x:c r="A63" s="115" t="str">
        <x:v>EXT-MONDE-T058</x:v>
      </x:c>
      <x:c r="B63" s="115" t="str">
        <x:v>Énergie</x:v>
      </x:c>
      <x:c r="C63" s="115" t="str">
        <x:v>Centrale hydroélectrique</x:v>
      </x:c>
      <x:c r="D63" s="115" t="n">
        <x:v>50</x:v>
      </x:c>
      <x:c r="E63" s="115" t="str">
        <x:v>Inspection physique</x:v>
      </x:c>
      <x:c r="F63" s="115" t="str">
        <x:v>commande; conversion; distribution; maintenance; stockage; voies de service</x:v>
      </x:c>
      <x:c r="G63" s="115" t="str">
        <x:v>électricité; route de service; eau selon type</x:v>
      </x:c>
      <x:c r="H63" s="115" t="str">
        <x:v>Chaîne production-distribution-consommateurs ; coupure sauvegardée ; pas de courant créé par un sprite.</x:v>
      </x:c>
      <x:c r="I63" s="115" t="str">
        <x:v>Emprise 430–502 × 440–520 m ; hauteur 9–9,8 m ; choix de composition auteur ; dimensions réelles à documenter.</x:v>
      </x:c>
      <x:c r="J63" s="115" t="str">
        <x:v>https://github.com/darknigthmare/deadwall-last-enclosure/blob/e28f46223e73105ab2c5d83f3d50b99b58ef53e6/docs/codex/suivi-monde2026/EAU_ENERGIE_2026.md</x:v>
      </x:c>
      <x:c r="K63" s="115" t="str">
        <x:v>50 plans inspectables dans le Guide auteur ; géométrie partielle et campagne encore ouvertes.</x:v>
      </x:c>
      <x:c r="L63" t="n">
        <x:f>COUNTIF('Variantes à concevoir'!$B$6:$B$4005,A63)</x:f>
        <x:v>50</x:v>
      </x:c>
    </x:row>
    <x:row r="64" ht="96" customHeight="1">
      <x:c r="A64" s="115" t="str">
        <x:v>EXT-MONDE-T059</x:v>
      </x:c>
      <x:c r="B64" s="115" t="str">
        <x:v>Énergie</x:v>
      </x:c>
      <x:c r="C64" s="115" t="str">
        <x:v>Poste électrique régional</x:v>
      </x:c>
      <x:c r="D64" s="115" t="n">
        <x:v>50</x:v>
      </x:c>
      <x:c r="E64" s="115" t="str">
        <x:v>Inspection physique</x:v>
      </x:c>
      <x:c r="F64" s="115" t="str">
        <x:v>commande; conversion; distribution; maintenance; stockage; voies de service</x:v>
      </x:c>
      <x:c r="G64" s="115" t="str">
        <x:v>électricité; route de service; eau selon type</x:v>
      </x:c>
      <x:c r="H64" s="115" t="str">
        <x:v>Chaîne production-distribution-consommateurs ; coupure sauvegardée ; pas de courant créé par un sprite.</x:v>
      </x:c>
      <x:c r="I64" s="115" t="str">
        <x:v>Emprise 430–502 × 440–520 m ; hauteur 6–6 m ; choix de composition auteur ; dimensions réelles à documenter.</x:v>
      </x:c>
      <x:c r="J64" s="115" t="str">
        <x:v>https://github.com/darknigthmare/deadwall-last-enclosure/blob/e28f46223e73105ab2c5d83f3d50b99b58ef53e6/docs/codex/suivi-monde2026/EAU_ENERGIE_2026.md</x:v>
      </x:c>
      <x:c r="K64" s="115" t="str">
        <x:v>50 plans inspectables dans le Guide auteur ; géométrie partielle et campagne encore ouvertes.</x:v>
      </x:c>
      <x:c r="L64" t="n">
        <x:f>COUNTIF('Variantes à concevoir'!$B$6:$B$4005,A64)</x:f>
        <x:v>50</x:v>
      </x:c>
    </x:row>
    <x:row r="65" ht="65" customHeight="1">
      <x:c r="A65" t="str">
        <x:v>EXT-MONDE-T060</x:v>
      </x:c>
      <x:c r="B65" t="str">
        <x:v>Énergie</x:v>
      </x:c>
      <x:c r="C65" t="str">
        <x:v>Champ d’éoliennes</x:v>
      </x:c>
      <x:c r="D65" t="n">
        <x:v>50</x:v>
      </x:c>
      <x:c r="E65" t="str">
        <x:v>Inspection physique</x:v>
      </x:c>
      <x:c r="F65" t="str">
        <x:v>commande; conversion; distribution; maintenance; stockage; voies de service</x:v>
      </x:c>
      <x:c r="G65" t="str">
        <x:v>électricité; route de service; eau selon type</x:v>
      </x:c>
      <x:c r="H65" t="str">
        <x:v>Chaîne production-distribution-consommateurs ; coupure sauvegardée ; pas de courant créé par un sprite.</x:v>
      </x:c>
      <x:c r="I65" t="str">
        <x:v>Emprise 280–1780 × 1280–4430 m ; hauteur 180–241 m ; emprise auteur, non relevé complet d’un lieu réel.</x:v>
      </x:c>
      <x:c r="J65" t="str">
        <x:v>https://github.com/darknigthmare/deadwall-last-enclosure/blob/e28f46223e73105ab2c5d83f3d50b99b58ef53e6/docs/codex/suivi-monde2026/references-metriques2026.json</x:v>
      </x:c>
      <x:c r="K65" t="str">
        <x:v>50 plans inspectables dans le Guide auteur ; géométrie partielle et campagne encore ouvertes.</x:v>
      </x:c>
      <x:c r="L65" t="n">
        <x:f>COUNTIF('Variantes à concevoir'!$B$6:$B$4005,A65)</x:f>
        <x:v>50</x:v>
      </x:c>
    </x:row>
    <x:row r="66" ht="96" customHeight="1">
      <x:c r="A66" s="115" t="str">
        <x:v>EXT-MONDE-T061</x:v>
      </x:c>
      <x:c r="B66" s="115" t="str">
        <x:v>Épuration</x:v>
      </x:c>
      <x:c r="C66" s="115" t="str">
        <x:v>Station d’épuration urbaine</x:v>
      </x:c>
      <x:c r="D66" s="115" t="n">
        <x:v>50</x:v>
      </x:c>
      <x:c r="E66" s="115" t="str">
        <x:v>Inspection physique</x:v>
      </x:c>
      <x:c r="F66" s="115" t="str">
        <x:v>arrivée; traitement; bassins; pompage; contrôle; laboratoire; atelier</x:v>
      </x:c>
      <x:c r="G66" s="115" t="str">
        <x:v>eau; assainissement; électricité; route de service</x:v>
      </x:c>
      <x:c r="H66" s="115" t="str">
        <x:v>Eau potable et eaux usées séparées ; entrée et exutoire cohérents ; bassins non traversables.</x:v>
      </x:c>
      <x:c r="I66" s="115" t="str">
        <x:v>Emprise 430–502 × 440–520 m ; hauteur 12–12 m ; choix de composition auteur ; dimensions réelles à documenter.</x:v>
      </x:c>
      <x:c r="J66" s="115" t="str">
        <x:v>https://github.com/darknigthmare/deadwall-last-enclosure/blob/e28f46223e73105ab2c5d83f3d50b99b58ef53e6/docs/codex/suivi-monde2026/EAU_ENERGIE_2026.md</x:v>
      </x:c>
      <x:c r="K66" s="115" t="str">
        <x:v>50 plans inspectables dans le Guide auteur ; géométrie partielle et campagne encore ouvertes.</x:v>
      </x:c>
      <x:c r="L66" t="n">
        <x:f>COUNTIF('Variantes à concevoir'!$B$6:$B$4005,A66)</x:f>
        <x:v>50</x:v>
      </x:c>
    </x:row>
    <x:row r="67" ht="96" customHeight="1">
      <x:c r="A67" s="115" t="str">
        <x:v>EXT-MONDE-T062</x:v>
      </x:c>
      <x:c r="B67" s="115" t="str">
        <x:v>Épuration</x:v>
      </x:c>
      <x:c r="C67" s="115" t="str">
        <x:v>Station de lagunage</x:v>
      </x:c>
      <x:c r="D67" s="115" t="n">
        <x:v>50</x:v>
      </x:c>
      <x:c r="E67" s="115" t="str">
        <x:v>Inspection physique</x:v>
      </x:c>
      <x:c r="F67" s="115" t="str">
        <x:v>arrivée; traitement; bassins; pompage; contrôle; laboratoire; atelier</x:v>
      </x:c>
      <x:c r="G67" s="115" t="str">
        <x:v>eau; assainissement; électricité; route de service</x:v>
      </x:c>
      <x:c r="H67" s="115" t="str">
        <x:v>Eau potable et eaux usées séparées ; entrée et exutoire cohérents ; bassins non traversables.</x:v>
      </x:c>
      <x:c r="I67" s="115" t="str">
        <x:v>Emprise 430–502 × 440–520 m ; hauteur 5–5,8 m ; choix de composition auteur ; dimensions réelles à documenter.</x:v>
      </x:c>
      <x:c r="J67" s="115" t="str">
        <x:v>https://github.com/darknigthmare/deadwall-last-enclosure/blob/e28f46223e73105ab2c5d83f3d50b99b58ef53e6/docs/codex/suivi-monde2026/EAU_ENERGIE_2026.md</x:v>
      </x:c>
      <x:c r="K67" s="115" t="str">
        <x:v>50 plans inspectables dans le Guide auteur ; géométrie partielle et campagne encore ouvertes.</x:v>
      </x:c>
      <x:c r="L67" t="n">
        <x:f>COUNTIF('Variantes à concevoir'!$B$6:$B$4005,A67)</x:f>
        <x:v>50</x:v>
      </x:c>
    </x:row>
    <x:row r="68" ht="96" customHeight="1">
      <x:c r="A68" s="115" t="str">
        <x:v>EXT-MONDE-T063</x:v>
      </x:c>
      <x:c r="B68" s="115" t="str">
        <x:v>Épuration</x:v>
      </x:c>
      <x:c r="C68" s="115" t="str">
        <x:v>Traitement des eaux industrielles</x:v>
      </x:c>
      <x:c r="D68" s="115" t="n">
        <x:v>50</x:v>
      </x:c>
      <x:c r="E68" s="115" t="str">
        <x:v>Inspection physique</x:v>
      </x:c>
      <x:c r="F68" s="115" t="str">
        <x:v>arrivée; traitement; bassins; pompage; contrôle; laboratoire; atelier</x:v>
      </x:c>
      <x:c r="G68" s="115" t="str">
        <x:v>eau; assainissement; électricité; route de service</x:v>
      </x:c>
      <x:c r="H68" s="115" t="str">
        <x:v>Eau potable et eaux usées séparées ; entrée et exutoire cohérents ; bassins non traversables.</x:v>
      </x:c>
      <x:c r="I68" s="115" t="str">
        <x:v>Emprise 430–502 × 440–520 m ; hauteur 5,5–6,3 m ; choix de composition auteur ; dimensions réelles à documenter.</x:v>
      </x:c>
      <x:c r="J68" s="115" t="str">
        <x:v>https://github.com/darknigthmare/deadwall-last-enclosure/blob/e28f46223e73105ab2c5d83f3d50b99b58ef53e6/docs/codex/suivi-monde2026/EAU_ENERGIE_2026.md</x:v>
      </x:c>
      <x:c r="K68" s="115" t="str">
        <x:v>50 plans inspectables dans le Guide auteur ; géométrie partielle et campagne encore ouvertes.</x:v>
      </x:c>
      <x:c r="L68" t="n">
        <x:f>COUNTIF('Variantes à concevoir'!$B$6:$B$4005,A68)</x:f>
        <x:v>50</x:v>
      </x:c>
    </x:row>
    <x:row r="69" ht="96" customHeight="1">
      <x:c r="A69" s="115" t="str">
        <x:v>EXT-MONDE-T064</x:v>
      </x:c>
      <x:c r="B69" s="115" t="str">
        <x:v>Épuration</x:v>
      </x:c>
      <x:c r="C69" s="115" t="str">
        <x:v>Usine de potabilisation</x:v>
      </x:c>
      <x:c r="D69" s="115" t="n">
        <x:v>50</x:v>
      </x:c>
      <x:c r="E69" s="115" t="str">
        <x:v>Inspection physique</x:v>
      </x:c>
      <x:c r="F69" s="115" t="str">
        <x:v>arrivée; traitement; bassins; pompage; contrôle; laboratoire; atelier</x:v>
      </x:c>
      <x:c r="G69" s="115" t="str">
        <x:v>eau; assainissement; électricité; route de service</x:v>
      </x:c>
      <x:c r="H69" s="115" t="str">
        <x:v>Eau potable et eaux usées séparées ; entrée et exutoire cohérents ; bassins non traversables.</x:v>
      </x:c>
      <x:c r="I69" s="115" t="str">
        <x:v>Emprise 430–502 × 440–520 m ; hauteur 6–6,3 m ; choix de composition auteur ; dimensions réelles à documenter.</x:v>
      </x:c>
      <x:c r="J69" s="115" t="str">
        <x:v>https://github.com/darknigthmare/deadwall-last-enclosure/blob/e28f46223e73105ab2c5d83f3d50b99b58ef53e6/docs/codex/suivi-monde2026/EAU_ENERGIE_2026.md</x:v>
      </x:c>
      <x:c r="K69" s="115" t="str">
        <x:v>50 plans inspectables dans le Guide auteur ; géométrie partielle et campagne encore ouvertes.</x:v>
      </x:c>
      <x:c r="L69" t="n">
        <x:f>COUNTIF('Variantes à concevoir'!$B$6:$B$4005,A69)</x:f>
        <x:v>50</x:v>
      </x:c>
    </x:row>
    <x:row r="70" ht="65" customHeight="1">
      <x:c r="A70" t="str">
        <x:v>EXT-MONDE-T065</x:v>
      </x:c>
      <x:c r="B70" t="str">
        <x:v>Stades</x:v>
      </x:c>
      <x:c r="C70" t="str">
        <x:v>Stade municipal</x:v>
      </x:c>
      <x:c r="D70" t="n">
        <x:v>50</x:v>
      </x:c>
      <x:c r="E70" t="str">
        <x:v>Inspection physique</x:v>
      </x:c>
      <x:c r="F70" t="str">
        <x:v>terrain; pistes ou gradins; vestiaires; secours; sanitaires; restauration; réserves</x:v>
      </x:c>
      <x:c r="G70" t="str">
        <x:v>routes; piétons; électricité; eau</x:v>
      </x:c>
      <x:c r="H70" t="str">
        <x:v>Anneaux de circulation et sorties ; gradins par niveau ; accès terrain distincts des locaux.</x:v>
      </x:c>
      <x:c r="I70" t="str">
        <x:v>Emprise 162–230 × 201–269 m ; hauteur 7–15 m ; emprise auteur, non relevé complet d’un lieu réel.</x:v>
      </x:c>
      <x:c r="J70" t="str">
        <x:v>https://github.com/darknigthmare/deadwall-last-enclosure/blob/e28f46223e73105ab2c5d83f3d50b99b58ef53e6/docs/codex/suivi-monde2026/references-metriques2026.json</x:v>
      </x:c>
      <x:c r="K70" t="str">
        <x:v>50 plans inspectables dans le Guide auteur ; géométrie partielle et campagne encore ouvertes.</x:v>
      </x:c>
      <x:c r="L70" t="n">
        <x:f>COUNTIF('Variantes à concevoir'!$B$6:$B$4005,A70)</x:f>
        <x:v>50</x:v>
      </x:c>
    </x:row>
    <x:row r="71" ht="65" customHeight="1">
      <x:c r="A71" t="str">
        <x:v>EXT-MONDE-T066</x:v>
      </x:c>
      <x:c r="B71" t="str">
        <x:v>Stades</x:v>
      </x:c>
      <x:c r="C71" t="str">
        <x:v>Grand stade couvert</x:v>
      </x:c>
      <x:c r="D71" t="n">
        <x:v>50</x:v>
      </x:c>
      <x:c r="E71" t="str">
        <x:v>Inspection physique</x:v>
      </x:c>
      <x:c r="F71" t="str">
        <x:v>terrain; pistes ou gradins; vestiaires; secours; sanitaires; restauration; réserves</x:v>
      </x:c>
      <x:c r="G71" t="str">
        <x:v>routes; piétons; électricité; eau</x:v>
      </x:c>
      <x:c r="H71" t="str">
        <x:v>Anneaux de circulation et sorties ; gradins par niveau ; accès terrain distincts des locaux.</x:v>
      </x:c>
      <x:c r="I71" t="str">
        <x:v>Emprise 180–280 × 219–319 m ; hauteur 36–52 m ; emprise auteur, non relevé complet d’un lieu réel.</x:v>
      </x:c>
      <x:c r="J71" t="str">
        <x:v>https://github.com/darknigthmare/deadwall-last-enclosure/blob/e28f46223e73105ab2c5d83f3d50b99b58ef53e6/docs/codex/suivi-monde2026/references-metriques2026.json</x:v>
      </x:c>
      <x:c r="K71" t="str">
        <x:v>50 plans inspectables dans le Guide auteur ; géométrie partielle et campagne encore ouvertes.</x:v>
      </x:c>
      <x:c r="L71" t="n">
        <x:f>COUNTIF('Variantes à concevoir'!$B$6:$B$4005,A71)</x:f>
        <x:v>50</x:v>
      </x:c>
    </x:row>
    <x:row r="72" ht="96" customHeight="1">
      <x:c r="A72" s="115" t="str">
        <x:v>EXT-MONDE-T067</x:v>
      </x:c>
      <x:c r="B72" s="115" t="str">
        <x:v>Stades</x:v>
      </x:c>
      <x:c r="C72" s="115" t="str">
        <x:v>Vélodrome</x:v>
      </x:c>
      <x:c r="D72" s="115" t="n">
        <x:v>50</x:v>
      </x:c>
      <x:c r="E72" s="115" t="str">
        <x:v>Inspection physique</x:v>
      </x:c>
      <x:c r="F72" s="115" t="str">
        <x:v>terrain; pistes ou gradins; vestiaires; secours; sanitaires; restauration; réserves</x:v>
      </x:c>
      <x:c r="G72" s="115" t="str">
        <x:v>routes; piétons; électricité; eau</x:v>
      </x:c>
      <x:c r="H72" s="115" t="str">
        <x:v>Anneaux de circulation et sorties ; gradins par niveau ; accès terrain distincts des locaux.</x:v>
      </x:c>
      <x:c r="I72" s="115" t="str">
        <x:v>Emprise 434–482 × 590–622 m ; hauteur 16–16 m ; choix de composition auteur ; dimensions réelles à documenter.</x:v>
      </x:c>
      <x:c r="J72" s="115" t="str">
        <x:v>https://github.com/darknigthmare/deadwall-last-enclosure/blob/e28f46223e73105ab2c5d83f3d50b99b58ef53e6/docs/codex/suivi-monde2026/PARCS_SPORTS_2026.md</x:v>
      </x:c>
      <x:c r="K72" s="115" t="str">
        <x:v>50 plans inspectables dans le Guide auteur ; géométrie partielle et campagne encore ouvertes.</x:v>
      </x:c>
      <x:c r="L72" t="n">
        <x:f>COUNTIF('Variantes à concevoir'!$B$6:$B$4005,A72)</x:f>
        <x:v>50</x:v>
      </x:c>
    </x:row>
    <x:row r="73" ht="96" customHeight="1">
      <x:c r="A73" s="115" t="str">
        <x:v>EXT-MONDE-T068</x:v>
      </x:c>
      <x:c r="B73" s="115" t="str">
        <x:v>Stades</x:v>
      </x:c>
      <x:c r="C73" s="115" t="str">
        <x:v>Complexe sportif</x:v>
      </x:c>
      <x:c r="D73" s="115" t="n">
        <x:v>50</x:v>
      </x:c>
      <x:c r="E73" s="115" t="str">
        <x:v>Inspection physique</x:v>
      </x:c>
      <x:c r="F73" s="115" t="str">
        <x:v>terrain; pistes ou gradins; vestiaires; secours; sanitaires; restauration; réserves</x:v>
      </x:c>
      <x:c r="G73" s="115" t="str">
        <x:v>routes; piétons; électricité; eau</x:v>
      </x:c>
      <x:c r="H73" s="115" t="str">
        <x:v>Anneaux de circulation et sorties ; gradins par niveau ; accès terrain distincts des locaux.</x:v>
      </x:c>
      <x:c r="I73" s="115" t="str">
        <x:v>Emprise 362–410 × 570–602 m ; hauteur 10–10 m ; choix de composition auteur ; dimensions réelles à documenter.</x:v>
      </x:c>
      <x:c r="J73" s="115" t="str">
        <x:v>https://github.com/darknigthmare/deadwall-last-enclosure/blob/e28f46223e73105ab2c5d83f3d50b99b58ef53e6/docs/codex/suivi-monde2026/PARCS_SPORTS_2026.md</x:v>
      </x:c>
      <x:c r="K73" s="115" t="str">
        <x:v>50 plans inspectables dans le Guide auteur ; géométrie partielle et campagne encore ouvertes.</x:v>
      </x:c>
      <x:c r="L73" t="n">
        <x:f>COUNTIF('Variantes à concevoir'!$B$6:$B$4005,A73)</x:f>
        <x:v>50</x:v>
      </x:c>
    </x:row>
    <x:row r="74" ht="96" customHeight="1">
      <x:c r="A74" s="115" t="str">
        <x:v>EXT-MONDE-T069</x:v>
      </x:c>
      <x:c r="B74" s="115" t="str">
        <x:v>Aéroports</x:v>
      </x:c>
      <x:c r="C74" s="115" t="str">
        <x:v>Aérodrome régional</x:v>
      </x:c>
      <x:c r="D74" s="115" t="n">
        <x:v>50</x:v>
      </x:c>
      <x:c r="E74" s="115" t="str">
        <x:v>Inspection physique</x:v>
      </x:c>
      <x:c r="F74" s="115" t="str">
        <x:v>pistes; voies de circulation; aires avions; terminal; hangars; tour; maintenance</x:v>
      </x:c>
      <x:c r="G74" s="115" t="str">
        <x:v>piste; taxiways; route; rail si raccordé</x:v>
      </x:c>
      <x:c r="H74" s="115" t="str">
        <x:v>Continuité piste-taxiway-apron ; obstacles et bâtiments hors réserves ; grandes emprises non comprimées.</x:v>
      </x:c>
      <x:c r="I74" s="115" t="str">
        <x:v>Emprise 1100–1100 × 1600–2000 m ; hauteur 18–26 m ; choix de composition auteur ; dimensions réelles à documenter.</x:v>
      </x:c>
      <x:c r="J74" s="115" t="str">
        <x:v>https://github.com/darknigthmare/deadwall-last-enclosure/blob/e28f46223e73105ab2c5d83f3d50b99b58ef53e6/docs/codex/suivi-monde2026/AEROPORTS_RAIL_2026.md</x:v>
      </x:c>
      <x:c r="K74" s="115" t="str">
        <x:v>50 plans inspectables dans le Guide auteur ; géométrie partielle et campagne encore ouvertes.</x:v>
      </x:c>
      <x:c r="L74" t="n">
        <x:f>COUNTIF('Variantes à concevoir'!$B$6:$B$4005,A74)</x:f>
        <x:v>50</x:v>
      </x:c>
    </x:row>
    <x:row r="75" ht="96" customHeight="1">
      <x:c r="A75" s="115" t="str">
        <x:v>EXT-MONDE-T070</x:v>
      </x:c>
      <x:c r="B75" s="115" t="str">
        <x:v>Aéroports</x:v>
      </x:c>
      <x:c r="C75" s="115" t="str">
        <x:v>Aéroport international</x:v>
      </x:c>
      <x:c r="D75" s="115" t="n">
        <x:v>50</x:v>
      </x:c>
      <x:c r="E75" s="115" t="str">
        <x:v>Inspection physique</x:v>
      </x:c>
      <x:c r="F75" s="115" t="str">
        <x:v>pistes; voies de circulation; aires avions; terminal; hangars; tour; maintenance</x:v>
      </x:c>
      <x:c r="G75" s="115" t="str">
        <x:v>piste; taxiways; route; rail si raccordé</x:v>
      </x:c>
      <x:c r="H75" s="115" t="str">
        <x:v>Continuité piste-taxiway-apron ; obstacles et bâtiments hors réserves ; grandes emprises non comprimées.</x:v>
      </x:c>
      <x:c r="I75" s="115" t="str">
        <x:v>Emprise 1460–1460 × 3000–3800 m ; hauteur 36–44 m ; choix de composition auteur ; dimensions réelles à documenter.</x:v>
      </x:c>
      <x:c r="J75" s="115" t="str">
        <x:v>https://github.com/darknigthmare/deadwall-last-enclosure/blob/e28f46223e73105ab2c5d83f3d50b99b58ef53e6/docs/codex/suivi-monde2026/AEROPORTS_RAIL_2026.md</x:v>
      </x:c>
      <x:c r="K75" s="115" t="str">
        <x:v>50 plans inspectables dans le Guide auteur ; géométrie partielle et campagne encore ouvertes.</x:v>
      </x:c>
      <x:c r="L75" t="n">
        <x:f>COUNTIF('Variantes à concevoir'!$B$6:$B$4005,A75)</x:f>
        <x:v>50</x:v>
      </x:c>
    </x:row>
    <x:row r="76" ht="96" customHeight="1">
      <x:c r="A76" s="115" t="str">
        <x:v>EXT-MONDE-T071</x:v>
      </x:c>
      <x:c r="B76" s="115" t="str">
        <x:v>Aéroports</x:v>
      </x:c>
      <x:c r="C76" s="115" t="str">
        <x:v>Aéroport de fret</x:v>
      </x:c>
      <x:c r="D76" s="115" t="n">
        <x:v>50</x:v>
      </x:c>
      <x:c r="E76" s="115" t="str">
        <x:v>Inspection physique</x:v>
      </x:c>
      <x:c r="F76" s="115" t="str">
        <x:v>pistes; voies de circulation; aires avions; terminal; hangars; tour; maintenance</x:v>
      </x:c>
      <x:c r="G76" s="115" t="str">
        <x:v>piste; taxiways; route; rail si raccordé</x:v>
      </x:c>
      <x:c r="H76" s="115" t="str">
        <x:v>Continuité piste-taxiway-apron ; obstacles et bâtiments hors réserves ; grandes emprises non comprimées.</x:v>
      </x:c>
      <x:c r="I76" s="115" t="str">
        <x:v>Emprise 1100–1100 × 2600–3400 m ; hauteur 28–36 m ; choix de composition auteur ; dimensions réelles à documenter.</x:v>
      </x:c>
      <x:c r="J76" s="115" t="str">
        <x:v>https://github.com/darknigthmare/deadwall-last-enclosure/blob/e28f46223e73105ab2c5d83f3d50b99b58ef53e6/docs/codex/suivi-monde2026/AEROPORTS_RAIL_2026.md</x:v>
      </x:c>
      <x:c r="K76" s="115" t="str">
        <x:v>50 plans inspectables dans le Guide auteur ; géométrie partielle et campagne encore ouvertes.</x:v>
      </x:c>
      <x:c r="L76" t="n">
        <x:f>COUNTIF('Variantes à concevoir'!$B$6:$B$4005,A76)</x:f>
        <x:v>50</x:v>
      </x:c>
    </x:row>
    <x:row r="77" ht="96" customHeight="1">
      <x:c r="A77" s="115" t="str">
        <x:v>EXT-MONDE-T072</x:v>
      </x:c>
      <x:c r="B77" s="115" t="str">
        <x:v>Aéroports</x:v>
      </x:c>
      <x:c r="C77" s="115" t="str">
        <x:v>Aérodrome insulaire</x:v>
      </x:c>
      <x:c r="D77" s="115" t="n">
        <x:v>50</x:v>
      </x:c>
      <x:c r="E77" s="115" t="str">
        <x:v>Inspection physique</x:v>
      </x:c>
      <x:c r="F77" s="115" t="str">
        <x:v>pistes; voies de circulation; aires avions; terminal; hangars; tour; maintenance</x:v>
      </x:c>
      <x:c r="G77" s="115" t="str">
        <x:v>piste; taxiways; route; rail si raccordé</x:v>
      </x:c>
      <x:c r="H77" s="115" t="str">
        <x:v>Continuité piste-taxiway-apron ; obstacles et bâtiments hors réserves ; grandes emprises non comprimées.</x:v>
      </x:c>
      <x:c r="I77" s="115" t="str">
        <x:v>Emprise 1100–1100 × 1300–1700 m ; hauteur 14–22 m ; choix de composition auteur ; dimensions réelles à documenter.</x:v>
      </x:c>
      <x:c r="J77" s="115" t="str">
        <x:v>https://github.com/darknigthmare/deadwall-last-enclosure/blob/e28f46223e73105ab2c5d83f3d50b99b58ef53e6/docs/codex/suivi-monde2026/AEROPORTS_RAIL_2026.md</x:v>
      </x:c>
      <x:c r="K77" s="115" t="str">
        <x:v>50 plans inspectables dans le Guide auteur ; géométrie partielle et campagne encore ouvertes.</x:v>
      </x:c>
      <x:c r="L77" t="n">
        <x:f>COUNTIF('Variantes à concevoir'!$B$6:$B$4005,A77)</x:f>
        <x:v>50</x:v>
      </x:c>
    </x:row>
    <x:row r="78" ht="96" customHeight="1">
      <x:c r="A78" s="115" t="str">
        <x:v>EXT-MONDE-T073</x:v>
      </x:c>
      <x:c r="B78" s="115" t="str">
        <x:v>Ferroviaire</x:v>
      </x:c>
      <x:c r="C78" s="115" t="str">
        <x:v>Gare de passage</x:v>
      </x:c>
      <x:c r="D78" s="115" t="n">
        <x:v>50</x:v>
      </x:c>
      <x:c r="E78" s="115" t="str">
        <x:v>Inspection physique</x:v>
      </x:c>
      <x:c r="F78" s="115" t="str">
        <x:v>voies; quais; hall; ateliers; aiguillages; réserves; accès voyageurs</x:v>
      </x:c>
      <x:c r="G78" s="115" t="str">
        <x:v>rail continu; fret; route; piétons</x:v>
      </x:c>
      <x:c r="H78" s="115" t="str">
        <x:v>Chaque voie possède destination ou butoir ; aiguilles explicites ; niveau des croisements respecté.</x:v>
      </x:c>
      <x:c r="I78" s="115" t="str">
        <x:v>Emprise 800–800 × 1700–2340 m ; hauteur 7–7,8 m ; choix de composition auteur ; dimensions réelles à documenter.</x:v>
      </x:c>
      <x:c r="J78" s="115" t="str">
        <x:v>https://github.com/darknigthmare/deadwall-last-enclosure/blob/e28f46223e73105ab2c5d83f3d50b99b58ef53e6/docs/codex/suivi-monde2026/AEROPORTS_RAIL_2026.md</x:v>
      </x:c>
      <x:c r="K78" s="115" t="str">
        <x:v>50 plans inspectables dans le Guide auteur ; géométrie partielle et campagne encore ouvertes.</x:v>
      </x:c>
      <x:c r="L78" t="n">
        <x:f>COUNTIF('Variantes à concevoir'!$B$6:$B$4005,A78)</x:f>
        <x:v>50</x:v>
      </x:c>
    </x:row>
    <x:row r="79" ht="96" customHeight="1">
      <x:c r="A79" s="115" t="str">
        <x:v>EXT-MONDE-T074</x:v>
      </x:c>
      <x:c r="B79" s="115" t="str">
        <x:v>Ferroviaire</x:v>
      </x:c>
      <x:c r="C79" s="115" t="str">
        <x:v>Gare terminus</x:v>
      </x:c>
      <x:c r="D79" s="115" t="n">
        <x:v>50</x:v>
      </x:c>
      <x:c r="E79" s="115" t="str">
        <x:v>Inspection physique</x:v>
      </x:c>
      <x:c r="F79" s="115" t="str">
        <x:v>voies; quais; hall; ateliers; aiguillages; réserves; accès voyageurs</x:v>
      </x:c>
      <x:c r="G79" s="115" t="str">
        <x:v>rail continu; fret; route; piétons</x:v>
      </x:c>
      <x:c r="H79" s="115" t="str">
        <x:v>Chaque voie possède destination ou butoir ; aiguilles explicites ; niveau des croisements respecté.</x:v>
      </x:c>
      <x:c r="I79" s="115" t="str">
        <x:v>Emprise 800–800 × 1900–2700 m ; hauteur 7–7,8 m ; choix de composition auteur ; dimensions réelles à documenter.</x:v>
      </x:c>
      <x:c r="J79" s="115" t="str">
        <x:v>https://github.com/darknigthmare/deadwall-last-enclosure/blob/e28f46223e73105ab2c5d83f3d50b99b58ef53e6/docs/codex/suivi-monde2026/AEROPORTS_RAIL_2026.md</x:v>
      </x:c>
      <x:c r="K79" s="115" t="str">
        <x:v>50 plans inspectables dans le Guide auteur ; géométrie partielle et campagne encore ouvertes.</x:v>
      </x:c>
      <x:c r="L79" t="n">
        <x:f>COUNTIF('Variantes à concevoir'!$B$6:$B$4005,A79)</x:f>
        <x:v>50</x:v>
      </x:c>
    </x:row>
    <x:row r="80" ht="96" customHeight="1">
      <x:c r="A80" s="115" t="str">
        <x:v>EXT-MONDE-T075</x:v>
      </x:c>
      <x:c r="B80" s="115" t="str">
        <x:v>Ferroviaire</x:v>
      </x:c>
      <x:c r="C80" s="115" t="str">
        <x:v>Gare de triage</x:v>
      </x:c>
      <x:c r="D80" s="115" t="n">
        <x:v>50</x:v>
      </x:c>
      <x:c r="E80" s="115" t="str">
        <x:v>Inspection physique</x:v>
      </x:c>
      <x:c r="F80" s="115" t="str">
        <x:v>voies; quais; hall; ateliers; aiguillages; réserves; accès voyageurs</x:v>
      </x:c>
      <x:c r="G80" s="115" t="str">
        <x:v>rail continu; fret; route; piétons</x:v>
      </x:c>
      <x:c r="H80" s="115" t="str">
        <x:v>Chaque voie possède destination ou butoir ; aiguilles explicites ; niveau des croisements respecté.</x:v>
      </x:c>
      <x:c r="I80" s="115" t="str">
        <x:v>Emprise 800–800 × 2500–3300 m ; hauteur 7–7,8 m ; choix de composition auteur ; dimensions réelles à documenter.</x:v>
      </x:c>
      <x:c r="J80" s="115" t="str">
        <x:v>https://github.com/darknigthmare/deadwall-last-enclosure/blob/e28f46223e73105ab2c5d83f3d50b99b58ef53e6/docs/codex/suivi-monde2026/AEROPORTS_RAIL_2026.md</x:v>
      </x:c>
      <x:c r="K80" s="115" t="str">
        <x:v>50 plans inspectables dans le Guide auteur ; géométrie partielle et campagne encore ouvertes.</x:v>
      </x:c>
      <x:c r="L80" t="n">
        <x:f>COUNTIF('Variantes à concevoir'!$B$6:$B$4005,A80)</x:f>
        <x:v>50</x:v>
      </x:c>
    </x:row>
    <x:row r="81" ht="96" customHeight="1">
      <x:c r="A81" s="115" t="str">
        <x:v>EXT-MONDE-T076</x:v>
      </x:c>
      <x:c r="B81" s="115" t="str">
        <x:v>Ferroviaire</x:v>
      </x:c>
      <x:c r="C81" s="115" t="str">
        <x:v>Dépôt ferroviaire</x:v>
      </x:c>
      <x:c r="D81" s="115" t="n">
        <x:v>50</x:v>
      </x:c>
      <x:c r="E81" s="115" t="str">
        <x:v>Inspection physique</x:v>
      </x:c>
      <x:c r="F81" s="115" t="str">
        <x:v>voies; quais; hall; ateliers; aiguillages; réserves; accès voyageurs</x:v>
      </x:c>
      <x:c r="G81" s="115" t="str">
        <x:v>rail continu; fret; route; piétons</x:v>
      </x:c>
      <x:c r="H81" s="115" t="str">
        <x:v>Chaque voie possède destination ou butoir ; aiguilles explicites ; niveau des croisements respecté.</x:v>
      </x:c>
      <x:c r="I81" s="115" t="str">
        <x:v>Emprise 800–800 × 2100–2740 m ; hauteur 7–7,8 m ; choix de composition auteur ; dimensions réelles à documenter.</x:v>
      </x:c>
      <x:c r="J81" s="115" t="str">
        <x:v>https://github.com/darknigthmare/deadwall-last-enclosure/blob/e28f46223e73105ab2c5d83f3d50b99b58ef53e6/docs/codex/suivi-monde2026/AEROPORTS_RAIL_2026.md</x:v>
      </x:c>
      <x:c r="K81" s="115" t="str">
        <x:v>50 plans inspectables dans le Guide auteur ; géométrie partielle et campagne encore ouvertes.</x:v>
      </x:c>
      <x:c r="L81" t="n">
        <x:f>COUNTIF('Variantes à concevoir'!$B$6:$B$4005,A81)</x:f>
        <x:v>50</x:v>
      </x:c>
    </x:row>
    <x:row r="82" ht="96" customHeight="1">
      <x:c r="A82" s="115" t="str">
        <x:v>EXT-MONDE-T077</x:v>
      </x:c>
      <x:c r="B82" s="115" t="str">
        <x:v>Îles</x:v>
      </x:c>
      <x:c r="C82" s="115" t="str">
        <x:v>Îlot de phare</x:v>
      </x:c>
      <x:c r="D82" s="115" t="n">
        <x:v>50</x:v>
      </x:c>
      <x:c r="E82" s="115" t="str">
        <x:v>Inspection physique</x:v>
      </x:c>
      <x:c r="F82" s="115" t="str">
        <x:v>littoral; relief; accès; habitats; réserves; services; chemins internes</x:v>
      </x:c>
      <x:c r="G82" s="115" t="str">
        <x:v>liaison nautique; pont si prévu; réseaux locaux</x:v>
      </x:c>
      <x:c r="H82" s="115" t="str">
        <x:v>Taille réelle de l’île et rivage avant bâtiments ; ressources et accès autonomes sans réseaux vers le vide.</x:v>
      </x:c>
      <x:c r="I82" s="115" t="str">
        <x:v>Emprise 336–392 × 276–324 m ; hauteur 32–32 m ; choix de composition auteur ; dimensions réelles à documenter.</x:v>
      </x:c>
      <x:c r="J82" s="115" t="str">
        <x:v>https://github.com/darknigthmare/deadwall-last-enclosure/blob/e28f46223e73105ab2c5d83f3d50b99b58ef53e6/docs/codex/suivi-monde2026/PORTS_ILES_2026.md</x:v>
      </x:c>
      <x:c r="K82" s="115" t="str">
        <x:v>50 plans inspectables dans le Guide auteur ; géométrie partielle et campagne encore ouvertes.</x:v>
      </x:c>
      <x:c r="L82" t="n">
        <x:f>COUNTIF('Variantes à concevoir'!$B$6:$B$4005,A82)</x:f>
        <x:v>50</x:v>
      </x:c>
    </x:row>
    <x:row r="83" ht="96" customHeight="1">
      <x:c r="A83" s="115" t="str">
        <x:v>EXT-MONDE-T078</x:v>
      </x:c>
      <x:c r="B83" s="115" t="str">
        <x:v>Îles</x:v>
      </x:c>
      <x:c r="C83" s="115" t="str">
        <x:v>Île agricole habitée</x:v>
      </x:c>
      <x:c r="D83" s="115" t="n">
        <x:v>50</x:v>
      </x:c>
      <x:c r="E83" s="115" t="str">
        <x:v>Inspection physique</x:v>
      </x:c>
      <x:c r="F83" s="115" t="str">
        <x:v>littoral; relief; accès; habitats; réserves; services; chemins internes</x:v>
      </x:c>
      <x:c r="G83" s="115" t="str">
        <x:v>liaison nautique; pont si prévu; réseaux locaux</x:v>
      </x:c>
      <x:c r="H83" s="115" t="str">
        <x:v>Taille réelle de l’île et rivage avant bâtiments ; ressources et accès autonomes sans réseaux vers le vide.</x:v>
      </x:c>
      <x:c r="I83" s="115" t="str">
        <x:v>Emprise 576–632 × 556–604 m ; hauteur 14–14 m ; choix de composition auteur ; dimensions réelles à documenter.</x:v>
      </x:c>
      <x:c r="J83" s="115" t="str">
        <x:v>https://github.com/darknigthmare/deadwall-last-enclosure/blob/e28f46223e73105ab2c5d83f3d50b99b58ef53e6/docs/codex/suivi-monde2026/PORTS_ILES_2026.md</x:v>
      </x:c>
      <x:c r="K83" s="115" t="str">
        <x:v>50 plans inspectables dans le Guide auteur ; géométrie partielle et campagne encore ouvertes.</x:v>
      </x:c>
      <x:c r="L83" t="n">
        <x:f>COUNTIF('Variantes à concevoir'!$B$6:$B$4005,A83)</x:f>
        <x:v>50</x:v>
      </x:c>
    </x:row>
    <x:row r="84" ht="96" customHeight="1">
      <x:c r="A84" s="115" t="str">
        <x:v>EXT-MONDE-T079</x:v>
      </x:c>
      <x:c r="B84" s="115" t="str">
        <x:v>Îles</x:v>
      </x:c>
      <x:c r="C84" s="115" t="str">
        <x:v>Île portuaire industrielle</x:v>
      </x:c>
      <x:c r="D84" s="115" t="n">
        <x:v>50</x:v>
      </x:c>
      <x:c r="E84" s="115" t="str">
        <x:v>Inspection physique</x:v>
      </x:c>
      <x:c r="F84" s="115" t="str">
        <x:v>littoral; relief; accès; habitats; réserves; services; chemins internes</x:v>
      </x:c>
      <x:c r="G84" s="115" t="str">
        <x:v>liaison nautique; pont si prévu; réseaux locaux</x:v>
      </x:c>
      <x:c r="H84" s="115" t="str">
        <x:v>Taille réelle de l’île et rivage avant bâtiments ; ressources et accès autonomes sans réseaux vers le vide.</x:v>
      </x:c>
      <x:c r="I84" s="115" t="str">
        <x:v>Emprise 696–752 × 716–764 m ; hauteur 30–30 m ; choix de composition auteur ; dimensions réelles à documenter.</x:v>
      </x:c>
      <x:c r="J84" s="115" t="str">
        <x:v>https://github.com/darknigthmare/deadwall-last-enclosure/blob/e28f46223e73105ab2c5d83f3d50b99b58ef53e6/docs/codex/suivi-monde2026/PORTS_ILES_2026.md</x:v>
      </x:c>
      <x:c r="K84" s="115" t="str">
        <x:v>50 plans inspectables dans le Guide auteur ; géométrie partielle et campagne encore ouvertes.</x:v>
      </x:c>
      <x:c r="L84" t="n">
        <x:f>COUNTIF('Variantes à concevoir'!$B$6:$B$4005,A84)</x:f>
        <x:v>50</x:v>
      </x:c>
    </x:row>
    <x:row r="85" ht="96" customHeight="1">
      <x:c r="A85" s="115" t="str">
        <x:v>EXT-MONDE-T080</x:v>
      </x:c>
      <x:c r="B85" s="115" t="str">
        <x:v>Îles</x:v>
      </x:c>
      <x:c r="C85" s="115" t="str">
        <x:v>Grande île mixte</x:v>
      </x:c>
      <x:c r="D85" s="115" t="n">
        <x:v>50</x:v>
      </x:c>
      <x:c r="E85" s="115" t="str">
        <x:v>Inspection physique</x:v>
      </x:c>
      <x:c r="F85" s="115" t="str">
        <x:v>littoral; relief; accès; habitats; réserves; services; chemins internes</x:v>
      </x:c>
      <x:c r="G85" s="115" t="str">
        <x:v>liaison nautique; pont si prévu; réseaux locaux</x:v>
      </x:c>
      <x:c r="H85" s="115" t="str">
        <x:v>Taille réelle de l’île et rivage avant bâtiments ; ressources et accès autonomes sans réseaux vers le vide.</x:v>
      </x:c>
      <x:c r="I85" s="115" t="str">
        <x:v>Emprise 856–912 × 896–944 m ; hauteur 8–8 m ; choix de composition auteur ; dimensions réelles à documenter.</x:v>
      </x:c>
      <x:c r="J85" s="115" t="str">
        <x:v>https://github.com/darknigthmare/deadwall-last-enclosure/blob/e28f46223e73105ab2c5d83f3d50b99b58ef53e6/docs/codex/suivi-monde2026/PORTS_ILES_2026.md</x:v>
      </x:c>
      <x:c r="K85" s="115" t="str">
        <x:v>50 plans inspectables dans le Guide auteur ; géométrie partielle et campagne encore ouvertes.</x:v>
      </x:c>
      <x:c r="L85" t="n">
        <x:f>COUNTIF('Variantes à concevoir'!$B$6:$B$4005,A85)</x:f>
        <x:v>50</x:v>
      </x:c>
    </x:row>
  </x:sheetData>
  <x:mergeCells>
    <x:mergeCell ref="A1:L1"/>
    <x:mergeCell ref="A2:L3"/>
  </x:mergeCells>
  <x:pageMargins left="0.7" right="0.7" top="0.75" bottom="0.75" header="0.3" footer="0.3"/>
  <x:tableParts count="1">
    <x:tablePart xmlns:r="http://schemas.openxmlformats.org/officeDocument/2006/relationships" r:id="Rf0802daee471452c"/>
  </x:tableParts>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9" hidden="0" customWidth="1"/>
    <x:col min="2" max="2" width="24" hidden="0" customWidth="1"/>
    <x:col min="3" max="3" width="28" hidden="0" customWidth="1"/>
    <x:col min="4" max="4" width="40" hidden="0" customWidth="1"/>
    <x:col min="5" max="5" width="16" hidden="0" customWidth="1"/>
    <x:col min="6" max="6" width="22" hidden="0" customWidth="1"/>
    <x:col min="7" max="7" width="24" hidden="0" customWidth="1"/>
    <x:col min="8" max="8" width="24" hidden="0" customWidth="1"/>
    <x:col min="9" max="9" width="24" hidden="0" customWidth="1"/>
    <x:col min="10" max="10" width="22" hidden="0" customWidth="1"/>
    <x:col min="11" max="11" width="55" hidden="0" customWidth="1"/>
  </x:cols>
  <x:sheetData>
    <x:row r="1" ht="32" customHeight="1">
      <x:c r="A1" s="3" t="str">
        <x:v>07  /  4 000 VARIANTES CIBLES — AUCUNE COMPLÉTION PRÉSUMÉE</x:v>
      </x:c>
      <x:c r="B1" s="3"/>
      <x:c r="C1" s="3"/>
      <x:c r="D1" s="3"/>
      <x:c r="E1" s="3"/>
      <x:c r="F1" s="3"/>
      <x:c r="G1" s="3"/>
      <x:c r="H1" s="3"/>
      <x:c r="I1" s="3"/>
      <x:c r="J1" s="3"/>
      <x:c r="K1" s="3"/>
    </x:row>
    <x:row r="2" ht="20" customHeight="1">
      <x:c r="A2" s="9" t="str">
        <x:v>Chaque ligne réserve un identifiant de suivi non injecté dans le moteur. Architecture, emprise, poids de spawn et contenu détaillé restent à produire.</x:v>
      </x:c>
      <x:c r="B2" s="9"/>
      <x:c r="C2" s="9"/>
      <x:c r="D2" s="9"/>
      <x:c r="E2" s="9"/>
      <x:c r="F2" s="9"/>
      <x:c r="G2" s="9"/>
      <x:c r="H2" s="9"/>
      <x:c r="I2" s="9"/>
      <x:c r="J2" s="9"/>
      <x:c r="K2" s="9"/>
    </x:row>
    <x:row r="3" ht="20" customHeight="1">
      <x:c r="A3" s="9"/>
      <x:c r="B3" s="9"/>
      <x:c r="C3" s="9"/>
      <x:c r="D3" s="9"/>
      <x:c r="E3" s="9"/>
      <x:c r="F3" s="9"/>
      <x:c r="G3" s="9"/>
      <x:c r="H3" s="9"/>
      <x:c r="I3" s="9"/>
      <x:c r="J3" s="9"/>
      <x:c r="K3" s="9"/>
    </x:row>
    <x:row r="5" ht="34" customHeight="1">
      <x:c r="A5" s="112" t="str">
        <x:v>ID cible</x:v>
      </x:c>
      <x:c r="B5" s="112" t="str">
        <x:v>Typologie ID</x:v>
      </x:c>
      <x:c r="C5" s="112" t="str">
        <x:v>Domaine</x:v>
      </x:c>
      <x:c r="D5" s="112" t="str">
        <x:v>Typologie</x:v>
      </x:c>
      <x:c r="E5" s="112" t="str">
        <x:v>N° variante</x:v>
      </x:c>
      <x:c r="F5" s="112" t="str">
        <x:v>Statut</x:v>
      </x:c>
      <x:c r="G5" s="112" t="str">
        <x:v>Architecture</x:v>
      </x:c>
      <x:c r="H5" s="112" t="str">
        <x:v>Dimensions (m)</x:v>
      </x:c>
      <x:c r="I5" s="112" t="str">
        <x:v>Poids de spawn</x:v>
      </x:c>
      <x:c r="J5" s="112" t="str">
        <x:v>Jouable validé</x:v>
      </x:c>
      <x:c r="K5" s="112" t="str">
        <x:v>Limite</x:v>
      </x:c>
    </x:row>
    <x:row r="6" ht="96" customHeight="1">
      <x:c r="A6" s="16" t="str">
        <x:v>EXT-MONDE-T001-V01</x:v>
      </x:c>
      <x:c r="B6" s="16" t="str">
        <x:v>EXT-MONDE-T001</x:v>
      </x:c>
      <x:c r="C6" s="16" t="str">
        <x:v>Lacs</x:v>
      </x:c>
      <x:c r="D6" s="16" t="str">
        <x:v>Base nautique lacustre</x:v>
      </x:c>
      <x:c r="E6" s="16" t="n">
        <x:v>1</x:v>
      </x:c>
      <x:c r="F6" s="16" t="str">
        <x:v>Inspection physique</x:v>
      </x:c>
      <x:c r="G6" s="16" t="str">
        <x:v>1 niveaux ; 26 pièces ; 198 segments de mur ; 0 transitions. Inspection physique ; architecture complète encore ouverte.</x:v>
      </x:c>
      <x:c r="H6" s="16" t="str">
        <x:v>L 242 ; l 200 ; hauteur 5,4 m ; choix de composition auteur ; dimensions réelles à documenter</x:v>
      </x:c>
      <x:c r="I6" s="16" t="str">
        <x:v>À équilibrer</x:v>
      </x:c>
      <x:c r="J6" s="16" t="str">
        <x:v>Non</x:v>
      </x:c>
      <x:c r="K6" s="16" t="str">
        <x:v>Pièces décrites, murs, portes, niveaux et mobilier inspectables à l’échelle. Volumes réservés, raccord au seed, butin, rencontres et services de campagne restent à terminer.</x:v>
      </x:c>
    </x:row>
    <x:row r="7" ht="96" customHeight="1">
      <x:c r="A7" s="16" t="str">
        <x:v>EXT-MONDE-T001-V02</x:v>
      </x:c>
      <x:c r="B7" s="16" t="str">
        <x:v>EXT-MONDE-T001</x:v>
      </x:c>
      <x:c r="C7" s="16" t="str">
        <x:v>Lacs</x:v>
      </x:c>
      <x:c r="D7" s="16" t="str">
        <x:v>Base nautique lacustre</x:v>
      </x:c>
      <x:c r="E7" s="16" t="n">
        <x:v>2</x:v>
      </x:c>
      <x:c r="F7" s="16" t="str">
        <x:v>Inspection physique</x:v>
      </x:c>
      <x:c r="G7" s="16" t="str">
        <x:v>1 niveaux ; 26 pièces ; 198 segments de mur ; 0 transitions. Inspection physique ; architecture complète encore ouverte.</x:v>
      </x:c>
      <x:c r="H7" s="16" t="str">
        <x:v>L 242 ; l 200 ; hauteur 5,4 m ; choix de composition auteur ; dimensions réelles à documenter</x:v>
      </x:c>
      <x:c r="I7" s="16" t="str">
        <x:v>À équilibrer</x:v>
      </x:c>
      <x:c r="J7" s="16" t="str">
        <x:v>Non</x:v>
      </x:c>
      <x:c r="K7" s="16" t="str">
        <x:v>Pièces décrites, murs, portes, niveaux et mobilier inspectables à l’échelle. Volumes réservés, raccord au seed, butin, rencontres et services de campagne restent à terminer.</x:v>
      </x:c>
    </x:row>
    <x:row r="8" ht="96" customHeight="1">
      <x:c r="A8" s="16" t="str">
        <x:v>EXT-MONDE-T001-V03</x:v>
      </x:c>
      <x:c r="B8" s="16" t="str">
        <x:v>EXT-MONDE-T001</x:v>
      </x:c>
      <x:c r="C8" s="16" t="str">
        <x:v>Lacs</x:v>
      </x:c>
      <x:c r="D8" s="16" t="str">
        <x:v>Base nautique lacustre</x:v>
      </x:c>
      <x:c r="E8" s="16" t="n">
        <x:v>3</x:v>
      </x:c>
      <x:c r="F8" s="16" t="str">
        <x:v>Inspection physique</x:v>
      </x:c>
      <x:c r="G8" s="16" t="str">
        <x:v>1 niveaux ; 26 pièces ; 198 segments de mur ; 0 transitions. Inspection physique ; architecture complète encore ouverte.</x:v>
      </x:c>
      <x:c r="H8" s="16" t="str">
        <x:v>L 242 ; l 200 ; hauteur 5,4 m ; choix de composition auteur ; dimensions réelles à documenter</x:v>
      </x:c>
      <x:c r="I8" s="16" t="str">
        <x:v>À équilibrer</x:v>
      </x:c>
      <x:c r="J8" s="16" t="str">
        <x:v>Non</x:v>
      </x:c>
      <x:c r="K8" s="16" t="str">
        <x:v>Pièces décrites, murs, portes, niveaux et mobilier inspectables à l’échelle. Volumes réservés, raccord au seed, butin, rencontres et services de campagne restent à terminer.</x:v>
      </x:c>
    </x:row>
    <x:row r="9" ht="96" customHeight="1">
      <x:c r="A9" s="16" t="str">
        <x:v>EXT-MONDE-T001-V04</x:v>
      </x:c>
      <x:c r="B9" s="16" t="str">
        <x:v>EXT-MONDE-T001</x:v>
      </x:c>
      <x:c r="C9" s="16" t="str">
        <x:v>Lacs</x:v>
      </x:c>
      <x:c r="D9" s="16" t="str">
        <x:v>Base nautique lacustre</x:v>
      </x:c>
      <x:c r="E9" s="16" t="n">
        <x:v>4</x:v>
      </x:c>
      <x:c r="F9" s="16" t="str">
        <x:v>Inspection physique</x:v>
      </x:c>
      <x:c r="G9" s="16" t="str">
        <x:v>1 niveaux ; 26 pièces ; 198 segments de mur ; 0 transitions. Inspection physique ; architecture complète encore ouverte.</x:v>
      </x:c>
      <x:c r="H9" s="16" t="str">
        <x:v>L 242 ; l 200 ; hauteur 5,4 m ; choix de composition auteur ; dimensions réelles à documenter</x:v>
      </x:c>
      <x:c r="I9" s="16" t="str">
        <x:v>À équilibrer</x:v>
      </x:c>
      <x:c r="J9" s="16" t="str">
        <x:v>Non</x:v>
      </x:c>
      <x:c r="K9" s="16" t="str">
        <x:v>Pièces décrites, murs, portes, niveaux et mobilier inspectables à l’échelle. Volumes réservés, raccord au seed, butin, rencontres et services de campagne restent à terminer.</x:v>
      </x:c>
    </x:row>
    <x:row r="10" ht="96" customHeight="1">
      <x:c r="A10" s="16" t="str">
        <x:v>EXT-MONDE-T001-V05</x:v>
      </x:c>
      <x:c r="B10" s="16" t="str">
        <x:v>EXT-MONDE-T001</x:v>
      </x:c>
      <x:c r="C10" s="16" t="str">
        <x:v>Lacs</x:v>
      </x:c>
      <x:c r="D10" s="16" t="str">
        <x:v>Base nautique lacustre</x:v>
      </x:c>
      <x:c r="E10" s="16" t="n">
        <x:v>5</x:v>
      </x:c>
      <x:c r="F10" s="16" t="str">
        <x:v>Inspection physique</x:v>
      </x:c>
      <x:c r="G10" s="16" t="str">
        <x:v>1 niveaux ; 26 pièces ; 198 segments de mur ; 0 transitions. Inspection physique ; architecture complète encore ouverte.</x:v>
      </x:c>
      <x:c r="H10" s="16" t="str">
        <x:v>L 242 ; l 200 ; hauteur 5,4 m ; choix de composition auteur ; dimensions réelles à documenter</x:v>
      </x:c>
      <x:c r="I10" s="16" t="str">
        <x:v>À équilibrer</x:v>
      </x:c>
      <x:c r="J10" s="16" t="str">
        <x:v>Non</x:v>
      </x:c>
      <x:c r="K10" s="16" t="str">
        <x:v>Pièces décrites, murs, portes, niveaux et mobilier inspectables à l’échelle. Volumes réservés, raccord au seed, butin, rencontres et services de campagne restent à terminer.</x:v>
      </x:c>
    </x:row>
    <x:row r="11" ht="96" customHeight="1">
      <x:c r="A11" s="16" t="str">
        <x:v>EXT-MONDE-T001-V06</x:v>
      </x:c>
      <x:c r="B11" s="16" t="str">
        <x:v>EXT-MONDE-T001</x:v>
      </x:c>
      <x:c r="C11" s="16" t="str">
        <x:v>Lacs</x:v>
      </x:c>
      <x:c r="D11" s="16" t="str">
        <x:v>Base nautique lacustre</x:v>
      </x:c>
      <x:c r="E11" s="16" t="n">
        <x:v>6</x:v>
      </x:c>
      <x:c r="F11" s="16" t="str">
        <x:v>Inspection physique</x:v>
      </x:c>
      <x:c r="G11" s="16" t="str">
        <x:v>1 niveaux ; 26 pièces ; 198 segments de mur ; 0 transitions. Inspection physique ; architecture complète encore ouverte.</x:v>
      </x:c>
      <x:c r="H11" s="16" t="str">
        <x:v>L 242 ; l 200 ; hauteur 5,4 m ; choix de composition auteur ; dimensions réelles à documenter</x:v>
      </x:c>
      <x:c r="I11" s="16" t="str">
        <x:v>À équilibrer</x:v>
      </x:c>
      <x:c r="J11" s="16" t="str">
        <x:v>Non</x:v>
      </x:c>
      <x:c r="K11" s="16" t="str">
        <x:v>Pièces décrites, murs, portes, niveaux et mobilier inspectables à l’échelle. Volumes réservés, raccord au seed, butin, rencontres et services de campagne restent à terminer.</x:v>
      </x:c>
    </x:row>
    <x:row r="12" ht="96" customHeight="1">
      <x:c r="A12" s="16" t="str">
        <x:v>EXT-MONDE-T001-V07</x:v>
      </x:c>
      <x:c r="B12" s="16" t="str">
        <x:v>EXT-MONDE-T001</x:v>
      </x:c>
      <x:c r="C12" s="16" t="str">
        <x:v>Lacs</x:v>
      </x:c>
      <x:c r="D12" s="16" t="str">
        <x:v>Base nautique lacustre</x:v>
      </x:c>
      <x:c r="E12" s="16" t="n">
        <x:v>7</x:v>
      </x:c>
      <x:c r="F12" s="16" t="str">
        <x:v>Inspection physique</x:v>
      </x:c>
      <x:c r="G12" s="16" t="str">
        <x:v>1 niveaux ; 26 pièces ; 198 segments de mur ; 0 transitions. Inspection physique ; architecture complète encore ouverte.</x:v>
      </x:c>
      <x:c r="H12" s="16" t="str">
        <x:v>L 242 ; l 200 ; hauteur 5,4 m ; choix de composition auteur ; dimensions réelles à documenter</x:v>
      </x:c>
      <x:c r="I12" s="16" t="str">
        <x:v>À équilibrer</x:v>
      </x:c>
      <x:c r="J12" s="16" t="str">
        <x:v>Non</x:v>
      </x:c>
      <x:c r="K12" s="16" t="str">
        <x:v>Pièces décrites, murs, portes, niveaux et mobilier inspectables à l’échelle. Volumes réservés, raccord au seed, butin, rencontres et services de campagne restent à terminer.</x:v>
      </x:c>
    </x:row>
    <x:row r="13" ht="96" customHeight="1">
      <x:c r="A13" s="16" t="str">
        <x:v>EXT-MONDE-T001-V08</x:v>
      </x:c>
      <x:c r="B13" s="16" t="str">
        <x:v>EXT-MONDE-T001</x:v>
      </x:c>
      <x:c r="C13" s="16" t="str">
        <x:v>Lacs</x:v>
      </x:c>
      <x:c r="D13" s="16" t="str">
        <x:v>Base nautique lacustre</x:v>
      </x:c>
      <x:c r="E13" s="16" t="n">
        <x:v>8</x:v>
      </x:c>
      <x:c r="F13" s="16" t="str">
        <x:v>Inspection physique</x:v>
      </x:c>
      <x:c r="G13" s="16" t="str">
        <x:v>1 niveaux ; 26 pièces ; 198 segments de mur ; 0 transitions. Inspection physique ; architecture complète encore ouverte.</x:v>
      </x:c>
      <x:c r="H13" s="16" t="str">
        <x:v>L 242 ; l 200 ; hauteur 5,4 m ; choix de composition auteur ; dimensions réelles à documenter</x:v>
      </x:c>
      <x:c r="I13" s="16" t="str">
        <x:v>À équilibrer</x:v>
      </x:c>
      <x:c r="J13" s="16" t="str">
        <x:v>Non</x:v>
      </x:c>
      <x:c r="K13" s="16" t="str">
        <x:v>Pièces décrites, murs, portes, niveaux et mobilier inspectables à l’échelle. Volumes réservés, raccord au seed, butin, rencontres et services de campagne restent à terminer.</x:v>
      </x:c>
    </x:row>
    <x:row r="14" ht="96" customHeight="1">
      <x:c r="A14" s="16" t="str">
        <x:v>EXT-MONDE-T001-V09</x:v>
      </x:c>
      <x:c r="B14" s="16" t="str">
        <x:v>EXT-MONDE-T001</x:v>
      </x:c>
      <x:c r="C14" s="16" t="str">
        <x:v>Lacs</x:v>
      </x:c>
      <x:c r="D14" s="16" t="str">
        <x:v>Base nautique lacustre</x:v>
      </x:c>
      <x:c r="E14" s="16" t="n">
        <x:v>9</x:v>
      </x:c>
      <x:c r="F14" s="16" t="str">
        <x:v>Inspection physique</x:v>
      </x:c>
      <x:c r="G14" s="16" t="str">
        <x:v>1 niveaux ; 26 pièces ; 198 segments de mur ; 0 transitions. Inspection physique ; architecture complète encore ouverte.</x:v>
      </x:c>
      <x:c r="H14" s="16" t="str">
        <x:v>L 242 ; l 200 ; hauteur 5,4 m ; choix de composition auteur ; dimensions réelles à documenter</x:v>
      </x:c>
      <x:c r="I14" s="16" t="str">
        <x:v>À équilibrer</x:v>
      </x:c>
      <x:c r="J14" s="16" t="str">
        <x:v>Non</x:v>
      </x:c>
      <x:c r="K14" s="16" t="str">
        <x:v>Pièces décrites, murs, portes, niveaux et mobilier inspectables à l’échelle. Volumes réservés, raccord au seed, butin, rencontres et services de campagne restent à terminer.</x:v>
      </x:c>
    </x:row>
    <x:row r="15" ht="96" customHeight="1">
      <x:c r="A15" s="16" t="str">
        <x:v>EXT-MONDE-T001-V10</x:v>
      </x:c>
      <x:c r="B15" s="16" t="str">
        <x:v>EXT-MONDE-T001</x:v>
      </x:c>
      <x:c r="C15" s="16" t="str">
        <x:v>Lacs</x:v>
      </x:c>
      <x:c r="D15" s="16" t="str">
        <x:v>Base nautique lacustre</x:v>
      </x:c>
      <x:c r="E15" s="16" t="n">
        <x:v>10</x:v>
      </x:c>
      <x:c r="F15" s="16" t="str">
        <x:v>Inspection physique</x:v>
      </x:c>
      <x:c r="G15" s="16" t="str">
        <x:v>1 niveaux ; 26 pièces ; 198 segments de mur ; 0 transitions. Inspection physique ; architecture complète encore ouverte.</x:v>
      </x:c>
      <x:c r="H15" s="16" t="str">
        <x:v>L 242 ; l 200 ; hauteur 5,4 m ; choix de composition auteur ; dimensions réelles à documenter</x:v>
      </x:c>
      <x:c r="I15" s="16" t="str">
        <x:v>À équilibrer</x:v>
      </x:c>
      <x:c r="J15" s="16" t="str">
        <x:v>Non</x:v>
      </x:c>
      <x:c r="K15" s="16" t="str">
        <x:v>Pièces décrites, murs, portes, niveaux et mobilier inspectables à l’échelle. Volumes réservés, raccord au seed, butin, rencontres et services de campagne restent à terminer.</x:v>
      </x:c>
    </x:row>
    <x:row r="16" ht="96" customHeight="1">
      <x:c r="A16" s="16" t="str">
        <x:v>EXT-MONDE-T001-V11</x:v>
      </x:c>
      <x:c r="B16" s="16" t="str">
        <x:v>EXT-MONDE-T001</x:v>
      </x:c>
      <x:c r="C16" s="16" t="str">
        <x:v>Lacs</x:v>
      </x:c>
      <x:c r="D16" s="16" t="str">
        <x:v>Base nautique lacustre</x:v>
      </x:c>
      <x:c r="E16" s="16" t="n">
        <x:v>11</x:v>
      </x:c>
      <x:c r="F16" s="16" t="str">
        <x:v>Inspection physique</x:v>
      </x:c>
      <x:c r="G16" s="16" t="str">
        <x:v>1 niveaux ; 26 pièces ; 198 segments de mur ; 0 transitions. Inspection physique ; architecture complète encore ouverte.</x:v>
      </x:c>
      <x:c r="H16" s="16" t="str">
        <x:v>L 256 ; l 216 ; hauteur 5,55 m ; choix de composition auteur ; dimensions réelles à documenter</x:v>
      </x:c>
      <x:c r="I16" s="16" t="str">
        <x:v>À équilibrer</x:v>
      </x:c>
      <x:c r="J16" s="16" t="str">
        <x:v>Non</x:v>
      </x:c>
      <x:c r="K16" s="16" t="str">
        <x:v>Pièces décrites, murs, portes, niveaux et mobilier inspectables à l’échelle. Volumes réservés, raccord au seed, butin, rencontres et services de campagne restent à terminer.</x:v>
      </x:c>
    </x:row>
    <x:row r="17" ht="96" customHeight="1">
      <x:c r="A17" s="16" t="str">
        <x:v>EXT-MONDE-T001-V12</x:v>
      </x:c>
      <x:c r="B17" s="16" t="str">
        <x:v>EXT-MONDE-T001</x:v>
      </x:c>
      <x:c r="C17" s="16" t="str">
        <x:v>Lacs</x:v>
      </x:c>
      <x:c r="D17" s="16" t="str">
        <x:v>Base nautique lacustre</x:v>
      </x:c>
      <x:c r="E17" s="16" t="n">
        <x:v>12</x:v>
      </x:c>
      <x:c r="F17" s="16" t="str">
        <x:v>Inspection physique</x:v>
      </x:c>
      <x:c r="G17" s="16" t="str">
        <x:v>1 niveaux ; 26 pièces ; 198 segments de mur ; 0 transitions. Inspection physique ; architecture complète encore ouverte.</x:v>
      </x:c>
      <x:c r="H17" s="16" t="str">
        <x:v>L 256 ; l 216 ; hauteur 5,55 m ; choix de composition auteur ; dimensions réelles à documenter</x:v>
      </x:c>
      <x:c r="I17" s="16" t="str">
        <x:v>À équilibrer</x:v>
      </x:c>
      <x:c r="J17" s="16" t="str">
        <x:v>Non</x:v>
      </x:c>
      <x:c r="K17" s="16" t="str">
        <x:v>Pièces décrites, murs, portes, niveaux et mobilier inspectables à l’échelle. Volumes réservés, raccord au seed, butin, rencontres et services de campagne restent à terminer.</x:v>
      </x:c>
    </x:row>
    <x:row r="18" ht="96" customHeight="1">
      <x:c r="A18" s="16" t="str">
        <x:v>EXT-MONDE-T001-V13</x:v>
      </x:c>
      <x:c r="B18" s="16" t="str">
        <x:v>EXT-MONDE-T001</x:v>
      </x:c>
      <x:c r="C18" s="16" t="str">
        <x:v>Lacs</x:v>
      </x:c>
      <x:c r="D18" s="16" t="str">
        <x:v>Base nautique lacustre</x:v>
      </x:c>
      <x:c r="E18" s="16" t="n">
        <x:v>13</x:v>
      </x:c>
      <x:c r="F18" s="16" t="str">
        <x:v>Inspection physique</x:v>
      </x:c>
      <x:c r="G18" s="16" t="str">
        <x:v>1 niveaux ; 26 pièces ; 198 segments de mur ; 0 transitions. Inspection physique ; architecture complète encore ouverte.</x:v>
      </x:c>
      <x:c r="H18" s="16" t="str">
        <x:v>L 256 ; l 216 ; hauteur 5,55 m ; choix de composition auteur ; dimensions réelles à documenter</x:v>
      </x:c>
      <x:c r="I18" s="16" t="str">
        <x:v>À équilibrer</x:v>
      </x:c>
      <x:c r="J18" s="16" t="str">
        <x:v>Non</x:v>
      </x:c>
      <x:c r="K18" s="16" t="str">
        <x:v>Pièces décrites, murs, portes, niveaux et mobilier inspectables à l’échelle. Volumes réservés, raccord au seed, butin, rencontres et services de campagne restent à terminer.</x:v>
      </x:c>
    </x:row>
    <x:row r="19" ht="96" customHeight="1">
      <x:c r="A19" s="16" t="str">
        <x:v>EXT-MONDE-T001-V14</x:v>
      </x:c>
      <x:c r="B19" s="16" t="str">
        <x:v>EXT-MONDE-T001</x:v>
      </x:c>
      <x:c r="C19" s="16" t="str">
        <x:v>Lacs</x:v>
      </x:c>
      <x:c r="D19" s="16" t="str">
        <x:v>Base nautique lacustre</x:v>
      </x:c>
      <x:c r="E19" s="16" t="n">
        <x:v>14</x:v>
      </x:c>
      <x:c r="F19" s="16" t="str">
        <x:v>Inspection physique</x:v>
      </x:c>
      <x:c r="G19" s="16" t="str">
        <x:v>1 niveaux ; 26 pièces ; 198 segments de mur ; 0 transitions. Inspection physique ; architecture complète encore ouverte.</x:v>
      </x:c>
      <x:c r="H19" s="16" t="str">
        <x:v>L 256 ; l 216 ; hauteur 5,55 m ; choix de composition auteur ; dimensions réelles à documenter</x:v>
      </x:c>
      <x:c r="I19" s="16" t="str">
        <x:v>À équilibrer</x:v>
      </x:c>
      <x:c r="J19" s="16" t="str">
        <x:v>Non</x:v>
      </x:c>
      <x:c r="K19" s="16" t="str">
        <x:v>Pièces décrites, murs, portes, niveaux et mobilier inspectables à l’échelle. Volumes réservés, raccord au seed, butin, rencontres et services de campagne restent à terminer.</x:v>
      </x:c>
    </x:row>
    <x:row r="20" ht="96" customHeight="1">
      <x:c r="A20" s="16" t="str">
        <x:v>EXT-MONDE-T001-V15</x:v>
      </x:c>
      <x:c r="B20" s="16" t="str">
        <x:v>EXT-MONDE-T001</x:v>
      </x:c>
      <x:c r="C20" s="16" t="str">
        <x:v>Lacs</x:v>
      </x:c>
      <x:c r="D20" s="16" t="str">
        <x:v>Base nautique lacustre</x:v>
      </x:c>
      <x:c r="E20" s="16" t="n">
        <x:v>15</x:v>
      </x:c>
      <x:c r="F20" s="16" t="str">
        <x:v>Inspection physique</x:v>
      </x:c>
      <x:c r="G20" s="16" t="str">
        <x:v>1 niveaux ; 26 pièces ; 198 segments de mur ; 0 transitions. Inspection physique ; architecture complète encore ouverte.</x:v>
      </x:c>
      <x:c r="H20" s="16" t="str">
        <x:v>L 256 ; l 216 ; hauteur 5,55 m ; choix de composition auteur ; dimensions réelles à documenter</x:v>
      </x:c>
      <x:c r="I20" s="16" t="str">
        <x:v>À équilibrer</x:v>
      </x:c>
      <x:c r="J20" s="16" t="str">
        <x:v>Non</x:v>
      </x:c>
      <x:c r="K20" s="16" t="str">
        <x:v>Pièces décrites, murs, portes, niveaux et mobilier inspectables à l’échelle. Volumes réservés, raccord au seed, butin, rencontres et services de campagne restent à terminer.</x:v>
      </x:c>
    </x:row>
    <x:row r="21" ht="96" customHeight="1">
      <x:c r="A21" s="16" t="str">
        <x:v>EXT-MONDE-T001-V16</x:v>
      </x:c>
      <x:c r="B21" s="16" t="str">
        <x:v>EXT-MONDE-T001</x:v>
      </x:c>
      <x:c r="C21" s="16" t="str">
        <x:v>Lacs</x:v>
      </x:c>
      <x:c r="D21" s="16" t="str">
        <x:v>Base nautique lacustre</x:v>
      </x:c>
      <x:c r="E21" s="16" t="n">
        <x:v>16</x:v>
      </x:c>
      <x:c r="F21" s="16" t="str">
        <x:v>Inspection physique</x:v>
      </x:c>
      <x:c r="G21" s="16" t="str">
        <x:v>1 niveaux ; 26 pièces ; 198 segments de mur ; 0 transitions. Inspection physique ; architecture complète encore ouverte.</x:v>
      </x:c>
      <x:c r="H21" s="16" t="str">
        <x:v>L 256 ; l 216 ; hauteur 5,55 m ; choix de composition auteur ; dimensions réelles à documenter</x:v>
      </x:c>
      <x:c r="I21" s="16" t="str">
        <x:v>À équilibrer</x:v>
      </x:c>
      <x:c r="J21" s="16" t="str">
        <x:v>Non</x:v>
      </x:c>
      <x:c r="K21" s="16" t="str">
        <x:v>Pièces décrites, murs, portes, niveaux et mobilier inspectables à l’échelle. Volumes réservés, raccord au seed, butin, rencontres et services de campagne restent à terminer.</x:v>
      </x:c>
    </x:row>
    <x:row r="22" ht="96" customHeight="1">
      <x:c r="A22" s="16" t="str">
        <x:v>EXT-MONDE-T001-V17</x:v>
      </x:c>
      <x:c r="B22" s="16" t="str">
        <x:v>EXT-MONDE-T001</x:v>
      </x:c>
      <x:c r="C22" s="16" t="str">
        <x:v>Lacs</x:v>
      </x:c>
      <x:c r="D22" s="16" t="str">
        <x:v>Base nautique lacustre</x:v>
      </x:c>
      <x:c r="E22" s="16" t="n">
        <x:v>17</x:v>
      </x:c>
      <x:c r="F22" s="16" t="str">
        <x:v>Inspection physique</x:v>
      </x:c>
      <x:c r="G22" s="16" t="str">
        <x:v>1 niveaux ; 26 pièces ; 198 segments de mur ; 0 transitions. Inspection physique ; architecture complète encore ouverte.</x:v>
      </x:c>
      <x:c r="H22" s="16" t="str">
        <x:v>L 256 ; l 216 ; hauteur 5,55 m ; choix de composition auteur ; dimensions réelles à documenter</x:v>
      </x:c>
      <x:c r="I22" s="16" t="str">
        <x:v>À équilibrer</x:v>
      </x:c>
      <x:c r="J22" s="16" t="str">
        <x:v>Non</x:v>
      </x:c>
      <x:c r="K22" s="16" t="str">
        <x:v>Pièces décrites, murs, portes, niveaux et mobilier inspectables à l’échelle. Volumes réservés, raccord au seed, butin, rencontres et services de campagne restent à terminer.</x:v>
      </x:c>
    </x:row>
    <x:row r="23" ht="96" customHeight="1">
      <x:c r="A23" s="16" t="str">
        <x:v>EXT-MONDE-T001-V18</x:v>
      </x:c>
      <x:c r="B23" s="16" t="str">
        <x:v>EXT-MONDE-T001</x:v>
      </x:c>
      <x:c r="C23" s="16" t="str">
        <x:v>Lacs</x:v>
      </x:c>
      <x:c r="D23" s="16" t="str">
        <x:v>Base nautique lacustre</x:v>
      </x:c>
      <x:c r="E23" s="16" t="n">
        <x:v>18</x:v>
      </x:c>
      <x:c r="F23" s="16" t="str">
        <x:v>Inspection physique</x:v>
      </x:c>
      <x:c r="G23" s="16" t="str">
        <x:v>1 niveaux ; 26 pièces ; 198 segments de mur ; 0 transitions. Inspection physique ; architecture complète encore ouverte.</x:v>
      </x:c>
      <x:c r="H23" s="16" t="str">
        <x:v>L 256 ; l 216 ; hauteur 5,55 m ; choix de composition auteur ; dimensions réelles à documenter</x:v>
      </x:c>
      <x:c r="I23" s="16" t="str">
        <x:v>À équilibrer</x:v>
      </x:c>
      <x:c r="J23" s="16" t="str">
        <x:v>Non</x:v>
      </x:c>
      <x:c r="K23" s="16" t="str">
        <x:v>Pièces décrites, murs, portes, niveaux et mobilier inspectables à l’échelle. Volumes réservés, raccord au seed, butin, rencontres et services de campagne restent à terminer.</x:v>
      </x:c>
    </x:row>
    <x:row r="24" ht="96" customHeight="1">
      <x:c r="A24" s="16" t="str">
        <x:v>EXT-MONDE-T001-V19</x:v>
      </x:c>
      <x:c r="B24" s="16" t="str">
        <x:v>EXT-MONDE-T001</x:v>
      </x:c>
      <x:c r="C24" s="16" t="str">
        <x:v>Lacs</x:v>
      </x:c>
      <x:c r="D24" s="16" t="str">
        <x:v>Base nautique lacustre</x:v>
      </x:c>
      <x:c r="E24" s="16" t="n">
        <x:v>19</x:v>
      </x:c>
      <x:c r="F24" s="16" t="str">
        <x:v>Inspection physique</x:v>
      </x:c>
      <x:c r="G24" s="16" t="str">
        <x:v>1 niveaux ; 26 pièces ; 198 segments de mur ; 0 transitions. Inspection physique ; architecture complète encore ouverte.</x:v>
      </x:c>
      <x:c r="H24" s="16" t="str">
        <x:v>L 256 ; l 216 ; hauteur 5,55 m ; choix de composition auteur ; dimensions réelles à documenter</x:v>
      </x:c>
      <x:c r="I24" s="16" t="str">
        <x:v>À équilibrer</x:v>
      </x:c>
      <x:c r="J24" s="16" t="str">
        <x:v>Non</x:v>
      </x:c>
      <x:c r="K24" s="16" t="str">
        <x:v>Pièces décrites, murs, portes, niveaux et mobilier inspectables à l’échelle. Volumes réservés, raccord au seed, butin, rencontres et services de campagne restent à terminer.</x:v>
      </x:c>
    </x:row>
    <x:row r="25" ht="96" customHeight="1">
      <x:c r="A25" s="16" t="str">
        <x:v>EXT-MONDE-T001-V20</x:v>
      </x:c>
      <x:c r="B25" s="16" t="str">
        <x:v>EXT-MONDE-T001</x:v>
      </x:c>
      <x:c r="C25" s="16" t="str">
        <x:v>Lacs</x:v>
      </x:c>
      <x:c r="D25" s="16" t="str">
        <x:v>Base nautique lacustre</x:v>
      </x:c>
      <x:c r="E25" s="16" t="n">
        <x:v>20</x:v>
      </x:c>
      <x:c r="F25" s="16" t="str">
        <x:v>Inspection physique</x:v>
      </x:c>
      <x:c r="G25" s="16" t="str">
        <x:v>1 niveaux ; 26 pièces ; 198 segments de mur ; 0 transitions. Inspection physique ; architecture complète encore ouverte.</x:v>
      </x:c>
      <x:c r="H25" s="16" t="str">
        <x:v>L 256 ; l 216 ; hauteur 5,55 m ; choix de composition auteur ; dimensions réelles à documenter</x:v>
      </x:c>
      <x:c r="I25" s="16" t="str">
        <x:v>À équilibrer</x:v>
      </x:c>
      <x:c r="J25" s="16" t="str">
        <x:v>Non</x:v>
      </x:c>
      <x:c r="K25" s="16" t="str">
        <x:v>Pièces décrites, murs, portes, niveaux et mobilier inspectables à l’échelle. Volumes réservés, raccord au seed, butin, rencontres et services de campagne restent à terminer.</x:v>
      </x:c>
    </x:row>
    <x:row r="26" ht="96" customHeight="1">
      <x:c r="A26" s="16" t="str">
        <x:v>EXT-MONDE-T001-V21</x:v>
      </x:c>
      <x:c r="B26" s="16" t="str">
        <x:v>EXT-MONDE-T001</x:v>
      </x:c>
      <x:c r="C26" s="16" t="str">
        <x:v>Lacs</x:v>
      </x:c>
      <x:c r="D26" s="16" t="str">
        <x:v>Base nautique lacustre</x:v>
      </x:c>
      <x:c r="E26" s="16" t="n">
        <x:v>21</x:v>
      </x:c>
      <x:c r="F26" s="16" t="str">
        <x:v>Inspection physique</x:v>
      </x:c>
      <x:c r="G26" s="16" t="str">
        <x:v>1 niveaux ; 26 pièces ; 198 segments de mur ; 0 transitions. Inspection physique ; architecture complète encore ouverte.</x:v>
      </x:c>
      <x:c r="H26" s="16" t="str">
        <x:v>L 270 ; l 232 ; hauteur 5,7 m ; choix de composition auteur ; dimensions réelles à documenter</x:v>
      </x:c>
      <x:c r="I26" s="16" t="str">
        <x:v>À équilibrer</x:v>
      </x:c>
      <x:c r="J26" s="16" t="str">
        <x:v>Non</x:v>
      </x:c>
      <x:c r="K26" s="16" t="str">
        <x:v>Pièces décrites, murs, portes, niveaux et mobilier inspectables à l’échelle. Volumes réservés, raccord au seed, butin, rencontres et services de campagne restent à terminer.</x:v>
      </x:c>
    </x:row>
    <x:row r="27" ht="96" customHeight="1">
      <x:c r="A27" s="16" t="str">
        <x:v>EXT-MONDE-T001-V22</x:v>
      </x:c>
      <x:c r="B27" s="16" t="str">
        <x:v>EXT-MONDE-T001</x:v>
      </x:c>
      <x:c r="C27" s="16" t="str">
        <x:v>Lacs</x:v>
      </x:c>
      <x:c r="D27" s="16" t="str">
        <x:v>Base nautique lacustre</x:v>
      </x:c>
      <x:c r="E27" s="16" t="n">
        <x:v>22</x:v>
      </x:c>
      <x:c r="F27" s="16" t="str">
        <x:v>Inspection physique</x:v>
      </x:c>
      <x:c r="G27" s="16" t="str">
        <x:v>1 niveaux ; 26 pièces ; 198 segments de mur ; 0 transitions. Inspection physique ; architecture complète encore ouverte.</x:v>
      </x:c>
      <x:c r="H27" s="16" t="str">
        <x:v>L 270 ; l 232 ; hauteur 5,7 m ; choix de composition auteur ; dimensions réelles à documenter</x:v>
      </x:c>
      <x:c r="I27" s="16" t="str">
        <x:v>À équilibrer</x:v>
      </x:c>
      <x:c r="J27" s="16" t="str">
        <x:v>Non</x:v>
      </x:c>
      <x:c r="K27" s="16" t="str">
        <x:v>Pièces décrites, murs, portes, niveaux et mobilier inspectables à l’échelle. Volumes réservés, raccord au seed, butin, rencontres et services de campagne restent à terminer.</x:v>
      </x:c>
    </x:row>
    <x:row r="28" ht="96" customHeight="1">
      <x:c r="A28" s="16" t="str">
        <x:v>EXT-MONDE-T001-V23</x:v>
      </x:c>
      <x:c r="B28" s="16" t="str">
        <x:v>EXT-MONDE-T001</x:v>
      </x:c>
      <x:c r="C28" s="16" t="str">
        <x:v>Lacs</x:v>
      </x:c>
      <x:c r="D28" s="16" t="str">
        <x:v>Base nautique lacustre</x:v>
      </x:c>
      <x:c r="E28" s="16" t="n">
        <x:v>23</x:v>
      </x:c>
      <x:c r="F28" s="16" t="str">
        <x:v>Inspection physique</x:v>
      </x:c>
      <x:c r="G28" s="16" t="str">
        <x:v>1 niveaux ; 26 pièces ; 198 segments de mur ; 0 transitions. Inspection physique ; architecture complète encore ouverte.</x:v>
      </x:c>
      <x:c r="H28" s="16" t="str">
        <x:v>L 270 ; l 232 ; hauteur 5,7 m ; choix de composition auteur ; dimensions réelles à documenter</x:v>
      </x:c>
      <x:c r="I28" s="16" t="str">
        <x:v>À équilibrer</x:v>
      </x:c>
      <x:c r="J28" s="16" t="str">
        <x:v>Non</x:v>
      </x:c>
      <x:c r="K28" s="16" t="str">
        <x:v>Pièces décrites, murs, portes, niveaux et mobilier inspectables à l’échelle. Volumes réservés, raccord au seed, butin, rencontres et services de campagne restent à terminer.</x:v>
      </x:c>
    </x:row>
    <x:row r="29" ht="96" customHeight="1">
      <x:c r="A29" s="16" t="str">
        <x:v>EXT-MONDE-T001-V24</x:v>
      </x:c>
      <x:c r="B29" s="16" t="str">
        <x:v>EXT-MONDE-T001</x:v>
      </x:c>
      <x:c r="C29" s="16" t="str">
        <x:v>Lacs</x:v>
      </x:c>
      <x:c r="D29" s="16" t="str">
        <x:v>Base nautique lacustre</x:v>
      </x:c>
      <x:c r="E29" s="16" t="n">
        <x:v>24</x:v>
      </x:c>
      <x:c r="F29" s="16" t="str">
        <x:v>Inspection physique</x:v>
      </x:c>
      <x:c r="G29" s="16" t="str">
        <x:v>1 niveaux ; 26 pièces ; 198 segments de mur ; 0 transitions. Inspection physique ; architecture complète encore ouverte.</x:v>
      </x:c>
      <x:c r="H29" s="16" t="str">
        <x:v>L 270 ; l 232 ; hauteur 5,7 m ; choix de composition auteur ; dimensions réelles à documenter</x:v>
      </x:c>
      <x:c r="I29" s="16" t="str">
        <x:v>À équilibrer</x:v>
      </x:c>
      <x:c r="J29" s="16" t="str">
        <x:v>Non</x:v>
      </x:c>
      <x:c r="K29" s="16" t="str">
        <x:v>Pièces décrites, murs, portes, niveaux et mobilier inspectables à l’échelle. Volumes réservés, raccord au seed, butin, rencontres et services de campagne restent à terminer.</x:v>
      </x:c>
    </x:row>
    <x:row r="30" ht="96" customHeight="1">
      <x:c r="A30" s="16" t="str">
        <x:v>EXT-MONDE-T001-V25</x:v>
      </x:c>
      <x:c r="B30" s="16" t="str">
        <x:v>EXT-MONDE-T001</x:v>
      </x:c>
      <x:c r="C30" s="16" t="str">
        <x:v>Lacs</x:v>
      </x:c>
      <x:c r="D30" s="16" t="str">
        <x:v>Base nautique lacustre</x:v>
      </x:c>
      <x:c r="E30" s="16" t="n">
        <x:v>25</x:v>
      </x:c>
      <x:c r="F30" s="16" t="str">
        <x:v>Inspection physique</x:v>
      </x:c>
      <x:c r="G30" s="16" t="str">
        <x:v>1 niveaux ; 26 pièces ; 198 segments de mur ; 0 transitions. Inspection physique ; architecture complète encore ouverte.</x:v>
      </x:c>
      <x:c r="H30" s="16" t="str">
        <x:v>L 270 ; l 232 ; hauteur 5,7 m ; choix de composition auteur ; dimensions réelles à documenter</x:v>
      </x:c>
      <x:c r="I30" s="16" t="str">
        <x:v>À équilibrer</x:v>
      </x:c>
      <x:c r="J30" s="16" t="str">
        <x:v>Non</x:v>
      </x:c>
      <x:c r="K30" s="16" t="str">
        <x:v>Pièces décrites, murs, portes, niveaux et mobilier inspectables à l’échelle. Volumes réservés, raccord au seed, butin, rencontres et services de campagne restent à terminer.</x:v>
      </x:c>
    </x:row>
    <x:row r="31" ht="96" customHeight="1">
      <x:c r="A31" s="16" t="str">
        <x:v>EXT-MONDE-T001-V26</x:v>
      </x:c>
      <x:c r="B31" s="16" t="str">
        <x:v>EXT-MONDE-T001</x:v>
      </x:c>
      <x:c r="C31" s="16" t="str">
        <x:v>Lacs</x:v>
      </x:c>
      <x:c r="D31" s="16" t="str">
        <x:v>Base nautique lacustre</x:v>
      </x:c>
      <x:c r="E31" s="16" t="n">
        <x:v>26</x:v>
      </x:c>
      <x:c r="F31" s="16" t="str">
        <x:v>Inspection physique</x:v>
      </x:c>
      <x:c r="G31" s="16" t="str">
        <x:v>1 niveaux ; 26 pièces ; 198 segments de mur ; 0 transitions. Inspection physique ; architecture complète encore ouverte.</x:v>
      </x:c>
      <x:c r="H31" s="16" t="str">
        <x:v>L 270 ; l 232 ; hauteur 5,7 m ; choix de composition auteur ; dimensions réelles à documenter</x:v>
      </x:c>
      <x:c r="I31" s="16" t="str">
        <x:v>À équilibrer</x:v>
      </x:c>
      <x:c r="J31" s="16" t="str">
        <x:v>Non</x:v>
      </x:c>
      <x:c r="K31" s="16" t="str">
        <x:v>Pièces décrites, murs, portes, niveaux et mobilier inspectables à l’échelle. Volumes réservés, raccord au seed, butin, rencontres et services de campagne restent à terminer.</x:v>
      </x:c>
    </x:row>
    <x:row r="32" ht="96" customHeight="1">
      <x:c r="A32" s="16" t="str">
        <x:v>EXT-MONDE-T001-V27</x:v>
      </x:c>
      <x:c r="B32" s="16" t="str">
        <x:v>EXT-MONDE-T001</x:v>
      </x:c>
      <x:c r="C32" s="16" t="str">
        <x:v>Lacs</x:v>
      </x:c>
      <x:c r="D32" s="16" t="str">
        <x:v>Base nautique lacustre</x:v>
      </x:c>
      <x:c r="E32" s="16" t="n">
        <x:v>27</x:v>
      </x:c>
      <x:c r="F32" s="16" t="str">
        <x:v>Inspection physique</x:v>
      </x:c>
      <x:c r="G32" s="16" t="str">
        <x:v>1 niveaux ; 26 pièces ; 198 segments de mur ; 0 transitions. Inspection physique ; architecture complète encore ouverte.</x:v>
      </x:c>
      <x:c r="H32" s="16" t="str">
        <x:v>L 270 ; l 232 ; hauteur 5,7 m ; choix de composition auteur ; dimensions réelles à documenter</x:v>
      </x:c>
      <x:c r="I32" s="16" t="str">
        <x:v>À équilibrer</x:v>
      </x:c>
      <x:c r="J32" s="16" t="str">
        <x:v>Non</x:v>
      </x:c>
      <x:c r="K32" s="16" t="str">
        <x:v>Pièces décrites, murs, portes, niveaux et mobilier inspectables à l’échelle. Volumes réservés, raccord au seed, butin, rencontres et services de campagne restent à terminer.</x:v>
      </x:c>
    </x:row>
    <x:row r="33" ht="96" customHeight="1">
      <x:c r="A33" s="16" t="str">
        <x:v>EXT-MONDE-T001-V28</x:v>
      </x:c>
      <x:c r="B33" s="16" t="str">
        <x:v>EXT-MONDE-T001</x:v>
      </x:c>
      <x:c r="C33" s="16" t="str">
        <x:v>Lacs</x:v>
      </x:c>
      <x:c r="D33" s="16" t="str">
        <x:v>Base nautique lacustre</x:v>
      </x:c>
      <x:c r="E33" s="16" t="n">
        <x:v>28</x:v>
      </x:c>
      <x:c r="F33" s="16" t="str">
        <x:v>Inspection physique</x:v>
      </x:c>
      <x:c r="G33" s="16" t="str">
        <x:v>1 niveaux ; 26 pièces ; 198 segments de mur ; 0 transitions. Inspection physique ; architecture complète encore ouverte.</x:v>
      </x:c>
      <x:c r="H33" s="16" t="str">
        <x:v>L 270 ; l 232 ; hauteur 5,7 m ; choix de composition auteur ; dimensions réelles à documenter</x:v>
      </x:c>
      <x:c r="I33" s="16" t="str">
        <x:v>À équilibrer</x:v>
      </x:c>
      <x:c r="J33" s="16" t="str">
        <x:v>Non</x:v>
      </x:c>
      <x:c r="K33" s="16" t="str">
        <x:v>Pièces décrites, murs, portes, niveaux et mobilier inspectables à l’échelle. Volumes réservés, raccord au seed, butin, rencontres et services de campagne restent à terminer.</x:v>
      </x:c>
    </x:row>
    <x:row r="34" ht="96" customHeight="1">
      <x:c r="A34" s="16" t="str">
        <x:v>EXT-MONDE-T001-V29</x:v>
      </x:c>
      <x:c r="B34" s="16" t="str">
        <x:v>EXT-MONDE-T001</x:v>
      </x:c>
      <x:c r="C34" s="16" t="str">
        <x:v>Lacs</x:v>
      </x:c>
      <x:c r="D34" s="16" t="str">
        <x:v>Base nautique lacustre</x:v>
      </x:c>
      <x:c r="E34" s="16" t="n">
        <x:v>29</x:v>
      </x:c>
      <x:c r="F34" s="16" t="str">
        <x:v>Inspection physique</x:v>
      </x:c>
      <x:c r="G34" s="16" t="str">
        <x:v>1 niveaux ; 26 pièces ; 198 segments de mur ; 0 transitions. Inspection physique ; architecture complète encore ouverte.</x:v>
      </x:c>
      <x:c r="H34" s="16" t="str">
        <x:v>L 270 ; l 232 ; hauteur 5,7 m ; choix de composition auteur ; dimensions réelles à documenter</x:v>
      </x:c>
      <x:c r="I34" s="16" t="str">
        <x:v>À équilibrer</x:v>
      </x:c>
      <x:c r="J34" s="16" t="str">
        <x:v>Non</x:v>
      </x:c>
      <x:c r="K34" s="16" t="str">
        <x:v>Pièces décrites, murs, portes, niveaux et mobilier inspectables à l’échelle. Volumes réservés, raccord au seed, butin, rencontres et services de campagne restent à terminer.</x:v>
      </x:c>
    </x:row>
    <x:row r="35" ht="96" customHeight="1">
      <x:c r="A35" s="16" t="str">
        <x:v>EXT-MONDE-T001-V30</x:v>
      </x:c>
      <x:c r="B35" s="16" t="str">
        <x:v>EXT-MONDE-T001</x:v>
      </x:c>
      <x:c r="C35" s="16" t="str">
        <x:v>Lacs</x:v>
      </x:c>
      <x:c r="D35" s="16" t="str">
        <x:v>Base nautique lacustre</x:v>
      </x:c>
      <x:c r="E35" s="16" t="n">
        <x:v>30</x:v>
      </x:c>
      <x:c r="F35" s="16" t="str">
        <x:v>Inspection physique</x:v>
      </x:c>
      <x:c r="G35" s="16" t="str">
        <x:v>1 niveaux ; 26 pièces ; 198 segments de mur ; 0 transitions. Inspection physique ; architecture complète encore ouverte.</x:v>
      </x:c>
      <x:c r="H35" s="16" t="str">
        <x:v>L 270 ; l 232 ; hauteur 5,7 m ; choix de composition auteur ; dimensions réelles à documenter</x:v>
      </x:c>
      <x:c r="I35" s="16" t="str">
        <x:v>À équilibrer</x:v>
      </x:c>
      <x:c r="J35" s="16" t="str">
        <x:v>Non</x:v>
      </x:c>
      <x:c r="K35" s="16" t="str">
        <x:v>Pièces décrites, murs, portes, niveaux et mobilier inspectables à l’échelle. Volumes réservés, raccord au seed, butin, rencontres et services de campagne restent à terminer.</x:v>
      </x:c>
    </x:row>
    <x:row r="36" ht="96" customHeight="1">
      <x:c r="A36" s="115" t="str">
        <x:v>EXT-MONDE-T001-V31</x:v>
      </x:c>
      <x:c r="B36" s="115" t="str">
        <x:v>EXT-MONDE-T001</x:v>
      </x:c>
      <x:c r="C36" s="115" t="str">
        <x:v>Lacs</x:v>
      </x:c>
      <x:c r="D36" s="115" t="str">
        <x:v>Base nautique lacustre</x:v>
      </x:c>
      <x:c r="E36" s="115" t="n">
        <x:v>31</x:v>
      </x:c>
      <x:c r="F36" s="115" t="str">
        <x:v>Inspection physique</x:v>
      </x:c>
      <x:c r="G36" s="115" t="str">
        <x:v>1 niveaux ; 26 pièces ; 198 segments de mur ; 0 transitions. Inspection physique ; architecture complète encore ouverte.</x:v>
      </x:c>
      <x:c r="H36" s="115" t="str">
        <x:v>L 284 ; l 248 ; hauteur 5,85 m ; choix de composition auteur ; dimensions réelles à documenter</x:v>
      </x:c>
      <x:c r="I36" s="115" t="str">
        <x:v>À équilibrer</x:v>
      </x:c>
      <x:c r="J36" s="115" t="str">
        <x:v>Non</x:v>
      </x:c>
      <x:c r="K36" s="115" t="str">
        <x:v>Pièces décrites, murs, portes, niveaux et mobilier inspectables à l’échelle. Volumes réservés, raccord au seed, butin, rencontres et services de campagne restent à terminer.</x:v>
      </x:c>
    </x:row>
    <x:row r="37" ht="96" customHeight="1">
      <x:c r="A37" s="115" t="str">
        <x:v>EXT-MONDE-T001-V32</x:v>
      </x:c>
      <x:c r="B37" s="115" t="str">
        <x:v>EXT-MONDE-T001</x:v>
      </x:c>
      <x:c r="C37" s="115" t="str">
        <x:v>Lacs</x:v>
      </x:c>
      <x:c r="D37" s="115" t="str">
        <x:v>Base nautique lacustre</x:v>
      </x:c>
      <x:c r="E37" s="115" t="n">
        <x:v>32</x:v>
      </x:c>
      <x:c r="F37" s="115" t="str">
        <x:v>Inspection physique</x:v>
      </x:c>
      <x:c r="G37" s="115" t="str">
        <x:v>1 niveaux ; 26 pièces ; 198 segments de mur ; 0 transitions. Inspection physique ; architecture complète encore ouverte.</x:v>
      </x:c>
      <x:c r="H37" s="115" t="str">
        <x:v>L 284 ; l 248 ; hauteur 5,85 m ; choix de composition auteur ; dimensions réelles à documenter</x:v>
      </x:c>
      <x:c r="I37" s="115" t="str">
        <x:v>À équilibrer</x:v>
      </x:c>
      <x:c r="J37" s="115" t="str">
        <x:v>Non</x:v>
      </x:c>
      <x:c r="K37" s="115" t="str">
        <x:v>Pièces décrites, murs, portes, niveaux et mobilier inspectables à l’échelle. Volumes réservés, raccord au seed, butin, rencontres et services de campagne restent à terminer.</x:v>
      </x:c>
    </x:row>
    <x:row r="38" ht="96" customHeight="1">
      <x:c r="A38" s="115" t="str">
        <x:v>EXT-MONDE-T001-V33</x:v>
      </x:c>
      <x:c r="B38" s="115" t="str">
        <x:v>EXT-MONDE-T001</x:v>
      </x:c>
      <x:c r="C38" s="115" t="str">
        <x:v>Lacs</x:v>
      </x:c>
      <x:c r="D38" s="115" t="str">
        <x:v>Base nautique lacustre</x:v>
      </x:c>
      <x:c r="E38" s="115" t="n">
        <x:v>33</x:v>
      </x:c>
      <x:c r="F38" s="115" t="str">
        <x:v>Inspection physique</x:v>
      </x:c>
      <x:c r="G38" s="115" t="str">
        <x:v>1 niveaux ; 26 pièces ; 198 segments de mur ; 0 transitions. Inspection physique ; architecture complète encore ouverte.</x:v>
      </x:c>
      <x:c r="H38" s="115" t="str">
        <x:v>L 284 ; l 248 ; hauteur 5,85 m ; choix de composition auteur ; dimensions réelles à documenter</x:v>
      </x:c>
      <x:c r="I38" s="115" t="str">
        <x:v>À équilibrer</x:v>
      </x:c>
      <x:c r="J38" s="115" t="str">
        <x:v>Non</x:v>
      </x:c>
      <x:c r="K38" s="115" t="str">
        <x:v>Pièces décrites, murs, portes, niveaux et mobilier inspectables à l’échelle. Volumes réservés, raccord au seed, butin, rencontres et services de campagne restent à terminer.</x:v>
      </x:c>
    </x:row>
    <x:row r="39" ht="96" customHeight="1">
      <x:c r="A39" s="115" t="str">
        <x:v>EXT-MONDE-T001-V34</x:v>
      </x:c>
      <x:c r="B39" s="115" t="str">
        <x:v>EXT-MONDE-T001</x:v>
      </x:c>
      <x:c r="C39" s="115" t="str">
        <x:v>Lacs</x:v>
      </x:c>
      <x:c r="D39" s="115" t="str">
        <x:v>Base nautique lacustre</x:v>
      </x:c>
      <x:c r="E39" s="115" t="n">
        <x:v>34</x:v>
      </x:c>
      <x:c r="F39" s="115" t="str">
        <x:v>Inspection physique</x:v>
      </x:c>
      <x:c r="G39" s="115" t="str">
        <x:v>1 niveaux ; 26 pièces ; 198 segments de mur ; 0 transitions. Inspection physique ; architecture complète encore ouverte.</x:v>
      </x:c>
      <x:c r="H39" s="115" t="str">
        <x:v>L 284 ; l 248 ; hauteur 5,85 m ; choix de composition auteur ; dimensions réelles à documenter</x:v>
      </x:c>
      <x:c r="I39" s="115" t="str">
        <x:v>À équilibrer</x:v>
      </x:c>
      <x:c r="J39" s="115" t="str">
        <x:v>Non</x:v>
      </x:c>
      <x:c r="K39" s="115" t="str">
        <x:v>Pièces décrites, murs, portes, niveaux et mobilier inspectables à l’échelle. Volumes réservés, raccord au seed, butin, rencontres et services de campagne restent à terminer.</x:v>
      </x:c>
    </x:row>
    <x:row r="40" ht="96" customHeight="1">
      <x:c r="A40" s="115" t="str">
        <x:v>EXT-MONDE-T001-V35</x:v>
      </x:c>
      <x:c r="B40" s="115" t="str">
        <x:v>EXT-MONDE-T001</x:v>
      </x:c>
      <x:c r="C40" s="115" t="str">
        <x:v>Lacs</x:v>
      </x:c>
      <x:c r="D40" s="115" t="str">
        <x:v>Base nautique lacustre</x:v>
      </x:c>
      <x:c r="E40" s="115" t="n">
        <x:v>35</x:v>
      </x:c>
      <x:c r="F40" s="115" t="str">
        <x:v>Inspection physique</x:v>
      </x:c>
      <x:c r="G40" s="115" t="str">
        <x:v>1 niveaux ; 26 pièces ; 198 segments de mur ; 0 transitions. Inspection physique ; architecture complète encore ouverte.</x:v>
      </x:c>
      <x:c r="H40" s="115" t="str">
        <x:v>L 284 ; l 248 ; hauteur 5,85 m ; choix de composition auteur ; dimensions réelles à documenter</x:v>
      </x:c>
      <x:c r="I40" s="115" t="str">
        <x:v>À équilibrer</x:v>
      </x:c>
      <x:c r="J40" s="115" t="str">
        <x:v>Non</x:v>
      </x:c>
      <x:c r="K40" s="115" t="str">
        <x:v>Pièces décrites, murs, portes, niveaux et mobilier inspectables à l’échelle. Volumes réservés, raccord au seed, butin, rencontres et services de campagne restent à terminer.</x:v>
      </x:c>
    </x:row>
    <x:row r="41" ht="96" customHeight="1">
      <x:c r="A41" s="115" t="str">
        <x:v>EXT-MONDE-T001-V36</x:v>
      </x:c>
      <x:c r="B41" s="115" t="str">
        <x:v>EXT-MONDE-T001</x:v>
      </x:c>
      <x:c r="C41" s="115" t="str">
        <x:v>Lacs</x:v>
      </x:c>
      <x:c r="D41" s="115" t="str">
        <x:v>Base nautique lacustre</x:v>
      </x:c>
      <x:c r="E41" s="115" t="n">
        <x:v>36</x:v>
      </x:c>
      <x:c r="F41" s="115" t="str">
        <x:v>Inspection physique</x:v>
      </x:c>
      <x:c r="G41" s="115" t="str">
        <x:v>1 niveaux ; 26 pièces ; 198 segments de mur ; 0 transitions. Inspection physique ; architecture complète encore ouverte.</x:v>
      </x:c>
      <x:c r="H41" s="115" t="str">
        <x:v>L 284 ; l 248 ; hauteur 5,85 m ; choix de composition auteur ; dimensions réelles à documenter</x:v>
      </x:c>
      <x:c r="I41" s="115" t="str">
        <x:v>À équilibrer</x:v>
      </x:c>
      <x:c r="J41" s="115" t="str">
        <x:v>Non</x:v>
      </x:c>
      <x:c r="K41" s="115" t="str">
        <x:v>Pièces décrites, murs, portes, niveaux et mobilier inspectables à l’échelle. Volumes réservés, raccord au seed, butin, rencontres et services de campagne restent à terminer.</x:v>
      </x:c>
    </x:row>
    <x:row r="42" ht="96" customHeight="1">
      <x:c r="A42" s="115" t="str">
        <x:v>EXT-MONDE-T001-V37</x:v>
      </x:c>
      <x:c r="B42" s="115" t="str">
        <x:v>EXT-MONDE-T001</x:v>
      </x:c>
      <x:c r="C42" s="115" t="str">
        <x:v>Lacs</x:v>
      </x:c>
      <x:c r="D42" s="115" t="str">
        <x:v>Base nautique lacustre</x:v>
      </x:c>
      <x:c r="E42" s="115" t="n">
        <x:v>37</x:v>
      </x:c>
      <x:c r="F42" s="115" t="str">
        <x:v>Inspection physique</x:v>
      </x:c>
      <x:c r="G42" s="115" t="str">
        <x:v>1 niveaux ; 26 pièces ; 198 segments de mur ; 0 transitions. Inspection physique ; architecture complète encore ouverte.</x:v>
      </x:c>
      <x:c r="H42" s="115" t="str">
        <x:v>L 284 ; l 248 ; hauteur 5,85 m ; choix de composition auteur ; dimensions réelles à documenter</x:v>
      </x:c>
      <x:c r="I42" s="115" t="str">
        <x:v>À équilibrer</x:v>
      </x:c>
      <x:c r="J42" s="115" t="str">
        <x:v>Non</x:v>
      </x:c>
      <x:c r="K42" s="115" t="str">
        <x:v>Pièces décrites, murs, portes, niveaux et mobilier inspectables à l’échelle. Volumes réservés, raccord au seed, butin, rencontres et services de campagne restent à terminer.</x:v>
      </x:c>
    </x:row>
    <x:row r="43" ht="96" customHeight="1">
      <x:c r="A43" s="115" t="str">
        <x:v>EXT-MONDE-T001-V38</x:v>
      </x:c>
      <x:c r="B43" s="115" t="str">
        <x:v>EXT-MONDE-T001</x:v>
      </x:c>
      <x:c r="C43" s="115" t="str">
        <x:v>Lacs</x:v>
      </x:c>
      <x:c r="D43" s="115" t="str">
        <x:v>Base nautique lacustre</x:v>
      </x:c>
      <x:c r="E43" s="115" t="n">
        <x:v>38</x:v>
      </x:c>
      <x:c r="F43" s="115" t="str">
        <x:v>Inspection physique</x:v>
      </x:c>
      <x:c r="G43" s="115" t="str">
        <x:v>1 niveaux ; 26 pièces ; 198 segments de mur ; 0 transitions. Inspection physique ; architecture complète encore ouverte.</x:v>
      </x:c>
      <x:c r="H43" s="115" t="str">
        <x:v>L 284 ; l 248 ; hauteur 5,85 m ; choix de composition auteur ; dimensions réelles à documenter</x:v>
      </x:c>
      <x:c r="I43" s="115" t="str">
        <x:v>À équilibrer</x:v>
      </x:c>
      <x:c r="J43" s="115" t="str">
        <x:v>Non</x:v>
      </x:c>
      <x:c r="K43" s="115" t="str">
        <x:v>Pièces décrites, murs, portes, niveaux et mobilier inspectables à l’échelle. Volumes réservés, raccord au seed, butin, rencontres et services de campagne restent à terminer.</x:v>
      </x:c>
    </x:row>
    <x:row r="44" ht="96" customHeight="1">
      <x:c r="A44" s="115" t="str">
        <x:v>EXT-MONDE-T001-V39</x:v>
      </x:c>
      <x:c r="B44" s="115" t="str">
        <x:v>EXT-MONDE-T001</x:v>
      </x:c>
      <x:c r="C44" s="115" t="str">
        <x:v>Lacs</x:v>
      </x:c>
      <x:c r="D44" s="115" t="str">
        <x:v>Base nautique lacustre</x:v>
      </x:c>
      <x:c r="E44" s="115" t="n">
        <x:v>39</x:v>
      </x:c>
      <x:c r="F44" s="115" t="str">
        <x:v>Inspection physique</x:v>
      </x:c>
      <x:c r="G44" s="115" t="str">
        <x:v>1 niveaux ; 26 pièces ; 198 segments de mur ; 0 transitions. Inspection physique ; architecture complète encore ouverte.</x:v>
      </x:c>
      <x:c r="H44" s="115" t="str">
        <x:v>L 284 ; l 248 ; hauteur 5,85 m ; choix de composition auteur ; dimensions réelles à documenter</x:v>
      </x:c>
      <x:c r="I44" s="115" t="str">
        <x:v>À équilibrer</x:v>
      </x:c>
      <x:c r="J44" s="115" t="str">
        <x:v>Non</x:v>
      </x:c>
      <x:c r="K44" s="115" t="str">
        <x:v>Pièces décrites, murs, portes, niveaux et mobilier inspectables à l’échelle. Volumes réservés, raccord au seed, butin, rencontres et services de campagne restent à terminer.</x:v>
      </x:c>
    </x:row>
    <x:row r="45" ht="96" customHeight="1">
      <x:c r="A45" s="115" t="str">
        <x:v>EXT-MONDE-T001-V40</x:v>
      </x:c>
      <x:c r="B45" s="115" t="str">
        <x:v>EXT-MONDE-T001</x:v>
      </x:c>
      <x:c r="C45" s="115" t="str">
        <x:v>Lacs</x:v>
      </x:c>
      <x:c r="D45" s="115" t="str">
        <x:v>Base nautique lacustre</x:v>
      </x:c>
      <x:c r="E45" s="115" t="n">
        <x:v>40</x:v>
      </x:c>
      <x:c r="F45" s="115" t="str">
        <x:v>Inspection physique</x:v>
      </x:c>
      <x:c r="G45" s="115" t="str">
        <x:v>1 niveaux ; 26 pièces ; 198 segments de mur ; 0 transitions. Inspection physique ; architecture complète encore ouverte.</x:v>
      </x:c>
      <x:c r="H45" s="115" t="str">
        <x:v>L 284 ; l 248 ; hauteur 5,85 m ; choix de composition auteur ; dimensions réelles à documenter</x:v>
      </x:c>
      <x:c r="I45" s="115" t="str">
        <x:v>À équilibrer</x:v>
      </x:c>
      <x:c r="J45" s="115" t="str">
        <x:v>Non</x:v>
      </x:c>
      <x:c r="K45" s="115" t="str">
        <x:v>Pièces décrites, murs, portes, niveaux et mobilier inspectables à l’échelle. Volumes réservés, raccord au seed, butin, rencontres et services de campagne restent à terminer.</x:v>
      </x:c>
    </x:row>
    <x:row r="46" ht="96" customHeight="1">
      <x:c r="A46" s="115" t="str">
        <x:v>EXT-MONDE-T001-V41</x:v>
      </x:c>
      <x:c r="B46" s="115" t="str">
        <x:v>EXT-MONDE-T001</x:v>
      </x:c>
      <x:c r="C46" s="115" t="str">
        <x:v>Lacs</x:v>
      </x:c>
      <x:c r="D46" s="115" t="str">
        <x:v>Base nautique lacustre</x:v>
      </x:c>
      <x:c r="E46" s="115" t="n">
        <x:v>41</x:v>
      </x:c>
      <x:c r="F46" s="115" t="str">
        <x:v>Inspection physique</x:v>
      </x:c>
      <x:c r="G46" s="115" t="str">
        <x:v>1 niveaux ; 26 pièces ; 198 segments de mur ; 0 transitions. Inspection physique ; architecture complète encore ouverte.</x:v>
      </x:c>
      <x:c r="H46" s="115" t="str">
        <x:v>L 298 ; l 264 ; hauteur 6 m ; choix de composition auteur ; dimensions réelles à documenter</x:v>
      </x:c>
      <x:c r="I46" s="115" t="str">
        <x:v>À équilibrer</x:v>
      </x:c>
      <x:c r="J46" s="115" t="str">
        <x:v>Non</x:v>
      </x:c>
      <x:c r="K46" s="115" t="str">
        <x:v>Pièces décrites, murs, portes, niveaux et mobilier inspectables à l’échelle. Volumes réservés, raccord au seed, butin, rencontres et services de campagne restent à terminer.</x:v>
      </x:c>
    </x:row>
    <x:row r="47" ht="96" customHeight="1">
      <x:c r="A47" s="115" t="str">
        <x:v>EXT-MONDE-T001-V42</x:v>
      </x:c>
      <x:c r="B47" s="115" t="str">
        <x:v>EXT-MONDE-T001</x:v>
      </x:c>
      <x:c r="C47" s="115" t="str">
        <x:v>Lacs</x:v>
      </x:c>
      <x:c r="D47" s="115" t="str">
        <x:v>Base nautique lacustre</x:v>
      </x:c>
      <x:c r="E47" s="115" t="n">
        <x:v>42</x:v>
      </x:c>
      <x:c r="F47" s="115" t="str">
        <x:v>Inspection physique</x:v>
      </x:c>
      <x:c r="G47" s="115" t="str">
        <x:v>1 niveaux ; 26 pièces ; 198 segments de mur ; 0 transitions. Inspection physique ; architecture complète encore ouverte.</x:v>
      </x:c>
      <x:c r="H47" s="115" t="str">
        <x:v>L 298 ; l 264 ; hauteur 6 m ; choix de composition auteur ; dimensions réelles à documenter</x:v>
      </x:c>
      <x:c r="I47" s="115" t="str">
        <x:v>À équilibrer</x:v>
      </x:c>
      <x:c r="J47" s="115" t="str">
        <x:v>Non</x:v>
      </x:c>
      <x:c r="K47" s="115" t="str">
        <x:v>Pièces décrites, murs, portes, niveaux et mobilier inspectables à l’échelle. Volumes réservés, raccord au seed, butin, rencontres et services de campagne restent à terminer.</x:v>
      </x:c>
    </x:row>
    <x:row r="48" ht="96" customHeight="1">
      <x:c r="A48" s="115" t="str">
        <x:v>EXT-MONDE-T001-V43</x:v>
      </x:c>
      <x:c r="B48" s="115" t="str">
        <x:v>EXT-MONDE-T001</x:v>
      </x:c>
      <x:c r="C48" s="115" t="str">
        <x:v>Lacs</x:v>
      </x:c>
      <x:c r="D48" s="115" t="str">
        <x:v>Base nautique lacustre</x:v>
      </x:c>
      <x:c r="E48" s="115" t="n">
        <x:v>43</x:v>
      </x:c>
      <x:c r="F48" s="115" t="str">
        <x:v>Inspection physique</x:v>
      </x:c>
      <x:c r="G48" s="115" t="str">
        <x:v>1 niveaux ; 26 pièces ; 198 segments de mur ; 0 transitions. Inspection physique ; architecture complète encore ouverte.</x:v>
      </x:c>
      <x:c r="H48" s="115" t="str">
        <x:v>L 298 ; l 264 ; hauteur 6 m ; choix de composition auteur ; dimensions réelles à documenter</x:v>
      </x:c>
      <x:c r="I48" s="115" t="str">
        <x:v>À équilibrer</x:v>
      </x:c>
      <x:c r="J48" s="115" t="str">
        <x:v>Non</x:v>
      </x:c>
      <x:c r="K48" s="115" t="str">
        <x:v>Pièces décrites, murs, portes, niveaux et mobilier inspectables à l’échelle. Volumes réservés, raccord au seed, butin, rencontres et services de campagne restent à terminer.</x:v>
      </x:c>
    </x:row>
    <x:row r="49" ht="96" customHeight="1">
      <x:c r="A49" s="115" t="str">
        <x:v>EXT-MONDE-T001-V44</x:v>
      </x:c>
      <x:c r="B49" s="115" t="str">
        <x:v>EXT-MONDE-T001</x:v>
      </x:c>
      <x:c r="C49" s="115" t="str">
        <x:v>Lacs</x:v>
      </x:c>
      <x:c r="D49" s="115" t="str">
        <x:v>Base nautique lacustre</x:v>
      </x:c>
      <x:c r="E49" s="115" t="n">
        <x:v>44</x:v>
      </x:c>
      <x:c r="F49" s="115" t="str">
        <x:v>Inspection physique</x:v>
      </x:c>
      <x:c r="G49" s="115" t="str">
        <x:v>1 niveaux ; 26 pièces ; 198 segments de mur ; 0 transitions. Inspection physique ; architecture complète encore ouverte.</x:v>
      </x:c>
      <x:c r="H49" s="115" t="str">
        <x:v>L 298 ; l 264 ; hauteur 6 m ; choix de composition auteur ; dimensions réelles à documenter</x:v>
      </x:c>
      <x:c r="I49" s="115" t="str">
        <x:v>À équilibrer</x:v>
      </x:c>
      <x:c r="J49" s="115" t="str">
        <x:v>Non</x:v>
      </x:c>
      <x:c r="K49" s="115" t="str">
        <x:v>Pièces décrites, murs, portes, niveaux et mobilier inspectables à l’échelle. Volumes réservés, raccord au seed, butin, rencontres et services de campagne restent à terminer.</x:v>
      </x:c>
    </x:row>
    <x:row r="50" ht="96" customHeight="1">
      <x:c r="A50" s="115" t="str">
        <x:v>EXT-MONDE-T001-V45</x:v>
      </x:c>
      <x:c r="B50" s="115" t="str">
        <x:v>EXT-MONDE-T001</x:v>
      </x:c>
      <x:c r="C50" s="115" t="str">
        <x:v>Lacs</x:v>
      </x:c>
      <x:c r="D50" s="115" t="str">
        <x:v>Base nautique lacustre</x:v>
      </x:c>
      <x:c r="E50" s="115" t="n">
        <x:v>45</x:v>
      </x:c>
      <x:c r="F50" s="115" t="str">
        <x:v>Inspection physique</x:v>
      </x:c>
      <x:c r="G50" s="115" t="str">
        <x:v>1 niveaux ; 26 pièces ; 198 segments de mur ; 0 transitions. Inspection physique ; architecture complète encore ouverte.</x:v>
      </x:c>
      <x:c r="H50" s="115" t="str">
        <x:v>L 298 ; l 264 ; hauteur 6 m ; choix de composition auteur ; dimensions réelles à documenter</x:v>
      </x:c>
      <x:c r="I50" s="115" t="str">
        <x:v>À équilibrer</x:v>
      </x:c>
      <x:c r="J50" s="115" t="str">
        <x:v>Non</x:v>
      </x:c>
      <x:c r="K50" s="115" t="str">
        <x:v>Pièces décrites, murs, portes, niveaux et mobilier inspectables à l’échelle. Volumes réservés, raccord au seed, butin, rencontres et services de campagne restent à terminer.</x:v>
      </x:c>
    </x:row>
    <x:row r="51" ht="96" customHeight="1">
      <x:c r="A51" s="115" t="str">
        <x:v>EXT-MONDE-T001-V46</x:v>
      </x:c>
      <x:c r="B51" s="115" t="str">
        <x:v>EXT-MONDE-T001</x:v>
      </x:c>
      <x:c r="C51" s="115" t="str">
        <x:v>Lacs</x:v>
      </x:c>
      <x:c r="D51" s="115" t="str">
        <x:v>Base nautique lacustre</x:v>
      </x:c>
      <x:c r="E51" s="115" t="n">
        <x:v>46</x:v>
      </x:c>
      <x:c r="F51" s="115" t="str">
        <x:v>Inspection physique</x:v>
      </x:c>
      <x:c r="G51" s="115" t="str">
        <x:v>1 niveaux ; 26 pièces ; 198 segments de mur ; 0 transitions. Inspection physique ; architecture complète encore ouverte.</x:v>
      </x:c>
      <x:c r="H51" s="115" t="str">
        <x:v>L 298 ; l 264 ; hauteur 6 m ; choix de composition auteur ; dimensions réelles à documenter</x:v>
      </x:c>
      <x:c r="I51" s="115" t="str">
        <x:v>À équilibrer</x:v>
      </x:c>
      <x:c r="J51" s="115" t="str">
        <x:v>Non</x:v>
      </x:c>
      <x:c r="K51" s="115" t="str">
        <x:v>Pièces décrites, murs, portes, niveaux et mobilier inspectables à l’échelle. Volumes réservés, raccord au seed, butin, rencontres et services de campagne restent à terminer.</x:v>
      </x:c>
    </x:row>
    <x:row r="52" ht="96" customHeight="1">
      <x:c r="A52" s="115" t="str">
        <x:v>EXT-MONDE-T001-V47</x:v>
      </x:c>
      <x:c r="B52" s="115" t="str">
        <x:v>EXT-MONDE-T001</x:v>
      </x:c>
      <x:c r="C52" s="115" t="str">
        <x:v>Lacs</x:v>
      </x:c>
      <x:c r="D52" s="115" t="str">
        <x:v>Base nautique lacustre</x:v>
      </x:c>
      <x:c r="E52" s="115" t="n">
        <x:v>47</x:v>
      </x:c>
      <x:c r="F52" s="115" t="str">
        <x:v>Inspection physique</x:v>
      </x:c>
      <x:c r="G52" s="115" t="str">
        <x:v>1 niveaux ; 26 pièces ; 198 segments de mur ; 0 transitions. Inspection physique ; architecture complète encore ouverte.</x:v>
      </x:c>
      <x:c r="H52" s="115" t="str">
        <x:v>L 298 ; l 264 ; hauteur 6 m ; choix de composition auteur ; dimensions réelles à documenter</x:v>
      </x:c>
      <x:c r="I52" s="115" t="str">
        <x:v>À équilibrer</x:v>
      </x:c>
      <x:c r="J52" s="115" t="str">
        <x:v>Non</x:v>
      </x:c>
      <x:c r="K52" s="115" t="str">
        <x:v>Pièces décrites, murs, portes, niveaux et mobilier inspectables à l’échelle. Volumes réservés, raccord au seed, butin, rencontres et services de campagne restent à terminer.</x:v>
      </x:c>
    </x:row>
    <x:row r="53" ht="96" customHeight="1">
      <x:c r="A53" s="115" t="str">
        <x:v>EXT-MONDE-T001-V48</x:v>
      </x:c>
      <x:c r="B53" s="115" t="str">
        <x:v>EXT-MONDE-T001</x:v>
      </x:c>
      <x:c r="C53" s="115" t="str">
        <x:v>Lacs</x:v>
      </x:c>
      <x:c r="D53" s="115" t="str">
        <x:v>Base nautique lacustre</x:v>
      </x:c>
      <x:c r="E53" s="115" t="n">
        <x:v>48</x:v>
      </x:c>
      <x:c r="F53" s="115" t="str">
        <x:v>Inspection physique</x:v>
      </x:c>
      <x:c r="G53" s="115" t="str">
        <x:v>1 niveaux ; 26 pièces ; 198 segments de mur ; 0 transitions. Inspection physique ; architecture complète encore ouverte.</x:v>
      </x:c>
      <x:c r="H53" s="115" t="str">
        <x:v>L 298 ; l 264 ; hauteur 6 m ; choix de composition auteur ; dimensions réelles à documenter</x:v>
      </x:c>
      <x:c r="I53" s="115" t="str">
        <x:v>À équilibrer</x:v>
      </x:c>
      <x:c r="J53" s="115" t="str">
        <x:v>Non</x:v>
      </x:c>
      <x:c r="K53" s="115" t="str">
        <x:v>Pièces décrites, murs, portes, niveaux et mobilier inspectables à l’échelle. Volumes réservés, raccord au seed, butin, rencontres et services de campagne restent à terminer.</x:v>
      </x:c>
    </x:row>
    <x:row r="54" ht="96" customHeight="1">
      <x:c r="A54" s="115" t="str">
        <x:v>EXT-MONDE-T001-V49</x:v>
      </x:c>
      <x:c r="B54" s="115" t="str">
        <x:v>EXT-MONDE-T001</x:v>
      </x:c>
      <x:c r="C54" s="115" t="str">
        <x:v>Lacs</x:v>
      </x:c>
      <x:c r="D54" s="115" t="str">
        <x:v>Base nautique lacustre</x:v>
      </x:c>
      <x:c r="E54" s="115" t="n">
        <x:v>49</x:v>
      </x:c>
      <x:c r="F54" s="115" t="str">
        <x:v>Inspection physique</x:v>
      </x:c>
      <x:c r="G54" s="115" t="str">
        <x:v>1 niveaux ; 26 pièces ; 198 segments de mur ; 0 transitions. Inspection physique ; architecture complète encore ouverte.</x:v>
      </x:c>
      <x:c r="H54" s="115" t="str">
        <x:v>L 298 ; l 264 ; hauteur 6 m ; choix de composition auteur ; dimensions réelles à documenter</x:v>
      </x:c>
      <x:c r="I54" s="115" t="str">
        <x:v>À équilibrer</x:v>
      </x:c>
      <x:c r="J54" s="115" t="str">
        <x:v>Non</x:v>
      </x:c>
      <x:c r="K54" s="115" t="str">
        <x:v>Pièces décrites, murs, portes, niveaux et mobilier inspectables à l’échelle. Volumes réservés, raccord au seed, butin, rencontres et services de campagne restent à terminer.</x:v>
      </x:c>
    </x:row>
    <x:row r="55" ht="96" customHeight="1">
      <x:c r="A55" s="115" t="str">
        <x:v>EXT-MONDE-T001-V50</x:v>
      </x:c>
      <x:c r="B55" s="115" t="str">
        <x:v>EXT-MONDE-T001</x:v>
      </x:c>
      <x:c r="C55" s="115" t="str">
        <x:v>Lacs</x:v>
      </x:c>
      <x:c r="D55" s="115" t="str">
        <x:v>Base nautique lacustre</x:v>
      </x:c>
      <x:c r="E55" s="115" t="n">
        <x:v>50</x:v>
      </x:c>
      <x:c r="F55" s="115" t="str">
        <x:v>Inspection physique</x:v>
      </x:c>
      <x:c r="G55" s="115" t="str">
        <x:v>1 niveaux ; 26 pièces ; 198 segments de mur ; 0 transitions. Inspection physique ; architecture complète encore ouverte.</x:v>
      </x:c>
      <x:c r="H55" s="115" t="str">
        <x:v>L 298 ; l 264 ; hauteur 6 m ; choix de composition auteur ; dimensions réelles à documenter</x:v>
      </x:c>
      <x:c r="I55" s="115" t="str">
        <x:v>À équilibrer</x:v>
      </x:c>
      <x:c r="J55" s="115" t="str">
        <x:v>Non</x:v>
      </x:c>
      <x:c r="K55" s="115" t="str">
        <x:v>Pièces décrites, murs, portes, niveaux et mobilier inspectables à l’échelle. Volumes réservés, raccord au seed, butin, rencontres et services de campagne restent à terminer.</x:v>
      </x:c>
    </x:row>
    <x:row r="56" ht="96" customHeight="1">
      <x:c r="A56" s="115" t="str">
        <x:v>EXT-MONDE-T002-V01</x:v>
      </x:c>
      <x:c r="B56" s="115" t="str">
        <x:v>EXT-MONDE-T002</x:v>
      </x:c>
      <x:c r="C56" s="115" t="str">
        <x:v>Lacs</x:v>
      </x:c>
      <x:c r="D56" s="115" t="str">
        <x:v>Village de pêche lacustre</x:v>
      </x:c>
      <x:c r="E56" s="115" t="n">
        <x:v>1</x:v>
      </x:c>
      <x:c r="F56" s="115" t="str">
        <x:v>Inspection physique</x:v>
      </x:c>
      <x:c r="G56" s="115" t="str">
        <x:v>1 niveaux ; 24 pièces ; 186 segments de mur ; 0 transitions. Inspection physique ; architecture complète encore ouverte.</x:v>
      </x:c>
      <x:c r="H56" s="115" t="str">
        <x:v>L 242 ; l 200 ; hauteur 4,6 m ; choix de composition auteur ; dimensions réelles à documenter</x:v>
      </x:c>
      <x:c r="I56" s="115" t="str">
        <x:v>À équilibrer</x:v>
      </x:c>
      <x:c r="J56" s="115" t="str">
        <x:v>Non</x:v>
      </x:c>
      <x:c r="K56" s="115" t="str">
        <x:v>Pièces décrites, murs, portes, niveaux et mobilier inspectables à l’échelle. Volumes réservés, raccord au seed, butin, rencontres et services de campagne restent à terminer.</x:v>
      </x:c>
    </x:row>
    <x:row r="57" ht="96" customHeight="1">
      <x:c r="A57" s="115" t="str">
        <x:v>EXT-MONDE-T002-V02</x:v>
      </x:c>
      <x:c r="B57" s="115" t="str">
        <x:v>EXT-MONDE-T002</x:v>
      </x:c>
      <x:c r="C57" s="115" t="str">
        <x:v>Lacs</x:v>
      </x:c>
      <x:c r="D57" s="115" t="str">
        <x:v>Village de pêche lacustre</x:v>
      </x:c>
      <x:c r="E57" s="115" t="n">
        <x:v>2</x:v>
      </x:c>
      <x:c r="F57" s="115" t="str">
        <x:v>Inspection physique</x:v>
      </x:c>
      <x:c r="G57" s="115" t="str">
        <x:v>1 niveaux ; 24 pièces ; 186 segments de mur ; 0 transitions. Inspection physique ; architecture complète encore ouverte.</x:v>
      </x:c>
      <x:c r="H57" s="115" t="str">
        <x:v>L 242 ; l 200 ; hauteur 4,6 m ; choix de composition auteur ; dimensions réelles à documenter</x:v>
      </x:c>
      <x:c r="I57" s="115" t="str">
        <x:v>À équilibrer</x:v>
      </x:c>
      <x:c r="J57" s="115" t="str">
        <x:v>Non</x:v>
      </x:c>
      <x:c r="K57" s="115" t="str">
        <x:v>Pièces décrites, murs, portes, niveaux et mobilier inspectables à l’échelle. Volumes réservés, raccord au seed, butin, rencontres et services de campagne restent à terminer.</x:v>
      </x:c>
    </x:row>
    <x:row r="58" ht="96" customHeight="1">
      <x:c r="A58" s="115" t="str">
        <x:v>EXT-MONDE-T002-V03</x:v>
      </x:c>
      <x:c r="B58" s="115" t="str">
        <x:v>EXT-MONDE-T002</x:v>
      </x:c>
      <x:c r="C58" s="115" t="str">
        <x:v>Lacs</x:v>
      </x:c>
      <x:c r="D58" s="115" t="str">
        <x:v>Village de pêche lacustre</x:v>
      </x:c>
      <x:c r="E58" s="115" t="n">
        <x:v>3</x:v>
      </x:c>
      <x:c r="F58" s="115" t="str">
        <x:v>Inspection physique</x:v>
      </x:c>
      <x:c r="G58" s="115" t="str">
        <x:v>1 niveaux ; 24 pièces ; 186 segments de mur ; 0 transitions. Inspection physique ; architecture complète encore ouverte.</x:v>
      </x:c>
      <x:c r="H58" s="115" t="str">
        <x:v>L 242 ; l 200 ; hauteur 4,6 m ; choix de composition auteur ; dimensions réelles à documenter</x:v>
      </x:c>
      <x:c r="I58" s="115" t="str">
        <x:v>À équilibrer</x:v>
      </x:c>
      <x:c r="J58" s="115" t="str">
        <x:v>Non</x:v>
      </x:c>
      <x:c r="K58" s="115" t="str">
        <x:v>Pièces décrites, murs, portes, niveaux et mobilier inspectables à l’échelle. Volumes réservés, raccord au seed, butin, rencontres et services de campagne restent à terminer.</x:v>
      </x:c>
    </x:row>
    <x:row r="59" ht="96" customHeight="1">
      <x:c r="A59" s="115" t="str">
        <x:v>EXT-MONDE-T002-V04</x:v>
      </x:c>
      <x:c r="B59" s="115" t="str">
        <x:v>EXT-MONDE-T002</x:v>
      </x:c>
      <x:c r="C59" s="115" t="str">
        <x:v>Lacs</x:v>
      </x:c>
      <x:c r="D59" s="115" t="str">
        <x:v>Village de pêche lacustre</x:v>
      </x:c>
      <x:c r="E59" s="115" t="n">
        <x:v>4</x:v>
      </x:c>
      <x:c r="F59" s="115" t="str">
        <x:v>Inspection physique</x:v>
      </x:c>
      <x:c r="G59" s="115" t="str">
        <x:v>1 niveaux ; 24 pièces ; 186 segments de mur ; 0 transitions. Inspection physique ; architecture complète encore ouverte.</x:v>
      </x:c>
      <x:c r="H59" s="115" t="str">
        <x:v>L 242 ; l 200 ; hauteur 4,6 m ; choix de composition auteur ; dimensions réelles à documenter</x:v>
      </x:c>
      <x:c r="I59" s="115" t="str">
        <x:v>À équilibrer</x:v>
      </x:c>
      <x:c r="J59" s="115" t="str">
        <x:v>Non</x:v>
      </x:c>
      <x:c r="K59" s="115" t="str">
        <x:v>Pièces décrites, murs, portes, niveaux et mobilier inspectables à l’échelle. Volumes réservés, raccord au seed, butin, rencontres et services de campagne restent à terminer.</x:v>
      </x:c>
    </x:row>
    <x:row r="60" ht="96" customHeight="1">
      <x:c r="A60" s="115" t="str">
        <x:v>EXT-MONDE-T002-V05</x:v>
      </x:c>
      <x:c r="B60" s="115" t="str">
        <x:v>EXT-MONDE-T002</x:v>
      </x:c>
      <x:c r="C60" s="115" t="str">
        <x:v>Lacs</x:v>
      </x:c>
      <x:c r="D60" s="115" t="str">
        <x:v>Village de pêche lacustre</x:v>
      </x:c>
      <x:c r="E60" s="115" t="n">
        <x:v>5</x:v>
      </x:c>
      <x:c r="F60" s="115" t="str">
        <x:v>Inspection physique</x:v>
      </x:c>
      <x:c r="G60" s="115" t="str">
        <x:v>1 niveaux ; 24 pièces ; 186 segments de mur ; 0 transitions. Inspection physique ; architecture complète encore ouverte.</x:v>
      </x:c>
      <x:c r="H60" s="115" t="str">
        <x:v>L 242 ; l 200 ; hauteur 4,6 m ; choix de composition auteur ; dimensions réelles à documenter</x:v>
      </x:c>
      <x:c r="I60" s="115" t="str">
        <x:v>À équilibrer</x:v>
      </x:c>
      <x:c r="J60" s="115" t="str">
        <x:v>Non</x:v>
      </x:c>
      <x:c r="K60" s="115" t="str">
        <x:v>Pièces décrites, murs, portes, niveaux et mobilier inspectables à l’échelle. Volumes réservés, raccord au seed, butin, rencontres et services de campagne restent à terminer.</x:v>
      </x:c>
    </x:row>
    <x:row r="61" ht="96" customHeight="1">
      <x:c r="A61" s="115" t="str">
        <x:v>EXT-MONDE-T002-V06</x:v>
      </x:c>
      <x:c r="B61" s="115" t="str">
        <x:v>EXT-MONDE-T002</x:v>
      </x:c>
      <x:c r="C61" s="115" t="str">
        <x:v>Lacs</x:v>
      </x:c>
      <x:c r="D61" s="115" t="str">
        <x:v>Village de pêche lacustre</x:v>
      </x:c>
      <x:c r="E61" s="115" t="n">
        <x:v>6</x:v>
      </x:c>
      <x:c r="F61" s="115" t="str">
        <x:v>Inspection physique</x:v>
      </x:c>
      <x:c r="G61" s="115" t="str">
        <x:v>1 niveaux ; 24 pièces ; 186 segments de mur ; 0 transitions. Inspection physique ; architecture complète encore ouverte.</x:v>
      </x:c>
      <x:c r="H61" s="115" t="str">
        <x:v>L 242 ; l 200 ; hauteur 4,6 m ; choix de composition auteur ; dimensions réelles à documenter</x:v>
      </x:c>
      <x:c r="I61" s="115" t="str">
        <x:v>À équilibrer</x:v>
      </x:c>
      <x:c r="J61" s="115" t="str">
        <x:v>Non</x:v>
      </x:c>
      <x:c r="K61" s="115" t="str">
        <x:v>Pièces décrites, murs, portes, niveaux et mobilier inspectables à l’échelle. Volumes réservés, raccord au seed, butin, rencontres et services de campagne restent à terminer.</x:v>
      </x:c>
    </x:row>
    <x:row r="62" ht="96" customHeight="1">
      <x:c r="A62" s="115" t="str">
        <x:v>EXT-MONDE-T002-V07</x:v>
      </x:c>
      <x:c r="B62" s="115" t="str">
        <x:v>EXT-MONDE-T002</x:v>
      </x:c>
      <x:c r="C62" s="115" t="str">
        <x:v>Lacs</x:v>
      </x:c>
      <x:c r="D62" s="115" t="str">
        <x:v>Village de pêche lacustre</x:v>
      </x:c>
      <x:c r="E62" s="115" t="n">
        <x:v>7</x:v>
      </x:c>
      <x:c r="F62" s="115" t="str">
        <x:v>Inspection physique</x:v>
      </x:c>
      <x:c r="G62" s="115" t="str">
        <x:v>1 niveaux ; 24 pièces ; 186 segments de mur ; 0 transitions. Inspection physique ; architecture complète encore ouverte.</x:v>
      </x:c>
      <x:c r="H62" s="115" t="str">
        <x:v>L 242 ; l 200 ; hauteur 4,6 m ; choix de composition auteur ; dimensions réelles à documenter</x:v>
      </x:c>
      <x:c r="I62" s="115" t="str">
        <x:v>À équilibrer</x:v>
      </x:c>
      <x:c r="J62" s="115" t="str">
        <x:v>Non</x:v>
      </x:c>
      <x:c r="K62" s="115" t="str">
        <x:v>Pièces décrites, murs, portes, niveaux et mobilier inspectables à l’échelle. Volumes réservés, raccord au seed, butin, rencontres et services de campagne restent à terminer.</x:v>
      </x:c>
    </x:row>
    <x:row r="63" ht="96" customHeight="1">
      <x:c r="A63" s="115" t="str">
        <x:v>EXT-MONDE-T002-V08</x:v>
      </x:c>
      <x:c r="B63" s="115" t="str">
        <x:v>EXT-MONDE-T002</x:v>
      </x:c>
      <x:c r="C63" s="115" t="str">
        <x:v>Lacs</x:v>
      </x:c>
      <x:c r="D63" s="115" t="str">
        <x:v>Village de pêche lacustre</x:v>
      </x:c>
      <x:c r="E63" s="115" t="n">
        <x:v>8</x:v>
      </x:c>
      <x:c r="F63" s="115" t="str">
        <x:v>Inspection physique</x:v>
      </x:c>
      <x:c r="G63" s="115" t="str">
        <x:v>1 niveaux ; 24 pièces ; 186 segments de mur ; 0 transitions. Inspection physique ; architecture complète encore ouverte.</x:v>
      </x:c>
      <x:c r="H63" s="115" t="str">
        <x:v>L 242 ; l 200 ; hauteur 4,6 m ; choix de composition auteur ; dimensions réelles à documenter</x:v>
      </x:c>
      <x:c r="I63" s="115" t="str">
        <x:v>À équilibrer</x:v>
      </x:c>
      <x:c r="J63" s="115" t="str">
        <x:v>Non</x:v>
      </x:c>
      <x:c r="K63" s="115" t="str">
        <x:v>Pièces décrites, murs, portes, niveaux et mobilier inspectables à l’échelle. Volumes réservés, raccord au seed, butin, rencontres et services de campagne restent à terminer.</x:v>
      </x:c>
    </x:row>
    <x:row r="64" ht="96" customHeight="1">
      <x:c r="A64" s="115" t="str">
        <x:v>EXT-MONDE-T002-V09</x:v>
      </x:c>
      <x:c r="B64" s="115" t="str">
        <x:v>EXT-MONDE-T002</x:v>
      </x:c>
      <x:c r="C64" s="115" t="str">
        <x:v>Lacs</x:v>
      </x:c>
      <x:c r="D64" s="115" t="str">
        <x:v>Village de pêche lacustre</x:v>
      </x:c>
      <x:c r="E64" s="115" t="n">
        <x:v>9</x:v>
      </x:c>
      <x:c r="F64" s="115" t="str">
        <x:v>Inspection physique</x:v>
      </x:c>
      <x:c r="G64" s="115" t="str">
        <x:v>1 niveaux ; 24 pièces ; 186 segments de mur ; 0 transitions. Inspection physique ; architecture complète encore ouverte.</x:v>
      </x:c>
      <x:c r="H64" s="115" t="str">
        <x:v>L 242 ; l 200 ; hauteur 4,6 m ; choix de composition auteur ; dimensions réelles à documenter</x:v>
      </x:c>
      <x:c r="I64" s="115" t="str">
        <x:v>À équilibrer</x:v>
      </x:c>
      <x:c r="J64" s="115" t="str">
        <x:v>Non</x:v>
      </x:c>
      <x:c r="K64" s="115" t="str">
        <x:v>Pièces décrites, murs, portes, niveaux et mobilier inspectables à l’échelle. Volumes réservés, raccord au seed, butin, rencontres et services de campagne restent à terminer.</x:v>
      </x:c>
    </x:row>
    <x:row r="65" ht="96" customHeight="1">
      <x:c r="A65" s="115" t="str">
        <x:v>EXT-MONDE-T002-V10</x:v>
      </x:c>
      <x:c r="B65" s="115" t="str">
        <x:v>EXT-MONDE-T002</x:v>
      </x:c>
      <x:c r="C65" s="115" t="str">
        <x:v>Lacs</x:v>
      </x:c>
      <x:c r="D65" s="115" t="str">
        <x:v>Village de pêche lacustre</x:v>
      </x:c>
      <x:c r="E65" s="115" t="n">
        <x:v>10</x:v>
      </x:c>
      <x:c r="F65" s="115" t="str">
        <x:v>Inspection physique</x:v>
      </x:c>
      <x:c r="G65" s="115" t="str">
        <x:v>1 niveaux ; 24 pièces ; 186 segments de mur ; 0 transitions. Inspection physique ; architecture complète encore ouverte.</x:v>
      </x:c>
      <x:c r="H65" s="115" t="str">
        <x:v>L 242 ; l 200 ; hauteur 4,6 m ; choix de composition auteur ; dimensions réelles à documenter</x:v>
      </x:c>
      <x:c r="I65" s="115" t="str">
        <x:v>À équilibrer</x:v>
      </x:c>
      <x:c r="J65" s="115" t="str">
        <x:v>Non</x:v>
      </x:c>
      <x:c r="K65" s="115" t="str">
        <x:v>Pièces décrites, murs, portes, niveaux et mobilier inspectables à l’échelle. Volumes réservés, raccord au seed, butin, rencontres et services de campagne restent à terminer.</x:v>
      </x:c>
    </x:row>
    <x:row r="66" ht="96" customHeight="1">
      <x:c r="A66" s="115" t="str">
        <x:v>EXT-MONDE-T002-V11</x:v>
      </x:c>
      <x:c r="B66" s="115" t="str">
        <x:v>EXT-MONDE-T002</x:v>
      </x:c>
      <x:c r="C66" s="115" t="str">
        <x:v>Lacs</x:v>
      </x:c>
      <x:c r="D66" s="115" t="str">
        <x:v>Village de pêche lacustre</x:v>
      </x:c>
      <x:c r="E66" s="115" t="n">
        <x:v>11</x:v>
      </x:c>
      <x:c r="F66" s="115" t="str">
        <x:v>Inspection physique</x:v>
      </x:c>
      <x:c r="G66" s="115" t="str">
        <x:v>1 niveaux ; 24 pièces ; 186 segments de mur ; 0 transitions. Inspection physique ; architecture complète encore ouverte.</x:v>
      </x:c>
      <x:c r="H66" s="115" t="str">
        <x:v>L 256 ; l 216 ; hauteur 4,75 m ; choix de composition auteur ; dimensions réelles à documenter</x:v>
      </x:c>
      <x:c r="I66" s="115" t="str">
        <x:v>À équilibrer</x:v>
      </x:c>
      <x:c r="J66" s="115" t="str">
        <x:v>Non</x:v>
      </x:c>
      <x:c r="K66" s="115" t="str">
        <x:v>Pièces décrites, murs, portes, niveaux et mobilier inspectables à l’échelle. Volumes réservés, raccord au seed, butin, rencontres et services de campagne restent à terminer.</x:v>
      </x:c>
    </x:row>
    <x:row r="67" ht="96" customHeight="1">
      <x:c r="A67" s="115" t="str">
        <x:v>EXT-MONDE-T002-V12</x:v>
      </x:c>
      <x:c r="B67" s="115" t="str">
        <x:v>EXT-MONDE-T002</x:v>
      </x:c>
      <x:c r="C67" s="115" t="str">
        <x:v>Lacs</x:v>
      </x:c>
      <x:c r="D67" s="115" t="str">
        <x:v>Village de pêche lacustre</x:v>
      </x:c>
      <x:c r="E67" s="115" t="n">
        <x:v>12</x:v>
      </x:c>
      <x:c r="F67" s="115" t="str">
        <x:v>Inspection physique</x:v>
      </x:c>
      <x:c r="G67" s="115" t="str">
        <x:v>1 niveaux ; 24 pièces ; 186 segments de mur ; 0 transitions. Inspection physique ; architecture complète encore ouverte.</x:v>
      </x:c>
      <x:c r="H67" s="115" t="str">
        <x:v>L 256 ; l 216 ; hauteur 4,75 m ; choix de composition auteur ; dimensions réelles à documenter</x:v>
      </x:c>
      <x:c r="I67" s="115" t="str">
        <x:v>À équilibrer</x:v>
      </x:c>
      <x:c r="J67" s="115" t="str">
        <x:v>Non</x:v>
      </x:c>
      <x:c r="K67" s="115" t="str">
        <x:v>Pièces décrites, murs, portes, niveaux et mobilier inspectables à l’échelle. Volumes réservés, raccord au seed, butin, rencontres et services de campagne restent à terminer.</x:v>
      </x:c>
    </x:row>
    <x:row r="68" ht="96" customHeight="1">
      <x:c r="A68" s="115" t="str">
        <x:v>EXT-MONDE-T002-V13</x:v>
      </x:c>
      <x:c r="B68" s="115" t="str">
        <x:v>EXT-MONDE-T002</x:v>
      </x:c>
      <x:c r="C68" s="115" t="str">
        <x:v>Lacs</x:v>
      </x:c>
      <x:c r="D68" s="115" t="str">
        <x:v>Village de pêche lacustre</x:v>
      </x:c>
      <x:c r="E68" s="115" t="n">
        <x:v>13</x:v>
      </x:c>
      <x:c r="F68" s="115" t="str">
        <x:v>Inspection physique</x:v>
      </x:c>
      <x:c r="G68" s="115" t="str">
        <x:v>1 niveaux ; 24 pièces ; 186 segments de mur ; 0 transitions. Inspection physique ; architecture complète encore ouverte.</x:v>
      </x:c>
      <x:c r="H68" s="115" t="str">
        <x:v>L 256 ; l 216 ; hauteur 4,75 m ; choix de composition auteur ; dimensions réelles à documenter</x:v>
      </x:c>
      <x:c r="I68" s="115" t="str">
        <x:v>À équilibrer</x:v>
      </x:c>
      <x:c r="J68" s="115" t="str">
        <x:v>Non</x:v>
      </x:c>
      <x:c r="K68" s="115" t="str">
        <x:v>Pièces décrites, murs, portes, niveaux et mobilier inspectables à l’échelle. Volumes réservés, raccord au seed, butin, rencontres et services de campagne restent à terminer.</x:v>
      </x:c>
    </x:row>
    <x:row r="69" ht="96" customHeight="1">
      <x:c r="A69" s="115" t="str">
        <x:v>EXT-MONDE-T002-V14</x:v>
      </x:c>
      <x:c r="B69" s="115" t="str">
        <x:v>EXT-MONDE-T002</x:v>
      </x:c>
      <x:c r="C69" s="115" t="str">
        <x:v>Lacs</x:v>
      </x:c>
      <x:c r="D69" s="115" t="str">
        <x:v>Village de pêche lacustre</x:v>
      </x:c>
      <x:c r="E69" s="115" t="n">
        <x:v>14</x:v>
      </x:c>
      <x:c r="F69" s="115" t="str">
        <x:v>Inspection physique</x:v>
      </x:c>
      <x:c r="G69" s="115" t="str">
        <x:v>1 niveaux ; 24 pièces ; 186 segments de mur ; 0 transitions. Inspection physique ; architecture complète encore ouverte.</x:v>
      </x:c>
      <x:c r="H69" s="115" t="str">
        <x:v>L 256 ; l 216 ; hauteur 4,75 m ; choix de composition auteur ; dimensions réelles à documenter</x:v>
      </x:c>
      <x:c r="I69" s="115" t="str">
        <x:v>À équilibrer</x:v>
      </x:c>
      <x:c r="J69" s="115" t="str">
        <x:v>Non</x:v>
      </x:c>
      <x:c r="K69" s="115" t="str">
        <x:v>Pièces décrites, murs, portes, niveaux et mobilier inspectables à l’échelle. Volumes réservés, raccord au seed, butin, rencontres et services de campagne restent à terminer.</x:v>
      </x:c>
    </x:row>
    <x:row r="70" ht="96" customHeight="1">
      <x:c r="A70" s="115" t="str">
        <x:v>EXT-MONDE-T002-V15</x:v>
      </x:c>
      <x:c r="B70" s="115" t="str">
        <x:v>EXT-MONDE-T002</x:v>
      </x:c>
      <x:c r="C70" s="115" t="str">
        <x:v>Lacs</x:v>
      </x:c>
      <x:c r="D70" s="115" t="str">
        <x:v>Village de pêche lacustre</x:v>
      </x:c>
      <x:c r="E70" s="115" t="n">
        <x:v>15</x:v>
      </x:c>
      <x:c r="F70" s="115" t="str">
        <x:v>Inspection physique</x:v>
      </x:c>
      <x:c r="G70" s="115" t="str">
        <x:v>1 niveaux ; 24 pièces ; 186 segments de mur ; 0 transitions. Inspection physique ; architecture complète encore ouverte.</x:v>
      </x:c>
      <x:c r="H70" s="115" t="str">
        <x:v>L 256 ; l 216 ; hauteur 4,75 m ; choix de composition auteur ; dimensions réelles à documenter</x:v>
      </x:c>
      <x:c r="I70" s="115" t="str">
        <x:v>À équilibrer</x:v>
      </x:c>
      <x:c r="J70" s="115" t="str">
        <x:v>Non</x:v>
      </x:c>
      <x:c r="K70" s="115" t="str">
        <x:v>Pièces décrites, murs, portes, niveaux et mobilier inspectables à l’échelle. Volumes réservés, raccord au seed, butin, rencontres et services de campagne restent à terminer.</x:v>
      </x:c>
    </x:row>
    <x:row r="71" ht="96" customHeight="1">
      <x:c r="A71" s="115" t="str">
        <x:v>EXT-MONDE-T002-V16</x:v>
      </x:c>
      <x:c r="B71" s="115" t="str">
        <x:v>EXT-MONDE-T002</x:v>
      </x:c>
      <x:c r="C71" s="115" t="str">
        <x:v>Lacs</x:v>
      </x:c>
      <x:c r="D71" s="115" t="str">
        <x:v>Village de pêche lacustre</x:v>
      </x:c>
      <x:c r="E71" s="115" t="n">
        <x:v>16</x:v>
      </x:c>
      <x:c r="F71" s="115" t="str">
        <x:v>Inspection physique</x:v>
      </x:c>
      <x:c r="G71" s="115" t="str">
        <x:v>1 niveaux ; 24 pièces ; 186 segments de mur ; 0 transitions. Inspection physique ; architecture complète encore ouverte.</x:v>
      </x:c>
      <x:c r="H71" s="115" t="str">
        <x:v>L 256 ; l 216 ; hauteur 4,75 m ; choix de composition auteur ; dimensions réelles à documenter</x:v>
      </x:c>
      <x:c r="I71" s="115" t="str">
        <x:v>À équilibrer</x:v>
      </x:c>
      <x:c r="J71" s="115" t="str">
        <x:v>Non</x:v>
      </x:c>
      <x:c r="K71" s="115" t="str">
        <x:v>Pièces décrites, murs, portes, niveaux et mobilier inspectables à l’échelle. Volumes réservés, raccord au seed, butin, rencontres et services de campagne restent à terminer.</x:v>
      </x:c>
    </x:row>
    <x:row r="72" ht="96" customHeight="1">
      <x:c r="A72" s="115" t="str">
        <x:v>EXT-MONDE-T002-V17</x:v>
      </x:c>
      <x:c r="B72" s="115" t="str">
        <x:v>EXT-MONDE-T002</x:v>
      </x:c>
      <x:c r="C72" s="115" t="str">
        <x:v>Lacs</x:v>
      </x:c>
      <x:c r="D72" s="115" t="str">
        <x:v>Village de pêche lacustre</x:v>
      </x:c>
      <x:c r="E72" s="115" t="n">
        <x:v>17</x:v>
      </x:c>
      <x:c r="F72" s="115" t="str">
        <x:v>Inspection physique</x:v>
      </x:c>
      <x:c r="G72" s="115" t="str">
        <x:v>1 niveaux ; 24 pièces ; 186 segments de mur ; 0 transitions. Inspection physique ; architecture complète encore ouverte.</x:v>
      </x:c>
      <x:c r="H72" s="115" t="str">
        <x:v>L 256 ; l 216 ; hauteur 4,75 m ; choix de composition auteur ; dimensions réelles à documenter</x:v>
      </x:c>
      <x:c r="I72" s="115" t="str">
        <x:v>À équilibrer</x:v>
      </x:c>
      <x:c r="J72" s="115" t="str">
        <x:v>Non</x:v>
      </x:c>
      <x:c r="K72" s="115" t="str">
        <x:v>Pièces décrites, murs, portes, niveaux et mobilier inspectables à l’échelle. Volumes réservés, raccord au seed, butin, rencontres et services de campagne restent à terminer.</x:v>
      </x:c>
    </x:row>
    <x:row r="73" ht="96" customHeight="1">
      <x:c r="A73" s="115" t="str">
        <x:v>EXT-MONDE-T002-V18</x:v>
      </x:c>
      <x:c r="B73" s="115" t="str">
        <x:v>EXT-MONDE-T002</x:v>
      </x:c>
      <x:c r="C73" s="115" t="str">
        <x:v>Lacs</x:v>
      </x:c>
      <x:c r="D73" s="115" t="str">
        <x:v>Village de pêche lacustre</x:v>
      </x:c>
      <x:c r="E73" s="115" t="n">
        <x:v>18</x:v>
      </x:c>
      <x:c r="F73" s="115" t="str">
        <x:v>Inspection physique</x:v>
      </x:c>
      <x:c r="G73" s="115" t="str">
        <x:v>1 niveaux ; 24 pièces ; 186 segments de mur ; 0 transitions. Inspection physique ; architecture complète encore ouverte.</x:v>
      </x:c>
      <x:c r="H73" s="115" t="str">
        <x:v>L 256 ; l 216 ; hauteur 4,75 m ; choix de composition auteur ; dimensions réelles à documenter</x:v>
      </x:c>
      <x:c r="I73" s="115" t="str">
        <x:v>À équilibrer</x:v>
      </x:c>
      <x:c r="J73" s="115" t="str">
        <x:v>Non</x:v>
      </x:c>
      <x:c r="K73" s="115" t="str">
        <x:v>Pièces décrites, murs, portes, niveaux et mobilier inspectables à l’échelle. Volumes réservés, raccord au seed, butin, rencontres et services de campagne restent à terminer.</x:v>
      </x:c>
    </x:row>
    <x:row r="74" ht="96" customHeight="1">
      <x:c r="A74" s="115" t="str">
        <x:v>EXT-MONDE-T002-V19</x:v>
      </x:c>
      <x:c r="B74" s="115" t="str">
        <x:v>EXT-MONDE-T002</x:v>
      </x:c>
      <x:c r="C74" s="115" t="str">
        <x:v>Lacs</x:v>
      </x:c>
      <x:c r="D74" s="115" t="str">
        <x:v>Village de pêche lacustre</x:v>
      </x:c>
      <x:c r="E74" s="115" t="n">
        <x:v>19</x:v>
      </x:c>
      <x:c r="F74" s="115" t="str">
        <x:v>Inspection physique</x:v>
      </x:c>
      <x:c r="G74" s="115" t="str">
        <x:v>1 niveaux ; 24 pièces ; 186 segments de mur ; 0 transitions. Inspection physique ; architecture complète encore ouverte.</x:v>
      </x:c>
      <x:c r="H74" s="115" t="str">
        <x:v>L 256 ; l 216 ; hauteur 4,75 m ; choix de composition auteur ; dimensions réelles à documenter</x:v>
      </x:c>
      <x:c r="I74" s="115" t="str">
        <x:v>À équilibrer</x:v>
      </x:c>
      <x:c r="J74" s="115" t="str">
        <x:v>Non</x:v>
      </x:c>
      <x:c r="K74" s="115" t="str">
        <x:v>Pièces décrites, murs, portes, niveaux et mobilier inspectables à l’échelle. Volumes réservés, raccord au seed, butin, rencontres et services de campagne restent à terminer.</x:v>
      </x:c>
    </x:row>
    <x:row r="75" ht="96" customHeight="1">
      <x:c r="A75" s="115" t="str">
        <x:v>EXT-MONDE-T002-V20</x:v>
      </x:c>
      <x:c r="B75" s="115" t="str">
        <x:v>EXT-MONDE-T002</x:v>
      </x:c>
      <x:c r="C75" s="115" t="str">
        <x:v>Lacs</x:v>
      </x:c>
      <x:c r="D75" s="115" t="str">
        <x:v>Village de pêche lacustre</x:v>
      </x:c>
      <x:c r="E75" s="115" t="n">
        <x:v>20</x:v>
      </x:c>
      <x:c r="F75" s="115" t="str">
        <x:v>Inspection physique</x:v>
      </x:c>
      <x:c r="G75" s="115" t="str">
        <x:v>1 niveaux ; 24 pièces ; 186 segments de mur ; 0 transitions. Inspection physique ; architecture complète encore ouverte.</x:v>
      </x:c>
      <x:c r="H75" s="115" t="str">
        <x:v>L 256 ; l 216 ; hauteur 4,75 m ; choix de composition auteur ; dimensions réelles à documenter</x:v>
      </x:c>
      <x:c r="I75" s="115" t="str">
        <x:v>À équilibrer</x:v>
      </x:c>
      <x:c r="J75" s="115" t="str">
        <x:v>Non</x:v>
      </x:c>
      <x:c r="K75" s="115" t="str">
        <x:v>Pièces décrites, murs, portes, niveaux et mobilier inspectables à l’échelle. Volumes réservés, raccord au seed, butin, rencontres et services de campagne restent à terminer.</x:v>
      </x:c>
    </x:row>
    <x:row r="76" ht="96" customHeight="1">
      <x:c r="A76" s="115" t="str">
        <x:v>EXT-MONDE-T002-V21</x:v>
      </x:c>
      <x:c r="B76" s="115" t="str">
        <x:v>EXT-MONDE-T002</x:v>
      </x:c>
      <x:c r="C76" s="115" t="str">
        <x:v>Lacs</x:v>
      </x:c>
      <x:c r="D76" s="115" t="str">
        <x:v>Village de pêche lacustre</x:v>
      </x:c>
      <x:c r="E76" s="115" t="n">
        <x:v>21</x:v>
      </x:c>
      <x:c r="F76" s="115" t="str">
        <x:v>Inspection physique</x:v>
      </x:c>
      <x:c r="G76" s="115" t="str">
        <x:v>1 niveaux ; 24 pièces ; 186 segments de mur ; 0 transitions. Inspection physique ; architecture complète encore ouverte.</x:v>
      </x:c>
      <x:c r="H76" s="115" t="str">
        <x:v>L 270 ; l 232 ; hauteur 4,9 m ; choix de composition auteur ; dimensions réelles à documenter</x:v>
      </x:c>
      <x:c r="I76" s="115" t="str">
        <x:v>À équilibrer</x:v>
      </x:c>
      <x:c r="J76" s="115" t="str">
        <x:v>Non</x:v>
      </x:c>
      <x:c r="K76" s="115" t="str">
        <x:v>Pièces décrites, murs, portes, niveaux et mobilier inspectables à l’échelle. Volumes réservés, raccord au seed, butin, rencontres et services de campagne restent à terminer.</x:v>
      </x:c>
    </x:row>
    <x:row r="77" ht="96" customHeight="1">
      <x:c r="A77" s="115" t="str">
        <x:v>EXT-MONDE-T002-V22</x:v>
      </x:c>
      <x:c r="B77" s="115" t="str">
        <x:v>EXT-MONDE-T002</x:v>
      </x:c>
      <x:c r="C77" s="115" t="str">
        <x:v>Lacs</x:v>
      </x:c>
      <x:c r="D77" s="115" t="str">
        <x:v>Village de pêche lacustre</x:v>
      </x:c>
      <x:c r="E77" s="115" t="n">
        <x:v>22</x:v>
      </x:c>
      <x:c r="F77" s="115" t="str">
        <x:v>Inspection physique</x:v>
      </x:c>
      <x:c r="G77" s="115" t="str">
        <x:v>1 niveaux ; 24 pièces ; 186 segments de mur ; 0 transitions. Inspection physique ; architecture complète encore ouverte.</x:v>
      </x:c>
      <x:c r="H77" s="115" t="str">
        <x:v>L 270 ; l 232 ; hauteur 4,9 m ; choix de composition auteur ; dimensions réelles à documenter</x:v>
      </x:c>
      <x:c r="I77" s="115" t="str">
        <x:v>À équilibrer</x:v>
      </x:c>
      <x:c r="J77" s="115" t="str">
        <x:v>Non</x:v>
      </x:c>
      <x:c r="K77" s="115" t="str">
        <x:v>Pièces décrites, murs, portes, niveaux et mobilier inspectables à l’échelle. Volumes réservés, raccord au seed, butin, rencontres et services de campagne restent à terminer.</x:v>
      </x:c>
    </x:row>
    <x:row r="78" ht="96" customHeight="1">
      <x:c r="A78" s="115" t="str">
        <x:v>EXT-MONDE-T002-V23</x:v>
      </x:c>
      <x:c r="B78" s="115" t="str">
        <x:v>EXT-MONDE-T002</x:v>
      </x:c>
      <x:c r="C78" s="115" t="str">
        <x:v>Lacs</x:v>
      </x:c>
      <x:c r="D78" s="115" t="str">
        <x:v>Village de pêche lacustre</x:v>
      </x:c>
      <x:c r="E78" s="115" t="n">
        <x:v>23</x:v>
      </x:c>
      <x:c r="F78" s="115" t="str">
        <x:v>Inspection physique</x:v>
      </x:c>
      <x:c r="G78" s="115" t="str">
        <x:v>1 niveaux ; 24 pièces ; 186 segments de mur ; 0 transitions. Inspection physique ; architecture complète encore ouverte.</x:v>
      </x:c>
      <x:c r="H78" s="115" t="str">
        <x:v>L 270 ; l 232 ; hauteur 4,9 m ; choix de composition auteur ; dimensions réelles à documenter</x:v>
      </x:c>
      <x:c r="I78" s="115" t="str">
        <x:v>À équilibrer</x:v>
      </x:c>
      <x:c r="J78" s="115" t="str">
        <x:v>Non</x:v>
      </x:c>
      <x:c r="K78" s="115" t="str">
        <x:v>Pièces décrites, murs, portes, niveaux et mobilier inspectables à l’échelle. Volumes réservés, raccord au seed, butin, rencontres et services de campagne restent à terminer.</x:v>
      </x:c>
    </x:row>
    <x:row r="79" ht="96" customHeight="1">
      <x:c r="A79" s="115" t="str">
        <x:v>EXT-MONDE-T002-V24</x:v>
      </x:c>
      <x:c r="B79" s="115" t="str">
        <x:v>EXT-MONDE-T002</x:v>
      </x:c>
      <x:c r="C79" s="115" t="str">
        <x:v>Lacs</x:v>
      </x:c>
      <x:c r="D79" s="115" t="str">
        <x:v>Village de pêche lacustre</x:v>
      </x:c>
      <x:c r="E79" s="115" t="n">
        <x:v>24</x:v>
      </x:c>
      <x:c r="F79" s="115" t="str">
        <x:v>Inspection physique</x:v>
      </x:c>
      <x:c r="G79" s="115" t="str">
        <x:v>1 niveaux ; 24 pièces ; 186 segments de mur ; 0 transitions. Inspection physique ; architecture complète encore ouverte.</x:v>
      </x:c>
      <x:c r="H79" s="115" t="str">
        <x:v>L 270 ; l 232 ; hauteur 4,9 m ; choix de composition auteur ; dimensions réelles à documenter</x:v>
      </x:c>
      <x:c r="I79" s="115" t="str">
        <x:v>À équilibrer</x:v>
      </x:c>
      <x:c r="J79" s="115" t="str">
        <x:v>Non</x:v>
      </x:c>
      <x:c r="K79" s="115" t="str">
        <x:v>Pièces décrites, murs, portes, niveaux et mobilier inspectables à l’échelle. Volumes réservés, raccord au seed, butin, rencontres et services de campagne restent à terminer.</x:v>
      </x:c>
    </x:row>
    <x:row r="80" ht="96" customHeight="1">
      <x:c r="A80" s="115" t="str">
        <x:v>EXT-MONDE-T002-V25</x:v>
      </x:c>
      <x:c r="B80" s="115" t="str">
        <x:v>EXT-MONDE-T002</x:v>
      </x:c>
      <x:c r="C80" s="115" t="str">
        <x:v>Lacs</x:v>
      </x:c>
      <x:c r="D80" s="115" t="str">
        <x:v>Village de pêche lacustre</x:v>
      </x:c>
      <x:c r="E80" s="115" t="n">
        <x:v>25</x:v>
      </x:c>
      <x:c r="F80" s="115" t="str">
        <x:v>Inspection physique</x:v>
      </x:c>
      <x:c r="G80" s="115" t="str">
        <x:v>1 niveaux ; 24 pièces ; 186 segments de mur ; 0 transitions. Inspection physique ; architecture complète encore ouverte.</x:v>
      </x:c>
      <x:c r="H80" s="115" t="str">
        <x:v>L 270 ; l 232 ; hauteur 4,9 m ; choix de composition auteur ; dimensions réelles à documenter</x:v>
      </x:c>
      <x:c r="I80" s="115" t="str">
        <x:v>À équilibrer</x:v>
      </x:c>
      <x:c r="J80" s="115" t="str">
        <x:v>Non</x:v>
      </x:c>
      <x:c r="K80" s="115" t="str">
        <x:v>Pièces décrites, murs, portes, niveaux et mobilier inspectables à l’échelle. Volumes réservés, raccord au seed, butin, rencontres et services de campagne restent à terminer.</x:v>
      </x:c>
    </x:row>
    <x:row r="81" ht="96" customHeight="1">
      <x:c r="A81" s="115" t="str">
        <x:v>EXT-MONDE-T002-V26</x:v>
      </x:c>
      <x:c r="B81" s="115" t="str">
        <x:v>EXT-MONDE-T002</x:v>
      </x:c>
      <x:c r="C81" s="115" t="str">
        <x:v>Lacs</x:v>
      </x:c>
      <x:c r="D81" s="115" t="str">
        <x:v>Village de pêche lacustre</x:v>
      </x:c>
      <x:c r="E81" s="115" t="n">
        <x:v>26</x:v>
      </x:c>
      <x:c r="F81" s="115" t="str">
        <x:v>Inspection physique</x:v>
      </x:c>
      <x:c r="G81" s="115" t="str">
        <x:v>1 niveaux ; 24 pièces ; 186 segments de mur ; 0 transitions. Inspection physique ; architecture complète encore ouverte.</x:v>
      </x:c>
      <x:c r="H81" s="115" t="str">
        <x:v>L 270 ; l 232 ; hauteur 4,9 m ; choix de composition auteur ; dimensions réelles à documenter</x:v>
      </x:c>
      <x:c r="I81" s="115" t="str">
        <x:v>À équilibrer</x:v>
      </x:c>
      <x:c r="J81" s="115" t="str">
        <x:v>Non</x:v>
      </x:c>
      <x:c r="K81" s="115" t="str">
        <x:v>Pièces décrites, murs, portes, niveaux et mobilier inspectables à l’échelle. Volumes réservés, raccord au seed, butin, rencontres et services de campagne restent à terminer.</x:v>
      </x:c>
    </x:row>
    <x:row r="82" ht="96" customHeight="1">
      <x:c r="A82" s="115" t="str">
        <x:v>EXT-MONDE-T002-V27</x:v>
      </x:c>
      <x:c r="B82" s="115" t="str">
        <x:v>EXT-MONDE-T002</x:v>
      </x:c>
      <x:c r="C82" s="115" t="str">
        <x:v>Lacs</x:v>
      </x:c>
      <x:c r="D82" s="115" t="str">
        <x:v>Village de pêche lacustre</x:v>
      </x:c>
      <x:c r="E82" s="115" t="n">
        <x:v>27</x:v>
      </x:c>
      <x:c r="F82" s="115" t="str">
        <x:v>Inspection physique</x:v>
      </x:c>
      <x:c r="G82" s="115" t="str">
        <x:v>1 niveaux ; 24 pièces ; 186 segments de mur ; 0 transitions. Inspection physique ; architecture complète encore ouverte.</x:v>
      </x:c>
      <x:c r="H82" s="115" t="str">
        <x:v>L 270 ; l 232 ; hauteur 4,9 m ; choix de composition auteur ; dimensions réelles à documenter</x:v>
      </x:c>
      <x:c r="I82" s="115" t="str">
        <x:v>À équilibrer</x:v>
      </x:c>
      <x:c r="J82" s="115" t="str">
        <x:v>Non</x:v>
      </x:c>
      <x:c r="K82" s="115" t="str">
        <x:v>Pièces décrites, murs, portes, niveaux et mobilier inspectables à l’échelle. Volumes réservés, raccord au seed, butin, rencontres et services de campagne restent à terminer.</x:v>
      </x:c>
    </x:row>
    <x:row r="83" ht="96" customHeight="1">
      <x:c r="A83" s="115" t="str">
        <x:v>EXT-MONDE-T002-V28</x:v>
      </x:c>
      <x:c r="B83" s="115" t="str">
        <x:v>EXT-MONDE-T002</x:v>
      </x:c>
      <x:c r="C83" s="115" t="str">
        <x:v>Lacs</x:v>
      </x:c>
      <x:c r="D83" s="115" t="str">
        <x:v>Village de pêche lacustre</x:v>
      </x:c>
      <x:c r="E83" s="115" t="n">
        <x:v>28</x:v>
      </x:c>
      <x:c r="F83" s="115" t="str">
        <x:v>Inspection physique</x:v>
      </x:c>
      <x:c r="G83" s="115" t="str">
        <x:v>1 niveaux ; 24 pièces ; 186 segments de mur ; 0 transitions. Inspection physique ; architecture complète encore ouverte.</x:v>
      </x:c>
      <x:c r="H83" s="115" t="str">
        <x:v>L 270 ; l 232 ; hauteur 4,9 m ; choix de composition auteur ; dimensions réelles à documenter</x:v>
      </x:c>
      <x:c r="I83" s="115" t="str">
        <x:v>À équilibrer</x:v>
      </x:c>
      <x:c r="J83" s="115" t="str">
        <x:v>Non</x:v>
      </x:c>
      <x:c r="K83" s="115" t="str">
        <x:v>Pièces décrites, murs, portes, niveaux et mobilier inspectables à l’échelle. Volumes réservés, raccord au seed, butin, rencontres et services de campagne restent à terminer.</x:v>
      </x:c>
    </x:row>
    <x:row r="84" ht="96" customHeight="1">
      <x:c r="A84" s="115" t="str">
        <x:v>EXT-MONDE-T002-V29</x:v>
      </x:c>
      <x:c r="B84" s="115" t="str">
        <x:v>EXT-MONDE-T002</x:v>
      </x:c>
      <x:c r="C84" s="115" t="str">
        <x:v>Lacs</x:v>
      </x:c>
      <x:c r="D84" s="115" t="str">
        <x:v>Village de pêche lacustre</x:v>
      </x:c>
      <x:c r="E84" s="115" t="n">
        <x:v>29</x:v>
      </x:c>
      <x:c r="F84" s="115" t="str">
        <x:v>Inspection physique</x:v>
      </x:c>
      <x:c r="G84" s="115" t="str">
        <x:v>1 niveaux ; 24 pièces ; 186 segments de mur ; 0 transitions. Inspection physique ; architecture complète encore ouverte.</x:v>
      </x:c>
      <x:c r="H84" s="115" t="str">
        <x:v>L 270 ; l 232 ; hauteur 4,9 m ; choix de composition auteur ; dimensions réelles à documenter</x:v>
      </x:c>
      <x:c r="I84" s="115" t="str">
        <x:v>À équilibrer</x:v>
      </x:c>
      <x:c r="J84" s="115" t="str">
        <x:v>Non</x:v>
      </x:c>
      <x:c r="K84" s="115" t="str">
        <x:v>Pièces décrites, murs, portes, niveaux et mobilier inspectables à l’échelle. Volumes réservés, raccord au seed, butin, rencontres et services de campagne restent à terminer.</x:v>
      </x:c>
    </x:row>
    <x:row r="85" ht="96" customHeight="1">
      <x:c r="A85" s="115" t="str">
        <x:v>EXT-MONDE-T002-V30</x:v>
      </x:c>
      <x:c r="B85" s="115" t="str">
        <x:v>EXT-MONDE-T002</x:v>
      </x:c>
      <x:c r="C85" s="115" t="str">
        <x:v>Lacs</x:v>
      </x:c>
      <x:c r="D85" s="115" t="str">
        <x:v>Village de pêche lacustre</x:v>
      </x:c>
      <x:c r="E85" s="115" t="n">
        <x:v>30</x:v>
      </x:c>
      <x:c r="F85" s="115" t="str">
        <x:v>Inspection physique</x:v>
      </x:c>
      <x:c r="G85" s="115" t="str">
        <x:v>1 niveaux ; 24 pièces ; 186 segments de mur ; 0 transitions. Inspection physique ; architecture complète encore ouverte.</x:v>
      </x:c>
      <x:c r="H85" s="115" t="str">
        <x:v>L 270 ; l 232 ; hauteur 4,9 m ; choix de composition auteur ; dimensions réelles à documenter</x:v>
      </x:c>
      <x:c r="I85" s="115" t="str">
        <x:v>À équilibrer</x:v>
      </x:c>
      <x:c r="J85" s="115" t="str">
        <x:v>Non</x:v>
      </x:c>
      <x:c r="K85" s="115" t="str">
        <x:v>Pièces décrites, murs, portes, niveaux et mobilier inspectables à l’échelle. Volumes réservés, raccord au seed, butin, rencontres et services de campagne restent à terminer.</x:v>
      </x:c>
    </x:row>
    <x:row r="86" ht="96" customHeight="1">
      <x:c r="A86" s="115" t="str">
        <x:v>EXT-MONDE-T002-V31</x:v>
      </x:c>
      <x:c r="B86" s="115" t="str">
        <x:v>EXT-MONDE-T002</x:v>
      </x:c>
      <x:c r="C86" s="115" t="str">
        <x:v>Lacs</x:v>
      </x:c>
      <x:c r="D86" s="115" t="str">
        <x:v>Village de pêche lacustre</x:v>
      </x:c>
      <x:c r="E86" s="115" t="n">
        <x:v>31</x:v>
      </x:c>
      <x:c r="F86" s="115" t="str">
        <x:v>Inspection physique</x:v>
      </x:c>
      <x:c r="G86" s="115" t="str">
        <x:v>1 niveaux ; 24 pièces ; 186 segments de mur ; 0 transitions. Inspection physique ; architecture complète encore ouverte.</x:v>
      </x:c>
      <x:c r="H86" s="115" t="str">
        <x:v>L 284 ; l 248 ; hauteur 5,05 m ; choix de composition auteur ; dimensions réelles à documenter</x:v>
      </x:c>
      <x:c r="I86" s="115" t="str">
        <x:v>À équilibrer</x:v>
      </x:c>
      <x:c r="J86" s="115" t="str">
        <x:v>Non</x:v>
      </x:c>
      <x:c r="K86" s="115" t="str">
        <x:v>Pièces décrites, murs, portes, niveaux et mobilier inspectables à l’échelle. Volumes réservés, raccord au seed, butin, rencontres et services de campagne restent à terminer.</x:v>
      </x:c>
    </x:row>
    <x:row r="87" ht="96" customHeight="1">
      <x:c r="A87" s="115" t="str">
        <x:v>EXT-MONDE-T002-V32</x:v>
      </x:c>
      <x:c r="B87" s="115" t="str">
        <x:v>EXT-MONDE-T002</x:v>
      </x:c>
      <x:c r="C87" s="115" t="str">
        <x:v>Lacs</x:v>
      </x:c>
      <x:c r="D87" s="115" t="str">
        <x:v>Village de pêche lacustre</x:v>
      </x:c>
      <x:c r="E87" s="115" t="n">
        <x:v>32</x:v>
      </x:c>
      <x:c r="F87" s="115" t="str">
        <x:v>Inspection physique</x:v>
      </x:c>
      <x:c r="G87" s="115" t="str">
        <x:v>1 niveaux ; 24 pièces ; 186 segments de mur ; 0 transitions. Inspection physique ; architecture complète encore ouverte.</x:v>
      </x:c>
      <x:c r="H87" s="115" t="str">
        <x:v>L 284 ; l 248 ; hauteur 5,05 m ; choix de composition auteur ; dimensions réelles à documenter</x:v>
      </x:c>
      <x:c r="I87" s="115" t="str">
        <x:v>À équilibrer</x:v>
      </x:c>
      <x:c r="J87" s="115" t="str">
        <x:v>Non</x:v>
      </x:c>
      <x:c r="K87" s="115" t="str">
        <x:v>Pièces décrites, murs, portes, niveaux et mobilier inspectables à l’échelle. Volumes réservés, raccord au seed, butin, rencontres et services de campagne restent à terminer.</x:v>
      </x:c>
    </x:row>
    <x:row r="88" ht="96" customHeight="1">
      <x:c r="A88" s="115" t="str">
        <x:v>EXT-MONDE-T002-V33</x:v>
      </x:c>
      <x:c r="B88" s="115" t="str">
        <x:v>EXT-MONDE-T002</x:v>
      </x:c>
      <x:c r="C88" s="115" t="str">
        <x:v>Lacs</x:v>
      </x:c>
      <x:c r="D88" s="115" t="str">
        <x:v>Village de pêche lacustre</x:v>
      </x:c>
      <x:c r="E88" s="115" t="n">
        <x:v>33</x:v>
      </x:c>
      <x:c r="F88" s="115" t="str">
        <x:v>Inspection physique</x:v>
      </x:c>
      <x:c r="G88" s="115" t="str">
        <x:v>1 niveaux ; 24 pièces ; 186 segments de mur ; 0 transitions. Inspection physique ; architecture complète encore ouverte.</x:v>
      </x:c>
      <x:c r="H88" s="115" t="str">
        <x:v>L 284 ; l 248 ; hauteur 5,05 m ; choix de composition auteur ; dimensions réelles à documenter</x:v>
      </x:c>
      <x:c r="I88" s="115" t="str">
        <x:v>À équilibrer</x:v>
      </x:c>
      <x:c r="J88" s="115" t="str">
        <x:v>Non</x:v>
      </x:c>
      <x:c r="K88" s="115" t="str">
        <x:v>Pièces décrites, murs, portes, niveaux et mobilier inspectables à l’échelle. Volumes réservés, raccord au seed, butin, rencontres et services de campagne restent à terminer.</x:v>
      </x:c>
    </x:row>
    <x:row r="89" ht="96" customHeight="1">
      <x:c r="A89" s="115" t="str">
        <x:v>EXT-MONDE-T002-V34</x:v>
      </x:c>
      <x:c r="B89" s="115" t="str">
        <x:v>EXT-MONDE-T002</x:v>
      </x:c>
      <x:c r="C89" s="115" t="str">
        <x:v>Lacs</x:v>
      </x:c>
      <x:c r="D89" s="115" t="str">
        <x:v>Village de pêche lacustre</x:v>
      </x:c>
      <x:c r="E89" s="115" t="n">
        <x:v>34</x:v>
      </x:c>
      <x:c r="F89" s="115" t="str">
        <x:v>Inspection physique</x:v>
      </x:c>
      <x:c r="G89" s="115" t="str">
        <x:v>1 niveaux ; 24 pièces ; 186 segments de mur ; 0 transitions. Inspection physique ; architecture complète encore ouverte.</x:v>
      </x:c>
      <x:c r="H89" s="115" t="str">
        <x:v>L 284 ; l 248 ; hauteur 5,05 m ; choix de composition auteur ; dimensions réelles à documenter</x:v>
      </x:c>
      <x:c r="I89" s="115" t="str">
        <x:v>À équilibrer</x:v>
      </x:c>
      <x:c r="J89" s="115" t="str">
        <x:v>Non</x:v>
      </x:c>
      <x:c r="K89" s="115" t="str">
        <x:v>Pièces décrites, murs, portes, niveaux et mobilier inspectables à l’échelle. Volumes réservés, raccord au seed, butin, rencontres et services de campagne restent à terminer.</x:v>
      </x:c>
    </x:row>
    <x:row r="90" ht="96" customHeight="1">
      <x:c r="A90" s="115" t="str">
        <x:v>EXT-MONDE-T002-V35</x:v>
      </x:c>
      <x:c r="B90" s="115" t="str">
        <x:v>EXT-MONDE-T002</x:v>
      </x:c>
      <x:c r="C90" s="115" t="str">
        <x:v>Lacs</x:v>
      </x:c>
      <x:c r="D90" s="115" t="str">
        <x:v>Village de pêche lacustre</x:v>
      </x:c>
      <x:c r="E90" s="115" t="n">
        <x:v>35</x:v>
      </x:c>
      <x:c r="F90" s="115" t="str">
        <x:v>Inspection physique</x:v>
      </x:c>
      <x:c r="G90" s="115" t="str">
        <x:v>1 niveaux ; 24 pièces ; 186 segments de mur ; 0 transitions. Inspection physique ; architecture complète encore ouverte.</x:v>
      </x:c>
      <x:c r="H90" s="115" t="str">
        <x:v>L 284 ; l 248 ; hauteur 5,05 m ; choix de composition auteur ; dimensions réelles à documenter</x:v>
      </x:c>
      <x:c r="I90" s="115" t="str">
        <x:v>À équilibrer</x:v>
      </x:c>
      <x:c r="J90" s="115" t="str">
        <x:v>Non</x:v>
      </x:c>
      <x:c r="K90" s="115" t="str">
        <x:v>Pièces décrites, murs, portes, niveaux et mobilier inspectables à l’échelle. Volumes réservés, raccord au seed, butin, rencontres et services de campagne restent à terminer.</x:v>
      </x:c>
    </x:row>
    <x:row r="91" ht="96" customHeight="1">
      <x:c r="A91" s="115" t="str">
        <x:v>EXT-MONDE-T002-V36</x:v>
      </x:c>
      <x:c r="B91" s="115" t="str">
        <x:v>EXT-MONDE-T002</x:v>
      </x:c>
      <x:c r="C91" s="115" t="str">
        <x:v>Lacs</x:v>
      </x:c>
      <x:c r="D91" s="115" t="str">
        <x:v>Village de pêche lacustre</x:v>
      </x:c>
      <x:c r="E91" s="115" t="n">
        <x:v>36</x:v>
      </x:c>
      <x:c r="F91" s="115" t="str">
        <x:v>Inspection physique</x:v>
      </x:c>
      <x:c r="G91" s="115" t="str">
        <x:v>1 niveaux ; 24 pièces ; 186 segments de mur ; 0 transitions. Inspection physique ; architecture complète encore ouverte.</x:v>
      </x:c>
      <x:c r="H91" s="115" t="str">
        <x:v>L 284 ; l 248 ; hauteur 5,05 m ; choix de composition auteur ; dimensions réelles à documenter</x:v>
      </x:c>
      <x:c r="I91" s="115" t="str">
        <x:v>À équilibrer</x:v>
      </x:c>
      <x:c r="J91" s="115" t="str">
        <x:v>Non</x:v>
      </x:c>
      <x:c r="K91" s="115" t="str">
        <x:v>Pièces décrites, murs, portes, niveaux et mobilier inspectables à l’échelle. Volumes réservés, raccord au seed, butin, rencontres et services de campagne restent à terminer.</x:v>
      </x:c>
    </x:row>
    <x:row r="92" ht="96" customHeight="1">
      <x:c r="A92" s="115" t="str">
        <x:v>EXT-MONDE-T002-V37</x:v>
      </x:c>
      <x:c r="B92" s="115" t="str">
        <x:v>EXT-MONDE-T002</x:v>
      </x:c>
      <x:c r="C92" s="115" t="str">
        <x:v>Lacs</x:v>
      </x:c>
      <x:c r="D92" s="115" t="str">
        <x:v>Village de pêche lacustre</x:v>
      </x:c>
      <x:c r="E92" s="115" t="n">
        <x:v>37</x:v>
      </x:c>
      <x:c r="F92" s="115" t="str">
        <x:v>Inspection physique</x:v>
      </x:c>
      <x:c r="G92" s="115" t="str">
        <x:v>1 niveaux ; 24 pièces ; 186 segments de mur ; 0 transitions. Inspection physique ; architecture complète encore ouverte.</x:v>
      </x:c>
      <x:c r="H92" s="115" t="str">
        <x:v>L 284 ; l 248 ; hauteur 5,05 m ; choix de composition auteur ; dimensions réelles à documenter</x:v>
      </x:c>
      <x:c r="I92" s="115" t="str">
        <x:v>À équilibrer</x:v>
      </x:c>
      <x:c r="J92" s="115" t="str">
        <x:v>Non</x:v>
      </x:c>
      <x:c r="K92" s="115" t="str">
        <x:v>Pièces décrites, murs, portes, niveaux et mobilier inspectables à l’échelle. Volumes réservés, raccord au seed, butin, rencontres et services de campagne restent à terminer.</x:v>
      </x:c>
    </x:row>
    <x:row r="93" ht="96" customHeight="1">
      <x:c r="A93" s="115" t="str">
        <x:v>EXT-MONDE-T002-V38</x:v>
      </x:c>
      <x:c r="B93" s="115" t="str">
        <x:v>EXT-MONDE-T002</x:v>
      </x:c>
      <x:c r="C93" s="115" t="str">
        <x:v>Lacs</x:v>
      </x:c>
      <x:c r="D93" s="115" t="str">
        <x:v>Village de pêche lacustre</x:v>
      </x:c>
      <x:c r="E93" s="115" t="n">
        <x:v>38</x:v>
      </x:c>
      <x:c r="F93" s="115" t="str">
        <x:v>Inspection physique</x:v>
      </x:c>
      <x:c r="G93" s="115" t="str">
        <x:v>1 niveaux ; 24 pièces ; 186 segments de mur ; 0 transitions. Inspection physique ; architecture complète encore ouverte.</x:v>
      </x:c>
      <x:c r="H93" s="115" t="str">
        <x:v>L 284 ; l 248 ; hauteur 5,05 m ; choix de composition auteur ; dimensions réelles à documenter</x:v>
      </x:c>
      <x:c r="I93" s="115" t="str">
        <x:v>À équilibrer</x:v>
      </x:c>
      <x:c r="J93" s="115" t="str">
        <x:v>Non</x:v>
      </x:c>
      <x:c r="K93" s="115" t="str">
        <x:v>Pièces décrites, murs, portes, niveaux et mobilier inspectables à l’échelle. Volumes réservés, raccord au seed, butin, rencontres et services de campagne restent à terminer.</x:v>
      </x:c>
    </x:row>
    <x:row r="94" ht="96" customHeight="1">
      <x:c r="A94" s="115" t="str">
        <x:v>EXT-MONDE-T002-V39</x:v>
      </x:c>
      <x:c r="B94" s="115" t="str">
        <x:v>EXT-MONDE-T002</x:v>
      </x:c>
      <x:c r="C94" s="115" t="str">
        <x:v>Lacs</x:v>
      </x:c>
      <x:c r="D94" s="115" t="str">
        <x:v>Village de pêche lacustre</x:v>
      </x:c>
      <x:c r="E94" s="115" t="n">
        <x:v>39</x:v>
      </x:c>
      <x:c r="F94" s="115" t="str">
        <x:v>Inspection physique</x:v>
      </x:c>
      <x:c r="G94" s="115" t="str">
        <x:v>1 niveaux ; 24 pièces ; 186 segments de mur ; 0 transitions. Inspection physique ; architecture complète encore ouverte.</x:v>
      </x:c>
      <x:c r="H94" s="115" t="str">
        <x:v>L 284 ; l 248 ; hauteur 5,05 m ; choix de composition auteur ; dimensions réelles à documenter</x:v>
      </x:c>
      <x:c r="I94" s="115" t="str">
        <x:v>À équilibrer</x:v>
      </x:c>
      <x:c r="J94" s="115" t="str">
        <x:v>Non</x:v>
      </x:c>
      <x:c r="K94" s="115" t="str">
        <x:v>Pièces décrites, murs, portes, niveaux et mobilier inspectables à l’échelle. Volumes réservés, raccord au seed, butin, rencontres et services de campagne restent à terminer.</x:v>
      </x:c>
    </x:row>
    <x:row r="95" ht="96" customHeight="1">
      <x:c r="A95" s="115" t="str">
        <x:v>EXT-MONDE-T002-V40</x:v>
      </x:c>
      <x:c r="B95" s="115" t="str">
        <x:v>EXT-MONDE-T002</x:v>
      </x:c>
      <x:c r="C95" s="115" t="str">
        <x:v>Lacs</x:v>
      </x:c>
      <x:c r="D95" s="115" t="str">
        <x:v>Village de pêche lacustre</x:v>
      </x:c>
      <x:c r="E95" s="115" t="n">
        <x:v>40</x:v>
      </x:c>
      <x:c r="F95" s="115" t="str">
        <x:v>Inspection physique</x:v>
      </x:c>
      <x:c r="G95" s="115" t="str">
        <x:v>1 niveaux ; 24 pièces ; 186 segments de mur ; 0 transitions. Inspection physique ; architecture complète encore ouverte.</x:v>
      </x:c>
      <x:c r="H95" s="115" t="str">
        <x:v>L 284 ; l 248 ; hauteur 5,05 m ; choix de composition auteur ; dimensions réelles à documenter</x:v>
      </x:c>
      <x:c r="I95" s="115" t="str">
        <x:v>À équilibrer</x:v>
      </x:c>
      <x:c r="J95" s="115" t="str">
        <x:v>Non</x:v>
      </x:c>
      <x:c r="K95" s="115" t="str">
        <x:v>Pièces décrites, murs, portes, niveaux et mobilier inspectables à l’échelle. Volumes réservés, raccord au seed, butin, rencontres et services de campagne restent à terminer.</x:v>
      </x:c>
    </x:row>
    <x:row r="96" ht="96" customHeight="1">
      <x:c r="A96" s="115" t="str">
        <x:v>EXT-MONDE-T002-V41</x:v>
      </x:c>
      <x:c r="B96" s="115" t="str">
        <x:v>EXT-MONDE-T002</x:v>
      </x:c>
      <x:c r="C96" s="115" t="str">
        <x:v>Lacs</x:v>
      </x:c>
      <x:c r="D96" s="115" t="str">
        <x:v>Village de pêche lacustre</x:v>
      </x:c>
      <x:c r="E96" s="115" t="n">
        <x:v>41</x:v>
      </x:c>
      <x:c r="F96" s="115" t="str">
        <x:v>Inspection physique</x:v>
      </x:c>
      <x:c r="G96" s="115" t="str">
        <x:v>1 niveaux ; 24 pièces ; 186 segments de mur ; 0 transitions. Inspection physique ; architecture complète encore ouverte.</x:v>
      </x:c>
      <x:c r="H96" s="115" t="str">
        <x:v>L 298 ; l 264 ; hauteur 5,2 m ; choix de composition auteur ; dimensions réelles à documenter</x:v>
      </x:c>
      <x:c r="I96" s="115" t="str">
        <x:v>À équilibrer</x:v>
      </x:c>
      <x:c r="J96" s="115" t="str">
        <x:v>Non</x:v>
      </x:c>
      <x:c r="K96" s="115" t="str">
        <x:v>Pièces décrites, murs, portes, niveaux et mobilier inspectables à l’échelle. Volumes réservés, raccord au seed, butin, rencontres et services de campagne restent à terminer.</x:v>
      </x:c>
    </x:row>
    <x:row r="97" ht="96" customHeight="1">
      <x:c r="A97" s="115" t="str">
        <x:v>EXT-MONDE-T002-V42</x:v>
      </x:c>
      <x:c r="B97" s="115" t="str">
        <x:v>EXT-MONDE-T002</x:v>
      </x:c>
      <x:c r="C97" s="115" t="str">
        <x:v>Lacs</x:v>
      </x:c>
      <x:c r="D97" s="115" t="str">
        <x:v>Village de pêche lacustre</x:v>
      </x:c>
      <x:c r="E97" s="115" t="n">
        <x:v>42</x:v>
      </x:c>
      <x:c r="F97" s="115" t="str">
        <x:v>Inspection physique</x:v>
      </x:c>
      <x:c r="G97" s="115" t="str">
        <x:v>1 niveaux ; 24 pièces ; 186 segments de mur ; 0 transitions. Inspection physique ; architecture complète encore ouverte.</x:v>
      </x:c>
      <x:c r="H97" s="115" t="str">
        <x:v>L 298 ; l 264 ; hauteur 5,2 m ; choix de composition auteur ; dimensions réelles à documenter</x:v>
      </x:c>
      <x:c r="I97" s="115" t="str">
        <x:v>À équilibrer</x:v>
      </x:c>
      <x:c r="J97" s="115" t="str">
        <x:v>Non</x:v>
      </x:c>
      <x:c r="K97" s="115" t="str">
        <x:v>Pièces décrites, murs, portes, niveaux et mobilier inspectables à l’échelle. Volumes réservés, raccord au seed, butin, rencontres et services de campagne restent à terminer.</x:v>
      </x:c>
    </x:row>
    <x:row r="98" ht="96" customHeight="1">
      <x:c r="A98" s="115" t="str">
        <x:v>EXT-MONDE-T002-V43</x:v>
      </x:c>
      <x:c r="B98" s="115" t="str">
        <x:v>EXT-MONDE-T002</x:v>
      </x:c>
      <x:c r="C98" s="115" t="str">
        <x:v>Lacs</x:v>
      </x:c>
      <x:c r="D98" s="115" t="str">
        <x:v>Village de pêche lacustre</x:v>
      </x:c>
      <x:c r="E98" s="115" t="n">
        <x:v>43</x:v>
      </x:c>
      <x:c r="F98" s="115" t="str">
        <x:v>Inspection physique</x:v>
      </x:c>
      <x:c r="G98" s="115" t="str">
        <x:v>1 niveaux ; 24 pièces ; 186 segments de mur ; 0 transitions. Inspection physique ; architecture complète encore ouverte.</x:v>
      </x:c>
      <x:c r="H98" s="115" t="str">
        <x:v>L 298 ; l 264 ; hauteur 5,2 m ; choix de composition auteur ; dimensions réelles à documenter</x:v>
      </x:c>
      <x:c r="I98" s="115" t="str">
        <x:v>À équilibrer</x:v>
      </x:c>
      <x:c r="J98" s="115" t="str">
        <x:v>Non</x:v>
      </x:c>
      <x:c r="K98" s="115" t="str">
        <x:v>Pièces décrites, murs, portes, niveaux et mobilier inspectables à l’échelle. Volumes réservés, raccord au seed, butin, rencontres et services de campagne restent à terminer.</x:v>
      </x:c>
    </x:row>
    <x:row r="99" ht="96" customHeight="1">
      <x:c r="A99" s="115" t="str">
        <x:v>EXT-MONDE-T002-V44</x:v>
      </x:c>
      <x:c r="B99" s="115" t="str">
        <x:v>EXT-MONDE-T002</x:v>
      </x:c>
      <x:c r="C99" s="115" t="str">
        <x:v>Lacs</x:v>
      </x:c>
      <x:c r="D99" s="115" t="str">
        <x:v>Village de pêche lacustre</x:v>
      </x:c>
      <x:c r="E99" s="115" t="n">
        <x:v>44</x:v>
      </x:c>
      <x:c r="F99" s="115" t="str">
        <x:v>Inspection physique</x:v>
      </x:c>
      <x:c r="G99" s="115" t="str">
        <x:v>1 niveaux ; 24 pièces ; 186 segments de mur ; 0 transitions. Inspection physique ; architecture complète encore ouverte.</x:v>
      </x:c>
      <x:c r="H99" s="115" t="str">
        <x:v>L 298 ; l 264 ; hauteur 5,2 m ; choix de composition auteur ; dimensions réelles à documenter</x:v>
      </x:c>
      <x:c r="I99" s="115" t="str">
        <x:v>À équilibrer</x:v>
      </x:c>
      <x:c r="J99" s="115" t="str">
        <x:v>Non</x:v>
      </x:c>
      <x:c r="K99" s="115" t="str">
        <x:v>Pièces décrites, murs, portes, niveaux et mobilier inspectables à l’échelle. Volumes réservés, raccord au seed, butin, rencontres et services de campagne restent à terminer.</x:v>
      </x:c>
    </x:row>
    <x:row r="100" ht="96" customHeight="1">
      <x:c r="A100" s="115" t="str">
        <x:v>EXT-MONDE-T002-V45</x:v>
      </x:c>
      <x:c r="B100" s="115" t="str">
        <x:v>EXT-MONDE-T002</x:v>
      </x:c>
      <x:c r="C100" s="115" t="str">
        <x:v>Lacs</x:v>
      </x:c>
      <x:c r="D100" s="115" t="str">
        <x:v>Village de pêche lacustre</x:v>
      </x:c>
      <x:c r="E100" s="115" t="n">
        <x:v>45</x:v>
      </x:c>
      <x:c r="F100" s="115" t="str">
        <x:v>Inspection physique</x:v>
      </x:c>
      <x:c r="G100" s="115" t="str">
        <x:v>1 niveaux ; 24 pièces ; 186 segments de mur ; 0 transitions. Inspection physique ; architecture complète encore ouverte.</x:v>
      </x:c>
      <x:c r="H100" s="115" t="str">
        <x:v>L 298 ; l 264 ; hauteur 5,2 m ; choix de composition auteur ; dimensions réelles à documenter</x:v>
      </x:c>
      <x:c r="I100" s="115" t="str">
        <x:v>À équilibrer</x:v>
      </x:c>
      <x:c r="J100" s="115" t="str">
        <x:v>Non</x:v>
      </x:c>
      <x:c r="K100" s="115" t="str">
        <x:v>Pièces décrites, murs, portes, niveaux et mobilier inspectables à l’échelle. Volumes réservés, raccord au seed, butin, rencontres et services de campagne restent à terminer.</x:v>
      </x:c>
    </x:row>
    <x:row r="101" ht="96" customHeight="1">
      <x:c r="A101" s="115" t="str">
        <x:v>EXT-MONDE-T002-V46</x:v>
      </x:c>
      <x:c r="B101" s="115" t="str">
        <x:v>EXT-MONDE-T002</x:v>
      </x:c>
      <x:c r="C101" s="115" t="str">
        <x:v>Lacs</x:v>
      </x:c>
      <x:c r="D101" s="115" t="str">
        <x:v>Village de pêche lacustre</x:v>
      </x:c>
      <x:c r="E101" s="115" t="n">
        <x:v>46</x:v>
      </x:c>
      <x:c r="F101" s="115" t="str">
        <x:v>Inspection physique</x:v>
      </x:c>
      <x:c r="G101" s="115" t="str">
        <x:v>1 niveaux ; 24 pièces ; 186 segments de mur ; 0 transitions. Inspection physique ; architecture complète encore ouverte.</x:v>
      </x:c>
      <x:c r="H101" s="115" t="str">
        <x:v>L 298 ; l 264 ; hauteur 5,2 m ; choix de composition auteur ; dimensions réelles à documenter</x:v>
      </x:c>
      <x:c r="I101" s="115" t="str">
        <x:v>À équilibrer</x:v>
      </x:c>
      <x:c r="J101" s="115" t="str">
        <x:v>Non</x:v>
      </x:c>
      <x:c r="K101" s="115" t="str">
        <x:v>Pièces décrites, murs, portes, niveaux et mobilier inspectables à l’échelle. Volumes réservés, raccord au seed, butin, rencontres et services de campagne restent à terminer.</x:v>
      </x:c>
    </x:row>
    <x:row r="102" ht="96" customHeight="1">
      <x:c r="A102" s="115" t="str">
        <x:v>EXT-MONDE-T002-V47</x:v>
      </x:c>
      <x:c r="B102" s="115" t="str">
        <x:v>EXT-MONDE-T002</x:v>
      </x:c>
      <x:c r="C102" s="115" t="str">
        <x:v>Lacs</x:v>
      </x:c>
      <x:c r="D102" s="115" t="str">
        <x:v>Village de pêche lacustre</x:v>
      </x:c>
      <x:c r="E102" s="115" t="n">
        <x:v>47</x:v>
      </x:c>
      <x:c r="F102" s="115" t="str">
        <x:v>Inspection physique</x:v>
      </x:c>
      <x:c r="G102" s="115" t="str">
        <x:v>1 niveaux ; 24 pièces ; 186 segments de mur ; 0 transitions. Inspection physique ; architecture complète encore ouverte.</x:v>
      </x:c>
      <x:c r="H102" s="115" t="str">
        <x:v>L 298 ; l 264 ; hauteur 5,2 m ; choix de composition auteur ; dimensions réelles à documenter</x:v>
      </x:c>
      <x:c r="I102" s="115" t="str">
        <x:v>À équilibrer</x:v>
      </x:c>
      <x:c r="J102" s="115" t="str">
        <x:v>Non</x:v>
      </x:c>
      <x:c r="K102" s="115" t="str">
        <x:v>Pièces décrites, murs, portes, niveaux et mobilier inspectables à l’échelle. Volumes réservés, raccord au seed, butin, rencontres et services de campagne restent à terminer.</x:v>
      </x:c>
    </x:row>
    <x:row r="103" ht="96" customHeight="1">
      <x:c r="A103" s="115" t="str">
        <x:v>EXT-MONDE-T002-V48</x:v>
      </x:c>
      <x:c r="B103" s="115" t="str">
        <x:v>EXT-MONDE-T002</x:v>
      </x:c>
      <x:c r="C103" s="115" t="str">
        <x:v>Lacs</x:v>
      </x:c>
      <x:c r="D103" s="115" t="str">
        <x:v>Village de pêche lacustre</x:v>
      </x:c>
      <x:c r="E103" s="115" t="n">
        <x:v>48</x:v>
      </x:c>
      <x:c r="F103" s="115" t="str">
        <x:v>Inspection physique</x:v>
      </x:c>
      <x:c r="G103" s="115" t="str">
        <x:v>1 niveaux ; 24 pièces ; 186 segments de mur ; 0 transitions. Inspection physique ; architecture complète encore ouverte.</x:v>
      </x:c>
      <x:c r="H103" s="115" t="str">
        <x:v>L 298 ; l 264 ; hauteur 5,2 m ; choix de composition auteur ; dimensions réelles à documenter</x:v>
      </x:c>
      <x:c r="I103" s="115" t="str">
        <x:v>À équilibrer</x:v>
      </x:c>
      <x:c r="J103" s="115" t="str">
        <x:v>Non</x:v>
      </x:c>
      <x:c r="K103" s="115" t="str">
        <x:v>Pièces décrites, murs, portes, niveaux et mobilier inspectables à l’échelle. Volumes réservés, raccord au seed, butin, rencontres et services de campagne restent à terminer.</x:v>
      </x:c>
    </x:row>
    <x:row r="104" ht="96" customHeight="1">
      <x:c r="A104" s="115" t="str">
        <x:v>EXT-MONDE-T002-V49</x:v>
      </x:c>
      <x:c r="B104" s="115" t="str">
        <x:v>EXT-MONDE-T002</x:v>
      </x:c>
      <x:c r="C104" s="115" t="str">
        <x:v>Lacs</x:v>
      </x:c>
      <x:c r="D104" s="115" t="str">
        <x:v>Village de pêche lacustre</x:v>
      </x:c>
      <x:c r="E104" s="115" t="n">
        <x:v>49</x:v>
      </x:c>
      <x:c r="F104" s="115" t="str">
        <x:v>Inspection physique</x:v>
      </x:c>
      <x:c r="G104" s="115" t="str">
        <x:v>1 niveaux ; 24 pièces ; 186 segments de mur ; 0 transitions. Inspection physique ; architecture complète encore ouverte.</x:v>
      </x:c>
      <x:c r="H104" s="115" t="str">
        <x:v>L 298 ; l 264 ; hauteur 5,2 m ; choix de composition auteur ; dimensions réelles à documenter</x:v>
      </x:c>
      <x:c r="I104" s="115" t="str">
        <x:v>À équilibrer</x:v>
      </x:c>
      <x:c r="J104" s="115" t="str">
        <x:v>Non</x:v>
      </x:c>
      <x:c r="K104" s="115" t="str">
        <x:v>Pièces décrites, murs, portes, niveaux et mobilier inspectables à l’échelle. Volumes réservés, raccord au seed, butin, rencontres et services de campagne restent à terminer.</x:v>
      </x:c>
    </x:row>
    <x:row r="105" ht="96" customHeight="1">
      <x:c r="A105" s="115" t="str">
        <x:v>EXT-MONDE-T002-V50</x:v>
      </x:c>
      <x:c r="B105" s="115" t="str">
        <x:v>EXT-MONDE-T002</x:v>
      </x:c>
      <x:c r="C105" s="115" t="str">
        <x:v>Lacs</x:v>
      </x:c>
      <x:c r="D105" s="115" t="str">
        <x:v>Village de pêche lacustre</x:v>
      </x:c>
      <x:c r="E105" s="115" t="n">
        <x:v>50</x:v>
      </x:c>
      <x:c r="F105" s="115" t="str">
        <x:v>Inspection physique</x:v>
      </x:c>
      <x:c r="G105" s="115" t="str">
        <x:v>1 niveaux ; 24 pièces ; 186 segments de mur ; 0 transitions. Inspection physique ; architecture complète encore ouverte.</x:v>
      </x:c>
      <x:c r="H105" s="115" t="str">
        <x:v>L 298 ; l 264 ; hauteur 5,2 m ; choix de composition auteur ; dimensions réelles à documenter</x:v>
      </x:c>
      <x:c r="I105" s="115" t="str">
        <x:v>À équilibrer</x:v>
      </x:c>
      <x:c r="J105" s="115" t="str">
        <x:v>Non</x:v>
      </x:c>
      <x:c r="K105" s="115" t="str">
        <x:v>Pièces décrites, murs, portes, niveaux et mobilier inspectables à l’échelle. Volumes réservés, raccord au seed, butin, rencontres et services de campagne restent à terminer.</x:v>
      </x:c>
    </x:row>
    <x:row r="106" ht="96" customHeight="1">
      <x:c r="A106" s="115" t="str">
        <x:v>EXT-MONDE-T003-V01</x:v>
      </x:c>
      <x:c r="B106" s="115" t="str">
        <x:v>EXT-MONDE-T003</x:v>
      </x:c>
      <x:c r="C106" s="115" t="str">
        <x:v>Lacs</x:v>
      </x:c>
      <x:c r="D106" s="115" t="str">
        <x:v>Station limnologique</x:v>
      </x:c>
      <x:c r="E106" s="115" t="n">
        <x:v>1</x:v>
      </x:c>
      <x:c r="F106" s="115" t="str">
        <x:v>Inspection physique</x:v>
      </x:c>
      <x:c r="G106" s="115" t="str">
        <x:v>1 niveaux ; 24 pièces ; 186 segments de mur ; 0 transitions. Inspection physique ; architecture complète encore ouverte.</x:v>
      </x:c>
      <x:c r="H106" s="115" t="str">
        <x:v>L 242 ; l 200 ; hauteur 4,2 m ; choix de composition auteur ; dimensions réelles à documenter</x:v>
      </x:c>
      <x:c r="I106" s="115" t="str">
        <x:v>À équilibrer</x:v>
      </x:c>
      <x:c r="J106" s="115" t="str">
        <x:v>Non</x:v>
      </x:c>
      <x:c r="K106" s="115" t="str">
        <x:v>Pièces décrites, murs, portes, niveaux et mobilier inspectables à l’échelle. Volumes réservés, raccord au seed, butin, rencontres et services de campagne restent à terminer.</x:v>
      </x:c>
    </x:row>
    <x:row r="107" ht="96" customHeight="1">
      <x:c r="A107" s="115" t="str">
        <x:v>EXT-MONDE-T003-V02</x:v>
      </x:c>
      <x:c r="B107" s="115" t="str">
        <x:v>EXT-MONDE-T003</x:v>
      </x:c>
      <x:c r="C107" s="115" t="str">
        <x:v>Lacs</x:v>
      </x:c>
      <x:c r="D107" s="115" t="str">
        <x:v>Station limnologique</x:v>
      </x:c>
      <x:c r="E107" s="115" t="n">
        <x:v>2</x:v>
      </x:c>
      <x:c r="F107" s="115" t="str">
        <x:v>Inspection physique</x:v>
      </x:c>
      <x:c r="G107" s="115" t="str">
        <x:v>1 niveaux ; 24 pièces ; 186 segments de mur ; 0 transitions. Inspection physique ; architecture complète encore ouverte.</x:v>
      </x:c>
      <x:c r="H107" s="115" t="str">
        <x:v>L 242 ; l 200 ; hauteur 4,2 m ; choix de composition auteur ; dimensions réelles à documenter</x:v>
      </x:c>
      <x:c r="I107" s="115" t="str">
        <x:v>À équilibrer</x:v>
      </x:c>
      <x:c r="J107" s="115" t="str">
        <x:v>Non</x:v>
      </x:c>
      <x:c r="K107" s="115" t="str">
        <x:v>Pièces décrites, murs, portes, niveaux et mobilier inspectables à l’échelle. Volumes réservés, raccord au seed, butin, rencontres et services de campagne restent à terminer.</x:v>
      </x:c>
    </x:row>
    <x:row r="108" ht="96" customHeight="1">
      <x:c r="A108" s="115" t="str">
        <x:v>EXT-MONDE-T003-V03</x:v>
      </x:c>
      <x:c r="B108" s="115" t="str">
        <x:v>EXT-MONDE-T003</x:v>
      </x:c>
      <x:c r="C108" s="115" t="str">
        <x:v>Lacs</x:v>
      </x:c>
      <x:c r="D108" s="115" t="str">
        <x:v>Station limnologique</x:v>
      </x:c>
      <x:c r="E108" s="115" t="n">
        <x:v>3</x:v>
      </x:c>
      <x:c r="F108" s="115" t="str">
        <x:v>Inspection physique</x:v>
      </x:c>
      <x:c r="G108" s="115" t="str">
        <x:v>1 niveaux ; 24 pièces ; 186 segments de mur ; 0 transitions. Inspection physique ; architecture complète encore ouverte.</x:v>
      </x:c>
      <x:c r="H108" s="115" t="str">
        <x:v>L 242 ; l 200 ; hauteur 4,2 m ; choix de composition auteur ; dimensions réelles à documenter</x:v>
      </x:c>
      <x:c r="I108" s="115" t="str">
        <x:v>À équilibrer</x:v>
      </x:c>
      <x:c r="J108" s="115" t="str">
        <x:v>Non</x:v>
      </x:c>
      <x:c r="K108" s="115" t="str">
        <x:v>Pièces décrites, murs, portes, niveaux et mobilier inspectables à l’échelle. Volumes réservés, raccord au seed, butin, rencontres et services de campagne restent à terminer.</x:v>
      </x:c>
    </x:row>
    <x:row r="109" ht="96" customHeight="1">
      <x:c r="A109" s="115" t="str">
        <x:v>EXT-MONDE-T003-V04</x:v>
      </x:c>
      <x:c r="B109" s="115" t="str">
        <x:v>EXT-MONDE-T003</x:v>
      </x:c>
      <x:c r="C109" s="115" t="str">
        <x:v>Lacs</x:v>
      </x:c>
      <x:c r="D109" s="115" t="str">
        <x:v>Station limnologique</x:v>
      </x:c>
      <x:c r="E109" s="115" t="n">
        <x:v>4</x:v>
      </x:c>
      <x:c r="F109" s="115" t="str">
        <x:v>Inspection physique</x:v>
      </x:c>
      <x:c r="G109" s="115" t="str">
        <x:v>1 niveaux ; 24 pièces ; 186 segments de mur ; 0 transitions. Inspection physique ; architecture complète encore ouverte.</x:v>
      </x:c>
      <x:c r="H109" s="115" t="str">
        <x:v>L 242 ; l 200 ; hauteur 4,2 m ; choix de composition auteur ; dimensions réelles à documenter</x:v>
      </x:c>
      <x:c r="I109" s="115" t="str">
        <x:v>À équilibrer</x:v>
      </x:c>
      <x:c r="J109" s="115" t="str">
        <x:v>Non</x:v>
      </x:c>
      <x:c r="K109" s="115" t="str">
        <x:v>Pièces décrites, murs, portes, niveaux et mobilier inspectables à l’échelle. Volumes réservés, raccord au seed, butin, rencontres et services de campagne restent à terminer.</x:v>
      </x:c>
    </x:row>
    <x:row r="110" ht="96" customHeight="1">
      <x:c r="A110" s="115" t="str">
        <x:v>EXT-MONDE-T003-V05</x:v>
      </x:c>
      <x:c r="B110" s="115" t="str">
        <x:v>EXT-MONDE-T003</x:v>
      </x:c>
      <x:c r="C110" s="115" t="str">
        <x:v>Lacs</x:v>
      </x:c>
      <x:c r="D110" s="115" t="str">
        <x:v>Station limnologique</x:v>
      </x:c>
      <x:c r="E110" s="115" t="n">
        <x:v>5</x:v>
      </x:c>
      <x:c r="F110" s="115" t="str">
        <x:v>Inspection physique</x:v>
      </x:c>
      <x:c r="G110" s="115" t="str">
        <x:v>1 niveaux ; 24 pièces ; 186 segments de mur ; 0 transitions. Inspection physique ; architecture complète encore ouverte.</x:v>
      </x:c>
      <x:c r="H110" s="115" t="str">
        <x:v>L 242 ; l 200 ; hauteur 4,2 m ; choix de composition auteur ; dimensions réelles à documenter</x:v>
      </x:c>
      <x:c r="I110" s="115" t="str">
        <x:v>À équilibrer</x:v>
      </x:c>
      <x:c r="J110" s="115" t="str">
        <x:v>Non</x:v>
      </x:c>
      <x:c r="K110" s="115" t="str">
        <x:v>Pièces décrites, murs, portes, niveaux et mobilier inspectables à l’échelle. Volumes réservés, raccord au seed, butin, rencontres et services de campagne restent à terminer.</x:v>
      </x:c>
    </x:row>
    <x:row r="111" ht="96" customHeight="1">
      <x:c r="A111" s="115" t="str">
        <x:v>EXT-MONDE-T003-V06</x:v>
      </x:c>
      <x:c r="B111" s="115" t="str">
        <x:v>EXT-MONDE-T003</x:v>
      </x:c>
      <x:c r="C111" s="115" t="str">
        <x:v>Lacs</x:v>
      </x:c>
      <x:c r="D111" s="115" t="str">
        <x:v>Station limnologique</x:v>
      </x:c>
      <x:c r="E111" s="115" t="n">
        <x:v>6</x:v>
      </x:c>
      <x:c r="F111" s="115" t="str">
        <x:v>Inspection physique</x:v>
      </x:c>
      <x:c r="G111" s="115" t="str">
        <x:v>1 niveaux ; 24 pièces ; 186 segments de mur ; 0 transitions. Inspection physique ; architecture complète encore ouverte.</x:v>
      </x:c>
      <x:c r="H111" s="115" t="str">
        <x:v>L 242 ; l 200 ; hauteur 4,2 m ; choix de composition auteur ; dimensions réelles à documenter</x:v>
      </x:c>
      <x:c r="I111" s="115" t="str">
        <x:v>À équilibrer</x:v>
      </x:c>
      <x:c r="J111" s="115" t="str">
        <x:v>Non</x:v>
      </x:c>
      <x:c r="K111" s="115" t="str">
        <x:v>Pièces décrites, murs, portes, niveaux et mobilier inspectables à l’échelle. Volumes réservés, raccord au seed, butin, rencontres et services de campagne restent à terminer.</x:v>
      </x:c>
    </x:row>
    <x:row r="112" ht="96" customHeight="1">
      <x:c r="A112" s="115" t="str">
        <x:v>EXT-MONDE-T003-V07</x:v>
      </x:c>
      <x:c r="B112" s="115" t="str">
        <x:v>EXT-MONDE-T003</x:v>
      </x:c>
      <x:c r="C112" s="115" t="str">
        <x:v>Lacs</x:v>
      </x:c>
      <x:c r="D112" s="115" t="str">
        <x:v>Station limnologique</x:v>
      </x:c>
      <x:c r="E112" s="115" t="n">
        <x:v>7</x:v>
      </x:c>
      <x:c r="F112" s="115" t="str">
        <x:v>Inspection physique</x:v>
      </x:c>
      <x:c r="G112" s="115" t="str">
        <x:v>1 niveaux ; 24 pièces ; 186 segments de mur ; 0 transitions. Inspection physique ; architecture complète encore ouverte.</x:v>
      </x:c>
      <x:c r="H112" s="115" t="str">
        <x:v>L 242 ; l 200 ; hauteur 4,2 m ; choix de composition auteur ; dimensions réelles à documenter</x:v>
      </x:c>
      <x:c r="I112" s="115" t="str">
        <x:v>À équilibrer</x:v>
      </x:c>
      <x:c r="J112" s="115" t="str">
        <x:v>Non</x:v>
      </x:c>
      <x:c r="K112" s="115" t="str">
        <x:v>Pièces décrites, murs, portes, niveaux et mobilier inspectables à l’échelle. Volumes réservés, raccord au seed, butin, rencontres et services de campagne restent à terminer.</x:v>
      </x:c>
    </x:row>
    <x:row r="113" ht="96" customHeight="1">
      <x:c r="A113" s="115" t="str">
        <x:v>EXT-MONDE-T003-V08</x:v>
      </x:c>
      <x:c r="B113" s="115" t="str">
        <x:v>EXT-MONDE-T003</x:v>
      </x:c>
      <x:c r="C113" s="115" t="str">
        <x:v>Lacs</x:v>
      </x:c>
      <x:c r="D113" s="115" t="str">
        <x:v>Station limnologique</x:v>
      </x:c>
      <x:c r="E113" s="115" t="n">
        <x:v>8</x:v>
      </x:c>
      <x:c r="F113" s="115" t="str">
        <x:v>Inspection physique</x:v>
      </x:c>
      <x:c r="G113" s="115" t="str">
        <x:v>1 niveaux ; 24 pièces ; 186 segments de mur ; 0 transitions. Inspection physique ; architecture complète encore ouverte.</x:v>
      </x:c>
      <x:c r="H113" s="115" t="str">
        <x:v>L 242 ; l 200 ; hauteur 4,2 m ; choix de composition auteur ; dimensions réelles à documenter</x:v>
      </x:c>
      <x:c r="I113" s="115" t="str">
        <x:v>À équilibrer</x:v>
      </x:c>
      <x:c r="J113" s="115" t="str">
        <x:v>Non</x:v>
      </x:c>
      <x:c r="K113" s="115" t="str">
        <x:v>Pièces décrites, murs, portes, niveaux et mobilier inspectables à l’échelle. Volumes réservés, raccord au seed, butin, rencontres et services de campagne restent à terminer.</x:v>
      </x:c>
    </x:row>
    <x:row r="114" ht="96" customHeight="1">
      <x:c r="A114" s="115" t="str">
        <x:v>EXT-MONDE-T003-V09</x:v>
      </x:c>
      <x:c r="B114" s="115" t="str">
        <x:v>EXT-MONDE-T003</x:v>
      </x:c>
      <x:c r="C114" s="115" t="str">
        <x:v>Lacs</x:v>
      </x:c>
      <x:c r="D114" s="115" t="str">
        <x:v>Station limnologique</x:v>
      </x:c>
      <x:c r="E114" s="115" t="n">
        <x:v>9</x:v>
      </x:c>
      <x:c r="F114" s="115" t="str">
        <x:v>Inspection physique</x:v>
      </x:c>
      <x:c r="G114" s="115" t="str">
        <x:v>1 niveaux ; 24 pièces ; 186 segments de mur ; 0 transitions. Inspection physique ; architecture complète encore ouverte.</x:v>
      </x:c>
      <x:c r="H114" s="115" t="str">
        <x:v>L 242 ; l 200 ; hauteur 4,2 m ; choix de composition auteur ; dimensions réelles à documenter</x:v>
      </x:c>
      <x:c r="I114" s="115" t="str">
        <x:v>À équilibrer</x:v>
      </x:c>
      <x:c r="J114" s="115" t="str">
        <x:v>Non</x:v>
      </x:c>
      <x:c r="K114" s="115" t="str">
        <x:v>Pièces décrites, murs, portes, niveaux et mobilier inspectables à l’échelle. Volumes réservés, raccord au seed, butin, rencontres et services de campagne restent à terminer.</x:v>
      </x:c>
    </x:row>
    <x:row r="115" ht="96" customHeight="1">
      <x:c r="A115" s="115" t="str">
        <x:v>EXT-MONDE-T003-V10</x:v>
      </x:c>
      <x:c r="B115" s="115" t="str">
        <x:v>EXT-MONDE-T003</x:v>
      </x:c>
      <x:c r="C115" s="115" t="str">
        <x:v>Lacs</x:v>
      </x:c>
      <x:c r="D115" s="115" t="str">
        <x:v>Station limnologique</x:v>
      </x:c>
      <x:c r="E115" s="115" t="n">
        <x:v>10</x:v>
      </x:c>
      <x:c r="F115" s="115" t="str">
        <x:v>Inspection physique</x:v>
      </x:c>
      <x:c r="G115" s="115" t="str">
        <x:v>1 niveaux ; 24 pièces ; 186 segments de mur ; 0 transitions. Inspection physique ; architecture complète encore ouverte.</x:v>
      </x:c>
      <x:c r="H115" s="115" t="str">
        <x:v>L 242 ; l 200 ; hauteur 4,2 m ; choix de composition auteur ; dimensions réelles à documenter</x:v>
      </x:c>
      <x:c r="I115" s="115" t="str">
        <x:v>À équilibrer</x:v>
      </x:c>
      <x:c r="J115" s="115" t="str">
        <x:v>Non</x:v>
      </x:c>
      <x:c r="K115" s="115" t="str">
        <x:v>Pièces décrites, murs, portes, niveaux et mobilier inspectables à l’échelle. Volumes réservés, raccord au seed, butin, rencontres et services de campagne restent à terminer.</x:v>
      </x:c>
    </x:row>
    <x:row r="116" ht="96" customHeight="1">
      <x:c r="A116" s="115" t="str">
        <x:v>EXT-MONDE-T003-V11</x:v>
      </x:c>
      <x:c r="B116" s="115" t="str">
        <x:v>EXT-MONDE-T003</x:v>
      </x:c>
      <x:c r="C116" s="115" t="str">
        <x:v>Lacs</x:v>
      </x:c>
      <x:c r="D116" s="115" t="str">
        <x:v>Station limnologique</x:v>
      </x:c>
      <x:c r="E116" s="115" t="n">
        <x:v>11</x:v>
      </x:c>
      <x:c r="F116" s="115" t="str">
        <x:v>Inspection physique</x:v>
      </x:c>
      <x:c r="G116" s="115" t="str">
        <x:v>1 niveaux ; 24 pièces ; 186 segments de mur ; 0 transitions. Inspection physique ; architecture complète encore ouverte.</x:v>
      </x:c>
      <x:c r="H116" s="115" t="str">
        <x:v>L 256 ; l 216 ; hauteur 4,35 m ; choix de composition auteur ; dimensions réelles à documenter</x:v>
      </x:c>
      <x:c r="I116" s="115" t="str">
        <x:v>À équilibrer</x:v>
      </x:c>
      <x:c r="J116" s="115" t="str">
        <x:v>Non</x:v>
      </x:c>
      <x:c r="K116" s="115" t="str">
        <x:v>Pièces décrites, murs, portes, niveaux et mobilier inspectables à l’échelle. Volumes réservés, raccord au seed, butin, rencontres et services de campagne restent à terminer.</x:v>
      </x:c>
    </x:row>
    <x:row r="117" ht="96" customHeight="1">
      <x:c r="A117" s="115" t="str">
        <x:v>EXT-MONDE-T003-V12</x:v>
      </x:c>
      <x:c r="B117" s="115" t="str">
        <x:v>EXT-MONDE-T003</x:v>
      </x:c>
      <x:c r="C117" s="115" t="str">
        <x:v>Lacs</x:v>
      </x:c>
      <x:c r="D117" s="115" t="str">
        <x:v>Station limnologique</x:v>
      </x:c>
      <x:c r="E117" s="115" t="n">
        <x:v>12</x:v>
      </x:c>
      <x:c r="F117" s="115" t="str">
        <x:v>Inspection physique</x:v>
      </x:c>
      <x:c r="G117" s="115" t="str">
        <x:v>1 niveaux ; 24 pièces ; 186 segments de mur ; 0 transitions. Inspection physique ; architecture complète encore ouverte.</x:v>
      </x:c>
      <x:c r="H117" s="115" t="str">
        <x:v>L 256 ; l 216 ; hauteur 4,35 m ; choix de composition auteur ; dimensions réelles à documenter</x:v>
      </x:c>
      <x:c r="I117" s="115" t="str">
        <x:v>À équilibrer</x:v>
      </x:c>
      <x:c r="J117" s="115" t="str">
        <x:v>Non</x:v>
      </x:c>
      <x:c r="K117" s="115" t="str">
        <x:v>Pièces décrites, murs, portes, niveaux et mobilier inspectables à l’échelle. Volumes réservés, raccord au seed, butin, rencontres et services de campagne restent à terminer.</x:v>
      </x:c>
    </x:row>
    <x:row r="118" ht="96" customHeight="1">
      <x:c r="A118" s="115" t="str">
        <x:v>EXT-MONDE-T003-V13</x:v>
      </x:c>
      <x:c r="B118" s="115" t="str">
        <x:v>EXT-MONDE-T003</x:v>
      </x:c>
      <x:c r="C118" s="115" t="str">
        <x:v>Lacs</x:v>
      </x:c>
      <x:c r="D118" s="115" t="str">
        <x:v>Station limnologique</x:v>
      </x:c>
      <x:c r="E118" s="115" t="n">
        <x:v>13</x:v>
      </x:c>
      <x:c r="F118" s="115" t="str">
        <x:v>Inspection physique</x:v>
      </x:c>
      <x:c r="G118" s="115" t="str">
        <x:v>1 niveaux ; 24 pièces ; 186 segments de mur ; 0 transitions. Inspection physique ; architecture complète encore ouverte.</x:v>
      </x:c>
      <x:c r="H118" s="115" t="str">
        <x:v>L 256 ; l 216 ; hauteur 4,35 m ; choix de composition auteur ; dimensions réelles à documenter</x:v>
      </x:c>
      <x:c r="I118" s="115" t="str">
        <x:v>À équilibrer</x:v>
      </x:c>
      <x:c r="J118" s="115" t="str">
        <x:v>Non</x:v>
      </x:c>
      <x:c r="K118" s="115" t="str">
        <x:v>Pièces décrites, murs, portes, niveaux et mobilier inspectables à l’échelle. Volumes réservés, raccord au seed, butin, rencontres et services de campagne restent à terminer.</x:v>
      </x:c>
    </x:row>
    <x:row r="119" ht="96" customHeight="1">
      <x:c r="A119" s="115" t="str">
        <x:v>EXT-MONDE-T003-V14</x:v>
      </x:c>
      <x:c r="B119" s="115" t="str">
        <x:v>EXT-MONDE-T003</x:v>
      </x:c>
      <x:c r="C119" s="115" t="str">
        <x:v>Lacs</x:v>
      </x:c>
      <x:c r="D119" s="115" t="str">
        <x:v>Station limnologique</x:v>
      </x:c>
      <x:c r="E119" s="115" t="n">
        <x:v>14</x:v>
      </x:c>
      <x:c r="F119" s="115" t="str">
        <x:v>Inspection physique</x:v>
      </x:c>
      <x:c r="G119" s="115" t="str">
        <x:v>1 niveaux ; 24 pièces ; 186 segments de mur ; 0 transitions. Inspection physique ; architecture complète encore ouverte.</x:v>
      </x:c>
      <x:c r="H119" s="115" t="str">
        <x:v>L 256 ; l 216 ; hauteur 4,35 m ; choix de composition auteur ; dimensions réelles à documenter</x:v>
      </x:c>
      <x:c r="I119" s="115" t="str">
        <x:v>À équilibrer</x:v>
      </x:c>
      <x:c r="J119" s="115" t="str">
        <x:v>Non</x:v>
      </x:c>
      <x:c r="K119" s="115" t="str">
        <x:v>Pièces décrites, murs, portes, niveaux et mobilier inspectables à l’échelle. Volumes réservés, raccord au seed, butin, rencontres et services de campagne restent à terminer.</x:v>
      </x:c>
    </x:row>
    <x:row r="120" ht="96" customHeight="1">
      <x:c r="A120" s="115" t="str">
        <x:v>EXT-MONDE-T003-V15</x:v>
      </x:c>
      <x:c r="B120" s="115" t="str">
        <x:v>EXT-MONDE-T003</x:v>
      </x:c>
      <x:c r="C120" s="115" t="str">
        <x:v>Lacs</x:v>
      </x:c>
      <x:c r="D120" s="115" t="str">
        <x:v>Station limnologique</x:v>
      </x:c>
      <x:c r="E120" s="115" t="n">
        <x:v>15</x:v>
      </x:c>
      <x:c r="F120" s="115" t="str">
        <x:v>Inspection physique</x:v>
      </x:c>
      <x:c r="G120" s="115" t="str">
        <x:v>1 niveaux ; 24 pièces ; 186 segments de mur ; 0 transitions. Inspection physique ; architecture complète encore ouverte.</x:v>
      </x:c>
      <x:c r="H120" s="115" t="str">
        <x:v>L 256 ; l 216 ; hauteur 4,35 m ; choix de composition auteur ; dimensions réelles à documenter</x:v>
      </x:c>
      <x:c r="I120" s="115" t="str">
        <x:v>À équilibrer</x:v>
      </x:c>
      <x:c r="J120" s="115" t="str">
        <x:v>Non</x:v>
      </x:c>
      <x:c r="K120" s="115" t="str">
        <x:v>Pièces décrites, murs, portes, niveaux et mobilier inspectables à l’échelle. Volumes réservés, raccord au seed, butin, rencontres et services de campagne restent à terminer.</x:v>
      </x:c>
    </x:row>
    <x:row r="121" ht="96" customHeight="1">
      <x:c r="A121" s="115" t="str">
        <x:v>EXT-MONDE-T003-V16</x:v>
      </x:c>
      <x:c r="B121" s="115" t="str">
        <x:v>EXT-MONDE-T003</x:v>
      </x:c>
      <x:c r="C121" s="115" t="str">
        <x:v>Lacs</x:v>
      </x:c>
      <x:c r="D121" s="115" t="str">
        <x:v>Station limnologique</x:v>
      </x:c>
      <x:c r="E121" s="115" t="n">
        <x:v>16</x:v>
      </x:c>
      <x:c r="F121" s="115" t="str">
        <x:v>Inspection physique</x:v>
      </x:c>
      <x:c r="G121" s="115" t="str">
        <x:v>1 niveaux ; 24 pièces ; 186 segments de mur ; 0 transitions. Inspection physique ; architecture complète encore ouverte.</x:v>
      </x:c>
      <x:c r="H121" s="115" t="str">
        <x:v>L 256 ; l 216 ; hauteur 4,35 m ; choix de composition auteur ; dimensions réelles à documenter</x:v>
      </x:c>
      <x:c r="I121" s="115" t="str">
        <x:v>À équilibrer</x:v>
      </x:c>
      <x:c r="J121" s="115" t="str">
        <x:v>Non</x:v>
      </x:c>
      <x:c r="K121" s="115" t="str">
        <x:v>Pièces décrites, murs, portes, niveaux et mobilier inspectables à l’échelle. Volumes réservés, raccord au seed, butin, rencontres et services de campagne restent à terminer.</x:v>
      </x:c>
    </x:row>
    <x:row r="122" ht="96" customHeight="1">
      <x:c r="A122" s="115" t="str">
        <x:v>EXT-MONDE-T003-V17</x:v>
      </x:c>
      <x:c r="B122" s="115" t="str">
        <x:v>EXT-MONDE-T003</x:v>
      </x:c>
      <x:c r="C122" s="115" t="str">
        <x:v>Lacs</x:v>
      </x:c>
      <x:c r="D122" s="115" t="str">
        <x:v>Station limnologique</x:v>
      </x:c>
      <x:c r="E122" s="115" t="n">
        <x:v>17</x:v>
      </x:c>
      <x:c r="F122" s="115" t="str">
        <x:v>Inspection physique</x:v>
      </x:c>
      <x:c r="G122" s="115" t="str">
        <x:v>1 niveaux ; 24 pièces ; 186 segments de mur ; 0 transitions. Inspection physique ; architecture complète encore ouverte.</x:v>
      </x:c>
      <x:c r="H122" s="115" t="str">
        <x:v>L 256 ; l 216 ; hauteur 4,35 m ; choix de composition auteur ; dimensions réelles à documenter</x:v>
      </x:c>
      <x:c r="I122" s="115" t="str">
        <x:v>À équilibrer</x:v>
      </x:c>
      <x:c r="J122" s="115" t="str">
        <x:v>Non</x:v>
      </x:c>
      <x:c r="K122" s="115" t="str">
        <x:v>Pièces décrites, murs, portes, niveaux et mobilier inspectables à l’échelle. Volumes réservés, raccord au seed, butin, rencontres et services de campagne restent à terminer.</x:v>
      </x:c>
    </x:row>
    <x:row r="123" ht="96" customHeight="1">
      <x:c r="A123" s="115" t="str">
        <x:v>EXT-MONDE-T003-V18</x:v>
      </x:c>
      <x:c r="B123" s="115" t="str">
        <x:v>EXT-MONDE-T003</x:v>
      </x:c>
      <x:c r="C123" s="115" t="str">
        <x:v>Lacs</x:v>
      </x:c>
      <x:c r="D123" s="115" t="str">
        <x:v>Station limnologique</x:v>
      </x:c>
      <x:c r="E123" s="115" t="n">
        <x:v>18</x:v>
      </x:c>
      <x:c r="F123" s="115" t="str">
        <x:v>Inspection physique</x:v>
      </x:c>
      <x:c r="G123" s="115" t="str">
        <x:v>1 niveaux ; 24 pièces ; 186 segments de mur ; 0 transitions. Inspection physique ; architecture complète encore ouverte.</x:v>
      </x:c>
      <x:c r="H123" s="115" t="str">
        <x:v>L 256 ; l 216 ; hauteur 4,35 m ; choix de composition auteur ; dimensions réelles à documenter</x:v>
      </x:c>
      <x:c r="I123" s="115" t="str">
        <x:v>À équilibrer</x:v>
      </x:c>
      <x:c r="J123" s="115" t="str">
        <x:v>Non</x:v>
      </x:c>
      <x:c r="K123" s="115" t="str">
        <x:v>Pièces décrites, murs, portes, niveaux et mobilier inspectables à l’échelle. Volumes réservés, raccord au seed, butin, rencontres et services de campagne restent à terminer.</x:v>
      </x:c>
    </x:row>
    <x:row r="124" ht="96" customHeight="1">
      <x:c r="A124" s="115" t="str">
        <x:v>EXT-MONDE-T003-V19</x:v>
      </x:c>
      <x:c r="B124" s="115" t="str">
        <x:v>EXT-MONDE-T003</x:v>
      </x:c>
      <x:c r="C124" s="115" t="str">
        <x:v>Lacs</x:v>
      </x:c>
      <x:c r="D124" s="115" t="str">
        <x:v>Station limnologique</x:v>
      </x:c>
      <x:c r="E124" s="115" t="n">
        <x:v>19</x:v>
      </x:c>
      <x:c r="F124" s="115" t="str">
        <x:v>Inspection physique</x:v>
      </x:c>
      <x:c r="G124" s="115" t="str">
        <x:v>1 niveaux ; 24 pièces ; 186 segments de mur ; 0 transitions. Inspection physique ; architecture complète encore ouverte.</x:v>
      </x:c>
      <x:c r="H124" s="115" t="str">
        <x:v>L 256 ; l 216 ; hauteur 4,35 m ; choix de composition auteur ; dimensions réelles à documenter</x:v>
      </x:c>
      <x:c r="I124" s="115" t="str">
        <x:v>À équilibrer</x:v>
      </x:c>
      <x:c r="J124" s="115" t="str">
        <x:v>Non</x:v>
      </x:c>
      <x:c r="K124" s="115" t="str">
        <x:v>Pièces décrites, murs, portes, niveaux et mobilier inspectables à l’échelle. Volumes réservés, raccord au seed, butin, rencontres et services de campagne restent à terminer.</x:v>
      </x:c>
    </x:row>
    <x:row r="125" ht="96" customHeight="1">
      <x:c r="A125" s="115" t="str">
        <x:v>EXT-MONDE-T003-V20</x:v>
      </x:c>
      <x:c r="B125" s="115" t="str">
        <x:v>EXT-MONDE-T003</x:v>
      </x:c>
      <x:c r="C125" s="115" t="str">
        <x:v>Lacs</x:v>
      </x:c>
      <x:c r="D125" s="115" t="str">
        <x:v>Station limnologique</x:v>
      </x:c>
      <x:c r="E125" s="115" t="n">
        <x:v>20</x:v>
      </x:c>
      <x:c r="F125" s="115" t="str">
        <x:v>Inspection physique</x:v>
      </x:c>
      <x:c r="G125" s="115" t="str">
        <x:v>1 niveaux ; 24 pièces ; 186 segments de mur ; 0 transitions. Inspection physique ; architecture complète encore ouverte.</x:v>
      </x:c>
      <x:c r="H125" s="115" t="str">
        <x:v>L 256 ; l 216 ; hauteur 4,35 m ; choix de composition auteur ; dimensions réelles à documenter</x:v>
      </x:c>
      <x:c r="I125" s="115" t="str">
        <x:v>À équilibrer</x:v>
      </x:c>
      <x:c r="J125" s="115" t="str">
        <x:v>Non</x:v>
      </x:c>
      <x:c r="K125" s="115" t="str">
        <x:v>Pièces décrites, murs, portes, niveaux et mobilier inspectables à l’échelle. Volumes réservés, raccord au seed, butin, rencontres et services de campagne restent à terminer.</x:v>
      </x:c>
    </x:row>
    <x:row r="126" ht="96" customHeight="1">
      <x:c r="A126" s="115" t="str">
        <x:v>EXT-MONDE-T003-V21</x:v>
      </x:c>
      <x:c r="B126" s="115" t="str">
        <x:v>EXT-MONDE-T003</x:v>
      </x:c>
      <x:c r="C126" s="115" t="str">
        <x:v>Lacs</x:v>
      </x:c>
      <x:c r="D126" s="115" t="str">
        <x:v>Station limnologique</x:v>
      </x:c>
      <x:c r="E126" s="115" t="n">
        <x:v>21</x:v>
      </x:c>
      <x:c r="F126" s="115" t="str">
        <x:v>Inspection physique</x:v>
      </x:c>
      <x:c r="G126" s="115" t="str">
        <x:v>1 niveaux ; 24 pièces ; 186 segments de mur ; 0 transitions. Inspection physique ; architecture complète encore ouverte.</x:v>
      </x:c>
      <x:c r="H126" s="115" t="str">
        <x:v>L 270 ; l 232 ; hauteur 4,5 m ; choix de composition auteur ; dimensions réelles à documenter</x:v>
      </x:c>
      <x:c r="I126" s="115" t="str">
        <x:v>À équilibrer</x:v>
      </x:c>
      <x:c r="J126" s="115" t="str">
        <x:v>Non</x:v>
      </x:c>
      <x:c r="K126" s="115" t="str">
        <x:v>Pièces décrites, murs, portes, niveaux et mobilier inspectables à l’échelle. Volumes réservés, raccord au seed, butin, rencontres et services de campagne restent à terminer.</x:v>
      </x:c>
    </x:row>
    <x:row r="127" ht="96" customHeight="1">
      <x:c r="A127" s="115" t="str">
        <x:v>EXT-MONDE-T003-V22</x:v>
      </x:c>
      <x:c r="B127" s="115" t="str">
        <x:v>EXT-MONDE-T003</x:v>
      </x:c>
      <x:c r="C127" s="115" t="str">
        <x:v>Lacs</x:v>
      </x:c>
      <x:c r="D127" s="115" t="str">
        <x:v>Station limnologique</x:v>
      </x:c>
      <x:c r="E127" s="115" t="n">
        <x:v>22</x:v>
      </x:c>
      <x:c r="F127" s="115" t="str">
        <x:v>Inspection physique</x:v>
      </x:c>
      <x:c r="G127" s="115" t="str">
        <x:v>1 niveaux ; 24 pièces ; 186 segments de mur ; 0 transitions. Inspection physique ; architecture complète encore ouverte.</x:v>
      </x:c>
      <x:c r="H127" s="115" t="str">
        <x:v>L 270 ; l 232 ; hauteur 4,5 m ; choix de composition auteur ; dimensions réelles à documenter</x:v>
      </x:c>
      <x:c r="I127" s="115" t="str">
        <x:v>À équilibrer</x:v>
      </x:c>
      <x:c r="J127" s="115" t="str">
        <x:v>Non</x:v>
      </x:c>
      <x:c r="K127" s="115" t="str">
        <x:v>Pièces décrites, murs, portes, niveaux et mobilier inspectables à l’échelle. Volumes réservés, raccord au seed, butin, rencontres et services de campagne restent à terminer.</x:v>
      </x:c>
    </x:row>
    <x:row r="128" ht="96" customHeight="1">
      <x:c r="A128" s="115" t="str">
        <x:v>EXT-MONDE-T003-V23</x:v>
      </x:c>
      <x:c r="B128" s="115" t="str">
        <x:v>EXT-MONDE-T003</x:v>
      </x:c>
      <x:c r="C128" s="115" t="str">
        <x:v>Lacs</x:v>
      </x:c>
      <x:c r="D128" s="115" t="str">
        <x:v>Station limnologique</x:v>
      </x:c>
      <x:c r="E128" s="115" t="n">
        <x:v>23</x:v>
      </x:c>
      <x:c r="F128" s="115" t="str">
        <x:v>Inspection physique</x:v>
      </x:c>
      <x:c r="G128" s="115" t="str">
        <x:v>1 niveaux ; 24 pièces ; 186 segments de mur ; 0 transitions. Inspection physique ; architecture complète encore ouverte.</x:v>
      </x:c>
      <x:c r="H128" s="115" t="str">
        <x:v>L 270 ; l 232 ; hauteur 4,5 m ; choix de composition auteur ; dimensions réelles à documenter</x:v>
      </x:c>
      <x:c r="I128" s="115" t="str">
        <x:v>À équilibrer</x:v>
      </x:c>
      <x:c r="J128" s="115" t="str">
        <x:v>Non</x:v>
      </x:c>
      <x:c r="K128" s="115" t="str">
        <x:v>Pièces décrites, murs, portes, niveaux et mobilier inspectables à l’échelle. Volumes réservés, raccord au seed, butin, rencontres et services de campagne restent à terminer.</x:v>
      </x:c>
    </x:row>
    <x:row r="129" ht="96" customHeight="1">
      <x:c r="A129" s="115" t="str">
        <x:v>EXT-MONDE-T003-V24</x:v>
      </x:c>
      <x:c r="B129" s="115" t="str">
        <x:v>EXT-MONDE-T003</x:v>
      </x:c>
      <x:c r="C129" s="115" t="str">
        <x:v>Lacs</x:v>
      </x:c>
      <x:c r="D129" s="115" t="str">
        <x:v>Station limnologique</x:v>
      </x:c>
      <x:c r="E129" s="115" t="n">
        <x:v>24</x:v>
      </x:c>
      <x:c r="F129" s="115" t="str">
        <x:v>Inspection physique</x:v>
      </x:c>
      <x:c r="G129" s="115" t="str">
        <x:v>1 niveaux ; 24 pièces ; 186 segments de mur ; 0 transitions. Inspection physique ; architecture complète encore ouverte.</x:v>
      </x:c>
      <x:c r="H129" s="115" t="str">
        <x:v>L 270 ; l 232 ; hauteur 4,5 m ; choix de composition auteur ; dimensions réelles à documenter</x:v>
      </x:c>
      <x:c r="I129" s="115" t="str">
        <x:v>À équilibrer</x:v>
      </x:c>
      <x:c r="J129" s="115" t="str">
        <x:v>Non</x:v>
      </x:c>
      <x:c r="K129" s="115" t="str">
        <x:v>Pièces décrites, murs, portes, niveaux et mobilier inspectables à l’échelle. Volumes réservés, raccord au seed, butin, rencontres et services de campagne restent à terminer.</x:v>
      </x:c>
    </x:row>
    <x:row r="130" ht="96" customHeight="1">
      <x:c r="A130" s="115" t="str">
        <x:v>EXT-MONDE-T003-V25</x:v>
      </x:c>
      <x:c r="B130" s="115" t="str">
        <x:v>EXT-MONDE-T003</x:v>
      </x:c>
      <x:c r="C130" s="115" t="str">
        <x:v>Lacs</x:v>
      </x:c>
      <x:c r="D130" s="115" t="str">
        <x:v>Station limnologique</x:v>
      </x:c>
      <x:c r="E130" s="115" t="n">
        <x:v>25</x:v>
      </x:c>
      <x:c r="F130" s="115" t="str">
        <x:v>Inspection physique</x:v>
      </x:c>
      <x:c r="G130" s="115" t="str">
        <x:v>1 niveaux ; 24 pièces ; 186 segments de mur ; 0 transitions. Inspection physique ; architecture complète encore ouverte.</x:v>
      </x:c>
      <x:c r="H130" s="115" t="str">
        <x:v>L 270 ; l 232 ; hauteur 4,5 m ; choix de composition auteur ; dimensions réelles à documenter</x:v>
      </x:c>
      <x:c r="I130" s="115" t="str">
        <x:v>À équilibrer</x:v>
      </x:c>
      <x:c r="J130" s="115" t="str">
        <x:v>Non</x:v>
      </x:c>
      <x:c r="K130" s="115" t="str">
        <x:v>Pièces décrites, murs, portes, niveaux et mobilier inspectables à l’échelle. Volumes réservés, raccord au seed, butin, rencontres et services de campagne restent à terminer.</x:v>
      </x:c>
    </x:row>
    <x:row r="131" ht="96" customHeight="1">
      <x:c r="A131" s="115" t="str">
        <x:v>EXT-MONDE-T003-V26</x:v>
      </x:c>
      <x:c r="B131" s="115" t="str">
        <x:v>EXT-MONDE-T003</x:v>
      </x:c>
      <x:c r="C131" s="115" t="str">
        <x:v>Lacs</x:v>
      </x:c>
      <x:c r="D131" s="115" t="str">
        <x:v>Station limnologique</x:v>
      </x:c>
      <x:c r="E131" s="115" t="n">
        <x:v>26</x:v>
      </x:c>
      <x:c r="F131" s="115" t="str">
        <x:v>Inspection physique</x:v>
      </x:c>
      <x:c r="G131" s="115" t="str">
        <x:v>1 niveaux ; 24 pièces ; 186 segments de mur ; 0 transitions. Inspection physique ; architecture complète encore ouverte.</x:v>
      </x:c>
      <x:c r="H131" s="115" t="str">
        <x:v>L 270 ; l 232 ; hauteur 4,5 m ; choix de composition auteur ; dimensions réelles à documenter</x:v>
      </x:c>
      <x:c r="I131" s="115" t="str">
        <x:v>À équilibrer</x:v>
      </x:c>
      <x:c r="J131" s="115" t="str">
        <x:v>Non</x:v>
      </x:c>
      <x:c r="K131" s="115" t="str">
        <x:v>Pièces décrites, murs, portes, niveaux et mobilier inspectables à l’échelle. Volumes réservés, raccord au seed, butin, rencontres et services de campagne restent à terminer.</x:v>
      </x:c>
    </x:row>
    <x:row r="132" ht="96" customHeight="1">
      <x:c r="A132" s="115" t="str">
        <x:v>EXT-MONDE-T003-V27</x:v>
      </x:c>
      <x:c r="B132" s="115" t="str">
        <x:v>EXT-MONDE-T003</x:v>
      </x:c>
      <x:c r="C132" s="115" t="str">
        <x:v>Lacs</x:v>
      </x:c>
      <x:c r="D132" s="115" t="str">
        <x:v>Station limnologique</x:v>
      </x:c>
      <x:c r="E132" s="115" t="n">
        <x:v>27</x:v>
      </x:c>
      <x:c r="F132" s="115" t="str">
        <x:v>Inspection physique</x:v>
      </x:c>
      <x:c r="G132" s="115" t="str">
        <x:v>1 niveaux ; 24 pièces ; 186 segments de mur ; 0 transitions. Inspection physique ; architecture complète encore ouverte.</x:v>
      </x:c>
      <x:c r="H132" s="115" t="str">
        <x:v>L 270 ; l 232 ; hauteur 4,5 m ; choix de composition auteur ; dimensions réelles à documenter</x:v>
      </x:c>
      <x:c r="I132" s="115" t="str">
        <x:v>À équilibrer</x:v>
      </x:c>
      <x:c r="J132" s="115" t="str">
        <x:v>Non</x:v>
      </x:c>
      <x:c r="K132" s="115" t="str">
        <x:v>Pièces décrites, murs, portes, niveaux et mobilier inspectables à l’échelle. Volumes réservés, raccord au seed, butin, rencontres et services de campagne restent à terminer.</x:v>
      </x:c>
    </x:row>
    <x:row r="133" ht="96" customHeight="1">
      <x:c r="A133" s="115" t="str">
        <x:v>EXT-MONDE-T003-V28</x:v>
      </x:c>
      <x:c r="B133" s="115" t="str">
        <x:v>EXT-MONDE-T003</x:v>
      </x:c>
      <x:c r="C133" s="115" t="str">
        <x:v>Lacs</x:v>
      </x:c>
      <x:c r="D133" s="115" t="str">
        <x:v>Station limnologique</x:v>
      </x:c>
      <x:c r="E133" s="115" t="n">
        <x:v>28</x:v>
      </x:c>
      <x:c r="F133" s="115" t="str">
        <x:v>Inspection physique</x:v>
      </x:c>
      <x:c r="G133" s="115" t="str">
        <x:v>1 niveaux ; 24 pièces ; 186 segments de mur ; 0 transitions. Inspection physique ; architecture complète encore ouverte.</x:v>
      </x:c>
      <x:c r="H133" s="115" t="str">
        <x:v>L 270 ; l 232 ; hauteur 4,5 m ; choix de composition auteur ; dimensions réelles à documenter</x:v>
      </x:c>
      <x:c r="I133" s="115" t="str">
        <x:v>À équilibrer</x:v>
      </x:c>
      <x:c r="J133" s="115" t="str">
        <x:v>Non</x:v>
      </x:c>
      <x:c r="K133" s="115" t="str">
        <x:v>Pièces décrites, murs, portes, niveaux et mobilier inspectables à l’échelle. Volumes réservés, raccord au seed, butin, rencontres et services de campagne restent à terminer.</x:v>
      </x:c>
    </x:row>
    <x:row r="134" ht="96" customHeight="1">
      <x:c r="A134" s="115" t="str">
        <x:v>EXT-MONDE-T003-V29</x:v>
      </x:c>
      <x:c r="B134" s="115" t="str">
        <x:v>EXT-MONDE-T003</x:v>
      </x:c>
      <x:c r="C134" s="115" t="str">
        <x:v>Lacs</x:v>
      </x:c>
      <x:c r="D134" s="115" t="str">
        <x:v>Station limnologique</x:v>
      </x:c>
      <x:c r="E134" s="115" t="n">
        <x:v>29</x:v>
      </x:c>
      <x:c r="F134" s="115" t="str">
        <x:v>Inspection physique</x:v>
      </x:c>
      <x:c r="G134" s="115" t="str">
        <x:v>1 niveaux ; 24 pièces ; 186 segments de mur ; 0 transitions. Inspection physique ; architecture complète encore ouverte.</x:v>
      </x:c>
      <x:c r="H134" s="115" t="str">
        <x:v>L 270 ; l 232 ; hauteur 4,5 m ; choix de composition auteur ; dimensions réelles à documenter</x:v>
      </x:c>
      <x:c r="I134" s="115" t="str">
        <x:v>À équilibrer</x:v>
      </x:c>
      <x:c r="J134" s="115" t="str">
        <x:v>Non</x:v>
      </x:c>
      <x:c r="K134" s="115" t="str">
        <x:v>Pièces décrites, murs, portes, niveaux et mobilier inspectables à l’échelle. Volumes réservés, raccord au seed, butin, rencontres et services de campagne restent à terminer.</x:v>
      </x:c>
    </x:row>
    <x:row r="135" ht="96" customHeight="1">
      <x:c r="A135" s="115" t="str">
        <x:v>EXT-MONDE-T003-V30</x:v>
      </x:c>
      <x:c r="B135" s="115" t="str">
        <x:v>EXT-MONDE-T003</x:v>
      </x:c>
      <x:c r="C135" s="115" t="str">
        <x:v>Lacs</x:v>
      </x:c>
      <x:c r="D135" s="115" t="str">
        <x:v>Station limnologique</x:v>
      </x:c>
      <x:c r="E135" s="115" t="n">
        <x:v>30</x:v>
      </x:c>
      <x:c r="F135" s="115" t="str">
        <x:v>Inspection physique</x:v>
      </x:c>
      <x:c r="G135" s="115" t="str">
        <x:v>1 niveaux ; 24 pièces ; 186 segments de mur ; 0 transitions. Inspection physique ; architecture complète encore ouverte.</x:v>
      </x:c>
      <x:c r="H135" s="115" t="str">
        <x:v>L 270 ; l 232 ; hauteur 4,5 m ; choix de composition auteur ; dimensions réelles à documenter</x:v>
      </x:c>
      <x:c r="I135" s="115" t="str">
        <x:v>À équilibrer</x:v>
      </x:c>
      <x:c r="J135" s="115" t="str">
        <x:v>Non</x:v>
      </x:c>
      <x:c r="K135" s="115" t="str">
        <x:v>Pièces décrites, murs, portes, niveaux et mobilier inspectables à l’échelle. Volumes réservés, raccord au seed, butin, rencontres et services de campagne restent à terminer.</x:v>
      </x:c>
    </x:row>
    <x:row r="136" ht="96" customHeight="1">
      <x:c r="A136" s="115" t="str">
        <x:v>EXT-MONDE-T003-V31</x:v>
      </x:c>
      <x:c r="B136" s="115" t="str">
        <x:v>EXT-MONDE-T003</x:v>
      </x:c>
      <x:c r="C136" s="115" t="str">
        <x:v>Lacs</x:v>
      </x:c>
      <x:c r="D136" s="115" t="str">
        <x:v>Station limnologique</x:v>
      </x:c>
      <x:c r="E136" s="115" t="n">
        <x:v>31</x:v>
      </x:c>
      <x:c r="F136" s="115" t="str">
        <x:v>Inspection physique</x:v>
      </x:c>
      <x:c r="G136" s="115" t="str">
        <x:v>1 niveaux ; 24 pièces ; 186 segments de mur ; 0 transitions. Inspection physique ; architecture complète encore ouverte.</x:v>
      </x:c>
      <x:c r="H136" s="115" t="str">
        <x:v>L 284 ; l 248 ; hauteur 4,65 m ; choix de composition auteur ; dimensions réelles à documenter</x:v>
      </x:c>
      <x:c r="I136" s="115" t="str">
        <x:v>À équilibrer</x:v>
      </x:c>
      <x:c r="J136" s="115" t="str">
        <x:v>Non</x:v>
      </x:c>
      <x:c r="K136" s="115" t="str">
        <x:v>Pièces décrites, murs, portes, niveaux et mobilier inspectables à l’échelle. Volumes réservés, raccord au seed, butin, rencontres et services de campagne restent à terminer.</x:v>
      </x:c>
    </x:row>
    <x:row r="137" ht="96" customHeight="1">
      <x:c r="A137" s="115" t="str">
        <x:v>EXT-MONDE-T003-V32</x:v>
      </x:c>
      <x:c r="B137" s="115" t="str">
        <x:v>EXT-MONDE-T003</x:v>
      </x:c>
      <x:c r="C137" s="115" t="str">
        <x:v>Lacs</x:v>
      </x:c>
      <x:c r="D137" s="115" t="str">
        <x:v>Station limnologique</x:v>
      </x:c>
      <x:c r="E137" s="115" t="n">
        <x:v>32</x:v>
      </x:c>
      <x:c r="F137" s="115" t="str">
        <x:v>Inspection physique</x:v>
      </x:c>
      <x:c r="G137" s="115" t="str">
        <x:v>1 niveaux ; 24 pièces ; 186 segments de mur ; 0 transitions. Inspection physique ; architecture complète encore ouverte.</x:v>
      </x:c>
      <x:c r="H137" s="115" t="str">
        <x:v>L 284 ; l 248 ; hauteur 4,65 m ; choix de composition auteur ; dimensions réelles à documenter</x:v>
      </x:c>
      <x:c r="I137" s="115" t="str">
        <x:v>À équilibrer</x:v>
      </x:c>
      <x:c r="J137" s="115" t="str">
        <x:v>Non</x:v>
      </x:c>
      <x:c r="K137" s="115" t="str">
        <x:v>Pièces décrites, murs, portes, niveaux et mobilier inspectables à l’échelle. Volumes réservés, raccord au seed, butin, rencontres et services de campagne restent à terminer.</x:v>
      </x:c>
    </x:row>
    <x:row r="138" ht="96" customHeight="1">
      <x:c r="A138" s="115" t="str">
        <x:v>EXT-MONDE-T003-V33</x:v>
      </x:c>
      <x:c r="B138" s="115" t="str">
        <x:v>EXT-MONDE-T003</x:v>
      </x:c>
      <x:c r="C138" s="115" t="str">
        <x:v>Lacs</x:v>
      </x:c>
      <x:c r="D138" s="115" t="str">
        <x:v>Station limnologique</x:v>
      </x:c>
      <x:c r="E138" s="115" t="n">
        <x:v>33</x:v>
      </x:c>
      <x:c r="F138" s="115" t="str">
        <x:v>Inspection physique</x:v>
      </x:c>
      <x:c r="G138" s="115" t="str">
        <x:v>1 niveaux ; 24 pièces ; 186 segments de mur ; 0 transitions. Inspection physique ; architecture complète encore ouverte.</x:v>
      </x:c>
      <x:c r="H138" s="115" t="str">
        <x:v>L 284 ; l 248 ; hauteur 4,65 m ; choix de composition auteur ; dimensions réelles à documenter</x:v>
      </x:c>
      <x:c r="I138" s="115" t="str">
        <x:v>À équilibrer</x:v>
      </x:c>
      <x:c r="J138" s="115" t="str">
        <x:v>Non</x:v>
      </x:c>
      <x:c r="K138" s="115" t="str">
        <x:v>Pièces décrites, murs, portes, niveaux et mobilier inspectables à l’échelle. Volumes réservés, raccord au seed, butin, rencontres et services de campagne restent à terminer.</x:v>
      </x:c>
    </x:row>
    <x:row r="139" ht="96" customHeight="1">
      <x:c r="A139" s="115" t="str">
        <x:v>EXT-MONDE-T003-V34</x:v>
      </x:c>
      <x:c r="B139" s="115" t="str">
        <x:v>EXT-MONDE-T003</x:v>
      </x:c>
      <x:c r="C139" s="115" t="str">
        <x:v>Lacs</x:v>
      </x:c>
      <x:c r="D139" s="115" t="str">
        <x:v>Station limnologique</x:v>
      </x:c>
      <x:c r="E139" s="115" t="n">
        <x:v>34</x:v>
      </x:c>
      <x:c r="F139" s="115" t="str">
        <x:v>Inspection physique</x:v>
      </x:c>
      <x:c r="G139" s="115" t="str">
        <x:v>1 niveaux ; 24 pièces ; 186 segments de mur ; 0 transitions. Inspection physique ; architecture complète encore ouverte.</x:v>
      </x:c>
      <x:c r="H139" s="115" t="str">
        <x:v>L 284 ; l 248 ; hauteur 4,65 m ; choix de composition auteur ; dimensions réelles à documenter</x:v>
      </x:c>
      <x:c r="I139" s="115" t="str">
        <x:v>À équilibrer</x:v>
      </x:c>
      <x:c r="J139" s="115" t="str">
        <x:v>Non</x:v>
      </x:c>
      <x:c r="K139" s="115" t="str">
        <x:v>Pièces décrites, murs, portes, niveaux et mobilier inspectables à l’échelle. Volumes réservés, raccord au seed, butin, rencontres et services de campagne restent à terminer.</x:v>
      </x:c>
    </x:row>
    <x:row r="140" ht="96" customHeight="1">
      <x:c r="A140" s="115" t="str">
        <x:v>EXT-MONDE-T003-V35</x:v>
      </x:c>
      <x:c r="B140" s="115" t="str">
        <x:v>EXT-MONDE-T003</x:v>
      </x:c>
      <x:c r="C140" s="115" t="str">
        <x:v>Lacs</x:v>
      </x:c>
      <x:c r="D140" s="115" t="str">
        <x:v>Station limnologique</x:v>
      </x:c>
      <x:c r="E140" s="115" t="n">
        <x:v>35</x:v>
      </x:c>
      <x:c r="F140" s="115" t="str">
        <x:v>Inspection physique</x:v>
      </x:c>
      <x:c r="G140" s="115" t="str">
        <x:v>1 niveaux ; 24 pièces ; 186 segments de mur ; 0 transitions. Inspection physique ; architecture complète encore ouverte.</x:v>
      </x:c>
      <x:c r="H140" s="115" t="str">
        <x:v>L 284 ; l 248 ; hauteur 4,65 m ; choix de composition auteur ; dimensions réelles à documenter</x:v>
      </x:c>
      <x:c r="I140" s="115" t="str">
        <x:v>À équilibrer</x:v>
      </x:c>
      <x:c r="J140" s="115" t="str">
        <x:v>Non</x:v>
      </x:c>
      <x:c r="K140" s="115" t="str">
        <x:v>Pièces décrites, murs, portes, niveaux et mobilier inspectables à l’échelle. Volumes réservés, raccord au seed, butin, rencontres et services de campagne restent à terminer.</x:v>
      </x:c>
    </x:row>
    <x:row r="141" ht="96" customHeight="1">
      <x:c r="A141" s="115" t="str">
        <x:v>EXT-MONDE-T003-V36</x:v>
      </x:c>
      <x:c r="B141" s="115" t="str">
        <x:v>EXT-MONDE-T003</x:v>
      </x:c>
      <x:c r="C141" s="115" t="str">
        <x:v>Lacs</x:v>
      </x:c>
      <x:c r="D141" s="115" t="str">
        <x:v>Station limnologique</x:v>
      </x:c>
      <x:c r="E141" s="115" t="n">
        <x:v>36</x:v>
      </x:c>
      <x:c r="F141" s="115" t="str">
        <x:v>Inspection physique</x:v>
      </x:c>
      <x:c r="G141" s="115" t="str">
        <x:v>1 niveaux ; 24 pièces ; 186 segments de mur ; 0 transitions. Inspection physique ; architecture complète encore ouverte.</x:v>
      </x:c>
      <x:c r="H141" s="115" t="str">
        <x:v>L 284 ; l 248 ; hauteur 4,65 m ; choix de composition auteur ; dimensions réelles à documenter</x:v>
      </x:c>
      <x:c r="I141" s="115" t="str">
        <x:v>À équilibrer</x:v>
      </x:c>
      <x:c r="J141" s="115" t="str">
        <x:v>Non</x:v>
      </x:c>
      <x:c r="K141" s="115" t="str">
        <x:v>Pièces décrites, murs, portes, niveaux et mobilier inspectables à l’échelle. Volumes réservés, raccord au seed, butin, rencontres et services de campagne restent à terminer.</x:v>
      </x:c>
    </x:row>
    <x:row r="142" ht="96" customHeight="1">
      <x:c r="A142" s="115" t="str">
        <x:v>EXT-MONDE-T003-V37</x:v>
      </x:c>
      <x:c r="B142" s="115" t="str">
        <x:v>EXT-MONDE-T003</x:v>
      </x:c>
      <x:c r="C142" s="115" t="str">
        <x:v>Lacs</x:v>
      </x:c>
      <x:c r="D142" s="115" t="str">
        <x:v>Station limnologique</x:v>
      </x:c>
      <x:c r="E142" s="115" t="n">
        <x:v>37</x:v>
      </x:c>
      <x:c r="F142" s="115" t="str">
        <x:v>Inspection physique</x:v>
      </x:c>
      <x:c r="G142" s="115" t="str">
        <x:v>1 niveaux ; 24 pièces ; 186 segments de mur ; 0 transitions. Inspection physique ; architecture complète encore ouverte.</x:v>
      </x:c>
      <x:c r="H142" s="115" t="str">
        <x:v>L 284 ; l 248 ; hauteur 4,65 m ; choix de composition auteur ; dimensions réelles à documenter</x:v>
      </x:c>
      <x:c r="I142" s="115" t="str">
        <x:v>À équilibrer</x:v>
      </x:c>
      <x:c r="J142" s="115" t="str">
        <x:v>Non</x:v>
      </x:c>
      <x:c r="K142" s="115" t="str">
        <x:v>Pièces décrites, murs, portes, niveaux et mobilier inspectables à l’échelle. Volumes réservés, raccord au seed, butin, rencontres et services de campagne restent à terminer.</x:v>
      </x:c>
    </x:row>
    <x:row r="143" ht="96" customHeight="1">
      <x:c r="A143" s="115" t="str">
        <x:v>EXT-MONDE-T003-V38</x:v>
      </x:c>
      <x:c r="B143" s="115" t="str">
        <x:v>EXT-MONDE-T003</x:v>
      </x:c>
      <x:c r="C143" s="115" t="str">
        <x:v>Lacs</x:v>
      </x:c>
      <x:c r="D143" s="115" t="str">
        <x:v>Station limnologique</x:v>
      </x:c>
      <x:c r="E143" s="115" t="n">
        <x:v>38</x:v>
      </x:c>
      <x:c r="F143" s="115" t="str">
        <x:v>Inspection physique</x:v>
      </x:c>
      <x:c r="G143" s="115" t="str">
        <x:v>1 niveaux ; 24 pièces ; 186 segments de mur ; 0 transitions. Inspection physique ; architecture complète encore ouverte.</x:v>
      </x:c>
      <x:c r="H143" s="115" t="str">
        <x:v>L 284 ; l 248 ; hauteur 4,65 m ; choix de composition auteur ; dimensions réelles à documenter</x:v>
      </x:c>
      <x:c r="I143" s="115" t="str">
        <x:v>À équilibrer</x:v>
      </x:c>
      <x:c r="J143" s="115" t="str">
        <x:v>Non</x:v>
      </x:c>
      <x:c r="K143" s="115" t="str">
        <x:v>Pièces décrites, murs, portes, niveaux et mobilier inspectables à l’échelle. Volumes réservés, raccord au seed, butin, rencontres et services de campagne restent à terminer.</x:v>
      </x:c>
    </x:row>
    <x:row r="144" ht="96" customHeight="1">
      <x:c r="A144" s="115" t="str">
        <x:v>EXT-MONDE-T003-V39</x:v>
      </x:c>
      <x:c r="B144" s="115" t="str">
        <x:v>EXT-MONDE-T003</x:v>
      </x:c>
      <x:c r="C144" s="115" t="str">
        <x:v>Lacs</x:v>
      </x:c>
      <x:c r="D144" s="115" t="str">
        <x:v>Station limnologique</x:v>
      </x:c>
      <x:c r="E144" s="115" t="n">
        <x:v>39</x:v>
      </x:c>
      <x:c r="F144" s="115" t="str">
        <x:v>Inspection physique</x:v>
      </x:c>
      <x:c r="G144" s="115" t="str">
        <x:v>1 niveaux ; 24 pièces ; 186 segments de mur ; 0 transitions. Inspection physique ; architecture complète encore ouverte.</x:v>
      </x:c>
      <x:c r="H144" s="115" t="str">
        <x:v>L 284 ; l 248 ; hauteur 4,65 m ; choix de composition auteur ; dimensions réelles à documenter</x:v>
      </x:c>
      <x:c r="I144" s="115" t="str">
        <x:v>À équilibrer</x:v>
      </x:c>
      <x:c r="J144" s="115" t="str">
        <x:v>Non</x:v>
      </x:c>
      <x:c r="K144" s="115" t="str">
        <x:v>Pièces décrites, murs, portes, niveaux et mobilier inspectables à l’échelle. Volumes réservés, raccord au seed, butin, rencontres et services de campagne restent à terminer.</x:v>
      </x:c>
    </x:row>
    <x:row r="145" ht="96" customHeight="1">
      <x:c r="A145" s="115" t="str">
        <x:v>EXT-MONDE-T003-V40</x:v>
      </x:c>
      <x:c r="B145" s="115" t="str">
        <x:v>EXT-MONDE-T003</x:v>
      </x:c>
      <x:c r="C145" s="115" t="str">
        <x:v>Lacs</x:v>
      </x:c>
      <x:c r="D145" s="115" t="str">
        <x:v>Station limnologique</x:v>
      </x:c>
      <x:c r="E145" s="115" t="n">
        <x:v>40</x:v>
      </x:c>
      <x:c r="F145" s="115" t="str">
        <x:v>Inspection physique</x:v>
      </x:c>
      <x:c r="G145" s="115" t="str">
        <x:v>1 niveaux ; 24 pièces ; 186 segments de mur ; 0 transitions. Inspection physique ; architecture complète encore ouverte.</x:v>
      </x:c>
      <x:c r="H145" s="115" t="str">
        <x:v>L 284 ; l 248 ; hauteur 4,65 m ; choix de composition auteur ; dimensions réelles à documenter</x:v>
      </x:c>
      <x:c r="I145" s="115" t="str">
        <x:v>À équilibrer</x:v>
      </x:c>
      <x:c r="J145" s="115" t="str">
        <x:v>Non</x:v>
      </x:c>
      <x:c r="K145" s="115" t="str">
        <x:v>Pièces décrites, murs, portes, niveaux et mobilier inspectables à l’échelle. Volumes réservés, raccord au seed, butin, rencontres et services de campagne restent à terminer.</x:v>
      </x:c>
    </x:row>
    <x:row r="146" ht="96" customHeight="1">
      <x:c r="A146" s="115" t="str">
        <x:v>EXT-MONDE-T003-V41</x:v>
      </x:c>
      <x:c r="B146" s="115" t="str">
        <x:v>EXT-MONDE-T003</x:v>
      </x:c>
      <x:c r="C146" s="115" t="str">
        <x:v>Lacs</x:v>
      </x:c>
      <x:c r="D146" s="115" t="str">
        <x:v>Station limnologique</x:v>
      </x:c>
      <x:c r="E146" s="115" t="n">
        <x:v>41</x:v>
      </x:c>
      <x:c r="F146" s="115" t="str">
        <x:v>Inspection physique</x:v>
      </x:c>
      <x:c r="G146" s="115" t="str">
        <x:v>1 niveaux ; 24 pièces ; 186 segments de mur ; 0 transitions. Inspection physique ; architecture complète encore ouverte.</x:v>
      </x:c>
      <x:c r="H146" s="115" t="str">
        <x:v>L 298 ; l 264 ; hauteur 4,8 m ; choix de composition auteur ; dimensions réelles à documenter</x:v>
      </x:c>
      <x:c r="I146" s="115" t="str">
        <x:v>À équilibrer</x:v>
      </x:c>
      <x:c r="J146" s="115" t="str">
        <x:v>Non</x:v>
      </x:c>
      <x:c r="K146" s="115" t="str">
        <x:v>Pièces décrites, murs, portes, niveaux et mobilier inspectables à l’échelle. Volumes réservés, raccord au seed, butin, rencontres et services de campagne restent à terminer.</x:v>
      </x:c>
    </x:row>
    <x:row r="147" ht="96" customHeight="1">
      <x:c r="A147" s="115" t="str">
        <x:v>EXT-MONDE-T003-V42</x:v>
      </x:c>
      <x:c r="B147" s="115" t="str">
        <x:v>EXT-MONDE-T003</x:v>
      </x:c>
      <x:c r="C147" s="115" t="str">
        <x:v>Lacs</x:v>
      </x:c>
      <x:c r="D147" s="115" t="str">
        <x:v>Station limnologique</x:v>
      </x:c>
      <x:c r="E147" s="115" t="n">
        <x:v>42</x:v>
      </x:c>
      <x:c r="F147" s="115" t="str">
        <x:v>Inspection physique</x:v>
      </x:c>
      <x:c r="G147" s="115" t="str">
        <x:v>1 niveaux ; 24 pièces ; 186 segments de mur ; 0 transitions. Inspection physique ; architecture complète encore ouverte.</x:v>
      </x:c>
      <x:c r="H147" s="115" t="str">
        <x:v>L 298 ; l 264 ; hauteur 4,8 m ; choix de composition auteur ; dimensions réelles à documenter</x:v>
      </x:c>
      <x:c r="I147" s="115" t="str">
        <x:v>À équilibrer</x:v>
      </x:c>
      <x:c r="J147" s="115" t="str">
        <x:v>Non</x:v>
      </x:c>
      <x:c r="K147" s="115" t="str">
        <x:v>Pièces décrites, murs, portes, niveaux et mobilier inspectables à l’échelle. Volumes réservés, raccord au seed, butin, rencontres et services de campagne restent à terminer.</x:v>
      </x:c>
    </x:row>
    <x:row r="148" ht="96" customHeight="1">
      <x:c r="A148" s="115" t="str">
        <x:v>EXT-MONDE-T003-V43</x:v>
      </x:c>
      <x:c r="B148" s="115" t="str">
        <x:v>EXT-MONDE-T003</x:v>
      </x:c>
      <x:c r="C148" s="115" t="str">
        <x:v>Lacs</x:v>
      </x:c>
      <x:c r="D148" s="115" t="str">
        <x:v>Station limnologique</x:v>
      </x:c>
      <x:c r="E148" s="115" t="n">
        <x:v>43</x:v>
      </x:c>
      <x:c r="F148" s="115" t="str">
        <x:v>Inspection physique</x:v>
      </x:c>
      <x:c r="G148" s="115" t="str">
        <x:v>1 niveaux ; 24 pièces ; 186 segments de mur ; 0 transitions. Inspection physique ; architecture complète encore ouverte.</x:v>
      </x:c>
      <x:c r="H148" s="115" t="str">
        <x:v>L 298 ; l 264 ; hauteur 4,8 m ; choix de composition auteur ; dimensions réelles à documenter</x:v>
      </x:c>
      <x:c r="I148" s="115" t="str">
        <x:v>À équilibrer</x:v>
      </x:c>
      <x:c r="J148" s="115" t="str">
        <x:v>Non</x:v>
      </x:c>
      <x:c r="K148" s="115" t="str">
        <x:v>Pièces décrites, murs, portes, niveaux et mobilier inspectables à l’échelle. Volumes réservés, raccord au seed, butin, rencontres et services de campagne restent à terminer.</x:v>
      </x:c>
    </x:row>
    <x:row r="149" ht="96" customHeight="1">
      <x:c r="A149" s="115" t="str">
        <x:v>EXT-MONDE-T003-V44</x:v>
      </x:c>
      <x:c r="B149" s="115" t="str">
        <x:v>EXT-MONDE-T003</x:v>
      </x:c>
      <x:c r="C149" s="115" t="str">
        <x:v>Lacs</x:v>
      </x:c>
      <x:c r="D149" s="115" t="str">
        <x:v>Station limnologique</x:v>
      </x:c>
      <x:c r="E149" s="115" t="n">
        <x:v>44</x:v>
      </x:c>
      <x:c r="F149" s="115" t="str">
        <x:v>Inspection physique</x:v>
      </x:c>
      <x:c r="G149" s="115" t="str">
        <x:v>1 niveaux ; 24 pièces ; 186 segments de mur ; 0 transitions. Inspection physique ; architecture complète encore ouverte.</x:v>
      </x:c>
      <x:c r="H149" s="115" t="str">
        <x:v>L 298 ; l 264 ; hauteur 4,8 m ; choix de composition auteur ; dimensions réelles à documenter</x:v>
      </x:c>
      <x:c r="I149" s="115" t="str">
        <x:v>À équilibrer</x:v>
      </x:c>
      <x:c r="J149" s="115" t="str">
        <x:v>Non</x:v>
      </x:c>
      <x:c r="K149" s="115" t="str">
        <x:v>Pièces décrites, murs, portes, niveaux et mobilier inspectables à l’échelle. Volumes réservés, raccord au seed, butin, rencontres et services de campagne restent à terminer.</x:v>
      </x:c>
    </x:row>
    <x:row r="150" ht="96" customHeight="1">
      <x:c r="A150" s="115" t="str">
        <x:v>EXT-MONDE-T003-V45</x:v>
      </x:c>
      <x:c r="B150" s="115" t="str">
        <x:v>EXT-MONDE-T003</x:v>
      </x:c>
      <x:c r="C150" s="115" t="str">
        <x:v>Lacs</x:v>
      </x:c>
      <x:c r="D150" s="115" t="str">
        <x:v>Station limnologique</x:v>
      </x:c>
      <x:c r="E150" s="115" t="n">
        <x:v>45</x:v>
      </x:c>
      <x:c r="F150" s="115" t="str">
        <x:v>Inspection physique</x:v>
      </x:c>
      <x:c r="G150" s="115" t="str">
        <x:v>1 niveaux ; 24 pièces ; 186 segments de mur ; 0 transitions. Inspection physique ; architecture complète encore ouverte.</x:v>
      </x:c>
      <x:c r="H150" s="115" t="str">
        <x:v>L 298 ; l 264 ; hauteur 4,8 m ; choix de composition auteur ; dimensions réelles à documenter</x:v>
      </x:c>
      <x:c r="I150" s="115" t="str">
        <x:v>À équilibrer</x:v>
      </x:c>
      <x:c r="J150" s="115" t="str">
        <x:v>Non</x:v>
      </x:c>
      <x:c r="K150" s="115" t="str">
        <x:v>Pièces décrites, murs, portes, niveaux et mobilier inspectables à l’échelle. Volumes réservés, raccord au seed, butin, rencontres et services de campagne restent à terminer.</x:v>
      </x:c>
    </x:row>
    <x:row r="151" ht="96" customHeight="1">
      <x:c r="A151" s="115" t="str">
        <x:v>EXT-MONDE-T003-V46</x:v>
      </x:c>
      <x:c r="B151" s="115" t="str">
        <x:v>EXT-MONDE-T003</x:v>
      </x:c>
      <x:c r="C151" s="115" t="str">
        <x:v>Lacs</x:v>
      </x:c>
      <x:c r="D151" s="115" t="str">
        <x:v>Station limnologique</x:v>
      </x:c>
      <x:c r="E151" s="115" t="n">
        <x:v>46</x:v>
      </x:c>
      <x:c r="F151" s="115" t="str">
        <x:v>Inspection physique</x:v>
      </x:c>
      <x:c r="G151" s="115" t="str">
        <x:v>1 niveaux ; 24 pièces ; 186 segments de mur ; 0 transitions. Inspection physique ; architecture complète encore ouverte.</x:v>
      </x:c>
      <x:c r="H151" s="115" t="str">
        <x:v>L 298 ; l 264 ; hauteur 4,8 m ; choix de composition auteur ; dimensions réelles à documenter</x:v>
      </x:c>
      <x:c r="I151" s="115" t="str">
        <x:v>À équilibrer</x:v>
      </x:c>
      <x:c r="J151" s="115" t="str">
        <x:v>Non</x:v>
      </x:c>
      <x:c r="K151" s="115" t="str">
        <x:v>Pièces décrites, murs, portes, niveaux et mobilier inspectables à l’échelle. Volumes réservés, raccord au seed, butin, rencontres et services de campagne restent à terminer.</x:v>
      </x:c>
    </x:row>
    <x:row r="152" ht="96" customHeight="1">
      <x:c r="A152" s="115" t="str">
        <x:v>EXT-MONDE-T003-V47</x:v>
      </x:c>
      <x:c r="B152" s="115" t="str">
        <x:v>EXT-MONDE-T003</x:v>
      </x:c>
      <x:c r="C152" s="115" t="str">
        <x:v>Lacs</x:v>
      </x:c>
      <x:c r="D152" s="115" t="str">
        <x:v>Station limnologique</x:v>
      </x:c>
      <x:c r="E152" s="115" t="n">
        <x:v>47</x:v>
      </x:c>
      <x:c r="F152" s="115" t="str">
        <x:v>Inspection physique</x:v>
      </x:c>
      <x:c r="G152" s="115" t="str">
        <x:v>1 niveaux ; 24 pièces ; 186 segments de mur ; 0 transitions. Inspection physique ; architecture complète encore ouverte.</x:v>
      </x:c>
      <x:c r="H152" s="115" t="str">
        <x:v>L 298 ; l 264 ; hauteur 4,8 m ; choix de composition auteur ; dimensions réelles à documenter</x:v>
      </x:c>
      <x:c r="I152" s="115" t="str">
        <x:v>À équilibrer</x:v>
      </x:c>
      <x:c r="J152" s="115" t="str">
        <x:v>Non</x:v>
      </x:c>
      <x:c r="K152" s="115" t="str">
        <x:v>Pièces décrites, murs, portes, niveaux et mobilier inspectables à l’échelle. Volumes réservés, raccord au seed, butin, rencontres et services de campagne restent à terminer.</x:v>
      </x:c>
    </x:row>
    <x:row r="153" ht="96" customHeight="1">
      <x:c r="A153" s="115" t="str">
        <x:v>EXT-MONDE-T003-V48</x:v>
      </x:c>
      <x:c r="B153" s="115" t="str">
        <x:v>EXT-MONDE-T003</x:v>
      </x:c>
      <x:c r="C153" s="115" t="str">
        <x:v>Lacs</x:v>
      </x:c>
      <x:c r="D153" s="115" t="str">
        <x:v>Station limnologique</x:v>
      </x:c>
      <x:c r="E153" s="115" t="n">
        <x:v>48</x:v>
      </x:c>
      <x:c r="F153" s="115" t="str">
        <x:v>Inspection physique</x:v>
      </x:c>
      <x:c r="G153" s="115" t="str">
        <x:v>1 niveaux ; 24 pièces ; 186 segments de mur ; 0 transitions. Inspection physique ; architecture complète encore ouverte.</x:v>
      </x:c>
      <x:c r="H153" s="115" t="str">
        <x:v>L 298 ; l 264 ; hauteur 4,8 m ; choix de composition auteur ; dimensions réelles à documenter</x:v>
      </x:c>
      <x:c r="I153" s="115" t="str">
        <x:v>À équilibrer</x:v>
      </x:c>
      <x:c r="J153" s="115" t="str">
        <x:v>Non</x:v>
      </x:c>
      <x:c r="K153" s="115" t="str">
        <x:v>Pièces décrites, murs, portes, niveaux et mobilier inspectables à l’échelle. Volumes réservés, raccord au seed, butin, rencontres et services de campagne restent à terminer.</x:v>
      </x:c>
    </x:row>
    <x:row r="154" ht="96" customHeight="1">
      <x:c r="A154" s="115" t="str">
        <x:v>EXT-MONDE-T003-V49</x:v>
      </x:c>
      <x:c r="B154" s="115" t="str">
        <x:v>EXT-MONDE-T003</x:v>
      </x:c>
      <x:c r="C154" s="115" t="str">
        <x:v>Lacs</x:v>
      </x:c>
      <x:c r="D154" s="115" t="str">
        <x:v>Station limnologique</x:v>
      </x:c>
      <x:c r="E154" s="115" t="n">
        <x:v>49</x:v>
      </x:c>
      <x:c r="F154" s="115" t="str">
        <x:v>Inspection physique</x:v>
      </x:c>
      <x:c r="G154" s="115" t="str">
        <x:v>1 niveaux ; 24 pièces ; 186 segments de mur ; 0 transitions. Inspection physique ; architecture complète encore ouverte.</x:v>
      </x:c>
      <x:c r="H154" s="115" t="str">
        <x:v>L 298 ; l 264 ; hauteur 4,8 m ; choix de composition auteur ; dimensions réelles à documenter</x:v>
      </x:c>
      <x:c r="I154" s="115" t="str">
        <x:v>À équilibrer</x:v>
      </x:c>
      <x:c r="J154" s="115" t="str">
        <x:v>Non</x:v>
      </x:c>
      <x:c r="K154" s="115" t="str">
        <x:v>Pièces décrites, murs, portes, niveaux et mobilier inspectables à l’échelle. Volumes réservés, raccord au seed, butin, rencontres et services de campagne restent à terminer.</x:v>
      </x:c>
    </x:row>
    <x:row r="155" ht="96" customHeight="1">
      <x:c r="A155" s="115" t="str">
        <x:v>EXT-MONDE-T003-V50</x:v>
      </x:c>
      <x:c r="B155" s="115" t="str">
        <x:v>EXT-MONDE-T003</x:v>
      </x:c>
      <x:c r="C155" s="115" t="str">
        <x:v>Lacs</x:v>
      </x:c>
      <x:c r="D155" s="115" t="str">
        <x:v>Station limnologique</x:v>
      </x:c>
      <x:c r="E155" s="115" t="n">
        <x:v>50</x:v>
      </x:c>
      <x:c r="F155" s="115" t="str">
        <x:v>Inspection physique</x:v>
      </x:c>
      <x:c r="G155" s="115" t="str">
        <x:v>1 niveaux ; 24 pièces ; 186 segments de mur ; 0 transitions. Inspection physique ; architecture complète encore ouverte.</x:v>
      </x:c>
      <x:c r="H155" s="115" t="str">
        <x:v>L 298 ; l 264 ; hauteur 4,8 m ; choix de composition auteur ; dimensions réelles à documenter</x:v>
      </x:c>
      <x:c r="I155" s="115" t="str">
        <x:v>À équilibrer</x:v>
      </x:c>
      <x:c r="J155" s="115" t="str">
        <x:v>Non</x:v>
      </x:c>
      <x:c r="K155" s="115" t="str">
        <x:v>Pièces décrites, murs, portes, niveaux et mobilier inspectables à l’échelle. Volumes réservés, raccord au seed, butin, rencontres et services de campagne restent à terminer.</x:v>
      </x:c>
    </x:row>
    <x:row r="156" ht="96" customHeight="1">
      <x:c r="A156" s="115" t="str">
        <x:v>EXT-MONDE-T004-V01</x:v>
      </x:c>
      <x:c r="B156" s="115" t="str">
        <x:v>EXT-MONDE-T004</x:v>
      </x:c>
      <x:c r="C156" s="115" t="str">
        <x:v>Lacs</x:v>
      </x:c>
      <x:c r="D156" s="115" t="str">
        <x:v>Camping de rive</x:v>
      </x:c>
      <x:c r="E156" s="115" t="n">
        <x:v>1</x:v>
      </x:c>
      <x:c r="F156" s="115" t="str">
        <x:v>Inspection physique</x:v>
      </x:c>
      <x:c r="G156" s="115" t="str">
        <x:v>1 niveaux ; 26 pièces ; 198 segments de mur ; 0 transitions. Inspection physique ; architecture complète encore ouverte.</x:v>
      </x:c>
      <x:c r="H156" s="115" t="str">
        <x:v>L 242 ; l 200 ; hauteur 3,8 m ; choix de composition auteur ; dimensions réelles à documenter</x:v>
      </x:c>
      <x:c r="I156" s="115" t="str">
        <x:v>À équilibrer</x:v>
      </x:c>
      <x:c r="J156" s="115" t="str">
        <x:v>Non</x:v>
      </x:c>
      <x:c r="K156" s="115" t="str">
        <x:v>Pièces décrites, murs, portes, niveaux et mobilier inspectables à l’échelle. Volumes réservés, raccord au seed, butin, rencontres et services de campagne restent à terminer.</x:v>
      </x:c>
    </x:row>
    <x:row r="157" ht="96" customHeight="1">
      <x:c r="A157" s="115" t="str">
        <x:v>EXT-MONDE-T004-V02</x:v>
      </x:c>
      <x:c r="B157" s="115" t="str">
        <x:v>EXT-MONDE-T004</x:v>
      </x:c>
      <x:c r="C157" s="115" t="str">
        <x:v>Lacs</x:v>
      </x:c>
      <x:c r="D157" s="115" t="str">
        <x:v>Camping de rive</x:v>
      </x:c>
      <x:c r="E157" s="115" t="n">
        <x:v>2</x:v>
      </x:c>
      <x:c r="F157" s="115" t="str">
        <x:v>Inspection physique</x:v>
      </x:c>
      <x:c r="G157" s="115" t="str">
        <x:v>1 niveaux ; 26 pièces ; 198 segments de mur ; 0 transitions. Inspection physique ; architecture complète encore ouverte.</x:v>
      </x:c>
      <x:c r="H157" s="115" t="str">
        <x:v>L 242 ; l 200 ; hauteur 3,8 m ; choix de composition auteur ; dimensions réelles à documenter</x:v>
      </x:c>
      <x:c r="I157" s="115" t="str">
        <x:v>À équilibrer</x:v>
      </x:c>
      <x:c r="J157" s="115" t="str">
        <x:v>Non</x:v>
      </x:c>
      <x:c r="K157" s="115" t="str">
        <x:v>Pièces décrites, murs, portes, niveaux et mobilier inspectables à l’échelle. Volumes réservés, raccord au seed, butin, rencontres et services de campagne restent à terminer.</x:v>
      </x:c>
    </x:row>
    <x:row r="158" ht="96" customHeight="1">
      <x:c r="A158" s="115" t="str">
        <x:v>EXT-MONDE-T004-V03</x:v>
      </x:c>
      <x:c r="B158" s="115" t="str">
        <x:v>EXT-MONDE-T004</x:v>
      </x:c>
      <x:c r="C158" s="115" t="str">
        <x:v>Lacs</x:v>
      </x:c>
      <x:c r="D158" s="115" t="str">
        <x:v>Camping de rive</x:v>
      </x:c>
      <x:c r="E158" s="115" t="n">
        <x:v>3</x:v>
      </x:c>
      <x:c r="F158" s="115" t="str">
        <x:v>Inspection physique</x:v>
      </x:c>
      <x:c r="G158" s="115" t="str">
        <x:v>1 niveaux ; 26 pièces ; 198 segments de mur ; 0 transitions. Inspection physique ; architecture complète encore ouverte.</x:v>
      </x:c>
      <x:c r="H158" s="115" t="str">
        <x:v>L 242 ; l 200 ; hauteur 3,8 m ; choix de composition auteur ; dimensions réelles à documenter</x:v>
      </x:c>
      <x:c r="I158" s="115" t="str">
        <x:v>À équilibrer</x:v>
      </x:c>
      <x:c r="J158" s="115" t="str">
        <x:v>Non</x:v>
      </x:c>
      <x:c r="K158" s="115" t="str">
        <x:v>Pièces décrites, murs, portes, niveaux et mobilier inspectables à l’échelle. Volumes réservés, raccord au seed, butin, rencontres et services de campagne restent à terminer.</x:v>
      </x:c>
    </x:row>
    <x:row r="159" ht="96" customHeight="1">
      <x:c r="A159" s="115" t="str">
        <x:v>EXT-MONDE-T004-V04</x:v>
      </x:c>
      <x:c r="B159" s="115" t="str">
        <x:v>EXT-MONDE-T004</x:v>
      </x:c>
      <x:c r="C159" s="115" t="str">
        <x:v>Lacs</x:v>
      </x:c>
      <x:c r="D159" s="115" t="str">
        <x:v>Camping de rive</x:v>
      </x:c>
      <x:c r="E159" s="115" t="n">
        <x:v>4</x:v>
      </x:c>
      <x:c r="F159" s="115" t="str">
        <x:v>Inspection physique</x:v>
      </x:c>
      <x:c r="G159" s="115" t="str">
        <x:v>1 niveaux ; 26 pièces ; 198 segments de mur ; 0 transitions. Inspection physique ; architecture complète encore ouverte.</x:v>
      </x:c>
      <x:c r="H159" s="115" t="str">
        <x:v>L 242 ; l 200 ; hauteur 3,8 m ; choix de composition auteur ; dimensions réelles à documenter</x:v>
      </x:c>
      <x:c r="I159" s="115" t="str">
        <x:v>À équilibrer</x:v>
      </x:c>
      <x:c r="J159" s="115" t="str">
        <x:v>Non</x:v>
      </x:c>
      <x:c r="K159" s="115" t="str">
        <x:v>Pièces décrites, murs, portes, niveaux et mobilier inspectables à l’échelle. Volumes réservés, raccord au seed, butin, rencontres et services de campagne restent à terminer.</x:v>
      </x:c>
    </x:row>
    <x:row r="160" ht="96" customHeight="1">
      <x:c r="A160" s="115" t="str">
        <x:v>EXT-MONDE-T004-V05</x:v>
      </x:c>
      <x:c r="B160" s="115" t="str">
        <x:v>EXT-MONDE-T004</x:v>
      </x:c>
      <x:c r="C160" s="115" t="str">
        <x:v>Lacs</x:v>
      </x:c>
      <x:c r="D160" s="115" t="str">
        <x:v>Camping de rive</x:v>
      </x:c>
      <x:c r="E160" s="115" t="n">
        <x:v>5</x:v>
      </x:c>
      <x:c r="F160" s="115" t="str">
        <x:v>Inspection physique</x:v>
      </x:c>
      <x:c r="G160" s="115" t="str">
        <x:v>1 niveaux ; 26 pièces ; 198 segments de mur ; 0 transitions. Inspection physique ; architecture complète encore ouverte.</x:v>
      </x:c>
      <x:c r="H160" s="115" t="str">
        <x:v>L 242 ; l 200 ; hauteur 3,8 m ; choix de composition auteur ; dimensions réelles à documenter</x:v>
      </x:c>
      <x:c r="I160" s="115" t="str">
        <x:v>À équilibrer</x:v>
      </x:c>
      <x:c r="J160" s="115" t="str">
        <x:v>Non</x:v>
      </x:c>
      <x:c r="K160" s="115" t="str">
        <x:v>Pièces décrites, murs, portes, niveaux et mobilier inspectables à l’échelle. Volumes réservés, raccord au seed, butin, rencontres et services de campagne restent à terminer.</x:v>
      </x:c>
    </x:row>
    <x:row r="161" ht="96" customHeight="1">
      <x:c r="A161" s="115" t="str">
        <x:v>EXT-MONDE-T004-V06</x:v>
      </x:c>
      <x:c r="B161" s="115" t="str">
        <x:v>EXT-MONDE-T004</x:v>
      </x:c>
      <x:c r="C161" s="115" t="str">
        <x:v>Lacs</x:v>
      </x:c>
      <x:c r="D161" s="115" t="str">
        <x:v>Camping de rive</x:v>
      </x:c>
      <x:c r="E161" s="115" t="n">
        <x:v>6</x:v>
      </x:c>
      <x:c r="F161" s="115" t="str">
        <x:v>Inspection physique</x:v>
      </x:c>
      <x:c r="G161" s="115" t="str">
        <x:v>1 niveaux ; 26 pièces ; 198 segments de mur ; 0 transitions. Inspection physique ; architecture complète encore ouverte.</x:v>
      </x:c>
      <x:c r="H161" s="115" t="str">
        <x:v>L 242 ; l 200 ; hauteur 3,8 m ; choix de composition auteur ; dimensions réelles à documenter</x:v>
      </x:c>
      <x:c r="I161" s="115" t="str">
        <x:v>À équilibrer</x:v>
      </x:c>
      <x:c r="J161" s="115" t="str">
        <x:v>Non</x:v>
      </x:c>
      <x:c r="K161" s="115" t="str">
        <x:v>Pièces décrites, murs, portes, niveaux et mobilier inspectables à l’échelle. Volumes réservés, raccord au seed, butin, rencontres et services de campagne restent à terminer.</x:v>
      </x:c>
    </x:row>
    <x:row r="162" ht="96" customHeight="1">
      <x:c r="A162" s="115" t="str">
        <x:v>EXT-MONDE-T004-V07</x:v>
      </x:c>
      <x:c r="B162" s="115" t="str">
        <x:v>EXT-MONDE-T004</x:v>
      </x:c>
      <x:c r="C162" s="115" t="str">
        <x:v>Lacs</x:v>
      </x:c>
      <x:c r="D162" s="115" t="str">
        <x:v>Camping de rive</x:v>
      </x:c>
      <x:c r="E162" s="115" t="n">
        <x:v>7</x:v>
      </x:c>
      <x:c r="F162" s="115" t="str">
        <x:v>Inspection physique</x:v>
      </x:c>
      <x:c r="G162" s="115" t="str">
        <x:v>1 niveaux ; 26 pièces ; 198 segments de mur ; 0 transitions. Inspection physique ; architecture complète encore ouverte.</x:v>
      </x:c>
      <x:c r="H162" s="115" t="str">
        <x:v>L 242 ; l 200 ; hauteur 3,8 m ; choix de composition auteur ; dimensions réelles à documenter</x:v>
      </x:c>
      <x:c r="I162" s="115" t="str">
        <x:v>À équilibrer</x:v>
      </x:c>
      <x:c r="J162" s="115" t="str">
        <x:v>Non</x:v>
      </x:c>
      <x:c r="K162" s="115" t="str">
        <x:v>Pièces décrites, murs, portes, niveaux et mobilier inspectables à l’échelle. Volumes réservés, raccord au seed, butin, rencontres et services de campagne restent à terminer.</x:v>
      </x:c>
    </x:row>
    <x:row r="163" ht="96" customHeight="1">
      <x:c r="A163" s="115" t="str">
        <x:v>EXT-MONDE-T004-V08</x:v>
      </x:c>
      <x:c r="B163" s="115" t="str">
        <x:v>EXT-MONDE-T004</x:v>
      </x:c>
      <x:c r="C163" s="115" t="str">
        <x:v>Lacs</x:v>
      </x:c>
      <x:c r="D163" s="115" t="str">
        <x:v>Camping de rive</x:v>
      </x:c>
      <x:c r="E163" s="115" t="n">
        <x:v>8</x:v>
      </x:c>
      <x:c r="F163" s="115" t="str">
        <x:v>Inspection physique</x:v>
      </x:c>
      <x:c r="G163" s="115" t="str">
        <x:v>1 niveaux ; 26 pièces ; 198 segments de mur ; 0 transitions. Inspection physique ; architecture complète encore ouverte.</x:v>
      </x:c>
      <x:c r="H163" s="115" t="str">
        <x:v>L 242 ; l 200 ; hauteur 3,8 m ; choix de composition auteur ; dimensions réelles à documenter</x:v>
      </x:c>
      <x:c r="I163" s="115" t="str">
        <x:v>À équilibrer</x:v>
      </x:c>
      <x:c r="J163" s="115" t="str">
        <x:v>Non</x:v>
      </x:c>
      <x:c r="K163" s="115" t="str">
        <x:v>Pièces décrites, murs, portes, niveaux et mobilier inspectables à l’échelle. Volumes réservés, raccord au seed, butin, rencontres et services de campagne restent à terminer.</x:v>
      </x:c>
    </x:row>
    <x:row r="164" ht="96" customHeight="1">
      <x:c r="A164" s="115" t="str">
        <x:v>EXT-MONDE-T004-V09</x:v>
      </x:c>
      <x:c r="B164" s="115" t="str">
        <x:v>EXT-MONDE-T004</x:v>
      </x:c>
      <x:c r="C164" s="115" t="str">
        <x:v>Lacs</x:v>
      </x:c>
      <x:c r="D164" s="115" t="str">
        <x:v>Camping de rive</x:v>
      </x:c>
      <x:c r="E164" s="115" t="n">
        <x:v>9</x:v>
      </x:c>
      <x:c r="F164" s="115" t="str">
        <x:v>Inspection physique</x:v>
      </x:c>
      <x:c r="G164" s="115" t="str">
        <x:v>1 niveaux ; 26 pièces ; 198 segments de mur ; 0 transitions. Inspection physique ; architecture complète encore ouverte.</x:v>
      </x:c>
      <x:c r="H164" s="115" t="str">
        <x:v>L 242 ; l 200 ; hauteur 3,8 m ; choix de composition auteur ; dimensions réelles à documenter</x:v>
      </x:c>
      <x:c r="I164" s="115" t="str">
        <x:v>À équilibrer</x:v>
      </x:c>
      <x:c r="J164" s="115" t="str">
        <x:v>Non</x:v>
      </x:c>
      <x:c r="K164" s="115" t="str">
        <x:v>Pièces décrites, murs, portes, niveaux et mobilier inspectables à l’échelle. Volumes réservés, raccord au seed, butin, rencontres et services de campagne restent à terminer.</x:v>
      </x:c>
    </x:row>
    <x:row r="165" ht="96" customHeight="1">
      <x:c r="A165" s="115" t="str">
        <x:v>EXT-MONDE-T004-V10</x:v>
      </x:c>
      <x:c r="B165" s="115" t="str">
        <x:v>EXT-MONDE-T004</x:v>
      </x:c>
      <x:c r="C165" s="115" t="str">
        <x:v>Lacs</x:v>
      </x:c>
      <x:c r="D165" s="115" t="str">
        <x:v>Camping de rive</x:v>
      </x:c>
      <x:c r="E165" s="115" t="n">
        <x:v>10</x:v>
      </x:c>
      <x:c r="F165" s="115" t="str">
        <x:v>Inspection physique</x:v>
      </x:c>
      <x:c r="G165" s="115" t="str">
        <x:v>1 niveaux ; 26 pièces ; 198 segments de mur ; 0 transitions. Inspection physique ; architecture complète encore ouverte.</x:v>
      </x:c>
      <x:c r="H165" s="115" t="str">
        <x:v>L 242 ; l 200 ; hauteur 3,8 m ; choix de composition auteur ; dimensions réelles à documenter</x:v>
      </x:c>
      <x:c r="I165" s="115" t="str">
        <x:v>À équilibrer</x:v>
      </x:c>
      <x:c r="J165" s="115" t="str">
        <x:v>Non</x:v>
      </x:c>
      <x:c r="K165" s="115" t="str">
        <x:v>Pièces décrites, murs, portes, niveaux et mobilier inspectables à l’échelle. Volumes réservés, raccord au seed, butin, rencontres et services de campagne restent à terminer.</x:v>
      </x:c>
    </x:row>
    <x:row r="166" ht="96" customHeight="1">
      <x:c r="A166" s="115" t="str">
        <x:v>EXT-MONDE-T004-V11</x:v>
      </x:c>
      <x:c r="B166" s="115" t="str">
        <x:v>EXT-MONDE-T004</x:v>
      </x:c>
      <x:c r="C166" s="115" t="str">
        <x:v>Lacs</x:v>
      </x:c>
      <x:c r="D166" s="115" t="str">
        <x:v>Camping de rive</x:v>
      </x:c>
      <x:c r="E166" s="115" t="n">
        <x:v>11</x:v>
      </x:c>
      <x:c r="F166" s="115" t="str">
        <x:v>Inspection physique</x:v>
      </x:c>
      <x:c r="G166" s="115" t="str">
        <x:v>1 niveaux ; 26 pièces ; 198 segments de mur ; 0 transitions. Inspection physique ; architecture complète encore ouverte.</x:v>
      </x:c>
      <x:c r="H166" s="115" t="str">
        <x:v>L 256 ; l 216 ; hauteur 3,95 m ; choix de composition auteur ; dimensions réelles à documenter</x:v>
      </x:c>
      <x:c r="I166" s="115" t="str">
        <x:v>À équilibrer</x:v>
      </x:c>
      <x:c r="J166" s="115" t="str">
        <x:v>Non</x:v>
      </x:c>
      <x:c r="K166" s="115" t="str">
        <x:v>Pièces décrites, murs, portes, niveaux et mobilier inspectables à l’échelle. Volumes réservés, raccord au seed, butin, rencontres et services de campagne restent à terminer.</x:v>
      </x:c>
    </x:row>
    <x:row r="167" ht="96" customHeight="1">
      <x:c r="A167" s="115" t="str">
        <x:v>EXT-MONDE-T004-V12</x:v>
      </x:c>
      <x:c r="B167" s="115" t="str">
        <x:v>EXT-MONDE-T004</x:v>
      </x:c>
      <x:c r="C167" s="115" t="str">
        <x:v>Lacs</x:v>
      </x:c>
      <x:c r="D167" s="115" t="str">
        <x:v>Camping de rive</x:v>
      </x:c>
      <x:c r="E167" s="115" t="n">
        <x:v>12</x:v>
      </x:c>
      <x:c r="F167" s="115" t="str">
        <x:v>Inspection physique</x:v>
      </x:c>
      <x:c r="G167" s="115" t="str">
        <x:v>1 niveaux ; 26 pièces ; 198 segments de mur ; 0 transitions. Inspection physique ; architecture complète encore ouverte.</x:v>
      </x:c>
      <x:c r="H167" s="115" t="str">
        <x:v>L 256 ; l 216 ; hauteur 3,95 m ; choix de composition auteur ; dimensions réelles à documenter</x:v>
      </x:c>
      <x:c r="I167" s="115" t="str">
        <x:v>À équilibrer</x:v>
      </x:c>
      <x:c r="J167" s="115" t="str">
        <x:v>Non</x:v>
      </x:c>
      <x:c r="K167" s="115" t="str">
        <x:v>Pièces décrites, murs, portes, niveaux et mobilier inspectables à l’échelle. Volumes réservés, raccord au seed, butin, rencontres et services de campagne restent à terminer.</x:v>
      </x:c>
    </x:row>
    <x:row r="168" ht="96" customHeight="1">
      <x:c r="A168" s="115" t="str">
        <x:v>EXT-MONDE-T004-V13</x:v>
      </x:c>
      <x:c r="B168" s="115" t="str">
        <x:v>EXT-MONDE-T004</x:v>
      </x:c>
      <x:c r="C168" s="115" t="str">
        <x:v>Lacs</x:v>
      </x:c>
      <x:c r="D168" s="115" t="str">
        <x:v>Camping de rive</x:v>
      </x:c>
      <x:c r="E168" s="115" t="n">
        <x:v>13</x:v>
      </x:c>
      <x:c r="F168" s="115" t="str">
        <x:v>Inspection physique</x:v>
      </x:c>
      <x:c r="G168" s="115" t="str">
        <x:v>1 niveaux ; 26 pièces ; 198 segments de mur ; 0 transitions. Inspection physique ; architecture complète encore ouverte.</x:v>
      </x:c>
      <x:c r="H168" s="115" t="str">
        <x:v>L 256 ; l 216 ; hauteur 3,95 m ; choix de composition auteur ; dimensions réelles à documenter</x:v>
      </x:c>
      <x:c r="I168" s="115" t="str">
        <x:v>À équilibrer</x:v>
      </x:c>
      <x:c r="J168" s="115" t="str">
        <x:v>Non</x:v>
      </x:c>
      <x:c r="K168" s="115" t="str">
        <x:v>Pièces décrites, murs, portes, niveaux et mobilier inspectables à l’échelle. Volumes réservés, raccord au seed, butin, rencontres et services de campagne restent à terminer.</x:v>
      </x:c>
    </x:row>
    <x:row r="169" ht="96" customHeight="1">
      <x:c r="A169" s="115" t="str">
        <x:v>EXT-MONDE-T004-V14</x:v>
      </x:c>
      <x:c r="B169" s="115" t="str">
        <x:v>EXT-MONDE-T004</x:v>
      </x:c>
      <x:c r="C169" s="115" t="str">
        <x:v>Lacs</x:v>
      </x:c>
      <x:c r="D169" s="115" t="str">
        <x:v>Camping de rive</x:v>
      </x:c>
      <x:c r="E169" s="115" t="n">
        <x:v>14</x:v>
      </x:c>
      <x:c r="F169" s="115" t="str">
        <x:v>Inspection physique</x:v>
      </x:c>
      <x:c r="G169" s="115" t="str">
        <x:v>1 niveaux ; 26 pièces ; 198 segments de mur ; 0 transitions. Inspection physique ; architecture complète encore ouverte.</x:v>
      </x:c>
      <x:c r="H169" s="115" t="str">
        <x:v>L 256 ; l 216 ; hauteur 3,95 m ; choix de composition auteur ; dimensions réelles à documenter</x:v>
      </x:c>
      <x:c r="I169" s="115" t="str">
        <x:v>À équilibrer</x:v>
      </x:c>
      <x:c r="J169" s="115" t="str">
        <x:v>Non</x:v>
      </x:c>
      <x:c r="K169" s="115" t="str">
        <x:v>Pièces décrites, murs, portes, niveaux et mobilier inspectables à l’échelle. Volumes réservés, raccord au seed, butin, rencontres et services de campagne restent à terminer.</x:v>
      </x:c>
    </x:row>
    <x:row r="170" ht="96" customHeight="1">
      <x:c r="A170" s="115" t="str">
        <x:v>EXT-MONDE-T004-V15</x:v>
      </x:c>
      <x:c r="B170" s="115" t="str">
        <x:v>EXT-MONDE-T004</x:v>
      </x:c>
      <x:c r="C170" s="115" t="str">
        <x:v>Lacs</x:v>
      </x:c>
      <x:c r="D170" s="115" t="str">
        <x:v>Camping de rive</x:v>
      </x:c>
      <x:c r="E170" s="115" t="n">
        <x:v>15</x:v>
      </x:c>
      <x:c r="F170" s="115" t="str">
        <x:v>Inspection physique</x:v>
      </x:c>
      <x:c r="G170" s="115" t="str">
        <x:v>1 niveaux ; 26 pièces ; 198 segments de mur ; 0 transitions. Inspection physique ; architecture complète encore ouverte.</x:v>
      </x:c>
      <x:c r="H170" s="115" t="str">
        <x:v>L 256 ; l 216 ; hauteur 3,95 m ; choix de composition auteur ; dimensions réelles à documenter</x:v>
      </x:c>
      <x:c r="I170" s="115" t="str">
        <x:v>À équilibrer</x:v>
      </x:c>
      <x:c r="J170" s="115" t="str">
        <x:v>Non</x:v>
      </x:c>
      <x:c r="K170" s="115" t="str">
        <x:v>Pièces décrites, murs, portes, niveaux et mobilier inspectables à l’échelle. Volumes réservés, raccord au seed, butin, rencontres et services de campagne restent à terminer.</x:v>
      </x:c>
    </x:row>
    <x:row r="171" ht="96" customHeight="1">
      <x:c r="A171" s="115" t="str">
        <x:v>EXT-MONDE-T004-V16</x:v>
      </x:c>
      <x:c r="B171" s="115" t="str">
        <x:v>EXT-MONDE-T004</x:v>
      </x:c>
      <x:c r="C171" s="115" t="str">
        <x:v>Lacs</x:v>
      </x:c>
      <x:c r="D171" s="115" t="str">
        <x:v>Camping de rive</x:v>
      </x:c>
      <x:c r="E171" s="115" t="n">
        <x:v>16</x:v>
      </x:c>
      <x:c r="F171" s="115" t="str">
        <x:v>Inspection physique</x:v>
      </x:c>
      <x:c r="G171" s="115" t="str">
        <x:v>1 niveaux ; 26 pièces ; 198 segments de mur ; 0 transitions. Inspection physique ; architecture complète encore ouverte.</x:v>
      </x:c>
      <x:c r="H171" s="115" t="str">
        <x:v>L 256 ; l 216 ; hauteur 3,95 m ; choix de composition auteur ; dimensions réelles à documenter</x:v>
      </x:c>
      <x:c r="I171" s="115" t="str">
        <x:v>À équilibrer</x:v>
      </x:c>
      <x:c r="J171" s="115" t="str">
        <x:v>Non</x:v>
      </x:c>
      <x:c r="K171" s="115" t="str">
        <x:v>Pièces décrites, murs, portes, niveaux et mobilier inspectables à l’échelle. Volumes réservés, raccord au seed, butin, rencontres et services de campagne restent à terminer.</x:v>
      </x:c>
    </x:row>
    <x:row r="172" ht="96" customHeight="1">
      <x:c r="A172" s="115" t="str">
        <x:v>EXT-MONDE-T004-V17</x:v>
      </x:c>
      <x:c r="B172" s="115" t="str">
        <x:v>EXT-MONDE-T004</x:v>
      </x:c>
      <x:c r="C172" s="115" t="str">
        <x:v>Lacs</x:v>
      </x:c>
      <x:c r="D172" s="115" t="str">
        <x:v>Camping de rive</x:v>
      </x:c>
      <x:c r="E172" s="115" t="n">
        <x:v>17</x:v>
      </x:c>
      <x:c r="F172" s="115" t="str">
        <x:v>Inspection physique</x:v>
      </x:c>
      <x:c r="G172" s="115" t="str">
        <x:v>1 niveaux ; 26 pièces ; 198 segments de mur ; 0 transitions. Inspection physique ; architecture complète encore ouverte.</x:v>
      </x:c>
      <x:c r="H172" s="115" t="str">
        <x:v>L 256 ; l 216 ; hauteur 3,95 m ; choix de composition auteur ; dimensions réelles à documenter</x:v>
      </x:c>
      <x:c r="I172" s="115" t="str">
        <x:v>À équilibrer</x:v>
      </x:c>
      <x:c r="J172" s="115" t="str">
        <x:v>Non</x:v>
      </x:c>
      <x:c r="K172" s="115" t="str">
        <x:v>Pièces décrites, murs, portes, niveaux et mobilier inspectables à l’échelle. Volumes réservés, raccord au seed, butin, rencontres et services de campagne restent à terminer.</x:v>
      </x:c>
    </x:row>
    <x:row r="173" ht="96" customHeight="1">
      <x:c r="A173" s="115" t="str">
        <x:v>EXT-MONDE-T004-V18</x:v>
      </x:c>
      <x:c r="B173" s="115" t="str">
        <x:v>EXT-MONDE-T004</x:v>
      </x:c>
      <x:c r="C173" s="115" t="str">
        <x:v>Lacs</x:v>
      </x:c>
      <x:c r="D173" s="115" t="str">
        <x:v>Camping de rive</x:v>
      </x:c>
      <x:c r="E173" s="115" t="n">
        <x:v>18</x:v>
      </x:c>
      <x:c r="F173" s="115" t="str">
        <x:v>Inspection physique</x:v>
      </x:c>
      <x:c r="G173" s="115" t="str">
        <x:v>1 niveaux ; 26 pièces ; 198 segments de mur ; 0 transitions. Inspection physique ; architecture complète encore ouverte.</x:v>
      </x:c>
      <x:c r="H173" s="115" t="str">
        <x:v>L 256 ; l 216 ; hauteur 3,95 m ; choix de composition auteur ; dimensions réelles à documenter</x:v>
      </x:c>
      <x:c r="I173" s="115" t="str">
        <x:v>À équilibrer</x:v>
      </x:c>
      <x:c r="J173" s="115" t="str">
        <x:v>Non</x:v>
      </x:c>
      <x:c r="K173" s="115" t="str">
        <x:v>Pièces décrites, murs, portes, niveaux et mobilier inspectables à l’échelle. Volumes réservés, raccord au seed, butin, rencontres et services de campagne restent à terminer.</x:v>
      </x:c>
    </x:row>
    <x:row r="174" ht="96" customHeight="1">
      <x:c r="A174" s="115" t="str">
        <x:v>EXT-MONDE-T004-V19</x:v>
      </x:c>
      <x:c r="B174" s="115" t="str">
        <x:v>EXT-MONDE-T004</x:v>
      </x:c>
      <x:c r="C174" s="115" t="str">
        <x:v>Lacs</x:v>
      </x:c>
      <x:c r="D174" s="115" t="str">
        <x:v>Camping de rive</x:v>
      </x:c>
      <x:c r="E174" s="115" t="n">
        <x:v>19</x:v>
      </x:c>
      <x:c r="F174" s="115" t="str">
        <x:v>Inspection physique</x:v>
      </x:c>
      <x:c r="G174" s="115" t="str">
        <x:v>1 niveaux ; 26 pièces ; 198 segments de mur ; 0 transitions. Inspection physique ; architecture complète encore ouverte.</x:v>
      </x:c>
      <x:c r="H174" s="115" t="str">
        <x:v>L 256 ; l 216 ; hauteur 3,95 m ; choix de composition auteur ; dimensions réelles à documenter</x:v>
      </x:c>
      <x:c r="I174" s="115" t="str">
        <x:v>À équilibrer</x:v>
      </x:c>
      <x:c r="J174" s="115" t="str">
        <x:v>Non</x:v>
      </x:c>
      <x:c r="K174" s="115" t="str">
        <x:v>Pièces décrites, murs, portes, niveaux et mobilier inspectables à l’échelle. Volumes réservés, raccord au seed, butin, rencontres et services de campagne restent à terminer.</x:v>
      </x:c>
    </x:row>
    <x:row r="175" ht="96" customHeight="1">
      <x:c r="A175" s="115" t="str">
        <x:v>EXT-MONDE-T004-V20</x:v>
      </x:c>
      <x:c r="B175" s="115" t="str">
        <x:v>EXT-MONDE-T004</x:v>
      </x:c>
      <x:c r="C175" s="115" t="str">
        <x:v>Lacs</x:v>
      </x:c>
      <x:c r="D175" s="115" t="str">
        <x:v>Camping de rive</x:v>
      </x:c>
      <x:c r="E175" s="115" t="n">
        <x:v>20</x:v>
      </x:c>
      <x:c r="F175" s="115" t="str">
        <x:v>Inspection physique</x:v>
      </x:c>
      <x:c r="G175" s="115" t="str">
        <x:v>1 niveaux ; 26 pièces ; 198 segments de mur ; 0 transitions. Inspection physique ; architecture complète encore ouverte.</x:v>
      </x:c>
      <x:c r="H175" s="115" t="str">
        <x:v>L 256 ; l 216 ; hauteur 3,95 m ; choix de composition auteur ; dimensions réelles à documenter</x:v>
      </x:c>
      <x:c r="I175" s="115" t="str">
        <x:v>À équilibrer</x:v>
      </x:c>
      <x:c r="J175" s="115" t="str">
        <x:v>Non</x:v>
      </x:c>
      <x:c r="K175" s="115" t="str">
        <x:v>Pièces décrites, murs, portes, niveaux et mobilier inspectables à l’échelle. Volumes réservés, raccord au seed, butin, rencontres et services de campagne restent à terminer.</x:v>
      </x:c>
    </x:row>
    <x:row r="176" ht="96" customHeight="1">
      <x:c r="A176" s="115" t="str">
        <x:v>EXT-MONDE-T004-V21</x:v>
      </x:c>
      <x:c r="B176" s="115" t="str">
        <x:v>EXT-MONDE-T004</x:v>
      </x:c>
      <x:c r="C176" s="115" t="str">
        <x:v>Lacs</x:v>
      </x:c>
      <x:c r="D176" s="115" t="str">
        <x:v>Camping de rive</x:v>
      </x:c>
      <x:c r="E176" s="115" t="n">
        <x:v>21</x:v>
      </x:c>
      <x:c r="F176" s="115" t="str">
        <x:v>Inspection physique</x:v>
      </x:c>
      <x:c r="G176" s="115" t="str">
        <x:v>1 niveaux ; 26 pièces ; 198 segments de mur ; 0 transitions. Inspection physique ; architecture complète encore ouverte.</x:v>
      </x:c>
      <x:c r="H176" s="115" t="str">
        <x:v>L 270 ; l 232 ; hauteur 4,1 m ; choix de composition auteur ; dimensions réelles à documenter</x:v>
      </x:c>
      <x:c r="I176" s="115" t="str">
        <x:v>À équilibrer</x:v>
      </x:c>
      <x:c r="J176" s="115" t="str">
        <x:v>Non</x:v>
      </x:c>
      <x:c r="K176" s="115" t="str">
        <x:v>Pièces décrites, murs, portes, niveaux et mobilier inspectables à l’échelle. Volumes réservés, raccord au seed, butin, rencontres et services de campagne restent à terminer.</x:v>
      </x:c>
    </x:row>
    <x:row r="177" ht="96" customHeight="1">
      <x:c r="A177" s="115" t="str">
        <x:v>EXT-MONDE-T004-V22</x:v>
      </x:c>
      <x:c r="B177" s="115" t="str">
        <x:v>EXT-MONDE-T004</x:v>
      </x:c>
      <x:c r="C177" s="115" t="str">
        <x:v>Lacs</x:v>
      </x:c>
      <x:c r="D177" s="115" t="str">
        <x:v>Camping de rive</x:v>
      </x:c>
      <x:c r="E177" s="115" t="n">
        <x:v>22</x:v>
      </x:c>
      <x:c r="F177" s="115" t="str">
        <x:v>Inspection physique</x:v>
      </x:c>
      <x:c r="G177" s="115" t="str">
        <x:v>1 niveaux ; 26 pièces ; 198 segments de mur ; 0 transitions. Inspection physique ; architecture complète encore ouverte.</x:v>
      </x:c>
      <x:c r="H177" s="115" t="str">
        <x:v>L 270 ; l 232 ; hauteur 4,1 m ; choix de composition auteur ; dimensions réelles à documenter</x:v>
      </x:c>
      <x:c r="I177" s="115" t="str">
        <x:v>À équilibrer</x:v>
      </x:c>
      <x:c r="J177" s="115" t="str">
        <x:v>Non</x:v>
      </x:c>
      <x:c r="K177" s="115" t="str">
        <x:v>Pièces décrites, murs, portes, niveaux et mobilier inspectables à l’échelle. Volumes réservés, raccord au seed, butin, rencontres et services de campagne restent à terminer.</x:v>
      </x:c>
    </x:row>
    <x:row r="178" ht="96" customHeight="1">
      <x:c r="A178" s="115" t="str">
        <x:v>EXT-MONDE-T004-V23</x:v>
      </x:c>
      <x:c r="B178" s="115" t="str">
        <x:v>EXT-MONDE-T004</x:v>
      </x:c>
      <x:c r="C178" s="115" t="str">
        <x:v>Lacs</x:v>
      </x:c>
      <x:c r="D178" s="115" t="str">
        <x:v>Camping de rive</x:v>
      </x:c>
      <x:c r="E178" s="115" t="n">
        <x:v>23</x:v>
      </x:c>
      <x:c r="F178" s="115" t="str">
        <x:v>Inspection physique</x:v>
      </x:c>
      <x:c r="G178" s="115" t="str">
        <x:v>1 niveaux ; 26 pièces ; 198 segments de mur ; 0 transitions. Inspection physique ; architecture complète encore ouverte.</x:v>
      </x:c>
      <x:c r="H178" s="115" t="str">
        <x:v>L 270 ; l 232 ; hauteur 4,1 m ; choix de composition auteur ; dimensions réelles à documenter</x:v>
      </x:c>
      <x:c r="I178" s="115" t="str">
        <x:v>À équilibrer</x:v>
      </x:c>
      <x:c r="J178" s="115" t="str">
        <x:v>Non</x:v>
      </x:c>
      <x:c r="K178" s="115" t="str">
        <x:v>Pièces décrites, murs, portes, niveaux et mobilier inspectables à l’échelle. Volumes réservés, raccord au seed, butin, rencontres et services de campagne restent à terminer.</x:v>
      </x:c>
    </x:row>
    <x:row r="179" ht="96" customHeight="1">
      <x:c r="A179" s="115" t="str">
        <x:v>EXT-MONDE-T004-V24</x:v>
      </x:c>
      <x:c r="B179" s="115" t="str">
        <x:v>EXT-MONDE-T004</x:v>
      </x:c>
      <x:c r="C179" s="115" t="str">
        <x:v>Lacs</x:v>
      </x:c>
      <x:c r="D179" s="115" t="str">
        <x:v>Camping de rive</x:v>
      </x:c>
      <x:c r="E179" s="115" t="n">
        <x:v>24</x:v>
      </x:c>
      <x:c r="F179" s="115" t="str">
        <x:v>Inspection physique</x:v>
      </x:c>
      <x:c r="G179" s="115" t="str">
        <x:v>1 niveaux ; 26 pièces ; 198 segments de mur ; 0 transitions. Inspection physique ; architecture complète encore ouverte.</x:v>
      </x:c>
      <x:c r="H179" s="115" t="str">
        <x:v>L 270 ; l 232 ; hauteur 4,1 m ; choix de composition auteur ; dimensions réelles à documenter</x:v>
      </x:c>
      <x:c r="I179" s="115" t="str">
        <x:v>À équilibrer</x:v>
      </x:c>
      <x:c r="J179" s="115" t="str">
        <x:v>Non</x:v>
      </x:c>
      <x:c r="K179" s="115" t="str">
        <x:v>Pièces décrites, murs, portes, niveaux et mobilier inspectables à l’échelle. Volumes réservés, raccord au seed, butin, rencontres et services de campagne restent à terminer.</x:v>
      </x:c>
    </x:row>
    <x:row r="180" ht="96" customHeight="1">
      <x:c r="A180" s="115" t="str">
        <x:v>EXT-MONDE-T004-V25</x:v>
      </x:c>
      <x:c r="B180" s="115" t="str">
        <x:v>EXT-MONDE-T004</x:v>
      </x:c>
      <x:c r="C180" s="115" t="str">
        <x:v>Lacs</x:v>
      </x:c>
      <x:c r="D180" s="115" t="str">
        <x:v>Camping de rive</x:v>
      </x:c>
      <x:c r="E180" s="115" t="n">
        <x:v>25</x:v>
      </x:c>
      <x:c r="F180" s="115" t="str">
        <x:v>Inspection physique</x:v>
      </x:c>
      <x:c r="G180" s="115" t="str">
        <x:v>1 niveaux ; 26 pièces ; 198 segments de mur ; 0 transitions. Inspection physique ; architecture complète encore ouverte.</x:v>
      </x:c>
      <x:c r="H180" s="115" t="str">
        <x:v>L 270 ; l 232 ; hauteur 4,1 m ; choix de composition auteur ; dimensions réelles à documenter</x:v>
      </x:c>
      <x:c r="I180" s="115" t="str">
        <x:v>À équilibrer</x:v>
      </x:c>
      <x:c r="J180" s="115" t="str">
        <x:v>Non</x:v>
      </x:c>
      <x:c r="K180" s="115" t="str">
        <x:v>Pièces décrites, murs, portes, niveaux et mobilier inspectables à l’échelle. Volumes réservés, raccord au seed, butin, rencontres et services de campagne restent à terminer.</x:v>
      </x:c>
    </x:row>
    <x:row r="181" ht="96" customHeight="1">
      <x:c r="A181" s="115" t="str">
        <x:v>EXT-MONDE-T004-V26</x:v>
      </x:c>
      <x:c r="B181" s="115" t="str">
        <x:v>EXT-MONDE-T004</x:v>
      </x:c>
      <x:c r="C181" s="115" t="str">
        <x:v>Lacs</x:v>
      </x:c>
      <x:c r="D181" s="115" t="str">
        <x:v>Camping de rive</x:v>
      </x:c>
      <x:c r="E181" s="115" t="n">
        <x:v>26</x:v>
      </x:c>
      <x:c r="F181" s="115" t="str">
        <x:v>Inspection physique</x:v>
      </x:c>
      <x:c r="G181" s="115" t="str">
        <x:v>1 niveaux ; 26 pièces ; 198 segments de mur ; 0 transitions. Inspection physique ; architecture complète encore ouverte.</x:v>
      </x:c>
      <x:c r="H181" s="115" t="str">
        <x:v>L 270 ; l 232 ; hauteur 4,1 m ; choix de composition auteur ; dimensions réelles à documenter</x:v>
      </x:c>
      <x:c r="I181" s="115" t="str">
        <x:v>À équilibrer</x:v>
      </x:c>
      <x:c r="J181" s="115" t="str">
        <x:v>Non</x:v>
      </x:c>
      <x:c r="K181" s="115" t="str">
        <x:v>Pièces décrites, murs, portes, niveaux et mobilier inspectables à l’échelle. Volumes réservés, raccord au seed, butin, rencontres et services de campagne restent à terminer.</x:v>
      </x:c>
    </x:row>
    <x:row r="182" ht="96" customHeight="1">
      <x:c r="A182" s="115" t="str">
        <x:v>EXT-MONDE-T004-V27</x:v>
      </x:c>
      <x:c r="B182" s="115" t="str">
        <x:v>EXT-MONDE-T004</x:v>
      </x:c>
      <x:c r="C182" s="115" t="str">
        <x:v>Lacs</x:v>
      </x:c>
      <x:c r="D182" s="115" t="str">
        <x:v>Camping de rive</x:v>
      </x:c>
      <x:c r="E182" s="115" t="n">
        <x:v>27</x:v>
      </x:c>
      <x:c r="F182" s="115" t="str">
        <x:v>Inspection physique</x:v>
      </x:c>
      <x:c r="G182" s="115" t="str">
        <x:v>1 niveaux ; 26 pièces ; 198 segments de mur ; 0 transitions. Inspection physique ; architecture complète encore ouverte.</x:v>
      </x:c>
      <x:c r="H182" s="115" t="str">
        <x:v>L 270 ; l 232 ; hauteur 4,1 m ; choix de composition auteur ; dimensions réelles à documenter</x:v>
      </x:c>
      <x:c r="I182" s="115" t="str">
        <x:v>À équilibrer</x:v>
      </x:c>
      <x:c r="J182" s="115" t="str">
        <x:v>Non</x:v>
      </x:c>
      <x:c r="K182" s="115" t="str">
        <x:v>Pièces décrites, murs, portes, niveaux et mobilier inspectables à l’échelle. Volumes réservés, raccord au seed, butin, rencontres et services de campagne restent à terminer.</x:v>
      </x:c>
    </x:row>
    <x:row r="183" ht="96" customHeight="1">
      <x:c r="A183" s="115" t="str">
        <x:v>EXT-MONDE-T004-V28</x:v>
      </x:c>
      <x:c r="B183" s="115" t="str">
        <x:v>EXT-MONDE-T004</x:v>
      </x:c>
      <x:c r="C183" s="115" t="str">
        <x:v>Lacs</x:v>
      </x:c>
      <x:c r="D183" s="115" t="str">
        <x:v>Camping de rive</x:v>
      </x:c>
      <x:c r="E183" s="115" t="n">
        <x:v>28</x:v>
      </x:c>
      <x:c r="F183" s="115" t="str">
        <x:v>Inspection physique</x:v>
      </x:c>
      <x:c r="G183" s="115" t="str">
        <x:v>1 niveaux ; 26 pièces ; 198 segments de mur ; 0 transitions. Inspection physique ; architecture complète encore ouverte.</x:v>
      </x:c>
      <x:c r="H183" s="115" t="str">
        <x:v>L 270 ; l 232 ; hauteur 4,1 m ; choix de composition auteur ; dimensions réelles à documenter</x:v>
      </x:c>
      <x:c r="I183" s="115" t="str">
        <x:v>À équilibrer</x:v>
      </x:c>
      <x:c r="J183" s="115" t="str">
        <x:v>Non</x:v>
      </x:c>
      <x:c r="K183" s="115" t="str">
        <x:v>Pièces décrites, murs, portes, niveaux et mobilier inspectables à l’échelle. Volumes réservés, raccord au seed, butin, rencontres et services de campagne restent à terminer.</x:v>
      </x:c>
    </x:row>
    <x:row r="184" ht="96" customHeight="1">
      <x:c r="A184" s="115" t="str">
        <x:v>EXT-MONDE-T004-V29</x:v>
      </x:c>
      <x:c r="B184" s="115" t="str">
        <x:v>EXT-MONDE-T004</x:v>
      </x:c>
      <x:c r="C184" s="115" t="str">
        <x:v>Lacs</x:v>
      </x:c>
      <x:c r="D184" s="115" t="str">
        <x:v>Camping de rive</x:v>
      </x:c>
      <x:c r="E184" s="115" t="n">
        <x:v>29</x:v>
      </x:c>
      <x:c r="F184" s="115" t="str">
        <x:v>Inspection physique</x:v>
      </x:c>
      <x:c r="G184" s="115" t="str">
        <x:v>1 niveaux ; 26 pièces ; 198 segments de mur ; 0 transitions. Inspection physique ; architecture complète encore ouverte.</x:v>
      </x:c>
      <x:c r="H184" s="115" t="str">
        <x:v>L 270 ; l 232 ; hauteur 4,1 m ; choix de composition auteur ; dimensions réelles à documenter</x:v>
      </x:c>
      <x:c r="I184" s="115" t="str">
        <x:v>À équilibrer</x:v>
      </x:c>
      <x:c r="J184" s="115" t="str">
        <x:v>Non</x:v>
      </x:c>
      <x:c r="K184" s="115" t="str">
        <x:v>Pièces décrites, murs, portes, niveaux et mobilier inspectables à l’échelle. Volumes réservés, raccord au seed, butin, rencontres et services de campagne restent à terminer.</x:v>
      </x:c>
    </x:row>
    <x:row r="185" ht="96" customHeight="1">
      <x:c r="A185" s="115" t="str">
        <x:v>EXT-MONDE-T004-V30</x:v>
      </x:c>
      <x:c r="B185" s="115" t="str">
        <x:v>EXT-MONDE-T004</x:v>
      </x:c>
      <x:c r="C185" s="115" t="str">
        <x:v>Lacs</x:v>
      </x:c>
      <x:c r="D185" s="115" t="str">
        <x:v>Camping de rive</x:v>
      </x:c>
      <x:c r="E185" s="115" t="n">
        <x:v>30</x:v>
      </x:c>
      <x:c r="F185" s="115" t="str">
        <x:v>Inspection physique</x:v>
      </x:c>
      <x:c r="G185" s="115" t="str">
        <x:v>1 niveaux ; 26 pièces ; 198 segments de mur ; 0 transitions. Inspection physique ; architecture complète encore ouverte.</x:v>
      </x:c>
      <x:c r="H185" s="115" t="str">
        <x:v>L 270 ; l 232 ; hauteur 4,1 m ; choix de composition auteur ; dimensions réelles à documenter</x:v>
      </x:c>
      <x:c r="I185" s="115" t="str">
        <x:v>À équilibrer</x:v>
      </x:c>
      <x:c r="J185" s="115" t="str">
        <x:v>Non</x:v>
      </x:c>
      <x:c r="K185" s="115" t="str">
        <x:v>Pièces décrites, murs, portes, niveaux et mobilier inspectables à l’échelle. Volumes réservés, raccord au seed, butin, rencontres et services de campagne restent à terminer.</x:v>
      </x:c>
    </x:row>
    <x:row r="186" ht="96" customHeight="1">
      <x:c r="A186" s="115" t="str">
        <x:v>EXT-MONDE-T004-V31</x:v>
      </x:c>
      <x:c r="B186" s="115" t="str">
        <x:v>EXT-MONDE-T004</x:v>
      </x:c>
      <x:c r="C186" s="115" t="str">
        <x:v>Lacs</x:v>
      </x:c>
      <x:c r="D186" s="115" t="str">
        <x:v>Camping de rive</x:v>
      </x:c>
      <x:c r="E186" s="115" t="n">
        <x:v>31</x:v>
      </x:c>
      <x:c r="F186" s="115" t="str">
        <x:v>Inspection physique</x:v>
      </x:c>
      <x:c r="G186" s="115" t="str">
        <x:v>1 niveaux ; 26 pièces ; 198 segments de mur ; 0 transitions. Inspection physique ; architecture complète encore ouverte.</x:v>
      </x:c>
      <x:c r="H186" s="115" t="str">
        <x:v>L 284 ; l 248 ; hauteur 4,25 m ; choix de composition auteur ; dimensions réelles à documenter</x:v>
      </x:c>
      <x:c r="I186" s="115" t="str">
        <x:v>À équilibrer</x:v>
      </x:c>
      <x:c r="J186" s="115" t="str">
        <x:v>Non</x:v>
      </x:c>
      <x:c r="K186" s="115" t="str">
        <x:v>Pièces décrites, murs, portes, niveaux et mobilier inspectables à l’échelle. Volumes réservés, raccord au seed, butin, rencontres et services de campagne restent à terminer.</x:v>
      </x:c>
    </x:row>
    <x:row r="187" ht="96" customHeight="1">
      <x:c r="A187" s="115" t="str">
        <x:v>EXT-MONDE-T004-V32</x:v>
      </x:c>
      <x:c r="B187" s="115" t="str">
        <x:v>EXT-MONDE-T004</x:v>
      </x:c>
      <x:c r="C187" s="115" t="str">
        <x:v>Lacs</x:v>
      </x:c>
      <x:c r="D187" s="115" t="str">
        <x:v>Camping de rive</x:v>
      </x:c>
      <x:c r="E187" s="115" t="n">
        <x:v>32</x:v>
      </x:c>
      <x:c r="F187" s="115" t="str">
        <x:v>Inspection physique</x:v>
      </x:c>
      <x:c r="G187" s="115" t="str">
        <x:v>1 niveaux ; 26 pièces ; 198 segments de mur ; 0 transitions. Inspection physique ; architecture complète encore ouverte.</x:v>
      </x:c>
      <x:c r="H187" s="115" t="str">
        <x:v>L 284 ; l 248 ; hauteur 4,25 m ; choix de composition auteur ; dimensions réelles à documenter</x:v>
      </x:c>
      <x:c r="I187" s="115" t="str">
        <x:v>À équilibrer</x:v>
      </x:c>
      <x:c r="J187" s="115" t="str">
        <x:v>Non</x:v>
      </x:c>
      <x:c r="K187" s="115" t="str">
        <x:v>Pièces décrites, murs, portes, niveaux et mobilier inspectables à l’échelle. Volumes réservés, raccord au seed, butin, rencontres et services de campagne restent à terminer.</x:v>
      </x:c>
    </x:row>
    <x:row r="188" ht="96" customHeight="1">
      <x:c r="A188" s="115" t="str">
        <x:v>EXT-MONDE-T004-V33</x:v>
      </x:c>
      <x:c r="B188" s="115" t="str">
        <x:v>EXT-MONDE-T004</x:v>
      </x:c>
      <x:c r="C188" s="115" t="str">
        <x:v>Lacs</x:v>
      </x:c>
      <x:c r="D188" s="115" t="str">
        <x:v>Camping de rive</x:v>
      </x:c>
      <x:c r="E188" s="115" t="n">
        <x:v>33</x:v>
      </x:c>
      <x:c r="F188" s="115" t="str">
        <x:v>Inspection physique</x:v>
      </x:c>
      <x:c r="G188" s="115" t="str">
        <x:v>1 niveaux ; 26 pièces ; 198 segments de mur ; 0 transitions. Inspection physique ; architecture complète encore ouverte.</x:v>
      </x:c>
      <x:c r="H188" s="115" t="str">
        <x:v>L 284 ; l 248 ; hauteur 4,25 m ; choix de composition auteur ; dimensions réelles à documenter</x:v>
      </x:c>
      <x:c r="I188" s="115" t="str">
        <x:v>À équilibrer</x:v>
      </x:c>
      <x:c r="J188" s="115" t="str">
        <x:v>Non</x:v>
      </x:c>
      <x:c r="K188" s="115" t="str">
        <x:v>Pièces décrites, murs, portes, niveaux et mobilier inspectables à l’échelle. Volumes réservés, raccord au seed, butin, rencontres et services de campagne restent à terminer.</x:v>
      </x:c>
    </x:row>
    <x:row r="189" ht="96" customHeight="1">
      <x:c r="A189" s="115" t="str">
        <x:v>EXT-MONDE-T004-V34</x:v>
      </x:c>
      <x:c r="B189" s="115" t="str">
        <x:v>EXT-MONDE-T004</x:v>
      </x:c>
      <x:c r="C189" s="115" t="str">
        <x:v>Lacs</x:v>
      </x:c>
      <x:c r="D189" s="115" t="str">
        <x:v>Camping de rive</x:v>
      </x:c>
      <x:c r="E189" s="115" t="n">
        <x:v>34</x:v>
      </x:c>
      <x:c r="F189" s="115" t="str">
        <x:v>Inspection physique</x:v>
      </x:c>
      <x:c r="G189" s="115" t="str">
        <x:v>1 niveaux ; 26 pièces ; 198 segments de mur ; 0 transitions. Inspection physique ; architecture complète encore ouverte.</x:v>
      </x:c>
      <x:c r="H189" s="115" t="str">
        <x:v>L 284 ; l 248 ; hauteur 4,25 m ; choix de composition auteur ; dimensions réelles à documenter</x:v>
      </x:c>
      <x:c r="I189" s="115" t="str">
        <x:v>À équilibrer</x:v>
      </x:c>
      <x:c r="J189" s="115" t="str">
        <x:v>Non</x:v>
      </x:c>
      <x:c r="K189" s="115" t="str">
        <x:v>Pièces décrites, murs, portes, niveaux et mobilier inspectables à l’échelle. Volumes réservés, raccord au seed, butin, rencontres et services de campagne restent à terminer.</x:v>
      </x:c>
    </x:row>
    <x:row r="190" ht="96" customHeight="1">
      <x:c r="A190" s="115" t="str">
        <x:v>EXT-MONDE-T004-V35</x:v>
      </x:c>
      <x:c r="B190" s="115" t="str">
        <x:v>EXT-MONDE-T004</x:v>
      </x:c>
      <x:c r="C190" s="115" t="str">
        <x:v>Lacs</x:v>
      </x:c>
      <x:c r="D190" s="115" t="str">
        <x:v>Camping de rive</x:v>
      </x:c>
      <x:c r="E190" s="115" t="n">
        <x:v>35</x:v>
      </x:c>
      <x:c r="F190" s="115" t="str">
        <x:v>Inspection physique</x:v>
      </x:c>
      <x:c r="G190" s="115" t="str">
        <x:v>1 niveaux ; 26 pièces ; 198 segments de mur ; 0 transitions. Inspection physique ; architecture complète encore ouverte.</x:v>
      </x:c>
      <x:c r="H190" s="115" t="str">
        <x:v>L 284 ; l 248 ; hauteur 4,25 m ; choix de composition auteur ; dimensions réelles à documenter</x:v>
      </x:c>
      <x:c r="I190" s="115" t="str">
        <x:v>À équilibrer</x:v>
      </x:c>
      <x:c r="J190" s="115" t="str">
        <x:v>Non</x:v>
      </x:c>
      <x:c r="K190" s="115" t="str">
        <x:v>Pièces décrites, murs, portes, niveaux et mobilier inspectables à l’échelle. Volumes réservés, raccord au seed, butin, rencontres et services de campagne restent à terminer.</x:v>
      </x:c>
    </x:row>
    <x:row r="191" ht="96" customHeight="1">
      <x:c r="A191" s="115" t="str">
        <x:v>EXT-MONDE-T004-V36</x:v>
      </x:c>
      <x:c r="B191" s="115" t="str">
        <x:v>EXT-MONDE-T004</x:v>
      </x:c>
      <x:c r="C191" s="115" t="str">
        <x:v>Lacs</x:v>
      </x:c>
      <x:c r="D191" s="115" t="str">
        <x:v>Camping de rive</x:v>
      </x:c>
      <x:c r="E191" s="115" t="n">
        <x:v>36</x:v>
      </x:c>
      <x:c r="F191" s="115" t="str">
        <x:v>Inspection physique</x:v>
      </x:c>
      <x:c r="G191" s="115" t="str">
        <x:v>1 niveaux ; 26 pièces ; 198 segments de mur ; 0 transitions. Inspection physique ; architecture complète encore ouverte.</x:v>
      </x:c>
      <x:c r="H191" s="115" t="str">
        <x:v>L 284 ; l 248 ; hauteur 4,25 m ; choix de composition auteur ; dimensions réelles à documenter</x:v>
      </x:c>
      <x:c r="I191" s="115" t="str">
        <x:v>À équilibrer</x:v>
      </x:c>
      <x:c r="J191" s="115" t="str">
        <x:v>Non</x:v>
      </x:c>
      <x:c r="K191" s="115" t="str">
        <x:v>Pièces décrites, murs, portes, niveaux et mobilier inspectables à l’échelle. Volumes réservés, raccord au seed, butin, rencontres et services de campagne restent à terminer.</x:v>
      </x:c>
    </x:row>
    <x:row r="192" ht="96" customHeight="1">
      <x:c r="A192" s="115" t="str">
        <x:v>EXT-MONDE-T004-V37</x:v>
      </x:c>
      <x:c r="B192" s="115" t="str">
        <x:v>EXT-MONDE-T004</x:v>
      </x:c>
      <x:c r="C192" s="115" t="str">
        <x:v>Lacs</x:v>
      </x:c>
      <x:c r="D192" s="115" t="str">
        <x:v>Camping de rive</x:v>
      </x:c>
      <x:c r="E192" s="115" t="n">
        <x:v>37</x:v>
      </x:c>
      <x:c r="F192" s="115" t="str">
        <x:v>Inspection physique</x:v>
      </x:c>
      <x:c r="G192" s="115" t="str">
        <x:v>1 niveaux ; 26 pièces ; 198 segments de mur ; 0 transitions. Inspection physique ; architecture complète encore ouverte.</x:v>
      </x:c>
      <x:c r="H192" s="115" t="str">
        <x:v>L 284 ; l 248 ; hauteur 4,25 m ; choix de composition auteur ; dimensions réelles à documenter</x:v>
      </x:c>
      <x:c r="I192" s="115" t="str">
        <x:v>À équilibrer</x:v>
      </x:c>
      <x:c r="J192" s="115" t="str">
        <x:v>Non</x:v>
      </x:c>
      <x:c r="K192" s="115" t="str">
        <x:v>Pièces décrites, murs, portes, niveaux et mobilier inspectables à l’échelle. Volumes réservés, raccord au seed, butin, rencontres et services de campagne restent à terminer.</x:v>
      </x:c>
    </x:row>
    <x:row r="193" ht="96" customHeight="1">
      <x:c r="A193" s="115" t="str">
        <x:v>EXT-MONDE-T004-V38</x:v>
      </x:c>
      <x:c r="B193" s="115" t="str">
        <x:v>EXT-MONDE-T004</x:v>
      </x:c>
      <x:c r="C193" s="115" t="str">
        <x:v>Lacs</x:v>
      </x:c>
      <x:c r="D193" s="115" t="str">
        <x:v>Camping de rive</x:v>
      </x:c>
      <x:c r="E193" s="115" t="n">
        <x:v>38</x:v>
      </x:c>
      <x:c r="F193" s="115" t="str">
        <x:v>Inspection physique</x:v>
      </x:c>
      <x:c r="G193" s="115" t="str">
        <x:v>1 niveaux ; 26 pièces ; 198 segments de mur ; 0 transitions. Inspection physique ; architecture complète encore ouverte.</x:v>
      </x:c>
      <x:c r="H193" s="115" t="str">
        <x:v>L 284 ; l 248 ; hauteur 4,25 m ; choix de composition auteur ; dimensions réelles à documenter</x:v>
      </x:c>
      <x:c r="I193" s="115" t="str">
        <x:v>À équilibrer</x:v>
      </x:c>
      <x:c r="J193" s="115" t="str">
        <x:v>Non</x:v>
      </x:c>
      <x:c r="K193" s="115" t="str">
        <x:v>Pièces décrites, murs, portes, niveaux et mobilier inspectables à l’échelle. Volumes réservés, raccord au seed, butin, rencontres et services de campagne restent à terminer.</x:v>
      </x:c>
    </x:row>
    <x:row r="194" ht="96" customHeight="1">
      <x:c r="A194" s="115" t="str">
        <x:v>EXT-MONDE-T004-V39</x:v>
      </x:c>
      <x:c r="B194" s="115" t="str">
        <x:v>EXT-MONDE-T004</x:v>
      </x:c>
      <x:c r="C194" s="115" t="str">
        <x:v>Lacs</x:v>
      </x:c>
      <x:c r="D194" s="115" t="str">
        <x:v>Camping de rive</x:v>
      </x:c>
      <x:c r="E194" s="115" t="n">
        <x:v>39</x:v>
      </x:c>
      <x:c r="F194" s="115" t="str">
        <x:v>Inspection physique</x:v>
      </x:c>
      <x:c r="G194" s="115" t="str">
        <x:v>1 niveaux ; 26 pièces ; 198 segments de mur ; 0 transitions. Inspection physique ; architecture complète encore ouverte.</x:v>
      </x:c>
      <x:c r="H194" s="115" t="str">
        <x:v>L 284 ; l 248 ; hauteur 4,25 m ; choix de composition auteur ; dimensions réelles à documenter</x:v>
      </x:c>
      <x:c r="I194" s="115" t="str">
        <x:v>À équilibrer</x:v>
      </x:c>
      <x:c r="J194" s="115" t="str">
        <x:v>Non</x:v>
      </x:c>
      <x:c r="K194" s="115" t="str">
        <x:v>Pièces décrites, murs, portes, niveaux et mobilier inspectables à l’échelle. Volumes réservés, raccord au seed, butin, rencontres et services de campagne restent à terminer.</x:v>
      </x:c>
    </x:row>
    <x:row r="195" ht="96" customHeight="1">
      <x:c r="A195" s="115" t="str">
        <x:v>EXT-MONDE-T004-V40</x:v>
      </x:c>
      <x:c r="B195" s="115" t="str">
        <x:v>EXT-MONDE-T004</x:v>
      </x:c>
      <x:c r="C195" s="115" t="str">
        <x:v>Lacs</x:v>
      </x:c>
      <x:c r="D195" s="115" t="str">
        <x:v>Camping de rive</x:v>
      </x:c>
      <x:c r="E195" s="115" t="n">
        <x:v>40</x:v>
      </x:c>
      <x:c r="F195" s="115" t="str">
        <x:v>Inspection physique</x:v>
      </x:c>
      <x:c r="G195" s="115" t="str">
        <x:v>1 niveaux ; 26 pièces ; 198 segments de mur ; 0 transitions. Inspection physique ; architecture complète encore ouverte.</x:v>
      </x:c>
      <x:c r="H195" s="115" t="str">
        <x:v>L 284 ; l 248 ; hauteur 4,25 m ; choix de composition auteur ; dimensions réelles à documenter</x:v>
      </x:c>
      <x:c r="I195" s="115" t="str">
        <x:v>À équilibrer</x:v>
      </x:c>
      <x:c r="J195" s="115" t="str">
        <x:v>Non</x:v>
      </x:c>
      <x:c r="K195" s="115" t="str">
        <x:v>Pièces décrites, murs, portes, niveaux et mobilier inspectables à l’échelle. Volumes réservés, raccord au seed, butin, rencontres et services de campagne restent à terminer.</x:v>
      </x:c>
    </x:row>
    <x:row r="196" ht="96" customHeight="1">
      <x:c r="A196" s="115" t="str">
        <x:v>EXT-MONDE-T004-V41</x:v>
      </x:c>
      <x:c r="B196" s="115" t="str">
        <x:v>EXT-MONDE-T004</x:v>
      </x:c>
      <x:c r="C196" s="115" t="str">
        <x:v>Lacs</x:v>
      </x:c>
      <x:c r="D196" s="115" t="str">
        <x:v>Camping de rive</x:v>
      </x:c>
      <x:c r="E196" s="115" t="n">
        <x:v>41</x:v>
      </x:c>
      <x:c r="F196" s="115" t="str">
        <x:v>Inspection physique</x:v>
      </x:c>
      <x:c r="G196" s="115" t="str">
        <x:v>1 niveaux ; 26 pièces ; 198 segments de mur ; 0 transitions. Inspection physique ; architecture complète encore ouverte.</x:v>
      </x:c>
      <x:c r="H196" s="115" t="str">
        <x:v>L 298 ; l 264 ; hauteur 4,4 m ; choix de composition auteur ; dimensions réelles à documenter</x:v>
      </x:c>
      <x:c r="I196" s="115" t="str">
        <x:v>À équilibrer</x:v>
      </x:c>
      <x:c r="J196" s="115" t="str">
        <x:v>Non</x:v>
      </x:c>
      <x:c r="K196" s="115" t="str">
        <x:v>Pièces décrites, murs, portes, niveaux et mobilier inspectables à l’échelle. Volumes réservés, raccord au seed, butin, rencontres et services de campagne restent à terminer.</x:v>
      </x:c>
    </x:row>
    <x:row r="197" ht="96" customHeight="1">
      <x:c r="A197" s="115" t="str">
        <x:v>EXT-MONDE-T004-V42</x:v>
      </x:c>
      <x:c r="B197" s="115" t="str">
        <x:v>EXT-MONDE-T004</x:v>
      </x:c>
      <x:c r="C197" s="115" t="str">
        <x:v>Lacs</x:v>
      </x:c>
      <x:c r="D197" s="115" t="str">
        <x:v>Camping de rive</x:v>
      </x:c>
      <x:c r="E197" s="115" t="n">
        <x:v>42</x:v>
      </x:c>
      <x:c r="F197" s="115" t="str">
        <x:v>Inspection physique</x:v>
      </x:c>
      <x:c r="G197" s="115" t="str">
        <x:v>1 niveaux ; 26 pièces ; 198 segments de mur ; 0 transitions. Inspection physique ; architecture complète encore ouverte.</x:v>
      </x:c>
      <x:c r="H197" s="115" t="str">
        <x:v>L 298 ; l 264 ; hauteur 4,4 m ; choix de composition auteur ; dimensions réelles à documenter</x:v>
      </x:c>
      <x:c r="I197" s="115" t="str">
        <x:v>À équilibrer</x:v>
      </x:c>
      <x:c r="J197" s="115" t="str">
        <x:v>Non</x:v>
      </x:c>
      <x:c r="K197" s="115" t="str">
        <x:v>Pièces décrites, murs, portes, niveaux et mobilier inspectables à l’échelle. Volumes réservés, raccord au seed, butin, rencontres et services de campagne restent à terminer.</x:v>
      </x:c>
    </x:row>
    <x:row r="198" ht="96" customHeight="1">
      <x:c r="A198" s="115" t="str">
        <x:v>EXT-MONDE-T004-V43</x:v>
      </x:c>
      <x:c r="B198" s="115" t="str">
        <x:v>EXT-MONDE-T004</x:v>
      </x:c>
      <x:c r="C198" s="115" t="str">
        <x:v>Lacs</x:v>
      </x:c>
      <x:c r="D198" s="115" t="str">
        <x:v>Camping de rive</x:v>
      </x:c>
      <x:c r="E198" s="115" t="n">
        <x:v>43</x:v>
      </x:c>
      <x:c r="F198" s="115" t="str">
        <x:v>Inspection physique</x:v>
      </x:c>
      <x:c r="G198" s="115" t="str">
        <x:v>1 niveaux ; 26 pièces ; 198 segments de mur ; 0 transitions. Inspection physique ; architecture complète encore ouverte.</x:v>
      </x:c>
      <x:c r="H198" s="115" t="str">
        <x:v>L 298 ; l 264 ; hauteur 4,4 m ; choix de composition auteur ; dimensions réelles à documenter</x:v>
      </x:c>
      <x:c r="I198" s="115" t="str">
        <x:v>À équilibrer</x:v>
      </x:c>
      <x:c r="J198" s="115" t="str">
        <x:v>Non</x:v>
      </x:c>
      <x:c r="K198" s="115" t="str">
        <x:v>Pièces décrites, murs, portes, niveaux et mobilier inspectables à l’échelle. Volumes réservés, raccord au seed, butin, rencontres et services de campagne restent à terminer.</x:v>
      </x:c>
    </x:row>
    <x:row r="199" ht="96" customHeight="1">
      <x:c r="A199" s="115" t="str">
        <x:v>EXT-MONDE-T004-V44</x:v>
      </x:c>
      <x:c r="B199" s="115" t="str">
        <x:v>EXT-MONDE-T004</x:v>
      </x:c>
      <x:c r="C199" s="115" t="str">
        <x:v>Lacs</x:v>
      </x:c>
      <x:c r="D199" s="115" t="str">
        <x:v>Camping de rive</x:v>
      </x:c>
      <x:c r="E199" s="115" t="n">
        <x:v>44</x:v>
      </x:c>
      <x:c r="F199" s="115" t="str">
        <x:v>Inspection physique</x:v>
      </x:c>
      <x:c r="G199" s="115" t="str">
        <x:v>1 niveaux ; 26 pièces ; 198 segments de mur ; 0 transitions. Inspection physique ; architecture complète encore ouverte.</x:v>
      </x:c>
      <x:c r="H199" s="115" t="str">
        <x:v>L 298 ; l 264 ; hauteur 4,4 m ; choix de composition auteur ; dimensions réelles à documenter</x:v>
      </x:c>
      <x:c r="I199" s="115" t="str">
        <x:v>À équilibrer</x:v>
      </x:c>
      <x:c r="J199" s="115" t="str">
        <x:v>Non</x:v>
      </x:c>
      <x:c r="K199" s="115" t="str">
        <x:v>Pièces décrites, murs, portes, niveaux et mobilier inspectables à l’échelle. Volumes réservés, raccord au seed, butin, rencontres et services de campagne restent à terminer.</x:v>
      </x:c>
    </x:row>
    <x:row r="200" ht="96" customHeight="1">
      <x:c r="A200" s="115" t="str">
        <x:v>EXT-MONDE-T004-V45</x:v>
      </x:c>
      <x:c r="B200" s="115" t="str">
        <x:v>EXT-MONDE-T004</x:v>
      </x:c>
      <x:c r="C200" s="115" t="str">
        <x:v>Lacs</x:v>
      </x:c>
      <x:c r="D200" s="115" t="str">
        <x:v>Camping de rive</x:v>
      </x:c>
      <x:c r="E200" s="115" t="n">
        <x:v>45</x:v>
      </x:c>
      <x:c r="F200" s="115" t="str">
        <x:v>Inspection physique</x:v>
      </x:c>
      <x:c r="G200" s="115" t="str">
        <x:v>1 niveaux ; 26 pièces ; 198 segments de mur ; 0 transitions. Inspection physique ; architecture complète encore ouverte.</x:v>
      </x:c>
      <x:c r="H200" s="115" t="str">
        <x:v>L 298 ; l 264 ; hauteur 4,4 m ; choix de composition auteur ; dimensions réelles à documenter</x:v>
      </x:c>
      <x:c r="I200" s="115" t="str">
        <x:v>À équilibrer</x:v>
      </x:c>
      <x:c r="J200" s="115" t="str">
        <x:v>Non</x:v>
      </x:c>
      <x:c r="K200" s="115" t="str">
        <x:v>Pièces décrites, murs, portes, niveaux et mobilier inspectables à l’échelle. Volumes réservés, raccord au seed, butin, rencontres et services de campagne restent à terminer.</x:v>
      </x:c>
    </x:row>
    <x:row r="201" ht="96" customHeight="1">
      <x:c r="A201" s="115" t="str">
        <x:v>EXT-MONDE-T004-V46</x:v>
      </x:c>
      <x:c r="B201" s="115" t="str">
        <x:v>EXT-MONDE-T004</x:v>
      </x:c>
      <x:c r="C201" s="115" t="str">
        <x:v>Lacs</x:v>
      </x:c>
      <x:c r="D201" s="115" t="str">
        <x:v>Camping de rive</x:v>
      </x:c>
      <x:c r="E201" s="115" t="n">
        <x:v>46</x:v>
      </x:c>
      <x:c r="F201" s="115" t="str">
        <x:v>Inspection physique</x:v>
      </x:c>
      <x:c r="G201" s="115" t="str">
        <x:v>1 niveaux ; 26 pièces ; 198 segments de mur ; 0 transitions. Inspection physique ; architecture complète encore ouverte.</x:v>
      </x:c>
      <x:c r="H201" s="115" t="str">
        <x:v>L 298 ; l 264 ; hauteur 4,4 m ; choix de composition auteur ; dimensions réelles à documenter</x:v>
      </x:c>
      <x:c r="I201" s="115" t="str">
        <x:v>À équilibrer</x:v>
      </x:c>
      <x:c r="J201" s="115" t="str">
        <x:v>Non</x:v>
      </x:c>
      <x:c r="K201" s="115" t="str">
        <x:v>Pièces décrites, murs, portes, niveaux et mobilier inspectables à l’échelle. Volumes réservés, raccord au seed, butin, rencontres et services de campagne restent à terminer.</x:v>
      </x:c>
    </x:row>
    <x:row r="202" ht="96" customHeight="1">
      <x:c r="A202" s="115" t="str">
        <x:v>EXT-MONDE-T004-V47</x:v>
      </x:c>
      <x:c r="B202" s="115" t="str">
        <x:v>EXT-MONDE-T004</x:v>
      </x:c>
      <x:c r="C202" s="115" t="str">
        <x:v>Lacs</x:v>
      </x:c>
      <x:c r="D202" s="115" t="str">
        <x:v>Camping de rive</x:v>
      </x:c>
      <x:c r="E202" s="115" t="n">
        <x:v>47</x:v>
      </x:c>
      <x:c r="F202" s="115" t="str">
        <x:v>Inspection physique</x:v>
      </x:c>
      <x:c r="G202" s="115" t="str">
        <x:v>1 niveaux ; 26 pièces ; 198 segments de mur ; 0 transitions. Inspection physique ; architecture complète encore ouverte.</x:v>
      </x:c>
      <x:c r="H202" s="115" t="str">
        <x:v>L 298 ; l 264 ; hauteur 4,4 m ; choix de composition auteur ; dimensions réelles à documenter</x:v>
      </x:c>
      <x:c r="I202" s="115" t="str">
        <x:v>À équilibrer</x:v>
      </x:c>
      <x:c r="J202" s="115" t="str">
        <x:v>Non</x:v>
      </x:c>
      <x:c r="K202" s="115" t="str">
        <x:v>Pièces décrites, murs, portes, niveaux et mobilier inspectables à l’échelle. Volumes réservés, raccord au seed, butin, rencontres et services de campagne restent à terminer.</x:v>
      </x:c>
    </x:row>
    <x:row r="203" ht="96" customHeight="1">
      <x:c r="A203" s="115" t="str">
        <x:v>EXT-MONDE-T004-V48</x:v>
      </x:c>
      <x:c r="B203" s="115" t="str">
        <x:v>EXT-MONDE-T004</x:v>
      </x:c>
      <x:c r="C203" s="115" t="str">
        <x:v>Lacs</x:v>
      </x:c>
      <x:c r="D203" s="115" t="str">
        <x:v>Camping de rive</x:v>
      </x:c>
      <x:c r="E203" s="115" t="n">
        <x:v>48</x:v>
      </x:c>
      <x:c r="F203" s="115" t="str">
        <x:v>Inspection physique</x:v>
      </x:c>
      <x:c r="G203" s="115" t="str">
        <x:v>1 niveaux ; 26 pièces ; 198 segments de mur ; 0 transitions. Inspection physique ; architecture complète encore ouverte.</x:v>
      </x:c>
      <x:c r="H203" s="115" t="str">
        <x:v>L 298 ; l 264 ; hauteur 4,4 m ; choix de composition auteur ; dimensions réelles à documenter</x:v>
      </x:c>
      <x:c r="I203" s="115" t="str">
        <x:v>À équilibrer</x:v>
      </x:c>
      <x:c r="J203" s="115" t="str">
        <x:v>Non</x:v>
      </x:c>
      <x:c r="K203" s="115" t="str">
        <x:v>Pièces décrites, murs, portes, niveaux et mobilier inspectables à l’échelle. Volumes réservés, raccord au seed, butin, rencontres et services de campagne restent à terminer.</x:v>
      </x:c>
    </x:row>
    <x:row r="204" ht="96" customHeight="1">
      <x:c r="A204" s="115" t="str">
        <x:v>EXT-MONDE-T004-V49</x:v>
      </x:c>
      <x:c r="B204" s="115" t="str">
        <x:v>EXT-MONDE-T004</x:v>
      </x:c>
      <x:c r="C204" s="115" t="str">
        <x:v>Lacs</x:v>
      </x:c>
      <x:c r="D204" s="115" t="str">
        <x:v>Camping de rive</x:v>
      </x:c>
      <x:c r="E204" s="115" t="n">
        <x:v>49</x:v>
      </x:c>
      <x:c r="F204" s="115" t="str">
        <x:v>Inspection physique</x:v>
      </x:c>
      <x:c r="G204" s="115" t="str">
        <x:v>1 niveaux ; 26 pièces ; 198 segments de mur ; 0 transitions. Inspection physique ; architecture complète encore ouverte.</x:v>
      </x:c>
      <x:c r="H204" s="115" t="str">
        <x:v>L 298 ; l 264 ; hauteur 4,4 m ; choix de composition auteur ; dimensions réelles à documenter</x:v>
      </x:c>
      <x:c r="I204" s="115" t="str">
        <x:v>À équilibrer</x:v>
      </x:c>
      <x:c r="J204" s="115" t="str">
        <x:v>Non</x:v>
      </x:c>
      <x:c r="K204" s="115" t="str">
        <x:v>Pièces décrites, murs, portes, niveaux et mobilier inspectables à l’échelle. Volumes réservés, raccord au seed, butin, rencontres et services de campagne restent à terminer.</x:v>
      </x:c>
    </x:row>
    <x:row r="205" ht="96" customHeight="1">
      <x:c r="A205" s="115" t="str">
        <x:v>EXT-MONDE-T004-V50</x:v>
      </x:c>
      <x:c r="B205" s="115" t="str">
        <x:v>EXT-MONDE-T004</x:v>
      </x:c>
      <x:c r="C205" s="115" t="str">
        <x:v>Lacs</x:v>
      </x:c>
      <x:c r="D205" s="115" t="str">
        <x:v>Camping de rive</x:v>
      </x:c>
      <x:c r="E205" s="115" t="n">
        <x:v>50</x:v>
      </x:c>
      <x:c r="F205" s="115" t="str">
        <x:v>Inspection physique</x:v>
      </x:c>
      <x:c r="G205" s="115" t="str">
        <x:v>1 niveaux ; 26 pièces ; 198 segments de mur ; 0 transitions. Inspection physique ; architecture complète encore ouverte.</x:v>
      </x:c>
      <x:c r="H205" s="115" t="str">
        <x:v>L 298 ; l 264 ; hauteur 4,4 m ; choix de composition auteur ; dimensions réelles à documenter</x:v>
      </x:c>
      <x:c r="I205" s="115" t="str">
        <x:v>À équilibrer</x:v>
      </x:c>
      <x:c r="J205" s="115" t="str">
        <x:v>Non</x:v>
      </x:c>
      <x:c r="K205" s="115" t="str">
        <x:v>Pièces décrites, murs, portes, niveaux et mobilier inspectables à l’échelle. Volumes réservés, raccord au seed, butin, rencontres et services de campagne restent à terminer.</x:v>
      </x:c>
    </x:row>
    <x:row r="206">
      <x:c r="A206" t="str">
        <x:v>EXT-MONDE-T005-V01</x:v>
      </x:c>
      <x:c r="B206" t="str">
        <x:v>EXT-MONDE-T005</x:v>
      </x:c>
      <x:c r="C206" t="str">
        <x:v>Navires de haute mer</x:v>
      </x:c>
      <x:c r="D206" t="str">
        <x:v>Cargo polyvalent</x:v>
      </x:c>
      <x:c r="E206" t="n">
        <x:v>1</x:v>
      </x:c>
      <x:c r="F206" t="str">
        <x:v>Inspection physique</x:v>
      </x:c>
      <x:c r="G206" t="str">
        <x:v>6 niveaux ; 24 pièces ; 168 segments de mur ; 5 transitions. Inspection physique ; architecture complète encore ouverte.</x:v>
      </x:c>
      <x:c r="H206" t="str">
        <x:v>L 86,6 ; l 15,2 ; hauteur inconnue ; tirant 6,55 ; hauteur émergée auteur 16,25 m ; longueur/largeur/tirant sourcés ; hauteur totale réelle inconnue</x:v>
      </x:c>
      <x:c r="I206" t="str">
        <x:v>À équilibrer</x:v>
      </x:c>
      <x:c r="J206" t="str">
        <x:v>Non</x:v>
      </x:c>
      <x:c r="K206" t="str">
        <x:v>Pièces décrites, murs, portes, niveaux et mobilier inspectables à l’échelle. Volumes réservés, raccord au seed, butin, rencontres et services de campagne restent à terminer.</x:v>
      </x:c>
    </x:row>
    <x:row r="207">
      <x:c r="A207" t="str">
        <x:v>EXT-MONDE-T005-V02</x:v>
      </x:c>
      <x:c r="B207" t="str">
        <x:v>EXT-MONDE-T005</x:v>
      </x:c>
      <x:c r="C207" t="str">
        <x:v>Navires de haute mer</x:v>
      </x:c>
      <x:c r="D207" t="str">
        <x:v>Cargo polyvalent</x:v>
      </x:c>
      <x:c r="E207" t="n">
        <x:v>2</x:v>
      </x:c>
      <x:c r="F207" t="str">
        <x:v>Inspection physique</x:v>
      </x:c>
      <x:c r="G207" t="str">
        <x:v>6 niveaux ; 24 pièces ; 168 segments de mur ; 5 transitions. Inspection physique ; architecture complète encore ouverte.</x:v>
      </x:c>
      <x:c r="H207" t="str">
        <x:v>L 86,6 ; l 15,2 ; hauteur inconnue ; tirant 6,55 ; hauteur émergée auteur 16,25 m ; longueur/largeur/tirant sourcés ; hauteur totale réelle inconnue</x:v>
      </x:c>
      <x:c r="I207" t="str">
        <x:v>À équilibrer</x:v>
      </x:c>
      <x:c r="J207" t="str">
        <x:v>Non</x:v>
      </x:c>
      <x:c r="K207" t="str">
        <x:v>Pièces décrites, murs, portes, niveaux et mobilier inspectables à l’échelle. Volumes réservés, raccord au seed, butin, rencontres et services de campagne restent à terminer.</x:v>
      </x:c>
    </x:row>
    <x:row r="208">
      <x:c r="A208" t="str">
        <x:v>EXT-MONDE-T005-V03</x:v>
      </x:c>
      <x:c r="B208" t="str">
        <x:v>EXT-MONDE-T005</x:v>
      </x:c>
      <x:c r="C208" t="str">
        <x:v>Navires de haute mer</x:v>
      </x:c>
      <x:c r="D208" t="str">
        <x:v>Cargo polyvalent</x:v>
      </x:c>
      <x:c r="E208" t="n">
        <x:v>3</x:v>
      </x:c>
      <x:c r="F208" t="str">
        <x:v>Inspection physique</x:v>
      </x:c>
      <x:c r="G208" t="str">
        <x:v>6 niveaux ; 24 pièces ; 168 segments de mur ; 5 transitions. Inspection physique ; architecture complète encore ouverte.</x:v>
      </x:c>
      <x:c r="H208" t="str">
        <x:v>L 86,6 ; l 15,2 ; hauteur inconnue ; tirant 6,55 ; hauteur émergée auteur 16,25 m ; longueur/largeur/tirant sourcés ; hauteur totale réelle inconnue</x:v>
      </x:c>
      <x:c r="I208" t="str">
        <x:v>À équilibrer</x:v>
      </x:c>
      <x:c r="J208" t="str">
        <x:v>Non</x:v>
      </x:c>
      <x:c r="K208" t="str">
        <x:v>Pièces décrites, murs, portes, niveaux et mobilier inspectables à l’échelle. Volumes réservés, raccord au seed, butin, rencontres et services de campagne restent à terminer.</x:v>
      </x:c>
    </x:row>
    <x:row r="209">
      <x:c r="A209" t="str">
        <x:v>EXT-MONDE-T005-V04</x:v>
      </x:c>
      <x:c r="B209" t="str">
        <x:v>EXT-MONDE-T005</x:v>
      </x:c>
      <x:c r="C209" t="str">
        <x:v>Navires de haute mer</x:v>
      </x:c>
      <x:c r="D209" t="str">
        <x:v>Cargo polyvalent</x:v>
      </x:c>
      <x:c r="E209" t="n">
        <x:v>4</x:v>
      </x:c>
      <x:c r="F209" t="str">
        <x:v>Inspection physique</x:v>
      </x:c>
      <x:c r="G209" t="str">
        <x:v>6 niveaux ; 24 pièces ; 168 segments de mur ; 5 transitions. Inspection physique ; architecture complète encore ouverte.</x:v>
      </x:c>
      <x:c r="H209" t="str">
        <x:v>L 86,6 ; l 15,2 ; hauteur inconnue ; tirant 6,55 ; hauteur émergée auteur 16,25 m ; longueur/largeur/tirant sourcés ; hauteur totale réelle inconnue</x:v>
      </x:c>
      <x:c r="I209" t="str">
        <x:v>À équilibrer</x:v>
      </x:c>
      <x:c r="J209" t="str">
        <x:v>Non</x:v>
      </x:c>
      <x:c r="K209" t="str">
        <x:v>Pièces décrites, murs, portes, niveaux et mobilier inspectables à l’échelle. Volumes réservés, raccord au seed, butin, rencontres et services de campagne restent à terminer.</x:v>
      </x:c>
    </x:row>
    <x:row r="210">
      <x:c r="A210" t="str">
        <x:v>EXT-MONDE-T005-V05</x:v>
      </x:c>
      <x:c r="B210" t="str">
        <x:v>EXT-MONDE-T005</x:v>
      </x:c>
      <x:c r="C210" t="str">
        <x:v>Navires de haute mer</x:v>
      </x:c>
      <x:c r="D210" t="str">
        <x:v>Cargo polyvalent</x:v>
      </x:c>
      <x:c r="E210" t="n">
        <x:v>5</x:v>
      </x:c>
      <x:c r="F210" t="str">
        <x:v>Inspection physique</x:v>
      </x:c>
      <x:c r="G210" t="str">
        <x:v>6 niveaux ; 24 pièces ; 168 segments de mur ; 5 transitions. Inspection physique ; architecture complète encore ouverte.</x:v>
      </x:c>
      <x:c r="H210" t="str">
        <x:v>L 86,6 ; l 15,2 ; hauteur inconnue ; tirant 6,55 ; hauteur émergée auteur 16,25 m ; longueur/largeur/tirant sourcés ; hauteur totale réelle inconnue</x:v>
      </x:c>
      <x:c r="I210" t="str">
        <x:v>À équilibrer</x:v>
      </x:c>
      <x:c r="J210" t="str">
        <x:v>Non</x:v>
      </x:c>
      <x:c r="K210" t="str">
        <x:v>Pièces décrites, murs, portes, niveaux et mobilier inspectables à l’échelle. Volumes réservés, raccord au seed, butin, rencontres et services de campagne restent à terminer.</x:v>
      </x:c>
    </x:row>
    <x:row r="211">
      <x:c r="A211" t="str">
        <x:v>EXT-MONDE-T005-V06</x:v>
      </x:c>
      <x:c r="B211" t="str">
        <x:v>EXT-MONDE-T005</x:v>
      </x:c>
      <x:c r="C211" t="str">
        <x:v>Navires de haute mer</x:v>
      </x:c>
      <x:c r="D211" t="str">
        <x:v>Cargo polyvalent</x:v>
      </x:c>
      <x:c r="E211" t="n">
        <x:v>6</x:v>
      </x:c>
      <x:c r="F211" t="str">
        <x:v>Inspection physique</x:v>
      </x:c>
      <x:c r="G211" t="str">
        <x:v>6 niveaux ; 24 pièces ; 168 segments de mur ; 5 transitions. Inspection physique ; architecture complète encore ouverte.</x:v>
      </x:c>
      <x:c r="H211" t="str">
        <x:v>L 86,6 ; l 15,2 ; hauteur inconnue ; tirant 6,55 ; hauteur émergée auteur 16,25 m ; longueur/largeur/tirant sourcés ; hauteur totale réelle inconnue</x:v>
      </x:c>
      <x:c r="I211" t="str">
        <x:v>À équilibrer</x:v>
      </x:c>
      <x:c r="J211" t="str">
        <x:v>Non</x:v>
      </x:c>
      <x:c r="K211" t="str">
        <x:v>Pièces décrites, murs, portes, niveaux et mobilier inspectables à l’échelle. Volumes réservés, raccord au seed, butin, rencontres et services de campagne restent à terminer.</x:v>
      </x:c>
    </x:row>
    <x:row r="212">
      <x:c r="A212" t="str">
        <x:v>EXT-MONDE-T005-V07</x:v>
      </x:c>
      <x:c r="B212" t="str">
        <x:v>EXT-MONDE-T005</x:v>
      </x:c>
      <x:c r="C212" t="str">
        <x:v>Navires de haute mer</x:v>
      </x:c>
      <x:c r="D212" t="str">
        <x:v>Cargo polyvalent</x:v>
      </x:c>
      <x:c r="E212" t="n">
        <x:v>7</x:v>
      </x:c>
      <x:c r="F212" t="str">
        <x:v>Inspection physique</x:v>
      </x:c>
      <x:c r="G212" t="str">
        <x:v>6 niveaux ; 24 pièces ; 168 segments de mur ; 5 transitions. Inspection physique ; architecture complète encore ouverte.</x:v>
      </x:c>
      <x:c r="H212" t="str">
        <x:v>L 86,6 ; l 15,2 ; hauteur inconnue ; tirant 6,55 ; hauteur émergée auteur 16,25 m ; longueur/largeur/tirant sourcés ; hauteur totale réelle inconnue</x:v>
      </x:c>
      <x:c r="I212" t="str">
        <x:v>À équilibrer</x:v>
      </x:c>
      <x:c r="J212" t="str">
        <x:v>Non</x:v>
      </x:c>
      <x:c r="K212" t="str">
        <x:v>Pièces décrites, murs, portes, niveaux et mobilier inspectables à l’échelle. Volumes réservés, raccord au seed, butin, rencontres et services de campagne restent à terminer.</x:v>
      </x:c>
    </x:row>
    <x:row r="213">
      <x:c r="A213" t="str">
        <x:v>EXT-MONDE-T005-V08</x:v>
      </x:c>
      <x:c r="B213" t="str">
        <x:v>EXT-MONDE-T005</x:v>
      </x:c>
      <x:c r="C213" t="str">
        <x:v>Navires de haute mer</x:v>
      </x:c>
      <x:c r="D213" t="str">
        <x:v>Cargo polyvalent</x:v>
      </x:c>
      <x:c r="E213" t="n">
        <x:v>8</x:v>
      </x:c>
      <x:c r="F213" t="str">
        <x:v>Inspection physique</x:v>
      </x:c>
      <x:c r="G213" t="str">
        <x:v>6 niveaux ; 24 pièces ; 168 segments de mur ; 5 transitions. Inspection physique ; architecture complète encore ouverte.</x:v>
      </x:c>
      <x:c r="H213" t="str">
        <x:v>L 86,6 ; l 15,2 ; hauteur inconnue ; tirant 6,55 ; hauteur émergée auteur 16,25 m ; longueur/largeur/tirant sourcés ; hauteur totale réelle inconnue</x:v>
      </x:c>
      <x:c r="I213" t="str">
        <x:v>À équilibrer</x:v>
      </x:c>
      <x:c r="J213" t="str">
        <x:v>Non</x:v>
      </x:c>
      <x:c r="K213" t="str">
        <x:v>Pièces décrites, murs, portes, niveaux et mobilier inspectables à l’échelle. Volumes réservés, raccord au seed, butin, rencontres et services de campagne restent à terminer.</x:v>
      </x:c>
    </x:row>
    <x:row r="214">
      <x:c r="A214" t="str">
        <x:v>EXT-MONDE-T005-V09</x:v>
      </x:c>
      <x:c r="B214" t="str">
        <x:v>EXT-MONDE-T005</x:v>
      </x:c>
      <x:c r="C214" t="str">
        <x:v>Navires de haute mer</x:v>
      </x:c>
      <x:c r="D214" t="str">
        <x:v>Cargo polyvalent</x:v>
      </x:c>
      <x:c r="E214" t="n">
        <x:v>9</x:v>
      </x:c>
      <x:c r="F214" t="str">
        <x:v>Inspection physique</x:v>
      </x:c>
      <x:c r="G214" t="str">
        <x:v>6 niveaux ; 24 pièces ; 168 segments de mur ; 5 transitions. Inspection physique ; architecture complète encore ouverte.</x:v>
      </x:c>
      <x:c r="H214" t="str">
        <x:v>L 86,6 ; l 15,2 ; hauteur inconnue ; tirant 6,55 ; hauteur émergée auteur 16,25 m ; longueur/largeur/tirant sourcés ; hauteur totale réelle inconnue</x:v>
      </x:c>
      <x:c r="I214" t="str">
        <x:v>À équilibrer</x:v>
      </x:c>
      <x:c r="J214" t="str">
        <x:v>Non</x:v>
      </x:c>
      <x:c r="K214" t="str">
        <x:v>Pièces décrites, murs, portes, niveaux et mobilier inspectables à l’échelle. Volumes réservés, raccord au seed, butin, rencontres et services de campagne restent à terminer.</x:v>
      </x:c>
    </x:row>
    <x:row r="215">
      <x:c r="A215" t="str">
        <x:v>EXT-MONDE-T005-V10</x:v>
      </x:c>
      <x:c r="B215" t="str">
        <x:v>EXT-MONDE-T005</x:v>
      </x:c>
      <x:c r="C215" t="str">
        <x:v>Navires de haute mer</x:v>
      </x:c>
      <x:c r="D215" t="str">
        <x:v>Cargo polyvalent</x:v>
      </x:c>
      <x:c r="E215" t="n">
        <x:v>10</x:v>
      </x:c>
      <x:c r="F215" t="str">
        <x:v>Inspection physique</x:v>
      </x:c>
      <x:c r="G215" t="str">
        <x:v>6 niveaux ; 24 pièces ; 168 segments de mur ; 5 transitions. Inspection physique ; architecture complète encore ouverte.</x:v>
      </x:c>
      <x:c r="H215" t="str">
        <x:v>L 86,6 ; l 15,2 ; hauteur inconnue ; tirant 6,55 ; hauteur émergée auteur 16,25 m ; longueur/largeur/tirant sourcés ; hauteur totale réelle inconnue</x:v>
      </x:c>
      <x:c r="I215" t="str">
        <x:v>À équilibrer</x:v>
      </x:c>
      <x:c r="J215" t="str">
        <x:v>Non</x:v>
      </x:c>
      <x:c r="K215" t="str">
        <x:v>Pièces décrites, murs, portes, niveaux et mobilier inspectables à l’échelle. Volumes réservés, raccord au seed, butin, rencontres et services de campagne restent à terminer.</x:v>
      </x:c>
    </x:row>
    <x:row r="216">
      <x:c r="A216" t="str">
        <x:v>EXT-MONDE-T005-V11</x:v>
      </x:c>
      <x:c r="B216" t="str">
        <x:v>EXT-MONDE-T005</x:v>
      </x:c>
      <x:c r="C216" t="str">
        <x:v>Navires de haute mer</x:v>
      </x:c>
      <x:c r="D216" t="str">
        <x:v>Cargo polyvalent</x:v>
      </x:c>
      <x:c r="E216" t="n">
        <x:v>11</x:v>
      </x:c>
      <x:c r="F216" t="str">
        <x:v>Inspection physique</x:v>
      </x:c>
      <x:c r="G216" t="str">
        <x:v>6 niveaux ; 24 pièces ; 168 segments de mur ; 5 transitions. Inspection physique ; architecture complète encore ouverte.</x:v>
      </x:c>
      <x:c r="H216" t="str">
        <x:v>L 86,6 ; l 15,2 ; hauteur inconnue ; tirant 6,55 ; hauteur émergée auteur 16,25 m ; longueur/largeur/tirant sourcés ; hauteur totale réelle inconnue</x:v>
      </x:c>
      <x:c r="I216" t="str">
        <x:v>À équilibrer</x:v>
      </x:c>
      <x:c r="J216" t="str">
        <x:v>Non</x:v>
      </x:c>
      <x:c r="K216" t="str">
        <x:v>Pièces décrites, murs, portes, niveaux et mobilier inspectables à l’échelle. Volumes réservés, raccord au seed, butin, rencontres et services de campagne restent à terminer.</x:v>
      </x:c>
    </x:row>
    <x:row r="217">
      <x:c r="A217" t="str">
        <x:v>EXT-MONDE-T005-V12</x:v>
      </x:c>
      <x:c r="B217" t="str">
        <x:v>EXT-MONDE-T005</x:v>
      </x:c>
      <x:c r="C217" t="str">
        <x:v>Navires de haute mer</x:v>
      </x:c>
      <x:c r="D217" t="str">
        <x:v>Cargo polyvalent</x:v>
      </x:c>
      <x:c r="E217" t="n">
        <x:v>12</x:v>
      </x:c>
      <x:c r="F217" t="str">
        <x:v>Inspection physique</x:v>
      </x:c>
      <x:c r="G217" t="str">
        <x:v>6 niveaux ; 24 pièces ; 168 segments de mur ; 5 transitions. Inspection physique ; architecture complète encore ouverte.</x:v>
      </x:c>
      <x:c r="H217" t="str">
        <x:v>L 86,6 ; l 15,2 ; hauteur inconnue ; tirant 6,55 ; hauteur émergée auteur 16,25 m ; longueur/largeur/tirant sourcés ; hauteur totale réelle inconnue</x:v>
      </x:c>
      <x:c r="I217" t="str">
        <x:v>À équilibrer</x:v>
      </x:c>
      <x:c r="J217" t="str">
        <x:v>Non</x:v>
      </x:c>
      <x:c r="K217" t="str">
        <x:v>Pièces décrites, murs, portes, niveaux et mobilier inspectables à l’échelle. Volumes réservés, raccord au seed, butin, rencontres et services de campagne restent à terminer.</x:v>
      </x:c>
    </x:row>
    <x:row r="218">
      <x:c r="A218" t="str">
        <x:v>EXT-MONDE-T005-V13</x:v>
      </x:c>
      <x:c r="B218" t="str">
        <x:v>EXT-MONDE-T005</x:v>
      </x:c>
      <x:c r="C218" t="str">
        <x:v>Navires de haute mer</x:v>
      </x:c>
      <x:c r="D218" t="str">
        <x:v>Cargo polyvalent</x:v>
      </x:c>
      <x:c r="E218" t="n">
        <x:v>13</x:v>
      </x:c>
      <x:c r="F218" t="str">
        <x:v>Inspection physique</x:v>
      </x:c>
      <x:c r="G218" t="str">
        <x:v>6 niveaux ; 24 pièces ; 168 segments de mur ; 5 transitions. Inspection physique ; architecture complète encore ouverte.</x:v>
      </x:c>
      <x:c r="H218" t="str">
        <x:v>L 86,6 ; l 15,2 ; hauteur inconnue ; tirant 6,55 ; hauteur émergée auteur 16,25 m ; longueur/largeur/tirant sourcés ; hauteur totale réelle inconnue</x:v>
      </x:c>
      <x:c r="I218" t="str">
        <x:v>À équilibrer</x:v>
      </x:c>
      <x:c r="J218" t="str">
        <x:v>Non</x:v>
      </x:c>
      <x:c r="K218" t="str">
        <x:v>Pièces décrites, murs, portes, niveaux et mobilier inspectables à l’échelle. Volumes réservés, raccord au seed, butin, rencontres et services de campagne restent à terminer.</x:v>
      </x:c>
    </x:row>
    <x:row r="219">
      <x:c r="A219" t="str">
        <x:v>EXT-MONDE-T005-V14</x:v>
      </x:c>
      <x:c r="B219" t="str">
        <x:v>EXT-MONDE-T005</x:v>
      </x:c>
      <x:c r="C219" t="str">
        <x:v>Navires de haute mer</x:v>
      </x:c>
      <x:c r="D219" t="str">
        <x:v>Cargo polyvalent</x:v>
      </x:c>
      <x:c r="E219" t="n">
        <x:v>14</x:v>
      </x:c>
      <x:c r="F219" t="str">
        <x:v>Inspection physique</x:v>
      </x:c>
      <x:c r="G219" t="str">
        <x:v>6 niveaux ; 24 pièces ; 168 segments de mur ; 5 transitions. Inspection physique ; architecture complète encore ouverte.</x:v>
      </x:c>
      <x:c r="H219" t="str">
        <x:v>L 86,6 ; l 15,2 ; hauteur inconnue ; tirant 6,55 ; hauteur émergée auteur 16,25 m ; longueur/largeur/tirant sourcés ; hauteur totale réelle inconnue</x:v>
      </x:c>
      <x:c r="I219" t="str">
        <x:v>À équilibrer</x:v>
      </x:c>
      <x:c r="J219" t="str">
        <x:v>Non</x:v>
      </x:c>
      <x:c r="K219" t="str">
        <x:v>Pièces décrites, murs, portes, niveaux et mobilier inspectables à l’échelle. Volumes réservés, raccord au seed, butin, rencontres et services de campagne restent à terminer.</x:v>
      </x:c>
    </x:row>
    <x:row r="220">
      <x:c r="A220" t="str">
        <x:v>EXT-MONDE-T005-V15</x:v>
      </x:c>
      <x:c r="B220" t="str">
        <x:v>EXT-MONDE-T005</x:v>
      </x:c>
      <x:c r="C220" t="str">
        <x:v>Navires de haute mer</x:v>
      </x:c>
      <x:c r="D220" t="str">
        <x:v>Cargo polyvalent</x:v>
      </x:c>
      <x:c r="E220" t="n">
        <x:v>15</x:v>
      </x:c>
      <x:c r="F220" t="str">
        <x:v>Inspection physique</x:v>
      </x:c>
      <x:c r="G220" t="str">
        <x:v>6 niveaux ; 24 pièces ; 168 segments de mur ; 5 transitions. Inspection physique ; architecture complète encore ouverte.</x:v>
      </x:c>
      <x:c r="H220" t="str">
        <x:v>L 86,6 ; l 15,2 ; hauteur inconnue ; tirant 6,55 ; hauteur émergée auteur 16,25 m ; longueur/largeur/tirant sourcés ; hauteur totale réelle inconnue</x:v>
      </x:c>
      <x:c r="I220" t="str">
        <x:v>À équilibrer</x:v>
      </x:c>
      <x:c r="J220" t="str">
        <x:v>Non</x:v>
      </x:c>
      <x:c r="K220" t="str">
        <x:v>Pièces décrites, murs, portes, niveaux et mobilier inspectables à l’échelle. Volumes réservés, raccord au seed, butin, rencontres et services de campagne restent à terminer.</x:v>
      </x:c>
    </x:row>
    <x:row r="221">
      <x:c r="A221" t="str">
        <x:v>EXT-MONDE-T005-V16</x:v>
      </x:c>
      <x:c r="B221" t="str">
        <x:v>EXT-MONDE-T005</x:v>
      </x:c>
      <x:c r="C221" t="str">
        <x:v>Navires de haute mer</x:v>
      </x:c>
      <x:c r="D221" t="str">
        <x:v>Cargo polyvalent</x:v>
      </x:c>
      <x:c r="E221" t="n">
        <x:v>16</x:v>
      </x:c>
      <x:c r="F221" t="str">
        <x:v>Inspection physique</x:v>
      </x:c>
      <x:c r="G221" t="str">
        <x:v>6 niveaux ; 24 pièces ; 168 segments de mur ; 5 transitions. Inspection physique ; architecture complète encore ouverte.</x:v>
      </x:c>
      <x:c r="H221" t="str">
        <x:v>L 86,6 ; l 15,2 ; hauteur inconnue ; tirant 6,55 ; hauteur émergée auteur 16,25 m ; longueur/largeur/tirant sourcés ; hauteur totale réelle inconnue</x:v>
      </x:c>
      <x:c r="I221" t="str">
        <x:v>À équilibrer</x:v>
      </x:c>
      <x:c r="J221" t="str">
        <x:v>Non</x:v>
      </x:c>
      <x:c r="K221" t="str">
        <x:v>Pièces décrites, murs, portes, niveaux et mobilier inspectables à l’échelle. Volumes réservés, raccord au seed, butin, rencontres et services de campagne restent à terminer.</x:v>
      </x:c>
    </x:row>
    <x:row r="222">
      <x:c r="A222" t="str">
        <x:v>EXT-MONDE-T005-V17</x:v>
      </x:c>
      <x:c r="B222" t="str">
        <x:v>EXT-MONDE-T005</x:v>
      </x:c>
      <x:c r="C222" t="str">
        <x:v>Navires de haute mer</x:v>
      </x:c>
      <x:c r="D222" t="str">
        <x:v>Cargo polyvalent</x:v>
      </x:c>
      <x:c r="E222" t="n">
        <x:v>17</x:v>
      </x:c>
      <x:c r="F222" t="str">
        <x:v>Inspection physique</x:v>
      </x:c>
      <x:c r="G222" t="str">
        <x:v>6 niveaux ; 24 pièces ; 168 segments de mur ; 5 transitions. Inspection physique ; architecture complète encore ouverte.</x:v>
      </x:c>
      <x:c r="H222" t="str">
        <x:v>L 86,6 ; l 15,2 ; hauteur inconnue ; tirant 6,55 ; hauteur émergée auteur 16,25 m ; longueur/largeur/tirant sourcés ; hauteur totale réelle inconnue</x:v>
      </x:c>
      <x:c r="I222" t="str">
        <x:v>À équilibrer</x:v>
      </x:c>
      <x:c r="J222" t="str">
        <x:v>Non</x:v>
      </x:c>
      <x:c r="K222" t="str">
        <x:v>Pièces décrites, murs, portes, niveaux et mobilier inspectables à l’échelle. Volumes réservés, raccord au seed, butin, rencontres et services de campagne restent à terminer.</x:v>
      </x:c>
    </x:row>
    <x:row r="223">
      <x:c r="A223" t="str">
        <x:v>EXT-MONDE-T005-V18</x:v>
      </x:c>
      <x:c r="B223" t="str">
        <x:v>EXT-MONDE-T005</x:v>
      </x:c>
      <x:c r="C223" t="str">
        <x:v>Navires de haute mer</x:v>
      </x:c>
      <x:c r="D223" t="str">
        <x:v>Cargo polyvalent</x:v>
      </x:c>
      <x:c r="E223" t="n">
        <x:v>18</x:v>
      </x:c>
      <x:c r="F223" t="str">
        <x:v>Inspection physique</x:v>
      </x:c>
      <x:c r="G223" t="str">
        <x:v>6 niveaux ; 24 pièces ; 168 segments de mur ; 5 transitions. Inspection physique ; architecture complète encore ouverte.</x:v>
      </x:c>
      <x:c r="H223" t="str">
        <x:v>L 86,6 ; l 15,2 ; hauteur inconnue ; tirant 6,55 ; hauteur émergée auteur 16,25 m ; longueur/largeur/tirant sourcés ; hauteur totale réelle inconnue</x:v>
      </x:c>
      <x:c r="I223" t="str">
        <x:v>À équilibrer</x:v>
      </x:c>
      <x:c r="J223" t="str">
        <x:v>Non</x:v>
      </x:c>
      <x:c r="K223" t="str">
        <x:v>Pièces décrites, murs, portes, niveaux et mobilier inspectables à l’échelle. Volumes réservés, raccord au seed, butin, rencontres et services de campagne restent à terminer.</x:v>
      </x:c>
    </x:row>
    <x:row r="224">
      <x:c r="A224" t="str">
        <x:v>EXT-MONDE-T005-V19</x:v>
      </x:c>
      <x:c r="B224" t="str">
        <x:v>EXT-MONDE-T005</x:v>
      </x:c>
      <x:c r="C224" t="str">
        <x:v>Navires de haute mer</x:v>
      </x:c>
      <x:c r="D224" t="str">
        <x:v>Cargo polyvalent</x:v>
      </x:c>
      <x:c r="E224" t="n">
        <x:v>19</x:v>
      </x:c>
      <x:c r="F224" t="str">
        <x:v>Inspection physique</x:v>
      </x:c>
      <x:c r="G224" t="str">
        <x:v>6 niveaux ; 24 pièces ; 168 segments de mur ; 5 transitions. Inspection physique ; architecture complète encore ouverte.</x:v>
      </x:c>
      <x:c r="H224" t="str">
        <x:v>L 86,6 ; l 15,2 ; hauteur inconnue ; tirant 6,55 ; hauteur émergée auteur 16,25 m ; longueur/largeur/tirant sourcés ; hauteur totale réelle inconnue</x:v>
      </x:c>
      <x:c r="I224" t="str">
        <x:v>À équilibrer</x:v>
      </x:c>
      <x:c r="J224" t="str">
        <x:v>Non</x:v>
      </x:c>
      <x:c r="K224" t="str">
        <x:v>Pièces décrites, murs, portes, niveaux et mobilier inspectables à l’échelle. Volumes réservés, raccord au seed, butin, rencontres et services de campagne restent à terminer.</x:v>
      </x:c>
    </x:row>
    <x:row r="225">
      <x:c r="A225" t="str">
        <x:v>EXT-MONDE-T005-V20</x:v>
      </x:c>
      <x:c r="B225" t="str">
        <x:v>EXT-MONDE-T005</x:v>
      </x:c>
      <x:c r="C225" t="str">
        <x:v>Navires de haute mer</x:v>
      </x:c>
      <x:c r="D225" t="str">
        <x:v>Cargo polyvalent</x:v>
      </x:c>
      <x:c r="E225" t="n">
        <x:v>20</x:v>
      </x:c>
      <x:c r="F225" t="str">
        <x:v>Inspection physique</x:v>
      </x:c>
      <x:c r="G225" t="str">
        <x:v>6 niveaux ; 24 pièces ; 168 segments de mur ; 5 transitions. Inspection physique ; architecture complète encore ouverte.</x:v>
      </x:c>
      <x:c r="H225" t="str">
        <x:v>L 86,6 ; l 15,2 ; hauteur inconnue ; tirant 6,55 ; hauteur émergée auteur 16,25 m ; longueur/largeur/tirant sourcés ; hauteur totale réelle inconnue</x:v>
      </x:c>
      <x:c r="I225" t="str">
        <x:v>À équilibrer</x:v>
      </x:c>
      <x:c r="J225" t="str">
        <x:v>Non</x:v>
      </x:c>
      <x:c r="K225" t="str">
        <x:v>Pièces décrites, murs, portes, niveaux et mobilier inspectables à l’échelle. Volumes réservés, raccord au seed, butin, rencontres et services de campagne restent à terminer.</x:v>
      </x:c>
    </x:row>
    <x:row r="226">
      <x:c r="A226" t="str">
        <x:v>EXT-MONDE-T005-V21</x:v>
      </x:c>
      <x:c r="B226" t="str">
        <x:v>EXT-MONDE-T005</x:v>
      </x:c>
      <x:c r="C226" t="str">
        <x:v>Navires de haute mer</x:v>
      </x:c>
      <x:c r="D226" t="str">
        <x:v>Cargo polyvalent</x:v>
      </x:c>
      <x:c r="E226" t="n">
        <x:v>21</x:v>
      </x:c>
      <x:c r="F226" t="str">
        <x:v>Inspection physique</x:v>
      </x:c>
      <x:c r="G226" t="str">
        <x:v>6 niveaux ; 36 pièces ; 240 segments de mur ; 5 transitions. Inspection physique ; architecture complète encore ouverte.</x:v>
      </x:c>
      <x:c r="H226" t="str">
        <x:v>L 86,6 ; l 15,2 ; hauteur inconnue ; tirant 6,55 ; hauteur émergée auteur 16,25 m ; longueur/largeur/tirant sourcés ; hauteur totale réelle inconnue</x:v>
      </x:c>
      <x:c r="I226" t="str">
        <x:v>À équilibrer</x:v>
      </x:c>
      <x:c r="J226" t="str">
        <x:v>Non</x:v>
      </x:c>
      <x:c r="K226" t="str">
        <x:v>Pièces décrites, murs, portes, niveaux et mobilier inspectables à l’échelle. Volumes réservés, raccord au seed, butin, rencontres et services de campagne restent à terminer.</x:v>
      </x:c>
    </x:row>
    <x:row r="227">
      <x:c r="A227" t="str">
        <x:v>EXT-MONDE-T005-V22</x:v>
      </x:c>
      <x:c r="B227" t="str">
        <x:v>EXT-MONDE-T005</x:v>
      </x:c>
      <x:c r="C227" t="str">
        <x:v>Navires de haute mer</x:v>
      </x:c>
      <x:c r="D227" t="str">
        <x:v>Cargo polyvalent</x:v>
      </x:c>
      <x:c r="E227" t="n">
        <x:v>22</x:v>
      </x:c>
      <x:c r="F227" t="str">
        <x:v>Inspection physique</x:v>
      </x:c>
      <x:c r="G227" t="str">
        <x:v>6 niveaux ; 36 pièces ; 240 segments de mur ; 5 transitions. Inspection physique ; architecture complète encore ouverte.</x:v>
      </x:c>
      <x:c r="H227" t="str">
        <x:v>L 86,6 ; l 15,2 ; hauteur inconnue ; tirant 6,55 ; hauteur émergée auteur 16,25 m ; longueur/largeur/tirant sourcés ; hauteur totale réelle inconnue</x:v>
      </x:c>
      <x:c r="I227" t="str">
        <x:v>À équilibrer</x:v>
      </x:c>
      <x:c r="J227" t="str">
        <x:v>Non</x:v>
      </x:c>
      <x:c r="K227" t="str">
        <x:v>Pièces décrites, murs, portes, niveaux et mobilier inspectables à l’échelle. Volumes réservés, raccord au seed, butin, rencontres et services de campagne restent à terminer.</x:v>
      </x:c>
    </x:row>
    <x:row r="228">
      <x:c r="A228" t="str">
        <x:v>EXT-MONDE-T005-V23</x:v>
      </x:c>
      <x:c r="B228" t="str">
        <x:v>EXT-MONDE-T005</x:v>
      </x:c>
      <x:c r="C228" t="str">
        <x:v>Navires de haute mer</x:v>
      </x:c>
      <x:c r="D228" t="str">
        <x:v>Cargo polyvalent</x:v>
      </x:c>
      <x:c r="E228" t="n">
        <x:v>23</x:v>
      </x:c>
      <x:c r="F228" t="str">
        <x:v>Inspection physique</x:v>
      </x:c>
      <x:c r="G228" t="str">
        <x:v>6 niveaux ; 36 pièces ; 240 segments de mur ; 5 transitions. Inspection physique ; architecture complète encore ouverte.</x:v>
      </x:c>
      <x:c r="H228" t="str">
        <x:v>L 86,6 ; l 15,2 ; hauteur inconnue ; tirant 6,55 ; hauteur émergée auteur 16,25 m ; longueur/largeur/tirant sourcés ; hauteur totale réelle inconnue</x:v>
      </x:c>
      <x:c r="I228" t="str">
        <x:v>À équilibrer</x:v>
      </x:c>
      <x:c r="J228" t="str">
        <x:v>Non</x:v>
      </x:c>
      <x:c r="K228" t="str">
        <x:v>Pièces décrites, murs, portes, niveaux et mobilier inspectables à l’échelle. Volumes réservés, raccord au seed, butin, rencontres et services de campagne restent à terminer.</x:v>
      </x:c>
    </x:row>
    <x:row r="229">
      <x:c r="A229" t="str">
        <x:v>EXT-MONDE-T005-V24</x:v>
      </x:c>
      <x:c r="B229" t="str">
        <x:v>EXT-MONDE-T005</x:v>
      </x:c>
      <x:c r="C229" t="str">
        <x:v>Navires de haute mer</x:v>
      </x:c>
      <x:c r="D229" t="str">
        <x:v>Cargo polyvalent</x:v>
      </x:c>
      <x:c r="E229" t="n">
        <x:v>24</x:v>
      </x:c>
      <x:c r="F229" t="str">
        <x:v>Inspection physique</x:v>
      </x:c>
      <x:c r="G229" t="str">
        <x:v>6 niveaux ; 36 pièces ; 240 segments de mur ; 5 transitions. Inspection physique ; architecture complète encore ouverte.</x:v>
      </x:c>
      <x:c r="H229" t="str">
        <x:v>L 86,6 ; l 15,2 ; hauteur inconnue ; tirant 6,55 ; hauteur émergée auteur 16,25 m ; longueur/largeur/tirant sourcés ; hauteur totale réelle inconnue</x:v>
      </x:c>
      <x:c r="I229" t="str">
        <x:v>À équilibrer</x:v>
      </x:c>
      <x:c r="J229" t="str">
        <x:v>Non</x:v>
      </x:c>
      <x:c r="K229" t="str">
        <x:v>Pièces décrites, murs, portes, niveaux et mobilier inspectables à l’échelle. Volumes réservés, raccord au seed, butin, rencontres et services de campagne restent à terminer.</x:v>
      </x:c>
    </x:row>
    <x:row r="230">
      <x:c r="A230" t="str">
        <x:v>EXT-MONDE-T005-V25</x:v>
      </x:c>
      <x:c r="B230" t="str">
        <x:v>EXT-MONDE-T005</x:v>
      </x:c>
      <x:c r="C230" t="str">
        <x:v>Navires de haute mer</x:v>
      </x:c>
      <x:c r="D230" t="str">
        <x:v>Cargo polyvalent</x:v>
      </x:c>
      <x:c r="E230" t="n">
        <x:v>25</x:v>
      </x:c>
      <x:c r="F230" t="str">
        <x:v>Inspection physique</x:v>
      </x:c>
      <x:c r="G230" t="str">
        <x:v>6 niveaux ; 36 pièces ; 240 segments de mur ; 5 transitions. Inspection physique ; architecture complète encore ouverte.</x:v>
      </x:c>
      <x:c r="H230" t="str">
        <x:v>L 86,6 ; l 15,2 ; hauteur inconnue ; tirant 6,55 ; hauteur émergée auteur 16,25 m ; longueur/largeur/tirant sourcés ; hauteur totale réelle inconnue</x:v>
      </x:c>
      <x:c r="I230" t="str">
        <x:v>À équilibrer</x:v>
      </x:c>
      <x:c r="J230" t="str">
        <x:v>Non</x:v>
      </x:c>
      <x:c r="K230" t="str">
        <x:v>Pièces décrites, murs, portes, niveaux et mobilier inspectables à l’échelle. Volumes réservés, raccord au seed, butin, rencontres et services de campagne restent à terminer.</x:v>
      </x:c>
    </x:row>
    <x:row r="231">
      <x:c r="A231" t="str">
        <x:v>EXT-MONDE-T005-V26</x:v>
      </x:c>
      <x:c r="B231" t="str">
        <x:v>EXT-MONDE-T005</x:v>
      </x:c>
      <x:c r="C231" t="str">
        <x:v>Navires de haute mer</x:v>
      </x:c>
      <x:c r="D231" t="str">
        <x:v>Cargo polyvalent</x:v>
      </x:c>
      <x:c r="E231" t="n">
        <x:v>26</x:v>
      </x:c>
      <x:c r="F231" t="str">
        <x:v>Inspection physique</x:v>
      </x:c>
      <x:c r="G231" t="str">
        <x:v>6 niveaux ; 36 pièces ; 240 segments de mur ; 5 transitions. Inspection physique ; architecture complète encore ouverte.</x:v>
      </x:c>
      <x:c r="H231" t="str">
        <x:v>L 86,6 ; l 15,2 ; hauteur inconnue ; tirant 6,55 ; hauteur émergée auteur 16,25 m ; longueur/largeur/tirant sourcés ; hauteur totale réelle inconnue</x:v>
      </x:c>
      <x:c r="I231" t="str">
        <x:v>À équilibrer</x:v>
      </x:c>
      <x:c r="J231" t="str">
        <x:v>Non</x:v>
      </x:c>
      <x:c r="K231" t="str">
        <x:v>Pièces décrites, murs, portes, niveaux et mobilier inspectables à l’échelle. Volumes réservés, raccord au seed, butin, rencontres et services de campagne restent à terminer.</x:v>
      </x:c>
    </x:row>
    <x:row r="232">
      <x:c r="A232" t="str">
        <x:v>EXT-MONDE-T005-V27</x:v>
      </x:c>
      <x:c r="B232" t="str">
        <x:v>EXT-MONDE-T005</x:v>
      </x:c>
      <x:c r="C232" t="str">
        <x:v>Navires de haute mer</x:v>
      </x:c>
      <x:c r="D232" t="str">
        <x:v>Cargo polyvalent</x:v>
      </x:c>
      <x:c r="E232" t="n">
        <x:v>27</x:v>
      </x:c>
      <x:c r="F232" t="str">
        <x:v>Inspection physique</x:v>
      </x:c>
      <x:c r="G232" t="str">
        <x:v>6 niveaux ; 36 pièces ; 240 segments de mur ; 5 transitions. Inspection physique ; architecture complète encore ouverte.</x:v>
      </x:c>
      <x:c r="H232" t="str">
        <x:v>L 86,6 ; l 15,2 ; hauteur inconnue ; tirant 6,55 ; hauteur émergée auteur 16,25 m ; longueur/largeur/tirant sourcés ; hauteur totale réelle inconnue</x:v>
      </x:c>
      <x:c r="I232" t="str">
        <x:v>À équilibrer</x:v>
      </x:c>
      <x:c r="J232" t="str">
        <x:v>Non</x:v>
      </x:c>
      <x:c r="K232" t="str">
        <x:v>Pièces décrites, murs, portes, niveaux et mobilier inspectables à l’échelle. Volumes réservés, raccord au seed, butin, rencontres et services de campagne restent à terminer.</x:v>
      </x:c>
    </x:row>
    <x:row r="233">
      <x:c r="A233" t="str">
        <x:v>EXT-MONDE-T005-V28</x:v>
      </x:c>
      <x:c r="B233" t="str">
        <x:v>EXT-MONDE-T005</x:v>
      </x:c>
      <x:c r="C233" t="str">
        <x:v>Navires de haute mer</x:v>
      </x:c>
      <x:c r="D233" t="str">
        <x:v>Cargo polyvalent</x:v>
      </x:c>
      <x:c r="E233" t="n">
        <x:v>28</x:v>
      </x:c>
      <x:c r="F233" t="str">
        <x:v>Inspection physique</x:v>
      </x:c>
      <x:c r="G233" t="str">
        <x:v>6 niveaux ; 36 pièces ; 240 segments de mur ; 5 transitions. Inspection physique ; architecture complète encore ouverte.</x:v>
      </x:c>
      <x:c r="H233" t="str">
        <x:v>L 86,6 ; l 15,2 ; hauteur inconnue ; tirant 6,55 ; hauteur émergée auteur 16,25 m ; longueur/largeur/tirant sourcés ; hauteur totale réelle inconnue</x:v>
      </x:c>
      <x:c r="I233" t="str">
        <x:v>À équilibrer</x:v>
      </x:c>
      <x:c r="J233" t="str">
        <x:v>Non</x:v>
      </x:c>
      <x:c r="K233" t="str">
        <x:v>Pièces décrites, murs, portes, niveaux et mobilier inspectables à l’échelle. Volumes réservés, raccord au seed, butin, rencontres et services de campagne restent à terminer.</x:v>
      </x:c>
    </x:row>
    <x:row r="234">
      <x:c r="A234" t="str">
        <x:v>EXT-MONDE-T005-V29</x:v>
      </x:c>
      <x:c r="B234" t="str">
        <x:v>EXT-MONDE-T005</x:v>
      </x:c>
      <x:c r="C234" t="str">
        <x:v>Navires de haute mer</x:v>
      </x:c>
      <x:c r="D234" t="str">
        <x:v>Cargo polyvalent</x:v>
      </x:c>
      <x:c r="E234" t="n">
        <x:v>29</x:v>
      </x:c>
      <x:c r="F234" t="str">
        <x:v>Inspection physique</x:v>
      </x:c>
      <x:c r="G234" t="str">
        <x:v>6 niveaux ; 36 pièces ; 240 segments de mur ; 5 transitions. Inspection physique ; architecture complète encore ouverte.</x:v>
      </x:c>
      <x:c r="H234" t="str">
        <x:v>L 86,6 ; l 15,2 ; hauteur inconnue ; tirant 6,55 ; hauteur émergée auteur 16,25 m ; longueur/largeur/tirant sourcés ; hauteur totale réelle inconnue</x:v>
      </x:c>
      <x:c r="I234" t="str">
        <x:v>À équilibrer</x:v>
      </x:c>
      <x:c r="J234" t="str">
        <x:v>Non</x:v>
      </x:c>
      <x:c r="K234" t="str">
        <x:v>Pièces décrites, murs, portes, niveaux et mobilier inspectables à l’échelle. Volumes réservés, raccord au seed, butin, rencontres et services de campagne restent à terminer.</x:v>
      </x:c>
    </x:row>
    <x:row r="235">
      <x:c r="A235" t="str">
        <x:v>EXT-MONDE-T005-V30</x:v>
      </x:c>
      <x:c r="B235" t="str">
        <x:v>EXT-MONDE-T005</x:v>
      </x:c>
      <x:c r="C235" t="str">
        <x:v>Navires de haute mer</x:v>
      </x:c>
      <x:c r="D235" t="str">
        <x:v>Cargo polyvalent</x:v>
      </x:c>
      <x:c r="E235" t="n">
        <x:v>30</x:v>
      </x:c>
      <x:c r="F235" t="str">
        <x:v>Inspection physique</x:v>
      </x:c>
      <x:c r="G235" t="str">
        <x:v>6 niveaux ; 36 pièces ; 240 segments de mur ; 5 transitions. Inspection physique ; architecture complète encore ouverte.</x:v>
      </x:c>
      <x:c r="H235" t="str">
        <x:v>L 86,6 ; l 15,2 ; hauteur inconnue ; tirant 6,55 ; hauteur émergée auteur 16,25 m ; longueur/largeur/tirant sourcés ; hauteur totale réelle inconnue</x:v>
      </x:c>
      <x:c r="I235" t="str">
        <x:v>À équilibrer</x:v>
      </x:c>
      <x:c r="J235" t="str">
        <x:v>Non</x:v>
      </x:c>
      <x:c r="K235" t="str">
        <x:v>Pièces décrites, murs, portes, niveaux et mobilier inspectables à l’échelle. Volumes réservés, raccord au seed, butin, rencontres et services de campagne restent à terminer.</x:v>
      </x:c>
    </x:row>
    <x:row r="236">
      <x:c r="A236" t="str">
        <x:v>EXT-MONDE-T005-V31</x:v>
      </x:c>
      <x:c r="B236" t="str">
        <x:v>EXT-MONDE-T005</x:v>
      </x:c>
      <x:c r="C236" t="str">
        <x:v>Navires de haute mer</x:v>
      </x:c>
      <x:c r="D236" t="str">
        <x:v>Cargo polyvalent</x:v>
      </x:c>
      <x:c r="E236" t="n">
        <x:v>31</x:v>
      </x:c>
      <x:c r="F236" t="str">
        <x:v>Inspection physique</x:v>
      </x:c>
      <x:c r="G236" t="str">
        <x:v>6 niveaux ; 36 pièces ; 240 segments de mur ; 5 transitions. Inspection physique ; architecture complète encore ouverte.</x:v>
      </x:c>
      <x:c r="H236" t="str">
        <x:v>L 86,6 ; l 15,2 ; hauteur inconnue ; tirant 6,55 ; hauteur émergée auteur 16,25 m ; longueur/largeur/tirant sourcés ; hauteur totale réelle inconnue</x:v>
      </x:c>
      <x:c r="I236" t="str">
        <x:v>À équilibrer</x:v>
      </x:c>
      <x:c r="J236" t="str">
        <x:v>Non</x:v>
      </x:c>
      <x:c r="K236" t="str">
        <x:v>Pièces décrites, murs, portes, niveaux et mobilier inspectables à l’échelle. Volumes réservés, raccord au seed, butin, rencontres et services de campagne restent à terminer.</x:v>
      </x:c>
    </x:row>
    <x:row r="237">
      <x:c r="A237" t="str">
        <x:v>EXT-MONDE-T005-V32</x:v>
      </x:c>
      <x:c r="B237" t="str">
        <x:v>EXT-MONDE-T005</x:v>
      </x:c>
      <x:c r="C237" t="str">
        <x:v>Navires de haute mer</x:v>
      </x:c>
      <x:c r="D237" t="str">
        <x:v>Cargo polyvalent</x:v>
      </x:c>
      <x:c r="E237" t="n">
        <x:v>32</x:v>
      </x:c>
      <x:c r="F237" t="str">
        <x:v>Inspection physique</x:v>
      </x:c>
      <x:c r="G237" t="str">
        <x:v>6 niveaux ; 36 pièces ; 240 segments de mur ; 5 transitions. Inspection physique ; architecture complète encore ouverte.</x:v>
      </x:c>
      <x:c r="H237" t="str">
        <x:v>L 86,6 ; l 15,2 ; hauteur inconnue ; tirant 6,55 ; hauteur émergée auteur 16,25 m ; longueur/largeur/tirant sourcés ; hauteur totale réelle inconnue</x:v>
      </x:c>
      <x:c r="I237" t="str">
        <x:v>À équilibrer</x:v>
      </x:c>
      <x:c r="J237" t="str">
        <x:v>Non</x:v>
      </x:c>
      <x:c r="K237" t="str">
        <x:v>Pièces décrites, murs, portes, niveaux et mobilier inspectables à l’échelle. Volumes réservés, raccord au seed, butin, rencontres et services de campagne restent à terminer.</x:v>
      </x:c>
    </x:row>
    <x:row r="238">
      <x:c r="A238" t="str">
        <x:v>EXT-MONDE-T005-V33</x:v>
      </x:c>
      <x:c r="B238" t="str">
        <x:v>EXT-MONDE-T005</x:v>
      </x:c>
      <x:c r="C238" t="str">
        <x:v>Navires de haute mer</x:v>
      </x:c>
      <x:c r="D238" t="str">
        <x:v>Cargo polyvalent</x:v>
      </x:c>
      <x:c r="E238" t="n">
        <x:v>33</x:v>
      </x:c>
      <x:c r="F238" t="str">
        <x:v>Inspection physique</x:v>
      </x:c>
      <x:c r="G238" t="str">
        <x:v>6 niveaux ; 36 pièces ; 240 segments de mur ; 5 transitions. Inspection physique ; architecture complète encore ouverte.</x:v>
      </x:c>
      <x:c r="H238" t="str">
        <x:v>L 86,6 ; l 15,2 ; hauteur inconnue ; tirant 6,55 ; hauteur émergée auteur 16,25 m ; longueur/largeur/tirant sourcés ; hauteur totale réelle inconnue</x:v>
      </x:c>
      <x:c r="I238" t="str">
        <x:v>À équilibrer</x:v>
      </x:c>
      <x:c r="J238" t="str">
        <x:v>Non</x:v>
      </x:c>
      <x:c r="K238" t="str">
        <x:v>Pièces décrites, murs, portes, niveaux et mobilier inspectables à l’échelle. Volumes réservés, raccord au seed, butin, rencontres et services de campagne restent à terminer.</x:v>
      </x:c>
    </x:row>
    <x:row r="239">
      <x:c r="A239" t="str">
        <x:v>EXT-MONDE-T005-V34</x:v>
      </x:c>
      <x:c r="B239" t="str">
        <x:v>EXT-MONDE-T005</x:v>
      </x:c>
      <x:c r="C239" t="str">
        <x:v>Navires de haute mer</x:v>
      </x:c>
      <x:c r="D239" t="str">
        <x:v>Cargo polyvalent</x:v>
      </x:c>
      <x:c r="E239" t="n">
        <x:v>34</x:v>
      </x:c>
      <x:c r="F239" t="str">
        <x:v>Inspection physique</x:v>
      </x:c>
      <x:c r="G239" t="str">
        <x:v>6 niveaux ; 36 pièces ; 240 segments de mur ; 5 transitions. Inspection physique ; architecture complète encore ouverte.</x:v>
      </x:c>
      <x:c r="H239" t="str">
        <x:v>L 86,6 ; l 15,2 ; hauteur inconnue ; tirant 6,55 ; hauteur émergée auteur 16,25 m ; longueur/largeur/tirant sourcés ; hauteur totale réelle inconnue</x:v>
      </x:c>
      <x:c r="I239" t="str">
        <x:v>À équilibrer</x:v>
      </x:c>
      <x:c r="J239" t="str">
        <x:v>Non</x:v>
      </x:c>
      <x:c r="K239" t="str">
        <x:v>Pièces décrites, murs, portes, niveaux et mobilier inspectables à l’échelle. Volumes réservés, raccord au seed, butin, rencontres et services de campagne restent à terminer.</x:v>
      </x:c>
    </x:row>
    <x:row r="240">
      <x:c r="A240" t="str">
        <x:v>EXT-MONDE-T005-V35</x:v>
      </x:c>
      <x:c r="B240" t="str">
        <x:v>EXT-MONDE-T005</x:v>
      </x:c>
      <x:c r="C240" t="str">
        <x:v>Navires de haute mer</x:v>
      </x:c>
      <x:c r="D240" t="str">
        <x:v>Cargo polyvalent</x:v>
      </x:c>
      <x:c r="E240" t="n">
        <x:v>35</x:v>
      </x:c>
      <x:c r="F240" t="str">
        <x:v>Inspection physique</x:v>
      </x:c>
      <x:c r="G240" t="str">
        <x:v>6 niveaux ; 36 pièces ; 240 segments de mur ; 5 transitions. Inspection physique ; architecture complète encore ouverte.</x:v>
      </x:c>
      <x:c r="H240" t="str">
        <x:v>L 86,6 ; l 15,2 ; hauteur inconnue ; tirant 6,55 ; hauteur émergée auteur 16,25 m ; longueur/largeur/tirant sourcés ; hauteur totale réelle inconnue</x:v>
      </x:c>
      <x:c r="I240" t="str">
        <x:v>À équilibrer</x:v>
      </x:c>
      <x:c r="J240" t="str">
        <x:v>Non</x:v>
      </x:c>
      <x:c r="K240" t="str">
        <x:v>Pièces décrites, murs, portes, niveaux et mobilier inspectables à l’échelle. Volumes réservés, raccord au seed, butin, rencontres et services de campagne restent à terminer.</x:v>
      </x:c>
    </x:row>
    <x:row r="241">
      <x:c r="A241" t="str">
        <x:v>EXT-MONDE-T005-V36</x:v>
      </x:c>
      <x:c r="B241" t="str">
        <x:v>EXT-MONDE-T005</x:v>
      </x:c>
      <x:c r="C241" t="str">
        <x:v>Navires de haute mer</x:v>
      </x:c>
      <x:c r="D241" t="str">
        <x:v>Cargo polyvalent</x:v>
      </x:c>
      <x:c r="E241" t="n">
        <x:v>36</x:v>
      </x:c>
      <x:c r="F241" t="str">
        <x:v>Inspection physique</x:v>
      </x:c>
      <x:c r="G241" t="str">
        <x:v>6 niveaux ; 36 pièces ; 240 segments de mur ; 5 transitions. Inspection physique ; architecture complète encore ouverte.</x:v>
      </x:c>
      <x:c r="H241" t="str">
        <x:v>L 86,6 ; l 15,2 ; hauteur inconnue ; tirant 6,55 ; hauteur émergée auteur 16,25 m ; longueur/largeur/tirant sourcés ; hauteur totale réelle inconnue</x:v>
      </x:c>
      <x:c r="I241" t="str">
        <x:v>À équilibrer</x:v>
      </x:c>
      <x:c r="J241" t="str">
        <x:v>Non</x:v>
      </x:c>
      <x:c r="K241" t="str">
        <x:v>Pièces décrites, murs, portes, niveaux et mobilier inspectables à l’échelle. Volumes réservés, raccord au seed, butin, rencontres et services de campagne restent à terminer.</x:v>
      </x:c>
    </x:row>
    <x:row r="242">
      <x:c r="A242" t="str">
        <x:v>EXT-MONDE-T005-V37</x:v>
      </x:c>
      <x:c r="B242" t="str">
        <x:v>EXT-MONDE-T005</x:v>
      </x:c>
      <x:c r="C242" t="str">
        <x:v>Navires de haute mer</x:v>
      </x:c>
      <x:c r="D242" t="str">
        <x:v>Cargo polyvalent</x:v>
      </x:c>
      <x:c r="E242" t="n">
        <x:v>37</x:v>
      </x:c>
      <x:c r="F242" t="str">
        <x:v>Inspection physique</x:v>
      </x:c>
      <x:c r="G242" t="str">
        <x:v>6 niveaux ; 36 pièces ; 240 segments de mur ; 5 transitions. Inspection physique ; architecture complète encore ouverte.</x:v>
      </x:c>
      <x:c r="H242" t="str">
        <x:v>L 86,6 ; l 15,2 ; hauteur inconnue ; tirant 6,55 ; hauteur émergée auteur 16,25 m ; longueur/largeur/tirant sourcés ; hauteur totale réelle inconnue</x:v>
      </x:c>
      <x:c r="I242" t="str">
        <x:v>À équilibrer</x:v>
      </x:c>
      <x:c r="J242" t="str">
        <x:v>Non</x:v>
      </x:c>
      <x:c r="K242" t="str">
        <x:v>Pièces décrites, murs, portes, niveaux et mobilier inspectables à l’échelle. Volumes réservés, raccord au seed, butin, rencontres et services de campagne restent à terminer.</x:v>
      </x:c>
    </x:row>
    <x:row r="243">
      <x:c r="A243" t="str">
        <x:v>EXT-MONDE-T005-V38</x:v>
      </x:c>
      <x:c r="B243" t="str">
        <x:v>EXT-MONDE-T005</x:v>
      </x:c>
      <x:c r="C243" t="str">
        <x:v>Navires de haute mer</x:v>
      </x:c>
      <x:c r="D243" t="str">
        <x:v>Cargo polyvalent</x:v>
      </x:c>
      <x:c r="E243" t="n">
        <x:v>38</x:v>
      </x:c>
      <x:c r="F243" t="str">
        <x:v>Inspection physique</x:v>
      </x:c>
      <x:c r="G243" t="str">
        <x:v>6 niveaux ; 36 pièces ; 240 segments de mur ; 5 transitions. Inspection physique ; architecture complète encore ouverte.</x:v>
      </x:c>
      <x:c r="H243" t="str">
        <x:v>L 86,6 ; l 15,2 ; hauteur inconnue ; tirant 6,55 ; hauteur émergée auteur 16,25 m ; longueur/largeur/tirant sourcés ; hauteur totale réelle inconnue</x:v>
      </x:c>
      <x:c r="I243" t="str">
        <x:v>À équilibrer</x:v>
      </x:c>
      <x:c r="J243" t="str">
        <x:v>Non</x:v>
      </x:c>
      <x:c r="K243" t="str">
        <x:v>Pièces décrites, murs, portes, niveaux et mobilier inspectables à l’échelle. Volumes réservés, raccord au seed, butin, rencontres et services de campagne restent à terminer.</x:v>
      </x:c>
    </x:row>
    <x:row r="244">
      <x:c r="A244" t="str">
        <x:v>EXT-MONDE-T005-V39</x:v>
      </x:c>
      <x:c r="B244" t="str">
        <x:v>EXT-MONDE-T005</x:v>
      </x:c>
      <x:c r="C244" t="str">
        <x:v>Navires de haute mer</x:v>
      </x:c>
      <x:c r="D244" t="str">
        <x:v>Cargo polyvalent</x:v>
      </x:c>
      <x:c r="E244" t="n">
        <x:v>39</x:v>
      </x:c>
      <x:c r="F244" t="str">
        <x:v>Inspection physique</x:v>
      </x:c>
      <x:c r="G244" t="str">
        <x:v>6 niveaux ; 36 pièces ; 240 segments de mur ; 5 transitions. Inspection physique ; architecture complète encore ouverte.</x:v>
      </x:c>
      <x:c r="H244" t="str">
        <x:v>L 86,6 ; l 15,2 ; hauteur inconnue ; tirant 6,55 ; hauteur émergée auteur 16,25 m ; longueur/largeur/tirant sourcés ; hauteur totale réelle inconnue</x:v>
      </x:c>
      <x:c r="I244" t="str">
        <x:v>À équilibrer</x:v>
      </x:c>
      <x:c r="J244" t="str">
        <x:v>Non</x:v>
      </x:c>
      <x:c r="K244" t="str">
        <x:v>Pièces décrites, murs, portes, niveaux et mobilier inspectables à l’échelle. Volumes réservés, raccord au seed, butin, rencontres et services de campagne restent à terminer.</x:v>
      </x:c>
    </x:row>
    <x:row r="245">
      <x:c r="A245" t="str">
        <x:v>EXT-MONDE-T005-V40</x:v>
      </x:c>
      <x:c r="B245" t="str">
        <x:v>EXT-MONDE-T005</x:v>
      </x:c>
      <x:c r="C245" t="str">
        <x:v>Navires de haute mer</x:v>
      </x:c>
      <x:c r="D245" t="str">
        <x:v>Cargo polyvalent</x:v>
      </x:c>
      <x:c r="E245" t="n">
        <x:v>40</x:v>
      </x:c>
      <x:c r="F245" t="str">
        <x:v>Inspection physique</x:v>
      </x:c>
      <x:c r="G245" t="str">
        <x:v>6 niveaux ; 36 pièces ; 240 segments de mur ; 5 transitions. Inspection physique ; architecture complète encore ouverte.</x:v>
      </x:c>
      <x:c r="H245" t="str">
        <x:v>L 86,6 ; l 15,2 ; hauteur inconnue ; tirant 6,55 ; hauteur émergée auteur 16,25 m ; longueur/largeur/tirant sourcés ; hauteur totale réelle inconnue</x:v>
      </x:c>
      <x:c r="I245" t="str">
        <x:v>À équilibrer</x:v>
      </x:c>
      <x:c r="J245" t="str">
        <x:v>Non</x:v>
      </x:c>
      <x:c r="K245" t="str">
        <x:v>Pièces décrites, murs, portes, niveaux et mobilier inspectables à l’échelle. Volumes réservés, raccord au seed, butin, rencontres et services de campagne restent à terminer.</x:v>
      </x:c>
    </x:row>
    <x:row r="246">
      <x:c r="A246" t="str">
        <x:v>EXT-MONDE-T005-V41</x:v>
      </x:c>
      <x:c r="B246" t="str">
        <x:v>EXT-MONDE-T005</x:v>
      </x:c>
      <x:c r="C246" t="str">
        <x:v>Navires de haute mer</x:v>
      </x:c>
      <x:c r="D246" t="str">
        <x:v>Cargo polyvalent</x:v>
      </x:c>
      <x:c r="E246" t="n">
        <x:v>41</x:v>
      </x:c>
      <x:c r="F246" t="str">
        <x:v>Inspection physique</x:v>
      </x:c>
      <x:c r="G246" t="str">
        <x:v>6 niveaux ; 48 pièces ; 312 segments de mur ; 5 transitions. Inspection physique ; architecture complète encore ouverte.</x:v>
      </x:c>
      <x:c r="H246" t="str">
        <x:v>L 86,6 ; l 15,2 ; hauteur inconnue ; tirant 6,55 ; hauteur émergée auteur 16,25 m ; longueur/largeur/tirant sourcés ; hauteur totale réelle inconnue</x:v>
      </x:c>
      <x:c r="I246" t="str">
        <x:v>À équilibrer</x:v>
      </x:c>
      <x:c r="J246" t="str">
        <x:v>Non</x:v>
      </x:c>
      <x:c r="K246" t="str">
        <x:v>Pièces décrites, murs, portes, niveaux et mobilier inspectables à l’échelle. Volumes réservés, raccord au seed, butin, rencontres et services de campagne restent à terminer.</x:v>
      </x:c>
    </x:row>
    <x:row r="247">
      <x:c r="A247" t="str">
        <x:v>EXT-MONDE-T005-V42</x:v>
      </x:c>
      <x:c r="B247" t="str">
        <x:v>EXT-MONDE-T005</x:v>
      </x:c>
      <x:c r="C247" t="str">
        <x:v>Navires de haute mer</x:v>
      </x:c>
      <x:c r="D247" t="str">
        <x:v>Cargo polyvalent</x:v>
      </x:c>
      <x:c r="E247" t="n">
        <x:v>42</x:v>
      </x:c>
      <x:c r="F247" t="str">
        <x:v>Inspection physique</x:v>
      </x:c>
      <x:c r="G247" t="str">
        <x:v>6 niveaux ; 48 pièces ; 312 segments de mur ; 5 transitions. Inspection physique ; architecture complète encore ouverte.</x:v>
      </x:c>
      <x:c r="H247" t="str">
        <x:v>L 86,6 ; l 15,2 ; hauteur inconnue ; tirant 6,55 ; hauteur émergée auteur 16,25 m ; longueur/largeur/tirant sourcés ; hauteur totale réelle inconnue</x:v>
      </x:c>
      <x:c r="I247" t="str">
        <x:v>À équilibrer</x:v>
      </x:c>
      <x:c r="J247" t="str">
        <x:v>Non</x:v>
      </x:c>
      <x:c r="K247" t="str">
        <x:v>Pièces décrites, murs, portes, niveaux et mobilier inspectables à l’échelle. Volumes réservés, raccord au seed, butin, rencontres et services de campagne restent à terminer.</x:v>
      </x:c>
    </x:row>
    <x:row r="248">
      <x:c r="A248" t="str">
        <x:v>EXT-MONDE-T005-V43</x:v>
      </x:c>
      <x:c r="B248" t="str">
        <x:v>EXT-MONDE-T005</x:v>
      </x:c>
      <x:c r="C248" t="str">
        <x:v>Navires de haute mer</x:v>
      </x:c>
      <x:c r="D248" t="str">
        <x:v>Cargo polyvalent</x:v>
      </x:c>
      <x:c r="E248" t="n">
        <x:v>43</x:v>
      </x:c>
      <x:c r="F248" t="str">
        <x:v>Inspection physique</x:v>
      </x:c>
      <x:c r="G248" t="str">
        <x:v>6 niveaux ; 48 pièces ; 312 segments de mur ; 5 transitions. Inspection physique ; architecture complète encore ouverte.</x:v>
      </x:c>
      <x:c r="H248" t="str">
        <x:v>L 86,6 ; l 15,2 ; hauteur inconnue ; tirant 6,55 ; hauteur émergée auteur 16,25 m ; longueur/largeur/tirant sourcés ; hauteur totale réelle inconnue</x:v>
      </x:c>
      <x:c r="I248" t="str">
        <x:v>À équilibrer</x:v>
      </x:c>
      <x:c r="J248" t="str">
        <x:v>Non</x:v>
      </x:c>
      <x:c r="K248" t="str">
        <x:v>Pièces décrites, murs, portes, niveaux et mobilier inspectables à l’échelle. Volumes réservés, raccord au seed, butin, rencontres et services de campagne restent à terminer.</x:v>
      </x:c>
    </x:row>
    <x:row r="249">
      <x:c r="A249" t="str">
        <x:v>EXT-MONDE-T005-V44</x:v>
      </x:c>
      <x:c r="B249" t="str">
        <x:v>EXT-MONDE-T005</x:v>
      </x:c>
      <x:c r="C249" t="str">
        <x:v>Navires de haute mer</x:v>
      </x:c>
      <x:c r="D249" t="str">
        <x:v>Cargo polyvalent</x:v>
      </x:c>
      <x:c r="E249" t="n">
        <x:v>44</x:v>
      </x:c>
      <x:c r="F249" t="str">
        <x:v>Inspection physique</x:v>
      </x:c>
      <x:c r="G249" t="str">
        <x:v>6 niveaux ; 48 pièces ; 312 segments de mur ; 5 transitions. Inspection physique ; architecture complète encore ouverte.</x:v>
      </x:c>
      <x:c r="H249" t="str">
        <x:v>L 86,6 ; l 15,2 ; hauteur inconnue ; tirant 6,55 ; hauteur émergée auteur 16,25 m ; longueur/largeur/tirant sourcés ; hauteur totale réelle inconnue</x:v>
      </x:c>
      <x:c r="I249" t="str">
        <x:v>À équilibrer</x:v>
      </x:c>
      <x:c r="J249" t="str">
        <x:v>Non</x:v>
      </x:c>
      <x:c r="K249" t="str">
        <x:v>Pièces décrites, murs, portes, niveaux et mobilier inspectables à l’échelle. Volumes réservés, raccord au seed, butin, rencontres et services de campagne restent à terminer.</x:v>
      </x:c>
    </x:row>
    <x:row r="250">
      <x:c r="A250" t="str">
        <x:v>EXT-MONDE-T005-V45</x:v>
      </x:c>
      <x:c r="B250" t="str">
        <x:v>EXT-MONDE-T005</x:v>
      </x:c>
      <x:c r="C250" t="str">
        <x:v>Navires de haute mer</x:v>
      </x:c>
      <x:c r="D250" t="str">
        <x:v>Cargo polyvalent</x:v>
      </x:c>
      <x:c r="E250" t="n">
        <x:v>45</x:v>
      </x:c>
      <x:c r="F250" t="str">
        <x:v>Inspection physique</x:v>
      </x:c>
      <x:c r="G250" t="str">
        <x:v>6 niveaux ; 48 pièces ; 312 segments de mur ; 5 transitions. Inspection physique ; architecture complète encore ouverte.</x:v>
      </x:c>
      <x:c r="H250" t="str">
        <x:v>L 86,6 ; l 15,2 ; hauteur inconnue ; tirant 6,55 ; hauteur émergée auteur 16,25 m ; longueur/largeur/tirant sourcés ; hauteur totale réelle inconnue</x:v>
      </x:c>
      <x:c r="I250" t="str">
        <x:v>À équilibrer</x:v>
      </x:c>
      <x:c r="J250" t="str">
        <x:v>Non</x:v>
      </x:c>
      <x:c r="K250" t="str">
        <x:v>Pièces décrites, murs, portes, niveaux et mobilier inspectables à l’échelle. Volumes réservés, raccord au seed, butin, rencontres et services de campagne restent à terminer.</x:v>
      </x:c>
    </x:row>
    <x:row r="251">
      <x:c r="A251" t="str">
        <x:v>EXT-MONDE-T005-V46</x:v>
      </x:c>
      <x:c r="B251" t="str">
        <x:v>EXT-MONDE-T005</x:v>
      </x:c>
      <x:c r="C251" t="str">
        <x:v>Navires de haute mer</x:v>
      </x:c>
      <x:c r="D251" t="str">
        <x:v>Cargo polyvalent</x:v>
      </x:c>
      <x:c r="E251" t="n">
        <x:v>46</x:v>
      </x:c>
      <x:c r="F251" t="str">
        <x:v>Inspection physique</x:v>
      </x:c>
      <x:c r="G251" t="str">
        <x:v>6 niveaux ; 48 pièces ; 312 segments de mur ; 5 transitions. Inspection physique ; architecture complète encore ouverte.</x:v>
      </x:c>
      <x:c r="H251" t="str">
        <x:v>L 86,6 ; l 15,2 ; hauteur inconnue ; tirant 6,55 ; hauteur émergée auteur 16,25 m ; longueur/largeur/tirant sourcés ; hauteur totale réelle inconnue</x:v>
      </x:c>
      <x:c r="I251" t="str">
        <x:v>À équilibrer</x:v>
      </x:c>
      <x:c r="J251" t="str">
        <x:v>Non</x:v>
      </x:c>
      <x:c r="K251" t="str">
        <x:v>Pièces décrites, murs, portes, niveaux et mobilier inspectables à l’échelle. Volumes réservés, raccord au seed, butin, rencontres et services de campagne restent à terminer.</x:v>
      </x:c>
    </x:row>
    <x:row r="252">
      <x:c r="A252" t="str">
        <x:v>EXT-MONDE-T005-V47</x:v>
      </x:c>
      <x:c r="B252" t="str">
        <x:v>EXT-MONDE-T005</x:v>
      </x:c>
      <x:c r="C252" t="str">
        <x:v>Navires de haute mer</x:v>
      </x:c>
      <x:c r="D252" t="str">
        <x:v>Cargo polyvalent</x:v>
      </x:c>
      <x:c r="E252" t="n">
        <x:v>47</x:v>
      </x:c>
      <x:c r="F252" t="str">
        <x:v>Inspection physique</x:v>
      </x:c>
      <x:c r="G252" t="str">
        <x:v>6 niveaux ; 48 pièces ; 312 segments de mur ; 5 transitions. Inspection physique ; architecture complète encore ouverte.</x:v>
      </x:c>
      <x:c r="H252" t="str">
        <x:v>L 86,6 ; l 15,2 ; hauteur inconnue ; tirant 6,55 ; hauteur émergée auteur 16,25 m ; longueur/largeur/tirant sourcés ; hauteur totale réelle inconnue</x:v>
      </x:c>
      <x:c r="I252" t="str">
        <x:v>À équilibrer</x:v>
      </x:c>
      <x:c r="J252" t="str">
        <x:v>Non</x:v>
      </x:c>
      <x:c r="K252" t="str">
        <x:v>Pièces décrites, murs, portes, niveaux et mobilier inspectables à l’échelle. Volumes réservés, raccord au seed, butin, rencontres et services de campagne restent à terminer.</x:v>
      </x:c>
    </x:row>
    <x:row r="253">
      <x:c r="A253" t="str">
        <x:v>EXT-MONDE-T005-V48</x:v>
      </x:c>
      <x:c r="B253" t="str">
        <x:v>EXT-MONDE-T005</x:v>
      </x:c>
      <x:c r="C253" t="str">
        <x:v>Navires de haute mer</x:v>
      </x:c>
      <x:c r="D253" t="str">
        <x:v>Cargo polyvalent</x:v>
      </x:c>
      <x:c r="E253" t="n">
        <x:v>48</x:v>
      </x:c>
      <x:c r="F253" t="str">
        <x:v>Inspection physique</x:v>
      </x:c>
      <x:c r="G253" t="str">
        <x:v>6 niveaux ; 48 pièces ; 312 segments de mur ; 5 transitions. Inspection physique ; architecture complète encore ouverte.</x:v>
      </x:c>
      <x:c r="H253" t="str">
        <x:v>L 86,6 ; l 15,2 ; hauteur inconnue ; tirant 6,55 ; hauteur émergée auteur 16,25 m ; longueur/largeur/tirant sourcés ; hauteur totale réelle inconnue</x:v>
      </x:c>
      <x:c r="I253" t="str">
        <x:v>À équilibrer</x:v>
      </x:c>
      <x:c r="J253" t="str">
        <x:v>Non</x:v>
      </x:c>
      <x:c r="K253" t="str">
        <x:v>Pièces décrites, murs, portes, niveaux et mobilier inspectables à l’échelle. Volumes réservés, raccord au seed, butin, rencontres et services de campagne restent à terminer.</x:v>
      </x:c>
    </x:row>
    <x:row r="254">
      <x:c r="A254" t="str">
        <x:v>EXT-MONDE-T005-V49</x:v>
      </x:c>
      <x:c r="B254" t="str">
        <x:v>EXT-MONDE-T005</x:v>
      </x:c>
      <x:c r="C254" t="str">
        <x:v>Navires de haute mer</x:v>
      </x:c>
      <x:c r="D254" t="str">
        <x:v>Cargo polyvalent</x:v>
      </x:c>
      <x:c r="E254" t="n">
        <x:v>49</x:v>
      </x:c>
      <x:c r="F254" t="str">
        <x:v>Inspection physique</x:v>
      </x:c>
      <x:c r="G254" t="str">
        <x:v>6 niveaux ; 48 pièces ; 312 segments de mur ; 5 transitions. Inspection physique ; architecture complète encore ouverte.</x:v>
      </x:c>
      <x:c r="H254" t="str">
        <x:v>L 86,6 ; l 15,2 ; hauteur inconnue ; tirant 6,55 ; hauteur émergée auteur 16,25 m ; longueur/largeur/tirant sourcés ; hauteur totale réelle inconnue</x:v>
      </x:c>
      <x:c r="I254" t="str">
        <x:v>À équilibrer</x:v>
      </x:c>
      <x:c r="J254" t="str">
        <x:v>Non</x:v>
      </x:c>
      <x:c r="K254" t="str">
        <x:v>Pièces décrites, murs, portes, niveaux et mobilier inspectables à l’échelle. Volumes réservés, raccord au seed, butin, rencontres et services de campagne restent à terminer.</x:v>
      </x:c>
    </x:row>
    <x:row r="255">
      <x:c r="A255" t="str">
        <x:v>EXT-MONDE-T005-V50</x:v>
      </x:c>
      <x:c r="B255" t="str">
        <x:v>EXT-MONDE-T005</x:v>
      </x:c>
      <x:c r="C255" t="str">
        <x:v>Navires de haute mer</x:v>
      </x:c>
      <x:c r="D255" t="str">
        <x:v>Cargo polyvalent</x:v>
      </x:c>
      <x:c r="E255" t="n">
        <x:v>50</x:v>
      </x:c>
      <x:c r="F255" t="str">
        <x:v>Inspection physique</x:v>
      </x:c>
      <x:c r="G255" t="str">
        <x:v>6 niveaux ; 48 pièces ; 312 segments de mur ; 5 transitions. Inspection physique ; architecture complète encore ouverte.</x:v>
      </x:c>
      <x:c r="H255" t="str">
        <x:v>L 86,6 ; l 15,2 ; hauteur inconnue ; tirant 6,55 ; hauteur émergée auteur 16,25 m ; longueur/largeur/tirant sourcés ; hauteur totale réelle inconnue</x:v>
      </x:c>
      <x:c r="I255" t="str">
        <x:v>À équilibrer</x:v>
      </x:c>
      <x:c r="J255" t="str">
        <x:v>Non</x:v>
      </x:c>
      <x:c r="K255" t="str">
        <x:v>Pièces décrites, murs, portes, niveaux et mobilier inspectables à l’échelle. Volumes réservés, raccord au seed, butin, rencontres et services de campagne restent à terminer.</x:v>
      </x:c>
    </x:row>
    <x:row r="256">
      <x:c r="A256" t="str">
        <x:v>EXT-MONDE-T006-V01</x:v>
      </x:c>
      <x:c r="B256" t="str">
        <x:v>EXT-MONDE-T006</x:v>
      </x:c>
      <x:c r="C256" t="str">
        <x:v>Navires de haute mer</x:v>
      </x:c>
      <x:c r="D256" t="str">
        <x:v>Pétrolier océanique</x:v>
      </x:c>
      <x:c r="E256" t="n">
        <x:v>1</x:v>
      </x:c>
      <x:c r="F256" t="str">
        <x:v>Inspection physique</x:v>
      </x:c>
      <x:c r="G256" t="str">
        <x:v>7 niveaux ; 28 pièces ; 196 segments de mur ; 6 transitions. Inspection physique ; architecture complète encore ouverte.</x:v>
      </x:c>
      <x:c r="H256" t="str">
        <x:v>L 183,06 ; l 32,2 ; hauteur inconnue ; tirant 13,258 ; hauteur émergée auteur 16,742 m ; longueur/largeur/tirant sourcés ; hauteur totale réelle inconnue</x:v>
      </x:c>
      <x:c r="I256" t="str">
        <x:v>À équilibrer</x:v>
      </x:c>
      <x:c r="J256" t="str">
        <x:v>Non</x:v>
      </x:c>
      <x:c r="K256" t="str">
        <x:v>Pièces décrites, murs, portes, niveaux et mobilier inspectables à l’échelle. Volumes réservés, raccord au seed, butin, rencontres et services de campagne restent à terminer.</x:v>
      </x:c>
    </x:row>
    <x:row r="257">
      <x:c r="A257" t="str">
        <x:v>EXT-MONDE-T006-V02</x:v>
      </x:c>
      <x:c r="B257" t="str">
        <x:v>EXT-MONDE-T006</x:v>
      </x:c>
      <x:c r="C257" t="str">
        <x:v>Navires de haute mer</x:v>
      </x:c>
      <x:c r="D257" t="str">
        <x:v>Pétrolier océanique</x:v>
      </x:c>
      <x:c r="E257" t="n">
        <x:v>2</x:v>
      </x:c>
      <x:c r="F257" t="str">
        <x:v>Inspection physique</x:v>
      </x:c>
      <x:c r="G257" t="str">
        <x:v>7 niveaux ; 28 pièces ; 196 segments de mur ; 6 transitions. Inspection physique ; architecture complète encore ouverte.</x:v>
      </x:c>
      <x:c r="H257" t="str">
        <x:v>L 183,06 ; l 32,2 ; hauteur inconnue ; tirant 13,258 ; hauteur émergée auteur 16,742 m ; longueur/largeur/tirant sourcés ; hauteur totale réelle inconnue</x:v>
      </x:c>
      <x:c r="I257" t="str">
        <x:v>À équilibrer</x:v>
      </x:c>
      <x:c r="J257" t="str">
        <x:v>Non</x:v>
      </x:c>
      <x:c r="K257" t="str">
        <x:v>Pièces décrites, murs, portes, niveaux et mobilier inspectables à l’échelle. Volumes réservés, raccord au seed, butin, rencontres et services de campagne restent à terminer.</x:v>
      </x:c>
    </x:row>
    <x:row r="258">
      <x:c r="A258" t="str">
        <x:v>EXT-MONDE-T006-V03</x:v>
      </x:c>
      <x:c r="B258" t="str">
        <x:v>EXT-MONDE-T006</x:v>
      </x:c>
      <x:c r="C258" t="str">
        <x:v>Navires de haute mer</x:v>
      </x:c>
      <x:c r="D258" t="str">
        <x:v>Pétrolier océanique</x:v>
      </x:c>
      <x:c r="E258" t="n">
        <x:v>3</x:v>
      </x:c>
      <x:c r="F258" t="str">
        <x:v>Inspection physique</x:v>
      </x:c>
      <x:c r="G258" t="str">
        <x:v>7 niveaux ; 28 pièces ; 196 segments de mur ; 6 transitions. Inspection physique ; architecture complète encore ouverte.</x:v>
      </x:c>
      <x:c r="H258" t="str">
        <x:v>L 183,06 ; l 32,2 ; hauteur inconnue ; tirant 13,258 ; hauteur émergée auteur 16,742 m ; longueur/largeur/tirant sourcés ; hauteur totale réelle inconnue</x:v>
      </x:c>
      <x:c r="I258" t="str">
        <x:v>À équilibrer</x:v>
      </x:c>
      <x:c r="J258" t="str">
        <x:v>Non</x:v>
      </x:c>
      <x:c r="K258" t="str">
        <x:v>Pièces décrites, murs, portes, niveaux et mobilier inspectables à l’échelle. Volumes réservés, raccord au seed, butin, rencontres et services de campagne restent à terminer.</x:v>
      </x:c>
    </x:row>
    <x:row r="259">
      <x:c r="A259" t="str">
        <x:v>EXT-MONDE-T006-V04</x:v>
      </x:c>
      <x:c r="B259" t="str">
        <x:v>EXT-MONDE-T006</x:v>
      </x:c>
      <x:c r="C259" t="str">
        <x:v>Navires de haute mer</x:v>
      </x:c>
      <x:c r="D259" t="str">
        <x:v>Pétrolier océanique</x:v>
      </x:c>
      <x:c r="E259" t="n">
        <x:v>4</x:v>
      </x:c>
      <x:c r="F259" t="str">
        <x:v>Inspection physique</x:v>
      </x:c>
      <x:c r="G259" t="str">
        <x:v>7 niveaux ; 28 pièces ; 196 segments de mur ; 6 transitions. Inspection physique ; architecture complète encore ouverte.</x:v>
      </x:c>
      <x:c r="H259" t="str">
        <x:v>L 183,06 ; l 32,2 ; hauteur inconnue ; tirant 13,258 ; hauteur émergée auteur 16,742 m ; longueur/largeur/tirant sourcés ; hauteur totale réelle inconnue</x:v>
      </x:c>
      <x:c r="I259" t="str">
        <x:v>À équilibrer</x:v>
      </x:c>
      <x:c r="J259" t="str">
        <x:v>Non</x:v>
      </x:c>
      <x:c r="K259" t="str">
        <x:v>Pièces décrites, murs, portes, niveaux et mobilier inspectables à l’échelle. Volumes réservés, raccord au seed, butin, rencontres et services de campagne restent à terminer.</x:v>
      </x:c>
    </x:row>
    <x:row r="260">
      <x:c r="A260" t="str">
        <x:v>EXT-MONDE-T006-V05</x:v>
      </x:c>
      <x:c r="B260" t="str">
        <x:v>EXT-MONDE-T006</x:v>
      </x:c>
      <x:c r="C260" t="str">
        <x:v>Navires de haute mer</x:v>
      </x:c>
      <x:c r="D260" t="str">
        <x:v>Pétrolier océanique</x:v>
      </x:c>
      <x:c r="E260" t="n">
        <x:v>5</x:v>
      </x:c>
      <x:c r="F260" t="str">
        <x:v>Inspection physique</x:v>
      </x:c>
      <x:c r="G260" t="str">
        <x:v>7 niveaux ; 28 pièces ; 196 segments de mur ; 6 transitions. Inspection physique ; architecture complète encore ouverte.</x:v>
      </x:c>
      <x:c r="H260" t="str">
        <x:v>L 183,06 ; l 32,2 ; hauteur inconnue ; tirant 13,258 ; hauteur émergée auteur 16,742 m ; longueur/largeur/tirant sourcés ; hauteur totale réelle inconnue</x:v>
      </x:c>
      <x:c r="I260" t="str">
        <x:v>À équilibrer</x:v>
      </x:c>
      <x:c r="J260" t="str">
        <x:v>Non</x:v>
      </x:c>
      <x:c r="K260" t="str">
        <x:v>Pièces décrites, murs, portes, niveaux et mobilier inspectables à l’échelle. Volumes réservés, raccord au seed, butin, rencontres et services de campagne restent à terminer.</x:v>
      </x:c>
    </x:row>
    <x:row r="261">
      <x:c r="A261" t="str">
        <x:v>EXT-MONDE-T006-V06</x:v>
      </x:c>
      <x:c r="B261" t="str">
        <x:v>EXT-MONDE-T006</x:v>
      </x:c>
      <x:c r="C261" t="str">
        <x:v>Navires de haute mer</x:v>
      </x:c>
      <x:c r="D261" t="str">
        <x:v>Pétrolier océanique</x:v>
      </x:c>
      <x:c r="E261" t="n">
        <x:v>6</x:v>
      </x:c>
      <x:c r="F261" t="str">
        <x:v>Inspection physique</x:v>
      </x:c>
      <x:c r="G261" t="str">
        <x:v>7 niveaux ; 28 pièces ; 196 segments de mur ; 6 transitions. Inspection physique ; architecture complète encore ouverte.</x:v>
      </x:c>
      <x:c r="H261" t="str">
        <x:v>L 183,06 ; l 32,2 ; hauteur inconnue ; tirant 13,258 ; hauteur émergée auteur 16,742 m ; longueur/largeur/tirant sourcés ; hauteur totale réelle inconnue</x:v>
      </x:c>
      <x:c r="I261" t="str">
        <x:v>À équilibrer</x:v>
      </x:c>
      <x:c r="J261" t="str">
        <x:v>Non</x:v>
      </x:c>
      <x:c r="K261" t="str">
        <x:v>Pièces décrites, murs, portes, niveaux et mobilier inspectables à l’échelle. Volumes réservés, raccord au seed, butin, rencontres et services de campagne restent à terminer.</x:v>
      </x:c>
    </x:row>
    <x:row r="262">
      <x:c r="A262" t="str">
        <x:v>EXT-MONDE-T006-V07</x:v>
      </x:c>
      <x:c r="B262" t="str">
        <x:v>EXT-MONDE-T006</x:v>
      </x:c>
      <x:c r="C262" t="str">
        <x:v>Navires de haute mer</x:v>
      </x:c>
      <x:c r="D262" t="str">
        <x:v>Pétrolier océanique</x:v>
      </x:c>
      <x:c r="E262" t="n">
        <x:v>7</x:v>
      </x:c>
      <x:c r="F262" t="str">
        <x:v>Inspection physique</x:v>
      </x:c>
      <x:c r="G262" t="str">
        <x:v>7 niveaux ; 28 pièces ; 196 segments de mur ; 6 transitions. Inspection physique ; architecture complète encore ouverte.</x:v>
      </x:c>
      <x:c r="H262" t="str">
        <x:v>L 183,06 ; l 32,2 ; hauteur inconnue ; tirant 13,258 ; hauteur émergée auteur 16,742 m ; longueur/largeur/tirant sourcés ; hauteur totale réelle inconnue</x:v>
      </x:c>
      <x:c r="I262" t="str">
        <x:v>À équilibrer</x:v>
      </x:c>
      <x:c r="J262" t="str">
        <x:v>Non</x:v>
      </x:c>
      <x:c r="K262" t="str">
        <x:v>Pièces décrites, murs, portes, niveaux et mobilier inspectables à l’échelle. Volumes réservés, raccord au seed, butin, rencontres et services de campagne restent à terminer.</x:v>
      </x:c>
    </x:row>
    <x:row r="263">
      <x:c r="A263" t="str">
        <x:v>EXT-MONDE-T006-V08</x:v>
      </x:c>
      <x:c r="B263" t="str">
        <x:v>EXT-MONDE-T006</x:v>
      </x:c>
      <x:c r="C263" t="str">
        <x:v>Navires de haute mer</x:v>
      </x:c>
      <x:c r="D263" t="str">
        <x:v>Pétrolier océanique</x:v>
      </x:c>
      <x:c r="E263" t="n">
        <x:v>8</x:v>
      </x:c>
      <x:c r="F263" t="str">
        <x:v>Inspection physique</x:v>
      </x:c>
      <x:c r="G263" t="str">
        <x:v>7 niveaux ; 28 pièces ; 196 segments de mur ; 6 transitions. Inspection physique ; architecture complète encore ouverte.</x:v>
      </x:c>
      <x:c r="H263" t="str">
        <x:v>L 183,06 ; l 32,2 ; hauteur inconnue ; tirant 13,258 ; hauteur émergée auteur 16,742 m ; longueur/largeur/tirant sourcés ; hauteur totale réelle inconnue</x:v>
      </x:c>
      <x:c r="I263" t="str">
        <x:v>À équilibrer</x:v>
      </x:c>
      <x:c r="J263" t="str">
        <x:v>Non</x:v>
      </x:c>
      <x:c r="K263" t="str">
        <x:v>Pièces décrites, murs, portes, niveaux et mobilier inspectables à l’échelle. Volumes réservés, raccord au seed, butin, rencontres et services de campagne restent à terminer.</x:v>
      </x:c>
    </x:row>
    <x:row r="264">
      <x:c r="A264" t="str">
        <x:v>EXT-MONDE-T006-V09</x:v>
      </x:c>
      <x:c r="B264" t="str">
        <x:v>EXT-MONDE-T006</x:v>
      </x:c>
      <x:c r="C264" t="str">
        <x:v>Navires de haute mer</x:v>
      </x:c>
      <x:c r="D264" t="str">
        <x:v>Pétrolier océanique</x:v>
      </x:c>
      <x:c r="E264" t="n">
        <x:v>9</x:v>
      </x:c>
      <x:c r="F264" t="str">
        <x:v>Inspection physique</x:v>
      </x:c>
      <x:c r="G264" t="str">
        <x:v>7 niveaux ; 28 pièces ; 196 segments de mur ; 6 transitions. Inspection physique ; architecture complète encore ouverte.</x:v>
      </x:c>
      <x:c r="H264" t="str">
        <x:v>L 183,06 ; l 32,2 ; hauteur inconnue ; tirant 13,258 ; hauteur émergée auteur 16,742 m ; longueur/largeur/tirant sourcés ; hauteur totale réelle inconnue</x:v>
      </x:c>
      <x:c r="I264" t="str">
        <x:v>À équilibrer</x:v>
      </x:c>
      <x:c r="J264" t="str">
        <x:v>Non</x:v>
      </x:c>
      <x:c r="K264" t="str">
        <x:v>Pièces décrites, murs, portes, niveaux et mobilier inspectables à l’échelle. Volumes réservés, raccord au seed, butin, rencontres et services de campagne restent à terminer.</x:v>
      </x:c>
    </x:row>
    <x:row r="265">
      <x:c r="A265" t="str">
        <x:v>EXT-MONDE-T006-V10</x:v>
      </x:c>
      <x:c r="B265" t="str">
        <x:v>EXT-MONDE-T006</x:v>
      </x:c>
      <x:c r="C265" t="str">
        <x:v>Navires de haute mer</x:v>
      </x:c>
      <x:c r="D265" t="str">
        <x:v>Pétrolier océanique</x:v>
      </x:c>
      <x:c r="E265" t="n">
        <x:v>10</x:v>
      </x:c>
      <x:c r="F265" t="str">
        <x:v>Inspection physique</x:v>
      </x:c>
      <x:c r="G265" t="str">
        <x:v>7 niveaux ; 28 pièces ; 196 segments de mur ; 6 transitions. Inspection physique ; architecture complète encore ouverte.</x:v>
      </x:c>
      <x:c r="H265" t="str">
        <x:v>L 183,06 ; l 32,2 ; hauteur inconnue ; tirant 13,258 ; hauteur émergée auteur 16,742 m ; longueur/largeur/tirant sourcés ; hauteur totale réelle inconnue</x:v>
      </x:c>
      <x:c r="I265" t="str">
        <x:v>À équilibrer</x:v>
      </x:c>
      <x:c r="J265" t="str">
        <x:v>Non</x:v>
      </x:c>
      <x:c r="K265" t="str">
        <x:v>Pièces décrites, murs, portes, niveaux et mobilier inspectables à l’échelle. Volumes réservés, raccord au seed, butin, rencontres et services de campagne restent à terminer.</x:v>
      </x:c>
    </x:row>
    <x:row r="266">
      <x:c r="A266" t="str">
        <x:v>EXT-MONDE-T006-V11</x:v>
      </x:c>
      <x:c r="B266" t="str">
        <x:v>EXT-MONDE-T006</x:v>
      </x:c>
      <x:c r="C266" t="str">
        <x:v>Navires de haute mer</x:v>
      </x:c>
      <x:c r="D266" t="str">
        <x:v>Pétrolier océanique</x:v>
      </x:c>
      <x:c r="E266" t="n">
        <x:v>11</x:v>
      </x:c>
      <x:c r="F266" t="str">
        <x:v>Inspection physique</x:v>
      </x:c>
      <x:c r="G266" t="str">
        <x:v>7 niveaux ; 42 pièces ; 280 segments de mur ; 6 transitions. Inspection physique ; architecture complète encore ouverte.</x:v>
      </x:c>
      <x:c r="H266" t="str">
        <x:v>L 183,06 ; l 32,2 ; hauteur inconnue ; tirant 13,258 ; hauteur émergée auteur 16,742 m ; longueur/largeur/tirant sourcés ; hauteur totale réelle inconnue</x:v>
      </x:c>
      <x:c r="I266" t="str">
        <x:v>À équilibrer</x:v>
      </x:c>
      <x:c r="J266" t="str">
        <x:v>Non</x:v>
      </x:c>
      <x:c r="K266" t="str">
        <x:v>Pièces décrites, murs, portes, niveaux et mobilier inspectables à l’échelle. Volumes réservés, raccord au seed, butin, rencontres et services de campagne restent à terminer.</x:v>
      </x:c>
    </x:row>
    <x:row r="267">
      <x:c r="A267" t="str">
        <x:v>EXT-MONDE-T006-V12</x:v>
      </x:c>
      <x:c r="B267" t="str">
        <x:v>EXT-MONDE-T006</x:v>
      </x:c>
      <x:c r="C267" t="str">
        <x:v>Navires de haute mer</x:v>
      </x:c>
      <x:c r="D267" t="str">
        <x:v>Pétrolier océanique</x:v>
      </x:c>
      <x:c r="E267" t="n">
        <x:v>12</x:v>
      </x:c>
      <x:c r="F267" t="str">
        <x:v>Inspection physique</x:v>
      </x:c>
      <x:c r="G267" t="str">
        <x:v>7 niveaux ; 42 pièces ; 280 segments de mur ; 6 transitions. Inspection physique ; architecture complète encore ouverte.</x:v>
      </x:c>
      <x:c r="H267" t="str">
        <x:v>L 183,06 ; l 32,2 ; hauteur inconnue ; tirant 13,258 ; hauteur émergée auteur 16,742 m ; longueur/largeur/tirant sourcés ; hauteur totale réelle inconnue</x:v>
      </x:c>
      <x:c r="I267" t="str">
        <x:v>À équilibrer</x:v>
      </x:c>
      <x:c r="J267" t="str">
        <x:v>Non</x:v>
      </x:c>
      <x:c r="K267" t="str">
        <x:v>Pièces décrites, murs, portes, niveaux et mobilier inspectables à l’échelle. Volumes réservés, raccord au seed, butin, rencontres et services de campagne restent à terminer.</x:v>
      </x:c>
    </x:row>
    <x:row r="268">
      <x:c r="A268" t="str">
        <x:v>EXT-MONDE-T006-V13</x:v>
      </x:c>
      <x:c r="B268" t="str">
        <x:v>EXT-MONDE-T006</x:v>
      </x:c>
      <x:c r="C268" t="str">
        <x:v>Navires de haute mer</x:v>
      </x:c>
      <x:c r="D268" t="str">
        <x:v>Pétrolier océanique</x:v>
      </x:c>
      <x:c r="E268" t="n">
        <x:v>13</x:v>
      </x:c>
      <x:c r="F268" t="str">
        <x:v>Inspection physique</x:v>
      </x:c>
      <x:c r="G268" t="str">
        <x:v>7 niveaux ; 42 pièces ; 280 segments de mur ; 6 transitions. Inspection physique ; architecture complète encore ouverte.</x:v>
      </x:c>
      <x:c r="H268" t="str">
        <x:v>L 183,06 ; l 32,2 ; hauteur inconnue ; tirant 13,258 ; hauteur émergée auteur 16,742 m ; longueur/largeur/tirant sourcés ; hauteur totale réelle inconnue</x:v>
      </x:c>
      <x:c r="I268" t="str">
        <x:v>À équilibrer</x:v>
      </x:c>
      <x:c r="J268" t="str">
        <x:v>Non</x:v>
      </x:c>
      <x:c r="K268" t="str">
        <x:v>Pièces décrites, murs, portes, niveaux et mobilier inspectables à l’échelle. Volumes réservés, raccord au seed, butin, rencontres et services de campagne restent à terminer.</x:v>
      </x:c>
    </x:row>
    <x:row r="269">
      <x:c r="A269" t="str">
        <x:v>EXT-MONDE-T006-V14</x:v>
      </x:c>
      <x:c r="B269" t="str">
        <x:v>EXT-MONDE-T006</x:v>
      </x:c>
      <x:c r="C269" t="str">
        <x:v>Navires de haute mer</x:v>
      </x:c>
      <x:c r="D269" t="str">
        <x:v>Pétrolier océanique</x:v>
      </x:c>
      <x:c r="E269" t="n">
        <x:v>14</x:v>
      </x:c>
      <x:c r="F269" t="str">
        <x:v>Inspection physique</x:v>
      </x:c>
      <x:c r="G269" t="str">
        <x:v>7 niveaux ; 42 pièces ; 280 segments de mur ; 6 transitions. Inspection physique ; architecture complète encore ouverte.</x:v>
      </x:c>
      <x:c r="H269" t="str">
        <x:v>L 183,06 ; l 32,2 ; hauteur inconnue ; tirant 13,258 ; hauteur émergée auteur 16,742 m ; longueur/largeur/tirant sourcés ; hauteur totale réelle inconnue</x:v>
      </x:c>
      <x:c r="I269" t="str">
        <x:v>À équilibrer</x:v>
      </x:c>
      <x:c r="J269" t="str">
        <x:v>Non</x:v>
      </x:c>
      <x:c r="K269" t="str">
        <x:v>Pièces décrites, murs, portes, niveaux et mobilier inspectables à l’échelle. Volumes réservés, raccord au seed, butin, rencontres et services de campagne restent à terminer.</x:v>
      </x:c>
    </x:row>
    <x:row r="270">
      <x:c r="A270" t="str">
        <x:v>EXT-MONDE-T006-V15</x:v>
      </x:c>
      <x:c r="B270" t="str">
        <x:v>EXT-MONDE-T006</x:v>
      </x:c>
      <x:c r="C270" t="str">
        <x:v>Navires de haute mer</x:v>
      </x:c>
      <x:c r="D270" t="str">
        <x:v>Pétrolier océanique</x:v>
      </x:c>
      <x:c r="E270" t="n">
        <x:v>15</x:v>
      </x:c>
      <x:c r="F270" t="str">
        <x:v>Inspection physique</x:v>
      </x:c>
      <x:c r="G270" t="str">
        <x:v>7 niveaux ; 42 pièces ; 280 segments de mur ; 6 transitions. Inspection physique ; architecture complète encore ouverte.</x:v>
      </x:c>
      <x:c r="H270" t="str">
        <x:v>L 183,06 ; l 32,2 ; hauteur inconnue ; tirant 13,258 ; hauteur émergée auteur 16,742 m ; longueur/largeur/tirant sourcés ; hauteur totale réelle inconnue</x:v>
      </x:c>
      <x:c r="I270" t="str">
        <x:v>À équilibrer</x:v>
      </x:c>
      <x:c r="J270" t="str">
        <x:v>Non</x:v>
      </x:c>
      <x:c r="K270" t="str">
        <x:v>Pièces décrites, murs, portes, niveaux et mobilier inspectables à l’échelle. Volumes réservés, raccord au seed, butin, rencontres et services de campagne restent à terminer.</x:v>
      </x:c>
    </x:row>
    <x:row r="271">
      <x:c r="A271" t="str">
        <x:v>EXT-MONDE-T006-V16</x:v>
      </x:c>
      <x:c r="B271" t="str">
        <x:v>EXT-MONDE-T006</x:v>
      </x:c>
      <x:c r="C271" t="str">
        <x:v>Navires de haute mer</x:v>
      </x:c>
      <x:c r="D271" t="str">
        <x:v>Pétrolier océanique</x:v>
      </x:c>
      <x:c r="E271" t="n">
        <x:v>16</x:v>
      </x:c>
      <x:c r="F271" t="str">
        <x:v>Inspection physique</x:v>
      </x:c>
      <x:c r="G271" t="str">
        <x:v>7 niveaux ; 42 pièces ; 280 segments de mur ; 6 transitions. Inspection physique ; architecture complète encore ouverte.</x:v>
      </x:c>
      <x:c r="H271" t="str">
        <x:v>L 183,06 ; l 32,2 ; hauteur inconnue ; tirant 13,258 ; hauteur émergée auteur 16,742 m ; longueur/largeur/tirant sourcés ; hauteur totale réelle inconnue</x:v>
      </x:c>
      <x:c r="I271" t="str">
        <x:v>À équilibrer</x:v>
      </x:c>
      <x:c r="J271" t="str">
        <x:v>Non</x:v>
      </x:c>
      <x:c r="K271" t="str">
        <x:v>Pièces décrites, murs, portes, niveaux et mobilier inspectables à l’échelle. Volumes réservés, raccord au seed, butin, rencontres et services de campagne restent à terminer.</x:v>
      </x:c>
    </x:row>
    <x:row r="272">
      <x:c r="A272" t="str">
        <x:v>EXT-MONDE-T006-V17</x:v>
      </x:c>
      <x:c r="B272" t="str">
        <x:v>EXT-MONDE-T006</x:v>
      </x:c>
      <x:c r="C272" t="str">
        <x:v>Navires de haute mer</x:v>
      </x:c>
      <x:c r="D272" t="str">
        <x:v>Pétrolier océanique</x:v>
      </x:c>
      <x:c r="E272" t="n">
        <x:v>17</x:v>
      </x:c>
      <x:c r="F272" t="str">
        <x:v>Inspection physique</x:v>
      </x:c>
      <x:c r="G272" t="str">
        <x:v>7 niveaux ; 42 pièces ; 280 segments de mur ; 6 transitions. Inspection physique ; architecture complète encore ouverte.</x:v>
      </x:c>
      <x:c r="H272" t="str">
        <x:v>L 183,06 ; l 32,2 ; hauteur inconnue ; tirant 13,258 ; hauteur émergée auteur 16,742 m ; longueur/largeur/tirant sourcés ; hauteur totale réelle inconnue</x:v>
      </x:c>
      <x:c r="I272" t="str">
        <x:v>À équilibrer</x:v>
      </x:c>
      <x:c r="J272" t="str">
        <x:v>Non</x:v>
      </x:c>
      <x:c r="K272" t="str">
        <x:v>Pièces décrites, murs, portes, niveaux et mobilier inspectables à l’échelle. Volumes réservés, raccord au seed, butin, rencontres et services de campagne restent à terminer.</x:v>
      </x:c>
    </x:row>
    <x:row r="273">
      <x:c r="A273" t="str">
        <x:v>EXT-MONDE-T006-V18</x:v>
      </x:c>
      <x:c r="B273" t="str">
        <x:v>EXT-MONDE-T006</x:v>
      </x:c>
      <x:c r="C273" t="str">
        <x:v>Navires de haute mer</x:v>
      </x:c>
      <x:c r="D273" t="str">
        <x:v>Pétrolier océanique</x:v>
      </x:c>
      <x:c r="E273" t="n">
        <x:v>18</x:v>
      </x:c>
      <x:c r="F273" t="str">
        <x:v>Inspection physique</x:v>
      </x:c>
      <x:c r="G273" t="str">
        <x:v>7 niveaux ; 42 pièces ; 280 segments de mur ; 6 transitions. Inspection physique ; architecture complète encore ouverte.</x:v>
      </x:c>
      <x:c r="H273" t="str">
        <x:v>L 183,06 ; l 32,2 ; hauteur inconnue ; tirant 13,258 ; hauteur émergée auteur 16,742 m ; longueur/largeur/tirant sourcés ; hauteur totale réelle inconnue</x:v>
      </x:c>
      <x:c r="I273" t="str">
        <x:v>À équilibrer</x:v>
      </x:c>
      <x:c r="J273" t="str">
        <x:v>Non</x:v>
      </x:c>
      <x:c r="K273" t="str">
        <x:v>Pièces décrites, murs, portes, niveaux et mobilier inspectables à l’échelle. Volumes réservés, raccord au seed, butin, rencontres et services de campagne restent à terminer.</x:v>
      </x:c>
    </x:row>
    <x:row r="274">
      <x:c r="A274" t="str">
        <x:v>EXT-MONDE-T006-V19</x:v>
      </x:c>
      <x:c r="B274" t="str">
        <x:v>EXT-MONDE-T006</x:v>
      </x:c>
      <x:c r="C274" t="str">
        <x:v>Navires de haute mer</x:v>
      </x:c>
      <x:c r="D274" t="str">
        <x:v>Pétrolier océanique</x:v>
      </x:c>
      <x:c r="E274" t="n">
        <x:v>19</x:v>
      </x:c>
      <x:c r="F274" t="str">
        <x:v>Inspection physique</x:v>
      </x:c>
      <x:c r="G274" t="str">
        <x:v>7 niveaux ; 42 pièces ; 280 segments de mur ; 6 transitions. Inspection physique ; architecture complète encore ouverte.</x:v>
      </x:c>
      <x:c r="H274" t="str">
        <x:v>L 183,06 ; l 32,2 ; hauteur inconnue ; tirant 13,258 ; hauteur émergée auteur 16,742 m ; longueur/largeur/tirant sourcés ; hauteur totale réelle inconnue</x:v>
      </x:c>
      <x:c r="I274" t="str">
        <x:v>À équilibrer</x:v>
      </x:c>
      <x:c r="J274" t="str">
        <x:v>Non</x:v>
      </x:c>
      <x:c r="K274" t="str">
        <x:v>Pièces décrites, murs, portes, niveaux et mobilier inspectables à l’échelle. Volumes réservés, raccord au seed, butin, rencontres et services de campagne restent à terminer.</x:v>
      </x:c>
    </x:row>
    <x:row r="275">
      <x:c r="A275" t="str">
        <x:v>EXT-MONDE-T006-V20</x:v>
      </x:c>
      <x:c r="B275" t="str">
        <x:v>EXT-MONDE-T006</x:v>
      </x:c>
      <x:c r="C275" t="str">
        <x:v>Navires de haute mer</x:v>
      </x:c>
      <x:c r="D275" t="str">
        <x:v>Pétrolier océanique</x:v>
      </x:c>
      <x:c r="E275" t="n">
        <x:v>20</x:v>
      </x:c>
      <x:c r="F275" t="str">
        <x:v>Inspection physique</x:v>
      </x:c>
      <x:c r="G275" t="str">
        <x:v>7 niveaux ; 42 pièces ; 280 segments de mur ; 6 transitions. Inspection physique ; architecture complète encore ouverte.</x:v>
      </x:c>
      <x:c r="H275" t="str">
        <x:v>L 183,06 ; l 32,2 ; hauteur inconnue ; tirant 13,258 ; hauteur émergée auteur 16,742 m ; longueur/largeur/tirant sourcés ; hauteur totale réelle inconnue</x:v>
      </x:c>
      <x:c r="I275" t="str">
        <x:v>À équilibrer</x:v>
      </x:c>
      <x:c r="J275" t="str">
        <x:v>Non</x:v>
      </x:c>
      <x:c r="K275" t="str">
        <x:v>Pièces décrites, murs, portes, niveaux et mobilier inspectables à l’échelle. Volumes réservés, raccord au seed, butin, rencontres et services de campagne restent à terminer.</x:v>
      </x:c>
    </x:row>
    <x:row r="276">
      <x:c r="A276" t="str">
        <x:v>EXT-MONDE-T006-V21</x:v>
      </x:c>
      <x:c r="B276" t="str">
        <x:v>EXT-MONDE-T006</x:v>
      </x:c>
      <x:c r="C276" t="str">
        <x:v>Navires de haute mer</x:v>
      </x:c>
      <x:c r="D276" t="str">
        <x:v>Pétrolier océanique</x:v>
      </x:c>
      <x:c r="E276" t="n">
        <x:v>21</x:v>
      </x:c>
      <x:c r="F276" t="str">
        <x:v>Inspection physique</x:v>
      </x:c>
      <x:c r="G276" t="str">
        <x:v>7 niveaux ; 56 pièces ; 364 segments de mur ; 6 transitions. Inspection physique ; architecture complète encore ouverte.</x:v>
      </x:c>
      <x:c r="H276" t="str">
        <x:v>L 183,06 ; l 32,2 ; hauteur inconnue ; tirant 13,258 ; hauteur émergée auteur 16,742 m ; longueur/largeur/tirant sourcés ; hauteur totale réelle inconnue</x:v>
      </x:c>
      <x:c r="I276" t="str">
        <x:v>À équilibrer</x:v>
      </x:c>
      <x:c r="J276" t="str">
        <x:v>Non</x:v>
      </x:c>
      <x:c r="K276" t="str">
        <x:v>Pièces décrites, murs, portes, niveaux et mobilier inspectables à l’échelle. Volumes réservés, raccord au seed, butin, rencontres et services de campagne restent à terminer.</x:v>
      </x:c>
    </x:row>
    <x:row r="277">
      <x:c r="A277" t="str">
        <x:v>EXT-MONDE-T006-V22</x:v>
      </x:c>
      <x:c r="B277" t="str">
        <x:v>EXT-MONDE-T006</x:v>
      </x:c>
      <x:c r="C277" t="str">
        <x:v>Navires de haute mer</x:v>
      </x:c>
      <x:c r="D277" t="str">
        <x:v>Pétrolier océanique</x:v>
      </x:c>
      <x:c r="E277" t="n">
        <x:v>22</x:v>
      </x:c>
      <x:c r="F277" t="str">
        <x:v>Inspection physique</x:v>
      </x:c>
      <x:c r="G277" t="str">
        <x:v>7 niveaux ; 56 pièces ; 364 segments de mur ; 6 transitions. Inspection physique ; architecture complète encore ouverte.</x:v>
      </x:c>
      <x:c r="H277" t="str">
        <x:v>L 183,06 ; l 32,2 ; hauteur inconnue ; tirant 13,258 ; hauteur émergée auteur 16,742 m ; longueur/largeur/tirant sourcés ; hauteur totale réelle inconnue</x:v>
      </x:c>
      <x:c r="I277" t="str">
        <x:v>À équilibrer</x:v>
      </x:c>
      <x:c r="J277" t="str">
        <x:v>Non</x:v>
      </x:c>
      <x:c r="K277" t="str">
        <x:v>Pièces décrites, murs, portes, niveaux et mobilier inspectables à l’échelle. Volumes réservés, raccord au seed, butin, rencontres et services de campagne restent à terminer.</x:v>
      </x:c>
    </x:row>
    <x:row r="278">
      <x:c r="A278" t="str">
        <x:v>EXT-MONDE-T006-V23</x:v>
      </x:c>
      <x:c r="B278" t="str">
        <x:v>EXT-MONDE-T006</x:v>
      </x:c>
      <x:c r="C278" t="str">
        <x:v>Navires de haute mer</x:v>
      </x:c>
      <x:c r="D278" t="str">
        <x:v>Pétrolier océanique</x:v>
      </x:c>
      <x:c r="E278" t="n">
        <x:v>23</x:v>
      </x:c>
      <x:c r="F278" t="str">
        <x:v>Inspection physique</x:v>
      </x:c>
      <x:c r="G278" t="str">
        <x:v>7 niveaux ; 56 pièces ; 364 segments de mur ; 6 transitions. Inspection physique ; architecture complète encore ouverte.</x:v>
      </x:c>
      <x:c r="H278" t="str">
        <x:v>L 183,06 ; l 32,2 ; hauteur inconnue ; tirant 13,258 ; hauteur émergée auteur 16,742 m ; longueur/largeur/tirant sourcés ; hauteur totale réelle inconnue</x:v>
      </x:c>
      <x:c r="I278" t="str">
        <x:v>À équilibrer</x:v>
      </x:c>
      <x:c r="J278" t="str">
        <x:v>Non</x:v>
      </x:c>
      <x:c r="K278" t="str">
        <x:v>Pièces décrites, murs, portes, niveaux et mobilier inspectables à l’échelle. Volumes réservés, raccord au seed, butin, rencontres et services de campagne restent à terminer.</x:v>
      </x:c>
    </x:row>
    <x:row r="279">
      <x:c r="A279" t="str">
        <x:v>EXT-MONDE-T006-V24</x:v>
      </x:c>
      <x:c r="B279" t="str">
        <x:v>EXT-MONDE-T006</x:v>
      </x:c>
      <x:c r="C279" t="str">
        <x:v>Navires de haute mer</x:v>
      </x:c>
      <x:c r="D279" t="str">
        <x:v>Pétrolier océanique</x:v>
      </x:c>
      <x:c r="E279" t="n">
        <x:v>24</x:v>
      </x:c>
      <x:c r="F279" t="str">
        <x:v>Inspection physique</x:v>
      </x:c>
      <x:c r="G279" t="str">
        <x:v>7 niveaux ; 56 pièces ; 364 segments de mur ; 6 transitions. Inspection physique ; architecture complète encore ouverte.</x:v>
      </x:c>
      <x:c r="H279" t="str">
        <x:v>L 183,06 ; l 32,2 ; hauteur inconnue ; tirant 13,258 ; hauteur émergée auteur 16,742 m ; longueur/largeur/tirant sourcés ; hauteur totale réelle inconnue</x:v>
      </x:c>
      <x:c r="I279" t="str">
        <x:v>À équilibrer</x:v>
      </x:c>
      <x:c r="J279" t="str">
        <x:v>Non</x:v>
      </x:c>
      <x:c r="K279" t="str">
        <x:v>Pièces décrites, murs, portes, niveaux et mobilier inspectables à l’échelle. Volumes réservés, raccord au seed, butin, rencontres et services de campagne restent à terminer.</x:v>
      </x:c>
    </x:row>
    <x:row r="280">
      <x:c r="A280" t="str">
        <x:v>EXT-MONDE-T006-V25</x:v>
      </x:c>
      <x:c r="B280" t="str">
        <x:v>EXT-MONDE-T006</x:v>
      </x:c>
      <x:c r="C280" t="str">
        <x:v>Navires de haute mer</x:v>
      </x:c>
      <x:c r="D280" t="str">
        <x:v>Pétrolier océanique</x:v>
      </x:c>
      <x:c r="E280" t="n">
        <x:v>25</x:v>
      </x:c>
      <x:c r="F280" t="str">
        <x:v>Inspection physique</x:v>
      </x:c>
      <x:c r="G280" t="str">
        <x:v>7 niveaux ; 56 pièces ; 364 segments de mur ; 6 transitions. Inspection physique ; architecture complète encore ouverte.</x:v>
      </x:c>
      <x:c r="H280" t="str">
        <x:v>L 183,06 ; l 32,2 ; hauteur inconnue ; tirant 13,258 ; hauteur émergée auteur 16,742 m ; longueur/largeur/tirant sourcés ; hauteur totale réelle inconnue</x:v>
      </x:c>
      <x:c r="I280" t="str">
        <x:v>À équilibrer</x:v>
      </x:c>
      <x:c r="J280" t="str">
        <x:v>Non</x:v>
      </x:c>
      <x:c r="K280" t="str">
        <x:v>Pièces décrites, murs, portes, niveaux et mobilier inspectables à l’échelle. Volumes réservés, raccord au seed, butin, rencontres et services de campagne restent à terminer.</x:v>
      </x:c>
    </x:row>
    <x:row r="281">
      <x:c r="A281" t="str">
        <x:v>EXT-MONDE-T006-V26</x:v>
      </x:c>
      <x:c r="B281" t="str">
        <x:v>EXT-MONDE-T006</x:v>
      </x:c>
      <x:c r="C281" t="str">
        <x:v>Navires de haute mer</x:v>
      </x:c>
      <x:c r="D281" t="str">
        <x:v>Pétrolier océanique</x:v>
      </x:c>
      <x:c r="E281" t="n">
        <x:v>26</x:v>
      </x:c>
      <x:c r="F281" t="str">
        <x:v>Inspection physique</x:v>
      </x:c>
      <x:c r="G281" t="str">
        <x:v>7 niveaux ; 56 pièces ; 364 segments de mur ; 6 transitions. Inspection physique ; architecture complète encore ouverte.</x:v>
      </x:c>
      <x:c r="H281" t="str">
        <x:v>L 183,06 ; l 32,2 ; hauteur inconnue ; tirant 13,258 ; hauteur émergée auteur 16,742 m ; longueur/largeur/tirant sourcés ; hauteur totale réelle inconnue</x:v>
      </x:c>
      <x:c r="I281" t="str">
        <x:v>À équilibrer</x:v>
      </x:c>
      <x:c r="J281" t="str">
        <x:v>Non</x:v>
      </x:c>
      <x:c r="K281" t="str">
        <x:v>Pièces décrites, murs, portes, niveaux et mobilier inspectables à l’échelle. Volumes réservés, raccord au seed, butin, rencontres et services de campagne restent à terminer.</x:v>
      </x:c>
    </x:row>
    <x:row r="282">
      <x:c r="A282" t="str">
        <x:v>EXT-MONDE-T006-V27</x:v>
      </x:c>
      <x:c r="B282" t="str">
        <x:v>EXT-MONDE-T006</x:v>
      </x:c>
      <x:c r="C282" t="str">
        <x:v>Navires de haute mer</x:v>
      </x:c>
      <x:c r="D282" t="str">
        <x:v>Pétrolier océanique</x:v>
      </x:c>
      <x:c r="E282" t="n">
        <x:v>27</x:v>
      </x:c>
      <x:c r="F282" t="str">
        <x:v>Inspection physique</x:v>
      </x:c>
      <x:c r="G282" t="str">
        <x:v>7 niveaux ; 56 pièces ; 364 segments de mur ; 6 transitions. Inspection physique ; architecture complète encore ouverte.</x:v>
      </x:c>
      <x:c r="H282" t="str">
        <x:v>L 183,06 ; l 32,2 ; hauteur inconnue ; tirant 13,258 ; hauteur émergée auteur 16,742 m ; longueur/largeur/tirant sourcés ; hauteur totale réelle inconnue</x:v>
      </x:c>
      <x:c r="I282" t="str">
        <x:v>À équilibrer</x:v>
      </x:c>
      <x:c r="J282" t="str">
        <x:v>Non</x:v>
      </x:c>
      <x:c r="K282" t="str">
        <x:v>Pièces décrites, murs, portes, niveaux et mobilier inspectables à l’échelle. Volumes réservés, raccord au seed, butin, rencontres et services de campagne restent à terminer.</x:v>
      </x:c>
    </x:row>
    <x:row r="283">
      <x:c r="A283" t="str">
        <x:v>EXT-MONDE-T006-V28</x:v>
      </x:c>
      <x:c r="B283" t="str">
        <x:v>EXT-MONDE-T006</x:v>
      </x:c>
      <x:c r="C283" t="str">
        <x:v>Navires de haute mer</x:v>
      </x:c>
      <x:c r="D283" t="str">
        <x:v>Pétrolier océanique</x:v>
      </x:c>
      <x:c r="E283" t="n">
        <x:v>28</x:v>
      </x:c>
      <x:c r="F283" t="str">
        <x:v>Inspection physique</x:v>
      </x:c>
      <x:c r="G283" t="str">
        <x:v>7 niveaux ; 56 pièces ; 364 segments de mur ; 6 transitions. Inspection physique ; architecture complète encore ouverte.</x:v>
      </x:c>
      <x:c r="H283" t="str">
        <x:v>L 183,06 ; l 32,2 ; hauteur inconnue ; tirant 13,258 ; hauteur émergée auteur 16,742 m ; longueur/largeur/tirant sourcés ; hauteur totale réelle inconnue</x:v>
      </x:c>
      <x:c r="I283" t="str">
        <x:v>À équilibrer</x:v>
      </x:c>
      <x:c r="J283" t="str">
        <x:v>Non</x:v>
      </x:c>
      <x:c r="K283" t="str">
        <x:v>Pièces décrites, murs, portes, niveaux et mobilier inspectables à l’échelle. Volumes réservés, raccord au seed, butin, rencontres et services de campagne restent à terminer.</x:v>
      </x:c>
    </x:row>
    <x:row r="284">
      <x:c r="A284" t="str">
        <x:v>EXT-MONDE-T006-V29</x:v>
      </x:c>
      <x:c r="B284" t="str">
        <x:v>EXT-MONDE-T006</x:v>
      </x:c>
      <x:c r="C284" t="str">
        <x:v>Navires de haute mer</x:v>
      </x:c>
      <x:c r="D284" t="str">
        <x:v>Pétrolier océanique</x:v>
      </x:c>
      <x:c r="E284" t="n">
        <x:v>29</x:v>
      </x:c>
      <x:c r="F284" t="str">
        <x:v>Inspection physique</x:v>
      </x:c>
      <x:c r="G284" t="str">
        <x:v>7 niveaux ; 56 pièces ; 364 segments de mur ; 6 transitions. Inspection physique ; architecture complète encore ouverte.</x:v>
      </x:c>
      <x:c r="H284" t="str">
        <x:v>L 183,06 ; l 32,2 ; hauteur inconnue ; tirant 13,258 ; hauteur émergée auteur 16,742 m ; longueur/largeur/tirant sourcés ; hauteur totale réelle inconnue</x:v>
      </x:c>
      <x:c r="I284" t="str">
        <x:v>À équilibrer</x:v>
      </x:c>
      <x:c r="J284" t="str">
        <x:v>Non</x:v>
      </x:c>
      <x:c r="K284" t="str">
        <x:v>Pièces décrites, murs, portes, niveaux et mobilier inspectables à l’échelle. Volumes réservés, raccord au seed, butin, rencontres et services de campagne restent à terminer.</x:v>
      </x:c>
    </x:row>
    <x:row r="285">
      <x:c r="A285" t="str">
        <x:v>EXT-MONDE-T006-V30</x:v>
      </x:c>
      <x:c r="B285" t="str">
        <x:v>EXT-MONDE-T006</x:v>
      </x:c>
      <x:c r="C285" t="str">
        <x:v>Navires de haute mer</x:v>
      </x:c>
      <x:c r="D285" t="str">
        <x:v>Pétrolier océanique</x:v>
      </x:c>
      <x:c r="E285" t="n">
        <x:v>30</x:v>
      </x:c>
      <x:c r="F285" t="str">
        <x:v>Inspection physique</x:v>
      </x:c>
      <x:c r="G285" t="str">
        <x:v>7 niveaux ; 56 pièces ; 364 segments de mur ; 6 transitions. Inspection physique ; architecture complète encore ouverte.</x:v>
      </x:c>
      <x:c r="H285" t="str">
        <x:v>L 183,06 ; l 32,2 ; hauteur inconnue ; tirant 13,258 ; hauteur émergée auteur 16,742 m ; longueur/largeur/tirant sourcés ; hauteur totale réelle inconnue</x:v>
      </x:c>
      <x:c r="I285" t="str">
        <x:v>À équilibrer</x:v>
      </x:c>
      <x:c r="J285" t="str">
        <x:v>Non</x:v>
      </x:c>
      <x:c r="K285" t="str">
        <x:v>Pièces décrites, murs, portes, niveaux et mobilier inspectables à l’échelle. Volumes réservés, raccord au seed, butin, rencontres et services de campagne restent à terminer.</x:v>
      </x:c>
    </x:row>
    <x:row r="286">
      <x:c r="A286" t="str">
        <x:v>EXT-MONDE-T006-V31</x:v>
      </x:c>
      <x:c r="B286" t="str">
        <x:v>EXT-MONDE-T006</x:v>
      </x:c>
      <x:c r="C286" t="str">
        <x:v>Navires de haute mer</x:v>
      </x:c>
      <x:c r="D286" t="str">
        <x:v>Pétrolier océanique</x:v>
      </x:c>
      <x:c r="E286" t="n">
        <x:v>31</x:v>
      </x:c>
      <x:c r="F286" t="str">
        <x:v>Inspection physique</x:v>
      </x:c>
      <x:c r="G286" t="str">
        <x:v>7 niveaux ; 70 pièces ; 448 segments de mur ; 6 transitions. Inspection physique ; architecture complète encore ouverte.</x:v>
      </x:c>
      <x:c r="H286" t="str">
        <x:v>L 183,06 ; l 32,2 ; hauteur inconnue ; tirant 13,258 ; hauteur émergée auteur 16,742 m ; longueur/largeur/tirant sourcés ; hauteur totale réelle inconnue</x:v>
      </x:c>
      <x:c r="I286" t="str">
        <x:v>À équilibrer</x:v>
      </x:c>
      <x:c r="J286" t="str">
        <x:v>Non</x:v>
      </x:c>
      <x:c r="K286" t="str">
        <x:v>Pièces décrites, murs, portes, niveaux et mobilier inspectables à l’échelle. Volumes réservés, raccord au seed, butin, rencontres et services de campagne restent à terminer.</x:v>
      </x:c>
    </x:row>
    <x:row r="287">
      <x:c r="A287" t="str">
        <x:v>EXT-MONDE-T006-V32</x:v>
      </x:c>
      <x:c r="B287" t="str">
        <x:v>EXT-MONDE-T006</x:v>
      </x:c>
      <x:c r="C287" t="str">
        <x:v>Navires de haute mer</x:v>
      </x:c>
      <x:c r="D287" t="str">
        <x:v>Pétrolier océanique</x:v>
      </x:c>
      <x:c r="E287" t="n">
        <x:v>32</x:v>
      </x:c>
      <x:c r="F287" t="str">
        <x:v>Inspection physique</x:v>
      </x:c>
      <x:c r="G287" t="str">
        <x:v>7 niveaux ; 70 pièces ; 448 segments de mur ; 6 transitions. Inspection physique ; architecture complète encore ouverte.</x:v>
      </x:c>
      <x:c r="H287" t="str">
        <x:v>L 183,06 ; l 32,2 ; hauteur inconnue ; tirant 13,258 ; hauteur émergée auteur 16,742 m ; longueur/largeur/tirant sourcés ; hauteur totale réelle inconnue</x:v>
      </x:c>
      <x:c r="I287" t="str">
        <x:v>À équilibrer</x:v>
      </x:c>
      <x:c r="J287" t="str">
        <x:v>Non</x:v>
      </x:c>
      <x:c r="K287" t="str">
        <x:v>Pièces décrites, murs, portes, niveaux et mobilier inspectables à l’échelle. Volumes réservés, raccord au seed, butin, rencontres et services de campagne restent à terminer.</x:v>
      </x:c>
    </x:row>
    <x:row r="288">
      <x:c r="A288" t="str">
        <x:v>EXT-MONDE-T006-V33</x:v>
      </x:c>
      <x:c r="B288" t="str">
        <x:v>EXT-MONDE-T006</x:v>
      </x:c>
      <x:c r="C288" t="str">
        <x:v>Navires de haute mer</x:v>
      </x:c>
      <x:c r="D288" t="str">
        <x:v>Pétrolier océanique</x:v>
      </x:c>
      <x:c r="E288" t="n">
        <x:v>33</x:v>
      </x:c>
      <x:c r="F288" t="str">
        <x:v>Inspection physique</x:v>
      </x:c>
      <x:c r="G288" t="str">
        <x:v>7 niveaux ; 70 pièces ; 448 segments de mur ; 6 transitions. Inspection physique ; architecture complète encore ouverte.</x:v>
      </x:c>
      <x:c r="H288" t="str">
        <x:v>L 183,06 ; l 32,2 ; hauteur inconnue ; tirant 13,258 ; hauteur émergée auteur 16,742 m ; longueur/largeur/tirant sourcés ; hauteur totale réelle inconnue</x:v>
      </x:c>
      <x:c r="I288" t="str">
        <x:v>À équilibrer</x:v>
      </x:c>
      <x:c r="J288" t="str">
        <x:v>Non</x:v>
      </x:c>
      <x:c r="K288" t="str">
        <x:v>Pièces décrites, murs, portes, niveaux et mobilier inspectables à l’échelle. Volumes réservés, raccord au seed, butin, rencontres et services de campagne restent à terminer.</x:v>
      </x:c>
    </x:row>
    <x:row r="289">
      <x:c r="A289" t="str">
        <x:v>EXT-MONDE-T006-V34</x:v>
      </x:c>
      <x:c r="B289" t="str">
        <x:v>EXT-MONDE-T006</x:v>
      </x:c>
      <x:c r="C289" t="str">
        <x:v>Navires de haute mer</x:v>
      </x:c>
      <x:c r="D289" t="str">
        <x:v>Pétrolier océanique</x:v>
      </x:c>
      <x:c r="E289" t="n">
        <x:v>34</x:v>
      </x:c>
      <x:c r="F289" t="str">
        <x:v>Inspection physique</x:v>
      </x:c>
      <x:c r="G289" t="str">
        <x:v>7 niveaux ; 70 pièces ; 448 segments de mur ; 6 transitions. Inspection physique ; architecture complète encore ouverte.</x:v>
      </x:c>
      <x:c r="H289" t="str">
        <x:v>L 183,06 ; l 32,2 ; hauteur inconnue ; tirant 13,258 ; hauteur émergée auteur 16,742 m ; longueur/largeur/tirant sourcés ; hauteur totale réelle inconnue</x:v>
      </x:c>
      <x:c r="I289" t="str">
        <x:v>À équilibrer</x:v>
      </x:c>
      <x:c r="J289" t="str">
        <x:v>Non</x:v>
      </x:c>
      <x:c r="K289" t="str">
        <x:v>Pièces décrites, murs, portes, niveaux et mobilier inspectables à l’échelle. Volumes réservés, raccord au seed, butin, rencontres et services de campagne restent à terminer.</x:v>
      </x:c>
    </x:row>
    <x:row r="290">
      <x:c r="A290" t="str">
        <x:v>EXT-MONDE-T006-V35</x:v>
      </x:c>
      <x:c r="B290" t="str">
        <x:v>EXT-MONDE-T006</x:v>
      </x:c>
      <x:c r="C290" t="str">
        <x:v>Navires de haute mer</x:v>
      </x:c>
      <x:c r="D290" t="str">
        <x:v>Pétrolier océanique</x:v>
      </x:c>
      <x:c r="E290" t="n">
        <x:v>35</x:v>
      </x:c>
      <x:c r="F290" t="str">
        <x:v>Inspection physique</x:v>
      </x:c>
      <x:c r="G290" t="str">
        <x:v>7 niveaux ; 70 pièces ; 448 segments de mur ; 6 transitions. Inspection physique ; architecture complète encore ouverte.</x:v>
      </x:c>
      <x:c r="H290" t="str">
        <x:v>L 183,06 ; l 32,2 ; hauteur inconnue ; tirant 13,258 ; hauteur émergée auteur 16,742 m ; longueur/largeur/tirant sourcés ; hauteur totale réelle inconnue</x:v>
      </x:c>
      <x:c r="I290" t="str">
        <x:v>À équilibrer</x:v>
      </x:c>
      <x:c r="J290" t="str">
        <x:v>Non</x:v>
      </x:c>
      <x:c r="K290" t="str">
        <x:v>Pièces décrites, murs, portes, niveaux et mobilier inspectables à l’échelle. Volumes réservés, raccord au seed, butin, rencontres et services de campagne restent à terminer.</x:v>
      </x:c>
    </x:row>
    <x:row r="291">
      <x:c r="A291" t="str">
        <x:v>EXT-MONDE-T006-V36</x:v>
      </x:c>
      <x:c r="B291" t="str">
        <x:v>EXT-MONDE-T006</x:v>
      </x:c>
      <x:c r="C291" t="str">
        <x:v>Navires de haute mer</x:v>
      </x:c>
      <x:c r="D291" t="str">
        <x:v>Pétrolier océanique</x:v>
      </x:c>
      <x:c r="E291" t="n">
        <x:v>36</x:v>
      </x:c>
      <x:c r="F291" t="str">
        <x:v>Inspection physique</x:v>
      </x:c>
      <x:c r="G291" t="str">
        <x:v>7 niveaux ; 70 pièces ; 448 segments de mur ; 6 transitions. Inspection physique ; architecture complète encore ouverte.</x:v>
      </x:c>
      <x:c r="H291" t="str">
        <x:v>L 183,06 ; l 32,2 ; hauteur inconnue ; tirant 13,258 ; hauteur émergée auteur 16,742 m ; longueur/largeur/tirant sourcés ; hauteur totale réelle inconnue</x:v>
      </x:c>
      <x:c r="I291" t="str">
        <x:v>À équilibrer</x:v>
      </x:c>
      <x:c r="J291" t="str">
        <x:v>Non</x:v>
      </x:c>
      <x:c r="K291" t="str">
        <x:v>Pièces décrites, murs, portes, niveaux et mobilier inspectables à l’échelle. Volumes réservés, raccord au seed, butin, rencontres et services de campagne restent à terminer.</x:v>
      </x:c>
    </x:row>
    <x:row r="292">
      <x:c r="A292" t="str">
        <x:v>EXT-MONDE-T006-V37</x:v>
      </x:c>
      <x:c r="B292" t="str">
        <x:v>EXT-MONDE-T006</x:v>
      </x:c>
      <x:c r="C292" t="str">
        <x:v>Navires de haute mer</x:v>
      </x:c>
      <x:c r="D292" t="str">
        <x:v>Pétrolier océanique</x:v>
      </x:c>
      <x:c r="E292" t="n">
        <x:v>37</x:v>
      </x:c>
      <x:c r="F292" t="str">
        <x:v>Inspection physique</x:v>
      </x:c>
      <x:c r="G292" t="str">
        <x:v>7 niveaux ; 70 pièces ; 448 segments de mur ; 6 transitions. Inspection physique ; architecture complète encore ouverte.</x:v>
      </x:c>
      <x:c r="H292" t="str">
        <x:v>L 183,06 ; l 32,2 ; hauteur inconnue ; tirant 13,258 ; hauteur émergée auteur 16,742 m ; longueur/largeur/tirant sourcés ; hauteur totale réelle inconnue</x:v>
      </x:c>
      <x:c r="I292" t="str">
        <x:v>À équilibrer</x:v>
      </x:c>
      <x:c r="J292" t="str">
        <x:v>Non</x:v>
      </x:c>
      <x:c r="K292" t="str">
        <x:v>Pièces décrites, murs, portes, niveaux et mobilier inspectables à l’échelle. Volumes réservés, raccord au seed, butin, rencontres et services de campagne restent à terminer.</x:v>
      </x:c>
    </x:row>
    <x:row r="293">
      <x:c r="A293" t="str">
        <x:v>EXT-MONDE-T006-V38</x:v>
      </x:c>
      <x:c r="B293" t="str">
        <x:v>EXT-MONDE-T006</x:v>
      </x:c>
      <x:c r="C293" t="str">
        <x:v>Navires de haute mer</x:v>
      </x:c>
      <x:c r="D293" t="str">
        <x:v>Pétrolier océanique</x:v>
      </x:c>
      <x:c r="E293" t="n">
        <x:v>38</x:v>
      </x:c>
      <x:c r="F293" t="str">
        <x:v>Inspection physique</x:v>
      </x:c>
      <x:c r="G293" t="str">
        <x:v>7 niveaux ; 70 pièces ; 448 segments de mur ; 6 transitions. Inspection physique ; architecture complète encore ouverte.</x:v>
      </x:c>
      <x:c r="H293" t="str">
        <x:v>L 183,06 ; l 32,2 ; hauteur inconnue ; tirant 13,258 ; hauteur émergée auteur 16,742 m ; longueur/largeur/tirant sourcés ; hauteur totale réelle inconnue</x:v>
      </x:c>
      <x:c r="I293" t="str">
        <x:v>À équilibrer</x:v>
      </x:c>
      <x:c r="J293" t="str">
        <x:v>Non</x:v>
      </x:c>
      <x:c r="K293" t="str">
        <x:v>Pièces décrites, murs, portes, niveaux et mobilier inspectables à l’échelle. Volumes réservés, raccord au seed, butin, rencontres et services de campagne restent à terminer.</x:v>
      </x:c>
    </x:row>
    <x:row r="294">
      <x:c r="A294" t="str">
        <x:v>EXT-MONDE-T006-V39</x:v>
      </x:c>
      <x:c r="B294" t="str">
        <x:v>EXT-MONDE-T006</x:v>
      </x:c>
      <x:c r="C294" t="str">
        <x:v>Navires de haute mer</x:v>
      </x:c>
      <x:c r="D294" t="str">
        <x:v>Pétrolier océanique</x:v>
      </x:c>
      <x:c r="E294" t="n">
        <x:v>39</x:v>
      </x:c>
      <x:c r="F294" t="str">
        <x:v>Inspection physique</x:v>
      </x:c>
      <x:c r="G294" t="str">
        <x:v>7 niveaux ; 70 pièces ; 448 segments de mur ; 6 transitions. Inspection physique ; architecture complète encore ouverte.</x:v>
      </x:c>
      <x:c r="H294" t="str">
        <x:v>L 183,06 ; l 32,2 ; hauteur inconnue ; tirant 13,258 ; hauteur émergée auteur 16,742 m ; longueur/largeur/tirant sourcés ; hauteur totale réelle inconnue</x:v>
      </x:c>
      <x:c r="I294" t="str">
        <x:v>À équilibrer</x:v>
      </x:c>
      <x:c r="J294" t="str">
        <x:v>Non</x:v>
      </x:c>
      <x:c r="K294" t="str">
        <x:v>Pièces décrites, murs, portes, niveaux et mobilier inspectables à l’échelle. Volumes réservés, raccord au seed, butin, rencontres et services de campagne restent à terminer.</x:v>
      </x:c>
    </x:row>
    <x:row r="295">
      <x:c r="A295" t="str">
        <x:v>EXT-MONDE-T006-V40</x:v>
      </x:c>
      <x:c r="B295" t="str">
        <x:v>EXT-MONDE-T006</x:v>
      </x:c>
      <x:c r="C295" t="str">
        <x:v>Navires de haute mer</x:v>
      </x:c>
      <x:c r="D295" t="str">
        <x:v>Pétrolier océanique</x:v>
      </x:c>
      <x:c r="E295" t="n">
        <x:v>40</x:v>
      </x:c>
      <x:c r="F295" t="str">
        <x:v>Inspection physique</x:v>
      </x:c>
      <x:c r="G295" t="str">
        <x:v>7 niveaux ; 70 pièces ; 448 segments de mur ; 6 transitions. Inspection physique ; architecture complète encore ouverte.</x:v>
      </x:c>
      <x:c r="H295" t="str">
        <x:v>L 183,06 ; l 32,2 ; hauteur inconnue ; tirant 13,258 ; hauteur émergée auteur 16,742 m ; longueur/largeur/tirant sourcés ; hauteur totale réelle inconnue</x:v>
      </x:c>
      <x:c r="I295" t="str">
        <x:v>À équilibrer</x:v>
      </x:c>
      <x:c r="J295" t="str">
        <x:v>Non</x:v>
      </x:c>
      <x:c r="K295" t="str">
        <x:v>Pièces décrites, murs, portes, niveaux et mobilier inspectables à l’échelle. Volumes réservés, raccord au seed, butin, rencontres et services de campagne restent à terminer.</x:v>
      </x:c>
    </x:row>
    <x:row r="296">
      <x:c r="A296" t="str">
        <x:v>EXT-MONDE-T006-V41</x:v>
      </x:c>
      <x:c r="B296" t="str">
        <x:v>EXT-MONDE-T006</x:v>
      </x:c>
      <x:c r="C296" t="str">
        <x:v>Navires de haute mer</x:v>
      </x:c>
      <x:c r="D296" t="str">
        <x:v>Pétrolier océanique</x:v>
      </x:c>
      <x:c r="E296" t="n">
        <x:v>41</x:v>
      </x:c>
      <x:c r="F296" t="str">
        <x:v>Inspection physique</x:v>
      </x:c>
      <x:c r="G296" t="str">
        <x:v>7 niveaux ; 84 pièces ; 532 segments de mur ; 6 transitions. Inspection physique ; architecture complète encore ouverte.</x:v>
      </x:c>
      <x:c r="H296" t="str">
        <x:v>L 183,06 ; l 32,2 ; hauteur inconnue ; tirant 13,258 ; hauteur émergée auteur 16,742 m ; longueur/largeur/tirant sourcés ; hauteur totale réelle inconnue</x:v>
      </x:c>
      <x:c r="I296" t="str">
        <x:v>À équilibrer</x:v>
      </x:c>
      <x:c r="J296" t="str">
        <x:v>Non</x:v>
      </x:c>
      <x:c r="K296" t="str">
        <x:v>Pièces décrites, murs, portes, niveaux et mobilier inspectables à l’échelle. Volumes réservés, raccord au seed, butin, rencontres et services de campagne restent à terminer.</x:v>
      </x:c>
    </x:row>
    <x:row r="297">
      <x:c r="A297" t="str">
        <x:v>EXT-MONDE-T006-V42</x:v>
      </x:c>
      <x:c r="B297" t="str">
        <x:v>EXT-MONDE-T006</x:v>
      </x:c>
      <x:c r="C297" t="str">
        <x:v>Navires de haute mer</x:v>
      </x:c>
      <x:c r="D297" t="str">
        <x:v>Pétrolier océanique</x:v>
      </x:c>
      <x:c r="E297" t="n">
        <x:v>42</x:v>
      </x:c>
      <x:c r="F297" t="str">
        <x:v>Inspection physique</x:v>
      </x:c>
      <x:c r="G297" t="str">
        <x:v>7 niveaux ; 84 pièces ; 532 segments de mur ; 6 transitions. Inspection physique ; architecture complète encore ouverte.</x:v>
      </x:c>
      <x:c r="H297" t="str">
        <x:v>L 183,06 ; l 32,2 ; hauteur inconnue ; tirant 13,258 ; hauteur émergée auteur 16,742 m ; longueur/largeur/tirant sourcés ; hauteur totale réelle inconnue</x:v>
      </x:c>
      <x:c r="I297" t="str">
        <x:v>À équilibrer</x:v>
      </x:c>
      <x:c r="J297" t="str">
        <x:v>Non</x:v>
      </x:c>
      <x:c r="K297" t="str">
        <x:v>Pièces décrites, murs, portes, niveaux et mobilier inspectables à l’échelle. Volumes réservés, raccord au seed, butin, rencontres et services de campagne restent à terminer.</x:v>
      </x:c>
    </x:row>
    <x:row r="298">
      <x:c r="A298" t="str">
        <x:v>EXT-MONDE-T006-V43</x:v>
      </x:c>
      <x:c r="B298" t="str">
        <x:v>EXT-MONDE-T006</x:v>
      </x:c>
      <x:c r="C298" t="str">
        <x:v>Navires de haute mer</x:v>
      </x:c>
      <x:c r="D298" t="str">
        <x:v>Pétrolier océanique</x:v>
      </x:c>
      <x:c r="E298" t="n">
        <x:v>43</x:v>
      </x:c>
      <x:c r="F298" t="str">
        <x:v>Inspection physique</x:v>
      </x:c>
      <x:c r="G298" t="str">
        <x:v>7 niveaux ; 84 pièces ; 532 segments de mur ; 6 transitions. Inspection physique ; architecture complète encore ouverte.</x:v>
      </x:c>
      <x:c r="H298" t="str">
        <x:v>L 183,06 ; l 32,2 ; hauteur inconnue ; tirant 13,258 ; hauteur émergée auteur 16,742 m ; longueur/largeur/tirant sourcés ; hauteur totale réelle inconnue</x:v>
      </x:c>
      <x:c r="I298" t="str">
        <x:v>À équilibrer</x:v>
      </x:c>
      <x:c r="J298" t="str">
        <x:v>Non</x:v>
      </x:c>
      <x:c r="K298" t="str">
        <x:v>Pièces décrites, murs, portes, niveaux et mobilier inspectables à l’échelle. Volumes réservés, raccord au seed, butin, rencontres et services de campagne restent à terminer.</x:v>
      </x:c>
    </x:row>
    <x:row r="299">
      <x:c r="A299" t="str">
        <x:v>EXT-MONDE-T006-V44</x:v>
      </x:c>
      <x:c r="B299" t="str">
        <x:v>EXT-MONDE-T006</x:v>
      </x:c>
      <x:c r="C299" t="str">
        <x:v>Navires de haute mer</x:v>
      </x:c>
      <x:c r="D299" t="str">
        <x:v>Pétrolier océanique</x:v>
      </x:c>
      <x:c r="E299" t="n">
        <x:v>44</x:v>
      </x:c>
      <x:c r="F299" t="str">
        <x:v>Inspection physique</x:v>
      </x:c>
      <x:c r="G299" t="str">
        <x:v>7 niveaux ; 84 pièces ; 532 segments de mur ; 6 transitions. Inspection physique ; architecture complète encore ouverte.</x:v>
      </x:c>
      <x:c r="H299" t="str">
        <x:v>L 183,06 ; l 32,2 ; hauteur inconnue ; tirant 13,258 ; hauteur émergée auteur 16,742 m ; longueur/largeur/tirant sourcés ; hauteur totale réelle inconnue</x:v>
      </x:c>
      <x:c r="I299" t="str">
        <x:v>À équilibrer</x:v>
      </x:c>
      <x:c r="J299" t="str">
        <x:v>Non</x:v>
      </x:c>
      <x:c r="K299" t="str">
        <x:v>Pièces décrites, murs, portes, niveaux et mobilier inspectables à l’échelle. Volumes réservés, raccord au seed, butin, rencontres et services de campagne restent à terminer.</x:v>
      </x:c>
    </x:row>
    <x:row r="300">
      <x:c r="A300" t="str">
        <x:v>EXT-MONDE-T006-V45</x:v>
      </x:c>
      <x:c r="B300" t="str">
        <x:v>EXT-MONDE-T006</x:v>
      </x:c>
      <x:c r="C300" t="str">
        <x:v>Navires de haute mer</x:v>
      </x:c>
      <x:c r="D300" t="str">
        <x:v>Pétrolier océanique</x:v>
      </x:c>
      <x:c r="E300" t="n">
        <x:v>45</x:v>
      </x:c>
      <x:c r="F300" t="str">
        <x:v>Inspection physique</x:v>
      </x:c>
      <x:c r="G300" t="str">
        <x:v>7 niveaux ; 84 pièces ; 532 segments de mur ; 6 transitions. Inspection physique ; architecture complète encore ouverte.</x:v>
      </x:c>
      <x:c r="H300" t="str">
        <x:v>L 183,06 ; l 32,2 ; hauteur inconnue ; tirant 13,258 ; hauteur émergée auteur 16,742 m ; longueur/largeur/tirant sourcés ; hauteur totale réelle inconnue</x:v>
      </x:c>
      <x:c r="I300" t="str">
        <x:v>À équilibrer</x:v>
      </x:c>
      <x:c r="J300" t="str">
        <x:v>Non</x:v>
      </x:c>
      <x:c r="K300" t="str">
        <x:v>Pièces décrites, murs, portes, niveaux et mobilier inspectables à l’échelle. Volumes réservés, raccord au seed, butin, rencontres et services de campagne restent à terminer.</x:v>
      </x:c>
    </x:row>
    <x:row r="301">
      <x:c r="A301" t="str">
        <x:v>EXT-MONDE-T006-V46</x:v>
      </x:c>
      <x:c r="B301" t="str">
        <x:v>EXT-MONDE-T006</x:v>
      </x:c>
      <x:c r="C301" t="str">
        <x:v>Navires de haute mer</x:v>
      </x:c>
      <x:c r="D301" t="str">
        <x:v>Pétrolier océanique</x:v>
      </x:c>
      <x:c r="E301" t="n">
        <x:v>46</x:v>
      </x:c>
      <x:c r="F301" t="str">
        <x:v>Inspection physique</x:v>
      </x:c>
      <x:c r="G301" t="str">
        <x:v>7 niveaux ; 84 pièces ; 532 segments de mur ; 6 transitions. Inspection physique ; architecture complète encore ouverte.</x:v>
      </x:c>
      <x:c r="H301" t="str">
        <x:v>L 183,06 ; l 32,2 ; hauteur inconnue ; tirant 13,258 ; hauteur émergée auteur 16,742 m ; longueur/largeur/tirant sourcés ; hauteur totale réelle inconnue</x:v>
      </x:c>
      <x:c r="I301" t="str">
        <x:v>À équilibrer</x:v>
      </x:c>
      <x:c r="J301" t="str">
        <x:v>Non</x:v>
      </x:c>
      <x:c r="K301" t="str">
        <x:v>Pièces décrites, murs, portes, niveaux et mobilier inspectables à l’échelle. Volumes réservés, raccord au seed, butin, rencontres et services de campagne restent à terminer.</x:v>
      </x:c>
    </x:row>
    <x:row r="302">
      <x:c r="A302" t="str">
        <x:v>EXT-MONDE-T006-V47</x:v>
      </x:c>
      <x:c r="B302" t="str">
        <x:v>EXT-MONDE-T006</x:v>
      </x:c>
      <x:c r="C302" t="str">
        <x:v>Navires de haute mer</x:v>
      </x:c>
      <x:c r="D302" t="str">
        <x:v>Pétrolier océanique</x:v>
      </x:c>
      <x:c r="E302" t="n">
        <x:v>47</x:v>
      </x:c>
      <x:c r="F302" t="str">
        <x:v>Inspection physique</x:v>
      </x:c>
      <x:c r="G302" t="str">
        <x:v>7 niveaux ; 84 pièces ; 532 segments de mur ; 6 transitions. Inspection physique ; architecture complète encore ouverte.</x:v>
      </x:c>
      <x:c r="H302" t="str">
        <x:v>L 183,06 ; l 32,2 ; hauteur inconnue ; tirant 13,258 ; hauteur émergée auteur 16,742 m ; longueur/largeur/tirant sourcés ; hauteur totale réelle inconnue</x:v>
      </x:c>
      <x:c r="I302" t="str">
        <x:v>À équilibrer</x:v>
      </x:c>
      <x:c r="J302" t="str">
        <x:v>Non</x:v>
      </x:c>
      <x:c r="K302" t="str">
        <x:v>Pièces décrites, murs, portes, niveaux et mobilier inspectables à l’échelle. Volumes réservés, raccord au seed, butin, rencontres et services de campagne restent à terminer.</x:v>
      </x:c>
    </x:row>
    <x:row r="303">
      <x:c r="A303" t="str">
        <x:v>EXT-MONDE-T006-V48</x:v>
      </x:c>
      <x:c r="B303" t="str">
        <x:v>EXT-MONDE-T006</x:v>
      </x:c>
      <x:c r="C303" t="str">
        <x:v>Navires de haute mer</x:v>
      </x:c>
      <x:c r="D303" t="str">
        <x:v>Pétrolier océanique</x:v>
      </x:c>
      <x:c r="E303" t="n">
        <x:v>48</x:v>
      </x:c>
      <x:c r="F303" t="str">
        <x:v>Inspection physique</x:v>
      </x:c>
      <x:c r="G303" t="str">
        <x:v>7 niveaux ; 84 pièces ; 532 segments de mur ; 6 transitions. Inspection physique ; architecture complète encore ouverte.</x:v>
      </x:c>
      <x:c r="H303" t="str">
        <x:v>L 183,06 ; l 32,2 ; hauteur inconnue ; tirant 13,258 ; hauteur émergée auteur 16,742 m ; longueur/largeur/tirant sourcés ; hauteur totale réelle inconnue</x:v>
      </x:c>
      <x:c r="I303" t="str">
        <x:v>À équilibrer</x:v>
      </x:c>
      <x:c r="J303" t="str">
        <x:v>Non</x:v>
      </x:c>
      <x:c r="K303" t="str">
        <x:v>Pièces décrites, murs, portes, niveaux et mobilier inspectables à l’échelle. Volumes réservés, raccord au seed, butin, rencontres et services de campagne restent à terminer.</x:v>
      </x:c>
    </x:row>
    <x:row r="304">
      <x:c r="A304" t="str">
        <x:v>EXT-MONDE-T006-V49</x:v>
      </x:c>
      <x:c r="B304" t="str">
        <x:v>EXT-MONDE-T006</x:v>
      </x:c>
      <x:c r="C304" t="str">
        <x:v>Navires de haute mer</x:v>
      </x:c>
      <x:c r="D304" t="str">
        <x:v>Pétrolier océanique</x:v>
      </x:c>
      <x:c r="E304" t="n">
        <x:v>49</x:v>
      </x:c>
      <x:c r="F304" t="str">
        <x:v>Inspection physique</x:v>
      </x:c>
      <x:c r="G304" t="str">
        <x:v>7 niveaux ; 84 pièces ; 532 segments de mur ; 6 transitions. Inspection physique ; architecture complète encore ouverte.</x:v>
      </x:c>
      <x:c r="H304" t="str">
        <x:v>L 183,06 ; l 32,2 ; hauteur inconnue ; tirant 13,258 ; hauteur émergée auteur 16,742 m ; longueur/largeur/tirant sourcés ; hauteur totale réelle inconnue</x:v>
      </x:c>
      <x:c r="I304" t="str">
        <x:v>À équilibrer</x:v>
      </x:c>
      <x:c r="J304" t="str">
        <x:v>Non</x:v>
      </x:c>
      <x:c r="K304" t="str">
        <x:v>Pièces décrites, murs, portes, niveaux et mobilier inspectables à l’échelle. Volumes réservés, raccord au seed, butin, rencontres et services de campagne restent à terminer.</x:v>
      </x:c>
    </x:row>
    <x:row r="305">
      <x:c r="A305" t="str">
        <x:v>EXT-MONDE-T006-V50</x:v>
      </x:c>
      <x:c r="B305" t="str">
        <x:v>EXT-MONDE-T006</x:v>
      </x:c>
      <x:c r="C305" t="str">
        <x:v>Navires de haute mer</x:v>
      </x:c>
      <x:c r="D305" t="str">
        <x:v>Pétrolier océanique</x:v>
      </x:c>
      <x:c r="E305" t="n">
        <x:v>50</x:v>
      </x:c>
      <x:c r="F305" t="str">
        <x:v>Inspection physique</x:v>
      </x:c>
      <x:c r="G305" t="str">
        <x:v>7 niveaux ; 84 pièces ; 532 segments de mur ; 6 transitions. Inspection physique ; architecture complète encore ouverte.</x:v>
      </x:c>
      <x:c r="H305" t="str">
        <x:v>L 183,06 ; l 32,2 ; hauteur inconnue ; tirant 13,258 ; hauteur émergée auteur 16,742 m ; longueur/largeur/tirant sourcés ; hauteur totale réelle inconnue</x:v>
      </x:c>
      <x:c r="I305" t="str">
        <x:v>À équilibrer</x:v>
      </x:c>
      <x:c r="J305" t="str">
        <x:v>Non</x:v>
      </x:c>
      <x:c r="K305" t="str">
        <x:v>Pièces décrites, murs, portes, niveaux et mobilier inspectables à l’échelle. Volumes réservés, raccord au seed, butin, rencontres et services de campagne restent à terminer.</x:v>
      </x:c>
    </x:row>
    <x:row r="306">
      <x:c r="A306" t="str">
        <x:v>EXT-MONDE-T007-V01</x:v>
      </x:c>
      <x:c r="B306" t="str">
        <x:v>EXT-MONDE-T007</x:v>
      </x:c>
      <x:c r="C306" t="str">
        <x:v>Navires de haute mer</x:v>
      </x:c>
      <x:c r="D306" t="str">
        <x:v>Croiseur militaire abandonné</x:v>
      </x:c>
      <x:c r="E306" t="n">
        <x:v>1</x:v>
      </x:c>
      <x:c r="F306" t="str">
        <x:v>Inspection physique</x:v>
      </x:c>
      <x:c r="G306" t="str">
        <x:v>4 niveaux ; 16 pièces ; 112 segments de mur ; 3 transitions. Inspection physique ; architecture complète encore ouverte.</x:v>
      </x:c>
      <x:c r="H306" t="str">
        <x:v>L 185,928 ; l 20,117 ; hauteur inconnue ; tirant 7,62 ; hauteur émergée auteur 10,18 m ; longueur/largeur/tirant sourcés ; hauteur totale réelle inconnue</x:v>
      </x:c>
      <x:c r="I306" t="str">
        <x:v>À équilibrer</x:v>
      </x:c>
      <x:c r="J306" t="str">
        <x:v>Non</x:v>
      </x:c>
      <x:c r="K306" t="str">
        <x:v>Pièces décrites, murs, portes, niveaux et mobilier inspectables à l’échelle. Volumes réservés, raccord au seed, butin, rencontres et services de campagne restent à terminer.</x:v>
      </x:c>
    </x:row>
    <x:row r="307">
      <x:c r="A307" t="str">
        <x:v>EXT-MONDE-T007-V02</x:v>
      </x:c>
      <x:c r="B307" t="str">
        <x:v>EXT-MONDE-T007</x:v>
      </x:c>
      <x:c r="C307" t="str">
        <x:v>Navires de haute mer</x:v>
      </x:c>
      <x:c r="D307" t="str">
        <x:v>Croiseur militaire abandonné</x:v>
      </x:c>
      <x:c r="E307" t="n">
        <x:v>2</x:v>
      </x:c>
      <x:c r="F307" t="str">
        <x:v>Inspection physique</x:v>
      </x:c>
      <x:c r="G307" t="str">
        <x:v>4 niveaux ; 16 pièces ; 112 segments de mur ; 3 transitions. Inspection physique ; architecture complète encore ouverte.</x:v>
      </x:c>
      <x:c r="H307" t="str">
        <x:v>L 185,928 ; l 20,117 ; hauteur inconnue ; tirant 7,62 ; hauteur émergée auteur 10,18 m ; longueur/largeur/tirant sourcés ; hauteur totale réelle inconnue</x:v>
      </x:c>
      <x:c r="I307" t="str">
        <x:v>À équilibrer</x:v>
      </x:c>
      <x:c r="J307" t="str">
        <x:v>Non</x:v>
      </x:c>
      <x:c r="K307" t="str">
        <x:v>Pièces décrites, murs, portes, niveaux et mobilier inspectables à l’échelle. Volumes réservés, raccord au seed, butin, rencontres et services de campagne restent à terminer.</x:v>
      </x:c>
    </x:row>
    <x:row r="308">
      <x:c r="A308" t="str">
        <x:v>EXT-MONDE-T007-V03</x:v>
      </x:c>
      <x:c r="B308" t="str">
        <x:v>EXT-MONDE-T007</x:v>
      </x:c>
      <x:c r="C308" t="str">
        <x:v>Navires de haute mer</x:v>
      </x:c>
      <x:c r="D308" t="str">
        <x:v>Croiseur militaire abandonné</x:v>
      </x:c>
      <x:c r="E308" t="n">
        <x:v>3</x:v>
      </x:c>
      <x:c r="F308" t="str">
        <x:v>Inspection physique</x:v>
      </x:c>
      <x:c r="G308" t="str">
        <x:v>4 niveaux ; 16 pièces ; 112 segments de mur ; 3 transitions. Inspection physique ; architecture complète encore ouverte.</x:v>
      </x:c>
      <x:c r="H308" t="str">
        <x:v>L 185,928 ; l 20,117 ; hauteur inconnue ; tirant 7,62 ; hauteur émergée auteur 10,18 m ; longueur/largeur/tirant sourcés ; hauteur totale réelle inconnue</x:v>
      </x:c>
      <x:c r="I308" t="str">
        <x:v>À équilibrer</x:v>
      </x:c>
      <x:c r="J308" t="str">
        <x:v>Non</x:v>
      </x:c>
      <x:c r="K308" t="str">
        <x:v>Pièces décrites, murs, portes, niveaux et mobilier inspectables à l’échelle. Volumes réservés, raccord au seed, butin, rencontres et services de campagne restent à terminer.</x:v>
      </x:c>
    </x:row>
    <x:row r="309">
      <x:c r="A309" t="str">
        <x:v>EXT-MONDE-T007-V04</x:v>
      </x:c>
      <x:c r="B309" t="str">
        <x:v>EXT-MONDE-T007</x:v>
      </x:c>
      <x:c r="C309" t="str">
        <x:v>Navires de haute mer</x:v>
      </x:c>
      <x:c r="D309" t="str">
        <x:v>Croiseur militaire abandonné</x:v>
      </x:c>
      <x:c r="E309" t="n">
        <x:v>4</x:v>
      </x:c>
      <x:c r="F309" t="str">
        <x:v>Inspection physique</x:v>
      </x:c>
      <x:c r="G309" t="str">
        <x:v>4 niveaux ; 16 pièces ; 112 segments de mur ; 3 transitions. Inspection physique ; architecture complète encore ouverte.</x:v>
      </x:c>
      <x:c r="H309" t="str">
        <x:v>L 185,928 ; l 20,117 ; hauteur inconnue ; tirant 7,62 ; hauteur émergée auteur 10,18 m ; longueur/largeur/tirant sourcés ; hauteur totale réelle inconnue</x:v>
      </x:c>
      <x:c r="I309" t="str">
        <x:v>À équilibrer</x:v>
      </x:c>
      <x:c r="J309" t="str">
        <x:v>Non</x:v>
      </x:c>
      <x:c r="K309" t="str">
        <x:v>Pièces décrites, murs, portes, niveaux et mobilier inspectables à l’échelle. Volumes réservés, raccord au seed, butin, rencontres et services de campagne restent à terminer.</x:v>
      </x:c>
    </x:row>
    <x:row r="310">
      <x:c r="A310" t="str">
        <x:v>EXT-MONDE-T007-V05</x:v>
      </x:c>
      <x:c r="B310" t="str">
        <x:v>EXT-MONDE-T007</x:v>
      </x:c>
      <x:c r="C310" t="str">
        <x:v>Navires de haute mer</x:v>
      </x:c>
      <x:c r="D310" t="str">
        <x:v>Croiseur militaire abandonné</x:v>
      </x:c>
      <x:c r="E310" t="n">
        <x:v>5</x:v>
      </x:c>
      <x:c r="F310" t="str">
        <x:v>Inspection physique</x:v>
      </x:c>
      <x:c r="G310" t="str">
        <x:v>4 niveaux ; 16 pièces ; 112 segments de mur ; 3 transitions. Inspection physique ; architecture complète encore ouverte.</x:v>
      </x:c>
      <x:c r="H310" t="str">
        <x:v>L 185,928 ; l 20,117 ; hauteur inconnue ; tirant 7,62 ; hauteur émergée auteur 10,18 m ; longueur/largeur/tirant sourcés ; hauteur totale réelle inconnue</x:v>
      </x:c>
      <x:c r="I310" t="str">
        <x:v>À équilibrer</x:v>
      </x:c>
      <x:c r="J310" t="str">
        <x:v>Non</x:v>
      </x:c>
      <x:c r="K310" t="str">
        <x:v>Pièces décrites, murs, portes, niveaux et mobilier inspectables à l’échelle. Volumes réservés, raccord au seed, butin, rencontres et services de campagne restent à terminer.</x:v>
      </x:c>
    </x:row>
    <x:row r="311">
      <x:c r="A311" t="str">
        <x:v>EXT-MONDE-T007-V06</x:v>
      </x:c>
      <x:c r="B311" t="str">
        <x:v>EXT-MONDE-T007</x:v>
      </x:c>
      <x:c r="C311" t="str">
        <x:v>Navires de haute mer</x:v>
      </x:c>
      <x:c r="D311" t="str">
        <x:v>Croiseur militaire abandonné</x:v>
      </x:c>
      <x:c r="E311" t="n">
        <x:v>6</x:v>
      </x:c>
      <x:c r="F311" t="str">
        <x:v>Inspection physique</x:v>
      </x:c>
      <x:c r="G311" t="str">
        <x:v>4 niveaux ; 16 pièces ; 112 segments de mur ; 3 transitions. Inspection physique ; architecture complète encore ouverte.</x:v>
      </x:c>
      <x:c r="H311" t="str">
        <x:v>L 185,928 ; l 20,117 ; hauteur inconnue ; tirant 7,62 ; hauteur émergée auteur 10,18 m ; longueur/largeur/tirant sourcés ; hauteur totale réelle inconnue</x:v>
      </x:c>
      <x:c r="I311" t="str">
        <x:v>À équilibrer</x:v>
      </x:c>
      <x:c r="J311" t="str">
        <x:v>Non</x:v>
      </x:c>
      <x:c r="K311" t="str">
        <x:v>Pièces décrites, murs, portes, niveaux et mobilier inspectables à l’échelle. Volumes réservés, raccord au seed, butin, rencontres et services de campagne restent à terminer.</x:v>
      </x:c>
    </x:row>
    <x:row r="312">
      <x:c r="A312" t="str">
        <x:v>EXT-MONDE-T007-V07</x:v>
      </x:c>
      <x:c r="B312" t="str">
        <x:v>EXT-MONDE-T007</x:v>
      </x:c>
      <x:c r="C312" t="str">
        <x:v>Navires de haute mer</x:v>
      </x:c>
      <x:c r="D312" t="str">
        <x:v>Croiseur militaire abandonné</x:v>
      </x:c>
      <x:c r="E312" t="n">
        <x:v>7</x:v>
      </x:c>
      <x:c r="F312" t="str">
        <x:v>Inspection physique</x:v>
      </x:c>
      <x:c r="G312" t="str">
        <x:v>4 niveaux ; 16 pièces ; 112 segments de mur ; 3 transitions. Inspection physique ; architecture complète encore ouverte.</x:v>
      </x:c>
      <x:c r="H312" t="str">
        <x:v>L 185,928 ; l 20,117 ; hauteur inconnue ; tirant 7,62 ; hauteur émergée auteur 10,18 m ; longueur/largeur/tirant sourcés ; hauteur totale réelle inconnue</x:v>
      </x:c>
      <x:c r="I312" t="str">
        <x:v>À équilibrer</x:v>
      </x:c>
      <x:c r="J312" t="str">
        <x:v>Non</x:v>
      </x:c>
      <x:c r="K312" t="str">
        <x:v>Pièces décrites, murs, portes, niveaux et mobilier inspectables à l’échelle. Volumes réservés, raccord au seed, butin, rencontres et services de campagne restent à terminer.</x:v>
      </x:c>
    </x:row>
    <x:row r="313">
      <x:c r="A313" t="str">
        <x:v>EXT-MONDE-T007-V08</x:v>
      </x:c>
      <x:c r="B313" t="str">
        <x:v>EXT-MONDE-T007</x:v>
      </x:c>
      <x:c r="C313" t="str">
        <x:v>Navires de haute mer</x:v>
      </x:c>
      <x:c r="D313" t="str">
        <x:v>Croiseur militaire abandonné</x:v>
      </x:c>
      <x:c r="E313" t="n">
        <x:v>8</x:v>
      </x:c>
      <x:c r="F313" t="str">
        <x:v>Inspection physique</x:v>
      </x:c>
      <x:c r="G313" t="str">
        <x:v>4 niveaux ; 16 pièces ; 112 segments de mur ; 3 transitions. Inspection physique ; architecture complète encore ouverte.</x:v>
      </x:c>
      <x:c r="H313" t="str">
        <x:v>L 185,928 ; l 20,117 ; hauteur inconnue ; tirant 7,62 ; hauteur émergée auteur 10,18 m ; longueur/largeur/tirant sourcés ; hauteur totale réelle inconnue</x:v>
      </x:c>
      <x:c r="I313" t="str">
        <x:v>À équilibrer</x:v>
      </x:c>
      <x:c r="J313" t="str">
        <x:v>Non</x:v>
      </x:c>
      <x:c r="K313" t="str">
        <x:v>Pièces décrites, murs, portes, niveaux et mobilier inspectables à l’échelle. Volumes réservés, raccord au seed, butin, rencontres et services de campagne restent à terminer.</x:v>
      </x:c>
    </x:row>
    <x:row r="314">
      <x:c r="A314" t="str">
        <x:v>EXT-MONDE-T007-V09</x:v>
      </x:c>
      <x:c r="B314" t="str">
        <x:v>EXT-MONDE-T007</x:v>
      </x:c>
      <x:c r="C314" t="str">
        <x:v>Navires de haute mer</x:v>
      </x:c>
      <x:c r="D314" t="str">
        <x:v>Croiseur militaire abandonné</x:v>
      </x:c>
      <x:c r="E314" t="n">
        <x:v>9</x:v>
      </x:c>
      <x:c r="F314" t="str">
        <x:v>Inspection physique</x:v>
      </x:c>
      <x:c r="G314" t="str">
        <x:v>4 niveaux ; 16 pièces ; 112 segments de mur ; 3 transitions. Inspection physique ; architecture complète encore ouverte.</x:v>
      </x:c>
      <x:c r="H314" t="str">
        <x:v>L 185,928 ; l 20,117 ; hauteur inconnue ; tirant 7,62 ; hauteur émergée auteur 10,18 m ; longueur/largeur/tirant sourcés ; hauteur totale réelle inconnue</x:v>
      </x:c>
      <x:c r="I314" t="str">
        <x:v>À équilibrer</x:v>
      </x:c>
      <x:c r="J314" t="str">
        <x:v>Non</x:v>
      </x:c>
      <x:c r="K314" t="str">
        <x:v>Pièces décrites, murs, portes, niveaux et mobilier inspectables à l’échelle. Volumes réservés, raccord au seed, butin, rencontres et services de campagne restent à terminer.</x:v>
      </x:c>
    </x:row>
    <x:row r="315">
      <x:c r="A315" t="str">
        <x:v>EXT-MONDE-T007-V10</x:v>
      </x:c>
      <x:c r="B315" t="str">
        <x:v>EXT-MONDE-T007</x:v>
      </x:c>
      <x:c r="C315" t="str">
        <x:v>Navires de haute mer</x:v>
      </x:c>
      <x:c r="D315" t="str">
        <x:v>Croiseur militaire abandonné</x:v>
      </x:c>
      <x:c r="E315" t="n">
        <x:v>10</x:v>
      </x:c>
      <x:c r="F315" t="str">
        <x:v>Inspection physique</x:v>
      </x:c>
      <x:c r="G315" t="str">
        <x:v>4 niveaux ; 16 pièces ; 112 segments de mur ; 3 transitions. Inspection physique ; architecture complète encore ouverte.</x:v>
      </x:c>
      <x:c r="H315" t="str">
        <x:v>L 185,928 ; l 20,117 ; hauteur inconnue ; tirant 7,62 ; hauteur émergée auteur 10,18 m ; longueur/largeur/tirant sourcés ; hauteur totale réelle inconnue</x:v>
      </x:c>
      <x:c r="I315" t="str">
        <x:v>À équilibrer</x:v>
      </x:c>
      <x:c r="J315" t="str">
        <x:v>Non</x:v>
      </x:c>
      <x:c r="K315" t="str">
        <x:v>Pièces décrites, murs, portes, niveaux et mobilier inspectables à l’échelle. Volumes réservés, raccord au seed, butin, rencontres et services de campagne restent à terminer.</x:v>
      </x:c>
    </x:row>
    <x:row r="316">
      <x:c r="A316" t="str">
        <x:v>EXT-MONDE-T007-V11</x:v>
      </x:c>
      <x:c r="B316" t="str">
        <x:v>EXT-MONDE-T007</x:v>
      </x:c>
      <x:c r="C316" t="str">
        <x:v>Navires de haute mer</x:v>
      </x:c>
      <x:c r="D316" t="str">
        <x:v>Croiseur militaire abandonné</x:v>
      </x:c>
      <x:c r="E316" t="n">
        <x:v>11</x:v>
      </x:c>
      <x:c r="F316" t="str">
        <x:v>Inspection physique</x:v>
      </x:c>
      <x:c r="G316" t="str">
        <x:v>4 niveaux ; 24 pièces ; 160 segments de mur ; 3 transitions. Inspection physique ; architecture complète encore ouverte.</x:v>
      </x:c>
      <x:c r="H316" t="str">
        <x:v>L 185,928 ; l 20,117 ; hauteur inconnue ; tirant 7,62 ; hauteur émergée auteur 10,18 m ; longueur/largeur/tirant sourcés ; hauteur totale réelle inconnue</x:v>
      </x:c>
      <x:c r="I316" t="str">
        <x:v>À équilibrer</x:v>
      </x:c>
      <x:c r="J316" t="str">
        <x:v>Non</x:v>
      </x:c>
      <x:c r="K316" t="str">
        <x:v>Pièces décrites, murs, portes, niveaux et mobilier inspectables à l’échelle. Volumes réservés, raccord au seed, butin, rencontres et services de campagne restent à terminer.</x:v>
      </x:c>
    </x:row>
    <x:row r="317">
      <x:c r="A317" t="str">
        <x:v>EXT-MONDE-T007-V12</x:v>
      </x:c>
      <x:c r="B317" t="str">
        <x:v>EXT-MONDE-T007</x:v>
      </x:c>
      <x:c r="C317" t="str">
        <x:v>Navires de haute mer</x:v>
      </x:c>
      <x:c r="D317" t="str">
        <x:v>Croiseur militaire abandonné</x:v>
      </x:c>
      <x:c r="E317" t="n">
        <x:v>12</x:v>
      </x:c>
      <x:c r="F317" t="str">
        <x:v>Inspection physique</x:v>
      </x:c>
      <x:c r="G317" t="str">
        <x:v>4 niveaux ; 24 pièces ; 160 segments de mur ; 3 transitions. Inspection physique ; architecture complète encore ouverte.</x:v>
      </x:c>
      <x:c r="H317" t="str">
        <x:v>L 185,928 ; l 20,117 ; hauteur inconnue ; tirant 7,62 ; hauteur émergée auteur 10,18 m ; longueur/largeur/tirant sourcés ; hauteur totale réelle inconnue</x:v>
      </x:c>
      <x:c r="I317" t="str">
        <x:v>À équilibrer</x:v>
      </x:c>
      <x:c r="J317" t="str">
        <x:v>Non</x:v>
      </x:c>
      <x:c r="K317" t="str">
        <x:v>Pièces décrites, murs, portes, niveaux et mobilier inspectables à l’échelle. Volumes réservés, raccord au seed, butin, rencontres et services de campagne restent à terminer.</x:v>
      </x:c>
    </x:row>
    <x:row r="318">
      <x:c r="A318" t="str">
        <x:v>EXT-MONDE-T007-V13</x:v>
      </x:c>
      <x:c r="B318" t="str">
        <x:v>EXT-MONDE-T007</x:v>
      </x:c>
      <x:c r="C318" t="str">
        <x:v>Navires de haute mer</x:v>
      </x:c>
      <x:c r="D318" t="str">
        <x:v>Croiseur militaire abandonné</x:v>
      </x:c>
      <x:c r="E318" t="n">
        <x:v>13</x:v>
      </x:c>
      <x:c r="F318" t="str">
        <x:v>Inspection physique</x:v>
      </x:c>
      <x:c r="G318" t="str">
        <x:v>4 niveaux ; 24 pièces ; 160 segments de mur ; 3 transitions. Inspection physique ; architecture complète encore ouverte.</x:v>
      </x:c>
      <x:c r="H318" t="str">
        <x:v>L 185,928 ; l 20,117 ; hauteur inconnue ; tirant 7,62 ; hauteur émergée auteur 10,18 m ; longueur/largeur/tirant sourcés ; hauteur totale réelle inconnue</x:v>
      </x:c>
      <x:c r="I318" t="str">
        <x:v>À équilibrer</x:v>
      </x:c>
      <x:c r="J318" t="str">
        <x:v>Non</x:v>
      </x:c>
      <x:c r="K318" t="str">
        <x:v>Pièces décrites, murs, portes, niveaux et mobilier inspectables à l’échelle. Volumes réservés, raccord au seed, butin, rencontres et services de campagne restent à terminer.</x:v>
      </x:c>
    </x:row>
    <x:row r="319">
      <x:c r="A319" t="str">
        <x:v>EXT-MONDE-T007-V14</x:v>
      </x:c>
      <x:c r="B319" t="str">
        <x:v>EXT-MONDE-T007</x:v>
      </x:c>
      <x:c r="C319" t="str">
        <x:v>Navires de haute mer</x:v>
      </x:c>
      <x:c r="D319" t="str">
        <x:v>Croiseur militaire abandonné</x:v>
      </x:c>
      <x:c r="E319" t="n">
        <x:v>14</x:v>
      </x:c>
      <x:c r="F319" t="str">
        <x:v>Inspection physique</x:v>
      </x:c>
      <x:c r="G319" t="str">
        <x:v>4 niveaux ; 24 pièces ; 160 segments de mur ; 3 transitions. Inspection physique ; architecture complète encore ouverte.</x:v>
      </x:c>
      <x:c r="H319" t="str">
        <x:v>L 185,928 ; l 20,117 ; hauteur inconnue ; tirant 7,62 ; hauteur émergée auteur 10,18 m ; longueur/largeur/tirant sourcés ; hauteur totale réelle inconnue</x:v>
      </x:c>
      <x:c r="I319" t="str">
        <x:v>À équilibrer</x:v>
      </x:c>
      <x:c r="J319" t="str">
        <x:v>Non</x:v>
      </x:c>
      <x:c r="K319" t="str">
        <x:v>Pièces décrites, murs, portes, niveaux et mobilier inspectables à l’échelle. Volumes réservés, raccord au seed, butin, rencontres et services de campagne restent à terminer.</x:v>
      </x:c>
    </x:row>
    <x:row r="320">
      <x:c r="A320" t="str">
        <x:v>EXT-MONDE-T007-V15</x:v>
      </x:c>
      <x:c r="B320" t="str">
        <x:v>EXT-MONDE-T007</x:v>
      </x:c>
      <x:c r="C320" t="str">
        <x:v>Navires de haute mer</x:v>
      </x:c>
      <x:c r="D320" t="str">
        <x:v>Croiseur militaire abandonné</x:v>
      </x:c>
      <x:c r="E320" t="n">
        <x:v>15</x:v>
      </x:c>
      <x:c r="F320" t="str">
        <x:v>Inspection physique</x:v>
      </x:c>
      <x:c r="G320" t="str">
        <x:v>4 niveaux ; 24 pièces ; 160 segments de mur ; 3 transitions. Inspection physique ; architecture complète encore ouverte.</x:v>
      </x:c>
      <x:c r="H320" t="str">
        <x:v>L 185,928 ; l 20,117 ; hauteur inconnue ; tirant 7,62 ; hauteur émergée auteur 10,18 m ; longueur/largeur/tirant sourcés ; hauteur totale réelle inconnue</x:v>
      </x:c>
      <x:c r="I320" t="str">
        <x:v>À équilibrer</x:v>
      </x:c>
      <x:c r="J320" t="str">
        <x:v>Non</x:v>
      </x:c>
      <x:c r="K320" t="str">
        <x:v>Pièces décrites, murs, portes, niveaux et mobilier inspectables à l’échelle. Volumes réservés, raccord au seed, butin, rencontres et services de campagne restent à terminer.</x:v>
      </x:c>
    </x:row>
    <x:row r="321">
      <x:c r="A321" t="str">
        <x:v>EXT-MONDE-T007-V16</x:v>
      </x:c>
      <x:c r="B321" t="str">
        <x:v>EXT-MONDE-T007</x:v>
      </x:c>
      <x:c r="C321" t="str">
        <x:v>Navires de haute mer</x:v>
      </x:c>
      <x:c r="D321" t="str">
        <x:v>Croiseur militaire abandonné</x:v>
      </x:c>
      <x:c r="E321" t="n">
        <x:v>16</x:v>
      </x:c>
      <x:c r="F321" t="str">
        <x:v>Inspection physique</x:v>
      </x:c>
      <x:c r="G321" t="str">
        <x:v>4 niveaux ; 24 pièces ; 160 segments de mur ; 3 transitions. Inspection physique ; architecture complète encore ouverte.</x:v>
      </x:c>
      <x:c r="H321" t="str">
        <x:v>L 185,928 ; l 20,117 ; hauteur inconnue ; tirant 7,62 ; hauteur émergée auteur 10,18 m ; longueur/largeur/tirant sourcés ; hauteur totale réelle inconnue</x:v>
      </x:c>
      <x:c r="I321" t="str">
        <x:v>À équilibrer</x:v>
      </x:c>
      <x:c r="J321" t="str">
        <x:v>Non</x:v>
      </x:c>
      <x:c r="K321" t="str">
        <x:v>Pièces décrites, murs, portes, niveaux et mobilier inspectables à l’échelle. Volumes réservés, raccord au seed, butin, rencontres et services de campagne restent à terminer.</x:v>
      </x:c>
    </x:row>
    <x:row r="322">
      <x:c r="A322" t="str">
        <x:v>EXT-MONDE-T007-V17</x:v>
      </x:c>
      <x:c r="B322" t="str">
        <x:v>EXT-MONDE-T007</x:v>
      </x:c>
      <x:c r="C322" t="str">
        <x:v>Navires de haute mer</x:v>
      </x:c>
      <x:c r="D322" t="str">
        <x:v>Croiseur militaire abandonné</x:v>
      </x:c>
      <x:c r="E322" t="n">
        <x:v>17</x:v>
      </x:c>
      <x:c r="F322" t="str">
        <x:v>Inspection physique</x:v>
      </x:c>
      <x:c r="G322" t="str">
        <x:v>4 niveaux ; 24 pièces ; 160 segments de mur ; 3 transitions. Inspection physique ; architecture complète encore ouverte.</x:v>
      </x:c>
      <x:c r="H322" t="str">
        <x:v>L 185,928 ; l 20,117 ; hauteur inconnue ; tirant 7,62 ; hauteur émergée auteur 10,18 m ; longueur/largeur/tirant sourcés ; hauteur totale réelle inconnue</x:v>
      </x:c>
      <x:c r="I322" t="str">
        <x:v>À équilibrer</x:v>
      </x:c>
      <x:c r="J322" t="str">
        <x:v>Non</x:v>
      </x:c>
      <x:c r="K322" t="str">
        <x:v>Pièces décrites, murs, portes, niveaux et mobilier inspectables à l’échelle. Volumes réservés, raccord au seed, butin, rencontres et services de campagne restent à terminer.</x:v>
      </x:c>
    </x:row>
    <x:row r="323">
      <x:c r="A323" t="str">
        <x:v>EXT-MONDE-T007-V18</x:v>
      </x:c>
      <x:c r="B323" t="str">
        <x:v>EXT-MONDE-T007</x:v>
      </x:c>
      <x:c r="C323" t="str">
        <x:v>Navires de haute mer</x:v>
      </x:c>
      <x:c r="D323" t="str">
        <x:v>Croiseur militaire abandonné</x:v>
      </x:c>
      <x:c r="E323" t="n">
        <x:v>18</x:v>
      </x:c>
      <x:c r="F323" t="str">
        <x:v>Inspection physique</x:v>
      </x:c>
      <x:c r="G323" t="str">
        <x:v>4 niveaux ; 24 pièces ; 160 segments de mur ; 3 transitions. Inspection physique ; architecture complète encore ouverte.</x:v>
      </x:c>
      <x:c r="H323" t="str">
        <x:v>L 185,928 ; l 20,117 ; hauteur inconnue ; tirant 7,62 ; hauteur émergée auteur 10,18 m ; longueur/largeur/tirant sourcés ; hauteur totale réelle inconnue</x:v>
      </x:c>
      <x:c r="I323" t="str">
        <x:v>À équilibrer</x:v>
      </x:c>
      <x:c r="J323" t="str">
        <x:v>Non</x:v>
      </x:c>
      <x:c r="K323" t="str">
        <x:v>Pièces décrites, murs, portes, niveaux et mobilier inspectables à l’échelle. Volumes réservés, raccord au seed, butin, rencontres et services de campagne restent à terminer.</x:v>
      </x:c>
    </x:row>
    <x:row r="324">
      <x:c r="A324" t="str">
        <x:v>EXT-MONDE-T007-V19</x:v>
      </x:c>
      <x:c r="B324" t="str">
        <x:v>EXT-MONDE-T007</x:v>
      </x:c>
      <x:c r="C324" t="str">
        <x:v>Navires de haute mer</x:v>
      </x:c>
      <x:c r="D324" t="str">
        <x:v>Croiseur militaire abandonné</x:v>
      </x:c>
      <x:c r="E324" t="n">
        <x:v>19</x:v>
      </x:c>
      <x:c r="F324" t="str">
        <x:v>Inspection physique</x:v>
      </x:c>
      <x:c r="G324" t="str">
        <x:v>4 niveaux ; 24 pièces ; 160 segments de mur ; 3 transitions. Inspection physique ; architecture complète encore ouverte.</x:v>
      </x:c>
      <x:c r="H324" t="str">
        <x:v>L 185,928 ; l 20,117 ; hauteur inconnue ; tirant 7,62 ; hauteur émergée auteur 10,18 m ; longueur/largeur/tirant sourcés ; hauteur totale réelle inconnue</x:v>
      </x:c>
      <x:c r="I324" t="str">
        <x:v>À équilibrer</x:v>
      </x:c>
      <x:c r="J324" t="str">
        <x:v>Non</x:v>
      </x:c>
      <x:c r="K324" t="str">
        <x:v>Pièces décrites, murs, portes, niveaux et mobilier inspectables à l’échelle. Volumes réservés, raccord au seed, butin, rencontres et services de campagne restent à terminer.</x:v>
      </x:c>
    </x:row>
    <x:row r="325">
      <x:c r="A325" t="str">
        <x:v>EXT-MONDE-T007-V20</x:v>
      </x:c>
      <x:c r="B325" t="str">
        <x:v>EXT-MONDE-T007</x:v>
      </x:c>
      <x:c r="C325" t="str">
        <x:v>Navires de haute mer</x:v>
      </x:c>
      <x:c r="D325" t="str">
        <x:v>Croiseur militaire abandonné</x:v>
      </x:c>
      <x:c r="E325" t="n">
        <x:v>20</x:v>
      </x:c>
      <x:c r="F325" t="str">
        <x:v>Inspection physique</x:v>
      </x:c>
      <x:c r="G325" t="str">
        <x:v>4 niveaux ; 24 pièces ; 160 segments de mur ; 3 transitions. Inspection physique ; architecture complète encore ouverte.</x:v>
      </x:c>
      <x:c r="H325" t="str">
        <x:v>L 185,928 ; l 20,117 ; hauteur inconnue ; tirant 7,62 ; hauteur émergée auteur 10,18 m ; longueur/largeur/tirant sourcés ; hauteur totale réelle inconnue</x:v>
      </x:c>
      <x:c r="I325" t="str">
        <x:v>À équilibrer</x:v>
      </x:c>
      <x:c r="J325" t="str">
        <x:v>Non</x:v>
      </x:c>
      <x:c r="K325" t="str">
        <x:v>Pièces décrites, murs, portes, niveaux et mobilier inspectables à l’échelle. Volumes réservés, raccord au seed, butin, rencontres et services de campagne restent à terminer.</x:v>
      </x:c>
    </x:row>
    <x:row r="326">
      <x:c r="A326" t="str">
        <x:v>EXT-MONDE-T007-V21</x:v>
      </x:c>
      <x:c r="B326" t="str">
        <x:v>EXT-MONDE-T007</x:v>
      </x:c>
      <x:c r="C326" t="str">
        <x:v>Navires de haute mer</x:v>
      </x:c>
      <x:c r="D326" t="str">
        <x:v>Croiseur militaire abandonné</x:v>
      </x:c>
      <x:c r="E326" t="n">
        <x:v>21</x:v>
      </x:c>
      <x:c r="F326" t="str">
        <x:v>Inspection physique</x:v>
      </x:c>
      <x:c r="G326" t="str">
        <x:v>4 niveaux ; 32 pièces ; 208 segments de mur ; 3 transitions. Inspection physique ; architecture complète encore ouverte.</x:v>
      </x:c>
      <x:c r="H326" t="str">
        <x:v>L 185,928 ; l 20,117 ; hauteur inconnue ; tirant 7,62 ; hauteur émergée auteur 10,18 m ; longueur/largeur/tirant sourcés ; hauteur totale réelle inconnue</x:v>
      </x:c>
      <x:c r="I326" t="str">
        <x:v>À équilibrer</x:v>
      </x:c>
      <x:c r="J326" t="str">
        <x:v>Non</x:v>
      </x:c>
      <x:c r="K326" t="str">
        <x:v>Pièces décrites, murs, portes, niveaux et mobilier inspectables à l’échelle. Volumes réservés, raccord au seed, butin, rencontres et services de campagne restent à terminer.</x:v>
      </x:c>
    </x:row>
    <x:row r="327">
      <x:c r="A327" t="str">
        <x:v>EXT-MONDE-T007-V22</x:v>
      </x:c>
      <x:c r="B327" t="str">
        <x:v>EXT-MONDE-T007</x:v>
      </x:c>
      <x:c r="C327" t="str">
        <x:v>Navires de haute mer</x:v>
      </x:c>
      <x:c r="D327" t="str">
        <x:v>Croiseur militaire abandonné</x:v>
      </x:c>
      <x:c r="E327" t="n">
        <x:v>22</x:v>
      </x:c>
      <x:c r="F327" t="str">
        <x:v>Inspection physique</x:v>
      </x:c>
      <x:c r="G327" t="str">
        <x:v>4 niveaux ; 32 pièces ; 208 segments de mur ; 3 transitions. Inspection physique ; architecture complète encore ouverte.</x:v>
      </x:c>
      <x:c r="H327" t="str">
        <x:v>L 185,928 ; l 20,117 ; hauteur inconnue ; tirant 7,62 ; hauteur émergée auteur 10,18 m ; longueur/largeur/tirant sourcés ; hauteur totale réelle inconnue</x:v>
      </x:c>
      <x:c r="I327" t="str">
        <x:v>À équilibrer</x:v>
      </x:c>
      <x:c r="J327" t="str">
        <x:v>Non</x:v>
      </x:c>
      <x:c r="K327" t="str">
        <x:v>Pièces décrites, murs, portes, niveaux et mobilier inspectables à l’échelle. Volumes réservés, raccord au seed, butin, rencontres et services de campagne restent à terminer.</x:v>
      </x:c>
    </x:row>
    <x:row r="328">
      <x:c r="A328" t="str">
        <x:v>EXT-MONDE-T007-V23</x:v>
      </x:c>
      <x:c r="B328" t="str">
        <x:v>EXT-MONDE-T007</x:v>
      </x:c>
      <x:c r="C328" t="str">
        <x:v>Navires de haute mer</x:v>
      </x:c>
      <x:c r="D328" t="str">
        <x:v>Croiseur militaire abandonné</x:v>
      </x:c>
      <x:c r="E328" t="n">
        <x:v>23</x:v>
      </x:c>
      <x:c r="F328" t="str">
        <x:v>Inspection physique</x:v>
      </x:c>
      <x:c r="G328" t="str">
        <x:v>4 niveaux ; 32 pièces ; 208 segments de mur ; 3 transitions. Inspection physique ; architecture complète encore ouverte.</x:v>
      </x:c>
      <x:c r="H328" t="str">
        <x:v>L 185,928 ; l 20,117 ; hauteur inconnue ; tirant 7,62 ; hauteur émergée auteur 10,18 m ; longueur/largeur/tirant sourcés ; hauteur totale réelle inconnue</x:v>
      </x:c>
      <x:c r="I328" t="str">
        <x:v>À équilibrer</x:v>
      </x:c>
      <x:c r="J328" t="str">
        <x:v>Non</x:v>
      </x:c>
      <x:c r="K328" t="str">
        <x:v>Pièces décrites, murs, portes, niveaux et mobilier inspectables à l’échelle. Volumes réservés, raccord au seed, butin, rencontres et services de campagne restent à terminer.</x:v>
      </x:c>
    </x:row>
    <x:row r="329">
      <x:c r="A329" t="str">
        <x:v>EXT-MONDE-T007-V24</x:v>
      </x:c>
      <x:c r="B329" t="str">
        <x:v>EXT-MONDE-T007</x:v>
      </x:c>
      <x:c r="C329" t="str">
        <x:v>Navires de haute mer</x:v>
      </x:c>
      <x:c r="D329" t="str">
        <x:v>Croiseur militaire abandonné</x:v>
      </x:c>
      <x:c r="E329" t="n">
        <x:v>24</x:v>
      </x:c>
      <x:c r="F329" t="str">
        <x:v>Inspection physique</x:v>
      </x:c>
      <x:c r="G329" t="str">
        <x:v>4 niveaux ; 32 pièces ; 208 segments de mur ; 3 transitions. Inspection physique ; architecture complète encore ouverte.</x:v>
      </x:c>
      <x:c r="H329" t="str">
        <x:v>L 185,928 ; l 20,117 ; hauteur inconnue ; tirant 7,62 ; hauteur émergée auteur 10,18 m ; longueur/largeur/tirant sourcés ; hauteur totale réelle inconnue</x:v>
      </x:c>
      <x:c r="I329" t="str">
        <x:v>À équilibrer</x:v>
      </x:c>
      <x:c r="J329" t="str">
        <x:v>Non</x:v>
      </x:c>
      <x:c r="K329" t="str">
        <x:v>Pièces décrites, murs, portes, niveaux et mobilier inspectables à l’échelle. Volumes réservés, raccord au seed, butin, rencontres et services de campagne restent à terminer.</x:v>
      </x:c>
    </x:row>
    <x:row r="330">
      <x:c r="A330" t="str">
        <x:v>EXT-MONDE-T007-V25</x:v>
      </x:c>
      <x:c r="B330" t="str">
        <x:v>EXT-MONDE-T007</x:v>
      </x:c>
      <x:c r="C330" t="str">
        <x:v>Navires de haute mer</x:v>
      </x:c>
      <x:c r="D330" t="str">
        <x:v>Croiseur militaire abandonné</x:v>
      </x:c>
      <x:c r="E330" t="n">
        <x:v>25</x:v>
      </x:c>
      <x:c r="F330" t="str">
        <x:v>Inspection physique</x:v>
      </x:c>
      <x:c r="G330" t="str">
        <x:v>4 niveaux ; 32 pièces ; 208 segments de mur ; 3 transitions. Inspection physique ; architecture complète encore ouverte.</x:v>
      </x:c>
      <x:c r="H330" t="str">
        <x:v>L 185,928 ; l 20,117 ; hauteur inconnue ; tirant 7,62 ; hauteur émergée auteur 10,18 m ; longueur/largeur/tirant sourcés ; hauteur totale réelle inconnue</x:v>
      </x:c>
      <x:c r="I330" t="str">
        <x:v>À équilibrer</x:v>
      </x:c>
      <x:c r="J330" t="str">
        <x:v>Non</x:v>
      </x:c>
      <x:c r="K330" t="str">
        <x:v>Pièces décrites, murs, portes, niveaux et mobilier inspectables à l’échelle. Volumes réservés, raccord au seed, butin, rencontres et services de campagne restent à terminer.</x:v>
      </x:c>
    </x:row>
    <x:row r="331">
      <x:c r="A331" t="str">
        <x:v>EXT-MONDE-T007-V26</x:v>
      </x:c>
      <x:c r="B331" t="str">
        <x:v>EXT-MONDE-T007</x:v>
      </x:c>
      <x:c r="C331" t="str">
        <x:v>Navires de haute mer</x:v>
      </x:c>
      <x:c r="D331" t="str">
        <x:v>Croiseur militaire abandonné</x:v>
      </x:c>
      <x:c r="E331" t="n">
        <x:v>26</x:v>
      </x:c>
      <x:c r="F331" t="str">
        <x:v>Inspection physique</x:v>
      </x:c>
      <x:c r="G331" t="str">
        <x:v>4 niveaux ; 32 pièces ; 208 segments de mur ; 3 transitions. Inspection physique ; architecture complète encore ouverte.</x:v>
      </x:c>
      <x:c r="H331" t="str">
        <x:v>L 185,928 ; l 20,117 ; hauteur inconnue ; tirant 7,62 ; hauteur émergée auteur 10,18 m ; longueur/largeur/tirant sourcés ; hauteur totale réelle inconnue</x:v>
      </x:c>
      <x:c r="I331" t="str">
        <x:v>À équilibrer</x:v>
      </x:c>
      <x:c r="J331" t="str">
        <x:v>Non</x:v>
      </x:c>
      <x:c r="K331" t="str">
        <x:v>Pièces décrites, murs, portes, niveaux et mobilier inspectables à l’échelle. Volumes réservés, raccord au seed, butin, rencontres et services de campagne restent à terminer.</x:v>
      </x:c>
    </x:row>
    <x:row r="332">
      <x:c r="A332" t="str">
        <x:v>EXT-MONDE-T007-V27</x:v>
      </x:c>
      <x:c r="B332" t="str">
        <x:v>EXT-MONDE-T007</x:v>
      </x:c>
      <x:c r="C332" t="str">
        <x:v>Navires de haute mer</x:v>
      </x:c>
      <x:c r="D332" t="str">
        <x:v>Croiseur militaire abandonné</x:v>
      </x:c>
      <x:c r="E332" t="n">
        <x:v>27</x:v>
      </x:c>
      <x:c r="F332" t="str">
        <x:v>Inspection physique</x:v>
      </x:c>
      <x:c r="G332" t="str">
        <x:v>4 niveaux ; 32 pièces ; 208 segments de mur ; 3 transitions. Inspection physique ; architecture complète encore ouverte.</x:v>
      </x:c>
      <x:c r="H332" t="str">
        <x:v>L 185,928 ; l 20,117 ; hauteur inconnue ; tirant 7,62 ; hauteur émergée auteur 10,18 m ; longueur/largeur/tirant sourcés ; hauteur totale réelle inconnue</x:v>
      </x:c>
      <x:c r="I332" t="str">
        <x:v>À équilibrer</x:v>
      </x:c>
      <x:c r="J332" t="str">
        <x:v>Non</x:v>
      </x:c>
      <x:c r="K332" t="str">
        <x:v>Pièces décrites, murs, portes, niveaux et mobilier inspectables à l’échelle. Volumes réservés, raccord au seed, butin, rencontres et services de campagne restent à terminer.</x:v>
      </x:c>
    </x:row>
    <x:row r="333">
      <x:c r="A333" t="str">
        <x:v>EXT-MONDE-T007-V28</x:v>
      </x:c>
      <x:c r="B333" t="str">
        <x:v>EXT-MONDE-T007</x:v>
      </x:c>
      <x:c r="C333" t="str">
        <x:v>Navires de haute mer</x:v>
      </x:c>
      <x:c r="D333" t="str">
        <x:v>Croiseur militaire abandonné</x:v>
      </x:c>
      <x:c r="E333" t="n">
        <x:v>28</x:v>
      </x:c>
      <x:c r="F333" t="str">
        <x:v>Inspection physique</x:v>
      </x:c>
      <x:c r="G333" t="str">
        <x:v>4 niveaux ; 32 pièces ; 208 segments de mur ; 3 transitions. Inspection physique ; architecture complète encore ouverte.</x:v>
      </x:c>
      <x:c r="H333" t="str">
        <x:v>L 185,928 ; l 20,117 ; hauteur inconnue ; tirant 7,62 ; hauteur émergée auteur 10,18 m ; longueur/largeur/tirant sourcés ; hauteur totale réelle inconnue</x:v>
      </x:c>
      <x:c r="I333" t="str">
        <x:v>À équilibrer</x:v>
      </x:c>
      <x:c r="J333" t="str">
        <x:v>Non</x:v>
      </x:c>
      <x:c r="K333" t="str">
        <x:v>Pièces décrites, murs, portes, niveaux et mobilier inspectables à l’échelle. Volumes réservés, raccord au seed, butin, rencontres et services de campagne restent à terminer.</x:v>
      </x:c>
    </x:row>
    <x:row r="334">
      <x:c r="A334" t="str">
        <x:v>EXT-MONDE-T007-V29</x:v>
      </x:c>
      <x:c r="B334" t="str">
        <x:v>EXT-MONDE-T007</x:v>
      </x:c>
      <x:c r="C334" t="str">
        <x:v>Navires de haute mer</x:v>
      </x:c>
      <x:c r="D334" t="str">
        <x:v>Croiseur militaire abandonné</x:v>
      </x:c>
      <x:c r="E334" t="n">
        <x:v>29</x:v>
      </x:c>
      <x:c r="F334" t="str">
        <x:v>Inspection physique</x:v>
      </x:c>
      <x:c r="G334" t="str">
        <x:v>4 niveaux ; 32 pièces ; 208 segments de mur ; 3 transitions. Inspection physique ; architecture complète encore ouverte.</x:v>
      </x:c>
      <x:c r="H334" t="str">
        <x:v>L 185,928 ; l 20,117 ; hauteur inconnue ; tirant 7,62 ; hauteur émergée auteur 10,18 m ; longueur/largeur/tirant sourcés ; hauteur totale réelle inconnue</x:v>
      </x:c>
      <x:c r="I334" t="str">
        <x:v>À équilibrer</x:v>
      </x:c>
      <x:c r="J334" t="str">
        <x:v>Non</x:v>
      </x:c>
      <x:c r="K334" t="str">
        <x:v>Pièces décrites, murs, portes, niveaux et mobilier inspectables à l’échelle. Volumes réservés, raccord au seed, butin, rencontres et services de campagne restent à terminer.</x:v>
      </x:c>
    </x:row>
    <x:row r="335">
      <x:c r="A335" t="str">
        <x:v>EXT-MONDE-T007-V30</x:v>
      </x:c>
      <x:c r="B335" t="str">
        <x:v>EXT-MONDE-T007</x:v>
      </x:c>
      <x:c r="C335" t="str">
        <x:v>Navires de haute mer</x:v>
      </x:c>
      <x:c r="D335" t="str">
        <x:v>Croiseur militaire abandonné</x:v>
      </x:c>
      <x:c r="E335" t="n">
        <x:v>30</x:v>
      </x:c>
      <x:c r="F335" t="str">
        <x:v>Inspection physique</x:v>
      </x:c>
      <x:c r="G335" t="str">
        <x:v>4 niveaux ; 32 pièces ; 208 segments de mur ; 3 transitions. Inspection physique ; architecture complète encore ouverte.</x:v>
      </x:c>
      <x:c r="H335" t="str">
        <x:v>L 185,928 ; l 20,117 ; hauteur inconnue ; tirant 7,62 ; hauteur émergée auteur 10,18 m ; longueur/largeur/tirant sourcés ; hauteur totale réelle inconnue</x:v>
      </x:c>
      <x:c r="I335" t="str">
        <x:v>À équilibrer</x:v>
      </x:c>
      <x:c r="J335" t="str">
        <x:v>Non</x:v>
      </x:c>
      <x:c r="K335" t="str">
        <x:v>Pièces décrites, murs, portes, niveaux et mobilier inspectables à l’échelle. Volumes réservés, raccord au seed, butin, rencontres et services de campagne restent à terminer.</x:v>
      </x:c>
    </x:row>
    <x:row r="336">
      <x:c r="A336" t="str">
        <x:v>EXT-MONDE-T007-V31</x:v>
      </x:c>
      <x:c r="B336" t="str">
        <x:v>EXT-MONDE-T007</x:v>
      </x:c>
      <x:c r="C336" t="str">
        <x:v>Navires de haute mer</x:v>
      </x:c>
      <x:c r="D336" t="str">
        <x:v>Croiseur militaire abandonné</x:v>
      </x:c>
      <x:c r="E336" t="n">
        <x:v>31</x:v>
      </x:c>
      <x:c r="F336" t="str">
        <x:v>Inspection physique</x:v>
      </x:c>
      <x:c r="G336" t="str">
        <x:v>4 niveaux ; 40 pièces ; 256 segments de mur ; 3 transitions. Inspection physique ; architecture complète encore ouverte.</x:v>
      </x:c>
      <x:c r="H336" t="str">
        <x:v>L 185,928 ; l 20,117 ; hauteur inconnue ; tirant 7,62 ; hauteur émergée auteur 10,18 m ; longueur/largeur/tirant sourcés ; hauteur totale réelle inconnue</x:v>
      </x:c>
      <x:c r="I336" t="str">
        <x:v>À équilibrer</x:v>
      </x:c>
      <x:c r="J336" t="str">
        <x:v>Non</x:v>
      </x:c>
      <x:c r="K336" t="str">
        <x:v>Pièces décrites, murs, portes, niveaux et mobilier inspectables à l’échelle. Volumes réservés, raccord au seed, butin, rencontres et services de campagne restent à terminer.</x:v>
      </x:c>
    </x:row>
    <x:row r="337">
      <x:c r="A337" t="str">
        <x:v>EXT-MONDE-T007-V32</x:v>
      </x:c>
      <x:c r="B337" t="str">
        <x:v>EXT-MONDE-T007</x:v>
      </x:c>
      <x:c r="C337" t="str">
        <x:v>Navires de haute mer</x:v>
      </x:c>
      <x:c r="D337" t="str">
        <x:v>Croiseur militaire abandonné</x:v>
      </x:c>
      <x:c r="E337" t="n">
        <x:v>32</x:v>
      </x:c>
      <x:c r="F337" t="str">
        <x:v>Inspection physique</x:v>
      </x:c>
      <x:c r="G337" t="str">
        <x:v>4 niveaux ; 40 pièces ; 256 segments de mur ; 3 transitions. Inspection physique ; architecture complète encore ouverte.</x:v>
      </x:c>
      <x:c r="H337" t="str">
        <x:v>L 185,928 ; l 20,117 ; hauteur inconnue ; tirant 7,62 ; hauteur émergée auteur 10,18 m ; longueur/largeur/tirant sourcés ; hauteur totale réelle inconnue</x:v>
      </x:c>
      <x:c r="I337" t="str">
        <x:v>À équilibrer</x:v>
      </x:c>
      <x:c r="J337" t="str">
        <x:v>Non</x:v>
      </x:c>
      <x:c r="K337" t="str">
        <x:v>Pièces décrites, murs, portes, niveaux et mobilier inspectables à l’échelle. Volumes réservés, raccord au seed, butin, rencontres et services de campagne restent à terminer.</x:v>
      </x:c>
    </x:row>
    <x:row r="338">
      <x:c r="A338" t="str">
        <x:v>EXT-MONDE-T007-V33</x:v>
      </x:c>
      <x:c r="B338" t="str">
        <x:v>EXT-MONDE-T007</x:v>
      </x:c>
      <x:c r="C338" t="str">
        <x:v>Navires de haute mer</x:v>
      </x:c>
      <x:c r="D338" t="str">
        <x:v>Croiseur militaire abandonné</x:v>
      </x:c>
      <x:c r="E338" t="n">
        <x:v>33</x:v>
      </x:c>
      <x:c r="F338" t="str">
        <x:v>Inspection physique</x:v>
      </x:c>
      <x:c r="G338" t="str">
        <x:v>4 niveaux ; 40 pièces ; 256 segments de mur ; 3 transitions. Inspection physique ; architecture complète encore ouverte.</x:v>
      </x:c>
      <x:c r="H338" t="str">
        <x:v>L 185,928 ; l 20,117 ; hauteur inconnue ; tirant 7,62 ; hauteur émergée auteur 10,18 m ; longueur/largeur/tirant sourcés ; hauteur totale réelle inconnue</x:v>
      </x:c>
      <x:c r="I338" t="str">
        <x:v>À équilibrer</x:v>
      </x:c>
      <x:c r="J338" t="str">
        <x:v>Non</x:v>
      </x:c>
      <x:c r="K338" t="str">
        <x:v>Pièces décrites, murs, portes, niveaux et mobilier inspectables à l’échelle. Volumes réservés, raccord au seed, butin, rencontres et services de campagne restent à terminer.</x:v>
      </x:c>
    </x:row>
    <x:row r="339">
      <x:c r="A339" t="str">
        <x:v>EXT-MONDE-T007-V34</x:v>
      </x:c>
      <x:c r="B339" t="str">
        <x:v>EXT-MONDE-T007</x:v>
      </x:c>
      <x:c r="C339" t="str">
        <x:v>Navires de haute mer</x:v>
      </x:c>
      <x:c r="D339" t="str">
        <x:v>Croiseur militaire abandonné</x:v>
      </x:c>
      <x:c r="E339" t="n">
        <x:v>34</x:v>
      </x:c>
      <x:c r="F339" t="str">
        <x:v>Inspection physique</x:v>
      </x:c>
      <x:c r="G339" t="str">
        <x:v>4 niveaux ; 40 pièces ; 256 segments de mur ; 3 transitions. Inspection physique ; architecture complète encore ouverte.</x:v>
      </x:c>
      <x:c r="H339" t="str">
        <x:v>L 185,928 ; l 20,117 ; hauteur inconnue ; tirant 7,62 ; hauteur émergée auteur 10,18 m ; longueur/largeur/tirant sourcés ; hauteur totale réelle inconnue</x:v>
      </x:c>
      <x:c r="I339" t="str">
        <x:v>À équilibrer</x:v>
      </x:c>
      <x:c r="J339" t="str">
        <x:v>Non</x:v>
      </x:c>
      <x:c r="K339" t="str">
        <x:v>Pièces décrites, murs, portes, niveaux et mobilier inspectables à l’échelle. Volumes réservés, raccord au seed, butin, rencontres et services de campagne restent à terminer.</x:v>
      </x:c>
    </x:row>
    <x:row r="340">
      <x:c r="A340" t="str">
        <x:v>EXT-MONDE-T007-V35</x:v>
      </x:c>
      <x:c r="B340" t="str">
        <x:v>EXT-MONDE-T007</x:v>
      </x:c>
      <x:c r="C340" t="str">
        <x:v>Navires de haute mer</x:v>
      </x:c>
      <x:c r="D340" t="str">
        <x:v>Croiseur militaire abandonné</x:v>
      </x:c>
      <x:c r="E340" t="n">
        <x:v>35</x:v>
      </x:c>
      <x:c r="F340" t="str">
        <x:v>Inspection physique</x:v>
      </x:c>
      <x:c r="G340" t="str">
        <x:v>4 niveaux ; 40 pièces ; 256 segments de mur ; 3 transitions. Inspection physique ; architecture complète encore ouverte.</x:v>
      </x:c>
      <x:c r="H340" t="str">
        <x:v>L 185,928 ; l 20,117 ; hauteur inconnue ; tirant 7,62 ; hauteur émergée auteur 10,18 m ; longueur/largeur/tirant sourcés ; hauteur totale réelle inconnue</x:v>
      </x:c>
      <x:c r="I340" t="str">
        <x:v>À équilibrer</x:v>
      </x:c>
      <x:c r="J340" t="str">
        <x:v>Non</x:v>
      </x:c>
      <x:c r="K340" t="str">
        <x:v>Pièces décrites, murs, portes, niveaux et mobilier inspectables à l’échelle. Volumes réservés, raccord au seed, butin, rencontres et services de campagne restent à terminer.</x:v>
      </x:c>
    </x:row>
    <x:row r="341">
      <x:c r="A341" t="str">
        <x:v>EXT-MONDE-T007-V36</x:v>
      </x:c>
      <x:c r="B341" t="str">
        <x:v>EXT-MONDE-T007</x:v>
      </x:c>
      <x:c r="C341" t="str">
        <x:v>Navires de haute mer</x:v>
      </x:c>
      <x:c r="D341" t="str">
        <x:v>Croiseur militaire abandonné</x:v>
      </x:c>
      <x:c r="E341" t="n">
        <x:v>36</x:v>
      </x:c>
      <x:c r="F341" t="str">
        <x:v>Inspection physique</x:v>
      </x:c>
      <x:c r="G341" t="str">
        <x:v>4 niveaux ; 40 pièces ; 256 segments de mur ; 3 transitions. Inspection physique ; architecture complète encore ouverte.</x:v>
      </x:c>
      <x:c r="H341" t="str">
        <x:v>L 185,928 ; l 20,117 ; hauteur inconnue ; tirant 7,62 ; hauteur émergée auteur 10,18 m ; longueur/largeur/tirant sourcés ; hauteur totale réelle inconnue</x:v>
      </x:c>
      <x:c r="I341" t="str">
        <x:v>À équilibrer</x:v>
      </x:c>
      <x:c r="J341" t="str">
        <x:v>Non</x:v>
      </x:c>
      <x:c r="K341" t="str">
        <x:v>Pièces décrites, murs, portes, niveaux et mobilier inspectables à l’échelle. Volumes réservés, raccord au seed, butin, rencontres et services de campagne restent à terminer.</x:v>
      </x:c>
    </x:row>
    <x:row r="342">
      <x:c r="A342" t="str">
        <x:v>EXT-MONDE-T007-V37</x:v>
      </x:c>
      <x:c r="B342" t="str">
        <x:v>EXT-MONDE-T007</x:v>
      </x:c>
      <x:c r="C342" t="str">
        <x:v>Navires de haute mer</x:v>
      </x:c>
      <x:c r="D342" t="str">
        <x:v>Croiseur militaire abandonné</x:v>
      </x:c>
      <x:c r="E342" t="n">
        <x:v>37</x:v>
      </x:c>
      <x:c r="F342" t="str">
        <x:v>Inspection physique</x:v>
      </x:c>
      <x:c r="G342" t="str">
        <x:v>4 niveaux ; 40 pièces ; 256 segments de mur ; 3 transitions. Inspection physique ; architecture complète encore ouverte.</x:v>
      </x:c>
      <x:c r="H342" t="str">
        <x:v>L 185,928 ; l 20,117 ; hauteur inconnue ; tirant 7,62 ; hauteur émergée auteur 10,18 m ; longueur/largeur/tirant sourcés ; hauteur totale réelle inconnue</x:v>
      </x:c>
      <x:c r="I342" t="str">
        <x:v>À équilibrer</x:v>
      </x:c>
      <x:c r="J342" t="str">
        <x:v>Non</x:v>
      </x:c>
      <x:c r="K342" t="str">
        <x:v>Pièces décrites, murs, portes, niveaux et mobilier inspectables à l’échelle. Volumes réservés, raccord au seed, butin, rencontres et services de campagne restent à terminer.</x:v>
      </x:c>
    </x:row>
    <x:row r="343">
      <x:c r="A343" t="str">
        <x:v>EXT-MONDE-T007-V38</x:v>
      </x:c>
      <x:c r="B343" t="str">
        <x:v>EXT-MONDE-T007</x:v>
      </x:c>
      <x:c r="C343" t="str">
        <x:v>Navires de haute mer</x:v>
      </x:c>
      <x:c r="D343" t="str">
        <x:v>Croiseur militaire abandonné</x:v>
      </x:c>
      <x:c r="E343" t="n">
        <x:v>38</x:v>
      </x:c>
      <x:c r="F343" t="str">
        <x:v>Inspection physique</x:v>
      </x:c>
      <x:c r="G343" t="str">
        <x:v>4 niveaux ; 40 pièces ; 256 segments de mur ; 3 transitions. Inspection physique ; architecture complète encore ouverte.</x:v>
      </x:c>
      <x:c r="H343" t="str">
        <x:v>L 185,928 ; l 20,117 ; hauteur inconnue ; tirant 7,62 ; hauteur émergée auteur 10,18 m ; longueur/largeur/tirant sourcés ; hauteur totale réelle inconnue</x:v>
      </x:c>
      <x:c r="I343" t="str">
        <x:v>À équilibrer</x:v>
      </x:c>
      <x:c r="J343" t="str">
        <x:v>Non</x:v>
      </x:c>
      <x:c r="K343" t="str">
        <x:v>Pièces décrites, murs, portes, niveaux et mobilier inspectables à l’échelle. Volumes réservés, raccord au seed, butin, rencontres et services de campagne restent à terminer.</x:v>
      </x:c>
    </x:row>
    <x:row r="344">
      <x:c r="A344" t="str">
        <x:v>EXT-MONDE-T007-V39</x:v>
      </x:c>
      <x:c r="B344" t="str">
        <x:v>EXT-MONDE-T007</x:v>
      </x:c>
      <x:c r="C344" t="str">
        <x:v>Navires de haute mer</x:v>
      </x:c>
      <x:c r="D344" t="str">
        <x:v>Croiseur militaire abandonné</x:v>
      </x:c>
      <x:c r="E344" t="n">
        <x:v>39</x:v>
      </x:c>
      <x:c r="F344" t="str">
        <x:v>Inspection physique</x:v>
      </x:c>
      <x:c r="G344" t="str">
        <x:v>4 niveaux ; 40 pièces ; 256 segments de mur ; 3 transitions. Inspection physique ; architecture complète encore ouverte.</x:v>
      </x:c>
      <x:c r="H344" t="str">
        <x:v>L 185,928 ; l 20,117 ; hauteur inconnue ; tirant 7,62 ; hauteur émergée auteur 10,18 m ; longueur/largeur/tirant sourcés ; hauteur totale réelle inconnue</x:v>
      </x:c>
      <x:c r="I344" t="str">
        <x:v>À équilibrer</x:v>
      </x:c>
      <x:c r="J344" t="str">
        <x:v>Non</x:v>
      </x:c>
      <x:c r="K344" t="str">
        <x:v>Pièces décrites, murs, portes, niveaux et mobilier inspectables à l’échelle. Volumes réservés, raccord au seed, butin, rencontres et services de campagne restent à terminer.</x:v>
      </x:c>
    </x:row>
    <x:row r="345">
      <x:c r="A345" t="str">
        <x:v>EXT-MONDE-T007-V40</x:v>
      </x:c>
      <x:c r="B345" t="str">
        <x:v>EXT-MONDE-T007</x:v>
      </x:c>
      <x:c r="C345" t="str">
        <x:v>Navires de haute mer</x:v>
      </x:c>
      <x:c r="D345" t="str">
        <x:v>Croiseur militaire abandonné</x:v>
      </x:c>
      <x:c r="E345" t="n">
        <x:v>40</x:v>
      </x:c>
      <x:c r="F345" t="str">
        <x:v>Inspection physique</x:v>
      </x:c>
      <x:c r="G345" t="str">
        <x:v>4 niveaux ; 40 pièces ; 256 segments de mur ; 3 transitions. Inspection physique ; architecture complète encore ouverte.</x:v>
      </x:c>
      <x:c r="H345" t="str">
        <x:v>L 185,928 ; l 20,117 ; hauteur inconnue ; tirant 7,62 ; hauteur émergée auteur 10,18 m ; longueur/largeur/tirant sourcés ; hauteur totale réelle inconnue</x:v>
      </x:c>
      <x:c r="I345" t="str">
        <x:v>À équilibrer</x:v>
      </x:c>
      <x:c r="J345" t="str">
        <x:v>Non</x:v>
      </x:c>
      <x:c r="K345" t="str">
        <x:v>Pièces décrites, murs, portes, niveaux et mobilier inspectables à l’échelle. Volumes réservés, raccord au seed, butin, rencontres et services de campagne restent à terminer.</x:v>
      </x:c>
    </x:row>
    <x:row r="346">
      <x:c r="A346" t="str">
        <x:v>EXT-MONDE-T007-V41</x:v>
      </x:c>
      <x:c r="B346" t="str">
        <x:v>EXT-MONDE-T007</x:v>
      </x:c>
      <x:c r="C346" t="str">
        <x:v>Navires de haute mer</x:v>
      </x:c>
      <x:c r="D346" t="str">
        <x:v>Croiseur militaire abandonné</x:v>
      </x:c>
      <x:c r="E346" t="n">
        <x:v>41</x:v>
      </x:c>
      <x:c r="F346" t="str">
        <x:v>Inspection physique</x:v>
      </x:c>
      <x:c r="G346" t="str">
        <x:v>4 niveaux ; 48 pièces ; 304 segments de mur ; 3 transitions. Inspection physique ; architecture complète encore ouverte.</x:v>
      </x:c>
      <x:c r="H346" t="str">
        <x:v>L 185,928 ; l 20,117 ; hauteur inconnue ; tirant 7,62 ; hauteur émergée auteur 10,18 m ; longueur/largeur/tirant sourcés ; hauteur totale réelle inconnue</x:v>
      </x:c>
      <x:c r="I346" t="str">
        <x:v>À équilibrer</x:v>
      </x:c>
      <x:c r="J346" t="str">
        <x:v>Non</x:v>
      </x:c>
      <x:c r="K346" t="str">
        <x:v>Pièces décrites, murs, portes, niveaux et mobilier inspectables à l’échelle. Volumes réservés, raccord au seed, butin, rencontres et services de campagne restent à terminer.</x:v>
      </x:c>
    </x:row>
    <x:row r="347">
      <x:c r="A347" t="str">
        <x:v>EXT-MONDE-T007-V42</x:v>
      </x:c>
      <x:c r="B347" t="str">
        <x:v>EXT-MONDE-T007</x:v>
      </x:c>
      <x:c r="C347" t="str">
        <x:v>Navires de haute mer</x:v>
      </x:c>
      <x:c r="D347" t="str">
        <x:v>Croiseur militaire abandonné</x:v>
      </x:c>
      <x:c r="E347" t="n">
        <x:v>42</x:v>
      </x:c>
      <x:c r="F347" t="str">
        <x:v>Inspection physique</x:v>
      </x:c>
      <x:c r="G347" t="str">
        <x:v>4 niveaux ; 48 pièces ; 304 segments de mur ; 3 transitions. Inspection physique ; architecture complète encore ouverte.</x:v>
      </x:c>
      <x:c r="H347" t="str">
        <x:v>L 185,928 ; l 20,117 ; hauteur inconnue ; tirant 7,62 ; hauteur émergée auteur 10,18 m ; longueur/largeur/tirant sourcés ; hauteur totale réelle inconnue</x:v>
      </x:c>
      <x:c r="I347" t="str">
        <x:v>À équilibrer</x:v>
      </x:c>
      <x:c r="J347" t="str">
        <x:v>Non</x:v>
      </x:c>
      <x:c r="K347" t="str">
        <x:v>Pièces décrites, murs, portes, niveaux et mobilier inspectables à l’échelle. Volumes réservés, raccord au seed, butin, rencontres et services de campagne restent à terminer.</x:v>
      </x:c>
    </x:row>
    <x:row r="348">
      <x:c r="A348" t="str">
        <x:v>EXT-MONDE-T007-V43</x:v>
      </x:c>
      <x:c r="B348" t="str">
        <x:v>EXT-MONDE-T007</x:v>
      </x:c>
      <x:c r="C348" t="str">
        <x:v>Navires de haute mer</x:v>
      </x:c>
      <x:c r="D348" t="str">
        <x:v>Croiseur militaire abandonné</x:v>
      </x:c>
      <x:c r="E348" t="n">
        <x:v>43</x:v>
      </x:c>
      <x:c r="F348" t="str">
        <x:v>Inspection physique</x:v>
      </x:c>
      <x:c r="G348" t="str">
        <x:v>4 niveaux ; 48 pièces ; 304 segments de mur ; 3 transitions. Inspection physique ; architecture complète encore ouverte.</x:v>
      </x:c>
      <x:c r="H348" t="str">
        <x:v>L 185,928 ; l 20,117 ; hauteur inconnue ; tirant 7,62 ; hauteur émergée auteur 10,18 m ; longueur/largeur/tirant sourcés ; hauteur totale réelle inconnue</x:v>
      </x:c>
      <x:c r="I348" t="str">
        <x:v>À équilibrer</x:v>
      </x:c>
      <x:c r="J348" t="str">
        <x:v>Non</x:v>
      </x:c>
      <x:c r="K348" t="str">
        <x:v>Pièces décrites, murs, portes, niveaux et mobilier inspectables à l’échelle. Volumes réservés, raccord au seed, butin, rencontres et services de campagne restent à terminer.</x:v>
      </x:c>
    </x:row>
    <x:row r="349">
      <x:c r="A349" t="str">
        <x:v>EXT-MONDE-T007-V44</x:v>
      </x:c>
      <x:c r="B349" t="str">
        <x:v>EXT-MONDE-T007</x:v>
      </x:c>
      <x:c r="C349" t="str">
        <x:v>Navires de haute mer</x:v>
      </x:c>
      <x:c r="D349" t="str">
        <x:v>Croiseur militaire abandonné</x:v>
      </x:c>
      <x:c r="E349" t="n">
        <x:v>44</x:v>
      </x:c>
      <x:c r="F349" t="str">
        <x:v>Inspection physique</x:v>
      </x:c>
      <x:c r="G349" t="str">
        <x:v>4 niveaux ; 48 pièces ; 304 segments de mur ; 3 transitions. Inspection physique ; architecture complète encore ouverte.</x:v>
      </x:c>
      <x:c r="H349" t="str">
        <x:v>L 185,928 ; l 20,117 ; hauteur inconnue ; tirant 7,62 ; hauteur émergée auteur 10,18 m ; longueur/largeur/tirant sourcés ; hauteur totale réelle inconnue</x:v>
      </x:c>
      <x:c r="I349" t="str">
        <x:v>À équilibrer</x:v>
      </x:c>
      <x:c r="J349" t="str">
        <x:v>Non</x:v>
      </x:c>
      <x:c r="K349" t="str">
        <x:v>Pièces décrites, murs, portes, niveaux et mobilier inspectables à l’échelle. Volumes réservés, raccord au seed, butin, rencontres et services de campagne restent à terminer.</x:v>
      </x:c>
    </x:row>
    <x:row r="350">
      <x:c r="A350" t="str">
        <x:v>EXT-MONDE-T007-V45</x:v>
      </x:c>
      <x:c r="B350" t="str">
        <x:v>EXT-MONDE-T007</x:v>
      </x:c>
      <x:c r="C350" t="str">
        <x:v>Navires de haute mer</x:v>
      </x:c>
      <x:c r="D350" t="str">
        <x:v>Croiseur militaire abandonné</x:v>
      </x:c>
      <x:c r="E350" t="n">
        <x:v>45</x:v>
      </x:c>
      <x:c r="F350" t="str">
        <x:v>Inspection physique</x:v>
      </x:c>
      <x:c r="G350" t="str">
        <x:v>4 niveaux ; 48 pièces ; 304 segments de mur ; 3 transitions. Inspection physique ; architecture complète encore ouverte.</x:v>
      </x:c>
      <x:c r="H350" t="str">
        <x:v>L 185,928 ; l 20,117 ; hauteur inconnue ; tirant 7,62 ; hauteur émergée auteur 10,18 m ; longueur/largeur/tirant sourcés ; hauteur totale réelle inconnue</x:v>
      </x:c>
      <x:c r="I350" t="str">
        <x:v>À équilibrer</x:v>
      </x:c>
      <x:c r="J350" t="str">
        <x:v>Non</x:v>
      </x:c>
      <x:c r="K350" t="str">
        <x:v>Pièces décrites, murs, portes, niveaux et mobilier inspectables à l’échelle. Volumes réservés, raccord au seed, butin, rencontres et services de campagne restent à terminer.</x:v>
      </x:c>
    </x:row>
    <x:row r="351">
      <x:c r="A351" t="str">
        <x:v>EXT-MONDE-T007-V46</x:v>
      </x:c>
      <x:c r="B351" t="str">
        <x:v>EXT-MONDE-T007</x:v>
      </x:c>
      <x:c r="C351" t="str">
        <x:v>Navires de haute mer</x:v>
      </x:c>
      <x:c r="D351" t="str">
        <x:v>Croiseur militaire abandonné</x:v>
      </x:c>
      <x:c r="E351" t="n">
        <x:v>46</x:v>
      </x:c>
      <x:c r="F351" t="str">
        <x:v>Inspection physique</x:v>
      </x:c>
      <x:c r="G351" t="str">
        <x:v>4 niveaux ; 48 pièces ; 304 segments de mur ; 3 transitions. Inspection physique ; architecture complète encore ouverte.</x:v>
      </x:c>
      <x:c r="H351" t="str">
        <x:v>L 185,928 ; l 20,117 ; hauteur inconnue ; tirant 7,62 ; hauteur émergée auteur 10,18 m ; longueur/largeur/tirant sourcés ; hauteur totale réelle inconnue</x:v>
      </x:c>
      <x:c r="I351" t="str">
        <x:v>À équilibrer</x:v>
      </x:c>
      <x:c r="J351" t="str">
        <x:v>Non</x:v>
      </x:c>
      <x:c r="K351" t="str">
        <x:v>Pièces décrites, murs, portes, niveaux et mobilier inspectables à l’échelle. Volumes réservés, raccord au seed, butin, rencontres et services de campagne restent à terminer.</x:v>
      </x:c>
    </x:row>
    <x:row r="352">
      <x:c r="A352" t="str">
        <x:v>EXT-MONDE-T007-V47</x:v>
      </x:c>
      <x:c r="B352" t="str">
        <x:v>EXT-MONDE-T007</x:v>
      </x:c>
      <x:c r="C352" t="str">
        <x:v>Navires de haute mer</x:v>
      </x:c>
      <x:c r="D352" t="str">
        <x:v>Croiseur militaire abandonné</x:v>
      </x:c>
      <x:c r="E352" t="n">
        <x:v>47</x:v>
      </x:c>
      <x:c r="F352" t="str">
        <x:v>Inspection physique</x:v>
      </x:c>
      <x:c r="G352" t="str">
        <x:v>4 niveaux ; 48 pièces ; 304 segments de mur ; 3 transitions. Inspection physique ; architecture complète encore ouverte.</x:v>
      </x:c>
      <x:c r="H352" t="str">
        <x:v>L 185,928 ; l 20,117 ; hauteur inconnue ; tirant 7,62 ; hauteur émergée auteur 10,18 m ; longueur/largeur/tirant sourcés ; hauteur totale réelle inconnue</x:v>
      </x:c>
      <x:c r="I352" t="str">
        <x:v>À équilibrer</x:v>
      </x:c>
      <x:c r="J352" t="str">
        <x:v>Non</x:v>
      </x:c>
      <x:c r="K352" t="str">
        <x:v>Pièces décrites, murs, portes, niveaux et mobilier inspectables à l’échelle. Volumes réservés, raccord au seed, butin, rencontres et services de campagne restent à terminer.</x:v>
      </x:c>
    </x:row>
    <x:row r="353">
      <x:c r="A353" t="str">
        <x:v>EXT-MONDE-T007-V48</x:v>
      </x:c>
      <x:c r="B353" t="str">
        <x:v>EXT-MONDE-T007</x:v>
      </x:c>
      <x:c r="C353" t="str">
        <x:v>Navires de haute mer</x:v>
      </x:c>
      <x:c r="D353" t="str">
        <x:v>Croiseur militaire abandonné</x:v>
      </x:c>
      <x:c r="E353" t="n">
        <x:v>48</x:v>
      </x:c>
      <x:c r="F353" t="str">
        <x:v>Inspection physique</x:v>
      </x:c>
      <x:c r="G353" t="str">
        <x:v>4 niveaux ; 48 pièces ; 304 segments de mur ; 3 transitions. Inspection physique ; architecture complète encore ouverte.</x:v>
      </x:c>
      <x:c r="H353" t="str">
        <x:v>L 185,928 ; l 20,117 ; hauteur inconnue ; tirant 7,62 ; hauteur émergée auteur 10,18 m ; longueur/largeur/tirant sourcés ; hauteur totale réelle inconnue</x:v>
      </x:c>
      <x:c r="I353" t="str">
        <x:v>À équilibrer</x:v>
      </x:c>
      <x:c r="J353" t="str">
        <x:v>Non</x:v>
      </x:c>
      <x:c r="K353" t="str">
        <x:v>Pièces décrites, murs, portes, niveaux et mobilier inspectables à l’échelle. Volumes réservés, raccord au seed, butin, rencontres et services de campagne restent à terminer.</x:v>
      </x:c>
    </x:row>
    <x:row r="354">
      <x:c r="A354" t="str">
        <x:v>EXT-MONDE-T007-V49</x:v>
      </x:c>
      <x:c r="B354" t="str">
        <x:v>EXT-MONDE-T007</x:v>
      </x:c>
      <x:c r="C354" t="str">
        <x:v>Navires de haute mer</x:v>
      </x:c>
      <x:c r="D354" t="str">
        <x:v>Croiseur militaire abandonné</x:v>
      </x:c>
      <x:c r="E354" t="n">
        <x:v>49</x:v>
      </x:c>
      <x:c r="F354" t="str">
        <x:v>Inspection physique</x:v>
      </x:c>
      <x:c r="G354" t="str">
        <x:v>4 niveaux ; 48 pièces ; 304 segments de mur ; 3 transitions. Inspection physique ; architecture complète encore ouverte.</x:v>
      </x:c>
      <x:c r="H354" t="str">
        <x:v>L 185,928 ; l 20,117 ; hauteur inconnue ; tirant 7,62 ; hauteur émergée auteur 10,18 m ; longueur/largeur/tirant sourcés ; hauteur totale réelle inconnue</x:v>
      </x:c>
      <x:c r="I354" t="str">
        <x:v>À équilibrer</x:v>
      </x:c>
      <x:c r="J354" t="str">
        <x:v>Non</x:v>
      </x:c>
      <x:c r="K354" t="str">
        <x:v>Pièces décrites, murs, portes, niveaux et mobilier inspectables à l’échelle. Volumes réservés, raccord au seed, butin, rencontres et services de campagne restent à terminer.</x:v>
      </x:c>
    </x:row>
    <x:row r="355">
      <x:c r="A355" t="str">
        <x:v>EXT-MONDE-T007-V50</x:v>
      </x:c>
      <x:c r="B355" t="str">
        <x:v>EXT-MONDE-T007</x:v>
      </x:c>
      <x:c r="C355" t="str">
        <x:v>Navires de haute mer</x:v>
      </x:c>
      <x:c r="D355" t="str">
        <x:v>Croiseur militaire abandonné</x:v>
      </x:c>
      <x:c r="E355" t="n">
        <x:v>50</x:v>
      </x:c>
      <x:c r="F355" t="str">
        <x:v>Inspection physique</x:v>
      </x:c>
      <x:c r="G355" t="str">
        <x:v>4 niveaux ; 48 pièces ; 304 segments de mur ; 3 transitions. Inspection physique ; architecture complète encore ouverte.</x:v>
      </x:c>
      <x:c r="H355" t="str">
        <x:v>L 185,928 ; l 20,117 ; hauteur inconnue ; tirant 7,62 ; hauteur émergée auteur 10,18 m ; longueur/largeur/tirant sourcés ; hauteur totale réelle inconnue</x:v>
      </x:c>
      <x:c r="I355" t="str">
        <x:v>À équilibrer</x:v>
      </x:c>
      <x:c r="J355" t="str">
        <x:v>Non</x:v>
      </x:c>
      <x:c r="K355" t="str">
        <x:v>Pièces décrites, murs, portes, niveaux et mobilier inspectables à l’échelle. Volumes réservés, raccord au seed, butin, rencontres et services de campagne restent à terminer.</x:v>
      </x:c>
    </x:row>
    <x:row r="356">
      <x:c r="A356" t="str">
        <x:v>EXT-MONDE-T008-V01</x:v>
      </x:c>
      <x:c r="B356" t="str">
        <x:v>EXT-MONDE-T008</x:v>
      </x:c>
      <x:c r="C356" t="str">
        <x:v>Navires de haute mer</x:v>
      </x:c>
      <x:c r="D356" t="str">
        <x:v>Sous-marin en surface</x:v>
      </x:c>
      <x:c r="E356" t="n">
        <x:v>1</x:v>
      </x:c>
      <x:c r="F356" t="str">
        <x:v>Inspection physique</x:v>
      </x:c>
      <x:c r="G356" t="str">
        <x:v>2 niveaux ; 8 pièces ; 52 segments de mur ; 1 transitions. Inspection physique ; architecture complète encore ouverte.</x:v>
      </x:c>
      <x:c r="H356" t="str">
        <x:v>L 94,996 ; l 8,306 ; hauteur inconnue ; tirant 4,699 ; hauteur émergée auteur 5,601 m ; longueur/largeur/tirant sourcés ; hauteur totale réelle inconnue</x:v>
      </x:c>
      <x:c r="I356" t="str">
        <x:v>À équilibrer</x:v>
      </x:c>
      <x:c r="J356" t="str">
        <x:v>Non</x:v>
      </x:c>
      <x:c r="K356" t="str">
        <x:v>Pièces décrites, murs, portes, niveaux et mobilier inspectables à l’échelle. Volumes réservés, raccord au seed, butin, rencontres et services de campagne restent à terminer.</x:v>
      </x:c>
    </x:row>
    <x:row r="357">
      <x:c r="A357" t="str">
        <x:v>EXT-MONDE-T008-V02</x:v>
      </x:c>
      <x:c r="B357" t="str">
        <x:v>EXT-MONDE-T008</x:v>
      </x:c>
      <x:c r="C357" t="str">
        <x:v>Navires de haute mer</x:v>
      </x:c>
      <x:c r="D357" t="str">
        <x:v>Sous-marin en surface</x:v>
      </x:c>
      <x:c r="E357" t="n">
        <x:v>2</x:v>
      </x:c>
      <x:c r="F357" t="str">
        <x:v>Inspection physique</x:v>
      </x:c>
      <x:c r="G357" t="str">
        <x:v>2 niveaux ; 8 pièces ; 52 segments de mur ; 1 transitions. Inspection physique ; architecture complète encore ouverte.</x:v>
      </x:c>
      <x:c r="H357" t="str">
        <x:v>L 94,996 ; l 8,306 ; hauteur inconnue ; tirant 4,699 ; hauteur émergée auteur 5,601 m ; longueur/largeur/tirant sourcés ; hauteur totale réelle inconnue</x:v>
      </x:c>
      <x:c r="I357" t="str">
        <x:v>À équilibrer</x:v>
      </x:c>
      <x:c r="J357" t="str">
        <x:v>Non</x:v>
      </x:c>
      <x:c r="K357" t="str">
        <x:v>Pièces décrites, murs, portes, niveaux et mobilier inspectables à l’échelle. Volumes réservés, raccord au seed, butin, rencontres et services de campagne restent à terminer.</x:v>
      </x:c>
    </x:row>
    <x:row r="358">
      <x:c r="A358" t="str">
        <x:v>EXT-MONDE-T008-V03</x:v>
      </x:c>
      <x:c r="B358" t="str">
        <x:v>EXT-MONDE-T008</x:v>
      </x:c>
      <x:c r="C358" t="str">
        <x:v>Navires de haute mer</x:v>
      </x:c>
      <x:c r="D358" t="str">
        <x:v>Sous-marin en surface</x:v>
      </x:c>
      <x:c r="E358" t="n">
        <x:v>3</x:v>
      </x:c>
      <x:c r="F358" t="str">
        <x:v>Inspection physique</x:v>
      </x:c>
      <x:c r="G358" t="str">
        <x:v>2 niveaux ; 8 pièces ; 52 segments de mur ; 1 transitions. Inspection physique ; architecture complète encore ouverte.</x:v>
      </x:c>
      <x:c r="H358" t="str">
        <x:v>L 94,996 ; l 8,306 ; hauteur inconnue ; tirant 4,699 ; hauteur émergée auteur 5,601 m ; longueur/largeur/tirant sourcés ; hauteur totale réelle inconnue</x:v>
      </x:c>
      <x:c r="I358" t="str">
        <x:v>À équilibrer</x:v>
      </x:c>
      <x:c r="J358" t="str">
        <x:v>Non</x:v>
      </x:c>
      <x:c r="K358" t="str">
        <x:v>Pièces décrites, murs, portes, niveaux et mobilier inspectables à l’échelle. Volumes réservés, raccord au seed, butin, rencontres et services de campagne restent à terminer.</x:v>
      </x:c>
    </x:row>
    <x:row r="359">
      <x:c r="A359" t="str">
        <x:v>EXT-MONDE-T008-V04</x:v>
      </x:c>
      <x:c r="B359" t="str">
        <x:v>EXT-MONDE-T008</x:v>
      </x:c>
      <x:c r="C359" t="str">
        <x:v>Navires de haute mer</x:v>
      </x:c>
      <x:c r="D359" t="str">
        <x:v>Sous-marin en surface</x:v>
      </x:c>
      <x:c r="E359" t="n">
        <x:v>4</x:v>
      </x:c>
      <x:c r="F359" t="str">
        <x:v>Inspection physique</x:v>
      </x:c>
      <x:c r="G359" t="str">
        <x:v>2 niveaux ; 8 pièces ; 52 segments de mur ; 1 transitions. Inspection physique ; architecture complète encore ouverte.</x:v>
      </x:c>
      <x:c r="H359" t="str">
        <x:v>L 94,996 ; l 8,306 ; hauteur inconnue ; tirant 4,699 ; hauteur émergée auteur 5,601 m ; longueur/largeur/tirant sourcés ; hauteur totale réelle inconnue</x:v>
      </x:c>
      <x:c r="I359" t="str">
        <x:v>À équilibrer</x:v>
      </x:c>
      <x:c r="J359" t="str">
        <x:v>Non</x:v>
      </x:c>
      <x:c r="K359" t="str">
        <x:v>Pièces décrites, murs, portes, niveaux et mobilier inspectables à l’échelle. Volumes réservés, raccord au seed, butin, rencontres et services de campagne restent à terminer.</x:v>
      </x:c>
    </x:row>
    <x:row r="360">
      <x:c r="A360" t="str">
        <x:v>EXT-MONDE-T008-V05</x:v>
      </x:c>
      <x:c r="B360" t="str">
        <x:v>EXT-MONDE-T008</x:v>
      </x:c>
      <x:c r="C360" t="str">
        <x:v>Navires de haute mer</x:v>
      </x:c>
      <x:c r="D360" t="str">
        <x:v>Sous-marin en surface</x:v>
      </x:c>
      <x:c r="E360" t="n">
        <x:v>5</x:v>
      </x:c>
      <x:c r="F360" t="str">
        <x:v>Inspection physique</x:v>
      </x:c>
      <x:c r="G360" t="str">
        <x:v>2 niveaux ; 8 pièces ; 52 segments de mur ; 1 transitions. Inspection physique ; architecture complète encore ouverte.</x:v>
      </x:c>
      <x:c r="H360" t="str">
        <x:v>L 94,996 ; l 8,306 ; hauteur inconnue ; tirant 4,699 ; hauteur émergée auteur 5,601 m ; longueur/largeur/tirant sourcés ; hauteur totale réelle inconnue</x:v>
      </x:c>
      <x:c r="I360" t="str">
        <x:v>À équilibrer</x:v>
      </x:c>
      <x:c r="J360" t="str">
        <x:v>Non</x:v>
      </x:c>
      <x:c r="K360" t="str">
        <x:v>Pièces décrites, murs, portes, niveaux et mobilier inspectables à l’échelle. Volumes réservés, raccord au seed, butin, rencontres et services de campagne restent à terminer.</x:v>
      </x:c>
    </x:row>
    <x:row r="361">
      <x:c r="A361" t="str">
        <x:v>EXT-MONDE-T008-V06</x:v>
      </x:c>
      <x:c r="B361" t="str">
        <x:v>EXT-MONDE-T008</x:v>
      </x:c>
      <x:c r="C361" t="str">
        <x:v>Navires de haute mer</x:v>
      </x:c>
      <x:c r="D361" t="str">
        <x:v>Sous-marin en surface</x:v>
      </x:c>
      <x:c r="E361" t="n">
        <x:v>6</x:v>
      </x:c>
      <x:c r="F361" t="str">
        <x:v>Inspection physique</x:v>
      </x:c>
      <x:c r="G361" t="str">
        <x:v>2 niveaux ; 8 pièces ; 52 segments de mur ; 1 transitions. Inspection physique ; architecture complète encore ouverte.</x:v>
      </x:c>
      <x:c r="H361" t="str">
        <x:v>L 94,996 ; l 8,306 ; hauteur inconnue ; tirant 4,699 ; hauteur émergée auteur 5,601 m ; longueur/largeur/tirant sourcés ; hauteur totale réelle inconnue</x:v>
      </x:c>
      <x:c r="I361" t="str">
        <x:v>À équilibrer</x:v>
      </x:c>
      <x:c r="J361" t="str">
        <x:v>Non</x:v>
      </x:c>
      <x:c r="K361" t="str">
        <x:v>Pièces décrites, murs, portes, niveaux et mobilier inspectables à l’échelle. Volumes réservés, raccord au seed, butin, rencontres et services de campagne restent à terminer.</x:v>
      </x:c>
    </x:row>
    <x:row r="362">
      <x:c r="A362" t="str">
        <x:v>EXT-MONDE-T008-V07</x:v>
      </x:c>
      <x:c r="B362" t="str">
        <x:v>EXT-MONDE-T008</x:v>
      </x:c>
      <x:c r="C362" t="str">
        <x:v>Navires de haute mer</x:v>
      </x:c>
      <x:c r="D362" t="str">
        <x:v>Sous-marin en surface</x:v>
      </x:c>
      <x:c r="E362" t="n">
        <x:v>7</x:v>
      </x:c>
      <x:c r="F362" t="str">
        <x:v>Inspection physique</x:v>
      </x:c>
      <x:c r="G362" t="str">
        <x:v>2 niveaux ; 8 pièces ; 52 segments de mur ; 1 transitions. Inspection physique ; architecture complète encore ouverte.</x:v>
      </x:c>
      <x:c r="H362" t="str">
        <x:v>L 94,996 ; l 8,306 ; hauteur inconnue ; tirant 4,699 ; hauteur émergée auteur 5,601 m ; longueur/largeur/tirant sourcés ; hauteur totale réelle inconnue</x:v>
      </x:c>
      <x:c r="I362" t="str">
        <x:v>À équilibrer</x:v>
      </x:c>
      <x:c r="J362" t="str">
        <x:v>Non</x:v>
      </x:c>
      <x:c r="K362" t="str">
        <x:v>Pièces décrites, murs, portes, niveaux et mobilier inspectables à l’échelle. Volumes réservés, raccord au seed, butin, rencontres et services de campagne restent à terminer.</x:v>
      </x:c>
    </x:row>
    <x:row r="363">
      <x:c r="A363" t="str">
        <x:v>EXT-MONDE-T008-V08</x:v>
      </x:c>
      <x:c r="B363" t="str">
        <x:v>EXT-MONDE-T008</x:v>
      </x:c>
      <x:c r="C363" t="str">
        <x:v>Navires de haute mer</x:v>
      </x:c>
      <x:c r="D363" t="str">
        <x:v>Sous-marin en surface</x:v>
      </x:c>
      <x:c r="E363" t="n">
        <x:v>8</x:v>
      </x:c>
      <x:c r="F363" t="str">
        <x:v>Inspection physique</x:v>
      </x:c>
      <x:c r="G363" t="str">
        <x:v>2 niveaux ; 8 pièces ; 52 segments de mur ; 1 transitions. Inspection physique ; architecture complète encore ouverte.</x:v>
      </x:c>
      <x:c r="H363" t="str">
        <x:v>L 94,996 ; l 8,306 ; hauteur inconnue ; tirant 4,699 ; hauteur émergée auteur 5,601 m ; longueur/largeur/tirant sourcés ; hauteur totale réelle inconnue</x:v>
      </x:c>
      <x:c r="I363" t="str">
        <x:v>À équilibrer</x:v>
      </x:c>
      <x:c r="J363" t="str">
        <x:v>Non</x:v>
      </x:c>
      <x:c r="K363" t="str">
        <x:v>Pièces décrites, murs, portes, niveaux et mobilier inspectables à l’échelle. Volumes réservés, raccord au seed, butin, rencontres et services de campagne restent à terminer.</x:v>
      </x:c>
    </x:row>
    <x:row r="364">
      <x:c r="A364" t="str">
        <x:v>EXT-MONDE-T008-V09</x:v>
      </x:c>
      <x:c r="B364" t="str">
        <x:v>EXT-MONDE-T008</x:v>
      </x:c>
      <x:c r="C364" t="str">
        <x:v>Navires de haute mer</x:v>
      </x:c>
      <x:c r="D364" t="str">
        <x:v>Sous-marin en surface</x:v>
      </x:c>
      <x:c r="E364" t="n">
        <x:v>9</x:v>
      </x:c>
      <x:c r="F364" t="str">
        <x:v>Inspection physique</x:v>
      </x:c>
      <x:c r="G364" t="str">
        <x:v>2 niveaux ; 8 pièces ; 52 segments de mur ; 1 transitions. Inspection physique ; architecture complète encore ouverte.</x:v>
      </x:c>
      <x:c r="H364" t="str">
        <x:v>L 94,996 ; l 8,306 ; hauteur inconnue ; tirant 4,699 ; hauteur émergée auteur 5,601 m ; longueur/largeur/tirant sourcés ; hauteur totale réelle inconnue</x:v>
      </x:c>
      <x:c r="I364" t="str">
        <x:v>À équilibrer</x:v>
      </x:c>
      <x:c r="J364" t="str">
        <x:v>Non</x:v>
      </x:c>
      <x:c r="K364" t="str">
        <x:v>Pièces décrites, murs, portes, niveaux et mobilier inspectables à l’échelle. Volumes réservés, raccord au seed, butin, rencontres et services de campagne restent à terminer.</x:v>
      </x:c>
    </x:row>
    <x:row r="365">
      <x:c r="A365" t="str">
        <x:v>EXT-MONDE-T008-V10</x:v>
      </x:c>
      <x:c r="B365" t="str">
        <x:v>EXT-MONDE-T008</x:v>
      </x:c>
      <x:c r="C365" t="str">
        <x:v>Navires de haute mer</x:v>
      </x:c>
      <x:c r="D365" t="str">
        <x:v>Sous-marin en surface</x:v>
      </x:c>
      <x:c r="E365" t="n">
        <x:v>10</x:v>
      </x:c>
      <x:c r="F365" t="str">
        <x:v>Inspection physique</x:v>
      </x:c>
      <x:c r="G365" t="str">
        <x:v>2 niveaux ; 8 pièces ; 52 segments de mur ; 1 transitions. Inspection physique ; architecture complète encore ouverte.</x:v>
      </x:c>
      <x:c r="H365" t="str">
        <x:v>L 94,996 ; l 8,306 ; hauteur inconnue ; tirant 4,699 ; hauteur émergée auteur 5,601 m ; longueur/largeur/tirant sourcés ; hauteur totale réelle inconnue</x:v>
      </x:c>
      <x:c r="I365" t="str">
        <x:v>À équilibrer</x:v>
      </x:c>
      <x:c r="J365" t="str">
        <x:v>Non</x:v>
      </x:c>
      <x:c r="K365" t="str">
        <x:v>Pièces décrites, murs, portes, niveaux et mobilier inspectables à l’échelle. Volumes réservés, raccord au seed, butin, rencontres et services de campagne restent à terminer.</x:v>
      </x:c>
    </x:row>
    <x:row r="366">
      <x:c r="A366" t="str">
        <x:v>EXT-MONDE-T008-V11</x:v>
      </x:c>
      <x:c r="B366" t="str">
        <x:v>EXT-MONDE-T008</x:v>
      </x:c>
      <x:c r="C366" t="str">
        <x:v>Navires de haute mer</x:v>
      </x:c>
      <x:c r="D366" t="str">
        <x:v>Sous-marin en surface</x:v>
      </x:c>
      <x:c r="E366" t="n">
        <x:v>11</x:v>
      </x:c>
      <x:c r="F366" t="str">
        <x:v>Inspection physique</x:v>
      </x:c>
      <x:c r="G366" t="str">
        <x:v>2 niveaux ; 10 pièces ; 64 segments de mur ; 1 transitions. Inspection physique ; architecture complète encore ouverte.</x:v>
      </x:c>
      <x:c r="H366" t="str">
        <x:v>L 94,996 ; l 8,306 ; hauteur inconnue ; tirant 4,699 ; hauteur émergée auteur 5,601 m ; longueur/largeur/tirant sourcés ; hauteur totale réelle inconnue</x:v>
      </x:c>
      <x:c r="I366" t="str">
        <x:v>À équilibrer</x:v>
      </x:c>
      <x:c r="J366" t="str">
        <x:v>Non</x:v>
      </x:c>
      <x:c r="K366" t="str">
        <x:v>Pièces décrites, murs, portes, niveaux et mobilier inspectables à l’échelle. Volumes réservés, raccord au seed, butin, rencontres et services de campagne restent à terminer.</x:v>
      </x:c>
    </x:row>
    <x:row r="367">
      <x:c r="A367" t="str">
        <x:v>EXT-MONDE-T008-V12</x:v>
      </x:c>
      <x:c r="B367" t="str">
        <x:v>EXT-MONDE-T008</x:v>
      </x:c>
      <x:c r="C367" t="str">
        <x:v>Navires de haute mer</x:v>
      </x:c>
      <x:c r="D367" t="str">
        <x:v>Sous-marin en surface</x:v>
      </x:c>
      <x:c r="E367" t="n">
        <x:v>12</x:v>
      </x:c>
      <x:c r="F367" t="str">
        <x:v>Inspection physique</x:v>
      </x:c>
      <x:c r="G367" t="str">
        <x:v>2 niveaux ; 10 pièces ; 64 segments de mur ; 1 transitions. Inspection physique ; architecture complète encore ouverte.</x:v>
      </x:c>
      <x:c r="H367" t="str">
        <x:v>L 94,996 ; l 8,306 ; hauteur inconnue ; tirant 4,699 ; hauteur émergée auteur 5,601 m ; longueur/largeur/tirant sourcés ; hauteur totale réelle inconnue</x:v>
      </x:c>
      <x:c r="I367" t="str">
        <x:v>À équilibrer</x:v>
      </x:c>
      <x:c r="J367" t="str">
        <x:v>Non</x:v>
      </x:c>
      <x:c r="K367" t="str">
        <x:v>Pièces décrites, murs, portes, niveaux et mobilier inspectables à l’échelle. Volumes réservés, raccord au seed, butin, rencontres et services de campagne restent à terminer.</x:v>
      </x:c>
    </x:row>
    <x:row r="368">
      <x:c r="A368" t="str">
        <x:v>EXT-MONDE-T008-V13</x:v>
      </x:c>
      <x:c r="B368" t="str">
        <x:v>EXT-MONDE-T008</x:v>
      </x:c>
      <x:c r="C368" t="str">
        <x:v>Navires de haute mer</x:v>
      </x:c>
      <x:c r="D368" t="str">
        <x:v>Sous-marin en surface</x:v>
      </x:c>
      <x:c r="E368" t="n">
        <x:v>13</x:v>
      </x:c>
      <x:c r="F368" t="str">
        <x:v>Inspection physique</x:v>
      </x:c>
      <x:c r="G368" t="str">
        <x:v>2 niveaux ; 10 pièces ; 64 segments de mur ; 1 transitions. Inspection physique ; architecture complète encore ouverte.</x:v>
      </x:c>
      <x:c r="H368" t="str">
        <x:v>L 94,996 ; l 8,306 ; hauteur inconnue ; tirant 4,699 ; hauteur émergée auteur 5,601 m ; longueur/largeur/tirant sourcés ; hauteur totale réelle inconnue</x:v>
      </x:c>
      <x:c r="I368" t="str">
        <x:v>À équilibrer</x:v>
      </x:c>
      <x:c r="J368" t="str">
        <x:v>Non</x:v>
      </x:c>
      <x:c r="K368" t="str">
        <x:v>Pièces décrites, murs, portes, niveaux et mobilier inspectables à l’échelle. Volumes réservés, raccord au seed, butin, rencontres et services de campagne restent à terminer.</x:v>
      </x:c>
    </x:row>
    <x:row r="369">
      <x:c r="A369" t="str">
        <x:v>EXT-MONDE-T008-V14</x:v>
      </x:c>
      <x:c r="B369" t="str">
        <x:v>EXT-MONDE-T008</x:v>
      </x:c>
      <x:c r="C369" t="str">
        <x:v>Navires de haute mer</x:v>
      </x:c>
      <x:c r="D369" t="str">
        <x:v>Sous-marin en surface</x:v>
      </x:c>
      <x:c r="E369" t="n">
        <x:v>14</x:v>
      </x:c>
      <x:c r="F369" t="str">
        <x:v>Inspection physique</x:v>
      </x:c>
      <x:c r="G369" t="str">
        <x:v>2 niveaux ; 10 pièces ; 64 segments de mur ; 1 transitions. Inspection physique ; architecture complète encore ouverte.</x:v>
      </x:c>
      <x:c r="H369" t="str">
        <x:v>L 94,996 ; l 8,306 ; hauteur inconnue ; tirant 4,699 ; hauteur émergée auteur 5,601 m ; longueur/largeur/tirant sourcés ; hauteur totale réelle inconnue</x:v>
      </x:c>
      <x:c r="I369" t="str">
        <x:v>À équilibrer</x:v>
      </x:c>
      <x:c r="J369" t="str">
        <x:v>Non</x:v>
      </x:c>
      <x:c r="K369" t="str">
        <x:v>Pièces décrites, murs, portes, niveaux et mobilier inspectables à l’échelle. Volumes réservés, raccord au seed, butin, rencontres et services de campagne restent à terminer.</x:v>
      </x:c>
    </x:row>
    <x:row r="370">
      <x:c r="A370" t="str">
        <x:v>EXT-MONDE-T008-V15</x:v>
      </x:c>
      <x:c r="B370" t="str">
        <x:v>EXT-MONDE-T008</x:v>
      </x:c>
      <x:c r="C370" t="str">
        <x:v>Navires de haute mer</x:v>
      </x:c>
      <x:c r="D370" t="str">
        <x:v>Sous-marin en surface</x:v>
      </x:c>
      <x:c r="E370" t="n">
        <x:v>15</x:v>
      </x:c>
      <x:c r="F370" t="str">
        <x:v>Inspection physique</x:v>
      </x:c>
      <x:c r="G370" t="str">
        <x:v>2 niveaux ; 10 pièces ; 64 segments de mur ; 1 transitions. Inspection physique ; architecture complète encore ouverte.</x:v>
      </x:c>
      <x:c r="H370" t="str">
        <x:v>L 94,996 ; l 8,306 ; hauteur inconnue ; tirant 4,699 ; hauteur émergée auteur 5,601 m ; longueur/largeur/tirant sourcés ; hauteur totale réelle inconnue</x:v>
      </x:c>
      <x:c r="I370" t="str">
        <x:v>À équilibrer</x:v>
      </x:c>
      <x:c r="J370" t="str">
        <x:v>Non</x:v>
      </x:c>
      <x:c r="K370" t="str">
        <x:v>Pièces décrites, murs, portes, niveaux et mobilier inspectables à l’échelle. Volumes réservés, raccord au seed, butin, rencontres et services de campagne restent à terminer.</x:v>
      </x:c>
    </x:row>
    <x:row r="371">
      <x:c r="A371" t="str">
        <x:v>EXT-MONDE-T008-V16</x:v>
      </x:c>
      <x:c r="B371" t="str">
        <x:v>EXT-MONDE-T008</x:v>
      </x:c>
      <x:c r="C371" t="str">
        <x:v>Navires de haute mer</x:v>
      </x:c>
      <x:c r="D371" t="str">
        <x:v>Sous-marin en surface</x:v>
      </x:c>
      <x:c r="E371" t="n">
        <x:v>16</x:v>
      </x:c>
      <x:c r="F371" t="str">
        <x:v>Inspection physique</x:v>
      </x:c>
      <x:c r="G371" t="str">
        <x:v>2 niveaux ; 10 pièces ; 64 segments de mur ; 1 transitions. Inspection physique ; architecture complète encore ouverte.</x:v>
      </x:c>
      <x:c r="H371" t="str">
        <x:v>L 94,996 ; l 8,306 ; hauteur inconnue ; tirant 4,699 ; hauteur émergée auteur 5,601 m ; longueur/largeur/tirant sourcés ; hauteur totale réelle inconnue</x:v>
      </x:c>
      <x:c r="I371" t="str">
        <x:v>À équilibrer</x:v>
      </x:c>
      <x:c r="J371" t="str">
        <x:v>Non</x:v>
      </x:c>
      <x:c r="K371" t="str">
        <x:v>Pièces décrites, murs, portes, niveaux et mobilier inspectables à l’échelle. Volumes réservés, raccord au seed, butin, rencontres et services de campagne restent à terminer.</x:v>
      </x:c>
    </x:row>
    <x:row r="372">
      <x:c r="A372" t="str">
        <x:v>EXT-MONDE-T008-V17</x:v>
      </x:c>
      <x:c r="B372" t="str">
        <x:v>EXT-MONDE-T008</x:v>
      </x:c>
      <x:c r="C372" t="str">
        <x:v>Navires de haute mer</x:v>
      </x:c>
      <x:c r="D372" t="str">
        <x:v>Sous-marin en surface</x:v>
      </x:c>
      <x:c r="E372" t="n">
        <x:v>17</x:v>
      </x:c>
      <x:c r="F372" t="str">
        <x:v>Inspection physique</x:v>
      </x:c>
      <x:c r="G372" t="str">
        <x:v>2 niveaux ; 10 pièces ; 64 segments de mur ; 1 transitions. Inspection physique ; architecture complète encore ouverte.</x:v>
      </x:c>
      <x:c r="H372" t="str">
        <x:v>L 94,996 ; l 8,306 ; hauteur inconnue ; tirant 4,699 ; hauteur émergée auteur 5,601 m ; longueur/largeur/tirant sourcés ; hauteur totale réelle inconnue</x:v>
      </x:c>
      <x:c r="I372" t="str">
        <x:v>À équilibrer</x:v>
      </x:c>
      <x:c r="J372" t="str">
        <x:v>Non</x:v>
      </x:c>
      <x:c r="K372" t="str">
        <x:v>Pièces décrites, murs, portes, niveaux et mobilier inspectables à l’échelle. Volumes réservés, raccord au seed, butin, rencontres et services de campagne restent à terminer.</x:v>
      </x:c>
    </x:row>
    <x:row r="373">
      <x:c r="A373" t="str">
        <x:v>EXT-MONDE-T008-V18</x:v>
      </x:c>
      <x:c r="B373" t="str">
        <x:v>EXT-MONDE-T008</x:v>
      </x:c>
      <x:c r="C373" t="str">
        <x:v>Navires de haute mer</x:v>
      </x:c>
      <x:c r="D373" t="str">
        <x:v>Sous-marin en surface</x:v>
      </x:c>
      <x:c r="E373" t="n">
        <x:v>18</x:v>
      </x:c>
      <x:c r="F373" t="str">
        <x:v>Inspection physique</x:v>
      </x:c>
      <x:c r="G373" t="str">
        <x:v>2 niveaux ; 10 pièces ; 64 segments de mur ; 1 transitions. Inspection physique ; architecture complète encore ouverte.</x:v>
      </x:c>
      <x:c r="H373" t="str">
        <x:v>L 94,996 ; l 8,306 ; hauteur inconnue ; tirant 4,699 ; hauteur émergée auteur 5,601 m ; longueur/largeur/tirant sourcés ; hauteur totale réelle inconnue</x:v>
      </x:c>
      <x:c r="I373" t="str">
        <x:v>À équilibrer</x:v>
      </x:c>
      <x:c r="J373" t="str">
        <x:v>Non</x:v>
      </x:c>
      <x:c r="K373" t="str">
        <x:v>Pièces décrites, murs, portes, niveaux et mobilier inspectables à l’échelle. Volumes réservés, raccord au seed, butin, rencontres et services de campagne restent à terminer.</x:v>
      </x:c>
    </x:row>
    <x:row r="374">
      <x:c r="A374" t="str">
        <x:v>EXT-MONDE-T008-V19</x:v>
      </x:c>
      <x:c r="B374" t="str">
        <x:v>EXT-MONDE-T008</x:v>
      </x:c>
      <x:c r="C374" t="str">
        <x:v>Navires de haute mer</x:v>
      </x:c>
      <x:c r="D374" t="str">
        <x:v>Sous-marin en surface</x:v>
      </x:c>
      <x:c r="E374" t="n">
        <x:v>19</x:v>
      </x:c>
      <x:c r="F374" t="str">
        <x:v>Inspection physique</x:v>
      </x:c>
      <x:c r="G374" t="str">
        <x:v>2 niveaux ; 10 pièces ; 64 segments de mur ; 1 transitions. Inspection physique ; architecture complète encore ouverte.</x:v>
      </x:c>
      <x:c r="H374" t="str">
        <x:v>L 94,996 ; l 8,306 ; hauteur inconnue ; tirant 4,699 ; hauteur émergée auteur 5,601 m ; longueur/largeur/tirant sourcés ; hauteur totale réelle inconnue</x:v>
      </x:c>
      <x:c r="I374" t="str">
        <x:v>À équilibrer</x:v>
      </x:c>
      <x:c r="J374" t="str">
        <x:v>Non</x:v>
      </x:c>
      <x:c r="K374" t="str">
        <x:v>Pièces décrites, murs, portes, niveaux et mobilier inspectables à l’échelle. Volumes réservés, raccord au seed, butin, rencontres et services de campagne restent à terminer.</x:v>
      </x:c>
    </x:row>
    <x:row r="375">
      <x:c r="A375" t="str">
        <x:v>EXT-MONDE-T008-V20</x:v>
      </x:c>
      <x:c r="B375" t="str">
        <x:v>EXT-MONDE-T008</x:v>
      </x:c>
      <x:c r="C375" t="str">
        <x:v>Navires de haute mer</x:v>
      </x:c>
      <x:c r="D375" t="str">
        <x:v>Sous-marin en surface</x:v>
      </x:c>
      <x:c r="E375" t="n">
        <x:v>20</x:v>
      </x:c>
      <x:c r="F375" t="str">
        <x:v>Inspection physique</x:v>
      </x:c>
      <x:c r="G375" t="str">
        <x:v>2 niveaux ; 10 pièces ; 64 segments de mur ; 1 transitions. Inspection physique ; architecture complète encore ouverte.</x:v>
      </x:c>
      <x:c r="H375" t="str">
        <x:v>L 94,996 ; l 8,306 ; hauteur inconnue ; tirant 4,699 ; hauteur émergée auteur 5,601 m ; longueur/largeur/tirant sourcés ; hauteur totale réelle inconnue</x:v>
      </x:c>
      <x:c r="I375" t="str">
        <x:v>À équilibrer</x:v>
      </x:c>
      <x:c r="J375" t="str">
        <x:v>Non</x:v>
      </x:c>
      <x:c r="K375" t="str">
        <x:v>Pièces décrites, murs, portes, niveaux et mobilier inspectables à l’échelle. Volumes réservés, raccord au seed, butin, rencontres et services de campagne restent à terminer.</x:v>
      </x:c>
    </x:row>
    <x:row r="376">
      <x:c r="A376" t="str">
        <x:v>EXT-MONDE-T008-V21</x:v>
      </x:c>
      <x:c r="B376" t="str">
        <x:v>EXT-MONDE-T008</x:v>
      </x:c>
      <x:c r="C376" t="str">
        <x:v>Navires de haute mer</x:v>
      </x:c>
      <x:c r="D376" t="str">
        <x:v>Sous-marin en surface</x:v>
      </x:c>
      <x:c r="E376" t="n">
        <x:v>21</x:v>
      </x:c>
      <x:c r="F376" t="str">
        <x:v>Inspection physique</x:v>
      </x:c>
      <x:c r="G376" t="str">
        <x:v>2 niveaux ; 12 pièces ; 76 segments de mur ; 1 transitions. Inspection physique ; architecture complète encore ouverte.</x:v>
      </x:c>
      <x:c r="H376" t="str">
        <x:v>L 94,996 ; l 8,306 ; hauteur inconnue ; tirant 4,699 ; hauteur émergée auteur 5,601 m ; longueur/largeur/tirant sourcés ; hauteur totale réelle inconnue</x:v>
      </x:c>
      <x:c r="I376" t="str">
        <x:v>À équilibrer</x:v>
      </x:c>
      <x:c r="J376" t="str">
        <x:v>Non</x:v>
      </x:c>
      <x:c r="K376" t="str">
        <x:v>Pièces décrites, murs, portes, niveaux et mobilier inspectables à l’échelle. Volumes réservés, raccord au seed, butin, rencontres et services de campagne restent à terminer.</x:v>
      </x:c>
    </x:row>
    <x:row r="377">
      <x:c r="A377" t="str">
        <x:v>EXT-MONDE-T008-V22</x:v>
      </x:c>
      <x:c r="B377" t="str">
        <x:v>EXT-MONDE-T008</x:v>
      </x:c>
      <x:c r="C377" t="str">
        <x:v>Navires de haute mer</x:v>
      </x:c>
      <x:c r="D377" t="str">
        <x:v>Sous-marin en surface</x:v>
      </x:c>
      <x:c r="E377" t="n">
        <x:v>22</x:v>
      </x:c>
      <x:c r="F377" t="str">
        <x:v>Inspection physique</x:v>
      </x:c>
      <x:c r="G377" t="str">
        <x:v>2 niveaux ; 12 pièces ; 76 segments de mur ; 1 transitions. Inspection physique ; architecture complète encore ouverte.</x:v>
      </x:c>
      <x:c r="H377" t="str">
        <x:v>L 94,996 ; l 8,306 ; hauteur inconnue ; tirant 4,699 ; hauteur émergée auteur 5,601 m ; longueur/largeur/tirant sourcés ; hauteur totale réelle inconnue</x:v>
      </x:c>
      <x:c r="I377" t="str">
        <x:v>À équilibrer</x:v>
      </x:c>
      <x:c r="J377" t="str">
        <x:v>Non</x:v>
      </x:c>
      <x:c r="K377" t="str">
        <x:v>Pièces décrites, murs, portes, niveaux et mobilier inspectables à l’échelle. Volumes réservés, raccord au seed, butin, rencontres et services de campagne restent à terminer.</x:v>
      </x:c>
    </x:row>
    <x:row r="378">
      <x:c r="A378" t="str">
        <x:v>EXT-MONDE-T008-V23</x:v>
      </x:c>
      <x:c r="B378" t="str">
        <x:v>EXT-MONDE-T008</x:v>
      </x:c>
      <x:c r="C378" t="str">
        <x:v>Navires de haute mer</x:v>
      </x:c>
      <x:c r="D378" t="str">
        <x:v>Sous-marin en surface</x:v>
      </x:c>
      <x:c r="E378" t="n">
        <x:v>23</x:v>
      </x:c>
      <x:c r="F378" t="str">
        <x:v>Inspection physique</x:v>
      </x:c>
      <x:c r="G378" t="str">
        <x:v>2 niveaux ; 12 pièces ; 76 segments de mur ; 1 transitions. Inspection physique ; architecture complète encore ouverte.</x:v>
      </x:c>
      <x:c r="H378" t="str">
        <x:v>L 94,996 ; l 8,306 ; hauteur inconnue ; tirant 4,699 ; hauteur émergée auteur 5,601 m ; longueur/largeur/tirant sourcés ; hauteur totale réelle inconnue</x:v>
      </x:c>
      <x:c r="I378" t="str">
        <x:v>À équilibrer</x:v>
      </x:c>
      <x:c r="J378" t="str">
        <x:v>Non</x:v>
      </x:c>
      <x:c r="K378" t="str">
        <x:v>Pièces décrites, murs, portes, niveaux et mobilier inspectables à l’échelle. Volumes réservés, raccord au seed, butin, rencontres et services de campagne restent à terminer.</x:v>
      </x:c>
    </x:row>
    <x:row r="379">
      <x:c r="A379" t="str">
        <x:v>EXT-MONDE-T008-V24</x:v>
      </x:c>
      <x:c r="B379" t="str">
        <x:v>EXT-MONDE-T008</x:v>
      </x:c>
      <x:c r="C379" t="str">
        <x:v>Navires de haute mer</x:v>
      </x:c>
      <x:c r="D379" t="str">
        <x:v>Sous-marin en surface</x:v>
      </x:c>
      <x:c r="E379" t="n">
        <x:v>24</x:v>
      </x:c>
      <x:c r="F379" t="str">
        <x:v>Inspection physique</x:v>
      </x:c>
      <x:c r="G379" t="str">
        <x:v>2 niveaux ; 12 pièces ; 76 segments de mur ; 1 transitions. Inspection physique ; architecture complète encore ouverte.</x:v>
      </x:c>
      <x:c r="H379" t="str">
        <x:v>L 94,996 ; l 8,306 ; hauteur inconnue ; tirant 4,699 ; hauteur émergée auteur 5,601 m ; longueur/largeur/tirant sourcés ; hauteur totale réelle inconnue</x:v>
      </x:c>
      <x:c r="I379" t="str">
        <x:v>À équilibrer</x:v>
      </x:c>
      <x:c r="J379" t="str">
        <x:v>Non</x:v>
      </x:c>
      <x:c r="K379" t="str">
        <x:v>Pièces décrites, murs, portes, niveaux et mobilier inspectables à l’échelle. Volumes réservés, raccord au seed, butin, rencontres et services de campagne restent à terminer.</x:v>
      </x:c>
    </x:row>
    <x:row r="380">
      <x:c r="A380" t="str">
        <x:v>EXT-MONDE-T008-V25</x:v>
      </x:c>
      <x:c r="B380" t="str">
        <x:v>EXT-MONDE-T008</x:v>
      </x:c>
      <x:c r="C380" t="str">
        <x:v>Navires de haute mer</x:v>
      </x:c>
      <x:c r="D380" t="str">
        <x:v>Sous-marin en surface</x:v>
      </x:c>
      <x:c r="E380" t="n">
        <x:v>25</x:v>
      </x:c>
      <x:c r="F380" t="str">
        <x:v>Inspection physique</x:v>
      </x:c>
      <x:c r="G380" t="str">
        <x:v>2 niveaux ; 12 pièces ; 76 segments de mur ; 1 transitions. Inspection physique ; architecture complète encore ouverte.</x:v>
      </x:c>
      <x:c r="H380" t="str">
        <x:v>L 94,996 ; l 8,306 ; hauteur inconnue ; tirant 4,699 ; hauteur émergée auteur 5,601 m ; longueur/largeur/tirant sourcés ; hauteur totale réelle inconnue</x:v>
      </x:c>
      <x:c r="I380" t="str">
        <x:v>À équilibrer</x:v>
      </x:c>
      <x:c r="J380" t="str">
        <x:v>Non</x:v>
      </x:c>
      <x:c r="K380" t="str">
        <x:v>Pièces décrites, murs, portes, niveaux et mobilier inspectables à l’échelle. Volumes réservés, raccord au seed, butin, rencontres et services de campagne restent à terminer.</x:v>
      </x:c>
    </x:row>
    <x:row r="381">
      <x:c r="A381" t="str">
        <x:v>EXT-MONDE-T008-V26</x:v>
      </x:c>
      <x:c r="B381" t="str">
        <x:v>EXT-MONDE-T008</x:v>
      </x:c>
      <x:c r="C381" t="str">
        <x:v>Navires de haute mer</x:v>
      </x:c>
      <x:c r="D381" t="str">
        <x:v>Sous-marin en surface</x:v>
      </x:c>
      <x:c r="E381" t="n">
        <x:v>26</x:v>
      </x:c>
      <x:c r="F381" t="str">
        <x:v>Inspection physique</x:v>
      </x:c>
      <x:c r="G381" t="str">
        <x:v>2 niveaux ; 12 pièces ; 76 segments de mur ; 1 transitions. Inspection physique ; architecture complète encore ouverte.</x:v>
      </x:c>
      <x:c r="H381" t="str">
        <x:v>L 94,996 ; l 8,306 ; hauteur inconnue ; tirant 4,699 ; hauteur émergée auteur 5,601 m ; longueur/largeur/tirant sourcés ; hauteur totale réelle inconnue</x:v>
      </x:c>
      <x:c r="I381" t="str">
        <x:v>À équilibrer</x:v>
      </x:c>
      <x:c r="J381" t="str">
        <x:v>Non</x:v>
      </x:c>
      <x:c r="K381" t="str">
        <x:v>Pièces décrites, murs, portes, niveaux et mobilier inspectables à l’échelle. Volumes réservés, raccord au seed, butin, rencontres et services de campagne restent à terminer.</x:v>
      </x:c>
    </x:row>
    <x:row r="382">
      <x:c r="A382" t="str">
        <x:v>EXT-MONDE-T008-V27</x:v>
      </x:c>
      <x:c r="B382" t="str">
        <x:v>EXT-MONDE-T008</x:v>
      </x:c>
      <x:c r="C382" t="str">
        <x:v>Navires de haute mer</x:v>
      </x:c>
      <x:c r="D382" t="str">
        <x:v>Sous-marin en surface</x:v>
      </x:c>
      <x:c r="E382" t="n">
        <x:v>27</x:v>
      </x:c>
      <x:c r="F382" t="str">
        <x:v>Inspection physique</x:v>
      </x:c>
      <x:c r="G382" t="str">
        <x:v>2 niveaux ; 12 pièces ; 76 segments de mur ; 1 transitions. Inspection physique ; architecture complète encore ouverte.</x:v>
      </x:c>
      <x:c r="H382" t="str">
        <x:v>L 94,996 ; l 8,306 ; hauteur inconnue ; tirant 4,699 ; hauteur émergée auteur 5,601 m ; longueur/largeur/tirant sourcés ; hauteur totale réelle inconnue</x:v>
      </x:c>
      <x:c r="I382" t="str">
        <x:v>À équilibrer</x:v>
      </x:c>
      <x:c r="J382" t="str">
        <x:v>Non</x:v>
      </x:c>
      <x:c r="K382" t="str">
        <x:v>Pièces décrites, murs, portes, niveaux et mobilier inspectables à l’échelle. Volumes réservés, raccord au seed, butin, rencontres et services de campagne restent à terminer.</x:v>
      </x:c>
    </x:row>
    <x:row r="383">
      <x:c r="A383" t="str">
        <x:v>EXT-MONDE-T008-V28</x:v>
      </x:c>
      <x:c r="B383" t="str">
        <x:v>EXT-MONDE-T008</x:v>
      </x:c>
      <x:c r="C383" t="str">
        <x:v>Navires de haute mer</x:v>
      </x:c>
      <x:c r="D383" t="str">
        <x:v>Sous-marin en surface</x:v>
      </x:c>
      <x:c r="E383" t="n">
        <x:v>28</x:v>
      </x:c>
      <x:c r="F383" t="str">
        <x:v>Inspection physique</x:v>
      </x:c>
      <x:c r="G383" t="str">
        <x:v>2 niveaux ; 12 pièces ; 76 segments de mur ; 1 transitions. Inspection physique ; architecture complète encore ouverte.</x:v>
      </x:c>
      <x:c r="H383" t="str">
        <x:v>L 94,996 ; l 8,306 ; hauteur inconnue ; tirant 4,699 ; hauteur émergée auteur 5,601 m ; longueur/largeur/tirant sourcés ; hauteur totale réelle inconnue</x:v>
      </x:c>
      <x:c r="I383" t="str">
        <x:v>À équilibrer</x:v>
      </x:c>
      <x:c r="J383" t="str">
        <x:v>Non</x:v>
      </x:c>
      <x:c r="K383" t="str">
        <x:v>Pièces décrites, murs, portes, niveaux et mobilier inspectables à l’échelle. Volumes réservés, raccord au seed, butin, rencontres et services de campagne restent à terminer.</x:v>
      </x:c>
    </x:row>
    <x:row r="384">
      <x:c r="A384" t="str">
        <x:v>EXT-MONDE-T008-V29</x:v>
      </x:c>
      <x:c r="B384" t="str">
        <x:v>EXT-MONDE-T008</x:v>
      </x:c>
      <x:c r="C384" t="str">
        <x:v>Navires de haute mer</x:v>
      </x:c>
      <x:c r="D384" t="str">
        <x:v>Sous-marin en surface</x:v>
      </x:c>
      <x:c r="E384" t="n">
        <x:v>29</x:v>
      </x:c>
      <x:c r="F384" t="str">
        <x:v>Inspection physique</x:v>
      </x:c>
      <x:c r="G384" t="str">
        <x:v>2 niveaux ; 12 pièces ; 76 segments de mur ; 1 transitions. Inspection physique ; architecture complète encore ouverte.</x:v>
      </x:c>
      <x:c r="H384" t="str">
        <x:v>L 94,996 ; l 8,306 ; hauteur inconnue ; tirant 4,699 ; hauteur émergée auteur 5,601 m ; longueur/largeur/tirant sourcés ; hauteur totale réelle inconnue</x:v>
      </x:c>
      <x:c r="I384" t="str">
        <x:v>À équilibrer</x:v>
      </x:c>
      <x:c r="J384" t="str">
        <x:v>Non</x:v>
      </x:c>
      <x:c r="K384" t="str">
        <x:v>Pièces décrites, murs, portes, niveaux et mobilier inspectables à l’échelle. Volumes réservés, raccord au seed, butin, rencontres et services de campagne restent à terminer.</x:v>
      </x:c>
    </x:row>
    <x:row r="385">
      <x:c r="A385" t="str">
        <x:v>EXT-MONDE-T008-V30</x:v>
      </x:c>
      <x:c r="B385" t="str">
        <x:v>EXT-MONDE-T008</x:v>
      </x:c>
      <x:c r="C385" t="str">
        <x:v>Navires de haute mer</x:v>
      </x:c>
      <x:c r="D385" t="str">
        <x:v>Sous-marin en surface</x:v>
      </x:c>
      <x:c r="E385" t="n">
        <x:v>30</x:v>
      </x:c>
      <x:c r="F385" t="str">
        <x:v>Inspection physique</x:v>
      </x:c>
      <x:c r="G385" t="str">
        <x:v>2 niveaux ; 12 pièces ; 76 segments de mur ; 1 transitions. Inspection physique ; architecture complète encore ouverte.</x:v>
      </x:c>
      <x:c r="H385" t="str">
        <x:v>L 94,996 ; l 8,306 ; hauteur inconnue ; tirant 4,699 ; hauteur émergée auteur 5,601 m ; longueur/largeur/tirant sourcés ; hauteur totale réelle inconnue</x:v>
      </x:c>
      <x:c r="I385" t="str">
        <x:v>À équilibrer</x:v>
      </x:c>
      <x:c r="J385" t="str">
        <x:v>Non</x:v>
      </x:c>
      <x:c r="K385" t="str">
        <x:v>Pièces décrites, murs, portes, niveaux et mobilier inspectables à l’échelle. Volumes réservés, raccord au seed, butin, rencontres et services de campagne restent à terminer.</x:v>
      </x:c>
    </x:row>
    <x:row r="386">
      <x:c r="A386" t="str">
        <x:v>EXT-MONDE-T008-V31</x:v>
      </x:c>
      <x:c r="B386" t="str">
        <x:v>EXT-MONDE-T008</x:v>
      </x:c>
      <x:c r="C386" t="str">
        <x:v>Navires de haute mer</x:v>
      </x:c>
      <x:c r="D386" t="str">
        <x:v>Sous-marin en surface</x:v>
      </x:c>
      <x:c r="E386" t="n">
        <x:v>31</x:v>
      </x:c>
      <x:c r="F386" t="str">
        <x:v>Inspection physique</x:v>
      </x:c>
      <x:c r="G386" t="str">
        <x:v>2 niveaux ; 14 pièces ; 88 segments de mur ; 1 transitions. Inspection physique ; architecture complète encore ouverte.</x:v>
      </x:c>
      <x:c r="H386" t="str">
        <x:v>L 94,996 ; l 8,306 ; hauteur inconnue ; tirant 4,699 ; hauteur émergée auteur 5,601 m ; longueur/largeur/tirant sourcés ; hauteur totale réelle inconnue</x:v>
      </x:c>
      <x:c r="I386" t="str">
        <x:v>À équilibrer</x:v>
      </x:c>
      <x:c r="J386" t="str">
        <x:v>Non</x:v>
      </x:c>
      <x:c r="K386" t="str">
        <x:v>Pièces décrites, murs, portes, niveaux et mobilier inspectables à l’échelle. Volumes réservés, raccord au seed, butin, rencontres et services de campagne restent à terminer.</x:v>
      </x:c>
    </x:row>
    <x:row r="387">
      <x:c r="A387" t="str">
        <x:v>EXT-MONDE-T008-V32</x:v>
      </x:c>
      <x:c r="B387" t="str">
        <x:v>EXT-MONDE-T008</x:v>
      </x:c>
      <x:c r="C387" t="str">
        <x:v>Navires de haute mer</x:v>
      </x:c>
      <x:c r="D387" t="str">
        <x:v>Sous-marin en surface</x:v>
      </x:c>
      <x:c r="E387" t="n">
        <x:v>32</x:v>
      </x:c>
      <x:c r="F387" t="str">
        <x:v>Inspection physique</x:v>
      </x:c>
      <x:c r="G387" t="str">
        <x:v>2 niveaux ; 14 pièces ; 88 segments de mur ; 1 transitions. Inspection physique ; architecture complète encore ouverte.</x:v>
      </x:c>
      <x:c r="H387" t="str">
        <x:v>L 94,996 ; l 8,306 ; hauteur inconnue ; tirant 4,699 ; hauteur émergée auteur 5,601 m ; longueur/largeur/tirant sourcés ; hauteur totale réelle inconnue</x:v>
      </x:c>
      <x:c r="I387" t="str">
        <x:v>À équilibrer</x:v>
      </x:c>
      <x:c r="J387" t="str">
        <x:v>Non</x:v>
      </x:c>
      <x:c r="K387" t="str">
        <x:v>Pièces décrites, murs, portes, niveaux et mobilier inspectables à l’échelle. Volumes réservés, raccord au seed, butin, rencontres et services de campagne restent à terminer.</x:v>
      </x:c>
    </x:row>
    <x:row r="388">
      <x:c r="A388" t="str">
        <x:v>EXT-MONDE-T008-V33</x:v>
      </x:c>
      <x:c r="B388" t="str">
        <x:v>EXT-MONDE-T008</x:v>
      </x:c>
      <x:c r="C388" t="str">
        <x:v>Navires de haute mer</x:v>
      </x:c>
      <x:c r="D388" t="str">
        <x:v>Sous-marin en surface</x:v>
      </x:c>
      <x:c r="E388" t="n">
        <x:v>33</x:v>
      </x:c>
      <x:c r="F388" t="str">
        <x:v>Inspection physique</x:v>
      </x:c>
      <x:c r="G388" t="str">
        <x:v>2 niveaux ; 14 pièces ; 88 segments de mur ; 1 transitions. Inspection physique ; architecture complète encore ouverte.</x:v>
      </x:c>
      <x:c r="H388" t="str">
        <x:v>L 94,996 ; l 8,306 ; hauteur inconnue ; tirant 4,699 ; hauteur émergée auteur 5,601 m ; longueur/largeur/tirant sourcés ; hauteur totale réelle inconnue</x:v>
      </x:c>
      <x:c r="I388" t="str">
        <x:v>À équilibrer</x:v>
      </x:c>
      <x:c r="J388" t="str">
        <x:v>Non</x:v>
      </x:c>
      <x:c r="K388" t="str">
        <x:v>Pièces décrites, murs, portes, niveaux et mobilier inspectables à l’échelle. Volumes réservés, raccord au seed, butin, rencontres et services de campagne restent à terminer.</x:v>
      </x:c>
    </x:row>
    <x:row r="389">
      <x:c r="A389" t="str">
        <x:v>EXT-MONDE-T008-V34</x:v>
      </x:c>
      <x:c r="B389" t="str">
        <x:v>EXT-MONDE-T008</x:v>
      </x:c>
      <x:c r="C389" t="str">
        <x:v>Navires de haute mer</x:v>
      </x:c>
      <x:c r="D389" t="str">
        <x:v>Sous-marin en surface</x:v>
      </x:c>
      <x:c r="E389" t="n">
        <x:v>34</x:v>
      </x:c>
      <x:c r="F389" t="str">
        <x:v>Inspection physique</x:v>
      </x:c>
      <x:c r="G389" t="str">
        <x:v>2 niveaux ; 14 pièces ; 88 segments de mur ; 1 transitions. Inspection physique ; architecture complète encore ouverte.</x:v>
      </x:c>
      <x:c r="H389" t="str">
        <x:v>L 94,996 ; l 8,306 ; hauteur inconnue ; tirant 4,699 ; hauteur émergée auteur 5,601 m ; longueur/largeur/tirant sourcés ; hauteur totale réelle inconnue</x:v>
      </x:c>
      <x:c r="I389" t="str">
        <x:v>À équilibrer</x:v>
      </x:c>
      <x:c r="J389" t="str">
        <x:v>Non</x:v>
      </x:c>
      <x:c r="K389" t="str">
        <x:v>Pièces décrites, murs, portes, niveaux et mobilier inspectables à l’échelle. Volumes réservés, raccord au seed, butin, rencontres et services de campagne restent à terminer.</x:v>
      </x:c>
    </x:row>
    <x:row r="390">
      <x:c r="A390" t="str">
        <x:v>EXT-MONDE-T008-V35</x:v>
      </x:c>
      <x:c r="B390" t="str">
        <x:v>EXT-MONDE-T008</x:v>
      </x:c>
      <x:c r="C390" t="str">
        <x:v>Navires de haute mer</x:v>
      </x:c>
      <x:c r="D390" t="str">
        <x:v>Sous-marin en surface</x:v>
      </x:c>
      <x:c r="E390" t="n">
        <x:v>35</x:v>
      </x:c>
      <x:c r="F390" t="str">
        <x:v>Inspection physique</x:v>
      </x:c>
      <x:c r="G390" t="str">
        <x:v>2 niveaux ; 14 pièces ; 88 segments de mur ; 1 transitions. Inspection physique ; architecture complète encore ouverte.</x:v>
      </x:c>
      <x:c r="H390" t="str">
        <x:v>L 94,996 ; l 8,306 ; hauteur inconnue ; tirant 4,699 ; hauteur émergée auteur 5,601 m ; longueur/largeur/tirant sourcés ; hauteur totale réelle inconnue</x:v>
      </x:c>
      <x:c r="I390" t="str">
        <x:v>À équilibrer</x:v>
      </x:c>
      <x:c r="J390" t="str">
        <x:v>Non</x:v>
      </x:c>
      <x:c r="K390" t="str">
        <x:v>Pièces décrites, murs, portes, niveaux et mobilier inspectables à l’échelle. Volumes réservés, raccord au seed, butin, rencontres et services de campagne restent à terminer.</x:v>
      </x:c>
    </x:row>
    <x:row r="391">
      <x:c r="A391" t="str">
        <x:v>EXT-MONDE-T008-V36</x:v>
      </x:c>
      <x:c r="B391" t="str">
        <x:v>EXT-MONDE-T008</x:v>
      </x:c>
      <x:c r="C391" t="str">
        <x:v>Navires de haute mer</x:v>
      </x:c>
      <x:c r="D391" t="str">
        <x:v>Sous-marin en surface</x:v>
      </x:c>
      <x:c r="E391" t="n">
        <x:v>36</x:v>
      </x:c>
      <x:c r="F391" t="str">
        <x:v>Inspection physique</x:v>
      </x:c>
      <x:c r="G391" t="str">
        <x:v>2 niveaux ; 14 pièces ; 88 segments de mur ; 1 transitions. Inspection physique ; architecture complète encore ouverte.</x:v>
      </x:c>
      <x:c r="H391" t="str">
        <x:v>L 94,996 ; l 8,306 ; hauteur inconnue ; tirant 4,699 ; hauteur émergée auteur 5,601 m ; longueur/largeur/tirant sourcés ; hauteur totale réelle inconnue</x:v>
      </x:c>
      <x:c r="I391" t="str">
        <x:v>À équilibrer</x:v>
      </x:c>
      <x:c r="J391" t="str">
        <x:v>Non</x:v>
      </x:c>
      <x:c r="K391" t="str">
        <x:v>Pièces décrites, murs, portes, niveaux et mobilier inspectables à l’échelle. Volumes réservés, raccord au seed, butin, rencontres et services de campagne restent à terminer.</x:v>
      </x:c>
    </x:row>
    <x:row r="392">
      <x:c r="A392" t="str">
        <x:v>EXT-MONDE-T008-V37</x:v>
      </x:c>
      <x:c r="B392" t="str">
        <x:v>EXT-MONDE-T008</x:v>
      </x:c>
      <x:c r="C392" t="str">
        <x:v>Navires de haute mer</x:v>
      </x:c>
      <x:c r="D392" t="str">
        <x:v>Sous-marin en surface</x:v>
      </x:c>
      <x:c r="E392" t="n">
        <x:v>37</x:v>
      </x:c>
      <x:c r="F392" t="str">
        <x:v>Inspection physique</x:v>
      </x:c>
      <x:c r="G392" t="str">
        <x:v>2 niveaux ; 14 pièces ; 88 segments de mur ; 1 transitions. Inspection physique ; architecture complète encore ouverte.</x:v>
      </x:c>
      <x:c r="H392" t="str">
        <x:v>L 94,996 ; l 8,306 ; hauteur inconnue ; tirant 4,699 ; hauteur émergée auteur 5,601 m ; longueur/largeur/tirant sourcés ; hauteur totale réelle inconnue</x:v>
      </x:c>
      <x:c r="I392" t="str">
        <x:v>À équilibrer</x:v>
      </x:c>
      <x:c r="J392" t="str">
        <x:v>Non</x:v>
      </x:c>
      <x:c r="K392" t="str">
        <x:v>Pièces décrites, murs, portes, niveaux et mobilier inspectables à l’échelle. Volumes réservés, raccord au seed, butin, rencontres et services de campagne restent à terminer.</x:v>
      </x:c>
    </x:row>
    <x:row r="393">
      <x:c r="A393" t="str">
        <x:v>EXT-MONDE-T008-V38</x:v>
      </x:c>
      <x:c r="B393" t="str">
        <x:v>EXT-MONDE-T008</x:v>
      </x:c>
      <x:c r="C393" t="str">
        <x:v>Navires de haute mer</x:v>
      </x:c>
      <x:c r="D393" t="str">
        <x:v>Sous-marin en surface</x:v>
      </x:c>
      <x:c r="E393" t="n">
        <x:v>38</x:v>
      </x:c>
      <x:c r="F393" t="str">
        <x:v>Inspection physique</x:v>
      </x:c>
      <x:c r="G393" t="str">
        <x:v>2 niveaux ; 14 pièces ; 88 segments de mur ; 1 transitions. Inspection physique ; architecture complète encore ouverte.</x:v>
      </x:c>
      <x:c r="H393" t="str">
        <x:v>L 94,996 ; l 8,306 ; hauteur inconnue ; tirant 4,699 ; hauteur émergée auteur 5,601 m ; longueur/largeur/tirant sourcés ; hauteur totale réelle inconnue</x:v>
      </x:c>
      <x:c r="I393" t="str">
        <x:v>À équilibrer</x:v>
      </x:c>
      <x:c r="J393" t="str">
        <x:v>Non</x:v>
      </x:c>
      <x:c r="K393" t="str">
        <x:v>Pièces décrites, murs, portes, niveaux et mobilier inspectables à l’échelle. Volumes réservés, raccord au seed, butin, rencontres et services de campagne restent à terminer.</x:v>
      </x:c>
    </x:row>
    <x:row r="394">
      <x:c r="A394" t="str">
        <x:v>EXT-MONDE-T008-V39</x:v>
      </x:c>
      <x:c r="B394" t="str">
        <x:v>EXT-MONDE-T008</x:v>
      </x:c>
      <x:c r="C394" t="str">
        <x:v>Navires de haute mer</x:v>
      </x:c>
      <x:c r="D394" t="str">
        <x:v>Sous-marin en surface</x:v>
      </x:c>
      <x:c r="E394" t="n">
        <x:v>39</x:v>
      </x:c>
      <x:c r="F394" t="str">
        <x:v>Inspection physique</x:v>
      </x:c>
      <x:c r="G394" t="str">
        <x:v>2 niveaux ; 14 pièces ; 88 segments de mur ; 1 transitions. Inspection physique ; architecture complète encore ouverte.</x:v>
      </x:c>
      <x:c r="H394" t="str">
        <x:v>L 94,996 ; l 8,306 ; hauteur inconnue ; tirant 4,699 ; hauteur émergée auteur 5,601 m ; longueur/largeur/tirant sourcés ; hauteur totale réelle inconnue</x:v>
      </x:c>
      <x:c r="I394" t="str">
        <x:v>À équilibrer</x:v>
      </x:c>
      <x:c r="J394" t="str">
        <x:v>Non</x:v>
      </x:c>
      <x:c r="K394" t="str">
        <x:v>Pièces décrites, murs, portes, niveaux et mobilier inspectables à l’échelle. Volumes réservés, raccord au seed, butin, rencontres et services de campagne restent à terminer.</x:v>
      </x:c>
    </x:row>
    <x:row r="395">
      <x:c r="A395" t="str">
        <x:v>EXT-MONDE-T008-V40</x:v>
      </x:c>
      <x:c r="B395" t="str">
        <x:v>EXT-MONDE-T008</x:v>
      </x:c>
      <x:c r="C395" t="str">
        <x:v>Navires de haute mer</x:v>
      </x:c>
      <x:c r="D395" t="str">
        <x:v>Sous-marin en surface</x:v>
      </x:c>
      <x:c r="E395" t="n">
        <x:v>40</x:v>
      </x:c>
      <x:c r="F395" t="str">
        <x:v>Inspection physique</x:v>
      </x:c>
      <x:c r="G395" t="str">
        <x:v>2 niveaux ; 14 pièces ; 88 segments de mur ; 1 transitions. Inspection physique ; architecture complète encore ouverte.</x:v>
      </x:c>
      <x:c r="H395" t="str">
        <x:v>L 94,996 ; l 8,306 ; hauteur inconnue ; tirant 4,699 ; hauteur émergée auteur 5,601 m ; longueur/largeur/tirant sourcés ; hauteur totale réelle inconnue</x:v>
      </x:c>
      <x:c r="I395" t="str">
        <x:v>À équilibrer</x:v>
      </x:c>
      <x:c r="J395" t="str">
        <x:v>Non</x:v>
      </x:c>
      <x:c r="K395" t="str">
        <x:v>Pièces décrites, murs, portes, niveaux et mobilier inspectables à l’échelle. Volumes réservés, raccord au seed, butin, rencontres et services de campagne restent à terminer.</x:v>
      </x:c>
    </x:row>
    <x:row r="396">
      <x:c r="A396" t="str">
        <x:v>EXT-MONDE-T008-V41</x:v>
      </x:c>
      <x:c r="B396" t="str">
        <x:v>EXT-MONDE-T008</x:v>
      </x:c>
      <x:c r="C396" t="str">
        <x:v>Navires de haute mer</x:v>
      </x:c>
      <x:c r="D396" t="str">
        <x:v>Sous-marin en surface</x:v>
      </x:c>
      <x:c r="E396" t="n">
        <x:v>41</x:v>
      </x:c>
      <x:c r="F396" t="str">
        <x:v>Inspection physique</x:v>
      </x:c>
      <x:c r="G396" t="str">
        <x:v>2 niveaux ; 16 pièces ; 100 segments de mur ; 1 transitions. Inspection physique ; architecture complète encore ouverte.</x:v>
      </x:c>
      <x:c r="H396" t="str">
        <x:v>L 94,996 ; l 8,306 ; hauteur inconnue ; tirant 4,699 ; hauteur émergée auteur 5,601 m ; longueur/largeur/tirant sourcés ; hauteur totale réelle inconnue</x:v>
      </x:c>
      <x:c r="I396" t="str">
        <x:v>À équilibrer</x:v>
      </x:c>
      <x:c r="J396" t="str">
        <x:v>Non</x:v>
      </x:c>
      <x:c r="K396" t="str">
        <x:v>Pièces décrites, murs, portes, niveaux et mobilier inspectables à l’échelle. Volumes réservés, raccord au seed, butin, rencontres et services de campagne restent à terminer.</x:v>
      </x:c>
    </x:row>
    <x:row r="397">
      <x:c r="A397" t="str">
        <x:v>EXT-MONDE-T008-V42</x:v>
      </x:c>
      <x:c r="B397" t="str">
        <x:v>EXT-MONDE-T008</x:v>
      </x:c>
      <x:c r="C397" t="str">
        <x:v>Navires de haute mer</x:v>
      </x:c>
      <x:c r="D397" t="str">
        <x:v>Sous-marin en surface</x:v>
      </x:c>
      <x:c r="E397" t="n">
        <x:v>42</x:v>
      </x:c>
      <x:c r="F397" t="str">
        <x:v>Inspection physique</x:v>
      </x:c>
      <x:c r="G397" t="str">
        <x:v>2 niveaux ; 16 pièces ; 100 segments de mur ; 1 transitions. Inspection physique ; architecture complète encore ouverte.</x:v>
      </x:c>
      <x:c r="H397" t="str">
        <x:v>L 94,996 ; l 8,306 ; hauteur inconnue ; tirant 4,699 ; hauteur émergée auteur 5,601 m ; longueur/largeur/tirant sourcés ; hauteur totale réelle inconnue</x:v>
      </x:c>
      <x:c r="I397" t="str">
        <x:v>À équilibrer</x:v>
      </x:c>
      <x:c r="J397" t="str">
        <x:v>Non</x:v>
      </x:c>
      <x:c r="K397" t="str">
        <x:v>Pièces décrites, murs, portes, niveaux et mobilier inspectables à l’échelle. Volumes réservés, raccord au seed, butin, rencontres et services de campagne restent à terminer.</x:v>
      </x:c>
    </x:row>
    <x:row r="398">
      <x:c r="A398" t="str">
        <x:v>EXT-MONDE-T008-V43</x:v>
      </x:c>
      <x:c r="B398" t="str">
        <x:v>EXT-MONDE-T008</x:v>
      </x:c>
      <x:c r="C398" t="str">
        <x:v>Navires de haute mer</x:v>
      </x:c>
      <x:c r="D398" t="str">
        <x:v>Sous-marin en surface</x:v>
      </x:c>
      <x:c r="E398" t="n">
        <x:v>43</x:v>
      </x:c>
      <x:c r="F398" t="str">
        <x:v>Inspection physique</x:v>
      </x:c>
      <x:c r="G398" t="str">
        <x:v>2 niveaux ; 16 pièces ; 100 segments de mur ; 1 transitions. Inspection physique ; architecture complète encore ouverte.</x:v>
      </x:c>
      <x:c r="H398" t="str">
        <x:v>L 94,996 ; l 8,306 ; hauteur inconnue ; tirant 4,699 ; hauteur émergée auteur 5,601 m ; longueur/largeur/tirant sourcés ; hauteur totale réelle inconnue</x:v>
      </x:c>
      <x:c r="I398" t="str">
        <x:v>À équilibrer</x:v>
      </x:c>
      <x:c r="J398" t="str">
        <x:v>Non</x:v>
      </x:c>
      <x:c r="K398" t="str">
        <x:v>Pièces décrites, murs, portes, niveaux et mobilier inspectables à l’échelle. Volumes réservés, raccord au seed, butin, rencontres et services de campagne restent à terminer.</x:v>
      </x:c>
    </x:row>
    <x:row r="399">
      <x:c r="A399" t="str">
        <x:v>EXT-MONDE-T008-V44</x:v>
      </x:c>
      <x:c r="B399" t="str">
        <x:v>EXT-MONDE-T008</x:v>
      </x:c>
      <x:c r="C399" t="str">
        <x:v>Navires de haute mer</x:v>
      </x:c>
      <x:c r="D399" t="str">
        <x:v>Sous-marin en surface</x:v>
      </x:c>
      <x:c r="E399" t="n">
        <x:v>44</x:v>
      </x:c>
      <x:c r="F399" t="str">
        <x:v>Inspection physique</x:v>
      </x:c>
      <x:c r="G399" t="str">
        <x:v>2 niveaux ; 16 pièces ; 100 segments de mur ; 1 transitions. Inspection physique ; architecture complète encore ouverte.</x:v>
      </x:c>
      <x:c r="H399" t="str">
        <x:v>L 94,996 ; l 8,306 ; hauteur inconnue ; tirant 4,699 ; hauteur émergée auteur 5,601 m ; longueur/largeur/tirant sourcés ; hauteur totale réelle inconnue</x:v>
      </x:c>
      <x:c r="I399" t="str">
        <x:v>À équilibrer</x:v>
      </x:c>
      <x:c r="J399" t="str">
        <x:v>Non</x:v>
      </x:c>
      <x:c r="K399" t="str">
        <x:v>Pièces décrites, murs, portes, niveaux et mobilier inspectables à l’échelle. Volumes réservés, raccord au seed, butin, rencontres et services de campagne restent à terminer.</x:v>
      </x:c>
    </x:row>
    <x:row r="400">
      <x:c r="A400" t="str">
        <x:v>EXT-MONDE-T008-V45</x:v>
      </x:c>
      <x:c r="B400" t="str">
        <x:v>EXT-MONDE-T008</x:v>
      </x:c>
      <x:c r="C400" t="str">
        <x:v>Navires de haute mer</x:v>
      </x:c>
      <x:c r="D400" t="str">
        <x:v>Sous-marin en surface</x:v>
      </x:c>
      <x:c r="E400" t="n">
        <x:v>45</x:v>
      </x:c>
      <x:c r="F400" t="str">
        <x:v>Inspection physique</x:v>
      </x:c>
      <x:c r="G400" t="str">
        <x:v>2 niveaux ; 16 pièces ; 100 segments de mur ; 1 transitions. Inspection physique ; architecture complète encore ouverte.</x:v>
      </x:c>
      <x:c r="H400" t="str">
        <x:v>L 94,996 ; l 8,306 ; hauteur inconnue ; tirant 4,699 ; hauteur émergée auteur 5,601 m ; longueur/largeur/tirant sourcés ; hauteur totale réelle inconnue</x:v>
      </x:c>
      <x:c r="I400" t="str">
        <x:v>À équilibrer</x:v>
      </x:c>
      <x:c r="J400" t="str">
        <x:v>Non</x:v>
      </x:c>
      <x:c r="K400" t="str">
        <x:v>Pièces décrites, murs, portes, niveaux et mobilier inspectables à l’échelle. Volumes réservés, raccord au seed, butin, rencontres et services de campagne restent à terminer.</x:v>
      </x:c>
    </x:row>
    <x:row r="401">
      <x:c r="A401" t="str">
        <x:v>EXT-MONDE-T008-V46</x:v>
      </x:c>
      <x:c r="B401" t="str">
        <x:v>EXT-MONDE-T008</x:v>
      </x:c>
      <x:c r="C401" t="str">
        <x:v>Navires de haute mer</x:v>
      </x:c>
      <x:c r="D401" t="str">
        <x:v>Sous-marin en surface</x:v>
      </x:c>
      <x:c r="E401" t="n">
        <x:v>46</x:v>
      </x:c>
      <x:c r="F401" t="str">
        <x:v>Inspection physique</x:v>
      </x:c>
      <x:c r="G401" t="str">
        <x:v>2 niveaux ; 16 pièces ; 100 segments de mur ; 1 transitions. Inspection physique ; architecture complète encore ouverte.</x:v>
      </x:c>
      <x:c r="H401" t="str">
        <x:v>L 94,996 ; l 8,306 ; hauteur inconnue ; tirant 4,699 ; hauteur émergée auteur 5,601 m ; longueur/largeur/tirant sourcés ; hauteur totale réelle inconnue</x:v>
      </x:c>
      <x:c r="I401" t="str">
        <x:v>À équilibrer</x:v>
      </x:c>
      <x:c r="J401" t="str">
        <x:v>Non</x:v>
      </x:c>
      <x:c r="K401" t="str">
        <x:v>Pièces décrites, murs, portes, niveaux et mobilier inspectables à l’échelle. Volumes réservés, raccord au seed, butin, rencontres et services de campagne restent à terminer.</x:v>
      </x:c>
    </x:row>
    <x:row r="402">
      <x:c r="A402" t="str">
        <x:v>EXT-MONDE-T008-V47</x:v>
      </x:c>
      <x:c r="B402" t="str">
        <x:v>EXT-MONDE-T008</x:v>
      </x:c>
      <x:c r="C402" t="str">
        <x:v>Navires de haute mer</x:v>
      </x:c>
      <x:c r="D402" t="str">
        <x:v>Sous-marin en surface</x:v>
      </x:c>
      <x:c r="E402" t="n">
        <x:v>47</x:v>
      </x:c>
      <x:c r="F402" t="str">
        <x:v>Inspection physique</x:v>
      </x:c>
      <x:c r="G402" t="str">
        <x:v>2 niveaux ; 16 pièces ; 100 segments de mur ; 1 transitions. Inspection physique ; architecture complète encore ouverte.</x:v>
      </x:c>
      <x:c r="H402" t="str">
        <x:v>L 94,996 ; l 8,306 ; hauteur inconnue ; tirant 4,699 ; hauteur émergée auteur 5,601 m ; longueur/largeur/tirant sourcés ; hauteur totale réelle inconnue</x:v>
      </x:c>
      <x:c r="I402" t="str">
        <x:v>À équilibrer</x:v>
      </x:c>
      <x:c r="J402" t="str">
        <x:v>Non</x:v>
      </x:c>
      <x:c r="K402" t="str">
        <x:v>Pièces décrites, murs, portes, niveaux et mobilier inspectables à l’échelle. Volumes réservés, raccord au seed, butin, rencontres et services de campagne restent à terminer.</x:v>
      </x:c>
    </x:row>
    <x:row r="403">
      <x:c r="A403" t="str">
        <x:v>EXT-MONDE-T008-V48</x:v>
      </x:c>
      <x:c r="B403" t="str">
        <x:v>EXT-MONDE-T008</x:v>
      </x:c>
      <x:c r="C403" t="str">
        <x:v>Navires de haute mer</x:v>
      </x:c>
      <x:c r="D403" t="str">
        <x:v>Sous-marin en surface</x:v>
      </x:c>
      <x:c r="E403" t="n">
        <x:v>48</x:v>
      </x:c>
      <x:c r="F403" t="str">
        <x:v>Inspection physique</x:v>
      </x:c>
      <x:c r="G403" t="str">
        <x:v>2 niveaux ; 16 pièces ; 100 segments de mur ; 1 transitions. Inspection physique ; architecture complète encore ouverte.</x:v>
      </x:c>
      <x:c r="H403" t="str">
        <x:v>L 94,996 ; l 8,306 ; hauteur inconnue ; tirant 4,699 ; hauteur émergée auteur 5,601 m ; longueur/largeur/tirant sourcés ; hauteur totale réelle inconnue</x:v>
      </x:c>
      <x:c r="I403" t="str">
        <x:v>À équilibrer</x:v>
      </x:c>
      <x:c r="J403" t="str">
        <x:v>Non</x:v>
      </x:c>
      <x:c r="K403" t="str">
        <x:v>Pièces décrites, murs, portes, niveaux et mobilier inspectables à l’échelle. Volumes réservés, raccord au seed, butin, rencontres et services de campagne restent à terminer.</x:v>
      </x:c>
    </x:row>
    <x:row r="404">
      <x:c r="A404" t="str">
        <x:v>EXT-MONDE-T008-V49</x:v>
      </x:c>
      <x:c r="B404" t="str">
        <x:v>EXT-MONDE-T008</x:v>
      </x:c>
      <x:c r="C404" t="str">
        <x:v>Navires de haute mer</x:v>
      </x:c>
      <x:c r="D404" t="str">
        <x:v>Sous-marin en surface</x:v>
      </x:c>
      <x:c r="E404" t="n">
        <x:v>49</x:v>
      </x:c>
      <x:c r="F404" t="str">
        <x:v>Inspection physique</x:v>
      </x:c>
      <x:c r="G404" t="str">
        <x:v>2 niveaux ; 16 pièces ; 100 segments de mur ; 1 transitions. Inspection physique ; architecture complète encore ouverte.</x:v>
      </x:c>
      <x:c r="H404" t="str">
        <x:v>L 94,996 ; l 8,306 ; hauteur inconnue ; tirant 4,699 ; hauteur émergée auteur 5,601 m ; longueur/largeur/tirant sourcés ; hauteur totale réelle inconnue</x:v>
      </x:c>
      <x:c r="I404" t="str">
        <x:v>À équilibrer</x:v>
      </x:c>
      <x:c r="J404" t="str">
        <x:v>Non</x:v>
      </x:c>
      <x:c r="K404" t="str">
        <x:v>Pièces décrites, murs, portes, niveaux et mobilier inspectables à l’échelle. Volumes réservés, raccord au seed, butin, rencontres et services de campagne restent à terminer.</x:v>
      </x:c>
    </x:row>
    <x:row r="405">
      <x:c r="A405" t="str">
        <x:v>EXT-MONDE-T008-V50</x:v>
      </x:c>
      <x:c r="B405" t="str">
        <x:v>EXT-MONDE-T008</x:v>
      </x:c>
      <x:c r="C405" t="str">
        <x:v>Navires de haute mer</x:v>
      </x:c>
      <x:c r="D405" t="str">
        <x:v>Sous-marin en surface</x:v>
      </x:c>
      <x:c r="E405" t="n">
        <x:v>50</x:v>
      </x:c>
      <x:c r="F405" t="str">
        <x:v>Inspection physique</x:v>
      </x:c>
      <x:c r="G405" t="str">
        <x:v>2 niveaux ; 16 pièces ; 100 segments de mur ; 1 transitions. Inspection physique ; architecture complète encore ouverte.</x:v>
      </x:c>
      <x:c r="H405" t="str">
        <x:v>L 94,996 ; l 8,306 ; hauteur inconnue ; tirant 4,699 ; hauteur émergée auteur 5,601 m ; longueur/largeur/tirant sourcés ; hauteur totale réelle inconnue</x:v>
      </x:c>
      <x:c r="I405" t="str">
        <x:v>À équilibrer</x:v>
      </x:c>
      <x:c r="J405" t="str">
        <x:v>Non</x:v>
      </x:c>
      <x:c r="K405" t="str">
        <x:v>Pièces décrites, murs, portes, niveaux et mobilier inspectables à l’échelle. Volumes réservés, raccord au seed, butin, rencontres et services de campagne restent à terminer.</x:v>
      </x:c>
    </x:row>
    <x:row r="406" ht="96" customHeight="1">
      <x:c r="A406" s="115" t="str">
        <x:v>EXT-MONDE-T009-V01</x:v>
      </x:c>
      <x:c r="B406" s="115" t="str">
        <x:v>EXT-MONDE-T009</x:v>
      </x:c>
      <x:c r="C406" s="115" t="str">
        <x:v>Offshore</x:v>
      </x:c>
      <x:c r="D406" s="115" t="str">
        <x:v>Plateforme pétrolière fixe</x:v>
      </x:c>
      <x:c r="E406" s="115" t="n">
        <x:v>1</x:v>
      </x:c>
      <x:c r="F406" s="115" t="str">
        <x:v>Inspection physique</x:v>
      </x:c>
      <x:c r="G406" s="115" t="str">
        <x:v>1 niveaux ; 34 pièces ; 260 segments de mur ; 0 transitions. Inspection physique ; architecture complète encore ouverte.</x:v>
      </x:c>
      <x:c r="H406" s="115" t="str">
        <x:v>L 356 ; l 296 ; hauteur 52 m ; choix de composition auteur ; dimensions réelles à documenter</x:v>
      </x:c>
      <x:c r="I406" s="115" t="str">
        <x:v>À équilibrer</x:v>
      </x:c>
      <x:c r="J406" s="115" t="str">
        <x:v>Non</x:v>
      </x:c>
      <x:c r="K406" s="115" t="str">
        <x:v>Pièces décrites, murs, portes, niveaux et mobilier inspectables à l’échelle. Volumes réservés, raccord au seed, butin, rencontres et services de campagne restent à terminer.</x:v>
      </x:c>
    </x:row>
    <x:row r="407" ht="96" customHeight="1">
      <x:c r="A407" s="115" t="str">
        <x:v>EXT-MONDE-T009-V02</x:v>
      </x:c>
      <x:c r="B407" s="115" t="str">
        <x:v>EXT-MONDE-T009</x:v>
      </x:c>
      <x:c r="C407" s="115" t="str">
        <x:v>Offshore</x:v>
      </x:c>
      <x:c r="D407" s="115" t="str">
        <x:v>Plateforme pétrolière fixe</x:v>
      </x:c>
      <x:c r="E407" s="115" t="n">
        <x:v>2</x:v>
      </x:c>
      <x:c r="F407" s="115" t="str">
        <x:v>Inspection physique</x:v>
      </x:c>
      <x:c r="G407" s="115" t="str">
        <x:v>1 niveaux ; 34 pièces ; 260 segments de mur ; 0 transitions. Inspection physique ; architecture complète encore ouverte.</x:v>
      </x:c>
      <x:c r="H407" s="115" t="str">
        <x:v>L 356 ; l 296 ; hauteur 52 m ; choix de composition auteur ; dimensions réelles à documenter</x:v>
      </x:c>
      <x:c r="I407" s="115" t="str">
        <x:v>À équilibrer</x:v>
      </x:c>
      <x:c r="J407" s="115" t="str">
        <x:v>Non</x:v>
      </x:c>
      <x:c r="K407" s="115" t="str">
        <x:v>Pièces décrites, murs, portes, niveaux et mobilier inspectables à l’échelle. Volumes réservés, raccord au seed, butin, rencontres et services de campagne restent à terminer.</x:v>
      </x:c>
    </x:row>
    <x:row r="408" ht="96" customHeight="1">
      <x:c r="A408" s="115" t="str">
        <x:v>EXT-MONDE-T009-V03</x:v>
      </x:c>
      <x:c r="B408" s="115" t="str">
        <x:v>EXT-MONDE-T009</x:v>
      </x:c>
      <x:c r="C408" s="115" t="str">
        <x:v>Offshore</x:v>
      </x:c>
      <x:c r="D408" s="115" t="str">
        <x:v>Plateforme pétrolière fixe</x:v>
      </x:c>
      <x:c r="E408" s="115" t="n">
        <x:v>3</x:v>
      </x:c>
      <x:c r="F408" s="115" t="str">
        <x:v>Inspection physique</x:v>
      </x:c>
      <x:c r="G408" s="115" t="str">
        <x:v>1 niveaux ; 34 pièces ; 260 segments de mur ; 0 transitions. Inspection physique ; architecture complète encore ouverte.</x:v>
      </x:c>
      <x:c r="H408" s="115" t="str">
        <x:v>L 356 ; l 296 ; hauteur 52 m ; choix de composition auteur ; dimensions réelles à documenter</x:v>
      </x:c>
      <x:c r="I408" s="115" t="str">
        <x:v>À équilibrer</x:v>
      </x:c>
      <x:c r="J408" s="115" t="str">
        <x:v>Non</x:v>
      </x:c>
      <x:c r="K408" s="115" t="str">
        <x:v>Pièces décrites, murs, portes, niveaux et mobilier inspectables à l’échelle. Volumes réservés, raccord au seed, butin, rencontres et services de campagne restent à terminer.</x:v>
      </x:c>
    </x:row>
    <x:row r="409" ht="96" customHeight="1">
      <x:c r="A409" s="115" t="str">
        <x:v>EXT-MONDE-T009-V04</x:v>
      </x:c>
      <x:c r="B409" s="115" t="str">
        <x:v>EXT-MONDE-T009</x:v>
      </x:c>
      <x:c r="C409" s="115" t="str">
        <x:v>Offshore</x:v>
      </x:c>
      <x:c r="D409" s="115" t="str">
        <x:v>Plateforme pétrolière fixe</x:v>
      </x:c>
      <x:c r="E409" s="115" t="n">
        <x:v>4</x:v>
      </x:c>
      <x:c r="F409" s="115" t="str">
        <x:v>Inspection physique</x:v>
      </x:c>
      <x:c r="G409" s="115" t="str">
        <x:v>1 niveaux ; 34 pièces ; 260 segments de mur ; 0 transitions. Inspection physique ; architecture complète encore ouverte.</x:v>
      </x:c>
      <x:c r="H409" s="115" t="str">
        <x:v>L 356 ; l 296 ; hauteur 52 m ; choix de composition auteur ; dimensions réelles à documenter</x:v>
      </x:c>
      <x:c r="I409" s="115" t="str">
        <x:v>À équilibrer</x:v>
      </x:c>
      <x:c r="J409" s="115" t="str">
        <x:v>Non</x:v>
      </x:c>
      <x:c r="K409" s="115" t="str">
        <x:v>Pièces décrites, murs, portes, niveaux et mobilier inspectables à l’échelle. Volumes réservés, raccord au seed, butin, rencontres et services de campagne restent à terminer.</x:v>
      </x:c>
    </x:row>
    <x:row r="410" ht="96" customHeight="1">
      <x:c r="A410" s="115" t="str">
        <x:v>EXT-MONDE-T009-V05</x:v>
      </x:c>
      <x:c r="B410" s="115" t="str">
        <x:v>EXT-MONDE-T009</x:v>
      </x:c>
      <x:c r="C410" s="115" t="str">
        <x:v>Offshore</x:v>
      </x:c>
      <x:c r="D410" s="115" t="str">
        <x:v>Plateforme pétrolière fixe</x:v>
      </x:c>
      <x:c r="E410" s="115" t="n">
        <x:v>5</x:v>
      </x:c>
      <x:c r="F410" s="115" t="str">
        <x:v>Inspection physique</x:v>
      </x:c>
      <x:c r="G410" s="115" t="str">
        <x:v>1 niveaux ; 34 pièces ; 260 segments de mur ; 0 transitions. Inspection physique ; architecture complète encore ouverte.</x:v>
      </x:c>
      <x:c r="H410" s="115" t="str">
        <x:v>L 356 ; l 296 ; hauteur 52 m ; choix de composition auteur ; dimensions réelles à documenter</x:v>
      </x:c>
      <x:c r="I410" s="115" t="str">
        <x:v>À équilibrer</x:v>
      </x:c>
      <x:c r="J410" s="115" t="str">
        <x:v>Non</x:v>
      </x:c>
      <x:c r="K410" s="115" t="str">
        <x:v>Pièces décrites, murs, portes, niveaux et mobilier inspectables à l’échelle. Volumes réservés, raccord au seed, butin, rencontres et services de campagne restent à terminer.</x:v>
      </x:c>
    </x:row>
    <x:row r="411" ht="96" customHeight="1">
      <x:c r="A411" s="115" t="str">
        <x:v>EXT-MONDE-T009-V06</x:v>
      </x:c>
      <x:c r="B411" s="115" t="str">
        <x:v>EXT-MONDE-T009</x:v>
      </x:c>
      <x:c r="C411" s="115" t="str">
        <x:v>Offshore</x:v>
      </x:c>
      <x:c r="D411" s="115" t="str">
        <x:v>Plateforme pétrolière fixe</x:v>
      </x:c>
      <x:c r="E411" s="115" t="n">
        <x:v>6</x:v>
      </x:c>
      <x:c r="F411" s="115" t="str">
        <x:v>Inspection physique</x:v>
      </x:c>
      <x:c r="G411" s="115" t="str">
        <x:v>1 niveaux ; 34 pièces ; 260 segments de mur ; 0 transitions. Inspection physique ; architecture complète encore ouverte.</x:v>
      </x:c>
      <x:c r="H411" s="115" t="str">
        <x:v>L 356 ; l 296 ; hauteur 52 m ; choix de composition auteur ; dimensions réelles à documenter</x:v>
      </x:c>
      <x:c r="I411" s="115" t="str">
        <x:v>À équilibrer</x:v>
      </x:c>
      <x:c r="J411" s="115" t="str">
        <x:v>Non</x:v>
      </x:c>
      <x:c r="K411" s="115" t="str">
        <x:v>Pièces décrites, murs, portes, niveaux et mobilier inspectables à l’échelle. Volumes réservés, raccord au seed, butin, rencontres et services de campagne restent à terminer.</x:v>
      </x:c>
    </x:row>
    <x:row r="412" ht="96" customHeight="1">
      <x:c r="A412" s="115" t="str">
        <x:v>EXT-MONDE-T009-V07</x:v>
      </x:c>
      <x:c r="B412" s="115" t="str">
        <x:v>EXT-MONDE-T009</x:v>
      </x:c>
      <x:c r="C412" s="115" t="str">
        <x:v>Offshore</x:v>
      </x:c>
      <x:c r="D412" s="115" t="str">
        <x:v>Plateforme pétrolière fixe</x:v>
      </x:c>
      <x:c r="E412" s="115" t="n">
        <x:v>7</x:v>
      </x:c>
      <x:c r="F412" s="115" t="str">
        <x:v>Inspection physique</x:v>
      </x:c>
      <x:c r="G412" s="115" t="str">
        <x:v>1 niveaux ; 34 pièces ; 260 segments de mur ; 0 transitions. Inspection physique ; architecture complète encore ouverte.</x:v>
      </x:c>
      <x:c r="H412" s="115" t="str">
        <x:v>L 356 ; l 296 ; hauteur 52 m ; choix de composition auteur ; dimensions réelles à documenter</x:v>
      </x:c>
      <x:c r="I412" s="115" t="str">
        <x:v>À équilibrer</x:v>
      </x:c>
      <x:c r="J412" s="115" t="str">
        <x:v>Non</x:v>
      </x:c>
      <x:c r="K412" s="115" t="str">
        <x:v>Pièces décrites, murs, portes, niveaux et mobilier inspectables à l’échelle. Volumes réservés, raccord au seed, butin, rencontres et services de campagne restent à terminer.</x:v>
      </x:c>
    </x:row>
    <x:row r="413" ht="96" customHeight="1">
      <x:c r="A413" s="115" t="str">
        <x:v>EXT-MONDE-T009-V08</x:v>
      </x:c>
      <x:c r="B413" s="115" t="str">
        <x:v>EXT-MONDE-T009</x:v>
      </x:c>
      <x:c r="C413" s="115" t="str">
        <x:v>Offshore</x:v>
      </x:c>
      <x:c r="D413" s="115" t="str">
        <x:v>Plateforme pétrolière fixe</x:v>
      </x:c>
      <x:c r="E413" s="115" t="n">
        <x:v>8</x:v>
      </x:c>
      <x:c r="F413" s="115" t="str">
        <x:v>Inspection physique</x:v>
      </x:c>
      <x:c r="G413" s="115" t="str">
        <x:v>1 niveaux ; 34 pièces ; 260 segments de mur ; 0 transitions. Inspection physique ; architecture complète encore ouverte.</x:v>
      </x:c>
      <x:c r="H413" s="115" t="str">
        <x:v>L 356 ; l 296 ; hauteur 52 m ; choix de composition auteur ; dimensions réelles à documenter</x:v>
      </x:c>
      <x:c r="I413" s="115" t="str">
        <x:v>À équilibrer</x:v>
      </x:c>
      <x:c r="J413" s="115" t="str">
        <x:v>Non</x:v>
      </x:c>
      <x:c r="K413" s="115" t="str">
        <x:v>Pièces décrites, murs, portes, niveaux et mobilier inspectables à l’échelle. Volumes réservés, raccord au seed, butin, rencontres et services de campagne restent à terminer.</x:v>
      </x:c>
    </x:row>
    <x:row r="414" ht="96" customHeight="1">
      <x:c r="A414" s="115" t="str">
        <x:v>EXT-MONDE-T009-V09</x:v>
      </x:c>
      <x:c r="B414" s="115" t="str">
        <x:v>EXT-MONDE-T009</x:v>
      </x:c>
      <x:c r="C414" s="115" t="str">
        <x:v>Offshore</x:v>
      </x:c>
      <x:c r="D414" s="115" t="str">
        <x:v>Plateforme pétrolière fixe</x:v>
      </x:c>
      <x:c r="E414" s="115" t="n">
        <x:v>9</x:v>
      </x:c>
      <x:c r="F414" s="115" t="str">
        <x:v>Inspection physique</x:v>
      </x:c>
      <x:c r="G414" s="115" t="str">
        <x:v>1 niveaux ; 34 pièces ; 260 segments de mur ; 0 transitions. Inspection physique ; architecture complète encore ouverte.</x:v>
      </x:c>
      <x:c r="H414" s="115" t="str">
        <x:v>L 356 ; l 296 ; hauteur 52 m ; choix de composition auteur ; dimensions réelles à documenter</x:v>
      </x:c>
      <x:c r="I414" s="115" t="str">
        <x:v>À équilibrer</x:v>
      </x:c>
      <x:c r="J414" s="115" t="str">
        <x:v>Non</x:v>
      </x:c>
      <x:c r="K414" s="115" t="str">
        <x:v>Pièces décrites, murs, portes, niveaux et mobilier inspectables à l’échelle. Volumes réservés, raccord au seed, butin, rencontres et services de campagne restent à terminer.</x:v>
      </x:c>
    </x:row>
    <x:row r="415" ht="96" customHeight="1">
      <x:c r="A415" s="115" t="str">
        <x:v>EXT-MONDE-T009-V10</x:v>
      </x:c>
      <x:c r="B415" s="115" t="str">
        <x:v>EXT-MONDE-T009</x:v>
      </x:c>
      <x:c r="C415" s="115" t="str">
        <x:v>Offshore</x:v>
      </x:c>
      <x:c r="D415" s="115" t="str">
        <x:v>Plateforme pétrolière fixe</x:v>
      </x:c>
      <x:c r="E415" s="115" t="n">
        <x:v>10</x:v>
      </x:c>
      <x:c r="F415" s="115" t="str">
        <x:v>Inspection physique</x:v>
      </x:c>
      <x:c r="G415" s="115" t="str">
        <x:v>1 niveaux ; 34 pièces ; 260 segments de mur ; 0 transitions. Inspection physique ; architecture complète encore ouverte.</x:v>
      </x:c>
      <x:c r="H415" s="115" t="str">
        <x:v>L 356 ; l 296 ; hauteur 52 m ; choix de composition auteur ; dimensions réelles à documenter</x:v>
      </x:c>
      <x:c r="I415" s="115" t="str">
        <x:v>À équilibrer</x:v>
      </x:c>
      <x:c r="J415" s="115" t="str">
        <x:v>Non</x:v>
      </x:c>
      <x:c r="K415" s="115" t="str">
        <x:v>Pièces décrites, murs, portes, niveaux et mobilier inspectables à l’échelle. Volumes réservés, raccord au seed, butin, rencontres et services de campagne restent à terminer.</x:v>
      </x:c>
    </x:row>
    <x:row r="416" ht="96" customHeight="1">
      <x:c r="A416" s="115" t="str">
        <x:v>EXT-MONDE-T009-V11</x:v>
      </x:c>
      <x:c r="B416" s="115" t="str">
        <x:v>EXT-MONDE-T009</x:v>
      </x:c>
      <x:c r="C416" s="115" t="str">
        <x:v>Offshore</x:v>
      </x:c>
      <x:c r="D416" s="115" t="str">
        <x:v>Plateforme pétrolière fixe</x:v>
      </x:c>
      <x:c r="E416" s="115" t="n">
        <x:v>11</x:v>
      </x:c>
      <x:c r="F416" s="115" t="str">
        <x:v>Inspection physique</x:v>
      </x:c>
      <x:c r="G416" s="115" t="str">
        <x:v>1 niveaux ; 34 pièces ; 260 segments de mur ; 0 transitions. Inspection physique ; architecture complète encore ouverte.</x:v>
      </x:c>
      <x:c r="H416" s="115" t="str">
        <x:v>L 370 ; l 308 ; hauteur 52 m ; choix de composition auteur ; dimensions réelles à documenter</x:v>
      </x:c>
      <x:c r="I416" s="115" t="str">
        <x:v>À équilibrer</x:v>
      </x:c>
      <x:c r="J416" s="115" t="str">
        <x:v>Non</x:v>
      </x:c>
      <x:c r="K416" s="115" t="str">
        <x:v>Pièces décrites, murs, portes, niveaux et mobilier inspectables à l’échelle. Volumes réservés, raccord au seed, butin, rencontres et services de campagne restent à terminer.</x:v>
      </x:c>
    </x:row>
    <x:row r="417" ht="96" customHeight="1">
      <x:c r="A417" s="115" t="str">
        <x:v>EXT-MONDE-T009-V12</x:v>
      </x:c>
      <x:c r="B417" s="115" t="str">
        <x:v>EXT-MONDE-T009</x:v>
      </x:c>
      <x:c r="C417" s="115" t="str">
        <x:v>Offshore</x:v>
      </x:c>
      <x:c r="D417" s="115" t="str">
        <x:v>Plateforme pétrolière fixe</x:v>
      </x:c>
      <x:c r="E417" s="115" t="n">
        <x:v>12</x:v>
      </x:c>
      <x:c r="F417" s="115" t="str">
        <x:v>Inspection physique</x:v>
      </x:c>
      <x:c r="G417" s="115" t="str">
        <x:v>1 niveaux ; 34 pièces ; 260 segments de mur ; 0 transitions. Inspection physique ; architecture complète encore ouverte.</x:v>
      </x:c>
      <x:c r="H417" s="115" t="str">
        <x:v>L 370 ; l 308 ; hauteur 52 m ; choix de composition auteur ; dimensions réelles à documenter</x:v>
      </x:c>
      <x:c r="I417" s="115" t="str">
        <x:v>À équilibrer</x:v>
      </x:c>
      <x:c r="J417" s="115" t="str">
        <x:v>Non</x:v>
      </x:c>
      <x:c r="K417" s="115" t="str">
        <x:v>Pièces décrites, murs, portes, niveaux et mobilier inspectables à l’échelle. Volumes réservés, raccord au seed, butin, rencontres et services de campagne restent à terminer.</x:v>
      </x:c>
    </x:row>
    <x:row r="418" ht="96" customHeight="1">
      <x:c r="A418" s="115" t="str">
        <x:v>EXT-MONDE-T009-V13</x:v>
      </x:c>
      <x:c r="B418" s="115" t="str">
        <x:v>EXT-MONDE-T009</x:v>
      </x:c>
      <x:c r="C418" s="115" t="str">
        <x:v>Offshore</x:v>
      </x:c>
      <x:c r="D418" s="115" t="str">
        <x:v>Plateforme pétrolière fixe</x:v>
      </x:c>
      <x:c r="E418" s="115" t="n">
        <x:v>13</x:v>
      </x:c>
      <x:c r="F418" s="115" t="str">
        <x:v>Inspection physique</x:v>
      </x:c>
      <x:c r="G418" s="115" t="str">
        <x:v>1 niveaux ; 34 pièces ; 260 segments de mur ; 0 transitions. Inspection physique ; architecture complète encore ouverte.</x:v>
      </x:c>
      <x:c r="H418" s="115" t="str">
        <x:v>L 370 ; l 308 ; hauteur 52 m ; choix de composition auteur ; dimensions réelles à documenter</x:v>
      </x:c>
      <x:c r="I418" s="115" t="str">
        <x:v>À équilibrer</x:v>
      </x:c>
      <x:c r="J418" s="115" t="str">
        <x:v>Non</x:v>
      </x:c>
      <x:c r="K418" s="115" t="str">
        <x:v>Pièces décrites, murs, portes, niveaux et mobilier inspectables à l’échelle. Volumes réservés, raccord au seed, butin, rencontres et services de campagne restent à terminer.</x:v>
      </x:c>
    </x:row>
    <x:row r="419" ht="96" customHeight="1">
      <x:c r="A419" s="115" t="str">
        <x:v>EXT-MONDE-T009-V14</x:v>
      </x:c>
      <x:c r="B419" s="115" t="str">
        <x:v>EXT-MONDE-T009</x:v>
      </x:c>
      <x:c r="C419" s="115" t="str">
        <x:v>Offshore</x:v>
      </x:c>
      <x:c r="D419" s="115" t="str">
        <x:v>Plateforme pétrolière fixe</x:v>
      </x:c>
      <x:c r="E419" s="115" t="n">
        <x:v>14</x:v>
      </x:c>
      <x:c r="F419" s="115" t="str">
        <x:v>Inspection physique</x:v>
      </x:c>
      <x:c r="G419" s="115" t="str">
        <x:v>1 niveaux ; 34 pièces ; 260 segments de mur ; 0 transitions. Inspection physique ; architecture complète encore ouverte.</x:v>
      </x:c>
      <x:c r="H419" s="115" t="str">
        <x:v>L 370 ; l 308 ; hauteur 52 m ; choix de composition auteur ; dimensions réelles à documenter</x:v>
      </x:c>
      <x:c r="I419" s="115" t="str">
        <x:v>À équilibrer</x:v>
      </x:c>
      <x:c r="J419" s="115" t="str">
        <x:v>Non</x:v>
      </x:c>
      <x:c r="K419" s="115" t="str">
        <x:v>Pièces décrites, murs, portes, niveaux et mobilier inspectables à l’échelle. Volumes réservés, raccord au seed, butin, rencontres et services de campagne restent à terminer.</x:v>
      </x:c>
    </x:row>
    <x:row r="420" ht="96" customHeight="1">
      <x:c r="A420" s="115" t="str">
        <x:v>EXT-MONDE-T009-V15</x:v>
      </x:c>
      <x:c r="B420" s="115" t="str">
        <x:v>EXT-MONDE-T009</x:v>
      </x:c>
      <x:c r="C420" s="115" t="str">
        <x:v>Offshore</x:v>
      </x:c>
      <x:c r="D420" s="115" t="str">
        <x:v>Plateforme pétrolière fixe</x:v>
      </x:c>
      <x:c r="E420" s="115" t="n">
        <x:v>15</x:v>
      </x:c>
      <x:c r="F420" s="115" t="str">
        <x:v>Inspection physique</x:v>
      </x:c>
      <x:c r="G420" s="115" t="str">
        <x:v>1 niveaux ; 34 pièces ; 260 segments de mur ; 0 transitions. Inspection physique ; architecture complète encore ouverte.</x:v>
      </x:c>
      <x:c r="H420" s="115" t="str">
        <x:v>L 370 ; l 308 ; hauteur 52 m ; choix de composition auteur ; dimensions réelles à documenter</x:v>
      </x:c>
      <x:c r="I420" s="115" t="str">
        <x:v>À équilibrer</x:v>
      </x:c>
      <x:c r="J420" s="115" t="str">
        <x:v>Non</x:v>
      </x:c>
      <x:c r="K420" s="115" t="str">
        <x:v>Pièces décrites, murs, portes, niveaux et mobilier inspectables à l’échelle. Volumes réservés, raccord au seed, butin, rencontres et services de campagne restent à terminer.</x:v>
      </x:c>
    </x:row>
    <x:row r="421" ht="96" customHeight="1">
      <x:c r="A421" s="115" t="str">
        <x:v>EXT-MONDE-T009-V16</x:v>
      </x:c>
      <x:c r="B421" s="115" t="str">
        <x:v>EXT-MONDE-T009</x:v>
      </x:c>
      <x:c r="C421" s="115" t="str">
        <x:v>Offshore</x:v>
      </x:c>
      <x:c r="D421" s="115" t="str">
        <x:v>Plateforme pétrolière fixe</x:v>
      </x:c>
      <x:c r="E421" s="115" t="n">
        <x:v>16</x:v>
      </x:c>
      <x:c r="F421" s="115" t="str">
        <x:v>Inspection physique</x:v>
      </x:c>
      <x:c r="G421" s="115" t="str">
        <x:v>1 niveaux ; 34 pièces ; 260 segments de mur ; 0 transitions. Inspection physique ; architecture complète encore ouverte.</x:v>
      </x:c>
      <x:c r="H421" s="115" t="str">
        <x:v>L 370 ; l 308 ; hauteur 52 m ; choix de composition auteur ; dimensions réelles à documenter</x:v>
      </x:c>
      <x:c r="I421" s="115" t="str">
        <x:v>À équilibrer</x:v>
      </x:c>
      <x:c r="J421" s="115" t="str">
        <x:v>Non</x:v>
      </x:c>
      <x:c r="K421" s="115" t="str">
        <x:v>Pièces décrites, murs, portes, niveaux et mobilier inspectables à l’échelle. Volumes réservés, raccord au seed, butin, rencontres et services de campagne restent à terminer.</x:v>
      </x:c>
    </x:row>
    <x:row r="422" ht="96" customHeight="1">
      <x:c r="A422" s="115" t="str">
        <x:v>EXT-MONDE-T009-V17</x:v>
      </x:c>
      <x:c r="B422" s="115" t="str">
        <x:v>EXT-MONDE-T009</x:v>
      </x:c>
      <x:c r="C422" s="115" t="str">
        <x:v>Offshore</x:v>
      </x:c>
      <x:c r="D422" s="115" t="str">
        <x:v>Plateforme pétrolière fixe</x:v>
      </x:c>
      <x:c r="E422" s="115" t="n">
        <x:v>17</x:v>
      </x:c>
      <x:c r="F422" s="115" t="str">
        <x:v>Inspection physique</x:v>
      </x:c>
      <x:c r="G422" s="115" t="str">
        <x:v>1 niveaux ; 34 pièces ; 260 segments de mur ; 0 transitions. Inspection physique ; architecture complète encore ouverte.</x:v>
      </x:c>
      <x:c r="H422" s="115" t="str">
        <x:v>L 370 ; l 308 ; hauteur 52 m ; choix de composition auteur ; dimensions réelles à documenter</x:v>
      </x:c>
      <x:c r="I422" s="115" t="str">
        <x:v>À équilibrer</x:v>
      </x:c>
      <x:c r="J422" s="115" t="str">
        <x:v>Non</x:v>
      </x:c>
      <x:c r="K422" s="115" t="str">
        <x:v>Pièces décrites, murs, portes, niveaux et mobilier inspectables à l’échelle. Volumes réservés, raccord au seed, butin, rencontres et services de campagne restent à terminer.</x:v>
      </x:c>
    </x:row>
    <x:row r="423" ht="96" customHeight="1">
      <x:c r="A423" s="115" t="str">
        <x:v>EXT-MONDE-T009-V18</x:v>
      </x:c>
      <x:c r="B423" s="115" t="str">
        <x:v>EXT-MONDE-T009</x:v>
      </x:c>
      <x:c r="C423" s="115" t="str">
        <x:v>Offshore</x:v>
      </x:c>
      <x:c r="D423" s="115" t="str">
        <x:v>Plateforme pétrolière fixe</x:v>
      </x:c>
      <x:c r="E423" s="115" t="n">
        <x:v>18</x:v>
      </x:c>
      <x:c r="F423" s="115" t="str">
        <x:v>Inspection physique</x:v>
      </x:c>
      <x:c r="G423" s="115" t="str">
        <x:v>1 niveaux ; 34 pièces ; 260 segments de mur ; 0 transitions. Inspection physique ; architecture complète encore ouverte.</x:v>
      </x:c>
      <x:c r="H423" s="115" t="str">
        <x:v>L 370 ; l 308 ; hauteur 52 m ; choix de composition auteur ; dimensions réelles à documenter</x:v>
      </x:c>
      <x:c r="I423" s="115" t="str">
        <x:v>À équilibrer</x:v>
      </x:c>
      <x:c r="J423" s="115" t="str">
        <x:v>Non</x:v>
      </x:c>
      <x:c r="K423" s="115" t="str">
        <x:v>Pièces décrites, murs, portes, niveaux et mobilier inspectables à l’échelle. Volumes réservés, raccord au seed, butin, rencontres et services de campagne restent à terminer.</x:v>
      </x:c>
    </x:row>
    <x:row r="424" ht="96" customHeight="1">
      <x:c r="A424" s="115" t="str">
        <x:v>EXT-MONDE-T009-V19</x:v>
      </x:c>
      <x:c r="B424" s="115" t="str">
        <x:v>EXT-MONDE-T009</x:v>
      </x:c>
      <x:c r="C424" s="115" t="str">
        <x:v>Offshore</x:v>
      </x:c>
      <x:c r="D424" s="115" t="str">
        <x:v>Plateforme pétrolière fixe</x:v>
      </x:c>
      <x:c r="E424" s="115" t="n">
        <x:v>19</x:v>
      </x:c>
      <x:c r="F424" s="115" t="str">
        <x:v>Inspection physique</x:v>
      </x:c>
      <x:c r="G424" s="115" t="str">
        <x:v>1 niveaux ; 34 pièces ; 260 segments de mur ; 0 transitions. Inspection physique ; architecture complète encore ouverte.</x:v>
      </x:c>
      <x:c r="H424" s="115" t="str">
        <x:v>L 370 ; l 308 ; hauteur 52 m ; choix de composition auteur ; dimensions réelles à documenter</x:v>
      </x:c>
      <x:c r="I424" s="115" t="str">
        <x:v>À équilibrer</x:v>
      </x:c>
      <x:c r="J424" s="115" t="str">
        <x:v>Non</x:v>
      </x:c>
      <x:c r="K424" s="115" t="str">
        <x:v>Pièces décrites, murs, portes, niveaux et mobilier inspectables à l’échelle. Volumes réservés, raccord au seed, butin, rencontres et services de campagne restent à terminer.</x:v>
      </x:c>
    </x:row>
    <x:row r="425" ht="96" customHeight="1">
      <x:c r="A425" s="115" t="str">
        <x:v>EXT-MONDE-T009-V20</x:v>
      </x:c>
      <x:c r="B425" s="115" t="str">
        <x:v>EXT-MONDE-T009</x:v>
      </x:c>
      <x:c r="C425" s="115" t="str">
        <x:v>Offshore</x:v>
      </x:c>
      <x:c r="D425" s="115" t="str">
        <x:v>Plateforme pétrolière fixe</x:v>
      </x:c>
      <x:c r="E425" s="115" t="n">
        <x:v>20</x:v>
      </x:c>
      <x:c r="F425" s="115" t="str">
        <x:v>Inspection physique</x:v>
      </x:c>
      <x:c r="G425" s="115" t="str">
        <x:v>1 niveaux ; 34 pièces ; 260 segments de mur ; 0 transitions. Inspection physique ; architecture complète encore ouverte.</x:v>
      </x:c>
      <x:c r="H425" s="115" t="str">
        <x:v>L 370 ; l 308 ; hauteur 52 m ; choix de composition auteur ; dimensions réelles à documenter</x:v>
      </x:c>
      <x:c r="I425" s="115" t="str">
        <x:v>À équilibrer</x:v>
      </x:c>
      <x:c r="J425" s="115" t="str">
        <x:v>Non</x:v>
      </x:c>
      <x:c r="K425" s="115" t="str">
        <x:v>Pièces décrites, murs, portes, niveaux et mobilier inspectables à l’échelle. Volumes réservés, raccord au seed, butin, rencontres et services de campagne restent à terminer.</x:v>
      </x:c>
    </x:row>
    <x:row r="426" ht="96" customHeight="1">
      <x:c r="A426" s="115" t="str">
        <x:v>EXT-MONDE-T009-V21</x:v>
      </x:c>
      <x:c r="B426" s="115" t="str">
        <x:v>EXT-MONDE-T009</x:v>
      </x:c>
      <x:c r="C426" s="115" t="str">
        <x:v>Offshore</x:v>
      </x:c>
      <x:c r="D426" s="115" t="str">
        <x:v>Plateforme pétrolière fixe</x:v>
      </x:c>
      <x:c r="E426" s="115" t="n">
        <x:v>21</x:v>
      </x:c>
      <x:c r="F426" s="115" t="str">
        <x:v>Inspection physique</x:v>
      </x:c>
      <x:c r="G426" s="115" t="str">
        <x:v>1 niveaux ; 34 pièces ; 260 segments de mur ; 0 transitions. Inspection physique ; architecture complète encore ouverte.</x:v>
      </x:c>
      <x:c r="H426" s="115" t="str">
        <x:v>L 384 ; l 320 ; hauteur 52 m ; choix de composition auteur ; dimensions réelles à documenter</x:v>
      </x:c>
      <x:c r="I426" s="115" t="str">
        <x:v>À équilibrer</x:v>
      </x:c>
      <x:c r="J426" s="115" t="str">
        <x:v>Non</x:v>
      </x:c>
      <x:c r="K426" s="115" t="str">
        <x:v>Pièces décrites, murs, portes, niveaux et mobilier inspectables à l’échelle. Volumes réservés, raccord au seed, butin, rencontres et services de campagne restent à terminer.</x:v>
      </x:c>
    </x:row>
    <x:row r="427" ht="96" customHeight="1">
      <x:c r="A427" s="115" t="str">
        <x:v>EXT-MONDE-T009-V22</x:v>
      </x:c>
      <x:c r="B427" s="115" t="str">
        <x:v>EXT-MONDE-T009</x:v>
      </x:c>
      <x:c r="C427" s="115" t="str">
        <x:v>Offshore</x:v>
      </x:c>
      <x:c r="D427" s="115" t="str">
        <x:v>Plateforme pétrolière fixe</x:v>
      </x:c>
      <x:c r="E427" s="115" t="n">
        <x:v>22</x:v>
      </x:c>
      <x:c r="F427" s="115" t="str">
        <x:v>Inspection physique</x:v>
      </x:c>
      <x:c r="G427" s="115" t="str">
        <x:v>1 niveaux ; 34 pièces ; 260 segments de mur ; 0 transitions. Inspection physique ; architecture complète encore ouverte.</x:v>
      </x:c>
      <x:c r="H427" s="115" t="str">
        <x:v>L 384 ; l 320 ; hauteur 52 m ; choix de composition auteur ; dimensions réelles à documenter</x:v>
      </x:c>
      <x:c r="I427" s="115" t="str">
        <x:v>À équilibrer</x:v>
      </x:c>
      <x:c r="J427" s="115" t="str">
        <x:v>Non</x:v>
      </x:c>
      <x:c r="K427" s="115" t="str">
        <x:v>Pièces décrites, murs, portes, niveaux et mobilier inspectables à l’échelle. Volumes réservés, raccord au seed, butin, rencontres et services de campagne restent à terminer.</x:v>
      </x:c>
    </x:row>
    <x:row r="428" ht="96" customHeight="1">
      <x:c r="A428" s="115" t="str">
        <x:v>EXT-MONDE-T009-V23</x:v>
      </x:c>
      <x:c r="B428" s="115" t="str">
        <x:v>EXT-MONDE-T009</x:v>
      </x:c>
      <x:c r="C428" s="115" t="str">
        <x:v>Offshore</x:v>
      </x:c>
      <x:c r="D428" s="115" t="str">
        <x:v>Plateforme pétrolière fixe</x:v>
      </x:c>
      <x:c r="E428" s="115" t="n">
        <x:v>23</x:v>
      </x:c>
      <x:c r="F428" s="115" t="str">
        <x:v>Inspection physique</x:v>
      </x:c>
      <x:c r="G428" s="115" t="str">
        <x:v>1 niveaux ; 34 pièces ; 260 segments de mur ; 0 transitions. Inspection physique ; architecture complète encore ouverte.</x:v>
      </x:c>
      <x:c r="H428" s="115" t="str">
        <x:v>L 384 ; l 320 ; hauteur 52 m ; choix de composition auteur ; dimensions réelles à documenter</x:v>
      </x:c>
      <x:c r="I428" s="115" t="str">
        <x:v>À équilibrer</x:v>
      </x:c>
      <x:c r="J428" s="115" t="str">
        <x:v>Non</x:v>
      </x:c>
      <x:c r="K428" s="115" t="str">
        <x:v>Pièces décrites, murs, portes, niveaux et mobilier inspectables à l’échelle. Volumes réservés, raccord au seed, butin, rencontres et services de campagne restent à terminer.</x:v>
      </x:c>
    </x:row>
    <x:row r="429" ht="96" customHeight="1">
      <x:c r="A429" s="115" t="str">
        <x:v>EXT-MONDE-T009-V24</x:v>
      </x:c>
      <x:c r="B429" s="115" t="str">
        <x:v>EXT-MONDE-T009</x:v>
      </x:c>
      <x:c r="C429" s="115" t="str">
        <x:v>Offshore</x:v>
      </x:c>
      <x:c r="D429" s="115" t="str">
        <x:v>Plateforme pétrolière fixe</x:v>
      </x:c>
      <x:c r="E429" s="115" t="n">
        <x:v>24</x:v>
      </x:c>
      <x:c r="F429" s="115" t="str">
        <x:v>Inspection physique</x:v>
      </x:c>
      <x:c r="G429" s="115" t="str">
        <x:v>1 niveaux ; 34 pièces ; 260 segments de mur ; 0 transitions. Inspection physique ; architecture complète encore ouverte.</x:v>
      </x:c>
      <x:c r="H429" s="115" t="str">
        <x:v>L 384 ; l 320 ; hauteur 52 m ; choix de composition auteur ; dimensions réelles à documenter</x:v>
      </x:c>
      <x:c r="I429" s="115" t="str">
        <x:v>À équilibrer</x:v>
      </x:c>
      <x:c r="J429" s="115" t="str">
        <x:v>Non</x:v>
      </x:c>
      <x:c r="K429" s="115" t="str">
        <x:v>Pièces décrites, murs, portes, niveaux et mobilier inspectables à l’échelle. Volumes réservés, raccord au seed, butin, rencontres et services de campagne restent à terminer.</x:v>
      </x:c>
    </x:row>
    <x:row r="430" ht="96" customHeight="1">
      <x:c r="A430" s="115" t="str">
        <x:v>EXT-MONDE-T009-V25</x:v>
      </x:c>
      <x:c r="B430" s="115" t="str">
        <x:v>EXT-MONDE-T009</x:v>
      </x:c>
      <x:c r="C430" s="115" t="str">
        <x:v>Offshore</x:v>
      </x:c>
      <x:c r="D430" s="115" t="str">
        <x:v>Plateforme pétrolière fixe</x:v>
      </x:c>
      <x:c r="E430" s="115" t="n">
        <x:v>25</x:v>
      </x:c>
      <x:c r="F430" s="115" t="str">
        <x:v>Inspection physique</x:v>
      </x:c>
      <x:c r="G430" s="115" t="str">
        <x:v>1 niveaux ; 34 pièces ; 260 segments de mur ; 0 transitions. Inspection physique ; architecture complète encore ouverte.</x:v>
      </x:c>
      <x:c r="H430" s="115" t="str">
        <x:v>L 384 ; l 320 ; hauteur 52 m ; choix de composition auteur ; dimensions réelles à documenter</x:v>
      </x:c>
      <x:c r="I430" s="115" t="str">
        <x:v>À équilibrer</x:v>
      </x:c>
      <x:c r="J430" s="115" t="str">
        <x:v>Non</x:v>
      </x:c>
      <x:c r="K430" s="115" t="str">
        <x:v>Pièces décrites, murs, portes, niveaux et mobilier inspectables à l’échelle. Volumes réservés, raccord au seed, butin, rencontres et services de campagne restent à terminer.</x:v>
      </x:c>
    </x:row>
    <x:row r="431" ht="96" customHeight="1">
      <x:c r="A431" s="115" t="str">
        <x:v>EXT-MONDE-T009-V26</x:v>
      </x:c>
      <x:c r="B431" s="115" t="str">
        <x:v>EXT-MONDE-T009</x:v>
      </x:c>
      <x:c r="C431" s="115" t="str">
        <x:v>Offshore</x:v>
      </x:c>
      <x:c r="D431" s="115" t="str">
        <x:v>Plateforme pétrolière fixe</x:v>
      </x:c>
      <x:c r="E431" s="115" t="n">
        <x:v>26</x:v>
      </x:c>
      <x:c r="F431" s="115" t="str">
        <x:v>Inspection physique</x:v>
      </x:c>
      <x:c r="G431" s="115" t="str">
        <x:v>1 niveaux ; 34 pièces ; 260 segments de mur ; 0 transitions. Inspection physique ; architecture complète encore ouverte.</x:v>
      </x:c>
      <x:c r="H431" s="115" t="str">
        <x:v>L 384 ; l 320 ; hauteur 52 m ; choix de composition auteur ; dimensions réelles à documenter</x:v>
      </x:c>
      <x:c r="I431" s="115" t="str">
        <x:v>À équilibrer</x:v>
      </x:c>
      <x:c r="J431" s="115" t="str">
        <x:v>Non</x:v>
      </x:c>
      <x:c r="K431" s="115" t="str">
        <x:v>Pièces décrites, murs, portes, niveaux et mobilier inspectables à l’échelle. Volumes réservés, raccord au seed, butin, rencontres et services de campagne restent à terminer.</x:v>
      </x:c>
    </x:row>
    <x:row r="432" ht="96" customHeight="1">
      <x:c r="A432" s="115" t="str">
        <x:v>EXT-MONDE-T009-V27</x:v>
      </x:c>
      <x:c r="B432" s="115" t="str">
        <x:v>EXT-MONDE-T009</x:v>
      </x:c>
      <x:c r="C432" s="115" t="str">
        <x:v>Offshore</x:v>
      </x:c>
      <x:c r="D432" s="115" t="str">
        <x:v>Plateforme pétrolière fixe</x:v>
      </x:c>
      <x:c r="E432" s="115" t="n">
        <x:v>27</x:v>
      </x:c>
      <x:c r="F432" s="115" t="str">
        <x:v>Inspection physique</x:v>
      </x:c>
      <x:c r="G432" s="115" t="str">
        <x:v>1 niveaux ; 34 pièces ; 260 segments de mur ; 0 transitions. Inspection physique ; architecture complète encore ouverte.</x:v>
      </x:c>
      <x:c r="H432" s="115" t="str">
        <x:v>L 384 ; l 320 ; hauteur 52 m ; choix de composition auteur ; dimensions réelles à documenter</x:v>
      </x:c>
      <x:c r="I432" s="115" t="str">
        <x:v>À équilibrer</x:v>
      </x:c>
      <x:c r="J432" s="115" t="str">
        <x:v>Non</x:v>
      </x:c>
      <x:c r="K432" s="115" t="str">
        <x:v>Pièces décrites, murs, portes, niveaux et mobilier inspectables à l’échelle. Volumes réservés, raccord au seed, butin, rencontres et services de campagne restent à terminer.</x:v>
      </x:c>
    </x:row>
    <x:row r="433" ht="96" customHeight="1">
      <x:c r="A433" s="115" t="str">
        <x:v>EXT-MONDE-T009-V28</x:v>
      </x:c>
      <x:c r="B433" s="115" t="str">
        <x:v>EXT-MONDE-T009</x:v>
      </x:c>
      <x:c r="C433" s="115" t="str">
        <x:v>Offshore</x:v>
      </x:c>
      <x:c r="D433" s="115" t="str">
        <x:v>Plateforme pétrolière fixe</x:v>
      </x:c>
      <x:c r="E433" s="115" t="n">
        <x:v>28</x:v>
      </x:c>
      <x:c r="F433" s="115" t="str">
        <x:v>Inspection physique</x:v>
      </x:c>
      <x:c r="G433" s="115" t="str">
        <x:v>1 niveaux ; 34 pièces ; 260 segments de mur ; 0 transitions. Inspection physique ; architecture complète encore ouverte.</x:v>
      </x:c>
      <x:c r="H433" s="115" t="str">
        <x:v>L 384 ; l 320 ; hauteur 52 m ; choix de composition auteur ; dimensions réelles à documenter</x:v>
      </x:c>
      <x:c r="I433" s="115" t="str">
        <x:v>À équilibrer</x:v>
      </x:c>
      <x:c r="J433" s="115" t="str">
        <x:v>Non</x:v>
      </x:c>
      <x:c r="K433" s="115" t="str">
        <x:v>Pièces décrites, murs, portes, niveaux et mobilier inspectables à l’échelle. Volumes réservés, raccord au seed, butin, rencontres et services de campagne restent à terminer.</x:v>
      </x:c>
    </x:row>
    <x:row r="434" ht="96" customHeight="1">
      <x:c r="A434" s="115" t="str">
        <x:v>EXT-MONDE-T009-V29</x:v>
      </x:c>
      <x:c r="B434" s="115" t="str">
        <x:v>EXT-MONDE-T009</x:v>
      </x:c>
      <x:c r="C434" s="115" t="str">
        <x:v>Offshore</x:v>
      </x:c>
      <x:c r="D434" s="115" t="str">
        <x:v>Plateforme pétrolière fixe</x:v>
      </x:c>
      <x:c r="E434" s="115" t="n">
        <x:v>29</x:v>
      </x:c>
      <x:c r="F434" s="115" t="str">
        <x:v>Inspection physique</x:v>
      </x:c>
      <x:c r="G434" s="115" t="str">
        <x:v>1 niveaux ; 34 pièces ; 260 segments de mur ; 0 transitions. Inspection physique ; architecture complète encore ouverte.</x:v>
      </x:c>
      <x:c r="H434" s="115" t="str">
        <x:v>L 384 ; l 320 ; hauteur 52 m ; choix de composition auteur ; dimensions réelles à documenter</x:v>
      </x:c>
      <x:c r="I434" s="115" t="str">
        <x:v>À équilibrer</x:v>
      </x:c>
      <x:c r="J434" s="115" t="str">
        <x:v>Non</x:v>
      </x:c>
      <x:c r="K434" s="115" t="str">
        <x:v>Pièces décrites, murs, portes, niveaux et mobilier inspectables à l’échelle. Volumes réservés, raccord au seed, butin, rencontres et services de campagne restent à terminer.</x:v>
      </x:c>
    </x:row>
    <x:row r="435" ht="96" customHeight="1">
      <x:c r="A435" s="115" t="str">
        <x:v>EXT-MONDE-T009-V30</x:v>
      </x:c>
      <x:c r="B435" s="115" t="str">
        <x:v>EXT-MONDE-T009</x:v>
      </x:c>
      <x:c r="C435" s="115" t="str">
        <x:v>Offshore</x:v>
      </x:c>
      <x:c r="D435" s="115" t="str">
        <x:v>Plateforme pétrolière fixe</x:v>
      </x:c>
      <x:c r="E435" s="115" t="n">
        <x:v>30</x:v>
      </x:c>
      <x:c r="F435" s="115" t="str">
        <x:v>Inspection physique</x:v>
      </x:c>
      <x:c r="G435" s="115" t="str">
        <x:v>1 niveaux ; 34 pièces ; 260 segments de mur ; 0 transitions. Inspection physique ; architecture complète encore ouverte.</x:v>
      </x:c>
      <x:c r="H435" s="115" t="str">
        <x:v>L 384 ; l 320 ; hauteur 52 m ; choix de composition auteur ; dimensions réelles à documenter</x:v>
      </x:c>
      <x:c r="I435" s="115" t="str">
        <x:v>À équilibrer</x:v>
      </x:c>
      <x:c r="J435" s="115" t="str">
        <x:v>Non</x:v>
      </x:c>
      <x:c r="K435" s="115" t="str">
        <x:v>Pièces décrites, murs, portes, niveaux et mobilier inspectables à l’échelle. Volumes réservés, raccord au seed, butin, rencontres et services de campagne restent à terminer.</x:v>
      </x:c>
    </x:row>
    <x:row r="436" ht="96" customHeight="1">
      <x:c r="A436" s="115" t="str">
        <x:v>EXT-MONDE-T009-V31</x:v>
      </x:c>
      <x:c r="B436" s="115" t="str">
        <x:v>EXT-MONDE-T009</x:v>
      </x:c>
      <x:c r="C436" s="115" t="str">
        <x:v>Offshore</x:v>
      </x:c>
      <x:c r="D436" s="115" t="str">
        <x:v>Plateforme pétrolière fixe</x:v>
      </x:c>
      <x:c r="E436" s="115" t="n">
        <x:v>31</x:v>
      </x:c>
      <x:c r="F436" s="115" t="str">
        <x:v>Inspection physique</x:v>
      </x:c>
      <x:c r="G436" s="115" t="str">
        <x:v>1 niveaux ; 34 pièces ; 260 segments de mur ; 0 transitions. Inspection physique ; architecture complète encore ouverte.</x:v>
      </x:c>
      <x:c r="H436" s="115" t="str">
        <x:v>L 398 ; l 332 ; hauteur 52 m ; choix de composition auteur ; dimensions réelles à documenter</x:v>
      </x:c>
      <x:c r="I436" s="115" t="str">
        <x:v>À équilibrer</x:v>
      </x:c>
      <x:c r="J436" s="115" t="str">
        <x:v>Non</x:v>
      </x:c>
      <x:c r="K436" s="115" t="str">
        <x:v>Pièces décrites, murs, portes, niveaux et mobilier inspectables à l’échelle. Volumes réservés, raccord au seed, butin, rencontres et services de campagne restent à terminer.</x:v>
      </x:c>
    </x:row>
    <x:row r="437" ht="96" customHeight="1">
      <x:c r="A437" s="115" t="str">
        <x:v>EXT-MONDE-T009-V32</x:v>
      </x:c>
      <x:c r="B437" s="115" t="str">
        <x:v>EXT-MONDE-T009</x:v>
      </x:c>
      <x:c r="C437" s="115" t="str">
        <x:v>Offshore</x:v>
      </x:c>
      <x:c r="D437" s="115" t="str">
        <x:v>Plateforme pétrolière fixe</x:v>
      </x:c>
      <x:c r="E437" s="115" t="n">
        <x:v>32</x:v>
      </x:c>
      <x:c r="F437" s="115" t="str">
        <x:v>Inspection physique</x:v>
      </x:c>
      <x:c r="G437" s="115" t="str">
        <x:v>1 niveaux ; 34 pièces ; 260 segments de mur ; 0 transitions. Inspection physique ; architecture complète encore ouverte.</x:v>
      </x:c>
      <x:c r="H437" s="115" t="str">
        <x:v>L 398 ; l 332 ; hauteur 52 m ; choix de composition auteur ; dimensions réelles à documenter</x:v>
      </x:c>
      <x:c r="I437" s="115" t="str">
        <x:v>À équilibrer</x:v>
      </x:c>
      <x:c r="J437" s="115" t="str">
        <x:v>Non</x:v>
      </x:c>
      <x:c r="K437" s="115" t="str">
        <x:v>Pièces décrites, murs, portes, niveaux et mobilier inspectables à l’échelle. Volumes réservés, raccord au seed, butin, rencontres et services de campagne restent à terminer.</x:v>
      </x:c>
    </x:row>
    <x:row r="438" ht="96" customHeight="1">
      <x:c r="A438" s="115" t="str">
        <x:v>EXT-MONDE-T009-V33</x:v>
      </x:c>
      <x:c r="B438" s="115" t="str">
        <x:v>EXT-MONDE-T009</x:v>
      </x:c>
      <x:c r="C438" s="115" t="str">
        <x:v>Offshore</x:v>
      </x:c>
      <x:c r="D438" s="115" t="str">
        <x:v>Plateforme pétrolière fixe</x:v>
      </x:c>
      <x:c r="E438" s="115" t="n">
        <x:v>33</x:v>
      </x:c>
      <x:c r="F438" s="115" t="str">
        <x:v>Inspection physique</x:v>
      </x:c>
      <x:c r="G438" s="115" t="str">
        <x:v>1 niveaux ; 34 pièces ; 260 segments de mur ; 0 transitions. Inspection physique ; architecture complète encore ouverte.</x:v>
      </x:c>
      <x:c r="H438" s="115" t="str">
        <x:v>L 398 ; l 332 ; hauteur 52 m ; choix de composition auteur ; dimensions réelles à documenter</x:v>
      </x:c>
      <x:c r="I438" s="115" t="str">
        <x:v>À équilibrer</x:v>
      </x:c>
      <x:c r="J438" s="115" t="str">
        <x:v>Non</x:v>
      </x:c>
      <x:c r="K438" s="115" t="str">
        <x:v>Pièces décrites, murs, portes, niveaux et mobilier inspectables à l’échelle. Volumes réservés, raccord au seed, butin, rencontres et services de campagne restent à terminer.</x:v>
      </x:c>
    </x:row>
    <x:row r="439" ht="96" customHeight="1">
      <x:c r="A439" s="115" t="str">
        <x:v>EXT-MONDE-T009-V34</x:v>
      </x:c>
      <x:c r="B439" s="115" t="str">
        <x:v>EXT-MONDE-T009</x:v>
      </x:c>
      <x:c r="C439" s="115" t="str">
        <x:v>Offshore</x:v>
      </x:c>
      <x:c r="D439" s="115" t="str">
        <x:v>Plateforme pétrolière fixe</x:v>
      </x:c>
      <x:c r="E439" s="115" t="n">
        <x:v>34</x:v>
      </x:c>
      <x:c r="F439" s="115" t="str">
        <x:v>Inspection physique</x:v>
      </x:c>
      <x:c r="G439" s="115" t="str">
        <x:v>1 niveaux ; 34 pièces ; 260 segments de mur ; 0 transitions. Inspection physique ; architecture complète encore ouverte.</x:v>
      </x:c>
      <x:c r="H439" s="115" t="str">
        <x:v>L 398 ; l 332 ; hauteur 52 m ; choix de composition auteur ; dimensions réelles à documenter</x:v>
      </x:c>
      <x:c r="I439" s="115" t="str">
        <x:v>À équilibrer</x:v>
      </x:c>
      <x:c r="J439" s="115" t="str">
        <x:v>Non</x:v>
      </x:c>
      <x:c r="K439" s="115" t="str">
        <x:v>Pièces décrites, murs, portes, niveaux et mobilier inspectables à l’échelle. Volumes réservés, raccord au seed, butin, rencontres et services de campagne restent à terminer.</x:v>
      </x:c>
    </x:row>
    <x:row r="440" ht="96" customHeight="1">
      <x:c r="A440" s="115" t="str">
        <x:v>EXT-MONDE-T009-V35</x:v>
      </x:c>
      <x:c r="B440" s="115" t="str">
        <x:v>EXT-MONDE-T009</x:v>
      </x:c>
      <x:c r="C440" s="115" t="str">
        <x:v>Offshore</x:v>
      </x:c>
      <x:c r="D440" s="115" t="str">
        <x:v>Plateforme pétrolière fixe</x:v>
      </x:c>
      <x:c r="E440" s="115" t="n">
        <x:v>35</x:v>
      </x:c>
      <x:c r="F440" s="115" t="str">
        <x:v>Inspection physique</x:v>
      </x:c>
      <x:c r="G440" s="115" t="str">
        <x:v>1 niveaux ; 34 pièces ; 260 segments de mur ; 0 transitions. Inspection physique ; architecture complète encore ouverte.</x:v>
      </x:c>
      <x:c r="H440" s="115" t="str">
        <x:v>L 398 ; l 332 ; hauteur 52 m ; choix de composition auteur ; dimensions réelles à documenter</x:v>
      </x:c>
      <x:c r="I440" s="115" t="str">
        <x:v>À équilibrer</x:v>
      </x:c>
      <x:c r="J440" s="115" t="str">
        <x:v>Non</x:v>
      </x:c>
      <x:c r="K440" s="115" t="str">
        <x:v>Pièces décrites, murs, portes, niveaux et mobilier inspectables à l’échelle. Volumes réservés, raccord au seed, butin, rencontres et services de campagne restent à terminer.</x:v>
      </x:c>
    </x:row>
    <x:row r="441" ht="96" customHeight="1">
      <x:c r="A441" s="115" t="str">
        <x:v>EXT-MONDE-T009-V36</x:v>
      </x:c>
      <x:c r="B441" s="115" t="str">
        <x:v>EXT-MONDE-T009</x:v>
      </x:c>
      <x:c r="C441" s="115" t="str">
        <x:v>Offshore</x:v>
      </x:c>
      <x:c r="D441" s="115" t="str">
        <x:v>Plateforme pétrolière fixe</x:v>
      </x:c>
      <x:c r="E441" s="115" t="n">
        <x:v>36</x:v>
      </x:c>
      <x:c r="F441" s="115" t="str">
        <x:v>Inspection physique</x:v>
      </x:c>
      <x:c r="G441" s="115" t="str">
        <x:v>1 niveaux ; 34 pièces ; 260 segments de mur ; 0 transitions. Inspection physique ; architecture complète encore ouverte.</x:v>
      </x:c>
      <x:c r="H441" s="115" t="str">
        <x:v>L 398 ; l 332 ; hauteur 52 m ; choix de composition auteur ; dimensions réelles à documenter</x:v>
      </x:c>
      <x:c r="I441" s="115" t="str">
        <x:v>À équilibrer</x:v>
      </x:c>
      <x:c r="J441" s="115" t="str">
        <x:v>Non</x:v>
      </x:c>
      <x:c r="K441" s="115" t="str">
        <x:v>Pièces décrites, murs, portes, niveaux et mobilier inspectables à l’échelle. Volumes réservés, raccord au seed, butin, rencontres et services de campagne restent à terminer.</x:v>
      </x:c>
    </x:row>
    <x:row r="442" ht="96" customHeight="1">
      <x:c r="A442" s="115" t="str">
        <x:v>EXT-MONDE-T009-V37</x:v>
      </x:c>
      <x:c r="B442" s="115" t="str">
        <x:v>EXT-MONDE-T009</x:v>
      </x:c>
      <x:c r="C442" s="115" t="str">
        <x:v>Offshore</x:v>
      </x:c>
      <x:c r="D442" s="115" t="str">
        <x:v>Plateforme pétrolière fixe</x:v>
      </x:c>
      <x:c r="E442" s="115" t="n">
        <x:v>37</x:v>
      </x:c>
      <x:c r="F442" s="115" t="str">
        <x:v>Inspection physique</x:v>
      </x:c>
      <x:c r="G442" s="115" t="str">
        <x:v>1 niveaux ; 34 pièces ; 260 segments de mur ; 0 transitions. Inspection physique ; architecture complète encore ouverte.</x:v>
      </x:c>
      <x:c r="H442" s="115" t="str">
        <x:v>L 398 ; l 332 ; hauteur 52 m ; choix de composition auteur ; dimensions réelles à documenter</x:v>
      </x:c>
      <x:c r="I442" s="115" t="str">
        <x:v>À équilibrer</x:v>
      </x:c>
      <x:c r="J442" s="115" t="str">
        <x:v>Non</x:v>
      </x:c>
      <x:c r="K442" s="115" t="str">
        <x:v>Pièces décrites, murs, portes, niveaux et mobilier inspectables à l’échelle. Volumes réservés, raccord au seed, butin, rencontres et services de campagne restent à terminer.</x:v>
      </x:c>
    </x:row>
    <x:row r="443" ht="96" customHeight="1">
      <x:c r="A443" s="115" t="str">
        <x:v>EXT-MONDE-T009-V38</x:v>
      </x:c>
      <x:c r="B443" s="115" t="str">
        <x:v>EXT-MONDE-T009</x:v>
      </x:c>
      <x:c r="C443" s="115" t="str">
        <x:v>Offshore</x:v>
      </x:c>
      <x:c r="D443" s="115" t="str">
        <x:v>Plateforme pétrolière fixe</x:v>
      </x:c>
      <x:c r="E443" s="115" t="n">
        <x:v>38</x:v>
      </x:c>
      <x:c r="F443" s="115" t="str">
        <x:v>Inspection physique</x:v>
      </x:c>
      <x:c r="G443" s="115" t="str">
        <x:v>1 niveaux ; 34 pièces ; 260 segments de mur ; 0 transitions. Inspection physique ; architecture complète encore ouverte.</x:v>
      </x:c>
      <x:c r="H443" s="115" t="str">
        <x:v>L 398 ; l 332 ; hauteur 52 m ; choix de composition auteur ; dimensions réelles à documenter</x:v>
      </x:c>
      <x:c r="I443" s="115" t="str">
        <x:v>À équilibrer</x:v>
      </x:c>
      <x:c r="J443" s="115" t="str">
        <x:v>Non</x:v>
      </x:c>
      <x:c r="K443" s="115" t="str">
        <x:v>Pièces décrites, murs, portes, niveaux et mobilier inspectables à l’échelle. Volumes réservés, raccord au seed, butin, rencontres et services de campagne restent à terminer.</x:v>
      </x:c>
    </x:row>
    <x:row r="444" ht="96" customHeight="1">
      <x:c r="A444" s="115" t="str">
        <x:v>EXT-MONDE-T009-V39</x:v>
      </x:c>
      <x:c r="B444" s="115" t="str">
        <x:v>EXT-MONDE-T009</x:v>
      </x:c>
      <x:c r="C444" s="115" t="str">
        <x:v>Offshore</x:v>
      </x:c>
      <x:c r="D444" s="115" t="str">
        <x:v>Plateforme pétrolière fixe</x:v>
      </x:c>
      <x:c r="E444" s="115" t="n">
        <x:v>39</x:v>
      </x:c>
      <x:c r="F444" s="115" t="str">
        <x:v>Inspection physique</x:v>
      </x:c>
      <x:c r="G444" s="115" t="str">
        <x:v>1 niveaux ; 34 pièces ; 260 segments de mur ; 0 transitions. Inspection physique ; architecture complète encore ouverte.</x:v>
      </x:c>
      <x:c r="H444" s="115" t="str">
        <x:v>L 398 ; l 332 ; hauteur 52 m ; choix de composition auteur ; dimensions réelles à documenter</x:v>
      </x:c>
      <x:c r="I444" s="115" t="str">
        <x:v>À équilibrer</x:v>
      </x:c>
      <x:c r="J444" s="115" t="str">
        <x:v>Non</x:v>
      </x:c>
      <x:c r="K444" s="115" t="str">
        <x:v>Pièces décrites, murs, portes, niveaux et mobilier inspectables à l’échelle. Volumes réservés, raccord au seed, butin, rencontres et services de campagne restent à terminer.</x:v>
      </x:c>
    </x:row>
    <x:row r="445" ht="96" customHeight="1">
      <x:c r="A445" s="115" t="str">
        <x:v>EXT-MONDE-T009-V40</x:v>
      </x:c>
      <x:c r="B445" s="115" t="str">
        <x:v>EXT-MONDE-T009</x:v>
      </x:c>
      <x:c r="C445" s="115" t="str">
        <x:v>Offshore</x:v>
      </x:c>
      <x:c r="D445" s="115" t="str">
        <x:v>Plateforme pétrolière fixe</x:v>
      </x:c>
      <x:c r="E445" s="115" t="n">
        <x:v>40</x:v>
      </x:c>
      <x:c r="F445" s="115" t="str">
        <x:v>Inspection physique</x:v>
      </x:c>
      <x:c r="G445" s="115" t="str">
        <x:v>1 niveaux ; 34 pièces ; 260 segments de mur ; 0 transitions. Inspection physique ; architecture complète encore ouverte.</x:v>
      </x:c>
      <x:c r="H445" s="115" t="str">
        <x:v>L 398 ; l 332 ; hauteur 52 m ; choix de composition auteur ; dimensions réelles à documenter</x:v>
      </x:c>
      <x:c r="I445" s="115" t="str">
        <x:v>À équilibrer</x:v>
      </x:c>
      <x:c r="J445" s="115" t="str">
        <x:v>Non</x:v>
      </x:c>
      <x:c r="K445" s="115" t="str">
        <x:v>Pièces décrites, murs, portes, niveaux et mobilier inspectables à l’échelle. Volumes réservés, raccord au seed, butin, rencontres et services de campagne restent à terminer.</x:v>
      </x:c>
    </x:row>
    <x:row r="446" ht="96" customHeight="1">
      <x:c r="A446" s="115" t="str">
        <x:v>EXT-MONDE-T009-V41</x:v>
      </x:c>
      <x:c r="B446" s="115" t="str">
        <x:v>EXT-MONDE-T009</x:v>
      </x:c>
      <x:c r="C446" s="115" t="str">
        <x:v>Offshore</x:v>
      </x:c>
      <x:c r="D446" s="115" t="str">
        <x:v>Plateforme pétrolière fixe</x:v>
      </x:c>
      <x:c r="E446" s="115" t="n">
        <x:v>41</x:v>
      </x:c>
      <x:c r="F446" s="115" t="str">
        <x:v>Inspection physique</x:v>
      </x:c>
      <x:c r="G446" s="115" t="str">
        <x:v>1 niveaux ; 34 pièces ; 260 segments de mur ; 0 transitions. Inspection physique ; architecture complète encore ouverte.</x:v>
      </x:c>
      <x:c r="H446" s="115" t="str">
        <x:v>L 412 ; l 344 ; hauteur 52 m ; choix de composition auteur ; dimensions réelles à documenter</x:v>
      </x:c>
      <x:c r="I446" s="115" t="str">
        <x:v>À équilibrer</x:v>
      </x:c>
      <x:c r="J446" s="115" t="str">
        <x:v>Non</x:v>
      </x:c>
      <x:c r="K446" s="115" t="str">
        <x:v>Pièces décrites, murs, portes, niveaux et mobilier inspectables à l’échelle. Volumes réservés, raccord au seed, butin, rencontres et services de campagne restent à terminer.</x:v>
      </x:c>
    </x:row>
    <x:row r="447" ht="96" customHeight="1">
      <x:c r="A447" s="115" t="str">
        <x:v>EXT-MONDE-T009-V42</x:v>
      </x:c>
      <x:c r="B447" s="115" t="str">
        <x:v>EXT-MONDE-T009</x:v>
      </x:c>
      <x:c r="C447" s="115" t="str">
        <x:v>Offshore</x:v>
      </x:c>
      <x:c r="D447" s="115" t="str">
        <x:v>Plateforme pétrolière fixe</x:v>
      </x:c>
      <x:c r="E447" s="115" t="n">
        <x:v>42</x:v>
      </x:c>
      <x:c r="F447" s="115" t="str">
        <x:v>Inspection physique</x:v>
      </x:c>
      <x:c r="G447" s="115" t="str">
        <x:v>1 niveaux ; 34 pièces ; 260 segments de mur ; 0 transitions. Inspection physique ; architecture complète encore ouverte.</x:v>
      </x:c>
      <x:c r="H447" s="115" t="str">
        <x:v>L 412 ; l 344 ; hauteur 52 m ; choix de composition auteur ; dimensions réelles à documenter</x:v>
      </x:c>
      <x:c r="I447" s="115" t="str">
        <x:v>À équilibrer</x:v>
      </x:c>
      <x:c r="J447" s="115" t="str">
        <x:v>Non</x:v>
      </x:c>
      <x:c r="K447" s="115" t="str">
        <x:v>Pièces décrites, murs, portes, niveaux et mobilier inspectables à l’échelle. Volumes réservés, raccord au seed, butin, rencontres et services de campagne restent à terminer.</x:v>
      </x:c>
    </x:row>
    <x:row r="448" ht="96" customHeight="1">
      <x:c r="A448" s="115" t="str">
        <x:v>EXT-MONDE-T009-V43</x:v>
      </x:c>
      <x:c r="B448" s="115" t="str">
        <x:v>EXT-MONDE-T009</x:v>
      </x:c>
      <x:c r="C448" s="115" t="str">
        <x:v>Offshore</x:v>
      </x:c>
      <x:c r="D448" s="115" t="str">
        <x:v>Plateforme pétrolière fixe</x:v>
      </x:c>
      <x:c r="E448" s="115" t="n">
        <x:v>43</x:v>
      </x:c>
      <x:c r="F448" s="115" t="str">
        <x:v>Inspection physique</x:v>
      </x:c>
      <x:c r="G448" s="115" t="str">
        <x:v>1 niveaux ; 34 pièces ; 260 segments de mur ; 0 transitions. Inspection physique ; architecture complète encore ouverte.</x:v>
      </x:c>
      <x:c r="H448" s="115" t="str">
        <x:v>L 412 ; l 344 ; hauteur 52 m ; choix de composition auteur ; dimensions réelles à documenter</x:v>
      </x:c>
      <x:c r="I448" s="115" t="str">
        <x:v>À équilibrer</x:v>
      </x:c>
      <x:c r="J448" s="115" t="str">
        <x:v>Non</x:v>
      </x:c>
      <x:c r="K448" s="115" t="str">
        <x:v>Pièces décrites, murs, portes, niveaux et mobilier inspectables à l’échelle. Volumes réservés, raccord au seed, butin, rencontres et services de campagne restent à terminer.</x:v>
      </x:c>
    </x:row>
    <x:row r="449" ht="96" customHeight="1">
      <x:c r="A449" s="115" t="str">
        <x:v>EXT-MONDE-T009-V44</x:v>
      </x:c>
      <x:c r="B449" s="115" t="str">
        <x:v>EXT-MONDE-T009</x:v>
      </x:c>
      <x:c r="C449" s="115" t="str">
        <x:v>Offshore</x:v>
      </x:c>
      <x:c r="D449" s="115" t="str">
        <x:v>Plateforme pétrolière fixe</x:v>
      </x:c>
      <x:c r="E449" s="115" t="n">
        <x:v>44</x:v>
      </x:c>
      <x:c r="F449" s="115" t="str">
        <x:v>Inspection physique</x:v>
      </x:c>
      <x:c r="G449" s="115" t="str">
        <x:v>1 niveaux ; 34 pièces ; 260 segments de mur ; 0 transitions. Inspection physique ; architecture complète encore ouverte.</x:v>
      </x:c>
      <x:c r="H449" s="115" t="str">
        <x:v>L 412 ; l 344 ; hauteur 52 m ; choix de composition auteur ; dimensions réelles à documenter</x:v>
      </x:c>
      <x:c r="I449" s="115" t="str">
        <x:v>À équilibrer</x:v>
      </x:c>
      <x:c r="J449" s="115" t="str">
        <x:v>Non</x:v>
      </x:c>
      <x:c r="K449" s="115" t="str">
        <x:v>Pièces décrites, murs, portes, niveaux et mobilier inspectables à l’échelle. Volumes réservés, raccord au seed, butin, rencontres et services de campagne restent à terminer.</x:v>
      </x:c>
    </x:row>
    <x:row r="450" ht="96" customHeight="1">
      <x:c r="A450" s="115" t="str">
        <x:v>EXT-MONDE-T009-V45</x:v>
      </x:c>
      <x:c r="B450" s="115" t="str">
        <x:v>EXT-MONDE-T009</x:v>
      </x:c>
      <x:c r="C450" s="115" t="str">
        <x:v>Offshore</x:v>
      </x:c>
      <x:c r="D450" s="115" t="str">
        <x:v>Plateforme pétrolière fixe</x:v>
      </x:c>
      <x:c r="E450" s="115" t="n">
        <x:v>45</x:v>
      </x:c>
      <x:c r="F450" s="115" t="str">
        <x:v>Inspection physique</x:v>
      </x:c>
      <x:c r="G450" s="115" t="str">
        <x:v>1 niveaux ; 34 pièces ; 260 segments de mur ; 0 transitions. Inspection physique ; architecture complète encore ouverte.</x:v>
      </x:c>
      <x:c r="H450" s="115" t="str">
        <x:v>L 412 ; l 344 ; hauteur 52 m ; choix de composition auteur ; dimensions réelles à documenter</x:v>
      </x:c>
      <x:c r="I450" s="115" t="str">
        <x:v>À équilibrer</x:v>
      </x:c>
      <x:c r="J450" s="115" t="str">
        <x:v>Non</x:v>
      </x:c>
      <x:c r="K450" s="115" t="str">
        <x:v>Pièces décrites, murs, portes, niveaux et mobilier inspectables à l’échelle. Volumes réservés, raccord au seed, butin, rencontres et services de campagne restent à terminer.</x:v>
      </x:c>
    </x:row>
    <x:row r="451" ht="96" customHeight="1">
      <x:c r="A451" s="115" t="str">
        <x:v>EXT-MONDE-T009-V46</x:v>
      </x:c>
      <x:c r="B451" s="115" t="str">
        <x:v>EXT-MONDE-T009</x:v>
      </x:c>
      <x:c r="C451" s="115" t="str">
        <x:v>Offshore</x:v>
      </x:c>
      <x:c r="D451" s="115" t="str">
        <x:v>Plateforme pétrolière fixe</x:v>
      </x:c>
      <x:c r="E451" s="115" t="n">
        <x:v>46</x:v>
      </x:c>
      <x:c r="F451" s="115" t="str">
        <x:v>Inspection physique</x:v>
      </x:c>
      <x:c r="G451" s="115" t="str">
        <x:v>1 niveaux ; 34 pièces ; 260 segments de mur ; 0 transitions. Inspection physique ; architecture complète encore ouverte.</x:v>
      </x:c>
      <x:c r="H451" s="115" t="str">
        <x:v>L 412 ; l 344 ; hauteur 52 m ; choix de composition auteur ; dimensions réelles à documenter</x:v>
      </x:c>
      <x:c r="I451" s="115" t="str">
        <x:v>À équilibrer</x:v>
      </x:c>
      <x:c r="J451" s="115" t="str">
        <x:v>Non</x:v>
      </x:c>
      <x:c r="K451" s="115" t="str">
        <x:v>Pièces décrites, murs, portes, niveaux et mobilier inspectables à l’échelle. Volumes réservés, raccord au seed, butin, rencontres et services de campagne restent à terminer.</x:v>
      </x:c>
    </x:row>
    <x:row r="452" ht="96" customHeight="1">
      <x:c r="A452" s="115" t="str">
        <x:v>EXT-MONDE-T009-V47</x:v>
      </x:c>
      <x:c r="B452" s="115" t="str">
        <x:v>EXT-MONDE-T009</x:v>
      </x:c>
      <x:c r="C452" s="115" t="str">
        <x:v>Offshore</x:v>
      </x:c>
      <x:c r="D452" s="115" t="str">
        <x:v>Plateforme pétrolière fixe</x:v>
      </x:c>
      <x:c r="E452" s="115" t="n">
        <x:v>47</x:v>
      </x:c>
      <x:c r="F452" s="115" t="str">
        <x:v>Inspection physique</x:v>
      </x:c>
      <x:c r="G452" s="115" t="str">
        <x:v>1 niveaux ; 34 pièces ; 260 segments de mur ; 0 transitions. Inspection physique ; architecture complète encore ouverte.</x:v>
      </x:c>
      <x:c r="H452" s="115" t="str">
        <x:v>L 412 ; l 344 ; hauteur 52 m ; choix de composition auteur ; dimensions réelles à documenter</x:v>
      </x:c>
      <x:c r="I452" s="115" t="str">
        <x:v>À équilibrer</x:v>
      </x:c>
      <x:c r="J452" s="115" t="str">
        <x:v>Non</x:v>
      </x:c>
      <x:c r="K452" s="115" t="str">
        <x:v>Pièces décrites, murs, portes, niveaux et mobilier inspectables à l’échelle. Volumes réservés, raccord au seed, butin, rencontres et services de campagne restent à terminer.</x:v>
      </x:c>
    </x:row>
    <x:row r="453" ht="96" customHeight="1">
      <x:c r="A453" s="115" t="str">
        <x:v>EXT-MONDE-T009-V48</x:v>
      </x:c>
      <x:c r="B453" s="115" t="str">
        <x:v>EXT-MONDE-T009</x:v>
      </x:c>
      <x:c r="C453" s="115" t="str">
        <x:v>Offshore</x:v>
      </x:c>
      <x:c r="D453" s="115" t="str">
        <x:v>Plateforme pétrolière fixe</x:v>
      </x:c>
      <x:c r="E453" s="115" t="n">
        <x:v>48</x:v>
      </x:c>
      <x:c r="F453" s="115" t="str">
        <x:v>Inspection physique</x:v>
      </x:c>
      <x:c r="G453" s="115" t="str">
        <x:v>1 niveaux ; 34 pièces ; 260 segments de mur ; 0 transitions. Inspection physique ; architecture complète encore ouverte.</x:v>
      </x:c>
      <x:c r="H453" s="115" t="str">
        <x:v>L 412 ; l 344 ; hauteur 52 m ; choix de composition auteur ; dimensions réelles à documenter</x:v>
      </x:c>
      <x:c r="I453" s="115" t="str">
        <x:v>À équilibrer</x:v>
      </x:c>
      <x:c r="J453" s="115" t="str">
        <x:v>Non</x:v>
      </x:c>
      <x:c r="K453" s="115" t="str">
        <x:v>Pièces décrites, murs, portes, niveaux et mobilier inspectables à l’échelle. Volumes réservés, raccord au seed, butin, rencontres et services de campagne restent à terminer.</x:v>
      </x:c>
    </x:row>
    <x:row r="454" ht="96" customHeight="1">
      <x:c r="A454" s="115" t="str">
        <x:v>EXT-MONDE-T009-V49</x:v>
      </x:c>
      <x:c r="B454" s="115" t="str">
        <x:v>EXT-MONDE-T009</x:v>
      </x:c>
      <x:c r="C454" s="115" t="str">
        <x:v>Offshore</x:v>
      </x:c>
      <x:c r="D454" s="115" t="str">
        <x:v>Plateforme pétrolière fixe</x:v>
      </x:c>
      <x:c r="E454" s="115" t="n">
        <x:v>49</x:v>
      </x:c>
      <x:c r="F454" s="115" t="str">
        <x:v>Inspection physique</x:v>
      </x:c>
      <x:c r="G454" s="115" t="str">
        <x:v>1 niveaux ; 34 pièces ; 260 segments de mur ; 0 transitions. Inspection physique ; architecture complète encore ouverte.</x:v>
      </x:c>
      <x:c r="H454" s="115" t="str">
        <x:v>L 412 ; l 344 ; hauteur 52 m ; choix de composition auteur ; dimensions réelles à documenter</x:v>
      </x:c>
      <x:c r="I454" s="115" t="str">
        <x:v>À équilibrer</x:v>
      </x:c>
      <x:c r="J454" s="115" t="str">
        <x:v>Non</x:v>
      </x:c>
      <x:c r="K454" s="115" t="str">
        <x:v>Pièces décrites, murs, portes, niveaux et mobilier inspectables à l’échelle. Volumes réservés, raccord au seed, butin, rencontres et services de campagne restent à terminer.</x:v>
      </x:c>
    </x:row>
    <x:row r="455" ht="96" customHeight="1">
      <x:c r="A455" s="115" t="str">
        <x:v>EXT-MONDE-T009-V50</x:v>
      </x:c>
      <x:c r="B455" s="115" t="str">
        <x:v>EXT-MONDE-T009</x:v>
      </x:c>
      <x:c r="C455" s="115" t="str">
        <x:v>Offshore</x:v>
      </x:c>
      <x:c r="D455" s="115" t="str">
        <x:v>Plateforme pétrolière fixe</x:v>
      </x:c>
      <x:c r="E455" s="115" t="n">
        <x:v>50</x:v>
      </x:c>
      <x:c r="F455" s="115" t="str">
        <x:v>Inspection physique</x:v>
      </x:c>
      <x:c r="G455" s="115" t="str">
        <x:v>1 niveaux ; 34 pièces ; 260 segments de mur ; 0 transitions. Inspection physique ; architecture complète encore ouverte.</x:v>
      </x:c>
      <x:c r="H455" s="115" t="str">
        <x:v>L 412 ; l 344 ; hauteur 52 m ; choix de composition auteur ; dimensions réelles à documenter</x:v>
      </x:c>
      <x:c r="I455" s="115" t="str">
        <x:v>À équilibrer</x:v>
      </x:c>
      <x:c r="J455" s="115" t="str">
        <x:v>Non</x:v>
      </x:c>
      <x:c r="K455" s="115" t="str">
        <x:v>Pièces décrites, murs, portes, niveaux et mobilier inspectables à l’échelle. Volumes réservés, raccord au seed, butin, rencontres et services de campagne restent à terminer.</x:v>
      </x:c>
    </x:row>
    <x:row r="456" ht="96" customHeight="1">
      <x:c r="A456" s="115" t="str">
        <x:v>EXT-MONDE-T010-V01</x:v>
      </x:c>
      <x:c r="B456" s="115" t="str">
        <x:v>EXT-MONDE-T010</x:v>
      </x:c>
      <x:c r="C456" s="115" t="str">
        <x:v>Offshore</x:v>
      </x:c>
      <x:c r="D456" s="115" t="str">
        <x:v>Plateforme semi-submersible</x:v>
      </x:c>
      <x:c r="E456" s="115" t="n">
        <x:v>1</x:v>
      </x:c>
      <x:c r="F456" s="115" t="str">
        <x:v>Inspection physique</x:v>
      </x:c>
      <x:c r="G456" s="115" t="str">
        <x:v>1 niveaux ; 34 pièces ; 260 segments de mur ; 0 transitions. Inspection physique ; architecture complète encore ouverte.</x:v>
      </x:c>
      <x:c r="H456" s="115" t="str">
        <x:v>L 376 ; l 316 ; hauteur 12 m ; choix de composition auteur ; dimensions réelles à documenter</x:v>
      </x:c>
      <x:c r="I456" s="115" t="str">
        <x:v>À équilibrer</x:v>
      </x:c>
      <x:c r="J456" s="115" t="str">
        <x:v>Non</x:v>
      </x:c>
      <x:c r="K456" s="115" t="str">
        <x:v>Pièces décrites, murs, portes, niveaux et mobilier inspectables à l’échelle. Volumes réservés, raccord au seed, butin, rencontres et services de campagne restent à terminer.</x:v>
      </x:c>
    </x:row>
    <x:row r="457" ht="96" customHeight="1">
      <x:c r="A457" s="115" t="str">
        <x:v>EXT-MONDE-T010-V02</x:v>
      </x:c>
      <x:c r="B457" s="115" t="str">
        <x:v>EXT-MONDE-T010</x:v>
      </x:c>
      <x:c r="C457" s="115" t="str">
        <x:v>Offshore</x:v>
      </x:c>
      <x:c r="D457" s="115" t="str">
        <x:v>Plateforme semi-submersible</x:v>
      </x:c>
      <x:c r="E457" s="115" t="n">
        <x:v>2</x:v>
      </x:c>
      <x:c r="F457" s="115" t="str">
        <x:v>Inspection physique</x:v>
      </x:c>
      <x:c r="G457" s="115" t="str">
        <x:v>1 niveaux ; 34 pièces ; 260 segments de mur ; 0 transitions. Inspection physique ; architecture complète encore ouverte.</x:v>
      </x:c>
      <x:c r="H457" s="115" t="str">
        <x:v>L 376 ; l 316 ; hauteur 12 m ; choix de composition auteur ; dimensions réelles à documenter</x:v>
      </x:c>
      <x:c r="I457" s="115" t="str">
        <x:v>À équilibrer</x:v>
      </x:c>
      <x:c r="J457" s="115" t="str">
        <x:v>Non</x:v>
      </x:c>
      <x:c r="K457" s="115" t="str">
        <x:v>Pièces décrites, murs, portes, niveaux et mobilier inspectables à l’échelle. Volumes réservés, raccord au seed, butin, rencontres et services de campagne restent à terminer.</x:v>
      </x:c>
    </x:row>
    <x:row r="458" ht="96" customHeight="1">
      <x:c r="A458" s="115" t="str">
        <x:v>EXT-MONDE-T010-V03</x:v>
      </x:c>
      <x:c r="B458" s="115" t="str">
        <x:v>EXT-MONDE-T010</x:v>
      </x:c>
      <x:c r="C458" s="115" t="str">
        <x:v>Offshore</x:v>
      </x:c>
      <x:c r="D458" s="115" t="str">
        <x:v>Plateforme semi-submersible</x:v>
      </x:c>
      <x:c r="E458" s="115" t="n">
        <x:v>3</x:v>
      </x:c>
      <x:c r="F458" s="115" t="str">
        <x:v>Inspection physique</x:v>
      </x:c>
      <x:c r="G458" s="115" t="str">
        <x:v>1 niveaux ; 34 pièces ; 260 segments de mur ; 0 transitions. Inspection physique ; architecture complète encore ouverte.</x:v>
      </x:c>
      <x:c r="H458" s="115" t="str">
        <x:v>L 376 ; l 316 ; hauteur 12 m ; choix de composition auteur ; dimensions réelles à documenter</x:v>
      </x:c>
      <x:c r="I458" s="115" t="str">
        <x:v>À équilibrer</x:v>
      </x:c>
      <x:c r="J458" s="115" t="str">
        <x:v>Non</x:v>
      </x:c>
      <x:c r="K458" s="115" t="str">
        <x:v>Pièces décrites, murs, portes, niveaux et mobilier inspectables à l’échelle. Volumes réservés, raccord au seed, butin, rencontres et services de campagne restent à terminer.</x:v>
      </x:c>
    </x:row>
    <x:row r="459" ht="96" customHeight="1">
      <x:c r="A459" s="115" t="str">
        <x:v>EXT-MONDE-T010-V04</x:v>
      </x:c>
      <x:c r="B459" s="115" t="str">
        <x:v>EXT-MONDE-T010</x:v>
      </x:c>
      <x:c r="C459" s="115" t="str">
        <x:v>Offshore</x:v>
      </x:c>
      <x:c r="D459" s="115" t="str">
        <x:v>Plateforme semi-submersible</x:v>
      </x:c>
      <x:c r="E459" s="115" t="n">
        <x:v>4</x:v>
      </x:c>
      <x:c r="F459" s="115" t="str">
        <x:v>Inspection physique</x:v>
      </x:c>
      <x:c r="G459" s="115" t="str">
        <x:v>1 niveaux ; 34 pièces ; 260 segments de mur ; 0 transitions. Inspection physique ; architecture complète encore ouverte.</x:v>
      </x:c>
      <x:c r="H459" s="115" t="str">
        <x:v>L 376 ; l 316 ; hauteur 12 m ; choix de composition auteur ; dimensions réelles à documenter</x:v>
      </x:c>
      <x:c r="I459" s="115" t="str">
        <x:v>À équilibrer</x:v>
      </x:c>
      <x:c r="J459" s="115" t="str">
        <x:v>Non</x:v>
      </x:c>
      <x:c r="K459" s="115" t="str">
        <x:v>Pièces décrites, murs, portes, niveaux et mobilier inspectables à l’échelle. Volumes réservés, raccord au seed, butin, rencontres et services de campagne restent à terminer.</x:v>
      </x:c>
    </x:row>
    <x:row r="460" ht="96" customHeight="1">
      <x:c r="A460" s="115" t="str">
        <x:v>EXT-MONDE-T010-V05</x:v>
      </x:c>
      <x:c r="B460" s="115" t="str">
        <x:v>EXT-MONDE-T010</x:v>
      </x:c>
      <x:c r="C460" s="115" t="str">
        <x:v>Offshore</x:v>
      </x:c>
      <x:c r="D460" s="115" t="str">
        <x:v>Plateforme semi-submersible</x:v>
      </x:c>
      <x:c r="E460" s="115" t="n">
        <x:v>5</x:v>
      </x:c>
      <x:c r="F460" s="115" t="str">
        <x:v>Inspection physique</x:v>
      </x:c>
      <x:c r="G460" s="115" t="str">
        <x:v>1 niveaux ; 34 pièces ; 260 segments de mur ; 0 transitions. Inspection physique ; architecture complète encore ouverte.</x:v>
      </x:c>
      <x:c r="H460" s="115" t="str">
        <x:v>L 376 ; l 316 ; hauteur 12 m ; choix de composition auteur ; dimensions réelles à documenter</x:v>
      </x:c>
      <x:c r="I460" s="115" t="str">
        <x:v>À équilibrer</x:v>
      </x:c>
      <x:c r="J460" s="115" t="str">
        <x:v>Non</x:v>
      </x:c>
      <x:c r="K460" s="115" t="str">
        <x:v>Pièces décrites, murs, portes, niveaux et mobilier inspectables à l’échelle. Volumes réservés, raccord au seed, butin, rencontres et services de campagne restent à terminer.</x:v>
      </x:c>
    </x:row>
    <x:row r="461" ht="96" customHeight="1">
      <x:c r="A461" s="115" t="str">
        <x:v>EXT-MONDE-T010-V06</x:v>
      </x:c>
      <x:c r="B461" s="115" t="str">
        <x:v>EXT-MONDE-T010</x:v>
      </x:c>
      <x:c r="C461" s="115" t="str">
        <x:v>Offshore</x:v>
      </x:c>
      <x:c r="D461" s="115" t="str">
        <x:v>Plateforme semi-submersible</x:v>
      </x:c>
      <x:c r="E461" s="115" t="n">
        <x:v>6</x:v>
      </x:c>
      <x:c r="F461" s="115" t="str">
        <x:v>Inspection physique</x:v>
      </x:c>
      <x:c r="G461" s="115" t="str">
        <x:v>1 niveaux ; 34 pièces ; 260 segments de mur ; 0 transitions. Inspection physique ; architecture complète encore ouverte.</x:v>
      </x:c>
      <x:c r="H461" s="115" t="str">
        <x:v>L 376 ; l 316 ; hauteur 12 m ; choix de composition auteur ; dimensions réelles à documenter</x:v>
      </x:c>
      <x:c r="I461" s="115" t="str">
        <x:v>À équilibrer</x:v>
      </x:c>
      <x:c r="J461" s="115" t="str">
        <x:v>Non</x:v>
      </x:c>
      <x:c r="K461" s="115" t="str">
        <x:v>Pièces décrites, murs, portes, niveaux et mobilier inspectables à l’échelle. Volumes réservés, raccord au seed, butin, rencontres et services de campagne restent à terminer.</x:v>
      </x:c>
    </x:row>
    <x:row r="462" ht="96" customHeight="1">
      <x:c r="A462" s="115" t="str">
        <x:v>EXT-MONDE-T010-V07</x:v>
      </x:c>
      <x:c r="B462" s="115" t="str">
        <x:v>EXT-MONDE-T010</x:v>
      </x:c>
      <x:c r="C462" s="115" t="str">
        <x:v>Offshore</x:v>
      </x:c>
      <x:c r="D462" s="115" t="str">
        <x:v>Plateforme semi-submersible</x:v>
      </x:c>
      <x:c r="E462" s="115" t="n">
        <x:v>7</x:v>
      </x:c>
      <x:c r="F462" s="115" t="str">
        <x:v>Inspection physique</x:v>
      </x:c>
      <x:c r="G462" s="115" t="str">
        <x:v>1 niveaux ; 34 pièces ; 260 segments de mur ; 0 transitions. Inspection physique ; architecture complète encore ouverte.</x:v>
      </x:c>
      <x:c r="H462" s="115" t="str">
        <x:v>L 376 ; l 316 ; hauteur 12 m ; choix de composition auteur ; dimensions réelles à documenter</x:v>
      </x:c>
      <x:c r="I462" s="115" t="str">
        <x:v>À équilibrer</x:v>
      </x:c>
      <x:c r="J462" s="115" t="str">
        <x:v>Non</x:v>
      </x:c>
      <x:c r="K462" s="115" t="str">
        <x:v>Pièces décrites, murs, portes, niveaux et mobilier inspectables à l’échelle. Volumes réservés, raccord au seed, butin, rencontres et services de campagne restent à terminer.</x:v>
      </x:c>
    </x:row>
    <x:row r="463" ht="96" customHeight="1">
      <x:c r="A463" s="115" t="str">
        <x:v>EXT-MONDE-T010-V08</x:v>
      </x:c>
      <x:c r="B463" s="115" t="str">
        <x:v>EXT-MONDE-T010</x:v>
      </x:c>
      <x:c r="C463" s="115" t="str">
        <x:v>Offshore</x:v>
      </x:c>
      <x:c r="D463" s="115" t="str">
        <x:v>Plateforme semi-submersible</x:v>
      </x:c>
      <x:c r="E463" s="115" t="n">
        <x:v>8</x:v>
      </x:c>
      <x:c r="F463" s="115" t="str">
        <x:v>Inspection physique</x:v>
      </x:c>
      <x:c r="G463" s="115" t="str">
        <x:v>1 niveaux ; 34 pièces ; 260 segments de mur ; 0 transitions. Inspection physique ; architecture complète encore ouverte.</x:v>
      </x:c>
      <x:c r="H463" s="115" t="str">
        <x:v>L 376 ; l 316 ; hauteur 12 m ; choix de composition auteur ; dimensions réelles à documenter</x:v>
      </x:c>
      <x:c r="I463" s="115" t="str">
        <x:v>À équilibrer</x:v>
      </x:c>
      <x:c r="J463" s="115" t="str">
        <x:v>Non</x:v>
      </x:c>
      <x:c r="K463" s="115" t="str">
        <x:v>Pièces décrites, murs, portes, niveaux et mobilier inspectables à l’échelle. Volumes réservés, raccord au seed, butin, rencontres et services de campagne restent à terminer.</x:v>
      </x:c>
    </x:row>
    <x:row r="464" ht="96" customHeight="1">
      <x:c r="A464" s="115" t="str">
        <x:v>EXT-MONDE-T010-V09</x:v>
      </x:c>
      <x:c r="B464" s="115" t="str">
        <x:v>EXT-MONDE-T010</x:v>
      </x:c>
      <x:c r="C464" s="115" t="str">
        <x:v>Offshore</x:v>
      </x:c>
      <x:c r="D464" s="115" t="str">
        <x:v>Plateforme semi-submersible</x:v>
      </x:c>
      <x:c r="E464" s="115" t="n">
        <x:v>9</x:v>
      </x:c>
      <x:c r="F464" s="115" t="str">
        <x:v>Inspection physique</x:v>
      </x:c>
      <x:c r="G464" s="115" t="str">
        <x:v>1 niveaux ; 34 pièces ; 260 segments de mur ; 0 transitions. Inspection physique ; architecture complète encore ouverte.</x:v>
      </x:c>
      <x:c r="H464" s="115" t="str">
        <x:v>L 376 ; l 316 ; hauteur 12 m ; choix de composition auteur ; dimensions réelles à documenter</x:v>
      </x:c>
      <x:c r="I464" s="115" t="str">
        <x:v>À équilibrer</x:v>
      </x:c>
      <x:c r="J464" s="115" t="str">
        <x:v>Non</x:v>
      </x:c>
      <x:c r="K464" s="115" t="str">
        <x:v>Pièces décrites, murs, portes, niveaux et mobilier inspectables à l’échelle. Volumes réservés, raccord au seed, butin, rencontres et services de campagne restent à terminer.</x:v>
      </x:c>
    </x:row>
    <x:row r="465" ht="96" customHeight="1">
      <x:c r="A465" s="115" t="str">
        <x:v>EXT-MONDE-T010-V10</x:v>
      </x:c>
      <x:c r="B465" s="115" t="str">
        <x:v>EXT-MONDE-T010</x:v>
      </x:c>
      <x:c r="C465" s="115" t="str">
        <x:v>Offshore</x:v>
      </x:c>
      <x:c r="D465" s="115" t="str">
        <x:v>Plateforme semi-submersible</x:v>
      </x:c>
      <x:c r="E465" s="115" t="n">
        <x:v>10</x:v>
      </x:c>
      <x:c r="F465" s="115" t="str">
        <x:v>Inspection physique</x:v>
      </x:c>
      <x:c r="G465" s="115" t="str">
        <x:v>1 niveaux ; 34 pièces ; 260 segments de mur ; 0 transitions. Inspection physique ; architecture complète encore ouverte.</x:v>
      </x:c>
      <x:c r="H465" s="115" t="str">
        <x:v>L 376 ; l 316 ; hauteur 12 m ; choix de composition auteur ; dimensions réelles à documenter</x:v>
      </x:c>
      <x:c r="I465" s="115" t="str">
        <x:v>À équilibrer</x:v>
      </x:c>
      <x:c r="J465" s="115" t="str">
        <x:v>Non</x:v>
      </x:c>
      <x:c r="K465" s="115" t="str">
        <x:v>Pièces décrites, murs, portes, niveaux et mobilier inspectables à l’échelle. Volumes réservés, raccord au seed, butin, rencontres et services de campagne restent à terminer.</x:v>
      </x:c>
    </x:row>
    <x:row r="466" ht="96" customHeight="1">
      <x:c r="A466" s="115" t="str">
        <x:v>EXT-MONDE-T010-V11</x:v>
      </x:c>
      <x:c r="B466" s="115" t="str">
        <x:v>EXT-MONDE-T010</x:v>
      </x:c>
      <x:c r="C466" s="115" t="str">
        <x:v>Offshore</x:v>
      </x:c>
      <x:c r="D466" s="115" t="str">
        <x:v>Plateforme semi-submersible</x:v>
      </x:c>
      <x:c r="E466" s="115" t="n">
        <x:v>11</x:v>
      </x:c>
      <x:c r="F466" s="115" t="str">
        <x:v>Inspection physique</x:v>
      </x:c>
      <x:c r="G466" s="115" t="str">
        <x:v>1 niveaux ; 34 pièces ; 260 segments de mur ; 0 transitions. Inspection physique ; architecture complète encore ouverte.</x:v>
      </x:c>
      <x:c r="H466" s="115" t="str">
        <x:v>L 390 ; l 328 ; hauteur 12 m ; choix de composition auteur ; dimensions réelles à documenter</x:v>
      </x:c>
      <x:c r="I466" s="115" t="str">
        <x:v>À équilibrer</x:v>
      </x:c>
      <x:c r="J466" s="115" t="str">
        <x:v>Non</x:v>
      </x:c>
      <x:c r="K466" s="115" t="str">
        <x:v>Pièces décrites, murs, portes, niveaux et mobilier inspectables à l’échelle. Volumes réservés, raccord au seed, butin, rencontres et services de campagne restent à terminer.</x:v>
      </x:c>
    </x:row>
    <x:row r="467" ht="96" customHeight="1">
      <x:c r="A467" s="115" t="str">
        <x:v>EXT-MONDE-T010-V12</x:v>
      </x:c>
      <x:c r="B467" s="115" t="str">
        <x:v>EXT-MONDE-T010</x:v>
      </x:c>
      <x:c r="C467" s="115" t="str">
        <x:v>Offshore</x:v>
      </x:c>
      <x:c r="D467" s="115" t="str">
        <x:v>Plateforme semi-submersible</x:v>
      </x:c>
      <x:c r="E467" s="115" t="n">
        <x:v>12</x:v>
      </x:c>
      <x:c r="F467" s="115" t="str">
        <x:v>Inspection physique</x:v>
      </x:c>
      <x:c r="G467" s="115" t="str">
        <x:v>1 niveaux ; 34 pièces ; 260 segments de mur ; 0 transitions. Inspection physique ; architecture complète encore ouverte.</x:v>
      </x:c>
      <x:c r="H467" s="115" t="str">
        <x:v>L 390 ; l 328 ; hauteur 12 m ; choix de composition auteur ; dimensions réelles à documenter</x:v>
      </x:c>
      <x:c r="I467" s="115" t="str">
        <x:v>À équilibrer</x:v>
      </x:c>
      <x:c r="J467" s="115" t="str">
        <x:v>Non</x:v>
      </x:c>
      <x:c r="K467" s="115" t="str">
        <x:v>Pièces décrites, murs, portes, niveaux et mobilier inspectables à l’échelle. Volumes réservés, raccord au seed, butin, rencontres et services de campagne restent à terminer.</x:v>
      </x:c>
    </x:row>
    <x:row r="468" ht="96" customHeight="1">
      <x:c r="A468" s="115" t="str">
        <x:v>EXT-MONDE-T010-V13</x:v>
      </x:c>
      <x:c r="B468" s="115" t="str">
        <x:v>EXT-MONDE-T010</x:v>
      </x:c>
      <x:c r="C468" s="115" t="str">
        <x:v>Offshore</x:v>
      </x:c>
      <x:c r="D468" s="115" t="str">
        <x:v>Plateforme semi-submersible</x:v>
      </x:c>
      <x:c r="E468" s="115" t="n">
        <x:v>13</x:v>
      </x:c>
      <x:c r="F468" s="115" t="str">
        <x:v>Inspection physique</x:v>
      </x:c>
      <x:c r="G468" s="115" t="str">
        <x:v>1 niveaux ; 34 pièces ; 260 segments de mur ; 0 transitions. Inspection physique ; architecture complète encore ouverte.</x:v>
      </x:c>
      <x:c r="H468" s="115" t="str">
        <x:v>L 390 ; l 328 ; hauteur 12 m ; choix de composition auteur ; dimensions réelles à documenter</x:v>
      </x:c>
      <x:c r="I468" s="115" t="str">
        <x:v>À équilibrer</x:v>
      </x:c>
      <x:c r="J468" s="115" t="str">
        <x:v>Non</x:v>
      </x:c>
      <x:c r="K468" s="115" t="str">
        <x:v>Pièces décrites, murs, portes, niveaux et mobilier inspectables à l’échelle. Volumes réservés, raccord au seed, butin, rencontres et services de campagne restent à terminer.</x:v>
      </x:c>
    </x:row>
    <x:row r="469" ht="96" customHeight="1">
      <x:c r="A469" s="115" t="str">
        <x:v>EXT-MONDE-T010-V14</x:v>
      </x:c>
      <x:c r="B469" s="115" t="str">
        <x:v>EXT-MONDE-T010</x:v>
      </x:c>
      <x:c r="C469" s="115" t="str">
        <x:v>Offshore</x:v>
      </x:c>
      <x:c r="D469" s="115" t="str">
        <x:v>Plateforme semi-submersible</x:v>
      </x:c>
      <x:c r="E469" s="115" t="n">
        <x:v>14</x:v>
      </x:c>
      <x:c r="F469" s="115" t="str">
        <x:v>Inspection physique</x:v>
      </x:c>
      <x:c r="G469" s="115" t="str">
        <x:v>1 niveaux ; 34 pièces ; 260 segments de mur ; 0 transitions. Inspection physique ; architecture complète encore ouverte.</x:v>
      </x:c>
      <x:c r="H469" s="115" t="str">
        <x:v>L 390 ; l 328 ; hauteur 12 m ; choix de composition auteur ; dimensions réelles à documenter</x:v>
      </x:c>
      <x:c r="I469" s="115" t="str">
        <x:v>À équilibrer</x:v>
      </x:c>
      <x:c r="J469" s="115" t="str">
        <x:v>Non</x:v>
      </x:c>
      <x:c r="K469" s="115" t="str">
        <x:v>Pièces décrites, murs, portes, niveaux et mobilier inspectables à l’échelle. Volumes réservés, raccord au seed, butin, rencontres et services de campagne restent à terminer.</x:v>
      </x:c>
    </x:row>
    <x:row r="470" ht="96" customHeight="1">
      <x:c r="A470" s="115" t="str">
        <x:v>EXT-MONDE-T010-V15</x:v>
      </x:c>
      <x:c r="B470" s="115" t="str">
        <x:v>EXT-MONDE-T010</x:v>
      </x:c>
      <x:c r="C470" s="115" t="str">
        <x:v>Offshore</x:v>
      </x:c>
      <x:c r="D470" s="115" t="str">
        <x:v>Plateforme semi-submersible</x:v>
      </x:c>
      <x:c r="E470" s="115" t="n">
        <x:v>15</x:v>
      </x:c>
      <x:c r="F470" s="115" t="str">
        <x:v>Inspection physique</x:v>
      </x:c>
      <x:c r="G470" s="115" t="str">
        <x:v>1 niveaux ; 34 pièces ; 260 segments de mur ; 0 transitions. Inspection physique ; architecture complète encore ouverte.</x:v>
      </x:c>
      <x:c r="H470" s="115" t="str">
        <x:v>L 390 ; l 328 ; hauteur 12 m ; choix de composition auteur ; dimensions réelles à documenter</x:v>
      </x:c>
      <x:c r="I470" s="115" t="str">
        <x:v>À équilibrer</x:v>
      </x:c>
      <x:c r="J470" s="115" t="str">
        <x:v>Non</x:v>
      </x:c>
      <x:c r="K470" s="115" t="str">
        <x:v>Pièces décrites, murs, portes, niveaux et mobilier inspectables à l’échelle. Volumes réservés, raccord au seed, butin, rencontres et services de campagne restent à terminer.</x:v>
      </x:c>
    </x:row>
    <x:row r="471" ht="96" customHeight="1">
      <x:c r="A471" s="115" t="str">
        <x:v>EXT-MONDE-T010-V16</x:v>
      </x:c>
      <x:c r="B471" s="115" t="str">
        <x:v>EXT-MONDE-T010</x:v>
      </x:c>
      <x:c r="C471" s="115" t="str">
        <x:v>Offshore</x:v>
      </x:c>
      <x:c r="D471" s="115" t="str">
        <x:v>Plateforme semi-submersible</x:v>
      </x:c>
      <x:c r="E471" s="115" t="n">
        <x:v>16</x:v>
      </x:c>
      <x:c r="F471" s="115" t="str">
        <x:v>Inspection physique</x:v>
      </x:c>
      <x:c r="G471" s="115" t="str">
        <x:v>1 niveaux ; 34 pièces ; 260 segments de mur ; 0 transitions. Inspection physique ; architecture complète encore ouverte.</x:v>
      </x:c>
      <x:c r="H471" s="115" t="str">
        <x:v>L 390 ; l 328 ; hauteur 12 m ; choix de composition auteur ; dimensions réelles à documenter</x:v>
      </x:c>
      <x:c r="I471" s="115" t="str">
        <x:v>À équilibrer</x:v>
      </x:c>
      <x:c r="J471" s="115" t="str">
        <x:v>Non</x:v>
      </x:c>
      <x:c r="K471" s="115" t="str">
        <x:v>Pièces décrites, murs, portes, niveaux et mobilier inspectables à l’échelle. Volumes réservés, raccord au seed, butin, rencontres et services de campagne restent à terminer.</x:v>
      </x:c>
    </x:row>
    <x:row r="472" ht="96" customHeight="1">
      <x:c r="A472" s="115" t="str">
        <x:v>EXT-MONDE-T010-V17</x:v>
      </x:c>
      <x:c r="B472" s="115" t="str">
        <x:v>EXT-MONDE-T010</x:v>
      </x:c>
      <x:c r="C472" s="115" t="str">
        <x:v>Offshore</x:v>
      </x:c>
      <x:c r="D472" s="115" t="str">
        <x:v>Plateforme semi-submersible</x:v>
      </x:c>
      <x:c r="E472" s="115" t="n">
        <x:v>17</x:v>
      </x:c>
      <x:c r="F472" s="115" t="str">
        <x:v>Inspection physique</x:v>
      </x:c>
      <x:c r="G472" s="115" t="str">
        <x:v>1 niveaux ; 34 pièces ; 260 segments de mur ; 0 transitions. Inspection physique ; architecture complète encore ouverte.</x:v>
      </x:c>
      <x:c r="H472" s="115" t="str">
        <x:v>L 390 ; l 328 ; hauteur 12 m ; choix de composition auteur ; dimensions réelles à documenter</x:v>
      </x:c>
      <x:c r="I472" s="115" t="str">
        <x:v>À équilibrer</x:v>
      </x:c>
      <x:c r="J472" s="115" t="str">
        <x:v>Non</x:v>
      </x:c>
      <x:c r="K472" s="115" t="str">
        <x:v>Pièces décrites, murs, portes, niveaux et mobilier inspectables à l’échelle. Volumes réservés, raccord au seed, butin, rencontres et services de campagne restent à terminer.</x:v>
      </x:c>
    </x:row>
    <x:row r="473" ht="96" customHeight="1">
      <x:c r="A473" s="115" t="str">
        <x:v>EXT-MONDE-T010-V18</x:v>
      </x:c>
      <x:c r="B473" s="115" t="str">
        <x:v>EXT-MONDE-T010</x:v>
      </x:c>
      <x:c r="C473" s="115" t="str">
        <x:v>Offshore</x:v>
      </x:c>
      <x:c r="D473" s="115" t="str">
        <x:v>Plateforme semi-submersible</x:v>
      </x:c>
      <x:c r="E473" s="115" t="n">
        <x:v>18</x:v>
      </x:c>
      <x:c r="F473" s="115" t="str">
        <x:v>Inspection physique</x:v>
      </x:c>
      <x:c r="G473" s="115" t="str">
        <x:v>1 niveaux ; 34 pièces ; 260 segments de mur ; 0 transitions. Inspection physique ; architecture complète encore ouverte.</x:v>
      </x:c>
      <x:c r="H473" s="115" t="str">
        <x:v>L 390 ; l 328 ; hauteur 12 m ; choix de composition auteur ; dimensions réelles à documenter</x:v>
      </x:c>
      <x:c r="I473" s="115" t="str">
        <x:v>À équilibrer</x:v>
      </x:c>
      <x:c r="J473" s="115" t="str">
        <x:v>Non</x:v>
      </x:c>
      <x:c r="K473" s="115" t="str">
        <x:v>Pièces décrites, murs, portes, niveaux et mobilier inspectables à l’échelle. Volumes réservés, raccord au seed, butin, rencontres et services de campagne restent à terminer.</x:v>
      </x:c>
    </x:row>
    <x:row r="474" ht="96" customHeight="1">
      <x:c r="A474" s="115" t="str">
        <x:v>EXT-MONDE-T010-V19</x:v>
      </x:c>
      <x:c r="B474" s="115" t="str">
        <x:v>EXT-MONDE-T010</x:v>
      </x:c>
      <x:c r="C474" s="115" t="str">
        <x:v>Offshore</x:v>
      </x:c>
      <x:c r="D474" s="115" t="str">
        <x:v>Plateforme semi-submersible</x:v>
      </x:c>
      <x:c r="E474" s="115" t="n">
        <x:v>19</x:v>
      </x:c>
      <x:c r="F474" s="115" t="str">
        <x:v>Inspection physique</x:v>
      </x:c>
      <x:c r="G474" s="115" t="str">
        <x:v>1 niveaux ; 34 pièces ; 260 segments de mur ; 0 transitions. Inspection physique ; architecture complète encore ouverte.</x:v>
      </x:c>
      <x:c r="H474" s="115" t="str">
        <x:v>L 390 ; l 328 ; hauteur 12 m ; choix de composition auteur ; dimensions réelles à documenter</x:v>
      </x:c>
      <x:c r="I474" s="115" t="str">
        <x:v>À équilibrer</x:v>
      </x:c>
      <x:c r="J474" s="115" t="str">
        <x:v>Non</x:v>
      </x:c>
      <x:c r="K474" s="115" t="str">
        <x:v>Pièces décrites, murs, portes, niveaux et mobilier inspectables à l’échelle. Volumes réservés, raccord au seed, butin, rencontres et services de campagne restent à terminer.</x:v>
      </x:c>
    </x:row>
    <x:row r="475" ht="96" customHeight="1">
      <x:c r="A475" s="115" t="str">
        <x:v>EXT-MONDE-T010-V20</x:v>
      </x:c>
      <x:c r="B475" s="115" t="str">
        <x:v>EXT-MONDE-T010</x:v>
      </x:c>
      <x:c r="C475" s="115" t="str">
        <x:v>Offshore</x:v>
      </x:c>
      <x:c r="D475" s="115" t="str">
        <x:v>Plateforme semi-submersible</x:v>
      </x:c>
      <x:c r="E475" s="115" t="n">
        <x:v>20</x:v>
      </x:c>
      <x:c r="F475" s="115" t="str">
        <x:v>Inspection physique</x:v>
      </x:c>
      <x:c r="G475" s="115" t="str">
        <x:v>1 niveaux ; 34 pièces ; 260 segments de mur ; 0 transitions. Inspection physique ; architecture complète encore ouverte.</x:v>
      </x:c>
      <x:c r="H475" s="115" t="str">
        <x:v>L 390 ; l 328 ; hauteur 12 m ; choix de composition auteur ; dimensions réelles à documenter</x:v>
      </x:c>
      <x:c r="I475" s="115" t="str">
        <x:v>À équilibrer</x:v>
      </x:c>
      <x:c r="J475" s="115" t="str">
        <x:v>Non</x:v>
      </x:c>
      <x:c r="K475" s="115" t="str">
        <x:v>Pièces décrites, murs, portes, niveaux et mobilier inspectables à l’échelle. Volumes réservés, raccord au seed, butin, rencontres et services de campagne restent à terminer.</x:v>
      </x:c>
    </x:row>
    <x:row r="476" ht="96" customHeight="1">
      <x:c r="A476" s="115" t="str">
        <x:v>EXT-MONDE-T010-V21</x:v>
      </x:c>
      <x:c r="B476" s="115" t="str">
        <x:v>EXT-MONDE-T010</x:v>
      </x:c>
      <x:c r="C476" s="115" t="str">
        <x:v>Offshore</x:v>
      </x:c>
      <x:c r="D476" s="115" t="str">
        <x:v>Plateforme semi-submersible</x:v>
      </x:c>
      <x:c r="E476" s="115" t="n">
        <x:v>21</x:v>
      </x:c>
      <x:c r="F476" s="115" t="str">
        <x:v>Inspection physique</x:v>
      </x:c>
      <x:c r="G476" s="115" t="str">
        <x:v>1 niveaux ; 34 pièces ; 260 segments de mur ; 0 transitions. Inspection physique ; architecture complète encore ouverte.</x:v>
      </x:c>
      <x:c r="H476" s="115" t="str">
        <x:v>L 404 ; l 340 ; hauteur 12 m ; choix de composition auteur ; dimensions réelles à documenter</x:v>
      </x:c>
      <x:c r="I476" s="115" t="str">
        <x:v>À équilibrer</x:v>
      </x:c>
      <x:c r="J476" s="115" t="str">
        <x:v>Non</x:v>
      </x:c>
      <x:c r="K476" s="115" t="str">
        <x:v>Pièces décrites, murs, portes, niveaux et mobilier inspectables à l’échelle. Volumes réservés, raccord au seed, butin, rencontres et services de campagne restent à terminer.</x:v>
      </x:c>
    </x:row>
    <x:row r="477" ht="96" customHeight="1">
      <x:c r="A477" s="115" t="str">
        <x:v>EXT-MONDE-T010-V22</x:v>
      </x:c>
      <x:c r="B477" s="115" t="str">
        <x:v>EXT-MONDE-T010</x:v>
      </x:c>
      <x:c r="C477" s="115" t="str">
        <x:v>Offshore</x:v>
      </x:c>
      <x:c r="D477" s="115" t="str">
        <x:v>Plateforme semi-submersible</x:v>
      </x:c>
      <x:c r="E477" s="115" t="n">
        <x:v>22</x:v>
      </x:c>
      <x:c r="F477" s="115" t="str">
        <x:v>Inspection physique</x:v>
      </x:c>
      <x:c r="G477" s="115" t="str">
        <x:v>1 niveaux ; 34 pièces ; 260 segments de mur ; 0 transitions. Inspection physique ; architecture complète encore ouverte.</x:v>
      </x:c>
      <x:c r="H477" s="115" t="str">
        <x:v>L 404 ; l 340 ; hauteur 12 m ; choix de composition auteur ; dimensions réelles à documenter</x:v>
      </x:c>
      <x:c r="I477" s="115" t="str">
        <x:v>À équilibrer</x:v>
      </x:c>
      <x:c r="J477" s="115" t="str">
        <x:v>Non</x:v>
      </x:c>
      <x:c r="K477" s="115" t="str">
        <x:v>Pièces décrites, murs, portes, niveaux et mobilier inspectables à l’échelle. Volumes réservés, raccord au seed, butin, rencontres et services de campagne restent à terminer.</x:v>
      </x:c>
    </x:row>
    <x:row r="478" ht="96" customHeight="1">
      <x:c r="A478" s="115" t="str">
        <x:v>EXT-MONDE-T010-V23</x:v>
      </x:c>
      <x:c r="B478" s="115" t="str">
        <x:v>EXT-MONDE-T010</x:v>
      </x:c>
      <x:c r="C478" s="115" t="str">
        <x:v>Offshore</x:v>
      </x:c>
      <x:c r="D478" s="115" t="str">
        <x:v>Plateforme semi-submersible</x:v>
      </x:c>
      <x:c r="E478" s="115" t="n">
        <x:v>23</x:v>
      </x:c>
      <x:c r="F478" s="115" t="str">
        <x:v>Inspection physique</x:v>
      </x:c>
      <x:c r="G478" s="115" t="str">
        <x:v>1 niveaux ; 34 pièces ; 260 segments de mur ; 0 transitions. Inspection physique ; architecture complète encore ouverte.</x:v>
      </x:c>
      <x:c r="H478" s="115" t="str">
        <x:v>L 404 ; l 340 ; hauteur 12 m ; choix de composition auteur ; dimensions réelles à documenter</x:v>
      </x:c>
      <x:c r="I478" s="115" t="str">
        <x:v>À équilibrer</x:v>
      </x:c>
      <x:c r="J478" s="115" t="str">
        <x:v>Non</x:v>
      </x:c>
      <x:c r="K478" s="115" t="str">
        <x:v>Pièces décrites, murs, portes, niveaux et mobilier inspectables à l’échelle. Volumes réservés, raccord au seed, butin, rencontres et services de campagne restent à terminer.</x:v>
      </x:c>
    </x:row>
    <x:row r="479" ht="96" customHeight="1">
      <x:c r="A479" s="115" t="str">
        <x:v>EXT-MONDE-T010-V24</x:v>
      </x:c>
      <x:c r="B479" s="115" t="str">
        <x:v>EXT-MONDE-T010</x:v>
      </x:c>
      <x:c r="C479" s="115" t="str">
        <x:v>Offshore</x:v>
      </x:c>
      <x:c r="D479" s="115" t="str">
        <x:v>Plateforme semi-submersible</x:v>
      </x:c>
      <x:c r="E479" s="115" t="n">
        <x:v>24</x:v>
      </x:c>
      <x:c r="F479" s="115" t="str">
        <x:v>Inspection physique</x:v>
      </x:c>
      <x:c r="G479" s="115" t="str">
        <x:v>1 niveaux ; 34 pièces ; 260 segments de mur ; 0 transitions. Inspection physique ; architecture complète encore ouverte.</x:v>
      </x:c>
      <x:c r="H479" s="115" t="str">
        <x:v>L 404 ; l 340 ; hauteur 12 m ; choix de composition auteur ; dimensions réelles à documenter</x:v>
      </x:c>
      <x:c r="I479" s="115" t="str">
        <x:v>À équilibrer</x:v>
      </x:c>
      <x:c r="J479" s="115" t="str">
        <x:v>Non</x:v>
      </x:c>
      <x:c r="K479" s="115" t="str">
        <x:v>Pièces décrites, murs, portes, niveaux et mobilier inspectables à l’échelle. Volumes réservés, raccord au seed, butin, rencontres et services de campagne restent à terminer.</x:v>
      </x:c>
    </x:row>
    <x:row r="480" ht="96" customHeight="1">
      <x:c r="A480" s="115" t="str">
        <x:v>EXT-MONDE-T010-V25</x:v>
      </x:c>
      <x:c r="B480" s="115" t="str">
        <x:v>EXT-MONDE-T010</x:v>
      </x:c>
      <x:c r="C480" s="115" t="str">
        <x:v>Offshore</x:v>
      </x:c>
      <x:c r="D480" s="115" t="str">
        <x:v>Plateforme semi-submersible</x:v>
      </x:c>
      <x:c r="E480" s="115" t="n">
        <x:v>25</x:v>
      </x:c>
      <x:c r="F480" s="115" t="str">
        <x:v>Inspection physique</x:v>
      </x:c>
      <x:c r="G480" s="115" t="str">
        <x:v>1 niveaux ; 34 pièces ; 260 segments de mur ; 0 transitions. Inspection physique ; architecture complète encore ouverte.</x:v>
      </x:c>
      <x:c r="H480" s="115" t="str">
        <x:v>L 404 ; l 340 ; hauteur 12 m ; choix de composition auteur ; dimensions réelles à documenter</x:v>
      </x:c>
      <x:c r="I480" s="115" t="str">
        <x:v>À équilibrer</x:v>
      </x:c>
      <x:c r="J480" s="115" t="str">
        <x:v>Non</x:v>
      </x:c>
      <x:c r="K480" s="115" t="str">
        <x:v>Pièces décrites, murs, portes, niveaux et mobilier inspectables à l’échelle. Volumes réservés, raccord au seed, butin, rencontres et services de campagne restent à terminer.</x:v>
      </x:c>
    </x:row>
    <x:row r="481" ht="96" customHeight="1">
      <x:c r="A481" s="115" t="str">
        <x:v>EXT-MONDE-T010-V26</x:v>
      </x:c>
      <x:c r="B481" s="115" t="str">
        <x:v>EXT-MONDE-T010</x:v>
      </x:c>
      <x:c r="C481" s="115" t="str">
        <x:v>Offshore</x:v>
      </x:c>
      <x:c r="D481" s="115" t="str">
        <x:v>Plateforme semi-submersible</x:v>
      </x:c>
      <x:c r="E481" s="115" t="n">
        <x:v>26</x:v>
      </x:c>
      <x:c r="F481" s="115" t="str">
        <x:v>Inspection physique</x:v>
      </x:c>
      <x:c r="G481" s="115" t="str">
        <x:v>1 niveaux ; 34 pièces ; 260 segments de mur ; 0 transitions. Inspection physique ; architecture complète encore ouverte.</x:v>
      </x:c>
      <x:c r="H481" s="115" t="str">
        <x:v>L 404 ; l 340 ; hauteur 12 m ; choix de composition auteur ; dimensions réelles à documenter</x:v>
      </x:c>
      <x:c r="I481" s="115" t="str">
        <x:v>À équilibrer</x:v>
      </x:c>
      <x:c r="J481" s="115" t="str">
        <x:v>Non</x:v>
      </x:c>
      <x:c r="K481" s="115" t="str">
        <x:v>Pièces décrites, murs, portes, niveaux et mobilier inspectables à l’échelle. Volumes réservés, raccord au seed, butin, rencontres et services de campagne restent à terminer.</x:v>
      </x:c>
    </x:row>
    <x:row r="482" ht="96" customHeight="1">
      <x:c r="A482" s="115" t="str">
        <x:v>EXT-MONDE-T010-V27</x:v>
      </x:c>
      <x:c r="B482" s="115" t="str">
        <x:v>EXT-MONDE-T010</x:v>
      </x:c>
      <x:c r="C482" s="115" t="str">
        <x:v>Offshore</x:v>
      </x:c>
      <x:c r="D482" s="115" t="str">
        <x:v>Plateforme semi-submersible</x:v>
      </x:c>
      <x:c r="E482" s="115" t="n">
        <x:v>27</x:v>
      </x:c>
      <x:c r="F482" s="115" t="str">
        <x:v>Inspection physique</x:v>
      </x:c>
      <x:c r="G482" s="115" t="str">
        <x:v>1 niveaux ; 34 pièces ; 260 segments de mur ; 0 transitions. Inspection physique ; architecture complète encore ouverte.</x:v>
      </x:c>
      <x:c r="H482" s="115" t="str">
        <x:v>L 404 ; l 340 ; hauteur 12 m ; choix de composition auteur ; dimensions réelles à documenter</x:v>
      </x:c>
      <x:c r="I482" s="115" t="str">
        <x:v>À équilibrer</x:v>
      </x:c>
      <x:c r="J482" s="115" t="str">
        <x:v>Non</x:v>
      </x:c>
      <x:c r="K482" s="115" t="str">
        <x:v>Pièces décrites, murs, portes, niveaux et mobilier inspectables à l’échelle. Volumes réservés, raccord au seed, butin, rencontres et services de campagne restent à terminer.</x:v>
      </x:c>
    </x:row>
    <x:row r="483" ht="96" customHeight="1">
      <x:c r="A483" s="115" t="str">
        <x:v>EXT-MONDE-T010-V28</x:v>
      </x:c>
      <x:c r="B483" s="115" t="str">
        <x:v>EXT-MONDE-T010</x:v>
      </x:c>
      <x:c r="C483" s="115" t="str">
        <x:v>Offshore</x:v>
      </x:c>
      <x:c r="D483" s="115" t="str">
        <x:v>Plateforme semi-submersible</x:v>
      </x:c>
      <x:c r="E483" s="115" t="n">
        <x:v>28</x:v>
      </x:c>
      <x:c r="F483" s="115" t="str">
        <x:v>Inspection physique</x:v>
      </x:c>
      <x:c r="G483" s="115" t="str">
        <x:v>1 niveaux ; 34 pièces ; 260 segments de mur ; 0 transitions. Inspection physique ; architecture complète encore ouverte.</x:v>
      </x:c>
      <x:c r="H483" s="115" t="str">
        <x:v>L 404 ; l 340 ; hauteur 12 m ; choix de composition auteur ; dimensions réelles à documenter</x:v>
      </x:c>
      <x:c r="I483" s="115" t="str">
        <x:v>À équilibrer</x:v>
      </x:c>
      <x:c r="J483" s="115" t="str">
        <x:v>Non</x:v>
      </x:c>
      <x:c r="K483" s="115" t="str">
        <x:v>Pièces décrites, murs, portes, niveaux et mobilier inspectables à l’échelle. Volumes réservés, raccord au seed, butin, rencontres et services de campagne restent à terminer.</x:v>
      </x:c>
    </x:row>
    <x:row r="484" ht="96" customHeight="1">
      <x:c r="A484" s="115" t="str">
        <x:v>EXT-MONDE-T010-V29</x:v>
      </x:c>
      <x:c r="B484" s="115" t="str">
        <x:v>EXT-MONDE-T010</x:v>
      </x:c>
      <x:c r="C484" s="115" t="str">
        <x:v>Offshore</x:v>
      </x:c>
      <x:c r="D484" s="115" t="str">
        <x:v>Plateforme semi-submersible</x:v>
      </x:c>
      <x:c r="E484" s="115" t="n">
        <x:v>29</x:v>
      </x:c>
      <x:c r="F484" s="115" t="str">
        <x:v>Inspection physique</x:v>
      </x:c>
      <x:c r="G484" s="115" t="str">
        <x:v>1 niveaux ; 34 pièces ; 260 segments de mur ; 0 transitions. Inspection physique ; architecture complète encore ouverte.</x:v>
      </x:c>
      <x:c r="H484" s="115" t="str">
        <x:v>L 404 ; l 340 ; hauteur 12 m ; choix de composition auteur ; dimensions réelles à documenter</x:v>
      </x:c>
      <x:c r="I484" s="115" t="str">
        <x:v>À équilibrer</x:v>
      </x:c>
      <x:c r="J484" s="115" t="str">
        <x:v>Non</x:v>
      </x:c>
      <x:c r="K484" s="115" t="str">
        <x:v>Pièces décrites, murs, portes, niveaux et mobilier inspectables à l’échelle. Volumes réservés, raccord au seed, butin, rencontres et services de campagne restent à terminer.</x:v>
      </x:c>
    </x:row>
    <x:row r="485" ht="96" customHeight="1">
      <x:c r="A485" s="115" t="str">
        <x:v>EXT-MONDE-T010-V30</x:v>
      </x:c>
      <x:c r="B485" s="115" t="str">
        <x:v>EXT-MONDE-T010</x:v>
      </x:c>
      <x:c r="C485" s="115" t="str">
        <x:v>Offshore</x:v>
      </x:c>
      <x:c r="D485" s="115" t="str">
        <x:v>Plateforme semi-submersible</x:v>
      </x:c>
      <x:c r="E485" s="115" t="n">
        <x:v>30</x:v>
      </x:c>
      <x:c r="F485" s="115" t="str">
        <x:v>Inspection physique</x:v>
      </x:c>
      <x:c r="G485" s="115" t="str">
        <x:v>1 niveaux ; 34 pièces ; 260 segments de mur ; 0 transitions. Inspection physique ; architecture complète encore ouverte.</x:v>
      </x:c>
      <x:c r="H485" s="115" t="str">
        <x:v>L 404 ; l 340 ; hauteur 12 m ; choix de composition auteur ; dimensions réelles à documenter</x:v>
      </x:c>
      <x:c r="I485" s="115" t="str">
        <x:v>À équilibrer</x:v>
      </x:c>
      <x:c r="J485" s="115" t="str">
        <x:v>Non</x:v>
      </x:c>
      <x:c r="K485" s="115" t="str">
        <x:v>Pièces décrites, murs, portes, niveaux et mobilier inspectables à l’échelle. Volumes réservés, raccord au seed, butin, rencontres et services de campagne restent à terminer.</x:v>
      </x:c>
    </x:row>
    <x:row r="486" ht="96" customHeight="1">
      <x:c r="A486" s="115" t="str">
        <x:v>EXT-MONDE-T010-V31</x:v>
      </x:c>
      <x:c r="B486" s="115" t="str">
        <x:v>EXT-MONDE-T010</x:v>
      </x:c>
      <x:c r="C486" s="115" t="str">
        <x:v>Offshore</x:v>
      </x:c>
      <x:c r="D486" s="115" t="str">
        <x:v>Plateforme semi-submersible</x:v>
      </x:c>
      <x:c r="E486" s="115" t="n">
        <x:v>31</x:v>
      </x:c>
      <x:c r="F486" s="115" t="str">
        <x:v>Inspection physique</x:v>
      </x:c>
      <x:c r="G486" s="115" t="str">
        <x:v>1 niveaux ; 34 pièces ; 260 segments de mur ; 0 transitions. Inspection physique ; architecture complète encore ouverte.</x:v>
      </x:c>
      <x:c r="H486" s="115" t="str">
        <x:v>L 418 ; l 352 ; hauteur 12 m ; choix de composition auteur ; dimensions réelles à documenter</x:v>
      </x:c>
      <x:c r="I486" s="115" t="str">
        <x:v>À équilibrer</x:v>
      </x:c>
      <x:c r="J486" s="115" t="str">
        <x:v>Non</x:v>
      </x:c>
      <x:c r="K486" s="115" t="str">
        <x:v>Pièces décrites, murs, portes, niveaux et mobilier inspectables à l’échelle. Volumes réservés, raccord au seed, butin, rencontres et services de campagne restent à terminer.</x:v>
      </x:c>
    </x:row>
    <x:row r="487" ht="96" customHeight="1">
      <x:c r="A487" s="115" t="str">
        <x:v>EXT-MONDE-T010-V32</x:v>
      </x:c>
      <x:c r="B487" s="115" t="str">
        <x:v>EXT-MONDE-T010</x:v>
      </x:c>
      <x:c r="C487" s="115" t="str">
        <x:v>Offshore</x:v>
      </x:c>
      <x:c r="D487" s="115" t="str">
        <x:v>Plateforme semi-submersible</x:v>
      </x:c>
      <x:c r="E487" s="115" t="n">
        <x:v>32</x:v>
      </x:c>
      <x:c r="F487" s="115" t="str">
        <x:v>Inspection physique</x:v>
      </x:c>
      <x:c r="G487" s="115" t="str">
        <x:v>1 niveaux ; 34 pièces ; 260 segments de mur ; 0 transitions. Inspection physique ; architecture complète encore ouverte.</x:v>
      </x:c>
      <x:c r="H487" s="115" t="str">
        <x:v>L 418 ; l 352 ; hauteur 12 m ; choix de composition auteur ; dimensions réelles à documenter</x:v>
      </x:c>
      <x:c r="I487" s="115" t="str">
        <x:v>À équilibrer</x:v>
      </x:c>
      <x:c r="J487" s="115" t="str">
        <x:v>Non</x:v>
      </x:c>
      <x:c r="K487" s="115" t="str">
        <x:v>Pièces décrites, murs, portes, niveaux et mobilier inspectables à l’échelle. Volumes réservés, raccord au seed, butin, rencontres et services de campagne restent à terminer.</x:v>
      </x:c>
    </x:row>
    <x:row r="488" ht="96" customHeight="1">
      <x:c r="A488" s="115" t="str">
        <x:v>EXT-MONDE-T010-V33</x:v>
      </x:c>
      <x:c r="B488" s="115" t="str">
        <x:v>EXT-MONDE-T010</x:v>
      </x:c>
      <x:c r="C488" s="115" t="str">
        <x:v>Offshore</x:v>
      </x:c>
      <x:c r="D488" s="115" t="str">
        <x:v>Plateforme semi-submersible</x:v>
      </x:c>
      <x:c r="E488" s="115" t="n">
        <x:v>33</x:v>
      </x:c>
      <x:c r="F488" s="115" t="str">
        <x:v>Inspection physique</x:v>
      </x:c>
      <x:c r="G488" s="115" t="str">
        <x:v>1 niveaux ; 34 pièces ; 260 segments de mur ; 0 transitions. Inspection physique ; architecture complète encore ouverte.</x:v>
      </x:c>
      <x:c r="H488" s="115" t="str">
        <x:v>L 418 ; l 352 ; hauteur 12 m ; choix de composition auteur ; dimensions réelles à documenter</x:v>
      </x:c>
      <x:c r="I488" s="115" t="str">
        <x:v>À équilibrer</x:v>
      </x:c>
      <x:c r="J488" s="115" t="str">
        <x:v>Non</x:v>
      </x:c>
      <x:c r="K488" s="115" t="str">
        <x:v>Pièces décrites, murs, portes, niveaux et mobilier inspectables à l’échelle. Volumes réservés, raccord au seed, butin, rencontres et services de campagne restent à terminer.</x:v>
      </x:c>
    </x:row>
    <x:row r="489" ht="96" customHeight="1">
      <x:c r="A489" s="115" t="str">
        <x:v>EXT-MONDE-T010-V34</x:v>
      </x:c>
      <x:c r="B489" s="115" t="str">
        <x:v>EXT-MONDE-T010</x:v>
      </x:c>
      <x:c r="C489" s="115" t="str">
        <x:v>Offshore</x:v>
      </x:c>
      <x:c r="D489" s="115" t="str">
        <x:v>Plateforme semi-submersible</x:v>
      </x:c>
      <x:c r="E489" s="115" t="n">
        <x:v>34</x:v>
      </x:c>
      <x:c r="F489" s="115" t="str">
        <x:v>Inspection physique</x:v>
      </x:c>
      <x:c r="G489" s="115" t="str">
        <x:v>1 niveaux ; 34 pièces ; 260 segments de mur ; 0 transitions. Inspection physique ; architecture complète encore ouverte.</x:v>
      </x:c>
      <x:c r="H489" s="115" t="str">
        <x:v>L 418 ; l 352 ; hauteur 12 m ; choix de composition auteur ; dimensions réelles à documenter</x:v>
      </x:c>
      <x:c r="I489" s="115" t="str">
        <x:v>À équilibrer</x:v>
      </x:c>
      <x:c r="J489" s="115" t="str">
        <x:v>Non</x:v>
      </x:c>
      <x:c r="K489" s="115" t="str">
        <x:v>Pièces décrites, murs, portes, niveaux et mobilier inspectables à l’échelle. Volumes réservés, raccord au seed, butin, rencontres et services de campagne restent à terminer.</x:v>
      </x:c>
    </x:row>
    <x:row r="490" ht="96" customHeight="1">
      <x:c r="A490" s="115" t="str">
        <x:v>EXT-MONDE-T010-V35</x:v>
      </x:c>
      <x:c r="B490" s="115" t="str">
        <x:v>EXT-MONDE-T010</x:v>
      </x:c>
      <x:c r="C490" s="115" t="str">
        <x:v>Offshore</x:v>
      </x:c>
      <x:c r="D490" s="115" t="str">
        <x:v>Plateforme semi-submersible</x:v>
      </x:c>
      <x:c r="E490" s="115" t="n">
        <x:v>35</x:v>
      </x:c>
      <x:c r="F490" s="115" t="str">
        <x:v>Inspection physique</x:v>
      </x:c>
      <x:c r="G490" s="115" t="str">
        <x:v>1 niveaux ; 34 pièces ; 260 segments de mur ; 0 transitions. Inspection physique ; architecture complète encore ouverte.</x:v>
      </x:c>
      <x:c r="H490" s="115" t="str">
        <x:v>L 418 ; l 352 ; hauteur 12 m ; choix de composition auteur ; dimensions réelles à documenter</x:v>
      </x:c>
      <x:c r="I490" s="115" t="str">
        <x:v>À équilibrer</x:v>
      </x:c>
      <x:c r="J490" s="115" t="str">
        <x:v>Non</x:v>
      </x:c>
      <x:c r="K490" s="115" t="str">
        <x:v>Pièces décrites, murs, portes, niveaux et mobilier inspectables à l’échelle. Volumes réservés, raccord au seed, butin, rencontres et services de campagne restent à terminer.</x:v>
      </x:c>
    </x:row>
    <x:row r="491" ht="96" customHeight="1">
      <x:c r="A491" s="115" t="str">
        <x:v>EXT-MONDE-T010-V36</x:v>
      </x:c>
      <x:c r="B491" s="115" t="str">
        <x:v>EXT-MONDE-T010</x:v>
      </x:c>
      <x:c r="C491" s="115" t="str">
        <x:v>Offshore</x:v>
      </x:c>
      <x:c r="D491" s="115" t="str">
        <x:v>Plateforme semi-submersible</x:v>
      </x:c>
      <x:c r="E491" s="115" t="n">
        <x:v>36</x:v>
      </x:c>
      <x:c r="F491" s="115" t="str">
        <x:v>Inspection physique</x:v>
      </x:c>
      <x:c r="G491" s="115" t="str">
        <x:v>1 niveaux ; 34 pièces ; 260 segments de mur ; 0 transitions. Inspection physique ; architecture complète encore ouverte.</x:v>
      </x:c>
      <x:c r="H491" s="115" t="str">
        <x:v>L 418 ; l 352 ; hauteur 12 m ; choix de composition auteur ; dimensions réelles à documenter</x:v>
      </x:c>
      <x:c r="I491" s="115" t="str">
        <x:v>À équilibrer</x:v>
      </x:c>
      <x:c r="J491" s="115" t="str">
        <x:v>Non</x:v>
      </x:c>
      <x:c r="K491" s="115" t="str">
        <x:v>Pièces décrites, murs, portes, niveaux et mobilier inspectables à l’échelle. Volumes réservés, raccord au seed, butin, rencontres et services de campagne restent à terminer.</x:v>
      </x:c>
    </x:row>
    <x:row r="492" ht="96" customHeight="1">
      <x:c r="A492" s="115" t="str">
        <x:v>EXT-MONDE-T010-V37</x:v>
      </x:c>
      <x:c r="B492" s="115" t="str">
        <x:v>EXT-MONDE-T010</x:v>
      </x:c>
      <x:c r="C492" s="115" t="str">
        <x:v>Offshore</x:v>
      </x:c>
      <x:c r="D492" s="115" t="str">
        <x:v>Plateforme semi-submersible</x:v>
      </x:c>
      <x:c r="E492" s="115" t="n">
        <x:v>37</x:v>
      </x:c>
      <x:c r="F492" s="115" t="str">
        <x:v>Inspection physique</x:v>
      </x:c>
      <x:c r="G492" s="115" t="str">
        <x:v>1 niveaux ; 34 pièces ; 260 segments de mur ; 0 transitions. Inspection physique ; architecture complète encore ouverte.</x:v>
      </x:c>
      <x:c r="H492" s="115" t="str">
        <x:v>L 418 ; l 352 ; hauteur 12 m ; choix de composition auteur ; dimensions réelles à documenter</x:v>
      </x:c>
      <x:c r="I492" s="115" t="str">
        <x:v>À équilibrer</x:v>
      </x:c>
      <x:c r="J492" s="115" t="str">
        <x:v>Non</x:v>
      </x:c>
      <x:c r="K492" s="115" t="str">
        <x:v>Pièces décrites, murs, portes, niveaux et mobilier inspectables à l’échelle. Volumes réservés, raccord au seed, butin, rencontres et services de campagne restent à terminer.</x:v>
      </x:c>
    </x:row>
    <x:row r="493" ht="96" customHeight="1">
      <x:c r="A493" s="115" t="str">
        <x:v>EXT-MONDE-T010-V38</x:v>
      </x:c>
      <x:c r="B493" s="115" t="str">
        <x:v>EXT-MONDE-T010</x:v>
      </x:c>
      <x:c r="C493" s="115" t="str">
        <x:v>Offshore</x:v>
      </x:c>
      <x:c r="D493" s="115" t="str">
        <x:v>Plateforme semi-submersible</x:v>
      </x:c>
      <x:c r="E493" s="115" t="n">
        <x:v>38</x:v>
      </x:c>
      <x:c r="F493" s="115" t="str">
        <x:v>Inspection physique</x:v>
      </x:c>
      <x:c r="G493" s="115" t="str">
        <x:v>1 niveaux ; 34 pièces ; 260 segments de mur ; 0 transitions. Inspection physique ; architecture complète encore ouverte.</x:v>
      </x:c>
      <x:c r="H493" s="115" t="str">
        <x:v>L 418 ; l 352 ; hauteur 12 m ; choix de composition auteur ; dimensions réelles à documenter</x:v>
      </x:c>
      <x:c r="I493" s="115" t="str">
        <x:v>À équilibrer</x:v>
      </x:c>
      <x:c r="J493" s="115" t="str">
        <x:v>Non</x:v>
      </x:c>
      <x:c r="K493" s="115" t="str">
        <x:v>Pièces décrites, murs, portes, niveaux et mobilier inspectables à l’échelle. Volumes réservés, raccord au seed, butin, rencontres et services de campagne restent à terminer.</x:v>
      </x:c>
    </x:row>
    <x:row r="494" ht="96" customHeight="1">
      <x:c r="A494" s="115" t="str">
        <x:v>EXT-MONDE-T010-V39</x:v>
      </x:c>
      <x:c r="B494" s="115" t="str">
        <x:v>EXT-MONDE-T010</x:v>
      </x:c>
      <x:c r="C494" s="115" t="str">
        <x:v>Offshore</x:v>
      </x:c>
      <x:c r="D494" s="115" t="str">
        <x:v>Plateforme semi-submersible</x:v>
      </x:c>
      <x:c r="E494" s="115" t="n">
        <x:v>39</x:v>
      </x:c>
      <x:c r="F494" s="115" t="str">
        <x:v>Inspection physique</x:v>
      </x:c>
      <x:c r="G494" s="115" t="str">
        <x:v>1 niveaux ; 34 pièces ; 260 segments de mur ; 0 transitions. Inspection physique ; architecture complète encore ouverte.</x:v>
      </x:c>
      <x:c r="H494" s="115" t="str">
        <x:v>L 418 ; l 352 ; hauteur 12 m ; choix de composition auteur ; dimensions réelles à documenter</x:v>
      </x:c>
      <x:c r="I494" s="115" t="str">
        <x:v>À équilibrer</x:v>
      </x:c>
      <x:c r="J494" s="115" t="str">
        <x:v>Non</x:v>
      </x:c>
      <x:c r="K494" s="115" t="str">
        <x:v>Pièces décrites, murs, portes, niveaux et mobilier inspectables à l’échelle. Volumes réservés, raccord au seed, butin, rencontres et services de campagne restent à terminer.</x:v>
      </x:c>
    </x:row>
    <x:row r="495" ht="96" customHeight="1">
      <x:c r="A495" s="115" t="str">
        <x:v>EXT-MONDE-T010-V40</x:v>
      </x:c>
      <x:c r="B495" s="115" t="str">
        <x:v>EXT-MONDE-T010</x:v>
      </x:c>
      <x:c r="C495" s="115" t="str">
        <x:v>Offshore</x:v>
      </x:c>
      <x:c r="D495" s="115" t="str">
        <x:v>Plateforme semi-submersible</x:v>
      </x:c>
      <x:c r="E495" s="115" t="n">
        <x:v>40</x:v>
      </x:c>
      <x:c r="F495" s="115" t="str">
        <x:v>Inspection physique</x:v>
      </x:c>
      <x:c r="G495" s="115" t="str">
        <x:v>1 niveaux ; 34 pièces ; 260 segments de mur ; 0 transitions. Inspection physique ; architecture complète encore ouverte.</x:v>
      </x:c>
      <x:c r="H495" s="115" t="str">
        <x:v>L 418 ; l 352 ; hauteur 12 m ; choix de composition auteur ; dimensions réelles à documenter</x:v>
      </x:c>
      <x:c r="I495" s="115" t="str">
        <x:v>À équilibrer</x:v>
      </x:c>
      <x:c r="J495" s="115" t="str">
        <x:v>Non</x:v>
      </x:c>
      <x:c r="K495" s="115" t="str">
        <x:v>Pièces décrites, murs, portes, niveaux et mobilier inspectables à l’échelle. Volumes réservés, raccord au seed, butin, rencontres et services de campagne restent à terminer.</x:v>
      </x:c>
    </x:row>
    <x:row r="496" ht="96" customHeight="1">
      <x:c r="A496" s="115" t="str">
        <x:v>EXT-MONDE-T010-V41</x:v>
      </x:c>
      <x:c r="B496" s="115" t="str">
        <x:v>EXT-MONDE-T010</x:v>
      </x:c>
      <x:c r="C496" s="115" t="str">
        <x:v>Offshore</x:v>
      </x:c>
      <x:c r="D496" s="115" t="str">
        <x:v>Plateforme semi-submersible</x:v>
      </x:c>
      <x:c r="E496" s="115" t="n">
        <x:v>41</x:v>
      </x:c>
      <x:c r="F496" s="115" t="str">
        <x:v>Inspection physique</x:v>
      </x:c>
      <x:c r="G496" s="115" t="str">
        <x:v>1 niveaux ; 34 pièces ; 260 segments de mur ; 0 transitions. Inspection physique ; architecture complète encore ouverte.</x:v>
      </x:c>
      <x:c r="H496" s="115" t="str">
        <x:v>L 432 ; l 364 ; hauteur 12 m ; choix de composition auteur ; dimensions réelles à documenter</x:v>
      </x:c>
      <x:c r="I496" s="115" t="str">
        <x:v>À équilibrer</x:v>
      </x:c>
      <x:c r="J496" s="115" t="str">
        <x:v>Non</x:v>
      </x:c>
      <x:c r="K496" s="115" t="str">
        <x:v>Pièces décrites, murs, portes, niveaux et mobilier inspectables à l’échelle. Volumes réservés, raccord au seed, butin, rencontres et services de campagne restent à terminer.</x:v>
      </x:c>
    </x:row>
    <x:row r="497" ht="96" customHeight="1">
      <x:c r="A497" s="115" t="str">
        <x:v>EXT-MONDE-T010-V42</x:v>
      </x:c>
      <x:c r="B497" s="115" t="str">
        <x:v>EXT-MONDE-T010</x:v>
      </x:c>
      <x:c r="C497" s="115" t="str">
        <x:v>Offshore</x:v>
      </x:c>
      <x:c r="D497" s="115" t="str">
        <x:v>Plateforme semi-submersible</x:v>
      </x:c>
      <x:c r="E497" s="115" t="n">
        <x:v>42</x:v>
      </x:c>
      <x:c r="F497" s="115" t="str">
        <x:v>Inspection physique</x:v>
      </x:c>
      <x:c r="G497" s="115" t="str">
        <x:v>1 niveaux ; 34 pièces ; 260 segments de mur ; 0 transitions. Inspection physique ; architecture complète encore ouverte.</x:v>
      </x:c>
      <x:c r="H497" s="115" t="str">
        <x:v>L 432 ; l 364 ; hauteur 12 m ; choix de composition auteur ; dimensions réelles à documenter</x:v>
      </x:c>
      <x:c r="I497" s="115" t="str">
        <x:v>À équilibrer</x:v>
      </x:c>
      <x:c r="J497" s="115" t="str">
        <x:v>Non</x:v>
      </x:c>
      <x:c r="K497" s="115" t="str">
        <x:v>Pièces décrites, murs, portes, niveaux et mobilier inspectables à l’échelle. Volumes réservés, raccord au seed, butin, rencontres et services de campagne restent à terminer.</x:v>
      </x:c>
    </x:row>
    <x:row r="498" ht="96" customHeight="1">
      <x:c r="A498" s="115" t="str">
        <x:v>EXT-MONDE-T010-V43</x:v>
      </x:c>
      <x:c r="B498" s="115" t="str">
        <x:v>EXT-MONDE-T010</x:v>
      </x:c>
      <x:c r="C498" s="115" t="str">
        <x:v>Offshore</x:v>
      </x:c>
      <x:c r="D498" s="115" t="str">
        <x:v>Plateforme semi-submersible</x:v>
      </x:c>
      <x:c r="E498" s="115" t="n">
        <x:v>43</x:v>
      </x:c>
      <x:c r="F498" s="115" t="str">
        <x:v>Inspection physique</x:v>
      </x:c>
      <x:c r="G498" s="115" t="str">
        <x:v>1 niveaux ; 34 pièces ; 260 segments de mur ; 0 transitions. Inspection physique ; architecture complète encore ouverte.</x:v>
      </x:c>
      <x:c r="H498" s="115" t="str">
        <x:v>L 432 ; l 364 ; hauteur 12 m ; choix de composition auteur ; dimensions réelles à documenter</x:v>
      </x:c>
      <x:c r="I498" s="115" t="str">
        <x:v>À équilibrer</x:v>
      </x:c>
      <x:c r="J498" s="115" t="str">
        <x:v>Non</x:v>
      </x:c>
      <x:c r="K498" s="115" t="str">
        <x:v>Pièces décrites, murs, portes, niveaux et mobilier inspectables à l’échelle. Volumes réservés, raccord au seed, butin, rencontres et services de campagne restent à terminer.</x:v>
      </x:c>
    </x:row>
    <x:row r="499" ht="96" customHeight="1">
      <x:c r="A499" s="115" t="str">
        <x:v>EXT-MONDE-T010-V44</x:v>
      </x:c>
      <x:c r="B499" s="115" t="str">
        <x:v>EXT-MONDE-T010</x:v>
      </x:c>
      <x:c r="C499" s="115" t="str">
        <x:v>Offshore</x:v>
      </x:c>
      <x:c r="D499" s="115" t="str">
        <x:v>Plateforme semi-submersible</x:v>
      </x:c>
      <x:c r="E499" s="115" t="n">
        <x:v>44</x:v>
      </x:c>
      <x:c r="F499" s="115" t="str">
        <x:v>Inspection physique</x:v>
      </x:c>
      <x:c r="G499" s="115" t="str">
        <x:v>1 niveaux ; 34 pièces ; 260 segments de mur ; 0 transitions. Inspection physique ; architecture complète encore ouverte.</x:v>
      </x:c>
      <x:c r="H499" s="115" t="str">
        <x:v>L 432 ; l 364 ; hauteur 12 m ; choix de composition auteur ; dimensions réelles à documenter</x:v>
      </x:c>
      <x:c r="I499" s="115" t="str">
        <x:v>À équilibrer</x:v>
      </x:c>
      <x:c r="J499" s="115" t="str">
        <x:v>Non</x:v>
      </x:c>
      <x:c r="K499" s="115" t="str">
        <x:v>Pièces décrites, murs, portes, niveaux et mobilier inspectables à l’échelle. Volumes réservés, raccord au seed, butin, rencontres et services de campagne restent à terminer.</x:v>
      </x:c>
    </x:row>
    <x:row r="500" ht="96" customHeight="1">
      <x:c r="A500" s="115" t="str">
        <x:v>EXT-MONDE-T010-V45</x:v>
      </x:c>
      <x:c r="B500" s="115" t="str">
        <x:v>EXT-MONDE-T010</x:v>
      </x:c>
      <x:c r="C500" s="115" t="str">
        <x:v>Offshore</x:v>
      </x:c>
      <x:c r="D500" s="115" t="str">
        <x:v>Plateforme semi-submersible</x:v>
      </x:c>
      <x:c r="E500" s="115" t="n">
        <x:v>45</x:v>
      </x:c>
      <x:c r="F500" s="115" t="str">
        <x:v>Inspection physique</x:v>
      </x:c>
      <x:c r="G500" s="115" t="str">
        <x:v>1 niveaux ; 34 pièces ; 260 segments de mur ; 0 transitions. Inspection physique ; architecture complète encore ouverte.</x:v>
      </x:c>
      <x:c r="H500" s="115" t="str">
        <x:v>L 432 ; l 364 ; hauteur 12 m ; choix de composition auteur ; dimensions réelles à documenter</x:v>
      </x:c>
      <x:c r="I500" s="115" t="str">
        <x:v>À équilibrer</x:v>
      </x:c>
      <x:c r="J500" s="115" t="str">
        <x:v>Non</x:v>
      </x:c>
      <x:c r="K500" s="115" t="str">
        <x:v>Pièces décrites, murs, portes, niveaux et mobilier inspectables à l’échelle. Volumes réservés, raccord au seed, butin, rencontres et services de campagne restent à terminer.</x:v>
      </x:c>
    </x:row>
    <x:row r="501" ht="96" customHeight="1">
      <x:c r="A501" s="115" t="str">
        <x:v>EXT-MONDE-T010-V46</x:v>
      </x:c>
      <x:c r="B501" s="115" t="str">
        <x:v>EXT-MONDE-T010</x:v>
      </x:c>
      <x:c r="C501" s="115" t="str">
        <x:v>Offshore</x:v>
      </x:c>
      <x:c r="D501" s="115" t="str">
        <x:v>Plateforme semi-submersible</x:v>
      </x:c>
      <x:c r="E501" s="115" t="n">
        <x:v>46</x:v>
      </x:c>
      <x:c r="F501" s="115" t="str">
        <x:v>Inspection physique</x:v>
      </x:c>
      <x:c r="G501" s="115" t="str">
        <x:v>1 niveaux ; 34 pièces ; 260 segments de mur ; 0 transitions. Inspection physique ; architecture complète encore ouverte.</x:v>
      </x:c>
      <x:c r="H501" s="115" t="str">
        <x:v>L 432 ; l 364 ; hauteur 12 m ; choix de composition auteur ; dimensions réelles à documenter</x:v>
      </x:c>
      <x:c r="I501" s="115" t="str">
        <x:v>À équilibrer</x:v>
      </x:c>
      <x:c r="J501" s="115" t="str">
        <x:v>Non</x:v>
      </x:c>
      <x:c r="K501" s="115" t="str">
        <x:v>Pièces décrites, murs, portes, niveaux et mobilier inspectables à l’échelle. Volumes réservés, raccord au seed, butin, rencontres et services de campagne restent à terminer.</x:v>
      </x:c>
    </x:row>
    <x:row r="502" ht="96" customHeight="1">
      <x:c r="A502" s="115" t="str">
        <x:v>EXT-MONDE-T010-V47</x:v>
      </x:c>
      <x:c r="B502" s="115" t="str">
        <x:v>EXT-MONDE-T010</x:v>
      </x:c>
      <x:c r="C502" s="115" t="str">
        <x:v>Offshore</x:v>
      </x:c>
      <x:c r="D502" s="115" t="str">
        <x:v>Plateforme semi-submersible</x:v>
      </x:c>
      <x:c r="E502" s="115" t="n">
        <x:v>47</x:v>
      </x:c>
      <x:c r="F502" s="115" t="str">
        <x:v>Inspection physique</x:v>
      </x:c>
      <x:c r="G502" s="115" t="str">
        <x:v>1 niveaux ; 34 pièces ; 260 segments de mur ; 0 transitions. Inspection physique ; architecture complète encore ouverte.</x:v>
      </x:c>
      <x:c r="H502" s="115" t="str">
        <x:v>L 432 ; l 364 ; hauteur 12 m ; choix de composition auteur ; dimensions réelles à documenter</x:v>
      </x:c>
      <x:c r="I502" s="115" t="str">
        <x:v>À équilibrer</x:v>
      </x:c>
      <x:c r="J502" s="115" t="str">
        <x:v>Non</x:v>
      </x:c>
      <x:c r="K502" s="115" t="str">
        <x:v>Pièces décrites, murs, portes, niveaux et mobilier inspectables à l’échelle. Volumes réservés, raccord au seed, butin, rencontres et services de campagne restent à terminer.</x:v>
      </x:c>
    </x:row>
    <x:row r="503" ht="96" customHeight="1">
      <x:c r="A503" s="115" t="str">
        <x:v>EXT-MONDE-T010-V48</x:v>
      </x:c>
      <x:c r="B503" s="115" t="str">
        <x:v>EXT-MONDE-T010</x:v>
      </x:c>
      <x:c r="C503" s="115" t="str">
        <x:v>Offshore</x:v>
      </x:c>
      <x:c r="D503" s="115" t="str">
        <x:v>Plateforme semi-submersible</x:v>
      </x:c>
      <x:c r="E503" s="115" t="n">
        <x:v>48</x:v>
      </x:c>
      <x:c r="F503" s="115" t="str">
        <x:v>Inspection physique</x:v>
      </x:c>
      <x:c r="G503" s="115" t="str">
        <x:v>1 niveaux ; 34 pièces ; 260 segments de mur ; 0 transitions. Inspection physique ; architecture complète encore ouverte.</x:v>
      </x:c>
      <x:c r="H503" s="115" t="str">
        <x:v>L 432 ; l 364 ; hauteur 12 m ; choix de composition auteur ; dimensions réelles à documenter</x:v>
      </x:c>
      <x:c r="I503" s="115" t="str">
        <x:v>À équilibrer</x:v>
      </x:c>
      <x:c r="J503" s="115" t="str">
        <x:v>Non</x:v>
      </x:c>
      <x:c r="K503" s="115" t="str">
        <x:v>Pièces décrites, murs, portes, niveaux et mobilier inspectables à l’échelle. Volumes réservés, raccord au seed, butin, rencontres et services de campagne restent à terminer.</x:v>
      </x:c>
    </x:row>
    <x:row r="504" ht="96" customHeight="1">
      <x:c r="A504" s="115" t="str">
        <x:v>EXT-MONDE-T010-V49</x:v>
      </x:c>
      <x:c r="B504" s="115" t="str">
        <x:v>EXT-MONDE-T010</x:v>
      </x:c>
      <x:c r="C504" s="115" t="str">
        <x:v>Offshore</x:v>
      </x:c>
      <x:c r="D504" s="115" t="str">
        <x:v>Plateforme semi-submersible</x:v>
      </x:c>
      <x:c r="E504" s="115" t="n">
        <x:v>49</x:v>
      </x:c>
      <x:c r="F504" s="115" t="str">
        <x:v>Inspection physique</x:v>
      </x:c>
      <x:c r="G504" s="115" t="str">
        <x:v>1 niveaux ; 34 pièces ; 260 segments de mur ; 0 transitions. Inspection physique ; architecture complète encore ouverte.</x:v>
      </x:c>
      <x:c r="H504" s="115" t="str">
        <x:v>L 432 ; l 364 ; hauteur 12 m ; choix de composition auteur ; dimensions réelles à documenter</x:v>
      </x:c>
      <x:c r="I504" s="115" t="str">
        <x:v>À équilibrer</x:v>
      </x:c>
      <x:c r="J504" s="115" t="str">
        <x:v>Non</x:v>
      </x:c>
      <x:c r="K504" s="115" t="str">
        <x:v>Pièces décrites, murs, portes, niveaux et mobilier inspectables à l’échelle. Volumes réservés, raccord au seed, butin, rencontres et services de campagne restent à terminer.</x:v>
      </x:c>
    </x:row>
    <x:row r="505" ht="96" customHeight="1">
      <x:c r="A505" s="115" t="str">
        <x:v>EXT-MONDE-T010-V50</x:v>
      </x:c>
      <x:c r="B505" s="115" t="str">
        <x:v>EXT-MONDE-T010</x:v>
      </x:c>
      <x:c r="C505" s="115" t="str">
        <x:v>Offshore</x:v>
      </x:c>
      <x:c r="D505" s="115" t="str">
        <x:v>Plateforme semi-submersible</x:v>
      </x:c>
      <x:c r="E505" s="115" t="n">
        <x:v>50</x:v>
      </x:c>
      <x:c r="F505" s="115" t="str">
        <x:v>Inspection physique</x:v>
      </x:c>
      <x:c r="G505" s="115" t="str">
        <x:v>1 niveaux ; 34 pièces ; 260 segments de mur ; 0 transitions. Inspection physique ; architecture complète encore ouverte.</x:v>
      </x:c>
      <x:c r="H505" s="115" t="str">
        <x:v>L 432 ; l 364 ; hauteur 12 m ; choix de composition auteur ; dimensions réelles à documenter</x:v>
      </x:c>
      <x:c r="I505" s="115" t="str">
        <x:v>À équilibrer</x:v>
      </x:c>
      <x:c r="J505" s="115" t="str">
        <x:v>Non</x:v>
      </x:c>
      <x:c r="K505" s="115" t="str">
        <x:v>Pièces décrites, murs, portes, niveaux et mobilier inspectables à l’échelle. Volumes réservés, raccord au seed, butin, rencontres et services de campagne restent à terminer.</x:v>
      </x:c>
    </x:row>
    <x:row r="506">
      <x:c r="A506" t="str">
        <x:v>EXT-MONDE-T011-V01</x:v>
      </x:c>
      <x:c r="B506" t="str">
        <x:v>EXT-MONDE-T011</x:v>
      </x:c>
      <x:c r="C506" t="str">
        <x:v>Offshore</x:v>
      </x:c>
      <x:c r="D506" t="str">
        <x:v>Navire de soutien offshore</x:v>
      </x:c>
      <x:c r="E506" t="n">
        <x:v>1</x:v>
      </x:c>
      <x:c r="F506" t="str">
        <x:v>Inspection physique</x:v>
      </x:c>
      <x:c r="G506" t="str">
        <x:v>4 niveaux ; 16 pièces ; 112 segments de mur ; 3 transitions. Inspection physique ; architecture complète encore ouverte.</x:v>
      </x:c>
      <x:c r="H506" t="str">
        <x:v>L 80 ; l 16,2 ; hauteur inconnue ; tirant 6,15 ; hauteur émergée auteur 11,75 m ; longueur/largeur/tirant sourcés ; hauteur totale réelle inconnue</x:v>
      </x:c>
      <x:c r="I506" t="str">
        <x:v>À équilibrer</x:v>
      </x:c>
      <x:c r="J506" t="str">
        <x:v>Non</x:v>
      </x:c>
      <x:c r="K506" t="str">
        <x:v>Pièces décrites, murs, portes, niveaux et mobilier inspectables à l’échelle. Volumes réservés, raccord au seed, butin, rencontres et services de campagne restent à terminer.</x:v>
      </x:c>
    </x:row>
    <x:row r="507">
      <x:c r="A507" t="str">
        <x:v>EXT-MONDE-T011-V02</x:v>
      </x:c>
      <x:c r="B507" t="str">
        <x:v>EXT-MONDE-T011</x:v>
      </x:c>
      <x:c r="C507" t="str">
        <x:v>Offshore</x:v>
      </x:c>
      <x:c r="D507" t="str">
        <x:v>Navire de soutien offshore</x:v>
      </x:c>
      <x:c r="E507" t="n">
        <x:v>2</x:v>
      </x:c>
      <x:c r="F507" t="str">
        <x:v>Inspection physique</x:v>
      </x:c>
      <x:c r="G507" t="str">
        <x:v>4 niveaux ; 16 pièces ; 112 segments de mur ; 3 transitions. Inspection physique ; architecture complète encore ouverte.</x:v>
      </x:c>
      <x:c r="H507" t="str">
        <x:v>L 80 ; l 16,2 ; hauteur inconnue ; tirant 6,15 ; hauteur émergée auteur 11,75 m ; longueur/largeur/tirant sourcés ; hauteur totale réelle inconnue</x:v>
      </x:c>
      <x:c r="I507" t="str">
        <x:v>À équilibrer</x:v>
      </x:c>
      <x:c r="J507" t="str">
        <x:v>Non</x:v>
      </x:c>
      <x:c r="K507" t="str">
        <x:v>Pièces décrites, murs, portes, niveaux et mobilier inspectables à l’échelle. Volumes réservés, raccord au seed, butin, rencontres et services de campagne restent à terminer.</x:v>
      </x:c>
    </x:row>
    <x:row r="508">
      <x:c r="A508" t="str">
        <x:v>EXT-MONDE-T011-V03</x:v>
      </x:c>
      <x:c r="B508" t="str">
        <x:v>EXT-MONDE-T011</x:v>
      </x:c>
      <x:c r="C508" t="str">
        <x:v>Offshore</x:v>
      </x:c>
      <x:c r="D508" t="str">
        <x:v>Navire de soutien offshore</x:v>
      </x:c>
      <x:c r="E508" t="n">
        <x:v>3</x:v>
      </x:c>
      <x:c r="F508" t="str">
        <x:v>Inspection physique</x:v>
      </x:c>
      <x:c r="G508" t="str">
        <x:v>4 niveaux ; 16 pièces ; 112 segments de mur ; 3 transitions. Inspection physique ; architecture complète encore ouverte.</x:v>
      </x:c>
      <x:c r="H508" t="str">
        <x:v>L 80 ; l 16,2 ; hauteur inconnue ; tirant 6,15 ; hauteur émergée auteur 11,75 m ; longueur/largeur/tirant sourcés ; hauteur totale réelle inconnue</x:v>
      </x:c>
      <x:c r="I508" t="str">
        <x:v>À équilibrer</x:v>
      </x:c>
      <x:c r="J508" t="str">
        <x:v>Non</x:v>
      </x:c>
      <x:c r="K508" t="str">
        <x:v>Pièces décrites, murs, portes, niveaux et mobilier inspectables à l’échelle. Volumes réservés, raccord au seed, butin, rencontres et services de campagne restent à terminer.</x:v>
      </x:c>
    </x:row>
    <x:row r="509">
      <x:c r="A509" t="str">
        <x:v>EXT-MONDE-T011-V04</x:v>
      </x:c>
      <x:c r="B509" t="str">
        <x:v>EXT-MONDE-T011</x:v>
      </x:c>
      <x:c r="C509" t="str">
        <x:v>Offshore</x:v>
      </x:c>
      <x:c r="D509" t="str">
        <x:v>Navire de soutien offshore</x:v>
      </x:c>
      <x:c r="E509" t="n">
        <x:v>4</x:v>
      </x:c>
      <x:c r="F509" t="str">
        <x:v>Inspection physique</x:v>
      </x:c>
      <x:c r="G509" t="str">
        <x:v>4 niveaux ; 16 pièces ; 112 segments de mur ; 3 transitions. Inspection physique ; architecture complète encore ouverte.</x:v>
      </x:c>
      <x:c r="H509" t="str">
        <x:v>L 80 ; l 16,2 ; hauteur inconnue ; tirant 6,15 ; hauteur émergée auteur 11,75 m ; longueur/largeur/tirant sourcés ; hauteur totale réelle inconnue</x:v>
      </x:c>
      <x:c r="I509" t="str">
        <x:v>À équilibrer</x:v>
      </x:c>
      <x:c r="J509" t="str">
        <x:v>Non</x:v>
      </x:c>
      <x:c r="K509" t="str">
        <x:v>Pièces décrites, murs, portes, niveaux et mobilier inspectables à l’échelle. Volumes réservés, raccord au seed, butin, rencontres et services de campagne restent à terminer.</x:v>
      </x:c>
    </x:row>
    <x:row r="510">
      <x:c r="A510" t="str">
        <x:v>EXT-MONDE-T011-V05</x:v>
      </x:c>
      <x:c r="B510" t="str">
        <x:v>EXT-MONDE-T011</x:v>
      </x:c>
      <x:c r="C510" t="str">
        <x:v>Offshore</x:v>
      </x:c>
      <x:c r="D510" t="str">
        <x:v>Navire de soutien offshore</x:v>
      </x:c>
      <x:c r="E510" t="n">
        <x:v>5</x:v>
      </x:c>
      <x:c r="F510" t="str">
        <x:v>Inspection physique</x:v>
      </x:c>
      <x:c r="G510" t="str">
        <x:v>4 niveaux ; 16 pièces ; 112 segments de mur ; 3 transitions. Inspection physique ; architecture complète encore ouverte.</x:v>
      </x:c>
      <x:c r="H510" t="str">
        <x:v>L 80 ; l 16,2 ; hauteur inconnue ; tirant 6,15 ; hauteur émergée auteur 11,75 m ; longueur/largeur/tirant sourcés ; hauteur totale réelle inconnue</x:v>
      </x:c>
      <x:c r="I510" t="str">
        <x:v>À équilibrer</x:v>
      </x:c>
      <x:c r="J510" t="str">
        <x:v>Non</x:v>
      </x:c>
      <x:c r="K510" t="str">
        <x:v>Pièces décrites, murs, portes, niveaux et mobilier inspectables à l’échelle. Volumes réservés, raccord au seed, butin, rencontres et services de campagne restent à terminer.</x:v>
      </x:c>
    </x:row>
    <x:row r="511">
      <x:c r="A511" t="str">
        <x:v>EXT-MONDE-T011-V06</x:v>
      </x:c>
      <x:c r="B511" t="str">
        <x:v>EXT-MONDE-T011</x:v>
      </x:c>
      <x:c r="C511" t="str">
        <x:v>Offshore</x:v>
      </x:c>
      <x:c r="D511" t="str">
        <x:v>Navire de soutien offshore</x:v>
      </x:c>
      <x:c r="E511" t="n">
        <x:v>6</x:v>
      </x:c>
      <x:c r="F511" t="str">
        <x:v>Inspection physique</x:v>
      </x:c>
      <x:c r="G511" t="str">
        <x:v>4 niveaux ; 16 pièces ; 112 segments de mur ; 3 transitions. Inspection physique ; architecture complète encore ouverte.</x:v>
      </x:c>
      <x:c r="H511" t="str">
        <x:v>L 80 ; l 16,2 ; hauteur inconnue ; tirant 6,15 ; hauteur émergée auteur 11,75 m ; longueur/largeur/tirant sourcés ; hauteur totale réelle inconnue</x:v>
      </x:c>
      <x:c r="I511" t="str">
        <x:v>À équilibrer</x:v>
      </x:c>
      <x:c r="J511" t="str">
        <x:v>Non</x:v>
      </x:c>
      <x:c r="K511" t="str">
        <x:v>Pièces décrites, murs, portes, niveaux et mobilier inspectables à l’échelle. Volumes réservés, raccord au seed, butin, rencontres et services de campagne restent à terminer.</x:v>
      </x:c>
    </x:row>
    <x:row r="512">
      <x:c r="A512" t="str">
        <x:v>EXT-MONDE-T011-V07</x:v>
      </x:c>
      <x:c r="B512" t="str">
        <x:v>EXT-MONDE-T011</x:v>
      </x:c>
      <x:c r="C512" t="str">
        <x:v>Offshore</x:v>
      </x:c>
      <x:c r="D512" t="str">
        <x:v>Navire de soutien offshore</x:v>
      </x:c>
      <x:c r="E512" t="n">
        <x:v>7</x:v>
      </x:c>
      <x:c r="F512" t="str">
        <x:v>Inspection physique</x:v>
      </x:c>
      <x:c r="G512" t="str">
        <x:v>4 niveaux ; 16 pièces ; 112 segments de mur ; 3 transitions. Inspection physique ; architecture complète encore ouverte.</x:v>
      </x:c>
      <x:c r="H512" t="str">
        <x:v>L 80 ; l 16,2 ; hauteur inconnue ; tirant 6,15 ; hauteur émergée auteur 11,75 m ; longueur/largeur/tirant sourcés ; hauteur totale réelle inconnue</x:v>
      </x:c>
      <x:c r="I512" t="str">
        <x:v>À équilibrer</x:v>
      </x:c>
      <x:c r="J512" t="str">
        <x:v>Non</x:v>
      </x:c>
      <x:c r="K512" t="str">
        <x:v>Pièces décrites, murs, portes, niveaux et mobilier inspectables à l’échelle. Volumes réservés, raccord au seed, butin, rencontres et services de campagne restent à terminer.</x:v>
      </x:c>
    </x:row>
    <x:row r="513">
      <x:c r="A513" t="str">
        <x:v>EXT-MONDE-T011-V08</x:v>
      </x:c>
      <x:c r="B513" t="str">
        <x:v>EXT-MONDE-T011</x:v>
      </x:c>
      <x:c r="C513" t="str">
        <x:v>Offshore</x:v>
      </x:c>
      <x:c r="D513" t="str">
        <x:v>Navire de soutien offshore</x:v>
      </x:c>
      <x:c r="E513" t="n">
        <x:v>8</x:v>
      </x:c>
      <x:c r="F513" t="str">
        <x:v>Inspection physique</x:v>
      </x:c>
      <x:c r="G513" t="str">
        <x:v>4 niveaux ; 16 pièces ; 112 segments de mur ; 3 transitions. Inspection physique ; architecture complète encore ouverte.</x:v>
      </x:c>
      <x:c r="H513" t="str">
        <x:v>L 80 ; l 16,2 ; hauteur inconnue ; tirant 6,15 ; hauteur émergée auteur 11,75 m ; longueur/largeur/tirant sourcés ; hauteur totale réelle inconnue</x:v>
      </x:c>
      <x:c r="I513" t="str">
        <x:v>À équilibrer</x:v>
      </x:c>
      <x:c r="J513" t="str">
        <x:v>Non</x:v>
      </x:c>
      <x:c r="K513" t="str">
        <x:v>Pièces décrites, murs, portes, niveaux et mobilier inspectables à l’échelle. Volumes réservés, raccord au seed, butin, rencontres et services de campagne restent à terminer.</x:v>
      </x:c>
    </x:row>
    <x:row r="514">
      <x:c r="A514" t="str">
        <x:v>EXT-MONDE-T011-V09</x:v>
      </x:c>
      <x:c r="B514" t="str">
        <x:v>EXT-MONDE-T011</x:v>
      </x:c>
      <x:c r="C514" t="str">
        <x:v>Offshore</x:v>
      </x:c>
      <x:c r="D514" t="str">
        <x:v>Navire de soutien offshore</x:v>
      </x:c>
      <x:c r="E514" t="n">
        <x:v>9</x:v>
      </x:c>
      <x:c r="F514" t="str">
        <x:v>Inspection physique</x:v>
      </x:c>
      <x:c r="G514" t="str">
        <x:v>4 niveaux ; 16 pièces ; 112 segments de mur ; 3 transitions. Inspection physique ; architecture complète encore ouverte.</x:v>
      </x:c>
      <x:c r="H514" t="str">
        <x:v>L 80 ; l 16,2 ; hauteur inconnue ; tirant 6,15 ; hauteur émergée auteur 11,75 m ; longueur/largeur/tirant sourcés ; hauteur totale réelle inconnue</x:v>
      </x:c>
      <x:c r="I514" t="str">
        <x:v>À équilibrer</x:v>
      </x:c>
      <x:c r="J514" t="str">
        <x:v>Non</x:v>
      </x:c>
      <x:c r="K514" t="str">
        <x:v>Pièces décrites, murs, portes, niveaux et mobilier inspectables à l’échelle. Volumes réservés, raccord au seed, butin, rencontres et services de campagne restent à terminer.</x:v>
      </x:c>
    </x:row>
    <x:row r="515">
      <x:c r="A515" t="str">
        <x:v>EXT-MONDE-T011-V10</x:v>
      </x:c>
      <x:c r="B515" t="str">
        <x:v>EXT-MONDE-T011</x:v>
      </x:c>
      <x:c r="C515" t="str">
        <x:v>Offshore</x:v>
      </x:c>
      <x:c r="D515" t="str">
        <x:v>Navire de soutien offshore</x:v>
      </x:c>
      <x:c r="E515" t="n">
        <x:v>10</x:v>
      </x:c>
      <x:c r="F515" t="str">
        <x:v>Inspection physique</x:v>
      </x:c>
      <x:c r="G515" t="str">
        <x:v>4 niveaux ; 16 pièces ; 112 segments de mur ; 3 transitions. Inspection physique ; architecture complète encore ouverte.</x:v>
      </x:c>
      <x:c r="H515" t="str">
        <x:v>L 80 ; l 16,2 ; hauteur inconnue ; tirant 6,15 ; hauteur émergée auteur 11,75 m ; longueur/largeur/tirant sourcés ; hauteur totale réelle inconnue</x:v>
      </x:c>
      <x:c r="I515" t="str">
        <x:v>À équilibrer</x:v>
      </x:c>
      <x:c r="J515" t="str">
        <x:v>Non</x:v>
      </x:c>
      <x:c r="K515" t="str">
        <x:v>Pièces décrites, murs, portes, niveaux et mobilier inspectables à l’échelle. Volumes réservés, raccord au seed, butin, rencontres et services de campagne restent à terminer.</x:v>
      </x:c>
    </x:row>
    <x:row r="516">
      <x:c r="A516" t="str">
        <x:v>EXT-MONDE-T011-V11</x:v>
      </x:c>
      <x:c r="B516" t="str">
        <x:v>EXT-MONDE-T011</x:v>
      </x:c>
      <x:c r="C516" t="str">
        <x:v>Offshore</x:v>
      </x:c>
      <x:c r="D516" t="str">
        <x:v>Navire de soutien offshore</x:v>
      </x:c>
      <x:c r="E516" t="n">
        <x:v>11</x:v>
      </x:c>
      <x:c r="F516" t="str">
        <x:v>Inspection physique</x:v>
      </x:c>
      <x:c r="G516" t="str">
        <x:v>4 niveaux ; 24 pièces ; 160 segments de mur ; 3 transitions. Inspection physique ; architecture complète encore ouverte.</x:v>
      </x:c>
      <x:c r="H516" t="str">
        <x:v>L 80 ; l 16,2 ; hauteur inconnue ; tirant 6,15 ; hauteur émergée auteur 11,75 m ; longueur/largeur/tirant sourcés ; hauteur totale réelle inconnue</x:v>
      </x:c>
      <x:c r="I516" t="str">
        <x:v>À équilibrer</x:v>
      </x:c>
      <x:c r="J516" t="str">
        <x:v>Non</x:v>
      </x:c>
      <x:c r="K516" t="str">
        <x:v>Pièces décrites, murs, portes, niveaux et mobilier inspectables à l’échelle. Volumes réservés, raccord au seed, butin, rencontres et services de campagne restent à terminer.</x:v>
      </x:c>
    </x:row>
    <x:row r="517">
      <x:c r="A517" t="str">
        <x:v>EXT-MONDE-T011-V12</x:v>
      </x:c>
      <x:c r="B517" t="str">
        <x:v>EXT-MONDE-T011</x:v>
      </x:c>
      <x:c r="C517" t="str">
        <x:v>Offshore</x:v>
      </x:c>
      <x:c r="D517" t="str">
        <x:v>Navire de soutien offshore</x:v>
      </x:c>
      <x:c r="E517" t="n">
        <x:v>12</x:v>
      </x:c>
      <x:c r="F517" t="str">
        <x:v>Inspection physique</x:v>
      </x:c>
      <x:c r="G517" t="str">
        <x:v>4 niveaux ; 24 pièces ; 160 segments de mur ; 3 transitions. Inspection physique ; architecture complète encore ouverte.</x:v>
      </x:c>
      <x:c r="H517" t="str">
        <x:v>L 80 ; l 16,2 ; hauteur inconnue ; tirant 6,15 ; hauteur émergée auteur 11,75 m ; longueur/largeur/tirant sourcés ; hauteur totale réelle inconnue</x:v>
      </x:c>
      <x:c r="I517" t="str">
        <x:v>À équilibrer</x:v>
      </x:c>
      <x:c r="J517" t="str">
        <x:v>Non</x:v>
      </x:c>
      <x:c r="K517" t="str">
        <x:v>Pièces décrites, murs, portes, niveaux et mobilier inspectables à l’échelle. Volumes réservés, raccord au seed, butin, rencontres et services de campagne restent à terminer.</x:v>
      </x:c>
    </x:row>
    <x:row r="518">
      <x:c r="A518" t="str">
        <x:v>EXT-MONDE-T011-V13</x:v>
      </x:c>
      <x:c r="B518" t="str">
        <x:v>EXT-MONDE-T011</x:v>
      </x:c>
      <x:c r="C518" t="str">
        <x:v>Offshore</x:v>
      </x:c>
      <x:c r="D518" t="str">
        <x:v>Navire de soutien offshore</x:v>
      </x:c>
      <x:c r="E518" t="n">
        <x:v>13</x:v>
      </x:c>
      <x:c r="F518" t="str">
        <x:v>Inspection physique</x:v>
      </x:c>
      <x:c r="G518" t="str">
        <x:v>4 niveaux ; 24 pièces ; 160 segments de mur ; 3 transitions. Inspection physique ; architecture complète encore ouverte.</x:v>
      </x:c>
      <x:c r="H518" t="str">
        <x:v>L 80 ; l 16,2 ; hauteur inconnue ; tirant 6,15 ; hauteur émergée auteur 11,75 m ; longueur/largeur/tirant sourcés ; hauteur totale réelle inconnue</x:v>
      </x:c>
      <x:c r="I518" t="str">
        <x:v>À équilibrer</x:v>
      </x:c>
      <x:c r="J518" t="str">
        <x:v>Non</x:v>
      </x:c>
      <x:c r="K518" t="str">
        <x:v>Pièces décrites, murs, portes, niveaux et mobilier inspectables à l’échelle. Volumes réservés, raccord au seed, butin, rencontres et services de campagne restent à terminer.</x:v>
      </x:c>
    </x:row>
    <x:row r="519">
      <x:c r="A519" t="str">
        <x:v>EXT-MONDE-T011-V14</x:v>
      </x:c>
      <x:c r="B519" t="str">
        <x:v>EXT-MONDE-T011</x:v>
      </x:c>
      <x:c r="C519" t="str">
        <x:v>Offshore</x:v>
      </x:c>
      <x:c r="D519" t="str">
        <x:v>Navire de soutien offshore</x:v>
      </x:c>
      <x:c r="E519" t="n">
        <x:v>14</x:v>
      </x:c>
      <x:c r="F519" t="str">
        <x:v>Inspection physique</x:v>
      </x:c>
      <x:c r="G519" t="str">
        <x:v>4 niveaux ; 24 pièces ; 160 segments de mur ; 3 transitions. Inspection physique ; architecture complète encore ouverte.</x:v>
      </x:c>
      <x:c r="H519" t="str">
        <x:v>L 80 ; l 16,2 ; hauteur inconnue ; tirant 6,15 ; hauteur émergée auteur 11,75 m ; longueur/largeur/tirant sourcés ; hauteur totale réelle inconnue</x:v>
      </x:c>
      <x:c r="I519" t="str">
        <x:v>À équilibrer</x:v>
      </x:c>
      <x:c r="J519" t="str">
        <x:v>Non</x:v>
      </x:c>
      <x:c r="K519" t="str">
        <x:v>Pièces décrites, murs, portes, niveaux et mobilier inspectables à l’échelle. Volumes réservés, raccord au seed, butin, rencontres et services de campagne restent à terminer.</x:v>
      </x:c>
    </x:row>
    <x:row r="520">
      <x:c r="A520" t="str">
        <x:v>EXT-MONDE-T011-V15</x:v>
      </x:c>
      <x:c r="B520" t="str">
        <x:v>EXT-MONDE-T011</x:v>
      </x:c>
      <x:c r="C520" t="str">
        <x:v>Offshore</x:v>
      </x:c>
      <x:c r="D520" t="str">
        <x:v>Navire de soutien offshore</x:v>
      </x:c>
      <x:c r="E520" t="n">
        <x:v>15</x:v>
      </x:c>
      <x:c r="F520" t="str">
        <x:v>Inspection physique</x:v>
      </x:c>
      <x:c r="G520" t="str">
        <x:v>4 niveaux ; 24 pièces ; 160 segments de mur ; 3 transitions. Inspection physique ; architecture complète encore ouverte.</x:v>
      </x:c>
      <x:c r="H520" t="str">
        <x:v>L 80 ; l 16,2 ; hauteur inconnue ; tirant 6,15 ; hauteur émergée auteur 11,75 m ; longueur/largeur/tirant sourcés ; hauteur totale réelle inconnue</x:v>
      </x:c>
      <x:c r="I520" t="str">
        <x:v>À équilibrer</x:v>
      </x:c>
      <x:c r="J520" t="str">
        <x:v>Non</x:v>
      </x:c>
      <x:c r="K520" t="str">
        <x:v>Pièces décrites, murs, portes, niveaux et mobilier inspectables à l’échelle. Volumes réservés, raccord au seed, butin, rencontres et services de campagne restent à terminer.</x:v>
      </x:c>
    </x:row>
    <x:row r="521">
      <x:c r="A521" t="str">
        <x:v>EXT-MONDE-T011-V16</x:v>
      </x:c>
      <x:c r="B521" t="str">
        <x:v>EXT-MONDE-T011</x:v>
      </x:c>
      <x:c r="C521" t="str">
        <x:v>Offshore</x:v>
      </x:c>
      <x:c r="D521" t="str">
        <x:v>Navire de soutien offshore</x:v>
      </x:c>
      <x:c r="E521" t="n">
        <x:v>16</x:v>
      </x:c>
      <x:c r="F521" t="str">
        <x:v>Inspection physique</x:v>
      </x:c>
      <x:c r="G521" t="str">
        <x:v>4 niveaux ; 24 pièces ; 160 segments de mur ; 3 transitions. Inspection physique ; architecture complète encore ouverte.</x:v>
      </x:c>
      <x:c r="H521" t="str">
        <x:v>L 80 ; l 16,2 ; hauteur inconnue ; tirant 6,15 ; hauteur émergée auteur 11,75 m ; longueur/largeur/tirant sourcés ; hauteur totale réelle inconnue</x:v>
      </x:c>
      <x:c r="I521" t="str">
        <x:v>À équilibrer</x:v>
      </x:c>
      <x:c r="J521" t="str">
        <x:v>Non</x:v>
      </x:c>
      <x:c r="K521" t="str">
        <x:v>Pièces décrites, murs, portes, niveaux et mobilier inspectables à l’échelle. Volumes réservés, raccord au seed, butin, rencontres et services de campagne restent à terminer.</x:v>
      </x:c>
    </x:row>
    <x:row r="522">
      <x:c r="A522" t="str">
        <x:v>EXT-MONDE-T011-V17</x:v>
      </x:c>
      <x:c r="B522" t="str">
        <x:v>EXT-MONDE-T011</x:v>
      </x:c>
      <x:c r="C522" t="str">
        <x:v>Offshore</x:v>
      </x:c>
      <x:c r="D522" t="str">
        <x:v>Navire de soutien offshore</x:v>
      </x:c>
      <x:c r="E522" t="n">
        <x:v>17</x:v>
      </x:c>
      <x:c r="F522" t="str">
        <x:v>Inspection physique</x:v>
      </x:c>
      <x:c r="G522" t="str">
        <x:v>4 niveaux ; 24 pièces ; 160 segments de mur ; 3 transitions. Inspection physique ; architecture complète encore ouverte.</x:v>
      </x:c>
      <x:c r="H522" t="str">
        <x:v>L 80 ; l 16,2 ; hauteur inconnue ; tirant 6,15 ; hauteur émergée auteur 11,75 m ; longueur/largeur/tirant sourcés ; hauteur totale réelle inconnue</x:v>
      </x:c>
      <x:c r="I522" t="str">
        <x:v>À équilibrer</x:v>
      </x:c>
      <x:c r="J522" t="str">
        <x:v>Non</x:v>
      </x:c>
      <x:c r="K522" t="str">
        <x:v>Pièces décrites, murs, portes, niveaux et mobilier inspectables à l’échelle. Volumes réservés, raccord au seed, butin, rencontres et services de campagne restent à terminer.</x:v>
      </x:c>
    </x:row>
    <x:row r="523">
      <x:c r="A523" t="str">
        <x:v>EXT-MONDE-T011-V18</x:v>
      </x:c>
      <x:c r="B523" t="str">
        <x:v>EXT-MONDE-T011</x:v>
      </x:c>
      <x:c r="C523" t="str">
        <x:v>Offshore</x:v>
      </x:c>
      <x:c r="D523" t="str">
        <x:v>Navire de soutien offshore</x:v>
      </x:c>
      <x:c r="E523" t="n">
        <x:v>18</x:v>
      </x:c>
      <x:c r="F523" t="str">
        <x:v>Inspection physique</x:v>
      </x:c>
      <x:c r="G523" t="str">
        <x:v>4 niveaux ; 24 pièces ; 160 segments de mur ; 3 transitions. Inspection physique ; architecture complète encore ouverte.</x:v>
      </x:c>
      <x:c r="H523" t="str">
        <x:v>L 80 ; l 16,2 ; hauteur inconnue ; tirant 6,15 ; hauteur émergée auteur 11,75 m ; longueur/largeur/tirant sourcés ; hauteur totale réelle inconnue</x:v>
      </x:c>
      <x:c r="I523" t="str">
        <x:v>À équilibrer</x:v>
      </x:c>
      <x:c r="J523" t="str">
        <x:v>Non</x:v>
      </x:c>
      <x:c r="K523" t="str">
        <x:v>Pièces décrites, murs, portes, niveaux et mobilier inspectables à l’échelle. Volumes réservés, raccord au seed, butin, rencontres et services de campagne restent à terminer.</x:v>
      </x:c>
    </x:row>
    <x:row r="524">
      <x:c r="A524" t="str">
        <x:v>EXT-MONDE-T011-V19</x:v>
      </x:c>
      <x:c r="B524" t="str">
        <x:v>EXT-MONDE-T011</x:v>
      </x:c>
      <x:c r="C524" t="str">
        <x:v>Offshore</x:v>
      </x:c>
      <x:c r="D524" t="str">
        <x:v>Navire de soutien offshore</x:v>
      </x:c>
      <x:c r="E524" t="n">
        <x:v>19</x:v>
      </x:c>
      <x:c r="F524" t="str">
        <x:v>Inspection physique</x:v>
      </x:c>
      <x:c r="G524" t="str">
        <x:v>4 niveaux ; 24 pièces ; 160 segments de mur ; 3 transitions. Inspection physique ; architecture complète encore ouverte.</x:v>
      </x:c>
      <x:c r="H524" t="str">
        <x:v>L 80 ; l 16,2 ; hauteur inconnue ; tirant 6,15 ; hauteur émergée auteur 11,75 m ; longueur/largeur/tirant sourcés ; hauteur totale réelle inconnue</x:v>
      </x:c>
      <x:c r="I524" t="str">
        <x:v>À équilibrer</x:v>
      </x:c>
      <x:c r="J524" t="str">
        <x:v>Non</x:v>
      </x:c>
      <x:c r="K524" t="str">
        <x:v>Pièces décrites, murs, portes, niveaux et mobilier inspectables à l’échelle. Volumes réservés, raccord au seed, butin, rencontres et services de campagne restent à terminer.</x:v>
      </x:c>
    </x:row>
    <x:row r="525">
      <x:c r="A525" t="str">
        <x:v>EXT-MONDE-T011-V20</x:v>
      </x:c>
      <x:c r="B525" t="str">
        <x:v>EXT-MONDE-T011</x:v>
      </x:c>
      <x:c r="C525" t="str">
        <x:v>Offshore</x:v>
      </x:c>
      <x:c r="D525" t="str">
        <x:v>Navire de soutien offshore</x:v>
      </x:c>
      <x:c r="E525" t="n">
        <x:v>20</x:v>
      </x:c>
      <x:c r="F525" t="str">
        <x:v>Inspection physique</x:v>
      </x:c>
      <x:c r="G525" t="str">
        <x:v>4 niveaux ; 24 pièces ; 160 segments de mur ; 3 transitions. Inspection physique ; architecture complète encore ouverte.</x:v>
      </x:c>
      <x:c r="H525" t="str">
        <x:v>L 80 ; l 16,2 ; hauteur inconnue ; tirant 6,15 ; hauteur émergée auteur 11,75 m ; longueur/largeur/tirant sourcés ; hauteur totale réelle inconnue</x:v>
      </x:c>
      <x:c r="I525" t="str">
        <x:v>À équilibrer</x:v>
      </x:c>
      <x:c r="J525" t="str">
        <x:v>Non</x:v>
      </x:c>
      <x:c r="K525" t="str">
        <x:v>Pièces décrites, murs, portes, niveaux et mobilier inspectables à l’échelle. Volumes réservés, raccord au seed, butin, rencontres et services de campagne restent à terminer.</x:v>
      </x:c>
    </x:row>
    <x:row r="526">
      <x:c r="A526" t="str">
        <x:v>EXT-MONDE-T011-V21</x:v>
      </x:c>
      <x:c r="B526" t="str">
        <x:v>EXT-MONDE-T011</x:v>
      </x:c>
      <x:c r="C526" t="str">
        <x:v>Offshore</x:v>
      </x:c>
      <x:c r="D526" t="str">
        <x:v>Navire de soutien offshore</x:v>
      </x:c>
      <x:c r="E526" t="n">
        <x:v>21</x:v>
      </x:c>
      <x:c r="F526" t="str">
        <x:v>Inspection physique</x:v>
      </x:c>
      <x:c r="G526" t="str">
        <x:v>4 niveaux ; 32 pièces ; 208 segments de mur ; 3 transitions. Inspection physique ; architecture complète encore ouverte.</x:v>
      </x:c>
      <x:c r="H526" t="str">
        <x:v>L 80 ; l 16,2 ; hauteur inconnue ; tirant 6,15 ; hauteur émergée auteur 11,75 m ; longueur/largeur/tirant sourcés ; hauteur totale réelle inconnue</x:v>
      </x:c>
      <x:c r="I526" t="str">
        <x:v>À équilibrer</x:v>
      </x:c>
      <x:c r="J526" t="str">
        <x:v>Non</x:v>
      </x:c>
      <x:c r="K526" t="str">
        <x:v>Pièces décrites, murs, portes, niveaux et mobilier inspectables à l’échelle. Volumes réservés, raccord au seed, butin, rencontres et services de campagne restent à terminer.</x:v>
      </x:c>
    </x:row>
    <x:row r="527">
      <x:c r="A527" t="str">
        <x:v>EXT-MONDE-T011-V22</x:v>
      </x:c>
      <x:c r="B527" t="str">
        <x:v>EXT-MONDE-T011</x:v>
      </x:c>
      <x:c r="C527" t="str">
        <x:v>Offshore</x:v>
      </x:c>
      <x:c r="D527" t="str">
        <x:v>Navire de soutien offshore</x:v>
      </x:c>
      <x:c r="E527" t="n">
        <x:v>22</x:v>
      </x:c>
      <x:c r="F527" t="str">
        <x:v>Inspection physique</x:v>
      </x:c>
      <x:c r="G527" t="str">
        <x:v>4 niveaux ; 32 pièces ; 208 segments de mur ; 3 transitions. Inspection physique ; architecture complète encore ouverte.</x:v>
      </x:c>
      <x:c r="H527" t="str">
        <x:v>L 80 ; l 16,2 ; hauteur inconnue ; tirant 6,15 ; hauteur émergée auteur 11,75 m ; longueur/largeur/tirant sourcés ; hauteur totale réelle inconnue</x:v>
      </x:c>
      <x:c r="I527" t="str">
        <x:v>À équilibrer</x:v>
      </x:c>
      <x:c r="J527" t="str">
        <x:v>Non</x:v>
      </x:c>
      <x:c r="K527" t="str">
        <x:v>Pièces décrites, murs, portes, niveaux et mobilier inspectables à l’échelle. Volumes réservés, raccord au seed, butin, rencontres et services de campagne restent à terminer.</x:v>
      </x:c>
    </x:row>
    <x:row r="528">
      <x:c r="A528" t="str">
        <x:v>EXT-MONDE-T011-V23</x:v>
      </x:c>
      <x:c r="B528" t="str">
        <x:v>EXT-MONDE-T011</x:v>
      </x:c>
      <x:c r="C528" t="str">
        <x:v>Offshore</x:v>
      </x:c>
      <x:c r="D528" t="str">
        <x:v>Navire de soutien offshore</x:v>
      </x:c>
      <x:c r="E528" t="n">
        <x:v>23</x:v>
      </x:c>
      <x:c r="F528" t="str">
        <x:v>Inspection physique</x:v>
      </x:c>
      <x:c r="G528" t="str">
        <x:v>4 niveaux ; 32 pièces ; 208 segments de mur ; 3 transitions. Inspection physique ; architecture complète encore ouverte.</x:v>
      </x:c>
      <x:c r="H528" t="str">
        <x:v>L 80 ; l 16,2 ; hauteur inconnue ; tirant 6,15 ; hauteur émergée auteur 11,75 m ; longueur/largeur/tirant sourcés ; hauteur totale réelle inconnue</x:v>
      </x:c>
      <x:c r="I528" t="str">
        <x:v>À équilibrer</x:v>
      </x:c>
      <x:c r="J528" t="str">
        <x:v>Non</x:v>
      </x:c>
      <x:c r="K528" t="str">
        <x:v>Pièces décrites, murs, portes, niveaux et mobilier inspectables à l’échelle. Volumes réservés, raccord au seed, butin, rencontres et services de campagne restent à terminer.</x:v>
      </x:c>
    </x:row>
    <x:row r="529">
      <x:c r="A529" t="str">
        <x:v>EXT-MONDE-T011-V24</x:v>
      </x:c>
      <x:c r="B529" t="str">
        <x:v>EXT-MONDE-T011</x:v>
      </x:c>
      <x:c r="C529" t="str">
        <x:v>Offshore</x:v>
      </x:c>
      <x:c r="D529" t="str">
        <x:v>Navire de soutien offshore</x:v>
      </x:c>
      <x:c r="E529" t="n">
        <x:v>24</x:v>
      </x:c>
      <x:c r="F529" t="str">
        <x:v>Inspection physique</x:v>
      </x:c>
      <x:c r="G529" t="str">
        <x:v>4 niveaux ; 32 pièces ; 208 segments de mur ; 3 transitions. Inspection physique ; architecture complète encore ouverte.</x:v>
      </x:c>
      <x:c r="H529" t="str">
        <x:v>L 80 ; l 16,2 ; hauteur inconnue ; tirant 6,15 ; hauteur émergée auteur 11,75 m ; longueur/largeur/tirant sourcés ; hauteur totale réelle inconnue</x:v>
      </x:c>
      <x:c r="I529" t="str">
        <x:v>À équilibrer</x:v>
      </x:c>
      <x:c r="J529" t="str">
        <x:v>Non</x:v>
      </x:c>
      <x:c r="K529" t="str">
        <x:v>Pièces décrites, murs, portes, niveaux et mobilier inspectables à l’échelle. Volumes réservés, raccord au seed, butin, rencontres et services de campagne restent à terminer.</x:v>
      </x:c>
    </x:row>
    <x:row r="530">
      <x:c r="A530" t="str">
        <x:v>EXT-MONDE-T011-V25</x:v>
      </x:c>
      <x:c r="B530" t="str">
        <x:v>EXT-MONDE-T011</x:v>
      </x:c>
      <x:c r="C530" t="str">
        <x:v>Offshore</x:v>
      </x:c>
      <x:c r="D530" t="str">
        <x:v>Navire de soutien offshore</x:v>
      </x:c>
      <x:c r="E530" t="n">
        <x:v>25</x:v>
      </x:c>
      <x:c r="F530" t="str">
        <x:v>Inspection physique</x:v>
      </x:c>
      <x:c r="G530" t="str">
        <x:v>4 niveaux ; 32 pièces ; 208 segments de mur ; 3 transitions. Inspection physique ; architecture complète encore ouverte.</x:v>
      </x:c>
      <x:c r="H530" t="str">
        <x:v>L 80 ; l 16,2 ; hauteur inconnue ; tirant 6,15 ; hauteur émergée auteur 11,75 m ; longueur/largeur/tirant sourcés ; hauteur totale réelle inconnue</x:v>
      </x:c>
      <x:c r="I530" t="str">
        <x:v>À équilibrer</x:v>
      </x:c>
      <x:c r="J530" t="str">
        <x:v>Non</x:v>
      </x:c>
      <x:c r="K530" t="str">
        <x:v>Pièces décrites, murs, portes, niveaux et mobilier inspectables à l’échelle. Volumes réservés, raccord au seed, butin, rencontres et services de campagne restent à terminer.</x:v>
      </x:c>
    </x:row>
    <x:row r="531">
      <x:c r="A531" t="str">
        <x:v>EXT-MONDE-T011-V26</x:v>
      </x:c>
      <x:c r="B531" t="str">
        <x:v>EXT-MONDE-T011</x:v>
      </x:c>
      <x:c r="C531" t="str">
        <x:v>Offshore</x:v>
      </x:c>
      <x:c r="D531" t="str">
        <x:v>Navire de soutien offshore</x:v>
      </x:c>
      <x:c r="E531" t="n">
        <x:v>26</x:v>
      </x:c>
      <x:c r="F531" t="str">
        <x:v>Inspection physique</x:v>
      </x:c>
      <x:c r="G531" t="str">
        <x:v>4 niveaux ; 32 pièces ; 208 segments de mur ; 3 transitions. Inspection physique ; architecture complète encore ouverte.</x:v>
      </x:c>
      <x:c r="H531" t="str">
        <x:v>L 80 ; l 16,2 ; hauteur inconnue ; tirant 6,15 ; hauteur émergée auteur 11,75 m ; longueur/largeur/tirant sourcés ; hauteur totale réelle inconnue</x:v>
      </x:c>
      <x:c r="I531" t="str">
        <x:v>À équilibrer</x:v>
      </x:c>
      <x:c r="J531" t="str">
        <x:v>Non</x:v>
      </x:c>
      <x:c r="K531" t="str">
        <x:v>Pièces décrites, murs, portes, niveaux et mobilier inspectables à l’échelle. Volumes réservés, raccord au seed, butin, rencontres et services de campagne restent à terminer.</x:v>
      </x:c>
    </x:row>
    <x:row r="532">
      <x:c r="A532" t="str">
        <x:v>EXT-MONDE-T011-V27</x:v>
      </x:c>
      <x:c r="B532" t="str">
        <x:v>EXT-MONDE-T011</x:v>
      </x:c>
      <x:c r="C532" t="str">
        <x:v>Offshore</x:v>
      </x:c>
      <x:c r="D532" t="str">
        <x:v>Navire de soutien offshore</x:v>
      </x:c>
      <x:c r="E532" t="n">
        <x:v>27</x:v>
      </x:c>
      <x:c r="F532" t="str">
        <x:v>Inspection physique</x:v>
      </x:c>
      <x:c r="G532" t="str">
        <x:v>4 niveaux ; 32 pièces ; 208 segments de mur ; 3 transitions. Inspection physique ; architecture complète encore ouverte.</x:v>
      </x:c>
      <x:c r="H532" t="str">
        <x:v>L 80 ; l 16,2 ; hauteur inconnue ; tirant 6,15 ; hauteur émergée auteur 11,75 m ; longueur/largeur/tirant sourcés ; hauteur totale réelle inconnue</x:v>
      </x:c>
      <x:c r="I532" t="str">
        <x:v>À équilibrer</x:v>
      </x:c>
      <x:c r="J532" t="str">
        <x:v>Non</x:v>
      </x:c>
      <x:c r="K532" t="str">
        <x:v>Pièces décrites, murs, portes, niveaux et mobilier inspectables à l’échelle. Volumes réservés, raccord au seed, butin, rencontres et services de campagne restent à terminer.</x:v>
      </x:c>
    </x:row>
    <x:row r="533">
      <x:c r="A533" t="str">
        <x:v>EXT-MONDE-T011-V28</x:v>
      </x:c>
      <x:c r="B533" t="str">
        <x:v>EXT-MONDE-T011</x:v>
      </x:c>
      <x:c r="C533" t="str">
        <x:v>Offshore</x:v>
      </x:c>
      <x:c r="D533" t="str">
        <x:v>Navire de soutien offshore</x:v>
      </x:c>
      <x:c r="E533" t="n">
        <x:v>28</x:v>
      </x:c>
      <x:c r="F533" t="str">
        <x:v>Inspection physique</x:v>
      </x:c>
      <x:c r="G533" t="str">
        <x:v>4 niveaux ; 32 pièces ; 208 segments de mur ; 3 transitions. Inspection physique ; architecture complète encore ouverte.</x:v>
      </x:c>
      <x:c r="H533" t="str">
        <x:v>L 80 ; l 16,2 ; hauteur inconnue ; tirant 6,15 ; hauteur émergée auteur 11,75 m ; longueur/largeur/tirant sourcés ; hauteur totale réelle inconnue</x:v>
      </x:c>
      <x:c r="I533" t="str">
        <x:v>À équilibrer</x:v>
      </x:c>
      <x:c r="J533" t="str">
        <x:v>Non</x:v>
      </x:c>
      <x:c r="K533" t="str">
        <x:v>Pièces décrites, murs, portes, niveaux et mobilier inspectables à l’échelle. Volumes réservés, raccord au seed, butin, rencontres et services de campagne restent à terminer.</x:v>
      </x:c>
    </x:row>
    <x:row r="534">
      <x:c r="A534" t="str">
        <x:v>EXT-MONDE-T011-V29</x:v>
      </x:c>
      <x:c r="B534" t="str">
        <x:v>EXT-MONDE-T011</x:v>
      </x:c>
      <x:c r="C534" t="str">
        <x:v>Offshore</x:v>
      </x:c>
      <x:c r="D534" t="str">
        <x:v>Navire de soutien offshore</x:v>
      </x:c>
      <x:c r="E534" t="n">
        <x:v>29</x:v>
      </x:c>
      <x:c r="F534" t="str">
        <x:v>Inspection physique</x:v>
      </x:c>
      <x:c r="G534" t="str">
        <x:v>4 niveaux ; 32 pièces ; 208 segments de mur ; 3 transitions. Inspection physique ; architecture complète encore ouverte.</x:v>
      </x:c>
      <x:c r="H534" t="str">
        <x:v>L 80 ; l 16,2 ; hauteur inconnue ; tirant 6,15 ; hauteur émergée auteur 11,75 m ; longueur/largeur/tirant sourcés ; hauteur totale réelle inconnue</x:v>
      </x:c>
      <x:c r="I534" t="str">
        <x:v>À équilibrer</x:v>
      </x:c>
      <x:c r="J534" t="str">
        <x:v>Non</x:v>
      </x:c>
      <x:c r="K534" t="str">
        <x:v>Pièces décrites, murs, portes, niveaux et mobilier inspectables à l’échelle. Volumes réservés, raccord au seed, butin, rencontres et services de campagne restent à terminer.</x:v>
      </x:c>
    </x:row>
    <x:row r="535">
      <x:c r="A535" t="str">
        <x:v>EXT-MONDE-T011-V30</x:v>
      </x:c>
      <x:c r="B535" t="str">
        <x:v>EXT-MONDE-T011</x:v>
      </x:c>
      <x:c r="C535" t="str">
        <x:v>Offshore</x:v>
      </x:c>
      <x:c r="D535" t="str">
        <x:v>Navire de soutien offshore</x:v>
      </x:c>
      <x:c r="E535" t="n">
        <x:v>30</x:v>
      </x:c>
      <x:c r="F535" t="str">
        <x:v>Inspection physique</x:v>
      </x:c>
      <x:c r="G535" t="str">
        <x:v>4 niveaux ; 32 pièces ; 208 segments de mur ; 3 transitions. Inspection physique ; architecture complète encore ouverte.</x:v>
      </x:c>
      <x:c r="H535" t="str">
        <x:v>L 80 ; l 16,2 ; hauteur inconnue ; tirant 6,15 ; hauteur émergée auteur 11,75 m ; longueur/largeur/tirant sourcés ; hauteur totale réelle inconnue</x:v>
      </x:c>
      <x:c r="I535" t="str">
        <x:v>À équilibrer</x:v>
      </x:c>
      <x:c r="J535" t="str">
        <x:v>Non</x:v>
      </x:c>
      <x:c r="K535" t="str">
        <x:v>Pièces décrites, murs, portes, niveaux et mobilier inspectables à l’échelle. Volumes réservés, raccord au seed, butin, rencontres et services de campagne restent à terminer.</x:v>
      </x:c>
    </x:row>
    <x:row r="536">
      <x:c r="A536" t="str">
        <x:v>EXT-MONDE-T011-V31</x:v>
      </x:c>
      <x:c r="B536" t="str">
        <x:v>EXT-MONDE-T011</x:v>
      </x:c>
      <x:c r="C536" t="str">
        <x:v>Offshore</x:v>
      </x:c>
      <x:c r="D536" t="str">
        <x:v>Navire de soutien offshore</x:v>
      </x:c>
      <x:c r="E536" t="n">
        <x:v>31</x:v>
      </x:c>
      <x:c r="F536" t="str">
        <x:v>Inspection physique</x:v>
      </x:c>
      <x:c r="G536" t="str">
        <x:v>4 niveaux ; 40 pièces ; 256 segments de mur ; 3 transitions. Inspection physique ; architecture complète encore ouverte.</x:v>
      </x:c>
      <x:c r="H536" t="str">
        <x:v>L 80 ; l 16,2 ; hauteur inconnue ; tirant 6,15 ; hauteur émergée auteur 11,75 m ; longueur/largeur/tirant sourcés ; hauteur totale réelle inconnue</x:v>
      </x:c>
      <x:c r="I536" t="str">
        <x:v>À équilibrer</x:v>
      </x:c>
      <x:c r="J536" t="str">
        <x:v>Non</x:v>
      </x:c>
      <x:c r="K536" t="str">
        <x:v>Pièces décrites, murs, portes, niveaux et mobilier inspectables à l’échelle. Volumes réservés, raccord au seed, butin, rencontres et services de campagne restent à terminer.</x:v>
      </x:c>
    </x:row>
    <x:row r="537">
      <x:c r="A537" t="str">
        <x:v>EXT-MONDE-T011-V32</x:v>
      </x:c>
      <x:c r="B537" t="str">
        <x:v>EXT-MONDE-T011</x:v>
      </x:c>
      <x:c r="C537" t="str">
        <x:v>Offshore</x:v>
      </x:c>
      <x:c r="D537" t="str">
        <x:v>Navire de soutien offshore</x:v>
      </x:c>
      <x:c r="E537" t="n">
        <x:v>32</x:v>
      </x:c>
      <x:c r="F537" t="str">
        <x:v>Inspection physique</x:v>
      </x:c>
      <x:c r="G537" t="str">
        <x:v>4 niveaux ; 40 pièces ; 256 segments de mur ; 3 transitions. Inspection physique ; architecture complète encore ouverte.</x:v>
      </x:c>
      <x:c r="H537" t="str">
        <x:v>L 80 ; l 16,2 ; hauteur inconnue ; tirant 6,15 ; hauteur émergée auteur 11,75 m ; longueur/largeur/tirant sourcés ; hauteur totale réelle inconnue</x:v>
      </x:c>
      <x:c r="I537" t="str">
        <x:v>À équilibrer</x:v>
      </x:c>
      <x:c r="J537" t="str">
        <x:v>Non</x:v>
      </x:c>
      <x:c r="K537" t="str">
        <x:v>Pièces décrites, murs, portes, niveaux et mobilier inspectables à l’échelle. Volumes réservés, raccord au seed, butin, rencontres et services de campagne restent à terminer.</x:v>
      </x:c>
    </x:row>
    <x:row r="538">
      <x:c r="A538" t="str">
        <x:v>EXT-MONDE-T011-V33</x:v>
      </x:c>
      <x:c r="B538" t="str">
        <x:v>EXT-MONDE-T011</x:v>
      </x:c>
      <x:c r="C538" t="str">
        <x:v>Offshore</x:v>
      </x:c>
      <x:c r="D538" t="str">
        <x:v>Navire de soutien offshore</x:v>
      </x:c>
      <x:c r="E538" t="n">
        <x:v>33</x:v>
      </x:c>
      <x:c r="F538" t="str">
        <x:v>Inspection physique</x:v>
      </x:c>
      <x:c r="G538" t="str">
        <x:v>4 niveaux ; 40 pièces ; 256 segments de mur ; 3 transitions. Inspection physique ; architecture complète encore ouverte.</x:v>
      </x:c>
      <x:c r="H538" t="str">
        <x:v>L 80 ; l 16,2 ; hauteur inconnue ; tirant 6,15 ; hauteur émergée auteur 11,75 m ; longueur/largeur/tirant sourcés ; hauteur totale réelle inconnue</x:v>
      </x:c>
      <x:c r="I538" t="str">
        <x:v>À équilibrer</x:v>
      </x:c>
      <x:c r="J538" t="str">
        <x:v>Non</x:v>
      </x:c>
      <x:c r="K538" t="str">
        <x:v>Pièces décrites, murs, portes, niveaux et mobilier inspectables à l’échelle. Volumes réservés, raccord au seed, butin, rencontres et services de campagne restent à terminer.</x:v>
      </x:c>
    </x:row>
    <x:row r="539">
      <x:c r="A539" t="str">
        <x:v>EXT-MONDE-T011-V34</x:v>
      </x:c>
      <x:c r="B539" t="str">
        <x:v>EXT-MONDE-T011</x:v>
      </x:c>
      <x:c r="C539" t="str">
        <x:v>Offshore</x:v>
      </x:c>
      <x:c r="D539" t="str">
        <x:v>Navire de soutien offshore</x:v>
      </x:c>
      <x:c r="E539" t="n">
        <x:v>34</x:v>
      </x:c>
      <x:c r="F539" t="str">
        <x:v>Inspection physique</x:v>
      </x:c>
      <x:c r="G539" t="str">
        <x:v>4 niveaux ; 40 pièces ; 256 segments de mur ; 3 transitions. Inspection physique ; architecture complète encore ouverte.</x:v>
      </x:c>
      <x:c r="H539" t="str">
        <x:v>L 80 ; l 16,2 ; hauteur inconnue ; tirant 6,15 ; hauteur émergée auteur 11,75 m ; longueur/largeur/tirant sourcés ; hauteur totale réelle inconnue</x:v>
      </x:c>
      <x:c r="I539" t="str">
        <x:v>À équilibrer</x:v>
      </x:c>
      <x:c r="J539" t="str">
        <x:v>Non</x:v>
      </x:c>
      <x:c r="K539" t="str">
        <x:v>Pièces décrites, murs, portes, niveaux et mobilier inspectables à l’échelle. Volumes réservés, raccord au seed, butin, rencontres et services de campagne restent à terminer.</x:v>
      </x:c>
    </x:row>
    <x:row r="540">
      <x:c r="A540" t="str">
        <x:v>EXT-MONDE-T011-V35</x:v>
      </x:c>
      <x:c r="B540" t="str">
        <x:v>EXT-MONDE-T011</x:v>
      </x:c>
      <x:c r="C540" t="str">
        <x:v>Offshore</x:v>
      </x:c>
      <x:c r="D540" t="str">
        <x:v>Navire de soutien offshore</x:v>
      </x:c>
      <x:c r="E540" t="n">
        <x:v>35</x:v>
      </x:c>
      <x:c r="F540" t="str">
        <x:v>Inspection physique</x:v>
      </x:c>
      <x:c r="G540" t="str">
        <x:v>4 niveaux ; 40 pièces ; 256 segments de mur ; 3 transitions. Inspection physique ; architecture complète encore ouverte.</x:v>
      </x:c>
      <x:c r="H540" t="str">
        <x:v>L 80 ; l 16,2 ; hauteur inconnue ; tirant 6,15 ; hauteur émergée auteur 11,75 m ; longueur/largeur/tirant sourcés ; hauteur totale réelle inconnue</x:v>
      </x:c>
      <x:c r="I540" t="str">
        <x:v>À équilibrer</x:v>
      </x:c>
      <x:c r="J540" t="str">
        <x:v>Non</x:v>
      </x:c>
      <x:c r="K540" t="str">
        <x:v>Pièces décrites, murs, portes, niveaux et mobilier inspectables à l’échelle. Volumes réservés, raccord au seed, butin, rencontres et services de campagne restent à terminer.</x:v>
      </x:c>
    </x:row>
    <x:row r="541">
      <x:c r="A541" t="str">
        <x:v>EXT-MONDE-T011-V36</x:v>
      </x:c>
      <x:c r="B541" t="str">
        <x:v>EXT-MONDE-T011</x:v>
      </x:c>
      <x:c r="C541" t="str">
        <x:v>Offshore</x:v>
      </x:c>
      <x:c r="D541" t="str">
        <x:v>Navire de soutien offshore</x:v>
      </x:c>
      <x:c r="E541" t="n">
        <x:v>36</x:v>
      </x:c>
      <x:c r="F541" t="str">
        <x:v>Inspection physique</x:v>
      </x:c>
      <x:c r="G541" t="str">
        <x:v>4 niveaux ; 40 pièces ; 256 segments de mur ; 3 transitions. Inspection physique ; architecture complète encore ouverte.</x:v>
      </x:c>
      <x:c r="H541" t="str">
        <x:v>L 80 ; l 16,2 ; hauteur inconnue ; tirant 6,15 ; hauteur émergée auteur 11,75 m ; longueur/largeur/tirant sourcés ; hauteur totale réelle inconnue</x:v>
      </x:c>
      <x:c r="I541" t="str">
        <x:v>À équilibrer</x:v>
      </x:c>
      <x:c r="J541" t="str">
        <x:v>Non</x:v>
      </x:c>
      <x:c r="K541" t="str">
        <x:v>Pièces décrites, murs, portes, niveaux et mobilier inspectables à l’échelle. Volumes réservés, raccord au seed, butin, rencontres et services de campagne restent à terminer.</x:v>
      </x:c>
    </x:row>
    <x:row r="542">
      <x:c r="A542" t="str">
        <x:v>EXT-MONDE-T011-V37</x:v>
      </x:c>
      <x:c r="B542" t="str">
        <x:v>EXT-MONDE-T011</x:v>
      </x:c>
      <x:c r="C542" t="str">
        <x:v>Offshore</x:v>
      </x:c>
      <x:c r="D542" t="str">
        <x:v>Navire de soutien offshore</x:v>
      </x:c>
      <x:c r="E542" t="n">
        <x:v>37</x:v>
      </x:c>
      <x:c r="F542" t="str">
        <x:v>Inspection physique</x:v>
      </x:c>
      <x:c r="G542" t="str">
        <x:v>4 niveaux ; 40 pièces ; 256 segments de mur ; 3 transitions. Inspection physique ; architecture complète encore ouverte.</x:v>
      </x:c>
      <x:c r="H542" t="str">
        <x:v>L 80 ; l 16,2 ; hauteur inconnue ; tirant 6,15 ; hauteur émergée auteur 11,75 m ; longueur/largeur/tirant sourcés ; hauteur totale réelle inconnue</x:v>
      </x:c>
      <x:c r="I542" t="str">
        <x:v>À équilibrer</x:v>
      </x:c>
      <x:c r="J542" t="str">
        <x:v>Non</x:v>
      </x:c>
      <x:c r="K542" t="str">
        <x:v>Pièces décrites, murs, portes, niveaux et mobilier inspectables à l’échelle. Volumes réservés, raccord au seed, butin, rencontres et services de campagne restent à terminer.</x:v>
      </x:c>
    </x:row>
    <x:row r="543">
      <x:c r="A543" t="str">
        <x:v>EXT-MONDE-T011-V38</x:v>
      </x:c>
      <x:c r="B543" t="str">
        <x:v>EXT-MONDE-T011</x:v>
      </x:c>
      <x:c r="C543" t="str">
        <x:v>Offshore</x:v>
      </x:c>
      <x:c r="D543" t="str">
        <x:v>Navire de soutien offshore</x:v>
      </x:c>
      <x:c r="E543" t="n">
        <x:v>38</x:v>
      </x:c>
      <x:c r="F543" t="str">
        <x:v>Inspection physique</x:v>
      </x:c>
      <x:c r="G543" t="str">
        <x:v>4 niveaux ; 40 pièces ; 256 segments de mur ; 3 transitions. Inspection physique ; architecture complète encore ouverte.</x:v>
      </x:c>
      <x:c r="H543" t="str">
        <x:v>L 80 ; l 16,2 ; hauteur inconnue ; tirant 6,15 ; hauteur émergée auteur 11,75 m ; longueur/largeur/tirant sourcés ; hauteur totale réelle inconnue</x:v>
      </x:c>
      <x:c r="I543" t="str">
        <x:v>À équilibrer</x:v>
      </x:c>
      <x:c r="J543" t="str">
        <x:v>Non</x:v>
      </x:c>
      <x:c r="K543" t="str">
        <x:v>Pièces décrites, murs, portes, niveaux et mobilier inspectables à l’échelle. Volumes réservés, raccord au seed, butin, rencontres et services de campagne restent à terminer.</x:v>
      </x:c>
    </x:row>
    <x:row r="544">
      <x:c r="A544" t="str">
        <x:v>EXT-MONDE-T011-V39</x:v>
      </x:c>
      <x:c r="B544" t="str">
        <x:v>EXT-MONDE-T011</x:v>
      </x:c>
      <x:c r="C544" t="str">
        <x:v>Offshore</x:v>
      </x:c>
      <x:c r="D544" t="str">
        <x:v>Navire de soutien offshore</x:v>
      </x:c>
      <x:c r="E544" t="n">
        <x:v>39</x:v>
      </x:c>
      <x:c r="F544" t="str">
        <x:v>Inspection physique</x:v>
      </x:c>
      <x:c r="G544" t="str">
        <x:v>4 niveaux ; 40 pièces ; 256 segments de mur ; 3 transitions. Inspection physique ; architecture complète encore ouverte.</x:v>
      </x:c>
      <x:c r="H544" t="str">
        <x:v>L 80 ; l 16,2 ; hauteur inconnue ; tirant 6,15 ; hauteur émergée auteur 11,75 m ; longueur/largeur/tirant sourcés ; hauteur totale réelle inconnue</x:v>
      </x:c>
      <x:c r="I544" t="str">
        <x:v>À équilibrer</x:v>
      </x:c>
      <x:c r="J544" t="str">
        <x:v>Non</x:v>
      </x:c>
      <x:c r="K544" t="str">
        <x:v>Pièces décrites, murs, portes, niveaux et mobilier inspectables à l’échelle. Volumes réservés, raccord au seed, butin, rencontres et services de campagne restent à terminer.</x:v>
      </x:c>
    </x:row>
    <x:row r="545">
      <x:c r="A545" t="str">
        <x:v>EXT-MONDE-T011-V40</x:v>
      </x:c>
      <x:c r="B545" t="str">
        <x:v>EXT-MONDE-T011</x:v>
      </x:c>
      <x:c r="C545" t="str">
        <x:v>Offshore</x:v>
      </x:c>
      <x:c r="D545" t="str">
        <x:v>Navire de soutien offshore</x:v>
      </x:c>
      <x:c r="E545" t="n">
        <x:v>40</x:v>
      </x:c>
      <x:c r="F545" t="str">
        <x:v>Inspection physique</x:v>
      </x:c>
      <x:c r="G545" t="str">
        <x:v>4 niveaux ; 40 pièces ; 256 segments de mur ; 3 transitions. Inspection physique ; architecture complète encore ouverte.</x:v>
      </x:c>
      <x:c r="H545" t="str">
        <x:v>L 80 ; l 16,2 ; hauteur inconnue ; tirant 6,15 ; hauteur émergée auteur 11,75 m ; longueur/largeur/tirant sourcés ; hauteur totale réelle inconnue</x:v>
      </x:c>
      <x:c r="I545" t="str">
        <x:v>À équilibrer</x:v>
      </x:c>
      <x:c r="J545" t="str">
        <x:v>Non</x:v>
      </x:c>
      <x:c r="K545" t="str">
        <x:v>Pièces décrites, murs, portes, niveaux et mobilier inspectables à l’échelle. Volumes réservés, raccord au seed, butin, rencontres et services de campagne restent à terminer.</x:v>
      </x:c>
    </x:row>
    <x:row r="546">
      <x:c r="A546" t="str">
        <x:v>EXT-MONDE-T011-V41</x:v>
      </x:c>
      <x:c r="B546" t="str">
        <x:v>EXT-MONDE-T011</x:v>
      </x:c>
      <x:c r="C546" t="str">
        <x:v>Offshore</x:v>
      </x:c>
      <x:c r="D546" t="str">
        <x:v>Navire de soutien offshore</x:v>
      </x:c>
      <x:c r="E546" t="n">
        <x:v>41</x:v>
      </x:c>
      <x:c r="F546" t="str">
        <x:v>Inspection physique</x:v>
      </x:c>
      <x:c r="G546" t="str">
        <x:v>4 niveaux ; 48 pièces ; 304 segments de mur ; 3 transitions. Inspection physique ; architecture complète encore ouverte.</x:v>
      </x:c>
      <x:c r="H546" t="str">
        <x:v>L 80 ; l 16,2 ; hauteur inconnue ; tirant 6,15 ; hauteur émergée auteur 11,75 m ; longueur/largeur/tirant sourcés ; hauteur totale réelle inconnue</x:v>
      </x:c>
      <x:c r="I546" t="str">
        <x:v>À équilibrer</x:v>
      </x:c>
      <x:c r="J546" t="str">
        <x:v>Non</x:v>
      </x:c>
      <x:c r="K546" t="str">
        <x:v>Pièces décrites, murs, portes, niveaux et mobilier inspectables à l’échelle. Volumes réservés, raccord au seed, butin, rencontres et services de campagne restent à terminer.</x:v>
      </x:c>
    </x:row>
    <x:row r="547">
      <x:c r="A547" t="str">
        <x:v>EXT-MONDE-T011-V42</x:v>
      </x:c>
      <x:c r="B547" t="str">
        <x:v>EXT-MONDE-T011</x:v>
      </x:c>
      <x:c r="C547" t="str">
        <x:v>Offshore</x:v>
      </x:c>
      <x:c r="D547" t="str">
        <x:v>Navire de soutien offshore</x:v>
      </x:c>
      <x:c r="E547" t="n">
        <x:v>42</x:v>
      </x:c>
      <x:c r="F547" t="str">
        <x:v>Inspection physique</x:v>
      </x:c>
      <x:c r="G547" t="str">
        <x:v>4 niveaux ; 48 pièces ; 304 segments de mur ; 3 transitions. Inspection physique ; architecture complète encore ouverte.</x:v>
      </x:c>
      <x:c r="H547" t="str">
        <x:v>L 80 ; l 16,2 ; hauteur inconnue ; tirant 6,15 ; hauteur émergée auteur 11,75 m ; longueur/largeur/tirant sourcés ; hauteur totale réelle inconnue</x:v>
      </x:c>
      <x:c r="I547" t="str">
        <x:v>À équilibrer</x:v>
      </x:c>
      <x:c r="J547" t="str">
        <x:v>Non</x:v>
      </x:c>
      <x:c r="K547" t="str">
        <x:v>Pièces décrites, murs, portes, niveaux et mobilier inspectables à l’échelle. Volumes réservés, raccord au seed, butin, rencontres et services de campagne restent à terminer.</x:v>
      </x:c>
    </x:row>
    <x:row r="548">
      <x:c r="A548" t="str">
        <x:v>EXT-MONDE-T011-V43</x:v>
      </x:c>
      <x:c r="B548" t="str">
        <x:v>EXT-MONDE-T011</x:v>
      </x:c>
      <x:c r="C548" t="str">
        <x:v>Offshore</x:v>
      </x:c>
      <x:c r="D548" t="str">
        <x:v>Navire de soutien offshore</x:v>
      </x:c>
      <x:c r="E548" t="n">
        <x:v>43</x:v>
      </x:c>
      <x:c r="F548" t="str">
        <x:v>Inspection physique</x:v>
      </x:c>
      <x:c r="G548" t="str">
        <x:v>4 niveaux ; 48 pièces ; 304 segments de mur ; 3 transitions. Inspection physique ; architecture complète encore ouverte.</x:v>
      </x:c>
      <x:c r="H548" t="str">
        <x:v>L 80 ; l 16,2 ; hauteur inconnue ; tirant 6,15 ; hauteur émergée auteur 11,75 m ; longueur/largeur/tirant sourcés ; hauteur totale réelle inconnue</x:v>
      </x:c>
      <x:c r="I548" t="str">
        <x:v>À équilibrer</x:v>
      </x:c>
      <x:c r="J548" t="str">
        <x:v>Non</x:v>
      </x:c>
      <x:c r="K548" t="str">
        <x:v>Pièces décrites, murs, portes, niveaux et mobilier inspectables à l’échelle. Volumes réservés, raccord au seed, butin, rencontres et services de campagne restent à terminer.</x:v>
      </x:c>
    </x:row>
    <x:row r="549">
      <x:c r="A549" t="str">
        <x:v>EXT-MONDE-T011-V44</x:v>
      </x:c>
      <x:c r="B549" t="str">
        <x:v>EXT-MONDE-T011</x:v>
      </x:c>
      <x:c r="C549" t="str">
        <x:v>Offshore</x:v>
      </x:c>
      <x:c r="D549" t="str">
        <x:v>Navire de soutien offshore</x:v>
      </x:c>
      <x:c r="E549" t="n">
        <x:v>44</x:v>
      </x:c>
      <x:c r="F549" t="str">
        <x:v>Inspection physique</x:v>
      </x:c>
      <x:c r="G549" t="str">
        <x:v>4 niveaux ; 48 pièces ; 304 segments de mur ; 3 transitions. Inspection physique ; architecture complète encore ouverte.</x:v>
      </x:c>
      <x:c r="H549" t="str">
        <x:v>L 80 ; l 16,2 ; hauteur inconnue ; tirant 6,15 ; hauteur émergée auteur 11,75 m ; longueur/largeur/tirant sourcés ; hauteur totale réelle inconnue</x:v>
      </x:c>
      <x:c r="I549" t="str">
        <x:v>À équilibrer</x:v>
      </x:c>
      <x:c r="J549" t="str">
        <x:v>Non</x:v>
      </x:c>
      <x:c r="K549" t="str">
        <x:v>Pièces décrites, murs, portes, niveaux et mobilier inspectables à l’échelle. Volumes réservés, raccord au seed, butin, rencontres et services de campagne restent à terminer.</x:v>
      </x:c>
    </x:row>
    <x:row r="550">
      <x:c r="A550" t="str">
        <x:v>EXT-MONDE-T011-V45</x:v>
      </x:c>
      <x:c r="B550" t="str">
        <x:v>EXT-MONDE-T011</x:v>
      </x:c>
      <x:c r="C550" t="str">
        <x:v>Offshore</x:v>
      </x:c>
      <x:c r="D550" t="str">
        <x:v>Navire de soutien offshore</x:v>
      </x:c>
      <x:c r="E550" t="n">
        <x:v>45</x:v>
      </x:c>
      <x:c r="F550" t="str">
        <x:v>Inspection physique</x:v>
      </x:c>
      <x:c r="G550" t="str">
        <x:v>4 niveaux ; 48 pièces ; 304 segments de mur ; 3 transitions. Inspection physique ; architecture complète encore ouverte.</x:v>
      </x:c>
      <x:c r="H550" t="str">
        <x:v>L 80 ; l 16,2 ; hauteur inconnue ; tirant 6,15 ; hauteur émergée auteur 11,75 m ; longueur/largeur/tirant sourcés ; hauteur totale réelle inconnue</x:v>
      </x:c>
      <x:c r="I550" t="str">
        <x:v>À équilibrer</x:v>
      </x:c>
      <x:c r="J550" t="str">
        <x:v>Non</x:v>
      </x:c>
      <x:c r="K550" t="str">
        <x:v>Pièces décrites, murs, portes, niveaux et mobilier inspectables à l’échelle. Volumes réservés, raccord au seed, butin, rencontres et services de campagne restent à terminer.</x:v>
      </x:c>
    </x:row>
    <x:row r="551">
      <x:c r="A551" t="str">
        <x:v>EXT-MONDE-T011-V46</x:v>
      </x:c>
      <x:c r="B551" t="str">
        <x:v>EXT-MONDE-T011</x:v>
      </x:c>
      <x:c r="C551" t="str">
        <x:v>Offshore</x:v>
      </x:c>
      <x:c r="D551" t="str">
        <x:v>Navire de soutien offshore</x:v>
      </x:c>
      <x:c r="E551" t="n">
        <x:v>46</x:v>
      </x:c>
      <x:c r="F551" t="str">
        <x:v>Inspection physique</x:v>
      </x:c>
      <x:c r="G551" t="str">
        <x:v>4 niveaux ; 48 pièces ; 304 segments de mur ; 3 transitions. Inspection physique ; architecture complète encore ouverte.</x:v>
      </x:c>
      <x:c r="H551" t="str">
        <x:v>L 80 ; l 16,2 ; hauteur inconnue ; tirant 6,15 ; hauteur émergée auteur 11,75 m ; longueur/largeur/tirant sourcés ; hauteur totale réelle inconnue</x:v>
      </x:c>
      <x:c r="I551" t="str">
        <x:v>À équilibrer</x:v>
      </x:c>
      <x:c r="J551" t="str">
        <x:v>Non</x:v>
      </x:c>
      <x:c r="K551" t="str">
        <x:v>Pièces décrites, murs, portes, niveaux et mobilier inspectables à l’échelle. Volumes réservés, raccord au seed, butin, rencontres et services de campagne restent à terminer.</x:v>
      </x:c>
    </x:row>
    <x:row r="552">
      <x:c r="A552" t="str">
        <x:v>EXT-MONDE-T011-V47</x:v>
      </x:c>
      <x:c r="B552" t="str">
        <x:v>EXT-MONDE-T011</x:v>
      </x:c>
      <x:c r="C552" t="str">
        <x:v>Offshore</x:v>
      </x:c>
      <x:c r="D552" t="str">
        <x:v>Navire de soutien offshore</x:v>
      </x:c>
      <x:c r="E552" t="n">
        <x:v>47</x:v>
      </x:c>
      <x:c r="F552" t="str">
        <x:v>Inspection physique</x:v>
      </x:c>
      <x:c r="G552" t="str">
        <x:v>4 niveaux ; 48 pièces ; 304 segments de mur ; 3 transitions. Inspection physique ; architecture complète encore ouverte.</x:v>
      </x:c>
      <x:c r="H552" t="str">
        <x:v>L 80 ; l 16,2 ; hauteur inconnue ; tirant 6,15 ; hauteur émergée auteur 11,75 m ; longueur/largeur/tirant sourcés ; hauteur totale réelle inconnue</x:v>
      </x:c>
      <x:c r="I552" t="str">
        <x:v>À équilibrer</x:v>
      </x:c>
      <x:c r="J552" t="str">
        <x:v>Non</x:v>
      </x:c>
      <x:c r="K552" t="str">
        <x:v>Pièces décrites, murs, portes, niveaux et mobilier inspectables à l’échelle. Volumes réservés, raccord au seed, butin, rencontres et services de campagne restent à terminer.</x:v>
      </x:c>
    </x:row>
    <x:row r="553">
      <x:c r="A553" t="str">
        <x:v>EXT-MONDE-T011-V48</x:v>
      </x:c>
      <x:c r="B553" t="str">
        <x:v>EXT-MONDE-T011</x:v>
      </x:c>
      <x:c r="C553" t="str">
        <x:v>Offshore</x:v>
      </x:c>
      <x:c r="D553" t="str">
        <x:v>Navire de soutien offshore</x:v>
      </x:c>
      <x:c r="E553" t="n">
        <x:v>48</x:v>
      </x:c>
      <x:c r="F553" t="str">
        <x:v>Inspection physique</x:v>
      </x:c>
      <x:c r="G553" t="str">
        <x:v>4 niveaux ; 48 pièces ; 304 segments de mur ; 3 transitions. Inspection physique ; architecture complète encore ouverte.</x:v>
      </x:c>
      <x:c r="H553" t="str">
        <x:v>L 80 ; l 16,2 ; hauteur inconnue ; tirant 6,15 ; hauteur émergée auteur 11,75 m ; longueur/largeur/tirant sourcés ; hauteur totale réelle inconnue</x:v>
      </x:c>
      <x:c r="I553" t="str">
        <x:v>À équilibrer</x:v>
      </x:c>
      <x:c r="J553" t="str">
        <x:v>Non</x:v>
      </x:c>
      <x:c r="K553" t="str">
        <x:v>Pièces décrites, murs, portes, niveaux et mobilier inspectables à l’échelle. Volumes réservés, raccord au seed, butin, rencontres et services de campagne restent à terminer.</x:v>
      </x:c>
    </x:row>
    <x:row r="554">
      <x:c r="A554" t="str">
        <x:v>EXT-MONDE-T011-V49</x:v>
      </x:c>
      <x:c r="B554" t="str">
        <x:v>EXT-MONDE-T011</x:v>
      </x:c>
      <x:c r="C554" t="str">
        <x:v>Offshore</x:v>
      </x:c>
      <x:c r="D554" t="str">
        <x:v>Navire de soutien offshore</x:v>
      </x:c>
      <x:c r="E554" t="n">
        <x:v>49</x:v>
      </x:c>
      <x:c r="F554" t="str">
        <x:v>Inspection physique</x:v>
      </x:c>
      <x:c r="G554" t="str">
        <x:v>4 niveaux ; 48 pièces ; 304 segments de mur ; 3 transitions. Inspection physique ; architecture complète encore ouverte.</x:v>
      </x:c>
      <x:c r="H554" t="str">
        <x:v>L 80 ; l 16,2 ; hauteur inconnue ; tirant 6,15 ; hauteur émergée auteur 11,75 m ; longueur/largeur/tirant sourcés ; hauteur totale réelle inconnue</x:v>
      </x:c>
      <x:c r="I554" t="str">
        <x:v>À équilibrer</x:v>
      </x:c>
      <x:c r="J554" t="str">
        <x:v>Non</x:v>
      </x:c>
      <x:c r="K554" t="str">
        <x:v>Pièces décrites, murs, portes, niveaux et mobilier inspectables à l’échelle. Volumes réservés, raccord au seed, butin, rencontres et services de campagne restent à terminer.</x:v>
      </x:c>
    </x:row>
    <x:row r="555">
      <x:c r="A555" t="str">
        <x:v>EXT-MONDE-T011-V50</x:v>
      </x:c>
      <x:c r="B555" t="str">
        <x:v>EXT-MONDE-T011</x:v>
      </x:c>
      <x:c r="C555" t="str">
        <x:v>Offshore</x:v>
      </x:c>
      <x:c r="D555" t="str">
        <x:v>Navire de soutien offshore</x:v>
      </x:c>
      <x:c r="E555" t="n">
        <x:v>50</x:v>
      </x:c>
      <x:c r="F555" t="str">
        <x:v>Inspection physique</x:v>
      </x:c>
      <x:c r="G555" t="str">
        <x:v>4 niveaux ; 48 pièces ; 304 segments de mur ; 3 transitions. Inspection physique ; architecture complète encore ouverte.</x:v>
      </x:c>
      <x:c r="H555" t="str">
        <x:v>L 80 ; l 16,2 ; hauteur inconnue ; tirant 6,15 ; hauteur émergée auteur 11,75 m ; longueur/largeur/tirant sourcés ; hauteur totale réelle inconnue</x:v>
      </x:c>
      <x:c r="I555" t="str">
        <x:v>À équilibrer</x:v>
      </x:c>
      <x:c r="J555" t="str">
        <x:v>Non</x:v>
      </x:c>
      <x:c r="K555" t="str">
        <x:v>Pièces décrites, murs, portes, niveaux et mobilier inspectables à l’échelle. Volumes réservés, raccord au seed, butin, rencontres et services de campagne restent à terminer.</x:v>
      </x:c>
    </x:row>
    <x:row r="556" ht="96" customHeight="1">
      <x:c r="A556" s="115" t="str">
        <x:v>EXT-MONDE-T012-V01</x:v>
      </x:c>
      <x:c r="B556" s="115" t="str">
        <x:v>EXT-MONDE-T012</x:v>
      </x:c>
      <x:c r="C556" s="115" t="str">
        <x:v>Offshore</x:v>
      </x:c>
      <x:c r="D556" s="115" t="str">
        <x:v>Station scientifique marine</x:v>
      </x:c>
      <x:c r="E556" s="115" t="n">
        <x:v>1</x:v>
      </x:c>
      <x:c r="F556" s="115" t="str">
        <x:v>Inspection physique</x:v>
      </x:c>
      <x:c r="G556" s="115" t="str">
        <x:v>1 niveaux ; 34 pièces ; 260 segments de mur ; 0 transitions. Inspection physique ; architecture complète encore ouverte.</x:v>
      </x:c>
      <x:c r="H556" s="115" t="str">
        <x:v>L 356 ; l 296 ; hauteur 26 m ; choix de composition auteur ; dimensions réelles à documenter</x:v>
      </x:c>
      <x:c r="I556" s="115" t="str">
        <x:v>À équilibrer</x:v>
      </x:c>
      <x:c r="J556" s="115" t="str">
        <x:v>Non</x:v>
      </x:c>
      <x:c r="K556" s="115" t="str">
        <x:v>Pièces décrites, murs, portes, niveaux et mobilier inspectables à l’échelle. Volumes réservés, raccord au seed, butin, rencontres et services de campagne restent à terminer.</x:v>
      </x:c>
    </x:row>
    <x:row r="557" ht="96" customHeight="1">
      <x:c r="A557" s="115" t="str">
        <x:v>EXT-MONDE-T012-V02</x:v>
      </x:c>
      <x:c r="B557" s="115" t="str">
        <x:v>EXT-MONDE-T012</x:v>
      </x:c>
      <x:c r="C557" s="115" t="str">
        <x:v>Offshore</x:v>
      </x:c>
      <x:c r="D557" s="115" t="str">
        <x:v>Station scientifique marine</x:v>
      </x:c>
      <x:c r="E557" s="115" t="n">
        <x:v>2</x:v>
      </x:c>
      <x:c r="F557" s="115" t="str">
        <x:v>Inspection physique</x:v>
      </x:c>
      <x:c r="G557" s="115" t="str">
        <x:v>1 niveaux ; 34 pièces ; 260 segments de mur ; 0 transitions. Inspection physique ; architecture complète encore ouverte.</x:v>
      </x:c>
      <x:c r="H557" s="115" t="str">
        <x:v>L 356 ; l 296 ; hauteur 26 m ; choix de composition auteur ; dimensions réelles à documenter</x:v>
      </x:c>
      <x:c r="I557" s="115" t="str">
        <x:v>À équilibrer</x:v>
      </x:c>
      <x:c r="J557" s="115" t="str">
        <x:v>Non</x:v>
      </x:c>
      <x:c r="K557" s="115" t="str">
        <x:v>Pièces décrites, murs, portes, niveaux et mobilier inspectables à l’échelle. Volumes réservés, raccord au seed, butin, rencontres et services de campagne restent à terminer.</x:v>
      </x:c>
    </x:row>
    <x:row r="558" ht="96" customHeight="1">
      <x:c r="A558" s="115" t="str">
        <x:v>EXT-MONDE-T012-V03</x:v>
      </x:c>
      <x:c r="B558" s="115" t="str">
        <x:v>EXT-MONDE-T012</x:v>
      </x:c>
      <x:c r="C558" s="115" t="str">
        <x:v>Offshore</x:v>
      </x:c>
      <x:c r="D558" s="115" t="str">
        <x:v>Station scientifique marine</x:v>
      </x:c>
      <x:c r="E558" s="115" t="n">
        <x:v>3</x:v>
      </x:c>
      <x:c r="F558" s="115" t="str">
        <x:v>Inspection physique</x:v>
      </x:c>
      <x:c r="G558" s="115" t="str">
        <x:v>1 niveaux ; 34 pièces ; 260 segments de mur ; 0 transitions. Inspection physique ; architecture complète encore ouverte.</x:v>
      </x:c>
      <x:c r="H558" s="115" t="str">
        <x:v>L 356 ; l 296 ; hauteur 26 m ; choix de composition auteur ; dimensions réelles à documenter</x:v>
      </x:c>
      <x:c r="I558" s="115" t="str">
        <x:v>À équilibrer</x:v>
      </x:c>
      <x:c r="J558" s="115" t="str">
        <x:v>Non</x:v>
      </x:c>
      <x:c r="K558" s="115" t="str">
        <x:v>Pièces décrites, murs, portes, niveaux et mobilier inspectables à l’échelle. Volumes réservés, raccord au seed, butin, rencontres et services de campagne restent à terminer.</x:v>
      </x:c>
    </x:row>
    <x:row r="559" ht="96" customHeight="1">
      <x:c r="A559" s="115" t="str">
        <x:v>EXT-MONDE-T012-V04</x:v>
      </x:c>
      <x:c r="B559" s="115" t="str">
        <x:v>EXT-MONDE-T012</x:v>
      </x:c>
      <x:c r="C559" s="115" t="str">
        <x:v>Offshore</x:v>
      </x:c>
      <x:c r="D559" s="115" t="str">
        <x:v>Station scientifique marine</x:v>
      </x:c>
      <x:c r="E559" s="115" t="n">
        <x:v>4</x:v>
      </x:c>
      <x:c r="F559" s="115" t="str">
        <x:v>Inspection physique</x:v>
      </x:c>
      <x:c r="G559" s="115" t="str">
        <x:v>1 niveaux ; 34 pièces ; 260 segments de mur ; 0 transitions. Inspection physique ; architecture complète encore ouverte.</x:v>
      </x:c>
      <x:c r="H559" s="115" t="str">
        <x:v>L 356 ; l 296 ; hauteur 26 m ; choix de composition auteur ; dimensions réelles à documenter</x:v>
      </x:c>
      <x:c r="I559" s="115" t="str">
        <x:v>À équilibrer</x:v>
      </x:c>
      <x:c r="J559" s="115" t="str">
        <x:v>Non</x:v>
      </x:c>
      <x:c r="K559" s="115" t="str">
        <x:v>Pièces décrites, murs, portes, niveaux et mobilier inspectables à l’échelle. Volumes réservés, raccord au seed, butin, rencontres et services de campagne restent à terminer.</x:v>
      </x:c>
    </x:row>
    <x:row r="560" ht="96" customHeight="1">
      <x:c r="A560" s="115" t="str">
        <x:v>EXT-MONDE-T012-V05</x:v>
      </x:c>
      <x:c r="B560" s="115" t="str">
        <x:v>EXT-MONDE-T012</x:v>
      </x:c>
      <x:c r="C560" s="115" t="str">
        <x:v>Offshore</x:v>
      </x:c>
      <x:c r="D560" s="115" t="str">
        <x:v>Station scientifique marine</x:v>
      </x:c>
      <x:c r="E560" s="115" t="n">
        <x:v>5</x:v>
      </x:c>
      <x:c r="F560" s="115" t="str">
        <x:v>Inspection physique</x:v>
      </x:c>
      <x:c r="G560" s="115" t="str">
        <x:v>1 niveaux ; 34 pièces ; 260 segments de mur ; 0 transitions. Inspection physique ; architecture complète encore ouverte.</x:v>
      </x:c>
      <x:c r="H560" s="115" t="str">
        <x:v>L 356 ; l 296 ; hauteur 26 m ; choix de composition auteur ; dimensions réelles à documenter</x:v>
      </x:c>
      <x:c r="I560" s="115" t="str">
        <x:v>À équilibrer</x:v>
      </x:c>
      <x:c r="J560" s="115" t="str">
        <x:v>Non</x:v>
      </x:c>
      <x:c r="K560" s="115" t="str">
        <x:v>Pièces décrites, murs, portes, niveaux et mobilier inspectables à l’échelle. Volumes réservés, raccord au seed, butin, rencontres et services de campagne restent à terminer.</x:v>
      </x:c>
    </x:row>
    <x:row r="561" ht="96" customHeight="1">
      <x:c r="A561" s="115" t="str">
        <x:v>EXT-MONDE-T012-V06</x:v>
      </x:c>
      <x:c r="B561" s="115" t="str">
        <x:v>EXT-MONDE-T012</x:v>
      </x:c>
      <x:c r="C561" s="115" t="str">
        <x:v>Offshore</x:v>
      </x:c>
      <x:c r="D561" s="115" t="str">
        <x:v>Station scientifique marine</x:v>
      </x:c>
      <x:c r="E561" s="115" t="n">
        <x:v>6</x:v>
      </x:c>
      <x:c r="F561" s="115" t="str">
        <x:v>Inspection physique</x:v>
      </x:c>
      <x:c r="G561" s="115" t="str">
        <x:v>1 niveaux ; 34 pièces ; 260 segments de mur ; 0 transitions. Inspection physique ; architecture complète encore ouverte.</x:v>
      </x:c>
      <x:c r="H561" s="115" t="str">
        <x:v>L 356 ; l 296 ; hauteur 26 m ; choix de composition auteur ; dimensions réelles à documenter</x:v>
      </x:c>
      <x:c r="I561" s="115" t="str">
        <x:v>À équilibrer</x:v>
      </x:c>
      <x:c r="J561" s="115" t="str">
        <x:v>Non</x:v>
      </x:c>
      <x:c r="K561" s="115" t="str">
        <x:v>Pièces décrites, murs, portes, niveaux et mobilier inspectables à l’échelle. Volumes réservés, raccord au seed, butin, rencontres et services de campagne restent à terminer.</x:v>
      </x:c>
    </x:row>
    <x:row r="562" ht="96" customHeight="1">
      <x:c r="A562" s="115" t="str">
        <x:v>EXT-MONDE-T012-V07</x:v>
      </x:c>
      <x:c r="B562" s="115" t="str">
        <x:v>EXT-MONDE-T012</x:v>
      </x:c>
      <x:c r="C562" s="115" t="str">
        <x:v>Offshore</x:v>
      </x:c>
      <x:c r="D562" s="115" t="str">
        <x:v>Station scientifique marine</x:v>
      </x:c>
      <x:c r="E562" s="115" t="n">
        <x:v>7</x:v>
      </x:c>
      <x:c r="F562" s="115" t="str">
        <x:v>Inspection physique</x:v>
      </x:c>
      <x:c r="G562" s="115" t="str">
        <x:v>1 niveaux ; 34 pièces ; 260 segments de mur ; 0 transitions. Inspection physique ; architecture complète encore ouverte.</x:v>
      </x:c>
      <x:c r="H562" s="115" t="str">
        <x:v>L 356 ; l 296 ; hauteur 26 m ; choix de composition auteur ; dimensions réelles à documenter</x:v>
      </x:c>
      <x:c r="I562" s="115" t="str">
        <x:v>À équilibrer</x:v>
      </x:c>
      <x:c r="J562" s="115" t="str">
        <x:v>Non</x:v>
      </x:c>
      <x:c r="K562" s="115" t="str">
        <x:v>Pièces décrites, murs, portes, niveaux et mobilier inspectables à l’échelle. Volumes réservés, raccord au seed, butin, rencontres et services de campagne restent à terminer.</x:v>
      </x:c>
    </x:row>
    <x:row r="563" ht="96" customHeight="1">
      <x:c r="A563" s="115" t="str">
        <x:v>EXT-MONDE-T012-V08</x:v>
      </x:c>
      <x:c r="B563" s="115" t="str">
        <x:v>EXT-MONDE-T012</x:v>
      </x:c>
      <x:c r="C563" s="115" t="str">
        <x:v>Offshore</x:v>
      </x:c>
      <x:c r="D563" s="115" t="str">
        <x:v>Station scientifique marine</x:v>
      </x:c>
      <x:c r="E563" s="115" t="n">
        <x:v>8</x:v>
      </x:c>
      <x:c r="F563" s="115" t="str">
        <x:v>Inspection physique</x:v>
      </x:c>
      <x:c r="G563" s="115" t="str">
        <x:v>1 niveaux ; 34 pièces ; 260 segments de mur ; 0 transitions. Inspection physique ; architecture complète encore ouverte.</x:v>
      </x:c>
      <x:c r="H563" s="115" t="str">
        <x:v>L 356 ; l 296 ; hauteur 26 m ; choix de composition auteur ; dimensions réelles à documenter</x:v>
      </x:c>
      <x:c r="I563" s="115" t="str">
        <x:v>À équilibrer</x:v>
      </x:c>
      <x:c r="J563" s="115" t="str">
        <x:v>Non</x:v>
      </x:c>
      <x:c r="K563" s="115" t="str">
        <x:v>Pièces décrites, murs, portes, niveaux et mobilier inspectables à l’échelle. Volumes réservés, raccord au seed, butin, rencontres et services de campagne restent à terminer.</x:v>
      </x:c>
    </x:row>
    <x:row r="564" ht="96" customHeight="1">
      <x:c r="A564" s="115" t="str">
        <x:v>EXT-MONDE-T012-V09</x:v>
      </x:c>
      <x:c r="B564" s="115" t="str">
        <x:v>EXT-MONDE-T012</x:v>
      </x:c>
      <x:c r="C564" s="115" t="str">
        <x:v>Offshore</x:v>
      </x:c>
      <x:c r="D564" s="115" t="str">
        <x:v>Station scientifique marine</x:v>
      </x:c>
      <x:c r="E564" s="115" t="n">
        <x:v>9</x:v>
      </x:c>
      <x:c r="F564" s="115" t="str">
        <x:v>Inspection physique</x:v>
      </x:c>
      <x:c r="G564" s="115" t="str">
        <x:v>1 niveaux ; 34 pièces ; 260 segments de mur ; 0 transitions. Inspection physique ; architecture complète encore ouverte.</x:v>
      </x:c>
      <x:c r="H564" s="115" t="str">
        <x:v>L 356 ; l 296 ; hauteur 26 m ; choix de composition auteur ; dimensions réelles à documenter</x:v>
      </x:c>
      <x:c r="I564" s="115" t="str">
        <x:v>À équilibrer</x:v>
      </x:c>
      <x:c r="J564" s="115" t="str">
        <x:v>Non</x:v>
      </x:c>
      <x:c r="K564" s="115" t="str">
        <x:v>Pièces décrites, murs, portes, niveaux et mobilier inspectables à l’échelle. Volumes réservés, raccord au seed, butin, rencontres et services de campagne restent à terminer.</x:v>
      </x:c>
    </x:row>
    <x:row r="565" ht="96" customHeight="1">
      <x:c r="A565" s="115" t="str">
        <x:v>EXT-MONDE-T012-V10</x:v>
      </x:c>
      <x:c r="B565" s="115" t="str">
        <x:v>EXT-MONDE-T012</x:v>
      </x:c>
      <x:c r="C565" s="115" t="str">
        <x:v>Offshore</x:v>
      </x:c>
      <x:c r="D565" s="115" t="str">
        <x:v>Station scientifique marine</x:v>
      </x:c>
      <x:c r="E565" s="115" t="n">
        <x:v>10</x:v>
      </x:c>
      <x:c r="F565" s="115" t="str">
        <x:v>Inspection physique</x:v>
      </x:c>
      <x:c r="G565" s="115" t="str">
        <x:v>1 niveaux ; 34 pièces ; 260 segments de mur ; 0 transitions. Inspection physique ; architecture complète encore ouverte.</x:v>
      </x:c>
      <x:c r="H565" s="115" t="str">
        <x:v>L 356 ; l 296 ; hauteur 26 m ; choix de composition auteur ; dimensions réelles à documenter</x:v>
      </x:c>
      <x:c r="I565" s="115" t="str">
        <x:v>À équilibrer</x:v>
      </x:c>
      <x:c r="J565" s="115" t="str">
        <x:v>Non</x:v>
      </x:c>
      <x:c r="K565" s="115" t="str">
        <x:v>Pièces décrites, murs, portes, niveaux et mobilier inspectables à l’échelle. Volumes réservés, raccord au seed, butin, rencontres et services de campagne restent à terminer.</x:v>
      </x:c>
    </x:row>
    <x:row r="566" ht="96" customHeight="1">
      <x:c r="A566" s="115" t="str">
        <x:v>EXT-MONDE-T012-V11</x:v>
      </x:c>
      <x:c r="B566" s="115" t="str">
        <x:v>EXT-MONDE-T012</x:v>
      </x:c>
      <x:c r="C566" s="115" t="str">
        <x:v>Offshore</x:v>
      </x:c>
      <x:c r="D566" s="115" t="str">
        <x:v>Station scientifique marine</x:v>
      </x:c>
      <x:c r="E566" s="115" t="n">
        <x:v>11</x:v>
      </x:c>
      <x:c r="F566" s="115" t="str">
        <x:v>Inspection physique</x:v>
      </x:c>
      <x:c r="G566" s="115" t="str">
        <x:v>1 niveaux ; 34 pièces ; 260 segments de mur ; 0 transitions. Inspection physique ; architecture complète encore ouverte.</x:v>
      </x:c>
      <x:c r="H566" s="115" t="str">
        <x:v>L 370 ; l 308 ; hauteur 26 m ; choix de composition auteur ; dimensions réelles à documenter</x:v>
      </x:c>
      <x:c r="I566" s="115" t="str">
        <x:v>À équilibrer</x:v>
      </x:c>
      <x:c r="J566" s="115" t="str">
        <x:v>Non</x:v>
      </x:c>
      <x:c r="K566" s="115" t="str">
        <x:v>Pièces décrites, murs, portes, niveaux et mobilier inspectables à l’échelle. Volumes réservés, raccord au seed, butin, rencontres et services de campagne restent à terminer.</x:v>
      </x:c>
    </x:row>
    <x:row r="567" ht="96" customHeight="1">
      <x:c r="A567" s="115" t="str">
        <x:v>EXT-MONDE-T012-V12</x:v>
      </x:c>
      <x:c r="B567" s="115" t="str">
        <x:v>EXT-MONDE-T012</x:v>
      </x:c>
      <x:c r="C567" s="115" t="str">
        <x:v>Offshore</x:v>
      </x:c>
      <x:c r="D567" s="115" t="str">
        <x:v>Station scientifique marine</x:v>
      </x:c>
      <x:c r="E567" s="115" t="n">
        <x:v>12</x:v>
      </x:c>
      <x:c r="F567" s="115" t="str">
        <x:v>Inspection physique</x:v>
      </x:c>
      <x:c r="G567" s="115" t="str">
        <x:v>1 niveaux ; 34 pièces ; 260 segments de mur ; 0 transitions. Inspection physique ; architecture complète encore ouverte.</x:v>
      </x:c>
      <x:c r="H567" s="115" t="str">
        <x:v>L 370 ; l 308 ; hauteur 26 m ; choix de composition auteur ; dimensions réelles à documenter</x:v>
      </x:c>
      <x:c r="I567" s="115" t="str">
        <x:v>À équilibrer</x:v>
      </x:c>
      <x:c r="J567" s="115" t="str">
        <x:v>Non</x:v>
      </x:c>
      <x:c r="K567" s="115" t="str">
        <x:v>Pièces décrites, murs, portes, niveaux et mobilier inspectables à l’échelle. Volumes réservés, raccord au seed, butin, rencontres et services de campagne restent à terminer.</x:v>
      </x:c>
    </x:row>
    <x:row r="568" ht="96" customHeight="1">
      <x:c r="A568" s="115" t="str">
        <x:v>EXT-MONDE-T012-V13</x:v>
      </x:c>
      <x:c r="B568" s="115" t="str">
        <x:v>EXT-MONDE-T012</x:v>
      </x:c>
      <x:c r="C568" s="115" t="str">
        <x:v>Offshore</x:v>
      </x:c>
      <x:c r="D568" s="115" t="str">
        <x:v>Station scientifique marine</x:v>
      </x:c>
      <x:c r="E568" s="115" t="n">
        <x:v>13</x:v>
      </x:c>
      <x:c r="F568" s="115" t="str">
        <x:v>Inspection physique</x:v>
      </x:c>
      <x:c r="G568" s="115" t="str">
        <x:v>1 niveaux ; 34 pièces ; 260 segments de mur ; 0 transitions. Inspection physique ; architecture complète encore ouverte.</x:v>
      </x:c>
      <x:c r="H568" s="115" t="str">
        <x:v>L 370 ; l 308 ; hauteur 26 m ; choix de composition auteur ; dimensions réelles à documenter</x:v>
      </x:c>
      <x:c r="I568" s="115" t="str">
        <x:v>À équilibrer</x:v>
      </x:c>
      <x:c r="J568" s="115" t="str">
        <x:v>Non</x:v>
      </x:c>
      <x:c r="K568" s="115" t="str">
        <x:v>Pièces décrites, murs, portes, niveaux et mobilier inspectables à l’échelle. Volumes réservés, raccord au seed, butin, rencontres et services de campagne restent à terminer.</x:v>
      </x:c>
    </x:row>
    <x:row r="569" ht="96" customHeight="1">
      <x:c r="A569" s="115" t="str">
        <x:v>EXT-MONDE-T012-V14</x:v>
      </x:c>
      <x:c r="B569" s="115" t="str">
        <x:v>EXT-MONDE-T012</x:v>
      </x:c>
      <x:c r="C569" s="115" t="str">
        <x:v>Offshore</x:v>
      </x:c>
      <x:c r="D569" s="115" t="str">
        <x:v>Station scientifique marine</x:v>
      </x:c>
      <x:c r="E569" s="115" t="n">
        <x:v>14</x:v>
      </x:c>
      <x:c r="F569" s="115" t="str">
        <x:v>Inspection physique</x:v>
      </x:c>
      <x:c r="G569" s="115" t="str">
        <x:v>1 niveaux ; 34 pièces ; 260 segments de mur ; 0 transitions. Inspection physique ; architecture complète encore ouverte.</x:v>
      </x:c>
      <x:c r="H569" s="115" t="str">
        <x:v>L 370 ; l 308 ; hauteur 26 m ; choix de composition auteur ; dimensions réelles à documenter</x:v>
      </x:c>
      <x:c r="I569" s="115" t="str">
        <x:v>À équilibrer</x:v>
      </x:c>
      <x:c r="J569" s="115" t="str">
        <x:v>Non</x:v>
      </x:c>
      <x:c r="K569" s="115" t="str">
        <x:v>Pièces décrites, murs, portes, niveaux et mobilier inspectables à l’échelle. Volumes réservés, raccord au seed, butin, rencontres et services de campagne restent à terminer.</x:v>
      </x:c>
    </x:row>
    <x:row r="570" ht="96" customHeight="1">
      <x:c r="A570" s="115" t="str">
        <x:v>EXT-MONDE-T012-V15</x:v>
      </x:c>
      <x:c r="B570" s="115" t="str">
        <x:v>EXT-MONDE-T012</x:v>
      </x:c>
      <x:c r="C570" s="115" t="str">
        <x:v>Offshore</x:v>
      </x:c>
      <x:c r="D570" s="115" t="str">
        <x:v>Station scientifique marine</x:v>
      </x:c>
      <x:c r="E570" s="115" t="n">
        <x:v>15</x:v>
      </x:c>
      <x:c r="F570" s="115" t="str">
        <x:v>Inspection physique</x:v>
      </x:c>
      <x:c r="G570" s="115" t="str">
        <x:v>1 niveaux ; 34 pièces ; 260 segments de mur ; 0 transitions. Inspection physique ; architecture complète encore ouverte.</x:v>
      </x:c>
      <x:c r="H570" s="115" t="str">
        <x:v>L 370 ; l 308 ; hauteur 26 m ; choix de composition auteur ; dimensions réelles à documenter</x:v>
      </x:c>
      <x:c r="I570" s="115" t="str">
        <x:v>À équilibrer</x:v>
      </x:c>
      <x:c r="J570" s="115" t="str">
        <x:v>Non</x:v>
      </x:c>
      <x:c r="K570" s="115" t="str">
        <x:v>Pièces décrites, murs, portes, niveaux et mobilier inspectables à l’échelle. Volumes réservés, raccord au seed, butin, rencontres et services de campagne restent à terminer.</x:v>
      </x:c>
    </x:row>
    <x:row r="571" ht="96" customHeight="1">
      <x:c r="A571" s="115" t="str">
        <x:v>EXT-MONDE-T012-V16</x:v>
      </x:c>
      <x:c r="B571" s="115" t="str">
        <x:v>EXT-MONDE-T012</x:v>
      </x:c>
      <x:c r="C571" s="115" t="str">
        <x:v>Offshore</x:v>
      </x:c>
      <x:c r="D571" s="115" t="str">
        <x:v>Station scientifique marine</x:v>
      </x:c>
      <x:c r="E571" s="115" t="n">
        <x:v>16</x:v>
      </x:c>
      <x:c r="F571" s="115" t="str">
        <x:v>Inspection physique</x:v>
      </x:c>
      <x:c r="G571" s="115" t="str">
        <x:v>1 niveaux ; 34 pièces ; 260 segments de mur ; 0 transitions. Inspection physique ; architecture complète encore ouverte.</x:v>
      </x:c>
      <x:c r="H571" s="115" t="str">
        <x:v>L 370 ; l 308 ; hauteur 26 m ; choix de composition auteur ; dimensions réelles à documenter</x:v>
      </x:c>
      <x:c r="I571" s="115" t="str">
        <x:v>À équilibrer</x:v>
      </x:c>
      <x:c r="J571" s="115" t="str">
        <x:v>Non</x:v>
      </x:c>
      <x:c r="K571" s="115" t="str">
        <x:v>Pièces décrites, murs, portes, niveaux et mobilier inspectables à l’échelle. Volumes réservés, raccord au seed, butin, rencontres et services de campagne restent à terminer.</x:v>
      </x:c>
    </x:row>
    <x:row r="572" ht="96" customHeight="1">
      <x:c r="A572" s="115" t="str">
        <x:v>EXT-MONDE-T012-V17</x:v>
      </x:c>
      <x:c r="B572" s="115" t="str">
        <x:v>EXT-MONDE-T012</x:v>
      </x:c>
      <x:c r="C572" s="115" t="str">
        <x:v>Offshore</x:v>
      </x:c>
      <x:c r="D572" s="115" t="str">
        <x:v>Station scientifique marine</x:v>
      </x:c>
      <x:c r="E572" s="115" t="n">
        <x:v>17</x:v>
      </x:c>
      <x:c r="F572" s="115" t="str">
        <x:v>Inspection physique</x:v>
      </x:c>
      <x:c r="G572" s="115" t="str">
        <x:v>1 niveaux ; 34 pièces ; 260 segments de mur ; 0 transitions. Inspection physique ; architecture complète encore ouverte.</x:v>
      </x:c>
      <x:c r="H572" s="115" t="str">
        <x:v>L 370 ; l 308 ; hauteur 26 m ; choix de composition auteur ; dimensions réelles à documenter</x:v>
      </x:c>
      <x:c r="I572" s="115" t="str">
        <x:v>À équilibrer</x:v>
      </x:c>
      <x:c r="J572" s="115" t="str">
        <x:v>Non</x:v>
      </x:c>
      <x:c r="K572" s="115" t="str">
        <x:v>Pièces décrites, murs, portes, niveaux et mobilier inspectables à l’échelle. Volumes réservés, raccord au seed, butin, rencontres et services de campagne restent à terminer.</x:v>
      </x:c>
    </x:row>
    <x:row r="573" ht="96" customHeight="1">
      <x:c r="A573" s="115" t="str">
        <x:v>EXT-MONDE-T012-V18</x:v>
      </x:c>
      <x:c r="B573" s="115" t="str">
        <x:v>EXT-MONDE-T012</x:v>
      </x:c>
      <x:c r="C573" s="115" t="str">
        <x:v>Offshore</x:v>
      </x:c>
      <x:c r="D573" s="115" t="str">
        <x:v>Station scientifique marine</x:v>
      </x:c>
      <x:c r="E573" s="115" t="n">
        <x:v>18</x:v>
      </x:c>
      <x:c r="F573" s="115" t="str">
        <x:v>Inspection physique</x:v>
      </x:c>
      <x:c r="G573" s="115" t="str">
        <x:v>1 niveaux ; 34 pièces ; 260 segments de mur ; 0 transitions. Inspection physique ; architecture complète encore ouverte.</x:v>
      </x:c>
      <x:c r="H573" s="115" t="str">
        <x:v>L 370 ; l 308 ; hauteur 26 m ; choix de composition auteur ; dimensions réelles à documenter</x:v>
      </x:c>
      <x:c r="I573" s="115" t="str">
        <x:v>À équilibrer</x:v>
      </x:c>
      <x:c r="J573" s="115" t="str">
        <x:v>Non</x:v>
      </x:c>
      <x:c r="K573" s="115" t="str">
        <x:v>Pièces décrites, murs, portes, niveaux et mobilier inspectables à l’échelle. Volumes réservés, raccord au seed, butin, rencontres et services de campagne restent à terminer.</x:v>
      </x:c>
    </x:row>
    <x:row r="574" ht="96" customHeight="1">
      <x:c r="A574" s="115" t="str">
        <x:v>EXT-MONDE-T012-V19</x:v>
      </x:c>
      <x:c r="B574" s="115" t="str">
        <x:v>EXT-MONDE-T012</x:v>
      </x:c>
      <x:c r="C574" s="115" t="str">
        <x:v>Offshore</x:v>
      </x:c>
      <x:c r="D574" s="115" t="str">
        <x:v>Station scientifique marine</x:v>
      </x:c>
      <x:c r="E574" s="115" t="n">
        <x:v>19</x:v>
      </x:c>
      <x:c r="F574" s="115" t="str">
        <x:v>Inspection physique</x:v>
      </x:c>
      <x:c r="G574" s="115" t="str">
        <x:v>1 niveaux ; 34 pièces ; 260 segments de mur ; 0 transitions. Inspection physique ; architecture complète encore ouverte.</x:v>
      </x:c>
      <x:c r="H574" s="115" t="str">
        <x:v>L 370 ; l 308 ; hauteur 26 m ; choix de composition auteur ; dimensions réelles à documenter</x:v>
      </x:c>
      <x:c r="I574" s="115" t="str">
        <x:v>À équilibrer</x:v>
      </x:c>
      <x:c r="J574" s="115" t="str">
        <x:v>Non</x:v>
      </x:c>
      <x:c r="K574" s="115" t="str">
        <x:v>Pièces décrites, murs, portes, niveaux et mobilier inspectables à l’échelle. Volumes réservés, raccord au seed, butin, rencontres et services de campagne restent à terminer.</x:v>
      </x:c>
    </x:row>
    <x:row r="575" ht="96" customHeight="1">
      <x:c r="A575" s="115" t="str">
        <x:v>EXT-MONDE-T012-V20</x:v>
      </x:c>
      <x:c r="B575" s="115" t="str">
        <x:v>EXT-MONDE-T012</x:v>
      </x:c>
      <x:c r="C575" s="115" t="str">
        <x:v>Offshore</x:v>
      </x:c>
      <x:c r="D575" s="115" t="str">
        <x:v>Station scientifique marine</x:v>
      </x:c>
      <x:c r="E575" s="115" t="n">
        <x:v>20</x:v>
      </x:c>
      <x:c r="F575" s="115" t="str">
        <x:v>Inspection physique</x:v>
      </x:c>
      <x:c r="G575" s="115" t="str">
        <x:v>1 niveaux ; 34 pièces ; 260 segments de mur ; 0 transitions. Inspection physique ; architecture complète encore ouverte.</x:v>
      </x:c>
      <x:c r="H575" s="115" t="str">
        <x:v>L 370 ; l 308 ; hauteur 26 m ; choix de composition auteur ; dimensions réelles à documenter</x:v>
      </x:c>
      <x:c r="I575" s="115" t="str">
        <x:v>À équilibrer</x:v>
      </x:c>
      <x:c r="J575" s="115" t="str">
        <x:v>Non</x:v>
      </x:c>
      <x:c r="K575" s="115" t="str">
        <x:v>Pièces décrites, murs, portes, niveaux et mobilier inspectables à l’échelle. Volumes réservés, raccord au seed, butin, rencontres et services de campagne restent à terminer.</x:v>
      </x:c>
    </x:row>
    <x:row r="576" ht="96" customHeight="1">
      <x:c r="A576" s="115" t="str">
        <x:v>EXT-MONDE-T012-V21</x:v>
      </x:c>
      <x:c r="B576" s="115" t="str">
        <x:v>EXT-MONDE-T012</x:v>
      </x:c>
      <x:c r="C576" s="115" t="str">
        <x:v>Offshore</x:v>
      </x:c>
      <x:c r="D576" s="115" t="str">
        <x:v>Station scientifique marine</x:v>
      </x:c>
      <x:c r="E576" s="115" t="n">
        <x:v>21</x:v>
      </x:c>
      <x:c r="F576" s="115" t="str">
        <x:v>Inspection physique</x:v>
      </x:c>
      <x:c r="G576" s="115" t="str">
        <x:v>1 niveaux ; 34 pièces ; 260 segments de mur ; 0 transitions. Inspection physique ; architecture complète encore ouverte.</x:v>
      </x:c>
      <x:c r="H576" s="115" t="str">
        <x:v>L 384 ; l 320 ; hauteur 26 m ; choix de composition auteur ; dimensions réelles à documenter</x:v>
      </x:c>
      <x:c r="I576" s="115" t="str">
        <x:v>À équilibrer</x:v>
      </x:c>
      <x:c r="J576" s="115" t="str">
        <x:v>Non</x:v>
      </x:c>
      <x:c r="K576" s="115" t="str">
        <x:v>Pièces décrites, murs, portes, niveaux et mobilier inspectables à l’échelle. Volumes réservés, raccord au seed, butin, rencontres et services de campagne restent à terminer.</x:v>
      </x:c>
    </x:row>
    <x:row r="577" ht="96" customHeight="1">
      <x:c r="A577" s="115" t="str">
        <x:v>EXT-MONDE-T012-V22</x:v>
      </x:c>
      <x:c r="B577" s="115" t="str">
        <x:v>EXT-MONDE-T012</x:v>
      </x:c>
      <x:c r="C577" s="115" t="str">
        <x:v>Offshore</x:v>
      </x:c>
      <x:c r="D577" s="115" t="str">
        <x:v>Station scientifique marine</x:v>
      </x:c>
      <x:c r="E577" s="115" t="n">
        <x:v>22</x:v>
      </x:c>
      <x:c r="F577" s="115" t="str">
        <x:v>Inspection physique</x:v>
      </x:c>
      <x:c r="G577" s="115" t="str">
        <x:v>1 niveaux ; 34 pièces ; 260 segments de mur ; 0 transitions. Inspection physique ; architecture complète encore ouverte.</x:v>
      </x:c>
      <x:c r="H577" s="115" t="str">
        <x:v>L 384 ; l 320 ; hauteur 26 m ; choix de composition auteur ; dimensions réelles à documenter</x:v>
      </x:c>
      <x:c r="I577" s="115" t="str">
        <x:v>À équilibrer</x:v>
      </x:c>
      <x:c r="J577" s="115" t="str">
        <x:v>Non</x:v>
      </x:c>
      <x:c r="K577" s="115" t="str">
        <x:v>Pièces décrites, murs, portes, niveaux et mobilier inspectables à l’échelle. Volumes réservés, raccord au seed, butin, rencontres et services de campagne restent à terminer.</x:v>
      </x:c>
    </x:row>
    <x:row r="578" ht="96" customHeight="1">
      <x:c r="A578" s="115" t="str">
        <x:v>EXT-MONDE-T012-V23</x:v>
      </x:c>
      <x:c r="B578" s="115" t="str">
        <x:v>EXT-MONDE-T012</x:v>
      </x:c>
      <x:c r="C578" s="115" t="str">
        <x:v>Offshore</x:v>
      </x:c>
      <x:c r="D578" s="115" t="str">
        <x:v>Station scientifique marine</x:v>
      </x:c>
      <x:c r="E578" s="115" t="n">
        <x:v>23</x:v>
      </x:c>
      <x:c r="F578" s="115" t="str">
        <x:v>Inspection physique</x:v>
      </x:c>
      <x:c r="G578" s="115" t="str">
        <x:v>1 niveaux ; 34 pièces ; 260 segments de mur ; 0 transitions. Inspection physique ; architecture complète encore ouverte.</x:v>
      </x:c>
      <x:c r="H578" s="115" t="str">
        <x:v>L 384 ; l 320 ; hauteur 26 m ; choix de composition auteur ; dimensions réelles à documenter</x:v>
      </x:c>
      <x:c r="I578" s="115" t="str">
        <x:v>À équilibrer</x:v>
      </x:c>
      <x:c r="J578" s="115" t="str">
        <x:v>Non</x:v>
      </x:c>
      <x:c r="K578" s="115" t="str">
        <x:v>Pièces décrites, murs, portes, niveaux et mobilier inspectables à l’échelle. Volumes réservés, raccord au seed, butin, rencontres et services de campagne restent à terminer.</x:v>
      </x:c>
    </x:row>
    <x:row r="579" ht="96" customHeight="1">
      <x:c r="A579" s="115" t="str">
        <x:v>EXT-MONDE-T012-V24</x:v>
      </x:c>
      <x:c r="B579" s="115" t="str">
        <x:v>EXT-MONDE-T012</x:v>
      </x:c>
      <x:c r="C579" s="115" t="str">
        <x:v>Offshore</x:v>
      </x:c>
      <x:c r="D579" s="115" t="str">
        <x:v>Station scientifique marine</x:v>
      </x:c>
      <x:c r="E579" s="115" t="n">
        <x:v>24</x:v>
      </x:c>
      <x:c r="F579" s="115" t="str">
        <x:v>Inspection physique</x:v>
      </x:c>
      <x:c r="G579" s="115" t="str">
        <x:v>1 niveaux ; 34 pièces ; 260 segments de mur ; 0 transitions. Inspection physique ; architecture complète encore ouverte.</x:v>
      </x:c>
      <x:c r="H579" s="115" t="str">
        <x:v>L 384 ; l 320 ; hauteur 26 m ; choix de composition auteur ; dimensions réelles à documenter</x:v>
      </x:c>
      <x:c r="I579" s="115" t="str">
        <x:v>À équilibrer</x:v>
      </x:c>
      <x:c r="J579" s="115" t="str">
        <x:v>Non</x:v>
      </x:c>
      <x:c r="K579" s="115" t="str">
        <x:v>Pièces décrites, murs, portes, niveaux et mobilier inspectables à l’échelle. Volumes réservés, raccord au seed, butin, rencontres et services de campagne restent à terminer.</x:v>
      </x:c>
    </x:row>
    <x:row r="580" ht="96" customHeight="1">
      <x:c r="A580" s="115" t="str">
        <x:v>EXT-MONDE-T012-V25</x:v>
      </x:c>
      <x:c r="B580" s="115" t="str">
        <x:v>EXT-MONDE-T012</x:v>
      </x:c>
      <x:c r="C580" s="115" t="str">
        <x:v>Offshore</x:v>
      </x:c>
      <x:c r="D580" s="115" t="str">
        <x:v>Station scientifique marine</x:v>
      </x:c>
      <x:c r="E580" s="115" t="n">
        <x:v>25</x:v>
      </x:c>
      <x:c r="F580" s="115" t="str">
        <x:v>Inspection physique</x:v>
      </x:c>
      <x:c r="G580" s="115" t="str">
        <x:v>1 niveaux ; 34 pièces ; 260 segments de mur ; 0 transitions. Inspection physique ; architecture complète encore ouverte.</x:v>
      </x:c>
      <x:c r="H580" s="115" t="str">
        <x:v>L 384 ; l 320 ; hauteur 26 m ; choix de composition auteur ; dimensions réelles à documenter</x:v>
      </x:c>
      <x:c r="I580" s="115" t="str">
        <x:v>À équilibrer</x:v>
      </x:c>
      <x:c r="J580" s="115" t="str">
        <x:v>Non</x:v>
      </x:c>
      <x:c r="K580" s="115" t="str">
        <x:v>Pièces décrites, murs, portes, niveaux et mobilier inspectables à l’échelle. Volumes réservés, raccord au seed, butin, rencontres et services de campagne restent à terminer.</x:v>
      </x:c>
    </x:row>
    <x:row r="581" ht="96" customHeight="1">
      <x:c r="A581" s="115" t="str">
        <x:v>EXT-MONDE-T012-V26</x:v>
      </x:c>
      <x:c r="B581" s="115" t="str">
        <x:v>EXT-MONDE-T012</x:v>
      </x:c>
      <x:c r="C581" s="115" t="str">
        <x:v>Offshore</x:v>
      </x:c>
      <x:c r="D581" s="115" t="str">
        <x:v>Station scientifique marine</x:v>
      </x:c>
      <x:c r="E581" s="115" t="n">
        <x:v>26</x:v>
      </x:c>
      <x:c r="F581" s="115" t="str">
        <x:v>Inspection physique</x:v>
      </x:c>
      <x:c r="G581" s="115" t="str">
        <x:v>1 niveaux ; 34 pièces ; 260 segments de mur ; 0 transitions. Inspection physique ; architecture complète encore ouverte.</x:v>
      </x:c>
      <x:c r="H581" s="115" t="str">
        <x:v>L 384 ; l 320 ; hauteur 26 m ; choix de composition auteur ; dimensions réelles à documenter</x:v>
      </x:c>
      <x:c r="I581" s="115" t="str">
        <x:v>À équilibrer</x:v>
      </x:c>
      <x:c r="J581" s="115" t="str">
        <x:v>Non</x:v>
      </x:c>
      <x:c r="K581" s="115" t="str">
        <x:v>Pièces décrites, murs, portes, niveaux et mobilier inspectables à l’échelle. Volumes réservés, raccord au seed, butin, rencontres et services de campagne restent à terminer.</x:v>
      </x:c>
    </x:row>
    <x:row r="582" ht="96" customHeight="1">
      <x:c r="A582" s="115" t="str">
        <x:v>EXT-MONDE-T012-V27</x:v>
      </x:c>
      <x:c r="B582" s="115" t="str">
        <x:v>EXT-MONDE-T012</x:v>
      </x:c>
      <x:c r="C582" s="115" t="str">
        <x:v>Offshore</x:v>
      </x:c>
      <x:c r="D582" s="115" t="str">
        <x:v>Station scientifique marine</x:v>
      </x:c>
      <x:c r="E582" s="115" t="n">
        <x:v>27</x:v>
      </x:c>
      <x:c r="F582" s="115" t="str">
        <x:v>Inspection physique</x:v>
      </x:c>
      <x:c r="G582" s="115" t="str">
        <x:v>1 niveaux ; 34 pièces ; 260 segments de mur ; 0 transitions. Inspection physique ; architecture complète encore ouverte.</x:v>
      </x:c>
      <x:c r="H582" s="115" t="str">
        <x:v>L 384 ; l 320 ; hauteur 26 m ; choix de composition auteur ; dimensions réelles à documenter</x:v>
      </x:c>
      <x:c r="I582" s="115" t="str">
        <x:v>À équilibrer</x:v>
      </x:c>
      <x:c r="J582" s="115" t="str">
        <x:v>Non</x:v>
      </x:c>
      <x:c r="K582" s="115" t="str">
        <x:v>Pièces décrites, murs, portes, niveaux et mobilier inspectables à l’échelle. Volumes réservés, raccord au seed, butin, rencontres et services de campagne restent à terminer.</x:v>
      </x:c>
    </x:row>
    <x:row r="583" ht="96" customHeight="1">
      <x:c r="A583" s="115" t="str">
        <x:v>EXT-MONDE-T012-V28</x:v>
      </x:c>
      <x:c r="B583" s="115" t="str">
        <x:v>EXT-MONDE-T012</x:v>
      </x:c>
      <x:c r="C583" s="115" t="str">
        <x:v>Offshore</x:v>
      </x:c>
      <x:c r="D583" s="115" t="str">
        <x:v>Station scientifique marine</x:v>
      </x:c>
      <x:c r="E583" s="115" t="n">
        <x:v>28</x:v>
      </x:c>
      <x:c r="F583" s="115" t="str">
        <x:v>Inspection physique</x:v>
      </x:c>
      <x:c r="G583" s="115" t="str">
        <x:v>1 niveaux ; 34 pièces ; 260 segments de mur ; 0 transitions. Inspection physique ; architecture complète encore ouverte.</x:v>
      </x:c>
      <x:c r="H583" s="115" t="str">
        <x:v>L 384 ; l 320 ; hauteur 26 m ; choix de composition auteur ; dimensions réelles à documenter</x:v>
      </x:c>
      <x:c r="I583" s="115" t="str">
        <x:v>À équilibrer</x:v>
      </x:c>
      <x:c r="J583" s="115" t="str">
        <x:v>Non</x:v>
      </x:c>
      <x:c r="K583" s="115" t="str">
        <x:v>Pièces décrites, murs, portes, niveaux et mobilier inspectables à l’échelle. Volumes réservés, raccord au seed, butin, rencontres et services de campagne restent à terminer.</x:v>
      </x:c>
    </x:row>
    <x:row r="584" ht="96" customHeight="1">
      <x:c r="A584" s="115" t="str">
        <x:v>EXT-MONDE-T012-V29</x:v>
      </x:c>
      <x:c r="B584" s="115" t="str">
        <x:v>EXT-MONDE-T012</x:v>
      </x:c>
      <x:c r="C584" s="115" t="str">
        <x:v>Offshore</x:v>
      </x:c>
      <x:c r="D584" s="115" t="str">
        <x:v>Station scientifique marine</x:v>
      </x:c>
      <x:c r="E584" s="115" t="n">
        <x:v>29</x:v>
      </x:c>
      <x:c r="F584" s="115" t="str">
        <x:v>Inspection physique</x:v>
      </x:c>
      <x:c r="G584" s="115" t="str">
        <x:v>1 niveaux ; 34 pièces ; 260 segments de mur ; 0 transitions. Inspection physique ; architecture complète encore ouverte.</x:v>
      </x:c>
      <x:c r="H584" s="115" t="str">
        <x:v>L 384 ; l 320 ; hauteur 26 m ; choix de composition auteur ; dimensions réelles à documenter</x:v>
      </x:c>
      <x:c r="I584" s="115" t="str">
        <x:v>À équilibrer</x:v>
      </x:c>
      <x:c r="J584" s="115" t="str">
        <x:v>Non</x:v>
      </x:c>
      <x:c r="K584" s="115" t="str">
        <x:v>Pièces décrites, murs, portes, niveaux et mobilier inspectables à l’échelle. Volumes réservés, raccord au seed, butin, rencontres et services de campagne restent à terminer.</x:v>
      </x:c>
    </x:row>
    <x:row r="585" ht="96" customHeight="1">
      <x:c r="A585" s="115" t="str">
        <x:v>EXT-MONDE-T012-V30</x:v>
      </x:c>
      <x:c r="B585" s="115" t="str">
        <x:v>EXT-MONDE-T012</x:v>
      </x:c>
      <x:c r="C585" s="115" t="str">
        <x:v>Offshore</x:v>
      </x:c>
      <x:c r="D585" s="115" t="str">
        <x:v>Station scientifique marine</x:v>
      </x:c>
      <x:c r="E585" s="115" t="n">
        <x:v>30</x:v>
      </x:c>
      <x:c r="F585" s="115" t="str">
        <x:v>Inspection physique</x:v>
      </x:c>
      <x:c r="G585" s="115" t="str">
        <x:v>1 niveaux ; 34 pièces ; 260 segments de mur ; 0 transitions. Inspection physique ; architecture complète encore ouverte.</x:v>
      </x:c>
      <x:c r="H585" s="115" t="str">
        <x:v>L 384 ; l 320 ; hauteur 26 m ; choix de composition auteur ; dimensions réelles à documenter</x:v>
      </x:c>
      <x:c r="I585" s="115" t="str">
        <x:v>À équilibrer</x:v>
      </x:c>
      <x:c r="J585" s="115" t="str">
        <x:v>Non</x:v>
      </x:c>
      <x:c r="K585" s="115" t="str">
        <x:v>Pièces décrites, murs, portes, niveaux et mobilier inspectables à l’échelle. Volumes réservés, raccord au seed, butin, rencontres et services de campagne restent à terminer.</x:v>
      </x:c>
    </x:row>
    <x:row r="586" ht="96" customHeight="1">
      <x:c r="A586" s="115" t="str">
        <x:v>EXT-MONDE-T012-V31</x:v>
      </x:c>
      <x:c r="B586" s="115" t="str">
        <x:v>EXT-MONDE-T012</x:v>
      </x:c>
      <x:c r="C586" s="115" t="str">
        <x:v>Offshore</x:v>
      </x:c>
      <x:c r="D586" s="115" t="str">
        <x:v>Station scientifique marine</x:v>
      </x:c>
      <x:c r="E586" s="115" t="n">
        <x:v>31</x:v>
      </x:c>
      <x:c r="F586" s="115" t="str">
        <x:v>Inspection physique</x:v>
      </x:c>
      <x:c r="G586" s="115" t="str">
        <x:v>1 niveaux ; 34 pièces ; 260 segments de mur ; 0 transitions. Inspection physique ; architecture complète encore ouverte.</x:v>
      </x:c>
      <x:c r="H586" s="115" t="str">
        <x:v>L 398 ; l 332 ; hauteur 26 m ; choix de composition auteur ; dimensions réelles à documenter</x:v>
      </x:c>
      <x:c r="I586" s="115" t="str">
        <x:v>À équilibrer</x:v>
      </x:c>
      <x:c r="J586" s="115" t="str">
        <x:v>Non</x:v>
      </x:c>
      <x:c r="K586" s="115" t="str">
        <x:v>Pièces décrites, murs, portes, niveaux et mobilier inspectables à l’échelle. Volumes réservés, raccord au seed, butin, rencontres et services de campagne restent à terminer.</x:v>
      </x:c>
    </x:row>
    <x:row r="587" ht="96" customHeight="1">
      <x:c r="A587" s="115" t="str">
        <x:v>EXT-MONDE-T012-V32</x:v>
      </x:c>
      <x:c r="B587" s="115" t="str">
        <x:v>EXT-MONDE-T012</x:v>
      </x:c>
      <x:c r="C587" s="115" t="str">
        <x:v>Offshore</x:v>
      </x:c>
      <x:c r="D587" s="115" t="str">
        <x:v>Station scientifique marine</x:v>
      </x:c>
      <x:c r="E587" s="115" t="n">
        <x:v>32</x:v>
      </x:c>
      <x:c r="F587" s="115" t="str">
        <x:v>Inspection physique</x:v>
      </x:c>
      <x:c r="G587" s="115" t="str">
        <x:v>1 niveaux ; 34 pièces ; 260 segments de mur ; 0 transitions. Inspection physique ; architecture complète encore ouverte.</x:v>
      </x:c>
      <x:c r="H587" s="115" t="str">
        <x:v>L 398 ; l 332 ; hauteur 26 m ; choix de composition auteur ; dimensions réelles à documenter</x:v>
      </x:c>
      <x:c r="I587" s="115" t="str">
        <x:v>À équilibrer</x:v>
      </x:c>
      <x:c r="J587" s="115" t="str">
        <x:v>Non</x:v>
      </x:c>
      <x:c r="K587" s="115" t="str">
        <x:v>Pièces décrites, murs, portes, niveaux et mobilier inspectables à l’échelle. Volumes réservés, raccord au seed, butin, rencontres et services de campagne restent à terminer.</x:v>
      </x:c>
    </x:row>
    <x:row r="588" ht="96" customHeight="1">
      <x:c r="A588" s="115" t="str">
        <x:v>EXT-MONDE-T012-V33</x:v>
      </x:c>
      <x:c r="B588" s="115" t="str">
        <x:v>EXT-MONDE-T012</x:v>
      </x:c>
      <x:c r="C588" s="115" t="str">
        <x:v>Offshore</x:v>
      </x:c>
      <x:c r="D588" s="115" t="str">
        <x:v>Station scientifique marine</x:v>
      </x:c>
      <x:c r="E588" s="115" t="n">
        <x:v>33</x:v>
      </x:c>
      <x:c r="F588" s="115" t="str">
        <x:v>Inspection physique</x:v>
      </x:c>
      <x:c r="G588" s="115" t="str">
        <x:v>1 niveaux ; 34 pièces ; 260 segments de mur ; 0 transitions. Inspection physique ; architecture complète encore ouverte.</x:v>
      </x:c>
      <x:c r="H588" s="115" t="str">
        <x:v>L 398 ; l 332 ; hauteur 26 m ; choix de composition auteur ; dimensions réelles à documenter</x:v>
      </x:c>
      <x:c r="I588" s="115" t="str">
        <x:v>À équilibrer</x:v>
      </x:c>
      <x:c r="J588" s="115" t="str">
        <x:v>Non</x:v>
      </x:c>
      <x:c r="K588" s="115" t="str">
        <x:v>Pièces décrites, murs, portes, niveaux et mobilier inspectables à l’échelle. Volumes réservés, raccord au seed, butin, rencontres et services de campagne restent à terminer.</x:v>
      </x:c>
    </x:row>
    <x:row r="589" ht="96" customHeight="1">
      <x:c r="A589" s="115" t="str">
        <x:v>EXT-MONDE-T012-V34</x:v>
      </x:c>
      <x:c r="B589" s="115" t="str">
        <x:v>EXT-MONDE-T012</x:v>
      </x:c>
      <x:c r="C589" s="115" t="str">
        <x:v>Offshore</x:v>
      </x:c>
      <x:c r="D589" s="115" t="str">
        <x:v>Station scientifique marine</x:v>
      </x:c>
      <x:c r="E589" s="115" t="n">
        <x:v>34</x:v>
      </x:c>
      <x:c r="F589" s="115" t="str">
        <x:v>Inspection physique</x:v>
      </x:c>
      <x:c r="G589" s="115" t="str">
        <x:v>1 niveaux ; 34 pièces ; 260 segments de mur ; 0 transitions. Inspection physique ; architecture complète encore ouverte.</x:v>
      </x:c>
      <x:c r="H589" s="115" t="str">
        <x:v>L 398 ; l 332 ; hauteur 26 m ; choix de composition auteur ; dimensions réelles à documenter</x:v>
      </x:c>
      <x:c r="I589" s="115" t="str">
        <x:v>À équilibrer</x:v>
      </x:c>
      <x:c r="J589" s="115" t="str">
        <x:v>Non</x:v>
      </x:c>
      <x:c r="K589" s="115" t="str">
        <x:v>Pièces décrites, murs, portes, niveaux et mobilier inspectables à l’échelle. Volumes réservés, raccord au seed, butin, rencontres et services de campagne restent à terminer.</x:v>
      </x:c>
    </x:row>
    <x:row r="590" ht="96" customHeight="1">
      <x:c r="A590" s="115" t="str">
        <x:v>EXT-MONDE-T012-V35</x:v>
      </x:c>
      <x:c r="B590" s="115" t="str">
        <x:v>EXT-MONDE-T012</x:v>
      </x:c>
      <x:c r="C590" s="115" t="str">
        <x:v>Offshore</x:v>
      </x:c>
      <x:c r="D590" s="115" t="str">
        <x:v>Station scientifique marine</x:v>
      </x:c>
      <x:c r="E590" s="115" t="n">
        <x:v>35</x:v>
      </x:c>
      <x:c r="F590" s="115" t="str">
        <x:v>Inspection physique</x:v>
      </x:c>
      <x:c r="G590" s="115" t="str">
        <x:v>1 niveaux ; 34 pièces ; 260 segments de mur ; 0 transitions. Inspection physique ; architecture complète encore ouverte.</x:v>
      </x:c>
      <x:c r="H590" s="115" t="str">
        <x:v>L 398 ; l 332 ; hauteur 26 m ; choix de composition auteur ; dimensions réelles à documenter</x:v>
      </x:c>
      <x:c r="I590" s="115" t="str">
        <x:v>À équilibrer</x:v>
      </x:c>
      <x:c r="J590" s="115" t="str">
        <x:v>Non</x:v>
      </x:c>
      <x:c r="K590" s="115" t="str">
        <x:v>Pièces décrites, murs, portes, niveaux et mobilier inspectables à l’échelle. Volumes réservés, raccord au seed, butin, rencontres et services de campagne restent à terminer.</x:v>
      </x:c>
    </x:row>
    <x:row r="591" ht="96" customHeight="1">
      <x:c r="A591" s="115" t="str">
        <x:v>EXT-MONDE-T012-V36</x:v>
      </x:c>
      <x:c r="B591" s="115" t="str">
        <x:v>EXT-MONDE-T012</x:v>
      </x:c>
      <x:c r="C591" s="115" t="str">
        <x:v>Offshore</x:v>
      </x:c>
      <x:c r="D591" s="115" t="str">
        <x:v>Station scientifique marine</x:v>
      </x:c>
      <x:c r="E591" s="115" t="n">
        <x:v>36</x:v>
      </x:c>
      <x:c r="F591" s="115" t="str">
        <x:v>Inspection physique</x:v>
      </x:c>
      <x:c r="G591" s="115" t="str">
        <x:v>1 niveaux ; 34 pièces ; 260 segments de mur ; 0 transitions. Inspection physique ; architecture complète encore ouverte.</x:v>
      </x:c>
      <x:c r="H591" s="115" t="str">
        <x:v>L 398 ; l 332 ; hauteur 26 m ; choix de composition auteur ; dimensions réelles à documenter</x:v>
      </x:c>
      <x:c r="I591" s="115" t="str">
        <x:v>À équilibrer</x:v>
      </x:c>
      <x:c r="J591" s="115" t="str">
        <x:v>Non</x:v>
      </x:c>
      <x:c r="K591" s="115" t="str">
        <x:v>Pièces décrites, murs, portes, niveaux et mobilier inspectables à l’échelle. Volumes réservés, raccord au seed, butin, rencontres et services de campagne restent à terminer.</x:v>
      </x:c>
    </x:row>
    <x:row r="592" ht="96" customHeight="1">
      <x:c r="A592" s="115" t="str">
        <x:v>EXT-MONDE-T012-V37</x:v>
      </x:c>
      <x:c r="B592" s="115" t="str">
        <x:v>EXT-MONDE-T012</x:v>
      </x:c>
      <x:c r="C592" s="115" t="str">
        <x:v>Offshore</x:v>
      </x:c>
      <x:c r="D592" s="115" t="str">
        <x:v>Station scientifique marine</x:v>
      </x:c>
      <x:c r="E592" s="115" t="n">
        <x:v>37</x:v>
      </x:c>
      <x:c r="F592" s="115" t="str">
        <x:v>Inspection physique</x:v>
      </x:c>
      <x:c r="G592" s="115" t="str">
        <x:v>1 niveaux ; 34 pièces ; 260 segments de mur ; 0 transitions. Inspection physique ; architecture complète encore ouverte.</x:v>
      </x:c>
      <x:c r="H592" s="115" t="str">
        <x:v>L 398 ; l 332 ; hauteur 26 m ; choix de composition auteur ; dimensions réelles à documenter</x:v>
      </x:c>
      <x:c r="I592" s="115" t="str">
        <x:v>À équilibrer</x:v>
      </x:c>
      <x:c r="J592" s="115" t="str">
        <x:v>Non</x:v>
      </x:c>
      <x:c r="K592" s="115" t="str">
        <x:v>Pièces décrites, murs, portes, niveaux et mobilier inspectables à l’échelle. Volumes réservés, raccord au seed, butin, rencontres et services de campagne restent à terminer.</x:v>
      </x:c>
    </x:row>
    <x:row r="593" ht="96" customHeight="1">
      <x:c r="A593" s="115" t="str">
        <x:v>EXT-MONDE-T012-V38</x:v>
      </x:c>
      <x:c r="B593" s="115" t="str">
        <x:v>EXT-MONDE-T012</x:v>
      </x:c>
      <x:c r="C593" s="115" t="str">
        <x:v>Offshore</x:v>
      </x:c>
      <x:c r="D593" s="115" t="str">
        <x:v>Station scientifique marine</x:v>
      </x:c>
      <x:c r="E593" s="115" t="n">
        <x:v>38</x:v>
      </x:c>
      <x:c r="F593" s="115" t="str">
        <x:v>Inspection physique</x:v>
      </x:c>
      <x:c r="G593" s="115" t="str">
        <x:v>1 niveaux ; 34 pièces ; 260 segments de mur ; 0 transitions. Inspection physique ; architecture complète encore ouverte.</x:v>
      </x:c>
      <x:c r="H593" s="115" t="str">
        <x:v>L 398 ; l 332 ; hauteur 26 m ; choix de composition auteur ; dimensions réelles à documenter</x:v>
      </x:c>
      <x:c r="I593" s="115" t="str">
        <x:v>À équilibrer</x:v>
      </x:c>
      <x:c r="J593" s="115" t="str">
        <x:v>Non</x:v>
      </x:c>
      <x:c r="K593" s="115" t="str">
        <x:v>Pièces décrites, murs, portes, niveaux et mobilier inspectables à l’échelle. Volumes réservés, raccord au seed, butin, rencontres et services de campagne restent à terminer.</x:v>
      </x:c>
    </x:row>
    <x:row r="594" ht="96" customHeight="1">
      <x:c r="A594" s="115" t="str">
        <x:v>EXT-MONDE-T012-V39</x:v>
      </x:c>
      <x:c r="B594" s="115" t="str">
        <x:v>EXT-MONDE-T012</x:v>
      </x:c>
      <x:c r="C594" s="115" t="str">
        <x:v>Offshore</x:v>
      </x:c>
      <x:c r="D594" s="115" t="str">
        <x:v>Station scientifique marine</x:v>
      </x:c>
      <x:c r="E594" s="115" t="n">
        <x:v>39</x:v>
      </x:c>
      <x:c r="F594" s="115" t="str">
        <x:v>Inspection physique</x:v>
      </x:c>
      <x:c r="G594" s="115" t="str">
        <x:v>1 niveaux ; 34 pièces ; 260 segments de mur ; 0 transitions. Inspection physique ; architecture complète encore ouverte.</x:v>
      </x:c>
      <x:c r="H594" s="115" t="str">
        <x:v>L 398 ; l 332 ; hauteur 26 m ; choix de composition auteur ; dimensions réelles à documenter</x:v>
      </x:c>
      <x:c r="I594" s="115" t="str">
        <x:v>À équilibrer</x:v>
      </x:c>
      <x:c r="J594" s="115" t="str">
        <x:v>Non</x:v>
      </x:c>
      <x:c r="K594" s="115" t="str">
        <x:v>Pièces décrites, murs, portes, niveaux et mobilier inspectables à l’échelle. Volumes réservés, raccord au seed, butin, rencontres et services de campagne restent à terminer.</x:v>
      </x:c>
    </x:row>
    <x:row r="595" ht="96" customHeight="1">
      <x:c r="A595" s="115" t="str">
        <x:v>EXT-MONDE-T012-V40</x:v>
      </x:c>
      <x:c r="B595" s="115" t="str">
        <x:v>EXT-MONDE-T012</x:v>
      </x:c>
      <x:c r="C595" s="115" t="str">
        <x:v>Offshore</x:v>
      </x:c>
      <x:c r="D595" s="115" t="str">
        <x:v>Station scientifique marine</x:v>
      </x:c>
      <x:c r="E595" s="115" t="n">
        <x:v>40</x:v>
      </x:c>
      <x:c r="F595" s="115" t="str">
        <x:v>Inspection physique</x:v>
      </x:c>
      <x:c r="G595" s="115" t="str">
        <x:v>1 niveaux ; 34 pièces ; 260 segments de mur ; 0 transitions. Inspection physique ; architecture complète encore ouverte.</x:v>
      </x:c>
      <x:c r="H595" s="115" t="str">
        <x:v>L 398 ; l 332 ; hauteur 26 m ; choix de composition auteur ; dimensions réelles à documenter</x:v>
      </x:c>
      <x:c r="I595" s="115" t="str">
        <x:v>À équilibrer</x:v>
      </x:c>
      <x:c r="J595" s="115" t="str">
        <x:v>Non</x:v>
      </x:c>
      <x:c r="K595" s="115" t="str">
        <x:v>Pièces décrites, murs, portes, niveaux et mobilier inspectables à l’échelle. Volumes réservés, raccord au seed, butin, rencontres et services de campagne restent à terminer.</x:v>
      </x:c>
    </x:row>
    <x:row r="596" ht="96" customHeight="1">
      <x:c r="A596" s="115" t="str">
        <x:v>EXT-MONDE-T012-V41</x:v>
      </x:c>
      <x:c r="B596" s="115" t="str">
        <x:v>EXT-MONDE-T012</x:v>
      </x:c>
      <x:c r="C596" s="115" t="str">
        <x:v>Offshore</x:v>
      </x:c>
      <x:c r="D596" s="115" t="str">
        <x:v>Station scientifique marine</x:v>
      </x:c>
      <x:c r="E596" s="115" t="n">
        <x:v>41</x:v>
      </x:c>
      <x:c r="F596" s="115" t="str">
        <x:v>Inspection physique</x:v>
      </x:c>
      <x:c r="G596" s="115" t="str">
        <x:v>1 niveaux ; 34 pièces ; 260 segments de mur ; 0 transitions. Inspection physique ; architecture complète encore ouverte.</x:v>
      </x:c>
      <x:c r="H596" s="115" t="str">
        <x:v>L 412 ; l 344 ; hauteur 26 m ; choix de composition auteur ; dimensions réelles à documenter</x:v>
      </x:c>
      <x:c r="I596" s="115" t="str">
        <x:v>À équilibrer</x:v>
      </x:c>
      <x:c r="J596" s="115" t="str">
        <x:v>Non</x:v>
      </x:c>
      <x:c r="K596" s="115" t="str">
        <x:v>Pièces décrites, murs, portes, niveaux et mobilier inspectables à l’échelle. Volumes réservés, raccord au seed, butin, rencontres et services de campagne restent à terminer.</x:v>
      </x:c>
    </x:row>
    <x:row r="597" ht="96" customHeight="1">
      <x:c r="A597" s="115" t="str">
        <x:v>EXT-MONDE-T012-V42</x:v>
      </x:c>
      <x:c r="B597" s="115" t="str">
        <x:v>EXT-MONDE-T012</x:v>
      </x:c>
      <x:c r="C597" s="115" t="str">
        <x:v>Offshore</x:v>
      </x:c>
      <x:c r="D597" s="115" t="str">
        <x:v>Station scientifique marine</x:v>
      </x:c>
      <x:c r="E597" s="115" t="n">
        <x:v>42</x:v>
      </x:c>
      <x:c r="F597" s="115" t="str">
        <x:v>Inspection physique</x:v>
      </x:c>
      <x:c r="G597" s="115" t="str">
        <x:v>1 niveaux ; 34 pièces ; 260 segments de mur ; 0 transitions. Inspection physique ; architecture complète encore ouverte.</x:v>
      </x:c>
      <x:c r="H597" s="115" t="str">
        <x:v>L 412 ; l 344 ; hauteur 26 m ; choix de composition auteur ; dimensions réelles à documenter</x:v>
      </x:c>
      <x:c r="I597" s="115" t="str">
        <x:v>À équilibrer</x:v>
      </x:c>
      <x:c r="J597" s="115" t="str">
        <x:v>Non</x:v>
      </x:c>
      <x:c r="K597" s="115" t="str">
        <x:v>Pièces décrites, murs, portes, niveaux et mobilier inspectables à l’échelle. Volumes réservés, raccord au seed, butin, rencontres et services de campagne restent à terminer.</x:v>
      </x:c>
    </x:row>
    <x:row r="598" ht="96" customHeight="1">
      <x:c r="A598" s="115" t="str">
        <x:v>EXT-MONDE-T012-V43</x:v>
      </x:c>
      <x:c r="B598" s="115" t="str">
        <x:v>EXT-MONDE-T012</x:v>
      </x:c>
      <x:c r="C598" s="115" t="str">
        <x:v>Offshore</x:v>
      </x:c>
      <x:c r="D598" s="115" t="str">
        <x:v>Station scientifique marine</x:v>
      </x:c>
      <x:c r="E598" s="115" t="n">
        <x:v>43</x:v>
      </x:c>
      <x:c r="F598" s="115" t="str">
        <x:v>Inspection physique</x:v>
      </x:c>
      <x:c r="G598" s="115" t="str">
        <x:v>1 niveaux ; 34 pièces ; 260 segments de mur ; 0 transitions. Inspection physique ; architecture complète encore ouverte.</x:v>
      </x:c>
      <x:c r="H598" s="115" t="str">
        <x:v>L 412 ; l 344 ; hauteur 26 m ; choix de composition auteur ; dimensions réelles à documenter</x:v>
      </x:c>
      <x:c r="I598" s="115" t="str">
        <x:v>À équilibrer</x:v>
      </x:c>
      <x:c r="J598" s="115" t="str">
        <x:v>Non</x:v>
      </x:c>
      <x:c r="K598" s="115" t="str">
        <x:v>Pièces décrites, murs, portes, niveaux et mobilier inspectables à l’échelle. Volumes réservés, raccord au seed, butin, rencontres et services de campagne restent à terminer.</x:v>
      </x:c>
    </x:row>
    <x:row r="599" ht="96" customHeight="1">
      <x:c r="A599" s="115" t="str">
        <x:v>EXT-MONDE-T012-V44</x:v>
      </x:c>
      <x:c r="B599" s="115" t="str">
        <x:v>EXT-MONDE-T012</x:v>
      </x:c>
      <x:c r="C599" s="115" t="str">
        <x:v>Offshore</x:v>
      </x:c>
      <x:c r="D599" s="115" t="str">
        <x:v>Station scientifique marine</x:v>
      </x:c>
      <x:c r="E599" s="115" t="n">
        <x:v>44</x:v>
      </x:c>
      <x:c r="F599" s="115" t="str">
        <x:v>Inspection physique</x:v>
      </x:c>
      <x:c r="G599" s="115" t="str">
        <x:v>1 niveaux ; 34 pièces ; 260 segments de mur ; 0 transitions. Inspection physique ; architecture complète encore ouverte.</x:v>
      </x:c>
      <x:c r="H599" s="115" t="str">
        <x:v>L 412 ; l 344 ; hauteur 26 m ; choix de composition auteur ; dimensions réelles à documenter</x:v>
      </x:c>
      <x:c r="I599" s="115" t="str">
        <x:v>À équilibrer</x:v>
      </x:c>
      <x:c r="J599" s="115" t="str">
        <x:v>Non</x:v>
      </x:c>
      <x:c r="K599" s="115" t="str">
        <x:v>Pièces décrites, murs, portes, niveaux et mobilier inspectables à l’échelle. Volumes réservés, raccord au seed, butin, rencontres et services de campagne restent à terminer.</x:v>
      </x:c>
    </x:row>
    <x:row r="600" ht="96" customHeight="1">
      <x:c r="A600" s="115" t="str">
        <x:v>EXT-MONDE-T012-V45</x:v>
      </x:c>
      <x:c r="B600" s="115" t="str">
        <x:v>EXT-MONDE-T012</x:v>
      </x:c>
      <x:c r="C600" s="115" t="str">
        <x:v>Offshore</x:v>
      </x:c>
      <x:c r="D600" s="115" t="str">
        <x:v>Station scientifique marine</x:v>
      </x:c>
      <x:c r="E600" s="115" t="n">
        <x:v>45</x:v>
      </x:c>
      <x:c r="F600" s="115" t="str">
        <x:v>Inspection physique</x:v>
      </x:c>
      <x:c r="G600" s="115" t="str">
        <x:v>1 niveaux ; 34 pièces ; 260 segments de mur ; 0 transitions. Inspection physique ; architecture complète encore ouverte.</x:v>
      </x:c>
      <x:c r="H600" s="115" t="str">
        <x:v>L 412 ; l 344 ; hauteur 26 m ; choix de composition auteur ; dimensions réelles à documenter</x:v>
      </x:c>
      <x:c r="I600" s="115" t="str">
        <x:v>À équilibrer</x:v>
      </x:c>
      <x:c r="J600" s="115" t="str">
        <x:v>Non</x:v>
      </x:c>
      <x:c r="K600" s="115" t="str">
        <x:v>Pièces décrites, murs, portes, niveaux et mobilier inspectables à l’échelle. Volumes réservés, raccord au seed, butin, rencontres et services de campagne restent à terminer.</x:v>
      </x:c>
    </x:row>
    <x:row r="601" ht="96" customHeight="1">
      <x:c r="A601" s="115" t="str">
        <x:v>EXT-MONDE-T012-V46</x:v>
      </x:c>
      <x:c r="B601" s="115" t="str">
        <x:v>EXT-MONDE-T012</x:v>
      </x:c>
      <x:c r="C601" s="115" t="str">
        <x:v>Offshore</x:v>
      </x:c>
      <x:c r="D601" s="115" t="str">
        <x:v>Station scientifique marine</x:v>
      </x:c>
      <x:c r="E601" s="115" t="n">
        <x:v>46</x:v>
      </x:c>
      <x:c r="F601" s="115" t="str">
        <x:v>Inspection physique</x:v>
      </x:c>
      <x:c r="G601" s="115" t="str">
        <x:v>1 niveaux ; 34 pièces ; 260 segments de mur ; 0 transitions. Inspection physique ; architecture complète encore ouverte.</x:v>
      </x:c>
      <x:c r="H601" s="115" t="str">
        <x:v>L 412 ; l 344 ; hauteur 26 m ; choix de composition auteur ; dimensions réelles à documenter</x:v>
      </x:c>
      <x:c r="I601" s="115" t="str">
        <x:v>À équilibrer</x:v>
      </x:c>
      <x:c r="J601" s="115" t="str">
        <x:v>Non</x:v>
      </x:c>
      <x:c r="K601" s="115" t="str">
        <x:v>Pièces décrites, murs, portes, niveaux et mobilier inspectables à l’échelle. Volumes réservés, raccord au seed, butin, rencontres et services de campagne restent à terminer.</x:v>
      </x:c>
    </x:row>
    <x:row r="602" ht="96" customHeight="1">
      <x:c r="A602" s="115" t="str">
        <x:v>EXT-MONDE-T012-V47</x:v>
      </x:c>
      <x:c r="B602" s="115" t="str">
        <x:v>EXT-MONDE-T012</x:v>
      </x:c>
      <x:c r="C602" s="115" t="str">
        <x:v>Offshore</x:v>
      </x:c>
      <x:c r="D602" s="115" t="str">
        <x:v>Station scientifique marine</x:v>
      </x:c>
      <x:c r="E602" s="115" t="n">
        <x:v>47</x:v>
      </x:c>
      <x:c r="F602" s="115" t="str">
        <x:v>Inspection physique</x:v>
      </x:c>
      <x:c r="G602" s="115" t="str">
        <x:v>1 niveaux ; 34 pièces ; 260 segments de mur ; 0 transitions. Inspection physique ; architecture complète encore ouverte.</x:v>
      </x:c>
      <x:c r="H602" s="115" t="str">
        <x:v>L 412 ; l 344 ; hauteur 26 m ; choix de composition auteur ; dimensions réelles à documenter</x:v>
      </x:c>
      <x:c r="I602" s="115" t="str">
        <x:v>À équilibrer</x:v>
      </x:c>
      <x:c r="J602" s="115" t="str">
        <x:v>Non</x:v>
      </x:c>
      <x:c r="K602" s="115" t="str">
        <x:v>Pièces décrites, murs, portes, niveaux et mobilier inspectables à l’échelle. Volumes réservés, raccord au seed, butin, rencontres et services de campagne restent à terminer.</x:v>
      </x:c>
    </x:row>
    <x:row r="603" ht="96" customHeight="1">
      <x:c r="A603" s="115" t="str">
        <x:v>EXT-MONDE-T012-V48</x:v>
      </x:c>
      <x:c r="B603" s="115" t="str">
        <x:v>EXT-MONDE-T012</x:v>
      </x:c>
      <x:c r="C603" s="115" t="str">
        <x:v>Offshore</x:v>
      </x:c>
      <x:c r="D603" s="115" t="str">
        <x:v>Station scientifique marine</x:v>
      </x:c>
      <x:c r="E603" s="115" t="n">
        <x:v>48</x:v>
      </x:c>
      <x:c r="F603" s="115" t="str">
        <x:v>Inspection physique</x:v>
      </x:c>
      <x:c r="G603" s="115" t="str">
        <x:v>1 niveaux ; 34 pièces ; 260 segments de mur ; 0 transitions. Inspection physique ; architecture complète encore ouverte.</x:v>
      </x:c>
      <x:c r="H603" s="115" t="str">
        <x:v>L 412 ; l 344 ; hauteur 26 m ; choix de composition auteur ; dimensions réelles à documenter</x:v>
      </x:c>
      <x:c r="I603" s="115" t="str">
        <x:v>À équilibrer</x:v>
      </x:c>
      <x:c r="J603" s="115" t="str">
        <x:v>Non</x:v>
      </x:c>
      <x:c r="K603" s="115" t="str">
        <x:v>Pièces décrites, murs, portes, niveaux et mobilier inspectables à l’échelle. Volumes réservés, raccord au seed, butin, rencontres et services de campagne restent à terminer.</x:v>
      </x:c>
    </x:row>
    <x:row r="604" ht="96" customHeight="1">
      <x:c r="A604" s="115" t="str">
        <x:v>EXT-MONDE-T012-V49</x:v>
      </x:c>
      <x:c r="B604" s="115" t="str">
        <x:v>EXT-MONDE-T012</x:v>
      </x:c>
      <x:c r="C604" s="115" t="str">
        <x:v>Offshore</x:v>
      </x:c>
      <x:c r="D604" s="115" t="str">
        <x:v>Station scientifique marine</x:v>
      </x:c>
      <x:c r="E604" s="115" t="n">
        <x:v>49</x:v>
      </x:c>
      <x:c r="F604" s="115" t="str">
        <x:v>Inspection physique</x:v>
      </x:c>
      <x:c r="G604" s="115" t="str">
        <x:v>1 niveaux ; 34 pièces ; 260 segments de mur ; 0 transitions. Inspection physique ; architecture complète encore ouverte.</x:v>
      </x:c>
      <x:c r="H604" s="115" t="str">
        <x:v>L 412 ; l 344 ; hauteur 26 m ; choix de composition auteur ; dimensions réelles à documenter</x:v>
      </x:c>
      <x:c r="I604" s="115" t="str">
        <x:v>À équilibrer</x:v>
      </x:c>
      <x:c r="J604" s="115" t="str">
        <x:v>Non</x:v>
      </x:c>
      <x:c r="K604" s="115" t="str">
        <x:v>Pièces décrites, murs, portes, niveaux et mobilier inspectables à l’échelle. Volumes réservés, raccord au seed, butin, rencontres et services de campagne restent à terminer.</x:v>
      </x:c>
    </x:row>
    <x:row r="605" ht="96" customHeight="1">
      <x:c r="A605" s="115" t="str">
        <x:v>EXT-MONDE-T012-V50</x:v>
      </x:c>
      <x:c r="B605" s="115" t="str">
        <x:v>EXT-MONDE-T012</x:v>
      </x:c>
      <x:c r="C605" s="115" t="str">
        <x:v>Offshore</x:v>
      </x:c>
      <x:c r="D605" s="115" t="str">
        <x:v>Station scientifique marine</x:v>
      </x:c>
      <x:c r="E605" s="115" t="n">
        <x:v>50</x:v>
      </x:c>
      <x:c r="F605" s="115" t="str">
        <x:v>Inspection physique</x:v>
      </x:c>
      <x:c r="G605" s="115" t="str">
        <x:v>1 niveaux ; 34 pièces ; 260 segments de mur ; 0 transitions. Inspection physique ; architecture complète encore ouverte.</x:v>
      </x:c>
      <x:c r="H605" s="115" t="str">
        <x:v>L 412 ; l 344 ; hauteur 26 m ; choix de composition auteur ; dimensions réelles à documenter</x:v>
      </x:c>
      <x:c r="I605" s="115" t="str">
        <x:v>À équilibrer</x:v>
      </x:c>
      <x:c r="J605" s="115" t="str">
        <x:v>Non</x:v>
      </x:c>
      <x:c r="K605" s="115" t="str">
        <x:v>Pièces décrites, murs, portes, niveaux et mobilier inspectables à l’échelle. Volumes réservés, raccord au seed, butin, rencontres et services de campagne restent à terminer.</x:v>
      </x:c>
    </x:row>
    <x:row r="606" ht="96" customHeight="1">
      <x:c r="A606" s="115" t="str">
        <x:v>EXT-MONDE-T013-V01</x:v>
      </x:c>
      <x:c r="B606" s="115" t="str">
        <x:v>EXT-MONDE-T013</x:v>
      </x:c>
      <x:c r="C606" s="115" t="str">
        <x:v>Ports</x:v>
      </x:c>
      <x:c r="D606" s="115" t="str">
        <x:v>Port de pêche</x:v>
      </x:c>
      <x:c r="E606" s="115" t="n">
        <x:v>1</x:v>
      </x:c>
      <x:c r="F606" s="115" t="str">
        <x:v>Inspection physique</x:v>
      </x:c>
      <x:c r="G606" s="115" t="str">
        <x:v>1 niveaux ; 32 pièces ; 248 segments de mur ; 0 transitions. Inspection physique ; architecture complète encore ouverte.</x:v>
      </x:c>
      <x:c r="H606" s="115" t="str">
        <x:v>L 344 ; l 444 ; hauteur 10 m ; choix de composition auteur ; dimensions réelles à documenter</x:v>
      </x:c>
      <x:c r="I606" s="115" t="str">
        <x:v>À équilibrer</x:v>
      </x:c>
      <x:c r="J606" s="115" t="str">
        <x:v>Non</x:v>
      </x:c>
      <x:c r="K606" s="115" t="str">
        <x:v>Pièces décrites, murs, portes, niveaux et mobilier inspectables à l’échelle. Volumes réservés, raccord au seed, butin, rencontres et services de campagne restent à terminer.</x:v>
      </x:c>
    </x:row>
    <x:row r="607" ht="96" customHeight="1">
      <x:c r="A607" s="115" t="str">
        <x:v>EXT-MONDE-T013-V02</x:v>
      </x:c>
      <x:c r="B607" s="115" t="str">
        <x:v>EXT-MONDE-T013</x:v>
      </x:c>
      <x:c r="C607" s="115" t="str">
        <x:v>Ports</x:v>
      </x:c>
      <x:c r="D607" s="115" t="str">
        <x:v>Port de pêche</x:v>
      </x:c>
      <x:c r="E607" s="115" t="n">
        <x:v>2</x:v>
      </x:c>
      <x:c r="F607" s="115" t="str">
        <x:v>Inspection physique</x:v>
      </x:c>
      <x:c r="G607" s="115" t="str">
        <x:v>1 niveaux ; 32 pièces ; 248 segments de mur ; 0 transitions. Inspection physique ; architecture complète encore ouverte.</x:v>
      </x:c>
      <x:c r="H607" s="115" t="str">
        <x:v>L 344 ; l 444 ; hauteur 10 m ; choix de composition auteur ; dimensions réelles à documenter</x:v>
      </x:c>
      <x:c r="I607" s="115" t="str">
        <x:v>À équilibrer</x:v>
      </x:c>
      <x:c r="J607" s="115" t="str">
        <x:v>Non</x:v>
      </x:c>
      <x:c r="K607" s="115" t="str">
        <x:v>Pièces décrites, murs, portes, niveaux et mobilier inspectables à l’échelle. Volumes réservés, raccord au seed, butin, rencontres et services de campagne restent à terminer.</x:v>
      </x:c>
    </x:row>
    <x:row r="608" ht="96" customHeight="1">
      <x:c r="A608" s="115" t="str">
        <x:v>EXT-MONDE-T013-V03</x:v>
      </x:c>
      <x:c r="B608" s="115" t="str">
        <x:v>EXT-MONDE-T013</x:v>
      </x:c>
      <x:c r="C608" s="115" t="str">
        <x:v>Ports</x:v>
      </x:c>
      <x:c r="D608" s="115" t="str">
        <x:v>Port de pêche</x:v>
      </x:c>
      <x:c r="E608" s="115" t="n">
        <x:v>3</x:v>
      </x:c>
      <x:c r="F608" s="115" t="str">
        <x:v>Inspection physique</x:v>
      </x:c>
      <x:c r="G608" s="115" t="str">
        <x:v>1 niveaux ; 32 pièces ; 248 segments de mur ; 0 transitions. Inspection physique ; architecture complète encore ouverte.</x:v>
      </x:c>
      <x:c r="H608" s="115" t="str">
        <x:v>L 344 ; l 444 ; hauteur 10 m ; choix de composition auteur ; dimensions réelles à documenter</x:v>
      </x:c>
      <x:c r="I608" s="115" t="str">
        <x:v>À équilibrer</x:v>
      </x:c>
      <x:c r="J608" s="115" t="str">
        <x:v>Non</x:v>
      </x:c>
      <x:c r="K608" s="115" t="str">
        <x:v>Pièces décrites, murs, portes, niveaux et mobilier inspectables à l’échelle. Volumes réservés, raccord au seed, butin, rencontres et services de campagne restent à terminer.</x:v>
      </x:c>
    </x:row>
    <x:row r="609" ht="96" customHeight="1">
      <x:c r="A609" s="115" t="str">
        <x:v>EXT-MONDE-T013-V04</x:v>
      </x:c>
      <x:c r="B609" s="115" t="str">
        <x:v>EXT-MONDE-T013</x:v>
      </x:c>
      <x:c r="C609" s="115" t="str">
        <x:v>Ports</x:v>
      </x:c>
      <x:c r="D609" s="115" t="str">
        <x:v>Port de pêche</x:v>
      </x:c>
      <x:c r="E609" s="115" t="n">
        <x:v>4</x:v>
      </x:c>
      <x:c r="F609" s="115" t="str">
        <x:v>Inspection physique</x:v>
      </x:c>
      <x:c r="G609" s="115" t="str">
        <x:v>1 niveaux ; 32 pièces ; 248 segments de mur ; 0 transitions. Inspection physique ; architecture complète encore ouverte.</x:v>
      </x:c>
      <x:c r="H609" s="115" t="str">
        <x:v>L 344 ; l 444 ; hauteur 10 m ; choix de composition auteur ; dimensions réelles à documenter</x:v>
      </x:c>
      <x:c r="I609" s="115" t="str">
        <x:v>À équilibrer</x:v>
      </x:c>
      <x:c r="J609" s="115" t="str">
        <x:v>Non</x:v>
      </x:c>
      <x:c r="K609" s="115" t="str">
        <x:v>Pièces décrites, murs, portes, niveaux et mobilier inspectables à l’échelle. Volumes réservés, raccord au seed, butin, rencontres et services de campagne restent à terminer.</x:v>
      </x:c>
    </x:row>
    <x:row r="610" ht="96" customHeight="1">
      <x:c r="A610" s="115" t="str">
        <x:v>EXT-MONDE-T013-V05</x:v>
      </x:c>
      <x:c r="B610" s="115" t="str">
        <x:v>EXT-MONDE-T013</x:v>
      </x:c>
      <x:c r="C610" s="115" t="str">
        <x:v>Ports</x:v>
      </x:c>
      <x:c r="D610" s="115" t="str">
        <x:v>Port de pêche</x:v>
      </x:c>
      <x:c r="E610" s="115" t="n">
        <x:v>5</x:v>
      </x:c>
      <x:c r="F610" s="115" t="str">
        <x:v>Inspection physique</x:v>
      </x:c>
      <x:c r="G610" s="115" t="str">
        <x:v>1 niveaux ; 32 pièces ; 248 segments de mur ; 0 transitions. Inspection physique ; architecture complète encore ouverte.</x:v>
      </x:c>
      <x:c r="H610" s="115" t="str">
        <x:v>L 344 ; l 444 ; hauteur 10 m ; choix de composition auteur ; dimensions réelles à documenter</x:v>
      </x:c>
      <x:c r="I610" s="115" t="str">
        <x:v>À équilibrer</x:v>
      </x:c>
      <x:c r="J610" s="115" t="str">
        <x:v>Non</x:v>
      </x:c>
      <x:c r="K610" s="115" t="str">
        <x:v>Pièces décrites, murs, portes, niveaux et mobilier inspectables à l’échelle. Volumes réservés, raccord au seed, butin, rencontres et services de campagne restent à terminer.</x:v>
      </x:c>
    </x:row>
    <x:row r="611" ht="96" customHeight="1">
      <x:c r="A611" s="115" t="str">
        <x:v>EXT-MONDE-T013-V06</x:v>
      </x:c>
      <x:c r="B611" s="115" t="str">
        <x:v>EXT-MONDE-T013</x:v>
      </x:c>
      <x:c r="C611" s="115" t="str">
        <x:v>Ports</x:v>
      </x:c>
      <x:c r="D611" s="115" t="str">
        <x:v>Port de pêche</x:v>
      </x:c>
      <x:c r="E611" s="115" t="n">
        <x:v>6</x:v>
      </x:c>
      <x:c r="F611" s="115" t="str">
        <x:v>Inspection physique</x:v>
      </x:c>
      <x:c r="G611" s="115" t="str">
        <x:v>1 niveaux ; 32 pièces ; 248 segments de mur ; 0 transitions. Inspection physique ; architecture complète encore ouverte.</x:v>
      </x:c>
      <x:c r="H611" s="115" t="str">
        <x:v>L 344 ; l 444 ; hauteur 10 m ; choix de composition auteur ; dimensions réelles à documenter</x:v>
      </x:c>
      <x:c r="I611" s="115" t="str">
        <x:v>À équilibrer</x:v>
      </x:c>
      <x:c r="J611" s="115" t="str">
        <x:v>Non</x:v>
      </x:c>
      <x:c r="K611" s="115" t="str">
        <x:v>Pièces décrites, murs, portes, niveaux et mobilier inspectables à l’échelle. Volumes réservés, raccord au seed, butin, rencontres et services de campagne restent à terminer.</x:v>
      </x:c>
    </x:row>
    <x:row r="612" ht="96" customHeight="1">
      <x:c r="A612" s="115" t="str">
        <x:v>EXT-MONDE-T013-V07</x:v>
      </x:c>
      <x:c r="B612" s="115" t="str">
        <x:v>EXT-MONDE-T013</x:v>
      </x:c>
      <x:c r="C612" s="115" t="str">
        <x:v>Ports</x:v>
      </x:c>
      <x:c r="D612" s="115" t="str">
        <x:v>Port de pêche</x:v>
      </x:c>
      <x:c r="E612" s="115" t="n">
        <x:v>7</x:v>
      </x:c>
      <x:c r="F612" s="115" t="str">
        <x:v>Inspection physique</x:v>
      </x:c>
      <x:c r="G612" s="115" t="str">
        <x:v>1 niveaux ; 32 pièces ; 248 segments de mur ; 0 transitions. Inspection physique ; architecture complète encore ouverte.</x:v>
      </x:c>
      <x:c r="H612" s="115" t="str">
        <x:v>L 344 ; l 444 ; hauteur 10 m ; choix de composition auteur ; dimensions réelles à documenter</x:v>
      </x:c>
      <x:c r="I612" s="115" t="str">
        <x:v>À équilibrer</x:v>
      </x:c>
      <x:c r="J612" s="115" t="str">
        <x:v>Non</x:v>
      </x:c>
      <x:c r="K612" s="115" t="str">
        <x:v>Pièces décrites, murs, portes, niveaux et mobilier inspectables à l’échelle. Volumes réservés, raccord au seed, butin, rencontres et services de campagne restent à terminer.</x:v>
      </x:c>
    </x:row>
    <x:row r="613" ht="96" customHeight="1">
      <x:c r="A613" s="115" t="str">
        <x:v>EXT-MONDE-T013-V08</x:v>
      </x:c>
      <x:c r="B613" s="115" t="str">
        <x:v>EXT-MONDE-T013</x:v>
      </x:c>
      <x:c r="C613" s="115" t="str">
        <x:v>Ports</x:v>
      </x:c>
      <x:c r="D613" s="115" t="str">
        <x:v>Port de pêche</x:v>
      </x:c>
      <x:c r="E613" s="115" t="n">
        <x:v>8</x:v>
      </x:c>
      <x:c r="F613" s="115" t="str">
        <x:v>Inspection physique</x:v>
      </x:c>
      <x:c r="G613" s="115" t="str">
        <x:v>1 niveaux ; 32 pièces ; 248 segments de mur ; 0 transitions. Inspection physique ; architecture complète encore ouverte.</x:v>
      </x:c>
      <x:c r="H613" s="115" t="str">
        <x:v>L 344 ; l 444 ; hauteur 10 m ; choix de composition auteur ; dimensions réelles à documenter</x:v>
      </x:c>
      <x:c r="I613" s="115" t="str">
        <x:v>À équilibrer</x:v>
      </x:c>
      <x:c r="J613" s="115" t="str">
        <x:v>Non</x:v>
      </x:c>
      <x:c r="K613" s="115" t="str">
        <x:v>Pièces décrites, murs, portes, niveaux et mobilier inspectables à l’échelle. Volumes réservés, raccord au seed, butin, rencontres et services de campagne restent à terminer.</x:v>
      </x:c>
    </x:row>
    <x:row r="614" ht="96" customHeight="1">
      <x:c r="A614" s="115" t="str">
        <x:v>EXT-MONDE-T013-V09</x:v>
      </x:c>
      <x:c r="B614" s="115" t="str">
        <x:v>EXT-MONDE-T013</x:v>
      </x:c>
      <x:c r="C614" s="115" t="str">
        <x:v>Ports</x:v>
      </x:c>
      <x:c r="D614" s="115" t="str">
        <x:v>Port de pêche</x:v>
      </x:c>
      <x:c r="E614" s="115" t="n">
        <x:v>9</x:v>
      </x:c>
      <x:c r="F614" s="115" t="str">
        <x:v>Inspection physique</x:v>
      </x:c>
      <x:c r="G614" s="115" t="str">
        <x:v>1 niveaux ; 32 pièces ; 248 segments de mur ; 0 transitions. Inspection physique ; architecture complète encore ouverte.</x:v>
      </x:c>
      <x:c r="H614" s="115" t="str">
        <x:v>L 344 ; l 444 ; hauteur 10 m ; choix de composition auteur ; dimensions réelles à documenter</x:v>
      </x:c>
      <x:c r="I614" s="115" t="str">
        <x:v>À équilibrer</x:v>
      </x:c>
      <x:c r="J614" s="115" t="str">
        <x:v>Non</x:v>
      </x:c>
      <x:c r="K614" s="115" t="str">
        <x:v>Pièces décrites, murs, portes, niveaux et mobilier inspectables à l’échelle. Volumes réservés, raccord au seed, butin, rencontres et services de campagne restent à terminer.</x:v>
      </x:c>
    </x:row>
    <x:row r="615" ht="96" customHeight="1">
      <x:c r="A615" s="115" t="str">
        <x:v>EXT-MONDE-T013-V10</x:v>
      </x:c>
      <x:c r="B615" s="115" t="str">
        <x:v>EXT-MONDE-T013</x:v>
      </x:c>
      <x:c r="C615" s="115" t="str">
        <x:v>Ports</x:v>
      </x:c>
      <x:c r="D615" s="115" t="str">
        <x:v>Port de pêche</x:v>
      </x:c>
      <x:c r="E615" s="115" t="n">
        <x:v>10</x:v>
      </x:c>
      <x:c r="F615" s="115" t="str">
        <x:v>Inspection physique</x:v>
      </x:c>
      <x:c r="G615" s="115" t="str">
        <x:v>1 niveaux ; 32 pièces ; 248 segments de mur ; 0 transitions. Inspection physique ; architecture complète encore ouverte.</x:v>
      </x:c>
      <x:c r="H615" s="115" t="str">
        <x:v>L 344 ; l 444 ; hauteur 10 m ; choix de composition auteur ; dimensions réelles à documenter</x:v>
      </x:c>
      <x:c r="I615" s="115" t="str">
        <x:v>À équilibrer</x:v>
      </x:c>
      <x:c r="J615" s="115" t="str">
        <x:v>Non</x:v>
      </x:c>
      <x:c r="K615" s="115" t="str">
        <x:v>Pièces décrites, murs, portes, niveaux et mobilier inspectables à l’échelle. Volumes réservés, raccord au seed, butin, rencontres et services de campagne restent à terminer.</x:v>
      </x:c>
    </x:row>
    <x:row r="616" ht="96" customHeight="1">
      <x:c r="A616" s="115" t="str">
        <x:v>EXT-MONDE-T013-V11</x:v>
      </x:c>
      <x:c r="B616" s="115" t="str">
        <x:v>EXT-MONDE-T013</x:v>
      </x:c>
      <x:c r="C616" s="115" t="str">
        <x:v>Ports</x:v>
      </x:c>
      <x:c r="D616" s="115" t="str">
        <x:v>Port de pêche</x:v>
      </x:c>
      <x:c r="E616" s="115" t="n">
        <x:v>11</x:v>
      </x:c>
      <x:c r="F616" s="115" t="str">
        <x:v>Inspection physique</x:v>
      </x:c>
      <x:c r="G616" s="115" t="str">
        <x:v>1 niveaux ; 32 pièces ; 248 segments de mur ; 0 transitions. Inspection physique ; architecture complète encore ouverte.</x:v>
      </x:c>
      <x:c r="H616" s="115" t="str">
        <x:v>L 358 ; l 456 ; hauteur 10 m ; choix de composition auteur ; dimensions réelles à documenter</x:v>
      </x:c>
      <x:c r="I616" s="115" t="str">
        <x:v>À équilibrer</x:v>
      </x:c>
      <x:c r="J616" s="115" t="str">
        <x:v>Non</x:v>
      </x:c>
      <x:c r="K616" s="115" t="str">
        <x:v>Pièces décrites, murs, portes, niveaux et mobilier inspectables à l’échelle. Volumes réservés, raccord au seed, butin, rencontres et services de campagne restent à terminer.</x:v>
      </x:c>
    </x:row>
    <x:row r="617" ht="96" customHeight="1">
      <x:c r="A617" s="115" t="str">
        <x:v>EXT-MONDE-T013-V12</x:v>
      </x:c>
      <x:c r="B617" s="115" t="str">
        <x:v>EXT-MONDE-T013</x:v>
      </x:c>
      <x:c r="C617" s="115" t="str">
        <x:v>Ports</x:v>
      </x:c>
      <x:c r="D617" s="115" t="str">
        <x:v>Port de pêche</x:v>
      </x:c>
      <x:c r="E617" s="115" t="n">
        <x:v>12</x:v>
      </x:c>
      <x:c r="F617" s="115" t="str">
        <x:v>Inspection physique</x:v>
      </x:c>
      <x:c r="G617" s="115" t="str">
        <x:v>1 niveaux ; 32 pièces ; 248 segments de mur ; 0 transitions. Inspection physique ; architecture complète encore ouverte.</x:v>
      </x:c>
      <x:c r="H617" s="115" t="str">
        <x:v>L 358 ; l 456 ; hauteur 10 m ; choix de composition auteur ; dimensions réelles à documenter</x:v>
      </x:c>
      <x:c r="I617" s="115" t="str">
        <x:v>À équilibrer</x:v>
      </x:c>
      <x:c r="J617" s="115" t="str">
        <x:v>Non</x:v>
      </x:c>
      <x:c r="K617" s="115" t="str">
        <x:v>Pièces décrites, murs, portes, niveaux et mobilier inspectables à l’échelle. Volumes réservés, raccord au seed, butin, rencontres et services de campagne restent à terminer.</x:v>
      </x:c>
    </x:row>
    <x:row r="618" ht="96" customHeight="1">
      <x:c r="A618" s="115" t="str">
        <x:v>EXT-MONDE-T013-V13</x:v>
      </x:c>
      <x:c r="B618" s="115" t="str">
        <x:v>EXT-MONDE-T013</x:v>
      </x:c>
      <x:c r="C618" s="115" t="str">
        <x:v>Ports</x:v>
      </x:c>
      <x:c r="D618" s="115" t="str">
        <x:v>Port de pêche</x:v>
      </x:c>
      <x:c r="E618" s="115" t="n">
        <x:v>13</x:v>
      </x:c>
      <x:c r="F618" s="115" t="str">
        <x:v>Inspection physique</x:v>
      </x:c>
      <x:c r="G618" s="115" t="str">
        <x:v>1 niveaux ; 32 pièces ; 248 segments de mur ; 0 transitions. Inspection physique ; architecture complète encore ouverte.</x:v>
      </x:c>
      <x:c r="H618" s="115" t="str">
        <x:v>L 358 ; l 456 ; hauteur 10 m ; choix de composition auteur ; dimensions réelles à documenter</x:v>
      </x:c>
      <x:c r="I618" s="115" t="str">
        <x:v>À équilibrer</x:v>
      </x:c>
      <x:c r="J618" s="115" t="str">
        <x:v>Non</x:v>
      </x:c>
      <x:c r="K618" s="115" t="str">
        <x:v>Pièces décrites, murs, portes, niveaux et mobilier inspectables à l’échelle. Volumes réservés, raccord au seed, butin, rencontres et services de campagne restent à terminer.</x:v>
      </x:c>
    </x:row>
    <x:row r="619" ht="96" customHeight="1">
      <x:c r="A619" s="115" t="str">
        <x:v>EXT-MONDE-T013-V14</x:v>
      </x:c>
      <x:c r="B619" s="115" t="str">
        <x:v>EXT-MONDE-T013</x:v>
      </x:c>
      <x:c r="C619" s="115" t="str">
        <x:v>Ports</x:v>
      </x:c>
      <x:c r="D619" s="115" t="str">
        <x:v>Port de pêche</x:v>
      </x:c>
      <x:c r="E619" s="115" t="n">
        <x:v>14</x:v>
      </x:c>
      <x:c r="F619" s="115" t="str">
        <x:v>Inspection physique</x:v>
      </x:c>
      <x:c r="G619" s="115" t="str">
        <x:v>1 niveaux ; 32 pièces ; 248 segments de mur ; 0 transitions. Inspection physique ; architecture complète encore ouverte.</x:v>
      </x:c>
      <x:c r="H619" s="115" t="str">
        <x:v>L 358 ; l 456 ; hauteur 10 m ; choix de composition auteur ; dimensions réelles à documenter</x:v>
      </x:c>
      <x:c r="I619" s="115" t="str">
        <x:v>À équilibrer</x:v>
      </x:c>
      <x:c r="J619" s="115" t="str">
        <x:v>Non</x:v>
      </x:c>
      <x:c r="K619" s="115" t="str">
        <x:v>Pièces décrites, murs, portes, niveaux et mobilier inspectables à l’échelle. Volumes réservés, raccord au seed, butin, rencontres et services de campagne restent à terminer.</x:v>
      </x:c>
    </x:row>
    <x:row r="620" ht="96" customHeight="1">
      <x:c r="A620" s="115" t="str">
        <x:v>EXT-MONDE-T013-V15</x:v>
      </x:c>
      <x:c r="B620" s="115" t="str">
        <x:v>EXT-MONDE-T013</x:v>
      </x:c>
      <x:c r="C620" s="115" t="str">
        <x:v>Ports</x:v>
      </x:c>
      <x:c r="D620" s="115" t="str">
        <x:v>Port de pêche</x:v>
      </x:c>
      <x:c r="E620" s="115" t="n">
        <x:v>15</x:v>
      </x:c>
      <x:c r="F620" s="115" t="str">
        <x:v>Inspection physique</x:v>
      </x:c>
      <x:c r="G620" s="115" t="str">
        <x:v>1 niveaux ; 32 pièces ; 248 segments de mur ; 0 transitions. Inspection physique ; architecture complète encore ouverte.</x:v>
      </x:c>
      <x:c r="H620" s="115" t="str">
        <x:v>L 358 ; l 456 ; hauteur 10 m ; choix de composition auteur ; dimensions réelles à documenter</x:v>
      </x:c>
      <x:c r="I620" s="115" t="str">
        <x:v>À équilibrer</x:v>
      </x:c>
      <x:c r="J620" s="115" t="str">
        <x:v>Non</x:v>
      </x:c>
      <x:c r="K620" s="115" t="str">
        <x:v>Pièces décrites, murs, portes, niveaux et mobilier inspectables à l’échelle. Volumes réservés, raccord au seed, butin, rencontres et services de campagne restent à terminer.</x:v>
      </x:c>
    </x:row>
    <x:row r="621" ht="96" customHeight="1">
      <x:c r="A621" s="115" t="str">
        <x:v>EXT-MONDE-T013-V16</x:v>
      </x:c>
      <x:c r="B621" s="115" t="str">
        <x:v>EXT-MONDE-T013</x:v>
      </x:c>
      <x:c r="C621" s="115" t="str">
        <x:v>Ports</x:v>
      </x:c>
      <x:c r="D621" s="115" t="str">
        <x:v>Port de pêche</x:v>
      </x:c>
      <x:c r="E621" s="115" t="n">
        <x:v>16</x:v>
      </x:c>
      <x:c r="F621" s="115" t="str">
        <x:v>Inspection physique</x:v>
      </x:c>
      <x:c r="G621" s="115" t="str">
        <x:v>1 niveaux ; 32 pièces ; 248 segments de mur ; 0 transitions. Inspection physique ; architecture complète encore ouverte.</x:v>
      </x:c>
      <x:c r="H621" s="115" t="str">
        <x:v>L 358 ; l 456 ; hauteur 10 m ; choix de composition auteur ; dimensions réelles à documenter</x:v>
      </x:c>
      <x:c r="I621" s="115" t="str">
        <x:v>À équilibrer</x:v>
      </x:c>
      <x:c r="J621" s="115" t="str">
        <x:v>Non</x:v>
      </x:c>
      <x:c r="K621" s="115" t="str">
        <x:v>Pièces décrites, murs, portes, niveaux et mobilier inspectables à l’échelle. Volumes réservés, raccord au seed, butin, rencontres et services de campagne restent à terminer.</x:v>
      </x:c>
    </x:row>
    <x:row r="622" ht="96" customHeight="1">
      <x:c r="A622" s="115" t="str">
        <x:v>EXT-MONDE-T013-V17</x:v>
      </x:c>
      <x:c r="B622" s="115" t="str">
        <x:v>EXT-MONDE-T013</x:v>
      </x:c>
      <x:c r="C622" s="115" t="str">
        <x:v>Ports</x:v>
      </x:c>
      <x:c r="D622" s="115" t="str">
        <x:v>Port de pêche</x:v>
      </x:c>
      <x:c r="E622" s="115" t="n">
        <x:v>17</x:v>
      </x:c>
      <x:c r="F622" s="115" t="str">
        <x:v>Inspection physique</x:v>
      </x:c>
      <x:c r="G622" s="115" t="str">
        <x:v>1 niveaux ; 32 pièces ; 248 segments de mur ; 0 transitions. Inspection physique ; architecture complète encore ouverte.</x:v>
      </x:c>
      <x:c r="H622" s="115" t="str">
        <x:v>L 358 ; l 456 ; hauteur 10 m ; choix de composition auteur ; dimensions réelles à documenter</x:v>
      </x:c>
      <x:c r="I622" s="115" t="str">
        <x:v>À équilibrer</x:v>
      </x:c>
      <x:c r="J622" s="115" t="str">
        <x:v>Non</x:v>
      </x:c>
      <x:c r="K622" s="115" t="str">
        <x:v>Pièces décrites, murs, portes, niveaux et mobilier inspectables à l’échelle. Volumes réservés, raccord au seed, butin, rencontres et services de campagne restent à terminer.</x:v>
      </x:c>
    </x:row>
    <x:row r="623" ht="96" customHeight="1">
      <x:c r="A623" s="115" t="str">
        <x:v>EXT-MONDE-T013-V18</x:v>
      </x:c>
      <x:c r="B623" s="115" t="str">
        <x:v>EXT-MONDE-T013</x:v>
      </x:c>
      <x:c r="C623" s="115" t="str">
        <x:v>Ports</x:v>
      </x:c>
      <x:c r="D623" s="115" t="str">
        <x:v>Port de pêche</x:v>
      </x:c>
      <x:c r="E623" s="115" t="n">
        <x:v>18</x:v>
      </x:c>
      <x:c r="F623" s="115" t="str">
        <x:v>Inspection physique</x:v>
      </x:c>
      <x:c r="G623" s="115" t="str">
        <x:v>1 niveaux ; 32 pièces ; 248 segments de mur ; 0 transitions. Inspection physique ; architecture complète encore ouverte.</x:v>
      </x:c>
      <x:c r="H623" s="115" t="str">
        <x:v>L 358 ; l 456 ; hauteur 10 m ; choix de composition auteur ; dimensions réelles à documenter</x:v>
      </x:c>
      <x:c r="I623" s="115" t="str">
        <x:v>À équilibrer</x:v>
      </x:c>
      <x:c r="J623" s="115" t="str">
        <x:v>Non</x:v>
      </x:c>
      <x:c r="K623" s="115" t="str">
        <x:v>Pièces décrites, murs, portes, niveaux et mobilier inspectables à l’échelle. Volumes réservés, raccord au seed, butin, rencontres et services de campagne restent à terminer.</x:v>
      </x:c>
    </x:row>
    <x:row r="624" ht="96" customHeight="1">
      <x:c r="A624" s="115" t="str">
        <x:v>EXT-MONDE-T013-V19</x:v>
      </x:c>
      <x:c r="B624" s="115" t="str">
        <x:v>EXT-MONDE-T013</x:v>
      </x:c>
      <x:c r="C624" s="115" t="str">
        <x:v>Ports</x:v>
      </x:c>
      <x:c r="D624" s="115" t="str">
        <x:v>Port de pêche</x:v>
      </x:c>
      <x:c r="E624" s="115" t="n">
        <x:v>19</x:v>
      </x:c>
      <x:c r="F624" s="115" t="str">
        <x:v>Inspection physique</x:v>
      </x:c>
      <x:c r="G624" s="115" t="str">
        <x:v>1 niveaux ; 32 pièces ; 248 segments de mur ; 0 transitions. Inspection physique ; architecture complète encore ouverte.</x:v>
      </x:c>
      <x:c r="H624" s="115" t="str">
        <x:v>L 358 ; l 456 ; hauteur 10 m ; choix de composition auteur ; dimensions réelles à documenter</x:v>
      </x:c>
      <x:c r="I624" s="115" t="str">
        <x:v>À équilibrer</x:v>
      </x:c>
      <x:c r="J624" s="115" t="str">
        <x:v>Non</x:v>
      </x:c>
      <x:c r="K624" s="115" t="str">
        <x:v>Pièces décrites, murs, portes, niveaux et mobilier inspectables à l’échelle. Volumes réservés, raccord au seed, butin, rencontres et services de campagne restent à terminer.</x:v>
      </x:c>
    </x:row>
    <x:row r="625" ht="96" customHeight="1">
      <x:c r="A625" s="115" t="str">
        <x:v>EXT-MONDE-T013-V20</x:v>
      </x:c>
      <x:c r="B625" s="115" t="str">
        <x:v>EXT-MONDE-T013</x:v>
      </x:c>
      <x:c r="C625" s="115" t="str">
        <x:v>Ports</x:v>
      </x:c>
      <x:c r="D625" s="115" t="str">
        <x:v>Port de pêche</x:v>
      </x:c>
      <x:c r="E625" s="115" t="n">
        <x:v>20</x:v>
      </x:c>
      <x:c r="F625" s="115" t="str">
        <x:v>Inspection physique</x:v>
      </x:c>
      <x:c r="G625" s="115" t="str">
        <x:v>1 niveaux ; 32 pièces ; 248 segments de mur ; 0 transitions. Inspection physique ; architecture complète encore ouverte.</x:v>
      </x:c>
      <x:c r="H625" s="115" t="str">
        <x:v>L 358 ; l 456 ; hauteur 10 m ; choix de composition auteur ; dimensions réelles à documenter</x:v>
      </x:c>
      <x:c r="I625" s="115" t="str">
        <x:v>À équilibrer</x:v>
      </x:c>
      <x:c r="J625" s="115" t="str">
        <x:v>Non</x:v>
      </x:c>
      <x:c r="K625" s="115" t="str">
        <x:v>Pièces décrites, murs, portes, niveaux et mobilier inspectables à l’échelle. Volumes réservés, raccord au seed, butin, rencontres et services de campagne restent à terminer.</x:v>
      </x:c>
    </x:row>
    <x:row r="626" ht="96" customHeight="1">
      <x:c r="A626" s="115" t="str">
        <x:v>EXT-MONDE-T013-V21</x:v>
      </x:c>
      <x:c r="B626" s="115" t="str">
        <x:v>EXT-MONDE-T013</x:v>
      </x:c>
      <x:c r="C626" s="115" t="str">
        <x:v>Ports</x:v>
      </x:c>
      <x:c r="D626" s="115" t="str">
        <x:v>Port de pêche</x:v>
      </x:c>
      <x:c r="E626" s="115" t="n">
        <x:v>21</x:v>
      </x:c>
      <x:c r="F626" s="115" t="str">
        <x:v>Inspection physique</x:v>
      </x:c>
      <x:c r="G626" s="115" t="str">
        <x:v>1 niveaux ; 32 pièces ; 248 segments de mur ; 0 transitions. Inspection physique ; architecture complète encore ouverte.</x:v>
      </x:c>
      <x:c r="H626" s="115" t="str">
        <x:v>L 372 ; l 468 ; hauteur 10 m ; choix de composition auteur ; dimensions réelles à documenter</x:v>
      </x:c>
      <x:c r="I626" s="115" t="str">
        <x:v>À équilibrer</x:v>
      </x:c>
      <x:c r="J626" s="115" t="str">
        <x:v>Non</x:v>
      </x:c>
      <x:c r="K626" s="115" t="str">
        <x:v>Pièces décrites, murs, portes, niveaux et mobilier inspectables à l’échelle. Volumes réservés, raccord au seed, butin, rencontres et services de campagne restent à terminer.</x:v>
      </x:c>
    </x:row>
    <x:row r="627" ht="96" customHeight="1">
      <x:c r="A627" s="115" t="str">
        <x:v>EXT-MONDE-T013-V22</x:v>
      </x:c>
      <x:c r="B627" s="115" t="str">
        <x:v>EXT-MONDE-T013</x:v>
      </x:c>
      <x:c r="C627" s="115" t="str">
        <x:v>Ports</x:v>
      </x:c>
      <x:c r="D627" s="115" t="str">
        <x:v>Port de pêche</x:v>
      </x:c>
      <x:c r="E627" s="115" t="n">
        <x:v>22</x:v>
      </x:c>
      <x:c r="F627" s="115" t="str">
        <x:v>Inspection physique</x:v>
      </x:c>
      <x:c r="G627" s="115" t="str">
        <x:v>1 niveaux ; 32 pièces ; 248 segments de mur ; 0 transitions. Inspection physique ; architecture complète encore ouverte.</x:v>
      </x:c>
      <x:c r="H627" s="115" t="str">
        <x:v>L 372 ; l 468 ; hauteur 10 m ; choix de composition auteur ; dimensions réelles à documenter</x:v>
      </x:c>
      <x:c r="I627" s="115" t="str">
        <x:v>À équilibrer</x:v>
      </x:c>
      <x:c r="J627" s="115" t="str">
        <x:v>Non</x:v>
      </x:c>
      <x:c r="K627" s="115" t="str">
        <x:v>Pièces décrites, murs, portes, niveaux et mobilier inspectables à l’échelle. Volumes réservés, raccord au seed, butin, rencontres et services de campagne restent à terminer.</x:v>
      </x:c>
    </x:row>
    <x:row r="628" ht="96" customHeight="1">
      <x:c r="A628" s="115" t="str">
        <x:v>EXT-MONDE-T013-V23</x:v>
      </x:c>
      <x:c r="B628" s="115" t="str">
        <x:v>EXT-MONDE-T013</x:v>
      </x:c>
      <x:c r="C628" s="115" t="str">
        <x:v>Ports</x:v>
      </x:c>
      <x:c r="D628" s="115" t="str">
        <x:v>Port de pêche</x:v>
      </x:c>
      <x:c r="E628" s="115" t="n">
        <x:v>23</x:v>
      </x:c>
      <x:c r="F628" s="115" t="str">
        <x:v>Inspection physique</x:v>
      </x:c>
      <x:c r="G628" s="115" t="str">
        <x:v>1 niveaux ; 32 pièces ; 248 segments de mur ; 0 transitions. Inspection physique ; architecture complète encore ouverte.</x:v>
      </x:c>
      <x:c r="H628" s="115" t="str">
        <x:v>L 372 ; l 468 ; hauteur 10 m ; choix de composition auteur ; dimensions réelles à documenter</x:v>
      </x:c>
      <x:c r="I628" s="115" t="str">
        <x:v>À équilibrer</x:v>
      </x:c>
      <x:c r="J628" s="115" t="str">
        <x:v>Non</x:v>
      </x:c>
      <x:c r="K628" s="115" t="str">
        <x:v>Pièces décrites, murs, portes, niveaux et mobilier inspectables à l’échelle. Volumes réservés, raccord au seed, butin, rencontres et services de campagne restent à terminer.</x:v>
      </x:c>
    </x:row>
    <x:row r="629" ht="96" customHeight="1">
      <x:c r="A629" s="115" t="str">
        <x:v>EXT-MONDE-T013-V24</x:v>
      </x:c>
      <x:c r="B629" s="115" t="str">
        <x:v>EXT-MONDE-T013</x:v>
      </x:c>
      <x:c r="C629" s="115" t="str">
        <x:v>Ports</x:v>
      </x:c>
      <x:c r="D629" s="115" t="str">
        <x:v>Port de pêche</x:v>
      </x:c>
      <x:c r="E629" s="115" t="n">
        <x:v>24</x:v>
      </x:c>
      <x:c r="F629" s="115" t="str">
        <x:v>Inspection physique</x:v>
      </x:c>
      <x:c r="G629" s="115" t="str">
        <x:v>1 niveaux ; 32 pièces ; 248 segments de mur ; 0 transitions. Inspection physique ; architecture complète encore ouverte.</x:v>
      </x:c>
      <x:c r="H629" s="115" t="str">
        <x:v>L 372 ; l 468 ; hauteur 10 m ; choix de composition auteur ; dimensions réelles à documenter</x:v>
      </x:c>
      <x:c r="I629" s="115" t="str">
        <x:v>À équilibrer</x:v>
      </x:c>
      <x:c r="J629" s="115" t="str">
        <x:v>Non</x:v>
      </x:c>
      <x:c r="K629" s="115" t="str">
        <x:v>Pièces décrites, murs, portes, niveaux et mobilier inspectables à l’échelle. Volumes réservés, raccord au seed, butin, rencontres et services de campagne restent à terminer.</x:v>
      </x:c>
    </x:row>
    <x:row r="630" ht="96" customHeight="1">
      <x:c r="A630" s="115" t="str">
        <x:v>EXT-MONDE-T013-V25</x:v>
      </x:c>
      <x:c r="B630" s="115" t="str">
        <x:v>EXT-MONDE-T013</x:v>
      </x:c>
      <x:c r="C630" s="115" t="str">
        <x:v>Ports</x:v>
      </x:c>
      <x:c r="D630" s="115" t="str">
        <x:v>Port de pêche</x:v>
      </x:c>
      <x:c r="E630" s="115" t="n">
        <x:v>25</x:v>
      </x:c>
      <x:c r="F630" s="115" t="str">
        <x:v>Inspection physique</x:v>
      </x:c>
      <x:c r="G630" s="115" t="str">
        <x:v>1 niveaux ; 32 pièces ; 248 segments de mur ; 0 transitions. Inspection physique ; architecture complète encore ouverte.</x:v>
      </x:c>
      <x:c r="H630" s="115" t="str">
        <x:v>L 372 ; l 468 ; hauteur 10 m ; choix de composition auteur ; dimensions réelles à documenter</x:v>
      </x:c>
      <x:c r="I630" s="115" t="str">
        <x:v>À équilibrer</x:v>
      </x:c>
      <x:c r="J630" s="115" t="str">
        <x:v>Non</x:v>
      </x:c>
      <x:c r="K630" s="115" t="str">
        <x:v>Pièces décrites, murs, portes, niveaux et mobilier inspectables à l’échelle. Volumes réservés, raccord au seed, butin, rencontres et services de campagne restent à terminer.</x:v>
      </x:c>
    </x:row>
    <x:row r="631" ht="96" customHeight="1">
      <x:c r="A631" s="115" t="str">
        <x:v>EXT-MONDE-T013-V26</x:v>
      </x:c>
      <x:c r="B631" s="115" t="str">
        <x:v>EXT-MONDE-T013</x:v>
      </x:c>
      <x:c r="C631" s="115" t="str">
        <x:v>Ports</x:v>
      </x:c>
      <x:c r="D631" s="115" t="str">
        <x:v>Port de pêche</x:v>
      </x:c>
      <x:c r="E631" s="115" t="n">
        <x:v>26</x:v>
      </x:c>
      <x:c r="F631" s="115" t="str">
        <x:v>Inspection physique</x:v>
      </x:c>
      <x:c r="G631" s="115" t="str">
        <x:v>1 niveaux ; 32 pièces ; 248 segments de mur ; 0 transitions. Inspection physique ; architecture complète encore ouverte.</x:v>
      </x:c>
      <x:c r="H631" s="115" t="str">
        <x:v>L 372 ; l 468 ; hauteur 10 m ; choix de composition auteur ; dimensions réelles à documenter</x:v>
      </x:c>
      <x:c r="I631" s="115" t="str">
        <x:v>À équilibrer</x:v>
      </x:c>
      <x:c r="J631" s="115" t="str">
        <x:v>Non</x:v>
      </x:c>
      <x:c r="K631" s="115" t="str">
        <x:v>Pièces décrites, murs, portes, niveaux et mobilier inspectables à l’échelle. Volumes réservés, raccord au seed, butin, rencontres et services de campagne restent à terminer.</x:v>
      </x:c>
    </x:row>
    <x:row r="632" ht="96" customHeight="1">
      <x:c r="A632" s="115" t="str">
        <x:v>EXT-MONDE-T013-V27</x:v>
      </x:c>
      <x:c r="B632" s="115" t="str">
        <x:v>EXT-MONDE-T013</x:v>
      </x:c>
      <x:c r="C632" s="115" t="str">
        <x:v>Ports</x:v>
      </x:c>
      <x:c r="D632" s="115" t="str">
        <x:v>Port de pêche</x:v>
      </x:c>
      <x:c r="E632" s="115" t="n">
        <x:v>27</x:v>
      </x:c>
      <x:c r="F632" s="115" t="str">
        <x:v>Inspection physique</x:v>
      </x:c>
      <x:c r="G632" s="115" t="str">
        <x:v>1 niveaux ; 32 pièces ; 248 segments de mur ; 0 transitions. Inspection physique ; architecture complète encore ouverte.</x:v>
      </x:c>
      <x:c r="H632" s="115" t="str">
        <x:v>L 372 ; l 468 ; hauteur 10 m ; choix de composition auteur ; dimensions réelles à documenter</x:v>
      </x:c>
      <x:c r="I632" s="115" t="str">
        <x:v>À équilibrer</x:v>
      </x:c>
      <x:c r="J632" s="115" t="str">
        <x:v>Non</x:v>
      </x:c>
      <x:c r="K632" s="115" t="str">
        <x:v>Pièces décrites, murs, portes, niveaux et mobilier inspectables à l’échelle. Volumes réservés, raccord au seed, butin, rencontres et services de campagne restent à terminer.</x:v>
      </x:c>
    </x:row>
    <x:row r="633" ht="96" customHeight="1">
      <x:c r="A633" s="115" t="str">
        <x:v>EXT-MONDE-T013-V28</x:v>
      </x:c>
      <x:c r="B633" s="115" t="str">
        <x:v>EXT-MONDE-T013</x:v>
      </x:c>
      <x:c r="C633" s="115" t="str">
        <x:v>Ports</x:v>
      </x:c>
      <x:c r="D633" s="115" t="str">
        <x:v>Port de pêche</x:v>
      </x:c>
      <x:c r="E633" s="115" t="n">
        <x:v>28</x:v>
      </x:c>
      <x:c r="F633" s="115" t="str">
        <x:v>Inspection physique</x:v>
      </x:c>
      <x:c r="G633" s="115" t="str">
        <x:v>1 niveaux ; 32 pièces ; 248 segments de mur ; 0 transitions. Inspection physique ; architecture complète encore ouverte.</x:v>
      </x:c>
      <x:c r="H633" s="115" t="str">
        <x:v>L 372 ; l 468 ; hauteur 10 m ; choix de composition auteur ; dimensions réelles à documenter</x:v>
      </x:c>
      <x:c r="I633" s="115" t="str">
        <x:v>À équilibrer</x:v>
      </x:c>
      <x:c r="J633" s="115" t="str">
        <x:v>Non</x:v>
      </x:c>
      <x:c r="K633" s="115" t="str">
        <x:v>Pièces décrites, murs, portes, niveaux et mobilier inspectables à l’échelle. Volumes réservés, raccord au seed, butin, rencontres et services de campagne restent à terminer.</x:v>
      </x:c>
    </x:row>
    <x:row r="634" ht="96" customHeight="1">
      <x:c r="A634" s="115" t="str">
        <x:v>EXT-MONDE-T013-V29</x:v>
      </x:c>
      <x:c r="B634" s="115" t="str">
        <x:v>EXT-MONDE-T013</x:v>
      </x:c>
      <x:c r="C634" s="115" t="str">
        <x:v>Ports</x:v>
      </x:c>
      <x:c r="D634" s="115" t="str">
        <x:v>Port de pêche</x:v>
      </x:c>
      <x:c r="E634" s="115" t="n">
        <x:v>29</x:v>
      </x:c>
      <x:c r="F634" s="115" t="str">
        <x:v>Inspection physique</x:v>
      </x:c>
      <x:c r="G634" s="115" t="str">
        <x:v>1 niveaux ; 32 pièces ; 248 segments de mur ; 0 transitions. Inspection physique ; architecture complète encore ouverte.</x:v>
      </x:c>
      <x:c r="H634" s="115" t="str">
        <x:v>L 372 ; l 468 ; hauteur 10 m ; choix de composition auteur ; dimensions réelles à documenter</x:v>
      </x:c>
      <x:c r="I634" s="115" t="str">
        <x:v>À équilibrer</x:v>
      </x:c>
      <x:c r="J634" s="115" t="str">
        <x:v>Non</x:v>
      </x:c>
      <x:c r="K634" s="115" t="str">
        <x:v>Pièces décrites, murs, portes, niveaux et mobilier inspectables à l’échelle. Volumes réservés, raccord au seed, butin, rencontres et services de campagne restent à terminer.</x:v>
      </x:c>
    </x:row>
    <x:row r="635" ht="96" customHeight="1">
      <x:c r="A635" s="115" t="str">
        <x:v>EXT-MONDE-T013-V30</x:v>
      </x:c>
      <x:c r="B635" s="115" t="str">
        <x:v>EXT-MONDE-T013</x:v>
      </x:c>
      <x:c r="C635" s="115" t="str">
        <x:v>Ports</x:v>
      </x:c>
      <x:c r="D635" s="115" t="str">
        <x:v>Port de pêche</x:v>
      </x:c>
      <x:c r="E635" s="115" t="n">
        <x:v>30</x:v>
      </x:c>
      <x:c r="F635" s="115" t="str">
        <x:v>Inspection physique</x:v>
      </x:c>
      <x:c r="G635" s="115" t="str">
        <x:v>1 niveaux ; 32 pièces ; 248 segments de mur ; 0 transitions. Inspection physique ; architecture complète encore ouverte.</x:v>
      </x:c>
      <x:c r="H635" s="115" t="str">
        <x:v>L 372 ; l 468 ; hauteur 10 m ; choix de composition auteur ; dimensions réelles à documenter</x:v>
      </x:c>
      <x:c r="I635" s="115" t="str">
        <x:v>À équilibrer</x:v>
      </x:c>
      <x:c r="J635" s="115" t="str">
        <x:v>Non</x:v>
      </x:c>
      <x:c r="K635" s="115" t="str">
        <x:v>Pièces décrites, murs, portes, niveaux et mobilier inspectables à l’échelle. Volumes réservés, raccord au seed, butin, rencontres et services de campagne restent à terminer.</x:v>
      </x:c>
    </x:row>
    <x:row r="636" ht="96" customHeight="1">
      <x:c r="A636" s="115" t="str">
        <x:v>EXT-MONDE-T013-V31</x:v>
      </x:c>
      <x:c r="B636" s="115" t="str">
        <x:v>EXT-MONDE-T013</x:v>
      </x:c>
      <x:c r="C636" s="115" t="str">
        <x:v>Ports</x:v>
      </x:c>
      <x:c r="D636" s="115" t="str">
        <x:v>Port de pêche</x:v>
      </x:c>
      <x:c r="E636" s="115" t="n">
        <x:v>31</x:v>
      </x:c>
      <x:c r="F636" s="115" t="str">
        <x:v>Inspection physique</x:v>
      </x:c>
      <x:c r="G636" s="115" t="str">
        <x:v>1 niveaux ; 32 pièces ; 248 segments de mur ; 0 transitions. Inspection physique ; architecture complète encore ouverte.</x:v>
      </x:c>
      <x:c r="H636" s="115" t="str">
        <x:v>L 386 ; l 480 ; hauteur 10 m ; choix de composition auteur ; dimensions réelles à documenter</x:v>
      </x:c>
      <x:c r="I636" s="115" t="str">
        <x:v>À équilibrer</x:v>
      </x:c>
      <x:c r="J636" s="115" t="str">
        <x:v>Non</x:v>
      </x:c>
      <x:c r="K636" s="115" t="str">
        <x:v>Pièces décrites, murs, portes, niveaux et mobilier inspectables à l’échelle. Volumes réservés, raccord au seed, butin, rencontres et services de campagne restent à terminer.</x:v>
      </x:c>
    </x:row>
    <x:row r="637" ht="96" customHeight="1">
      <x:c r="A637" s="115" t="str">
        <x:v>EXT-MONDE-T013-V32</x:v>
      </x:c>
      <x:c r="B637" s="115" t="str">
        <x:v>EXT-MONDE-T013</x:v>
      </x:c>
      <x:c r="C637" s="115" t="str">
        <x:v>Ports</x:v>
      </x:c>
      <x:c r="D637" s="115" t="str">
        <x:v>Port de pêche</x:v>
      </x:c>
      <x:c r="E637" s="115" t="n">
        <x:v>32</x:v>
      </x:c>
      <x:c r="F637" s="115" t="str">
        <x:v>Inspection physique</x:v>
      </x:c>
      <x:c r="G637" s="115" t="str">
        <x:v>1 niveaux ; 32 pièces ; 248 segments de mur ; 0 transitions. Inspection physique ; architecture complète encore ouverte.</x:v>
      </x:c>
      <x:c r="H637" s="115" t="str">
        <x:v>L 386 ; l 480 ; hauteur 10 m ; choix de composition auteur ; dimensions réelles à documenter</x:v>
      </x:c>
      <x:c r="I637" s="115" t="str">
        <x:v>À équilibrer</x:v>
      </x:c>
      <x:c r="J637" s="115" t="str">
        <x:v>Non</x:v>
      </x:c>
      <x:c r="K637" s="115" t="str">
        <x:v>Pièces décrites, murs, portes, niveaux et mobilier inspectables à l’échelle. Volumes réservés, raccord au seed, butin, rencontres et services de campagne restent à terminer.</x:v>
      </x:c>
    </x:row>
    <x:row r="638" ht="96" customHeight="1">
      <x:c r="A638" s="115" t="str">
        <x:v>EXT-MONDE-T013-V33</x:v>
      </x:c>
      <x:c r="B638" s="115" t="str">
        <x:v>EXT-MONDE-T013</x:v>
      </x:c>
      <x:c r="C638" s="115" t="str">
        <x:v>Ports</x:v>
      </x:c>
      <x:c r="D638" s="115" t="str">
        <x:v>Port de pêche</x:v>
      </x:c>
      <x:c r="E638" s="115" t="n">
        <x:v>33</x:v>
      </x:c>
      <x:c r="F638" s="115" t="str">
        <x:v>Inspection physique</x:v>
      </x:c>
      <x:c r="G638" s="115" t="str">
        <x:v>1 niveaux ; 32 pièces ; 248 segments de mur ; 0 transitions. Inspection physique ; architecture complète encore ouverte.</x:v>
      </x:c>
      <x:c r="H638" s="115" t="str">
        <x:v>L 386 ; l 480 ; hauteur 10 m ; choix de composition auteur ; dimensions réelles à documenter</x:v>
      </x:c>
      <x:c r="I638" s="115" t="str">
        <x:v>À équilibrer</x:v>
      </x:c>
      <x:c r="J638" s="115" t="str">
        <x:v>Non</x:v>
      </x:c>
      <x:c r="K638" s="115" t="str">
        <x:v>Pièces décrites, murs, portes, niveaux et mobilier inspectables à l’échelle. Volumes réservés, raccord au seed, butin, rencontres et services de campagne restent à terminer.</x:v>
      </x:c>
    </x:row>
    <x:row r="639" ht="96" customHeight="1">
      <x:c r="A639" s="115" t="str">
        <x:v>EXT-MONDE-T013-V34</x:v>
      </x:c>
      <x:c r="B639" s="115" t="str">
        <x:v>EXT-MONDE-T013</x:v>
      </x:c>
      <x:c r="C639" s="115" t="str">
        <x:v>Ports</x:v>
      </x:c>
      <x:c r="D639" s="115" t="str">
        <x:v>Port de pêche</x:v>
      </x:c>
      <x:c r="E639" s="115" t="n">
        <x:v>34</x:v>
      </x:c>
      <x:c r="F639" s="115" t="str">
        <x:v>Inspection physique</x:v>
      </x:c>
      <x:c r="G639" s="115" t="str">
        <x:v>1 niveaux ; 32 pièces ; 248 segments de mur ; 0 transitions. Inspection physique ; architecture complète encore ouverte.</x:v>
      </x:c>
      <x:c r="H639" s="115" t="str">
        <x:v>L 386 ; l 480 ; hauteur 10 m ; choix de composition auteur ; dimensions réelles à documenter</x:v>
      </x:c>
      <x:c r="I639" s="115" t="str">
        <x:v>À équilibrer</x:v>
      </x:c>
      <x:c r="J639" s="115" t="str">
        <x:v>Non</x:v>
      </x:c>
      <x:c r="K639" s="115" t="str">
        <x:v>Pièces décrites, murs, portes, niveaux et mobilier inspectables à l’échelle. Volumes réservés, raccord au seed, butin, rencontres et services de campagne restent à terminer.</x:v>
      </x:c>
    </x:row>
    <x:row r="640" ht="96" customHeight="1">
      <x:c r="A640" s="115" t="str">
        <x:v>EXT-MONDE-T013-V35</x:v>
      </x:c>
      <x:c r="B640" s="115" t="str">
        <x:v>EXT-MONDE-T013</x:v>
      </x:c>
      <x:c r="C640" s="115" t="str">
        <x:v>Ports</x:v>
      </x:c>
      <x:c r="D640" s="115" t="str">
        <x:v>Port de pêche</x:v>
      </x:c>
      <x:c r="E640" s="115" t="n">
        <x:v>35</x:v>
      </x:c>
      <x:c r="F640" s="115" t="str">
        <x:v>Inspection physique</x:v>
      </x:c>
      <x:c r="G640" s="115" t="str">
        <x:v>1 niveaux ; 32 pièces ; 248 segments de mur ; 0 transitions. Inspection physique ; architecture complète encore ouverte.</x:v>
      </x:c>
      <x:c r="H640" s="115" t="str">
        <x:v>L 386 ; l 480 ; hauteur 10 m ; choix de composition auteur ; dimensions réelles à documenter</x:v>
      </x:c>
      <x:c r="I640" s="115" t="str">
        <x:v>À équilibrer</x:v>
      </x:c>
      <x:c r="J640" s="115" t="str">
        <x:v>Non</x:v>
      </x:c>
      <x:c r="K640" s="115" t="str">
        <x:v>Pièces décrites, murs, portes, niveaux et mobilier inspectables à l’échelle. Volumes réservés, raccord au seed, butin, rencontres et services de campagne restent à terminer.</x:v>
      </x:c>
    </x:row>
    <x:row r="641" ht="96" customHeight="1">
      <x:c r="A641" s="115" t="str">
        <x:v>EXT-MONDE-T013-V36</x:v>
      </x:c>
      <x:c r="B641" s="115" t="str">
        <x:v>EXT-MONDE-T013</x:v>
      </x:c>
      <x:c r="C641" s="115" t="str">
        <x:v>Ports</x:v>
      </x:c>
      <x:c r="D641" s="115" t="str">
        <x:v>Port de pêche</x:v>
      </x:c>
      <x:c r="E641" s="115" t="n">
        <x:v>36</x:v>
      </x:c>
      <x:c r="F641" s="115" t="str">
        <x:v>Inspection physique</x:v>
      </x:c>
      <x:c r="G641" s="115" t="str">
        <x:v>1 niveaux ; 32 pièces ; 248 segments de mur ; 0 transitions. Inspection physique ; architecture complète encore ouverte.</x:v>
      </x:c>
      <x:c r="H641" s="115" t="str">
        <x:v>L 386 ; l 480 ; hauteur 10 m ; choix de composition auteur ; dimensions réelles à documenter</x:v>
      </x:c>
      <x:c r="I641" s="115" t="str">
        <x:v>À équilibrer</x:v>
      </x:c>
      <x:c r="J641" s="115" t="str">
        <x:v>Non</x:v>
      </x:c>
      <x:c r="K641" s="115" t="str">
        <x:v>Pièces décrites, murs, portes, niveaux et mobilier inspectables à l’échelle. Volumes réservés, raccord au seed, butin, rencontres et services de campagne restent à terminer.</x:v>
      </x:c>
    </x:row>
    <x:row r="642" ht="96" customHeight="1">
      <x:c r="A642" s="115" t="str">
        <x:v>EXT-MONDE-T013-V37</x:v>
      </x:c>
      <x:c r="B642" s="115" t="str">
        <x:v>EXT-MONDE-T013</x:v>
      </x:c>
      <x:c r="C642" s="115" t="str">
        <x:v>Ports</x:v>
      </x:c>
      <x:c r="D642" s="115" t="str">
        <x:v>Port de pêche</x:v>
      </x:c>
      <x:c r="E642" s="115" t="n">
        <x:v>37</x:v>
      </x:c>
      <x:c r="F642" s="115" t="str">
        <x:v>Inspection physique</x:v>
      </x:c>
      <x:c r="G642" s="115" t="str">
        <x:v>1 niveaux ; 32 pièces ; 248 segments de mur ; 0 transitions. Inspection physique ; architecture complète encore ouverte.</x:v>
      </x:c>
      <x:c r="H642" s="115" t="str">
        <x:v>L 386 ; l 480 ; hauteur 10 m ; choix de composition auteur ; dimensions réelles à documenter</x:v>
      </x:c>
      <x:c r="I642" s="115" t="str">
        <x:v>À équilibrer</x:v>
      </x:c>
      <x:c r="J642" s="115" t="str">
        <x:v>Non</x:v>
      </x:c>
      <x:c r="K642" s="115" t="str">
        <x:v>Pièces décrites, murs, portes, niveaux et mobilier inspectables à l’échelle. Volumes réservés, raccord au seed, butin, rencontres et services de campagne restent à terminer.</x:v>
      </x:c>
    </x:row>
    <x:row r="643" ht="96" customHeight="1">
      <x:c r="A643" s="115" t="str">
        <x:v>EXT-MONDE-T013-V38</x:v>
      </x:c>
      <x:c r="B643" s="115" t="str">
        <x:v>EXT-MONDE-T013</x:v>
      </x:c>
      <x:c r="C643" s="115" t="str">
        <x:v>Ports</x:v>
      </x:c>
      <x:c r="D643" s="115" t="str">
        <x:v>Port de pêche</x:v>
      </x:c>
      <x:c r="E643" s="115" t="n">
        <x:v>38</x:v>
      </x:c>
      <x:c r="F643" s="115" t="str">
        <x:v>Inspection physique</x:v>
      </x:c>
      <x:c r="G643" s="115" t="str">
        <x:v>1 niveaux ; 32 pièces ; 248 segments de mur ; 0 transitions. Inspection physique ; architecture complète encore ouverte.</x:v>
      </x:c>
      <x:c r="H643" s="115" t="str">
        <x:v>L 386 ; l 480 ; hauteur 10 m ; choix de composition auteur ; dimensions réelles à documenter</x:v>
      </x:c>
      <x:c r="I643" s="115" t="str">
        <x:v>À équilibrer</x:v>
      </x:c>
      <x:c r="J643" s="115" t="str">
        <x:v>Non</x:v>
      </x:c>
      <x:c r="K643" s="115" t="str">
        <x:v>Pièces décrites, murs, portes, niveaux et mobilier inspectables à l’échelle. Volumes réservés, raccord au seed, butin, rencontres et services de campagne restent à terminer.</x:v>
      </x:c>
    </x:row>
    <x:row r="644" ht="96" customHeight="1">
      <x:c r="A644" s="115" t="str">
        <x:v>EXT-MONDE-T013-V39</x:v>
      </x:c>
      <x:c r="B644" s="115" t="str">
        <x:v>EXT-MONDE-T013</x:v>
      </x:c>
      <x:c r="C644" s="115" t="str">
        <x:v>Ports</x:v>
      </x:c>
      <x:c r="D644" s="115" t="str">
        <x:v>Port de pêche</x:v>
      </x:c>
      <x:c r="E644" s="115" t="n">
        <x:v>39</x:v>
      </x:c>
      <x:c r="F644" s="115" t="str">
        <x:v>Inspection physique</x:v>
      </x:c>
      <x:c r="G644" s="115" t="str">
        <x:v>1 niveaux ; 32 pièces ; 248 segments de mur ; 0 transitions. Inspection physique ; architecture complète encore ouverte.</x:v>
      </x:c>
      <x:c r="H644" s="115" t="str">
        <x:v>L 386 ; l 480 ; hauteur 10 m ; choix de composition auteur ; dimensions réelles à documenter</x:v>
      </x:c>
      <x:c r="I644" s="115" t="str">
        <x:v>À équilibrer</x:v>
      </x:c>
      <x:c r="J644" s="115" t="str">
        <x:v>Non</x:v>
      </x:c>
      <x:c r="K644" s="115" t="str">
        <x:v>Pièces décrites, murs, portes, niveaux et mobilier inspectables à l’échelle. Volumes réservés, raccord au seed, butin, rencontres et services de campagne restent à terminer.</x:v>
      </x:c>
    </x:row>
    <x:row r="645" ht="96" customHeight="1">
      <x:c r="A645" s="115" t="str">
        <x:v>EXT-MONDE-T013-V40</x:v>
      </x:c>
      <x:c r="B645" s="115" t="str">
        <x:v>EXT-MONDE-T013</x:v>
      </x:c>
      <x:c r="C645" s="115" t="str">
        <x:v>Ports</x:v>
      </x:c>
      <x:c r="D645" s="115" t="str">
        <x:v>Port de pêche</x:v>
      </x:c>
      <x:c r="E645" s="115" t="n">
        <x:v>40</x:v>
      </x:c>
      <x:c r="F645" s="115" t="str">
        <x:v>Inspection physique</x:v>
      </x:c>
      <x:c r="G645" s="115" t="str">
        <x:v>1 niveaux ; 32 pièces ; 248 segments de mur ; 0 transitions. Inspection physique ; architecture complète encore ouverte.</x:v>
      </x:c>
      <x:c r="H645" s="115" t="str">
        <x:v>L 386 ; l 480 ; hauteur 10 m ; choix de composition auteur ; dimensions réelles à documenter</x:v>
      </x:c>
      <x:c r="I645" s="115" t="str">
        <x:v>À équilibrer</x:v>
      </x:c>
      <x:c r="J645" s="115" t="str">
        <x:v>Non</x:v>
      </x:c>
      <x:c r="K645" s="115" t="str">
        <x:v>Pièces décrites, murs, portes, niveaux et mobilier inspectables à l’échelle. Volumes réservés, raccord au seed, butin, rencontres et services de campagne restent à terminer.</x:v>
      </x:c>
    </x:row>
    <x:row r="646" ht="96" customHeight="1">
      <x:c r="A646" s="115" t="str">
        <x:v>EXT-MONDE-T013-V41</x:v>
      </x:c>
      <x:c r="B646" s="115" t="str">
        <x:v>EXT-MONDE-T013</x:v>
      </x:c>
      <x:c r="C646" s="115" t="str">
        <x:v>Ports</x:v>
      </x:c>
      <x:c r="D646" s="115" t="str">
        <x:v>Port de pêche</x:v>
      </x:c>
      <x:c r="E646" s="115" t="n">
        <x:v>41</x:v>
      </x:c>
      <x:c r="F646" s="115" t="str">
        <x:v>Inspection physique</x:v>
      </x:c>
      <x:c r="G646" s="115" t="str">
        <x:v>1 niveaux ; 32 pièces ; 248 segments de mur ; 0 transitions. Inspection physique ; architecture complète encore ouverte.</x:v>
      </x:c>
      <x:c r="H646" s="115" t="str">
        <x:v>L 400 ; l 492 ; hauteur 10 m ; choix de composition auteur ; dimensions réelles à documenter</x:v>
      </x:c>
      <x:c r="I646" s="115" t="str">
        <x:v>À équilibrer</x:v>
      </x:c>
      <x:c r="J646" s="115" t="str">
        <x:v>Non</x:v>
      </x:c>
      <x:c r="K646" s="115" t="str">
        <x:v>Pièces décrites, murs, portes, niveaux et mobilier inspectables à l’échelle. Volumes réservés, raccord au seed, butin, rencontres et services de campagne restent à terminer.</x:v>
      </x:c>
    </x:row>
    <x:row r="647" ht="96" customHeight="1">
      <x:c r="A647" s="115" t="str">
        <x:v>EXT-MONDE-T013-V42</x:v>
      </x:c>
      <x:c r="B647" s="115" t="str">
        <x:v>EXT-MONDE-T013</x:v>
      </x:c>
      <x:c r="C647" s="115" t="str">
        <x:v>Ports</x:v>
      </x:c>
      <x:c r="D647" s="115" t="str">
        <x:v>Port de pêche</x:v>
      </x:c>
      <x:c r="E647" s="115" t="n">
        <x:v>42</x:v>
      </x:c>
      <x:c r="F647" s="115" t="str">
        <x:v>Inspection physique</x:v>
      </x:c>
      <x:c r="G647" s="115" t="str">
        <x:v>1 niveaux ; 32 pièces ; 248 segments de mur ; 0 transitions. Inspection physique ; architecture complète encore ouverte.</x:v>
      </x:c>
      <x:c r="H647" s="115" t="str">
        <x:v>L 400 ; l 492 ; hauteur 10 m ; choix de composition auteur ; dimensions réelles à documenter</x:v>
      </x:c>
      <x:c r="I647" s="115" t="str">
        <x:v>À équilibrer</x:v>
      </x:c>
      <x:c r="J647" s="115" t="str">
        <x:v>Non</x:v>
      </x:c>
      <x:c r="K647" s="115" t="str">
        <x:v>Pièces décrites, murs, portes, niveaux et mobilier inspectables à l’échelle. Volumes réservés, raccord au seed, butin, rencontres et services de campagne restent à terminer.</x:v>
      </x:c>
    </x:row>
    <x:row r="648" ht="96" customHeight="1">
      <x:c r="A648" s="115" t="str">
        <x:v>EXT-MONDE-T013-V43</x:v>
      </x:c>
      <x:c r="B648" s="115" t="str">
        <x:v>EXT-MONDE-T013</x:v>
      </x:c>
      <x:c r="C648" s="115" t="str">
        <x:v>Ports</x:v>
      </x:c>
      <x:c r="D648" s="115" t="str">
        <x:v>Port de pêche</x:v>
      </x:c>
      <x:c r="E648" s="115" t="n">
        <x:v>43</x:v>
      </x:c>
      <x:c r="F648" s="115" t="str">
        <x:v>Inspection physique</x:v>
      </x:c>
      <x:c r="G648" s="115" t="str">
        <x:v>1 niveaux ; 32 pièces ; 248 segments de mur ; 0 transitions. Inspection physique ; architecture complète encore ouverte.</x:v>
      </x:c>
      <x:c r="H648" s="115" t="str">
        <x:v>L 400 ; l 492 ; hauteur 10 m ; choix de composition auteur ; dimensions réelles à documenter</x:v>
      </x:c>
      <x:c r="I648" s="115" t="str">
        <x:v>À équilibrer</x:v>
      </x:c>
      <x:c r="J648" s="115" t="str">
        <x:v>Non</x:v>
      </x:c>
      <x:c r="K648" s="115" t="str">
        <x:v>Pièces décrites, murs, portes, niveaux et mobilier inspectables à l’échelle. Volumes réservés, raccord au seed, butin, rencontres et services de campagne restent à terminer.</x:v>
      </x:c>
    </x:row>
    <x:row r="649" ht="96" customHeight="1">
      <x:c r="A649" s="115" t="str">
        <x:v>EXT-MONDE-T013-V44</x:v>
      </x:c>
      <x:c r="B649" s="115" t="str">
        <x:v>EXT-MONDE-T013</x:v>
      </x:c>
      <x:c r="C649" s="115" t="str">
        <x:v>Ports</x:v>
      </x:c>
      <x:c r="D649" s="115" t="str">
        <x:v>Port de pêche</x:v>
      </x:c>
      <x:c r="E649" s="115" t="n">
        <x:v>44</x:v>
      </x:c>
      <x:c r="F649" s="115" t="str">
        <x:v>Inspection physique</x:v>
      </x:c>
      <x:c r="G649" s="115" t="str">
        <x:v>1 niveaux ; 32 pièces ; 248 segments de mur ; 0 transitions. Inspection physique ; architecture complète encore ouverte.</x:v>
      </x:c>
      <x:c r="H649" s="115" t="str">
        <x:v>L 400 ; l 492 ; hauteur 10 m ; choix de composition auteur ; dimensions réelles à documenter</x:v>
      </x:c>
      <x:c r="I649" s="115" t="str">
        <x:v>À équilibrer</x:v>
      </x:c>
      <x:c r="J649" s="115" t="str">
        <x:v>Non</x:v>
      </x:c>
      <x:c r="K649" s="115" t="str">
        <x:v>Pièces décrites, murs, portes, niveaux et mobilier inspectables à l’échelle. Volumes réservés, raccord au seed, butin, rencontres et services de campagne restent à terminer.</x:v>
      </x:c>
    </x:row>
    <x:row r="650" ht="96" customHeight="1">
      <x:c r="A650" s="115" t="str">
        <x:v>EXT-MONDE-T013-V45</x:v>
      </x:c>
      <x:c r="B650" s="115" t="str">
        <x:v>EXT-MONDE-T013</x:v>
      </x:c>
      <x:c r="C650" s="115" t="str">
        <x:v>Ports</x:v>
      </x:c>
      <x:c r="D650" s="115" t="str">
        <x:v>Port de pêche</x:v>
      </x:c>
      <x:c r="E650" s="115" t="n">
        <x:v>45</x:v>
      </x:c>
      <x:c r="F650" s="115" t="str">
        <x:v>Inspection physique</x:v>
      </x:c>
      <x:c r="G650" s="115" t="str">
        <x:v>1 niveaux ; 32 pièces ; 248 segments de mur ; 0 transitions. Inspection physique ; architecture complète encore ouverte.</x:v>
      </x:c>
      <x:c r="H650" s="115" t="str">
        <x:v>L 400 ; l 492 ; hauteur 10 m ; choix de composition auteur ; dimensions réelles à documenter</x:v>
      </x:c>
      <x:c r="I650" s="115" t="str">
        <x:v>À équilibrer</x:v>
      </x:c>
      <x:c r="J650" s="115" t="str">
        <x:v>Non</x:v>
      </x:c>
      <x:c r="K650" s="115" t="str">
        <x:v>Pièces décrites, murs, portes, niveaux et mobilier inspectables à l’échelle. Volumes réservés, raccord au seed, butin, rencontres et services de campagne restent à terminer.</x:v>
      </x:c>
    </x:row>
    <x:row r="651" ht="96" customHeight="1">
      <x:c r="A651" s="115" t="str">
        <x:v>EXT-MONDE-T013-V46</x:v>
      </x:c>
      <x:c r="B651" s="115" t="str">
        <x:v>EXT-MONDE-T013</x:v>
      </x:c>
      <x:c r="C651" s="115" t="str">
        <x:v>Ports</x:v>
      </x:c>
      <x:c r="D651" s="115" t="str">
        <x:v>Port de pêche</x:v>
      </x:c>
      <x:c r="E651" s="115" t="n">
        <x:v>46</x:v>
      </x:c>
      <x:c r="F651" s="115" t="str">
        <x:v>Inspection physique</x:v>
      </x:c>
      <x:c r="G651" s="115" t="str">
        <x:v>1 niveaux ; 32 pièces ; 248 segments de mur ; 0 transitions. Inspection physique ; architecture complète encore ouverte.</x:v>
      </x:c>
      <x:c r="H651" s="115" t="str">
        <x:v>L 400 ; l 492 ; hauteur 10 m ; choix de composition auteur ; dimensions réelles à documenter</x:v>
      </x:c>
      <x:c r="I651" s="115" t="str">
        <x:v>À équilibrer</x:v>
      </x:c>
      <x:c r="J651" s="115" t="str">
        <x:v>Non</x:v>
      </x:c>
      <x:c r="K651" s="115" t="str">
        <x:v>Pièces décrites, murs, portes, niveaux et mobilier inspectables à l’échelle. Volumes réservés, raccord au seed, butin, rencontres et services de campagne restent à terminer.</x:v>
      </x:c>
    </x:row>
    <x:row r="652" ht="96" customHeight="1">
      <x:c r="A652" s="115" t="str">
        <x:v>EXT-MONDE-T013-V47</x:v>
      </x:c>
      <x:c r="B652" s="115" t="str">
        <x:v>EXT-MONDE-T013</x:v>
      </x:c>
      <x:c r="C652" s="115" t="str">
        <x:v>Ports</x:v>
      </x:c>
      <x:c r="D652" s="115" t="str">
        <x:v>Port de pêche</x:v>
      </x:c>
      <x:c r="E652" s="115" t="n">
        <x:v>47</x:v>
      </x:c>
      <x:c r="F652" s="115" t="str">
        <x:v>Inspection physique</x:v>
      </x:c>
      <x:c r="G652" s="115" t="str">
        <x:v>1 niveaux ; 32 pièces ; 248 segments de mur ; 0 transitions. Inspection physique ; architecture complète encore ouverte.</x:v>
      </x:c>
      <x:c r="H652" s="115" t="str">
        <x:v>L 400 ; l 492 ; hauteur 10 m ; choix de composition auteur ; dimensions réelles à documenter</x:v>
      </x:c>
      <x:c r="I652" s="115" t="str">
        <x:v>À équilibrer</x:v>
      </x:c>
      <x:c r="J652" s="115" t="str">
        <x:v>Non</x:v>
      </x:c>
      <x:c r="K652" s="115" t="str">
        <x:v>Pièces décrites, murs, portes, niveaux et mobilier inspectables à l’échelle. Volumes réservés, raccord au seed, butin, rencontres et services de campagne restent à terminer.</x:v>
      </x:c>
    </x:row>
    <x:row r="653" ht="96" customHeight="1">
      <x:c r="A653" s="115" t="str">
        <x:v>EXT-MONDE-T013-V48</x:v>
      </x:c>
      <x:c r="B653" s="115" t="str">
        <x:v>EXT-MONDE-T013</x:v>
      </x:c>
      <x:c r="C653" s="115" t="str">
        <x:v>Ports</x:v>
      </x:c>
      <x:c r="D653" s="115" t="str">
        <x:v>Port de pêche</x:v>
      </x:c>
      <x:c r="E653" s="115" t="n">
        <x:v>48</x:v>
      </x:c>
      <x:c r="F653" s="115" t="str">
        <x:v>Inspection physique</x:v>
      </x:c>
      <x:c r="G653" s="115" t="str">
        <x:v>1 niveaux ; 32 pièces ; 248 segments de mur ; 0 transitions. Inspection physique ; architecture complète encore ouverte.</x:v>
      </x:c>
      <x:c r="H653" s="115" t="str">
        <x:v>L 400 ; l 492 ; hauteur 10 m ; choix de composition auteur ; dimensions réelles à documenter</x:v>
      </x:c>
      <x:c r="I653" s="115" t="str">
        <x:v>À équilibrer</x:v>
      </x:c>
      <x:c r="J653" s="115" t="str">
        <x:v>Non</x:v>
      </x:c>
      <x:c r="K653" s="115" t="str">
        <x:v>Pièces décrites, murs, portes, niveaux et mobilier inspectables à l’échelle. Volumes réservés, raccord au seed, butin, rencontres et services de campagne restent à terminer.</x:v>
      </x:c>
    </x:row>
    <x:row r="654" ht="96" customHeight="1">
      <x:c r="A654" s="115" t="str">
        <x:v>EXT-MONDE-T013-V49</x:v>
      </x:c>
      <x:c r="B654" s="115" t="str">
        <x:v>EXT-MONDE-T013</x:v>
      </x:c>
      <x:c r="C654" s="115" t="str">
        <x:v>Ports</x:v>
      </x:c>
      <x:c r="D654" s="115" t="str">
        <x:v>Port de pêche</x:v>
      </x:c>
      <x:c r="E654" s="115" t="n">
        <x:v>49</x:v>
      </x:c>
      <x:c r="F654" s="115" t="str">
        <x:v>Inspection physique</x:v>
      </x:c>
      <x:c r="G654" s="115" t="str">
        <x:v>1 niveaux ; 32 pièces ; 248 segments de mur ; 0 transitions. Inspection physique ; architecture complète encore ouverte.</x:v>
      </x:c>
      <x:c r="H654" s="115" t="str">
        <x:v>L 400 ; l 492 ; hauteur 10 m ; choix de composition auteur ; dimensions réelles à documenter</x:v>
      </x:c>
      <x:c r="I654" s="115" t="str">
        <x:v>À équilibrer</x:v>
      </x:c>
      <x:c r="J654" s="115" t="str">
        <x:v>Non</x:v>
      </x:c>
      <x:c r="K654" s="115" t="str">
        <x:v>Pièces décrites, murs, portes, niveaux et mobilier inspectables à l’échelle. Volumes réservés, raccord au seed, butin, rencontres et services de campagne restent à terminer.</x:v>
      </x:c>
    </x:row>
    <x:row r="655" ht="96" customHeight="1">
      <x:c r="A655" s="115" t="str">
        <x:v>EXT-MONDE-T013-V50</x:v>
      </x:c>
      <x:c r="B655" s="115" t="str">
        <x:v>EXT-MONDE-T013</x:v>
      </x:c>
      <x:c r="C655" s="115" t="str">
        <x:v>Ports</x:v>
      </x:c>
      <x:c r="D655" s="115" t="str">
        <x:v>Port de pêche</x:v>
      </x:c>
      <x:c r="E655" s="115" t="n">
        <x:v>50</x:v>
      </x:c>
      <x:c r="F655" s="115" t="str">
        <x:v>Inspection physique</x:v>
      </x:c>
      <x:c r="G655" s="115" t="str">
        <x:v>1 niveaux ; 32 pièces ; 248 segments de mur ; 0 transitions. Inspection physique ; architecture complète encore ouverte.</x:v>
      </x:c>
      <x:c r="H655" s="115" t="str">
        <x:v>L 400 ; l 492 ; hauteur 10 m ; choix de composition auteur ; dimensions réelles à documenter</x:v>
      </x:c>
      <x:c r="I655" s="115" t="str">
        <x:v>À équilibrer</x:v>
      </x:c>
      <x:c r="J655" s="115" t="str">
        <x:v>Non</x:v>
      </x:c>
      <x:c r="K655" s="115" t="str">
        <x:v>Pièces décrites, murs, portes, niveaux et mobilier inspectables à l’échelle. Volumes réservés, raccord au seed, butin, rencontres et services de campagne restent à terminer.</x:v>
      </x:c>
    </x:row>
    <x:row r="656" ht="96" customHeight="1">
      <x:c r="A656" s="115" t="str">
        <x:v>EXT-MONDE-T014-V01</x:v>
      </x:c>
      <x:c r="B656" s="115" t="str">
        <x:v>EXT-MONDE-T014</x:v>
      </x:c>
      <x:c r="C656" s="115" t="str">
        <x:v>Ports</x:v>
      </x:c>
      <x:c r="D656" s="115" t="str">
        <x:v>Marina</x:v>
      </x:c>
      <x:c r="E656" s="115" t="n">
        <x:v>1</x:v>
      </x:c>
      <x:c r="F656" s="115" t="str">
        <x:v>Inspection physique</x:v>
      </x:c>
      <x:c r="G656" s="115" t="str">
        <x:v>1 niveaux ; 32 pièces ; 248 segments de mur ; 0 transitions. Inspection physique ; architecture complète encore ouverte.</x:v>
      </x:c>
      <x:c r="H656" s="115" t="str">
        <x:v>L 324 ; l 424 ; hauteur 10 m ; choix de composition auteur ; dimensions réelles à documenter</x:v>
      </x:c>
      <x:c r="I656" s="115" t="str">
        <x:v>À équilibrer</x:v>
      </x:c>
      <x:c r="J656" s="115" t="str">
        <x:v>Non</x:v>
      </x:c>
      <x:c r="K656" s="115" t="str">
        <x:v>Pièces décrites, murs, portes, niveaux et mobilier inspectables à l’échelle. Volumes réservés, raccord au seed, butin, rencontres et services de campagne restent à terminer.</x:v>
      </x:c>
    </x:row>
    <x:row r="657" ht="96" customHeight="1">
      <x:c r="A657" s="115" t="str">
        <x:v>EXT-MONDE-T014-V02</x:v>
      </x:c>
      <x:c r="B657" s="115" t="str">
        <x:v>EXT-MONDE-T014</x:v>
      </x:c>
      <x:c r="C657" s="115" t="str">
        <x:v>Ports</x:v>
      </x:c>
      <x:c r="D657" s="115" t="str">
        <x:v>Marina</x:v>
      </x:c>
      <x:c r="E657" s="115" t="n">
        <x:v>2</x:v>
      </x:c>
      <x:c r="F657" s="115" t="str">
        <x:v>Inspection physique</x:v>
      </x:c>
      <x:c r="G657" s="115" t="str">
        <x:v>1 niveaux ; 32 pièces ; 248 segments de mur ; 0 transitions. Inspection physique ; architecture complète encore ouverte.</x:v>
      </x:c>
      <x:c r="H657" s="115" t="str">
        <x:v>L 324 ; l 424 ; hauteur 10 m ; choix de composition auteur ; dimensions réelles à documenter</x:v>
      </x:c>
      <x:c r="I657" s="115" t="str">
        <x:v>À équilibrer</x:v>
      </x:c>
      <x:c r="J657" s="115" t="str">
        <x:v>Non</x:v>
      </x:c>
      <x:c r="K657" s="115" t="str">
        <x:v>Pièces décrites, murs, portes, niveaux et mobilier inspectables à l’échelle. Volumes réservés, raccord au seed, butin, rencontres et services de campagne restent à terminer.</x:v>
      </x:c>
    </x:row>
    <x:row r="658" ht="96" customHeight="1">
      <x:c r="A658" s="115" t="str">
        <x:v>EXT-MONDE-T014-V03</x:v>
      </x:c>
      <x:c r="B658" s="115" t="str">
        <x:v>EXT-MONDE-T014</x:v>
      </x:c>
      <x:c r="C658" s="115" t="str">
        <x:v>Ports</x:v>
      </x:c>
      <x:c r="D658" s="115" t="str">
        <x:v>Marina</x:v>
      </x:c>
      <x:c r="E658" s="115" t="n">
        <x:v>3</x:v>
      </x:c>
      <x:c r="F658" s="115" t="str">
        <x:v>Inspection physique</x:v>
      </x:c>
      <x:c r="G658" s="115" t="str">
        <x:v>1 niveaux ; 32 pièces ; 248 segments de mur ; 0 transitions. Inspection physique ; architecture complète encore ouverte.</x:v>
      </x:c>
      <x:c r="H658" s="115" t="str">
        <x:v>L 324 ; l 424 ; hauteur 10 m ; choix de composition auteur ; dimensions réelles à documenter</x:v>
      </x:c>
      <x:c r="I658" s="115" t="str">
        <x:v>À équilibrer</x:v>
      </x:c>
      <x:c r="J658" s="115" t="str">
        <x:v>Non</x:v>
      </x:c>
      <x:c r="K658" s="115" t="str">
        <x:v>Pièces décrites, murs, portes, niveaux et mobilier inspectables à l’échelle. Volumes réservés, raccord au seed, butin, rencontres et services de campagne restent à terminer.</x:v>
      </x:c>
    </x:row>
    <x:row r="659" ht="96" customHeight="1">
      <x:c r="A659" s="115" t="str">
        <x:v>EXT-MONDE-T014-V04</x:v>
      </x:c>
      <x:c r="B659" s="115" t="str">
        <x:v>EXT-MONDE-T014</x:v>
      </x:c>
      <x:c r="C659" s="115" t="str">
        <x:v>Ports</x:v>
      </x:c>
      <x:c r="D659" s="115" t="str">
        <x:v>Marina</x:v>
      </x:c>
      <x:c r="E659" s="115" t="n">
        <x:v>4</x:v>
      </x:c>
      <x:c r="F659" s="115" t="str">
        <x:v>Inspection physique</x:v>
      </x:c>
      <x:c r="G659" s="115" t="str">
        <x:v>1 niveaux ; 32 pièces ; 248 segments de mur ; 0 transitions. Inspection physique ; architecture complète encore ouverte.</x:v>
      </x:c>
      <x:c r="H659" s="115" t="str">
        <x:v>L 324 ; l 424 ; hauteur 10 m ; choix de composition auteur ; dimensions réelles à documenter</x:v>
      </x:c>
      <x:c r="I659" s="115" t="str">
        <x:v>À équilibrer</x:v>
      </x:c>
      <x:c r="J659" s="115" t="str">
        <x:v>Non</x:v>
      </x:c>
      <x:c r="K659" s="115" t="str">
        <x:v>Pièces décrites, murs, portes, niveaux et mobilier inspectables à l’échelle. Volumes réservés, raccord au seed, butin, rencontres et services de campagne restent à terminer.</x:v>
      </x:c>
    </x:row>
    <x:row r="660" ht="96" customHeight="1">
      <x:c r="A660" s="115" t="str">
        <x:v>EXT-MONDE-T014-V05</x:v>
      </x:c>
      <x:c r="B660" s="115" t="str">
        <x:v>EXT-MONDE-T014</x:v>
      </x:c>
      <x:c r="C660" s="115" t="str">
        <x:v>Ports</x:v>
      </x:c>
      <x:c r="D660" s="115" t="str">
        <x:v>Marina</x:v>
      </x:c>
      <x:c r="E660" s="115" t="n">
        <x:v>5</x:v>
      </x:c>
      <x:c r="F660" s="115" t="str">
        <x:v>Inspection physique</x:v>
      </x:c>
      <x:c r="G660" s="115" t="str">
        <x:v>1 niveaux ; 32 pièces ; 248 segments de mur ; 0 transitions. Inspection physique ; architecture complète encore ouverte.</x:v>
      </x:c>
      <x:c r="H660" s="115" t="str">
        <x:v>L 324 ; l 424 ; hauteur 10 m ; choix de composition auteur ; dimensions réelles à documenter</x:v>
      </x:c>
      <x:c r="I660" s="115" t="str">
        <x:v>À équilibrer</x:v>
      </x:c>
      <x:c r="J660" s="115" t="str">
        <x:v>Non</x:v>
      </x:c>
      <x:c r="K660" s="115" t="str">
        <x:v>Pièces décrites, murs, portes, niveaux et mobilier inspectables à l’échelle. Volumes réservés, raccord au seed, butin, rencontres et services de campagne restent à terminer.</x:v>
      </x:c>
    </x:row>
    <x:row r="661" ht="96" customHeight="1">
      <x:c r="A661" s="115" t="str">
        <x:v>EXT-MONDE-T014-V06</x:v>
      </x:c>
      <x:c r="B661" s="115" t="str">
        <x:v>EXT-MONDE-T014</x:v>
      </x:c>
      <x:c r="C661" s="115" t="str">
        <x:v>Ports</x:v>
      </x:c>
      <x:c r="D661" s="115" t="str">
        <x:v>Marina</x:v>
      </x:c>
      <x:c r="E661" s="115" t="n">
        <x:v>6</x:v>
      </x:c>
      <x:c r="F661" s="115" t="str">
        <x:v>Inspection physique</x:v>
      </x:c>
      <x:c r="G661" s="115" t="str">
        <x:v>1 niveaux ; 32 pièces ; 248 segments de mur ; 0 transitions. Inspection physique ; architecture complète encore ouverte.</x:v>
      </x:c>
      <x:c r="H661" s="115" t="str">
        <x:v>L 324 ; l 424 ; hauteur 10 m ; choix de composition auteur ; dimensions réelles à documenter</x:v>
      </x:c>
      <x:c r="I661" s="115" t="str">
        <x:v>À équilibrer</x:v>
      </x:c>
      <x:c r="J661" s="115" t="str">
        <x:v>Non</x:v>
      </x:c>
      <x:c r="K661" s="115" t="str">
        <x:v>Pièces décrites, murs, portes, niveaux et mobilier inspectables à l’échelle. Volumes réservés, raccord au seed, butin, rencontres et services de campagne restent à terminer.</x:v>
      </x:c>
    </x:row>
    <x:row r="662" ht="96" customHeight="1">
      <x:c r="A662" s="115" t="str">
        <x:v>EXT-MONDE-T014-V07</x:v>
      </x:c>
      <x:c r="B662" s="115" t="str">
        <x:v>EXT-MONDE-T014</x:v>
      </x:c>
      <x:c r="C662" s="115" t="str">
        <x:v>Ports</x:v>
      </x:c>
      <x:c r="D662" s="115" t="str">
        <x:v>Marina</x:v>
      </x:c>
      <x:c r="E662" s="115" t="n">
        <x:v>7</x:v>
      </x:c>
      <x:c r="F662" s="115" t="str">
        <x:v>Inspection physique</x:v>
      </x:c>
      <x:c r="G662" s="115" t="str">
        <x:v>1 niveaux ; 32 pièces ; 248 segments de mur ; 0 transitions. Inspection physique ; architecture complète encore ouverte.</x:v>
      </x:c>
      <x:c r="H662" s="115" t="str">
        <x:v>L 324 ; l 424 ; hauteur 10 m ; choix de composition auteur ; dimensions réelles à documenter</x:v>
      </x:c>
      <x:c r="I662" s="115" t="str">
        <x:v>À équilibrer</x:v>
      </x:c>
      <x:c r="J662" s="115" t="str">
        <x:v>Non</x:v>
      </x:c>
      <x:c r="K662" s="115" t="str">
        <x:v>Pièces décrites, murs, portes, niveaux et mobilier inspectables à l’échelle. Volumes réservés, raccord au seed, butin, rencontres et services de campagne restent à terminer.</x:v>
      </x:c>
    </x:row>
    <x:row r="663" ht="96" customHeight="1">
      <x:c r="A663" s="115" t="str">
        <x:v>EXT-MONDE-T014-V08</x:v>
      </x:c>
      <x:c r="B663" s="115" t="str">
        <x:v>EXT-MONDE-T014</x:v>
      </x:c>
      <x:c r="C663" s="115" t="str">
        <x:v>Ports</x:v>
      </x:c>
      <x:c r="D663" s="115" t="str">
        <x:v>Marina</x:v>
      </x:c>
      <x:c r="E663" s="115" t="n">
        <x:v>8</x:v>
      </x:c>
      <x:c r="F663" s="115" t="str">
        <x:v>Inspection physique</x:v>
      </x:c>
      <x:c r="G663" s="115" t="str">
        <x:v>1 niveaux ; 32 pièces ; 248 segments de mur ; 0 transitions. Inspection physique ; architecture complète encore ouverte.</x:v>
      </x:c>
      <x:c r="H663" s="115" t="str">
        <x:v>L 324 ; l 424 ; hauteur 10 m ; choix de composition auteur ; dimensions réelles à documenter</x:v>
      </x:c>
      <x:c r="I663" s="115" t="str">
        <x:v>À équilibrer</x:v>
      </x:c>
      <x:c r="J663" s="115" t="str">
        <x:v>Non</x:v>
      </x:c>
      <x:c r="K663" s="115" t="str">
        <x:v>Pièces décrites, murs, portes, niveaux et mobilier inspectables à l’échelle. Volumes réservés, raccord au seed, butin, rencontres et services de campagne restent à terminer.</x:v>
      </x:c>
    </x:row>
    <x:row r="664" ht="96" customHeight="1">
      <x:c r="A664" s="115" t="str">
        <x:v>EXT-MONDE-T014-V09</x:v>
      </x:c>
      <x:c r="B664" s="115" t="str">
        <x:v>EXT-MONDE-T014</x:v>
      </x:c>
      <x:c r="C664" s="115" t="str">
        <x:v>Ports</x:v>
      </x:c>
      <x:c r="D664" s="115" t="str">
        <x:v>Marina</x:v>
      </x:c>
      <x:c r="E664" s="115" t="n">
        <x:v>9</x:v>
      </x:c>
      <x:c r="F664" s="115" t="str">
        <x:v>Inspection physique</x:v>
      </x:c>
      <x:c r="G664" s="115" t="str">
        <x:v>1 niveaux ; 32 pièces ; 248 segments de mur ; 0 transitions. Inspection physique ; architecture complète encore ouverte.</x:v>
      </x:c>
      <x:c r="H664" s="115" t="str">
        <x:v>L 324 ; l 424 ; hauteur 10 m ; choix de composition auteur ; dimensions réelles à documenter</x:v>
      </x:c>
      <x:c r="I664" s="115" t="str">
        <x:v>À équilibrer</x:v>
      </x:c>
      <x:c r="J664" s="115" t="str">
        <x:v>Non</x:v>
      </x:c>
      <x:c r="K664" s="115" t="str">
        <x:v>Pièces décrites, murs, portes, niveaux et mobilier inspectables à l’échelle. Volumes réservés, raccord au seed, butin, rencontres et services de campagne restent à terminer.</x:v>
      </x:c>
    </x:row>
    <x:row r="665" ht="96" customHeight="1">
      <x:c r="A665" s="115" t="str">
        <x:v>EXT-MONDE-T014-V10</x:v>
      </x:c>
      <x:c r="B665" s="115" t="str">
        <x:v>EXT-MONDE-T014</x:v>
      </x:c>
      <x:c r="C665" s="115" t="str">
        <x:v>Ports</x:v>
      </x:c>
      <x:c r="D665" s="115" t="str">
        <x:v>Marina</x:v>
      </x:c>
      <x:c r="E665" s="115" t="n">
        <x:v>10</x:v>
      </x:c>
      <x:c r="F665" s="115" t="str">
        <x:v>Inspection physique</x:v>
      </x:c>
      <x:c r="G665" s="115" t="str">
        <x:v>1 niveaux ; 32 pièces ; 248 segments de mur ; 0 transitions. Inspection physique ; architecture complète encore ouverte.</x:v>
      </x:c>
      <x:c r="H665" s="115" t="str">
        <x:v>L 324 ; l 424 ; hauteur 10 m ; choix de composition auteur ; dimensions réelles à documenter</x:v>
      </x:c>
      <x:c r="I665" s="115" t="str">
        <x:v>À équilibrer</x:v>
      </x:c>
      <x:c r="J665" s="115" t="str">
        <x:v>Non</x:v>
      </x:c>
      <x:c r="K665" s="115" t="str">
        <x:v>Pièces décrites, murs, portes, niveaux et mobilier inspectables à l’échelle. Volumes réservés, raccord au seed, butin, rencontres et services de campagne restent à terminer.</x:v>
      </x:c>
    </x:row>
    <x:row r="666" ht="96" customHeight="1">
      <x:c r="A666" s="115" t="str">
        <x:v>EXT-MONDE-T014-V11</x:v>
      </x:c>
      <x:c r="B666" s="115" t="str">
        <x:v>EXT-MONDE-T014</x:v>
      </x:c>
      <x:c r="C666" s="115" t="str">
        <x:v>Ports</x:v>
      </x:c>
      <x:c r="D666" s="115" t="str">
        <x:v>Marina</x:v>
      </x:c>
      <x:c r="E666" s="115" t="n">
        <x:v>11</x:v>
      </x:c>
      <x:c r="F666" s="115" t="str">
        <x:v>Inspection physique</x:v>
      </x:c>
      <x:c r="G666" s="115" t="str">
        <x:v>1 niveaux ; 32 pièces ; 248 segments de mur ; 0 transitions. Inspection physique ; architecture complète encore ouverte.</x:v>
      </x:c>
      <x:c r="H666" s="115" t="str">
        <x:v>L 338 ; l 436 ; hauteur 10 m ; choix de composition auteur ; dimensions réelles à documenter</x:v>
      </x:c>
      <x:c r="I666" s="115" t="str">
        <x:v>À équilibrer</x:v>
      </x:c>
      <x:c r="J666" s="115" t="str">
        <x:v>Non</x:v>
      </x:c>
      <x:c r="K666" s="115" t="str">
        <x:v>Pièces décrites, murs, portes, niveaux et mobilier inspectables à l’échelle. Volumes réservés, raccord au seed, butin, rencontres et services de campagne restent à terminer.</x:v>
      </x:c>
    </x:row>
    <x:row r="667" ht="96" customHeight="1">
      <x:c r="A667" s="115" t="str">
        <x:v>EXT-MONDE-T014-V12</x:v>
      </x:c>
      <x:c r="B667" s="115" t="str">
        <x:v>EXT-MONDE-T014</x:v>
      </x:c>
      <x:c r="C667" s="115" t="str">
        <x:v>Ports</x:v>
      </x:c>
      <x:c r="D667" s="115" t="str">
        <x:v>Marina</x:v>
      </x:c>
      <x:c r="E667" s="115" t="n">
        <x:v>12</x:v>
      </x:c>
      <x:c r="F667" s="115" t="str">
        <x:v>Inspection physique</x:v>
      </x:c>
      <x:c r="G667" s="115" t="str">
        <x:v>1 niveaux ; 32 pièces ; 248 segments de mur ; 0 transitions. Inspection physique ; architecture complète encore ouverte.</x:v>
      </x:c>
      <x:c r="H667" s="115" t="str">
        <x:v>L 338 ; l 436 ; hauteur 10 m ; choix de composition auteur ; dimensions réelles à documenter</x:v>
      </x:c>
      <x:c r="I667" s="115" t="str">
        <x:v>À équilibrer</x:v>
      </x:c>
      <x:c r="J667" s="115" t="str">
        <x:v>Non</x:v>
      </x:c>
      <x:c r="K667" s="115" t="str">
        <x:v>Pièces décrites, murs, portes, niveaux et mobilier inspectables à l’échelle. Volumes réservés, raccord au seed, butin, rencontres et services de campagne restent à terminer.</x:v>
      </x:c>
    </x:row>
    <x:row r="668" ht="96" customHeight="1">
      <x:c r="A668" s="115" t="str">
        <x:v>EXT-MONDE-T014-V13</x:v>
      </x:c>
      <x:c r="B668" s="115" t="str">
        <x:v>EXT-MONDE-T014</x:v>
      </x:c>
      <x:c r="C668" s="115" t="str">
        <x:v>Ports</x:v>
      </x:c>
      <x:c r="D668" s="115" t="str">
        <x:v>Marina</x:v>
      </x:c>
      <x:c r="E668" s="115" t="n">
        <x:v>13</x:v>
      </x:c>
      <x:c r="F668" s="115" t="str">
        <x:v>Inspection physique</x:v>
      </x:c>
      <x:c r="G668" s="115" t="str">
        <x:v>1 niveaux ; 32 pièces ; 248 segments de mur ; 0 transitions. Inspection physique ; architecture complète encore ouverte.</x:v>
      </x:c>
      <x:c r="H668" s="115" t="str">
        <x:v>L 338 ; l 436 ; hauteur 10 m ; choix de composition auteur ; dimensions réelles à documenter</x:v>
      </x:c>
      <x:c r="I668" s="115" t="str">
        <x:v>À équilibrer</x:v>
      </x:c>
      <x:c r="J668" s="115" t="str">
        <x:v>Non</x:v>
      </x:c>
      <x:c r="K668" s="115" t="str">
        <x:v>Pièces décrites, murs, portes, niveaux et mobilier inspectables à l’échelle. Volumes réservés, raccord au seed, butin, rencontres et services de campagne restent à terminer.</x:v>
      </x:c>
    </x:row>
    <x:row r="669" ht="96" customHeight="1">
      <x:c r="A669" s="115" t="str">
        <x:v>EXT-MONDE-T014-V14</x:v>
      </x:c>
      <x:c r="B669" s="115" t="str">
        <x:v>EXT-MONDE-T014</x:v>
      </x:c>
      <x:c r="C669" s="115" t="str">
        <x:v>Ports</x:v>
      </x:c>
      <x:c r="D669" s="115" t="str">
        <x:v>Marina</x:v>
      </x:c>
      <x:c r="E669" s="115" t="n">
        <x:v>14</x:v>
      </x:c>
      <x:c r="F669" s="115" t="str">
        <x:v>Inspection physique</x:v>
      </x:c>
      <x:c r="G669" s="115" t="str">
        <x:v>1 niveaux ; 32 pièces ; 248 segments de mur ; 0 transitions. Inspection physique ; architecture complète encore ouverte.</x:v>
      </x:c>
      <x:c r="H669" s="115" t="str">
        <x:v>L 338 ; l 436 ; hauteur 10 m ; choix de composition auteur ; dimensions réelles à documenter</x:v>
      </x:c>
      <x:c r="I669" s="115" t="str">
        <x:v>À équilibrer</x:v>
      </x:c>
      <x:c r="J669" s="115" t="str">
        <x:v>Non</x:v>
      </x:c>
      <x:c r="K669" s="115" t="str">
        <x:v>Pièces décrites, murs, portes, niveaux et mobilier inspectables à l’échelle. Volumes réservés, raccord au seed, butin, rencontres et services de campagne restent à terminer.</x:v>
      </x:c>
    </x:row>
    <x:row r="670" ht="96" customHeight="1">
      <x:c r="A670" s="115" t="str">
        <x:v>EXT-MONDE-T014-V15</x:v>
      </x:c>
      <x:c r="B670" s="115" t="str">
        <x:v>EXT-MONDE-T014</x:v>
      </x:c>
      <x:c r="C670" s="115" t="str">
        <x:v>Ports</x:v>
      </x:c>
      <x:c r="D670" s="115" t="str">
        <x:v>Marina</x:v>
      </x:c>
      <x:c r="E670" s="115" t="n">
        <x:v>15</x:v>
      </x:c>
      <x:c r="F670" s="115" t="str">
        <x:v>Inspection physique</x:v>
      </x:c>
      <x:c r="G670" s="115" t="str">
        <x:v>1 niveaux ; 32 pièces ; 248 segments de mur ; 0 transitions. Inspection physique ; architecture complète encore ouverte.</x:v>
      </x:c>
      <x:c r="H670" s="115" t="str">
        <x:v>L 338 ; l 436 ; hauteur 10 m ; choix de composition auteur ; dimensions réelles à documenter</x:v>
      </x:c>
      <x:c r="I670" s="115" t="str">
        <x:v>À équilibrer</x:v>
      </x:c>
      <x:c r="J670" s="115" t="str">
        <x:v>Non</x:v>
      </x:c>
      <x:c r="K670" s="115" t="str">
        <x:v>Pièces décrites, murs, portes, niveaux et mobilier inspectables à l’échelle. Volumes réservés, raccord au seed, butin, rencontres et services de campagne restent à terminer.</x:v>
      </x:c>
    </x:row>
    <x:row r="671" ht="96" customHeight="1">
      <x:c r="A671" s="115" t="str">
        <x:v>EXT-MONDE-T014-V16</x:v>
      </x:c>
      <x:c r="B671" s="115" t="str">
        <x:v>EXT-MONDE-T014</x:v>
      </x:c>
      <x:c r="C671" s="115" t="str">
        <x:v>Ports</x:v>
      </x:c>
      <x:c r="D671" s="115" t="str">
        <x:v>Marina</x:v>
      </x:c>
      <x:c r="E671" s="115" t="n">
        <x:v>16</x:v>
      </x:c>
      <x:c r="F671" s="115" t="str">
        <x:v>Inspection physique</x:v>
      </x:c>
      <x:c r="G671" s="115" t="str">
        <x:v>1 niveaux ; 32 pièces ; 248 segments de mur ; 0 transitions. Inspection physique ; architecture complète encore ouverte.</x:v>
      </x:c>
      <x:c r="H671" s="115" t="str">
        <x:v>L 338 ; l 436 ; hauteur 10 m ; choix de composition auteur ; dimensions réelles à documenter</x:v>
      </x:c>
      <x:c r="I671" s="115" t="str">
        <x:v>À équilibrer</x:v>
      </x:c>
      <x:c r="J671" s="115" t="str">
        <x:v>Non</x:v>
      </x:c>
      <x:c r="K671" s="115" t="str">
        <x:v>Pièces décrites, murs, portes, niveaux et mobilier inspectables à l’échelle. Volumes réservés, raccord au seed, butin, rencontres et services de campagne restent à terminer.</x:v>
      </x:c>
    </x:row>
    <x:row r="672" ht="96" customHeight="1">
      <x:c r="A672" s="115" t="str">
        <x:v>EXT-MONDE-T014-V17</x:v>
      </x:c>
      <x:c r="B672" s="115" t="str">
        <x:v>EXT-MONDE-T014</x:v>
      </x:c>
      <x:c r="C672" s="115" t="str">
        <x:v>Ports</x:v>
      </x:c>
      <x:c r="D672" s="115" t="str">
        <x:v>Marina</x:v>
      </x:c>
      <x:c r="E672" s="115" t="n">
        <x:v>17</x:v>
      </x:c>
      <x:c r="F672" s="115" t="str">
        <x:v>Inspection physique</x:v>
      </x:c>
      <x:c r="G672" s="115" t="str">
        <x:v>1 niveaux ; 32 pièces ; 248 segments de mur ; 0 transitions. Inspection physique ; architecture complète encore ouverte.</x:v>
      </x:c>
      <x:c r="H672" s="115" t="str">
        <x:v>L 338 ; l 436 ; hauteur 10 m ; choix de composition auteur ; dimensions réelles à documenter</x:v>
      </x:c>
      <x:c r="I672" s="115" t="str">
        <x:v>À équilibrer</x:v>
      </x:c>
      <x:c r="J672" s="115" t="str">
        <x:v>Non</x:v>
      </x:c>
      <x:c r="K672" s="115" t="str">
        <x:v>Pièces décrites, murs, portes, niveaux et mobilier inspectables à l’échelle. Volumes réservés, raccord au seed, butin, rencontres et services de campagne restent à terminer.</x:v>
      </x:c>
    </x:row>
    <x:row r="673" ht="96" customHeight="1">
      <x:c r="A673" s="115" t="str">
        <x:v>EXT-MONDE-T014-V18</x:v>
      </x:c>
      <x:c r="B673" s="115" t="str">
        <x:v>EXT-MONDE-T014</x:v>
      </x:c>
      <x:c r="C673" s="115" t="str">
        <x:v>Ports</x:v>
      </x:c>
      <x:c r="D673" s="115" t="str">
        <x:v>Marina</x:v>
      </x:c>
      <x:c r="E673" s="115" t="n">
        <x:v>18</x:v>
      </x:c>
      <x:c r="F673" s="115" t="str">
        <x:v>Inspection physique</x:v>
      </x:c>
      <x:c r="G673" s="115" t="str">
        <x:v>1 niveaux ; 32 pièces ; 248 segments de mur ; 0 transitions. Inspection physique ; architecture complète encore ouverte.</x:v>
      </x:c>
      <x:c r="H673" s="115" t="str">
        <x:v>L 338 ; l 436 ; hauteur 10 m ; choix de composition auteur ; dimensions réelles à documenter</x:v>
      </x:c>
      <x:c r="I673" s="115" t="str">
        <x:v>À équilibrer</x:v>
      </x:c>
      <x:c r="J673" s="115" t="str">
        <x:v>Non</x:v>
      </x:c>
      <x:c r="K673" s="115" t="str">
        <x:v>Pièces décrites, murs, portes, niveaux et mobilier inspectables à l’échelle. Volumes réservés, raccord au seed, butin, rencontres et services de campagne restent à terminer.</x:v>
      </x:c>
    </x:row>
    <x:row r="674" ht="96" customHeight="1">
      <x:c r="A674" s="115" t="str">
        <x:v>EXT-MONDE-T014-V19</x:v>
      </x:c>
      <x:c r="B674" s="115" t="str">
        <x:v>EXT-MONDE-T014</x:v>
      </x:c>
      <x:c r="C674" s="115" t="str">
        <x:v>Ports</x:v>
      </x:c>
      <x:c r="D674" s="115" t="str">
        <x:v>Marina</x:v>
      </x:c>
      <x:c r="E674" s="115" t="n">
        <x:v>19</x:v>
      </x:c>
      <x:c r="F674" s="115" t="str">
        <x:v>Inspection physique</x:v>
      </x:c>
      <x:c r="G674" s="115" t="str">
        <x:v>1 niveaux ; 32 pièces ; 248 segments de mur ; 0 transitions. Inspection physique ; architecture complète encore ouverte.</x:v>
      </x:c>
      <x:c r="H674" s="115" t="str">
        <x:v>L 338 ; l 436 ; hauteur 10 m ; choix de composition auteur ; dimensions réelles à documenter</x:v>
      </x:c>
      <x:c r="I674" s="115" t="str">
        <x:v>À équilibrer</x:v>
      </x:c>
      <x:c r="J674" s="115" t="str">
        <x:v>Non</x:v>
      </x:c>
      <x:c r="K674" s="115" t="str">
        <x:v>Pièces décrites, murs, portes, niveaux et mobilier inspectables à l’échelle. Volumes réservés, raccord au seed, butin, rencontres et services de campagne restent à terminer.</x:v>
      </x:c>
    </x:row>
    <x:row r="675" ht="96" customHeight="1">
      <x:c r="A675" s="115" t="str">
        <x:v>EXT-MONDE-T014-V20</x:v>
      </x:c>
      <x:c r="B675" s="115" t="str">
        <x:v>EXT-MONDE-T014</x:v>
      </x:c>
      <x:c r="C675" s="115" t="str">
        <x:v>Ports</x:v>
      </x:c>
      <x:c r="D675" s="115" t="str">
        <x:v>Marina</x:v>
      </x:c>
      <x:c r="E675" s="115" t="n">
        <x:v>20</x:v>
      </x:c>
      <x:c r="F675" s="115" t="str">
        <x:v>Inspection physique</x:v>
      </x:c>
      <x:c r="G675" s="115" t="str">
        <x:v>1 niveaux ; 32 pièces ; 248 segments de mur ; 0 transitions. Inspection physique ; architecture complète encore ouverte.</x:v>
      </x:c>
      <x:c r="H675" s="115" t="str">
        <x:v>L 338 ; l 436 ; hauteur 10 m ; choix de composition auteur ; dimensions réelles à documenter</x:v>
      </x:c>
      <x:c r="I675" s="115" t="str">
        <x:v>À équilibrer</x:v>
      </x:c>
      <x:c r="J675" s="115" t="str">
        <x:v>Non</x:v>
      </x:c>
      <x:c r="K675" s="115" t="str">
        <x:v>Pièces décrites, murs, portes, niveaux et mobilier inspectables à l’échelle. Volumes réservés, raccord au seed, butin, rencontres et services de campagne restent à terminer.</x:v>
      </x:c>
    </x:row>
    <x:row r="676" ht="96" customHeight="1">
      <x:c r="A676" s="115" t="str">
        <x:v>EXT-MONDE-T014-V21</x:v>
      </x:c>
      <x:c r="B676" s="115" t="str">
        <x:v>EXT-MONDE-T014</x:v>
      </x:c>
      <x:c r="C676" s="115" t="str">
        <x:v>Ports</x:v>
      </x:c>
      <x:c r="D676" s="115" t="str">
        <x:v>Marina</x:v>
      </x:c>
      <x:c r="E676" s="115" t="n">
        <x:v>21</x:v>
      </x:c>
      <x:c r="F676" s="115" t="str">
        <x:v>Inspection physique</x:v>
      </x:c>
      <x:c r="G676" s="115" t="str">
        <x:v>1 niveaux ; 32 pièces ; 248 segments de mur ; 0 transitions. Inspection physique ; architecture complète encore ouverte.</x:v>
      </x:c>
      <x:c r="H676" s="115" t="str">
        <x:v>L 352 ; l 448 ; hauteur 10 m ; choix de composition auteur ; dimensions réelles à documenter</x:v>
      </x:c>
      <x:c r="I676" s="115" t="str">
        <x:v>À équilibrer</x:v>
      </x:c>
      <x:c r="J676" s="115" t="str">
        <x:v>Non</x:v>
      </x:c>
      <x:c r="K676" s="115" t="str">
        <x:v>Pièces décrites, murs, portes, niveaux et mobilier inspectables à l’échelle. Volumes réservés, raccord au seed, butin, rencontres et services de campagne restent à terminer.</x:v>
      </x:c>
    </x:row>
    <x:row r="677" ht="96" customHeight="1">
      <x:c r="A677" s="115" t="str">
        <x:v>EXT-MONDE-T014-V22</x:v>
      </x:c>
      <x:c r="B677" s="115" t="str">
        <x:v>EXT-MONDE-T014</x:v>
      </x:c>
      <x:c r="C677" s="115" t="str">
        <x:v>Ports</x:v>
      </x:c>
      <x:c r="D677" s="115" t="str">
        <x:v>Marina</x:v>
      </x:c>
      <x:c r="E677" s="115" t="n">
        <x:v>22</x:v>
      </x:c>
      <x:c r="F677" s="115" t="str">
        <x:v>Inspection physique</x:v>
      </x:c>
      <x:c r="G677" s="115" t="str">
        <x:v>1 niveaux ; 32 pièces ; 248 segments de mur ; 0 transitions. Inspection physique ; architecture complète encore ouverte.</x:v>
      </x:c>
      <x:c r="H677" s="115" t="str">
        <x:v>L 352 ; l 448 ; hauteur 10 m ; choix de composition auteur ; dimensions réelles à documenter</x:v>
      </x:c>
      <x:c r="I677" s="115" t="str">
        <x:v>À équilibrer</x:v>
      </x:c>
      <x:c r="J677" s="115" t="str">
        <x:v>Non</x:v>
      </x:c>
      <x:c r="K677" s="115" t="str">
        <x:v>Pièces décrites, murs, portes, niveaux et mobilier inspectables à l’échelle. Volumes réservés, raccord au seed, butin, rencontres et services de campagne restent à terminer.</x:v>
      </x:c>
    </x:row>
    <x:row r="678" ht="96" customHeight="1">
      <x:c r="A678" s="115" t="str">
        <x:v>EXT-MONDE-T014-V23</x:v>
      </x:c>
      <x:c r="B678" s="115" t="str">
        <x:v>EXT-MONDE-T014</x:v>
      </x:c>
      <x:c r="C678" s="115" t="str">
        <x:v>Ports</x:v>
      </x:c>
      <x:c r="D678" s="115" t="str">
        <x:v>Marina</x:v>
      </x:c>
      <x:c r="E678" s="115" t="n">
        <x:v>23</x:v>
      </x:c>
      <x:c r="F678" s="115" t="str">
        <x:v>Inspection physique</x:v>
      </x:c>
      <x:c r="G678" s="115" t="str">
        <x:v>1 niveaux ; 32 pièces ; 248 segments de mur ; 0 transitions. Inspection physique ; architecture complète encore ouverte.</x:v>
      </x:c>
      <x:c r="H678" s="115" t="str">
        <x:v>L 352 ; l 448 ; hauteur 10 m ; choix de composition auteur ; dimensions réelles à documenter</x:v>
      </x:c>
      <x:c r="I678" s="115" t="str">
        <x:v>À équilibrer</x:v>
      </x:c>
      <x:c r="J678" s="115" t="str">
        <x:v>Non</x:v>
      </x:c>
      <x:c r="K678" s="115" t="str">
        <x:v>Pièces décrites, murs, portes, niveaux et mobilier inspectables à l’échelle. Volumes réservés, raccord au seed, butin, rencontres et services de campagne restent à terminer.</x:v>
      </x:c>
    </x:row>
    <x:row r="679" ht="96" customHeight="1">
      <x:c r="A679" s="115" t="str">
        <x:v>EXT-MONDE-T014-V24</x:v>
      </x:c>
      <x:c r="B679" s="115" t="str">
        <x:v>EXT-MONDE-T014</x:v>
      </x:c>
      <x:c r="C679" s="115" t="str">
        <x:v>Ports</x:v>
      </x:c>
      <x:c r="D679" s="115" t="str">
        <x:v>Marina</x:v>
      </x:c>
      <x:c r="E679" s="115" t="n">
        <x:v>24</x:v>
      </x:c>
      <x:c r="F679" s="115" t="str">
        <x:v>Inspection physique</x:v>
      </x:c>
      <x:c r="G679" s="115" t="str">
        <x:v>1 niveaux ; 32 pièces ; 248 segments de mur ; 0 transitions. Inspection physique ; architecture complète encore ouverte.</x:v>
      </x:c>
      <x:c r="H679" s="115" t="str">
        <x:v>L 352 ; l 448 ; hauteur 10 m ; choix de composition auteur ; dimensions réelles à documenter</x:v>
      </x:c>
      <x:c r="I679" s="115" t="str">
        <x:v>À équilibrer</x:v>
      </x:c>
      <x:c r="J679" s="115" t="str">
        <x:v>Non</x:v>
      </x:c>
      <x:c r="K679" s="115" t="str">
        <x:v>Pièces décrites, murs, portes, niveaux et mobilier inspectables à l’échelle. Volumes réservés, raccord au seed, butin, rencontres et services de campagne restent à terminer.</x:v>
      </x:c>
    </x:row>
    <x:row r="680" ht="96" customHeight="1">
      <x:c r="A680" s="115" t="str">
        <x:v>EXT-MONDE-T014-V25</x:v>
      </x:c>
      <x:c r="B680" s="115" t="str">
        <x:v>EXT-MONDE-T014</x:v>
      </x:c>
      <x:c r="C680" s="115" t="str">
        <x:v>Ports</x:v>
      </x:c>
      <x:c r="D680" s="115" t="str">
        <x:v>Marina</x:v>
      </x:c>
      <x:c r="E680" s="115" t="n">
        <x:v>25</x:v>
      </x:c>
      <x:c r="F680" s="115" t="str">
        <x:v>Inspection physique</x:v>
      </x:c>
      <x:c r="G680" s="115" t="str">
        <x:v>1 niveaux ; 32 pièces ; 248 segments de mur ; 0 transitions. Inspection physique ; architecture complète encore ouverte.</x:v>
      </x:c>
      <x:c r="H680" s="115" t="str">
        <x:v>L 352 ; l 448 ; hauteur 10 m ; choix de composition auteur ; dimensions réelles à documenter</x:v>
      </x:c>
      <x:c r="I680" s="115" t="str">
        <x:v>À équilibrer</x:v>
      </x:c>
      <x:c r="J680" s="115" t="str">
        <x:v>Non</x:v>
      </x:c>
      <x:c r="K680" s="115" t="str">
        <x:v>Pièces décrites, murs, portes, niveaux et mobilier inspectables à l’échelle. Volumes réservés, raccord au seed, butin, rencontres et services de campagne restent à terminer.</x:v>
      </x:c>
    </x:row>
    <x:row r="681" ht="96" customHeight="1">
      <x:c r="A681" s="115" t="str">
        <x:v>EXT-MONDE-T014-V26</x:v>
      </x:c>
      <x:c r="B681" s="115" t="str">
        <x:v>EXT-MONDE-T014</x:v>
      </x:c>
      <x:c r="C681" s="115" t="str">
        <x:v>Ports</x:v>
      </x:c>
      <x:c r="D681" s="115" t="str">
        <x:v>Marina</x:v>
      </x:c>
      <x:c r="E681" s="115" t="n">
        <x:v>26</x:v>
      </x:c>
      <x:c r="F681" s="115" t="str">
        <x:v>Inspection physique</x:v>
      </x:c>
      <x:c r="G681" s="115" t="str">
        <x:v>1 niveaux ; 32 pièces ; 248 segments de mur ; 0 transitions. Inspection physique ; architecture complète encore ouverte.</x:v>
      </x:c>
      <x:c r="H681" s="115" t="str">
        <x:v>L 352 ; l 448 ; hauteur 10 m ; choix de composition auteur ; dimensions réelles à documenter</x:v>
      </x:c>
      <x:c r="I681" s="115" t="str">
        <x:v>À équilibrer</x:v>
      </x:c>
      <x:c r="J681" s="115" t="str">
        <x:v>Non</x:v>
      </x:c>
      <x:c r="K681" s="115" t="str">
        <x:v>Pièces décrites, murs, portes, niveaux et mobilier inspectables à l’échelle. Volumes réservés, raccord au seed, butin, rencontres et services de campagne restent à terminer.</x:v>
      </x:c>
    </x:row>
    <x:row r="682" ht="96" customHeight="1">
      <x:c r="A682" s="115" t="str">
        <x:v>EXT-MONDE-T014-V27</x:v>
      </x:c>
      <x:c r="B682" s="115" t="str">
        <x:v>EXT-MONDE-T014</x:v>
      </x:c>
      <x:c r="C682" s="115" t="str">
        <x:v>Ports</x:v>
      </x:c>
      <x:c r="D682" s="115" t="str">
        <x:v>Marina</x:v>
      </x:c>
      <x:c r="E682" s="115" t="n">
        <x:v>27</x:v>
      </x:c>
      <x:c r="F682" s="115" t="str">
        <x:v>Inspection physique</x:v>
      </x:c>
      <x:c r="G682" s="115" t="str">
        <x:v>1 niveaux ; 32 pièces ; 248 segments de mur ; 0 transitions. Inspection physique ; architecture complète encore ouverte.</x:v>
      </x:c>
      <x:c r="H682" s="115" t="str">
        <x:v>L 352 ; l 448 ; hauteur 10 m ; choix de composition auteur ; dimensions réelles à documenter</x:v>
      </x:c>
      <x:c r="I682" s="115" t="str">
        <x:v>À équilibrer</x:v>
      </x:c>
      <x:c r="J682" s="115" t="str">
        <x:v>Non</x:v>
      </x:c>
      <x:c r="K682" s="115" t="str">
        <x:v>Pièces décrites, murs, portes, niveaux et mobilier inspectables à l’échelle. Volumes réservés, raccord au seed, butin, rencontres et services de campagne restent à terminer.</x:v>
      </x:c>
    </x:row>
    <x:row r="683" ht="96" customHeight="1">
      <x:c r="A683" s="115" t="str">
        <x:v>EXT-MONDE-T014-V28</x:v>
      </x:c>
      <x:c r="B683" s="115" t="str">
        <x:v>EXT-MONDE-T014</x:v>
      </x:c>
      <x:c r="C683" s="115" t="str">
        <x:v>Ports</x:v>
      </x:c>
      <x:c r="D683" s="115" t="str">
        <x:v>Marina</x:v>
      </x:c>
      <x:c r="E683" s="115" t="n">
        <x:v>28</x:v>
      </x:c>
      <x:c r="F683" s="115" t="str">
        <x:v>Inspection physique</x:v>
      </x:c>
      <x:c r="G683" s="115" t="str">
        <x:v>1 niveaux ; 32 pièces ; 248 segments de mur ; 0 transitions. Inspection physique ; architecture complète encore ouverte.</x:v>
      </x:c>
      <x:c r="H683" s="115" t="str">
        <x:v>L 352 ; l 448 ; hauteur 10 m ; choix de composition auteur ; dimensions réelles à documenter</x:v>
      </x:c>
      <x:c r="I683" s="115" t="str">
        <x:v>À équilibrer</x:v>
      </x:c>
      <x:c r="J683" s="115" t="str">
        <x:v>Non</x:v>
      </x:c>
      <x:c r="K683" s="115" t="str">
        <x:v>Pièces décrites, murs, portes, niveaux et mobilier inspectables à l’échelle. Volumes réservés, raccord au seed, butin, rencontres et services de campagne restent à terminer.</x:v>
      </x:c>
    </x:row>
    <x:row r="684" ht="96" customHeight="1">
      <x:c r="A684" s="115" t="str">
        <x:v>EXT-MONDE-T014-V29</x:v>
      </x:c>
      <x:c r="B684" s="115" t="str">
        <x:v>EXT-MONDE-T014</x:v>
      </x:c>
      <x:c r="C684" s="115" t="str">
        <x:v>Ports</x:v>
      </x:c>
      <x:c r="D684" s="115" t="str">
        <x:v>Marina</x:v>
      </x:c>
      <x:c r="E684" s="115" t="n">
        <x:v>29</x:v>
      </x:c>
      <x:c r="F684" s="115" t="str">
        <x:v>Inspection physique</x:v>
      </x:c>
      <x:c r="G684" s="115" t="str">
        <x:v>1 niveaux ; 32 pièces ; 248 segments de mur ; 0 transitions. Inspection physique ; architecture complète encore ouverte.</x:v>
      </x:c>
      <x:c r="H684" s="115" t="str">
        <x:v>L 352 ; l 448 ; hauteur 10 m ; choix de composition auteur ; dimensions réelles à documenter</x:v>
      </x:c>
      <x:c r="I684" s="115" t="str">
        <x:v>À équilibrer</x:v>
      </x:c>
      <x:c r="J684" s="115" t="str">
        <x:v>Non</x:v>
      </x:c>
      <x:c r="K684" s="115" t="str">
        <x:v>Pièces décrites, murs, portes, niveaux et mobilier inspectables à l’échelle. Volumes réservés, raccord au seed, butin, rencontres et services de campagne restent à terminer.</x:v>
      </x:c>
    </x:row>
    <x:row r="685" ht="96" customHeight="1">
      <x:c r="A685" s="115" t="str">
        <x:v>EXT-MONDE-T014-V30</x:v>
      </x:c>
      <x:c r="B685" s="115" t="str">
        <x:v>EXT-MONDE-T014</x:v>
      </x:c>
      <x:c r="C685" s="115" t="str">
        <x:v>Ports</x:v>
      </x:c>
      <x:c r="D685" s="115" t="str">
        <x:v>Marina</x:v>
      </x:c>
      <x:c r="E685" s="115" t="n">
        <x:v>30</x:v>
      </x:c>
      <x:c r="F685" s="115" t="str">
        <x:v>Inspection physique</x:v>
      </x:c>
      <x:c r="G685" s="115" t="str">
        <x:v>1 niveaux ; 32 pièces ; 248 segments de mur ; 0 transitions. Inspection physique ; architecture complète encore ouverte.</x:v>
      </x:c>
      <x:c r="H685" s="115" t="str">
        <x:v>L 352 ; l 448 ; hauteur 10 m ; choix de composition auteur ; dimensions réelles à documenter</x:v>
      </x:c>
      <x:c r="I685" s="115" t="str">
        <x:v>À équilibrer</x:v>
      </x:c>
      <x:c r="J685" s="115" t="str">
        <x:v>Non</x:v>
      </x:c>
      <x:c r="K685" s="115" t="str">
        <x:v>Pièces décrites, murs, portes, niveaux et mobilier inspectables à l’échelle. Volumes réservés, raccord au seed, butin, rencontres et services de campagne restent à terminer.</x:v>
      </x:c>
    </x:row>
    <x:row r="686" ht="96" customHeight="1">
      <x:c r="A686" s="115" t="str">
        <x:v>EXT-MONDE-T014-V31</x:v>
      </x:c>
      <x:c r="B686" s="115" t="str">
        <x:v>EXT-MONDE-T014</x:v>
      </x:c>
      <x:c r="C686" s="115" t="str">
        <x:v>Ports</x:v>
      </x:c>
      <x:c r="D686" s="115" t="str">
        <x:v>Marina</x:v>
      </x:c>
      <x:c r="E686" s="115" t="n">
        <x:v>31</x:v>
      </x:c>
      <x:c r="F686" s="115" t="str">
        <x:v>Inspection physique</x:v>
      </x:c>
      <x:c r="G686" s="115" t="str">
        <x:v>1 niveaux ; 32 pièces ; 248 segments de mur ; 0 transitions. Inspection physique ; architecture complète encore ouverte.</x:v>
      </x:c>
      <x:c r="H686" s="115" t="str">
        <x:v>L 366 ; l 460 ; hauteur 10 m ; choix de composition auteur ; dimensions réelles à documenter</x:v>
      </x:c>
      <x:c r="I686" s="115" t="str">
        <x:v>À équilibrer</x:v>
      </x:c>
      <x:c r="J686" s="115" t="str">
        <x:v>Non</x:v>
      </x:c>
      <x:c r="K686" s="115" t="str">
        <x:v>Pièces décrites, murs, portes, niveaux et mobilier inspectables à l’échelle. Volumes réservés, raccord au seed, butin, rencontres et services de campagne restent à terminer.</x:v>
      </x:c>
    </x:row>
    <x:row r="687" ht="96" customHeight="1">
      <x:c r="A687" s="115" t="str">
        <x:v>EXT-MONDE-T014-V32</x:v>
      </x:c>
      <x:c r="B687" s="115" t="str">
        <x:v>EXT-MONDE-T014</x:v>
      </x:c>
      <x:c r="C687" s="115" t="str">
        <x:v>Ports</x:v>
      </x:c>
      <x:c r="D687" s="115" t="str">
        <x:v>Marina</x:v>
      </x:c>
      <x:c r="E687" s="115" t="n">
        <x:v>32</x:v>
      </x:c>
      <x:c r="F687" s="115" t="str">
        <x:v>Inspection physique</x:v>
      </x:c>
      <x:c r="G687" s="115" t="str">
        <x:v>1 niveaux ; 32 pièces ; 248 segments de mur ; 0 transitions. Inspection physique ; architecture complète encore ouverte.</x:v>
      </x:c>
      <x:c r="H687" s="115" t="str">
        <x:v>L 366 ; l 460 ; hauteur 10 m ; choix de composition auteur ; dimensions réelles à documenter</x:v>
      </x:c>
      <x:c r="I687" s="115" t="str">
        <x:v>À équilibrer</x:v>
      </x:c>
      <x:c r="J687" s="115" t="str">
        <x:v>Non</x:v>
      </x:c>
      <x:c r="K687" s="115" t="str">
        <x:v>Pièces décrites, murs, portes, niveaux et mobilier inspectables à l’échelle. Volumes réservés, raccord au seed, butin, rencontres et services de campagne restent à terminer.</x:v>
      </x:c>
    </x:row>
    <x:row r="688" ht="96" customHeight="1">
      <x:c r="A688" s="115" t="str">
        <x:v>EXT-MONDE-T014-V33</x:v>
      </x:c>
      <x:c r="B688" s="115" t="str">
        <x:v>EXT-MONDE-T014</x:v>
      </x:c>
      <x:c r="C688" s="115" t="str">
        <x:v>Ports</x:v>
      </x:c>
      <x:c r="D688" s="115" t="str">
        <x:v>Marina</x:v>
      </x:c>
      <x:c r="E688" s="115" t="n">
        <x:v>33</x:v>
      </x:c>
      <x:c r="F688" s="115" t="str">
        <x:v>Inspection physique</x:v>
      </x:c>
      <x:c r="G688" s="115" t="str">
        <x:v>1 niveaux ; 32 pièces ; 248 segments de mur ; 0 transitions. Inspection physique ; architecture complète encore ouverte.</x:v>
      </x:c>
      <x:c r="H688" s="115" t="str">
        <x:v>L 366 ; l 460 ; hauteur 10 m ; choix de composition auteur ; dimensions réelles à documenter</x:v>
      </x:c>
      <x:c r="I688" s="115" t="str">
        <x:v>À équilibrer</x:v>
      </x:c>
      <x:c r="J688" s="115" t="str">
        <x:v>Non</x:v>
      </x:c>
      <x:c r="K688" s="115" t="str">
        <x:v>Pièces décrites, murs, portes, niveaux et mobilier inspectables à l’échelle. Volumes réservés, raccord au seed, butin, rencontres et services de campagne restent à terminer.</x:v>
      </x:c>
    </x:row>
    <x:row r="689" ht="96" customHeight="1">
      <x:c r="A689" s="115" t="str">
        <x:v>EXT-MONDE-T014-V34</x:v>
      </x:c>
      <x:c r="B689" s="115" t="str">
        <x:v>EXT-MONDE-T014</x:v>
      </x:c>
      <x:c r="C689" s="115" t="str">
        <x:v>Ports</x:v>
      </x:c>
      <x:c r="D689" s="115" t="str">
        <x:v>Marina</x:v>
      </x:c>
      <x:c r="E689" s="115" t="n">
        <x:v>34</x:v>
      </x:c>
      <x:c r="F689" s="115" t="str">
        <x:v>Inspection physique</x:v>
      </x:c>
      <x:c r="G689" s="115" t="str">
        <x:v>1 niveaux ; 32 pièces ; 248 segments de mur ; 0 transitions. Inspection physique ; architecture complète encore ouverte.</x:v>
      </x:c>
      <x:c r="H689" s="115" t="str">
        <x:v>L 366 ; l 460 ; hauteur 10 m ; choix de composition auteur ; dimensions réelles à documenter</x:v>
      </x:c>
      <x:c r="I689" s="115" t="str">
        <x:v>À équilibrer</x:v>
      </x:c>
      <x:c r="J689" s="115" t="str">
        <x:v>Non</x:v>
      </x:c>
      <x:c r="K689" s="115" t="str">
        <x:v>Pièces décrites, murs, portes, niveaux et mobilier inspectables à l’échelle. Volumes réservés, raccord au seed, butin, rencontres et services de campagne restent à terminer.</x:v>
      </x:c>
    </x:row>
    <x:row r="690" ht="96" customHeight="1">
      <x:c r="A690" s="115" t="str">
        <x:v>EXT-MONDE-T014-V35</x:v>
      </x:c>
      <x:c r="B690" s="115" t="str">
        <x:v>EXT-MONDE-T014</x:v>
      </x:c>
      <x:c r="C690" s="115" t="str">
        <x:v>Ports</x:v>
      </x:c>
      <x:c r="D690" s="115" t="str">
        <x:v>Marina</x:v>
      </x:c>
      <x:c r="E690" s="115" t="n">
        <x:v>35</x:v>
      </x:c>
      <x:c r="F690" s="115" t="str">
        <x:v>Inspection physique</x:v>
      </x:c>
      <x:c r="G690" s="115" t="str">
        <x:v>1 niveaux ; 32 pièces ; 248 segments de mur ; 0 transitions. Inspection physique ; architecture complète encore ouverte.</x:v>
      </x:c>
      <x:c r="H690" s="115" t="str">
        <x:v>L 366 ; l 460 ; hauteur 10 m ; choix de composition auteur ; dimensions réelles à documenter</x:v>
      </x:c>
      <x:c r="I690" s="115" t="str">
        <x:v>À équilibrer</x:v>
      </x:c>
      <x:c r="J690" s="115" t="str">
        <x:v>Non</x:v>
      </x:c>
      <x:c r="K690" s="115" t="str">
        <x:v>Pièces décrites, murs, portes, niveaux et mobilier inspectables à l’échelle. Volumes réservés, raccord au seed, butin, rencontres et services de campagne restent à terminer.</x:v>
      </x:c>
    </x:row>
    <x:row r="691" ht="96" customHeight="1">
      <x:c r="A691" s="115" t="str">
        <x:v>EXT-MONDE-T014-V36</x:v>
      </x:c>
      <x:c r="B691" s="115" t="str">
        <x:v>EXT-MONDE-T014</x:v>
      </x:c>
      <x:c r="C691" s="115" t="str">
        <x:v>Ports</x:v>
      </x:c>
      <x:c r="D691" s="115" t="str">
        <x:v>Marina</x:v>
      </x:c>
      <x:c r="E691" s="115" t="n">
        <x:v>36</x:v>
      </x:c>
      <x:c r="F691" s="115" t="str">
        <x:v>Inspection physique</x:v>
      </x:c>
      <x:c r="G691" s="115" t="str">
        <x:v>1 niveaux ; 32 pièces ; 248 segments de mur ; 0 transitions. Inspection physique ; architecture complète encore ouverte.</x:v>
      </x:c>
      <x:c r="H691" s="115" t="str">
        <x:v>L 366 ; l 460 ; hauteur 10 m ; choix de composition auteur ; dimensions réelles à documenter</x:v>
      </x:c>
      <x:c r="I691" s="115" t="str">
        <x:v>À équilibrer</x:v>
      </x:c>
      <x:c r="J691" s="115" t="str">
        <x:v>Non</x:v>
      </x:c>
      <x:c r="K691" s="115" t="str">
        <x:v>Pièces décrites, murs, portes, niveaux et mobilier inspectables à l’échelle. Volumes réservés, raccord au seed, butin, rencontres et services de campagne restent à terminer.</x:v>
      </x:c>
    </x:row>
    <x:row r="692" ht="96" customHeight="1">
      <x:c r="A692" s="115" t="str">
        <x:v>EXT-MONDE-T014-V37</x:v>
      </x:c>
      <x:c r="B692" s="115" t="str">
        <x:v>EXT-MONDE-T014</x:v>
      </x:c>
      <x:c r="C692" s="115" t="str">
        <x:v>Ports</x:v>
      </x:c>
      <x:c r="D692" s="115" t="str">
        <x:v>Marina</x:v>
      </x:c>
      <x:c r="E692" s="115" t="n">
        <x:v>37</x:v>
      </x:c>
      <x:c r="F692" s="115" t="str">
        <x:v>Inspection physique</x:v>
      </x:c>
      <x:c r="G692" s="115" t="str">
        <x:v>1 niveaux ; 32 pièces ; 248 segments de mur ; 0 transitions. Inspection physique ; architecture complète encore ouverte.</x:v>
      </x:c>
      <x:c r="H692" s="115" t="str">
        <x:v>L 366 ; l 460 ; hauteur 10 m ; choix de composition auteur ; dimensions réelles à documenter</x:v>
      </x:c>
      <x:c r="I692" s="115" t="str">
        <x:v>À équilibrer</x:v>
      </x:c>
      <x:c r="J692" s="115" t="str">
        <x:v>Non</x:v>
      </x:c>
      <x:c r="K692" s="115" t="str">
        <x:v>Pièces décrites, murs, portes, niveaux et mobilier inspectables à l’échelle. Volumes réservés, raccord au seed, butin, rencontres et services de campagne restent à terminer.</x:v>
      </x:c>
    </x:row>
    <x:row r="693" ht="96" customHeight="1">
      <x:c r="A693" s="115" t="str">
        <x:v>EXT-MONDE-T014-V38</x:v>
      </x:c>
      <x:c r="B693" s="115" t="str">
        <x:v>EXT-MONDE-T014</x:v>
      </x:c>
      <x:c r="C693" s="115" t="str">
        <x:v>Ports</x:v>
      </x:c>
      <x:c r="D693" s="115" t="str">
        <x:v>Marina</x:v>
      </x:c>
      <x:c r="E693" s="115" t="n">
        <x:v>38</x:v>
      </x:c>
      <x:c r="F693" s="115" t="str">
        <x:v>Inspection physique</x:v>
      </x:c>
      <x:c r="G693" s="115" t="str">
        <x:v>1 niveaux ; 32 pièces ; 248 segments de mur ; 0 transitions. Inspection physique ; architecture complète encore ouverte.</x:v>
      </x:c>
      <x:c r="H693" s="115" t="str">
        <x:v>L 366 ; l 460 ; hauteur 10 m ; choix de composition auteur ; dimensions réelles à documenter</x:v>
      </x:c>
      <x:c r="I693" s="115" t="str">
        <x:v>À équilibrer</x:v>
      </x:c>
      <x:c r="J693" s="115" t="str">
        <x:v>Non</x:v>
      </x:c>
      <x:c r="K693" s="115" t="str">
        <x:v>Pièces décrites, murs, portes, niveaux et mobilier inspectables à l’échelle. Volumes réservés, raccord au seed, butin, rencontres et services de campagne restent à terminer.</x:v>
      </x:c>
    </x:row>
    <x:row r="694" ht="96" customHeight="1">
      <x:c r="A694" s="115" t="str">
        <x:v>EXT-MONDE-T014-V39</x:v>
      </x:c>
      <x:c r="B694" s="115" t="str">
        <x:v>EXT-MONDE-T014</x:v>
      </x:c>
      <x:c r="C694" s="115" t="str">
        <x:v>Ports</x:v>
      </x:c>
      <x:c r="D694" s="115" t="str">
        <x:v>Marina</x:v>
      </x:c>
      <x:c r="E694" s="115" t="n">
        <x:v>39</x:v>
      </x:c>
      <x:c r="F694" s="115" t="str">
        <x:v>Inspection physique</x:v>
      </x:c>
      <x:c r="G694" s="115" t="str">
        <x:v>1 niveaux ; 32 pièces ; 248 segments de mur ; 0 transitions. Inspection physique ; architecture complète encore ouverte.</x:v>
      </x:c>
      <x:c r="H694" s="115" t="str">
        <x:v>L 366 ; l 460 ; hauteur 10 m ; choix de composition auteur ; dimensions réelles à documenter</x:v>
      </x:c>
      <x:c r="I694" s="115" t="str">
        <x:v>À équilibrer</x:v>
      </x:c>
      <x:c r="J694" s="115" t="str">
        <x:v>Non</x:v>
      </x:c>
      <x:c r="K694" s="115" t="str">
        <x:v>Pièces décrites, murs, portes, niveaux et mobilier inspectables à l’échelle. Volumes réservés, raccord au seed, butin, rencontres et services de campagne restent à terminer.</x:v>
      </x:c>
    </x:row>
    <x:row r="695" ht="96" customHeight="1">
      <x:c r="A695" s="115" t="str">
        <x:v>EXT-MONDE-T014-V40</x:v>
      </x:c>
      <x:c r="B695" s="115" t="str">
        <x:v>EXT-MONDE-T014</x:v>
      </x:c>
      <x:c r="C695" s="115" t="str">
        <x:v>Ports</x:v>
      </x:c>
      <x:c r="D695" s="115" t="str">
        <x:v>Marina</x:v>
      </x:c>
      <x:c r="E695" s="115" t="n">
        <x:v>40</x:v>
      </x:c>
      <x:c r="F695" s="115" t="str">
        <x:v>Inspection physique</x:v>
      </x:c>
      <x:c r="G695" s="115" t="str">
        <x:v>1 niveaux ; 32 pièces ; 248 segments de mur ; 0 transitions. Inspection physique ; architecture complète encore ouverte.</x:v>
      </x:c>
      <x:c r="H695" s="115" t="str">
        <x:v>L 366 ; l 460 ; hauteur 10 m ; choix de composition auteur ; dimensions réelles à documenter</x:v>
      </x:c>
      <x:c r="I695" s="115" t="str">
        <x:v>À équilibrer</x:v>
      </x:c>
      <x:c r="J695" s="115" t="str">
        <x:v>Non</x:v>
      </x:c>
      <x:c r="K695" s="115" t="str">
        <x:v>Pièces décrites, murs, portes, niveaux et mobilier inspectables à l’échelle. Volumes réservés, raccord au seed, butin, rencontres et services de campagne restent à terminer.</x:v>
      </x:c>
    </x:row>
    <x:row r="696" ht="96" customHeight="1">
      <x:c r="A696" s="115" t="str">
        <x:v>EXT-MONDE-T014-V41</x:v>
      </x:c>
      <x:c r="B696" s="115" t="str">
        <x:v>EXT-MONDE-T014</x:v>
      </x:c>
      <x:c r="C696" s="115" t="str">
        <x:v>Ports</x:v>
      </x:c>
      <x:c r="D696" s="115" t="str">
        <x:v>Marina</x:v>
      </x:c>
      <x:c r="E696" s="115" t="n">
        <x:v>41</x:v>
      </x:c>
      <x:c r="F696" s="115" t="str">
        <x:v>Inspection physique</x:v>
      </x:c>
      <x:c r="G696" s="115" t="str">
        <x:v>1 niveaux ; 32 pièces ; 248 segments de mur ; 0 transitions. Inspection physique ; architecture complète encore ouverte.</x:v>
      </x:c>
      <x:c r="H696" s="115" t="str">
        <x:v>L 380 ; l 472 ; hauteur 10 m ; choix de composition auteur ; dimensions réelles à documenter</x:v>
      </x:c>
      <x:c r="I696" s="115" t="str">
        <x:v>À équilibrer</x:v>
      </x:c>
      <x:c r="J696" s="115" t="str">
        <x:v>Non</x:v>
      </x:c>
      <x:c r="K696" s="115" t="str">
        <x:v>Pièces décrites, murs, portes, niveaux et mobilier inspectables à l’échelle. Volumes réservés, raccord au seed, butin, rencontres et services de campagne restent à terminer.</x:v>
      </x:c>
    </x:row>
    <x:row r="697" ht="96" customHeight="1">
      <x:c r="A697" s="115" t="str">
        <x:v>EXT-MONDE-T014-V42</x:v>
      </x:c>
      <x:c r="B697" s="115" t="str">
        <x:v>EXT-MONDE-T014</x:v>
      </x:c>
      <x:c r="C697" s="115" t="str">
        <x:v>Ports</x:v>
      </x:c>
      <x:c r="D697" s="115" t="str">
        <x:v>Marina</x:v>
      </x:c>
      <x:c r="E697" s="115" t="n">
        <x:v>42</x:v>
      </x:c>
      <x:c r="F697" s="115" t="str">
        <x:v>Inspection physique</x:v>
      </x:c>
      <x:c r="G697" s="115" t="str">
        <x:v>1 niveaux ; 32 pièces ; 248 segments de mur ; 0 transitions. Inspection physique ; architecture complète encore ouverte.</x:v>
      </x:c>
      <x:c r="H697" s="115" t="str">
        <x:v>L 380 ; l 472 ; hauteur 10 m ; choix de composition auteur ; dimensions réelles à documenter</x:v>
      </x:c>
      <x:c r="I697" s="115" t="str">
        <x:v>À équilibrer</x:v>
      </x:c>
      <x:c r="J697" s="115" t="str">
        <x:v>Non</x:v>
      </x:c>
      <x:c r="K697" s="115" t="str">
        <x:v>Pièces décrites, murs, portes, niveaux et mobilier inspectables à l’échelle. Volumes réservés, raccord au seed, butin, rencontres et services de campagne restent à terminer.</x:v>
      </x:c>
    </x:row>
    <x:row r="698" ht="96" customHeight="1">
      <x:c r="A698" s="115" t="str">
        <x:v>EXT-MONDE-T014-V43</x:v>
      </x:c>
      <x:c r="B698" s="115" t="str">
        <x:v>EXT-MONDE-T014</x:v>
      </x:c>
      <x:c r="C698" s="115" t="str">
        <x:v>Ports</x:v>
      </x:c>
      <x:c r="D698" s="115" t="str">
        <x:v>Marina</x:v>
      </x:c>
      <x:c r="E698" s="115" t="n">
        <x:v>43</x:v>
      </x:c>
      <x:c r="F698" s="115" t="str">
        <x:v>Inspection physique</x:v>
      </x:c>
      <x:c r="G698" s="115" t="str">
        <x:v>1 niveaux ; 32 pièces ; 248 segments de mur ; 0 transitions. Inspection physique ; architecture complète encore ouverte.</x:v>
      </x:c>
      <x:c r="H698" s="115" t="str">
        <x:v>L 380 ; l 472 ; hauteur 10 m ; choix de composition auteur ; dimensions réelles à documenter</x:v>
      </x:c>
      <x:c r="I698" s="115" t="str">
        <x:v>À équilibrer</x:v>
      </x:c>
      <x:c r="J698" s="115" t="str">
        <x:v>Non</x:v>
      </x:c>
      <x:c r="K698" s="115" t="str">
        <x:v>Pièces décrites, murs, portes, niveaux et mobilier inspectables à l’échelle. Volumes réservés, raccord au seed, butin, rencontres et services de campagne restent à terminer.</x:v>
      </x:c>
    </x:row>
    <x:row r="699" ht="96" customHeight="1">
      <x:c r="A699" s="115" t="str">
        <x:v>EXT-MONDE-T014-V44</x:v>
      </x:c>
      <x:c r="B699" s="115" t="str">
        <x:v>EXT-MONDE-T014</x:v>
      </x:c>
      <x:c r="C699" s="115" t="str">
        <x:v>Ports</x:v>
      </x:c>
      <x:c r="D699" s="115" t="str">
        <x:v>Marina</x:v>
      </x:c>
      <x:c r="E699" s="115" t="n">
        <x:v>44</x:v>
      </x:c>
      <x:c r="F699" s="115" t="str">
        <x:v>Inspection physique</x:v>
      </x:c>
      <x:c r="G699" s="115" t="str">
        <x:v>1 niveaux ; 32 pièces ; 248 segments de mur ; 0 transitions. Inspection physique ; architecture complète encore ouverte.</x:v>
      </x:c>
      <x:c r="H699" s="115" t="str">
        <x:v>L 380 ; l 472 ; hauteur 10 m ; choix de composition auteur ; dimensions réelles à documenter</x:v>
      </x:c>
      <x:c r="I699" s="115" t="str">
        <x:v>À équilibrer</x:v>
      </x:c>
      <x:c r="J699" s="115" t="str">
        <x:v>Non</x:v>
      </x:c>
      <x:c r="K699" s="115" t="str">
        <x:v>Pièces décrites, murs, portes, niveaux et mobilier inspectables à l’échelle. Volumes réservés, raccord au seed, butin, rencontres et services de campagne restent à terminer.</x:v>
      </x:c>
    </x:row>
    <x:row r="700" ht="96" customHeight="1">
      <x:c r="A700" s="115" t="str">
        <x:v>EXT-MONDE-T014-V45</x:v>
      </x:c>
      <x:c r="B700" s="115" t="str">
        <x:v>EXT-MONDE-T014</x:v>
      </x:c>
      <x:c r="C700" s="115" t="str">
        <x:v>Ports</x:v>
      </x:c>
      <x:c r="D700" s="115" t="str">
        <x:v>Marina</x:v>
      </x:c>
      <x:c r="E700" s="115" t="n">
        <x:v>45</x:v>
      </x:c>
      <x:c r="F700" s="115" t="str">
        <x:v>Inspection physique</x:v>
      </x:c>
      <x:c r="G700" s="115" t="str">
        <x:v>1 niveaux ; 32 pièces ; 248 segments de mur ; 0 transitions. Inspection physique ; architecture complète encore ouverte.</x:v>
      </x:c>
      <x:c r="H700" s="115" t="str">
        <x:v>L 380 ; l 472 ; hauteur 10 m ; choix de composition auteur ; dimensions réelles à documenter</x:v>
      </x:c>
      <x:c r="I700" s="115" t="str">
        <x:v>À équilibrer</x:v>
      </x:c>
      <x:c r="J700" s="115" t="str">
        <x:v>Non</x:v>
      </x:c>
      <x:c r="K700" s="115" t="str">
        <x:v>Pièces décrites, murs, portes, niveaux et mobilier inspectables à l’échelle. Volumes réservés, raccord au seed, butin, rencontres et services de campagne restent à terminer.</x:v>
      </x:c>
    </x:row>
    <x:row r="701" ht="96" customHeight="1">
      <x:c r="A701" s="115" t="str">
        <x:v>EXT-MONDE-T014-V46</x:v>
      </x:c>
      <x:c r="B701" s="115" t="str">
        <x:v>EXT-MONDE-T014</x:v>
      </x:c>
      <x:c r="C701" s="115" t="str">
        <x:v>Ports</x:v>
      </x:c>
      <x:c r="D701" s="115" t="str">
        <x:v>Marina</x:v>
      </x:c>
      <x:c r="E701" s="115" t="n">
        <x:v>46</x:v>
      </x:c>
      <x:c r="F701" s="115" t="str">
        <x:v>Inspection physique</x:v>
      </x:c>
      <x:c r="G701" s="115" t="str">
        <x:v>1 niveaux ; 32 pièces ; 248 segments de mur ; 0 transitions. Inspection physique ; architecture complète encore ouverte.</x:v>
      </x:c>
      <x:c r="H701" s="115" t="str">
        <x:v>L 380 ; l 472 ; hauteur 10 m ; choix de composition auteur ; dimensions réelles à documenter</x:v>
      </x:c>
      <x:c r="I701" s="115" t="str">
        <x:v>À équilibrer</x:v>
      </x:c>
      <x:c r="J701" s="115" t="str">
        <x:v>Non</x:v>
      </x:c>
      <x:c r="K701" s="115" t="str">
        <x:v>Pièces décrites, murs, portes, niveaux et mobilier inspectables à l’échelle. Volumes réservés, raccord au seed, butin, rencontres et services de campagne restent à terminer.</x:v>
      </x:c>
    </x:row>
    <x:row r="702" ht="96" customHeight="1">
      <x:c r="A702" s="115" t="str">
        <x:v>EXT-MONDE-T014-V47</x:v>
      </x:c>
      <x:c r="B702" s="115" t="str">
        <x:v>EXT-MONDE-T014</x:v>
      </x:c>
      <x:c r="C702" s="115" t="str">
        <x:v>Ports</x:v>
      </x:c>
      <x:c r="D702" s="115" t="str">
        <x:v>Marina</x:v>
      </x:c>
      <x:c r="E702" s="115" t="n">
        <x:v>47</x:v>
      </x:c>
      <x:c r="F702" s="115" t="str">
        <x:v>Inspection physique</x:v>
      </x:c>
      <x:c r="G702" s="115" t="str">
        <x:v>1 niveaux ; 32 pièces ; 248 segments de mur ; 0 transitions. Inspection physique ; architecture complète encore ouverte.</x:v>
      </x:c>
      <x:c r="H702" s="115" t="str">
        <x:v>L 380 ; l 472 ; hauteur 10 m ; choix de composition auteur ; dimensions réelles à documenter</x:v>
      </x:c>
      <x:c r="I702" s="115" t="str">
        <x:v>À équilibrer</x:v>
      </x:c>
      <x:c r="J702" s="115" t="str">
        <x:v>Non</x:v>
      </x:c>
      <x:c r="K702" s="115" t="str">
        <x:v>Pièces décrites, murs, portes, niveaux et mobilier inspectables à l’échelle. Volumes réservés, raccord au seed, butin, rencontres et services de campagne restent à terminer.</x:v>
      </x:c>
    </x:row>
    <x:row r="703" ht="96" customHeight="1">
      <x:c r="A703" s="115" t="str">
        <x:v>EXT-MONDE-T014-V48</x:v>
      </x:c>
      <x:c r="B703" s="115" t="str">
        <x:v>EXT-MONDE-T014</x:v>
      </x:c>
      <x:c r="C703" s="115" t="str">
        <x:v>Ports</x:v>
      </x:c>
      <x:c r="D703" s="115" t="str">
        <x:v>Marina</x:v>
      </x:c>
      <x:c r="E703" s="115" t="n">
        <x:v>48</x:v>
      </x:c>
      <x:c r="F703" s="115" t="str">
        <x:v>Inspection physique</x:v>
      </x:c>
      <x:c r="G703" s="115" t="str">
        <x:v>1 niveaux ; 32 pièces ; 248 segments de mur ; 0 transitions. Inspection physique ; architecture complète encore ouverte.</x:v>
      </x:c>
      <x:c r="H703" s="115" t="str">
        <x:v>L 380 ; l 472 ; hauteur 10 m ; choix de composition auteur ; dimensions réelles à documenter</x:v>
      </x:c>
      <x:c r="I703" s="115" t="str">
        <x:v>À équilibrer</x:v>
      </x:c>
      <x:c r="J703" s="115" t="str">
        <x:v>Non</x:v>
      </x:c>
      <x:c r="K703" s="115" t="str">
        <x:v>Pièces décrites, murs, portes, niveaux et mobilier inspectables à l’échelle. Volumes réservés, raccord au seed, butin, rencontres et services de campagne restent à terminer.</x:v>
      </x:c>
    </x:row>
    <x:row r="704" ht="96" customHeight="1">
      <x:c r="A704" s="115" t="str">
        <x:v>EXT-MONDE-T014-V49</x:v>
      </x:c>
      <x:c r="B704" s="115" t="str">
        <x:v>EXT-MONDE-T014</x:v>
      </x:c>
      <x:c r="C704" s="115" t="str">
        <x:v>Ports</x:v>
      </x:c>
      <x:c r="D704" s="115" t="str">
        <x:v>Marina</x:v>
      </x:c>
      <x:c r="E704" s="115" t="n">
        <x:v>49</x:v>
      </x:c>
      <x:c r="F704" s="115" t="str">
        <x:v>Inspection physique</x:v>
      </x:c>
      <x:c r="G704" s="115" t="str">
        <x:v>1 niveaux ; 32 pièces ; 248 segments de mur ; 0 transitions. Inspection physique ; architecture complète encore ouverte.</x:v>
      </x:c>
      <x:c r="H704" s="115" t="str">
        <x:v>L 380 ; l 472 ; hauteur 10 m ; choix de composition auteur ; dimensions réelles à documenter</x:v>
      </x:c>
      <x:c r="I704" s="115" t="str">
        <x:v>À équilibrer</x:v>
      </x:c>
      <x:c r="J704" s="115" t="str">
        <x:v>Non</x:v>
      </x:c>
      <x:c r="K704" s="115" t="str">
        <x:v>Pièces décrites, murs, portes, niveaux et mobilier inspectables à l’échelle. Volumes réservés, raccord au seed, butin, rencontres et services de campagne restent à terminer.</x:v>
      </x:c>
    </x:row>
    <x:row r="705" ht="96" customHeight="1">
      <x:c r="A705" s="115" t="str">
        <x:v>EXT-MONDE-T014-V50</x:v>
      </x:c>
      <x:c r="B705" s="115" t="str">
        <x:v>EXT-MONDE-T014</x:v>
      </x:c>
      <x:c r="C705" s="115" t="str">
        <x:v>Ports</x:v>
      </x:c>
      <x:c r="D705" s="115" t="str">
        <x:v>Marina</x:v>
      </x:c>
      <x:c r="E705" s="115" t="n">
        <x:v>50</x:v>
      </x:c>
      <x:c r="F705" s="115" t="str">
        <x:v>Inspection physique</x:v>
      </x:c>
      <x:c r="G705" s="115" t="str">
        <x:v>1 niveaux ; 32 pièces ; 248 segments de mur ; 0 transitions. Inspection physique ; architecture complète encore ouverte.</x:v>
      </x:c>
      <x:c r="H705" s="115" t="str">
        <x:v>L 380 ; l 472 ; hauteur 10 m ; choix de composition auteur ; dimensions réelles à documenter</x:v>
      </x:c>
      <x:c r="I705" s="115" t="str">
        <x:v>À équilibrer</x:v>
      </x:c>
      <x:c r="J705" s="115" t="str">
        <x:v>Non</x:v>
      </x:c>
      <x:c r="K705" s="115" t="str">
        <x:v>Pièces décrites, murs, portes, niveaux et mobilier inspectables à l’échelle. Volumes réservés, raccord au seed, butin, rencontres et services de campagne restent à terminer.</x:v>
      </x:c>
    </x:row>
    <x:row r="706" ht="96" customHeight="1">
      <x:c r="A706" s="115" t="str">
        <x:v>EXT-MONDE-T015-V01</x:v>
      </x:c>
      <x:c r="B706" s="115" t="str">
        <x:v>EXT-MONDE-T015</x:v>
      </x:c>
      <x:c r="C706" s="115" t="str">
        <x:v>Ports</x:v>
      </x:c>
      <x:c r="D706" s="115" t="str">
        <x:v>Terminal conteneurs</x:v>
      </x:c>
      <x:c r="E706" s="115" t="n">
        <x:v>1</x:v>
      </x:c>
      <x:c r="F706" s="115" t="str">
        <x:v>Inspection physique</x:v>
      </x:c>
      <x:c r="G706" s="115" t="str">
        <x:v>1 niveaux ; 32 pièces ; 248 segments de mur ; 0 transitions. Inspection physique ; architecture complète encore ouverte.</x:v>
      </x:c>
      <x:c r="H706" s="115" t="str">
        <x:v>L 424 ; l 564 ; hauteur 36 m ; choix de composition auteur ; dimensions réelles à documenter</x:v>
      </x:c>
      <x:c r="I706" s="115" t="str">
        <x:v>À équilibrer</x:v>
      </x:c>
      <x:c r="J706" s="115" t="str">
        <x:v>Non</x:v>
      </x:c>
      <x:c r="K706" s="115" t="str">
        <x:v>Pièces décrites, murs, portes, niveaux et mobilier inspectables à l’échelle. Volumes réservés, raccord au seed, butin, rencontres et services de campagne restent à terminer.</x:v>
      </x:c>
    </x:row>
    <x:row r="707" ht="96" customHeight="1">
      <x:c r="A707" s="115" t="str">
        <x:v>EXT-MONDE-T015-V02</x:v>
      </x:c>
      <x:c r="B707" s="115" t="str">
        <x:v>EXT-MONDE-T015</x:v>
      </x:c>
      <x:c r="C707" s="115" t="str">
        <x:v>Ports</x:v>
      </x:c>
      <x:c r="D707" s="115" t="str">
        <x:v>Terminal conteneurs</x:v>
      </x:c>
      <x:c r="E707" s="115" t="n">
        <x:v>2</x:v>
      </x:c>
      <x:c r="F707" s="115" t="str">
        <x:v>Inspection physique</x:v>
      </x:c>
      <x:c r="G707" s="115" t="str">
        <x:v>1 niveaux ; 32 pièces ; 248 segments de mur ; 0 transitions. Inspection physique ; architecture complète encore ouverte.</x:v>
      </x:c>
      <x:c r="H707" s="115" t="str">
        <x:v>L 424 ; l 564 ; hauteur 36 m ; choix de composition auteur ; dimensions réelles à documenter</x:v>
      </x:c>
      <x:c r="I707" s="115" t="str">
        <x:v>À équilibrer</x:v>
      </x:c>
      <x:c r="J707" s="115" t="str">
        <x:v>Non</x:v>
      </x:c>
      <x:c r="K707" s="115" t="str">
        <x:v>Pièces décrites, murs, portes, niveaux et mobilier inspectables à l’échelle. Volumes réservés, raccord au seed, butin, rencontres et services de campagne restent à terminer.</x:v>
      </x:c>
    </x:row>
    <x:row r="708" ht="96" customHeight="1">
      <x:c r="A708" s="115" t="str">
        <x:v>EXT-MONDE-T015-V03</x:v>
      </x:c>
      <x:c r="B708" s="115" t="str">
        <x:v>EXT-MONDE-T015</x:v>
      </x:c>
      <x:c r="C708" s="115" t="str">
        <x:v>Ports</x:v>
      </x:c>
      <x:c r="D708" s="115" t="str">
        <x:v>Terminal conteneurs</x:v>
      </x:c>
      <x:c r="E708" s="115" t="n">
        <x:v>3</x:v>
      </x:c>
      <x:c r="F708" s="115" t="str">
        <x:v>Inspection physique</x:v>
      </x:c>
      <x:c r="G708" s="115" t="str">
        <x:v>1 niveaux ; 32 pièces ; 248 segments de mur ; 0 transitions. Inspection physique ; architecture complète encore ouverte.</x:v>
      </x:c>
      <x:c r="H708" s="115" t="str">
        <x:v>L 424 ; l 564 ; hauteur 36 m ; choix de composition auteur ; dimensions réelles à documenter</x:v>
      </x:c>
      <x:c r="I708" s="115" t="str">
        <x:v>À équilibrer</x:v>
      </x:c>
      <x:c r="J708" s="115" t="str">
        <x:v>Non</x:v>
      </x:c>
      <x:c r="K708" s="115" t="str">
        <x:v>Pièces décrites, murs, portes, niveaux et mobilier inspectables à l’échelle. Volumes réservés, raccord au seed, butin, rencontres et services de campagne restent à terminer.</x:v>
      </x:c>
    </x:row>
    <x:row r="709" ht="96" customHeight="1">
      <x:c r="A709" s="115" t="str">
        <x:v>EXT-MONDE-T015-V04</x:v>
      </x:c>
      <x:c r="B709" s="115" t="str">
        <x:v>EXT-MONDE-T015</x:v>
      </x:c>
      <x:c r="C709" s="115" t="str">
        <x:v>Ports</x:v>
      </x:c>
      <x:c r="D709" s="115" t="str">
        <x:v>Terminal conteneurs</x:v>
      </x:c>
      <x:c r="E709" s="115" t="n">
        <x:v>4</x:v>
      </x:c>
      <x:c r="F709" s="115" t="str">
        <x:v>Inspection physique</x:v>
      </x:c>
      <x:c r="G709" s="115" t="str">
        <x:v>1 niveaux ; 32 pièces ; 248 segments de mur ; 0 transitions. Inspection physique ; architecture complète encore ouverte.</x:v>
      </x:c>
      <x:c r="H709" s="115" t="str">
        <x:v>L 424 ; l 564 ; hauteur 36 m ; choix de composition auteur ; dimensions réelles à documenter</x:v>
      </x:c>
      <x:c r="I709" s="115" t="str">
        <x:v>À équilibrer</x:v>
      </x:c>
      <x:c r="J709" s="115" t="str">
        <x:v>Non</x:v>
      </x:c>
      <x:c r="K709" s="115" t="str">
        <x:v>Pièces décrites, murs, portes, niveaux et mobilier inspectables à l’échelle. Volumes réservés, raccord au seed, butin, rencontres et services de campagne restent à terminer.</x:v>
      </x:c>
    </x:row>
    <x:row r="710" ht="96" customHeight="1">
      <x:c r="A710" s="115" t="str">
        <x:v>EXT-MONDE-T015-V05</x:v>
      </x:c>
      <x:c r="B710" s="115" t="str">
        <x:v>EXT-MONDE-T015</x:v>
      </x:c>
      <x:c r="C710" s="115" t="str">
        <x:v>Ports</x:v>
      </x:c>
      <x:c r="D710" s="115" t="str">
        <x:v>Terminal conteneurs</x:v>
      </x:c>
      <x:c r="E710" s="115" t="n">
        <x:v>5</x:v>
      </x:c>
      <x:c r="F710" s="115" t="str">
        <x:v>Inspection physique</x:v>
      </x:c>
      <x:c r="G710" s="115" t="str">
        <x:v>1 niveaux ; 32 pièces ; 248 segments de mur ; 0 transitions. Inspection physique ; architecture complète encore ouverte.</x:v>
      </x:c>
      <x:c r="H710" s="115" t="str">
        <x:v>L 424 ; l 564 ; hauteur 36 m ; choix de composition auteur ; dimensions réelles à documenter</x:v>
      </x:c>
      <x:c r="I710" s="115" t="str">
        <x:v>À équilibrer</x:v>
      </x:c>
      <x:c r="J710" s="115" t="str">
        <x:v>Non</x:v>
      </x:c>
      <x:c r="K710" s="115" t="str">
        <x:v>Pièces décrites, murs, portes, niveaux et mobilier inspectables à l’échelle. Volumes réservés, raccord au seed, butin, rencontres et services de campagne restent à terminer.</x:v>
      </x:c>
    </x:row>
    <x:row r="711" ht="96" customHeight="1">
      <x:c r="A711" s="115" t="str">
        <x:v>EXT-MONDE-T015-V06</x:v>
      </x:c>
      <x:c r="B711" s="115" t="str">
        <x:v>EXT-MONDE-T015</x:v>
      </x:c>
      <x:c r="C711" s="115" t="str">
        <x:v>Ports</x:v>
      </x:c>
      <x:c r="D711" s="115" t="str">
        <x:v>Terminal conteneurs</x:v>
      </x:c>
      <x:c r="E711" s="115" t="n">
        <x:v>6</x:v>
      </x:c>
      <x:c r="F711" s="115" t="str">
        <x:v>Inspection physique</x:v>
      </x:c>
      <x:c r="G711" s="115" t="str">
        <x:v>1 niveaux ; 32 pièces ; 248 segments de mur ; 0 transitions. Inspection physique ; architecture complète encore ouverte.</x:v>
      </x:c>
      <x:c r="H711" s="115" t="str">
        <x:v>L 424 ; l 564 ; hauteur 36 m ; choix de composition auteur ; dimensions réelles à documenter</x:v>
      </x:c>
      <x:c r="I711" s="115" t="str">
        <x:v>À équilibrer</x:v>
      </x:c>
      <x:c r="J711" s="115" t="str">
        <x:v>Non</x:v>
      </x:c>
      <x:c r="K711" s="115" t="str">
        <x:v>Pièces décrites, murs, portes, niveaux et mobilier inspectables à l’échelle. Volumes réservés, raccord au seed, butin, rencontres et services de campagne restent à terminer.</x:v>
      </x:c>
    </x:row>
    <x:row r="712" ht="96" customHeight="1">
      <x:c r="A712" s="115" t="str">
        <x:v>EXT-MONDE-T015-V07</x:v>
      </x:c>
      <x:c r="B712" s="115" t="str">
        <x:v>EXT-MONDE-T015</x:v>
      </x:c>
      <x:c r="C712" s="115" t="str">
        <x:v>Ports</x:v>
      </x:c>
      <x:c r="D712" s="115" t="str">
        <x:v>Terminal conteneurs</x:v>
      </x:c>
      <x:c r="E712" s="115" t="n">
        <x:v>7</x:v>
      </x:c>
      <x:c r="F712" s="115" t="str">
        <x:v>Inspection physique</x:v>
      </x:c>
      <x:c r="G712" s="115" t="str">
        <x:v>1 niveaux ; 32 pièces ; 248 segments de mur ; 0 transitions. Inspection physique ; architecture complète encore ouverte.</x:v>
      </x:c>
      <x:c r="H712" s="115" t="str">
        <x:v>L 424 ; l 564 ; hauteur 36 m ; choix de composition auteur ; dimensions réelles à documenter</x:v>
      </x:c>
      <x:c r="I712" s="115" t="str">
        <x:v>À équilibrer</x:v>
      </x:c>
      <x:c r="J712" s="115" t="str">
        <x:v>Non</x:v>
      </x:c>
      <x:c r="K712" s="115" t="str">
        <x:v>Pièces décrites, murs, portes, niveaux et mobilier inspectables à l’échelle. Volumes réservés, raccord au seed, butin, rencontres et services de campagne restent à terminer.</x:v>
      </x:c>
    </x:row>
    <x:row r="713" ht="96" customHeight="1">
      <x:c r="A713" s="115" t="str">
        <x:v>EXT-MONDE-T015-V08</x:v>
      </x:c>
      <x:c r="B713" s="115" t="str">
        <x:v>EXT-MONDE-T015</x:v>
      </x:c>
      <x:c r="C713" s="115" t="str">
        <x:v>Ports</x:v>
      </x:c>
      <x:c r="D713" s="115" t="str">
        <x:v>Terminal conteneurs</x:v>
      </x:c>
      <x:c r="E713" s="115" t="n">
        <x:v>8</x:v>
      </x:c>
      <x:c r="F713" s="115" t="str">
        <x:v>Inspection physique</x:v>
      </x:c>
      <x:c r="G713" s="115" t="str">
        <x:v>1 niveaux ; 32 pièces ; 248 segments de mur ; 0 transitions. Inspection physique ; architecture complète encore ouverte.</x:v>
      </x:c>
      <x:c r="H713" s="115" t="str">
        <x:v>L 424 ; l 564 ; hauteur 36 m ; choix de composition auteur ; dimensions réelles à documenter</x:v>
      </x:c>
      <x:c r="I713" s="115" t="str">
        <x:v>À équilibrer</x:v>
      </x:c>
      <x:c r="J713" s="115" t="str">
        <x:v>Non</x:v>
      </x:c>
      <x:c r="K713" s="115" t="str">
        <x:v>Pièces décrites, murs, portes, niveaux et mobilier inspectables à l’échelle. Volumes réservés, raccord au seed, butin, rencontres et services de campagne restent à terminer.</x:v>
      </x:c>
    </x:row>
    <x:row r="714" ht="96" customHeight="1">
      <x:c r="A714" s="115" t="str">
        <x:v>EXT-MONDE-T015-V09</x:v>
      </x:c>
      <x:c r="B714" s="115" t="str">
        <x:v>EXT-MONDE-T015</x:v>
      </x:c>
      <x:c r="C714" s="115" t="str">
        <x:v>Ports</x:v>
      </x:c>
      <x:c r="D714" s="115" t="str">
        <x:v>Terminal conteneurs</x:v>
      </x:c>
      <x:c r="E714" s="115" t="n">
        <x:v>9</x:v>
      </x:c>
      <x:c r="F714" s="115" t="str">
        <x:v>Inspection physique</x:v>
      </x:c>
      <x:c r="G714" s="115" t="str">
        <x:v>1 niveaux ; 32 pièces ; 248 segments de mur ; 0 transitions. Inspection physique ; architecture complète encore ouverte.</x:v>
      </x:c>
      <x:c r="H714" s="115" t="str">
        <x:v>L 424 ; l 564 ; hauteur 36 m ; choix de composition auteur ; dimensions réelles à documenter</x:v>
      </x:c>
      <x:c r="I714" s="115" t="str">
        <x:v>À équilibrer</x:v>
      </x:c>
      <x:c r="J714" s="115" t="str">
        <x:v>Non</x:v>
      </x:c>
      <x:c r="K714" s="115" t="str">
        <x:v>Pièces décrites, murs, portes, niveaux et mobilier inspectables à l’échelle. Volumes réservés, raccord au seed, butin, rencontres et services de campagne restent à terminer.</x:v>
      </x:c>
    </x:row>
    <x:row r="715" ht="96" customHeight="1">
      <x:c r="A715" s="115" t="str">
        <x:v>EXT-MONDE-T015-V10</x:v>
      </x:c>
      <x:c r="B715" s="115" t="str">
        <x:v>EXT-MONDE-T015</x:v>
      </x:c>
      <x:c r="C715" s="115" t="str">
        <x:v>Ports</x:v>
      </x:c>
      <x:c r="D715" s="115" t="str">
        <x:v>Terminal conteneurs</x:v>
      </x:c>
      <x:c r="E715" s="115" t="n">
        <x:v>10</x:v>
      </x:c>
      <x:c r="F715" s="115" t="str">
        <x:v>Inspection physique</x:v>
      </x:c>
      <x:c r="G715" s="115" t="str">
        <x:v>1 niveaux ; 32 pièces ; 248 segments de mur ; 0 transitions. Inspection physique ; architecture complète encore ouverte.</x:v>
      </x:c>
      <x:c r="H715" s="115" t="str">
        <x:v>L 424 ; l 564 ; hauteur 36 m ; choix de composition auteur ; dimensions réelles à documenter</x:v>
      </x:c>
      <x:c r="I715" s="115" t="str">
        <x:v>À équilibrer</x:v>
      </x:c>
      <x:c r="J715" s="115" t="str">
        <x:v>Non</x:v>
      </x:c>
      <x:c r="K715" s="115" t="str">
        <x:v>Pièces décrites, murs, portes, niveaux et mobilier inspectables à l’échelle. Volumes réservés, raccord au seed, butin, rencontres et services de campagne restent à terminer.</x:v>
      </x:c>
    </x:row>
    <x:row r="716" ht="96" customHeight="1">
      <x:c r="A716" s="115" t="str">
        <x:v>EXT-MONDE-T015-V11</x:v>
      </x:c>
      <x:c r="B716" s="115" t="str">
        <x:v>EXT-MONDE-T015</x:v>
      </x:c>
      <x:c r="C716" s="115" t="str">
        <x:v>Ports</x:v>
      </x:c>
      <x:c r="D716" s="115" t="str">
        <x:v>Terminal conteneurs</x:v>
      </x:c>
      <x:c r="E716" s="115" t="n">
        <x:v>11</x:v>
      </x:c>
      <x:c r="F716" s="115" t="str">
        <x:v>Inspection physique</x:v>
      </x:c>
      <x:c r="G716" s="115" t="str">
        <x:v>1 niveaux ; 32 pièces ; 248 segments de mur ; 0 transitions. Inspection physique ; architecture complète encore ouverte.</x:v>
      </x:c>
      <x:c r="H716" s="115" t="str">
        <x:v>L 438 ; l 576 ; hauteur 36 m ; choix de composition auteur ; dimensions réelles à documenter</x:v>
      </x:c>
      <x:c r="I716" s="115" t="str">
        <x:v>À équilibrer</x:v>
      </x:c>
      <x:c r="J716" s="115" t="str">
        <x:v>Non</x:v>
      </x:c>
      <x:c r="K716" s="115" t="str">
        <x:v>Pièces décrites, murs, portes, niveaux et mobilier inspectables à l’échelle. Volumes réservés, raccord au seed, butin, rencontres et services de campagne restent à terminer.</x:v>
      </x:c>
    </x:row>
    <x:row r="717" ht="96" customHeight="1">
      <x:c r="A717" s="115" t="str">
        <x:v>EXT-MONDE-T015-V12</x:v>
      </x:c>
      <x:c r="B717" s="115" t="str">
        <x:v>EXT-MONDE-T015</x:v>
      </x:c>
      <x:c r="C717" s="115" t="str">
        <x:v>Ports</x:v>
      </x:c>
      <x:c r="D717" s="115" t="str">
        <x:v>Terminal conteneurs</x:v>
      </x:c>
      <x:c r="E717" s="115" t="n">
        <x:v>12</x:v>
      </x:c>
      <x:c r="F717" s="115" t="str">
        <x:v>Inspection physique</x:v>
      </x:c>
      <x:c r="G717" s="115" t="str">
        <x:v>1 niveaux ; 32 pièces ; 248 segments de mur ; 0 transitions. Inspection physique ; architecture complète encore ouverte.</x:v>
      </x:c>
      <x:c r="H717" s="115" t="str">
        <x:v>L 438 ; l 576 ; hauteur 36 m ; choix de composition auteur ; dimensions réelles à documenter</x:v>
      </x:c>
      <x:c r="I717" s="115" t="str">
        <x:v>À équilibrer</x:v>
      </x:c>
      <x:c r="J717" s="115" t="str">
        <x:v>Non</x:v>
      </x:c>
      <x:c r="K717" s="115" t="str">
        <x:v>Pièces décrites, murs, portes, niveaux et mobilier inspectables à l’échelle. Volumes réservés, raccord au seed, butin, rencontres et services de campagne restent à terminer.</x:v>
      </x:c>
    </x:row>
    <x:row r="718" ht="96" customHeight="1">
      <x:c r="A718" s="115" t="str">
        <x:v>EXT-MONDE-T015-V13</x:v>
      </x:c>
      <x:c r="B718" s="115" t="str">
        <x:v>EXT-MONDE-T015</x:v>
      </x:c>
      <x:c r="C718" s="115" t="str">
        <x:v>Ports</x:v>
      </x:c>
      <x:c r="D718" s="115" t="str">
        <x:v>Terminal conteneurs</x:v>
      </x:c>
      <x:c r="E718" s="115" t="n">
        <x:v>13</x:v>
      </x:c>
      <x:c r="F718" s="115" t="str">
        <x:v>Inspection physique</x:v>
      </x:c>
      <x:c r="G718" s="115" t="str">
        <x:v>1 niveaux ; 32 pièces ; 248 segments de mur ; 0 transitions. Inspection physique ; architecture complète encore ouverte.</x:v>
      </x:c>
      <x:c r="H718" s="115" t="str">
        <x:v>L 438 ; l 576 ; hauteur 36 m ; choix de composition auteur ; dimensions réelles à documenter</x:v>
      </x:c>
      <x:c r="I718" s="115" t="str">
        <x:v>À équilibrer</x:v>
      </x:c>
      <x:c r="J718" s="115" t="str">
        <x:v>Non</x:v>
      </x:c>
      <x:c r="K718" s="115" t="str">
        <x:v>Pièces décrites, murs, portes, niveaux et mobilier inspectables à l’échelle. Volumes réservés, raccord au seed, butin, rencontres et services de campagne restent à terminer.</x:v>
      </x:c>
    </x:row>
    <x:row r="719" ht="96" customHeight="1">
      <x:c r="A719" s="115" t="str">
        <x:v>EXT-MONDE-T015-V14</x:v>
      </x:c>
      <x:c r="B719" s="115" t="str">
        <x:v>EXT-MONDE-T015</x:v>
      </x:c>
      <x:c r="C719" s="115" t="str">
        <x:v>Ports</x:v>
      </x:c>
      <x:c r="D719" s="115" t="str">
        <x:v>Terminal conteneurs</x:v>
      </x:c>
      <x:c r="E719" s="115" t="n">
        <x:v>14</x:v>
      </x:c>
      <x:c r="F719" s="115" t="str">
        <x:v>Inspection physique</x:v>
      </x:c>
      <x:c r="G719" s="115" t="str">
        <x:v>1 niveaux ; 32 pièces ; 248 segments de mur ; 0 transitions. Inspection physique ; architecture complète encore ouverte.</x:v>
      </x:c>
      <x:c r="H719" s="115" t="str">
        <x:v>L 438 ; l 576 ; hauteur 36 m ; choix de composition auteur ; dimensions réelles à documenter</x:v>
      </x:c>
      <x:c r="I719" s="115" t="str">
        <x:v>À équilibrer</x:v>
      </x:c>
      <x:c r="J719" s="115" t="str">
        <x:v>Non</x:v>
      </x:c>
      <x:c r="K719" s="115" t="str">
        <x:v>Pièces décrites, murs, portes, niveaux et mobilier inspectables à l’échelle. Volumes réservés, raccord au seed, butin, rencontres et services de campagne restent à terminer.</x:v>
      </x:c>
    </x:row>
    <x:row r="720" ht="96" customHeight="1">
      <x:c r="A720" s="115" t="str">
        <x:v>EXT-MONDE-T015-V15</x:v>
      </x:c>
      <x:c r="B720" s="115" t="str">
        <x:v>EXT-MONDE-T015</x:v>
      </x:c>
      <x:c r="C720" s="115" t="str">
        <x:v>Ports</x:v>
      </x:c>
      <x:c r="D720" s="115" t="str">
        <x:v>Terminal conteneurs</x:v>
      </x:c>
      <x:c r="E720" s="115" t="n">
        <x:v>15</x:v>
      </x:c>
      <x:c r="F720" s="115" t="str">
        <x:v>Inspection physique</x:v>
      </x:c>
      <x:c r="G720" s="115" t="str">
        <x:v>1 niveaux ; 32 pièces ; 248 segments de mur ; 0 transitions. Inspection physique ; architecture complète encore ouverte.</x:v>
      </x:c>
      <x:c r="H720" s="115" t="str">
        <x:v>L 438 ; l 576 ; hauteur 36 m ; choix de composition auteur ; dimensions réelles à documenter</x:v>
      </x:c>
      <x:c r="I720" s="115" t="str">
        <x:v>À équilibrer</x:v>
      </x:c>
      <x:c r="J720" s="115" t="str">
        <x:v>Non</x:v>
      </x:c>
      <x:c r="K720" s="115" t="str">
        <x:v>Pièces décrites, murs, portes, niveaux et mobilier inspectables à l’échelle. Volumes réservés, raccord au seed, butin, rencontres et services de campagne restent à terminer.</x:v>
      </x:c>
    </x:row>
    <x:row r="721" ht="96" customHeight="1">
      <x:c r="A721" s="115" t="str">
        <x:v>EXT-MONDE-T015-V16</x:v>
      </x:c>
      <x:c r="B721" s="115" t="str">
        <x:v>EXT-MONDE-T015</x:v>
      </x:c>
      <x:c r="C721" s="115" t="str">
        <x:v>Ports</x:v>
      </x:c>
      <x:c r="D721" s="115" t="str">
        <x:v>Terminal conteneurs</x:v>
      </x:c>
      <x:c r="E721" s="115" t="n">
        <x:v>16</x:v>
      </x:c>
      <x:c r="F721" s="115" t="str">
        <x:v>Inspection physique</x:v>
      </x:c>
      <x:c r="G721" s="115" t="str">
        <x:v>1 niveaux ; 32 pièces ; 248 segments de mur ; 0 transitions. Inspection physique ; architecture complète encore ouverte.</x:v>
      </x:c>
      <x:c r="H721" s="115" t="str">
        <x:v>L 438 ; l 576 ; hauteur 36 m ; choix de composition auteur ; dimensions réelles à documenter</x:v>
      </x:c>
      <x:c r="I721" s="115" t="str">
        <x:v>À équilibrer</x:v>
      </x:c>
      <x:c r="J721" s="115" t="str">
        <x:v>Non</x:v>
      </x:c>
      <x:c r="K721" s="115" t="str">
        <x:v>Pièces décrites, murs, portes, niveaux et mobilier inspectables à l’échelle. Volumes réservés, raccord au seed, butin, rencontres et services de campagne restent à terminer.</x:v>
      </x:c>
    </x:row>
    <x:row r="722" ht="96" customHeight="1">
      <x:c r="A722" s="115" t="str">
        <x:v>EXT-MONDE-T015-V17</x:v>
      </x:c>
      <x:c r="B722" s="115" t="str">
        <x:v>EXT-MONDE-T015</x:v>
      </x:c>
      <x:c r="C722" s="115" t="str">
        <x:v>Ports</x:v>
      </x:c>
      <x:c r="D722" s="115" t="str">
        <x:v>Terminal conteneurs</x:v>
      </x:c>
      <x:c r="E722" s="115" t="n">
        <x:v>17</x:v>
      </x:c>
      <x:c r="F722" s="115" t="str">
        <x:v>Inspection physique</x:v>
      </x:c>
      <x:c r="G722" s="115" t="str">
        <x:v>1 niveaux ; 32 pièces ; 248 segments de mur ; 0 transitions. Inspection physique ; architecture complète encore ouverte.</x:v>
      </x:c>
      <x:c r="H722" s="115" t="str">
        <x:v>L 438 ; l 576 ; hauteur 36 m ; choix de composition auteur ; dimensions réelles à documenter</x:v>
      </x:c>
      <x:c r="I722" s="115" t="str">
        <x:v>À équilibrer</x:v>
      </x:c>
      <x:c r="J722" s="115" t="str">
        <x:v>Non</x:v>
      </x:c>
      <x:c r="K722" s="115" t="str">
        <x:v>Pièces décrites, murs, portes, niveaux et mobilier inspectables à l’échelle. Volumes réservés, raccord au seed, butin, rencontres et services de campagne restent à terminer.</x:v>
      </x:c>
    </x:row>
    <x:row r="723" ht="96" customHeight="1">
      <x:c r="A723" s="115" t="str">
        <x:v>EXT-MONDE-T015-V18</x:v>
      </x:c>
      <x:c r="B723" s="115" t="str">
        <x:v>EXT-MONDE-T015</x:v>
      </x:c>
      <x:c r="C723" s="115" t="str">
        <x:v>Ports</x:v>
      </x:c>
      <x:c r="D723" s="115" t="str">
        <x:v>Terminal conteneurs</x:v>
      </x:c>
      <x:c r="E723" s="115" t="n">
        <x:v>18</x:v>
      </x:c>
      <x:c r="F723" s="115" t="str">
        <x:v>Inspection physique</x:v>
      </x:c>
      <x:c r="G723" s="115" t="str">
        <x:v>1 niveaux ; 32 pièces ; 248 segments de mur ; 0 transitions. Inspection physique ; architecture complète encore ouverte.</x:v>
      </x:c>
      <x:c r="H723" s="115" t="str">
        <x:v>L 438 ; l 576 ; hauteur 36 m ; choix de composition auteur ; dimensions réelles à documenter</x:v>
      </x:c>
      <x:c r="I723" s="115" t="str">
        <x:v>À équilibrer</x:v>
      </x:c>
      <x:c r="J723" s="115" t="str">
        <x:v>Non</x:v>
      </x:c>
      <x:c r="K723" s="115" t="str">
        <x:v>Pièces décrites, murs, portes, niveaux et mobilier inspectables à l’échelle. Volumes réservés, raccord au seed, butin, rencontres et services de campagne restent à terminer.</x:v>
      </x:c>
    </x:row>
    <x:row r="724" ht="96" customHeight="1">
      <x:c r="A724" s="115" t="str">
        <x:v>EXT-MONDE-T015-V19</x:v>
      </x:c>
      <x:c r="B724" s="115" t="str">
        <x:v>EXT-MONDE-T015</x:v>
      </x:c>
      <x:c r="C724" s="115" t="str">
        <x:v>Ports</x:v>
      </x:c>
      <x:c r="D724" s="115" t="str">
        <x:v>Terminal conteneurs</x:v>
      </x:c>
      <x:c r="E724" s="115" t="n">
        <x:v>19</x:v>
      </x:c>
      <x:c r="F724" s="115" t="str">
        <x:v>Inspection physique</x:v>
      </x:c>
      <x:c r="G724" s="115" t="str">
        <x:v>1 niveaux ; 32 pièces ; 248 segments de mur ; 0 transitions. Inspection physique ; architecture complète encore ouverte.</x:v>
      </x:c>
      <x:c r="H724" s="115" t="str">
        <x:v>L 438 ; l 576 ; hauteur 36 m ; choix de composition auteur ; dimensions réelles à documenter</x:v>
      </x:c>
      <x:c r="I724" s="115" t="str">
        <x:v>À équilibrer</x:v>
      </x:c>
      <x:c r="J724" s="115" t="str">
        <x:v>Non</x:v>
      </x:c>
      <x:c r="K724" s="115" t="str">
        <x:v>Pièces décrites, murs, portes, niveaux et mobilier inspectables à l’échelle. Volumes réservés, raccord au seed, butin, rencontres et services de campagne restent à terminer.</x:v>
      </x:c>
    </x:row>
    <x:row r="725" ht="96" customHeight="1">
      <x:c r="A725" s="115" t="str">
        <x:v>EXT-MONDE-T015-V20</x:v>
      </x:c>
      <x:c r="B725" s="115" t="str">
        <x:v>EXT-MONDE-T015</x:v>
      </x:c>
      <x:c r="C725" s="115" t="str">
        <x:v>Ports</x:v>
      </x:c>
      <x:c r="D725" s="115" t="str">
        <x:v>Terminal conteneurs</x:v>
      </x:c>
      <x:c r="E725" s="115" t="n">
        <x:v>20</x:v>
      </x:c>
      <x:c r="F725" s="115" t="str">
        <x:v>Inspection physique</x:v>
      </x:c>
      <x:c r="G725" s="115" t="str">
        <x:v>1 niveaux ; 32 pièces ; 248 segments de mur ; 0 transitions. Inspection physique ; architecture complète encore ouverte.</x:v>
      </x:c>
      <x:c r="H725" s="115" t="str">
        <x:v>L 438 ; l 576 ; hauteur 36 m ; choix de composition auteur ; dimensions réelles à documenter</x:v>
      </x:c>
      <x:c r="I725" s="115" t="str">
        <x:v>À équilibrer</x:v>
      </x:c>
      <x:c r="J725" s="115" t="str">
        <x:v>Non</x:v>
      </x:c>
      <x:c r="K725" s="115" t="str">
        <x:v>Pièces décrites, murs, portes, niveaux et mobilier inspectables à l’échelle. Volumes réservés, raccord au seed, butin, rencontres et services de campagne restent à terminer.</x:v>
      </x:c>
    </x:row>
    <x:row r="726" ht="96" customHeight="1">
      <x:c r="A726" s="115" t="str">
        <x:v>EXT-MONDE-T015-V21</x:v>
      </x:c>
      <x:c r="B726" s="115" t="str">
        <x:v>EXT-MONDE-T015</x:v>
      </x:c>
      <x:c r="C726" s="115" t="str">
        <x:v>Ports</x:v>
      </x:c>
      <x:c r="D726" s="115" t="str">
        <x:v>Terminal conteneurs</x:v>
      </x:c>
      <x:c r="E726" s="115" t="n">
        <x:v>21</x:v>
      </x:c>
      <x:c r="F726" s="115" t="str">
        <x:v>Inspection physique</x:v>
      </x:c>
      <x:c r="G726" s="115" t="str">
        <x:v>1 niveaux ; 32 pièces ; 248 segments de mur ; 0 transitions. Inspection physique ; architecture complète encore ouverte.</x:v>
      </x:c>
      <x:c r="H726" s="115" t="str">
        <x:v>L 452 ; l 588 ; hauteur 36 m ; choix de composition auteur ; dimensions réelles à documenter</x:v>
      </x:c>
      <x:c r="I726" s="115" t="str">
        <x:v>À équilibrer</x:v>
      </x:c>
      <x:c r="J726" s="115" t="str">
        <x:v>Non</x:v>
      </x:c>
      <x:c r="K726" s="115" t="str">
        <x:v>Pièces décrites, murs, portes, niveaux et mobilier inspectables à l’échelle. Volumes réservés, raccord au seed, butin, rencontres et services de campagne restent à terminer.</x:v>
      </x:c>
    </x:row>
    <x:row r="727" ht="96" customHeight="1">
      <x:c r="A727" s="115" t="str">
        <x:v>EXT-MONDE-T015-V22</x:v>
      </x:c>
      <x:c r="B727" s="115" t="str">
        <x:v>EXT-MONDE-T015</x:v>
      </x:c>
      <x:c r="C727" s="115" t="str">
        <x:v>Ports</x:v>
      </x:c>
      <x:c r="D727" s="115" t="str">
        <x:v>Terminal conteneurs</x:v>
      </x:c>
      <x:c r="E727" s="115" t="n">
        <x:v>22</x:v>
      </x:c>
      <x:c r="F727" s="115" t="str">
        <x:v>Inspection physique</x:v>
      </x:c>
      <x:c r="G727" s="115" t="str">
        <x:v>1 niveaux ; 32 pièces ; 248 segments de mur ; 0 transitions. Inspection physique ; architecture complète encore ouverte.</x:v>
      </x:c>
      <x:c r="H727" s="115" t="str">
        <x:v>L 452 ; l 588 ; hauteur 36 m ; choix de composition auteur ; dimensions réelles à documenter</x:v>
      </x:c>
      <x:c r="I727" s="115" t="str">
        <x:v>À équilibrer</x:v>
      </x:c>
      <x:c r="J727" s="115" t="str">
        <x:v>Non</x:v>
      </x:c>
      <x:c r="K727" s="115" t="str">
        <x:v>Pièces décrites, murs, portes, niveaux et mobilier inspectables à l’échelle. Volumes réservés, raccord au seed, butin, rencontres et services de campagne restent à terminer.</x:v>
      </x:c>
    </x:row>
    <x:row r="728" ht="96" customHeight="1">
      <x:c r="A728" s="115" t="str">
        <x:v>EXT-MONDE-T015-V23</x:v>
      </x:c>
      <x:c r="B728" s="115" t="str">
        <x:v>EXT-MONDE-T015</x:v>
      </x:c>
      <x:c r="C728" s="115" t="str">
        <x:v>Ports</x:v>
      </x:c>
      <x:c r="D728" s="115" t="str">
        <x:v>Terminal conteneurs</x:v>
      </x:c>
      <x:c r="E728" s="115" t="n">
        <x:v>23</x:v>
      </x:c>
      <x:c r="F728" s="115" t="str">
        <x:v>Inspection physique</x:v>
      </x:c>
      <x:c r="G728" s="115" t="str">
        <x:v>1 niveaux ; 32 pièces ; 248 segments de mur ; 0 transitions. Inspection physique ; architecture complète encore ouverte.</x:v>
      </x:c>
      <x:c r="H728" s="115" t="str">
        <x:v>L 452 ; l 588 ; hauteur 36 m ; choix de composition auteur ; dimensions réelles à documenter</x:v>
      </x:c>
      <x:c r="I728" s="115" t="str">
        <x:v>À équilibrer</x:v>
      </x:c>
      <x:c r="J728" s="115" t="str">
        <x:v>Non</x:v>
      </x:c>
      <x:c r="K728" s="115" t="str">
        <x:v>Pièces décrites, murs, portes, niveaux et mobilier inspectables à l’échelle. Volumes réservés, raccord au seed, butin, rencontres et services de campagne restent à terminer.</x:v>
      </x:c>
    </x:row>
    <x:row r="729" ht="96" customHeight="1">
      <x:c r="A729" s="115" t="str">
        <x:v>EXT-MONDE-T015-V24</x:v>
      </x:c>
      <x:c r="B729" s="115" t="str">
        <x:v>EXT-MONDE-T015</x:v>
      </x:c>
      <x:c r="C729" s="115" t="str">
        <x:v>Ports</x:v>
      </x:c>
      <x:c r="D729" s="115" t="str">
        <x:v>Terminal conteneurs</x:v>
      </x:c>
      <x:c r="E729" s="115" t="n">
        <x:v>24</x:v>
      </x:c>
      <x:c r="F729" s="115" t="str">
        <x:v>Inspection physique</x:v>
      </x:c>
      <x:c r="G729" s="115" t="str">
        <x:v>1 niveaux ; 32 pièces ; 248 segments de mur ; 0 transitions. Inspection physique ; architecture complète encore ouverte.</x:v>
      </x:c>
      <x:c r="H729" s="115" t="str">
        <x:v>L 452 ; l 588 ; hauteur 36 m ; choix de composition auteur ; dimensions réelles à documenter</x:v>
      </x:c>
      <x:c r="I729" s="115" t="str">
        <x:v>À équilibrer</x:v>
      </x:c>
      <x:c r="J729" s="115" t="str">
        <x:v>Non</x:v>
      </x:c>
      <x:c r="K729" s="115" t="str">
        <x:v>Pièces décrites, murs, portes, niveaux et mobilier inspectables à l’échelle. Volumes réservés, raccord au seed, butin, rencontres et services de campagne restent à terminer.</x:v>
      </x:c>
    </x:row>
    <x:row r="730" ht="96" customHeight="1">
      <x:c r="A730" s="115" t="str">
        <x:v>EXT-MONDE-T015-V25</x:v>
      </x:c>
      <x:c r="B730" s="115" t="str">
        <x:v>EXT-MONDE-T015</x:v>
      </x:c>
      <x:c r="C730" s="115" t="str">
        <x:v>Ports</x:v>
      </x:c>
      <x:c r="D730" s="115" t="str">
        <x:v>Terminal conteneurs</x:v>
      </x:c>
      <x:c r="E730" s="115" t="n">
        <x:v>25</x:v>
      </x:c>
      <x:c r="F730" s="115" t="str">
        <x:v>Inspection physique</x:v>
      </x:c>
      <x:c r="G730" s="115" t="str">
        <x:v>1 niveaux ; 32 pièces ; 248 segments de mur ; 0 transitions. Inspection physique ; architecture complète encore ouverte.</x:v>
      </x:c>
      <x:c r="H730" s="115" t="str">
        <x:v>L 452 ; l 588 ; hauteur 36 m ; choix de composition auteur ; dimensions réelles à documenter</x:v>
      </x:c>
      <x:c r="I730" s="115" t="str">
        <x:v>À équilibrer</x:v>
      </x:c>
      <x:c r="J730" s="115" t="str">
        <x:v>Non</x:v>
      </x:c>
      <x:c r="K730" s="115" t="str">
        <x:v>Pièces décrites, murs, portes, niveaux et mobilier inspectables à l’échelle. Volumes réservés, raccord au seed, butin, rencontres et services de campagne restent à terminer.</x:v>
      </x:c>
    </x:row>
    <x:row r="731" ht="96" customHeight="1">
      <x:c r="A731" s="115" t="str">
        <x:v>EXT-MONDE-T015-V26</x:v>
      </x:c>
      <x:c r="B731" s="115" t="str">
        <x:v>EXT-MONDE-T015</x:v>
      </x:c>
      <x:c r="C731" s="115" t="str">
        <x:v>Ports</x:v>
      </x:c>
      <x:c r="D731" s="115" t="str">
        <x:v>Terminal conteneurs</x:v>
      </x:c>
      <x:c r="E731" s="115" t="n">
        <x:v>26</x:v>
      </x:c>
      <x:c r="F731" s="115" t="str">
        <x:v>Inspection physique</x:v>
      </x:c>
      <x:c r="G731" s="115" t="str">
        <x:v>1 niveaux ; 32 pièces ; 248 segments de mur ; 0 transitions. Inspection physique ; architecture complète encore ouverte.</x:v>
      </x:c>
      <x:c r="H731" s="115" t="str">
        <x:v>L 452 ; l 588 ; hauteur 36 m ; choix de composition auteur ; dimensions réelles à documenter</x:v>
      </x:c>
      <x:c r="I731" s="115" t="str">
        <x:v>À équilibrer</x:v>
      </x:c>
      <x:c r="J731" s="115" t="str">
        <x:v>Non</x:v>
      </x:c>
      <x:c r="K731" s="115" t="str">
        <x:v>Pièces décrites, murs, portes, niveaux et mobilier inspectables à l’échelle. Volumes réservés, raccord au seed, butin, rencontres et services de campagne restent à terminer.</x:v>
      </x:c>
    </x:row>
    <x:row r="732" ht="96" customHeight="1">
      <x:c r="A732" s="115" t="str">
        <x:v>EXT-MONDE-T015-V27</x:v>
      </x:c>
      <x:c r="B732" s="115" t="str">
        <x:v>EXT-MONDE-T015</x:v>
      </x:c>
      <x:c r="C732" s="115" t="str">
        <x:v>Ports</x:v>
      </x:c>
      <x:c r="D732" s="115" t="str">
        <x:v>Terminal conteneurs</x:v>
      </x:c>
      <x:c r="E732" s="115" t="n">
        <x:v>27</x:v>
      </x:c>
      <x:c r="F732" s="115" t="str">
        <x:v>Inspection physique</x:v>
      </x:c>
      <x:c r="G732" s="115" t="str">
        <x:v>1 niveaux ; 32 pièces ; 248 segments de mur ; 0 transitions. Inspection physique ; architecture complète encore ouverte.</x:v>
      </x:c>
      <x:c r="H732" s="115" t="str">
        <x:v>L 452 ; l 588 ; hauteur 36 m ; choix de composition auteur ; dimensions réelles à documenter</x:v>
      </x:c>
      <x:c r="I732" s="115" t="str">
        <x:v>À équilibrer</x:v>
      </x:c>
      <x:c r="J732" s="115" t="str">
        <x:v>Non</x:v>
      </x:c>
      <x:c r="K732" s="115" t="str">
        <x:v>Pièces décrites, murs, portes, niveaux et mobilier inspectables à l’échelle. Volumes réservés, raccord au seed, butin, rencontres et services de campagne restent à terminer.</x:v>
      </x:c>
    </x:row>
    <x:row r="733" ht="96" customHeight="1">
      <x:c r="A733" s="115" t="str">
        <x:v>EXT-MONDE-T015-V28</x:v>
      </x:c>
      <x:c r="B733" s="115" t="str">
        <x:v>EXT-MONDE-T015</x:v>
      </x:c>
      <x:c r="C733" s="115" t="str">
        <x:v>Ports</x:v>
      </x:c>
      <x:c r="D733" s="115" t="str">
        <x:v>Terminal conteneurs</x:v>
      </x:c>
      <x:c r="E733" s="115" t="n">
        <x:v>28</x:v>
      </x:c>
      <x:c r="F733" s="115" t="str">
        <x:v>Inspection physique</x:v>
      </x:c>
      <x:c r="G733" s="115" t="str">
        <x:v>1 niveaux ; 32 pièces ; 248 segments de mur ; 0 transitions. Inspection physique ; architecture complète encore ouverte.</x:v>
      </x:c>
      <x:c r="H733" s="115" t="str">
        <x:v>L 452 ; l 588 ; hauteur 36 m ; choix de composition auteur ; dimensions réelles à documenter</x:v>
      </x:c>
      <x:c r="I733" s="115" t="str">
        <x:v>À équilibrer</x:v>
      </x:c>
      <x:c r="J733" s="115" t="str">
        <x:v>Non</x:v>
      </x:c>
      <x:c r="K733" s="115" t="str">
        <x:v>Pièces décrites, murs, portes, niveaux et mobilier inspectables à l’échelle. Volumes réservés, raccord au seed, butin, rencontres et services de campagne restent à terminer.</x:v>
      </x:c>
    </x:row>
    <x:row r="734" ht="96" customHeight="1">
      <x:c r="A734" s="115" t="str">
        <x:v>EXT-MONDE-T015-V29</x:v>
      </x:c>
      <x:c r="B734" s="115" t="str">
        <x:v>EXT-MONDE-T015</x:v>
      </x:c>
      <x:c r="C734" s="115" t="str">
        <x:v>Ports</x:v>
      </x:c>
      <x:c r="D734" s="115" t="str">
        <x:v>Terminal conteneurs</x:v>
      </x:c>
      <x:c r="E734" s="115" t="n">
        <x:v>29</x:v>
      </x:c>
      <x:c r="F734" s="115" t="str">
        <x:v>Inspection physique</x:v>
      </x:c>
      <x:c r="G734" s="115" t="str">
        <x:v>1 niveaux ; 32 pièces ; 248 segments de mur ; 0 transitions. Inspection physique ; architecture complète encore ouverte.</x:v>
      </x:c>
      <x:c r="H734" s="115" t="str">
        <x:v>L 452 ; l 588 ; hauteur 36 m ; choix de composition auteur ; dimensions réelles à documenter</x:v>
      </x:c>
      <x:c r="I734" s="115" t="str">
        <x:v>À équilibrer</x:v>
      </x:c>
      <x:c r="J734" s="115" t="str">
        <x:v>Non</x:v>
      </x:c>
      <x:c r="K734" s="115" t="str">
        <x:v>Pièces décrites, murs, portes, niveaux et mobilier inspectables à l’échelle. Volumes réservés, raccord au seed, butin, rencontres et services de campagne restent à terminer.</x:v>
      </x:c>
    </x:row>
    <x:row r="735" ht="96" customHeight="1">
      <x:c r="A735" s="115" t="str">
        <x:v>EXT-MONDE-T015-V30</x:v>
      </x:c>
      <x:c r="B735" s="115" t="str">
        <x:v>EXT-MONDE-T015</x:v>
      </x:c>
      <x:c r="C735" s="115" t="str">
        <x:v>Ports</x:v>
      </x:c>
      <x:c r="D735" s="115" t="str">
        <x:v>Terminal conteneurs</x:v>
      </x:c>
      <x:c r="E735" s="115" t="n">
        <x:v>30</x:v>
      </x:c>
      <x:c r="F735" s="115" t="str">
        <x:v>Inspection physique</x:v>
      </x:c>
      <x:c r="G735" s="115" t="str">
        <x:v>1 niveaux ; 32 pièces ; 248 segments de mur ; 0 transitions. Inspection physique ; architecture complète encore ouverte.</x:v>
      </x:c>
      <x:c r="H735" s="115" t="str">
        <x:v>L 452 ; l 588 ; hauteur 36 m ; choix de composition auteur ; dimensions réelles à documenter</x:v>
      </x:c>
      <x:c r="I735" s="115" t="str">
        <x:v>À équilibrer</x:v>
      </x:c>
      <x:c r="J735" s="115" t="str">
        <x:v>Non</x:v>
      </x:c>
      <x:c r="K735" s="115" t="str">
        <x:v>Pièces décrites, murs, portes, niveaux et mobilier inspectables à l’échelle. Volumes réservés, raccord au seed, butin, rencontres et services de campagne restent à terminer.</x:v>
      </x:c>
    </x:row>
    <x:row r="736" ht="96" customHeight="1">
      <x:c r="A736" s="115" t="str">
        <x:v>EXT-MONDE-T015-V31</x:v>
      </x:c>
      <x:c r="B736" s="115" t="str">
        <x:v>EXT-MONDE-T015</x:v>
      </x:c>
      <x:c r="C736" s="115" t="str">
        <x:v>Ports</x:v>
      </x:c>
      <x:c r="D736" s="115" t="str">
        <x:v>Terminal conteneurs</x:v>
      </x:c>
      <x:c r="E736" s="115" t="n">
        <x:v>31</x:v>
      </x:c>
      <x:c r="F736" s="115" t="str">
        <x:v>Inspection physique</x:v>
      </x:c>
      <x:c r="G736" s="115" t="str">
        <x:v>1 niveaux ; 32 pièces ; 248 segments de mur ; 0 transitions. Inspection physique ; architecture complète encore ouverte.</x:v>
      </x:c>
      <x:c r="H736" s="115" t="str">
        <x:v>L 466 ; l 600 ; hauteur 36 m ; choix de composition auteur ; dimensions réelles à documenter</x:v>
      </x:c>
      <x:c r="I736" s="115" t="str">
        <x:v>À équilibrer</x:v>
      </x:c>
      <x:c r="J736" s="115" t="str">
        <x:v>Non</x:v>
      </x:c>
      <x:c r="K736" s="115" t="str">
        <x:v>Pièces décrites, murs, portes, niveaux et mobilier inspectables à l’échelle. Volumes réservés, raccord au seed, butin, rencontres et services de campagne restent à terminer.</x:v>
      </x:c>
    </x:row>
    <x:row r="737" ht="96" customHeight="1">
      <x:c r="A737" s="115" t="str">
        <x:v>EXT-MONDE-T015-V32</x:v>
      </x:c>
      <x:c r="B737" s="115" t="str">
        <x:v>EXT-MONDE-T015</x:v>
      </x:c>
      <x:c r="C737" s="115" t="str">
        <x:v>Ports</x:v>
      </x:c>
      <x:c r="D737" s="115" t="str">
        <x:v>Terminal conteneurs</x:v>
      </x:c>
      <x:c r="E737" s="115" t="n">
        <x:v>32</x:v>
      </x:c>
      <x:c r="F737" s="115" t="str">
        <x:v>Inspection physique</x:v>
      </x:c>
      <x:c r="G737" s="115" t="str">
        <x:v>1 niveaux ; 32 pièces ; 248 segments de mur ; 0 transitions. Inspection physique ; architecture complète encore ouverte.</x:v>
      </x:c>
      <x:c r="H737" s="115" t="str">
        <x:v>L 466 ; l 600 ; hauteur 36 m ; choix de composition auteur ; dimensions réelles à documenter</x:v>
      </x:c>
      <x:c r="I737" s="115" t="str">
        <x:v>À équilibrer</x:v>
      </x:c>
      <x:c r="J737" s="115" t="str">
        <x:v>Non</x:v>
      </x:c>
      <x:c r="K737" s="115" t="str">
        <x:v>Pièces décrites, murs, portes, niveaux et mobilier inspectables à l’échelle. Volumes réservés, raccord au seed, butin, rencontres et services de campagne restent à terminer.</x:v>
      </x:c>
    </x:row>
    <x:row r="738" ht="96" customHeight="1">
      <x:c r="A738" s="115" t="str">
        <x:v>EXT-MONDE-T015-V33</x:v>
      </x:c>
      <x:c r="B738" s="115" t="str">
        <x:v>EXT-MONDE-T015</x:v>
      </x:c>
      <x:c r="C738" s="115" t="str">
        <x:v>Ports</x:v>
      </x:c>
      <x:c r="D738" s="115" t="str">
        <x:v>Terminal conteneurs</x:v>
      </x:c>
      <x:c r="E738" s="115" t="n">
        <x:v>33</x:v>
      </x:c>
      <x:c r="F738" s="115" t="str">
        <x:v>Inspection physique</x:v>
      </x:c>
      <x:c r="G738" s="115" t="str">
        <x:v>1 niveaux ; 32 pièces ; 248 segments de mur ; 0 transitions. Inspection physique ; architecture complète encore ouverte.</x:v>
      </x:c>
      <x:c r="H738" s="115" t="str">
        <x:v>L 466 ; l 600 ; hauteur 36 m ; choix de composition auteur ; dimensions réelles à documenter</x:v>
      </x:c>
      <x:c r="I738" s="115" t="str">
        <x:v>À équilibrer</x:v>
      </x:c>
      <x:c r="J738" s="115" t="str">
        <x:v>Non</x:v>
      </x:c>
      <x:c r="K738" s="115" t="str">
        <x:v>Pièces décrites, murs, portes, niveaux et mobilier inspectables à l’échelle. Volumes réservés, raccord au seed, butin, rencontres et services de campagne restent à terminer.</x:v>
      </x:c>
    </x:row>
    <x:row r="739" ht="96" customHeight="1">
      <x:c r="A739" s="115" t="str">
        <x:v>EXT-MONDE-T015-V34</x:v>
      </x:c>
      <x:c r="B739" s="115" t="str">
        <x:v>EXT-MONDE-T015</x:v>
      </x:c>
      <x:c r="C739" s="115" t="str">
        <x:v>Ports</x:v>
      </x:c>
      <x:c r="D739" s="115" t="str">
        <x:v>Terminal conteneurs</x:v>
      </x:c>
      <x:c r="E739" s="115" t="n">
        <x:v>34</x:v>
      </x:c>
      <x:c r="F739" s="115" t="str">
        <x:v>Inspection physique</x:v>
      </x:c>
      <x:c r="G739" s="115" t="str">
        <x:v>1 niveaux ; 32 pièces ; 248 segments de mur ; 0 transitions. Inspection physique ; architecture complète encore ouverte.</x:v>
      </x:c>
      <x:c r="H739" s="115" t="str">
        <x:v>L 466 ; l 600 ; hauteur 36 m ; choix de composition auteur ; dimensions réelles à documenter</x:v>
      </x:c>
      <x:c r="I739" s="115" t="str">
        <x:v>À équilibrer</x:v>
      </x:c>
      <x:c r="J739" s="115" t="str">
        <x:v>Non</x:v>
      </x:c>
      <x:c r="K739" s="115" t="str">
        <x:v>Pièces décrites, murs, portes, niveaux et mobilier inspectables à l’échelle. Volumes réservés, raccord au seed, butin, rencontres et services de campagne restent à terminer.</x:v>
      </x:c>
    </x:row>
    <x:row r="740" ht="96" customHeight="1">
      <x:c r="A740" s="115" t="str">
        <x:v>EXT-MONDE-T015-V35</x:v>
      </x:c>
      <x:c r="B740" s="115" t="str">
        <x:v>EXT-MONDE-T015</x:v>
      </x:c>
      <x:c r="C740" s="115" t="str">
        <x:v>Ports</x:v>
      </x:c>
      <x:c r="D740" s="115" t="str">
        <x:v>Terminal conteneurs</x:v>
      </x:c>
      <x:c r="E740" s="115" t="n">
        <x:v>35</x:v>
      </x:c>
      <x:c r="F740" s="115" t="str">
        <x:v>Inspection physique</x:v>
      </x:c>
      <x:c r="G740" s="115" t="str">
        <x:v>1 niveaux ; 32 pièces ; 248 segments de mur ; 0 transitions. Inspection physique ; architecture complète encore ouverte.</x:v>
      </x:c>
      <x:c r="H740" s="115" t="str">
        <x:v>L 466 ; l 600 ; hauteur 36 m ; choix de composition auteur ; dimensions réelles à documenter</x:v>
      </x:c>
      <x:c r="I740" s="115" t="str">
        <x:v>À équilibrer</x:v>
      </x:c>
      <x:c r="J740" s="115" t="str">
        <x:v>Non</x:v>
      </x:c>
      <x:c r="K740" s="115" t="str">
        <x:v>Pièces décrites, murs, portes, niveaux et mobilier inspectables à l’échelle. Volumes réservés, raccord au seed, butin, rencontres et services de campagne restent à terminer.</x:v>
      </x:c>
    </x:row>
    <x:row r="741" ht="96" customHeight="1">
      <x:c r="A741" s="115" t="str">
        <x:v>EXT-MONDE-T015-V36</x:v>
      </x:c>
      <x:c r="B741" s="115" t="str">
        <x:v>EXT-MONDE-T015</x:v>
      </x:c>
      <x:c r="C741" s="115" t="str">
        <x:v>Ports</x:v>
      </x:c>
      <x:c r="D741" s="115" t="str">
        <x:v>Terminal conteneurs</x:v>
      </x:c>
      <x:c r="E741" s="115" t="n">
        <x:v>36</x:v>
      </x:c>
      <x:c r="F741" s="115" t="str">
        <x:v>Inspection physique</x:v>
      </x:c>
      <x:c r="G741" s="115" t="str">
        <x:v>1 niveaux ; 32 pièces ; 248 segments de mur ; 0 transitions. Inspection physique ; architecture complète encore ouverte.</x:v>
      </x:c>
      <x:c r="H741" s="115" t="str">
        <x:v>L 466 ; l 600 ; hauteur 36 m ; choix de composition auteur ; dimensions réelles à documenter</x:v>
      </x:c>
      <x:c r="I741" s="115" t="str">
        <x:v>À équilibrer</x:v>
      </x:c>
      <x:c r="J741" s="115" t="str">
        <x:v>Non</x:v>
      </x:c>
      <x:c r="K741" s="115" t="str">
        <x:v>Pièces décrites, murs, portes, niveaux et mobilier inspectables à l’échelle. Volumes réservés, raccord au seed, butin, rencontres et services de campagne restent à terminer.</x:v>
      </x:c>
    </x:row>
    <x:row r="742" ht="96" customHeight="1">
      <x:c r="A742" s="115" t="str">
        <x:v>EXT-MONDE-T015-V37</x:v>
      </x:c>
      <x:c r="B742" s="115" t="str">
        <x:v>EXT-MONDE-T015</x:v>
      </x:c>
      <x:c r="C742" s="115" t="str">
        <x:v>Ports</x:v>
      </x:c>
      <x:c r="D742" s="115" t="str">
        <x:v>Terminal conteneurs</x:v>
      </x:c>
      <x:c r="E742" s="115" t="n">
        <x:v>37</x:v>
      </x:c>
      <x:c r="F742" s="115" t="str">
        <x:v>Inspection physique</x:v>
      </x:c>
      <x:c r="G742" s="115" t="str">
        <x:v>1 niveaux ; 32 pièces ; 248 segments de mur ; 0 transitions. Inspection physique ; architecture complète encore ouverte.</x:v>
      </x:c>
      <x:c r="H742" s="115" t="str">
        <x:v>L 466 ; l 600 ; hauteur 36 m ; choix de composition auteur ; dimensions réelles à documenter</x:v>
      </x:c>
      <x:c r="I742" s="115" t="str">
        <x:v>À équilibrer</x:v>
      </x:c>
      <x:c r="J742" s="115" t="str">
        <x:v>Non</x:v>
      </x:c>
      <x:c r="K742" s="115" t="str">
        <x:v>Pièces décrites, murs, portes, niveaux et mobilier inspectables à l’échelle. Volumes réservés, raccord au seed, butin, rencontres et services de campagne restent à terminer.</x:v>
      </x:c>
    </x:row>
    <x:row r="743" ht="96" customHeight="1">
      <x:c r="A743" s="115" t="str">
        <x:v>EXT-MONDE-T015-V38</x:v>
      </x:c>
      <x:c r="B743" s="115" t="str">
        <x:v>EXT-MONDE-T015</x:v>
      </x:c>
      <x:c r="C743" s="115" t="str">
        <x:v>Ports</x:v>
      </x:c>
      <x:c r="D743" s="115" t="str">
        <x:v>Terminal conteneurs</x:v>
      </x:c>
      <x:c r="E743" s="115" t="n">
        <x:v>38</x:v>
      </x:c>
      <x:c r="F743" s="115" t="str">
        <x:v>Inspection physique</x:v>
      </x:c>
      <x:c r="G743" s="115" t="str">
        <x:v>1 niveaux ; 32 pièces ; 248 segments de mur ; 0 transitions. Inspection physique ; architecture complète encore ouverte.</x:v>
      </x:c>
      <x:c r="H743" s="115" t="str">
        <x:v>L 466 ; l 600 ; hauteur 36 m ; choix de composition auteur ; dimensions réelles à documenter</x:v>
      </x:c>
      <x:c r="I743" s="115" t="str">
        <x:v>À équilibrer</x:v>
      </x:c>
      <x:c r="J743" s="115" t="str">
        <x:v>Non</x:v>
      </x:c>
      <x:c r="K743" s="115" t="str">
        <x:v>Pièces décrites, murs, portes, niveaux et mobilier inspectables à l’échelle. Volumes réservés, raccord au seed, butin, rencontres et services de campagne restent à terminer.</x:v>
      </x:c>
    </x:row>
    <x:row r="744" ht="96" customHeight="1">
      <x:c r="A744" s="115" t="str">
        <x:v>EXT-MONDE-T015-V39</x:v>
      </x:c>
      <x:c r="B744" s="115" t="str">
        <x:v>EXT-MONDE-T015</x:v>
      </x:c>
      <x:c r="C744" s="115" t="str">
        <x:v>Ports</x:v>
      </x:c>
      <x:c r="D744" s="115" t="str">
        <x:v>Terminal conteneurs</x:v>
      </x:c>
      <x:c r="E744" s="115" t="n">
        <x:v>39</x:v>
      </x:c>
      <x:c r="F744" s="115" t="str">
        <x:v>Inspection physique</x:v>
      </x:c>
      <x:c r="G744" s="115" t="str">
        <x:v>1 niveaux ; 32 pièces ; 248 segments de mur ; 0 transitions. Inspection physique ; architecture complète encore ouverte.</x:v>
      </x:c>
      <x:c r="H744" s="115" t="str">
        <x:v>L 466 ; l 600 ; hauteur 36 m ; choix de composition auteur ; dimensions réelles à documenter</x:v>
      </x:c>
      <x:c r="I744" s="115" t="str">
        <x:v>À équilibrer</x:v>
      </x:c>
      <x:c r="J744" s="115" t="str">
        <x:v>Non</x:v>
      </x:c>
      <x:c r="K744" s="115" t="str">
        <x:v>Pièces décrites, murs, portes, niveaux et mobilier inspectables à l’échelle. Volumes réservés, raccord au seed, butin, rencontres et services de campagne restent à terminer.</x:v>
      </x:c>
    </x:row>
    <x:row r="745" ht="96" customHeight="1">
      <x:c r="A745" s="115" t="str">
        <x:v>EXT-MONDE-T015-V40</x:v>
      </x:c>
      <x:c r="B745" s="115" t="str">
        <x:v>EXT-MONDE-T015</x:v>
      </x:c>
      <x:c r="C745" s="115" t="str">
        <x:v>Ports</x:v>
      </x:c>
      <x:c r="D745" s="115" t="str">
        <x:v>Terminal conteneurs</x:v>
      </x:c>
      <x:c r="E745" s="115" t="n">
        <x:v>40</x:v>
      </x:c>
      <x:c r="F745" s="115" t="str">
        <x:v>Inspection physique</x:v>
      </x:c>
      <x:c r="G745" s="115" t="str">
        <x:v>1 niveaux ; 32 pièces ; 248 segments de mur ; 0 transitions. Inspection physique ; architecture complète encore ouverte.</x:v>
      </x:c>
      <x:c r="H745" s="115" t="str">
        <x:v>L 466 ; l 600 ; hauteur 36 m ; choix de composition auteur ; dimensions réelles à documenter</x:v>
      </x:c>
      <x:c r="I745" s="115" t="str">
        <x:v>À équilibrer</x:v>
      </x:c>
      <x:c r="J745" s="115" t="str">
        <x:v>Non</x:v>
      </x:c>
      <x:c r="K745" s="115" t="str">
        <x:v>Pièces décrites, murs, portes, niveaux et mobilier inspectables à l’échelle. Volumes réservés, raccord au seed, butin, rencontres et services de campagne restent à terminer.</x:v>
      </x:c>
    </x:row>
    <x:row r="746" ht="96" customHeight="1">
      <x:c r="A746" s="115" t="str">
        <x:v>EXT-MONDE-T015-V41</x:v>
      </x:c>
      <x:c r="B746" s="115" t="str">
        <x:v>EXT-MONDE-T015</x:v>
      </x:c>
      <x:c r="C746" s="115" t="str">
        <x:v>Ports</x:v>
      </x:c>
      <x:c r="D746" s="115" t="str">
        <x:v>Terminal conteneurs</x:v>
      </x:c>
      <x:c r="E746" s="115" t="n">
        <x:v>41</x:v>
      </x:c>
      <x:c r="F746" s="115" t="str">
        <x:v>Inspection physique</x:v>
      </x:c>
      <x:c r="G746" s="115" t="str">
        <x:v>1 niveaux ; 32 pièces ; 248 segments de mur ; 0 transitions. Inspection physique ; architecture complète encore ouverte.</x:v>
      </x:c>
      <x:c r="H746" s="115" t="str">
        <x:v>L 480 ; l 612 ; hauteur 36 m ; choix de composition auteur ; dimensions réelles à documenter</x:v>
      </x:c>
      <x:c r="I746" s="115" t="str">
        <x:v>À équilibrer</x:v>
      </x:c>
      <x:c r="J746" s="115" t="str">
        <x:v>Non</x:v>
      </x:c>
      <x:c r="K746" s="115" t="str">
        <x:v>Pièces décrites, murs, portes, niveaux et mobilier inspectables à l’échelle. Volumes réservés, raccord au seed, butin, rencontres et services de campagne restent à terminer.</x:v>
      </x:c>
    </x:row>
    <x:row r="747" ht="96" customHeight="1">
      <x:c r="A747" s="115" t="str">
        <x:v>EXT-MONDE-T015-V42</x:v>
      </x:c>
      <x:c r="B747" s="115" t="str">
        <x:v>EXT-MONDE-T015</x:v>
      </x:c>
      <x:c r="C747" s="115" t="str">
        <x:v>Ports</x:v>
      </x:c>
      <x:c r="D747" s="115" t="str">
        <x:v>Terminal conteneurs</x:v>
      </x:c>
      <x:c r="E747" s="115" t="n">
        <x:v>42</x:v>
      </x:c>
      <x:c r="F747" s="115" t="str">
        <x:v>Inspection physique</x:v>
      </x:c>
      <x:c r="G747" s="115" t="str">
        <x:v>1 niveaux ; 32 pièces ; 248 segments de mur ; 0 transitions. Inspection physique ; architecture complète encore ouverte.</x:v>
      </x:c>
      <x:c r="H747" s="115" t="str">
        <x:v>L 480 ; l 612 ; hauteur 36 m ; choix de composition auteur ; dimensions réelles à documenter</x:v>
      </x:c>
      <x:c r="I747" s="115" t="str">
        <x:v>À équilibrer</x:v>
      </x:c>
      <x:c r="J747" s="115" t="str">
        <x:v>Non</x:v>
      </x:c>
      <x:c r="K747" s="115" t="str">
        <x:v>Pièces décrites, murs, portes, niveaux et mobilier inspectables à l’échelle. Volumes réservés, raccord au seed, butin, rencontres et services de campagne restent à terminer.</x:v>
      </x:c>
    </x:row>
    <x:row r="748" ht="96" customHeight="1">
      <x:c r="A748" s="115" t="str">
        <x:v>EXT-MONDE-T015-V43</x:v>
      </x:c>
      <x:c r="B748" s="115" t="str">
        <x:v>EXT-MONDE-T015</x:v>
      </x:c>
      <x:c r="C748" s="115" t="str">
        <x:v>Ports</x:v>
      </x:c>
      <x:c r="D748" s="115" t="str">
        <x:v>Terminal conteneurs</x:v>
      </x:c>
      <x:c r="E748" s="115" t="n">
        <x:v>43</x:v>
      </x:c>
      <x:c r="F748" s="115" t="str">
        <x:v>Inspection physique</x:v>
      </x:c>
      <x:c r="G748" s="115" t="str">
        <x:v>1 niveaux ; 32 pièces ; 248 segments de mur ; 0 transitions. Inspection physique ; architecture complète encore ouverte.</x:v>
      </x:c>
      <x:c r="H748" s="115" t="str">
        <x:v>L 480 ; l 612 ; hauteur 36 m ; choix de composition auteur ; dimensions réelles à documenter</x:v>
      </x:c>
      <x:c r="I748" s="115" t="str">
        <x:v>À équilibrer</x:v>
      </x:c>
      <x:c r="J748" s="115" t="str">
        <x:v>Non</x:v>
      </x:c>
      <x:c r="K748" s="115" t="str">
        <x:v>Pièces décrites, murs, portes, niveaux et mobilier inspectables à l’échelle. Volumes réservés, raccord au seed, butin, rencontres et services de campagne restent à terminer.</x:v>
      </x:c>
    </x:row>
    <x:row r="749" ht="96" customHeight="1">
      <x:c r="A749" s="115" t="str">
        <x:v>EXT-MONDE-T015-V44</x:v>
      </x:c>
      <x:c r="B749" s="115" t="str">
        <x:v>EXT-MONDE-T015</x:v>
      </x:c>
      <x:c r="C749" s="115" t="str">
        <x:v>Ports</x:v>
      </x:c>
      <x:c r="D749" s="115" t="str">
        <x:v>Terminal conteneurs</x:v>
      </x:c>
      <x:c r="E749" s="115" t="n">
        <x:v>44</x:v>
      </x:c>
      <x:c r="F749" s="115" t="str">
        <x:v>Inspection physique</x:v>
      </x:c>
      <x:c r="G749" s="115" t="str">
        <x:v>1 niveaux ; 32 pièces ; 248 segments de mur ; 0 transitions. Inspection physique ; architecture complète encore ouverte.</x:v>
      </x:c>
      <x:c r="H749" s="115" t="str">
        <x:v>L 480 ; l 612 ; hauteur 36 m ; choix de composition auteur ; dimensions réelles à documenter</x:v>
      </x:c>
      <x:c r="I749" s="115" t="str">
        <x:v>À équilibrer</x:v>
      </x:c>
      <x:c r="J749" s="115" t="str">
        <x:v>Non</x:v>
      </x:c>
      <x:c r="K749" s="115" t="str">
        <x:v>Pièces décrites, murs, portes, niveaux et mobilier inspectables à l’échelle. Volumes réservés, raccord au seed, butin, rencontres et services de campagne restent à terminer.</x:v>
      </x:c>
    </x:row>
    <x:row r="750" ht="96" customHeight="1">
      <x:c r="A750" s="115" t="str">
        <x:v>EXT-MONDE-T015-V45</x:v>
      </x:c>
      <x:c r="B750" s="115" t="str">
        <x:v>EXT-MONDE-T015</x:v>
      </x:c>
      <x:c r="C750" s="115" t="str">
        <x:v>Ports</x:v>
      </x:c>
      <x:c r="D750" s="115" t="str">
        <x:v>Terminal conteneurs</x:v>
      </x:c>
      <x:c r="E750" s="115" t="n">
        <x:v>45</x:v>
      </x:c>
      <x:c r="F750" s="115" t="str">
        <x:v>Inspection physique</x:v>
      </x:c>
      <x:c r="G750" s="115" t="str">
        <x:v>1 niveaux ; 32 pièces ; 248 segments de mur ; 0 transitions. Inspection physique ; architecture complète encore ouverte.</x:v>
      </x:c>
      <x:c r="H750" s="115" t="str">
        <x:v>L 480 ; l 612 ; hauteur 36 m ; choix de composition auteur ; dimensions réelles à documenter</x:v>
      </x:c>
      <x:c r="I750" s="115" t="str">
        <x:v>À équilibrer</x:v>
      </x:c>
      <x:c r="J750" s="115" t="str">
        <x:v>Non</x:v>
      </x:c>
      <x:c r="K750" s="115" t="str">
        <x:v>Pièces décrites, murs, portes, niveaux et mobilier inspectables à l’échelle. Volumes réservés, raccord au seed, butin, rencontres et services de campagne restent à terminer.</x:v>
      </x:c>
    </x:row>
    <x:row r="751" ht="96" customHeight="1">
      <x:c r="A751" s="115" t="str">
        <x:v>EXT-MONDE-T015-V46</x:v>
      </x:c>
      <x:c r="B751" s="115" t="str">
        <x:v>EXT-MONDE-T015</x:v>
      </x:c>
      <x:c r="C751" s="115" t="str">
        <x:v>Ports</x:v>
      </x:c>
      <x:c r="D751" s="115" t="str">
        <x:v>Terminal conteneurs</x:v>
      </x:c>
      <x:c r="E751" s="115" t="n">
        <x:v>46</x:v>
      </x:c>
      <x:c r="F751" s="115" t="str">
        <x:v>Inspection physique</x:v>
      </x:c>
      <x:c r="G751" s="115" t="str">
        <x:v>1 niveaux ; 32 pièces ; 248 segments de mur ; 0 transitions. Inspection physique ; architecture complète encore ouverte.</x:v>
      </x:c>
      <x:c r="H751" s="115" t="str">
        <x:v>L 480 ; l 612 ; hauteur 36 m ; choix de composition auteur ; dimensions réelles à documenter</x:v>
      </x:c>
      <x:c r="I751" s="115" t="str">
        <x:v>À équilibrer</x:v>
      </x:c>
      <x:c r="J751" s="115" t="str">
        <x:v>Non</x:v>
      </x:c>
      <x:c r="K751" s="115" t="str">
        <x:v>Pièces décrites, murs, portes, niveaux et mobilier inspectables à l’échelle. Volumes réservés, raccord au seed, butin, rencontres et services de campagne restent à terminer.</x:v>
      </x:c>
    </x:row>
    <x:row r="752" ht="96" customHeight="1">
      <x:c r="A752" s="115" t="str">
        <x:v>EXT-MONDE-T015-V47</x:v>
      </x:c>
      <x:c r="B752" s="115" t="str">
        <x:v>EXT-MONDE-T015</x:v>
      </x:c>
      <x:c r="C752" s="115" t="str">
        <x:v>Ports</x:v>
      </x:c>
      <x:c r="D752" s="115" t="str">
        <x:v>Terminal conteneurs</x:v>
      </x:c>
      <x:c r="E752" s="115" t="n">
        <x:v>47</x:v>
      </x:c>
      <x:c r="F752" s="115" t="str">
        <x:v>Inspection physique</x:v>
      </x:c>
      <x:c r="G752" s="115" t="str">
        <x:v>1 niveaux ; 32 pièces ; 248 segments de mur ; 0 transitions. Inspection physique ; architecture complète encore ouverte.</x:v>
      </x:c>
      <x:c r="H752" s="115" t="str">
        <x:v>L 480 ; l 612 ; hauteur 36 m ; choix de composition auteur ; dimensions réelles à documenter</x:v>
      </x:c>
      <x:c r="I752" s="115" t="str">
        <x:v>À équilibrer</x:v>
      </x:c>
      <x:c r="J752" s="115" t="str">
        <x:v>Non</x:v>
      </x:c>
      <x:c r="K752" s="115" t="str">
        <x:v>Pièces décrites, murs, portes, niveaux et mobilier inspectables à l’échelle. Volumes réservés, raccord au seed, butin, rencontres et services de campagne restent à terminer.</x:v>
      </x:c>
    </x:row>
    <x:row r="753" ht="96" customHeight="1">
      <x:c r="A753" s="115" t="str">
        <x:v>EXT-MONDE-T015-V48</x:v>
      </x:c>
      <x:c r="B753" s="115" t="str">
        <x:v>EXT-MONDE-T015</x:v>
      </x:c>
      <x:c r="C753" s="115" t="str">
        <x:v>Ports</x:v>
      </x:c>
      <x:c r="D753" s="115" t="str">
        <x:v>Terminal conteneurs</x:v>
      </x:c>
      <x:c r="E753" s="115" t="n">
        <x:v>48</x:v>
      </x:c>
      <x:c r="F753" s="115" t="str">
        <x:v>Inspection physique</x:v>
      </x:c>
      <x:c r="G753" s="115" t="str">
        <x:v>1 niveaux ; 32 pièces ; 248 segments de mur ; 0 transitions. Inspection physique ; architecture complète encore ouverte.</x:v>
      </x:c>
      <x:c r="H753" s="115" t="str">
        <x:v>L 480 ; l 612 ; hauteur 36 m ; choix de composition auteur ; dimensions réelles à documenter</x:v>
      </x:c>
      <x:c r="I753" s="115" t="str">
        <x:v>À équilibrer</x:v>
      </x:c>
      <x:c r="J753" s="115" t="str">
        <x:v>Non</x:v>
      </x:c>
      <x:c r="K753" s="115" t="str">
        <x:v>Pièces décrites, murs, portes, niveaux et mobilier inspectables à l’échelle. Volumes réservés, raccord au seed, butin, rencontres et services de campagne restent à terminer.</x:v>
      </x:c>
    </x:row>
    <x:row r="754" ht="96" customHeight="1">
      <x:c r="A754" s="115" t="str">
        <x:v>EXT-MONDE-T015-V49</x:v>
      </x:c>
      <x:c r="B754" s="115" t="str">
        <x:v>EXT-MONDE-T015</x:v>
      </x:c>
      <x:c r="C754" s="115" t="str">
        <x:v>Ports</x:v>
      </x:c>
      <x:c r="D754" s="115" t="str">
        <x:v>Terminal conteneurs</x:v>
      </x:c>
      <x:c r="E754" s="115" t="n">
        <x:v>49</x:v>
      </x:c>
      <x:c r="F754" s="115" t="str">
        <x:v>Inspection physique</x:v>
      </x:c>
      <x:c r="G754" s="115" t="str">
        <x:v>1 niveaux ; 32 pièces ; 248 segments de mur ; 0 transitions. Inspection physique ; architecture complète encore ouverte.</x:v>
      </x:c>
      <x:c r="H754" s="115" t="str">
        <x:v>L 480 ; l 612 ; hauteur 36 m ; choix de composition auteur ; dimensions réelles à documenter</x:v>
      </x:c>
      <x:c r="I754" s="115" t="str">
        <x:v>À équilibrer</x:v>
      </x:c>
      <x:c r="J754" s="115" t="str">
        <x:v>Non</x:v>
      </x:c>
      <x:c r="K754" s="115" t="str">
        <x:v>Pièces décrites, murs, portes, niveaux et mobilier inspectables à l’échelle. Volumes réservés, raccord au seed, butin, rencontres et services de campagne restent à terminer.</x:v>
      </x:c>
    </x:row>
    <x:row r="755" ht="96" customHeight="1">
      <x:c r="A755" s="115" t="str">
        <x:v>EXT-MONDE-T015-V50</x:v>
      </x:c>
      <x:c r="B755" s="115" t="str">
        <x:v>EXT-MONDE-T015</x:v>
      </x:c>
      <x:c r="C755" s="115" t="str">
        <x:v>Ports</x:v>
      </x:c>
      <x:c r="D755" s="115" t="str">
        <x:v>Terminal conteneurs</x:v>
      </x:c>
      <x:c r="E755" s="115" t="n">
        <x:v>50</x:v>
      </x:c>
      <x:c r="F755" s="115" t="str">
        <x:v>Inspection physique</x:v>
      </x:c>
      <x:c r="G755" s="115" t="str">
        <x:v>1 niveaux ; 32 pièces ; 248 segments de mur ; 0 transitions. Inspection physique ; architecture complète encore ouverte.</x:v>
      </x:c>
      <x:c r="H755" s="115" t="str">
        <x:v>L 480 ; l 612 ; hauteur 36 m ; choix de composition auteur ; dimensions réelles à documenter</x:v>
      </x:c>
      <x:c r="I755" s="115" t="str">
        <x:v>À équilibrer</x:v>
      </x:c>
      <x:c r="J755" s="115" t="str">
        <x:v>Non</x:v>
      </x:c>
      <x:c r="K755" s="115" t="str">
        <x:v>Pièces décrites, murs, portes, niveaux et mobilier inspectables à l’échelle. Volumes réservés, raccord au seed, butin, rencontres et services de campagne restent à terminer.</x:v>
      </x:c>
    </x:row>
    <x:row r="756" ht="96" customHeight="1">
      <x:c r="A756" s="115" t="str">
        <x:v>EXT-MONDE-T016-V01</x:v>
      </x:c>
      <x:c r="B756" s="115" t="str">
        <x:v>EXT-MONDE-T016</x:v>
      </x:c>
      <x:c r="C756" s="115" t="str">
        <x:v>Ports</x:v>
      </x:c>
      <x:c r="D756" s="115" t="str">
        <x:v>Terminal ferry</x:v>
      </x:c>
      <x:c r="E756" s="115" t="n">
        <x:v>1</x:v>
      </x:c>
      <x:c r="F756" s="115" t="str">
        <x:v>Inspection physique</x:v>
      </x:c>
      <x:c r="G756" s="115" t="str">
        <x:v>1 niveaux ; 32 pièces ; 248 segments de mur ; 0 transitions. Inspection physique ; architecture complète encore ouverte.</x:v>
      </x:c>
      <x:c r="H756" s="115" t="str">
        <x:v>L 364 ; l 484 ; hauteur 5 m ; choix de composition auteur ; dimensions réelles à documenter</x:v>
      </x:c>
      <x:c r="I756" s="115" t="str">
        <x:v>À équilibrer</x:v>
      </x:c>
      <x:c r="J756" s="115" t="str">
        <x:v>Non</x:v>
      </x:c>
      <x:c r="K756" s="115" t="str">
        <x:v>Pièces décrites, murs, portes, niveaux et mobilier inspectables à l’échelle. Volumes réservés, raccord au seed, butin, rencontres et services de campagne restent à terminer.</x:v>
      </x:c>
    </x:row>
    <x:row r="757" ht="96" customHeight="1">
      <x:c r="A757" s="115" t="str">
        <x:v>EXT-MONDE-T016-V02</x:v>
      </x:c>
      <x:c r="B757" s="115" t="str">
        <x:v>EXT-MONDE-T016</x:v>
      </x:c>
      <x:c r="C757" s="115" t="str">
        <x:v>Ports</x:v>
      </x:c>
      <x:c r="D757" s="115" t="str">
        <x:v>Terminal ferry</x:v>
      </x:c>
      <x:c r="E757" s="115" t="n">
        <x:v>2</x:v>
      </x:c>
      <x:c r="F757" s="115" t="str">
        <x:v>Inspection physique</x:v>
      </x:c>
      <x:c r="G757" s="115" t="str">
        <x:v>1 niveaux ; 32 pièces ; 248 segments de mur ; 0 transitions. Inspection physique ; architecture complète encore ouverte.</x:v>
      </x:c>
      <x:c r="H757" s="115" t="str">
        <x:v>L 364 ; l 484 ; hauteur 5 m ; choix de composition auteur ; dimensions réelles à documenter</x:v>
      </x:c>
      <x:c r="I757" s="115" t="str">
        <x:v>À équilibrer</x:v>
      </x:c>
      <x:c r="J757" s="115" t="str">
        <x:v>Non</x:v>
      </x:c>
      <x:c r="K757" s="115" t="str">
        <x:v>Pièces décrites, murs, portes, niveaux et mobilier inspectables à l’échelle. Volumes réservés, raccord au seed, butin, rencontres et services de campagne restent à terminer.</x:v>
      </x:c>
    </x:row>
    <x:row r="758" ht="96" customHeight="1">
      <x:c r="A758" s="115" t="str">
        <x:v>EXT-MONDE-T016-V03</x:v>
      </x:c>
      <x:c r="B758" s="115" t="str">
        <x:v>EXT-MONDE-T016</x:v>
      </x:c>
      <x:c r="C758" s="115" t="str">
        <x:v>Ports</x:v>
      </x:c>
      <x:c r="D758" s="115" t="str">
        <x:v>Terminal ferry</x:v>
      </x:c>
      <x:c r="E758" s="115" t="n">
        <x:v>3</x:v>
      </x:c>
      <x:c r="F758" s="115" t="str">
        <x:v>Inspection physique</x:v>
      </x:c>
      <x:c r="G758" s="115" t="str">
        <x:v>1 niveaux ; 32 pièces ; 248 segments de mur ; 0 transitions. Inspection physique ; architecture complète encore ouverte.</x:v>
      </x:c>
      <x:c r="H758" s="115" t="str">
        <x:v>L 364 ; l 484 ; hauteur 5 m ; choix de composition auteur ; dimensions réelles à documenter</x:v>
      </x:c>
      <x:c r="I758" s="115" t="str">
        <x:v>À équilibrer</x:v>
      </x:c>
      <x:c r="J758" s="115" t="str">
        <x:v>Non</x:v>
      </x:c>
      <x:c r="K758" s="115" t="str">
        <x:v>Pièces décrites, murs, portes, niveaux et mobilier inspectables à l’échelle. Volumes réservés, raccord au seed, butin, rencontres et services de campagne restent à terminer.</x:v>
      </x:c>
    </x:row>
    <x:row r="759" ht="96" customHeight="1">
      <x:c r="A759" s="115" t="str">
        <x:v>EXT-MONDE-T016-V04</x:v>
      </x:c>
      <x:c r="B759" s="115" t="str">
        <x:v>EXT-MONDE-T016</x:v>
      </x:c>
      <x:c r="C759" s="115" t="str">
        <x:v>Ports</x:v>
      </x:c>
      <x:c r="D759" s="115" t="str">
        <x:v>Terminal ferry</x:v>
      </x:c>
      <x:c r="E759" s="115" t="n">
        <x:v>4</x:v>
      </x:c>
      <x:c r="F759" s="115" t="str">
        <x:v>Inspection physique</x:v>
      </x:c>
      <x:c r="G759" s="115" t="str">
        <x:v>1 niveaux ; 32 pièces ; 248 segments de mur ; 0 transitions. Inspection physique ; architecture complète encore ouverte.</x:v>
      </x:c>
      <x:c r="H759" s="115" t="str">
        <x:v>L 364 ; l 484 ; hauteur 5 m ; choix de composition auteur ; dimensions réelles à documenter</x:v>
      </x:c>
      <x:c r="I759" s="115" t="str">
        <x:v>À équilibrer</x:v>
      </x:c>
      <x:c r="J759" s="115" t="str">
        <x:v>Non</x:v>
      </x:c>
      <x:c r="K759" s="115" t="str">
        <x:v>Pièces décrites, murs, portes, niveaux et mobilier inspectables à l’échelle. Volumes réservés, raccord au seed, butin, rencontres et services de campagne restent à terminer.</x:v>
      </x:c>
    </x:row>
    <x:row r="760" ht="96" customHeight="1">
      <x:c r="A760" s="115" t="str">
        <x:v>EXT-MONDE-T016-V05</x:v>
      </x:c>
      <x:c r="B760" s="115" t="str">
        <x:v>EXT-MONDE-T016</x:v>
      </x:c>
      <x:c r="C760" s="115" t="str">
        <x:v>Ports</x:v>
      </x:c>
      <x:c r="D760" s="115" t="str">
        <x:v>Terminal ferry</x:v>
      </x:c>
      <x:c r="E760" s="115" t="n">
        <x:v>5</x:v>
      </x:c>
      <x:c r="F760" s="115" t="str">
        <x:v>Inspection physique</x:v>
      </x:c>
      <x:c r="G760" s="115" t="str">
        <x:v>1 niveaux ; 32 pièces ; 248 segments de mur ; 0 transitions. Inspection physique ; architecture complète encore ouverte.</x:v>
      </x:c>
      <x:c r="H760" s="115" t="str">
        <x:v>L 364 ; l 484 ; hauteur 5 m ; choix de composition auteur ; dimensions réelles à documenter</x:v>
      </x:c>
      <x:c r="I760" s="115" t="str">
        <x:v>À équilibrer</x:v>
      </x:c>
      <x:c r="J760" s="115" t="str">
        <x:v>Non</x:v>
      </x:c>
      <x:c r="K760" s="115" t="str">
        <x:v>Pièces décrites, murs, portes, niveaux et mobilier inspectables à l’échelle. Volumes réservés, raccord au seed, butin, rencontres et services de campagne restent à terminer.</x:v>
      </x:c>
    </x:row>
    <x:row r="761" ht="96" customHeight="1">
      <x:c r="A761" s="115" t="str">
        <x:v>EXT-MONDE-T016-V06</x:v>
      </x:c>
      <x:c r="B761" s="115" t="str">
        <x:v>EXT-MONDE-T016</x:v>
      </x:c>
      <x:c r="C761" s="115" t="str">
        <x:v>Ports</x:v>
      </x:c>
      <x:c r="D761" s="115" t="str">
        <x:v>Terminal ferry</x:v>
      </x:c>
      <x:c r="E761" s="115" t="n">
        <x:v>6</x:v>
      </x:c>
      <x:c r="F761" s="115" t="str">
        <x:v>Inspection physique</x:v>
      </x:c>
      <x:c r="G761" s="115" t="str">
        <x:v>1 niveaux ; 32 pièces ; 248 segments de mur ; 0 transitions. Inspection physique ; architecture complète encore ouverte.</x:v>
      </x:c>
      <x:c r="H761" s="115" t="str">
        <x:v>L 364 ; l 484 ; hauteur 5 m ; choix de composition auteur ; dimensions réelles à documenter</x:v>
      </x:c>
      <x:c r="I761" s="115" t="str">
        <x:v>À équilibrer</x:v>
      </x:c>
      <x:c r="J761" s="115" t="str">
        <x:v>Non</x:v>
      </x:c>
      <x:c r="K761" s="115" t="str">
        <x:v>Pièces décrites, murs, portes, niveaux et mobilier inspectables à l’échelle. Volumes réservés, raccord au seed, butin, rencontres et services de campagne restent à terminer.</x:v>
      </x:c>
    </x:row>
    <x:row r="762" ht="96" customHeight="1">
      <x:c r="A762" s="115" t="str">
        <x:v>EXT-MONDE-T016-V07</x:v>
      </x:c>
      <x:c r="B762" s="115" t="str">
        <x:v>EXT-MONDE-T016</x:v>
      </x:c>
      <x:c r="C762" s="115" t="str">
        <x:v>Ports</x:v>
      </x:c>
      <x:c r="D762" s="115" t="str">
        <x:v>Terminal ferry</x:v>
      </x:c>
      <x:c r="E762" s="115" t="n">
        <x:v>7</x:v>
      </x:c>
      <x:c r="F762" s="115" t="str">
        <x:v>Inspection physique</x:v>
      </x:c>
      <x:c r="G762" s="115" t="str">
        <x:v>1 niveaux ; 32 pièces ; 248 segments de mur ; 0 transitions. Inspection physique ; architecture complète encore ouverte.</x:v>
      </x:c>
      <x:c r="H762" s="115" t="str">
        <x:v>L 364 ; l 484 ; hauteur 5 m ; choix de composition auteur ; dimensions réelles à documenter</x:v>
      </x:c>
      <x:c r="I762" s="115" t="str">
        <x:v>À équilibrer</x:v>
      </x:c>
      <x:c r="J762" s="115" t="str">
        <x:v>Non</x:v>
      </x:c>
      <x:c r="K762" s="115" t="str">
        <x:v>Pièces décrites, murs, portes, niveaux et mobilier inspectables à l’échelle. Volumes réservés, raccord au seed, butin, rencontres et services de campagne restent à terminer.</x:v>
      </x:c>
    </x:row>
    <x:row r="763" ht="96" customHeight="1">
      <x:c r="A763" s="115" t="str">
        <x:v>EXT-MONDE-T016-V08</x:v>
      </x:c>
      <x:c r="B763" s="115" t="str">
        <x:v>EXT-MONDE-T016</x:v>
      </x:c>
      <x:c r="C763" s="115" t="str">
        <x:v>Ports</x:v>
      </x:c>
      <x:c r="D763" s="115" t="str">
        <x:v>Terminal ferry</x:v>
      </x:c>
      <x:c r="E763" s="115" t="n">
        <x:v>8</x:v>
      </x:c>
      <x:c r="F763" s="115" t="str">
        <x:v>Inspection physique</x:v>
      </x:c>
      <x:c r="G763" s="115" t="str">
        <x:v>1 niveaux ; 32 pièces ; 248 segments de mur ; 0 transitions. Inspection physique ; architecture complète encore ouverte.</x:v>
      </x:c>
      <x:c r="H763" s="115" t="str">
        <x:v>L 364 ; l 484 ; hauteur 5 m ; choix de composition auteur ; dimensions réelles à documenter</x:v>
      </x:c>
      <x:c r="I763" s="115" t="str">
        <x:v>À équilibrer</x:v>
      </x:c>
      <x:c r="J763" s="115" t="str">
        <x:v>Non</x:v>
      </x:c>
      <x:c r="K763" s="115" t="str">
        <x:v>Pièces décrites, murs, portes, niveaux et mobilier inspectables à l’échelle. Volumes réservés, raccord au seed, butin, rencontres et services de campagne restent à terminer.</x:v>
      </x:c>
    </x:row>
    <x:row r="764" ht="96" customHeight="1">
      <x:c r="A764" s="115" t="str">
        <x:v>EXT-MONDE-T016-V09</x:v>
      </x:c>
      <x:c r="B764" s="115" t="str">
        <x:v>EXT-MONDE-T016</x:v>
      </x:c>
      <x:c r="C764" s="115" t="str">
        <x:v>Ports</x:v>
      </x:c>
      <x:c r="D764" s="115" t="str">
        <x:v>Terminal ferry</x:v>
      </x:c>
      <x:c r="E764" s="115" t="n">
        <x:v>9</x:v>
      </x:c>
      <x:c r="F764" s="115" t="str">
        <x:v>Inspection physique</x:v>
      </x:c>
      <x:c r="G764" s="115" t="str">
        <x:v>1 niveaux ; 32 pièces ; 248 segments de mur ; 0 transitions. Inspection physique ; architecture complète encore ouverte.</x:v>
      </x:c>
      <x:c r="H764" s="115" t="str">
        <x:v>L 364 ; l 484 ; hauteur 5 m ; choix de composition auteur ; dimensions réelles à documenter</x:v>
      </x:c>
      <x:c r="I764" s="115" t="str">
        <x:v>À équilibrer</x:v>
      </x:c>
      <x:c r="J764" s="115" t="str">
        <x:v>Non</x:v>
      </x:c>
      <x:c r="K764" s="115" t="str">
        <x:v>Pièces décrites, murs, portes, niveaux et mobilier inspectables à l’échelle. Volumes réservés, raccord au seed, butin, rencontres et services de campagne restent à terminer.</x:v>
      </x:c>
    </x:row>
    <x:row r="765" ht="96" customHeight="1">
      <x:c r="A765" s="115" t="str">
        <x:v>EXT-MONDE-T016-V10</x:v>
      </x:c>
      <x:c r="B765" s="115" t="str">
        <x:v>EXT-MONDE-T016</x:v>
      </x:c>
      <x:c r="C765" s="115" t="str">
        <x:v>Ports</x:v>
      </x:c>
      <x:c r="D765" s="115" t="str">
        <x:v>Terminal ferry</x:v>
      </x:c>
      <x:c r="E765" s="115" t="n">
        <x:v>10</x:v>
      </x:c>
      <x:c r="F765" s="115" t="str">
        <x:v>Inspection physique</x:v>
      </x:c>
      <x:c r="G765" s="115" t="str">
        <x:v>1 niveaux ; 32 pièces ; 248 segments de mur ; 0 transitions. Inspection physique ; architecture complète encore ouverte.</x:v>
      </x:c>
      <x:c r="H765" s="115" t="str">
        <x:v>L 364 ; l 484 ; hauteur 5 m ; choix de composition auteur ; dimensions réelles à documenter</x:v>
      </x:c>
      <x:c r="I765" s="115" t="str">
        <x:v>À équilibrer</x:v>
      </x:c>
      <x:c r="J765" s="115" t="str">
        <x:v>Non</x:v>
      </x:c>
      <x:c r="K765" s="115" t="str">
        <x:v>Pièces décrites, murs, portes, niveaux et mobilier inspectables à l’échelle. Volumes réservés, raccord au seed, butin, rencontres et services de campagne restent à terminer.</x:v>
      </x:c>
    </x:row>
    <x:row r="766" ht="96" customHeight="1">
      <x:c r="A766" s="115" t="str">
        <x:v>EXT-MONDE-T016-V11</x:v>
      </x:c>
      <x:c r="B766" s="115" t="str">
        <x:v>EXT-MONDE-T016</x:v>
      </x:c>
      <x:c r="C766" s="115" t="str">
        <x:v>Ports</x:v>
      </x:c>
      <x:c r="D766" s="115" t="str">
        <x:v>Terminal ferry</x:v>
      </x:c>
      <x:c r="E766" s="115" t="n">
        <x:v>11</x:v>
      </x:c>
      <x:c r="F766" s="115" t="str">
        <x:v>Inspection physique</x:v>
      </x:c>
      <x:c r="G766" s="115" t="str">
        <x:v>1 niveaux ; 32 pièces ; 248 segments de mur ; 0 transitions. Inspection physique ; architecture complète encore ouverte.</x:v>
      </x:c>
      <x:c r="H766" s="115" t="str">
        <x:v>L 378 ; l 496 ; hauteur 5 m ; choix de composition auteur ; dimensions réelles à documenter</x:v>
      </x:c>
      <x:c r="I766" s="115" t="str">
        <x:v>À équilibrer</x:v>
      </x:c>
      <x:c r="J766" s="115" t="str">
        <x:v>Non</x:v>
      </x:c>
      <x:c r="K766" s="115" t="str">
        <x:v>Pièces décrites, murs, portes, niveaux et mobilier inspectables à l’échelle. Volumes réservés, raccord au seed, butin, rencontres et services de campagne restent à terminer.</x:v>
      </x:c>
    </x:row>
    <x:row r="767" ht="96" customHeight="1">
      <x:c r="A767" s="115" t="str">
        <x:v>EXT-MONDE-T016-V12</x:v>
      </x:c>
      <x:c r="B767" s="115" t="str">
        <x:v>EXT-MONDE-T016</x:v>
      </x:c>
      <x:c r="C767" s="115" t="str">
        <x:v>Ports</x:v>
      </x:c>
      <x:c r="D767" s="115" t="str">
        <x:v>Terminal ferry</x:v>
      </x:c>
      <x:c r="E767" s="115" t="n">
        <x:v>12</x:v>
      </x:c>
      <x:c r="F767" s="115" t="str">
        <x:v>Inspection physique</x:v>
      </x:c>
      <x:c r="G767" s="115" t="str">
        <x:v>1 niveaux ; 32 pièces ; 248 segments de mur ; 0 transitions. Inspection physique ; architecture complète encore ouverte.</x:v>
      </x:c>
      <x:c r="H767" s="115" t="str">
        <x:v>L 378 ; l 496 ; hauteur 5 m ; choix de composition auteur ; dimensions réelles à documenter</x:v>
      </x:c>
      <x:c r="I767" s="115" t="str">
        <x:v>À équilibrer</x:v>
      </x:c>
      <x:c r="J767" s="115" t="str">
        <x:v>Non</x:v>
      </x:c>
      <x:c r="K767" s="115" t="str">
        <x:v>Pièces décrites, murs, portes, niveaux et mobilier inspectables à l’échelle. Volumes réservés, raccord au seed, butin, rencontres et services de campagne restent à terminer.</x:v>
      </x:c>
    </x:row>
    <x:row r="768" ht="96" customHeight="1">
      <x:c r="A768" s="115" t="str">
        <x:v>EXT-MONDE-T016-V13</x:v>
      </x:c>
      <x:c r="B768" s="115" t="str">
        <x:v>EXT-MONDE-T016</x:v>
      </x:c>
      <x:c r="C768" s="115" t="str">
        <x:v>Ports</x:v>
      </x:c>
      <x:c r="D768" s="115" t="str">
        <x:v>Terminal ferry</x:v>
      </x:c>
      <x:c r="E768" s="115" t="n">
        <x:v>13</x:v>
      </x:c>
      <x:c r="F768" s="115" t="str">
        <x:v>Inspection physique</x:v>
      </x:c>
      <x:c r="G768" s="115" t="str">
        <x:v>1 niveaux ; 32 pièces ; 248 segments de mur ; 0 transitions. Inspection physique ; architecture complète encore ouverte.</x:v>
      </x:c>
      <x:c r="H768" s="115" t="str">
        <x:v>L 378 ; l 496 ; hauteur 5 m ; choix de composition auteur ; dimensions réelles à documenter</x:v>
      </x:c>
      <x:c r="I768" s="115" t="str">
        <x:v>À équilibrer</x:v>
      </x:c>
      <x:c r="J768" s="115" t="str">
        <x:v>Non</x:v>
      </x:c>
      <x:c r="K768" s="115" t="str">
        <x:v>Pièces décrites, murs, portes, niveaux et mobilier inspectables à l’échelle. Volumes réservés, raccord au seed, butin, rencontres et services de campagne restent à terminer.</x:v>
      </x:c>
    </x:row>
    <x:row r="769" ht="96" customHeight="1">
      <x:c r="A769" s="115" t="str">
        <x:v>EXT-MONDE-T016-V14</x:v>
      </x:c>
      <x:c r="B769" s="115" t="str">
        <x:v>EXT-MONDE-T016</x:v>
      </x:c>
      <x:c r="C769" s="115" t="str">
        <x:v>Ports</x:v>
      </x:c>
      <x:c r="D769" s="115" t="str">
        <x:v>Terminal ferry</x:v>
      </x:c>
      <x:c r="E769" s="115" t="n">
        <x:v>14</x:v>
      </x:c>
      <x:c r="F769" s="115" t="str">
        <x:v>Inspection physique</x:v>
      </x:c>
      <x:c r="G769" s="115" t="str">
        <x:v>1 niveaux ; 32 pièces ; 248 segments de mur ; 0 transitions. Inspection physique ; architecture complète encore ouverte.</x:v>
      </x:c>
      <x:c r="H769" s="115" t="str">
        <x:v>L 378 ; l 496 ; hauteur 5 m ; choix de composition auteur ; dimensions réelles à documenter</x:v>
      </x:c>
      <x:c r="I769" s="115" t="str">
        <x:v>À équilibrer</x:v>
      </x:c>
      <x:c r="J769" s="115" t="str">
        <x:v>Non</x:v>
      </x:c>
      <x:c r="K769" s="115" t="str">
        <x:v>Pièces décrites, murs, portes, niveaux et mobilier inspectables à l’échelle. Volumes réservés, raccord au seed, butin, rencontres et services de campagne restent à terminer.</x:v>
      </x:c>
    </x:row>
    <x:row r="770" ht="96" customHeight="1">
      <x:c r="A770" s="115" t="str">
        <x:v>EXT-MONDE-T016-V15</x:v>
      </x:c>
      <x:c r="B770" s="115" t="str">
        <x:v>EXT-MONDE-T016</x:v>
      </x:c>
      <x:c r="C770" s="115" t="str">
        <x:v>Ports</x:v>
      </x:c>
      <x:c r="D770" s="115" t="str">
        <x:v>Terminal ferry</x:v>
      </x:c>
      <x:c r="E770" s="115" t="n">
        <x:v>15</x:v>
      </x:c>
      <x:c r="F770" s="115" t="str">
        <x:v>Inspection physique</x:v>
      </x:c>
      <x:c r="G770" s="115" t="str">
        <x:v>1 niveaux ; 32 pièces ; 248 segments de mur ; 0 transitions. Inspection physique ; architecture complète encore ouverte.</x:v>
      </x:c>
      <x:c r="H770" s="115" t="str">
        <x:v>L 378 ; l 496 ; hauteur 5 m ; choix de composition auteur ; dimensions réelles à documenter</x:v>
      </x:c>
      <x:c r="I770" s="115" t="str">
        <x:v>À équilibrer</x:v>
      </x:c>
      <x:c r="J770" s="115" t="str">
        <x:v>Non</x:v>
      </x:c>
      <x:c r="K770" s="115" t="str">
        <x:v>Pièces décrites, murs, portes, niveaux et mobilier inspectables à l’échelle. Volumes réservés, raccord au seed, butin, rencontres et services de campagne restent à terminer.</x:v>
      </x:c>
    </x:row>
    <x:row r="771" ht="96" customHeight="1">
      <x:c r="A771" s="115" t="str">
        <x:v>EXT-MONDE-T016-V16</x:v>
      </x:c>
      <x:c r="B771" s="115" t="str">
        <x:v>EXT-MONDE-T016</x:v>
      </x:c>
      <x:c r="C771" s="115" t="str">
        <x:v>Ports</x:v>
      </x:c>
      <x:c r="D771" s="115" t="str">
        <x:v>Terminal ferry</x:v>
      </x:c>
      <x:c r="E771" s="115" t="n">
        <x:v>16</x:v>
      </x:c>
      <x:c r="F771" s="115" t="str">
        <x:v>Inspection physique</x:v>
      </x:c>
      <x:c r="G771" s="115" t="str">
        <x:v>1 niveaux ; 32 pièces ; 248 segments de mur ; 0 transitions. Inspection physique ; architecture complète encore ouverte.</x:v>
      </x:c>
      <x:c r="H771" s="115" t="str">
        <x:v>L 378 ; l 496 ; hauteur 5 m ; choix de composition auteur ; dimensions réelles à documenter</x:v>
      </x:c>
      <x:c r="I771" s="115" t="str">
        <x:v>À équilibrer</x:v>
      </x:c>
      <x:c r="J771" s="115" t="str">
        <x:v>Non</x:v>
      </x:c>
      <x:c r="K771" s="115" t="str">
        <x:v>Pièces décrites, murs, portes, niveaux et mobilier inspectables à l’échelle. Volumes réservés, raccord au seed, butin, rencontres et services de campagne restent à terminer.</x:v>
      </x:c>
    </x:row>
    <x:row r="772" ht="96" customHeight="1">
      <x:c r="A772" s="115" t="str">
        <x:v>EXT-MONDE-T016-V17</x:v>
      </x:c>
      <x:c r="B772" s="115" t="str">
        <x:v>EXT-MONDE-T016</x:v>
      </x:c>
      <x:c r="C772" s="115" t="str">
        <x:v>Ports</x:v>
      </x:c>
      <x:c r="D772" s="115" t="str">
        <x:v>Terminal ferry</x:v>
      </x:c>
      <x:c r="E772" s="115" t="n">
        <x:v>17</x:v>
      </x:c>
      <x:c r="F772" s="115" t="str">
        <x:v>Inspection physique</x:v>
      </x:c>
      <x:c r="G772" s="115" t="str">
        <x:v>1 niveaux ; 32 pièces ; 248 segments de mur ; 0 transitions. Inspection physique ; architecture complète encore ouverte.</x:v>
      </x:c>
      <x:c r="H772" s="115" t="str">
        <x:v>L 378 ; l 496 ; hauteur 5 m ; choix de composition auteur ; dimensions réelles à documenter</x:v>
      </x:c>
      <x:c r="I772" s="115" t="str">
        <x:v>À équilibrer</x:v>
      </x:c>
      <x:c r="J772" s="115" t="str">
        <x:v>Non</x:v>
      </x:c>
      <x:c r="K772" s="115" t="str">
        <x:v>Pièces décrites, murs, portes, niveaux et mobilier inspectables à l’échelle. Volumes réservés, raccord au seed, butin, rencontres et services de campagne restent à terminer.</x:v>
      </x:c>
    </x:row>
    <x:row r="773" ht="96" customHeight="1">
      <x:c r="A773" s="115" t="str">
        <x:v>EXT-MONDE-T016-V18</x:v>
      </x:c>
      <x:c r="B773" s="115" t="str">
        <x:v>EXT-MONDE-T016</x:v>
      </x:c>
      <x:c r="C773" s="115" t="str">
        <x:v>Ports</x:v>
      </x:c>
      <x:c r="D773" s="115" t="str">
        <x:v>Terminal ferry</x:v>
      </x:c>
      <x:c r="E773" s="115" t="n">
        <x:v>18</x:v>
      </x:c>
      <x:c r="F773" s="115" t="str">
        <x:v>Inspection physique</x:v>
      </x:c>
      <x:c r="G773" s="115" t="str">
        <x:v>1 niveaux ; 32 pièces ; 248 segments de mur ; 0 transitions. Inspection physique ; architecture complète encore ouverte.</x:v>
      </x:c>
      <x:c r="H773" s="115" t="str">
        <x:v>L 378 ; l 496 ; hauteur 5 m ; choix de composition auteur ; dimensions réelles à documenter</x:v>
      </x:c>
      <x:c r="I773" s="115" t="str">
        <x:v>À équilibrer</x:v>
      </x:c>
      <x:c r="J773" s="115" t="str">
        <x:v>Non</x:v>
      </x:c>
      <x:c r="K773" s="115" t="str">
        <x:v>Pièces décrites, murs, portes, niveaux et mobilier inspectables à l’échelle. Volumes réservés, raccord au seed, butin, rencontres et services de campagne restent à terminer.</x:v>
      </x:c>
    </x:row>
    <x:row r="774" ht="96" customHeight="1">
      <x:c r="A774" s="115" t="str">
        <x:v>EXT-MONDE-T016-V19</x:v>
      </x:c>
      <x:c r="B774" s="115" t="str">
        <x:v>EXT-MONDE-T016</x:v>
      </x:c>
      <x:c r="C774" s="115" t="str">
        <x:v>Ports</x:v>
      </x:c>
      <x:c r="D774" s="115" t="str">
        <x:v>Terminal ferry</x:v>
      </x:c>
      <x:c r="E774" s="115" t="n">
        <x:v>19</x:v>
      </x:c>
      <x:c r="F774" s="115" t="str">
        <x:v>Inspection physique</x:v>
      </x:c>
      <x:c r="G774" s="115" t="str">
        <x:v>1 niveaux ; 32 pièces ; 248 segments de mur ; 0 transitions. Inspection physique ; architecture complète encore ouverte.</x:v>
      </x:c>
      <x:c r="H774" s="115" t="str">
        <x:v>L 378 ; l 496 ; hauteur 5 m ; choix de composition auteur ; dimensions réelles à documenter</x:v>
      </x:c>
      <x:c r="I774" s="115" t="str">
        <x:v>À équilibrer</x:v>
      </x:c>
      <x:c r="J774" s="115" t="str">
        <x:v>Non</x:v>
      </x:c>
      <x:c r="K774" s="115" t="str">
        <x:v>Pièces décrites, murs, portes, niveaux et mobilier inspectables à l’échelle. Volumes réservés, raccord au seed, butin, rencontres et services de campagne restent à terminer.</x:v>
      </x:c>
    </x:row>
    <x:row r="775" ht="96" customHeight="1">
      <x:c r="A775" s="115" t="str">
        <x:v>EXT-MONDE-T016-V20</x:v>
      </x:c>
      <x:c r="B775" s="115" t="str">
        <x:v>EXT-MONDE-T016</x:v>
      </x:c>
      <x:c r="C775" s="115" t="str">
        <x:v>Ports</x:v>
      </x:c>
      <x:c r="D775" s="115" t="str">
        <x:v>Terminal ferry</x:v>
      </x:c>
      <x:c r="E775" s="115" t="n">
        <x:v>20</x:v>
      </x:c>
      <x:c r="F775" s="115" t="str">
        <x:v>Inspection physique</x:v>
      </x:c>
      <x:c r="G775" s="115" t="str">
        <x:v>1 niveaux ; 32 pièces ; 248 segments de mur ; 0 transitions. Inspection physique ; architecture complète encore ouverte.</x:v>
      </x:c>
      <x:c r="H775" s="115" t="str">
        <x:v>L 378 ; l 496 ; hauteur 5 m ; choix de composition auteur ; dimensions réelles à documenter</x:v>
      </x:c>
      <x:c r="I775" s="115" t="str">
        <x:v>À équilibrer</x:v>
      </x:c>
      <x:c r="J775" s="115" t="str">
        <x:v>Non</x:v>
      </x:c>
      <x:c r="K775" s="115" t="str">
        <x:v>Pièces décrites, murs, portes, niveaux et mobilier inspectables à l’échelle. Volumes réservés, raccord au seed, butin, rencontres et services de campagne restent à terminer.</x:v>
      </x:c>
    </x:row>
    <x:row r="776" ht="96" customHeight="1">
      <x:c r="A776" s="115" t="str">
        <x:v>EXT-MONDE-T016-V21</x:v>
      </x:c>
      <x:c r="B776" s="115" t="str">
        <x:v>EXT-MONDE-T016</x:v>
      </x:c>
      <x:c r="C776" s="115" t="str">
        <x:v>Ports</x:v>
      </x:c>
      <x:c r="D776" s="115" t="str">
        <x:v>Terminal ferry</x:v>
      </x:c>
      <x:c r="E776" s="115" t="n">
        <x:v>21</x:v>
      </x:c>
      <x:c r="F776" s="115" t="str">
        <x:v>Inspection physique</x:v>
      </x:c>
      <x:c r="G776" s="115" t="str">
        <x:v>1 niveaux ; 32 pièces ; 248 segments de mur ; 0 transitions. Inspection physique ; architecture complète encore ouverte.</x:v>
      </x:c>
      <x:c r="H776" s="115" t="str">
        <x:v>L 392 ; l 508 ; hauteur 5 m ; choix de composition auteur ; dimensions réelles à documenter</x:v>
      </x:c>
      <x:c r="I776" s="115" t="str">
        <x:v>À équilibrer</x:v>
      </x:c>
      <x:c r="J776" s="115" t="str">
        <x:v>Non</x:v>
      </x:c>
      <x:c r="K776" s="115" t="str">
        <x:v>Pièces décrites, murs, portes, niveaux et mobilier inspectables à l’échelle. Volumes réservés, raccord au seed, butin, rencontres et services de campagne restent à terminer.</x:v>
      </x:c>
    </x:row>
    <x:row r="777" ht="96" customHeight="1">
      <x:c r="A777" s="115" t="str">
        <x:v>EXT-MONDE-T016-V22</x:v>
      </x:c>
      <x:c r="B777" s="115" t="str">
        <x:v>EXT-MONDE-T016</x:v>
      </x:c>
      <x:c r="C777" s="115" t="str">
        <x:v>Ports</x:v>
      </x:c>
      <x:c r="D777" s="115" t="str">
        <x:v>Terminal ferry</x:v>
      </x:c>
      <x:c r="E777" s="115" t="n">
        <x:v>22</x:v>
      </x:c>
      <x:c r="F777" s="115" t="str">
        <x:v>Inspection physique</x:v>
      </x:c>
      <x:c r="G777" s="115" t="str">
        <x:v>1 niveaux ; 32 pièces ; 248 segments de mur ; 0 transitions. Inspection physique ; architecture complète encore ouverte.</x:v>
      </x:c>
      <x:c r="H777" s="115" t="str">
        <x:v>L 392 ; l 508 ; hauteur 5 m ; choix de composition auteur ; dimensions réelles à documenter</x:v>
      </x:c>
      <x:c r="I777" s="115" t="str">
        <x:v>À équilibrer</x:v>
      </x:c>
      <x:c r="J777" s="115" t="str">
        <x:v>Non</x:v>
      </x:c>
      <x:c r="K777" s="115" t="str">
        <x:v>Pièces décrites, murs, portes, niveaux et mobilier inspectables à l’échelle. Volumes réservés, raccord au seed, butin, rencontres et services de campagne restent à terminer.</x:v>
      </x:c>
    </x:row>
    <x:row r="778" ht="96" customHeight="1">
      <x:c r="A778" s="115" t="str">
        <x:v>EXT-MONDE-T016-V23</x:v>
      </x:c>
      <x:c r="B778" s="115" t="str">
        <x:v>EXT-MONDE-T016</x:v>
      </x:c>
      <x:c r="C778" s="115" t="str">
        <x:v>Ports</x:v>
      </x:c>
      <x:c r="D778" s="115" t="str">
        <x:v>Terminal ferry</x:v>
      </x:c>
      <x:c r="E778" s="115" t="n">
        <x:v>23</x:v>
      </x:c>
      <x:c r="F778" s="115" t="str">
        <x:v>Inspection physique</x:v>
      </x:c>
      <x:c r="G778" s="115" t="str">
        <x:v>1 niveaux ; 32 pièces ; 248 segments de mur ; 0 transitions. Inspection physique ; architecture complète encore ouverte.</x:v>
      </x:c>
      <x:c r="H778" s="115" t="str">
        <x:v>L 392 ; l 508 ; hauteur 5 m ; choix de composition auteur ; dimensions réelles à documenter</x:v>
      </x:c>
      <x:c r="I778" s="115" t="str">
        <x:v>À équilibrer</x:v>
      </x:c>
      <x:c r="J778" s="115" t="str">
        <x:v>Non</x:v>
      </x:c>
      <x:c r="K778" s="115" t="str">
        <x:v>Pièces décrites, murs, portes, niveaux et mobilier inspectables à l’échelle. Volumes réservés, raccord au seed, butin, rencontres et services de campagne restent à terminer.</x:v>
      </x:c>
    </x:row>
    <x:row r="779" ht="96" customHeight="1">
      <x:c r="A779" s="115" t="str">
        <x:v>EXT-MONDE-T016-V24</x:v>
      </x:c>
      <x:c r="B779" s="115" t="str">
        <x:v>EXT-MONDE-T016</x:v>
      </x:c>
      <x:c r="C779" s="115" t="str">
        <x:v>Ports</x:v>
      </x:c>
      <x:c r="D779" s="115" t="str">
        <x:v>Terminal ferry</x:v>
      </x:c>
      <x:c r="E779" s="115" t="n">
        <x:v>24</x:v>
      </x:c>
      <x:c r="F779" s="115" t="str">
        <x:v>Inspection physique</x:v>
      </x:c>
      <x:c r="G779" s="115" t="str">
        <x:v>1 niveaux ; 32 pièces ; 248 segments de mur ; 0 transitions. Inspection physique ; architecture complète encore ouverte.</x:v>
      </x:c>
      <x:c r="H779" s="115" t="str">
        <x:v>L 392 ; l 508 ; hauteur 5 m ; choix de composition auteur ; dimensions réelles à documenter</x:v>
      </x:c>
      <x:c r="I779" s="115" t="str">
        <x:v>À équilibrer</x:v>
      </x:c>
      <x:c r="J779" s="115" t="str">
        <x:v>Non</x:v>
      </x:c>
      <x:c r="K779" s="115" t="str">
        <x:v>Pièces décrites, murs, portes, niveaux et mobilier inspectables à l’échelle. Volumes réservés, raccord au seed, butin, rencontres et services de campagne restent à terminer.</x:v>
      </x:c>
    </x:row>
    <x:row r="780" ht="96" customHeight="1">
      <x:c r="A780" s="115" t="str">
        <x:v>EXT-MONDE-T016-V25</x:v>
      </x:c>
      <x:c r="B780" s="115" t="str">
        <x:v>EXT-MONDE-T016</x:v>
      </x:c>
      <x:c r="C780" s="115" t="str">
        <x:v>Ports</x:v>
      </x:c>
      <x:c r="D780" s="115" t="str">
        <x:v>Terminal ferry</x:v>
      </x:c>
      <x:c r="E780" s="115" t="n">
        <x:v>25</x:v>
      </x:c>
      <x:c r="F780" s="115" t="str">
        <x:v>Inspection physique</x:v>
      </x:c>
      <x:c r="G780" s="115" t="str">
        <x:v>1 niveaux ; 32 pièces ; 248 segments de mur ; 0 transitions. Inspection physique ; architecture complète encore ouverte.</x:v>
      </x:c>
      <x:c r="H780" s="115" t="str">
        <x:v>L 392 ; l 508 ; hauteur 5 m ; choix de composition auteur ; dimensions réelles à documenter</x:v>
      </x:c>
      <x:c r="I780" s="115" t="str">
        <x:v>À équilibrer</x:v>
      </x:c>
      <x:c r="J780" s="115" t="str">
        <x:v>Non</x:v>
      </x:c>
      <x:c r="K780" s="115" t="str">
        <x:v>Pièces décrites, murs, portes, niveaux et mobilier inspectables à l’échelle. Volumes réservés, raccord au seed, butin, rencontres et services de campagne restent à terminer.</x:v>
      </x:c>
    </x:row>
    <x:row r="781" ht="96" customHeight="1">
      <x:c r="A781" s="115" t="str">
        <x:v>EXT-MONDE-T016-V26</x:v>
      </x:c>
      <x:c r="B781" s="115" t="str">
        <x:v>EXT-MONDE-T016</x:v>
      </x:c>
      <x:c r="C781" s="115" t="str">
        <x:v>Ports</x:v>
      </x:c>
      <x:c r="D781" s="115" t="str">
        <x:v>Terminal ferry</x:v>
      </x:c>
      <x:c r="E781" s="115" t="n">
        <x:v>26</x:v>
      </x:c>
      <x:c r="F781" s="115" t="str">
        <x:v>Inspection physique</x:v>
      </x:c>
      <x:c r="G781" s="115" t="str">
        <x:v>1 niveaux ; 32 pièces ; 248 segments de mur ; 0 transitions. Inspection physique ; architecture complète encore ouverte.</x:v>
      </x:c>
      <x:c r="H781" s="115" t="str">
        <x:v>L 392 ; l 508 ; hauteur 5 m ; choix de composition auteur ; dimensions réelles à documenter</x:v>
      </x:c>
      <x:c r="I781" s="115" t="str">
        <x:v>À équilibrer</x:v>
      </x:c>
      <x:c r="J781" s="115" t="str">
        <x:v>Non</x:v>
      </x:c>
      <x:c r="K781" s="115" t="str">
        <x:v>Pièces décrites, murs, portes, niveaux et mobilier inspectables à l’échelle. Volumes réservés, raccord au seed, butin, rencontres et services de campagne restent à terminer.</x:v>
      </x:c>
    </x:row>
    <x:row r="782" ht="96" customHeight="1">
      <x:c r="A782" s="115" t="str">
        <x:v>EXT-MONDE-T016-V27</x:v>
      </x:c>
      <x:c r="B782" s="115" t="str">
        <x:v>EXT-MONDE-T016</x:v>
      </x:c>
      <x:c r="C782" s="115" t="str">
        <x:v>Ports</x:v>
      </x:c>
      <x:c r="D782" s="115" t="str">
        <x:v>Terminal ferry</x:v>
      </x:c>
      <x:c r="E782" s="115" t="n">
        <x:v>27</x:v>
      </x:c>
      <x:c r="F782" s="115" t="str">
        <x:v>Inspection physique</x:v>
      </x:c>
      <x:c r="G782" s="115" t="str">
        <x:v>1 niveaux ; 32 pièces ; 248 segments de mur ; 0 transitions. Inspection physique ; architecture complète encore ouverte.</x:v>
      </x:c>
      <x:c r="H782" s="115" t="str">
        <x:v>L 392 ; l 508 ; hauteur 5 m ; choix de composition auteur ; dimensions réelles à documenter</x:v>
      </x:c>
      <x:c r="I782" s="115" t="str">
        <x:v>À équilibrer</x:v>
      </x:c>
      <x:c r="J782" s="115" t="str">
        <x:v>Non</x:v>
      </x:c>
      <x:c r="K782" s="115" t="str">
        <x:v>Pièces décrites, murs, portes, niveaux et mobilier inspectables à l’échelle. Volumes réservés, raccord au seed, butin, rencontres et services de campagne restent à terminer.</x:v>
      </x:c>
    </x:row>
    <x:row r="783" ht="96" customHeight="1">
      <x:c r="A783" s="115" t="str">
        <x:v>EXT-MONDE-T016-V28</x:v>
      </x:c>
      <x:c r="B783" s="115" t="str">
        <x:v>EXT-MONDE-T016</x:v>
      </x:c>
      <x:c r="C783" s="115" t="str">
        <x:v>Ports</x:v>
      </x:c>
      <x:c r="D783" s="115" t="str">
        <x:v>Terminal ferry</x:v>
      </x:c>
      <x:c r="E783" s="115" t="n">
        <x:v>28</x:v>
      </x:c>
      <x:c r="F783" s="115" t="str">
        <x:v>Inspection physique</x:v>
      </x:c>
      <x:c r="G783" s="115" t="str">
        <x:v>1 niveaux ; 32 pièces ; 248 segments de mur ; 0 transitions. Inspection physique ; architecture complète encore ouverte.</x:v>
      </x:c>
      <x:c r="H783" s="115" t="str">
        <x:v>L 392 ; l 508 ; hauteur 5 m ; choix de composition auteur ; dimensions réelles à documenter</x:v>
      </x:c>
      <x:c r="I783" s="115" t="str">
        <x:v>À équilibrer</x:v>
      </x:c>
      <x:c r="J783" s="115" t="str">
        <x:v>Non</x:v>
      </x:c>
      <x:c r="K783" s="115" t="str">
        <x:v>Pièces décrites, murs, portes, niveaux et mobilier inspectables à l’échelle. Volumes réservés, raccord au seed, butin, rencontres et services de campagne restent à terminer.</x:v>
      </x:c>
    </x:row>
    <x:row r="784" ht="96" customHeight="1">
      <x:c r="A784" s="115" t="str">
        <x:v>EXT-MONDE-T016-V29</x:v>
      </x:c>
      <x:c r="B784" s="115" t="str">
        <x:v>EXT-MONDE-T016</x:v>
      </x:c>
      <x:c r="C784" s="115" t="str">
        <x:v>Ports</x:v>
      </x:c>
      <x:c r="D784" s="115" t="str">
        <x:v>Terminal ferry</x:v>
      </x:c>
      <x:c r="E784" s="115" t="n">
        <x:v>29</x:v>
      </x:c>
      <x:c r="F784" s="115" t="str">
        <x:v>Inspection physique</x:v>
      </x:c>
      <x:c r="G784" s="115" t="str">
        <x:v>1 niveaux ; 32 pièces ; 248 segments de mur ; 0 transitions. Inspection physique ; architecture complète encore ouverte.</x:v>
      </x:c>
      <x:c r="H784" s="115" t="str">
        <x:v>L 392 ; l 508 ; hauteur 5 m ; choix de composition auteur ; dimensions réelles à documenter</x:v>
      </x:c>
      <x:c r="I784" s="115" t="str">
        <x:v>À équilibrer</x:v>
      </x:c>
      <x:c r="J784" s="115" t="str">
        <x:v>Non</x:v>
      </x:c>
      <x:c r="K784" s="115" t="str">
        <x:v>Pièces décrites, murs, portes, niveaux et mobilier inspectables à l’échelle. Volumes réservés, raccord au seed, butin, rencontres et services de campagne restent à terminer.</x:v>
      </x:c>
    </x:row>
    <x:row r="785" ht="96" customHeight="1">
      <x:c r="A785" s="115" t="str">
        <x:v>EXT-MONDE-T016-V30</x:v>
      </x:c>
      <x:c r="B785" s="115" t="str">
        <x:v>EXT-MONDE-T016</x:v>
      </x:c>
      <x:c r="C785" s="115" t="str">
        <x:v>Ports</x:v>
      </x:c>
      <x:c r="D785" s="115" t="str">
        <x:v>Terminal ferry</x:v>
      </x:c>
      <x:c r="E785" s="115" t="n">
        <x:v>30</x:v>
      </x:c>
      <x:c r="F785" s="115" t="str">
        <x:v>Inspection physique</x:v>
      </x:c>
      <x:c r="G785" s="115" t="str">
        <x:v>1 niveaux ; 32 pièces ; 248 segments de mur ; 0 transitions. Inspection physique ; architecture complète encore ouverte.</x:v>
      </x:c>
      <x:c r="H785" s="115" t="str">
        <x:v>L 392 ; l 508 ; hauteur 5 m ; choix de composition auteur ; dimensions réelles à documenter</x:v>
      </x:c>
      <x:c r="I785" s="115" t="str">
        <x:v>À équilibrer</x:v>
      </x:c>
      <x:c r="J785" s="115" t="str">
        <x:v>Non</x:v>
      </x:c>
      <x:c r="K785" s="115" t="str">
        <x:v>Pièces décrites, murs, portes, niveaux et mobilier inspectables à l’échelle. Volumes réservés, raccord au seed, butin, rencontres et services de campagne restent à terminer.</x:v>
      </x:c>
    </x:row>
    <x:row r="786" ht="96" customHeight="1">
      <x:c r="A786" s="115" t="str">
        <x:v>EXT-MONDE-T016-V31</x:v>
      </x:c>
      <x:c r="B786" s="115" t="str">
        <x:v>EXT-MONDE-T016</x:v>
      </x:c>
      <x:c r="C786" s="115" t="str">
        <x:v>Ports</x:v>
      </x:c>
      <x:c r="D786" s="115" t="str">
        <x:v>Terminal ferry</x:v>
      </x:c>
      <x:c r="E786" s="115" t="n">
        <x:v>31</x:v>
      </x:c>
      <x:c r="F786" s="115" t="str">
        <x:v>Inspection physique</x:v>
      </x:c>
      <x:c r="G786" s="115" t="str">
        <x:v>1 niveaux ; 32 pièces ; 248 segments de mur ; 0 transitions. Inspection physique ; architecture complète encore ouverte.</x:v>
      </x:c>
      <x:c r="H786" s="115" t="str">
        <x:v>L 406 ; l 520 ; hauteur 5 m ; choix de composition auteur ; dimensions réelles à documenter</x:v>
      </x:c>
      <x:c r="I786" s="115" t="str">
        <x:v>À équilibrer</x:v>
      </x:c>
      <x:c r="J786" s="115" t="str">
        <x:v>Non</x:v>
      </x:c>
      <x:c r="K786" s="115" t="str">
        <x:v>Pièces décrites, murs, portes, niveaux et mobilier inspectables à l’échelle. Volumes réservés, raccord au seed, butin, rencontres et services de campagne restent à terminer.</x:v>
      </x:c>
    </x:row>
    <x:row r="787" ht="96" customHeight="1">
      <x:c r="A787" s="115" t="str">
        <x:v>EXT-MONDE-T016-V32</x:v>
      </x:c>
      <x:c r="B787" s="115" t="str">
        <x:v>EXT-MONDE-T016</x:v>
      </x:c>
      <x:c r="C787" s="115" t="str">
        <x:v>Ports</x:v>
      </x:c>
      <x:c r="D787" s="115" t="str">
        <x:v>Terminal ferry</x:v>
      </x:c>
      <x:c r="E787" s="115" t="n">
        <x:v>32</x:v>
      </x:c>
      <x:c r="F787" s="115" t="str">
        <x:v>Inspection physique</x:v>
      </x:c>
      <x:c r="G787" s="115" t="str">
        <x:v>1 niveaux ; 32 pièces ; 248 segments de mur ; 0 transitions. Inspection physique ; architecture complète encore ouverte.</x:v>
      </x:c>
      <x:c r="H787" s="115" t="str">
        <x:v>L 406 ; l 520 ; hauteur 5 m ; choix de composition auteur ; dimensions réelles à documenter</x:v>
      </x:c>
      <x:c r="I787" s="115" t="str">
        <x:v>À équilibrer</x:v>
      </x:c>
      <x:c r="J787" s="115" t="str">
        <x:v>Non</x:v>
      </x:c>
      <x:c r="K787" s="115" t="str">
        <x:v>Pièces décrites, murs, portes, niveaux et mobilier inspectables à l’échelle. Volumes réservés, raccord au seed, butin, rencontres et services de campagne restent à terminer.</x:v>
      </x:c>
    </x:row>
    <x:row r="788" ht="96" customHeight="1">
      <x:c r="A788" s="115" t="str">
        <x:v>EXT-MONDE-T016-V33</x:v>
      </x:c>
      <x:c r="B788" s="115" t="str">
        <x:v>EXT-MONDE-T016</x:v>
      </x:c>
      <x:c r="C788" s="115" t="str">
        <x:v>Ports</x:v>
      </x:c>
      <x:c r="D788" s="115" t="str">
        <x:v>Terminal ferry</x:v>
      </x:c>
      <x:c r="E788" s="115" t="n">
        <x:v>33</x:v>
      </x:c>
      <x:c r="F788" s="115" t="str">
        <x:v>Inspection physique</x:v>
      </x:c>
      <x:c r="G788" s="115" t="str">
        <x:v>1 niveaux ; 32 pièces ; 248 segments de mur ; 0 transitions. Inspection physique ; architecture complète encore ouverte.</x:v>
      </x:c>
      <x:c r="H788" s="115" t="str">
        <x:v>L 406 ; l 520 ; hauteur 5 m ; choix de composition auteur ; dimensions réelles à documenter</x:v>
      </x:c>
      <x:c r="I788" s="115" t="str">
        <x:v>À équilibrer</x:v>
      </x:c>
      <x:c r="J788" s="115" t="str">
        <x:v>Non</x:v>
      </x:c>
      <x:c r="K788" s="115" t="str">
        <x:v>Pièces décrites, murs, portes, niveaux et mobilier inspectables à l’échelle. Volumes réservés, raccord au seed, butin, rencontres et services de campagne restent à terminer.</x:v>
      </x:c>
    </x:row>
    <x:row r="789" ht="96" customHeight="1">
      <x:c r="A789" s="115" t="str">
        <x:v>EXT-MONDE-T016-V34</x:v>
      </x:c>
      <x:c r="B789" s="115" t="str">
        <x:v>EXT-MONDE-T016</x:v>
      </x:c>
      <x:c r="C789" s="115" t="str">
        <x:v>Ports</x:v>
      </x:c>
      <x:c r="D789" s="115" t="str">
        <x:v>Terminal ferry</x:v>
      </x:c>
      <x:c r="E789" s="115" t="n">
        <x:v>34</x:v>
      </x:c>
      <x:c r="F789" s="115" t="str">
        <x:v>Inspection physique</x:v>
      </x:c>
      <x:c r="G789" s="115" t="str">
        <x:v>1 niveaux ; 32 pièces ; 248 segments de mur ; 0 transitions. Inspection physique ; architecture complète encore ouverte.</x:v>
      </x:c>
      <x:c r="H789" s="115" t="str">
        <x:v>L 406 ; l 520 ; hauteur 5 m ; choix de composition auteur ; dimensions réelles à documenter</x:v>
      </x:c>
      <x:c r="I789" s="115" t="str">
        <x:v>À équilibrer</x:v>
      </x:c>
      <x:c r="J789" s="115" t="str">
        <x:v>Non</x:v>
      </x:c>
      <x:c r="K789" s="115" t="str">
        <x:v>Pièces décrites, murs, portes, niveaux et mobilier inspectables à l’échelle. Volumes réservés, raccord au seed, butin, rencontres et services de campagne restent à terminer.</x:v>
      </x:c>
    </x:row>
    <x:row r="790" ht="96" customHeight="1">
      <x:c r="A790" s="115" t="str">
        <x:v>EXT-MONDE-T016-V35</x:v>
      </x:c>
      <x:c r="B790" s="115" t="str">
        <x:v>EXT-MONDE-T016</x:v>
      </x:c>
      <x:c r="C790" s="115" t="str">
        <x:v>Ports</x:v>
      </x:c>
      <x:c r="D790" s="115" t="str">
        <x:v>Terminal ferry</x:v>
      </x:c>
      <x:c r="E790" s="115" t="n">
        <x:v>35</x:v>
      </x:c>
      <x:c r="F790" s="115" t="str">
        <x:v>Inspection physique</x:v>
      </x:c>
      <x:c r="G790" s="115" t="str">
        <x:v>1 niveaux ; 32 pièces ; 248 segments de mur ; 0 transitions. Inspection physique ; architecture complète encore ouverte.</x:v>
      </x:c>
      <x:c r="H790" s="115" t="str">
        <x:v>L 406 ; l 520 ; hauteur 5 m ; choix de composition auteur ; dimensions réelles à documenter</x:v>
      </x:c>
      <x:c r="I790" s="115" t="str">
        <x:v>À équilibrer</x:v>
      </x:c>
      <x:c r="J790" s="115" t="str">
        <x:v>Non</x:v>
      </x:c>
      <x:c r="K790" s="115" t="str">
        <x:v>Pièces décrites, murs, portes, niveaux et mobilier inspectables à l’échelle. Volumes réservés, raccord au seed, butin, rencontres et services de campagne restent à terminer.</x:v>
      </x:c>
    </x:row>
    <x:row r="791" ht="96" customHeight="1">
      <x:c r="A791" s="115" t="str">
        <x:v>EXT-MONDE-T016-V36</x:v>
      </x:c>
      <x:c r="B791" s="115" t="str">
        <x:v>EXT-MONDE-T016</x:v>
      </x:c>
      <x:c r="C791" s="115" t="str">
        <x:v>Ports</x:v>
      </x:c>
      <x:c r="D791" s="115" t="str">
        <x:v>Terminal ferry</x:v>
      </x:c>
      <x:c r="E791" s="115" t="n">
        <x:v>36</x:v>
      </x:c>
      <x:c r="F791" s="115" t="str">
        <x:v>Inspection physique</x:v>
      </x:c>
      <x:c r="G791" s="115" t="str">
        <x:v>1 niveaux ; 32 pièces ; 248 segments de mur ; 0 transitions. Inspection physique ; architecture complète encore ouverte.</x:v>
      </x:c>
      <x:c r="H791" s="115" t="str">
        <x:v>L 406 ; l 520 ; hauteur 5 m ; choix de composition auteur ; dimensions réelles à documenter</x:v>
      </x:c>
      <x:c r="I791" s="115" t="str">
        <x:v>À équilibrer</x:v>
      </x:c>
      <x:c r="J791" s="115" t="str">
        <x:v>Non</x:v>
      </x:c>
      <x:c r="K791" s="115" t="str">
        <x:v>Pièces décrites, murs, portes, niveaux et mobilier inspectables à l’échelle. Volumes réservés, raccord au seed, butin, rencontres et services de campagne restent à terminer.</x:v>
      </x:c>
    </x:row>
    <x:row r="792" ht="96" customHeight="1">
      <x:c r="A792" s="115" t="str">
        <x:v>EXT-MONDE-T016-V37</x:v>
      </x:c>
      <x:c r="B792" s="115" t="str">
        <x:v>EXT-MONDE-T016</x:v>
      </x:c>
      <x:c r="C792" s="115" t="str">
        <x:v>Ports</x:v>
      </x:c>
      <x:c r="D792" s="115" t="str">
        <x:v>Terminal ferry</x:v>
      </x:c>
      <x:c r="E792" s="115" t="n">
        <x:v>37</x:v>
      </x:c>
      <x:c r="F792" s="115" t="str">
        <x:v>Inspection physique</x:v>
      </x:c>
      <x:c r="G792" s="115" t="str">
        <x:v>1 niveaux ; 32 pièces ; 248 segments de mur ; 0 transitions. Inspection physique ; architecture complète encore ouverte.</x:v>
      </x:c>
      <x:c r="H792" s="115" t="str">
        <x:v>L 406 ; l 520 ; hauteur 5 m ; choix de composition auteur ; dimensions réelles à documenter</x:v>
      </x:c>
      <x:c r="I792" s="115" t="str">
        <x:v>À équilibrer</x:v>
      </x:c>
      <x:c r="J792" s="115" t="str">
        <x:v>Non</x:v>
      </x:c>
      <x:c r="K792" s="115" t="str">
        <x:v>Pièces décrites, murs, portes, niveaux et mobilier inspectables à l’échelle. Volumes réservés, raccord au seed, butin, rencontres et services de campagne restent à terminer.</x:v>
      </x:c>
    </x:row>
    <x:row r="793" ht="96" customHeight="1">
      <x:c r="A793" s="115" t="str">
        <x:v>EXT-MONDE-T016-V38</x:v>
      </x:c>
      <x:c r="B793" s="115" t="str">
        <x:v>EXT-MONDE-T016</x:v>
      </x:c>
      <x:c r="C793" s="115" t="str">
        <x:v>Ports</x:v>
      </x:c>
      <x:c r="D793" s="115" t="str">
        <x:v>Terminal ferry</x:v>
      </x:c>
      <x:c r="E793" s="115" t="n">
        <x:v>38</x:v>
      </x:c>
      <x:c r="F793" s="115" t="str">
        <x:v>Inspection physique</x:v>
      </x:c>
      <x:c r="G793" s="115" t="str">
        <x:v>1 niveaux ; 32 pièces ; 248 segments de mur ; 0 transitions. Inspection physique ; architecture complète encore ouverte.</x:v>
      </x:c>
      <x:c r="H793" s="115" t="str">
        <x:v>L 406 ; l 520 ; hauteur 5 m ; choix de composition auteur ; dimensions réelles à documenter</x:v>
      </x:c>
      <x:c r="I793" s="115" t="str">
        <x:v>À équilibrer</x:v>
      </x:c>
      <x:c r="J793" s="115" t="str">
        <x:v>Non</x:v>
      </x:c>
      <x:c r="K793" s="115" t="str">
        <x:v>Pièces décrites, murs, portes, niveaux et mobilier inspectables à l’échelle. Volumes réservés, raccord au seed, butin, rencontres et services de campagne restent à terminer.</x:v>
      </x:c>
    </x:row>
    <x:row r="794" ht="96" customHeight="1">
      <x:c r="A794" s="115" t="str">
        <x:v>EXT-MONDE-T016-V39</x:v>
      </x:c>
      <x:c r="B794" s="115" t="str">
        <x:v>EXT-MONDE-T016</x:v>
      </x:c>
      <x:c r="C794" s="115" t="str">
        <x:v>Ports</x:v>
      </x:c>
      <x:c r="D794" s="115" t="str">
        <x:v>Terminal ferry</x:v>
      </x:c>
      <x:c r="E794" s="115" t="n">
        <x:v>39</x:v>
      </x:c>
      <x:c r="F794" s="115" t="str">
        <x:v>Inspection physique</x:v>
      </x:c>
      <x:c r="G794" s="115" t="str">
        <x:v>1 niveaux ; 32 pièces ; 248 segments de mur ; 0 transitions. Inspection physique ; architecture complète encore ouverte.</x:v>
      </x:c>
      <x:c r="H794" s="115" t="str">
        <x:v>L 406 ; l 520 ; hauteur 5 m ; choix de composition auteur ; dimensions réelles à documenter</x:v>
      </x:c>
      <x:c r="I794" s="115" t="str">
        <x:v>À équilibrer</x:v>
      </x:c>
      <x:c r="J794" s="115" t="str">
        <x:v>Non</x:v>
      </x:c>
      <x:c r="K794" s="115" t="str">
        <x:v>Pièces décrites, murs, portes, niveaux et mobilier inspectables à l’échelle. Volumes réservés, raccord au seed, butin, rencontres et services de campagne restent à terminer.</x:v>
      </x:c>
    </x:row>
    <x:row r="795" ht="96" customHeight="1">
      <x:c r="A795" s="115" t="str">
        <x:v>EXT-MONDE-T016-V40</x:v>
      </x:c>
      <x:c r="B795" s="115" t="str">
        <x:v>EXT-MONDE-T016</x:v>
      </x:c>
      <x:c r="C795" s="115" t="str">
        <x:v>Ports</x:v>
      </x:c>
      <x:c r="D795" s="115" t="str">
        <x:v>Terminal ferry</x:v>
      </x:c>
      <x:c r="E795" s="115" t="n">
        <x:v>40</x:v>
      </x:c>
      <x:c r="F795" s="115" t="str">
        <x:v>Inspection physique</x:v>
      </x:c>
      <x:c r="G795" s="115" t="str">
        <x:v>1 niveaux ; 32 pièces ; 248 segments de mur ; 0 transitions. Inspection physique ; architecture complète encore ouverte.</x:v>
      </x:c>
      <x:c r="H795" s="115" t="str">
        <x:v>L 406 ; l 520 ; hauteur 5 m ; choix de composition auteur ; dimensions réelles à documenter</x:v>
      </x:c>
      <x:c r="I795" s="115" t="str">
        <x:v>À équilibrer</x:v>
      </x:c>
      <x:c r="J795" s="115" t="str">
        <x:v>Non</x:v>
      </x:c>
      <x:c r="K795" s="115" t="str">
        <x:v>Pièces décrites, murs, portes, niveaux et mobilier inspectables à l’échelle. Volumes réservés, raccord au seed, butin, rencontres et services de campagne restent à terminer.</x:v>
      </x:c>
    </x:row>
    <x:row r="796" ht="96" customHeight="1">
      <x:c r="A796" s="115" t="str">
        <x:v>EXT-MONDE-T016-V41</x:v>
      </x:c>
      <x:c r="B796" s="115" t="str">
        <x:v>EXT-MONDE-T016</x:v>
      </x:c>
      <x:c r="C796" s="115" t="str">
        <x:v>Ports</x:v>
      </x:c>
      <x:c r="D796" s="115" t="str">
        <x:v>Terminal ferry</x:v>
      </x:c>
      <x:c r="E796" s="115" t="n">
        <x:v>41</x:v>
      </x:c>
      <x:c r="F796" s="115" t="str">
        <x:v>Inspection physique</x:v>
      </x:c>
      <x:c r="G796" s="115" t="str">
        <x:v>1 niveaux ; 32 pièces ; 248 segments de mur ; 0 transitions. Inspection physique ; architecture complète encore ouverte.</x:v>
      </x:c>
      <x:c r="H796" s="115" t="str">
        <x:v>L 420 ; l 532 ; hauteur 5 m ; choix de composition auteur ; dimensions réelles à documenter</x:v>
      </x:c>
      <x:c r="I796" s="115" t="str">
        <x:v>À équilibrer</x:v>
      </x:c>
      <x:c r="J796" s="115" t="str">
        <x:v>Non</x:v>
      </x:c>
      <x:c r="K796" s="115" t="str">
        <x:v>Pièces décrites, murs, portes, niveaux et mobilier inspectables à l’échelle. Volumes réservés, raccord au seed, butin, rencontres et services de campagne restent à terminer.</x:v>
      </x:c>
    </x:row>
    <x:row r="797" ht="96" customHeight="1">
      <x:c r="A797" s="115" t="str">
        <x:v>EXT-MONDE-T016-V42</x:v>
      </x:c>
      <x:c r="B797" s="115" t="str">
        <x:v>EXT-MONDE-T016</x:v>
      </x:c>
      <x:c r="C797" s="115" t="str">
        <x:v>Ports</x:v>
      </x:c>
      <x:c r="D797" s="115" t="str">
        <x:v>Terminal ferry</x:v>
      </x:c>
      <x:c r="E797" s="115" t="n">
        <x:v>42</x:v>
      </x:c>
      <x:c r="F797" s="115" t="str">
        <x:v>Inspection physique</x:v>
      </x:c>
      <x:c r="G797" s="115" t="str">
        <x:v>1 niveaux ; 32 pièces ; 248 segments de mur ; 0 transitions. Inspection physique ; architecture complète encore ouverte.</x:v>
      </x:c>
      <x:c r="H797" s="115" t="str">
        <x:v>L 420 ; l 532 ; hauteur 5 m ; choix de composition auteur ; dimensions réelles à documenter</x:v>
      </x:c>
      <x:c r="I797" s="115" t="str">
        <x:v>À équilibrer</x:v>
      </x:c>
      <x:c r="J797" s="115" t="str">
        <x:v>Non</x:v>
      </x:c>
      <x:c r="K797" s="115" t="str">
        <x:v>Pièces décrites, murs, portes, niveaux et mobilier inspectables à l’échelle. Volumes réservés, raccord au seed, butin, rencontres et services de campagne restent à terminer.</x:v>
      </x:c>
    </x:row>
    <x:row r="798" ht="96" customHeight="1">
      <x:c r="A798" s="115" t="str">
        <x:v>EXT-MONDE-T016-V43</x:v>
      </x:c>
      <x:c r="B798" s="115" t="str">
        <x:v>EXT-MONDE-T016</x:v>
      </x:c>
      <x:c r="C798" s="115" t="str">
        <x:v>Ports</x:v>
      </x:c>
      <x:c r="D798" s="115" t="str">
        <x:v>Terminal ferry</x:v>
      </x:c>
      <x:c r="E798" s="115" t="n">
        <x:v>43</x:v>
      </x:c>
      <x:c r="F798" s="115" t="str">
        <x:v>Inspection physique</x:v>
      </x:c>
      <x:c r="G798" s="115" t="str">
        <x:v>1 niveaux ; 32 pièces ; 248 segments de mur ; 0 transitions. Inspection physique ; architecture complète encore ouverte.</x:v>
      </x:c>
      <x:c r="H798" s="115" t="str">
        <x:v>L 420 ; l 532 ; hauteur 5 m ; choix de composition auteur ; dimensions réelles à documenter</x:v>
      </x:c>
      <x:c r="I798" s="115" t="str">
        <x:v>À équilibrer</x:v>
      </x:c>
      <x:c r="J798" s="115" t="str">
        <x:v>Non</x:v>
      </x:c>
      <x:c r="K798" s="115" t="str">
        <x:v>Pièces décrites, murs, portes, niveaux et mobilier inspectables à l’échelle. Volumes réservés, raccord au seed, butin, rencontres et services de campagne restent à terminer.</x:v>
      </x:c>
    </x:row>
    <x:row r="799" ht="96" customHeight="1">
      <x:c r="A799" s="115" t="str">
        <x:v>EXT-MONDE-T016-V44</x:v>
      </x:c>
      <x:c r="B799" s="115" t="str">
        <x:v>EXT-MONDE-T016</x:v>
      </x:c>
      <x:c r="C799" s="115" t="str">
        <x:v>Ports</x:v>
      </x:c>
      <x:c r="D799" s="115" t="str">
        <x:v>Terminal ferry</x:v>
      </x:c>
      <x:c r="E799" s="115" t="n">
        <x:v>44</x:v>
      </x:c>
      <x:c r="F799" s="115" t="str">
        <x:v>Inspection physique</x:v>
      </x:c>
      <x:c r="G799" s="115" t="str">
        <x:v>1 niveaux ; 32 pièces ; 248 segments de mur ; 0 transitions. Inspection physique ; architecture complète encore ouverte.</x:v>
      </x:c>
      <x:c r="H799" s="115" t="str">
        <x:v>L 420 ; l 532 ; hauteur 5 m ; choix de composition auteur ; dimensions réelles à documenter</x:v>
      </x:c>
      <x:c r="I799" s="115" t="str">
        <x:v>À équilibrer</x:v>
      </x:c>
      <x:c r="J799" s="115" t="str">
        <x:v>Non</x:v>
      </x:c>
      <x:c r="K799" s="115" t="str">
        <x:v>Pièces décrites, murs, portes, niveaux et mobilier inspectables à l’échelle. Volumes réservés, raccord au seed, butin, rencontres et services de campagne restent à terminer.</x:v>
      </x:c>
    </x:row>
    <x:row r="800" ht="96" customHeight="1">
      <x:c r="A800" s="115" t="str">
        <x:v>EXT-MONDE-T016-V45</x:v>
      </x:c>
      <x:c r="B800" s="115" t="str">
        <x:v>EXT-MONDE-T016</x:v>
      </x:c>
      <x:c r="C800" s="115" t="str">
        <x:v>Ports</x:v>
      </x:c>
      <x:c r="D800" s="115" t="str">
        <x:v>Terminal ferry</x:v>
      </x:c>
      <x:c r="E800" s="115" t="n">
        <x:v>45</x:v>
      </x:c>
      <x:c r="F800" s="115" t="str">
        <x:v>Inspection physique</x:v>
      </x:c>
      <x:c r="G800" s="115" t="str">
        <x:v>1 niveaux ; 32 pièces ; 248 segments de mur ; 0 transitions. Inspection physique ; architecture complète encore ouverte.</x:v>
      </x:c>
      <x:c r="H800" s="115" t="str">
        <x:v>L 420 ; l 532 ; hauteur 5 m ; choix de composition auteur ; dimensions réelles à documenter</x:v>
      </x:c>
      <x:c r="I800" s="115" t="str">
        <x:v>À équilibrer</x:v>
      </x:c>
      <x:c r="J800" s="115" t="str">
        <x:v>Non</x:v>
      </x:c>
      <x:c r="K800" s="115" t="str">
        <x:v>Pièces décrites, murs, portes, niveaux et mobilier inspectables à l’échelle. Volumes réservés, raccord au seed, butin, rencontres et services de campagne restent à terminer.</x:v>
      </x:c>
    </x:row>
    <x:row r="801" ht="96" customHeight="1">
      <x:c r="A801" s="115" t="str">
        <x:v>EXT-MONDE-T016-V46</x:v>
      </x:c>
      <x:c r="B801" s="115" t="str">
        <x:v>EXT-MONDE-T016</x:v>
      </x:c>
      <x:c r="C801" s="115" t="str">
        <x:v>Ports</x:v>
      </x:c>
      <x:c r="D801" s="115" t="str">
        <x:v>Terminal ferry</x:v>
      </x:c>
      <x:c r="E801" s="115" t="n">
        <x:v>46</x:v>
      </x:c>
      <x:c r="F801" s="115" t="str">
        <x:v>Inspection physique</x:v>
      </x:c>
      <x:c r="G801" s="115" t="str">
        <x:v>1 niveaux ; 32 pièces ; 248 segments de mur ; 0 transitions. Inspection physique ; architecture complète encore ouverte.</x:v>
      </x:c>
      <x:c r="H801" s="115" t="str">
        <x:v>L 420 ; l 532 ; hauteur 5 m ; choix de composition auteur ; dimensions réelles à documenter</x:v>
      </x:c>
      <x:c r="I801" s="115" t="str">
        <x:v>À équilibrer</x:v>
      </x:c>
      <x:c r="J801" s="115" t="str">
        <x:v>Non</x:v>
      </x:c>
      <x:c r="K801" s="115" t="str">
        <x:v>Pièces décrites, murs, portes, niveaux et mobilier inspectables à l’échelle. Volumes réservés, raccord au seed, butin, rencontres et services de campagne restent à terminer.</x:v>
      </x:c>
    </x:row>
    <x:row r="802" ht="96" customHeight="1">
      <x:c r="A802" s="115" t="str">
        <x:v>EXT-MONDE-T016-V47</x:v>
      </x:c>
      <x:c r="B802" s="115" t="str">
        <x:v>EXT-MONDE-T016</x:v>
      </x:c>
      <x:c r="C802" s="115" t="str">
        <x:v>Ports</x:v>
      </x:c>
      <x:c r="D802" s="115" t="str">
        <x:v>Terminal ferry</x:v>
      </x:c>
      <x:c r="E802" s="115" t="n">
        <x:v>47</x:v>
      </x:c>
      <x:c r="F802" s="115" t="str">
        <x:v>Inspection physique</x:v>
      </x:c>
      <x:c r="G802" s="115" t="str">
        <x:v>1 niveaux ; 32 pièces ; 248 segments de mur ; 0 transitions. Inspection physique ; architecture complète encore ouverte.</x:v>
      </x:c>
      <x:c r="H802" s="115" t="str">
        <x:v>L 420 ; l 532 ; hauteur 5 m ; choix de composition auteur ; dimensions réelles à documenter</x:v>
      </x:c>
      <x:c r="I802" s="115" t="str">
        <x:v>À équilibrer</x:v>
      </x:c>
      <x:c r="J802" s="115" t="str">
        <x:v>Non</x:v>
      </x:c>
      <x:c r="K802" s="115" t="str">
        <x:v>Pièces décrites, murs, portes, niveaux et mobilier inspectables à l’échelle. Volumes réservés, raccord au seed, butin, rencontres et services de campagne restent à terminer.</x:v>
      </x:c>
    </x:row>
    <x:row r="803" ht="96" customHeight="1">
      <x:c r="A803" s="115" t="str">
        <x:v>EXT-MONDE-T016-V48</x:v>
      </x:c>
      <x:c r="B803" s="115" t="str">
        <x:v>EXT-MONDE-T016</x:v>
      </x:c>
      <x:c r="C803" s="115" t="str">
        <x:v>Ports</x:v>
      </x:c>
      <x:c r="D803" s="115" t="str">
        <x:v>Terminal ferry</x:v>
      </x:c>
      <x:c r="E803" s="115" t="n">
        <x:v>48</x:v>
      </x:c>
      <x:c r="F803" s="115" t="str">
        <x:v>Inspection physique</x:v>
      </x:c>
      <x:c r="G803" s="115" t="str">
        <x:v>1 niveaux ; 32 pièces ; 248 segments de mur ; 0 transitions. Inspection physique ; architecture complète encore ouverte.</x:v>
      </x:c>
      <x:c r="H803" s="115" t="str">
        <x:v>L 420 ; l 532 ; hauteur 5 m ; choix de composition auteur ; dimensions réelles à documenter</x:v>
      </x:c>
      <x:c r="I803" s="115" t="str">
        <x:v>À équilibrer</x:v>
      </x:c>
      <x:c r="J803" s="115" t="str">
        <x:v>Non</x:v>
      </x:c>
      <x:c r="K803" s="115" t="str">
        <x:v>Pièces décrites, murs, portes, niveaux et mobilier inspectables à l’échelle. Volumes réservés, raccord au seed, butin, rencontres et services de campagne restent à terminer.</x:v>
      </x:c>
    </x:row>
    <x:row r="804" ht="96" customHeight="1">
      <x:c r="A804" s="115" t="str">
        <x:v>EXT-MONDE-T016-V49</x:v>
      </x:c>
      <x:c r="B804" s="115" t="str">
        <x:v>EXT-MONDE-T016</x:v>
      </x:c>
      <x:c r="C804" s="115" t="str">
        <x:v>Ports</x:v>
      </x:c>
      <x:c r="D804" s="115" t="str">
        <x:v>Terminal ferry</x:v>
      </x:c>
      <x:c r="E804" s="115" t="n">
        <x:v>49</x:v>
      </x:c>
      <x:c r="F804" s="115" t="str">
        <x:v>Inspection physique</x:v>
      </x:c>
      <x:c r="G804" s="115" t="str">
        <x:v>1 niveaux ; 32 pièces ; 248 segments de mur ; 0 transitions. Inspection physique ; architecture complète encore ouverte.</x:v>
      </x:c>
      <x:c r="H804" s="115" t="str">
        <x:v>L 420 ; l 532 ; hauteur 5 m ; choix de composition auteur ; dimensions réelles à documenter</x:v>
      </x:c>
      <x:c r="I804" s="115" t="str">
        <x:v>À équilibrer</x:v>
      </x:c>
      <x:c r="J804" s="115" t="str">
        <x:v>Non</x:v>
      </x:c>
      <x:c r="K804" s="115" t="str">
        <x:v>Pièces décrites, murs, portes, niveaux et mobilier inspectables à l’échelle. Volumes réservés, raccord au seed, butin, rencontres et services de campagne restent à terminer.</x:v>
      </x:c>
    </x:row>
    <x:row r="805" ht="96" customHeight="1">
      <x:c r="A805" s="115" t="str">
        <x:v>EXT-MONDE-T016-V50</x:v>
      </x:c>
      <x:c r="B805" s="115" t="str">
        <x:v>EXT-MONDE-T016</x:v>
      </x:c>
      <x:c r="C805" s="115" t="str">
        <x:v>Ports</x:v>
      </x:c>
      <x:c r="D805" s="115" t="str">
        <x:v>Terminal ferry</x:v>
      </x:c>
      <x:c r="E805" s="115" t="n">
        <x:v>50</x:v>
      </x:c>
      <x:c r="F805" s="115" t="str">
        <x:v>Inspection physique</x:v>
      </x:c>
      <x:c r="G805" s="115" t="str">
        <x:v>1 niveaux ; 32 pièces ; 248 segments de mur ; 0 transitions. Inspection physique ; architecture complète encore ouverte.</x:v>
      </x:c>
      <x:c r="H805" s="115" t="str">
        <x:v>L 420 ; l 532 ; hauteur 5 m ; choix de composition auteur ; dimensions réelles à documenter</x:v>
      </x:c>
      <x:c r="I805" s="115" t="str">
        <x:v>À équilibrer</x:v>
      </x:c>
      <x:c r="J805" s="115" t="str">
        <x:v>Non</x:v>
      </x:c>
      <x:c r="K805" s="115" t="str">
        <x:v>Pièces décrites, murs, portes, niveaux et mobilier inspectables à l’échelle. Volumes réservés, raccord au seed, butin, rencontres et services de campagne restent à terminer.</x:v>
      </x:c>
    </x:row>
    <x:row r="806" ht="96" customHeight="1">
      <x:c r="A806" s="115" t="str">
        <x:v>EXT-MONDE-T017-V01</x:v>
      </x:c>
      <x:c r="B806" s="115" t="str">
        <x:v>EXT-MONDE-T017</x:v>
      </x:c>
      <x:c r="C806" s="115" t="str">
        <x:v>Littoral</x:v>
      </x:c>
      <x:c r="D806" s="115" t="str">
        <x:v>Phare et logements</x:v>
      </x:c>
      <x:c r="E806" s="115" t="n">
        <x:v>1</x:v>
      </x:c>
      <x:c r="F806" s="115" t="str">
        <x:v>Inspection physique</x:v>
      </x:c>
      <x:c r="G806" s="115" t="str">
        <x:v>1 niveaux ; 32 pièces ; 248 segments de mur ; 0 transitions. Inspection physique ; architecture complète encore ouverte.</x:v>
      </x:c>
      <x:c r="H806" s="115" t="str">
        <x:v>L 270 ; l 230 ; hauteur 28 m ; choix de composition auteur ; dimensions réelles à documenter</x:v>
      </x:c>
      <x:c r="I806" s="115" t="str">
        <x:v>À équilibrer</x:v>
      </x:c>
      <x:c r="J806" s="115" t="str">
        <x:v>Non</x:v>
      </x:c>
      <x:c r="K806" s="115" t="str">
        <x:v>Pièces décrites, murs, portes, niveaux et mobilier inspectables à l’échelle. Volumes réservés, raccord au seed, butin, rencontres et services de campagne restent à terminer.</x:v>
      </x:c>
    </x:row>
    <x:row r="807" ht="96" customHeight="1">
      <x:c r="A807" s="115" t="str">
        <x:v>EXT-MONDE-T017-V02</x:v>
      </x:c>
      <x:c r="B807" s="115" t="str">
        <x:v>EXT-MONDE-T017</x:v>
      </x:c>
      <x:c r="C807" s="115" t="str">
        <x:v>Littoral</x:v>
      </x:c>
      <x:c r="D807" s="115" t="str">
        <x:v>Phare et logements</x:v>
      </x:c>
      <x:c r="E807" s="115" t="n">
        <x:v>2</x:v>
      </x:c>
      <x:c r="F807" s="115" t="str">
        <x:v>Inspection physique</x:v>
      </x:c>
      <x:c r="G807" s="115" t="str">
        <x:v>1 niveaux ; 32 pièces ; 248 segments de mur ; 0 transitions. Inspection physique ; architecture complète encore ouverte.</x:v>
      </x:c>
      <x:c r="H807" s="115" t="str">
        <x:v>L 270 ; l 230 ; hauteur 28 m ; choix de composition auteur ; dimensions réelles à documenter</x:v>
      </x:c>
      <x:c r="I807" s="115" t="str">
        <x:v>À équilibrer</x:v>
      </x:c>
      <x:c r="J807" s="115" t="str">
        <x:v>Non</x:v>
      </x:c>
      <x:c r="K807" s="115" t="str">
        <x:v>Pièces décrites, murs, portes, niveaux et mobilier inspectables à l’échelle. Volumes réservés, raccord au seed, butin, rencontres et services de campagne restent à terminer.</x:v>
      </x:c>
    </x:row>
    <x:row r="808" ht="96" customHeight="1">
      <x:c r="A808" s="115" t="str">
        <x:v>EXT-MONDE-T017-V03</x:v>
      </x:c>
      <x:c r="B808" s="115" t="str">
        <x:v>EXT-MONDE-T017</x:v>
      </x:c>
      <x:c r="C808" s="115" t="str">
        <x:v>Littoral</x:v>
      </x:c>
      <x:c r="D808" s="115" t="str">
        <x:v>Phare et logements</x:v>
      </x:c>
      <x:c r="E808" s="115" t="n">
        <x:v>3</x:v>
      </x:c>
      <x:c r="F808" s="115" t="str">
        <x:v>Inspection physique</x:v>
      </x:c>
      <x:c r="G808" s="115" t="str">
        <x:v>1 niveaux ; 32 pièces ; 248 segments de mur ; 0 transitions. Inspection physique ; architecture complète encore ouverte.</x:v>
      </x:c>
      <x:c r="H808" s="115" t="str">
        <x:v>L 270 ; l 230 ; hauteur 28 m ; choix de composition auteur ; dimensions réelles à documenter</x:v>
      </x:c>
      <x:c r="I808" s="115" t="str">
        <x:v>À équilibrer</x:v>
      </x:c>
      <x:c r="J808" s="115" t="str">
        <x:v>Non</x:v>
      </x:c>
      <x:c r="K808" s="115" t="str">
        <x:v>Pièces décrites, murs, portes, niveaux et mobilier inspectables à l’échelle. Volumes réservés, raccord au seed, butin, rencontres et services de campagne restent à terminer.</x:v>
      </x:c>
    </x:row>
    <x:row r="809" ht="96" customHeight="1">
      <x:c r="A809" s="115" t="str">
        <x:v>EXT-MONDE-T017-V04</x:v>
      </x:c>
      <x:c r="B809" s="115" t="str">
        <x:v>EXT-MONDE-T017</x:v>
      </x:c>
      <x:c r="C809" s="115" t="str">
        <x:v>Littoral</x:v>
      </x:c>
      <x:c r="D809" s="115" t="str">
        <x:v>Phare et logements</x:v>
      </x:c>
      <x:c r="E809" s="115" t="n">
        <x:v>4</x:v>
      </x:c>
      <x:c r="F809" s="115" t="str">
        <x:v>Inspection physique</x:v>
      </x:c>
      <x:c r="G809" s="115" t="str">
        <x:v>1 niveaux ; 32 pièces ; 248 segments de mur ; 0 transitions. Inspection physique ; architecture complète encore ouverte.</x:v>
      </x:c>
      <x:c r="H809" s="115" t="str">
        <x:v>L 270 ; l 230 ; hauteur 28 m ; choix de composition auteur ; dimensions réelles à documenter</x:v>
      </x:c>
      <x:c r="I809" s="115" t="str">
        <x:v>À équilibrer</x:v>
      </x:c>
      <x:c r="J809" s="115" t="str">
        <x:v>Non</x:v>
      </x:c>
      <x:c r="K809" s="115" t="str">
        <x:v>Pièces décrites, murs, portes, niveaux et mobilier inspectables à l’échelle. Volumes réservés, raccord au seed, butin, rencontres et services de campagne restent à terminer.</x:v>
      </x:c>
    </x:row>
    <x:row r="810" ht="96" customHeight="1">
      <x:c r="A810" s="115" t="str">
        <x:v>EXT-MONDE-T017-V05</x:v>
      </x:c>
      <x:c r="B810" s="115" t="str">
        <x:v>EXT-MONDE-T017</x:v>
      </x:c>
      <x:c r="C810" s="115" t="str">
        <x:v>Littoral</x:v>
      </x:c>
      <x:c r="D810" s="115" t="str">
        <x:v>Phare et logements</x:v>
      </x:c>
      <x:c r="E810" s="115" t="n">
        <x:v>5</x:v>
      </x:c>
      <x:c r="F810" s="115" t="str">
        <x:v>Inspection physique</x:v>
      </x:c>
      <x:c r="G810" s="115" t="str">
        <x:v>1 niveaux ; 32 pièces ; 248 segments de mur ; 0 transitions. Inspection physique ; architecture complète encore ouverte.</x:v>
      </x:c>
      <x:c r="H810" s="115" t="str">
        <x:v>L 270 ; l 230 ; hauteur 28 m ; choix de composition auteur ; dimensions réelles à documenter</x:v>
      </x:c>
      <x:c r="I810" s="115" t="str">
        <x:v>À équilibrer</x:v>
      </x:c>
      <x:c r="J810" s="115" t="str">
        <x:v>Non</x:v>
      </x:c>
      <x:c r="K810" s="115" t="str">
        <x:v>Pièces décrites, murs, portes, niveaux et mobilier inspectables à l’échelle. Volumes réservés, raccord au seed, butin, rencontres et services de campagne restent à terminer.</x:v>
      </x:c>
    </x:row>
    <x:row r="811" ht="96" customHeight="1">
      <x:c r="A811" s="115" t="str">
        <x:v>EXT-MONDE-T017-V06</x:v>
      </x:c>
      <x:c r="B811" s="115" t="str">
        <x:v>EXT-MONDE-T017</x:v>
      </x:c>
      <x:c r="C811" s="115" t="str">
        <x:v>Littoral</x:v>
      </x:c>
      <x:c r="D811" s="115" t="str">
        <x:v>Phare et logements</x:v>
      </x:c>
      <x:c r="E811" s="115" t="n">
        <x:v>6</x:v>
      </x:c>
      <x:c r="F811" s="115" t="str">
        <x:v>Inspection physique</x:v>
      </x:c>
      <x:c r="G811" s="115" t="str">
        <x:v>1 niveaux ; 32 pièces ; 248 segments de mur ; 0 transitions. Inspection physique ; architecture complète encore ouverte.</x:v>
      </x:c>
      <x:c r="H811" s="115" t="str">
        <x:v>L 270 ; l 230 ; hauteur 28 m ; choix de composition auteur ; dimensions réelles à documenter</x:v>
      </x:c>
      <x:c r="I811" s="115" t="str">
        <x:v>À équilibrer</x:v>
      </x:c>
      <x:c r="J811" s="115" t="str">
        <x:v>Non</x:v>
      </x:c>
      <x:c r="K811" s="115" t="str">
        <x:v>Pièces décrites, murs, portes, niveaux et mobilier inspectables à l’échelle. Volumes réservés, raccord au seed, butin, rencontres et services de campagne restent à terminer.</x:v>
      </x:c>
    </x:row>
    <x:row r="812" ht="96" customHeight="1">
      <x:c r="A812" s="115" t="str">
        <x:v>EXT-MONDE-T017-V07</x:v>
      </x:c>
      <x:c r="B812" s="115" t="str">
        <x:v>EXT-MONDE-T017</x:v>
      </x:c>
      <x:c r="C812" s="115" t="str">
        <x:v>Littoral</x:v>
      </x:c>
      <x:c r="D812" s="115" t="str">
        <x:v>Phare et logements</x:v>
      </x:c>
      <x:c r="E812" s="115" t="n">
        <x:v>7</x:v>
      </x:c>
      <x:c r="F812" s="115" t="str">
        <x:v>Inspection physique</x:v>
      </x:c>
      <x:c r="G812" s="115" t="str">
        <x:v>1 niveaux ; 32 pièces ; 248 segments de mur ; 0 transitions. Inspection physique ; architecture complète encore ouverte.</x:v>
      </x:c>
      <x:c r="H812" s="115" t="str">
        <x:v>L 270 ; l 230 ; hauteur 28 m ; choix de composition auteur ; dimensions réelles à documenter</x:v>
      </x:c>
      <x:c r="I812" s="115" t="str">
        <x:v>À équilibrer</x:v>
      </x:c>
      <x:c r="J812" s="115" t="str">
        <x:v>Non</x:v>
      </x:c>
      <x:c r="K812" s="115" t="str">
        <x:v>Pièces décrites, murs, portes, niveaux et mobilier inspectables à l’échelle. Volumes réservés, raccord au seed, butin, rencontres et services de campagne restent à terminer.</x:v>
      </x:c>
    </x:row>
    <x:row r="813" ht="96" customHeight="1">
      <x:c r="A813" s="115" t="str">
        <x:v>EXT-MONDE-T017-V08</x:v>
      </x:c>
      <x:c r="B813" s="115" t="str">
        <x:v>EXT-MONDE-T017</x:v>
      </x:c>
      <x:c r="C813" s="115" t="str">
        <x:v>Littoral</x:v>
      </x:c>
      <x:c r="D813" s="115" t="str">
        <x:v>Phare et logements</x:v>
      </x:c>
      <x:c r="E813" s="115" t="n">
        <x:v>8</x:v>
      </x:c>
      <x:c r="F813" s="115" t="str">
        <x:v>Inspection physique</x:v>
      </x:c>
      <x:c r="G813" s="115" t="str">
        <x:v>1 niveaux ; 32 pièces ; 248 segments de mur ; 0 transitions. Inspection physique ; architecture complète encore ouverte.</x:v>
      </x:c>
      <x:c r="H813" s="115" t="str">
        <x:v>L 270 ; l 230 ; hauteur 28 m ; choix de composition auteur ; dimensions réelles à documenter</x:v>
      </x:c>
      <x:c r="I813" s="115" t="str">
        <x:v>À équilibrer</x:v>
      </x:c>
      <x:c r="J813" s="115" t="str">
        <x:v>Non</x:v>
      </x:c>
      <x:c r="K813" s="115" t="str">
        <x:v>Pièces décrites, murs, portes, niveaux et mobilier inspectables à l’échelle. Volumes réservés, raccord au seed, butin, rencontres et services de campagne restent à terminer.</x:v>
      </x:c>
    </x:row>
    <x:row r="814" ht="96" customHeight="1">
      <x:c r="A814" s="115" t="str">
        <x:v>EXT-MONDE-T017-V09</x:v>
      </x:c>
      <x:c r="B814" s="115" t="str">
        <x:v>EXT-MONDE-T017</x:v>
      </x:c>
      <x:c r="C814" s="115" t="str">
        <x:v>Littoral</x:v>
      </x:c>
      <x:c r="D814" s="115" t="str">
        <x:v>Phare et logements</x:v>
      </x:c>
      <x:c r="E814" s="115" t="n">
        <x:v>9</x:v>
      </x:c>
      <x:c r="F814" s="115" t="str">
        <x:v>Inspection physique</x:v>
      </x:c>
      <x:c r="G814" s="115" t="str">
        <x:v>1 niveaux ; 32 pièces ; 248 segments de mur ; 0 transitions. Inspection physique ; architecture complète encore ouverte.</x:v>
      </x:c>
      <x:c r="H814" s="115" t="str">
        <x:v>L 270 ; l 230 ; hauteur 28 m ; choix de composition auteur ; dimensions réelles à documenter</x:v>
      </x:c>
      <x:c r="I814" s="115" t="str">
        <x:v>À équilibrer</x:v>
      </x:c>
      <x:c r="J814" s="115" t="str">
        <x:v>Non</x:v>
      </x:c>
      <x:c r="K814" s="115" t="str">
        <x:v>Pièces décrites, murs, portes, niveaux et mobilier inspectables à l’échelle. Volumes réservés, raccord au seed, butin, rencontres et services de campagne restent à terminer.</x:v>
      </x:c>
    </x:row>
    <x:row r="815" ht="96" customHeight="1">
      <x:c r="A815" s="115" t="str">
        <x:v>EXT-MONDE-T017-V10</x:v>
      </x:c>
      <x:c r="B815" s="115" t="str">
        <x:v>EXT-MONDE-T017</x:v>
      </x:c>
      <x:c r="C815" s="115" t="str">
        <x:v>Littoral</x:v>
      </x:c>
      <x:c r="D815" s="115" t="str">
        <x:v>Phare et logements</x:v>
      </x:c>
      <x:c r="E815" s="115" t="n">
        <x:v>10</x:v>
      </x:c>
      <x:c r="F815" s="115" t="str">
        <x:v>Inspection physique</x:v>
      </x:c>
      <x:c r="G815" s="115" t="str">
        <x:v>1 niveaux ; 32 pièces ; 248 segments de mur ; 0 transitions. Inspection physique ; architecture complète encore ouverte.</x:v>
      </x:c>
      <x:c r="H815" s="115" t="str">
        <x:v>L 270 ; l 230 ; hauteur 28 m ; choix de composition auteur ; dimensions réelles à documenter</x:v>
      </x:c>
      <x:c r="I815" s="115" t="str">
        <x:v>À équilibrer</x:v>
      </x:c>
      <x:c r="J815" s="115" t="str">
        <x:v>Non</x:v>
      </x:c>
      <x:c r="K815" s="115" t="str">
        <x:v>Pièces décrites, murs, portes, niveaux et mobilier inspectables à l’échelle. Volumes réservés, raccord au seed, butin, rencontres et services de campagne restent à terminer.</x:v>
      </x:c>
    </x:row>
    <x:row r="816" ht="96" customHeight="1">
      <x:c r="A816" s="115" t="str">
        <x:v>EXT-MONDE-T017-V11</x:v>
      </x:c>
      <x:c r="B816" s="115" t="str">
        <x:v>EXT-MONDE-T017</x:v>
      </x:c>
      <x:c r="C816" s="115" t="str">
        <x:v>Littoral</x:v>
      </x:c>
      <x:c r="D816" s="115" t="str">
        <x:v>Phare et logements</x:v>
      </x:c>
      <x:c r="E816" s="115" t="n">
        <x:v>11</x:v>
      </x:c>
      <x:c r="F816" s="115" t="str">
        <x:v>Inspection physique</x:v>
      </x:c>
      <x:c r="G816" s="115" t="str">
        <x:v>1 niveaux ; 32 pièces ; 248 segments de mur ; 0 transitions. Inspection physique ; architecture complète encore ouverte.</x:v>
      </x:c>
      <x:c r="H816" s="115" t="str">
        <x:v>L 288 ; l 246 ; hauteur 30 m ; choix de composition auteur ; dimensions réelles à documenter</x:v>
      </x:c>
      <x:c r="I816" s="115" t="str">
        <x:v>À équilibrer</x:v>
      </x:c>
      <x:c r="J816" s="115" t="str">
        <x:v>Non</x:v>
      </x:c>
      <x:c r="K816" s="115" t="str">
        <x:v>Pièces décrites, murs, portes, niveaux et mobilier inspectables à l’échelle. Volumes réservés, raccord au seed, butin, rencontres et services de campagne restent à terminer.</x:v>
      </x:c>
    </x:row>
    <x:row r="817" ht="96" customHeight="1">
      <x:c r="A817" s="115" t="str">
        <x:v>EXT-MONDE-T017-V12</x:v>
      </x:c>
      <x:c r="B817" s="115" t="str">
        <x:v>EXT-MONDE-T017</x:v>
      </x:c>
      <x:c r="C817" s="115" t="str">
        <x:v>Littoral</x:v>
      </x:c>
      <x:c r="D817" s="115" t="str">
        <x:v>Phare et logements</x:v>
      </x:c>
      <x:c r="E817" s="115" t="n">
        <x:v>12</x:v>
      </x:c>
      <x:c r="F817" s="115" t="str">
        <x:v>Inspection physique</x:v>
      </x:c>
      <x:c r="G817" s="115" t="str">
        <x:v>1 niveaux ; 32 pièces ; 248 segments de mur ; 0 transitions. Inspection physique ; architecture complète encore ouverte.</x:v>
      </x:c>
      <x:c r="H817" s="115" t="str">
        <x:v>L 288 ; l 246 ; hauteur 30 m ; choix de composition auteur ; dimensions réelles à documenter</x:v>
      </x:c>
      <x:c r="I817" s="115" t="str">
        <x:v>À équilibrer</x:v>
      </x:c>
      <x:c r="J817" s="115" t="str">
        <x:v>Non</x:v>
      </x:c>
      <x:c r="K817" s="115" t="str">
        <x:v>Pièces décrites, murs, portes, niveaux et mobilier inspectables à l’échelle. Volumes réservés, raccord au seed, butin, rencontres et services de campagne restent à terminer.</x:v>
      </x:c>
    </x:row>
    <x:row r="818" ht="96" customHeight="1">
      <x:c r="A818" s="115" t="str">
        <x:v>EXT-MONDE-T017-V13</x:v>
      </x:c>
      <x:c r="B818" s="115" t="str">
        <x:v>EXT-MONDE-T017</x:v>
      </x:c>
      <x:c r="C818" s="115" t="str">
        <x:v>Littoral</x:v>
      </x:c>
      <x:c r="D818" s="115" t="str">
        <x:v>Phare et logements</x:v>
      </x:c>
      <x:c r="E818" s="115" t="n">
        <x:v>13</x:v>
      </x:c>
      <x:c r="F818" s="115" t="str">
        <x:v>Inspection physique</x:v>
      </x:c>
      <x:c r="G818" s="115" t="str">
        <x:v>1 niveaux ; 32 pièces ; 248 segments de mur ; 0 transitions. Inspection physique ; architecture complète encore ouverte.</x:v>
      </x:c>
      <x:c r="H818" s="115" t="str">
        <x:v>L 288 ; l 246 ; hauteur 30 m ; choix de composition auteur ; dimensions réelles à documenter</x:v>
      </x:c>
      <x:c r="I818" s="115" t="str">
        <x:v>À équilibrer</x:v>
      </x:c>
      <x:c r="J818" s="115" t="str">
        <x:v>Non</x:v>
      </x:c>
      <x:c r="K818" s="115" t="str">
        <x:v>Pièces décrites, murs, portes, niveaux et mobilier inspectables à l’échelle. Volumes réservés, raccord au seed, butin, rencontres et services de campagne restent à terminer.</x:v>
      </x:c>
    </x:row>
    <x:row r="819" ht="96" customHeight="1">
      <x:c r="A819" s="115" t="str">
        <x:v>EXT-MONDE-T017-V14</x:v>
      </x:c>
      <x:c r="B819" s="115" t="str">
        <x:v>EXT-MONDE-T017</x:v>
      </x:c>
      <x:c r="C819" s="115" t="str">
        <x:v>Littoral</x:v>
      </x:c>
      <x:c r="D819" s="115" t="str">
        <x:v>Phare et logements</x:v>
      </x:c>
      <x:c r="E819" s="115" t="n">
        <x:v>14</x:v>
      </x:c>
      <x:c r="F819" s="115" t="str">
        <x:v>Inspection physique</x:v>
      </x:c>
      <x:c r="G819" s="115" t="str">
        <x:v>1 niveaux ; 32 pièces ; 248 segments de mur ; 0 transitions. Inspection physique ; architecture complète encore ouverte.</x:v>
      </x:c>
      <x:c r="H819" s="115" t="str">
        <x:v>L 288 ; l 246 ; hauteur 30 m ; choix de composition auteur ; dimensions réelles à documenter</x:v>
      </x:c>
      <x:c r="I819" s="115" t="str">
        <x:v>À équilibrer</x:v>
      </x:c>
      <x:c r="J819" s="115" t="str">
        <x:v>Non</x:v>
      </x:c>
      <x:c r="K819" s="115" t="str">
        <x:v>Pièces décrites, murs, portes, niveaux et mobilier inspectables à l’échelle. Volumes réservés, raccord au seed, butin, rencontres et services de campagne restent à terminer.</x:v>
      </x:c>
    </x:row>
    <x:row r="820" ht="96" customHeight="1">
      <x:c r="A820" s="115" t="str">
        <x:v>EXT-MONDE-T017-V15</x:v>
      </x:c>
      <x:c r="B820" s="115" t="str">
        <x:v>EXT-MONDE-T017</x:v>
      </x:c>
      <x:c r="C820" s="115" t="str">
        <x:v>Littoral</x:v>
      </x:c>
      <x:c r="D820" s="115" t="str">
        <x:v>Phare et logements</x:v>
      </x:c>
      <x:c r="E820" s="115" t="n">
        <x:v>15</x:v>
      </x:c>
      <x:c r="F820" s="115" t="str">
        <x:v>Inspection physique</x:v>
      </x:c>
      <x:c r="G820" s="115" t="str">
        <x:v>1 niveaux ; 32 pièces ; 248 segments de mur ; 0 transitions. Inspection physique ; architecture complète encore ouverte.</x:v>
      </x:c>
      <x:c r="H820" s="115" t="str">
        <x:v>L 288 ; l 246 ; hauteur 30 m ; choix de composition auteur ; dimensions réelles à documenter</x:v>
      </x:c>
      <x:c r="I820" s="115" t="str">
        <x:v>À équilibrer</x:v>
      </x:c>
      <x:c r="J820" s="115" t="str">
        <x:v>Non</x:v>
      </x:c>
      <x:c r="K820" s="115" t="str">
        <x:v>Pièces décrites, murs, portes, niveaux et mobilier inspectables à l’échelle. Volumes réservés, raccord au seed, butin, rencontres et services de campagne restent à terminer.</x:v>
      </x:c>
    </x:row>
    <x:row r="821" ht="96" customHeight="1">
      <x:c r="A821" s="115" t="str">
        <x:v>EXT-MONDE-T017-V16</x:v>
      </x:c>
      <x:c r="B821" s="115" t="str">
        <x:v>EXT-MONDE-T017</x:v>
      </x:c>
      <x:c r="C821" s="115" t="str">
        <x:v>Littoral</x:v>
      </x:c>
      <x:c r="D821" s="115" t="str">
        <x:v>Phare et logements</x:v>
      </x:c>
      <x:c r="E821" s="115" t="n">
        <x:v>16</x:v>
      </x:c>
      <x:c r="F821" s="115" t="str">
        <x:v>Inspection physique</x:v>
      </x:c>
      <x:c r="G821" s="115" t="str">
        <x:v>1 niveaux ; 32 pièces ; 248 segments de mur ; 0 transitions. Inspection physique ; architecture complète encore ouverte.</x:v>
      </x:c>
      <x:c r="H821" s="115" t="str">
        <x:v>L 288 ; l 246 ; hauteur 30 m ; choix de composition auteur ; dimensions réelles à documenter</x:v>
      </x:c>
      <x:c r="I821" s="115" t="str">
        <x:v>À équilibrer</x:v>
      </x:c>
      <x:c r="J821" s="115" t="str">
        <x:v>Non</x:v>
      </x:c>
      <x:c r="K821" s="115" t="str">
        <x:v>Pièces décrites, murs, portes, niveaux et mobilier inspectables à l’échelle. Volumes réservés, raccord au seed, butin, rencontres et services de campagne restent à terminer.</x:v>
      </x:c>
    </x:row>
    <x:row r="822" ht="96" customHeight="1">
      <x:c r="A822" s="115" t="str">
        <x:v>EXT-MONDE-T017-V17</x:v>
      </x:c>
      <x:c r="B822" s="115" t="str">
        <x:v>EXT-MONDE-T017</x:v>
      </x:c>
      <x:c r="C822" s="115" t="str">
        <x:v>Littoral</x:v>
      </x:c>
      <x:c r="D822" s="115" t="str">
        <x:v>Phare et logements</x:v>
      </x:c>
      <x:c r="E822" s="115" t="n">
        <x:v>17</x:v>
      </x:c>
      <x:c r="F822" s="115" t="str">
        <x:v>Inspection physique</x:v>
      </x:c>
      <x:c r="G822" s="115" t="str">
        <x:v>1 niveaux ; 32 pièces ; 248 segments de mur ; 0 transitions. Inspection physique ; architecture complète encore ouverte.</x:v>
      </x:c>
      <x:c r="H822" s="115" t="str">
        <x:v>L 288 ; l 246 ; hauteur 30 m ; choix de composition auteur ; dimensions réelles à documenter</x:v>
      </x:c>
      <x:c r="I822" s="115" t="str">
        <x:v>À équilibrer</x:v>
      </x:c>
      <x:c r="J822" s="115" t="str">
        <x:v>Non</x:v>
      </x:c>
      <x:c r="K822" s="115" t="str">
        <x:v>Pièces décrites, murs, portes, niveaux et mobilier inspectables à l’échelle. Volumes réservés, raccord au seed, butin, rencontres et services de campagne restent à terminer.</x:v>
      </x:c>
    </x:row>
    <x:row r="823" ht="96" customHeight="1">
      <x:c r="A823" s="115" t="str">
        <x:v>EXT-MONDE-T017-V18</x:v>
      </x:c>
      <x:c r="B823" s="115" t="str">
        <x:v>EXT-MONDE-T017</x:v>
      </x:c>
      <x:c r="C823" s="115" t="str">
        <x:v>Littoral</x:v>
      </x:c>
      <x:c r="D823" s="115" t="str">
        <x:v>Phare et logements</x:v>
      </x:c>
      <x:c r="E823" s="115" t="n">
        <x:v>18</x:v>
      </x:c>
      <x:c r="F823" s="115" t="str">
        <x:v>Inspection physique</x:v>
      </x:c>
      <x:c r="G823" s="115" t="str">
        <x:v>1 niveaux ; 32 pièces ; 248 segments de mur ; 0 transitions. Inspection physique ; architecture complète encore ouverte.</x:v>
      </x:c>
      <x:c r="H823" s="115" t="str">
        <x:v>L 288 ; l 246 ; hauteur 30 m ; choix de composition auteur ; dimensions réelles à documenter</x:v>
      </x:c>
      <x:c r="I823" s="115" t="str">
        <x:v>À équilibrer</x:v>
      </x:c>
      <x:c r="J823" s="115" t="str">
        <x:v>Non</x:v>
      </x:c>
      <x:c r="K823" s="115" t="str">
        <x:v>Pièces décrites, murs, portes, niveaux et mobilier inspectables à l’échelle. Volumes réservés, raccord au seed, butin, rencontres et services de campagne restent à terminer.</x:v>
      </x:c>
    </x:row>
    <x:row r="824" ht="96" customHeight="1">
      <x:c r="A824" s="115" t="str">
        <x:v>EXT-MONDE-T017-V19</x:v>
      </x:c>
      <x:c r="B824" s="115" t="str">
        <x:v>EXT-MONDE-T017</x:v>
      </x:c>
      <x:c r="C824" s="115" t="str">
        <x:v>Littoral</x:v>
      </x:c>
      <x:c r="D824" s="115" t="str">
        <x:v>Phare et logements</x:v>
      </x:c>
      <x:c r="E824" s="115" t="n">
        <x:v>19</x:v>
      </x:c>
      <x:c r="F824" s="115" t="str">
        <x:v>Inspection physique</x:v>
      </x:c>
      <x:c r="G824" s="115" t="str">
        <x:v>1 niveaux ; 32 pièces ; 248 segments de mur ; 0 transitions. Inspection physique ; architecture complète encore ouverte.</x:v>
      </x:c>
      <x:c r="H824" s="115" t="str">
        <x:v>L 288 ; l 246 ; hauteur 30 m ; choix de composition auteur ; dimensions réelles à documenter</x:v>
      </x:c>
      <x:c r="I824" s="115" t="str">
        <x:v>À équilibrer</x:v>
      </x:c>
      <x:c r="J824" s="115" t="str">
        <x:v>Non</x:v>
      </x:c>
      <x:c r="K824" s="115" t="str">
        <x:v>Pièces décrites, murs, portes, niveaux et mobilier inspectables à l’échelle. Volumes réservés, raccord au seed, butin, rencontres et services de campagne restent à terminer.</x:v>
      </x:c>
    </x:row>
    <x:row r="825" ht="96" customHeight="1">
      <x:c r="A825" s="115" t="str">
        <x:v>EXT-MONDE-T017-V20</x:v>
      </x:c>
      <x:c r="B825" s="115" t="str">
        <x:v>EXT-MONDE-T017</x:v>
      </x:c>
      <x:c r="C825" s="115" t="str">
        <x:v>Littoral</x:v>
      </x:c>
      <x:c r="D825" s="115" t="str">
        <x:v>Phare et logements</x:v>
      </x:c>
      <x:c r="E825" s="115" t="n">
        <x:v>20</x:v>
      </x:c>
      <x:c r="F825" s="115" t="str">
        <x:v>Inspection physique</x:v>
      </x:c>
      <x:c r="G825" s="115" t="str">
        <x:v>1 niveaux ; 32 pièces ; 248 segments de mur ; 0 transitions. Inspection physique ; architecture complète encore ouverte.</x:v>
      </x:c>
      <x:c r="H825" s="115" t="str">
        <x:v>L 288 ; l 246 ; hauteur 30 m ; choix de composition auteur ; dimensions réelles à documenter</x:v>
      </x:c>
      <x:c r="I825" s="115" t="str">
        <x:v>À équilibrer</x:v>
      </x:c>
      <x:c r="J825" s="115" t="str">
        <x:v>Non</x:v>
      </x:c>
      <x:c r="K825" s="115" t="str">
        <x:v>Pièces décrites, murs, portes, niveaux et mobilier inspectables à l’échelle. Volumes réservés, raccord au seed, butin, rencontres et services de campagne restent à terminer.</x:v>
      </x:c>
    </x:row>
    <x:row r="826" ht="96" customHeight="1">
      <x:c r="A826" s="115" t="str">
        <x:v>EXT-MONDE-T017-V21</x:v>
      </x:c>
      <x:c r="B826" s="115" t="str">
        <x:v>EXT-MONDE-T017</x:v>
      </x:c>
      <x:c r="C826" s="115" t="str">
        <x:v>Littoral</x:v>
      </x:c>
      <x:c r="D826" s="115" t="str">
        <x:v>Phare et logements</x:v>
      </x:c>
      <x:c r="E826" s="115" t="n">
        <x:v>21</x:v>
      </x:c>
      <x:c r="F826" s="115" t="str">
        <x:v>Inspection physique</x:v>
      </x:c>
      <x:c r="G826" s="115" t="str">
        <x:v>1 niveaux ; 32 pièces ; 248 segments de mur ; 0 transitions. Inspection physique ; architecture complète encore ouverte.</x:v>
      </x:c>
      <x:c r="H826" s="115" t="str">
        <x:v>L 306 ; l 262 ; hauteur 32 m ; choix de composition auteur ; dimensions réelles à documenter</x:v>
      </x:c>
      <x:c r="I826" s="115" t="str">
        <x:v>À équilibrer</x:v>
      </x:c>
      <x:c r="J826" s="115" t="str">
        <x:v>Non</x:v>
      </x:c>
      <x:c r="K826" s="115" t="str">
        <x:v>Pièces décrites, murs, portes, niveaux et mobilier inspectables à l’échelle. Volumes réservés, raccord au seed, butin, rencontres et services de campagne restent à terminer.</x:v>
      </x:c>
    </x:row>
    <x:row r="827" ht="96" customHeight="1">
      <x:c r="A827" s="115" t="str">
        <x:v>EXT-MONDE-T017-V22</x:v>
      </x:c>
      <x:c r="B827" s="115" t="str">
        <x:v>EXT-MONDE-T017</x:v>
      </x:c>
      <x:c r="C827" s="115" t="str">
        <x:v>Littoral</x:v>
      </x:c>
      <x:c r="D827" s="115" t="str">
        <x:v>Phare et logements</x:v>
      </x:c>
      <x:c r="E827" s="115" t="n">
        <x:v>22</x:v>
      </x:c>
      <x:c r="F827" s="115" t="str">
        <x:v>Inspection physique</x:v>
      </x:c>
      <x:c r="G827" s="115" t="str">
        <x:v>1 niveaux ; 32 pièces ; 248 segments de mur ; 0 transitions. Inspection physique ; architecture complète encore ouverte.</x:v>
      </x:c>
      <x:c r="H827" s="115" t="str">
        <x:v>L 306 ; l 262 ; hauteur 32 m ; choix de composition auteur ; dimensions réelles à documenter</x:v>
      </x:c>
      <x:c r="I827" s="115" t="str">
        <x:v>À équilibrer</x:v>
      </x:c>
      <x:c r="J827" s="115" t="str">
        <x:v>Non</x:v>
      </x:c>
      <x:c r="K827" s="115" t="str">
        <x:v>Pièces décrites, murs, portes, niveaux et mobilier inspectables à l’échelle. Volumes réservés, raccord au seed, butin, rencontres et services de campagne restent à terminer.</x:v>
      </x:c>
    </x:row>
    <x:row r="828" ht="96" customHeight="1">
      <x:c r="A828" s="115" t="str">
        <x:v>EXT-MONDE-T017-V23</x:v>
      </x:c>
      <x:c r="B828" s="115" t="str">
        <x:v>EXT-MONDE-T017</x:v>
      </x:c>
      <x:c r="C828" s="115" t="str">
        <x:v>Littoral</x:v>
      </x:c>
      <x:c r="D828" s="115" t="str">
        <x:v>Phare et logements</x:v>
      </x:c>
      <x:c r="E828" s="115" t="n">
        <x:v>23</x:v>
      </x:c>
      <x:c r="F828" s="115" t="str">
        <x:v>Inspection physique</x:v>
      </x:c>
      <x:c r="G828" s="115" t="str">
        <x:v>1 niveaux ; 32 pièces ; 248 segments de mur ; 0 transitions. Inspection physique ; architecture complète encore ouverte.</x:v>
      </x:c>
      <x:c r="H828" s="115" t="str">
        <x:v>L 306 ; l 262 ; hauteur 32 m ; choix de composition auteur ; dimensions réelles à documenter</x:v>
      </x:c>
      <x:c r="I828" s="115" t="str">
        <x:v>À équilibrer</x:v>
      </x:c>
      <x:c r="J828" s="115" t="str">
        <x:v>Non</x:v>
      </x:c>
      <x:c r="K828" s="115" t="str">
        <x:v>Pièces décrites, murs, portes, niveaux et mobilier inspectables à l’échelle. Volumes réservés, raccord au seed, butin, rencontres et services de campagne restent à terminer.</x:v>
      </x:c>
    </x:row>
    <x:row r="829" ht="96" customHeight="1">
      <x:c r="A829" s="115" t="str">
        <x:v>EXT-MONDE-T017-V24</x:v>
      </x:c>
      <x:c r="B829" s="115" t="str">
        <x:v>EXT-MONDE-T017</x:v>
      </x:c>
      <x:c r="C829" s="115" t="str">
        <x:v>Littoral</x:v>
      </x:c>
      <x:c r="D829" s="115" t="str">
        <x:v>Phare et logements</x:v>
      </x:c>
      <x:c r="E829" s="115" t="n">
        <x:v>24</x:v>
      </x:c>
      <x:c r="F829" s="115" t="str">
        <x:v>Inspection physique</x:v>
      </x:c>
      <x:c r="G829" s="115" t="str">
        <x:v>1 niveaux ; 32 pièces ; 248 segments de mur ; 0 transitions. Inspection physique ; architecture complète encore ouverte.</x:v>
      </x:c>
      <x:c r="H829" s="115" t="str">
        <x:v>L 306 ; l 262 ; hauteur 32 m ; choix de composition auteur ; dimensions réelles à documenter</x:v>
      </x:c>
      <x:c r="I829" s="115" t="str">
        <x:v>À équilibrer</x:v>
      </x:c>
      <x:c r="J829" s="115" t="str">
        <x:v>Non</x:v>
      </x:c>
      <x:c r="K829" s="115" t="str">
        <x:v>Pièces décrites, murs, portes, niveaux et mobilier inspectables à l’échelle. Volumes réservés, raccord au seed, butin, rencontres et services de campagne restent à terminer.</x:v>
      </x:c>
    </x:row>
    <x:row r="830" ht="96" customHeight="1">
      <x:c r="A830" s="115" t="str">
        <x:v>EXT-MONDE-T017-V25</x:v>
      </x:c>
      <x:c r="B830" s="115" t="str">
        <x:v>EXT-MONDE-T017</x:v>
      </x:c>
      <x:c r="C830" s="115" t="str">
        <x:v>Littoral</x:v>
      </x:c>
      <x:c r="D830" s="115" t="str">
        <x:v>Phare et logements</x:v>
      </x:c>
      <x:c r="E830" s="115" t="n">
        <x:v>25</x:v>
      </x:c>
      <x:c r="F830" s="115" t="str">
        <x:v>Inspection physique</x:v>
      </x:c>
      <x:c r="G830" s="115" t="str">
        <x:v>1 niveaux ; 32 pièces ; 248 segments de mur ; 0 transitions. Inspection physique ; architecture complète encore ouverte.</x:v>
      </x:c>
      <x:c r="H830" s="115" t="str">
        <x:v>L 306 ; l 262 ; hauteur 32 m ; choix de composition auteur ; dimensions réelles à documenter</x:v>
      </x:c>
      <x:c r="I830" s="115" t="str">
        <x:v>À équilibrer</x:v>
      </x:c>
      <x:c r="J830" s="115" t="str">
        <x:v>Non</x:v>
      </x:c>
      <x:c r="K830" s="115" t="str">
        <x:v>Pièces décrites, murs, portes, niveaux et mobilier inspectables à l’échelle. Volumes réservés, raccord au seed, butin, rencontres et services de campagne restent à terminer.</x:v>
      </x:c>
    </x:row>
    <x:row r="831" ht="96" customHeight="1">
      <x:c r="A831" s="115" t="str">
        <x:v>EXT-MONDE-T017-V26</x:v>
      </x:c>
      <x:c r="B831" s="115" t="str">
        <x:v>EXT-MONDE-T017</x:v>
      </x:c>
      <x:c r="C831" s="115" t="str">
        <x:v>Littoral</x:v>
      </x:c>
      <x:c r="D831" s="115" t="str">
        <x:v>Phare et logements</x:v>
      </x:c>
      <x:c r="E831" s="115" t="n">
        <x:v>26</x:v>
      </x:c>
      <x:c r="F831" s="115" t="str">
        <x:v>Inspection physique</x:v>
      </x:c>
      <x:c r="G831" s="115" t="str">
        <x:v>1 niveaux ; 32 pièces ; 248 segments de mur ; 0 transitions. Inspection physique ; architecture complète encore ouverte.</x:v>
      </x:c>
      <x:c r="H831" s="115" t="str">
        <x:v>L 306 ; l 262 ; hauteur 32 m ; choix de composition auteur ; dimensions réelles à documenter</x:v>
      </x:c>
      <x:c r="I831" s="115" t="str">
        <x:v>À équilibrer</x:v>
      </x:c>
      <x:c r="J831" s="115" t="str">
        <x:v>Non</x:v>
      </x:c>
      <x:c r="K831" s="115" t="str">
        <x:v>Pièces décrites, murs, portes, niveaux et mobilier inspectables à l’échelle. Volumes réservés, raccord au seed, butin, rencontres et services de campagne restent à terminer.</x:v>
      </x:c>
    </x:row>
    <x:row r="832" ht="96" customHeight="1">
      <x:c r="A832" s="115" t="str">
        <x:v>EXT-MONDE-T017-V27</x:v>
      </x:c>
      <x:c r="B832" s="115" t="str">
        <x:v>EXT-MONDE-T017</x:v>
      </x:c>
      <x:c r="C832" s="115" t="str">
        <x:v>Littoral</x:v>
      </x:c>
      <x:c r="D832" s="115" t="str">
        <x:v>Phare et logements</x:v>
      </x:c>
      <x:c r="E832" s="115" t="n">
        <x:v>27</x:v>
      </x:c>
      <x:c r="F832" s="115" t="str">
        <x:v>Inspection physique</x:v>
      </x:c>
      <x:c r="G832" s="115" t="str">
        <x:v>1 niveaux ; 32 pièces ; 248 segments de mur ; 0 transitions. Inspection physique ; architecture complète encore ouverte.</x:v>
      </x:c>
      <x:c r="H832" s="115" t="str">
        <x:v>L 306 ; l 262 ; hauteur 32 m ; choix de composition auteur ; dimensions réelles à documenter</x:v>
      </x:c>
      <x:c r="I832" s="115" t="str">
        <x:v>À équilibrer</x:v>
      </x:c>
      <x:c r="J832" s="115" t="str">
        <x:v>Non</x:v>
      </x:c>
      <x:c r="K832" s="115" t="str">
        <x:v>Pièces décrites, murs, portes, niveaux et mobilier inspectables à l’échelle. Volumes réservés, raccord au seed, butin, rencontres et services de campagne restent à terminer.</x:v>
      </x:c>
    </x:row>
    <x:row r="833" ht="96" customHeight="1">
      <x:c r="A833" s="115" t="str">
        <x:v>EXT-MONDE-T017-V28</x:v>
      </x:c>
      <x:c r="B833" s="115" t="str">
        <x:v>EXT-MONDE-T017</x:v>
      </x:c>
      <x:c r="C833" s="115" t="str">
        <x:v>Littoral</x:v>
      </x:c>
      <x:c r="D833" s="115" t="str">
        <x:v>Phare et logements</x:v>
      </x:c>
      <x:c r="E833" s="115" t="n">
        <x:v>28</x:v>
      </x:c>
      <x:c r="F833" s="115" t="str">
        <x:v>Inspection physique</x:v>
      </x:c>
      <x:c r="G833" s="115" t="str">
        <x:v>1 niveaux ; 32 pièces ; 248 segments de mur ; 0 transitions. Inspection physique ; architecture complète encore ouverte.</x:v>
      </x:c>
      <x:c r="H833" s="115" t="str">
        <x:v>L 306 ; l 262 ; hauteur 32 m ; choix de composition auteur ; dimensions réelles à documenter</x:v>
      </x:c>
      <x:c r="I833" s="115" t="str">
        <x:v>À équilibrer</x:v>
      </x:c>
      <x:c r="J833" s="115" t="str">
        <x:v>Non</x:v>
      </x:c>
      <x:c r="K833" s="115" t="str">
        <x:v>Pièces décrites, murs, portes, niveaux et mobilier inspectables à l’échelle. Volumes réservés, raccord au seed, butin, rencontres et services de campagne restent à terminer.</x:v>
      </x:c>
    </x:row>
    <x:row r="834" ht="96" customHeight="1">
      <x:c r="A834" s="115" t="str">
        <x:v>EXT-MONDE-T017-V29</x:v>
      </x:c>
      <x:c r="B834" s="115" t="str">
        <x:v>EXT-MONDE-T017</x:v>
      </x:c>
      <x:c r="C834" s="115" t="str">
        <x:v>Littoral</x:v>
      </x:c>
      <x:c r="D834" s="115" t="str">
        <x:v>Phare et logements</x:v>
      </x:c>
      <x:c r="E834" s="115" t="n">
        <x:v>29</x:v>
      </x:c>
      <x:c r="F834" s="115" t="str">
        <x:v>Inspection physique</x:v>
      </x:c>
      <x:c r="G834" s="115" t="str">
        <x:v>1 niveaux ; 32 pièces ; 248 segments de mur ; 0 transitions. Inspection physique ; architecture complète encore ouverte.</x:v>
      </x:c>
      <x:c r="H834" s="115" t="str">
        <x:v>L 306 ; l 262 ; hauteur 32 m ; choix de composition auteur ; dimensions réelles à documenter</x:v>
      </x:c>
      <x:c r="I834" s="115" t="str">
        <x:v>À équilibrer</x:v>
      </x:c>
      <x:c r="J834" s="115" t="str">
        <x:v>Non</x:v>
      </x:c>
      <x:c r="K834" s="115" t="str">
        <x:v>Pièces décrites, murs, portes, niveaux et mobilier inspectables à l’échelle. Volumes réservés, raccord au seed, butin, rencontres et services de campagne restent à terminer.</x:v>
      </x:c>
    </x:row>
    <x:row r="835" ht="96" customHeight="1">
      <x:c r="A835" s="115" t="str">
        <x:v>EXT-MONDE-T017-V30</x:v>
      </x:c>
      <x:c r="B835" s="115" t="str">
        <x:v>EXT-MONDE-T017</x:v>
      </x:c>
      <x:c r="C835" s="115" t="str">
        <x:v>Littoral</x:v>
      </x:c>
      <x:c r="D835" s="115" t="str">
        <x:v>Phare et logements</x:v>
      </x:c>
      <x:c r="E835" s="115" t="n">
        <x:v>30</x:v>
      </x:c>
      <x:c r="F835" s="115" t="str">
        <x:v>Inspection physique</x:v>
      </x:c>
      <x:c r="G835" s="115" t="str">
        <x:v>1 niveaux ; 32 pièces ; 248 segments de mur ; 0 transitions. Inspection physique ; architecture complète encore ouverte.</x:v>
      </x:c>
      <x:c r="H835" s="115" t="str">
        <x:v>L 306 ; l 262 ; hauteur 32 m ; choix de composition auteur ; dimensions réelles à documenter</x:v>
      </x:c>
      <x:c r="I835" s="115" t="str">
        <x:v>À équilibrer</x:v>
      </x:c>
      <x:c r="J835" s="115" t="str">
        <x:v>Non</x:v>
      </x:c>
      <x:c r="K835" s="115" t="str">
        <x:v>Pièces décrites, murs, portes, niveaux et mobilier inspectables à l’échelle. Volumes réservés, raccord au seed, butin, rencontres et services de campagne restent à terminer.</x:v>
      </x:c>
    </x:row>
    <x:row r="836" ht="96" customHeight="1">
      <x:c r="A836" s="115" t="str">
        <x:v>EXT-MONDE-T017-V31</x:v>
      </x:c>
      <x:c r="B836" s="115" t="str">
        <x:v>EXT-MONDE-T017</x:v>
      </x:c>
      <x:c r="C836" s="115" t="str">
        <x:v>Littoral</x:v>
      </x:c>
      <x:c r="D836" s="115" t="str">
        <x:v>Phare et logements</x:v>
      </x:c>
      <x:c r="E836" s="115" t="n">
        <x:v>31</x:v>
      </x:c>
      <x:c r="F836" s="115" t="str">
        <x:v>Inspection physique</x:v>
      </x:c>
      <x:c r="G836" s="115" t="str">
        <x:v>1 niveaux ; 32 pièces ; 248 segments de mur ; 0 transitions. Inspection physique ; architecture complète encore ouverte.</x:v>
      </x:c>
      <x:c r="H836" s="115" t="str">
        <x:v>L 324 ; l 278 ; hauteur 34 m ; choix de composition auteur ; dimensions réelles à documenter</x:v>
      </x:c>
      <x:c r="I836" s="115" t="str">
        <x:v>À équilibrer</x:v>
      </x:c>
      <x:c r="J836" s="115" t="str">
        <x:v>Non</x:v>
      </x:c>
      <x:c r="K836" s="115" t="str">
        <x:v>Pièces décrites, murs, portes, niveaux et mobilier inspectables à l’échelle. Volumes réservés, raccord au seed, butin, rencontres et services de campagne restent à terminer.</x:v>
      </x:c>
    </x:row>
    <x:row r="837" ht="96" customHeight="1">
      <x:c r="A837" s="115" t="str">
        <x:v>EXT-MONDE-T017-V32</x:v>
      </x:c>
      <x:c r="B837" s="115" t="str">
        <x:v>EXT-MONDE-T017</x:v>
      </x:c>
      <x:c r="C837" s="115" t="str">
        <x:v>Littoral</x:v>
      </x:c>
      <x:c r="D837" s="115" t="str">
        <x:v>Phare et logements</x:v>
      </x:c>
      <x:c r="E837" s="115" t="n">
        <x:v>32</x:v>
      </x:c>
      <x:c r="F837" s="115" t="str">
        <x:v>Inspection physique</x:v>
      </x:c>
      <x:c r="G837" s="115" t="str">
        <x:v>1 niveaux ; 32 pièces ; 248 segments de mur ; 0 transitions. Inspection physique ; architecture complète encore ouverte.</x:v>
      </x:c>
      <x:c r="H837" s="115" t="str">
        <x:v>L 324 ; l 278 ; hauteur 34 m ; choix de composition auteur ; dimensions réelles à documenter</x:v>
      </x:c>
      <x:c r="I837" s="115" t="str">
        <x:v>À équilibrer</x:v>
      </x:c>
      <x:c r="J837" s="115" t="str">
        <x:v>Non</x:v>
      </x:c>
      <x:c r="K837" s="115" t="str">
        <x:v>Pièces décrites, murs, portes, niveaux et mobilier inspectables à l’échelle. Volumes réservés, raccord au seed, butin, rencontres et services de campagne restent à terminer.</x:v>
      </x:c>
    </x:row>
    <x:row r="838" ht="96" customHeight="1">
      <x:c r="A838" s="115" t="str">
        <x:v>EXT-MONDE-T017-V33</x:v>
      </x:c>
      <x:c r="B838" s="115" t="str">
        <x:v>EXT-MONDE-T017</x:v>
      </x:c>
      <x:c r="C838" s="115" t="str">
        <x:v>Littoral</x:v>
      </x:c>
      <x:c r="D838" s="115" t="str">
        <x:v>Phare et logements</x:v>
      </x:c>
      <x:c r="E838" s="115" t="n">
        <x:v>33</x:v>
      </x:c>
      <x:c r="F838" s="115" t="str">
        <x:v>Inspection physique</x:v>
      </x:c>
      <x:c r="G838" s="115" t="str">
        <x:v>1 niveaux ; 32 pièces ; 248 segments de mur ; 0 transitions. Inspection physique ; architecture complète encore ouverte.</x:v>
      </x:c>
      <x:c r="H838" s="115" t="str">
        <x:v>L 324 ; l 278 ; hauteur 34 m ; choix de composition auteur ; dimensions réelles à documenter</x:v>
      </x:c>
      <x:c r="I838" s="115" t="str">
        <x:v>À équilibrer</x:v>
      </x:c>
      <x:c r="J838" s="115" t="str">
        <x:v>Non</x:v>
      </x:c>
      <x:c r="K838" s="115" t="str">
        <x:v>Pièces décrites, murs, portes, niveaux et mobilier inspectables à l’échelle. Volumes réservés, raccord au seed, butin, rencontres et services de campagne restent à terminer.</x:v>
      </x:c>
    </x:row>
    <x:row r="839" ht="96" customHeight="1">
      <x:c r="A839" s="115" t="str">
        <x:v>EXT-MONDE-T017-V34</x:v>
      </x:c>
      <x:c r="B839" s="115" t="str">
        <x:v>EXT-MONDE-T017</x:v>
      </x:c>
      <x:c r="C839" s="115" t="str">
        <x:v>Littoral</x:v>
      </x:c>
      <x:c r="D839" s="115" t="str">
        <x:v>Phare et logements</x:v>
      </x:c>
      <x:c r="E839" s="115" t="n">
        <x:v>34</x:v>
      </x:c>
      <x:c r="F839" s="115" t="str">
        <x:v>Inspection physique</x:v>
      </x:c>
      <x:c r="G839" s="115" t="str">
        <x:v>1 niveaux ; 32 pièces ; 248 segments de mur ; 0 transitions. Inspection physique ; architecture complète encore ouverte.</x:v>
      </x:c>
      <x:c r="H839" s="115" t="str">
        <x:v>L 324 ; l 278 ; hauteur 34 m ; choix de composition auteur ; dimensions réelles à documenter</x:v>
      </x:c>
      <x:c r="I839" s="115" t="str">
        <x:v>À équilibrer</x:v>
      </x:c>
      <x:c r="J839" s="115" t="str">
        <x:v>Non</x:v>
      </x:c>
      <x:c r="K839" s="115" t="str">
        <x:v>Pièces décrites, murs, portes, niveaux et mobilier inspectables à l’échelle. Volumes réservés, raccord au seed, butin, rencontres et services de campagne restent à terminer.</x:v>
      </x:c>
    </x:row>
    <x:row r="840" ht="96" customHeight="1">
      <x:c r="A840" s="115" t="str">
        <x:v>EXT-MONDE-T017-V35</x:v>
      </x:c>
      <x:c r="B840" s="115" t="str">
        <x:v>EXT-MONDE-T017</x:v>
      </x:c>
      <x:c r="C840" s="115" t="str">
        <x:v>Littoral</x:v>
      </x:c>
      <x:c r="D840" s="115" t="str">
        <x:v>Phare et logements</x:v>
      </x:c>
      <x:c r="E840" s="115" t="n">
        <x:v>35</x:v>
      </x:c>
      <x:c r="F840" s="115" t="str">
        <x:v>Inspection physique</x:v>
      </x:c>
      <x:c r="G840" s="115" t="str">
        <x:v>1 niveaux ; 32 pièces ; 248 segments de mur ; 0 transitions. Inspection physique ; architecture complète encore ouverte.</x:v>
      </x:c>
      <x:c r="H840" s="115" t="str">
        <x:v>L 324 ; l 278 ; hauteur 34 m ; choix de composition auteur ; dimensions réelles à documenter</x:v>
      </x:c>
      <x:c r="I840" s="115" t="str">
        <x:v>À équilibrer</x:v>
      </x:c>
      <x:c r="J840" s="115" t="str">
        <x:v>Non</x:v>
      </x:c>
      <x:c r="K840" s="115" t="str">
        <x:v>Pièces décrites, murs, portes, niveaux et mobilier inspectables à l’échelle. Volumes réservés, raccord au seed, butin, rencontres et services de campagne restent à terminer.</x:v>
      </x:c>
    </x:row>
    <x:row r="841" ht="96" customHeight="1">
      <x:c r="A841" s="115" t="str">
        <x:v>EXT-MONDE-T017-V36</x:v>
      </x:c>
      <x:c r="B841" s="115" t="str">
        <x:v>EXT-MONDE-T017</x:v>
      </x:c>
      <x:c r="C841" s="115" t="str">
        <x:v>Littoral</x:v>
      </x:c>
      <x:c r="D841" s="115" t="str">
        <x:v>Phare et logements</x:v>
      </x:c>
      <x:c r="E841" s="115" t="n">
        <x:v>36</x:v>
      </x:c>
      <x:c r="F841" s="115" t="str">
        <x:v>Inspection physique</x:v>
      </x:c>
      <x:c r="G841" s="115" t="str">
        <x:v>1 niveaux ; 32 pièces ; 248 segments de mur ; 0 transitions. Inspection physique ; architecture complète encore ouverte.</x:v>
      </x:c>
      <x:c r="H841" s="115" t="str">
        <x:v>L 324 ; l 278 ; hauteur 34 m ; choix de composition auteur ; dimensions réelles à documenter</x:v>
      </x:c>
      <x:c r="I841" s="115" t="str">
        <x:v>À équilibrer</x:v>
      </x:c>
      <x:c r="J841" s="115" t="str">
        <x:v>Non</x:v>
      </x:c>
      <x:c r="K841" s="115" t="str">
        <x:v>Pièces décrites, murs, portes, niveaux et mobilier inspectables à l’échelle. Volumes réservés, raccord au seed, butin, rencontres et services de campagne restent à terminer.</x:v>
      </x:c>
    </x:row>
    <x:row r="842" ht="96" customHeight="1">
      <x:c r="A842" s="115" t="str">
        <x:v>EXT-MONDE-T017-V37</x:v>
      </x:c>
      <x:c r="B842" s="115" t="str">
        <x:v>EXT-MONDE-T017</x:v>
      </x:c>
      <x:c r="C842" s="115" t="str">
        <x:v>Littoral</x:v>
      </x:c>
      <x:c r="D842" s="115" t="str">
        <x:v>Phare et logements</x:v>
      </x:c>
      <x:c r="E842" s="115" t="n">
        <x:v>37</x:v>
      </x:c>
      <x:c r="F842" s="115" t="str">
        <x:v>Inspection physique</x:v>
      </x:c>
      <x:c r="G842" s="115" t="str">
        <x:v>1 niveaux ; 32 pièces ; 248 segments de mur ; 0 transitions. Inspection physique ; architecture complète encore ouverte.</x:v>
      </x:c>
      <x:c r="H842" s="115" t="str">
        <x:v>L 324 ; l 278 ; hauteur 34 m ; choix de composition auteur ; dimensions réelles à documenter</x:v>
      </x:c>
      <x:c r="I842" s="115" t="str">
        <x:v>À équilibrer</x:v>
      </x:c>
      <x:c r="J842" s="115" t="str">
        <x:v>Non</x:v>
      </x:c>
      <x:c r="K842" s="115" t="str">
        <x:v>Pièces décrites, murs, portes, niveaux et mobilier inspectables à l’échelle. Volumes réservés, raccord au seed, butin, rencontres et services de campagne restent à terminer.</x:v>
      </x:c>
    </x:row>
    <x:row r="843" ht="96" customHeight="1">
      <x:c r="A843" s="115" t="str">
        <x:v>EXT-MONDE-T017-V38</x:v>
      </x:c>
      <x:c r="B843" s="115" t="str">
        <x:v>EXT-MONDE-T017</x:v>
      </x:c>
      <x:c r="C843" s="115" t="str">
        <x:v>Littoral</x:v>
      </x:c>
      <x:c r="D843" s="115" t="str">
        <x:v>Phare et logements</x:v>
      </x:c>
      <x:c r="E843" s="115" t="n">
        <x:v>38</x:v>
      </x:c>
      <x:c r="F843" s="115" t="str">
        <x:v>Inspection physique</x:v>
      </x:c>
      <x:c r="G843" s="115" t="str">
        <x:v>1 niveaux ; 32 pièces ; 248 segments de mur ; 0 transitions. Inspection physique ; architecture complète encore ouverte.</x:v>
      </x:c>
      <x:c r="H843" s="115" t="str">
        <x:v>L 324 ; l 278 ; hauteur 34 m ; choix de composition auteur ; dimensions réelles à documenter</x:v>
      </x:c>
      <x:c r="I843" s="115" t="str">
        <x:v>À équilibrer</x:v>
      </x:c>
      <x:c r="J843" s="115" t="str">
        <x:v>Non</x:v>
      </x:c>
      <x:c r="K843" s="115" t="str">
        <x:v>Pièces décrites, murs, portes, niveaux et mobilier inspectables à l’échelle. Volumes réservés, raccord au seed, butin, rencontres et services de campagne restent à terminer.</x:v>
      </x:c>
    </x:row>
    <x:row r="844" ht="96" customHeight="1">
      <x:c r="A844" s="115" t="str">
        <x:v>EXT-MONDE-T017-V39</x:v>
      </x:c>
      <x:c r="B844" s="115" t="str">
        <x:v>EXT-MONDE-T017</x:v>
      </x:c>
      <x:c r="C844" s="115" t="str">
        <x:v>Littoral</x:v>
      </x:c>
      <x:c r="D844" s="115" t="str">
        <x:v>Phare et logements</x:v>
      </x:c>
      <x:c r="E844" s="115" t="n">
        <x:v>39</x:v>
      </x:c>
      <x:c r="F844" s="115" t="str">
        <x:v>Inspection physique</x:v>
      </x:c>
      <x:c r="G844" s="115" t="str">
        <x:v>1 niveaux ; 32 pièces ; 248 segments de mur ; 0 transitions. Inspection physique ; architecture complète encore ouverte.</x:v>
      </x:c>
      <x:c r="H844" s="115" t="str">
        <x:v>L 324 ; l 278 ; hauteur 34 m ; choix de composition auteur ; dimensions réelles à documenter</x:v>
      </x:c>
      <x:c r="I844" s="115" t="str">
        <x:v>À équilibrer</x:v>
      </x:c>
      <x:c r="J844" s="115" t="str">
        <x:v>Non</x:v>
      </x:c>
      <x:c r="K844" s="115" t="str">
        <x:v>Pièces décrites, murs, portes, niveaux et mobilier inspectables à l’échelle. Volumes réservés, raccord au seed, butin, rencontres et services de campagne restent à terminer.</x:v>
      </x:c>
    </x:row>
    <x:row r="845" ht="96" customHeight="1">
      <x:c r="A845" s="115" t="str">
        <x:v>EXT-MONDE-T017-V40</x:v>
      </x:c>
      <x:c r="B845" s="115" t="str">
        <x:v>EXT-MONDE-T017</x:v>
      </x:c>
      <x:c r="C845" s="115" t="str">
        <x:v>Littoral</x:v>
      </x:c>
      <x:c r="D845" s="115" t="str">
        <x:v>Phare et logements</x:v>
      </x:c>
      <x:c r="E845" s="115" t="n">
        <x:v>40</x:v>
      </x:c>
      <x:c r="F845" s="115" t="str">
        <x:v>Inspection physique</x:v>
      </x:c>
      <x:c r="G845" s="115" t="str">
        <x:v>1 niveaux ; 32 pièces ; 248 segments de mur ; 0 transitions. Inspection physique ; architecture complète encore ouverte.</x:v>
      </x:c>
      <x:c r="H845" s="115" t="str">
        <x:v>L 324 ; l 278 ; hauteur 34 m ; choix de composition auteur ; dimensions réelles à documenter</x:v>
      </x:c>
      <x:c r="I845" s="115" t="str">
        <x:v>À équilibrer</x:v>
      </x:c>
      <x:c r="J845" s="115" t="str">
        <x:v>Non</x:v>
      </x:c>
      <x:c r="K845" s="115" t="str">
        <x:v>Pièces décrites, murs, portes, niveaux et mobilier inspectables à l’échelle. Volumes réservés, raccord au seed, butin, rencontres et services de campagne restent à terminer.</x:v>
      </x:c>
    </x:row>
    <x:row r="846" ht="96" customHeight="1">
      <x:c r="A846" s="115" t="str">
        <x:v>EXT-MONDE-T017-V41</x:v>
      </x:c>
      <x:c r="B846" s="115" t="str">
        <x:v>EXT-MONDE-T017</x:v>
      </x:c>
      <x:c r="C846" s="115" t="str">
        <x:v>Littoral</x:v>
      </x:c>
      <x:c r="D846" s="115" t="str">
        <x:v>Phare et logements</x:v>
      </x:c>
      <x:c r="E846" s="115" t="n">
        <x:v>41</x:v>
      </x:c>
      <x:c r="F846" s="115" t="str">
        <x:v>Inspection physique</x:v>
      </x:c>
      <x:c r="G846" s="115" t="str">
        <x:v>1 niveaux ; 32 pièces ; 248 segments de mur ; 0 transitions. Inspection physique ; architecture complète encore ouverte.</x:v>
      </x:c>
      <x:c r="H846" s="115" t="str">
        <x:v>L 342 ; l 294 ; hauteur 36 m ; choix de composition auteur ; dimensions réelles à documenter</x:v>
      </x:c>
      <x:c r="I846" s="115" t="str">
        <x:v>À équilibrer</x:v>
      </x:c>
      <x:c r="J846" s="115" t="str">
        <x:v>Non</x:v>
      </x:c>
      <x:c r="K846" s="115" t="str">
        <x:v>Pièces décrites, murs, portes, niveaux et mobilier inspectables à l’échelle. Volumes réservés, raccord au seed, butin, rencontres et services de campagne restent à terminer.</x:v>
      </x:c>
    </x:row>
    <x:row r="847" ht="96" customHeight="1">
      <x:c r="A847" s="115" t="str">
        <x:v>EXT-MONDE-T017-V42</x:v>
      </x:c>
      <x:c r="B847" s="115" t="str">
        <x:v>EXT-MONDE-T017</x:v>
      </x:c>
      <x:c r="C847" s="115" t="str">
        <x:v>Littoral</x:v>
      </x:c>
      <x:c r="D847" s="115" t="str">
        <x:v>Phare et logements</x:v>
      </x:c>
      <x:c r="E847" s="115" t="n">
        <x:v>42</x:v>
      </x:c>
      <x:c r="F847" s="115" t="str">
        <x:v>Inspection physique</x:v>
      </x:c>
      <x:c r="G847" s="115" t="str">
        <x:v>1 niveaux ; 32 pièces ; 248 segments de mur ; 0 transitions. Inspection physique ; architecture complète encore ouverte.</x:v>
      </x:c>
      <x:c r="H847" s="115" t="str">
        <x:v>L 342 ; l 294 ; hauteur 36 m ; choix de composition auteur ; dimensions réelles à documenter</x:v>
      </x:c>
      <x:c r="I847" s="115" t="str">
        <x:v>À équilibrer</x:v>
      </x:c>
      <x:c r="J847" s="115" t="str">
        <x:v>Non</x:v>
      </x:c>
      <x:c r="K847" s="115" t="str">
        <x:v>Pièces décrites, murs, portes, niveaux et mobilier inspectables à l’échelle. Volumes réservés, raccord au seed, butin, rencontres et services de campagne restent à terminer.</x:v>
      </x:c>
    </x:row>
    <x:row r="848" ht="96" customHeight="1">
      <x:c r="A848" s="115" t="str">
        <x:v>EXT-MONDE-T017-V43</x:v>
      </x:c>
      <x:c r="B848" s="115" t="str">
        <x:v>EXT-MONDE-T017</x:v>
      </x:c>
      <x:c r="C848" s="115" t="str">
        <x:v>Littoral</x:v>
      </x:c>
      <x:c r="D848" s="115" t="str">
        <x:v>Phare et logements</x:v>
      </x:c>
      <x:c r="E848" s="115" t="n">
        <x:v>43</x:v>
      </x:c>
      <x:c r="F848" s="115" t="str">
        <x:v>Inspection physique</x:v>
      </x:c>
      <x:c r="G848" s="115" t="str">
        <x:v>1 niveaux ; 32 pièces ; 248 segments de mur ; 0 transitions. Inspection physique ; architecture complète encore ouverte.</x:v>
      </x:c>
      <x:c r="H848" s="115" t="str">
        <x:v>L 342 ; l 294 ; hauteur 36 m ; choix de composition auteur ; dimensions réelles à documenter</x:v>
      </x:c>
      <x:c r="I848" s="115" t="str">
        <x:v>À équilibrer</x:v>
      </x:c>
      <x:c r="J848" s="115" t="str">
        <x:v>Non</x:v>
      </x:c>
      <x:c r="K848" s="115" t="str">
        <x:v>Pièces décrites, murs, portes, niveaux et mobilier inspectables à l’échelle. Volumes réservés, raccord au seed, butin, rencontres et services de campagne restent à terminer.</x:v>
      </x:c>
    </x:row>
    <x:row r="849" ht="96" customHeight="1">
      <x:c r="A849" s="115" t="str">
        <x:v>EXT-MONDE-T017-V44</x:v>
      </x:c>
      <x:c r="B849" s="115" t="str">
        <x:v>EXT-MONDE-T017</x:v>
      </x:c>
      <x:c r="C849" s="115" t="str">
        <x:v>Littoral</x:v>
      </x:c>
      <x:c r="D849" s="115" t="str">
        <x:v>Phare et logements</x:v>
      </x:c>
      <x:c r="E849" s="115" t="n">
        <x:v>44</x:v>
      </x:c>
      <x:c r="F849" s="115" t="str">
        <x:v>Inspection physique</x:v>
      </x:c>
      <x:c r="G849" s="115" t="str">
        <x:v>1 niveaux ; 32 pièces ; 248 segments de mur ; 0 transitions. Inspection physique ; architecture complète encore ouverte.</x:v>
      </x:c>
      <x:c r="H849" s="115" t="str">
        <x:v>L 342 ; l 294 ; hauteur 36 m ; choix de composition auteur ; dimensions réelles à documenter</x:v>
      </x:c>
      <x:c r="I849" s="115" t="str">
        <x:v>À équilibrer</x:v>
      </x:c>
      <x:c r="J849" s="115" t="str">
        <x:v>Non</x:v>
      </x:c>
      <x:c r="K849" s="115" t="str">
        <x:v>Pièces décrites, murs, portes, niveaux et mobilier inspectables à l’échelle. Volumes réservés, raccord au seed, butin, rencontres et services de campagne restent à terminer.</x:v>
      </x:c>
    </x:row>
    <x:row r="850" ht="96" customHeight="1">
      <x:c r="A850" s="115" t="str">
        <x:v>EXT-MONDE-T017-V45</x:v>
      </x:c>
      <x:c r="B850" s="115" t="str">
        <x:v>EXT-MONDE-T017</x:v>
      </x:c>
      <x:c r="C850" s="115" t="str">
        <x:v>Littoral</x:v>
      </x:c>
      <x:c r="D850" s="115" t="str">
        <x:v>Phare et logements</x:v>
      </x:c>
      <x:c r="E850" s="115" t="n">
        <x:v>45</x:v>
      </x:c>
      <x:c r="F850" s="115" t="str">
        <x:v>Inspection physique</x:v>
      </x:c>
      <x:c r="G850" s="115" t="str">
        <x:v>1 niveaux ; 32 pièces ; 248 segments de mur ; 0 transitions. Inspection physique ; architecture complète encore ouverte.</x:v>
      </x:c>
      <x:c r="H850" s="115" t="str">
        <x:v>L 342 ; l 294 ; hauteur 36 m ; choix de composition auteur ; dimensions réelles à documenter</x:v>
      </x:c>
      <x:c r="I850" s="115" t="str">
        <x:v>À équilibrer</x:v>
      </x:c>
      <x:c r="J850" s="115" t="str">
        <x:v>Non</x:v>
      </x:c>
      <x:c r="K850" s="115" t="str">
        <x:v>Pièces décrites, murs, portes, niveaux et mobilier inspectables à l’échelle. Volumes réservés, raccord au seed, butin, rencontres et services de campagne restent à terminer.</x:v>
      </x:c>
    </x:row>
    <x:row r="851" ht="96" customHeight="1">
      <x:c r="A851" s="115" t="str">
        <x:v>EXT-MONDE-T017-V46</x:v>
      </x:c>
      <x:c r="B851" s="115" t="str">
        <x:v>EXT-MONDE-T017</x:v>
      </x:c>
      <x:c r="C851" s="115" t="str">
        <x:v>Littoral</x:v>
      </x:c>
      <x:c r="D851" s="115" t="str">
        <x:v>Phare et logements</x:v>
      </x:c>
      <x:c r="E851" s="115" t="n">
        <x:v>46</x:v>
      </x:c>
      <x:c r="F851" s="115" t="str">
        <x:v>Inspection physique</x:v>
      </x:c>
      <x:c r="G851" s="115" t="str">
        <x:v>1 niveaux ; 32 pièces ; 248 segments de mur ; 0 transitions. Inspection physique ; architecture complète encore ouverte.</x:v>
      </x:c>
      <x:c r="H851" s="115" t="str">
        <x:v>L 342 ; l 294 ; hauteur 36 m ; choix de composition auteur ; dimensions réelles à documenter</x:v>
      </x:c>
      <x:c r="I851" s="115" t="str">
        <x:v>À équilibrer</x:v>
      </x:c>
      <x:c r="J851" s="115" t="str">
        <x:v>Non</x:v>
      </x:c>
      <x:c r="K851" s="115" t="str">
        <x:v>Pièces décrites, murs, portes, niveaux et mobilier inspectables à l’échelle. Volumes réservés, raccord au seed, butin, rencontres et services de campagne restent à terminer.</x:v>
      </x:c>
    </x:row>
    <x:row r="852" ht="96" customHeight="1">
      <x:c r="A852" s="115" t="str">
        <x:v>EXT-MONDE-T017-V47</x:v>
      </x:c>
      <x:c r="B852" s="115" t="str">
        <x:v>EXT-MONDE-T017</x:v>
      </x:c>
      <x:c r="C852" s="115" t="str">
        <x:v>Littoral</x:v>
      </x:c>
      <x:c r="D852" s="115" t="str">
        <x:v>Phare et logements</x:v>
      </x:c>
      <x:c r="E852" s="115" t="n">
        <x:v>47</x:v>
      </x:c>
      <x:c r="F852" s="115" t="str">
        <x:v>Inspection physique</x:v>
      </x:c>
      <x:c r="G852" s="115" t="str">
        <x:v>1 niveaux ; 32 pièces ; 248 segments de mur ; 0 transitions. Inspection physique ; architecture complète encore ouverte.</x:v>
      </x:c>
      <x:c r="H852" s="115" t="str">
        <x:v>L 342 ; l 294 ; hauteur 36 m ; choix de composition auteur ; dimensions réelles à documenter</x:v>
      </x:c>
      <x:c r="I852" s="115" t="str">
        <x:v>À équilibrer</x:v>
      </x:c>
      <x:c r="J852" s="115" t="str">
        <x:v>Non</x:v>
      </x:c>
      <x:c r="K852" s="115" t="str">
        <x:v>Pièces décrites, murs, portes, niveaux et mobilier inspectables à l’échelle. Volumes réservés, raccord au seed, butin, rencontres et services de campagne restent à terminer.</x:v>
      </x:c>
    </x:row>
    <x:row r="853" ht="96" customHeight="1">
      <x:c r="A853" s="115" t="str">
        <x:v>EXT-MONDE-T017-V48</x:v>
      </x:c>
      <x:c r="B853" s="115" t="str">
        <x:v>EXT-MONDE-T017</x:v>
      </x:c>
      <x:c r="C853" s="115" t="str">
        <x:v>Littoral</x:v>
      </x:c>
      <x:c r="D853" s="115" t="str">
        <x:v>Phare et logements</x:v>
      </x:c>
      <x:c r="E853" s="115" t="n">
        <x:v>48</x:v>
      </x:c>
      <x:c r="F853" s="115" t="str">
        <x:v>Inspection physique</x:v>
      </x:c>
      <x:c r="G853" s="115" t="str">
        <x:v>1 niveaux ; 32 pièces ; 248 segments de mur ; 0 transitions. Inspection physique ; architecture complète encore ouverte.</x:v>
      </x:c>
      <x:c r="H853" s="115" t="str">
        <x:v>L 342 ; l 294 ; hauteur 36 m ; choix de composition auteur ; dimensions réelles à documenter</x:v>
      </x:c>
      <x:c r="I853" s="115" t="str">
        <x:v>À équilibrer</x:v>
      </x:c>
      <x:c r="J853" s="115" t="str">
        <x:v>Non</x:v>
      </x:c>
      <x:c r="K853" s="115" t="str">
        <x:v>Pièces décrites, murs, portes, niveaux et mobilier inspectables à l’échelle. Volumes réservés, raccord au seed, butin, rencontres et services de campagne restent à terminer.</x:v>
      </x:c>
    </x:row>
    <x:row r="854" ht="96" customHeight="1">
      <x:c r="A854" s="115" t="str">
        <x:v>EXT-MONDE-T017-V49</x:v>
      </x:c>
      <x:c r="B854" s="115" t="str">
        <x:v>EXT-MONDE-T017</x:v>
      </x:c>
      <x:c r="C854" s="115" t="str">
        <x:v>Littoral</x:v>
      </x:c>
      <x:c r="D854" s="115" t="str">
        <x:v>Phare et logements</x:v>
      </x:c>
      <x:c r="E854" s="115" t="n">
        <x:v>49</x:v>
      </x:c>
      <x:c r="F854" s="115" t="str">
        <x:v>Inspection physique</x:v>
      </x:c>
      <x:c r="G854" s="115" t="str">
        <x:v>1 niveaux ; 32 pièces ; 248 segments de mur ; 0 transitions. Inspection physique ; architecture complète encore ouverte.</x:v>
      </x:c>
      <x:c r="H854" s="115" t="str">
        <x:v>L 342 ; l 294 ; hauteur 36 m ; choix de composition auteur ; dimensions réelles à documenter</x:v>
      </x:c>
      <x:c r="I854" s="115" t="str">
        <x:v>À équilibrer</x:v>
      </x:c>
      <x:c r="J854" s="115" t="str">
        <x:v>Non</x:v>
      </x:c>
      <x:c r="K854" s="115" t="str">
        <x:v>Pièces décrites, murs, portes, niveaux et mobilier inspectables à l’échelle. Volumes réservés, raccord au seed, butin, rencontres et services de campagne restent à terminer.</x:v>
      </x:c>
    </x:row>
    <x:row r="855" ht="96" customHeight="1">
      <x:c r="A855" s="115" t="str">
        <x:v>EXT-MONDE-T017-V50</x:v>
      </x:c>
      <x:c r="B855" s="115" t="str">
        <x:v>EXT-MONDE-T017</x:v>
      </x:c>
      <x:c r="C855" s="115" t="str">
        <x:v>Littoral</x:v>
      </x:c>
      <x:c r="D855" s="115" t="str">
        <x:v>Phare et logements</x:v>
      </x:c>
      <x:c r="E855" s="115" t="n">
        <x:v>50</x:v>
      </x:c>
      <x:c r="F855" s="115" t="str">
        <x:v>Inspection physique</x:v>
      </x:c>
      <x:c r="G855" s="115" t="str">
        <x:v>1 niveaux ; 32 pièces ; 248 segments de mur ; 0 transitions. Inspection physique ; architecture complète encore ouverte.</x:v>
      </x:c>
      <x:c r="H855" s="115" t="str">
        <x:v>L 342 ; l 294 ; hauteur 36 m ; choix de composition auteur ; dimensions réelles à documenter</x:v>
      </x:c>
      <x:c r="I855" s="115" t="str">
        <x:v>À équilibrer</x:v>
      </x:c>
      <x:c r="J855" s="115" t="str">
        <x:v>Non</x:v>
      </x:c>
      <x:c r="K855" s="115" t="str">
        <x:v>Pièces décrites, murs, portes, niveaux et mobilier inspectables à l’échelle. Volumes réservés, raccord au seed, butin, rencontres et services de campagne restent à terminer.</x:v>
      </x:c>
    </x:row>
    <x:row r="856" ht="96" customHeight="1">
      <x:c r="A856" s="115" t="str">
        <x:v>EXT-MONDE-T018-V01</x:v>
      </x:c>
      <x:c r="B856" s="115" t="str">
        <x:v>EXT-MONDE-T018</x:v>
      </x:c>
      <x:c r="C856" s="115" t="str">
        <x:v>Littoral</x:v>
      </x:c>
      <x:c r="D856" s="115" t="str">
        <x:v>Fête foraine portuaire</x:v>
      </x:c>
      <x:c r="E856" s="115" t="n">
        <x:v>1</x:v>
      </x:c>
      <x:c r="F856" s="115" t="str">
        <x:v>Inspection physique</x:v>
      </x:c>
      <x:c r="G856" s="115" t="str">
        <x:v>1 niveaux ; 32 pièces ; 248 segments de mur ; 0 transitions. Inspection physique ; architecture complète encore ouverte.</x:v>
      </x:c>
      <x:c r="H856" s="115" t="str">
        <x:v>L 270 ; l 230 ; hauteur 24 m ; choix de composition auteur ; dimensions réelles à documenter</x:v>
      </x:c>
      <x:c r="I856" s="115" t="str">
        <x:v>À équilibrer</x:v>
      </x:c>
      <x:c r="J856" s="115" t="str">
        <x:v>Non</x:v>
      </x:c>
      <x:c r="K856" s="115" t="str">
        <x:v>Pièces décrites, murs, portes, niveaux et mobilier inspectables à l’échelle. Volumes réservés, raccord au seed, butin, rencontres et services de campagne restent à terminer.</x:v>
      </x:c>
    </x:row>
    <x:row r="857" ht="96" customHeight="1">
      <x:c r="A857" s="115" t="str">
        <x:v>EXT-MONDE-T018-V02</x:v>
      </x:c>
      <x:c r="B857" s="115" t="str">
        <x:v>EXT-MONDE-T018</x:v>
      </x:c>
      <x:c r="C857" s="115" t="str">
        <x:v>Littoral</x:v>
      </x:c>
      <x:c r="D857" s="115" t="str">
        <x:v>Fête foraine portuaire</x:v>
      </x:c>
      <x:c r="E857" s="115" t="n">
        <x:v>2</x:v>
      </x:c>
      <x:c r="F857" s="115" t="str">
        <x:v>Inspection physique</x:v>
      </x:c>
      <x:c r="G857" s="115" t="str">
        <x:v>1 niveaux ; 32 pièces ; 248 segments de mur ; 0 transitions. Inspection physique ; architecture complète encore ouverte.</x:v>
      </x:c>
      <x:c r="H857" s="115" t="str">
        <x:v>L 270 ; l 230 ; hauteur 24 m ; choix de composition auteur ; dimensions réelles à documenter</x:v>
      </x:c>
      <x:c r="I857" s="115" t="str">
        <x:v>À équilibrer</x:v>
      </x:c>
      <x:c r="J857" s="115" t="str">
        <x:v>Non</x:v>
      </x:c>
      <x:c r="K857" s="115" t="str">
        <x:v>Pièces décrites, murs, portes, niveaux et mobilier inspectables à l’échelle. Volumes réservés, raccord au seed, butin, rencontres et services de campagne restent à terminer.</x:v>
      </x:c>
    </x:row>
    <x:row r="858" ht="96" customHeight="1">
      <x:c r="A858" s="115" t="str">
        <x:v>EXT-MONDE-T018-V03</x:v>
      </x:c>
      <x:c r="B858" s="115" t="str">
        <x:v>EXT-MONDE-T018</x:v>
      </x:c>
      <x:c r="C858" s="115" t="str">
        <x:v>Littoral</x:v>
      </x:c>
      <x:c r="D858" s="115" t="str">
        <x:v>Fête foraine portuaire</x:v>
      </x:c>
      <x:c r="E858" s="115" t="n">
        <x:v>3</x:v>
      </x:c>
      <x:c r="F858" s="115" t="str">
        <x:v>Inspection physique</x:v>
      </x:c>
      <x:c r="G858" s="115" t="str">
        <x:v>1 niveaux ; 32 pièces ; 248 segments de mur ; 0 transitions. Inspection physique ; architecture complète encore ouverte.</x:v>
      </x:c>
      <x:c r="H858" s="115" t="str">
        <x:v>L 270 ; l 230 ; hauteur 24 m ; choix de composition auteur ; dimensions réelles à documenter</x:v>
      </x:c>
      <x:c r="I858" s="115" t="str">
        <x:v>À équilibrer</x:v>
      </x:c>
      <x:c r="J858" s="115" t="str">
        <x:v>Non</x:v>
      </x:c>
      <x:c r="K858" s="115" t="str">
        <x:v>Pièces décrites, murs, portes, niveaux et mobilier inspectables à l’échelle. Volumes réservés, raccord au seed, butin, rencontres et services de campagne restent à terminer.</x:v>
      </x:c>
    </x:row>
    <x:row r="859" ht="96" customHeight="1">
      <x:c r="A859" s="115" t="str">
        <x:v>EXT-MONDE-T018-V04</x:v>
      </x:c>
      <x:c r="B859" s="115" t="str">
        <x:v>EXT-MONDE-T018</x:v>
      </x:c>
      <x:c r="C859" s="115" t="str">
        <x:v>Littoral</x:v>
      </x:c>
      <x:c r="D859" s="115" t="str">
        <x:v>Fête foraine portuaire</x:v>
      </x:c>
      <x:c r="E859" s="115" t="n">
        <x:v>4</x:v>
      </x:c>
      <x:c r="F859" s="115" t="str">
        <x:v>Inspection physique</x:v>
      </x:c>
      <x:c r="G859" s="115" t="str">
        <x:v>1 niveaux ; 32 pièces ; 248 segments de mur ; 0 transitions. Inspection physique ; architecture complète encore ouverte.</x:v>
      </x:c>
      <x:c r="H859" s="115" t="str">
        <x:v>L 270 ; l 230 ; hauteur 24 m ; choix de composition auteur ; dimensions réelles à documenter</x:v>
      </x:c>
      <x:c r="I859" s="115" t="str">
        <x:v>À équilibrer</x:v>
      </x:c>
      <x:c r="J859" s="115" t="str">
        <x:v>Non</x:v>
      </x:c>
      <x:c r="K859" s="115" t="str">
        <x:v>Pièces décrites, murs, portes, niveaux et mobilier inspectables à l’échelle. Volumes réservés, raccord au seed, butin, rencontres et services de campagne restent à terminer.</x:v>
      </x:c>
    </x:row>
    <x:row r="860" ht="96" customHeight="1">
      <x:c r="A860" s="115" t="str">
        <x:v>EXT-MONDE-T018-V05</x:v>
      </x:c>
      <x:c r="B860" s="115" t="str">
        <x:v>EXT-MONDE-T018</x:v>
      </x:c>
      <x:c r="C860" s="115" t="str">
        <x:v>Littoral</x:v>
      </x:c>
      <x:c r="D860" s="115" t="str">
        <x:v>Fête foraine portuaire</x:v>
      </x:c>
      <x:c r="E860" s="115" t="n">
        <x:v>5</x:v>
      </x:c>
      <x:c r="F860" s="115" t="str">
        <x:v>Inspection physique</x:v>
      </x:c>
      <x:c r="G860" s="115" t="str">
        <x:v>1 niveaux ; 32 pièces ; 248 segments de mur ; 0 transitions. Inspection physique ; architecture complète encore ouverte.</x:v>
      </x:c>
      <x:c r="H860" s="115" t="str">
        <x:v>L 270 ; l 230 ; hauteur 24 m ; choix de composition auteur ; dimensions réelles à documenter</x:v>
      </x:c>
      <x:c r="I860" s="115" t="str">
        <x:v>À équilibrer</x:v>
      </x:c>
      <x:c r="J860" s="115" t="str">
        <x:v>Non</x:v>
      </x:c>
      <x:c r="K860" s="115" t="str">
        <x:v>Pièces décrites, murs, portes, niveaux et mobilier inspectables à l’échelle. Volumes réservés, raccord au seed, butin, rencontres et services de campagne restent à terminer.</x:v>
      </x:c>
    </x:row>
    <x:row r="861" ht="96" customHeight="1">
      <x:c r="A861" s="115" t="str">
        <x:v>EXT-MONDE-T018-V06</x:v>
      </x:c>
      <x:c r="B861" s="115" t="str">
        <x:v>EXT-MONDE-T018</x:v>
      </x:c>
      <x:c r="C861" s="115" t="str">
        <x:v>Littoral</x:v>
      </x:c>
      <x:c r="D861" s="115" t="str">
        <x:v>Fête foraine portuaire</x:v>
      </x:c>
      <x:c r="E861" s="115" t="n">
        <x:v>6</x:v>
      </x:c>
      <x:c r="F861" s="115" t="str">
        <x:v>Inspection physique</x:v>
      </x:c>
      <x:c r="G861" s="115" t="str">
        <x:v>1 niveaux ; 32 pièces ; 248 segments de mur ; 0 transitions. Inspection physique ; architecture complète encore ouverte.</x:v>
      </x:c>
      <x:c r="H861" s="115" t="str">
        <x:v>L 270 ; l 230 ; hauteur 24 m ; choix de composition auteur ; dimensions réelles à documenter</x:v>
      </x:c>
      <x:c r="I861" s="115" t="str">
        <x:v>À équilibrer</x:v>
      </x:c>
      <x:c r="J861" s="115" t="str">
        <x:v>Non</x:v>
      </x:c>
      <x:c r="K861" s="115" t="str">
        <x:v>Pièces décrites, murs, portes, niveaux et mobilier inspectables à l’échelle. Volumes réservés, raccord au seed, butin, rencontres et services de campagne restent à terminer.</x:v>
      </x:c>
    </x:row>
    <x:row r="862" ht="96" customHeight="1">
      <x:c r="A862" s="115" t="str">
        <x:v>EXT-MONDE-T018-V07</x:v>
      </x:c>
      <x:c r="B862" s="115" t="str">
        <x:v>EXT-MONDE-T018</x:v>
      </x:c>
      <x:c r="C862" s="115" t="str">
        <x:v>Littoral</x:v>
      </x:c>
      <x:c r="D862" s="115" t="str">
        <x:v>Fête foraine portuaire</x:v>
      </x:c>
      <x:c r="E862" s="115" t="n">
        <x:v>7</x:v>
      </x:c>
      <x:c r="F862" s="115" t="str">
        <x:v>Inspection physique</x:v>
      </x:c>
      <x:c r="G862" s="115" t="str">
        <x:v>1 niveaux ; 32 pièces ; 248 segments de mur ; 0 transitions. Inspection physique ; architecture complète encore ouverte.</x:v>
      </x:c>
      <x:c r="H862" s="115" t="str">
        <x:v>L 270 ; l 230 ; hauteur 24 m ; choix de composition auteur ; dimensions réelles à documenter</x:v>
      </x:c>
      <x:c r="I862" s="115" t="str">
        <x:v>À équilibrer</x:v>
      </x:c>
      <x:c r="J862" s="115" t="str">
        <x:v>Non</x:v>
      </x:c>
      <x:c r="K862" s="115" t="str">
        <x:v>Pièces décrites, murs, portes, niveaux et mobilier inspectables à l’échelle. Volumes réservés, raccord au seed, butin, rencontres et services de campagne restent à terminer.</x:v>
      </x:c>
    </x:row>
    <x:row r="863" ht="96" customHeight="1">
      <x:c r="A863" s="115" t="str">
        <x:v>EXT-MONDE-T018-V08</x:v>
      </x:c>
      <x:c r="B863" s="115" t="str">
        <x:v>EXT-MONDE-T018</x:v>
      </x:c>
      <x:c r="C863" s="115" t="str">
        <x:v>Littoral</x:v>
      </x:c>
      <x:c r="D863" s="115" t="str">
        <x:v>Fête foraine portuaire</x:v>
      </x:c>
      <x:c r="E863" s="115" t="n">
        <x:v>8</x:v>
      </x:c>
      <x:c r="F863" s="115" t="str">
        <x:v>Inspection physique</x:v>
      </x:c>
      <x:c r="G863" s="115" t="str">
        <x:v>1 niveaux ; 32 pièces ; 248 segments de mur ; 0 transitions. Inspection physique ; architecture complète encore ouverte.</x:v>
      </x:c>
      <x:c r="H863" s="115" t="str">
        <x:v>L 270 ; l 230 ; hauteur 24 m ; choix de composition auteur ; dimensions réelles à documenter</x:v>
      </x:c>
      <x:c r="I863" s="115" t="str">
        <x:v>À équilibrer</x:v>
      </x:c>
      <x:c r="J863" s="115" t="str">
        <x:v>Non</x:v>
      </x:c>
      <x:c r="K863" s="115" t="str">
        <x:v>Pièces décrites, murs, portes, niveaux et mobilier inspectables à l’échelle. Volumes réservés, raccord au seed, butin, rencontres et services de campagne restent à terminer.</x:v>
      </x:c>
    </x:row>
    <x:row r="864" ht="96" customHeight="1">
      <x:c r="A864" s="115" t="str">
        <x:v>EXT-MONDE-T018-V09</x:v>
      </x:c>
      <x:c r="B864" s="115" t="str">
        <x:v>EXT-MONDE-T018</x:v>
      </x:c>
      <x:c r="C864" s="115" t="str">
        <x:v>Littoral</x:v>
      </x:c>
      <x:c r="D864" s="115" t="str">
        <x:v>Fête foraine portuaire</x:v>
      </x:c>
      <x:c r="E864" s="115" t="n">
        <x:v>9</x:v>
      </x:c>
      <x:c r="F864" s="115" t="str">
        <x:v>Inspection physique</x:v>
      </x:c>
      <x:c r="G864" s="115" t="str">
        <x:v>1 niveaux ; 32 pièces ; 248 segments de mur ; 0 transitions. Inspection physique ; architecture complète encore ouverte.</x:v>
      </x:c>
      <x:c r="H864" s="115" t="str">
        <x:v>L 270 ; l 230 ; hauteur 24 m ; choix de composition auteur ; dimensions réelles à documenter</x:v>
      </x:c>
      <x:c r="I864" s="115" t="str">
        <x:v>À équilibrer</x:v>
      </x:c>
      <x:c r="J864" s="115" t="str">
        <x:v>Non</x:v>
      </x:c>
      <x:c r="K864" s="115" t="str">
        <x:v>Pièces décrites, murs, portes, niveaux et mobilier inspectables à l’échelle. Volumes réservés, raccord au seed, butin, rencontres et services de campagne restent à terminer.</x:v>
      </x:c>
    </x:row>
    <x:row r="865" ht="96" customHeight="1">
      <x:c r="A865" s="115" t="str">
        <x:v>EXT-MONDE-T018-V10</x:v>
      </x:c>
      <x:c r="B865" s="115" t="str">
        <x:v>EXT-MONDE-T018</x:v>
      </x:c>
      <x:c r="C865" s="115" t="str">
        <x:v>Littoral</x:v>
      </x:c>
      <x:c r="D865" s="115" t="str">
        <x:v>Fête foraine portuaire</x:v>
      </x:c>
      <x:c r="E865" s="115" t="n">
        <x:v>10</x:v>
      </x:c>
      <x:c r="F865" s="115" t="str">
        <x:v>Inspection physique</x:v>
      </x:c>
      <x:c r="G865" s="115" t="str">
        <x:v>1 niveaux ; 32 pièces ; 248 segments de mur ; 0 transitions. Inspection physique ; architecture complète encore ouverte.</x:v>
      </x:c>
      <x:c r="H865" s="115" t="str">
        <x:v>L 270 ; l 230 ; hauteur 24 m ; choix de composition auteur ; dimensions réelles à documenter</x:v>
      </x:c>
      <x:c r="I865" s="115" t="str">
        <x:v>À équilibrer</x:v>
      </x:c>
      <x:c r="J865" s="115" t="str">
        <x:v>Non</x:v>
      </x:c>
      <x:c r="K865" s="115" t="str">
        <x:v>Pièces décrites, murs, portes, niveaux et mobilier inspectables à l’échelle. Volumes réservés, raccord au seed, butin, rencontres et services de campagne restent à terminer.</x:v>
      </x:c>
    </x:row>
    <x:row r="866" ht="96" customHeight="1">
      <x:c r="A866" s="115" t="str">
        <x:v>EXT-MONDE-T018-V11</x:v>
      </x:c>
      <x:c r="B866" s="115" t="str">
        <x:v>EXT-MONDE-T018</x:v>
      </x:c>
      <x:c r="C866" s="115" t="str">
        <x:v>Littoral</x:v>
      </x:c>
      <x:c r="D866" s="115" t="str">
        <x:v>Fête foraine portuaire</x:v>
      </x:c>
      <x:c r="E866" s="115" t="n">
        <x:v>11</x:v>
      </x:c>
      <x:c r="F866" s="115" t="str">
        <x:v>Inspection physique</x:v>
      </x:c>
      <x:c r="G866" s="115" t="str">
        <x:v>1 niveaux ; 32 pièces ; 248 segments de mur ; 0 transitions. Inspection physique ; architecture complète encore ouverte.</x:v>
      </x:c>
      <x:c r="H866" s="115" t="str">
        <x:v>L 288 ; l 246 ; hauteur 24 m ; choix de composition auteur ; dimensions réelles à documenter</x:v>
      </x:c>
      <x:c r="I866" s="115" t="str">
        <x:v>À équilibrer</x:v>
      </x:c>
      <x:c r="J866" s="115" t="str">
        <x:v>Non</x:v>
      </x:c>
      <x:c r="K866" s="115" t="str">
        <x:v>Pièces décrites, murs, portes, niveaux et mobilier inspectables à l’échelle. Volumes réservés, raccord au seed, butin, rencontres et services de campagne restent à terminer.</x:v>
      </x:c>
    </x:row>
    <x:row r="867" ht="96" customHeight="1">
      <x:c r="A867" s="115" t="str">
        <x:v>EXT-MONDE-T018-V12</x:v>
      </x:c>
      <x:c r="B867" s="115" t="str">
        <x:v>EXT-MONDE-T018</x:v>
      </x:c>
      <x:c r="C867" s="115" t="str">
        <x:v>Littoral</x:v>
      </x:c>
      <x:c r="D867" s="115" t="str">
        <x:v>Fête foraine portuaire</x:v>
      </x:c>
      <x:c r="E867" s="115" t="n">
        <x:v>12</x:v>
      </x:c>
      <x:c r="F867" s="115" t="str">
        <x:v>Inspection physique</x:v>
      </x:c>
      <x:c r="G867" s="115" t="str">
        <x:v>1 niveaux ; 32 pièces ; 248 segments de mur ; 0 transitions. Inspection physique ; architecture complète encore ouverte.</x:v>
      </x:c>
      <x:c r="H867" s="115" t="str">
        <x:v>L 288 ; l 246 ; hauteur 24 m ; choix de composition auteur ; dimensions réelles à documenter</x:v>
      </x:c>
      <x:c r="I867" s="115" t="str">
        <x:v>À équilibrer</x:v>
      </x:c>
      <x:c r="J867" s="115" t="str">
        <x:v>Non</x:v>
      </x:c>
      <x:c r="K867" s="115" t="str">
        <x:v>Pièces décrites, murs, portes, niveaux et mobilier inspectables à l’échelle. Volumes réservés, raccord au seed, butin, rencontres et services de campagne restent à terminer.</x:v>
      </x:c>
    </x:row>
    <x:row r="868" ht="96" customHeight="1">
      <x:c r="A868" s="115" t="str">
        <x:v>EXT-MONDE-T018-V13</x:v>
      </x:c>
      <x:c r="B868" s="115" t="str">
        <x:v>EXT-MONDE-T018</x:v>
      </x:c>
      <x:c r="C868" s="115" t="str">
        <x:v>Littoral</x:v>
      </x:c>
      <x:c r="D868" s="115" t="str">
        <x:v>Fête foraine portuaire</x:v>
      </x:c>
      <x:c r="E868" s="115" t="n">
        <x:v>13</x:v>
      </x:c>
      <x:c r="F868" s="115" t="str">
        <x:v>Inspection physique</x:v>
      </x:c>
      <x:c r="G868" s="115" t="str">
        <x:v>1 niveaux ; 32 pièces ; 248 segments de mur ; 0 transitions. Inspection physique ; architecture complète encore ouverte.</x:v>
      </x:c>
      <x:c r="H868" s="115" t="str">
        <x:v>L 288 ; l 246 ; hauteur 24 m ; choix de composition auteur ; dimensions réelles à documenter</x:v>
      </x:c>
      <x:c r="I868" s="115" t="str">
        <x:v>À équilibrer</x:v>
      </x:c>
      <x:c r="J868" s="115" t="str">
        <x:v>Non</x:v>
      </x:c>
      <x:c r="K868" s="115" t="str">
        <x:v>Pièces décrites, murs, portes, niveaux et mobilier inspectables à l’échelle. Volumes réservés, raccord au seed, butin, rencontres et services de campagne restent à terminer.</x:v>
      </x:c>
    </x:row>
    <x:row r="869" ht="96" customHeight="1">
      <x:c r="A869" s="115" t="str">
        <x:v>EXT-MONDE-T018-V14</x:v>
      </x:c>
      <x:c r="B869" s="115" t="str">
        <x:v>EXT-MONDE-T018</x:v>
      </x:c>
      <x:c r="C869" s="115" t="str">
        <x:v>Littoral</x:v>
      </x:c>
      <x:c r="D869" s="115" t="str">
        <x:v>Fête foraine portuaire</x:v>
      </x:c>
      <x:c r="E869" s="115" t="n">
        <x:v>14</x:v>
      </x:c>
      <x:c r="F869" s="115" t="str">
        <x:v>Inspection physique</x:v>
      </x:c>
      <x:c r="G869" s="115" t="str">
        <x:v>1 niveaux ; 32 pièces ; 248 segments de mur ; 0 transitions. Inspection physique ; architecture complète encore ouverte.</x:v>
      </x:c>
      <x:c r="H869" s="115" t="str">
        <x:v>L 288 ; l 246 ; hauteur 24 m ; choix de composition auteur ; dimensions réelles à documenter</x:v>
      </x:c>
      <x:c r="I869" s="115" t="str">
        <x:v>À équilibrer</x:v>
      </x:c>
      <x:c r="J869" s="115" t="str">
        <x:v>Non</x:v>
      </x:c>
      <x:c r="K869" s="115" t="str">
        <x:v>Pièces décrites, murs, portes, niveaux et mobilier inspectables à l’échelle. Volumes réservés, raccord au seed, butin, rencontres et services de campagne restent à terminer.</x:v>
      </x:c>
    </x:row>
    <x:row r="870" ht="96" customHeight="1">
      <x:c r="A870" s="115" t="str">
        <x:v>EXT-MONDE-T018-V15</x:v>
      </x:c>
      <x:c r="B870" s="115" t="str">
        <x:v>EXT-MONDE-T018</x:v>
      </x:c>
      <x:c r="C870" s="115" t="str">
        <x:v>Littoral</x:v>
      </x:c>
      <x:c r="D870" s="115" t="str">
        <x:v>Fête foraine portuaire</x:v>
      </x:c>
      <x:c r="E870" s="115" t="n">
        <x:v>15</x:v>
      </x:c>
      <x:c r="F870" s="115" t="str">
        <x:v>Inspection physique</x:v>
      </x:c>
      <x:c r="G870" s="115" t="str">
        <x:v>1 niveaux ; 32 pièces ; 248 segments de mur ; 0 transitions. Inspection physique ; architecture complète encore ouverte.</x:v>
      </x:c>
      <x:c r="H870" s="115" t="str">
        <x:v>L 288 ; l 246 ; hauteur 24 m ; choix de composition auteur ; dimensions réelles à documenter</x:v>
      </x:c>
      <x:c r="I870" s="115" t="str">
        <x:v>À équilibrer</x:v>
      </x:c>
      <x:c r="J870" s="115" t="str">
        <x:v>Non</x:v>
      </x:c>
      <x:c r="K870" s="115" t="str">
        <x:v>Pièces décrites, murs, portes, niveaux et mobilier inspectables à l’échelle. Volumes réservés, raccord au seed, butin, rencontres et services de campagne restent à terminer.</x:v>
      </x:c>
    </x:row>
    <x:row r="871" ht="96" customHeight="1">
      <x:c r="A871" s="115" t="str">
        <x:v>EXT-MONDE-T018-V16</x:v>
      </x:c>
      <x:c r="B871" s="115" t="str">
        <x:v>EXT-MONDE-T018</x:v>
      </x:c>
      <x:c r="C871" s="115" t="str">
        <x:v>Littoral</x:v>
      </x:c>
      <x:c r="D871" s="115" t="str">
        <x:v>Fête foraine portuaire</x:v>
      </x:c>
      <x:c r="E871" s="115" t="n">
        <x:v>16</x:v>
      </x:c>
      <x:c r="F871" s="115" t="str">
        <x:v>Inspection physique</x:v>
      </x:c>
      <x:c r="G871" s="115" t="str">
        <x:v>1 niveaux ; 32 pièces ; 248 segments de mur ; 0 transitions. Inspection physique ; architecture complète encore ouverte.</x:v>
      </x:c>
      <x:c r="H871" s="115" t="str">
        <x:v>L 288 ; l 246 ; hauteur 24 m ; choix de composition auteur ; dimensions réelles à documenter</x:v>
      </x:c>
      <x:c r="I871" s="115" t="str">
        <x:v>À équilibrer</x:v>
      </x:c>
      <x:c r="J871" s="115" t="str">
        <x:v>Non</x:v>
      </x:c>
      <x:c r="K871" s="115" t="str">
        <x:v>Pièces décrites, murs, portes, niveaux et mobilier inspectables à l’échelle. Volumes réservés, raccord au seed, butin, rencontres et services de campagne restent à terminer.</x:v>
      </x:c>
    </x:row>
    <x:row r="872" ht="96" customHeight="1">
      <x:c r="A872" s="115" t="str">
        <x:v>EXT-MONDE-T018-V17</x:v>
      </x:c>
      <x:c r="B872" s="115" t="str">
        <x:v>EXT-MONDE-T018</x:v>
      </x:c>
      <x:c r="C872" s="115" t="str">
        <x:v>Littoral</x:v>
      </x:c>
      <x:c r="D872" s="115" t="str">
        <x:v>Fête foraine portuaire</x:v>
      </x:c>
      <x:c r="E872" s="115" t="n">
        <x:v>17</x:v>
      </x:c>
      <x:c r="F872" s="115" t="str">
        <x:v>Inspection physique</x:v>
      </x:c>
      <x:c r="G872" s="115" t="str">
        <x:v>1 niveaux ; 32 pièces ; 248 segments de mur ; 0 transitions. Inspection physique ; architecture complète encore ouverte.</x:v>
      </x:c>
      <x:c r="H872" s="115" t="str">
        <x:v>L 288 ; l 246 ; hauteur 24 m ; choix de composition auteur ; dimensions réelles à documenter</x:v>
      </x:c>
      <x:c r="I872" s="115" t="str">
        <x:v>À équilibrer</x:v>
      </x:c>
      <x:c r="J872" s="115" t="str">
        <x:v>Non</x:v>
      </x:c>
      <x:c r="K872" s="115" t="str">
        <x:v>Pièces décrites, murs, portes, niveaux et mobilier inspectables à l’échelle. Volumes réservés, raccord au seed, butin, rencontres et services de campagne restent à terminer.</x:v>
      </x:c>
    </x:row>
    <x:row r="873" ht="96" customHeight="1">
      <x:c r="A873" s="115" t="str">
        <x:v>EXT-MONDE-T018-V18</x:v>
      </x:c>
      <x:c r="B873" s="115" t="str">
        <x:v>EXT-MONDE-T018</x:v>
      </x:c>
      <x:c r="C873" s="115" t="str">
        <x:v>Littoral</x:v>
      </x:c>
      <x:c r="D873" s="115" t="str">
        <x:v>Fête foraine portuaire</x:v>
      </x:c>
      <x:c r="E873" s="115" t="n">
        <x:v>18</x:v>
      </x:c>
      <x:c r="F873" s="115" t="str">
        <x:v>Inspection physique</x:v>
      </x:c>
      <x:c r="G873" s="115" t="str">
        <x:v>1 niveaux ; 32 pièces ; 248 segments de mur ; 0 transitions. Inspection physique ; architecture complète encore ouverte.</x:v>
      </x:c>
      <x:c r="H873" s="115" t="str">
        <x:v>L 288 ; l 246 ; hauteur 24 m ; choix de composition auteur ; dimensions réelles à documenter</x:v>
      </x:c>
      <x:c r="I873" s="115" t="str">
        <x:v>À équilibrer</x:v>
      </x:c>
      <x:c r="J873" s="115" t="str">
        <x:v>Non</x:v>
      </x:c>
      <x:c r="K873" s="115" t="str">
        <x:v>Pièces décrites, murs, portes, niveaux et mobilier inspectables à l’échelle. Volumes réservés, raccord au seed, butin, rencontres et services de campagne restent à terminer.</x:v>
      </x:c>
    </x:row>
    <x:row r="874" ht="96" customHeight="1">
      <x:c r="A874" s="115" t="str">
        <x:v>EXT-MONDE-T018-V19</x:v>
      </x:c>
      <x:c r="B874" s="115" t="str">
        <x:v>EXT-MONDE-T018</x:v>
      </x:c>
      <x:c r="C874" s="115" t="str">
        <x:v>Littoral</x:v>
      </x:c>
      <x:c r="D874" s="115" t="str">
        <x:v>Fête foraine portuaire</x:v>
      </x:c>
      <x:c r="E874" s="115" t="n">
        <x:v>19</x:v>
      </x:c>
      <x:c r="F874" s="115" t="str">
        <x:v>Inspection physique</x:v>
      </x:c>
      <x:c r="G874" s="115" t="str">
        <x:v>1 niveaux ; 32 pièces ; 248 segments de mur ; 0 transitions. Inspection physique ; architecture complète encore ouverte.</x:v>
      </x:c>
      <x:c r="H874" s="115" t="str">
        <x:v>L 288 ; l 246 ; hauteur 24 m ; choix de composition auteur ; dimensions réelles à documenter</x:v>
      </x:c>
      <x:c r="I874" s="115" t="str">
        <x:v>À équilibrer</x:v>
      </x:c>
      <x:c r="J874" s="115" t="str">
        <x:v>Non</x:v>
      </x:c>
      <x:c r="K874" s="115" t="str">
        <x:v>Pièces décrites, murs, portes, niveaux et mobilier inspectables à l’échelle. Volumes réservés, raccord au seed, butin, rencontres et services de campagne restent à terminer.</x:v>
      </x:c>
    </x:row>
    <x:row r="875" ht="96" customHeight="1">
      <x:c r="A875" s="115" t="str">
        <x:v>EXT-MONDE-T018-V20</x:v>
      </x:c>
      <x:c r="B875" s="115" t="str">
        <x:v>EXT-MONDE-T018</x:v>
      </x:c>
      <x:c r="C875" s="115" t="str">
        <x:v>Littoral</x:v>
      </x:c>
      <x:c r="D875" s="115" t="str">
        <x:v>Fête foraine portuaire</x:v>
      </x:c>
      <x:c r="E875" s="115" t="n">
        <x:v>20</x:v>
      </x:c>
      <x:c r="F875" s="115" t="str">
        <x:v>Inspection physique</x:v>
      </x:c>
      <x:c r="G875" s="115" t="str">
        <x:v>1 niveaux ; 32 pièces ; 248 segments de mur ; 0 transitions. Inspection physique ; architecture complète encore ouverte.</x:v>
      </x:c>
      <x:c r="H875" s="115" t="str">
        <x:v>L 288 ; l 246 ; hauteur 24 m ; choix de composition auteur ; dimensions réelles à documenter</x:v>
      </x:c>
      <x:c r="I875" s="115" t="str">
        <x:v>À équilibrer</x:v>
      </x:c>
      <x:c r="J875" s="115" t="str">
        <x:v>Non</x:v>
      </x:c>
      <x:c r="K875" s="115" t="str">
        <x:v>Pièces décrites, murs, portes, niveaux et mobilier inspectables à l’échelle. Volumes réservés, raccord au seed, butin, rencontres et services de campagne restent à terminer.</x:v>
      </x:c>
    </x:row>
    <x:row r="876" ht="96" customHeight="1">
      <x:c r="A876" s="115" t="str">
        <x:v>EXT-MONDE-T018-V21</x:v>
      </x:c>
      <x:c r="B876" s="115" t="str">
        <x:v>EXT-MONDE-T018</x:v>
      </x:c>
      <x:c r="C876" s="115" t="str">
        <x:v>Littoral</x:v>
      </x:c>
      <x:c r="D876" s="115" t="str">
        <x:v>Fête foraine portuaire</x:v>
      </x:c>
      <x:c r="E876" s="115" t="n">
        <x:v>21</x:v>
      </x:c>
      <x:c r="F876" s="115" t="str">
        <x:v>Inspection physique</x:v>
      </x:c>
      <x:c r="G876" s="115" t="str">
        <x:v>1 niveaux ; 32 pièces ; 248 segments de mur ; 0 transitions. Inspection physique ; architecture complète encore ouverte.</x:v>
      </x:c>
      <x:c r="H876" s="115" t="str">
        <x:v>L 306 ; l 262 ; hauteur 24 m ; choix de composition auteur ; dimensions réelles à documenter</x:v>
      </x:c>
      <x:c r="I876" s="115" t="str">
        <x:v>À équilibrer</x:v>
      </x:c>
      <x:c r="J876" s="115" t="str">
        <x:v>Non</x:v>
      </x:c>
      <x:c r="K876" s="115" t="str">
        <x:v>Pièces décrites, murs, portes, niveaux et mobilier inspectables à l’échelle. Volumes réservés, raccord au seed, butin, rencontres et services de campagne restent à terminer.</x:v>
      </x:c>
    </x:row>
    <x:row r="877" ht="96" customHeight="1">
      <x:c r="A877" s="115" t="str">
        <x:v>EXT-MONDE-T018-V22</x:v>
      </x:c>
      <x:c r="B877" s="115" t="str">
        <x:v>EXT-MONDE-T018</x:v>
      </x:c>
      <x:c r="C877" s="115" t="str">
        <x:v>Littoral</x:v>
      </x:c>
      <x:c r="D877" s="115" t="str">
        <x:v>Fête foraine portuaire</x:v>
      </x:c>
      <x:c r="E877" s="115" t="n">
        <x:v>22</x:v>
      </x:c>
      <x:c r="F877" s="115" t="str">
        <x:v>Inspection physique</x:v>
      </x:c>
      <x:c r="G877" s="115" t="str">
        <x:v>1 niveaux ; 32 pièces ; 248 segments de mur ; 0 transitions. Inspection physique ; architecture complète encore ouverte.</x:v>
      </x:c>
      <x:c r="H877" s="115" t="str">
        <x:v>L 306 ; l 262 ; hauteur 24 m ; choix de composition auteur ; dimensions réelles à documenter</x:v>
      </x:c>
      <x:c r="I877" s="115" t="str">
        <x:v>À équilibrer</x:v>
      </x:c>
      <x:c r="J877" s="115" t="str">
        <x:v>Non</x:v>
      </x:c>
      <x:c r="K877" s="115" t="str">
        <x:v>Pièces décrites, murs, portes, niveaux et mobilier inspectables à l’échelle. Volumes réservés, raccord au seed, butin, rencontres et services de campagne restent à terminer.</x:v>
      </x:c>
    </x:row>
    <x:row r="878" ht="96" customHeight="1">
      <x:c r="A878" s="115" t="str">
        <x:v>EXT-MONDE-T018-V23</x:v>
      </x:c>
      <x:c r="B878" s="115" t="str">
        <x:v>EXT-MONDE-T018</x:v>
      </x:c>
      <x:c r="C878" s="115" t="str">
        <x:v>Littoral</x:v>
      </x:c>
      <x:c r="D878" s="115" t="str">
        <x:v>Fête foraine portuaire</x:v>
      </x:c>
      <x:c r="E878" s="115" t="n">
        <x:v>23</x:v>
      </x:c>
      <x:c r="F878" s="115" t="str">
        <x:v>Inspection physique</x:v>
      </x:c>
      <x:c r="G878" s="115" t="str">
        <x:v>1 niveaux ; 32 pièces ; 248 segments de mur ; 0 transitions. Inspection physique ; architecture complète encore ouverte.</x:v>
      </x:c>
      <x:c r="H878" s="115" t="str">
        <x:v>L 306 ; l 262 ; hauteur 24 m ; choix de composition auteur ; dimensions réelles à documenter</x:v>
      </x:c>
      <x:c r="I878" s="115" t="str">
        <x:v>À équilibrer</x:v>
      </x:c>
      <x:c r="J878" s="115" t="str">
        <x:v>Non</x:v>
      </x:c>
      <x:c r="K878" s="115" t="str">
        <x:v>Pièces décrites, murs, portes, niveaux et mobilier inspectables à l’échelle. Volumes réservés, raccord au seed, butin, rencontres et services de campagne restent à terminer.</x:v>
      </x:c>
    </x:row>
    <x:row r="879" ht="96" customHeight="1">
      <x:c r="A879" s="115" t="str">
        <x:v>EXT-MONDE-T018-V24</x:v>
      </x:c>
      <x:c r="B879" s="115" t="str">
        <x:v>EXT-MONDE-T018</x:v>
      </x:c>
      <x:c r="C879" s="115" t="str">
        <x:v>Littoral</x:v>
      </x:c>
      <x:c r="D879" s="115" t="str">
        <x:v>Fête foraine portuaire</x:v>
      </x:c>
      <x:c r="E879" s="115" t="n">
        <x:v>24</x:v>
      </x:c>
      <x:c r="F879" s="115" t="str">
        <x:v>Inspection physique</x:v>
      </x:c>
      <x:c r="G879" s="115" t="str">
        <x:v>1 niveaux ; 32 pièces ; 248 segments de mur ; 0 transitions. Inspection physique ; architecture complète encore ouverte.</x:v>
      </x:c>
      <x:c r="H879" s="115" t="str">
        <x:v>L 306 ; l 262 ; hauteur 24 m ; choix de composition auteur ; dimensions réelles à documenter</x:v>
      </x:c>
      <x:c r="I879" s="115" t="str">
        <x:v>À équilibrer</x:v>
      </x:c>
      <x:c r="J879" s="115" t="str">
        <x:v>Non</x:v>
      </x:c>
      <x:c r="K879" s="115" t="str">
        <x:v>Pièces décrites, murs, portes, niveaux et mobilier inspectables à l’échelle. Volumes réservés, raccord au seed, butin, rencontres et services de campagne restent à terminer.</x:v>
      </x:c>
    </x:row>
    <x:row r="880" ht="96" customHeight="1">
      <x:c r="A880" s="115" t="str">
        <x:v>EXT-MONDE-T018-V25</x:v>
      </x:c>
      <x:c r="B880" s="115" t="str">
        <x:v>EXT-MONDE-T018</x:v>
      </x:c>
      <x:c r="C880" s="115" t="str">
        <x:v>Littoral</x:v>
      </x:c>
      <x:c r="D880" s="115" t="str">
        <x:v>Fête foraine portuaire</x:v>
      </x:c>
      <x:c r="E880" s="115" t="n">
        <x:v>25</x:v>
      </x:c>
      <x:c r="F880" s="115" t="str">
        <x:v>Inspection physique</x:v>
      </x:c>
      <x:c r="G880" s="115" t="str">
        <x:v>1 niveaux ; 32 pièces ; 248 segments de mur ; 0 transitions. Inspection physique ; architecture complète encore ouverte.</x:v>
      </x:c>
      <x:c r="H880" s="115" t="str">
        <x:v>L 306 ; l 262 ; hauteur 24 m ; choix de composition auteur ; dimensions réelles à documenter</x:v>
      </x:c>
      <x:c r="I880" s="115" t="str">
        <x:v>À équilibrer</x:v>
      </x:c>
      <x:c r="J880" s="115" t="str">
        <x:v>Non</x:v>
      </x:c>
      <x:c r="K880" s="115" t="str">
        <x:v>Pièces décrites, murs, portes, niveaux et mobilier inspectables à l’échelle. Volumes réservés, raccord au seed, butin, rencontres et services de campagne restent à terminer.</x:v>
      </x:c>
    </x:row>
    <x:row r="881" ht="96" customHeight="1">
      <x:c r="A881" s="115" t="str">
        <x:v>EXT-MONDE-T018-V26</x:v>
      </x:c>
      <x:c r="B881" s="115" t="str">
        <x:v>EXT-MONDE-T018</x:v>
      </x:c>
      <x:c r="C881" s="115" t="str">
        <x:v>Littoral</x:v>
      </x:c>
      <x:c r="D881" s="115" t="str">
        <x:v>Fête foraine portuaire</x:v>
      </x:c>
      <x:c r="E881" s="115" t="n">
        <x:v>26</x:v>
      </x:c>
      <x:c r="F881" s="115" t="str">
        <x:v>Inspection physique</x:v>
      </x:c>
      <x:c r="G881" s="115" t="str">
        <x:v>1 niveaux ; 32 pièces ; 248 segments de mur ; 0 transitions. Inspection physique ; architecture complète encore ouverte.</x:v>
      </x:c>
      <x:c r="H881" s="115" t="str">
        <x:v>L 306 ; l 262 ; hauteur 24 m ; choix de composition auteur ; dimensions réelles à documenter</x:v>
      </x:c>
      <x:c r="I881" s="115" t="str">
        <x:v>À équilibrer</x:v>
      </x:c>
      <x:c r="J881" s="115" t="str">
        <x:v>Non</x:v>
      </x:c>
      <x:c r="K881" s="115" t="str">
        <x:v>Pièces décrites, murs, portes, niveaux et mobilier inspectables à l’échelle. Volumes réservés, raccord au seed, butin, rencontres et services de campagne restent à terminer.</x:v>
      </x:c>
    </x:row>
    <x:row r="882" ht="96" customHeight="1">
      <x:c r="A882" s="115" t="str">
        <x:v>EXT-MONDE-T018-V27</x:v>
      </x:c>
      <x:c r="B882" s="115" t="str">
        <x:v>EXT-MONDE-T018</x:v>
      </x:c>
      <x:c r="C882" s="115" t="str">
        <x:v>Littoral</x:v>
      </x:c>
      <x:c r="D882" s="115" t="str">
        <x:v>Fête foraine portuaire</x:v>
      </x:c>
      <x:c r="E882" s="115" t="n">
        <x:v>27</x:v>
      </x:c>
      <x:c r="F882" s="115" t="str">
        <x:v>Inspection physique</x:v>
      </x:c>
      <x:c r="G882" s="115" t="str">
        <x:v>1 niveaux ; 32 pièces ; 248 segments de mur ; 0 transitions. Inspection physique ; architecture complète encore ouverte.</x:v>
      </x:c>
      <x:c r="H882" s="115" t="str">
        <x:v>L 306 ; l 262 ; hauteur 24 m ; choix de composition auteur ; dimensions réelles à documenter</x:v>
      </x:c>
      <x:c r="I882" s="115" t="str">
        <x:v>À équilibrer</x:v>
      </x:c>
      <x:c r="J882" s="115" t="str">
        <x:v>Non</x:v>
      </x:c>
      <x:c r="K882" s="115" t="str">
        <x:v>Pièces décrites, murs, portes, niveaux et mobilier inspectables à l’échelle. Volumes réservés, raccord au seed, butin, rencontres et services de campagne restent à terminer.</x:v>
      </x:c>
    </x:row>
    <x:row r="883" ht="96" customHeight="1">
      <x:c r="A883" s="115" t="str">
        <x:v>EXT-MONDE-T018-V28</x:v>
      </x:c>
      <x:c r="B883" s="115" t="str">
        <x:v>EXT-MONDE-T018</x:v>
      </x:c>
      <x:c r="C883" s="115" t="str">
        <x:v>Littoral</x:v>
      </x:c>
      <x:c r="D883" s="115" t="str">
        <x:v>Fête foraine portuaire</x:v>
      </x:c>
      <x:c r="E883" s="115" t="n">
        <x:v>28</x:v>
      </x:c>
      <x:c r="F883" s="115" t="str">
        <x:v>Inspection physique</x:v>
      </x:c>
      <x:c r="G883" s="115" t="str">
        <x:v>1 niveaux ; 32 pièces ; 248 segments de mur ; 0 transitions. Inspection physique ; architecture complète encore ouverte.</x:v>
      </x:c>
      <x:c r="H883" s="115" t="str">
        <x:v>L 306 ; l 262 ; hauteur 24 m ; choix de composition auteur ; dimensions réelles à documenter</x:v>
      </x:c>
      <x:c r="I883" s="115" t="str">
        <x:v>À équilibrer</x:v>
      </x:c>
      <x:c r="J883" s="115" t="str">
        <x:v>Non</x:v>
      </x:c>
      <x:c r="K883" s="115" t="str">
        <x:v>Pièces décrites, murs, portes, niveaux et mobilier inspectables à l’échelle. Volumes réservés, raccord au seed, butin, rencontres et services de campagne restent à terminer.</x:v>
      </x:c>
    </x:row>
    <x:row r="884" ht="96" customHeight="1">
      <x:c r="A884" s="115" t="str">
        <x:v>EXT-MONDE-T018-V29</x:v>
      </x:c>
      <x:c r="B884" s="115" t="str">
        <x:v>EXT-MONDE-T018</x:v>
      </x:c>
      <x:c r="C884" s="115" t="str">
        <x:v>Littoral</x:v>
      </x:c>
      <x:c r="D884" s="115" t="str">
        <x:v>Fête foraine portuaire</x:v>
      </x:c>
      <x:c r="E884" s="115" t="n">
        <x:v>29</x:v>
      </x:c>
      <x:c r="F884" s="115" t="str">
        <x:v>Inspection physique</x:v>
      </x:c>
      <x:c r="G884" s="115" t="str">
        <x:v>1 niveaux ; 32 pièces ; 248 segments de mur ; 0 transitions. Inspection physique ; architecture complète encore ouverte.</x:v>
      </x:c>
      <x:c r="H884" s="115" t="str">
        <x:v>L 306 ; l 262 ; hauteur 24 m ; choix de composition auteur ; dimensions réelles à documenter</x:v>
      </x:c>
      <x:c r="I884" s="115" t="str">
        <x:v>À équilibrer</x:v>
      </x:c>
      <x:c r="J884" s="115" t="str">
        <x:v>Non</x:v>
      </x:c>
      <x:c r="K884" s="115" t="str">
        <x:v>Pièces décrites, murs, portes, niveaux et mobilier inspectables à l’échelle. Volumes réservés, raccord au seed, butin, rencontres et services de campagne restent à terminer.</x:v>
      </x:c>
    </x:row>
    <x:row r="885" ht="96" customHeight="1">
      <x:c r="A885" s="115" t="str">
        <x:v>EXT-MONDE-T018-V30</x:v>
      </x:c>
      <x:c r="B885" s="115" t="str">
        <x:v>EXT-MONDE-T018</x:v>
      </x:c>
      <x:c r="C885" s="115" t="str">
        <x:v>Littoral</x:v>
      </x:c>
      <x:c r="D885" s="115" t="str">
        <x:v>Fête foraine portuaire</x:v>
      </x:c>
      <x:c r="E885" s="115" t="n">
        <x:v>30</x:v>
      </x:c>
      <x:c r="F885" s="115" t="str">
        <x:v>Inspection physique</x:v>
      </x:c>
      <x:c r="G885" s="115" t="str">
        <x:v>1 niveaux ; 32 pièces ; 248 segments de mur ; 0 transitions. Inspection physique ; architecture complète encore ouverte.</x:v>
      </x:c>
      <x:c r="H885" s="115" t="str">
        <x:v>L 306 ; l 262 ; hauteur 24 m ; choix de composition auteur ; dimensions réelles à documenter</x:v>
      </x:c>
      <x:c r="I885" s="115" t="str">
        <x:v>À équilibrer</x:v>
      </x:c>
      <x:c r="J885" s="115" t="str">
        <x:v>Non</x:v>
      </x:c>
      <x:c r="K885" s="115" t="str">
        <x:v>Pièces décrites, murs, portes, niveaux et mobilier inspectables à l’échelle. Volumes réservés, raccord au seed, butin, rencontres et services de campagne restent à terminer.</x:v>
      </x:c>
    </x:row>
    <x:row r="886" ht="96" customHeight="1">
      <x:c r="A886" s="115" t="str">
        <x:v>EXT-MONDE-T018-V31</x:v>
      </x:c>
      <x:c r="B886" s="115" t="str">
        <x:v>EXT-MONDE-T018</x:v>
      </x:c>
      <x:c r="C886" s="115" t="str">
        <x:v>Littoral</x:v>
      </x:c>
      <x:c r="D886" s="115" t="str">
        <x:v>Fête foraine portuaire</x:v>
      </x:c>
      <x:c r="E886" s="115" t="n">
        <x:v>31</x:v>
      </x:c>
      <x:c r="F886" s="115" t="str">
        <x:v>Inspection physique</x:v>
      </x:c>
      <x:c r="G886" s="115" t="str">
        <x:v>1 niveaux ; 32 pièces ; 248 segments de mur ; 0 transitions. Inspection physique ; architecture complète encore ouverte.</x:v>
      </x:c>
      <x:c r="H886" s="115" t="str">
        <x:v>L 324 ; l 278 ; hauteur 24 m ; choix de composition auteur ; dimensions réelles à documenter</x:v>
      </x:c>
      <x:c r="I886" s="115" t="str">
        <x:v>À équilibrer</x:v>
      </x:c>
      <x:c r="J886" s="115" t="str">
        <x:v>Non</x:v>
      </x:c>
      <x:c r="K886" s="115" t="str">
        <x:v>Pièces décrites, murs, portes, niveaux et mobilier inspectables à l’échelle. Volumes réservés, raccord au seed, butin, rencontres et services de campagne restent à terminer.</x:v>
      </x:c>
    </x:row>
    <x:row r="887" ht="96" customHeight="1">
      <x:c r="A887" s="115" t="str">
        <x:v>EXT-MONDE-T018-V32</x:v>
      </x:c>
      <x:c r="B887" s="115" t="str">
        <x:v>EXT-MONDE-T018</x:v>
      </x:c>
      <x:c r="C887" s="115" t="str">
        <x:v>Littoral</x:v>
      </x:c>
      <x:c r="D887" s="115" t="str">
        <x:v>Fête foraine portuaire</x:v>
      </x:c>
      <x:c r="E887" s="115" t="n">
        <x:v>32</x:v>
      </x:c>
      <x:c r="F887" s="115" t="str">
        <x:v>Inspection physique</x:v>
      </x:c>
      <x:c r="G887" s="115" t="str">
        <x:v>1 niveaux ; 32 pièces ; 248 segments de mur ; 0 transitions. Inspection physique ; architecture complète encore ouverte.</x:v>
      </x:c>
      <x:c r="H887" s="115" t="str">
        <x:v>L 324 ; l 278 ; hauteur 24 m ; choix de composition auteur ; dimensions réelles à documenter</x:v>
      </x:c>
      <x:c r="I887" s="115" t="str">
        <x:v>À équilibrer</x:v>
      </x:c>
      <x:c r="J887" s="115" t="str">
        <x:v>Non</x:v>
      </x:c>
      <x:c r="K887" s="115" t="str">
        <x:v>Pièces décrites, murs, portes, niveaux et mobilier inspectables à l’échelle. Volumes réservés, raccord au seed, butin, rencontres et services de campagne restent à terminer.</x:v>
      </x:c>
    </x:row>
    <x:row r="888" ht="96" customHeight="1">
      <x:c r="A888" s="115" t="str">
        <x:v>EXT-MONDE-T018-V33</x:v>
      </x:c>
      <x:c r="B888" s="115" t="str">
        <x:v>EXT-MONDE-T018</x:v>
      </x:c>
      <x:c r="C888" s="115" t="str">
        <x:v>Littoral</x:v>
      </x:c>
      <x:c r="D888" s="115" t="str">
        <x:v>Fête foraine portuaire</x:v>
      </x:c>
      <x:c r="E888" s="115" t="n">
        <x:v>33</x:v>
      </x:c>
      <x:c r="F888" s="115" t="str">
        <x:v>Inspection physique</x:v>
      </x:c>
      <x:c r="G888" s="115" t="str">
        <x:v>1 niveaux ; 32 pièces ; 248 segments de mur ; 0 transitions. Inspection physique ; architecture complète encore ouverte.</x:v>
      </x:c>
      <x:c r="H888" s="115" t="str">
        <x:v>L 324 ; l 278 ; hauteur 24 m ; choix de composition auteur ; dimensions réelles à documenter</x:v>
      </x:c>
      <x:c r="I888" s="115" t="str">
        <x:v>À équilibrer</x:v>
      </x:c>
      <x:c r="J888" s="115" t="str">
        <x:v>Non</x:v>
      </x:c>
      <x:c r="K888" s="115" t="str">
        <x:v>Pièces décrites, murs, portes, niveaux et mobilier inspectables à l’échelle. Volumes réservés, raccord au seed, butin, rencontres et services de campagne restent à terminer.</x:v>
      </x:c>
    </x:row>
    <x:row r="889" ht="96" customHeight="1">
      <x:c r="A889" s="115" t="str">
        <x:v>EXT-MONDE-T018-V34</x:v>
      </x:c>
      <x:c r="B889" s="115" t="str">
        <x:v>EXT-MONDE-T018</x:v>
      </x:c>
      <x:c r="C889" s="115" t="str">
        <x:v>Littoral</x:v>
      </x:c>
      <x:c r="D889" s="115" t="str">
        <x:v>Fête foraine portuaire</x:v>
      </x:c>
      <x:c r="E889" s="115" t="n">
        <x:v>34</x:v>
      </x:c>
      <x:c r="F889" s="115" t="str">
        <x:v>Inspection physique</x:v>
      </x:c>
      <x:c r="G889" s="115" t="str">
        <x:v>1 niveaux ; 32 pièces ; 248 segments de mur ; 0 transitions. Inspection physique ; architecture complète encore ouverte.</x:v>
      </x:c>
      <x:c r="H889" s="115" t="str">
        <x:v>L 324 ; l 278 ; hauteur 24 m ; choix de composition auteur ; dimensions réelles à documenter</x:v>
      </x:c>
      <x:c r="I889" s="115" t="str">
        <x:v>À équilibrer</x:v>
      </x:c>
      <x:c r="J889" s="115" t="str">
        <x:v>Non</x:v>
      </x:c>
      <x:c r="K889" s="115" t="str">
        <x:v>Pièces décrites, murs, portes, niveaux et mobilier inspectables à l’échelle. Volumes réservés, raccord au seed, butin, rencontres et services de campagne restent à terminer.</x:v>
      </x:c>
    </x:row>
    <x:row r="890" ht="96" customHeight="1">
      <x:c r="A890" s="115" t="str">
        <x:v>EXT-MONDE-T018-V35</x:v>
      </x:c>
      <x:c r="B890" s="115" t="str">
        <x:v>EXT-MONDE-T018</x:v>
      </x:c>
      <x:c r="C890" s="115" t="str">
        <x:v>Littoral</x:v>
      </x:c>
      <x:c r="D890" s="115" t="str">
        <x:v>Fête foraine portuaire</x:v>
      </x:c>
      <x:c r="E890" s="115" t="n">
        <x:v>35</x:v>
      </x:c>
      <x:c r="F890" s="115" t="str">
        <x:v>Inspection physique</x:v>
      </x:c>
      <x:c r="G890" s="115" t="str">
        <x:v>1 niveaux ; 32 pièces ; 248 segments de mur ; 0 transitions. Inspection physique ; architecture complète encore ouverte.</x:v>
      </x:c>
      <x:c r="H890" s="115" t="str">
        <x:v>L 324 ; l 278 ; hauteur 24 m ; choix de composition auteur ; dimensions réelles à documenter</x:v>
      </x:c>
      <x:c r="I890" s="115" t="str">
        <x:v>À équilibrer</x:v>
      </x:c>
      <x:c r="J890" s="115" t="str">
        <x:v>Non</x:v>
      </x:c>
      <x:c r="K890" s="115" t="str">
        <x:v>Pièces décrites, murs, portes, niveaux et mobilier inspectables à l’échelle. Volumes réservés, raccord au seed, butin, rencontres et services de campagne restent à terminer.</x:v>
      </x:c>
    </x:row>
    <x:row r="891" ht="96" customHeight="1">
      <x:c r="A891" s="115" t="str">
        <x:v>EXT-MONDE-T018-V36</x:v>
      </x:c>
      <x:c r="B891" s="115" t="str">
        <x:v>EXT-MONDE-T018</x:v>
      </x:c>
      <x:c r="C891" s="115" t="str">
        <x:v>Littoral</x:v>
      </x:c>
      <x:c r="D891" s="115" t="str">
        <x:v>Fête foraine portuaire</x:v>
      </x:c>
      <x:c r="E891" s="115" t="n">
        <x:v>36</x:v>
      </x:c>
      <x:c r="F891" s="115" t="str">
        <x:v>Inspection physique</x:v>
      </x:c>
      <x:c r="G891" s="115" t="str">
        <x:v>1 niveaux ; 32 pièces ; 248 segments de mur ; 0 transitions. Inspection physique ; architecture complète encore ouverte.</x:v>
      </x:c>
      <x:c r="H891" s="115" t="str">
        <x:v>L 324 ; l 278 ; hauteur 24 m ; choix de composition auteur ; dimensions réelles à documenter</x:v>
      </x:c>
      <x:c r="I891" s="115" t="str">
        <x:v>À équilibrer</x:v>
      </x:c>
      <x:c r="J891" s="115" t="str">
        <x:v>Non</x:v>
      </x:c>
      <x:c r="K891" s="115" t="str">
        <x:v>Pièces décrites, murs, portes, niveaux et mobilier inspectables à l’échelle. Volumes réservés, raccord au seed, butin, rencontres et services de campagne restent à terminer.</x:v>
      </x:c>
    </x:row>
    <x:row r="892" ht="96" customHeight="1">
      <x:c r="A892" s="115" t="str">
        <x:v>EXT-MONDE-T018-V37</x:v>
      </x:c>
      <x:c r="B892" s="115" t="str">
        <x:v>EXT-MONDE-T018</x:v>
      </x:c>
      <x:c r="C892" s="115" t="str">
        <x:v>Littoral</x:v>
      </x:c>
      <x:c r="D892" s="115" t="str">
        <x:v>Fête foraine portuaire</x:v>
      </x:c>
      <x:c r="E892" s="115" t="n">
        <x:v>37</x:v>
      </x:c>
      <x:c r="F892" s="115" t="str">
        <x:v>Inspection physique</x:v>
      </x:c>
      <x:c r="G892" s="115" t="str">
        <x:v>1 niveaux ; 32 pièces ; 248 segments de mur ; 0 transitions. Inspection physique ; architecture complète encore ouverte.</x:v>
      </x:c>
      <x:c r="H892" s="115" t="str">
        <x:v>L 324 ; l 278 ; hauteur 24 m ; choix de composition auteur ; dimensions réelles à documenter</x:v>
      </x:c>
      <x:c r="I892" s="115" t="str">
        <x:v>À équilibrer</x:v>
      </x:c>
      <x:c r="J892" s="115" t="str">
        <x:v>Non</x:v>
      </x:c>
      <x:c r="K892" s="115" t="str">
        <x:v>Pièces décrites, murs, portes, niveaux et mobilier inspectables à l’échelle. Volumes réservés, raccord au seed, butin, rencontres et services de campagne restent à terminer.</x:v>
      </x:c>
    </x:row>
    <x:row r="893" ht="96" customHeight="1">
      <x:c r="A893" s="115" t="str">
        <x:v>EXT-MONDE-T018-V38</x:v>
      </x:c>
      <x:c r="B893" s="115" t="str">
        <x:v>EXT-MONDE-T018</x:v>
      </x:c>
      <x:c r="C893" s="115" t="str">
        <x:v>Littoral</x:v>
      </x:c>
      <x:c r="D893" s="115" t="str">
        <x:v>Fête foraine portuaire</x:v>
      </x:c>
      <x:c r="E893" s="115" t="n">
        <x:v>38</x:v>
      </x:c>
      <x:c r="F893" s="115" t="str">
        <x:v>Inspection physique</x:v>
      </x:c>
      <x:c r="G893" s="115" t="str">
        <x:v>1 niveaux ; 32 pièces ; 248 segments de mur ; 0 transitions. Inspection physique ; architecture complète encore ouverte.</x:v>
      </x:c>
      <x:c r="H893" s="115" t="str">
        <x:v>L 324 ; l 278 ; hauteur 24 m ; choix de composition auteur ; dimensions réelles à documenter</x:v>
      </x:c>
      <x:c r="I893" s="115" t="str">
        <x:v>À équilibrer</x:v>
      </x:c>
      <x:c r="J893" s="115" t="str">
        <x:v>Non</x:v>
      </x:c>
      <x:c r="K893" s="115" t="str">
        <x:v>Pièces décrites, murs, portes, niveaux et mobilier inspectables à l’échelle. Volumes réservés, raccord au seed, butin, rencontres et services de campagne restent à terminer.</x:v>
      </x:c>
    </x:row>
    <x:row r="894" ht="96" customHeight="1">
      <x:c r="A894" s="115" t="str">
        <x:v>EXT-MONDE-T018-V39</x:v>
      </x:c>
      <x:c r="B894" s="115" t="str">
        <x:v>EXT-MONDE-T018</x:v>
      </x:c>
      <x:c r="C894" s="115" t="str">
        <x:v>Littoral</x:v>
      </x:c>
      <x:c r="D894" s="115" t="str">
        <x:v>Fête foraine portuaire</x:v>
      </x:c>
      <x:c r="E894" s="115" t="n">
        <x:v>39</x:v>
      </x:c>
      <x:c r="F894" s="115" t="str">
        <x:v>Inspection physique</x:v>
      </x:c>
      <x:c r="G894" s="115" t="str">
        <x:v>1 niveaux ; 32 pièces ; 248 segments de mur ; 0 transitions. Inspection physique ; architecture complète encore ouverte.</x:v>
      </x:c>
      <x:c r="H894" s="115" t="str">
        <x:v>L 324 ; l 278 ; hauteur 24 m ; choix de composition auteur ; dimensions réelles à documenter</x:v>
      </x:c>
      <x:c r="I894" s="115" t="str">
        <x:v>À équilibrer</x:v>
      </x:c>
      <x:c r="J894" s="115" t="str">
        <x:v>Non</x:v>
      </x:c>
      <x:c r="K894" s="115" t="str">
        <x:v>Pièces décrites, murs, portes, niveaux et mobilier inspectables à l’échelle. Volumes réservés, raccord au seed, butin, rencontres et services de campagne restent à terminer.</x:v>
      </x:c>
    </x:row>
    <x:row r="895" ht="96" customHeight="1">
      <x:c r="A895" s="115" t="str">
        <x:v>EXT-MONDE-T018-V40</x:v>
      </x:c>
      <x:c r="B895" s="115" t="str">
        <x:v>EXT-MONDE-T018</x:v>
      </x:c>
      <x:c r="C895" s="115" t="str">
        <x:v>Littoral</x:v>
      </x:c>
      <x:c r="D895" s="115" t="str">
        <x:v>Fête foraine portuaire</x:v>
      </x:c>
      <x:c r="E895" s="115" t="n">
        <x:v>40</x:v>
      </x:c>
      <x:c r="F895" s="115" t="str">
        <x:v>Inspection physique</x:v>
      </x:c>
      <x:c r="G895" s="115" t="str">
        <x:v>1 niveaux ; 32 pièces ; 248 segments de mur ; 0 transitions. Inspection physique ; architecture complète encore ouverte.</x:v>
      </x:c>
      <x:c r="H895" s="115" t="str">
        <x:v>L 324 ; l 278 ; hauteur 24 m ; choix de composition auteur ; dimensions réelles à documenter</x:v>
      </x:c>
      <x:c r="I895" s="115" t="str">
        <x:v>À équilibrer</x:v>
      </x:c>
      <x:c r="J895" s="115" t="str">
        <x:v>Non</x:v>
      </x:c>
      <x:c r="K895" s="115" t="str">
        <x:v>Pièces décrites, murs, portes, niveaux et mobilier inspectables à l’échelle. Volumes réservés, raccord au seed, butin, rencontres et services de campagne restent à terminer.</x:v>
      </x:c>
    </x:row>
    <x:row r="896" ht="96" customHeight="1">
      <x:c r="A896" s="115" t="str">
        <x:v>EXT-MONDE-T018-V41</x:v>
      </x:c>
      <x:c r="B896" s="115" t="str">
        <x:v>EXT-MONDE-T018</x:v>
      </x:c>
      <x:c r="C896" s="115" t="str">
        <x:v>Littoral</x:v>
      </x:c>
      <x:c r="D896" s="115" t="str">
        <x:v>Fête foraine portuaire</x:v>
      </x:c>
      <x:c r="E896" s="115" t="n">
        <x:v>41</x:v>
      </x:c>
      <x:c r="F896" s="115" t="str">
        <x:v>Inspection physique</x:v>
      </x:c>
      <x:c r="G896" s="115" t="str">
        <x:v>1 niveaux ; 32 pièces ; 248 segments de mur ; 0 transitions. Inspection physique ; architecture complète encore ouverte.</x:v>
      </x:c>
      <x:c r="H896" s="115" t="str">
        <x:v>L 342 ; l 294 ; hauteur 24 m ; choix de composition auteur ; dimensions réelles à documenter</x:v>
      </x:c>
      <x:c r="I896" s="115" t="str">
        <x:v>À équilibrer</x:v>
      </x:c>
      <x:c r="J896" s="115" t="str">
        <x:v>Non</x:v>
      </x:c>
      <x:c r="K896" s="115" t="str">
        <x:v>Pièces décrites, murs, portes, niveaux et mobilier inspectables à l’échelle. Volumes réservés, raccord au seed, butin, rencontres et services de campagne restent à terminer.</x:v>
      </x:c>
    </x:row>
    <x:row r="897" ht="96" customHeight="1">
      <x:c r="A897" s="115" t="str">
        <x:v>EXT-MONDE-T018-V42</x:v>
      </x:c>
      <x:c r="B897" s="115" t="str">
        <x:v>EXT-MONDE-T018</x:v>
      </x:c>
      <x:c r="C897" s="115" t="str">
        <x:v>Littoral</x:v>
      </x:c>
      <x:c r="D897" s="115" t="str">
        <x:v>Fête foraine portuaire</x:v>
      </x:c>
      <x:c r="E897" s="115" t="n">
        <x:v>42</x:v>
      </x:c>
      <x:c r="F897" s="115" t="str">
        <x:v>Inspection physique</x:v>
      </x:c>
      <x:c r="G897" s="115" t="str">
        <x:v>1 niveaux ; 32 pièces ; 248 segments de mur ; 0 transitions. Inspection physique ; architecture complète encore ouverte.</x:v>
      </x:c>
      <x:c r="H897" s="115" t="str">
        <x:v>L 342 ; l 294 ; hauteur 24 m ; choix de composition auteur ; dimensions réelles à documenter</x:v>
      </x:c>
      <x:c r="I897" s="115" t="str">
        <x:v>À équilibrer</x:v>
      </x:c>
      <x:c r="J897" s="115" t="str">
        <x:v>Non</x:v>
      </x:c>
      <x:c r="K897" s="115" t="str">
        <x:v>Pièces décrites, murs, portes, niveaux et mobilier inspectables à l’échelle. Volumes réservés, raccord au seed, butin, rencontres et services de campagne restent à terminer.</x:v>
      </x:c>
    </x:row>
    <x:row r="898" ht="96" customHeight="1">
      <x:c r="A898" s="115" t="str">
        <x:v>EXT-MONDE-T018-V43</x:v>
      </x:c>
      <x:c r="B898" s="115" t="str">
        <x:v>EXT-MONDE-T018</x:v>
      </x:c>
      <x:c r="C898" s="115" t="str">
        <x:v>Littoral</x:v>
      </x:c>
      <x:c r="D898" s="115" t="str">
        <x:v>Fête foraine portuaire</x:v>
      </x:c>
      <x:c r="E898" s="115" t="n">
        <x:v>43</x:v>
      </x:c>
      <x:c r="F898" s="115" t="str">
        <x:v>Inspection physique</x:v>
      </x:c>
      <x:c r="G898" s="115" t="str">
        <x:v>1 niveaux ; 32 pièces ; 248 segments de mur ; 0 transitions. Inspection physique ; architecture complète encore ouverte.</x:v>
      </x:c>
      <x:c r="H898" s="115" t="str">
        <x:v>L 342 ; l 294 ; hauteur 24 m ; choix de composition auteur ; dimensions réelles à documenter</x:v>
      </x:c>
      <x:c r="I898" s="115" t="str">
        <x:v>À équilibrer</x:v>
      </x:c>
      <x:c r="J898" s="115" t="str">
        <x:v>Non</x:v>
      </x:c>
      <x:c r="K898" s="115" t="str">
        <x:v>Pièces décrites, murs, portes, niveaux et mobilier inspectables à l’échelle. Volumes réservés, raccord au seed, butin, rencontres et services de campagne restent à terminer.</x:v>
      </x:c>
    </x:row>
    <x:row r="899" ht="96" customHeight="1">
      <x:c r="A899" s="115" t="str">
        <x:v>EXT-MONDE-T018-V44</x:v>
      </x:c>
      <x:c r="B899" s="115" t="str">
        <x:v>EXT-MONDE-T018</x:v>
      </x:c>
      <x:c r="C899" s="115" t="str">
        <x:v>Littoral</x:v>
      </x:c>
      <x:c r="D899" s="115" t="str">
        <x:v>Fête foraine portuaire</x:v>
      </x:c>
      <x:c r="E899" s="115" t="n">
        <x:v>44</x:v>
      </x:c>
      <x:c r="F899" s="115" t="str">
        <x:v>Inspection physique</x:v>
      </x:c>
      <x:c r="G899" s="115" t="str">
        <x:v>1 niveaux ; 32 pièces ; 248 segments de mur ; 0 transitions. Inspection physique ; architecture complète encore ouverte.</x:v>
      </x:c>
      <x:c r="H899" s="115" t="str">
        <x:v>L 342 ; l 294 ; hauteur 24 m ; choix de composition auteur ; dimensions réelles à documenter</x:v>
      </x:c>
      <x:c r="I899" s="115" t="str">
        <x:v>À équilibrer</x:v>
      </x:c>
      <x:c r="J899" s="115" t="str">
        <x:v>Non</x:v>
      </x:c>
      <x:c r="K899" s="115" t="str">
        <x:v>Pièces décrites, murs, portes, niveaux et mobilier inspectables à l’échelle. Volumes réservés, raccord au seed, butin, rencontres et services de campagne restent à terminer.</x:v>
      </x:c>
    </x:row>
    <x:row r="900" ht="96" customHeight="1">
      <x:c r="A900" s="115" t="str">
        <x:v>EXT-MONDE-T018-V45</x:v>
      </x:c>
      <x:c r="B900" s="115" t="str">
        <x:v>EXT-MONDE-T018</x:v>
      </x:c>
      <x:c r="C900" s="115" t="str">
        <x:v>Littoral</x:v>
      </x:c>
      <x:c r="D900" s="115" t="str">
        <x:v>Fête foraine portuaire</x:v>
      </x:c>
      <x:c r="E900" s="115" t="n">
        <x:v>45</x:v>
      </x:c>
      <x:c r="F900" s="115" t="str">
        <x:v>Inspection physique</x:v>
      </x:c>
      <x:c r="G900" s="115" t="str">
        <x:v>1 niveaux ; 32 pièces ; 248 segments de mur ; 0 transitions. Inspection physique ; architecture complète encore ouverte.</x:v>
      </x:c>
      <x:c r="H900" s="115" t="str">
        <x:v>L 342 ; l 294 ; hauteur 24 m ; choix de composition auteur ; dimensions réelles à documenter</x:v>
      </x:c>
      <x:c r="I900" s="115" t="str">
        <x:v>À équilibrer</x:v>
      </x:c>
      <x:c r="J900" s="115" t="str">
        <x:v>Non</x:v>
      </x:c>
      <x:c r="K900" s="115" t="str">
        <x:v>Pièces décrites, murs, portes, niveaux et mobilier inspectables à l’échelle. Volumes réservés, raccord au seed, butin, rencontres et services de campagne restent à terminer.</x:v>
      </x:c>
    </x:row>
    <x:row r="901" ht="96" customHeight="1">
      <x:c r="A901" s="115" t="str">
        <x:v>EXT-MONDE-T018-V46</x:v>
      </x:c>
      <x:c r="B901" s="115" t="str">
        <x:v>EXT-MONDE-T018</x:v>
      </x:c>
      <x:c r="C901" s="115" t="str">
        <x:v>Littoral</x:v>
      </x:c>
      <x:c r="D901" s="115" t="str">
        <x:v>Fête foraine portuaire</x:v>
      </x:c>
      <x:c r="E901" s="115" t="n">
        <x:v>46</x:v>
      </x:c>
      <x:c r="F901" s="115" t="str">
        <x:v>Inspection physique</x:v>
      </x:c>
      <x:c r="G901" s="115" t="str">
        <x:v>1 niveaux ; 32 pièces ; 248 segments de mur ; 0 transitions. Inspection physique ; architecture complète encore ouverte.</x:v>
      </x:c>
      <x:c r="H901" s="115" t="str">
        <x:v>L 342 ; l 294 ; hauteur 24 m ; choix de composition auteur ; dimensions réelles à documenter</x:v>
      </x:c>
      <x:c r="I901" s="115" t="str">
        <x:v>À équilibrer</x:v>
      </x:c>
      <x:c r="J901" s="115" t="str">
        <x:v>Non</x:v>
      </x:c>
      <x:c r="K901" s="115" t="str">
        <x:v>Pièces décrites, murs, portes, niveaux et mobilier inspectables à l’échelle. Volumes réservés, raccord au seed, butin, rencontres et services de campagne restent à terminer.</x:v>
      </x:c>
    </x:row>
    <x:row r="902" ht="96" customHeight="1">
      <x:c r="A902" s="115" t="str">
        <x:v>EXT-MONDE-T018-V47</x:v>
      </x:c>
      <x:c r="B902" s="115" t="str">
        <x:v>EXT-MONDE-T018</x:v>
      </x:c>
      <x:c r="C902" s="115" t="str">
        <x:v>Littoral</x:v>
      </x:c>
      <x:c r="D902" s="115" t="str">
        <x:v>Fête foraine portuaire</x:v>
      </x:c>
      <x:c r="E902" s="115" t="n">
        <x:v>47</x:v>
      </x:c>
      <x:c r="F902" s="115" t="str">
        <x:v>Inspection physique</x:v>
      </x:c>
      <x:c r="G902" s="115" t="str">
        <x:v>1 niveaux ; 32 pièces ; 248 segments de mur ; 0 transitions. Inspection physique ; architecture complète encore ouverte.</x:v>
      </x:c>
      <x:c r="H902" s="115" t="str">
        <x:v>L 342 ; l 294 ; hauteur 24 m ; choix de composition auteur ; dimensions réelles à documenter</x:v>
      </x:c>
      <x:c r="I902" s="115" t="str">
        <x:v>À équilibrer</x:v>
      </x:c>
      <x:c r="J902" s="115" t="str">
        <x:v>Non</x:v>
      </x:c>
      <x:c r="K902" s="115" t="str">
        <x:v>Pièces décrites, murs, portes, niveaux et mobilier inspectables à l’échelle. Volumes réservés, raccord au seed, butin, rencontres et services de campagne restent à terminer.</x:v>
      </x:c>
    </x:row>
    <x:row r="903" ht="96" customHeight="1">
      <x:c r="A903" s="115" t="str">
        <x:v>EXT-MONDE-T018-V48</x:v>
      </x:c>
      <x:c r="B903" s="115" t="str">
        <x:v>EXT-MONDE-T018</x:v>
      </x:c>
      <x:c r="C903" s="115" t="str">
        <x:v>Littoral</x:v>
      </x:c>
      <x:c r="D903" s="115" t="str">
        <x:v>Fête foraine portuaire</x:v>
      </x:c>
      <x:c r="E903" s="115" t="n">
        <x:v>48</x:v>
      </x:c>
      <x:c r="F903" s="115" t="str">
        <x:v>Inspection physique</x:v>
      </x:c>
      <x:c r="G903" s="115" t="str">
        <x:v>1 niveaux ; 32 pièces ; 248 segments de mur ; 0 transitions. Inspection physique ; architecture complète encore ouverte.</x:v>
      </x:c>
      <x:c r="H903" s="115" t="str">
        <x:v>L 342 ; l 294 ; hauteur 24 m ; choix de composition auteur ; dimensions réelles à documenter</x:v>
      </x:c>
      <x:c r="I903" s="115" t="str">
        <x:v>À équilibrer</x:v>
      </x:c>
      <x:c r="J903" s="115" t="str">
        <x:v>Non</x:v>
      </x:c>
      <x:c r="K903" s="115" t="str">
        <x:v>Pièces décrites, murs, portes, niveaux et mobilier inspectables à l’échelle. Volumes réservés, raccord au seed, butin, rencontres et services de campagne restent à terminer.</x:v>
      </x:c>
    </x:row>
    <x:row r="904" ht="96" customHeight="1">
      <x:c r="A904" s="115" t="str">
        <x:v>EXT-MONDE-T018-V49</x:v>
      </x:c>
      <x:c r="B904" s="115" t="str">
        <x:v>EXT-MONDE-T018</x:v>
      </x:c>
      <x:c r="C904" s="115" t="str">
        <x:v>Littoral</x:v>
      </x:c>
      <x:c r="D904" s="115" t="str">
        <x:v>Fête foraine portuaire</x:v>
      </x:c>
      <x:c r="E904" s="115" t="n">
        <x:v>49</x:v>
      </x:c>
      <x:c r="F904" s="115" t="str">
        <x:v>Inspection physique</x:v>
      </x:c>
      <x:c r="G904" s="115" t="str">
        <x:v>1 niveaux ; 32 pièces ; 248 segments de mur ; 0 transitions. Inspection physique ; architecture complète encore ouverte.</x:v>
      </x:c>
      <x:c r="H904" s="115" t="str">
        <x:v>L 342 ; l 294 ; hauteur 24 m ; choix de composition auteur ; dimensions réelles à documenter</x:v>
      </x:c>
      <x:c r="I904" s="115" t="str">
        <x:v>À équilibrer</x:v>
      </x:c>
      <x:c r="J904" s="115" t="str">
        <x:v>Non</x:v>
      </x:c>
      <x:c r="K904" s="115" t="str">
        <x:v>Pièces décrites, murs, portes, niveaux et mobilier inspectables à l’échelle. Volumes réservés, raccord au seed, butin, rencontres et services de campagne restent à terminer.</x:v>
      </x:c>
    </x:row>
    <x:row r="905" ht="96" customHeight="1">
      <x:c r="A905" s="115" t="str">
        <x:v>EXT-MONDE-T018-V50</x:v>
      </x:c>
      <x:c r="B905" s="115" t="str">
        <x:v>EXT-MONDE-T018</x:v>
      </x:c>
      <x:c r="C905" s="115" t="str">
        <x:v>Littoral</x:v>
      </x:c>
      <x:c r="D905" s="115" t="str">
        <x:v>Fête foraine portuaire</x:v>
      </x:c>
      <x:c r="E905" s="115" t="n">
        <x:v>50</x:v>
      </x:c>
      <x:c r="F905" s="115" t="str">
        <x:v>Inspection physique</x:v>
      </x:c>
      <x:c r="G905" s="115" t="str">
        <x:v>1 niveaux ; 32 pièces ; 248 segments de mur ; 0 transitions. Inspection physique ; architecture complète encore ouverte.</x:v>
      </x:c>
      <x:c r="H905" s="115" t="str">
        <x:v>L 342 ; l 294 ; hauteur 24 m ; choix de composition auteur ; dimensions réelles à documenter</x:v>
      </x:c>
      <x:c r="I905" s="115" t="str">
        <x:v>À équilibrer</x:v>
      </x:c>
      <x:c r="J905" s="115" t="str">
        <x:v>Non</x:v>
      </x:c>
      <x:c r="K905" s="115" t="str">
        <x:v>Pièces décrites, murs, portes, niveaux et mobilier inspectables à l’échelle. Volumes réservés, raccord au seed, butin, rencontres et services de campagne restent à terminer.</x:v>
      </x:c>
    </x:row>
    <x:row r="906" ht="96" customHeight="1">
      <x:c r="A906" s="115" t="str">
        <x:v>EXT-MONDE-T019-V01</x:v>
      </x:c>
      <x:c r="B906" s="115" t="str">
        <x:v>EXT-MONDE-T019</x:v>
      </x:c>
      <x:c r="C906" s="115" t="str">
        <x:v>Littoral</x:v>
      </x:c>
      <x:c r="D906" s="115" t="str">
        <x:v>Chantier naval côtier</x:v>
      </x:c>
      <x:c r="E906" s="115" t="n">
        <x:v>1</x:v>
      </x:c>
      <x:c r="F906" s="115" t="str">
        <x:v>Inspection physique</x:v>
      </x:c>
      <x:c r="G906" s="115" t="str">
        <x:v>1 niveaux ; 32 pièces ; 248 segments de mur ; 0 transitions. Inspection physique ; architecture complète encore ouverte.</x:v>
      </x:c>
      <x:c r="H906" s="115" t="str">
        <x:v>L 270 ; l 230 ; hauteur 18 m ; choix de composition auteur ; dimensions réelles à documenter</x:v>
      </x:c>
      <x:c r="I906" s="115" t="str">
        <x:v>À équilibrer</x:v>
      </x:c>
      <x:c r="J906" s="115" t="str">
        <x:v>Non</x:v>
      </x:c>
      <x:c r="K906" s="115" t="str">
        <x:v>Pièces décrites, murs, portes, niveaux et mobilier inspectables à l’échelle. Volumes réservés, raccord au seed, butin, rencontres et services de campagne restent à terminer.</x:v>
      </x:c>
    </x:row>
    <x:row r="907" ht="96" customHeight="1">
      <x:c r="A907" s="115" t="str">
        <x:v>EXT-MONDE-T019-V02</x:v>
      </x:c>
      <x:c r="B907" s="115" t="str">
        <x:v>EXT-MONDE-T019</x:v>
      </x:c>
      <x:c r="C907" s="115" t="str">
        <x:v>Littoral</x:v>
      </x:c>
      <x:c r="D907" s="115" t="str">
        <x:v>Chantier naval côtier</x:v>
      </x:c>
      <x:c r="E907" s="115" t="n">
        <x:v>2</x:v>
      </x:c>
      <x:c r="F907" s="115" t="str">
        <x:v>Inspection physique</x:v>
      </x:c>
      <x:c r="G907" s="115" t="str">
        <x:v>1 niveaux ; 32 pièces ; 248 segments de mur ; 0 transitions. Inspection physique ; architecture complète encore ouverte.</x:v>
      </x:c>
      <x:c r="H907" s="115" t="str">
        <x:v>L 270 ; l 230 ; hauteur 18 m ; choix de composition auteur ; dimensions réelles à documenter</x:v>
      </x:c>
      <x:c r="I907" s="115" t="str">
        <x:v>À équilibrer</x:v>
      </x:c>
      <x:c r="J907" s="115" t="str">
        <x:v>Non</x:v>
      </x:c>
      <x:c r="K907" s="115" t="str">
        <x:v>Pièces décrites, murs, portes, niveaux et mobilier inspectables à l’échelle. Volumes réservés, raccord au seed, butin, rencontres et services de campagne restent à terminer.</x:v>
      </x:c>
    </x:row>
    <x:row r="908" ht="96" customHeight="1">
      <x:c r="A908" s="115" t="str">
        <x:v>EXT-MONDE-T019-V03</x:v>
      </x:c>
      <x:c r="B908" s="115" t="str">
        <x:v>EXT-MONDE-T019</x:v>
      </x:c>
      <x:c r="C908" s="115" t="str">
        <x:v>Littoral</x:v>
      </x:c>
      <x:c r="D908" s="115" t="str">
        <x:v>Chantier naval côtier</x:v>
      </x:c>
      <x:c r="E908" s="115" t="n">
        <x:v>3</x:v>
      </x:c>
      <x:c r="F908" s="115" t="str">
        <x:v>Inspection physique</x:v>
      </x:c>
      <x:c r="G908" s="115" t="str">
        <x:v>1 niveaux ; 32 pièces ; 248 segments de mur ; 0 transitions. Inspection physique ; architecture complète encore ouverte.</x:v>
      </x:c>
      <x:c r="H908" s="115" t="str">
        <x:v>L 270 ; l 230 ; hauteur 18 m ; choix de composition auteur ; dimensions réelles à documenter</x:v>
      </x:c>
      <x:c r="I908" s="115" t="str">
        <x:v>À équilibrer</x:v>
      </x:c>
      <x:c r="J908" s="115" t="str">
        <x:v>Non</x:v>
      </x:c>
      <x:c r="K908" s="115" t="str">
        <x:v>Pièces décrites, murs, portes, niveaux et mobilier inspectables à l’échelle. Volumes réservés, raccord au seed, butin, rencontres et services de campagne restent à terminer.</x:v>
      </x:c>
    </x:row>
    <x:row r="909" ht="96" customHeight="1">
      <x:c r="A909" s="115" t="str">
        <x:v>EXT-MONDE-T019-V04</x:v>
      </x:c>
      <x:c r="B909" s="115" t="str">
        <x:v>EXT-MONDE-T019</x:v>
      </x:c>
      <x:c r="C909" s="115" t="str">
        <x:v>Littoral</x:v>
      </x:c>
      <x:c r="D909" s="115" t="str">
        <x:v>Chantier naval côtier</x:v>
      </x:c>
      <x:c r="E909" s="115" t="n">
        <x:v>4</x:v>
      </x:c>
      <x:c r="F909" s="115" t="str">
        <x:v>Inspection physique</x:v>
      </x:c>
      <x:c r="G909" s="115" t="str">
        <x:v>1 niveaux ; 32 pièces ; 248 segments de mur ; 0 transitions. Inspection physique ; architecture complète encore ouverte.</x:v>
      </x:c>
      <x:c r="H909" s="115" t="str">
        <x:v>L 270 ; l 230 ; hauteur 18 m ; choix de composition auteur ; dimensions réelles à documenter</x:v>
      </x:c>
      <x:c r="I909" s="115" t="str">
        <x:v>À équilibrer</x:v>
      </x:c>
      <x:c r="J909" s="115" t="str">
        <x:v>Non</x:v>
      </x:c>
      <x:c r="K909" s="115" t="str">
        <x:v>Pièces décrites, murs, portes, niveaux et mobilier inspectables à l’échelle. Volumes réservés, raccord au seed, butin, rencontres et services de campagne restent à terminer.</x:v>
      </x:c>
    </x:row>
    <x:row r="910" ht="96" customHeight="1">
      <x:c r="A910" s="115" t="str">
        <x:v>EXT-MONDE-T019-V05</x:v>
      </x:c>
      <x:c r="B910" s="115" t="str">
        <x:v>EXT-MONDE-T019</x:v>
      </x:c>
      <x:c r="C910" s="115" t="str">
        <x:v>Littoral</x:v>
      </x:c>
      <x:c r="D910" s="115" t="str">
        <x:v>Chantier naval côtier</x:v>
      </x:c>
      <x:c r="E910" s="115" t="n">
        <x:v>5</x:v>
      </x:c>
      <x:c r="F910" s="115" t="str">
        <x:v>Inspection physique</x:v>
      </x:c>
      <x:c r="G910" s="115" t="str">
        <x:v>1 niveaux ; 32 pièces ; 248 segments de mur ; 0 transitions. Inspection physique ; architecture complète encore ouverte.</x:v>
      </x:c>
      <x:c r="H910" s="115" t="str">
        <x:v>L 270 ; l 230 ; hauteur 18 m ; choix de composition auteur ; dimensions réelles à documenter</x:v>
      </x:c>
      <x:c r="I910" s="115" t="str">
        <x:v>À équilibrer</x:v>
      </x:c>
      <x:c r="J910" s="115" t="str">
        <x:v>Non</x:v>
      </x:c>
      <x:c r="K910" s="115" t="str">
        <x:v>Pièces décrites, murs, portes, niveaux et mobilier inspectables à l’échelle. Volumes réservés, raccord au seed, butin, rencontres et services de campagne restent à terminer.</x:v>
      </x:c>
    </x:row>
    <x:row r="911" ht="96" customHeight="1">
      <x:c r="A911" s="115" t="str">
        <x:v>EXT-MONDE-T019-V06</x:v>
      </x:c>
      <x:c r="B911" s="115" t="str">
        <x:v>EXT-MONDE-T019</x:v>
      </x:c>
      <x:c r="C911" s="115" t="str">
        <x:v>Littoral</x:v>
      </x:c>
      <x:c r="D911" s="115" t="str">
        <x:v>Chantier naval côtier</x:v>
      </x:c>
      <x:c r="E911" s="115" t="n">
        <x:v>6</x:v>
      </x:c>
      <x:c r="F911" s="115" t="str">
        <x:v>Inspection physique</x:v>
      </x:c>
      <x:c r="G911" s="115" t="str">
        <x:v>1 niveaux ; 32 pièces ; 248 segments de mur ; 0 transitions. Inspection physique ; architecture complète encore ouverte.</x:v>
      </x:c>
      <x:c r="H911" s="115" t="str">
        <x:v>L 270 ; l 230 ; hauteur 18 m ; choix de composition auteur ; dimensions réelles à documenter</x:v>
      </x:c>
      <x:c r="I911" s="115" t="str">
        <x:v>À équilibrer</x:v>
      </x:c>
      <x:c r="J911" s="115" t="str">
        <x:v>Non</x:v>
      </x:c>
      <x:c r="K911" s="115" t="str">
        <x:v>Pièces décrites, murs, portes, niveaux et mobilier inspectables à l’échelle. Volumes réservés, raccord au seed, butin, rencontres et services de campagne restent à terminer.</x:v>
      </x:c>
    </x:row>
    <x:row r="912" ht="96" customHeight="1">
      <x:c r="A912" s="115" t="str">
        <x:v>EXT-MONDE-T019-V07</x:v>
      </x:c>
      <x:c r="B912" s="115" t="str">
        <x:v>EXT-MONDE-T019</x:v>
      </x:c>
      <x:c r="C912" s="115" t="str">
        <x:v>Littoral</x:v>
      </x:c>
      <x:c r="D912" s="115" t="str">
        <x:v>Chantier naval côtier</x:v>
      </x:c>
      <x:c r="E912" s="115" t="n">
        <x:v>7</x:v>
      </x:c>
      <x:c r="F912" s="115" t="str">
        <x:v>Inspection physique</x:v>
      </x:c>
      <x:c r="G912" s="115" t="str">
        <x:v>1 niveaux ; 32 pièces ; 248 segments de mur ; 0 transitions. Inspection physique ; architecture complète encore ouverte.</x:v>
      </x:c>
      <x:c r="H912" s="115" t="str">
        <x:v>L 270 ; l 230 ; hauteur 18 m ; choix de composition auteur ; dimensions réelles à documenter</x:v>
      </x:c>
      <x:c r="I912" s="115" t="str">
        <x:v>À équilibrer</x:v>
      </x:c>
      <x:c r="J912" s="115" t="str">
        <x:v>Non</x:v>
      </x:c>
      <x:c r="K912" s="115" t="str">
        <x:v>Pièces décrites, murs, portes, niveaux et mobilier inspectables à l’échelle. Volumes réservés, raccord au seed, butin, rencontres et services de campagne restent à terminer.</x:v>
      </x:c>
    </x:row>
    <x:row r="913" ht="96" customHeight="1">
      <x:c r="A913" s="115" t="str">
        <x:v>EXT-MONDE-T019-V08</x:v>
      </x:c>
      <x:c r="B913" s="115" t="str">
        <x:v>EXT-MONDE-T019</x:v>
      </x:c>
      <x:c r="C913" s="115" t="str">
        <x:v>Littoral</x:v>
      </x:c>
      <x:c r="D913" s="115" t="str">
        <x:v>Chantier naval côtier</x:v>
      </x:c>
      <x:c r="E913" s="115" t="n">
        <x:v>8</x:v>
      </x:c>
      <x:c r="F913" s="115" t="str">
        <x:v>Inspection physique</x:v>
      </x:c>
      <x:c r="G913" s="115" t="str">
        <x:v>1 niveaux ; 32 pièces ; 248 segments de mur ; 0 transitions. Inspection physique ; architecture complète encore ouverte.</x:v>
      </x:c>
      <x:c r="H913" s="115" t="str">
        <x:v>L 270 ; l 230 ; hauteur 18 m ; choix de composition auteur ; dimensions réelles à documenter</x:v>
      </x:c>
      <x:c r="I913" s="115" t="str">
        <x:v>À équilibrer</x:v>
      </x:c>
      <x:c r="J913" s="115" t="str">
        <x:v>Non</x:v>
      </x:c>
      <x:c r="K913" s="115" t="str">
        <x:v>Pièces décrites, murs, portes, niveaux et mobilier inspectables à l’échelle. Volumes réservés, raccord au seed, butin, rencontres et services de campagne restent à terminer.</x:v>
      </x:c>
    </x:row>
    <x:row r="914" ht="96" customHeight="1">
      <x:c r="A914" s="115" t="str">
        <x:v>EXT-MONDE-T019-V09</x:v>
      </x:c>
      <x:c r="B914" s="115" t="str">
        <x:v>EXT-MONDE-T019</x:v>
      </x:c>
      <x:c r="C914" s="115" t="str">
        <x:v>Littoral</x:v>
      </x:c>
      <x:c r="D914" s="115" t="str">
        <x:v>Chantier naval côtier</x:v>
      </x:c>
      <x:c r="E914" s="115" t="n">
        <x:v>9</x:v>
      </x:c>
      <x:c r="F914" s="115" t="str">
        <x:v>Inspection physique</x:v>
      </x:c>
      <x:c r="G914" s="115" t="str">
        <x:v>1 niveaux ; 32 pièces ; 248 segments de mur ; 0 transitions. Inspection physique ; architecture complète encore ouverte.</x:v>
      </x:c>
      <x:c r="H914" s="115" t="str">
        <x:v>L 270 ; l 230 ; hauteur 18 m ; choix de composition auteur ; dimensions réelles à documenter</x:v>
      </x:c>
      <x:c r="I914" s="115" t="str">
        <x:v>À équilibrer</x:v>
      </x:c>
      <x:c r="J914" s="115" t="str">
        <x:v>Non</x:v>
      </x:c>
      <x:c r="K914" s="115" t="str">
        <x:v>Pièces décrites, murs, portes, niveaux et mobilier inspectables à l’échelle. Volumes réservés, raccord au seed, butin, rencontres et services de campagne restent à terminer.</x:v>
      </x:c>
    </x:row>
    <x:row r="915" ht="96" customHeight="1">
      <x:c r="A915" s="115" t="str">
        <x:v>EXT-MONDE-T019-V10</x:v>
      </x:c>
      <x:c r="B915" s="115" t="str">
        <x:v>EXT-MONDE-T019</x:v>
      </x:c>
      <x:c r="C915" s="115" t="str">
        <x:v>Littoral</x:v>
      </x:c>
      <x:c r="D915" s="115" t="str">
        <x:v>Chantier naval côtier</x:v>
      </x:c>
      <x:c r="E915" s="115" t="n">
        <x:v>10</x:v>
      </x:c>
      <x:c r="F915" s="115" t="str">
        <x:v>Inspection physique</x:v>
      </x:c>
      <x:c r="G915" s="115" t="str">
        <x:v>1 niveaux ; 32 pièces ; 248 segments de mur ; 0 transitions. Inspection physique ; architecture complète encore ouverte.</x:v>
      </x:c>
      <x:c r="H915" s="115" t="str">
        <x:v>L 270 ; l 230 ; hauteur 18 m ; choix de composition auteur ; dimensions réelles à documenter</x:v>
      </x:c>
      <x:c r="I915" s="115" t="str">
        <x:v>À équilibrer</x:v>
      </x:c>
      <x:c r="J915" s="115" t="str">
        <x:v>Non</x:v>
      </x:c>
      <x:c r="K915" s="115" t="str">
        <x:v>Pièces décrites, murs, portes, niveaux et mobilier inspectables à l’échelle. Volumes réservés, raccord au seed, butin, rencontres et services de campagne restent à terminer.</x:v>
      </x:c>
    </x:row>
    <x:row r="916" ht="96" customHeight="1">
      <x:c r="A916" s="115" t="str">
        <x:v>EXT-MONDE-T019-V11</x:v>
      </x:c>
      <x:c r="B916" s="115" t="str">
        <x:v>EXT-MONDE-T019</x:v>
      </x:c>
      <x:c r="C916" s="115" t="str">
        <x:v>Littoral</x:v>
      </x:c>
      <x:c r="D916" s="115" t="str">
        <x:v>Chantier naval côtier</x:v>
      </x:c>
      <x:c r="E916" s="115" t="n">
        <x:v>11</x:v>
      </x:c>
      <x:c r="F916" s="115" t="str">
        <x:v>Inspection physique</x:v>
      </x:c>
      <x:c r="G916" s="115" t="str">
        <x:v>1 niveaux ; 32 pièces ; 248 segments de mur ; 0 transitions. Inspection physique ; architecture complète encore ouverte.</x:v>
      </x:c>
      <x:c r="H916" s="115" t="str">
        <x:v>L 288 ; l 246 ; hauteur 18 m ; choix de composition auteur ; dimensions réelles à documenter</x:v>
      </x:c>
      <x:c r="I916" s="115" t="str">
        <x:v>À équilibrer</x:v>
      </x:c>
      <x:c r="J916" s="115" t="str">
        <x:v>Non</x:v>
      </x:c>
      <x:c r="K916" s="115" t="str">
        <x:v>Pièces décrites, murs, portes, niveaux et mobilier inspectables à l’échelle. Volumes réservés, raccord au seed, butin, rencontres et services de campagne restent à terminer.</x:v>
      </x:c>
    </x:row>
    <x:row r="917" ht="96" customHeight="1">
      <x:c r="A917" s="115" t="str">
        <x:v>EXT-MONDE-T019-V12</x:v>
      </x:c>
      <x:c r="B917" s="115" t="str">
        <x:v>EXT-MONDE-T019</x:v>
      </x:c>
      <x:c r="C917" s="115" t="str">
        <x:v>Littoral</x:v>
      </x:c>
      <x:c r="D917" s="115" t="str">
        <x:v>Chantier naval côtier</x:v>
      </x:c>
      <x:c r="E917" s="115" t="n">
        <x:v>12</x:v>
      </x:c>
      <x:c r="F917" s="115" t="str">
        <x:v>Inspection physique</x:v>
      </x:c>
      <x:c r="G917" s="115" t="str">
        <x:v>1 niveaux ; 32 pièces ; 248 segments de mur ; 0 transitions. Inspection physique ; architecture complète encore ouverte.</x:v>
      </x:c>
      <x:c r="H917" s="115" t="str">
        <x:v>L 288 ; l 246 ; hauteur 18 m ; choix de composition auteur ; dimensions réelles à documenter</x:v>
      </x:c>
      <x:c r="I917" s="115" t="str">
        <x:v>À équilibrer</x:v>
      </x:c>
      <x:c r="J917" s="115" t="str">
        <x:v>Non</x:v>
      </x:c>
      <x:c r="K917" s="115" t="str">
        <x:v>Pièces décrites, murs, portes, niveaux et mobilier inspectables à l’échelle. Volumes réservés, raccord au seed, butin, rencontres et services de campagne restent à terminer.</x:v>
      </x:c>
    </x:row>
    <x:row r="918" ht="96" customHeight="1">
      <x:c r="A918" s="115" t="str">
        <x:v>EXT-MONDE-T019-V13</x:v>
      </x:c>
      <x:c r="B918" s="115" t="str">
        <x:v>EXT-MONDE-T019</x:v>
      </x:c>
      <x:c r="C918" s="115" t="str">
        <x:v>Littoral</x:v>
      </x:c>
      <x:c r="D918" s="115" t="str">
        <x:v>Chantier naval côtier</x:v>
      </x:c>
      <x:c r="E918" s="115" t="n">
        <x:v>13</x:v>
      </x:c>
      <x:c r="F918" s="115" t="str">
        <x:v>Inspection physique</x:v>
      </x:c>
      <x:c r="G918" s="115" t="str">
        <x:v>1 niveaux ; 32 pièces ; 248 segments de mur ; 0 transitions. Inspection physique ; architecture complète encore ouverte.</x:v>
      </x:c>
      <x:c r="H918" s="115" t="str">
        <x:v>L 288 ; l 246 ; hauteur 18 m ; choix de composition auteur ; dimensions réelles à documenter</x:v>
      </x:c>
      <x:c r="I918" s="115" t="str">
        <x:v>À équilibrer</x:v>
      </x:c>
      <x:c r="J918" s="115" t="str">
        <x:v>Non</x:v>
      </x:c>
      <x:c r="K918" s="115" t="str">
        <x:v>Pièces décrites, murs, portes, niveaux et mobilier inspectables à l’échelle. Volumes réservés, raccord au seed, butin, rencontres et services de campagne restent à terminer.</x:v>
      </x:c>
    </x:row>
    <x:row r="919" ht="96" customHeight="1">
      <x:c r="A919" s="115" t="str">
        <x:v>EXT-MONDE-T019-V14</x:v>
      </x:c>
      <x:c r="B919" s="115" t="str">
        <x:v>EXT-MONDE-T019</x:v>
      </x:c>
      <x:c r="C919" s="115" t="str">
        <x:v>Littoral</x:v>
      </x:c>
      <x:c r="D919" s="115" t="str">
        <x:v>Chantier naval côtier</x:v>
      </x:c>
      <x:c r="E919" s="115" t="n">
        <x:v>14</x:v>
      </x:c>
      <x:c r="F919" s="115" t="str">
        <x:v>Inspection physique</x:v>
      </x:c>
      <x:c r="G919" s="115" t="str">
        <x:v>1 niveaux ; 32 pièces ; 248 segments de mur ; 0 transitions. Inspection physique ; architecture complète encore ouverte.</x:v>
      </x:c>
      <x:c r="H919" s="115" t="str">
        <x:v>L 288 ; l 246 ; hauteur 18 m ; choix de composition auteur ; dimensions réelles à documenter</x:v>
      </x:c>
      <x:c r="I919" s="115" t="str">
        <x:v>À équilibrer</x:v>
      </x:c>
      <x:c r="J919" s="115" t="str">
        <x:v>Non</x:v>
      </x:c>
      <x:c r="K919" s="115" t="str">
        <x:v>Pièces décrites, murs, portes, niveaux et mobilier inspectables à l’échelle. Volumes réservés, raccord au seed, butin, rencontres et services de campagne restent à terminer.</x:v>
      </x:c>
    </x:row>
    <x:row r="920" ht="96" customHeight="1">
      <x:c r="A920" s="115" t="str">
        <x:v>EXT-MONDE-T019-V15</x:v>
      </x:c>
      <x:c r="B920" s="115" t="str">
        <x:v>EXT-MONDE-T019</x:v>
      </x:c>
      <x:c r="C920" s="115" t="str">
        <x:v>Littoral</x:v>
      </x:c>
      <x:c r="D920" s="115" t="str">
        <x:v>Chantier naval côtier</x:v>
      </x:c>
      <x:c r="E920" s="115" t="n">
        <x:v>15</x:v>
      </x:c>
      <x:c r="F920" s="115" t="str">
        <x:v>Inspection physique</x:v>
      </x:c>
      <x:c r="G920" s="115" t="str">
        <x:v>1 niveaux ; 32 pièces ; 248 segments de mur ; 0 transitions. Inspection physique ; architecture complète encore ouverte.</x:v>
      </x:c>
      <x:c r="H920" s="115" t="str">
        <x:v>L 288 ; l 246 ; hauteur 18 m ; choix de composition auteur ; dimensions réelles à documenter</x:v>
      </x:c>
      <x:c r="I920" s="115" t="str">
        <x:v>À équilibrer</x:v>
      </x:c>
      <x:c r="J920" s="115" t="str">
        <x:v>Non</x:v>
      </x:c>
      <x:c r="K920" s="115" t="str">
        <x:v>Pièces décrites, murs, portes, niveaux et mobilier inspectables à l’échelle. Volumes réservés, raccord au seed, butin, rencontres et services de campagne restent à terminer.</x:v>
      </x:c>
    </x:row>
    <x:row r="921" ht="96" customHeight="1">
      <x:c r="A921" s="115" t="str">
        <x:v>EXT-MONDE-T019-V16</x:v>
      </x:c>
      <x:c r="B921" s="115" t="str">
        <x:v>EXT-MONDE-T019</x:v>
      </x:c>
      <x:c r="C921" s="115" t="str">
        <x:v>Littoral</x:v>
      </x:c>
      <x:c r="D921" s="115" t="str">
        <x:v>Chantier naval côtier</x:v>
      </x:c>
      <x:c r="E921" s="115" t="n">
        <x:v>16</x:v>
      </x:c>
      <x:c r="F921" s="115" t="str">
        <x:v>Inspection physique</x:v>
      </x:c>
      <x:c r="G921" s="115" t="str">
        <x:v>1 niveaux ; 32 pièces ; 248 segments de mur ; 0 transitions. Inspection physique ; architecture complète encore ouverte.</x:v>
      </x:c>
      <x:c r="H921" s="115" t="str">
        <x:v>L 288 ; l 246 ; hauteur 18 m ; choix de composition auteur ; dimensions réelles à documenter</x:v>
      </x:c>
      <x:c r="I921" s="115" t="str">
        <x:v>À équilibrer</x:v>
      </x:c>
      <x:c r="J921" s="115" t="str">
        <x:v>Non</x:v>
      </x:c>
      <x:c r="K921" s="115" t="str">
        <x:v>Pièces décrites, murs, portes, niveaux et mobilier inspectables à l’échelle. Volumes réservés, raccord au seed, butin, rencontres et services de campagne restent à terminer.</x:v>
      </x:c>
    </x:row>
    <x:row r="922" ht="96" customHeight="1">
      <x:c r="A922" s="115" t="str">
        <x:v>EXT-MONDE-T019-V17</x:v>
      </x:c>
      <x:c r="B922" s="115" t="str">
        <x:v>EXT-MONDE-T019</x:v>
      </x:c>
      <x:c r="C922" s="115" t="str">
        <x:v>Littoral</x:v>
      </x:c>
      <x:c r="D922" s="115" t="str">
        <x:v>Chantier naval côtier</x:v>
      </x:c>
      <x:c r="E922" s="115" t="n">
        <x:v>17</x:v>
      </x:c>
      <x:c r="F922" s="115" t="str">
        <x:v>Inspection physique</x:v>
      </x:c>
      <x:c r="G922" s="115" t="str">
        <x:v>1 niveaux ; 32 pièces ; 248 segments de mur ; 0 transitions. Inspection physique ; architecture complète encore ouverte.</x:v>
      </x:c>
      <x:c r="H922" s="115" t="str">
        <x:v>L 288 ; l 246 ; hauteur 18 m ; choix de composition auteur ; dimensions réelles à documenter</x:v>
      </x:c>
      <x:c r="I922" s="115" t="str">
        <x:v>À équilibrer</x:v>
      </x:c>
      <x:c r="J922" s="115" t="str">
        <x:v>Non</x:v>
      </x:c>
      <x:c r="K922" s="115" t="str">
        <x:v>Pièces décrites, murs, portes, niveaux et mobilier inspectables à l’échelle. Volumes réservés, raccord au seed, butin, rencontres et services de campagne restent à terminer.</x:v>
      </x:c>
    </x:row>
    <x:row r="923" ht="96" customHeight="1">
      <x:c r="A923" s="115" t="str">
        <x:v>EXT-MONDE-T019-V18</x:v>
      </x:c>
      <x:c r="B923" s="115" t="str">
        <x:v>EXT-MONDE-T019</x:v>
      </x:c>
      <x:c r="C923" s="115" t="str">
        <x:v>Littoral</x:v>
      </x:c>
      <x:c r="D923" s="115" t="str">
        <x:v>Chantier naval côtier</x:v>
      </x:c>
      <x:c r="E923" s="115" t="n">
        <x:v>18</x:v>
      </x:c>
      <x:c r="F923" s="115" t="str">
        <x:v>Inspection physique</x:v>
      </x:c>
      <x:c r="G923" s="115" t="str">
        <x:v>1 niveaux ; 32 pièces ; 248 segments de mur ; 0 transitions. Inspection physique ; architecture complète encore ouverte.</x:v>
      </x:c>
      <x:c r="H923" s="115" t="str">
        <x:v>L 288 ; l 246 ; hauteur 18 m ; choix de composition auteur ; dimensions réelles à documenter</x:v>
      </x:c>
      <x:c r="I923" s="115" t="str">
        <x:v>À équilibrer</x:v>
      </x:c>
      <x:c r="J923" s="115" t="str">
        <x:v>Non</x:v>
      </x:c>
      <x:c r="K923" s="115" t="str">
        <x:v>Pièces décrites, murs, portes, niveaux et mobilier inspectables à l’échelle. Volumes réservés, raccord au seed, butin, rencontres et services de campagne restent à terminer.</x:v>
      </x:c>
    </x:row>
    <x:row r="924" ht="96" customHeight="1">
      <x:c r="A924" s="115" t="str">
        <x:v>EXT-MONDE-T019-V19</x:v>
      </x:c>
      <x:c r="B924" s="115" t="str">
        <x:v>EXT-MONDE-T019</x:v>
      </x:c>
      <x:c r="C924" s="115" t="str">
        <x:v>Littoral</x:v>
      </x:c>
      <x:c r="D924" s="115" t="str">
        <x:v>Chantier naval côtier</x:v>
      </x:c>
      <x:c r="E924" s="115" t="n">
        <x:v>19</x:v>
      </x:c>
      <x:c r="F924" s="115" t="str">
        <x:v>Inspection physique</x:v>
      </x:c>
      <x:c r="G924" s="115" t="str">
        <x:v>1 niveaux ; 32 pièces ; 248 segments de mur ; 0 transitions. Inspection physique ; architecture complète encore ouverte.</x:v>
      </x:c>
      <x:c r="H924" s="115" t="str">
        <x:v>L 288 ; l 246 ; hauteur 18 m ; choix de composition auteur ; dimensions réelles à documenter</x:v>
      </x:c>
      <x:c r="I924" s="115" t="str">
        <x:v>À équilibrer</x:v>
      </x:c>
      <x:c r="J924" s="115" t="str">
        <x:v>Non</x:v>
      </x:c>
      <x:c r="K924" s="115" t="str">
        <x:v>Pièces décrites, murs, portes, niveaux et mobilier inspectables à l’échelle. Volumes réservés, raccord au seed, butin, rencontres et services de campagne restent à terminer.</x:v>
      </x:c>
    </x:row>
    <x:row r="925" ht="96" customHeight="1">
      <x:c r="A925" s="115" t="str">
        <x:v>EXT-MONDE-T019-V20</x:v>
      </x:c>
      <x:c r="B925" s="115" t="str">
        <x:v>EXT-MONDE-T019</x:v>
      </x:c>
      <x:c r="C925" s="115" t="str">
        <x:v>Littoral</x:v>
      </x:c>
      <x:c r="D925" s="115" t="str">
        <x:v>Chantier naval côtier</x:v>
      </x:c>
      <x:c r="E925" s="115" t="n">
        <x:v>20</x:v>
      </x:c>
      <x:c r="F925" s="115" t="str">
        <x:v>Inspection physique</x:v>
      </x:c>
      <x:c r="G925" s="115" t="str">
        <x:v>1 niveaux ; 32 pièces ; 248 segments de mur ; 0 transitions. Inspection physique ; architecture complète encore ouverte.</x:v>
      </x:c>
      <x:c r="H925" s="115" t="str">
        <x:v>L 288 ; l 246 ; hauteur 18 m ; choix de composition auteur ; dimensions réelles à documenter</x:v>
      </x:c>
      <x:c r="I925" s="115" t="str">
        <x:v>À équilibrer</x:v>
      </x:c>
      <x:c r="J925" s="115" t="str">
        <x:v>Non</x:v>
      </x:c>
      <x:c r="K925" s="115" t="str">
        <x:v>Pièces décrites, murs, portes, niveaux et mobilier inspectables à l’échelle. Volumes réservés, raccord au seed, butin, rencontres et services de campagne restent à terminer.</x:v>
      </x:c>
    </x:row>
    <x:row r="926" ht="96" customHeight="1">
      <x:c r="A926" s="115" t="str">
        <x:v>EXT-MONDE-T019-V21</x:v>
      </x:c>
      <x:c r="B926" s="115" t="str">
        <x:v>EXT-MONDE-T019</x:v>
      </x:c>
      <x:c r="C926" s="115" t="str">
        <x:v>Littoral</x:v>
      </x:c>
      <x:c r="D926" s="115" t="str">
        <x:v>Chantier naval côtier</x:v>
      </x:c>
      <x:c r="E926" s="115" t="n">
        <x:v>21</x:v>
      </x:c>
      <x:c r="F926" s="115" t="str">
        <x:v>Inspection physique</x:v>
      </x:c>
      <x:c r="G926" s="115" t="str">
        <x:v>1 niveaux ; 32 pièces ; 248 segments de mur ; 0 transitions. Inspection physique ; architecture complète encore ouverte.</x:v>
      </x:c>
      <x:c r="H926" s="115" t="str">
        <x:v>L 306 ; l 262 ; hauteur 18 m ; choix de composition auteur ; dimensions réelles à documenter</x:v>
      </x:c>
      <x:c r="I926" s="115" t="str">
        <x:v>À équilibrer</x:v>
      </x:c>
      <x:c r="J926" s="115" t="str">
        <x:v>Non</x:v>
      </x:c>
      <x:c r="K926" s="115" t="str">
        <x:v>Pièces décrites, murs, portes, niveaux et mobilier inspectables à l’échelle. Volumes réservés, raccord au seed, butin, rencontres et services de campagne restent à terminer.</x:v>
      </x:c>
    </x:row>
    <x:row r="927" ht="96" customHeight="1">
      <x:c r="A927" s="115" t="str">
        <x:v>EXT-MONDE-T019-V22</x:v>
      </x:c>
      <x:c r="B927" s="115" t="str">
        <x:v>EXT-MONDE-T019</x:v>
      </x:c>
      <x:c r="C927" s="115" t="str">
        <x:v>Littoral</x:v>
      </x:c>
      <x:c r="D927" s="115" t="str">
        <x:v>Chantier naval côtier</x:v>
      </x:c>
      <x:c r="E927" s="115" t="n">
        <x:v>22</x:v>
      </x:c>
      <x:c r="F927" s="115" t="str">
        <x:v>Inspection physique</x:v>
      </x:c>
      <x:c r="G927" s="115" t="str">
        <x:v>1 niveaux ; 32 pièces ; 248 segments de mur ; 0 transitions. Inspection physique ; architecture complète encore ouverte.</x:v>
      </x:c>
      <x:c r="H927" s="115" t="str">
        <x:v>L 306 ; l 262 ; hauteur 18 m ; choix de composition auteur ; dimensions réelles à documenter</x:v>
      </x:c>
      <x:c r="I927" s="115" t="str">
        <x:v>À équilibrer</x:v>
      </x:c>
      <x:c r="J927" s="115" t="str">
        <x:v>Non</x:v>
      </x:c>
      <x:c r="K927" s="115" t="str">
        <x:v>Pièces décrites, murs, portes, niveaux et mobilier inspectables à l’échelle. Volumes réservés, raccord au seed, butin, rencontres et services de campagne restent à terminer.</x:v>
      </x:c>
    </x:row>
    <x:row r="928" ht="96" customHeight="1">
      <x:c r="A928" s="115" t="str">
        <x:v>EXT-MONDE-T019-V23</x:v>
      </x:c>
      <x:c r="B928" s="115" t="str">
        <x:v>EXT-MONDE-T019</x:v>
      </x:c>
      <x:c r="C928" s="115" t="str">
        <x:v>Littoral</x:v>
      </x:c>
      <x:c r="D928" s="115" t="str">
        <x:v>Chantier naval côtier</x:v>
      </x:c>
      <x:c r="E928" s="115" t="n">
        <x:v>23</x:v>
      </x:c>
      <x:c r="F928" s="115" t="str">
        <x:v>Inspection physique</x:v>
      </x:c>
      <x:c r="G928" s="115" t="str">
        <x:v>1 niveaux ; 32 pièces ; 248 segments de mur ; 0 transitions. Inspection physique ; architecture complète encore ouverte.</x:v>
      </x:c>
      <x:c r="H928" s="115" t="str">
        <x:v>L 306 ; l 262 ; hauteur 18 m ; choix de composition auteur ; dimensions réelles à documenter</x:v>
      </x:c>
      <x:c r="I928" s="115" t="str">
        <x:v>À équilibrer</x:v>
      </x:c>
      <x:c r="J928" s="115" t="str">
        <x:v>Non</x:v>
      </x:c>
      <x:c r="K928" s="115" t="str">
        <x:v>Pièces décrites, murs, portes, niveaux et mobilier inspectables à l’échelle. Volumes réservés, raccord au seed, butin, rencontres et services de campagne restent à terminer.</x:v>
      </x:c>
    </x:row>
    <x:row r="929" ht="96" customHeight="1">
      <x:c r="A929" s="115" t="str">
        <x:v>EXT-MONDE-T019-V24</x:v>
      </x:c>
      <x:c r="B929" s="115" t="str">
        <x:v>EXT-MONDE-T019</x:v>
      </x:c>
      <x:c r="C929" s="115" t="str">
        <x:v>Littoral</x:v>
      </x:c>
      <x:c r="D929" s="115" t="str">
        <x:v>Chantier naval côtier</x:v>
      </x:c>
      <x:c r="E929" s="115" t="n">
        <x:v>24</x:v>
      </x:c>
      <x:c r="F929" s="115" t="str">
        <x:v>Inspection physique</x:v>
      </x:c>
      <x:c r="G929" s="115" t="str">
        <x:v>1 niveaux ; 32 pièces ; 248 segments de mur ; 0 transitions. Inspection physique ; architecture complète encore ouverte.</x:v>
      </x:c>
      <x:c r="H929" s="115" t="str">
        <x:v>L 306 ; l 262 ; hauteur 18 m ; choix de composition auteur ; dimensions réelles à documenter</x:v>
      </x:c>
      <x:c r="I929" s="115" t="str">
        <x:v>À équilibrer</x:v>
      </x:c>
      <x:c r="J929" s="115" t="str">
        <x:v>Non</x:v>
      </x:c>
      <x:c r="K929" s="115" t="str">
        <x:v>Pièces décrites, murs, portes, niveaux et mobilier inspectables à l’échelle. Volumes réservés, raccord au seed, butin, rencontres et services de campagne restent à terminer.</x:v>
      </x:c>
    </x:row>
    <x:row r="930" ht="96" customHeight="1">
      <x:c r="A930" s="115" t="str">
        <x:v>EXT-MONDE-T019-V25</x:v>
      </x:c>
      <x:c r="B930" s="115" t="str">
        <x:v>EXT-MONDE-T019</x:v>
      </x:c>
      <x:c r="C930" s="115" t="str">
        <x:v>Littoral</x:v>
      </x:c>
      <x:c r="D930" s="115" t="str">
        <x:v>Chantier naval côtier</x:v>
      </x:c>
      <x:c r="E930" s="115" t="n">
        <x:v>25</x:v>
      </x:c>
      <x:c r="F930" s="115" t="str">
        <x:v>Inspection physique</x:v>
      </x:c>
      <x:c r="G930" s="115" t="str">
        <x:v>1 niveaux ; 32 pièces ; 248 segments de mur ; 0 transitions. Inspection physique ; architecture complète encore ouverte.</x:v>
      </x:c>
      <x:c r="H930" s="115" t="str">
        <x:v>L 306 ; l 262 ; hauteur 18 m ; choix de composition auteur ; dimensions réelles à documenter</x:v>
      </x:c>
      <x:c r="I930" s="115" t="str">
        <x:v>À équilibrer</x:v>
      </x:c>
      <x:c r="J930" s="115" t="str">
        <x:v>Non</x:v>
      </x:c>
      <x:c r="K930" s="115" t="str">
        <x:v>Pièces décrites, murs, portes, niveaux et mobilier inspectables à l’échelle. Volumes réservés, raccord au seed, butin, rencontres et services de campagne restent à terminer.</x:v>
      </x:c>
    </x:row>
    <x:row r="931" ht="96" customHeight="1">
      <x:c r="A931" s="115" t="str">
        <x:v>EXT-MONDE-T019-V26</x:v>
      </x:c>
      <x:c r="B931" s="115" t="str">
        <x:v>EXT-MONDE-T019</x:v>
      </x:c>
      <x:c r="C931" s="115" t="str">
        <x:v>Littoral</x:v>
      </x:c>
      <x:c r="D931" s="115" t="str">
        <x:v>Chantier naval côtier</x:v>
      </x:c>
      <x:c r="E931" s="115" t="n">
        <x:v>26</x:v>
      </x:c>
      <x:c r="F931" s="115" t="str">
        <x:v>Inspection physique</x:v>
      </x:c>
      <x:c r="G931" s="115" t="str">
        <x:v>1 niveaux ; 32 pièces ; 248 segments de mur ; 0 transitions. Inspection physique ; architecture complète encore ouverte.</x:v>
      </x:c>
      <x:c r="H931" s="115" t="str">
        <x:v>L 306 ; l 262 ; hauteur 18 m ; choix de composition auteur ; dimensions réelles à documenter</x:v>
      </x:c>
      <x:c r="I931" s="115" t="str">
        <x:v>À équilibrer</x:v>
      </x:c>
      <x:c r="J931" s="115" t="str">
        <x:v>Non</x:v>
      </x:c>
      <x:c r="K931" s="115" t="str">
        <x:v>Pièces décrites, murs, portes, niveaux et mobilier inspectables à l’échelle. Volumes réservés, raccord au seed, butin, rencontres et services de campagne restent à terminer.</x:v>
      </x:c>
    </x:row>
    <x:row r="932" ht="96" customHeight="1">
      <x:c r="A932" s="115" t="str">
        <x:v>EXT-MONDE-T019-V27</x:v>
      </x:c>
      <x:c r="B932" s="115" t="str">
        <x:v>EXT-MONDE-T019</x:v>
      </x:c>
      <x:c r="C932" s="115" t="str">
        <x:v>Littoral</x:v>
      </x:c>
      <x:c r="D932" s="115" t="str">
        <x:v>Chantier naval côtier</x:v>
      </x:c>
      <x:c r="E932" s="115" t="n">
        <x:v>27</x:v>
      </x:c>
      <x:c r="F932" s="115" t="str">
        <x:v>Inspection physique</x:v>
      </x:c>
      <x:c r="G932" s="115" t="str">
        <x:v>1 niveaux ; 32 pièces ; 248 segments de mur ; 0 transitions. Inspection physique ; architecture complète encore ouverte.</x:v>
      </x:c>
      <x:c r="H932" s="115" t="str">
        <x:v>L 306 ; l 262 ; hauteur 18 m ; choix de composition auteur ; dimensions réelles à documenter</x:v>
      </x:c>
      <x:c r="I932" s="115" t="str">
        <x:v>À équilibrer</x:v>
      </x:c>
      <x:c r="J932" s="115" t="str">
        <x:v>Non</x:v>
      </x:c>
      <x:c r="K932" s="115" t="str">
        <x:v>Pièces décrites, murs, portes, niveaux et mobilier inspectables à l’échelle. Volumes réservés, raccord au seed, butin, rencontres et services de campagne restent à terminer.</x:v>
      </x:c>
    </x:row>
    <x:row r="933" ht="96" customHeight="1">
      <x:c r="A933" s="115" t="str">
        <x:v>EXT-MONDE-T019-V28</x:v>
      </x:c>
      <x:c r="B933" s="115" t="str">
        <x:v>EXT-MONDE-T019</x:v>
      </x:c>
      <x:c r="C933" s="115" t="str">
        <x:v>Littoral</x:v>
      </x:c>
      <x:c r="D933" s="115" t="str">
        <x:v>Chantier naval côtier</x:v>
      </x:c>
      <x:c r="E933" s="115" t="n">
        <x:v>28</x:v>
      </x:c>
      <x:c r="F933" s="115" t="str">
        <x:v>Inspection physique</x:v>
      </x:c>
      <x:c r="G933" s="115" t="str">
        <x:v>1 niveaux ; 32 pièces ; 248 segments de mur ; 0 transitions. Inspection physique ; architecture complète encore ouverte.</x:v>
      </x:c>
      <x:c r="H933" s="115" t="str">
        <x:v>L 306 ; l 262 ; hauteur 18 m ; choix de composition auteur ; dimensions réelles à documenter</x:v>
      </x:c>
      <x:c r="I933" s="115" t="str">
        <x:v>À équilibrer</x:v>
      </x:c>
      <x:c r="J933" s="115" t="str">
        <x:v>Non</x:v>
      </x:c>
      <x:c r="K933" s="115" t="str">
        <x:v>Pièces décrites, murs, portes, niveaux et mobilier inspectables à l’échelle. Volumes réservés, raccord au seed, butin, rencontres et services de campagne restent à terminer.</x:v>
      </x:c>
    </x:row>
    <x:row r="934" ht="96" customHeight="1">
      <x:c r="A934" s="115" t="str">
        <x:v>EXT-MONDE-T019-V29</x:v>
      </x:c>
      <x:c r="B934" s="115" t="str">
        <x:v>EXT-MONDE-T019</x:v>
      </x:c>
      <x:c r="C934" s="115" t="str">
        <x:v>Littoral</x:v>
      </x:c>
      <x:c r="D934" s="115" t="str">
        <x:v>Chantier naval côtier</x:v>
      </x:c>
      <x:c r="E934" s="115" t="n">
        <x:v>29</x:v>
      </x:c>
      <x:c r="F934" s="115" t="str">
        <x:v>Inspection physique</x:v>
      </x:c>
      <x:c r="G934" s="115" t="str">
        <x:v>1 niveaux ; 32 pièces ; 248 segments de mur ; 0 transitions. Inspection physique ; architecture complète encore ouverte.</x:v>
      </x:c>
      <x:c r="H934" s="115" t="str">
        <x:v>L 306 ; l 262 ; hauteur 18 m ; choix de composition auteur ; dimensions réelles à documenter</x:v>
      </x:c>
      <x:c r="I934" s="115" t="str">
        <x:v>À équilibrer</x:v>
      </x:c>
      <x:c r="J934" s="115" t="str">
        <x:v>Non</x:v>
      </x:c>
      <x:c r="K934" s="115" t="str">
        <x:v>Pièces décrites, murs, portes, niveaux et mobilier inspectables à l’échelle. Volumes réservés, raccord au seed, butin, rencontres et services de campagne restent à terminer.</x:v>
      </x:c>
    </x:row>
    <x:row r="935" ht="96" customHeight="1">
      <x:c r="A935" s="115" t="str">
        <x:v>EXT-MONDE-T019-V30</x:v>
      </x:c>
      <x:c r="B935" s="115" t="str">
        <x:v>EXT-MONDE-T019</x:v>
      </x:c>
      <x:c r="C935" s="115" t="str">
        <x:v>Littoral</x:v>
      </x:c>
      <x:c r="D935" s="115" t="str">
        <x:v>Chantier naval côtier</x:v>
      </x:c>
      <x:c r="E935" s="115" t="n">
        <x:v>30</x:v>
      </x:c>
      <x:c r="F935" s="115" t="str">
        <x:v>Inspection physique</x:v>
      </x:c>
      <x:c r="G935" s="115" t="str">
        <x:v>1 niveaux ; 32 pièces ; 248 segments de mur ; 0 transitions. Inspection physique ; architecture complète encore ouverte.</x:v>
      </x:c>
      <x:c r="H935" s="115" t="str">
        <x:v>L 306 ; l 262 ; hauteur 18 m ; choix de composition auteur ; dimensions réelles à documenter</x:v>
      </x:c>
      <x:c r="I935" s="115" t="str">
        <x:v>À équilibrer</x:v>
      </x:c>
      <x:c r="J935" s="115" t="str">
        <x:v>Non</x:v>
      </x:c>
      <x:c r="K935" s="115" t="str">
        <x:v>Pièces décrites, murs, portes, niveaux et mobilier inspectables à l’échelle. Volumes réservés, raccord au seed, butin, rencontres et services de campagne restent à terminer.</x:v>
      </x:c>
    </x:row>
    <x:row r="936" ht="96" customHeight="1">
      <x:c r="A936" s="115" t="str">
        <x:v>EXT-MONDE-T019-V31</x:v>
      </x:c>
      <x:c r="B936" s="115" t="str">
        <x:v>EXT-MONDE-T019</x:v>
      </x:c>
      <x:c r="C936" s="115" t="str">
        <x:v>Littoral</x:v>
      </x:c>
      <x:c r="D936" s="115" t="str">
        <x:v>Chantier naval côtier</x:v>
      </x:c>
      <x:c r="E936" s="115" t="n">
        <x:v>31</x:v>
      </x:c>
      <x:c r="F936" s="115" t="str">
        <x:v>Inspection physique</x:v>
      </x:c>
      <x:c r="G936" s="115" t="str">
        <x:v>1 niveaux ; 32 pièces ; 248 segments de mur ; 0 transitions. Inspection physique ; architecture complète encore ouverte.</x:v>
      </x:c>
      <x:c r="H936" s="115" t="str">
        <x:v>L 324 ; l 278 ; hauteur 18 m ; choix de composition auteur ; dimensions réelles à documenter</x:v>
      </x:c>
      <x:c r="I936" s="115" t="str">
        <x:v>À équilibrer</x:v>
      </x:c>
      <x:c r="J936" s="115" t="str">
        <x:v>Non</x:v>
      </x:c>
      <x:c r="K936" s="115" t="str">
        <x:v>Pièces décrites, murs, portes, niveaux et mobilier inspectables à l’échelle. Volumes réservés, raccord au seed, butin, rencontres et services de campagne restent à terminer.</x:v>
      </x:c>
    </x:row>
    <x:row r="937" ht="96" customHeight="1">
      <x:c r="A937" s="115" t="str">
        <x:v>EXT-MONDE-T019-V32</x:v>
      </x:c>
      <x:c r="B937" s="115" t="str">
        <x:v>EXT-MONDE-T019</x:v>
      </x:c>
      <x:c r="C937" s="115" t="str">
        <x:v>Littoral</x:v>
      </x:c>
      <x:c r="D937" s="115" t="str">
        <x:v>Chantier naval côtier</x:v>
      </x:c>
      <x:c r="E937" s="115" t="n">
        <x:v>32</x:v>
      </x:c>
      <x:c r="F937" s="115" t="str">
        <x:v>Inspection physique</x:v>
      </x:c>
      <x:c r="G937" s="115" t="str">
        <x:v>1 niveaux ; 32 pièces ; 248 segments de mur ; 0 transitions. Inspection physique ; architecture complète encore ouverte.</x:v>
      </x:c>
      <x:c r="H937" s="115" t="str">
        <x:v>L 324 ; l 278 ; hauteur 18 m ; choix de composition auteur ; dimensions réelles à documenter</x:v>
      </x:c>
      <x:c r="I937" s="115" t="str">
        <x:v>À équilibrer</x:v>
      </x:c>
      <x:c r="J937" s="115" t="str">
        <x:v>Non</x:v>
      </x:c>
      <x:c r="K937" s="115" t="str">
        <x:v>Pièces décrites, murs, portes, niveaux et mobilier inspectables à l’échelle. Volumes réservés, raccord au seed, butin, rencontres et services de campagne restent à terminer.</x:v>
      </x:c>
    </x:row>
    <x:row r="938" ht="96" customHeight="1">
      <x:c r="A938" s="115" t="str">
        <x:v>EXT-MONDE-T019-V33</x:v>
      </x:c>
      <x:c r="B938" s="115" t="str">
        <x:v>EXT-MONDE-T019</x:v>
      </x:c>
      <x:c r="C938" s="115" t="str">
        <x:v>Littoral</x:v>
      </x:c>
      <x:c r="D938" s="115" t="str">
        <x:v>Chantier naval côtier</x:v>
      </x:c>
      <x:c r="E938" s="115" t="n">
        <x:v>33</x:v>
      </x:c>
      <x:c r="F938" s="115" t="str">
        <x:v>Inspection physique</x:v>
      </x:c>
      <x:c r="G938" s="115" t="str">
        <x:v>1 niveaux ; 32 pièces ; 248 segments de mur ; 0 transitions. Inspection physique ; architecture complète encore ouverte.</x:v>
      </x:c>
      <x:c r="H938" s="115" t="str">
        <x:v>L 324 ; l 278 ; hauteur 18 m ; choix de composition auteur ; dimensions réelles à documenter</x:v>
      </x:c>
      <x:c r="I938" s="115" t="str">
        <x:v>À équilibrer</x:v>
      </x:c>
      <x:c r="J938" s="115" t="str">
        <x:v>Non</x:v>
      </x:c>
      <x:c r="K938" s="115" t="str">
        <x:v>Pièces décrites, murs, portes, niveaux et mobilier inspectables à l’échelle. Volumes réservés, raccord au seed, butin, rencontres et services de campagne restent à terminer.</x:v>
      </x:c>
    </x:row>
    <x:row r="939" ht="96" customHeight="1">
      <x:c r="A939" s="115" t="str">
        <x:v>EXT-MONDE-T019-V34</x:v>
      </x:c>
      <x:c r="B939" s="115" t="str">
        <x:v>EXT-MONDE-T019</x:v>
      </x:c>
      <x:c r="C939" s="115" t="str">
        <x:v>Littoral</x:v>
      </x:c>
      <x:c r="D939" s="115" t="str">
        <x:v>Chantier naval côtier</x:v>
      </x:c>
      <x:c r="E939" s="115" t="n">
        <x:v>34</x:v>
      </x:c>
      <x:c r="F939" s="115" t="str">
        <x:v>Inspection physique</x:v>
      </x:c>
      <x:c r="G939" s="115" t="str">
        <x:v>1 niveaux ; 32 pièces ; 248 segments de mur ; 0 transitions. Inspection physique ; architecture complète encore ouverte.</x:v>
      </x:c>
      <x:c r="H939" s="115" t="str">
        <x:v>L 324 ; l 278 ; hauteur 18 m ; choix de composition auteur ; dimensions réelles à documenter</x:v>
      </x:c>
      <x:c r="I939" s="115" t="str">
        <x:v>À équilibrer</x:v>
      </x:c>
      <x:c r="J939" s="115" t="str">
        <x:v>Non</x:v>
      </x:c>
      <x:c r="K939" s="115" t="str">
        <x:v>Pièces décrites, murs, portes, niveaux et mobilier inspectables à l’échelle. Volumes réservés, raccord au seed, butin, rencontres et services de campagne restent à terminer.</x:v>
      </x:c>
    </x:row>
    <x:row r="940" ht="96" customHeight="1">
      <x:c r="A940" s="115" t="str">
        <x:v>EXT-MONDE-T019-V35</x:v>
      </x:c>
      <x:c r="B940" s="115" t="str">
        <x:v>EXT-MONDE-T019</x:v>
      </x:c>
      <x:c r="C940" s="115" t="str">
        <x:v>Littoral</x:v>
      </x:c>
      <x:c r="D940" s="115" t="str">
        <x:v>Chantier naval côtier</x:v>
      </x:c>
      <x:c r="E940" s="115" t="n">
        <x:v>35</x:v>
      </x:c>
      <x:c r="F940" s="115" t="str">
        <x:v>Inspection physique</x:v>
      </x:c>
      <x:c r="G940" s="115" t="str">
        <x:v>1 niveaux ; 32 pièces ; 248 segments de mur ; 0 transitions. Inspection physique ; architecture complète encore ouverte.</x:v>
      </x:c>
      <x:c r="H940" s="115" t="str">
        <x:v>L 324 ; l 278 ; hauteur 18 m ; choix de composition auteur ; dimensions réelles à documenter</x:v>
      </x:c>
      <x:c r="I940" s="115" t="str">
        <x:v>À équilibrer</x:v>
      </x:c>
      <x:c r="J940" s="115" t="str">
        <x:v>Non</x:v>
      </x:c>
      <x:c r="K940" s="115" t="str">
        <x:v>Pièces décrites, murs, portes, niveaux et mobilier inspectables à l’échelle. Volumes réservés, raccord au seed, butin, rencontres et services de campagne restent à terminer.</x:v>
      </x:c>
    </x:row>
    <x:row r="941" ht="96" customHeight="1">
      <x:c r="A941" s="115" t="str">
        <x:v>EXT-MONDE-T019-V36</x:v>
      </x:c>
      <x:c r="B941" s="115" t="str">
        <x:v>EXT-MONDE-T019</x:v>
      </x:c>
      <x:c r="C941" s="115" t="str">
        <x:v>Littoral</x:v>
      </x:c>
      <x:c r="D941" s="115" t="str">
        <x:v>Chantier naval côtier</x:v>
      </x:c>
      <x:c r="E941" s="115" t="n">
        <x:v>36</x:v>
      </x:c>
      <x:c r="F941" s="115" t="str">
        <x:v>Inspection physique</x:v>
      </x:c>
      <x:c r="G941" s="115" t="str">
        <x:v>1 niveaux ; 32 pièces ; 248 segments de mur ; 0 transitions. Inspection physique ; architecture complète encore ouverte.</x:v>
      </x:c>
      <x:c r="H941" s="115" t="str">
        <x:v>L 324 ; l 278 ; hauteur 18 m ; choix de composition auteur ; dimensions réelles à documenter</x:v>
      </x:c>
      <x:c r="I941" s="115" t="str">
        <x:v>À équilibrer</x:v>
      </x:c>
      <x:c r="J941" s="115" t="str">
        <x:v>Non</x:v>
      </x:c>
      <x:c r="K941" s="115" t="str">
        <x:v>Pièces décrites, murs, portes, niveaux et mobilier inspectables à l’échelle. Volumes réservés, raccord au seed, butin, rencontres et services de campagne restent à terminer.</x:v>
      </x:c>
    </x:row>
    <x:row r="942" ht="96" customHeight="1">
      <x:c r="A942" s="115" t="str">
        <x:v>EXT-MONDE-T019-V37</x:v>
      </x:c>
      <x:c r="B942" s="115" t="str">
        <x:v>EXT-MONDE-T019</x:v>
      </x:c>
      <x:c r="C942" s="115" t="str">
        <x:v>Littoral</x:v>
      </x:c>
      <x:c r="D942" s="115" t="str">
        <x:v>Chantier naval côtier</x:v>
      </x:c>
      <x:c r="E942" s="115" t="n">
        <x:v>37</x:v>
      </x:c>
      <x:c r="F942" s="115" t="str">
        <x:v>Inspection physique</x:v>
      </x:c>
      <x:c r="G942" s="115" t="str">
        <x:v>1 niveaux ; 32 pièces ; 248 segments de mur ; 0 transitions. Inspection physique ; architecture complète encore ouverte.</x:v>
      </x:c>
      <x:c r="H942" s="115" t="str">
        <x:v>L 324 ; l 278 ; hauteur 18 m ; choix de composition auteur ; dimensions réelles à documenter</x:v>
      </x:c>
      <x:c r="I942" s="115" t="str">
        <x:v>À équilibrer</x:v>
      </x:c>
      <x:c r="J942" s="115" t="str">
        <x:v>Non</x:v>
      </x:c>
      <x:c r="K942" s="115" t="str">
        <x:v>Pièces décrites, murs, portes, niveaux et mobilier inspectables à l’échelle. Volumes réservés, raccord au seed, butin, rencontres et services de campagne restent à terminer.</x:v>
      </x:c>
    </x:row>
    <x:row r="943" ht="96" customHeight="1">
      <x:c r="A943" s="115" t="str">
        <x:v>EXT-MONDE-T019-V38</x:v>
      </x:c>
      <x:c r="B943" s="115" t="str">
        <x:v>EXT-MONDE-T019</x:v>
      </x:c>
      <x:c r="C943" s="115" t="str">
        <x:v>Littoral</x:v>
      </x:c>
      <x:c r="D943" s="115" t="str">
        <x:v>Chantier naval côtier</x:v>
      </x:c>
      <x:c r="E943" s="115" t="n">
        <x:v>38</x:v>
      </x:c>
      <x:c r="F943" s="115" t="str">
        <x:v>Inspection physique</x:v>
      </x:c>
      <x:c r="G943" s="115" t="str">
        <x:v>1 niveaux ; 32 pièces ; 248 segments de mur ; 0 transitions. Inspection physique ; architecture complète encore ouverte.</x:v>
      </x:c>
      <x:c r="H943" s="115" t="str">
        <x:v>L 324 ; l 278 ; hauteur 18 m ; choix de composition auteur ; dimensions réelles à documenter</x:v>
      </x:c>
      <x:c r="I943" s="115" t="str">
        <x:v>À équilibrer</x:v>
      </x:c>
      <x:c r="J943" s="115" t="str">
        <x:v>Non</x:v>
      </x:c>
      <x:c r="K943" s="115" t="str">
        <x:v>Pièces décrites, murs, portes, niveaux et mobilier inspectables à l’échelle. Volumes réservés, raccord au seed, butin, rencontres et services de campagne restent à terminer.</x:v>
      </x:c>
    </x:row>
    <x:row r="944" ht="96" customHeight="1">
      <x:c r="A944" s="115" t="str">
        <x:v>EXT-MONDE-T019-V39</x:v>
      </x:c>
      <x:c r="B944" s="115" t="str">
        <x:v>EXT-MONDE-T019</x:v>
      </x:c>
      <x:c r="C944" s="115" t="str">
        <x:v>Littoral</x:v>
      </x:c>
      <x:c r="D944" s="115" t="str">
        <x:v>Chantier naval côtier</x:v>
      </x:c>
      <x:c r="E944" s="115" t="n">
        <x:v>39</x:v>
      </x:c>
      <x:c r="F944" s="115" t="str">
        <x:v>Inspection physique</x:v>
      </x:c>
      <x:c r="G944" s="115" t="str">
        <x:v>1 niveaux ; 32 pièces ; 248 segments de mur ; 0 transitions. Inspection physique ; architecture complète encore ouverte.</x:v>
      </x:c>
      <x:c r="H944" s="115" t="str">
        <x:v>L 324 ; l 278 ; hauteur 18 m ; choix de composition auteur ; dimensions réelles à documenter</x:v>
      </x:c>
      <x:c r="I944" s="115" t="str">
        <x:v>À équilibrer</x:v>
      </x:c>
      <x:c r="J944" s="115" t="str">
        <x:v>Non</x:v>
      </x:c>
      <x:c r="K944" s="115" t="str">
        <x:v>Pièces décrites, murs, portes, niveaux et mobilier inspectables à l’échelle. Volumes réservés, raccord au seed, butin, rencontres et services de campagne restent à terminer.</x:v>
      </x:c>
    </x:row>
    <x:row r="945" ht="96" customHeight="1">
      <x:c r="A945" s="115" t="str">
        <x:v>EXT-MONDE-T019-V40</x:v>
      </x:c>
      <x:c r="B945" s="115" t="str">
        <x:v>EXT-MONDE-T019</x:v>
      </x:c>
      <x:c r="C945" s="115" t="str">
        <x:v>Littoral</x:v>
      </x:c>
      <x:c r="D945" s="115" t="str">
        <x:v>Chantier naval côtier</x:v>
      </x:c>
      <x:c r="E945" s="115" t="n">
        <x:v>40</x:v>
      </x:c>
      <x:c r="F945" s="115" t="str">
        <x:v>Inspection physique</x:v>
      </x:c>
      <x:c r="G945" s="115" t="str">
        <x:v>1 niveaux ; 32 pièces ; 248 segments de mur ; 0 transitions. Inspection physique ; architecture complète encore ouverte.</x:v>
      </x:c>
      <x:c r="H945" s="115" t="str">
        <x:v>L 324 ; l 278 ; hauteur 18 m ; choix de composition auteur ; dimensions réelles à documenter</x:v>
      </x:c>
      <x:c r="I945" s="115" t="str">
        <x:v>À équilibrer</x:v>
      </x:c>
      <x:c r="J945" s="115" t="str">
        <x:v>Non</x:v>
      </x:c>
      <x:c r="K945" s="115" t="str">
        <x:v>Pièces décrites, murs, portes, niveaux et mobilier inspectables à l’échelle. Volumes réservés, raccord au seed, butin, rencontres et services de campagne restent à terminer.</x:v>
      </x:c>
    </x:row>
    <x:row r="946" ht="96" customHeight="1">
      <x:c r="A946" s="115" t="str">
        <x:v>EXT-MONDE-T019-V41</x:v>
      </x:c>
      <x:c r="B946" s="115" t="str">
        <x:v>EXT-MONDE-T019</x:v>
      </x:c>
      <x:c r="C946" s="115" t="str">
        <x:v>Littoral</x:v>
      </x:c>
      <x:c r="D946" s="115" t="str">
        <x:v>Chantier naval côtier</x:v>
      </x:c>
      <x:c r="E946" s="115" t="n">
        <x:v>41</x:v>
      </x:c>
      <x:c r="F946" s="115" t="str">
        <x:v>Inspection physique</x:v>
      </x:c>
      <x:c r="G946" s="115" t="str">
        <x:v>1 niveaux ; 32 pièces ; 248 segments de mur ; 0 transitions. Inspection physique ; architecture complète encore ouverte.</x:v>
      </x:c>
      <x:c r="H946" s="115" t="str">
        <x:v>L 342 ; l 294 ; hauteur 18 m ; choix de composition auteur ; dimensions réelles à documenter</x:v>
      </x:c>
      <x:c r="I946" s="115" t="str">
        <x:v>À équilibrer</x:v>
      </x:c>
      <x:c r="J946" s="115" t="str">
        <x:v>Non</x:v>
      </x:c>
      <x:c r="K946" s="115" t="str">
        <x:v>Pièces décrites, murs, portes, niveaux et mobilier inspectables à l’échelle. Volumes réservés, raccord au seed, butin, rencontres et services de campagne restent à terminer.</x:v>
      </x:c>
    </x:row>
    <x:row r="947" ht="96" customHeight="1">
      <x:c r="A947" s="115" t="str">
        <x:v>EXT-MONDE-T019-V42</x:v>
      </x:c>
      <x:c r="B947" s="115" t="str">
        <x:v>EXT-MONDE-T019</x:v>
      </x:c>
      <x:c r="C947" s="115" t="str">
        <x:v>Littoral</x:v>
      </x:c>
      <x:c r="D947" s="115" t="str">
        <x:v>Chantier naval côtier</x:v>
      </x:c>
      <x:c r="E947" s="115" t="n">
        <x:v>42</x:v>
      </x:c>
      <x:c r="F947" s="115" t="str">
        <x:v>Inspection physique</x:v>
      </x:c>
      <x:c r="G947" s="115" t="str">
        <x:v>1 niveaux ; 32 pièces ; 248 segments de mur ; 0 transitions. Inspection physique ; architecture complète encore ouverte.</x:v>
      </x:c>
      <x:c r="H947" s="115" t="str">
        <x:v>L 342 ; l 294 ; hauteur 18 m ; choix de composition auteur ; dimensions réelles à documenter</x:v>
      </x:c>
      <x:c r="I947" s="115" t="str">
        <x:v>À équilibrer</x:v>
      </x:c>
      <x:c r="J947" s="115" t="str">
        <x:v>Non</x:v>
      </x:c>
      <x:c r="K947" s="115" t="str">
        <x:v>Pièces décrites, murs, portes, niveaux et mobilier inspectables à l’échelle. Volumes réservés, raccord au seed, butin, rencontres et services de campagne restent à terminer.</x:v>
      </x:c>
    </x:row>
    <x:row r="948" ht="96" customHeight="1">
      <x:c r="A948" s="115" t="str">
        <x:v>EXT-MONDE-T019-V43</x:v>
      </x:c>
      <x:c r="B948" s="115" t="str">
        <x:v>EXT-MONDE-T019</x:v>
      </x:c>
      <x:c r="C948" s="115" t="str">
        <x:v>Littoral</x:v>
      </x:c>
      <x:c r="D948" s="115" t="str">
        <x:v>Chantier naval côtier</x:v>
      </x:c>
      <x:c r="E948" s="115" t="n">
        <x:v>43</x:v>
      </x:c>
      <x:c r="F948" s="115" t="str">
        <x:v>Inspection physique</x:v>
      </x:c>
      <x:c r="G948" s="115" t="str">
        <x:v>1 niveaux ; 32 pièces ; 248 segments de mur ; 0 transitions. Inspection physique ; architecture complète encore ouverte.</x:v>
      </x:c>
      <x:c r="H948" s="115" t="str">
        <x:v>L 342 ; l 294 ; hauteur 18 m ; choix de composition auteur ; dimensions réelles à documenter</x:v>
      </x:c>
      <x:c r="I948" s="115" t="str">
        <x:v>À équilibrer</x:v>
      </x:c>
      <x:c r="J948" s="115" t="str">
        <x:v>Non</x:v>
      </x:c>
      <x:c r="K948" s="115" t="str">
        <x:v>Pièces décrites, murs, portes, niveaux et mobilier inspectables à l’échelle. Volumes réservés, raccord au seed, butin, rencontres et services de campagne restent à terminer.</x:v>
      </x:c>
    </x:row>
    <x:row r="949" ht="96" customHeight="1">
      <x:c r="A949" s="115" t="str">
        <x:v>EXT-MONDE-T019-V44</x:v>
      </x:c>
      <x:c r="B949" s="115" t="str">
        <x:v>EXT-MONDE-T019</x:v>
      </x:c>
      <x:c r="C949" s="115" t="str">
        <x:v>Littoral</x:v>
      </x:c>
      <x:c r="D949" s="115" t="str">
        <x:v>Chantier naval côtier</x:v>
      </x:c>
      <x:c r="E949" s="115" t="n">
        <x:v>44</x:v>
      </x:c>
      <x:c r="F949" s="115" t="str">
        <x:v>Inspection physique</x:v>
      </x:c>
      <x:c r="G949" s="115" t="str">
        <x:v>1 niveaux ; 32 pièces ; 248 segments de mur ; 0 transitions. Inspection physique ; architecture complète encore ouverte.</x:v>
      </x:c>
      <x:c r="H949" s="115" t="str">
        <x:v>L 342 ; l 294 ; hauteur 18 m ; choix de composition auteur ; dimensions réelles à documenter</x:v>
      </x:c>
      <x:c r="I949" s="115" t="str">
        <x:v>À équilibrer</x:v>
      </x:c>
      <x:c r="J949" s="115" t="str">
        <x:v>Non</x:v>
      </x:c>
      <x:c r="K949" s="115" t="str">
        <x:v>Pièces décrites, murs, portes, niveaux et mobilier inspectables à l’échelle. Volumes réservés, raccord au seed, butin, rencontres et services de campagne restent à terminer.</x:v>
      </x:c>
    </x:row>
    <x:row r="950" ht="96" customHeight="1">
      <x:c r="A950" s="115" t="str">
        <x:v>EXT-MONDE-T019-V45</x:v>
      </x:c>
      <x:c r="B950" s="115" t="str">
        <x:v>EXT-MONDE-T019</x:v>
      </x:c>
      <x:c r="C950" s="115" t="str">
        <x:v>Littoral</x:v>
      </x:c>
      <x:c r="D950" s="115" t="str">
        <x:v>Chantier naval côtier</x:v>
      </x:c>
      <x:c r="E950" s="115" t="n">
        <x:v>45</x:v>
      </x:c>
      <x:c r="F950" s="115" t="str">
        <x:v>Inspection physique</x:v>
      </x:c>
      <x:c r="G950" s="115" t="str">
        <x:v>1 niveaux ; 32 pièces ; 248 segments de mur ; 0 transitions. Inspection physique ; architecture complète encore ouverte.</x:v>
      </x:c>
      <x:c r="H950" s="115" t="str">
        <x:v>L 342 ; l 294 ; hauteur 18 m ; choix de composition auteur ; dimensions réelles à documenter</x:v>
      </x:c>
      <x:c r="I950" s="115" t="str">
        <x:v>À équilibrer</x:v>
      </x:c>
      <x:c r="J950" s="115" t="str">
        <x:v>Non</x:v>
      </x:c>
      <x:c r="K950" s="115" t="str">
        <x:v>Pièces décrites, murs, portes, niveaux et mobilier inspectables à l’échelle. Volumes réservés, raccord au seed, butin, rencontres et services de campagne restent à terminer.</x:v>
      </x:c>
    </x:row>
    <x:row r="951" ht="96" customHeight="1">
      <x:c r="A951" s="115" t="str">
        <x:v>EXT-MONDE-T019-V46</x:v>
      </x:c>
      <x:c r="B951" s="115" t="str">
        <x:v>EXT-MONDE-T019</x:v>
      </x:c>
      <x:c r="C951" s="115" t="str">
        <x:v>Littoral</x:v>
      </x:c>
      <x:c r="D951" s="115" t="str">
        <x:v>Chantier naval côtier</x:v>
      </x:c>
      <x:c r="E951" s="115" t="n">
        <x:v>46</x:v>
      </x:c>
      <x:c r="F951" s="115" t="str">
        <x:v>Inspection physique</x:v>
      </x:c>
      <x:c r="G951" s="115" t="str">
        <x:v>1 niveaux ; 32 pièces ; 248 segments de mur ; 0 transitions. Inspection physique ; architecture complète encore ouverte.</x:v>
      </x:c>
      <x:c r="H951" s="115" t="str">
        <x:v>L 342 ; l 294 ; hauteur 18 m ; choix de composition auteur ; dimensions réelles à documenter</x:v>
      </x:c>
      <x:c r="I951" s="115" t="str">
        <x:v>À équilibrer</x:v>
      </x:c>
      <x:c r="J951" s="115" t="str">
        <x:v>Non</x:v>
      </x:c>
      <x:c r="K951" s="115" t="str">
        <x:v>Pièces décrites, murs, portes, niveaux et mobilier inspectables à l’échelle. Volumes réservés, raccord au seed, butin, rencontres et services de campagne restent à terminer.</x:v>
      </x:c>
    </x:row>
    <x:row r="952" ht="96" customHeight="1">
      <x:c r="A952" s="115" t="str">
        <x:v>EXT-MONDE-T019-V47</x:v>
      </x:c>
      <x:c r="B952" s="115" t="str">
        <x:v>EXT-MONDE-T019</x:v>
      </x:c>
      <x:c r="C952" s="115" t="str">
        <x:v>Littoral</x:v>
      </x:c>
      <x:c r="D952" s="115" t="str">
        <x:v>Chantier naval côtier</x:v>
      </x:c>
      <x:c r="E952" s="115" t="n">
        <x:v>47</x:v>
      </x:c>
      <x:c r="F952" s="115" t="str">
        <x:v>Inspection physique</x:v>
      </x:c>
      <x:c r="G952" s="115" t="str">
        <x:v>1 niveaux ; 32 pièces ; 248 segments de mur ; 0 transitions. Inspection physique ; architecture complète encore ouverte.</x:v>
      </x:c>
      <x:c r="H952" s="115" t="str">
        <x:v>L 342 ; l 294 ; hauteur 18 m ; choix de composition auteur ; dimensions réelles à documenter</x:v>
      </x:c>
      <x:c r="I952" s="115" t="str">
        <x:v>À équilibrer</x:v>
      </x:c>
      <x:c r="J952" s="115" t="str">
        <x:v>Non</x:v>
      </x:c>
      <x:c r="K952" s="115" t="str">
        <x:v>Pièces décrites, murs, portes, niveaux et mobilier inspectables à l’échelle. Volumes réservés, raccord au seed, butin, rencontres et services de campagne restent à terminer.</x:v>
      </x:c>
    </x:row>
    <x:row r="953" ht="96" customHeight="1">
      <x:c r="A953" s="115" t="str">
        <x:v>EXT-MONDE-T019-V48</x:v>
      </x:c>
      <x:c r="B953" s="115" t="str">
        <x:v>EXT-MONDE-T019</x:v>
      </x:c>
      <x:c r="C953" s="115" t="str">
        <x:v>Littoral</x:v>
      </x:c>
      <x:c r="D953" s="115" t="str">
        <x:v>Chantier naval côtier</x:v>
      </x:c>
      <x:c r="E953" s="115" t="n">
        <x:v>48</x:v>
      </x:c>
      <x:c r="F953" s="115" t="str">
        <x:v>Inspection physique</x:v>
      </x:c>
      <x:c r="G953" s="115" t="str">
        <x:v>1 niveaux ; 32 pièces ; 248 segments de mur ; 0 transitions. Inspection physique ; architecture complète encore ouverte.</x:v>
      </x:c>
      <x:c r="H953" s="115" t="str">
        <x:v>L 342 ; l 294 ; hauteur 18 m ; choix de composition auteur ; dimensions réelles à documenter</x:v>
      </x:c>
      <x:c r="I953" s="115" t="str">
        <x:v>À équilibrer</x:v>
      </x:c>
      <x:c r="J953" s="115" t="str">
        <x:v>Non</x:v>
      </x:c>
      <x:c r="K953" s="115" t="str">
        <x:v>Pièces décrites, murs, portes, niveaux et mobilier inspectables à l’échelle. Volumes réservés, raccord au seed, butin, rencontres et services de campagne restent à terminer.</x:v>
      </x:c>
    </x:row>
    <x:row r="954" ht="96" customHeight="1">
      <x:c r="A954" s="115" t="str">
        <x:v>EXT-MONDE-T019-V49</x:v>
      </x:c>
      <x:c r="B954" s="115" t="str">
        <x:v>EXT-MONDE-T019</x:v>
      </x:c>
      <x:c r="C954" s="115" t="str">
        <x:v>Littoral</x:v>
      </x:c>
      <x:c r="D954" s="115" t="str">
        <x:v>Chantier naval côtier</x:v>
      </x:c>
      <x:c r="E954" s="115" t="n">
        <x:v>49</x:v>
      </x:c>
      <x:c r="F954" s="115" t="str">
        <x:v>Inspection physique</x:v>
      </x:c>
      <x:c r="G954" s="115" t="str">
        <x:v>1 niveaux ; 32 pièces ; 248 segments de mur ; 0 transitions. Inspection physique ; architecture complète encore ouverte.</x:v>
      </x:c>
      <x:c r="H954" s="115" t="str">
        <x:v>L 342 ; l 294 ; hauteur 18 m ; choix de composition auteur ; dimensions réelles à documenter</x:v>
      </x:c>
      <x:c r="I954" s="115" t="str">
        <x:v>À équilibrer</x:v>
      </x:c>
      <x:c r="J954" s="115" t="str">
        <x:v>Non</x:v>
      </x:c>
      <x:c r="K954" s="115" t="str">
        <x:v>Pièces décrites, murs, portes, niveaux et mobilier inspectables à l’échelle. Volumes réservés, raccord au seed, butin, rencontres et services de campagne restent à terminer.</x:v>
      </x:c>
    </x:row>
    <x:row r="955" ht="96" customHeight="1">
      <x:c r="A955" s="115" t="str">
        <x:v>EXT-MONDE-T019-V50</x:v>
      </x:c>
      <x:c r="B955" s="115" t="str">
        <x:v>EXT-MONDE-T019</x:v>
      </x:c>
      <x:c r="C955" s="115" t="str">
        <x:v>Littoral</x:v>
      </x:c>
      <x:c r="D955" s="115" t="str">
        <x:v>Chantier naval côtier</x:v>
      </x:c>
      <x:c r="E955" s="115" t="n">
        <x:v>50</x:v>
      </x:c>
      <x:c r="F955" s="115" t="str">
        <x:v>Inspection physique</x:v>
      </x:c>
      <x:c r="G955" s="115" t="str">
        <x:v>1 niveaux ; 32 pièces ; 248 segments de mur ; 0 transitions. Inspection physique ; architecture complète encore ouverte.</x:v>
      </x:c>
      <x:c r="H955" s="115" t="str">
        <x:v>L 342 ; l 294 ; hauteur 18 m ; choix de composition auteur ; dimensions réelles à documenter</x:v>
      </x:c>
      <x:c r="I955" s="115" t="str">
        <x:v>À équilibrer</x:v>
      </x:c>
      <x:c r="J955" s="115" t="str">
        <x:v>Non</x:v>
      </x:c>
      <x:c r="K955" s="115" t="str">
        <x:v>Pièces décrites, murs, portes, niveaux et mobilier inspectables à l’échelle. Volumes réservés, raccord au seed, butin, rencontres et services de campagne restent à terminer.</x:v>
      </x:c>
    </x:row>
    <x:row r="956" ht="96" customHeight="1">
      <x:c r="A956" s="115" t="str">
        <x:v>EXT-MONDE-T020-V01</x:v>
      </x:c>
      <x:c r="B956" s="115" t="str">
        <x:v>EXT-MONDE-T020</x:v>
      </x:c>
      <x:c r="C956" s="115" t="str">
        <x:v>Littoral</x:v>
      </x:c>
      <x:c r="D956" s="115" t="str">
        <x:v>Baie avec village côtier</x:v>
      </x:c>
      <x:c r="E956" s="115" t="n">
        <x:v>1</x:v>
      </x:c>
      <x:c r="F956" s="115" t="str">
        <x:v>Inspection physique</x:v>
      </x:c>
      <x:c r="G956" s="115" t="str">
        <x:v>1 niveaux ; 32 pièces ; 248 segments de mur ; 0 transitions. Inspection physique ; architecture complète encore ouverte.</x:v>
      </x:c>
      <x:c r="H956" s="115" t="str">
        <x:v>L 270 ; l 230 ; hauteur 4,4 m ; choix de composition auteur ; dimensions réelles à documenter</x:v>
      </x:c>
      <x:c r="I956" s="115" t="str">
        <x:v>À équilibrer</x:v>
      </x:c>
      <x:c r="J956" s="115" t="str">
        <x:v>Non</x:v>
      </x:c>
      <x:c r="K956" s="115" t="str">
        <x:v>Pièces décrites, murs, portes, niveaux et mobilier inspectables à l’échelle. Volumes réservés, raccord au seed, butin, rencontres et services de campagne restent à terminer.</x:v>
      </x:c>
    </x:row>
    <x:row r="957" ht="96" customHeight="1">
      <x:c r="A957" s="115" t="str">
        <x:v>EXT-MONDE-T020-V02</x:v>
      </x:c>
      <x:c r="B957" s="115" t="str">
        <x:v>EXT-MONDE-T020</x:v>
      </x:c>
      <x:c r="C957" s="115" t="str">
        <x:v>Littoral</x:v>
      </x:c>
      <x:c r="D957" s="115" t="str">
        <x:v>Baie avec village côtier</x:v>
      </x:c>
      <x:c r="E957" s="115" t="n">
        <x:v>2</x:v>
      </x:c>
      <x:c r="F957" s="115" t="str">
        <x:v>Inspection physique</x:v>
      </x:c>
      <x:c r="G957" s="115" t="str">
        <x:v>1 niveaux ; 32 pièces ; 248 segments de mur ; 0 transitions. Inspection physique ; architecture complète encore ouverte.</x:v>
      </x:c>
      <x:c r="H957" s="115" t="str">
        <x:v>L 270 ; l 230 ; hauteur 4,4 m ; choix de composition auteur ; dimensions réelles à documenter</x:v>
      </x:c>
      <x:c r="I957" s="115" t="str">
        <x:v>À équilibrer</x:v>
      </x:c>
      <x:c r="J957" s="115" t="str">
        <x:v>Non</x:v>
      </x:c>
      <x:c r="K957" s="115" t="str">
        <x:v>Pièces décrites, murs, portes, niveaux et mobilier inspectables à l’échelle. Volumes réservés, raccord au seed, butin, rencontres et services de campagne restent à terminer.</x:v>
      </x:c>
    </x:row>
    <x:row r="958" ht="96" customHeight="1">
      <x:c r="A958" s="115" t="str">
        <x:v>EXT-MONDE-T020-V03</x:v>
      </x:c>
      <x:c r="B958" s="115" t="str">
        <x:v>EXT-MONDE-T020</x:v>
      </x:c>
      <x:c r="C958" s="115" t="str">
        <x:v>Littoral</x:v>
      </x:c>
      <x:c r="D958" s="115" t="str">
        <x:v>Baie avec village côtier</x:v>
      </x:c>
      <x:c r="E958" s="115" t="n">
        <x:v>3</x:v>
      </x:c>
      <x:c r="F958" s="115" t="str">
        <x:v>Inspection physique</x:v>
      </x:c>
      <x:c r="G958" s="115" t="str">
        <x:v>1 niveaux ; 32 pièces ; 248 segments de mur ; 0 transitions. Inspection physique ; architecture complète encore ouverte.</x:v>
      </x:c>
      <x:c r="H958" s="115" t="str">
        <x:v>L 270 ; l 230 ; hauteur 4,4 m ; choix de composition auteur ; dimensions réelles à documenter</x:v>
      </x:c>
      <x:c r="I958" s="115" t="str">
        <x:v>À équilibrer</x:v>
      </x:c>
      <x:c r="J958" s="115" t="str">
        <x:v>Non</x:v>
      </x:c>
      <x:c r="K958" s="115" t="str">
        <x:v>Pièces décrites, murs, portes, niveaux et mobilier inspectables à l’échelle. Volumes réservés, raccord au seed, butin, rencontres et services de campagne restent à terminer.</x:v>
      </x:c>
    </x:row>
    <x:row r="959" ht="96" customHeight="1">
      <x:c r="A959" s="115" t="str">
        <x:v>EXT-MONDE-T020-V04</x:v>
      </x:c>
      <x:c r="B959" s="115" t="str">
        <x:v>EXT-MONDE-T020</x:v>
      </x:c>
      <x:c r="C959" s="115" t="str">
        <x:v>Littoral</x:v>
      </x:c>
      <x:c r="D959" s="115" t="str">
        <x:v>Baie avec village côtier</x:v>
      </x:c>
      <x:c r="E959" s="115" t="n">
        <x:v>4</x:v>
      </x:c>
      <x:c r="F959" s="115" t="str">
        <x:v>Inspection physique</x:v>
      </x:c>
      <x:c r="G959" s="115" t="str">
        <x:v>1 niveaux ; 32 pièces ; 248 segments de mur ; 0 transitions. Inspection physique ; architecture complète encore ouverte.</x:v>
      </x:c>
      <x:c r="H959" s="115" t="str">
        <x:v>L 270 ; l 230 ; hauteur 4,4 m ; choix de composition auteur ; dimensions réelles à documenter</x:v>
      </x:c>
      <x:c r="I959" s="115" t="str">
        <x:v>À équilibrer</x:v>
      </x:c>
      <x:c r="J959" s="115" t="str">
        <x:v>Non</x:v>
      </x:c>
      <x:c r="K959" s="115" t="str">
        <x:v>Pièces décrites, murs, portes, niveaux et mobilier inspectables à l’échelle. Volumes réservés, raccord au seed, butin, rencontres et services de campagne restent à terminer.</x:v>
      </x:c>
    </x:row>
    <x:row r="960" ht="96" customHeight="1">
      <x:c r="A960" s="115" t="str">
        <x:v>EXT-MONDE-T020-V05</x:v>
      </x:c>
      <x:c r="B960" s="115" t="str">
        <x:v>EXT-MONDE-T020</x:v>
      </x:c>
      <x:c r="C960" s="115" t="str">
        <x:v>Littoral</x:v>
      </x:c>
      <x:c r="D960" s="115" t="str">
        <x:v>Baie avec village côtier</x:v>
      </x:c>
      <x:c r="E960" s="115" t="n">
        <x:v>5</x:v>
      </x:c>
      <x:c r="F960" s="115" t="str">
        <x:v>Inspection physique</x:v>
      </x:c>
      <x:c r="G960" s="115" t="str">
        <x:v>1 niveaux ; 32 pièces ; 248 segments de mur ; 0 transitions. Inspection physique ; architecture complète encore ouverte.</x:v>
      </x:c>
      <x:c r="H960" s="115" t="str">
        <x:v>L 270 ; l 230 ; hauteur 4,4 m ; choix de composition auteur ; dimensions réelles à documenter</x:v>
      </x:c>
      <x:c r="I960" s="115" t="str">
        <x:v>À équilibrer</x:v>
      </x:c>
      <x:c r="J960" s="115" t="str">
        <x:v>Non</x:v>
      </x:c>
      <x:c r="K960" s="115" t="str">
        <x:v>Pièces décrites, murs, portes, niveaux et mobilier inspectables à l’échelle. Volumes réservés, raccord au seed, butin, rencontres et services de campagne restent à terminer.</x:v>
      </x:c>
    </x:row>
    <x:row r="961" ht="96" customHeight="1">
      <x:c r="A961" s="115" t="str">
        <x:v>EXT-MONDE-T020-V06</x:v>
      </x:c>
      <x:c r="B961" s="115" t="str">
        <x:v>EXT-MONDE-T020</x:v>
      </x:c>
      <x:c r="C961" s="115" t="str">
        <x:v>Littoral</x:v>
      </x:c>
      <x:c r="D961" s="115" t="str">
        <x:v>Baie avec village côtier</x:v>
      </x:c>
      <x:c r="E961" s="115" t="n">
        <x:v>6</x:v>
      </x:c>
      <x:c r="F961" s="115" t="str">
        <x:v>Inspection physique</x:v>
      </x:c>
      <x:c r="G961" s="115" t="str">
        <x:v>1 niveaux ; 32 pièces ; 248 segments de mur ; 0 transitions. Inspection physique ; architecture complète encore ouverte.</x:v>
      </x:c>
      <x:c r="H961" s="115" t="str">
        <x:v>L 270 ; l 230 ; hauteur 4,4 m ; choix de composition auteur ; dimensions réelles à documenter</x:v>
      </x:c>
      <x:c r="I961" s="115" t="str">
        <x:v>À équilibrer</x:v>
      </x:c>
      <x:c r="J961" s="115" t="str">
        <x:v>Non</x:v>
      </x:c>
      <x:c r="K961" s="115" t="str">
        <x:v>Pièces décrites, murs, portes, niveaux et mobilier inspectables à l’échelle. Volumes réservés, raccord au seed, butin, rencontres et services de campagne restent à terminer.</x:v>
      </x:c>
    </x:row>
    <x:row r="962" ht="96" customHeight="1">
      <x:c r="A962" s="115" t="str">
        <x:v>EXT-MONDE-T020-V07</x:v>
      </x:c>
      <x:c r="B962" s="115" t="str">
        <x:v>EXT-MONDE-T020</x:v>
      </x:c>
      <x:c r="C962" s="115" t="str">
        <x:v>Littoral</x:v>
      </x:c>
      <x:c r="D962" s="115" t="str">
        <x:v>Baie avec village côtier</x:v>
      </x:c>
      <x:c r="E962" s="115" t="n">
        <x:v>7</x:v>
      </x:c>
      <x:c r="F962" s="115" t="str">
        <x:v>Inspection physique</x:v>
      </x:c>
      <x:c r="G962" s="115" t="str">
        <x:v>1 niveaux ; 32 pièces ; 248 segments de mur ; 0 transitions. Inspection physique ; architecture complète encore ouverte.</x:v>
      </x:c>
      <x:c r="H962" s="115" t="str">
        <x:v>L 270 ; l 230 ; hauteur 4,4 m ; choix de composition auteur ; dimensions réelles à documenter</x:v>
      </x:c>
      <x:c r="I962" s="115" t="str">
        <x:v>À équilibrer</x:v>
      </x:c>
      <x:c r="J962" s="115" t="str">
        <x:v>Non</x:v>
      </x:c>
      <x:c r="K962" s="115" t="str">
        <x:v>Pièces décrites, murs, portes, niveaux et mobilier inspectables à l’échelle. Volumes réservés, raccord au seed, butin, rencontres et services de campagne restent à terminer.</x:v>
      </x:c>
    </x:row>
    <x:row r="963" ht="96" customHeight="1">
      <x:c r="A963" s="115" t="str">
        <x:v>EXT-MONDE-T020-V08</x:v>
      </x:c>
      <x:c r="B963" s="115" t="str">
        <x:v>EXT-MONDE-T020</x:v>
      </x:c>
      <x:c r="C963" s="115" t="str">
        <x:v>Littoral</x:v>
      </x:c>
      <x:c r="D963" s="115" t="str">
        <x:v>Baie avec village côtier</x:v>
      </x:c>
      <x:c r="E963" s="115" t="n">
        <x:v>8</x:v>
      </x:c>
      <x:c r="F963" s="115" t="str">
        <x:v>Inspection physique</x:v>
      </x:c>
      <x:c r="G963" s="115" t="str">
        <x:v>1 niveaux ; 32 pièces ; 248 segments de mur ; 0 transitions. Inspection physique ; architecture complète encore ouverte.</x:v>
      </x:c>
      <x:c r="H963" s="115" t="str">
        <x:v>L 270 ; l 230 ; hauteur 4,4 m ; choix de composition auteur ; dimensions réelles à documenter</x:v>
      </x:c>
      <x:c r="I963" s="115" t="str">
        <x:v>À équilibrer</x:v>
      </x:c>
      <x:c r="J963" s="115" t="str">
        <x:v>Non</x:v>
      </x:c>
      <x:c r="K963" s="115" t="str">
        <x:v>Pièces décrites, murs, portes, niveaux et mobilier inspectables à l’échelle. Volumes réservés, raccord au seed, butin, rencontres et services de campagne restent à terminer.</x:v>
      </x:c>
    </x:row>
    <x:row r="964" ht="96" customHeight="1">
      <x:c r="A964" s="115" t="str">
        <x:v>EXT-MONDE-T020-V09</x:v>
      </x:c>
      <x:c r="B964" s="115" t="str">
        <x:v>EXT-MONDE-T020</x:v>
      </x:c>
      <x:c r="C964" s="115" t="str">
        <x:v>Littoral</x:v>
      </x:c>
      <x:c r="D964" s="115" t="str">
        <x:v>Baie avec village côtier</x:v>
      </x:c>
      <x:c r="E964" s="115" t="n">
        <x:v>9</x:v>
      </x:c>
      <x:c r="F964" s="115" t="str">
        <x:v>Inspection physique</x:v>
      </x:c>
      <x:c r="G964" s="115" t="str">
        <x:v>1 niveaux ; 32 pièces ; 248 segments de mur ; 0 transitions. Inspection physique ; architecture complète encore ouverte.</x:v>
      </x:c>
      <x:c r="H964" s="115" t="str">
        <x:v>L 270 ; l 230 ; hauteur 4,4 m ; choix de composition auteur ; dimensions réelles à documenter</x:v>
      </x:c>
      <x:c r="I964" s="115" t="str">
        <x:v>À équilibrer</x:v>
      </x:c>
      <x:c r="J964" s="115" t="str">
        <x:v>Non</x:v>
      </x:c>
      <x:c r="K964" s="115" t="str">
        <x:v>Pièces décrites, murs, portes, niveaux et mobilier inspectables à l’échelle. Volumes réservés, raccord au seed, butin, rencontres et services de campagne restent à terminer.</x:v>
      </x:c>
    </x:row>
    <x:row r="965" ht="96" customHeight="1">
      <x:c r="A965" s="115" t="str">
        <x:v>EXT-MONDE-T020-V10</x:v>
      </x:c>
      <x:c r="B965" s="115" t="str">
        <x:v>EXT-MONDE-T020</x:v>
      </x:c>
      <x:c r="C965" s="115" t="str">
        <x:v>Littoral</x:v>
      </x:c>
      <x:c r="D965" s="115" t="str">
        <x:v>Baie avec village côtier</x:v>
      </x:c>
      <x:c r="E965" s="115" t="n">
        <x:v>10</x:v>
      </x:c>
      <x:c r="F965" s="115" t="str">
        <x:v>Inspection physique</x:v>
      </x:c>
      <x:c r="G965" s="115" t="str">
        <x:v>1 niveaux ; 32 pièces ; 248 segments de mur ; 0 transitions. Inspection physique ; architecture complète encore ouverte.</x:v>
      </x:c>
      <x:c r="H965" s="115" t="str">
        <x:v>L 270 ; l 230 ; hauteur 4,4 m ; choix de composition auteur ; dimensions réelles à documenter</x:v>
      </x:c>
      <x:c r="I965" s="115" t="str">
        <x:v>À équilibrer</x:v>
      </x:c>
      <x:c r="J965" s="115" t="str">
        <x:v>Non</x:v>
      </x:c>
      <x:c r="K965" s="115" t="str">
        <x:v>Pièces décrites, murs, portes, niveaux et mobilier inspectables à l’échelle. Volumes réservés, raccord au seed, butin, rencontres et services de campagne restent à terminer.</x:v>
      </x:c>
    </x:row>
    <x:row r="966" ht="96" customHeight="1">
      <x:c r="A966" s="115" t="str">
        <x:v>EXT-MONDE-T020-V11</x:v>
      </x:c>
      <x:c r="B966" s="115" t="str">
        <x:v>EXT-MONDE-T020</x:v>
      </x:c>
      <x:c r="C966" s="115" t="str">
        <x:v>Littoral</x:v>
      </x:c>
      <x:c r="D966" s="115" t="str">
        <x:v>Baie avec village côtier</x:v>
      </x:c>
      <x:c r="E966" s="115" t="n">
        <x:v>11</x:v>
      </x:c>
      <x:c r="F966" s="115" t="str">
        <x:v>Inspection physique</x:v>
      </x:c>
      <x:c r="G966" s="115" t="str">
        <x:v>1 niveaux ; 32 pièces ; 248 segments de mur ; 0 transitions. Inspection physique ; architecture complète encore ouverte.</x:v>
      </x:c>
      <x:c r="H966" s="115" t="str">
        <x:v>L 288 ; l 246 ; hauteur 4,4 m ; choix de composition auteur ; dimensions réelles à documenter</x:v>
      </x:c>
      <x:c r="I966" s="115" t="str">
        <x:v>À équilibrer</x:v>
      </x:c>
      <x:c r="J966" s="115" t="str">
        <x:v>Non</x:v>
      </x:c>
      <x:c r="K966" s="115" t="str">
        <x:v>Pièces décrites, murs, portes, niveaux et mobilier inspectables à l’échelle. Volumes réservés, raccord au seed, butin, rencontres et services de campagne restent à terminer.</x:v>
      </x:c>
    </x:row>
    <x:row r="967" ht="96" customHeight="1">
      <x:c r="A967" s="115" t="str">
        <x:v>EXT-MONDE-T020-V12</x:v>
      </x:c>
      <x:c r="B967" s="115" t="str">
        <x:v>EXT-MONDE-T020</x:v>
      </x:c>
      <x:c r="C967" s="115" t="str">
        <x:v>Littoral</x:v>
      </x:c>
      <x:c r="D967" s="115" t="str">
        <x:v>Baie avec village côtier</x:v>
      </x:c>
      <x:c r="E967" s="115" t="n">
        <x:v>12</x:v>
      </x:c>
      <x:c r="F967" s="115" t="str">
        <x:v>Inspection physique</x:v>
      </x:c>
      <x:c r="G967" s="115" t="str">
        <x:v>1 niveaux ; 32 pièces ; 248 segments de mur ; 0 transitions. Inspection physique ; architecture complète encore ouverte.</x:v>
      </x:c>
      <x:c r="H967" s="115" t="str">
        <x:v>L 288 ; l 246 ; hauteur 4,4 m ; choix de composition auteur ; dimensions réelles à documenter</x:v>
      </x:c>
      <x:c r="I967" s="115" t="str">
        <x:v>À équilibrer</x:v>
      </x:c>
      <x:c r="J967" s="115" t="str">
        <x:v>Non</x:v>
      </x:c>
      <x:c r="K967" s="115" t="str">
        <x:v>Pièces décrites, murs, portes, niveaux et mobilier inspectables à l’échelle. Volumes réservés, raccord au seed, butin, rencontres et services de campagne restent à terminer.</x:v>
      </x:c>
    </x:row>
    <x:row r="968" ht="96" customHeight="1">
      <x:c r="A968" s="115" t="str">
        <x:v>EXT-MONDE-T020-V13</x:v>
      </x:c>
      <x:c r="B968" s="115" t="str">
        <x:v>EXT-MONDE-T020</x:v>
      </x:c>
      <x:c r="C968" s="115" t="str">
        <x:v>Littoral</x:v>
      </x:c>
      <x:c r="D968" s="115" t="str">
        <x:v>Baie avec village côtier</x:v>
      </x:c>
      <x:c r="E968" s="115" t="n">
        <x:v>13</x:v>
      </x:c>
      <x:c r="F968" s="115" t="str">
        <x:v>Inspection physique</x:v>
      </x:c>
      <x:c r="G968" s="115" t="str">
        <x:v>1 niveaux ; 32 pièces ; 248 segments de mur ; 0 transitions. Inspection physique ; architecture complète encore ouverte.</x:v>
      </x:c>
      <x:c r="H968" s="115" t="str">
        <x:v>L 288 ; l 246 ; hauteur 4,4 m ; choix de composition auteur ; dimensions réelles à documenter</x:v>
      </x:c>
      <x:c r="I968" s="115" t="str">
        <x:v>À équilibrer</x:v>
      </x:c>
      <x:c r="J968" s="115" t="str">
        <x:v>Non</x:v>
      </x:c>
      <x:c r="K968" s="115" t="str">
        <x:v>Pièces décrites, murs, portes, niveaux et mobilier inspectables à l’échelle. Volumes réservés, raccord au seed, butin, rencontres et services de campagne restent à terminer.</x:v>
      </x:c>
    </x:row>
    <x:row r="969" ht="96" customHeight="1">
      <x:c r="A969" s="115" t="str">
        <x:v>EXT-MONDE-T020-V14</x:v>
      </x:c>
      <x:c r="B969" s="115" t="str">
        <x:v>EXT-MONDE-T020</x:v>
      </x:c>
      <x:c r="C969" s="115" t="str">
        <x:v>Littoral</x:v>
      </x:c>
      <x:c r="D969" s="115" t="str">
        <x:v>Baie avec village côtier</x:v>
      </x:c>
      <x:c r="E969" s="115" t="n">
        <x:v>14</x:v>
      </x:c>
      <x:c r="F969" s="115" t="str">
        <x:v>Inspection physique</x:v>
      </x:c>
      <x:c r="G969" s="115" t="str">
        <x:v>1 niveaux ; 32 pièces ; 248 segments de mur ; 0 transitions. Inspection physique ; architecture complète encore ouverte.</x:v>
      </x:c>
      <x:c r="H969" s="115" t="str">
        <x:v>L 288 ; l 246 ; hauteur 4,4 m ; choix de composition auteur ; dimensions réelles à documenter</x:v>
      </x:c>
      <x:c r="I969" s="115" t="str">
        <x:v>À équilibrer</x:v>
      </x:c>
      <x:c r="J969" s="115" t="str">
        <x:v>Non</x:v>
      </x:c>
      <x:c r="K969" s="115" t="str">
        <x:v>Pièces décrites, murs, portes, niveaux et mobilier inspectables à l’échelle. Volumes réservés, raccord au seed, butin, rencontres et services de campagne restent à terminer.</x:v>
      </x:c>
    </x:row>
    <x:row r="970" ht="96" customHeight="1">
      <x:c r="A970" s="115" t="str">
        <x:v>EXT-MONDE-T020-V15</x:v>
      </x:c>
      <x:c r="B970" s="115" t="str">
        <x:v>EXT-MONDE-T020</x:v>
      </x:c>
      <x:c r="C970" s="115" t="str">
        <x:v>Littoral</x:v>
      </x:c>
      <x:c r="D970" s="115" t="str">
        <x:v>Baie avec village côtier</x:v>
      </x:c>
      <x:c r="E970" s="115" t="n">
        <x:v>15</x:v>
      </x:c>
      <x:c r="F970" s="115" t="str">
        <x:v>Inspection physique</x:v>
      </x:c>
      <x:c r="G970" s="115" t="str">
        <x:v>1 niveaux ; 32 pièces ; 248 segments de mur ; 0 transitions. Inspection physique ; architecture complète encore ouverte.</x:v>
      </x:c>
      <x:c r="H970" s="115" t="str">
        <x:v>L 288 ; l 246 ; hauteur 4,4 m ; choix de composition auteur ; dimensions réelles à documenter</x:v>
      </x:c>
      <x:c r="I970" s="115" t="str">
        <x:v>À équilibrer</x:v>
      </x:c>
      <x:c r="J970" s="115" t="str">
        <x:v>Non</x:v>
      </x:c>
      <x:c r="K970" s="115" t="str">
        <x:v>Pièces décrites, murs, portes, niveaux et mobilier inspectables à l’échelle. Volumes réservés, raccord au seed, butin, rencontres et services de campagne restent à terminer.</x:v>
      </x:c>
    </x:row>
    <x:row r="971" ht="96" customHeight="1">
      <x:c r="A971" s="115" t="str">
        <x:v>EXT-MONDE-T020-V16</x:v>
      </x:c>
      <x:c r="B971" s="115" t="str">
        <x:v>EXT-MONDE-T020</x:v>
      </x:c>
      <x:c r="C971" s="115" t="str">
        <x:v>Littoral</x:v>
      </x:c>
      <x:c r="D971" s="115" t="str">
        <x:v>Baie avec village côtier</x:v>
      </x:c>
      <x:c r="E971" s="115" t="n">
        <x:v>16</x:v>
      </x:c>
      <x:c r="F971" s="115" t="str">
        <x:v>Inspection physique</x:v>
      </x:c>
      <x:c r="G971" s="115" t="str">
        <x:v>1 niveaux ; 32 pièces ; 248 segments de mur ; 0 transitions. Inspection physique ; architecture complète encore ouverte.</x:v>
      </x:c>
      <x:c r="H971" s="115" t="str">
        <x:v>L 288 ; l 246 ; hauteur 4,4 m ; choix de composition auteur ; dimensions réelles à documenter</x:v>
      </x:c>
      <x:c r="I971" s="115" t="str">
        <x:v>À équilibrer</x:v>
      </x:c>
      <x:c r="J971" s="115" t="str">
        <x:v>Non</x:v>
      </x:c>
      <x:c r="K971" s="115" t="str">
        <x:v>Pièces décrites, murs, portes, niveaux et mobilier inspectables à l’échelle. Volumes réservés, raccord au seed, butin, rencontres et services de campagne restent à terminer.</x:v>
      </x:c>
    </x:row>
    <x:row r="972" ht="96" customHeight="1">
      <x:c r="A972" s="115" t="str">
        <x:v>EXT-MONDE-T020-V17</x:v>
      </x:c>
      <x:c r="B972" s="115" t="str">
        <x:v>EXT-MONDE-T020</x:v>
      </x:c>
      <x:c r="C972" s="115" t="str">
        <x:v>Littoral</x:v>
      </x:c>
      <x:c r="D972" s="115" t="str">
        <x:v>Baie avec village côtier</x:v>
      </x:c>
      <x:c r="E972" s="115" t="n">
        <x:v>17</x:v>
      </x:c>
      <x:c r="F972" s="115" t="str">
        <x:v>Inspection physique</x:v>
      </x:c>
      <x:c r="G972" s="115" t="str">
        <x:v>1 niveaux ; 32 pièces ; 248 segments de mur ; 0 transitions. Inspection physique ; architecture complète encore ouverte.</x:v>
      </x:c>
      <x:c r="H972" s="115" t="str">
        <x:v>L 288 ; l 246 ; hauteur 4,4 m ; choix de composition auteur ; dimensions réelles à documenter</x:v>
      </x:c>
      <x:c r="I972" s="115" t="str">
        <x:v>À équilibrer</x:v>
      </x:c>
      <x:c r="J972" s="115" t="str">
        <x:v>Non</x:v>
      </x:c>
      <x:c r="K972" s="115" t="str">
        <x:v>Pièces décrites, murs, portes, niveaux et mobilier inspectables à l’échelle. Volumes réservés, raccord au seed, butin, rencontres et services de campagne restent à terminer.</x:v>
      </x:c>
    </x:row>
    <x:row r="973" ht="96" customHeight="1">
      <x:c r="A973" s="115" t="str">
        <x:v>EXT-MONDE-T020-V18</x:v>
      </x:c>
      <x:c r="B973" s="115" t="str">
        <x:v>EXT-MONDE-T020</x:v>
      </x:c>
      <x:c r="C973" s="115" t="str">
        <x:v>Littoral</x:v>
      </x:c>
      <x:c r="D973" s="115" t="str">
        <x:v>Baie avec village côtier</x:v>
      </x:c>
      <x:c r="E973" s="115" t="n">
        <x:v>18</x:v>
      </x:c>
      <x:c r="F973" s="115" t="str">
        <x:v>Inspection physique</x:v>
      </x:c>
      <x:c r="G973" s="115" t="str">
        <x:v>1 niveaux ; 32 pièces ; 248 segments de mur ; 0 transitions. Inspection physique ; architecture complète encore ouverte.</x:v>
      </x:c>
      <x:c r="H973" s="115" t="str">
        <x:v>L 288 ; l 246 ; hauteur 4,4 m ; choix de composition auteur ; dimensions réelles à documenter</x:v>
      </x:c>
      <x:c r="I973" s="115" t="str">
        <x:v>À équilibrer</x:v>
      </x:c>
      <x:c r="J973" s="115" t="str">
        <x:v>Non</x:v>
      </x:c>
      <x:c r="K973" s="115" t="str">
        <x:v>Pièces décrites, murs, portes, niveaux et mobilier inspectables à l’échelle. Volumes réservés, raccord au seed, butin, rencontres et services de campagne restent à terminer.</x:v>
      </x:c>
    </x:row>
    <x:row r="974" ht="96" customHeight="1">
      <x:c r="A974" s="115" t="str">
        <x:v>EXT-MONDE-T020-V19</x:v>
      </x:c>
      <x:c r="B974" s="115" t="str">
        <x:v>EXT-MONDE-T020</x:v>
      </x:c>
      <x:c r="C974" s="115" t="str">
        <x:v>Littoral</x:v>
      </x:c>
      <x:c r="D974" s="115" t="str">
        <x:v>Baie avec village côtier</x:v>
      </x:c>
      <x:c r="E974" s="115" t="n">
        <x:v>19</x:v>
      </x:c>
      <x:c r="F974" s="115" t="str">
        <x:v>Inspection physique</x:v>
      </x:c>
      <x:c r="G974" s="115" t="str">
        <x:v>1 niveaux ; 32 pièces ; 248 segments de mur ; 0 transitions. Inspection physique ; architecture complète encore ouverte.</x:v>
      </x:c>
      <x:c r="H974" s="115" t="str">
        <x:v>L 288 ; l 246 ; hauteur 4,4 m ; choix de composition auteur ; dimensions réelles à documenter</x:v>
      </x:c>
      <x:c r="I974" s="115" t="str">
        <x:v>À équilibrer</x:v>
      </x:c>
      <x:c r="J974" s="115" t="str">
        <x:v>Non</x:v>
      </x:c>
      <x:c r="K974" s="115" t="str">
        <x:v>Pièces décrites, murs, portes, niveaux et mobilier inspectables à l’échelle. Volumes réservés, raccord au seed, butin, rencontres et services de campagne restent à terminer.</x:v>
      </x:c>
    </x:row>
    <x:row r="975" ht="96" customHeight="1">
      <x:c r="A975" s="115" t="str">
        <x:v>EXT-MONDE-T020-V20</x:v>
      </x:c>
      <x:c r="B975" s="115" t="str">
        <x:v>EXT-MONDE-T020</x:v>
      </x:c>
      <x:c r="C975" s="115" t="str">
        <x:v>Littoral</x:v>
      </x:c>
      <x:c r="D975" s="115" t="str">
        <x:v>Baie avec village côtier</x:v>
      </x:c>
      <x:c r="E975" s="115" t="n">
        <x:v>20</x:v>
      </x:c>
      <x:c r="F975" s="115" t="str">
        <x:v>Inspection physique</x:v>
      </x:c>
      <x:c r="G975" s="115" t="str">
        <x:v>1 niveaux ; 32 pièces ; 248 segments de mur ; 0 transitions. Inspection physique ; architecture complète encore ouverte.</x:v>
      </x:c>
      <x:c r="H975" s="115" t="str">
        <x:v>L 288 ; l 246 ; hauteur 4,4 m ; choix de composition auteur ; dimensions réelles à documenter</x:v>
      </x:c>
      <x:c r="I975" s="115" t="str">
        <x:v>À équilibrer</x:v>
      </x:c>
      <x:c r="J975" s="115" t="str">
        <x:v>Non</x:v>
      </x:c>
      <x:c r="K975" s="115" t="str">
        <x:v>Pièces décrites, murs, portes, niveaux et mobilier inspectables à l’échelle. Volumes réservés, raccord au seed, butin, rencontres et services de campagne restent à terminer.</x:v>
      </x:c>
    </x:row>
    <x:row r="976" ht="96" customHeight="1">
      <x:c r="A976" s="115" t="str">
        <x:v>EXT-MONDE-T020-V21</x:v>
      </x:c>
      <x:c r="B976" s="115" t="str">
        <x:v>EXT-MONDE-T020</x:v>
      </x:c>
      <x:c r="C976" s="115" t="str">
        <x:v>Littoral</x:v>
      </x:c>
      <x:c r="D976" s="115" t="str">
        <x:v>Baie avec village côtier</x:v>
      </x:c>
      <x:c r="E976" s="115" t="n">
        <x:v>21</x:v>
      </x:c>
      <x:c r="F976" s="115" t="str">
        <x:v>Inspection physique</x:v>
      </x:c>
      <x:c r="G976" s="115" t="str">
        <x:v>1 niveaux ; 32 pièces ; 248 segments de mur ; 0 transitions. Inspection physique ; architecture complète encore ouverte.</x:v>
      </x:c>
      <x:c r="H976" s="115" t="str">
        <x:v>L 306 ; l 262 ; hauteur 4,4 m ; choix de composition auteur ; dimensions réelles à documenter</x:v>
      </x:c>
      <x:c r="I976" s="115" t="str">
        <x:v>À équilibrer</x:v>
      </x:c>
      <x:c r="J976" s="115" t="str">
        <x:v>Non</x:v>
      </x:c>
      <x:c r="K976" s="115" t="str">
        <x:v>Pièces décrites, murs, portes, niveaux et mobilier inspectables à l’échelle. Volumes réservés, raccord au seed, butin, rencontres et services de campagne restent à terminer.</x:v>
      </x:c>
    </x:row>
    <x:row r="977" ht="96" customHeight="1">
      <x:c r="A977" s="115" t="str">
        <x:v>EXT-MONDE-T020-V22</x:v>
      </x:c>
      <x:c r="B977" s="115" t="str">
        <x:v>EXT-MONDE-T020</x:v>
      </x:c>
      <x:c r="C977" s="115" t="str">
        <x:v>Littoral</x:v>
      </x:c>
      <x:c r="D977" s="115" t="str">
        <x:v>Baie avec village côtier</x:v>
      </x:c>
      <x:c r="E977" s="115" t="n">
        <x:v>22</x:v>
      </x:c>
      <x:c r="F977" s="115" t="str">
        <x:v>Inspection physique</x:v>
      </x:c>
      <x:c r="G977" s="115" t="str">
        <x:v>1 niveaux ; 32 pièces ; 248 segments de mur ; 0 transitions. Inspection physique ; architecture complète encore ouverte.</x:v>
      </x:c>
      <x:c r="H977" s="115" t="str">
        <x:v>L 306 ; l 262 ; hauteur 4,4 m ; choix de composition auteur ; dimensions réelles à documenter</x:v>
      </x:c>
      <x:c r="I977" s="115" t="str">
        <x:v>À équilibrer</x:v>
      </x:c>
      <x:c r="J977" s="115" t="str">
        <x:v>Non</x:v>
      </x:c>
      <x:c r="K977" s="115" t="str">
        <x:v>Pièces décrites, murs, portes, niveaux et mobilier inspectables à l’échelle. Volumes réservés, raccord au seed, butin, rencontres et services de campagne restent à terminer.</x:v>
      </x:c>
    </x:row>
    <x:row r="978" ht="96" customHeight="1">
      <x:c r="A978" s="115" t="str">
        <x:v>EXT-MONDE-T020-V23</x:v>
      </x:c>
      <x:c r="B978" s="115" t="str">
        <x:v>EXT-MONDE-T020</x:v>
      </x:c>
      <x:c r="C978" s="115" t="str">
        <x:v>Littoral</x:v>
      </x:c>
      <x:c r="D978" s="115" t="str">
        <x:v>Baie avec village côtier</x:v>
      </x:c>
      <x:c r="E978" s="115" t="n">
        <x:v>23</x:v>
      </x:c>
      <x:c r="F978" s="115" t="str">
        <x:v>Inspection physique</x:v>
      </x:c>
      <x:c r="G978" s="115" t="str">
        <x:v>1 niveaux ; 32 pièces ; 248 segments de mur ; 0 transitions. Inspection physique ; architecture complète encore ouverte.</x:v>
      </x:c>
      <x:c r="H978" s="115" t="str">
        <x:v>L 306 ; l 262 ; hauteur 4,4 m ; choix de composition auteur ; dimensions réelles à documenter</x:v>
      </x:c>
      <x:c r="I978" s="115" t="str">
        <x:v>À équilibrer</x:v>
      </x:c>
      <x:c r="J978" s="115" t="str">
        <x:v>Non</x:v>
      </x:c>
      <x:c r="K978" s="115" t="str">
        <x:v>Pièces décrites, murs, portes, niveaux et mobilier inspectables à l’échelle. Volumes réservés, raccord au seed, butin, rencontres et services de campagne restent à terminer.</x:v>
      </x:c>
    </x:row>
    <x:row r="979" ht="96" customHeight="1">
      <x:c r="A979" s="115" t="str">
        <x:v>EXT-MONDE-T020-V24</x:v>
      </x:c>
      <x:c r="B979" s="115" t="str">
        <x:v>EXT-MONDE-T020</x:v>
      </x:c>
      <x:c r="C979" s="115" t="str">
        <x:v>Littoral</x:v>
      </x:c>
      <x:c r="D979" s="115" t="str">
        <x:v>Baie avec village côtier</x:v>
      </x:c>
      <x:c r="E979" s="115" t="n">
        <x:v>24</x:v>
      </x:c>
      <x:c r="F979" s="115" t="str">
        <x:v>Inspection physique</x:v>
      </x:c>
      <x:c r="G979" s="115" t="str">
        <x:v>1 niveaux ; 32 pièces ; 248 segments de mur ; 0 transitions. Inspection physique ; architecture complète encore ouverte.</x:v>
      </x:c>
      <x:c r="H979" s="115" t="str">
        <x:v>L 306 ; l 262 ; hauteur 4,4 m ; choix de composition auteur ; dimensions réelles à documenter</x:v>
      </x:c>
      <x:c r="I979" s="115" t="str">
        <x:v>À équilibrer</x:v>
      </x:c>
      <x:c r="J979" s="115" t="str">
        <x:v>Non</x:v>
      </x:c>
      <x:c r="K979" s="115" t="str">
        <x:v>Pièces décrites, murs, portes, niveaux et mobilier inspectables à l’échelle. Volumes réservés, raccord au seed, butin, rencontres et services de campagne restent à terminer.</x:v>
      </x:c>
    </x:row>
    <x:row r="980" ht="96" customHeight="1">
      <x:c r="A980" s="115" t="str">
        <x:v>EXT-MONDE-T020-V25</x:v>
      </x:c>
      <x:c r="B980" s="115" t="str">
        <x:v>EXT-MONDE-T020</x:v>
      </x:c>
      <x:c r="C980" s="115" t="str">
        <x:v>Littoral</x:v>
      </x:c>
      <x:c r="D980" s="115" t="str">
        <x:v>Baie avec village côtier</x:v>
      </x:c>
      <x:c r="E980" s="115" t="n">
        <x:v>25</x:v>
      </x:c>
      <x:c r="F980" s="115" t="str">
        <x:v>Inspection physique</x:v>
      </x:c>
      <x:c r="G980" s="115" t="str">
        <x:v>1 niveaux ; 32 pièces ; 248 segments de mur ; 0 transitions. Inspection physique ; architecture complète encore ouverte.</x:v>
      </x:c>
      <x:c r="H980" s="115" t="str">
        <x:v>L 306 ; l 262 ; hauteur 4,4 m ; choix de composition auteur ; dimensions réelles à documenter</x:v>
      </x:c>
      <x:c r="I980" s="115" t="str">
        <x:v>À équilibrer</x:v>
      </x:c>
      <x:c r="J980" s="115" t="str">
        <x:v>Non</x:v>
      </x:c>
      <x:c r="K980" s="115" t="str">
        <x:v>Pièces décrites, murs, portes, niveaux et mobilier inspectables à l’échelle. Volumes réservés, raccord au seed, butin, rencontres et services de campagne restent à terminer.</x:v>
      </x:c>
    </x:row>
    <x:row r="981" ht="96" customHeight="1">
      <x:c r="A981" s="115" t="str">
        <x:v>EXT-MONDE-T020-V26</x:v>
      </x:c>
      <x:c r="B981" s="115" t="str">
        <x:v>EXT-MONDE-T020</x:v>
      </x:c>
      <x:c r="C981" s="115" t="str">
        <x:v>Littoral</x:v>
      </x:c>
      <x:c r="D981" s="115" t="str">
        <x:v>Baie avec village côtier</x:v>
      </x:c>
      <x:c r="E981" s="115" t="n">
        <x:v>26</x:v>
      </x:c>
      <x:c r="F981" s="115" t="str">
        <x:v>Inspection physique</x:v>
      </x:c>
      <x:c r="G981" s="115" t="str">
        <x:v>1 niveaux ; 32 pièces ; 248 segments de mur ; 0 transitions. Inspection physique ; architecture complète encore ouverte.</x:v>
      </x:c>
      <x:c r="H981" s="115" t="str">
        <x:v>L 306 ; l 262 ; hauteur 4,4 m ; choix de composition auteur ; dimensions réelles à documenter</x:v>
      </x:c>
      <x:c r="I981" s="115" t="str">
        <x:v>À équilibrer</x:v>
      </x:c>
      <x:c r="J981" s="115" t="str">
        <x:v>Non</x:v>
      </x:c>
      <x:c r="K981" s="115" t="str">
        <x:v>Pièces décrites, murs, portes, niveaux et mobilier inspectables à l’échelle. Volumes réservés, raccord au seed, butin, rencontres et services de campagne restent à terminer.</x:v>
      </x:c>
    </x:row>
    <x:row r="982" ht="96" customHeight="1">
      <x:c r="A982" s="115" t="str">
        <x:v>EXT-MONDE-T020-V27</x:v>
      </x:c>
      <x:c r="B982" s="115" t="str">
        <x:v>EXT-MONDE-T020</x:v>
      </x:c>
      <x:c r="C982" s="115" t="str">
        <x:v>Littoral</x:v>
      </x:c>
      <x:c r="D982" s="115" t="str">
        <x:v>Baie avec village côtier</x:v>
      </x:c>
      <x:c r="E982" s="115" t="n">
        <x:v>27</x:v>
      </x:c>
      <x:c r="F982" s="115" t="str">
        <x:v>Inspection physique</x:v>
      </x:c>
      <x:c r="G982" s="115" t="str">
        <x:v>1 niveaux ; 32 pièces ; 248 segments de mur ; 0 transitions. Inspection physique ; architecture complète encore ouverte.</x:v>
      </x:c>
      <x:c r="H982" s="115" t="str">
        <x:v>L 306 ; l 262 ; hauteur 4,4 m ; choix de composition auteur ; dimensions réelles à documenter</x:v>
      </x:c>
      <x:c r="I982" s="115" t="str">
        <x:v>À équilibrer</x:v>
      </x:c>
      <x:c r="J982" s="115" t="str">
        <x:v>Non</x:v>
      </x:c>
      <x:c r="K982" s="115" t="str">
        <x:v>Pièces décrites, murs, portes, niveaux et mobilier inspectables à l’échelle. Volumes réservés, raccord au seed, butin, rencontres et services de campagne restent à terminer.</x:v>
      </x:c>
    </x:row>
    <x:row r="983" ht="96" customHeight="1">
      <x:c r="A983" s="115" t="str">
        <x:v>EXT-MONDE-T020-V28</x:v>
      </x:c>
      <x:c r="B983" s="115" t="str">
        <x:v>EXT-MONDE-T020</x:v>
      </x:c>
      <x:c r="C983" s="115" t="str">
        <x:v>Littoral</x:v>
      </x:c>
      <x:c r="D983" s="115" t="str">
        <x:v>Baie avec village côtier</x:v>
      </x:c>
      <x:c r="E983" s="115" t="n">
        <x:v>28</x:v>
      </x:c>
      <x:c r="F983" s="115" t="str">
        <x:v>Inspection physique</x:v>
      </x:c>
      <x:c r="G983" s="115" t="str">
        <x:v>1 niveaux ; 32 pièces ; 248 segments de mur ; 0 transitions. Inspection physique ; architecture complète encore ouverte.</x:v>
      </x:c>
      <x:c r="H983" s="115" t="str">
        <x:v>L 306 ; l 262 ; hauteur 4,4 m ; choix de composition auteur ; dimensions réelles à documenter</x:v>
      </x:c>
      <x:c r="I983" s="115" t="str">
        <x:v>À équilibrer</x:v>
      </x:c>
      <x:c r="J983" s="115" t="str">
        <x:v>Non</x:v>
      </x:c>
      <x:c r="K983" s="115" t="str">
        <x:v>Pièces décrites, murs, portes, niveaux et mobilier inspectables à l’échelle. Volumes réservés, raccord au seed, butin, rencontres et services de campagne restent à terminer.</x:v>
      </x:c>
    </x:row>
    <x:row r="984" ht="96" customHeight="1">
      <x:c r="A984" s="115" t="str">
        <x:v>EXT-MONDE-T020-V29</x:v>
      </x:c>
      <x:c r="B984" s="115" t="str">
        <x:v>EXT-MONDE-T020</x:v>
      </x:c>
      <x:c r="C984" s="115" t="str">
        <x:v>Littoral</x:v>
      </x:c>
      <x:c r="D984" s="115" t="str">
        <x:v>Baie avec village côtier</x:v>
      </x:c>
      <x:c r="E984" s="115" t="n">
        <x:v>29</x:v>
      </x:c>
      <x:c r="F984" s="115" t="str">
        <x:v>Inspection physique</x:v>
      </x:c>
      <x:c r="G984" s="115" t="str">
        <x:v>1 niveaux ; 32 pièces ; 248 segments de mur ; 0 transitions. Inspection physique ; architecture complète encore ouverte.</x:v>
      </x:c>
      <x:c r="H984" s="115" t="str">
        <x:v>L 306 ; l 262 ; hauteur 4,4 m ; choix de composition auteur ; dimensions réelles à documenter</x:v>
      </x:c>
      <x:c r="I984" s="115" t="str">
        <x:v>À équilibrer</x:v>
      </x:c>
      <x:c r="J984" s="115" t="str">
        <x:v>Non</x:v>
      </x:c>
      <x:c r="K984" s="115" t="str">
        <x:v>Pièces décrites, murs, portes, niveaux et mobilier inspectables à l’échelle. Volumes réservés, raccord au seed, butin, rencontres et services de campagne restent à terminer.</x:v>
      </x:c>
    </x:row>
    <x:row r="985" ht="96" customHeight="1">
      <x:c r="A985" s="115" t="str">
        <x:v>EXT-MONDE-T020-V30</x:v>
      </x:c>
      <x:c r="B985" s="115" t="str">
        <x:v>EXT-MONDE-T020</x:v>
      </x:c>
      <x:c r="C985" s="115" t="str">
        <x:v>Littoral</x:v>
      </x:c>
      <x:c r="D985" s="115" t="str">
        <x:v>Baie avec village côtier</x:v>
      </x:c>
      <x:c r="E985" s="115" t="n">
        <x:v>30</x:v>
      </x:c>
      <x:c r="F985" s="115" t="str">
        <x:v>Inspection physique</x:v>
      </x:c>
      <x:c r="G985" s="115" t="str">
        <x:v>1 niveaux ; 32 pièces ; 248 segments de mur ; 0 transitions. Inspection physique ; architecture complète encore ouverte.</x:v>
      </x:c>
      <x:c r="H985" s="115" t="str">
        <x:v>L 306 ; l 262 ; hauteur 4,4 m ; choix de composition auteur ; dimensions réelles à documenter</x:v>
      </x:c>
      <x:c r="I985" s="115" t="str">
        <x:v>À équilibrer</x:v>
      </x:c>
      <x:c r="J985" s="115" t="str">
        <x:v>Non</x:v>
      </x:c>
      <x:c r="K985" s="115" t="str">
        <x:v>Pièces décrites, murs, portes, niveaux et mobilier inspectables à l’échelle. Volumes réservés, raccord au seed, butin, rencontres et services de campagne restent à terminer.</x:v>
      </x:c>
    </x:row>
    <x:row r="986" ht="96" customHeight="1">
      <x:c r="A986" s="115" t="str">
        <x:v>EXT-MONDE-T020-V31</x:v>
      </x:c>
      <x:c r="B986" s="115" t="str">
        <x:v>EXT-MONDE-T020</x:v>
      </x:c>
      <x:c r="C986" s="115" t="str">
        <x:v>Littoral</x:v>
      </x:c>
      <x:c r="D986" s="115" t="str">
        <x:v>Baie avec village côtier</x:v>
      </x:c>
      <x:c r="E986" s="115" t="n">
        <x:v>31</x:v>
      </x:c>
      <x:c r="F986" s="115" t="str">
        <x:v>Inspection physique</x:v>
      </x:c>
      <x:c r="G986" s="115" t="str">
        <x:v>1 niveaux ; 32 pièces ; 248 segments de mur ; 0 transitions. Inspection physique ; architecture complète encore ouverte.</x:v>
      </x:c>
      <x:c r="H986" s="115" t="str">
        <x:v>L 324 ; l 278 ; hauteur 4,4 m ; choix de composition auteur ; dimensions réelles à documenter</x:v>
      </x:c>
      <x:c r="I986" s="115" t="str">
        <x:v>À équilibrer</x:v>
      </x:c>
      <x:c r="J986" s="115" t="str">
        <x:v>Non</x:v>
      </x:c>
      <x:c r="K986" s="115" t="str">
        <x:v>Pièces décrites, murs, portes, niveaux et mobilier inspectables à l’échelle. Volumes réservés, raccord au seed, butin, rencontres et services de campagne restent à terminer.</x:v>
      </x:c>
    </x:row>
    <x:row r="987" ht="96" customHeight="1">
      <x:c r="A987" s="115" t="str">
        <x:v>EXT-MONDE-T020-V32</x:v>
      </x:c>
      <x:c r="B987" s="115" t="str">
        <x:v>EXT-MONDE-T020</x:v>
      </x:c>
      <x:c r="C987" s="115" t="str">
        <x:v>Littoral</x:v>
      </x:c>
      <x:c r="D987" s="115" t="str">
        <x:v>Baie avec village côtier</x:v>
      </x:c>
      <x:c r="E987" s="115" t="n">
        <x:v>32</x:v>
      </x:c>
      <x:c r="F987" s="115" t="str">
        <x:v>Inspection physique</x:v>
      </x:c>
      <x:c r="G987" s="115" t="str">
        <x:v>1 niveaux ; 32 pièces ; 248 segments de mur ; 0 transitions. Inspection physique ; architecture complète encore ouverte.</x:v>
      </x:c>
      <x:c r="H987" s="115" t="str">
        <x:v>L 324 ; l 278 ; hauteur 4,4 m ; choix de composition auteur ; dimensions réelles à documenter</x:v>
      </x:c>
      <x:c r="I987" s="115" t="str">
        <x:v>À équilibrer</x:v>
      </x:c>
      <x:c r="J987" s="115" t="str">
        <x:v>Non</x:v>
      </x:c>
      <x:c r="K987" s="115" t="str">
        <x:v>Pièces décrites, murs, portes, niveaux et mobilier inspectables à l’échelle. Volumes réservés, raccord au seed, butin, rencontres et services de campagne restent à terminer.</x:v>
      </x:c>
    </x:row>
    <x:row r="988" ht="96" customHeight="1">
      <x:c r="A988" s="115" t="str">
        <x:v>EXT-MONDE-T020-V33</x:v>
      </x:c>
      <x:c r="B988" s="115" t="str">
        <x:v>EXT-MONDE-T020</x:v>
      </x:c>
      <x:c r="C988" s="115" t="str">
        <x:v>Littoral</x:v>
      </x:c>
      <x:c r="D988" s="115" t="str">
        <x:v>Baie avec village côtier</x:v>
      </x:c>
      <x:c r="E988" s="115" t="n">
        <x:v>33</x:v>
      </x:c>
      <x:c r="F988" s="115" t="str">
        <x:v>Inspection physique</x:v>
      </x:c>
      <x:c r="G988" s="115" t="str">
        <x:v>1 niveaux ; 32 pièces ; 248 segments de mur ; 0 transitions. Inspection physique ; architecture complète encore ouverte.</x:v>
      </x:c>
      <x:c r="H988" s="115" t="str">
        <x:v>L 324 ; l 278 ; hauteur 4,4 m ; choix de composition auteur ; dimensions réelles à documenter</x:v>
      </x:c>
      <x:c r="I988" s="115" t="str">
        <x:v>À équilibrer</x:v>
      </x:c>
      <x:c r="J988" s="115" t="str">
        <x:v>Non</x:v>
      </x:c>
      <x:c r="K988" s="115" t="str">
        <x:v>Pièces décrites, murs, portes, niveaux et mobilier inspectables à l’échelle. Volumes réservés, raccord au seed, butin, rencontres et services de campagne restent à terminer.</x:v>
      </x:c>
    </x:row>
    <x:row r="989" ht="96" customHeight="1">
      <x:c r="A989" s="115" t="str">
        <x:v>EXT-MONDE-T020-V34</x:v>
      </x:c>
      <x:c r="B989" s="115" t="str">
        <x:v>EXT-MONDE-T020</x:v>
      </x:c>
      <x:c r="C989" s="115" t="str">
        <x:v>Littoral</x:v>
      </x:c>
      <x:c r="D989" s="115" t="str">
        <x:v>Baie avec village côtier</x:v>
      </x:c>
      <x:c r="E989" s="115" t="n">
        <x:v>34</x:v>
      </x:c>
      <x:c r="F989" s="115" t="str">
        <x:v>Inspection physique</x:v>
      </x:c>
      <x:c r="G989" s="115" t="str">
        <x:v>1 niveaux ; 32 pièces ; 248 segments de mur ; 0 transitions. Inspection physique ; architecture complète encore ouverte.</x:v>
      </x:c>
      <x:c r="H989" s="115" t="str">
        <x:v>L 324 ; l 278 ; hauteur 4,4 m ; choix de composition auteur ; dimensions réelles à documenter</x:v>
      </x:c>
      <x:c r="I989" s="115" t="str">
        <x:v>À équilibrer</x:v>
      </x:c>
      <x:c r="J989" s="115" t="str">
        <x:v>Non</x:v>
      </x:c>
      <x:c r="K989" s="115" t="str">
        <x:v>Pièces décrites, murs, portes, niveaux et mobilier inspectables à l’échelle. Volumes réservés, raccord au seed, butin, rencontres et services de campagne restent à terminer.</x:v>
      </x:c>
    </x:row>
    <x:row r="990" ht="96" customHeight="1">
      <x:c r="A990" s="115" t="str">
        <x:v>EXT-MONDE-T020-V35</x:v>
      </x:c>
      <x:c r="B990" s="115" t="str">
        <x:v>EXT-MONDE-T020</x:v>
      </x:c>
      <x:c r="C990" s="115" t="str">
        <x:v>Littoral</x:v>
      </x:c>
      <x:c r="D990" s="115" t="str">
        <x:v>Baie avec village côtier</x:v>
      </x:c>
      <x:c r="E990" s="115" t="n">
        <x:v>35</x:v>
      </x:c>
      <x:c r="F990" s="115" t="str">
        <x:v>Inspection physique</x:v>
      </x:c>
      <x:c r="G990" s="115" t="str">
        <x:v>1 niveaux ; 32 pièces ; 248 segments de mur ; 0 transitions. Inspection physique ; architecture complète encore ouverte.</x:v>
      </x:c>
      <x:c r="H990" s="115" t="str">
        <x:v>L 324 ; l 278 ; hauteur 4,4 m ; choix de composition auteur ; dimensions réelles à documenter</x:v>
      </x:c>
      <x:c r="I990" s="115" t="str">
        <x:v>À équilibrer</x:v>
      </x:c>
      <x:c r="J990" s="115" t="str">
        <x:v>Non</x:v>
      </x:c>
      <x:c r="K990" s="115" t="str">
        <x:v>Pièces décrites, murs, portes, niveaux et mobilier inspectables à l’échelle. Volumes réservés, raccord au seed, butin, rencontres et services de campagne restent à terminer.</x:v>
      </x:c>
    </x:row>
    <x:row r="991" ht="96" customHeight="1">
      <x:c r="A991" s="115" t="str">
        <x:v>EXT-MONDE-T020-V36</x:v>
      </x:c>
      <x:c r="B991" s="115" t="str">
        <x:v>EXT-MONDE-T020</x:v>
      </x:c>
      <x:c r="C991" s="115" t="str">
        <x:v>Littoral</x:v>
      </x:c>
      <x:c r="D991" s="115" t="str">
        <x:v>Baie avec village côtier</x:v>
      </x:c>
      <x:c r="E991" s="115" t="n">
        <x:v>36</x:v>
      </x:c>
      <x:c r="F991" s="115" t="str">
        <x:v>Inspection physique</x:v>
      </x:c>
      <x:c r="G991" s="115" t="str">
        <x:v>1 niveaux ; 32 pièces ; 248 segments de mur ; 0 transitions. Inspection physique ; architecture complète encore ouverte.</x:v>
      </x:c>
      <x:c r="H991" s="115" t="str">
        <x:v>L 324 ; l 278 ; hauteur 4,4 m ; choix de composition auteur ; dimensions réelles à documenter</x:v>
      </x:c>
      <x:c r="I991" s="115" t="str">
        <x:v>À équilibrer</x:v>
      </x:c>
      <x:c r="J991" s="115" t="str">
        <x:v>Non</x:v>
      </x:c>
      <x:c r="K991" s="115" t="str">
        <x:v>Pièces décrites, murs, portes, niveaux et mobilier inspectables à l’échelle. Volumes réservés, raccord au seed, butin, rencontres et services de campagne restent à terminer.</x:v>
      </x:c>
    </x:row>
    <x:row r="992" ht="96" customHeight="1">
      <x:c r="A992" s="115" t="str">
        <x:v>EXT-MONDE-T020-V37</x:v>
      </x:c>
      <x:c r="B992" s="115" t="str">
        <x:v>EXT-MONDE-T020</x:v>
      </x:c>
      <x:c r="C992" s="115" t="str">
        <x:v>Littoral</x:v>
      </x:c>
      <x:c r="D992" s="115" t="str">
        <x:v>Baie avec village côtier</x:v>
      </x:c>
      <x:c r="E992" s="115" t="n">
        <x:v>37</x:v>
      </x:c>
      <x:c r="F992" s="115" t="str">
        <x:v>Inspection physique</x:v>
      </x:c>
      <x:c r="G992" s="115" t="str">
        <x:v>1 niveaux ; 32 pièces ; 248 segments de mur ; 0 transitions. Inspection physique ; architecture complète encore ouverte.</x:v>
      </x:c>
      <x:c r="H992" s="115" t="str">
        <x:v>L 324 ; l 278 ; hauteur 4,4 m ; choix de composition auteur ; dimensions réelles à documenter</x:v>
      </x:c>
      <x:c r="I992" s="115" t="str">
        <x:v>À équilibrer</x:v>
      </x:c>
      <x:c r="J992" s="115" t="str">
        <x:v>Non</x:v>
      </x:c>
      <x:c r="K992" s="115" t="str">
        <x:v>Pièces décrites, murs, portes, niveaux et mobilier inspectables à l’échelle. Volumes réservés, raccord au seed, butin, rencontres et services de campagne restent à terminer.</x:v>
      </x:c>
    </x:row>
    <x:row r="993" ht="96" customHeight="1">
      <x:c r="A993" s="115" t="str">
        <x:v>EXT-MONDE-T020-V38</x:v>
      </x:c>
      <x:c r="B993" s="115" t="str">
        <x:v>EXT-MONDE-T020</x:v>
      </x:c>
      <x:c r="C993" s="115" t="str">
        <x:v>Littoral</x:v>
      </x:c>
      <x:c r="D993" s="115" t="str">
        <x:v>Baie avec village côtier</x:v>
      </x:c>
      <x:c r="E993" s="115" t="n">
        <x:v>38</x:v>
      </x:c>
      <x:c r="F993" s="115" t="str">
        <x:v>Inspection physique</x:v>
      </x:c>
      <x:c r="G993" s="115" t="str">
        <x:v>1 niveaux ; 32 pièces ; 248 segments de mur ; 0 transitions. Inspection physique ; architecture complète encore ouverte.</x:v>
      </x:c>
      <x:c r="H993" s="115" t="str">
        <x:v>L 324 ; l 278 ; hauteur 4,4 m ; choix de composition auteur ; dimensions réelles à documenter</x:v>
      </x:c>
      <x:c r="I993" s="115" t="str">
        <x:v>À équilibrer</x:v>
      </x:c>
      <x:c r="J993" s="115" t="str">
        <x:v>Non</x:v>
      </x:c>
      <x:c r="K993" s="115" t="str">
        <x:v>Pièces décrites, murs, portes, niveaux et mobilier inspectables à l’échelle. Volumes réservés, raccord au seed, butin, rencontres et services de campagne restent à terminer.</x:v>
      </x:c>
    </x:row>
    <x:row r="994" ht="96" customHeight="1">
      <x:c r="A994" s="115" t="str">
        <x:v>EXT-MONDE-T020-V39</x:v>
      </x:c>
      <x:c r="B994" s="115" t="str">
        <x:v>EXT-MONDE-T020</x:v>
      </x:c>
      <x:c r="C994" s="115" t="str">
        <x:v>Littoral</x:v>
      </x:c>
      <x:c r="D994" s="115" t="str">
        <x:v>Baie avec village côtier</x:v>
      </x:c>
      <x:c r="E994" s="115" t="n">
        <x:v>39</x:v>
      </x:c>
      <x:c r="F994" s="115" t="str">
        <x:v>Inspection physique</x:v>
      </x:c>
      <x:c r="G994" s="115" t="str">
        <x:v>1 niveaux ; 32 pièces ; 248 segments de mur ; 0 transitions. Inspection physique ; architecture complète encore ouverte.</x:v>
      </x:c>
      <x:c r="H994" s="115" t="str">
        <x:v>L 324 ; l 278 ; hauteur 4,4 m ; choix de composition auteur ; dimensions réelles à documenter</x:v>
      </x:c>
      <x:c r="I994" s="115" t="str">
        <x:v>À équilibrer</x:v>
      </x:c>
      <x:c r="J994" s="115" t="str">
        <x:v>Non</x:v>
      </x:c>
      <x:c r="K994" s="115" t="str">
        <x:v>Pièces décrites, murs, portes, niveaux et mobilier inspectables à l’échelle. Volumes réservés, raccord au seed, butin, rencontres et services de campagne restent à terminer.</x:v>
      </x:c>
    </x:row>
    <x:row r="995" ht="96" customHeight="1">
      <x:c r="A995" s="115" t="str">
        <x:v>EXT-MONDE-T020-V40</x:v>
      </x:c>
      <x:c r="B995" s="115" t="str">
        <x:v>EXT-MONDE-T020</x:v>
      </x:c>
      <x:c r="C995" s="115" t="str">
        <x:v>Littoral</x:v>
      </x:c>
      <x:c r="D995" s="115" t="str">
        <x:v>Baie avec village côtier</x:v>
      </x:c>
      <x:c r="E995" s="115" t="n">
        <x:v>40</x:v>
      </x:c>
      <x:c r="F995" s="115" t="str">
        <x:v>Inspection physique</x:v>
      </x:c>
      <x:c r="G995" s="115" t="str">
        <x:v>1 niveaux ; 32 pièces ; 248 segments de mur ; 0 transitions. Inspection physique ; architecture complète encore ouverte.</x:v>
      </x:c>
      <x:c r="H995" s="115" t="str">
        <x:v>L 324 ; l 278 ; hauteur 4,4 m ; choix de composition auteur ; dimensions réelles à documenter</x:v>
      </x:c>
      <x:c r="I995" s="115" t="str">
        <x:v>À équilibrer</x:v>
      </x:c>
      <x:c r="J995" s="115" t="str">
        <x:v>Non</x:v>
      </x:c>
      <x:c r="K995" s="115" t="str">
        <x:v>Pièces décrites, murs, portes, niveaux et mobilier inspectables à l’échelle. Volumes réservés, raccord au seed, butin, rencontres et services de campagne restent à terminer.</x:v>
      </x:c>
    </x:row>
    <x:row r="996" ht="96" customHeight="1">
      <x:c r="A996" s="115" t="str">
        <x:v>EXT-MONDE-T020-V41</x:v>
      </x:c>
      <x:c r="B996" s="115" t="str">
        <x:v>EXT-MONDE-T020</x:v>
      </x:c>
      <x:c r="C996" s="115" t="str">
        <x:v>Littoral</x:v>
      </x:c>
      <x:c r="D996" s="115" t="str">
        <x:v>Baie avec village côtier</x:v>
      </x:c>
      <x:c r="E996" s="115" t="n">
        <x:v>41</x:v>
      </x:c>
      <x:c r="F996" s="115" t="str">
        <x:v>Inspection physique</x:v>
      </x:c>
      <x:c r="G996" s="115" t="str">
        <x:v>1 niveaux ; 32 pièces ; 248 segments de mur ; 0 transitions. Inspection physique ; architecture complète encore ouverte.</x:v>
      </x:c>
      <x:c r="H996" s="115" t="str">
        <x:v>L 342 ; l 294 ; hauteur 4,4 m ; choix de composition auteur ; dimensions réelles à documenter</x:v>
      </x:c>
      <x:c r="I996" s="115" t="str">
        <x:v>À équilibrer</x:v>
      </x:c>
      <x:c r="J996" s="115" t="str">
        <x:v>Non</x:v>
      </x:c>
      <x:c r="K996" s="115" t="str">
        <x:v>Pièces décrites, murs, portes, niveaux et mobilier inspectables à l’échelle. Volumes réservés, raccord au seed, butin, rencontres et services de campagne restent à terminer.</x:v>
      </x:c>
    </x:row>
    <x:row r="997" ht="96" customHeight="1">
      <x:c r="A997" s="115" t="str">
        <x:v>EXT-MONDE-T020-V42</x:v>
      </x:c>
      <x:c r="B997" s="115" t="str">
        <x:v>EXT-MONDE-T020</x:v>
      </x:c>
      <x:c r="C997" s="115" t="str">
        <x:v>Littoral</x:v>
      </x:c>
      <x:c r="D997" s="115" t="str">
        <x:v>Baie avec village côtier</x:v>
      </x:c>
      <x:c r="E997" s="115" t="n">
        <x:v>42</x:v>
      </x:c>
      <x:c r="F997" s="115" t="str">
        <x:v>Inspection physique</x:v>
      </x:c>
      <x:c r="G997" s="115" t="str">
        <x:v>1 niveaux ; 32 pièces ; 248 segments de mur ; 0 transitions. Inspection physique ; architecture complète encore ouverte.</x:v>
      </x:c>
      <x:c r="H997" s="115" t="str">
        <x:v>L 342 ; l 294 ; hauteur 4,4 m ; choix de composition auteur ; dimensions réelles à documenter</x:v>
      </x:c>
      <x:c r="I997" s="115" t="str">
        <x:v>À équilibrer</x:v>
      </x:c>
      <x:c r="J997" s="115" t="str">
        <x:v>Non</x:v>
      </x:c>
      <x:c r="K997" s="115" t="str">
        <x:v>Pièces décrites, murs, portes, niveaux et mobilier inspectables à l’échelle. Volumes réservés, raccord au seed, butin, rencontres et services de campagne restent à terminer.</x:v>
      </x:c>
    </x:row>
    <x:row r="998" ht="96" customHeight="1">
      <x:c r="A998" s="115" t="str">
        <x:v>EXT-MONDE-T020-V43</x:v>
      </x:c>
      <x:c r="B998" s="115" t="str">
        <x:v>EXT-MONDE-T020</x:v>
      </x:c>
      <x:c r="C998" s="115" t="str">
        <x:v>Littoral</x:v>
      </x:c>
      <x:c r="D998" s="115" t="str">
        <x:v>Baie avec village côtier</x:v>
      </x:c>
      <x:c r="E998" s="115" t="n">
        <x:v>43</x:v>
      </x:c>
      <x:c r="F998" s="115" t="str">
        <x:v>Inspection physique</x:v>
      </x:c>
      <x:c r="G998" s="115" t="str">
        <x:v>1 niveaux ; 32 pièces ; 248 segments de mur ; 0 transitions. Inspection physique ; architecture complète encore ouverte.</x:v>
      </x:c>
      <x:c r="H998" s="115" t="str">
        <x:v>L 342 ; l 294 ; hauteur 4,4 m ; choix de composition auteur ; dimensions réelles à documenter</x:v>
      </x:c>
      <x:c r="I998" s="115" t="str">
        <x:v>À équilibrer</x:v>
      </x:c>
      <x:c r="J998" s="115" t="str">
        <x:v>Non</x:v>
      </x:c>
      <x:c r="K998" s="115" t="str">
        <x:v>Pièces décrites, murs, portes, niveaux et mobilier inspectables à l’échelle. Volumes réservés, raccord au seed, butin, rencontres et services de campagne restent à terminer.</x:v>
      </x:c>
    </x:row>
    <x:row r="999" ht="96" customHeight="1">
      <x:c r="A999" s="115" t="str">
        <x:v>EXT-MONDE-T020-V44</x:v>
      </x:c>
      <x:c r="B999" s="115" t="str">
        <x:v>EXT-MONDE-T020</x:v>
      </x:c>
      <x:c r="C999" s="115" t="str">
        <x:v>Littoral</x:v>
      </x:c>
      <x:c r="D999" s="115" t="str">
        <x:v>Baie avec village côtier</x:v>
      </x:c>
      <x:c r="E999" s="115" t="n">
        <x:v>44</x:v>
      </x:c>
      <x:c r="F999" s="115" t="str">
        <x:v>Inspection physique</x:v>
      </x:c>
      <x:c r="G999" s="115" t="str">
        <x:v>1 niveaux ; 32 pièces ; 248 segments de mur ; 0 transitions. Inspection physique ; architecture complète encore ouverte.</x:v>
      </x:c>
      <x:c r="H999" s="115" t="str">
        <x:v>L 342 ; l 294 ; hauteur 4,4 m ; choix de composition auteur ; dimensions réelles à documenter</x:v>
      </x:c>
      <x:c r="I999" s="115" t="str">
        <x:v>À équilibrer</x:v>
      </x:c>
      <x:c r="J999" s="115" t="str">
        <x:v>Non</x:v>
      </x:c>
      <x:c r="K999" s="115" t="str">
        <x:v>Pièces décrites, murs, portes, niveaux et mobilier inspectables à l’échelle. Volumes réservés, raccord au seed, butin, rencontres et services de campagne restent à terminer.</x:v>
      </x:c>
    </x:row>
    <x:row r="1000" ht="96" customHeight="1">
      <x:c r="A1000" s="115" t="str">
        <x:v>EXT-MONDE-T020-V45</x:v>
      </x:c>
      <x:c r="B1000" s="115" t="str">
        <x:v>EXT-MONDE-T020</x:v>
      </x:c>
      <x:c r="C1000" s="115" t="str">
        <x:v>Littoral</x:v>
      </x:c>
      <x:c r="D1000" s="115" t="str">
        <x:v>Baie avec village côtier</x:v>
      </x:c>
      <x:c r="E1000" s="115" t="n">
        <x:v>45</x:v>
      </x:c>
      <x:c r="F1000" s="115" t="str">
        <x:v>Inspection physique</x:v>
      </x:c>
      <x:c r="G1000" s="115" t="str">
        <x:v>1 niveaux ; 32 pièces ; 248 segments de mur ; 0 transitions. Inspection physique ; architecture complète encore ouverte.</x:v>
      </x:c>
      <x:c r="H1000" s="115" t="str">
        <x:v>L 342 ; l 294 ; hauteur 4,4 m ; choix de composition auteur ; dimensions réelles à documenter</x:v>
      </x:c>
      <x:c r="I1000" s="115" t="str">
        <x:v>À équilibrer</x:v>
      </x:c>
      <x:c r="J1000" s="115" t="str">
        <x:v>Non</x:v>
      </x:c>
      <x:c r="K1000" s="115" t="str">
        <x:v>Pièces décrites, murs, portes, niveaux et mobilier inspectables à l’échelle. Volumes réservés, raccord au seed, butin, rencontres et services de campagne restent à terminer.</x:v>
      </x:c>
    </x:row>
    <x:row r="1001" ht="96" customHeight="1">
      <x:c r="A1001" s="115" t="str">
        <x:v>EXT-MONDE-T020-V46</x:v>
      </x:c>
      <x:c r="B1001" s="115" t="str">
        <x:v>EXT-MONDE-T020</x:v>
      </x:c>
      <x:c r="C1001" s="115" t="str">
        <x:v>Littoral</x:v>
      </x:c>
      <x:c r="D1001" s="115" t="str">
        <x:v>Baie avec village côtier</x:v>
      </x:c>
      <x:c r="E1001" s="115" t="n">
        <x:v>46</x:v>
      </x:c>
      <x:c r="F1001" s="115" t="str">
        <x:v>Inspection physique</x:v>
      </x:c>
      <x:c r="G1001" s="115" t="str">
        <x:v>1 niveaux ; 32 pièces ; 248 segments de mur ; 0 transitions. Inspection physique ; architecture complète encore ouverte.</x:v>
      </x:c>
      <x:c r="H1001" s="115" t="str">
        <x:v>L 342 ; l 294 ; hauteur 4,4 m ; choix de composition auteur ; dimensions réelles à documenter</x:v>
      </x:c>
      <x:c r="I1001" s="115" t="str">
        <x:v>À équilibrer</x:v>
      </x:c>
      <x:c r="J1001" s="115" t="str">
        <x:v>Non</x:v>
      </x:c>
      <x:c r="K1001" s="115" t="str">
        <x:v>Pièces décrites, murs, portes, niveaux et mobilier inspectables à l’échelle. Volumes réservés, raccord au seed, butin, rencontres et services de campagne restent à terminer.</x:v>
      </x:c>
    </x:row>
    <x:row r="1002" ht="96" customHeight="1">
      <x:c r="A1002" s="115" t="str">
        <x:v>EXT-MONDE-T020-V47</x:v>
      </x:c>
      <x:c r="B1002" s="115" t="str">
        <x:v>EXT-MONDE-T020</x:v>
      </x:c>
      <x:c r="C1002" s="115" t="str">
        <x:v>Littoral</x:v>
      </x:c>
      <x:c r="D1002" s="115" t="str">
        <x:v>Baie avec village côtier</x:v>
      </x:c>
      <x:c r="E1002" s="115" t="n">
        <x:v>47</x:v>
      </x:c>
      <x:c r="F1002" s="115" t="str">
        <x:v>Inspection physique</x:v>
      </x:c>
      <x:c r="G1002" s="115" t="str">
        <x:v>1 niveaux ; 32 pièces ; 248 segments de mur ; 0 transitions. Inspection physique ; architecture complète encore ouverte.</x:v>
      </x:c>
      <x:c r="H1002" s="115" t="str">
        <x:v>L 342 ; l 294 ; hauteur 4,4 m ; choix de composition auteur ; dimensions réelles à documenter</x:v>
      </x:c>
      <x:c r="I1002" s="115" t="str">
        <x:v>À équilibrer</x:v>
      </x:c>
      <x:c r="J1002" s="115" t="str">
        <x:v>Non</x:v>
      </x:c>
      <x:c r="K1002" s="115" t="str">
        <x:v>Pièces décrites, murs, portes, niveaux et mobilier inspectables à l’échelle. Volumes réservés, raccord au seed, butin, rencontres et services de campagne restent à terminer.</x:v>
      </x:c>
    </x:row>
    <x:row r="1003" ht="96" customHeight="1">
      <x:c r="A1003" s="115" t="str">
        <x:v>EXT-MONDE-T020-V48</x:v>
      </x:c>
      <x:c r="B1003" s="115" t="str">
        <x:v>EXT-MONDE-T020</x:v>
      </x:c>
      <x:c r="C1003" s="115" t="str">
        <x:v>Littoral</x:v>
      </x:c>
      <x:c r="D1003" s="115" t="str">
        <x:v>Baie avec village côtier</x:v>
      </x:c>
      <x:c r="E1003" s="115" t="n">
        <x:v>48</x:v>
      </x:c>
      <x:c r="F1003" s="115" t="str">
        <x:v>Inspection physique</x:v>
      </x:c>
      <x:c r="G1003" s="115" t="str">
        <x:v>1 niveaux ; 32 pièces ; 248 segments de mur ; 0 transitions. Inspection physique ; architecture complète encore ouverte.</x:v>
      </x:c>
      <x:c r="H1003" s="115" t="str">
        <x:v>L 342 ; l 294 ; hauteur 4,4 m ; choix de composition auteur ; dimensions réelles à documenter</x:v>
      </x:c>
      <x:c r="I1003" s="115" t="str">
        <x:v>À équilibrer</x:v>
      </x:c>
      <x:c r="J1003" s="115" t="str">
        <x:v>Non</x:v>
      </x:c>
      <x:c r="K1003" s="115" t="str">
        <x:v>Pièces décrites, murs, portes, niveaux et mobilier inspectables à l’échelle. Volumes réservés, raccord au seed, butin, rencontres et services de campagne restent à terminer.</x:v>
      </x:c>
    </x:row>
    <x:row r="1004" ht="96" customHeight="1">
      <x:c r="A1004" s="115" t="str">
        <x:v>EXT-MONDE-T020-V49</x:v>
      </x:c>
      <x:c r="B1004" s="115" t="str">
        <x:v>EXT-MONDE-T020</x:v>
      </x:c>
      <x:c r="C1004" s="115" t="str">
        <x:v>Littoral</x:v>
      </x:c>
      <x:c r="D1004" s="115" t="str">
        <x:v>Baie avec village côtier</x:v>
      </x:c>
      <x:c r="E1004" s="115" t="n">
        <x:v>49</x:v>
      </x:c>
      <x:c r="F1004" s="115" t="str">
        <x:v>Inspection physique</x:v>
      </x:c>
      <x:c r="G1004" s="115" t="str">
        <x:v>1 niveaux ; 32 pièces ; 248 segments de mur ; 0 transitions. Inspection physique ; architecture complète encore ouverte.</x:v>
      </x:c>
      <x:c r="H1004" s="115" t="str">
        <x:v>L 342 ; l 294 ; hauteur 4,4 m ; choix de composition auteur ; dimensions réelles à documenter</x:v>
      </x:c>
      <x:c r="I1004" s="115" t="str">
        <x:v>À équilibrer</x:v>
      </x:c>
      <x:c r="J1004" s="115" t="str">
        <x:v>Non</x:v>
      </x:c>
      <x:c r="K1004" s="115" t="str">
        <x:v>Pièces décrites, murs, portes, niveaux et mobilier inspectables à l’échelle. Volumes réservés, raccord au seed, butin, rencontres et services de campagne restent à terminer.</x:v>
      </x:c>
    </x:row>
    <x:row r="1005" ht="96" customHeight="1">
      <x:c r="A1005" s="115" t="str">
        <x:v>EXT-MONDE-T020-V50</x:v>
      </x:c>
      <x:c r="B1005" s="115" t="str">
        <x:v>EXT-MONDE-T020</x:v>
      </x:c>
      <x:c r="C1005" s="115" t="str">
        <x:v>Littoral</x:v>
      </x:c>
      <x:c r="D1005" s="115" t="str">
        <x:v>Baie avec village côtier</x:v>
      </x:c>
      <x:c r="E1005" s="115" t="n">
        <x:v>50</x:v>
      </x:c>
      <x:c r="F1005" s="115" t="str">
        <x:v>Inspection physique</x:v>
      </x:c>
      <x:c r="G1005" s="115" t="str">
        <x:v>1 niveaux ; 32 pièces ; 248 segments de mur ; 0 transitions. Inspection physique ; architecture complète encore ouverte.</x:v>
      </x:c>
      <x:c r="H1005" s="115" t="str">
        <x:v>L 342 ; l 294 ; hauteur 4,4 m ; choix de composition auteur ; dimensions réelles à documenter</x:v>
      </x:c>
      <x:c r="I1005" s="115" t="str">
        <x:v>À équilibrer</x:v>
      </x:c>
      <x:c r="J1005" s="115" t="str">
        <x:v>Non</x:v>
      </x:c>
      <x:c r="K1005" s="115" t="str">
        <x:v>Pièces décrites, murs, portes, niveaux et mobilier inspectables à l’échelle. Volumes réservés, raccord au seed, butin, rencontres et services de campagne restent à terminer.</x:v>
      </x:c>
    </x:row>
    <x:row r="1006" ht="96" customHeight="1">
      <x:c r="A1006" s="115" t="str">
        <x:v>EXT-MONDE-T021-V01</x:v>
      </x:c>
      <x:c r="B1006" s="115" t="str">
        <x:v>EXT-MONDE-T021</x:v>
      </x:c>
      <x:c r="C1006" s="115" t="str">
        <x:v>Fermes élevage</x:v>
      </x:c>
      <x:c r="D1006" s="115" t="str">
        <x:v>Ferme laitière</x:v>
      </x:c>
      <x:c r="E1006" s="115" t="n">
        <x:v>1</x:v>
      </x:c>
      <x:c r="F1006" s="115" t="str">
        <x:v>Inspection physique</x:v>
      </x:c>
      <x:c r="G1006" s="115" t="str">
        <x:v>1 niveaux ; 28 pièces ; 210 segments de mur ; 0 transitions. Inspection physique ; architecture complète encore ouverte.</x:v>
      </x:c>
      <x:c r="H1006" s="115" t="str">
        <x:v>L 260 ; l 224 ; hauteur 8,2 m ; choix de composition auteur ; dimensions réelles à documenter</x:v>
      </x:c>
      <x:c r="I1006" s="115" t="str">
        <x:v>À équilibrer</x:v>
      </x:c>
      <x:c r="J1006" s="115" t="str">
        <x:v>Non</x:v>
      </x:c>
      <x:c r="K1006" s="115" t="str">
        <x:v>Pièces décrites, murs, portes, niveaux et mobilier inspectables à l’échelle. Volumes réservés, raccord au seed, butin, rencontres et services de campagne restent à terminer.</x:v>
      </x:c>
    </x:row>
    <x:row r="1007" ht="96" customHeight="1">
      <x:c r="A1007" s="115" t="str">
        <x:v>EXT-MONDE-T021-V02</x:v>
      </x:c>
      <x:c r="B1007" s="115" t="str">
        <x:v>EXT-MONDE-T021</x:v>
      </x:c>
      <x:c r="C1007" s="115" t="str">
        <x:v>Fermes élevage</x:v>
      </x:c>
      <x:c r="D1007" s="115" t="str">
        <x:v>Ferme laitière</x:v>
      </x:c>
      <x:c r="E1007" s="115" t="n">
        <x:v>2</x:v>
      </x:c>
      <x:c r="F1007" s="115" t="str">
        <x:v>Inspection physique</x:v>
      </x:c>
      <x:c r="G1007" s="115" t="str">
        <x:v>1 niveaux ; 28 pièces ; 210 segments de mur ; 0 transitions. Inspection physique ; architecture complète encore ouverte.</x:v>
      </x:c>
      <x:c r="H1007" s="115" t="str">
        <x:v>L 260 ; l 224 ; hauteur 8,2 m ; choix de composition auteur ; dimensions réelles à documenter</x:v>
      </x:c>
      <x:c r="I1007" s="115" t="str">
        <x:v>À équilibrer</x:v>
      </x:c>
      <x:c r="J1007" s="115" t="str">
        <x:v>Non</x:v>
      </x:c>
      <x:c r="K1007" s="115" t="str">
        <x:v>Pièces décrites, murs, portes, niveaux et mobilier inspectables à l’échelle. Volumes réservés, raccord au seed, butin, rencontres et services de campagne restent à terminer.</x:v>
      </x:c>
    </x:row>
    <x:row r="1008" ht="96" customHeight="1">
      <x:c r="A1008" s="115" t="str">
        <x:v>EXT-MONDE-T021-V03</x:v>
      </x:c>
      <x:c r="B1008" s="115" t="str">
        <x:v>EXT-MONDE-T021</x:v>
      </x:c>
      <x:c r="C1008" s="115" t="str">
        <x:v>Fermes élevage</x:v>
      </x:c>
      <x:c r="D1008" s="115" t="str">
        <x:v>Ferme laitière</x:v>
      </x:c>
      <x:c r="E1008" s="115" t="n">
        <x:v>3</x:v>
      </x:c>
      <x:c r="F1008" s="115" t="str">
        <x:v>Inspection physique</x:v>
      </x:c>
      <x:c r="G1008" s="115" t="str">
        <x:v>1 niveaux ; 28 pièces ; 210 segments de mur ; 0 transitions. Inspection physique ; architecture complète encore ouverte.</x:v>
      </x:c>
      <x:c r="H1008" s="115" t="str">
        <x:v>L 260 ; l 224 ; hauteur 8,2 m ; choix de composition auteur ; dimensions réelles à documenter</x:v>
      </x:c>
      <x:c r="I1008" s="115" t="str">
        <x:v>À équilibrer</x:v>
      </x:c>
      <x:c r="J1008" s="115" t="str">
        <x:v>Non</x:v>
      </x:c>
      <x:c r="K1008" s="115" t="str">
        <x:v>Pièces décrites, murs, portes, niveaux et mobilier inspectables à l’échelle. Volumes réservés, raccord au seed, butin, rencontres et services de campagne restent à terminer.</x:v>
      </x:c>
    </x:row>
    <x:row r="1009" ht="96" customHeight="1">
      <x:c r="A1009" s="115" t="str">
        <x:v>EXT-MONDE-T021-V04</x:v>
      </x:c>
      <x:c r="B1009" s="115" t="str">
        <x:v>EXT-MONDE-T021</x:v>
      </x:c>
      <x:c r="C1009" s="115" t="str">
        <x:v>Fermes élevage</x:v>
      </x:c>
      <x:c r="D1009" s="115" t="str">
        <x:v>Ferme laitière</x:v>
      </x:c>
      <x:c r="E1009" s="115" t="n">
        <x:v>4</x:v>
      </x:c>
      <x:c r="F1009" s="115" t="str">
        <x:v>Inspection physique</x:v>
      </x:c>
      <x:c r="G1009" s="115" t="str">
        <x:v>1 niveaux ; 28 pièces ; 210 segments de mur ; 0 transitions. Inspection physique ; architecture complète encore ouverte.</x:v>
      </x:c>
      <x:c r="H1009" s="115" t="str">
        <x:v>L 260 ; l 224 ; hauteur 8,2 m ; choix de composition auteur ; dimensions réelles à documenter</x:v>
      </x:c>
      <x:c r="I1009" s="115" t="str">
        <x:v>À équilibrer</x:v>
      </x:c>
      <x:c r="J1009" s="115" t="str">
        <x:v>Non</x:v>
      </x:c>
      <x:c r="K1009" s="115" t="str">
        <x:v>Pièces décrites, murs, portes, niveaux et mobilier inspectables à l’échelle. Volumes réservés, raccord au seed, butin, rencontres et services de campagne restent à terminer.</x:v>
      </x:c>
    </x:row>
    <x:row r="1010" ht="96" customHeight="1">
      <x:c r="A1010" s="115" t="str">
        <x:v>EXT-MONDE-T021-V05</x:v>
      </x:c>
      <x:c r="B1010" s="115" t="str">
        <x:v>EXT-MONDE-T021</x:v>
      </x:c>
      <x:c r="C1010" s="115" t="str">
        <x:v>Fermes élevage</x:v>
      </x:c>
      <x:c r="D1010" s="115" t="str">
        <x:v>Ferme laitière</x:v>
      </x:c>
      <x:c r="E1010" s="115" t="n">
        <x:v>5</x:v>
      </x:c>
      <x:c r="F1010" s="115" t="str">
        <x:v>Inspection physique</x:v>
      </x:c>
      <x:c r="G1010" s="115" t="str">
        <x:v>1 niveaux ; 28 pièces ; 210 segments de mur ; 0 transitions. Inspection physique ; architecture complète encore ouverte.</x:v>
      </x:c>
      <x:c r="H1010" s="115" t="str">
        <x:v>L 260 ; l 224 ; hauteur 8,2 m ; choix de composition auteur ; dimensions réelles à documenter</x:v>
      </x:c>
      <x:c r="I1010" s="115" t="str">
        <x:v>À équilibrer</x:v>
      </x:c>
      <x:c r="J1010" s="115" t="str">
        <x:v>Non</x:v>
      </x:c>
      <x:c r="K1010" s="115" t="str">
        <x:v>Pièces décrites, murs, portes, niveaux et mobilier inspectables à l’échelle. Volumes réservés, raccord au seed, butin, rencontres et services de campagne restent à terminer.</x:v>
      </x:c>
    </x:row>
    <x:row r="1011" ht="96" customHeight="1">
      <x:c r="A1011" s="115" t="str">
        <x:v>EXT-MONDE-T021-V06</x:v>
      </x:c>
      <x:c r="B1011" s="115" t="str">
        <x:v>EXT-MONDE-T021</x:v>
      </x:c>
      <x:c r="C1011" s="115" t="str">
        <x:v>Fermes élevage</x:v>
      </x:c>
      <x:c r="D1011" s="115" t="str">
        <x:v>Ferme laitière</x:v>
      </x:c>
      <x:c r="E1011" s="115" t="n">
        <x:v>6</x:v>
      </x:c>
      <x:c r="F1011" s="115" t="str">
        <x:v>Inspection physique</x:v>
      </x:c>
      <x:c r="G1011" s="115" t="str">
        <x:v>1 niveaux ; 28 pièces ; 210 segments de mur ; 0 transitions. Inspection physique ; architecture complète encore ouverte.</x:v>
      </x:c>
      <x:c r="H1011" s="115" t="str">
        <x:v>L 260 ; l 224 ; hauteur 8,2 m ; choix de composition auteur ; dimensions réelles à documenter</x:v>
      </x:c>
      <x:c r="I1011" s="115" t="str">
        <x:v>À équilibrer</x:v>
      </x:c>
      <x:c r="J1011" s="115" t="str">
        <x:v>Non</x:v>
      </x:c>
      <x:c r="K1011" s="115" t="str">
        <x:v>Pièces décrites, murs, portes, niveaux et mobilier inspectables à l’échelle. Volumes réservés, raccord au seed, butin, rencontres et services de campagne restent à terminer.</x:v>
      </x:c>
    </x:row>
    <x:row r="1012" ht="96" customHeight="1">
      <x:c r="A1012" s="115" t="str">
        <x:v>EXT-MONDE-T021-V07</x:v>
      </x:c>
      <x:c r="B1012" s="115" t="str">
        <x:v>EXT-MONDE-T021</x:v>
      </x:c>
      <x:c r="C1012" s="115" t="str">
        <x:v>Fermes élevage</x:v>
      </x:c>
      <x:c r="D1012" s="115" t="str">
        <x:v>Ferme laitière</x:v>
      </x:c>
      <x:c r="E1012" s="115" t="n">
        <x:v>7</x:v>
      </x:c>
      <x:c r="F1012" s="115" t="str">
        <x:v>Inspection physique</x:v>
      </x:c>
      <x:c r="G1012" s="115" t="str">
        <x:v>1 niveaux ; 28 pièces ; 210 segments de mur ; 0 transitions. Inspection physique ; architecture complète encore ouverte.</x:v>
      </x:c>
      <x:c r="H1012" s="115" t="str">
        <x:v>L 260 ; l 224 ; hauteur 8,2 m ; choix de composition auteur ; dimensions réelles à documenter</x:v>
      </x:c>
      <x:c r="I1012" s="115" t="str">
        <x:v>À équilibrer</x:v>
      </x:c>
      <x:c r="J1012" s="115" t="str">
        <x:v>Non</x:v>
      </x:c>
      <x:c r="K1012" s="115" t="str">
        <x:v>Pièces décrites, murs, portes, niveaux et mobilier inspectables à l’échelle. Volumes réservés, raccord au seed, butin, rencontres et services de campagne restent à terminer.</x:v>
      </x:c>
    </x:row>
    <x:row r="1013" ht="96" customHeight="1">
      <x:c r="A1013" s="115" t="str">
        <x:v>EXT-MONDE-T021-V08</x:v>
      </x:c>
      <x:c r="B1013" s="115" t="str">
        <x:v>EXT-MONDE-T021</x:v>
      </x:c>
      <x:c r="C1013" s="115" t="str">
        <x:v>Fermes élevage</x:v>
      </x:c>
      <x:c r="D1013" s="115" t="str">
        <x:v>Ferme laitière</x:v>
      </x:c>
      <x:c r="E1013" s="115" t="n">
        <x:v>8</x:v>
      </x:c>
      <x:c r="F1013" s="115" t="str">
        <x:v>Inspection physique</x:v>
      </x:c>
      <x:c r="G1013" s="115" t="str">
        <x:v>1 niveaux ; 28 pièces ; 210 segments de mur ; 0 transitions. Inspection physique ; architecture complète encore ouverte.</x:v>
      </x:c>
      <x:c r="H1013" s="115" t="str">
        <x:v>L 260 ; l 224 ; hauteur 8,2 m ; choix de composition auteur ; dimensions réelles à documenter</x:v>
      </x:c>
      <x:c r="I1013" s="115" t="str">
        <x:v>À équilibrer</x:v>
      </x:c>
      <x:c r="J1013" s="115" t="str">
        <x:v>Non</x:v>
      </x:c>
      <x:c r="K1013" s="115" t="str">
        <x:v>Pièces décrites, murs, portes, niveaux et mobilier inspectables à l’échelle. Volumes réservés, raccord au seed, butin, rencontres et services de campagne restent à terminer.</x:v>
      </x:c>
    </x:row>
    <x:row r="1014" ht="96" customHeight="1">
      <x:c r="A1014" s="115" t="str">
        <x:v>EXT-MONDE-T021-V09</x:v>
      </x:c>
      <x:c r="B1014" s="115" t="str">
        <x:v>EXT-MONDE-T021</x:v>
      </x:c>
      <x:c r="C1014" s="115" t="str">
        <x:v>Fermes élevage</x:v>
      </x:c>
      <x:c r="D1014" s="115" t="str">
        <x:v>Ferme laitière</x:v>
      </x:c>
      <x:c r="E1014" s="115" t="n">
        <x:v>9</x:v>
      </x:c>
      <x:c r="F1014" s="115" t="str">
        <x:v>Inspection physique</x:v>
      </x:c>
      <x:c r="G1014" s="115" t="str">
        <x:v>1 niveaux ; 28 pièces ; 210 segments de mur ; 0 transitions. Inspection physique ; architecture complète encore ouverte.</x:v>
      </x:c>
      <x:c r="H1014" s="115" t="str">
        <x:v>L 260 ; l 224 ; hauteur 8,2 m ; choix de composition auteur ; dimensions réelles à documenter</x:v>
      </x:c>
      <x:c r="I1014" s="115" t="str">
        <x:v>À équilibrer</x:v>
      </x:c>
      <x:c r="J1014" s="115" t="str">
        <x:v>Non</x:v>
      </x:c>
      <x:c r="K1014" s="115" t="str">
        <x:v>Pièces décrites, murs, portes, niveaux et mobilier inspectables à l’échelle. Volumes réservés, raccord au seed, butin, rencontres et services de campagne restent à terminer.</x:v>
      </x:c>
    </x:row>
    <x:row r="1015" ht="96" customHeight="1">
      <x:c r="A1015" s="115" t="str">
        <x:v>EXT-MONDE-T021-V10</x:v>
      </x:c>
      <x:c r="B1015" s="115" t="str">
        <x:v>EXT-MONDE-T021</x:v>
      </x:c>
      <x:c r="C1015" s="115" t="str">
        <x:v>Fermes élevage</x:v>
      </x:c>
      <x:c r="D1015" s="115" t="str">
        <x:v>Ferme laitière</x:v>
      </x:c>
      <x:c r="E1015" s="115" t="n">
        <x:v>10</x:v>
      </x:c>
      <x:c r="F1015" s="115" t="str">
        <x:v>Inspection physique</x:v>
      </x:c>
      <x:c r="G1015" s="115" t="str">
        <x:v>1 niveaux ; 28 pièces ; 210 segments de mur ; 0 transitions. Inspection physique ; architecture complète encore ouverte.</x:v>
      </x:c>
      <x:c r="H1015" s="115" t="str">
        <x:v>L 260 ; l 224 ; hauteur 8,2 m ; choix de composition auteur ; dimensions réelles à documenter</x:v>
      </x:c>
      <x:c r="I1015" s="115" t="str">
        <x:v>À équilibrer</x:v>
      </x:c>
      <x:c r="J1015" s="115" t="str">
        <x:v>Non</x:v>
      </x:c>
      <x:c r="K1015" s="115" t="str">
        <x:v>Pièces décrites, murs, portes, niveaux et mobilier inspectables à l’échelle. Volumes réservés, raccord au seed, butin, rencontres et services de campagne restent à terminer.</x:v>
      </x:c>
    </x:row>
    <x:row r="1016" ht="96" customHeight="1">
      <x:c r="A1016" s="115" t="str">
        <x:v>EXT-MONDE-T021-V11</x:v>
      </x:c>
      <x:c r="B1016" s="115" t="str">
        <x:v>EXT-MONDE-T021</x:v>
      </x:c>
      <x:c r="C1016" s="115" t="str">
        <x:v>Fermes élevage</x:v>
      </x:c>
      <x:c r="D1016" s="115" t="str">
        <x:v>Ferme laitière</x:v>
      </x:c>
      <x:c r="E1016" s="115" t="n">
        <x:v>11</x:v>
      </x:c>
      <x:c r="F1016" s="115" t="str">
        <x:v>Inspection physique</x:v>
      </x:c>
      <x:c r="G1016" s="115" t="str">
        <x:v>1 niveaux ; 28 pièces ; 210 segments de mur ; 0 transitions. Inspection physique ; architecture complète encore ouverte.</x:v>
      </x:c>
      <x:c r="H1016" s="115" t="str">
        <x:v>L 280 ; l 248 ; hauteur 8,2 m ; choix de composition auteur ; dimensions réelles à documenter</x:v>
      </x:c>
      <x:c r="I1016" s="115" t="str">
        <x:v>À équilibrer</x:v>
      </x:c>
      <x:c r="J1016" s="115" t="str">
        <x:v>Non</x:v>
      </x:c>
      <x:c r="K1016" s="115" t="str">
        <x:v>Pièces décrites, murs, portes, niveaux et mobilier inspectables à l’échelle. Volumes réservés, raccord au seed, butin, rencontres et services de campagne restent à terminer.</x:v>
      </x:c>
    </x:row>
    <x:row r="1017" ht="96" customHeight="1">
      <x:c r="A1017" s="115" t="str">
        <x:v>EXT-MONDE-T021-V12</x:v>
      </x:c>
      <x:c r="B1017" s="115" t="str">
        <x:v>EXT-MONDE-T021</x:v>
      </x:c>
      <x:c r="C1017" s="115" t="str">
        <x:v>Fermes élevage</x:v>
      </x:c>
      <x:c r="D1017" s="115" t="str">
        <x:v>Ferme laitière</x:v>
      </x:c>
      <x:c r="E1017" s="115" t="n">
        <x:v>12</x:v>
      </x:c>
      <x:c r="F1017" s="115" t="str">
        <x:v>Inspection physique</x:v>
      </x:c>
      <x:c r="G1017" s="115" t="str">
        <x:v>1 niveaux ; 28 pièces ; 210 segments de mur ; 0 transitions. Inspection physique ; architecture complète encore ouverte.</x:v>
      </x:c>
      <x:c r="H1017" s="115" t="str">
        <x:v>L 280 ; l 248 ; hauteur 8,2 m ; choix de composition auteur ; dimensions réelles à documenter</x:v>
      </x:c>
      <x:c r="I1017" s="115" t="str">
        <x:v>À équilibrer</x:v>
      </x:c>
      <x:c r="J1017" s="115" t="str">
        <x:v>Non</x:v>
      </x:c>
      <x:c r="K1017" s="115" t="str">
        <x:v>Pièces décrites, murs, portes, niveaux et mobilier inspectables à l’échelle. Volumes réservés, raccord au seed, butin, rencontres et services de campagne restent à terminer.</x:v>
      </x:c>
    </x:row>
    <x:row r="1018" ht="96" customHeight="1">
      <x:c r="A1018" s="115" t="str">
        <x:v>EXT-MONDE-T021-V13</x:v>
      </x:c>
      <x:c r="B1018" s="115" t="str">
        <x:v>EXT-MONDE-T021</x:v>
      </x:c>
      <x:c r="C1018" s="115" t="str">
        <x:v>Fermes élevage</x:v>
      </x:c>
      <x:c r="D1018" s="115" t="str">
        <x:v>Ferme laitière</x:v>
      </x:c>
      <x:c r="E1018" s="115" t="n">
        <x:v>13</x:v>
      </x:c>
      <x:c r="F1018" s="115" t="str">
        <x:v>Inspection physique</x:v>
      </x:c>
      <x:c r="G1018" s="115" t="str">
        <x:v>1 niveaux ; 28 pièces ; 210 segments de mur ; 0 transitions. Inspection physique ; architecture complète encore ouverte.</x:v>
      </x:c>
      <x:c r="H1018" s="115" t="str">
        <x:v>L 280 ; l 248 ; hauteur 8,2 m ; choix de composition auteur ; dimensions réelles à documenter</x:v>
      </x:c>
      <x:c r="I1018" s="115" t="str">
        <x:v>À équilibrer</x:v>
      </x:c>
      <x:c r="J1018" s="115" t="str">
        <x:v>Non</x:v>
      </x:c>
      <x:c r="K1018" s="115" t="str">
        <x:v>Pièces décrites, murs, portes, niveaux et mobilier inspectables à l’échelle. Volumes réservés, raccord au seed, butin, rencontres et services de campagne restent à terminer.</x:v>
      </x:c>
    </x:row>
    <x:row r="1019" ht="96" customHeight="1">
      <x:c r="A1019" s="115" t="str">
        <x:v>EXT-MONDE-T021-V14</x:v>
      </x:c>
      <x:c r="B1019" s="115" t="str">
        <x:v>EXT-MONDE-T021</x:v>
      </x:c>
      <x:c r="C1019" s="115" t="str">
        <x:v>Fermes élevage</x:v>
      </x:c>
      <x:c r="D1019" s="115" t="str">
        <x:v>Ferme laitière</x:v>
      </x:c>
      <x:c r="E1019" s="115" t="n">
        <x:v>14</x:v>
      </x:c>
      <x:c r="F1019" s="115" t="str">
        <x:v>Inspection physique</x:v>
      </x:c>
      <x:c r="G1019" s="115" t="str">
        <x:v>1 niveaux ; 28 pièces ; 210 segments de mur ; 0 transitions. Inspection physique ; architecture complète encore ouverte.</x:v>
      </x:c>
      <x:c r="H1019" s="115" t="str">
        <x:v>L 280 ; l 248 ; hauteur 8,2 m ; choix de composition auteur ; dimensions réelles à documenter</x:v>
      </x:c>
      <x:c r="I1019" s="115" t="str">
        <x:v>À équilibrer</x:v>
      </x:c>
      <x:c r="J1019" s="115" t="str">
        <x:v>Non</x:v>
      </x:c>
      <x:c r="K1019" s="115" t="str">
        <x:v>Pièces décrites, murs, portes, niveaux et mobilier inspectables à l’échelle. Volumes réservés, raccord au seed, butin, rencontres et services de campagne restent à terminer.</x:v>
      </x:c>
    </x:row>
    <x:row r="1020" ht="96" customHeight="1">
      <x:c r="A1020" s="115" t="str">
        <x:v>EXT-MONDE-T021-V15</x:v>
      </x:c>
      <x:c r="B1020" s="115" t="str">
        <x:v>EXT-MONDE-T021</x:v>
      </x:c>
      <x:c r="C1020" s="115" t="str">
        <x:v>Fermes élevage</x:v>
      </x:c>
      <x:c r="D1020" s="115" t="str">
        <x:v>Ferme laitière</x:v>
      </x:c>
      <x:c r="E1020" s="115" t="n">
        <x:v>15</x:v>
      </x:c>
      <x:c r="F1020" s="115" t="str">
        <x:v>Inspection physique</x:v>
      </x:c>
      <x:c r="G1020" s="115" t="str">
        <x:v>1 niveaux ; 28 pièces ; 210 segments de mur ; 0 transitions. Inspection physique ; architecture complète encore ouverte.</x:v>
      </x:c>
      <x:c r="H1020" s="115" t="str">
        <x:v>L 280 ; l 248 ; hauteur 8,2 m ; choix de composition auteur ; dimensions réelles à documenter</x:v>
      </x:c>
      <x:c r="I1020" s="115" t="str">
        <x:v>À équilibrer</x:v>
      </x:c>
      <x:c r="J1020" s="115" t="str">
        <x:v>Non</x:v>
      </x:c>
      <x:c r="K1020" s="115" t="str">
        <x:v>Pièces décrites, murs, portes, niveaux et mobilier inspectables à l’échelle. Volumes réservés, raccord au seed, butin, rencontres et services de campagne restent à terminer.</x:v>
      </x:c>
    </x:row>
    <x:row r="1021" ht="96" customHeight="1">
      <x:c r="A1021" s="115" t="str">
        <x:v>EXT-MONDE-T021-V16</x:v>
      </x:c>
      <x:c r="B1021" s="115" t="str">
        <x:v>EXT-MONDE-T021</x:v>
      </x:c>
      <x:c r="C1021" s="115" t="str">
        <x:v>Fermes élevage</x:v>
      </x:c>
      <x:c r="D1021" s="115" t="str">
        <x:v>Ferme laitière</x:v>
      </x:c>
      <x:c r="E1021" s="115" t="n">
        <x:v>16</x:v>
      </x:c>
      <x:c r="F1021" s="115" t="str">
        <x:v>Inspection physique</x:v>
      </x:c>
      <x:c r="G1021" s="115" t="str">
        <x:v>1 niveaux ; 28 pièces ; 210 segments de mur ; 0 transitions. Inspection physique ; architecture complète encore ouverte.</x:v>
      </x:c>
      <x:c r="H1021" s="115" t="str">
        <x:v>L 280 ; l 248 ; hauteur 8,2 m ; choix de composition auteur ; dimensions réelles à documenter</x:v>
      </x:c>
      <x:c r="I1021" s="115" t="str">
        <x:v>À équilibrer</x:v>
      </x:c>
      <x:c r="J1021" s="115" t="str">
        <x:v>Non</x:v>
      </x:c>
      <x:c r="K1021" s="115" t="str">
        <x:v>Pièces décrites, murs, portes, niveaux et mobilier inspectables à l’échelle. Volumes réservés, raccord au seed, butin, rencontres et services de campagne restent à terminer.</x:v>
      </x:c>
    </x:row>
    <x:row r="1022" ht="96" customHeight="1">
      <x:c r="A1022" s="115" t="str">
        <x:v>EXT-MONDE-T021-V17</x:v>
      </x:c>
      <x:c r="B1022" s="115" t="str">
        <x:v>EXT-MONDE-T021</x:v>
      </x:c>
      <x:c r="C1022" s="115" t="str">
        <x:v>Fermes élevage</x:v>
      </x:c>
      <x:c r="D1022" s="115" t="str">
        <x:v>Ferme laitière</x:v>
      </x:c>
      <x:c r="E1022" s="115" t="n">
        <x:v>17</x:v>
      </x:c>
      <x:c r="F1022" s="115" t="str">
        <x:v>Inspection physique</x:v>
      </x:c>
      <x:c r="G1022" s="115" t="str">
        <x:v>1 niveaux ; 28 pièces ; 210 segments de mur ; 0 transitions. Inspection physique ; architecture complète encore ouverte.</x:v>
      </x:c>
      <x:c r="H1022" s="115" t="str">
        <x:v>L 280 ; l 248 ; hauteur 8,2 m ; choix de composition auteur ; dimensions réelles à documenter</x:v>
      </x:c>
      <x:c r="I1022" s="115" t="str">
        <x:v>À équilibrer</x:v>
      </x:c>
      <x:c r="J1022" s="115" t="str">
        <x:v>Non</x:v>
      </x:c>
      <x:c r="K1022" s="115" t="str">
        <x:v>Pièces décrites, murs, portes, niveaux et mobilier inspectables à l’échelle. Volumes réservés, raccord au seed, butin, rencontres et services de campagne restent à terminer.</x:v>
      </x:c>
    </x:row>
    <x:row r="1023" ht="96" customHeight="1">
      <x:c r="A1023" s="115" t="str">
        <x:v>EXT-MONDE-T021-V18</x:v>
      </x:c>
      <x:c r="B1023" s="115" t="str">
        <x:v>EXT-MONDE-T021</x:v>
      </x:c>
      <x:c r="C1023" s="115" t="str">
        <x:v>Fermes élevage</x:v>
      </x:c>
      <x:c r="D1023" s="115" t="str">
        <x:v>Ferme laitière</x:v>
      </x:c>
      <x:c r="E1023" s="115" t="n">
        <x:v>18</x:v>
      </x:c>
      <x:c r="F1023" s="115" t="str">
        <x:v>Inspection physique</x:v>
      </x:c>
      <x:c r="G1023" s="115" t="str">
        <x:v>1 niveaux ; 28 pièces ; 210 segments de mur ; 0 transitions. Inspection physique ; architecture complète encore ouverte.</x:v>
      </x:c>
      <x:c r="H1023" s="115" t="str">
        <x:v>L 280 ; l 248 ; hauteur 8,2 m ; choix de composition auteur ; dimensions réelles à documenter</x:v>
      </x:c>
      <x:c r="I1023" s="115" t="str">
        <x:v>À équilibrer</x:v>
      </x:c>
      <x:c r="J1023" s="115" t="str">
        <x:v>Non</x:v>
      </x:c>
      <x:c r="K1023" s="115" t="str">
        <x:v>Pièces décrites, murs, portes, niveaux et mobilier inspectables à l’échelle. Volumes réservés, raccord au seed, butin, rencontres et services de campagne restent à terminer.</x:v>
      </x:c>
    </x:row>
    <x:row r="1024" ht="96" customHeight="1">
      <x:c r="A1024" s="115" t="str">
        <x:v>EXT-MONDE-T021-V19</x:v>
      </x:c>
      <x:c r="B1024" s="115" t="str">
        <x:v>EXT-MONDE-T021</x:v>
      </x:c>
      <x:c r="C1024" s="115" t="str">
        <x:v>Fermes élevage</x:v>
      </x:c>
      <x:c r="D1024" s="115" t="str">
        <x:v>Ferme laitière</x:v>
      </x:c>
      <x:c r="E1024" s="115" t="n">
        <x:v>19</x:v>
      </x:c>
      <x:c r="F1024" s="115" t="str">
        <x:v>Inspection physique</x:v>
      </x:c>
      <x:c r="G1024" s="115" t="str">
        <x:v>1 niveaux ; 28 pièces ; 210 segments de mur ; 0 transitions. Inspection physique ; architecture complète encore ouverte.</x:v>
      </x:c>
      <x:c r="H1024" s="115" t="str">
        <x:v>L 280 ; l 248 ; hauteur 8,2 m ; choix de composition auteur ; dimensions réelles à documenter</x:v>
      </x:c>
      <x:c r="I1024" s="115" t="str">
        <x:v>À équilibrer</x:v>
      </x:c>
      <x:c r="J1024" s="115" t="str">
        <x:v>Non</x:v>
      </x:c>
      <x:c r="K1024" s="115" t="str">
        <x:v>Pièces décrites, murs, portes, niveaux et mobilier inspectables à l’échelle. Volumes réservés, raccord au seed, butin, rencontres et services de campagne restent à terminer.</x:v>
      </x:c>
    </x:row>
    <x:row r="1025" ht="96" customHeight="1">
      <x:c r="A1025" s="115" t="str">
        <x:v>EXT-MONDE-T021-V20</x:v>
      </x:c>
      <x:c r="B1025" s="115" t="str">
        <x:v>EXT-MONDE-T021</x:v>
      </x:c>
      <x:c r="C1025" s="115" t="str">
        <x:v>Fermes élevage</x:v>
      </x:c>
      <x:c r="D1025" s="115" t="str">
        <x:v>Ferme laitière</x:v>
      </x:c>
      <x:c r="E1025" s="115" t="n">
        <x:v>20</x:v>
      </x:c>
      <x:c r="F1025" s="115" t="str">
        <x:v>Inspection physique</x:v>
      </x:c>
      <x:c r="G1025" s="115" t="str">
        <x:v>1 niveaux ; 28 pièces ; 210 segments de mur ; 0 transitions. Inspection physique ; architecture complète encore ouverte.</x:v>
      </x:c>
      <x:c r="H1025" s="115" t="str">
        <x:v>L 280 ; l 248 ; hauteur 8,2 m ; choix de composition auteur ; dimensions réelles à documenter</x:v>
      </x:c>
      <x:c r="I1025" s="115" t="str">
        <x:v>À équilibrer</x:v>
      </x:c>
      <x:c r="J1025" s="115" t="str">
        <x:v>Non</x:v>
      </x:c>
      <x:c r="K1025" s="115" t="str">
        <x:v>Pièces décrites, murs, portes, niveaux et mobilier inspectables à l’échelle. Volumes réservés, raccord au seed, butin, rencontres et services de campagne restent à terminer.</x:v>
      </x:c>
    </x:row>
    <x:row r="1026" ht="96" customHeight="1">
      <x:c r="A1026" s="115" t="str">
        <x:v>EXT-MONDE-T021-V21</x:v>
      </x:c>
      <x:c r="B1026" s="115" t="str">
        <x:v>EXT-MONDE-T021</x:v>
      </x:c>
      <x:c r="C1026" s="115" t="str">
        <x:v>Fermes élevage</x:v>
      </x:c>
      <x:c r="D1026" s="115" t="str">
        <x:v>Ferme laitière</x:v>
      </x:c>
      <x:c r="E1026" s="115" t="n">
        <x:v>21</x:v>
      </x:c>
      <x:c r="F1026" s="115" t="str">
        <x:v>Inspection physique</x:v>
      </x:c>
      <x:c r="G1026" s="115" t="str">
        <x:v>1 niveaux ; 28 pièces ; 210 segments de mur ; 0 transitions. Inspection physique ; architecture complète encore ouverte.</x:v>
      </x:c>
      <x:c r="H1026" s="115" t="str">
        <x:v>L 300 ; l 272 ; hauteur 8,2 m ; choix de composition auteur ; dimensions réelles à documenter</x:v>
      </x:c>
      <x:c r="I1026" s="115" t="str">
        <x:v>À équilibrer</x:v>
      </x:c>
      <x:c r="J1026" s="115" t="str">
        <x:v>Non</x:v>
      </x:c>
      <x:c r="K1026" s="115" t="str">
        <x:v>Pièces décrites, murs, portes, niveaux et mobilier inspectables à l’échelle. Volumes réservés, raccord au seed, butin, rencontres et services de campagne restent à terminer.</x:v>
      </x:c>
    </x:row>
    <x:row r="1027" ht="96" customHeight="1">
      <x:c r="A1027" s="115" t="str">
        <x:v>EXT-MONDE-T021-V22</x:v>
      </x:c>
      <x:c r="B1027" s="115" t="str">
        <x:v>EXT-MONDE-T021</x:v>
      </x:c>
      <x:c r="C1027" s="115" t="str">
        <x:v>Fermes élevage</x:v>
      </x:c>
      <x:c r="D1027" s="115" t="str">
        <x:v>Ferme laitière</x:v>
      </x:c>
      <x:c r="E1027" s="115" t="n">
        <x:v>22</x:v>
      </x:c>
      <x:c r="F1027" s="115" t="str">
        <x:v>Inspection physique</x:v>
      </x:c>
      <x:c r="G1027" s="115" t="str">
        <x:v>1 niveaux ; 28 pièces ; 210 segments de mur ; 0 transitions. Inspection physique ; architecture complète encore ouverte.</x:v>
      </x:c>
      <x:c r="H1027" s="115" t="str">
        <x:v>L 300 ; l 272 ; hauteur 8,2 m ; choix de composition auteur ; dimensions réelles à documenter</x:v>
      </x:c>
      <x:c r="I1027" s="115" t="str">
        <x:v>À équilibrer</x:v>
      </x:c>
      <x:c r="J1027" s="115" t="str">
        <x:v>Non</x:v>
      </x:c>
      <x:c r="K1027" s="115" t="str">
        <x:v>Pièces décrites, murs, portes, niveaux et mobilier inspectables à l’échelle. Volumes réservés, raccord au seed, butin, rencontres et services de campagne restent à terminer.</x:v>
      </x:c>
    </x:row>
    <x:row r="1028" ht="96" customHeight="1">
      <x:c r="A1028" s="115" t="str">
        <x:v>EXT-MONDE-T021-V23</x:v>
      </x:c>
      <x:c r="B1028" s="115" t="str">
        <x:v>EXT-MONDE-T021</x:v>
      </x:c>
      <x:c r="C1028" s="115" t="str">
        <x:v>Fermes élevage</x:v>
      </x:c>
      <x:c r="D1028" s="115" t="str">
        <x:v>Ferme laitière</x:v>
      </x:c>
      <x:c r="E1028" s="115" t="n">
        <x:v>23</x:v>
      </x:c>
      <x:c r="F1028" s="115" t="str">
        <x:v>Inspection physique</x:v>
      </x:c>
      <x:c r="G1028" s="115" t="str">
        <x:v>1 niveaux ; 28 pièces ; 210 segments de mur ; 0 transitions. Inspection physique ; architecture complète encore ouverte.</x:v>
      </x:c>
      <x:c r="H1028" s="115" t="str">
        <x:v>L 300 ; l 272 ; hauteur 8,2 m ; choix de composition auteur ; dimensions réelles à documenter</x:v>
      </x:c>
      <x:c r="I1028" s="115" t="str">
        <x:v>À équilibrer</x:v>
      </x:c>
      <x:c r="J1028" s="115" t="str">
        <x:v>Non</x:v>
      </x:c>
      <x:c r="K1028" s="115" t="str">
        <x:v>Pièces décrites, murs, portes, niveaux et mobilier inspectables à l’échelle. Volumes réservés, raccord au seed, butin, rencontres et services de campagne restent à terminer.</x:v>
      </x:c>
    </x:row>
    <x:row r="1029" ht="96" customHeight="1">
      <x:c r="A1029" s="115" t="str">
        <x:v>EXT-MONDE-T021-V24</x:v>
      </x:c>
      <x:c r="B1029" s="115" t="str">
        <x:v>EXT-MONDE-T021</x:v>
      </x:c>
      <x:c r="C1029" s="115" t="str">
        <x:v>Fermes élevage</x:v>
      </x:c>
      <x:c r="D1029" s="115" t="str">
        <x:v>Ferme laitière</x:v>
      </x:c>
      <x:c r="E1029" s="115" t="n">
        <x:v>24</x:v>
      </x:c>
      <x:c r="F1029" s="115" t="str">
        <x:v>Inspection physique</x:v>
      </x:c>
      <x:c r="G1029" s="115" t="str">
        <x:v>1 niveaux ; 28 pièces ; 210 segments de mur ; 0 transitions. Inspection physique ; architecture complète encore ouverte.</x:v>
      </x:c>
      <x:c r="H1029" s="115" t="str">
        <x:v>L 300 ; l 272 ; hauteur 8,2 m ; choix de composition auteur ; dimensions réelles à documenter</x:v>
      </x:c>
      <x:c r="I1029" s="115" t="str">
        <x:v>À équilibrer</x:v>
      </x:c>
      <x:c r="J1029" s="115" t="str">
        <x:v>Non</x:v>
      </x:c>
      <x:c r="K1029" s="115" t="str">
        <x:v>Pièces décrites, murs, portes, niveaux et mobilier inspectables à l’échelle. Volumes réservés, raccord au seed, butin, rencontres et services de campagne restent à terminer.</x:v>
      </x:c>
    </x:row>
    <x:row r="1030" ht="96" customHeight="1">
      <x:c r="A1030" s="115" t="str">
        <x:v>EXT-MONDE-T021-V25</x:v>
      </x:c>
      <x:c r="B1030" s="115" t="str">
        <x:v>EXT-MONDE-T021</x:v>
      </x:c>
      <x:c r="C1030" s="115" t="str">
        <x:v>Fermes élevage</x:v>
      </x:c>
      <x:c r="D1030" s="115" t="str">
        <x:v>Ferme laitière</x:v>
      </x:c>
      <x:c r="E1030" s="115" t="n">
        <x:v>25</x:v>
      </x:c>
      <x:c r="F1030" s="115" t="str">
        <x:v>Inspection physique</x:v>
      </x:c>
      <x:c r="G1030" s="115" t="str">
        <x:v>1 niveaux ; 28 pièces ; 210 segments de mur ; 0 transitions. Inspection physique ; architecture complète encore ouverte.</x:v>
      </x:c>
      <x:c r="H1030" s="115" t="str">
        <x:v>L 300 ; l 272 ; hauteur 8,2 m ; choix de composition auteur ; dimensions réelles à documenter</x:v>
      </x:c>
      <x:c r="I1030" s="115" t="str">
        <x:v>À équilibrer</x:v>
      </x:c>
      <x:c r="J1030" s="115" t="str">
        <x:v>Non</x:v>
      </x:c>
      <x:c r="K1030" s="115" t="str">
        <x:v>Pièces décrites, murs, portes, niveaux et mobilier inspectables à l’échelle. Volumes réservés, raccord au seed, butin, rencontres et services de campagne restent à terminer.</x:v>
      </x:c>
    </x:row>
    <x:row r="1031" ht="96" customHeight="1">
      <x:c r="A1031" s="115" t="str">
        <x:v>EXT-MONDE-T021-V26</x:v>
      </x:c>
      <x:c r="B1031" s="115" t="str">
        <x:v>EXT-MONDE-T021</x:v>
      </x:c>
      <x:c r="C1031" s="115" t="str">
        <x:v>Fermes élevage</x:v>
      </x:c>
      <x:c r="D1031" s="115" t="str">
        <x:v>Ferme laitière</x:v>
      </x:c>
      <x:c r="E1031" s="115" t="n">
        <x:v>26</x:v>
      </x:c>
      <x:c r="F1031" s="115" t="str">
        <x:v>Inspection physique</x:v>
      </x:c>
      <x:c r="G1031" s="115" t="str">
        <x:v>1 niveaux ; 28 pièces ; 210 segments de mur ; 0 transitions. Inspection physique ; architecture complète encore ouverte.</x:v>
      </x:c>
      <x:c r="H1031" s="115" t="str">
        <x:v>L 300 ; l 272 ; hauteur 8,2 m ; choix de composition auteur ; dimensions réelles à documenter</x:v>
      </x:c>
      <x:c r="I1031" s="115" t="str">
        <x:v>À équilibrer</x:v>
      </x:c>
      <x:c r="J1031" s="115" t="str">
        <x:v>Non</x:v>
      </x:c>
      <x:c r="K1031" s="115" t="str">
        <x:v>Pièces décrites, murs, portes, niveaux et mobilier inspectables à l’échelle. Volumes réservés, raccord au seed, butin, rencontres et services de campagne restent à terminer.</x:v>
      </x:c>
    </x:row>
    <x:row r="1032" ht="96" customHeight="1">
      <x:c r="A1032" s="115" t="str">
        <x:v>EXT-MONDE-T021-V27</x:v>
      </x:c>
      <x:c r="B1032" s="115" t="str">
        <x:v>EXT-MONDE-T021</x:v>
      </x:c>
      <x:c r="C1032" s="115" t="str">
        <x:v>Fermes élevage</x:v>
      </x:c>
      <x:c r="D1032" s="115" t="str">
        <x:v>Ferme laitière</x:v>
      </x:c>
      <x:c r="E1032" s="115" t="n">
        <x:v>27</x:v>
      </x:c>
      <x:c r="F1032" s="115" t="str">
        <x:v>Inspection physique</x:v>
      </x:c>
      <x:c r="G1032" s="115" t="str">
        <x:v>1 niveaux ; 28 pièces ; 210 segments de mur ; 0 transitions. Inspection physique ; architecture complète encore ouverte.</x:v>
      </x:c>
      <x:c r="H1032" s="115" t="str">
        <x:v>L 300 ; l 272 ; hauteur 8,2 m ; choix de composition auteur ; dimensions réelles à documenter</x:v>
      </x:c>
      <x:c r="I1032" s="115" t="str">
        <x:v>À équilibrer</x:v>
      </x:c>
      <x:c r="J1032" s="115" t="str">
        <x:v>Non</x:v>
      </x:c>
      <x:c r="K1032" s="115" t="str">
        <x:v>Pièces décrites, murs, portes, niveaux et mobilier inspectables à l’échelle. Volumes réservés, raccord au seed, butin, rencontres et services de campagne restent à terminer.</x:v>
      </x:c>
    </x:row>
    <x:row r="1033" ht="96" customHeight="1">
      <x:c r="A1033" s="115" t="str">
        <x:v>EXT-MONDE-T021-V28</x:v>
      </x:c>
      <x:c r="B1033" s="115" t="str">
        <x:v>EXT-MONDE-T021</x:v>
      </x:c>
      <x:c r="C1033" s="115" t="str">
        <x:v>Fermes élevage</x:v>
      </x:c>
      <x:c r="D1033" s="115" t="str">
        <x:v>Ferme laitière</x:v>
      </x:c>
      <x:c r="E1033" s="115" t="n">
        <x:v>28</x:v>
      </x:c>
      <x:c r="F1033" s="115" t="str">
        <x:v>Inspection physique</x:v>
      </x:c>
      <x:c r="G1033" s="115" t="str">
        <x:v>1 niveaux ; 28 pièces ; 210 segments de mur ; 0 transitions. Inspection physique ; architecture complète encore ouverte.</x:v>
      </x:c>
      <x:c r="H1033" s="115" t="str">
        <x:v>L 300 ; l 272 ; hauteur 8,2 m ; choix de composition auteur ; dimensions réelles à documenter</x:v>
      </x:c>
      <x:c r="I1033" s="115" t="str">
        <x:v>À équilibrer</x:v>
      </x:c>
      <x:c r="J1033" s="115" t="str">
        <x:v>Non</x:v>
      </x:c>
      <x:c r="K1033" s="115" t="str">
        <x:v>Pièces décrites, murs, portes, niveaux et mobilier inspectables à l’échelle. Volumes réservés, raccord au seed, butin, rencontres et services de campagne restent à terminer.</x:v>
      </x:c>
    </x:row>
    <x:row r="1034" ht="96" customHeight="1">
      <x:c r="A1034" s="115" t="str">
        <x:v>EXT-MONDE-T021-V29</x:v>
      </x:c>
      <x:c r="B1034" s="115" t="str">
        <x:v>EXT-MONDE-T021</x:v>
      </x:c>
      <x:c r="C1034" s="115" t="str">
        <x:v>Fermes élevage</x:v>
      </x:c>
      <x:c r="D1034" s="115" t="str">
        <x:v>Ferme laitière</x:v>
      </x:c>
      <x:c r="E1034" s="115" t="n">
        <x:v>29</x:v>
      </x:c>
      <x:c r="F1034" s="115" t="str">
        <x:v>Inspection physique</x:v>
      </x:c>
      <x:c r="G1034" s="115" t="str">
        <x:v>1 niveaux ; 28 pièces ; 210 segments de mur ; 0 transitions. Inspection physique ; architecture complète encore ouverte.</x:v>
      </x:c>
      <x:c r="H1034" s="115" t="str">
        <x:v>L 300 ; l 272 ; hauteur 8,2 m ; choix de composition auteur ; dimensions réelles à documenter</x:v>
      </x:c>
      <x:c r="I1034" s="115" t="str">
        <x:v>À équilibrer</x:v>
      </x:c>
      <x:c r="J1034" s="115" t="str">
        <x:v>Non</x:v>
      </x:c>
      <x:c r="K1034" s="115" t="str">
        <x:v>Pièces décrites, murs, portes, niveaux et mobilier inspectables à l’échelle. Volumes réservés, raccord au seed, butin, rencontres et services de campagne restent à terminer.</x:v>
      </x:c>
    </x:row>
    <x:row r="1035" ht="96" customHeight="1">
      <x:c r="A1035" s="115" t="str">
        <x:v>EXT-MONDE-T021-V30</x:v>
      </x:c>
      <x:c r="B1035" s="115" t="str">
        <x:v>EXT-MONDE-T021</x:v>
      </x:c>
      <x:c r="C1035" s="115" t="str">
        <x:v>Fermes élevage</x:v>
      </x:c>
      <x:c r="D1035" s="115" t="str">
        <x:v>Ferme laitière</x:v>
      </x:c>
      <x:c r="E1035" s="115" t="n">
        <x:v>30</x:v>
      </x:c>
      <x:c r="F1035" s="115" t="str">
        <x:v>Inspection physique</x:v>
      </x:c>
      <x:c r="G1035" s="115" t="str">
        <x:v>1 niveaux ; 28 pièces ; 210 segments de mur ; 0 transitions. Inspection physique ; architecture complète encore ouverte.</x:v>
      </x:c>
      <x:c r="H1035" s="115" t="str">
        <x:v>L 300 ; l 272 ; hauteur 8,2 m ; choix de composition auteur ; dimensions réelles à documenter</x:v>
      </x:c>
      <x:c r="I1035" s="115" t="str">
        <x:v>À équilibrer</x:v>
      </x:c>
      <x:c r="J1035" s="115" t="str">
        <x:v>Non</x:v>
      </x:c>
      <x:c r="K1035" s="115" t="str">
        <x:v>Pièces décrites, murs, portes, niveaux et mobilier inspectables à l’échelle. Volumes réservés, raccord au seed, butin, rencontres et services de campagne restent à terminer.</x:v>
      </x:c>
    </x:row>
    <x:row r="1036" ht="96" customHeight="1">
      <x:c r="A1036" s="115" t="str">
        <x:v>EXT-MONDE-T021-V31</x:v>
      </x:c>
      <x:c r="B1036" s="115" t="str">
        <x:v>EXT-MONDE-T021</x:v>
      </x:c>
      <x:c r="C1036" s="115" t="str">
        <x:v>Fermes élevage</x:v>
      </x:c>
      <x:c r="D1036" s="115" t="str">
        <x:v>Ferme laitière</x:v>
      </x:c>
      <x:c r="E1036" s="115" t="n">
        <x:v>31</x:v>
      </x:c>
      <x:c r="F1036" s="115" t="str">
        <x:v>Inspection physique</x:v>
      </x:c>
      <x:c r="G1036" s="115" t="str">
        <x:v>1 niveaux ; 28 pièces ; 210 segments de mur ; 0 transitions. Inspection physique ; architecture complète encore ouverte.</x:v>
      </x:c>
      <x:c r="H1036" s="115" t="str">
        <x:v>L 320 ; l 296 ; hauteur 8,2 m ; choix de composition auteur ; dimensions réelles à documenter</x:v>
      </x:c>
      <x:c r="I1036" s="115" t="str">
        <x:v>À équilibrer</x:v>
      </x:c>
      <x:c r="J1036" s="115" t="str">
        <x:v>Non</x:v>
      </x:c>
      <x:c r="K1036" s="115" t="str">
        <x:v>Pièces décrites, murs, portes, niveaux et mobilier inspectables à l’échelle. Volumes réservés, raccord au seed, butin, rencontres et services de campagne restent à terminer.</x:v>
      </x:c>
    </x:row>
    <x:row r="1037" ht="96" customHeight="1">
      <x:c r="A1037" s="115" t="str">
        <x:v>EXT-MONDE-T021-V32</x:v>
      </x:c>
      <x:c r="B1037" s="115" t="str">
        <x:v>EXT-MONDE-T021</x:v>
      </x:c>
      <x:c r="C1037" s="115" t="str">
        <x:v>Fermes élevage</x:v>
      </x:c>
      <x:c r="D1037" s="115" t="str">
        <x:v>Ferme laitière</x:v>
      </x:c>
      <x:c r="E1037" s="115" t="n">
        <x:v>32</x:v>
      </x:c>
      <x:c r="F1037" s="115" t="str">
        <x:v>Inspection physique</x:v>
      </x:c>
      <x:c r="G1037" s="115" t="str">
        <x:v>1 niveaux ; 28 pièces ; 210 segments de mur ; 0 transitions. Inspection physique ; architecture complète encore ouverte.</x:v>
      </x:c>
      <x:c r="H1037" s="115" t="str">
        <x:v>L 320 ; l 296 ; hauteur 8,2 m ; choix de composition auteur ; dimensions réelles à documenter</x:v>
      </x:c>
      <x:c r="I1037" s="115" t="str">
        <x:v>À équilibrer</x:v>
      </x:c>
      <x:c r="J1037" s="115" t="str">
        <x:v>Non</x:v>
      </x:c>
      <x:c r="K1037" s="115" t="str">
        <x:v>Pièces décrites, murs, portes, niveaux et mobilier inspectables à l’échelle. Volumes réservés, raccord au seed, butin, rencontres et services de campagne restent à terminer.</x:v>
      </x:c>
    </x:row>
    <x:row r="1038" ht="96" customHeight="1">
      <x:c r="A1038" s="115" t="str">
        <x:v>EXT-MONDE-T021-V33</x:v>
      </x:c>
      <x:c r="B1038" s="115" t="str">
        <x:v>EXT-MONDE-T021</x:v>
      </x:c>
      <x:c r="C1038" s="115" t="str">
        <x:v>Fermes élevage</x:v>
      </x:c>
      <x:c r="D1038" s="115" t="str">
        <x:v>Ferme laitière</x:v>
      </x:c>
      <x:c r="E1038" s="115" t="n">
        <x:v>33</x:v>
      </x:c>
      <x:c r="F1038" s="115" t="str">
        <x:v>Inspection physique</x:v>
      </x:c>
      <x:c r="G1038" s="115" t="str">
        <x:v>1 niveaux ; 28 pièces ; 210 segments de mur ; 0 transitions. Inspection physique ; architecture complète encore ouverte.</x:v>
      </x:c>
      <x:c r="H1038" s="115" t="str">
        <x:v>L 320 ; l 296 ; hauteur 8,2 m ; choix de composition auteur ; dimensions réelles à documenter</x:v>
      </x:c>
      <x:c r="I1038" s="115" t="str">
        <x:v>À équilibrer</x:v>
      </x:c>
      <x:c r="J1038" s="115" t="str">
        <x:v>Non</x:v>
      </x:c>
      <x:c r="K1038" s="115" t="str">
        <x:v>Pièces décrites, murs, portes, niveaux et mobilier inspectables à l’échelle. Volumes réservés, raccord au seed, butin, rencontres et services de campagne restent à terminer.</x:v>
      </x:c>
    </x:row>
    <x:row r="1039" ht="96" customHeight="1">
      <x:c r="A1039" s="115" t="str">
        <x:v>EXT-MONDE-T021-V34</x:v>
      </x:c>
      <x:c r="B1039" s="115" t="str">
        <x:v>EXT-MONDE-T021</x:v>
      </x:c>
      <x:c r="C1039" s="115" t="str">
        <x:v>Fermes élevage</x:v>
      </x:c>
      <x:c r="D1039" s="115" t="str">
        <x:v>Ferme laitière</x:v>
      </x:c>
      <x:c r="E1039" s="115" t="n">
        <x:v>34</x:v>
      </x:c>
      <x:c r="F1039" s="115" t="str">
        <x:v>Inspection physique</x:v>
      </x:c>
      <x:c r="G1039" s="115" t="str">
        <x:v>1 niveaux ; 28 pièces ; 210 segments de mur ; 0 transitions. Inspection physique ; architecture complète encore ouverte.</x:v>
      </x:c>
      <x:c r="H1039" s="115" t="str">
        <x:v>L 320 ; l 296 ; hauteur 8,2 m ; choix de composition auteur ; dimensions réelles à documenter</x:v>
      </x:c>
      <x:c r="I1039" s="115" t="str">
        <x:v>À équilibrer</x:v>
      </x:c>
      <x:c r="J1039" s="115" t="str">
        <x:v>Non</x:v>
      </x:c>
      <x:c r="K1039" s="115" t="str">
        <x:v>Pièces décrites, murs, portes, niveaux et mobilier inspectables à l’échelle. Volumes réservés, raccord au seed, butin, rencontres et services de campagne restent à terminer.</x:v>
      </x:c>
    </x:row>
    <x:row r="1040" ht="96" customHeight="1">
      <x:c r="A1040" s="115" t="str">
        <x:v>EXT-MONDE-T021-V35</x:v>
      </x:c>
      <x:c r="B1040" s="115" t="str">
        <x:v>EXT-MONDE-T021</x:v>
      </x:c>
      <x:c r="C1040" s="115" t="str">
        <x:v>Fermes élevage</x:v>
      </x:c>
      <x:c r="D1040" s="115" t="str">
        <x:v>Ferme laitière</x:v>
      </x:c>
      <x:c r="E1040" s="115" t="n">
        <x:v>35</x:v>
      </x:c>
      <x:c r="F1040" s="115" t="str">
        <x:v>Inspection physique</x:v>
      </x:c>
      <x:c r="G1040" s="115" t="str">
        <x:v>1 niveaux ; 28 pièces ; 210 segments de mur ; 0 transitions. Inspection physique ; architecture complète encore ouverte.</x:v>
      </x:c>
      <x:c r="H1040" s="115" t="str">
        <x:v>L 320 ; l 296 ; hauteur 8,2 m ; choix de composition auteur ; dimensions réelles à documenter</x:v>
      </x:c>
      <x:c r="I1040" s="115" t="str">
        <x:v>À équilibrer</x:v>
      </x:c>
      <x:c r="J1040" s="115" t="str">
        <x:v>Non</x:v>
      </x:c>
      <x:c r="K1040" s="115" t="str">
        <x:v>Pièces décrites, murs, portes, niveaux et mobilier inspectables à l’échelle. Volumes réservés, raccord au seed, butin, rencontres et services de campagne restent à terminer.</x:v>
      </x:c>
    </x:row>
    <x:row r="1041" ht="96" customHeight="1">
      <x:c r="A1041" s="115" t="str">
        <x:v>EXT-MONDE-T021-V36</x:v>
      </x:c>
      <x:c r="B1041" s="115" t="str">
        <x:v>EXT-MONDE-T021</x:v>
      </x:c>
      <x:c r="C1041" s="115" t="str">
        <x:v>Fermes élevage</x:v>
      </x:c>
      <x:c r="D1041" s="115" t="str">
        <x:v>Ferme laitière</x:v>
      </x:c>
      <x:c r="E1041" s="115" t="n">
        <x:v>36</x:v>
      </x:c>
      <x:c r="F1041" s="115" t="str">
        <x:v>Inspection physique</x:v>
      </x:c>
      <x:c r="G1041" s="115" t="str">
        <x:v>1 niveaux ; 28 pièces ; 210 segments de mur ; 0 transitions. Inspection physique ; architecture complète encore ouverte.</x:v>
      </x:c>
      <x:c r="H1041" s="115" t="str">
        <x:v>L 320 ; l 296 ; hauteur 8,2 m ; choix de composition auteur ; dimensions réelles à documenter</x:v>
      </x:c>
      <x:c r="I1041" s="115" t="str">
        <x:v>À équilibrer</x:v>
      </x:c>
      <x:c r="J1041" s="115" t="str">
        <x:v>Non</x:v>
      </x:c>
      <x:c r="K1041" s="115" t="str">
        <x:v>Pièces décrites, murs, portes, niveaux et mobilier inspectables à l’échelle. Volumes réservés, raccord au seed, butin, rencontres et services de campagne restent à terminer.</x:v>
      </x:c>
    </x:row>
    <x:row r="1042" ht="96" customHeight="1">
      <x:c r="A1042" s="115" t="str">
        <x:v>EXT-MONDE-T021-V37</x:v>
      </x:c>
      <x:c r="B1042" s="115" t="str">
        <x:v>EXT-MONDE-T021</x:v>
      </x:c>
      <x:c r="C1042" s="115" t="str">
        <x:v>Fermes élevage</x:v>
      </x:c>
      <x:c r="D1042" s="115" t="str">
        <x:v>Ferme laitière</x:v>
      </x:c>
      <x:c r="E1042" s="115" t="n">
        <x:v>37</x:v>
      </x:c>
      <x:c r="F1042" s="115" t="str">
        <x:v>Inspection physique</x:v>
      </x:c>
      <x:c r="G1042" s="115" t="str">
        <x:v>1 niveaux ; 28 pièces ; 210 segments de mur ; 0 transitions. Inspection physique ; architecture complète encore ouverte.</x:v>
      </x:c>
      <x:c r="H1042" s="115" t="str">
        <x:v>L 320 ; l 296 ; hauteur 8,2 m ; choix de composition auteur ; dimensions réelles à documenter</x:v>
      </x:c>
      <x:c r="I1042" s="115" t="str">
        <x:v>À équilibrer</x:v>
      </x:c>
      <x:c r="J1042" s="115" t="str">
        <x:v>Non</x:v>
      </x:c>
      <x:c r="K1042" s="115" t="str">
        <x:v>Pièces décrites, murs, portes, niveaux et mobilier inspectables à l’échelle. Volumes réservés, raccord au seed, butin, rencontres et services de campagne restent à terminer.</x:v>
      </x:c>
    </x:row>
    <x:row r="1043" ht="96" customHeight="1">
      <x:c r="A1043" s="115" t="str">
        <x:v>EXT-MONDE-T021-V38</x:v>
      </x:c>
      <x:c r="B1043" s="115" t="str">
        <x:v>EXT-MONDE-T021</x:v>
      </x:c>
      <x:c r="C1043" s="115" t="str">
        <x:v>Fermes élevage</x:v>
      </x:c>
      <x:c r="D1043" s="115" t="str">
        <x:v>Ferme laitière</x:v>
      </x:c>
      <x:c r="E1043" s="115" t="n">
        <x:v>38</x:v>
      </x:c>
      <x:c r="F1043" s="115" t="str">
        <x:v>Inspection physique</x:v>
      </x:c>
      <x:c r="G1043" s="115" t="str">
        <x:v>1 niveaux ; 28 pièces ; 210 segments de mur ; 0 transitions. Inspection physique ; architecture complète encore ouverte.</x:v>
      </x:c>
      <x:c r="H1043" s="115" t="str">
        <x:v>L 320 ; l 296 ; hauteur 8,2 m ; choix de composition auteur ; dimensions réelles à documenter</x:v>
      </x:c>
      <x:c r="I1043" s="115" t="str">
        <x:v>À équilibrer</x:v>
      </x:c>
      <x:c r="J1043" s="115" t="str">
        <x:v>Non</x:v>
      </x:c>
      <x:c r="K1043" s="115" t="str">
        <x:v>Pièces décrites, murs, portes, niveaux et mobilier inspectables à l’échelle. Volumes réservés, raccord au seed, butin, rencontres et services de campagne restent à terminer.</x:v>
      </x:c>
    </x:row>
    <x:row r="1044" ht="96" customHeight="1">
      <x:c r="A1044" s="115" t="str">
        <x:v>EXT-MONDE-T021-V39</x:v>
      </x:c>
      <x:c r="B1044" s="115" t="str">
        <x:v>EXT-MONDE-T021</x:v>
      </x:c>
      <x:c r="C1044" s="115" t="str">
        <x:v>Fermes élevage</x:v>
      </x:c>
      <x:c r="D1044" s="115" t="str">
        <x:v>Ferme laitière</x:v>
      </x:c>
      <x:c r="E1044" s="115" t="n">
        <x:v>39</x:v>
      </x:c>
      <x:c r="F1044" s="115" t="str">
        <x:v>Inspection physique</x:v>
      </x:c>
      <x:c r="G1044" s="115" t="str">
        <x:v>1 niveaux ; 28 pièces ; 210 segments de mur ; 0 transitions. Inspection physique ; architecture complète encore ouverte.</x:v>
      </x:c>
      <x:c r="H1044" s="115" t="str">
        <x:v>L 320 ; l 296 ; hauteur 8,2 m ; choix de composition auteur ; dimensions réelles à documenter</x:v>
      </x:c>
      <x:c r="I1044" s="115" t="str">
        <x:v>À équilibrer</x:v>
      </x:c>
      <x:c r="J1044" s="115" t="str">
        <x:v>Non</x:v>
      </x:c>
      <x:c r="K1044" s="115" t="str">
        <x:v>Pièces décrites, murs, portes, niveaux et mobilier inspectables à l’échelle. Volumes réservés, raccord au seed, butin, rencontres et services de campagne restent à terminer.</x:v>
      </x:c>
    </x:row>
    <x:row r="1045" ht="96" customHeight="1">
      <x:c r="A1045" s="115" t="str">
        <x:v>EXT-MONDE-T021-V40</x:v>
      </x:c>
      <x:c r="B1045" s="115" t="str">
        <x:v>EXT-MONDE-T021</x:v>
      </x:c>
      <x:c r="C1045" s="115" t="str">
        <x:v>Fermes élevage</x:v>
      </x:c>
      <x:c r="D1045" s="115" t="str">
        <x:v>Ferme laitière</x:v>
      </x:c>
      <x:c r="E1045" s="115" t="n">
        <x:v>40</x:v>
      </x:c>
      <x:c r="F1045" s="115" t="str">
        <x:v>Inspection physique</x:v>
      </x:c>
      <x:c r="G1045" s="115" t="str">
        <x:v>1 niveaux ; 28 pièces ; 210 segments de mur ; 0 transitions. Inspection physique ; architecture complète encore ouverte.</x:v>
      </x:c>
      <x:c r="H1045" s="115" t="str">
        <x:v>L 320 ; l 296 ; hauteur 8,2 m ; choix de composition auteur ; dimensions réelles à documenter</x:v>
      </x:c>
      <x:c r="I1045" s="115" t="str">
        <x:v>À équilibrer</x:v>
      </x:c>
      <x:c r="J1045" s="115" t="str">
        <x:v>Non</x:v>
      </x:c>
      <x:c r="K1045" s="115" t="str">
        <x:v>Pièces décrites, murs, portes, niveaux et mobilier inspectables à l’échelle. Volumes réservés, raccord au seed, butin, rencontres et services de campagne restent à terminer.</x:v>
      </x:c>
    </x:row>
    <x:row r="1046" ht="96" customHeight="1">
      <x:c r="A1046" s="115" t="str">
        <x:v>EXT-MONDE-T021-V41</x:v>
      </x:c>
      <x:c r="B1046" s="115" t="str">
        <x:v>EXT-MONDE-T021</x:v>
      </x:c>
      <x:c r="C1046" s="115" t="str">
        <x:v>Fermes élevage</x:v>
      </x:c>
      <x:c r="D1046" s="115" t="str">
        <x:v>Ferme laitière</x:v>
      </x:c>
      <x:c r="E1046" s="115" t="n">
        <x:v>41</x:v>
      </x:c>
      <x:c r="F1046" s="115" t="str">
        <x:v>Inspection physique</x:v>
      </x:c>
      <x:c r="G1046" s="115" t="str">
        <x:v>1 niveaux ; 28 pièces ; 210 segments de mur ; 0 transitions. Inspection physique ; architecture complète encore ouverte.</x:v>
      </x:c>
      <x:c r="H1046" s="115" t="str">
        <x:v>L 340 ; l 320 ; hauteur 8,2 m ; choix de composition auteur ; dimensions réelles à documenter</x:v>
      </x:c>
      <x:c r="I1046" s="115" t="str">
        <x:v>À équilibrer</x:v>
      </x:c>
      <x:c r="J1046" s="115" t="str">
        <x:v>Non</x:v>
      </x:c>
      <x:c r="K1046" s="115" t="str">
        <x:v>Pièces décrites, murs, portes, niveaux et mobilier inspectables à l’échelle. Volumes réservés, raccord au seed, butin, rencontres et services de campagne restent à terminer.</x:v>
      </x:c>
    </x:row>
    <x:row r="1047" ht="96" customHeight="1">
      <x:c r="A1047" s="115" t="str">
        <x:v>EXT-MONDE-T021-V42</x:v>
      </x:c>
      <x:c r="B1047" s="115" t="str">
        <x:v>EXT-MONDE-T021</x:v>
      </x:c>
      <x:c r="C1047" s="115" t="str">
        <x:v>Fermes élevage</x:v>
      </x:c>
      <x:c r="D1047" s="115" t="str">
        <x:v>Ferme laitière</x:v>
      </x:c>
      <x:c r="E1047" s="115" t="n">
        <x:v>42</x:v>
      </x:c>
      <x:c r="F1047" s="115" t="str">
        <x:v>Inspection physique</x:v>
      </x:c>
      <x:c r="G1047" s="115" t="str">
        <x:v>1 niveaux ; 28 pièces ; 210 segments de mur ; 0 transitions. Inspection physique ; architecture complète encore ouverte.</x:v>
      </x:c>
      <x:c r="H1047" s="115" t="str">
        <x:v>L 340 ; l 320 ; hauteur 8,2 m ; choix de composition auteur ; dimensions réelles à documenter</x:v>
      </x:c>
      <x:c r="I1047" s="115" t="str">
        <x:v>À équilibrer</x:v>
      </x:c>
      <x:c r="J1047" s="115" t="str">
        <x:v>Non</x:v>
      </x:c>
      <x:c r="K1047" s="115" t="str">
        <x:v>Pièces décrites, murs, portes, niveaux et mobilier inspectables à l’échelle. Volumes réservés, raccord au seed, butin, rencontres et services de campagne restent à terminer.</x:v>
      </x:c>
    </x:row>
    <x:row r="1048" ht="96" customHeight="1">
      <x:c r="A1048" s="115" t="str">
        <x:v>EXT-MONDE-T021-V43</x:v>
      </x:c>
      <x:c r="B1048" s="115" t="str">
        <x:v>EXT-MONDE-T021</x:v>
      </x:c>
      <x:c r="C1048" s="115" t="str">
        <x:v>Fermes élevage</x:v>
      </x:c>
      <x:c r="D1048" s="115" t="str">
        <x:v>Ferme laitière</x:v>
      </x:c>
      <x:c r="E1048" s="115" t="n">
        <x:v>43</x:v>
      </x:c>
      <x:c r="F1048" s="115" t="str">
        <x:v>Inspection physique</x:v>
      </x:c>
      <x:c r="G1048" s="115" t="str">
        <x:v>1 niveaux ; 28 pièces ; 210 segments de mur ; 0 transitions. Inspection physique ; architecture complète encore ouverte.</x:v>
      </x:c>
      <x:c r="H1048" s="115" t="str">
        <x:v>L 340 ; l 320 ; hauteur 8,2 m ; choix de composition auteur ; dimensions réelles à documenter</x:v>
      </x:c>
      <x:c r="I1048" s="115" t="str">
        <x:v>À équilibrer</x:v>
      </x:c>
      <x:c r="J1048" s="115" t="str">
        <x:v>Non</x:v>
      </x:c>
      <x:c r="K1048" s="115" t="str">
        <x:v>Pièces décrites, murs, portes, niveaux et mobilier inspectables à l’échelle. Volumes réservés, raccord au seed, butin, rencontres et services de campagne restent à terminer.</x:v>
      </x:c>
    </x:row>
    <x:row r="1049" ht="96" customHeight="1">
      <x:c r="A1049" s="115" t="str">
        <x:v>EXT-MONDE-T021-V44</x:v>
      </x:c>
      <x:c r="B1049" s="115" t="str">
        <x:v>EXT-MONDE-T021</x:v>
      </x:c>
      <x:c r="C1049" s="115" t="str">
        <x:v>Fermes élevage</x:v>
      </x:c>
      <x:c r="D1049" s="115" t="str">
        <x:v>Ferme laitière</x:v>
      </x:c>
      <x:c r="E1049" s="115" t="n">
        <x:v>44</x:v>
      </x:c>
      <x:c r="F1049" s="115" t="str">
        <x:v>Inspection physique</x:v>
      </x:c>
      <x:c r="G1049" s="115" t="str">
        <x:v>1 niveaux ; 28 pièces ; 210 segments de mur ; 0 transitions. Inspection physique ; architecture complète encore ouverte.</x:v>
      </x:c>
      <x:c r="H1049" s="115" t="str">
        <x:v>L 340 ; l 320 ; hauteur 8,2 m ; choix de composition auteur ; dimensions réelles à documenter</x:v>
      </x:c>
      <x:c r="I1049" s="115" t="str">
        <x:v>À équilibrer</x:v>
      </x:c>
      <x:c r="J1049" s="115" t="str">
        <x:v>Non</x:v>
      </x:c>
      <x:c r="K1049" s="115" t="str">
        <x:v>Pièces décrites, murs, portes, niveaux et mobilier inspectables à l’échelle. Volumes réservés, raccord au seed, butin, rencontres et services de campagne restent à terminer.</x:v>
      </x:c>
    </x:row>
    <x:row r="1050" ht="96" customHeight="1">
      <x:c r="A1050" s="115" t="str">
        <x:v>EXT-MONDE-T021-V45</x:v>
      </x:c>
      <x:c r="B1050" s="115" t="str">
        <x:v>EXT-MONDE-T021</x:v>
      </x:c>
      <x:c r="C1050" s="115" t="str">
        <x:v>Fermes élevage</x:v>
      </x:c>
      <x:c r="D1050" s="115" t="str">
        <x:v>Ferme laitière</x:v>
      </x:c>
      <x:c r="E1050" s="115" t="n">
        <x:v>45</x:v>
      </x:c>
      <x:c r="F1050" s="115" t="str">
        <x:v>Inspection physique</x:v>
      </x:c>
      <x:c r="G1050" s="115" t="str">
        <x:v>1 niveaux ; 28 pièces ; 210 segments de mur ; 0 transitions. Inspection physique ; architecture complète encore ouverte.</x:v>
      </x:c>
      <x:c r="H1050" s="115" t="str">
        <x:v>L 340 ; l 320 ; hauteur 8,2 m ; choix de composition auteur ; dimensions réelles à documenter</x:v>
      </x:c>
      <x:c r="I1050" s="115" t="str">
        <x:v>À équilibrer</x:v>
      </x:c>
      <x:c r="J1050" s="115" t="str">
        <x:v>Non</x:v>
      </x:c>
      <x:c r="K1050" s="115" t="str">
        <x:v>Pièces décrites, murs, portes, niveaux et mobilier inspectables à l’échelle. Volumes réservés, raccord au seed, butin, rencontres et services de campagne restent à terminer.</x:v>
      </x:c>
    </x:row>
    <x:row r="1051" ht="96" customHeight="1">
      <x:c r="A1051" s="115" t="str">
        <x:v>EXT-MONDE-T021-V46</x:v>
      </x:c>
      <x:c r="B1051" s="115" t="str">
        <x:v>EXT-MONDE-T021</x:v>
      </x:c>
      <x:c r="C1051" s="115" t="str">
        <x:v>Fermes élevage</x:v>
      </x:c>
      <x:c r="D1051" s="115" t="str">
        <x:v>Ferme laitière</x:v>
      </x:c>
      <x:c r="E1051" s="115" t="n">
        <x:v>46</x:v>
      </x:c>
      <x:c r="F1051" s="115" t="str">
        <x:v>Inspection physique</x:v>
      </x:c>
      <x:c r="G1051" s="115" t="str">
        <x:v>1 niveaux ; 28 pièces ; 210 segments de mur ; 0 transitions. Inspection physique ; architecture complète encore ouverte.</x:v>
      </x:c>
      <x:c r="H1051" s="115" t="str">
        <x:v>L 340 ; l 320 ; hauteur 8,2 m ; choix de composition auteur ; dimensions réelles à documenter</x:v>
      </x:c>
      <x:c r="I1051" s="115" t="str">
        <x:v>À équilibrer</x:v>
      </x:c>
      <x:c r="J1051" s="115" t="str">
        <x:v>Non</x:v>
      </x:c>
      <x:c r="K1051" s="115" t="str">
        <x:v>Pièces décrites, murs, portes, niveaux et mobilier inspectables à l’échelle. Volumes réservés, raccord au seed, butin, rencontres et services de campagne restent à terminer.</x:v>
      </x:c>
    </x:row>
    <x:row r="1052" ht="96" customHeight="1">
      <x:c r="A1052" s="115" t="str">
        <x:v>EXT-MONDE-T021-V47</x:v>
      </x:c>
      <x:c r="B1052" s="115" t="str">
        <x:v>EXT-MONDE-T021</x:v>
      </x:c>
      <x:c r="C1052" s="115" t="str">
        <x:v>Fermes élevage</x:v>
      </x:c>
      <x:c r="D1052" s="115" t="str">
        <x:v>Ferme laitière</x:v>
      </x:c>
      <x:c r="E1052" s="115" t="n">
        <x:v>47</x:v>
      </x:c>
      <x:c r="F1052" s="115" t="str">
        <x:v>Inspection physique</x:v>
      </x:c>
      <x:c r="G1052" s="115" t="str">
        <x:v>1 niveaux ; 28 pièces ; 210 segments de mur ; 0 transitions. Inspection physique ; architecture complète encore ouverte.</x:v>
      </x:c>
      <x:c r="H1052" s="115" t="str">
        <x:v>L 340 ; l 320 ; hauteur 8,2 m ; choix de composition auteur ; dimensions réelles à documenter</x:v>
      </x:c>
      <x:c r="I1052" s="115" t="str">
        <x:v>À équilibrer</x:v>
      </x:c>
      <x:c r="J1052" s="115" t="str">
        <x:v>Non</x:v>
      </x:c>
      <x:c r="K1052" s="115" t="str">
        <x:v>Pièces décrites, murs, portes, niveaux et mobilier inspectables à l’échelle. Volumes réservés, raccord au seed, butin, rencontres et services de campagne restent à terminer.</x:v>
      </x:c>
    </x:row>
    <x:row r="1053" ht="96" customHeight="1">
      <x:c r="A1053" s="115" t="str">
        <x:v>EXT-MONDE-T021-V48</x:v>
      </x:c>
      <x:c r="B1053" s="115" t="str">
        <x:v>EXT-MONDE-T021</x:v>
      </x:c>
      <x:c r="C1053" s="115" t="str">
        <x:v>Fermes élevage</x:v>
      </x:c>
      <x:c r="D1053" s="115" t="str">
        <x:v>Ferme laitière</x:v>
      </x:c>
      <x:c r="E1053" s="115" t="n">
        <x:v>48</x:v>
      </x:c>
      <x:c r="F1053" s="115" t="str">
        <x:v>Inspection physique</x:v>
      </x:c>
      <x:c r="G1053" s="115" t="str">
        <x:v>1 niveaux ; 28 pièces ; 210 segments de mur ; 0 transitions. Inspection physique ; architecture complète encore ouverte.</x:v>
      </x:c>
      <x:c r="H1053" s="115" t="str">
        <x:v>L 340 ; l 320 ; hauteur 8,2 m ; choix de composition auteur ; dimensions réelles à documenter</x:v>
      </x:c>
      <x:c r="I1053" s="115" t="str">
        <x:v>À équilibrer</x:v>
      </x:c>
      <x:c r="J1053" s="115" t="str">
        <x:v>Non</x:v>
      </x:c>
      <x:c r="K1053" s="115" t="str">
        <x:v>Pièces décrites, murs, portes, niveaux et mobilier inspectables à l’échelle. Volumes réservés, raccord au seed, butin, rencontres et services de campagne restent à terminer.</x:v>
      </x:c>
    </x:row>
    <x:row r="1054" ht="96" customHeight="1">
      <x:c r="A1054" s="115" t="str">
        <x:v>EXT-MONDE-T021-V49</x:v>
      </x:c>
      <x:c r="B1054" s="115" t="str">
        <x:v>EXT-MONDE-T021</x:v>
      </x:c>
      <x:c r="C1054" s="115" t="str">
        <x:v>Fermes élevage</x:v>
      </x:c>
      <x:c r="D1054" s="115" t="str">
        <x:v>Ferme laitière</x:v>
      </x:c>
      <x:c r="E1054" s="115" t="n">
        <x:v>49</x:v>
      </x:c>
      <x:c r="F1054" s="115" t="str">
        <x:v>Inspection physique</x:v>
      </x:c>
      <x:c r="G1054" s="115" t="str">
        <x:v>1 niveaux ; 28 pièces ; 210 segments de mur ; 0 transitions. Inspection physique ; architecture complète encore ouverte.</x:v>
      </x:c>
      <x:c r="H1054" s="115" t="str">
        <x:v>L 340 ; l 320 ; hauteur 8,2 m ; choix de composition auteur ; dimensions réelles à documenter</x:v>
      </x:c>
      <x:c r="I1054" s="115" t="str">
        <x:v>À équilibrer</x:v>
      </x:c>
      <x:c r="J1054" s="115" t="str">
        <x:v>Non</x:v>
      </x:c>
      <x:c r="K1054" s="115" t="str">
        <x:v>Pièces décrites, murs, portes, niveaux et mobilier inspectables à l’échelle. Volumes réservés, raccord au seed, butin, rencontres et services de campagne restent à terminer.</x:v>
      </x:c>
    </x:row>
    <x:row r="1055" ht="96" customHeight="1">
      <x:c r="A1055" s="115" t="str">
        <x:v>EXT-MONDE-T021-V50</x:v>
      </x:c>
      <x:c r="B1055" s="115" t="str">
        <x:v>EXT-MONDE-T021</x:v>
      </x:c>
      <x:c r="C1055" s="115" t="str">
        <x:v>Fermes élevage</x:v>
      </x:c>
      <x:c r="D1055" s="115" t="str">
        <x:v>Ferme laitière</x:v>
      </x:c>
      <x:c r="E1055" s="115" t="n">
        <x:v>50</x:v>
      </x:c>
      <x:c r="F1055" s="115" t="str">
        <x:v>Inspection physique</x:v>
      </x:c>
      <x:c r="G1055" s="115" t="str">
        <x:v>1 niveaux ; 28 pièces ; 210 segments de mur ; 0 transitions. Inspection physique ; architecture complète encore ouverte.</x:v>
      </x:c>
      <x:c r="H1055" s="115" t="str">
        <x:v>L 340 ; l 320 ; hauteur 8,2 m ; choix de composition auteur ; dimensions réelles à documenter</x:v>
      </x:c>
      <x:c r="I1055" s="115" t="str">
        <x:v>À équilibrer</x:v>
      </x:c>
      <x:c r="J1055" s="115" t="str">
        <x:v>Non</x:v>
      </x:c>
      <x:c r="K1055" s="115" t="str">
        <x:v>Pièces décrites, murs, portes, niveaux et mobilier inspectables à l’échelle. Volumes réservés, raccord au seed, butin, rencontres et services de campagne restent à terminer.</x:v>
      </x:c>
    </x:row>
    <x:row r="1056" ht="96" customHeight="1">
      <x:c r="A1056" s="115" t="str">
        <x:v>EXT-MONDE-T022-V01</x:v>
      </x:c>
      <x:c r="B1056" s="115" t="str">
        <x:v>EXT-MONDE-T022</x:v>
      </x:c>
      <x:c r="C1056" s="115" t="str">
        <x:v>Fermes élevage</x:v>
      </x:c>
      <x:c r="D1056" s="115" t="str">
        <x:v>Élevage ovin</x:v>
      </x:c>
      <x:c r="E1056" s="115" t="n">
        <x:v>1</x:v>
      </x:c>
      <x:c r="F1056" s="115" t="str">
        <x:v>Inspection physique</x:v>
      </x:c>
      <x:c r="G1056" s="115" t="str">
        <x:v>1 niveaux ; 28 pièces ; 210 segments de mur ; 0 transitions. Inspection physique ; architecture complète encore ouverte.</x:v>
      </x:c>
      <x:c r="H1056" s="115" t="str">
        <x:v>L 260 ; l 224 ; hauteur 7 m ; choix de composition auteur ; dimensions réelles à documenter</x:v>
      </x:c>
      <x:c r="I1056" s="115" t="str">
        <x:v>À équilibrer</x:v>
      </x:c>
      <x:c r="J1056" s="115" t="str">
        <x:v>Non</x:v>
      </x:c>
      <x:c r="K1056" s="115" t="str">
        <x:v>Pièces décrites, murs, portes, niveaux et mobilier inspectables à l’échelle. Volumes réservés, raccord au seed, butin, rencontres et services de campagne restent à terminer.</x:v>
      </x:c>
    </x:row>
    <x:row r="1057" ht="96" customHeight="1">
      <x:c r="A1057" s="115" t="str">
        <x:v>EXT-MONDE-T022-V02</x:v>
      </x:c>
      <x:c r="B1057" s="115" t="str">
        <x:v>EXT-MONDE-T022</x:v>
      </x:c>
      <x:c r="C1057" s="115" t="str">
        <x:v>Fermes élevage</x:v>
      </x:c>
      <x:c r="D1057" s="115" t="str">
        <x:v>Élevage ovin</x:v>
      </x:c>
      <x:c r="E1057" s="115" t="n">
        <x:v>2</x:v>
      </x:c>
      <x:c r="F1057" s="115" t="str">
        <x:v>Inspection physique</x:v>
      </x:c>
      <x:c r="G1057" s="115" t="str">
        <x:v>1 niveaux ; 28 pièces ; 210 segments de mur ; 0 transitions. Inspection physique ; architecture complète encore ouverte.</x:v>
      </x:c>
      <x:c r="H1057" s="115" t="str">
        <x:v>L 260 ; l 224 ; hauteur 7 m ; choix de composition auteur ; dimensions réelles à documenter</x:v>
      </x:c>
      <x:c r="I1057" s="115" t="str">
        <x:v>À équilibrer</x:v>
      </x:c>
      <x:c r="J1057" s="115" t="str">
        <x:v>Non</x:v>
      </x:c>
      <x:c r="K1057" s="115" t="str">
        <x:v>Pièces décrites, murs, portes, niveaux et mobilier inspectables à l’échelle. Volumes réservés, raccord au seed, butin, rencontres et services de campagne restent à terminer.</x:v>
      </x:c>
    </x:row>
    <x:row r="1058" ht="96" customHeight="1">
      <x:c r="A1058" s="115" t="str">
        <x:v>EXT-MONDE-T022-V03</x:v>
      </x:c>
      <x:c r="B1058" s="115" t="str">
        <x:v>EXT-MONDE-T022</x:v>
      </x:c>
      <x:c r="C1058" s="115" t="str">
        <x:v>Fermes élevage</x:v>
      </x:c>
      <x:c r="D1058" s="115" t="str">
        <x:v>Élevage ovin</x:v>
      </x:c>
      <x:c r="E1058" s="115" t="n">
        <x:v>3</x:v>
      </x:c>
      <x:c r="F1058" s="115" t="str">
        <x:v>Inspection physique</x:v>
      </x:c>
      <x:c r="G1058" s="115" t="str">
        <x:v>1 niveaux ; 28 pièces ; 210 segments de mur ; 0 transitions. Inspection physique ; architecture complète encore ouverte.</x:v>
      </x:c>
      <x:c r="H1058" s="115" t="str">
        <x:v>L 260 ; l 224 ; hauteur 7 m ; choix de composition auteur ; dimensions réelles à documenter</x:v>
      </x:c>
      <x:c r="I1058" s="115" t="str">
        <x:v>À équilibrer</x:v>
      </x:c>
      <x:c r="J1058" s="115" t="str">
        <x:v>Non</x:v>
      </x:c>
      <x:c r="K1058" s="115" t="str">
        <x:v>Pièces décrites, murs, portes, niveaux et mobilier inspectables à l’échelle. Volumes réservés, raccord au seed, butin, rencontres et services de campagne restent à terminer.</x:v>
      </x:c>
    </x:row>
    <x:row r="1059" ht="96" customHeight="1">
      <x:c r="A1059" s="115" t="str">
        <x:v>EXT-MONDE-T022-V04</x:v>
      </x:c>
      <x:c r="B1059" s="115" t="str">
        <x:v>EXT-MONDE-T022</x:v>
      </x:c>
      <x:c r="C1059" s="115" t="str">
        <x:v>Fermes élevage</x:v>
      </x:c>
      <x:c r="D1059" s="115" t="str">
        <x:v>Élevage ovin</x:v>
      </x:c>
      <x:c r="E1059" s="115" t="n">
        <x:v>4</x:v>
      </x:c>
      <x:c r="F1059" s="115" t="str">
        <x:v>Inspection physique</x:v>
      </x:c>
      <x:c r="G1059" s="115" t="str">
        <x:v>1 niveaux ; 28 pièces ; 210 segments de mur ; 0 transitions. Inspection physique ; architecture complète encore ouverte.</x:v>
      </x:c>
      <x:c r="H1059" s="115" t="str">
        <x:v>L 260 ; l 224 ; hauteur 7 m ; choix de composition auteur ; dimensions réelles à documenter</x:v>
      </x:c>
      <x:c r="I1059" s="115" t="str">
        <x:v>À équilibrer</x:v>
      </x:c>
      <x:c r="J1059" s="115" t="str">
        <x:v>Non</x:v>
      </x:c>
      <x:c r="K1059" s="115" t="str">
        <x:v>Pièces décrites, murs, portes, niveaux et mobilier inspectables à l’échelle. Volumes réservés, raccord au seed, butin, rencontres et services de campagne restent à terminer.</x:v>
      </x:c>
    </x:row>
    <x:row r="1060" ht="96" customHeight="1">
      <x:c r="A1060" s="115" t="str">
        <x:v>EXT-MONDE-T022-V05</x:v>
      </x:c>
      <x:c r="B1060" s="115" t="str">
        <x:v>EXT-MONDE-T022</x:v>
      </x:c>
      <x:c r="C1060" s="115" t="str">
        <x:v>Fermes élevage</x:v>
      </x:c>
      <x:c r="D1060" s="115" t="str">
        <x:v>Élevage ovin</x:v>
      </x:c>
      <x:c r="E1060" s="115" t="n">
        <x:v>5</x:v>
      </x:c>
      <x:c r="F1060" s="115" t="str">
        <x:v>Inspection physique</x:v>
      </x:c>
      <x:c r="G1060" s="115" t="str">
        <x:v>1 niveaux ; 28 pièces ; 210 segments de mur ; 0 transitions. Inspection physique ; architecture complète encore ouverte.</x:v>
      </x:c>
      <x:c r="H1060" s="115" t="str">
        <x:v>L 260 ; l 224 ; hauteur 7 m ; choix de composition auteur ; dimensions réelles à documenter</x:v>
      </x:c>
      <x:c r="I1060" s="115" t="str">
        <x:v>À équilibrer</x:v>
      </x:c>
      <x:c r="J1060" s="115" t="str">
        <x:v>Non</x:v>
      </x:c>
      <x:c r="K1060" s="115" t="str">
        <x:v>Pièces décrites, murs, portes, niveaux et mobilier inspectables à l’échelle. Volumes réservés, raccord au seed, butin, rencontres et services de campagne restent à terminer.</x:v>
      </x:c>
    </x:row>
    <x:row r="1061" ht="96" customHeight="1">
      <x:c r="A1061" s="115" t="str">
        <x:v>EXT-MONDE-T022-V06</x:v>
      </x:c>
      <x:c r="B1061" s="115" t="str">
        <x:v>EXT-MONDE-T022</x:v>
      </x:c>
      <x:c r="C1061" s="115" t="str">
        <x:v>Fermes élevage</x:v>
      </x:c>
      <x:c r="D1061" s="115" t="str">
        <x:v>Élevage ovin</x:v>
      </x:c>
      <x:c r="E1061" s="115" t="n">
        <x:v>6</x:v>
      </x:c>
      <x:c r="F1061" s="115" t="str">
        <x:v>Inspection physique</x:v>
      </x:c>
      <x:c r="G1061" s="115" t="str">
        <x:v>1 niveaux ; 28 pièces ; 210 segments de mur ; 0 transitions. Inspection physique ; architecture complète encore ouverte.</x:v>
      </x:c>
      <x:c r="H1061" s="115" t="str">
        <x:v>L 260 ; l 224 ; hauteur 7 m ; choix de composition auteur ; dimensions réelles à documenter</x:v>
      </x:c>
      <x:c r="I1061" s="115" t="str">
        <x:v>À équilibrer</x:v>
      </x:c>
      <x:c r="J1061" s="115" t="str">
        <x:v>Non</x:v>
      </x:c>
      <x:c r="K1061" s="115" t="str">
        <x:v>Pièces décrites, murs, portes, niveaux et mobilier inspectables à l’échelle. Volumes réservés, raccord au seed, butin, rencontres et services de campagne restent à terminer.</x:v>
      </x:c>
    </x:row>
    <x:row r="1062" ht="96" customHeight="1">
      <x:c r="A1062" s="115" t="str">
        <x:v>EXT-MONDE-T022-V07</x:v>
      </x:c>
      <x:c r="B1062" s="115" t="str">
        <x:v>EXT-MONDE-T022</x:v>
      </x:c>
      <x:c r="C1062" s="115" t="str">
        <x:v>Fermes élevage</x:v>
      </x:c>
      <x:c r="D1062" s="115" t="str">
        <x:v>Élevage ovin</x:v>
      </x:c>
      <x:c r="E1062" s="115" t="n">
        <x:v>7</x:v>
      </x:c>
      <x:c r="F1062" s="115" t="str">
        <x:v>Inspection physique</x:v>
      </x:c>
      <x:c r="G1062" s="115" t="str">
        <x:v>1 niveaux ; 28 pièces ; 210 segments de mur ; 0 transitions. Inspection physique ; architecture complète encore ouverte.</x:v>
      </x:c>
      <x:c r="H1062" s="115" t="str">
        <x:v>L 260 ; l 224 ; hauteur 7 m ; choix de composition auteur ; dimensions réelles à documenter</x:v>
      </x:c>
      <x:c r="I1062" s="115" t="str">
        <x:v>À équilibrer</x:v>
      </x:c>
      <x:c r="J1062" s="115" t="str">
        <x:v>Non</x:v>
      </x:c>
      <x:c r="K1062" s="115" t="str">
        <x:v>Pièces décrites, murs, portes, niveaux et mobilier inspectables à l’échelle. Volumes réservés, raccord au seed, butin, rencontres et services de campagne restent à terminer.</x:v>
      </x:c>
    </x:row>
    <x:row r="1063" ht="96" customHeight="1">
      <x:c r="A1063" s="115" t="str">
        <x:v>EXT-MONDE-T022-V08</x:v>
      </x:c>
      <x:c r="B1063" s="115" t="str">
        <x:v>EXT-MONDE-T022</x:v>
      </x:c>
      <x:c r="C1063" s="115" t="str">
        <x:v>Fermes élevage</x:v>
      </x:c>
      <x:c r="D1063" s="115" t="str">
        <x:v>Élevage ovin</x:v>
      </x:c>
      <x:c r="E1063" s="115" t="n">
        <x:v>8</x:v>
      </x:c>
      <x:c r="F1063" s="115" t="str">
        <x:v>Inspection physique</x:v>
      </x:c>
      <x:c r="G1063" s="115" t="str">
        <x:v>1 niveaux ; 28 pièces ; 210 segments de mur ; 0 transitions. Inspection physique ; architecture complète encore ouverte.</x:v>
      </x:c>
      <x:c r="H1063" s="115" t="str">
        <x:v>L 260 ; l 224 ; hauteur 7 m ; choix de composition auteur ; dimensions réelles à documenter</x:v>
      </x:c>
      <x:c r="I1063" s="115" t="str">
        <x:v>À équilibrer</x:v>
      </x:c>
      <x:c r="J1063" s="115" t="str">
        <x:v>Non</x:v>
      </x:c>
      <x:c r="K1063" s="115" t="str">
        <x:v>Pièces décrites, murs, portes, niveaux et mobilier inspectables à l’échelle. Volumes réservés, raccord au seed, butin, rencontres et services de campagne restent à terminer.</x:v>
      </x:c>
    </x:row>
    <x:row r="1064" ht="96" customHeight="1">
      <x:c r="A1064" s="115" t="str">
        <x:v>EXT-MONDE-T022-V09</x:v>
      </x:c>
      <x:c r="B1064" s="115" t="str">
        <x:v>EXT-MONDE-T022</x:v>
      </x:c>
      <x:c r="C1064" s="115" t="str">
        <x:v>Fermes élevage</x:v>
      </x:c>
      <x:c r="D1064" s="115" t="str">
        <x:v>Élevage ovin</x:v>
      </x:c>
      <x:c r="E1064" s="115" t="n">
        <x:v>9</x:v>
      </x:c>
      <x:c r="F1064" s="115" t="str">
        <x:v>Inspection physique</x:v>
      </x:c>
      <x:c r="G1064" s="115" t="str">
        <x:v>1 niveaux ; 28 pièces ; 210 segments de mur ; 0 transitions. Inspection physique ; architecture complète encore ouverte.</x:v>
      </x:c>
      <x:c r="H1064" s="115" t="str">
        <x:v>L 260 ; l 224 ; hauteur 7 m ; choix de composition auteur ; dimensions réelles à documenter</x:v>
      </x:c>
      <x:c r="I1064" s="115" t="str">
        <x:v>À équilibrer</x:v>
      </x:c>
      <x:c r="J1064" s="115" t="str">
        <x:v>Non</x:v>
      </x:c>
      <x:c r="K1064" s="115" t="str">
        <x:v>Pièces décrites, murs, portes, niveaux et mobilier inspectables à l’échelle. Volumes réservés, raccord au seed, butin, rencontres et services de campagne restent à terminer.</x:v>
      </x:c>
    </x:row>
    <x:row r="1065" ht="96" customHeight="1">
      <x:c r="A1065" s="115" t="str">
        <x:v>EXT-MONDE-T022-V10</x:v>
      </x:c>
      <x:c r="B1065" s="115" t="str">
        <x:v>EXT-MONDE-T022</x:v>
      </x:c>
      <x:c r="C1065" s="115" t="str">
        <x:v>Fermes élevage</x:v>
      </x:c>
      <x:c r="D1065" s="115" t="str">
        <x:v>Élevage ovin</x:v>
      </x:c>
      <x:c r="E1065" s="115" t="n">
        <x:v>10</x:v>
      </x:c>
      <x:c r="F1065" s="115" t="str">
        <x:v>Inspection physique</x:v>
      </x:c>
      <x:c r="G1065" s="115" t="str">
        <x:v>1 niveaux ; 28 pièces ; 210 segments de mur ; 0 transitions. Inspection physique ; architecture complète encore ouverte.</x:v>
      </x:c>
      <x:c r="H1065" s="115" t="str">
        <x:v>L 260 ; l 224 ; hauteur 7 m ; choix de composition auteur ; dimensions réelles à documenter</x:v>
      </x:c>
      <x:c r="I1065" s="115" t="str">
        <x:v>À équilibrer</x:v>
      </x:c>
      <x:c r="J1065" s="115" t="str">
        <x:v>Non</x:v>
      </x:c>
      <x:c r="K1065" s="115" t="str">
        <x:v>Pièces décrites, murs, portes, niveaux et mobilier inspectables à l’échelle. Volumes réservés, raccord au seed, butin, rencontres et services de campagne restent à terminer.</x:v>
      </x:c>
    </x:row>
    <x:row r="1066" ht="96" customHeight="1">
      <x:c r="A1066" s="115" t="str">
        <x:v>EXT-MONDE-T022-V11</x:v>
      </x:c>
      <x:c r="B1066" s="115" t="str">
        <x:v>EXT-MONDE-T022</x:v>
      </x:c>
      <x:c r="C1066" s="115" t="str">
        <x:v>Fermes élevage</x:v>
      </x:c>
      <x:c r="D1066" s="115" t="str">
        <x:v>Élevage ovin</x:v>
      </x:c>
      <x:c r="E1066" s="115" t="n">
        <x:v>11</x:v>
      </x:c>
      <x:c r="F1066" s="115" t="str">
        <x:v>Inspection physique</x:v>
      </x:c>
      <x:c r="G1066" s="115" t="str">
        <x:v>1 niveaux ; 28 pièces ; 210 segments de mur ; 0 transitions. Inspection physique ; architecture complète encore ouverte.</x:v>
      </x:c>
      <x:c r="H1066" s="115" t="str">
        <x:v>L 280 ; l 248 ; hauteur 7 m ; choix de composition auteur ; dimensions réelles à documenter</x:v>
      </x:c>
      <x:c r="I1066" s="115" t="str">
        <x:v>À équilibrer</x:v>
      </x:c>
      <x:c r="J1066" s="115" t="str">
        <x:v>Non</x:v>
      </x:c>
      <x:c r="K1066" s="115" t="str">
        <x:v>Pièces décrites, murs, portes, niveaux et mobilier inspectables à l’échelle. Volumes réservés, raccord au seed, butin, rencontres et services de campagne restent à terminer.</x:v>
      </x:c>
    </x:row>
    <x:row r="1067" ht="96" customHeight="1">
      <x:c r="A1067" s="115" t="str">
        <x:v>EXT-MONDE-T022-V12</x:v>
      </x:c>
      <x:c r="B1067" s="115" t="str">
        <x:v>EXT-MONDE-T022</x:v>
      </x:c>
      <x:c r="C1067" s="115" t="str">
        <x:v>Fermes élevage</x:v>
      </x:c>
      <x:c r="D1067" s="115" t="str">
        <x:v>Élevage ovin</x:v>
      </x:c>
      <x:c r="E1067" s="115" t="n">
        <x:v>12</x:v>
      </x:c>
      <x:c r="F1067" s="115" t="str">
        <x:v>Inspection physique</x:v>
      </x:c>
      <x:c r="G1067" s="115" t="str">
        <x:v>1 niveaux ; 28 pièces ; 210 segments de mur ; 0 transitions. Inspection physique ; architecture complète encore ouverte.</x:v>
      </x:c>
      <x:c r="H1067" s="115" t="str">
        <x:v>L 280 ; l 248 ; hauteur 7 m ; choix de composition auteur ; dimensions réelles à documenter</x:v>
      </x:c>
      <x:c r="I1067" s="115" t="str">
        <x:v>À équilibrer</x:v>
      </x:c>
      <x:c r="J1067" s="115" t="str">
        <x:v>Non</x:v>
      </x:c>
      <x:c r="K1067" s="115" t="str">
        <x:v>Pièces décrites, murs, portes, niveaux et mobilier inspectables à l’échelle. Volumes réservés, raccord au seed, butin, rencontres et services de campagne restent à terminer.</x:v>
      </x:c>
    </x:row>
    <x:row r="1068" ht="96" customHeight="1">
      <x:c r="A1068" s="115" t="str">
        <x:v>EXT-MONDE-T022-V13</x:v>
      </x:c>
      <x:c r="B1068" s="115" t="str">
        <x:v>EXT-MONDE-T022</x:v>
      </x:c>
      <x:c r="C1068" s="115" t="str">
        <x:v>Fermes élevage</x:v>
      </x:c>
      <x:c r="D1068" s="115" t="str">
        <x:v>Élevage ovin</x:v>
      </x:c>
      <x:c r="E1068" s="115" t="n">
        <x:v>13</x:v>
      </x:c>
      <x:c r="F1068" s="115" t="str">
        <x:v>Inspection physique</x:v>
      </x:c>
      <x:c r="G1068" s="115" t="str">
        <x:v>1 niveaux ; 28 pièces ; 210 segments de mur ; 0 transitions. Inspection physique ; architecture complète encore ouverte.</x:v>
      </x:c>
      <x:c r="H1068" s="115" t="str">
        <x:v>L 280 ; l 248 ; hauteur 7 m ; choix de composition auteur ; dimensions réelles à documenter</x:v>
      </x:c>
      <x:c r="I1068" s="115" t="str">
        <x:v>À équilibrer</x:v>
      </x:c>
      <x:c r="J1068" s="115" t="str">
        <x:v>Non</x:v>
      </x:c>
      <x:c r="K1068" s="115" t="str">
        <x:v>Pièces décrites, murs, portes, niveaux et mobilier inspectables à l’échelle. Volumes réservés, raccord au seed, butin, rencontres et services de campagne restent à terminer.</x:v>
      </x:c>
    </x:row>
    <x:row r="1069" ht="96" customHeight="1">
      <x:c r="A1069" s="115" t="str">
        <x:v>EXT-MONDE-T022-V14</x:v>
      </x:c>
      <x:c r="B1069" s="115" t="str">
        <x:v>EXT-MONDE-T022</x:v>
      </x:c>
      <x:c r="C1069" s="115" t="str">
        <x:v>Fermes élevage</x:v>
      </x:c>
      <x:c r="D1069" s="115" t="str">
        <x:v>Élevage ovin</x:v>
      </x:c>
      <x:c r="E1069" s="115" t="n">
        <x:v>14</x:v>
      </x:c>
      <x:c r="F1069" s="115" t="str">
        <x:v>Inspection physique</x:v>
      </x:c>
      <x:c r="G1069" s="115" t="str">
        <x:v>1 niveaux ; 28 pièces ; 210 segments de mur ; 0 transitions. Inspection physique ; architecture complète encore ouverte.</x:v>
      </x:c>
      <x:c r="H1069" s="115" t="str">
        <x:v>L 280 ; l 248 ; hauteur 7 m ; choix de composition auteur ; dimensions réelles à documenter</x:v>
      </x:c>
      <x:c r="I1069" s="115" t="str">
        <x:v>À équilibrer</x:v>
      </x:c>
      <x:c r="J1069" s="115" t="str">
        <x:v>Non</x:v>
      </x:c>
      <x:c r="K1069" s="115" t="str">
        <x:v>Pièces décrites, murs, portes, niveaux et mobilier inspectables à l’échelle. Volumes réservés, raccord au seed, butin, rencontres et services de campagne restent à terminer.</x:v>
      </x:c>
    </x:row>
    <x:row r="1070" ht="96" customHeight="1">
      <x:c r="A1070" s="115" t="str">
        <x:v>EXT-MONDE-T022-V15</x:v>
      </x:c>
      <x:c r="B1070" s="115" t="str">
        <x:v>EXT-MONDE-T022</x:v>
      </x:c>
      <x:c r="C1070" s="115" t="str">
        <x:v>Fermes élevage</x:v>
      </x:c>
      <x:c r="D1070" s="115" t="str">
        <x:v>Élevage ovin</x:v>
      </x:c>
      <x:c r="E1070" s="115" t="n">
        <x:v>15</x:v>
      </x:c>
      <x:c r="F1070" s="115" t="str">
        <x:v>Inspection physique</x:v>
      </x:c>
      <x:c r="G1070" s="115" t="str">
        <x:v>1 niveaux ; 28 pièces ; 210 segments de mur ; 0 transitions. Inspection physique ; architecture complète encore ouverte.</x:v>
      </x:c>
      <x:c r="H1070" s="115" t="str">
        <x:v>L 280 ; l 248 ; hauteur 7 m ; choix de composition auteur ; dimensions réelles à documenter</x:v>
      </x:c>
      <x:c r="I1070" s="115" t="str">
        <x:v>À équilibrer</x:v>
      </x:c>
      <x:c r="J1070" s="115" t="str">
        <x:v>Non</x:v>
      </x:c>
      <x:c r="K1070" s="115" t="str">
        <x:v>Pièces décrites, murs, portes, niveaux et mobilier inspectables à l’échelle. Volumes réservés, raccord au seed, butin, rencontres et services de campagne restent à terminer.</x:v>
      </x:c>
    </x:row>
    <x:row r="1071" ht="96" customHeight="1">
      <x:c r="A1071" s="115" t="str">
        <x:v>EXT-MONDE-T022-V16</x:v>
      </x:c>
      <x:c r="B1071" s="115" t="str">
        <x:v>EXT-MONDE-T022</x:v>
      </x:c>
      <x:c r="C1071" s="115" t="str">
        <x:v>Fermes élevage</x:v>
      </x:c>
      <x:c r="D1071" s="115" t="str">
        <x:v>Élevage ovin</x:v>
      </x:c>
      <x:c r="E1071" s="115" t="n">
        <x:v>16</x:v>
      </x:c>
      <x:c r="F1071" s="115" t="str">
        <x:v>Inspection physique</x:v>
      </x:c>
      <x:c r="G1071" s="115" t="str">
        <x:v>1 niveaux ; 28 pièces ; 210 segments de mur ; 0 transitions. Inspection physique ; architecture complète encore ouverte.</x:v>
      </x:c>
      <x:c r="H1071" s="115" t="str">
        <x:v>L 280 ; l 248 ; hauteur 7 m ; choix de composition auteur ; dimensions réelles à documenter</x:v>
      </x:c>
      <x:c r="I1071" s="115" t="str">
        <x:v>À équilibrer</x:v>
      </x:c>
      <x:c r="J1071" s="115" t="str">
        <x:v>Non</x:v>
      </x:c>
      <x:c r="K1071" s="115" t="str">
        <x:v>Pièces décrites, murs, portes, niveaux et mobilier inspectables à l’échelle. Volumes réservés, raccord au seed, butin, rencontres et services de campagne restent à terminer.</x:v>
      </x:c>
    </x:row>
    <x:row r="1072" ht="96" customHeight="1">
      <x:c r="A1072" s="115" t="str">
        <x:v>EXT-MONDE-T022-V17</x:v>
      </x:c>
      <x:c r="B1072" s="115" t="str">
        <x:v>EXT-MONDE-T022</x:v>
      </x:c>
      <x:c r="C1072" s="115" t="str">
        <x:v>Fermes élevage</x:v>
      </x:c>
      <x:c r="D1072" s="115" t="str">
        <x:v>Élevage ovin</x:v>
      </x:c>
      <x:c r="E1072" s="115" t="n">
        <x:v>17</x:v>
      </x:c>
      <x:c r="F1072" s="115" t="str">
        <x:v>Inspection physique</x:v>
      </x:c>
      <x:c r="G1072" s="115" t="str">
        <x:v>1 niveaux ; 28 pièces ; 210 segments de mur ; 0 transitions. Inspection physique ; architecture complète encore ouverte.</x:v>
      </x:c>
      <x:c r="H1072" s="115" t="str">
        <x:v>L 280 ; l 248 ; hauteur 7 m ; choix de composition auteur ; dimensions réelles à documenter</x:v>
      </x:c>
      <x:c r="I1072" s="115" t="str">
        <x:v>À équilibrer</x:v>
      </x:c>
      <x:c r="J1072" s="115" t="str">
        <x:v>Non</x:v>
      </x:c>
      <x:c r="K1072" s="115" t="str">
        <x:v>Pièces décrites, murs, portes, niveaux et mobilier inspectables à l’échelle. Volumes réservés, raccord au seed, butin, rencontres et services de campagne restent à terminer.</x:v>
      </x:c>
    </x:row>
    <x:row r="1073" ht="96" customHeight="1">
      <x:c r="A1073" s="115" t="str">
        <x:v>EXT-MONDE-T022-V18</x:v>
      </x:c>
      <x:c r="B1073" s="115" t="str">
        <x:v>EXT-MONDE-T022</x:v>
      </x:c>
      <x:c r="C1073" s="115" t="str">
        <x:v>Fermes élevage</x:v>
      </x:c>
      <x:c r="D1073" s="115" t="str">
        <x:v>Élevage ovin</x:v>
      </x:c>
      <x:c r="E1073" s="115" t="n">
        <x:v>18</x:v>
      </x:c>
      <x:c r="F1073" s="115" t="str">
        <x:v>Inspection physique</x:v>
      </x:c>
      <x:c r="G1073" s="115" t="str">
        <x:v>1 niveaux ; 28 pièces ; 210 segments de mur ; 0 transitions. Inspection physique ; architecture complète encore ouverte.</x:v>
      </x:c>
      <x:c r="H1073" s="115" t="str">
        <x:v>L 280 ; l 248 ; hauteur 7 m ; choix de composition auteur ; dimensions réelles à documenter</x:v>
      </x:c>
      <x:c r="I1073" s="115" t="str">
        <x:v>À équilibrer</x:v>
      </x:c>
      <x:c r="J1073" s="115" t="str">
        <x:v>Non</x:v>
      </x:c>
      <x:c r="K1073" s="115" t="str">
        <x:v>Pièces décrites, murs, portes, niveaux et mobilier inspectables à l’échelle. Volumes réservés, raccord au seed, butin, rencontres et services de campagne restent à terminer.</x:v>
      </x:c>
    </x:row>
    <x:row r="1074" ht="96" customHeight="1">
      <x:c r="A1074" s="115" t="str">
        <x:v>EXT-MONDE-T022-V19</x:v>
      </x:c>
      <x:c r="B1074" s="115" t="str">
        <x:v>EXT-MONDE-T022</x:v>
      </x:c>
      <x:c r="C1074" s="115" t="str">
        <x:v>Fermes élevage</x:v>
      </x:c>
      <x:c r="D1074" s="115" t="str">
        <x:v>Élevage ovin</x:v>
      </x:c>
      <x:c r="E1074" s="115" t="n">
        <x:v>19</x:v>
      </x:c>
      <x:c r="F1074" s="115" t="str">
        <x:v>Inspection physique</x:v>
      </x:c>
      <x:c r="G1074" s="115" t="str">
        <x:v>1 niveaux ; 28 pièces ; 210 segments de mur ; 0 transitions. Inspection physique ; architecture complète encore ouverte.</x:v>
      </x:c>
      <x:c r="H1074" s="115" t="str">
        <x:v>L 280 ; l 248 ; hauteur 7 m ; choix de composition auteur ; dimensions réelles à documenter</x:v>
      </x:c>
      <x:c r="I1074" s="115" t="str">
        <x:v>À équilibrer</x:v>
      </x:c>
      <x:c r="J1074" s="115" t="str">
        <x:v>Non</x:v>
      </x:c>
      <x:c r="K1074" s="115" t="str">
        <x:v>Pièces décrites, murs, portes, niveaux et mobilier inspectables à l’échelle. Volumes réservés, raccord au seed, butin, rencontres et services de campagne restent à terminer.</x:v>
      </x:c>
    </x:row>
    <x:row r="1075" ht="96" customHeight="1">
      <x:c r="A1075" s="115" t="str">
        <x:v>EXT-MONDE-T022-V20</x:v>
      </x:c>
      <x:c r="B1075" s="115" t="str">
        <x:v>EXT-MONDE-T022</x:v>
      </x:c>
      <x:c r="C1075" s="115" t="str">
        <x:v>Fermes élevage</x:v>
      </x:c>
      <x:c r="D1075" s="115" t="str">
        <x:v>Élevage ovin</x:v>
      </x:c>
      <x:c r="E1075" s="115" t="n">
        <x:v>20</x:v>
      </x:c>
      <x:c r="F1075" s="115" t="str">
        <x:v>Inspection physique</x:v>
      </x:c>
      <x:c r="G1075" s="115" t="str">
        <x:v>1 niveaux ; 28 pièces ; 210 segments de mur ; 0 transitions. Inspection physique ; architecture complète encore ouverte.</x:v>
      </x:c>
      <x:c r="H1075" s="115" t="str">
        <x:v>L 280 ; l 248 ; hauteur 7 m ; choix de composition auteur ; dimensions réelles à documenter</x:v>
      </x:c>
      <x:c r="I1075" s="115" t="str">
        <x:v>À équilibrer</x:v>
      </x:c>
      <x:c r="J1075" s="115" t="str">
        <x:v>Non</x:v>
      </x:c>
      <x:c r="K1075" s="115" t="str">
        <x:v>Pièces décrites, murs, portes, niveaux et mobilier inspectables à l’échelle. Volumes réservés, raccord au seed, butin, rencontres et services de campagne restent à terminer.</x:v>
      </x:c>
    </x:row>
    <x:row r="1076" ht="96" customHeight="1">
      <x:c r="A1076" s="115" t="str">
        <x:v>EXT-MONDE-T022-V21</x:v>
      </x:c>
      <x:c r="B1076" s="115" t="str">
        <x:v>EXT-MONDE-T022</x:v>
      </x:c>
      <x:c r="C1076" s="115" t="str">
        <x:v>Fermes élevage</x:v>
      </x:c>
      <x:c r="D1076" s="115" t="str">
        <x:v>Élevage ovin</x:v>
      </x:c>
      <x:c r="E1076" s="115" t="n">
        <x:v>21</x:v>
      </x:c>
      <x:c r="F1076" s="115" t="str">
        <x:v>Inspection physique</x:v>
      </x:c>
      <x:c r="G1076" s="115" t="str">
        <x:v>1 niveaux ; 28 pièces ; 210 segments de mur ; 0 transitions. Inspection physique ; architecture complète encore ouverte.</x:v>
      </x:c>
      <x:c r="H1076" s="115" t="str">
        <x:v>L 300 ; l 272 ; hauteur 7 m ; choix de composition auteur ; dimensions réelles à documenter</x:v>
      </x:c>
      <x:c r="I1076" s="115" t="str">
        <x:v>À équilibrer</x:v>
      </x:c>
      <x:c r="J1076" s="115" t="str">
        <x:v>Non</x:v>
      </x:c>
      <x:c r="K1076" s="115" t="str">
        <x:v>Pièces décrites, murs, portes, niveaux et mobilier inspectables à l’échelle. Volumes réservés, raccord au seed, butin, rencontres et services de campagne restent à terminer.</x:v>
      </x:c>
    </x:row>
    <x:row r="1077" ht="96" customHeight="1">
      <x:c r="A1077" s="115" t="str">
        <x:v>EXT-MONDE-T022-V22</x:v>
      </x:c>
      <x:c r="B1077" s="115" t="str">
        <x:v>EXT-MONDE-T022</x:v>
      </x:c>
      <x:c r="C1077" s="115" t="str">
        <x:v>Fermes élevage</x:v>
      </x:c>
      <x:c r="D1077" s="115" t="str">
        <x:v>Élevage ovin</x:v>
      </x:c>
      <x:c r="E1077" s="115" t="n">
        <x:v>22</x:v>
      </x:c>
      <x:c r="F1077" s="115" t="str">
        <x:v>Inspection physique</x:v>
      </x:c>
      <x:c r="G1077" s="115" t="str">
        <x:v>1 niveaux ; 28 pièces ; 210 segments de mur ; 0 transitions. Inspection physique ; architecture complète encore ouverte.</x:v>
      </x:c>
      <x:c r="H1077" s="115" t="str">
        <x:v>L 300 ; l 272 ; hauteur 7 m ; choix de composition auteur ; dimensions réelles à documenter</x:v>
      </x:c>
      <x:c r="I1077" s="115" t="str">
        <x:v>À équilibrer</x:v>
      </x:c>
      <x:c r="J1077" s="115" t="str">
        <x:v>Non</x:v>
      </x:c>
      <x:c r="K1077" s="115" t="str">
        <x:v>Pièces décrites, murs, portes, niveaux et mobilier inspectables à l’échelle. Volumes réservés, raccord au seed, butin, rencontres et services de campagne restent à terminer.</x:v>
      </x:c>
    </x:row>
    <x:row r="1078" ht="96" customHeight="1">
      <x:c r="A1078" s="115" t="str">
        <x:v>EXT-MONDE-T022-V23</x:v>
      </x:c>
      <x:c r="B1078" s="115" t="str">
        <x:v>EXT-MONDE-T022</x:v>
      </x:c>
      <x:c r="C1078" s="115" t="str">
        <x:v>Fermes élevage</x:v>
      </x:c>
      <x:c r="D1078" s="115" t="str">
        <x:v>Élevage ovin</x:v>
      </x:c>
      <x:c r="E1078" s="115" t="n">
        <x:v>23</x:v>
      </x:c>
      <x:c r="F1078" s="115" t="str">
        <x:v>Inspection physique</x:v>
      </x:c>
      <x:c r="G1078" s="115" t="str">
        <x:v>1 niveaux ; 28 pièces ; 210 segments de mur ; 0 transitions. Inspection physique ; architecture complète encore ouverte.</x:v>
      </x:c>
      <x:c r="H1078" s="115" t="str">
        <x:v>L 300 ; l 272 ; hauteur 7 m ; choix de composition auteur ; dimensions réelles à documenter</x:v>
      </x:c>
      <x:c r="I1078" s="115" t="str">
        <x:v>À équilibrer</x:v>
      </x:c>
      <x:c r="J1078" s="115" t="str">
        <x:v>Non</x:v>
      </x:c>
      <x:c r="K1078" s="115" t="str">
        <x:v>Pièces décrites, murs, portes, niveaux et mobilier inspectables à l’échelle. Volumes réservés, raccord au seed, butin, rencontres et services de campagne restent à terminer.</x:v>
      </x:c>
    </x:row>
    <x:row r="1079" ht="96" customHeight="1">
      <x:c r="A1079" s="115" t="str">
        <x:v>EXT-MONDE-T022-V24</x:v>
      </x:c>
      <x:c r="B1079" s="115" t="str">
        <x:v>EXT-MONDE-T022</x:v>
      </x:c>
      <x:c r="C1079" s="115" t="str">
        <x:v>Fermes élevage</x:v>
      </x:c>
      <x:c r="D1079" s="115" t="str">
        <x:v>Élevage ovin</x:v>
      </x:c>
      <x:c r="E1079" s="115" t="n">
        <x:v>24</x:v>
      </x:c>
      <x:c r="F1079" s="115" t="str">
        <x:v>Inspection physique</x:v>
      </x:c>
      <x:c r="G1079" s="115" t="str">
        <x:v>1 niveaux ; 28 pièces ; 210 segments de mur ; 0 transitions. Inspection physique ; architecture complète encore ouverte.</x:v>
      </x:c>
      <x:c r="H1079" s="115" t="str">
        <x:v>L 300 ; l 272 ; hauteur 7 m ; choix de composition auteur ; dimensions réelles à documenter</x:v>
      </x:c>
      <x:c r="I1079" s="115" t="str">
        <x:v>À équilibrer</x:v>
      </x:c>
      <x:c r="J1079" s="115" t="str">
        <x:v>Non</x:v>
      </x:c>
      <x:c r="K1079" s="115" t="str">
        <x:v>Pièces décrites, murs, portes, niveaux et mobilier inspectables à l’échelle. Volumes réservés, raccord au seed, butin, rencontres et services de campagne restent à terminer.</x:v>
      </x:c>
    </x:row>
    <x:row r="1080" ht="96" customHeight="1">
      <x:c r="A1080" s="115" t="str">
        <x:v>EXT-MONDE-T022-V25</x:v>
      </x:c>
      <x:c r="B1080" s="115" t="str">
        <x:v>EXT-MONDE-T022</x:v>
      </x:c>
      <x:c r="C1080" s="115" t="str">
        <x:v>Fermes élevage</x:v>
      </x:c>
      <x:c r="D1080" s="115" t="str">
        <x:v>Élevage ovin</x:v>
      </x:c>
      <x:c r="E1080" s="115" t="n">
        <x:v>25</x:v>
      </x:c>
      <x:c r="F1080" s="115" t="str">
        <x:v>Inspection physique</x:v>
      </x:c>
      <x:c r="G1080" s="115" t="str">
        <x:v>1 niveaux ; 28 pièces ; 210 segments de mur ; 0 transitions. Inspection physique ; architecture complète encore ouverte.</x:v>
      </x:c>
      <x:c r="H1080" s="115" t="str">
        <x:v>L 300 ; l 272 ; hauteur 7 m ; choix de composition auteur ; dimensions réelles à documenter</x:v>
      </x:c>
      <x:c r="I1080" s="115" t="str">
        <x:v>À équilibrer</x:v>
      </x:c>
      <x:c r="J1080" s="115" t="str">
        <x:v>Non</x:v>
      </x:c>
      <x:c r="K1080" s="115" t="str">
        <x:v>Pièces décrites, murs, portes, niveaux et mobilier inspectables à l’échelle. Volumes réservés, raccord au seed, butin, rencontres et services de campagne restent à terminer.</x:v>
      </x:c>
    </x:row>
    <x:row r="1081" ht="96" customHeight="1">
      <x:c r="A1081" s="115" t="str">
        <x:v>EXT-MONDE-T022-V26</x:v>
      </x:c>
      <x:c r="B1081" s="115" t="str">
        <x:v>EXT-MONDE-T022</x:v>
      </x:c>
      <x:c r="C1081" s="115" t="str">
        <x:v>Fermes élevage</x:v>
      </x:c>
      <x:c r="D1081" s="115" t="str">
        <x:v>Élevage ovin</x:v>
      </x:c>
      <x:c r="E1081" s="115" t="n">
        <x:v>26</x:v>
      </x:c>
      <x:c r="F1081" s="115" t="str">
        <x:v>Inspection physique</x:v>
      </x:c>
      <x:c r="G1081" s="115" t="str">
        <x:v>1 niveaux ; 28 pièces ; 210 segments de mur ; 0 transitions. Inspection physique ; architecture complète encore ouverte.</x:v>
      </x:c>
      <x:c r="H1081" s="115" t="str">
        <x:v>L 300 ; l 272 ; hauteur 7 m ; choix de composition auteur ; dimensions réelles à documenter</x:v>
      </x:c>
      <x:c r="I1081" s="115" t="str">
        <x:v>À équilibrer</x:v>
      </x:c>
      <x:c r="J1081" s="115" t="str">
        <x:v>Non</x:v>
      </x:c>
      <x:c r="K1081" s="115" t="str">
        <x:v>Pièces décrites, murs, portes, niveaux et mobilier inspectables à l’échelle. Volumes réservés, raccord au seed, butin, rencontres et services de campagne restent à terminer.</x:v>
      </x:c>
    </x:row>
    <x:row r="1082" ht="96" customHeight="1">
      <x:c r="A1082" s="115" t="str">
        <x:v>EXT-MONDE-T022-V27</x:v>
      </x:c>
      <x:c r="B1082" s="115" t="str">
        <x:v>EXT-MONDE-T022</x:v>
      </x:c>
      <x:c r="C1082" s="115" t="str">
        <x:v>Fermes élevage</x:v>
      </x:c>
      <x:c r="D1082" s="115" t="str">
        <x:v>Élevage ovin</x:v>
      </x:c>
      <x:c r="E1082" s="115" t="n">
        <x:v>27</x:v>
      </x:c>
      <x:c r="F1082" s="115" t="str">
        <x:v>Inspection physique</x:v>
      </x:c>
      <x:c r="G1082" s="115" t="str">
        <x:v>1 niveaux ; 28 pièces ; 210 segments de mur ; 0 transitions. Inspection physique ; architecture complète encore ouverte.</x:v>
      </x:c>
      <x:c r="H1082" s="115" t="str">
        <x:v>L 300 ; l 272 ; hauteur 7 m ; choix de composition auteur ; dimensions réelles à documenter</x:v>
      </x:c>
      <x:c r="I1082" s="115" t="str">
        <x:v>À équilibrer</x:v>
      </x:c>
      <x:c r="J1082" s="115" t="str">
        <x:v>Non</x:v>
      </x:c>
      <x:c r="K1082" s="115" t="str">
        <x:v>Pièces décrites, murs, portes, niveaux et mobilier inspectables à l’échelle. Volumes réservés, raccord au seed, butin, rencontres et services de campagne restent à terminer.</x:v>
      </x:c>
    </x:row>
    <x:row r="1083" ht="96" customHeight="1">
      <x:c r="A1083" s="115" t="str">
        <x:v>EXT-MONDE-T022-V28</x:v>
      </x:c>
      <x:c r="B1083" s="115" t="str">
        <x:v>EXT-MONDE-T022</x:v>
      </x:c>
      <x:c r="C1083" s="115" t="str">
        <x:v>Fermes élevage</x:v>
      </x:c>
      <x:c r="D1083" s="115" t="str">
        <x:v>Élevage ovin</x:v>
      </x:c>
      <x:c r="E1083" s="115" t="n">
        <x:v>28</x:v>
      </x:c>
      <x:c r="F1083" s="115" t="str">
        <x:v>Inspection physique</x:v>
      </x:c>
      <x:c r="G1083" s="115" t="str">
        <x:v>1 niveaux ; 28 pièces ; 210 segments de mur ; 0 transitions. Inspection physique ; architecture complète encore ouverte.</x:v>
      </x:c>
      <x:c r="H1083" s="115" t="str">
        <x:v>L 300 ; l 272 ; hauteur 7 m ; choix de composition auteur ; dimensions réelles à documenter</x:v>
      </x:c>
      <x:c r="I1083" s="115" t="str">
        <x:v>À équilibrer</x:v>
      </x:c>
      <x:c r="J1083" s="115" t="str">
        <x:v>Non</x:v>
      </x:c>
      <x:c r="K1083" s="115" t="str">
        <x:v>Pièces décrites, murs, portes, niveaux et mobilier inspectables à l’échelle. Volumes réservés, raccord au seed, butin, rencontres et services de campagne restent à terminer.</x:v>
      </x:c>
    </x:row>
    <x:row r="1084" ht="96" customHeight="1">
      <x:c r="A1084" s="115" t="str">
        <x:v>EXT-MONDE-T022-V29</x:v>
      </x:c>
      <x:c r="B1084" s="115" t="str">
        <x:v>EXT-MONDE-T022</x:v>
      </x:c>
      <x:c r="C1084" s="115" t="str">
        <x:v>Fermes élevage</x:v>
      </x:c>
      <x:c r="D1084" s="115" t="str">
        <x:v>Élevage ovin</x:v>
      </x:c>
      <x:c r="E1084" s="115" t="n">
        <x:v>29</x:v>
      </x:c>
      <x:c r="F1084" s="115" t="str">
        <x:v>Inspection physique</x:v>
      </x:c>
      <x:c r="G1084" s="115" t="str">
        <x:v>1 niveaux ; 28 pièces ; 210 segments de mur ; 0 transitions. Inspection physique ; architecture complète encore ouverte.</x:v>
      </x:c>
      <x:c r="H1084" s="115" t="str">
        <x:v>L 300 ; l 272 ; hauteur 7 m ; choix de composition auteur ; dimensions réelles à documenter</x:v>
      </x:c>
      <x:c r="I1084" s="115" t="str">
        <x:v>À équilibrer</x:v>
      </x:c>
      <x:c r="J1084" s="115" t="str">
        <x:v>Non</x:v>
      </x:c>
      <x:c r="K1084" s="115" t="str">
        <x:v>Pièces décrites, murs, portes, niveaux et mobilier inspectables à l’échelle. Volumes réservés, raccord au seed, butin, rencontres et services de campagne restent à terminer.</x:v>
      </x:c>
    </x:row>
    <x:row r="1085" ht="96" customHeight="1">
      <x:c r="A1085" s="115" t="str">
        <x:v>EXT-MONDE-T022-V30</x:v>
      </x:c>
      <x:c r="B1085" s="115" t="str">
        <x:v>EXT-MONDE-T022</x:v>
      </x:c>
      <x:c r="C1085" s="115" t="str">
        <x:v>Fermes élevage</x:v>
      </x:c>
      <x:c r="D1085" s="115" t="str">
        <x:v>Élevage ovin</x:v>
      </x:c>
      <x:c r="E1085" s="115" t="n">
        <x:v>30</x:v>
      </x:c>
      <x:c r="F1085" s="115" t="str">
        <x:v>Inspection physique</x:v>
      </x:c>
      <x:c r="G1085" s="115" t="str">
        <x:v>1 niveaux ; 28 pièces ; 210 segments de mur ; 0 transitions. Inspection physique ; architecture complète encore ouverte.</x:v>
      </x:c>
      <x:c r="H1085" s="115" t="str">
        <x:v>L 300 ; l 272 ; hauteur 7 m ; choix de composition auteur ; dimensions réelles à documenter</x:v>
      </x:c>
      <x:c r="I1085" s="115" t="str">
        <x:v>À équilibrer</x:v>
      </x:c>
      <x:c r="J1085" s="115" t="str">
        <x:v>Non</x:v>
      </x:c>
      <x:c r="K1085" s="115" t="str">
        <x:v>Pièces décrites, murs, portes, niveaux et mobilier inspectables à l’échelle. Volumes réservés, raccord au seed, butin, rencontres et services de campagne restent à terminer.</x:v>
      </x:c>
    </x:row>
    <x:row r="1086" ht="96" customHeight="1">
      <x:c r="A1086" s="115" t="str">
        <x:v>EXT-MONDE-T022-V31</x:v>
      </x:c>
      <x:c r="B1086" s="115" t="str">
        <x:v>EXT-MONDE-T022</x:v>
      </x:c>
      <x:c r="C1086" s="115" t="str">
        <x:v>Fermes élevage</x:v>
      </x:c>
      <x:c r="D1086" s="115" t="str">
        <x:v>Élevage ovin</x:v>
      </x:c>
      <x:c r="E1086" s="115" t="n">
        <x:v>31</x:v>
      </x:c>
      <x:c r="F1086" s="115" t="str">
        <x:v>Inspection physique</x:v>
      </x:c>
      <x:c r="G1086" s="115" t="str">
        <x:v>1 niveaux ; 28 pièces ; 210 segments de mur ; 0 transitions. Inspection physique ; architecture complète encore ouverte.</x:v>
      </x:c>
      <x:c r="H1086" s="115" t="str">
        <x:v>L 320 ; l 296 ; hauteur 7,1 m ; choix de composition auteur ; dimensions réelles à documenter</x:v>
      </x:c>
      <x:c r="I1086" s="115" t="str">
        <x:v>À équilibrer</x:v>
      </x:c>
      <x:c r="J1086" s="115" t="str">
        <x:v>Non</x:v>
      </x:c>
      <x:c r="K1086" s="115" t="str">
        <x:v>Pièces décrites, murs, portes, niveaux et mobilier inspectables à l’échelle. Volumes réservés, raccord au seed, butin, rencontres et services de campagne restent à terminer.</x:v>
      </x:c>
    </x:row>
    <x:row r="1087" ht="96" customHeight="1">
      <x:c r="A1087" s="115" t="str">
        <x:v>EXT-MONDE-T022-V32</x:v>
      </x:c>
      <x:c r="B1087" s="115" t="str">
        <x:v>EXT-MONDE-T022</x:v>
      </x:c>
      <x:c r="C1087" s="115" t="str">
        <x:v>Fermes élevage</x:v>
      </x:c>
      <x:c r="D1087" s="115" t="str">
        <x:v>Élevage ovin</x:v>
      </x:c>
      <x:c r="E1087" s="115" t="n">
        <x:v>32</x:v>
      </x:c>
      <x:c r="F1087" s="115" t="str">
        <x:v>Inspection physique</x:v>
      </x:c>
      <x:c r="G1087" s="115" t="str">
        <x:v>1 niveaux ; 28 pièces ; 210 segments de mur ; 0 transitions. Inspection physique ; architecture complète encore ouverte.</x:v>
      </x:c>
      <x:c r="H1087" s="115" t="str">
        <x:v>L 320 ; l 296 ; hauteur 7,1 m ; choix de composition auteur ; dimensions réelles à documenter</x:v>
      </x:c>
      <x:c r="I1087" s="115" t="str">
        <x:v>À équilibrer</x:v>
      </x:c>
      <x:c r="J1087" s="115" t="str">
        <x:v>Non</x:v>
      </x:c>
      <x:c r="K1087" s="115" t="str">
        <x:v>Pièces décrites, murs, portes, niveaux et mobilier inspectables à l’échelle. Volumes réservés, raccord au seed, butin, rencontres et services de campagne restent à terminer.</x:v>
      </x:c>
    </x:row>
    <x:row r="1088" ht="96" customHeight="1">
      <x:c r="A1088" s="115" t="str">
        <x:v>EXT-MONDE-T022-V33</x:v>
      </x:c>
      <x:c r="B1088" s="115" t="str">
        <x:v>EXT-MONDE-T022</x:v>
      </x:c>
      <x:c r="C1088" s="115" t="str">
        <x:v>Fermes élevage</x:v>
      </x:c>
      <x:c r="D1088" s="115" t="str">
        <x:v>Élevage ovin</x:v>
      </x:c>
      <x:c r="E1088" s="115" t="n">
        <x:v>33</x:v>
      </x:c>
      <x:c r="F1088" s="115" t="str">
        <x:v>Inspection physique</x:v>
      </x:c>
      <x:c r="G1088" s="115" t="str">
        <x:v>1 niveaux ; 28 pièces ; 210 segments de mur ; 0 transitions. Inspection physique ; architecture complète encore ouverte.</x:v>
      </x:c>
      <x:c r="H1088" s="115" t="str">
        <x:v>L 320 ; l 296 ; hauteur 7,1 m ; choix de composition auteur ; dimensions réelles à documenter</x:v>
      </x:c>
      <x:c r="I1088" s="115" t="str">
        <x:v>À équilibrer</x:v>
      </x:c>
      <x:c r="J1088" s="115" t="str">
        <x:v>Non</x:v>
      </x:c>
      <x:c r="K1088" s="115" t="str">
        <x:v>Pièces décrites, murs, portes, niveaux et mobilier inspectables à l’échelle. Volumes réservés, raccord au seed, butin, rencontres et services de campagne restent à terminer.</x:v>
      </x:c>
    </x:row>
    <x:row r="1089" ht="96" customHeight="1">
      <x:c r="A1089" s="115" t="str">
        <x:v>EXT-MONDE-T022-V34</x:v>
      </x:c>
      <x:c r="B1089" s="115" t="str">
        <x:v>EXT-MONDE-T022</x:v>
      </x:c>
      <x:c r="C1089" s="115" t="str">
        <x:v>Fermes élevage</x:v>
      </x:c>
      <x:c r="D1089" s="115" t="str">
        <x:v>Élevage ovin</x:v>
      </x:c>
      <x:c r="E1089" s="115" t="n">
        <x:v>34</x:v>
      </x:c>
      <x:c r="F1089" s="115" t="str">
        <x:v>Inspection physique</x:v>
      </x:c>
      <x:c r="G1089" s="115" t="str">
        <x:v>1 niveaux ; 28 pièces ; 210 segments de mur ; 0 transitions. Inspection physique ; architecture complète encore ouverte.</x:v>
      </x:c>
      <x:c r="H1089" s="115" t="str">
        <x:v>L 320 ; l 296 ; hauteur 7,1 m ; choix de composition auteur ; dimensions réelles à documenter</x:v>
      </x:c>
      <x:c r="I1089" s="115" t="str">
        <x:v>À équilibrer</x:v>
      </x:c>
      <x:c r="J1089" s="115" t="str">
        <x:v>Non</x:v>
      </x:c>
      <x:c r="K1089" s="115" t="str">
        <x:v>Pièces décrites, murs, portes, niveaux et mobilier inspectables à l’échelle. Volumes réservés, raccord au seed, butin, rencontres et services de campagne restent à terminer.</x:v>
      </x:c>
    </x:row>
    <x:row r="1090" ht="96" customHeight="1">
      <x:c r="A1090" s="115" t="str">
        <x:v>EXT-MONDE-T022-V35</x:v>
      </x:c>
      <x:c r="B1090" s="115" t="str">
        <x:v>EXT-MONDE-T022</x:v>
      </x:c>
      <x:c r="C1090" s="115" t="str">
        <x:v>Fermes élevage</x:v>
      </x:c>
      <x:c r="D1090" s="115" t="str">
        <x:v>Élevage ovin</x:v>
      </x:c>
      <x:c r="E1090" s="115" t="n">
        <x:v>35</x:v>
      </x:c>
      <x:c r="F1090" s="115" t="str">
        <x:v>Inspection physique</x:v>
      </x:c>
      <x:c r="G1090" s="115" t="str">
        <x:v>1 niveaux ; 28 pièces ; 210 segments de mur ; 0 transitions. Inspection physique ; architecture complète encore ouverte.</x:v>
      </x:c>
      <x:c r="H1090" s="115" t="str">
        <x:v>L 320 ; l 296 ; hauteur 7,1 m ; choix de composition auteur ; dimensions réelles à documenter</x:v>
      </x:c>
      <x:c r="I1090" s="115" t="str">
        <x:v>À équilibrer</x:v>
      </x:c>
      <x:c r="J1090" s="115" t="str">
        <x:v>Non</x:v>
      </x:c>
      <x:c r="K1090" s="115" t="str">
        <x:v>Pièces décrites, murs, portes, niveaux et mobilier inspectables à l’échelle. Volumes réservés, raccord au seed, butin, rencontres et services de campagne restent à terminer.</x:v>
      </x:c>
    </x:row>
    <x:row r="1091" ht="96" customHeight="1">
      <x:c r="A1091" s="115" t="str">
        <x:v>EXT-MONDE-T022-V36</x:v>
      </x:c>
      <x:c r="B1091" s="115" t="str">
        <x:v>EXT-MONDE-T022</x:v>
      </x:c>
      <x:c r="C1091" s="115" t="str">
        <x:v>Fermes élevage</x:v>
      </x:c>
      <x:c r="D1091" s="115" t="str">
        <x:v>Élevage ovin</x:v>
      </x:c>
      <x:c r="E1091" s="115" t="n">
        <x:v>36</x:v>
      </x:c>
      <x:c r="F1091" s="115" t="str">
        <x:v>Inspection physique</x:v>
      </x:c>
      <x:c r="G1091" s="115" t="str">
        <x:v>1 niveaux ; 28 pièces ; 210 segments de mur ; 0 transitions. Inspection physique ; architecture complète encore ouverte.</x:v>
      </x:c>
      <x:c r="H1091" s="115" t="str">
        <x:v>L 320 ; l 296 ; hauteur 7,1 m ; choix de composition auteur ; dimensions réelles à documenter</x:v>
      </x:c>
      <x:c r="I1091" s="115" t="str">
        <x:v>À équilibrer</x:v>
      </x:c>
      <x:c r="J1091" s="115" t="str">
        <x:v>Non</x:v>
      </x:c>
      <x:c r="K1091" s="115" t="str">
        <x:v>Pièces décrites, murs, portes, niveaux et mobilier inspectables à l’échelle. Volumes réservés, raccord au seed, butin, rencontres et services de campagne restent à terminer.</x:v>
      </x:c>
    </x:row>
    <x:row r="1092" ht="96" customHeight="1">
      <x:c r="A1092" s="115" t="str">
        <x:v>EXT-MONDE-T022-V37</x:v>
      </x:c>
      <x:c r="B1092" s="115" t="str">
        <x:v>EXT-MONDE-T022</x:v>
      </x:c>
      <x:c r="C1092" s="115" t="str">
        <x:v>Fermes élevage</x:v>
      </x:c>
      <x:c r="D1092" s="115" t="str">
        <x:v>Élevage ovin</x:v>
      </x:c>
      <x:c r="E1092" s="115" t="n">
        <x:v>37</x:v>
      </x:c>
      <x:c r="F1092" s="115" t="str">
        <x:v>Inspection physique</x:v>
      </x:c>
      <x:c r="G1092" s="115" t="str">
        <x:v>1 niveaux ; 28 pièces ; 210 segments de mur ; 0 transitions. Inspection physique ; architecture complète encore ouverte.</x:v>
      </x:c>
      <x:c r="H1092" s="115" t="str">
        <x:v>L 320 ; l 296 ; hauteur 7,1 m ; choix de composition auteur ; dimensions réelles à documenter</x:v>
      </x:c>
      <x:c r="I1092" s="115" t="str">
        <x:v>À équilibrer</x:v>
      </x:c>
      <x:c r="J1092" s="115" t="str">
        <x:v>Non</x:v>
      </x:c>
      <x:c r="K1092" s="115" t="str">
        <x:v>Pièces décrites, murs, portes, niveaux et mobilier inspectables à l’échelle. Volumes réservés, raccord au seed, butin, rencontres et services de campagne restent à terminer.</x:v>
      </x:c>
    </x:row>
    <x:row r="1093" ht="96" customHeight="1">
      <x:c r="A1093" s="115" t="str">
        <x:v>EXT-MONDE-T022-V38</x:v>
      </x:c>
      <x:c r="B1093" s="115" t="str">
        <x:v>EXT-MONDE-T022</x:v>
      </x:c>
      <x:c r="C1093" s="115" t="str">
        <x:v>Fermes élevage</x:v>
      </x:c>
      <x:c r="D1093" s="115" t="str">
        <x:v>Élevage ovin</x:v>
      </x:c>
      <x:c r="E1093" s="115" t="n">
        <x:v>38</x:v>
      </x:c>
      <x:c r="F1093" s="115" t="str">
        <x:v>Inspection physique</x:v>
      </x:c>
      <x:c r="G1093" s="115" t="str">
        <x:v>1 niveaux ; 28 pièces ; 210 segments de mur ; 0 transitions. Inspection physique ; architecture complète encore ouverte.</x:v>
      </x:c>
      <x:c r="H1093" s="115" t="str">
        <x:v>L 320 ; l 296 ; hauteur 7,1 m ; choix de composition auteur ; dimensions réelles à documenter</x:v>
      </x:c>
      <x:c r="I1093" s="115" t="str">
        <x:v>À équilibrer</x:v>
      </x:c>
      <x:c r="J1093" s="115" t="str">
        <x:v>Non</x:v>
      </x:c>
      <x:c r="K1093" s="115" t="str">
        <x:v>Pièces décrites, murs, portes, niveaux et mobilier inspectables à l’échelle. Volumes réservés, raccord au seed, butin, rencontres et services de campagne restent à terminer.</x:v>
      </x:c>
    </x:row>
    <x:row r="1094" ht="96" customHeight="1">
      <x:c r="A1094" s="115" t="str">
        <x:v>EXT-MONDE-T022-V39</x:v>
      </x:c>
      <x:c r="B1094" s="115" t="str">
        <x:v>EXT-MONDE-T022</x:v>
      </x:c>
      <x:c r="C1094" s="115" t="str">
        <x:v>Fermes élevage</x:v>
      </x:c>
      <x:c r="D1094" s="115" t="str">
        <x:v>Élevage ovin</x:v>
      </x:c>
      <x:c r="E1094" s="115" t="n">
        <x:v>39</x:v>
      </x:c>
      <x:c r="F1094" s="115" t="str">
        <x:v>Inspection physique</x:v>
      </x:c>
      <x:c r="G1094" s="115" t="str">
        <x:v>1 niveaux ; 28 pièces ; 210 segments de mur ; 0 transitions. Inspection physique ; architecture complète encore ouverte.</x:v>
      </x:c>
      <x:c r="H1094" s="115" t="str">
        <x:v>L 320 ; l 296 ; hauteur 7,1 m ; choix de composition auteur ; dimensions réelles à documenter</x:v>
      </x:c>
      <x:c r="I1094" s="115" t="str">
        <x:v>À équilibrer</x:v>
      </x:c>
      <x:c r="J1094" s="115" t="str">
        <x:v>Non</x:v>
      </x:c>
      <x:c r="K1094" s="115" t="str">
        <x:v>Pièces décrites, murs, portes, niveaux et mobilier inspectables à l’échelle. Volumes réservés, raccord au seed, butin, rencontres et services de campagne restent à terminer.</x:v>
      </x:c>
    </x:row>
    <x:row r="1095" ht="96" customHeight="1">
      <x:c r="A1095" s="115" t="str">
        <x:v>EXT-MONDE-T022-V40</x:v>
      </x:c>
      <x:c r="B1095" s="115" t="str">
        <x:v>EXT-MONDE-T022</x:v>
      </x:c>
      <x:c r="C1095" s="115" t="str">
        <x:v>Fermes élevage</x:v>
      </x:c>
      <x:c r="D1095" s="115" t="str">
        <x:v>Élevage ovin</x:v>
      </x:c>
      <x:c r="E1095" s="115" t="n">
        <x:v>40</x:v>
      </x:c>
      <x:c r="F1095" s="115" t="str">
        <x:v>Inspection physique</x:v>
      </x:c>
      <x:c r="G1095" s="115" t="str">
        <x:v>1 niveaux ; 28 pièces ; 210 segments de mur ; 0 transitions. Inspection physique ; architecture complète encore ouverte.</x:v>
      </x:c>
      <x:c r="H1095" s="115" t="str">
        <x:v>L 320 ; l 296 ; hauteur 7,1 m ; choix de composition auteur ; dimensions réelles à documenter</x:v>
      </x:c>
      <x:c r="I1095" s="115" t="str">
        <x:v>À équilibrer</x:v>
      </x:c>
      <x:c r="J1095" s="115" t="str">
        <x:v>Non</x:v>
      </x:c>
      <x:c r="K1095" s="115" t="str">
        <x:v>Pièces décrites, murs, portes, niveaux et mobilier inspectables à l’échelle. Volumes réservés, raccord au seed, butin, rencontres et services de campagne restent à terminer.</x:v>
      </x:c>
    </x:row>
    <x:row r="1096" ht="96" customHeight="1">
      <x:c r="A1096" s="115" t="str">
        <x:v>EXT-MONDE-T022-V41</x:v>
      </x:c>
      <x:c r="B1096" s="115" t="str">
        <x:v>EXT-MONDE-T022</x:v>
      </x:c>
      <x:c r="C1096" s="115" t="str">
        <x:v>Fermes élevage</x:v>
      </x:c>
      <x:c r="D1096" s="115" t="str">
        <x:v>Élevage ovin</x:v>
      </x:c>
      <x:c r="E1096" s="115" t="n">
        <x:v>41</x:v>
      </x:c>
      <x:c r="F1096" s="115" t="str">
        <x:v>Inspection physique</x:v>
      </x:c>
      <x:c r="G1096" s="115" t="str">
        <x:v>1 niveaux ; 28 pièces ; 210 segments de mur ; 0 transitions. Inspection physique ; architecture complète encore ouverte.</x:v>
      </x:c>
      <x:c r="H1096" s="115" t="str">
        <x:v>L 340 ; l 320 ; hauteur 7,3 m ; choix de composition auteur ; dimensions réelles à documenter</x:v>
      </x:c>
      <x:c r="I1096" s="115" t="str">
        <x:v>À équilibrer</x:v>
      </x:c>
      <x:c r="J1096" s="115" t="str">
        <x:v>Non</x:v>
      </x:c>
      <x:c r="K1096" s="115" t="str">
        <x:v>Pièces décrites, murs, portes, niveaux et mobilier inspectables à l’échelle. Volumes réservés, raccord au seed, butin, rencontres et services de campagne restent à terminer.</x:v>
      </x:c>
    </x:row>
    <x:row r="1097" ht="96" customHeight="1">
      <x:c r="A1097" s="115" t="str">
        <x:v>EXT-MONDE-T022-V42</x:v>
      </x:c>
      <x:c r="B1097" s="115" t="str">
        <x:v>EXT-MONDE-T022</x:v>
      </x:c>
      <x:c r="C1097" s="115" t="str">
        <x:v>Fermes élevage</x:v>
      </x:c>
      <x:c r="D1097" s="115" t="str">
        <x:v>Élevage ovin</x:v>
      </x:c>
      <x:c r="E1097" s="115" t="n">
        <x:v>42</x:v>
      </x:c>
      <x:c r="F1097" s="115" t="str">
        <x:v>Inspection physique</x:v>
      </x:c>
      <x:c r="G1097" s="115" t="str">
        <x:v>1 niveaux ; 28 pièces ; 210 segments de mur ; 0 transitions. Inspection physique ; architecture complète encore ouverte.</x:v>
      </x:c>
      <x:c r="H1097" s="115" t="str">
        <x:v>L 340 ; l 320 ; hauteur 7,3 m ; choix de composition auteur ; dimensions réelles à documenter</x:v>
      </x:c>
      <x:c r="I1097" s="115" t="str">
        <x:v>À équilibrer</x:v>
      </x:c>
      <x:c r="J1097" s="115" t="str">
        <x:v>Non</x:v>
      </x:c>
      <x:c r="K1097" s="115" t="str">
        <x:v>Pièces décrites, murs, portes, niveaux et mobilier inspectables à l’échelle. Volumes réservés, raccord au seed, butin, rencontres et services de campagne restent à terminer.</x:v>
      </x:c>
    </x:row>
    <x:row r="1098" ht="96" customHeight="1">
      <x:c r="A1098" s="115" t="str">
        <x:v>EXT-MONDE-T022-V43</x:v>
      </x:c>
      <x:c r="B1098" s="115" t="str">
        <x:v>EXT-MONDE-T022</x:v>
      </x:c>
      <x:c r="C1098" s="115" t="str">
        <x:v>Fermes élevage</x:v>
      </x:c>
      <x:c r="D1098" s="115" t="str">
        <x:v>Élevage ovin</x:v>
      </x:c>
      <x:c r="E1098" s="115" t="n">
        <x:v>43</x:v>
      </x:c>
      <x:c r="F1098" s="115" t="str">
        <x:v>Inspection physique</x:v>
      </x:c>
      <x:c r="G1098" s="115" t="str">
        <x:v>1 niveaux ; 28 pièces ; 210 segments de mur ; 0 transitions. Inspection physique ; architecture complète encore ouverte.</x:v>
      </x:c>
      <x:c r="H1098" s="115" t="str">
        <x:v>L 340 ; l 320 ; hauteur 7,3 m ; choix de composition auteur ; dimensions réelles à documenter</x:v>
      </x:c>
      <x:c r="I1098" s="115" t="str">
        <x:v>À équilibrer</x:v>
      </x:c>
      <x:c r="J1098" s="115" t="str">
        <x:v>Non</x:v>
      </x:c>
      <x:c r="K1098" s="115" t="str">
        <x:v>Pièces décrites, murs, portes, niveaux et mobilier inspectables à l’échelle. Volumes réservés, raccord au seed, butin, rencontres et services de campagne restent à terminer.</x:v>
      </x:c>
    </x:row>
    <x:row r="1099" ht="96" customHeight="1">
      <x:c r="A1099" s="115" t="str">
        <x:v>EXT-MONDE-T022-V44</x:v>
      </x:c>
      <x:c r="B1099" s="115" t="str">
        <x:v>EXT-MONDE-T022</x:v>
      </x:c>
      <x:c r="C1099" s="115" t="str">
        <x:v>Fermes élevage</x:v>
      </x:c>
      <x:c r="D1099" s="115" t="str">
        <x:v>Élevage ovin</x:v>
      </x:c>
      <x:c r="E1099" s="115" t="n">
        <x:v>44</x:v>
      </x:c>
      <x:c r="F1099" s="115" t="str">
        <x:v>Inspection physique</x:v>
      </x:c>
      <x:c r="G1099" s="115" t="str">
        <x:v>1 niveaux ; 28 pièces ; 210 segments de mur ; 0 transitions. Inspection physique ; architecture complète encore ouverte.</x:v>
      </x:c>
      <x:c r="H1099" s="115" t="str">
        <x:v>L 340 ; l 320 ; hauteur 7,3 m ; choix de composition auteur ; dimensions réelles à documenter</x:v>
      </x:c>
      <x:c r="I1099" s="115" t="str">
        <x:v>À équilibrer</x:v>
      </x:c>
      <x:c r="J1099" s="115" t="str">
        <x:v>Non</x:v>
      </x:c>
      <x:c r="K1099" s="115" t="str">
        <x:v>Pièces décrites, murs, portes, niveaux et mobilier inspectables à l’échelle. Volumes réservés, raccord au seed, butin, rencontres et services de campagne restent à terminer.</x:v>
      </x:c>
    </x:row>
    <x:row r="1100" ht="96" customHeight="1">
      <x:c r="A1100" s="115" t="str">
        <x:v>EXT-MONDE-T022-V45</x:v>
      </x:c>
      <x:c r="B1100" s="115" t="str">
        <x:v>EXT-MONDE-T022</x:v>
      </x:c>
      <x:c r="C1100" s="115" t="str">
        <x:v>Fermes élevage</x:v>
      </x:c>
      <x:c r="D1100" s="115" t="str">
        <x:v>Élevage ovin</x:v>
      </x:c>
      <x:c r="E1100" s="115" t="n">
        <x:v>45</x:v>
      </x:c>
      <x:c r="F1100" s="115" t="str">
        <x:v>Inspection physique</x:v>
      </x:c>
      <x:c r="G1100" s="115" t="str">
        <x:v>1 niveaux ; 28 pièces ; 210 segments de mur ; 0 transitions. Inspection physique ; architecture complète encore ouverte.</x:v>
      </x:c>
      <x:c r="H1100" s="115" t="str">
        <x:v>L 340 ; l 320 ; hauteur 7,3 m ; choix de composition auteur ; dimensions réelles à documenter</x:v>
      </x:c>
      <x:c r="I1100" s="115" t="str">
        <x:v>À équilibrer</x:v>
      </x:c>
      <x:c r="J1100" s="115" t="str">
        <x:v>Non</x:v>
      </x:c>
      <x:c r="K1100" s="115" t="str">
        <x:v>Pièces décrites, murs, portes, niveaux et mobilier inspectables à l’échelle. Volumes réservés, raccord au seed, butin, rencontres et services de campagne restent à terminer.</x:v>
      </x:c>
    </x:row>
    <x:row r="1101" ht="96" customHeight="1">
      <x:c r="A1101" s="115" t="str">
        <x:v>EXT-MONDE-T022-V46</x:v>
      </x:c>
      <x:c r="B1101" s="115" t="str">
        <x:v>EXT-MONDE-T022</x:v>
      </x:c>
      <x:c r="C1101" s="115" t="str">
        <x:v>Fermes élevage</x:v>
      </x:c>
      <x:c r="D1101" s="115" t="str">
        <x:v>Élevage ovin</x:v>
      </x:c>
      <x:c r="E1101" s="115" t="n">
        <x:v>46</x:v>
      </x:c>
      <x:c r="F1101" s="115" t="str">
        <x:v>Inspection physique</x:v>
      </x:c>
      <x:c r="G1101" s="115" t="str">
        <x:v>1 niveaux ; 28 pièces ; 210 segments de mur ; 0 transitions. Inspection physique ; architecture complète encore ouverte.</x:v>
      </x:c>
      <x:c r="H1101" s="115" t="str">
        <x:v>L 340 ; l 320 ; hauteur 7,3 m ; choix de composition auteur ; dimensions réelles à documenter</x:v>
      </x:c>
      <x:c r="I1101" s="115" t="str">
        <x:v>À équilibrer</x:v>
      </x:c>
      <x:c r="J1101" s="115" t="str">
        <x:v>Non</x:v>
      </x:c>
      <x:c r="K1101" s="115" t="str">
        <x:v>Pièces décrites, murs, portes, niveaux et mobilier inspectables à l’échelle. Volumes réservés, raccord au seed, butin, rencontres et services de campagne restent à terminer.</x:v>
      </x:c>
    </x:row>
    <x:row r="1102" ht="96" customHeight="1">
      <x:c r="A1102" s="115" t="str">
        <x:v>EXT-MONDE-T022-V47</x:v>
      </x:c>
      <x:c r="B1102" s="115" t="str">
        <x:v>EXT-MONDE-T022</x:v>
      </x:c>
      <x:c r="C1102" s="115" t="str">
        <x:v>Fermes élevage</x:v>
      </x:c>
      <x:c r="D1102" s="115" t="str">
        <x:v>Élevage ovin</x:v>
      </x:c>
      <x:c r="E1102" s="115" t="n">
        <x:v>47</x:v>
      </x:c>
      <x:c r="F1102" s="115" t="str">
        <x:v>Inspection physique</x:v>
      </x:c>
      <x:c r="G1102" s="115" t="str">
        <x:v>1 niveaux ; 28 pièces ; 210 segments de mur ; 0 transitions. Inspection physique ; architecture complète encore ouverte.</x:v>
      </x:c>
      <x:c r="H1102" s="115" t="str">
        <x:v>L 340 ; l 320 ; hauteur 7,3 m ; choix de composition auteur ; dimensions réelles à documenter</x:v>
      </x:c>
      <x:c r="I1102" s="115" t="str">
        <x:v>À équilibrer</x:v>
      </x:c>
      <x:c r="J1102" s="115" t="str">
        <x:v>Non</x:v>
      </x:c>
      <x:c r="K1102" s="115" t="str">
        <x:v>Pièces décrites, murs, portes, niveaux et mobilier inspectables à l’échelle. Volumes réservés, raccord au seed, butin, rencontres et services de campagne restent à terminer.</x:v>
      </x:c>
    </x:row>
    <x:row r="1103" ht="96" customHeight="1">
      <x:c r="A1103" s="115" t="str">
        <x:v>EXT-MONDE-T022-V48</x:v>
      </x:c>
      <x:c r="B1103" s="115" t="str">
        <x:v>EXT-MONDE-T022</x:v>
      </x:c>
      <x:c r="C1103" s="115" t="str">
        <x:v>Fermes élevage</x:v>
      </x:c>
      <x:c r="D1103" s="115" t="str">
        <x:v>Élevage ovin</x:v>
      </x:c>
      <x:c r="E1103" s="115" t="n">
        <x:v>48</x:v>
      </x:c>
      <x:c r="F1103" s="115" t="str">
        <x:v>Inspection physique</x:v>
      </x:c>
      <x:c r="G1103" s="115" t="str">
        <x:v>1 niveaux ; 28 pièces ; 210 segments de mur ; 0 transitions. Inspection physique ; architecture complète encore ouverte.</x:v>
      </x:c>
      <x:c r="H1103" s="115" t="str">
        <x:v>L 340 ; l 320 ; hauteur 7,3 m ; choix de composition auteur ; dimensions réelles à documenter</x:v>
      </x:c>
      <x:c r="I1103" s="115" t="str">
        <x:v>À équilibrer</x:v>
      </x:c>
      <x:c r="J1103" s="115" t="str">
        <x:v>Non</x:v>
      </x:c>
      <x:c r="K1103" s="115" t="str">
        <x:v>Pièces décrites, murs, portes, niveaux et mobilier inspectables à l’échelle. Volumes réservés, raccord au seed, butin, rencontres et services de campagne restent à terminer.</x:v>
      </x:c>
    </x:row>
    <x:row r="1104" ht="96" customHeight="1">
      <x:c r="A1104" s="115" t="str">
        <x:v>EXT-MONDE-T022-V49</x:v>
      </x:c>
      <x:c r="B1104" s="115" t="str">
        <x:v>EXT-MONDE-T022</x:v>
      </x:c>
      <x:c r="C1104" s="115" t="str">
        <x:v>Fermes élevage</x:v>
      </x:c>
      <x:c r="D1104" s="115" t="str">
        <x:v>Élevage ovin</x:v>
      </x:c>
      <x:c r="E1104" s="115" t="n">
        <x:v>49</x:v>
      </x:c>
      <x:c r="F1104" s="115" t="str">
        <x:v>Inspection physique</x:v>
      </x:c>
      <x:c r="G1104" s="115" t="str">
        <x:v>1 niveaux ; 28 pièces ; 210 segments de mur ; 0 transitions. Inspection physique ; architecture complète encore ouverte.</x:v>
      </x:c>
      <x:c r="H1104" s="115" t="str">
        <x:v>L 340 ; l 320 ; hauteur 7,3 m ; choix de composition auteur ; dimensions réelles à documenter</x:v>
      </x:c>
      <x:c r="I1104" s="115" t="str">
        <x:v>À équilibrer</x:v>
      </x:c>
      <x:c r="J1104" s="115" t="str">
        <x:v>Non</x:v>
      </x:c>
      <x:c r="K1104" s="115" t="str">
        <x:v>Pièces décrites, murs, portes, niveaux et mobilier inspectables à l’échelle. Volumes réservés, raccord au seed, butin, rencontres et services de campagne restent à terminer.</x:v>
      </x:c>
    </x:row>
    <x:row r="1105" ht="96" customHeight="1">
      <x:c r="A1105" s="115" t="str">
        <x:v>EXT-MONDE-T022-V50</x:v>
      </x:c>
      <x:c r="B1105" s="115" t="str">
        <x:v>EXT-MONDE-T022</x:v>
      </x:c>
      <x:c r="C1105" s="115" t="str">
        <x:v>Fermes élevage</x:v>
      </x:c>
      <x:c r="D1105" s="115" t="str">
        <x:v>Élevage ovin</x:v>
      </x:c>
      <x:c r="E1105" s="115" t="n">
        <x:v>50</x:v>
      </x:c>
      <x:c r="F1105" s="115" t="str">
        <x:v>Inspection physique</x:v>
      </x:c>
      <x:c r="G1105" s="115" t="str">
        <x:v>1 niveaux ; 28 pièces ; 210 segments de mur ; 0 transitions. Inspection physique ; architecture complète encore ouverte.</x:v>
      </x:c>
      <x:c r="H1105" s="115" t="str">
        <x:v>L 340 ; l 320 ; hauteur 7,3 m ; choix de composition auteur ; dimensions réelles à documenter</x:v>
      </x:c>
      <x:c r="I1105" s="115" t="str">
        <x:v>À équilibrer</x:v>
      </x:c>
      <x:c r="J1105" s="115" t="str">
        <x:v>Non</x:v>
      </x:c>
      <x:c r="K1105" s="115" t="str">
        <x:v>Pièces décrites, murs, portes, niveaux et mobilier inspectables à l’échelle. Volumes réservés, raccord au seed, butin, rencontres et services de campagne restent à terminer.</x:v>
      </x:c>
    </x:row>
    <x:row r="1106" ht="96" customHeight="1">
      <x:c r="A1106" s="115" t="str">
        <x:v>EXT-MONDE-T023-V01</x:v>
      </x:c>
      <x:c r="B1106" s="115" t="str">
        <x:v>EXT-MONDE-T023</x:v>
      </x:c>
      <x:c r="C1106" s="115" t="str">
        <x:v>Fermes élevage</x:v>
      </x:c>
      <x:c r="D1106" s="115" t="str">
        <x:v>Ferme avicole</x:v>
      </x:c>
      <x:c r="E1106" s="115" t="n">
        <x:v>1</x:v>
      </x:c>
      <x:c r="F1106" s="115" t="str">
        <x:v>Inspection physique</x:v>
      </x:c>
      <x:c r="G1106" s="115" t="str">
        <x:v>1 niveaux ; 28 pièces ; 210 segments de mur ; 0 transitions. Inspection physique ; architecture complète encore ouverte.</x:v>
      </x:c>
      <x:c r="H1106" s="115" t="str">
        <x:v>L 260 ; l 224 ; hauteur 6,8 m ; choix de composition auteur ; dimensions réelles à documenter</x:v>
      </x:c>
      <x:c r="I1106" s="115" t="str">
        <x:v>À équilibrer</x:v>
      </x:c>
      <x:c r="J1106" s="115" t="str">
        <x:v>Non</x:v>
      </x:c>
      <x:c r="K1106" s="115" t="str">
        <x:v>Pièces décrites, murs, portes, niveaux et mobilier inspectables à l’échelle. Volumes réservés, raccord au seed, butin, rencontres et services de campagne restent à terminer.</x:v>
      </x:c>
    </x:row>
    <x:row r="1107" ht="96" customHeight="1">
      <x:c r="A1107" s="115" t="str">
        <x:v>EXT-MONDE-T023-V02</x:v>
      </x:c>
      <x:c r="B1107" s="115" t="str">
        <x:v>EXT-MONDE-T023</x:v>
      </x:c>
      <x:c r="C1107" s="115" t="str">
        <x:v>Fermes élevage</x:v>
      </x:c>
      <x:c r="D1107" s="115" t="str">
        <x:v>Ferme avicole</x:v>
      </x:c>
      <x:c r="E1107" s="115" t="n">
        <x:v>2</x:v>
      </x:c>
      <x:c r="F1107" s="115" t="str">
        <x:v>Inspection physique</x:v>
      </x:c>
      <x:c r="G1107" s="115" t="str">
        <x:v>1 niveaux ; 28 pièces ; 210 segments de mur ; 0 transitions. Inspection physique ; architecture complète encore ouverte.</x:v>
      </x:c>
      <x:c r="H1107" s="115" t="str">
        <x:v>L 260 ; l 224 ; hauteur 6,8 m ; choix de composition auteur ; dimensions réelles à documenter</x:v>
      </x:c>
      <x:c r="I1107" s="115" t="str">
        <x:v>À équilibrer</x:v>
      </x:c>
      <x:c r="J1107" s="115" t="str">
        <x:v>Non</x:v>
      </x:c>
      <x:c r="K1107" s="115" t="str">
        <x:v>Pièces décrites, murs, portes, niveaux et mobilier inspectables à l’échelle. Volumes réservés, raccord au seed, butin, rencontres et services de campagne restent à terminer.</x:v>
      </x:c>
    </x:row>
    <x:row r="1108" ht="96" customHeight="1">
      <x:c r="A1108" s="115" t="str">
        <x:v>EXT-MONDE-T023-V03</x:v>
      </x:c>
      <x:c r="B1108" s="115" t="str">
        <x:v>EXT-MONDE-T023</x:v>
      </x:c>
      <x:c r="C1108" s="115" t="str">
        <x:v>Fermes élevage</x:v>
      </x:c>
      <x:c r="D1108" s="115" t="str">
        <x:v>Ferme avicole</x:v>
      </x:c>
      <x:c r="E1108" s="115" t="n">
        <x:v>3</x:v>
      </x:c>
      <x:c r="F1108" s="115" t="str">
        <x:v>Inspection physique</x:v>
      </x:c>
      <x:c r="G1108" s="115" t="str">
        <x:v>1 niveaux ; 28 pièces ; 210 segments de mur ; 0 transitions. Inspection physique ; architecture complète encore ouverte.</x:v>
      </x:c>
      <x:c r="H1108" s="115" t="str">
        <x:v>L 260 ; l 224 ; hauteur 6,8 m ; choix de composition auteur ; dimensions réelles à documenter</x:v>
      </x:c>
      <x:c r="I1108" s="115" t="str">
        <x:v>À équilibrer</x:v>
      </x:c>
      <x:c r="J1108" s="115" t="str">
        <x:v>Non</x:v>
      </x:c>
      <x:c r="K1108" s="115" t="str">
        <x:v>Pièces décrites, murs, portes, niveaux et mobilier inspectables à l’échelle. Volumes réservés, raccord au seed, butin, rencontres et services de campagne restent à terminer.</x:v>
      </x:c>
    </x:row>
    <x:row r="1109" ht="96" customHeight="1">
      <x:c r="A1109" s="115" t="str">
        <x:v>EXT-MONDE-T023-V04</x:v>
      </x:c>
      <x:c r="B1109" s="115" t="str">
        <x:v>EXT-MONDE-T023</x:v>
      </x:c>
      <x:c r="C1109" s="115" t="str">
        <x:v>Fermes élevage</x:v>
      </x:c>
      <x:c r="D1109" s="115" t="str">
        <x:v>Ferme avicole</x:v>
      </x:c>
      <x:c r="E1109" s="115" t="n">
        <x:v>4</x:v>
      </x:c>
      <x:c r="F1109" s="115" t="str">
        <x:v>Inspection physique</x:v>
      </x:c>
      <x:c r="G1109" s="115" t="str">
        <x:v>1 niveaux ; 28 pièces ; 210 segments de mur ; 0 transitions. Inspection physique ; architecture complète encore ouverte.</x:v>
      </x:c>
      <x:c r="H1109" s="115" t="str">
        <x:v>L 260 ; l 224 ; hauteur 6,8 m ; choix de composition auteur ; dimensions réelles à documenter</x:v>
      </x:c>
      <x:c r="I1109" s="115" t="str">
        <x:v>À équilibrer</x:v>
      </x:c>
      <x:c r="J1109" s="115" t="str">
        <x:v>Non</x:v>
      </x:c>
      <x:c r="K1109" s="115" t="str">
        <x:v>Pièces décrites, murs, portes, niveaux et mobilier inspectables à l’échelle. Volumes réservés, raccord au seed, butin, rencontres et services de campagne restent à terminer.</x:v>
      </x:c>
    </x:row>
    <x:row r="1110" ht="96" customHeight="1">
      <x:c r="A1110" s="115" t="str">
        <x:v>EXT-MONDE-T023-V05</x:v>
      </x:c>
      <x:c r="B1110" s="115" t="str">
        <x:v>EXT-MONDE-T023</x:v>
      </x:c>
      <x:c r="C1110" s="115" t="str">
        <x:v>Fermes élevage</x:v>
      </x:c>
      <x:c r="D1110" s="115" t="str">
        <x:v>Ferme avicole</x:v>
      </x:c>
      <x:c r="E1110" s="115" t="n">
        <x:v>5</x:v>
      </x:c>
      <x:c r="F1110" s="115" t="str">
        <x:v>Inspection physique</x:v>
      </x:c>
      <x:c r="G1110" s="115" t="str">
        <x:v>1 niveaux ; 28 pièces ; 210 segments de mur ; 0 transitions. Inspection physique ; architecture complète encore ouverte.</x:v>
      </x:c>
      <x:c r="H1110" s="115" t="str">
        <x:v>L 260 ; l 224 ; hauteur 6,8 m ; choix de composition auteur ; dimensions réelles à documenter</x:v>
      </x:c>
      <x:c r="I1110" s="115" t="str">
        <x:v>À équilibrer</x:v>
      </x:c>
      <x:c r="J1110" s="115" t="str">
        <x:v>Non</x:v>
      </x:c>
      <x:c r="K1110" s="115" t="str">
        <x:v>Pièces décrites, murs, portes, niveaux et mobilier inspectables à l’échelle. Volumes réservés, raccord au seed, butin, rencontres et services de campagne restent à terminer.</x:v>
      </x:c>
    </x:row>
    <x:row r="1111" ht="96" customHeight="1">
      <x:c r="A1111" s="115" t="str">
        <x:v>EXT-MONDE-T023-V06</x:v>
      </x:c>
      <x:c r="B1111" s="115" t="str">
        <x:v>EXT-MONDE-T023</x:v>
      </x:c>
      <x:c r="C1111" s="115" t="str">
        <x:v>Fermes élevage</x:v>
      </x:c>
      <x:c r="D1111" s="115" t="str">
        <x:v>Ferme avicole</x:v>
      </x:c>
      <x:c r="E1111" s="115" t="n">
        <x:v>6</x:v>
      </x:c>
      <x:c r="F1111" s="115" t="str">
        <x:v>Inspection physique</x:v>
      </x:c>
      <x:c r="G1111" s="115" t="str">
        <x:v>1 niveaux ; 28 pièces ; 210 segments de mur ; 0 transitions. Inspection physique ; architecture complète encore ouverte.</x:v>
      </x:c>
      <x:c r="H1111" s="115" t="str">
        <x:v>L 260 ; l 224 ; hauteur 6,8 m ; choix de composition auteur ; dimensions réelles à documenter</x:v>
      </x:c>
      <x:c r="I1111" s="115" t="str">
        <x:v>À équilibrer</x:v>
      </x:c>
      <x:c r="J1111" s="115" t="str">
        <x:v>Non</x:v>
      </x:c>
      <x:c r="K1111" s="115" t="str">
        <x:v>Pièces décrites, murs, portes, niveaux et mobilier inspectables à l’échelle. Volumes réservés, raccord au seed, butin, rencontres et services de campagne restent à terminer.</x:v>
      </x:c>
    </x:row>
    <x:row r="1112" ht="96" customHeight="1">
      <x:c r="A1112" s="115" t="str">
        <x:v>EXT-MONDE-T023-V07</x:v>
      </x:c>
      <x:c r="B1112" s="115" t="str">
        <x:v>EXT-MONDE-T023</x:v>
      </x:c>
      <x:c r="C1112" s="115" t="str">
        <x:v>Fermes élevage</x:v>
      </x:c>
      <x:c r="D1112" s="115" t="str">
        <x:v>Ferme avicole</x:v>
      </x:c>
      <x:c r="E1112" s="115" t="n">
        <x:v>7</x:v>
      </x:c>
      <x:c r="F1112" s="115" t="str">
        <x:v>Inspection physique</x:v>
      </x:c>
      <x:c r="G1112" s="115" t="str">
        <x:v>1 niveaux ; 28 pièces ; 210 segments de mur ; 0 transitions. Inspection physique ; architecture complète encore ouverte.</x:v>
      </x:c>
      <x:c r="H1112" s="115" t="str">
        <x:v>L 260 ; l 224 ; hauteur 6,8 m ; choix de composition auteur ; dimensions réelles à documenter</x:v>
      </x:c>
      <x:c r="I1112" s="115" t="str">
        <x:v>À équilibrer</x:v>
      </x:c>
      <x:c r="J1112" s="115" t="str">
        <x:v>Non</x:v>
      </x:c>
      <x:c r="K1112" s="115" t="str">
        <x:v>Pièces décrites, murs, portes, niveaux et mobilier inspectables à l’échelle. Volumes réservés, raccord au seed, butin, rencontres et services de campagne restent à terminer.</x:v>
      </x:c>
    </x:row>
    <x:row r="1113" ht="96" customHeight="1">
      <x:c r="A1113" s="115" t="str">
        <x:v>EXT-MONDE-T023-V08</x:v>
      </x:c>
      <x:c r="B1113" s="115" t="str">
        <x:v>EXT-MONDE-T023</x:v>
      </x:c>
      <x:c r="C1113" s="115" t="str">
        <x:v>Fermes élevage</x:v>
      </x:c>
      <x:c r="D1113" s="115" t="str">
        <x:v>Ferme avicole</x:v>
      </x:c>
      <x:c r="E1113" s="115" t="n">
        <x:v>8</x:v>
      </x:c>
      <x:c r="F1113" s="115" t="str">
        <x:v>Inspection physique</x:v>
      </x:c>
      <x:c r="G1113" s="115" t="str">
        <x:v>1 niveaux ; 28 pièces ; 210 segments de mur ; 0 transitions. Inspection physique ; architecture complète encore ouverte.</x:v>
      </x:c>
      <x:c r="H1113" s="115" t="str">
        <x:v>L 260 ; l 224 ; hauteur 6,8 m ; choix de composition auteur ; dimensions réelles à documenter</x:v>
      </x:c>
      <x:c r="I1113" s="115" t="str">
        <x:v>À équilibrer</x:v>
      </x:c>
      <x:c r="J1113" s="115" t="str">
        <x:v>Non</x:v>
      </x:c>
      <x:c r="K1113" s="115" t="str">
        <x:v>Pièces décrites, murs, portes, niveaux et mobilier inspectables à l’échelle. Volumes réservés, raccord au seed, butin, rencontres et services de campagne restent à terminer.</x:v>
      </x:c>
    </x:row>
    <x:row r="1114" ht="96" customHeight="1">
      <x:c r="A1114" s="115" t="str">
        <x:v>EXT-MONDE-T023-V09</x:v>
      </x:c>
      <x:c r="B1114" s="115" t="str">
        <x:v>EXT-MONDE-T023</x:v>
      </x:c>
      <x:c r="C1114" s="115" t="str">
        <x:v>Fermes élevage</x:v>
      </x:c>
      <x:c r="D1114" s="115" t="str">
        <x:v>Ferme avicole</x:v>
      </x:c>
      <x:c r="E1114" s="115" t="n">
        <x:v>9</x:v>
      </x:c>
      <x:c r="F1114" s="115" t="str">
        <x:v>Inspection physique</x:v>
      </x:c>
      <x:c r="G1114" s="115" t="str">
        <x:v>1 niveaux ; 28 pièces ; 210 segments de mur ; 0 transitions. Inspection physique ; architecture complète encore ouverte.</x:v>
      </x:c>
      <x:c r="H1114" s="115" t="str">
        <x:v>L 260 ; l 224 ; hauteur 6,8 m ; choix de composition auteur ; dimensions réelles à documenter</x:v>
      </x:c>
      <x:c r="I1114" s="115" t="str">
        <x:v>À équilibrer</x:v>
      </x:c>
      <x:c r="J1114" s="115" t="str">
        <x:v>Non</x:v>
      </x:c>
      <x:c r="K1114" s="115" t="str">
        <x:v>Pièces décrites, murs, portes, niveaux et mobilier inspectables à l’échelle. Volumes réservés, raccord au seed, butin, rencontres et services de campagne restent à terminer.</x:v>
      </x:c>
    </x:row>
    <x:row r="1115" ht="96" customHeight="1">
      <x:c r="A1115" s="115" t="str">
        <x:v>EXT-MONDE-T023-V10</x:v>
      </x:c>
      <x:c r="B1115" s="115" t="str">
        <x:v>EXT-MONDE-T023</x:v>
      </x:c>
      <x:c r="C1115" s="115" t="str">
        <x:v>Fermes élevage</x:v>
      </x:c>
      <x:c r="D1115" s="115" t="str">
        <x:v>Ferme avicole</x:v>
      </x:c>
      <x:c r="E1115" s="115" t="n">
        <x:v>10</x:v>
      </x:c>
      <x:c r="F1115" s="115" t="str">
        <x:v>Inspection physique</x:v>
      </x:c>
      <x:c r="G1115" s="115" t="str">
        <x:v>1 niveaux ; 28 pièces ; 210 segments de mur ; 0 transitions. Inspection physique ; architecture complète encore ouverte.</x:v>
      </x:c>
      <x:c r="H1115" s="115" t="str">
        <x:v>L 260 ; l 224 ; hauteur 6,8 m ; choix de composition auteur ; dimensions réelles à documenter</x:v>
      </x:c>
      <x:c r="I1115" s="115" t="str">
        <x:v>À équilibrer</x:v>
      </x:c>
      <x:c r="J1115" s="115" t="str">
        <x:v>Non</x:v>
      </x:c>
      <x:c r="K1115" s="115" t="str">
        <x:v>Pièces décrites, murs, portes, niveaux et mobilier inspectables à l’échelle. Volumes réservés, raccord au seed, butin, rencontres et services de campagne restent à terminer.</x:v>
      </x:c>
    </x:row>
    <x:row r="1116" ht="96" customHeight="1">
      <x:c r="A1116" s="115" t="str">
        <x:v>EXT-MONDE-T023-V11</x:v>
      </x:c>
      <x:c r="B1116" s="115" t="str">
        <x:v>EXT-MONDE-T023</x:v>
      </x:c>
      <x:c r="C1116" s="115" t="str">
        <x:v>Fermes élevage</x:v>
      </x:c>
      <x:c r="D1116" s="115" t="str">
        <x:v>Ferme avicole</x:v>
      </x:c>
      <x:c r="E1116" s="115" t="n">
        <x:v>11</x:v>
      </x:c>
      <x:c r="F1116" s="115" t="str">
        <x:v>Inspection physique</x:v>
      </x:c>
      <x:c r="G1116" s="115" t="str">
        <x:v>1 niveaux ; 28 pièces ; 210 segments de mur ; 0 transitions. Inspection physique ; architecture complète encore ouverte.</x:v>
      </x:c>
      <x:c r="H1116" s="115" t="str">
        <x:v>L 280 ; l 248 ; hauteur 6,8 m ; choix de composition auteur ; dimensions réelles à documenter</x:v>
      </x:c>
      <x:c r="I1116" s="115" t="str">
        <x:v>À équilibrer</x:v>
      </x:c>
      <x:c r="J1116" s="115" t="str">
        <x:v>Non</x:v>
      </x:c>
      <x:c r="K1116" s="115" t="str">
        <x:v>Pièces décrites, murs, portes, niveaux et mobilier inspectables à l’échelle. Volumes réservés, raccord au seed, butin, rencontres et services de campagne restent à terminer.</x:v>
      </x:c>
    </x:row>
    <x:row r="1117" ht="96" customHeight="1">
      <x:c r="A1117" s="115" t="str">
        <x:v>EXT-MONDE-T023-V12</x:v>
      </x:c>
      <x:c r="B1117" s="115" t="str">
        <x:v>EXT-MONDE-T023</x:v>
      </x:c>
      <x:c r="C1117" s="115" t="str">
        <x:v>Fermes élevage</x:v>
      </x:c>
      <x:c r="D1117" s="115" t="str">
        <x:v>Ferme avicole</x:v>
      </x:c>
      <x:c r="E1117" s="115" t="n">
        <x:v>12</x:v>
      </x:c>
      <x:c r="F1117" s="115" t="str">
        <x:v>Inspection physique</x:v>
      </x:c>
      <x:c r="G1117" s="115" t="str">
        <x:v>1 niveaux ; 28 pièces ; 210 segments de mur ; 0 transitions. Inspection physique ; architecture complète encore ouverte.</x:v>
      </x:c>
      <x:c r="H1117" s="115" t="str">
        <x:v>L 280 ; l 248 ; hauteur 6,8 m ; choix de composition auteur ; dimensions réelles à documenter</x:v>
      </x:c>
      <x:c r="I1117" s="115" t="str">
        <x:v>À équilibrer</x:v>
      </x:c>
      <x:c r="J1117" s="115" t="str">
        <x:v>Non</x:v>
      </x:c>
      <x:c r="K1117" s="115" t="str">
        <x:v>Pièces décrites, murs, portes, niveaux et mobilier inspectables à l’échelle. Volumes réservés, raccord au seed, butin, rencontres et services de campagne restent à terminer.</x:v>
      </x:c>
    </x:row>
    <x:row r="1118" ht="96" customHeight="1">
      <x:c r="A1118" s="115" t="str">
        <x:v>EXT-MONDE-T023-V13</x:v>
      </x:c>
      <x:c r="B1118" s="115" t="str">
        <x:v>EXT-MONDE-T023</x:v>
      </x:c>
      <x:c r="C1118" s="115" t="str">
        <x:v>Fermes élevage</x:v>
      </x:c>
      <x:c r="D1118" s="115" t="str">
        <x:v>Ferme avicole</x:v>
      </x:c>
      <x:c r="E1118" s="115" t="n">
        <x:v>13</x:v>
      </x:c>
      <x:c r="F1118" s="115" t="str">
        <x:v>Inspection physique</x:v>
      </x:c>
      <x:c r="G1118" s="115" t="str">
        <x:v>1 niveaux ; 28 pièces ; 210 segments de mur ; 0 transitions. Inspection physique ; architecture complète encore ouverte.</x:v>
      </x:c>
      <x:c r="H1118" s="115" t="str">
        <x:v>L 280 ; l 248 ; hauteur 6,8 m ; choix de composition auteur ; dimensions réelles à documenter</x:v>
      </x:c>
      <x:c r="I1118" s="115" t="str">
        <x:v>À équilibrer</x:v>
      </x:c>
      <x:c r="J1118" s="115" t="str">
        <x:v>Non</x:v>
      </x:c>
      <x:c r="K1118" s="115" t="str">
        <x:v>Pièces décrites, murs, portes, niveaux et mobilier inspectables à l’échelle. Volumes réservés, raccord au seed, butin, rencontres et services de campagne restent à terminer.</x:v>
      </x:c>
    </x:row>
    <x:row r="1119" ht="96" customHeight="1">
      <x:c r="A1119" s="115" t="str">
        <x:v>EXT-MONDE-T023-V14</x:v>
      </x:c>
      <x:c r="B1119" s="115" t="str">
        <x:v>EXT-MONDE-T023</x:v>
      </x:c>
      <x:c r="C1119" s="115" t="str">
        <x:v>Fermes élevage</x:v>
      </x:c>
      <x:c r="D1119" s="115" t="str">
        <x:v>Ferme avicole</x:v>
      </x:c>
      <x:c r="E1119" s="115" t="n">
        <x:v>14</x:v>
      </x:c>
      <x:c r="F1119" s="115" t="str">
        <x:v>Inspection physique</x:v>
      </x:c>
      <x:c r="G1119" s="115" t="str">
        <x:v>1 niveaux ; 28 pièces ; 210 segments de mur ; 0 transitions. Inspection physique ; architecture complète encore ouverte.</x:v>
      </x:c>
      <x:c r="H1119" s="115" t="str">
        <x:v>L 280 ; l 248 ; hauteur 6,8 m ; choix de composition auteur ; dimensions réelles à documenter</x:v>
      </x:c>
      <x:c r="I1119" s="115" t="str">
        <x:v>À équilibrer</x:v>
      </x:c>
      <x:c r="J1119" s="115" t="str">
        <x:v>Non</x:v>
      </x:c>
      <x:c r="K1119" s="115" t="str">
        <x:v>Pièces décrites, murs, portes, niveaux et mobilier inspectables à l’échelle. Volumes réservés, raccord au seed, butin, rencontres et services de campagne restent à terminer.</x:v>
      </x:c>
    </x:row>
    <x:row r="1120" ht="96" customHeight="1">
      <x:c r="A1120" s="115" t="str">
        <x:v>EXT-MONDE-T023-V15</x:v>
      </x:c>
      <x:c r="B1120" s="115" t="str">
        <x:v>EXT-MONDE-T023</x:v>
      </x:c>
      <x:c r="C1120" s="115" t="str">
        <x:v>Fermes élevage</x:v>
      </x:c>
      <x:c r="D1120" s="115" t="str">
        <x:v>Ferme avicole</x:v>
      </x:c>
      <x:c r="E1120" s="115" t="n">
        <x:v>15</x:v>
      </x:c>
      <x:c r="F1120" s="115" t="str">
        <x:v>Inspection physique</x:v>
      </x:c>
      <x:c r="G1120" s="115" t="str">
        <x:v>1 niveaux ; 28 pièces ; 210 segments de mur ; 0 transitions. Inspection physique ; architecture complète encore ouverte.</x:v>
      </x:c>
      <x:c r="H1120" s="115" t="str">
        <x:v>L 280 ; l 248 ; hauteur 6,8 m ; choix de composition auteur ; dimensions réelles à documenter</x:v>
      </x:c>
      <x:c r="I1120" s="115" t="str">
        <x:v>À équilibrer</x:v>
      </x:c>
      <x:c r="J1120" s="115" t="str">
        <x:v>Non</x:v>
      </x:c>
      <x:c r="K1120" s="115" t="str">
        <x:v>Pièces décrites, murs, portes, niveaux et mobilier inspectables à l’échelle. Volumes réservés, raccord au seed, butin, rencontres et services de campagne restent à terminer.</x:v>
      </x:c>
    </x:row>
    <x:row r="1121" ht="96" customHeight="1">
      <x:c r="A1121" s="115" t="str">
        <x:v>EXT-MONDE-T023-V16</x:v>
      </x:c>
      <x:c r="B1121" s="115" t="str">
        <x:v>EXT-MONDE-T023</x:v>
      </x:c>
      <x:c r="C1121" s="115" t="str">
        <x:v>Fermes élevage</x:v>
      </x:c>
      <x:c r="D1121" s="115" t="str">
        <x:v>Ferme avicole</x:v>
      </x:c>
      <x:c r="E1121" s="115" t="n">
        <x:v>16</x:v>
      </x:c>
      <x:c r="F1121" s="115" t="str">
        <x:v>Inspection physique</x:v>
      </x:c>
      <x:c r="G1121" s="115" t="str">
        <x:v>1 niveaux ; 28 pièces ; 210 segments de mur ; 0 transitions. Inspection physique ; architecture complète encore ouverte.</x:v>
      </x:c>
      <x:c r="H1121" s="115" t="str">
        <x:v>L 280 ; l 248 ; hauteur 6,8 m ; choix de composition auteur ; dimensions réelles à documenter</x:v>
      </x:c>
      <x:c r="I1121" s="115" t="str">
        <x:v>À équilibrer</x:v>
      </x:c>
      <x:c r="J1121" s="115" t="str">
        <x:v>Non</x:v>
      </x:c>
      <x:c r="K1121" s="115" t="str">
        <x:v>Pièces décrites, murs, portes, niveaux et mobilier inspectables à l’échelle. Volumes réservés, raccord au seed, butin, rencontres et services de campagne restent à terminer.</x:v>
      </x:c>
    </x:row>
    <x:row r="1122" ht="96" customHeight="1">
      <x:c r="A1122" s="115" t="str">
        <x:v>EXT-MONDE-T023-V17</x:v>
      </x:c>
      <x:c r="B1122" s="115" t="str">
        <x:v>EXT-MONDE-T023</x:v>
      </x:c>
      <x:c r="C1122" s="115" t="str">
        <x:v>Fermes élevage</x:v>
      </x:c>
      <x:c r="D1122" s="115" t="str">
        <x:v>Ferme avicole</x:v>
      </x:c>
      <x:c r="E1122" s="115" t="n">
        <x:v>17</x:v>
      </x:c>
      <x:c r="F1122" s="115" t="str">
        <x:v>Inspection physique</x:v>
      </x:c>
      <x:c r="G1122" s="115" t="str">
        <x:v>1 niveaux ; 28 pièces ; 210 segments de mur ; 0 transitions. Inspection physique ; architecture complète encore ouverte.</x:v>
      </x:c>
      <x:c r="H1122" s="115" t="str">
        <x:v>L 280 ; l 248 ; hauteur 6,8 m ; choix de composition auteur ; dimensions réelles à documenter</x:v>
      </x:c>
      <x:c r="I1122" s="115" t="str">
        <x:v>À équilibrer</x:v>
      </x:c>
      <x:c r="J1122" s="115" t="str">
        <x:v>Non</x:v>
      </x:c>
      <x:c r="K1122" s="115" t="str">
        <x:v>Pièces décrites, murs, portes, niveaux et mobilier inspectables à l’échelle. Volumes réservés, raccord au seed, butin, rencontres et services de campagne restent à terminer.</x:v>
      </x:c>
    </x:row>
    <x:row r="1123" ht="96" customHeight="1">
      <x:c r="A1123" s="115" t="str">
        <x:v>EXT-MONDE-T023-V18</x:v>
      </x:c>
      <x:c r="B1123" s="115" t="str">
        <x:v>EXT-MONDE-T023</x:v>
      </x:c>
      <x:c r="C1123" s="115" t="str">
        <x:v>Fermes élevage</x:v>
      </x:c>
      <x:c r="D1123" s="115" t="str">
        <x:v>Ferme avicole</x:v>
      </x:c>
      <x:c r="E1123" s="115" t="n">
        <x:v>18</x:v>
      </x:c>
      <x:c r="F1123" s="115" t="str">
        <x:v>Inspection physique</x:v>
      </x:c>
      <x:c r="G1123" s="115" t="str">
        <x:v>1 niveaux ; 28 pièces ; 210 segments de mur ; 0 transitions. Inspection physique ; architecture complète encore ouverte.</x:v>
      </x:c>
      <x:c r="H1123" s="115" t="str">
        <x:v>L 280 ; l 248 ; hauteur 6,8 m ; choix de composition auteur ; dimensions réelles à documenter</x:v>
      </x:c>
      <x:c r="I1123" s="115" t="str">
        <x:v>À équilibrer</x:v>
      </x:c>
      <x:c r="J1123" s="115" t="str">
        <x:v>Non</x:v>
      </x:c>
      <x:c r="K1123" s="115" t="str">
        <x:v>Pièces décrites, murs, portes, niveaux et mobilier inspectables à l’échelle. Volumes réservés, raccord au seed, butin, rencontres et services de campagne restent à terminer.</x:v>
      </x:c>
    </x:row>
    <x:row r="1124" ht="96" customHeight="1">
      <x:c r="A1124" s="115" t="str">
        <x:v>EXT-MONDE-T023-V19</x:v>
      </x:c>
      <x:c r="B1124" s="115" t="str">
        <x:v>EXT-MONDE-T023</x:v>
      </x:c>
      <x:c r="C1124" s="115" t="str">
        <x:v>Fermes élevage</x:v>
      </x:c>
      <x:c r="D1124" s="115" t="str">
        <x:v>Ferme avicole</x:v>
      </x:c>
      <x:c r="E1124" s="115" t="n">
        <x:v>19</x:v>
      </x:c>
      <x:c r="F1124" s="115" t="str">
        <x:v>Inspection physique</x:v>
      </x:c>
      <x:c r="G1124" s="115" t="str">
        <x:v>1 niveaux ; 28 pièces ; 210 segments de mur ; 0 transitions. Inspection physique ; architecture complète encore ouverte.</x:v>
      </x:c>
      <x:c r="H1124" s="115" t="str">
        <x:v>L 280 ; l 248 ; hauteur 6,8 m ; choix de composition auteur ; dimensions réelles à documenter</x:v>
      </x:c>
      <x:c r="I1124" s="115" t="str">
        <x:v>À équilibrer</x:v>
      </x:c>
      <x:c r="J1124" s="115" t="str">
        <x:v>Non</x:v>
      </x:c>
      <x:c r="K1124" s="115" t="str">
        <x:v>Pièces décrites, murs, portes, niveaux et mobilier inspectables à l’échelle. Volumes réservés, raccord au seed, butin, rencontres et services de campagne restent à terminer.</x:v>
      </x:c>
    </x:row>
    <x:row r="1125" ht="96" customHeight="1">
      <x:c r="A1125" s="115" t="str">
        <x:v>EXT-MONDE-T023-V20</x:v>
      </x:c>
      <x:c r="B1125" s="115" t="str">
        <x:v>EXT-MONDE-T023</x:v>
      </x:c>
      <x:c r="C1125" s="115" t="str">
        <x:v>Fermes élevage</x:v>
      </x:c>
      <x:c r="D1125" s="115" t="str">
        <x:v>Ferme avicole</x:v>
      </x:c>
      <x:c r="E1125" s="115" t="n">
        <x:v>20</x:v>
      </x:c>
      <x:c r="F1125" s="115" t="str">
        <x:v>Inspection physique</x:v>
      </x:c>
      <x:c r="G1125" s="115" t="str">
        <x:v>1 niveaux ; 28 pièces ; 210 segments de mur ; 0 transitions. Inspection physique ; architecture complète encore ouverte.</x:v>
      </x:c>
      <x:c r="H1125" s="115" t="str">
        <x:v>L 280 ; l 248 ; hauteur 6,8 m ; choix de composition auteur ; dimensions réelles à documenter</x:v>
      </x:c>
      <x:c r="I1125" s="115" t="str">
        <x:v>À équilibrer</x:v>
      </x:c>
      <x:c r="J1125" s="115" t="str">
        <x:v>Non</x:v>
      </x:c>
      <x:c r="K1125" s="115" t="str">
        <x:v>Pièces décrites, murs, portes, niveaux et mobilier inspectables à l’échelle. Volumes réservés, raccord au seed, butin, rencontres et services de campagne restent à terminer.</x:v>
      </x:c>
    </x:row>
    <x:row r="1126" ht="96" customHeight="1">
      <x:c r="A1126" s="115" t="str">
        <x:v>EXT-MONDE-T023-V21</x:v>
      </x:c>
      <x:c r="B1126" s="115" t="str">
        <x:v>EXT-MONDE-T023</x:v>
      </x:c>
      <x:c r="C1126" s="115" t="str">
        <x:v>Fermes élevage</x:v>
      </x:c>
      <x:c r="D1126" s="115" t="str">
        <x:v>Ferme avicole</x:v>
      </x:c>
      <x:c r="E1126" s="115" t="n">
        <x:v>21</x:v>
      </x:c>
      <x:c r="F1126" s="115" t="str">
        <x:v>Inspection physique</x:v>
      </x:c>
      <x:c r="G1126" s="115" t="str">
        <x:v>1 niveaux ; 28 pièces ; 210 segments de mur ; 0 transitions. Inspection physique ; architecture complète encore ouverte.</x:v>
      </x:c>
      <x:c r="H1126" s="115" t="str">
        <x:v>L 300 ; l 272 ; hauteur 6,9 m ; choix de composition auteur ; dimensions réelles à documenter</x:v>
      </x:c>
      <x:c r="I1126" s="115" t="str">
        <x:v>À équilibrer</x:v>
      </x:c>
      <x:c r="J1126" s="115" t="str">
        <x:v>Non</x:v>
      </x:c>
      <x:c r="K1126" s="115" t="str">
        <x:v>Pièces décrites, murs, portes, niveaux et mobilier inspectables à l’échelle. Volumes réservés, raccord au seed, butin, rencontres et services de campagne restent à terminer.</x:v>
      </x:c>
    </x:row>
    <x:row r="1127" ht="96" customHeight="1">
      <x:c r="A1127" s="115" t="str">
        <x:v>EXT-MONDE-T023-V22</x:v>
      </x:c>
      <x:c r="B1127" s="115" t="str">
        <x:v>EXT-MONDE-T023</x:v>
      </x:c>
      <x:c r="C1127" s="115" t="str">
        <x:v>Fermes élevage</x:v>
      </x:c>
      <x:c r="D1127" s="115" t="str">
        <x:v>Ferme avicole</x:v>
      </x:c>
      <x:c r="E1127" s="115" t="n">
        <x:v>22</x:v>
      </x:c>
      <x:c r="F1127" s="115" t="str">
        <x:v>Inspection physique</x:v>
      </x:c>
      <x:c r="G1127" s="115" t="str">
        <x:v>1 niveaux ; 28 pièces ; 210 segments de mur ; 0 transitions. Inspection physique ; architecture complète encore ouverte.</x:v>
      </x:c>
      <x:c r="H1127" s="115" t="str">
        <x:v>L 300 ; l 272 ; hauteur 6,9 m ; choix de composition auteur ; dimensions réelles à documenter</x:v>
      </x:c>
      <x:c r="I1127" s="115" t="str">
        <x:v>À équilibrer</x:v>
      </x:c>
      <x:c r="J1127" s="115" t="str">
        <x:v>Non</x:v>
      </x:c>
      <x:c r="K1127" s="115" t="str">
        <x:v>Pièces décrites, murs, portes, niveaux et mobilier inspectables à l’échelle. Volumes réservés, raccord au seed, butin, rencontres et services de campagne restent à terminer.</x:v>
      </x:c>
    </x:row>
    <x:row r="1128" ht="96" customHeight="1">
      <x:c r="A1128" s="115" t="str">
        <x:v>EXT-MONDE-T023-V23</x:v>
      </x:c>
      <x:c r="B1128" s="115" t="str">
        <x:v>EXT-MONDE-T023</x:v>
      </x:c>
      <x:c r="C1128" s="115" t="str">
        <x:v>Fermes élevage</x:v>
      </x:c>
      <x:c r="D1128" s="115" t="str">
        <x:v>Ferme avicole</x:v>
      </x:c>
      <x:c r="E1128" s="115" t="n">
        <x:v>23</x:v>
      </x:c>
      <x:c r="F1128" s="115" t="str">
        <x:v>Inspection physique</x:v>
      </x:c>
      <x:c r="G1128" s="115" t="str">
        <x:v>1 niveaux ; 28 pièces ; 210 segments de mur ; 0 transitions. Inspection physique ; architecture complète encore ouverte.</x:v>
      </x:c>
      <x:c r="H1128" s="115" t="str">
        <x:v>L 300 ; l 272 ; hauteur 6,9 m ; choix de composition auteur ; dimensions réelles à documenter</x:v>
      </x:c>
      <x:c r="I1128" s="115" t="str">
        <x:v>À équilibrer</x:v>
      </x:c>
      <x:c r="J1128" s="115" t="str">
        <x:v>Non</x:v>
      </x:c>
      <x:c r="K1128" s="115" t="str">
        <x:v>Pièces décrites, murs, portes, niveaux et mobilier inspectables à l’échelle. Volumes réservés, raccord au seed, butin, rencontres et services de campagne restent à terminer.</x:v>
      </x:c>
    </x:row>
    <x:row r="1129" ht="96" customHeight="1">
      <x:c r="A1129" s="115" t="str">
        <x:v>EXT-MONDE-T023-V24</x:v>
      </x:c>
      <x:c r="B1129" s="115" t="str">
        <x:v>EXT-MONDE-T023</x:v>
      </x:c>
      <x:c r="C1129" s="115" t="str">
        <x:v>Fermes élevage</x:v>
      </x:c>
      <x:c r="D1129" s="115" t="str">
        <x:v>Ferme avicole</x:v>
      </x:c>
      <x:c r="E1129" s="115" t="n">
        <x:v>24</x:v>
      </x:c>
      <x:c r="F1129" s="115" t="str">
        <x:v>Inspection physique</x:v>
      </x:c>
      <x:c r="G1129" s="115" t="str">
        <x:v>1 niveaux ; 28 pièces ; 210 segments de mur ; 0 transitions. Inspection physique ; architecture complète encore ouverte.</x:v>
      </x:c>
      <x:c r="H1129" s="115" t="str">
        <x:v>L 300 ; l 272 ; hauteur 6,9 m ; choix de composition auteur ; dimensions réelles à documenter</x:v>
      </x:c>
      <x:c r="I1129" s="115" t="str">
        <x:v>À équilibrer</x:v>
      </x:c>
      <x:c r="J1129" s="115" t="str">
        <x:v>Non</x:v>
      </x:c>
      <x:c r="K1129" s="115" t="str">
        <x:v>Pièces décrites, murs, portes, niveaux et mobilier inspectables à l’échelle. Volumes réservés, raccord au seed, butin, rencontres et services de campagne restent à terminer.</x:v>
      </x:c>
    </x:row>
    <x:row r="1130" ht="96" customHeight="1">
      <x:c r="A1130" s="115" t="str">
        <x:v>EXT-MONDE-T023-V25</x:v>
      </x:c>
      <x:c r="B1130" s="115" t="str">
        <x:v>EXT-MONDE-T023</x:v>
      </x:c>
      <x:c r="C1130" s="115" t="str">
        <x:v>Fermes élevage</x:v>
      </x:c>
      <x:c r="D1130" s="115" t="str">
        <x:v>Ferme avicole</x:v>
      </x:c>
      <x:c r="E1130" s="115" t="n">
        <x:v>25</x:v>
      </x:c>
      <x:c r="F1130" s="115" t="str">
        <x:v>Inspection physique</x:v>
      </x:c>
      <x:c r="G1130" s="115" t="str">
        <x:v>1 niveaux ; 28 pièces ; 210 segments de mur ; 0 transitions. Inspection physique ; architecture complète encore ouverte.</x:v>
      </x:c>
      <x:c r="H1130" s="115" t="str">
        <x:v>L 300 ; l 272 ; hauteur 6,9 m ; choix de composition auteur ; dimensions réelles à documenter</x:v>
      </x:c>
      <x:c r="I1130" s="115" t="str">
        <x:v>À équilibrer</x:v>
      </x:c>
      <x:c r="J1130" s="115" t="str">
        <x:v>Non</x:v>
      </x:c>
      <x:c r="K1130" s="115" t="str">
        <x:v>Pièces décrites, murs, portes, niveaux et mobilier inspectables à l’échelle. Volumes réservés, raccord au seed, butin, rencontres et services de campagne restent à terminer.</x:v>
      </x:c>
    </x:row>
    <x:row r="1131" ht="96" customHeight="1">
      <x:c r="A1131" s="115" t="str">
        <x:v>EXT-MONDE-T023-V26</x:v>
      </x:c>
      <x:c r="B1131" s="115" t="str">
        <x:v>EXT-MONDE-T023</x:v>
      </x:c>
      <x:c r="C1131" s="115" t="str">
        <x:v>Fermes élevage</x:v>
      </x:c>
      <x:c r="D1131" s="115" t="str">
        <x:v>Ferme avicole</x:v>
      </x:c>
      <x:c r="E1131" s="115" t="n">
        <x:v>26</x:v>
      </x:c>
      <x:c r="F1131" s="115" t="str">
        <x:v>Inspection physique</x:v>
      </x:c>
      <x:c r="G1131" s="115" t="str">
        <x:v>1 niveaux ; 28 pièces ; 210 segments de mur ; 0 transitions. Inspection physique ; architecture complète encore ouverte.</x:v>
      </x:c>
      <x:c r="H1131" s="115" t="str">
        <x:v>L 300 ; l 272 ; hauteur 6,9 m ; choix de composition auteur ; dimensions réelles à documenter</x:v>
      </x:c>
      <x:c r="I1131" s="115" t="str">
        <x:v>À équilibrer</x:v>
      </x:c>
      <x:c r="J1131" s="115" t="str">
        <x:v>Non</x:v>
      </x:c>
      <x:c r="K1131" s="115" t="str">
        <x:v>Pièces décrites, murs, portes, niveaux et mobilier inspectables à l’échelle. Volumes réservés, raccord au seed, butin, rencontres et services de campagne restent à terminer.</x:v>
      </x:c>
    </x:row>
    <x:row r="1132" ht="96" customHeight="1">
      <x:c r="A1132" s="115" t="str">
        <x:v>EXT-MONDE-T023-V27</x:v>
      </x:c>
      <x:c r="B1132" s="115" t="str">
        <x:v>EXT-MONDE-T023</x:v>
      </x:c>
      <x:c r="C1132" s="115" t="str">
        <x:v>Fermes élevage</x:v>
      </x:c>
      <x:c r="D1132" s="115" t="str">
        <x:v>Ferme avicole</x:v>
      </x:c>
      <x:c r="E1132" s="115" t="n">
        <x:v>27</x:v>
      </x:c>
      <x:c r="F1132" s="115" t="str">
        <x:v>Inspection physique</x:v>
      </x:c>
      <x:c r="G1132" s="115" t="str">
        <x:v>1 niveaux ; 28 pièces ; 210 segments de mur ; 0 transitions. Inspection physique ; architecture complète encore ouverte.</x:v>
      </x:c>
      <x:c r="H1132" s="115" t="str">
        <x:v>L 300 ; l 272 ; hauteur 6,9 m ; choix de composition auteur ; dimensions réelles à documenter</x:v>
      </x:c>
      <x:c r="I1132" s="115" t="str">
        <x:v>À équilibrer</x:v>
      </x:c>
      <x:c r="J1132" s="115" t="str">
        <x:v>Non</x:v>
      </x:c>
      <x:c r="K1132" s="115" t="str">
        <x:v>Pièces décrites, murs, portes, niveaux et mobilier inspectables à l’échelle. Volumes réservés, raccord au seed, butin, rencontres et services de campagne restent à terminer.</x:v>
      </x:c>
    </x:row>
    <x:row r="1133" ht="96" customHeight="1">
      <x:c r="A1133" s="115" t="str">
        <x:v>EXT-MONDE-T023-V28</x:v>
      </x:c>
      <x:c r="B1133" s="115" t="str">
        <x:v>EXT-MONDE-T023</x:v>
      </x:c>
      <x:c r="C1133" s="115" t="str">
        <x:v>Fermes élevage</x:v>
      </x:c>
      <x:c r="D1133" s="115" t="str">
        <x:v>Ferme avicole</x:v>
      </x:c>
      <x:c r="E1133" s="115" t="n">
        <x:v>28</x:v>
      </x:c>
      <x:c r="F1133" s="115" t="str">
        <x:v>Inspection physique</x:v>
      </x:c>
      <x:c r="G1133" s="115" t="str">
        <x:v>1 niveaux ; 28 pièces ; 210 segments de mur ; 0 transitions. Inspection physique ; architecture complète encore ouverte.</x:v>
      </x:c>
      <x:c r="H1133" s="115" t="str">
        <x:v>L 300 ; l 272 ; hauteur 6,9 m ; choix de composition auteur ; dimensions réelles à documenter</x:v>
      </x:c>
      <x:c r="I1133" s="115" t="str">
        <x:v>À équilibrer</x:v>
      </x:c>
      <x:c r="J1133" s="115" t="str">
        <x:v>Non</x:v>
      </x:c>
      <x:c r="K1133" s="115" t="str">
        <x:v>Pièces décrites, murs, portes, niveaux et mobilier inspectables à l’échelle. Volumes réservés, raccord au seed, butin, rencontres et services de campagne restent à terminer.</x:v>
      </x:c>
    </x:row>
    <x:row r="1134" ht="96" customHeight="1">
      <x:c r="A1134" s="115" t="str">
        <x:v>EXT-MONDE-T023-V29</x:v>
      </x:c>
      <x:c r="B1134" s="115" t="str">
        <x:v>EXT-MONDE-T023</x:v>
      </x:c>
      <x:c r="C1134" s="115" t="str">
        <x:v>Fermes élevage</x:v>
      </x:c>
      <x:c r="D1134" s="115" t="str">
        <x:v>Ferme avicole</x:v>
      </x:c>
      <x:c r="E1134" s="115" t="n">
        <x:v>29</x:v>
      </x:c>
      <x:c r="F1134" s="115" t="str">
        <x:v>Inspection physique</x:v>
      </x:c>
      <x:c r="G1134" s="115" t="str">
        <x:v>1 niveaux ; 28 pièces ; 210 segments de mur ; 0 transitions. Inspection physique ; architecture complète encore ouverte.</x:v>
      </x:c>
      <x:c r="H1134" s="115" t="str">
        <x:v>L 300 ; l 272 ; hauteur 6,9 m ; choix de composition auteur ; dimensions réelles à documenter</x:v>
      </x:c>
      <x:c r="I1134" s="115" t="str">
        <x:v>À équilibrer</x:v>
      </x:c>
      <x:c r="J1134" s="115" t="str">
        <x:v>Non</x:v>
      </x:c>
      <x:c r="K1134" s="115" t="str">
        <x:v>Pièces décrites, murs, portes, niveaux et mobilier inspectables à l’échelle. Volumes réservés, raccord au seed, butin, rencontres et services de campagne restent à terminer.</x:v>
      </x:c>
    </x:row>
    <x:row r="1135" ht="96" customHeight="1">
      <x:c r="A1135" s="115" t="str">
        <x:v>EXT-MONDE-T023-V30</x:v>
      </x:c>
      <x:c r="B1135" s="115" t="str">
        <x:v>EXT-MONDE-T023</x:v>
      </x:c>
      <x:c r="C1135" s="115" t="str">
        <x:v>Fermes élevage</x:v>
      </x:c>
      <x:c r="D1135" s="115" t="str">
        <x:v>Ferme avicole</x:v>
      </x:c>
      <x:c r="E1135" s="115" t="n">
        <x:v>30</x:v>
      </x:c>
      <x:c r="F1135" s="115" t="str">
        <x:v>Inspection physique</x:v>
      </x:c>
      <x:c r="G1135" s="115" t="str">
        <x:v>1 niveaux ; 28 pièces ; 210 segments de mur ; 0 transitions. Inspection physique ; architecture complète encore ouverte.</x:v>
      </x:c>
      <x:c r="H1135" s="115" t="str">
        <x:v>L 300 ; l 272 ; hauteur 6,9 m ; choix de composition auteur ; dimensions réelles à documenter</x:v>
      </x:c>
      <x:c r="I1135" s="115" t="str">
        <x:v>À équilibrer</x:v>
      </x:c>
      <x:c r="J1135" s="115" t="str">
        <x:v>Non</x:v>
      </x:c>
      <x:c r="K1135" s="115" t="str">
        <x:v>Pièces décrites, murs, portes, niveaux et mobilier inspectables à l’échelle. Volumes réservés, raccord au seed, butin, rencontres et services de campagne restent à terminer.</x:v>
      </x:c>
    </x:row>
    <x:row r="1136" ht="96" customHeight="1">
      <x:c r="A1136" s="115" t="str">
        <x:v>EXT-MONDE-T023-V31</x:v>
      </x:c>
      <x:c r="B1136" s="115" t="str">
        <x:v>EXT-MONDE-T023</x:v>
      </x:c>
      <x:c r="C1136" s="115" t="str">
        <x:v>Fermes élevage</x:v>
      </x:c>
      <x:c r="D1136" s="115" t="str">
        <x:v>Ferme avicole</x:v>
      </x:c>
      <x:c r="E1136" s="115" t="n">
        <x:v>31</x:v>
      </x:c>
      <x:c r="F1136" s="115" t="str">
        <x:v>Inspection physique</x:v>
      </x:c>
      <x:c r="G1136" s="115" t="str">
        <x:v>1 niveaux ; 28 pièces ; 210 segments de mur ; 0 transitions. Inspection physique ; architecture complète encore ouverte.</x:v>
      </x:c>
      <x:c r="H1136" s="115" t="str">
        <x:v>L 320 ; l 296 ; hauteur 7,1 m ; choix de composition auteur ; dimensions réelles à documenter</x:v>
      </x:c>
      <x:c r="I1136" s="115" t="str">
        <x:v>À équilibrer</x:v>
      </x:c>
      <x:c r="J1136" s="115" t="str">
        <x:v>Non</x:v>
      </x:c>
      <x:c r="K1136" s="115" t="str">
        <x:v>Pièces décrites, murs, portes, niveaux et mobilier inspectables à l’échelle. Volumes réservés, raccord au seed, butin, rencontres et services de campagne restent à terminer.</x:v>
      </x:c>
    </x:row>
    <x:row r="1137" ht="96" customHeight="1">
      <x:c r="A1137" s="115" t="str">
        <x:v>EXT-MONDE-T023-V32</x:v>
      </x:c>
      <x:c r="B1137" s="115" t="str">
        <x:v>EXT-MONDE-T023</x:v>
      </x:c>
      <x:c r="C1137" s="115" t="str">
        <x:v>Fermes élevage</x:v>
      </x:c>
      <x:c r="D1137" s="115" t="str">
        <x:v>Ferme avicole</x:v>
      </x:c>
      <x:c r="E1137" s="115" t="n">
        <x:v>32</x:v>
      </x:c>
      <x:c r="F1137" s="115" t="str">
        <x:v>Inspection physique</x:v>
      </x:c>
      <x:c r="G1137" s="115" t="str">
        <x:v>1 niveaux ; 28 pièces ; 210 segments de mur ; 0 transitions. Inspection physique ; architecture complète encore ouverte.</x:v>
      </x:c>
      <x:c r="H1137" s="115" t="str">
        <x:v>L 320 ; l 296 ; hauteur 7,1 m ; choix de composition auteur ; dimensions réelles à documenter</x:v>
      </x:c>
      <x:c r="I1137" s="115" t="str">
        <x:v>À équilibrer</x:v>
      </x:c>
      <x:c r="J1137" s="115" t="str">
        <x:v>Non</x:v>
      </x:c>
      <x:c r="K1137" s="115" t="str">
        <x:v>Pièces décrites, murs, portes, niveaux et mobilier inspectables à l’échelle. Volumes réservés, raccord au seed, butin, rencontres et services de campagne restent à terminer.</x:v>
      </x:c>
    </x:row>
    <x:row r="1138" ht="96" customHeight="1">
      <x:c r="A1138" s="115" t="str">
        <x:v>EXT-MONDE-T023-V33</x:v>
      </x:c>
      <x:c r="B1138" s="115" t="str">
        <x:v>EXT-MONDE-T023</x:v>
      </x:c>
      <x:c r="C1138" s="115" t="str">
        <x:v>Fermes élevage</x:v>
      </x:c>
      <x:c r="D1138" s="115" t="str">
        <x:v>Ferme avicole</x:v>
      </x:c>
      <x:c r="E1138" s="115" t="n">
        <x:v>33</x:v>
      </x:c>
      <x:c r="F1138" s="115" t="str">
        <x:v>Inspection physique</x:v>
      </x:c>
      <x:c r="G1138" s="115" t="str">
        <x:v>1 niveaux ; 28 pièces ; 210 segments de mur ; 0 transitions. Inspection physique ; architecture complète encore ouverte.</x:v>
      </x:c>
      <x:c r="H1138" s="115" t="str">
        <x:v>L 320 ; l 296 ; hauteur 7,1 m ; choix de composition auteur ; dimensions réelles à documenter</x:v>
      </x:c>
      <x:c r="I1138" s="115" t="str">
        <x:v>À équilibrer</x:v>
      </x:c>
      <x:c r="J1138" s="115" t="str">
        <x:v>Non</x:v>
      </x:c>
      <x:c r="K1138" s="115" t="str">
        <x:v>Pièces décrites, murs, portes, niveaux et mobilier inspectables à l’échelle. Volumes réservés, raccord au seed, butin, rencontres et services de campagne restent à terminer.</x:v>
      </x:c>
    </x:row>
    <x:row r="1139" ht="96" customHeight="1">
      <x:c r="A1139" s="115" t="str">
        <x:v>EXT-MONDE-T023-V34</x:v>
      </x:c>
      <x:c r="B1139" s="115" t="str">
        <x:v>EXT-MONDE-T023</x:v>
      </x:c>
      <x:c r="C1139" s="115" t="str">
        <x:v>Fermes élevage</x:v>
      </x:c>
      <x:c r="D1139" s="115" t="str">
        <x:v>Ferme avicole</x:v>
      </x:c>
      <x:c r="E1139" s="115" t="n">
        <x:v>34</x:v>
      </x:c>
      <x:c r="F1139" s="115" t="str">
        <x:v>Inspection physique</x:v>
      </x:c>
      <x:c r="G1139" s="115" t="str">
        <x:v>1 niveaux ; 28 pièces ; 210 segments de mur ; 0 transitions. Inspection physique ; architecture complète encore ouverte.</x:v>
      </x:c>
      <x:c r="H1139" s="115" t="str">
        <x:v>L 320 ; l 296 ; hauteur 7,1 m ; choix de composition auteur ; dimensions réelles à documenter</x:v>
      </x:c>
      <x:c r="I1139" s="115" t="str">
        <x:v>À équilibrer</x:v>
      </x:c>
      <x:c r="J1139" s="115" t="str">
        <x:v>Non</x:v>
      </x:c>
      <x:c r="K1139" s="115" t="str">
        <x:v>Pièces décrites, murs, portes, niveaux et mobilier inspectables à l’échelle. Volumes réservés, raccord au seed, butin, rencontres et services de campagne restent à terminer.</x:v>
      </x:c>
    </x:row>
    <x:row r="1140" ht="96" customHeight="1">
      <x:c r="A1140" s="115" t="str">
        <x:v>EXT-MONDE-T023-V35</x:v>
      </x:c>
      <x:c r="B1140" s="115" t="str">
        <x:v>EXT-MONDE-T023</x:v>
      </x:c>
      <x:c r="C1140" s="115" t="str">
        <x:v>Fermes élevage</x:v>
      </x:c>
      <x:c r="D1140" s="115" t="str">
        <x:v>Ferme avicole</x:v>
      </x:c>
      <x:c r="E1140" s="115" t="n">
        <x:v>35</x:v>
      </x:c>
      <x:c r="F1140" s="115" t="str">
        <x:v>Inspection physique</x:v>
      </x:c>
      <x:c r="G1140" s="115" t="str">
        <x:v>1 niveaux ; 28 pièces ; 210 segments de mur ; 0 transitions. Inspection physique ; architecture complète encore ouverte.</x:v>
      </x:c>
      <x:c r="H1140" s="115" t="str">
        <x:v>L 320 ; l 296 ; hauteur 7,1 m ; choix de composition auteur ; dimensions réelles à documenter</x:v>
      </x:c>
      <x:c r="I1140" s="115" t="str">
        <x:v>À équilibrer</x:v>
      </x:c>
      <x:c r="J1140" s="115" t="str">
        <x:v>Non</x:v>
      </x:c>
      <x:c r="K1140" s="115" t="str">
        <x:v>Pièces décrites, murs, portes, niveaux et mobilier inspectables à l’échelle. Volumes réservés, raccord au seed, butin, rencontres et services de campagne restent à terminer.</x:v>
      </x:c>
    </x:row>
    <x:row r="1141" ht="96" customHeight="1">
      <x:c r="A1141" s="115" t="str">
        <x:v>EXT-MONDE-T023-V36</x:v>
      </x:c>
      <x:c r="B1141" s="115" t="str">
        <x:v>EXT-MONDE-T023</x:v>
      </x:c>
      <x:c r="C1141" s="115" t="str">
        <x:v>Fermes élevage</x:v>
      </x:c>
      <x:c r="D1141" s="115" t="str">
        <x:v>Ferme avicole</x:v>
      </x:c>
      <x:c r="E1141" s="115" t="n">
        <x:v>36</x:v>
      </x:c>
      <x:c r="F1141" s="115" t="str">
        <x:v>Inspection physique</x:v>
      </x:c>
      <x:c r="G1141" s="115" t="str">
        <x:v>1 niveaux ; 28 pièces ; 210 segments de mur ; 0 transitions. Inspection physique ; architecture complète encore ouverte.</x:v>
      </x:c>
      <x:c r="H1141" s="115" t="str">
        <x:v>L 320 ; l 296 ; hauteur 7,1 m ; choix de composition auteur ; dimensions réelles à documenter</x:v>
      </x:c>
      <x:c r="I1141" s="115" t="str">
        <x:v>À équilibrer</x:v>
      </x:c>
      <x:c r="J1141" s="115" t="str">
        <x:v>Non</x:v>
      </x:c>
      <x:c r="K1141" s="115" t="str">
        <x:v>Pièces décrites, murs, portes, niveaux et mobilier inspectables à l’échelle. Volumes réservés, raccord au seed, butin, rencontres et services de campagne restent à terminer.</x:v>
      </x:c>
    </x:row>
    <x:row r="1142" ht="96" customHeight="1">
      <x:c r="A1142" s="115" t="str">
        <x:v>EXT-MONDE-T023-V37</x:v>
      </x:c>
      <x:c r="B1142" s="115" t="str">
        <x:v>EXT-MONDE-T023</x:v>
      </x:c>
      <x:c r="C1142" s="115" t="str">
        <x:v>Fermes élevage</x:v>
      </x:c>
      <x:c r="D1142" s="115" t="str">
        <x:v>Ferme avicole</x:v>
      </x:c>
      <x:c r="E1142" s="115" t="n">
        <x:v>37</x:v>
      </x:c>
      <x:c r="F1142" s="115" t="str">
        <x:v>Inspection physique</x:v>
      </x:c>
      <x:c r="G1142" s="115" t="str">
        <x:v>1 niveaux ; 28 pièces ; 210 segments de mur ; 0 transitions. Inspection physique ; architecture complète encore ouverte.</x:v>
      </x:c>
      <x:c r="H1142" s="115" t="str">
        <x:v>L 320 ; l 296 ; hauteur 7,1 m ; choix de composition auteur ; dimensions réelles à documenter</x:v>
      </x:c>
      <x:c r="I1142" s="115" t="str">
        <x:v>À équilibrer</x:v>
      </x:c>
      <x:c r="J1142" s="115" t="str">
        <x:v>Non</x:v>
      </x:c>
      <x:c r="K1142" s="115" t="str">
        <x:v>Pièces décrites, murs, portes, niveaux et mobilier inspectables à l’échelle. Volumes réservés, raccord au seed, butin, rencontres et services de campagne restent à terminer.</x:v>
      </x:c>
    </x:row>
    <x:row r="1143" ht="96" customHeight="1">
      <x:c r="A1143" s="115" t="str">
        <x:v>EXT-MONDE-T023-V38</x:v>
      </x:c>
      <x:c r="B1143" s="115" t="str">
        <x:v>EXT-MONDE-T023</x:v>
      </x:c>
      <x:c r="C1143" s="115" t="str">
        <x:v>Fermes élevage</x:v>
      </x:c>
      <x:c r="D1143" s="115" t="str">
        <x:v>Ferme avicole</x:v>
      </x:c>
      <x:c r="E1143" s="115" t="n">
        <x:v>38</x:v>
      </x:c>
      <x:c r="F1143" s="115" t="str">
        <x:v>Inspection physique</x:v>
      </x:c>
      <x:c r="G1143" s="115" t="str">
        <x:v>1 niveaux ; 28 pièces ; 210 segments de mur ; 0 transitions. Inspection physique ; architecture complète encore ouverte.</x:v>
      </x:c>
      <x:c r="H1143" s="115" t="str">
        <x:v>L 320 ; l 296 ; hauteur 7,1 m ; choix de composition auteur ; dimensions réelles à documenter</x:v>
      </x:c>
      <x:c r="I1143" s="115" t="str">
        <x:v>À équilibrer</x:v>
      </x:c>
      <x:c r="J1143" s="115" t="str">
        <x:v>Non</x:v>
      </x:c>
      <x:c r="K1143" s="115" t="str">
        <x:v>Pièces décrites, murs, portes, niveaux et mobilier inspectables à l’échelle. Volumes réservés, raccord au seed, butin, rencontres et services de campagne restent à terminer.</x:v>
      </x:c>
    </x:row>
    <x:row r="1144" ht="96" customHeight="1">
      <x:c r="A1144" s="115" t="str">
        <x:v>EXT-MONDE-T023-V39</x:v>
      </x:c>
      <x:c r="B1144" s="115" t="str">
        <x:v>EXT-MONDE-T023</x:v>
      </x:c>
      <x:c r="C1144" s="115" t="str">
        <x:v>Fermes élevage</x:v>
      </x:c>
      <x:c r="D1144" s="115" t="str">
        <x:v>Ferme avicole</x:v>
      </x:c>
      <x:c r="E1144" s="115" t="n">
        <x:v>39</x:v>
      </x:c>
      <x:c r="F1144" s="115" t="str">
        <x:v>Inspection physique</x:v>
      </x:c>
      <x:c r="G1144" s="115" t="str">
        <x:v>1 niveaux ; 28 pièces ; 210 segments de mur ; 0 transitions. Inspection physique ; architecture complète encore ouverte.</x:v>
      </x:c>
      <x:c r="H1144" s="115" t="str">
        <x:v>L 320 ; l 296 ; hauteur 7,1 m ; choix de composition auteur ; dimensions réelles à documenter</x:v>
      </x:c>
      <x:c r="I1144" s="115" t="str">
        <x:v>À équilibrer</x:v>
      </x:c>
      <x:c r="J1144" s="115" t="str">
        <x:v>Non</x:v>
      </x:c>
      <x:c r="K1144" s="115" t="str">
        <x:v>Pièces décrites, murs, portes, niveaux et mobilier inspectables à l’échelle. Volumes réservés, raccord au seed, butin, rencontres et services de campagne restent à terminer.</x:v>
      </x:c>
    </x:row>
    <x:row r="1145" ht="96" customHeight="1">
      <x:c r="A1145" s="115" t="str">
        <x:v>EXT-MONDE-T023-V40</x:v>
      </x:c>
      <x:c r="B1145" s="115" t="str">
        <x:v>EXT-MONDE-T023</x:v>
      </x:c>
      <x:c r="C1145" s="115" t="str">
        <x:v>Fermes élevage</x:v>
      </x:c>
      <x:c r="D1145" s="115" t="str">
        <x:v>Ferme avicole</x:v>
      </x:c>
      <x:c r="E1145" s="115" t="n">
        <x:v>40</x:v>
      </x:c>
      <x:c r="F1145" s="115" t="str">
        <x:v>Inspection physique</x:v>
      </x:c>
      <x:c r="G1145" s="115" t="str">
        <x:v>1 niveaux ; 28 pièces ; 210 segments de mur ; 0 transitions. Inspection physique ; architecture complète encore ouverte.</x:v>
      </x:c>
      <x:c r="H1145" s="115" t="str">
        <x:v>L 320 ; l 296 ; hauteur 7,1 m ; choix de composition auteur ; dimensions réelles à documenter</x:v>
      </x:c>
      <x:c r="I1145" s="115" t="str">
        <x:v>À équilibrer</x:v>
      </x:c>
      <x:c r="J1145" s="115" t="str">
        <x:v>Non</x:v>
      </x:c>
      <x:c r="K1145" s="115" t="str">
        <x:v>Pièces décrites, murs, portes, niveaux et mobilier inspectables à l’échelle. Volumes réservés, raccord au seed, butin, rencontres et services de campagne restent à terminer.</x:v>
      </x:c>
    </x:row>
    <x:row r="1146" ht="96" customHeight="1">
      <x:c r="A1146" s="115" t="str">
        <x:v>EXT-MONDE-T023-V41</x:v>
      </x:c>
      <x:c r="B1146" s="115" t="str">
        <x:v>EXT-MONDE-T023</x:v>
      </x:c>
      <x:c r="C1146" s="115" t="str">
        <x:v>Fermes élevage</x:v>
      </x:c>
      <x:c r="D1146" s="115" t="str">
        <x:v>Ferme avicole</x:v>
      </x:c>
      <x:c r="E1146" s="115" t="n">
        <x:v>41</x:v>
      </x:c>
      <x:c r="F1146" s="115" t="str">
        <x:v>Inspection physique</x:v>
      </x:c>
      <x:c r="G1146" s="115" t="str">
        <x:v>1 niveaux ; 28 pièces ; 210 segments de mur ; 0 transitions. Inspection physique ; architecture complète encore ouverte.</x:v>
      </x:c>
      <x:c r="H1146" s="115" t="str">
        <x:v>L 340 ; l 320 ; hauteur 7,3 m ; choix de composition auteur ; dimensions réelles à documenter</x:v>
      </x:c>
      <x:c r="I1146" s="115" t="str">
        <x:v>À équilibrer</x:v>
      </x:c>
      <x:c r="J1146" s="115" t="str">
        <x:v>Non</x:v>
      </x:c>
      <x:c r="K1146" s="115" t="str">
        <x:v>Pièces décrites, murs, portes, niveaux et mobilier inspectables à l’échelle. Volumes réservés, raccord au seed, butin, rencontres et services de campagne restent à terminer.</x:v>
      </x:c>
    </x:row>
    <x:row r="1147" ht="96" customHeight="1">
      <x:c r="A1147" s="115" t="str">
        <x:v>EXT-MONDE-T023-V42</x:v>
      </x:c>
      <x:c r="B1147" s="115" t="str">
        <x:v>EXT-MONDE-T023</x:v>
      </x:c>
      <x:c r="C1147" s="115" t="str">
        <x:v>Fermes élevage</x:v>
      </x:c>
      <x:c r="D1147" s="115" t="str">
        <x:v>Ferme avicole</x:v>
      </x:c>
      <x:c r="E1147" s="115" t="n">
        <x:v>42</x:v>
      </x:c>
      <x:c r="F1147" s="115" t="str">
        <x:v>Inspection physique</x:v>
      </x:c>
      <x:c r="G1147" s="115" t="str">
        <x:v>1 niveaux ; 28 pièces ; 210 segments de mur ; 0 transitions. Inspection physique ; architecture complète encore ouverte.</x:v>
      </x:c>
      <x:c r="H1147" s="115" t="str">
        <x:v>L 340 ; l 320 ; hauteur 7,3 m ; choix de composition auteur ; dimensions réelles à documenter</x:v>
      </x:c>
      <x:c r="I1147" s="115" t="str">
        <x:v>À équilibrer</x:v>
      </x:c>
      <x:c r="J1147" s="115" t="str">
        <x:v>Non</x:v>
      </x:c>
      <x:c r="K1147" s="115" t="str">
        <x:v>Pièces décrites, murs, portes, niveaux et mobilier inspectables à l’échelle. Volumes réservés, raccord au seed, butin, rencontres et services de campagne restent à terminer.</x:v>
      </x:c>
    </x:row>
    <x:row r="1148" ht="96" customHeight="1">
      <x:c r="A1148" s="115" t="str">
        <x:v>EXT-MONDE-T023-V43</x:v>
      </x:c>
      <x:c r="B1148" s="115" t="str">
        <x:v>EXT-MONDE-T023</x:v>
      </x:c>
      <x:c r="C1148" s="115" t="str">
        <x:v>Fermes élevage</x:v>
      </x:c>
      <x:c r="D1148" s="115" t="str">
        <x:v>Ferme avicole</x:v>
      </x:c>
      <x:c r="E1148" s="115" t="n">
        <x:v>43</x:v>
      </x:c>
      <x:c r="F1148" s="115" t="str">
        <x:v>Inspection physique</x:v>
      </x:c>
      <x:c r="G1148" s="115" t="str">
        <x:v>1 niveaux ; 28 pièces ; 210 segments de mur ; 0 transitions. Inspection physique ; architecture complète encore ouverte.</x:v>
      </x:c>
      <x:c r="H1148" s="115" t="str">
        <x:v>L 340 ; l 320 ; hauteur 7,3 m ; choix de composition auteur ; dimensions réelles à documenter</x:v>
      </x:c>
      <x:c r="I1148" s="115" t="str">
        <x:v>À équilibrer</x:v>
      </x:c>
      <x:c r="J1148" s="115" t="str">
        <x:v>Non</x:v>
      </x:c>
      <x:c r="K1148" s="115" t="str">
        <x:v>Pièces décrites, murs, portes, niveaux et mobilier inspectables à l’échelle. Volumes réservés, raccord au seed, butin, rencontres et services de campagne restent à terminer.</x:v>
      </x:c>
    </x:row>
    <x:row r="1149" ht="96" customHeight="1">
      <x:c r="A1149" s="115" t="str">
        <x:v>EXT-MONDE-T023-V44</x:v>
      </x:c>
      <x:c r="B1149" s="115" t="str">
        <x:v>EXT-MONDE-T023</x:v>
      </x:c>
      <x:c r="C1149" s="115" t="str">
        <x:v>Fermes élevage</x:v>
      </x:c>
      <x:c r="D1149" s="115" t="str">
        <x:v>Ferme avicole</x:v>
      </x:c>
      <x:c r="E1149" s="115" t="n">
        <x:v>44</x:v>
      </x:c>
      <x:c r="F1149" s="115" t="str">
        <x:v>Inspection physique</x:v>
      </x:c>
      <x:c r="G1149" s="115" t="str">
        <x:v>1 niveaux ; 28 pièces ; 210 segments de mur ; 0 transitions. Inspection physique ; architecture complète encore ouverte.</x:v>
      </x:c>
      <x:c r="H1149" s="115" t="str">
        <x:v>L 340 ; l 320 ; hauteur 7,3 m ; choix de composition auteur ; dimensions réelles à documenter</x:v>
      </x:c>
      <x:c r="I1149" s="115" t="str">
        <x:v>À équilibrer</x:v>
      </x:c>
      <x:c r="J1149" s="115" t="str">
        <x:v>Non</x:v>
      </x:c>
      <x:c r="K1149" s="115" t="str">
        <x:v>Pièces décrites, murs, portes, niveaux et mobilier inspectables à l’échelle. Volumes réservés, raccord au seed, butin, rencontres et services de campagne restent à terminer.</x:v>
      </x:c>
    </x:row>
    <x:row r="1150" ht="96" customHeight="1">
      <x:c r="A1150" s="115" t="str">
        <x:v>EXT-MONDE-T023-V45</x:v>
      </x:c>
      <x:c r="B1150" s="115" t="str">
        <x:v>EXT-MONDE-T023</x:v>
      </x:c>
      <x:c r="C1150" s="115" t="str">
        <x:v>Fermes élevage</x:v>
      </x:c>
      <x:c r="D1150" s="115" t="str">
        <x:v>Ferme avicole</x:v>
      </x:c>
      <x:c r="E1150" s="115" t="n">
        <x:v>45</x:v>
      </x:c>
      <x:c r="F1150" s="115" t="str">
        <x:v>Inspection physique</x:v>
      </x:c>
      <x:c r="G1150" s="115" t="str">
        <x:v>1 niveaux ; 28 pièces ; 210 segments de mur ; 0 transitions. Inspection physique ; architecture complète encore ouverte.</x:v>
      </x:c>
      <x:c r="H1150" s="115" t="str">
        <x:v>L 340 ; l 320 ; hauteur 7,3 m ; choix de composition auteur ; dimensions réelles à documenter</x:v>
      </x:c>
      <x:c r="I1150" s="115" t="str">
        <x:v>À équilibrer</x:v>
      </x:c>
      <x:c r="J1150" s="115" t="str">
        <x:v>Non</x:v>
      </x:c>
      <x:c r="K1150" s="115" t="str">
        <x:v>Pièces décrites, murs, portes, niveaux et mobilier inspectables à l’échelle. Volumes réservés, raccord au seed, butin, rencontres et services de campagne restent à terminer.</x:v>
      </x:c>
    </x:row>
    <x:row r="1151" ht="96" customHeight="1">
      <x:c r="A1151" s="115" t="str">
        <x:v>EXT-MONDE-T023-V46</x:v>
      </x:c>
      <x:c r="B1151" s="115" t="str">
        <x:v>EXT-MONDE-T023</x:v>
      </x:c>
      <x:c r="C1151" s="115" t="str">
        <x:v>Fermes élevage</x:v>
      </x:c>
      <x:c r="D1151" s="115" t="str">
        <x:v>Ferme avicole</x:v>
      </x:c>
      <x:c r="E1151" s="115" t="n">
        <x:v>46</x:v>
      </x:c>
      <x:c r="F1151" s="115" t="str">
        <x:v>Inspection physique</x:v>
      </x:c>
      <x:c r="G1151" s="115" t="str">
        <x:v>1 niveaux ; 28 pièces ; 210 segments de mur ; 0 transitions. Inspection physique ; architecture complète encore ouverte.</x:v>
      </x:c>
      <x:c r="H1151" s="115" t="str">
        <x:v>L 340 ; l 320 ; hauteur 7,3 m ; choix de composition auteur ; dimensions réelles à documenter</x:v>
      </x:c>
      <x:c r="I1151" s="115" t="str">
        <x:v>À équilibrer</x:v>
      </x:c>
      <x:c r="J1151" s="115" t="str">
        <x:v>Non</x:v>
      </x:c>
      <x:c r="K1151" s="115" t="str">
        <x:v>Pièces décrites, murs, portes, niveaux et mobilier inspectables à l’échelle. Volumes réservés, raccord au seed, butin, rencontres et services de campagne restent à terminer.</x:v>
      </x:c>
    </x:row>
    <x:row r="1152" ht="96" customHeight="1">
      <x:c r="A1152" s="115" t="str">
        <x:v>EXT-MONDE-T023-V47</x:v>
      </x:c>
      <x:c r="B1152" s="115" t="str">
        <x:v>EXT-MONDE-T023</x:v>
      </x:c>
      <x:c r="C1152" s="115" t="str">
        <x:v>Fermes élevage</x:v>
      </x:c>
      <x:c r="D1152" s="115" t="str">
        <x:v>Ferme avicole</x:v>
      </x:c>
      <x:c r="E1152" s="115" t="n">
        <x:v>47</x:v>
      </x:c>
      <x:c r="F1152" s="115" t="str">
        <x:v>Inspection physique</x:v>
      </x:c>
      <x:c r="G1152" s="115" t="str">
        <x:v>1 niveaux ; 28 pièces ; 210 segments de mur ; 0 transitions. Inspection physique ; architecture complète encore ouverte.</x:v>
      </x:c>
      <x:c r="H1152" s="115" t="str">
        <x:v>L 340 ; l 320 ; hauteur 7,3 m ; choix de composition auteur ; dimensions réelles à documenter</x:v>
      </x:c>
      <x:c r="I1152" s="115" t="str">
        <x:v>À équilibrer</x:v>
      </x:c>
      <x:c r="J1152" s="115" t="str">
        <x:v>Non</x:v>
      </x:c>
      <x:c r="K1152" s="115" t="str">
        <x:v>Pièces décrites, murs, portes, niveaux et mobilier inspectables à l’échelle. Volumes réservés, raccord au seed, butin, rencontres et services de campagne restent à terminer.</x:v>
      </x:c>
    </x:row>
    <x:row r="1153" ht="96" customHeight="1">
      <x:c r="A1153" s="115" t="str">
        <x:v>EXT-MONDE-T023-V48</x:v>
      </x:c>
      <x:c r="B1153" s="115" t="str">
        <x:v>EXT-MONDE-T023</x:v>
      </x:c>
      <x:c r="C1153" s="115" t="str">
        <x:v>Fermes élevage</x:v>
      </x:c>
      <x:c r="D1153" s="115" t="str">
        <x:v>Ferme avicole</x:v>
      </x:c>
      <x:c r="E1153" s="115" t="n">
        <x:v>48</x:v>
      </x:c>
      <x:c r="F1153" s="115" t="str">
        <x:v>Inspection physique</x:v>
      </x:c>
      <x:c r="G1153" s="115" t="str">
        <x:v>1 niveaux ; 28 pièces ; 210 segments de mur ; 0 transitions. Inspection physique ; architecture complète encore ouverte.</x:v>
      </x:c>
      <x:c r="H1153" s="115" t="str">
        <x:v>L 340 ; l 320 ; hauteur 7,3 m ; choix de composition auteur ; dimensions réelles à documenter</x:v>
      </x:c>
      <x:c r="I1153" s="115" t="str">
        <x:v>À équilibrer</x:v>
      </x:c>
      <x:c r="J1153" s="115" t="str">
        <x:v>Non</x:v>
      </x:c>
      <x:c r="K1153" s="115" t="str">
        <x:v>Pièces décrites, murs, portes, niveaux et mobilier inspectables à l’échelle. Volumes réservés, raccord au seed, butin, rencontres et services de campagne restent à terminer.</x:v>
      </x:c>
    </x:row>
    <x:row r="1154" ht="96" customHeight="1">
      <x:c r="A1154" s="115" t="str">
        <x:v>EXT-MONDE-T023-V49</x:v>
      </x:c>
      <x:c r="B1154" s="115" t="str">
        <x:v>EXT-MONDE-T023</x:v>
      </x:c>
      <x:c r="C1154" s="115" t="str">
        <x:v>Fermes élevage</x:v>
      </x:c>
      <x:c r="D1154" s="115" t="str">
        <x:v>Ferme avicole</x:v>
      </x:c>
      <x:c r="E1154" s="115" t="n">
        <x:v>49</x:v>
      </x:c>
      <x:c r="F1154" s="115" t="str">
        <x:v>Inspection physique</x:v>
      </x:c>
      <x:c r="G1154" s="115" t="str">
        <x:v>1 niveaux ; 28 pièces ; 210 segments de mur ; 0 transitions. Inspection physique ; architecture complète encore ouverte.</x:v>
      </x:c>
      <x:c r="H1154" s="115" t="str">
        <x:v>L 340 ; l 320 ; hauteur 7,3 m ; choix de composition auteur ; dimensions réelles à documenter</x:v>
      </x:c>
      <x:c r="I1154" s="115" t="str">
        <x:v>À équilibrer</x:v>
      </x:c>
      <x:c r="J1154" s="115" t="str">
        <x:v>Non</x:v>
      </x:c>
      <x:c r="K1154" s="115" t="str">
        <x:v>Pièces décrites, murs, portes, niveaux et mobilier inspectables à l’échelle. Volumes réservés, raccord au seed, butin, rencontres et services de campagne restent à terminer.</x:v>
      </x:c>
    </x:row>
    <x:row r="1155" ht="96" customHeight="1">
      <x:c r="A1155" s="115" t="str">
        <x:v>EXT-MONDE-T023-V50</x:v>
      </x:c>
      <x:c r="B1155" s="115" t="str">
        <x:v>EXT-MONDE-T023</x:v>
      </x:c>
      <x:c r="C1155" s="115" t="str">
        <x:v>Fermes élevage</x:v>
      </x:c>
      <x:c r="D1155" s="115" t="str">
        <x:v>Ferme avicole</x:v>
      </x:c>
      <x:c r="E1155" s="115" t="n">
        <x:v>50</x:v>
      </x:c>
      <x:c r="F1155" s="115" t="str">
        <x:v>Inspection physique</x:v>
      </x:c>
      <x:c r="G1155" s="115" t="str">
        <x:v>1 niveaux ; 28 pièces ; 210 segments de mur ; 0 transitions. Inspection physique ; architecture complète encore ouverte.</x:v>
      </x:c>
      <x:c r="H1155" s="115" t="str">
        <x:v>L 340 ; l 320 ; hauteur 7,3 m ; choix de composition auteur ; dimensions réelles à documenter</x:v>
      </x:c>
      <x:c r="I1155" s="115" t="str">
        <x:v>À équilibrer</x:v>
      </x:c>
      <x:c r="J1155" s="115" t="str">
        <x:v>Non</x:v>
      </x:c>
      <x:c r="K1155" s="115" t="str">
        <x:v>Pièces décrites, murs, portes, niveaux et mobilier inspectables à l’échelle. Volumes réservés, raccord au seed, butin, rencontres et services de campagne restent à terminer.</x:v>
      </x:c>
    </x:row>
    <x:row r="1156" ht="96" customHeight="1">
      <x:c r="A1156" s="115" t="str">
        <x:v>EXT-MONDE-T024-V01</x:v>
      </x:c>
      <x:c r="B1156" s="115" t="str">
        <x:v>EXT-MONDE-T024</x:v>
      </x:c>
      <x:c r="C1156" s="115" t="str">
        <x:v>Fermes élevage</x:v>
      </x:c>
      <x:c r="D1156" s="115" t="str">
        <x:v>Centre équestre rural</x:v>
      </x:c>
      <x:c r="E1156" s="115" t="n">
        <x:v>1</x:v>
      </x:c>
      <x:c r="F1156" s="115" t="str">
        <x:v>Inspection physique</x:v>
      </x:c>
      <x:c r="G1156" s="115" t="str">
        <x:v>1 niveaux ; 28 pièces ; 210 segments de mur ; 0 transitions. Inspection physique ; architecture complète encore ouverte.</x:v>
      </x:c>
      <x:c r="H1156" s="115" t="str">
        <x:v>L 260 ; l 224 ; hauteur 6,5 m ; choix de composition auteur ; dimensions réelles à documenter</x:v>
      </x:c>
      <x:c r="I1156" s="115" t="str">
        <x:v>À équilibrer</x:v>
      </x:c>
      <x:c r="J1156" s="115" t="str">
        <x:v>Non</x:v>
      </x:c>
      <x:c r="K1156" s="115" t="str">
        <x:v>Pièces décrites, murs, portes, niveaux et mobilier inspectables à l’échelle. Volumes réservés, raccord au seed, butin, rencontres et services de campagne restent à terminer.</x:v>
      </x:c>
    </x:row>
    <x:row r="1157" ht="96" customHeight="1">
      <x:c r="A1157" s="115" t="str">
        <x:v>EXT-MONDE-T024-V02</x:v>
      </x:c>
      <x:c r="B1157" s="115" t="str">
        <x:v>EXT-MONDE-T024</x:v>
      </x:c>
      <x:c r="C1157" s="115" t="str">
        <x:v>Fermes élevage</x:v>
      </x:c>
      <x:c r="D1157" s="115" t="str">
        <x:v>Centre équestre rural</x:v>
      </x:c>
      <x:c r="E1157" s="115" t="n">
        <x:v>2</x:v>
      </x:c>
      <x:c r="F1157" s="115" t="str">
        <x:v>Inspection physique</x:v>
      </x:c>
      <x:c r="G1157" s="115" t="str">
        <x:v>1 niveaux ; 28 pièces ; 210 segments de mur ; 0 transitions. Inspection physique ; architecture complète encore ouverte.</x:v>
      </x:c>
      <x:c r="H1157" s="115" t="str">
        <x:v>L 260 ; l 224 ; hauteur 6,5 m ; choix de composition auteur ; dimensions réelles à documenter</x:v>
      </x:c>
      <x:c r="I1157" s="115" t="str">
        <x:v>À équilibrer</x:v>
      </x:c>
      <x:c r="J1157" s="115" t="str">
        <x:v>Non</x:v>
      </x:c>
      <x:c r="K1157" s="115" t="str">
        <x:v>Pièces décrites, murs, portes, niveaux et mobilier inspectables à l’échelle. Volumes réservés, raccord au seed, butin, rencontres et services de campagne restent à terminer.</x:v>
      </x:c>
    </x:row>
    <x:row r="1158" ht="96" customHeight="1">
      <x:c r="A1158" s="115" t="str">
        <x:v>EXT-MONDE-T024-V03</x:v>
      </x:c>
      <x:c r="B1158" s="115" t="str">
        <x:v>EXT-MONDE-T024</x:v>
      </x:c>
      <x:c r="C1158" s="115" t="str">
        <x:v>Fermes élevage</x:v>
      </x:c>
      <x:c r="D1158" s="115" t="str">
        <x:v>Centre équestre rural</x:v>
      </x:c>
      <x:c r="E1158" s="115" t="n">
        <x:v>3</x:v>
      </x:c>
      <x:c r="F1158" s="115" t="str">
        <x:v>Inspection physique</x:v>
      </x:c>
      <x:c r="G1158" s="115" t="str">
        <x:v>1 niveaux ; 28 pièces ; 210 segments de mur ; 0 transitions. Inspection physique ; architecture complète encore ouverte.</x:v>
      </x:c>
      <x:c r="H1158" s="115" t="str">
        <x:v>L 260 ; l 224 ; hauteur 6,5 m ; choix de composition auteur ; dimensions réelles à documenter</x:v>
      </x:c>
      <x:c r="I1158" s="115" t="str">
        <x:v>À équilibrer</x:v>
      </x:c>
      <x:c r="J1158" s="115" t="str">
        <x:v>Non</x:v>
      </x:c>
      <x:c r="K1158" s="115" t="str">
        <x:v>Pièces décrites, murs, portes, niveaux et mobilier inspectables à l’échelle. Volumes réservés, raccord au seed, butin, rencontres et services de campagne restent à terminer.</x:v>
      </x:c>
    </x:row>
    <x:row r="1159" ht="96" customHeight="1">
      <x:c r="A1159" s="115" t="str">
        <x:v>EXT-MONDE-T024-V04</x:v>
      </x:c>
      <x:c r="B1159" s="115" t="str">
        <x:v>EXT-MONDE-T024</x:v>
      </x:c>
      <x:c r="C1159" s="115" t="str">
        <x:v>Fermes élevage</x:v>
      </x:c>
      <x:c r="D1159" s="115" t="str">
        <x:v>Centre équestre rural</x:v>
      </x:c>
      <x:c r="E1159" s="115" t="n">
        <x:v>4</x:v>
      </x:c>
      <x:c r="F1159" s="115" t="str">
        <x:v>Inspection physique</x:v>
      </x:c>
      <x:c r="G1159" s="115" t="str">
        <x:v>1 niveaux ; 28 pièces ; 210 segments de mur ; 0 transitions. Inspection physique ; architecture complète encore ouverte.</x:v>
      </x:c>
      <x:c r="H1159" s="115" t="str">
        <x:v>L 260 ; l 224 ; hauteur 6,5 m ; choix de composition auteur ; dimensions réelles à documenter</x:v>
      </x:c>
      <x:c r="I1159" s="115" t="str">
        <x:v>À équilibrer</x:v>
      </x:c>
      <x:c r="J1159" s="115" t="str">
        <x:v>Non</x:v>
      </x:c>
      <x:c r="K1159" s="115" t="str">
        <x:v>Pièces décrites, murs, portes, niveaux et mobilier inspectables à l’échelle. Volumes réservés, raccord au seed, butin, rencontres et services de campagne restent à terminer.</x:v>
      </x:c>
    </x:row>
    <x:row r="1160" ht="96" customHeight="1">
      <x:c r="A1160" s="115" t="str">
        <x:v>EXT-MONDE-T024-V05</x:v>
      </x:c>
      <x:c r="B1160" s="115" t="str">
        <x:v>EXT-MONDE-T024</x:v>
      </x:c>
      <x:c r="C1160" s="115" t="str">
        <x:v>Fermes élevage</x:v>
      </x:c>
      <x:c r="D1160" s="115" t="str">
        <x:v>Centre équestre rural</x:v>
      </x:c>
      <x:c r="E1160" s="115" t="n">
        <x:v>5</x:v>
      </x:c>
      <x:c r="F1160" s="115" t="str">
        <x:v>Inspection physique</x:v>
      </x:c>
      <x:c r="G1160" s="115" t="str">
        <x:v>1 niveaux ; 28 pièces ; 210 segments de mur ; 0 transitions. Inspection physique ; architecture complète encore ouverte.</x:v>
      </x:c>
      <x:c r="H1160" s="115" t="str">
        <x:v>L 260 ; l 224 ; hauteur 6,5 m ; choix de composition auteur ; dimensions réelles à documenter</x:v>
      </x:c>
      <x:c r="I1160" s="115" t="str">
        <x:v>À équilibrer</x:v>
      </x:c>
      <x:c r="J1160" s="115" t="str">
        <x:v>Non</x:v>
      </x:c>
      <x:c r="K1160" s="115" t="str">
        <x:v>Pièces décrites, murs, portes, niveaux et mobilier inspectables à l’échelle. Volumes réservés, raccord au seed, butin, rencontres et services de campagne restent à terminer.</x:v>
      </x:c>
    </x:row>
    <x:row r="1161" ht="96" customHeight="1">
      <x:c r="A1161" s="115" t="str">
        <x:v>EXT-MONDE-T024-V06</x:v>
      </x:c>
      <x:c r="B1161" s="115" t="str">
        <x:v>EXT-MONDE-T024</x:v>
      </x:c>
      <x:c r="C1161" s="115" t="str">
        <x:v>Fermes élevage</x:v>
      </x:c>
      <x:c r="D1161" s="115" t="str">
        <x:v>Centre équestre rural</x:v>
      </x:c>
      <x:c r="E1161" s="115" t="n">
        <x:v>6</x:v>
      </x:c>
      <x:c r="F1161" s="115" t="str">
        <x:v>Inspection physique</x:v>
      </x:c>
      <x:c r="G1161" s="115" t="str">
        <x:v>1 niveaux ; 28 pièces ; 210 segments de mur ; 0 transitions. Inspection physique ; architecture complète encore ouverte.</x:v>
      </x:c>
      <x:c r="H1161" s="115" t="str">
        <x:v>L 260 ; l 224 ; hauteur 6,5 m ; choix de composition auteur ; dimensions réelles à documenter</x:v>
      </x:c>
      <x:c r="I1161" s="115" t="str">
        <x:v>À équilibrer</x:v>
      </x:c>
      <x:c r="J1161" s="115" t="str">
        <x:v>Non</x:v>
      </x:c>
      <x:c r="K1161" s="115" t="str">
        <x:v>Pièces décrites, murs, portes, niveaux et mobilier inspectables à l’échelle. Volumes réservés, raccord au seed, butin, rencontres et services de campagne restent à terminer.</x:v>
      </x:c>
    </x:row>
    <x:row r="1162" ht="96" customHeight="1">
      <x:c r="A1162" s="115" t="str">
        <x:v>EXT-MONDE-T024-V07</x:v>
      </x:c>
      <x:c r="B1162" s="115" t="str">
        <x:v>EXT-MONDE-T024</x:v>
      </x:c>
      <x:c r="C1162" s="115" t="str">
        <x:v>Fermes élevage</x:v>
      </x:c>
      <x:c r="D1162" s="115" t="str">
        <x:v>Centre équestre rural</x:v>
      </x:c>
      <x:c r="E1162" s="115" t="n">
        <x:v>7</x:v>
      </x:c>
      <x:c r="F1162" s="115" t="str">
        <x:v>Inspection physique</x:v>
      </x:c>
      <x:c r="G1162" s="115" t="str">
        <x:v>1 niveaux ; 28 pièces ; 210 segments de mur ; 0 transitions. Inspection physique ; architecture complète encore ouverte.</x:v>
      </x:c>
      <x:c r="H1162" s="115" t="str">
        <x:v>L 260 ; l 224 ; hauteur 6,5 m ; choix de composition auteur ; dimensions réelles à documenter</x:v>
      </x:c>
      <x:c r="I1162" s="115" t="str">
        <x:v>À équilibrer</x:v>
      </x:c>
      <x:c r="J1162" s="115" t="str">
        <x:v>Non</x:v>
      </x:c>
      <x:c r="K1162" s="115" t="str">
        <x:v>Pièces décrites, murs, portes, niveaux et mobilier inspectables à l’échelle. Volumes réservés, raccord au seed, butin, rencontres et services de campagne restent à terminer.</x:v>
      </x:c>
    </x:row>
    <x:row r="1163" ht="96" customHeight="1">
      <x:c r="A1163" s="115" t="str">
        <x:v>EXT-MONDE-T024-V08</x:v>
      </x:c>
      <x:c r="B1163" s="115" t="str">
        <x:v>EXT-MONDE-T024</x:v>
      </x:c>
      <x:c r="C1163" s="115" t="str">
        <x:v>Fermes élevage</x:v>
      </x:c>
      <x:c r="D1163" s="115" t="str">
        <x:v>Centre équestre rural</x:v>
      </x:c>
      <x:c r="E1163" s="115" t="n">
        <x:v>8</x:v>
      </x:c>
      <x:c r="F1163" s="115" t="str">
        <x:v>Inspection physique</x:v>
      </x:c>
      <x:c r="G1163" s="115" t="str">
        <x:v>1 niveaux ; 28 pièces ; 210 segments de mur ; 0 transitions. Inspection physique ; architecture complète encore ouverte.</x:v>
      </x:c>
      <x:c r="H1163" s="115" t="str">
        <x:v>L 260 ; l 224 ; hauteur 6,5 m ; choix de composition auteur ; dimensions réelles à documenter</x:v>
      </x:c>
      <x:c r="I1163" s="115" t="str">
        <x:v>À équilibrer</x:v>
      </x:c>
      <x:c r="J1163" s="115" t="str">
        <x:v>Non</x:v>
      </x:c>
      <x:c r="K1163" s="115" t="str">
        <x:v>Pièces décrites, murs, portes, niveaux et mobilier inspectables à l’échelle. Volumes réservés, raccord au seed, butin, rencontres et services de campagne restent à terminer.</x:v>
      </x:c>
    </x:row>
    <x:row r="1164" ht="96" customHeight="1">
      <x:c r="A1164" s="115" t="str">
        <x:v>EXT-MONDE-T024-V09</x:v>
      </x:c>
      <x:c r="B1164" s="115" t="str">
        <x:v>EXT-MONDE-T024</x:v>
      </x:c>
      <x:c r="C1164" s="115" t="str">
        <x:v>Fermes élevage</x:v>
      </x:c>
      <x:c r="D1164" s="115" t="str">
        <x:v>Centre équestre rural</x:v>
      </x:c>
      <x:c r="E1164" s="115" t="n">
        <x:v>9</x:v>
      </x:c>
      <x:c r="F1164" s="115" t="str">
        <x:v>Inspection physique</x:v>
      </x:c>
      <x:c r="G1164" s="115" t="str">
        <x:v>1 niveaux ; 28 pièces ; 210 segments de mur ; 0 transitions. Inspection physique ; architecture complète encore ouverte.</x:v>
      </x:c>
      <x:c r="H1164" s="115" t="str">
        <x:v>L 260 ; l 224 ; hauteur 6,5 m ; choix de composition auteur ; dimensions réelles à documenter</x:v>
      </x:c>
      <x:c r="I1164" s="115" t="str">
        <x:v>À équilibrer</x:v>
      </x:c>
      <x:c r="J1164" s="115" t="str">
        <x:v>Non</x:v>
      </x:c>
      <x:c r="K1164" s="115" t="str">
        <x:v>Pièces décrites, murs, portes, niveaux et mobilier inspectables à l’échelle. Volumes réservés, raccord au seed, butin, rencontres et services de campagne restent à terminer.</x:v>
      </x:c>
    </x:row>
    <x:row r="1165" ht="96" customHeight="1">
      <x:c r="A1165" s="115" t="str">
        <x:v>EXT-MONDE-T024-V10</x:v>
      </x:c>
      <x:c r="B1165" s="115" t="str">
        <x:v>EXT-MONDE-T024</x:v>
      </x:c>
      <x:c r="C1165" s="115" t="str">
        <x:v>Fermes élevage</x:v>
      </x:c>
      <x:c r="D1165" s="115" t="str">
        <x:v>Centre équestre rural</x:v>
      </x:c>
      <x:c r="E1165" s="115" t="n">
        <x:v>10</x:v>
      </x:c>
      <x:c r="F1165" s="115" t="str">
        <x:v>Inspection physique</x:v>
      </x:c>
      <x:c r="G1165" s="115" t="str">
        <x:v>1 niveaux ; 28 pièces ; 210 segments de mur ; 0 transitions. Inspection physique ; architecture complète encore ouverte.</x:v>
      </x:c>
      <x:c r="H1165" s="115" t="str">
        <x:v>L 260 ; l 224 ; hauteur 6,5 m ; choix de composition auteur ; dimensions réelles à documenter</x:v>
      </x:c>
      <x:c r="I1165" s="115" t="str">
        <x:v>À équilibrer</x:v>
      </x:c>
      <x:c r="J1165" s="115" t="str">
        <x:v>Non</x:v>
      </x:c>
      <x:c r="K1165" s="115" t="str">
        <x:v>Pièces décrites, murs, portes, niveaux et mobilier inspectables à l’échelle. Volumes réservés, raccord au seed, butin, rencontres et services de campagne restent à terminer.</x:v>
      </x:c>
    </x:row>
    <x:row r="1166" ht="96" customHeight="1">
      <x:c r="A1166" s="115" t="str">
        <x:v>EXT-MONDE-T024-V11</x:v>
      </x:c>
      <x:c r="B1166" s="115" t="str">
        <x:v>EXT-MONDE-T024</x:v>
      </x:c>
      <x:c r="C1166" s="115" t="str">
        <x:v>Fermes élevage</x:v>
      </x:c>
      <x:c r="D1166" s="115" t="str">
        <x:v>Centre équestre rural</x:v>
      </x:c>
      <x:c r="E1166" s="115" t="n">
        <x:v>11</x:v>
      </x:c>
      <x:c r="F1166" s="115" t="str">
        <x:v>Inspection physique</x:v>
      </x:c>
      <x:c r="G1166" s="115" t="str">
        <x:v>1 niveaux ; 28 pièces ; 210 segments de mur ; 0 transitions. Inspection physique ; architecture complète encore ouverte.</x:v>
      </x:c>
      <x:c r="H1166" s="115" t="str">
        <x:v>L 280 ; l 248 ; hauteur 6,7 m ; choix de composition auteur ; dimensions réelles à documenter</x:v>
      </x:c>
      <x:c r="I1166" s="115" t="str">
        <x:v>À équilibrer</x:v>
      </x:c>
      <x:c r="J1166" s="115" t="str">
        <x:v>Non</x:v>
      </x:c>
      <x:c r="K1166" s="115" t="str">
        <x:v>Pièces décrites, murs, portes, niveaux et mobilier inspectables à l’échelle. Volumes réservés, raccord au seed, butin, rencontres et services de campagne restent à terminer.</x:v>
      </x:c>
    </x:row>
    <x:row r="1167" ht="96" customHeight="1">
      <x:c r="A1167" s="115" t="str">
        <x:v>EXT-MONDE-T024-V12</x:v>
      </x:c>
      <x:c r="B1167" s="115" t="str">
        <x:v>EXT-MONDE-T024</x:v>
      </x:c>
      <x:c r="C1167" s="115" t="str">
        <x:v>Fermes élevage</x:v>
      </x:c>
      <x:c r="D1167" s="115" t="str">
        <x:v>Centre équestre rural</x:v>
      </x:c>
      <x:c r="E1167" s="115" t="n">
        <x:v>12</x:v>
      </x:c>
      <x:c r="F1167" s="115" t="str">
        <x:v>Inspection physique</x:v>
      </x:c>
      <x:c r="G1167" s="115" t="str">
        <x:v>1 niveaux ; 28 pièces ; 210 segments de mur ; 0 transitions. Inspection physique ; architecture complète encore ouverte.</x:v>
      </x:c>
      <x:c r="H1167" s="115" t="str">
        <x:v>L 280 ; l 248 ; hauteur 6,7 m ; choix de composition auteur ; dimensions réelles à documenter</x:v>
      </x:c>
      <x:c r="I1167" s="115" t="str">
        <x:v>À équilibrer</x:v>
      </x:c>
      <x:c r="J1167" s="115" t="str">
        <x:v>Non</x:v>
      </x:c>
      <x:c r="K1167" s="115" t="str">
        <x:v>Pièces décrites, murs, portes, niveaux et mobilier inspectables à l’échelle. Volumes réservés, raccord au seed, butin, rencontres et services de campagne restent à terminer.</x:v>
      </x:c>
    </x:row>
    <x:row r="1168" ht="96" customHeight="1">
      <x:c r="A1168" s="115" t="str">
        <x:v>EXT-MONDE-T024-V13</x:v>
      </x:c>
      <x:c r="B1168" s="115" t="str">
        <x:v>EXT-MONDE-T024</x:v>
      </x:c>
      <x:c r="C1168" s="115" t="str">
        <x:v>Fermes élevage</x:v>
      </x:c>
      <x:c r="D1168" s="115" t="str">
        <x:v>Centre équestre rural</x:v>
      </x:c>
      <x:c r="E1168" s="115" t="n">
        <x:v>13</x:v>
      </x:c>
      <x:c r="F1168" s="115" t="str">
        <x:v>Inspection physique</x:v>
      </x:c>
      <x:c r="G1168" s="115" t="str">
        <x:v>1 niveaux ; 28 pièces ; 210 segments de mur ; 0 transitions. Inspection physique ; architecture complète encore ouverte.</x:v>
      </x:c>
      <x:c r="H1168" s="115" t="str">
        <x:v>L 280 ; l 248 ; hauteur 6,7 m ; choix de composition auteur ; dimensions réelles à documenter</x:v>
      </x:c>
      <x:c r="I1168" s="115" t="str">
        <x:v>À équilibrer</x:v>
      </x:c>
      <x:c r="J1168" s="115" t="str">
        <x:v>Non</x:v>
      </x:c>
      <x:c r="K1168" s="115" t="str">
        <x:v>Pièces décrites, murs, portes, niveaux et mobilier inspectables à l’échelle. Volumes réservés, raccord au seed, butin, rencontres et services de campagne restent à terminer.</x:v>
      </x:c>
    </x:row>
    <x:row r="1169" ht="96" customHeight="1">
      <x:c r="A1169" s="115" t="str">
        <x:v>EXT-MONDE-T024-V14</x:v>
      </x:c>
      <x:c r="B1169" s="115" t="str">
        <x:v>EXT-MONDE-T024</x:v>
      </x:c>
      <x:c r="C1169" s="115" t="str">
        <x:v>Fermes élevage</x:v>
      </x:c>
      <x:c r="D1169" s="115" t="str">
        <x:v>Centre équestre rural</x:v>
      </x:c>
      <x:c r="E1169" s="115" t="n">
        <x:v>14</x:v>
      </x:c>
      <x:c r="F1169" s="115" t="str">
        <x:v>Inspection physique</x:v>
      </x:c>
      <x:c r="G1169" s="115" t="str">
        <x:v>1 niveaux ; 28 pièces ; 210 segments de mur ; 0 transitions. Inspection physique ; architecture complète encore ouverte.</x:v>
      </x:c>
      <x:c r="H1169" s="115" t="str">
        <x:v>L 280 ; l 248 ; hauteur 6,7 m ; choix de composition auteur ; dimensions réelles à documenter</x:v>
      </x:c>
      <x:c r="I1169" s="115" t="str">
        <x:v>À équilibrer</x:v>
      </x:c>
      <x:c r="J1169" s="115" t="str">
        <x:v>Non</x:v>
      </x:c>
      <x:c r="K1169" s="115" t="str">
        <x:v>Pièces décrites, murs, portes, niveaux et mobilier inspectables à l’échelle. Volumes réservés, raccord au seed, butin, rencontres et services de campagne restent à terminer.</x:v>
      </x:c>
    </x:row>
    <x:row r="1170" ht="96" customHeight="1">
      <x:c r="A1170" s="115" t="str">
        <x:v>EXT-MONDE-T024-V15</x:v>
      </x:c>
      <x:c r="B1170" s="115" t="str">
        <x:v>EXT-MONDE-T024</x:v>
      </x:c>
      <x:c r="C1170" s="115" t="str">
        <x:v>Fermes élevage</x:v>
      </x:c>
      <x:c r="D1170" s="115" t="str">
        <x:v>Centre équestre rural</x:v>
      </x:c>
      <x:c r="E1170" s="115" t="n">
        <x:v>15</x:v>
      </x:c>
      <x:c r="F1170" s="115" t="str">
        <x:v>Inspection physique</x:v>
      </x:c>
      <x:c r="G1170" s="115" t="str">
        <x:v>1 niveaux ; 28 pièces ; 210 segments de mur ; 0 transitions. Inspection physique ; architecture complète encore ouverte.</x:v>
      </x:c>
      <x:c r="H1170" s="115" t="str">
        <x:v>L 280 ; l 248 ; hauteur 6,7 m ; choix de composition auteur ; dimensions réelles à documenter</x:v>
      </x:c>
      <x:c r="I1170" s="115" t="str">
        <x:v>À équilibrer</x:v>
      </x:c>
      <x:c r="J1170" s="115" t="str">
        <x:v>Non</x:v>
      </x:c>
      <x:c r="K1170" s="115" t="str">
        <x:v>Pièces décrites, murs, portes, niveaux et mobilier inspectables à l’échelle. Volumes réservés, raccord au seed, butin, rencontres et services de campagne restent à terminer.</x:v>
      </x:c>
    </x:row>
    <x:row r="1171" ht="96" customHeight="1">
      <x:c r="A1171" s="115" t="str">
        <x:v>EXT-MONDE-T024-V16</x:v>
      </x:c>
      <x:c r="B1171" s="115" t="str">
        <x:v>EXT-MONDE-T024</x:v>
      </x:c>
      <x:c r="C1171" s="115" t="str">
        <x:v>Fermes élevage</x:v>
      </x:c>
      <x:c r="D1171" s="115" t="str">
        <x:v>Centre équestre rural</x:v>
      </x:c>
      <x:c r="E1171" s="115" t="n">
        <x:v>16</x:v>
      </x:c>
      <x:c r="F1171" s="115" t="str">
        <x:v>Inspection physique</x:v>
      </x:c>
      <x:c r="G1171" s="115" t="str">
        <x:v>1 niveaux ; 28 pièces ; 210 segments de mur ; 0 transitions. Inspection physique ; architecture complète encore ouverte.</x:v>
      </x:c>
      <x:c r="H1171" s="115" t="str">
        <x:v>L 280 ; l 248 ; hauteur 6,7 m ; choix de composition auteur ; dimensions réelles à documenter</x:v>
      </x:c>
      <x:c r="I1171" s="115" t="str">
        <x:v>À équilibrer</x:v>
      </x:c>
      <x:c r="J1171" s="115" t="str">
        <x:v>Non</x:v>
      </x:c>
      <x:c r="K1171" s="115" t="str">
        <x:v>Pièces décrites, murs, portes, niveaux et mobilier inspectables à l’échelle. Volumes réservés, raccord au seed, butin, rencontres et services de campagne restent à terminer.</x:v>
      </x:c>
    </x:row>
    <x:row r="1172" ht="96" customHeight="1">
      <x:c r="A1172" s="115" t="str">
        <x:v>EXT-MONDE-T024-V17</x:v>
      </x:c>
      <x:c r="B1172" s="115" t="str">
        <x:v>EXT-MONDE-T024</x:v>
      </x:c>
      <x:c r="C1172" s="115" t="str">
        <x:v>Fermes élevage</x:v>
      </x:c>
      <x:c r="D1172" s="115" t="str">
        <x:v>Centre équestre rural</x:v>
      </x:c>
      <x:c r="E1172" s="115" t="n">
        <x:v>17</x:v>
      </x:c>
      <x:c r="F1172" s="115" t="str">
        <x:v>Inspection physique</x:v>
      </x:c>
      <x:c r="G1172" s="115" t="str">
        <x:v>1 niveaux ; 28 pièces ; 210 segments de mur ; 0 transitions. Inspection physique ; architecture complète encore ouverte.</x:v>
      </x:c>
      <x:c r="H1172" s="115" t="str">
        <x:v>L 280 ; l 248 ; hauteur 6,7 m ; choix de composition auteur ; dimensions réelles à documenter</x:v>
      </x:c>
      <x:c r="I1172" s="115" t="str">
        <x:v>À équilibrer</x:v>
      </x:c>
      <x:c r="J1172" s="115" t="str">
        <x:v>Non</x:v>
      </x:c>
      <x:c r="K1172" s="115" t="str">
        <x:v>Pièces décrites, murs, portes, niveaux et mobilier inspectables à l’échelle. Volumes réservés, raccord au seed, butin, rencontres et services de campagne restent à terminer.</x:v>
      </x:c>
    </x:row>
    <x:row r="1173" ht="96" customHeight="1">
      <x:c r="A1173" s="115" t="str">
        <x:v>EXT-MONDE-T024-V18</x:v>
      </x:c>
      <x:c r="B1173" s="115" t="str">
        <x:v>EXT-MONDE-T024</x:v>
      </x:c>
      <x:c r="C1173" s="115" t="str">
        <x:v>Fermes élevage</x:v>
      </x:c>
      <x:c r="D1173" s="115" t="str">
        <x:v>Centre équestre rural</x:v>
      </x:c>
      <x:c r="E1173" s="115" t="n">
        <x:v>18</x:v>
      </x:c>
      <x:c r="F1173" s="115" t="str">
        <x:v>Inspection physique</x:v>
      </x:c>
      <x:c r="G1173" s="115" t="str">
        <x:v>1 niveaux ; 28 pièces ; 210 segments de mur ; 0 transitions. Inspection physique ; architecture complète encore ouverte.</x:v>
      </x:c>
      <x:c r="H1173" s="115" t="str">
        <x:v>L 280 ; l 248 ; hauteur 6,7 m ; choix de composition auteur ; dimensions réelles à documenter</x:v>
      </x:c>
      <x:c r="I1173" s="115" t="str">
        <x:v>À équilibrer</x:v>
      </x:c>
      <x:c r="J1173" s="115" t="str">
        <x:v>Non</x:v>
      </x:c>
      <x:c r="K1173" s="115" t="str">
        <x:v>Pièces décrites, murs, portes, niveaux et mobilier inspectables à l’échelle. Volumes réservés, raccord au seed, butin, rencontres et services de campagne restent à terminer.</x:v>
      </x:c>
    </x:row>
    <x:row r="1174" ht="96" customHeight="1">
      <x:c r="A1174" s="115" t="str">
        <x:v>EXT-MONDE-T024-V19</x:v>
      </x:c>
      <x:c r="B1174" s="115" t="str">
        <x:v>EXT-MONDE-T024</x:v>
      </x:c>
      <x:c r="C1174" s="115" t="str">
        <x:v>Fermes élevage</x:v>
      </x:c>
      <x:c r="D1174" s="115" t="str">
        <x:v>Centre équestre rural</x:v>
      </x:c>
      <x:c r="E1174" s="115" t="n">
        <x:v>19</x:v>
      </x:c>
      <x:c r="F1174" s="115" t="str">
        <x:v>Inspection physique</x:v>
      </x:c>
      <x:c r="G1174" s="115" t="str">
        <x:v>1 niveaux ; 28 pièces ; 210 segments de mur ; 0 transitions. Inspection physique ; architecture complète encore ouverte.</x:v>
      </x:c>
      <x:c r="H1174" s="115" t="str">
        <x:v>L 280 ; l 248 ; hauteur 6,7 m ; choix de composition auteur ; dimensions réelles à documenter</x:v>
      </x:c>
      <x:c r="I1174" s="115" t="str">
        <x:v>À équilibrer</x:v>
      </x:c>
      <x:c r="J1174" s="115" t="str">
        <x:v>Non</x:v>
      </x:c>
      <x:c r="K1174" s="115" t="str">
        <x:v>Pièces décrites, murs, portes, niveaux et mobilier inspectables à l’échelle. Volumes réservés, raccord au seed, butin, rencontres et services de campagne restent à terminer.</x:v>
      </x:c>
    </x:row>
    <x:row r="1175" ht="96" customHeight="1">
      <x:c r="A1175" s="115" t="str">
        <x:v>EXT-MONDE-T024-V20</x:v>
      </x:c>
      <x:c r="B1175" s="115" t="str">
        <x:v>EXT-MONDE-T024</x:v>
      </x:c>
      <x:c r="C1175" s="115" t="str">
        <x:v>Fermes élevage</x:v>
      </x:c>
      <x:c r="D1175" s="115" t="str">
        <x:v>Centre équestre rural</x:v>
      </x:c>
      <x:c r="E1175" s="115" t="n">
        <x:v>20</x:v>
      </x:c>
      <x:c r="F1175" s="115" t="str">
        <x:v>Inspection physique</x:v>
      </x:c>
      <x:c r="G1175" s="115" t="str">
        <x:v>1 niveaux ; 28 pièces ; 210 segments de mur ; 0 transitions. Inspection physique ; architecture complète encore ouverte.</x:v>
      </x:c>
      <x:c r="H1175" s="115" t="str">
        <x:v>L 280 ; l 248 ; hauteur 6,7 m ; choix de composition auteur ; dimensions réelles à documenter</x:v>
      </x:c>
      <x:c r="I1175" s="115" t="str">
        <x:v>À équilibrer</x:v>
      </x:c>
      <x:c r="J1175" s="115" t="str">
        <x:v>Non</x:v>
      </x:c>
      <x:c r="K1175" s="115" t="str">
        <x:v>Pièces décrites, murs, portes, niveaux et mobilier inspectables à l’échelle. Volumes réservés, raccord au seed, butin, rencontres et services de campagne restent à terminer.</x:v>
      </x:c>
    </x:row>
    <x:row r="1176" ht="96" customHeight="1">
      <x:c r="A1176" s="115" t="str">
        <x:v>EXT-MONDE-T024-V21</x:v>
      </x:c>
      <x:c r="B1176" s="115" t="str">
        <x:v>EXT-MONDE-T024</x:v>
      </x:c>
      <x:c r="C1176" s="115" t="str">
        <x:v>Fermes élevage</x:v>
      </x:c>
      <x:c r="D1176" s="115" t="str">
        <x:v>Centre équestre rural</x:v>
      </x:c>
      <x:c r="E1176" s="115" t="n">
        <x:v>21</x:v>
      </x:c>
      <x:c r="F1176" s="115" t="str">
        <x:v>Inspection physique</x:v>
      </x:c>
      <x:c r="G1176" s="115" t="str">
        <x:v>1 niveaux ; 28 pièces ; 210 segments de mur ; 0 transitions. Inspection physique ; architecture complète encore ouverte.</x:v>
      </x:c>
      <x:c r="H1176" s="115" t="str">
        <x:v>L 300 ; l 272 ; hauteur 6,9 m ; choix de composition auteur ; dimensions réelles à documenter</x:v>
      </x:c>
      <x:c r="I1176" s="115" t="str">
        <x:v>À équilibrer</x:v>
      </x:c>
      <x:c r="J1176" s="115" t="str">
        <x:v>Non</x:v>
      </x:c>
      <x:c r="K1176" s="115" t="str">
        <x:v>Pièces décrites, murs, portes, niveaux et mobilier inspectables à l’échelle. Volumes réservés, raccord au seed, butin, rencontres et services de campagne restent à terminer.</x:v>
      </x:c>
    </x:row>
    <x:row r="1177" ht="96" customHeight="1">
      <x:c r="A1177" s="115" t="str">
        <x:v>EXT-MONDE-T024-V22</x:v>
      </x:c>
      <x:c r="B1177" s="115" t="str">
        <x:v>EXT-MONDE-T024</x:v>
      </x:c>
      <x:c r="C1177" s="115" t="str">
        <x:v>Fermes élevage</x:v>
      </x:c>
      <x:c r="D1177" s="115" t="str">
        <x:v>Centre équestre rural</x:v>
      </x:c>
      <x:c r="E1177" s="115" t="n">
        <x:v>22</x:v>
      </x:c>
      <x:c r="F1177" s="115" t="str">
        <x:v>Inspection physique</x:v>
      </x:c>
      <x:c r="G1177" s="115" t="str">
        <x:v>1 niveaux ; 28 pièces ; 210 segments de mur ; 0 transitions. Inspection physique ; architecture complète encore ouverte.</x:v>
      </x:c>
      <x:c r="H1177" s="115" t="str">
        <x:v>L 300 ; l 272 ; hauteur 6,9 m ; choix de composition auteur ; dimensions réelles à documenter</x:v>
      </x:c>
      <x:c r="I1177" s="115" t="str">
        <x:v>À équilibrer</x:v>
      </x:c>
      <x:c r="J1177" s="115" t="str">
        <x:v>Non</x:v>
      </x:c>
      <x:c r="K1177" s="115" t="str">
        <x:v>Pièces décrites, murs, portes, niveaux et mobilier inspectables à l’échelle. Volumes réservés, raccord au seed, butin, rencontres et services de campagne restent à terminer.</x:v>
      </x:c>
    </x:row>
    <x:row r="1178" ht="96" customHeight="1">
      <x:c r="A1178" s="115" t="str">
        <x:v>EXT-MONDE-T024-V23</x:v>
      </x:c>
      <x:c r="B1178" s="115" t="str">
        <x:v>EXT-MONDE-T024</x:v>
      </x:c>
      <x:c r="C1178" s="115" t="str">
        <x:v>Fermes élevage</x:v>
      </x:c>
      <x:c r="D1178" s="115" t="str">
        <x:v>Centre équestre rural</x:v>
      </x:c>
      <x:c r="E1178" s="115" t="n">
        <x:v>23</x:v>
      </x:c>
      <x:c r="F1178" s="115" t="str">
        <x:v>Inspection physique</x:v>
      </x:c>
      <x:c r="G1178" s="115" t="str">
        <x:v>1 niveaux ; 28 pièces ; 210 segments de mur ; 0 transitions. Inspection physique ; architecture complète encore ouverte.</x:v>
      </x:c>
      <x:c r="H1178" s="115" t="str">
        <x:v>L 300 ; l 272 ; hauteur 6,9 m ; choix de composition auteur ; dimensions réelles à documenter</x:v>
      </x:c>
      <x:c r="I1178" s="115" t="str">
        <x:v>À équilibrer</x:v>
      </x:c>
      <x:c r="J1178" s="115" t="str">
        <x:v>Non</x:v>
      </x:c>
      <x:c r="K1178" s="115" t="str">
        <x:v>Pièces décrites, murs, portes, niveaux et mobilier inspectables à l’échelle. Volumes réservés, raccord au seed, butin, rencontres et services de campagne restent à terminer.</x:v>
      </x:c>
    </x:row>
    <x:row r="1179" ht="96" customHeight="1">
      <x:c r="A1179" s="115" t="str">
        <x:v>EXT-MONDE-T024-V24</x:v>
      </x:c>
      <x:c r="B1179" s="115" t="str">
        <x:v>EXT-MONDE-T024</x:v>
      </x:c>
      <x:c r="C1179" s="115" t="str">
        <x:v>Fermes élevage</x:v>
      </x:c>
      <x:c r="D1179" s="115" t="str">
        <x:v>Centre équestre rural</x:v>
      </x:c>
      <x:c r="E1179" s="115" t="n">
        <x:v>24</x:v>
      </x:c>
      <x:c r="F1179" s="115" t="str">
        <x:v>Inspection physique</x:v>
      </x:c>
      <x:c r="G1179" s="115" t="str">
        <x:v>1 niveaux ; 28 pièces ; 210 segments de mur ; 0 transitions. Inspection physique ; architecture complète encore ouverte.</x:v>
      </x:c>
      <x:c r="H1179" s="115" t="str">
        <x:v>L 300 ; l 272 ; hauteur 6,9 m ; choix de composition auteur ; dimensions réelles à documenter</x:v>
      </x:c>
      <x:c r="I1179" s="115" t="str">
        <x:v>À équilibrer</x:v>
      </x:c>
      <x:c r="J1179" s="115" t="str">
        <x:v>Non</x:v>
      </x:c>
      <x:c r="K1179" s="115" t="str">
        <x:v>Pièces décrites, murs, portes, niveaux et mobilier inspectables à l’échelle. Volumes réservés, raccord au seed, butin, rencontres et services de campagne restent à terminer.</x:v>
      </x:c>
    </x:row>
    <x:row r="1180" ht="96" customHeight="1">
      <x:c r="A1180" s="115" t="str">
        <x:v>EXT-MONDE-T024-V25</x:v>
      </x:c>
      <x:c r="B1180" s="115" t="str">
        <x:v>EXT-MONDE-T024</x:v>
      </x:c>
      <x:c r="C1180" s="115" t="str">
        <x:v>Fermes élevage</x:v>
      </x:c>
      <x:c r="D1180" s="115" t="str">
        <x:v>Centre équestre rural</x:v>
      </x:c>
      <x:c r="E1180" s="115" t="n">
        <x:v>25</x:v>
      </x:c>
      <x:c r="F1180" s="115" t="str">
        <x:v>Inspection physique</x:v>
      </x:c>
      <x:c r="G1180" s="115" t="str">
        <x:v>1 niveaux ; 28 pièces ; 210 segments de mur ; 0 transitions. Inspection physique ; architecture complète encore ouverte.</x:v>
      </x:c>
      <x:c r="H1180" s="115" t="str">
        <x:v>L 300 ; l 272 ; hauteur 6,9 m ; choix de composition auteur ; dimensions réelles à documenter</x:v>
      </x:c>
      <x:c r="I1180" s="115" t="str">
        <x:v>À équilibrer</x:v>
      </x:c>
      <x:c r="J1180" s="115" t="str">
        <x:v>Non</x:v>
      </x:c>
      <x:c r="K1180" s="115" t="str">
        <x:v>Pièces décrites, murs, portes, niveaux et mobilier inspectables à l’échelle. Volumes réservés, raccord au seed, butin, rencontres et services de campagne restent à terminer.</x:v>
      </x:c>
    </x:row>
    <x:row r="1181" ht="96" customHeight="1">
      <x:c r="A1181" s="115" t="str">
        <x:v>EXT-MONDE-T024-V26</x:v>
      </x:c>
      <x:c r="B1181" s="115" t="str">
        <x:v>EXT-MONDE-T024</x:v>
      </x:c>
      <x:c r="C1181" s="115" t="str">
        <x:v>Fermes élevage</x:v>
      </x:c>
      <x:c r="D1181" s="115" t="str">
        <x:v>Centre équestre rural</x:v>
      </x:c>
      <x:c r="E1181" s="115" t="n">
        <x:v>26</x:v>
      </x:c>
      <x:c r="F1181" s="115" t="str">
        <x:v>Inspection physique</x:v>
      </x:c>
      <x:c r="G1181" s="115" t="str">
        <x:v>1 niveaux ; 28 pièces ; 210 segments de mur ; 0 transitions. Inspection physique ; architecture complète encore ouverte.</x:v>
      </x:c>
      <x:c r="H1181" s="115" t="str">
        <x:v>L 300 ; l 272 ; hauteur 6,9 m ; choix de composition auteur ; dimensions réelles à documenter</x:v>
      </x:c>
      <x:c r="I1181" s="115" t="str">
        <x:v>À équilibrer</x:v>
      </x:c>
      <x:c r="J1181" s="115" t="str">
        <x:v>Non</x:v>
      </x:c>
      <x:c r="K1181" s="115" t="str">
        <x:v>Pièces décrites, murs, portes, niveaux et mobilier inspectables à l’échelle. Volumes réservés, raccord au seed, butin, rencontres et services de campagne restent à terminer.</x:v>
      </x:c>
    </x:row>
    <x:row r="1182" ht="96" customHeight="1">
      <x:c r="A1182" s="115" t="str">
        <x:v>EXT-MONDE-T024-V27</x:v>
      </x:c>
      <x:c r="B1182" s="115" t="str">
        <x:v>EXT-MONDE-T024</x:v>
      </x:c>
      <x:c r="C1182" s="115" t="str">
        <x:v>Fermes élevage</x:v>
      </x:c>
      <x:c r="D1182" s="115" t="str">
        <x:v>Centre équestre rural</x:v>
      </x:c>
      <x:c r="E1182" s="115" t="n">
        <x:v>27</x:v>
      </x:c>
      <x:c r="F1182" s="115" t="str">
        <x:v>Inspection physique</x:v>
      </x:c>
      <x:c r="G1182" s="115" t="str">
        <x:v>1 niveaux ; 28 pièces ; 210 segments de mur ; 0 transitions. Inspection physique ; architecture complète encore ouverte.</x:v>
      </x:c>
      <x:c r="H1182" s="115" t="str">
        <x:v>L 300 ; l 272 ; hauteur 6,9 m ; choix de composition auteur ; dimensions réelles à documenter</x:v>
      </x:c>
      <x:c r="I1182" s="115" t="str">
        <x:v>À équilibrer</x:v>
      </x:c>
      <x:c r="J1182" s="115" t="str">
        <x:v>Non</x:v>
      </x:c>
      <x:c r="K1182" s="115" t="str">
        <x:v>Pièces décrites, murs, portes, niveaux et mobilier inspectables à l’échelle. Volumes réservés, raccord au seed, butin, rencontres et services de campagne restent à terminer.</x:v>
      </x:c>
    </x:row>
    <x:row r="1183" ht="96" customHeight="1">
      <x:c r="A1183" s="115" t="str">
        <x:v>EXT-MONDE-T024-V28</x:v>
      </x:c>
      <x:c r="B1183" s="115" t="str">
        <x:v>EXT-MONDE-T024</x:v>
      </x:c>
      <x:c r="C1183" s="115" t="str">
        <x:v>Fermes élevage</x:v>
      </x:c>
      <x:c r="D1183" s="115" t="str">
        <x:v>Centre équestre rural</x:v>
      </x:c>
      <x:c r="E1183" s="115" t="n">
        <x:v>28</x:v>
      </x:c>
      <x:c r="F1183" s="115" t="str">
        <x:v>Inspection physique</x:v>
      </x:c>
      <x:c r="G1183" s="115" t="str">
        <x:v>1 niveaux ; 28 pièces ; 210 segments de mur ; 0 transitions. Inspection physique ; architecture complète encore ouverte.</x:v>
      </x:c>
      <x:c r="H1183" s="115" t="str">
        <x:v>L 300 ; l 272 ; hauteur 6,9 m ; choix de composition auteur ; dimensions réelles à documenter</x:v>
      </x:c>
      <x:c r="I1183" s="115" t="str">
        <x:v>À équilibrer</x:v>
      </x:c>
      <x:c r="J1183" s="115" t="str">
        <x:v>Non</x:v>
      </x:c>
      <x:c r="K1183" s="115" t="str">
        <x:v>Pièces décrites, murs, portes, niveaux et mobilier inspectables à l’échelle. Volumes réservés, raccord au seed, butin, rencontres et services de campagne restent à terminer.</x:v>
      </x:c>
    </x:row>
    <x:row r="1184" ht="96" customHeight="1">
      <x:c r="A1184" s="115" t="str">
        <x:v>EXT-MONDE-T024-V29</x:v>
      </x:c>
      <x:c r="B1184" s="115" t="str">
        <x:v>EXT-MONDE-T024</x:v>
      </x:c>
      <x:c r="C1184" s="115" t="str">
        <x:v>Fermes élevage</x:v>
      </x:c>
      <x:c r="D1184" s="115" t="str">
        <x:v>Centre équestre rural</x:v>
      </x:c>
      <x:c r="E1184" s="115" t="n">
        <x:v>29</x:v>
      </x:c>
      <x:c r="F1184" s="115" t="str">
        <x:v>Inspection physique</x:v>
      </x:c>
      <x:c r="G1184" s="115" t="str">
        <x:v>1 niveaux ; 28 pièces ; 210 segments de mur ; 0 transitions. Inspection physique ; architecture complète encore ouverte.</x:v>
      </x:c>
      <x:c r="H1184" s="115" t="str">
        <x:v>L 300 ; l 272 ; hauteur 6,9 m ; choix de composition auteur ; dimensions réelles à documenter</x:v>
      </x:c>
      <x:c r="I1184" s="115" t="str">
        <x:v>À équilibrer</x:v>
      </x:c>
      <x:c r="J1184" s="115" t="str">
        <x:v>Non</x:v>
      </x:c>
      <x:c r="K1184" s="115" t="str">
        <x:v>Pièces décrites, murs, portes, niveaux et mobilier inspectables à l’échelle. Volumes réservés, raccord au seed, butin, rencontres et services de campagne restent à terminer.</x:v>
      </x:c>
    </x:row>
    <x:row r="1185" ht="96" customHeight="1">
      <x:c r="A1185" s="115" t="str">
        <x:v>EXT-MONDE-T024-V30</x:v>
      </x:c>
      <x:c r="B1185" s="115" t="str">
        <x:v>EXT-MONDE-T024</x:v>
      </x:c>
      <x:c r="C1185" s="115" t="str">
        <x:v>Fermes élevage</x:v>
      </x:c>
      <x:c r="D1185" s="115" t="str">
        <x:v>Centre équestre rural</x:v>
      </x:c>
      <x:c r="E1185" s="115" t="n">
        <x:v>30</x:v>
      </x:c>
      <x:c r="F1185" s="115" t="str">
        <x:v>Inspection physique</x:v>
      </x:c>
      <x:c r="G1185" s="115" t="str">
        <x:v>1 niveaux ; 28 pièces ; 210 segments de mur ; 0 transitions. Inspection physique ; architecture complète encore ouverte.</x:v>
      </x:c>
      <x:c r="H1185" s="115" t="str">
        <x:v>L 300 ; l 272 ; hauteur 6,9 m ; choix de composition auteur ; dimensions réelles à documenter</x:v>
      </x:c>
      <x:c r="I1185" s="115" t="str">
        <x:v>À équilibrer</x:v>
      </x:c>
      <x:c r="J1185" s="115" t="str">
        <x:v>Non</x:v>
      </x:c>
      <x:c r="K1185" s="115" t="str">
        <x:v>Pièces décrites, murs, portes, niveaux et mobilier inspectables à l’échelle. Volumes réservés, raccord au seed, butin, rencontres et services de campagne restent à terminer.</x:v>
      </x:c>
    </x:row>
    <x:row r="1186" ht="96" customHeight="1">
      <x:c r="A1186" s="115" t="str">
        <x:v>EXT-MONDE-T024-V31</x:v>
      </x:c>
      <x:c r="B1186" s="115" t="str">
        <x:v>EXT-MONDE-T024</x:v>
      </x:c>
      <x:c r="C1186" s="115" t="str">
        <x:v>Fermes élevage</x:v>
      </x:c>
      <x:c r="D1186" s="115" t="str">
        <x:v>Centre équestre rural</x:v>
      </x:c>
      <x:c r="E1186" s="115" t="n">
        <x:v>31</x:v>
      </x:c>
      <x:c r="F1186" s="115" t="str">
        <x:v>Inspection physique</x:v>
      </x:c>
      <x:c r="G1186" s="115" t="str">
        <x:v>1 niveaux ; 28 pièces ; 210 segments de mur ; 0 transitions. Inspection physique ; architecture complète encore ouverte.</x:v>
      </x:c>
      <x:c r="H1186" s="115" t="str">
        <x:v>L 320 ; l 296 ; hauteur 7,1 m ; choix de composition auteur ; dimensions réelles à documenter</x:v>
      </x:c>
      <x:c r="I1186" s="115" t="str">
        <x:v>À équilibrer</x:v>
      </x:c>
      <x:c r="J1186" s="115" t="str">
        <x:v>Non</x:v>
      </x:c>
      <x:c r="K1186" s="115" t="str">
        <x:v>Pièces décrites, murs, portes, niveaux et mobilier inspectables à l’échelle. Volumes réservés, raccord au seed, butin, rencontres et services de campagne restent à terminer.</x:v>
      </x:c>
    </x:row>
    <x:row r="1187" ht="96" customHeight="1">
      <x:c r="A1187" s="115" t="str">
        <x:v>EXT-MONDE-T024-V32</x:v>
      </x:c>
      <x:c r="B1187" s="115" t="str">
        <x:v>EXT-MONDE-T024</x:v>
      </x:c>
      <x:c r="C1187" s="115" t="str">
        <x:v>Fermes élevage</x:v>
      </x:c>
      <x:c r="D1187" s="115" t="str">
        <x:v>Centre équestre rural</x:v>
      </x:c>
      <x:c r="E1187" s="115" t="n">
        <x:v>32</x:v>
      </x:c>
      <x:c r="F1187" s="115" t="str">
        <x:v>Inspection physique</x:v>
      </x:c>
      <x:c r="G1187" s="115" t="str">
        <x:v>1 niveaux ; 28 pièces ; 210 segments de mur ; 0 transitions. Inspection physique ; architecture complète encore ouverte.</x:v>
      </x:c>
      <x:c r="H1187" s="115" t="str">
        <x:v>L 320 ; l 296 ; hauteur 7,1 m ; choix de composition auteur ; dimensions réelles à documenter</x:v>
      </x:c>
      <x:c r="I1187" s="115" t="str">
        <x:v>À équilibrer</x:v>
      </x:c>
      <x:c r="J1187" s="115" t="str">
        <x:v>Non</x:v>
      </x:c>
      <x:c r="K1187" s="115" t="str">
        <x:v>Pièces décrites, murs, portes, niveaux et mobilier inspectables à l’échelle. Volumes réservés, raccord au seed, butin, rencontres et services de campagne restent à terminer.</x:v>
      </x:c>
    </x:row>
    <x:row r="1188" ht="96" customHeight="1">
      <x:c r="A1188" s="115" t="str">
        <x:v>EXT-MONDE-T024-V33</x:v>
      </x:c>
      <x:c r="B1188" s="115" t="str">
        <x:v>EXT-MONDE-T024</x:v>
      </x:c>
      <x:c r="C1188" s="115" t="str">
        <x:v>Fermes élevage</x:v>
      </x:c>
      <x:c r="D1188" s="115" t="str">
        <x:v>Centre équestre rural</x:v>
      </x:c>
      <x:c r="E1188" s="115" t="n">
        <x:v>33</x:v>
      </x:c>
      <x:c r="F1188" s="115" t="str">
        <x:v>Inspection physique</x:v>
      </x:c>
      <x:c r="G1188" s="115" t="str">
        <x:v>1 niveaux ; 28 pièces ; 210 segments de mur ; 0 transitions. Inspection physique ; architecture complète encore ouverte.</x:v>
      </x:c>
      <x:c r="H1188" s="115" t="str">
        <x:v>L 320 ; l 296 ; hauteur 7,1 m ; choix de composition auteur ; dimensions réelles à documenter</x:v>
      </x:c>
      <x:c r="I1188" s="115" t="str">
        <x:v>À équilibrer</x:v>
      </x:c>
      <x:c r="J1188" s="115" t="str">
        <x:v>Non</x:v>
      </x:c>
      <x:c r="K1188" s="115" t="str">
        <x:v>Pièces décrites, murs, portes, niveaux et mobilier inspectables à l’échelle. Volumes réservés, raccord au seed, butin, rencontres et services de campagne restent à terminer.</x:v>
      </x:c>
    </x:row>
    <x:row r="1189" ht="96" customHeight="1">
      <x:c r="A1189" s="115" t="str">
        <x:v>EXT-MONDE-T024-V34</x:v>
      </x:c>
      <x:c r="B1189" s="115" t="str">
        <x:v>EXT-MONDE-T024</x:v>
      </x:c>
      <x:c r="C1189" s="115" t="str">
        <x:v>Fermes élevage</x:v>
      </x:c>
      <x:c r="D1189" s="115" t="str">
        <x:v>Centre équestre rural</x:v>
      </x:c>
      <x:c r="E1189" s="115" t="n">
        <x:v>34</x:v>
      </x:c>
      <x:c r="F1189" s="115" t="str">
        <x:v>Inspection physique</x:v>
      </x:c>
      <x:c r="G1189" s="115" t="str">
        <x:v>1 niveaux ; 28 pièces ; 210 segments de mur ; 0 transitions. Inspection physique ; architecture complète encore ouverte.</x:v>
      </x:c>
      <x:c r="H1189" s="115" t="str">
        <x:v>L 320 ; l 296 ; hauteur 7,1 m ; choix de composition auteur ; dimensions réelles à documenter</x:v>
      </x:c>
      <x:c r="I1189" s="115" t="str">
        <x:v>À équilibrer</x:v>
      </x:c>
      <x:c r="J1189" s="115" t="str">
        <x:v>Non</x:v>
      </x:c>
      <x:c r="K1189" s="115" t="str">
        <x:v>Pièces décrites, murs, portes, niveaux et mobilier inspectables à l’échelle. Volumes réservés, raccord au seed, butin, rencontres et services de campagne restent à terminer.</x:v>
      </x:c>
    </x:row>
    <x:row r="1190" ht="96" customHeight="1">
      <x:c r="A1190" s="115" t="str">
        <x:v>EXT-MONDE-T024-V35</x:v>
      </x:c>
      <x:c r="B1190" s="115" t="str">
        <x:v>EXT-MONDE-T024</x:v>
      </x:c>
      <x:c r="C1190" s="115" t="str">
        <x:v>Fermes élevage</x:v>
      </x:c>
      <x:c r="D1190" s="115" t="str">
        <x:v>Centre équestre rural</x:v>
      </x:c>
      <x:c r="E1190" s="115" t="n">
        <x:v>35</x:v>
      </x:c>
      <x:c r="F1190" s="115" t="str">
        <x:v>Inspection physique</x:v>
      </x:c>
      <x:c r="G1190" s="115" t="str">
        <x:v>1 niveaux ; 28 pièces ; 210 segments de mur ; 0 transitions. Inspection physique ; architecture complète encore ouverte.</x:v>
      </x:c>
      <x:c r="H1190" s="115" t="str">
        <x:v>L 320 ; l 296 ; hauteur 7,1 m ; choix de composition auteur ; dimensions réelles à documenter</x:v>
      </x:c>
      <x:c r="I1190" s="115" t="str">
        <x:v>À équilibrer</x:v>
      </x:c>
      <x:c r="J1190" s="115" t="str">
        <x:v>Non</x:v>
      </x:c>
      <x:c r="K1190" s="115" t="str">
        <x:v>Pièces décrites, murs, portes, niveaux et mobilier inspectables à l’échelle. Volumes réservés, raccord au seed, butin, rencontres et services de campagne restent à terminer.</x:v>
      </x:c>
    </x:row>
    <x:row r="1191" ht="96" customHeight="1">
      <x:c r="A1191" s="115" t="str">
        <x:v>EXT-MONDE-T024-V36</x:v>
      </x:c>
      <x:c r="B1191" s="115" t="str">
        <x:v>EXT-MONDE-T024</x:v>
      </x:c>
      <x:c r="C1191" s="115" t="str">
        <x:v>Fermes élevage</x:v>
      </x:c>
      <x:c r="D1191" s="115" t="str">
        <x:v>Centre équestre rural</x:v>
      </x:c>
      <x:c r="E1191" s="115" t="n">
        <x:v>36</x:v>
      </x:c>
      <x:c r="F1191" s="115" t="str">
        <x:v>Inspection physique</x:v>
      </x:c>
      <x:c r="G1191" s="115" t="str">
        <x:v>1 niveaux ; 28 pièces ; 210 segments de mur ; 0 transitions. Inspection physique ; architecture complète encore ouverte.</x:v>
      </x:c>
      <x:c r="H1191" s="115" t="str">
        <x:v>L 320 ; l 296 ; hauteur 7,1 m ; choix de composition auteur ; dimensions réelles à documenter</x:v>
      </x:c>
      <x:c r="I1191" s="115" t="str">
        <x:v>À équilibrer</x:v>
      </x:c>
      <x:c r="J1191" s="115" t="str">
        <x:v>Non</x:v>
      </x:c>
      <x:c r="K1191" s="115" t="str">
        <x:v>Pièces décrites, murs, portes, niveaux et mobilier inspectables à l’échelle. Volumes réservés, raccord au seed, butin, rencontres et services de campagne restent à terminer.</x:v>
      </x:c>
    </x:row>
    <x:row r="1192" ht="96" customHeight="1">
      <x:c r="A1192" s="115" t="str">
        <x:v>EXT-MONDE-T024-V37</x:v>
      </x:c>
      <x:c r="B1192" s="115" t="str">
        <x:v>EXT-MONDE-T024</x:v>
      </x:c>
      <x:c r="C1192" s="115" t="str">
        <x:v>Fermes élevage</x:v>
      </x:c>
      <x:c r="D1192" s="115" t="str">
        <x:v>Centre équestre rural</x:v>
      </x:c>
      <x:c r="E1192" s="115" t="n">
        <x:v>37</x:v>
      </x:c>
      <x:c r="F1192" s="115" t="str">
        <x:v>Inspection physique</x:v>
      </x:c>
      <x:c r="G1192" s="115" t="str">
        <x:v>1 niveaux ; 28 pièces ; 210 segments de mur ; 0 transitions. Inspection physique ; architecture complète encore ouverte.</x:v>
      </x:c>
      <x:c r="H1192" s="115" t="str">
        <x:v>L 320 ; l 296 ; hauteur 7,1 m ; choix de composition auteur ; dimensions réelles à documenter</x:v>
      </x:c>
      <x:c r="I1192" s="115" t="str">
        <x:v>À équilibrer</x:v>
      </x:c>
      <x:c r="J1192" s="115" t="str">
        <x:v>Non</x:v>
      </x:c>
      <x:c r="K1192" s="115" t="str">
        <x:v>Pièces décrites, murs, portes, niveaux et mobilier inspectables à l’échelle. Volumes réservés, raccord au seed, butin, rencontres et services de campagne restent à terminer.</x:v>
      </x:c>
    </x:row>
    <x:row r="1193" ht="96" customHeight="1">
      <x:c r="A1193" s="115" t="str">
        <x:v>EXT-MONDE-T024-V38</x:v>
      </x:c>
      <x:c r="B1193" s="115" t="str">
        <x:v>EXT-MONDE-T024</x:v>
      </x:c>
      <x:c r="C1193" s="115" t="str">
        <x:v>Fermes élevage</x:v>
      </x:c>
      <x:c r="D1193" s="115" t="str">
        <x:v>Centre équestre rural</x:v>
      </x:c>
      <x:c r="E1193" s="115" t="n">
        <x:v>38</x:v>
      </x:c>
      <x:c r="F1193" s="115" t="str">
        <x:v>Inspection physique</x:v>
      </x:c>
      <x:c r="G1193" s="115" t="str">
        <x:v>1 niveaux ; 28 pièces ; 210 segments de mur ; 0 transitions. Inspection physique ; architecture complète encore ouverte.</x:v>
      </x:c>
      <x:c r="H1193" s="115" t="str">
        <x:v>L 320 ; l 296 ; hauteur 7,1 m ; choix de composition auteur ; dimensions réelles à documenter</x:v>
      </x:c>
      <x:c r="I1193" s="115" t="str">
        <x:v>À équilibrer</x:v>
      </x:c>
      <x:c r="J1193" s="115" t="str">
        <x:v>Non</x:v>
      </x:c>
      <x:c r="K1193" s="115" t="str">
        <x:v>Pièces décrites, murs, portes, niveaux et mobilier inspectables à l’échelle. Volumes réservés, raccord au seed, butin, rencontres et services de campagne restent à terminer.</x:v>
      </x:c>
    </x:row>
    <x:row r="1194" ht="96" customHeight="1">
      <x:c r="A1194" s="115" t="str">
        <x:v>EXT-MONDE-T024-V39</x:v>
      </x:c>
      <x:c r="B1194" s="115" t="str">
        <x:v>EXT-MONDE-T024</x:v>
      </x:c>
      <x:c r="C1194" s="115" t="str">
        <x:v>Fermes élevage</x:v>
      </x:c>
      <x:c r="D1194" s="115" t="str">
        <x:v>Centre équestre rural</x:v>
      </x:c>
      <x:c r="E1194" s="115" t="n">
        <x:v>39</x:v>
      </x:c>
      <x:c r="F1194" s="115" t="str">
        <x:v>Inspection physique</x:v>
      </x:c>
      <x:c r="G1194" s="115" t="str">
        <x:v>1 niveaux ; 28 pièces ; 210 segments de mur ; 0 transitions. Inspection physique ; architecture complète encore ouverte.</x:v>
      </x:c>
      <x:c r="H1194" s="115" t="str">
        <x:v>L 320 ; l 296 ; hauteur 7,1 m ; choix de composition auteur ; dimensions réelles à documenter</x:v>
      </x:c>
      <x:c r="I1194" s="115" t="str">
        <x:v>À équilibrer</x:v>
      </x:c>
      <x:c r="J1194" s="115" t="str">
        <x:v>Non</x:v>
      </x:c>
      <x:c r="K1194" s="115" t="str">
        <x:v>Pièces décrites, murs, portes, niveaux et mobilier inspectables à l’échelle. Volumes réservés, raccord au seed, butin, rencontres et services de campagne restent à terminer.</x:v>
      </x:c>
    </x:row>
    <x:row r="1195" ht="96" customHeight="1">
      <x:c r="A1195" s="115" t="str">
        <x:v>EXT-MONDE-T024-V40</x:v>
      </x:c>
      <x:c r="B1195" s="115" t="str">
        <x:v>EXT-MONDE-T024</x:v>
      </x:c>
      <x:c r="C1195" s="115" t="str">
        <x:v>Fermes élevage</x:v>
      </x:c>
      <x:c r="D1195" s="115" t="str">
        <x:v>Centre équestre rural</x:v>
      </x:c>
      <x:c r="E1195" s="115" t="n">
        <x:v>40</x:v>
      </x:c>
      <x:c r="F1195" s="115" t="str">
        <x:v>Inspection physique</x:v>
      </x:c>
      <x:c r="G1195" s="115" t="str">
        <x:v>1 niveaux ; 28 pièces ; 210 segments de mur ; 0 transitions. Inspection physique ; architecture complète encore ouverte.</x:v>
      </x:c>
      <x:c r="H1195" s="115" t="str">
        <x:v>L 320 ; l 296 ; hauteur 7,1 m ; choix de composition auteur ; dimensions réelles à documenter</x:v>
      </x:c>
      <x:c r="I1195" s="115" t="str">
        <x:v>À équilibrer</x:v>
      </x:c>
      <x:c r="J1195" s="115" t="str">
        <x:v>Non</x:v>
      </x:c>
      <x:c r="K1195" s="115" t="str">
        <x:v>Pièces décrites, murs, portes, niveaux et mobilier inspectables à l’échelle. Volumes réservés, raccord au seed, butin, rencontres et services de campagne restent à terminer.</x:v>
      </x:c>
    </x:row>
    <x:row r="1196" ht="96" customHeight="1">
      <x:c r="A1196" s="115" t="str">
        <x:v>EXT-MONDE-T024-V41</x:v>
      </x:c>
      <x:c r="B1196" s="115" t="str">
        <x:v>EXT-MONDE-T024</x:v>
      </x:c>
      <x:c r="C1196" s="115" t="str">
        <x:v>Fermes élevage</x:v>
      </x:c>
      <x:c r="D1196" s="115" t="str">
        <x:v>Centre équestre rural</x:v>
      </x:c>
      <x:c r="E1196" s="115" t="n">
        <x:v>41</x:v>
      </x:c>
      <x:c r="F1196" s="115" t="str">
        <x:v>Inspection physique</x:v>
      </x:c>
      <x:c r="G1196" s="115" t="str">
        <x:v>1 niveaux ; 28 pièces ; 210 segments de mur ; 0 transitions. Inspection physique ; architecture complète encore ouverte.</x:v>
      </x:c>
      <x:c r="H1196" s="115" t="str">
        <x:v>L 340 ; l 320 ; hauteur 7,3 m ; choix de composition auteur ; dimensions réelles à documenter</x:v>
      </x:c>
      <x:c r="I1196" s="115" t="str">
        <x:v>À équilibrer</x:v>
      </x:c>
      <x:c r="J1196" s="115" t="str">
        <x:v>Non</x:v>
      </x:c>
      <x:c r="K1196" s="115" t="str">
        <x:v>Pièces décrites, murs, portes, niveaux et mobilier inspectables à l’échelle. Volumes réservés, raccord au seed, butin, rencontres et services de campagne restent à terminer.</x:v>
      </x:c>
    </x:row>
    <x:row r="1197" ht="96" customHeight="1">
      <x:c r="A1197" s="115" t="str">
        <x:v>EXT-MONDE-T024-V42</x:v>
      </x:c>
      <x:c r="B1197" s="115" t="str">
        <x:v>EXT-MONDE-T024</x:v>
      </x:c>
      <x:c r="C1197" s="115" t="str">
        <x:v>Fermes élevage</x:v>
      </x:c>
      <x:c r="D1197" s="115" t="str">
        <x:v>Centre équestre rural</x:v>
      </x:c>
      <x:c r="E1197" s="115" t="n">
        <x:v>42</x:v>
      </x:c>
      <x:c r="F1197" s="115" t="str">
        <x:v>Inspection physique</x:v>
      </x:c>
      <x:c r="G1197" s="115" t="str">
        <x:v>1 niveaux ; 28 pièces ; 210 segments de mur ; 0 transitions. Inspection physique ; architecture complète encore ouverte.</x:v>
      </x:c>
      <x:c r="H1197" s="115" t="str">
        <x:v>L 340 ; l 320 ; hauteur 7,3 m ; choix de composition auteur ; dimensions réelles à documenter</x:v>
      </x:c>
      <x:c r="I1197" s="115" t="str">
        <x:v>À équilibrer</x:v>
      </x:c>
      <x:c r="J1197" s="115" t="str">
        <x:v>Non</x:v>
      </x:c>
      <x:c r="K1197" s="115" t="str">
        <x:v>Pièces décrites, murs, portes, niveaux et mobilier inspectables à l’échelle. Volumes réservés, raccord au seed, butin, rencontres et services de campagne restent à terminer.</x:v>
      </x:c>
    </x:row>
    <x:row r="1198" ht="96" customHeight="1">
      <x:c r="A1198" s="115" t="str">
        <x:v>EXT-MONDE-T024-V43</x:v>
      </x:c>
      <x:c r="B1198" s="115" t="str">
        <x:v>EXT-MONDE-T024</x:v>
      </x:c>
      <x:c r="C1198" s="115" t="str">
        <x:v>Fermes élevage</x:v>
      </x:c>
      <x:c r="D1198" s="115" t="str">
        <x:v>Centre équestre rural</x:v>
      </x:c>
      <x:c r="E1198" s="115" t="n">
        <x:v>43</x:v>
      </x:c>
      <x:c r="F1198" s="115" t="str">
        <x:v>Inspection physique</x:v>
      </x:c>
      <x:c r="G1198" s="115" t="str">
        <x:v>1 niveaux ; 28 pièces ; 210 segments de mur ; 0 transitions. Inspection physique ; architecture complète encore ouverte.</x:v>
      </x:c>
      <x:c r="H1198" s="115" t="str">
        <x:v>L 340 ; l 320 ; hauteur 7,3 m ; choix de composition auteur ; dimensions réelles à documenter</x:v>
      </x:c>
      <x:c r="I1198" s="115" t="str">
        <x:v>À équilibrer</x:v>
      </x:c>
      <x:c r="J1198" s="115" t="str">
        <x:v>Non</x:v>
      </x:c>
      <x:c r="K1198" s="115" t="str">
        <x:v>Pièces décrites, murs, portes, niveaux et mobilier inspectables à l’échelle. Volumes réservés, raccord au seed, butin, rencontres et services de campagne restent à terminer.</x:v>
      </x:c>
    </x:row>
    <x:row r="1199" ht="96" customHeight="1">
      <x:c r="A1199" s="115" t="str">
        <x:v>EXT-MONDE-T024-V44</x:v>
      </x:c>
      <x:c r="B1199" s="115" t="str">
        <x:v>EXT-MONDE-T024</x:v>
      </x:c>
      <x:c r="C1199" s="115" t="str">
        <x:v>Fermes élevage</x:v>
      </x:c>
      <x:c r="D1199" s="115" t="str">
        <x:v>Centre équestre rural</x:v>
      </x:c>
      <x:c r="E1199" s="115" t="n">
        <x:v>44</x:v>
      </x:c>
      <x:c r="F1199" s="115" t="str">
        <x:v>Inspection physique</x:v>
      </x:c>
      <x:c r="G1199" s="115" t="str">
        <x:v>1 niveaux ; 28 pièces ; 210 segments de mur ; 0 transitions. Inspection physique ; architecture complète encore ouverte.</x:v>
      </x:c>
      <x:c r="H1199" s="115" t="str">
        <x:v>L 340 ; l 320 ; hauteur 7,3 m ; choix de composition auteur ; dimensions réelles à documenter</x:v>
      </x:c>
      <x:c r="I1199" s="115" t="str">
        <x:v>À équilibrer</x:v>
      </x:c>
      <x:c r="J1199" s="115" t="str">
        <x:v>Non</x:v>
      </x:c>
      <x:c r="K1199" s="115" t="str">
        <x:v>Pièces décrites, murs, portes, niveaux et mobilier inspectables à l’échelle. Volumes réservés, raccord au seed, butin, rencontres et services de campagne restent à terminer.</x:v>
      </x:c>
    </x:row>
    <x:row r="1200" ht="96" customHeight="1">
      <x:c r="A1200" s="115" t="str">
        <x:v>EXT-MONDE-T024-V45</x:v>
      </x:c>
      <x:c r="B1200" s="115" t="str">
        <x:v>EXT-MONDE-T024</x:v>
      </x:c>
      <x:c r="C1200" s="115" t="str">
        <x:v>Fermes élevage</x:v>
      </x:c>
      <x:c r="D1200" s="115" t="str">
        <x:v>Centre équestre rural</x:v>
      </x:c>
      <x:c r="E1200" s="115" t="n">
        <x:v>45</x:v>
      </x:c>
      <x:c r="F1200" s="115" t="str">
        <x:v>Inspection physique</x:v>
      </x:c>
      <x:c r="G1200" s="115" t="str">
        <x:v>1 niveaux ; 28 pièces ; 210 segments de mur ; 0 transitions. Inspection physique ; architecture complète encore ouverte.</x:v>
      </x:c>
      <x:c r="H1200" s="115" t="str">
        <x:v>L 340 ; l 320 ; hauteur 7,3 m ; choix de composition auteur ; dimensions réelles à documenter</x:v>
      </x:c>
      <x:c r="I1200" s="115" t="str">
        <x:v>À équilibrer</x:v>
      </x:c>
      <x:c r="J1200" s="115" t="str">
        <x:v>Non</x:v>
      </x:c>
      <x:c r="K1200" s="115" t="str">
        <x:v>Pièces décrites, murs, portes, niveaux et mobilier inspectables à l’échelle. Volumes réservés, raccord au seed, butin, rencontres et services de campagne restent à terminer.</x:v>
      </x:c>
    </x:row>
    <x:row r="1201" ht="96" customHeight="1">
      <x:c r="A1201" s="115" t="str">
        <x:v>EXT-MONDE-T024-V46</x:v>
      </x:c>
      <x:c r="B1201" s="115" t="str">
        <x:v>EXT-MONDE-T024</x:v>
      </x:c>
      <x:c r="C1201" s="115" t="str">
        <x:v>Fermes élevage</x:v>
      </x:c>
      <x:c r="D1201" s="115" t="str">
        <x:v>Centre équestre rural</x:v>
      </x:c>
      <x:c r="E1201" s="115" t="n">
        <x:v>46</x:v>
      </x:c>
      <x:c r="F1201" s="115" t="str">
        <x:v>Inspection physique</x:v>
      </x:c>
      <x:c r="G1201" s="115" t="str">
        <x:v>1 niveaux ; 28 pièces ; 210 segments de mur ; 0 transitions. Inspection physique ; architecture complète encore ouverte.</x:v>
      </x:c>
      <x:c r="H1201" s="115" t="str">
        <x:v>L 340 ; l 320 ; hauteur 7,3 m ; choix de composition auteur ; dimensions réelles à documenter</x:v>
      </x:c>
      <x:c r="I1201" s="115" t="str">
        <x:v>À équilibrer</x:v>
      </x:c>
      <x:c r="J1201" s="115" t="str">
        <x:v>Non</x:v>
      </x:c>
      <x:c r="K1201" s="115" t="str">
        <x:v>Pièces décrites, murs, portes, niveaux et mobilier inspectables à l’échelle. Volumes réservés, raccord au seed, butin, rencontres et services de campagne restent à terminer.</x:v>
      </x:c>
    </x:row>
    <x:row r="1202" ht="96" customHeight="1">
      <x:c r="A1202" s="115" t="str">
        <x:v>EXT-MONDE-T024-V47</x:v>
      </x:c>
      <x:c r="B1202" s="115" t="str">
        <x:v>EXT-MONDE-T024</x:v>
      </x:c>
      <x:c r="C1202" s="115" t="str">
        <x:v>Fermes élevage</x:v>
      </x:c>
      <x:c r="D1202" s="115" t="str">
        <x:v>Centre équestre rural</x:v>
      </x:c>
      <x:c r="E1202" s="115" t="n">
        <x:v>47</x:v>
      </x:c>
      <x:c r="F1202" s="115" t="str">
        <x:v>Inspection physique</x:v>
      </x:c>
      <x:c r="G1202" s="115" t="str">
        <x:v>1 niveaux ; 28 pièces ; 210 segments de mur ; 0 transitions. Inspection physique ; architecture complète encore ouverte.</x:v>
      </x:c>
      <x:c r="H1202" s="115" t="str">
        <x:v>L 340 ; l 320 ; hauteur 7,3 m ; choix de composition auteur ; dimensions réelles à documenter</x:v>
      </x:c>
      <x:c r="I1202" s="115" t="str">
        <x:v>À équilibrer</x:v>
      </x:c>
      <x:c r="J1202" s="115" t="str">
        <x:v>Non</x:v>
      </x:c>
      <x:c r="K1202" s="115" t="str">
        <x:v>Pièces décrites, murs, portes, niveaux et mobilier inspectables à l’échelle. Volumes réservés, raccord au seed, butin, rencontres et services de campagne restent à terminer.</x:v>
      </x:c>
    </x:row>
    <x:row r="1203" ht="96" customHeight="1">
      <x:c r="A1203" s="115" t="str">
        <x:v>EXT-MONDE-T024-V48</x:v>
      </x:c>
      <x:c r="B1203" s="115" t="str">
        <x:v>EXT-MONDE-T024</x:v>
      </x:c>
      <x:c r="C1203" s="115" t="str">
        <x:v>Fermes élevage</x:v>
      </x:c>
      <x:c r="D1203" s="115" t="str">
        <x:v>Centre équestre rural</x:v>
      </x:c>
      <x:c r="E1203" s="115" t="n">
        <x:v>48</x:v>
      </x:c>
      <x:c r="F1203" s="115" t="str">
        <x:v>Inspection physique</x:v>
      </x:c>
      <x:c r="G1203" s="115" t="str">
        <x:v>1 niveaux ; 28 pièces ; 210 segments de mur ; 0 transitions. Inspection physique ; architecture complète encore ouverte.</x:v>
      </x:c>
      <x:c r="H1203" s="115" t="str">
        <x:v>L 340 ; l 320 ; hauteur 7,3 m ; choix de composition auteur ; dimensions réelles à documenter</x:v>
      </x:c>
      <x:c r="I1203" s="115" t="str">
        <x:v>À équilibrer</x:v>
      </x:c>
      <x:c r="J1203" s="115" t="str">
        <x:v>Non</x:v>
      </x:c>
      <x:c r="K1203" s="115" t="str">
        <x:v>Pièces décrites, murs, portes, niveaux et mobilier inspectables à l’échelle. Volumes réservés, raccord au seed, butin, rencontres et services de campagne restent à terminer.</x:v>
      </x:c>
    </x:row>
    <x:row r="1204" ht="96" customHeight="1">
      <x:c r="A1204" s="115" t="str">
        <x:v>EXT-MONDE-T024-V49</x:v>
      </x:c>
      <x:c r="B1204" s="115" t="str">
        <x:v>EXT-MONDE-T024</x:v>
      </x:c>
      <x:c r="C1204" s="115" t="str">
        <x:v>Fermes élevage</x:v>
      </x:c>
      <x:c r="D1204" s="115" t="str">
        <x:v>Centre équestre rural</x:v>
      </x:c>
      <x:c r="E1204" s="115" t="n">
        <x:v>49</x:v>
      </x:c>
      <x:c r="F1204" s="115" t="str">
        <x:v>Inspection physique</x:v>
      </x:c>
      <x:c r="G1204" s="115" t="str">
        <x:v>1 niveaux ; 28 pièces ; 210 segments de mur ; 0 transitions. Inspection physique ; architecture complète encore ouverte.</x:v>
      </x:c>
      <x:c r="H1204" s="115" t="str">
        <x:v>L 340 ; l 320 ; hauteur 7,3 m ; choix de composition auteur ; dimensions réelles à documenter</x:v>
      </x:c>
      <x:c r="I1204" s="115" t="str">
        <x:v>À équilibrer</x:v>
      </x:c>
      <x:c r="J1204" s="115" t="str">
        <x:v>Non</x:v>
      </x:c>
      <x:c r="K1204" s="115" t="str">
        <x:v>Pièces décrites, murs, portes, niveaux et mobilier inspectables à l’échelle. Volumes réservés, raccord au seed, butin, rencontres et services de campagne restent à terminer.</x:v>
      </x:c>
    </x:row>
    <x:row r="1205" ht="96" customHeight="1">
      <x:c r="A1205" s="115" t="str">
        <x:v>EXT-MONDE-T024-V50</x:v>
      </x:c>
      <x:c r="B1205" s="115" t="str">
        <x:v>EXT-MONDE-T024</x:v>
      </x:c>
      <x:c r="C1205" s="115" t="str">
        <x:v>Fermes élevage</x:v>
      </x:c>
      <x:c r="D1205" s="115" t="str">
        <x:v>Centre équestre rural</x:v>
      </x:c>
      <x:c r="E1205" s="115" t="n">
        <x:v>50</x:v>
      </x:c>
      <x:c r="F1205" s="115" t="str">
        <x:v>Inspection physique</x:v>
      </x:c>
      <x:c r="G1205" s="115" t="str">
        <x:v>1 niveaux ; 28 pièces ; 210 segments de mur ; 0 transitions. Inspection physique ; architecture complète encore ouverte.</x:v>
      </x:c>
      <x:c r="H1205" s="115" t="str">
        <x:v>L 340 ; l 320 ; hauteur 7,3 m ; choix de composition auteur ; dimensions réelles à documenter</x:v>
      </x:c>
      <x:c r="I1205" s="115" t="str">
        <x:v>À équilibrer</x:v>
      </x:c>
      <x:c r="J1205" s="115" t="str">
        <x:v>Non</x:v>
      </x:c>
      <x:c r="K1205" s="115" t="str">
        <x:v>Pièces décrites, murs, portes, niveaux et mobilier inspectables à l’échelle. Volumes réservés, raccord au seed, butin, rencontres et services de campagne restent à terminer.</x:v>
      </x:c>
    </x:row>
    <x:row r="1206" ht="96" customHeight="1">
      <x:c r="A1206" s="115" t="str">
        <x:v>EXT-MONDE-T025-V01</x:v>
      </x:c>
      <x:c r="B1206" s="115" t="str">
        <x:v>EXT-MONDE-T025</x:v>
      </x:c>
      <x:c r="C1206" s="115" t="str">
        <x:v>Fermes cultures</x:v>
      </x:c>
      <x:c r="D1206" s="115" t="str">
        <x:v>Exploitation céréalière</x:v>
      </x:c>
      <x:c r="E1206" s="115" t="n">
        <x:v>1</x:v>
      </x:c>
      <x:c r="F1206" s="115" t="str">
        <x:v>Inspection physique</x:v>
      </x:c>
      <x:c r="G1206" s="115" t="str">
        <x:v>1 niveaux ; 26 pièces ; 198 segments de mur ; 0 transitions. Inspection physique ; architecture complète encore ouverte.</x:v>
      </x:c>
      <x:c r="H1206" s="115" t="str">
        <x:v>L 260 ; l 224 ; hauteur 10,2 m ; choix de composition auteur ; dimensions réelles à documenter</x:v>
      </x:c>
      <x:c r="I1206" s="115" t="str">
        <x:v>À équilibrer</x:v>
      </x:c>
      <x:c r="J1206" s="115" t="str">
        <x:v>Non</x:v>
      </x:c>
      <x:c r="K1206" s="115" t="str">
        <x:v>Pièces décrites, murs, portes, niveaux et mobilier inspectables à l’échelle. Volumes réservés, raccord au seed, butin, rencontres et services de campagne restent à terminer.</x:v>
      </x:c>
    </x:row>
    <x:row r="1207" ht="96" customHeight="1">
      <x:c r="A1207" s="115" t="str">
        <x:v>EXT-MONDE-T025-V02</x:v>
      </x:c>
      <x:c r="B1207" s="115" t="str">
        <x:v>EXT-MONDE-T025</x:v>
      </x:c>
      <x:c r="C1207" s="115" t="str">
        <x:v>Fermes cultures</x:v>
      </x:c>
      <x:c r="D1207" s="115" t="str">
        <x:v>Exploitation céréalière</x:v>
      </x:c>
      <x:c r="E1207" s="115" t="n">
        <x:v>2</x:v>
      </x:c>
      <x:c r="F1207" s="115" t="str">
        <x:v>Inspection physique</x:v>
      </x:c>
      <x:c r="G1207" s="115" t="str">
        <x:v>1 niveaux ; 26 pièces ; 198 segments de mur ; 0 transitions. Inspection physique ; architecture complète encore ouverte.</x:v>
      </x:c>
      <x:c r="H1207" s="115" t="str">
        <x:v>L 260 ; l 224 ; hauteur 10,2 m ; choix de composition auteur ; dimensions réelles à documenter</x:v>
      </x:c>
      <x:c r="I1207" s="115" t="str">
        <x:v>À équilibrer</x:v>
      </x:c>
      <x:c r="J1207" s="115" t="str">
        <x:v>Non</x:v>
      </x:c>
      <x:c r="K1207" s="115" t="str">
        <x:v>Pièces décrites, murs, portes, niveaux et mobilier inspectables à l’échelle. Volumes réservés, raccord au seed, butin, rencontres et services de campagne restent à terminer.</x:v>
      </x:c>
    </x:row>
    <x:row r="1208" ht="96" customHeight="1">
      <x:c r="A1208" s="115" t="str">
        <x:v>EXT-MONDE-T025-V03</x:v>
      </x:c>
      <x:c r="B1208" s="115" t="str">
        <x:v>EXT-MONDE-T025</x:v>
      </x:c>
      <x:c r="C1208" s="115" t="str">
        <x:v>Fermes cultures</x:v>
      </x:c>
      <x:c r="D1208" s="115" t="str">
        <x:v>Exploitation céréalière</x:v>
      </x:c>
      <x:c r="E1208" s="115" t="n">
        <x:v>3</x:v>
      </x:c>
      <x:c r="F1208" s="115" t="str">
        <x:v>Inspection physique</x:v>
      </x:c>
      <x:c r="G1208" s="115" t="str">
        <x:v>1 niveaux ; 26 pièces ; 198 segments de mur ; 0 transitions. Inspection physique ; architecture complète encore ouverte.</x:v>
      </x:c>
      <x:c r="H1208" s="115" t="str">
        <x:v>L 260 ; l 224 ; hauteur 10,2 m ; choix de composition auteur ; dimensions réelles à documenter</x:v>
      </x:c>
      <x:c r="I1208" s="115" t="str">
        <x:v>À équilibrer</x:v>
      </x:c>
      <x:c r="J1208" s="115" t="str">
        <x:v>Non</x:v>
      </x:c>
      <x:c r="K1208" s="115" t="str">
        <x:v>Pièces décrites, murs, portes, niveaux et mobilier inspectables à l’échelle. Volumes réservés, raccord au seed, butin, rencontres et services de campagne restent à terminer.</x:v>
      </x:c>
    </x:row>
    <x:row r="1209" ht="96" customHeight="1">
      <x:c r="A1209" s="115" t="str">
        <x:v>EXT-MONDE-T025-V04</x:v>
      </x:c>
      <x:c r="B1209" s="115" t="str">
        <x:v>EXT-MONDE-T025</x:v>
      </x:c>
      <x:c r="C1209" s="115" t="str">
        <x:v>Fermes cultures</x:v>
      </x:c>
      <x:c r="D1209" s="115" t="str">
        <x:v>Exploitation céréalière</x:v>
      </x:c>
      <x:c r="E1209" s="115" t="n">
        <x:v>4</x:v>
      </x:c>
      <x:c r="F1209" s="115" t="str">
        <x:v>Inspection physique</x:v>
      </x:c>
      <x:c r="G1209" s="115" t="str">
        <x:v>1 niveaux ; 26 pièces ; 198 segments de mur ; 0 transitions. Inspection physique ; architecture complète encore ouverte.</x:v>
      </x:c>
      <x:c r="H1209" s="115" t="str">
        <x:v>L 260 ; l 224 ; hauteur 10,2 m ; choix de composition auteur ; dimensions réelles à documenter</x:v>
      </x:c>
      <x:c r="I1209" s="115" t="str">
        <x:v>À équilibrer</x:v>
      </x:c>
      <x:c r="J1209" s="115" t="str">
        <x:v>Non</x:v>
      </x:c>
      <x:c r="K1209" s="115" t="str">
        <x:v>Pièces décrites, murs, portes, niveaux et mobilier inspectables à l’échelle. Volumes réservés, raccord au seed, butin, rencontres et services de campagne restent à terminer.</x:v>
      </x:c>
    </x:row>
    <x:row r="1210" ht="96" customHeight="1">
      <x:c r="A1210" s="115" t="str">
        <x:v>EXT-MONDE-T025-V05</x:v>
      </x:c>
      <x:c r="B1210" s="115" t="str">
        <x:v>EXT-MONDE-T025</x:v>
      </x:c>
      <x:c r="C1210" s="115" t="str">
        <x:v>Fermes cultures</x:v>
      </x:c>
      <x:c r="D1210" s="115" t="str">
        <x:v>Exploitation céréalière</x:v>
      </x:c>
      <x:c r="E1210" s="115" t="n">
        <x:v>5</x:v>
      </x:c>
      <x:c r="F1210" s="115" t="str">
        <x:v>Inspection physique</x:v>
      </x:c>
      <x:c r="G1210" s="115" t="str">
        <x:v>1 niveaux ; 26 pièces ; 198 segments de mur ; 0 transitions. Inspection physique ; architecture complète encore ouverte.</x:v>
      </x:c>
      <x:c r="H1210" s="115" t="str">
        <x:v>L 260 ; l 224 ; hauteur 10,2 m ; choix de composition auteur ; dimensions réelles à documenter</x:v>
      </x:c>
      <x:c r="I1210" s="115" t="str">
        <x:v>À équilibrer</x:v>
      </x:c>
      <x:c r="J1210" s="115" t="str">
        <x:v>Non</x:v>
      </x:c>
      <x:c r="K1210" s="115" t="str">
        <x:v>Pièces décrites, murs, portes, niveaux et mobilier inspectables à l’échelle. Volumes réservés, raccord au seed, butin, rencontres et services de campagne restent à terminer.</x:v>
      </x:c>
    </x:row>
    <x:row r="1211" ht="96" customHeight="1">
      <x:c r="A1211" s="115" t="str">
        <x:v>EXT-MONDE-T025-V06</x:v>
      </x:c>
      <x:c r="B1211" s="115" t="str">
        <x:v>EXT-MONDE-T025</x:v>
      </x:c>
      <x:c r="C1211" s="115" t="str">
        <x:v>Fermes cultures</x:v>
      </x:c>
      <x:c r="D1211" s="115" t="str">
        <x:v>Exploitation céréalière</x:v>
      </x:c>
      <x:c r="E1211" s="115" t="n">
        <x:v>6</x:v>
      </x:c>
      <x:c r="F1211" s="115" t="str">
        <x:v>Inspection physique</x:v>
      </x:c>
      <x:c r="G1211" s="115" t="str">
        <x:v>1 niveaux ; 26 pièces ; 198 segments de mur ; 0 transitions. Inspection physique ; architecture complète encore ouverte.</x:v>
      </x:c>
      <x:c r="H1211" s="115" t="str">
        <x:v>L 260 ; l 224 ; hauteur 10,2 m ; choix de composition auteur ; dimensions réelles à documenter</x:v>
      </x:c>
      <x:c r="I1211" s="115" t="str">
        <x:v>À équilibrer</x:v>
      </x:c>
      <x:c r="J1211" s="115" t="str">
        <x:v>Non</x:v>
      </x:c>
      <x:c r="K1211" s="115" t="str">
        <x:v>Pièces décrites, murs, portes, niveaux et mobilier inspectables à l’échelle. Volumes réservés, raccord au seed, butin, rencontres et services de campagne restent à terminer.</x:v>
      </x:c>
    </x:row>
    <x:row r="1212" ht="96" customHeight="1">
      <x:c r="A1212" s="115" t="str">
        <x:v>EXT-MONDE-T025-V07</x:v>
      </x:c>
      <x:c r="B1212" s="115" t="str">
        <x:v>EXT-MONDE-T025</x:v>
      </x:c>
      <x:c r="C1212" s="115" t="str">
        <x:v>Fermes cultures</x:v>
      </x:c>
      <x:c r="D1212" s="115" t="str">
        <x:v>Exploitation céréalière</x:v>
      </x:c>
      <x:c r="E1212" s="115" t="n">
        <x:v>7</x:v>
      </x:c>
      <x:c r="F1212" s="115" t="str">
        <x:v>Inspection physique</x:v>
      </x:c>
      <x:c r="G1212" s="115" t="str">
        <x:v>1 niveaux ; 26 pièces ; 198 segments de mur ; 0 transitions. Inspection physique ; architecture complète encore ouverte.</x:v>
      </x:c>
      <x:c r="H1212" s="115" t="str">
        <x:v>L 260 ; l 224 ; hauteur 10,2 m ; choix de composition auteur ; dimensions réelles à documenter</x:v>
      </x:c>
      <x:c r="I1212" s="115" t="str">
        <x:v>À équilibrer</x:v>
      </x:c>
      <x:c r="J1212" s="115" t="str">
        <x:v>Non</x:v>
      </x:c>
      <x:c r="K1212" s="115" t="str">
        <x:v>Pièces décrites, murs, portes, niveaux et mobilier inspectables à l’échelle. Volumes réservés, raccord au seed, butin, rencontres et services de campagne restent à terminer.</x:v>
      </x:c>
    </x:row>
    <x:row r="1213" ht="96" customHeight="1">
      <x:c r="A1213" s="115" t="str">
        <x:v>EXT-MONDE-T025-V08</x:v>
      </x:c>
      <x:c r="B1213" s="115" t="str">
        <x:v>EXT-MONDE-T025</x:v>
      </x:c>
      <x:c r="C1213" s="115" t="str">
        <x:v>Fermes cultures</x:v>
      </x:c>
      <x:c r="D1213" s="115" t="str">
        <x:v>Exploitation céréalière</x:v>
      </x:c>
      <x:c r="E1213" s="115" t="n">
        <x:v>8</x:v>
      </x:c>
      <x:c r="F1213" s="115" t="str">
        <x:v>Inspection physique</x:v>
      </x:c>
      <x:c r="G1213" s="115" t="str">
        <x:v>1 niveaux ; 26 pièces ; 198 segments de mur ; 0 transitions. Inspection physique ; architecture complète encore ouverte.</x:v>
      </x:c>
      <x:c r="H1213" s="115" t="str">
        <x:v>L 260 ; l 224 ; hauteur 10,2 m ; choix de composition auteur ; dimensions réelles à documenter</x:v>
      </x:c>
      <x:c r="I1213" s="115" t="str">
        <x:v>À équilibrer</x:v>
      </x:c>
      <x:c r="J1213" s="115" t="str">
        <x:v>Non</x:v>
      </x:c>
      <x:c r="K1213" s="115" t="str">
        <x:v>Pièces décrites, murs, portes, niveaux et mobilier inspectables à l’échelle. Volumes réservés, raccord au seed, butin, rencontres et services de campagne restent à terminer.</x:v>
      </x:c>
    </x:row>
    <x:row r="1214" ht="96" customHeight="1">
      <x:c r="A1214" s="115" t="str">
        <x:v>EXT-MONDE-T025-V09</x:v>
      </x:c>
      <x:c r="B1214" s="115" t="str">
        <x:v>EXT-MONDE-T025</x:v>
      </x:c>
      <x:c r="C1214" s="115" t="str">
        <x:v>Fermes cultures</x:v>
      </x:c>
      <x:c r="D1214" s="115" t="str">
        <x:v>Exploitation céréalière</x:v>
      </x:c>
      <x:c r="E1214" s="115" t="n">
        <x:v>9</x:v>
      </x:c>
      <x:c r="F1214" s="115" t="str">
        <x:v>Inspection physique</x:v>
      </x:c>
      <x:c r="G1214" s="115" t="str">
        <x:v>1 niveaux ; 26 pièces ; 198 segments de mur ; 0 transitions. Inspection physique ; architecture complète encore ouverte.</x:v>
      </x:c>
      <x:c r="H1214" s="115" t="str">
        <x:v>L 260 ; l 224 ; hauteur 10,2 m ; choix de composition auteur ; dimensions réelles à documenter</x:v>
      </x:c>
      <x:c r="I1214" s="115" t="str">
        <x:v>À équilibrer</x:v>
      </x:c>
      <x:c r="J1214" s="115" t="str">
        <x:v>Non</x:v>
      </x:c>
      <x:c r="K1214" s="115" t="str">
        <x:v>Pièces décrites, murs, portes, niveaux et mobilier inspectables à l’échelle. Volumes réservés, raccord au seed, butin, rencontres et services de campagne restent à terminer.</x:v>
      </x:c>
    </x:row>
    <x:row r="1215" ht="96" customHeight="1">
      <x:c r="A1215" s="115" t="str">
        <x:v>EXT-MONDE-T025-V10</x:v>
      </x:c>
      <x:c r="B1215" s="115" t="str">
        <x:v>EXT-MONDE-T025</x:v>
      </x:c>
      <x:c r="C1215" s="115" t="str">
        <x:v>Fermes cultures</x:v>
      </x:c>
      <x:c r="D1215" s="115" t="str">
        <x:v>Exploitation céréalière</x:v>
      </x:c>
      <x:c r="E1215" s="115" t="n">
        <x:v>10</x:v>
      </x:c>
      <x:c r="F1215" s="115" t="str">
        <x:v>Inspection physique</x:v>
      </x:c>
      <x:c r="G1215" s="115" t="str">
        <x:v>1 niveaux ; 26 pièces ; 198 segments de mur ; 0 transitions. Inspection physique ; architecture complète encore ouverte.</x:v>
      </x:c>
      <x:c r="H1215" s="115" t="str">
        <x:v>L 260 ; l 224 ; hauteur 10,2 m ; choix de composition auteur ; dimensions réelles à documenter</x:v>
      </x:c>
      <x:c r="I1215" s="115" t="str">
        <x:v>À équilibrer</x:v>
      </x:c>
      <x:c r="J1215" s="115" t="str">
        <x:v>Non</x:v>
      </x:c>
      <x:c r="K1215" s="115" t="str">
        <x:v>Pièces décrites, murs, portes, niveaux et mobilier inspectables à l’échelle. Volumes réservés, raccord au seed, butin, rencontres et services de campagne restent à terminer.</x:v>
      </x:c>
    </x:row>
    <x:row r="1216" ht="96" customHeight="1">
      <x:c r="A1216" s="115" t="str">
        <x:v>EXT-MONDE-T025-V11</x:v>
      </x:c>
      <x:c r="B1216" s="115" t="str">
        <x:v>EXT-MONDE-T025</x:v>
      </x:c>
      <x:c r="C1216" s="115" t="str">
        <x:v>Fermes cultures</x:v>
      </x:c>
      <x:c r="D1216" s="115" t="str">
        <x:v>Exploitation céréalière</x:v>
      </x:c>
      <x:c r="E1216" s="115" t="n">
        <x:v>11</x:v>
      </x:c>
      <x:c r="F1216" s="115" t="str">
        <x:v>Inspection physique</x:v>
      </x:c>
      <x:c r="G1216" s="115" t="str">
        <x:v>1 niveaux ; 26 pièces ; 198 segments de mur ; 0 transitions. Inspection physique ; architecture complète encore ouverte.</x:v>
      </x:c>
      <x:c r="H1216" s="115" t="str">
        <x:v>L 280 ; l 248 ; hauteur 10,2 m ; choix de composition auteur ; dimensions réelles à documenter</x:v>
      </x:c>
      <x:c r="I1216" s="115" t="str">
        <x:v>À équilibrer</x:v>
      </x:c>
      <x:c r="J1216" s="115" t="str">
        <x:v>Non</x:v>
      </x:c>
      <x:c r="K1216" s="115" t="str">
        <x:v>Pièces décrites, murs, portes, niveaux et mobilier inspectables à l’échelle. Volumes réservés, raccord au seed, butin, rencontres et services de campagne restent à terminer.</x:v>
      </x:c>
    </x:row>
    <x:row r="1217" ht="96" customHeight="1">
      <x:c r="A1217" s="115" t="str">
        <x:v>EXT-MONDE-T025-V12</x:v>
      </x:c>
      <x:c r="B1217" s="115" t="str">
        <x:v>EXT-MONDE-T025</x:v>
      </x:c>
      <x:c r="C1217" s="115" t="str">
        <x:v>Fermes cultures</x:v>
      </x:c>
      <x:c r="D1217" s="115" t="str">
        <x:v>Exploitation céréalière</x:v>
      </x:c>
      <x:c r="E1217" s="115" t="n">
        <x:v>12</x:v>
      </x:c>
      <x:c r="F1217" s="115" t="str">
        <x:v>Inspection physique</x:v>
      </x:c>
      <x:c r="G1217" s="115" t="str">
        <x:v>1 niveaux ; 26 pièces ; 198 segments de mur ; 0 transitions. Inspection physique ; architecture complète encore ouverte.</x:v>
      </x:c>
      <x:c r="H1217" s="115" t="str">
        <x:v>L 280 ; l 248 ; hauteur 10,2 m ; choix de composition auteur ; dimensions réelles à documenter</x:v>
      </x:c>
      <x:c r="I1217" s="115" t="str">
        <x:v>À équilibrer</x:v>
      </x:c>
      <x:c r="J1217" s="115" t="str">
        <x:v>Non</x:v>
      </x:c>
      <x:c r="K1217" s="115" t="str">
        <x:v>Pièces décrites, murs, portes, niveaux et mobilier inspectables à l’échelle. Volumes réservés, raccord au seed, butin, rencontres et services de campagne restent à terminer.</x:v>
      </x:c>
    </x:row>
    <x:row r="1218" ht="96" customHeight="1">
      <x:c r="A1218" s="115" t="str">
        <x:v>EXT-MONDE-T025-V13</x:v>
      </x:c>
      <x:c r="B1218" s="115" t="str">
        <x:v>EXT-MONDE-T025</x:v>
      </x:c>
      <x:c r="C1218" s="115" t="str">
        <x:v>Fermes cultures</x:v>
      </x:c>
      <x:c r="D1218" s="115" t="str">
        <x:v>Exploitation céréalière</x:v>
      </x:c>
      <x:c r="E1218" s="115" t="n">
        <x:v>13</x:v>
      </x:c>
      <x:c r="F1218" s="115" t="str">
        <x:v>Inspection physique</x:v>
      </x:c>
      <x:c r="G1218" s="115" t="str">
        <x:v>1 niveaux ; 26 pièces ; 198 segments de mur ; 0 transitions. Inspection physique ; architecture complète encore ouverte.</x:v>
      </x:c>
      <x:c r="H1218" s="115" t="str">
        <x:v>L 280 ; l 248 ; hauteur 10,2 m ; choix de composition auteur ; dimensions réelles à documenter</x:v>
      </x:c>
      <x:c r="I1218" s="115" t="str">
        <x:v>À équilibrer</x:v>
      </x:c>
      <x:c r="J1218" s="115" t="str">
        <x:v>Non</x:v>
      </x:c>
      <x:c r="K1218" s="115" t="str">
        <x:v>Pièces décrites, murs, portes, niveaux et mobilier inspectables à l’échelle. Volumes réservés, raccord au seed, butin, rencontres et services de campagne restent à terminer.</x:v>
      </x:c>
    </x:row>
    <x:row r="1219" ht="96" customHeight="1">
      <x:c r="A1219" s="115" t="str">
        <x:v>EXT-MONDE-T025-V14</x:v>
      </x:c>
      <x:c r="B1219" s="115" t="str">
        <x:v>EXT-MONDE-T025</x:v>
      </x:c>
      <x:c r="C1219" s="115" t="str">
        <x:v>Fermes cultures</x:v>
      </x:c>
      <x:c r="D1219" s="115" t="str">
        <x:v>Exploitation céréalière</x:v>
      </x:c>
      <x:c r="E1219" s="115" t="n">
        <x:v>14</x:v>
      </x:c>
      <x:c r="F1219" s="115" t="str">
        <x:v>Inspection physique</x:v>
      </x:c>
      <x:c r="G1219" s="115" t="str">
        <x:v>1 niveaux ; 26 pièces ; 198 segments de mur ; 0 transitions. Inspection physique ; architecture complète encore ouverte.</x:v>
      </x:c>
      <x:c r="H1219" s="115" t="str">
        <x:v>L 280 ; l 248 ; hauteur 10,2 m ; choix de composition auteur ; dimensions réelles à documenter</x:v>
      </x:c>
      <x:c r="I1219" s="115" t="str">
        <x:v>À équilibrer</x:v>
      </x:c>
      <x:c r="J1219" s="115" t="str">
        <x:v>Non</x:v>
      </x:c>
      <x:c r="K1219" s="115" t="str">
        <x:v>Pièces décrites, murs, portes, niveaux et mobilier inspectables à l’échelle. Volumes réservés, raccord au seed, butin, rencontres et services de campagne restent à terminer.</x:v>
      </x:c>
    </x:row>
    <x:row r="1220" ht="96" customHeight="1">
      <x:c r="A1220" s="115" t="str">
        <x:v>EXT-MONDE-T025-V15</x:v>
      </x:c>
      <x:c r="B1220" s="115" t="str">
        <x:v>EXT-MONDE-T025</x:v>
      </x:c>
      <x:c r="C1220" s="115" t="str">
        <x:v>Fermes cultures</x:v>
      </x:c>
      <x:c r="D1220" s="115" t="str">
        <x:v>Exploitation céréalière</x:v>
      </x:c>
      <x:c r="E1220" s="115" t="n">
        <x:v>15</x:v>
      </x:c>
      <x:c r="F1220" s="115" t="str">
        <x:v>Inspection physique</x:v>
      </x:c>
      <x:c r="G1220" s="115" t="str">
        <x:v>1 niveaux ; 26 pièces ; 198 segments de mur ; 0 transitions. Inspection physique ; architecture complète encore ouverte.</x:v>
      </x:c>
      <x:c r="H1220" s="115" t="str">
        <x:v>L 280 ; l 248 ; hauteur 10,2 m ; choix de composition auteur ; dimensions réelles à documenter</x:v>
      </x:c>
      <x:c r="I1220" s="115" t="str">
        <x:v>À équilibrer</x:v>
      </x:c>
      <x:c r="J1220" s="115" t="str">
        <x:v>Non</x:v>
      </x:c>
      <x:c r="K1220" s="115" t="str">
        <x:v>Pièces décrites, murs, portes, niveaux et mobilier inspectables à l’échelle. Volumes réservés, raccord au seed, butin, rencontres et services de campagne restent à terminer.</x:v>
      </x:c>
    </x:row>
    <x:row r="1221" ht="96" customHeight="1">
      <x:c r="A1221" s="115" t="str">
        <x:v>EXT-MONDE-T025-V16</x:v>
      </x:c>
      <x:c r="B1221" s="115" t="str">
        <x:v>EXT-MONDE-T025</x:v>
      </x:c>
      <x:c r="C1221" s="115" t="str">
        <x:v>Fermes cultures</x:v>
      </x:c>
      <x:c r="D1221" s="115" t="str">
        <x:v>Exploitation céréalière</x:v>
      </x:c>
      <x:c r="E1221" s="115" t="n">
        <x:v>16</x:v>
      </x:c>
      <x:c r="F1221" s="115" t="str">
        <x:v>Inspection physique</x:v>
      </x:c>
      <x:c r="G1221" s="115" t="str">
        <x:v>1 niveaux ; 26 pièces ; 198 segments de mur ; 0 transitions. Inspection physique ; architecture complète encore ouverte.</x:v>
      </x:c>
      <x:c r="H1221" s="115" t="str">
        <x:v>L 280 ; l 248 ; hauteur 10,2 m ; choix de composition auteur ; dimensions réelles à documenter</x:v>
      </x:c>
      <x:c r="I1221" s="115" t="str">
        <x:v>À équilibrer</x:v>
      </x:c>
      <x:c r="J1221" s="115" t="str">
        <x:v>Non</x:v>
      </x:c>
      <x:c r="K1221" s="115" t="str">
        <x:v>Pièces décrites, murs, portes, niveaux et mobilier inspectables à l’échelle. Volumes réservés, raccord au seed, butin, rencontres et services de campagne restent à terminer.</x:v>
      </x:c>
    </x:row>
    <x:row r="1222" ht="96" customHeight="1">
      <x:c r="A1222" s="115" t="str">
        <x:v>EXT-MONDE-T025-V17</x:v>
      </x:c>
      <x:c r="B1222" s="115" t="str">
        <x:v>EXT-MONDE-T025</x:v>
      </x:c>
      <x:c r="C1222" s="115" t="str">
        <x:v>Fermes cultures</x:v>
      </x:c>
      <x:c r="D1222" s="115" t="str">
        <x:v>Exploitation céréalière</x:v>
      </x:c>
      <x:c r="E1222" s="115" t="n">
        <x:v>17</x:v>
      </x:c>
      <x:c r="F1222" s="115" t="str">
        <x:v>Inspection physique</x:v>
      </x:c>
      <x:c r="G1222" s="115" t="str">
        <x:v>1 niveaux ; 26 pièces ; 198 segments de mur ; 0 transitions. Inspection physique ; architecture complète encore ouverte.</x:v>
      </x:c>
      <x:c r="H1222" s="115" t="str">
        <x:v>L 280 ; l 248 ; hauteur 10,2 m ; choix de composition auteur ; dimensions réelles à documenter</x:v>
      </x:c>
      <x:c r="I1222" s="115" t="str">
        <x:v>À équilibrer</x:v>
      </x:c>
      <x:c r="J1222" s="115" t="str">
        <x:v>Non</x:v>
      </x:c>
      <x:c r="K1222" s="115" t="str">
        <x:v>Pièces décrites, murs, portes, niveaux et mobilier inspectables à l’échelle. Volumes réservés, raccord au seed, butin, rencontres et services de campagne restent à terminer.</x:v>
      </x:c>
    </x:row>
    <x:row r="1223" ht="96" customHeight="1">
      <x:c r="A1223" s="115" t="str">
        <x:v>EXT-MONDE-T025-V18</x:v>
      </x:c>
      <x:c r="B1223" s="115" t="str">
        <x:v>EXT-MONDE-T025</x:v>
      </x:c>
      <x:c r="C1223" s="115" t="str">
        <x:v>Fermes cultures</x:v>
      </x:c>
      <x:c r="D1223" s="115" t="str">
        <x:v>Exploitation céréalière</x:v>
      </x:c>
      <x:c r="E1223" s="115" t="n">
        <x:v>18</x:v>
      </x:c>
      <x:c r="F1223" s="115" t="str">
        <x:v>Inspection physique</x:v>
      </x:c>
      <x:c r="G1223" s="115" t="str">
        <x:v>1 niveaux ; 26 pièces ; 198 segments de mur ; 0 transitions. Inspection physique ; architecture complète encore ouverte.</x:v>
      </x:c>
      <x:c r="H1223" s="115" t="str">
        <x:v>L 280 ; l 248 ; hauteur 10,2 m ; choix de composition auteur ; dimensions réelles à documenter</x:v>
      </x:c>
      <x:c r="I1223" s="115" t="str">
        <x:v>À équilibrer</x:v>
      </x:c>
      <x:c r="J1223" s="115" t="str">
        <x:v>Non</x:v>
      </x:c>
      <x:c r="K1223" s="115" t="str">
        <x:v>Pièces décrites, murs, portes, niveaux et mobilier inspectables à l’échelle. Volumes réservés, raccord au seed, butin, rencontres et services de campagne restent à terminer.</x:v>
      </x:c>
    </x:row>
    <x:row r="1224" ht="96" customHeight="1">
      <x:c r="A1224" s="115" t="str">
        <x:v>EXT-MONDE-T025-V19</x:v>
      </x:c>
      <x:c r="B1224" s="115" t="str">
        <x:v>EXT-MONDE-T025</x:v>
      </x:c>
      <x:c r="C1224" s="115" t="str">
        <x:v>Fermes cultures</x:v>
      </x:c>
      <x:c r="D1224" s="115" t="str">
        <x:v>Exploitation céréalière</x:v>
      </x:c>
      <x:c r="E1224" s="115" t="n">
        <x:v>19</x:v>
      </x:c>
      <x:c r="F1224" s="115" t="str">
        <x:v>Inspection physique</x:v>
      </x:c>
      <x:c r="G1224" s="115" t="str">
        <x:v>1 niveaux ; 26 pièces ; 198 segments de mur ; 0 transitions. Inspection physique ; architecture complète encore ouverte.</x:v>
      </x:c>
      <x:c r="H1224" s="115" t="str">
        <x:v>L 280 ; l 248 ; hauteur 10,2 m ; choix de composition auteur ; dimensions réelles à documenter</x:v>
      </x:c>
      <x:c r="I1224" s="115" t="str">
        <x:v>À équilibrer</x:v>
      </x:c>
      <x:c r="J1224" s="115" t="str">
        <x:v>Non</x:v>
      </x:c>
      <x:c r="K1224" s="115" t="str">
        <x:v>Pièces décrites, murs, portes, niveaux et mobilier inspectables à l’échelle. Volumes réservés, raccord au seed, butin, rencontres et services de campagne restent à terminer.</x:v>
      </x:c>
    </x:row>
    <x:row r="1225" ht="96" customHeight="1">
      <x:c r="A1225" s="115" t="str">
        <x:v>EXT-MONDE-T025-V20</x:v>
      </x:c>
      <x:c r="B1225" s="115" t="str">
        <x:v>EXT-MONDE-T025</x:v>
      </x:c>
      <x:c r="C1225" s="115" t="str">
        <x:v>Fermes cultures</x:v>
      </x:c>
      <x:c r="D1225" s="115" t="str">
        <x:v>Exploitation céréalière</x:v>
      </x:c>
      <x:c r="E1225" s="115" t="n">
        <x:v>20</x:v>
      </x:c>
      <x:c r="F1225" s="115" t="str">
        <x:v>Inspection physique</x:v>
      </x:c>
      <x:c r="G1225" s="115" t="str">
        <x:v>1 niveaux ; 26 pièces ; 198 segments de mur ; 0 transitions. Inspection physique ; architecture complète encore ouverte.</x:v>
      </x:c>
      <x:c r="H1225" s="115" t="str">
        <x:v>L 280 ; l 248 ; hauteur 10,2 m ; choix de composition auteur ; dimensions réelles à documenter</x:v>
      </x:c>
      <x:c r="I1225" s="115" t="str">
        <x:v>À équilibrer</x:v>
      </x:c>
      <x:c r="J1225" s="115" t="str">
        <x:v>Non</x:v>
      </x:c>
      <x:c r="K1225" s="115" t="str">
        <x:v>Pièces décrites, murs, portes, niveaux et mobilier inspectables à l’échelle. Volumes réservés, raccord au seed, butin, rencontres et services de campagne restent à terminer.</x:v>
      </x:c>
    </x:row>
    <x:row r="1226" ht="96" customHeight="1">
      <x:c r="A1226" s="115" t="str">
        <x:v>EXT-MONDE-T025-V21</x:v>
      </x:c>
      <x:c r="B1226" s="115" t="str">
        <x:v>EXT-MONDE-T025</x:v>
      </x:c>
      <x:c r="C1226" s="115" t="str">
        <x:v>Fermes cultures</x:v>
      </x:c>
      <x:c r="D1226" s="115" t="str">
        <x:v>Exploitation céréalière</x:v>
      </x:c>
      <x:c r="E1226" s="115" t="n">
        <x:v>21</x:v>
      </x:c>
      <x:c r="F1226" s="115" t="str">
        <x:v>Inspection physique</x:v>
      </x:c>
      <x:c r="G1226" s="115" t="str">
        <x:v>1 niveaux ; 26 pièces ; 198 segments de mur ; 0 transitions. Inspection physique ; architecture complète encore ouverte.</x:v>
      </x:c>
      <x:c r="H1226" s="115" t="str">
        <x:v>L 300 ; l 272 ; hauteur 10,2 m ; choix de composition auteur ; dimensions réelles à documenter</x:v>
      </x:c>
      <x:c r="I1226" s="115" t="str">
        <x:v>À équilibrer</x:v>
      </x:c>
      <x:c r="J1226" s="115" t="str">
        <x:v>Non</x:v>
      </x:c>
      <x:c r="K1226" s="115" t="str">
        <x:v>Pièces décrites, murs, portes, niveaux et mobilier inspectables à l’échelle. Volumes réservés, raccord au seed, butin, rencontres et services de campagne restent à terminer.</x:v>
      </x:c>
    </x:row>
    <x:row r="1227" ht="96" customHeight="1">
      <x:c r="A1227" s="115" t="str">
        <x:v>EXT-MONDE-T025-V22</x:v>
      </x:c>
      <x:c r="B1227" s="115" t="str">
        <x:v>EXT-MONDE-T025</x:v>
      </x:c>
      <x:c r="C1227" s="115" t="str">
        <x:v>Fermes cultures</x:v>
      </x:c>
      <x:c r="D1227" s="115" t="str">
        <x:v>Exploitation céréalière</x:v>
      </x:c>
      <x:c r="E1227" s="115" t="n">
        <x:v>22</x:v>
      </x:c>
      <x:c r="F1227" s="115" t="str">
        <x:v>Inspection physique</x:v>
      </x:c>
      <x:c r="G1227" s="115" t="str">
        <x:v>1 niveaux ; 26 pièces ; 198 segments de mur ; 0 transitions. Inspection physique ; architecture complète encore ouverte.</x:v>
      </x:c>
      <x:c r="H1227" s="115" t="str">
        <x:v>L 300 ; l 272 ; hauteur 10,2 m ; choix de composition auteur ; dimensions réelles à documenter</x:v>
      </x:c>
      <x:c r="I1227" s="115" t="str">
        <x:v>À équilibrer</x:v>
      </x:c>
      <x:c r="J1227" s="115" t="str">
        <x:v>Non</x:v>
      </x:c>
      <x:c r="K1227" s="115" t="str">
        <x:v>Pièces décrites, murs, portes, niveaux et mobilier inspectables à l’échelle. Volumes réservés, raccord au seed, butin, rencontres et services de campagne restent à terminer.</x:v>
      </x:c>
    </x:row>
    <x:row r="1228" ht="96" customHeight="1">
      <x:c r="A1228" s="115" t="str">
        <x:v>EXT-MONDE-T025-V23</x:v>
      </x:c>
      <x:c r="B1228" s="115" t="str">
        <x:v>EXT-MONDE-T025</x:v>
      </x:c>
      <x:c r="C1228" s="115" t="str">
        <x:v>Fermes cultures</x:v>
      </x:c>
      <x:c r="D1228" s="115" t="str">
        <x:v>Exploitation céréalière</x:v>
      </x:c>
      <x:c r="E1228" s="115" t="n">
        <x:v>23</x:v>
      </x:c>
      <x:c r="F1228" s="115" t="str">
        <x:v>Inspection physique</x:v>
      </x:c>
      <x:c r="G1228" s="115" t="str">
        <x:v>1 niveaux ; 26 pièces ; 198 segments de mur ; 0 transitions. Inspection physique ; architecture complète encore ouverte.</x:v>
      </x:c>
      <x:c r="H1228" s="115" t="str">
        <x:v>L 300 ; l 272 ; hauteur 10,2 m ; choix de composition auteur ; dimensions réelles à documenter</x:v>
      </x:c>
      <x:c r="I1228" s="115" t="str">
        <x:v>À équilibrer</x:v>
      </x:c>
      <x:c r="J1228" s="115" t="str">
        <x:v>Non</x:v>
      </x:c>
      <x:c r="K1228" s="115" t="str">
        <x:v>Pièces décrites, murs, portes, niveaux et mobilier inspectables à l’échelle. Volumes réservés, raccord au seed, butin, rencontres et services de campagne restent à terminer.</x:v>
      </x:c>
    </x:row>
    <x:row r="1229" ht="96" customHeight="1">
      <x:c r="A1229" s="115" t="str">
        <x:v>EXT-MONDE-T025-V24</x:v>
      </x:c>
      <x:c r="B1229" s="115" t="str">
        <x:v>EXT-MONDE-T025</x:v>
      </x:c>
      <x:c r="C1229" s="115" t="str">
        <x:v>Fermes cultures</x:v>
      </x:c>
      <x:c r="D1229" s="115" t="str">
        <x:v>Exploitation céréalière</x:v>
      </x:c>
      <x:c r="E1229" s="115" t="n">
        <x:v>24</x:v>
      </x:c>
      <x:c r="F1229" s="115" t="str">
        <x:v>Inspection physique</x:v>
      </x:c>
      <x:c r="G1229" s="115" t="str">
        <x:v>1 niveaux ; 26 pièces ; 198 segments de mur ; 0 transitions. Inspection physique ; architecture complète encore ouverte.</x:v>
      </x:c>
      <x:c r="H1229" s="115" t="str">
        <x:v>L 300 ; l 272 ; hauteur 10,2 m ; choix de composition auteur ; dimensions réelles à documenter</x:v>
      </x:c>
      <x:c r="I1229" s="115" t="str">
        <x:v>À équilibrer</x:v>
      </x:c>
      <x:c r="J1229" s="115" t="str">
        <x:v>Non</x:v>
      </x:c>
      <x:c r="K1229" s="115" t="str">
        <x:v>Pièces décrites, murs, portes, niveaux et mobilier inspectables à l’échelle. Volumes réservés, raccord au seed, butin, rencontres et services de campagne restent à terminer.</x:v>
      </x:c>
    </x:row>
    <x:row r="1230" ht="96" customHeight="1">
      <x:c r="A1230" s="115" t="str">
        <x:v>EXT-MONDE-T025-V25</x:v>
      </x:c>
      <x:c r="B1230" s="115" t="str">
        <x:v>EXT-MONDE-T025</x:v>
      </x:c>
      <x:c r="C1230" s="115" t="str">
        <x:v>Fermes cultures</x:v>
      </x:c>
      <x:c r="D1230" s="115" t="str">
        <x:v>Exploitation céréalière</x:v>
      </x:c>
      <x:c r="E1230" s="115" t="n">
        <x:v>25</x:v>
      </x:c>
      <x:c r="F1230" s="115" t="str">
        <x:v>Inspection physique</x:v>
      </x:c>
      <x:c r="G1230" s="115" t="str">
        <x:v>1 niveaux ; 26 pièces ; 198 segments de mur ; 0 transitions. Inspection physique ; architecture complète encore ouverte.</x:v>
      </x:c>
      <x:c r="H1230" s="115" t="str">
        <x:v>L 300 ; l 272 ; hauteur 10,2 m ; choix de composition auteur ; dimensions réelles à documenter</x:v>
      </x:c>
      <x:c r="I1230" s="115" t="str">
        <x:v>À équilibrer</x:v>
      </x:c>
      <x:c r="J1230" s="115" t="str">
        <x:v>Non</x:v>
      </x:c>
      <x:c r="K1230" s="115" t="str">
        <x:v>Pièces décrites, murs, portes, niveaux et mobilier inspectables à l’échelle. Volumes réservés, raccord au seed, butin, rencontres et services de campagne restent à terminer.</x:v>
      </x:c>
    </x:row>
    <x:row r="1231" ht="96" customHeight="1">
      <x:c r="A1231" s="115" t="str">
        <x:v>EXT-MONDE-T025-V26</x:v>
      </x:c>
      <x:c r="B1231" s="115" t="str">
        <x:v>EXT-MONDE-T025</x:v>
      </x:c>
      <x:c r="C1231" s="115" t="str">
        <x:v>Fermes cultures</x:v>
      </x:c>
      <x:c r="D1231" s="115" t="str">
        <x:v>Exploitation céréalière</x:v>
      </x:c>
      <x:c r="E1231" s="115" t="n">
        <x:v>26</x:v>
      </x:c>
      <x:c r="F1231" s="115" t="str">
        <x:v>Inspection physique</x:v>
      </x:c>
      <x:c r="G1231" s="115" t="str">
        <x:v>1 niveaux ; 26 pièces ; 198 segments de mur ; 0 transitions. Inspection physique ; architecture complète encore ouverte.</x:v>
      </x:c>
      <x:c r="H1231" s="115" t="str">
        <x:v>L 300 ; l 272 ; hauteur 10,2 m ; choix de composition auteur ; dimensions réelles à documenter</x:v>
      </x:c>
      <x:c r="I1231" s="115" t="str">
        <x:v>À équilibrer</x:v>
      </x:c>
      <x:c r="J1231" s="115" t="str">
        <x:v>Non</x:v>
      </x:c>
      <x:c r="K1231" s="115" t="str">
        <x:v>Pièces décrites, murs, portes, niveaux et mobilier inspectables à l’échelle. Volumes réservés, raccord au seed, butin, rencontres et services de campagne restent à terminer.</x:v>
      </x:c>
    </x:row>
    <x:row r="1232" ht="96" customHeight="1">
      <x:c r="A1232" s="115" t="str">
        <x:v>EXT-MONDE-T025-V27</x:v>
      </x:c>
      <x:c r="B1232" s="115" t="str">
        <x:v>EXT-MONDE-T025</x:v>
      </x:c>
      <x:c r="C1232" s="115" t="str">
        <x:v>Fermes cultures</x:v>
      </x:c>
      <x:c r="D1232" s="115" t="str">
        <x:v>Exploitation céréalière</x:v>
      </x:c>
      <x:c r="E1232" s="115" t="n">
        <x:v>27</x:v>
      </x:c>
      <x:c r="F1232" s="115" t="str">
        <x:v>Inspection physique</x:v>
      </x:c>
      <x:c r="G1232" s="115" t="str">
        <x:v>1 niveaux ; 26 pièces ; 198 segments de mur ; 0 transitions. Inspection physique ; architecture complète encore ouverte.</x:v>
      </x:c>
      <x:c r="H1232" s="115" t="str">
        <x:v>L 300 ; l 272 ; hauteur 10,2 m ; choix de composition auteur ; dimensions réelles à documenter</x:v>
      </x:c>
      <x:c r="I1232" s="115" t="str">
        <x:v>À équilibrer</x:v>
      </x:c>
      <x:c r="J1232" s="115" t="str">
        <x:v>Non</x:v>
      </x:c>
      <x:c r="K1232" s="115" t="str">
        <x:v>Pièces décrites, murs, portes, niveaux et mobilier inspectables à l’échelle. Volumes réservés, raccord au seed, butin, rencontres et services de campagne restent à terminer.</x:v>
      </x:c>
    </x:row>
    <x:row r="1233" ht="96" customHeight="1">
      <x:c r="A1233" s="115" t="str">
        <x:v>EXT-MONDE-T025-V28</x:v>
      </x:c>
      <x:c r="B1233" s="115" t="str">
        <x:v>EXT-MONDE-T025</x:v>
      </x:c>
      <x:c r="C1233" s="115" t="str">
        <x:v>Fermes cultures</x:v>
      </x:c>
      <x:c r="D1233" s="115" t="str">
        <x:v>Exploitation céréalière</x:v>
      </x:c>
      <x:c r="E1233" s="115" t="n">
        <x:v>28</x:v>
      </x:c>
      <x:c r="F1233" s="115" t="str">
        <x:v>Inspection physique</x:v>
      </x:c>
      <x:c r="G1233" s="115" t="str">
        <x:v>1 niveaux ; 26 pièces ; 198 segments de mur ; 0 transitions. Inspection physique ; architecture complète encore ouverte.</x:v>
      </x:c>
      <x:c r="H1233" s="115" t="str">
        <x:v>L 300 ; l 272 ; hauteur 10,2 m ; choix de composition auteur ; dimensions réelles à documenter</x:v>
      </x:c>
      <x:c r="I1233" s="115" t="str">
        <x:v>À équilibrer</x:v>
      </x:c>
      <x:c r="J1233" s="115" t="str">
        <x:v>Non</x:v>
      </x:c>
      <x:c r="K1233" s="115" t="str">
        <x:v>Pièces décrites, murs, portes, niveaux et mobilier inspectables à l’échelle. Volumes réservés, raccord au seed, butin, rencontres et services de campagne restent à terminer.</x:v>
      </x:c>
    </x:row>
    <x:row r="1234" ht="96" customHeight="1">
      <x:c r="A1234" s="115" t="str">
        <x:v>EXT-MONDE-T025-V29</x:v>
      </x:c>
      <x:c r="B1234" s="115" t="str">
        <x:v>EXT-MONDE-T025</x:v>
      </x:c>
      <x:c r="C1234" s="115" t="str">
        <x:v>Fermes cultures</x:v>
      </x:c>
      <x:c r="D1234" s="115" t="str">
        <x:v>Exploitation céréalière</x:v>
      </x:c>
      <x:c r="E1234" s="115" t="n">
        <x:v>29</x:v>
      </x:c>
      <x:c r="F1234" s="115" t="str">
        <x:v>Inspection physique</x:v>
      </x:c>
      <x:c r="G1234" s="115" t="str">
        <x:v>1 niveaux ; 26 pièces ; 198 segments de mur ; 0 transitions. Inspection physique ; architecture complète encore ouverte.</x:v>
      </x:c>
      <x:c r="H1234" s="115" t="str">
        <x:v>L 300 ; l 272 ; hauteur 10,2 m ; choix de composition auteur ; dimensions réelles à documenter</x:v>
      </x:c>
      <x:c r="I1234" s="115" t="str">
        <x:v>À équilibrer</x:v>
      </x:c>
      <x:c r="J1234" s="115" t="str">
        <x:v>Non</x:v>
      </x:c>
      <x:c r="K1234" s="115" t="str">
        <x:v>Pièces décrites, murs, portes, niveaux et mobilier inspectables à l’échelle. Volumes réservés, raccord au seed, butin, rencontres et services de campagne restent à terminer.</x:v>
      </x:c>
    </x:row>
    <x:row r="1235" ht="96" customHeight="1">
      <x:c r="A1235" s="115" t="str">
        <x:v>EXT-MONDE-T025-V30</x:v>
      </x:c>
      <x:c r="B1235" s="115" t="str">
        <x:v>EXT-MONDE-T025</x:v>
      </x:c>
      <x:c r="C1235" s="115" t="str">
        <x:v>Fermes cultures</x:v>
      </x:c>
      <x:c r="D1235" s="115" t="str">
        <x:v>Exploitation céréalière</x:v>
      </x:c>
      <x:c r="E1235" s="115" t="n">
        <x:v>30</x:v>
      </x:c>
      <x:c r="F1235" s="115" t="str">
        <x:v>Inspection physique</x:v>
      </x:c>
      <x:c r="G1235" s="115" t="str">
        <x:v>1 niveaux ; 26 pièces ; 198 segments de mur ; 0 transitions. Inspection physique ; architecture complète encore ouverte.</x:v>
      </x:c>
      <x:c r="H1235" s="115" t="str">
        <x:v>L 300 ; l 272 ; hauteur 10,2 m ; choix de composition auteur ; dimensions réelles à documenter</x:v>
      </x:c>
      <x:c r="I1235" s="115" t="str">
        <x:v>À équilibrer</x:v>
      </x:c>
      <x:c r="J1235" s="115" t="str">
        <x:v>Non</x:v>
      </x:c>
      <x:c r="K1235" s="115" t="str">
        <x:v>Pièces décrites, murs, portes, niveaux et mobilier inspectables à l’échelle. Volumes réservés, raccord au seed, butin, rencontres et services de campagne restent à terminer.</x:v>
      </x:c>
    </x:row>
    <x:row r="1236" ht="96" customHeight="1">
      <x:c r="A1236" s="115" t="str">
        <x:v>EXT-MONDE-T025-V31</x:v>
      </x:c>
      <x:c r="B1236" s="115" t="str">
        <x:v>EXT-MONDE-T025</x:v>
      </x:c>
      <x:c r="C1236" s="115" t="str">
        <x:v>Fermes cultures</x:v>
      </x:c>
      <x:c r="D1236" s="115" t="str">
        <x:v>Exploitation céréalière</x:v>
      </x:c>
      <x:c r="E1236" s="115" t="n">
        <x:v>31</x:v>
      </x:c>
      <x:c r="F1236" s="115" t="str">
        <x:v>Inspection physique</x:v>
      </x:c>
      <x:c r="G1236" s="115" t="str">
        <x:v>1 niveaux ; 26 pièces ; 198 segments de mur ; 0 transitions. Inspection physique ; architecture complète encore ouverte.</x:v>
      </x:c>
      <x:c r="H1236" s="115" t="str">
        <x:v>L 320 ; l 296 ; hauteur 10,2 m ; choix de composition auteur ; dimensions réelles à documenter</x:v>
      </x:c>
      <x:c r="I1236" s="115" t="str">
        <x:v>À équilibrer</x:v>
      </x:c>
      <x:c r="J1236" s="115" t="str">
        <x:v>Non</x:v>
      </x:c>
      <x:c r="K1236" s="115" t="str">
        <x:v>Pièces décrites, murs, portes, niveaux et mobilier inspectables à l’échelle. Volumes réservés, raccord au seed, butin, rencontres et services de campagne restent à terminer.</x:v>
      </x:c>
    </x:row>
    <x:row r="1237" ht="96" customHeight="1">
      <x:c r="A1237" s="115" t="str">
        <x:v>EXT-MONDE-T025-V32</x:v>
      </x:c>
      <x:c r="B1237" s="115" t="str">
        <x:v>EXT-MONDE-T025</x:v>
      </x:c>
      <x:c r="C1237" s="115" t="str">
        <x:v>Fermes cultures</x:v>
      </x:c>
      <x:c r="D1237" s="115" t="str">
        <x:v>Exploitation céréalière</x:v>
      </x:c>
      <x:c r="E1237" s="115" t="n">
        <x:v>32</x:v>
      </x:c>
      <x:c r="F1237" s="115" t="str">
        <x:v>Inspection physique</x:v>
      </x:c>
      <x:c r="G1237" s="115" t="str">
        <x:v>1 niveaux ; 26 pièces ; 198 segments de mur ; 0 transitions. Inspection physique ; architecture complète encore ouverte.</x:v>
      </x:c>
      <x:c r="H1237" s="115" t="str">
        <x:v>L 320 ; l 296 ; hauteur 10,2 m ; choix de composition auteur ; dimensions réelles à documenter</x:v>
      </x:c>
      <x:c r="I1237" s="115" t="str">
        <x:v>À équilibrer</x:v>
      </x:c>
      <x:c r="J1237" s="115" t="str">
        <x:v>Non</x:v>
      </x:c>
      <x:c r="K1237" s="115" t="str">
        <x:v>Pièces décrites, murs, portes, niveaux et mobilier inspectables à l’échelle. Volumes réservés, raccord au seed, butin, rencontres et services de campagne restent à terminer.</x:v>
      </x:c>
    </x:row>
    <x:row r="1238" ht="96" customHeight="1">
      <x:c r="A1238" s="115" t="str">
        <x:v>EXT-MONDE-T025-V33</x:v>
      </x:c>
      <x:c r="B1238" s="115" t="str">
        <x:v>EXT-MONDE-T025</x:v>
      </x:c>
      <x:c r="C1238" s="115" t="str">
        <x:v>Fermes cultures</x:v>
      </x:c>
      <x:c r="D1238" s="115" t="str">
        <x:v>Exploitation céréalière</x:v>
      </x:c>
      <x:c r="E1238" s="115" t="n">
        <x:v>33</x:v>
      </x:c>
      <x:c r="F1238" s="115" t="str">
        <x:v>Inspection physique</x:v>
      </x:c>
      <x:c r="G1238" s="115" t="str">
        <x:v>1 niveaux ; 26 pièces ; 198 segments de mur ; 0 transitions. Inspection physique ; architecture complète encore ouverte.</x:v>
      </x:c>
      <x:c r="H1238" s="115" t="str">
        <x:v>L 320 ; l 296 ; hauteur 10,2 m ; choix de composition auteur ; dimensions réelles à documenter</x:v>
      </x:c>
      <x:c r="I1238" s="115" t="str">
        <x:v>À équilibrer</x:v>
      </x:c>
      <x:c r="J1238" s="115" t="str">
        <x:v>Non</x:v>
      </x:c>
      <x:c r="K1238" s="115" t="str">
        <x:v>Pièces décrites, murs, portes, niveaux et mobilier inspectables à l’échelle. Volumes réservés, raccord au seed, butin, rencontres et services de campagne restent à terminer.</x:v>
      </x:c>
    </x:row>
    <x:row r="1239" ht="96" customHeight="1">
      <x:c r="A1239" s="115" t="str">
        <x:v>EXT-MONDE-T025-V34</x:v>
      </x:c>
      <x:c r="B1239" s="115" t="str">
        <x:v>EXT-MONDE-T025</x:v>
      </x:c>
      <x:c r="C1239" s="115" t="str">
        <x:v>Fermes cultures</x:v>
      </x:c>
      <x:c r="D1239" s="115" t="str">
        <x:v>Exploitation céréalière</x:v>
      </x:c>
      <x:c r="E1239" s="115" t="n">
        <x:v>34</x:v>
      </x:c>
      <x:c r="F1239" s="115" t="str">
        <x:v>Inspection physique</x:v>
      </x:c>
      <x:c r="G1239" s="115" t="str">
        <x:v>1 niveaux ; 26 pièces ; 198 segments de mur ; 0 transitions. Inspection physique ; architecture complète encore ouverte.</x:v>
      </x:c>
      <x:c r="H1239" s="115" t="str">
        <x:v>L 320 ; l 296 ; hauteur 10,2 m ; choix de composition auteur ; dimensions réelles à documenter</x:v>
      </x:c>
      <x:c r="I1239" s="115" t="str">
        <x:v>À équilibrer</x:v>
      </x:c>
      <x:c r="J1239" s="115" t="str">
        <x:v>Non</x:v>
      </x:c>
      <x:c r="K1239" s="115" t="str">
        <x:v>Pièces décrites, murs, portes, niveaux et mobilier inspectables à l’échelle. Volumes réservés, raccord au seed, butin, rencontres et services de campagne restent à terminer.</x:v>
      </x:c>
    </x:row>
    <x:row r="1240" ht="96" customHeight="1">
      <x:c r="A1240" s="115" t="str">
        <x:v>EXT-MONDE-T025-V35</x:v>
      </x:c>
      <x:c r="B1240" s="115" t="str">
        <x:v>EXT-MONDE-T025</x:v>
      </x:c>
      <x:c r="C1240" s="115" t="str">
        <x:v>Fermes cultures</x:v>
      </x:c>
      <x:c r="D1240" s="115" t="str">
        <x:v>Exploitation céréalière</x:v>
      </x:c>
      <x:c r="E1240" s="115" t="n">
        <x:v>35</x:v>
      </x:c>
      <x:c r="F1240" s="115" t="str">
        <x:v>Inspection physique</x:v>
      </x:c>
      <x:c r="G1240" s="115" t="str">
        <x:v>1 niveaux ; 26 pièces ; 198 segments de mur ; 0 transitions. Inspection physique ; architecture complète encore ouverte.</x:v>
      </x:c>
      <x:c r="H1240" s="115" t="str">
        <x:v>L 320 ; l 296 ; hauteur 10,2 m ; choix de composition auteur ; dimensions réelles à documenter</x:v>
      </x:c>
      <x:c r="I1240" s="115" t="str">
        <x:v>À équilibrer</x:v>
      </x:c>
      <x:c r="J1240" s="115" t="str">
        <x:v>Non</x:v>
      </x:c>
      <x:c r="K1240" s="115" t="str">
        <x:v>Pièces décrites, murs, portes, niveaux et mobilier inspectables à l’échelle. Volumes réservés, raccord au seed, butin, rencontres et services de campagne restent à terminer.</x:v>
      </x:c>
    </x:row>
    <x:row r="1241" ht="96" customHeight="1">
      <x:c r="A1241" s="115" t="str">
        <x:v>EXT-MONDE-T025-V36</x:v>
      </x:c>
      <x:c r="B1241" s="115" t="str">
        <x:v>EXT-MONDE-T025</x:v>
      </x:c>
      <x:c r="C1241" s="115" t="str">
        <x:v>Fermes cultures</x:v>
      </x:c>
      <x:c r="D1241" s="115" t="str">
        <x:v>Exploitation céréalière</x:v>
      </x:c>
      <x:c r="E1241" s="115" t="n">
        <x:v>36</x:v>
      </x:c>
      <x:c r="F1241" s="115" t="str">
        <x:v>Inspection physique</x:v>
      </x:c>
      <x:c r="G1241" s="115" t="str">
        <x:v>1 niveaux ; 26 pièces ; 198 segments de mur ; 0 transitions. Inspection physique ; architecture complète encore ouverte.</x:v>
      </x:c>
      <x:c r="H1241" s="115" t="str">
        <x:v>L 320 ; l 296 ; hauteur 10,2 m ; choix de composition auteur ; dimensions réelles à documenter</x:v>
      </x:c>
      <x:c r="I1241" s="115" t="str">
        <x:v>À équilibrer</x:v>
      </x:c>
      <x:c r="J1241" s="115" t="str">
        <x:v>Non</x:v>
      </x:c>
      <x:c r="K1241" s="115" t="str">
        <x:v>Pièces décrites, murs, portes, niveaux et mobilier inspectables à l’échelle. Volumes réservés, raccord au seed, butin, rencontres et services de campagne restent à terminer.</x:v>
      </x:c>
    </x:row>
    <x:row r="1242" ht="96" customHeight="1">
      <x:c r="A1242" s="115" t="str">
        <x:v>EXT-MONDE-T025-V37</x:v>
      </x:c>
      <x:c r="B1242" s="115" t="str">
        <x:v>EXT-MONDE-T025</x:v>
      </x:c>
      <x:c r="C1242" s="115" t="str">
        <x:v>Fermes cultures</x:v>
      </x:c>
      <x:c r="D1242" s="115" t="str">
        <x:v>Exploitation céréalière</x:v>
      </x:c>
      <x:c r="E1242" s="115" t="n">
        <x:v>37</x:v>
      </x:c>
      <x:c r="F1242" s="115" t="str">
        <x:v>Inspection physique</x:v>
      </x:c>
      <x:c r="G1242" s="115" t="str">
        <x:v>1 niveaux ; 26 pièces ; 198 segments de mur ; 0 transitions. Inspection physique ; architecture complète encore ouverte.</x:v>
      </x:c>
      <x:c r="H1242" s="115" t="str">
        <x:v>L 320 ; l 296 ; hauteur 10,2 m ; choix de composition auteur ; dimensions réelles à documenter</x:v>
      </x:c>
      <x:c r="I1242" s="115" t="str">
        <x:v>À équilibrer</x:v>
      </x:c>
      <x:c r="J1242" s="115" t="str">
        <x:v>Non</x:v>
      </x:c>
      <x:c r="K1242" s="115" t="str">
        <x:v>Pièces décrites, murs, portes, niveaux et mobilier inspectables à l’échelle. Volumes réservés, raccord au seed, butin, rencontres et services de campagne restent à terminer.</x:v>
      </x:c>
    </x:row>
    <x:row r="1243" ht="96" customHeight="1">
      <x:c r="A1243" s="115" t="str">
        <x:v>EXT-MONDE-T025-V38</x:v>
      </x:c>
      <x:c r="B1243" s="115" t="str">
        <x:v>EXT-MONDE-T025</x:v>
      </x:c>
      <x:c r="C1243" s="115" t="str">
        <x:v>Fermes cultures</x:v>
      </x:c>
      <x:c r="D1243" s="115" t="str">
        <x:v>Exploitation céréalière</x:v>
      </x:c>
      <x:c r="E1243" s="115" t="n">
        <x:v>38</x:v>
      </x:c>
      <x:c r="F1243" s="115" t="str">
        <x:v>Inspection physique</x:v>
      </x:c>
      <x:c r="G1243" s="115" t="str">
        <x:v>1 niveaux ; 26 pièces ; 198 segments de mur ; 0 transitions. Inspection physique ; architecture complète encore ouverte.</x:v>
      </x:c>
      <x:c r="H1243" s="115" t="str">
        <x:v>L 320 ; l 296 ; hauteur 10,2 m ; choix de composition auteur ; dimensions réelles à documenter</x:v>
      </x:c>
      <x:c r="I1243" s="115" t="str">
        <x:v>À équilibrer</x:v>
      </x:c>
      <x:c r="J1243" s="115" t="str">
        <x:v>Non</x:v>
      </x:c>
      <x:c r="K1243" s="115" t="str">
        <x:v>Pièces décrites, murs, portes, niveaux et mobilier inspectables à l’échelle. Volumes réservés, raccord au seed, butin, rencontres et services de campagne restent à terminer.</x:v>
      </x:c>
    </x:row>
    <x:row r="1244" ht="96" customHeight="1">
      <x:c r="A1244" s="115" t="str">
        <x:v>EXT-MONDE-T025-V39</x:v>
      </x:c>
      <x:c r="B1244" s="115" t="str">
        <x:v>EXT-MONDE-T025</x:v>
      </x:c>
      <x:c r="C1244" s="115" t="str">
        <x:v>Fermes cultures</x:v>
      </x:c>
      <x:c r="D1244" s="115" t="str">
        <x:v>Exploitation céréalière</x:v>
      </x:c>
      <x:c r="E1244" s="115" t="n">
        <x:v>39</x:v>
      </x:c>
      <x:c r="F1244" s="115" t="str">
        <x:v>Inspection physique</x:v>
      </x:c>
      <x:c r="G1244" s="115" t="str">
        <x:v>1 niveaux ; 26 pièces ; 198 segments de mur ; 0 transitions. Inspection physique ; architecture complète encore ouverte.</x:v>
      </x:c>
      <x:c r="H1244" s="115" t="str">
        <x:v>L 320 ; l 296 ; hauteur 10,2 m ; choix de composition auteur ; dimensions réelles à documenter</x:v>
      </x:c>
      <x:c r="I1244" s="115" t="str">
        <x:v>À équilibrer</x:v>
      </x:c>
      <x:c r="J1244" s="115" t="str">
        <x:v>Non</x:v>
      </x:c>
      <x:c r="K1244" s="115" t="str">
        <x:v>Pièces décrites, murs, portes, niveaux et mobilier inspectables à l’échelle. Volumes réservés, raccord au seed, butin, rencontres et services de campagne restent à terminer.</x:v>
      </x:c>
    </x:row>
    <x:row r="1245" ht="96" customHeight="1">
      <x:c r="A1245" s="115" t="str">
        <x:v>EXT-MONDE-T025-V40</x:v>
      </x:c>
      <x:c r="B1245" s="115" t="str">
        <x:v>EXT-MONDE-T025</x:v>
      </x:c>
      <x:c r="C1245" s="115" t="str">
        <x:v>Fermes cultures</x:v>
      </x:c>
      <x:c r="D1245" s="115" t="str">
        <x:v>Exploitation céréalière</x:v>
      </x:c>
      <x:c r="E1245" s="115" t="n">
        <x:v>40</x:v>
      </x:c>
      <x:c r="F1245" s="115" t="str">
        <x:v>Inspection physique</x:v>
      </x:c>
      <x:c r="G1245" s="115" t="str">
        <x:v>1 niveaux ; 26 pièces ; 198 segments de mur ; 0 transitions. Inspection physique ; architecture complète encore ouverte.</x:v>
      </x:c>
      <x:c r="H1245" s="115" t="str">
        <x:v>L 320 ; l 296 ; hauteur 10,2 m ; choix de composition auteur ; dimensions réelles à documenter</x:v>
      </x:c>
      <x:c r="I1245" s="115" t="str">
        <x:v>À équilibrer</x:v>
      </x:c>
      <x:c r="J1245" s="115" t="str">
        <x:v>Non</x:v>
      </x:c>
      <x:c r="K1245" s="115" t="str">
        <x:v>Pièces décrites, murs, portes, niveaux et mobilier inspectables à l’échelle. Volumes réservés, raccord au seed, butin, rencontres et services de campagne restent à terminer.</x:v>
      </x:c>
    </x:row>
    <x:row r="1246" ht="96" customHeight="1">
      <x:c r="A1246" s="115" t="str">
        <x:v>EXT-MONDE-T025-V41</x:v>
      </x:c>
      <x:c r="B1246" s="115" t="str">
        <x:v>EXT-MONDE-T025</x:v>
      </x:c>
      <x:c r="C1246" s="115" t="str">
        <x:v>Fermes cultures</x:v>
      </x:c>
      <x:c r="D1246" s="115" t="str">
        <x:v>Exploitation céréalière</x:v>
      </x:c>
      <x:c r="E1246" s="115" t="n">
        <x:v>41</x:v>
      </x:c>
      <x:c r="F1246" s="115" t="str">
        <x:v>Inspection physique</x:v>
      </x:c>
      <x:c r="G1246" s="115" t="str">
        <x:v>1 niveaux ; 26 pièces ; 198 segments de mur ; 0 transitions. Inspection physique ; architecture complète encore ouverte.</x:v>
      </x:c>
      <x:c r="H1246" s="115" t="str">
        <x:v>L 340 ; l 320 ; hauteur 10,2 m ; choix de composition auteur ; dimensions réelles à documenter</x:v>
      </x:c>
      <x:c r="I1246" s="115" t="str">
        <x:v>À équilibrer</x:v>
      </x:c>
      <x:c r="J1246" s="115" t="str">
        <x:v>Non</x:v>
      </x:c>
      <x:c r="K1246" s="115" t="str">
        <x:v>Pièces décrites, murs, portes, niveaux et mobilier inspectables à l’échelle. Volumes réservés, raccord au seed, butin, rencontres et services de campagne restent à terminer.</x:v>
      </x:c>
    </x:row>
    <x:row r="1247" ht="96" customHeight="1">
      <x:c r="A1247" s="115" t="str">
        <x:v>EXT-MONDE-T025-V42</x:v>
      </x:c>
      <x:c r="B1247" s="115" t="str">
        <x:v>EXT-MONDE-T025</x:v>
      </x:c>
      <x:c r="C1247" s="115" t="str">
        <x:v>Fermes cultures</x:v>
      </x:c>
      <x:c r="D1247" s="115" t="str">
        <x:v>Exploitation céréalière</x:v>
      </x:c>
      <x:c r="E1247" s="115" t="n">
        <x:v>42</x:v>
      </x:c>
      <x:c r="F1247" s="115" t="str">
        <x:v>Inspection physique</x:v>
      </x:c>
      <x:c r="G1247" s="115" t="str">
        <x:v>1 niveaux ; 26 pièces ; 198 segments de mur ; 0 transitions. Inspection physique ; architecture complète encore ouverte.</x:v>
      </x:c>
      <x:c r="H1247" s="115" t="str">
        <x:v>L 340 ; l 320 ; hauteur 10,2 m ; choix de composition auteur ; dimensions réelles à documenter</x:v>
      </x:c>
      <x:c r="I1247" s="115" t="str">
        <x:v>À équilibrer</x:v>
      </x:c>
      <x:c r="J1247" s="115" t="str">
        <x:v>Non</x:v>
      </x:c>
      <x:c r="K1247" s="115" t="str">
        <x:v>Pièces décrites, murs, portes, niveaux et mobilier inspectables à l’échelle. Volumes réservés, raccord au seed, butin, rencontres et services de campagne restent à terminer.</x:v>
      </x:c>
    </x:row>
    <x:row r="1248" ht="96" customHeight="1">
      <x:c r="A1248" s="115" t="str">
        <x:v>EXT-MONDE-T025-V43</x:v>
      </x:c>
      <x:c r="B1248" s="115" t="str">
        <x:v>EXT-MONDE-T025</x:v>
      </x:c>
      <x:c r="C1248" s="115" t="str">
        <x:v>Fermes cultures</x:v>
      </x:c>
      <x:c r="D1248" s="115" t="str">
        <x:v>Exploitation céréalière</x:v>
      </x:c>
      <x:c r="E1248" s="115" t="n">
        <x:v>43</x:v>
      </x:c>
      <x:c r="F1248" s="115" t="str">
        <x:v>Inspection physique</x:v>
      </x:c>
      <x:c r="G1248" s="115" t="str">
        <x:v>1 niveaux ; 26 pièces ; 198 segments de mur ; 0 transitions. Inspection physique ; architecture complète encore ouverte.</x:v>
      </x:c>
      <x:c r="H1248" s="115" t="str">
        <x:v>L 340 ; l 320 ; hauteur 10,2 m ; choix de composition auteur ; dimensions réelles à documenter</x:v>
      </x:c>
      <x:c r="I1248" s="115" t="str">
        <x:v>À équilibrer</x:v>
      </x:c>
      <x:c r="J1248" s="115" t="str">
        <x:v>Non</x:v>
      </x:c>
      <x:c r="K1248" s="115" t="str">
        <x:v>Pièces décrites, murs, portes, niveaux et mobilier inspectables à l’échelle. Volumes réservés, raccord au seed, butin, rencontres et services de campagne restent à terminer.</x:v>
      </x:c>
    </x:row>
    <x:row r="1249" ht="96" customHeight="1">
      <x:c r="A1249" s="115" t="str">
        <x:v>EXT-MONDE-T025-V44</x:v>
      </x:c>
      <x:c r="B1249" s="115" t="str">
        <x:v>EXT-MONDE-T025</x:v>
      </x:c>
      <x:c r="C1249" s="115" t="str">
        <x:v>Fermes cultures</x:v>
      </x:c>
      <x:c r="D1249" s="115" t="str">
        <x:v>Exploitation céréalière</x:v>
      </x:c>
      <x:c r="E1249" s="115" t="n">
        <x:v>44</x:v>
      </x:c>
      <x:c r="F1249" s="115" t="str">
        <x:v>Inspection physique</x:v>
      </x:c>
      <x:c r="G1249" s="115" t="str">
        <x:v>1 niveaux ; 26 pièces ; 198 segments de mur ; 0 transitions. Inspection physique ; architecture complète encore ouverte.</x:v>
      </x:c>
      <x:c r="H1249" s="115" t="str">
        <x:v>L 340 ; l 320 ; hauteur 10,2 m ; choix de composition auteur ; dimensions réelles à documenter</x:v>
      </x:c>
      <x:c r="I1249" s="115" t="str">
        <x:v>À équilibrer</x:v>
      </x:c>
      <x:c r="J1249" s="115" t="str">
        <x:v>Non</x:v>
      </x:c>
      <x:c r="K1249" s="115" t="str">
        <x:v>Pièces décrites, murs, portes, niveaux et mobilier inspectables à l’échelle. Volumes réservés, raccord au seed, butin, rencontres et services de campagne restent à terminer.</x:v>
      </x:c>
    </x:row>
    <x:row r="1250" ht="96" customHeight="1">
      <x:c r="A1250" s="115" t="str">
        <x:v>EXT-MONDE-T025-V45</x:v>
      </x:c>
      <x:c r="B1250" s="115" t="str">
        <x:v>EXT-MONDE-T025</x:v>
      </x:c>
      <x:c r="C1250" s="115" t="str">
        <x:v>Fermes cultures</x:v>
      </x:c>
      <x:c r="D1250" s="115" t="str">
        <x:v>Exploitation céréalière</x:v>
      </x:c>
      <x:c r="E1250" s="115" t="n">
        <x:v>45</x:v>
      </x:c>
      <x:c r="F1250" s="115" t="str">
        <x:v>Inspection physique</x:v>
      </x:c>
      <x:c r="G1250" s="115" t="str">
        <x:v>1 niveaux ; 26 pièces ; 198 segments de mur ; 0 transitions. Inspection physique ; architecture complète encore ouverte.</x:v>
      </x:c>
      <x:c r="H1250" s="115" t="str">
        <x:v>L 340 ; l 320 ; hauteur 10,2 m ; choix de composition auteur ; dimensions réelles à documenter</x:v>
      </x:c>
      <x:c r="I1250" s="115" t="str">
        <x:v>À équilibrer</x:v>
      </x:c>
      <x:c r="J1250" s="115" t="str">
        <x:v>Non</x:v>
      </x:c>
      <x:c r="K1250" s="115" t="str">
        <x:v>Pièces décrites, murs, portes, niveaux et mobilier inspectables à l’échelle. Volumes réservés, raccord au seed, butin, rencontres et services de campagne restent à terminer.</x:v>
      </x:c>
    </x:row>
    <x:row r="1251" ht="96" customHeight="1">
      <x:c r="A1251" s="115" t="str">
        <x:v>EXT-MONDE-T025-V46</x:v>
      </x:c>
      <x:c r="B1251" s="115" t="str">
        <x:v>EXT-MONDE-T025</x:v>
      </x:c>
      <x:c r="C1251" s="115" t="str">
        <x:v>Fermes cultures</x:v>
      </x:c>
      <x:c r="D1251" s="115" t="str">
        <x:v>Exploitation céréalière</x:v>
      </x:c>
      <x:c r="E1251" s="115" t="n">
        <x:v>46</x:v>
      </x:c>
      <x:c r="F1251" s="115" t="str">
        <x:v>Inspection physique</x:v>
      </x:c>
      <x:c r="G1251" s="115" t="str">
        <x:v>1 niveaux ; 26 pièces ; 198 segments de mur ; 0 transitions. Inspection physique ; architecture complète encore ouverte.</x:v>
      </x:c>
      <x:c r="H1251" s="115" t="str">
        <x:v>L 340 ; l 320 ; hauteur 10,2 m ; choix de composition auteur ; dimensions réelles à documenter</x:v>
      </x:c>
      <x:c r="I1251" s="115" t="str">
        <x:v>À équilibrer</x:v>
      </x:c>
      <x:c r="J1251" s="115" t="str">
        <x:v>Non</x:v>
      </x:c>
      <x:c r="K1251" s="115" t="str">
        <x:v>Pièces décrites, murs, portes, niveaux et mobilier inspectables à l’échelle. Volumes réservés, raccord au seed, butin, rencontres et services de campagne restent à terminer.</x:v>
      </x:c>
    </x:row>
    <x:row r="1252" ht="96" customHeight="1">
      <x:c r="A1252" s="115" t="str">
        <x:v>EXT-MONDE-T025-V47</x:v>
      </x:c>
      <x:c r="B1252" s="115" t="str">
        <x:v>EXT-MONDE-T025</x:v>
      </x:c>
      <x:c r="C1252" s="115" t="str">
        <x:v>Fermes cultures</x:v>
      </x:c>
      <x:c r="D1252" s="115" t="str">
        <x:v>Exploitation céréalière</x:v>
      </x:c>
      <x:c r="E1252" s="115" t="n">
        <x:v>47</x:v>
      </x:c>
      <x:c r="F1252" s="115" t="str">
        <x:v>Inspection physique</x:v>
      </x:c>
      <x:c r="G1252" s="115" t="str">
        <x:v>1 niveaux ; 26 pièces ; 198 segments de mur ; 0 transitions. Inspection physique ; architecture complète encore ouverte.</x:v>
      </x:c>
      <x:c r="H1252" s="115" t="str">
        <x:v>L 340 ; l 320 ; hauteur 10,2 m ; choix de composition auteur ; dimensions réelles à documenter</x:v>
      </x:c>
      <x:c r="I1252" s="115" t="str">
        <x:v>À équilibrer</x:v>
      </x:c>
      <x:c r="J1252" s="115" t="str">
        <x:v>Non</x:v>
      </x:c>
      <x:c r="K1252" s="115" t="str">
        <x:v>Pièces décrites, murs, portes, niveaux et mobilier inspectables à l’échelle. Volumes réservés, raccord au seed, butin, rencontres et services de campagne restent à terminer.</x:v>
      </x:c>
    </x:row>
    <x:row r="1253" ht="96" customHeight="1">
      <x:c r="A1253" s="115" t="str">
        <x:v>EXT-MONDE-T025-V48</x:v>
      </x:c>
      <x:c r="B1253" s="115" t="str">
        <x:v>EXT-MONDE-T025</x:v>
      </x:c>
      <x:c r="C1253" s="115" t="str">
        <x:v>Fermes cultures</x:v>
      </x:c>
      <x:c r="D1253" s="115" t="str">
        <x:v>Exploitation céréalière</x:v>
      </x:c>
      <x:c r="E1253" s="115" t="n">
        <x:v>48</x:v>
      </x:c>
      <x:c r="F1253" s="115" t="str">
        <x:v>Inspection physique</x:v>
      </x:c>
      <x:c r="G1253" s="115" t="str">
        <x:v>1 niveaux ; 26 pièces ; 198 segments de mur ; 0 transitions. Inspection physique ; architecture complète encore ouverte.</x:v>
      </x:c>
      <x:c r="H1253" s="115" t="str">
        <x:v>L 340 ; l 320 ; hauteur 10,2 m ; choix de composition auteur ; dimensions réelles à documenter</x:v>
      </x:c>
      <x:c r="I1253" s="115" t="str">
        <x:v>À équilibrer</x:v>
      </x:c>
      <x:c r="J1253" s="115" t="str">
        <x:v>Non</x:v>
      </x:c>
      <x:c r="K1253" s="115" t="str">
        <x:v>Pièces décrites, murs, portes, niveaux et mobilier inspectables à l’échelle. Volumes réservés, raccord au seed, butin, rencontres et services de campagne restent à terminer.</x:v>
      </x:c>
    </x:row>
    <x:row r="1254" ht="96" customHeight="1">
      <x:c r="A1254" s="115" t="str">
        <x:v>EXT-MONDE-T025-V49</x:v>
      </x:c>
      <x:c r="B1254" s="115" t="str">
        <x:v>EXT-MONDE-T025</x:v>
      </x:c>
      <x:c r="C1254" s="115" t="str">
        <x:v>Fermes cultures</x:v>
      </x:c>
      <x:c r="D1254" s="115" t="str">
        <x:v>Exploitation céréalière</x:v>
      </x:c>
      <x:c r="E1254" s="115" t="n">
        <x:v>49</x:v>
      </x:c>
      <x:c r="F1254" s="115" t="str">
        <x:v>Inspection physique</x:v>
      </x:c>
      <x:c r="G1254" s="115" t="str">
        <x:v>1 niveaux ; 26 pièces ; 198 segments de mur ; 0 transitions. Inspection physique ; architecture complète encore ouverte.</x:v>
      </x:c>
      <x:c r="H1254" s="115" t="str">
        <x:v>L 340 ; l 320 ; hauteur 10,2 m ; choix de composition auteur ; dimensions réelles à documenter</x:v>
      </x:c>
      <x:c r="I1254" s="115" t="str">
        <x:v>À équilibrer</x:v>
      </x:c>
      <x:c r="J1254" s="115" t="str">
        <x:v>Non</x:v>
      </x:c>
      <x:c r="K1254" s="115" t="str">
        <x:v>Pièces décrites, murs, portes, niveaux et mobilier inspectables à l’échelle. Volumes réservés, raccord au seed, butin, rencontres et services de campagne restent à terminer.</x:v>
      </x:c>
    </x:row>
    <x:row r="1255" ht="96" customHeight="1">
      <x:c r="A1255" s="115" t="str">
        <x:v>EXT-MONDE-T025-V50</x:v>
      </x:c>
      <x:c r="B1255" s="115" t="str">
        <x:v>EXT-MONDE-T025</x:v>
      </x:c>
      <x:c r="C1255" s="115" t="str">
        <x:v>Fermes cultures</x:v>
      </x:c>
      <x:c r="D1255" s="115" t="str">
        <x:v>Exploitation céréalière</x:v>
      </x:c>
      <x:c r="E1255" s="115" t="n">
        <x:v>50</x:v>
      </x:c>
      <x:c r="F1255" s="115" t="str">
        <x:v>Inspection physique</x:v>
      </x:c>
      <x:c r="G1255" s="115" t="str">
        <x:v>1 niveaux ; 26 pièces ; 198 segments de mur ; 0 transitions. Inspection physique ; architecture complète encore ouverte.</x:v>
      </x:c>
      <x:c r="H1255" s="115" t="str">
        <x:v>L 340 ; l 320 ; hauteur 10,2 m ; choix de composition auteur ; dimensions réelles à documenter</x:v>
      </x:c>
      <x:c r="I1255" s="115" t="str">
        <x:v>À équilibrer</x:v>
      </x:c>
      <x:c r="J1255" s="115" t="str">
        <x:v>Non</x:v>
      </x:c>
      <x:c r="K1255" s="115" t="str">
        <x:v>Pièces décrites, murs, portes, niveaux et mobilier inspectables à l’échelle. Volumes réservés, raccord au seed, butin, rencontres et services de campagne restent à terminer.</x:v>
      </x:c>
    </x:row>
    <x:row r="1256" ht="96" customHeight="1">
      <x:c r="A1256" s="115" t="str">
        <x:v>EXT-MONDE-T026-V01</x:v>
      </x:c>
      <x:c r="B1256" s="115" t="str">
        <x:v>EXT-MONDE-T026</x:v>
      </x:c>
      <x:c r="C1256" s="115" t="str">
        <x:v>Fermes cultures</x:v>
      </x:c>
      <x:c r="D1256" s="115" t="str">
        <x:v>Domaine viticole</x:v>
      </x:c>
      <x:c r="E1256" s="115" t="n">
        <x:v>1</x:v>
      </x:c>
      <x:c r="F1256" s="115" t="str">
        <x:v>Inspection physique</x:v>
      </x:c>
      <x:c r="G1256" s="115" t="str">
        <x:v>1 niveaux ; 26 pièces ; 198 segments de mur ; 0 transitions. Inspection physique ; architecture complète encore ouverte.</x:v>
      </x:c>
      <x:c r="H1256" s="115" t="str">
        <x:v>L 260 ; l 224 ; hauteur 6,5 m ; choix de composition auteur ; dimensions réelles à documenter</x:v>
      </x:c>
      <x:c r="I1256" s="115" t="str">
        <x:v>À équilibrer</x:v>
      </x:c>
      <x:c r="J1256" s="115" t="str">
        <x:v>Non</x:v>
      </x:c>
      <x:c r="K1256" s="115" t="str">
        <x:v>Pièces décrites, murs, portes, niveaux et mobilier inspectables à l’échelle. Volumes réservés, raccord au seed, butin, rencontres et services de campagne restent à terminer.</x:v>
      </x:c>
    </x:row>
    <x:row r="1257" ht="96" customHeight="1">
      <x:c r="A1257" s="115" t="str">
        <x:v>EXT-MONDE-T026-V02</x:v>
      </x:c>
      <x:c r="B1257" s="115" t="str">
        <x:v>EXT-MONDE-T026</x:v>
      </x:c>
      <x:c r="C1257" s="115" t="str">
        <x:v>Fermes cultures</x:v>
      </x:c>
      <x:c r="D1257" s="115" t="str">
        <x:v>Domaine viticole</x:v>
      </x:c>
      <x:c r="E1257" s="115" t="n">
        <x:v>2</x:v>
      </x:c>
      <x:c r="F1257" s="115" t="str">
        <x:v>Inspection physique</x:v>
      </x:c>
      <x:c r="G1257" s="115" t="str">
        <x:v>1 niveaux ; 26 pièces ; 198 segments de mur ; 0 transitions. Inspection physique ; architecture complète encore ouverte.</x:v>
      </x:c>
      <x:c r="H1257" s="115" t="str">
        <x:v>L 260 ; l 224 ; hauteur 6,5 m ; choix de composition auteur ; dimensions réelles à documenter</x:v>
      </x:c>
      <x:c r="I1257" s="115" t="str">
        <x:v>À équilibrer</x:v>
      </x:c>
      <x:c r="J1257" s="115" t="str">
        <x:v>Non</x:v>
      </x:c>
      <x:c r="K1257" s="115" t="str">
        <x:v>Pièces décrites, murs, portes, niveaux et mobilier inspectables à l’échelle. Volumes réservés, raccord au seed, butin, rencontres et services de campagne restent à terminer.</x:v>
      </x:c>
    </x:row>
    <x:row r="1258" ht="96" customHeight="1">
      <x:c r="A1258" s="115" t="str">
        <x:v>EXT-MONDE-T026-V03</x:v>
      </x:c>
      <x:c r="B1258" s="115" t="str">
        <x:v>EXT-MONDE-T026</x:v>
      </x:c>
      <x:c r="C1258" s="115" t="str">
        <x:v>Fermes cultures</x:v>
      </x:c>
      <x:c r="D1258" s="115" t="str">
        <x:v>Domaine viticole</x:v>
      </x:c>
      <x:c r="E1258" s="115" t="n">
        <x:v>3</x:v>
      </x:c>
      <x:c r="F1258" s="115" t="str">
        <x:v>Inspection physique</x:v>
      </x:c>
      <x:c r="G1258" s="115" t="str">
        <x:v>1 niveaux ; 26 pièces ; 198 segments de mur ; 0 transitions. Inspection physique ; architecture complète encore ouverte.</x:v>
      </x:c>
      <x:c r="H1258" s="115" t="str">
        <x:v>L 260 ; l 224 ; hauteur 6,5 m ; choix de composition auteur ; dimensions réelles à documenter</x:v>
      </x:c>
      <x:c r="I1258" s="115" t="str">
        <x:v>À équilibrer</x:v>
      </x:c>
      <x:c r="J1258" s="115" t="str">
        <x:v>Non</x:v>
      </x:c>
      <x:c r="K1258" s="115" t="str">
        <x:v>Pièces décrites, murs, portes, niveaux et mobilier inspectables à l’échelle. Volumes réservés, raccord au seed, butin, rencontres et services de campagne restent à terminer.</x:v>
      </x:c>
    </x:row>
    <x:row r="1259" ht="96" customHeight="1">
      <x:c r="A1259" s="115" t="str">
        <x:v>EXT-MONDE-T026-V04</x:v>
      </x:c>
      <x:c r="B1259" s="115" t="str">
        <x:v>EXT-MONDE-T026</x:v>
      </x:c>
      <x:c r="C1259" s="115" t="str">
        <x:v>Fermes cultures</x:v>
      </x:c>
      <x:c r="D1259" s="115" t="str">
        <x:v>Domaine viticole</x:v>
      </x:c>
      <x:c r="E1259" s="115" t="n">
        <x:v>4</x:v>
      </x:c>
      <x:c r="F1259" s="115" t="str">
        <x:v>Inspection physique</x:v>
      </x:c>
      <x:c r="G1259" s="115" t="str">
        <x:v>1 niveaux ; 26 pièces ; 198 segments de mur ; 0 transitions. Inspection physique ; architecture complète encore ouverte.</x:v>
      </x:c>
      <x:c r="H1259" s="115" t="str">
        <x:v>L 260 ; l 224 ; hauteur 6,5 m ; choix de composition auteur ; dimensions réelles à documenter</x:v>
      </x:c>
      <x:c r="I1259" s="115" t="str">
        <x:v>À équilibrer</x:v>
      </x:c>
      <x:c r="J1259" s="115" t="str">
        <x:v>Non</x:v>
      </x:c>
      <x:c r="K1259" s="115" t="str">
        <x:v>Pièces décrites, murs, portes, niveaux et mobilier inspectables à l’échelle. Volumes réservés, raccord au seed, butin, rencontres et services de campagne restent à terminer.</x:v>
      </x:c>
    </x:row>
    <x:row r="1260" ht="96" customHeight="1">
      <x:c r="A1260" s="115" t="str">
        <x:v>EXT-MONDE-T026-V05</x:v>
      </x:c>
      <x:c r="B1260" s="115" t="str">
        <x:v>EXT-MONDE-T026</x:v>
      </x:c>
      <x:c r="C1260" s="115" t="str">
        <x:v>Fermes cultures</x:v>
      </x:c>
      <x:c r="D1260" s="115" t="str">
        <x:v>Domaine viticole</x:v>
      </x:c>
      <x:c r="E1260" s="115" t="n">
        <x:v>5</x:v>
      </x:c>
      <x:c r="F1260" s="115" t="str">
        <x:v>Inspection physique</x:v>
      </x:c>
      <x:c r="G1260" s="115" t="str">
        <x:v>1 niveaux ; 26 pièces ; 198 segments de mur ; 0 transitions. Inspection physique ; architecture complète encore ouverte.</x:v>
      </x:c>
      <x:c r="H1260" s="115" t="str">
        <x:v>L 260 ; l 224 ; hauteur 6,5 m ; choix de composition auteur ; dimensions réelles à documenter</x:v>
      </x:c>
      <x:c r="I1260" s="115" t="str">
        <x:v>À équilibrer</x:v>
      </x:c>
      <x:c r="J1260" s="115" t="str">
        <x:v>Non</x:v>
      </x:c>
      <x:c r="K1260" s="115" t="str">
        <x:v>Pièces décrites, murs, portes, niveaux et mobilier inspectables à l’échelle. Volumes réservés, raccord au seed, butin, rencontres et services de campagne restent à terminer.</x:v>
      </x:c>
    </x:row>
    <x:row r="1261" ht="96" customHeight="1">
      <x:c r="A1261" s="115" t="str">
        <x:v>EXT-MONDE-T026-V06</x:v>
      </x:c>
      <x:c r="B1261" s="115" t="str">
        <x:v>EXT-MONDE-T026</x:v>
      </x:c>
      <x:c r="C1261" s="115" t="str">
        <x:v>Fermes cultures</x:v>
      </x:c>
      <x:c r="D1261" s="115" t="str">
        <x:v>Domaine viticole</x:v>
      </x:c>
      <x:c r="E1261" s="115" t="n">
        <x:v>6</x:v>
      </x:c>
      <x:c r="F1261" s="115" t="str">
        <x:v>Inspection physique</x:v>
      </x:c>
      <x:c r="G1261" s="115" t="str">
        <x:v>1 niveaux ; 26 pièces ; 198 segments de mur ; 0 transitions. Inspection physique ; architecture complète encore ouverte.</x:v>
      </x:c>
      <x:c r="H1261" s="115" t="str">
        <x:v>L 260 ; l 224 ; hauteur 6,5 m ; choix de composition auteur ; dimensions réelles à documenter</x:v>
      </x:c>
      <x:c r="I1261" s="115" t="str">
        <x:v>À équilibrer</x:v>
      </x:c>
      <x:c r="J1261" s="115" t="str">
        <x:v>Non</x:v>
      </x:c>
      <x:c r="K1261" s="115" t="str">
        <x:v>Pièces décrites, murs, portes, niveaux et mobilier inspectables à l’échelle. Volumes réservés, raccord au seed, butin, rencontres et services de campagne restent à terminer.</x:v>
      </x:c>
    </x:row>
    <x:row r="1262" ht="96" customHeight="1">
      <x:c r="A1262" s="115" t="str">
        <x:v>EXT-MONDE-T026-V07</x:v>
      </x:c>
      <x:c r="B1262" s="115" t="str">
        <x:v>EXT-MONDE-T026</x:v>
      </x:c>
      <x:c r="C1262" s="115" t="str">
        <x:v>Fermes cultures</x:v>
      </x:c>
      <x:c r="D1262" s="115" t="str">
        <x:v>Domaine viticole</x:v>
      </x:c>
      <x:c r="E1262" s="115" t="n">
        <x:v>7</x:v>
      </x:c>
      <x:c r="F1262" s="115" t="str">
        <x:v>Inspection physique</x:v>
      </x:c>
      <x:c r="G1262" s="115" t="str">
        <x:v>1 niveaux ; 26 pièces ; 198 segments de mur ; 0 transitions. Inspection physique ; architecture complète encore ouverte.</x:v>
      </x:c>
      <x:c r="H1262" s="115" t="str">
        <x:v>L 260 ; l 224 ; hauteur 6,5 m ; choix de composition auteur ; dimensions réelles à documenter</x:v>
      </x:c>
      <x:c r="I1262" s="115" t="str">
        <x:v>À équilibrer</x:v>
      </x:c>
      <x:c r="J1262" s="115" t="str">
        <x:v>Non</x:v>
      </x:c>
      <x:c r="K1262" s="115" t="str">
        <x:v>Pièces décrites, murs, portes, niveaux et mobilier inspectables à l’échelle. Volumes réservés, raccord au seed, butin, rencontres et services de campagne restent à terminer.</x:v>
      </x:c>
    </x:row>
    <x:row r="1263" ht="96" customHeight="1">
      <x:c r="A1263" s="115" t="str">
        <x:v>EXT-MONDE-T026-V08</x:v>
      </x:c>
      <x:c r="B1263" s="115" t="str">
        <x:v>EXT-MONDE-T026</x:v>
      </x:c>
      <x:c r="C1263" s="115" t="str">
        <x:v>Fermes cultures</x:v>
      </x:c>
      <x:c r="D1263" s="115" t="str">
        <x:v>Domaine viticole</x:v>
      </x:c>
      <x:c r="E1263" s="115" t="n">
        <x:v>8</x:v>
      </x:c>
      <x:c r="F1263" s="115" t="str">
        <x:v>Inspection physique</x:v>
      </x:c>
      <x:c r="G1263" s="115" t="str">
        <x:v>1 niveaux ; 26 pièces ; 198 segments de mur ; 0 transitions. Inspection physique ; architecture complète encore ouverte.</x:v>
      </x:c>
      <x:c r="H1263" s="115" t="str">
        <x:v>L 260 ; l 224 ; hauteur 6,5 m ; choix de composition auteur ; dimensions réelles à documenter</x:v>
      </x:c>
      <x:c r="I1263" s="115" t="str">
        <x:v>À équilibrer</x:v>
      </x:c>
      <x:c r="J1263" s="115" t="str">
        <x:v>Non</x:v>
      </x:c>
      <x:c r="K1263" s="115" t="str">
        <x:v>Pièces décrites, murs, portes, niveaux et mobilier inspectables à l’échelle. Volumes réservés, raccord au seed, butin, rencontres et services de campagne restent à terminer.</x:v>
      </x:c>
    </x:row>
    <x:row r="1264" ht="96" customHeight="1">
      <x:c r="A1264" s="115" t="str">
        <x:v>EXT-MONDE-T026-V09</x:v>
      </x:c>
      <x:c r="B1264" s="115" t="str">
        <x:v>EXT-MONDE-T026</x:v>
      </x:c>
      <x:c r="C1264" s="115" t="str">
        <x:v>Fermes cultures</x:v>
      </x:c>
      <x:c r="D1264" s="115" t="str">
        <x:v>Domaine viticole</x:v>
      </x:c>
      <x:c r="E1264" s="115" t="n">
        <x:v>9</x:v>
      </x:c>
      <x:c r="F1264" s="115" t="str">
        <x:v>Inspection physique</x:v>
      </x:c>
      <x:c r="G1264" s="115" t="str">
        <x:v>1 niveaux ; 26 pièces ; 198 segments de mur ; 0 transitions. Inspection physique ; architecture complète encore ouverte.</x:v>
      </x:c>
      <x:c r="H1264" s="115" t="str">
        <x:v>L 260 ; l 224 ; hauteur 6,5 m ; choix de composition auteur ; dimensions réelles à documenter</x:v>
      </x:c>
      <x:c r="I1264" s="115" t="str">
        <x:v>À équilibrer</x:v>
      </x:c>
      <x:c r="J1264" s="115" t="str">
        <x:v>Non</x:v>
      </x:c>
      <x:c r="K1264" s="115" t="str">
        <x:v>Pièces décrites, murs, portes, niveaux et mobilier inspectables à l’échelle. Volumes réservés, raccord au seed, butin, rencontres et services de campagne restent à terminer.</x:v>
      </x:c>
    </x:row>
    <x:row r="1265" ht="96" customHeight="1">
      <x:c r="A1265" s="115" t="str">
        <x:v>EXT-MONDE-T026-V10</x:v>
      </x:c>
      <x:c r="B1265" s="115" t="str">
        <x:v>EXT-MONDE-T026</x:v>
      </x:c>
      <x:c r="C1265" s="115" t="str">
        <x:v>Fermes cultures</x:v>
      </x:c>
      <x:c r="D1265" s="115" t="str">
        <x:v>Domaine viticole</x:v>
      </x:c>
      <x:c r="E1265" s="115" t="n">
        <x:v>10</x:v>
      </x:c>
      <x:c r="F1265" s="115" t="str">
        <x:v>Inspection physique</x:v>
      </x:c>
      <x:c r="G1265" s="115" t="str">
        <x:v>1 niveaux ; 26 pièces ; 198 segments de mur ; 0 transitions. Inspection physique ; architecture complète encore ouverte.</x:v>
      </x:c>
      <x:c r="H1265" s="115" t="str">
        <x:v>L 260 ; l 224 ; hauteur 6,5 m ; choix de composition auteur ; dimensions réelles à documenter</x:v>
      </x:c>
      <x:c r="I1265" s="115" t="str">
        <x:v>À équilibrer</x:v>
      </x:c>
      <x:c r="J1265" s="115" t="str">
        <x:v>Non</x:v>
      </x:c>
      <x:c r="K1265" s="115" t="str">
        <x:v>Pièces décrites, murs, portes, niveaux et mobilier inspectables à l’échelle. Volumes réservés, raccord au seed, butin, rencontres et services de campagne restent à terminer.</x:v>
      </x:c>
    </x:row>
    <x:row r="1266" ht="96" customHeight="1">
      <x:c r="A1266" s="115" t="str">
        <x:v>EXT-MONDE-T026-V11</x:v>
      </x:c>
      <x:c r="B1266" s="115" t="str">
        <x:v>EXT-MONDE-T026</x:v>
      </x:c>
      <x:c r="C1266" s="115" t="str">
        <x:v>Fermes cultures</x:v>
      </x:c>
      <x:c r="D1266" s="115" t="str">
        <x:v>Domaine viticole</x:v>
      </x:c>
      <x:c r="E1266" s="115" t="n">
        <x:v>11</x:v>
      </x:c>
      <x:c r="F1266" s="115" t="str">
        <x:v>Inspection physique</x:v>
      </x:c>
      <x:c r="G1266" s="115" t="str">
        <x:v>1 niveaux ; 26 pièces ; 198 segments de mur ; 0 transitions. Inspection physique ; architecture complète encore ouverte.</x:v>
      </x:c>
      <x:c r="H1266" s="115" t="str">
        <x:v>L 280 ; l 248 ; hauteur 6,7 m ; choix de composition auteur ; dimensions réelles à documenter</x:v>
      </x:c>
      <x:c r="I1266" s="115" t="str">
        <x:v>À équilibrer</x:v>
      </x:c>
      <x:c r="J1266" s="115" t="str">
        <x:v>Non</x:v>
      </x:c>
      <x:c r="K1266" s="115" t="str">
        <x:v>Pièces décrites, murs, portes, niveaux et mobilier inspectables à l’échelle. Volumes réservés, raccord au seed, butin, rencontres et services de campagne restent à terminer.</x:v>
      </x:c>
    </x:row>
    <x:row r="1267" ht="96" customHeight="1">
      <x:c r="A1267" s="115" t="str">
        <x:v>EXT-MONDE-T026-V12</x:v>
      </x:c>
      <x:c r="B1267" s="115" t="str">
        <x:v>EXT-MONDE-T026</x:v>
      </x:c>
      <x:c r="C1267" s="115" t="str">
        <x:v>Fermes cultures</x:v>
      </x:c>
      <x:c r="D1267" s="115" t="str">
        <x:v>Domaine viticole</x:v>
      </x:c>
      <x:c r="E1267" s="115" t="n">
        <x:v>12</x:v>
      </x:c>
      <x:c r="F1267" s="115" t="str">
        <x:v>Inspection physique</x:v>
      </x:c>
      <x:c r="G1267" s="115" t="str">
        <x:v>1 niveaux ; 26 pièces ; 198 segments de mur ; 0 transitions. Inspection physique ; architecture complète encore ouverte.</x:v>
      </x:c>
      <x:c r="H1267" s="115" t="str">
        <x:v>L 280 ; l 248 ; hauteur 6,7 m ; choix de composition auteur ; dimensions réelles à documenter</x:v>
      </x:c>
      <x:c r="I1267" s="115" t="str">
        <x:v>À équilibrer</x:v>
      </x:c>
      <x:c r="J1267" s="115" t="str">
        <x:v>Non</x:v>
      </x:c>
      <x:c r="K1267" s="115" t="str">
        <x:v>Pièces décrites, murs, portes, niveaux et mobilier inspectables à l’échelle. Volumes réservés, raccord au seed, butin, rencontres et services de campagne restent à terminer.</x:v>
      </x:c>
    </x:row>
    <x:row r="1268" ht="96" customHeight="1">
      <x:c r="A1268" s="115" t="str">
        <x:v>EXT-MONDE-T026-V13</x:v>
      </x:c>
      <x:c r="B1268" s="115" t="str">
        <x:v>EXT-MONDE-T026</x:v>
      </x:c>
      <x:c r="C1268" s="115" t="str">
        <x:v>Fermes cultures</x:v>
      </x:c>
      <x:c r="D1268" s="115" t="str">
        <x:v>Domaine viticole</x:v>
      </x:c>
      <x:c r="E1268" s="115" t="n">
        <x:v>13</x:v>
      </x:c>
      <x:c r="F1268" s="115" t="str">
        <x:v>Inspection physique</x:v>
      </x:c>
      <x:c r="G1268" s="115" t="str">
        <x:v>1 niveaux ; 26 pièces ; 198 segments de mur ; 0 transitions. Inspection physique ; architecture complète encore ouverte.</x:v>
      </x:c>
      <x:c r="H1268" s="115" t="str">
        <x:v>L 280 ; l 248 ; hauteur 6,7 m ; choix de composition auteur ; dimensions réelles à documenter</x:v>
      </x:c>
      <x:c r="I1268" s="115" t="str">
        <x:v>À équilibrer</x:v>
      </x:c>
      <x:c r="J1268" s="115" t="str">
        <x:v>Non</x:v>
      </x:c>
      <x:c r="K1268" s="115" t="str">
        <x:v>Pièces décrites, murs, portes, niveaux et mobilier inspectables à l’échelle. Volumes réservés, raccord au seed, butin, rencontres et services de campagne restent à terminer.</x:v>
      </x:c>
    </x:row>
    <x:row r="1269" ht="96" customHeight="1">
      <x:c r="A1269" s="115" t="str">
        <x:v>EXT-MONDE-T026-V14</x:v>
      </x:c>
      <x:c r="B1269" s="115" t="str">
        <x:v>EXT-MONDE-T026</x:v>
      </x:c>
      <x:c r="C1269" s="115" t="str">
        <x:v>Fermes cultures</x:v>
      </x:c>
      <x:c r="D1269" s="115" t="str">
        <x:v>Domaine viticole</x:v>
      </x:c>
      <x:c r="E1269" s="115" t="n">
        <x:v>14</x:v>
      </x:c>
      <x:c r="F1269" s="115" t="str">
        <x:v>Inspection physique</x:v>
      </x:c>
      <x:c r="G1269" s="115" t="str">
        <x:v>1 niveaux ; 26 pièces ; 198 segments de mur ; 0 transitions. Inspection physique ; architecture complète encore ouverte.</x:v>
      </x:c>
      <x:c r="H1269" s="115" t="str">
        <x:v>L 280 ; l 248 ; hauteur 6,7 m ; choix de composition auteur ; dimensions réelles à documenter</x:v>
      </x:c>
      <x:c r="I1269" s="115" t="str">
        <x:v>À équilibrer</x:v>
      </x:c>
      <x:c r="J1269" s="115" t="str">
        <x:v>Non</x:v>
      </x:c>
      <x:c r="K1269" s="115" t="str">
        <x:v>Pièces décrites, murs, portes, niveaux et mobilier inspectables à l’échelle. Volumes réservés, raccord au seed, butin, rencontres et services de campagne restent à terminer.</x:v>
      </x:c>
    </x:row>
    <x:row r="1270" ht="96" customHeight="1">
      <x:c r="A1270" s="115" t="str">
        <x:v>EXT-MONDE-T026-V15</x:v>
      </x:c>
      <x:c r="B1270" s="115" t="str">
        <x:v>EXT-MONDE-T026</x:v>
      </x:c>
      <x:c r="C1270" s="115" t="str">
        <x:v>Fermes cultures</x:v>
      </x:c>
      <x:c r="D1270" s="115" t="str">
        <x:v>Domaine viticole</x:v>
      </x:c>
      <x:c r="E1270" s="115" t="n">
        <x:v>15</x:v>
      </x:c>
      <x:c r="F1270" s="115" t="str">
        <x:v>Inspection physique</x:v>
      </x:c>
      <x:c r="G1270" s="115" t="str">
        <x:v>1 niveaux ; 26 pièces ; 198 segments de mur ; 0 transitions. Inspection physique ; architecture complète encore ouverte.</x:v>
      </x:c>
      <x:c r="H1270" s="115" t="str">
        <x:v>L 280 ; l 248 ; hauteur 6,7 m ; choix de composition auteur ; dimensions réelles à documenter</x:v>
      </x:c>
      <x:c r="I1270" s="115" t="str">
        <x:v>À équilibrer</x:v>
      </x:c>
      <x:c r="J1270" s="115" t="str">
        <x:v>Non</x:v>
      </x:c>
      <x:c r="K1270" s="115" t="str">
        <x:v>Pièces décrites, murs, portes, niveaux et mobilier inspectables à l’échelle. Volumes réservés, raccord au seed, butin, rencontres et services de campagne restent à terminer.</x:v>
      </x:c>
    </x:row>
    <x:row r="1271" ht="96" customHeight="1">
      <x:c r="A1271" s="115" t="str">
        <x:v>EXT-MONDE-T026-V16</x:v>
      </x:c>
      <x:c r="B1271" s="115" t="str">
        <x:v>EXT-MONDE-T026</x:v>
      </x:c>
      <x:c r="C1271" s="115" t="str">
        <x:v>Fermes cultures</x:v>
      </x:c>
      <x:c r="D1271" s="115" t="str">
        <x:v>Domaine viticole</x:v>
      </x:c>
      <x:c r="E1271" s="115" t="n">
        <x:v>16</x:v>
      </x:c>
      <x:c r="F1271" s="115" t="str">
        <x:v>Inspection physique</x:v>
      </x:c>
      <x:c r="G1271" s="115" t="str">
        <x:v>1 niveaux ; 26 pièces ; 198 segments de mur ; 0 transitions. Inspection physique ; architecture complète encore ouverte.</x:v>
      </x:c>
      <x:c r="H1271" s="115" t="str">
        <x:v>L 280 ; l 248 ; hauteur 6,7 m ; choix de composition auteur ; dimensions réelles à documenter</x:v>
      </x:c>
      <x:c r="I1271" s="115" t="str">
        <x:v>À équilibrer</x:v>
      </x:c>
      <x:c r="J1271" s="115" t="str">
        <x:v>Non</x:v>
      </x:c>
      <x:c r="K1271" s="115" t="str">
        <x:v>Pièces décrites, murs, portes, niveaux et mobilier inspectables à l’échelle. Volumes réservés, raccord au seed, butin, rencontres et services de campagne restent à terminer.</x:v>
      </x:c>
    </x:row>
    <x:row r="1272" ht="96" customHeight="1">
      <x:c r="A1272" s="115" t="str">
        <x:v>EXT-MONDE-T026-V17</x:v>
      </x:c>
      <x:c r="B1272" s="115" t="str">
        <x:v>EXT-MONDE-T026</x:v>
      </x:c>
      <x:c r="C1272" s="115" t="str">
        <x:v>Fermes cultures</x:v>
      </x:c>
      <x:c r="D1272" s="115" t="str">
        <x:v>Domaine viticole</x:v>
      </x:c>
      <x:c r="E1272" s="115" t="n">
        <x:v>17</x:v>
      </x:c>
      <x:c r="F1272" s="115" t="str">
        <x:v>Inspection physique</x:v>
      </x:c>
      <x:c r="G1272" s="115" t="str">
        <x:v>1 niveaux ; 26 pièces ; 198 segments de mur ; 0 transitions. Inspection physique ; architecture complète encore ouverte.</x:v>
      </x:c>
      <x:c r="H1272" s="115" t="str">
        <x:v>L 280 ; l 248 ; hauteur 6,7 m ; choix de composition auteur ; dimensions réelles à documenter</x:v>
      </x:c>
      <x:c r="I1272" s="115" t="str">
        <x:v>À équilibrer</x:v>
      </x:c>
      <x:c r="J1272" s="115" t="str">
        <x:v>Non</x:v>
      </x:c>
      <x:c r="K1272" s="115" t="str">
        <x:v>Pièces décrites, murs, portes, niveaux et mobilier inspectables à l’échelle. Volumes réservés, raccord au seed, butin, rencontres et services de campagne restent à terminer.</x:v>
      </x:c>
    </x:row>
    <x:row r="1273" ht="96" customHeight="1">
      <x:c r="A1273" s="115" t="str">
        <x:v>EXT-MONDE-T026-V18</x:v>
      </x:c>
      <x:c r="B1273" s="115" t="str">
        <x:v>EXT-MONDE-T026</x:v>
      </x:c>
      <x:c r="C1273" s="115" t="str">
        <x:v>Fermes cultures</x:v>
      </x:c>
      <x:c r="D1273" s="115" t="str">
        <x:v>Domaine viticole</x:v>
      </x:c>
      <x:c r="E1273" s="115" t="n">
        <x:v>18</x:v>
      </x:c>
      <x:c r="F1273" s="115" t="str">
        <x:v>Inspection physique</x:v>
      </x:c>
      <x:c r="G1273" s="115" t="str">
        <x:v>1 niveaux ; 26 pièces ; 198 segments de mur ; 0 transitions. Inspection physique ; architecture complète encore ouverte.</x:v>
      </x:c>
      <x:c r="H1273" s="115" t="str">
        <x:v>L 280 ; l 248 ; hauteur 6,7 m ; choix de composition auteur ; dimensions réelles à documenter</x:v>
      </x:c>
      <x:c r="I1273" s="115" t="str">
        <x:v>À équilibrer</x:v>
      </x:c>
      <x:c r="J1273" s="115" t="str">
        <x:v>Non</x:v>
      </x:c>
      <x:c r="K1273" s="115" t="str">
        <x:v>Pièces décrites, murs, portes, niveaux et mobilier inspectables à l’échelle. Volumes réservés, raccord au seed, butin, rencontres et services de campagne restent à terminer.</x:v>
      </x:c>
    </x:row>
    <x:row r="1274" ht="96" customHeight="1">
      <x:c r="A1274" s="115" t="str">
        <x:v>EXT-MONDE-T026-V19</x:v>
      </x:c>
      <x:c r="B1274" s="115" t="str">
        <x:v>EXT-MONDE-T026</x:v>
      </x:c>
      <x:c r="C1274" s="115" t="str">
        <x:v>Fermes cultures</x:v>
      </x:c>
      <x:c r="D1274" s="115" t="str">
        <x:v>Domaine viticole</x:v>
      </x:c>
      <x:c r="E1274" s="115" t="n">
        <x:v>19</x:v>
      </x:c>
      <x:c r="F1274" s="115" t="str">
        <x:v>Inspection physique</x:v>
      </x:c>
      <x:c r="G1274" s="115" t="str">
        <x:v>1 niveaux ; 26 pièces ; 198 segments de mur ; 0 transitions. Inspection physique ; architecture complète encore ouverte.</x:v>
      </x:c>
      <x:c r="H1274" s="115" t="str">
        <x:v>L 280 ; l 248 ; hauteur 6,7 m ; choix de composition auteur ; dimensions réelles à documenter</x:v>
      </x:c>
      <x:c r="I1274" s="115" t="str">
        <x:v>À équilibrer</x:v>
      </x:c>
      <x:c r="J1274" s="115" t="str">
        <x:v>Non</x:v>
      </x:c>
      <x:c r="K1274" s="115" t="str">
        <x:v>Pièces décrites, murs, portes, niveaux et mobilier inspectables à l’échelle. Volumes réservés, raccord au seed, butin, rencontres et services de campagne restent à terminer.</x:v>
      </x:c>
    </x:row>
    <x:row r="1275" ht="96" customHeight="1">
      <x:c r="A1275" s="115" t="str">
        <x:v>EXT-MONDE-T026-V20</x:v>
      </x:c>
      <x:c r="B1275" s="115" t="str">
        <x:v>EXT-MONDE-T026</x:v>
      </x:c>
      <x:c r="C1275" s="115" t="str">
        <x:v>Fermes cultures</x:v>
      </x:c>
      <x:c r="D1275" s="115" t="str">
        <x:v>Domaine viticole</x:v>
      </x:c>
      <x:c r="E1275" s="115" t="n">
        <x:v>20</x:v>
      </x:c>
      <x:c r="F1275" s="115" t="str">
        <x:v>Inspection physique</x:v>
      </x:c>
      <x:c r="G1275" s="115" t="str">
        <x:v>1 niveaux ; 26 pièces ; 198 segments de mur ; 0 transitions. Inspection physique ; architecture complète encore ouverte.</x:v>
      </x:c>
      <x:c r="H1275" s="115" t="str">
        <x:v>L 280 ; l 248 ; hauteur 6,7 m ; choix de composition auteur ; dimensions réelles à documenter</x:v>
      </x:c>
      <x:c r="I1275" s="115" t="str">
        <x:v>À équilibrer</x:v>
      </x:c>
      <x:c r="J1275" s="115" t="str">
        <x:v>Non</x:v>
      </x:c>
      <x:c r="K1275" s="115" t="str">
        <x:v>Pièces décrites, murs, portes, niveaux et mobilier inspectables à l’échelle. Volumes réservés, raccord au seed, butin, rencontres et services de campagne restent à terminer.</x:v>
      </x:c>
    </x:row>
    <x:row r="1276" ht="96" customHeight="1">
      <x:c r="A1276" s="115" t="str">
        <x:v>EXT-MONDE-T026-V21</x:v>
      </x:c>
      <x:c r="B1276" s="115" t="str">
        <x:v>EXT-MONDE-T026</x:v>
      </x:c>
      <x:c r="C1276" s="115" t="str">
        <x:v>Fermes cultures</x:v>
      </x:c>
      <x:c r="D1276" s="115" t="str">
        <x:v>Domaine viticole</x:v>
      </x:c>
      <x:c r="E1276" s="115" t="n">
        <x:v>21</x:v>
      </x:c>
      <x:c r="F1276" s="115" t="str">
        <x:v>Inspection physique</x:v>
      </x:c>
      <x:c r="G1276" s="115" t="str">
        <x:v>1 niveaux ; 26 pièces ; 198 segments de mur ; 0 transitions. Inspection physique ; architecture complète encore ouverte.</x:v>
      </x:c>
      <x:c r="H1276" s="115" t="str">
        <x:v>L 300 ; l 272 ; hauteur 6,9 m ; choix de composition auteur ; dimensions réelles à documenter</x:v>
      </x:c>
      <x:c r="I1276" s="115" t="str">
        <x:v>À équilibrer</x:v>
      </x:c>
      <x:c r="J1276" s="115" t="str">
        <x:v>Non</x:v>
      </x:c>
      <x:c r="K1276" s="115" t="str">
        <x:v>Pièces décrites, murs, portes, niveaux et mobilier inspectables à l’échelle. Volumes réservés, raccord au seed, butin, rencontres et services de campagne restent à terminer.</x:v>
      </x:c>
    </x:row>
    <x:row r="1277" ht="96" customHeight="1">
      <x:c r="A1277" s="115" t="str">
        <x:v>EXT-MONDE-T026-V22</x:v>
      </x:c>
      <x:c r="B1277" s="115" t="str">
        <x:v>EXT-MONDE-T026</x:v>
      </x:c>
      <x:c r="C1277" s="115" t="str">
        <x:v>Fermes cultures</x:v>
      </x:c>
      <x:c r="D1277" s="115" t="str">
        <x:v>Domaine viticole</x:v>
      </x:c>
      <x:c r="E1277" s="115" t="n">
        <x:v>22</x:v>
      </x:c>
      <x:c r="F1277" s="115" t="str">
        <x:v>Inspection physique</x:v>
      </x:c>
      <x:c r="G1277" s="115" t="str">
        <x:v>1 niveaux ; 26 pièces ; 198 segments de mur ; 0 transitions. Inspection physique ; architecture complète encore ouverte.</x:v>
      </x:c>
      <x:c r="H1277" s="115" t="str">
        <x:v>L 300 ; l 272 ; hauteur 6,9 m ; choix de composition auteur ; dimensions réelles à documenter</x:v>
      </x:c>
      <x:c r="I1277" s="115" t="str">
        <x:v>À équilibrer</x:v>
      </x:c>
      <x:c r="J1277" s="115" t="str">
        <x:v>Non</x:v>
      </x:c>
      <x:c r="K1277" s="115" t="str">
        <x:v>Pièces décrites, murs, portes, niveaux et mobilier inspectables à l’échelle. Volumes réservés, raccord au seed, butin, rencontres et services de campagne restent à terminer.</x:v>
      </x:c>
    </x:row>
    <x:row r="1278" ht="96" customHeight="1">
      <x:c r="A1278" s="115" t="str">
        <x:v>EXT-MONDE-T026-V23</x:v>
      </x:c>
      <x:c r="B1278" s="115" t="str">
        <x:v>EXT-MONDE-T026</x:v>
      </x:c>
      <x:c r="C1278" s="115" t="str">
        <x:v>Fermes cultures</x:v>
      </x:c>
      <x:c r="D1278" s="115" t="str">
        <x:v>Domaine viticole</x:v>
      </x:c>
      <x:c r="E1278" s="115" t="n">
        <x:v>23</x:v>
      </x:c>
      <x:c r="F1278" s="115" t="str">
        <x:v>Inspection physique</x:v>
      </x:c>
      <x:c r="G1278" s="115" t="str">
        <x:v>1 niveaux ; 26 pièces ; 198 segments de mur ; 0 transitions. Inspection physique ; architecture complète encore ouverte.</x:v>
      </x:c>
      <x:c r="H1278" s="115" t="str">
        <x:v>L 300 ; l 272 ; hauteur 6,9 m ; choix de composition auteur ; dimensions réelles à documenter</x:v>
      </x:c>
      <x:c r="I1278" s="115" t="str">
        <x:v>À équilibrer</x:v>
      </x:c>
      <x:c r="J1278" s="115" t="str">
        <x:v>Non</x:v>
      </x:c>
      <x:c r="K1278" s="115" t="str">
        <x:v>Pièces décrites, murs, portes, niveaux et mobilier inspectables à l’échelle. Volumes réservés, raccord au seed, butin, rencontres et services de campagne restent à terminer.</x:v>
      </x:c>
    </x:row>
    <x:row r="1279" ht="96" customHeight="1">
      <x:c r="A1279" s="115" t="str">
        <x:v>EXT-MONDE-T026-V24</x:v>
      </x:c>
      <x:c r="B1279" s="115" t="str">
        <x:v>EXT-MONDE-T026</x:v>
      </x:c>
      <x:c r="C1279" s="115" t="str">
        <x:v>Fermes cultures</x:v>
      </x:c>
      <x:c r="D1279" s="115" t="str">
        <x:v>Domaine viticole</x:v>
      </x:c>
      <x:c r="E1279" s="115" t="n">
        <x:v>24</x:v>
      </x:c>
      <x:c r="F1279" s="115" t="str">
        <x:v>Inspection physique</x:v>
      </x:c>
      <x:c r="G1279" s="115" t="str">
        <x:v>1 niveaux ; 26 pièces ; 198 segments de mur ; 0 transitions. Inspection physique ; architecture complète encore ouverte.</x:v>
      </x:c>
      <x:c r="H1279" s="115" t="str">
        <x:v>L 300 ; l 272 ; hauteur 6,9 m ; choix de composition auteur ; dimensions réelles à documenter</x:v>
      </x:c>
      <x:c r="I1279" s="115" t="str">
        <x:v>À équilibrer</x:v>
      </x:c>
      <x:c r="J1279" s="115" t="str">
        <x:v>Non</x:v>
      </x:c>
      <x:c r="K1279" s="115" t="str">
        <x:v>Pièces décrites, murs, portes, niveaux et mobilier inspectables à l’échelle. Volumes réservés, raccord au seed, butin, rencontres et services de campagne restent à terminer.</x:v>
      </x:c>
    </x:row>
    <x:row r="1280" ht="96" customHeight="1">
      <x:c r="A1280" s="115" t="str">
        <x:v>EXT-MONDE-T026-V25</x:v>
      </x:c>
      <x:c r="B1280" s="115" t="str">
        <x:v>EXT-MONDE-T026</x:v>
      </x:c>
      <x:c r="C1280" s="115" t="str">
        <x:v>Fermes cultures</x:v>
      </x:c>
      <x:c r="D1280" s="115" t="str">
        <x:v>Domaine viticole</x:v>
      </x:c>
      <x:c r="E1280" s="115" t="n">
        <x:v>25</x:v>
      </x:c>
      <x:c r="F1280" s="115" t="str">
        <x:v>Inspection physique</x:v>
      </x:c>
      <x:c r="G1280" s="115" t="str">
        <x:v>1 niveaux ; 26 pièces ; 198 segments de mur ; 0 transitions. Inspection physique ; architecture complète encore ouverte.</x:v>
      </x:c>
      <x:c r="H1280" s="115" t="str">
        <x:v>L 300 ; l 272 ; hauteur 6,9 m ; choix de composition auteur ; dimensions réelles à documenter</x:v>
      </x:c>
      <x:c r="I1280" s="115" t="str">
        <x:v>À équilibrer</x:v>
      </x:c>
      <x:c r="J1280" s="115" t="str">
        <x:v>Non</x:v>
      </x:c>
      <x:c r="K1280" s="115" t="str">
        <x:v>Pièces décrites, murs, portes, niveaux et mobilier inspectables à l’échelle. Volumes réservés, raccord au seed, butin, rencontres et services de campagne restent à terminer.</x:v>
      </x:c>
    </x:row>
    <x:row r="1281" ht="96" customHeight="1">
      <x:c r="A1281" s="115" t="str">
        <x:v>EXT-MONDE-T026-V26</x:v>
      </x:c>
      <x:c r="B1281" s="115" t="str">
        <x:v>EXT-MONDE-T026</x:v>
      </x:c>
      <x:c r="C1281" s="115" t="str">
        <x:v>Fermes cultures</x:v>
      </x:c>
      <x:c r="D1281" s="115" t="str">
        <x:v>Domaine viticole</x:v>
      </x:c>
      <x:c r="E1281" s="115" t="n">
        <x:v>26</x:v>
      </x:c>
      <x:c r="F1281" s="115" t="str">
        <x:v>Inspection physique</x:v>
      </x:c>
      <x:c r="G1281" s="115" t="str">
        <x:v>1 niveaux ; 26 pièces ; 198 segments de mur ; 0 transitions. Inspection physique ; architecture complète encore ouverte.</x:v>
      </x:c>
      <x:c r="H1281" s="115" t="str">
        <x:v>L 300 ; l 272 ; hauteur 6,9 m ; choix de composition auteur ; dimensions réelles à documenter</x:v>
      </x:c>
      <x:c r="I1281" s="115" t="str">
        <x:v>À équilibrer</x:v>
      </x:c>
      <x:c r="J1281" s="115" t="str">
        <x:v>Non</x:v>
      </x:c>
      <x:c r="K1281" s="115" t="str">
        <x:v>Pièces décrites, murs, portes, niveaux et mobilier inspectables à l’échelle. Volumes réservés, raccord au seed, butin, rencontres et services de campagne restent à terminer.</x:v>
      </x:c>
    </x:row>
    <x:row r="1282" ht="96" customHeight="1">
      <x:c r="A1282" s="115" t="str">
        <x:v>EXT-MONDE-T026-V27</x:v>
      </x:c>
      <x:c r="B1282" s="115" t="str">
        <x:v>EXT-MONDE-T026</x:v>
      </x:c>
      <x:c r="C1282" s="115" t="str">
        <x:v>Fermes cultures</x:v>
      </x:c>
      <x:c r="D1282" s="115" t="str">
        <x:v>Domaine viticole</x:v>
      </x:c>
      <x:c r="E1282" s="115" t="n">
        <x:v>27</x:v>
      </x:c>
      <x:c r="F1282" s="115" t="str">
        <x:v>Inspection physique</x:v>
      </x:c>
      <x:c r="G1282" s="115" t="str">
        <x:v>1 niveaux ; 26 pièces ; 198 segments de mur ; 0 transitions. Inspection physique ; architecture complète encore ouverte.</x:v>
      </x:c>
      <x:c r="H1282" s="115" t="str">
        <x:v>L 300 ; l 272 ; hauteur 6,9 m ; choix de composition auteur ; dimensions réelles à documenter</x:v>
      </x:c>
      <x:c r="I1282" s="115" t="str">
        <x:v>À équilibrer</x:v>
      </x:c>
      <x:c r="J1282" s="115" t="str">
        <x:v>Non</x:v>
      </x:c>
      <x:c r="K1282" s="115" t="str">
        <x:v>Pièces décrites, murs, portes, niveaux et mobilier inspectables à l’échelle. Volumes réservés, raccord au seed, butin, rencontres et services de campagne restent à terminer.</x:v>
      </x:c>
    </x:row>
    <x:row r="1283" ht="96" customHeight="1">
      <x:c r="A1283" s="115" t="str">
        <x:v>EXT-MONDE-T026-V28</x:v>
      </x:c>
      <x:c r="B1283" s="115" t="str">
        <x:v>EXT-MONDE-T026</x:v>
      </x:c>
      <x:c r="C1283" s="115" t="str">
        <x:v>Fermes cultures</x:v>
      </x:c>
      <x:c r="D1283" s="115" t="str">
        <x:v>Domaine viticole</x:v>
      </x:c>
      <x:c r="E1283" s="115" t="n">
        <x:v>28</x:v>
      </x:c>
      <x:c r="F1283" s="115" t="str">
        <x:v>Inspection physique</x:v>
      </x:c>
      <x:c r="G1283" s="115" t="str">
        <x:v>1 niveaux ; 26 pièces ; 198 segments de mur ; 0 transitions. Inspection physique ; architecture complète encore ouverte.</x:v>
      </x:c>
      <x:c r="H1283" s="115" t="str">
        <x:v>L 300 ; l 272 ; hauteur 6,9 m ; choix de composition auteur ; dimensions réelles à documenter</x:v>
      </x:c>
      <x:c r="I1283" s="115" t="str">
        <x:v>À équilibrer</x:v>
      </x:c>
      <x:c r="J1283" s="115" t="str">
        <x:v>Non</x:v>
      </x:c>
      <x:c r="K1283" s="115" t="str">
        <x:v>Pièces décrites, murs, portes, niveaux et mobilier inspectables à l’échelle. Volumes réservés, raccord au seed, butin, rencontres et services de campagne restent à terminer.</x:v>
      </x:c>
    </x:row>
    <x:row r="1284" ht="96" customHeight="1">
      <x:c r="A1284" s="115" t="str">
        <x:v>EXT-MONDE-T026-V29</x:v>
      </x:c>
      <x:c r="B1284" s="115" t="str">
        <x:v>EXT-MONDE-T026</x:v>
      </x:c>
      <x:c r="C1284" s="115" t="str">
        <x:v>Fermes cultures</x:v>
      </x:c>
      <x:c r="D1284" s="115" t="str">
        <x:v>Domaine viticole</x:v>
      </x:c>
      <x:c r="E1284" s="115" t="n">
        <x:v>29</x:v>
      </x:c>
      <x:c r="F1284" s="115" t="str">
        <x:v>Inspection physique</x:v>
      </x:c>
      <x:c r="G1284" s="115" t="str">
        <x:v>1 niveaux ; 26 pièces ; 198 segments de mur ; 0 transitions. Inspection physique ; architecture complète encore ouverte.</x:v>
      </x:c>
      <x:c r="H1284" s="115" t="str">
        <x:v>L 300 ; l 272 ; hauteur 6,9 m ; choix de composition auteur ; dimensions réelles à documenter</x:v>
      </x:c>
      <x:c r="I1284" s="115" t="str">
        <x:v>À équilibrer</x:v>
      </x:c>
      <x:c r="J1284" s="115" t="str">
        <x:v>Non</x:v>
      </x:c>
      <x:c r="K1284" s="115" t="str">
        <x:v>Pièces décrites, murs, portes, niveaux et mobilier inspectables à l’échelle. Volumes réservés, raccord au seed, butin, rencontres et services de campagne restent à terminer.</x:v>
      </x:c>
    </x:row>
    <x:row r="1285" ht="96" customHeight="1">
      <x:c r="A1285" s="115" t="str">
        <x:v>EXT-MONDE-T026-V30</x:v>
      </x:c>
      <x:c r="B1285" s="115" t="str">
        <x:v>EXT-MONDE-T026</x:v>
      </x:c>
      <x:c r="C1285" s="115" t="str">
        <x:v>Fermes cultures</x:v>
      </x:c>
      <x:c r="D1285" s="115" t="str">
        <x:v>Domaine viticole</x:v>
      </x:c>
      <x:c r="E1285" s="115" t="n">
        <x:v>30</x:v>
      </x:c>
      <x:c r="F1285" s="115" t="str">
        <x:v>Inspection physique</x:v>
      </x:c>
      <x:c r="G1285" s="115" t="str">
        <x:v>1 niveaux ; 26 pièces ; 198 segments de mur ; 0 transitions. Inspection physique ; architecture complète encore ouverte.</x:v>
      </x:c>
      <x:c r="H1285" s="115" t="str">
        <x:v>L 300 ; l 272 ; hauteur 6,9 m ; choix de composition auteur ; dimensions réelles à documenter</x:v>
      </x:c>
      <x:c r="I1285" s="115" t="str">
        <x:v>À équilibrer</x:v>
      </x:c>
      <x:c r="J1285" s="115" t="str">
        <x:v>Non</x:v>
      </x:c>
      <x:c r="K1285" s="115" t="str">
        <x:v>Pièces décrites, murs, portes, niveaux et mobilier inspectables à l’échelle. Volumes réservés, raccord au seed, butin, rencontres et services de campagne restent à terminer.</x:v>
      </x:c>
    </x:row>
    <x:row r="1286" ht="96" customHeight="1">
      <x:c r="A1286" s="115" t="str">
        <x:v>EXT-MONDE-T026-V31</x:v>
      </x:c>
      <x:c r="B1286" s="115" t="str">
        <x:v>EXT-MONDE-T026</x:v>
      </x:c>
      <x:c r="C1286" s="115" t="str">
        <x:v>Fermes cultures</x:v>
      </x:c>
      <x:c r="D1286" s="115" t="str">
        <x:v>Domaine viticole</x:v>
      </x:c>
      <x:c r="E1286" s="115" t="n">
        <x:v>31</x:v>
      </x:c>
      <x:c r="F1286" s="115" t="str">
        <x:v>Inspection physique</x:v>
      </x:c>
      <x:c r="G1286" s="115" t="str">
        <x:v>1 niveaux ; 26 pièces ; 198 segments de mur ; 0 transitions. Inspection physique ; architecture complète encore ouverte.</x:v>
      </x:c>
      <x:c r="H1286" s="115" t="str">
        <x:v>L 320 ; l 296 ; hauteur 7,1 m ; choix de composition auteur ; dimensions réelles à documenter</x:v>
      </x:c>
      <x:c r="I1286" s="115" t="str">
        <x:v>À équilibrer</x:v>
      </x:c>
      <x:c r="J1286" s="115" t="str">
        <x:v>Non</x:v>
      </x:c>
      <x:c r="K1286" s="115" t="str">
        <x:v>Pièces décrites, murs, portes, niveaux et mobilier inspectables à l’échelle. Volumes réservés, raccord au seed, butin, rencontres et services de campagne restent à terminer.</x:v>
      </x:c>
    </x:row>
    <x:row r="1287" ht="96" customHeight="1">
      <x:c r="A1287" s="115" t="str">
        <x:v>EXT-MONDE-T026-V32</x:v>
      </x:c>
      <x:c r="B1287" s="115" t="str">
        <x:v>EXT-MONDE-T026</x:v>
      </x:c>
      <x:c r="C1287" s="115" t="str">
        <x:v>Fermes cultures</x:v>
      </x:c>
      <x:c r="D1287" s="115" t="str">
        <x:v>Domaine viticole</x:v>
      </x:c>
      <x:c r="E1287" s="115" t="n">
        <x:v>32</x:v>
      </x:c>
      <x:c r="F1287" s="115" t="str">
        <x:v>Inspection physique</x:v>
      </x:c>
      <x:c r="G1287" s="115" t="str">
        <x:v>1 niveaux ; 26 pièces ; 198 segments de mur ; 0 transitions. Inspection physique ; architecture complète encore ouverte.</x:v>
      </x:c>
      <x:c r="H1287" s="115" t="str">
        <x:v>L 320 ; l 296 ; hauteur 7,1 m ; choix de composition auteur ; dimensions réelles à documenter</x:v>
      </x:c>
      <x:c r="I1287" s="115" t="str">
        <x:v>À équilibrer</x:v>
      </x:c>
      <x:c r="J1287" s="115" t="str">
        <x:v>Non</x:v>
      </x:c>
      <x:c r="K1287" s="115" t="str">
        <x:v>Pièces décrites, murs, portes, niveaux et mobilier inspectables à l’échelle. Volumes réservés, raccord au seed, butin, rencontres et services de campagne restent à terminer.</x:v>
      </x:c>
    </x:row>
    <x:row r="1288" ht="96" customHeight="1">
      <x:c r="A1288" s="115" t="str">
        <x:v>EXT-MONDE-T026-V33</x:v>
      </x:c>
      <x:c r="B1288" s="115" t="str">
        <x:v>EXT-MONDE-T026</x:v>
      </x:c>
      <x:c r="C1288" s="115" t="str">
        <x:v>Fermes cultures</x:v>
      </x:c>
      <x:c r="D1288" s="115" t="str">
        <x:v>Domaine viticole</x:v>
      </x:c>
      <x:c r="E1288" s="115" t="n">
        <x:v>33</x:v>
      </x:c>
      <x:c r="F1288" s="115" t="str">
        <x:v>Inspection physique</x:v>
      </x:c>
      <x:c r="G1288" s="115" t="str">
        <x:v>1 niveaux ; 26 pièces ; 198 segments de mur ; 0 transitions. Inspection physique ; architecture complète encore ouverte.</x:v>
      </x:c>
      <x:c r="H1288" s="115" t="str">
        <x:v>L 320 ; l 296 ; hauteur 7,1 m ; choix de composition auteur ; dimensions réelles à documenter</x:v>
      </x:c>
      <x:c r="I1288" s="115" t="str">
        <x:v>À équilibrer</x:v>
      </x:c>
      <x:c r="J1288" s="115" t="str">
        <x:v>Non</x:v>
      </x:c>
      <x:c r="K1288" s="115" t="str">
        <x:v>Pièces décrites, murs, portes, niveaux et mobilier inspectables à l’échelle. Volumes réservés, raccord au seed, butin, rencontres et services de campagne restent à terminer.</x:v>
      </x:c>
    </x:row>
    <x:row r="1289" ht="96" customHeight="1">
      <x:c r="A1289" s="115" t="str">
        <x:v>EXT-MONDE-T026-V34</x:v>
      </x:c>
      <x:c r="B1289" s="115" t="str">
        <x:v>EXT-MONDE-T026</x:v>
      </x:c>
      <x:c r="C1289" s="115" t="str">
        <x:v>Fermes cultures</x:v>
      </x:c>
      <x:c r="D1289" s="115" t="str">
        <x:v>Domaine viticole</x:v>
      </x:c>
      <x:c r="E1289" s="115" t="n">
        <x:v>34</x:v>
      </x:c>
      <x:c r="F1289" s="115" t="str">
        <x:v>Inspection physique</x:v>
      </x:c>
      <x:c r="G1289" s="115" t="str">
        <x:v>1 niveaux ; 26 pièces ; 198 segments de mur ; 0 transitions. Inspection physique ; architecture complète encore ouverte.</x:v>
      </x:c>
      <x:c r="H1289" s="115" t="str">
        <x:v>L 320 ; l 296 ; hauteur 7,1 m ; choix de composition auteur ; dimensions réelles à documenter</x:v>
      </x:c>
      <x:c r="I1289" s="115" t="str">
        <x:v>À équilibrer</x:v>
      </x:c>
      <x:c r="J1289" s="115" t="str">
        <x:v>Non</x:v>
      </x:c>
      <x:c r="K1289" s="115" t="str">
        <x:v>Pièces décrites, murs, portes, niveaux et mobilier inspectables à l’échelle. Volumes réservés, raccord au seed, butin, rencontres et services de campagne restent à terminer.</x:v>
      </x:c>
    </x:row>
    <x:row r="1290" ht="96" customHeight="1">
      <x:c r="A1290" s="115" t="str">
        <x:v>EXT-MONDE-T026-V35</x:v>
      </x:c>
      <x:c r="B1290" s="115" t="str">
        <x:v>EXT-MONDE-T026</x:v>
      </x:c>
      <x:c r="C1290" s="115" t="str">
        <x:v>Fermes cultures</x:v>
      </x:c>
      <x:c r="D1290" s="115" t="str">
        <x:v>Domaine viticole</x:v>
      </x:c>
      <x:c r="E1290" s="115" t="n">
        <x:v>35</x:v>
      </x:c>
      <x:c r="F1290" s="115" t="str">
        <x:v>Inspection physique</x:v>
      </x:c>
      <x:c r="G1290" s="115" t="str">
        <x:v>1 niveaux ; 26 pièces ; 198 segments de mur ; 0 transitions. Inspection physique ; architecture complète encore ouverte.</x:v>
      </x:c>
      <x:c r="H1290" s="115" t="str">
        <x:v>L 320 ; l 296 ; hauteur 7,1 m ; choix de composition auteur ; dimensions réelles à documenter</x:v>
      </x:c>
      <x:c r="I1290" s="115" t="str">
        <x:v>À équilibrer</x:v>
      </x:c>
      <x:c r="J1290" s="115" t="str">
        <x:v>Non</x:v>
      </x:c>
      <x:c r="K1290" s="115" t="str">
        <x:v>Pièces décrites, murs, portes, niveaux et mobilier inspectables à l’échelle. Volumes réservés, raccord au seed, butin, rencontres et services de campagne restent à terminer.</x:v>
      </x:c>
    </x:row>
    <x:row r="1291" ht="96" customHeight="1">
      <x:c r="A1291" s="115" t="str">
        <x:v>EXT-MONDE-T026-V36</x:v>
      </x:c>
      <x:c r="B1291" s="115" t="str">
        <x:v>EXT-MONDE-T026</x:v>
      </x:c>
      <x:c r="C1291" s="115" t="str">
        <x:v>Fermes cultures</x:v>
      </x:c>
      <x:c r="D1291" s="115" t="str">
        <x:v>Domaine viticole</x:v>
      </x:c>
      <x:c r="E1291" s="115" t="n">
        <x:v>36</x:v>
      </x:c>
      <x:c r="F1291" s="115" t="str">
        <x:v>Inspection physique</x:v>
      </x:c>
      <x:c r="G1291" s="115" t="str">
        <x:v>1 niveaux ; 26 pièces ; 198 segments de mur ; 0 transitions. Inspection physique ; architecture complète encore ouverte.</x:v>
      </x:c>
      <x:c r="H1291" s="115" t="str">
        <x:v>L 320 ; l 296 ; hauteur 7,1 m ; choix de composition auteur ; dimensions réelles à documenter</x:v>
      </x:c>
      <x:c r="I1291" s="115" t="str">
        <x:v>À équilibrer</x:v>
      </x:c>
      <x:c r="J1291" s="115" t="str">
        <x:v>Non</x:v>
      </x:c>
      <x:c r="K1291" s="115" t="str">
        <x:v>Pièces décrites, murs, portes, niveaux et mobilier inspectables à l’échelle. Volumes réservés, raccord au seed, butin, rencontres et services de campagne restent à terminer.</x:v>
      </x:c>
    </x:row>
    <x:row r="1292" ht="96" customHeight="1">
      <x:c r="A1292" s="115" t="str">
        <x:v>EXT-MONDE-T026-V37</x:v>
      </x:c>
      <x:c r="B1292" s="115" t="str">
        <x:v>EXT-MONDE-T026</x:v>
      </x:c>
      <x:c r="C1292" s="115" t="str">
        <x:v>Fermes cultures</x:v>
      </x:c>
      <x:c r="D1292" s="115" t="str">
        <x:v>Domaine viticole</x:v>
      </x:c>
      <x:c r="E1292" s="115" t="n">
        <x:v>37</x:v>
      </x:c>
      <x:c r="F1292" s="115" t="str">
        <x:v>Inspection physique</x:v>
      </x:c>
      <x:c r="G1292" s="115" t="str">
        <x:v>1 niveaux ; 26 pièces ; 198 segments de mur ; 0 transitions. Inspection physique ; architecture complète encore ouverte.</x:v>
      </x:c>
      <x:c r="H1292" s="115" t="str">
        <x:v>L 320 ; l 296 ; hauteur 7,1 m ; choix de composition auteur ; dimensions réelles à documenter</x:v>
      </x:c>
      <x:c r="I1292" s="115" t="str">
        <x:v>À équilibrer</x:v>
      </x:c>
      <x:c r="J1292" s="115" t="str">
        <x:v>Non</x:v>
      </x:c>
      <x:c r="K1292" s="115" t="str">
        <x:v>Pièces décrites, murs, portes, niveaux et mobilier inspectables à l’échelle. Volumes réservés, raccord au seed, butin, rencontres et services de campagne restent à terminer.</x:v>
      </x:c>
    </x:row>
    <x:row r="1293" ht="96" customHeight="1">
      <x:c r="A1293" s="115" t="str">
        <x:v>EXT-MONDE-T026-V38</x:v>
      </x:c>
      <x:c r="B1293" s="115" t="str">
        <x:v>EXT-MONDE-T026</x:v>
      </x:c>
      <x:c r="C1293" s="115" t="str">
        <x:v>Fermes cultures</x:v>
      </x:c>
      <x:c r="D1293" s="115" t="str">
        <x:v>Domaine viticole</x:v>
      </x:c>
      <x:c r="E1293" s="115" t="n">
        <x:v>38</x:v>
      </x:c>
      <x:c r="F1293" s="115" t="str">
        <x:v>Inspection physique</x:v>
      </x:c>
      <x:c r="G1293" s="115" t="str">
        <x:v>1 niveaux ; 26 pièces ; 198 segments de mur ; 0 transitions. Inspection physique ; architecture complète encore ouverte.</x:v>
      </x:c>
      <x:c r="H1293" s="115" t="str">
        <x:v>L 320 ; l 296 ; hauteur 7,1 m ; choix de composition auteur ; dimensions réelles à documenter</x:v>
      </x:c>
      <x:c r="I1293" s="115" t="str">
        <x:v>À équilibrer</x:v>
      </x:c>
      <x:c r="J1293" s="115" t="str">
        <x:v>Non</x:v>
      </x:c>
      <x:c r="K1293" s="115" t="str">
        <x:v>Pièces décrites, murs, portes, niveaux et mobilier inspectables à l’échelle. Volumes réservés, raccord au seed, butin, rencontres et services de campagne restent à terminer.</x:v>
      </x:c>
    </x:row>
    <x:row r="1294" ht="96" customHeight="1">
      <x:c r="A1294" s="115" t="str">
        <x:v>EXT-MONDE-T026-V39</x:v>
      </x:c>
      <x:c r="B1294" s="115" t="str">
        <x:v>EXT-MONDE-T026</x:v>
      </x:c>
      <x:c r="C1294" s="115" t="str">
        <x:v>Fermes cultures</x:v>
      </x:c>
      <x:c r="D1294" s="115" t="str">
        <x:v>Domaine viticole</x:v>
      </x:c>
      <x:c r="E1294" s="115" t="n">
        <x:v>39</x:v>
      </x:c>
      <x:c r="F1294" s="115" t="str">
        <x:v>Inspection physique</x:v>
      </x:c>
      <x:c r="G1294" s="115" t="str">
        <x:v>1 niveaux ; 26 pièces ; 198 segments de mur ; 0 transitions. Inspection physique ; architecture complète encore ouverte.</x:v>
      </x:c>
      <x:c r="H1294" s="115" t="str">
        <x:v>L 320 ; l 296 ; hauteur 7,1 m ; choix de composition auteur ; dimensions réelles à documenter</x:v>
      </x:c>
      <x:c r="I1294" s="115" t="str">
        <x:v>À équilibrer</x:v>
      </x:c>
      <x:c r="J1294" s="115" t="str">
        <x:v>Non</x:v>
      </x:c>
      <x:c r="K1294" s="115" t="str">
        <x:v>Pièces décrites, murs, portes, niveaux et mobilier inspectables à l’échelle. Volumes réservés, raccord au seed, butin, rencontres et services de campagne restent à terminer.</x:v>
      </x:c>
    </x:row>
    <x:row r="1295" ht="96" customHeight="1">
      <x:c r="A1295" s="115" t="str">
        <x:v>EXT-MONDE-T026-V40</x:v>
      </x:c>
      <x:c r="B1295" s="115" t="str">
        <x:v>EXT-MONDE-T026</x:v>
      </x:c>
      <x:c r="C1295" s="115" t="str">
        <x:v>Fermes cultures</x:v>
      </x:c>
      <x:c r="D1295" s="115" t="str">
        <x:v>Domaine viticole</x:v>
      </x:c>
      <x:c r="E1295" s="115" t="n">
        <x:v>40</x:v>
      </x:c>
      <x:c r="F1295" s="115" t="str">
        <x:v>Inspection physique</x:v>
      </x:c>
      <x:c r="G1295" s="115" t="str">
        <x:v>1 niveaux ; 26 pièces ; 198 segments de mur ; 0 transitions. Inspection physique ; architecture complète encore ouverte.</x:v>
      </x:c>
      <x:c r="H1295" s="115" t="str">
        <x:v>L 320 ; l 296 ; hauteur 7,1 m ; choix de composition auteur ; dimensions réelles à documenter</x:v>
      </x:c>
      <x:c r="I1295" s="115" t="str">
        <x:v>À équilibrer</x:v>
      </x:c>
      <x:c r="J1295" s="115" t="str">
        <x:v>Non</x:v>
      </x:c>
      <x:c r="K1295" s="115" t="str">
        <x:v>Pièces décrites, murs, portes, niveaux et mobilier inspectables à l’échelle. Volumes réservés, raccord au seed, butin, rencontres et services de campagne restent à terminer.</x:v>
      </x:c>
    </x:row>
    <x:row r="1296" ht="96" customHeight="1">
      <x:c r="A1296" s="115" t="str">
        <x:v>EXT-MONDE-T026-V41</x:v>
      </x:c>
      <x:c r="B1296" s="115" t="str">
        <x:v>EXT-MONDE-T026</x:v>
      </x:c>
      <x:c r="C1296" s="115" t="str">
        <x:v>Fermes cultures</x:v>
      </x:c>
      <x:c r="D1296" s="115" t="str">
        <x:v>Domaine viticole</x:v>
      </x:c>
      <x:c r="E1296" s="115" t="n">
        <x:v>41</x:v>
      </x:c>
      <x:c r="F1296" s="115" t="str">
        <x:v>Inspection physique</x:v>
      </x:c>
      <x:c r="G1296" s="115" t="str">
        <x:v>1 niveaux ; 26 pièces ; 198 segments de mur ; 0 transitions. Inspection physique ; architecture complète encore ouverte.</x:v>
      </x:c>
      <x:c r="H1296" s="115" t="str">
        <x:v>L 340 ; l 320 ; hauteur 7,3 m ; choix de composition auteur ; dimensions réelles à documenter</x:v>
      </x:c>
      <x:c r="I1296" s="115" t="str">
        <x:v>À équilibrer</x:v>
      </x:c>
      <x:c r="J1296" s="115" t="str">
        <x:v>Non</x:v>
      </x:c>
      <x:c r="K1296" s="115" t="str">
        <x:v>Pièces décrites, murs, portes, niveaux et mobilier inspectables à l’échelle. Volumes réservés, raccord au seed, butin, rencontres et services de campagne restent à terminer.</x:v>
      </x:c>
    </x:row>
    <x:row r="1297" ht="96" customHeight="1">
      <x:c r="A1297" s="115" t="str">
        <x:v>EXT-MONDE-T026-V42</x:v>
      </x:c>
      <x:c r="B1297" s="115" t="str">
        <x:v>EXT-MONDE-T026</x:v>
      </x:c>
      <x:c r="C1297" s="115" t="str">
        <x:v>Fermes cultures</x:v>
      </x:c>
      <x:c r="D1297" s="115" t="str">
        <x:v>Domaine viticole</x:v>
      </x:c>
      <x:c r="E1297" s="115" t="n">
        <x:v>42</x:v>
      </x:c>
      <x:c r="F1297" s="115" t="str">
        <x:v>Inspection physique</x:v>
      </x:c>
      <x:c r="G1297" s="115" t="str">
        <x:v>1 niveaux ; 26 pièces ; 198 segments de mur ; 0 transitions. Inspection physique ; architecture complète encore ouverte.</x:v>
      </x:c>
      <x:c r="H1297" s="115" t="str">
        <x:v>L 340 ; l 320 ; hauteur 7,3 m ; choix de composition auteur ; dimensions réelles à documenter</x:v>
      </x:c>
      <x:c r="I1297" s="115" t="str">
        <x:v>À équilibrer</x:v>
      </x:c>
      <x:c r="J1297" s="115" t="str">
        <x:v>Non</x:v>
      </x:c>
      <x:c r="K1297" s="115" t="str">
        <x:v>Pièces décrites, murs, portes, niveaux et mobilier inspectables à l’échelle. Volumes réservés, raccord au seed, butin, rencontres et services de campagne restent à terminer.</x:v>
      </x:c>
    </x:row>
    <x:row r="1298" ht="96" customHeight="1">
      <x:c r="A1298" s="115" t="str">
        <x:v>EXT-MONDE-T026-V43</x:v>
      </x:c>
      <x:c r="B1298" s="115" t="str">
        <x:v>EXT-MONDE-T026</x:v>
      </x:c>
      <x:c r="C1298" s="115" t="str">
        <x:v>Fermes cultures</x:v>
      </x:c>
      <x:c r="D1298" s="115" t="str">
        <x:v>Domaine viticole</x:v>
      </x:c>
      <x:c r="E1298" s="115" t="n">
        <x:v>43</x:v>
      </x:c>
      <x:c r="F1298" s="115" t="str">
        <x:v>Inspection physique</x:v>
      </x:c>
      <x:c r="G1298" s="115" t="str">
        <x:v>1 niveaux ; 26 pièces ; 198 segments de mur ; 0 transitions. Inspection physique ; architecture complète encore ouverte.</x:v>
      </x:c>
      <x:c r="H1298" s="115" t="str">
        <x:v>L 340 ; l 320 ; hauteur 7,3 m ; choix de composition auteur ; dimensions réelles à documenter</x:v>
      </x:c>
      <x:c r="I1298" s="115" t="str">
        <x:v>À équilibrer</x:v>
      </x:c>
      <x:c r="J1298" s="115" t="str">
        <x:v>Non</x:v>
      </x:c>
      <x:c r="K1298" s="115" t="str">
        <x:v>Pièces décrites, murs, portes, niveaux et mobilier inspectables à l’échelle. Volumes réservés, raccord au seed, butin, rencontres et services de campagne restent à terminer.</x:v>
      </x:c>
    </x:row>
    <x:row r="1299" ht="96" customHeight="1">
      <x:c r="A1299" s="115" t="str">
        <x:v>EXT-MONDE-T026-V44</x:v>
      </x:c>
      <x:c r="B1299" s="115" t="str">
        <x:v>EXT-MONDE-T026</x:v>
      </x:c>
      <x:c r="C1299" s="115" t="str">
        <x:v>Fermes cultures</x:v>
      </x:c>
      <x:c r="D1299" s="115" t="str">
        <x:v>Domaine viticole</x:v>
      </x:c>
      <x:c r="E1299" s="115" t="n">
        <x:v>44</x:v>
      </x:c>
      <x:c r="F1299" s="115" t="str">
        <x:v>Inspection physique</x:v>
      </x:c>
      <x:c r="G1299" s="115" t="str">
        <x:v>1 niveaux ; 26 pièces ; 198 segments de mur ; 0 transitions. Inspection physique ; architecture complète encore ouverte.</x:v>
      </x:c>
      <x:c r="H1299" s="115" t="str">
        <x:v>L 340 ; l 320 ; hauteur 7,3 m ; choix de composition auteur ; dimensions réelles à documenter</x:v>
      </x:c>
      <x:c r="I1299" s="115" t="str">
        <x:v>À équilibrer</x:v>
      </x:c>
      <x:c r="J1299" s="115" t="str">
        <x:v>Non</x:v>
      </x:c>
      <x:c r="K1299" s="115" t="str">
        <x:v>Pièces décrites, murs, portes, niveaux et mobilier inspectables à l’échelle. Volumes réservés, raccord au seed, butin, rencontres et services de campagne restent à terminer.</x:v>
      </x:c>
    </x:row>
    <x:row r="1300" ht="96" customHeight="1">
      <x:c r="A1300" s="115" t="str">
        <x:v>EXT-MONDE-T026-V45</x:v>
      </x:c>
      <x:c r="B1300" s="115" t="str">
        <x:v>EXT-MONDE-T026</x:v>
      </x:c>
      <x:c r="C1300" s="115" t="str">
        <x:v>Fermes cultures</x:v>
      </x:c>
      <x:c r="D1300" s="115" t="str">
        <x:v>Domaine viticole</x:v>
      </x:c>
      <x:c r="E1300" s="115" t="n">
        <x:v>45</x:v>
      </x:c>
      <x:c r="F1300" s="115" t="str">
        <x:v>Inspection physique</x:v>
      </x:c>
      <x:c r="G1300" s="115" t="str">
        <x:v>1 niveaux ; 26 pièces ; 198 segments de mur ; 0 transitions. Inspection physique ; architecture complète encore ouverte.</x:v>
      </x:c>
      <x:c r="H1300" s="115" t="str">
        <x:v>L 340 ; l 320 ; hauteur 7,3 m ; choix de composition auteur ; dimensions réelles à documenter</x:v>
      </x:c>
      <x:c r="I1300" s="115" t="str">
        <x:v>À équilibrer</x:v>
      </x:c>
      <x:c r="J1300" s="115" t="str">
        <x:v>Non</x:v>
      </x:c>
      <x:c r="K1300" s="115" t="str">
        <x:v>Pièces décrites, murs, portes, niveaux et mobilier inspectables à l’échelle. Volumes réservés, raccord au seed, butin, rencontres et services de campagne restent à terminer.</x:v>
      </x:c>
    </x:row>
    <x:row r="1301" ht="96" customHeight="1">
      <x:c r="A1301" s="115" t="str">
        <x:v>EXT-MONDE-T026-V46</x:v>
      </x:c>
      <x:c r="B1301" s="115" t="str">
        <x:v>EXT-MONDE-T026</x:v>
      </x:c>
      <x:c r="C1301" s="115" t="str">
        <x:v>Fermes cultures</x:v>
      </x:c>
      <x:c r="D1301" s="115" t="str">
        <x:v>Domaine viticole</x:v>
      </x:c>
      <x:c r="E1301" s="115" t="n">
        <x:v>46</x:v>
      </x:c>
      <x:c r="F1301" s="115" t="str">
        <x:v>Inspection physique</x:v>
      </x:c>
      <x:c r="G1301" s="115" t="str">
        <x:v>1 niveaux ; 26 pièces ; 198 segments de mur ; 0 transitions. Inspection physique ; architecture complète encore ouverte.</x:v>
      </x:c>
      <x:c r="H1301" s="115" t="str">
        <x:v>L 340 ; l 320 ; hauteur 7,3 m ; choix de composition auteur ; dimensions réelles à documenter</x:v>
      </x:c>
      <x:c r="I1301" s="115" t="str">
        <x:v>À équilibrer</x:v>
      </x:c>
      <x:c r="J1301" s="115" t="str">
        <x:v>Non</x:v>
      </x:c>
      <x:c r="K1301" s="115" t="str">
        <x:v>Pièces décrites, murs, portes, niveaux et mobilier inspectables à l’échelle. Volumes réservés, raccord au seed, butin, rencontres et services de campagne restent à terminer.</x:v>
      </x:c>
    </x:row>
    <x:row r="1302" ht="96" customHeight="1">
      <x:c r="A1302" s="115" t="str">
        <x:v>EXT-MONDE-T026-V47</x:v>
      </x:c>
      <x:c r="B1302" s="115" t="str">
        <x:v>EXT-MONDE-T026</x:v>
      </x:c>
      <x:c r="C1302" s="115" t="str">
        <x:v>Fermes cultures</x:v>
      </x:c>
      <x:c r="D1302" s="115" t="str">
        <x:v>Domaine viticole</x:v>
      </x:c>
      <x:c r="E1302" s="115" t="n">
        <x:v>47</x:v>
      </x:c>
      <x:c r="F1302" s="115" t="str">
        <x:v>Inspection physique</x:v>
      </x:c>
      <x:c r="G1302" s="115" t="str">
        <x:v>1 niveaux ; 26 pièces ; 198 segments de mur ; 0 transitions. Inspection physique ; architecture complète encore ouverte.</x:v>
      </x:c>
      <x:c r="H1302" s="115" t="str">
        <x:v>L 340 ; l 320 ; hauteur 7,3 m ; choix de composition auteur ; dimensions réelles à documenter</x:v>
      </x:c>
      <x:c r="I1302" s="115" t="str">
        <x:v>À équilibrer</x:v>
      </x:c>
      <x:c r="J1302" s="115" t="str">
        <x:v>Non</x:v>
      </x:c>
      <x:c r="K1302" s="115" t="str">
        <x:v>Pièces décrites, murs, portes, niveaux et mobilier inspectables à l’échelle. Volumes réservés, raccord au seed, butin, rencontres et services de campagne restent à terminer.</x:v>
      </x:c>
    </x:row>
    <x:row r="1303" ht="96" customHeight="1">
      <x:c r="A1303" s="115" t="str">
        <x:v>EXT-MONDE-T026-V48</x:v>
      </x:c>
      <x:c r="B1303" s="115" t="str">
        <x:v>EXT-MONDE-T026</x:v>
      </x:c>
      <x:c r="C1303" s="115" t="str">
        <x:v>Fermes cultures</x:v>
      </x:c>
      <x:c r="D1303" s="115" t="str">
        <x:v>Domaine viticole</x:v>
      </x:c>
      <x:c r="E1303" s="115" t="n">
        <x:v>48</x:v>
      </x:c>
      <x:c r="F1303" s="115" t="str">
        <x:v>Inspection physique</x:v>
      </x:c>
      <x:c r="G1303" s="115" t="str">
        <x:v>1 niveaux ; 26 pièces ; 198 segments de mur ; 0 transitions. Inspection physique ; architecture complète encore ouverte.</x:v>
      </x:c>
      <x:c r="H1303" s="115" t="str">
        <x:v>L 340 ; l 320 ; hauteur 7,3 m ; choix de composition auteur ; dimensions réelles à documenter</x:v>
      </x:c>
      <x:c r="I1303" s="115" t="str">
        <x:v>À équilibrer</x:v>
      </x:c>
      <x:c r="J1303" s="115" t="str">
        <x:v>Non</x:v>
      </x:c>
      <x:c r="K1303" s="115" t="str">
        <x:v>Pièces décrites, murs, portes, niveaux et mobilier inspectables à l’échelle. Volumes réservés, raccord au seed, butin, rencontres et services de campagne restent à terminer.</x:v>
      </x:c>
    </x:row>
    <x:row r="1304" ht="96" customHeight="1">
      <x:c r="A1304" s="115" t="str">
        <x:v>EXT-MONDE-T026-V49</x:v>
      </x:c>
      <x:c r="B1304" s="115" t="str">
        <x:v>EXT-MONDE-T026</x:v>
      </x:c>
      <x:c r="C1304" s="115" t="str">
        <x:v>Fermes cultures</x:v>
      </x:c>
      <x:c r="D1304" s="115" t="str">
        <x:v>Domaine viticole</x:v>
      </x:c>
      <x:c r="E1304" s="115" t="n">
        <x:v>49</x:v>
      </x:c>
      <x:c r="F1304" s="115" t="str">
        <x:v>Inspection physique</x:v>
      </x:c>
      <x:c r="G1304" s="115" t="str">
        <x:v>1 niveaux ; 26 pièces ; 198 segments de mur ; 0 transitions. Inspection physique ; architecture complète encore ouverte.</x:v>
      </x:c>
      <x:c r="H1304" s="115" t="str">
        <x:v>L 340 ; l 320 ; hauteur 7,3 m ; choix de composition auteur ; dimensions réelles à documenter</x:v>
      </x:c>
      <x:c r="I1304" s="115" t="str">
        <x:v>À équilibrer</x:v>
      </x:c>
      <x:c r="J1304" s="115" t="str">
        <x:v>Non</x:v>
      </x:c>
      <x:c r="K1304" s="115" t="str">
        <x:v>Pièces décrites, murs, portes, niveaux et mobilier inspectables à l’échelle. Volumes réservés, raccord au seed, butin, rencontres et services de campagne restent à terminer.</x:v>
      </x:c>
    </x:row>
    <x:row r="1305" ht="96" customHeight="1">
      <x:c r="A1305" s="115" t="str">
        <x:v>EXT-MONDE-T026-V50</x:v>
      </x:c>
      <x:c r="B1305" s="115" t="str">
        <x:v>EXT-MONDE-T026</x:v>
      </x:c>
      <x:c r="C1305" s="115" t="str">
        <x:v>Fermes cultures</x:v>
      </x:c>
      <x:c r="D1305" s="115" t="str">
        <x:v>Domaine viticole</x:v>
      </x:c>
      <x:c r="E1305" s="115" t="n">
        <x:v>50</x:v>
      </x:c>
      <x:c r="F1305" s="115" t="str">
        <x:v>Inspection physique</x:v>
      </x:c>
      <x:c r="G1305" s="115" t="str">
        <x:v>1 niveaux ; 26 pièces ; 198 segments de mur ; 0 transitions. Inspection physique ; architecture complète encore ouverte.</x:v>
      </x:c>
      <x:c r="H1305" s="115" t="str">
        <x:v>L 340 ; l 320 ; hauteur 7,3 m ; choix de composition auteur ; dimensions réelles à documenter</x:v>
      </x:c>
      <x:c r="I1305" s="115" t="str">
        <x:v>À équilibrer</x:v>
      </x:c>
      <x:c r="J1305" s="115" t="str">
        <x:v>Non</x:v>
      </x:c>
      <x:c r="K1305" s="115" t="str">
        <x:v>Pièces décrites, murs, portes, niveaux et mobilier inspectables à l’échelle. Volumes réservés, raccord au seed, butin, rencontres et services de campagne restent à terminer.</x:v>
      </x:c>
    </x:row>
    <x:row r="1306" ht="96" customHeight="1">
      <x:c r="A1306" s="115" t="str">
        <x:v>EXT-MONDE-T027-V01</x:v>
      </x:c>
      <x:c r="B1306" s="115" t="str">
        <x:v>EXT-MONDE-T027</x:v>
      </x:c>
      <x:c r="C1306" s="115" t="str">
        <x:v>Fermes cultures</x:v>
      </x:c>
      <x:c r="D1306" s="115" t="str">
        <x:v>Ferme maraîchère</x:v>
      </x:c>
      <x:c r="E1306" s="115" t="n">
        <x:v>1</x:v>
      </x:c>
      <x:c r="F1306" s="115" t="str">
        <x:v>Inspection physique</x:v>
      </x:c>
      <x:c r="G1306" s="115" t="str">
        <x:v>1 niveaux ; 28 pièces ; 210 segments de mur ; 0 transitions. Inspection physique ; architecture complète encore ouverte.</x:v>
      </x:c>
      <x:c r="H1306" s="115" t="str">
        <x:v>L 260 ; l 224 ; hauteur 6,5 m ; choix de composition auteur ; dimensions réelles à documenter</x:v>
      </x:c>
      <x:c r="I1306" s="115" t="str">
        <x:v>À équilibrer</x:v>
      </x:c>
      <x:c r="J1306" s="115" t="str">
        <x:v>Non</x:v>
      </x:c>
      <x:c r="K1306" s="115" t="str">
        <x:v>Pièces décrites, murs, portes, niveaux et mobilier inspectables à l’échelle. Volumes réservés, raccord au seed, butin, rencontres et services de campagne restent à terminer.</x:v>
      </x:c>
    </x:row>
    <x:row r="1307" ht="96" customHeight="1">
      <x:c r="A1307" s="115" t="str">
        <x:v>EXT-MONDE-T027-V02</x:v>
      </x:c>
      <x:c r="B1307" s="115" t="str">
        <x:v>EXT-MONDE-T027</x:v>
      </x:c>
      <x:c r="C1307" s="115" t="str">
        <x:v>Fermes cultures</x:v>
      </x:c>
      <x:c r="D1307" s="115" t="str">
        <x:v>Ferme maraîchère</x:v>
      </x:c>
      <x:c r="E1307" s="115" t="n">
        <x:v>2</x:v>
      </x:c>
      <x:c r="F1307" s="115" t="str">
        <x:v>Inspection physique</x:v>
      </x:c>
      <x:c r="G1307" s="115" t="str">
        <x:v>1 niveaux ; 28 pièces ; 210 segments de mur ; 0 transitions. Inspection physique ; architecture complète encore ouverte.</x:v>
      </x:c>
      <x:c r="H1307" s="115" t="str">
        <x:v>L 260 ; l 224 ; hauteur 6,5 m ; choix de composition auteur ; dimensions réelles à documenter</x:v>
      </x:c>
      <x:c r="I1307" s="115" t="str">
        <x:v>À équilibrer</x:v>
      </x:c>
      <x:c r="J1307" s="115" t="str">
        <x:v>Non</x:v>
      </x:c>
      <x:c r="K1307" s="115" t="str">
        <x:v>Pièces décrites, murs, portes, niveaux et mobilier inspectables à l’échelle. Volumes réservés, raccord au seed, butin, rencontres et services de campagne restent à terminer.</x:v>
      </x:c>
    </x:row>
    <x:row r="1308" ht="96" customHeight="1">
      <x:c r="A1308" s="115" t="str">
        <x:v>EXT-MONDE-T027-V03</x:v>
      </x:c>
      <x:c r="B1308" s="115" t="str">
        <x:v>EXT-MONDE-T027</x:v>
      </x:c>
      <x:c r="C1308" s="115" t="str">
        <x:v>Fermes cultures</x:v>
      </x:c>
      <x:c r="D1308" s="115" t="str">
        <x:v>Ferme maraîchère</x:v>
      </x:c>
      <x:c r="E1308" s="115" t="n">
        <x:v>3</x:v>
      </x:c>
      <x:c r="F1308" s="115" t="str">
        <x:v>Inspection physique</x:v>
      </x:c>
      <x:c r="G1308" s="115" t="str">
        <x:v>1 niveaux ; 28 pièces ; 210 segments de mur ; 0 transitions. Inspection physique ; architecture complète encore ouverte.</x:v>
      </x:c>
      <x:c r="H1308" s="115" t="str">
        <x:v>L 260 ; l 224 ; hauteur 6,5 m ; choix de composition auteur ; dimensions réelles à documenter</x:v>
      </x:c>
      <x:c r="I1308" s="115" t="str">
        <x:v>À équilibrer</x:v>
      </x:c>
      <x:c r="J1308" s="115" t="str">
        <x:v>Non</x:v>
      </x:c>
      <x:c r="K1308" s="115" t="str">
        <x:v>Pièces décrites, murs, portes, niveaux et mobilier inspectables à l’échelle. Volumes réservés, raccord au seed, butin, rencontres et services de campagne restent à terminer.</x:v>
      </x:c>
    </x:row>
    <x:row r="1309" ht="96" customHeight="1">
      <x:c r="A1309" s="115" t="str">
        <x:v>EXT-MONDE-T027-V04</x:v>
      </x:c>
      <x:c r="B1309" s="115" t="str">
        <x:v>EXT-MONDE-T027</x:v>
      </x:c>
      <x:c r="C1309" s="115" t="str">
        <x:v>Fermes cultures</x:v>
      </x:c>
      <x:c r="D1309" s="115" t="str">
        <x:v>Ferme maraîchère</x:v>
      </x:c>
      <x:c r="E1309" s="115" t="n">
        <x:v>4</x:v>
      </x:c>
      <x:c r="F1309" s="115" t="str">
        <x:v>Inspection physique</x:v>
      </x:c>
      <x:c r="G1309" s="115" t="str">
        <x:v>1 niveaux ; 28 pièces ; 210 segments de mur ; 0 transitions. Inspection physique ; architecture complète encore ouverte.</x:v>
      </x:c>
      <x:c r="H1309" s="115" t="str">
        <x:v>L 260 ; l 224 ; hauteur 6,5 m ; choix de composition auteur ; dimensions réelles à documenter</x:v>
      </x:c>
      <x:c r="I1309" s="115" t="str">
        <x:v>À équilibrer</x:v>
      </x:c>
      <x:c r="J1309" s="115" t="str">
        <x:v>Non</x:v>
      </x:c>
      <x:c r="K1309" s="115" t="str">
        <x:v>Pièces décrites, murs, portes, niveaux et mobilier inspectables à l’échelle. Volumes réservés, raccord au seed, butin, rencontres et services de campagne restent à terminer.</x:v>
      </x:c>
    </x:row>
    <x:row r="1310" ht="96" customHeight="1">
      <x:c r="A1310" s="115" t="str">
        <x:v>EXT-MONDE-T027-V05</x:v>
      </x:c>
      <x:c r="B1310" s="115" t="str">
        <x:v>EXT-MONDE-T027</x:v>
      </x:c>
      <x:c r="C1310" s="115" t="str">
        <x:v>Fermes cultures</x:v>
      </x:c>
      <x:c r="D1310" s="115" t="str">
        <x:v>Ferme maraîchère</x:v>
      </x:c>
      <x:c r="E1310" s="115" t="n">
        <x:v>5</x:v>
      </x:c>
      <x:c r="F1310" s="115" t="str">
        <x:v>Inspection physique</x:v>
      </x:c>
      <x:c r="G1310" s="115" t="str">
        <x:v>1 niveaux ; 28 pièces ; 210 segments de mur ; 0 transitions. Inspection physique ; architecture complète encore ouverte.</x:v>
      </x:c>
      <x:c r="H1310" s="115" t="str">
        <x:v>L 260 ; l 224 ; hauteur 6,5 m ; choix de composition auteur ; dimensions réelles à documenter</x:v>
      </x:c>
      <x:c r="I1310" s="115" t="str">
        <x:v>À équilibrer</x:v>
      </x:c>
      <x:c r="J1310" s="115" t="str">
        <x:v>Non</x:v>
      </x:c>
      <x:c r="K1310" s="115" t="str">
        <x:v>Pièces décrites, murs, portes, niveaux et mobilier inspectables à l’échelle. Volumes réservés, raccord au seed, butin, rencontres et services de campagne restent à terminer.</x:v>
      </x:c>
    </x:row>
    <x:row r="1311" ht="96" customHeight="1">
      <x:c r="A1311" s="115" t="str">
        <x:v>EXT-MONDE-T027-V06</x:v>
      </x:c>
      <x:c r="B1311" s="115" t="str">
        <x:v>EXT-MONDE-T027</x:v>
      </x:c>
      <x:c r="C1311" s="115" t="str">
        <x:v>Fermes cultures</x:v>
      </x:c>
      <x:c r="D1311" s="115" t="str">
        <x:v>Ferme maraîchère</x:v>
      </x:c>
      <x:c r="E1311" s="115" t="n">
        <x:v>6</x:v>
      </x:c>
      <x:c r="F1311" s="115" t="str">
        <x:v>Inspection physique</x:v>
      </x:c>
      <x:c r="G1311" s="115" t="str">
        <x:v>1 niveaux ; 28 pièces ; 210 segments de mur ; 0 transitions. Inspection physique ; architecture complète encore ouverte.</x:v>
      </x:c>
      <x:c r="H1311" s="115" t="str">
        <x:v>L 260 ; l 224 ; hauteur 6,5 m ; choix de composition auteur ; dimensions réelles à documenter</x:v>
      </x:c>
      <x:c r="I1311" s="115" t="str">
        <x:v>À équilibrer</x:v>
      </x:c>
      <x:c r="J1311" s="115" t="str">
        <x:v>Non</x:v>
      </x:c>
      <x:c r="K1311" s="115" t="str">
        <x:v>Pièces décrites, murs, portes, niveaux et mobilier inspectables à l’échelle. Volumes réservés, raccord au seed, butin, rencontres et services de campagne restent à terminer.</x:v>
      </x:c>
    </x:row>
    <x:row r="1312" ht="96" customHeight="1">
      <x:c r="A1312" s="115" t="str">
        <x:v>EXT-MONDE-T027-V07</x:v>
      </x:c>
      <x:c r="B1312" s="115" t="str">
        <x:v>EXT-MONDE-T027</x:v>
      </x:c>
      <x:c r="C1312" s="115" t="str">
        <x:v>Fermes cultures</x:v>
      </x:c>
      <x:c r="D1312" s="115" t="str">
        <x:v>Ferme maraîchère</x:v>
      </x:c>
      <x:c r="E1312" s="115" t="n">
        <x:v>7</x:v>
      </x:c>
      <x:c r="F1312" s="115" t="str">
        <x:v>Inspection physique</x:v>
      </x:c>
      <x:c r="G1312" s="115" t="str">
        <x:v>1 niveaux ; 28 pièces ; 210 segments de mur ; 0 transitions. Inspection physique ; architecture complète encore ouverte.</x:v>
      </x:c>
      <x:c r="H1312" s="115" t="str">
        <x:v>L 260 ; l 224 ; hauteur 6,5 m ; choix de composition auteur ; dimensions réelles à documenter</x:v>
      </x:c>
      <x:c r="I1312" s="115" t="str">
        <x:v>À équilibrer</x:v>
      </x:c>
      <x:c r="J1312" s="115" t="str">
        <x:v>Non</x:v>
      </x:c>
      <x:c r="K1312" s="115" t="str">
        <x:v>Pièces décrites, murs, portes, niveaux et mobilier inspectables à l’échelle. Volumes réservés, raccord au seed, butin, rencontres et services de campagne restent à terminer.</x:v>
      </x:c>
    </x:row>
    <x:row r="1313" ht="96" customHeight="1">
      <x:c r="A1313" s="115" t="str">
        <x:v>EXT-MONDE-T027-V08</x:v>
      </x:c>
      <x:c r="B1313" s="115" t="str">
        <x:v>EXT-MONDE-T027</x:v>
      </x:c>
      <x:c r="C1313" s="115" t="str">
        <x:v>Fermes cultures</x:v>
      </x:c>
      <x:c r="D1313" s="115" t="str">
        <x:v>Ferme maraîchère</x:v>
      </x:c>
      <x:c r="E1313" s="115" t="n">
        <x:v>8</x:v>
      </x:c>
      <x:c r="F1313" s="115" t="str">
        <x:v>Inspection physique</x:v>
      </x:c>
      <x:c r="G1313" s="115" t="str">
        <x:v>1 niveaux ; 28 pièces ; 210 segments de mur ; 0 transitions. Inspection physique ; architecture complète encore ouverte.</x:v>
      </x:c>
      <x:c r="H1313" s="115" t="str">
        <x:v>L 260 ; l 224 ; hauteur 6,5 m ; choix de composition auteur ; dimensions réelles à documenter</x:v>
      </x:c>
      <x:c r="I1313" s="115" t="str">
        <x:v>À équilibrer</x:v>
      </x:c>
      <x:c r="J1313" s="115" t="str">
        <x:v>Non</x:v>
      </x:c>
      <x:c r="K1313" s="115" t="str">
        <x:v>Pièces décrites, murs, portes, niveaux et mobilier inspectables à l’échelle. Volumes réservés, raccord au seed, butin, rencontres et services de campagne restent à terminer.</x:v>
      </x:c>
    </x:row>
    <x:row r="1314" ht="96" customHeight="1">
      <x:c r="A1314" s="115" t="str">
        <x:v>EXT-MONDE-T027-V09</x:v>
      </x:c>
      <x:c r="B1314" s="115" t="str">
        <x:v>EXT-MONDE-T027</x:v>
      </x:c>
      <x:c r="C1314" s="115" t="str">
        <x:v>Fermes cultures</x:v>
      </x:c>
      <x:c r="D1314" s="115" t="str">
        <x:v>Ferme maraîchère</x:v>
      </x:c>
      <x:c r="E1314" s="115" t="n">
        <x:v>9</x:v>
      </x:c>
      <x:c r="F1314" s="115" t="str">
        <x:v>Inspection physique</x:v>
      </x:c>
      <x:c r="G1314" s="115" t="str">
        <x:v>1 niveaux ; 28 pièces ; 210 segments de mur ; 0 transitions. Inspection physique ; architecture complète encore ouverte.</x:v>
      </x:c>
      <x:c r="H1314" s="115" t="str">
        <x:v>L 260 ; l 224 ; hauteur 6,5 m ; choix de composition auteur ; dimensions réelles à documenter</x:v>
      </x:c>
      <x:c r="I1314" s="115" t="str">
        <x:v>À équilibrer</x:v>
      </x:c>
      <x:c r="J1314" s="115" t="str">
        <x:v>Non</x:v>
      </x:c>
      <x:c r="K1314" s="115" t="str">
        <x:v>Pièces décrites, murs, portes, niveaux et mobilier inspectables à l’échelle. Volumes réservés, raccord au seed, butin, rencontres et services de campagne restent à terminer.</x:v>
      </x:c>
    </x:row>
    <x:row r="1315" ht="96" customHeight="1">
      <x:c r="A1315" s="115" t="str">
        <x:v>EXT-MONDE-T027-V10</x:v>
      </x:c>
      <x:c r="B1315" s="115" t="str">
        <x:v>EXT-MONDE-T027</x:v>
      </x:c>
      <x:c r="C1315" s="115" t="str">
        <x:v>Fermes cultures</x:v>
      </x:c>
      <x:c r="D1315" s="115" t="str">
        <x:v>Ferme maraîchère</x:v>
      </x:c>
      <x:c r="E1315" s="115" t="n">
        <x:v>10</x:v>
      </x:c>
      <x:c r="F1315" s="115" t="str">
        <x:v>Inspection physique</x:v>
      </x:c>
      <x:c r="G1315" s="115" t="str">
        <x:v>1 niveaux ; 28 pièces ; 210 segments de mur ; 0 transitions. Inspection physique ; architecture complète encore ouverte.</x:v>
      </x:c>
      <x:c r="H1315" s="115" t="str">
        <x:v>L 260 ; l 224 ; hauteur 6,5 m ; choix de composition auteur ; dimensions réelles à documenter</x:v>
      </x:c>
      <x:c r="I1315" s="115" t="str">
        <x:v>À équilibrer</x:v>
      </x:c>
      <x:c r="J1315" s="115" t="str">
        <x:v>Non</x:v>
      </x:c>
      <x:c r="K1315" s="115" t="str">
        <x:v>Pièces décrites, murs, portes, niveaux et mobilier inspectables à l’échelle. Volumes réservés, raccord au seed, butin, rencontres et services de campagne restent à terminer.</x:v>
      </x:c>
    </x:row>
    <x:row r="1316" ht="96" customHeight="1">
      <x:c r="A1316" s="115" t="str">
        <x:v>EXT-MONDE-T027-V11</x:v>
      </x:c>
      <x:c r="B1316" s="115" t="str">
        <x:v>EXT-MONDE-T027</x:v>
      </x:c>
      <x:c r="C1316" s="115" t="str">
        <x:v>Fermes cultures</x:v>
      </x:c>
      <x:c r="D1316" s="115" t="str">
        <x:v>Ferme maraîchère</x:v>
      </x:c>
      <x:c r="E1316" s="115" t="n">
        <x:v>11</x:v>
      </x:c>
      <x:c r="F1316" s="115" t="str">
        <x:v>Inspection physique</x:v>
      </x:c>
      <x:c r="G1316" s="115" t="str">
        <x:v>1 niveaux ; 28 pièces ; 210 segments de mur ; 0 transitions. Inspection physique ; architecture complète encore ouverte.</x:v>
      </x:c>
      <x:c r="H1316" s="115" t="str">
        <x:v>L 280 ; l 248 ; hauteur 6,7 m ; choix de composition auteur ; dimensions réelles à documenter</x:v>
      </x:c>
      <x:c r="I1316" s="115" t="str">
        <x:v>À équilibrer</x:v>
      </x:c>
      <x:c r="J1316" s="115" t="str">
        <x:v>Non</x:v>
      </x:c>
      <x:c r="K1316" s="115" t="str">
        <x:v>Pièces décrites, murs, portes, niveaux et mobilier inspectables à l’échelle. Volumes réservés, raccord au seed, butin, rencontres et services de campagne restent à terminer.</x:v>
      </x:c>
    </x:row>
    <x:row r="1317" ht="96" customHeight="1">
      <x:c r="A1317" s="115" t="str">
        <x:v>EXT-MONDE-T027-V12</x:v>
      </x:c>
      <x:c r="B1317" s="115" t="str">
        <x:v>EXT-MONDE-T027</x:v>
      </x:c>
      <x:c r="C1317" s="115" t="str">
        <x:v>Fermes cultures</x:v>
      </x:c>
      <x:c r="D1317" s="115" t="str">
        <x:v>Ferme maraîchère</x:v>
      </x:c>
      <x:c r="E1317" s="115" t="n">
        <x:v>12</x:v>
      </x:c>
      <x:c r="F1317" s="115" t="str">
        <x:v>Inspection physique</x:v>
      </x:c>
      <x:c r="G1317" s="115" t="str">
        <x:v>1 niveaux ; 28 pièces ; 210 segments de mur ; 0 transitions. Inspection physique ; architecture complète encore ouverte.</x:v>
      </x:c>
      <x:c r="H1317" s="115" t="str">
        <x:v>L 280 ; l 248 ; hauteur 6,7 m ; choix de composition auteur ; dimensions réelles à documenter</x:v>
      </x:c>
      <x:c r="I1317" s="115" t="str">
        <x:v>À équilibrer</x:v>
      </x:c>
      <x:c r="J1317" s="115" t="str">
        <x:v>Non</x:v>
      </x:c>
      <x:c r="K1317" s="115" t="str">
        <x:v>Pièces décrites, murs, portes, niveaux et mobilier inspectables à l’échelle. Volumes réservés, raccord au seed, butin, rencontres et services de campagne restent à terminer.</x:v>
      </x:c>
    </x:row>
    <x:row r="1318" ht="96" customHeight="1">
      <x:c r="A1318" s="115" t="str">
        <x:v>EXT-MONDE-T027-V13</x:v>
      </x:c>
      <x:c r="B1318" s="115" t="str">
        <x:v>EXT-MONDE-T027</x:v>
      </x:c>
      <x:c r="C1318" s="115" t="str">
        <x:v>Fermes cultures</x:v>
      </x:c>
      <x:c r="D1318" s="115" t="str">
        <x:v>Ferme maraîchère</x:v>
      </x:c>
      <x:c r="E1318" s="115" t="n">
        <x:v>13</x:v>
      </x:c>
      <x:c r="F1318" s="115" t="str">
        <x:v>Inspection physique</x:v>
      </x:c>
      <x:c r="G1318" s="115" t="str">
        <x:v>1 niveaux ; 28 pièces ; 210 segments de mur ; 0 transitions. Inspection physique ; architecture complète encore ouverte.</x:v>
      </x:c>
      <x:c r="H1318" s="115" t="str">
        <x:v>L 280 ; l 248 ; hauteur 6,7 m ; choix de composition auteur ; dimensions réelles à documenter</x:v>
      </x:c>
      <x:c r="I1318" s="115" t="str">
        <x:v>À équilibrer</x:v>
      </x:c>
      <x:c r="J1318" s="115" t="str">
        <x:v>Non</x:v>
      </x:c>
      <x:c r="K1318" s="115" t="str">
        <x:v>Pièces décrites, murs, portes, niveaux et mobilier inspectables à l’échelle. Volumes réservés, raccord au seed, butin, rencontres et services de campagne restent à terminer.</x:v>
      </x:c>
    </x:row>
    <x:row r="1319" ht="96" customHeight="1">
      <x:c r="A1319" s="115" t="str">
        <x:v>EXT-MONDE-T027-V14</x:v>
      </x:c>
      <x:c r="B1319" s="115" t="str">
        <x:v>EXT-MONDE-T027</x:v>
      </x:c>
      <x:c r="C1319" s="115" t="str">
        <x:v>Fermes cultures</x:v>
      </x:c>
      <x:c r="D1319" s="115" t="str">
        <x:v>Ferme maraîchère</x:v>
      </x:c>
      <x:c r="E1319" s="115" t="n">
        <x:v>14</x:v>
      </x:c>
      <x:c r="F1319" s="115" t="str">
        <x:v>Inspection physique</x:v>
      </x:c>
      <x:c r="G1319" s="115" t="str">
        <x:v>1 niveaux ; 28 pièces ; 210 segments de mur ; 0 transitions. Inspection physique ; architecture complète encore ouverte.</x:v>
      </x:c>
      <x:c r="H1319" s="115" t="str">
        <x:v>L 280 ; l 248 ; hauteur 6,7 m ; choix de composition auteur ; dimensions réelles à documenter</x:v>
      </x:c>
      <x:c r="I1319" s="115" t="str">
        <x:v>À équilibrer</x:v>
      </x:c>
      <x:c r="J1319" s="115" t="str">
        <x:v>Non</x:v>
      </x:c>
      <x:c r="K1319" s="115" t="str">
        <x:v>Pièces décrites, murs, portes, niveaux et mobilier inspectables à l’échelle. Volumes réservés, raccord au seed, butin, rencontres et services de campagne restent à terminer.</x:v>
      </x:c>
    </x:row>
    <x:row r="1320" ht="96" customHeight="1">
      <x:c r="A1320" s="115" t="str">
        <x:v>EXT-MONDE-T027-V15</x:v>
      </x:c>
      <x:c r="B1320" s="115" t="str">
        <x:v>EXT-MONDE-T027</x:v>
      </x:c>
      <x:c r="C1320" s="115" t="str">
        <x:v>Fermes cultures</x:v>
      </x:c>
      <x:c r="D1320" s="115" t="str">
        <x:v>Ferme maraîchère</x:v>
      </x:c>
      <x:c r="E1320" s="115" t="n">
        <x:v>15</x:v>
      </x:c>
      <x:c r="F1320" s="115" t="str">
        <x:v>Inspection physique</x:v>
      </x:c>
      <x:c r="G1320" s="115" t="str">
        <x:v>1 niveaux ; 28 pièces ; 210 segments de mur ; 0 transitions. Inspection physique ; architecture complète encore ouverte.</x:v>
      </x:c>
      <x:c r="H1320" s="115" t="str">
        <x:v>L 280 ; l 248 ; hauteur 6,7 m ; choix de composition auteur ; dimensions réelles à documenter</x:v>
      </x:c>
      <x:c r="I1320" s="115" t="str">
        <x:v>À équilibrer</x:v>
      </x:c>
      <x:c r="J1320" s="115" t="str">
        <x:v>Non</x:v>
      </x:c>
      <x:c r="K1320" s="115" t="str">
        <x:v>Pièces décrites, murs, portes, niveaux et mobilier inspectables à l’échelle. Volumes réservés, raccord au seed, butin, rencontres et services de campagne restent à terminer.</x:v>
      </x:c>
    </x:row>
    <x:row r="1321" ht="96" customHeight="1">
      <x:c r="A1321" s="115" t="str">
        <x:v>EXT-MONDE-T027-V16</x:v>
      </x:c>
      <x:c r="B1321" s="115" t="str">
        <x:v>EXT-MONDE-T027</x:v>
      </x:c>
      <x:c r="C1321" s="115" t="str">
        <x:v>Fermes cultures</x:v>
      </x:c>
      <x:c r="D1321" s="115" t="str">
        <x:v>Ferme maraîchère</x:v>
      </x:c>
      <x:c r="E1321" s="115" t="n">
        <x:v>16</x:v>
      </x:c>
      <x:c r="F1321" s="115" t="str">
        <x:v>Inspection physique</x:v>
      </x:c>
      <x:c r="G1321" s="115" t="str">
        <x:v>1 niveaux ; 28 pièces ; 210 segments de mur ; 0 transitions. Inspection physique ; architecture complète encore ouverte.</x:v>
      </x:c>
      <x:c r="H1321" s="115" t="str">
        <x:v>L 280 ; l 248 ; hauteur 6,7 m ; choix de composition auteur ; dimensions réelles à documenter</x:v>
      </x:c>
      <x:c r="I1321" s="115" t="str">
        <x:v>À équilibrer</x:v>
      </x:c>
      <x:c r="J1321" s="115" t="str">
        <x:v>Non</x:v>
      </x:c>
      <x:c r="K1321" s="115" t="str">
        <x:v>Pièces décrites, murs, portes, niveaux et mobilier inspectables à l’échelle. Volumes réservés, raccord au seed, butin, rencontres et services de campagne restent à terminer.</x:v>
      </x:c>
    </x:row>
    <x:row r="1322" ht="96" customHeight="1">
      <x:c r="A1322" s="115" t="str">
        <x:v>EXT-MONDE-T027-V17</x:v>
      </x:c>
      <x:c r="B1322" s="115" t="str">
        <x:v>EXT-MONDE-T027</x:v>
      </x:c>
      <x:c r="C1322" s="115" t="str">
        <x:v>Fermes cultures</x:v>
      </x:c>
      <x:c r="D1322" s="115" t="str">
        <x:v>Ferme maraîchère</x:v>
      </x:c>
      <x:c r="E1322" s="115" t="n">
        <x:v>17</x:v>
      </x:c>
      <x:c r="F1322" s="115" t="str">
        <x:v>Inspection physique</x:v>
      </x:c>
      <x:c r="G1322" s="115" t="str">
        <x:v>1 niveaux ; 28 pièces ; 210 segments de mur ; 0 transitions. Inspection physique ; architecture complète encore ouverte.</x:v>
      </x:c>
      <x:c r="H1322" s="115" t="str">
        <x:v>L 280 ; l 248 ; hauteur 6,7 m ; choix de composition auteur ; dimensions réelles à documenter</x:v>
      </x:c>
      <x:c r="I1322" s="115" t="str">
        <x:v>À équilibrer</x:v>
      </x:c>
      <x:c r="J1322" s="115" t="str">
        <x:v>Non</x:v>
      </x:c>
      <x:c r="K1322" s="115" t="str">
        <x:v>Pièces décrites, murs, portes, niveaux et mobilier inspectables à l’échelle. Volumes réservés, raccord au seed, butin, rencontres et services de campagne restent à terminer.</x:v>
      </x:c>
    </x:row>
    <x:row r="1323" ht="96" customHeight="1">
      <x:c r="A1323" s="115" t="str">
        <x:v>EXT-MONDE-T027-V18</x:v>
      </x:c>
      <x:c r="B1323" s="115" t="str">
        <x:v>EXT-MONDE-T027</x:v>
      </x:c>
      <x:c r="C1323" s="115" t="str">
        <x:v>Fermes cultures</x:v>
      </x:c>
      <x:c r="D1323" s="115" t="str">
        <x:v>Ferme maraîchère</x:v>
      </x:c>
      <x:c r="E1323" s="115" t="n">
        <x:v>18</x:v>
      </x:c>
      <x:c r="F1323" s="115" t="str">
        <x:v>Inspection physique</x:v>
      </x:c>
      <x:c r="G1323" s="115" t="str">
        <x:v>1 niveaux ; 28 pièces ; 210 segments de mur ; 0 transitions. Inspection physique ; architecture complète encore ouverte.</x:v>
      </x:c>
      <x:c r="H1323" s="115" t="str">
        <x:v>L 280 ; l 248 ; hauteur 6,7 m ; choix de composition auteur ; dimensions réelles à documenter</x:v>
      </x:c>
      <x:c r="I1323" s="115" t="str">
        <x:v>À équilibrer</x:v>
      </x:c>
      <x:c r="J1323" s="115" t="str">
        <x:v>Non</x:v>
      </x:c>
      <x:c r="K1323" s="115" t="str">
        <x:v>Pièces décrites, murs, portes, niveaux et mobilier inspectables à l’échelle. Volumes réservés, raccord au seed, butin, rencontres et services de campagne restent à terminer.</x:v>
      </x:c>
    </x:row>
    <x:row r="1324" ht="96" customHeight="1">
      <x:c r="A1324" s="115" t="str">
        <x:v>EXT-MONDE-T027-V19</x:v>
      </x:c>
      <x:c r="B1324" s="115" t="str">
        <x:v>EXT-MONDE-T027</x:v>
      </x:c>
      <x:c r="C1324" s="115" t="str">
        <x:v>Fermes cultures</x:v>
      </x:c>
      <x:c r="D1324" s="115" t="str">
        <x:v>Ferme maraîchère</x:v>
      </x:c>
      <x:c r="E1324" s="115" t="n">
        <x:v>19</x:v>
      </x:c>
      <x:c r="F1324" s="115" t="str">
        <x:v>Inspection physique</x:v>
      </x:c>
      <x:c r="G1324" s="115" t="str">
        <x:v>1 niveaux ; 28 pièces ; 210 segments de mur ; 0 transitions. Inspection physique ; architecture complète encore ouverte.</x:v>
      </x:c>
      <x:c r="H1324" s="115" t="str">
        <x:v>L 280 ; l 248 ; hauteur 6,7 m ; choix de composition auteur ; dimensions réelles à documenter</x:v>
      </x:c>
      <x:c r="I1324" s="115" t="str">
        <x:v>À équilibrer</x:v>
      </x:c>
      <x:c r="J1324" s="115" t="str">
        <x:v>Non</x:v>
      </x:c>
      <x:c r="K1324" s="115" t="str">
        <x:v>Pièces décrites, murs, portes, niveaux et mobilier inspectables à l’échelle. Volumes réservés, raccord au seed, butin, rencontres et services de campagne restent à terminer.</x:v>
      </x:c>
    </x:row>
    <x:row r="1325" ht="96" customHeight="1">
      <x:c r="A1325" s="115" t="str">
        <x:v>EXT-MONDE-T027-V20</x:v>
      </x:c>
      <x:c r="B1325" s="115" t="str">
        <x:v>EXT-MONDE-T027</x:v>
      </x:c>
      <x:c r="C1325" s="115" t="str">
        <x:v>Fermes cultures</x:v>
      </x:c>
      <x:c r="D1325" s="115" t="str">
        <x:v>Ferme maraîchère</x:v>
      </x:c>
      <x:c r="E1325" s="115" t="n">
        <x:v>20</x:v>
      </x:c>
      <x:c r="F1325" s="115" t="str">
        <x:v>Inspection physique</x:v>
      </x:c>
      <x:c r="G1325" s="115" t="str">
        <x:v>1 niveaux ; 28 pièces ; 210 segments de mur ; 0 transitions. Inspection physique ; architecture complète encore ouverte.</x:v>
      </x:c>
      <x:c r="H1325" s="115" t="str">
        <x:v>L 280 ; l 248 ; hauteur 6,7 m ; choix de composition auteur ; dimensions réelles à documenter</x:v>
      </x:c>
      <x:c r="I1325" s="115" t="str">
        <x:v>À équilibrer</x:v>
      </x:c>
      <x:c r="J1325" s="115" t="str">
        <x:v>Non</x:v>
      </x:c>
      <x:c r="K1325" s="115" t="str">
        <x:v>Pièces décrites, murs, portes, niveaux et mobilier inspectables à l’échelle. Volumes réservés, raccord au seed, butin, rencontres et services de campagne restent à terminer.</x:v>
      </x:c>
    </x:row>
    <x:row r="1326" ht="96" customHeight="1">
      <x:c r="A1326" s="115" t="str">
        <x:v>EXT-MONDE-T027-V21</x:v>
      </x:c>
      <x:c r="B1326" s="115" t="str">
        <x:v>EXT-MONDE-T027</x:v>
      </x:c>
      <x:c r="C1326" s="115" t="str">
        <x:v>Fermes cultures</x:v>
      </x:c>
      <x:c r="D1326" s="115" t="str">
        <x:v>Ferme maraîchère</x:v>
      </x:c>
      <x:c r="E1326" s="115" t="n">
        <x:v>21</x:v>
      </x:c>
      <x:c r="F1326" s="115" t="str">
        <x:v>Inspection physique</x:v>
      </x:c>
      <x:c r="G1326" s="115" t="str">
        <x:v>1 niveaux ; 28 pièces ; 210 segments de mur ; 0 transitions. Inspection physique ; architecture complète encore ouverte.</x:v>
      </x:c>
      <x:c r="H1326" s="115" t="str">
        <x:v>L 300 ; l 272 ; hauteur 6,9 m ; choix de composition auteur ; dimensions réelles à documenter</x:v>
      </x:c>
      <x:c r="I1326" s="115" t="str">
        <x:v>À équilibrer</x:v>
      </x:c>
      <x:c r="J1326" s="115" t="str">
        <x:v>Non</x:v>
      </x:c>
      <x:c r="K1326" s="115" t="str">
        <x:v>Pièces décrites, murs, portes, niveaux et mobilier inspectables à l’échelle. Volumes réservés, raccord au seed, butin, rencontres et services de campagne restent à terminer.</x:v>
      </x:c>
    </x:row>
    <x:row r="1327" ht="96" customHeight="1">
      <x:c r="A1327" s="115" t="str">
        <x:v>EXT-MONDE-T027-V22</x:v>
      </x:c>
      <x:c r="B1327" s="115" t="str">
        <x:v>EXT-MONDE-T027</x:v>
      </x:c>
      <x:c r="C1327" s="115" t="str">
        <x:v>Fermes cultures</x:v>
      </x:c>
      <x:c r="D1327" s="115" t="str">
        <x:v>Ferme maraîchère</x:v>
      </x:c>
      <x:c r="E1327" s="115" t="n">
        <x:v>22</x:v>
      </x:c>
      <x:c r="F1327" s="115" t="str">
        <x:v>Inspection physique</x:v>
      </x:c>
      <x:c r="G1327" s="115" t="str">
        <x:v>1 niveaux ; 28 pièces ; 210 segments de mur ; 0 transitions. Inspection physique ; architecture complète encore ouverte.</x:v>
      </x:c>
      <x:c r="H1327" s="115" t="str">
        <x:v>L 300 ; l 272 ; hauteur 6,9 m ; choix de composition auteur ; dimensions réelles à documenter</x:v>
      </x:c>
      <x:c r="I1327" s="115" t="str">
        <x:v>À équilibrer</x:v>
      </x:c>
      <x:c r="J1327" s="115" t="str">
        <x:v>Non</x:v>
      </x:c>
      <x:c r="K1327" s="115" t="str">
        <x:v>Pièces décrites, murs, portes, niveaux et mobilier inspectables à l’échelle. Volumes réservés, raccord au seed, butin, rencontres et services de campagne restent à terminer.</x:v>
      </x:c>
    </x:row>
    <x:row r="1328" ht="96" customHeight="1">
      <x:c r="A1328" s="115" t="str">
        <x:v>EXT-MONDE-T027-V23</x:v>
      </x:c>
      <x:c r="B1328" s="115" t="str">
        <x:v>EXT-MONDE-T027</x:v>
      </x:c>
      <x:c r="C1328" s="115" t="str">
        <x:v>Fermes cultures</x:v>
      </x:c>
      <x:c r="D1328" s="115" t="str">
        <x:v>Ferme maraîchère</x:v>
      </x:c>
      <x:c r="E1328" s="115" t="n">
        <x:v>23</x:v>
      </x:c>
      <x:c r="F1328" s="115" t="str">
        <x:v>Inspection physique</x:v>
      </x:c>
      <x:c r="G1328" s="115" t="str">
        <x:v>1 niveaux ; 28 pièces ; 210 segments de mur ; 0 transitions. Inspection physique ; architecture complète encore ouverte.</x:v>
      </x:c>
      <x:c r="H1328" s="115" t="str">
        <x:v>L 300 ; l 272 ; hauteur 6,9 m ; choix de composition auteur ; dimensions réelles à documenter</x:v>
      </x:c>
      <x:c r="I1328" s="115" t="str">
        <x:v>À équilibrer</x:v>
      </x:c>
      <x:c r="J1328" s="115" t="str">
        <x:v>Non</x:v>
      </x:c>
      <x:c r="K1328" s="115" t="str">
        <x:v>Pièces décrites, murs, portes, niveaux et mobilier inspectables à l’échelle. Volumes réservés, raccord au seed, butin, rencontres et services de campagne restent à terminer.</x:v>
      </x:c>
    </x:row>
    <x:row r="1329" ht="96" customHeight="1">
      <x:c r="A1329" s="115" t="str">
        <x:v>EXT-MONDE-T027-V24</x:v>
      </x:c>
      <x:c r="B1329" s="115" t="str">
        <x:v>EXT-MONDE-T027</x:v>
      </x:c>
      <x:c r="C1329" s="115" t="str">
        <x:v>Fermes cultures</x:v>
      </x:c>
      <x:c r="D1329" s="115" t="str">
        <x:v>Ferme maraîchère</x:v>
      </x:c>
      <x:c r="E1329" s="115" t="n">
        <x:v>24</x:v>
      </x:c>
      <x:c r="F1329" s="115" t="str">
        <x:v>Inspection physique</x:v>
      </x:c>
      <x:c r="G1329" s="115" t="str">
        <x:v>1 niveaux ; 28 pièces ; 210 segments de mur ; 0 transitions. Inspection physique ; architecture complète encore ouverte.</x:v>
      </x:c>
      <x:c r="H1329" s="115" t="str">
        <x:v>L 300 ; l 272 ; hauteur 6,9 m ; choix de composition auteur ; dimensions réelles à documenter</x:v>
      </x:c>
      <x:c r="I1329" s="115" t="str">
        <x:v>À équilibrer</x:v>
      </x:c>
      <x:c r="J1329" s="115" t="str">
        <x:v>Non</x:v>
      </x:c>
      <x:c r="K1329" s="115" t="str">
        <x:v>Pièces décrites, murs, portes, niveaux et mobilier inspectables à l’échelle. Volumes réservés, raccord au seed, butin, rencontres et services de campagne restent à terminer.</x:v>
      </x:c>
    </x:row>
    <x:row r="1330" ht="96" customHeight="1">
      <x:c r="A1330" s="115" t="str">
        <x:v>EXT-MONDE-T027-V25</x:v>
      </x:c>
      <x:c r="B1330" s="115" t="str">
        <x:v>EXT-MONDE-T027</x:v>
      </x:c>
      <x:c r="C1330" s="115" t="str">
        <x:v>Fermes cultures</x:v>
      </x:c>
      <x:c r="D1330" s="115" t="str">
        <x:v>Ferme maraîchère</x:v>
      </x:c>
      <x:c r="E1330" s="115" t="n">
        <x:v>25</x:v>
      </x:c>
      <x:c r="F1330" s="115" t="str">
        <x:v>Inspection physique</x:v>
      </x:c>
      <x:c r="G1330" s="115" t="str">
        <x:v>1 niveaux ; 28 pièces ; 210 segments de mur ; 0 transitions. Inspection physique ; architecture complète encore ouverte.</x:v>
      </x:c>
      <x:c r="H1330" s="115" t="str">
        <x:v>L 300 ; l 272 ; hauteur 6,9 m ; choix de composition auteur ; dimensions réelles à documenter</x:v>
      </x:c>
      <x:c r="I1330" s="115" t="str">
        <x:v>À équilibrer</x:v>
      </x:c>
      <x:c r="J1330" s="115" t="str">
        <x:v>Non</x:v>
      </x:c>
      <x:c r="K1330" s="115" t="str">
        <x:v>Pièces décrites, murs, portes, niveaux et mobilier inspectables à l’échelle. Volumes réservés, raccord au seed, butin, rencontres et services de campagne restent à terminer.</x:v>
      </x:c>
    </x:row>
    <x:row r="1331" ht="96" customHeight="1">
      <x:c r="A1331" s="115" t="str">
        <x:v>EXT-MONDE-T027-V26</x:v>
      </x:c>
      <x:c r="B1331" s="115" t="str">
        <x:v>EXT-MONDE-T027</x:v>
      </x:c>
      <x:c r="C1331" s="115" t="str">
        <x:v>Fermes cultures</x:v>
      </x:c>
      <x:c r="D1331" s="115" t="str">
        <x:v>Ferme maraîchère</x:v>
      </x:c>
      <x:c r="E1331" s="115" t="n">
        <x:v>26</x:v>
      </x:c>
      <x:c r="F1331" s="115" t="str">
        <x:v>Inspection physique</x:v>
      </x:c>
      <x:c r="G1331" s="115" t="str">
        <x:v>1 niveaux ; 28 pièces ; 210 segments de mur ; 0 transitions. Inspection physique ; architecture complète encore ouverte.</x:v>
      </x:c>
      <x:c r="H1331" s="115" t="str">
        <x:v>L 300 ; l 272 ; hauteur 6,9 m ; choix de composition auteur ; dimensions réelles à documenter</x:v>
      </x:c>
      <x:c r="I1331" s="115" t="str">
        <x:v>À équilibrer</x:v>
      </x:c>
      <x:c r="J1331" s="115" t="str">
        <x:v>Non</x:v>
      </x:c>
      <x:c r="K1331" s="115" t="str">
        <x:v>Pièces décrites, murs, portes, niveaux et mobilier inspectables à l’échelle. Volumes réservés, raccord au seed, butin, rencontres et services de campagne restent à terminer.</x:v>
      </x:c>
    </x:row>
    <x:row r="1332" ht="96" customHeight="1">
      <x:c r="A1332" s="115" t="str">
        <x:v>EXT-MONDE-T027-V27</x:v>
      </x:c>
      <x:c r="B1332" s="115" t="str">
        <x:v>EXT-MONDE-T027</x:v>
      </x:c>
      <x:c r="C1332" s="115" t="str">
        <x:v>Fermes cultures</x:v>
      </x:c>
      <x:c r="D1332" s="115" t="str">
        <x:v>Ferme maraîchère</x:v>
      </x:c>
      <x:c r="E1332" s="115" t="n">
        <x:v>27</x:v>
      </x:c>
      <x:c r="F1332" s="115" t="str">
        <x:v>Inspection physique</x:v>
      </x:c>
      <x:c r="G1332" s="115" t="str">
        <x:v>1 niveaux ; 28 pièces ; 210 segments de mur ; 0 transitions. Inspection physique ; architecture complète encore ouverte.</x:v>
      </x:c>
      <x:c r="H1332" s="115" t="str">
        <x:v>L 300 ; l 272 ; hauteur 6,9 m ; choix de composition auteur ; dimensions réelles à documenter</x:v>
      </x:c>
      <x:c r="I1332" s="115" t="str">
        <x:v>À équilibrer</x:v>
      </x:c>
      <x:c r="J1332" s="115" t="str">
        <x:v>Non</x:v>
      </x:c>
      <x:c r="K1332" s="115" t="str">
        <x:v>Pièces décrites, murs, portes, niveaux et mobilier inspectables à l’échelle. Volumes réservés, raccord au seed, butin, rencontres et services de campagne restent à terminer.</x:v>
      </x:c>
    </x:row>
    <x:row r="1333" ht="96" customHeight="1">
      <x:c r="A1333" s="115" t="str">
        <x:v>EXT-MONDE-T027-V28</x:v>
      </x:c>
      <x:c r="B1333" s="115" t="str">
        <x:v>EXT-MONDE-T027</x:v>
      </x:c>
      <x:c r="C1333" s="115" t="str">
        <x:v>Fermes cultures</x:v>
      </x:c>
      <x:c r="D1333" s="115" t="str">
        <x:v>Ferme maraîchère</x:v>
      </x:c>
      <x:c r="E1333" s="115" t="n">
        <x:v>28</x:v>
      </x:c>
      <x:c r="F1333" s="115" t="str">
        <x:v>Inspection physique</x:v>
      </x:c>
      <x:c r="G1333" s="115" t="str">
        <x:v>1 niveaux ; 28 pièces ; 210 segments de mur ; 0 transitions. Inspection physique ; architecture complète encore ouverte.</x:v>
      </x:c>
      <x:c r="H1333" s="115" t="str">
        <x:v>L 300 ; l 272 ; hauteur 6,9 m ; choix de composition auteur ; dimensions réelles à documenter</x:v>
      </x:c>
      <x:c r="I1333" s="115" t="str">
        <x:v>À équilibrer</x:v>
      </x:c>
      <x:c r="J1333" s="115" t="str">
        <x:v>Non</x:v>
      </x:c>
      <x:c r="K1333" s="115" t="str">
        <x:v>Pièces décrites, murs, portes, niveaux et mobilier inspectables à l’échelle. Volumes réservés, raccord au seed, butin, rencontres et services de campagne restent à terminer.</x:v>
      </x:c>
    </x:row>
    <x:row r="1334" ht="96" customHeight="1">
      <x:c r="A1334" s="115" t="str">
        <x:v>EXT-MONDE-T027-V29</x:v>
      </x:c>
      <x:c r="B1334" s="115" t="str">
        <x:v>EXT-MONDE-T027</x:v>
      </x:c>
      <x:c r="C1334" s="115" t="str">
        <x:v>Fermes cultures</x:v>
      </x:c>
      <x:c r="D1334" s="115" t="str">
        <x:v>Ferme maraîchère</x:v>
      </x:c>
      <x:c r="E1334" s="115" t="n">
        <x:v>29</x:v>
      </x:c>
      <x:c r="F1334" s="115" t="str">
        <x:v>Inspection physique</x:v>
      </x:c>
      <x:c r="G1334" s="115" t="str">
        <x:v>1 niveaux ; 28 pièces ; 210 segments de mur ; 0 transitions. Inspection physique ; architecture complète encore ouverte.</x:v>
      </x:c>
      <x:c r="H1334" s="115" t="str">
        <x:v>L 300 ; l 272 ; hauteur 6,9 m ; choix de composition auteur ; dimensions réelles à documenter</x:v>
      </x:c>
      <x:c r="I1334" s="115" t="str">
        <x:v>À équilibrer</x:v>
      </x:c>
      <x:c r="J1334" s="115" t="str">
        <x:v>Non</x:v>
      </x:c>
      <x:c r="K1334" s="115" t="str">
        <x:v>Pièces décrites, murs, portes, niveaux et mobilier inspectables à l’échelle. Volumes réservés, raccord au seed, butin, rencontres et services de campagne restent à terminer.</x:v>
      </x:c>
    </x:row>
    <x:row r="1335" ht="96" customHeight="1">
      <x:c r="A1335" s="115" t="str">
        <x:v>EXT-MONDE-T027-V30</x:v>
      </x:c>
      <x:c r="B1335" s="115" t="str">
        <x:v>EXT-MONDE-T027</x:v>
      </x:c>
      <x:c r="C1335" s="115" t="str">
        <x:v>Fermes cultures</x:v>
      </x:c>
      <x:c r="D1335" s="115" t="str">
        <x:v>Ferme maraîchère</x:v>
      </x:c>
      <x:c r="E1335" s="115" t="n">
        <x:v>30</x:v>
      </x:c>
      <x:c r="F1335" s="115" t="str">
        <x:v>Inspection physique</x:v>
      </x:c>
      <x:c r="G1335" s="115" t="str">
        <x:v>1 niveaux ; 28 pièces ; 210 segments de mur ; 0 transitions. Inspection physique ; architecture complète encore ouverte.</x:v>
      </x:c>
      <x:c r="H1335" s="115" t="str">
        <x:v>L 300 ; l 272 ; hauteur 6,9 m ; choix de composition auteur ; dimensions réelles à documenter</x:v>
      </x:c>
      <x:c r="I1335" s="115" t="str">
        <x:v>À équilibrer</x:v>
      </x:c>
      <x:c r="J1335" s="115" t="str">
        <x:v>Non</x:v>
      </x:c>
      <x:c r="K1335" s="115" t="str">
        <x:v>Pièces décrites, murs, portes, niveaux et mobilier inspectables à l’échelle. Volumes réservés, raccord au seed, butin, rencontres et services de campagne restent à terminer.</x:v>
      </x:c>
    </x:row>
    <x:row r="1336" ht="96" customHeight="1">
      <x:c r="A1336" s="115" t="str">
        <x:v>EXT-MONDE-T027-V31</x:v>
      </x:c>
      <x:c r="B1336" s="115" t="str">
        <x:v>EXT-MONDE-T027</x:v>
      </x:c>
      <x:c r="C1336" s="115" t="str">
        <x:v>Fermes cultures</x:v>
      </x:c>
      <x:c r="D1336" s="115" t="str">
        <x:v>Ferme maraîchère</x:v>
      </x:c>
      <x:c r="E1336" s="115" t="n">
        <x:v>31</x:v>
      </x:c>
      <x:c r="F1336" s="115" t="str">
        <x:v>Inspection physique</x:v>
      </x:c>
      <x:c r="G1336" s="115" t="str">
        <x:v>1 niveaux ; 28 pièces ; 210 segments de mur ; 0 transitions. Inspection physique ; architecture complète encore ouverte.</x:v>
      </x:c>
      <x:c r="H1336" s="115" t="str">
        <x:v>L 320 ; l 296 ; hauteur 7,1 m ; choix de composition auteur ; dimensions réelles à documenter</x:v>
      </x:c>
      <x:c r="I1336" s="115" t="str">
        <x:v>À équilibrer</x:v>
      </x:c>
      <x:c r="J1336" s="115" t="str">
        <x:v>Non</x:v>
      </x:c>
      <x:c r="K1336" s="115" t="str">
        <x:v>Pièces décrites, murs, portes, niveaux et mobilier inspectables à l’échelle. Volumes réservés, raccord au seed, butin, rencontres et services de campagne restent à terminer.</x:v>
      </x:c>
    </x:row>
    <x:row r="1337" ht="96" customHeight="1">
      <x:c r="A1337" s="115" t="str">
        <x:v>EXT-MONDE-T027-V32</x:v>
      </x:c>
      <x:c r="B1337" s="115" t="str">
        <x:v>EXT-MONDE-T027</x:v>
      </x:c>
      <x:c r="C1337" s="115" t="str">
        <x:v>Fermes cultures</x:v>
      </x:c>
      <x:c r="D1337" s="115" t="str">
        <x:v>Ferme maraîchère</x:v>
      </x:c>
      <x:c r="E1337" s="115" t="n">
        <x:v>32</x:v>
      </x:c>
      <x:c r="F1337" s="115" t="str">
        <x:v>Inspection physique</x:v>
      </x:c>
      <x:c r="G1337" s="115" t="str">
        <x:v>1 niveaux ; 28 pièces ; 210 segments de mur ; 0 transitions. Inspection physique ; architecture complète encore ouverte.</x:v>
      </x:c>
      <x:c r="H1337" s="115" t="str">
        <x:v>L 320 ; l 296 ; hauteur 7,1 m ; choix de composition auteur ; dimensions réelles à documenter</x:v>
      </x:c>
      <x:c r="I1337" s="115" t="str">
        <x:v>À équilibrer</x:v>
      </x:c>
      <x:c r="J1337" s="115" t="str">
        <x:v>Non</x:v>
      </x:c>
      <x:c r="K1337" s="115" t="str">
        <x:v>Pièces décrites, murs, portes, niveaux et mobilier inspectables à l’échelle. Volumes réservés, raccord au seed, butin, rencontres et services de campagne restent à terminer.</x:v>
      </x:c>
    </x:row>
    <x:row r="1338" ht="96" customHeight="1">
      <x:c r="A1338" s="115" t="str">
        <x:v>EXT-MONDE-T027-V33</x:v>
      </x:c>
      <x:c r="B1338" s="115" t="str">
        <x:v>EXT-MONDE-T027</x:v>
      </x:c>
      <x:c r="C1338" s="115" t="str">
        <x:v>Fermes cultures</x:v>
      </x:c>
      <x:c r="D1338" s="115" t="str">
        <x:v>Ferme maraîchère</x:v>
      </x:c>
      <x:c r="E1338" s="115" t="n">
        <x:v>33</x:v>
      </x:c>
      <x:c r="F1338" s="115" t="str">
        <x:v>Inspection physique</x:v>
      </x:c>
      <x:c r="G1338" s="115" t="str">
        <x:v>1 niveaux ; 28 pièces ; 210 segments de mur ; 0 transitions. Inspection physique ; architecture complète encore ouverte.</x:v>
      </x:c>
      <x:c r="H1338" s="115" t="str">
        <x:v>L 320 ; l 296 ; hauteur 7,1 m ; choix de composition auteur ; dimensions réelles à documenter</x:v>
      </x:c>
      <x:c r="I1338" s="115" t="str">
        <x:v>À équilibrer</x:v>
      </x:c>
      <x:c r="J1338" s="115" t="str">
        <x:v>Non</x:v>
      </x:c>
      <x:c r="K1338" s="115" t="str">
        <x:v>Pièces décrites, murs, portes, niveaux et mobilier inspectables à l’échelle. Volumes réservés, raccord au seed, butin, rencontres et services de campagne restent à terminer.</x:v>
      </x:c>
    </x:row>
    <x:row r="1339" ht="96" customHeight="1">
      <x:c r="A1339" s="115" t="str">
        <x:v>EXT-MONDE-T027-V34</x:v>
      </x:c>
      <x:c r="B1339" s="115" t="str">
        <x:v>EXT-MONDE-T027</x:v>
      </x:c>
      <x:c r="C1339" s="115" t="str">
        <x:v>Fermes cultures</x:v>
      </x:c>
      <x:c r="D1339" s="115" t="str">
        <x:v>Ferme maraîchère</x:v>
      </x:c>
      <x:c r="E1339" s="115" t="n">
        <x:v>34</x:v>
      </x:c>
      <x:c r="F1339" s="115" t="str">
        <x:v>Inspection physique</x:v>
      </x:c>
      <x:c r="G1339" s="115" t="str">
        <x:v>1 niveaux ; 28 pièces ; 210 segments de mur ; 0 transitions. Inspection physique ; architecture complète encore ouverte.</x:v>
      </x:c>
      <x:c r="H1339" s="115" t="str">
        <x:v>L 320 ; l 296 ; hauteur 7,1 m ; choix de composition auteur ; dimensions réelles à documenter</x:v>
      </x:c>
      <x:c r="I1339" s="115" t="str">
        <x:v>À équilibrer</x:v>
      </x:c>
      <x:c r="J1339" s="115" t="str">
        <x:v>Non</x:v>
      </x:c>
      <x:c r="K1339" s="115" t="str">
        <x:v>Pièces décrites, murs, portes, niveaux et mobilier inspectables à l’échelle. Volumes réservés, raccord au seed, butin, rencontres et services de campagne restent à terminer.</x:v>
      </x:c>
    </x:row>
    <x:row r="1340" ht="96" customHeight="1">
      <x:c r="A1340" s="115" t="str">
        <x:v>EXT-MONDE-T027-V35</x:v>
      </x:c>
      <x:c r="B1340" s="115" t="str">
        <x:v>EXT-MONDE-T027</x:v>
      </x:c>
      <x:c r="C1340" s="115" t="str">
        <x:v>Fermes cultures</x:v>
      </x:c>
      <x:c r="D1340" s="115" t="str">
        <x:v>Ferme maraîchère</x:v>
      </x:c>
      <x:c r="E1340" s="115" t="n">
        <x:v>35</x:v>
      </x:c>
      <x:c r="F1340" s="115" t="str">
        <x:v>Inspection physique</x:v>
      </x:c>
      <x:c r="G1340" s="115" t="str">
        <x:v>1 niveaux ; 28 pièces ; 210 segments de mur ; 0 transitions. Inspection physique ; architecture complète encore ouverte.</x:v>
      </x:c>
      <x:c r="H1340" s="115" t="str">
        <x:v>L 320 ; l 296 ; hauteur 7,1 m ; choix de composition auteur ; dimensions réelles à documenter</x:v>
      </x:c>
      <x:c r="I1340" s="115" t="str">
        <x:v>À équilibrer</x:v>
      </x:c>
      <x:c r="J1340" s="115" t="str">
        <x:v>Non</x:v>
      </x:c>
      <x:c r="K1340" s="115" t="str">
        <x:v>Pièces décrites, murs, portes, niveaux et mobilier inspectables à l’échelle. Volumes réservés, raccord au seed, butin, rencontres et services de campagne restent à terminer.</x:v>
      </x:c>
    </x:row>
    <x:row r="1341" ht="96" customHeight="1">
      <x:c r="A1341" s="115" t="str">
        <x:v>EXT-MONDE-T027-V36</x:v>
      </x:c>
      <x:c r="B1341" s="115" t="str">
        <x:v>EXT-MONDE-T027</x:v>
      </x:c>
      <x:c r="C1341" s="115" t="str">
        <x:v>Fermes cultures</x:v>
      </x:c>
      <x:c r="D1341" s="115" t="str">
        <x:v>Ferme maraîchère</x:v>
      </x:c>
      <x:c r="E1341" s="115" t="n">
        <x:v>36</x:v>
      </x:c>
      <x:c r="F1341" s="115" t="str">
        <x:v>Inspection physique</x:v>
      </x:c>
      <x:c r="G1341" s="115" t="str">
        <x:v>1 niveaux ; 28 pièces ; 210 segments de mur ; 0 transitions. Inspection physique ; architecture complète encore ouverte.</x:v>
      </x:c>
      <x:c r="H1341" s="115" t="str">
        <x:v>L 320 ; l 296 ; hauteur 7,1 m ; choix de composition auteur ; dimensions réelles à documenter</x:v>
      </x:c>
      <x:c r="I1341" s="115" t="str">
        <x:v>À équilibrer</x:v>
      </x:c>
      <x:c r="J1341" s="115" t="str">
        <x:v>Non</x:v>
      </x:c>
      <x:c r="K1341" s="115" t="str">
        <x:v>Pièces décrites, murs, portes, niveaux et mobilier inspectables à l’échelle. Volumes réservés, raccord au seed, butin, rencontres et services de campagne restent à terminer.</x:v>
      </x:c>
    </x:row>
    <x:row r="1342" ht="96" customHeight="1">
      <x:c r="A1342" s="115" t="str">
        <x:v>EXT-MONDE-T027-V37</x:v>
      </x:c>
      <x:c r="B1342" s="115" t="str">
        <x:v>EXT-MONDE-T027</x:v>
      </x:c>
      <x:c r="C1342" s="115" t="str">
        <x:v>Fermes cultures</x:v>
      </x:c>
      <x:c r="D1342" s="115" t="str">
        <x:v>Ferme maraîchère</x:v>
      </x:c>
      <x:c r="E1342" s="115" t="n">
        <x:v>37</x:v>
      </x:c>
      <x:c r="F1342" s="115" t="str">
        <x:v>Inspection physique</x:v>
      </x:c>
      <x:c r="G1342" s="115" t="str">
        <x:v>1 niveaux ; 28 pièces ; 210 segments de mur ; 0 transitions. Inspection physique ; architecture complète encore ouverte.</x:v>
      </x:c>
      <x:c r="H1342" s="115" t="str">
        <x:v>L 320 ; l 296 ; hauteur 7,1 m ; choix de composition auteur ; dimensions réelles à documenter</x:v>
      </x:c>
      <x:c r="I1342" s="115" t="str">
        <x:v>À équilibrer</x:v>
      </x:c>
      <x:c r="J1342" s="115" t="str">
        <x:v>Non</x:v>
      </x:c>
      <x:c r="K1342" s="115" t="str">
        <x:v>Pièces décrites, murs, portes, niveaux et mobilier inspectables à l’échelle. Volumes réservés, raccord au seed, butin, rencontres et services de campagne restent à terminer.</x:v>
      </x:c>
    </x:row>
    <x:row r="1343" ht="96" customHeight="1">
      <x:c r="A1343" s="115" t="str">
        <x:v>EXT-MONDE-T027-V38</x:v>
      </x:c>
      <x:c r="B1343" s="115" t="str">
        <x:v>EXT-MONDE-T027</x:v>
      </x:c>
      <x:c r="C1343" s="115" t="str">
        <x:v>Fermes cultures</x:v>
      </x:c>
      <x:c r="D1343" s="115" t="str">
        <x:v>Ferme maraîchère</x:v>
      </x:c>
      <x:c r="E1343" s="115" t="n">
        <x:v>38</x:v>
      </x:c>
      <x:c r="F1343" s="115" t="str">
        <x:v>Inspection physique</x:v>
      </x:c>
      <x:c r="G1343" s="115" t="str">
        <x:v>1 niveaux ; 28 pièces ; 210 segments de mur ; 0 transitions. Inspection physique ; architecture complète encore ouverte.</x:v>
      </x:c>
      <x:c r="H1343" s="115" t="str">
        <x:v>L 320 ; l 296 ; hauteur 7,1 m ; choix de composition auteur ; dimensions réelles à documenter</x:v>
      </x:c>
      <x:c r="I1343" s="115" t="str">
        <x:v>À équilibrer</x:v>
      </x:c>
      <x:c r="J1343" s="115" t="str">
        <x:v>Non</x:v>
      </x:c>
      <x:c r="K1343" s="115" t="str">
        <x:v>Pièces décrites, murs, portes, niveaux et mobilier inspectables à l’échelle. Volumes réservés, raccord au seed, butin, rencontres et services de campagne restent à terminer.</x:v>
      </x:c>
    </x:row>
    <x:row r="1344" ht="96" customHeight="1">
      <x:c r="A1344" s="115" t="str">
        <x:v>EXT-MONDE-T027-V39</x:v>
      </x:c>
      <x:c r="B1344" s="115" t="str">
        <x:v>EXT-MONDE-T027</x:v>
      </x:c>
      <x:c r="C1344" s="115" t="str">
        <x:v>Fermes cultures</x:v>
      </x:c>
      <x:c r="D1344" s="115" t="str">
        <x:v>Ferme maraîchère</x:v>
      </x:c>
      <x:c r="E1344" s="115" t="n">
        <x:v>39</x:v>
      </x:c>
      <x:c r="F1344" s="115" t="str">
        <x:v>Inspection physique</x:v>
      </x:c>
      <x:c r="G1344" s="115" t="str">
        <x:v>1 niveaux ; 28 pièces ; 210 segments de mur ; 0 transitions. Inspection physique ; architecture complète encore ouverte.</x:v>
      </x:c>
      <x:c r="H1344" s="115" t="str">
        <x:v>L 320 ; l 296 ; hauteur 7,1 m ; choix de composition auteur ; dimensions réelles à documenter</x:v>
      </x:c>
      <x:c r="I1344" s="115" t="str">
        <x:v>À équilibrer</x:v>
      </x:c>
      <x:c r="J1344" s="115" t="str">
        <x:v>Non</x:v>
      </x:c>
      <x:c r="K1344" s="115" t="str">
        <x:v>Pièces décrites, murs, portes, niveaux et mobilier inspectables à l’échelle. Volumes réservés, raccord au seed, butin, rencontres et services de campagne restent à terminer.</x:v>
      </x:c>
    </x:row>
    <x:row r="1345" ht="96" customHeight="1">
      <x:c r="A1345" s="115" t="str">
        <x:v>EXT-MONDE-T027-V40</x:v>
      </x:c>
      <x:c r="B1345" s="115" t="str">
        <x:v>EXT-MONDE-T027</x:v>
      </x:c>
      <x:c r="C1345" s="115" t="str">
        <x:v>Fermes cultures</x:v>
      </x:c>
      <x:c r="D1345" s="115" t="str">
        <x:v>Ferme maraîchère</x:v>
      </x:c>
      <x:c r="E1345" s="115" t="n">
        <x:v>40</x:v>
      </x:c>
      <x:c r="F1345" s="115" t="str">
        <x:v>Inspection physique</x:v>
      </x:c>
      <x:c r="G1345" s="115" t="str">
        <x:v>1 niveaux ; 28 pièces ; 210 segments de mur ; 0 transitions. Inspection physique ; architecture complète encore ouverte.</x:v>
      </x:c>
      <x:c r="H1345" s="115" t="str">
        <x:v>L 320 ; l 296 ; hauteur 7,1 m ; choix de composition auteur ; dimensions réelles à documenter</x:v>
      </x:c>
      <x:c r="I1345" s="115" t="str">
        <x:v>À équilibrer</x:v>
      </x:c>
      <x:c r="J1345" s="115" t="str">
        <x:v>Non</x:v>
      </x:c>
      <x:c r="K1345" s="115" t="str">
        <x:v>Pièces décrites, murs, portes, niveaux et mobilier inspectables à l’échelle. Volumes réservés, raccord au seed, butin, rencontres et services de campagne restent à terminer.</x:v>
      </x:c>
    </x:row>
    <x:row r="1346" ht="96" customHeight="1">
      <x:c r="A1346" s="115" t="str">
        <x:v>EXT-MONDE-T027-V41</x:v>
      </x:c>
      <x:c r="B1346" s="115" t="str">
        <x:v>EXT-MONDE-T027</x:v>
      </x:c>
      <x:c r="C1346" s="115" t="str">
        <x:v>Fermes cultures</x:v>
      </x:c>
      <x:c r="D1346" s="115" t="str">
        <x:v>Ferme maraîchère</x:v>
      </x:c>
      <x:c r="E1346" s="115" t="n">
        <x:v>41</x:v>
      </x:c>
      <x:c r="F1346" s="115" t="str">
        <x:v>Inspection physique</x:v>
      </x:c>
      <x:c r="G1346" s="115" t="str">
        <x:v>1 niveaux ; 28 pièces ; 210 segments de mur ; 0 transitions. Inspection physique ; architecture complète encore ouverte.</x:v>
      </x:c>
      <x:c r="H1346" s="115" t="str">
        <x:v>L 340 ; l 320 ; hauteur 7,3 m ; choix de composition auteur ; dimensions réelles à documenter</x:v>
      </x:c>
      <x:c r="I1346" s="115" t="str">
        <x:v>À équilibrer</x:v>
      </x:c>
      <x:c r="J1346" s="115" t="str">
        <x:v>Non</x:v>
      </x:c>
      <x:c r="K1346" s="115" t="str">
        <x:v>Pièces décrites, murs, portes, niveaux et mobilier inspectables à l’échelle. Volumes réservés, raccord au seed, butin, rencontres et services de campagne restent à terminer.</x:v>
      </x:c>
    </x:row>
    <x:row r="1347" ht="96" customHeight="1">
      <x:c r="A1347" s="115" t="str">
        <x:v>EXT-MONDE-T027-V42</x:v>
      </x:c>
      <x:c r="B1347" s="115" t="str">
        <x:v>EXT-MONDE-T027</x:v>
      </x:c>
      <x:c r="C1347" s="115" t="str">
        <x:v>Fermes cultures</x:v>
      </x:c>
      <x:c r="D1347" s="115" t="str">
        <x:v>Ferme maraîchère</x:v>
      </x:c>
      <x:c r="E1347" s="115" t="n">
        <x:v>42</x:v>
      </x:c>
      <x:c r="F1347" s="115" t="str">
        <x:v>Inspection physique</x:v>
      </x:c>
      <x:c r="G1347" s="115" t="str">
        <x:v>1 niveaux ; 28 pièces ; 210 segments de mur ; 0 transitions. Inspection physique ; architecture complète encore ouverte.</x:v>
      </x:c>
      <x:c r="H1347" s="115" t="str">
        <x:v>L 340 ; l 320 ; hauteur 7,3 m ; choix de composition auteur ; dimensions réelles à documenter</x:v>
      </x:c>
      <x:c r="I1347" s="115" t="str">
        <x:v>À équilibrer</x:v>
      </x:c>
      <x:c r="J1347" s="115" t="str">
        <x:v>Non</x:v>
      </x:c>
      <x:c r="K1347" s="115" t="str">
        <x:v>Pièces décrites, murs, portes, niveaux et mobilier inspectables à l’échelle. Volumes réservés, raccord au seed, butin, rencontres et services de campagne restent à terminer.</x:v>
      </x:c>
    </x:row>
    <x:row r="1348" ht="96" customHeight="1">
      <x:c r="A1348" s="115" t="str">
        <x:v>EXT-MONDE-T027-V43</x:v>
      </x:c>
      <x:c r="B1348" s="115" t="str">
        <x:v>EXT-MONDE-T027</x:v>
      </x:c>
      <x:c r="C1348" s="115" t="str">
        <x:v>Fermes cultures</x:v>
      </x:c>
      <x:c r="D1348" s="115" t="str">
        <x:v>Ferme maraîchère</x:v>
      </x:c>
      <x:c r="E1348" s="115" t="n">
        <x:v>43</x:v>
      </x:c>
      <x:c r="F1348" s="115" t="str">
        <x:v>Inspection physique</x:v>
      </x:c>
      <x:c r="G1348" s="115" t="str">
        <x:v>1 niveaux ; 28 pièces ; 210 segments de mur ; 0 transitions. Inspection physique ; architecture complète encore ouverte.</x:v>
      </x:c>
      <x:c r="H1348" s="115" t="str">
        <x:v>L 340 ; l 320 ; hauteur 7,3 m ; choix de composition auteur ; dimensions réelles à documenter</x:v>
      </x:c>
      <x:c r="I1348" s="115" t="str">
        <x:v>À équilibrer</x:v>
      </x:c>
      <x:c r="J1348" s="115" t="str">
        <x:v>Non</x:v>
      </x:c>
      <x:c r="K1348" s="115" t="str">
        <x:v>Pièces décrites, murs, portes, niveaux et mobilier inspectables à l’échelle. Volumes réservés, raccord au seed, butin, rencontres et services de campagne restent à terminer.</x:v>
      </x:c>
    </x:row>
    <x:row r="1349" ht="96" customHeight="1">
      <x:c r="A1349" s="115" t="str">
        <x:v>EXT-MONDE-T027-V44</x:v>
      </x:c>
      <x:c r="B1349" s="115" t="str">
        <x:v>EXT-MONDE-T027</x:v>
      </x:c>
      <x:c r="C1349" s="115" t="str">
        <x:v>Fermes cultures</x:v>
      </x:c>
      <x:c r="D1349" s="115" t="str">
        <x:v>Ferme maraîchère</x:v>
      </x:c>
      <x:c r="E1349" s="115" t="n">
        <x:v>44</x:v>
      </x:c>
      <x:c r="F1349" s="115" t="str">
        <x:v>Inspection physique</x:v>
      </x:c>
      <x:c r="G1349" s="115" t="str">
        <x:v>1 niveaux ; 28 pièces ; 210 segments de mur ; 0 transitions. Inspection physique ; architecture complète encore ouverte.</x:v>
      </x:c>
      <x:c r="H1349" s="115" t="str">
        <x:v>L 340 ; l 320 ; hauteur 7,3 m ; choix de composition auteur ; dimensions réelles à documenter</x:v>
      </x:c>
      <x:c r="I1349" s="115" t="str">
        <x:v>À équilibrer</x:v>
      </x:c>
      <x:c r="J1349" s="115" t="str">
        <x:v>Non</x:v>
      </x:c>
      <x:c r="K1349" s="115" t="str">
        <x:v>Pièces décrites, murs, portes, niveaux et mobilier inspectables à l’échelle. Volumes réservés, raccord au seed, butin, rencontres et services de campagne restent à terminer.</x:v>
      </x:c>
    </x:row>
    <x:row r="1350" ht="96" customHeight="1">
      <x:c r="A1350" s="115" t="str">
        <x:v>EXT-MONDE-T027-V45</x:v>
      </x:c>
      <x:c r="B1350" s="115" t="str">
        <x:v>EXT-MONDE-T027</x:v>
      </x:c>
      <x:c r="C1350" s="115" t="str">
        <x:v>Fermes cultures</x:v>
      </x:c>
      <x:c r="D1350" s="115" t="str">
        <x:v>Ferme maraîchère</x:v>
      </x:c>
      <x:c r="E1350" s="115" t="n">
        <x:v>45</x:v>
      </x:c>
      <x:c r="F1350" s="115" t="str">
        <x:v>Inspection physique</x:v>
      </x:c>
      <x:c r="G1350" s="115" t="str">
        <x:v>1 niveaux ; 28 pièces ; 210 segments de mur ; 0 transitions. Inspection physique ; architecture complète encore ouverte.</x:v>
      </x:c>
      <x:c r="H1350" s="115" t="str">
        <x:v>L 340 ; l 320 ; hauteur 7,3 m ; choix de composition auteur ; dimensions réelles à documenter</x:v>
      </x:c>
      <x:c r="I1350" s="115" t="str">
        <x:v>À équilibrer</x:v>
      </x:c>
      <x:c r="J1350" s="115" t="str">
        <x:v>Non</x:v>
      </x:c>
      <x:c r="K1350" s="115" t="str">
        <x:v>Pièces décrites, murs, portes, niveaux et mobilier inspectables à l’échelle. Volumes réservés, raccord au seed, butin, rencontres et services de campagne restent à terminer.</x:v>
      </x:c>
    </x:row>
    <x:row r="1351" ht="96" customHeight="1">
      <x:c r="A1351" s="115" t="str">
        <x:v>EXT-MONDE-T027-V46</x:v>
      </x:c>
      <x:c r="B1351" s="115" t="str">
        <x:v>EXT-MONDE-T027</x:v>
      </x:c>
      <x:c r="C1351" s="115" t="str">
        <x:v>Fermes cultures</x:v>
      </x:c>
      <x:c r="D1351" s="115" t="str">
        <x:v>Ferme maraîchère</x:v>
      </x:c>
      <x:c r="E1351" s="115" t="n">
        <x:v>46</x:v>
      </x:c>
      <x:c r="F1351" s="115" t="str">
        <x:v>Inspection physique</x:v>
      </x:c>
      <x:c r="G1351" s="115" t="str">
        <x:v>1 niveaux ; 28 pièces ; 210 segments de mur ; 0 transitions. Inspection physique ; architecture complète encore ouverte.</x:v>
      </x:c>
      <x:c r="H1351" s="115" t="str">
        <x:v>L 340 ; l 320 ; hauteur 7,3 m ; choix de composition auteur ; dimensions réelles à documenter</x:v>
      </x:c>
      <x:c r="I1351" s="115" t="str">
        <x:v>À équilibrer</x:v>
      </x:c>
      <x:c r="J1351" s="115" t="str">
        <x:v>Non</x:v>
      </x:c>
      <x:c r="K1351" s="115" t="str">
        <x:v>Pièces décrites, murs, portes, niveaux et mobilier inspectables à l’échelle. Volumes réservés, raccord au seed, butin, rencontres et services de campagne restent à terminer.</x:v>
      </x:c>
    </x:row>
    <x:row r="1352" ht="96" customHeight="1">
      <x:c r="A1352" s="115" t="str">
        <x:v>EXT-MONDE-T027-V47</x:v>
      </x:c>
      <x:c r="B1352" s="115" t="str">
        <x:v>EXT-MONDE-T027</x:v>
      </x:c>
      <x:c r="C1352" s="115" t="str">
        <x:v>Fermes cultures</x:v>
      </x:c>
      <x:c r="D1352" s="115" t="str">
        <x:v>Ferme maraîchère</x:v>
      </x:c>
      <x:c r="E1352" s="115" t="n">
        <x:v>47</x:v>
      </x:c>
      <x:c r="F1352" s="115" t="str">
        <x:v>Inspection physique</x:v>
      </x:c>
      <x:c r="G1352" s="115" t="str">
        <x:v>1 niveaux ; 28 pièces ; 210 segments de mur ; 0 transitions. Inspection physique ; architecture complète encore ouverte.</x:v>
      </x:c>
      <x:c r="H1352" s="115" t="str">
        <x:v>L 340 ; l 320 ; hauteur 7,3 m ; choix de composition auteur ; dimensions réelles à documenter</x:v>
      </x:c>
      <x:c r="I1352" s="115" t="str">
        <x:v>À équilibrer</x:v>
      </x:c>
      <x:c r="J1352" s="115" t="str">
        <x:v>Non</x:v>
      </x:c>
      <x:c r="K1352" s="115" t="str">
        <x:v>Pièces décrites, murs, portes, niveaux et mobilier inspectables à l’échelle. Volumes réservés, raccord au seed, butin, rencontres et services de campagne restent à terminer.</x:v>
      </x:c>
    </x:row>
    <x:row r="1353" ht="96" customHeight="1">
      <x:c r="A1353" s="115" t="str">
        <x:v>EXT-MONDE-T027-V48</x:v>
      </x:c>
      <x:c r="B1353" s="115" t="str">
        <x:v>EXT-MONDE-T027</x:v>
      </x:c>
      <x:c r="C1353" s="115" t="str">
        <x:v>Fermes cultures</x:v>
      </x:c>
      <x:c r="D1353" s="115" t="str">
        <x:v>Ferme maraîchère</x:v>
      </x:c>
      <x:c r="E1353" s="115" t="n">
        <x:v>48</x:v>
      </x:c>
      <x:c r="F1353" s="115" t="str">
        <x:v>Inspection physique</x:v>
      </x:c>
      <x:c r="G1353" s="115" t="str">
        <x:v>1 niveaux ; 28 pièces ; 210 segments de mur ; 0 transitions. Inspection physique ; architecture complète encore ouverte.</x:v>
      </x:c>
      <x:c r="H1353" s="115" t="str">
        <x:v>L 340 ; l 320 ; hauteur 7,3 m ; choix de composition auteur ; dimensions réelles à documenter</x:v>
      </x:c>
      <x:c r="I1353" s="115" t="str">
        <x:v>À équilibrer</x:v>
      </x:c>
      <x:c r="J1353" s="115" t="str">
        <x:v>Non</x:v>
      </x:c>
      <x:c r="K1353" s="115" t="str">
        <x:v>Pièces décrites, murs, portes, niveaux et mobilier inspectables à l’échelle. Volumes réservés, raccord au seed, butin, rencontres et services de campagne restent à terminer.</x:v>
      </x:c>
    </x:row>
    <x:row r="1354" ht="96" customHeight="1">
      <x:c r="A1354" s="115" t="str">
        <x:v>EXT-MONDE-T027-V49</x:v>
      </x:c>
      <x:c r="B1354" s="115" t="str">
        <x:v>EXT-MONDE-T027</x:v>
      </x:c>
      <x:c r="C1354" s="115" t="str">
        <x:v>Fermes cultures</x:v>
      </x:c>
      <x:c r="D1354" s="115" t="str">
        <x:v>Ferme maraîchère</x:v>
      </x:c>
      <x:c r="E1354" s="115" t="n">
        <x:v>49</x:v>
      </x:c>
      <x:c r="F1354" s="115" t="str">
        <x:v>Inspection physique</x:v>
      </x:c>
      <x:c r="G1354" s="115" t="str">
        <x:v>1 niveaux ; 28 pièces ; 210 segments de mur ; 0 transitions. Inspection physique ; architecture complète encore ouverte.</x:v>
      </x:c>
      <x:c r="H1354" s="115" t="str">
        <x:v>L 340 ; l 320 ; hauteur 7,3 m ; choix de composition auteur ; dimensions réelles à documenter</x:v>
      </x:c>
      <x:c r="I1354" s="115" t="str">
        <x:v>À équilibrer</x:v>
      </x:c>
      <x:c r="J1354" s="115" t="str">
        <x:v>Non</x:v>
      </x:c>
      <x:c r="K1354" s="115" t="str">
        <x:v>Pièces décrites, murs, portes, niveaux et mobilier inspectables à l’échelle. Volumes réservés, raccord au seed, butin, rencontres et services de campagne restent à terminer.</x:v>
      </x:c>
    </x:row>
    <x:row r="1355" ht="96" customHeight="1">
      <x:c r="A1355" s="115" t="str">
        <x:v>EXT-MONDE-T027-V50</x:v>
      </x:c>
      <x:c r="B1355" s="115" t="str">
        <x:v>EXT-MONDE-T027</x:v>
      </x:c>
      <x:c r="C1355" s="115" t="str">
        <x:v>Fermes cultures</x:v>
      </x:c>
      <x:c r="D1355" s="115" t="str">
        <x:v>Ferme maraîchère</x:v>
      </x:c>
      <x:c r="E1355" s="115" t="n">
        <x:v>50</x:v>
      </x:c>
      <x:c r="F1355" s="115" t="str">
        <x:v>Inspection physique</x:v>
      </x:c>
      <x:c r="G1355" s="115" t="str">
        <x:v>1 niveaux ; 28 pièces ; 210 segments de mur ; 0 transitions. Inspection physique ; architecture complète encore ouverte.</x:v>
      </x:c>
      <x:c r="H1355" s="115" t="str">
        <x:v>L 340 ; l 320 ; hauteur 7,3 m ; choix de composition auteur ; dimensions réelles à documenter</x:v>
      </x:c>
      <x:c r="I1355" s="115" t="str">
        <x:v>À équilibrer</x:v>
      </x:c>
      <x:c r="J1355" s="115" t="str">
        <x:v>Non</x:v>
      </x:c>
      <x:c r="K1355" s="115" t="str">
        <x:v>Pièces décrites, murs, portes, niveaux et mobilier inspectables à l’échelle. Volumes réservés, raccord au seed, butin, rencontres et services de campagne restent à terminer.</x:v>
      </x:c>
    </x:row>
    <x:row r="1356" ht="96" customHeight="1">
      <x:c r="A1356" s="115" t="str">
        <x:v>EXT-MONDE-T028-V01</x:v>
      </x:c>
      <x:c r="B1356" s="115" t="str">
        <x:v>EXT-MONDE-T028</x:v>
      </x:c>
      <x:c r="C1356" s="115" t="str">
        <x:v>Fermes cultures</x:v>
      </x:c>
      <x:c r="D1356" s="115" t="str">
        <x:v>Verger avec conditionnement</x:v>
      </x:c>
      <x:c r="E1356" s="115" t="n">
        <x:v>1</x:v>
      </x:c>
      <x:c r="F1356" s="115" t="str">
        <x:v>Inspection physique</x:v>
      </x:c>
      <x:c r="G1356" s="115" t="str">
        <x:v>1 niveaux ; 26 pièces ; 198 segments de mur ; 0 transitions. Inspection physique ; architecture complète encore ouverte.</x:v>
      </x:c>
      <x:c r="H1356" s="115" t="str">
        <x:v>L 260 ; l 224 ; hauteur 6,5 m ; choix de composition auteur ; dimensions réelles à documenter</x:v>
      </x:c>
      <x:c r="I1356" s="115" t="str">
        <x:v>À équilibrer</x:v>
      </x:c>
      <x:c r="J1356" s="115" t="str">
        <x:v>Non</x:v>
      </x:c>
      <x:c r="K1356" s="115" t="str">
        <x:v>Pièces décrites, murs, portes, niveaux et mobilier inspectables à l’échelle. Volumes réservés, raccord au seed, butin, rencontres et services de campagne restent à terminer.</x:v>
      </x:c>
    </x:row>
    <x:row r="1357" ht="96" customHeight="1">
      <x:c r="A1357" s="115" t="str">
        <x:v>EXT-MONDE-T028-V02</x:v>
      </x:c>
      <x:c r="B1357" s="115" t="str">
        <x:v>EXT-MONDE-T028</x:v>
      </x:c>
      <x:c r="C1357" s="115" t="str">
        <x:v>Fermes cultures</x:v>
      </x:c>
      <x:c r="D1357" s="115" t="str">
        <x:v>Verger avec conditionnement</x:v>
      </x:c>
      <x:c r="E1357" s="115" t="n">
        <x:v>2</x:v>
      </x:c>
      <x:c r="F1357" s="115" t="str">
        <x:v>Inspection physique</x:v>
      </x:c>
      <x:c r="G1357" s="115" t="str">
        <x:v>1 niveaux ; 26 pièces ; 198 segments de mur ; 0 transitions. Inspection physique ; architecture complète encore ouverte.</x:v>
      </x:c>
      <x:c r="H1357" s="115" t="str">
        <x:v>L 260 ; l 224 ; hauteur 6,5 m ; choix de composition auteur ; dimensions réelles à documenter</x:v>
      </x:c>
      <x:c r="I1357" s="115" t="str">
        <x:v>À équilibrer</x:v>
      </x:c>
      <x:c r="J1357" s="115" t="str">
        <x:v>Non</x:v>
      </x:c>
      <x:c r="K1357" s="115" t="str">
        <x:v>Pièces décrites, murs, portes, niveaux et mobilier inspectables à l’échelle. Volumes réservés, raccord au seed, butin, rencontres et services de campagne restent à terminer.</x:v>
      </x:c>
    </x:row>
    <x:row r="1358" ht="96" customHeight="1">
      <x:c r="A1358" s="115" t="str">
        <x:v>EXT-MONDE-T028-V03</x:v>
      </x:c>
      <x:c r="B1358" s="115" t="str">
        <x:v>EXT-MONDE-T028</x:v>
      </x:c>
      <x:c r="C1358" s="115" t="str">
        <x:v>Fermes cultures</x:v>
      </x:c>
      <x:c r="D1358" s="115" t="str">
        <x:v>Verger avec conditionnement</x:v>
      </x:c>
      <x:c r="E1358" s="115" t="n">
        <x:v>3</x:v>
      </x:c>
      <x:c r="F1358" s="115" t="str">
        <x:v>Inspection physique</x:v>
      </x:c>
      <x:c r="G1358" s="115" t="str">
        <x:v>1 niveaux ; 26 pièces ; 198 segments de mur ; 0 transitions. Inspection physique ; architecture complète encore ouverte.</x:v>
      </x:c>
      <x:c r="H1358" s="115" t="str">
        <x:v>L 260 ; l 224 ; hauteur 6,5 m ; choix de composition auteur ; dimensions réelles à documenter</x:v>
      </x:c>
      <x:c r="I1358" s="115" t="str">
        <x:v>À équilibrer</x:v>
      </x:c>
      <x:c r="J1358" s="115" t="str">
        <x:v>Non</x:v>
      </x:c>
      <x:c r="K1358" s="115" t="str">
        <x:v>Pièces décrites, murs, portes, niveaux et mobilier inspectables à l’échelle. Volumes réservés, raccord au seed, butin, rencontres et services de campagne restent à terminer.</x:v>
      </x:c>
    </x:row>
    <x:row r="1359" ht="96" customHeight="1">
      <x:c r="A1359" s="115" t="str">
        <x:v>EXT-MONDE-T028-V04</x:v>
      </x:c>
      <x:c r="B1359" s="115" t="str">
        <x:v>EXT-MONDE-T028</x:v>
      </x:c>
      <x:c r="C1359" s="115" t="str">
        <x:v>Fermes cultures</x:v>
      </x:c>
      <x:c r="D1359" s="115" t="str">
        <x:v>Verger avec conditionnement</x:v>
      </x:c>
      <x:c r="E1359" s="115" t="n">
        <x:v>4</x:v>
      </x:c>
      <x:c r="F1359" s="115" t="str">
        <x:v>Inspection physique</x:v>
      </x:c>
      <x:c r="G1359" s="115" t="str">
        <x:v>1 niveaux ; 26 pièces ; 198 segments de mur ; 0 transitions. Inspection physique ; architecture complète encore ouverte.</x:v>
      </x:c>
      <x:c r="H1359" s="115" t="str">
        <x:v>L 260 ; l 224 ; hauteur 6,5 m ; choix de composition auteur ; dimensions réelles à documenter</x:v>
      </x:c>
      <x:c r="I1359" s="115" t="str">
        <x:v>À équilibrer</x:v>
      </x:c>
      <x:c r="J1359" s="115" t="str">
        <x:v>Non</x:v>
      </x:c>
      <x:c r="K1359" s="115" t="str">
        <x:v>Pièces décrites, murs, portes, niveaux et mobilier inspectables à l’échelle. Volumes réservés, raccord au seed, butin, rencontres et services de campagne restent à terminer.</x:v>
      </x:c>
    </x:row>
    <x:row r="1360" ht="96" customHeight="1">
      <x:c r="A1360" s="115" t="str">
        <x:v>EXT-MONDE-T028-V05</x:v>
      </x:c>
      <x:c r="B1360" s="115" t="str">
        <x:v>EXT-MONDE-T028</x:v>
      </x:c>
      <x:c r="C1360" s="115" t="str">
        <x:v>Fermes cultures</x:v>
      </x:c>
      <x:c r="D1360" s="115" t="str">
        <x:v>Verger avec conditionnement</x:v>
      </x:c>
      <x:c r="E1360" s="115" t="n">
        <x:v>5</x:v>
      </x:c>
      <x:c r="F1360" s="115" t="str">
        <x:v>Inspection physique</x:v>
      </x:c>
      <x:c r="G1360" s="115" t="str">
        <x:v>1 niveaux ; 26 pièces ; 198 segments de mur ; 0 transitions. Inspection physique ; architecture complète encore ouverte.</x:v>
      </x:c>
      <x:c r="H1360" s="115" t="str">
        <x:v>L 260 ; l 224 ; hauteur 6,5 m ; choix de composition auteur ; dimensions réelles à documenter</x:v>
      </x:c>
      <x:c r="I1360" s="115" t="str">
        <x:v>À équilibrer</x:v>
      </x:c>
      <x:c r="J1360" s="115" t="str">
        <x:v>Non</x:v>
      </x:c>
      <x:c r="K1360" s="115" t="str">
        <x:v>Pièces décrites, murs, portes, niveaux et mobilier inspectables à l’échelle. Volumes réservés, raccord au seed, butin, rencontres et services de campagne restent à terminer.</x:v>
      </x:c>
    </x:row>
    <x:row r="1361" ht="96" customHeight="1">
      <x:c r="A1361" s="115" t="str">
        <x:v>EXT-MONDE-T028-V06</x:v>
      </x:c>
      <x:c r="B1361" s="115" t="str">
        <x:v>EXT-MONDE-T028</x:v>
      </x:c>
      <x:c r="C1361" s="115" t="str">
        <x:v>Fermes cultures</x:v>
      </x:c>
      <x:c r="D1361" s="115" t="str">
        <x:v>Verger avec conditionnement</x:v>
      </x:c>
      <x:c r="E1361" s="115" t="n">
        <x:v>6</x:v>
      </x:c>
      <x:c r="F1361" s="115" t="str">
        <x:v>Inspection physique</x:v>
      </x:c>
      <x:c r="G1361" s="115" t="str">
        <x:v>1 niveaux ; 26 pièces ; 198 segments de mur ; 0 transitions. Inspection physique ; architecture complète encore ouverte.</x:v>
      </x:c>
      <x:c r="H1361" s="115" t="str">
        <x:v>L 260 ; l 224 ; hauteur 6,5 m ; choix de composition auteur ; dimensions réelles à documenter</x:v>
      </x:c>
      <x:c r="I1361" s="115" t="str">
        <x:v>À équilibrer</x:v>
      </x:c>
      <x:c r="J1361" s="115" t="str">
        <x:v>Non</x:v>
      </x:c>
      <x:c r="K1361" s="115" t="str">
        <x:v>Pièces décrites, murs, portes, niveaux et mobilier inspectables à l’échelle. Volumes réservés, raccord au seed, butin, rencontres et services de campagne restent à terminer.</x:v>
      </x:c>
    </x:row>
    <x:row r="1362" ht="96" customHeight="1">
      <x:c r="A1362" s="115" t="str">
        <x:v>EXT-MONDE-T028-V07</x:v>
      </x:c>
      <x:c r="B1362" s="115" t="str">
        <x:v>EXT-MONDE-T028</x:v>
      </x:c>
      <x:c r="C1362" s="115" t="str">
        <x:v>Fermes cultures</x:v>
      </x:c>
      <x:c r="D1362" s="115" t="str">
        <x:v>Verger avec conditionnement</x:v>
      </x:c>
      <x:c r="E1362" s="115" t="n">
        <x:v>7</x:v>
      </x:c>
      <x:c r="F1362" s="115" t="str">
        <x:v>Inspection physique</x:v>
      </x:c>
      <x:c r="G1362" s="115" t="str">
        <x:v>1 niveaux ; 26 pièces ; 198 segments de mur ; 0 transitions. Inspection physique ; architecture complète encore ouverte.</x:v>
      </x:c>
      <x:c r="H1362" s="115" t="str">
        <x:v>L 260 ; l 224 ; hauteur 6,5 m ; choix de composition auteur ; dimensions réelles à documenter</x:v>
      </x:c>
      <x:c r="I1362" s="115" t="str">
        <x:v>À équilibrer</x:v>
      </x:c>
      <x:c r="J1362" s="115" t="str">
        <x:v>Non</x:v>
      </x:c>
      <x:c r="K1362" s="115" t="str">
        <x:v>Pièces décrites, murs, portes, niveaux et mobilier inspectables à l’échelle. Volumes réservés, raccord au seed, butin, rencontres et services de campagne restent à terminer.</x:v>
      </x:c>
    </x:row>
    <x:row r="1363" ht="96" customHeight="1">
      <x:c r="A1363" s="115" t="str">
        <x:v>EXT-MONDE-T028-V08</x:v>
      </x:c>
      <x:c r="B1363" s="115" t="str">
        <x:v>EXT-MONDE-T028</x:v>
      </x:c>
      <x:c r="C1363" s="115" t="str">
        <x:v>Fermes cultures</x:v>
      </x:c>
      <x:c r="D1363" s="115" t="str">
        <x:v>Verger avec conditionnement</x:v>
      </x:c>
      <x:c r="E1363" s="115" t="n">
        <x:v>8</x:v>
      </x:c>
      <x:c r="F1363" s="115" t="str">
        <x:v>Inspection physique</x:v>
      </x:c>
      <x:c r="G1363" s="115" t="str">
        <x:v>1 niveaux ; 26 pièces ; 198 segments de mur ; 0 transitions. Inspection physique ; architecture complète encore ouverte.</x:v>
      </x:c>
      <x:c r="H1363" s="115" t="str">
        <x:v>L 260 ; l 224 ; hauteur 6,5 m ; choix de composition auteur ; dimensions réelles à documenter</x:v>
      </x:c>
      <x:c r="I1363" s="115" t="str">
        <x:v>À équilibrer</x:v>
      </x:c>
      <x:c r="J1363" s="115" t="str">
        <x:v>Non</x:v>
      </x:c>
      <x:c r="K1363" s="115" t="str">
        <x:v>Pièces décrites, murs, portes, niveaux et mobilier inspectables à l’échelle. Volumes réservés, raccord au seed, butin, rencontres et services de campagne restent à terminer.</x:v>
      </x:c>
    </x:row>
    <x:row r="1364" ht="96" customHeight="1">
      <x:c r="A1364" s="115" t="str">
        <x:v>EXT-MONDE-T028-V09</x:v>
      </x:c>
      <x:c r="B1364" s="115" t="str">
        <x:v>EXT-MONDE-T028</x:v>
      </x:c>
      <x:c r="C1364" s="115" t="str">
        <x:v>Fermes cultures</x:v>
      </x:c>
      <x:c r="D1364" s="115" t="str">
        <x:v>Verger avec conditionnement</x:v>
      </x:c>
      <x:c r="E1364" s="115" t="n">
        <x:v>9</x:v>
      </x:c>
      <x:c r="F1364" s="115" t="str">
        <x:v>Inspection physique</x:v>
      </x:c>
      <x:c r="G1364" s="115" t="str">
        <x:v>1 niveaux ; 26 pièces ; 198 segments de mur ; 0 transitions. Inspection physique ; architecture complète encore ouverte.</x:v>
      </x:c>
      <x:c r="H1364" s="115" t="str">
        <x:v>L 260 ; l 224 ; hauteur 6,5 m ; choix de composition auteur ; dimensions réelles à documenter</x:v>
      </x:c>
      <x:c r="I1364" s="115" t="str">
        <x:v>À équilibrer</x:v>
      </x:c>
      <x:c r="J1364" s="115" t="str">
        <x:v>Non</x:v>
      </x:c>
      <x:c r="K1364" s="115" t="str">
        <x:v>Pièces décrites, murs, portes, niveaux et mobilier inspectables à l’échelle. Volumes réservés, raccord au seed, butin, rencontres et services de campagne restent à terminer.</x:v>
      </x:c>
    </x:row>
    <x:row r="1365" ht="96" customHeight="1">
      <x:c r="A1365" s="115" t="str">
        <x:v>EXT-MONDE-T028-V10</x:v>
      </x:c>
      <x:c r="B1365" s="115" t="str">
        <x:v>EXT-MONDE-T028</x:v>
      </x:c>
      <x:c r="C1365" s="115" t="str">
        <x:v>Fermes cultures</x:v>
      </x:c>
      <x:c r="D1365" s="115" t="str">
        <x:v>Verger avec conditionnement</x:v>
      </x:c>
      <x:c r="E1365" s="115" t="n">
        <x:v>10</x:v>
      </x:c>
      <x:c r="F1365" s="115" t="str">
        <x:v>Inspection physique</x:v>
      </x:c>
      <x:c r="G1365" s="115" t="str">
        <x:v>1 niveaux ; 26 pièces ; 198 segments de mur ; 0 transitions. Inspection physique ; architecture complète encore ouverte.</x:v>
      </x:c>
      <x:c r="H1365" s="115" t="str">
        <x:v>L 260 ; l 224 ; hauteur 6,5 m ; choix de composition auteur ; dimensions réelles à documenter</x:v>
      </x:c>
      <x:c r="I1365" s="115" t="str">
        <x:v>À équilibrer</x:v>
      </x:c>
      <x:c r="J1365" s="115" t="str">
        <x:v>Non</x:v>
      </x:c>
      <x:c r="K1365" s="115" t="str">
        <x:v>Pièces décrites, murs, portes, niveaux et mobilier inspectables à l’échelle. Volumes réservés, raccord au seed, butin, rencontres et services de campagne restent à terminer.</x:v>
      </x:c>
    </x:row>
    <x:row r="1366" ht="96" customHeight="1">
      <x:c r="A1366" s="115" t="str">
        <x:v>EXT-MONDE-T028-V11</x:v>
      </x:c>
      <x:c r="B1366" s="115" t="str">
        <x:v>EXT-MONDE-T028</x:v>
      </x:c>
      <x:c r="C1366" s="115" t="str">
        <x:v>Fermes cultures</x:v>
      </x:c>
      <x:c r="D1366" s="115" t="str">
        <x:v>Verger avec conditionnement</x:v>
      </x:c>
      <x:c r="E1366" s="115" t="n">
        <x:v>11</x:v>
      </x:c>
      <x:c r="F1366" s="115" t="str">
        <x:v>Inspection physique</x:v>
      </x:c>
      <x:c r="G1366" s="115" t="str">
        <x:v>1 niveaux ; 26 pièces ; 198 segments de mur ; 0 transitions. Inspection physique ; architecture complète encore ouverte.</x:v>
      </x:c>
      <x:c r="H1366" s="115" t="str">
        <x:v>L 280 ; l 248 ; hauteur 6,7 m ; choix de composition auteur ; dimensions réelles à documenter</x:v>
      </x:c>
      <x:c r="I1366" s="115" t="str">
        <x:v>À équilibrer</x:v>
      </x:c>
      <x:c r="J1366" s="115" t="str">
        <x:v>Non</x:v>
      </x:c>
      <x:c r="K1366" s="115" t="str">
        <x:v>Pièces décrites, murs, portes, niveaux et mobilier inspectables à l’échelle. Volumes réservés, raccord au seed, butin, rencontres et services de campagne restent à terminer.</x:v>
      </x:c>
    </x:row>
    <x:row r="1367" ht="96" customHeight="1">
      <x:c r="A1367" s="115" t="str">
        <x:v>EXT-MONDE-T028-V12</x:v>
      </x:c>
      <x:c r="B1367" s="115" t="str">
        <x:v>EXT-MONDE-T028</x:v>
      </x:c>
      <x:c r="C1367" s="115" t="str">
        <x:v>Fermes cultures</x:v>
      </x:c>
      <x:c r="D1367" s="115" t="str">
        <x:v>Verger avec conditionnement</x:v>
      </x:c>
      <x:c r="E1367" s="115" t="n">
        <x:v>12</x:v>
      </x:c>
      <x:c r="F1367" s="115" t="str">
        <x:v>Inspection physique</x:v>
      </x:c>
      <x:c r="G1367" s="115" t="str">
        <x:v>1 niveaux ; 26 pièces ; 198 segments de mur ; 0 transitions. Inspection physique ; architecture complète encore ouverte.</x:v>
      </x:c>
      <x:c r="H1367" s="115" t="str">
        <x:v>L 280 ; l 248 ; hauteur 6,7 m ; choix de composition auteur ; dimensions réelles à documenter</x:v>
      </x:c>
      <x:c r="I1367" s="115" t="str">
        <x:v>À équilibrer</x:v>
      </x:c>
      <x:c r="J1367" s="115" t="str">
        <x:v>Non</x:v>
      </x:c>
      <x:c r="K1367" s="115" t="str">
        <x:v>Pièces décrites, murs, portes, niveaux et mobilier inspectables à l’échelle. Volumes réservés, raccord au seed, butin, rencontres et services de campagne restent à terminer.</x:v>
      </x:c>
    </x:row>
    <x:row r="1368" ht="96" customHeight="1">
      <x:c r="A1368" s="115" t="str">
        <x:v>EXT-MONDE-T028-V13</x:v>
      </x:c>
      <x:c r="B1368" s="115" t="str">
        <x:v>EXT-MONDE-T028</x:v>
      </x:c>
      <x:c r="C1368" s="115" t="str">
        <x:v>Fermes cultures</x:v>
      </x:c>
      <x:c r="D1368" s="115" t="str">
        <x:v>Verger avec conditionnement</x:v>
      </x:c>
      <x:c r="E1368" s="115" t="n">
        <x:v>13</x:v>
      </x:c>
      <x:c r="F1368" s="115" t="str">
        <x:v>Inspection physique</x:v>
      </x:c>
      <x:c r="G1368" s="115" t="str">
        <x:v>1 niveaux ; 26 pièces ; 198 segments de mur ; 0 transitions. Inspection physique ; architecture complète encore ouverte.</x:v>
      </x:c>
      <x:c r="H1368" s="115" t="str">
        <x:v>L 280 ; l 248 ; hauteur 6,7 m ; choix de composition auteur ; dimensions réelles à documenter</x:v>
      </x:c>
      <x:c r="I1368" s="115" t="str">
        <x:v>À équilibrer</x:v>
      </x:c>
      <x:c r="J1368" s="115" t="str">
        <x:v>Non</x:v>
      </x:c>
      <x:c r="K1368" s="115" t="str">
        <x:v>Pièces décrites, murs, portes, niveaux et mobilier inspectables à l’échelle. Volumes réservés, raccord au seed, butin, rencontres et services de campagne restent à terminer.</x:v>
      </x:c>
    </x:row>
    <x:row r="1369" ht="96" customHeight="1">
      <x:c r="A1369" s="115" t="str">
        <x:v>EXT-MONDE-T028-V14</x:v>
      </x:c>
      <x:c r="B1369" s="115" t="str">
        <x:v>EXT-MONDE-T028</x:v>
      </x:c>
      <x:c r="C1369" s="115" t="str">
        <x:v>Fermes cultures</x:v>
      </x:c>
      <x:c r="D1369" s="115" t="str">
        <x:v>Verger avec conditionnement</x:v>
      </x:c>
      <x:c r="E1369" s="115" t="n">
        <x:v>14</x:v>
      </x:c>
      <x:c r="F1369" s="115" t="str">
        <x:v>Inspection physique</x:v>
      </x:c>
      <x:c r="G1369" s="115" t="str">
        <x:v>1 niveaux ; 26 pièces ; 198 segments de mur ; 0 transitions. Inspection physique ; architecture complète encore ouverte.</x:v>
      </x:c>
      <x:c r="H1369" s="115" t="str">
        <x:v>L 280 ; l 248 ; hauteur 6,7 m ; choix de composition auteur ; dimensions réelles à documenter</x:v>
      </x:c>
      <x:c r="I1369" s="115" t="str">
        <x:v>À équilibrer</x:v>
      </x:c>
      <x:c r="J1369" s="115" t="str">
        <x:v>Non</x:v>
      </x:c>
      <x:c r="K1369" s="115" t="str">
        <x:v>Pièces décrites, murs, portes, niveaux et mobilier inspectables à l’échelle. Volumes réservés, raccord au seed, butin, rencontres et services de campagne restent à terminer.</x:v>
      </x:c>
    </x:row>
    <x:row r="1370" ht="96" customHeight="1">
      <x:c r="A1370" s="115" t="str">
        <x:v>EXT-MONDE-T028-V15</x:v>
      </x:c>
      <x:c r="B1370" s="115" t="str">
        <x:v>EXT-MONDE-T028</x:v>
      </x:c>
      <x:c r="C1370" s="115" t="str">
        <x:v>Fermes cultures</x:v>
      </x:c>
      <x:c r="D1370" s="115" t="str">
        <x:v>Verger avec conditionnement</x:v>
      </x:c>
      <x:c r="E1370" s="115" t="n">
        <x:v>15</x:v>
      </x:c>
      <x:c r="F1370" s="115" t="str">
        <x:v>Inspection physique</x:v>
      </x:c>
      <x:c r="G1370" s="115" t="str">
        <x:v>1 niveaux ; 26 pièces ; 198 segments de mur ; 0 transitions. Inspection physique ; architecture complète encore ouverte.</x:v>
      </x:c>
      <x:c r="H1370" s="115" t="str">
        <x:v>L 280 ; l 248 ; hauteur 6,7 m ; choix de composition auteur ; dimensions réelles à documenter</x:v>
      </x:c>
      <x:c r="I1370" s="115" t="str">
        <x:v>À équilibrer</x:v>
      </x:c>
      <x:c r="J1370" s="115" t="str">
        <x:v>Non</x:v>
      </x:c>
      <x:c r="K1370" s="115" t="str">
        <x:v>Pièces décrites, murs, portes, niveaux et mobilier inspectables à l’échelle. Volumes réservés, raccord au seed, butin, rencontres et services de campagne restent à terminer.</x:v>
      </x:c>
    </x:row>
    <x:row r="1371" ht="96" customHeight="1">
      <x:c r="A1371" s="115" t="str">
        <x:v>EXT-MONDE-T028-V16</x:v>
      </x:c>
      <x:c r="B1371" s="115" t="str">
        <x:v>EXT-MONDE-T028</x:v>
      </x:c>
      <x:c r="C1371" s="115" t="str">
        <x:v>Fermes cultures</x:v>
      </x:c>
      <x:c r="D1371" s="115" t="str">
        <x:v>Verger avec conditionnement</x:v>
      </x:c>
      <x:c r="E1371" s="115" t="n">
        <x:v>16</x:v>
      </x:c>
      <x:c r="F1371" s="115" t="str">
        <x:v>Inspection physique</x:v>
      </x:c>
      <x:c r="G1371" s="115" t="str">
        <x:v>1 niveaux ; 26 pièces ; 198 segments de mur ; 0 transitions. Inspection physique ; architecture complète encore ouverte.</x:v>
      </x:c>
      <x:c r="H1371" s="115" t="str">
        <x:v>L 280 ; l 248 ; hauteur 6,7 m ; choix de composition auteur ; dimensions réelles à documenter</x:v>
      </x:c>
      <x:c r="I1371" s="115" t="str">
        <x:v>À équilibrer</x:v>
      </x:c>
      <x:c r="J1371" s="115" t="str">
        <x:v>Non</x:v>
      </x:c>
      <x:c r="K1371" s="115" t="str">
        <x:v>Pièces décrites, murs, portes, niveaux et mobilier inspectables à l’échelle. Volumes réservés, raccord au seed, butin, rencontres et services de campagne restent à terminer.</x:v>
      </x:c>
    </x:row>
    <x:row r="1372" ht="96" customHeight="1">
      <x:c r="A1372" s="115" t="str">
        <x:v>EXT-MONDE-T028-V17</x:v>
      </x:c>
      <x:c r="B1372" s="115" t="str">
        <x:v>EXT-MONDE-T028</x:v>
      </x:c>
      <x:c r="C1372" s="115" t="str">
        <x:v>Fermes cultures</x:v>
      </x:c>
      <x:c r="D1372" s="115" t="str">
        <x:v>Verger avec conditionnement</x:v>
      </x:c>
      <x:c r="E1372" s="115" t="n">
        <x:v>17</x:v>
      </x:c>
      <x:c r="F1372" s="115" t="str">
        <x:v>Inspection physique</x:v>
      </x:c>
      <x:c r="G1372" s="115" t="str">
        <x:v>1 niveaux ; 26 pièces ; 198 segments de mur ; 0 transitions. Inspection physique ; architecture complète encore ouverte.</x:v>
      </x:c>
      <x:c r="H1372" s="115" t="str">
        <x:v>L 280 ; l 248 ; hauteur 6,7 m ; choix de composition auteur ; dimensions réelles à documenter</x:v>
      </x:c>
      <x:c r="I1372" s="115" t="str">
        <x:v>À équilibrer</x:v>
      </x:c>
      <x:c r="J1372" s="115" t="str">
        <x:v>Non</x:v>
      </x:c>
      <x:c r="K1372" s="115" t="str">
        <x:v>Pièces décrites, murs, portes, niveaux et mobilier inspectables à l’échelle. Volumes réservés, raccord au seed, butin, rencontres et services de campagne restent à terminer.</x:v>
      </x:c>
    </x:row>
    <x:row r="1373" ht="96" customHeight="1">
      <x:c r="A1373" s="115" t="str">
        <x:v>EXT-MONDE-T028-V18</x:v>
      </x:c>
      <x:c r="B1373" s="115" t="str">
        <x:v>EXT-MONDE-T028</x:v>
      </x:c>
      <x:c r="C1373" s="115" t="str">
        <x:v>Fermes cultures</x:v>
      </x:c>
      <x:c r="D1373" s="115" t="str">
        <x:v>Verger avec conditionnement</x:v>
      </x:c>
      <x:c r="E1373" s="115" t="n">
        <x:v>18</x:v>
      </x:c>
      <x:c r="F1373" s="115" t="str">
        <x:v>Inspection physique</x:v>
      </x:c>
      <x:c r="G1373" s="115" t="str">
        <x:v>1 niveaux ; 26 pièces ; 198 segments de mur ; 0 transitions. Inspection physique ; architecture complète encore ouverte.</x:v>
      </x:c>
      <x:c r="H1373" s="115" t="str">
        <x:v>L 280 ; l 248 ; hauteur 6,7 m ; choix de composition auteur ; dimensions réelles à documenter</x:v>
      </x:c>
      <x:c r="I1373" s="115" t="str">
        <x:v>À équilibrer</x:v>
      </x:c>
      <x:c r="J1373" s="115" t="str">
        <x:v>Non</x:v>
      </x:c>
      <x:c r="K1373" s="115" t="str">
        <x:v>Pièces décrites, murs, portes, niveaux et mobilier inspectables à l’échelle. Volumes réservés, raccord au seed, butin, rencontres et services de campagne restent à terminer.</x:v>
      </x:c>
    </x:row>
    <x:row r="1374" ht="96" customHeight="1">
      <x:c r="A1374" s="115" t="str">
        <x:v>EXT-MONDE-T028-V19</x:v>
      </x:c>
      <x:c r="B1374" s="115" t="str">
        <x:v>EXT-MONDE-T028</x:v>
      </x:c>
      <x:c r="C1374" s="115" t="str">
        <x:v>Fermes cultures</x:v>
      </x:c>
      <x:c r="D1374" s="115" t="str">
        <x:v>Verger avec conditionnement</x:v>
      </x:c>
      <x:c r="E1374" s="115" t="n">
        <x:v>19</x:v>
      </x:c>
      <x:c r="F1374" s="115" t="str">
        <x:v>Inspection physique</x:v>
      </x:c>
      <x:c r="G1374" s="115" t="str">
        <x:v>1 niveaux ; 26 pièces ; 198 segments de mur ; 0 transitions. Inspection physique ; architecture complète encore ouverte.</x:v>
      </x:c>
      <x:c r="H1374" s="115" t="str">
        <x:v>L 280 ; l 248 ; hauteur 6,7 m ; choix de composition auteur ; dimensions réelles à documenter</x:v>
      </x:c>
      <x:c r="I1374" s="115" t="str">
        <x:v>À équilibrer</x:v>
      </x:c>
      <x:c r="J1374" s="115" t="str">
        <x:v>Non</x:v>
      </x:c>
      <x:c r="K1374" s="115" t="str">
        <x:v>Pièces décrites, murs, portes, niveaux et mobilier inspectables à l’échelle. Volumes réservés, raccord au seed, butin, rencontres et services de campagne restent à terminer.</x:v>
      </x:c>
    </x:row>
    <x:row r="1375" ht="96" customHeight="1">
      <x:c r="A1375" s="115" t="str">
        <x:v>EXT-MONDE-T028-V20</x:v>
      </x:c>
      <x:c r="B1375" s="115" t="str">
        <x:v>EXT-MONDE-T028</x:v>
      </x:c>
      <x:c r="C1375" s="115" t="str">
        <x:v>Fermes cultures</x:v>
      </x:c>
      <x:c r="D1375" s="115" t="str">
        <x:v>Verger avec conditionnement</x:v>
      </x:c>
      <x:c r="E1375" s="115" t="n">
        <x:v>20</x:v>
      </x:c>
      <x:c r="F1375" s="115" t="str">
        <x:v>Inspection physique</x:v>
      </x:c>
      <x:c r="G1375" s="115" t="str">
        <x:v>1 niveaux ; 26 pièces ; 198 segments de mur ; 0 transitions. Inspection physique ; architecture complète encore ouverte.</x:v>
      </x:c>
      <x:c r="H1375" s="115" t="str">
        <x:v>L 280 ; l 248 ; hauteur 6,7 m ; choix de composition auteur ; dimensions réelles à documenter</x:v>
      </x:c>
      <x:c r="I1375" s="115" t="str">
        <x:v>À équilibrer</x:v>
      </x:c>
      <x:c r="J1375" s="115" t="str">
        <x:v>Non</x:v>
      </x:c>
      <x:c r="K1375" s="115" t="str">
        <x:v>Pièces décrites, murs, portes, niveaux et mobilier inspectables à l’échelle. Volumes réservés, raccord au seed, butin, rencontres et services de campagne restent à terminer.</x:v>
      </x:c>
    </x:row>
    <x:row r="1376" ht="96" customHeight="1">
      <x:c r="A1376" s="115" t="str">
        <x:v>EXT-MONDE-T028-V21</x:v>
      </x:c>
      <x:c r="B1376" s="115" t="str">
        <x:v>EXT-MONDE-T028</x:v>
      </x:c>
      <x:c r="C1376" s="115" t="str">
        <x:v>Fermes cultures</x:v>
      </x:c>
      <x:c r="D1376" s="115" t="str">
        <x:v>Verger avec conditionnement</x:v>
      </x:c>
      <x:c r="E1376" s="115" t="n">
        <x:v>21</x:v>
      </x:c>
      <x:c r="F1376" s="115" t="str">
        <x:v>Inspection physique</x:v>
      </x:c>
      <x:c r="G1376" s="115" t="str">
        <x:v>1 niveaux ; 26 pièces ; 198 segments de mur ; 0 transitions. Inspection physique ; architecture complète encore ouverte.</x:v>
      </x:c>
      <x:c r="H1376" s="115" t="str">
        <x:v>L 300 ; l 272 ; hauteur 6,9 m ; choix de composition auteur ; dimensions réelles à documenter</x:v>
      </x:c>
      <x:c r="I1376" s="115" t="str">
        <x:v>À équilibrer</x:v>
      </x:c>
      <x:c r="J1376" s="115" t="str">
        <x:v>Non</x:v>
      </x:c>
      <x:c r="K1376" s="115" t="str">
        <x:v>Pièces décrites, murs, portes, niveaux et mobilier inspectables à l’échelle. Volumes réservés, raccord au seed, butin, rencontres et services de campagne restent à terminer.</x:v>
      </x:c>
    </x:row>
    <x:row r="1377" ht="96" customHeight="1">
      <x:c r="A1377" s="115" t="str">
        <x:v>EXT-MONDE-T028-V22</x:v>
      </x:c>
      <x:c r="B1377" s="115" t="str">
        <x:v>EXT-MONDE-T028</x:v>
      </x:c>
      <x:c r="C1377" s="115" t="str">
        <x:v>Fermes cultures</x:v>
      </x:c>
      <x:c r="D1377" s="115" t="str">
        <x:v>Verger avec conditionnement</x:v>
      </x:c>
      <x:c r="E1377" s="115" t="n">
        <x:v>22</x:v>
      </x:c>
      <x:c r="F1377" s="115" t="str">
        <x:v>Inspection physique</x:v>
      </x:c>
      <x:c r="G1377" s="115" t="str">
        <x:v>1 niveaux ; 26 pièces ; 198 segments de mur ; 0 transitions. Inspection physique ; architecture complète encore ouverte.</x:v>
      </x:c>
      <x:c r="H1377" s="115" t="str">
        <x:v>L 300 ; l 272 ; hauteur 6,9 m ; choix de composition auteur ; dimensions réelles à documenter</x:v>
      </x:c>
      <x:c r="I1377" s="115" t="str">
        <x:v>À équilibrer</x:v>
      </x:c>
      <x:c r="J1377" s="115" t="str">
        <x:v>Non</x:v>
      </x:c>
      <x:c r="K1377" s="115" t="str">
        <x:v>Pièces décrites, murs, portes, niveaux et mobilier inspectables à l’échelle. Volumes réservés, raccord au seed, butin, rencontres et services de campagne restent à terminer.</x:v>
      </x:c>
    </x:row>
    <x:row r="1378" ht="96" customHeight="1">
      <x:c r="A1378" s="115" t="str">
        <x:v>EXT-MONDE-T028-V23</x:v>
      </x:c>
      <x:c r="B1378" s="115" t="str">
        <x:v>EXT-MONDE-T028</x:v>
      </x:c>
      <x:c r="C1378" s="115" t="str">
        <x:v>Fermes cultures</x:v>
      </x:c>
      <x:c r="D1378" s="115" t="str">
        <x:v>Verger avec conditionnement</x:v>
      </x:c>
      <x:c r="E1378" s="115" t="n">
        <x:v>23</x:v>
      </x:c>
      <x:c r="F1378" s="115" t="str">
        <x:v>Inspection physique</x:v>
      </x:c>
      <x:c r="G1378" s="115" t="str">
        <x:v>1 niveaux ; 26 pièces ; 198 segments de mur ; 0 transitions. Inspection physique ; architecture complète encore ouverte.</x:v>
      </x:c>
      <x:c r="H1378" s="115" t="str">
        <x:v>L 300 ; l 272 ; hauteur 6,9 m ; choix de composition auteur ; dimensions réelles à documenter</x:v>
      </x:c>
      <x:c r="I1378" s="115" t="str">
        <x:v>À équilibrer</x:v>
      </x:c>
      <x:c r="J1378" s="115" t="str">
        <x:v>Non</x:v>
      </x:c>
      <x:c r="K1378" s="115" t="str">
        <x:v>Pièces décrites, murs, portes, niveaux et mobilier inspectables à l’échelle. Volumes réservés, raccord au seed, butin, rencontres et services de campagne restent à terminer.</x:v>
      </x:c>
    </x:row>
    <x:row r="1379" ht="96" customHeight="1">
      <x:c r="A1379" s="115" t="str">
        <x:v>EXT-MONDE-T028-V24</x:v>
      </x:c>
      <x:c r="B1379" s="115" t="str">
        <x:v>EXT-MONDE-T028</x:v>
      </x:c>
      <x:c r="C1379" s="115" t="str">
        <x:v>Fermes cultures</x:v>
      </x:c>
      <x:c r="D1379" s="115" t="str">
        <x:v>Verger avec conditionnement</x:v>
      </x:c>
      <x:c r="E1379" s="115" t="n">
        <x:v>24</x:v>
      </x:c>
      <x:c r="F1379" s="115" t="str">
        <x:v>Inspection physique</x:v>
      </x:c>
      <x:c r="G1379" s="115" t="str">
        <x:v>1 niveaux ; 26 pièces ; 198 segments de mur ; 0 transitions. Inspection physique ; architecture complète encore ouverte.</x:v>
      </x:c>
      <x:c r="H1379" s="115" t="str">
        <x:v>L 300 ; l 272 ; hauteur 6,9 m ; choix de composition auteur ; dimensions réelles à documenter</x:v>
      </x:c>
      <x:c r="I1379" s="115" t="str">
        <x:v>À équilibrer</x:v>
      </x:c>
      <x:c r="J1379" s="115" t="str">
        <x:v>Non</x:v>
      </x:c>
      <x:c r="K1379" s="115" t="str">
        <x:v>Pièces décrites, murs, portes, niveaux et mobilier inspectables à l’échelle. Volumes réservés, raccord au seed, butin, rencontres et services de campagne restent à terminer.</x:v>
      </x:c>
    </x:row>
    <x:row r="1380" ht="96" customHeight="1">
      <x:c r="A1380" s="115" t="str">
        <x:v>EXT-MONDE-T028-V25</x:v>
      </x:c>
      <x:c r="B1380" s="115" t="str">
        <x:v>EXT-MONDE-T028</x:v>
      </x:c>
      <x:c r="C1380" s="115" t="str">
        <x:v>Fermes cultures</x:v>
      </x:c>
      <x:c r="D1380" s="115" t="str">
        <x:v>Verger avec conditionnement</x:v>
      </x:c>
      <x:c r="E1380" s="115" t="n">
        <x:v>25</x:v>
      </x:c>
      <x:c r="F1380" s="115" t="str">
        <x:v>Inspection physique</x:v>
      </x:c>
      <x:c r="G1380" s="115" t="str">
        <x:v>1 niveaux ; 26 pièces ; 198 segments de mur ; 0 transitions. Inspection physique ; architecture complète encore ouverte.</x:v>
      </x:c>
      <x:c r="H1380" s="115" t="str">
        <x:v>L 300 ; l 272 ; hauteur 6,9 m ; choix de composition auteur ; dimensions réelles à documenter</x:v>
      </x:c>
      <x:c r="I1380" s="115" t="str">
        <x:v>À équilibrer</x:v>
      </x:c>
      <x:c r="J1380" s="115" t="str">
        <x:v>Non</x:v>
      </x:c>
      <x:c r="K1380" s="115" t="str">
        <x:v>Pièces décrites, murs, portes, niveaux et mobilier inspectables à l’échelle. Volumes réservés, raccord au seed, butin, rencontres et services de campagne restent à terminer.</x:v>
      </x:c>
    </x:row>
    <x:row r="1381" ht="96" customHeight="1">
      <x:c r="A1381" s="115" t="str">
        <x:v>EXT-MONDE-T028-V26</x:v>
      </x:c>
      <x:c r="B1381" s="115" t="str">
        <x:v>EXT-MONDE-T028</x:v>
      </x:c>
      <x:c r="C1381" s="115" t="str">
        <x:v>Fermes cultures</x:v>
      </x:c>
      <x:c r="D1381" s="115" t="str">
        <x:v>Verger avec conditionnement</x:v>
      </x:c>
      <x:c r="E1381" s="115" t="n">
        <x:v>26</x:v>
      </x:c>
      <x:c r="F1381" s="115" t="str">
        <x:v>Inspection physique</x:v>
      </x:c>
      <x:c r="G1381" s="115" t="str">
        <x:v>1 niveaux ; 26 pièces ; 198 segments de mur ; 0 transitions. Inspection physique ; architecture complète encore ouverte.</x:v>
      </x:c>
      <x:c r="H1381" s="115" t="str">
        <x:v>L 300 ; l 272 ; hauteur 6,9 m ; choix de composition auteur ; dimensions réelles à documenter</x:v>
      </x:c>
      <x:c r="I1381" s="115" t="str">
        <x:v>À équilibrer</x:v>
      </x:c>
      <x:c r="J1381" s="115" t="str">
        <x:v>Non</x:v>
      </x:c>
      <x:c r="K1381" s="115" t="str">
        <x:v>Pièces décrites, murs, portes, niveaux et mobilier inspectables à l’échelle. Volumes réservés, raccord au seed, butin, rencontres et services de campagne restent à terminer.</x:v>
      </x:c>
    </x:row>
    <x:row r="1382" ht="96" customHeight="1">
      <x:c r="A1382" s="115" t="str">
        <x:v>EXT-MONDE-T028-V27</x:v>
      </x:c>
      <x:c r="B1382" s="115" t="str">
        <x:v>EXT-MONDE-T028</x:v>
      </x:c>
      <x:c r="C1382" s="115" t="str">
        <x:v>Fermes cultures</x:v>
      </x:c>
      <x:c r="D1382" s="115" t="str">
        <x:v>Verger avec conditionnement</x:v>
      </x:c>
      <x:c r="E1382" s="115" t="n">
        <x:v>27</x:v>
      </x:c>
      <x:c r="F1382" s="115" t="str">
        <x:v>Inspection physique</x:v>
      </x:c>
      <x:c r="G1382" s="115" t="str">
        <x:v>1 niveaux ; 26 pièces ; 198 segments de mur ; 0 transitions. Inspection physique ; architecture complète encore ouverte.</x:v>
      </x:c>
      <x:c r="H1382" s="115" t="str">
        <x:v>L 300 ; l 272 ; hauteur 6,9 m ; choix de composition auteur ; dimensions réelles à documenter</x:v>
      </x:c>
      <x:c r="I1382" s="115" t="str">
        <x:v>À équilibrer</x:v>
      </x:c>
      <x:c r="J1382" s="115" t="str">
        <x:v>Non</x:v>
      </x:c>
      <x:c r="K1382" s="115" t="str">
        <x:v>Pièces décrites, murs, portes, niveaux et mobilier inspectables à l’échelle. Volumes réservés, raccord au seed, butin, rencontres et services de campagne restent à terminer.</x:v>
      </x:c>
    </x:row>
    <x:row r="1383" ht="96" customHeight="1">
      <x:c r="A1383" s="115" t="str">
        <x:v>EXT-MONDE-T028-V28</x:v>
      </x:c>
      <x:c r="B1383" s="115" t="str">
        <x:v>EXT-MONDE-T028</x:v>
      </x:c>
      <x:c r="C1383" s="115" t="str">
        <x:v>Fermes cultures</x:v>
      </x:c>
      <x:c r="D1383" s="115" t="str">
        <x:v>Verger avec conditionnement</x:v>
      </x:c>
      <x:c r="E1383" s="115" t="n">
        <x:v>28</x:v>
      </x:c>
      <x:c r="F1383" s="115" t="str">
        <x:v>Inspection physique</x:v>
      </x:c>
      <x:c r="G1383" s="115" t="str">
        <x:v>1 niveaux ; 26 pièces ; 198 segments de mur ; 0 transitions. Inspection physique ; architecture complète encore ouverte.</x:v>
      </x:c>
      <x:c r="H1383" s="115" t="str">
        <x:v>L 300 ; l 272 ; hauteur 6,9 m ; choix de composition auteur ; dimensions réelles à documenter</x:v>
      </x:c>
      <x:c r="I1383" s="115" t="str">
        <x:v>À équilibrer</x:v>
      </x:c>
      <x:c r="J1383" s="115" t="str">
        <x:v>Non</x:v>
      </x:c>
      <x:c r="K1383" s="115" t="str">
        <x:v>Pièces décrites, murs, portes, niveaux et mobilier inspectables à l’échelle. Volumes réservés, raccord au seed, butin, rencontres et services de campagne restent à terminer.</x:v>
      </x:c>
    </x:row>
    <x:row r="1384" ht="96" customHeight="1">
      <x:c r="A1384" s="115" t="str">
        <x:v>EXT-MONDE-T028-V29</x:v>
      </x:c>
      <x:c r="B1384" s="115" t="str">
        <x:v>EXT-MONDE-T028</x:v>
      </x:c>
      <x:c r="C1384" s="115" t="str">
        <x:v>Fermes cultures</x:v>
      </x:c>
      <x:c r="D1384" s="115" t="str">
        <x:v>Verger avec conditionnement</x:v>
      </x:c>
      <x:c r="E1384" s="115" t="n">
        <x:v>29</x:v>
      </x:c>
      <x:c r="F1384" s="115" t="str">
        <x:v>Inspection physique</x:v>
      </x:c>
      <x:c r="G1384" s="115" t="str">
        <x:v>1 niveaux ; 26 pièces ; 198 segments de mur ; 0 transitions. Inspection physique ; architecture complète encore ouverte.</x:v>
      </x:c>
      <x:c r="H1384" s="115" t="str">
        <x:v>L 300 ; l 272 ; hauteur 6,9 m ; choix de composition auteur ; dimensions réelles à documenter</x:v>
      </x:c>
      <x:c r="I1384" s="115" t="str">
        <x:v>À équilibrer</x:v>
      </x:c>
      <x:c r="J1384" s="115" t="str">
        <x:v>Non</x:v>
      </x:c>
      <x:c r="K1384" s="115" t="str">
        <x:v>Pièces décrites, murs, portes, niveaux et mobilier inspectables à l’échelle. Volumes réservés, raccord au seed, butin, rencontres et services de campagne restent à terminer.</x:v>
      </x:c>
    </x:row>
    <x:row r="1385" ht="96" customHeight="1">
      <x:c r="A1385" s="115" t="str">
        <x:v>EXT-MONDE-T028-V30</x:v>
      </x:c>
      <x:c r="B1385" s="115" t="str">
        <x:v>EXT-MONDE-T028</x:v>
      </x:c>
      <x:c r="C1385" s="115" t="str">
        <x:v>Fermes cultures</x:v>
      </x:c>
      <x:c r="D1385" s="115" t="str">
        <x:v>Verger avec conditionnement</x:v>
      </x:c>
      <x:c r="E1385" s="115" t="n">
        <x:v>30</x:v>
      </x:c>
      <x:c r="F1385" s="115" t="str">
        <x:v>Inspection physique</x:v>
      </x:c>
      <x:c r="G1385" s="115" t="str">
        <x:v>1 niveaux ; 26 pièces ; 198 segments de mur ; 0 transitions. Inspection physique ; architecture complète encore ouverte.</x:v>
      </x:c>
      <x:c r="H1385" s="115" t="str">
        <x:v>L 300 ; l 272 ; hauteur 6,9 m ; choix de composition auteur ; dimensions réelles à documenter</x:v>
      </x:c>
      <x:c r="I1385" s="115" t="str">
        <x:v>À équilibrer</x:v>
      </x:c>
      <x:c r="J1385" s="115" t="str">
        <x:v>Non</x:v>
      </x:c>
      <x:c r="K1385" s="115" t="str">
        <x:v>Pièces décrites, murs, portes, niveaux et mobilier inspectables à l’échelle. Volumes réservés, raccord au seed, butin, rencontres et services de campagne restent à terminer.</x:v>
      </x:c>
    </x:row>
    <x:row r="1386" ht="96" customHeight="1">
      <x:c r="A1386" s="115" t="str">
        <x:v>EXT-MONDE-T028-V31</x:v>
      </x:c>
      <x:c r="B1386" s="115" t="str">
        <x:v>EXT-MONDE-T028</x:v>
      </x:c>
      <x:c r="C1386" s="115" t="str">
        <x:v>Fermes cultures</x:v>
      </x:c>
      <x:c r="D1386" s="115" t="str">
        <x:v>Verger avec conditionnement</x:v>
      </x:c>
      <x:c r="E1386" s="115" t="n">
        <x:v>31</x:v>
      </x:c>
      <x:c r="F1386" s="115" t="str">
        <x:v>Inspection physique</x:v>
      </x:c>
      <x:c r="G1386" s="115" t="str">
        <x:v>1 niveaux ; 26 pièces ; 198 segments de mur ; 0 transitions. Inspection physique ; architecture complète encore ouverte.</x:v>
      </x:c>
      <x:c r="H1386" s="115" t="str">
        <x:v>L 320 ; l 296 ; hauteur 7,1 m ; choix de composition auteur ; dimensions réelles à documenter</x:v>
      </x:c>
      <x:c r="I1386" s="115" t="str">
        <x:v>À équilibrer</x:v>
      </x:c>
      <x:c r="J1386" s="115" t="str">
        <x:v>Non</x:v>
      </x:c>
      <x:c r="K1386" s="115" t="str">
        <x:v>Pièces décrites, murs, portes, niveaux et mobilier inspectables à l’échelle. Volumes réservés, raccord au seed, butin, rencontres et services de campagne restent à terminer.</x:v>
      </x:c>
    </x:row>
    <x:row r="1387" ht="96" customHeight="1">
      <x:c r="A1387" s="115" t="str">
        <x:v>EXT-MONDE-T028-V32</x:v>
      </x:c>
      <x:c r="B1387" s="115" t="str">
        <x:v>EXT-MONDE-T028</x:v>
      </x:c>
      <x:c r="C1387" s="115" t="str">
        <x:v>Fermes cultures</x:v>
      </x:c>
      <x:c r="D1387" s="115" t="str">
        <x:v>Verger avec conditionnement</x:v>
      </x:c>
      <x:c r="E1387" s="115" t="n">
        <x:v>32</x:v>
      </x:c>
      <x:c r="F1387" s="115" t="str">
        <x:v>Inspection physique</x:v>
      </x:c>
      <x:c r="G1387" s="115" t="str">
        <x:v>1 niveaux ; 26 pièces ; 198 segments de mur ; 0 transitions. Inspection physique ; architecture complète encore ouverte.</x:v>
      </x:c>
      <x:c r="H1387" s="115" t="str">
        <x:v>L 320 ; l 296 ; hauteur 7,1 m ; choix de composition auteur ; dimensions réelles à documenter</x:v>
      </x:c>
      <x:c r="I1387" s="115" t="str">
        <x:v>À équilibrer</x:v>
      </x:c>
      <x:c r="J1387" s="115" t="str">
        <x:v>Non</x:v>
      </x:c>
      <x:c r="K1387" s="115" t="str">
        <x:v>Pièces décrites, murs, portes, niveaux et mobilier inspectables à l’échelle. Volumes réservés, raccord au seed, butin, rencontres et services de campagne restent à terminer.</x:v>
      </x:c>
    </x:row>
    <x:row r="1388" ht="96" customHeight="1">
      <x:c r="A1388" s="115" t="str">
        <x:v>EXT-MONDE-T028-V33</x:v>
      </x:c>
      <x:c r="B1388" s="115" t="str">
        <x:v>EXT-MONDE-T028</x:v>
      </x:c>
      <x:c r="C1388" s="115" t="str">
        <x:v>Fermes cultures</x:v>
      </x:c>
      <x:c r="D1388" s="115" t="str">
        <x:v>Verger avec conditionnement</x:v>
      </x:c>
      <x:c r="E1388" s="115" t="n">
        <x:v>33</x:v>
      </x:c>
      <x:c r="F1388" s="115" t="str">
        <x:v>Inspection physique</x:v>
      </x:c>
      <x:c r="G1388" s="115" t="str">
        <x:v>1 niveaux ; 26 pièces ; 198 segments de mur ; 0 transitions. Inspection physique ; architecture complète encore ouverte.</x:v>
      </x:c>
      <x:c r="H1388" s="115" t="str">
        <x:v>L 320 ; l 296 ; hauteur 7,1 m ; choix de composition auteur ; dimensions réelles à documenter</x:v>
      </x:c>
      <x:c r="I1388" s="115" t="str">
        <x:v>À équilibrer</x:v>
      </x:c>
      <x:c r="J1388" s="115" t="str">
        <x:v>Non</x:v>
      </x:c>
      <x:c r="K1388" s="115" t="str">
        <x:v>Pièces décrites, murs, portes, niveaux et mobilier inspectables à l’échelle. Volumes réservés, raccord au seed, butin, rencontres et services de campagne restent à terminer.</x:v>
      </x:c>
    </x:row>
    <x:row r="1389" ht="96" customHeight="1">
      <x:c r="A1389" s="115" t="str">
        <x:v>EXT-MONDE-T028-V34</x:v>
      </x:c>
      <x:c r="B1389" s="115" t="str">
        <x:v>EXT-MONDE-T028</x:v>
      </x:c>
      <x:c r="C1389" s="115" t="str">
        <x:v>Fermes cultures</x:v>
      </x:c>
      <x:c r="D1389" s="115" t="str">
        <x:v>Verger avec conditionnement</x:v>
      </x:c>
      <x:c r="E1389" s="115" t="n">
        <x:v>34</x:v>
      </x:c>
      <x:c r="F1389" s="115" t="str">
        <x:v>Inspection physique</x:v>
      </x:c>
      <x:c r="G1389" s="115" t="str">
        <x:v>1 niveaux ; 26 pièces ; 198 segments de mur ; 0 transitions. Inspection physique ; architecture complète encore ouverte.</x:v>
      </x:c>
      <x:c r="H1389" s="115" t="str">
        <x:v>L 320 ; l 296 ; hauteur 7,1 m ; choix de composition auteur ; dimensions réelles à documenter</x:v>
      </x:c>
      <x:c r="I1389" s="115" t="str">
        <x:v>À équilibrer</x:v>
      </x:c>
      <x:c r="J1389" s="115" t="str">
        <x:v>Non</x:v>
      </x:c>
      <x:c r="K1389" s="115" t="str">
        <x:v>Pièces décrites, murs, portes, niveaux et mobilier inspectables à l’échelle. Volumes réservés, raccord au seed, butin, rencontres et services de campagne restent à terminer.</x:v>
      </x:c>
    </x:row>
    <x:row r="1390" ht="96" customHeight="1">
      <x:c r="A1390" s="115" t="str">
        <x:v>EXT-MONDE-T028-V35</x:v>
      </x:c>
      <x:c r="B1390" s="115" t="str">
        <x:v>EXT-MONDE-T028</x:v>
      </x:c>
      <x:c r="C1390" s="115" t="str">
        <x:v>Fermes cultures</x:v>
      </x:c>
      <x:c r="D1390" s="115" t="str">
        <x:v>Verger avec conditionnement</x:v>
      </x:c>
      <x:c r="E1390" s="115" t="n">
        <x:v>35</x:v>
      </x:c>
      <x:c r="F1390" s="115" t="str">
        <x:v>Inspection physique</x:v>
      </x:c>
      <x:c r="G1390" s="115" t="str">
        <x:v>1 niveaux ; 26 pièces ; 198 segments de mur ; 0 transitions. Inspection physique ; architecture complète encore ouverte.</x:v>
      </x:c>
      <x:c r="H1390" s="115" t="str">
        <x:v>L 320 ; l 296 ; hauteur 7,1 m ; choix de composition auteur ; dimensions réelles à documenter</x:v>
      </x:c>
      <x:c r="I1390" s="115" t="str">
        <x:v>À équilibrer</x:v>
      </x:c>
      <x:c r="J1390" s="115" t="str">
        <x:v>Non</x:v>
      </x:c>
      <x:c r="K1390" s="115" t="str">
        <x:v>Pièces décrites, murs, portes, niveaux et mobilier inspectables à l’échelle. Volumes réservés, raccord au seed, butin, rencontres et services de campagne restent à terminer.</x:v>
      </x:c>
    </x:row>
    <x:row r="1391" ht="96" customHeight="1">
      <x:c r="A1391" s="115" t="str">
        <x:v>EXT-MONDE-T028-V36</x:v>
      </x:c>
      <x:c r="B1391" s="115" t="str">
        <x:v>EXT-MONDE-T028</x:v>
      </x:c>
      <x:c r="C1391" s="115" t="str">
        <x:v>Fermes cultures</x:v>
      </x:c>
      <x:c r="D1391" s="115" t="str">
        <x:v>Verger avec conditionnement</x:v>
      </x:c>
      <x:c r="E1391" s="115" t="n">
        <x:v>36</x:v>
      </x:c>
      <x:c r="F1391" s="115" t="str">
        <x:v>Inspection physique</x:v>
      </x:c>
      <x:c r="G1391" s="115" t="str">
        <x:v>1 niveaux ; 26 pièces ; 198 segments de mur ; 0 transitions. Inspection physique ; architecture complète encore ouverte.</x:v>
      </x:c>
      <x:c r="H1391" s="115" t="str">
        <x:v>L 320 ; l 296 ; hauteur 7,1 m ; choix de composition auteur ; dimensions réelles à documenter</x:v>
      </x:c>
      <x:c r="I1391" s="115" t="str">
        <x:v>À équilibrer</x:v>
      </x:c>
      <x:c r="J1391" s="115" t="str">
        <x:v>Non</x:v>
      </x:c>
      <x:c r="K1391" s="115" t="str">
        <x:v>Pièces décrites, murs, portes, niveaux et mobilier inspectables à l’échelle. Volumes réservés, raccord au seed, butin, rencontres et services de campagne restent à terminer.</x:v>
      </x:c>
    </x:row>
    <x:row r="1392" ht="96" customHeight="1">
      <x:c r="A1392" s="115" t="str">
        <x:v>EXT-MONDE-T028-V37</x:v>
      </x:c>
      <x:c r="B1392" s="115" t="str">
        <x:v>EXT-MONDE-T028</x:v>
      </x:c>
      <x:c r="C1392" s="115" t="str">
        <x:v>Fermes cultures</x:v>
      </x:c>
      <x:c r="D1392" s="115" t="str">
        <x:v>Verger avec conditionnement</x:v>
      </x:c>
      <x:c r="E1392" s="115" t="n">
        <x:v>37</x:v>
      </x:c>
      <x:c r="F1392" s="115" t="str">
        <x:v>Inspection physique</x:v>
      </x:c>
      <x:c r="G1392" s="115" t="str">
        <x:v>1 niveaux ; 26 pièces ; 198 segments de mur ; 0 transitions. Inspection physique ; architecture complète encore ouverte.</x:v>
      </x:c>
      <x:c r="H1392" s="115" t="str">
        <x:v>L 320 ; l 296 ; hauteur 7,1 m ; choix de composition auteur ; dimensions réelles à documenter</x:v>
      </x:c>
      <x:c r="I1392" s="115" t="str">
        <x:v>À équilibrer</x:v>
      </x:c>
      <x:c r="J1392" s="115" t="str">
        <x:v>Non</x:v>
      </x:c>
      <x:c r="K1392" s="115" t="str">
        <x:v>Pièces décrites, murs, portes, niveaux et mobilier inspectables à l’échelle. Volumes réservés, raccord au seed, butin, rencontres et services de campagne restent à terminer.</x:v>
      </x:c>
    </x:row>
    <x:row r="1393" ht="96" customHeight="1">
      <x:c r="A1393" s="115" t="str">
        <x:v>EXT-MONDE-T028-V38</x:v>
      </x:c>
      <x:c r="B1393" s="115" t="str">
        <x:v>EXT-MONDE-T028</x:v>
      </x:c>
      <x:c r="C1393" s="115" t="str">
        <x:v>Fermes cultures</x:v>
      </x:c>
      <x:c r="D1393" s="115" t="str">
        <x:v>Verger avec conditionnement</x:v>
      </x:c>
      <x:c r="E1393" s="115" t="n">
        <x:v>38</x:v>
      </x:c>
      <x:c r="F1393" s="115" t="str">
        <x:v>Inspection physique</x:v>
      </x:c>
      <x:c r="G1393" s="115" t="str">
        <x:v>1 niveaux ; 26 pièces ; 198 segments de mur ; 0 transitions. Inspection physique ; architecture complète encore ouverte.</x:v>
      </x:c>
      <x:c r="H1393" s="115" t="str">
        <x:v>L 320 ; l 296 ; hauteur 7,1 m ; choix de composition auteur ; dimensions réelles à documenter</x:v>
      </x:c>
      <x:c r="I1393" s="115" t="str">
        <x:v>À équilibrer</x:v>
      </x:c>
      <x:c r="J1393" s="115" t="str">
        <x:v>Non</x:v>
      </x:c>
      <x:c r="K1393" s="115" t="str">
        <x:v>Pièces décrites, murs, portes, niveaux et mobilier inspectables à l’échelle. Volumes réservés, raccord au seed, butin, rencontres et services de campagne restent à terminer.</x:v>
      </x:c>
    </x:row>
    <x:row r="1394" ht="96" customHeight="1">
      <x:c r="A1394" s="115" t="str">
        <x:v>EXT-MONDE-T028-V39</x:v>
      </x:c>
      <x:c r="B1394" s="115" t="str">
        <x:v>EXT-MONDE-T028</x:v>
      </x:c>
      <x:c r="C1394" s="115" t="str">
        <x:v>Fermes cultures</x:v>
      </x:c>
      <x:c r="D1394" s="115" t="str">
        <x:v>Verger avec conditionnement</x:v>
      </x:c>
      <x:c r="E1394" s="115" t="n">
        <x:v>39</x:v>
      </x:c>
      <x:c r="F1394" s="115" t="str">
        <x:v>Inspection physique</x:v>
      </x:c>
      <x:c r="G1394" s="115" t="str">
        <x:v>1 niveaux ; 26 pièces ; 198 segments de mur ; 0 transitions. Inspection physique ; architecture complète encore ouverte.</x:v>
      </x:c>
      <x:c r="H1394" s="115" t="str">
        <x:v>L 320 ; l 296 ; hauteur 7,1 m ; choix de composition auteur ; dimensions réelles à documenter</x:v>
      </x:c>
      <x:c r="I1394" s="115" t="str">
        <x:v>À équilibrer</x:v>
      </x:c>
      <x:c r="J1394" s="115" t="str">
        <x:v>Non</x:v>
      </x:c>
      <x:c r="K1394" s="115" t="str">
        <x:v>Pièces décrites, murs, portes, niveaux et mobilier inspectables à l’échelle. Volumes réservés, raccord au seed, butin, rencontres et services de campagne restent à terminer.</x:v>
      </x:c>
    </x:row>
    <x:row r="1395" ht="96" customHeight="1">
      <x:c r="A1395" s="115" t="str">
        <x:v>EXT-MONDE-T028-V40</x:v>
      </x:c>
      <x:c r="B1395" s="115" t="str">
        <x:v>EXT-MONDE-T028</x:v>
      </x:c>
      <x:c r="C1395" s="115" t="str">
        <x:v>Fermes cultures</x:v>
      </x:c>
      <x:c r="D1395" s="115" t="str">
        <x:v>Verger avec conditionnement</x:v>
      </x:c>
      <x:c r="E1395" s="115" t="n">
        <x:v>40</x:v>
      </x:c>
      <x:c r="F1395" s="115" t="str">
        <x:v>Inspection physique</x:v>
      </x:c>
      <x:c r="G1395" s="115" t="str">
        <x:v>1 niveaux ; 26 pièces ; 198 segments de mur ; 0 transitions. Inspection physique ; architecture complète encore ouverte.</x:v>
      </x:c>
      <x:c r="H1395" s="115" t="str">
        <x:v>L 320 ; l 296 ; hauteur 7,1 m ; choix de composition auteur ; dimensions réelles à documenter</x:v>
      </x:c>
      <x:c r="I1395" s="115" t="str">
        <x:v>À équilibrer</x:v>
      </x:c>
      <x:c r="J1395" s="115" t="str">
        <x:v>Non</x:v>
      </x:c>
      <x:c r="K1395" s="115" t="str">
        <x:v>Pièces décrites, murs, portes, niveaux et mobilier inspectables à l’échelle. Volumes réservés, raccord au seed, butin, rencontres et services de campagne restent à terminer.</x:v>
      </x:c>
    </x:row>
    <x:row r="1396" ht="96" customHeight="1">
      <x:c r="A1396" s="115" t="str">
        <x:v>EXT-MONDE-T028-V41</x:v>
      </x:c>
      <x:c r="B1396" s="115" t="str">
        <x:v>EXT-MONDE-T028</x:v>
      </x:c>
      <x:c r="C1396" s="115" t="str">
        <x:v>Fermes cultures</x:v>
      </x:c>
      <x:c r="D1396" s="115" t="str">
        <x:v>Verger avec conditionnement</x:v>
      </x:c>
      <x:c r="E1396" s="115" t="n">
        <x:v>41</x:v>
      </x:c>
      <x:c r="F1396" s="115" t="str">
        <x:v>Inspection physique</x:v>
      </x:c>
      <x:c r="G1396" s="115" t="str">
        <x:v>1 niveaux ; 26 pièces ; 198 segments de mur ; 0 transitions. Inspection physique ; architecture complète encore ouverte.</x:v>
      </x:c>
      <x:c r="H1396" s="115" t="str">
        <x:v>L 340 ; l 320 ; hauteur 7,3 m ; choix de composition auteur ; dimensions réelles à documenter</x:v>
      </x:c>
      <x:c r="I1396" s="115" t="str">
        <x:v>À équilibrer</x:v>
      </x:c>
      <x:c r="J1396" s="115" t="str">
        <x:v>Non</x:v>
      </x:c>
      <x:c r="K1396" s="115" t="str">
        <x:v>Pièces décrites, murs, portes, niveaux et mobilier inspectables à l’échelle. Volumes réservés, raccord au seed, butin, rencontres et services de campagne restent à terminer.</x:v>
      </x:c>
    </x:row>
    <x:row r="1397" ht="96" customHeight="1">
      <x:c r="A1397" s="115" t="str">
        <x:v>EXT-MONDE-T028-V42</x:v>
      </x:c>
      <x:c r="B1397" s="115" t="str">
        <x:v>EXT-MONDE-T028</x:v>
      </x:c>
      <x:c r="C1397" s="115" t="str">
        <x:v>Fermes cultures</x:v>
      </x:c>
      <x:c r="D1397" s="115" t="str">
        <x:v>Verger avec conditionnement</x:v>
      </x:c>
      <x:c r="E1397" s="115" t="n">
        <x:v>42</x:v>
      </x:c>
      <x:c r="F1397" s="115" t="str">
        <x:v>Inspection physique</x:v>
      </x:c>
      <x:c r="G1397" s="115" t="str">
        <x:v>1 niveaux ; 26 pièces ; 198 segments de mur ; 0 transitions. Inspection physique ; architecture complète encore ouverte.</x:v>
      </x:c>
      <x:c r="H1397" s="115" t="str">
        <x:v>L 340 ; l 320 ; hauteur 7,3 m ; choix de composition auteur ; dimensions réelles à documenter</x:v>
      </x:c>
      <x:c r="I1397" s="115" t="str">
        <x:v>À équilibrer</x:v>
      </x:c>
      <x:c r="J1397" s="115" t="str">
        <x:v>Non</x:v>
      </x:c>
      <x:c r="K1397" s="115" t="str">
        <x:v>Pièces décrites, murs, portes, niveaux et mobilier inspectables à l’échelle. Volumes réservés, raccord au seed, butin, rencontres et services de campagne restent à terminer.</x:v>
      </x:c>
    </x:row>
    <x:row r="1398" ht="96" customHeight="1">
      <x:c r="A1398" s="115" t="str">
        <x:v>EXT-MONDE-T028-V43</x:v>
      </x:c>
      <x:c r="B1398" s="115" t="str">
        <x:v>EXT-MONDE-T028</x:v>
      </x:c>
      <x:c r="C1398" s="115" t="str">
        <x:v>Fermes cultures</x:v>
      </x:c>
      <x:c r="D1398" s="115" t="str">
        <x:v>Verger avec conditionnement</x:v>
      </x:c>
      <x:c r="E1398" s="115" t="n">
        <x:v>43</x:v>
      </x:c>
      <x:c r="F1398" s="115" t="str">
        <x:v>Inspection physique</x:v>
      </x:c>
      <x:c r="G1398" s="115" t="str">
        <x:v>1 niveaux ; 26 pièces ; 198 segments de mur ; 0 transitions. Inspection physique ; architecture complète encore ouverte.</x:v>
      </x:c>
      <x:c r="H1398" s="115" t="str">
        <x:v>L 340 ; l 320 ; hauteur 7,3 m ; choix de composition auteur ; dimensions réelles à documenter</x:v>
      </x:c>
      <x:c r="I1398" s="115" t="str">
        <x:v>À équilibrer</x:v>
      </x:c>
      <x:c r="J1398" s="115" t="str">
        <x:v>Non</x:v>
      </x:c>
      <x:c r="K1398" s="115" t="str">
        <x:v>Pièces décrites, murs, portes, niveaux et mobilier inspectables à l’échelle. Volumes réservés, raccord au seed, butin, rencontres et services de campagne restent à terminer.</x:v>
      </x:c>
    </x:row>
    <x:row r="1399" ht="96" customHeight="1">
      <x:c r="A1399" s="115" t="str">
        <x:v>EXT-MONDE-T028-V44</x:v>
      </x:c>
      <x:c r="B1399" s="115" t="str">
        <x:v>EXT-MONDE-T028</x:v>
      </x:c>
      <x:c r="C1399" s="115" t="str">
        <x:v>Fermes cultures</x:v>
      </x:c>
      <x:c r="D1399" s="115" t="str">
        <x:v>Verger avec conditionnement</x:v>
      </x:c>
      <x:c r="E1399" s="115" t="n">
        <x:v>44</x:v>
      </x:c>
      <x:c r="F1399" s="115" t="str">
        <x:v>Inspection physique</x:v>
      </x:c>
      <x:c r="G1399" s="115" t="str">
        <x:v>1 niveaux ; 26 pièces ; 198 segments de mur ; 0 transitions. Inspection physique ; architecture complète encore ouverte.</x:v>
      </x:c>
      <x:c r="H1399" s="115" t="str">
        <x:v>L 340 ; l 320 ; hauteur 7,3 m ; choix de composition auteur ; dimensions réelles à documenter</x:v>
      </x:c>
      <x:c r="I1399" s="115" t="str">
        <x:v>À équilibrer</x:v>
      </x:c>
      <x:c r="J1399" s="115" t="str">
        <x:v>Non</x:v>
      </x:c>
      <x:c r="K1399" s="115" t="str">
        <x:v>Pièces décrites, murs, portes, niveaux et mobilier inspectables à l’échelle. Volumes réservés, raccord au seed, butin, rencontres et services de campagne restent à terminer.</x:v>
      </x:c>
    </x:row>
    <x:row r="1400" ht="96" customHeight="1">
      <x:c r="A1400" s="115" t="str">
        <x:v>EXT-MONDE-T028-V45</x:v>
      </x:c>
      <x:c r="B1400" s="115" t="str">
        <x:v>EXT-MONDE-T028</x:v>
      </x:c>
      <x:c r="C1400" s="115" t="str">
        <x:v>Fermes cultures</x:v>
      </x:c>
      <x:c r="D1400" s="115" t="str">
        <x:v>Verger avec conditionnement</x:v>
      </x:c>
      <x:c r="E1400" s="115" t="n">
        <x:v>45</x:v>
      </x:c>
      <x:c r="F1400" s="115" t="str">
        <x:v>Inspection physique</x:v>
      </x:c>
      <x:c r="G1400" s="115" t="str">
        <x:v>1 niveaux ; 26 pièces ; 198 segments de mur ; 0 transitions. Inspection physique ; architecture complète encore ouverte.</x:v>
      </x:c>
      <x:c r="H1400" s="115" t="str">
        <x:v>L 340 ; l 320 ; hauteur 7,3 m ; choix de composition auteur ; dimensions réelles à documenter</x:v>
      </x:c>
      <x:c r="I1400" s="115" t="str">
        <x:v>À équilibrer</x:v>
      </x:c>
      <x:c r="J1400" s="115" t="str">
        <x:v>Non</x:v>
      </x:c>
      <x:c r="K1400" s="115" t="str">
        <x:v>Pièces décrites, murs, portes, niveaux et mobilier inspectables à l’échelle. Volumes réservés, raccord au seed, butin, rencontres et services de campagne restent à terminer.</x:v>
      </x:c>
    </x:row>
    <x:row r="1401" ht="96" customHeight="1">
      <x:c r="A1401" s="115" t="str">
        <x:v>EXT-MONDE-T028-V46</x:v>
      </x:c>
      <x:c r="B1401" s="115" t="str">
        <x:v>EXT-MONDE-T028</x:v>
      </x:c>
      <x:c r="C1401" s="115" t="str">
        <x:v>Fermes cultures</x:v>
      </x:c>
      <x:c r="D1401" s="115" t="str">
        <x:v>Verger avec conditionnement</x:v>
      </x:c>
      <x:c r="E1401" s="115" t="n">
        <x:v>46</x:v>
      </x:c>
      <x:c r="F1401" s="115" t="str">
        <x:v>Inspection physique</x:v>
      </x:c>
      <x:c r="G1401" s="115" t="str">
        <x:v>1 niveaux ; 26 pièces ; 198 segments de mur ; 0 transitions. Inspection physique ; architecture complète encore ouverte.</x:v>
      </x:c>
      <x:c r="H1401" s="115" t="str">
        <x:v>L 340 ; l 320 ; hauteur 7,3 m ; choix de composition auteur ; dimensions réelles à documenter</x:v>
      </x:c>
      <x:c r="I1401" s="115" t="str">
        <x:v>À équilibrer</x:v>
      </x:c>
      <x:c r="J1401" s="115" t="str">
        <x:v>Non</x:v>
      </x:c>
      <x:c r="K1401" s="115" t="str">
        <x:v>Pièces décrites, murs, portes, niveaux et mobilier inspectables à l’échelle. Volumes réservés, raccord au seed, butin, rencontres et services de campagne restent à terminer.</x:v>
      </x:c>
    </x:row>
    <x:row r="1402" ht="96" customHeight="1">
      <x:c r="A1402" s="115" t="str">
        <x:v>EXT-MONDE-T028-V47</x:v>
      </x:c>
      <x:c r="B1402" s="115" t="str">
        <x:v>EXT-MONDE-T028</x:v>
      </x:c>
      <x:c r="C1402" s="115" t="str">
        <x:v>Fermes cultures</x:v>
      </x:c>
      <x:c r="D1402" s="115" t="str">
        <x:v>Verger avec conditionnement</x:v>
      </x:c>
      <x:c r="E1402" s="115" t="n">
        <x:v>47</x:v>
      </x:c>
      <x:c r="F1402" s="115" t="str">
        <x:v>Inspection physique</x:v>
      </x:c>
      <x:c r="G1402" s="115" t="str">
        <x:v>1 niveaux ; 26 pièces ; 198 segments de mur ; 0 transitions. Inspection physique ; architecture complète encore ouverte.</x:v>
      </x:c>
      <x:c r="H1402" s="115" t="str">
        <x:v>L 340 ; l 320 ; hauteur 7,3 m ; choix de composition auteur ; dimensions réelles à documenter</x:v>
      </x:c>
      <x:c r="I1402" s="115" t="str">
        <x:v>À équilibrer</x:v>
      </x:c>
      <x:c r="J1402" s="115" t="str">
        <x:v>Non</x:v>
      </x:c>
      <x:c r="K1402" s="115" t="str">
        <x:v>Pièces décrites, murs, portes, niveaux et mobilier inspectables à l’échelle. Volumes réservés, raccord au seed, butin, rencontres et services de campagne restent à terminer.</x:v>
      </x:c>
    </x:row>
    <x:row r="1403" ht="96" customHeight="1">
      <x:c r="A1403" s="115" t="str">
        <x:v>EXT-MONDE-T028-V48</x:v>
      </x:c>
      <x:c r="B1403" s="115" t="str">
        <x:v>EXT-MONDE-T028</x:v>
      </x:c>
      <x:c r="C1403" s="115" t="str">
        <x:v>Fermes cultures</x:v>
      </x:c>
      <x:c r="D1403" s="115" t="str">
        <x:v>Verger avec conditionnement</x:v>
      </x:c>
      <x:c r="E1403" s="115" t="n">
        <x:v>48</x:v>
      </x:c>
      <x:c r="F1403" s="115" t="str">
        <x:v>Inspection physique</x:v>
      </x:c>
      <x:c r="G1403" s="115" t="str">
        <x:v>1 niveaux ; 26 pièces ; 198 segments de mur ; 0 transitions. Inspection physique ; architecture complète encore ouverte.</x:v>
      </x:c>
      <x:c r="H1403" s="115" t="str">
        <x:v>L 340 ; l 320 ; hauteur 7,3 m ; choix de composition auteur ; dimensions réelles à documenter</x:v>
      </x:c>
      <x:c r="I1403" s="115" t="str">
        <x:v>À équilibrer</x:v>
      </x:c>
      <x:c r="J1403" s="115" t="str">
        <x:v>Non</x:v>
      </x:c>
      <x:c r="K1403" s="115" t="str">
        <x:v>Pièces décrites, murs, portes, niveaux et mobilier inspectables à l’échelle. Volumes réservés, raccord au seed, butin, rencontres et services de campagne restent à terminer.</x:v>
      </x:c>
    </x:row>
    <x:row r="1404" ht="96" customHeight="1">
      <x:c r="A1404" s="115" t="str">
        <x:v>EXT-MONDE-T028-V49</x:v>
      </x:c>
      <x:c r="B1404" s="115" t="str">
        <x:v>EXT-MONDE-T028</x:v>
      </x:c>
      <x:c r="C1404" s="115" t="str">
        <x:v>Fermes cultures</x:v>
      </x:c>
      <x:c r="D1404" s="115" t="str">
        <x:v>Verger avec conditionnement</x:v>
      </x:c>
      <x:c r="E1404" s="115" t="n">
        <x:v>49</x:v>
      </x:c>
      <x:c r="F1404" s="115" t="str">
        <x:v>Inspection physique</x:v>
      </x:c>
      <x:c r="G1404" s="115" t="str">
        <x:v>1 niveaux ; 26 pièces ; 198 segments de mur ; 0 transitions. Inspection physique ; architecture complète encore ouverte.</x:v>
      </x:c>
      <x:c r="H1404" s="115" t="str">
        <x:v>L 340 ; l 320 ; hauteur 7,3 m ; choix de composition auteur ; dimensions réelles à documenter</x:v>
      </x:c>
      <x:c r="I1404" s="115" t="str">
        <x:v>À équilibrer</x:v>
      </x:c>
      <x:c r="J1404" s="115" t="str">
        <x:v>Non</x:v>
      </x:c>
      <x:c r="K1404" s="115" t="str">
        <x:v>Pièces décrites, murs, portes, niveaux et mobilier inspectables à l’échelle. Volumes réservés, raccord au seed, butin, rencontres et services de campagne restent à terminer.</x:v>
      </x:c>
    </x:row>
    <x:row r="1405" ht="96" customHeight="1">
      <x:c r="A1405" s="115" t="str">
        <x:v>EXT-MONDE-T028-V50</x:v>
      </x:c>
      <x:c r="B1405" s="115" t="str">
        <x:v>EXT-MONDE-T028</x:v>
      </x:c>
      <x:c r="C1405" s="115" t="str">
        <x:v>Fermes cultures</x:v>
      </x:c>
      <x:c r="D1405" s="115" t="str">
        <x:v>Verger avec conditionnement</x:v>
      </x:c>
      <x:c r="E1405" s="115" t="n">
        <x:v>50</x:v>
      </x:c>
      <x:c r="F1405" s="115" t="str">
        <x:v>Inspection physique</x:v>
      </x:c>
      <x:c r="G1405" s="115" t="str">
        <x:v>1 niveaux ; 26 pièces ; 198 segments de mur ; 0 transitions. Inspection physique ; architecture complète encore ouverte.</x:v>
      </x:c>
      <x:c r="H1405" s="115" t="str">
        <x:v>L 340 ; l 320 ; hauteur 7,3 m ; choix de composition auteur ; dimensions réelles à documenter</x:v>
      </x:c>
      <x:c r="I1405" s="115" t="str">
        <x:v>À équilibrer</x:v>
      </x:c>
      <x:c r="J1405" s="115" t="str">
        <x:v>Non</x:v>
      </x:c>
      <x:c r="K1405" s="115" t="str">
        <x:v>Pièces décrites, murs, portes, niveaux et mobilier inspectables à l’échelle. Volumes réservés, raccord au seed, butin, rencontres et services de campagne restent à terminer.</x:v>
      </x:c>
    </x:row>
    <x:row r="1406" ht="96" customHeight="1">
      <x:c r="A1406" s="115" t="str">
        <x:v>EXT-MONDE-T029-V01</x:v>
      </x:c>
      <x:c r="B1406" s="115" t="str">
        <x:v>EXT-MONDE-T029</x:v>
      </x:c>
      <x:c r="C1406" s="115" t="str">
        <x:v>Ponts</x:v>
      </x:c>
      <x:c r="D1406" s="115" t="str">
        <x:v>Pont routier à poutres</x:v>
      </x:c>
      <x:c r="E1406" s="115" t="n">
        <x:v>1</x:v>
      </x:c>
      <x:c r="F1406" s="115" t="str">
        <x:v>Inspection physique</x:v>
      </x:c>
      <x:c r="G1406" s="115" t="str">
        <x:v>1 niveaux ; 34 pièces ; 260 segments de mur ; 0 transitions. Inspection physique ; architecture complète encore ouverte.</x:v>
      </x:c>
      <x:c r="H1406" s="115" t="str">
        <x:v>L 620 ; l 800 ; hauteur 8,2 m ; choix de composition auteur ; dimensions réelles à documenter</x:v>
      </x:c>
      <x:c r="I1406" s="115" t="str">
        <x:v>À équilibrer</x:v>
      </x:c>
      <x:c r="J1406" s="115" t="str">
        <x:v>Non</x:v>
      </x:c>
      <x:c r="K1406" s="115" t="str">
        <x:v>Pièces décrites, murs, portes, niveaux et mobilier inspectables à l’échelle. Volumes réservés, raccord au seed, butin, rencontres et services de campagne restent à terminer.</x:v>
      </x:c>
    </x:row>
    <x:row r="1407" ht="96" customHeight="1">
      <x:c r="A1407" s="115" t="str">
        <x:v>EXT-MONDE-T029-V02</x:v>
      </x:c>
      <x:c r="B1407" s="115" t="str">
        <x:v>EXT-MONDE-T029</x:v>
      </x:c>
      <x:c r="C1407" s="115" t="str">
        <x:v>Ponts</x:v>
      </x:c>
      <x:c r="D1407" s="115" t="str">
        <x:v>Pont routier à poutres</x:v>
      </x:c>
      <x:c r="E1407" s="115" t="n">
        <x:v>2</x:v>
      </x:c>
      <x:c r="F1407" s="115" t="str">
        <x:v>Inspection physique</x:v>
      </x:c>
      <x:c r="G1407" s="115" t="str">
        <x:v>1 niveaux ; 34 pièces ; 260 segments de mur ; 0 transitions. Inspection physique ; architecture complète encore ouverte.</x:v>
      </x:c>
      <x:c r="H1407" s="115" t="str">
        <x:v>L 620 ; l 800 ; hauteur 8,24 m ; choix de composition auteur ; dimensions réelles à documenter</x:v>
      </x:c>
      <x:c r="I1407" s="115" t="str">
        <x:v>À équilibrer</x:v>
      </x:c>
      <x:c r="J1407" s="115" t="str">
        <x:v>Non</x:v>
      </x:c>
      <x:c r="K1407" s="115" t="str">
        <x:v>Pièces décrites, murs, portes, niveaux et mobilier inspectables à l’échelle. Volumes réservés, raccord au seed, butin, rencontres et services de campagne restent à terminer.</x:v>
      </x:c>
    </x:row>
    <x:row r="1408" ht="96" customHeight="1">
      <x:c r="A1408" s="115" t="str">
        <x:v>EXT-MONDE-T029-V03</x:v>
      </x:c>
      <x:c r="B1408" s="115" t="str">
        <x:v>EXT-MONDE-T029</x:v>
      </x:c>
      <x:c r="C1408" s="115" t="str">
        <x:v>Ponts</x:v>
      </x:c>
      <x:c r="D1408" s="115" t="str">
        <x:v>Pont routier à poutres</x:v>
      </x:c>
      <x:c r="E1408" s="115" t="n">
        <x:v>3</x:v>
      </x:c>
      <x:c r="F1408" s="115" t="str">
        <x:v>Inspection physique</x:v>
      </x:c>
      <x:c r="G1408" s="115" t="str">
        <x:v>1 niveaux ; 34 pièces ; 260 segments de mur ; 0 transitions. Inspection physique ; architecture complète encore ouverte.</x:v>
      </x:c>
      <x:c r="H1408" s="115" t="str">
        <x:v>L 620 ; l 800 ; hauteur 8,28 m ; choix de composition auteur ; dimensions réelles à documenter</x:v>
      </x:c>
      <x:c r="I1408" s="115" t="str">
        <x:v>À équilibrer</x:v>
      </x:c>
      <x:c r="J1408" s="115" t="str">
        <x:v>Non</x:v>
      </x:c>
      <x:c r="K1408" s="115" t="str">
        <x:v>Pièces décrites, murs, portes, niveaux et mobilier inspectables à l’échelle. Volumes réservés, raccord au seed, butin, rencontres et services de campagne restent à terminer.</x:v>
      </x:c>
    </x:row>
    <x:row r="1409" ht="96" customHeight="1">
      <x:c r="A1409" s="115" t="str">
        <x:v>EXT-MONDE-T029-V04</x:v>
      </x:c>
      <x:c r="B1409" s="115" t="str">
        <x:v>EXT-MONDE-T029</x:v>
      </x:c>
      <x:c r="C1409" s="115" t="str">
        <x:v>Ponts</x:v>
      </x:c>
      <x:c r="D1409" s="115" t="str">
        <x:v>Pont routier à poutres</x:v>
      </x:c>
      <x:c r="E1409" s="115" t="n">
        <x:v>4</x:v>
      </x:c>
      <x:c r="F1409" s="115" t="str">
        <x:v>Inspection physique</x:v>
      </x:c>
      <x:c r="G1409" s="115" t="str">
        <x:v>1 niveaux ; 34 pièces ; 260 segments de mur ; 0 transitions. Inspection physique ; architecture complète encore ouverte.</x:v>
      </x:c>
      <x:c r="H1409" s="115" t="str">
        <x:v>L 620 ; l 800 ; hauteur 8,32 m ; choix de composition auteur ; dimensions réelles à documenter</x:v>
      </x:c>
      <x:c r="I1409" s="115" t="str">
        <x:v>À équilibrer</x:v>
      </x:c>
      <x:c r="J1409" s="115" t="str">
        <x:v>Non</x:v>
      </x:c>
      <x:c r="K1409" s="115" t="str">
        <x:v>Pièces décrites, murs, portes, niveaux et mobilier inspectables à l’échelle. Volumes réservés, raccord au seed, butin, rencontres et services de campagne restent à terminer.</x:v>
      </x:c>
    </x:row>
    <x:row r="1410" ht="96" customHeight="1">
      <x:c r="A1410" s="115" t="str">
        <x:v>EXT-MONDE-T029-V05</x:v>
      </x:c>
      <x:c r="B1410" s="115" t="str">
        <x:v>EXT-MONDE-T029</x:v>
      </x:c>
      <x:c r="C1410" s="115" t="str">
        <x:v>Ponts</x:v>
      </x:c>
      <x:c r="D1410" s="115" t="str">
        <x:v>Pont routier à poutres</x:v>
      </x:c>
      <x:c r="E1410" s="115" t="n">
        <x:v>5</x:v>
      </x:c>
      <x:c r="F1410" s="115" t="str">
        <x:v>Inspection physique</x:v>
      </x:c>
      <x:c r="G1410" s="115" t="str">
        <x:v>1 niveaux ; 34 pièces ; 260 segments de mur ; 0 transitions. Inspection physique ; architecture complète encore ouverte.</x:v>
      </x:c>
      <x:c r="H1410" s="115" t="str">
        <x:v>L 620 ; l 800 ; hauteur 8,36 m ; choix de composition auteur ; dimensions réelles à documenter</x:v>
      </x:c>
      <x:c r="I1410" s="115" t="str">
        <x:v>À équilibrer</x:v>
      </x:c>
      <x:c r="J1410" s="115" t="str">
        <x:v>Non</x:v>
      </x:c>
      <x:c r="K1410" s="115" t="str">
        <x:v>Pièces décrites, murs, portes, niveaux et mobilier inspectables à l’échelle. Volumes réservés, raccord au seed, butin, rencontres et services de campagne restent à terminer.</x:v>
      </x:c>
    </x:row>
    <x:row r="1411" ht="96" customHeight="1">
      <x:c r="A1411" s="115" t="str">
        <x:v>EXT-MONDE-T029-V06</x:v>
      </x:c>
      <x:c r="B1411" s="115" t="str">
        <x:v>EXT-MONDE-T029</x:v>
      </x:c>
      <x:c r="C1411" s="115" t="str">
        <x:v>Ponts</x:v>
      </x:c>
      <x:c r="D1411" s="115" t="str">
        <x:v>Pont routier à poutres</x:v>
      </x:c>
      <x:c r="E1411" s="115" t="n">
        <x:v>6</x:v>
      </x:c>
      <x:c r="F1411" s="115" t="str">
        <x:v>Inspection physique</x:v>
      </x:c>
      <x:c r="G1411" s="115" t="str">
        <x:v>1 niveaux ; 34 pièces ; 260 segments de mur ; 0 transitions. Inspection physique ; architecture complète encore ouverte.</x:v>
      </x:c>
      <x:c r="H1411" s="115" t="str">
        <x:v>L 620 ; l 800 ; hauteur 8,4 m ; choix de composition auteur ; dimensions réelles à documenter</x:v>
      </x:c>
      <x:c r="I1411" s="115" t="str">
        <x:v>À équilibrer</x:v>
      </x:c>
      <x:c r="J1411" s="115" t="str">
        <x:v>Non</x:v>
      </x:c>
      <x:c r="K1411" s="115" t="str">
        <x:v>Pièces décrites, murs, portes, niveaux et mobilier inspectables à l’échelle. Volumes réservés, raccord au seed, butin, rencontres et services de campagne restent à terminer.</x:v>
      </x:c>
    </x:row>
    <x:row r="1412" ht="96" customHeight="1">
      <x:c r="A1412" s="115" t="str">
        <x:v>EXT-MONDE-T029-V07</x:v>
      </x:c>
      <x:c r="B1412" s="115" t="str">
        <x:v>EXT-MONDE-T029</x:v>
      </x:c>
      <x:c r="C1412" s="115" t="str">
        <x:v>Ponts</x:v>
      </x:c>
      <x:c r="D1412" s="115" t="str">
        <x:v>Pont routier à poutres</x:v>
      </x:c>
      <x:c r="E1412" s="115" t="n">
        <x:v>7</x:v>
      </x:c>
      <x:c r="F1412" s="115" t="str">
        <x:v>Inspection physique</x:v>
      </x:c>
      <x:c r="G1412" s="115" t="str">
        <x:v>1 niveaux ; 34 pièces ; 260 segments de mur ; 0 transitions. Inspection physique ; architecture complète encore ouverte.</x:v>
      </x:c>
      <x:c r="H1412" s="115" t="str">
        <x:v>L 620 ; l 800 ; hauteur 8,44 m ; choix de composition auteur ; dimensions réelles à documenter</x:v>
      </x:c>
      <x:c r="I1412" s="115" t="str">
        <x:v>À équilibrer</x:v>
      </x:c>
      <x:c r="J1412" s="115" t="str">
        <x:v>Non</x:v>
      </x:c>
      <x:c r="K1412" s="115" t="str">
        <x:v>Pièces décrites, murs, portes, niveaux et mobilier inspectables à l’échelle. Volumes réservés, raccord au seed, butin, rencontres et services de campagne restent à terminer.</x:v>
      </x:c>
    </x:row>
    <x:row r="1413" ht="96" customHeight="1">
      <x:c r="A1413" s="115" t="str">
        <x:v>EXT-MONDE-T029-V08</x:v>
      </x:c>
      <x:c r="B1413" s="115" t="str">
        <x:v>EXT-MONDE-T029</x:v>
      </x:c>
      <x:c r="C1413" s="115" t="str">
        <x:v>Ponts</x:v>
      </x:c>
      <x:c r="D1413" s="115" t="str">
        <x:v>Pont routier à poutres</x:v>
      </x:c>
      <x:c r="E1413" s="115" t="n">
        <x:v>8</x:v>
      </x:c>
      <x:c r="F1413" s="115" t="str">
        <x:v>Inspection physique</x:v>
      </x:c>
      <x:c r="G1413" s="115" t="str">
        <x:v>1 niveaux ; 34 pièces ; 260 segments de mur ; 0 transitions. Inspection physique ; architecture complète encore ouverte.</x:v>
      </x:c>
      <x:c r="H1413" s="115" t="str">
        <x:v>L 620 ; l 800 ; hauteur 8,48 m ; choix de composition auteur ; dimensions réelles à documenter</x:v>
      </x:c>
      <x:c r="I1413" s="115" t="str">
        <x:v>À équilibrer</x:v>
      </x:c>
      <x:c r="J1413" s="115" t="str">
        <x:v>Non</x:v>
      </x:c>
      <x:c r="K1413" s="115" t="str">
        <x:v>Pièces décrites, murs, portes, niveaux et mobilier inspectables à l’échelle. Volumes réservés, raccord au seed, butin, rencontres et services de campagne restent à terminer.</x:v>
      </x:c>
    </x:row>
    <x:row r="1414" ht="96" customHeight="1">
      <x:c r="A1414" s="115" t="str">
        <x:v>EXT-MONDE-T029-V09</x:v>
      </x:c>
      <x:c r="B1414" s="115" t="str">
        <x:v>EXT-MONDE-T029</x:v>
      </x:c>
      <x:c r="C1414" s="115" t="str">
        <x:v>Ponts</x:v>
      </x:c>
      <x:c r="D1414" s="115" t="str">
        <x:v>Pont routier à poutres</x:v>
      </x:c>
      <x:c r="E1414" s="115" t="n">
        <x:v>9</x:v>
      </x:c>
      <x:c r="F1414" s="115" t="str">
        <x:v>Inspection physique</x:v>
      </x:c>
      <x:c r="G1414" s="115" t="str">
        <x:v>1 niveaux ; 34 pièces ; 260 segments de mur ; 0 transitions. Inspection physique ; architecture complète encore ouverte.</x:v>
      </x:c>
      <x:c r="H1414" s="115" t="str">
        <x:v>L 620 ; l 800 ; hauteur 8,52 m ; choix de composition auteur ; dimensions réelles à documenter</x:v>
      </x:c>
      <x:c r="I1414" s="115" t="str">
        <x:v>À équilibrer</x:v>
      </x:c>
      <x:c r="J1414" s="115" t="str">
        <x:v>Non</x:v>
      </x:c>
      <x:c r="K1414" s="115" t="str">
        <x:v>Pièces décrites, murs, portes, niveaux et mobilier inspectables à l’échelle. Volumes réservés, raccord au seed, butin, rencontres et services de campagne restent à terminer.</x:v>
      </x:c>
    </x:row>
    <x:row r="1415" ht="96" customHeight="1">
      <x:c r="A1415" s="115" t="str">
        <x:v>EXT-MONDE-T029-V10</x:v>
      </x:c>
      <x:c r="B1415" s="115" t="str">
        <x:v>EXT-MONDE-T029</x:v>
      </x:c>
      <x:c r="C1415" s="115" t="str">
        <x:v>Ponts</x:v>
      </x:c>
      <x:c r="D1415" s="115" t="str">
        <x:v>Pont routier à poutres</x:v>
      </x:c>
      <x:c r="E1415" s="115" t="n">
        <x:v>10</x:v>
      </x:c>
      <x:c r="F1415" s="115" t="str">
        <x:v>Inspection physique</x:v>
      </x:c>
      <x:c r="G1415" s="115" t="str">
        <x:v>1 niveaux ; 34 pièces ; 260 segments de mur ; 0 transitions. Inspection physique ; architecture complète encore ouverte.</x:v>
      </x:c>
      <x:c r="H1415" s="115" t="str">
        <x:v>L 620 ; l 800 ; hauteur 8,56 m ; choix de composition auteur ; dimensions réelles à documenter</x:v>
      </x:c>
      <x:c r="I1415" s="115" t="str">
        <x:v>À équilibrer</x:v>
      </x:c>
      <x:c r="J1415" s="115" t="str">
        <x:v>Non</x:v>
      </x:c>
      <x:c r="K1415" s="115" t="str">
        <x:v>Pièces décrites, murs, portes, niveaux et mobilier inspectables à l’échelle. Volumes réservés, raccord au seed, butin, rencontres et services de campagne restent à terminer.</x:v>
      </x:c>
    </x:row>
    <x:row r="1416" ht="96" customHeight="1">
      <x:c r="A1416" s="115" t="str">
        <x:v>EXT-MONDE-T029-V11</x:v>
      </x:c>
      <x:c r="B1416" s="115" t="str">
        <x:v>EXT-MONDE-T029</x:v>
      </x:c>
      <x:c r="C1416" s="115" t="str">
        <x:v>Ponts</x:v>
      </x:c>
      <x:c r="D1416" s="115" t="str">
        <x:v>Pont routier à poutres</x:v>
      </x:c>
      <x:c r="E1416" s="115" t="n">
        <x:v>11</x:v>
      </x:c>
      <x:c r="F1416" s="115" t="str">
        <x:v>Inspection physique</x:v>
      </x:c>
      <x:c r="G1416" s="115" t="str">
        <x:v>1 niveaux ; 34 pièces ; 260 segments de mur ; 0 transitions. Inspection physique ; architecture complète encore ouverte.</x:v>
      </x:c>
      <x:c r="H1416" s="115" t="str">
        <x:v>L 700 ; l 960 ; hauteur 8,2 m ; choix de composition auteur ; dimensions réelles à documenter</x:v>
      </x:c>
      <x:c r="I1416" s="115" t="str">
        <x:v>À équilibrer</x:v>
      </x:c>
      <x:c r="J1416" s="115" t="str">
        <x:v>Non</x:v>
      </x:c>
      <x:c r="K1416" s="115" t="str">
        <x:v>Pièces décrites, murs, portes, niveaux et mobilier inspectables à l’échelle. Volumes réservés, raccord au seed, butin, rencontres et services de campagne restent à terminer.</x:v>
      </x:c>
    </x:row>
    <x:row r="1417" ht="96" customHeight="1">
      <x:c r="A1417" s="115" t="str">
        <x:v>EXT-MONDE-T029-V12</x:v>
      </x:c>
      <x:c r="B1417" s="115" t="str">
        <x:v>EXT-MONDE-T029</x:v>
      </x:c>
      <x:c r="C1417" s="115" t="str">
        <x:v>Ponts</x:v>
      </x:c>
      <x:c r="D1417" s="115" t="str">
        <x:v>Pont routier à poutres</x:v>
      </x:c>
      <x:c r="E1417" s="115" t="n">
        <x:v>12</x:v>
      </x:c>
      <x:c r="F1417" s="115" t="str">
        <x:v>Inspection physique</x:v>
      </x:c>
      <x:c r="G1417" s="115" t="str">
        <x:v>1 niveaux ; 34 pièces ; 260 segments de mur ; 0 transitions. Inspection physique ; architecture complète encore ouverte.</x:v>
      </x:c>
      <x:c r="H1417" s="115" t="str">
        <x:v>L 700 ; l 960 ; hauteur 8,24 m ; choix de composition auteur ; dimensions réelles à documenter</x:v>
      </x:c>
      <x:c r="I1417" s="115" t="str">
        <x:v>À équilibrer</x:v>
      </x:c>
      <x:c r="J1417" s="115" t="str">
        <x:v>Non</x:v>
      </x:c>
      <x:c r="K1417" s="115" t="str">
        <x:v>Pièces décrites, murs, portes, niveaux et mobilier inspectables à l’échelle. Volumes réservés, raccord au seed, butin, rencontres et services de campagne restent à terminer.</x:v>
      </x:c>
    </x:row>
    <x:row r="1418" ht="96" customHeight="1">
      <x:c r="A1418" s="115" t="str">
        <x:v>EXT-MONDE-T029-V13</x:v>
      </x:c>
      <x:c r="B1418" s="115" t="str">
        <x:v>EXT-MONDE-T029</x:v>
      </x:c>
      <x:c r="C1418" s="115" t="str">
        <x:v>Ponts</x:v>
      </x:c>
      <x:c r="D1418" s="115" t="str">
        <x:v>Pont routier à poutres</x:v>
      </x:c>
      <x:c r="E1418" s="115" t="n">
        <x:v>13</x:v>
      </x:c>
      <x:c r="F1418" s="115" t="str">
        <x:v>Inspection physique</x:v>
      </x:c>
      <x:c r="G1418" s="115" t="str">
        <x:v>1 niveaux ; 34 pièces ; 260 segments de mur ; 0 transitions. Inspection physique ; architecture complète encore ouverte.</x:v>
      </x:c>
      <x:c r="H1418" s="115" t="str">
        <x:v>L 700 ; l 960 ; hauteur 8,28 m ; choix de composition auteur ; dimensions réelles à documenter</x:v>
      </x:c>
      <x:c r="I1418" s="115" t="str">
        <x:v>À équilibrer</x:v>
      </x:c>
      <x:c r="J1418" s="115" t="str">
        <x:v>Non</x:v>
      </x:c>
      <x:c r="K1418" s="115" t="str">
        <x:v>Pièces décrites, murs, portes, niveaux et mobilier inspectables à l’échelle. Volumes réservés, raccord au seed, butin, rencontres et services de campagne restent à terminer.</x:v>
      </x:c>
    </x:row>
    <x:row r="1419" ht="96" customHeight="1">
      <x:c r="A1419" s="115" t="str">
        <x:v>EXT-MONDE-T029-V14</x:v>
      </x:c>
      <x:c r="B1419" s="115" t="str">
        <x:v>EXT-MONDE-T029</x:v>
      </x:c>
      <x:c r="C1419" s="115" t="str">
        <x:v>Ponts</x:v>
      </x:c>
      <x:c r="D1419" s="115" t="str">
        <x:v>Pont routier à poutres</x:v>
      </x:c>
      <x:c r="E1419" s="115" t="n">
        <x:v>14</x:v>
      </x:c>
      <x:c r="F1419" s="115" t="str">
        <x:v>Inspection physique</x:v>
      </x:c>
      <x:c r="G1419" s="115" t="str">
        <x:v>1 niveaux ; 34 pièces ; 260 segments de mur ; 0 transitions. Inspection physique ; architecture complète encore ouverte.</x:v>
      </x:c>
      <x:c r="H1419" s="115" t="str">
        <x:v>L 700 ; l 960 ; hauteur 8,32 m ; choix de composition auteur ; dimensions réelles à documenter</x:v>
      </x:c>
      <x:c r="I1419" s="115" t="str">
        <x:v>À équilibrer</x:v>
      </x:c>
      <x:c r="J1419" s="115" t="str">
        <x:v>Non</x:v>
      </x:c>
      <x:c r="K1419" s="115" t="str">
        <x:v>Pièces décrites, murs, portes, niveaux et mobilier inspectables à l’échelle. Volumes réservés, raccord au seed, butin, rencontres et services de campagne restent à terminer.</x:v>
      </x:c>
    </x:row>
    <x:row r="1420" ht="96" customHeight="1">
      <x:c r="A1420" s="115" t="str">
        <x:v>EXT-MONDE-T029-V15</x:v>
      </x:c>
      <x:c r="B1420" s="115" t="str">
        <x:v>EXT-MONDE-T029</x:v>
      </x:c>
      <x:c r="C1420" s="115" t="str">
        <x:v>Ponts</x:v>
      </x:c>
      <x:c r="D1420" s="115" t="str">
        <x:v>Pont routier à poutres</x:v>
      </x:c>
      <x:c r="E1420" s="115" t="n">
        <x:v>15</x:v>
      </x:c>
      <x:c r="F1420" s="115" t="str">
        <x:v>Inspection physique</x:v>
      </x:c>
      <x:c r="G1420" s="115" t="str">
        <x:v>1 niveaux ; 34 pièces ; 260 segments de mur ; 0 transitions. Inspection physique ; architecture complète encore ouverte.</x:v>
      </x:c>
      <x:c r="H1420" s="115" t="str">
        <x:v>L 700 ; l 960 ; hauteur 8,36 m ; choix de composition auteur ; dimensions réelles à documenter</x:v>
      </x:c>
      <x:c r="I1420" s="115" t="str">
        <x:v>À équilibrer</x:v>
      </x:c>
      <x:c r="J1420" s="115" t="str">
        <x:v>Non</x:v>
      </x:c>
      <x:c r="K1420" s="115" t="str">
        <x:v>Pièces décrites, murs, portes, niveaux et mobilier inspectables à l’échelle. Volumes réservés, raccord au seed, butin, rencontres et services de campagne restent à terminer.</x:v>
      </x:c>
    </x:row>
    <x:row r="1421" ht="96" customHeight="1">
      <x:c r="A1421" s="115" t="str">
        <x:v>EXT-MONDE-T029-V16</x:v>
      </x:c>
      <x:c r="B1421" s="115" t="str">
        <x:v>EXT-MONDE-T029</x:v>
      </x:c>
      <x:c r="C1421" s="115" t="str">
        <x:v>Ponts</x:v>
      </x:c>
      <x:c r="D1421" s="115" t="str">
        <x:v>Pont routier à poutres</x:v>
      </x:c>
      <x:c r="E1421" s="115" t="n">
        <x:v>16</x:v>
      </x:c>
      <x:c r="F1421" s="115" t="str">
        <x:v>Inspection physique</x:v>
      </x:c>
      <x:c r="G1421" s="115" t="str">
        <x:v>1 niveaux ; 34 pièces ; 260 segments de mur ; 0 transitions. Inspection physique ; architecture complète encore ouverte.</x:v>
      </x:c>
      <x:c r="H1421" s="115" t="str">
        <x:v>L 700 ; l 960 ; hauteur 8,4 m ; choix de composition auteur ; dimensions réelles à documenter</x:v>
      </x:c>
      <x:c r="I1421" s="115" t="str">
        <x:v>À équilibrer</x:v>
      </x:c>
      <x:c r="J1421" s="115" t="str">
        <x:v>Non</x:v>
      </x:c>
      <x:c r="K1421" s="115" t="str">
        <x:v>Pièces décrites, murs, portes, niveaux et mobilier inspectables à l’échelle. Volumes réservés, raccord au seed, butin, rencontres et services de campagne restent à terminer.</x:v>
      </x:c>
    </x:row>
    <x:row r="1422" ht="96" customHeight="1">
      <x:c r="A1422" s="115" t="str">
        <x:v>EXT-MONDE-T029-V17</x:v>
      </x:c>
      <x:c r="B1422" s="115" t="str">
        <x:v>EXT-MONDE-T029</x:v>
      </x:c>
      <x:c r="C1422" s="115" t="str">
        <x:v>Ponts</x:v>
      </x:c>
      <x:c r="D1422" s="115" t="str">
        <x:v>Pont routier à poutres</x:v>
      </x:c>
      <x:c r="E1422" s="115" t="n">
        <x:v>17</x:v>
      </x:c>
      <x:c r="F1422" s="115" t="str">
        <x:v>Inspection physique</x:v>
      </x:c>
      <x:c r="G1422" s="115" t="str">
        <x:v>1 niveaux ; 34 pièces ; 260 segments de mur ; 0 transitions. Inspection physique ; architecture complète encore ouverte.</x:v>
      </x:c>
      <x:c r="H1422" s="115" t="str">
        <x:v>L 700 ; l 960 ; hauteur 8,44 m ; choix de composition auteur ; dimensions réelles à documenter</x:v>
      </x:c>
      <x:c r="I1422" s="115" t="str">
        <x:v>À équilibrer</x:v>
      </x:c>
      <x:c r="J1422" s="115" t="str">
        <x:v>Non</x:v>
      </x:c>
      <x:c r="K1422" s="115" t="str">
        <x:v>Pièces décrites, murs, portes, niveaux et mobilier inspectables à l’échelle. Volumes réservés, raccord au seed, butin, rencontres et services de campagne restent à terminer.</x:v>
      </x:c>
    </x:row>
    <x:row r="1423" ht="96" customHeight="1">
      <x:c r="A1423" s="115" t="str">
        <x:v>EXT-MONDE-T029-V18</x:v>
      </x:c>
      <x:c r="B1423" s="115" t="str">
        <x:v>EXT-MONDE-T029</x:v>
      </x:c>
      <x:c r="C1423" s="115" t="str">
        <x:v>Ponts</x:v>
      </x:c>
      <x:c r="D1423" s="115" t="str">
        <x:v>Pont routier à poutres</x:v>
      </x:c>
      <x:c r="E1423" s="115" t="n">
        <x:v>18</x:v>
      </x:c>
      <x:c r="F1423" s="115" t="str">
        <x:v>Inspection physique</x:v>
      </x:c>
      <x:c r="G1423" s="115" t="str">
        <x:v>1 niveaux ; 34 pièces ; 260 segments de mur ; 0 transitions. Inspection physique ; architecture complète encore ouverte.</x:v>
      </x:c>
      <x:c r="H1423" s="115" t="str">
        <x:v>L 700 ; l 960 ; hauteur 8,48 m ; choix de composition auteur ; dimensions réelles à documenter</x:v>
      </x:c>
      <x:c r="I1423" s="115" t="str">
        <x:v>À équilibrer</x:v>
      </x:c>
      <x:c r="J1423" s="115" t="str">
        <x:v>Non</x:v>
      </x:c>
      <x:c r="K1423" s="115" t="str">
        <x:v>Pièces décrites, murs, portes, niveaux et mobilier inspectables à l’échelle. Volumes réservés, raccord au seed, butin, rencontres et services de campagne restent à terminer.</x:v>
      </x:c>
    </x:row>
    <x:row r="1424" ht="96" customHeight="1">
      <x:c r="A1424" s="115" t="str">
        <x:v>EXT-MONDE-T029-V19</x:v>
      </x:c>
      <x:c r="B1424" s="115" t="str">
        <x:v>EXT-MONDE-T029</x:v>
      </x:c>
      <x:c r="C1424" s="115" t="str">
        <x:v>Ponts</x:v>
      </x:c>
      <x:c r="D1424" s="115" t="str">
        <x:v>Pont routier à poutres</x:v>
      </x:c>
      <x:c r="E1424" s="115" t="n">
        <x:v>19</x:v>
      </x:c>
      <x:c r="F1424" s="115" t="str">
        <x:v>Inspection physique</x:v>
      </x:c>
      <x:c r="G1424" s="115" t="str">
        <x:v>1 niveaux ; 34 pièces ; 260 segments de mur ; 0 transitions. Inspection physique ; architecture complète encore ouverte.</x:v>
      </x:c>
      <x:c r="H1424" s="115" t="str">
        <x:v>L 700 ; l 960 ; hauteur 8,52 m ; choix de composition auteur ; dimensions réelles à documenter</x:v>
      </x:c>
      <x:c r="I1424" s="115" t="str">
        <x:v>À équilibrer</x:v>
      </x:c>
      <x:c r="J1424" s="115" t="str">
        <x:v>Non</x:v>
      </x:c>
      <x:c r="K1424" s="115" t="str">
        <x:v>Pièces décrites, murs, portes, niveaux et mobilier inspectables à l’échelle. Volumes réservés, raccord au seed, butin, rencontres et services de campagne restent à terminer.</x:v>
      </x:c>
    </x:row>
    <x:row r="1425" ht="96" customHeight="1">
      <x:c r="A1425" s="115" t="str">
        <x:v>EXT-MONDE-T029-V20</x:v>
      </x:c>
      <x:c r="B1425" s="115" t="str">
        <x:v>EXT-MONDE-T029</x:v>
      </x:c>
      <x:c r="C1425" s="115" t="str">
        <x:v>Ponts</x:v>
      </x:c>
      <x:c r="D1425" s="115" t="str">
        <x:v>Pont routier à poutres</x:v>
      </x:c>
      <x:c r="E1425" s="115" t="n">
        <x:v>20</x:v>
      </x:c>
      <x:c r="F1425" s="115" t="str">
        <x:v>Inspection physique</x:v>
      </x:c>
      <x:c r="G1425" s="115" t="str">
        <x:v>1 niveaux ; 34 pièces ; 260 segments de mur ; 0 transitions. Inspection physique ; architecture complète encore ouverte.</x:v>
      </x:c>
      <x:c r="H1425" s="115" t="str">
        <x:v>L 700 ; l 960 ; hauteur 8,56 m ; choix de composition auteur ; dimensions réelles à documenter</x:v>
      </x:c>
      <x:c r="I1425" s="115" t="str">
        <x:v>À équilibrer</x:v>
      </x:c>
      <x:c r="J1425" s="115" t="str">
        <x:v>Non</x:v>
      </x:c>
      <x:c r="K1425" s="115" t="str">
        <x:v>Pièces décrites, murs, portes, niveaux et mobilier inspectables à l’échelle. Volumes réservés, raccord au seed, butin, rencontres et services de campagne restent à terminer.</x:v>
      </x:c>
    </x:row>
    <x:row r="1426" ht="96" customHeight="1">
      <x:c r="A1426" s="115" t="str">
        <x:v>EXT-MONDE-T029-V21</x:v>
      </x:c>
      <x:c r="B1426" s="115" t="str">
        <x:v>EXT-MONDE-T029</x:v>
      </x:c>
      <x:c r="C1426" s="115" t="str">
        <x:v>Ponts</x:v>
      </x:c>
      <x:c r="D1426" s="115" t="str">
        <x:v>Pont routier à poutres</x:v>
      </x:c>
      <x:c r="E1426" s="115" t="n">
        <x:v>21</x:v>
      </x:c>
      <x:c r="F1426" s="115" t="str">
        <x:v>Inspection physique</x:v>
      </x:c>
      <x:c r="G1426" s="115" t="str">
        <x:v>1 niveaux ; 34 pièces ; 260 segments de mur ; 0 transitions. Inspection physique ; architecture complète encore ouverte.</x:v>
      </x:c>
      <x:c r="H1426" s="115" t="str">
        <x:v>L 780 ; l 1120 ; hauteur 8,2 m ; choix de composition auteur ; dimensions réelles à documenter</x:v>
      </x:c>
      <x:c r="I1426" s="115" t="str">
        <x:v>À équilibrer</x:v>
      </x:c>
      <x:c r="J1426" s="115" t="str">
        <x:v>Non</x:v>
      </x:c>
      <x:c r="K1426" s="115" t="str">
        <x:v>Pièces décrites, murs, portes, niveaux et mobilier inspectables à l’échelle. Volumes réservés, raccord au seed, butin, rencontres et services de campagne restent à terminer.</x:v>
      </x:c>
    </x:row>
    <x:row r="1427" ht="96" customHeight="1">
      <x:c r="A1427" s="115" t="str">
        <x:v>EXT-MONDE-T029-V22</x:v>
      </x:c>
      <x:c r="B1427" s="115" t="str">
        <x:v>EXT-MONDE-T029</x:v>
      </x:c>
      <x:c r="C1427" s="115" t="str">
        <x:v>Ponts</x:v>
      </x:c>
      <x:c r="D1427" s="115" t="str">
        <x:v>Pont routier à poutres</x:v>
      </x:c>
      <x:c r="E1427" s="115" t="n">
        <x:v>22</x:v>
      </x:c>
      <x:c r="F1427" s="115" t="str">
        <x:v>Inspection physique</x:v>
      </x:c>
      <x:c r="G1427" s="115" t="str">
        <x:v>1 niveaux ; 34 pièces ; 260 segments de mur ; 0 transitions. Inspection physique ; architecture complète encore ouverte.</x:v>
      </x:c>
      <x:c r="H1427" s="115" t="str">
        <x:v>L 780 ; l 1120 ; hauteur 8,24 m ; choix de composition auteur ; dimensions réelles à documenter</x:v>
      </x:c>
      <x:c r="I1427" s="115" t="str">
        <x:v>À équilibrer</x:v>
      </x:c>
      <x:c r="J1427" s="115" t="str">
        <x:v>Non</x:v>
      </x:c>
      <x:c r="K1427" s="115" t="str">
        <x:v>Pièces décrites, murs, portes, niveaux et mobilier inspectables à l’échelle. Volumes réservés, raccord au seed, butin, rencontres et services de campagne restent à terminer.</x:v>
      </x:c>
    </x:row>
    <x:row r="1428" ht="96" customHeight="1">
      <x:c r="A1428" s="115" t="str">
        <x:v>EXT-MONDE-T029-V23</x:v>
      </x:c>
      <x:c r="B1428" s="115" t="str">
        <x:v>EXT-MONDE-T029</x:v>
      </x:c>
      <x:c r="C1428" s="115" t="str">
        <x:v>Ponts</x:v>
      </x:c>
      <x:c r="D1428" s="115" t="str">
        <x:v>Pont routier à poutres</x:v>
      </x:c>
      <x:c r="E1428" s="115" t="n">
        <x:v>23</x:v>
      </x:c>
      <x:c r="F1428" s="115" t="str">
        <x:v>Inspection physique</x:v>
      </x:c>
      <x:c r="G1428" s="115" t="str">
        <x:v>1 niveaux ; 34 pièces ; 260 segments de mur ; 0 transitions. Inspection physique ; architecture complète encore ouverte.</x:v>
      </x:c>
      <x:c r="H1428" s="115" t="str">
        <x:v>L 780 ; l 1120 ; hauteur 8,28 m ; choix de composition auteur ; dimensions réelles à documenter</x:v>
      </x:c>
      <x:c r="I1428" s="115" t="str">
        <x:v>À équilibrer</x:v>
      </x:c>
      <x:c r="J1428" s="115" t="str">
        <x:v>Non</x:v>
      </x:c>
      <x:c r="K1428" s="115" t="str">
        <x:v>Pièces décrites, murs, portes, niveaux et mobilier inspectables à l’échelle. Volumes réservés, raccord au seed, butin, rencontres et services de campagne restent à terminer.</x:v>
      </x:c>
    </x:row>
    <x:row r="1429" ht="96" customHeight="1">
      <x:c r="A1429" s="115" t="str">
        <x:v>EXT-MONDE-T029-V24</x:v>
      </x:c>
      <x:c r="B1429" s="115" t="str">
        <x:v>EXT-MONDE-T029</x:v>
      </x:c>
      <x:c r="C1429" s="115" t="str">
        <x:v>Ponts</x:v>
      </x:c>
      <x:c r="D1429" s="115" t="str">
        <x:v>Pont routier à poutres</x:v>
      </x:c>
      <x:c r="E1429" s="115" t="n">
        <x:v>24</x:v>
      </x:c>
      <x:c r="F1429" s="115" t="str">
        <x:v>Inspection physique</x:v>
      </x:c>
      <x:c r="G1429" s="115" t="str">
        <x:v>1 niveaux ; 34 pièces ; 260 segments de mur ; 0 transitions. Inspection physique ; architecture complète encore ouverte.</x:v>
      </x:c>
      <x:c r="H1429" s="115" t="str">
        <x:v>L 780 ; l 1120 ; hauteur 8,32 m ; choix de composition auteur ; dimensions réelles à documenter</x:v>
      </x:c>
      <x:c r="I1429" s="115" t="str">
        <x:v>À équilibrer</x:v>
      </x:c>
      <x:c r="J1429" s="115" t="str">
        <x:v>Non</x:v>
      </x:c>
      <x:c r="K1429" s="115" t="str">
        <x:v>Pièces décrites, murs, portes, niveaux et mobilier inspectables à l’échelle. Volumes réservés, raccord au seed, butin, rencontres et services de campagne restent à terminer.</x:v>
      </x:c>
    </x:row>
    <x:row r="1430" ht="96" customHeight="1">
      <x:c r="A1430" s="115" t="str">
        <x:v>EXT-MONDE-T029-V25</x:v>
      </x:c>
      <x:c r="B1430" s="115" t="str">
        <x:v>EXT-MONDE-T029</x:v>
      </x:c>
      <x:c r="C1430" s="115" t="str">
        <x:v>Ponts</x:v>
      </x:c>
      <x:c r="D1430" s="115" t="str">
        <x:v>Pont routier à poutres</x:v>
      </x:c>
      <x:c r="E1430" s="115" t="n">
        <x:v>25</x:v>
      </x:c>
      <x:c r="F1430" s="115" t="str">
        <x:v>Inspection physique</x:v>
      </x:c>
      <x:c r="G1430" s="115" t="str">
        <x:v>1 niveaux ; 34 pièces ; 260 segments de mur ; 0 transitions. Inspection physique ; architecture complète encore ouverte.</x:v>
      </x:c>
      <x:c r="H1430" s="115" t="str">
        <x:v>L 780 ; l 1120 ; hauteur 8,36 m ; choix de composition auteur ; dimensions réelles à documenter</x:v>
      </x:c>
      <x:c r="I1430" s="115" t="str">
        <x:v>À équilibrer</x:v>
      </x:c>
      <x:c r="J1430" s="115" t="str">
        <x:v>Non</x:v>
      </x:c>
      <x:c r="K1430" s="115" t="str">
        <x:v>Pièces décrites, murs, portes, niveaux et mobilier inspectables à l’échelle. Volumes réservés, raccord au seed, butin, rencontres et services de campagne restent à terminer.</x:v>
      </x:c>
    </x:row>
    <x:row r="1431" ht="96" customHeight="1">
      <x:c r="A1431" s="115" t="str">
        <x:v>EXT-MONDE-T029-V26</x:v>
      </x:c>
      <x:c r="B1431" s="115" t="str">
        <x:v>EXT-MONDE-T029</x:v>
      </x:c>
      <x:c r="C1431" s="115" t="str">
        <x:v>Ponts</x:v>
      </x:c>
      <x:c r="D1431" s="115" t="str">
        <x:v>Pont routier à poutres</x:v>
      </x:c>
      <x:c r="E1431" s="115" t="n">
        <x:v>26</x:v>
      </x:c>
      <x:c r="F1431" s="115" t="str">
        <x:v>Inspection physique</x:v>
      </x:c>
      <x:c r="G1431" s="115" t="str">
        <x:v>1 niveaux ; 34 pièces ; 260 segments de mur ; 0 transitions. Inspection physique ; architecture complète encore ouverte.</x:v>
      </x:c>
      <x:c r="H1431" s="115" t="str">
        <x:v>L 780 ; l 1120 ; hauteur 8,4 m ; choix de composition auteur ; dimensions réelles à documenter</x:v>
      </x:c>
      <x:c r="I1431" s="115" t="str">
        <x:v>À équilibrer</x:v>
      </x:c>
      <x:c r="J1431" s="115" t="str">
        <x:v>Non</x:v>
      </x:c>
      <x:c r="K1431" s="115" t="str">
        <x:v>Pièces décrites, murs, portes, niveaux et mobilier inspectables à l’échelle. Volumes réservés, raccord au seed, butin, rencontres et services de campagne restent à terminer.</x:v>
      </x:c>
    </x:row>
    <x:row r="1432" ht="96" customHeight="1">
      <x:c r="A1432" s="115" t="str">
        <x:v>EXT-MONDE-T029-V27</x:v>
      </x:c>
      <x:c r="B1432" s="115" t="str">
        <x:v>EXT-MONDE-T029</x:v>
      </x:c>
      <x:c r="C1432" s="115" t="str">
        <x:v>Ponts</x:v>
      </x:c>
      <x:c r="D1432" s="115" t="str">
        <x:v>Pont routier à poutres</x:v>
      </x:c>
      <x:c r="E1432" s="115" t="n">
        <x:v>27</x:v>
      </x:c>
      <x:c r="F1432" s="115" t="str">
        <x:v>Inspection physique</x:v>
      </x:c>
      <x:c r="G1432" s="115" t="str">
        <x:v>1 niveaux ; 34 pièces ; 260 segments de mur ; 0 transitions. Inspection physique ; architecture complète encore ouverte.</x:v>
      </x:c>
      <x:c r="H1432" s="115" t="str">
        <x:v>L 780 ; l 1120 ; hauteur 8,44 m ; choix de composition auteur ; dimensions réelles à documenter</x:v>
      </x:c>
      <x:c r="I1432" s="115" t="str">
        <x:v>À équilibrer</x:v>
      </x:c>
      <x:c r="J1432" s="115" t="str">
        <x:v>Non</x:v>
      </x:c>
      <x:c r="K1432" s="115" t="str">
        <x:v>Pièces décrites, murs, portes, niveaux et mobilier inspectables à l’échelle. Volumes réservés, raccord au seed, butin, rencontres et services de campagne restent à terminer.</x:v>
      </x:c>
    </x:row>
    <x:row r="1433" ht="96" customHeight="1">
      <x:c r="A1433" s="115" t="str">
        <x:v>EXT-MONDE-T029-V28</x:v>
      </x:c>
      <x:c r="B1433" s="115" t="str">
        <x:v>EXT-MONDE-T029</x:v>
      </x:c>
      <x:c r="C1433" s="115" t="str">
        <x:v>Ponts</x:v>
      </x:c>
      <x:c r="D1433" s="115" t="str">
        <x:v>Pont routier à poutres</x:v>
      </x:c>
      <x:c r="E1433" s="115" t="n">
        <x:v>28</x:v>
      </x:c>
      <x:c r="F1433" s="115" t="str">
        <x:v>Inspection physique</x:v>
      </x:c>
      <x:c r="G1433" s="115" t="str">
        <x:v>1 niveaux ; 34 pièces ; 260 segments de mur ; 0 transitions. Inspection physique ; architecture complète encore ouverte.</x:v>
      </x:c>
      <x:c r="H1433" s="115" t="str">
        <x:v>L 780 ; l 1120 ; hauteur 8,48 m ; choix de composition auteur ; dimensions réelles à documenter</x:v>
      </x:c>
      <x:c r="I1433" s="115" t="str">
        <x:v>À équilibrer</x:v>
      </x:c>
      <x:c r="J1433" s="115" t="str">
        <x:v>Non</x:v>
      </x:c>
      <x:c r="K1433" s="115" t="str">
        <x:v>Pièces décrites, murs, portes, niveaux et mobilier inspectables à l’échelle. Volumes réservés, raccord au seed, butin, rencontres et services de campagne restent à terminer.</x:v>
      </x:c>
    </x:row>
    <x:row r="1434" ht="96" customHeight="1">
      <x:c r="A1434" s="115" t="str">
        <x:v>EXT-MONDE-T029-V29</x:v>
      </x:c>
      <x:c r="B1434" s="115" t="str">
        <x:v>EXT-MONDE-T029</x:v>
      </x:c>
      <x:c r="C1434" s="115" t="str">
        <x:v>Ponts</x:v>
      </x:c>
      <x:c r="D1434" s="115" t="str">
        <x:v>Pont routier à poutres</x:v>
      </x:c>
      <x:c r="E1434" s="115" t="n">
        <x:v>29</x:v>
      </x:c>
      <x:c r="F1434" s="115" t="str">
        <x:v>Inspection physique</x:v>
      </x:c>
      <x:c r="G1434" s="115" t="str">
        <x:v>1 niveaux ; 34 pièces ; 260 segments de mur ; 0 transitions. Inspection physique ; architecture complète encore ouverte.</x:v>
      </x:c>
      <x:c r="H1434" s="115" t="str">
        <x:v>L 780 ; l 1120 ; hauteur 8,52 m ; choix de composition auteur ; dimensions réelles à documenter</x:v>
      </x:c>
      <x:c r="I1434" s="115" t="str">
        <x:v>À équilibrer</x:v>
      </x:c>
      <x:c r="J1434" s="115" t="str">
        <x:v>Non</x:v>
      </x:c>
      <x:c r="K1434" s="115" t="str">
        <x:v>Pièces décrites, murs, portes, niveaux et mobilier inspectables à l’échelle. Volumes réservés, raccord au seed, butin, rencontres et services de campagne restent à terminer.</x:v>
      </x:c>
    </x:row>
    <x:row r="1435" ht="96" customHeight="1">
      <x:c r="A1435" s="115" t="str">
        <x:v>EXT-MONDE-T029-V30</x:v>
      </x:c>
      <x:c r="B1435" s="115" t="str">
        <x:v>EXT-MONDE-T029</x:v>
      </x:c>
      <x:c r="C1435" s="115" t="str">
        <x:v>Ponts</x:v>
      </x:c>
      <x:c r="D1435" s="115" t="str">
        <x:v>Pont routier à poutres</x:v>
      </x:c>
      <x:c r="E1435" s="115" t="n">
        <x:v>30</x:v>
      </x:c>
      <x:c r="F1435" s="115" t="str">
        <x:v>Inspection physique</x:v>
      </x:c>
      <x:c r="G1435" s="115" t="str">
        <x:v>1 niveaux ; 34 pièces ; 260 segments de mur ; 0 transitions. Inspection physique ; architecture complète encore ouverte.</x:v>
      </x:c>
      <x:c r="H1435" s="115" t="str">
        <x:v>L 780 ; l 1120 ; hauteur 8,56 m ; choix de composition auteur ; dimensions réelles à documenter</x:v>
      </x:c>
      <x:c r="I1435" s="115" t="str">
        <x:v>À équilibrer</x:v>
      </x:c>
      <x:c r="J1435" s="115" t="str">
        <x:v>Non</x:v>
      </x:c>
      <x:c r="K1435" s="115" t="str">
        <x:v>Pièces décrites, murs, portes, niveaux et mobilier inspectables à l’échelle. Volumes réservés, raccord au seed, butin, rencontres et services de campagne restent à terminer.</x:v>
      </x:c>
    </x:row>
    <x:row r="1436" ht="96" customHeight="1">
      <x:c r="A1436" s="115" t="str">
        <x:v>EXT-MONDE-T029-V31</x:v>
      </x:c>
      <x:c r="B1436" s="115" t="str">
        <x:v>EXT-MONDE-T029</x:v>
      </x:c>
      <x:c r="C1436" s="115" t="str">
        <x:v>Ponts</x:v>
      </x:c>
      <x:c r="D1436" s="115" t="str">
        <x:v>Pont routier à poutres</x:v>
      </x:c>
      <x:c r="E1436" s="115" t="n">
        <x:v>31</x:v>
      </x:c>
      <x:c r="F1436" s="115" t="str">
        <x:v>Inspection physique</x:v>
      </x:c>
      <x:c r="G1436" s="115" t="str">
        <x:v>1 niveaux ; 34 pièces ; 260 segments de mur ; 0 transitions. Inspection physique ; architecture complète encore ouverte.</x:v>
      </x:c>
      <x:c r="H1436" s="115" t="str">
        <x:v>L 860 ; l 1280 ; hauteur 8,2 m ; choix de composition auteur ; dimensions réelles à documenter</x:v>
      </x:c>
      <x:c r="I1436" s="115" t="str">
        <x:v>À équilibrer</x:v>
      </x:c>
      <x:c r="J1436" s="115" t="str">
        <x:v>Non</x:v>
      </x:c>
      <x:c r="K1436" s="115" t="str">
        <x:v>Pièces décrites, murs, portes, niveaux et mobilier inspectables à l’échelle. Volumes réservés, raccord au seed, butin, rencontres et services de campagne restent à terminer.</x:v>
      </x:c>
    </x:row>
    <x:row r="1437" ht="96" customHeight="1">
      <x:c r="A1437" s="115" t="str">
        <x:v>EXT-MONDE-T029-V32</x:v>
      </x:c>
      <x:c r="B1437" s="115" t="str">
        <x:v>EXT-MONDE-T029</x:v>
      </x:c>
      <x:c r="C1437" s="115" t="str">
        <x:v>Ponts</x:v>
      </x:c>
      <x:c r="D1437" s="115" t="str">
        <x:v>Pont routier à poutres</x:v>
      </x:c>
      <x:c r="E1437" s="115" t="n">
        <x:v>32</x:v>
      </x:c>
      <x:c r="F1437" s="115" t="str">
        <x:v>Inspection physique</x:v>
      </x:c>
      <x:c r="G1437" s="115" t="str">
        <x:v>1 niveaux ; 34 pièces ; 260 segments de mur ; 0 transitions. Inspection physique ; architecture complète encore ouverte.</x:v>
      </x:c>
      <x:c r="H1437" s="115" t="str">
        <x:v>L 860 ; l 1280 ; hauteur 8,24 m ; choix de composition auteur ; dimensions réelles à documenter</x:v>
      </x:c>
      <x:c r="I1437" s="115" t="str">
        <x:v>À équilibrer</x:v>
      </x:c>
      <x:c r="J1437" s="115" t="str">
        <x:v>Non</x:v>
      </x:c>
      <x:c r="K1437" s="115" t="str">
        <x:v>Pièces décrites, murs, portes, niveaux et mobilier inspectables à l’échelle. Volumes réservés, raccord au seed, butin, rencontres et services de campagne restent à terminer.</x:v>
      </x:c>
    </x:row>
    <x:row r="1438" ht="96" customHeight="1">
      <x:c r="A1438" s="115" t="str">
        <x:v>EXT-MONDE-T029-V33</x:v>
      </x:c>
      <x:c r="B1438" s="115" t="str">
        <x:v>EXT-MONDE-T029</x:v>
      </x:c>
      <x:c r="C1438" s="115" t="str">
        <x:v>Ponts</x:v>
      </x:c>
      <x:c r="D1438" s="115" t="str">
        <x:v>Pont routier à poutres</x:v>
      </x:c>
      <x:c r="E1438" s="115" t="n">
        <x:v>33</x:v>
      </x:c>
      <x:c r="F1438" s="115" t="str">
        <x:v>Inspection physique</x:v>
      </x:c>
      <x:c r="G1438" s="115" t="str">
        <x:v>1 niveaux ; 34 pièces ; 260 segments de mur ; 0 transitions. Inspection physique ; architecture complète encore ouverte.</x:v>
      </x:c>
      <x:c r="H1438" s="115" t="str">
        <x:v>L 860 ; l 1280 ; hauteur 8,28 m ; choix de composition auteur ; dimensions réelles à documenter</x:v>
      </x:c>
      <x:c r="I1438" s="115" t="str">
        <x:v>À équilibrer</x:v>
      </x:c>
      <x:c r="J1438" s="115" t="str">
        <x:v>Non</x:v>
      </x:c>
      <x:c r="K1438" s="115" t="str">
        <x:v>Pièces décrites, murs, portes, niveaux et mobilier inspectables à l’échelle. Volumes réservés, raccord au seed, butin, rencontres et services de campagne restent à terminer.</x:v>
      </x:c>
    </x:row>
    <x:row r="1439" ht="96" customHeight="1">
      <x:c r="A1439" s="115" t="str">
        <x:v>EXT-MONDE-T029-V34</x:v>
      </x:c>
      <x:c r="B1439" s="115" t="str">
        <x:v>EXT-MONDE-T029</x:v>
      </x:c>
      <x:c r="C1439" s="115" t="str">
        <x:v>Ponts</x:v>
      </x:c>
      <x:c r="D1439" s="115" t="str">
        <x:v>Pont routier à poutres</x:v>
      </x:c>
      <x:c r="E1439" s="115" t="n">
        <x:v>34</x:v>
      </x:c>
      <x:c r="F1439" s="115" t="str">
        <x:v>Inspection physique</x:v>
      </x:c>
      <x:c r="G1439" s="115" t="str">
        <x:v>1 niveaux ; 34 pièces ; 260 segments de mur ; 0 transitions. Inspection physique ; architecture complète encore ouverte.</x:v>
      </x:c>
      <x:c r="H1439" s="115" t="str">
        <x:v>L 860 ; l 1280 ; hauteur 8,32 m ; choix de composition auteur ; dimensions réelles à documenter</x:v>
      </x:c>
      <x:c r="I1439" s="115" t="str">
        <x:v>À équilibrer</x:v>
      </x:c>
      <x:c r="J1439" s="115" t="str">
        <x:v>Non</x:v>
      </x:c>
      <x:c r="K1439" s="115" t="str">
        <x:v>Pièces décrites, murs, portes, niveaux et mobilier inspectables à l’échelle. Volumes réservés, raccord au seed, butin, rencontres et services de campagne restent à terminer.</x:v>
      </x:c>
    </x:row>
    <x:row r="1440" ht="96" customHeight="1">
      <x:c r="A1440" s="115" t="str">
        <x:v>EXT-MONDE-T029-V35</x:v>
      </x:c>
      <x:c r="B1440" s="115" t="str">
        <x:v>EXT-MONDE-T029</x:v>
      </x:c>
      <x:c r="C1440" s="115" t="str">
        <x:v>Ponts</x:v>
      </x:c>
      <x:c r="D1440" s="115" t="str">
        <x:v>Pont routier à poutres</x:v>
      </x:c>
      <x:c r="E1440" s="115" t="n">
        <x:v>35</x:v>
      </x:c>
      <x:c r="F1440" s="115" t="str">
        <x:v>Inspection physique</x:v>
      </x:c>
      <x:c r="G1440" s="115" t="str">
        <x:v>1 niveaux ; 34 pièces ; 260 segments de mur ; 0 transitions. Inspection physique ; architecture complète encore ouverte.</x:v>
      </x:c>
      <x:c r="H1440" s="115" t="str">
        <x:v>L 860 ; l 1280 ; hauteur 8,36 m ; choix de composition auteur ; dimensions réelles à documenter</x:v>
      </x:c>
      <x:c r="I1440" s="115" t="str">
        <x:v>À équilibrer</x:v>
      </x:c>
      <x:c r="J1440" s="115" t="str">
        <x:v>Non</x:v>
      </x:c>
      <x:c r="K1440" s="115" t="str">
        <x:v>Pièces décrites, murs, portes, niveaux et mobilier inspectables à l’échelle. Volumes réservés, raccord au seed, butin, rencontres et services de campagne restent à terminer.</x:v>
      </x:c>
    </x:row>
    <x:row r="1441" ht="96" customHeight="1">
      <x:c r="A1441" s="115" t="str">
        <x:v>EXT-MONDE-T029-V36</x:v>
      </x:c>
      <x:c r="B1441" s="115" t="str">
        <x:v>EXT-MONDE-T029</x:v>
      </x:c>
      <x:c r="C1441" s="115" t="str">
        <x:v>Ponts</x:v>
      </x:c>
      <x:c r="D1441" s="115" t="str">
        <x:v>Pont routier à poutres</x:v>
      </x:c>
      <x:c r="E1441" s="115" t="n">
        <x:v>36</x:v>
      </x:c>
      <x:c r="F1441" s="115" t="str">
        <x:v>Inspection physique</x:v>
      </x:c>
      <x:c r="G1441" s="115" t="str">
        <x:v>1 niveaux ; 34 pièces ; 260 segments de mur ; 0 transitions. Inspection physique ; architecture complète encore ouverte.</x:v>
      </x:c>
      <x:c r="H1441" s="115" t="str">
        <x:v>L 860 ; l 1280 ; hauteur 8,4 m ; choix de composition auteur ; dimensions réelles à documenter</x:v>
      </x:c>
      <x:c r="I1441" s="115" t="str">
        <x:v>À équilibrer</x:v>
      </x:c>
      <x:c r="J1441" s="115" t="str">
        <x:v>Non</x:v>
      </x:c>
      <x:c r="K1441" s="115" t="str">
        <x:v>Pièces décrites, murs, portes, niveaux et mobilier inspectables à l’échelle. Volumes réservés, raccord au seed, butin, rencontres et services de campagne restent à terminer.</x:v>
      </x:c>
    </x:row>
    <x:row r="1442" ht="96" customHeight="1">
      <x:c r="A1442" s="115" t="str">
        <x:v>EXT-MONDE-T029-V37</x:v>
      </x:c>
      <x:c r="B1442" s="115" t="str">
        <x:v>EXT-MONDE-T029</x:v>
      </x:c>
      <x:c r="C1442" s="115" t="str">
        <x:v>Ponts</x:v>
      </x:c>
      <x:c r="D1442" s="115" t="str">
        <x:v>Pont routier à poutres</x:v>
      </x:c>
      <x:c r="E1442" s="115" t="n">
        <x:v>37</x:v>
      </x:c>
      <x:c r="F1442" s="115" t="str">
        <x:v>Inspection physique</x:v>
      </x:c>
      <x:c r="G1442" s="115" t="str">
        <x:v>1 niveaux ; 34 pièces ; 260 segments de mur ; 0 transitions. Inspection physique ; architecture complète encore ouverte.</x:v>
      </x:c>
      <x:c r="H1442" s="115" t="str">
        <x:v>L 860 ; l 1280 ; hauteur 8,44 m ; choix de composition auteur ; dimensions réelles à documenter</x:v>
      </x:c>
      <x:c r="I1442" s="115" t="str">
        <x:v>À équilibrer</x:v>
      </x:c>
      <x:c r="J1442" s="115" t="str">
        <x:v>Non</x:v>
      </x:c>
      <x:c r="K1442" s="115" t="str">
        <x:v>Pièces décrites, murs, portes, niveaux et mobilier inspectables à l’échelle. Volumes réservés, raccord au seed, butin, rencontres et services de campagne restent à terminer.</x:v>
      </x:c>
    </x:row>
    <x:row r="1443" ht="96" customHeight="1">
      <x:c r="A1443" s="115" t="str">
        <x:v>EXT-MONDE-T029-V38</x:v>
      </x:c>
      <x:c r="B1443" s="115" t="str">
        <x:v>EXT-MONDE-T029</x:v>
      </x:c>
      <x:c r="C1443" s="115" t="str">
        <x:v>Ponts</x:v>
      </x:c>
      <x:c r="D1443" s="115" t="str">
        <x:v>Pont routier à poutres</x:v>
      </x:c>
      <x:c r="E1443" s="115" t="n">
        <x:v>38</x:v>
      </x:c>
      <x:c r="F1443" s="115" t="str">
        <x:v>Inspection physique</x:v>
      </x:c>
      <x:c r="G1443" s="115" t="str">
        <x:v>1 niveaux ; 34 pièces ; 260 segments de mur ; 0 transitions. Inspection physique ; architecture complète encore ouverte.</x:v>
      </x:c>
      <x:c r="H1443" s="115" t="str">
        <x:v>L 860 ; l 1280 ; hauteur 8,48 m ; choix de composition auteur ; dimensions réelles à documenter</x:v>
      </x:c>
      <x:c r="I1443" s="115" t="str">
        <x:v>À équilibrer</x:v>
      </x:c>
      <x:c r="J1443" s="115" t="str">
        <x:v>Non</x:v>
      </x:c>
      <x:c r="K1443" s="115" t="str">
        <x:v>Pièces décrites, murs, portes, niveaux et mobilier inspectables à l’échelle. Volumes réservés, raccord au seed, butin, rencontres et services de campagne restent à terminer.</x:v>
      </x:c>
    </x:row>
    <x:row r="1444" ht="96" customHeight="1">
      <x:c r="A1444" s="115" t="str">
        <x:v>EXT-MONDE-T029-V39</x:v>
      </x:c>
      <x:c r="B1444" s="115" t="str">
        <x:v>EXT-MONDE-T029</x:v>
      </x:c>
      <x:c r="C1444" s="115" t="str">
        <x:v>Ponts</x:v>
      </x:c>
      <x:c r="D1444" s="115" t="str">
        <x:v>Pont routier à poutres</x:v>
      </x:c>
      <x:c r="E1444" s="115" t="n">
        <x:v>39</x:v>
      </x:c>
      <x:c r="F1444" s="115" t="str">
        <x:v>Inspection physique</x:v>
      </x:c>
      <x:c r="G1444" s="115" t="str">
        <x:v>1 niveaux ; 34 pièces ; 260 segments de mur ; 0 transitions. Inspection physique ; architecture complète encore ouverte.</x:v>
      </x:c>
      <x:c r="H1444" s="115" t="str">
        <x:v>L 860 ; l 1280 ; hauteur 8,52 m ; choix de composition auteur ; dimensions réelles à documenter</x:v>
      </x:c>
      <x:c r="I1444" s="115" t="str">
        <x:v>À équilibrer</x:v>
      </x:c>
      <x:c r="J1444" s="115" t="str">
        <x:v>Non</x:v>
      </x:c>
      <x:c r="K1444" s="115" t="str">
        <x:v>Pièces décrites, murs, portes, niveaux et mobilier inspectables à l’échelle. Volumes réservés, raccord au seed, butin, rencontres et services de campagne restent à terminer.</x:v>
      </x:c>
    </x:row>
    <x:row r="1445" ht="96" customHeight="1">
      <x:c r="A1445" s="115" t="str">
        <x:v>EXT-MONDE-T029-V40</x:v>
      </x:c>
      <x:c r="B1445" s="115" t="str">
        <x:v>EXT-MONDE-T029</x:v>
      </x:c>
      <x:c r="C1445" s="115" t="str">
        <x:v>Ponts</x:v>
      </x:c>
      <x:c r="D1445" s="115" t="str">
        <x:v>Pont routier à poutres</x:v>
      </x:c>
      <x:c r="E1445" s="115" t="n">
        <x:v>40</x:v>
      </x:c>
      <x:c r="F1445" s="115" t="str">
        <x:v>Inspection physique</x:v>
      </x:c>
      <x:c r="G1445" s="115" t="str">
        <x:v>1 niveaux ; 34 pièces ; 260 segments de mur ; 0 transitions. Inspection physique ; architecture complète encore ouverte.</x:v>
      </x:c>
      <x:c r="H1445" s="115" t="str">
        <x:v>L 860 ; l 1280 ; hauteur 8,56 m ; choix de composition auteur ; dimensions réelles à documenter</x:v>
      </x:c>
      <x:c r="I1445" s="115" t="str">
        <x:v>À équilibrer</x:v>
      </x:c>
      <x:c r="J1445" s="115" t="str">
        <x:v>Non</x:v>
      </x:c>
      <x:c r="K1445" s="115" t="str">
        <x:v>Pièces décrites, murs, portes, niveaux et mobilier inspectables à l’échelle. Volumes réservés, raccord au seed, butin, rencontres et services de campagne restent à terminer.</x:v>
      </x:c>
    </x:row>
    <x:row r="1446" ht="96" customHeight="1">
      <x:c r="A1446" s="115" t="str">
        <x:v>EXT-MONDE-T029-V41</x:v>
      </x:c>
      <x:c r="B1446" s="115" t="str">
        <x:v>EXT-MONDE-T029</x:v>
      </x:c>
      <x:c r="C1446" s="115" t="str">
        <x:v>Ponts</x:v>
      </x:c>
      <x:c r="D1446" s="115" t="str">
        <x:v>Pont routier à poutres</x:v>
      </x:c>
      <x:c r="E1446" s="115" t="n">
        <x:v>41</x:v>
      </x:c>
      <x:c r="F1446" s="115" t="str">
        <x:v>Inspection physique</x:v>
      </x:c>
      <x:c r="G1446" s="115" t="str">
        <x:v>1 niveaux ; 34 pièces ; 260 segments de mur ; 0 transitions. Inspection physique ; architecture complète encore ouverte.</x:v>
      </x:c>
      <x:c r="H1446" s="115" t="str">
        <x:v>L 940 ; l 1440 ; hauteur 8,2 m ; choix de composition auteur ; dimensions réelles à documenter</x:v>
      </x:c>
      <x:c r="I1446" s="115" t="str">
        <x:v>À équilibrer</x:v>
      </x:c>
      <x:c r="J1446" s="115" t="str">
        <x:v>Non</x:v>
      </x:c>
      <x:c r="K1446" s="115" t="str">
        <x:v>Pièces décrites, murs, portes, niveaux et mobilier inspectables à l’échelle. Volumes réservés, raccord au seed, butin, rencontres et services de campagne restent à terminer.</x:v>
      </x:c>
    </x:row>
    <x:row r="1447" ht="96" customHeight="1">
      <x:c r="A1447" s="115" t="str">
        <x:v>EXT-MONDE-T029-V42</x:v>
      </x:c>
      <x:c r="B1447" s="115" t="str">
        <x:v>EXT-MONDE-T029</x:v>
      </x:c>
      <x:c r="C1447" s="115" t="str">
        <x:v>Ponts</x:v>
      </x:c>
      <x:c r="D1447" s="115" t="str">
        <x:v>Pont routier à poutres</x:v>
      </x:c>
      <x:c r="E1447" s="115" t="n">
        <x:v>42</x:v>
      </x:c>
      <x:c r="F1447" s="115" t="str">
        <x:v>Inspection physique</x:v>
      </x:c>
      <x:c r="G1447" s="115" t="str">
        <x:v>1 niveaux ; 34 pièces ; 260 segments de mur ; 0 transitions. Inspection physique ; architecture complète encore ouverte.</x:v>
      </x:c>
      <x:c r="H1447" s="115" t="str">
        <x:v>L 940 ; l 1440 ; hauteur 8,24 m ; choix de composition auteur ; dimensions réelles à documenter</x:v>
      </x:c>
      <x:c r="I1447" s="115" t="str">
        <x:v>À équilibrer</x:v>
      </x:c>
      <x:c r="J1447" s="115" t="str">
        <x:v>Non</x:v>
      </x:c>
      <x:c r="K1447" s="115" t="str">
        <x:v>Pièces décrites, murs, portes, niveaux et mobilier inspectables à l’échelle. Volumes réservés, raccord au seed, butin, rencontres et services de campagne restent à terminer.</x:v>
      </x:c>
    </x:row>
    <x:row r="1448" ht="96" customHeight="1">
      <x:c r="A1448" s="115" t="str">
        <x:v>EXT-MONDE-T029-V43</x:v>
      </x:c>
      <x:c r="B1448" s="115" t="str">
        <x:v>EXT-MONDE-T029</x:v>
      </x:c>
      <x:c r="C1448" s="115" t="str">
        <x:v>Ponts</x:v>
      </x:c>
      <x:c r="D1448" s="115" t="str">
        <x:v>Pont routier à poutres</x:v>
      </x:c>
      <x:c r="E1448" s="115" t="n">
        <x:v>43</x:v>
      </x:c>
      <x:c r="F1448" s="115" t="str">
        <x:v>Inspection physique</x:v>
      </x:c>
      <x:c r="G1448" s="115" t="str">
        <x:v>1 niveaux ; 34 pièces ; 260 segments de mur ; 0 transitions. Inspection physique ; architecture complète encore ouverte.</x:v>
      </x:c>
      <x:c r="H1448" s="115" t="str">
        <x:v>L 940 ; l 1440 ; hauteur 8,28 m ; choix de composition auteur ; dimensions réelles à documenter</x:v>
      </x:c>
      <x:c r="I1448" s="115" t="str">
        <x:v>À équilibrer</x:v>
      </x:c>
      <x:c r="J1448" s="115" t="str">
        <x:v>Non</x:v>
      </x:c>
      <x:c r="K1448" s="115" t="str">
        <x:v>Pièces décrites, murs, portes, niveaux et mobilier inspectables à l’échelle. Volumes réservés, raccord au seed, butin, rencontres et services de campagne restent à terminer.</x:v>
      </x:c>
    </x:row>
    <x:row r="1449" ht="96" customHeight="1">
      <x:c r="A1449" s="115" t="str">
        <x:v>EXT-MONDE-T029-V44</x:v>
      </x:c>
      <x:c r="B1449" s="115" t="str">
        <x:v>EXT-MONDE-T029</x:v>
      </x:c>
      <x:c r="C1449" s="115" t="str">
        <x:v>Ponts</x:v>
      </x:c>
      <x:c r="D1449" s="115" t="str">
        <x:v>Pont routier à poutres</x:v>
      </x:c>
      <x:c r="E1449" s="115" t="n">
        <x:v>44</x:v>
      </x:c>
      <x:c r="F1449" s="115" t="str">
        <x:v>Inspection physique</x:v>
      </x:c>
      <x:c r="G1449" s="115" t="str">
        <x:v>1 niveaux ; 34 pièces ; 260 segments de mur ; 0 transitions. Inspection physique ; architecture complète encore ouverte.</x:v>
      </x:c>
      <x:c r="H1449" s="115" t="str">
        <x:v>L 940 ; l 1440 ; hauteur 8,32 m ; choix de composition auteur ; dimensions réelles à documenter</x:v>
      </x:c>
      <x:c r="I1449" s="115" t="str">
        <x:v>À équilibrer</x:v>
      </x:c>
      <x:c r="J1449" s="115" t="str">
        <x:v>Non</x:v>
      </x:c>
      <x:c r="K1449" s="115" t="str">
        <x:v>Pièces décrites, murs, portes, niveaux et mobilier inspectables à l’échelle. Volumes réservés, raccord au seed, butin, rencontres et services de campagne restent à terminer.</x:v>
      </x:c>
    </x:row>
    <x:row r="1450" ht="96" customHeight="1">
      <x:c r="A1450" s="115" t="str">
        <x:v>EXT-MONDE-T029-V45</x:v>
      </x:c>
      <x:c r="B1450" s="115" t="str">
        <x:v>EXT-MONDE-T029</x:v>
      </x:c>
      <x:c r="C1450" s="115" t="str">
        <x:v>Ponts</x:v>
      </x:c>
      <x:c r="D1450" s="115" t="str">
        <x:v>Pont routier à poutres</x:v>
      </x:c>
      <x:c r="E1450" s="115" t="n">
        <x:v>45</x:v>
      </x:c>
      <x:c r="F1450" s="115" t="str">
        <x:v>Inspection physique</x:v>
      </x:c>
      <x:c r="G1450" s="115" t="str">
        <x:v>1 niveaux ; 34 pièces ; 260 segments de mur ; 0 transitions. Inspection physique ; architecture complète encore ouverte.</x:v>
      </x:c>
      <x:c r="H1450" s="115" t="str">
        <x:v>L 940 ; l 1440 ; hauteur 8,36 m ; choix de composition auteur ; dimensions réelles à documenter</x:v>
      </x:c>
      <x:c r="I1450" s="115" t="str">
        <x:v>À équilibrer</x:v>
      </x:c>
      <x:c r="J1450" s="115" t="str">
        <x:v>Non</x:v>
      </x:c>
      <x:c r="K1450" s="115" t="str">
        <x:v>Pièces décrites, murs, portes, niveaux et mobilier inspectables à l’échelle. Volumes réservés, raccord au seed, butin, rencontres et services de campagne restent à terminer.</x:v>
      </x:c>
    </x:row>
    <x:row r="1451" ht="96" customHeight="1">
      <x:c r="A1451" s="115" t="str">
        <x:v>EXT-MONDE-T029-V46</x:v>
      </x:c>
      <x:c r="B1451" s="115" t="str">
        <x:v>EXT-MONDE-T029</x:v>
      </x:c>
      <x:c r="C1451" s="115" t="str">
        <x:v>Ponts</x:v>
      </x:c>
      <x:c r="D1451" s="115" t="str">
        <x:v>Pont routier à poutres</x:v>
      </x:c>
      <x:c r="E1451" s="115" t="n">
        <x:v>46</x:v>
      </x:c>
      <x:c r="F1451" s="115" t="str">
        <x:v>Inspection physique</x:v>
      </x:c>
      <x:c r="G1451" s="115" t="str">
        <x:v>1 niveaux ; 34 pièces ; 260 segments de mur ; 0 transitions. Inspection physique ; architecture complète encore ouverte.</x:v>
      </x:c>
      <x:c r="H1451" s="115" t="str">
        <x:v>L 940 ; l 1440 ; hauteur 8,4 m ; choix de composition auteur ; dimensions réelles à documenter</x:v>
      </x:c>
      <x:c r="I1451" s="115" t="str">
        <x:v>À équilibrer</x:v>
      </x:c>
      <x:c r="J1451" s="115" t="str">
        <x:v>Non</x:v>
      </x:c>
      <x:c r="K1451" s="115" t="str">
        <x:v>Pièces décrites, murs, portes, niveaux et mobilier inspectables à l’échelle. Volumes réservés, raccord au seed, butin, rencontres et services de campagne restent à terminer.</x:v>
      </x:c>
    </x:row>
    <x:row r="1452" ht="96" customHeight="1">
      <x:c r="A1452" s="115" t="str">
        <x:v>EXT-MONDE-T029-V47</x:v>
      </x:c>
      <x:c r="B1452" s="115" t="str">
        <x:v>EXT-MONDE-T029</x:v>
      </x:c>
      <x:c r="C1452" s="115" t="str">
        <x:v>Ponts</x:v>
      </x:c>
      <x:c r="D1452" s="115" t="str">
        <x:v>Pont routier à poutres</x:v>
      </x:c>
      <x:c r="E1452" s="115" t="n">
        <x:v>47</x:v>
      </x:c>
      <x:c r="F1452" s="115" t="str">
        <x:v>Inspection physique</x:v>
      </x:c>
      <x:c r="G1452" s="115" t="str">
        <x:v>1 niveaux ; 34 pièces ; 260 segments de mur ; 0 transitions. Inspection physique ; architecture complète encore ouverte.</x:v>
      </x:c>
      <x:c r="H1452" s="115" t="str">
        <x:v>L 940 ; l 1440 ; hauteur 8,44 m ; choix de composition auteur ; dimensions réelles à documenter</x:v>
      </x:c>
      <x:c r="I1452" s="115" t="str">
        <x:v>À équilibrer</x:v>
      </x:c>
      <x:c r="J1452" s="115" t="str">
        <x:v>Non</x:v>
      </x:c>
      <x:c r="K1452" s="115" t="str">
        <x:v>Pièces décrites, murs, portes, niveaux et mobilier inspectables à l’échelle. Volumes réservés, raccord au seed, butin, rencontres et services de campagne restent à terminer.</x:v>
      </x:c>
    </x:row>
    <x:row r="1453" ht="96" customHeight="1">
      <x:c r="A1453" s="115" t="str">
        <x:v>EXT-MONDE-T029-V48</x:v>
      </x:c>
      <x:c r="B1453" s="115" t="str">
        <x:v>EXT-MONDE-T029</x:v>
      </x:c>
      <x:c r="C1453" s="115" t="str">
        <x:v>Ponts</x:v>
      </x:c>
      <x:c r="D1453" s="115" t="str">
        <x:v>Pont routier à poutres</x:v>
      </x:c>
      <x:c r="E1453" s="115" t="n">
        <x:v>48</x:v>
      </x:c>
      <x:c r="F1453" s="115" t="str">
        <x:v>Inspection physique</x:v>
      </x:c>
      <x:c r="G1453" s="115" t="str">
        <x:v>1 niveaux ; 34 pièces ; 260 segments de mur ; 0 transitions. Inspection physique ; architecture complète encore ouverte.</x:v>
      </x:c>
      <x:c r="H1453" s="115" t="str">
        <x:v>L 940 ; l 1440 ; hauteur 8,48 m ; choix de composition auteur ; dimensions réelles à documenter</x:v>
      </x:c>
      <x:c r="I1453" s="115" t="str">
        <x:v>À équilibrer</x:v>
      </x:c>
      <x:c r="J1453" s="115" t="str">
        <x:v>Non</x:v>
      </x:c>
      <x:c r="K1453" s="115" t="str">
        <x:v>Pièces décrites, murs, portes, niveaux et mobilier inspectables à l’échelle. Volumes réservés, raccord au seed, butin, rencontres et services de campagne restent à terminer.</x:v>
      </x:c>
    </x:row>
    <x:row r="1454" ht="96" customHeight="1">
      <x:c r="A1454" s="115" t="str">
        <x:v>EXT-MONDE-T029-V49</x:v>
      </x:c>
      <x:c r="B1454" s="115" t="str">
        <x:v>EXT-MONDE-T029</x:v>
      </x:c>
      <x:c r="C1454" s="115" t="str">
        <x:v>Ponts</x:v>
      </x:c>
      <x:c r="D1454" s="115" t="str">
        <x:v>Pont routier à poutres</x:v>
      </x:c>
      <x:c r="E1454" s="115" t="n">
        <x:v>49</x:v>
      </x:c>
      <x:c r="F1454" s="115" t="str">
        <x:v>Inspection physique</x:v>
      </x:c>
      <x:c r="G1454" s="115" t="str">
        <x:v>1 niveaux ; 34 pièces ; 260 segments de mur ; 0 transitions. Inspection physique ; architecture complète encore ouverte.</x:v>
      </x:c>
      <x:c r="H1454" s="115" t="str">
        <x:v>L 940 ; l 1440 ; hauteur 8,52 m ; choix de composition auteur ; dimensions réelles à documenter</x:v>
      </x:c>
      <x:c r="I1454" s="115" t="str">
        <x:v>À équilibrer</x:v>
      </x:c>
      <x:c r="J1454" s="115" t="str">
        <x:v>Non</x:v>
      </x:c>
      <x:c r="K1454" s="115" t="str">
        <x:v>Pièces décrites, murs, portes, niveaux et mobilier inspectables à l’échelle. Volumes réservés, raccord au seed, butin, rencontres et services de campagne restent à terminer.</x:v>
      </x:c>
    </x:row>
    <x:row r="1455" ht="96" customHeight="1">
      <x:c r="A1455" s="115" t="str">
        <x:v>EXT-MONDE-T029-V50</x:v>
      </x:c>
      <x:c r="B1455" s="115" t="str">
        <x:v>EXT-MONDE-T029</x:v>
      </x:c>
      <x:c r="C1455" s="115" t="str">
        <x:v>Ponts</x:v>
      </x:c>
      <x:c r="D1455" s="115" t="str">
        <x:v>Pont routier à poutres</x:v>
      </x:c>
      <x:c r="E1455" s="115" t="n">
        <x:v>50</x:v>
      </x:c>
      <x:c r="F1455" s="115" t="str">
        <x:v>Inspection physique</x:v>
      </x:c>
      <x:c r="G1455" s="115" t="str">
        <x:v>1 niveaux ; 34 pièces ; 260 segments de mur ; 0 transitions. Inspection physique ; architecture complète encore ouverte.</x:v>
      </x:c>
      <x:c r="H1455" s="115" t="str">
        <x:v>L 940 ; l 1440 ; hauteur 8,56 m ; choix de composition auteur ; dimensions réelles à documenter</x:v>
      </x:c>
      <x:c r="I1455" s="115" t="str">
        <x:v>À équilibrer</x:v>
      </x:c>
      <x:c r="J1455" s="115" t="str">
        <x:v>Non</x:v>
      </x:c>
      <x:c r="K1455" s="115" t="str">
        <x:v>Pièces décrites, murs, portes, niveaux et mobilier inspectables à l’échelle. Volumes réservés, raccord au seed, butin, rencontres et services de campagne restent à terminer.</x:v>
      </x:c>
    </x:row>
    <x:row r="1456" ht="96" customHeight="1">
      <x:c r="A1456" s="115" t="str">
        <x:v>EXT-MONDE-T030-V01</x:v>
      </x:c>
      <x:c r="B1456" s="115" t="str">
        <x:v>EXT-MONDE-T030</x:v>
      </x:c>
      <x:c r="C1456" s="115" t="str">
        <x:v>Ponts</x:v>
      </x:c>
      <x:c r="D1456" s="115" t="str">
        <x:v>Pont à arches</x:v>
      </x:c>
      <x:c r="E1456" s="115" t="n">
        <x:v>1</x:v>
      </x:c>
      <x:c r="F1456" s="115" t="str">
        <x:v>Inspection physique</x:v>
      </x:c>
      <x:c r="G1456" s="115" t="str">
        <x:v>1 niveaux ; 34 pièces ; 260 segments de mur ; 0 transitions. Inspection physique ; architecture complète encore ouverte.</x:v>
      </x:c>
      <x:c r="H1456" s="115" t="str">
        <x:v>L 680 ; l 1000 ; hauteur 12 m ; choix de composition auteur ; dimensions réelles à documenter</x:v>
      </x:c>
      <x:c r="I1456" s="115" t="str">
        <x:v>À équilibrer</x:v>
      </x:c>
      <x:c r="J1456" s="115" t="str">
        <x:v>Non</x:v>
      </x:c>
      <x:c r="K1456" s="115" t="str">
        <x:v>Pièces décrites, murs, portes, niveaux et mobilier inspectables à l’échelle. Volumes réservés, raccord au seed, butin, rencontres et services de campagne restent à terminer.</x:v>
      </x:c>
    </x:row>
    <x:row r="1457" ht="96" customHeight="1">
      <x:c r="A1457" s="115" t="str">
        <x:v>EXT-MONDE-T030-V02</x:v>
      </x:c>
      <x:c r="B1457" s="115" t="str">
        <x:v>EXT-MONDE-T030</x:v>
      </x:c>
      <x:c r="C1457" s="115" t="str">
        <x:v>Ponts</x:v>
      </x:c>
      <x:c r="D1457" s="115" t="str">
        <x:v>Pont à arches</x:v>
      </x:c>
      <x:c r="E1457" s="115" t="n">
        <x:v>2</x:v>
      </x:c>
      <x:c r="F1457" s="115" t="str">
        <x:v>Inspection physique</x:v>
      </x:c>
      <x:c r="G1457" s="115" t="str">
        <x:v>1 niveaux ; 34 pièces ; 260 segments de mur ; 0 transitions. Inspection physique ; architecture complète encore ouverte.</x:v>
      </x:c>
      <x:c r="H1457" s="115" t="str">
        <x:v>L 680 ; l 1000 ; hauteur 12,04 m ; choix de composition auteur ; dimensions réelles à documenter</x:v>
      </x:c>
      <x:c r="I1457" s="115" t="str">
        <x:v>À équilibrer</x:v>
      </x:c>
      <x:c r="J1457" s="115" t="str">
        <x:v>Non</x:v>
      </x:c>
      <x:c r="K1457" s="115" t="str">
        <x:v>Pièces décrites, murs, portes, niveaux et mobilier inspectables à l’échelle. Volumes réservés, raccord au seed, butin, rencontres et services de campagne restent à terminer.</x:v>
      </x:c>
    </x:row>
    <x:row r="1458" ht="96" customHeight="1">
      <x:c r="A1458" s="115" t="str">
        <x:v>EXT-MONDE-T030-V03</x:v>
      </x:c>
      <x:c r="B1458" s="115" t="str">
        <x:v>EXT-MONDE-T030</x:v>
      </x:c>
      <x:c r="C1458" s="115" t="str">
        <x:v>Ponts</x:v>
      </x:c>
      <x:c r="D1458" s="115" t="str">
        <x:v>Pont à arches</x:v>
      </x:c>
      <x:c r="E1458" s="115" t="n">
        <x:v>3</x:v>
      </x:c>
      <x:c r="F1458" s="115" t="str">
        <x:v>Inspection physique</x:v>
      </x:c>
      <x:c r="G1458" s="115" t="str">
        <x:v>1 niveaux ; 34 pièces ; 260 segments de mur ; 0 transitions. Inspection physique ; architecture complète encore ouverte.</x:v>
      </x:c>
      <x:c r="H1458" s="115" t="str">
        <x:v>L 680 ; l 1000 ; hauteur 12,08 m ; choix de composition auteur ; dimensions réelles à documenter</x:v>
      </x:c>
      <x:c r="I1458" s="115" t="str">
        <x:v>À équilibrer</x:v>
      </x:c>
      <x:c r="J1458" s="115" t="str">
        <x:v>Non</x:v>
      </x:c>
      <x:c r="K1458" s="115" t="str">
        <x:v>Pièces décrites, murs, portes, niveaux et mobilier inspectables à l’échelle. Volumes réservés, raccord au seed, butin, rencontres et services de campagne restent à terminer.</x:v>
      </x:c>
    </x:row>
    <x:row r="1459" ht="96" customHeight="1">
      <x:c r="A1459" s="115" t="str">
        <x:v>EXT-MONDE-T030-V04</x:v>
      </x:c>
      <x:c r="B1459" s="115" t="str">
        <x:v>EXT-MONDE-T030</x:v>
      </x:c>
      <x:c r="C1459" s="115" t="str">
        <x:v>Ponts</x:v>
      </x:c>
      <x:c r="D1459" s="115" t="str">
        <x:v>Pont à arches</x:v>
      </x:c>
      <x:c r="E1459" s="115" t="n">
        <x:v>4</x:v>
      </x:c>
      <x:c r="F1459" s="115" t="str">
        <x:v>Inspection physique</x:v>
      </x:c>
      <x:c r="G1459" s="115" t="str">
        <x:v>1 niveaux ; 34 pièces ; 260 segments de mur ; 0 transitions. Inspection physique ; architecture complète encore ouverte.</x:v>
      </x:c>
      <x:c r="H1459" s="115" t="str">
        <x:v>L 680 ; l 1000 ; hauteur 12,12 m ; choix de composition auteur ; dimensions réelles à documenter</x:v>
      </x:c>
      <x:c r="I1459" s="115" t="str">
        <x:v>À équilibrer</x:v>
      </x:c>
      <x:c r="J1459" s="115" t="str">
        <x:v>Non</x:v>
      </x:c>
      <x:c r="K1459" s="115" t="str">
        <x:v>Pièces décrites, murs, portes, niveaux et mobilier inspectables à l’échelle. Volumes réservés, raccord au seed, butin, rencontres et services de campagne restent à terminer.</x:v>
      </x:c>
    </x:row>
    <x:row r="1460" ht="96" customHeight="1">
      <x:c r="A1460" s="115" t="str">
        <x:v>EXT-MONDE-T030-V05</x:v>
      </x:c>
      <x:c r="B1460" s="115" t="str">
        <x:v>EXT-MONDE-T030</x:v>
      </x:c>
      <x:c r="C1460" s="115" t="str">
        <x:v>Ponts</x:v>
      </x:c>
      <x:c r="D1460" s="115" t="str">
        <x:v>Pont à arches</x:v>
      </x:c>
      <x:c r="E1460" s="115" t="n">
        <x:v>5</x:v>
      </x:c>
      <x:c r="F1460" s="115" t="str">
        <x:v>Inspection physique</x:v>
      </x:c>
      <x:c r="G1460" s="115" t="str">
        <x:v>1 niveaux ; 34 pièces ; 260 segments de mur ; 0 transitions. Inspection physique ; architecture complète encore ouverte.</x:v>
      </x:c>
      <x:c r="H1460" s="115" t="str">
        <x:v>L 680 ; l 1000 ; hauteur 12,16 m ; choix de composition auteur ; dimensions réelles à documenter</x:v>
      </x:c>
      <x:c r="I1460" s="115" t="str">
        <x:v>À équilibrer</x:v>
      </x:c>
      <x:c r="J1460" s="115" t="str">
        <x:v>Non</x:v>
      </x:c>
      <x:c r="K1460" s="115" t="str">
        <x:v>Pièces décrites, murs, portes, niveaux et mobilier inspectables à l’échelle. Volumes réservés, raccord au seed, butin, rencontres et services de campagne restent à terminer.</x:v>
      </x:c>
    </x:row>
    <x:row r="1461" ht="96" customHeight="1">
      <x:c r="A1461" s="115" t="str">
        <x:v>EXT-MONDE-T030-V06</x:v>
      </x:c>
      <x:c r="B1461" s="115" t="str">
        <x:v>EXT-MONDE-T030</x:v>
      </x:c>
      <x:c r="C1461" s="115" t="str">
        <x:v>Ponts</x:v>
      </x:c>
      <x:c r="D1461" s="115" t="str">
        <x:v>Pont à arches</x:v>
      </x:c>
      <x:c r="E1461" s="115" t="n">
        <x:v>6</x:v>
      </x:c>
      <x:c r="F1461" s="115" t="str">
        <x:v>Inspection physique</x:v>
      </x:c>
      <x:c r="G1461" s="115" t="str">
        <x:v>1 niveaux ; 34 pièces ; 260 segments de mur ; 0 transitions. Inspection physique ; architecture complète encore ouverte.</x:v>
      </x:c>
      <x:c r="H1461" s="115" t="str">
        <x:v>L 680 ; l 1000 ; hauteur 12,2 m ; choix de composition auteur ; dimensions réelles à documenter</x:v>
      </x:c>
      <x:c r="I1461" s="115" t="str">
        <x:v>À équilibrer</x:v>
      </x:c>
      <x:c r="J1461" s="115" t="str">
        <x:v>Non</x:v>
      </x:c>
      <x:c r="K1461" s="115" t="str">
        <x:v>Pièces décrites, murs, portes, niveaux et mobilier inspectables à l’échelle. Volumes réservés, raccord au seed, butin, rencontres et services de campagne restent à terminer.</x:v>
      </x:c>
    </x:row>
    <x:row r="1462" ht="96" customHeight="1">
      <x:c r="A1462" s="115" t="str">
        <x:v>EXT-MONDE-T030-V07</x:v>
      </x:c>
      <x:c r="B1462" s="115" t="str">
        <x:v>EXT-MONDE-T030</x:v>
      </x:c>
      <x:c r="C1462" s="115" t="str">
        <x:v>Ponts</x:v>
      </x:c>
      <x:c r="D1462" s="115" t="str">
        <x:v>Pont à arches</x:v>
      </x:c>
      <x:c r="E1462" s="115" t="n">
        <x:v>7</x:v>
      </x:c>
      <x:c r="F1462" s="115" t="str">
        <x:v>Inspection physique</x:v>
      </x:c>
      <x:c r="G1462" s="115" t="str">
        <x:v>1 niveaux ; 34 pièces ; 260 segments de mur ; 0 transitions. Inspection physique ; architecture complète encore ouverte.</x:v>
      </x:c>
      <x:c r="H1462" s="115" t="str">
        <x:v>L 680 ; l 1000 ; hauteur 12,24 m ; choix de composition auteur ; dimensions réelles à documenter</x:v>
      </x:c>
      <x:c r="I1462" s="115" t="str">
        <x:v>À équilibrer</x:v>
      </x:c>
      <x:c r="J1462" s="115" t="str">
        <x:v>Non</x:v>
      </x:c>
      <x:c r="K1462" s="115" t="str">
        <x:v>Pièces décrites, murs, portes, niveaux et mobilier inspectables à l’échelle. Volumes réservés, raccord au seed, butin, rencontres et services de campagne restent à terminer.</x:v>
      </x:c>
    </x:row>
    <x:row r="1463" ht="96" customHeight="1">
      <x:c r="A1463" s="115" t="str">
        <x:v>EXT-MONDE-T030-V08</x:v>
      </x:c>
      <x:c r="B1463" s="115" t="str">
        <x:v>EXT-MONDE-T030</x:v>
      </x:c>
      <x:c r="C1463" s="115" t="str">
        <x:v>Ponts</x:v>
      </x:c>
      <x:c r="D1463" s="115" t="str">
        <x:v>Pont à arches</x:v>
      </x:c>
      <x:c r="E1463" s="115" t="n">
        <x:v>8</x:v>
      </x:c>
      <x:c r="F1463" s="115" t="str">
        <x:v>Inspection physique</x:v>
      </x:c>
      <x:c r="G1463" s="115" t="str">
        <x:v>1 niveaux ; 34 pièces ; 260 segments de mur ; 0 transitions. Inspection physique ; architecture complète encore ouverte.</x:v>
      </x:c>
      <x:c r="H1463" s="115" t="str">
        <x:v>L 680 ; l 1000 ; hauteur 12,28 m ; choix de composition auteur ; dimensions réelles à documenter</x:v>
      </x:c>
      <x:c r="I1463" s="115" t="str">
        <x:v>À équilibrer</x:v>
      </x:c>
      <x:c r="J1463" s="115" t="str">
        <x:v>Non</x:v>
      </x:c>
      <x:c r="K1463" s="115" t="str">
        <x:v>Pièces décrites, murs, portes, niveaux et mobilier inspectables à l’échelle. Volumes réservés, raccord au seed, butin, rencontres et services de campagne restent à terminer.</x:v>
      </x:c>
    </x:row>
    <x:row r="1464" ht="96" customHeight="1">
      <x:c r="A1464" s="115" t="str">
        <x:v>EXT-MONDE-T030-V09</x:v>
      </x:c>
      <x:c r="B1464" s="115" t="str">
        <x:v>EXT-MONDE-T030</x:v>
      </x:c>
      <x:c r="C1464" s="115" t="str">
        <x:v>Ponts</x:v>
      </x:c>
      <x:c r="D1464" s="115" t="str">
        <x:v>Pont à arches</x:v>
      </x:c>
      <x:c r="E1464" s="115" t="n">
        <x:v>9</x:v>
      </x:c>
      <x:c r="F1464" s="115" t="str">
        <x:v>Inspection physique</x:v>
      </x:c>
      <x:c r="G1464" s="115" t="str">
        <x:v>1 niveaux ; 34 pièces ; 260 segments de mur ; 0 transitions. Inspection physique ; architecture complète encore ouverte.</x:v>
      </x:c>
      <x:c r="H1464" s="115" t="str">
        <x:v>L 680 ; l 1000 ; hauteur 12,32 m ; choix de composition auteur ; dimensions réelles à documenter</x:v>
      </x:c>
      <x:c r="I1464" s="115" t="str">
        <x:v>À équilibrer</x:v>
      </x:c>
      <x:c r="J1464" s="115" t="str">
        <x:v>Non</x:v>
      </x:c>
      <x:c r="K1464" s="115" t="str">
        <x:v>Pièces décrites, murs, portes, niveaux et mobilier inspectables à l’échelle. Volumes réservés, raccord au seed, butin, rencontres et services de campagne restent à terminer.</x:v>
      </x:c>
    </x:row>
    <x:row r="1465" ht="96" customHeight="1">
      <x:c r="A1465" s="115" t="str">
        <x:v>EXT-MONDE-T030-V10</x:v>
      </x:c>
      <x:c r="B1465" s="115" t="str">
        <x:v>EXT-MONDE-T030</x:v>
      </x:c>
      <x:c r="C1465" s="115" t="str">
        <x:v>Ponts</x:v>
      </x:c>
      <x:c r="D1465" s="115" t="str">
        <x:v>Pont à arches</x:v>
      </x:c>
      <x:c r="E1465" s="115" t="n">
        <x:v>10</x:v>
      </x:c>
      <x:c r="F1465" s="115" t="str">
        <x:v>Inspection physique</x:v>
      </x:c>
      <x:c r="G1465" s="115" t="str">
        <x:v>1 niveaux ; 34 pièces ; 260 segments de mur ; 0 transitions. Inspection physique ; architecture complète encore ouverte.</x:v>
      </x:c>
      <x:c r="H1465" s="115" t="str">
        <x:v>L 680 ; l 1000 ; hauteur 12,36 m ; choix de composition auteur ; dimensions réelles à documenter</x:v>
      </x:c>
      <x:c r="I1465" s="115" t="str">
        <x:v>À équilibrer</x:v>
      </x:c>
      <x:c r="J1465" s="115" t="str">
        <x:v>Non</x:v>
      </x:c>
      <x:c r="K1465" s="115" t="str">
        <x:v>Pièces décrites, murs, portes, niveaux et mobilier inspectables à l’échelle. Volumes réservés, raccord au seed, butin, rencontres et services de campagne restent à terminer.</x:v>
      </x:c>
    </x:row>
    <x:row r="1466" ht="96" customHeight="1">
      <x:c r="A1466" s="115" t="str">
        <x:v>EXT-MONDE-T030-V11</x:v>
      </x:c>
      <x:c r="B1466" s="115" t="str">
        <x:v>EXT-MONDE-T030</x:v>
      </x:c>
      <x:c r="C1466" s="115" t="str">
        <x:v>Ponts</x:v>
      </x:c>
      <x:c r="D1466" s="115" t="str">
        <x:v>Pont à arches</x:v>
      </x:c>
      <x:c r="E1466" s="115" t="n">
        <x:v>11</x:v>
      </x:c>
      <x:c r="F1466" s="115" t="str">
        <x:v>Inspection physique</x:v>
      </x:c>
      <x:c r="G1466" s="115" t="str">
        <x:v>1 niveaux ; 34 pièces ; 260 segments de mur ; 0 transitions. Inspection physique ; architecture complète encore ouverte.</x:v>
      </x:c>
      <x:c r="H1466" s="115" t="str">
        <x:v>L 760 ; l 1160 ; hauteur 12 m ; choix de composition auteur ; dimensions réelles à documenter</x:v>
      </x:c>
      <x:c r="I1466" s="115" t="str">
        <x:v>À équilibrer</x:v>
      </x:c>
      <x:c r="J1466" s="115" t="str">
        <x:v>Non</x:v>
      </x:c>
      <x:c r="K1466" s="115" t="str">
        <x:v>Pièces décrites, murs, portes, niveaux et mobilier inspectables à l’échelle. Volumes réservés, raccord au seed, butin, rencontres et services de campagne restent à terminer.</x:v>
      </x:c>
    </x:row>
    <x:row r="1467" ht="96" customHeight="1">
      <x:c r="A1467" s="115" t="str">
        <x:v>EXT-MONDE-T030-V12</x:v>
      </x:c>
      <x:c r="B1467" s="115" t="str">
        <x:v>EXT-MONDE-T030</x:v>
      </x:c>
      <x:c r="C1467" s="115" t="str">
        <x:v>Ponts</x:v>
      </x:c>
      <x:c r="D1467" s="115" t="str">
        <x:v>Pont à arches</x:v>
      </x:c>
      <x:c r="E1467" s="115" t="n">
        <x:v>12</x:v>
      </x:c>
      <x:c r="F1467" s="115" t="str">
        <x:v>Inspection physique</x:v>
      </x:c>
      <x:c r="G1467" s="115" t="str">
        <x:v>1 niveaux ; 34 pièces ; 260 segments de mur ; 0 transitions. Inspection physique ; architecture complète encore ouverte.</x:v>
      </x:c>
      <x:c r="H1467" s="115" t="str">
        <x:v>L 760 ; l 1160 ; hauteur 12,04 m ; choix de composition auteur ; dimensions réelles à documenter</x:v>
      </x:c>
      <x:c r="I1467" s="115" t="str">
        <x:v>À équilibrer</x:v>
      </x:c>
      <x:c r="J1467" s="115" t="str">
        <x:v>Non</x:v>
      </x:c>
      <x:c r="K1467" s="115" t="str">
        <x:v>Pièces décrites, murs, portes, niveaux et mobilier inspectables à l’échelle. Volumes réservés, raccord au seed, butin, rencontres et services de campagne restent à terminer.</x:v>
      </x:c>
    </x:row>
    <x:row r="1468" ht="96" customHeight="1">
      <x:c r="A1468" s="115" t="str">
        <x:v>EXT-MONDE-T030-V13</x:v>
      </x:c>
      <x:c r="B1468" s="115" t="str">
        <x:v>EXT-MONDE-T030</x:v>
      </x:c>
      <x:c r="C1468" s="115" t="str">
        <x:v>Ponts</x:v>
      </x:c>
      <x:c r="D1468" s="115" t="str">
        <x:v>Pont à arches</x:v>
      </x:c>
      <x:c r="E1468" s="115" t="n">
        <x:v>13</x:v>
      </x:c>
      <x:c r="F1468" s="115" t="str">
        <x:v>Inspection physique</x:v>
      </x:c>
      <x:c r="G1468" s="115" t="str">
        <x:v>1 niveaux ; 34 pièces ; 260 segments de mur ; 0 transitions. Inspection physique ; architecture complète encore ouverte.</x:v>
      </x:c>
      <x:c r="H1468" s="115" t="str">
        <x:v>L 760 ; l 1160 ; hauteur 12,08 m ; choix de composition auteur ; dimensions réelles à documenter</x:v>
      </x:c>
      <x:c r="I1468" s="115" t="str">
        <x:v>À équilibrer</x:v>
      </x:c>
      <x:c r="J1468" s="115" t="str">
        <x:v>Non</x:v>
      </x:c>
      <x:c r="K1468" s="115" t="str">
        <x:v>Pièces décrites, murs, portes, niveaux et mobilier inspectables à l’échelle. Volumes réservés, raccord au seed, butin, rencontres et services de campagne restent à terminer.</x:v>
      </x:c>
    </x:row>
    <x:row r="1469" ht="96" customHeight="1">
      <x:c r="A1469" s="115" t="str">
        <x:v>EXT-MONDE-T030-V14</x:v>
      </x:c>
      <x:c r="B1469" s="115" t="str">
        <x:v>EXT-MONDE-T030</x:v>
      </x:c>
      <x:c r="C1469" s="115" t="str">
        <x:v>Ponts</x:v>
      </x:c>
      <x:c r="D1469" s="115" t="str">
        <x:v>Pont à arches</x:v>
      </x:c>
      <x:c r="E1469" s="115" t="n">
        <x:v>14</x:v>
      </x:c>
      <x:c r="F1469" s="115" t="str">
        <x:v>Inspection physique</x:v>
      </x:c>
      <x:c r="G1469" s="115" t="str">
        <x:v>1 niveaux ; 34 pièces ; 260 segments de mur ; 0 transitions. Inspection physique ; architecture complète encore ouverte.</x:v>
      </x:c>
      <x:c r="H1469" s="115" t="str">
        <x:v>L 760 ; l 1160 ; hauteur 12,12 m ; choix de composition auteur ; dimensions réelles à documenter</x:v>
      </x:c>
      <x:c r="I1469" s="115" t="str">
        <x:v>À équilibrer</x:v>
      </x:c>
      <x:c r="J1469" s="115" t="str">
        <x:v>Non</x:v>
      </x:c>
      <x:c r="K1469" s="115" t="str">
        <x:v>Pièces décrites, murs, portes, niveaux et mobilier inspectables à l’échelle. Volumes réservés, raccord au seed, butin, rencontres et services de campagne restent à terminer.</x:v>
      </x:c>
    </x:row>
    <x:row r="1470" ht="96" customHeight="1">
      <x:c r="A1470" s="115" t="str">
        <x:v>EXT-MONDE-T030-V15</x:v>
      </x:c>
      <x:c r="B1470" s="115" t="str">
        <x:v>EXT-MONDE-T030</x:v>
      </x:c>
      <x:c r="C1470" s="115" t="str">
        <x:v>Ponts</x:v>
      </x:c>
      <x:c r="D1470" s="115" t="str">
        <x:v>Pont à arches</x:v>
      </x:c>
      <x:c r="E1470" s="115" t="n">
        <x:v>15</x:v>
      </x:c>
      <x:c r="F1470" s="115" t="str">
        <x:v>Inspection physique</x:v>
      </x:c>
      <x:c r="G1470" s="115" t="str">
        <x:v>1 niveaux ; 34 pièces ; 260 segments de mur ; 0 transitions. Inspection physique ; architecture complète encore ouverte.</x:v>
      </x:c>
      <x:c r="H1470" s="115" t="str">
        <x:v>L 760 ; l 1160 ; hauteur 12,16 m ; choix de composition auteur ; dimensions réelles à documenter</x:v>
      </x:c>
      <x:c r="I1470" s="115" t="str">
        <x:v>À équilibrer</x:v>
      </x:c>
      <x:c r="J1470" s="115" t="str">
        <x:v>Non</x:v>
      </x:c>
      <x:c r="K1470" s="115" t="str">
        <x:v>Pièces décrites, murs, portes, niveaux et mobilier inspectables à l’échelle. Volumes réservés, raccord au seed, butin, rencontres et services de campagne restent à terminer.</x:v>
      </x:c>
    </x:row>
    <x:row r="1471" ht="96" customHeight="1">
      <x:c r="A1471" s="115" t="str">
        <x:v>EXT-MONDE-T030-V16</x:v>
      </x:c>
      <x:c r="B1471" s="115" t="str">
        <x:v>EXT-MONDE-T030</x:v>
      </x:c>
      <x:c r="C1471" s="115" t="str">
        <x:v>Ponts</x:v>
      </x:c>
      <x:c r="D1471" s="115" t="str">
        <x:v>Pont à arches</x:v>
      </x:c>
      <x:c r="E1471" s="115" t="n">
        <x:v>16</x:v>
      </x:c>
      <x:c r="F1471" s="115" t="str">
        <x:v>Inspection physique</x:v>
      </x:c>
      <x:c r="G1471" s="115" t="str">
        <x:v>1 niveaux ; 34 pièces ; 260 segments de mur ; 0 transitions. Inspection physique ; architecture complète encore ouverte.</x:v>
      </x:c>
      <x:c r="H1471" s="115" t="str">
        <x:v>L 760 ; l 1160 ; hauteur 12,2 m ; choix de composition auteur ; dimensions réelles à documenter</x:v>
      </x:c>
      <x:c r="I1471" s="115" t="str">
        <x:v>À équilibrer</x:v>
      </x:c>
      <x:c r="J1471" s="115" t="str">
        <x:v>Non</x:v>
      </x:c>
      <x:c r="K1471" s="115" t="str">
        <x:v>Pièces décrites, murs, portes, niveaux et mobilier inspectables à l’échelle. Volumes réservés, raccord au seed, butin, rencontres et services de campagne restent à terminer.</x:v>
      </x:c>
    </x:row>
    <x:row r="1472" ht="96" customHeight="1">
      <x:c r="A1472" s="115" t="str">
        <x:v>EXT-MONDE-T030-V17</x:v>
      </x:c>
      <x:c r="B1472" s="115" t="str">
        <x:v>EXT-MONDE-T030</x:v>
      </x:c>
      <x:c r="C1472" s="115" t="str">
        <x:v>Ponts</x:v>
      </x:c>
      <x:c r="D1472" s="115" t="str">
        <x:v>Pont à arches</x:v>
      </x:c>
      <x:c r="E1472" s="115" t="n">
        <x:v>17</x:v>
      </x:c>
      <x:c r="F1472" s="115" t="str">
        <x:v>Inspection physique</x:v>
      </x:c>
      <x:c r="G1472" s="115" t="str">
        <x:v>1 niveaux ; 34 pièces ; 260 segments de mur ; 0 transitions. Inspection physique ; architecture complète encore ouverte.</x:v>
      </x:c>
      <x:c r="H1472" s="115" t="str">
        <x:v>L 760 ; l 1160 ; hauteur 12,24 m ; choix de composition auteur ; dimensions réelles à documenter</x:v>
      </x:c>
      <x:c r="I1472" s="115" t="str">
        <x:v>À équilibrer</x:v>
      </x:c>
      <x:c r="J1472" s="115" t="str">
        <x:v>Non</x:v>
      </x:c>
      <x:c r="K1472" s="115" t="str">
        <x:v>Pièces décrites, murs, portes, niveaux et mobilier inspectables à l’échelle. Volumes réservés, raccord au seed, butin, rencontres et services de campagne restent à terminer.</x:v>
      </x:c>
    </x:row>
    <x:row r="1473" ht="96" customHeight="1">
      <x:c r="A1473" s="115" t="str">
        <x:v>EXT-MONDE-T030-V18</x:v>
      </x:c>
      <x:c r="B1473" s="115" t="str">
        <x:v>EXT-MONDE-T030</x:v>
      </x:c>
      <x:c r="C1473" s="115" t="str">
        <x:v>Ponts</x:v>
      </x:c>
      <x:c r="D1473" s="115" t="str">
        <x:v>Pont à arches</x:v>
      </x:c>
      <x:c r="E1473" s="115" t="n">
        <x:v>18</x:v>
      </x:c>
      <x:c r="F1473" s="115" t="str">
        <x:v>Inspection physique</x:v>
      </x:c>
      <x:c r="G1473" s="115" t="str">
        <x:v>1 niveaux ; 34 pièces ; 260 segments de mur ; 0 transitions. Inspection physique ; architecture complète encore ouverte.</x:v>
      </x:c>
      <x:c r="H1473" s="115" t="str">
        <x:v>L 760 ; l 1160 ; hauteur 12,28 m ; choix de composition auteur ; dimensions réelles à documenter</x:v>
      </x:c>
      <x:c r="I1473" s="115" t="str">
        <x:v>À équilibrer</x:v>
      </x:c>
      <x:c r="J1473" s="115" t="str">
        <x:v>Non</x:v>
      </x:c>
      <x:c r="K1473" s="115" t="str">
        <x:v>Pièces décrites, murs, portes, niveaux et mobilier inspectables à l’échelle. Volumes réservés, raccord au seed, butin, rencontres et services de campagne restent à terminer.</x:v>
      </x:c>
    </x:row>
    <x:row r="1474" ht="96" customHeight="1">
      <x:c r="A1474" s="115" t="str">
        <x:v>EXT-MONDE-T030-V19</x:v>
      </x:c>
      <x:c r="B1474" s="115" t="str">
        <x:v>EXT-MONDE-T030</x:v>
      </x:c>
      <x:c r="C1474" s="115" t="str">
        <x:v>Ponts</x:v>
      </x:c>
      <x:c r="D1474" s="115" t="str">
        <x:v>Pont à arches</x:v>
      </x:c>
      <x:c r="E1474" s="115" t="n">
        <x:v>19</x:v>
      </x:c>
      <x:c r="F1474" s="115" t="str">
        <x:v>Inspection physique</x:v>
      </x:c>
      <x:c r="G1474" s="115" t="str">
        <x:v>1 niveaux ; 34 pièces ; 260 segments de mur ; 0 transitions. Inspection physique ; architecture complète encore ouverte.</x:v>
      </x:c>
      <x:c r="H1474" s="115" t="str">
        <x:v>L 760 ; l 1160 ; hauteur 12,32 m ; choix de composition auteur ; dimensions réelles à documenter</x:v>
      </x:c>
      <x:c r="I1474" s="115" t="str">
        <x:v>À équilibrer</x:v>
      </x:c>
      <x:c r="J1474" s="115" t="str">
        <x:v>Non</x:v>
      </x:c>
      <x:c r="K1474" s="115" t="str">
        <x:v>Pièces décrites, murs, portes, niveaux et mobilier inspectables à l’échelle. Volumes réservés, raccord au seed, butin, rencontres et services de campagne restent à terminer.</x:v>
      </x:c>
    </x:row>
    <x:row r="1475" ht="96" customHeight="1">
      <x:c r="A1475" s="115" t="str">
        <x:v>EXT-MONDE-T030-V20</x:v>
      </x:c>
      <x:c r="B1475" s="115" t="str">
        <x:v>EXT-MONDE-T030</x:v>
      </x:c>
      <x:c r="C1475" s="115" t="str">
        <x:v>Ponts</x:v>
      </x:c>
      <x:c r="D1475" s="115" t="str">
        <x:v>Pont à arches</x:v>
      </x:c>
      <x:c r="E1475" s="115" t="n">
        <x:v>20</x:v>
      </x:c>
      <x:c r="F1475" s="115" t="str">
        <x:v>Inspection physique</x:v>
      </x:c>
      <x:c r="G1475" s="115" t="str">
        <x:v>1 niveaux ; 34 pièces ; 260 segments de mur ; 0 transitions. Inspection physique ; architecture complète encore ouverte.</x:v>
      </x:c>
      <x:c r="H1475" s="115" t="str">
        <x:v>L 760 ; l 1160 ; hauteur 12,36 m ; choix de composition auteur ; dimensions réelles à documenter</x:v>
      </x:c>
      <x:c r="I1475" s="115" t="str">
        <x:v>À équilibrer</x:v>
      </x:c>
      <x:c r="J1475" s="115" t="str">
        <x:v>Non</x:v>
      </x:c>
      <x:c r="K1475" s="115" t="str">
        <x:v>Pièces décrites, murs, portes, niveaux et mobilier inspectables à l’échelle. Volumes réservés, raccord au seed, butin, rencontres et services de campagne restent à terminer.</x:v>
      </x:c>
    </x:row>
    <x:row r="1476" ht="96" customHeight="1">
      <x:c r="A1476" s="115" t="str">
        <x:v>EXT-MONDE-T030-V21</x:v>
      </x:c>
      <x:c r="B1476" s="115" t="str">
        <x:v>EXT-MONDE-T030</x:v>
      </x:c>
      <x:c r="C1476" s="115" t="str">
        <x:v>Ponts</x:v>
      </x:c>
      <x:c r="D1476" s="115" t="str">
        <x:v>Pont à arches</x:v>
      </x:c>
      <x:c r="E1476" s="115" t="n">
        <x:v>21</x:v>
      </x:c>
      <x:c r="F1476" s="115" t="str">
        <x:v>Inspection physique</x:v>
      </x:c>
      <x:c r="G1476" s="115" t="str">
        <x:v>1 niveaux ; 34 pièces ; 260 segments de mur ; 0 transitions. Inspection physique ; architecture complète encore ouverte.</x:v>
      </x:c>
      <x:c r="H1476" s="115" t="str">
        <x:v>L 840 ; l 1320 ; hauteur 12 m ; choix de composition auteur ; dimensions réelles à documenter</x:v>
      </x:c>
      <x:c r="I1476" s="115" t="str">
        <x:v>À équilibrer</x:v>
      </x:c>
      <x:c r="J1476" s="115" t="str">
        <x:v>Non</x:v>
      </x:c>
      <x:c r="K1476" s="115" t="str">
        <x:v>Pièces décrites, murs, portes, niveaux et mobilier inspectables à l’échelle. Volumes réservés, raccord au seed, butin, rencontres et services de campagne restent à terminer.</x:v>
      </x:c>
    </x:row>
    <x:row r="1477" ht="96" customHeight="1">
      <x:c r="A1477" s="115" t="str">
        <x:v>EXT-MONDE-T030-V22</x:v>
      </x:c>
      <x:c r="B1477" s="115" t="str">
        <x:v>EXT-MONDE-T030</x:v>
      </x:c>
      <x:c r="C1477" s="115" t="str">
        <x:v>Ponts</x:v>
      </x:c>
      <x:c r="D1477" s="115" t="str">
        <x:v>Pont à arches</x:v>
      </x:c>
      <x:c r="E1477" s="115" t="n">
        <x:v>22</x:v>
      </x:c>
      <x:c r="F1477" s="115" t="str">
        <x:v>Inspection physique</x:v>
      </x:c>
      <x:c r="G1477" s="115" t="str">
        <x:v>1 niveaux ; 34 pièces ; 260 segments de mur ; 0 transitions. Inspection physique ; architecture complète encore ouverte.</x:v>
      </x:c>
      <x:c r="H1477" s="115" t="str">
        <x:v>L 840 ; l 1320 ; hauteur 12,04 m ; choix de composition auteur ; dimensions réelles à documenter</x:v>
      </x:c>
      <x:c r="I1477" s="115" t="str">
        <x:v>À équilibrer</x:v>
      </x:c>
      <x:c r="J1477" s="115" t="str">
        <x:v>Non</x:v>
      </x:c>
      <x:c r="K1477" s="115" t="str">
        <x:v>Pièces décrites, murs, portes, niveaux et mobilier inspectables à l’échelle. Volumes réservés, raccord au seed, butin, rencontres et services de campagne restent à terminer.</x:v>
      </x:c>
    </x:row>
    <x:row r="1478" ht="96" customHeight="1">
      <x:c r="A1478" s="115" t="str">
        <x:v>EXT-MONDE-T030-V23</x:v>
      </x:c>
      <x:c r="B1478" s="115" t="str">
        <x:v>EXT-MONDE-T030</x:v>
      </x:c>
      <x:c r="C1478" s="115" t="str">
        <x:v>Ponts</x:v>
      </x:c>
      <x:c r="D1478" s="115" t="str">
        <x:v>Pont à arches</x:v>
      </x:c>
      <x:c r="E1478" s="115" t="n">
        <x:v>23</x:v>
      </x:c>
      <x:c r="F1478" s="115" t="str">
        <x:v>Inspection physique</x:v>
      </x:c>
      <x:c r="G1478" s="115" t="str">
        <x:v>1 niveaux ; 34 pièces ; 260 segments de mur ; 0 transitions. Inspection physique ; architecture complète encore ouverte.</x:v>
      </x:c>
      <x:c r="H1478" s="115" t="str">
        <x:v>L 840 ; l 1320 ; hauteur 12,08 m ; choix de composition auteur ; dimensions réelles à documenter</x:v>
      </x:c>
      <x:c r="I1478" s="115" t="str">
        <x:v>À équilibrer</x:v>
      </x:c>
      <x:c r="J1478" s="115" t="str">
        <x:v>Non</x:v>
      </x:c>
      <x:c r="K1478" s="115" t="str">
        <x:v>Pièces décrites, murs, portes, niveaux et mobilier inspectables à l’échelle. Volumes réservés, raccord au seed, butin, rencontres et services de campagne restent à terminer.</x:v>
      </x:c>
    </x:row>
    <x:row r="1479" ht="96" customHeight="1">
      <x:c r="A1479" s="115" t="str">
        <x:v>EXT-MONDE-T030-V24</x:v>
      </x:c>
      <x:c r="B1479" s="115" t="str">
        <x:v>EXT-MONDE-T030</x:v>
      </x:c>
      <x:c r="C1479" s="115" t="str">
        <x:v>Ponts</x:v>
      </x:c>
      <x:c r="D1479" s="115" t="str">
        <x:v>Pont à arches</x:v>
      </x:c>
      <x:c r="E1479" s="115" t="n">
        <x:v>24</x:v>
      </x:c>
      <x:c r="F1479" s="115" t="str">
        <x:v>Inspection physique</x:v>
      </x:c>
      <x:c r="G1479" s="115" t="str">
        <x:v>1 niveaux ; 34 pièces ; 260 segments de mur ; 0 transitions. Inspection physique ; architecture complète encore ouverte.</x:v>
      </x:c>
      <x:c r="H1479" s="115" t="str">
        <x:v>L 840 ; l 1320 ; hauteur 12,12 m ; choix de composition auteur ; dimensions réelles à documenter</x:v>
      </x:c>
      <x:c r="I1479" s="115" t="str">
        <x:v>À équilibrer</x:v>
      </x:c>
      <x:c r="J1479" s="115" t="str">
        <x:v>Non</x:v>
      </x:c>
      <x:c r="K1479" s="115" t="str">
        <x:v>Pièces décrites, murs, portes, niveaux et mobilier inspectables à l’échelle. Volumes réservés, raccord au seed, butin, rencontres et services de campagne restent à terminer.</x:v>
      </x:c>
    </x:row>
    <x:row r="1480" ht="96" customHeight="1">
      <x:c r="A1480" s="115" t="str">
        <x:v>EXT-MONDE-T030-V25</x:v>
      </x:c>
      <x:c r="B1480" s="115" t="str">
        <x:v>EXT-MONDE-T030</x:v>
      </x:c>
      <x:c r="C1480" s="115" t="str">
        <x:v>Ponts</x:v>
      </x:c>
      <x:c r="D1480" s="115" t="str">
        <x:v>Pont à arches</x:v>
      </x:c>
      <x:c r="E1480" s="115" t="n">
        <x:v>25</x:v>
      </x:c>
      <x:c r="F1480" s="115" t="str">
        <x:v>Inspection physique</x:v>
      </x:c>
      <x:c r="G1480" s="115" t="str">
        <x:v>1 niveaux ; 34 pièces ; 260 segments de mur ; 0 transitions. Inspection physique ; architecture complète encore ouverte.</x:v>
      </x:c>
      <x:c r="H1480" s="115" t="str">
        <x:v>L 840 ; l 1320 ; hauteur 12,16 m ; choix de composition auteur ; dimensions réelles à documenter</x:v>
      </x:c>
      <x:c r="I1480" s="115" t="str">
        <x:v>À équilibrer</x:v>
      </x:c>
      <x:c r="J1480" s="115" t="str">
        <x:v>Non</x:v>
      </x:c>
      <x:c r="K1480" s="115" t="str">
        <x:v>Pièces décrites, murs, portes, niveaux et mobilier inspectables à l’échelle. Volumes réservés, raccord au seed, butin, rencontres et services de campagne restent à terminer.</x:v>
      </x:c>
    </x:row>
    <x:row r="1481" ht="96" customHeight="1">
      <x:c r="A1481" s="115" t="str">
        <x:v>EXT-MONDE-T030-V26</x:v>
      </x:c>
      <x:c r="B1481" s="115" t="str">
        <x:v>EXT-MONDE-T030</x:v>
      </x:c>
      <x:c r="C1481" s="115" t="str">
        <x:v>Ponts</x:v>
      </x:c>
      <x:c r="D1481" s="115" t="str">
        <x:v>Pont à arches</x:v>
      </x:c>
      <x:c r="E1481" s="115" t="n">
        <x:v>26</x:v>
      </x:c>
      <x:c r="F1481" s="115" t="str">
        <x:v>Inspection physique</x:v>
      </x:c>
      <x:c r="G1481" s="115" t="str">
        <x:v>1 niveaux ; 34 pièces ; 260 segments de mur ; 0 transitions. Inspection physique ; architecture complète encore ouverte.</x:v>
      </x:c>
      <x:c r="H1481" s="115" t="str">
        <x:v>L 840 ; l 1320 ; hauteur 12,2 m ; choix de composition auteur ; dimensions réelles à documenter</x:v>
      </x:c>
      <x:c r="I1481" s="115" t="str">
        <x:v>À équilibrer</x:v>
      </x:c>
      <x:c r="J1481" s="115" t="str">
        <x:v>Non</x:v>
      </x:c>
      <x:c r="K1481" s="115" t="str">
        <x:v>Pièces décrites, murs, portes, niveaux et mobilier inspectables à l’échelle. Volumes réservés, raccord au seed, butin, rencontres et services de campagne restent à terminer.</x:v>
      </x:c>
    </x:row>
    <x:row r="1482" ht="96" customHeight="1">
      <x:c r="A1482" s="115" t="str">
        <x:v>EXT-MONDE-T030-V27</x:v>
      </x:c>
      <x:c r="B1482" s="115" t="str">
        <x:v>EXT-MONDE-T030</x:v>
      </x:c>
      <x:c r="C1482" s="115" t="str">
        <x:v>Ponts</x:v>
      </x:c>
      <x:c r="D1482" s="115" t="str">
        <x:v>Pont à arches</x:v>
      </x:c>
      <x:c r="E1482" s="115" t="n">
        <x:v>27</x:v>
      </x:c>
      <x:c r="F1482" s="115" t="str">
        <x:v>Inspection physique</x:v>
      </x:c>
      <x:c r="G1482" s="115" t="str">
        <x:v>1 niveaux ; 34 pièces ; 260 segments de mur ; 0 transitions. Inspection physique ; architecture complète encore ouverte.</x:v>
      </x:c>
      <x:c r="H1482" s="115" t="str">
        <x:v>L 840 ; l 1320 ; hauteur 12,24 m ; choix de composition auteur ; dimensions réelles à documenter</x:v>
      </x:c>
      <x:c r="I1482" s="115" t="str">
        <x:v>À équilibrer</x:v>
      </x:c>
      <x:c r="J1482" s="115" t="str">
        <x:v>Non</x:v>
      </x:c>
      <x:c r="K1482" s="115" t="str">
        <x:v>Pièces décrites, murs, portes, niveaux et mobilier inspectables à l’échelle. Volumes réservés, raccord au seed, butin, rencontres et services de campagne restent à terminer.</x:v>
      </x:c>
    </x:row>
    <x:row r="1483" ht="96" customHeight="1">
      <x:c r="A1483" s="115" t="str">
        <x:v>EXT-MONDE-T030-V28</x:v>
      </x:c>
      <x:c r="B1483" s="115" t="str">
        <x:v>EXT-MONDE-T030</x:v>
      </x:c>
      <x:c r="C1483" s="115" t="str">
        <x:v>Ponts</x:v>
      </x:c>
      <x:c r="D1483" s="115" t="str">
        <x:v>Pont à arches</x:v>
      </x:c>
      <x:c r="E1483" s="115" t="n">
        <x:v>28</x:v>
      </x:c>
      <x:c r="F1483" s="115" t="str">
        <x:v>Inspection physique</x:v>
      </x:c>
      <x:c r="G1483" s="115" t="str">
        <x:v>1 niveaux ; 34 pièces ; 260 segments de mur ; 0 transitions. Inspection physique ; architecture complète encore ouverte.</x:v>
      </x:c>
      <x:c r="H1483" s="115" t="str">
        <x:v>L 840 ; l 1320 ; hauteur 12,28 m ; choix de composition auteur ; dimensions réelles à documenter</x:v>
      </x:c>
      <x:c r="I1483" s="115" t="str">
        <x:v>À équilibrer</x:v>
      </x:c>
      <x:c r="J1483" s="115" t="str">
        <x:v>Non</x:v>
      </x:c>
      <x:c r="K1483" s="115" t="str">
        <x:v>Pièces décrites, murs, portes, niveaux et mobilier inspectables à l’échelle. Volumes réservés, raccord au seed, butin, rencontres et services de campagne restent à terminer.</x:v>
      </x:c>
    </x:row>
    <x:row r="1484" ht="96" customHeight="1">
      <x:c r="A1484" s="115" t="str">
        <x:v>EXT-MONDE-T030-V29</x:v>
      </x:c>
      <x:c r="B1484" s="115" t="str">
        <x:v>EXT-MONDE-T030</x:v>
      </x:c>
      <x:c r="C1484" s="115" t="str">
        <x:v>Ponts</x:v>
      </x:c>
      <x:c r="D1484" s="115" t="str">
        <x:v>Pont à arches</x:v>
      </x:c>
      <x:c r="E1484" s="115" t="n">
        <x:v>29</x:v>
      </x:c>
      <x:c r="F1484" s="115" t="str">
        <x:v>Inspection physique</x:v>
      </x:c>
      <x:c r="G1484" s="115" t="str">
        <x:v>1 niveaux ; 34 pièces ; 260 segments de mur ; 0 transitions. Inspection physique ; architecture complète encore ouverte.</x:v>
      </x:c>
      <x:c r="H1484" s="115" t="str">
        <x:v>L 840 ; l 1320 ; hauteur 12,32 m ; choix de composition auteur ; dimensions réelles à documenter</x:v>
      </x:c>
      <x:c r="I1484" s="115" t="str">
        <x:v>À équilibrer</x:v>
      </x:c>
      <x:c r="J1484" s="115" t="str">
        <x:v>Non</x:v>
      </x:c>
      <x:c r="K1484" s="115" t="str">
        <x:v>Pièces décrites, murs, portes, niveaux et mobilier inspectables à l’échelle. Volumes réservés, raccord au seed, butin, rencontres et services de campagne restent à terminer.</x:v>
      </x:c>
    </x:row>
    <x:row r="1485" ht="96" customHeight="1">
      <x:c r="A1485" s="115" t="str">
        <x:v>EXT-MONDE-T030-V30</x:v>
      </x:c>
      <x:c r="B1485" s="115" t="str">
        <x:v>EXT-MONDE-T030</x:v>
      </x:c>
      <x:c r="C1485" s="115" t="str">
        <x:v>Ponts</x:v>
      </x:c>
      <x:c r="D1485" s="115" t="str">
        <x:v>Pont à arches</x:v>
      </x:c>
      <x:c r="E1485" s="115" t="n">
        <x:v>30</x:v>
      </x:c>
      <x:c r="F1485" s="115" t="str">
        <x:v>Inspection physique</x:v>
      </x:c>
      <x:c r="G1485" s="115" t="str">
        <x:v>1 niveaux ; 34 pièces ; 260 segments de mur ; 0 transitions. Inspection physique ; architecture complète encore ouverte.</x:v>
      </x:c>
      <x:c r="H1485" s="115" t="str">
        <x:v>L 840 ; l 1320 ; hauteur 12,36 m ; choix de composition auteur ; dimensions réelles à documenter</x:v>
      </x:c>
      <x:c r="I1485" s="115" t="str">
        <x:v>À équilibrer</x:v>
      </x:c>
      <x:c r="J1485" s="115" t="str">
        <x:v>Non</x:v>
      </x:c>
      <x:c r="K1485" s="115" t="str">
        <x:v>Pièces décrites, murs, portes, niveaux et mobilier inspectables à l’échelle. Volumes réservés, raccord au seed, butin, rencontres et services de campagne restent à terminer.</x:v>
      </x:c>
    </x:row>
    <x:row r="1486" ht="96" customHeight="1">
      <x:c r="A1486" s="115" t="str">
        <x:v>EXT-MONDE-T030-V31</x:v>
      </x:c>
      <x:c r="B1486" s="115" t="str">
        <x:v>EXT-MONDE-T030</x:v>
      </x:c>
      <x:c r="C1486" s="115" t="str">
        <x:v>Ponts</x:v>
      </x:c>
      <x:c r="D1486" s="115" t="str">
        <x:v>Pont à arches</x:v>
      </x:c>
      <x:c r="E1486" s="115" t="n">
        <x:v>31</x:v>
      </x:c>
      <x:c r="F1486" s="115" t="str">
        <x:v>Inspection physique</x:v>
      </x:c>
      <x:c r="G1486" s="115" t="str">
        <x:v>1 niveaux ; 34 pièces ; 260 segments de mur ; 0 transitions. Inspection physique ; architecture complète encore ouverte.</x:v>
      </x:c>
      <x:c r="H1486" s="115" t="str">
        <x:v>L 920 ; l 1480 ; hauteur 12 m ; choix de composition auteur ; dimensions réelles à documenter</x:v>
      </x:c>
      <x:c r="I1486" s="115" t="str">
        <x:v>À équilibrer</x:v>
      </x:c>
      <x:c r="J1486" s="115" t="str">
        <x:v>Non</x:v>
      </x:c>
      <x:c r="K1486" s="115" t="str">
        <x:v>Pièces décrites, murs, portes, niveaux et mobilier inspectables à l’échelle. Volumes réservés, raccord au seed, butin, rencontres et services de campagne restent à terminer.</x:v>
      </x:c>
    </x:row>
    <x:row r="1487" ht="96" customHeight="1">
      <x:c r="A1487" s="115" t="str">
        <x:v>EXT-MONDE-T030-V32</x:v>
      </x:c>
      <x:c r="B1487" s="115" t="str">
        <x:v>EXT-MONDE-T030</x:v>
      </x:c>
      <x:c r="C1487" s="115" t="str">
        <x:v>Ponts</x:v>
      </x:c>
      <x:c r="D1487" s="115" t="str">
        <x:v>Pont à arches</x:v>
      </x:c>
      <x:c r="E1487" s="115" t="n">
        <x:v>32</x:v>
      </x:c>
      <x:c r="F1487" s="115" t="str">
        <x:v>Inspection physique</x:v>
      </x:c>
      <x:c r="G1487" s="115" t="str">
        <x:v>1 niveaux ; 34 pièces ; 260 segments de mur ; 0 transitions. Inspection physique ; architecture complète encore ouverte.</x:v>
      </x:c>
      <x:c r="H1487" s="115" t="str">
        <x:v>L 920 ; l 1480 ; hauteur 12,04 m ; choix de composition auteur ; dimensions réelles à documenter</x:v>
      </x:c>
      <x:c r="I1487" s="115" t="str">
        <x:v>À équilibrer</x:v>
      </x:c>
      <x:c r="J1487" s="115" t="str">
        <x:v>Non</x:v>
      </x:c>
      <x:c r="K1487" s="115" t="str">
        <x:v>Pièces décrites, murs, portes, niveaux et mobilier inspectables à l’échelle. Volumes réservés, raccord au seed, butin, rencontres et services de campagne restent à terminer.</x:v>
      </x:c>
    </x:row>
    <x:row r="1488" ht="96" customHeight="1">
      <x:c r="A1488" s="115" t="str">
        <x:v>EXT-MONDE-T030-V33</x:v>
      </x:c>
      <x:c r="B1488" s="115" t="str">
        <x:v>EXT-MONDE-T030</x:v>
      </x:c>
      <x:c r="C1488" s="115" t="str">
        <x:v>Ponts</x:v>
      </x:c>
      <x:c r="D1488" s="115" t="str">
        <x:v>Pont à arches</x:v>
      </x:c>
      <x:c r="E1488" s="115" t="n">
        <x:v>33</x:v>
      </x:c>
      <x:c r="F1488" s="115" t="str">
        <x:v>Inspection physique</x:v>
      </x:c>
      <x:c r="G1488" s="115" t="str">
        <x:v>1 niveaux ; 34 pièces ; 260 segments de mur ; 0 transitions. Inspection physique ; architecture complète encore ouverte.</x:v>
      </x:c>
      <x:c r="H1488" s="115" t="str">
        <x:v>L 920 ; l 1480 ; hauteur 12,08 m ; choix de composition auteur ; dimensions réelles à documenter</x:v>
      </x:c>
      <x:c r="I1488" s="115" t="str">
        <x:v>À équilibrer</x:v>
      </x:c>
      <x:c r="J1488" s="115" t="str">
        <x:v>Non</x:v>
      </x:c>
      <x:c r="K1488" s="115" t="str">
        <x:v>Pièces décrites, murs, portes, niveaux et mobilier inspectables à l’échelle. Volumes réservés, raccord au seed, butin, rencontres et services de campagne restent à terminer.</x:v>
      </x:c>
    </x:row>
    <x:row r="1489" ht="96" customHeight="1">
      <x:c r="A1489" s="115" t="str">
        <x:v>EXT-MONDE-T030-V34</x:v>
      </x:c>
      <x:c r="B1489" s="115" t="str">
        <x:v>EXT-MONDE-T030</x:v>
      </x:c>
      <x:c r="C1489" s="115" t="str">
        <x:v>Ponts</x:v>
      </x:c>
      <x:c r="D1489" s="115" t="str">
        <x:v>Pont à arches</x:v>
      </x:c>
      <x:c r="E1489" s="115" t="n">
        <x:v>34</x:v>
      </x:c>
      <x:c r="F1489" s="115" t="str">
        <x:v>Inspection physique</x:v>
      </x:c>
      <x:c r="G1489" s="115" t="str">
        <x:v>1 niveaux ; 34 pièces ; 260 segments de mur ; 0 transitions. Inspection physique ; architecture complète encore ouverte.</x:v>
      </x:c>
      <x:c r="H1489" s="115" t="str">
        <x:v>L 920 ; l 1480 ; hauteur 12,12 m ; choix de composition auteur ; dimensions réelles à documenter</x:v>
      </x:c>
      <x:c r="I1489" s="115" t="str">
        <x:v>À équilibrer</x:v>
      </x:c>
      <x:c r="J1489" s="115" t="str">
        <x:v>Non</x:v>
      </x:c>
      <x:c r="K1489" s="115" t="str">
        <x:v>Pièces décrites, murs, portes, niveaux et mobilier inspectables à l’échelle. Volumes réservés, raccord au seed, butin, rencontres et services de campagne restent à terminer.</x:v>
      </x:c>
    </x:row>
    <x:row r="1490" ht="96" customHeight="1">
      <x:c r="A1490" s="115" t="str">
        <x:v>EXT-MONDE-T030-V35</x:v>
      </x:c>
      <x:c r="B1490" s="115" t="str">
        <x:v>EXT-MONDE-T030</x:v>
      </x:c>
      <x:c r="C1490" s="115" t="str">
        <x:v>Ponts</x:v>
      </x:c>
      <x:c r="D1490" s="115" t="str">
        <x:v>Pont à arches</x:v>
      </x:c>
      <x:c r="E1490" s="115" t="n">
        <x:v>35</x:v>
      </x:c>
      <x:c r="F1490" s="115" t="str">
        <x:v>Inspection physique</x:v>
      </x:c>
      <x:c r="G1490" s="115" t="str">
        <x:v>1 niveaux ; 34 pièces ; 260 segments de mur ; 0 transitions. Inspection physique ; architecture complète encore ouverte.</x:v>
      </x:c>
      <x:c r="H1490" s="115" t="str">
        <x:v>L 920 ; l 1480 ; hauteur 12,16 m ; choix de composition auteur ; dimensions réelles à documenter</x:v>
      </x:c>
      <x:c r="I1490" s="115" t="str">
        <x:v>À équilibrer</x:v>
      </x:c>
      <x:c r="J1490" s="115" t="str">
        <x:v>Non</x:v>
      </x:c>
      <x:c r="K1490" s="115" t="str">
        <x:v>Pièces décrites, murs, portes, niveaux et mobilier inspectables à l’échelle. Volumes réservés, raccord au seed, butin, rencontres et services de campagne restent à terminer.</x:v>
      </x:c>
    </x:row>
    <x:row r="1491" ht="96" customHeight="1">
      <x:c r="A1491" s="115" t="str">
        <x:v>EXT-MONDE-T030-V36</x:v>
      </x:c>
      <x:c r="B1491" s="115" t="str">
        <x:v>EXT-MONDE-T030</x:v>
      </x:c>
      <x:c r="C1491" s="115" t="str">
        <x:v>Ponts</x:v>
      </x:c>
      <x:c r="D1491" s="115" t="str">
        <x:v>Pont à arches</x:v>
      </x:c>
      <x:c r="E1491" s="115" t="n">
        <x:v>36</x:v>
      </x:c>
      <x:c r="F1491" s="115" t="str">
        <x:v>Inspection physique</x:v>
      </x:c>
      <x:c r="G1491" s="115" t="str">
        <x:v>1 niveaux ; 34 pièces ; 260 segments de mur ; 0 transitions. Inspection physique ; architecture complète encore ouverte.</x:v>
      </x:c>
      <x:c r="H1491" s="115" t="str">
        <x:v>L 920 ; l 1480 ; hauteur 12,2 m ; choix de composition auteur ; dimensions réelles à documenter</x:v>
      </x:c>
      <x:c r="I1491" s="115" t="str">
        <x:v>À équilibrer</x:v>
      </x:c>
      <x:c r="J1491" s="115" t="str">
        <x:v>Non</x:v>
      </x:c>
      <x:c r="K1491" s="115" t="str">
        <x:v>Pièces décrites, murs, portes, niveaux et mobilier inspectables à l’échelle. Volumes réservés, raccord au seed, butin, rencontres et services de campagne restent à terminer.</x:v>
      </x:c>
    </x:row>
    <x:row r="1492" ht="96" customHeight="1">
      <x:c r="A1492" s="115" t="str">
        <x:v>EXT-MONDE-T030-V37</x:v>
      </x:c>
      <x:c r="B1492" s="115" t="str">
        <x:v>EXT-MONDE-T030</x:v>
      </x:c>
      <x:c r="C1492" s="115" t="str">
        <x:v>Ponts</x:v>
      </x:c>
      <x:c r="D1492" s="115" t="str">
        <x:v>Pont à arches</x:v>
      </x:c>
      <x:c r="E1492" s="115" t="n">
        <x:v>37</x:v>
      </x:c>
      <x:c r="F1492" s="115" t="str">
        <x:v>Inspection physique</x:v>
      </x:c>
      <x:c r="G1492" s="115" t="str">
        <x:v>1 niveaux ; 34 pièces ; 260 segments de mur ; 0 transitions. Inspection physique ; architecture complète encore ouverte.</x:v>
      </x:c>
      <x:c r="H1492" s="115" t="str">
        <x:v>L 920 ; l 1480 ; hauteur 12,24 m ; choix de composition auteur ; dimensions réelles à documenter</x:v>
      </x:c>
      <x:c r="I1492" s="115" t="str">
        <x:v>À équilibrer</x:v>
      </x:c>
      <x:c r="J1492" s="115" t="str">
        <x:v>Non</x:v>
      </x:c>
      <x:c r="K1492" s="115" t="str">
        <x:v>Pièces décrites, murs, portes, niveaux et mobilier inspectables à l’échelle. Volumes réservés, raccord au seed, butin, rencontres et services de campagne restent à terminer.</x:v>
      </x:c>
    </x:row>
    <x:row r="1493" ht="96" customHeight="1">
      <x:c r="A1493" s="115" t="str">
        <x:v>EXT-MONDE-T030-V38</x:v>
      </x:c>
      <x:c r="B1493" s="115" t="str">
        <x:v>EXT-MONDE-T030</x:v>
      </x:c>
      <x:c r="C1493" s="115" t="str">
        <x:v>Ponts</x:v>
      </x:c>
      <x:c r="D1493" s="115" t="str">
        <x:v>Pont à arches</x:v>
      </x:c>
      <x:c r="E1493" s="115" t="n">
        <x:v>38</x:v>
      </x:c>
      <x:c r="F1493" s="115" t="str">
        <x:v>Inspection physique</x:v>
      </x:c>
      <x:c r="G1493" s="115" t="str">
        <x:v>1 niveaux ; 34 pièces ; 260 segments de mur ; 0 transitions. Inspection physique ; architecture complète encore ouverte.</x:v>
      </x:c>
      <x:c r="H1493" s="115" t="str">
        <x:v>L 920 ; l 1480 ; hauteur 12,28 m ; choix de composition auteur ; dimensions réelles à documenter</x:v>
      </x:c>
      <x:c r="I1493" s="115" t="str">
        <x:v>À équilibrer</x:v>
      </x:c>
      <x:c r="J1493" s="115" t="str">
        <x:v>Non</x:v>
      </x:c>
      <x:c r="K1493" s="115" t="str">
        <x:v>Pièces décrites, murs, portes, niveaux et mobilier inspectables à l’échelle. Volumes réservés, raccord au seed, butin, rencontres et services de campagne restent à terminer.</x:v>
      </x:c>
    </x:row>
    <x:row r="1494" ht="96" customHeight="1">
      <x:c r="A1494" s="115" t="str">
        <x:v>EXT-MONDE-T030-V39</x:v>
      </x:c>
      <x:c r="B1494" s="115" t="str">
        <x:v>EXT-MONDE-T030</x:v>
      </x:c>
      <x:c r="C1494" s="115" t="str">
        <x:v>Ponts</x:v>
      </x:c>
      <x:c r="D1494" s="115" t="str">
        <x:v>Pont à arches</x:v>
      </x:c>
      <x:c r="E1494" s="115" t="n">
        <x:v>39</x:v>
      </x:c>
      <x:c r="F1494" s="115" t="str">
        <x:v>Inspection physique</x:v>
      </x:c>
      <x:c r="G1494" s="115" t="str">
        <x:v>1 niveaux ; 34 pièces ; 260 segments de mur ; 0 transitions. Inspection physique ; architecture complète encore ouverte.</x:v>
      </x:c>
      <x:c r="H1494" s="115" t="str">
        <x:v>L 920 ; l 1480 ; hauteur 12,32 m ; choix de composition auteur ; dimensions réelles à documenter</x:v>
      </x:c>
      <x:c r="I1494" s="115" t="str">
        <x:v>À équilibrer</x:v>
      </x:c>
      <x:c r="J1494" s="115" t="str">
        <x:v>Non</x:v>
      </x:c>
      <x:c r="K1494" s="115" t="str">
        <x:v>Pièces décrites, murs, portes, niveaux et mobilier inspectables à l’échelle. Volumes réservés, raccord au seed, butin, rencontres et services de campagne restent à terminer.</x:v>
      </x:c>
    </x:row>
    <x:row r="1495" ht="96" customHeight="1">
      <x:c r="A1495" s="115" t="str">
        <x:v>EXT-MONDE-T030-V40</x:v>
      </x:c>
      <x:c r="B1495" s="115" t="str">
        <x:v>EXT-MONDE-T030</x:v>
      </x:c>
      <x:c r="C1495" s="115" t="str">
        <x:v>Ponts</x:v>
      </x:c>
      <x:c r="D1495" s="115" t="str">
        <x:v>Pont à arches</x:v>
      </x:c>
      <x:c r="E1495" s="115" t="n">
        <x:v>40</x:v>
      </x:c>
      <x:c r="F1495" s="115" t="str">
        <x:v>Inspection physique</x:v>
      </x:c>
      <x:c r="G1495" s="115" t="str">
        <x:v>1 niveaux ; 34 pièces ; 260 segments de mur ; 0 transitions. Inspection physique ; architecture complète encore ouverte.</x:v>
      </x:c>
      <x:c r="H1495" s="115" t="str">
        <x:v>L 920 ; l 1480 ; hauteur 12,36 m ; choix de composition auteur ; dimensions réelles à documenter</x:v>
      </x:c>
      <x:c r="I1495" s="115" t="str">
        <x:v>À équilibrer</x:v>
      </x:c>
      <x:c r="J1495" s="115" t="str">
        <x:v>Non</x:v>
      </x:c>
      <x:c r="K1495" s="115" t="str">
        <x:v>Pièces décrites, murs, portes, niveaux et mobilier inspectables à l’échelle. Volumes réservés, raccord au seed, butin, rencontres et services de campagne restent à terminer.</x:v>
      </x:c>
    </x:row>
    <x:row r="1496" ht="96" customHeight="1">
      <x:c r="A1496" s="115" t="str">
        <x:v>EXT-MONDE-T030-V41</x:v>
      </x:c>
      <x:c r="B1496" s="115" t="str">
        <x:v>EXT-MONDE-T030</x:v>
      </x:c>
      <x:c r="C1496" s="115" t="str">
        <x:v>Ponts</x:v>
      </x:c>
      <x:c r="D1496" s="115" t="str">
        <x:v>Pont à arches</x:v>
      </x:c>
      <x:c r="E1496" s="115" t="n">
        <x:v>41</x:v>
      </x:c>
      <x:c r="F1496" s="115" t="str">
        <x:v>Inspection physique</x:v>
      </x:c>
      <x:c r="G1496" s="115" t="str">
        <x:v>1 niveaux ; 34 pièces ; 260 segments de mur ; 0 transitions. Inspection physique ; architecture complète encore ouverte.</x:v>
      </x:c>
      <x:c r="H1496" s="115" t="str">
        <x:v>L 1000 ; l 1640 ; hauteur 12 m ; choix de composition auteur ; dimensions réelles à documenter</x:v>
      </x:c>
      <x:c r="I1496" s="115" t="str">
        <x:v>À équilibrer</x:v>
      </x:c>
      <x:c r="J1496" s="115" t="str">
        <x:v>Non</x:v>
      </x:c>
      <x:c r="K1496" s="115" t="str">
        <x:v>Pièces décrites, murs, portes, niveaux et mobilier inspectables à l’échelle. Volumes réservés, raccord au seed, butin, rencontres et services de campagne restent à terminer.</x:v>
      </x:c>
    </x:row>
    <x:row r="1497" ht="96" customHeight="1">
      <x:c r="A1497" s="115" t="str">
        <x:v>EXT-MONDE-T030-V42</x:v>
      </x:c>
      <x:c r="B1497" s="115" t="str">
        <x:v>EXT-MONDE-T030</x:v>
      </x:c>
      <x:c r="C1497" s="115" t="str">
        <x:v>Ponts</x:v>
      </x:c>
      <x:c r="D1497" s="115" t="str">
        <x:v>Pont à arches</x:v>
      </x:c>
      <x:c r="E1497" s="115" t="n">
        <x:v>42</x:v>
      </x:c>
      <x:c r="F1497" s="115" t="str">
        <x:v>Inspection physique</x:v>
      </x:c>
      <x:c r="G1497" s="115" t="str">
        <x:v>1 niveaux ; 34 pièces ; 260 segments de mur ; 0 transitions. Inspection physique ; architecture complète encore ouverte.</x:v>
      </x:c>
      <x:c r="H1497" s="115" t="str">
        <x:v>L 1000 ; l 1640 ; hauteur 12,04 m ; choix de composition auteur ; dimensions réelles à documenter</x:v>
      </x:c>
      <x:c r="I1497" s="115" t="str">
        <x:v>À équilibrer</x:v>
      </x:c>
      <x:c r="J1497" s="115" t="str">
        <x:v>Non</x:v>
      </x:c>
      <x:c r="K1497" s="115" t="str">
        <x:v>Pièces décrites, murs, portes, niveaux et mobilier inspectables à l’échelle. Volumes réservés, raccord au seed, butin, rencontres et services de campagne restent à terminer.</x:v>
      </x:c>
    </x:row>
    <x:row r="1498" ht="96" customHeight="1">
      <x:c r="A1498" s="115" t="str">
        <x:v>EXT-MONDE-T030-V43</x:v>
      </x:c>
      <x:c r="B1498" s="115" t="str">
        <x:v>EXT-MONDE-T030</x:v>
      </x:c>
      <x:c r="C1498" s="115" t="str">
        <x:v>Ponts</x:v>
      </x:c>
      <x:c r="D1498" s="115" t="str">
        <x:v>Pont à arches</x:v>
      </x:c>
      <x:c r="E1498" s="115" t="n">
        <x:v>43</x:v>
      </x:c>
      <x:c r="F1498" s="115" t="str">
        <x:v>Inspection physique</x:v>
      </x:c>
      <x:c r="G1498" s="115" t="str">
        <x:v>1 niveaux ; 34 pièces ; 260 segments de mur ; 0 transitions. Inspection physique ; architecture complète encore ouverte.</x:v>
      </x:c>
      <x:c r="H1498" s="115" t="str">
        <x:v>L 1000 ; l 1640 ; hauteur 12,08 m ; choix de composition auteur ; dimensions réelles à documenter</x:v>
      </x:c>
      <x:c r="I1498" s="115" t="str">
        <x:v>À équilibrer</x:v>
      </x:c>
      <x:c r="J1498" s="115" t="str">
        <x:v>Non</x:v>
      </x:c>
      <x:c r="K1498" s="115" t="str">
        <x:v>Pièces décrites, murs, portes, niveaux et mobilier inspectables à l’échelle. Volumes réservés, raccord au seed, butin, rencontres et services de campagne restent à terminer.</x:v>
      </x:c>
    </x:row>
    <x:row r="1499" ht="96" customHeight="1">
      <x:c r="A1499" s="115" t="str">
        <x:v>EXT-MONDE-T030-V44</x:v>
      </x:c>
      <x:c r="B1499" s="115" t="str">
        <x:v>EXT-MONDE-T030</x:v>
      </x:c>
      <x:c r="C1499" s="115" t="str">
        <x:v>Ponts</x:v>
      </x:c>
      <x:c r="D1499" s="115" t="str">
        <x:v>Pont à arches</x:v>
      </x:c>
      <x:c r="E1499" s="115" t="n">
        <x:v>44</x:v>
      </x:c>
      <x:c r="F1499" s="115" t="str">
        <x:v>Inspection physique</x:v>
      </x:c>
      <x:c r="G1499" s="115" t="str">
        <x:v>1 niveaux ; 34 pièces ; 260 segments de mur ; 0 transitions. Inspection physique ; architecture complète encore ouverte.</x:v>
      </x:c>
      <x:c r="H1499" s="115" t="str">
        <x:v>L 1000 ; l 1640 ; hauteur 12,12 m ; choix de composition auteur ; dimensions réelles à documenter</x:v>
      </x:c>
      <x:c r="I1499" s="115" t="str">
        <x:v>À équilibrer</x:v>
      </x:c>
      <x:c r="J1499" s="115" t="str">
        <x:v>Non</x:v>
      </x:c>
      <x:c r="K1499" s="115" t="str">
        <x:v>Pièces décrites, murs, portes, niveaux et mobilier inspectables à l’échelle. Volumes réservés, raccord au seed, butin, rencontres et services de campagne restent à terminer.</x:v>
      </x:c>
    </x:row>
    <x:row r="1500" ht="96" customHeight="1">
      <x:c r="A1500" s="115" t="str">
        <x:v>EXT-MONDE-T030-V45</x:v>
      </x:c>
      <x:c r="B1500" s="115" t="str">
        <x:v>EXT-MONDE-T030</x:v>
      </x:c>
      <x:c r="C1500" s="115" t="str">
        <x:v>Ponts</x:v>
      </x:c>
      <x:c r="D1500" s="115" t="str">
        <x:v>Pont à arches</x:v>
      </x:c>
      <x:c r="E1500" s="115" t="n">
        <x:v>45</x:v>
      </x:c>
      <x:c r="F1500" s="115" t="str">
        <x:v>Inspection physique</x:v>
      </x:c>
      <x:c r="G1500" s="115" t="str">
        <x:v>1 niveaux ; 34 pièces ; 260 segments de mur ; 0 transitions. Inspection physique ; architecture complète encore ouverte.</x:v>
      </x:c>
      <x:c r="H1500" s="115" t="str">
        <x:v>L 1000 ; l 1640 ; hauteur 12,16 m ; choix de composition auteur ; dimensions réelles à documenter</x:v>
      </x:c>
      <x:c r="I1500" s="115" t="str">
        <x:v>À équilibrer</x:v>
      </x:c>
      <x:c r="J1500" s="115" t="str">
        <x:v>Non</x:v>
      </x:c>
      <x:c r="K1500" s="115" t="str">
        <x:v>Pièces décrites, murs, portes, niveaux et mobilier inspectables à l’échelle. Volumes réservés, raccord au seed, butin, rencontres et services de campagne restent à terminer.</x:v>
      </x:c>
    </x:row>
    <x:row r="1501" ht="96" customHeight="1">
      <x:c r="A1501" s="115" t="str">
        <x:v>EXT-MONDE-T030-V46</x:v>
      </x:c>
      <x:c r="B1501" s="115" t="str">
        <x:v>EXT-MONDE-T030</x:v>
      </x:c>
      <x:c r="C1501" s="115" t="str">
        <x:v>Ponts</x:v>
      </x:c>
      <x:c r="D1501" s="115" t="str">
        <x:v>Pont à arches</x:v>
      </x:c>
      <x:c r="E1501" s="115" t="n">
        <x:v>46</x:v>
      </x:c>
      <x:c r="F1501" s="115" t="str">
        <x:v>Inspection physique</x:v>
      </x:c>
      <x:c r="G1501" s="115" t="str">
        <x:v>1 niveaux ; 34 pièces ; 260 segments de mur ; 0 transitions. Inspection physique ; architecture complète encore ouverte.</x:v>
      </x:c>
      <x:c r="H1501" s="115" t="str">
        <x:v>L 1000 ; l 1640 ; hauteur 12,2 m ; choix de composition auteur ; dimensions réelles à documenter</x:v>
      </x:c>
      <x:c r="I1501" s="115" t="str">
        <x:v>À équilibrer</x:v>
      </x:c>
      <x:c r="J1501" s="115" t="str">
        <x:v>Non</x:v>
      </x:c>
      <x:c r="K1501" s="115" t="str">
        <x:v>Pièces décrites, murs, portes, niveaux et mobilier inspectables à l’échelle. Volumes réservés, raccord au seed, butin, rencontres et services de campagne restent à terminer.</x:v>
      </x:c>
    </x:row>
    <x:row r="1502" ht="96" customHeight="1">
      <x:c r="A1502" s="115" t="str">
        <x:v>EXT-MONDE-T030-V47</x:v>
      </x:c>
      <x:c r="B1502" s="115" t="str">
        <x:v>EXT-MONDE-T030</x:v>
      </x:c>
      <x:c r="C1502" s="115" t="str">
        <x:v>Ponts</x:v>
      </x:c>
      <x:c r="D1502" s="115" t="str">
        <x:v>Pont à arches</x:v>
      </x:c>
      <x:c r="E1502" s="115" t="n">
        <x:v>47</x:v>
      </x:c>
      <x:c r="F1502" s="115" t="str">
        <x:v>Inspection physique</x:v>
      </x:c>
      <x:c r="G1502" s="115" t="str">
        <x:v>1 niveaux ; 34 pièces ; 260 segments de mur ; 0 transitions. Inspection physique ; architecture complète encore ouverte.</x:v>
      </x:c>
      <x:c r="H1502" s="115" t="str">
        <x:v>L 1000 ; l 1640 ; hauteur 12,24 m ; choix de composition auteur ; dimensions réelles à documenter</x:v>
      </x:c>
      <x:c r="I1502" s="115" t="str">
        <x:v>À équilibrer</x:v>
      </x:c>
      <x:c r="J1502" s="115" t="str">
        <x:v>Non</x:v>
      </x:c>
      <x:c r="K1502" s="115" t="str">
        <x:v>Pièces décrites, murs, portes, niveaux et mobilier inspectables à l’échelle. Volumes réservés, raccord au seed, butin, rencontres et services de campagne restent à terminer.</x:v>
      </x:c>
    </x:row>
    <x:row r="1503" ht="96" customHeight="1">
      <x:c r="A1503" s="115" t="str">
        <x:v>EXT-MONDE-T030-V48</x:v>
      </x:c>
      <x:c r="B1503" s="115" t="str">
        <x:v>EXT-MONDE-T030</x:v>
      </x:c>
      <x:c r="C1503" s="115" t="str">
        <x:v>Ponts</x:v>
      </x:c>
      <x:c r="D1503" s="115" t="str">
        <x:v>Pont à arches</x:v>
      </x:c>
      <x:c r="E1503" s="115" t="n">
        <x:v>48</x:v>
      </x:c>
      <x:c r="F1503" s="115" t="str">
        <x:v>Inspection physique</x:v>
      </x:c>
      <x:c r="G1503" s="115" t="str">
        <x:v>1 niveaux ; 34 pièces ; 260 segments de mur ; 0 transitions. Inspection physique ; architecture complète encore ouverte.</x:v>
      </x:c>
      <x:c r="H1503" s="115" t="str">
        <x:v>L 1000 ; l 1640 ; hauteur 12,28 m ; choix de composition auteur ; dimensions réelles à documenter</x:v>
      </x:c>
      <x:c r="I1503" s="115" t="str">
        <x:v>À équilibrer</x:v>
      </x:c>
      <x:c r="J1503" s="115" t="str">
        <x:v>Non</x:v>
      </x:c>
      <x:c r="K1503" s="115" t="str">
        <x:v>Pièces décrites, murs, portes, niveaux et mobilier inspectables à l’échelle. Volumes réservés, raccord au seed, butin, rencontres et services de campagne restent à terminer.</x:v>
      </x:c>
    </x:row>
    <x:row r="1504" ht="96" customHeight="1">
      <x:c r="A1504" s="115" t="str">
        <x:v>EXT-MONDE-T030-V49</x:v>
      </x:c>
      <x:c r="B1504" s="115" t="str">
        <x:v>EXT-MONDE-T030</x:v>
      </x:c>
      <x:c r="C1504" s="115" t="str">
        <x:v>Ponts</x:v>
      </x:c>
      <x:c r="D1504" s="115" t="str">
        <x:v>Pont à arches</x:v>
      </x:c>
      <x:c r="E1504" s="115" t="n">
        <x:v>49</x:v>
      </x:c>
      <x:c r="F1504" s="115" t="str">
        <x:v>Inspection physique</x:v>
      </x:c>
      <x:c r="G1504" s="115" t="str">
        <x:v>1 niveaux ; 34 pièces ; 260 segments de mur ; 0 transitions. Inspection physique ; architecture complète encore ouverte.</x:v>
      </x:c>
      <x:c r="H1504" s="115" t="str">
        <x:v>L 1000 ; l 1640 ; hauteur 12,32 m ; choix de composition auteur ; dimensions réelles à documenter</x:v>
      </x:c>
      <x:c r="I1504" s="115" t="str">
        <x:v>À équilibrer</x:v>
      </x:c>
      <x:c r="J1504" s="115" t="str">
        <x:v>Non</x:v>
      </x:c>
      <x:c r="K1504" s="115" t="str">
        <x:v>Pièces décrites, murs, portes, niveaux et mobilier inspectables à l’échelle. Volumes réservés, raccord au seed, butin, rencontres et services de campagne restent à terminer.</x:v>
      </x:c>
    </x:row>
    <x:row r="1505" ht="96" customHeight="1">
      <x:c r="A1505" s="115" t="str">
        <x:v>EXT-MONDE-T030-V50</x:v>
      </x:c>
      <x:c r="B1505" s="115" t="str">
        <x:v>EXT-MONDE-T030</x:v>
      </x:c>
      <x:c r="C1505" s="115" t="str">
        <x:v>Ponts</x:v>
      </x:c>
      <x:c r="D1505" s="115" t="str">
        <x:v>Pont à arches</x:v>
      </x:c>
      <x:c r="E1505" s="115" t="n">
        <x:v>50</x:v>
      </x:c>
      <x:c r="F1505" s="115" t="str">
        <x:v>Inspection physique</x:v>
      </x:c>
      <x:c r="G1505" s="115" t="str">
        <x:v>1 niveaux ; 34 pièces ; 260 segments de mur ; 0 transitions. Inspection physique ; architecture complète encore ouverte.</x:v>
      </x:c>
      <x:c r="H1505" s="115" t="str">
        <x:v>L 1000 ; l 1640 ; hauteur 12,36 m ; choix de composition auteur ; dimensions réelles à documenter</x:v>
      </x:c>
      <x:c r="I1505" s="115" t="str">
        <x:v>À équilibrer</x:v>
      </x:c>
      <x:c r="J1505" s="115" t="str">
        <x:v>Non</x:v>
      </x:c>
      <x:c r="K1505" s="115" t="str">
        <x:v>Pièces décrites, murs, portes, niveaux et mobilier inspectables à l’échelle. Volumes réservés, raccord au seed, butin, rencontres et services de campagne restent à terminer.</x:v>
      </x:c>
    </x:row>
    <x:row r="1506" ht="96" customHeight="1">
      <x:c r="A1506" s="115" t="str">
        <x:v>EXT-MONDE-T031-V01</x:v>
      </x:c>
      <x:c r="B1506" s="115" t="str">
        <x:v>EXT-MONDE-T031</x:v>
      </x:c>
      <x:c r="C1506" s="115" t="str">
        <x:v>Ponts</x:v>
      </x:c>
      <x:c r="D1506" s="115" t="str">
        <x:v>Pont levant portuaire</x:v>
      </x:c>
      <x:c r="E1506" s="115" t="n">
        <x:v>1</x:v>
      </x:c>
      <x:c r="F1506" s="115" t="str">
        <x:v>Inspection physique</x:v>
      </x:c>
      <x:c r="G1506" s="115" t="str">
        <x:v>1 niveaux ; 34 pièces ; 260 segments de mur ; 0 transitions. Inspection physique ; architecture complète encore ouverte.</x:v>
      </x:c>
      <x:c r="H1506" s="115" t="str">
        <x:v>L 660 ; l 900 ; hauteur 28,5 m ; choix de composition auteur ; dimensions réelles à documenter</x:v>
      </x:c>
      <x:c r="I1506" s="115" t="str">
        <x:v>À équilibrer</x:v>
      </x:c>
      <x:c r="J1506" s="115" t="str">
        <x:v>Non</x:v>
      </x:c>
      <x:c r="K1506" s="115" t="str">
        <x:v>Pièces décrites, murs, portes, niveaux et mobilier inspectables à l’échelle. Volumes réservés, raccord au seed, butin, rencontres et services de campagne restent à terminer.</x:v>
      </x:c>
    </x:row>
    <x:row r="1507" ht="96" customHeight="1">
      <x:c r="A1507" s="115" t="str">
        <x:v>EXT-MONDE-T031-V02</x:v>
      </x:c>
      <x:c r="B1507" s="115" t="str">
        <x:v>EXT-MONDE-T031</x:v>
      </x:c>
      <x:c r="C1507" s="115" t="str">
        <x:v>Ponts</x:v>
      </x:c>
      <x:c r="D1507" s="115" t="str">
        <x:v>Pont levant portuaire</x:v>
      </x:c>
      <x:c r="E1507" s="115" t="n">
        <x:v>2</x:v>
      </x:c>
      <x:c r="F1507" s="115" t="str">
        <x:v>Inspection physique</x:v>
      </x:c>
      <x:c r="G1507" s="115" t="str">
        <x:v>1 niveaux ; 34 pièces ; 260 segments de mur ; 0 transitions. Inspection physique ; architecture complète encore ouverte.</x:v>
      </x:c>
      <x:c r="H1507" s="115" t="str">
        <x:v>L 660 ; l 900 ; hauteur 28,54 m ; choix de composition auteur ; dimensions réelles à documenter</x:v>
      </x:c>
      <x:c r="I1507" s="115" t="str">
        <x:v>À équilibrer</x:v>
      </x:c>
      <x:c r="J1507" s="115" t="str">
        <x:v>Non</x:v>
      </x:c>
      <x:c r="K1507" s="115" t="str">
        <x:v>Pièces décrites, murs, portes, niveaux et mobilier inspectables à l’échelle. Volumes réservés, raccord au seed, butin, rencontres et services de campagne restent à terminer.</x:v>
      </x:c>
    </x:row>
    <x:row r="1508" ht="96" customHeight="1">
      <x:c r="A1508" s="115" t="str">
        <x:v>EXT-MONDE-T031-V03</x:v>
      </x:c>
      <x:c r="B1508" s="115" t="str">
        <x:v>EXT-MONDE-T031</x:v>
      </x:c>
      <x:c r="C1508" s="115" t="str">
        <x:v>Ponts</x:v>
      </x:c>
      <x:c r="D1508" s="115" t="str">
        <x:v>Pont levant portuaire</x:v>
      </x:c>
      <x:c r="E1508" s="115" t="n">
        <x:v>3</x:v>
      </x:c>
      <x:c r="F1508" s="115" t="str">
        <x:v>Inspection physique</x:v>
      </x:c>
      <x:c r="G1508" s="115" t="str">
        <x:v>1 niveaux ; 34 pièces ; 260 segments de mur ; 0 transitions. Inspection physique ; architecture complète encore ouverte.</x:v>
      </x:c>
      <x:c r="H1508" s="115" t="str">
        <x:v>L 660 ; l 900 ; hauteur 28,58 m ; choix de composition auteur ; dimensions réelles à documenter</x:v>
      </x:c>
      <x:c r="I1508" s="115" t="str">
        <x:v>À équilibrer</x:v>
      </x:c>
      <x:c r="J1508" s="115" t="str">
        <x:v>Non</x:v>
      </x:c>
      <x:c r="K1508" s="115" t="str">
        <x:v>Pièces décrites, murs, portes, niveaux et mobilier inspectables à l’échelle. Volumes réservés, raccord au seed, butin, rencontres et services de campagne restent à terminer.</x:v>
      </x:c>
    </x:row>
    <x:row r="1509" ht="96" customHeight="1">
      <x:c r="A1509" s="115" t="str">
        <x:v>EXT-MONDE-T031-V04</x:v>
      </x:c>
      <x:c r="B1509" s="115" t="str">
        <x:v>EXT-MONDE-T031</x:v>
      </x:c>
      <x:c r="C1509" s="115" t="str">
        <x:v>Ponts</x:v>
      </x:c>
      <x:c r="D1509" s="115" t="str">
        <x:v>Pont levant portuaire</x:v>
      </x:c>
      <x:c r="E1509" s="115" t="n">
        <x:v>4</x:v>
      </x:c>
      <x:c r="F1509" s="115" t="str">
        <x:v>Inspection physique</x:v>
      </x:c>
      <x:c r="G1509" s="115" t="str">
        <x:v>1 niveaux ; 34 pièces ; 260 segments de mur ; 0 transitions. Inspection physique ; architecture complète encore ouverte.</x:v>
      </x:c>
      <x:c r="H1509" s="115" t="str">
        <x:v>L 660 ; l 900 ; hauteur 28,62 m ; choix de composition auteur ; dimensions réelles à documenter</x:v>
      </x:c>
      <x:c r="I1509" s="115" t="str">
        <x:v>À équilibrer</x:v>
      </x:c>
      <x:c r="J1509" s="115" t="str">
        <x:v>Non</x:v>
      </x:c>
      <x:c r="K1509" s="115" t="str">
        <x:v>Pièces décrites, murs, portes, niveaux et mobilier inspectables à l’échelle. Volumes réservés, raccord au seed, butin, rencontres et services de campagne restent à terminer.</x:v>
      </x:c>
    </x:row>
    <x:row r="1510" ht="96" customHeight="1">
      <x:c r="A1510" s="115" t="str">
        <x:v>EXT-MONDE-T031-V05</x:v>
      </x:c>
      <x:c r="B1510" s="115" t="str">
        <x:v>EXT-MONDE-T031</x:v>
      </x:c>
      <x:c r="C1510" s="115" t="str">
        <x:v>Ponts</x:v>
      </x:c>
      <x:c r="D1510" s="115" t="str">
        <x:v>Pont levant portuaire</x:v>
      </x:c>
      <x:c r="E1510" s="115" t="n">
        <x:v>5</x:v>
      </x:c>
      <x:c r="F1510" s="115" t="str">
        <x:v>Inspection physique</x:v>
      </x:c>
      <x:c r="G1510" s="115" t="str">
        <x:v>1 niveaux ; 34 pièces ; 260 segments de mur ; 0 transitions. Inspection physique ; architecture complète encore ouverte.</x:v>
      </x:c>
      <x:c r="H1510" s="115" t="str">
        <x:v>L 660 ; l 900 ; hauteur 28,66 m ; choix de composition auteur ; dimensions réelles à documenter</x:v>
      </x:c>
      <x:c r="I1510" s="115" t="str">
        <x:v>À équilibrer</x:v>
      </x:c>
      <x:c r="J1510" s="115" t="str">
        <x:v>Non</x:v>
      </x:c>
      <x:c r="K1510" s="115" t="str">
        <x:v>Pièces décrites, murs, portes, niveaux et mobilier inspectables à l’échelle. Volumes réservés, raccord au seed, butin, rencontres et services de campagne restent à terminer.</x:v>
      </x:c>
    </x:row>
    <x:row r="1511" ht="96" customHeight="1">
      <x:c r="A1511" s="115" t="str">
        <x:v>EXT-MONDE-T031-V06</x:v>
      </x:c>
      <x:c r="B1511" s="115" t="str">
        <x:v>EXT-MONDE-T031</x:v>
      </x:c>
      <x:c r="C1511" s="115" t="str">
        <x:v>Ponts</x:v>
      </x:c>
      <x:c r="D1511" s="115" t="str">
        <x:v>Pont levant portuaire</x:v>
      </x:c>
      <x:c r="E1511" s="115" t="n">
        <x:v>6</x:v>
      </x:c>
      <x:c r="F1511" s="115" t="str">
        <x:v>Inspection physique</x:v>
      </x:c>
      <x:c r="G1511" s="115" t="str">
        <x:v>1 niveaux ; 34 pièces ; 260 segments de mur ; 0 transitions. Inspection physique ; architecture complète encore ouverte.</x:v>
      </x:c>
      <x:c r="H1511" s="115" t="str">
        <x:v>L 660 ; l 900 ; hauteur 28,7 m ; choix de composition auteur ; dimensions réelles à documenter</x:v>
      </x:c>
      <x:c r="I1511" s="115" t="str">
        <x:v>À équilibrer</x:v>
      </x:c>
      <x:c r="J1511" s="115" t="str">
        <x:v>Non</x:v>
      </x:c>
      <x:c r="K1511" s="115" t="str">
        <x:v>Pièces décrites, murs, portes, niveaux et mobilier inspectables à l’échelle. Volumes réservés, raccord au seed, butin, rencontres et services de campagne restent à terminer.</x:v>
      </x:c>
    </x:row>
    <x:row r="1512" ht="96" customHeight="1">
      <x:c r="A1512" s="115" t="str">
        <x:v>EXT-MONDE-T031-V07</x:v>
      </x:c>
      <x:c r="B1512" s="115" t="str">
        <x:v>EXT-MONDE-T031</x:v>
      </x:c>
      <x:c r="C1512" s="115" t="str">
        <x:v>Ponts</x:v>
      </x:c>
      <x:c r="D1512" s="115" t="str">
        <x:v>Pont levant portuaire</x:v>
      </x:c>
      <x:c r="E1512" s="115" t="n">
        <x:v>7</x:v>
      </x:c>
      <x:c r="F1512" s="115" t="str">
        <x:v>Inspection physique</x:v>
      </x:c>
      <x:c r="G1512" s="115" t="str">
        <x:v>1 niveaux ; 34 pièces ; 260 segments de mur ; 0 transitions. Inspection physique ; architecture complète encore ouverte.</x:v>
      </x:c>
      <x:c r="H1512" s="115" t="str">
        <x:v>L 660 ; l 900 ; hauteur 28,74 m ; choix de composition auteur ; dimensions réelles à documenter</x:v>
      </x:c>
      <x:c r="I1512" s="115" t="str">
        <x:v>À équilibrer</x:v>
      </x:c>
      <x:c r="J1512" s="115" t="str">
        <x:v>Non</x:v>
      </x:c>
      <x:c r="K1512" s="115" t="str">
        <x:v>Pièces décrites, murs, portes, niveaux et mobilier inspectables à l’échelle. Volumes réservés, raccord au seed, butin, rencontres et services de campagne restent à terminer.</x:v>
      </x:c>
    </x:row>
    <x:row r="1513" ht="96" customHeight="1">
      <x:c r="A1513" s="115" t="str">
        <x:v>EXT-MONDE-T031-V08</x:v>
      </x:c>
      <x:c r="B1513" s="115" t="str">
        <x:v>EXT-MONDE-T031</x:v>
      </x:c>
      <x:c r="C1513" s="115" t="str">
        <x:v>Ponts</x:v>
      </x:c>
      <x:c r="D1513" s="115" t="str">
        <x:v>Pont levant portuaire</x:v>
      </x:c>
      <x:c r="E1513" s="115" t="n">
        <x:v>8</x:v>
      </x:c>
      <x:c r="F1513" s="115" t="str">
        <x:v>Inspection physique</x:v>
      </x:c>
      <x:c r="G1513" s="115" t="str">
        <x:v>1 niveaux ; 34 pièces ; 260 segments de mur ; 0 transitions. Inspection physique ; architecture complète encore ouverte.</x:v>
      </x:c>
      <x:c r="H1513" s="115" t="str">
        <x:v>L 660 ; l 900 ; hauteur 28,78 m ; choix de composition auteur ; dimensions réelles à documenter</x:v>
      </x:c>
      <x:c r="I1513" s="115" t="str">
        <x:v>À équilibrer</x:v>
      </x:c>
      <x:c r="J1513" s="115" t="str">
        <x:v>Non</x:v>
      </x:c>
      <x:c r="K1513" s="115" t="str">
        <x:v>Pièces décrites, murs, portes, niveaux et mobilier inspectables à l’échelle. Volumes réservés, raccord au seed, butin, rencontres et services de campagne restent à terminer.</x:v>
      </x:c>
    </x:row>
    <x:row r="1514" ht="96" customHeight="1">
      <x:c r="A1514" s="115" t="str">
        <x:v>EXT-MONDE-T031-V09</x:v>
      </x:c>
      <x:c r="B1514" s="115" t="str">
        <x:v>EXT-MONDE-T031</x:v>
      </x:c>
      <x:c r="C1514" s="115" t="str">
        <x:v>Ponts</x:v>
      </x:c>
      <x:c r="D1514" s="115" t="str">
        <x:v>Pont levant portuaire</x:v>
      </x:c>
      <x:c r="E1514" s="115" t="n">
        <x:v>9</x:v>
      </x:c>
      <x:c r="F1514" s="115" t="str">
        <x:v>Inspection physique</x:v>
      </x:c>
      <x:c r="G1514" s="115" t="str">
        <x:v>1 niveaux ; 34 pièces ; 260 segments de mur ; 0 transitions. Inspection physique ; architecture complète encore ouverte.</x:v>
      </x:c>
      <x:c r="H1514" s="115" t="str">
        <x:v>L 660 ; l 900 ; hauteur 28,82 m ; choix de composition auteur ; dimensions réelles à documenter</x:v>
      </x:c>
      <x:c r="I1514" s="115" t="str">
        <x:v>À équilibrer</x:v>
      </x:c>
      <x:c r="J1514" s="115" t="str">
        <x:v>Non</x:v>
      </x:c>
      <x:c r="K1514" s="115" t="str">
        <x:v>Pièces décrites, murs, portes, niveaux et mobilier inspectables à l’échelle. Volumes réservés, raccord au seed, butin, rencontres et services de campagne restent à terminer.</x:v>
      </x:c>
    </x:row>
    <x:row r="1515" ht="96" customHeight="1">
      <x:c r="A1515" s="115" t="str">
        <x:v>EXT-MONDE-T031-V10</x:v>
      </x:c>
      <x:c r="B1515" s="115" t="str">
        <x:v>EXT-MONDE-T031</x:v>
      </x:c>
      <x:c r="C1515" s="115" t="str">
        <x:v>Ponts</x:v>
      </x:c>
      <x:c r="D1515" s="115" t="str">
        <x:v>Pont levant portuaire</x:v>
      </x:c>
      <x:c r="E1515" s="115" t="n">
        <x:v>10</x:v>
      </x:c>
      <x:c r="F1515" s="115" t="str">
        <x:v>Inspection physique</x:v>
      </x:c>
      <x:c r="G1515" s="115" t="str">
        <x:v>1 niveaux ; 34 pièces ; 260 segments de mur ; 0 transitions. Inspection physique ; architecture complète encore ouverte.</x:v>
      </x:c>
      <x:c r="H1515" s="115" t="str">
        <x:v>L 660 ; l 900 ; hauteur 28,86 m ; choix de composition auteur ; dimensions réelles à documenter</x:v>
      </x:c>
      <x:c r="I1515" s="115" t="str">
        <x:v>À équilibrer</x:v>
      </x:c>
      <x:c r="J1515" s="115" t="str">
        <x:v>Non</x:v>
      </x:c>
      <x:c r="K1515" s="115" t="str">
        <x:v>Pièces décrites, murs, portes, niveaux et mobilier inspectables à l’échelle. Volumes réservés, raccord au seed, butin, rencontres et services de campagne restent à terminer.</x:v>
      </x:c>
    </x:row>
    <x:row r="1516" ht="96" customHeight="1">
      <x:c r="A1516" s="115" t="str">
        <x:v>EXT-MONDE-T031-V11</x:v>
      </x:c>
      <x:c r="B1516" s="115" t="str">
        <x:v>EXT-MONDE-T031</x:v>
      </x:c>
      <x:c r="C1516" s="115" t="str">
        <x:v>Ponts</x:v>
      </x:c>
      <x:c r="D1516" s="115" t="str">
        <x:v>Pont levant portuaire</x:v>
      </x:c>
      <x:c r="E1516" s="115" t="n">
        <x:v>11</x:v>
      </x:c>
      <x:c r="F1516" s="115" t="str">
        <x:v>Inspection physique</x:v>
      </x:c>
      <x:c r="G1516" s="115" t="str">
        <x:v>1 niveaux ; 34 pièces ; 260 segments de mur ; 0 transitions. Inspection physique ; architecture complète encore ouverte.</x:v>
      </x:c>
      <x:c r="H1516" s="115" t="str">
        <x:v>L 740 ; l 1060 ; hauteur 30,5 m ; choix de composition auteur ; dimensions réelles à documenter</x:v>
      </x:c>
      <x:c r="I1516" s="115" t="str">
        <x:v>À équilibrer</x:v>
      </x:c>
      <x:c r="J1516" s="115" t="str">
        <x:v>Non</x:v>
      </x:c>
      <x:c r="K1516" s="115" t="str">
        <x:v>Pièces décrites, murs, portes, niveaux et mobilier inspectables à l’échelle. Volumes réservés, raccord au seed, butin, rencontres et services de campagne restent à terminer.</x:v>
      </x:c>
    </x:row>
    <x:row r="1517" ht="96" customHeight="1">
      <x:c r="A1517" s="115" t="str">
        <x:v>EXT-MONDE-T031-V12</x:v>
      </x:c>
      <x:c r="B1517" s="115" t="str">
        <x:v>EXT-MONDE-T031</x:v>
      </x:c>
      <x:c r="C1517" s="115" t="str">
        <x:v>Ponts</x:v>
      </x:c>
      <x:c r="D1517" s="115" t="str">
        <x:v>Pont levant portuaire</x:v>
      </x:c>
      <x:c r="E1517" s="115" t="n">
        <x:v>12</x:v>
      </x:c>
      <x:c r="F1517" s="115" t="str">
        <x:v>Inspection physique</x:v>
      </x:c>
      <x:c r="G1517" s="115" t="str">
        <x:v>1 niveaux ; 34 pièces ; 260 segments de mur ; 0 transitions. Inspection physique ; architecture complète encore ouverte.</x:v>
      </x:c>
      <x:c r="H1517" s="115" t="str">
        <x:v>L 740 ; l 1060 ; hauteur 30,54 m ; choix de composition auteur ; dimensions réelles à documenter</x:v>
      </x:c>
      <x:c r="I1517" s="115" t="str">
        <x:v>À équilibrer</x:v>
      </x:c>
      <x:c r="J1517" s="115" t="str">
        <x:v>Non</x:v>
      </x:c>
      <x:c r="K1517" s="115" t="str">
        <x:v>Pièces décrites, murs, portes, niveaux et mobilier inspectables à l’échelle. Volumes réservés, raccord au seed, butin, rencontres et services de campagne restent à terminer.</x:v>
      </x:c>
    </x:row>
    <x:row r="1518" ht="96" customHeight="1">
      <x:c r="A1518" s="115" t="str">
        <x:v>EXT-MONDE-T031-V13</x:v>
      </x:c>
      <x:c r="B1518" s="115" t="str">
        <x:v>EXT-MONDE-T031</x:v>
      </x:c>
      <x:c r="C1518" s="115" t="str">
        <x:v>Ponts</x:v>
      </x:c>
      <x:c r="D1518" s="115" t="str">
        <x:v>Pont levant portuaire</x:v>
      </x:c>
      <x:c r="E1518" s="115" t="n">
        <x:v>13</x:v>
      </x:c>
      <x:c r="F1518" s="115" t="str">
        <x:v>Inspection physique</x:v>
      </x:c>
      <x:c r="G1518" s="115" t="str">
        <x:v>1 niveaux ; 34 pièces ; 260 segments de mur ; 0 transitions. Inspection physique ; architecture complète encore ouverte.</x:v>
      </x:c>
      <x:c r="H1518" s="115" t="str">
        <x:v>L 740 ; l 1060 ; hauteur 30,58 m ; choix de composition auteur ; dimensions réelles à documenter</x:v>
      </x:c>
      <x:c r="I1518" s="115" t="str">
        <x:v>À équilibrer</x:v>
      </x:c>
      <x:c r="J1518" s="115" t="str">
        <x:v>Non</x:v>
      </x:c>
      <x:c r="K1518" s="115" t="str">
        <x:v>Pièces décrites, murs, portes, niveaux et mobilier inspectables à l’échelle. Volumes réservés, raccord au seed, butin, rencontres et services de campagne restent à terminer.</x:v>
      </x:c>
    </x:row>
    <x:row r="1519" ht="96" customHeight="1">
      <x:c r="A1519" s="115" t="str">
        <x:v>EXT-MONDE-T031-V14</x:v>
      </x:c>
      <x:c r="B1519" s="115" t="str">
        <x:v>EXT-MONDE-T031</x:v>
      </x:c>
      <x:c r="C1519" s="115" t="str">
        <x:v>Ponts</x:v>
      </x:c>
      <x:c r="D1519" s="115" t="str">
        <x:v>Pont levant portuaire</x:v>
      </x:c>
      <x:c r="E1519" s="115" t="n">
        <x:v>14</x:v>
      </x:c>
      <x:c r="F1519" s="115" t="str">
        <x:v>Inspection physique</x:v>
      </x:c>
      <x:c r="G1519" s="115" t="str">
        <x:v>1 niveaux ; 34 pièces ; 260 segments de mur ; 0 transitions. Inspection physique ; architecture complète encore ouverte.</x:v>
      </x:c>
      <x:c r="H1519" s="115" t="str">
        <x:v>L 740 ; l 1060 ; hauteur 30,62 m ; choix de composition auteur ; dimensions réelles à documenter</x:v>
      </x:c>
      <x:c r="I1519" s="115" t="str">
        <x:v>À équilibrer</x:v>
      </x:c>
      <x:c r="J1519" s="115" t="str">
        <x:v>Non</x:v>
      </x:c>
      <x:c r="K1519" s="115" t="str">
        <x:v>Pièces décrites, murs, portes, niveaux et mobilier inspectables à l’échelle. Volumes réservés, raccord au seed, butin, rencontres et services de campagne restent à terminer.</x:v>
      </x:c>
    </x:row>
    <x:row r="1520" ht="96" customHeight="1">
      <x:c r="A1520" s="115" t="str">
        <x:v>EXT-MONDE-T031-V15</x:v>
      </x:c>
      <x:c r="B1520" s="115" t="str">
        <x:v>EXT-MONDE-T031</x:v>
      </x:c>
      <x:c r="C1520" s="115" t="str">
        <x:v>Ponts</x:v>
      </x:c>
      <x:c r="D1520" s="115" t="str">
        <x:v>Pont levant portuaire</x:v>
      </x:c>
      <x:c r="E1520" s="115" t="n">
        <x:v>15</x:v>
      </x:c>
      <x:c r="F1520" s="115" t="str">
        <x:v>Inspection physique</x:v>
      </x:c>
      <x:c r="G1520" s="115" t="str">
        <x:v>1 niveaux ; 34 pièces ; 260 segments de mur ; 0 transitions. Inspection physique ; architecture complète encore ouverte.</x:v>
      </x:c>
      <x:c r="H1520" s="115" t="str">
        <x:v>L 740 ; l 1060 ; hauteur 30,66 m ; choix de composition auteur ; dimensions réelles à documenter</x:v>
      </x:c>
      <x:c r="I1520" s="115" t="str">
        <x:v>À équilibrer</x:v>
      </x:c>
      <x:c r="J1520" s="115" t="str">
        <x:v>Non</x:v>
      </x:c>
      <x:c r="K1520" s="115" t="str">
        <x:v>Pièces décrites, murs, portes, niveaux et mobilier inspectables à l’échelle. Volumes réservés, raccord au seed, butin, rencontres et services de campagne restent à terminer.</x:v>
      </x:c>
    </x:row>
    <x:row r="1521" ht="96" customHeight="1">
      <x:c r="A1521" s="115" t="str">
        <x:v>EXT-MONDE-T031-V16</x:v>
      </x:c>
      <x:c r="B1521" s="115" t="str">
        <x:v>EXT-MONDE-T031</x:v>
      </x:c>
      <x:c r="C1521" s="115" t="str">
        <x:v>Ponts</x:v>
      </x:c>
      <x:c r="D1521" s="115" t="str">
        <x:v>Pont levant portuaire</x:v>
      </x:c>
      <x:c r="E1521" s="115" t="n">
        <x:v>16</x:v>
      </x:c>
      <x:c r="F1521" s="115" t="str">
        <x:v>Inspection physique</x:v>
      </x:c>
      <x:c r="G1521" s="115" t="str">
        <x:v>1 niveaux ; 34 pièces ; 260 segments de mur ; 0 transitions. Inspection physique ; architecture complète encore ouverte.</x:v>
      </x:c>
      <x:c r="H1521" s="115" t="str">
        <x:v>L 740 ; l 1060 ; hauteur 30,7 m ; choix de composition auteur ; dimensions réelles à documenter</x:v>
      </x:c>
      <x:c r="I1521" s="115" t="str">
        <x:v>À équilibrer</x:v>
      </x:c>
      <x:c r="J1521" s="115" t="str">
        <x:v>Non</x:v>
      </x:c>
      <x:c r="K1521" s="115" t="str">
        <x:v>Pièces décrites, murs, portes, niveaux et mobilier inspectables à l’échelle. Volumes réservés, raccord au seed, butin, rencontres et services de campagne restent à terminer.</x:v>
      </x:c>
    </x:row>
    <x:row r="1522" ht="96" customHeight="1">
      <x:c r="A1522" s="115" t="str">
        <x:v>EXT-MONDE-T031-V17</x:v>
      </x:c>
      <x:c r="B1522" s="115" t="str">
        <x:v>EXT-MONDE-T031</x:v>
      </x:c>
      <x:c r="C1522" s="115" t="str">
        <x:v>Ponts</x:v>
      </x:c>
      <x:c r="D1522" s="115" t="str">
        <x:v>Pont levant portuaire</x:v>
      </x:c>
      <x:c r="E1522" s="115" t="n">
        <x:v>17</x:v>
      </x:c>
      <x:c r="F1522" s="115" t="str">
        <x:v>Inspection physique</x:v>
      </x:c>
      <x:c r="G1522" s="115" t="str">
        <x:v>1 niveaux ; 34 pièces ; 260 segments de mur ; 0 transitions. Inspection physique ; architecture complète encore ouverte.</x:v>
      </x:c>
      <x:c r="H1522" s="115" t="str">
        <x:v>L 740 ; l 1060 ; hauteur 30,74 m ; choix de composition auteur ; dimensions réelles à documenter</x:v>
      </x:c>
      <x:c r="I1522" s="115" t="str">
        <x:v>À équilibrer</x:v>
      </x:c>
      <x:c r="J1522" s="115" t="str">
        <x:v>Non</x:v>
      </x:c>
      <x:c r="K1522" s="115" t="str">
        <x:v>Pièces décrites, murs, portes, niveaux et mobilier inspectables à l’échelle. Volumes réservés, raccord au seed, butin, rencontres et services de campagne restent à terminer.</x:v>
      </x:c>
    </x:row>
    <x:row r="1523" ht="96" customHeight="1">
      <x:c r="A1523" s="115" t="str">
        <x:v>EXT-MONDE-T031-V18</x:v>
      </x:c>
      <x:c r="B1523" s="115" t="str">
        <x:v>EXT-MONDE-T031</x:v>
      </x:c>
      <x:c r="C1523" s="115" t="str">
        <x:v>Ponts</x:v>
      </x:c>
      <x:c r="D1523" s="115" t="str">
        <x:v>Pont levant portuaire</x:v>
      </x:c>
      <x:c r="E1523" s="115" t="n">
        <x:v>18</x:v>
      </x:c>
      <x:c r="F1523" s="115" t="str">
        <x:v>Inspection physique</x:v>
      </x:c>
      <x:c r="G1523" s="115" t="str">
        <x:v>1 niveaux ; 34 pièces ; 260 segments de mur ; 0 transitions. Inspection physique ; architecture complète encore ouverte.</x:v>
      </x:c>
      <x:c r="H1523" s="115" t="str">
        <x:v>L 740 ; l 1060 ; hauteur 30,78 m ; choix de composition auteur ; dimensions réelles à documenter</x:v>
      </x:c>
      <x:c r="I1523" s="115" t="str">
        <x:v>À équilibrer</x:v>
      </x:c>
      <x:c r="J1523" s="115" t="str">
        <x:v>Non</x:v>
      </x:c>
      <x:c r="K1523" s="115" t="str">
        <x:v>Pièces décrites, murs, portes, niveaux et mobilier inspectables à l’échelle. Volumes réservés, raccord au seed, butin, rencontres et services de campagne restent à terminer.</x:v>
      </x:c>
    </x:row>
    <x:row r="1524" ht="96" customHeight="1">
      <x:c r="A1524" s="115" t="str">
        <x:v>EXT-MONDE-T031-V19</x:v>
      </x:c>
      <x:c r="B1524" s="115" t="str">
        <x:v>EXT-MONDE-T031</x:v>
      </x:c>
      <x:c r="C1524" s="115" t="str">
        <x:v>Ponts</x:v>
      </x:c>
      <x:c r="D1524" s="115" t="str">
        <x:v>Pont levant portuaire</x:v>
      </x:c>
      <x:c r="E1524" s="115" t="n">
        <x:v>19</x:v>
      </x:c>
      <x:c r="F1524" s="115" t="str">
        <x:v>Inspection physique</x:v>
      </x:c>
      <x:c r="G1524" s="115" t="str">
        <x:v>1 niveaux ; 34 pièces ; 260 segments de mur ; 0 transitions. Inspection physique ; architecture complète encore ouverte.</x:v>
      </x:c>
      <x:c r="H1524" s="115" t="str">
        <x:v>L 740 ; l 1060 ; hauteur 30,82 m ; choix de composition auteur ; dimensions réelles à documenter</x:v>
      </x:c>
      <x:c r="I1524" s="115" t="str">
        <x:v>À équilibrer</x:v>
      </x:c>
      <x:c r="J1524" s="115" t="str">
        <x:v>Non</x:v>
      </x:c>
      <x:c r="K1524" s="115" t="str">
        <x:v>Pièces décrites, murs, portes, niveaux et mobilier inspectables à l’échelle. Volumes réservés, raccord au seed, butin, rencontres et services de campagne restent à terminer.</x:v>
      </x:c>
    </x:row>
    <x:row r="1525" ht="96" customHeight="1">
      <x:c r="A1525" s="115" t="str">
        <x:v>EXT-MONDE-T031-V20</x:v>
      </x:c>
      <x:c r="B1525" s="115" t="str">
        <x:v>EXT-MONDE-T031</x:v>
      </x:c>
      <x:c r="C1525" s="115" t="str">
        <x:v>Ponts</x:v>
      </x:c>
      <x:c r="D1525" s="115" t="str">
        <x:v>Pont levant portuaire</x:v>
      </x:c>
      <x:c r="E1525" s="115" t="n">
        <x:v>20</x:v>
      </x:c>
      <x:c r="F1525" s="115" t="str">
        <x:v>Inspection physique</x:v>
      </x:c>
      <x:c r="G1525" s="115" t="str">
        <x:v>1 niveaux ; 34 pièces ; 260 segments de mur ; 0 transitions. Inspection physique ; architecture complète encore ouverte.</x:v>
      </x:c>
      <x:c r="H1525" s="115" t="str">
        <x:v>L 740 ; l 1060 ; hauteur 30,86 m ; choix de composition auteur ; dimensions réelles à documenter</x:v>
      </x:c>
      <x:c r="I1525" s="115" t="str">
        <x:v>À équilibrer</x:v>
      </x:c>
      <x:c r="J1525" s="115" t="str">
        <x:v>Non</x:v>
      </x:c>
      <x:c r="K1525" s="115" t="str">
        <x:v>Pièces décrites, murs, portes, niveaux et mobilier inspectables à l’échelle. Volumes réservés, raccord au seed, butin, rencontres et services de campagne restent à terminer.</x:v>
      </x:c>
    </x:row>
    <x:row r="1526" ht="96" customHeight="1">
      <x:c r="A1526" s="115" t="str">
        <x:v>EXT-MONDE-T031-V21</x:v>
      </x:c>
      <x:c r="B1526" s="115" t="str">
        <x:v>EXT-MONDE-T031</x:v>
      </x:c>
      <x:c r="C1526" s="115" t="str">
        <x:v>Ponts</x:v>
      </x:c>
      <x:c r="D1526" s="115" t="str">
        <x:v>Pont levant portuaire</x:v>
      </x:c>
      <x:c r="E1526" s="115" t="n">
        <x:v>21</x:v>
      </x:c>
      <x:c r="F1526" s="115" t="str">
        <x:v>Inspection physique</x:v>
      </x:c>
      <x:c r="G1526" s="115" t="str">
        <x:v>1 niveaux ; 34 pièces ; 260 segments de mur ; 0 transitions. Inspection physique ; architecture complète encore ouverte.</x:v>
      </x:c>
      <x:c r="H1526" s="115" t="str">
        <x:v>L 820 ; l 1220 ; hauteur 32,5 m ; choix de composition auteur ; dimensions réelles à documenter</x:v>
      </x:c>
      <x:c r="I1526" s="115" t="str">
        <x:v>À équilibrer</x:v>
      </x:c>
      <x:c r="J1526" s="115" t="str">
        <x:v>Non</x:v>
      </x:c>
      <x:c r="K1526" s="115" t="str">
        <x:v>Pièces décrites, murs, portes, niveaux et mobilier inspectables à l’échelle. Volumes réservés, raccord au seed, butin, rencontres et services de campagne restent à terminer.</x:v>
      </x:c>
    </x:row>
    <x:row r="1527" ht="96" customHeight="1">
      <x:c r="A1527" s="115" t="str">
        <x:v>EXT-MONDE-T031-V22</x:v>
      </x:c>
      <x:c r="B1527" s="115" t="str">
        <x:v>EXT-MONDE-T031</x:v>
      </x:c>
      <x:c r="C1527" s="115" t="str">
        <x:v>Ponts</x:v>
      </x:c>
      <x:c r="D1527" s="115" t="str">
        <x:v>Pont levant portuaire</x:v>
      </x:c>
      <x:c r="E1527" s="115" t="n">
        <x:v>22</x:v>
      </x:c>
      <x:c r="F1527" s="115" t="str">
        <x:v>Inspection physique</x:v>
      </x:c>
      <x:c r="G1527" s="115" t="str">
        <x:v>1 niveaux ; 34 pièces ; 260 segments de mur ; 0 transitions. Inspection physique ; architecture complète encore ouverte.</x:v>
      </x:c>
      <x:c r="H1527" s="115" t="str">
        <x:v>L 820 ; l 1220 ; hauteur 32,54 m ; choix de composition auteur ; dimensions réelles à documenter</x:v>
      </x:c>
      <x:c r="I1527" s="115" t="str">
        <x:v>À équilibrer</x:v>
      </x:c>
      <x:c r="J1527" s="115" t="str">
        <x:v>Non</x:v>
      </x:c>
      <x:c r="K1527" s="115" t="str">
        <x:v>Pièces décrites, murs, portes, niveaux et mobilier inspectables à l’échelle. Volumes réservés, raccord au seed, butin, rencontres et services de campagne restent à terminer.</x:v>
      </x:c>
    </x:row>
    <x:row r="1528" ht="96" customHeight="1">
      <x:c r="A1528" s="115" t="str">
        <x:v>EXT-MONDE-T031-V23</x:v>
      </x:c>
      <x:c r="B1528" s="115" t="str">
        <x:v>EXT-MONDE-T031</x:v>
      </x:c>
      <x:c r="C1528" s="115" t="str">
        <x:v>Ponts</x:v>
      </x:c>
      <x:c r="D1528" s="115" t="str">
        <x:v>Pont levant portuaire</x:v>
      </x:c>
      <x:c r="E1528" s="115" t="n">
        <x:v>23</x:v>
      </x:c>
      <x:c r="F1528" s="115" t="str">
        <x:v>Inspection physique</x:v>
      </x:c>
      <x:c r="G1528" s="115" t="str">
        <x:v>1 niveaux ; 34 pièces ; 260 segments de mur ; 0 transitions. Inspection physique ; architecture complète encore ouverte.</x:v>
      </x:c>
      <x:c r="H1528" s="115" t="str">
        <x:v>L 820 ; l 1220 ; hauteur 32,58 m ; choix de composition auteur ; dimensions réelles à documenter</x:v>
      </x:c>
      <x:c r="I1528" s="115" t="str">
        <x:v>À équilibrer</x:v>
      </x:c>
      <x:c r="J1528" s="115" t="str">
        <x:v>Non</x:v>
      </x:c>
      <x:c r="K1528" s="115" t="str">
        <x:v>Pièces décrites, murs, portes, niveaux et mobilier inspectables à l’échelle. Volumes réservés, raccord au seed, butin, rencontres et services de campagne restent à terminer.</x:v>
      </x:c>
    </x:row>
    <x:row r="1529" ht="96" customHeight="1">
      <x:c r="A1529" s="115" t="str">
        <x:v>EXT-MONDE-T031-V24</x:v>
      </x:c>
      <x:c r="B1529" s="115" t="str">
        <x:v>EXT-MONDE-T031</x:v>
      </x:c>
      <x:c r="C1529" s="115" t="str">
        <x:v>Ponts</x:v>
      </x:c>
      <x:c r="D1529" s="115" t="str">
        <x:v>Pont levant portuaire</x:v>
      </x:c>
      <x:c r="E1529" s="115" t="n">
        <x:v>24</x:v>
      </x:c>
      <x:c r="F1529" s="115" t="str">
        <x:v>Inspection physique</x:v>
      </x:c>
      <x:c r="G1529" s="115" t="str">
        <x:v>1 niveaux ; 34 pièces ; 260 segments de mur ; 0 transitions. Inspection physique ; architecture complète encore ouverte.</x:v>
      </x:c>
      <x:c r="H1529" s="115" t="str">
        <x:v>L 820 ; l 1220 ; hauteur 32,62 m ; choix de composition auteur ; dimensions réelles à documenter</x:v>
      </x:c>
      <x:c r="I1529" s="115" t="str">
        <x:v>À équilibrer</x:v>
      </x:c>
      <x:c r="J1529" s="115" t="str">
        <x:v>Non</x:v>
      </x:c>
      <x:c r="K1529" s="115" t="str">
        <x:v>Pièces décrites, murs, portes, niveaux et mobilier inspectables à l’échelle. Volumes réservés, raccord au seed, butin, rencontres et services de campagne restent à terminer.</x:v>
      </x:c>
    </x:row>
    <x:row r="1530" ht="96" customHeight="1">
      <x:c r="A1530" s="115" t="str">
        <x:v>EXT-MONDE-T031-V25</x:v>
      </x:c>
      <x:c r="B1530" s="115" t="str">
        <x:v>EXT-MONDE-T031</x:v>
      </x:c>
      <x:c r="C1530" s="115" t="str">
        <x:v>Ponts</x:v>
      </x:c>
      <x:c r="D1530" s="115" t="str">
        <x:v>Pont levant portuaire</x:v>
      </x:c>
      <x:c r="E1530" s="115" t="n">
        <x:v>25</x:v>
      </x:c>
      <x:c r="F1530" s="115" t="str">
        <x:v>Inspection physique</x:v>
      </x:c>
      <x:c r="G1530" s="115" t="str">
        <x:v>1 niveaux ; 34 pièces ; 260 segments de mur ; 0 transitions. Inspection physique ; architecture complète encore ouverte.</x:v>
      </x:c>
      <x:c r="H1530" s="115" t="str">
        <x:v>L 820 ; l 1220 ; hauteur 32,66 m ; choix de composition auteur ; dimensions réelles à documenter</x:v>
      </x:c>
      <x:c r="I1530" s="115" t="str">
        <x:v>À équilibrer</x:v>
      </x:c>
      <x:c r="J1530" s="115" t="str">
        <x:v>Non</x:v>
      </x:c>
      <x:c r="K1530" s="115" t="str">
        <x:v>Pièces décrites, murs, portes, niveaux et mobilier inspectables à l’échelle. Volumes réservés, raccord au seed, butin, rencontres et services de campagne restent à terminer.</x:v>
      </x:c>
    </x:row>
    <x:row r="1531" ht="96" customHeight="1">
      <x:c r="A1531" s="115" t="str">
        <x:v>EXT-MONDE-T031-V26</x:v>
      </x:c>
      <x:c r="B1531" s="115" t="str">
        <x:v>EXT-MONDE-T031</x:v>
      </x:c>
      <x:c r="C1531" s="115" t="str">
        <x:v>Ponts</x:v>
      </x:c>
      <x:c r="D1531" s="115" t="str">
        <x:v>Pont levant portuaire</x:v>
      </x:c>
      <x:c r="E1531" s="115" t="n">
        <x:v>26</x:v>
      </x:c>
      <x:c r="F1531" s="115" t="str">
        <x:v>Inspection physique</x:v>
      </x:c>
      <x:c r="G1531" s="115" t="str">
        <x:v>1 niveaux ; 34 pièces ; 260 segments de mur ; 0 transitions. Inspection physique ; architecture complète encore ouverte.</x:v>
      </x:c>
      <x:c r="H1531" s="115" t="str">
        <x:v>L 820 ; l 1220 ; hauteur 32,7 m ; choix de composition auteur ; dimensions réelles à documenter</x:v>
      </x:c>
      <x:c r="I1531" s="115" t="str">
        <x:v>À équilibrer</x:v>
      </x:c>
      <x:c r="J1531" s="115" t="str">
        <x:v>Non</x:v>
      </x:c>
      <x:c r="K1531" s="115" t="str">
        <x:v>Pièces décrites, murs, portes, niveaux et mobilier inspectables à l’échelle. Volumes réservés, raccord au seed, butin, rencontres et services de campagne restent à terminer.</x:v>
      </x:c>
    </x:row>
    <x:row r="1532" ht="96" customHeight="1">
      <x:c r="A1532" s="115" t="str">
        <x:v>EXT-MONDE-T031-V27</x:v>
      </x:c>
      <x:c r="B1532" s="115" t="str">
        <x:v>EXT-MONDE-T031</x:v>
      </x:c>
      <x:c r="C1532" s="115" t="str">
        <x:v>Ponts</x:v>
      </x:c>
      <x:c r="D1532" s="115" t="str">
        <x:v>Pont levant portuaire</x:v>
      </x:c>
      <x:c r="E1532" s="115" t="n">
        <x:v>27</x:v>
      </x:c>
      <x:c r="F1532" s="115" t="str">
        <x:v>Inspection physique</x:v>
      </x:c>
      <x:c r="G1532" s="115" t="str">
        <x:v>1 niveaux ; 34 pièces ; 260 segments de mur ; 0 transitions. Inspection physique ; architecture complète encore ouverte.</x:v>
      </x:c>
      <x:c r="H1532" s="115" t="str">
        <x:v>L 820 ; l 1220 ; hauteur 32,74 m ; choix de composition auteur ; dimensions réelles à documenter</x:v>
      </x:c>
      <x:c r="I1532" s="115" t="str">
        <x:v>À équilibrer</x:v>
      </x:c>
      <x:c r="J1532" s="115" t="str">
        <x:v>Non</x:v>
      </x:c>
      <x:c r="K1532" s="115" t="str">
        <x:v>Pièces décrites, murs, portes, niveaux et mobilier inspectables à l’échelle. Volumes réservés, raccord au seed, butin, rencontres et services de campagne restent à terminer.</x:v>
      </x:c>
    </x:row>
    <x:row r="1533" ht="96" customHeight="1">
      <x:c r="A1533" s="115" t="str">
        <x:v>EXT-MONDE-T031-V28</x:v>
      </x:c>
      <x:c r="B1533" s="115" t="str">
        <x:v>EXT-MONDE-T031</x:v>
      </x:c>
      <x:c r="C1533" s="115" t="str">
        <x:v>Ponts</x:v>
      </x:c>
      <x:c r="D1533" s="115" t="str">
        <x:v>Pont levant portuaire</x:v>
      </x:c>
      <x:c r="E1533" s="115" t="n">
        <x:v>28</x:v>
      </x:c>
      <x:c r="F1533" s="115" t="str">
        <x:v>Inspection physique</x:v>
      </x:c>
      <x:c r="G1533" s="115" t="str">
        <x:v>1 niveaux ; 34 pièces ; 260 segments de mur ; 0 transitions. Inspection physique ; architecture complète encore ouverte.</x:v>
      </x:c>
      <x:c r="H1533" s="115" t="str">
        <x:v>L 820 ; l 1220 ; hauteur 32,78 m ; choix de composition auteur ; dimensions réelles à documenter</x:v>
      </x:c>
      <x:c r="I1533" s="115" t="str">
        <x:v>À équilibrer</x:v>
      </x:c>
      <x:c r="J1533" s="115" t="str">
        <x:v>Non</x:v>
      </x:c>
      <x:c r="K1533" s="115" t="str">
        <x:v>Pièces décrites, murs, portes, niveaux et mobilier inspectables à l’échelle. Volumes réservés, raccord au seed, butin, rencontres et services de campagne restent à terminer.</x:v>
      </x:c>
    </x:row>
    <x:row r="1534" ht="96" customHeight="1">
      <x:c r="A1534" s="115" t="str">
        <x:v>EXT-MONDE-T031-V29</x:v>
      </x:c>
      <x:c r="B1534" s="115" t="str">
        <x:v>EXT-MONDE-T031</x:v>
      </x:c>
      <x:c r="C1534" s="115" t="str">
        <x:v>Ponts</x:v>
      </x:c>
      <x:c r="D1534" s="115" t="str">
        <x:v>Pont levant portuaire</x:v>
      </x:c>
      <x:c r="E1534" s="115" t="n">
        <x:v>29</x:v>
      </x:c>
      <x:c r="F1534" s="115" t="str">
        <x:v>Inspection physique</x:v>
      </x:c>
      <x:c r="G1534" s="115" t="str">
        <x:v>1 niveaux ; 34 pièces ; 260 segments de mur ; 0 transitions. Inspection physique ; architecture complète encore ouverte.</x:v>
      </x:c>
      <x:c r="H1534" s="115" t="str">
        <x:v>L 820 ; l 1220 ; hauteur 32,82 m ; choix de composition auteur ; dimensions réelles à documenter</x:v>
      </x:c>
      <x:c r="I1534" s="115" t="str">
        <x:v>À équilibrer</x:v>
      </x:c>
      <x:c r="J1534" s="115" t="str">
        <x:v>Non</x:v>
      </x:c>
      <x:c r="K1534" s="115" t="str">
        <x:v>Pièces décrites, murs, portes, niveaux et mobilier inspectables à l’échelle. Volumes réservés, raccord au seed, butin, rencontres et services de campagne restent à terminer.</x:v>
      </x:c>
    </x:row>
    <x:row r="1535" ht="96" customHeight="1">
      <x:c r="A1535" s="115" t="str">
        <x:v>EXT-MONDE-T031-V30</x:v>
      </x:c>
      <x:c r="B1535" s="115" t="str">
        <x:v>EXT-MONDE-T031</x:v>
      </x:c>
      <x:c r="C1535" s="115" t="str">
        <x:v>Ponts</x:v>
      </x:c>
      <x:c r="D1535" s="115" t="str">
        <x:v>Pont levant portuaire</x:v>
      </x:c>
      <x:c r="E1535" s="115" t="n">
        <x:v>30</x:v>
      </x:c>
      <x:c r="F1535" s="115" t="str">
        <x:v>Inspection physique</x:v>
      </x:c>
      <x:c r="G1535" s="115" t="str">
        <x:v>1 niveaux ; 34 pièces ; 260 segments de mur ; 0 transitions. Inspection physique ; architecture complète encore ouverte.</x:v>
      </x:c>
      <x:c r="H1535" s="115" t="str">
        <x:v>L 820 ; l 1220 ; hauteur 32,86 m ; choix de composition auteur ; dimensions réelles à documenter</x:v>
      </x:c>
      <x:c r="I1535" s="115" t="str">
        <x:v>À équilibrer</x:v>
      </x:c>
      <x:c r="J1535" s="115" t="str">
        <x:v>Non</x:v>
      </x:c>
      <x:c r="K1535" s="115" t="str">
        <x:v>Pièces décrites, murs, portes, niveaux et mobilier inspectables à l’échelle. Volumes réservés, raccord au seed, butin, rencontres et services de campagne restent à terminer.</x:v>
      </x:c>
    </x:row>
    <x:row r="1536" ht="96" customHeight="1">
      <x:c r="A1536" s="115" t="str">
        <x:v>EXT-MONDE-T031-V31</x:v>
      </x:c>
      <x:c r="B1536" s="115" t="str">
        <x:v>EXT-MONDE-T031</x:v>
      </x:c>
      <x:c r="C1536" s="115" t="str">
        <x:v>Ponts</x:v>
      </x:c>
      <x:c r="D1536" s="115" t="str">
        <x:v>Pont levant portuaire</x:v>
      </x:c>
      <x:c r="E1536" s="115" t="n">
        <x:v>31</x:v>
      </x:c>
      <x:c r="F1536" s="115" t="str">
        <x:v>Inspection physique</x:v>
      </x:c>
      <x:c r="G1536" s="115" t="str">
        <x:v>1 niveaux ; 34 pièces ; 260 segments de mur ; 0 transitions. Inspection physique ; architecture complète encore ouverte.</x:v>
      </x:c>
      <x:c r="H1536" s="115" t="str">
        <x:v>L 900 ; l 1380 ; hauteur 34,5 m ; choix de composition auteur ; dimensions réelles à documenter</x:v>
      </x:c>
      <x:c r="I1536" s="115" t="str">
        <x:v>À équilibrer</x:v>
      </x:c>
      <x:c r="J1536" s="115" t="str">
        <x:v>Non</x:v>
      </x:c>
      <x:c r="K1536" s="115" t="str">
        <x:v>Pièces décrites, murs, portes, niveaux et mobilier inspectables à l’échelle. Volumes réservés, raccord au seed, butin, rencontres et services de campagne restent à terminer.</x:v>
      </x:c>
    </x:row>
    <x:row r="1537" ht="96" customHeight="1">
      <x:c r="A1537" s="115" t="str">
        <x:v>EXT-MONDE-T031-V32</x:v>
      </x:c>
      <x:c r="B1537" s="115" t="str">
        <x:v>EXT-MONDE-T031</x:v>
      </x:c>
      <x:c r="C1537" s="115" t="str">
        <x:v>Ponts</x:v>
      </x:c>
      <x:c r="D1537" s="115" t="str">
        <x:v>Pont levant portuaire</x:v>
      </x:c>
      <x:c r="E1537" s="115" t="n">
        <x:v>32</x:v>
      </x:c>
      <x:c r="F1537" s="115" t="str">
        <x:v>Inspection physique</x:v>
      </x:c>
      <x:c r="G1537" s="115" t="str">
        <x:v>1 niveaux ; 34 pièces ; 260 segments de mur ; 0 transitions. Inspection physique ; architecture complète encore ouverte.</x:v>
      </x:c>
      <x:c r="H1537" s="115" t="str">
        <x:v>L 900 ; l 1380 ; hauteur 34,54 m ; choix de composition auteur ; dimensions réelles à documenter</x:v>
      </x:c>
      <x:c r="I1537" s="115" t="str">
        <x:v>À équilibrer</x:v>
      </x:c>
      <x:c r="J1537" s="115" t="str">
        <x:v>Non</x:v>
      </x:c>
      <x:c r="K1537" s="115" t="str">
        <x:v>Pièces décrites, murs, portes, niveaux et mobilier inspectables à l’échelle. Volumes réservés, raccord au seed, butin, rencontres et services de campagne restent à terminer.</x:v>
      </x:c>
    </x:row>
    <x:row r="1538" ht="96" customHeight="1">
      <x:c r="A1538" s="115" t="str">
        <x:v>EXT-MONDE-T031-V33</x:v>
      </x:c>
      <x:c r="B1538" s="115" t="str">
        <x:v>EXT-MONDE-T031</x:v>
      </x:c>
      <x:c r="C1538" s="115" t="str">
        <x:v>Ponts</x:v>
      </x:c>
      <x:c r="D1538" s="115" t="str">
        <x:v>Pont levant portuaire</x:v>
      </x:c>
      <x:c r="E1538" s="115" t="n">
        <x:v>33</x:v>
      </x:c>
      <x:c r="F1538" s="115" t="str">
        <x:v>Inspection physique</x:v>
      </x:c>
      <x:c r="G1538" s="115" t="str">
        <x:v>1 niveaux ; 34 pièces ; 260 segments de mur ; 0 transitions. Inspection physique ; architecture complète encore ouverte.</x:v>
      </x:c>
      <x:c r="H1538" s="115" t="str">
        <x:v>L 900 ; l 1380 ; hauteur 34,58 m ; choix de composition auteur ; dimensions réelles à documenter</x:v>
      </x:c>
      <x:c r="I1538" s="115" t="str">
        <x:v>À équilibrer</x:v>
      </x:c>
      <x:c r="J1538" s="115" t="str">
        <x:v>Non</x:v>
      </x:c>
      <x:c r="K1538" s="115" t="str">
        <x:v>Pièces décrites, murs, portes, niveaux et mobilier inspectables à l’échelle. Volumes réservés, raccord au seed, butin, rencontres et services de campagne restent à terminer.</x:v>
      </x:c>
    </x:row>
    <x:row r="1539" ht="96" customHeight="1">
      <x:c r="A1539" s="115" t="str">
        <x:v>EXT-MONDE-T031-V34</x:v>
      </x:c>
      <x:c r="B1539" s="115" t="str">
        <x:v>EXT-MONDE-T031</x:v>
      </x:c>
      <x:c r="C1539" s="115" t="str">
        <x:v>Ponts</x:v>
      </x:c>
      <x:c r="D1539" s="115" t="str">
        <x:v>Pont levant portuaire</x:v>
      </x:c>
      <x:c r="E1539" s="115" t="n">
        <x:v>34</x:v>
      </x:c>
      <x:c r="F1539" s="115" t="str">
        <x:v>Inspection physique</x:v>
      </x:c>
      <x:c r="G1539" s="115" t="str">
        <x:v>1 niveaux ; 34 pièces ; 260 segments de mur ; 0 transitions. Inspection physique ; architecture complète encore ouverte.</x:v>
      </x:c>
      <x:c r="H1539" s="115" t="str">
        <x:v>L 900 ; l 1380 ; hauteur 34,62 m ; choix de composition auteur ; dimensions réelles à documenter</x:v>
      </x:c>
      <x:c r="I1539" s="115" t="str">
        <x:v>À équilibrer</x:v>
      </x:c>
      <x:c r="J1539" s="115" t="str">
        <x:v>Non</x:v>
      </x:c>
      <x:c r="K1539" s="115" t="str">
        <x:v>Pièces décrites, murs, portes, niveaux et mobilier inspectables à l’échelle. Volumes réservés, raccord au seed, butin, rencontres et services de campagne restent à terminer.</x:v>
      </x:c>
    </x:row>
    <x:row r="1540" ht="96" customHeight="1">
      <x:c r="A1540" s="115" t="str">
        <x:v>EXT-MONDE-T031-V35</x:v>
      </x:c>
      <x:c r="B1540" s="115" t="str">
        <x:v>EXT-MONDE-T031</x:v>
      </x:c>
      <x:c r="C1540" s="115" t="str">
        <x:v>Ponts</x:v>
      </x:c>
      <x:c r="D1540" s="115" t="str">
        <x:v>Pont levant portuaire</x:v>
      </x:c>
      <x:c r="E1540" s="115" t="n">
        <x:v>35</x:v>
      </x:c>
      <x:c r="F1540" s="115" t="str">
        <x:v>Inspection physique</x:v>
      </x:c>
      <x:c r="G1540" s="115" t="str">
        <x:v>1 niveaux ; 34 pièces ; 260 segments de mur ; 0 transitions. Inspection physique ; architecture complète encore ouverte.</x:v>
      </x:c>
      <x:c r="H1540" s="115" t="str">
        <x:v>L 900 ; l 1380 ; hauteur 34,66 m ; choix de composition auteur ; dimensions réelles à documenter</x:v>
      </x:c>
      <x:c r="I1540" s="115" t="str">
        <x:v>À équilibrer</x:v>
      </x:c>
      <x:c r="J1540" s="115" t="str">
        <x:v>Non</x:v>
      </x:c>
      <x:c r="K1540" s="115" t="str">
        <x:v>Pièces décrites, murs, portes, niveaux et mobilier inspectables à l’échelle. Volumes réservés, raccord au seed, butin, rencontres et services de campagne restent à terminer.</x:v>
      </x:c>
    </x:row>
    <x:row r="1541" ht="96" customHeight="1">
      <x:c r="A1541" s="115" t="str">
        <x:v>EXT-MONDE-T031-V36</x:v>
      </x:c>
      <x:c r="B1541" s="115" t="str">
        <x:v>EXT-MONDE-T031</x:v>
      </x:c>
      <x:c r="C1541" s="115" t="str">
        <x:v>Ponts</x:v>
      </x:c>
      <x:c r="D1541" s="115" t="str">
        <x:v>Pont levant portuaire</x:v>
      </x:c>
      <x:c r="E1541" s="115" t="n">
        <x:v>36</x:v>
      </x:c>
      <x:c r="F1541" s="115" t="str">
        <x:v>Inspection physique</x:v>
      </x:c>
      <x:c r="G1541" s="115" t="str">
        <x:v>1 niveaux ; 34 pièces ; 260 segments de mur ; 0 transitions. Inspection physique ; architecture complète encore ouverte.</x:v>
      </x:c>
      <x:c r="H1541" s="115" t="str">
        <x:v>L 900 ; l 1380 ; hauteur 34,7 m ; choix de composition auteur ; dimensions réelles à documenter</x:v>
      </x:c>
      <x:c r="I1541" s="115" t="str">
        <x:v>À équilibrer</x:v>
      </x:c>
      <x:c r="J1541" s="115" t="str">
        <x:v>Non</x:v>
      </x:c>
      <x:c r="K1541" s="115" t="str">
        <x:v>Pièces décrites, murs, portes, niveaux et mobilier inspectables à l’échelle. Volumes réservés, raccord au seed, butin, rencontres et services de campagne restent à terminer.</x:v>
      </x:c>
    </x:row>
    <x:row r="1542" ht="96" customHeight="1">
      <x:c r="A1542" s="115" t="str">
        <x:v>EXT-MONDE-T031-V37</x:v>
      </x:c>
      <x:c r="B1542" s="115" t="str">
        <x:v>EXT-MONDE-T031</x:v>
      </x:c>
      <x:c r="C1542" s="115" t="str">
        <x:v>Ponts</x:v>
      </x:c>
      <x:c r="D1542" s="115" t="str">
        <x:v>Pont levant portuaire</x:v>
      </x:c>
      <x:c r="E1542" s="115" t="n">
        <x:v>37</x:v>
      </x:c>
      <x:c r="F1542" s="115" t="str">
        <x:v>Inspection physique</x:v>
      </x:c>
      <x:c r="G1542" s="115" t="str">
        <x:v>1 niveaux ; 34 pièces ; 260 segments de mur ; 0 transitions. Inspection physique ; architecture complète encore ouverte.</x:v>
      </x:c>
      <x:c r="H1542" s="115" t="str">
        <x:v>L 900 ; l 1380 ; hauteur 34,74 m ; choix de composition auteur ; dimensions réelles à documenter</x:v>
      </x:c>
      <x:c r="I1542" s="115" t="str">
        <x:v>À équilibrer</x:v>
      </x:c>
      <x:c r="J1542" s="115" t="str">
        <x:v>Non</x:v>
      </x:c>
      <x:c r="K1542" s="115" t="str">
        <x:v>Pièces décrites, murs, portes, niveaux et mobilier inspectables à l’échelle. Volumes réservés, raccord au seed, butin, rencontres et services de campagne restent à terminer.</x:v>
      </x:c>
    </x:row>
    <x:row r="1543" ht="96" customHeight="1">
      <x:c r="A1543" s="115" t="str">
        <x:v>EXT-MONDE-T031-V38</x:v>
      </x:c>
      <x:c r="B1543" s="115" t="str">
        <x:v>EXT-MONDE-T031</x:v>
      </x:c>
      <x:c r="C1543" s="115" t="str">
        <x:v>Ponts</x:v>
      </x:c>
      <x:c r="D1543" s="115" t="str">
        <x:v>Pont levant portuaire</x:v>
      </x:c>
      <x:c r="E1543" s="115" t="n">
        <x:v>38</x:v>
      </x:c>
      <x:c r="F1543" s="115" t="str">
        <x:v>Inspection physique</x:v>
      </x:c>
      <x:c r="G1543" s="115" t="str">
        <x:v>1 niveaux ; 34 pièces ; 260 segments de mur ; 0 transitions. Inspection physique ; architecture complète encore ouverte.</x:v>
      </x:c>
      <x:c r="H1543" s="115" t="str">
        <x:v>L 900 ; l 1380 ; hauteur 34,78 m ; choix de composition auteur ; dimensions réelles à documenter</x:v>
      </x:c>
      <x:c r="I1543" s="115" t="str">
        <x:v>À équilibrer</x:v>
      </x:c>
      <x:c r="J1543" s="115" t="str">
        <x:v>Non</x:v>
      </x:c>
      <x:c r="K1543" s="115" t="str">
        <x:v>Pièces décrites, murs, portes, niveaux et mobilier inspectables à l’échelle. Volumes réservés, raccord au seed, butin, rencontres et services de campagne restent à terminer.</x:v>
      </x:c>
    </x:row>
    <x:row r="1544" ht="96" customHeight="1">
      <x:c r="A1544" s="115" t="str">
        <x:v>EXT-MONDE-T031-V39</x:v>
      </x:c>
      <x:c r="B1544" s="115" t="str">
        <x:v>EXT-MONDE-T031</x:v>
      </x:c>
      <x:c r="C1544" s="115" t="str">
        <x:v>Ponts</x:v>
      </x:c>
      <x:c r="D1544" s="115" t="str">
        <x:v>Pont levant portuaire</x:v>
      </x:c>
      <x:c r="E1544" s="115" t="n">
        <x:v>39</x:v>
      </x:c>
      <x:c r="F1544" s="115" t="str">
        <x:v>Inspection physique</x:v>
      </x:c>
      <x:c r="G1544" s="115" t="str">
        <x:v>1 niveaux ; 34 pièces ; 260 segments de mur ; 0 transitions. Inspection physique ; architecture complète encore ouverte.</x:v>
      </x:c>
      <x:c r="H1544" s="115" t="str">
        <x:v>L 900 ; l 1380 ; hauteur 34,82 m ; choix de composition auteur ; dimensions réelles à documenter</x:v>
      </x:c>
      <x:c r="I1544" s="115" t="str">
        <x:v>À équilibrer</x:v>
      </x:c>
      <x:c r="J1544" s="115" t="str">
        <x:v>Non</x:v>
      </x:c>
      <x:c r="K1544" s="115" t="str">
        <x:v>Pièces décrites, murs, portes, niveaux et mobilier inspectables à l’échelle. Volumes réservés, raccord au seed, butin, rencontres et services de campagne restent à terminer.</x:v>
      </x:c>
    </x:row>
    <x:row r="1545" ht="96" customHeight="1">
      <x:c r="A1545" s="115" t="str">
        <x:v>EXT-MONDE-T031-V40</x:v>
      </x:c>
      <x:c r="B1545" s="115" t="str">
        <x:v>EXT-MONDE-T031</x:v>
      </x:c>
      <x:c r="C1545" s="115" t="str">
        <x:v>Ponts</x:v>
      </x:c>
      <x:c r="D1545" s="115" t="str">
        <x:v>Pont levant portuaire</x:v>
      </x:c>
      <x:c r="E1545" s="115" t="n">
        <x:v>40</x:v>
      </x:c>
      <x:c r="F1545" s="115" t="str">
        <x:v>Inspection physique</x:v>
      </x:c>
      <x:c r="G1545" s="115" t="str">
        <x:v>1 niveaux ; 34 pièces ; 260 segments de mur ; 0 transitions. Inspection physique ; architecture complète encore ouverte.</x:v>
      </x:c>
      <x:c r="H1545" s="115" t="str">
        <x:v>L 900 ; l 1380 ; hauteur 34,86 m ; choix de composition auteur ; dimensions réelles à documenter</x:v>
      </x:c>
      <x:c r="I1545" s="115" t="str">
        <x:v>À équilibrer</x:v>
      </x:c>
      <x:c r="J1545" s="115" t="str">
        <x:v>Non</x:v>
      </x:c>
      <x:c r="K1545" s="115" t="str">
        <x:v>Pièces décrites, murs, portes, niveaux et mobilier inspectables à l’échelle. Volumes réservés, raccord au seed, butin, rencontres et services de campagne restent à terminer.</x:v>
      </x:c>
    </x:row>
    <x:row r="1546" ht="96" customHeight="1">
      <x:c r="A1546" s="115" t="str">
        <x:v>EXT-MONDE-T031-V41</x:v>
      </x:c>
      <x:c r="B1546" s="115" t="str">
        <x:v>EXT-MONDE-T031</x:v>
      </x:c>
      <x:c r="C1546" s="115" t="str">
        <x:v>Ponts</x:v>
      </x:c>
      <x:c r="D1546" s="115" t="str">
        <x:v>Pont levant portuaire</x:v>
      </x:c>
      <x:c r="E1546" s="115" t="n">
        <x:v>41</x:v>
      </x:c>
      <x:c r="F1546" s="115" t="str">
        <x:v>Inspection physique</x:v>
      </x:c>
      <x:c r="G1546" s="115" t="str">
        <x:v>1 niveaux ; 34 pièces ; 260 segments de mur ; 0 transitions. Inspection physique ; architecture complète encore ouverte.</x:v>
      </x:c>
      <x:c r="H1546" s="115" t="str">
        <x:v>L 980 ; l 1540 ; hauteur 36,5 m ; choix de composition auteur ; dimensions réelles à documenter</x:v>
      </x:c>
      <x:c r="I1546" s="115" t="str">
        <x:v>À équilibrer</x:v>
      </x:c>
      <x:c r="J1546" s="115" t="str">
        <x:v>Non</x:v>
      </x:c>
      <x:c r="K1546" s="115" t="str">
        <x:v>Pièces décrites, murs, portes, niveaux et mobilier inspectables à l’échelle. Volumes réservés, raccord au seed, butin, rencontres et services de campagne restent à terminer.</x:v>
      </x:c>
    </x:row>
    <x:row r="1547" ht="96" customHeight="1">
      <x:c r="A1547" s="115" t="str">
        <x:v>EXT-MONDE-T031-V42</x:v>
      </x:c>
      <x:c r="B1547" s="115" t="str">
        <x:v>EXT-MONDE-T031</x:v>
      </x:c>
      <x:c r="C1547" s="115" t="str">
        <x:v>Ponts</x:v>
      </x:c>
      <x:c r="D1547" s="115" t="str">
        <x:v>Pont levant portuaire</x:v>
      </x:c>
      <x:c r="E1547" s="115" t="n">
        <x:v>42</x:v>
      </x:c>
      <x:c r="F1547" s="115" t="str">
        <x:v>Inspection physique</x:v>
      </x:c>
      <x:c r="G1547" s="115" t="str">
        <x:v>1 niveaux ; 34 pièces ; 260 segments de mur ; 0 transitions. Inspection physique ; architecture complète encore ouverte.</x:v>
      </x:c>
      <x:c r="H1547" s="115" t="str">
        <x:v>L 980 ; l 1540 ; hauteur 36,54 m ; choix de composition auteur ; dimensions réelles à documenter</x:v>
      </x:c>
      <x:c r="I1547" s="115" t="str">
        <x:v>À équilibrer</x:v>
      </x:c>
      <x:c r="J1547" s="115" t="str">
        <x:v>Non</x:v>
      </x:c>
      <x:c r="K1547" s="115" t="str">
        <x:v>Pièces décrites, murs, portes, niveaux et mobilier inspectables à l’échelle. Volumes réservés, raccord au seed, butin, rencontres et services de campagne restent à terminer.</x:v>
      </x:c>
    </x:row>
    <x:row r="1548" ht="96" customHeight="1">
      <x:c r="A1548" s="115" t="str">
        <x:v>EXT-MONDE-T031-V43</x:v>
      </x:c>
      <x:c r="B1548" s="115" t="str">
        <x:v>EXT-MONDE-T031</x:v>
      </x:c>
      <x:c r="C1548" s="115" t="str">
        <x:v>Ponts</x:v>
      </x:c>
      <x:c r="D1548" s="115" t="str">
        <x:v>Pont levant portuaire</x:v>
      </x:c>
      <x:c r="E1548" s="115" t="n">
        <x:v>43</x:v>
      </x:c>
      <x:c r="F1548" s="115" t="str">
        <x:v>Inspection physique</x:v>
      </x:c>
      <x:c r="G1548" s="115" t="str">
        <x:v>1 niveaux ; 34 pièces ; 260 segments de mur ; 0 transitions. Inspection physique ; architecture complète encore ouverte.</x:v>
      </x:c>
      <x:c r="H1548" s="115" t="str">
        <x:v>L 980 ; l 1540 ; hauteur 36,58 m ; choix de composition auteur ; dimensions réelles à documenter</x:v>
      </x:c>
      <x:c r="I1548" s="115" t="str">
        <x:v>À équilibrer</x:v>
      </x:c>
      <x:c r="J1548" s="115" t="str">
        <x:v>Non</x:v>
      </x:c>
      <x:c r="K1548" s="115" t="str">
        <x:v>Pièces décrites, murs, portes, niveaux et mobilier inspectables à l’échelle. Volumes réservés, raccord au seed, butin, rencontres et services de campagne restent à terminer.</x:v>
      </x:c>
    </x:row>
    <x:row r="1549" ht="96" customHeight="1">
      <x:c r="A1549" s="115" t="str">
        <x:v>EXT-MONDE-T031-V44</x:v>
      </x:c>
      <x:c r="B1549" s="115" t="str">
        <x:v>EXT-MONDE-T031</x:v>
      </x:c>
      <x:c r="C1549" s="115" t="str">
        <x:v>Ponts</x:v>
      </x:c>
      <x:c r="D1549" s="115" t="str">
        <x:v>Pont levant portuaire</x:v>
      </x:c>
      <x:c r="E1549" s="115" t="n">
        <x:v>44</x:v>
      </x:c>
      <x:c r="F1549" s="115" t="str">
        <x:v>Inspection physique</x:v>
      </x:c>
      <x:c r="G1549" s="115" t="str">
        <x:v>1 niveaux ; 34 pièces ; 260 segments de mur ; 0 transitions. Inspection physique ; architecture complète encore ouverte.</x:v>
      </x:c>
      <x:c r="H1549" s="115" t="str">
        <x:v>L 980 ; l 1540 ; hauteur 36,62 m ; choix de composition auteur ; dimensions réelles à documenter</x:v>
      </x:c>
      <x:c r="I1549" s="115" t="str">
        <x:v>À équilibrer</x:v>
      </x:c>
      <x:c r="J1549" s="115" t="str">
        <x:v>Non</x:v>
      </x:c>
      <x:c r="K1549" s="115" t="str">
        <x:v>Pièces décrites, murs, portes, niveaux et mobilier inspectables à l’échelle. Volumes réservés, raccord au seed, butin, rencontres et services de campagne restent à terminer.</x:v>
      </x:c>
    </x:row>
    <x:row r="1550" ht="96" customHeight="1">
      <x:c r="A1550" s="115" t="str">
        <x:v>EXT-MONDE-T031-V45</x:v>
      </x:c>
      <x:c r="B1550" s="115" t="str">
        <x:v>EXT-MONDE-T031</x:v>
      </x:c>
      <x:c r="C1550" s="115" t="str">
        <x:v>Ponts</x:v>
      </x:c>
      <x:c r="D1550" s="115" t="str">
        <x:v>Pont levant portuaire</x:v>
      </x:c>
      <x:c r="E1550" s="115" t="n">
        <x:v>45</x:v>
      </x:c>
      <x:c r="F1550" s="115" t="str">
        <x:v>Inspection physique</x:v>
      </x:c>
      <x:c r="G1550" s="115" t="str">
        <x:v>1 niveaux ; 34 pièces ; 260 segments de mur ; 0 transitions. Inspection physique ; architecture complète encore ouverte.</x:v>
      </x:c>
      <x:c r="H1550" s="115" t="str">
        <x:v>L 980 ; l 1540 ; hauteur 36,66 m ; choix de composition auteur ; dimensions réelles à documenter</x:v>
      </x:c>
      <x:c r="I1550" s="115" t="str">
        <x:v>À équilibrer</x:v>
      </x:c>
      <x:c r="J1550" s="115" t="str">
        <x:v>Non</x:v>
      </x:c>
      <x:c r="K1550" s="115" t="str">
        <x:v>Pièces décrites, murs, portes, niveaux et mobilier inspectables à l’échelle. Volumes réservés, raccord au seed, butin, rencontres et services de campagne restent à terminer.</x:v>
      </x:c>
    </x:row>
    <x:row r="1551" ht="96" customHeight="1">
      <x:c r="A1551" s="115" t="str">
        <x:v>EXT-MONDE-T031-V46</x:v>
      </x:c>
      <x:c r="B1551" s="115" t="str">
        <x:v>EXT-MONDE-T031</x:v>
      </x:c>
      <x:c r="C1551" s="115" t="str">
        <x:v>Ponts</x:v>
      </x:c>
      <x:c r="D1551" s="115" t="str">
        <x:v>Pont levant portuaire</x:v>
      </x:c>
      <x:c r="E1551" s="115" t="n">
        <x:v>46</x:v>
      </x:c>
      <x:c r="F1551" s="115" t="str">
        <x:v>Inspection physique</x:v>
      </x:c>
      <x:c r="G1551" s="115" t="str">
        <x:v>1 niveaux ; 34 pièces ; 260 segments de mur ; 0 transitions. Inspection physique ; architecture complète encore ouverte.</x:v>
      </x:c>
      <x:c r="H1551" s="115" t="str">
        <x:v>L 980 ; l 1540 ; hauteur 36,7 m ; choix de composition auteur ; dimensions réelles à documenter</x:v>
      </x:c>
      <x:c r="I1551" s="115" t="str">
        <x:v>À équilibrer</x:v>
      </x:c>
      <x:c r="J1551" s="115" t="str">
        <x:v>Non</x:v>
      </x:c>
      <x:c r="K1551" s="115" t="str">
        <x:v>Pièces décrites, murs, portes, niveaux et mobilier inspectables à l’échelle. Volumes réservés, raccord au seed, butin, rencontres et services de campagne restent à terminer.</x:v>
      </x:c>
    </x:row>
    <x:row r="1552" ht="96" customHeight="1">
      <x:c r="A1552" s="115" t="str">
        <x:v>EXT-MONDE-T031-V47</x:v>
      </x:c>
      <x:c r="B1552" s="115" t="str">
        <x:v>EXT-MONDE-T031</x:v>
      </x:c>
      <x:c r="C1552" s="115" t="str">
        <x:v>Ponts</x:v>
      </x:c>
      <x:c r="D1552" s="115" t="str">
        <x:v>Pont levant portuaire</x:v>
      </x:c>
      <x:c r="E1552" s="115" t="n">
        <x:v>47</x:v>
      </x:c>
      <x:c r="F1552" s="115" t="str">
        <x:v>Inspection physique</x:v>
      </x:c>
      <x:c r="G1552" s="115" t="str">
        <x:v>1 niveaux ; 34 pièces ; 260 segments de mur ; 0 transitions. Inspection physique ; architecture complète encore ouverte.</x:v>
      </x:c>
      <x:c r="H1552" s="115" t="str">
        <x:v>L 980 ; l 1540 ; hauteur 36,74 m ; choix de composition auteur ; dimensions réelles à documenter</x:v>
      </x:c>
      <x:c r="I1552" s="115" t="str">
        <x:v>À équilibrer</x:v>
      </x:c>
      <x:c r="J1552" s="115" t="str">
        <x:v>Non</x:v>
      </x:c>
      <x:c r="K1552" s="115" t="str">
        <x:v>Pièces décrites, murs, portes, niveaux et mobilier inspectables à l’échelle. Volumes réservés, raccord au seed, butin, rencontres et services de campagne restent à terminer.</x:v>
      </x:c>
    </x:row>
    <x:row r="1553" ht="96" customHeight="1">
      <x:c r="A1553" s="115" t="str">
        <x:v>EXT-MONDE-T031-V48</x:v>
      </x:c>
      <x:c r="B1553" s="115" t="str">
        <x:v>EXT-MONDE-T031</x:v>
      </x:c>
      <x:c r="C1553" s="115" t="str">
        <x:v>Ponts</x:v>
      </x:c>
      <x:c r="D1553" s="115" t="str">
        <x:v>Pont levant portuaire</x:v>
      </x:c>
      <x:c r="E1553" s="115" t="n">
        <x:v>48</x:v>
      </x:c>
      <x:c r="F1553" s="115" t="str">
        <x:v>Inspection physique</x:v>
      </x:c>
      <x:c r="G1553" s="115" t="str">
        <x:v>1 niveaux ; 34 pièces ; 260 segments de mur ; 0 transitions. Inspection physique ; architecture complète encore ouverte.</x:v>
      </x:c>
      <x:c r="H1553" s="115" t="str">
        <x:v>L 980 ; l 1540 ; hauteur 36,78 m ; choix de composition auteur ; dimensions réelles à documenter</x:v>
      </x:c>
      <x:c r="I1553" s="115" t="str">
        <x:v>À équilibrer</x:v>
      </x:c>
      <x:c r="J1553" s="115" t="str">
        <x:v>Non</x:v>
      </x:c>
      <x:c r="K1553" s="115" t="str">
        <x:v>Pièces décrites, murs, portes, niveaux et mobilier inspectables à l’échelle. Volumes réservés, raccord au seed, butin, rencontres et services de campagne restent à terminer.</x:v>
      </x:c>
    </x:row>
    <x:row r="1554" ht="96" customHeight="1">
      <x:c r="A1554" s="115" t="str">
        <x:v>EXT-MONDE-T031-V49</x:v>
      </x:c>
      <x:c r="B1554" s="115" t="str">
        <x:v>EXT-MONDE-T031</x:v>
      </x:c>
      <x:c r="C1554" s="115" t="str">
        <x:v>Ponts</x:v>
      </x:c>
      <x:c r="D1554" s="115" t="str">
        <x:v>Pont levant portuaire</x:v>
      </x:c>
      <x:c r="E1554" s="115" t="n">
        <x:v>49</x:v>
      </x:c>
      <x:c r="F1554" s="115" t="str">
        <x:v>Inspection physique</x:v>
      </x:c>
      <x:c r="G1554" s="115" t="str">
        <x:v>1 niveaux ; 34 pièces ; 260 segments de mur ; 0 transitions. Inspection physique ; architecture complète encore ouverte.</x:v>
      </x:c>
      <x:c r="H1554" s="115" t="str">
        <x:v>L 980 ; l 1540 ; hauteur 36,82 m ; choix de composition auteur ; dimensions réelles à documenter</x:v>
      </x:c>
      <x:c r="I1554" s="115" t="str">
        <x:v>À équilibrer</x:v>
      </x:c>
      <x:c r="J1554" s="115" t="str">
        <x:v>Non</x:v>
      </x:c>
      <x:c r="K1554" s="115" t="str">
        <x:v>Pièces décrites, murs, portes, niveaux et mobilier inspectables à l’échelle. Volumes réservés, raccord au seed, butin, rencontres et services de campagne restent à terminer.</x:v>
      </x:c>
    </x:row>
    <x:row r="1555" ht="96" customHeight="1">
      <x:c r="A1555" s="115" t="str">
        <x:v>EXT-MONDE-T031-V50</x:v>
      </x:c>
      <x:c r="B1555" s="115" t="str">
        <x:v>EXT-MONDE-T031</x:v>
      </x:c>
      <x:c r="C1555" s="115" t="str">
        <x:v>Ponts</x:v>
      </x:c>
      <x:c r="D1555" s="115" t="str">
        <x:v>Pont levant portuaire</x:v>
      </x:c>
      <x:c r="E1555" s="115" t="n">
        <x:v>50</x:v>
      </x:c>
      <x:c r="F1555" s="115" t="str">
        <x:v>Inspection physique</x:v>
      </x:c>
      <x:c r="G1555" s="115" t="str">
        <x:v>1 niveaux ; 34 pièces ; 260 segments de mur ; 0 transitions. Inspection physique ; architecture complète encore ouverte.</x:v>
      </x:c>
      <x:c r="H1555" s="115" t="str">
        <x:v>L 980 ; l 1540 ; hauteur 36,86 m ; choix de composition auteur ; dimensions réelles à documenter</x:v>
      </x:c>
      <x:c r="I1555" s="115" t="str">
        <x:v>À équilibrer</x:v>
      </x:c>
      <x:c r="J1555" s="115" t="str">
        <x:v>Non</x:v>
      </x:c>
      <x:c r="K1555" s="115" t="str">
        <x:v>Pièces décrites, murs, portes, niveaux et mobilier inspectables à l’échelle. Volumes réservés, raccord au seed, butin, rencontres et services de campagne restent à terminer.</x:v>
      </x:c>
    </x:row>
    <x:row r="1556" ht="96" customHeight="1">
      <x:c r="A1556" s="115" t="str">
        <x:v>EXT-MONDE-T032-V01</x:v>
      </x:c>
      <x:c r="B1556" s="115" t="str">
        <x:v>EXT-MONDE-T032</x:v>
      </x:c>
      <x:c r="C1556" s="115" t="str">
        <x:v>Ponts</x:v>
      </x:c>
      <x:c r="D1556" s="115" t="str">
        <x:v>Viaduc ferroviaire</x:v>
      </x:c>
      <x:c r="E1556" s="115" t="n">
        <x:v>1</x:v>
      </x:c>
      <x:c r="F1556" s="115" t="str">
        <x:v>Inspection physique</x:v>
      </x:c>
      <x:c r="G1556" s="115" t="str">
        <x:v>1 niveaux ; 34 pièces ; 260 segments de mur ; 0 transitions. Inspection physique ; architecture complète encore ouverte.</x:v>
      </x:c>
      <x:c r="H1556" s="115" t="str">
        <x:v>L 800 ; l 2600 ; hauteur 18 m ; choix de composition auteur ; dimensions réelles à documenter</x:v>
      </x:c>
      <x:c r="I1556" s="115" t="str">
        <x:v>À équilibrer</x:v>
      </x:c>
      <x:c r="J1556" s="115" t="str">
        <x:v>Non</x:v>
      </x:c>
      <x:c r="K1556" s="115" t="str">
        <x:v>Pièces décrites, murs, portes, niveaux et mobilier inspectables à l’échelle. Volumes réservés, raccord au seed, butin, rencontres et services de campagne restent à terminer.</x:v>
      </x:c>
    </x:row>
    <x:row r="1557" ht="96" customHeight="1">
      <x:c r="A1557" s="115" t="str">
        <x:v>EXT-MONDE-T032-V02</x:v>
      </x:c>
      <x:c r="B1557" s="115" t="str">
        <x:v>EXT-MONDE-T032</x:v>
      </x:c>
      <x:c r="C1557" s="115" t="str">
        <x:v>Ponts</x:v>
      </x:c>
      <x:c r="D1557" s="115" t="str">
        <x:v>Viaduc ferroviaire</x:v>
      </x:c>
      <x:c r="E1557" s="115" t="n">
        <x:v>2</x:v>
      </x:c>
      <x:c r="F1557" s="115" t="str">
        <x:v>Inspection physique</x:v>
      </x:c>
      <x:c r="G1557" s="115" t="str">
        <x:v>1 niveaux ; 34 pièces ; 260 segments de mur ; 0 transitions. Inspection physique ; architecture complète encore ouverte.</x:v>
      </x:c>
      <x:c r="H1557" s="115" t="str">
        <x:v>L 800 ; l 2600 ; hauteur 18,04 m ; choix de composition auteur ; dimensions réelles à documenter</x:v>
      </x:c>
      <x:c r="I1557" s="115" t="str">
        <x:v>À équilibrer</x:v>
      </x:c>
      <x:c r="J1557" s="115" t="str">
        <x:v>Non</x:v>
      </x:c>
      <x:c r="K1557" s="115" t="str">
        <x:v>Pièces décrites, murs, portes, niveaux et mobilier inspectables à l’échelle. Volumes réservés, raccord au seed, butin, rencontres et services de campagne restent à terminer.</x:v>
      </x:c>
    </x:row>
    <x:row r="1558" ht="96" customHeight="1">
      <x:c r="A1558" s="115" t="str">
        <x:v>EXT-MONDE-T032-V03</x:v>
      </x:c>
      <x:c r="B1558" s="115" t="str">
        <x:v>EXT-MONDE-T032</x:v>
      </x:c>
      <x:c r="C1558" s="115" t="str">
        <x:v>Ponts</x:v>
      </x:c>
      <x:c r="D1558" s="115" t="str">
        <x:v>Viaduc ferroviaire</x:v>
      </x:c>
      <x:c r="E1558" s="115" t="n">
        <x:v>3</x:v>
      </x:c>
      <x:c r="F1558" s="115" t="str">
        <x:v>Inspection physique</x:v>
      </x:c>
      <x:c r="G1558" s="115" t="str">
        <x:v>1 niveaux ; 34 pièces ; 260 segments de mur ; 0 transitions. Inspection physique ; architecture complète encore ouverte.</x:v>
      </x:c>
      <x:c r="H1558" s="115" t="str">
        <x:v>L 800 ; l 2600 ; hauteur 18,08 m ; choix de composition auteur ; dimensions réelles à documenter</x:v>
      </x:c>
      <x:c r="I1558" s="115" t="str">
        <x:v>À équilibrer</x:v>
      </x:c>
      <x:c r="J1558" s="115" t="str">
        <x:v>Non</x:v>
      </x:c>
      <x:c r="K1558" s="115" t="str">
        <x:v>Pièces décrites, murs, portes, niveaux et mobilier inspectables à l’échelle. Volumes réservés, raccord au seed, butin, rencontres et services de campagne restent à terminer.</x:v>
      </x:c>
    </x:row>
    <x:row r="1559" ht="96" customHeight="1">
      <x:c r="A1559" s="115" t="str">
        <x:v>EXT-MONDE-T032-V04</x:v>
      </x:c>
      <x:c r="B1559" s="115" t="str">
        <x:v>EXT-MONDE-T032</x:v>
      </x:c>
      <x:c r="C1559" s="115" t="str">
        <x:v>Ponts</x:v>
      </x:c>
      <x:c r="D1559" s="115" t="str">
        <x:v>Viaduc ferroviaire</x:v>
      </x:c>
      <x:c r="E1559" s="115" t="n">
        <x:v>4</x:v>
      </x:c>
      <x:c r="F1559" s="115" t="str">
        <x:v>Inspection physique</x:v>
      </x:c>
      <x:c r="G1559" s="115" t="str">
        <x:v>1 niveaux ; 34 pièces ; 260 segments de mur ; 0 transitions. Inspection physique ; architecture complète encore ouverte.</x:v>
      </x:c>
      <x:c r="H1559" s="115" t="str">
        <x:v>L 800 ; l 2600 ; hauteur 18,12 m ; choix de composition auteur ; dimensions réelles à documenter</x:v>
      </x:c>
      <x:c r="I1559" s="115" t="str">
        <x:v>À équilibrer</x:v>
      </x:c>
      <x:c r="J1559" s="115" t="str">
        <x:v>Non</x:v>
      </x:c>
      <x:c r="K1559" s="115" t="str">
        <x:v>Pièces décrites, murs, portes, niveaux et mobilier inspectables à l’échelle. Volumes réservés, raccord au seed, butin, rencontres et services de campagne restent à terminer.</x:v>
      </x:c>
    </x:row>
    <x:row r="1560" ht="96" customHeight="1">
      <x:c r="A1560" s="115" t="str">
        <x:v>EXT-MONDE-T032-V05</x:v>
      </x:c>
      <x:c r="B1560" s="115" t="str">
        <x:v>EXT-MONDE-T032</x:v>
      </x:c>
      <x:c r="C1560" s="115" t="str">
        <x:v>Ponts</x:v>
      </x:c>
      <x:c r="D1560" s="115" t="str">
        <x:v>Viaduc ferroviaire</x:v>
      </x:c>
      <x:c r="E1560" s="115" t="n">
        <x:v>5</x:v>
      </x:c>
      <x:c r="F1560" s="115" t="str">
        <x:v>Inspection physique</x:v>
      </x:c>
      <x:c r="G1560" s="115" t="str">
        <x:v>1 niveaux ; 34 pièces ; 260 segments de mur ; 0 transitions. Inspection physique ; architecture complète encore ouverte.</x:v>
      </x:c>
      <x:c r="H1560" s="115" t="str">
        <x:v>L 800 ; l 2600 ; hauteur 18,16 m ; choix de composition auteur ; dimensions réelles à documenter</x:v>
      </x:c>
      <x:c r="I1560" s="115" t="str">
        <x:v>À équilibrer</x:v>
      </x:c>
      <x:c r="J1560" s="115" t="str">
        <x:v>Non</x:v>
      </x:c>
      <x:c r="K1560" s="115" t="str">
        <x:v>Pièces décrites, murs, portes, niveaux et mobilier inspectables à l’échelle. Volumes réservés, raccord au seed, butin, rencontres et services de campagne restent à terminer.</x:v>
      </x:c>
    </x:row>
    <x:row r="1561" ht="96" customHeight="1">
      <x:c r="A1561" s="115" t="str">
        <x:v>EXT-MONDE-T032-V06</x:v>
      </x:c>
      <x:c r="B1561" s="115" t="str">
        <x:v>EXT-MONDE-T032</x:v>
      </x:c>
      <x:c r="C1561" s="115" t="str">
        <x:v>Ponts</x:v>
      </x:c>
      <x:c r="D1561" s="115" t="str">
        <x:v>Viaduc ferroviaire</x:v>
      </x:c>
      <x:c r="E1561" s="115" t="n">
        <x:v>6</x:v>
      </x:c>
      <x:c r="F1561" s="115" t="str">
        <x:v>Inspection physique</x:v>
      </x:c>
      <x:c r="G1561" s="115" t="str">
        <x:v>1 niveaux ; 34 pièces ; 260 segments de mur ; 0 transitions. Inspection physique ; architecture complète encore ouverte.</x:v>
      </x:c>
      <x:c r="H1561" s="115" t="str">
        <x:v>L 800 ; l 2600 ; hauteur 18,2 m ; choix de composition auteur ; dimensions réelles à documenter</x:v>
      </x:c>
      <x:c r="I1561" s="115" t="str">
        <x:v>À équilibrer</x:v>
      </x:c>
      <x:c r="J1561" s="115" t="str">
        <x:v>Non</x:v>
      </x:c>
      <x:c r="K1561" s="115" t="str">
        <x:v>Pièces décrites, murs, portes, niveaux et mobilier inspectables à l’échelle. Volumes réservés, raccord au seed, butin, rencontres et services de campagne restent à terminer.</x:v>
      </x:c>
    </x:row>
    <x:row r="1562" ht="96" customHeight="1">
      <x:c r="A1562" s="115" t="str">
        <x:v>EXT-MONDE-T032-V07</x:v>
      </x:c>
      <x:c r="B1562" s="115" t="str">
        <x:v>EXT-MONDE-T032</x:v>
      </x:c>
      <x:c r="C1562" s="115" t="str">
        <x:v>Ponts</x:v>
      </x:c>
      <x:c r="D1562" s="115" t="str">
        <x:v>Viaduc ferroviaire</x:v>
      </x:c>
      <x:c r="E1562" s="115" t="n">
        <x:v>7</x:v>
      </x:c>
      <x:c r="F1562" s="115" t="str">
        <x:v>Inspection physique</x:v>
      </x:c>
      <x:c r="G1562" s="115" t="str">
        <x:v>1 niveaux ; 34 pièces ; 260 segments de mur ; 0 transitions. Inspection physique ; architecture complète encore ouverte.</x:v>
      </x:c>
      <x:c r="H1562" s="115" t="str">
        <x:v>L 800 ; l 2600 ; hauteur 18,24 m ; choix de composition auteur ; dimensions réelles à documenter</x:v>
      </x:c>
      <x:c r="I1562" s="115" t="str">
        <x:v>À équilibrer</x:v>
      </x:c>
      <x:c r="J1562" s="115" t="str">
        <x:v>Non</x:v>
      </x:c>
      <x:c r="K1562" s="115" t="str">
        <x:v>Pièces décrites, murs, portes, niveaux et mobilier inspectables à l’échelle. Volumes réservés, raccord au seed, butin, rencontres et services de campagne restent à terminer.</x:v>
      </x:c>
    </x:row>
    <x:row r="1563" ht="96" customHeight="1">
      <x:c r="A1563" s="115" t="str">
        <x:v>EXT-MONDE-T032-V08</x:v>
      </x:c>
      <x:c r="B1563" s="115" t="str">
        <x:v>EXT-MONDE-T032</x:v>
      </x:c>
      <x:c r="C1563" s="115" t="str">
        <x:v>Ponts</x:v>
      </x:c>
      <x:c r="D1563" s="115" t="str">
        <x:v>Viaduc ferroviaire</x:v>
      </x:c>
      <x:c r="E1563" s="115" t="n">
        <x:v>8</x:v>
      </x:c>
      <x:c r="F1563" s="115" t="str">
        <x:v>Inspection physique</x:v>
      </x:c>
      <x:c r="G1563" s="115" t="str">
        <x:v>1 niveaux ; 34 pièces ; 260 segments de mur ; 0 transitions. Inspection physique ; architecture complète encore ouverte.</x:v>
      </x:c>
      <x:c r="H1563" s="115" t="str">
        <x:v>L 800 ; l 2600 ; hauteur 18,28 m ; choix de composition auteur ; dimensions réelles à documenter</x:v>
      </x:c>
      <x:c r="I1563" s="115" t="str">
        <x:v>À équilibrer</x:v>
      </x:c>
      <x:c r="J1563" s="115" t="str">
        <x:v>Non</x:v>
      </x:c>
      <x:c r="K1563" s="115" t="str">
        <x:v>Pièces décrites, murs, portes, niveaux et mobilier inspectables à l’échelle. Volumes réservés, raccord au seed, butin, rencontres et services de campagne restent à terminer.</x:v>
      </x:c>
    </x:row>
    <x:row r="1564" ht="96" customHeight="1">
      <x:c r="A1564" s="115" t="str">
        <x:v>EXT-MONDE-T032-V09</x:v>
      </x:c>
      <x:c r="B1564" s="115" t="str">
        <x:v>EXT-MONDE-T032</x:v>
      </x:c>
      <x:c r="C1564" s="115" t="str">
        <x:v>Ponts</x:v>
      </x:c>
      <x:c r="D1564" s="115" t="str">
        <x:v>Viaduc ferroviaire</x:v>
      </x:c>
      <x:c r="E1564" s="115" t="n">
        <x:v>9</x:v>
      </x:c>
      <x:c r="F1564" s="115" t="str">
        <x:v>Inspection physique</x:v>
      </x:c>
      <x:c r="G1564" s="115" t="str">
        <x:v>1 niveaux ; 34 pièces ; 260 segments de mur ; 0 transitions. Inspection physique ; architecture complète encore ouverte.</x:v>
      </x:c>
      <x:c r="H1564" s="115" t="str">
        <x:v>L 800 ; l 2600 ; hauteur 18,32 m ; choix de composition auteur ; dimensions réelles à documenter</x:v>
      </x:c>
      <x:c r="I1564" s="115" t="str">
        <x:v>À équilibrer</x:v>
      </x:c>
      <x:c r="J1564" s="115" t="str">
        <x:v>Non</x:v>
      </x:c>
      <x:c r="K1564" s="115" t="str">
        <x:v>Pièces décrites, murs, portes, niveaux et mobilier inspectables à l’échelle. Volumes réservés, raccord au seed, butin, rencontres et services de campagne restent à terminer.</x:v>
      </x:c>
    </x:row>
    <x:row r="1565" ht="96" customHeight="1">
      <x:c r="A1565" s="115" t="str">
        <x:v>EXT-MONDE-T032-V10</x:v>
      </x:c>
      <x:c r="B1565" s="115" t="str">
        <x:v>EXT-MONDE-T032</x:v>
      </x:c>
      <x:c r="C1565" s="115" t="str">
        <x:v>Ponts</x:v>
      </x:c>
      <x:c r="D1565" s="115" t="str">
        <x:v>Viaduc ferroviaire</x:v>
      </x:c>
      <x:c r="E1565" s="115" t="n">
        <x:v>10</x:v>
      </x:c>
      <x:c r="F1565" s="115" t="str">
        <x:v>Inspection physique</x:v>
      </x:c>
      <x:c r="G1565" s="115" t="str">
        <x:v>1 niveaux ; 34 pièces ; 260 segments de mur ; 0 transitions. Inspection physique ; architecture complète encore ouverte.</x:v>
      </x:c>
      <x:c r="H1565" s="115" t="str">
        <x:v>L 800 ; l 2600 ; hauteur 18,36 m ; choix de composition auteur ; dimensions réelles à documenter</x:v>
      </x:c>
      <x:c r="I1565" s="115" t="str">
        <x:v>À équilibrer</x:v>
      </x:c>
      <x:c r="J1565" s="115" t="str">
        <x:v>Non</x:v>
      </x:c>
      <x:c r="K1565" s="115" t="str">
        <x:v>Pièces décrites, murs, portes, niveaux et mobilier inspectables à l’échelle. Volumes réservés, raccord au seed, butin, rencontres et services de campagne restent à terminer.</x:v>
      </x:c>
    </x:row>
    <x:row r="1566" ht="96" customHeight="1">
      <x:c r="A1566" s="115" t="str">
        <x:v>EXT-MONDE-T032-V11</x:v>
      </x:c>
      <x:c r="B1566" s="115" t="str">
        <x:v>EXT-MONDE-T032</x:v>
      </x:c>
      <x:c r="C1566" s="115" t="str">
        <x:v>Ponts</x:v>
      </x:c>
      <x:c r="D1566" s="115" t="str">
        <x:v>Viaduc ferroviaire</x:v>
      </x:c>
      <x:c r="E1566" s="115" t="n">
        <x:v>11</x:v>
      </x:c>
      <x:c r="F1566" s="115" t="str">
        <x:v>Inspection physique</x:v>
      </x:c>
      <x:c r="G1566" s="115" t="str">
        <x:v>1 niveaux ; 34 pièces ; 260 segments de mur ; 0 transitions. Inspection physique ; architecture complète encore ouverte.</x:v>
      </x:c>
      <x:c r="H1566" s="115" t="str">
        <x:v>L 880 ; l 3000 ; hauteur 18 m ; choix de composition auteur ; dimensions réelles à documenter</x:v>
      </x:c>
      <x:c r="I1566" s="115" t="str">
        <x:v>À équilibrer</x:v>
      </x:c>
      <x:c r="J1566" s="115" t="str">
        <x:v>Non</x:v>
      </x:c>
      <x:c r="K1566" s="115" t="str">
        <x:v>Pièces décrites, murs, portes, niveaux et mobilier inspectables à l’échelle. Volumes réservés, raccord au seed, butin, rencontres et services de campagne restent à terminer.</x:v>
      </x:c>
    </x:row>
    <x:row r="1567" ht="96" customHeight="1">
      <x:c r="A1567" s="115" t="str">
        <x:v>EXT-MONDE-T032-V12</x:v>
      </x:c>
      <x:c r="B1567" s="115" t="str">
        <x:v>EXT-MONDE-T032</x:v>
      </x:c>
      <x:c r="C1567" s="115" t="str">
        <x:v>Ponts</x:v>
      </x:c>
      <x:c r="D1567" s="115" t="str">
        <x:v>Viaduc ferroviaire</x:v>
      </x:c>
      <x:c r="E1567" s="115" t="n">
        <x:v>12</x:v>
      </x:c>
      <x:c r="F1567" s="115" t="str">
        <x:v>Inspection physique</x:v>
      </x:c>
      <x:c r="G1567" s="115" t="str">
        <x:v>1 niveaux ; 34 pièces ; 260 segments de mur ; 0 transitions. Inspection physique ; architecture complète encore ouverte.</x:v>
      </x:c>
      <x:c r="H1567" s="115" t="str">
        <x:v>L 880 ; l 3000 ; hauteur 18,04 m ; choix de composition auteur ; dimensions réelles à documenter</x:v>
      </x:c>
      <x:c r="I1567" s="115" t="str">
        <x:v>À équilibrer</x:v>
      </x:c>
      <x:c r="J1567" s="115" t="str">
        <x:v>Non</x:v>
      </x:c>
      <x:c r="K1567" s="115" t="str">
        <x:v>Pièces décrites, murs, portes, niveaux et mobilier inspectables à l’échelle. Volumes réservés, raccord au seed, butin, rencontres et services de campagne restent à terminer.</x:v>
      </x:c>
    </x:row>
    <x:row r="1568" ht="96" customHeight="1">
      <x:c r="A1568" s="115" t="str">
        <x:v>EXT-MONDE-T032-V13</x:v>
      </x:c>
      <x:c r="B1568" s="115" t="str">
        <x:v>EXT-MONDE-T032</x:v>
      </x:c>
      <x:c r="C1568" s="115" t="str">
        <x:v>Ponts</x:v>
      </x:c>
      <x:c r="D1568" s="115" t="str">
        <x:v>Viaduc ferroviaire</x:v>
      </x:c>
      <x:c r="E1568" s="115" t="n">
        <x:v>13</x:v>
      </x:c>
      <x:c r="F1568" s="115" t="str">
        <x:v>Inspection physique</x:v>
      </x:c>
      <x:c r="G1568" s="115" t="str">
        <x:v>1 niveaux ; 34 pièces ; 260 segments de mur ; 0 transitions. Inspection physique ; architecture complète encore ouverte.</x:v>
      </x:c>
      <x:c r="H1568" s="115" t="str">
        <x:v>L 880 ; l 3000 ; hauteur 18,08 m ; choix de composition auteur ; dimensions réelles à documenter</x:v>
      </x:c>
      <x:c r="I1568" s="115" t="str">
        <x:v>À équilibrer</x:v>
      </x:c>
      <x:c r="J1568" s="115" t="str">
        <x:v>Non</x:v>
      </x:c>
      <x:c r="K1568" s="115" t="str">
        <x:v>Pièces décrites, murs, portes, niveaux et mobilier inspectables à l’échelle. Volumes réservés, raccord au seed, butin, rencontres et services de campagne restent à terminer.</x:v>
      </x:c>
    </x:row>
    <x:row r="1569" ht="96" customHeight="1">
      <x:c r="A1569" s="115" t="str">
        <x:v>EXT-MONDE-T032-V14</x:v>
      </x:c>
      <x:c r="B1569" s="115" t="str">
        <x:v>EXT-MONDE-T032</x:v>
      </x:c>
      <x:c r="C1569" s="115" t="str">
        <x:v>Ponts</x:v>
      </x:c>
      <x:c r="D1569" s="115" t="str">
        <x:v>Viaduc ferroviaire</x:v>
      </x:c>
      <x:c r="E1569" s="115" t="n">
        <x:v>14</x:v>
      </x:c>
      <x:c r="F1569" s="115" t="str">
        <x:v>Inspection physique</x:v>
      </x:c>
      <x:c r="G1569" s="115" t="str">
        <x:v>1 niveaux ; 34 pièces ; 260 segments de mur ; 0 transitions. Inspection physique ; architecture complète encore ouverte.</x:v>
      </x:c>
      <x:c r="H1569" s="115" t="str">
        <x:v>L 880 ; l 3000 ; hauteur 18,12 m ; choix de composition auteur ; dimensions réelles à documenter</x:v>
      </x:c>
      <x:c r="I1569" s="115" t="str">
        <x:v>À équilibrer</x:v>
      </x:c>
      <x:c r="J1569" s="115" t="str">
        <x:v>Non</x:v>
      </x:c>
      <x:c r="K1569" s="115" t="str">
        <x:v>Pièces décrites, murs, portes, niveaux et mobilier inspectables à l’échelle. Volumes réservés, raccord au seed, butin, rencontres et services de campagne restent à terminer.</x:v>
      </x:c>
    </x:row>
    <x:row r="1570" ht="96" customHeight="1">
      <x:c r="A1570" s="115" t="str">
        <x:v>EXT-MONDE-T032-V15</x:v>
      </x:c>
      <x:c r="B1570" s="115" t="str">
        <x:v>EXT-MONDE-T032</x:v>
      </x:c>
      <x:c r="C1570" s="115" t="str">
        <x:v>Ponts</x:v>
      </x:c>
      <x:c r="D1570" s="115" t="str">
        <x:v>Viaduc ferroviaire</x:v>
      </x:c>
      <x:c r="E1570" s="115" t="n">
        <x:v>15</x:v>
      </x:c>
      <x:c r="F1570" s="115" t="str">
        <x:v>Inspection physique</x:v>
      </x:c>
      <x:c r="G1570" s="115" t="str">
        <x:v>1 niveaux ; 34 pièces ; 260 segments de mur ; 0 transitions. Inspection physique ; architecture complète encore ouverte.</x:v>
      </x:c>
      <x:c r="H1570" s="115" t="str">
        <x:v>L 880 ; l 3000 ; hauteur 18,16 m ; choix de composition auteur ; dimensions réelles à documenter</x:v>
      </x:c>
      <x:c r="I1570" s="115" t="str">
        <x:v>À équilibrer</x:v>
      </x:c>
      <x:c r="J1570" s="115" t="str">
        <x:v>Non</x:v>
      </x:c>
      <x:c r="K1570" s="115" t="str">
        <x:v>Pièces décrites, murs, portes, niveaux et mobilier inspectables à l’échelle. Volumes réservés, raccord au seed, butin, rencontres et services de campagne restent à terminer.</x:v>
      </x:c>
    </x:row>
    <x:row r="1571" ht="96" customHeight="1">
      <x:c r="A1571" s="115" t="str">
        <x:v>EXT-MONDE-T032-V16</x:v>
      </x:c>
      <x:c r="B1571" s="115" t="str">
        <x:v>EXT-MONDE-T032</x:v>
      </x:c>
      <x:c r="C1571" s="115" t="str">
        <x:v>Ponts</x:v>
      </x:c>
      <x:c r="D1571" s="115" t="str">
        <x:v>Viaduc ferroviaire</x:v>
      </x:c>
      <x:c r="E1571" s="115" t="n">
        <x:v>16</x:v>
      </x:c>
      <x:c r="F1571" s="115" t="str">
        <x:v>Inspection physique</x:v>
      </x:c>
      <x:c r="G1571" s="115" t="str">
        <x:v>1 niveaux ; 34 pièces ; 260 segments de mur ; 0 transitions. Inspection physique ; architecture complète encore ouverte.</x:v>
      </x:c>
      <x:c r="H1571" s="115" t="str">
        <x:v>L 880 ; l 3000 ; hauteur 18,2 m ; choix de composition auteur ; dimensions réelles à documenter</x:v>
      </x:c>
      <x:c r="I1571" s="115" t="str">
        <x:v>À équilibrer</x:v>
      </x:c>
      <x:c r="J1571" s="115" t="str">
        <x:v>Non</x:v>
      </x:c>
      <x:c r="K1571" s="115" t="str">
        <x:v>Pièces décrites, murs, portes, niveaux et mobilier inspectables à l’échelle. Volumes réservés, raccord au seed, butin, rencontres et services de campagne restent à terminer.</x:v>
      </x:c>
    </x:row>
    <x:row r="1572" ht="96" customHeight="1">
      <x:c r="A1572" s="115" t="str">
        <x:v>EXT-MONDE-T032-V17</x:v>
      </x:c>
      <x:c r="B1572" s="115" t="str">
        <x:v>EXT-MONDE-T032</x:v>
      </x:c>
      <x:c r="C1572" s="115" t="str">
        <x:v>Ponts</x:v>
      </x:c>
      <x:c r="D1572" s="115" t="str">
        <x:v>Viaduc ferroviaire</x:v>
      </x:c>
      <x:c r="E1572" s="115" t="n">
        <x:v>17</x:v>
      </x:c>
      <x:c r="F1572" s="115" t="str">
        <x:v>Inspection physique</x:v>
      </x:c>
      <x:c r="G1572" s="115" t="str">
        <x:v>1 niveaux ; 34 pièces ; 260 segments de mur ; 0 transitions. Inspection physique ; architecture complète encore ouverte.</x:v>
      </x:c>
      <x:c r="H1572" s="115" t="str">
        <x:v>L 880 ; l 3000 ; hauteur 18,24 m ; choix de composition auteur ; dimensions réelles à documenter</x:v>
      </x:c>
      <x:c r="I1572" s="115" t="str">
        <x:v>À équilibrer</x:v>
      </x:c>
      <x:c r="J1572" s="115" t="str">
        <x:v>Non</x:v>
      </x:c>
      <x:c r="K1572" s="115" t="str">
        <x:v>Pièces décrites, murs, portes, niveaux et mobilier inspectables à l’échelle. Volumes réservés, raccord au seed, butin, rencontres et services de campagne restent à terminer.</x:v>
      </x:c>
    </x:row>
    <x:row r="1573" ht="96" customHeight="1">
      <x:c r="A1573" s="115" t="str">
        <x:v>EXT-MONDE-T032-V18</x:v>
      </x:c>
      <x:c r="B1573" s="115" t="str">
        <x:v>EXT-MONDE-T032</x:v>
      </x:c>
      <x:c r="C1573" s="115" t="str">
        <x:v>Ponts</x:v>
      </x:c>
      <x:c r="D1573" s="115" t="str">
        <x:v>Viaduc ferroviaire</x:v>
      </x:c>
      <x:c r="E1573" s="115" t="n">
        <x:v>18</x:v>
      </x:c>
      <x:c r="F1573" s="115" t="str">
        <x:v>Inspection physique</x:v>
      </x:c>
      <x:c r="G1573" s="115" t="str">
        <x:v>1 niveaux ; 34 pièces ; 260 segments de mur ; 0 transitions. Inspection physique ; architecture complète encore ouverte.</x:v>
      </x:c>
      <x:c r="H1573" s="115" t="str">
        <x:v>L 880 ; l 3000 ; hauteur 18,28 m ; choix de composition auteur ; dimensions réelles à documenter</x:v>
      </x:c>
      <x:c r="I1573" s="115" t="str">
        <x:v>À équilibrer</x:v>
      </x:c>
      <x:c r="J1573" s="115" t="str">
        <x:v>Non</x:v>
      </x:c>
      <x:c r="K1573" s="115" t="str">
        <x:v>Pièces décrites, murs, portes, niveaux et mobilier inspectables à l’échelle. Volumes réservés, raccord au seed, butin, rencontres et services de campagne restent à terminer.</x:v>
      </x:c>
    </x:row>
    <x:row r="1574" ht="96" customHeight="1">
      <x:c r="A1574" s="115" t="str">
        <x:v>EXT-MONDE-T032-V19</x:v>
      </x:c>
      <x:c r="B1574" s="115" t="str">
        <x:v>EXT-MONDE-T032</x:v>
      </x:c>
      <x:c r="C1574" s="115" t="str">
        <x:v>Ponts</x:v>
      </x:c>
      <x:c r="D1574" s="115" t="str">
        <x:v>Viaduc ferroviaire</x:v>
      </x:c>
      <x:c r="E1574" s="115" t="n">
        <x:v>19</x:v>
      </x:c>
      <x:c r="F1574" s="115" t="str">
        <x:v>Inspection physique</x:v>
      </x:c>
      <x:c r="G1574" s="115" t="str">
        <x:v>1 niveaux ; 34 pièces ; 260 segments de mur ; 0 transitions. Inspection physique ; architecture complète encore ouverte.</x:v>
      </x:c>
      <x:c r="H1574" s="115" t="str">
        <x:v>L 880 ; l 3000 ; hauteur 18,32 m ; choix de composition auteur ; dimensions réelles à documenter</x:v>
      </x:c>
      <x:c r="I1574" s="115" t="str">
        <x:v>À équilibrer</x:v>
      </x:c>
      <x:c r="J1574" s="115" t="str">
        <x:v>Non</x:v>
      </x:c>
      <x:c r="K1574" s="115" t="str">
        <x:v>Pièces décrites, murs, portes, niveaux et mobilier inspectables à l’échelle. Volumes réservés, raccord au seed, butin, rencontres et services de campagne restent à terminer.</x:v>
      </x:c>
    </x:row>
    <x:row r="1575" ht="96" customHeight="1">
      <x:c r="A1575" s="115" t="str">
        <x:v>EXT-MONDE-T032-V20</x:v>
      </x:c>
      <x:c r="B1575" s="115" t="str">
        <x:v>EXT-MONDE-T032</x:v>
      </x:c>
      <x:c r="C1575" s="115" t="str">
        <x:v>Ponts</x:v>
      </x:c>
      <x:c r="D1575" s="115" t="str">
        <x:v>Viaduc ferroviaire</x:v>
      </x:c>
      <x:c r="E1575" s="115" t="n">
        <x:v>20</x:v>
      </x:c>
      <x:c r="F1575" s="115" t="str">
        <x:v>Inspection physique</x:v>
      </x:c>
      <x:c r="G1575" s="115" t="str">
        <x:v>1 niveaux ; 34 pièces ; 260 segments de mur ; 0 transitions. Inspection physique ; architecture complète encore ouverte.</x:v>
      </x:c>
      <x:c r="H1575" s="115" t="str">
        <x:v>L 880 ; l 3000 ; hauteur 18,36 m ; choix de composition auteur ; dimensions réelles à documenter</x:v>
      </x:c>
      <x:c r="I1575" s="115" t="str">
        <x:v>À équilibrer</x:v>
      </x:c>
      <x:c r="J1575" s="115" t="str">
        <x:v>Non</x:v>
      </x:c>
      <x:c r="K1575" s="115" t="str">
        <x:v>Pièces décrites, murs, portes, niveaux et mobilier inspectables à l’échelle. Volumes réservés, raccord au seed, butin, rencontres et services de campagne restent à terminer.</x:v>
      </x:c>
    </x:row>
    <x:row r="1576" ht="96" customHeight="1">
      <x:c r="A1576" s="115" t="str">
        <x:v>EXT-MONDE-T032-V21</x:v>
      </x:c>
      <x:c r="B1576" s="115" t="str">
        <x:v>EXT-MONDE-T032</x:v>
      </x:c>
      <x:c r="C1576" s="115" t="str">
        <x:v>Ponts</x:v>
      </x:c>
      <x:c r="D1576" s="115" t="str">
        <x:v>Viaduc ferroviaire</x:v>
      </x:c>
      <x:c r="E1576" s="115" t="n">
        <x:v>21</x:v>
      </x:c>
      <x:c r="F1576" s="115" t="str">
        <x:v>Inspection physique</x:v>
      </x:c>
      <x:c r="G1576" s="115" t="str">
        <x:v>1 niveaux ; 34 pièces ; 260 segments de mur ; 0 transitions. Inspection physique ; architecture complète encore ouverte.</x:v>
      </x:c>
      <x:c r="H1576" s="115" t="str">
        <x:v>L 960 ; l 3400 ; hauteur 18 m ; choix de composition auteur ; dimensions réelles à documenter</x:v>
      </x:c>
      <x:c r="I1576" s="115" t="str">
        <x:v>À équilibrer</x:v>
      </x:c>
      <x:c r="J1576" s="115" t="str">
        <x:v>Non</x:v>
      </x:c>
      <x:c r="K1576" s="115" t="str">
        <x:v>Pièces décrites, murs, portes, niveaux et mobilier inspectables à l’échelle. Volumes réservés, raccord au seed, butin, rencontres et services de campagne restent à terminer.</x:v>
      </x:c>
    </x:row>
    <x:row r="1577" ht="96" customHeight="1">
      <x:c r="A1577" s="115" t="str">
        <x:v>EXT-MONDE-T032-V22</x:v>
      </x:c>
      <x:c r="B1577" s="115" t="str">
        <x:v>EXT-MONDE-T032</x:v>
      </x:c>
      <x:c r="C1577" s="115" t="str">
        <x:v>Ponts</x:v>
      </x:c>
      <x:c r="D1577" s="115" t="str">
        <x:v>Viaduc ferroviaire</x:v>
      </x:c>
      <x:c r="E1577" s="115" t="n">
        <x:v>22</x:v>
      </x:c>
      <x:c r="F1577" s="115" t="str">
        <x:v>Inspection physique</x:v>
      </x:c>
      <x:c r="G1577" s="115" t="str">
        <x:v>1 niveaux ; 34 pièces ; 260 segments de mur ; 0 transitions. Inspection physique ; architecture complète encore ouverte.</x:v>
      </x:c>
      <x:c r="H1577" s="115" t="str">
        <x:v>L 960 ; l 3400 ; hauteur 18,04 m ; choix de composition auteur ; dimensions réelles à documenter</x:v>
      </x:c>
      <x:c r="I1577" s="115" t="str">
        <x:v>À équilibrer</x:v>
      </x:c>
      <x:c r="J1577" s="115" t="str">
        <x:v>Non</x:v>
      </x:c>
      <x:c r="K1577" s="115" t="str">
        <x:v>Pièces décrites, murs, portes, niveaux et mobilier inspectables à l’échelle. Volumes réservés, raccord au seed, butin, rencontres et services de campagne restent à terminer.</x:v>
      </x:c>
    </x:row>
    <x:row r="1578" ht="96" customHeight="1">
      <x:c r="A1578" s="115" t="str">
        <x:v>EXT-MONDE-T032-V23</x:v>
      </x:c>
      <x:c r="B1578" s="115" t="str">
        <x:v>EXT-MONDE-T032</x:v>
      </x:c>
      <x:c r="C1578" s="115" t="str">
        <x:v>Ponts</x:v>
      </x:c>
      <x:c r="D1578" s="115" t="str">
        <x:v>Viaduc ferroviaire</x:v>
      </x:c>
      <x:c r="E1578" s="115" t="n">
        <x:v>23</x:v>
      </x:c>
      <x:c r="F1578" s="115" t="str">
        <x:v>Inspection physique</x:v>
      </x:c>
      <x:c r="G1578" s="115" t="str">
        <x:v>1 niveaux ; 34 pièces ; 260 segments de mur ; 0 transitions. Inspection physique ; architecture complète encore ouverte.</x:v>
      </x:c>
      <x:c r="H1578" s="115" t="str">
        <x:v>L 960 ; l 3400 ; hauteur 18,08 m ; choix de composition auteur ; dimensions réelles à documenter</x:v>
      </x:c>
      <x:c r="I1578" s="115" t="str">
        <x:v>À équilibrer</x:v>
      </x:c>
      <x:c r="J1578" s="115" t="str">
        <x:v>Non</x:v>
      </x:c>
      <x:c r="K1578" s="115" t="str">
        <x:v>Pièces décrites, murs, portes, niveaux et mobilier inspectables à l’échelle. Volumes réservés, raccord au seed, butin, rencontres et services de campagne restent à terminer.</x:v>
      </x:c>
    </x:row>
    <x:row r="1579" ht="96" customHeight="1">
      <x:c r="A1579" s="115" t="str">
        <x:v>EXT-MONDE-T032-V24</x:v>
      </x:c>
      <x:c r="B1579" s="115" t="str">
        <x:v>EXT-MONDE-T032</x:v>
      </x:c>
      <x:c r="C1579" s="115" t="str">
        <x:v>Ponts</x:v>
      </x:c>
      <x:c r="D1579" s="115" t="str">
        <x:v>Viaduc ferroviaire</x:v>
      </x:c>
      <x:c r="E1579" s="115" t="n">
        <x:v>24</x:v>
      </x:c>
      <x:c r="F1579" s="115" t="str">
        <x:v>Inspection physique</x:v>
      </x:c>
      <x:c r="G1579" s="115" t="str">
        <x:v>1 niveaux ; 34 pièces ; 260 segments de mur ; 0 transitions. Inspection physique ; architecture complète encore ouverte.</x:v>
      </x:c>
      <x:c r="H1579" s="115" t="str">
        <x:v>L 960 ; l 3400 ; hauteur 18,12 m ; choix de composition auteur ; dimensions réelles à documenter</x:v>
      </x:c>
      <x:c r="I1579" s="115" t="str">
        <x:v>À équilibrer</x:v>
      </x:c>
      <x:c r="J1579" s="115" t="str">
        <x:v>Non</x:v>
      </x:c>
      <x:c r="K1579" s="115" t="str">
        <x:v>Pièces décrites, murs, portes, niveaux et mobilier inspectables à l’échelle. Volumes réservés, raccord au seed, butin, rencontres et services de campagne restent à terminer.</x:v>
      </x:c>
    </x:row>
    <x:row r="1580" ht="96" customHeight="1">
      <x:c r="A1580" s="115" t="str">
        <x:v>EXT-MONDE-T032-V25</x:v>
      </x:c>
      <x:c r="B1580" s="115" t="str">
        <x:v>EXT-MONDE-T032</x:v>
      </x:c>
      <x:c r="C1580" s="115" t="str">
        <x:v>Ponts</x:v>
      </x:c>
      <x:c r="D1580" s="115" t="str">
        <x:v>Viaduc ferroviaire</x:v>
      </x:c>
      <x:c r="E1580" s="115" t="n">
        <x:v>25</x:v>
      </x:c>
      <x:c r="F1580" s="115" t="str">
        <x:v>Inspection physique</x:v>
      </x:c>
      <x:c r="G1580" s="115" t="str">
        <x:v>1 niveaux ; 34 pièces ; 260 segments de mur ; 0 transitions. Inspection physique ; architecture complète encore ouverte.</x:v>
      </x:c>
      <x:c r="H1580" s="115" t="str">
        <x:v>L 960 ; l 3400 ; hauteur 18,16 m ; choix de composition auteur ; dimensions réelles à documenter</x:v>
      </x:c>
      <x:c r="I1580" s="115" t="str">
        <x:v>À équilibrer</x:v>
      </x:c>
      <x:c r="J1580" s="115" t="str">
        <x:v>Non</x:v>
      </x:c>
      <x:c r="K1580" s="115" t="str">
        <x:v>Pièces décrites, murs, portes, niveaux et mobilier inspectables à l’échelle. Volumes réservés, raccord au seed, butin, rencontres et services de campagne restent à terminer.</x:v>
      </x:c>
    </x:row>
    <x:row r="1581" ht="96" customHeight="1">
      <x:c r="A1581" s="115" t="str">
        <x:v>EXT-MONDE-T032-V26</x:v>
      </x:c>
      <x:c r="B1581" s="115" t="str">
        <x:v>EXT-MONDE-T032</x:v>
      </x:c>
      <x:c r="C1581" s="115" t="str">
        <x:v>Ponts</x:v>
      </x:c>
      <x:c r="D1581" s="115" t="str">
        <x:v>Viaduc ferroviaire</x:v>
      </x:c>
      <x:c r="E1581" s="115" t="n">
        <x:v>26</x:v>
      </x:c>
      <x:c r="F1581" s="115" t="str">
        <x:v>Inspection physique</x:v>
      </x:c>
      <x:c r="G1581" s="115" t="str">
        <x:v>1 niveaux ; 34 pièces ; 260 segments de mur ; 0 transitions. Inspection physique ; architecture complète encore ouverte.</x:v>
      </x:c>
      <x:c r="H1581" s="115" t="str">
        <x:v>L 960 ; l 3400 ; hauteur 18,2 m ; choix de composition auteur ; dimensions réelles à documenter</x:v>
      </x:c>
      <x:c r="I1581" s="115" t="str">
        <x:v>À équilibrer</x:v>
      </x:c>
      <x:c r="J1581" s="115" t="str">
        <x:v>Non</x:v>
      </x:c>
      <x:c r="K1581" s="115" t="str">
        <x:v>Pièces décrites, murs, portes, niveaux et mobilier inspectables à l’échelle. Volumes réservés, raccord au seed, butin, rencontres et services de campagne restent à terminer.</x:v>
      </x:c>
    </x:row>
    <x:row r="1582" ht="96" customHeight="1">
      <x:c r="A1582" s="115" t="str">
        <x:v>EXT-MONDE-T032-V27</x:v>
      </x:c>
      <x:c r="B1582" s="115" t="str">
        <x:v>EXT-MONDE-T032</x:v>
      </x:c>
      <x:c r="C1582" s="115" t="str">
        <x:v>Ponts</x:v>
      </x:c>
      <x:c r="D1582" s="115" t="str">
        <x:v>Viaduc ferroviaire</x:v>
      </x:c>
      <x:c r="E1582" s="115" t="n">
        <x:v>27</x:v>
      </x:c>
      <x:c r="F1582" s="115" t="str">
        <x:v>Inspection physique</x:v>
      </x:c>
      <x:c r="G1582" s="115" t="str">
        <x:v>1 niveaux ; 34 pièces ; 260 segments de mur ; 0 transitions. Inspection physique ; architecture complète encore ouverte.</x:v>
      </x:c>
      <x:c r="H1582" s="115" t="str">
        <x:v>L 960 ; l 3400 ; hauteur 18,24 m ; choix de composition auteur ; dimensions réelles à documenter</x:v>
      </x:c>
      <x:c r="I1582" s="115" t="str">
        <x:v>À équilibrer</x:v>
      </x:c>
      <x:c r="J1582" s="115" t="str">
        <x:v>Non</x:v>
      </x:c>
      <x:c r="K1582" s="115" t="str">
        <x:v>Pièces décrites, murs, portes, niveaux et mobilier inspectables à l’échelle. Volumes réservés, raccord au seed, butin, rencontres et services de campagne restent à terminer.</x:v>
      </x:c>
    </x:row>
    <x:row r="1583" ht="96" customHeight="1">
      <x:c r="A1583" s="115" t="str">
        <x:v>EXT-MONDE-T032-V28</x:v>
      </x:c>
      <x:c r="B1583" s="115" t="str">
        <x:v>EXT-MONDE-T032</x:v>
      </x:c>
      <x:c r="C1583" s="115" t="str">
        <x:v>Ponts</x:v>
      </x:c>
      <x:c r="D1583" s="115" t="str">
        <x:v>Viaduc ferroviaire</x:v>
      </x:c>
      <x:c r="E1583" s="115" t="n">
        <x:v>28</x:v>
      </x:c>
      <x:c r="F1583" s="115" t="str">
        <x:v>Inspection physique</x:v>
      </x:c>
      <x:c r="G1583" s="115" t="str">
        <x:v>1 niveaux ; 34 pièces ; 260 segments de mur ; 0 transitions. Inspection physique ; architecture complète encore ouverte.</x:v>
      </x:c>
      <x:c r="H1583" s="115" t="str">
        <x:v>L 960 ; l 3400 ; hauteur 18,28 m ; choix de composition auteur ; dimensions réelles à documenter</x:v>
      </x:c>
      <x:c r="I1583" s="115" t="str">
        <x:v>À équilibrer</x:v>
      </x:c>
      <x:c r="J1583" s="115" t="str">
        <x:v>Non</x:v>
      </x:c>
      <x:c r="K1583" s="115" t="str">
        <x:v>Pièces décrites, murs, portes, niveaux et mobilier inspectables à l’échelle. Volumes réservés, raccord au seed, butin, rencontres et services de campagne restent à terminer.</x:v>
      </x:c>
    </x:row>
    <x:row r="1584" ht="96" customHeight="1">
      <x:c r="A1584" s="115" t="str">
        <x:v>EXT-MONDE-T032-V29</x:v>
      </x:c>
      <x:c r="B1584" s="115" t="str">
        <x:v>EXT-MONDE-T032</x:v>
      </x:c>
      <x:c r="C1584" s="115" t="str">
        <x:v>Ponts</x:v>
      </x:c>
      <x:c r="D1584" s="115" t="str">
        <x:v>Viaduc ferroviaire</x:v>
      </x:c>
      <x:c r="E1584" s="115" t="n">
        <x:v>29</x:v>
      </x:c>
      <x:c r="F1584" s="115" t="str">
        <x:v>Inspection physique</x:v>
      </x:c>
      <x:c r="G1584" s="115" t="str">
        <x:v>1 niveaux ; 34 pièces ; 260 segments de mur ; 0 transitions. Inspection physique ; architecture complète encore ouverte.</x:v>
      </x:c>
      <x:c r="H1584" s="115" t="str">
        <x:v>L 960 ; l 3400 ; hauteur 18,32 m ; choix de composition auteur ; dimensions réelles à documenter</x:v>
      </x:c>
      <x:c r="I1584" s="115" t="str">
        <x:v>À équilibrer</x:v>
      </x:c>
      <x:c r="J1584" s="115" t="str">
        <x:v>Non</x:v>
      </x:c>
      <x:c r="K1584" s="115" t="str">
        <x:v>Pièces décrites, murs, portes, niveaux et mobilier inspectables à l’échelle. Volumes réservés, raccord au seed, butin, rencontres et services de campagne restent à terminer.</x:v>
      </x:c>
    </x:row>
    <x:row r="1585" ht="96" customHeight="1">
      <x:c r="A1585" s="115" t="str">
        <x:v>EXT-MONDE-T032-V30</x:v>
      </x:c>
      <x:c r="B1585" s="115" t="str">
        <x:v>EXT-MONDE-T032</x:v>
      </x:c>
      <x:c r="C1585" s="115" t="str">
        <x:v>Ponts</x:v>
      </x:c>
      <x:c r="D1585" s="115" t="str">
        <x:v>Viaduc ferroviaire</x:v>
      </x:c>
      <x:c r="E1585" s="115" t="n">
        <x:v>30</x:v>
      </x:c>
      <x:c r="F1585" s="115" t="str">
        <x:v>Inspection physique</x:v>
      </x:c>
      <x:c r="G1585" s="115" t="str">
        <x:v>1 niveaux ; 34 pièces ; 260 segments de mur ; 0 transitions. Inspection physique ; architecture complète encore ouverte.</x:v>
      </x:c>
      <x:c r="H1585" s="115" t="str">
        <x:v>L 960 ; l 3400 ; hauteur 18,36 m ; choix de composition auteur ; dimensions réelles à documenter</x:v>
      </x:c>
      <x:c r="I1585" s="115" t="str">
        <x:v>À équilibrer</x:v>
      </x:c>
      <x:c r="J1585" s="115" t="str">
        <x:v>Non</x:v>
      </x:c>
      <x:c r="K1585" s="115" t="str">
        <x:v>Pièces décrites, murs, portes, niveaux et mobilier inspectables à l’échelle. Volumes réservés, raccord au seed, butin, rencontres et services de campagne restent à terminer.</x:v>
      </x:c>
    </x:row>
    <x:row r="1586" ht="96" customHeight="1">
      <x:c r="A1586" s="115" t="str">
        <x:v>EXT-MONDE-T032-V31</x:v>
      </x:c>
      <x:c r="B1586" s="115" t="str">
        <x:v>EXT-MONDE-T032</x:v>
      </x:c>
      <x:c r="C1586" s="115" t="str">
        <x:v>Ponts</x:v>
      </x:c>
      <x:c r="D1586" s="115" t="str">
        <x:v>Viaduc ferroviaire</x:v>
      </x:c>
      <x:c r="E1586" s="115" t="n">
        <x:v>31</x:v>
      </x:c>
      <x:c r="F1586" s="115" t="str">
        <x:v>Inspection physique</x:v>
      </x:c>
      <x:c r="G1586" s="115" t="str">
        <x:v>1 niveaux ; 34 pièces ; 260 segments de mur ; 0 transitions. Inspection physique ; architecture complète encore ouverte.</x:v>
      </x:c>
      <x:c r="H1586" s="115" t="str">
        <x:v>L 1040 ; l 3800 ; hauteur 18 m ; choix de composition auteur ; dimensions réelles à documenter</x:v>
      </x:c>
      <x:c r="I1586" s="115" t="str">
        <x:v>À équilibrer</x:v>
      </x:c>
      <x:c r="J1586" s="115" t="str">
        <x:v>Non</x:v>
      </x:c>
      <x:c r="K1586" s="115" t="str">
        <x:v>Pièces décrites, murs, portes, niveaux et mobilier inspectables à l’échelle. Volumes réservés, raccord au seed, butin, rencontres et services de campagne restent à terminer.</x:v>
      </x:c>
    </x:row>
    <x:row r="1587" ht="96" customHeight="1">
      <x:c r="A1587" s="115" t="str">
        <x:v>EXT-MONDE-T032-V32</x:v>
      </x:c>
      <x:c r="B1587" s="115" t="str">
        <x:v>EXT-MONDE-T032</x:v>
      </x:c>
      <x:c r="C1587" s="115" t="str">
        <x:v>Ponts</x:v>
      </x:c>
      <x:c r="D1587" s="115" t="str">
        <x:v>Viaduc ferroviaire</x:v>
      </x:c>
      <x:c r="E1587" s="115" t="n">
        <x:v>32</x:v>
      </x:c>
      <x:c r="F1587" s="115" t="str">
        <x:v>Inspection physique</x:v>
      </x:c>
      <x:c r="G1587" s="115" t="str">
        <x:v>1 niveaux ; 34 pièces ; 260 segments de mur ; 0 transitions. Inspection physique ; architecture complète encore ouverte.</x:v>
      </x:c>
      <x:c r="H1587" s="115" t="str">
        <x:v>L 1040 ; l 3800 ; hauteur 18,04 m ; choix de composition auteur ; dimensions réelles à documenter</x:v>
      </x:c>
      <x:c r="I1587" s="115" t="str">
        <x:v>À équilibrer</x:v>
      </x:c>
      <x:c r="J1587" s="115" t="str">
        <x:v>Non</x:v>
      </x:c>
      <x:c r="K1587" s="115" t="str">
        <x:v>Pièces décrites, murs, portes, niveaux et mobilier inspectables à l’échelle. Volumes réservés, raccord au seed, butin, rencontres et services de campagne restent à terminer.</x:v>
      </x:c>
    </x:row>
    <x:row r="1588" ht="96" customHeight="1">
      <x:c r="A1588" s="115" t="str">
        <x:v>EXT-MONDE-T032-V33</x:v>
      </x:c>
      <x:c r="B1588" s="115" t="str">
        <x:v>EXT-MONDE-T032</x:v>
      </x:c>
      <x:c r="C1588" s="115" t="str">
        <x:v>Ponts</x:v>
      </x:c>
      <x:c r="D1588" s="115" t="str">
        <x:v>Viaduc ferroviaire</x:v>
      </x:c>
      <x:c r="E1588" s="115" t="n">
        <x:v>33</x:v>
      </x:c>
      <x:c r="F1588" s="115" t="str">
        <x:v>Inspection physique</x:v>
      </x:c>
      <x:c r="G1588" s="115" t="str">
        <x:v>1 niveaux ; 34 pièces ; 260 segments de mur ; 0 transitions. Inspection physique ; architecture complète encore ouverte.</x:v>
      </x:c>
      <x:c r="H1588" s="115" t="str">
        <x:v>L 1040 ; l 3800 ; hauteur 18,08 m ; choix de composition auteur ; dimensions réelles à documenter</x:v>
      </x:c>
      <x:c r="I1588" s="115" t="str">
        <x:v>À équilibrer</x:v>
      </x:c>
      <x:c r="J1588" s="115" t="str">
        <x:v>Non</x:v>
      </x:c>
      <x:c r="K1588" s="115" t="str">
        <x:v>Pièces décrites, murs, portes, niveaux et mobilier inspectables à l’échelle. Volumes réservés, raccord au seed, butin, rencontres et services de campagne restent à terminer.</x:v>
      </x:c>
    </x:row>
    <x:row r="1589" ht="96" customHeight="1">
      <x:c r="A1589" s="115" t="str">
        <x:v>EXT-MONDE-T032-V34</x:v>
      </x:c>
      <x:c r="B1589" s="115" t="str">
        <x:v>EXT-MONDE-T032</x:v>
      </x:c>
      <x:c r="C1589" s="115" t="str">
        <x:v>Ponts</x:v>
      </x:c>
      <x:c r="D1589" s="115" t="str">
        <x:v>Viaduc ferroviaire</x:v>
      </x:c>
      <x:c r="E1589" s="115" t="n">
        <x:v>34</x:v>
      </x:c>
      <x:c r="F1589" s="115" t="str">
        <x:v>Inspection physique</x:v>
      </x:c>
      <x:c r="G1589" s="115" t="str">
        <x:v>1 niveaux ; 34 pièces ; 260 segments de mur ; 0 transitions. Inspection physique ; architecture complète encore ouverte.</x:v>
      </x:c>
      <x:c r="H1589" s="115" t="str">
        <x:v>L 1040 ; l 3800 ; hauteur 18,12 m ; choix de composition auteur ; dimensions réelles à documenter</x:v>
      </x:c>
      <x:c r="I1589" s="115" t="str">
        <x:v>À équilibrer</x:v>
      </x:c>
      <x:c r="J1589" s="115" t="str">
        <x:v>Non</x:v>
      </x:c>
      <x:c r="K1589" s="115" t="str">
        <x:v>Pièces décrites, murs, portes, niveaux et mobilier inspectables à l’échelle. Volumes réservés, raccord au seed, butin, rencontres et services de campagne restent à terminer.</x:v>
      </x:c>
    </x:row>
    <x:row r="1590" ht="96" customHeight="1">
      <x:c r="A1590" s="115" t="str">
        <x:v>EXT-MONDE-T032-V35</x:v>
      </x:c>
      <x:c r="B1590" s="115" t="str">
        <x:v>EXT-MONDE-T032</x:v>
      </x:c>
      <x:c r="C1590" s="115" t="str">
        <x:v>Ponts</x:v>
      </x:c>
      <x:c r="D1590" s="115" t="str">
        <x:v>Viaduc ferroviaire</x:v>
      </x:c>
      <x:c r="E1590" s="115" t="n">
        <x:v>35</x:v>
      </x:c>
      <x:c r="F1590" s="115" t="str">
        <x:v>Inspection physique</x:v>
      </x:c>
      <x:c r="G1590" s="115" t="str">
        <x:v>1 niveaux ; 34 pièces ; 260 segments de mur ; 0 transitions. Inspection physique ; architecture complète encore ouverte.</x:v>
      </x:c>
      <x:c r="H1590" s="115" t="str">
        <x:v>L 1040 ; l 3800 ; hauteur 18,16 m ; choix de composition auteur ; dimensions réelles à documenter</x:v>
      </x:c>
      <x:c r="I1590" s="115" t="str">
        <x:v>À équilibrer</x:v>
      </x:c>
      <x:c r="J1590" s="115" t="str">
        <x:v>Non</x:v>
      </x:c>
      <x:c r="K1590" s="115" t="str">
        <x:v>Pièces décrites, murs, portes, niveaux et mobilier inspectables à l’échelle. Volumes réservés, raccord au seed, butin, rencontres et services de campagne restent à terminer.</x:v>
      </x:c>
    </x:row>
    <x:row r="1591" ht="96" customHeight="1">
      <x:c r="A1591" s="115" t="str">
        <x:v>EXT-MONDE-T032-V36</x:v>
      </x:c>
      <x:c r="B1591" s="115" t="str">
        <x:v>EXT-MONDE-T032</x:v>
      </x:c>
      <x:c r="C1591" s="115" t="str">
        <x:v>Ponts</x:v>
      </x:c>
      <x:c r="D1591" s="115" t="str">
        <x:v>Viaduc ferroviaire</x:v>
      </x:c>
      <x:c r="E1591" s="115" t="n">
        <x:v>36</x:v>
      </x:c>
      <x:c r="F1591" s="115" t="str">
        <x:v>Inspection physique</x:v>
      </x:c>
      <x:c r="G1591" s="115" t="str">
        <x:v>1 niveaux ; 34 pièces ; 260 segments de mur ; 0 transitions. Inspection physique ; architecture complète encore ouverte.</x:v>
      </x:c>
      <x:c r="H1591" s="115" t="str">
        <x:v>L 1040 ; l 3800 ; hauteur 18,2 m ; choix de composition auteur ; dimensions réelles à documenter</x:v>
      </x:c>
      <x:c r="I1591" s="115" t="str">
        <x:v>À équilibrer</x:v>
      </x:c>
      <x:c r="J1591" s="115" t="str">
        <x:v>Non</x:v>
      </x:c>
      <x:c r="K1591" s="115" t="str">
        <x:v>Pièces décrites, murs, portes, niveaux et mobilier inspectables à l’échelle. Volumes réservés, raccord au seed, butin, rencontres et services de campagne restent à terminer.</x:v>
      </x:c>
    </x:row>
    <x:row r="1592" ht="96" customHeight="1">
      <x:c r="A1592" s="115" t="str">
        <x:v>EXT-MONDE-T032-V37</x:v>
      </x:c>
      <x:c r="B1592" s="115" t="str">
        <x:v>EXT-MONDE-T032</x:v>
      </x:c>
      <x:c r="C1592" s="115" t="str">
        <x:v>Ponts</x:v>
      </x:c>
      <x:c r="D1592" s="115" t="str">
        <x:v>Viaduc ferroviaire</x:v>
      </x:c>
      <x:c r="E1592" s="115" t="n">
        <x:v>37</x:v>
      </x:c>
      <x:c r="F1592" s="115" t="str">
        <x:v>Inspection physique</x:v>
      </x:c>
      <x:c r="G1592" s="115" t="str">
        <x:v>1 niveaux ; 34 pièces ; 260 segments de mur ; 0 transitions. Inspection physique ; architecture complète encore ouverte.</x:v>
      </x:c>
      <x:c r="H1592" s="115" t="str">
        <x:v>L 1040 ; l 3800 ; hauteur 18,24 m ; choix de composition auteur ; dimensions réelles à documenter</x:v>
      </x:c>
      <x:c r="I1592" s="115" t="str">
        <x:v>À équilibrer</x:v>
      </x:c>
      <x:c r="J1592" s="115" t="str">
        <x:v>Non</x:v>
      </x:c>
      <x:c r="K1592" s="115" t="str">
        <x:v>Pièces décrites, murs, portes, niveaux et mobilier inspectables à l’échelle. Volumes réservés, raccord au seed, butin, rencontres et services de campagne restent à terminer.</x:v>
      </x:c>
    </x:row>
    <x:row r="1593" ht="96" customHeight="1">
      <x:c r="A1593" s="115" t="str">
        <x:v>EXT-MONDE-T032-V38</x:v>
      </x:c>
      <x:c r="B1593" s="115" t="str">
        <x:v>EXT-MONDE-T032</x:v>
      </x:c>
      <x:c r="C1593" s="115" t="str">
        <x:v>Ponts</x:v>
      </x:c>
      <x:c r="D1593" s="115" t="str">
        <x:v>Viaduc ferroviaire</x:v>
      </x:c>
      <x:c r="E1593" s="115" t="n">
        <x:v>38</x:v>
      </x:c>
      <x:c r="F1593" s="115" t="str">
        <x:v>Inspection physique</x:v>
      </x:c>
      <x:c r="G1593" s="115" t="str">
        <x:v>1 niveaux ; 34 pièces ; 260 segments de mur ; 0 transitions. Inspection physique ; architecture complète encore ouverte.</x:v>
      </x:c>
      <x:c r="H1593" s="115" t="str">
        <x:v>L 1040 ; l 3800 ; hauteur 18,28 m ; choix de composition auteur ; dimensions réelles à documenter</x:v>
      </x:c>
      <x:c r="I1593" s="115" t="str">
        <x:v>À équilibrer</x:v>
      </x:c>
      <x:c r="J1593" s="115" t="str">
        <x:v>Non</x:v>
      </x:c>
      <x:c r="K1593" s="115" t="str">
        <x:v>Pièces décrites, murs, portes, niveaux et mobilier inspectables à l’échelle. Volumes réservés, raccord au seed, butin, rencontres et services de campagne restent à terminer.</x:v>
      </x:c>
    </x:row>
    <x:row r="1594" ht="96" customHeight="1">
      <x:c r="A1594" s="115" t="str">
        <x:v>EXT-MONDE-T032-V39</x:v>
      </x:c>
      <x:c r="B1594" s="115" t="str">
        <x:v>EXT-MONDE-T032</x:v>
      </x:c>
      <x:c r="C1594" s="115" t="str">
        <x:v>Ponts</x:v>
      </x:c>
      <x:c r="D1594" s="115" t="str">
        <x:v>Viaduc ferroviaire</x:v>
      </x:c>
      <x:c r="E1594" s="115" t="n">
        <x:v>39</x:v>
      </x:c>
      <x:c r="F1594" s="115" t="str">
        <x:v>Inspection physique</x:v>
      </x:c>
      <x:c r="G1594" s="115" t="str">
        <x:v>1 niveaux ; 34 pièces ; 260 segments de mur ; 0 transitions. Inspection physique ; architecture complète encore ouverte.</x:v>
      </x:c>
      <x:c r="H1594" s="115" t="str">
        <x:v>L 1040 ; l 3800 ; hauteur 18,32 m ; choix de composition auteur ; dimensions réelles à documenter</x:v>
      </x:c>
      <x:c r="I1594" s="115" t="str">
        <x:v>À équilibrer</x:v>
      </x:c>
      <x:c r="J1594" s="115" t="str">
        <x:v>Non</x:v>
      </x:c>
      <x:c r="K1594" s="115" t="str">
        <x:v>Pièces décrites, murs, portes, niveaux et mobilier inspectables à l’échelle. Volumes réservés, raccord au seed, butin, rencontres et services de campagne restent à terminer.</x:v>
      </x:c>
    </x:row>
    <x:row r="1595" ht="96" customHeight="1">
      <x:c r="A1595" s="115" t="str">
        <x:v>EXT-MONDE-T032-V40</x:v>
      </x:c>
      <x:c r="B1595" s="115" t="str">
        <x:v>EXT-MONDE-T032</x:v>
      </x:c>
      <x:c r="C1595" s="115" t="str">
        <x:v>Ponts</x:v>
      </x:c>
      <x:c r="D1595" s="115" t="str">
        <x:v>Viaduc ferroviaire</x:v>
      </x:c>
      <x:c r="E1595" s="115" t="n">
        <x:v>40</x:v>
      </x:c>
      <x:c r="F1595" s="115" t="str">
        <x:v>Inspection physique</x:v>
      </x:c>
      <x:c r="G1595" s="115" t="str">
        <x:v>1 niveaux ; 34 pièces ; 260 segments de mur ; 0 transitions. Inspection physique ; architecture complète encore ouverte.</x:v>
      </x:c>
      <x:c r="H1595" s="115" t="str">
        <x:v>L 1040 ; l 3800 ; hauteur 18,36 m ; choix de composition auteur ; dimensions réelles à documenter</x:v>
      </x:c>
      <x:c r="I1595" s="115" t="str">
        <x:v>À équilibrer</x:v>
      </x:c>
      <x:c r="J1595" s="115" t="str">
        <x:v>Non</x:v>
      </x:c>
      <x:c r="K1595" s="115" t="str">
        <x:v>Pièces décrites, murs, portes, niveaux et mobilier inspectables à l’échelle. Volumes réservés, raccord au seed, butin, rencontres et services de campagne restent à terminer.</x:v>
      </x:c>
    </x:row>
    <x:row r="1596" ht="96" customHeight="1">
      <x:c r="A1596" s="115" t="str">
        <x:v>EXT-MONDE-T032-V41</x:v>
      </x:c>
      <x:c r="B1596" s="115" t="str">
        <x:v>EXT-MONDE-T032</x:v>
      </x:c>
      <x:c r="C1596" s="115" t="str">
        <x:v>Ponts</x:v>
      </x:c>
      <x:c r="D1596" s="115" t="str">
        <x:v>Viaduc ferroviaire</x:v>
      </x:c>
      <x:c r="E1596" s="115" t="n">
        <x:v>41</x:v>
      </x:c>
      <x:c r="F1596" s="115" t="str">
        <x:v>Inspection physique</x:v>
      </x:c>
      <x:c r="G1596" s="115" t="str">
        <x:v>1 niveaux ; 34 pièces ; 260 segments de mur ; 0 transitions. Inspection physique ; architecture complète encore ouverte.</x:v>
      </x:c>
      <x:c r="H1596" s="115" t="str">
        <x:v>L 1120 ; l 4200 ; hauteur 18 m ; choix de composition auteur ; dimensions réelles à documenter</x:v>
      </x:c>
      <x:c r="I1596" s="115" t="str">
        <x:v>À équilibrer</x:v>
      </x:c>
      <x:c r="J1596" s="115" t="str">
        <x:v>Non</x:v>
      </x:c>
      <x:c r="K1596" s="115" t="str">
        <x:v>Pièces décrites, murs, portes, niveaux et mobilier inspectables à l’échelle. Volumes réservés, raccord au seed, butin, rencontres et services de campagne restent à terminer.</x:v>
      </x:c>
    </x:row>
    <x:row r="1597" ht="96" customHeight="1">
      <x:c r="A1597" s="115" t="str">
        <x:v>EXT-MONDE-T032-V42</x:v>
      </x:c>
      <x:c r="B1597" s="115" t="str">
        <x:v>EXT-MONDE-T032</x:v>
      </x:c>
      <x:c r="C1597" s="115" t="str">
        <x:v>Ponts</x:v>
      </x:c>
      <x:c r="D1597" s="115" t="str">
        <x:v>Viaduc ferroviaire</x:v>
      </x:c>
      <x:c r="E1597" s="115" t="n">
        <x:v>42</x:v>
      </x:c>
      <x:c r="F1597" s="115" t="str">
        <x:v>Inspection physique</x:v>
      </x:c>
      <x:c r="G1597" s="115" t="str">
        <x:v>1 niveaux ; 34 pièces ; 260 segments de mur ; 0 transitions. Inspection physique ; architecture complète encore ouverte.</x:v>
      </x:c>
      <x:c r="H1597" s="115" t="str">
        <x:v>L 1120 ; l 4200 ; hauteur 18,04 m ; choix de composition auteur ; dimensions réelles à documenter</x:v>
      </x:c>
      <x:c r="I1597" s="115" t="str">
        <x:v>À équilibrer</x:v>
      </x:c>
      <x:c r="J1597" s="115" t="str">
        <x:v>Non</x:v>
      </x:c>
      <x:c r="K1597" s="115" t="str">
        <x:v>Pièces décrites, murs, portes, niveaux et mobilier inspectables à l’échelle. Volumes réservés, raccord au seed, butin, rencontres et services de campagne restent à terminer.</x:v>
      </x:c>
    </x:row>
    <x:row r="1598" ht="96" customHeight="1">
      <x:c r="A1598" s="115" t="str">
        <x:v>EXT-MONDE-T032-V43</x:v>
      </x:c>
      <x:c r="B1598" s="115" t="str">
        <x:v>EXT-MONDE-T032</x:v>
      </x:c>
      <x:c r="C1598" s="115" t="str">
        <x:v>Ponts</x:v>
      </x:c>
      <x:c r="D1598" s="115" t="str">
        <x:v>Viaduc ferroviaire</x:v>
      </x:c>
      <x:c r="E1598" s="115" t="n">
        <x:v>43</x:v>
      </x:c>
      <x:c r="F1598" s="115" t="str">
        <x:v>Inspection physique</x:v>
      </x:c>
      <x:c r="G1598" s="115" t="str">
        <x:v>1 niveaux ; 34 pièces ; 260 segments de mur ; 0 transitions. Inspection physique ; architecture complète encore ouverte.</x:v>
      </x:c>
      <x:c r="H1598" s="115" t="str">
        <x:v>L 1120 ; l 4200 ; hauteur 18,08 m ; choix de composition auteur ; dimensions réelles à documenter</x:v>
      </x:c>
      <x:c r="I1598" s="115" t="str">
        <x:v>À équilibrer</x:v>
      </x:c>
      <x:c r="J1598" s="115" t="str">
        <x:v>Non</x:v>
      </x:c>
      <x:c r="K1598" s="115" t="str">
        <x:v>Pièces décrites, murs, portes, niveaux et mobilier inspectables à l’échelle. Volumes réservés, raccord au seed, butin, rencontres et services de campagne restent à terminer.</x:v>
      </x:c>
    </x:row>
    <x:row r="1599" ht="96" customHeight="1">
      <x:c r="A1599" s="115" t="str">
        <x:v>EXT-MONDE-T032-V44</x:v>
      </x:c>
      <x:c r="B1599" s="115" t="str">
        <x:v>EXT-MONDE-T032</x:v>
      </x:c>
      <x:c r="C1599" s="115" t="str">
        <x:v>Ponts</x:v>
      </x:c>
      <x:c r="D1599" s="115" t="str">
        <x:v>Viaduc ferroviaire</x:v>
      </x:c>
      <x:c r="E1599" s="115" t="n">
        <x:v>44</x:v>
      </x:c>
      <x:c r="F1599" s="115" t="str">
        <x:v>Inspection physique</x:v>
      </x:c>
      <x:c r="G1599" s="115" t="str">
        <x:v>1 niveaux ; 34 pièces ; 260 segments de mur ; 0 transitions. Inspection physique ; architecture complète encore ouverte.</x:v>
      </x:c>
      <x:c r="H1599" s="115" t="str">
        <x:v>L 1120 ; l 4200 ; hauteur 18,12 m ; choix de composition auteur ; dimensions réelles à documenter</x:v>
      </x:c>
      <x:c r="I1599" s="115" t="str">
        <x:v>À équilibrer</x:v>
      </x:c>
      <x:c r="J1599" s="115" t="str">
        <x:v>Non</x:v>
      </x:c>
      <x:c r="K1599" s="115" t="str">
        <x:v>Pièces décrites, murs, portes, niveaux et mobilier inspectables à l’échelle. Volumes réservés, raccord au seed, butin, rencontres et services de campagne restent à terminer.</x:v>
      </x:c>
    </x:row>
    <x:row r="1600" ht="96" customHeight="1">
      <x:c r="A1600" s="115" t="str">
        <x:v>EXT-MONDE-T032-V45</x:v>
      </x:c>
      <x:c r="B1600" s="115" t="str">
        <x:v>EXT-MONDE-T032</x:v>
      </x:c>
      <x:c r="C1600" s="115" t="str">
        <x:v>Ponts</x:v>
      </x:c>
      <x:c r="D1600" s="115" t="str">
        <x:v>Viaduc ferroviaire</x:v>
      </x:c>
      <x:c r="E1600" s="115" t="n">
        <x:v>45</x:v>
      </x:c>
      <x:c r="F1600" s="115" t="str">
        <x:v>Inspection physique</x:v>
      </x:c>
      <x:c r="G1600" s="115" t="str">
        <x:v>1 niveaux ; 34 pièces ; 260 segments de mur ; 0 transitions. Inspection physique ; architecture complète encore ouverte.</x:v>
      </x:c>
      <x:c r="H1600" s="115" t="str">
        <x:v>L 1120 ; l 4200 ; hauteur 18,16 m ; choix de composition auteur ; dimensions réelles à documenter</x:v>
      </x:c>
      <x:c r="I1600" s="115" t="str">
        <x:v>À équilibrer</x:v>
      </x:c>
      <x:c r="J1600" s="115" t="str">
        <x:v>Non</x:v>
      </x:c>
      <x:c r="K1600" s="115" t="str">
        <x:v>Pièces décrites, murs, portes, niveaux et mobilier inspectables à l’échelle. Volumes réservés, raccord au seed, butin, rencontres et services de campagne restent à terminer.</x:v>
      </x:c>
    </x:row>
    <x:row r="1601" ht="96" customHeight="1">
      <x:c r="A1601" s="115" t="str">
        <x:v>EXT-MONDE-T032-V46</x:v>
      </x:c>
      <x:c r="B1601" s="115" t="str">
        <x:v>EXT-MONDE-T032</x:v>
      </x:c>
      <x:c r="C1601" s="115" t="str">
        <x:v>Ponts</x:v>
      </x:c>
      <x:c r="D1601" s="115" t="str">
        <x:v>Viaduc ferroviaire</x:v>
      </x:c>
      <x:c r="E1601" s="115" t="n">
        <x:v>46</x:v>
      </x:c>
      <x:c r="F1601" s="115" t="str">
        <x:v>Inspection physique</x:v>
      </x:c>
      <x:c r="G1601" s="115" t="str">
        <x:v>1 niveaux ; 34 pièces ; 260 segments de mur ; 0 transitions. Inspection physique ; architecture complète encore ouverte.</x:v>
      </x:c>
      <x:c r="H1601" s="115" t="str">
        <x:v>L 1120 ; l 4200 ; hauteur 18,2 m ; choix de composition auteur ; dimensions réelles à documenter</x:v>
      </x:c>
      <x:c r="I1601" s="115" t="str">
        <x:v>À équilibrer</x:v>
      </x:c>
      <x:c r="J1601" s="115" t="str">
        <x:v>Non</x:v>
      </x:c>
      <x:c r="K1601" s="115" t="str">
        <x:v>Pièces décrites, murs, portes, niveaux et mobilier inspectables à l’échelle. Volumes réservés, raccord au seed, butin, rencontres et services de campagne restent à terminer.</x:v>
      </x:c>
    </x:row>
    <x:row r="1602" ht="96" customHeight="1">
      <x:c r="A1602" s="115" t="str">
        <x:v>EXT-MONDE-T032-V47</x:v>
      </x:c>
      <x:c r="B1602" s="115" t="str">
        <x:v>EXT-MONDE-T032</x:v>
      </x:c>
      <x:c r="C1602" s="115" t="str">
        <x:v>Ponts</x:v>
      </x:c>
      <x:c r="D1602" s="115" t="str">
        <x:v>Viaduc ferroviaire</x:v>
      </x:c>
      <x:c r="E1602" s="115" t="n">
        <x:v>47</x:v>
      </x:c>
      <x:c r="F1602" s="115" t="str">
        <x:v>Inspection physique</x:v>
      </x:c>
      <x:c r="G1602" s="115" t="str">
        <x:v>1 niveaux ; 34 pièces ; 260 segments de mur ; 0 transitions. Inspection physique ; architecture complète encore ouverte.</x:v>
      </x:c>
      <x:c r="H1602" s="115" t="str">
        <x:v>L 1120 ; l 4200 ; hauteur 18,24 m ; choix de composition auteur ; dimensions réelles à documenter</x:v>
      </x:c>
      <x:c r="I1602" s="115" t="str">
        <x:v>À équilibrer</x:v>
      </x:c>
      <x:c r="J1602" s="115" t="str">
        <x:v>Non</x:v>
      </x:c>
      <x:c r="K1602" s="115" t="str">
        <x:v>Pièces décrites, murs, portes, niveaux et mobilier inspectables à l’échelle. Volumes réservés, raccord au seed, butin, rencontres et services de campagne restent à terminer.</x:v>
      </x:c>
    </x:row>
    <x:row r="1603" ht="96" customHeight="1">
      <x:c r="A1603" s="115" t="str">
        <x:v>EXT-MONDE-T032-V48</x:v>
      </x:c>
      <x:c r="B1603" s="115" t="str">
        <x:v>EXT-MONDE-T032</x:v>
      </x:c>
      <x:c r="C1603" s="115" t="str">
        <x:v>Ponts</x:v>
      </x:c>
      <x:c r="D1603" s="115" t="str">
        <x:v>Viaduc ferroviaire</x:v>
      </x:c>
      <x:c r="E1603" s="115" t="n">
        <x:v>48</x:v>
      </x:c>
      <x:c r="F1603" s="115" t="str">
        <x:v>Inspection physique</x:v>
      </x:c>
      <x:c r="G1603" s="115" t="str">
        <x:v>1 niveaux ; 34 pièces ; 260 segments de mur ; 0 transitions. Inspection physique ; architecture complète encore ouverte.</x:v>
      </x:c>
      <x:c r="H1603" s="115" t="str">
        <x:v>L 1120 ; l 4200 ; hauteur 18,28 m ; choix de composition auteur ; dimensions réelles à documenter</x:v>
      </x:c>
      <x:c r="I1603" s="115" t="str">
        <x:v>À équilibrer</x:v>
      </x:c>
      <x:c r="J1603" s="115" t="str">
        <x:v>Non</x:v>
      </x:c>
      <x:c r="K1603" s="115" t="str">
        <x:v>Pièces décrites, murs, portes, niveaux et mobilier inspectables à l’échelle. Volumes réservés, raccord au seed, butin, rencontres et services de campagne restent à terminer.</x:v>
      </x:c>
    </x:row>
    <x:row r="1604" ht="96" customHeight="1">
      <x:c r="A1604" s="115" t="str">
        <x:v>EXT-MONDE-T032-V49</x:v>
      </x:c>
      <x:c r="B1604" s="115" t="str">
        <x:v>EXT-MONDE-T032</x:v>
      </x:c>
      <x:c r="C1604" s="115" t="str">
        <x:v>Ponts</x:v>
      </x:c>
      <x:c r="D1604" s="115" t="str">
        <x:v>Viaduc ferroviaire</x:v>
      </x:c>
      <x:c r="E1604" s="115" t="n">
        <x:v>49</x:v>
      </x:c>
      <x:c r="F1604" s="115" t="str">
        <x:v>Inspection physique</x:v>
      </x:c>
      <x:c r="G1604" s="115" t="str">
        <x:v>1 niveaux ; 34 pièces ; 260 segments de mur ; 0 transitions. Inspection physique ; architecture complète encore ouverte.</x:v>
      </x:c>
      <x:c r="H1604" s="115" t="str">
        <x:v>L 1120 ; l 4200 ; hauteur 18,32 m ; choix de composition auteur ; dimensions réelles à documenter</x:v>
      </x:c>
      <x:c r="I1604" s="115" t="str">
        <x:v>À équilibrer</x:v>
      </x:c>
      <x:c r="J1604" s="115" t="str">
        <x:v>Non</x:v>
      </x:c>
      <x:c r="K1604" s="115" t="str">
        <x:v>Pièces décrites, murs, portes, niveaux et mobilier inspectables à l’échelle. Volumes réservés, raccord au seed, butin, rencontres et services de campagne restent à terminer.</x:v>
      </x:c>
    </x:row>
    <x:row r="1605" ht="96" customHeight="1">
      <x:c r="A1605" s="115" t="str">
        <x:v>EXT-MONDE-T032-V50</x:v>
      </x:c>
      <x:c r="B1605" s="115" t="str">
        <x:v>EXT-MONDE-T032</x:v>
      </x:c>
      <x:c r="C1605" s="115" t="str">
        <x:v>Ponts</x:v>
      </x:c>
      <x:c r="D1605" s="115" t="str">
        <x:v>Viaduc ferroviaire</x:v>
      </x:c>
      <x:c r="E1605" s="115" t="n">
        <x:v>50</x:v>
      </x:c>
      <x:c r="F1605" s="115" t="str">
        <x:v>Inspection physique</x:v>
      </x:c>
      <x:c r="G1605" s="115" t="str">
        <x:v>1 niveaux ; 34 pièces ; 260 segments de mur ; 0 transitions. Inspection physique ; architecture complète encore ouverte.</x:v>
      </x:c>
      <x:c r="H1605" s="115" t="str">
        <x:v>L 1120 ; l 4200 ; hauteur 18,36 m ; choix de composition auteur ; dimensions réelles à documenter</x:v>
      </x:c>
      <x:c r="I1605" s="115" t="str">
        <x:v>À équilibrer</x:v>
      </x:c>
      <x:c r="J1605" s="115" t="str">
        <x:v>Non</x:v>
      </x:c>
      <x:c r="K1605" s="115" t="str">
        <x:v>Pièces décrites, murs, portes, niveaux et mobilier inspectables à l’échelle. Volumes réservés, raccord au seed, butin, rencontres et services de campagne restent à terminer.</x:v>
      </x:c>
    </x:row>
    <x:row r="1606" ht="96" customHeight="1">
      <x:c r="A1606" s="115" t="str">
        <x:v>EXT-MONDE-T033-V01</x:v>
      </x:c>
      <x:c r="B1606" s="115" t="str">
        <x:v>EXT-MONDE-T033</x:v>
      </x:c>
      <x:c r="C1606" s="115" t="str">
        <x:v>Échangeurs</x:v>
      </x:c>
      <x:c r="D1606" s="115" t="str">
        <x:v>Échangeur en losange</x:v>
      </x:c>
      <x:c r="E1606" s="115" t="n">
        <x:v>1</x:v>
      </x:c>
      <x:c r="F1606" s="115" t="str">
        <x:v>Inspection physique</x:v>
      </x:c>
      <x:c r="G1606" s="115" t="str">
        <x:v>1 niveaux ; 34 pièces ; 260 segments de mur ; 0 transitions. Inspection physique ; architecture complète encore ouverte.</x:v>
      </x:c>
      <x:c r="H1606" s="115" t="str">
        <x:v>L 1200 ; l 1200 ; hauteur 8 m ; choix de composition auteur ; dimensions réelles à documenter</x:v>
      </x:c>
      <x:c r="I1606" s="115" t="str">
        <x:v>À équilibrer</x:v>
      </x:c>
      <x:c r="J1606" s="115" t="str">
        <x:v>Non</x:v>
      </x:c>
      <x:c r="K1606" s="115" t="str">
        <x:v>Pièces décrites, murs, portes, niveaux et mobilier inspectables à l’échelle. Volumes réservés, raccord au seed, butin, rencontres et services de campagne restent à terminer.</x:v>
      </x:c>
    </x:row>
    <x:row r="1607" ht="96" customHeight="1">
      <x:c r="A1607" s="115" t="str">
        <x:v>EXT-MONDE-T033-V02</x:v>
      </x:c>
      <x:c r="B1607" s="115" t="str">
        <x:v>EXT-MONDE-T033</x:v>
      </x:c>
      <x:c r="C1607" s="115" t="str">
        <x:v>Échangeurs</x:v>
      </x:c>
      <x:c r="D1607" s="115" t="str">
        <x:v>Échangeur en losange</x:v>
      </x:c>
      <x:c r="E1607" s="115" t="n">
        <x:v>2</x:v>
      </x:c>
      <x:c r="F1607" s="115" t="str">
        <x:v>Inspection physique</x:v>
      </x:c>
      <x:c r="G1607" s="115" t="str">
        <x:v>1 niveaux ; 34 pièces ; 260 segments de mur ; 0 transitions. Inspection physique ; architecture complète encore ouverte.</x:v>
      </x:c>
      <x:c r="H1607" s="115" t="str">
        <x:v>L 1200 ; l 1200 ; hauteur 8 m ; choix de composition auteur ; dimensions réelles à documenter</x:v>
      </x:c>
      <x:c r="I1607" s="115" t="str">
        <x:v>À équilibrer</x:v>
      </x:c>
      <x:c r="J1607" s="115" t="str">
        <x:v>Non</x:v>
      </x:c>
      <x:c r="K1607" s="115" t="str">
        <x:v>Pièces décrites, murs, portes, niveaux et mobilier inspectables à l’échelle. Volumes réservés, raccord au seed, butin, rencontres et services de campagne restent à terminer.</x:v>
      </x:c>
    </x:row>
    <x:row r="1608" ht="96" customHeight="1">
      <x:c r="A1608" s="115" t="str">
        <x:v>EXT-MONDE-T033-V03</x:v>
      </x:c>
      <x:c r="B1608" s="115" t="str">
        <x:v>EXT-MONDE-T033</x:v>
      </x:c>
      <x:c r="C1608" s="115" t="str">
        <x:v>Échangeurs</x:v>
      </x:c>
      <x:c r="D1608" s="115" t="str">
        <x:v>Échangeur en losange</x:v>
      </x:c>
      <x:c r="E1608" s="115" t="n">
        <x:v>3</x:v>
      </x:c>
      <x:c r="F1608" s="115" t="str">
        <x:v>Inspection physique</x:v>
      </x:c>
      <x:c r="G1608" s="115" t="str">
        <x:v>1 niveaux ; 34 pièces ; 260 segments de mur ; 0 transitions. Inspection physique ; architecture complète encore ouverte.</x:v>
      </x:c>
      <x:c r="H1608" s="115" t="str">
        <x:v>L 1200 ; l 1200 ; hauteur 8 m ; choix de composition auteur ; dimensions réelles à documenter</x:v>
      </x:c>
      <x:c r="I1608" s="115" t="str">
        <x:v>À équilibrer</x:v>
      </x:c>
      <x:c r="J1608" s="115" t="str">
        <x:v>Non</x:v>
      </x:c>
      <x:c r="K1608" s="115" t="str">
        <x:v>Pièces décrites, murs, portes, niveaux et mobilier inspectables à l’échelle. Volumes réservés, raccord au seed, butin, rencontres et services de campagne restent à terminer.</x:v>
      </x:c>
    </x:row>
    <x:row r="1609" ht="96" customHeight="1">
      <x:c r="A1609" s="115" t="str">
        <x:v>EXT-MONDE-T033-V04</x:v>
      </x:c>
      <x:c r="B1609" s="115" t="str">
        <x:v>EXT-MONDE-T033</x:v>
      </x:c>
      <x:c r="C1609" s="115" t="str">
        <x:v>Échangeurs</x:v>
      </x:c>
      <x:c r="D1609" s="115" t="str">
        <x:v>Échangeur en losange</x:v>
      </x:c>
      <x:c r="E1609" s="115" t="n">
        <x:v>4</x:v>
      </x:c>
      <x:c r="F1609" s="115" t="str">
        <x:v>Inspection physique</x:v>
      </x:c>
      <x:c r="G1609" s="115" t="str">
        <x:v>1 niveaux ; 34 pièces ; 260 segments de mur ; 0 transitions. Inspection physique ; architecture complète encore ouverte.</x:v>
      </x:c>
      <x:c r="H1609" s="115" t="str">
        <x:v>L 1200 ; l 1200 ; hauteur 8 m ; choix de composition auteur ; dimensions réelles à documenter</x:v>
      </x:c>
      <x:c r="I1609" s="115" t="str">
        <x:v>À équilibrer</x:v>
      </x:c>
      <x:c r="J1609" s="115" t="str">
        <x:v>Non</x:v>
      </x:c>
      <x:c r="K1609" s="115" t="str">
        <x:v>Pièces décrites, murs, portes, niveaux et mobilier inspectables à l’échelle. Volumes réservés, raccord au seed, butin, rencontres et services de campagne restent à terminer.</x:v>
      </x:c>
    </x:row>
    <x:row r="1610" ht="96" customHeight="1">
      <x:c r="A1610" s="115" t="str">
        <x:v>EXT-MONDE-T033-V05</x:v>
      </x:c>
      <x:c r="B1610" s="115" t="str">
        <x:v>EXT-MONDE-T033</x:v>
      </x:c>
      <x:c r="C1610" s="115" t="str">
        <x:v>Échangeurs</x:v>
      </x:c>
      <x:c r="D1610" s="115" t="str">
        <x:v>Échangeur en losange</x:v>
      </x:c>
      <x:c r="E1610" s="115" t="n">
        <x:v>5</x:v>
      </x:c>
      <x:c r="F1610" s="115" t="str">
        <x:v>Inspection physique</x:v>
      </x:c>
      <x:c r="G1610" s="115" t="str">
        <x:v>1 niveaux ; 34 pièces ; 260 segments de mur ; 0 transitions. Inspection physique ; architecture complète encore ouverte.</x:v>
      </x:c>
      <x:c r="H1610" s="115" t="str">
        <x:v>L 1200 ; l 1200 ; hauteur 8 m ; choix de composition auteur ; dimensions réelles à documenter</x:v>
      </x:c>
      <x:c r="I1610" s="115" t="str">
        <x:v>À équilibrer</x:v>
      </x:c>
      <x:c r="J1610" s="115" t="str">
        <x:v>Non</x:v>
      </x:c>
      <x:c r="K1610" s="115" t="str">
        <x:v>Pièces décrites, murs, portes, niveaux et mobilier inspectables à l’échelle. Volumes réservés, raccord au seed, butin, rencontres et services de campagne restent à terminer.</x:v>
      </x:c>
    </x:row>
    <x:row r="1611" ht="96" customHeight="1">
      <x:c r="A1611" s="115" t="str">
        <x:v>EXT-MONDE-T033-V06</x:v>
      </x:c>
      <x:c r="B1611" s="115" t="str">
        <x:v>EXT-MONDE-T033</x:v>
      </x:c>
      <x:c r="C1611" s="115" t="str">
        <x:v>Échangeurs</x:v>
      </x:c>
      <x:c r="D1611" s="115" t="str">
        <x:v>Échangeur en losange</x:v>
      </x:c>
      <x:c r="E1611" s="115" t="n">
        <x:v>6</x:v>
      </x:c>
      <x:c r="F1611" s="115" t="str">
        <x:v>Inspection physique</x:v>
      </x:c>
      <x:c r="G1611" s="115" t="str">
        <x:v>1 niveaux ; 34 pièces ; 260 segments de mur ; 0 transitions. Inspection physique ; architecture complète encore ouverte.</x:v>
      </x:c>
      <x:c r="H1611" s="115" t="str">
        <x:v>L 1200 ; l 1200 ; hauteur 8 m ; choix de composition auteur ; dimensions réelles à documenter</x:v>
      </x:c>
      <x:c r="I1611" s="115" t="str">
        <x:v>À équilibrer</x:v>
      </x:c>
      <x:c r="J1611" s="115" t="str">
        <x:v>Non</x:v>
      </x:c>
      <x:c r="K1611" s="115" t="str">
        <x:v>Pièces décrites, murs, portes, niveaux et mobilier inspectables à l’échelle. Volumes réservés, raccord au seed, butin, rencontres et services de campagne restent à terminer.</x:v>
      </x:c>
    </x:row>
    <x:row r="1612" ht="96" customHeight="1">
      <x:c r="A1612" s="115" t="str">
        <x:v>EXT-MONDE-T033-V07</x:v>
      </x:c>
      <x:c r="B1612" s="115" t="str">
        <x:v>EXT-MONDE-T033</x:v>
      </x:c>
      <x:c r="C1612" s="115" t="str">
        <x:v>Échangeurs</x:v>
      </x:c>
      <x:c r="D1612" s="115" t="str">
        <x:v>Échangeur en losange</x:v>
      </x:c>
      <x:c r="E1612" s="115" t="n">
        <x:v>7</x:v>
      </x:c>
      <x:c r="F1612" s="115" t="str">
        <x:v>Inspection physique</x:v>
      </x:c>
      <x:c r="G1612" s="115" t="str">
        <x:v>1 niveaux ; 34 pièces ; 260 segments de mur ; 0 transitions. Inspection physique ; architecture complète encore ouverte.</x:v>
      </x:c>
      <x:c r="H1612" s="115" t="str">
        <x:v>L 1200 ; l 1200 ; hauteur 8 m ; choix de composition auteur ; dimensions réelles à documenter</x:v>
      </x:c>
      <x:c r="I1612" s="115" t="str">
        <x:v>À équilibrer</x:v>
      </x:c>
      <x:c r="J1612" s="115" t="str">
        <x:v>Non</x:v>
      </x:c>
      <x:c r="K1612" s="115" t="str">
        <x:v>Pièces décrites, murs, portes, niveaux et mobilier inspectables à l’échelle. Volumes réservés, raccord au seed, butin, rencontres et services de campagne restent à terminer.</x:v>
      </x:c>
    </x:row>
    <x:row r="1613" ht="96" customHeight="1">
      <x:c r="A1613" s="115" t="str">
        <x:v>EXT-MONDE-T033-V08</x:v>
      </x:c>
      <x:c r="B1613" s="115" t="str">
        <x:v>EXT-MONDE-T033</x:v>
      </x:c>
      <x:c r="C1613" s="115" t="str">
        <x:v>Échangeurs</x:v>
      </x:c>
      <x:c r="D1613" s="115" t="str">
        <x:v>Échangeur en losange</x:v>
      </x:c>
      <x:c r="E1613" s="115" t="n">
        <x:v>8</x:v>
      </x:c>
      <x:c r="F1613" s="115" t="str">
        <x:v>Inspection physique</x:v>
      </x:c>
      <x:c r="G1613" s="115" t="str">
        <x:v>1 niveaux ; 34 pièces ; 260 segments de mur ; 0 transitions. Inspection physique ; architecture complète encore ouverte.</x:v>
      </x:c>
      <x:c r="H1613" s="115" t="str">
        <x:v>L 1200 ; l 1200 ; hauteur 8 m ; choix de composition auteur ; dimensions réelles à documenter</x:v>
      </x:c>
      <x:c r="I1613" s="115" t="str">
        <x:v>À équilibrer</x:v>
      </x:c>
      <x:c r="J1613" s="115" t="str">
        <x:v>Non</x:v>
      </x:c>
      <x:c r="K1613" s="115" t="str">
        <x:v>Pièces décrites, murs, portes, niveaux et mobilier inspectables à l’échelle. Volumes réservés, raccord au seed, butin, rencontres et services de campagne restent à terminer.</x:v>
      </x:c>
    </x:row>
    <x:row r="1614" ht="96" customHeight="1">
      <x:c r="A1614" s="115" t="str">
        <x:v>EXT-MONDE-T033-V09</x:v>
      </x:c>
      <x:c r="B1614" s="115" t="str">
        <x:v>EXT-MONDE-T033</x:v>
      </x:c>
      <x:c r="C1614" s="115" t="str">
        <x:v>Échangeurs</x:v>
      </x:c>
      <x:c r="D1614" s="115" t="str">
        <x:v>Échangeur en losange</x:v>
      </x:c>
      <x:c r="E1614" s="115" t="n">
        <x:v>9</x:v>
      </x:c>
      <x:c r="F1614" s="115" t="str">
        <x:v>Inspection physique</x:v>
      </x:c>
      <x:c r="G1614" s="115" t="str">
        <x:v>1 niveaux ; 34 pièces ; 260 segments de mur ; 0 transitions. Inspection physique ; architecture complète encore ouverte.</x:v>
      </x:c>
      <x:c r="H1614" s="115" t="str">
        <x:v>L 1200 ; l 1200 ; hauteur 8 m ; choix de composition auteur ; dimensions réelles à documenter</x:v>
      </x:c>
      <x:c r="I1614" s="115" t="str">
        <x:v>À équilibrer</x:v>
      </x:c>
      <x:c r="J1614" s="115" t="str">
        <x:v>Non</x:v>
      </x:c>
      <x:c r="K1614" s="115" t="str">
        <x:v>Pièces décrites, murs, portes, niveaux et mobilier inspectables à l’échelle. Volumes réservés, raccord au seed, butin, rencontres et services de campagne restent à terminer.</x:v>
      </x:c>
    </x:row>
    <x:row r="1615" ht="96" customHeight="1">
      <x:c r="A1615" s="115" t="str">
        <x:v>EXT-MONDE-T033-V10</x:v>
      </x:c>
      <x:c r="B1615" s="115" t="str">
        <x:v>EXT-MONDE-T033</x:v>
      </x:c>
      <x:c r="C1615" s="115" t="str">
        <x:v>Échangeurs</x:v>
      </x:c>
      <x:c r="D1615" s="115" t="str">
        <x:v>Échangeur en losange</x:v>
      </x:c>
      <x:c r="E1615" s="115" t="n">
        <x:v>10</x:v>
      </x:c>
      <x:c r="F1615" s="115" t="str">
        <x:v>Inspection physique</x:v>
      </x:c>
      <x:c r="G1615" s="115" t="str">
        <x:v>1 niveaux ; 34 pièces ; 260 segments de mur ; 0 transitions. Inspection physique ; architecture complète encore ouverte.</x:v>
      </x:c>
      <x:c r="H1615" s="115" t="str">
        <x:v>L 1200 ; l 1200 ; hauteur 8 m ; choix de composition auteur ; dimensions réelles à documenter</x:v>
      </x:c>
      <x:c r="I1615" s="115" t="str">
        <x:v>À équilibrer</x:v>
      </x:c>
      <x:c r="J1615" s="115" t="str">
        <x:v>Non</x:v>
      </x:c>
      <x:c r="K1615" s="115" t="str">
        <x:v>Pièces décrites, murs, portes, niveaux et mobilier inspectables à l’échelle. Volumes réservés, raccord au seed, butin, rencontres et services de campagne restent à terminer.</x:v>
      </x:c>
    </x:row>
    <x:row r="1616" ht="96" customHeight="1">
      <x:c r="A1616" s="115" t="str">
        <x:v>EXT-MONDE-T033-V11</x:v>
      </x:c>
      <x:c r="B1616" s="115" t="str">
        <x:v>EXT-MONDE-T033</x:v>
      </x:c>
      <x:c r="C1616" s="115" t="str">
        <x:v>Échangeurs</x:v>
      </x:c>
      <x:c r="D1616" s="115" t="str">
        <x:v>Échangeur en losange</x:v>
      </x:c>
      <x:c r="E1616" s="115" t="n">
        <x:v>11</x:v>
      </x:c>
      <x:c r="F1616" s="115" t="str">
        <x:v>Inspection physique</x:v>
      </x:c>
      <x:c r="G1616" s="115" t="str">
        <x:v>1 niveaux ; 34 pièces ; 260 segments de mur ; 0 transitions. Inspection physique ; architecture complète encore ouverte.</x:v>
      </x:c>
      <x:c r="H1616" s="115" t="str">
        <x:v>L 1280 ; l 1360 ; hauteur 8 m ; choix de composition auteur ; dimensions réelles à documenter</x:v>
      </x:c>
      <x:c r="I1616" s="115" t="str">
        <x:v>À équilibrer</x:v>
      </x:c>
      <x:c r="J1616" s="115" t="str">
        <x:v>Non</x:v>
      </x:c>
      <x:c r="K1616" s="115" t="str">
        <x:v>Pièces décrites, murs, portes, niveaux et mobilier inspectables à l’échelle. Volumes réservés, raccord au seed, butin, rencontres et services de campagne restent à terminer.</x:v>
      </x:c>
    </x:row>
    <x:row r="1617" ht="96" customHeight="1">
      <x:c r="A1617" s="115" t="str">
        <x:v>EXT-MONDE-T033-V12</x:v>
      </x:c>
      <x:c r="B1617" s="115" t="str">
        <x:v>EXT-MONDE-T033</x:v>
      </x:c>
      <x:c r="C1617" s="115" t="str">
        <x:v>Échangeurs</x:v>
      </x:c>
      <x:c r="D1617" s="115" t="str">
        <x:v>Échangeur en losange</x:v>
      </x:c>
      <x:c r="E1617" s="115" t="n">
        <x:v>12</x:v>
      </x:c>
      <x:c r="F1617" s="115" t="str">
        <x:v>Inspection physique</x:v>
      </x:c>
      <x:c r="G1617" s="115" t="str">
        <x:v>1 niveaux ; 34 pièces ; 260 segments de mur ; 0 transitions. Inspection physique ; architecture complète encore ouverte.</x:v>
      </x:c>
      <x:c r="H1617" s="115" t="str">
        <x:v>L 1280 ; l 1360 ; hauteur 8 m ; choix de composition auteur ; dimensions réelles à documenter</x:v>
      </x:c>
      <x:c r="I1617" s="115" t="str">
        <x:v>À équilibrer</x:v>
      </x:c>
      <x:c r="J1617" s="115" t="str">
        <x:v>Non</x:v>
      </x:c>
      <x:c r="K1617" s="115" t="str">
        <x:v>Pièces décrites, murs, portes, niveaux et mobilier inspectables à l’échelle. Volumes réservés, raccord au seed, butin, rencontres et services de campagne restent à terminer.</x:v>
      </x:c>
    </x:row>
    <x:row r="1618" ht="96" customHeight="1">
      <x:c r="A1618" s="115" t="str">
        <x:v>EXT-MONDE-T033-V13</x:v>
      </x:c>
      <x:c r="B1618" s="115" t="str">
        <x:v>EXT-MONDE-T033</x:v>
      </x:c>
      <x:c r="C1618" s="115" t="str">
        <x:v>Échangeurs</x:v>
      </x:c>
      <x:c r="D1618" s="115" t="str">
        <x:v>Échangeur en losange</x:v>
      </x:c>
      <x:c r="E1618" s="115" t="n">
        <x:v>13</x:v>
      </x:c>
      <x:c r="F1618" s="115" t="str">
        <x:v>Inspection physique</x:v>
      </x:c>
      <x:c r="G1618" s="115" t="str">
        <x:v>1 niveaux ; 34 pièces ; 260 segments de mur ; 0 transitions. Inspection physique ; architecture complète encore ouverte.</x:v>
      </x:c>
      <x:c r="H1618" s="115" t="str">
        <x:v>L 1280 ; l 1360 ; hauteur 8 m ; choix de composition auteur ; dimensions réelles à documenter</x:v>
      </x:c>
      <x:c r="I1618" s="115" t="str">
        <x:v>À équilibrer</x:v>
      </x:c>
      <x:c r="J1618" s="115" t="str">
        <x:v>Non</x:v>
      </x:c>
      <x:c r="K1618" s="115" t="str">
        <x:v>Pièces décrites, murs, portes, niveaux et mobilier inspectables à l’échelle. Volumes réservés, raccord au seed, butin, rencontres et services de campagne restent à terminer.</x:v>
      </x:c>
    </x:row>
    <x:row r="1619" ht="96" customHeight="1">
      <x:c r="A1619" s="115" t="str">
        <x:v>EXT-MONDE-T033-V14</x:v>
      </x:c>
      <x:c r="B1619" s="115" t="str">
        <x:v>EXT-MONDE-T033</x:v>
      </x:c>
      <x:c r="C1619" s="115" t="str">
        <x:v>Échangeurs</x:v>
      </x:c>
      <x:c r="D1619" s="115" t="str">
        <x:v>Échangeur en losange</x:v>
      </x:c>
      <x:c r="E1619" s="115" t="n">
        <x:v>14</x:v>
      </x:c>
      <x:c r="F1619" s="115" t="str">
        <x:v>Inspection physique</x:v>
      </x:c>
      <x:c r="G1619" s="115" t="str">
        <x:v>1 niveaux ; 34 pièces ; 260 segments de mur ; 0 transitions. Inspection physique ; architecture complète encore ouverte.</x:v>
      </x:c>
      <x:c r="H1619" s="115" t="str">
        <x:v>L 1280 ; l 1360 ; hauteur 8 m ; choix de composition auteur ; dimensions réelles à documenter</x:v>
      </x:c>
      <x:c r="I1619" s="115" t="str">
        <x:v>À équilibrer</x:v>
      </x:c>
      <x:c r="J1619" s="115" t="str">
        <x:v>Non</x:v>
      </x:c>
      <x:c r="K1619" s="115" t="str">
        <x:v>Pièces décrites, murs, portes, niveaux et mobilier inspectables à l’échelle. Volumes réservés, raccord au seed, butin, rencontres et services de campagne restent à terminer.</x:v>
      </x:c>
    </x:row>
    <x:row r="1620" ht="96" customHeight="1">
      <x:c r="A1620" s="115" t="str">
        <x:v>EXT-MONDE-T033-V15</x:v>
      </x:c>
      <x:c r="B1620" s="115" t="str">
        <x:v>EXT-MONDE-T033</x:v>
      </x:c>
      <x:c r="C1620" s="115" t="str">
        <x:v>Échangeurs</x:v>
      </x:c>
      <x:c r="D1620" s="115" t="str">
        <x:v>Échangeur en losange</x:v>
      </x:c>
      <x:c r="E1620" s="115" t="n">
        <x:v>15</x:v>
      </x:c>
      <x:c r="F1620" s="115" t="str">
        <x:v>Inspection physique</x:v>
      </x:c>
      <x:c r="G1620" s="115" t="str">
        <x:v>1 niveaux ; 34 pièces ; 260 segments de mur ; 0 transitions. Inspection physique ; architecture complète encore ouverte.</x:v>
      </x:c>
      <x:c r="H1620" s="115" t="str">
        <x:v>L 1280 ; l 1360 ; hauteur 8 m ; choix de composition auteur ; dimensions réelles à documenter</x:v>
      </x:c>
      <x:c r="I1620" s="115" t="str">
        <x:v>À équilibrer</x:v>
      </x:c>
      <x:c r="J1620" s="115" t="str">
        <x:v>Non</x:v>
      </x:c>
      <x:c r="K1620" s="115" t="str">
        <x:v>Pièces décrites, murs, portes, niveaux et mobilier inspectables à l’échelle. Volumes réservés, raccord au seed, butin, rencontres et services de campagne restent à terminer.</x:v>
      </x:c>
    </x:row>
    <x:row r="1621" ht="96" customHeight="1">
      <x:c r="A1621" s="115" t="str">
        <x:v>EXT-MONDE-T033-V16</x:v>
      </x:c>
      <x:c r="B1621" s="115" t="str">
        <x:v>EXT-MONDE-T033</x:v>
      </x:c>
      <x:c r="C1621" s="115" t="str">
        <x:v>Échangeurs</x:v>
      </x:c>
      <x:c r="D1621" s="115" t="str">
        <x:v>Échangeur en losange</x:v>
      </x:c>
      <x:c r="E1621" s="115" t="n">
        <x:v>16</x:v>
      </x:c>
      <x:c r="F1621" s="115" t="str">
        <x:v>Inspection physique</x:v>
      </x:c>
      <x:c r="G1621" s="115" t="str">
        <x:v>1 niveaux ; 34 pièces ; 260 segments de mur ; 0 transitions. Inspection physique ; architecture complète encore ouverte.</x:v>
      </x:c>
      <x:c r="H1621" s="115" t="str">
        <x:v>L 1280 ; l 1360 ; hauteur 8 m ; choix de composition auteur ; dimensions réelles à documenter</x:v>
      </x:c>
      <x:c r="I1621" s="115" t="str">
        <x:v>À équilibrer</x:v>
      </x:c>
      <x:c r="J1621" s="115" t="str">
        <x:v>Non</x:v>
      </x:c>
      <x:c r="K1621" s="115" t="str">
        <x:v>Pièces décrites, murs, portes, niveaux et mobilier inspectables à l’échelle. Volumes réservés, raccord au seed, butin, rencontres et services de campagne restent à terminer.</x:v>
      </x:c>
    </x:row>
    <x:row r="1622" ht="96" customHeight="1">
      <x:c r="A1622" s="115" t="str">
        <x:v>EXT-MONDE-T033-V17</x:v>
      </x:c>
      <x:c r="B1622" s="115" t="str">
        <x:v>EXT-MONDE-T033</x:v>
      </x:c>
      <x:c r="C1622" s="115" t="str">
        <x:v>Échangeurs</x:v>
      </x:c>
      <x:c r="D1622" s="115" t="str">
        <x:v>Échangeur en losange</x:v>
      </x:c>
      <x:c r="E1622" s="115" t="n">
        <x:v>17</x:v>
      </x:c>
      <x:c r="F1622" s="115" t="str">
        <x:v>Inspection physique</x:v>
      </x:c>
      <x:c r="G1622" s="115" t="str">
        <x:v>1 niveaux ; 34 pièces ; 260 segments de mur ; 0 transitions. Inspection physique ; architecture complète encore ouverte.</x:v>
      </x:c>
      <x:c r="H1622" s="115" t="str">
        <x:v>L 1280 ; l 1360 ; hauteur 8 m ; choix de composition auteur ; dimensions réelles à documenter</x:v>
      </x:c>
      <x:c r="I1622" s="115" t="str">
        <x:v>À équilibrer</x:v>
      </x:c>
      <x:c r="J1622" s="115" t="str">
        <x:v>Non</x:v>
      </x:c>
      <x:c r="K1622" s="115" t="str">
        <x:v>Pièces décrites, murs, portes, niveaux et mobilier inspectables à l’échelle. Volumes réservés, raccord au seed, butin, rencontres et services de campagne restent à terminer.</x:v>
      </x:c>
    </x:row>
    <x:row r="1623" ht="96" customHeight="1">
      <x:c r="A1623" s="115" t="str">
        <x:v>EXT-MONDE-T033-V18</x:v>
      </x:c>
      <x:c r="B1623" s="115" t="str">
        <x:v>EXT-MONDE-T033</x:v>
      </x:c>
      <x:c r="C1623" s="115" t="str">
        <x:v>Échangeurs</x:v>
      </x:c>
      <x:c r="D1623" s="115" t="str">
        <x:v>Échangeur en losange</x:v>
      </x:c>
      <x:c r="E1623" s="115" t="n">
        <x:v>18</x:v>
      </x:c>
      <x:c r="F1623" s="115" t="str">
        <x:v>Inspection physique</x:v>
      </x:c>
      <x:c r="G1623" s="115" t="str">
        <x:v>1 niveaux ; 34 pièces ; 260 segments de mur ; 0 transitions. Inspection physique ; architecture complète encore ouverte.</x:v>
      </x:c>
      <x:c r="H1623" s="115" t="str">
        <x:v>L 1280 ; l 1360 ; hauteur 8 m ; choix de composition auteur ; dimensions réelles à documenter</x:v>
      </x:c>
      <x:c r="I1623" s="115" t="str">
        <x:v>À équilibrer</x:v>
      </x:c>
      <x:c r="J1623" s="115" t="str">
        <x:v>Non</x:v>
      </x:c>
      <x:c r="K1623" s="115" t="str">
        <x:v>Pièces décrites, murs, portes, niveaux et mobilier inspectables à l’échelle. Volumes réservés, raccord au seed, butin, rencontres et services de campagne restent à terminer.</x:v>
      </x:c>
    </x:row>
    <x:row r="1624" ht="96" customHeight="1">
      <x:c r="A1624" s="115" t="str">
        <x:v>EXT-MONDE-T033-V19</x:v>
      </x:c>
      <x:c r="B1624" s="115" t="str">
        <x:v>EXT-MONDE-T033</x:v>
      </x:c>
      <x:c r="C1624" s="115" t="str">
        <x:v>Échangeurs</x:v>
      </x:c>
      <x:c r="D1624" s="115" t="str">
        <x:v>Échangeur en losange</x:v>
      </x:c>
      <x:c r="E1624" s="115" t="n">
        <x:v>19</x:v>
      </x:c>
      <x:c r="F1624" s="115" t="str">
        <x:v>Inspection physique</x:v>
      </x:c>
      <x:c r="G1624" s="115" t="str">
        <x:v>1 niveaux ; 34 pièces ; 260 segments de mur ; 0 transitions. Inspection physique ; architecture complète encore ouverte.</x:v>
      </x:c>
      <x:c r="H1624" s="115" t="str">
        <x:v>L 1280 ; l 1360 ; hauteur 8 m ; choix de composition auteur ; dimensions réelles à documenter</x:v>
      </x:c>
      <x:c r="I1624" s="115" t="str">
        <x:v>À équilibrer</x:v>
      </x:c>
      <x:c r="J1624" s="115" t="str">
        <x:v>Non</x:v>
      </x:c>
      <x:c r="K1624" s="115" t="str">
        <x:v>Pièces décrites, murs, portes, niveaux et mobilier inspectables à l’échelle. Volumes réservés, raccord au seed, butin, rencontres et services de campagne restent à terminer.</x:v>
      </x:c>
    </x:row>
    <x:row r="1625" ht="96" customHeight="1">
      <x:c r="A1625" s="115" t="str">
        <x:v>EXT-MONDE-T033-V20</x:v>
      </x:c>
      <x:c r="B1625" s="115" t="str">
        <x:v>EXT-MONDE-T033</x:v>
      </x:c>
      <x:c r="C1625" s="115" t="str">
        <x:v>Échangeurs</x:v>
      </x:c>
      <x:c r="D1625" s="115" t="str">
        <x:v>Échangeur en losange</x:v>
      </x:c>
      <x:c r="E1625" s="115" t="n">
        <x:v>20</x:v>
      </x:c>
      <x:c r="F1625" s="115" t="str">
        <x:v>Inspection physique</x:v>
      </x:c>
      <x:c r="G1625" s="115" t="str">
        <x:v>1 niveaux ; 34 pièces ; 260 segments de mur ; 0 transitions. Inspection physique ; architecture complète encore ouverte.</x:v>
      </x:c>
      <x:c r="H1625" s="115" t="str">
        <x:v>L 1280 ; l 1360 ; hauteur 8 m ; choix de composition auteur ; dimensions réelles à documenter</x:v>
      </x:c>
      <x:c r="I1625" s="115" t="str">
        <x:v>À équilibrer</x:v>
      </x:c>
      <x:c r="J1625" s="115" t="str">
        <x:v>Non</x:v>
      </x:c>
      <x:c r="K1625" s="115" t="str">
        <x:v>Pièces décrites, murs, portes, niveaux et mobilier inspectables à l’échelle. Volumes réservés, raccord au seed, butin, rencontres et services de campagne restent à terminer.</x:v>
      </x:c>
    </x:row>
    <x:row r="1626" ht="96" customHeight="1">
      <x:c r="A1626" s="115" t="str">
        <x:v>EXT-MONDE-T033-V21</x:v>
      </x:c>
      <x:c r="B1626" s="115" t="str">
        <x:v>EXT-MONDE-T033</x:v>
      </x:c>
      <x:c r="C1626" s="115" t="str">
        <x:v>Échangeurs</x:v>
      </x:c>
      <x:c r="D1626" s="115" t="str">
        <x:v>Échangeur en losange</x:v>
      </x:c>
      <x:c r="E1626" s="115" t="n">
        <x:v>21</x:v>
      </x:c>
      <x:c r="F1626" s="115" t="str">
        <x:v>Inspection physique</x:v>
      </x:c>
      <x:c r="G1626" s="115" t="str">
        <x:v>1 niveaux ; 34 pièces ; 260 segments de mur ; 0 transitions. Inspection physique ; architecture complète encore ouverte.</x:v>
      </x:c>
      <x:c r="H1626" s="115" t="str">
        <x:v>L 1360 ; l 1520 ; hauteur 8 m ; choix de composition auteur ; dimensions réelles à documenter</x:v>
      </x:c>
      <x:c r="I1626" s="115" t="str">
        <x:v>À équilibrer</x:v>
      </x:c>
      <x:c r="J1626" s="115" t="str">
        <x:v>Non</x:v>
      </x:c>
      <x:c r="K1626" s="115" t="str">
        <x:v>Pièces décrites, murs, portes, niveaux et mobilier inspectables à l’échelle. Volumes réservés, raccord au seed, butin, rencontres et services de campagne restent à terminer.</x:v>
      </x:c>
    </x:row>
    <x:row r="1627" ht="96" customHeight="1">
      <x:c r="A1627" s="115" t="str">
        <x:v>EXT-MONDE-T033-V22</x:v>
      </x:c>
      <x:c r="B1627" s="115" t="str">
        <x:v>EXT-MONDE-T033</x:v>
      </x:c>
      <x:c r="C1627" s="115" t="str">
        <x:v>Échangeurs</x:v>
      </x:c>
      <x:c r="D1627" s="115" t="str">
        <x:v>Échangeur en losange</x:v>
      </x:c>
      <x:c r="E1627" s="115" t="n">
        <x:v>22</x:v>
      </x:c>
      <x:c r="F1627" s="115" t="str">
        <x:v>Inspection physique</x:v>
      </x:c>
      <x:c r="G1627" s="115" t="str">
        <x:v>1 niveaux ; 34 pièces ; 260 segments de mur ; 0 transitions. Inspection physique ; architecture complète encore ouverte.</x:v>
      </x:c>
      <x:c r="H1627" s="115" t="str">
        <x:v>L 1360 ; l 1520 ; hauteur 8 m ; choix de composition auteur ; dimensions réelles à documenter</x:v>
      </x:c>
      <x:c r="I1627" s="115" t="str">
        <x:v>À équilibrer</x:v>
      </x:c>
      <x:c r="J1627" s="115" t="str">
        <x:v>Non</x:v>
      </x:c>
      <x:c r="K1627" s="115" t="str">
        <x:v>Pièces décrites, murs, portes, niveaux et mobilier inspectables à l’échelle. Volumes réservés, raccord au seed, butin, rencontres et services de campagne restent à terminer.</x:v>
      </x:c>
    </x:row>
    <x:row r="1628" ht="96" customHeight="1">
      <x:c r="A1628" s="115" t="str">
        <x:v>EXT-MONDE-T033-V23</x:v>
      </x:c>
      <x:c r="B1628" s="115" t="str">
        <x:v>EXT-MONDE-T033</x:v>
      </x:c>
      <x:c r="C1628" s="115" t="str">
        <x:v>Échangeurs</x:v>
      </x:c>
      <x:c r="D1628" s="115" t="str">
        <x:v>Échangeur en losange</x:v>
      </x:c>
      <x:c r="E1628" s="115" t="n">
        <x:v>23</x:v>
      </x:c>
      <x:c r="F1628" s="115" t="str">
        <x:v>Inspection physique</x:v>
      </x:c>
      <x:c r="G1628" s="115" t="str">
        <x:v>1 niveaux ; 34 pièces ; 260 segments de mur ; 0 transitions. Inspection physique ; architecture complète encore ouverte.</x:v>
      </x:c>
      <x:c r="H1628" s="115" t="str">
        <x:v>L 1360 ; l 1520 ; hauteur 8 m ; choix de composition auteur ; dimensions réelles à documenter</x:v>
      </x:c>
      <x:c r="I1628" s="115" t="str">
        <x:v>À équilibrer</x:v>
      </x:c>
      <x:c r="J1628" s="115" t="str">
        <x:v>Non</x:v>
      </x:c>
      <x:c r="K1628" s="115" t="str">
        <x:v>Pièces décrites, murs, portes, niveaux et mobilier inspectables à l’échelle. Volumes réservés, raccord au seed, butin, rencontres et services de campagne restent à terminer.</x:v>
      </x:c>
    </x:row>
    <x:row r="1629" ht="96" customHeight="1">
      <x:c r="A1629" s="115" t="str">
        <x:v>EXT-MONDE-T033-V24</x:v>
      </x:c>
      <x:c r="B1629" s="115" t="str">
        <x:v>EXT-MONDE-T033</x:v>
      </x:c>
      <x:c r="C1629" s="115" t="str">
        <x:v>Échangeurs</x:v>
      </x:c>
      <x:c r="D1629" s="115" t="str">
        <x:v>Échangeur en losange</x:v>
      </x:c>
      <x:c r="E1629" s="115" t="n">
        <x:v>24</x:v>
      </x:c>
      <x:c r="F1629" s="115" t="str">
        <x:v>Inspection physique</x:v>
      </x:c>
      <x:c r="G1629" s="115" t="str">
        <x:v>1 niveaux ; 34 pièces ; 260 segments de mur ; 0 transitions. Inspection physique ; architecture complète encore ouverte.</x:v>
      </x:c>
      <x:c r="H1629" s="115" t="str">
        <x:v>L 1360 ; l 1520 ; hauteur 8 m ; choix de composition auteur ; dimensions réelles à documenter</x:v>
      </x:c>
      <x:c r="I1629" s="115" t="str">
        <x:v>À équilibrer</x:v>
      </x:c>
      <x:c r="J1629" s="115" t="str">
        <x:v>Non</x:v>
      </x:c>
      <x:c r="K1629" s="115" t="str">
        <x:v>Pièces décrites, murs, portes, niveaux et mobilier inspectables à l’échelle. Volumes réservés, raccord au seed, butin, rencontres et services de campagne restent à terminer.</x:v>
      </x:c>
    </x:row>
    <x:row r="1630" ht="96" customHeight="1">
      <x:c r="A1630" s="115" t="str">
        <x:v>EXT-MONDE-T033-V25</x:v>
      </x:c>
      <x:c r="B1630" s="115" t="str">
        <x:v>EXT-MONDE-T033</x:v>
      </x:c>
      <x:c r="C1630" s="115" t="str">
        <x:v>Échangeurs</x:v>
      </x:c>
      <x:c r="D1630" s="115" t="str">
        <x:v>Échangeur en losange</x:v>
      </x:c>
      <x:c r="E1630" s="115" t="n">
        <x:v>25</x:v>
      </x:c>
      <x:c r="F1630" s="115" t="str">
        <x:v>Inspection physique</x:v>
      </x:c>
      <x:c r="G1630" s="115" t="str">
        <x:v>1 niveaux ; 34 pièces ; 260 segments de mur ; 0 transitions. Inspection physique ; architecture complète encore ouverte.</x:v>
      </x:c>
      <x:c r="H1630" s="115" t="str">
        <x:v>L 1360 ; l 1520 ; hauteur 8 m ; choix de composition auteur ; dimensions réelles à documenter</x:v>
      </x:c>
      <x:c r="I1630" s="115" t="str">
        <x:v>À équilibrer</x:v>
      </x:c>
      <x:c r="J1630" s="115" t="str">
        <x:v>Non</x:v>
      </x:c>
      <x:c r="K1630" s="115" t="str">
        <x:v>Pièces décrites, murs, portes, niveaux et mobilier inspectables à l’échelle. Volumes réservés, raccord au seed, butin, rencontres et services de campagne restent à terminer.</x:v>
      </x:c>
    </x:row>
    <x:row r="1631" ht="96" customHeight="1">
      <x:c r="A1631" s="115" t="str">
        <x:v>EXT-MONDE-T033-V26</x:v>
      </x:c>
      <x:c r="B1631" s="115" t="str">
        <x:v>EXT-MONDE-T033</x:v>
      </x:c>
      <x:c r="C1631" s="115" t="str">
        <x:v>Échangeurs</x:v>
      </x:c>
      <x:c r="D1631" s="115" t="str">
        <x:v>Échangeur en losange</x:v>
      </x:c>
      <x:c r="E1631" s="115" t="n">
        <x:v>26</x:v>
      </x:c>
      <x:c r="F1631" s="115" t="str">
        <x:v>Inspection physique</x:v>
      </x:c>
      <x:c r="G1631" s="115" t="str">
        <x:v>1 niveaux ; 34 pièces ; 260 segments de mur ; 0 transitions. Inspection physique ; architecture complète encore ouverte.</x:v>
      </x:c>
      <x:c r="H1631" s="115" t="str">
        <x:v>L 1360 ; l 1520 ; hauteur 8 m ; choix de composition auteur ; dimensions réelles à documenter</x:v>
      </x:c>
      <x:c r="I1631" s="115" t="str">
        <x:v>À équilibrer</x:v>
      </x:c>
      <x:c r="J1631" s="115" t="str">
        <x:v>Non</x:v>
      </x:c>
      <x:c r="K1631" s="115" t="str">
        <x:v>Pièces décrites, murs, portes, niveaux et mobilier inspectables à l’échelle. Volumes réservés, raccord au seed, butin, rencontres et services de campagne restent à terminer.</x:v>
      </x:c>
    </x:row>
    <x:row r="1632" ht="96" customHeight="1">
      <x:c r="A1632" s="115" t="str">
        <x:v>EXT-MONDE-T033-V27</x:v>
      </x:c>
      <x:c r="B1632" s="115" t="str">
        <x:v>EXT-MONDE-T033</x:v>
      </x:c>
      <x:c r="C1632" s="115" t="str">
        <x:v>Échangeurs</x:v>
      </x:c>
      <x:c r="D1632" s="115" t="str">
        <x:v>Échangeur en losange</x:v>
      </x:c>
      <x:c r="E1632" s="115" t="n">
        <x:v>27</x:v>
      </x:c>
      <x:c r="F1632" s="115" t="str">
        <x:v>Inspection physique</x:v>
      </x:c>
      <x:c r="G1632" s="115" t="str">
        <x:v>1 niveaux ; 34 pièces ; 260 segments de mur ; 0 transitions. Inspection physique ; architecture complète encore ouverte.</x:v>
      </x:c>
      <x:c r="H1632" s="115" t="str">
        <x:v>L 1360 ; l 1520 ; hauteur 8 m ; choix de composition auteur ; dimensions réelles à documenter</x:v>
      </x:c>
      <x:c r="I1632" s="115" t="str">
        <x:v>À équilibrer</x:v>
      </x:c>
      <x:c r="J1632" s="115" t="str">
        <x:v>Non</x:v>
      </x:c>
      <x:c r="K1632" s="115" t="str">
        <x:v>Pièces décrites, murs, portes, niveaux et mobilier inspectables à l’échelle. Volumes réservés, raccord au seed, butin, rencontres et services de campagne restent à terminer.</x:v>
      </x:c>
    </x:row>
    <x:row r="1633" ht="96" customHeight="1">
      <x:c r="A1633" s="115" t="str">
        <x:v>EXT-MONDE-T033-V28</x:v>
      </x:c>
      <x:c r="B1633" s="115" t="str">
        <x:v>EXT-MONDE-T033</x:v>
      </x:c>
      <x:c r="C1633" s="115" t="str">
        <x:v>Échangeurs</x:v>
      </x:c>
      <x:c r="D1633" s="115" t="str">
        <x:v>Échangeur en losange</x:v>
      </x:c>
      <x:c r="E1633" s="115" t="n">
        <x:v>28</x:v>
      </x:c>
      <x:c r="F1633" s="115" t="str">
        <x:v>Inspection physique</x:v>
      </x:c>
      <x:c r="G1633" s="115" t="str">
        <x:v>1 niveaux ; 34 pièces ; 260 segments de mur ; 0 transitions. Inspection physique ; architecture complète encore ouverte.</x:v>
      </x:c>
      <x:c r="H1633" s="115" t="str">
        <x:v>L 1360 ; l 1520 ; hauteur 8 m ; choix de composition auteur ; dimensions réelles à documenter</x:v>
      </x:c>
      <x:c r="I1633" s="115" t="str">
        <x:v>À équilibrer</x:v>
      </x:c>
      <x:c r="J1633" s="115" t="str">
        <x:v>Non</x:v>
      </x:c>
      <x:c r="K1633" s="115" t="str">
        <x:v>Pièces décrites, murs, portes, niveaux et mobilier inspectables à l’échelle. Volumes réservés, raccord au seed, butin, rencontres et services de campagne restent à terminer.</x:v>
      </x:c>
    </x:row>
    <x:row r="1634" ht="96" customHeight="1">
      <x:c r="A1634" s="115" t="str">
        <x:v>EXT-MONDE-T033-V29</x:v>
      </x:c>
      <x:c r="B1634" s="115" t="str">
        <x:v>EXT-MONDE-T033</x:v>
      </x:c>
      <x:c r="C1634" s="115" t="str">
        <x:v>Échangeurs</x:v>
      </x:c>
      <x:c r="D1634" s="115" t="str">
        <x:v>Échangeur en losange</x:v>
      </x:c>
      <x:c r="E1634" s="115" t="n">
        <x:v>29</x:v>
      </x:c>
      <x:c r="F1634" s="115" t="str">
        <x:v>Inspection physique</x:v>
      </x:c>
      <x:c r="G1634" s="115" t="str">
        <x:v>1 niveaux ; 34 pièces ; 260 segments de mur ; 0 transitions. Inspection physique ; architecture complète encore ouverte.</x:v>
      </x:c>
      <x:c r="H1634" s="115" t="str">
        <x:v>L 1360 ; l 1520 ; hauteur 8 m ; choix de composition auteur ; dimensions réelles à documenter</x:v>
      </x:c>
      <x:c r="I1634" s="115" t="str">
        <x:v>À équilibrer</x:v>
      </x:c>
      <x:c r="J1634" s="115" t="str">
        <x:v>Non</x:v>
      </x:c>
      <x:c r="K1634" s="115" t="str">
        <x:v>Pièces décrites, murs, portes, niveaux et mobilier inspectables à l’échelle. Volumes réservés, raccord au seed, butin, rencontres et services de campagne restent à terminer.</x:v>
      </x:c>
    </x:row>
    <x:row r="1635" ht="96" customHeight="1">
      <x:c r="A1635" s="115" t="str">
        <x:v>EXT-MONDE-T033-V30</x:v>
      </x:c>
      <x:c r="B1635" s="115" t="str">
        <x:v>EXT-MONDE-T033</x:v>
      </x:c>
      <x:c r="C1635" s="115" t="str">
        <x:v>Échangeurs</x:v>
      </x:c>
      <x:c r="D1635" s="115" t="str">
        <x:v>Échangeur en losange</x:v>
      </x:c>
      <x:c r="E1635" s="115" t="n">
        <x:v>30</x:v>
      </x:c>
      <x:c r="F1635" s="115" t="str">
        <x:v>Inspection physique</x:v>
      </x:c>
      <x:c r="G1635" s="115" t="str">
        <x:v>1 niveaux ; 34 pièces ; 260 segments de mur ; 0 transitions. Inspection physique ; architecture complète encore ouverte.</x:v>
      </x:c>
      <x:c r="H1635" s="115" t="str">
        <x:v>L 1360 ; l 1520 ; hauteur 8 m ; choix de composition auteur ; dimensions réelles à documenter</x:v>
      </x:c>
      <x:c r="I1635" s="115" t="str">
        <x:v>À équilibrer</x:v>
      </x:c>
      <x:c r="J1635" s="115" t="str">
        <x:v>Non</x:v>
      </x:c>
      <x:c r="K1635" s="115" t="str">
        <x:v>Pièces décrites, murs, portes, niveaux et mobilier inspectables à l’échelle. Volumes réservés, raccord au seed, butin, rencontres et services de campagne restent à terminer.</x:v>
      </x:c>
    </x:row>
    <x:row r="1636" ht="96" customHeight="1">
      <x:c r="A1636" s="115" t="str">
        <x:v>EXT-MONDE-T033-V31</x:v>
      </x:c>
      <x:c r="B1636" s="115" t="str">
        <x:v>EXT-MONDE-T033</x:v>
      </x:c>
      <x:c r="C1636" s="115" t="str">
        <x:v>Échangeurs</x:v>
      </x:c>
      <x:c r="D1636" s="115" t="str">
        <x:v>Échangeur en losange</x:v>
      </x:c>
      <x:c r="E1636" s="115" t="n">
        <x:v>31</x:v>
      </x:c>
      <x:c r="F1636" s="115" t="str">
        <x:v>Inspection physique</x:v>
      </x:c>
      <x:c r="G1636" s="115" t="str">
        <x:v>1 niveaux ; 34 pièces ; 260 segments de mur ; 0 transitions. Inspection physique ; architecture complète encore ouverte.</x:v>
      </x:c>
      <x:c r="H1636" s="115" t="str">
        <x:v>L 1440 ; l 1680 ; hauteur 8 m ; choix de composition auteur ; dimensions réelles à documenter</x:v>
      </x:c>
      <x:c r="I1636" s="115" t="str">
        <x:v>À équilibrer</x:v>
      </x:c>
      <x:c r="J1636" s="115" t="str">
        <x:v>Non</x:v>
      </x:c>
      <x:c r="K1636" s="115" t="str">
        <x:v>Pièces décrites, murs, portes, niveaux et mobilier inspectables à l’échelle. Volumes réservés, raccord au seed, butin, rencontres et services de campagne restent à terminer.</x:v>
      </x:c>
    </x:row>
    <x:row r="1637" ht="96" customHeight="1">
      <x:c r="A1637" s="115" t="str">
        <x:v>EXT-MONDE-T033-V32</x:v>
      </x:c>
      <x:c r="B1637" s="115" t="str">
        <x:v>EXT-MONDE-T033</x:v>
      </x:c>
      <x:c r="C1637" s="115" t="str">
        <x:v>Échangeurs</x:v>
      </x:c>
      <x:c r="D1637" s="115" t="str">
        <x:v>Échangeur en losange</x:v>
      </x:c>
      <x:c r="E1637" s="115" t="n">
        <x:v>32</x:v>
      </x:c>
      <x:c r="F1637" s="115" t="str">
        <x:v>Inspection physique</x:v>
      </x:c>
      <x:c r="G1637" s="115" t="str">
        <x:v>1 niveaux ; 34 pièces ; 260 segments de mur ; 0 transitions. Inspection physique ; architecture complète encore ouverte.</x:v>
      </x:c>
      <x:c r="H1637" s="115" t="str">
        <x:v>L 1440 ; l 1680 ; hauteur 8 m ; choix de composition auteur ; dimensions réelles à documenter</x:v>
      </x:c>
      <x:c r="I1637" s="115" t="str">
        <x:v>À équilibrer</x:v>
      </x:c>
      <x:c r="J1637" s="115" t="str">
        <x:v>Non</x:v>
      </x:c>
      <x:c r="K1637" s="115" t="str">
        <x:v>Pièces décrites, murs, portes, niveaux et mobilier inspectables à l’échelle. Volumes réservés, raccord au seed, butin, rencontres et services de campagne restent à terminer.</x:v>
      </x:c>
    </x:row>
    <x:row r="1638" ht="96" customHeight="1">
      <x:c r="A1638" s="115" t="str">
        <x:v>EXT-MONDE-T033-V33</x:v>
      </x:c>
      <x:c r="B1638" s="115" t="str">
        <x:v>EXT-MONDE-T033</x:v>
      </x:c>
      <x:c r="C1638" s="115" t="str">
        <x:v>Échangeurs</x:v>
      </x:c>
      <x:c r="D1638" s="115" t="str">
        <x:v>Échangeur en losange</x:v>
      </x:c>
      <x:c r="E1638" s="115" t="n">
        <x:v>33</x:v>
      </x:c>
      <x:c r="F1638" s="115" t="str">
        <x:v>Inspection physique</x:v>
      </x:c>
      <x:c r="G1638" s="115" t="str">
        <x:v>1 niveaux ; 34 pièces ; 260 segments de mur ; 0 transitions. Inspection physique ; architecture complète encore ouverte.</x:v>
      </x:c>
      <x:c r="H1638" s="115" t="str">
        <x:v>L 1440 ; l 1680 ; hauteur 8 m ; choix de composition auteur ; dimensions réelles à documenter</x:v>
      </x:c>
      <x:c r="I1638" s="115" t="str">
        <x:v>À équilibrer</x:v>
      </x:c>
      <x:c r="J1638" s="115" t="str">
        <x:v>Non</x:v>
      </x:c>
      <x:c r="K1638" s="115" t="str">
        <x:v>Pièces décrites, murs, portes, niveaux et mobilier inspectables à l’échelle. Volumes réservés, raccord au seed, butin, rencontres et services de campagne restent à terminer.</x:v>
      </x:c>
    </x:row>
    <x:row r="1639" ht="96" customHeight="1">
      <x:c r="A1639" s="115" t="str">
        <x:v>EXT-MONDE-T033-V34</x:v>
      </x:c>
      <x:c r="B1639" s="115" t="str">
        <x:v>EXT-MONDE-T033</x:v>
      </x:c>
      <x:c r="C1639" s="115" t="str">
        <x:v>Échangeurs</x:v>
      </x:c>
      <x:c r="D1639" s="115" t="str">
        <x:v>Échangeur en losange</x:v>
      </x:c>
      <x:c r="E1639" s="115" t="n">
        <x:v>34</x:v>
      </x:c>
      <x:c r="F1639" s="115" t="str">
        <x:v>Inspection physique</x:v>
      </x:c>
      <x:c r="G1639" s="115" t="str">
        <x:v>1 niveaux ; 34 pièces ; 260 segments de mur ; 0 transitions. Inspection physique ; architecture complète encore ouverte.</x:v>
      </x:c>
      <x:c r="H1639" s="115" t="str">
        <x:v>L 1440 ; l 1680 ; hauteur 8 m ; choix de composition auteur ; dimensions réelles à documenter</x:v>
      </x:c>
      <x:c r="I1639" s="115" t="str">
        <x:v>À équilibrer</x:v>
      </x:c>
      <x:c r="J1639" s="115" t="str">
        <x:v>Non</x:v>
      </x:c>
      <x:c r="K1639" s="115" t="str">
        <x:v>Pièces décrites, murs, portes, niveaux et mobilier inspectables à l’échelle. Volumes réservés, raccord au seed, butin, rencontres et services de campagne restent à terminer.</x:v>
      </x:c>
    </x:row>
    <x:row r="1640" ht="96" customHeight="1">
      <x:c r="A1640" s="115" t="str">
        <x:v>EXT-MONDE-T033-V35</x:v>
      </x:c>
      <x:c r="B1640" s="115" t="str">
        <x:v>EXT-MONDE-T033</x:v>
      </x:c>
      <x:c r="C1640" s="115" t="str">
        <x:v>Échangeurs</x:v>
      </x:c>
      <x:c r="D1640" s="115" t="str">
        <x:v>Échangeur en losange</x:v>
      </x:c>
      <x:c r="E1640" s="115" t="n">
        <x:v>35</x:v>
      </x:c>
      <x:c r="F1640" s="115" t="str">
        <x:v>Inspection physique</x:v>
      </x:c>
      <x:c r="G1640" s="115" t="str">
        <x:v>1 niveaux ; 34 pièces ; 260 segments de mur ; 0 transitions. Inspection physique ; architecture complète encore ouverte.</x:v>
      </x:c>
      <x:c r="H1640" s="115" t="str">
        <x:v>L 1440 ; l 1680 ; hauteur 8 m ; choix de composition auteur ; dimensions réelles à documenter</x:v>
      </x:c>
      <x:c r="I1640" s="115" t="str">
        <x:v>À équilibrer</x:v>
      </x:c>
      <x:c r="J1640" s="115" t="str">
        <x:v>Non</x:v>
      </x:c>
      <x:c r="K1640" s="115" t="str">
        <x:v>Pièces décrites, murs, portes, niveaux et mobilier inspectables à l’échelle. Volumes réservés, raccord au seed, butin, rencontres et services de campagne restent à terminer.</x:v>
      </x:c>
    </x:row>
    <x:row r="1641" ht="96" customHeight="1">
      <x:c r="A1641" s="115" t="str">
        <x:v>EXT-MONDE-T033-V36</x:v>
      </x:c>
      <x:c r="B1641" s="115" t="str">
        <x:v>EXT-MONDE-T033</x:v>
      </x:c>
      <x:c r="C1641" s="115" t="str">
        <x:v>Échangeurs</x:v>
      </x:c>
      <x:c r="D1641" s="115" t="str">
        <x:v>Échangeur en losange</x:v>
      </x:c>
      <x:c r="E1641" s="115" t="n">
        <x:v>36</x:v>
      </x:c>
      <x:c r="F1641" s="115" t="str">
        <x:v>Inspection physique</x:v>
      </x:c>
      <x:c r="G1641" s="115" t="str">
        <x:v>1 niveaux ; 34 pièces ; 260 segments de mur ; 0 transitions. Inspection physique ; architecture complète encore ouverte.</x:v>
      </x:c>
      <x:c r="H1641" s="115" t="str">
        <x:v>L 1440 ; l 1680 ; hauteur 8 m ; choix de composition auteur ; dimensions réelles à documenter</x:v>
      </x:c>
      <x:c r="I1641" s="115" t="str">
        <x:v>À équilibrer</x:v>
      </x:c>
      <x:c r="J1641" s="115" t="str">
        <x:v>Non</x:v>
      </x:c>
      <x:c r="K1641" s="115" t="str">
        <x:v>Pièces décrites, murs, portes, niveaux et mobilier inspectables à l’échelle. Volumes réservés, raccord au seed, butin, rencontres et services de campagne restent à terminer.</x:v>
      </x:c>
    </x:row>
    <x:row r="1642" ht="96" customHeight="1">
      <x:c r="A1642" s="115" t="str">
        <x:v>EXT-MONDE-T033-V37</x:v>
      </x:c>
      <x:c r="B1642" s="115" t="str">
        <x:v>EXT-MONDE-T033</x:v>
      </x:c>
      <x:c r="C1642" s="115" t="str">
        <x:v>Échangeurs</x:v>
      </x:c>
      <x:c r="D1642" s="115" t="str">
        <x:v>Échangeur en losange</x:v>
      </x:c>
      <x:c r="E1642" s="115" t="n">
        <x:v>37</x:v>
      </x:c>
      <x:c r="F1642" s="115" t="str">
        <x:v>Inspection physique</x:v>
      </x:c>
      <x:c r="G1642" s="115" t="str">
        <x:v>1 niveaux ; 34 pièces ; 260 segments de mur ; 0 transitions. Inspection physique ; architecture complète encore ouverte.</x:v>
      </x:c>
      <x:c r="H1642" s="115" t="str">
        <x:v>L 1440 ; l 1680 ; hauteur 8 m ; choix de composition auteur ; dimensions réelles à documenter</x:v>
      </x:c>
      <x:c r="I1642" s="115" t="str">
        <x:v>À équilibrer</x:v>
      </x:c>
      <x:c r="J1642" s="115" t="str">
        <x:v>Non</x:v>
      </x:c>
      <x:c r="K1642" s="115" t="str">
        <x:v>Pièces décrites, murs, portes, niveaux et mobilier inspectables à l’échelle. Volumes réservés, raccord au seed, butin, rencontres et services de campagne restent à terminer.</x:v>
      </x:c>
    </x:row>
    <x:row r="1643" ht="96" customHeight="1">
      <x:c r="A1643" s="115" t="str">
        <x:v>EXT-MONDE-T033-V38</x:v>
      </x:c>
      <x:c r="B1643" s="115" t="str">
        <x:v>EXT-MONDE-T033</x:v>
      </x:c>
      <x:c r="C1643" s="115" t="str">
        <x:v>Échangeurs</x:v>
      </x:c>
      <x:c r="D1643" s="115" t="str">
        <x:v>Échangeur en losange</x:v>
      </x:c>
      <x:c r="E1643" s="115" t="n">
        <x:v>38</x:v>
      </x:c>
      <x:c r="F1643" s="115" t="str">
        <x:v>Inspection physique</x:v>
      </x:c>
      <x:c r="G1643" s="115" t="str">
        <x:v>1 niveaux ; 34 pièces ; 260 segments de mur ; 0 transitions. Inspection physique ; architecture complète encore ouverte.</x:v>
      </x:c>
      <x:c r="H1643" s="115" t="str">
        <x:v>L 1440 ; l 1680 ; hauteur 8 m ; choix de composition auteur ; dimensions réelles à documenter</x:v>
      </x:c>
      <x:c r="I1643" s="115" t="str">
        <x:v>À équilibrer</x:v>
      </x:c>
      <x:c r="J1643" s="115" t="str">
        <x:v>Non</x:v>
      </x:c>
      <x:c r="K1643" s="115" t="str">
        <x:v>Pièces décrites, murs, portes, niveaux et mobilier inspectables à l’échelle. Volumes réservés, raccord au seed, butin, rencontres et services de campagne restent à terminer.</x:v>
      </x:c>
    </x:row>
    <x:row r="1644" ht="96" customHeight="1">
      <x:c r="A1644" s="115" t="str">
        <x:v>EXT-MONDE-T033-V39</x:v>
      </x:c>
      <x:c r="B1644" s="115" t="str">
        <x:v>EXT-MONDE-T033</x:v>
      </x:c>
      <x:c r="C1644" s="115" t="str">
        <x:v>Échangeurs</x:v>
      </x:c>
      <x:c r="D1644" s="115" t="str">
        <x:v>Échangeur en losange</x:v>
      </x:c>
      <x:c r="E1644" s="115" t="n">
        <x:v>39</x:v>
      </x:c>
      <x:c r="F1644" s="115" t="str">
        <x:v>Inspection physique</x:v>
      </x:c>
      <x:c r="G1644" s="115" t="str">
        <x:v>1 niveaux ; 34 pièces ; 260 segments de mur ; 0 transitions. Inspection physique ; architecture complète encore ouverte.</x:v>
      </x:c>
      <x:c r="H1644" s="115" t="str">
        <x:v>L 1440 ; l 1680 ; hauteur 8 m ; choix de composition auteur ; dimensions réelles à documenter</x:v>
      </x:c>
      <x:c r="I1644" s="115" t="str">
        <x:v>À équilibrer</x:v>
      </x:c>
      <x:c r="J1644" s="115" t="str">
        <x:v>Non</x:v>
      </x:c>
      <x:c r="K1644" s="115" t="str">
        <x:v>Pièces décrites, murs, portes, niveaux et mobilier inspectables à l’échelle. Volumes réservés, raccord au seed, butin, rencontres et services de campagne restent à terminer.</x:v>
      </x:c>
    </x:row>
    <x:row r="1645" ht="96" customHeight="1">
      <x:c r="A1645" s="115" t="str">
        <x:v>EXT-MONDE-T033-V40</x:v>
      </x:c>
      <x:c r="B1645" s="115" t="str">
        <x:v>EXT-MONDE-T033</x:v>
      </x:c>
      <x:c r="C1645" s="115" t="str">
        <x:v>Échangeurs</x:v>
      </x:c>
      <x:c r="D1645" s="115" t="str">
        <x:v>Échangeur en losange</x:v>
      </x:c>
      <x:c r="E1645" s="115" t="n">
        <x:v>40</x:v>
      </x:c>
      <x:c r="F1645" s="115" t="str">
        <x:v>Inspection physique</x:v>
      </x:c>
      <x:c r="G1645" s="115" t="str">
        <x:v>1 niveaux ; 34 pièces ; 260 segments de mur ; 0 transitions. Inspection physique ; architecture complète encore ouverte.</x:v>
      </x:c>
      <x:c r="H1645" s="115" t="str">
        <x:v>L 1440 ; l 1680 ; hauteur 8 m ; choix de composition auteur ; dimensions réelles à documenter</x:v>
      </x:c>
      <x:c r="I1645" s="115" t="str">
        <x:v>À équilibrer</x:v>
      </x:c>
      <x:c r="J1645" s="115" t="str">
        <x:v>Non</x:v>
      </x:c>
      <x:c r="K1645" s="115" t="str">
        <x:v>Pièces décrites, murs, portes, niveaux et mobilier inspectables à l’échelle. Volumes réservés, raccord au seed, butin, rencontres et services de campagne restent à terminer.</x:v>
      </x:c>
    </x:row>
    <x:row r="1646" ht="96" customHeight="1">
      <x:c r="A1646" s="115" t="str">
        <x:v>EXT-MONDE-T033-V41</x:v>
      </x:c>
      <x:c r="B1646" s="115" t="str">
        <x:v>EXT-MONDE-T033</x:v>
      </x:c>
      <x:c r="C1646" s="115" t="str">
        <x:v>Échangeurs</x:v>
      </x:c>
      <x:c r="D1646" s="115" t="str">
        <x:v>Échangeur en losange</x:v>
      </x:c>
      <x:c r="E1646" s="115" t="n">
        <x:v>41</x:v>
      </x:c>
      <x:c r="F1646" s="115" t="str">
        <x:v>Inspection physique</x:v>
      </x:c>
      <x:c r="G1646" s="115" t="str">
        <x:v>1 niveaux ; 34 pièces ; 260 segments de mur ; 0 transitions. Inspection physique ; architecture complète encore ouverte.</x:v>
      </x:c>
      <x:c r="H1646" s="115" t="str">
        <x:v>L 1520 ; l 1840 ; hauteur 8 m ; choix de composition auteur ; dimensions réelles à documenter</x:v>
      </x:c>
      <x:c r="I1646" s="115" t="str">
        <x:v>À équilibrer</x:v>
      </x:c>
      <x:c r="J1646" s="115" t="str">
        <x:v>Non</x:v>
      </x:c>
      <x:c r="K1646" s="115" t="str">
        <x:v>Pièces décrites, murs, portes, niveaux et mobilier inspectables à l’échelle. Volumes réservés, raccord au seed, butin, rencontres et services de campagne restent à terminer.</x:v>
      </x:c>
    </x:row>
    <x:row r="1647" ht="96" customHeight="1">
      <x:c r="A1647" s="115" t="str">
        <x:v>EXT-MONDE-T033-V42</x:v>
      </x:c>
      <x:c r="B1647" s="115" t="str">
        <x:v>EXT-MONDE-T033</x:v>
      </x:c>
      <x:c r="C1647" s="115" t="str">
        <x:v>Échangeurs</x:v>
      </x:c>
      <x:c r="D1647" s="115" t="str">
        <x:v>Échangeur en losange</x:v>
      </x:c>
      <x:c r="E1647" s="115" t="n">
        <x:v>42</x:v>
      </x:c>
      <x:c r="F1647" s="115" t="str">
        <x:v>Inspection physique</x:v>
      </x:c>
      <x:c r="G1647" s="115" t="str">
        <x:v>1 niveaux ; 34 pièces ; 260 segments de mur ; 0 transitions. Inspection physique ; architecture complète encore ouverte.</x:v>
      </x:c>
      <x:c r="H1647" s="115" t="str">
        <x:v>L 1520 ; l 1840 ; hauteur 8 m ; choix de composition auteur ; dimensions réelles à documenter</x:v>
      </x:c>
      <x:c r="I1647" s="115" t="str">
        <x:v>À équilibrer</x:v>
      </x:c>
      <x:c r="J1647" s="115" t="str">
        <x:v>Non</x:v>
      </x:c>
      <x:c r="K1647" s="115" t="str">
        <x:v>Pièces décrites, murs, portes, niveaux et mobilier inspectables à l’échelle. Volumes réservés, raccord au seed, butin, rencontres et services de campagne restent à terminer.</x:v>
      </x:c>
    </x:row>
    <x:row r="1648" ht="96" customHeight="1">
      <x:c r="A1648" s="115" t="str">
        <x:v>EXT-MONDE-T033-V43</x:v>
      </x:c>
      <x:c r="B1648" s="115" t="str">
        <x:v>EXT-MONDE-T033</x:v>
      </x:c>
      <x:c r="C1648" s="115" t="str">
        <x:v>Échangeurs</x:v>
      </x:c>
      <x:c r="D1648" s="115" t="str">
        <x:v>Échangeur en losange</x:v>
      </x:c>
      <x:c r="E1648" s="115" t="n">
        <x:v>43</x:v>
      </x:c>
      <x:c r="F1648" s="115" t="str">
        <x:v>Inspection physique</x:v>
      </x:c>
      <x:c r="G1648" s="115" t="str">
        <x:v>1 niveaux ; 34 pièces ; 260 segments de mur ; 0 transitions. Inspection physique ; architecture complète encore ouverte.</x:v>
      </x:c>
      <x:c r="H1648" s="115" t="str">
        <x:v>L 1520 ; l 1840 ; hauteur 8 m ; choix de composition auteur ; dimensions réelles à documenter</x:v>
      </x:c>
      <x:c r="I1648" s="115" t="str">
        <x:v>À équilibrer</x:v>
      </x:c>
      <x:c r="J1648" s="115" t="str">
        <x:v>Non</x:v>
      </x:c>
      <x:c r="K1648" s="115" t="str">
        <x:v>Pièces décrites, murs, portes, niveaux et mobilier inspectables à l’échelle. Volumes réservés, raccord au seed, butin, rencontres et services de campagne restent à terminer.</x:v>
      </x:c>
    </x:row>
    <x:row r="1649" ht="96" customHeight="1">
      <x:c r="A1649" s="115" t="str">
        <x:v>EXT-MONDE-T033-V44</x:v>
      </x:c>
      <x:c r="B1649" s="115" t="str">
        <x:v>EXT-MONDE-T033</x:v>
      </x:c>
      <x:c r="C1649" s="115" t="str">
        <x:v>Échangeurs</x:v>
      </x:c>
      <x:c r="D1649" s="115" t="str">
        <x:v>Échangeur en losange</x:v>
      </x:c>
      <x:c r="E1649" s="115" t="n">
        <x:v>44</x:v>
      </x:c>
      <x:c r="F1649" s="115" t="str">
        <x:v>Inspection physique</x:v>
      </x:c>
      <x:c r="G1649" s="115" t="str">
        <x:v>1 niveaux ; 34 pièces ; 260 segments de mur ; 0 transitions. Inspection physique ; architecture complète encore ouverte.</x:v>
      </x:c>
      <x:c r="H1649" s="115" t="str">
        <x:v>L 1520 ; l 1840 ; hauteur 8 m ; choix de composition auteur ; dimensions réelles à documenter</x:v>
      </x:c>
      <x:c r="I1649" s="115" t="str">
        <x:v>À équilibrer</x:v>
      </x:c>
      <x:c r="J1649" s="115" t="str">
        <x:v>Non</x:v>
      </x:c>
      <x:c r="K1649" s="115" t="str">
        <x:v>Pièces décrites, murs, portes, niveaux et mobilier inspectables à l’échelle. Volumes réservés, raccord au seed, butin, rencontres et services de campagne restent à terminer.</x:v>
      </x:c>
    </x:row>
    <x:row r="1650" ht="96" customHeight="1">
      <x:c r="A1650" s="115" t="str">
        <x:v>EXT-MONDE-T033-V45</x:v>
      </x:c>
      <x:c r="B1650" s="115" t="str">
        <x:v>EXT-MONDE-T033</x:v>
      </x:c>
      <x:c r="C1650" s="115" t="str">
        <x:v>Échangeurs</x:v>
      </x:c>
      <x:c r="D1650" s="115" t="str">
        <x:v>Échangeur en losange</x:v>
      </x:c>
      <x:c r="E1650" s="115" t="n">
        <x:v>45</x:v>
      </x:c>
      <x:c r="F1650" s="115" t="str">
        <x:v>Inspection physique</x:v>
      </x:c>
      <x:c r="G1650" s="115" t="str">
        <x:v>1 niveaux ; 34 pièces ; 260 segments de mur ; 0 transitions. Inspection physique ; architecture complète encore ouverte.</x:v>
      </x:c>
      <x:c r="H1650" s="115" t="str">
        <x:v>L 1520 ; l 1840 ; hauteur 8 m ; choix de composition auteur ; dimensions réelles à documenter</x:v>
      </x:c>
      <x:c r="I1650" s="115" t="str">
        <x:v>À équilibrer</x:v>
      </x:c>
      <x:c r="J1650" s="115" t="str">
        <x:v>Non</x:v>
      </x:c>
      <x:c r="K1650" s="115" t="str">
        <x:v>Pièces décrites, murs, portes, niveaux et mobilier inspectables à l’échelle. Volumes réservés, raccord au seed, butin, rencontres et services de campagne restent à terminer.</x:v>
      </x:c>
    </x:row>
    <x:row r="1651" ht="96" customHeight="1">
      <x:c r="A1651" s="115" t="str">
        <x:v>EXT-MONDE-T033-V46</x:v>
      </x:c>
      <x:c r="B1651" s="115" t="str">
        <x:v>EXT-MONDE-T033</x:v>
      </x:c>
      <x:c r="C1651" s="115" t="str">
        <x:v>Échangeurs</x:v>
      </x:c>
      <x:c r="D1651" s="115" t="str">
        <x:v>Échangeur en losange</x:v>
      </x:c>
      <x:c r="E1651" s="115" t="n">
        <x:v>46</x:v>
      </x:c>
      <x:c r="F1651" s="115" t="str">
        <x:v>Inspection physique</x:v>
      </x:c>
      <x:c r="G1651" s="115" t="str">
        <x:v>1 niveaux ; 34 pièces ; 260 segments de mur ; 0 transitions. Inspection physique ; architecture complète encore ouverte.</x:v>
      </x:c>
      <x:c r="H1651" s="115" t="str">
        <x:v>L 1520 ; l 1840 ; hauteur 8 m ; choix de composition auteur ; dimensions réelles à documenter</x:v>
      </x:c>
      <x:c r="I1651" s="115" t="str">
        <x:v>À équilibrer</x:v>
      </x:c>
      <x:c r="J1651" s="115" t="str">
        <x:v>Non</x:v>
      </x:c>
      <x:c r="K1651" s="115" t="str">
        <x:v>Pièces décrites, murs, portes, niveaux et mobilier inspectables à l’échelle. Volumes réservés, raccord au seed, butin, rencontres et services de campagne restent à terminer.</x:v>
      </x:c>
    </x:row>
    <x:row r="1652" ht="96" customHeight="1">
      <x:c r="A1652" s="115" t="str">
        <x:v>EXT-MONDE-T033-V47</x:v>
      </x:c>
      <x:c r="B1652" s="115" t="str">
        <x:v>EXT-MONDE-T033</x:v>
      </x:c>
      <x:c r="C1652" s="115" t="str">
        <x:v>Échangeurs</x:v>
      </x:c>
      <x:c r="D1652" s="115" t="str">
        <x:v>Échangeur en losange</x:v>
      </x:c>
      <x:c r="E1652" s="115" t="n">
        <x:v>47</x:v>
      </x:c>
      <x:c r="F1652" s="115" t="str">
        <x:v>Inspection physique</x:v>
      </x:c>
      <x:c r="G1652" s="115" t="str">
        <x:v>1 niveaux ; 34 pièces ; 260 segments de mur ; 0 transitions. Inspection physique ; architecture complète encore ouverte.</x:v>
      </x:c>
      <x:c r="H1652" s="115" t="str">
        <x:v>L 1520 ; l 1840 ; hauteur 8 m ; choix de composition auteur ; dimensions réelles à documenter</x:v>
      </x:c>
      <x:c r="I1652" s="115" t="str">
        <x:v>À équilibrer</x:v>
      </x:c>
      <x:c r="J1652" s="115" t="str">
        <x:v>Non</x:v>
      </x:c>
      <x:c r="K1652" s="115" t="str">
        <x:v>Pièces décrites, murs, portes, niveaux et mobilier inspectables à l’échelle. Volumes réservés, raccord au seed, butin, rencontres et services de campagne restent à terminer.</x:v>
      </x:c>
    </x:row>
    <x:row r="1653" ht="96" customHeight="1">
      <x:c r="A1653" s="115" t="str">
        <x:v>EXT-MONDE-T033-V48</x:v>
      </x:c>
      <x:c r="B1653" s="115" t="str">
        <x:v>EXT-MONDE-T033</x:v>
      </x:c>
      <x:c r="C1653" s="115" t="str">
        <x:v>Échangeurs</x:v>
      </x:c>
      <x:c r="D1653" s="115" t="str">
        <x:v>Échangeur en losange</x:v>
      </x:c>
      <x:c r="E1653" s="115" t="n">
        <x:v>48</x:v>
      </x:c>
      <x:c r="F1653" s="115" t="str">
        <x:v>Inspection physique</x:v>
      </x:c>
      <x:c r="G1653" s="115" t="str">
        <x:v>1 niveaux ; 34 pièces ; 260 segments de mur ; 0 transitions. Inspection physique ; architecture complète encore ouverte.</x:v>
      </x:c>
      <x:c r="H1653" s="115" t="str">
        <x:v>L 1520 ; l 1840 ; hauteur 8 m ; choix de composition auteur ; dimensions réelles à documenter</x:v>
      </x:c>
      <x:c r="I1653" s="115" t="str">
        <x:v>À équilibrer</x:v>
      </x:c>
      <x:c r="J1653" s="115" t="str">
        <x:v>Non</x:v>
      </x:c>
      <x:c r="K1653" s="115" t="str">
        <x:v>Pièces décrites, murs, portes, niveaux et mobilier inspectables à l’échelle. Volumes réservés, raccord au seed, butin, rencontres et services de campagne restent à terminer.</x:v>
      </x:c>
    </x:row>
    <x:row r="1654" ht="96" customHeight="1">
      <x:c r="A1654" s="115" t="str">
        <x:v>EXT-MONDE-T033-V49</x:v>
      </x:c>
      <x:c r="B1654" s="115" t="str">
        <x:v>EXT-MONDE-T033</x:v>
      </x:c>
      <x:c r="C1654" s="115" t="str">
        <x:v>Échangeurs</x:v>
      </x:c>
      <x:c r="D1654" s="115" t="str">
        <x:v>Échangeur en losange</x:v>
      </x:c>
      <x:c r="E1654" s="115" t="n">
        <x:v>49</x:v>
      </x:c>
      <x:c r="F1654" s="115" t="str">
        <x:v>Inspection physique</x:v>
      </x:c>
      <x:c r="G1654" s="115" t="str">
        <x:v>1 niveaux ; 34 pièces ; 260 segments de mur ; 0 transitions. Inspection physique ; architecture complète encore ouverte.</x:v>
      </x:c>
      <x:c r="H1654" s="115" t="str">
        <x:v>L 1520 ; l 1840 ; hauteur 8 m ; choix de composition auteur ; dimensions réelles à documenter</x:v>
      </x:c>
      <x:c r="I1654" s="115" t="str">
        <x:v>À équilibrer</x:v>
      </x:c>
      <x:c r="J1654" s="115" t="str">
        <x:v>Non</x:v>
      </x:c>
      <x:c r="K1654" s="115" t="str">
        <x:v>Pièces décrites, murs, portes, niveaux et mobilier inspectables à l’échelle. Volumes réservés, raccord au seed, butin, rencontres et services de campagne restent à terminer.</x:v>
      </x:c>
    </x:row>
    <x:row r="1655" ht="96" customHeight="1">
      <x:c r="A1655" s="115" t="str">
        <x:v>EXT-MONDE-T033-V50</x:v>
      </x:c>
      <x:c r="B1655" s="115" t="str">
        <x:v>EXT-MONDE-T033</x:v>
      </x:c>
      <x:c r="C1655" s="115" t="str">
        <x:v>Échangeurs</x:v>
      </x:c>
      <x:c r="D1655" s="115" t="str">
        <x:v>Échangeur en losange</x:v>
      </x:c>
      <x:c r="E1655" s="115" t="n">
        <x:v>50</x:v>
      </x:c>
      <x:c r="F1655" s="115" t="str">
        <x:v>Inspection physique</x:v>
      </x:c>
      <x:c r="G1655" s="115" t="str">
        <x:v>1 niveaux ; 34 pièces ; 260 segments de mur ; 0 transitions. Inspection physique ; architecture complète encore ouverte.</x:v>
      </x:c>
      <x:c r="H1655" s="115" t="str">
        <x:v>L 1520 ; l 1840 ; hauteur 8 m ; choix de composition auteur ; dimensions réelles à documenter</x:v>
      </x:c>
      <x:c r="I1655" s="115" t="str">
        <x:v>À équilibrer</x:v>
      </x:c>
      <x:c r="J1655" s="115" t="str">
        <x:v>Non</x:v>
      </x:c>
      <x:c r="K1655" s="115" t="str">
        <x:v>Pièces décrites, murs, portes, niveaux et mobilier inspectables à l’échelle. Volumes réservés, raccord au seed, butin, rencontres et services de campagne restent à terminer.</x:v>
      </x:c>
    </x:row>
    <x:row r="1656" ht="96" customHeight="1">
      <x:c r="A1656" s="115" t="str">
        <x:v>EXT-MONDE-T034-V01</x:v>
      </x:c>
      <x:c r="B1656" s="115" t="str">
        <x:v>EXT-MONDE-T034</x:v>
      </x:c>
      <x:c r="C1656" s="115" t="str">
        <x:v>Échangeurs</x:v>
      </x:c>
      <x:c r="D1656" s="115" t="str">
        <x:v>Échangeur en trompette</x:v>
      </x:c>
      <x:c r="E1656" s="115" t="n">
        <x:v>1</x:v>
      </x:c>
      <x:c r="F1656" s="115" t="str">
        <x:v>Inspection physique</x:v>
      </x:c>
      <x:c r="G1656" s="115" t="str">
        <x:v>1 niveaux ; 34 pièces ; 260 segments de mur ; 0 transitions. Inspection physique ; architecture complète encore ouverte.</x:v>
      </x:c>
      <x:c r="H1656" s="115" t="str">
        <x:v>L 1200 ; l 1200 ; hauteur 8 m ; choix de composition auteur ; dimensions réelles à documenter</x:v>
      </x:c>
      <x:c r="I1656" s="115" t="str">
        <x:v>À équilibrer</x:v>
      </x:c>
      <x:c r="J1656" s="115" t="str">
        <x:v>Non</x:v>
      </x:c>
      <x:c r="K1656" s="115" t="str">
        <x:v>Pièces décrites, murs, portes, niveaux et mobilier inspectables à l’échelle. Volumes réservés, raccord au seed, butin, rencontres et services de campagne restent à terminer.</x:v>
      </x:c>
    </x:row>
    <x:row r="1657" ht="96" customHeight="1">
      <x:c r="A1657" s="115" t="str">
        <x:v>EXT-MONDE-T034-V02</x:v>
      </x:c>
      <x:c r="B1657" s="115" t="str">
        <x:v>EXT-MONDE-T034</x:v>
      </x:c>
      <x:c r="C1657" s="115" t="str">
        <x:v>Échangeurs</x:v>
      </x:c>
      <x:c r="D1657" s="115" t="str">
        <x:v>Échangeur en trompette</x:v>
      </x:c>
      <x:c r="E1657" s="115" t="n">
        <x:v>2</x:v>
      </x:c>
      <x:c r="F1657" s="115" t="str">
        <x:v>Inspection physique</x:v>
      </x:c>
      <x:c r="G1657" s="115" t="str">
        <x:v>1 niveaux ; 34 pièces ; 260 segments de mur ; 0 transitions. Inspection physique ; architecture complète encore ouverte.</x:v>
      </x:c>
      <x:c r="H1657" s="115" t="str">
        <x:v>L 1200 ; l 1200 ; hauteur 8 m ; choix de composition auteur ; dimensions réelles à documenter</x:v>
      </x:c>
      <x:c r="I1657" s="115" t="str">
        <x:v>À équilibrer</x:v>
      </x:c>
      <x:c r="J1657" s="115" t="str">
        <x:v>Non</x:v>
      </x:c>
      <x:c r="K1657" s="115" t="str">
        <x:v>Pièces décrites, murs, portes, niveaux et mobilier inspectables à l’échelle. Volumes réservés, raccord au seed, butin, rencontres et services de campagne restent à terminer.</x:v>
      </x:c>
    </x:row>
    <x:row r="1658" ht="96" customHeight="1">
      <x:c r="A1658" s="115" t="str">
        <x:v>EXT-MONDE-T034-V03</x:v>
      </x:c>
      <x:c r="B1658" s="115" t="str">
        <x:v>EXT-MONDE-T034</x:v>
      </x:c>
      <x:c r="C1658" s="115" t="str">
        <x:v>Échangeurs</x:v>
      </x:c>
      <x:c r="D1658" s="115" t="str">
        <x:v>Échangeur en trompette</x:v>
      </x:c>
      <x:c r="E1658" s="115" t="n">
        <x:v>3</x:v>
      </x:c>
      <x:c r="F1658" s="115" t="str">
        <x:v>Inspection physique</x:v>
      </x:c>
      <x:c r="G1658" s="115" t="str">
        <x:v>1 niveaux ; 34 pièces ; 260 segments de mur ; 0 transitions. Inspection physique ; architecture complète encore ouverte.</x:v>
      </x:c>
      <x:c r="H1658" s="115" t="str">
        <x:v>L 1200 ; l 1200 ; hauteur 8 m ; choix de composition auteur ; dimensions réelles à documenter</x:v>
      </x:c>
      <x:c r="I1658" s="115" t="str">
        <x:v>À équilibrer</x:v>
      </x:c>
      <x:c r="J1658" s="115" t="str">
        <x:v>Non</x:v>
      </x:c>
      <x:c r="K1658" s="115" t="str">
        <x:v>Pièces décrites, murs, portes, niveaux et mobilier inspectables à l’échelle. Volumes réservés, raccord au seed, butin, rencontres et services de campagne restent à terminer.</x:v>
      </x:c>
    </x:row>
    <x:row r="1659" ht="96" customHeight="1">
      <x:c r="A1659" s="115" t="str">
        <x:v>EXT-MONDE-T034-V04</x:v>
      </x:c>
      <x:c r="B1659" s="115" t="str">
        <x:v>EXT-MONDE-T034</x:v>
      </x:c>
      <x:c r="C1659" s="115" t="str">
        <x:v>Échangeurs</x:v>
      </x:c>
      <x:c r="D1659" s="115" t="str">
        <x:v>Échangeur en trompette</x:v>
      </x:c>
      <x:c r="E1659" s="115" t="n">
        <x:v>4</x:v>
      </x:c>
      <x:c r="F1659" s="115" t="str">
        <x:v>Inspection physique</x:v>
      </x:c>
      <x:c r="G1659" s="115" t="str">
        <x:v>1 niveaux ; 34 pièces ; 260 segments de mur ; 0 transitions. Inspection physique ; architecture complète encore ouverte.</x:v>
      </x:c>
      <x:c r="H1659" s="115" t="str">
        <x:v>L 1200 ; l 1200 ; hauteur 8 m ; choix de composition auteur ; dimensions réelles à documenter</x:v>
      </x:c>
      <x:c r="I1659" s="115" t="str">
        <x:v>À équilibrer</x:v>
      </x:c>
      <x:c r="J1659" s="115" t="str">
        <x:v>Non</x:v>
      </x:c>
      <x:c r="K1659" s="115" t="str">
        <x:v>Pièces décrites, murs, portes, niveaux et mobilier inspectables à l’échelle. Volumes réservés, raccord au seed, butin, rencontres et services de campagne restent à terminer.</x:v>
      </x:c>
    </x:row>
    <x:row r="1660" ht="96" customHeight="1">
      <x:c r="A1660" s="115" t="str">
        <x:v>EXT-MONDE-T034-V05</x:v>
      </x:c>
      <x:c r="B1660" s="115" t="str">
        <x:v>EXT-MONDE-T034</x:v>
      </x:c>
      <x:c r="C1660" s="115" t="str">
        <x:v>Échangeurs</x:v>
      </x:c>
      <x:c r="D1660" s="115" t="str">
        <x:v>Échangeur en trompette</x:v>
      </x:c>
      <x:c r="E1660" s="115" t="n">
        <x:v>5</x:v>
      </x:c>
      <x:c r="F1660" s="115" t="str">
        <x:v>Inspection physique</x:v>
      </x:c>
      <x:c r="G1660" s="115" t="str">
        <x:v>1 niveaux ; 34 pièces ; 260 segments de mur ; 0 transitions. Inspection physique ; architecture complète encore ouverte.</x:v>
      </x:c>
      <x:c r="H1660" s="115" t="str">
        <x:v>L 1200 ; l 1200 ; hauteur 8 m ; choix de composition auteur ; dimensions réelles à documenter</x:v>
      </x:c>
      <x:c r="I1660" s="115" t="str">
        <x:v>À équilibrer</x:v>
      </x:c>
      <x:c r="J1660" s="115" t="str">
        <x:v>Non</x:v>
      </x:c>
      <x:c r="K1660" s="115" t="str">
        <x:v>Pièces décrites, murs, portes, niveaux et mobilier inspectables à l’échelle. Volumes réservés, raccord au seed, butin, rencontres et services de campagne restent à terminer.</x:v>
      </x:c>
    </x:row>
    <x:row r="1661" ht="96" customHeight="1">
      <x:c r="A1661" s="115" t="str">
        <x:v>EXT-MONDE-T034-V06</x:v>
      </x:c>
      <x:c r="B1661" s="115" t="str">
        <x:v>EXT-MONDE-T034</x:v>
      </x:c>
      <x:c r="C1661" s="115" t="str">
        <x:v>Échangeurs</x:v>
      </x:c>
      <x:c r="D1661" s="115" t="str">
        <x:v>Échangeur en trompette</x:v>
      </x:c>
      <x:c r="E1661" s="115" t="n">
        <x:v>6</x:v>
      </x:c>
      <x:c r="F1661" s="115" t="str">
        <x:v>Inspection physique</x:v>
      </x:c>
      <x:c r="G1661" s="115" t="str">
        <x:v>1 niveaux ; 34 pièces ; 260 segments de mur ; 0 transitions. Inspection physique ; architecture complète encore ouverte.</x:v>
      </x:c>
      <x:c r="H1661" s="115" t="str">
        <x:v>L 1200 ; l 1200 ; hauteur 8 m ; choix de composition auteur ; dimensions réelles à documenter</x:v>
      </x:c>
      <x:c r="I1661" s="115" t="str">
        <x:v>À équilibrer</x:v>
      </x:c>
      <x:c r="J1661" s="115" t="str">
        <x:v>Non</x:v>
      </x:c>
      <x:c r="K1661" s="115" t="str">
        <x:v>Pièces décrites, murs, portes, niveaux et mobilier inspectables à l’échelle. Volumes réservés, raccord au seed, butin, rencontres et services de campagne restent à terminer.</x:v>
      </x:c>
    </x:row>
    <x:row r="1662" ht="96" customHeight="1">
      <x:c r="A1662" s="115" t="str">
        <x:v>EXT-MONDE-T034-V07</x:v>
      </x:c>
      <x:c r="B1662" s="115" t="str">
        <x:v>EXT-MONDE-T034</x:v>
      </x:c>
      <x:c r="C1662" s="115" t="str">
        <x:v>Échangeurs</x:v>
      </x:c>
      <x:c r="D1662" s="115" t="str">
        <x:v>Échangeur en trompette</x:v>
      </x:c>
      <x:c r="E1662" s="115" t="n">
        <x:v>7</x:v>
      </x:c>
      <x:c r="F1662" s="115" t="str">
        <x:v>Inspection physique</x:v>
      </x:c>
      <x:c r="G1662" s="115" t="str">
        <x:v>1 niveaux ; 34 pièces ; 260 segments de mur ; 0 transitions. Inspection physique ; architecture complète encore ouverte.</x:v>
      </x:c>
      <x:c r="H1662" s="115" t="str">
        <x:v>L 1200 ; l 1200 ; hauteur 8 m ; choix de composition auteur ; dimensions réelles à documenter</x:v>
      </x:c>
      <x:c r="I1662" s="115" t="str">
        <x:v>À équilibrer</x:v>
      </x:c>
      <x:c r="J1662" s="115" t="str">
        <x:v>Non</x:v>
      </x:c>
      <x:c r="K1662" s="115" t="str">
        <x:v>Pièces décrites, murs, portes, niveaux et mobilier inspectables à l’échelle. Volumes réservés, raccord au seed, butin, rencontres et services de campagne restent à terminer.</x:v>
      </x:c>
    </x:row>
    <x:row r="1663" ht="96" customHeight="1">
      <x:c r="A1663" s="115" t="str">
        <x:v>EXT-MONDE-T034-V08</x:v>
      </x:c>
      <x:c r="B1663" s="115" t="str">
        <x:v>EXT-MONDE-T034</x:v>
      </x:c>
      <x:c r="C1663" s="115" t="str">
        <x:v>Échangeurs</x:v>
      </x:c>
      <x:c r="D1663" s="115" t="str">
        <x:v>Échangeur en trompette</x:v>
      </x:c>
      <x:c r="E1663" s="115" t="n">
        <x:v>8</x:v>
      </x:c>
      <x:c r="F1663" s="115" t="str">
        <x:v>Inspection physique</x:v>
      </x:c>
      <x:c r="G1663" s="115" t="str">
        <x:v>1 niveaux ; 34 pièces ; 260 segments de mur ; 0 transitions. Inspection physique ; architecture complète encore ouverte.</x:v>
      </x:c>
      <x:c r="H1663" s="115" t="str">
        <x:v>L 1200 ; l 1200 ; hauteur 8 m ; choix de composition auteur ; dimensions réelles à documenter</x:v>
      </x:c>
      <x:c r="I1663" s="115" t="str">
        <x:v>À équilibrer</x:v>
      </x:c>
      <x:c r="J1663" s="115" t="str">
        <x:v>Non</x:v>
      </x:c>
      <x:c r="K1663" s="115" t="str">
        <x:v>Pièces décrites, murs, portes, niveaux et mobilier inspectables à l’échelle. Volumes réservés, raccord au seed, butin, rencontres et services de campagne restent à terminer.</x:v>
      </x:c>
    </x:row>
    <x:row r="1664" ht="96" customHeight="1">
      <x:c r="A1664" s="115" t="str">
        <x:v>EXT-MONDE-T034-V09</x:v>
      </x:c>
      <x:c r="B1664" s="115" t="str">
        <x:v>EXT-MONDE-T034</x:v>
      </x:c>
      <x:c r="C1664" s="115" t="str">
        <x:v>Échangeurs</x:v>
      </x:c>
      <x:c r="D1664" s="115" t="str">
        <x:v>Échangeur en trompette</x:v>
      </x:c>
      <x:c r="E1664" s="115" t="n">
        <x:v>9</x:v>
      </x:c>
      <x:c r="F1664" s="115" t="str">
        <x:v>Inspection physique</x:v>
      </x:c>
      <x:c r="G1664" s="115" t="str">
        <x:v>1 niveaux ; 34 pièces ; 260 segments de mur ; 0 transitions. Inspection physique ; architecture complète encore ouverte.</x:v>
      </x:c>
      <x:c r="H1664" s="115" t="str">
        <x:v>L 1200 ; l 1200 ; hauteur 8 m ; choix de composition auteur ; dimensions réelles à documenter</x:v>
      </x:c>
      <x:c r="I1664" s="115" t="str">
        <x:v>À équilibrer</x:v>
      </x:c>
      <x:c r="J1664" s="115" t="str">
        <x:v>Non</x:v>
      </x:c>
      <x:c r="K1664" s="115" t="str">
        <x:v>Pièces décrites, murs, portes, niveaux et mobilier inspectables à l’échelle. Volumes réservés, raccord au seed, butin, rencontres et services de campagne restent à terminer.</x:v>
      </x:c>
    </x:row>
    <x:row r="1665" ht="96" customHeight="1">
      <x:c r="A1665" s="115" t="str">
        <x:v>EXT-MONDE-T034-V10</x:v>
      </x:c>
      <x:c r="B1665" s="115" t="str">
        <x:v>EXT-MONDE-T034</x:v>
      </x:c>
      <x:c r="C1665" s="115" t="str">
        <x:v>Échangeurs</x:v>
      </x:c>
      <x:c r="D1665" s="115" t="str">
        <x:v>Échangeur en trompette</x:v>
      </x:c>
      <x:c r="E1665" s="115" t="n">
        <x:v>10</x:v>
      </x:c>
      <x:c r="F1665" s="115" t="str">
        <x:v>Inspection physique</x:v>
      </x:c>
      <x:c r="G1665" s="115" t="str">
        <x:v>1 niveaux ; 34 pièces ; 260 segments de mur ; 0 transitions. Inspection physique ; architecture complète encore ouverte.</x:v>
      </x:c>
      <x:c r="H1665" s="115" t="str">
        <x:v>L 1200 ; l 1200 ; hauteur 8 m ; choix de composition auteur ; dimensions réelles à documenter</x:v>
      </x:c>
      <x:c r="I1665" s="115" t="str">
        <x:v>À équilibrer</x:v>
      </x:c>
      <x:c r="J1665" s="115" t="str">
        <x:v>Non</x:v>
      </x:c>
      <x:c r="K1665" s="115" t="str">
        <x:v>Pièces décrites, murs, portes, niveaux et mobilier inspectables à l’échelle. Volumes réservés, raccord au seed, butin, rencontres et services de campagne restent à terminer.</x:v>
      </x:c>
    </x:row>
    <x:row r="1666" ht="96" customHeight="1">
      <x:c r="A1666" s="115" t="str">
        <x:v>EXT-MONDE-T034-V11</x:v>
      </x:c>
      <x:c r="B1666" s="115" t="str">
        <x:v>EXT-MONDE-T034</x:v>
      </x:c>
      <x:c r="C1666" s="115" t="str">
        <x:v>Échangeurs</x:v>
      </x:c>
      <x:c r="D1666" s="115" t="str">
        <x:v>Échangeur en trompette</x:v>
      </x:c>
      <x:c r="E1666" s="115" t="n">
        <x:v>11</x:v>
      </x:c>
      <x:c r="F1666" s="115" t="str">
        <x:v>Inspection physique</x:v>
      </x:c>
      <x:c r="G1666" s="115" t="str">
        <x:v>1 niveaux ; 34 pièces ; 260 segments de mur ; 0 transitions. Inspection physique ; architecture complète encore ouverte.</x:v>
      </x:c>
      <x:c r="H1666" s="115" t="str">
        <x:v>L 1280 ; l 1360 ; hauteur 8 m ; choix de composition auteur ; dimensions réelles à documenter</x:v>
      </x:c>
      <x:c r="I1666" s="115" t="str">
        <x:v>À équilibrer</x:v>
      </x:c>
      <x:c r="J1666" s="115" t="str">
        <x:v>Non</x:v>
      </x:c>
      <x:c r="K1666" s="115" t="str">
        <x:v>Pièces décrites, murs, portes, niveaux et mobilier inspectables à l’échelle. Volumes réservés, raccord au seed, butin, rencontres et services de campagne restent à terminer.</x:v>
      </x:c>
    </x:row>
    <x:row r="1667" ht="96" customHeight="1">
      <x:c r="A1667" s="115" t="str">
        <x:v>EXT-MONDE-T034-V12</x:v>
      </x:c>
      <x:c r="B1667" s="115" t="str">
        <x:v>EXT-MONDE-T034</x:v>
      </x:c>
      <x:c r="C1667" s="115" t="str">
        <x:v>Échangeurs</x:v>
      </x:c>
      <x:c r="D1667" s="115" t="str">
        <x:v>Échangeur en trompette</x:v>
      </x:c>
      <x:c r="E1667" s="115" t="n">
        <x:v>12</x:v>
      </x:c>
      <x:c r="F1667" s="115" t="str">
        <x:v>Inspection physique</x:v>
      </x:c>
      <x:c r="G1667" s="115" t="str">
        <x:v>1 niveaux ; 34 pièces ; 260 segments de mur ; 0 transitions. Inspection physique ; architecture complète encore ouverte.</x:v>
      </x:c>
      <x:c r="H1667" s="115" t="str">
        <x:v>L 1280 ; l 1360 ; hauteur 8 m ; choix de composition auteur ; dimensions réelles à documenter</x:v>
      </x:c>
      <x:c r="I1667" s="115" t="str">
        <x:v>À équilibrer</x:v>
      </x:c>
      <x:c r="J1667" s="115" t="str">
        <x:v>Non</x:v>
      </x:c>
      <x:c r="K1667" s="115" t="str">
        <x:v>Pièces décrites, murs, portes, niveaux et mobilier inspectables à l’échelle. Volumes réservés, raccord au seed, butin, rencontres et services de campagne restent à terminer.</x:v>
      </x:c>
    </x:row>
    <x:row r="1668" ht="96" customHeight="1">
      <x:c r="A1668" s="115" t="str">
        <x:v>EXT-MONDE-T034-V13</x:v>
      </x:c>
      <x:c r="B1668" s="115" t="str">
        <x:v>EXT-MONDE-T034</x:v>
      </x:c>
      <x:c r="C1668" s="115" t="str">
        <x:v>Échangeurs</x:v>
      </x:c>
      <x:c r="D1668" s="115" t="str">
        <x:v>Échangeur en trompette</x:v>
      </x:c>
      <x:c r="E1668" s="115" t="n">
        <x:v>13</x:v>
      </x:c>
      <x:c r="F1668" s="115" t="str">
        <x:v>Inspection physique</x:v>
      </x:c>
      <x:c r="G1668" s="115" t="str">
        <x:v>1 niveaux ; 34 pièces ; 260 segments de mur ; 0 transitions. Inspection physique ; architecture complète encore ouverte.</x:v>
      </x:c>
      <x:c r="H1668" s="115" t="str">
        <x:v>L 1280 ; l 1360 ; hauteur 8 m ; choix de composition auteur ; dimensions réelles à documenter</x:v>
      </x:c>
      <x:c r="I1668" s="115" t="str">
        <x:v>À équilibrer</x:v>
      </x:c>
      <x:c r="J1668" s="115" t="str">
        <x:v>Non</x:v>
      </x:c>
      <x:c r="K1668" s="115" t="str">
        <x:v>Pièces décrites, murs, portes, niveaux et mobilier inspectables à l’échelle. Volumes réservés, raccord au seed, butin, rencontres et services de campagne restent à terminer.</x:v>
      </x:c>
    </x:row>
    <x:row r="1669" ht="96" customHeight="1">
      <x:c r="A1669" s="115" t="str">
        <x:v>EXT-MONDE-T034-V14</x:v>
      </x:c>
      <x:c r="B1669" s="115" t="str">
        <x:v>EXT-MONDE-T034</x:v>
      </x:c>
      <x:c r="C1669" s="115" t="str">
        <x:v>Échangeurs</x:v>
      </x:c>
      <x:c r="D1669" s="115" t="str">
        <x:v>Échangeur en trompette</x:v>
      </x:c>
      <x:c r="E1669" s="115" t="n">
        <x:v>14</x:v>
      </x:c>
      <x:c r="F1669" s="115" t="str">
        <x:v>Inspection physique</x:v>
      </x:c>
      <x:c r="G1669" s="115" t="str">
        <x:v>1 niveaux ; 34 pièces ; 260 segments de mur ; 0 transitions. Inspection physique ; architecture complète encore ouverte.</x:v>
      </x:c>
      <x:c r="H1669" s="115" t="str">
        <x:v>L 1280 ; l 1360 ; hauteur 8 m ; choix de composition auteur ; dimensions réelles à documenter</x:v>
      </x:c>
      <x:c r="I1669" s="115" t="str">
        <x:v>À équilibrer</x:v>
      </x:c>
      <x:c r="J1669" s="115" t="str">
        <x:v>Non</x:v>
      </x:c>
      <x:c r="K1669" s="115" t="str">
        <x:v>Pièces décrites, murs, portes, niveaux et mobilier inspectables à l’échelle. Volumes réservés, raccord au seed, butin, rencontres et services de campagne restent à terminer.</x:v>
      </x:c>
    </x:row>
    <x:row r="1670" ht="96" customHeight="1">
      <x:c r="A1670" s="115" t="str">
        <x:v>EXT-MONDE-T034-V15</x:v>
      </x:c>
      <x:c r="B1670" s="115" t="str">
        <x:v>EXT-MONDE-T034</x:v>
      </x:c>
      <x:c r="C1670" s="115" t="str">
        <x:v>Échangeurs</x:v>
      </x:c>
      <x:c r="D1670" s="115" t="str">
        <x:v>Échangeur en trompette</x:v>
      </x:c>
      <x:c r="E1670" s="115" t="n">
        <x:v>15</x:v>
      </x:c>
      <x:c r="F1670" s="115" t="str">
        <x:v>Inspection physique</x:v>
      </x:c>
      <x:c r="G1670" s="115" t="str">
        <x:v>1 niveaux ; 34 pièces ; 260 segments de mur ; 0 transitions. Inspection physique ; architecture complète encore ouverte.</x:v>
      </x:c>
      <x:c r="H1670" s="115" t="str">
        <x:v>L 1280 ; l 1360 ; hauteur 8 m ; choix de composition auteur ; dimensions réelles à documenter</x:v>
      </x:c>
      <x:c r="I1670" s="115" t="str">
        <x:v>À équilibrer</x:v>
      </x:c>
      <x:c r="J1670" s="115" t="str">
        <x:v>Non</x:v>
      </x:c>
      <x:c r="K1670" s="115" t="str">
        <x:v>Pièces décrites, murs, portes, niveaux et mobilier inspectables à l’échelle. Volumes réservés, raccord au seed, butin, rencontres et services de campagne restent à terminer.</x:v>
      </x:c>
    </x:row>
    <x:row r="1671" ht="96" customHeight="1">
      <x:c r="A1671" s="115" t="str">
        <x:v>EXT-MONDE-T034-V16</x:v>
      </x:c>
      <x:c r="B1671" s="115" t="str">
        <x:v>EXT-MONDE-T034</x:v>
      </x:c>
      <x:c r="C1671" s="115" t="str">
        <x:v>Échangeurs</x:v>
      </x:c>
      <x:c r="D1671" s="115" t="str">
        <x:v>Échangeur en trompette</x:v>
      </x:c>
      <x:c r="E1671" s="115" t="n">
        <x:v>16</x:v>
      </x:c>
      <x:c r="F1671" s="115" t="str">
        <x:v>Inspection physique</x:v>
      </x:c>
      <x:c r="G1671" s="115" t="str">
        <x:v>1 niveaux ; 34 pièces ; 260 segments de mur ; 0 transitions. Inspection physique ; architecture complète encore ouverte.</x:v>
      </x:c>
      <x:c r="H1671" s="115" t="str">
        <x:v>L 1280 ; l 1360 ; hauteur 8 m ; choix de composition auteur ; dimensions réelles à documenter</x:v>
      </x:c>
      <x:c r="I1671" s="115" t="str">
        <x:v>À équilibrer</x:v>
      </x:c>
      <x:c r="J1671" s="115" t="str">
        <x:v>Non</x:v>
      </x:c>
      <x:c r="K1671" s="115" t="str">
        <x:v>Pièces décrites, murs, portes, niveaux et mobilier inspectables à l’échelle. Volumes réservés, raccord au seed, butin, rencontres et services de campagne restent à terminer.</x:v>
      </x:c>
    </x:row>
    <x:row r="1672" ht="96" customHeight="1">
      <x:c r="A1672" s="115" t="str">
        <x:v>EXT-MONDE-T034-V17</x:v>
      </x:c>
      <x:c r="B1672" s="115" t="str">
        <x:v>EXT-MONDE-T034</x:v>
      </x:c>
      <x:c r="C1672" s="115" t="str">
        <x:v>Échangeurs</x:v>
      </x:c>
      <x:c r="D1672" s="115" t="str">
        <x:v>Échangeur en trompette</x:v>
      </x:c>
      <x:c r="E1672" s="115" t="n">
        <x:v>17</x:v>
      </x:c>
      <x:c r="F1672" s="115" t="str">
        <x:v>Inspection physique</x:v>
      </x:c>
      <x:c r="G1672" s="115" t="str">
        <x:v>1 niveaux ; 34 pièces ; 260 segments de mur ; 0 transitions. Inspection physique ; architecture complète encore ouverte.</x:v>
      </x:c>
      <x:c r="H1672" s="115" t="str">
        <x:v>L 1280 ; l 1360 ; hauteur 8 m ; choix de composition auteur ; dimensions réelles à documenter</x:v>
      </x:c>
      <x:c r="I1672" s="115" t="str">
        <x:v>À équilibrer</x:v>
      </x:c>
      <x:c r="J1672" s="115" t="str">
        <x:v>Non</x:v>
      </x:c>
      <x:c r="K1672" s="115" t="str">
        <x:v>Pièces décrites, murs, portes, niveaux et mobilier inspectables à l’échelle. Volumes réservés, raccord au seed, butin, rencontres et services de campagne restent à terminer.</x:v>
      </x:c>
    </x:row>
    <x:row r="1673" ht="96" customHeight="1">
      <x:c r="A1673" s="115" t="str">
        <x:v>EXT-MONDE-T034-V18</x:v>
      </x:c>
      <x:c r="B1673" s="115" t="str">
        <x:v>EXT-MONDE-T034</x:v>
      </x:c>
      <x:c r="C1673" s="115" t="str">
        <x:v>Échangeurs</x:v>
      </x:c>
      <x:c r="D1673" s="115" t="str">
        <x:v>Échangeur en trompette</x:v>
      </x:c>
      <x:c r="E1673" s="115" t="n">
        <x:v>18</x:v>
      </x:c>
      <x:c r="F1673" s="115" t="str">
        <x:v>Inspection physique</x:v>
      </x:c>
      <x:c r="G1673" s="115" t="str">
        <x:v>1 niveaux ; 34 pièces ; 260 segments de mur ; 0 transitions. Inspection physique ; architecture complète encore ouverte.</x:v>
      </x:c>
      <x:c r="H1673" s="115" t="str">
        <x:v>L 1280 ; l 1360 ; hauteur 8 m ; choix de composition auteur ; dimensions réelles à documenter</x:v>
      </x:c>
      <x:c r="I1673" s="115" t="str">
        <x:v>À équilibrer</x:v>
      </x:c>
      <x:c r="J1673" s="115" t="str">
        <x:v>Non</x:v>
      </x:c>
      <x:c r="K1673" s="115" t="str">
        <x:v>Pièces décrites, murs, portes, niveaux et mobilier inspectables à l’échelle. Volumes réservés, raccord au seed, butin, rencontres et services de campagne restent à terminer.</x:v>
      </x:c>
    </x:row>
    <x:row r="1674" ht="96" customHeight="1">
      <x:c r="A1674" s="115" t="str">
        <x:v>EXT-MONDE-T034-V19</x:v>
      </x:c>
      <x:c r="B1674" s="115" t="str">
        <x:v>EXT-MONDE-T034</x:v>
      </x:c>
      <x:c r="C1674" s="115" t="str">
        <x:v>Échangeurs</x:v>
      </x:c>
      <x:c r="D1674" s="115" t="str">
        <x:v>Échangeur en trompette</x:v>
      </x:c>
      <x:c r="E1674" s="115" t="n">
        <x:v>19</x:v>
      </x:c>
      <x:c r="F1674" s="115" t="str">
        <x:v>Inspection physique</x:v>
      </x:c>
      <x:c r="G1674" s="115" t="str">
        <x:v>1 niveaux ; 34 pièces ; 260 segments de mur ; 0 transitions. Inspection physique ; architecture complète encore ouverte.</x:v>
      </x:c>
      <x:c r="H1674" s="115" t="str">
        <x:v>L 1280 ; l 1360 ; hauteur 8 m ; choix de composition auteur ; dimensions réelles à documenter</x:v>
      </x:c>
      <x:c r="I1674" s="115" t="str">
        <x:v>À équilibrer</x:v>
      </x:c>
      <x:c r="J1674" s="115" t="str">
        <x:v>Non</x:v>
      </x:c>
      <x:c r="K1674" s="115" t="str">
        <x:v>Pièces décrites, murs, portes, niveaux et mobilier inspectables à l’échelle. Volumes réservés, raccord au seed, butin, rencontres et services de campagne restent à terminer.</x:v>
      </x:c>
    </x:row>
    <x:row r="1675" ht="96" customHeight="1">
      <x:c r="A1675" s="115" t="str">
        <x:v>EXT-MONDE-T034-V20</x:v>
      </x:c>
      <x:c r="B1675" s="115" t="str">
        <x:v>EXT-MONDE-T034</x:v>
      </x:c>
      <x:c r="C1675" s="115" t="str">
        <x:v>Échangeurs</x:v>
      </x:c>
      <x:c r="D1675" s="115" t="str">
        <x:v>Échangeur en trompette</x:v>
      </x:c>
      <x:c r="E1675" s="115" t="n">
        <x:v>20</x:v>
      </x:c>
      <x:c r="F1675" s="115" t="str">
        <x:v>Inspection physique</x:v>
      </x:c>
      <x:c r="G1675" s="115" t="str">
        <x:v>1 niveaux ; 34 pièces ; 260 segments de mur ; 0 transitions. Inspection physique ; architecture complète encore ouverte.</x:v>
      </x:c>
      <x:c r="H1675" s="115" t="str">
        <x:v>L 1280 ; l 1360 ; hauteur 8 m ; choix de composition auteur ; dimensions réelles à documenter</x:v>
      </x:c>
      <x:c r="I1675" s="115" t="str">
        <x:v>À équilibrer</x:v>
      </x:c>
      <x:c r="J1675" s="115" t="str">
        <x:v>Non</x:v>
      </x:c>
      <x:c r="K1675" s="115" t="str">
        <x:v>Pièces décrites, murs, portes, niveaux et mobilier inspectables à l’échelle. Volumes réservés, raccord au seed, butin, rencontres et services de campagne restent à terminer.</x:v>
      </x:c>
    </x:row>
    <x:row r="1676" ht="96" customHeight="1">
      <x:c r="A1676" s="115" t="str">
        <x:v>EXT-MONDE-T034-V21</x:v>
      </x:c>
      <x:c r="B1676" s="115" t="str">
        <x:v>EXT-MONDE-T034</x:v>
      </x:c>
      <x:c r="C1676" s="115" t="str">
        <x:v>Échangeurs</x:v>
      </x:c>
      <x:c r="D1676" s="115" t="str">
        <x:v>Échangeur en trompette</x:v>
      </x:c>
      <x:c r="E1676" s="115" t="n">
        <x:v>21</x:v>
      </x:c>
      <x:c r="F1676" s="115" t="str">
        <x:v>Inspection physique</x:v>
      </x:c>
      <x:c r="G1676" s="115" t="str">
        <x:v>1 niveaux ; 34 pièces ; 260 segments de mur ; 0 transitions. Inspection physique ; architecture complète encore ouverte.</x:v>
      </x:c>
      <x:c r="H1676" s="115" t="str">
        <x:v>L 1360 ; l 1520 ; hauteur 8 m ; choix de composition auteur ; dimensions réelles à documenter</x:v>
      </x:c>
      <x:c r="I1676" s="115" t="str">
        <x:v>À équilibrer</x:v>
      </x:c>
      <x:c r="J1676" s="115" t="str">
        <x:v>Non</x:v>
      </x:c>
      <x:c r="K1676" s="115" t="str">
        <x:v>Pièces décrites, murs, portes, niveaux et mobilier inspectables à l’échelle. Volumes réservés, raccord au seed, butin, rencontres et services de campagne restent à terminer.</x:v>
      </x:c>
    </x:row>
    <x:row r="1677" ht="96" customHeight="1">
      <x:c r="A1677" s="115" t="str">
        <x:v>EXT-MONDE-T034-V22</x:v>
      </x:c>
      <x:c r="B1677" s="115" t="str">
        <x:v>EXT-MONDE-T034</x:v>
      </x:c>
      <x:c r="C1677" s="115" t="str">
        <x:v>Échangeurs</x:v>
      </x:c>
      <x:c r="D1677" s="115" t="str">
        <x:v>Échangeur en trompette</x:v>
      </x:c>
      <x:c r="E1677" s="115" t="n">
        <x:v>22</x:v>
      </x:c>
      <x:c r="F1677" s="115" t="str">
        <x:v>Inspection physique</x:v>
      </x:c>
      <x:c r="G1677" s="115" t="str">
        <x:v>1 niveaux ; 34 pièces ; 260 segments de mur ; 0 transitions. Inspection physique ; architecture complète encore ouverte.</x:v>
      </x:c>
      <x:c r="H1677" s="115" t="str">
        <x:v>L 1360 ; l 1520 ; hauteur 8 m ; choix de composition auteur ; dimensions réelles à documenter</x:v>
      </x:c>
      <x:c r="I1677" s="115" t="str">
        <x:v>À équilibrer</x:v>
      </x:c>
      <x:c r="J1677" s="115" t="str">
        <x:v>Non</x:v>
      </x:c>
      <x:c r="K1677" s="115" t="str">
        <x:v>Pièces décrites, murs, portes, niveaux et mobilier inspectables à l’échelle. Volumes réservés, raccord au seed, butin, rencontres et services de campagne restent à terminer.</x:v>
      </x:c>
    </x:row>
    <x:row r="1678" ht="96" customHeight="1">
      <x:c r="A1678" s="115" t="str">
        <x:v>EXT-MONDE-T034-V23</x:v>
      </x:c>
      <x:c r="B1678" s="115" t="str">
        <x:v>EXT-MONDE-T034</x:v>
      </x:c>
      <x:c r="C1678" s="115" t="str">
        <x:v>Échangeurs</x:v>
      </x:c>
      <x:c r="D1678" s="115" t="str">
        <x:v>Échangeur en trompette</x:v>
      </x:c>
      <x:c r="E1678" s="115" t="n">
        <x:v>23</x:v>
      </x:c>
      <x:c r="F1678" s="115" t="str">
        <x:v>Inspection physique</x:v>
      </x:c>
      <x:c r="G1678" s="115" t="str">
        <x:v>1 niveaux ; 34 pièces ; 260 segments de mur ; 0 transitions. Inspection physique ; architecture complète encore ouverte.</x:v>
      </x:c>
      <x:c r="H1678" s="115" t="str">
        <x:v>L 1360 ; l 1520 ; hauteur 8 m ; choix de composition auteur ; dimensions réelles à documenter</x:v>
      </x:c>
      <x:c r="I1678" s="115" t="str">
        <x:v>À équilibrer</x:v>
      </x:c>
      <x:c r="J1678" s="115" t="str">
        <x:v>Non</x:v>
      </x:c>
      <x:c r="K1678" s="115" t="str">
        <x:v>Pièces décrites, murs, portes, niveaux et mobilier inspectables à l’échelle. Volumes réservés, raccord au seed, butin, rencontres et services de campagne restent à terminer.</x:v>
      </x:c>
    </x:row>
    <x:row r="1679" ht="96" customHeight="1">
      <x:c r="A1679" s="115" t="str">
        <x:v>EXT-MONDE-T034-V24</x:v>
      </x:c>
      <x:c r="B1679" s="115" t="str">
        <x:v>EXT-MONDE-T034</x:v>
      </x:c>
      <x:c r="C1679" s="115" t="str">
        <x:v>Échangeurs</x:v>
      </x:c>
      <x:c r="D1679" s="115" t="str">
        <x:v>Échangeur en trompette</x:v>
      </x:c>
      <x:c r="E1679" s="115" t="n">
        <x:v>24</x:v>
      </x:c>
      <x:c r="F1679" s="115" t="str">
        <x:v>Inspection physique</x:v>
      </x:c>
      <x:c r="G1679" s="115" t="str">
        <x:v>1 niveaux ; 34 pièces ; 260 segments de mur ; 0 transitions. Inspection physique ; architecture complète encore ouverte.</x:v>
      </x:c>
      <x:c r="H1679" s="115" t="str">
        <x:v>L 1360 ; l 1520 ; hauteur 8 m ; choix de composition auteur ; dimensions réelles à documenter</x:v>
      </x:c>
      <x:c r="I1679" s="115" t="str">
        <x:v>À équilibrer</x:v>
      </x:c>
      <x:c r="J1679" s="115" t="str">
        <x:v>Non</x:v>
      </x:c>
      <x:c r="K1679" s="115" t="str">
        <x:v>Pièces décrites, murs, portes, niveaux et mobilier inspectables à l’échelle. Volumes réservés, raccord au seed, butin, rencontres et services de campagne restent à terminer.</x:v>
      </x:c>
    </x:row>
    <x:row r="1680" ht="96" customHeight="1">
      <x:c r="A1680" s="115" t="str">
        <x:v>EXT-MONDE-T034-V25</x:v>
      </x:c>
      <x:c r="B1680" s="115" t="str">
        <x:v>EXT-MONDE-T034</x:v>
      </x:c>
      <x:c r="C1680" s="115" t="str">
        <x:v>Échangeurs</x:v>
      </x:c>
      <x:c r="D1680" s="115" t="str">
        <x:v>Échangeur en trompette</x:v>
      </x:c>
      <x:c r="E1680" s="115" t="n">
        <x:v>25</x:v>
      </x:c>
      <x:c r="F1680" s="115" t="str">
        <x:v>Inspection physique</x:v>
      </x:c>
      <x:c r="G1680" s="115" t="str">
        <x:v>1 niveaux ; 34 pièces ; 260 segments de mur ; 0 transitions. Inspection physique ; architecture complète encore ouverte.</x:v>
      </x:c>
      <x:c r="H1680" s="115" t="str">
        <x:v>L 1360 ; l 1520 ; hauteur 8 m ; choix de composition auteur ; dimensions réelles à documenter</x:v>
      </x:c>
      <x:c r="I1680" s="115" t="str">
        <x:v>À équilibrer</x:v>
      </x:c>
      <x:c r="J1680" s="115" t="str">
        <x:v>Non</x:v>
      </x:c>
      <x:c r="K1680" s="115" t="str">
        <x:v>Pièces décrites, murs, portes, niveaux et mobilier inspectables à l’échelle. Volumes réservés, raccord au seed, butin, rencontres et services de campagne restent à terminer.</x:v>
      </x:c>
    </x:row>
    <x:row r="1681" ht="96" customHeight="1">
      <x:c r="A1681" s="115" t="str">
        <x:v>EXT-MONDE-T034-V26</x:v>
      </x:c>
      <x:c r="B1681" s="115" t="str">
        <x:v>EXT-MONDE-T034</x:v>
      </x:c>
      <x:c r="C1681" s="115" t="str">
        <x:v>Échangeurs</x:v>
      </x:c>
      <x:c r="D1681" s="115" t="str">
        <x:v>Échangeur en trompette</x:v>
      </x:c>
      <x:c r="E1681" s="115" t="n">
        <x:v>26</x:v>
      </x:c>
      <x:c r="F1681" s="115" t="str">
        <x:v>Inspection physique</x:v>
      </x:c>
      <x:c r="G1681" s="115" t="str">
        <x:v>1 niveaux ; 34 pièces ; 260 segments de mur ; 0 transitions. Inspection physique ; architecture complète encore ouverte.</x:v>
      </x:c>
      <x:c r="H1681" s="115" t="str">
        <x:v>L 1360 ; l 1520 ; hauteur 8 m ; choix de composition auteur ; dimensions réelles à documenter</x:v>
      </x:c>
      <x:c r="I1681" s="115" t="str">
        <x:v>À équilibrer</x:v>
      </x:c>
      <x:c r="J1681" s="115" t="str">
        <x:v>Non</x:v>
      </x:c>
      <x:c r="K1681" s="115" t="str">
        <x:v>Pièces décrites, murs, portes, niveaux et mobilier inspectables à l’échelle. Volumes réservés, raccord au seed, butin, rencontres et services de campagne restent à terminer.</x:v>
      </x:c>
    </x:row>
    <x:row r="1682" ht="96" customHeight="1">
      <x:c r="A1682" s="115" t="str">
        <x:v>EXT-MONDE-T034-V27</x:v>
      </x:c>
      <x:c r="B1682" s="115" t="str">
        <x:v>EXT-MONDE-T034</x:v>
      </x:c>
      <x:c r="C1682" s="115" t="str">
        <x:v>Échangeurs</x:v>
      </x:c>
      <x:c r="D1682" s="115" t="str">
        <x:v>Échangeur en trompette</x:v>
      </x:c>
      <x:c r="E1682" s="115" t="n">
        <x:v>27</x:v>
      </x:c>
      <x:c r="F1682" s="115" t="str">
        <x:v>Inspection physique</x:v>
      </x:c>
      <x:c r="G1682" s="115" t="str">
        <x:v>1 niveaux ; 34 pièces ; 260 segments de mur ; 0 transitions. Inspection physique ; architecture complète encore ouverte.</x:v>
      </x:c>
      <x:c r="H1682" s="115" t="str">
        <x:v>L 1360 ; l 1520 ; hauteur 8 m ; choix de composition auteur ; dimensions réelles à documenter</x:v>
      </x:c>
      <x:c r="I1682" s="115" t="str">
        <x:v>À équilibrer</x:v>
      </x:c>
      <x:c r="J1682" s="115" t="str">
        <x:v>Non</x:v>
      </x:c>
      <x:c r="K1682" s="115" t="str">
        <x:v>Pièces décrites, murs, portes, niveaux et mobilier inspectables à l’échelle. Volumes réservés, raccord au seed, butin, rencontres et services de campagne restent à terminer.</x:v>
      </x:c>
    </x:row>
    <x:row r="1683" ht="96" customHeight="1">
      <x:c r="A1683" s="115" t="str">
        <x:v>EXT-MONDE-T034-V28</x:v>
      </x:c>
      <x:c r="B1683" s="115" t="str">
        <x:v>EXT-MONDE-T034</x:v>
      </x:c>
      <x:c r="C1683" s="115" t="str">
        <x:v>Échangeurs</x:v>
      </x:c>
      <x:c r="D1683" s="115" t="str">
        <x:v>Échangeur en trompette</x:v>
      </x:c>
      <x:c r="E1683" s="115" t="n">
        <x:v>28</x:v>
      </x:c>
      <x:c r="F1683" s="115" t="str">
        <x:v>Inspection physique</x:v>
      </x:c>
      <x:c r="G1683" s="115" t="str">
        <x:v>1 niveaux ; 34 pièces ; 260 segments de mur ; 0 transitions. Inspection physique ; architecture complète encore ouverte.</x:v>
      </x:c>
      <x:c r="H1683" s="115" t="str">
        <x:v>L 1360 ; l 1520 ; hauteur 8 m ; choix de composition auteur ; dimensions réelles à documenter</x:v>
      </x:c>
      <x:c r="I1683" s="115" t="str">
        <x:v>À équilibrer</x:v>
      </x:c>
      <x:c r="J1683" s="115" t="str">
        <x:v>Non</x:v>
      </x:c>
      <x:c r="K1683" s="115" t="str">
        <x:v>Pièces décrites, murs, portes, niveaux et mobilier inspectables à l’échelle. Volumes réservés, raccord au seed, butin, rencontres et services de campagne restent à terminer.</x:v>
      </x:c>
    </x:row>
    <x:row r="1684" ht="96" customHeight="1">
      <x:c r="A1684" s="115" t="str">
        <x:v>EXT-MONDE-T034-V29</x:v>
      </x:c>
      <x:c r="B1684" s="115" t="str">
        <x:v>EXT-MONDE-T034</x:v>
      </x:c>
      <x:c r="C1684" s="115" t="str">
        <x:v>Échangeurs</x:v>
      </x:c>
      <x:c r="D1684" s="115" t="str">
        <x:v>Échangeur en trompette</x:v>
      </x:c>
      <x:c r="E1684" s="115" t="n">
        <x:v>29</x:v>
      </x:c>
      <x:c r="F1684" s="115" t="str">
        <x:v>Inspection physique</x:v>
      </x:c>
      <x:c r="G1684" s="115" t="str">
        <x:v>1 niveaux ; 34 pièces ; 260 segments de mur ; 0 transitions. Inspection physique ; architecture complète encore ouverte.</x:v>
      </x:c>
      <x:c r="H1684" s="115" t="str">
        <x:v>L 1360 ; l 1520 ; hauteur 8 m ; choix de composition auteur ; dimensions réelles à documenter</x:v>
      </x:c>
      <x:c r="I1684" s="115" t="str">
        <x:v>À équilibrer</x:v>
      </x:c>
      <x:c r="J1684" s="115" t="str">
        <x:v>Non</x:v>
      </x:c>
      <x:c r="K1684" s="115" t="str">
        <x:v>Pièces décrites, murs, portes, niveaux et mobilier inspectables à l’échelle. Volumes réservés, raccord au seed, butin, rencontres et services de campagne restent à terminer.</x:v>
      </x:c>
    </x:row>
    <x:row r="1685" ht="96" customHeight="1">
      <x:c r="A1685" s="115" t="str">
        <x:v>EXT-MONDE-T034-V30</x:v>
      </x:c>
      <x:c r="B1685" s="115" t="str">
        <x:v>EXT-MONDE-T034</x:v>
      </x:c>
      <x:c r="C1685" s="115" t="str">
        <x:v>Échangeurs</x:v>
      </x:c>
      <x:c r="D1685" s="115" t="str">
        <x:v>Échangeur en trompette</x:v>
      </x:c>
      <x:c r="E1685" s="115" t="n">
        <x:v>30</x:v>
      </x:c>
      <x:c r="F1685" s="115" t="str">
        <x:v>Inspection physique</x:v>
      </x:c>
      <x:c r="G1685" s="115" t="str">
        <x:v>1 niveaux ; 34 pièces ; 260 segments de mur ; 0 transitions. Inspection physique ; architecture complète encore ouverte.</x:v>
      </x:c>
      <x:c r="H1685" s="115" t="str">
        <x:v>L 1360 ; l 1520 ; hauteur 8 m ; choix de composition auteur ; dimensions réelles à documenter</x:v>
      </x:c>
      <x:c r="I1685" s="115" t="str">
        <x:v>À équilibrer</x:v>
      </x:c>
      <x:c r="J1685" s="115" t="str">
        <x:v>Non</x:v>
      </x:c>
      <x:c r="K1685" s="115" t="str">
        <x:v>Pièces décrites, murs, portes, niveaux et mobilier inspectables à l’échelle. Volumes réservés, raccord au seed, butin, rencontres et services de campagne restent à terminer.</x:v>
      </x:c>
    </x:row>
    <x:row r="1686" ht="96" customHeight="1">
      <x:c r="A1686" s="115" t="str">
        <x:v>EXT-MONDE-T034-V31</x:v>
      </x:c>
      <x:c r="B1686" s="115" t="str">
        <x:v>EXT-MONDE-T034</x:v>
      </x:c>
      <x:c r="C1686" s="115" t="str">
        <x:v>Échangeurs</x:v>
      </x:c>
      <x:c r="D1686" s="115" t="str">
        <x:v>Échangeur en trompette</x:v>
      </x:c>
      <x:c r="E1686" s="115" t="n">
        <x:v>31</x:v>
      </x:c>
      <x:c r="F1686" s="115" t="str">
        <x:v>Inspection physique</x:v>
      </x:c>
      <x:c r="G1686" s="115" t="str">
        <x:v>1 niveaux ; 34 pièces ; 260 segments de mur ; 0 transitions. Inspection physique ; architecture complète encore ouverte.</x:v>
      </x:c>
      <x:c r="H1686" s="115" t="str">
        <x:v>L 1440 ; l 1680 ; hauteur 8 m ; choix de composition auteur ; dimensions réelles à documenter</x:v>
      </x:c>
      <x:c r="I1686" s="115" t="str">
        <x:v>À équilibrer</x:v>
      </x:c>
      <x:c r="J1686" s="115" t="str">
        <x:v>Non</x:v>
      </x:c>
      <x:c r="K1686" s="115" t="str">
        <x:v>Pièces décrites, murs, portes, niveaux et mobilier inspectables à l’échelle. Volumes réservés, raccord au seed, butin, rencontres et services de campagne restent à terminer.</x:v>
      </x:c>
    </x:row>
    <x:row r="1687" ht="96" customHeight="1">
      <x:c r="A1687" s="115" t="str">
        <x:v>EXT-MONDE-T034-V32</x:v>
      </x:c>
      <x:c r="B1687" s="115" t="str">
        <x:v>EXT-MONDE-T034</x:v>
      </x:c>
      <x:c r="C1687" s="115" t="str">
        <x:v>Échangeurs</x:v>
      </x:c>
      <x:c r="D1687" s="115" t="str">
        <x:v>Échangeur en trompette</x:v>
      </x:c>
      <x:c r="E1687" s="115" t="n">
        <x:v>32</x:v>
      </x:c>
      <x:c r="F1687" s="115" t="str">
        <x:v>Inspection physique</x:v>
      </x:c>
      <x:c r="G1687" s="115" t="str">
        <x:v>1 niveaux ; 34 pièces ; 260 segments de mur ; 0 transitions. Inspection physique ; architecture complète encore ouverte.</x:v>
      </x:c>
      <x:c r="H1687" s="115" t="str">
        <x:v>L 1440 ; l 1680 ; hauteur 8 m ; choix de composition auteur ; dimensions réelles à documenter</x:v>
      </x:c>
      <x:c r="I1687" s="115" t="str">
        <x:v>À équilibrer</x:v>
      </x:c>
      <x:c r="J1687" s="115" t="str">
        <x:v>Non</x:v>
      </x:c>
      <x:c r="K1687" s="115" t="str">
        <x:v>Pièces décrites, murs, portes, niveaux et mobilier inspectables à l’échelle. Volumes réservés, raccord au seed, butin, rencontres et services de campagne restent à terminer.</x:v>
      </x:c>
    </x:row>
    <x:row r="1688" ht="96" customHeight="1">
      <x:c r="A1688" s="115" t="str">
        <x:v>EXT-MONDE-T034-V33</x:v>
      </x:c>
      <x:c r="B1688" s="115" t="str">
        <x:v>EXT-MONDE-T034</x:v>
      </x:c>
      <x:c r="C1688" s="115" t="str">
        <x:v>Échangeurs</x:v>
      </x:c>
      <x:c r="D1688" s="115" t="str">
        <x:v>Échangeur en trompette</x:v>
      </x:c>
      <x:c r="E1688" s="115" t="n">
        <x:v>33</x:v>
      </x:c>
      <x:c r="F1688" s="115" t="str">
        <x:v>Inspection physique</x:v>
      </x:c>
      <x:c r="G1688" s="115" t="str">
        <x:v>1 niveaux ; 34 pièces ; 260 segments de mur ; 0 transitions. Inspection physique ; architecture complète encore ouverte.</x:v>
      </x:c>
      <x:c r="H1688" s="115" t="str">
        <x:v>L 1440 ; l 1680 ; hauteur 8 m ; choix de composition auteur ; dimensions réelles à documenter</x:v>
      </x:c>
      <x:c r="I1688" s="115" t="str">
        <x:v>À équilibrer</x:v>
      </x:c>
      <x:c r="J1688" s="115" t="str">
        <x:v>Non</x:v>
      </x:c>
      <x:c r="K1688" s="115" t="str">
        <x:v>Pièces décrites, murs, portes, niveaux et mobilier inspectables à l’échelle. Volumes réservés, raccord au seed, butin, rencontres et services de campagne restent à terminer.</x:v>
      </x:c>
    </x:row>
    <x:row r="1689" ht="96" customHeight="1">
      <x:c r="A1689" s="115" t="str">
        <x:v>EXT-MONDE-T034-V34</x:v>
      </x:c>
      <x:c r="B1689" s="115" t="str">
        <x:v>EXT-MONDE-T034</x:v>
      </x:c>
      <x:c r="C1689" s="115" t="str">
        <x:v>Échangeurs</x:v>
      </x:c>
      <x:c r="D1689" s="115" t="str">
        <x:v>Échangeur en trompette</x:v>
      </x:c>
      <x:c r="E1689" s="115" t="n">
        <x:v>34</x:v>
      </x:c>
      <x:c r="F1689" s="115" t="str">
        <x:v>Inspection physique</x:v>
      </x:c>
      <x:c r="G1689" s="115" t="str">
        <x:v>1 niveaux ; 34 pièces ; 260 segments de mur ; 0 transitions. Inspection physique ; architecture complète encore ouverte.</x:v>
      </x:c>
      <x:c r="H1689" s="115" t="str">
        <x:v>L 1440 ; l 1680 ; hauteur 8 m ; choix de composition auteur ; dimensions réelles à documenter</x:v>
      </x:c>
      <x:c r="I1689" s="115" t="str">
        <x:v>À équilibrer</x:v>
      </x:c>
      <x:c r="J1689" s="115" t="str">
        <x:v>Non</x:v>
      </x:c>
      <x:c r="K1689" s="115" t="str">
        <x:v>Pièces décrites, murs, portes, niveaux et mobilier inspectables à l’échelle. Volumes réservés, raccord au seed, butin, rencontres et services de campagne restent à terminer.</x:v>
      </x:c>
    </x:row>
    <x:row r="1690" ht="96" customHeight="1">
      <x:c r="A1690" s="115" t="str">
        <x:v>EXT-MONDE-T034-V35</x:v>
      </x:c>
      <x:c r="B1690" s="115" t="str">
        <x:v>EXT-MONDE-T034</x:v>
      </x:c>
      <x:c r="C1690" s="115" t="str">
        <x:v>Échangeurs</x:v>
      </x:c>
      <x:c r="D1690" s="115" t="str">
        <x:v>Échangeur en trompette</x:v>
      </x:c>
      <x:c r="E1690" s="115" t="n">
        <x:v>35</x:v>
      </x:c>
      <x:c r="F1690" s="115" t="str">
        <x:v>Inspection physique</x:v>
      </x:c>
      <x:c r="G1690" s="115" t="str">
        <x:v>1 niveaux ; 34 pièces ; 260 segments de mur ; 0 transitions. Inspection physique ; architecture complète encore ouverte.</x:v>
      </x:c>
      <x:c r="H1690" s="115" t="str">
        <x:v>L 1440 ; l 1680 ; hauteur 8 m ; choix de composition auteur ; dimensions réelles à documenter</x:v>
      </x:c>
      <x:c r="I1690" s="115" t="str">
        <x:v>À équilibrer</x:v>
      </x:c>
      <x:c r="J1690" s="115" t="str">
        <x:v>Non</x:v>
      </x:c>
      <x:c r="K1690" s="115" t="str">
        <x:v>Pièces décrites, murs, portes, niveaux et mobilier inspectables à l’échelle. Volumes réservés, raccord au seed, butin, rencontres et services de campagne restent à terminer.</x:v>
      </x:c>
    </x:row>
    <x:row r="1691" ht="96" customHeight="1">
      <x:c r="A1691" s="115" t="str">
        <x:v>EXT-MONDE-T034-V36</x:v>
      </x:c>
      <x:c r="B1691" s="115" t="str">
        <x:v>EXT-MONDE-T034</x:v>
      </x:c>
      <x:c r="C1691" s="115" t="str">
        <x:v>Échangeurs</x:v>
      </x:c>
      <x:c r="D1691" s="115" t="str">
        <x:v>Échangeur en trompette</x:v>
      </x:c>
      <x:c r="E1691" s="115" t="n">
        <x:v>36</x:v>
      </x:c>
      <x:c r="F1691" s="115" t="str">
        <x:v>Inspection physique</x:v>
      </x:c>
      <x:c r="G1691" s="115" t="str">
        <x:v>1 niveaux ; 34 pièces ; 260 segments de mur ; 0 transitions. Inspection physique ; architecture complète encore ouverte.</x:v>
      </x:c>
      <x:c r="H1691" s="115" t="str">
        <x:v>L 1440 ; l 1680 ; hauteur 8 m ; choix de composition auteur ; dimensions réelles à documenter</x:v>
      </x:c>
      <x:c r="I1691" s="115" t="str">
        <x:v>À équilibrer</x:v>
      </x:c>
      <x:c r="J1691" s="115" t="str">
        <x:v>Non</x:v>
      </x:c>
      <x:c r="K1691" s="115" t="str">
        <x:v>Pièces décrites, murs, portes, niveaux et mobilier inspectables à l’échelle. Volumes réservés, raccord au seed, butin, rencontres et services de campagne restent à terminer.</x:v>
      </x:c>
    </x:row>
    <x:row r="1692" ht="96" customHeight="1">
      <x:c r="A1692" s="115" t="str">
        <x:v>EXT-MONDE-T034-V37</x:v>
      </x:c>
      <x:c r="B1692" s="115" t="str">
        <x:v>EXT-MONDE-T034</x:v>
      </x:c>
      <x:c r="C1692" s="115" t="str">
        <x:v>Échangeurs</x:v>
      </x:c>
      <x:c r="D1692" s="115" t="str">
        <x:v>Échangeur en trompette</x:v>
      </x:c>
      <x:c r="E1692" s="115" t="n">
        <x:v>37</x:v>
      </x:c>
      <x:c r="F1692" s="115" t="str">
        <x:v>Inspection physique</x:v>
      </x:c>
      <x:c r="G1692" s="115" t="str">
        <x:v>1 niveaux ; 34 pièces ; 260 segments de mur ; 0 transitions. Inspection physique ; architecture complète encore ouverte.</x:v>
      </x:c>
      <x:c r="H1692" s="115" t="str">
        <x:v>L 1440 ; l 1680 ; hauteur 8 m ; choix de composition auteur ; dimensions réelles à documenter</x:v>
      </x:c>
      <x:c r="I1692" s="115" t="str">
        <x:v>À équilibrer</x:v>
      </x:c>
      <x:c r="J1692" s="115" t="str">
        <x:v>Non</x:v>
      </x:c>
      <x:c r="K1692" s="115" t="str">
        <x:v>Pièces décrites, murs, portes, niveaux et mobilier inspectables à l’échelle. Volumes réservés, raccord au seed, butin, rencontres et services de campagne restent à terminer.</x:v>
      </x:c>
    </x:row>
    <x:row r="1693" ht="96" customHeight="1">
      <x:c r="A1693" s="115" t="str">
        <x:v>EXT-MONDE-T034-V38</x:v>
      </x:c>
      <x:c r="B1693" s="115" t="str">
        <x:v>EXT-MONDE-T034</x:v>
      </x:c>
      <x:c r="C1693" s="115" t="str">
        <x:v>Échangeurs</x:v>
      </x:c>
      <x:c r="D1693" s="115" t="str">
        <x:v>Échangeur en trompette</x:v>
      </x:c>
      <x:c r="E1693" s="115" t="n">
        <x:v>38</x:v>
      </x:c>
      <x:c r="F1693" s="115" t="str">
        <x:v>Inspection physique</x:v>
      </x:c>
      <x:c r="G1693" s="115" t="str">
        <x:v>1 niveaux ; 34 pièces ; 260 segments de mur ; 0 transitions. Inspection physique ; architecture complète encore ouverte.</x:v>
      </x:c>
      <x:c r="H1693" s="115" t="str">
        <x:v>L 1440 ; l 1680 ; hauteur 8 m ; choix de composition auteur ; dimensions réelles à documenter</x:v>
      </x:c>
      <x:c r="I1693" s="115" t="str">
        <x:v>À équilibrer</x:v>
      </x:c>
      <x:c r="J1693" s="115" t="str">
        <x:v>Non</x:v>
      </x:c>
      <x:c r="K1693" s="115" t="str">
        <x:v>Pièces décrites, murs, portes, niveaux et mobilier inspectables à l’échelle. Volumes réservés, raccord au seed, butin, rencontres et services de campagne restent à terminer.</x:v>
      </x:c>
    </x:row>
    <x:row r="1694" ht="96" customHeight="1">
      <x:c r="A1694" s="115" t="str">
        <x:v>EXT-MONDE-T034-V39</x:v>
      </x:c>
      <x:c r="B1694" s="115" t="str">
        <x:v>EXT-MONDE-T034</x:v>
      </x:c>
      <x:c r="C1694" s="115" t="str">
        <x:v>Échangeurs</x:v>
      </x:c>
      <x:c r="D1694" s="115" t="str">
        <x:v>Échangeur en trompette</x:v>
      </x:c>
      <x:c r="E1694" s="115" t="n">
        <x:v>39</x:v>
      </x:c>
      <x:c r="F1694" s="115" t="str">
        <x:v>Inspection physique</x:v>
      </x:c>
      <x:c r="G1694" s="115" t="str">
        <x:v>1 niveaux ; 34 pièces ; 260 segments de mur ; 0 transitions. Inspection physique ; architecture complète encore ouverte.</x:v>
      </x:c>
      <x:c r="H1694" s="115" t="str">
        <x:v>L 1440 ; l 1680 ; hauteur 8 m ; choix de composition auteur ; dimensions réelles à documenter</x:v>
      </x:c>
      <x:c r="I1694" s="115" t="str">
        <x:v>À équilibrer</x:v>
      </x:c>
      <x:c r="J1694" s="115" t="str">
        <x:v>Non</x:v>
      </x:c>
      <x:c r="K1694" s="115" t="str">
        <x:v>Pièces décrites, murs, portes, niveaux et mobilier inspectables à l’échelle. Volumes réservés, raccord au seed, butin, rencontres et services de campagne restent à terminer.</x:v>
      </x:c>
    </x:row>
    <x:row r="1695" ht="96" customHeight="1">
      <x:c r="A1695" s="115" t="str">
        <x:v>EXT-MONDE-T034-V40</x:v>
      </x:c>
      <x:c r="B1695" s="115" t="str">
        <x:v>EXT-MONDE-T034</x:v>
      </x:c>
      <x:c r="C1695" s="115" t="str">
        <x:v>Échangeurs</x:v>
      </x:c>
      <x:c r="D1695" s="115" t="str">
        <x:v>Échangeur en trompette</x:v>
      </x:c>
      <x:c r="E1695" s="115" t="n">
        <x:v>40</x:v>
      </x:c>
      <x:c r="F1695" s="115" t="str">
        <x:v>Inspection physique</x:v>
      </x:c>
      <x:c r="G1695" s="115" t="str">
        <x:v>1 niveaux ; 34 pièces ; 260 segments de mur ; 0 transitions. Inspection physique ; architecture complète encore ouverte.</x:v>
      </x:c>
      <x:c r="H1695" s="115" t="str">
        <x:v>L 1440 ; l 1680 ; hauteur 8 m ; choix de composition auteur ; dimensions réelles à documenter</x:v>
      </x:c>
      <x:c r="I1695" s="115" t="str">
        <x:v>À équilibrer</x:v>
      </x:c>
      <x:c r="J1695" s="115" t="str">
        <x:v>Non</x:v>
      </x:c>
      <x:c r="K1695" s="115" t="str">
        <x:v>Pièces décrites, murs, portes, niveaux et mobilier inspectables à l’échelle. Volumes réservés, raccord au seed, butin, rencontres et services de campagne restent à terminer.</x:v>
      </x:c>
    </x:row>
    <x:row r="1696" ht="96" customHeight="1">
      <x:c r="A1696" s="115" t="str">
        <x:v>EXT-MONDE-T034-V41</x:v>
      </x:c>
      <x:c r="B1696" s="115" t="str">
        <x:v>EXT-MONDE-T034</x:v>
      </x:c>
      <x:c r="C1696" s="115" t="str">
        <x:v>Échangeurs</x:v>
      </x:c>
      <x:c r="D1696" s="115" t="str">
        <x:v>Échangeur en trompette</x:v>
      </x:c>
      <x:c r="E1696" s="115" t="n">
        <x:v>41</x:v>
      </x:c>
      <x:c r="F1696" s="115" t="str">
        <x:v>Inspection physique</x:v>
      </x:c>
      <x:c r="G1696" s="115" t="str">
        <x:v>1 niveaux ; 34 pièces ; 260 segments de mur ; 0 transitions. Inspection physique ; architecture complète encore ouverte.</x:v>
      </x:c>
      <x:c r="H1696" s="115" t="str">
        <x:v>L 1520 ; l 1840 ; hauteur 8 m ; choix de composition auteur ; dimensions réelles à documenter</x:v>
      </x:c>
      <x:c r="I1696" s="115" t="str">
        <x:v>À équilibrer</x:v>
      </x:c>
      <x:c r="J1696" s="115" t="str">
        <x:v>Non</x:v>
      </x:c>
      <x:c r="K1696" s="115" t="str">
        <x:v>Pièces décrites, murs, portes, niveaux et mobilier inspectables à l’échelle. Volumes réservés, raccord au seed, butin, rencontres et services de campagne restent à terminer.</x:v>
      </x:c>
    </x:row>
    <x:row r="1697" ht="96" customHeight="1">
      <x:c r="A1697" s="115" t="str">
        <x:v>EXT-MONDE-T034-V42</x:v>
      </x:c>
      <x:c r="B1697" s="115" t="str">
        <x:v>EXT-MONDE-T034</x:v>
      </x:c>
      <x:c r="C1697" s="115" t="str">
        <x:v>Échangeurs</x:v>
      </x:c>
      <x:c r="D1697" s="115" t="str">
        <x:v>Échangeur en trompette</x:v>
      </x:c>
      <x:c r="E1697" s="115" t="n">
        <x:v>42</x:v>
      </x:c>
      <x:c r="F1697" s="115" t="str">
        <x:v>Inspection physique</x:v>
      </x:c>
      <x:c r="G1697" s="115" t="str">
        <x:v>1 niveaux ; 34 pièces ; 260 segments de mur ; 0 transitions. Inspection physique ; architecture complète encore ouverte.</x:v>
      </x:c>
      <x:c r="H1697" s="115" t="str">
        <x:v>L 1520 ; l 1840 ; hauteur 8 m ; choix de composition auteur ; dimensions réelles à documenter</x:v>
      </x:c>
      <x:c r="I1697" s="115" t="str">
        <x:v>À équilibrer</x:v>
      </x:c>
      <x:c r="J1697" s="115" t="str">
        <x:v>Non</x:v>
      </x:c>
      <x:c r="K1697" s="115" t="str">
        <x:v>Pièces décrites, murs, portes, niveaux et mobilier inspectables à l’échelle. Volumes réservés, raccord au seed, butin, rencontres et services de campagne restent à terminer.</x:v>
      </x:c>
    </x:row>
    <x:row r="1698" ht="96" customHeight="1">
      <x:c r="A1698" s="115" t="str">
        <x:v>EXT-MONDE-T034-V43</x:v>
      </x:c>
      <x:c r="B1698" s="115" t="str">
        <x:v>EXT-MONDE-T034</x:v>
      </x:c>
      <x:c r="C1698" s="115" t="str">
        <x:v>Échangeurs</x:v>
      </x:c>
      <x:c r="D1698" s="115" t="str">
        <x:v>Échangeur en trompette</x:v>
      </x:c>
      <x:c r="E1698" s="115" t="n">
        <x:v>43</x:v>
      </x:c>
      <x:c r="F1698" s="115" t="str">
        <x:v>Inspection physique</x:v>
      </x:c>
      <x:c r="G1698" s="115" t="str">
        <x:v>1 niveaux ; 34 pièces ; 260 segments de mur ; 0 transitions. Inspection physique ; architecture complète encore ouverte.</x:v>
      </x:c>
      <x:c r="H1698" s="115" t="str">
        <x:v>L 1520 ; l 1840 ; hauteur 8 m ; choix de composition auteur ; dimensions réelles à documenter</x:v>
      </x:c>
      <x:c r="I1698" s="115" t="str">
        <x:v>À équilibrer</x:v>
      </x:c>
      <x:c r="J1698" s="115" t="str">
        <x:v>Non</x:v>
      </x:c>
      <x:c r="K1698" s="115" t="str">
        <x:v>Pièces décrites, murs, portes, niveaux et mobilier inspectables à l’échelle. Volumes réservés, raccord au seed, butin, rencontres et services de campagne restent à terminer.</x:v>
      </x:c>
    </x:row>
    <x:row r="1699" ht="96" customHeight="1">
      <x:c r="A1699" s="115" t="str">
        <x:v>EXT-MONDE-T034-V44</x:v>
      </x:c>
      <x:c r="B1699" s="115" t="str">
        <x:v>EXT-MONDE-T034</x:v>
      </x:c>
      <x:c r="C1699" s="115" t="str">
        <x:v>Échangeurs</x:v>
      </x:c>
      <x:c r="D1699" s="115" t="str">
        <x:v>Échangeur en trompette</x:v>
      </x:c>
      <x:c r="E1699" s="115" t="n">
        <x:v>44</x:v>
      </x:c>
      <x:c r="F1699" s="115" t="str">
        <x:v>Inspection physique</x:v>
      </x:c>
      <x:c r="G1699" s="115" t="str">
        <x:v>1 niveaux ; 34 pièces ; 260 segments de mur ; 0 transitions. Inspection physique ; architecture complète encore ouverte.</x:v>
      </x:c>
      <x:c r="H1699" s="115" t="str">
        <x:v>L 1520 ; l 1840 ; hauteur 8 m ; choix de composition auteur ; dimensions réelles à documenter</x:v>
      </x:c>
      <x:c r="I1699" s="115" t="str">
        <x:v>À équilibrer</x:v>
      </x:c>
      <x:c r="J1699" s="115" t="str">
        <x:v>Non</x:v>
      </x:c>
      <x:c r="K1699" s="115" t="str">
        <x:v>Pièces décrites, murs, portes, niveaux et mobilier inspectables à l’échelle. Volumes réservés, raccord au seed, butin, rencontres et services de campagne restent à terminer.</x:v>
      </x:c>
    </x:row>
    <x:row r="1700" ht="96" customHeight="1">
      <x:c r="A1700" s="115" t="str">
        <x:v>EXT-MONDE-T034-V45</x:v>
      </x:c>
      <x:c r="B1700" s="115" t="str">
        <x:v>EXT-MONDE-T034</x:v>
      </x:c>
      <x:c r="C1700" s="115" t="str">
        <x:v>Échangeurs</x:v>
      </x:c>
      <x:c r="D1700" s="115" t="str">
        <x:v>Échangeur en trompette</x:v>
      </x:c>
      <x:c r="E1700" s="115" t="n">
        <x:v>45</x:v>
      </x:c>
      <x:c r="F1700" s="115" t="str">
        <x:v>Inspection physique</x:v>
      </x:c>
      <x:c r="G1700" s="115" t="str">
        <x:v>1 niveaux ; 34 pièces ; 260 segments de mur ; 0 transitions. Inspection physique ; architecture complète encore ouverte.</x:v>
      </x:c>
      <x:c r="H1700" s="115" t="str">
        <x:v>L 1520 ; l 1840 ; hauteur 8 m ; choix de composition auteur ; dimensions réelles à documenter</x:v>
      </x:c>
      <x:c r="I1700" s="115" t="str">
        <x:v>À équilibrer</x:v>
      </x:c>
      <x:c r="J1700" s="115" t="str">
        <x:v>Non</x:v>
      </x:c>
      <x:c r="K1700" s="115" t="str">
        <x:v>Pièces décrites, murs, portes, niveaux et mobilier inspectables à l’échelle. Volumes réservés, raccord au seed, butin, rencontres et services de campagne restent à terminer.</x:v>
      </x:c>
    </x:row>
    <x:row r="1701" ht="96" customHeight="1">
      <x:c r="A1701" s="115" t="str">
        <x:v>EXT-MONDE-T034-V46</x:v>
      </x:c>
      <x:c r="B1701" s="115" t="str">
        <x:v>EXT-MONDE-T034</x:v>
      </x:c>
      <x:c r="C1701" s="115" t="str">
        <x:v>Échangeurs</x:v>
      </x:c>
      <x:c r="D1701" s="115" t="str">
        <x:v>Échangeur en trompette</x:v>
      </x:c>
      <x:c r="E1701" s="115" t="n">
        <x:v>46</x:v>
      </x:c>
      <x:c r="F1701" s="115" t="str">
        <x:v>Inspection physique</x:v>
      </x:c>
      <x:c r="G1701" s="115" t="str">
        <x:v>1 niveaux ; 34 pièces ; 260 segments de mur ; 0 transitions. Inspection physique ; architecture complète encore ouverte.</x:v>
      </x:c>
      <x:c r="H1701" s="115" t="str">
        <x:v>L 1520 ; l 1840 ; hauteur 8 m ; choix de composition auteur ; dimensions réelles à documenter</x:v>
      </x:c>
      <x:c r="I1701" s="115" t="str">
        <x:v>À équilibrer</x:v>
      </x:c>
      <x:c r="J1701" s="115" t="str">
        <x:v>Non</x:v>
      </x:c>
      <x:c r="K1701" s="115" t="str">
        <x:v>Pièces décrites, murs, portes, niveaux et mobilier inspectables à l’échelle. Volumes réservés, raccord au seed, butin, rencontres et services de campagne restent à terminer.</x:v>
      </x:c>
    </x:row>
    <x:row r="1702" ht="96" customHeight="1">
      <x:c r="A1702" s="115" t="str">
        <x:v>EXT-MONDE-T034-V47</x:v>
      </x:c>
      <x:c r="B1702" s="115" t="str">
        <x:v>EXT-MONDE-T034</x:v>
      </x:c>
      <x:c r="C1702" s="115" t="str">
        <x:v>Échangeurs</x:v>
      </x:c>
      <x:c r="D1702" s="115" t="str">
        <x:v>Échangeur en trompette</x:v>
      </x:c>
      <x:c r="E1702" s="115" t="n">
        <x:v>47</x:v>
      </x:c>
      <x:c r="F1702" s="115" t="str">
        <x:v>Inspection physique</x:v>
      </x:c>
      <x:c r="G1702" s="115" t="str">
        <x:v>1 niveaux ; 34 pièces ; 260 segments de mur ; 0 transitions. Inspection physique ; architecture complète encore ouverte.</x:v>
      </x:c>
      <x:c r="H1702" s="115" t="str">
        <x:v>L 1520 ; l 1840 ; hauteur 8 m ; choix de composition auteur ; dimensions réelles à documenter</x:v>
      </x:c>
      <x:c r="I1702" s="115" t="str">
        <x:v>À équilibrer</x:v>
      </x:c>
      <x:c r="J1702" s="115" t="str">
        <x:v>Non</x:v>
      </x:c>
      <x:c r="K1702" s="115" t="str">
        <x:v>Pièces décrites, murs, portes, niveaux et mobilier inspectables à l’échelle. Volumes réservés, raccord au seed, butin, rencontres et services de campagne restent à terminer.</x:v>
      </x:c>
    </x:row>
    <x:row r="1703" ht="96" customHeight="1">
      <x:c r="A1703" s="115" t="str">
        <x:v>EXT-MONDE-T034-V48</x:v>
      </x:c>
      <x:c r="B1703" s="115" t="str">
        <x:v>EXT-MONDE-T034</x:v>
      </x:c>
      <x:c r="C1703" s="115" t="str">
        <x:v>Échangeurs</x:v>
      </x:c>
      <x:c r="D1703" s="115" t="str">
        <x:v>Échangeur en trompette</x:v>
      </x:c>
      <x:c r="E1703" s="115" t="n">
        <x:v>48</x:v>
      </x:c>
      <x:c r="F1703" s="115" t="str">
        <x:v>Inspection physique</x:v>
      </x:c>
      <x:c r="G1703" s="115" t="str">
        <x:v>1 niveaux ; 34 pièces ; 260 segments de mur ; 0 transitions. Inspection physique ; architecture complète encore ouverte.</x:v>
      </x:c>
      <x:c r="H1703" s="115" t="str">
        <x:v>L 1520 ; l 1840 ; hauteur 8 m ; choix de composition auteur ; dimensions réelles à documenter</x:v>
      </x:c>
      <x:c r="I1703" s="115" t="str">
        <x:v>À équilibrer</x:v>
      </x:c>
      <x:c r="J1703" s="115" t="str">
        <x:v>Non</x:v>
      </x:c>
      <x:c r="K1703" s="115" t="str">
        <x:v>Pièces décrites, murs, portes, niveaux et mobilier inspectables à l’échelle. Volumes réservés, raccord au seed, butin, rencontres et services de campagne restent à terminer.</x:v>
      </x:c>
    </x:row>
    <x:row r="1704" ht="96" customHeight="1">
      <x:c r="A1704" s="115" t="str">
        <x:v>EXT-MONDE-T034-V49</x:v>
      </x:c>
      <x:c r="B1704" s="115" t="str">
        <x:v>EXT-MONDE-T034</x:v>
      </x:c>
      <x:c r="C1704" s="115" t="str">
        <x:v>Échangeurs</x:v>
      </x:c>
      <x:c r="D1704" s="115" t="str">
        <x:v>Échangeur en trompette</x:v>
      </x:c>
      <x:c r="E1704" s="115" t="n">
        <x:v>49</x:v>
      </x:c>
      <x:c r="F1704" s="115" t="str">
        <x:v>Inspection physique</x:v>
      </x:c>
      <x:c r="G1704" s="115" t="str">
        <x:v>1 niveaux ; 34 pièces ; 260 segments de mur ; 0 transitions. Inspection physique ; architecture complète encore ouverte.</x:v>
      </x:c>
      <x:c r="H1704" s="115" t="str">
        <x:v>L 1520 ; l 1840 ; hauteur 8 m ; choix de composition auteur ; dimensions réelles à documenter</x:v>
      </x:c>
      <x:c r="I1704" s="115" t="str">
        <x:v>À équilibrer</x:v>
      </x:c>
      <x:c r="J1704" s="115" t="str">
        <x:v>Non</x:v>
      </x:c>
      <x:c r="K1704" s="115" t="str">
        <x:v>Pièces décrites, murs, portes, niveaux et mobilier inspectables à l’échelle. Volumes réservés, raccord au seed, butin, rencontres et services de campagne restent à terminer.</x:v>
      </x:c>
    </x:row>
    <x:row r="1705" ht="96" customHeight="1">
      <x:c r="A1705" s="115" t="str">
        <x:v>EXT-MONDE-T034-V50</x:v>
      </x:c>
      <x:c r="B1705" s="115" t="str">
        <x:v>EXT-MONDE-T034</x:v>
      </x:c>
      <x:c r="C1705" s="115" t="str">
        <x:v>Échangeurs</x:v>
      </x:c>
      <x:c r="D1705" s="115" t="str">
        <x:v>Échangeur en trompette</x:v>
      </x:c>
      <x:c r="E1705" s="115" t="n">
        <x:v>50</x:v>
      </x:c>
      <x:c r="F1705" s="115" t="str">
        <x:v>Inspection physique</x:v>
      </x:c>
      <x:c r="G1705" s="115" t="str">
        <x:v>1 niveaux ; 34 pièces ; 260 segments de mur ; 0 transitions. Inspection physique ; architecture complète encore ouverte.</x:v>
      </x:c>
      <x:c r="H1705" s="115" t="str">
        <x:v>L 1520 ; l 1840 ; hauteur 8 m ; choix de composition auteur ; dimensions réelles à documenter</x:v>
      </x:c>
      <x:c r="I1705" s="115" t="str">
        <x:v>À équilibrer</x:v>
      </x:c>
      <x:c r="J1705" s="115" t="str">
        <x:v>Non</x:v>
      </x:c>
      <x:c r="K1705" s="115" t="str">
        <x:v>Pièces décrites, murs, portes, niveaux et mobilier inspectables à l’échelle. Volumes réservés, raccord au seed, butin, rencontres et services de campagne restent à terminer.</x:v>
      </x:c>
    </x:row>
    <x:row r="1706" ht="96" customHeight="1">
      <x:c r="A1706" s="115" t="str">
        <x:v>EXT-MONDE-T035-V01</x:v>
      </x:c>
      <x:c r="B1706" s="115" t="str">
        <x:v>EXT-MONDE-T035</x:v>
      </x:c>
      <x:c r="C1706" s="115" t="str">
        <x:v>Échangeurs</x:v>
      </x:c>
      <x:c r="D1706" s="115" t="str">
        <x:v>Trèfle autoroutier</x:v>
      </x:c>
      <x:c r="E1706" s="115" t="n">
        <x:v>1</x:v>
      </x:c>
      <x:c r="F1706" s="115" t="str">
        <x:v>Inspection physique</x:v>
      </x:c>
      <x:c r="G1706" s="115" t="str">
        <x:v>1 niveaux ; 34 pièces ; 260 segments de mur ; 0 transitions. Inspection physique ; architecture complète encore ouverte.</x:v>
      </x:c>
      <x:c r="H1706" s="115" t="str">
        <x:v>L 1400 ; l 1400 ; hauteur 8 m ; choix de composition auteur ; dimensions réelles à documenter</x:v>
      </x:c>
      <x:c r="I1706" s="115" t="str">
        <x:v>À équilibrer</x:v>
      </x:c>
      <x:c r="J1706" s="115" t="str">
        <x:v>Non</x:v>
      </x:c>
      <x:c r="K1706" s="115" t="str">
        <x:v>Pièces décrites, murs, portes, niveaux et mobilier inspectables à l’échelle. Volumes réservés, raccord au seed, butin, rencontres et services de campagne restent à terminer.</x:v>
      </x:c>
    </x:row>
    <x:row r="1707" ht="96" customHeight="1">
      <x:c r="A1707" s="115" t="str">
        <x:v>EXT-MONDE-T035-V02</x:v>
      </x:c>
      <x:c r="B1707" s="115" t="str">
        <x:v>EXT-MONDE-T035</x:v>
      </x:c>
      <x:c r="C1707" s="115" t="str">
        <x:v>Échangeurs</x:v>
      </x:c>
      <x:c r="D1707" s="115" t="str">
        <x:v>Trèfle autoroutier</x:v>
      </x:c>
      <x:c r="E1707" s="115" t="n">
        <x:v>2</x:v>
      </x:c>
      <x:c r="F1707" s="115" t="str">
        <x:v>Inspection physique</x:v>
      </x:c>
      <x:c r="G1707" s="115" t="str">
        <x:v>1 niveaux ; 34 pièces ; 260 segments de mur ; 0 transitions. Inspection physique ; architecture complète encore ouverte.</x:v>
      </x:c>
      <x:c r="H1707" s="115" t="str">
        <x:v>L 1400 ; l 1400 ; hauteur 8 m ; choix de composition auteur ; dimensions réelles à documenter</x:v>
      </x:c>
      <x:c r="I1707" s="115" t="str">
        <x:v>À équilibrer</x:v>
      </x:c>
      <x:c r="J1707" s="115" t="str">
        <x:v>Non</x:v>
      </x:c>
      <x:c r="K1707" s="115" t="str">
        <x:v>Pièces décrites, murs, portes, niveaux et mobilier inspectables à l’échelle. Volumes réservés, raccord au seed, butin, rencontres et services de campagne restent à terminer.</x:v>
      </x:c>
    </x:row>
    <x:row r="1708" ht="96" customHeight="1">
      <x:c r="A1708" s="115" t="str">
        <x:v>EXT-MONDE-T035-V03</x:v>
      </x:c>
      <x:c r="B1708" s="115" t="str">
        <x:v>EXT-MONDE-T035</x:v>
      </x:c>
      <x:c r="C1708" s="115" t="str">
        <x:v>Échangeurs</x:v>
      </x:c>
      <x:c r="D1708" s="115" t="str">
        <x:v>Trèfle autoroutier</x:v>
      </x:c>
      <x:c r="E1708" s="115" t="n">
        <x:v>3</x:v>
      </x:c>
      <x:c r="F1708" s="115" t="str">
        <x:v>Inspection physique</x:v>
      </x:c>
      <x:c r="G1708" s="115" t="str">
        <x:v>1 niveaux ; 34 pièces ; 260 segments de mur ; 0 transitions. Inspection physique ; architecture complète encore ouverte.</x:v>
      </x:c>
      <x:c r="H1708" s="115" t="str">
        <x:v>L 1400 ; l 1400 ; hauteur 8 m ; choix de composition auteur ; dimensions réelles à documenter</x:v>
      </x:c>
      <x:c r="I1708" s="115" t="str">
        <x:v>À équilibrer</x:v>
      </x:c>
      <x:c r="J1708" s="115" t="str">
        <x:v>Non</x:v>
      </x:c>
      <x:c r="K1708" s="115" t="str">
        <x:v>Pièces décrites, murs, portes, niveaux et mobilier inspectables à l’échelle. Volumes réservés, raccord au seed, butin, rencontres et services de campagne restent à terminer.</x:v>
      </x:c>
    </x:row>
    <x:row r="1709" ht="96" customHeight="1">
      <x:c r="A1709" s="115" t="str">
        <x:v>EXT-MONDE-T035-V04</x:v>
      </x:c>
      <x:c r="B1709" s="115" t="str">
        <x:v>EXT-MONDE-T035</x:v>
      </x:c>
      <x:c r="C1709" s="115" t="str">
        <x:v>Échangeurs</x:v>
      </x:c>
      <x:c r="D1709" s="115" t="str">
        <x:v>Trèfle autoroutier</x:v>
      </x:c>
      <x:c r="E1709" s="115" t="n">
        <x:v>4</x:v>
      </x:c>
      <x:c r="F1709" s="115" t="str">
        <x:v>Inspection physique</x:v>
      </x:c>
      <x:c r="G1709" s="115" t="str">
        <x:v>1 niveaux ; 34 pièces ; 260 segments de mur ; 0 transitions. Inspection physique ; architecture complète encore ouverte.</x:v>
      </x:c>
      <x:c r="H1709" s="115" t="str">
        <x:v>L 1400 ; l 1400 ; hauteur 8 m ; choix de composition auteur ; dimensions réelles à documenter</x:v>
      </x:c>
      <x:c r="I1709" s="115" t="str">
        <x:v>À équilibrer</x:v>
      </x:c>
      <x:c r="J1709" s="115" t="str">
        <x:v>Non</x:v>
      </x:c>
      <x:c r="K1709" s="115" t="str">
        <x:v>Pièces décrites, murs, portes, niveaux et mobilier inspectables à l’échelle. Volumes réservés, raccord au seed, butin, rencontres et services de campagne restent à terminer.</x:v>
      </x:c>
    </x:row>
    <x:row r="1710" ht="96" customHeight="1">
      <x:c r="A1710" s="115" t="str">
        <x:v>EXT-MONDE-T035-V05</x:v>
      </x:c>
      <x:c r="B1710" s="115" t="str">
        <x:v>EXT-MONDE-T035</x:v>
      </x:c>
      <x:c r="C1710" s="115" t="str">
        <x:v>Échangeurs</x:v>
      </x:c>
      <x:c r="D1710" s="115" t="str">
        <x:v>Trèfle autoroutier</x:v>
      </x:c>
      <x:c r="E1710" s="115" t="n">
        <x:v>5</x:v>
      </x:c>
      <x:c r="F1710" s="115" t="str">
        <x:v>Inspection physique</x:v>
      </x:c>
      <x:c r="G1710" s="115" t="str">
        <x:v>1 niveaux ; 34 pièces ; 260 segments de mur ; 0 transitions. Inspection physique ; architecture complète encore ouverte.</x:v>
      </x:c>
      <x:c r="H1710" s="115" t="str">
        <x:v>L 1400 ; l 1400 ; hauteur 8 m ; choix de composition auteur ; dimensions réelles à documenter</x:v>
      </x:c>
      <x:c r="I1710" s="115" t="str">
        <x:v>À équilibrer</x:v>
      </x:c>
      <x:c r="J1710" s="115" t="str">
        <x:v>Non</x:v>
      </x:c>
      <x:c r="K1710" s="115" t="str">
        <x:v>Pièces décrites, murs, portes, niveaux et mobilier inspectables à l’échelle. Volumes réservés, raccord au seed, butin, rencontres et services de campagne restent à terminer.</x:v>
      </x:c>
    </x:row>
    <x:row r="1711" ht="96" customHeight="1">
      <x:c r="A1711" s="115" t="str">
        <x:v>EXT-MONDE-T035-V06</x:v>
      </x:c>
      <x:c r="B1711" s="115" t="str">
        <x:v>EXT-MONDE-T035</x:v>
      </x:c>
      <x:c r="C1711" s="115" t="str">
        <x:v>Échangeurs</x:v>
      </x:c>
      <x:c r="D1711" s="115" t="str">
        <x:v>Trèfle autoroutier</x:v>
      </x:c>
      <x:c r="E1711" s="115" t="n">
        <x:v>6</x:v>
      </x:c>
      <x:c r="F1711" s="115" t="str">
        <x:v>Inspection physique</x:v>
      </x:c>
      <x:c r="G1711" s="115" t="str">
        <x:v>1 niveaux ; 34 pièces ; 260 segments de mur ; 0 transitions. Inspection physique ; architecture complète encore ouverte.</x:v>
      </x:c>
      <x:c r="H1711" s="115" t="str">
        <x:v>L 1400 ; l 1400 ; hauteur 8 m ; choix de composition auteur ; dimensions réelles à documenter</x:v>
      </x:c>
      <x:c r="I1711" s="115" t="str">
        <x:v>À équilibrer</x:v>
      </x:c>
      <x:c r="J1711" s="115" t="str">
        <x:v>Non</x:v>
      </x:c>
      <x:c r="K1711" s="115" t="str">
        <x:v>Pièces décrites, murs, portes, niveaux et mobilier inspectables à l’échelle. Volumes réservés, raccord au seed, butin, rencontres et services de campagne restent à terminer.</x:v>
      </x:c>
    </x:row>
    <x:row r="1712" ht="96" customHeight="1">
      <x:c r="A1712" s="115" t="str">
        <x:v>EXT-MONDE-T035-V07</x:v>
      </x:c>
      <x:c r="B1712" s="115" t="str">
        <x:v>EXT-MONDE-T035</x:v>
      </x:c>
      <x:c r="C1712" s="115" t="str">
        <x:v>Échangeurs</x:v>
      </x:c>
      <x:c r="D1712" s="115" t="str">
        <x:v>Trèfle autoroutier</x:v>
      </x:c>
      <x:c r="E1712" s="115" t="n">
        <x:v>7</x:v>
      </x:c>
      <x:c r="F1712" s="115" t="str">
        <x:v>Inspection physique</x:v>
      </x:c>
      <x:c r="G1712" s="115" t="str">
        <x:v>1 niveaux ; 34 pièces ; 260 segments de mur ; 0 transitions. Inspection physique ; architecture complète encore ouverte.</x:v>
      </x:c>
      <x:c r="H1712" s="115" t="str">
        <x:v>L 1400 ; l 1400 ; hauteur 8 m ; choix de composition auteur ; dimensions réelles à documenter</x:v>
      </x:c>
      <x:c r="I1712" s="115" t="str">
        <x:v>À équilibrer</x:v>
      </x:c>
      <x:c r="J1712" s="115" t="str">
        <x:v>Non</x:v>
      </x:c>
      <x:c r="K1712" s="115" t="str">
        <x:v>Pièces décrites, murs, portes, niveaux et mobilier inspectables à l’échelle. Volumes réservés, raccord au seed, butin, rencontres et services de campagne restent à terminer.</x:v>
      </x:c>
    </x:row>
    <x:row r="1713" ht="96" customHeight="1">
      <x:c r="A1713" s="115" t="str">
        <x:v>EXT-MONDE-T035-V08</x:v>
      </x:c>
      <x:c r="B1713" s="115" t="str">
        <x:v>EXT-MONDE-T035</x:v>
      </x:c>
      <x:c r="C1713" s="115" t="str">
        <x:v>Échangeurs</x:v>
      </x:c>
      <x:c r="D1713" s="115" t="str">
        <x:v>Trèfle autoroutier</x:v>
      </x:c>
      <x:c r="E1713" s="115" t="n">
        <x:v>8</x:v>
      </x:c>
      <x:c r="F1713" s="115" t="str">
        <x:v>Inspection physique</x:v>
      </x:c>
      <x:c r="G1713" s="115" t="str">
        <x:v>1 niveaux ; 34 pièces ; 260 segments de mur ; 0 transitions. Inspection physique ; architecture complète encore ouverte.</x:v>
      </x:c>
      <x:c r="H1713" s="115" t="str">
        <x:v>L 1400 ; l 1400 ; hauteur 8 m ; choix de composition auteur ; dimensions réelles à documenter</x:v>
      </x:c>
      <x:c r="I1713" s="115" t="str">
        <x:v>À équilibrer</x:v>
      </x:c>
      <x:c r="J1713" s="115" t="str">
        <x:v>Non</x:v>
      </x:c>
      <x:c r="K1713" s="115" t="str">
        <x:v>Pièces décrites, murs, portes, niveaux et mobilier inspectables à l’échelle. Volumes réservés, raccord au seed, butin, rencontres et services de campagne restent à terminer.</x:v>
      </x:c>
    </x:row>
    <x:row r="1714" ht="96" customHeight="1">
      <x:c r="A1714" s="115" t="str">
        <x:v>EXT-MONDE-T035-V09</x:v>
      </x:c>
      <x:c r="B1714" s="115" t="str">
        <x:v>EXT-MONDE-T035</x:v>
      </x:c>
      <x:c r="C1714" s="115" t="str">
        <x:v>Échangeurs</x:v>
      </x:c>
      <x:c r="D1714" s="115" t="str">
        <x:v>Trèfle autoroutier</x:v>
      </x:c>
      <x:c r="E1714" s="115" t="n">
        <x:v>9</x:v>
      </x:c>
      <x:c r="F1714" s="115" t="str">
        <x:v>Inspection physique</x:v>
      </x:c>
      <x:c r="G1714" s="115" t="str">
        <x:v>1 niveaux ; 34 pièces ; 260 segments de mur ; 0 transitions. Inspection physique ; architecture complète encore ouverte.</x:v>
      </x:c>
      <x:c r="H1714" s="115" t="str">
        <x:v>L 1400 ; l 1400 ; hauteur 8 m ; choix de composition auteur ; dimensions réelles à documenter</x:v>
      </x:c>
      <x:c r="I1714" s="115" t="str">
        <x:v>À équilibrer</x:v>
      </x:c>
      <x:c r="J1714" s="115" t="str">
        <x:v>Non</x:v>
      </x:c>
      <x:c r="K1714" s="115" t="str">
        <x:v>Pièces décrites, murs, portes, niveaux et mobilier inspectables à l’échelle. Volumes réservés, raccord au seed, butin, rencontres et services de campagne restent à terminer.</x:v>
      </x:c>
    </x:row>
    <x:row r="1715" ht="96" customHeight="1">
      <x:c r="A1715" s="115" t="str">
        <x:v>EXT-MONDE-T035-V10</x:v>
      </x:c>
      <x:c r="B1715" s="115" t="str">
        <x:v>EXT-MONDE-T035</x:v>
      </x:c>
      <x:c r="C1715" s="115" t="str">
        <x:v>Échangeurs</x:v>
      </x:c>
      <x:c r="D1715" s="115" t="str">
        <x:v>Trèfle autoroutier</x:v>
      </x:c>
      <x:c r="E1715" s="115" t="n">
        <x:v>10</x:v>
      </x:c>
      <x:c r="F1715" s="115" t="str">
        <x:v>Inspection physique</x:v>
      </x:c>
      <x:c r="G1715" s="115" t="str">
        <x:v>1 niveaux ; 34 pièces ; 260 segments de mur ; 0 transitions. Inspection physique ; architecture complète encore ouverte.</x:v>
      </x:c>
      <x:c r="H1715" s="115" t="str">
        <x:v>L 1400 ; l 1400 ; hauteur 8 m ; choix de composition auteur ; dimensions réelles à documenter</x:v>
      </x:c>
      <x:c r="I1715" s="115" t="str">
        <x:v>À équilibrer</x:v>
      </x:c>
      <x:c r="J1715" s="115" t="str">
        <x:v>Non</x:v>
      </x:c>
      <x:c r="K1715" s="115" t="str">
        <x:v>Pièces décrites, murs, portes, niveaux et mobilier inspectables à l’échelle. Volumes réservés, raccord au seed, butin, rencontres et services de campagne restent à terminer.</x:v>
      </x:c>
    </x:row>
    <x:row r="1716" ht="96" customHeight="1">
      <x:c r="A1716" s="115" t="str">
        <x:v>EXT-MONDE-T035-V11</x:v>
      </x:c>
      <x:c r="B1716" s="115" t="str">
        <x:v>EXT-MONDE-T035</x:v>
      </x:c>
      <x:c r="C1716" s="115" t="str">
        <x:v>Échangeurs</x:v>
      </x:c>
      <x:c r="D1716" s="115" t="str">
        <x:v>Trèfle autoroutier</x:v>
      </x:c>
      <x:c r="E1716" s="115" t="n">
        <x:v>11</x:v>
      </x:c>
      <x:c r="F1716" s="115" t="str">
        <x:v>Inspection physique</x:v>
      </x:c>
      <x:c r="G1716" s="115" t="str">
        <x:v>1 niveaux ; 34 pièces ; 260 segments de mur ; 0 transitions. Inspection physique ; architecture complète encore ouverte.</x:v>
      </x:c>
      <x:c r="H1716" s="115" t="str">
        <x:v>L 1480 ; l 1560 ; hauteur 8 m ; choix de composition auteur ; dimensions réelles à documenter</x:v>
      </x:c>
      <x:c r="I1716" s="115" t="str">
        <x:v>À équilibrer</x:v>
      </x:c>
      <x:c r="J1716" s="115" t="str">
        <x:v>Non</x:v>
      </x:c>
      <x:c r="K1716" s="115" t="str">
        <x:v>Pièces décrites, murs, portes, niveaux et mobilier inspectables à l’échelle. Volumes réservés, raccord au seed, butin, rencontres et services de campagne restent à terminer.</x:v>
      </x:c>
    </x:row>
    <x:row r="1717" ht="96" customHeight="1">
      <x:c r="A1717" s="115" t="str">
        <x:v>EXT-MONDE-T035-V12</x:v>
      </x:c>
      <x:c r="B1717" s="115" t="str">
        <x:v>EXT-MONDE-T035</x:v>
      </x:c>
      <x:c r="C1717" s="115" t="str">
        <x:v>Échangeurs</x:v>
      </x:c>
      <x:c r="D1717" s="115" t="str">
        <x:v>Trèfle autoroutier</x:v>
      </x:c>
      <x:c r="E1717" s="115" t="n">
        <x:v>12</x:v>
      </x:c>
      <x:c r="F1717" s="115" t="str">
        <x:v>Inspection physique</x:v>
      </x:c>
      <x:c r="G1717" s="115" t="str">
        <x:v>1 niveaux ; 34 pièces ; 260 segments de mur ; 0 transitions. Inspection physique ; architecture complète encore ouverte.</x:v>
      </x:c>
      <x:c r="H1717" s="115" t="str">
        <x:v>L 1480 ; l 1560 ; hauteur 8 m ; choix de composition auteur ; dimensions réelles à documenter</x:v>
      </x:c>
      <x:c r="I1717" s="115" t="str">
        <x:v>À équilibrer</x:v>
      </x:c>
      <x:c r="J1717" s="115" t="str">
        <x:v>Non</x:v>
      </x:c>
      <x:c r="K1717" s="115" t="str">
        <x:v>Pièces décrites, murs, portes, niveaux et mobilier inspectables à l’échelle. Volumes réservés, raccord au seed, butin, rencontres et services de campagne restent à terminer.</x:v>
      </x:c>
    </x:row>
    <x:row r="1718" ht="96" customHeight="1">
      <x:c r="A1718" s="115" t="str">
        <x:v>EXT-MONDE-T035-V13</x:v>
      </x:c>
      <x:c r="B1718" s="115" t="str">
        <x:v>EXT-MONDE-T035</x:v>
      </x:c>
      <x:c r="C1718" s="115" t="str">
        <x:v>Échangeurs</x:v>
      </x:c>
      <x:c r="D1718" s="115" t="str">
        <x:v>Trèfle autoroutier</x:v>
      </x:c>
      <x:c r="E1718" s="115" t="n">
        <x:v>13</x:v>
      </x:c>
      <x:c r="F1718" s="115" t="str">
        <x:v>Inspection physique</x:v>
      </x:c>
      <x:c r="G1718" s="115" t="str">
        <x:v>1 niveaux ; 34 pièces ; 260 segments de mur ; 0 transitions. Inspection physique ; architecture complète encore ouverte.</x:v>
      </x:c>
      <x:c r="H1718" s="115" t="str">
        <x:v>L 1480 ; l 1560 ; hauteur 8 m ; choix de composition auteur ; dimensions réelles à documenter</x:v>
      </x:c>
      <x:c r="I1718" s="115" t="str">
        <x:v>À équilibrer</x:v>
      </x:c>
      <x:c r="J1718" s="115" t="str">
        <x:v>Non</x:v>
      </x:c>
      <x:c r="K1718" s="115" t="str">
        <x:v>Pièces décrites, murs, portes, niveaux et mobilier inspectables à l’échelle. Volumes réservés, raccord au seed, butin, rencontres et services de campagne restent à terminer.</x:v>
      </x:c>
    </x:row>
    <x:row r="1719" ht="96" customHeight="1">
      <x:c r="A1719" s="115" t="str">
        <x:v>EXT-MONDE-T035-V14</x:v>
      </x:c>
      <x:c r="B1719" s="115" t="str">
        <x:v>EXT-MONDE-T035</x:v>
      </x:c>
      <x:c r="C1719" s="115" t="str">
        <x:v>Échangeurs</x:v>
      </x:c>
      <x:c r="D1719" s="115" t="str">
        <x:v>Trèfle autoroutier</x:v>
      </x:c>
      <x:c r="E1719" s="115" t="n">
        <x:v>14</x:v>
      </x:c>
      <x:c r="F1719" s="115" t="str">
        <x:v>Inspection physique</x:v>
      </x:c>
      <x:c r="G1719" s="115" t="str">
        <x:v>1 niveaux ; 34 pièces ; 260 segments de mur ; 0 transitions. Inspection physique ; architecture complète encore ouverte.</x:v>
      </x:c>
      <x:c r="H1719" s="115" t="str">
        <x:v>L 1480 ; l 1560 ; hauteur 8 m ; choix de composition auteur ; dimensions réelles à documenter</x:v>
      </x:c>
      <x:c r="I1719" s="115" t="str">
        <x:v>À équilibrer</x:v>
      </x:c>
      <x:c r="J1719" s="115" t="str">
        <x:v>Non</x:v>
      </x:c>
      <x:c r="K1719" s="115" t="str">
        <x:v>Pièces décrites, murs, portes, niveaux et mobilier inspectables à l’échelle. Volumes réservés, raccord au seed, butin, rencontres et services de campagne restent à terminer.</x:v>
      </x:c>
    </x:row>
    <x:row r="1720" ht="96" customHeight="1">
      <x:c r="A1720" s="115" t="str">
        <x:v>EXT-MONDE-T035-V15</x:v>
      </x:c>
      <x:c r="B1720" s="115" t="str">
        <x:v>EXT-MONDE-T035</x:v>
      </x:c>
      <x:c r="C1720" s="115" t="str">
        <x:v>Échangeurs</x:v>
      </x:c>
      <x:c r="D1720" s="115" t="str">
        <x:v>Trèfle autoroutier</x:v>
      </x:c>
      <x:c r="E1720" s="115" t="n">
        <x:v>15</x:v>
      </x:c>
      <x:c r="F1720" s="115" t="str">
        <x:v>Inspection physique</x:v>
      </x:c>
      <x:c r="G1720" s="115" t="str">
        <x:v>1 niveaux ; 34 pièces ; 260 segments de mur ; 0 transitions. Inspection physique ; architecture complète encore ouverte.</x:v>
      </x:c>
      <x:c r="H1720" s="115" t="str">
        <x:v>L 1480 ; l 1560 ; hauteur 8 m ; choix de composition auteur ; dimensions réelles à documenter</x:v>
      </x:c>
      <x:c r="I1720" s="115" t="str">
        <x:v>À équilibrer</x:v>
      </x:c>
      <x:c r="J1720" s="115" t="str">
        <x:v>Non</x:v>
      </x:c>
      <x:c r="K1720" s="115" t="str">
        <x:v>Pièces décrites, murs, portes, niveaux et mobilier inspectables à l’échelle. Volumes réservés, raccord au seed, butin, rencontres et services de campagne restent à terminer.</x:v>
      </x:c>
    </x:row>
    <x:row r="1721" ht="96" customHeight="1">
      <x:c r="A1721" s="115" t="str">
        <x:v>EXT-MONDE-T035-V16</x:v>
      </x:c>
      <x:c r="B1721" s="115" t="str">
        <x:v>EXT-MONDE-T035</x:v>
      </x:c>
      <x:c r="C1721" s="115" t="str">
        <x:v>Échangeurs</x:v>
      </x:c>
      <x:c r="D1721" s="115" t="str">
        <x:v>Trèfle autoroutier</x:v>
      </x:c>
      <x:c r="E1721" s="115" t="n">
        <x:v>16</x:v>
      </x:c>
      <x:c r="F1721" s="115" t="str">
        <x:v>Inspection physique</x:v>
      </x:c>
      <x:c r="G1721" s="115" t="str">
        <x:v>1 niveaux ; 34 pièces ; 260 segments de mur ; 0 transitions. Inspection physique ; architecture complète encore ouverte.</x:v>
      </x:c>
      <x:c r="H1721" s="115" t="str">
        <x:v>L 1480 ; l 1560 ; hauteur 8 m ; choix de composition auteur ; dimensions réelles à documenter</x:v>
      </x:c>
      <x:c r="I1721" s="115" t="str">
        <x:v>À équilibrer</x:v>
      </x:c>
      <x:c r="J1721" s="115" t="str">
        <x:v>Non</x:v>
      </x:c>
      <x:c r="K1721" s="115" t="str">
        <x:v>Pièces décrites, murs, portes, niveaux et mobilier inspectables à l’échelle. Volumes réservés, raccord au seed, butin, rencontres et services de campagne restent à terminer.</x:v>
      </x:c>
    </x:row>
    <x:row r="1722" ht="96" customHeight="1">
      <x:c r="A1722" s="115" t="str">
        <x:v>EXT-MONDE-T035-V17</x:v>
      </x:c>
      <x:c r="B1722" s="115" t="str">
        <x:v>EXT-MONDE-T035</x:v>
      </x:c>
      <x:c r="C1722" s="115" t="str">
        <x:v>Échangeurs</x:v>
      </x:c>
      <x:c r="D1722" s="115" t="str">
        <x:v>Trèfle autoroutier</x:v>
      </x:c>
      <x:c r="E1722" s="115" t="n">
        <x:v>17</x:v>
      </x:c>
      <x:c r="F1722" s="115" t="str">
        <x:v>Inspection physique</x:v>
      </x:c>
      <x:c r="G1722" s="115" t="str">
        <x:v>1 niveaux ; 34 pièces ; 260 segments de mur ; 0 transitions. Inspection physique ; architecture complète encore ouverte.</x:v>
      </x:c>
      <x:c r="H1722" s="115" t="str">
        <x:v>L 1480 ; l 1560 ; hauteur 8 m ; choix de composition auteur ; dimensions réelles à documenter</x:v>
      </x:c>
      <x:c r="I1722" s="115" t="str">
        <x:v>À équilibrer</x:v>
      </x:c>
      <x:c r="J1722" s="115" t="str">
        <x:v>Non</x:v>
      </x:c>
      <x:c r="K1722" s="115" t="str">
        <x:v>Pièces décrites, murs, portes, niveaux et mobilier inspectables à l’échelle. Volumes réservés, raccord au seed, butin, rencontres et services de campagne restent à terminer.</x:v>
      </x:c>
    </x:row>
    <x:row r="1723" ht="96" customHeight="1">
      <x:c r="A1723" s="115" t="str">
        <x:v>EXT-MONDE-T035-V18</x:v>
      </x:c>
      <x:c r="B1723" s="115" t="str">
        <x:v>EXT-MONDE-T035</x:v>
      </x:c>
      <x:c r="C1723" s="115" t="str">
        <x:v>Échangeurs</x:v>
      </x:c>
      <x:c r="D1723" s="115" t="str">
        <x:v>Trèfle autoroutier</x:v>
      </x:c>
      <x:c r="E1723" s="115" t="n">
        <x:v>18</x:v>
      </x:c>
      <x:c r="F1723" s="115" t="str">
        <x:v>Inspection physique</x:v>
      </x:c>
      <x:c r="G1723" s="115" t="str">
        <x:v>1 niveaux ; 34 pièces ; 260 segments de mur ; 0 transitions. Inspection physique ; architecture complète encore ouverte.</x:v>
      </x:c>
      <x:c r="H1723" s="115" t="str">
        <x:v>L 1480 ; l 1560 ; hauteur 8 m ; choix de composition auteur ; dimensions réelles à documenter</x:v>
      </x:c>
      <x:c r="I1723" s="115" t="str">
        <x:v>À équilibrer</x:v>
      </x:c>
      <x:c r="J1723" s="115" t="str">
        <x:v>Non</x:v>
      </x:c>
      <x:c r="K1723" s="115" t="str">
        <x:v>Pièces décrites, murs, portes, niveaux et mobilier inspectables à l’échelle. Volumes réservés, raccord au seed, butin, rencontres et services de campagne restent à terminer.</x:v>
      </x:c>
    </x:row>
    <x:row r="1724" ht="96" customHeight="1">
      <x:c r="A1724" s="115" t="str">
        <x:v>EXT-MONDE-T035-V19</x:v>
      </x:c>
      <x:c r="B1724" s="115" t="str">
        <x:v>EXT-MONDE-T035</x:v>
      </x:c>
      <x:c r="C1724" s="115" t="str">
        <x:v>Échangeurs</x:v>
      </x:c>
      <x:c r="D1724" s="115" t="str">
        <x:v>Trèfle autoroutier</x:v>
      </x:c>
      <x:c r="E1724" s="115" t="n">
        <x:v>19</x:v>
      </x:c>
      <x:c r="F1724" s="115" t="str">
        <x:v>Inspection physique</x:v>
      </x:c>
      <x:c r="G1724" s="115" t="str">
        <x:v>1 niveaux ; 34 pièces ; 260 segments de mur ; 0 transitions. Inspection physique ; architecture complète encore ouverte.</x:v>
      </x:c>
      <x:c r="H1724" s="115" t="str">
        <x:v>L 1480 ; l 1560 ; hauteur 8 m ; choix de composition auteur ; dimensions réelles à documenter</x:v>
      </x:c>
      <x:c r="I1724" s="115" t="str">
        <x:v>À équilibrer</x:v>
      </x:c>
      <x:c r="J1724" s="115" t="str">
        <x:v>Non</x:v>
      </x:c>
      <x:c r="K1724" s="115" t="str">
        <x:v>Pièces décrites, murs, portes, niveaux et mobilier inspectables à l’échelle. Volumes réservés, raccord au seed, butin, rencontres et services de campagne restent à terminer.</x:v>
      </x:c>
    </x:row>
    <x:row r="1725" ht="96" customHeight="1">
      <x:c r="A1725" s="115" t="str">
        <x:v>EXT-MONDE-T035-V20</x:v>
      </x:c>
      <x:c r="B1725" s="115" t="str">
        <x:v>EXT-MONDE-T035</x:v>
      </x:c>
      <x:c r="C1725" s="115" t="str">
        <x:v>Échangeurs</x:v>
      </x:c>
      <x:c r="D1725" s="115" t="str">
        <x:v>Trèfle autoroutier</x:v>
      </x:c>
      <x:c r="E1725" s="115" t="n">
        <x:v>20</x:v>
      </x:c>
      <x:c r="F1725" s="115" t="str">
        <x:v>Inspection physique</x:v>
      </x:c>
      <x:c r="G1725" s="115" t="str">
        <x:v>1 niveaux ; 34 pièces ; 260 segments de mur ; 0 transitions. Inspection physique ; architecture complète encore ouverte.</x:v>
      </x:c>
      <x:c r="H1725" s="115" t="str">
        <x:v>L 1480 ; l 1560 ; hauteur 8 m ; choix de composition auteur ; dimensions réelles à documenter</x:v>
      </x:c>
      <x:c r="I1725" s="115" t="str">
        <x:v>À équilibrer</x:v>
      </x:c>
      <x:c r="J1725" s="115" t="str">
        <x:v>Non</x:v>
      </x:c>
      <x:c r="K1725" s="115" t="str">
        <x:v>Pièces décrites, murs, portes, niveaux et mobilier inspectables à l’échelle. Volumes réservés, raccord au seed, butin, rencontres et services de campagne restent à terminer.</x:v>
      </x:c>
    </x:row>
    <x:row r="1726" ht="96" customHeight="1">
      <x:c r="A1726" s="115" t="str">
        <x:v>EXT-MONDE-T035-V21</x:v>
      </x:c>
      <x:c r="B1726" s="115" t="str">
        <x:v>EXT-MONDE-T035</x:v>
      </x:c>
      <x:c r="C1726" s="115" t="str">
        <x:v>Échangeurs</x:v>
      </x:c>
      <x:c r="D1726" s="115" t="str">
        <x:v>Trèfle autoroutier</x:v>
      </x:c>
      <x:c r="E1726" s="115" t="n">
        <x:v>21</x:v>
      </x:c>
      <x:c r="F1726" s="115" t="str">
        <x:v>Inspection physique</x:v>
      </x:c>
      <x:c r="G1726" s="115" t="str">
        <x:v>1 niveaux ; 34 pièces ; 260 segments de mur ; 0 transitions. Inspection physique ; architecture complète encore ouverte.</x:v>
      </x:c>
      <x:c r="H1726" s="115" t="str">
        <x:v>L 1560 ; l 1720 ; hauteur 8 m ; choix de composition auteur ; dimensions réelles à documenter</x:v>
      </x:c>
      <x:c r="I1726" s="115" t="str">
        <x:v>À équilibrer</x:v>
      </x:c>
      <x:c r="J1726" s="115" t="str">
        <x:v>Non</x:v>
      </x:c>
      <x:c r="K1726" s="115" t="str">
        <x:v>Pièces décrites, murs, portes, niveaux et mobilier inspectables à l’échelle. Volumes réservés, raccord au seed, butin, rencontres et services de campagne restent à terminer.</x:v>
      </x:c>
    </x:row>
    <x:row r="1727" ht="96" customHeight="1">
      <x:c r="A1727" s="115" t="str">
        <x:v>EXT-MONDE-T035-V22</x:v>
      </x:c>
      <x:c r="B1727" s="115" t="str">
        <x:v>EXT-MONDE-T035</x:v>
      </x:c>
      <x:c r="C1727" s="115" t="str">
        <x:v>Échangeurs</x:v>
      </x:c>
      <x:c r="D1727" s="115" t="str">
        <x:v>Trèfle autoroutier</x:v>
      </x:c>
      <x:c r="E1727" s="115" t="n">
        <x:v>22</x:v>
      </x:c>
      <x:c r="F1727" s="115" t="str">
        <x:v>Inspection physique</x:v>
      </x:c>
      <x:c r="G1727" s="115" t="str">
        <x:v>1 niveaux ; 34 pièces ; 260 segments de mur ; 0 transitions. Inspection physique ; architecture complète encore ouverte.</x:v>
      </x:c>
      <x:c r="H1727" s="115" t="str">
        <x:v>L 1560 ; l 1720 ; hauteur 8 m ; choix de composition auteur ; dimensions réelles à documenter</x:v>
      </x:c>
      <x:c r="I1727" s="115" t="str">
        <x:v>À équilibrer</x:v>
      </x:c>
      <x:c r="J1727" s="115" t="str">
        <x:v>Non</x:v>
      </x:c>
      <x:c r="K1727" s="115" t="str">
        <x:v>Pièces décrites, murs, portes, niveaux et mobilier inspectables à l’échelle. Volumes réservés, raccord au seed, butin, rencontres et services de campagne restent à terminer.</x:v>
      </x:c>
    </x:row>
    <x:row r="1728" ht="96" customHeight="1">
      <x:c r="A1728" s="115" t="str">
        <x:v>EXT-MONDE-T035-V23</x:v>
      </x:c>
      <x:c r="B1728" s="115" t="str">
        <x:v>EXT-MONDE-T035</x:v>
      </x:c>
      <x:c r="C1728" s="115" t="str">
        <x:v>Échangeurs</x:v>
      </x:c>
      <x:c r="D1728" s="115" t="str">
        <x:v>Trèfle autoroutier</x:v>
      </x:c>
      <x:c r="E1728" s="115" t="n">
        <x:v>23</x:v>
      </x:c>
      <x:c r="F1728" s="115" t="str">
        <x:v>Inspection physique</x:v>
      </x:c>
      <x:c r="G1728" s="115" t="str">
        <x:v>1 niveaux ; 34 pièces ; 260 segments de mur ; 0 transitions. Inspection physique ; architecture complète encore ouverte.</x:v>
      </x:c>
      <x:c r="H1728" s="115" t="str">
        <x:v>L 1560 ; l 1720 ; hauteur 8 m ; choix de composition auteur ; dimensions réelles à documenter</x:v>
      </x:c>
      <x:c r="I1728" s="115" t="str">
        <x:v>À équilibrer</x:v>
      </x:c>
      <x:c r="J1728" s="115" t="str">
        <x:v>Non</x:v>
      </x:c>
      <x:c r="K1728" s="115" t="str">
        <x:v>Pièces décrites, murs, portes, niveaux et mobilier inspectables à l’échelle. Volumes réservés, raccord au seed, butin, rencontres et services de campagne restent à terminer.</x:v>
      </x:c>
    </x:row>
    <x:row r="1729" ht="96" customHeight="1">
      <x:c r="A1729" s="115" t="str">
        <x:v>EXT-MONDE-T035-V24</x:v>
      </x:c>
      <x:c r="B1729" s="115" t="str">
        <x:v>EXT-MONDE-T035</x:v>
      </x:c>
      <x:c r="C1729" s="115" t="str">
        <x:v>Échangeurs</x:v>
      </x:c>
      <x:c r="D1729" s="115" t="str">
        <x:v>Trèfle autoroutier</x:v>
      </x:c>
      <x:c r="E1729" s="115" t="n">
        <x:v>24</x:v>
      </x:c>
      <x:c r="F1729" s="115" t="str">
        <x:v>Inspection physique</x:v>
      </x:c>
      <x:c r="G1729" s="115" t="str">
        <x:v>1 niveaux ; 34 pièces ; 260 segments de mur ; 0 transitions. Inspection physique ; architecture complète encore ouverte.</x:v>
      </x:c>
      <x:c r="H1729" s="115" t="str">
        <x:v>L 1560 ; l 1720 ; hauteur 8 m ; choix de composition auteur ; dimensions réelles à documenter</x:v>
      </x:c>
      <x:c r="I1729" s="115" t="str">
        <x:v>À équilibrer</x:v>
      </x:c>
      <x:c r="J1729" s="115" t="str">
        <x:v>Non</x:v>
      </x:c>
      <x:c r="K1729" s="115" t="str">
        <x:v>Pièces décrites, murs, portes, niveaux et mobilier inspectables à l’échelle. Volumes réservés, raccord au seed, butin, rencontres et services de campagne restent à terminer.</x:v>
      </x:c>
    </x:row>
    <x:row r="1730" ht="96" customHeight="1">
      <x:c r="A1730" s="115" t="str">
        <x:v>EXT-MONDE-T035-V25</x:v>
      </x:c>
      <x:c r="B1730" s="115" t="str">
        <x:v>EXT-MONDE-T035</x:v>
      </x:c>
      <x:c r="C1730" s="115" t="str">
        <x:v>Échangeurs</x:v>
      </x:c>
      <x:c r="D1730" s="115" t="str">
        <x:v>Trèfle autoroutier</x:v>
      </x:c>
      <x:c r="E1730" s="115" t="n">
        <x:v>25</x:v>
      </x:c>
      <x:c r="F1730" s="115" t="str">
        <x:v>Inspection physique</x:v>
      </x:c>
      <x:c r="G1730" s="115" t="str">
        <x:v>1 niveaux ; 34 pièces ; 260 segments de mur ; 0 transitions. Inspection physique ; architecture complète encore ouverte.</x:v>
      </x:c>
      <x:c r="H1730" s="115" t="str">
        <x:v>L 1560 ; l 1720 ; hauteur 8 m ; choix de composition auteur ; dimensions réelles à documenter</x:v>
      </x:c>
      <x:c r="I1730" s="115" t="str">
        <x:v>À équilibrer</x:v>
      </x:c>
      <x:c r="J1730" s="115" t="str">
        <x:v>Non</x:v>
      </x:c>
      <x:c r="K1730" s="115" t="str">
        <x:v>Pièces décrites, murs, portes, niveaux et mobilier inspectables à l’échelle. Volumes réservés, raccord au seed, butin, rencontres et services de campagne restent à terminer.</x:v>
      </x:c>
    </x:row>
    <x:row r="1731" ht="96" customHeight="1">
      <x:c r="A1731" s="115" t="str">
        <x:v>EXT-MONDE-T035-V26</x:v>
      </x:c>
      <x:c r="B1731" s="115" t="str">
        <x:v>EXT-MONDE-T035</x:v>
      </x:c>
      <x:c r="C1731" s="115" t="str">
        <x:v>Échangeurs</x:v>
      </x:c>
      <x:c r="D1731" s="115" t="str">
        <x:v>Trèfle autoroutier</x:v>
      </x:c>
      <x:c r="E1731" s="115" t="n">
        <x:v>26</x:v>
      </x:c>
      <x:c r="F1731" s="115" t="str">
        <x:v>Inspection physique</x:v>
      </x:c>
      <x:c r="G1731" s="115" t="str">
        <x:v>1 niveaux ; 34 pièces ; 260 segments de mur ; 0 transitions. Inspection physique ; architecture complète encore ouverte.</x:v>
      </x:c>
      <x:c r="H1731" s="115" t="str">
        <x:v>L 1560 ; l 1720 ; hauteur 8 m ; choix de composition auteur ; dimensions réelles à documenter</x:v>
      </x:c>
      <x:c r="I1731" s="115" t="str">
        <x:v>À équilibrer</x:v>
      </x:c>
      <x:c r="J1731" s="115" t="str">
        <x:v>Non</x:v>
      </x:c>
      <x:c r="K1731" s="115" t="str">
        <x:v>Pièces décrites, murs, portes, niveaux et mobilier inspectables à l’échelle. Volumes réservés, raccord au seed, butin, rencontres et services de campagne restent à terminer.</x:v>
      </x:c>
    </x:row>
    <x:row r="1732" ht="96" customHeight="1">
      <x:c r="A1732" s="115" t="str">
        <x:v>EXT-MONDE-T035-V27</x:v>
      </x:c>
      <x:c r="B1732" s="115" t="str">
        <x:v>EXT-MONDE-T035</x:v>
      </x:c>
      <x:c r="C1732" s="115" t="str">
        <x:v>Échangeurs</x:v>
      </x:c>
      <x:c r="D1732" s="115" t="str">
        <x:v>Trèfle autoroutier</x:v>
      </x:c>
      <x:c r="E1732" s="115" t="n">
        <x:v>27</x:v>
      </x:c>
      <x:c r="F1732" s="115" t="str">
        <x:v>Inspection physique</x:v>
      </x:c>
      <x:c r="G1732" s="115" t="str">
        <x:v>1 niveaux ; 34 pièces ; 260 segments de mur ; 0 transitions. Inspection physique ; architecture complète encore ouverte.</x:v>
      </x:c>
      <x:c r="H1732" s="115" t="str">
        <x:v>L 1560 ; l 1720 ; hauteur 8 m ; choix de composition auteur ; dimensions réelles à documenter</x:v>
      </x:c>
      <x:c r="I1732" s="115" t="str">
        <x:v>À équilibrer</x:v>
      </x:c>
      <x:c r="J1732" s="115" t="str">
        <x:v>Non</x:v>
      </x:c>
      <x:c r="K1732" s="115" t="str">
        <x:v>Pièces décrites, murs, portes, niveaux et mobilier inspectables à l’échelle. Volumes réservés, raccord au seed, butin, rencontres et services de campagne restent à terminer.</x:v>
      </x:c>
    </x:row>
    <x:row r="1733" ht="96" customHeight="1">
      <x:c r="A1733" s="115" t="str">
        <x:v>EXT-MONDE-T035-V28</x:v>
      </x:c>
      <x:c r="B1733" s="115" t="str">
        <x:v>EXT-MONDE-T035</x:v>
      </x:c>
      <x:c r="C1733" s="115" t="str">
        <x:v>Échangeurs</x:v>
      </x:c>
      <x:c r="D1733" s="115" t="str">
        <x:v>Trèfle autoroutier</x:v>
      </x:c>
      <x:c r="E1733" s="115" t="n">
        <x:v>28</x:v>
      </x:c>
      <x:c r="F1733" s="115" t="str">
        <x:v>Inspection physique</x:v>
      </x:c>
      <x:c r="G1733" s="115" t="str">
        <x:v>1 niveaux ; 34 pièces ; 260 segments de mur ; 0 transitions. Inspection physique ; architecture complète encore ouverte.</x:v>
      </x:c>
      <x:c r="H1733" s="115" t="str">
        <x:v>L 1560 ; l 1720 ; hauteur 8 m ; choix de composition auteur ; dimensions réelles à documenter</x:v>
      </x:c>
      <x:c r="I1733" s="115" t="str">
        <x:v>À équilibrer</x:v>
      </x:c>
      <x:c r="J1733" s="115" t="str">
        <x:v>Non</x:v>
      </x:c>
      <x:c r="K1733" s="115" t="str">
        <x:v>Pièces décrites, murs, portes, niveaux et mobilier inspectables à l’échelle. Volumes réservés, raccord au seed, butin, rencontres et services de campagne restent à terminer.</x:v>
      </x:c>
    </x:row>
    <x:row r="1734" ht="96" customHeight="1">
      <x:c r="A1734" s="115" t="str">
        <x:v>EXT-MONDE-T035-V29</x:v>
      </x:c>
      <x:c r="B1734" s="115" t="str">
        <x:v>EXT-MONDE-T035</x:v>
      </x:c>
      <x:c r="C1734" s="115" t="str">
        <x:v>Échangeurs</x:v>
      </x:c>
      <x:c r="D1734" s="115" t="str">
        <x:v>Trèfle autoroutier</x:v>
      </x:c>
      <x:c r="E1734" s="115" t="n">
        <x:v>29</x:v>
      </x:c>
      <x:c r="F1734" s="115" t="str">
        <x:v>Inspection physique</x:v>
      </x:c>
      <x:c r="G1734" s="115" t="str">
        <x:v>1 niveaux ; 34 pièces ; 260 segments de mur ; 0 transitions. Inspection physique ; architecture complète encore ouverte.</x:v>
      </x:c>
      <x:c r="H1734" s="115" t="str">
        <x:v>L 1560 ; l 1720 ; hauteur 8 m ; choix de composition auteur ; dimensions réelles à documenter</x:v>
      </x:c>
      <x:c r="I1734" s="115" t="str">
        <x:v>À équilibrer</x:v>
      </x:c>
      <x:c r="J1734" s="115" t="str">
        <x:v>Non</x:v>
      </x:c>
      <x:c r="K1734" s="115" t="str">
        <x:v>Pièces décrites, murs, portes, niveaux et mobilier inspectables à l’échelle. Volumes réservés, raccord au seed, butin, rencontres et services de campagne restent à terminer.</x:v>
      </x:c>
    </x:row>
    <x:row r="1735" ht="96" customHeight="1">
      <x:c r="A1735" s="115" t="str">
        <x:v>EXT-MONDE-T035-V30</x:v>
      </x:c>
      <x:c r="B1735" s="115" t="str">
        <x:v>EXT-MONDE-T035</x:v>
      </x:c>
      <x:c r="C1735" s="115" t="str">
        <x:v>Échangeurs</x:v>
      </x:c>
      <x:c r="D1735" s="115" t="str">
        <x:v>Trèfle autoroutier</x:v>
      </x:c>
      <x:c r="E1735" s="115" t="n">
        <x:v>30</x:v>
      </x:c>
      <x:c r="F1735" s="115" t="str">
        <x:v>Inspection physique</x:v>
      </x:c>
      <x:c r="G1735" s="115" t="str">
        <x:v>1 niveaux ; 34 pièces ; 260 segments de mur ; 0 transitions. Inspection physique ; architecture complète encore ouverte.</x:v>
      </x:c>
      <x:c r="H1735" s="115" t="str">
        <x:v>L 1560 ; l 1720 ; hauteur 8 m ; choix de composition auteur ; dimensions réelles à documenter</x:v>
      </x:c>
      <x:c r="I1735" s="115" t="str">
        <x:v>À équilibrer</x:v>
      </x:c>
      <x:c r="J1735" s="115" t="str">
        <x:v>Non</x:v>
      </x:c>
      <x:c r="K1735" s="115" t="str">
        <x:v>Pièces décrites, murs, portes, niveaux et mobilier inspectables à l’échelle. Volumes réservés, raccord au seed, butin, rencontres et services de campagne restent à terminer.</x:v>
      </x:c>
    </x:row>
    <x:row r="1736" ht="96" customHeight="1">
      <x:c r="A1736" s="115" t="str">
        <x:v>EXT-MONDE-T035-V31</x:v>
      </x:c>
      <x:c r="B1736" s="115" t="str">
        <x:v>EXT-MONDE-T035</x:v>
      </x:c>
      <x:c r="C1736" s="115" t="str">
        <x:v>Échangeurs</x:v>
      </x:c>
      <x:c r="D1736" s="115" t="str">
        <x:v>Trèfle autoroutier</x:v>
      </x:c>
      <x:c r="E1736" s="115" t="n">
        <x:v>31</x:v>
      </x:c>
      <x:c r="F1736" s="115" t="str">
        <x:v>Inspection physique</x:v>
      </x:c>
      <x:c r="G1736" s="115" t="str">
        <x:v>1 niveaux ; 34 pièces ; 260 segments de mur ; 0 transitions. Inspection physique ; architecture complète encore ouverte.</x:v>
      </x:c>
      <x:c r="H1736" s="115" t="str">
        <x:v>L 1640 ; l 1880 ; hauteur 8 m ; choix de composition auteur ; dimensions réelles à documenter</x:v>
      </x:c>
      <x:c r="I1736" s="115" t="str">
        <x:v>À équilibrer</x:v>
      </x:c>
      <x:c r="J1736" s="115" t="str">
        <x:v>Non</x:v>
      </x:c>
      <x:c r="K1736" s="115" t="str">
        <x:v>Pièces décrites, murs, portes, niveaux et mobilier inspectables à l’échelle. Volumes réservés, raccord au seed, butin, rencontres et services de campagne restent à terminer.</x:v>
      </x:c>
    </x:row>
    <x:row r="1737" ht="96" customHeight="1">
      <x:c r="A1737" s="115" t="str">
        <x:v>EXT-MONDE-T035-V32</x:v>
      </x:c>
      <x:c r="B1737" s="115" t="str">
        <x:v>EXT-MONDE-T035</x:v>
      </x:c>
      <x:c r="C1737" s="115" t="str">
        <x:v>Échangeurs</x:v>
      </x:c>
      <x:c r="D1737" s="115" t="str">
        <x:v>Trèfle autoroutier</x:v>
      </x:c>
      <x:c r="E1737" s="115" t="n">
        <x:v>32</x:v>
      </x:c>
      <x:c r="F1737" s="115" t="str">
        <x:v>Inspection physique</x:v>
      </x:c>
      <x:c r="G1737" s="115" t="str">
        <x:v>1 niveaux ; 34 pièces ; 260 segments de mur ; 0 transitions. Inspection physique ; architecture complète encore ouverte.</x:v>
      </x:c>
      <x:c r="H1737" s="115" t="str">
        <x:v>L 1640 ; l 1880 ; hauteur 8 m ; choix de composition auteur ; dimensions réelles à documenter</x:v>
      </x:c>
      <x:c r="I1737" s="115" t="str">
        <x:v>À équilibrer</x:v>
      </x:c>
      <x:c r="J1737" s="115" t="str">
        <x:v>Non</x:v>
      </x:c>
      <x:c r="K1737" s="115" t="str">
        <x:v>Pièces décrites, murs, portes, niveaux et mobilier inspectables à l’échelle. Volumes réservés, raccord au seed, butin, rencontres et services de campagne restent à terminer.</x:v>
      </x:c>
    </x:row>
    <x:row r="1738" ht="96" customHeight="1">
      <x:c r="A1738" s="115" t="str">
        <x:v>EXT-MONDE-T035-V33</x:v>
      </x:c>
      <x:c r="B1738" s="115" t="str">
        <x:v>EXT-MONDE-T035</x:v>
      </x:c>
      <x:c r="C1738" s="115" t="str">
        <x:v>Échangeurs</x:v>
      </x:c>
      <x:c r="D1738" s="115" t="str">
        <x:v>Trèfle autoroutier</x:v>
      </x:c>
      <x:c r="E1738" s="115" t="n">
        <x:v>33</x:v>
      </x:c>
      <x:c r="F1738" s="115" t="str">
        <x:v>Inspection physique</x:v>
      </x:c>
      <x:c r="G1738" s="115" t="str">
        <x:v>1 niveaux ; 34 pièces ; 260 segments de mur ; 0 transitions. Inspection physique ; architecture complète encore ouverte.</x:v>
      </x:c>
      <x:c r="H1738" s="115" t="str">
        <x:v>L 1640 ; l 1880 ; hauteur 8 m ; choix de composition auteur ; dimensions réelles à documenter</x:v>
      </x:c>
      <x:c r="I1738" s="115" t="str">
        <x:v>À équilibrer</x:v>
      </x:c>
      <x:c r="J1738" s="115" t="str">
        <x:v>Non</x:v>
      </x:c>
      <x:c r="K1738" s="115" t="str">
        <x:v>Pièces décrites, murs, portes, niveaux et mobilier inspectables à l’échelle. Volumes réservés, raccord au seed, butin, rencontres et services de campagne restent à terminer.</x:v>
      </x:c>
    </x:row>
    <x:row r="1739" ht="96" customHeight="1">
      <x:c r="A1739" s="115" t="str">
        <x:v>EXT-MONDE-T035-V34</x:v>
      </x:c>
      <x:c r="B1739" s="115" t="str">
        <x:v>EXT-MONDE-T035</x:v>
      </x:c>
      <x:c r="C1739" s="115" t="str">
        <x:v>Échangeurs</x:v>
      </x:c>
      <x:c r="D1739" s="115" t="str">
        <x:v>Trèfle autoroutier</x:v>
      </x:c>
      <x:c r="E1739" s="115" t="n">
        <x:v>34</x:v>
      </x:c>
      <x:c r="F1739" s="115" t="str">
        <x:v>Inspection physique</x:v>
      </x:c>
      <x:c r="G1739" s="115" t="str">
        <x:v>1 niveaux ; 34 pièces ; 260 segments de mur ; 0 transitions. Inspection physique ; architecture complète encore ouverte.</x:v>
      </x:c>
      <x:c r="H1739" s="115" t="str">
        <x:v>L 1640 ; l 1880 ; hauteur 8 m ; choix de composition auteur ; dimensions réelles à documenter</x:v>
      </x:c>
      <x:c r="I1739" s="115" t="str">
        <x:v>À équilibrer</x:v>
      </x:c>
      <x:c r="J1739" s="115" t="str">
        <x:v>Non</x:v>
      </x:c>
      <x:c r="K1739" s="115" t="str">
        <x:v>Pièces décrites, murs, portes, niveaux et mobilier inspectables à l’échelle. Volumes réservés, raccord au seed, butin, rencontres et services de campagne restent à terminer.</x:v>
      </x:c>
    </x:row>
    <x:row r="1740" ht="96" customHeight="1">
      <x:c r="A1740" s="115" t="str">
        <x:v>EXT-MONDE-T035-V35</x:v>
      </x:c>
      <x:c r="B1740" s="115" t="str">
        <x:v>EXT-MONDE-T035</x:v>
      </x:c>
      <x:c r="C1740" s="115" t="str">
        <x:v>Échangeurs</x:v>
      </x:c>
      <x:c r="D1740" s="115" t="str">
        <x:v>Trèfle autoroutier</x:v>
      </x:c>
      <x:c r="E1740" s="115" t="n">
        <x:v>35</x:v>
      </x:c>
      <x:c r="F1740" s="115" t="str">
        <x:v>Inspection physique</x:v>
      </x:c>
      <x:c r="G1740" s="115" t="str">
        <x:v>1 niveaux ; 34 pièces ; 260 segments de mur ; 0 transitions. Inspection physique ; architecture complète encore ouverte.</x:v>
      </x:c>
      <x:c r="H1740" s="115" t="str">
        <x:v>L 1640 ; l 1880 ; hauteur 8 m ; choix de composition auteur ; dimensions réelles à documenter</x:v>
      </x:c>
      <x:c r="I1740" s="115" t="str">
        <x:v>À équilibrer</x:v>
      </x:c>
      <x:c r="J1740" s="115" t="str">
        <x:v>Non</x:v>
      </x:c>
      <x:c r="K1740" s="115" t="str">
        <x:v>Pièces décrites, murs, portes, niveaux et mobilier inspectables à l’échelle. Volumes réservés, raccord au seed, butin, rencontres et services de campagne restent à terminer.</x:v>
      </x:c>
    </x:row>
    <x:row r="1741" ht="96" customHeight="1">
      <x:c r="A1741" s="115" t="str">
        <x:v>EXT-MONDE-T035-V36</x:v>
      </x:c>
      <x:c r="B1741" s="115" t="str">
        <x:v>EXT-MONDE-T035</x:v>
      </x:c>
      <x:c r="C1741" s="115" t="str">
        <x:v>Échangeurs</x:v>
      </x:c>
      <x:c r="D1741" s="115" t="str">
        <x:v>Trèfle autoroutier</x:v>
      </x:c>
      <x:c r="E1741" s="115" t="n">
        <x:v>36</x:v>
      </x:c>
      <x:c r="F1741" s="115" t="str">
        <x:v>Inspection physique</x:v>
      </x:c>
      <x:c r="G1741" s="115" t="str">
        <x:v>1 niveaux ; 34 pièces ; 260 segments de mur ; 0 transitions. Inspection physique ; architecture complète encore ouverte.</x:v>
      </x:c>
      <x:c r="H1741" s="115" t="str">
        <x:v>L 1640 ; l 1880 ; hauteur 8 m ; choix de composition auteur ; dimensions réelles à documenter</x:v>
      </x:c>
      <x:c r="I1741" s="115" t="str">
        <x:v>À équilibrer</x:v>
      </x:c>
      <x:c r="J1741" s="115" t="str">
        <x:v>Non</x:v>
      </x:c>
      <x:c r="K1741" s="115" t="str">
        <x:v>Pièces décrites, murs, portes, niveaux et mobilier inspectables à l’échelle. Volumes réservés, raccord au seed, butin, rencontres et services de campagne restent à terminer.</x:v>
      </x:c>
    </x:row>
    <x:row r="1742" ht="96" customHeight="1">
      <x:c r="A1742" s="115" t="str">
        <x:v>EXT-MONDE-T035-V37</x:v>
      </x:c>
      <x:c r="B1742" s="115" t="str">
        <x:v>EXT-MONDE-T035</x:v>
      </x:c>
      <x:c r="C1742" s="115" t="str">
        <x:v>Échangeurs</x:v>
      </x:c>
      <x:c r="D1742" s="115" t="str">
        <x:v>Trèfle autoroutier</x:v>
      </x:c>
      <x:c r="E1742" s="115" t="n">
        <x:v>37</x:v>
      </x:c>
      <x:c r="F1742" s="115" t="str">
        <x:v>Inspection physique</x:v>
      </x:c>
      <x:c r="G1742" s="115" t="str">
        <x:v>1 niveaux ; 34 pièces ; 260 segments de mur ; 0 transitions. Inspection physique ; architecture complète encore ouverte.</x:v>
      </x:c>
      <x:c r="H1742" s="115" t="str">
        <x:v>L 1640 ; l 1880 ; hauteur 8 m ; choix de composition auteur ; dimensions réelles à documenter</x:v>
      </x:c>
      <x:c r="I1742" s="115" t="str">
        <x:v>À équilibrer</x:v>
      </x:c>
      <x:c r="J1742" s="115" t="str">
        <x:v>Non</x:v>
      </x:c>
      <x:c r="K1742" s="115" t="str">
        <x:v>Pièces décrites, murs, portes, niveaux et mobilier inspectables à l’échelle. Volumes réservés, raccord au seed, butin, rencontres et services de campagne restent à terminer.</x:v>
      </x:c>
    </x:row>
    <x:row r="1743" ht="96" customHeight="1">
      <x:c r="A1743" s="115" t="str">
        <x:v>EXT-MONDE-T035-V38</x:v>
      </x:c>
      <x:c r="B1743" s="115" t="str">
        <x:v>EXT-MONDE-T035</x:v>
      </x:c>
      <x:c r="C1743" s="115" t="str">
        <x:v>Échangeurs</x:v>
      </x:c>
      <x:c r="D1743" s="115" t="str">
        <x:v>Trèfle autoroutier</x:v>
      </x:c>
      <x:c r="E1743" s="115" t="n">
        <x:v>38</x:v>
      </x:c>
      <x:c r="F1743" s="115" t="str">
        <x:v>Inspection physique</x:v>
      </x:c>
      <x:c r="G1743" s="115" t="str">
        <x:v>1 niveaux ; 34 pièces ; 260 segments de mur ; 0 transitions. Inspection physique ; architecture complète encore ouverte.</x:v>
      </x:c>
      <x:c r="H1743" s="115" t="str">
        <x:v>L 1640 ; l 1880 ; hauteur 8 m ; choix de composition auteur ; dimensions réelles à documenter</x:v>
      </x:c>
      <x:c r="I1743" s="115" t="str">
        <x:v>À équilibrer</x:v>
      </x:c>
      <x:c r="J1743" s="115" t="str">
        <x:v>Non</x:v>
      </x:c>
      <x:c r="K1743" s="115" t="str">
        <x:v>Pièces décrites, murs, portes, niveaux et mobilier inspectables à l’échelle. Volumes réservés, raccord au seed, butin, rencontres et services de campagne restent à terminer.</x:v>
      </x:c>
    </x:row>
    <x:row r="1744" ht="96" customHeight="1">
      <x:c r="A1744" s="115" t="str">
        <x:v>EXT-MONDE-T035-V39</x:v>
      </x:c>
      <x:c r="B1744" s="115" t="str">
        <x:v>EXT-MONDE-T035</x:v>
      </x:c>
      <x:c r="C1744" s="115" t="str">
        <x:v>Échangeurs</x:v>
      </x:c>
      <x:c r="D1744" s="115" t="str">
        <x:v>Trèfle autoroutier</x:v>
      </x:c>
      <x:c r="E1744" s="115" t="n">
        <x:v>39</x:v>
      </x:c>
      <x:c r="F1744" s="115" t="str">
        <x:v>Inspection physique</x:v>
      </x:c>
      <x:c r="G1744" s="115" t="str">
        <x:v>1 niveaux ; 34 pièces ; 260 segments de mur ; 0 transitions. Inspection physique ; architecture complète encore ouverte.</x:v>
      </x:c>
      <x:c r="H1744" s="115" t="str">
        <x:v>L 1640 ; l 1880 ; hauteur 8 m ; choix de composition auteur ; dimensions réelles à documenter</x:v>
      </x:c>
      <x:c r="I1744" s="115" t="str">
        <x:v>À équilibrer</x:v>
      </x:c>
      <x:c r="J1744" s="115" t="str">
        <x:v>Non</x:v>
      </x:c>
      <x:c r="K1744" s="115" t="str">
        <x:v>Pièces décrites, murs, portes, niveaux et mobilier inspectables à l’échelle. Volumes réservés, raccord au seed, butin, rencontres et services de campagne restent à terminer.</x:v>
      </x:c>
    </x:row>
    <x:row r="1745" ht="96" customHeight="1">
      <x:c r="A1745" s="115" t="str">
        <x:v>EXT-MONDE-T035-V40</x:v>
      </x:c>
      <x:c r="B1745" s="115" t="str">
        <x:v>EXT-MONDE-T035</x:v>
      </x:c>
      <x:c r="C1745" s="115" t="str">
        <x:v>Échangeurs</x:v>
      </x:c>
      <x:c r="D1745" s="115" t="str">
        <x:v>Trèfle autoroutier</x:v>
      </x:c>
      <x:c r="E1745" s="115" t="n">
        <x:v>40</x:v>
      </x:c>
      <x:c r="F1745" s="115" t="str">
        <x:v>Inspection physique</x:v>
      </x:c>
      <x:c r="G1745" s="115" t="str">
        <x:v>1 niveaux ; 34 pièces ; 260 segments de mur ; 0 transitions. Inspection physique ; architecture complète encore ouverte.</x:v>
      </x:c>
      <x:c r="H1745" s="115" t="str">
        <x:v>L 1640 ; l 1880 ; hauteur 8 m ; choix de composition auteur ; dimensions réelles à documenter</x:v>
      </x:c>
      <x:c r="I1745" s="115" t="str">
        <x:v>À équilibrer</x:v>
      </x:c>
      <x:c r="J1745" s="115" t="str">
        <x:v>Non</x:v>
      </x:c>
      <x:c r="K1745" s="115" t="str">
        <x:v>Pièces décrites, murs, portes, niveaux et mobilier inspectables à l’échelle. Volumes réservés, raccord au seed, butin, rencontres et services de campagne restent à terminer.</x:v>
      </x:c>
    </x:row>
    <x:row r="1746" ht="96" customHeight="1">
      <x:c r="A1746" s="115" t="str">
        <x:v>EXT-MONDE-T035-V41</x:v>
      </x:c>
      <x:c r="B1746" s="115" t="str">
        <x:v>EXT-MONDE-T035</x:v>
      </x:c>
      <x:c r="C1746" s="115" t="str">
        <x:v>Échangeurs</x:v>
      </x:c>
      <x:c r="D1746" s="115" t="str">
        <x:v>Trèfle autoroutier</x:v>
      </x:c>
      <x:c r="E1746" s="115" t="n">
        <x:v>41</x:v>
      </x:c>
      <x:c r="F1746" s="115" t="str">
        <x:v>Inspection physique</x:v>
      </x:c>
      <x:c r="G1746" s="115" t="str">
        <x:v>1 niveaux ; 34 pièces ; 260 segments de mur ; 0 transitions. Inspection physique ; architecture complète encore ouverte.</x:v>
      </x:c>
      <x:c r="H1746" s="115" t="str">
        <x:v>L 1720 ; l 2040 ; hauteur 8 m ; choix de composition auteur ; dimensions réelles à documenter</x:v>
      </x:c>
      <x:c r="I1746" s="115" t="str">
        <x:v>À équilibrer</x:v>
      </x:c>
      <x:c r="J1746" s="115" t="str">
        <x:v>Non</x:v>
      </x:c>
      <x:c r="K1746" s="115" t="str">
        <x:v>Pièces décrites, murs, portes, niveaux et mobilier inspectables à l’échelle. Volumes réservés, raccord au seed, butin, rencontres et services de campagne restent à terminer.</x:v>
      </x:c>
    </x:row>
    <x:row r="1747" ht="96" customHeight="1">
      <x:c r="A1747" s="115" t="str">
        <x:v>EXT-MONDE-T035-V42</x:v>
      </x:c>
      <x:c r="B1747" s="115" t="str">
        <x:v>EXT-MONDE-T035</x:v>
      </x:c>
      <x:c r="C1747" s="115" t="str">
        <x:v>Échangeurs</x:v>
      </x:c>
      <x:c r="D1747" s="115" t="str">
        <x:v>Trèfle autoroutier</x:v>
      </x:c>
      <x:c r="E1747" s="115" t="n">
        <x:v>42</x:v>
      </x:c>
      <x:c r="F1747" s="115" t="str">
        <x:v>Inspection physique</x:v>
      </x:c>
      <x:c r="G1747" s="115" t="str">
        <x:v>1 niveaux ; 34 pièces ; 260 segments de mur ; 0 transitions. Inspection physique ; architecture complète encore ouverte.</x:v>
      </x:c>
      <x:c r="H1747" s="115" t="str">
        <x:v>L 1720 ; l 2040 ; hauteur 8 m ; choix de composition auteur ; dimensions réelles à documenter</x:v>
      </x:c>
      <x:c r="I1747" s="115" t="str">
        <x:v>À équilibrer</x:v>
      </x:c>
      <x:c r="J1747" s="115" t="str">
        <x:v>Non</x:v>
      </x:c>
      <x:c r="K1747" s="115" t="str">
        <x:v>Pièces décrites, murs, portes, niveaux et mobilier inspectables à l’échelle. Volumes réservés, raccord au seed, butin, rencontres et services de campagne restent à terminer.</x:v>
      </x:c>
    </x:row>
    <x:row r="1748" ht="96" customHeight="1">
      <x:c r="A1748" s="115" t="str">
        <x:v>EXT-MONDE-T035-V43</x:v>
      </x:c>
      <x:c r="B1748" s="115" t="str">
        <x:v>EXT-MONDE-T035</x:v>
      </x:c>
      <x:c r="C1748" s="115" t="str">
        <x:v>Échangeurs</x:v>
      </x:c>
      <x:c r="D1748" s="115" t="str">
        <x:v>Trèfle autoroutier</x:v>
      </x:c>
      <x:c r="E1748" s="115" t="n">
        <x:v>43</x:v>
      </x:c>
      <x:c r="F1748" s="115" t="str">
        <x:v>Inspection physique</x:v>
      </x:c>
      <x:c r="G1748" s="115" t="str">
        <x:v>1 niveaux ; 34 pièces ; 260 segments de mur ; 0 transitions. Inspection physique ; architecture complète encore ouverte.</x:v>
      </x:c>
      <x:c r="H1748" s="115" t="str">
        <x:v>L 1720 ; l 2040 ; hauteur 8 m ; choix de composition auteur ; dimensions réelles à documenter</x:v>
      </x:c>
      <x:c r="I1748" s="115" t="str">
        <x:v>À équilibrer</x:v>
      </x:c>
      <x:c r="J1748" s="115" t="str">
        <x:v>Non</x:v>
      </x:c>
      <x:c r="K1748" s="115" t="str">
        <x:v>Pièces décrites, murs, portes, niveaux et mobilier inspectables à l’échelle. Volumes réservés, raccord au seed, butin, rencontres et services de campagne restent à terminer.</x:v>
      </x:c>
    </x:row>
    <x:row r="1749" ht="96" customHeight="1">
      <x:c r="A1749" s="115" t="str">
        <x:v>EXT-MONDE-T035-V44</x:v>
      </x:c>
      <x:c r="B1749" s="115" t="str">
        <x:v>EXT-MONDE-T035</x:v>
      </x:c>
      <x:c r="C1749" s="115" t="str">
        <x:v>Échangeurs</x:v>
      </x:c>
      <x:c r="D1749" s="115" t="str">
        <x:v>Trèfle autoroutier</x:v>
      </x:c>
      <x:c r="E1749" s="115" t="n">
        <x:v>44</x:v>
      </x:c>
      <x:c r="F1749" s="115" t="str">
        <x:v>Inspection physique</x:v>
      </x:c>
      <x:c r="G1749" s="115" t="str">
        <x:v>1 niveaux ; 34 pièces ; 260 segments de mur ; 0 transitions. Inspection physique ; architecture complète encore ouverte.</x:v>
      </x:c>
      <x:c r="H1749" s="115" t="str">
        <x:v>L 1720 ; l 2040 ; hauteur 8 m ; choix de composition auteur ; dimensions réelles à documenter</x:v>
      </x:c>
      <x:c r="I1749" s="115" t="str">
        <x:v>À équilibrer</x:v>
      </x:c>
      <x:c r="J1749" s="115" t="str">
        <x:v>Non</x:v>
      </x:c>
      <x:c r="K1749" s="115" t="str">
        <x:v>Pièces décrites, murs, portes, niveaux et mobilier inspectables à l’échelle. Volumes réservés, raccord au seed, butin, rencontres et services de campagne restent à terminer.</x:v>
      </x:c>
    </x:row>
    <x:row r="1750" ht="96" customHeight="1">
      <x:c r="A1750" s="115" t="str">
        <x:v>EXT-MONDE-T035-V45</x:v>
      </x:c>
      <x:c r="B1750" s="115" t="str">
        <x:v>EXT-MONDE-T035</x:v>
      </x:c>
      <x:c r="C1750" s="115" t="str">
        <x:v>Échangeurs</x:v>
      </x:c>
      <x:c r="D1750" s="115" t="str">
        <x:v>Trèfle autoroutier</x:v>
      </x:c>
      <x:c r="E1750" s="115" t="n">
        <x:v>45</x:v>
      </x:c>
      <x:c r="F1750" s="115" t="str">
        <x:v>Inspection physique</x:v>
      </x:c>
      <x:c r="G1750" s="115" t="str">
        <x:v>1 niveaux ; 34 pièces ; 260 segments de mur ; 0 transitions. Inspection physique ; architecture complète encore ouverte.</x:v>
      </x:c>
      <x:c r="H1750" s="115" t="str">
        <x:v>L 1720 ; l 2040 ; hauteur 8 m ; choix de composition auteur ; dimensions réelles à documenter</x:v>
      </x:c>
      <x:c r="I1750" s="115" t="str">
        <x:v>À équilibrer</x:v>
      </x:c>
      <x:c r="J1750" s="115" t="str">
        <x:v>Non</x:v>
      </x:c>
      <x:c r="K1750" s="115" t="str">
        <x:v>Pièces décrites, murs, portes, niveaux et mobilier inspectables à l’échelle. Volumes réservés, raccord au seed, butin, rencontres et services de campagne restent à terminer.</x:v>
      </x:c>
    </x:row>
    <x:row r="1751" ht="96" customHeight="1">
      <x:c r="A1751" s="115" t="str">
        <x:v>EXT-MONDE-T035-V46</x:v>
      </x:c>
      <x:c r="B1751" s="115" t="str">
        <x:v>EXT-MONDE-T035</x:v>
      </x:c>
      <x:c r="C1751" s="115" t="str">
        <x:v>Échangeurs</x:v>
      </x:c>
      <x:c r="D1751" s="115" t="str">
        <x:v>Trèfle autoroutier</x:v>
      </x:c>
      <x:c r="E1751" s="115" t="n">
        <x:v>46</x:v>
      </x:c>
      <x:c r="F1751" s="115" t="str">
        <x:v>Inspection physique</x:v>
      </x:c>
      <x:c r="G1751" s="115" t="str">
        <x:v>1 niveaux ; 34 pièces ; 260 segments de mur ; 0 transitions. Inspection physique ; architecture complète encore ouverte.</x:v>
      </x:c>
      <x:c r="H1751" s="115" t="str">
        <x:v>L 1720 ; l 2040 ; hauteur 8 m ; choix de composition auteur ; dimensions réelles à documenter</x:v>
      </x:c>
      <x:c r="I1751" s="115" t="str">
        <x:v>À équilibrer</x:v>
      </x:c>
      <x:c r="J1751" s="115" t="str">
        <x:v>Non</x:v>
      </x:c>
      <x:c r="K1751" s="115" t="str">
        <x:v>Pièces décrites, murs, portes, niveaux et mobilier inspectables à l’échelle. Volumes réservés, raccord au seed, butin, rencontres et services de campagne restent à terminer.</x:v>
      </x:c>
    </x:row>
    <x:row r="1752" ht="96" customHeight="1">
      <x:c r="A1752" s="115" t="str">
        <x:v>EXT-MONDE-T035-V47</x:v>
      </x:c>
      <x:c r="B1752" s="115" t="str">
        <x:v>EXT-MONDE-T035</x:v>
      </x:c>
      <x:c r="C1752" s="115" t="str">
        <x:v>Échangeurs</x:v>
      </x:c>
      <x:c r="D1752" s="115" t="str">
        <x:v>Trèfle autoroutier</x:v>
      </x:c>
      <x:c r="E1752" s="115" t="n">
        <x:v>47</x:v>
      </x:c>
      <x:c r="F1752" s="115" t="str">
        <x:v>Inspection physique</x:v>
      </x:c>
      <x:c r="G1752" s="115" t="str">
        <x:v>1 niveaux ; 34 pièces ; 260 segments de mur ; 0 transitions. Inspection physique ; architecture complète encore ouverte.</x:v>
      </x:c>
      <x:c r="H1752" s="115" t="str">
        <x:v>L 1720 ; l 2040 ; hauteur 8 m ; choix de composition auteur ; dimensions réelles à documenter</x:v>
      </x:c>
      <x:c r="I1752" s="115" t="str">
        <x:v>À équilibrer</x:v>
      </x:c>
      <x:c r="J1752" s="115" t="str">
        <x:v>Non</x:v>
      </x:c>
      <x:c r="K1752" s="115" t="str">
        <x:v>Pièces décrites, murs, portes, niveaux et mobilier inspectables à l’échelle. Volumes réservés, raccord au seed, butin, rencontres et services de campagne restent à terminer.</x:v>
      </x:c>
    </x:row>
    <x:row r="1753" ht="96" customHeight="1">
      <x:c r="A1753" s="115" t="str">
        <x:v>EXT-MONDE-T035-V48</x:v>
      </x:c>
      <x:c r="B1753" s="115" t="str">
        <x:v>EXT-MONDE-T035</x:v>
      </x:c>
      <x:c r="C1753" s="115" t="str">
        <x:v>Échangeurs</x:v>
      </x:c>
      <x:c r="D1753" s="115" t="str">
        <x:v>Trèfle autoroutier</x:v>
      </x:c>
      <x:c r="E1753" s="115" t="n">
        <x:v>48</x:v>
      </x:c>
      <x:c r="F1753" s="115" t="str">
        <x:v>Inspection physique</x:v>
      </x:c>
      <x:c r="G1753" s="115" t="str">
        <x:v>1 niveaux ; 34 pièces ; 260 segments de mur ; 0 transitions. Inspection physique ; architecture complète encore ouverte.</x:v>
      </x:c>
      <x:c r="H1753" s="115" t="str">
        <x:v>L 1720 ; l 2040 ; hauteur 8 m ; choix de composition auteur ; dimensions réelles à documenter</x:v>
      </x:c>
      <x:c r="I1753" s="115" t="str">
        <x:v>À équilibrer</x:v>
      </x:c>
      <x:c r="J1753" s="115" t="str">
        <x:v>Non</x:v>
      </x:c>
      <x:c r="K1753" s="115" t="str">
        <x:v>Pièces décrites, murs, portes, niveaux et mobilier inspectables à l’échelle. Volumes réservés, raccord au seed, butin, rencontres et services de campagne restent à terminer.</x:v>
      </x:c>
    </x:row>
    <x:row r="1754" ht="96" customHeight="1">
      <x:c r="A1754" s="115" t="str">
        <x:v>EXT-MONDE-T035-V49</x:v>
      </x:c>
      <x:c r="B1754" s="115" t="str">
        <x:v>EXT-MONDE-T035</x:v>
      </x:c>
      <x:c r="C1754" s="115" t="str">
        <x:v>Échangeurs</x:v>
      </x:c>
      <x:c r="D1754" s="115" t="str">
        <x:v>Trèfle autoroutier</x:v>
      </x:c>
      <x:c r="E1754" s="115" t="n">
        <x:v>49</x:v>
      </x:c>
      <x:c r="F1754" s="115" t="str">
        <x:v>Inspection physique</x:v>
      </x:c>
      <x:c r="G1754" s="115" t="str">
        <x:v>1 niveaux ; 34 pièces ; 260 segments de mur ; 0 transitions. Inspection physique ; architecture complète encore ouverte.</x:v>
      </x:c>
      <x:c r="H1754" s="115" t="str">
        <x:v>L 1720 ; l 2040 ; hauteur 8 m ; choix de composition auteur ; dimensions réelles à documenter</x:v>
      </x:c>
      <x:c r="I1754" s="115" t="str">
        <x:v>À équilibrer</x:v>
      </x:c>
      <x:c r="J1754" s="115" t="str">
        <x:v>Non</x:v>
      </x:c>
      <x:c r="K1754" s="115" t="str">
        <x:v>Pièces décrites, murs, portes, niveaux et mobilier inspectables à l’échelle. Volumes réservés, raccord au seed, butin, rencontres et services de campagne restent à terminer.</x:v>
      </x:c>
    </x:row>
    <x:row r="1755" ht="96" customHeight="1">
      <x:c r="A1755" s="115" t="str">
        <x:v>EXT-MONDE-T035-V50</x:v>
      </x:c>
      <x:c r="B1755" s="115" t="str">
        <x:v>EXT-MONDE-T035</x:v>
      </x:c>
      <x:c r="C1755" s="115" t="str">
        <x:v>Échangeurs</x:v>
      </x:c>
      <x:c r="D1755" s="115" t="str">
        <x:v>Trèfle autoroutier</x:v>
      </x:c>
      <x:c r="E1755" s="115" t="n">
        <x:v>50</x:v>
      </x:c>
      <x:c r="F1755" s="115" t="str">
        <x:v>Inspection physique</x:v>
      </x:c>
      <x:c r="G1755" s="115" t="str">
        <x:v>1 niveaux ; 34 pièces ; 260 segments de mur ; 0 transitions. Inspection physique ; architecture complète encore ouverte.</x:v>
      </x:c>
      <x:c r="H1755" s="115" t="str">
        <x:v>L 1720 ; l 2040 ; hauteur 8 m ; choix de composition auteur ; dimensions réelles à documenter</x:v>
      </x:c>
      <x:c r="I1755" s="115" t="str">
        <x:v>À équilibrer</x:v>
      </x:c>
      <x:c r="J1755" s="115" t="str">
        <x:v>Non</x:v>
      </x:c>
      <x:c r="K1755" s="115" t="str">
        <x:v>Pièces décrites, murs, portes, niveaux et mobilier inspectables à l’échelle. Volumes réservés, raccord au seed, butin, rencontres et services de campagne restent à terminer.</x:v>
      </x:c>
    </x:row>
    <x:row r="1756" ht="96" customHeight="1">
      <x:c r="A1756" s="115" t="str">
        <x:v>EXT-MONDE-T036-V01</x:v>
      </x:c>
      <x:c r="B1756" s="115" t="str">
        <x:v>EXT-MONDE-T036</x:v>
      </x:c>
      <x:c r="C1756" s="115" t="str">
        <x:v>Échangeurs</x:v>
      </x:c>
      <x:c r="D1756" s="115" t="str">
        <x:v>Échangeur directionnel</x:v>
      </x:c>
      <x:c r="E1756" s="115" t="n">
        <x:v>1</x:v>
      </x:c>
      <x:c r="F1756" s="115" t="str">
        <x:v>Inspection physique</x:v>
      </x:c>
      <x:c r="G1756" s="115" t="str">
        <x:v>1 niveaux ; 34 pièces ; 260 segments de mur ; 0 transitions. Inspection physique ; architecture complète encore ouverte.</x:v>
      </x:c>
      <x:c r="H1756" s="115" t="str">
        <x:v>L 1400 ; l 1400 ; hauteur 8 m ; choix de composition auteur ; dimensions réelles à documenter</x:v>
      </x:c>
      <x:c r="I1756" s="115" t="str">
        <x:v>À équilibrer</x:v>
      </x:c>
      <x:c r="J1756" s="115" t="str">
        <x:v>Non</x:v>
      </x:c>
      <x:c r="K1756" s="115" t="str">
        <x:v>Pièces décrites, murs, portes, niveaux et mobilier inspectables à l’échelle. Volumes réservés, raccord au seed, butin, rencontres et services de campagne restent à terminer.</x:v>
      </x:c>
    </x:row>
    <x:row r="1757" ht="96" customHeight="1">
      <x:c r="A1757" s="115" t="str">
        <x:v>EXT-MONDE-T036-V02</x:v>
      </x:c>
      <x:c r="B1757" s="115" t="str">
        <x:v>EXT-MONDE-T036</x:v>
      </x:c>
      <x:c r="C1757" s="115" t="str">
        <x:v>Échangeurs</x:v>
      </x:c>
      <x:c r="D1757" s="115" t="str">
        <x:v>Échangeur directionnel</x:v>
      </x:c>
      <x:c r="E1757" s="115" t="n">
        <x:v>2</x:v>
      </x:c>
      <x:c r="F1757" s="115" t="str">
        <x:v>Inspection physique</x:v>
      </x:c>
      <x:c r="G1757" s="115" t="str">
        <x:v>1 niveaux ; 34 pièces ; 260 segments de mur ; 0 transitions. Inspection physique ; architecture complète encore ouverte.</x:v>
      </x:c>
      <x:c r="H1757" s="115" t="str">
        <x:v>L 1400 ; l 1400 ; hauteur 8 m ; choix de composition auteur ; dimensions réelles à documenter</x:v>
      </x:c>
      <x:c r="I1757" s="115" t="str">
        <x:v>À équilibrer</x:v>
      </x:c>
      <x:c r="J1757" s="115" t="str">
        <x:v>Non</x:v>
      </x:c>
      <x:c r="K1757" s="115" t="str">
        <x:v>Pièces décrites, murs, portes, niveaux et mobilier inspectables à l’échelle. Volumes réservés, raccord au seed, butin, rencontres et services de campagne restent à terminer.</x:v>
      </x:c>
    </x:row>
    <x:row r="1758" ht="96" customHeight="1">
      <x:c r="A1758" s="115" t="str">
        <x:v>EXT-MONDE-T036-V03</x:v>
      </x:c>
      <x:c r="B1758" s="115" t="str">
        <x:v>EXT-MONDE-T036</x:v>
      </x:c>
      <x:c r="C1758" s="115" t="str">
        <x:v>Échangeurs</x:v>
      </x:c>
      <x:c r="D1758" s="115" t="str">
        <x:v>Échangeur directionnel</x:v>
      </x:c>
      <x:c r="E1758" s="115" t="n">
        <x:v>3</x:v>
      </x:c>
      <x:c r="F1758" s="115" t="str">
        <x:v>Inspection physique</x:v>
      </x:c>
      <x:c r="G1758" s="115" t="str">
        <x:v>1 niveaux ; 34 pièces ; 260 segments de mur ; 0 transitions. Inspection physique ; architecture complète encore ouverte.</x:v>
      </x:c>
      <x:c r="H1758" s="115" t="str">
        <x:v>L 1400 ; l 1400 ; hauteur 8 m ; choix de composition auteur ; dimensions réelles à documenter</x:v>
      </x:c>
      <x:c r="I1758" s="115" t="str">
        <x:v>À équilibrer</x:v>
      </x:c>
      <x:c r="J1758" s="115" t="str">
        <x:v>Non</x:v>
      </x:c>
      <x:c r="K1758" s="115" t="str">
        <x:v>Pièces décrites, murs, portes, niveaux et mobilier inspectables à l’échelle. Volumes réservés, raccord au seed, butin, rencontres et services de campagne restent à terminer.</x:v>
      </x:c>
    </x:row>
    <x:row r="1759" ht="96" customHeight="1">
      <x:c r="A1759" s="115" t="str">
        <x:v>EXT-MONDE-T036-V04</x:v>
      </x:c>
      <x:c r="B1759" s="115" t="str">
        <x:v>EXT-MONDE-T036</x:v>
      </x:c>
      <x:c r="C1759" s="115" t="str">
        <x:v>Échangeurs</x:v>
      </x:c>
      <x:c r="D1759" s="115" t="str">
        <x:v>Échangeur directionnel</x:v>
      </x:c>
      <x:c r="E1759" s="115" t="n">
        <x:v>4</x:v>
      </x:c>
      <x:c r="F1759" s="115" t="str">
        <x:v>Inspection physique</x:v>
      </x:c>
      <x:c r="G1759" s="115" t="str">
        <x:v>1 niveaux ; 34 pièces ; 260 segments de mur ; 0 transitions. Inspection physique ; architecture complète encore ouverte.</x:v>
      </x:c>
      <x:c r="H1759" s="115" t="str">
        <x:v>L 1400 ; l 1400 ; hauteur 8 m ; choix de composition auteur ; dimensions réelles à documenter</x:v>
      </x:c>
      <x:c r="I1759" s="115" t="str">
        <x:v>À équilibrer</x:v>
      </x:c>
      <x:c r="J1759" s="115" t="str">
        <x:v>Non</x:v>
      </x:c>
      <x:c r="K1759" s="115" t="str">
        <x:v>Pièces décrites, murs, portes, niveaux et mobilier inspectables à l’échelle. Volumes réservés, raccord au seed, butin, rencontres et services de campagne restent à terminer.</x:v>
      </x:c>
    </x:row>
    <x:row r="1760" ht="96" customHeight="1">
      <x:c r="A1760" s="115" t="str">
        <x:v>EXT-MONDE-T036-V05</x:v>
      </x:c>
      <x:c r="B1760" s="115" t="str">
        <x:v>EXT-MONDE-T036</x:v>
      </x:c>
      <x:c r="C1760" s="115" t="str">
        <x:v>Échangeurs</x:v>
      </x:c>
      <x:c r="D1760" s="115" t="str">
        <x:v>Échangeur directionnel</x:v>
      </x:c>
      <x:c r="E1760" s="115" t="n">
        <x:v>5</x:v>
      </x:c>
      <x:c r="F1760" s="115" t="str">
        <x:v>Inspection physique</x:v>
      </x:c>
      <x:c r="G1760" s="115" t="str">
        <x:v>1 niveaux ; 34 pièces ; 260 segments de mur ; 0 transitions. Inspection physique ; architecture complète encore ouverte.</x:v>
      </x:c>
      <x:c r="H1760" s="115" t="str">
        <x:v>L 1400 ; l 1400 ; hauteur 8 m ; choix de composition auteur ; dimensions réelles à documenter</x:v>
      </x:c>
      <x:c r="I1760" s="115" t="str">
        <x:v>À équilibrer</x:v>
      </x:c>
      <x:c r="J1760" s="115" t="str">
        <x:v>Non</x:v>
      </x:c>
      <x:c r="K1760" s="115" t="str">
        <x:v>Pièces décrites, murs, portes, niveaux et mobilier inspectables à l’échelle. Volumes réservés, raccord au seed, butin, rencontres et services de campagne restent à terminer.</x:v>
      </x:c>
    </x:row>
    <x:row r="1761" ht="96" customHeight="1">
      <x:c r="A1761" s="115" t="str">
        <x:v>EXT-MONDE-T036-V06</x:v>
      </x:c>
      <x:c r="B1761" s="115" t="str">
        <x:v>EXT-MONDE-T036</x:v>
      </x:c>
      <x:c r="C1761" s="115" t="str">
        <x:v>Échangeurs</x:v>
      </x:c>
      <x:c r="D1761" s="115" t="str">
        <x:v>Échangeur directionnel</x:v>
      </x:c>
      <x:c r="E1761" s="115" t="n">
        <x:v>6</x:v>
      </x:c>
      <x:c r="F1761" s="115" t="str">
        <x:v>Inspection physique</x:v>
      </x:c>
      <x:c r="G1761" s="115" t="str">
        <x:v>1 niveaux ; 34 pièces ; 260 segments de mur ; 0 transitions. Inspection physique ; architecture complète encore ouverte.</x:v>
      </x:c>
      <x:c r="H1761" s="115" t="str">
        <x:v>L 1400 ; l 1400 ; hauteur 8 m ; choix de composition auteur ; dimensions réelles à documenter</x:v>
      </x:c>
      <x:c r="I1761" s="115" t="str">
        <x:v>À équilibrer</x:v>
      </x:c>
      <x:c r="J1761" s="115" t="str">
        <x:v>Non</x:v>
      </x:c>
      <x:c r="K1761" s="115" t="str">
        <x:v>Pièces décrites, murs, portes, niveaux et mobilier inspectables à l’échelle. Volumes réservés, raccord au seed, butin, rencontres et services de campagne restent à terminer.</x:v>
      </x:c>
    </x:row>
    <x:row r="1762" ht="96" customHeight="1">
      <x:c r="A1762" s="115" t="str">
        <x:v>EXT-MONDE-T036-V07</x:v>
      </x:c>
      <x:c r="B1762" s="115" t="str">
        <x:v>EXT-MONDE-T036</x:v>
      </x:c>
      <x:c r="C1762" s="115" t="str">
        <x:v>Échangeurs</x:v>
      </x:c>
      <x:c r="D1762" s="115" t="str">
        <x:v>Échangeur directionnel</x:v>
      </x:c>
      <x:c r="E1762" s="115" t="n">
        <x:v>7</x:v>
      </x:c>
      <x:c r="F1762" s="115" t="str">
        <x:v>Inspection physique</x:v>
      </x:c>
      <x:c r="G1762" s="115" t="str">
        <x:v>1 niveaux ; 34 pièces ; 260 segments de mur ; 0 transitions. Inspection physique ; architecture complète encore ouverte.</x:v>
      </x:c>
      <x:c r="H1762" s="115" t="str">
        <x:v>L 1400 ; l 1400 ; hauteur 8 m ; choix de composition auteur ; dimensions réelles à documenter</x:v>
      </x:c>
      <x:c r="I1762" s="115" t="str">
        <x:v>À équilibrer</x:v>
      </x:c>
      <x:c r="J1762" s="115" t="str">
        <x:v>Non</x:v>
      </x:c>
      <x:c r="K1762" s="115" t="str">
        <x:v>Pièces décrites, murs, portes, niveaux et mobilier inspectables à l’échelle. Volumes réservés, raccord au seed, butin, rencontres et services de campagne restent à terminer.</x:v>
      </x:c>
    </x:row>
    <x:row r="1763" ht="96" customHeight="1">
      <x:c r="A1763" s="115" t="str">
        <x:v>EXT-MONDE-T036-V08</x:v>
      </x:c>
      <x:c r="B1763" s="115" t="str">
        <x:v>EXT-MONDE-T036</x:v>
      </x:c>
      <x:c r="C1763" s="115" t="str">
        <x:v>Échangeurs</x:v>
      </x:c>
      <x:c r="D1763" s="115" t="str">
        <x:v>Échangeur directionnel</x:v>
      </x:c>
      <x:c r="E1763" s="115" t="n">
        <x:v>8</x:v>
      </x:c>
      <x:c r="F1763" s="115" t="str">
        <x:v>Inspection physique</x:v>
      </x:c>
      <x:c r="G1763" s="115" t="str">
        <x:v>1 niveaux ; 34 pièces ; 260 segments de mur ; 0 transitions. Inspection physique ; architecture complète encore ouverte.</x:v>
      </x:c>
      <x:c r="H1763" s="115" t="str">
        <x:v>L 1400 ; l 1400 ; hauteur 8 m ; choix de composition auteur ; dimensions réelles à documenter</x:v>
      </x:c>
      <x:c r="I1763" s="115" t="str">
        <x:v>À équilibrer</x:v>
      </x:c>
      <x:c r="J1763" s="115" t="str">
        <x:v>Non</x:v>
      </x:c>
      <x:c r="K1763" s="115" t="str">
        <x:v>Pièces décrites, murs, portes, niveaux et mobilier inspectables à l’échelle. Volumes réservés, raccord au seed, butin, rencontres et services de campagne restent à terminer.</x:v>
      </x:c>
    </x:row>
    <x:row r="1764" ht="96" customHeight="1">
      <x:c r="A1764" s="115" t="str">
        <x:v>EXT-MONDE-T036-V09</x:v>
      </x:c>
      <x:c r="B1764" s="115" t="str">
        <x:v>EXT-MONDE-T036</x:v>
      </x:c>
      <x:c r="C1764" s="115" t="str">
        <x:v>Échangeurs</x:v>
      </x:c>
      <x:c r="D1764" s="115" t="str">
        <x:v>Échangeur directionnel</x:v>
      </x:c>
      <x:c r="E1764" s="115" t="n">
        <x:v>9</x:v>
      </x:c>
      <x:c r="F1764" s="115" t="str">
        <x:v>Inspection physique</x:v>
      </x:c>
      <x:c r="G1764" s="115" t="str">
        <x:v>1 niveaux ; 34 pièces ; 260 segments de mur ; 0 transitions. Inspection physique ; architecture complète encore ouverte.</x:v>
      </x:c>
      <x:c r="H1764" s="115" t="str">
        <x:v>L 1400 ; l 1400 ; hauteur 8 m ; choix de composition auteur ; dimensions réelles à documenter</x:v>
      </x:c>
      <x:c r="I1764" s="115" t="str">
        <x:v>À équilibrer</x:v>
      </x:c>
      <x:c r="J1764" s="115" t="str">
        <x:v>Non</x:v>
      </x:c>
      <x:c r="K1764" s="115" t="str">
        <x:v>Pièces décrites, murs, portes, niveaux et mobilier inspectables à l’échelle. Volumes réservés, raccord au seed, butin, rencontres et services de campagne restent à terminer.</x:v>
      </x:c>
    </x:row>
    <x:row r="1765" ht="96" customHeight="1">
      <x:c r="A1765" s="115" t="str">
        <x:v>EXT-MONDE-T036-V10</x:v>
      </x:c>
      <x:c r="B1765" s="115" t="str">
        <x:v>EXT-MONDE-T036</x:v>
      </x:c>
      <x:c r="C1765" s="115" t="str">
        <x:v>Échangeurs</x:v>
      </x:c>
      <x:c r="D1765" s="115" t="str">
        <x:v>Échangeur directionnel</x:v>
      </x:c>
      <x:c r="E1765" s="115" t="n">
        <x:v>10</x:v>
      </x:c>
      <x:c r="F1765" s="115" t="str">
        <x:v>Inspection physique</x:v>
      </x:c>
      <x:c r="G1765" s="115" t="str">
        <x:v>1 niveaux ; 34 pièces ; 260 segments de mur ; 0 transitions. Inspection physique ; architecture complète encore ouverte.</x:v>
      </x:c>
      <x:c r="H1765" s="115" t="str">
        <x:v>L 1400 ; l 1400 ; hauteur 8 m ; choix de composition auteur ; dimensions réelles à documenter</x:v>
      </x:c>
      <x:c r="I1765" s="115" t="str">
        <x:v>À équilibrer</x:v>
      </x:c>
      <x:c r="J1765" s="115" t="str">
        <x:v>Non</x:v>
      </x:c>
      <x:c r="K1765" s="115" t="str">
        <x:v>Pièces décrites, murs, portes, niveaux et mobilier inspectables à l’échelle. Volumes réservés, raccord au seed, butin, rencontres et services de campagne restent à terminer.</x:v>
      </x:c>
    </x:row>
    <x:row r="1766" ht="96" customHeight="1">
      <x:c r="A1766" s="115" t="str">
        <x:v>EXT-MONDE-T036-V11</x:v>
      </x:c>
      <x:c r="B1766" s="115" t="str">
        <x:v>EXT-MONDE-T036</x:v>
      </x:c>
      <x:c r="C1766" s="115" t="str">
        <x:v>Échangeurs</x:v>
      </x:c>
      <x:c r="D1766" s="115" t="str">
        <x:v>Échangeur directionnel</x:v>
      </x:c>
      <x:c r="E1766" s="115" t="n">
        <x:v>11</x:v>
      </x:c>
      <x:c r="F1766" s="115" t="str">
        <x:v>Inspection physique</x:v>
      </x:c>
      <x:c r="G1766" s="115" t="str">
        <x:v>1 niveaux ; 34 pièces ; 260 segments de mur ; 0 transitions. Inspection physique ; architecture complète encore ouverte.</x:v>
      </x:c>
      <x:c r="H1766" s="115" t="str">
        <x:v>L 1480 ; l 1560 ; hauteur 8 m ; choix de composition auteur ; dimensions réelles à documenter</x:v>
      </x:c>
      <x:c r="I1766" s="115" t="str">
        <x:v>À équilibrer</x:v>
      </x:c>
      <x:c r="J1766" s="115" t="str">
        <x:v>Non</x:v>
      </x:c>
      <x:c r="K1766" s="115" t="str">
        <x:v>Pièces décrites, murs, portes, niveaux et mobilier inspectables à l’échelle. Volumes réservés, raccord au seed, butin, rencontres et services de campagne restent à terminer.</x:v>
      </x:c>
    </x:row>
    <x:row r="1767" ht="96" customHeight="1">
      <x:c r="A1767" s="115" t="str">
        <x:v>EXT-MONDE-T036-V12</x:v>
      </x:c>
      <x:c r="B1767" s="115" t="str">
        <x:v>EXT-MONDE-T036</x:v>
      </x:c>
      <x:c r="C1767" s="115" t="str">
        <x:v>Échangeurs</x:v>
      </x:c>
      <x:c r="D1767" s="115" t="str">
        <x:v>Échangeur directionnel</x:v>
      </x:c>
      <x:c r="E1767" s="115" t="n">
        <x:v>12</x:v>
      </x:c>
      <x:c r="F1767" s="115" t="str">
        <x:v>Inspection physique</x:v>
      </x:c>
      <x:c r="G1767" s="115" t="str">
        <x:v>1 niveaux ; 34 pièces ; 260 segments de mur ; 0 transitions. Inspection physique ; architecture complète encore ouverte.</x:v>
      </x:c>
      <x:c r="H1767" s="115" t="str">
        <x:v>L 1480 ; l 1560 ; hauteur 8 m ; choix de composition auteur ; dimensions réelles à documenter</x:v>
      </x:c>
      <x:c r="I1767" s="115" t="str">
        <x:v>À équilibrer</x:v>
      </x:c>
      <x:c r="J1767" s="115" t="str">
        <x:v>Non</x:v>
      </x:c>
      <x:c r="K1767" s="115" t="str">
        <x:v>Pièces décrites, murs, portes, niveaux et mobilier inspectables à l’échelle. Volumes réservés, raccord au seed, butin, rencontres et services de campagne restent à terminer.</x:v>
      </x:c>
    </x:row>
    <x:row r="1768" ht="96" customHeight="1">
      <x:c r="A1768" s="115" t="str">
        <x:v>EXT-MONDE-T036-V13</x:v>
      </x:c>
      <x:c r="B1768" s="115" t="str">
        <x:v>EXT-MONDE-T036</x:v>
      </x:c>
      <x:c r="C1768" s="115" t="str">
        <x:v>Échangeurs</x:v>
      </x:c>
      <x:c r="D1768" s="115" t="str">
        <x:v>Échangeur directionnel</x:v>
      </x:c>
      <x:c r="E1768" s="115" t="n">
        <x:v>13</x:v>
      </x:c>
      <x:c r="F1768" s="115" t="str">
        <x:v>Inspection physique</x:v>
      </x:c>
      <x:c r="G1768" s="115" t="str">
        <x:v>1 niveaux ; 34 pièces ; 260 segments de mur ; 0 transitions. Inspection physique ; architecture complète encore ouverte.</x:v>
      </x:c>
      <x:c r="H1768" s="115" t="str">
        <x:v>L 1480 ; l 1560 ; hauteur 8 m ; choix de composition auteur ; dimensions réelles à documenter</x:v>
      </x:c>
      <x:c r="I1768" s="115" t="str">
        <x:v>À équilibrer</x:v>
      </x:c>
      <x:c r="J1768" s="115" t="str">
        <x:v>Non</x:v>
      </x:c>
      <x:c r="K1768" s="115" t="str">
        <x:v>Pièces décrites, murs, portes, niveaux et mobilier inspectables à l’échelle. Volumes réservés, raccord au seed, butin, rencontres et services de campagne restent à terminer.</x:v>
      </x:c>
    </x:row>
    <x:row r="1769" ht="96" customHeight="1">
      <x:c r="A1769" s="115" t="str">
        <x:v>EXT-MONDE-T036-V14</x:v>
      </x:c>
      <x:c r="B1769" s="115" t="str">
        <x:v>EXT-MONDE-T036</x:v>
      </x:c>
      <x:c r="C1769" s="115" t="str">
        <x:v>Échangeurs</x:v>
      </x:c>
      <x:c r="D1769" s="115" t="str">
        <x:v>Échangeur directionnel</x:v>
      </x:c>
      <x:c r="E1769" s="115" t="n">
        <x:v>14</x:v>
      </x:c>
      <x:c r="F1769" s="115" t="str">
        <x:v>Inspection physique</x:v>
      </x:c>
      <x:c r="G1769" s="115" t="str">
        <x:v>1 niveaux ; 34 pièces ; 260 segments de mur ; 0 transitions. Inspection physique ; architecture complète encore ouverte.</x:v>
      </x:c>
      <x:c r="H1769" s="115" t="str">
        <x:v>L 1480 ; l 1560 ; hauteur 8 m ; choix de composition auteur ; dimensions réelles à documenter</x:v>
      </x:c>
      <x:c r="I1769" s="115" t="str">
        <x:v>À équilibrer</x:v>
      </x:c>
      <x:c r="J1769" s="115" t="str">
        <x:v>Non</x:v>
      </x:c>
      <x:c r="K1769" s="115" t="str">
        <x:v>Pièces décrites, murs, portes, niveaux et mobilier inspectables à l’échelle. Volumes réservés, raccord au seed, butin, rencontres et services de campagne restent à terminer.</x:v>
      </x:c>
    </x:row>
    <x:row r="1770" ht="96" customHeight="1">
      <x:c r="A1770" s="115" t="str">
        <x:v>EXT-MONDE-T036-V15</x:v>
      </x:c>
      <x:c r="B1770" s="115" t="str">
        <x:v>EXT-MONDE-T036</x:v>
      </x:c>
      <x:c r="C1770" s="115" t="str">
        <x:v>Échangeurs</x:v>
      </x:c>
      <x:c r="D1770" s="115" t="str">
        <x:v>Échangeur directionnel</x:v>
      </x:c>
      <x:c r="E1770" s="115" t="n">
        <x:v>15</x:v>
      </x:c>
      <x:c r="F1770" s="115" t="str">
        <x:v>Inspection physique</x:v>
      </x:c>
      <x:c r="G1770" s="115" t="str">
        <x:v>1 niveaux ; 34 pièces ; 260 segments de mur ; 0 transitions. Inspection physique ; architecture complète encore ouverte.</x:v>
      </x:c>
      <x:c r="H1770" s="115" t="str">
        <x:v>L 1480 ; l 1560 ; hauteur 8 m ; choix de composition auteur ; dimensions réelles à documenter</x:v>
      </x:c>
      <x:c r="I1770" s="115" t="str">
        <x:v>À équilibrer</x:v>
      </x:c>
      <x:c r="J1770" s="115" t="str">
        <x:v>Non</x:v>
      </x:c>
      <x:c r="K1770" s="115" t="str">
        <x:v>Pièces décrites, murs, portes, niveaux et mobilier inspectables à l’échelle. Volumes réservés, raccord au seed, butin, rencontres et services de campagne restent à terminer.</x:v>
      </x:c>
    </x:row>
    <x:row r="1771" ht="96" customHeight="1">
      <x:c r="A1771" s="115" t="str">
        <x:v>EXT-MONDE-T036-V16</x:v>
      </x:c>
      <x:c r="B1771" s="115" t="str">
        <x:v>EXT-MONDE-T036</x:v>
      </x:c>
      <x:c r="C1771" s="115" t="str">
        <x:v>Échangeurs</x:v>
      </x:c>
      <x:c r="D1771" s="115" t="str">
        <x:v>Échangeur directionnel</x:v>
      </x:c>
      <x:c r="E1771" s="115" t="n">
        <x:v>16</x:v>
      </x:c>
      <x:c r="F1771" s="115" t="str">
        <x:v>Inspection physique</x:v>
      </x:c>
      <x:c r="G1771" s="115" t="str">
        <x:v>1 niveaux ; 34 pièces ; 260 segments de mur ; 0 transitions. Inspection physique ; architecture complète encore ouverte.</x:v>
      </x:c>
      <x:c r="H1771" s="115" t="str">
        <x:v>L 1480 ; l 1560 ; hauteur 8 m ; choix de composition auteur ; dimensions réelles à documenter</x:v>
      </x:c>
      <x:c r="I1771" s="115" t="str">
        <x:v>À équilibrer</x:v>
      </x:c>
      <x:c r="J1771" s="115" t="str">
        <x:v>Non</x:v>
      </x:c>
      <x:c r="K1771" s="115" t="str">
        <x:v>Pièces décrites, murs, portes, niveaux et mobilier inspectables à l’échelle. Volumes réservés, raccord au seed, butin, rencontres et services de campagne restent à terminer.</x:v>
      </x:c>
    </x:row>
    <x:row r="1772" ht="96" customHeight="1">
      <x:c r="A1772" s="115" t="str">
        <x:v>EXT-MONDE-T036-V17</x:v>
      </x:c>
      <x:c r="B1772" s="115" t="str">
        <x:v>EXT-MONDE-T036</x:v>
      </x:c>
      <x:c r="C1772" s="115" t="str">
        <x:v>Échangeurs</x:v>
      </x:c>
      <x:c r="D1772" s="115" t="str">
        <x:v>Échangeur directionnel</x:v>
      </x:c>
      <x:c r="E1772" s="115" t="n">
        <x:v>17</x:v>
      </x:c>
      <x:c r="F1772" s="115" t="str">
        <x:v>Inspection physique</x:v>
      </x:c>
      <x:c r="G1772" s="115" t="str">
        <x:v>1 niveaux ; 34 pièces ; 260 segments de mur ; 0 transitions. Inspection physique ; architecture complète encore ouverte.</x:v>
      </x:c>
      <x:c r="H1772" s="115" t="str">
        <x:v>L 1480 ; l 1560 ; hauteur 8 m ; choix de composition auteur ; dimensions réelles à documenter</x:v>
      </x:c>
      <x:c r="I1772" s="115" t="str">
        <x:v>À équilibrer</x:v>
      </x:c>
      <x:c r="J1772" s="115" t="str">
        <x:v>Non</x:v>
      </x:c>
      <x:c r="K1772" s="115" t="str">
        <x:v>Pièces décrites, murs, portes, niveaux et mobilier inspectables à l’échelle. Volumes réservés, raccord au seed, butin, rencontres et services de campagne restent à terminer.</x:v>
      </x:c>
    </x:row>
    <x:row r="1773" ht="96" customHeight="1">
      <x:c r="A1773" s="115" t="str">
        <x:v>EXT-MONDE-T036-V18</x:v>
      </x:c>
      <x:c r="B1773" s="115" t="str">
        <x:v>EXT-MONDE-T036</x:v>
      </x:c>
      <x:c r="C1773" s="115" t="str">
        <x:v>Échangeurs</x:v>
      </x:c>
      <x:c r="D1773" s="115" t="str">
        <x:v>Échangeur directionnel</x:v>
      </x:c>
      <x:c r="E1773" s="115" t="n">
        <x:v>18</x:v>
      </x:c>
      <x:c r="F1773" s="115" t="str">
        <x:v>Inspection physique</x:v>
      </x:c>
      <x:c r="G1773" s="115" t="str">
        <x:v>1 niveaux ; 34 pièces ; 260 segments de mur ; 0 transitions. Inspection physique ; architecture complète encore ouverte.</x:v>
      </x:c>
      <x:c r="H1773" s="115" t="str">
        <x:v>L 1480 ; l 1560 ; hauteur 8 m ; choix de composition auteur ; dimensions réelles à documenter</x:v>
      </x:c>
      <x:c r="I1773" s="115" t="str">
        <x:v>À équilibrer</x:v>
      </x:c>
      <x:c r="J1773" s="115" t="str">
        <x:v>Non</x:v>
      </x:c>
      <x:c r="K1773" s="115" t="str">
        <x:v>Pièces décrites, murs, portes, niveaux et mobilier inspectables à l’échelle. Volumes réservés, raccord au seed, butin, rencontres et services de campagne restent à terminer.</x:v>
      </x:c>
    </x:row>
    <x:row r="1774" ht="96" customHeight="1">
      <x:c r="A1774" s="115" t="str">
        <x:v>EXT-MONDE-T036-V19</x:v>
      </x:c>
      <x:c r="B1774" s="115" t="str">
        <x:v>EXT-MONDE-T036</x:v>
      </x:c>
      <x:c r="C1774" s="115" t="str">
        <x:v>Échangeurs</x:v>
      </x:c>
      <x:c r="D1774" s="115" t="str">
        <x:v>Échangeur directionnel</x:v>
      </x:c>
      <x:c r="E1774" s="115" t="n">
        <x:v>19</x:v>
      </x:c>
      <x:c r="F1774" s="115" t="str">
        <x:v>Inspection physique</x:v>
      </x:c>
      <x:c r="G1774" s="115" t="str">
        <x:v>1 niveaux ; 34 pièces ; 260 segments de mur ; 0 transitions. Inspection physique ; architecture complète encore ouverte.</x:v>
      </x:c>
      <x:c r="H1774" s="115" t="str">
        <x:v>L 1480 ; l 1560 ; hauteur 8 m ; choix de composition auteur ; dimensions réelles à documenter</x:v>
      </x:c>
      <x:c r="I1774" s="115" t="str">
        <x:v>À équilibrer</x:v>
      </x:c>
      <x:c r="J1774" s="115" t="str">
        <x:v>Non</x:v>
      </x:c>
      <x:c r="K1774" s="115" t="str">
        <x:v>Pièces décrites, murs, portes, niveaux et mobilier inspectables à l’échelle. Volumes réservés, raccord au seed, butin, rencontres et services de campagne restent à terminer.</x:v>
      </x:c>
    </x:row>
    <x:row r="1775" ht="96" customHeight="1">
      <x:c r="A1775" s="115" t="str">
        <x:v>EXT-MONDE-T036-V20</x:v>
      </x:c>
      <x:c r="B1775" s="115" t="str">
        <x:v>EXT-MONDE-T036</x:v>
      </x:c>
      <x:c r="C1775" s="115" t="str">
        <x:v>Échangeurs</x:v>
      </x:c>
      <x:c r="D1775" s="115" t="str">
        <x:v>Échangeur directionnel</x:v>
      </x:c>
      <x:c r="E1775" s="115" t="n">
        <x:v>20</x:v>
      </x:c>
      <x:c r="F1775" s="115" t="str">
        <x:v>Inspection physique</x:v>
      </x:c>
      <x:c r="G1775" s="115" t="str">
        <x:v>1 niveaux ; 34 pièces ; 260 segments de mur ; 0 transitions. Inspection physique ; architecture complète encore ouverte.</x:v>
      </x:c>
      <x:c r="H1775" s="115" t="str">
        <x:v>L 1480 ; l 1560 ; hauteur 8 m ; choix de composition auteur ; dimensions réelles à documenter</x:v>
      </x:c>
      <x:c r="I1775" s="115" t="str">
        <x:v>À équilibrer</x:v>
      </x:c>
      <x:c r="J1775" s="115" t="str">
        <x:v>Non</x:v>
      </x:c>
      <x:c r="K1775" s="115" t="str">
        <x:v>Pièces décrites, murs, portes, niveaux et mobilier inspectables à l’échelle. Volumes réservés, raccord au seed, butin, rencontres et services de campagne restent à terminer.</x:v>
      </x:c>
    </x:row>
    <x:row r="1776" ht="96" customHeight="1">
      <x:c r="A1776" s="115" t="str">
        <x:v>EXT-MONDE-T036-V21</x:v>
      </x:c>
      <x:c r="B1776" s="115" t="str">
        <x:v>EXT-MONDE-T036</x:v>
      </x:c>
      <x:c r="C1776" s="115" t="str">
        <x:v>Échangeurs</x:v>
      </x:c>
      <x:c r="D1776" s="115" t="str">
        <x:v>Échangeur directionnel</x:v>
      </x:c>
      <x:c r="E1776" s="115" t="n">
        <x:v>21</x:v>
      </x:c>
      <x:c r="F1776" s="115" t="str">
        <x:v>Inspection physique</x:v>
      </x:c>
      <x:c r="G1776" s="115" t="str">
        <x:v>1 niveaux ; 34 pièces ; 260 segments de mur ; 0 transitions. Inspection physique ; architecture complète encore ouverte.</x:v>
      </x:c>
      <x:c r="H1776" s="115" t="str">
        <x:v>L 1560 ; l 1720 ; hauteur 8 m ; choix de composition auteur ; dimensions réelles à documenter</x:v>
      </x:c>
      <x:c r="I1776" s="115" t="str">
        <x:v>À équilibrer</x:v>
      </x:c>
      <x:c r="J1776" s="115" t="str">
        <x:v>Non</x:v>
      </x:c>
      <x:c r="K1776" s="115" t="str">
        <x:v>Pièces décrites, murs, portes, niveaux et mobilier inspectables à l’échelle. Volumes réservés, raccord au seed, butin, rencontres et services de campagne restent à terminer.</x:v>
      </x:c>
    </x:row>
    <x:row r="1777" ht="96" customHeight="1">
      <x:c r="A1777" s="115" t="str">
        <x:v>EXT-MONDE-T036-V22</x:v>
      </x:c>
      <x:c r="B1777" s="115" t="str">
        <x:v>EXT-MONDE-T036</x:v>
      </x:c>
      <x:c r="C1777" s="115" t="str">
        <x:v>Échangeurs</x:v>
      </x:c>
      <x:c r="D1777" s="115" t="str">
        <x:v>Échangeur directionnel</x:v>
      </x:c>
      <x:c r="E1777" s="115" t="n">
        <x:v>22</x:v>
      </x:c>
      <x:c r="F1777" s="115" t="str">
        <x:v>Inspection physique</x:v>
      </x:c>
      <x:c r="G1777" s="115" t="str">
        <x:v>1 niveaux ; 34 pièces ; 260 segments de mur ; 0 transitions. Inspection physique ; architecture complète encore ouverte.</x:v>
      </x:c>
      <x:c r="H1777" s="115" t="str">
        <x:v>L 1560 ; l 1720 ; hauteur 8 m ; choix de composition auteur ; dimensions réelles à documenter</x:v>
      </x:c>
      <x:c r="I1777" s="115" t="str">
        <x:v>À équilibrer</x:v>
      </x:c>
      <x:c r="J1777" s="115" t="str">
        <x:v>Non</x:v>
      </x:c>
      <x:c r="K1777" s="115" t="str">
        <x:v>Pièces décrites, murs, portes, niveaux et mobilier inspectables à l’échelle. Volumes réservés, raccord au seed, butin, rencontres et services de campagne restent à terminer.</x:v>
      </x:c>
    </x:row>
    <x:row r="1778" ht="96" customHeight="1">
      <x:c r="A1778" s="115" t="str">
        <x:v>EXT-MONDE-T036-V23</x:v>
      </x:c>
      <x:c r="B1778" s="115" t="str">
        <x:v>EXT-MONDE-T036</x:v>
      </x:c>
      <x:c r="C1778" s="115" t="str">
        <x:v>Échangeurs</x:v>
      </x:c>
      <x:c r="D1778" s="115" t="str">
        <x:v>Échangeur directionnel</x:v>
      </x:c>
      <x:c r="E1778" s="115" t="n">
        <x:v>23</x:v>
      </x:c>
      <x:c r="F1778" s="115" t="str">
        <x:v>Inspection physique</x:v>
      </x:c>
      <x:c r="G1778" s="115" t="str">
        <x:v>1 niveaux ; 34 pièces ; 260 segments de mur ; 0 transitions. Inspection physique ; architecture complète encore ouverte.</x:v>
      </x:c>
      <x:c r="H1778" s="115" t="str">
        <x:v>L 1560 ; l 1720 ; hauteur 8 m ; choix de composition auteur ; dimensions réelles à documenter</x:v>
      </x:c>
      <x:c r="I1778" s="115" t="str">
        <x:v>À équilibrer</x:v>
      </x:c>
      <x:c r="J1778" s="115" t="str">
        <x:v>Non</x:v>
      </x:c>
      <x:c r="K1778" s="115" t="str">
        <x:v>Pièces décrites, murs, portes, niveaux et mobilier inspectables à l’échelle. Volumes réservés, raccord au seed, butin, rencontres et services de campagne restent à terminer.</x:v>
      </x:c>
    </x:row>
    <x:row r="1779" ht="96" customHeight="1">
      <x:c r="A1779" s="115" t="str">
        <x:v>EXT-MONDE-T036-V24</x:v>
      </x:c>
      <x:c r="B1779" s="115" t="str">
        <x:v>EXT-MONDE-T036</x:v>
      </x:c>
      <x:c r="C1779" s="115" t="str">
        <x:v>Échangeurs</x:v>
      </x:c>
      <x:c r="D1779" s="115" t="str">
        <x:v>Échangeur directionnel</x:v>
      </x:c>
      <x:c r="E1779" s="115" t="n">
        <x:v>24</x:v>
      </x:c>
      <x:c r="F1779" s="115" t="str">
        <x:v>Inspection physique</x:v>
      </x:c>
      <x:c r="G1779" s="115" t="str">
        <x:v>1 niveaux ; 34 pièces ; 260 segments de mur ; 0 transitions. Inspection physique ; architecture complète encore ouverte.</x:v>
      </x:c>
      <x:c r="H1779" s="115" t="str">
        <x:v>L 1560 ; l 1720 ; hauteur 8 m ; choix de composition auteur ; dimensions réelles à documenter</x:v>
      </x:c>
      <x:c r="I1779" s="115" t="str">
        <x:v>À équilibrer</x:v>
      </x:c>
      <x:c r="J1779" s="115" t="str">
        <x:v>Non</x:v>
      </x:c>
      <x:c r="K1779" s="115" t="str">
        <x:v>Pièces décrites, murs, portes, niveaux et mobilier inspectables à l’échelle. Volumes réservés, raccord au seed, butin, rencontres et services de campagne restent à terminer.</x:v>
      </x:c>
    </x:row>
    <x:row r="1780" ht="96" customHeight="1">
      <x:c r="A1780" s="115" t="str">
        <x:v>EXT-MONDE-T036-V25</x:v>
      </x:c>
      <x:c r="B1780" s="115" t="str">
        <x:v>EXT-MONDE-T036</x:v>
      </x:c>
      <x:c r="C1780" s="115" t="str">
        <x:v>Échangeurs</x:v>
      </x:c>
      <x:c r="D1780" s="115" t="str">
        <x:v>Échangeur directionnel</x:v>
      </x:c>
      <x:c r="E1780" s="115" t="n">
        <x:v>25</x:v>
      </x:c>
      <x:c r="F1780" s="115" t="str">
        <x:v>Inspection physique</x:v>
      </x:c>
      <x:c r="G1780" s="115" t="str">
        <x:v>1 niveaux ; 34 pièces ; 260 segments de mur ; 0 transitions. Inspection physique ; architecture complète encore ouverte.</x:v>
      </x:c>
      <x:c r="H1780" s="115" t="str">
        <x:v>L 1560 ; l 1720 ; hauteur 8 m ; choix de composition auteur ; dimensions réelles à documenter</x:v>
      </x:c>
      <x:c r="I1780" s="115" t="str">
        <x:v>À équilibrer</x:v>
      </x:c>
      <x:c r="J1780" s="115" t="str">
        <x:v>Non</x:v>
      </x:c>
      <x:c r="K1780" s="115" t="str">
        <x:v>Pièces décrites, murs, portes, niveaux et mobilier inspectables à l’échelle. Volumes réservés, raccord au seed, butin, rencontres et services de campagne restent à terminer.</x:v>
      </x:c>
    </x:row>
    <x:row r="1781" ht="96" customHeight="1">
      <x:c r="A1781" s="115" t="str">
        <x:v>EXT-MONDE-T036-V26</x:v>
      </x:c>
      <x:c r="B1781" s="115" t="str">
        <x:v>EXT-MONDE-T036</x:v>
      </x:c>
      <x:c r="C1781" s="115" t="str">
        <x:v>Échangeurs</x:v>
      </x:c>
      <x:c r="D1781" s="115" t="str">
        <x:v>Échangeur directionnel</x:v>
      </x:c>
      <x:c r="E1781" s="115" t="n">
        <x:v>26</x:v>
      </x:c>
      <x:c r="F1781" s="115" t="str">
        <x:v>Inspection physique</x:v>
      </x:c>
      <x:c r="G1781" s="115" t="str">
        <x:v>1 niveaux ; 34 pièces ; 260 segments de mur ; 0 transitions. Inspection physique ; architecture complète encore ouverte.</x:v>
      </x:c>
      <x:c r="H1781" s="115" t="str">
        <x:v>L 1560 ; l 1720 ; hauteur 8 m ; choix de composition auteur ; dimensions réelles à documenter</x:v>
      </x:c>
      <x:c r="I1781" s="115" t="str">
        <x:v>À équilibrer</x:v>
      </x:c>
      <x:c r="J1781" s="115" t="str">
        <x:v>Non</x:v>
      </x:c>
      <x:c r="K1781" s="115" t="str">
        <x:v>Pièces décrites, murs, portes, niveaux et mobilier inspectables à l’échelle. Volumes réservés, raccord au seed, butin, rencontres et services de campagne restent à terminer.</x:v>
      </x:c>
    </x:row>
    <x:row r="1782" ht="96" customHeight="1">
      <x:c r="A1782" s="115" t="str">
        <x:v>EXT-MONDE-T036-V27</x:v>
      </x:c>
      <x:c r="B1782" s="115" t="str">
        <x:v>EXT-MONDE-T036</x:v>
      </x:c>
      <x:c r="C1782" s="115" t="str">
        <x:v>Échangeurs</x:v>
      </x:c>
      <x:c r="D1782" s="115" t="str">
        <x:v>Échangeur directionnel</x:v>
      </x:c>
      <x:c r="E1782" s="115" t="n">
        <x:v>27</x:v>
      </x:c>
      <x:c r="F1782" s="115" t="str">
        <x:v>Inspection physique</x:v>
      </x:c>
      <x:c r="G1782" s="115" t="str">
        <x:v>1 niveaux ; 34 pièces ; 260 segments de mur ; 0 transitions. Inspection physique ; architecture complète encore ouverte.</x:v>
      </x:c>
      <x:c r="H1782" s="115" t="str">
        <x:v>L 1560 ; l 1720 ; hauteur 8 m ; choix de composition auteur ; dimensions réelles à documenter</x:v>
      </x:c>
      <x:c r="I1782" s="115" t="str">
        <x:v>À équilibrer</x:v>
      </x:c>
      <x:c r="J1782" s="115" t="str">
        <x:v>Non</x:v>
      </x:c>
      <x:c r="K1782" s="115" t="str">
        <x:v>Pièces décrites, murs, portes, niveaux et mobilier inspectables à l’échelle. Volumes réservés, raccord au seed, butin, rencontres et services de campagne restent à terminer.</x:v>
      </x:c>
    </x:row>
    <x:row r="1783" ht="96" customHeight="1">
      <x:c r="A1783" s="115" t="str">
        <x:v>EXT-MONDE-T036-V28</x:v>
      </x:c>
      <x:c r="B1783" s="115" t="str">
        <x:v>EXT-MONDE-T036</x:v>
      </x:c>
      <x:c r="C1783" s="115" t="str">
        <x:v>Échangeurs</x:v>
      </x:c>
      <x:c r="D1783" s="115" t="str">
        <x:v>Échangeur directionnel</x:v>
      </x:c>
      <x:c r="E1783" s="115" t="n">
        <x:v>28</x:v>
      </x:c>
      <x:c r="F1783" s="115" t="str">
        <x:v>Inspection physique</x:v>
      </x:c>
      <x:c r="G1783" s="115" t="str">
        <x:v>1 niveaux ; 34 pièces ; 260 segments de mur ; 0 transitions. Inspection physique ; architecture complète encore ouverte.</x:v>
      </x:c>
      <x:c r="H1783" s="115" t="str">
        <x:v>L 1560 ; l 1720 ; hauteur 8 m ; choix de composition auteur ; dimensions réelles à documenter</x:v>
      </x:c>
      <x:c r="I1783" s="115" t="str">
        <x:v>À équilibrer</x:v>
      </x:c>
      <x:c r="J1783" s="115" t="str">
        <x:v>Non</x:v>
      </x:c>
      <x:c r="K1783" s="115" t="str">
        <x:v>Pièces décrites, murs, portes, niveaux et mobilier inspectables à l’échelle. Volumes réservés, raccord au seed, butin, rencontres et services de campagne restent à terminer.</x:v>
      </x:c>
    </x:row>
    <x:row r="1784" ht="96" customHeight="1">
      <x:c r="A1784" s="115" t="str">
        <x:v>EXT-MONDE-T036-V29</x:v>
      </x:c>
      <x:c r="B1784" s="115" t="str">
        <x:v>EXT-MONDE-T036</x:v>
      </x:c>
      <x:c r="C1784" s="115" t="str">
        <x:v>Échangeurs</x:v>
      </x:c>
      <x:c r="D1784" s="115" t="str">
        <x:v>Échangeur directionnel</x:v>
      </x:c>
      <x:c r="E1784" s="115" t="n">
        <x:v>29</x:v>
      </x:c>
      <x:c r="F1784" s="115" t="str">
        <x:v>Inspection physique</x:v>
      </x:c>
      <x:c r="G1784" s="115" t="str">
        <x:v>1 niveaux ; 34 pièces ; 260 segments de mur ; 0 transitions. Inspection physique ; architecture complète encore ouverte.</x:v>
      </x:c>
      <x:c r="H1784" s="115" t="str">
        <x:v>L 1560 ; l 1720 ; hauteur 8 m ; choix de composition auteur ; dimensions réelles à documenter</x:v>
      </x:c>
      <x:c r="I1784" s="115" t="str">
        <x:v>À équilibrer</x:v>
      </x:c>
      <x:c r="J1784" s="115" t="str">
        <x:v>Non</x:v>
      </x:c>
      <x:c r="K1784" s="115" t="str">
        <x:v>Pièces décrites, murs, portes, niveaux et mobilier inspectables à l’échelle. Volumes réservés, raccord au seed, butin, rencontres et services de campagne restent à terminer.</x:v>
      </x:c>
    </x:row>
    <x:row r="1785" ht="96" customHeight="1">
      <x:c r="A1785" s="115" t="str">
        <x:v>EXT-MONDE-T036-V30</x:v>
      </x:c>
      <x:c r="B1785" s="115" t="str">
        <x:v>EXT-MONDE-T036</x:v>
      </x:c>
      <x:c r="C1785" s="115" t="str">
        <x:v>Échangeurs</x:v>
      </x:c>
      <x:c r="D1785" s="115" t="str">
        <x:v>Échangeur directionnel</x:v>
      </x:c>
      <x:c r="E1785" s="115" t="n">
        <x:v>30</x:v>
      </x:c>
      <x:c r="F1785" s="115" t="str">
        <x:v>Inspection physique</x:v>
      </x:c>
      <x:c r="G1785" s="115" t="str">
        <x:v>1 niveaux ; 34 pièces ; 260 segments de mur ; 0 transitions. Inspection physique ; architecture complète encore ouverte.</x:v>
      </x:c>
      <x:c r="H1785" s="115" t="str">
        <x:v>L 1560 ; l 1720 ; hauteur 8 m ; choix de composition auteur ; dimensions réelles à documenter</x:v>
      </x:c>
      <x:c r="I1785" s="115" t="str">
        <x:v>À équilibrer</x:v>
      </x:c>
      <x:c r="J1785" s="115" t="str">
        <x:v>Non</x:v>
      </x:c>
      <x:c r="K1785" s="115" t="str">
        <x:v>Pièces décrites, murs, portes, niveaux et mobilier inspectables à l’échelle. Volumes réservés, raccord au seed, butin, rencontres et services de campagne restent à terminer.</x:v>
      </x:c>
    </x:row>
    <x:row r="1786" ht="96" customHeight="1">
      <x:c r="A1786" s="115" t="str">
        <x:v>EXT-MONDE-T036-V31</x:v>
      </x:c>
      <x:c r="B1786" s="115" t="str">
        <x:v>EXT-MONDE-T036</x:v>
      </x:c>
      <x:c r="C1786" s="115" t="str">
        <x:v>Échangeurs</x:v>
      </x:c>
      <x:c r="D1786" s="115" t="str">
        <x:v>Échangeur directionnel</x:v>
      </x:c>
      <x:c r="E1786" s="115" t="n">
        <x:v>31</x:v>
      </x:c>
      <x:c r="F1786" s="115" t="str">
        <x:v>Inspection physique</x:v>
      </x:c>
      <x:c r="G1786" s="115" t="str">
        <x:v>1 niveaux ; 34 pièces ; 260 segments de mur ; 0 transitions. Inspection physique ; architecture complète encore ouverte.</x:v>
      </x:c>
      <x:c r="H1786" s="115" t="str">
        <x:v>L 1640 ; l 1880 ; hauteur 8 m ; choix de composition auteur ; dimensions réelles à documenter</x:v>
      </x:c>
      <x:c r="I1786" s="115" t="str">
        <x:v>À équilibrer</x:v>
      </x:c>
      <x:c r="J1786" s="115" t="str">
        <x:v>Non</x:v>
      </x:c>
      <x:c r="K1786" s="115" t="str">
        <x:v>Pièces décrites, murs, portes, niveaux et mobilier inspectables à l’échelle. Volumes réservés, raccord au seed, butin, rencontres et services de campagne restent à terminer.</x:v>
      </x:c>
    </x:row>
    <x:row r="1787" ht="96" customHeight="1">
      <x:c r="A1787" s="115" t="str">
        <x:v>EXT-MONDE-T036-V32</x:v>
      </x:c>
      <x:c r="B1787" s="115" t="str">
        <x:v>EXT-MONDE-T036</x:v>
      </x:c>
      <x:c r="C1787" s="115" t="str">
        <x:v>Échangeurs</x:v>
      </x:c>
      <x:c r="D1787" s="115" t="str">
        <x:v>Échangeur directionnel</x:v>
      </x:c>
      <x:c r="E1787" s="115" t="n">
        <x:v>32</x:v>
      </x:c>
      <x:c r="F1787" s="115" t="str">
        <x:v>Inspection physique</x:v>
      </x:c>
      <x:c r="G1787" s="115" t="str">
        <x:v>1 niveaux ; 34 pièces ; 260 segments de mur ; 0 transitions. Inspection physique ; architecture complète encore ouverte.</x:v>
      </x:c>
      <x:c r="H1787" s="115" t="str">
        <x:v>L 1640 ; l 1880 ; hauteur 8 m ; choix de composition auteur ; dimensions réelles à documenter</x:v>
      </x:c>
      <x:c r="I1787" s="115" t="str">
        <x:v>À équilibrer</x:v>
      </x:c>
      <x:c r="J1787" s="115" t="str">
        <x:v>Non</x:v>
      </x:c>
      <x:c r="K1787" s="115" t="str">
        <x:v>Pièces décrites, murs, portes, niveaux et mobilier inspectables à l’échelle. Volumes réservés, raccord au seed, butin, rencontres et services de campagne restent à terminer.</x:v>
      </x:c>
    </x:row>
    <x:row r="1788" ht="96" customHeight="1">
      <x:c r="A1788" s="115" t="str">
        <x:v>EXT-MONDE-T036-V33</x:v>
      </x:c>
      <x:c r="B1788" s="115" t="str">
        <x:v>EXT-MONDE-T036</x:v>
      </x:c>
      <x:c r="C1788" s="115" t="str">
        <x:v>Échangeurs</x:v>
      </x:c>
      <x:c r="D1788" s="115" t="str">
        <x:v>Échangeur directionnel</x:v>
      </x:c>
      <x:c r="E1788" s="115" t="n">
        <x:v>33</x:v>
      </x:c>
      <x:c r="F1788" s="115" t="str">
        <x:v>Inspection physique</x:v>
      </x:c>
      <x:c r="G1788" s="115" t="str">
        <x:v>1 niveaux ; 34 pièces ; 260 segments de mur ; 0 transitions. Inspection physique ; architecture complète encore ouverte.</x:v>
      </x:c>
      <x:c r="H1788" s="115" t="str">
        <x:v>L 1640 ; l 1880 ; hauteur 8 m ; choix de composition auteur ; dimensions réelles à documenter</x:v>
      </x:c>
      <x:c r="I1788" s="115" t="str">
        <x:v>À équilibrer</x:v>
      </x:c>
      <x:c r="J1788" s="115" t="str">
        <x:v>Non</x:v>
      </x:c>
      <x:c r="K1788" s="115" t="str">
        <x:v>Pièces décrites, murs, portes, niveaux et mobilier inspectables à l’échelle. Volumes réservés, raccord au seed, butin, rencontres et services de campagne restent à terminer.</x:v>
      </x:c>
    </x:row>
    <x:row r="1789" ht="96" customHeight="1">
      <x:c r="A1789" s="115" t="str">
        <x:v>EXT-MONDE-T036-V34</x:v>
      </x:c>
      <x:c r="B1789" s="115" t="str">
        <x:v>EXT-MONDE-T036</x:v>
      </x:c>
      <x:c r="C1789" s="115" t="str">
        <x:v>Échangeurs</x:v>
      </x:c>
      <x:c r="D1789" s="115" t="str">
        <x:v>Échangeur directionnel</x:v>
      </x:c>
      <x:c r="E1789" s="115" t="n">
        <x:v>34</x:v>
      </x:c>
      <x:c r="F1789" s="115" t="str">
        <x:v>Inspection physique</x:v>
      </x:c>
      <x:c r="G1789" s="115" t="str">
        <x:v>1 niveaux ; 34 pièces ; 260 segments de mur ; 0 transitions. Inspection physique ; architecture complète encore ouverte.</x:v>
      </x:c>
      <x:c r="H1789" s="115" t="str">
        <x:v>L 1640 ; l 1880 ; hauteur 8 m ; choix de composition auteur ; dimensions réelles à documenter</x:v>
      </x:c>
      <x:c r="I1789" s="115" t="str">
        <x:v>À équilibrer</x:v>
      </x:c>
      <x:c r="J1789" s="115" t="str">
        <x:v>Non</x:v>
      </x:c>
      <x:c r="K1789" s="115" t="str">
        <x:v>Pièces décrites, murs, portes, niveaux et mobilier inspectables à l’échelle. Volumes réservés, raccord au seed, butin, rencontres et services de campagne restent à terminer.</x:v>
      </x:c>
    </x:row>
    <x:row r="1790" ht="96" customHeight="1">
      <x:c r="A1790" s="115" t="str">
        <x:v>EXT-MONDE-T036-V35</x:v>
      </x:c>
      <x:c r="B1790" s="115" t="str">
        <x:v>EXT-MONDE-T036</x:v>
      </x:c>
      <x:c r="C1790" s="115" t="str">
        <x:v>Échangeurs</x:v>
      </x:c>
      <x:c r="D1790" s="115" t="str">
        <x:v>Échangeur directionnel</x:v>
      </x:c>
      <x:c r="E1790" s="115" t="n">
        <x:v>35</x:v>
      </x:c>
      <x:c r="F1790" s="115" t="str">
        <x:v>Inspection physique</x:v>
      </x:c>
      <x:c r="G1790" s="115" t="str">
        <x:v>1 niveaux ; 34 pièces ; 260 segments de mur ; 0 transitions. Inspection physique ; architecture complète encore ouverte.</x:v>
      </x:c>
      <x:c r="H1790" s="115" t="str">
        <x:v>L 1640 ; l 1880 ; hauteur 8 m ; choix de composition auteur ; dimensions réelles à documenter</x:v>
      </x:c>
      <x:c r="I1790" s="115" t="str">
        <x:v>À équilibrer</x:v>
      </x:c>
      <x:c r="J1790" s="115" t="str">
        <x:v>Non</x:v>
      </x:c>
      <x:c r="K1790" s="115" t="str">
        <x:v>Pièces décrites, murs, portes, niveaux et mobilier inspectables à l’échelle. Volumes réservés, raccord au seed, butin, rencontres et services de campagne restent à terminer.</x:v>
      </x:c>
    </x:row>
    <x:row r="1791" ht="96" customHeight="1">
      <x:c r="A1791" s="115" t="str">
        <x:v>EXT-MONDE-T036-V36</x:v>
      </x:c>
      <x:c r="B1791" s="115" t="str">
        <x:v>EXT-MONDE-T036</x:v>
      </x:c>
      <x:c r="C1791" s="115" t="str">
        <x:v>Échangeurs</x:v>
      </x:c>
      <x:c r="D1791" s="115" t="str">
        <x:v>Échangeur directionnel</x:v>
      </x:c>
      <x:c r="E1791" s="115" t="n">
        <x:v>36</x:v>
      </x:c>
      <x:c r="F1791" s="115" t="str">
        <x:v>Inspection physique</x:v>
      </x:c>
      <x:c r="G1791" s="115" t="str">
        <x:v>1 niveaux ; 34 pièces ; 260 segments de mur ; 0 transitions. Inspection physique ; architecture complète encore ouverte.</x:v>
      </x:c>
      <x:c r="H1791" s="115" t="str">
        <x:v>L 1640 ; l 1880 ; hauteur 8 m ; choix de composition auteur ; dimensions réelles à documenter</x:v>
      </x:c>
      <x:c r="I1791" s="115" t="str">
        <x:v>À équilibrer</x:v>
      </x:c>
      <x:c r="J1791" s="115" t="str">
        <x:v>Non</x:v>
      </x:c>
      <x:c r="K1791" s="115" t="str">
        <x:v>Pièces décrites, murs, portes, niveaux et mobilier inspectables à l’échelle. Volumes réservés, raccord au seed, butin, rencontres et services de campagne restent à terminer.</x:v>
      </x:c>
    </x:row>
    <x:row r="1792" ht="96" customHeight="1">
      <x:c r="A1792" s="115" t="str">
        <x:v>EXT-MONDE-T036-V37</x:v>
      </x:c>
      <x:c r="B1792" s="115" t="str">
        <x:v>EXT-MONDE-T036</x:v>
      </x:c>
      <x:c r="C1792" s="115" t="str">
        <x:v>Échangeurs</x:v>
      </x:c>
      <x:c r="D1792" s="115" t="str">
        <x:v>Échangeur directionnel</x:v>
      </x:c>
      <x:c r="E1792" s="115" t="n">
        <x:v>37</x:v>
      </x:c>
      <x:c r="F1792" s="115" t="str">
        <x:v>Inspection physique</x:v>
      </x:c>
      <x:c r="G1792" s="115" t="str">
        <x:v>1 niveaux ; 34 pièces ; 260 segments de mur ; 0 transitions. Inspection physique ; architecture complète encore ouverte.</x:v>
      </x:c>
      <x:c r="H1792" s="115" t="str">
        <x:v>L 1640 ; l 1880 ; hauteur 8 m ; choix de composition auteur ; dimensions réelles à documenter</x:v>
      </x:c>
      <x:c r="I1792" s="115" t="str">
        <x:v>À équilibrer</x:v>
      </x:c>
      <x:c r="J1792" s="115" t="str">
        <x:v>Non</x:v>
      </x:c>
      <x:c r="K1792" s="115" t="str">
        <x:v>Pièces décrites, murs, portes, niveaux et mobilier inspectables à l’échelle. Volumes réservés, raccord au seed, butin, rencontres et services de campagne restent à terminer.</x:v>
      </x:c>
    </x:row>
    <x:row r="1793" ht="96" customHeight="1">
      <x:c r="A1793" s="115" t="str">
        <x:v>EXT-MONDE-T036-V38</x:v>
      </x:c>
      <x:c r="B1793" s="115" t="str">
        <x:v>EXT-MONDE-T036</x:v>
      </x:c>
      <x:c r="C1793" s="115" t="str">
        <x:v>Échangeurs</x:v>
      </x:c>
      <x:c r="D1793" s="115" t="str">
        <x:v>Échangeur directionnel</x:v>
      </x:c>
      <x:c r="E1793" s="115" t="n">
        <x:v>38</x:v>
      </x:c>
      <x:c r="F1793" s="115" t="str">
        <x:v>Inspection physique</x:v>
      </x:c>
      <x:c r="G1793" s="115" t="str">
        <x:v>1 niveaux ; 34 pièces ; 260 segments de mur ; 0 transitions. Inspection physique ; architecture complète encore ouverte.</x:v>
      </x:c>
      <x:c r="H1793" s="115" t="str">
        <x:v>L 1640 ; l 1880 ; hauteur 8 m ; choix de composition auteur ; dimensions réelles à documenter</x:v>
      </x:c>
      <x:c r="I1793" s="115" t="str">
        <x:v>À équilibrer</x:v>
      </x:c>
      <x:c r="J1793" s="115" t="str">
        <x:v>Non</x:v>
      </x:c>
      <x:c r="K1793" s="115" t="str">
        <x:v>Pièces décrites, murs, portes, niveaux et mobilier inspectables à l’échelle. Volumes réservés, raccord au seed, butin, rencontres et services de campagne restent à terminer.</x:v>
      </x:c>
    </x:row>
    <x:row r="1794" ht="96" customHeight="1">
      <x:c r="A1794" s="115" t="str">
        <x:v>EXT-MONDE-T036-V39</x:v>
      </x:c>
      <x:c r="B1794" s="115" t="str">
        <x:v>EXT-MONDE-T036</x:v>
      </x:c>
      <x:c r="C1794" s="115" t="str">
        <x:v>Échangeurs</x:v>
      </x:c>
      <x:c r="D1794" s="115" t="str">
        <x:v>Échangeur directionnel</x:v>
      </x:c>
      <x:c r="E1794" s="115" t="n">
        <x:v>39</x:v>
      </x:c>
      <x:c r="F1794" s="115" t="str">
        <x:v>Inspection physique</x:v>
      </x:c>
      <x:c r="G1794" s="115" t="str">
        <x:v>1 niveaux ; 34 pièces ; 260 segments de mur ; 0 transitions. Inspection physique ; architecture complète encore ouverte.</x:v>
      </x:c>
      <x:c r="H1794" s="115" t="str">
        <x:v>L 1640 ; l 1880 ; hauteur 8 m ; choix de composition auteur ; dimensions réelles à documenter</x:v>
      </x:c>
      <x:c r="I1794" s="115" t="str">
        <x:v>À équilibrer</x:v>
      </x:c>
      <x:c r="J1794" s="115" t="str">
        <x:v>Non</x:v>
      </x:c>
      <x:c r="K1794" s="115" t="str">
        <x:v>Pièces décrites, murs, portes, niveaux et mobilier inspectables à l’échelle. Volumes réservés, raccord au seed, butin, rencontres et services de campagne restent à terminer.</x:v>
      </x:c>
    </x:row>
    <x:row r="1795" ht="96" customHeight="1">
      <x:c r="A1795" s="115" t="str">
        <x:v>EXT-MONDE-T036-V40</x:v>
      </x:c>
      <x:c r="B1795" s="115" t="str">
        <x:v>EXT-MONDE-T036</x:v>
      </x:c>
      <x:c r="C1795" s="115" t="str">
        <x:v>Échangeurs</x:v>
      </x:c>
      <x:c r="D1795" s="115" t="str">
        <x:v>Échangeur directionnel</x:v>
      </x:c>
      <x:c r="E1795" s="115" t="n">
        <x:v>40</x:v>
      </x:c>
      <x:c r="F1795" s="115" t="str">
        <x:v>Inspection physique</x:v>
      </x:c>
      <x:c r="G1795" s="115" t="str">
        <x:v>1 niveaux ; 34 pièces ; 260 segments de mur ; 0 transitions. Inspection physique ; architecture complète encore ouverte.</x:v>
      </x:c>
      <x:c r="H1795" s="115" t="str">
        <x:v>L 1640 ; l 1880 ; hauteur 8 m ; choix de composition auteur ; dimensions réelles à documenter</x:v>
      </x:c>
      <x:c r="I1795" s="115" t="str">
        <x:v>À équilibrer</x:v>
      </x:c>
      <x:c r="J1795" s="115" t="str">
        <x:v>Non</x:v>
      </x:c>
      <x:c r="K1795" s="115" t="str">
        <x:v>Pièces décrites, murs, portes, niveaux et mobilier inspectables à l’échelle. Volumes réservés, raccord au seed, butin, rencontres et services de campagne restent à terminer.</x:v>
      </x:c>
    </x:row>
    <x:row r="1796" ht="96" customHeight="1">
      <x:c r="A1796" s="115" t="str">
        <x:v>EXT-MONDE-T036-V41</x:v>
      </x:c>
      <x:c r="B1796" s="115" t="str">
        <x:v>EXT-MONDE-T036</x:v>
      </x:c>
      <x:c r="C1796" s="115" t="str">
        <x:v>Échangeurs</x:v>
      </x:c>
      <x:c r="D1796" s="115" t="str">
        <x:v>Échangeur directionnel</x:v>
      </x:c>
      <x:c r="E1796" s="115" t="n">
        <x:v>41</x:v>
      </x:c>
      <x:c r="F1796" s="115" t="str">
        <x:v>Inspection physique</x:v>
      </x:c>
      <x:c r="G1796" s="115" t="str">
        <x:v>1 niveaux ; 34 pièces ; 260 segments de mur ; 0 transitions. Inspection physique ; architecture complète encore ouverte.</x:v>
      </x:c>
      <x:c r="H1796" s="115" t="str">
        <x:v>L 1720 ; l 2040 ; hauteur 8 m ; choix de composition auteur ; dimensions réelles à documenter</x:v>
      </x:c>
      <x:c r="I1796" s="115" t="str">
        <x:v>À équilibrer</x:v>
      </x:c>
      <x:c r="J1796" s="115" t="str">
        <x:v>Non</x:v>
      </x:c>
      <x:c r="K1796" s="115" t="str">
        <x:v>Pièces décrites, murs, portes, niveaux et mobilier inspectables à l’échelle. Volumes réservés, raccord au seed, butin, rencontres et services de campagne restent à terminer.</x:v>
      </x:c>
    </x:row>
    <x:row r="1797" ht="96" customHeight="1">
      <x:c r="A1797" s="115" t="str">
        <x:v>EXT-MONDE-T036-V42</x:v>
      </x:c>
      <x:c r="B1797" s="115" t="str">
        <x:v>EXT-MONDE-T036</x:v>
      </x:c>
      <x:c r="C1797" s="115" t="str">
        <x:v>Échangeurs</x:v>
      </x:c>
      <x:c r="D1797" s="115" t="str">
        <x:v>Échangeur directionnel</x:v>
      </x:c>
      <x:c r="E1797" s="115" t="n">
        <x:v>42</x:v>
      </x:c>
      <x:c r="F1797" s="115" t="str">
        <x:v>Inspection physique</x:v>
      </x:c>
      <x:c r="G1797" s="115" t="str">
        <x:v>1 niveaux ; 34 pièces ; 260 segments de mur ; 0 transitions. Inspection physique ; architecture complète encore ouverte.</x:v>
      </x:c>
      <x:c r="H1797" s="115" t="str">
        <x:v>L 1720 ; l 2040 ; hauteur 8 m ; choix de composition auteur ; dimensions réelles à documenter</x:v>
      </x:c>
      <x:c r="I1797" s="115" t="str">
        <x:v>À équilibrer</x:v>
      </x:c>
      <x:c r="J1797" s="115" t="str">
        <x:v>Non</x:v>
      </x:c>
      <x:c r="K1797" s="115" t="str">
        <x:v>Pièces décrites, murs, portes, niveaux et mobilier inspectables à l’échelle. Volumes réservés, raccord au seed, butin, rencontres et services de campagne restent à terminer.</x:v>
      </x:c>
    </x:row>
    <x:row r="1798" ht="96" customHeight="1">
      <x:c r="A1798" s="115" t="str">
        <x:v>EXT-MONDE-T036-V43</x:v>
      </x:c>
      <x:c r="B1798" s="115" t="str">
        <x:v>EXT-MONDE-T036</x:v>
      </x:c>
      <x:c r="C1798" s="115" t="str">
        <x:v>Échangeurs</x:v>
      </x:c>
      <x:c r="D1798" s="115" t="str">
        <x:v>Échangeur directionnel</x:v>
      </x:c>
      <x:c r="E1798" s="115" t="n">
        <x:v>43</x:v>
      </x:c>
      <x:c r="F1798" s="115" t="str">
        <x:v>Inspection physique</x:v>
      </x:c>
      <x:c r="G1798" s="115" t="str">
        <x:v>1 niveaux ; 34 pièces ; 260 segments de mur ; 0 transitions. Inspection physique ; architecture complète encore ouverte.</x:v>
      </x:c>
      <x:c r="H1798" s="115" t="str">
        <x:v>L 1720 ; l 2040 ; hauteur 8 m ; choix de composition auteur ; dimensions réelles à documenter</x:v>
      </x:c>
      <x:c r="I1798" s="115" t="str">
        <x:v>À équilibrer</x:v>
      </x:c>
      <x:c r="J1798" s="115" t="str">
        <x:v>Non</x:v>
      </x:c>
      <x:c r="K1798" s="115" t="str">
        <x:v>Pièces décrites, murs, portes, niveaux et mobilier inspectables à l’échelle. Volumes réservés, raccord au seed, butin, rencontres et services de campagne restent à terminer.</x:v>
      </x:c>
    </x:row>
    <x:row r="1799" ht="96" customHeight="1">
      <x:c r="A1799" s="115" t="str">
        <x:v>EXT-MONDE-T036-V44</x:v>
      </x:c>
      <x:c r="B1799" s="115" t="str">
        <x:v>EXT-MONDE-T036</x:v>
      </x:c>
      <x:c r="C1799" s="115" t="str">
        <x:v>Échangeurs</x:v>
      </x:c>
      <x:c r="D1799" s="115" t="str">
        <x:v>Échangeur directionnel</x:v>
      </x:c>
      <x:c r="E1799" s="115" t="n">
        <x:v>44</x:v>
      </x:c>
      <x:c r="F1799" s="115" t="str">
        <x:v>Inspection physique</x:v>
      </x:c>
      <x:c r="G1799" s="115" t="str">
        <x:v>1 niveaux ; 34 pièces ; 260 segments de mur ; 0 transitions. Inspection physique ; architecture complète encore ouverte.</x:v>
      </x:c>
      <x:c r="H1799" s="115" t="str">
        <x:v>L 1720 ; l 2040 ; hauteur 8 m ; choix de composition auteur ; dimensions réelles à documenter</x:v>
      </x:c>
      <x:c r="I1799" s="115" t="str">
        <x:v>À équilibrer</x:v>
      </x:c>
      <x:c r="J1799" s="115" t="str">
        <x:v>Non</x:v>
      </x:c>
      <x:c r="K1799" s="115" t="str">
        <x:v>Pièces décrites, murs, portes, niveaux et mobilier inspectables à l’échelle. Volumes réservés, raccord au seed, butin, rencontres et services de campagne restent à terminer.</x:v>
      </x:c>
    </x:row>
    <x:row r="1800" ht="96" customHeight="1">
      <x:c r="A1800" s="115" t="str">
        <x:v>EXT-MONDE-T036-V45</x:v>
      </x:c>
      <x:c r="B1800" s="115" t="str">
        <x:v>EXT-MONDE-T036</x:v>
      </x:c>
      <x:c r="C1800" s="115" t="str">
        <x:v>Échangeurs</x:v>
      </x:c>
      <x:c r="D1800" s="115" t="str">
        <x:v>Échangeur directionnel</x:v>
      </x:c>
      <x:c r="E1800" s="115" t="n">
        <x:v>45</x:v>
      </x:c>
      <x:c r="F1800" s="115" t="str">
        <x:v>Inspection physique</x:v>
      </x:c>
      <x:c r="G1800" s="115" t="str">
        <x:v>1 niveaux ; 34 pièces ; 260 segments de mur ; 0 transitions. Inspection physique ; architecture complète encore ouverte.</x:v>
      </x:c>
      <x:c r="H1800" s="115" t="str">
        <x:v>L 1720 ; l 2040 ; hauteur 8 m ; choix de composition auteur ; dimensions réelles à documenter</x:v>
      </x:c>
      <x:c r="I1800" s="115" t="str">
        <x:v>À équilibrer</x:v>
      </x:c>
      <x:c r="J1800" s="115" t="str">
        <x:v>Non</x:v>
      </x:c>
      <x:c r="K1800" s="115" t="str">
        <x:v>Pièces décrites, murs, portes, niveaux et mobilier inspectables à l’échelle. Volumes réservés, raccord au seed, butin, rencontres et services de campagne restent à terminer.</x:v>
      </x:c>
    </x:row>
    <x:row r="1801" ht="96" customHeight="1">
      <x:c r="A1801" s="115" t="str">
        <x:v>EXT-MONDE-T036-V46</x:v>
      </x:c>
      <x:c r="B1801" s="115" t="str">
        <x:v>EXT-MONDE-T036</x:v>
      </x:c>
      <x:c r="C1801" s="115" t="str">
        <x:v>Échangeurs</x:v>
      </x:c>
      <x:c r="D1801" s="115" t="str">
        <x:v>Échangeur directionnel</x:v>
      </x:c>
      <x:c r="E1801" s="115" t="n">
        <x:v>46</x:v>
      </x:c>
      <x:c r="F1801" s="115" t="str">
        <x:v>Inspection physique</x:v>
      </x:c>
      <x:c r="G1801" s="115" t="str">
        <x:v>1 niveaux ; 34 pièces ; 260 segments de mur ; 0 transitions. Inspection physique ; architecture complète encore ouverte.</x:v>
      </x:c>
      <x:c r="H1801" s="115" t="str">
        <x:v>L 1720 ; l 2040 ; hauteur 8 m ; choix de composition auteur ; dimensions réelles à documenter</x:v>
      </x:c>
      <x:c r="I1801" s="115" t="str">
        <x:v>À équilibrer</x:v>
      </x:c>
      <x:c r="J1801" s="115" t="str">
        <x:v>Non</x:v>
      </x:c>
      <x:c r="K1801" s="115" t="str">
        <x:v>Pièces décrites, murs, portes, niveaux et mobilier inspectables à l’échelle. Volumes réservés, raccord au seed, butin, rencontres et services de campagne restent à terminer.</x:v>
      </x:c>
    </x:row>
    <x:row r="1802" ht="96" customHeight="1">
      <x:c r="A1802" s="115" t="str">
        <x:v>EXT-MONDE-T036-V47</x:v>
      </x:c>
      <x:c r="B1802" s="115" t="str">
        <x:v>EXT-MONDE-T036</x:v>
      </x:c>
      <x:c r="C1802" s="115" t="str">
        <x:v>Échangeurs</x:v>
      </x:c>
      <x:c r="D1802" s="115" t="str">
        <x:v>Échangeur directionnel</x:v>
      </x:c>
      <x:c r="E1802" s="115" t="n">
        <x:v>47</x:v>
      </x:c>
      <x:c r="F1802" s="115" t="str">
        <x:v>Inspection physique</x:v>
      </x:c>
      <x:c r="G1802" s="115" t="str">
        <x:v>1 niveaux ; 34 pièces ; 260 segments de mur ; 0 transitions. Inspection physique ; architecture complète encore ouverte.</x:v>
      </x:c>
      <x:c r="H1802" s="115" t="str">
        <x:v>L 1720 ; l 2040 ; hauteur 8 m ; choix de composition auteur ; dimensions réelles à documenter</x:v>
      </x:c>
      <x:c r="I1802" s="115" t="str">
        <x:v>À équilibrer</x:v>
      </x:c>
      <x:c r="J1802" s="115" t="str">
        <x:v>Non</x:v>
      </x:c>
      <x:c r="K1802" s="115" t="str">
        <x:v>Pièces décrites, murs, portes, niveaux et mobilier inspectables à l’échelle. Volumes réservés, raccord au seed, butin, rencontres et services de campagne restent à terminer.</x:v>
      </x:c>
    </x:row>
    <x:row r="1803" ht="96" customHeight="1">
      <x:c r="A1803" s="115" t="str">
        <x:v>EXT-MONDE-T036-V48</x:v>
      </x:c>
      <x:c r="B1803" s="115" t="str">
        <x:v>EXT-MONDE-T036</x:v>
      </x:c>
      <x:c r="C1803" s="115" t="str">
        <x:v>Échangeurs</x:v>
      </x:c>
      <x:c r="D1803" s="115" t="str">
        <x:v>Échangeur directionnel</x:v>
      </x:c>
      <x:c r="E1803" s="115" t="n">
        <x:v>48</x:v>
      </x:c>
      <x:c r="F1803" s="115" t="str">
        <x:v>Inspection physique</x:v>
      </x:c>
      <x:c r="G1803" s="115" t="str">
        <x:v>1 niveaux ; 34 pièces ; 260 segments de mur ; 0 transitions. Inspection physique ; architecture complète encore ouverte.</x:v>
      </x:c>
      <x:c r="H1803" s="115" t="str">
        <x:v>L 1720 ; l 2040 ; hauteur 8 m ; choix de composition auteur ; dimensions réelles à documenter</x:v>
      </x:c>
      <x:c r="I1803" s="115" t="str">
        <x:v>À équilibrer</x:v>
      </x:c>
      <x:c r="J1803" s="115" t="str">
        <x:v>Non</x:v>
      </x:c>
      <x:c r="K1803" s="115" t="str">
        <x:v>Pièces décrites, murs, portes, niveaux et mobilier inspectables à l’échelle. Volumes réservés, raccord au seed, butin, rencontres et services de campagne restent à terminer.</x:v>
      </x:c>
    </x:row>
    <x:row r="1804" ht="96" customHeight="1">
      <x:c r="A1804" s="115" t="str">
        <x:v>EXT-MONDE-T036-V49</x:v>
      </x:c>
      <x:c r="B1804" s="115" t="str">
        <x:v>EXT-MONDE-T036</x:v>
      </x:c>
      <x:c r="C1804" s="115" t="str">
        <x:v>Échangeurs</x:v>
      </x:c>
      <x:c r="D1804" s="115" t="str">
        <x:v>Échangeur directionnel</x:v>
      </x:c>
      <x:c r="E1804" s="115" t="n">
        <x:v>49</x:v>
      </x:c>
      <x:c r="F1804" s="115" t="str">
        <x:v>Inspection physique</x:v>
      </x:c>
      <x:c r="G1804" s="115" t="str">
        <x:v>1 niveaux ; 34 pièces ; 260 segments de mur ; 0 transitions. Inspection physique ; architecture complète encore ouverte.</x:v>
      </x:c>
      <x:c r="H1804" s="115" t="str">
        <x:v>L 1720 ; l 2040 ; hauteur 8 m ; choix de composition auteur ; dimensions réelles à documenter</x:v>
      </x:c>
      <x:c r="I1804" s="115" t="str">
        <x:v>À équilibrer</x:v>
      </x:c>
      <x:c r="J1804" s="115" t="str">
        <x:v>Non</x:v>
      </x:c>
      <x:c r="K1804" s="115" t="str">
        <x:v>Pièces décrites, murs, portes, niveaux et mobilier inspectables à l’échelle. Volumes réservés, raccord au seed, butin, rencontres et services de campagne restent à terminer.</x:v>
      </x:c>
    </x:row>
    <x:row r="1805" ht="96" customHeight="1">
      <x:c r="A1805" s="115" t="str">
        <x:v>EXT-MONDE-T036-V50</x:v>
      </x:c>
      <x:c r="B1805" s="115" t="str">
        <x:v>EXT-MONDE-T036</x:v>
      </x:c>
      <x:c r="C1805" s="115" t="str">
        <x:v>Échangeurs</x:v>
      </x:c>
      <x:c r="D1805" s="115" t="str">
        <x:v>Échangeur directionnel</x:v>
      </x:c>
      <x:c r="E1805" s="115" t="n">
        <x:v>50</x:v>
      </x:c>
      <x:c r="F1805" s="115" t="str">
        <x:v>Inspection physique</x:v>
      </x:c>
      <x:c r="G1805" s="115" t="str">
        <x:v>1 niveaux ; 34 pièces ; 260 segments de mur ; 0 transitions. Inspection physique ; architecture complète encore ouverte.</x:v>
      </x:c>
      <x:c r="H1805" s="115" t="str">
        <x:v>L 1720 ; l 2040 ; hauteur 8 m ; choix de composition auteur ; dimensions réelles à documenter</x:v>
      </x:c>
      <x:c r="I1805" s="115" t="str">
        <x:v>À équilibrer</x:v>
      </x:c>
      <x:c r="J1805" s="115" t="str">
        <x:v>Non</x:v>
      </x:c>
      <x:c r="K1805" s="115" t="str">
        <x:v>Pièces décrites, murs, portes, niveaux et mobilier inspectables à l’échelle. Volumes réservés, raccord au seed, butin, rencontres et services de campagne restent à terminer.</x:v>
      </x:c>
    </x:row>
    <x:row r="1806" ht="96" customHeight="1">
      <x:c r="A1806" s="115" t="str">
        <x:v>EXT-MONDE-T037-V01</x:v>
      </x:c>
      <x:c r="B1806" s="115" t="str">
        <x:v>EXT-MONDE-T037</x:v>
      </x:c>
      <x:c r="C1806" s="115" t="str">
        <x:v>Égouts</x:v>
      </x:c>
      <x:c r="D1806" s="115" t="str">
        <x:v>Collecteur urbain</x:v>
      </x:c>
      <x:c r="E1806" s="115" t="n">
        <x:v>1</x:v>
      </x:c>
      <x:c r="F1806" s="115" t="str">
        <x:v>Inspection physique</x:v>
      </x:c>
      <x:c r="G1806" s="115" t="str">
        <x:v>2 niveaux ; 14 pièces ; 126 segments de mur ; 2 transitions. Inspection physique ; architecture complète encore ouverte.</x:v>
      </x:c>
      <x:c r="H1806" s="115" t="str">
        <x:v>L 180 ; l 200 ; hauteur 3 m ; choix de composition auteur ; dimensions réelles à documenter</x:v>
      </x:c>
      <x:c r="I1806" s="115" t="str">
        <x:v>À équilibrer</x:v>
      </x:c>
      <x:c r="J1806" s="115" t="str">
        <x:v>Non</x:v>
      </x:c>
      <x:c r="K1806" s="115" t="str">
        <x:v>Pièces décrites, murs, portes, niveaux et mobilier inspectables à l’échelle. Volumes réservés, raccord au seed, butin, rencontres et services de campagne restent à terminer.</x:v>
      </x:c>
    </x:row>
    <x:row r="1807" ht="96" customHeight="1">
      <x:c r="A1807" s="115" t="str">
        <x:v>EXT-MONDE-T037-V02</x:v>
      </x:c>
      <x:c r="B1807" s="115" t="str">
        <x:v>EXT-MONDE-T037</x:v>
      </x:c>
      <x:c r="C1807" s="115" t="str">
        <x:v>Égouts</x:v>
      </x:c>
      <x:c r="D1807" s="115" t="str">
        <x:v>Collecteur urbain</x:v>
      </x:c>
      <x:c r="E1807" s="115" t="n">
        <x:v>2</x:v>
      </x:c>
      <x:c r="F1807" s="115" t="str">
        <x:v>Inspection physique</x:v>
      </x:c>
      <x:c r="G1807" s="115" t="str">
        <x:v>2 niveaux ; 14 pièces ; 126 segments de mur ; 2 transitions. Inspection physique ; architecture complète encore ouverte.</x:v>
      </x:c>
      <x:c r="H1807" s="115" t="str">
        <x:v>L 182 ; l 200,7 ; hauteur 3 m ; choix de composition auteur ; dimensions réelles à documenter</x:v>
      </x:c>
      <x:c r="I1807" s="115" t="str">
        <x:v>À équilibrer</x:v>
      </x:c>
      <x:c r="J1807" s="115" t="str">
        <x:v>Non</x:v>
      </x:c>
      <x:c r="K1807" s="115" t="str">
        <x:v>Pièces décrites, murs, portes, niveaux et mobilier inspectables à l’échelle. Volumes réservés, raccord au seed, butin, rencontres et services de campagne restent à terminer.</x:v>
      </x:c>
    </x:row>
    <x:row r="1808" ht="96" customHeight="1">
      <x:c r="A1808" s="115" t="str">
        <x:v>EXT-MONDE-T037-V03</x:v>
      </x:c>
      <x:c r="B1808" s="115" t="str">
        <x:v>EXT-MONDE-T037</x:v>
      </x:c>
      <x:c r="C1808" s="115" t="str">
        <x:v>Égouts</x:v>
      </x:c>
      <x:c r="D1808" s="115" t="str">
        <x:v>Collecteur urbain</x:v>
      </x:c>
      <x:c r="E1808" s="115" t="n">
        <x:v>3</x:v>
      </x:c>
      <x:c r="F1808" s="115" t="str">
        <x:v>Inspection physique</x:v>
      </x:c>
      <x:c r="G1808" s="115" t="str">
        <x:v>2 niveaux ; 14 pièces ; 126 segments de mur ; 2 transitions. Inspection physique ; architecture complète encore ouverte.</x:v>
      </x:c>
      <x:c r="H1808" s="115" t="str">
        <x:v>L 184 ; l 201,4 ; hauteur 3 m ; choix de composition auteur ; dimensions réelles à documenter</x:v>
      </x:c>
      <x:c r="I1808" s="115" t="str">
        <x:v>À équilibrer</x:v>
      </x:c>
      <x:c r="J1808" s="115" t="str">
        <x:v>Non</x:v>
      </x:c>
      <x:c r="K1808" s="115" t="str">
        <x:v>Pièces décrites, murs, portes, niveaux et mobilier inspectables à l’échelle. Volumes réservés, raccord au seed, butin, rencontres et services de campagne restent à terminer.</x:v>
      </x:c>
    </x:row>
    <x:row r="1809" ht="96" customHeight="1">
      <x:c r="A1809" s="115" t="str">
        <x:v>EXT-MONDE-T037-V04</x:v>
      </x:c>
      <x:c r="B1809" s="115" t="str">
        <x:v>EXT-MONDE-T037</x:v>
      </x:c>
      <x:c r="C1809" s="115" t="str">
        <x:v>Égouts</x:v>
      </x:c>
      <x:c r="D1809" s="115" t="str">
        <x:v>Collecteur urbain</x:v>
      </x:c>
      <x:c r="E1809" s="115" t="n">
        <x:v>4</x:v>
      </x:c>
      <x:c r="F1809" s="115" t="str">
        <x:v>Inspection physique</x:v>
      </x:c>
      <x:c r="G1809" s="115" t="str">
        <x:v>2 niveaux ; 14 pièces ; 126 segments de mur ; 2 transitions. Inspection physique ; architecture complète encore ouverte.</x:v>
      </x:c>
      <x:c r="H1809" s="115" t="str">
        <x:v>L 186 ; l 202,1 ; hauteur 3 m ; choix de composition auteur ; dimensions réelles à documenter</x:v>
      </x:c>
      <x:c r="I1809" s="115" t="str">
        <x:v>À équilibrer</x:v>
      </x:c>
      <x:c r="J1809" s="115" t="str">
        <x:v>Non</x:v>
      </x:c>
      <x:c r="K1809" s="115" t="str">
        <x:v>Pièces décrites, murs, portes, niveaux et mobilier inspectables à l’échelle. Volumes réservés, raccord au seed, butin, rencontres et services de campagne restent à terminer.</x:v>
      </x:c>
    </x:row>
    <x:row r="1810" ht="96" customHeight="1">
      <x:c r="A1810" s="115" t="str">
        <x:v>EXT-MONDE-T037-V05</x:v>
      </x:c>
      <x:c r="B1810" s="115" t="str">
        <x:v>EXT-MONDE-T037</x:v>
      </x:c>
      <x:c r="C1810" s="115" t="str">
        <x:v>Égouts</x:v>
      </x:c>
      <x:c r="D1810" s="115" t="str">
        <x:v>Collecteur urbain</x:v>
      </x:c>
      <x:c r="E1810" s="115" t="n">
        <x:v>5</x:v>
      </x:c>
      <x:c r="F1810" s="115" t="str">
        <x:v>Inspection physique</x:v>
      </x:c>
      <x:c r="G1810" s="115" t="str">
        <x:v>2 niveaux ; 14 pièces ; 126 segments de mur ; 2 transitions. Inspection physique ; architecture complète encore ouverte.</x:v>
      </x:c>
      <x:c r="H1810" s="115" t="str">
        <x:v>L 188 ; l 202,8 ; hauteur 3 m ; choix de composition auteur ; dimensions réelles à documenter</x:v>
      </x:c>
      <x:c r="I1810" s="115" t="str">
        <x:v>À équilibrer</x:v>
      </x:c>
      <x:c r="J1810" s="115" t="str">
        <x:v>Non</x:v>
      </x:c>
      <x:c r="K1810" s="115" t="str">
        <x:v>Pièces décrites, murs, portes, niveaux et mobilier inspectables à l’échelle. Volumes réservés, raccord au seed, butin, rencontres et services de campagne restent à terminer.</x:v>
      </x:c>
    </x:row>
    <x:row r="1811" ht="96" customHeight="1">
      <x:c r="A1811" s="115" t="str">
        <x:v>EXT-MONDE-T037-V06</x:v>
      </x:c>
      <x:c r="B1811" s="115" t="str">
        <x:v>EXT-MONDE-T037</x:v>
      </x:c>
      <x:c r="C1811" s="115" t="str">
        <x:v>Égouts</x:v>
      </x:c>
      <x:c r="D1811" s="115" t="str">
        <x:v>Collecteur urbain</x:v>
      </x:c>
      <x:c r="E1811" s="115" t="n">
        <x:v>6</x:v>
      </x:c>
      <x:c r="F1811" s="115" t="str">
        <x:v>Inspection physique</x:v>
      </x:c>
      <x:c r="G1811" s="115" t="str">
        <x:v>2 niveaux ; 14 pièces ; 126 segments de mur ; 2 transitions. Inspection physique ; architecture complète encore ouverte.</x:v>
      </x:c>
      <x:c r="H1811" s="115" t="str">
        <x:v>L 190 ; l 203,5 ; hauteur 3 m ; choix de composition auteur ; dimensions réelles à documenter</x:v>
      </x:c>
      <x:c r="I1811" s="115" t="str">
        <x:v>À équilibrer</x:v>
      </x:c>
      <x:c r="J1811" s="115" t="str">
        <x:v>Non</x:v>
      </x:c>
      <x:c r="K1811" s="115" t="str">
        <x:v>Pièces décrites, murs, portes, niveaux et mobilier inspectables à l’échelle. Volumes réservés, raccord au seed, butin, rencontres et services de campagne restent à terminer.</x:v>
      </x:c>
    </x:row>
    <x:row r="1812" ht="96" customHeight="1">
      <x:c r="A1812" s="115" t="str">
        <x:v>EXT-MONDE-T037-V07</x:v>
      </x:c>
      <x:c r="B1812" s="115" t="str">
        <x:v>EXT-MONDE-T037</x:v>
      </x:c>
      <x:c r="C1812" s="115" t="str">
        <x:v>Égouts</x:v>
      </x:c>
      <x:c r="D1812" s="115" t="str">
        <x:v>Collecteur urbain</x:v>
      </x:c>
      <x:c r="E1812" s="115" t="n">
        <x:v>7</x:v>
      </x:c>
      <x:c r="F1812" s="115" t="str">
        <x:v>Inspection physique</x:v>
      </x:c>
      <x:c r="G1812" s="115" t="str">
        <x:v>2 niveaux ; 14 pièces ; 126 segments de mur ; 2 transitions. Inspection physique ; architecture complète encore ouverte.</x:v>
      </x:c>
      <x:c r="H1812" s="115" t="str">
        <x:v>L 192 ; l 204,2 ; hauteur 3 m ; choix de composition auteur ; dimensions réelles à documenter</x:v>
      </x:c>
      <x:c r="I1812" s="115" t="str">
        <x:v>À équilibrer</x:v>
      </x:c>
      <x:c r="J1812" s="115" t="str">
        <x:v>Non</x:v>
      </x:c>
      <x:c r="K1812" s="115" t="str">
        <x:v>Pièces décrites, murs, portes, niveaux et mobilier inspectables à l’échelle. Volumes réservés, raccord au seed, butin, rencontres et services de campagne restent à terminer.</x:v>
      </x:c>
    </x:row>
    <x:row r="1813" ht="96" customHeight="1">
      <x:c r="A1813" s="115" t="str">
        <x:v>EXT-MONDE-T037-V08</x:v>
      </x:c>
      <x:c r="B1813" s="115" t="str">
        <x:v>EXT-MONDE-T037</x:v>
      </x:c>
      <x:c r="C1813" s="115" t="str">
        <x:v>Égouts</x:v>
      </x:c>
      <x:c r="D1813" s="115" t="str">
        <x:v>Collecteur urbain</x:v>
      </x:c>
      <x:c r="E1813" s="115" t="n">
        <x:v>8</x:v>
      </x:c>
      <x:c r="F1813" s="115" t="str">
        <x:v>Inspection physique</x:v>
      </x:c>
      <x:c r="G1813" s="115" t="str">
        <x:v>2 niveaux ; 14 pièces ; 126 segments de mur ; 2 transitions. Inspection physique ; architecture complète encore ouverte.</x:v>
      </x:c>
      <x:c r="H1813" s="115" t="str">
        <x:v>L 194 ; l 204,9 ; hauteur 3 m ; choix de composition auteur ; dimensions réelles à documenter</x:v>
      </x:c>
      <x:c r="I1813" s="115" t="str">
        <x:v>À équilibrer</x:v>
      </x:c>
      <x:c r="J1813" s="115" t="str">
        <x:v>Non</x:v>
      </x:c>
      <x:c r="K1813" s="115" t="str">
        <x:v>Pièces décrites, murs, portes, niveaux et mobilier inspectables à l’échelle. Volumes réservés, raccord au seed, butin, rencontres et services de campagne restent à terminer.</x:v>
      </x:c>
    </x:row>
    <x:row r="1814" ht="96" customHeight="1">
      <x:c r="A1814" s="115" t="str">
        <x:v>EXT-MONDE-T037-V09</x:v>
      </x:c>
      <x:c r="B1814" s="115" t="str">
        <x:v>EXT-MONDE-T037</x:v>
      </x:c>
      <x:c r="C1814" s="115" t="str">
        <x:v>Égouts</x:v>
      </x:c>
      <x:c r="D1814" s="115" t="str">
        <x:v>Collecteur urbain</x:v>
      </x:c>
      <x:c r="E1814" s="115" t="n">
        <x:v>9</x:v>
      </x:c>
      <x:c r="F1814" s="115" t="str">
        <x:v>Inspection physique</x:v>
      </x:c>
      <x:c r="G1814" s="115" t="str">
        <x:v>2 niveaux ; 14 pièces ; 126 segments de mur ; 2 transitions. Inspection physique ; architecture complète encore ouverte.</x:v>
      </x:c>
      <x:c r="H1814" s="115" t="str">
        <x:v>L 196 ; l 205,6 ; hauteur 3 m ; choix de composition auteur ; dimensions réelles à documenter</x:v>
      </x:c>
      <x:c r="I1814" s="115" t="str">
        <x:v>À équilibrer</x:v>
      </x:c>
      <x:c r="J1814" s="115" t="str">
        <x:v>Non</x:v>
      </x:c>
      <x:c r="K1814" s="115" t="str">
        <x:v>Pièces décrites, murs, portes, niveaux et mobilier inspectables à l’échelle. Volumes réservés, raccord au seed, butin, rencontres et services de campagne restent à terminer.</x:v>
      </x:c>
    </x:row>
    <x:row r="1815" ht="96" customHeight="1">
      <x:c r="A1815" s="115" t="str">
        <x:v>EXT-MONDE-T037-V10</x:v>
      </x:c>
      <x:c r="B1815" s="115" t="str">
        <x:v>EXT-MONDE-T037</x:v>
      </x:c>
      <x:c r="C1815" s="115" t="str">
        <x:v>Égouts</x:v>
      </x:c>
      <x:c r="D1815" s="115" t="str">
        <x:v>Collecteur urbain</x:v>
      </x:c>
      <x:c r="E1815" s="115" t="n">
        <x:v>10</x:v>
      </x:c>
      <x:c r="F1815" s="115" t="str">
        <x:v>Inspection physique</x:v>
      </x:c>
      <x:c r="G1815" s="115" t="str">
        <x:v>2 niveaux ; 14 pièces ; 126 segments de mur ; 2 transitions. Inspection physique ; architecture complète encore ouverte.</x:v>
      </x:c>
      <x:c r="H1815" s="115" t="str">
        <x:v>L 198 ; l 206,3 ; hauteur 3 m ; choix de composition auteur ; dimensions réelles à documenter</x:v>
      </x:c>
      <x:c r="I1815" s="115" t="str">
        <x:v>À équilibrer</x:v>
      </x:c>
      <x:c r="J1815" s="115" t="str">
        <x:v>Non</x:v>
      </x:c>
      <x:c r="K1815" s="115" t="str">
        <x:v>Pièces décrites, murs, portes, niveaux et mobilier inspectables à l’échelle. Volumes réservés, raccord au seed, butin, rencontres et services de campagne restent à terminer.</x:v>
      </x:c>
    </x:row>
    <x:row r="1816" ht="96" customHeight="1">
      <x:c r="A1816" s="115" t="str">
        <x:v>EXT-MONDE-T037-V11</x:v>
      </x:c>
      <x:c r="B1816" s="115" t="str">
        <x:v>EXT-MONDE-T037</x:v>
      </x:c>
      <x:c r="C1816" s="115" t="str">
        <x:v>Égouts</x:v>
      </x:c>
      <x:c r="D1816" s="115" t="str">
        <x:v>Collecteur urbain</x:v>
      </x:c>
      <x:c r="E1816" s="115" t="n">
        <x:v>11</x:v>
      </x:c>
      <x:c r="F1816" s="115" t="str">
        <x:v>Inspection physique</x:v>
      </x:c>
      <x:c r="G1816" s="115" t="str">
        <x:v>2 niveaux ; 14 pièces ; 126 segments de mur ; 2 transitions. Inspection physique ; architecture complète encore ouverte.</x:v>
      </x:c>
      <x:c r="H1816" s="115" t="str">
        <x:v>L 190 ; l 212 ; hauteur 3 m ; choix de composition auteur ; dimensions réelles à documenter</x:v>
      </x:c>
      <x:c r="I1816" s="115" t="str">
        <x:v>À équilibrer</x:v>
      </x:c>
      <x:c r="J1816" s="115" t="str">
        <x:v>Non</x:v>
      </x:c>
      <x:c r="K1816" s="115" t="str">
        <x:v>Pièces décrites, murs, portes, niveaux et mobilier inspectables à l’échelle. Volumes réservés, raccord au seed, butin, rencontres et services de campagne restent à terminer.</x:v>
      </x:c>
    </x:row>
    <x:row r="1817" ht="96" customHeight="1">
      <x:c r="A1817" s="115" t="str">
        <x:v>EXT-MONDE-T037-V12</x:v>
      </x:c>
      <x:c r="B1817" s="115" t="str">
        <x:v>EXT-MONDE-T037</x:v>
      </x:c>
      <x:c r="C1817" s="115" t="str">
        <x:v>Égouts</x:v>
      </x:c>
      <x:c r="D1817" s="115" t="str">
        <x:v>Collecteur urbain</x:v>
      </x:c>
      <x:c r="E1817" s="115" t="n">
        <x:v>12</x:v>
      </x:c>
      <x:c r="F1817" s="115" t="str">
        <x:v>Inspection physique</x:v>
      </x:c>
      <x:c r="G1817" s="115" t="str">
        <x:v>2 niveaux ; 14 pièces ; 126 segments de mur ; 2 transitions. Inspection physique ; architecture complète encore ouverte.</x:v>
      </x:c>
      <x:c r="H1817" s="115" t="str">
        <x:v>L 192 ; l 212,7 ; hauteur 3 m ; choix de composition auteur ; dimensions réelles à documenter</x:v>
      </x:c>
      <x:c r="I1817" s="115" t="str">
        <x:v>À équilibrer</x:v>
      </x:c>
      <x:c r="J1817" s="115" t="str">
        <x:v>Non</x:v>
      </x:c>
      <x:c r="K1817" s="115" t="str">
        <x:v>Pièces décrites, murs, portes, niveaux et mobilier inspectables à l’échelle. Volumes réservés, raccord au seed, butin, rencontres et services de campagne restent à terminer.</x:v>
      </x:c>
    </x:row>
    <x:row r="1818" ht="96" customHeight="1">
      <x:c r="A1818" s="115" t="str">
        <x:v>EXT-MONDE-T037-V13</x:v>
      </x:c>
      <x:c r="B1818" s="115" t="str">
        <x:v>EXT-MONDE-T037</x:v>
      </x:c>
      <x:c r="C1818" s="115" t="str">
        <x:v>Égouts</x:v>
      </x:c>
      <x:c r="D1818" s="115" t="str">
        <x:v>Collecteur urbain</x:v>
      </x:c>
      <x:c r="E1818" s="115" t="n">
        <x:v>13</x:v>
      </x:c>
      <x:c r="F1818" s="115" t="str">
        <x:v>Inspection physique</x:v>
      </x:c>
      <x:c r="G1818" s="115" t="str">
        <x:v>2 niveaux ; 14 pièces ; 126 segments de mur ; 2 transitions. Inspection physique ; architecture complète encore ouverte.</x:v>
      </x:c>
      <x:c r="H1818" s="115" t="str">
        <x:v>L 194 ; l 213,4 ; hauteur 3 m ; choix de composition auteur ; dimensions réelles à documenter</x:v>
      </x:c>
      <x:c r="I1818" s="115" t="str">
        <x:v>À équilibrer</x:v>
      </x:c>
      <x:c r="J1818" s="115" t="str">
        <x:v>Non</x:v>
      </x:c>
      <x:c r="K1818" s="115" t="str">
        <x:v>Pièces décrites, murs, portes, niveaux et mobilier inspectables à l’échelle. Volumes réservés, raccord au seed, butin, rencontres et services de campagne restent à terminer.</x:v>
      </x:c>
    </x:row>
    <x:row r="1819" ht="96" customHeight="1">
      <x:c r="A1819" s="115" t="str">
        <x:v>EXT-MONDE-T037-V14</x:v>
      </x:c>
      <x:c r="B1819" s="115" t="str">
        <x:v>EXT-MONDE-T037</x:v>
      </x:c>
      <x:c r="C1819" s="115" t="str">
        <x:v>Égouts</x:v>
      </x:c>
      <x:c r="D1819" s="115" t="str">
        <x:v>Collecteur urbain</x:v>
      </x:c>
      <x:c r="E1819" s="115" t="n">
        <x:v>14</x:v>
      </x:c>
      <x:c r="F1819" s="115" t="str">
        <x:v>Inspection physique</x:v>
      </x:c>
      <x:c r="G1819" s="115" t="str">
        <x:v>2 niveaux ; 14 pièces ; 126 segments de mur ; 2 transitions. Inspection physique ; architecture complète encore ouverte.</x:v>
      </x:c>
      <x:c r="H1819" s="115" t="str">
        <x:v>L 196 ; l 214,1 ; hauteur 3 m ; choix de composition auteur ; dimensions réelles à documenter</x:v>
      </x:c>
      <x:c r="I1819" s="115" t="str">
        <x:v>À équilibrer</x:v>
      </x:c>
      <x:c r="J1819" s="115" t="str">
        <x:v>Non</x:v>
      </x:c>
      <x:c r="K1819" s="115" t="str">
        <x:v>Pièces décrites, murs, portes, niveaux et mobilier inspectables à l’échelle. Volumes réservés, raccord au seed, butin, rencontres et services de campagne restent à terminer.</x:v>
      </x:c>
    </x:row>
    <x:row r="1820" ht="96" customHeight="1">
      <x:c r="A1820" s="115" t="str">
        <x:v>EXT-MONDE-T037-V15</x:v>
      </x:c>
      <x:c r="B1820" s="115" t="str">
        <x:v>EXT-MONDE-T037</x:v>
      </x:c>
      <x:c r="C1820" s="115" t="str">
        <x:v>Égouts</x:v>
      </x:c>
      <x:c r="D1820" s="115" t="str">
        <x:v>Collecteur urbain</x:v>
      </x:c>
      <x:c r="E1820" s="115" t="n">
        <x:v>15</x:v>
      </x:c>
      <x:c r="F1820" s="115" t="str">
        <x:v>Inspection physique</x:v>
      </x:c>
      <x:c r="G1820" s="115" t="str">
        <x:v>2 niveaux ; 14 pièces ; 126 segments de mur ; 2 transitions. Inspection physique ; architecture complète encore ouverte.</x:v>
      </x:c>
      <x:c r="H1820" s="115" t="str">
        <x:v>L 198 ; l 214,8 ; hauteur 3 m ; choix de composition auteur ; dimensions réelles à documenter</x:v>
      </x:c>
      <x:c r="I1820" s="115" t="str">
        <x:v>À équilibrer</x:v>
      </x:c>
      <x:c r="J1820" s="115" t="str">
        <x:v>Non</x:v>
      </x:c>
      <x:c r="K1820" s="115" t="str">
        <x:v>Pièces décrites, murs, portes, niveaux et mobilier inspectables à l’échelle. Volumes réservés, raccord au seed, butin, rencontres et services de campagne restent à terminer.</x:v>
      </x:c>
    </x:row>
    <x:row r="1821" ht="96" customHeight="1">
      <x:c r="A1821" s="115" t="str">
        <x:v>EXT-MONDE-T037-V16</x:v>
      </x:c>
      <x:c r="B1821" s="115" t="str">
        <x:v>EXT-MONDE-T037</x:v>
      </x:c>
      <x:c r="C1821" s="115" t="str">
        <x:v>Égouts</x:v>
      </x:c>
      <x:c r="D1821" s="115" t="str">
        <x:v>Collecteur urbain</x:v>
      </x:c>
      <x:c r="E1821" s="115" t="n">
        <x:v>16</x:v>
      </x:c>
      <x:c r="F1821" s="115" t="str">
        <x:v>Inspection physique</x:v>
      </x:c>
      <x:c r="G1821" s="115" t="str">
        <x:v>2 niveaux ; 14 pièces ; 126 segments de mur ; 2 transitions. Inspection physique ; architecture complète encore ouverte.</x:v>
      </x:c>
      <x:c r="H1821" s="115" t="str">
        <x:v>L 200 ; l 215,5 ; hauteur 3 m ; choix de composition auteur ; dimensions réelles à documenter</x:v>
      </x:c>
      <x:c r="I1821" s="115" t="str">
        <x:v>À équilibrer</x:v>
      </x:c>
      <x:c r="J1821" s="115" t="str">
        <x:v>Non</x:v>
      </x:c>
      <x:c r="K1821" s="115" t="str">
        <x:v>Pièces décrites, murs, portes, niveaux et mobilier inspectables à l’échelle. Volumes réservés, raccord au seed, butin, rencontres et services de campagne restent à terminer.</x:v>
      </x:c>
    </x:row>
    <x:row r="1822" ht="96" customHeight="1">
      <x:c r="A1822" s="115" t="str">
        <x:v>EXT-MONDE-T037-V17</x:v>
      </x:c>
      <x:c r="B1822" s="115" t="str">
        <x:v>EXT-MONDE-T037</x:v>
      </x:c>
      <x:c r="C1822" s="115" t="str">
        <x:v>Égouts</x:v>
      </x:c>
      <x:c r="D1822" s="115" t="str">
        <x:v>Collecteur urbain</x:v>
      </x:c>
      <x:c r="E1822" s="115" t="n">
        <x:v>17</x:v>
      </x:c>
      <x:c r="F1822" s="115" t="str">
        <x:v>Inspection physique</x:v>
      </x:c>
      <x:c r="G1822" s="115" t="str">
        <x:v>2 niveaux ; 14 pièces ; 126 segments de mur ; 2 transitions. Inspection physique ; architecture complète encore ouverte.</x:v>
      </x:c>
      <x:c r="H1822" s="115" t="str">
        <x:v>L 202 ; l 216,2 ; hauteur 3 m ; choix de composition auteur ; dimensions réelles à documenter</x:v>
      </x:c>
      <x:c r="I1822" s="115" t="str">
        <x:v>À équilibrer</x:v>
      </x:c>
      <x:c r="J1822" s="115" t="str">
        <x:v>Non</x:v>
      </x:c>
      <x:c r="K1822" s="115" t="str">
        <x:v>Pièces décrites, murs, portes, niveaux et mobilier inspectables à l’échelle. Volumes réservés, raccord au seed, butin, rencontres et services de campagne restent à terminer.</x:v>
      </x:c>
    </x:row>
    <x:row r="1823" ht="96" customHeight="1">
      <x:c r="A1823" s="115" t="str">
        <x:v>EXT-MONDE-T037-V18</x:v>
      </x:c>
      <x:c r="B1823" s="115" t="str">
        <x:v>EXT-MONDE-T037</x:v>
      </x:c>
      <x:c r="C1823" s="115" t="str">
        <x:v>Égouts</x:v>
      </x:c>
      <x:c r="D1823" s="115" t="str">
        <x:v>Collecteur urbain</x:v>
      </x:c>
      <x:c r="E1823" s="115" t="n">
        <x:v>18</x:v>
      </x:c>
      <x:c r="F1823" s="115" t="str">
        <x:v>Inspection physique</x:v>
      </x:c>
      <x:c r="G1823" s="115" t="str">
        <x:v>2 niveaux ; 14 pièces ; 126 segments de mur ; 2 transitions. Inspection physique ; architecture complète encore ouverte.</x:v>
      </x:c>
      <x:c r="H1823" s="115" t="str">
        <x:v>L 204 ; l 216,9 ; hauteur 3 m ; choix de composition auteur ; dimensions réelles à documenter</x:v>
      </x:c>
      <x:c r="I1823" s="115" t="str">
        <x:v>À équilibrer</x:v>
      </x:c>
      <x:c r="J1823" s="115" t="str">
        <x:v>Non</x:v>
      </x:c>
      <x:c r="K1823" s="115" t="str">
        <x:v>Pièces décrites, murs, portes, niveaux et mobilier inspectables à l’échelle. Volumes réservés, raccord au seed, butin, rencontres et services de campagne restent à terminer.</x:v>
      </x:c>
    </x:row>
    <x:row r="1824" ht="96" customHeight="1">
      <x:c r="A1824" s="115" t="str">
        <x:v>EXT-MONDE-T037-V19</x:v>
      </x:c>
      <x:c r="B1824" s="115" t="str">
        <x:v>EXT-MONDE-T037</x:v>
      </x:c>
      <x:c r="C1824" s="115" t="str">
        <x:v>Égouts</x:v>
      </x:c>
      <x:c r="D1824" s="115" t="str">
        <x:v>Collecteur urbain</x:v>
      </x:c>
      <x:c r="E1824" s="115" t="n">
        <x:v>19</x:v>
      </x:c>
      <x:c r="F1824" s="115" t="str">
        <x:v>Inspection physique</x:v>
      </x:c>
      <x:c r="G1824" s="115" t="str">
        <x:v>2 niveaux ; 14 pièces ; 126 segments de mur ; 2 transitions. Inspection physique ; architecture complète encore ouverte.</x:v>
      </x:c>
      <x:c r="H1824" s="115" t="str">
        <x:v>L 206 ; l 217,6 ; hauteur 3 m ; choix de composition auteur ; dimensions réelles à documenter</x:v>
      </x:c>
      <x:c r="I1824" s="115" t="str">
        <x:v>À équilibrer</x:v>
      </x:c>
      <x:c r="J1824" s="115" t="str">
        <x:v>Non</x:v>
      </x:c>
      <x:c r="K1824" s="115" t="str">
        <x:v>Pièces décrites, murs, portes, niveaux et mobilier inspectables à l’échelle. Volumes réservés, raccord au seed, butin, rencontres et services de campagne restent à terminer.</x:v>
      </x:c>
    </x:row>
    <x:row r="1825" ht="96" customHeight="1">
      <x:c r="A1825" s="115" t="str">
        <x:v>EXT-MONDE-T037-V20</x:v>
      </x:c>
      <x:c r="B1825" s="115" t="str">
        <x:v>EXT-MONDE-T037</x:v>
      </x:c>
      <x:c r="C1825" s="115" t="str">
        <x:v>Égouts</x:v>
      </x:c>
      <x:c r="D1825" s="115" t="str">
        <x:v>Collecteur urbain</x:v>
      </x:c>
      <x:c r="E1825" s="115" t="n">
        <x:v>20</x:v>
      </x:c>
      <x:c r="F1825" s="115" t="str">
        <x:v>Inspection physique</x:v>
      </x:c>
      <x:c r="G1825" s="115" t="str">
        <x:v>2 niveaux ; 14 pièces ; 126 segments de mur ; 2 transitions. Inspection physique ; architecture complète encore ouverte.</x:v>
      </x:c>
      <x:c r="H1825" s="115" t="str">
        <x:v>L 208 ; l 218,3 ; hauteur 3 m ; choix de composition auteur ; dimensions réelles à documenter</x:v>
      </x:c>
      <x:c r="I1825" s="115" t="str">
        <x:v>À équilibrer</x:v>
      </x:c>
      <x:c r="J1825" s="115" t="str">
        <x:v>Non</x:v>
      </x:c>
      <x:c r="K1825" s="115" t="str">
        <x:v>Pièces décrites, murs, portes, niveaux et mobilier inspectables à l’échelle. Volumes réservés, raccord au seed, butin, rencontres et services de campagne restent à terminer.</x:v>
      </x:c>
    </x:row>
    <x:row r="1826" ht="96" customHeight="1">
      <x:c r="A1826" s="115" t="str">
        <x:v>EXT-MONDE-T037-V21</x:v>
      </x:c>
      <x:c r="B1826" s="115" t="str">
        <x:v>EXT-MONDE-T037</x:v>
      </x:c>
      <x:c r="C1826" s="115" t="str">
        <x:v>Égouts</x:v>
      </x:c>
      <x:c r="D1826" s="115" t="str">
        <x:v>Collecteur urbain</x:v>
      </x:c>
      <x:c r="E1826" s="115" t="n">
        <x:v>21</x:v>
      </x:c>
      <x:c r="F1826" s="115" t="str">
        <x:v>Inspection physique</x:v>
      </x:c>
      <x:c r="G1826" s="115" t="str">
        <x:v>2 niveaux ; 14 pièces ; 126 segments de mur ; 2 transitions. Inspection physique ; architecture complète encore ouverte.</x:v>
      </x:c>
      <x:c r="H1826" s="115" t="str">
        <x:v>L 200 ; l 224 ; hauteur 3 m ; choix de composition auteur ; dimensions réelles à documenter</x:v>
      </x:c>
      <x:c r="I1826" s="115" t="str">
        <x:v>À équilibrer</x:v>
      </x:c>
      <x:c r="J1826" s="115" t="str">
        <x:v>Non</x:v>
      </x:c>
      <x:c r="K1826" s="115" t="str">
        <x:v>Pièces décrites, murs, portes, niveaux et mobilier inspectables à l’échelle. Volumes réservés, raccord au seed, butin, rencontres et services de campagne restent à terminer.</x:v>
      </x:c>
    </x:row>
    <x:row r="1827" ht="96" customHeight="1">
      <x:c r="A1827" s="115" t="str">
        <x:v>EXT-MONDE-T037-V22</x:v>
      </x:c>
      <x:c r="B1827" s="115" t="str">
        <x:v>EXT-MONDE-T037</x:v>
      </x:c>
      <x:c r="C1827" s="115" t="str">
        <x:v>Égouts</x:v>
      </x:c>
      <x:c r="D1827" s="115" t="str">
        <x:v>Collecteur urbain</x:v>
      </x:c>
      <x:c r="E1827" s="115" t="n">
        <x:v>22</x:v>
      </x:c>
      <x:c r="F1827" s="115" t="str">
        <x:v>Inspection physique</x:v>
      </x:c>
      <x:c r="G1827" s="115" t="str">
        <x:v>2 niveaux ; 14 pièces ; 126 segments de mur ; 2 transitions. Inspection physique ; architecture complète encore ouverte.</x:v>
      </x:c>
      <x:c r="H1827" s="115" t="str">
        <x:v>L 202 ; l 224,7 ; hauteur 3 m ; choix de composition auteur ; dimensions réelles à documenter</x:v>
      </x:c>
      <x:c r="I1827" s="115" t="str">
        <x:v>À équilibrer</x:v>
      </x:c>
      <x:c r="J1827" s="115" t="str">
        <x:v>Non</x:v>
      </x:c>
      <x:c r="K1827" s="115" t="str">
        <x:v>Pièces décrites, murs, portes, niveaux et mobilier inspectables à l’échelle. Volumes réservés, raccord au seed, butin, rencontres et services de campagne restent à terminer.</x:v>
      </x:c>
    </x:row>
    <x:row r="1828" ht="96" customHeight="1">
      <x:c r="A1828" s="115" t="str">
        <x:v>EXT-MONDE-T037-V23</x:v>
      </x:c>
      <x:c r="B1828" s="115" t="str">
        <x:v>EXT-MONDE-T037</x:v>
      </x:c>
      <x:c r="C1828" s="115" t="str">
        <x:v>Égouts</x:v>
      </x:c>
      <x:c r="D1828" s="115" t="str">
        <x:v>Collecteur urbain</x:v>
      </x:c>
      <x:c r="E1828" s="115" t="n">
        <x:v>23</x:v>
      </x:c>
      <x:c r="F1828" s="115" t="str">
        <x:v>Inspection physique</x:v>
      </x:c>
      <x:c r="G1828" s="115" t="str">
        <x:v>2 niveaux ; 14 pièces ; 126 segments de mur ; 2 transitions. Inspection physique ; architecture complète encore ouverte.</x:v>
      </x:c>
      <x:c r="H1828" s="115" t="str">
        <x:v>L 204 ; l 225,4 ; hauteur 3 m ; choix de composition auteur ; dimensions réelles à documenter</x:v>
      </x:c>
      <x:c r="I1828" s="115" t="str">
        <x:v>À équilibrer</x:v>
      </x:c>
      <x:c r="J1828" s="115" t="str">
        <x:v>Non</x:v>
      </x:c>
      <x:c r="K1828" s="115" t="str">
        <x:v>Pièces décrites, murs, portes, niveaux et mobilier inspectables à l’échelle. Volumes réservés, raccord au seed, butin, rencontres et services de campagne restent à terminer.</x:v>
      </x:c>
    </x:row>
    <x:row r="1829" ht="96" customHeight="1">
      <x:c r="A1829" s="115" t="str">
        <x:v>EXT-MONDE-T037-V24</x:v>
      </x:c>
      <x:c r="B1829" s="115" t="str">
        <x:v>EXT-MONDE-T037</x:v>
      </x:c>
      <x:c r="C1829" s="115" t="str">
        <x:v>Égouts</x:v>
      </x:c>
      <x:c r="D1829" s="115" t="str">
        <x:v>Collecteur urbain</x:v>
      </x:c>
      <x:c r="E1829" s="115" t="n">
        <x:v>24</x:v>
      </x:c>
      <x:c r="F1829" s="115" t="str">
        <x:v>Inspection physique</x:v>
      </x:c>
      <x:c r="G1829" s="115" t="str">
        <x:v>2 niveaux ; 14 pièces ; 126 segments de mur ; 2 transitions. Inspection physique ; architecture complète encore ouverte.</x:v>
      </x:c>
      <x:c r="H1829" s="115" t="str">
        <x:v>L 206 ; l 226,1 ; hauteur 3 m ; choix de composition auteur ; dimensions réelles à documenter</x:v>
      </x:c>
      <x:c r="I1829" s="115" t="str">
        <x:v>À équilibrer</x:v>
      </x:c>
      <x:c r="J1829" s="115" t="str">
        <x:v>Non</x:v>
      </x:c>
      <x:c r="K1829" s="115" t="str">
        <x:v>Pièces décrites, murs, portes, niveaux et mobilier inspectables à l’échelle. Volumes réservés, raccord au seed, butin, rencontres et services de campagne restent à terminer.</x:v>
      </x:c>
    </x:row>
    <x:row r="1830" ht="96" customHeight="1">
      <x:c r="A1830" s="115" t="str">
        <x:v>EXT-MONDE-T037-V25</x:v>
      </x:c>
      <x:c r="B1830" s="115" t="str">
        <x:v>EXT-MONDE-T037</x:v>
      </x:c>
      <x:c r="C1830" s="115" t="str">
        <x:v>Égouts</x:v>
      </x:c>
      <x:c r="D1830" s="115" t="str">
        <x:v>Collecteur urbain</x:v>
      </x:c>
      <x:c r="E1830" s="115" t="n">
        <x:v>25</x:v>
      </x:c>
      <x:c r="F1830" s="115" t="str">
        <x:v>Inspection physique</x:v>
      </x:c>
      <x:c r="G1830" s="115" t="str">
        <x:v>2 niveaux ; 14 pièces ; 126 segments de mur ; 2 transitions. Inspection physique ; architecture complète encore ouverte.</x:v>
      </x:c>
      <x:c r="H1830" s="115" t="str">
        <x:v>L 208 ; l 226,8 ; hauteur 3 m ; choix de composition auteur ; dimensions réelles à documenter</x:v>
      </x:c>
      <x:c r="I1830" s="115" t="str">
        <x:v>À équilibrer</x:v>
      </x:c>
      <x:c r="J1830" s="115" t="str">
        <x:v>Non</x:v>
      </x:c>
      <x:c r="K1830" s="115" t="str">
        <x:v>Pièces décrites, murs, portes, niveaux et mobilier inspectables à l’échelle. Volumes réservés, raccord au seed, butin, rencontres et services de campagne restent à terminer.</x:v>
      </x:c>
    </x:row>
    <x:row r="1831" ht="96" customHeight="1">
      <x:c r="A1831" s="115" t="str">
        <x:v>EXT-MONDE-T037-V26</x:v>
      </x:c>
      <x:c r="B1831" s="115" t="str">
        <x:v>EXT-MONDE-T037</x:v>
      </x:c>
      <x:c r="C1831" s="115" t="str">
        <x:v>Égouts</x:v>
      </x:c>
      <x:c r="D1831" s="115" t="str">
        <x:v>Collecteur urbain</x:v>
      </x:c>
      <x:c r="E1831" s="115" t="n">
        <x:v>26</x:v>
      </x:c>
      <x:c r="F1831" s="115" t="str">
        <x:v>Inspection physique</x:v>
      </x:c>
      <x:c r="G1831" s="115" t="str">
        <x:v>2 niveaux ; 14 pièces ; 126 segments de mur ; 2 transitions. Inspection physique ; architecture complète encore ouverte.</x:v>
      </x:c>
      <x:c r="H1831" s="115" t="str">
        <x:v>L 210 ; l 227,5 ; hauteur 3 m ; choix de composition auteur ; dimensions réelles à documenter</x:v>
      </x:c>
      <x:c r="I1831" s="115" t="str">
        <x:v>À équilibrer</x:v>
      </x:c>
      <x:c r="J1831" s="115" t="str">
        <x:v>Non</x:v>
      </x:c>
      <x:c r="K1831" s="115" t="str">
        <x:v>Pièces décrites, murs, portes, niveaux et mobilier inspectables à l’échelle. Volumes réservés, raccord au seed, butin, rencontres et services de campagne restent à terminer.</x:v>
      </x:c>
    </x:row>
    <x:row r="1832" ht="96" customHeight="1">
      <x:c r="A1832" s="115" t="str">
        <x:v>EXT-MONDE-T037-V27</x:v>
      </x:c>
      <x:c r="B1832" s="115" t="str">
        <x:v>EXT-MONDE-T037</x:v>
      </x:c>
      <x:c r="C1832" s="115" t="str">
        <x:v>Égouts</x:v>
      </x:c>
      <x:c r="D1832" s="115" t="str">
        <x:v>Collecteur urbain</x:v>
      </x:c>
      <x:c r="E1832" s="115" t="n">
        <x:v>27</x:v>
      </x:c>
      <x:c r="F1832" s="115" t="str">
        <x:v>Inspection physique</x:v>
      </x:c>
      <x:c r="G1832" s="115" t="str">
        <x:v>2 niveaux ; 14 pièces ; 126 segments de mur ; 2 transitions. Inspection physique ; architecture complète encore ouverte.</x:v>
      </x:c>
      <x:c r="H1832" s="115" t="str">
        <x:v>L 212 ; l 228,2 ; hauteur 3 m ; choix de composition auteur ; dimensions réelles à documenter</x:v>
      </x:c>
      <x:c r="I1832" s="115" t="str">
        <x:v>À équilibrer</x:v>
      </x:c>
      <x:c r="J1832" s="115" t="str">
        <x:v>Non</x:v>
      </x:c>
      <x:c r="K1832" s="115" t="str">
        <x:v>Pièces décrites, murs, portes, niveaux et mobilier inspectables à l’échelle. Volumes réservés, raccord au seed, butin, rencontres et services de campagne restent à terminer.</x:v>
      </x:c>
    </x:row>
    <x:row r="1833" ht="96" customHeight="1">
      <x:c r="A1833" s="115" t="str">
        <x:v>EXT-MONDE-T037-V28</x:v>
      </x:c>
      <x:c r="B1833" s="115" t="str">
        <x:v>EXT-MONDE-T037</x:v>
      </x:c>
      <x:c r="C1833" s="115" t="str">
        <x:v>Égouts</x:v>
      </x:c>
      <x:c r="D1833" s="115" t="str">
        <x:v>Collecteur urbain</x:v>
      </x:c>
      <x:c r="E1833" s="115" t="n">
        <x:v>28</x:v>
      </x:c>
      <x:c r="F1833" s="115" t="str">
        <x:v>Inspection physique</x:v>
      </x:c>
      <x:c r="G1833" s="115" t="str">
        <x:v>2 niveaux ; 14 pièces ; 126 segments de mur ; 2 transitions. Inspection physique ; architecture complète encore ouverte.</x:v>
      </x:c>
      <x:c r="H1833" s="115" t="str">
        <x:v>L 214 ; l 228,9 ; hauteur 3 m ; choix de composition auteur ; dimensions réelles à documenter</x:v>
      </x:c>
      <x:c r="I1833" s="115" t="str">
        <x:v>À équilibrer</x:v>
      </x:c>
      <x:c r="J1833" s="115" t="str">
        <x:v>Non</x:v>
      </x:c>
      <x:c r="K1833" s="115" t="str">
        <x:v>Pièces décrites, murs, portes, niveaux et mobilier inspectables à l’échelle. Volumes réservés, raccord au seed, butin, rencontres et services de campagne restent à terminer.</x:v>
      </x:c>
    </x:row>
    <x:row r="1834" ht="96" customHeight="1">
      <x:c r="A1834" s="115" t="str">
        <x:v>EXT-MONDE-T037-V29</x:v>
      </x:c>
      <x:c r="B1834" s="115" t="str">
        <x:v>EXT-MONDE-T037</x:v>
      </x:c>
      <x:c r="C1834" s="115" t="str">
        <x:v>Égouts</x:v>
      </x:c>
      <x:c r="D1834" s="115" t="str">
        <x:v>Collecteur urbain</x:v>
      </x:c>
      <x:c r="E1834" s="115" t="n">
        <x:v>29</x:v>
      </x:c>
      <x:c r="F1834" s="115" t="str">
        <x:v>Inspection physique</x:v>
      </x:c>
      <x:c r="G1834" s="115" t="str">
        <x:v>2 niveaux ; 14 pièces ; 126 segments de mur ; 2 transitions. Inspection physique ; architecture complète encore ouverte.</x:v>
      </x:c>
      <x:c r="H1834" s="115" t="str">
        <x:v>L 216 ; l 229,6 ; hauteur 3 m ; choix de composition auteur ; dimensions réelles à documenter</x:v>
      </x:c>
      <x:c r="I1834" s="115" t="str">
        <x:v>À équilibrer</x:v>
      </x:c>
      <x:c r="J1834" s="115" t="str">
        <x:v>Non</x:v>
      </x:c>
      <x:c r="K1834" s="115" t="str">
        <x:v>Pièces décrites, murs, portes, niveaux et mobilier inspectables à l’échelle. Volumes réservés, raccord au seed, butin, rencontres et services de campagne restent à terminer.</x:v>
      </x:c>
    </x:row>
    <x:row r="1835" ht="96" customHeight="1">
      <x:c r="A1835" s="115" t="str">
        <x:v>EXT-MONDE-T037-V30</x:v>
      </x:c>
      <x:c r="B1835" s="115" t="str">
        <x:v>EXT-MONDE-T037</x:v>
      </x:c>
      <x:c r="C1835" s="115" t="str">
        <x:v>Égouts</x:v>
      </x:c>
      <x:c r="D1835" s="115" t="str">
        <x:v>Collecteur urbain</x:v>
      </x:c>
      <x:c r="E1835" s="115" t="n">
        <x:v>30</x:v>
      </x:c>
      <x:c r="F1835" s="115" t="str">
        <x:v>Inspection physique</x:v>
      </x:c>
      <x:c r="G1835" s="115" t="str">
        <x:v>2 niveaux ; 14 pièces ; 126 segments de mur ; 2 transitions. Inspection physique ; architecture complète encore ouverte.</x:v>
      </x:c>
      <x:c r="H1835" s="115" t="str">
        <x:v>L 218 ; l 230,3 ; hauteur 3 m ; choix de composition auteur ; dimensions réelles à documenter</x:v>
      </x:c>
      <x:c r="I1835" s="115" t="str">
        <x:v>À équilibrer</x:v>
      </x:c>
      <x:c r="J1835" s="115" t="str">
        <x:v>Non</x:v>
      </x:c>
      <x:c r="K1835" s="115" t="str">
        <x:v>Pièces décrites, murs, portes, niveaux et mobilier inspectables à l’échelle. Volumes réservés, raccord au seed, butin, rencontres et services de campagne restent à terminer.</x:v>
      </x:c>
    </x:row>
    <x:row r="1836" ht="96" customHeight="1">
      <x:c r="A1836" s="115" t="str">
        <x:v>EXT-MONDE-T037-V31</x:v>
      </x:c>
      <x:c r="B1836" s="115" t="str">
        <x:v>EXT-MONDE-T037</x:v>
      </x:c>
      <x:c r="C1836" s="115" t="str">
        <x:v>Égouts</x:v>
      </x:c>
      <x:c r="D1836" s="115" t="str">
        <x:v>Collecteur urbain</x:v>
      </x:c>
      <x:c r="E1836" s="115" t="n">
        <x:v>31</x:v>
      </x:c>
      <x:c r="F1836" s="115" t="str">
        <x:v>Inspection physique</x:v>
      </x:c>
      <x:c r="G1836" s="115" t="str">
        <x:v>2 niveaux ; 14 pièces ; 126 segments de mur ; 2 transitions. Inspection physique ; architecture complète encore ouverte.</x:v>
      </x:c>
      <x:c r="H1836" s="115" t="str">
        <x:v>L 210 ; l 236 ; hauteur 3 m ; choix de composition auteur ; dimensions réelles à documenter</x:v>
      </x:c>
      <x:c r="I1836" s="115" t="str">
        <x:v>À équilibrer</x:v>
      </x:c>
      <x:c r="J1836" s="115" t="str">
        <x:v>Non</x:v>
      </x:c>
      <x:c r="K1836" s="115" t="str">
        <x:v>Pièces décrites, murs, portes, niveaux et mobilier inspectables à l’échelle. Volumes réservés, raccord au seed, butin, rencontres et services de campagne restent à terminer.</x:v>
      </x:c>
    </x:row>
    <x:row r="1837" ht="96" customHeight="1">
      <x:c r="A1837" s="115" t="str">
        <x:v>EXT-MONDE-T037-V32</x:v>
      </x:c>
      <x:c r="B1837" s="115" t="str">
        <x:v>EXT-MONDE-T037</x:v>
      </x:c>
      <x:c r="C1837" s="115" t="str">
        <x:v>Égouts</x:v>
      </x:c>
      <x:c r="D1837" s="115" t="str">
        <x:v>Collecteur urbain</x:v>
      </x:c>
      <x:c r="E1837" s="115" t="n">
        <x:v>32</x:v>
      </x:c>
      <x:c r="F1837" s="115" t="str">
        <x:v>Inspection physique</x:v>
      </x:c>
      <x:c r="G1837" s="115" t="str">
        <x:v>2 niveaux ; 14 pièces ; 126 segments de mur ; 2 transitions. Inspection physique ; architecture complète encore ouverte.</x:v>
      </x:c>
      <x:c r="H1837" s="115" t="str">
        <x:v>L 212 ; l 236,7 ; hauteur 3 m ; choix de composition auteur ; dimensions réelles à documenter</x:v>
      </x:c>
      <x:c r="I1837" s="115" t="str">
        <x:v>À équilibrer</x:v>
      </x:c>
      <x:c r="J1837" s="115" t="str">
        <x:v>Non</x:v>
      </x:c>
      <x:c r="K1837" s="115" t="str">
        <x:v>Pièces décrites, murs, portes, niveaux et mobilier inspectables à l’échelle. Volumes réservés, raccord au seed, butin, rencontres et services de campagne restent à terminer.</x:v>
      </x:c>
    </x:row>
    <x:row r="1838" ht="96" customHeight="1">
      <x:c r="A1838" s="115" t="str">
        <x:v>EXT-MONDE-T037-V33</x:v>
      </x:c>
      <x:c r="B1838" s="115" t="str">
        <x:v>EXT-MONDE-T037</x:v>
      </x:c>
      <x:c r="C1838" s="115" t="str">
        <x:v>Égouts</x:v>
      </x:c>
      <x:c r="D1838" s="115" t="str">
        <x:v>Collecteur urbain</x:v>
      </x:c>
      <x:c r="E1838" s="115" t="n">
        <x:v>33</x:v>
      </x:c>
      <x:c r="F1838" s="115" t="str">
        <x:v>Inspection physique</x:v>
      </x:c>
      <x:c r="G1838" s="115" t="str">
        <x:v>2 niveaux ; 14 pièces ; 126 segments de mur ; 2 transitions. Inspection physique ; architecture complète encore ouverte.</x:v>
      </x:c>
      <x:c r="H1838" s="115" t="str">
        <x:v>L 214 ; l 237,4 ; hauteur 3 m ; choix de composition auteur ; dimensions réelles à documenter</x:v>
      </x:c>
      <x:c r="I1838" s="115" t="str">
        <x:v>À équilibrer</x:v>
      </x:c>
      <x:c r="J1838" s="115" t="str">
        <x:v>Non</x:v>
      </x:c>
      <x:c r="K1838" s="115" t="str">
        <x:v>Pièces décrites, murs, portes, niveaux et mobilier inspectables à l’échelle. Volumes réservés, raccord au seed, butin, rencontres et services de campagne restent à terminer.</x:v>
      </x:c>
    </x:row>
    <x:row r="1839" ht="96" customHeight="1">
      <x:c r="A1839" s="115" t="str">
        <x:v>EXT-MONDE-T037-V34</x:v>
      </x:c>
      <x:c r="B1839" s="115" t="str">
        <x:v>EXT-MONDE-T037</x:v>
      </x:c>
      <x:c r="C1839" s="115" t="str">
        <x:v>Égouts</x:v>
      </x:c>
      <x:c r="D1839" s="115" t="str">
        <x:v>Collecteur urbain</x:v>
      </x:c>
      <x:c r="E1839" s="115" t="n">
        <x:v>34</x:v>
      </x:c>
      <x:c r="F1839" s="115" t="str">
        <x:v>Inspection physique</x:v>
      </x:c>
      <x:c r="G1839" s="115" t="str">
        <x:v>2 niveaux ; 14 pièces ; 126 segments de mur ; 2 transitions. Inspection physique ; architecture complète encore ouverte.</x:v>
      </x:c>
      <x:c r="H1839" s="115" t="str">
        <x:v>L 216 ; l 238,1 ; hauteur 3 m ; choix de composition auteur ; dimensions réelles à documenter</x:v>
      </x:c>
      <x:c r="I1839" s="115" t="str">
        <x:v>À équilibrer</x:v>
      </x:c>
      <x:c r="J1839" s="115" t="str">
        <x:v>Non</x:v>
      </x:c>
      <x:c r="K1839" s="115" t="str">
        <x:v>Pièces décrites, murs, portes, niveaux et mobilier inspectables à l’échelle. Volumes réservés, raccord au seed, butin, rencontres et services de campagne restent à terminer.</x:v>
      </x:c>
    </x:row>
    <x:row r="1840" ht="96" customHeight="1">
      <x:c r="A1840" s="115" t="str">
        <x:v>EXT-MONDE-T037-V35</x:v>
      </x:c>
      <x:c r="B1840" s="115" t="str">
        <x:v>EXT-MONDE-T037</x:v>
      </x:c>
      <x:c r="C1840" s="115" t="str">
        <x:v>Égouts</x:v>
      </x:c>
      <x:c r="D1840" s="115" t="str">
        <x:v>Collecteur urbain</x:v>
      </x:c>
      <x:c r="E1840" s="115" t="n">
        <x:v>35</x:v>
      </x:c>
      <x:c r="F1840" s="115" t="str">
        <x:v>Inspection physique</x:v>
      </x:c>
      <x:c r="G1840" s="115" t="str">
        <x:v>2 niveaux ; 14 pièces ; 126 segments de mur ; 2 transitions. Inspection physique ; architecture complète encore ouverte.</x:v>
      </x:c>
      <x:c r="H1840" s="115" t="str">
        <x:v>L 218 ; l 238,8 ; hauteur 3 m ; choix de composition auteur ; dimensions réelles à documenter</x:v>
      </x:c>
      <x:c r="I1840" s="115" t="str">
        <x:v>À équilibrer</x:v>
      </x:c>
      <x:c r="J1840" s="115" t="str">
        <x:v>Non</x:v>
      </x:c>
      <x:c r="K1840" s="115" t="str">
        <x:v>Pièces décrites, murs, portes, niveaux et mobilier inspectables à l’échelle. Volumes réservés, raccord au seed, butin, rencontres et services de campagne restent à terminer.</x:v>
      </x:c>
    </x:row>
    <x:row r="1841" ht="96" customHeight="1">
      <x:c r="A1841" s="115" t="str">
        <x:v>EXT-MONDE-T037-V36</x:v>
      </x:c>
      <x:c r="B1841" s="115" t="str">
        <x:v>EXT-MONDE-T037</x:v>
      </x:c>
      <x:c r="C1841" s="115" t="str">
        <x:v>Égouts</x:v>
      </x:c>
      <x:c r="D1841" s="115" t="str">
        <x:v>Collecteur urbain</x:v>
      </x:c>
      <x:c r="E1841" s="115" t="n">
        <x:v>36</x:v>
      </x:c>
      <x:c r="F1841" s="115" t="str">
        <x:v>Inspection physique</x:v>
      </x:c>
      <x:c r="G1841" s="115" t="str">
        <x:v>2 niveaux ; 14 pièces ; 126 segments de mur ; 2 transitions. Inspection physique ; architecture complète encore ouverte.</x:v>
      </x:c>
      <x:c r="H1841" s="115" t="str">
        <x:v>L 220 ; l 239,5 ; hauteur 3 m ; choix de composition auteur ; dimensions réelles à documenter</x:v>
      </x:c>
      <x:c r="I1841" s="115" t="str">
        <x:v>À équilibrer</x:v>
      </x:c>
      <x:c r="J1841" s="115" t="str">
        <x:v>Non</x:v>
      </x:c>
      <x:c r="K1841" s="115" t="str">
        <x:v>Pièces décrites, murs, portes, niveaux et mobilier inspectables à l’échelle. Volumes réservés, raccord au seed, butin, rencontres et services de campagne restent à terminer.</x:v>
      </x:c>
    </x:row>
    <x:row r="1842" ht="96" customHeight="1">
      <x:c r="A1842" s="115" t="str">
        <x:v>EXT-MONDE-T037-V37</x:v>
      </x:c>
      <x:c r="B1842" s="115" t="str">
        <x:v>EXT-MONDE-T037</x:v>
      </x:c>
      <x:c r="C1842" s="115" t="str">
        <x:v>Égouts</x:v>
      </x:c>
      <x:c r="D1842" s="115" t="str">
        <x:v>Collecteur urbain</x:v>
      </x:c>
      <x:c r="E1842" s="115" t="n">
        <x:v>37</x:v>
      </x:c>
      <x:c r="F1842" s="115" t="str">
        <x:v>Inspection physique</x:v>
      </x:c>
      <x:c r="G1842" s="115" t="str">
        <x:v>2 niveaux ; 14 pièces ; 126 segments de mur ; 2 transitions. Inspection physique ; architecture complète encore ouverte.</x:v>
      </x:c>
      <x:c r="H1842" s="115" t="str">
        <x:v>L 222 ; l 240,2 ; hauteur 3 m ; choix de composition auteur ; dimensions réelles à documenter</x:v>
      </x:c>
      <x:c r="I1842" s="115" t="str">
        <x:v>À équilibrer</x:v>
      </x:c>
      <x:c r="J1842" s="115" t="str">
        <x:v>Non</x:v>
      </x:c>
      <x:c r="K1842" s="115" t="str">
        <x:v>Pièces décrites, murs, portes, niveaux et mobilier inspectables à l’échelle. Volumes réservés, raccord au seed, butin, rencontres et services de campagne restent à terminer.</x:v>
      </x:c>
    </x:row>
    <x:row r="1843" ht="96" customHeight="1">
      <x:c r="A1843" s="115" t="str">
        <x:v>EXT-MONDE-T037-V38</x:v>
      </x:c>
      <x:c r="B1843" s="115" t="str">
        <x:v>EXT-MONDE-T037</x:v>
      </x:c>
      <x:c r="C1843" s="115" t="str">
        <x:v>Égouts</x:v>
      </x:c>
      <x:c r="D1843" s="115" t="str">
        <x:v>Collecteur urbain</x:v>
      </x:c>
      <x:c r="E1843" s="115" t="n">
        <x:v>38</x:v>
      </x:c>
      <x:c r="F1843" s="115" t="str">
        <x:v>Inspection physique</x:v>
      </x:c>
      <x:c r="G1843" s="115" t="str">
        <x:v>2 niveaux ; 14 pièces ; 126 segments de mur ; 2 transitions. Inspection physique ; architecture complète encore ouverte.</x:v>
      </x:c>
      <x:c r="H1843" s="115" t="str">
        <x:v>L 224 ; l 240,9 ; hauteur 3 m ; choix de composition auteur ; dimensions réelles à documenter</x:v>
      </x:c>
      <x:c r="I1843" s="115" t="str">
        <x:v>À équilibrer</x:v>
      </x:c>
      <x:c r="J1843" s="115" t="str">
        <x:v>Non</x:v>
      </x:c>
      <x:c r="K1843" s="115" t="str">
        <x:v>Pièces décrites, murs, portes, niveaux et mobilier inspectables à l’échelle. Volumes réservés, raccord au seed, butin, rencontres et services de campagne restent à terminer.</x:v>
      </x:c>
    </x:row>
    <x:row r="1844" ht="96" customHeight="1">
      <x:c r="A1844" s="115" t="str">
        <x:v>EXT-MONDE-T037-V39</x:v>
      </x:c>
      <x:c r="B1844" s="115" t="str">
        <x:v>EXT-MONDE-T037</x:v>
      </x:c>
      <x:c r="C1844" s="115" t="str">
        <x:v>Égouts</x:v>
      </x:c>
      <x:c r="D1844" s="115" t="str">
        <x:v>Collecteur urbain</x:v>
      </x:c>
      <x:c r="E1844" s="115" t="n">
        <x:v>39</x:v>
      </x:c>
      <x:c r="F1844" s="115" t="str">
        <x:v>Inspection physique</x:v>
      </x:c>
      <x:c r="G1844" s="115" t="str">
        <x:v>2 niveaux ; 14 pièces ; 126 segments de mur ; 2 transitions. Inspection physique ; architecture complète encore ouverte.</x:v>
      </x:c>
      <x:c r="H1844" s="115" t="str">
        <x:v>L 226 ; l 241,6 ; hauteur 3 m ; choix de composition auteur ; dimensions réelles à documenter</x:v>
      </x:c>
      <x:c r="I1844" s="115" t="str">
        <x:v>À équilibrer</x:v>
      </x:c>
      <x:c r="J1844" s="115" t="str">
        <x:v>Non</x:v>
      </x:c>
      <x:c r="K1844" s="115" t="str">
        <x:v>Pièces décrites, murs, portes, niveaux et mobilier inspectables à l’échelle. Volumes réservés, raccord au seed, butin, rencontres et services de campagne restent à terminer.</x:v>
      </x:c>
    </x:row>
    <x:row r="1845" ht="96" customHeight="1">
      <x:c r="A1845" s="115" t="str">
        <x:v>EXT-MONDE-T037-V40</x:v>
      </x:c>
      <x:c r="B1845" s="115" t="str">
        <x:v>EXT-MONDE-T037</x:v>
      </x:c>
      <x:c r="C1845" s="115" t="str">
        <x:v>Égouts</x:v>
      </x:c>
      <x:c r="D1845" s="115" t="str">
        <x:v>Collecteur urbain</x:v>
      </x:c>
      <x:c r="E1845" s="115" t="n">
        <x:v>40</x:v>
      </x:c>
      <x:c r="F1845" s="115" t="str">
        <x:v>Inspection physique</x:v>
      </x:c>
      <x:c r="G1845" s="115" t="str">
        <x:v>2 niveaux ; 14 pièces ; 126 segments de mur ; 2 transitions. Inspection physique ; architecture complète encore ouverte.</x:v>
      </x:c>
      <x:c r="H1845" s="115" t="str">
        <x:v>L 228 ; l 242,3 ; hauteur 3 m ; choix de composition auteur ; dimensions réelles à documenter</x:v>
      </x:c>
      <x:c r="I1845" s="115" t="str">
        <x:v>À équilibrer</x:v>
      </x:c>
      <x:c r="J1845" s="115" t="str">
        <x:v>Non</x:v>
      </x:c>
      <x:c r="K1845" s="115" t="str">
        <x:v>Pièces décrites, murs, portes, niveaux et mobilier inspectables à l’échelle. Volumes réservés, raccord au seed, butin, rencontres et services de campagne restent à terminer.</x:v>
      </x:c>
    </x:row>
    <x:row r="1846" ht="96" customHeight="1">
      <x:c r="A1846" s="115" t="str">
        <x:v>EXT-MONDE-T037-V41</x:v>
      </x:c>
      <x:c r="B1846" s="115" t="str">
        <x:v>EXT-MONDE-T037</x:v>
      </x:c>
      <x:c r="C1846" s="115" t="str">
        <x:v>Égouts</x:v>
      </x:c>
      <x:c r="D1846" s="115" t="str">
        <x:v>Collecteur urbain</x:v>
      </x:c>
      <x:c r="E1846" s="115" t="n">
        <x:v>41</x:v>
      </x:c>
      <x:c r="F1846" s="115" t="str">
        <x:v>Inspection physique</x:v>
      </x:c>
      <x:c r="G1846" s="115" t="str">
        <x:v>2 niveaux ; 14 pièces ; 126 segments de mur ; 2 transitions. Inspection physique ; architecture complète encore ouverte.</x:v>
      </x:c>
      <x:c r="H1846" s="115" t="str">
        <x:v>L 220 ; l 248 ; hauteur 3 m ; choix de composition auteur ; dimensions réelles à documenter</x:v>
      </x:c>
      <x:c r="I1846" s="115" t="str">
        <x:v>À équilibrer</x:v>
      </x:c>
      <x:c r="J1846" s="115" t="str">
        <x:v>Non</x:v>
      </x:c>
      <x:c r="K1846" s="115" t="str">
        <x:v>Pièces décrites, murs, portes, niveaux et mobilier inspectables à l’échelle. Volumes réservés, raccord au seed, butin, rencontres et services de campagne restent à terminer.</x:v>
      </x:c>
    </x:row>
    <x:row r="1847" ht="96" customHeight="1">
      <x:c r="A1847" s="115" t="str">
        <x:v>EXT-MONDE-T037-V42</x:v>
      </x:c>
      <x:c r="B1847" s="115" t="str">
        <x:v>EXT-MONDE-T037</x:v>
      </x:c>
      <x:c r="C1847" s="115" t="str">
        <x:v>Égouts</x:v>
      </x:c>
      <x:c r="D1847" s="115" t="str">
        <x:v>Collecteur urbain</x:v>
      </x:c>
      <x:c r="E1847" s="115" t="n">
        <x:v>42</x:v>
      </x:c>
      <x:c r="F1847" s="115" t="str">
        <x:v>Inspection physique</x:v>
      </x:c>
      <x:c r="G1847" s="115" t="str">
        <x:v>2 niveaux ; 14 pièces ; 126 segments de mur ; 2 transitions. Inspection physique ; architecture complète encore ouverte.</x:v>
      </x:c>
      <x:c r="H1847" s="115" t="str">
        <x:v>L 222 ; l 248,7 ; hauteur 3 m ; choix de composition auteur ; dimensions réelles à documenter</x:v>
      </x:c>
      <x:c r="I1847" s="115" t="str">
        <x:v>À équilibrer</x:v>
      </x:c>
      <x:c r="J1847" s="115" t="str">
        <x:v>Non</x:v>
      </x:c>
      <x:c r="K1847" s="115" t="str">
        <x:v>Pièces décrites, murs, portes, niveaux et mobilier inspectables à l’échelle. Volumes réservés, raccord au seed, butin, rencontres et services de campagne restent à terminer.</x:v>
      </x:c>
    </x:row>
    <x:row r="1848" ht="96" customHeight="1">
      <x:c r="A1848" s="115" t="str">
        <x:v>EXT-MONDE-T037-V43</x:v>
      </x:c>
      <x:c r="B1848" s="115" t="str">
        <x:v>EXT-MONDE-T037</x:v>
      </x:c>
      <x:c r="C1848" s="115" t="str">
        <x:v>Égouts</x:v>
      </x:c>
      <x:c r="D1848" s="115" t="str">
        <x:v>Collecteur urbain</x:v>
      </x:c>
      <x:c r="E1848" s="115" t="n">
        <x:v>43</x:v>
      </x:c>
      <x:c r="F1848" s="115" t="str">
        <x:v>Inspection physique</x:v>
      </x:c>
      <x:c r="G1848" s="115" t="str">
        <x:v>2 niveaux ; 14 pièces ; 126 segments de mur ; 2 transitions. Inspection physique ; architecture complète encore ouverte.</x:v>
      </x:c>
      <x:c r="H1848" s="115" t="str">
        <x:v>L 224 ; l 249,4 ; hauteur 3 m ; choix de composition auteur ; dimensions réelles à documenter</x:v>
      </x:c>
      <x:c r="I1848" s="115" t="str">
        <x:v>À équilibrer</x:v>
      </x:c>
      <x:c r="J1848" s="115" t="str">
        <x:v>Non</x:v>
      </x:c>
      <x:c r="K1848" s="115" t="str">
        <x:v>Pièces décrites, murs, portes, niveaux et mobilier inspectables à l’échelle. Volumes réservés, raccord au seed, butin, rencontres et services de campagne restent à terminer.</x:v>
      </x:c>
    </x:row>
    <x:row r="1849" ht="96" customHeight="1">
      <x:c r="A1849" s="115" t="str">
        <x:v>EXT-MONDE-T037-V44</x:v>
      </x:c>
      <x:c r="B1849" s="115" t="str">
        <x:v>EXT-MONDE-T037</x:v>
      </x:c>
      <x:c r="C1849" s="115" t="str">
        <x:v>Égouts</x:v>
      </x:c>
      <x:c r="D1849" s="115" t="str">
        <x:v>Collecteur urbain</x:v>
      </x:c>
      <x:c r="E1849" s="115" t="n">
        <x:v>44</x:v>
      </x:c>
      <x:c r="F1849" s="115" t="str">
        <x:v>Inspection physique</x:v>
      </x:c>
      <x:c r="G1849" s="115" t="str">
        <x:v>2 niveaux ; 14 pièces ; 126 segments de mur ; 2 transitions. Inspection physique ; architecture complète encore ouverte.</x:v>
      </x:c>
      <x:c r="H1849" s="115" t="str">
        <x:v>L 226 ; l 250,1 ; hauteur 3 m ; choix de composition auteur ; dimensions réelles à documenter</x:v>
      </x:c>
      <x:c r="I1849" s="115" t="str">
        <x:v>À équilibrer</x:v>
      </x:c>
      <x:c r="J1849" s="115" t="str">
        <x:v>Non</x:v>
      </x:c>
      <x:c r="K1849" s="115" t="str">
        <x:v>Pièces décrites, murs, portes, niveaux et mobilier inspectables à l’échelle. Volumes réservés, raccord au seed, butin, rencontres et services de campagne restent à terminer.</x:v>
      </x:c>
    </x:row>
    <x:row r="1850" ht="96" customHeight="1">
      <x:c r="A1850" s="115" t="str">
        <x:v>EXT-MONDE-T037-V45</x:v>
      </x:c>
      <x:c r="B1850" s="115" t="str">
        <x:v>EXT-MONDE-T037</x:v>
      </x:c>
      <x:c r="C1850" s="115" t="str">
        <x:v>Égouts</x:v>
      </x:c>
      <x:c r="D1850" s="115" t="str">
        <x:v>Collecteur urbain</x:v>
      </x:c>
      <x:c r="E1850" s="115" t="n">
        <x:v>45</x:v>
      </x:c>
      <x:c r="F1850" s="115" t="str">
        <x:v>Inspection physique</x:v>
      </x:c>
      <x:c r="G1850" s="115" t="str">
        <x:v>2 niveaux ; 14 pièces ; 126 segments de mur ; 2 transitions. Inspection physique ; architecture complète encore ouverte.</x:v>
      </x:c>
      <x:c r="H1850" s="115" t="str">
        <x:v>L 228 ; l 250,8 ; hauteur 3 m ; choix de composition auteur ; dimensions réelles à documenter</x:v>
      </x:c>
      <x:c r="I1850" s="115" t="str">
        <x:v>À équilibrer</x:v>
      </x:c>
      <x:c r="J1850" s="115" t="str">
        <x:v>Non</x:v>
      </x:c>
      <x:c r="K1850" s="115" t="str">
        <x:v>Pièces décrites, murs, portes, niveaux et mobilier inspectables à l’échelle. Volumes réservés, raccord au seed, butin, rencontres et services de campagne restent à terminer.</x:v>
      </x:c>
    </x:row>
    <x:row r="1851" ht="96" customHeight="1">
      <x:c r="A1851" s="115" t="str">
        <x:v>EXT-MONDE-T037-V46</x:v>
      </x:c>
      <x:c r="B1851" s="115" t="str">
        <x:v>EXT-MONDE-T037</x:v>
      </x:c>
      <x:c r="C1851" s="115" t="str">
        <x:v>Égouts</x:v>
      </x:c>
      <x:c r="D1851" s="115" t="str">
        <x:v>Collecteur urbain</x:v>
      </x:c>
      <x:c r="E1851" s="115" t="n">
        <x:v>46</x:v>
      </x:c>
      <x:c r="F1851" s="115" t="str">
        <x:v>Inspection physique</x:v>
      </x:c>
      <x:c r="G1851" s="115" t="str">
        <x:v>2 niveaux ; 14 pièces ; 126 segments de mur ; 2 transitions. Inspection physique ; architecture complète encore ouverte.</x:v>
      </x:c>
      <x:c r="H1851" s="115" t="str">
        <x:v>L 230 ; l 251,5 ; hauteur 3 m ; choix de composition auteur ; dimensions réelles à documenter</x:v>
      </x:c>
      <x:c r="I1851" s="115" t="str">
        <x:v>À équilibrer</x:v>
      </x:c>
      <x:c r="J1851" s="115" t="str">
        <x:v>Non</x:v>
      </x:c>
      <x:c r="K1851" s="115" t="str">
        <x:v>Pièces décrites, murs, portes, niveaux et mobilier inspectables à l’échelle. Volumes réservés, raccord au seed, butin, rencontres et services de campagne restent à terminer.</x:v>
      </x:c>
    </x:row>
    <x:row r="1852" ht="96" customHeight="1">
      <x:c r="A1852" s="115" t="str">
        <x:v>EXT-MONDE-T037-V47</x:v>
      </x:c>
      <x:c r="B1852" s="115" t="str">
        <x:v>EXT-MONDE-T037</x:v>
      </x:c>
      <x:c r="C1852" s="115" t="str">
        <x:v>Égouts</x:v>
      </x:c>
      <x:c r="D1852" s="115" t="str">
        <x:v>Collecteur urbain</x:v>
      </x:c>
      <x:c r="E1852" s="115" t="n">
        <x:v>47</x:v>
      </x:c>
      <x:c r="F1852" s="115" t="str">
        <x:v>Inspection physique</x:v>
      </x:c>
      <x:c r="G1852" s="115" t="str">
        <x:v>2 niveaux ; 14 pièces ; 126 segments de mur ; 2 transitions. Inspection physique ; architecture complète encore ouverte.</x:v>
      </x:c>
      <x:c r="H1852" s="115" t="str">
        <x:v>L 232 ; l 252,2 ; hauteur 3 m ; choix de composition auteur ; dimensions réelles à documenter</x:v>
      </x:c>
      <x:c r="I1852" s="115" t="str">
        <x:v>À équilibrer</x:v>
      </x:c>
      <x:c r="J1852" s="115" t="str">
        <x:v>Non</x:v>
      </x:c>
      <x:c r="K1852" s="115" t="str">
        <x:v>Pièces décrites, murs, portes, niveaux et mobilier inspectables à l’échelle. Volumes réservés, raccord au seed, butin, rencontres et services de campagne restent à terminer.</x:v>
      </x:c>
    </x:row>
    <x:row r="1853" ht="96" customHeight="1">
      <x:c r="A1853" s="115" t="str">
        <x:v>EXT-MONDE-T037-V48</x:v>
      </x:c>
      <x:c r="B1853" s="115" t="str">
        <x:v>EXT-MONDE-T037</x:v>
      </x:c>
      <x:c r="C1853" s="115" t="str">
        <x:v>Égouts</x:v>
      </x:c>
      <x:c r="D1853" s="115" t="str">
        <x:v>Collecteur urbain</x:v>
      </x:c>
      <x:c r="E1853" s="115" t="n">
        <x:v>48</x:v>
      </x:c>
      <x:c r="F1853" s="115" t="str">
        <x:v>Inspection physique</x:v>
      </x:c>
      <x:c r="G1853" s="115" t="str">
        <x:v>2 niveaux ; 14 pièces ; 126 segments de mur ; 2 transitions. Inspection physique ; architecture complète encore ouverte.</x:v>
      </x:c>
      <x:c r="H1853" s="115" t="str">
        <x:v>L 234 ; l 252,9 ; hauteur 3 m ; choix de composition auteur ; dimensions réelles à documenter</x:v>
      </x:c>
      <x:c r="I1853" s="115" t="str">
        <x:v>À équilibrer</x:v>
      </x:c>
      <x:c r="J1853" s="115" t="str">
        <x:v>Non</x:v>
      </x:c>
      <x:c r="K1853" s="115" t="str">
        <x:v>Pièces décrites, murs, portes, niveaux et mobilier inspectables à l’échelle. Volumes réservés, raccord au seed, butin, rencontres et services de campagne restent à terminer.</x:v>
      </x:c>
    </x:row>
    <x:row r="1854" ht="96" customHeight="1">
      <x:c r="A1854" s="115" t="str">
        <x:v>EXT-MONDE-T037-V49</x:v>
      </x:c>
      <x:c r="B1854" s="115" t="str">
        <x:v>EXT-MONDE-T037</x:v>
      </x:c>
      <x:c r="C1854" s="115" t="str">
        <x:v>Égouts</x:v>
      </x:c>
      <x:c r="D1854" s="115" t="str">
        <x:v>Collecteur urbain</x:v>
      </x:c>
      <x:c r="E1854" s="115" t="n">
        <x:v>49</x:v>
      </x:c>
      <x:c r="F1854" s="115" t="str">
        <x:v>Inspection physique</x:v>
      </x:c>
      <x:c r="G1854" s="115" t="str">
        <x:v>2 niveaux ; 14 pièces ; 126 segments de mur ; 2 transitions. Inspection physique ; architecture complète encore ouverte.</x:v>
      </x:c>
      <x:c r="H1854" s="115" t="str">
        <x:v>L 236 ; l 253,6 ; hauteur 3 m ; choix de composition auteur ; dimensions réelles à documenter</x:v>
      </x:c>
      <x:c r="I1854" s="115" t="str">
        <x:v>À équilibrer</x:v>
      </x:c>
      <x:c r="J1854" s="115" t="str">
        <x:v>Non</x:v>
      </x:c>
      <x:c r="K1854" s="115" t="str">
        <x:v>Pièces décrites, murs, portes, niveaux et mobilier inspectables à l’échelle. Volumes réservés, raccord au seed, butin, rencontres et services de campagne restent à terminer.</x:v>
      </x:c>
    </x:row>
    <x:row r="1855" ht="96" customHeight="1">
      <x:c r="A1855" s="115" t="str">
        <x:v>EXT-MONDE-T037-V50</x:v>
      </x:c>
      <x:c r="B1855" s="115" t="str">
        <x:v>EXT-MONDE-T037</x:v>
      </x:c>
      <x:c r="C1855" s="115" t="str">
        <x:v>Égouts</x:v>
      </x:c>
      <x:c r="D1855" s="115" t="str">
        <x:v>Collecteur urbain</x:v>
      </x:c>
      <x:c r="E1855" s="115" t="n">
        <x:v>50</x:v>
      </x:c>
      <x:c r="F1855" s="115" t="str">
        <x:v>Inspection physique</x:v>
      </x:c>
      <x:c r="G1855" s="115" t="str">
        <x:v>2 niveaux ; 14 pièces ; 126 segments de mur ; 2 transitions. Inspection physique ; architecture complète encore ouverte.</x:v>
      </x:c>
      <x:c r="H1855" s="115" t="str">
        <x:v>L 238 ; l 254,3 ; hauteur 3 m ; choix de composition auteur ; dimensions réelles à documenter</x:v>
      </x:c>
      <x:c r="I1855" s="115" t="str">
        <x:v>À équilibrer</x:v>
      </x:c>
      <x:c r="J1855" s="115" t="str">
        <x:v>Non</x:v>
      </x:c>
      <x:c r="K1855" s="115" t="str">
        <x:v>Pièces décrites, murs, portes, niveaux et mobilier inspectables à l’échelle. Volumes réservés, raccord au seed, butin, rencontres et services de campagne restent à terminer.</x:v>
      </x:c>
    </x:row>
    <x:row r="1856" ht="96" customHeight="1">
      <x:c r="A1856" s="115" t="str">
        <x:v>EXT-MONDE-T038-V01</x:v>
      </x:c>
      <x:c r="B1856" s="115" t="str">
        <x:v>EXT-MONDE-T038</x:v>
      </x:c>
      <x:c r="C1856" s="115" t="str">
        <x:v>Égouts</x:v>
      </x:c>
      <x:c r="D1856" s="115" t="str">
        <x:v>Réseau unitaire ancien</x:v>
      </x:c>
      <x:c r="E1856" s="115" t="n">
        <x:v>1</x:v>
      </x:c>
      <x:c r="F1856" s="115" t="str">
        <x:v>Inspection physique</x:v>
      </x:c>
      <x:c r="G1856" s="115" t="str">
        <x:v>3 niveaux ; 24 pièces ; 207 segments de mur ; 4 transitions. Inspection physique ; architecture complète encore ouverte.</x:v>
      </x:c>
      <x:c r="H1856" s="115" t="str">
        <x:v>L 180 ; l 200 ; hauteur 3 m ; choix de composition auteur ; dimensions réelles à documenter</x:v>
      </x:c>
      <x:c r="I1856" s="115" t="str">
        <x:v>À équilibrer</x:v>
      </x:c>
      <x:c r="J1856" s="115" t="str">
        <x:v>Non</x:v>
      </x:c>
      <x:c r="K1856" s="115" t="str">
        <x:v>Pièces décrites, murs, portes, niveaux et mobilier inspectables à l’échelle. Volumes réservés, raccord au seed, butin, rencontres et services de campagne restent à terminer.</x:v>
      </x:c>
    </x:row>
    <x:row r="1857" ht="96" customHeight="1">
      <x:c r="A1857" s="115" t="str">
        <x:v>EXT-MONDE-T038-V02</x:v>
      </x:c>
      <x:c r="B1857" s="115" t="str">
        <x:v>EXT-MONDE-T038</x:v>
      </x:c>
      <x:c r="C1857" s="115" t="str">
        <x:v>Égouts</x:v>
      </x:c>
      <x:c r="D1857" s="115" t="str">
        <x:v>Réseau unitaire ancien</x:v>
      </x:c>
      <x:c r="E1857" s="115" t="n">
        <x:v>2</x:v>
      </x:c>
      <x:c r="F1857" s="115" t="str">
        <x:v>Inspection physique</x:v>
      </x:c>
      <x:c r="G1857" s="115" t="str">
        <x:v>3 niveaux ; 24 pièces ; 207 segments de mur ; 4 transitions. Inspection physique ; architecture complète encore ouverte.</x:v>
      </x:c>
      <x:c r="H1857" s="115" t="str">
        <x:v>L 182 ; l 200,7 ; hauteur 3 m ; choix de composition auteur ; dimensions réelles à documenter</x:v>
      </x:c>
      <x:c r="I1857" s="115" t="str">
        <x:v>À équilibrer</x:v>
      </x:c>
      <x:c r="J1857" s="115" t="str">
        <x:v>Non</x:v>
      </x:c>
      <x:c r="K1857" s="115" t="str">
        <x:v>Pièces décrites, murs, portes, niveaux et mobilier inspectables à l’échelle. Volumes réservés, raccord au seed, butin, rencontres et services de campagne restent à terminer.</x:v>
      </x:c>
    </x:row>
    <x:row r="1858" ht="96" customHeight="1">
      <x:c r="A1858" s="115" t="str">
        <x:v>EXT-MONDE-T038-V03</x:v>
      </x:c>
      <x:c r="B1858" s="115" t="str">
        <x:v>EXT-MONDE-T038</x:v>
      </x:c>
      <x:c r="C1858" s="115" t="str">
        <x:v>Égouts</x:v>
      </x:c>
      <x:c r="D1858" s="115" t="str">
        <x:v>Réseau unitaire ancien</x:v>
      </x:c>
      <x:c r="E1858" s="115" t="n">
        <x:v>3</x:v>
      </x:c>
      <x:c r="F1858" s="115" t="str">
        <x:v>Inspection physique</x:v>
      </x:c>
      <x:c r="G1858" s="115" t="str">
        <x:v>3 niveaux ; 24 pièces ; 207 segments de mur ; 4 transitions. Inspection physique ; architecture complète encore ouverte.</x:v>
      </x:c>
      <x:c r="H1858" s="115" t="str">
        <x:v>L 184 ; l 201,4 ; hauteur 3 m ; choix de composition auteur ; dimensions réelles à documenter</x:v>
      </x:c>
      <x:c r="I1858" s="115" t="str">
        <x:v>À équilibrer</x:v>
      </x:c>
      <x:c r="J1858" s="115" t="str">
        <x:v>Non</x:v>
      </x:c>
      <x:c r="K1858" s="115" t="str">
        <x:v>Pièces décrites, murs, portes, niveaux et mobilier inspectables à l’échelle. Volumes réservés, raccord au seed, butin, rencontres et services de campagne restent à terminer.</x:v>
      </x:c>
    </x:row>
    <x:row r="1859" ht="96" customHeight="1">
      <x:c r="A1859" s="115" t="str">
        <x:v>EXT-MONDE-T038-V04</x:v>
      </x:c>
      <x:c r="B1859" s="115" t="str">
        <x:v>EXT-MONDE-T038</x:v>
      </x:c>
      <x:c r="C1859" s="115" t="str">
        <x:v>Égouts</x:v>
      </x:c>
      <x:c r="D1859" s="115" t="str">
        <x:v>Réseau unitaire ancien</x:v>
      </x:c>
      <x:c r="E1859" s="115" t="n">
        <x:v>4</x:v>
      </x:c>
      <x:c r="F1859" s="115" t="str">
        <x:v>Inspection physique</x:v>
      </x:c>
      <x:c r="G1859" s="115" t="str">
        <x:v>3 niveaux ; 24 pièces ; 207 segments de mur ; 4 transitions. Inspection physique ; architecture complète encore ouverte.</x:v>
      </x:c>
      <x:c r="H1859" s="115" t="str">
        <x:v>L 186 ; l 202,1 ; hauteur 3 m ; choix de composition auteur ; dimensions réelles à documenter</x:v>
      </x:c>
      <x:c r="I1859" s="115" t="str">
        <x:v>À équilibrer</x:v>
      </x:c>
      <x:c r="J1859" s="115" t="str">
        <x:v>Non</x:v>
      </x:c>
      <x:c r="K1859" s="115" t="str">
        <x:v>Pièces décrites, murs, portes, niveaux et mobilier inspectables à l’échelle. Volumes réservés, raccord au seed, butin, rencontres et services de campagne restent à terminer.</x:v>
      </x:c>
    </x:row>
    <x:row r="1860" ht="96" customHeight="1">
      <x:c r="A1860" s="115" t="str">
        <x:v>EXT-MONDE-T038-V05</x:v>
      </x:c>
      <x:c r="B1860" s="115" t="str">
        <x:v>EXT-MONDE-T038</x:v>
      </x:c>
      <x:c r="C1860" s="115" t="str">
        <x:v>Égouts</x:v>
      </x:c>
      <x:c r="D1860" s="115" t="str">
        <x:v>Réseau unitaire ancien</x:v>
      </x:c>
      <x:c r="E1860" s="115" t="n">
        <x:v>5</x:v>
      </x:c>
      <x:c r="F1860" s="115" t="str">
        <x:v>Inspection physique</x:v>
      </x:c>
      <x:c r="G1860" s="115" t="str">
        <x:v>3 niveaux ; 24 pièces ; 207 segments de mur ; 4 transitions. Inspection physique ; architecture complète encore ouverte.</x:v>
      </x:c>
      <x:c r="H1860" s="115" t="str">
        <x:v>L 188 ; l 202,8 ; hauteur 3 m ; choix de composition auteur ; dimensions réelles à documenter</x:v>
      </x:c>
      <x:c r="I1860" s="115" t="str">
        <x:v>À équilibrer</x:v>
      </x:c>
      <x:c r="J1860" s="115" t="str">
        <x:v>Non</x:v>
      </x:c>
      <x:c r="K1860" s="115" t="str">
        <x:v>Pièces décrites, murs, portes, niveaux et mobilier inspectables à l’échelle. Volumes réservés, raccord au seed, butin, rencontres et services de campagne restent à terminer.</x:v>
      </x:c>
    </x:row>
    <x:row r="1861" ht="96" customHeight="1">
      <x:c r="A1861" s="115" t="str">
        <x:v>EXT-MONDE-T038-V06</x:v>
      </x:c>
      <x:c r="B1861" s="115" t="str">
        <x:v>EXT-MONDE-T038</x:v>
      </x:c>
      <x:c r="C1861" s="115" t="str">
        <x:v>Égouts</x:v>
      </x:c>
      <x:c r="D1861" s="115" t="str">
        <x:v>Réseau unitaire ancien</x:v>
      </x:c>
      <x:c r="E1861" s="115" t="n">
        <x:v>6</x:v>
      </x:c>
      <x:c r="F1861" s="115" t="str">
        <x:v>Inspection physique</x:v>
      </x:c>
      <x:c r="G1861" s="115" t="str">
        <x:v>3 niveaux ; 24 pièces ; 207 segments de mur ; 4 transitions. Inspection physique ; architecture complète encore ouverte.</x:v>
      </x:c>
      <x:c r="H1861" s="115" t="str">
        <x:v>L 190 ; l 203,5 ; hauteur 3 m ; choix de composition auteur ; dimensions réelles à documenter</x:v>
      </x:c>
      <x:c r="I1861" s="115" t="str">
        <x:v>À équilibrer</x:v>
      </x:c>
      <x:c r="J1861" s="115" t="str">
        <x:v>Non</x:v>
      </x:c>
      <x:c r="K1861" s="115" t="str">
        <x:v>Pièces décrites, murs, portes, niveaux et mobilier inspectables à l’échelle. Volumes réservés, raccord au seed, butin, rencontres et services de campagne restent à terminer.</x:v>
      </x:c>
    </x:row>
    <x:row r="1862" ht="96" customHeight="1">
      <x:c r="A1862" s="115" t="str">
        <x:v>EXT-MONDE-T038-V07</x:v>
      </x:c>
      <x:c r="B1862" s="115" t="str">
        <x:v>EXT-MONDE-T038</x:v>
      </x:c>
      <x:c r="C1862" s="115" t="str">
        <x:v>Égouts</x:v>
      </x:c>
      <x:c r="D1862" s="115" t="str">
        <x:v>Réseau unitaire ancien</x:v>
      </x:c>
      <x:c r="E1862" s="115" t="n">
        <x:v>7</x:v>
      </x:c>
      <x:c r="F1862" s="115" t="str">
        <x:v>Inspection physique</x:v>
      </x:c>
      <x:c r="G1862" s="115" t="str">
        <x:v>3 niveaux ; 24 pièces ; 207 segments de mur ; 4 transitions. Inspection physique ; architecture complète encore ouverte.</x:v>
      </x:c>
      <x:c r="H1862" s="115" t="str">
        <x:v>L 192 ; l 204,2 ; hauteur 3 m ; choix de composition auteur ; dimensions réelles à documenter</x:v>
      </x:c>
      <x:c r="I1862" s="115" t="str">
        <x:v>À équilibrer</x:v>
      </x:c>
      <x:c r="J1862" s="115" t="str">
        <x:v>Non</x:v>
      </x:c>
      <x:c r="K1862" s="115" t="str">
        <x:v>Pièces décrites, murs, portes, niveaux et mobilier inspectables à l’échelle. Volumes réservés, raccord au seed, butin, rencontres et services de campagne restent à terminer.</x:v>
      </x:c>
    </x:row>
    <x:row r="1863" ht="96" customHeight="1">
      <x:c r="A1863" s="115" t="str">
        <x:v>EXT-MONDE-T038-V08</x:v>
      </x:c>
      <x:c r="B1863" s="115" t="str">
        <x:v>EXT-MONDE-T038</x:v>
      </x:c>
      <x:c r="C1863" s="115" t="str">
        <x:v>Égouts</x:v>
      </x:c>
      <x:c r="D1863" s="115" t="str">
        <x:v>Réseau unitaire ancien</x:v>
      </x:c>
      <x:c r="E1863" s="115" t="n">
        <x:v>8</x:v>
      </x:c>
      <x:c r="F1863" s="115" t="str">
        <x:v>Inspection physique</x:v>
      </x:c>
      <x:c r="G1863" s="115" t="str">
        <x:v>3 niveaux ; 24 pièces ; 207 segments de mur ; 4 transitions. Inspection physique ; architecture complète encore ouverte.</x:v>
      </x:c>
      <x:c r="H1863" s="115" t="str">
        <x:v>L 194 ; l 204,9 ; hauteur 3 m ; choix de composition auteur ; dimensions réelles à documenter</x:v>
      </x:c>
      <x:c r="I1863" s="115" t="str">
        <x:v>À équilibrer</x:v>
      </x:c>
      <x:c r="J1863" s="115" t="str">
        <x:v>Non</x:v>
      </x:c>
      <x:c r="K1863" s="115" t="str">
        <x:v>Pièces décrites, murs, portes, niveaux et mobilier inspectables à l’échelle. Volumes réservés, raccord au seed, butin, rencontres et services de campagne restent à terminer.</x:v>
      </x:c>
    </x:row>
    <x:row r="1864" ht="96" customHeight="1">
      <x:c r="A1864" s="115" t="str">
        <x:v>EXT-MONDE-T038-V09</x:v>
      </x:c>
      <x:c r="B1864" s="115" t="str">
        <x:v>EXT-MONDE-T038</x:v>
      </x:c>
      <x:c r="C1864" s="115" t="str">
        <x:v>Égouts</x:v>
      </x:c>
      <x:c r="D1864" s="115" t="str">
        <x:v>Réseau unitaire ancien</x:v>
      </x:c>
      <x:c r="E1864" s="115" t="n">
        <x:v>9</x:v>
      </x:c>
      <x:c r="F1864" s="115" t="str">
        <x:v>Inspection physique</x:v>
      </x:c>
      <x:c r="G1864" s="115" t="str">
        <x:v>3 niveaux ; 24 pièces ; 207 segments de mur ; 4 transitions. Inspection physique ; architecture complète encore ouverte.</x:v>
      </x:c>
      <x:c r="H1864" s="115" t="str">
        <x:v>L 196 ; l 205,6 ; hauteur 3 m ; choix de composition auteur ; dimensions réelles à documenter</x:v>
      </x:c>
      <x:c r="I1864" s="115" t="str">
        <x:v>À équilibrer</x:v>
      </x:c>
      <x:c r="J1864" s="115" t="str">
        <x:v>Non</x:v>
      </x:c>
      <x:c r="K1864" s="115" t="str">
        <x:v>Pièces décrites, murs, portes, niveaux et mobilier inspectables à l’échelle. Volumes réservés, raccord au seed, butin, rencontres et services de campagne restent à terminer.</x:v>
      </x:c>
    </x:row>
    <x:row r="1865" ht="96" customHeight="1">
      <x:c r="A1865" s="115" t="str">
        <x:v>EXT-MONDE-T038-V10</x:v>
      </x:c>
      <x:c r="B1865" s="115" t="str">
        <x:v>EXT-MONDE-T038</x:v>
      </x:c>
      <x:c r="C1865" s="115" t="str">
        <x:v>Égouts</x:v>
      </x:c>
      <x:c r="D1865" s="115" t="str">
        <x:v>Réseau unitaire ancien</x:v>
      </x:c>
      <x:c r="E1865" s="115" t="n">
        <x:v>10</x:v>
      </x:c>
      <x:c r="F1865" s="115" t="str">
        <x:v>Inspection physique</x:v>
      </x:c>
      <x:c r="G1865" s="115" t="str">
        <x:v>3 niveaux ; 24 pièces ; 207 segments de mur ; 4 transitions. Inspection physique ; architecture complète encore ouverte.</x:v>
      </x:c>
      <x:c r="H1865" s="115" t="str">
        <x:v>L 198 ; l 206,3 ; hauteur 3 m ; choix de composition auteur ; dimensions réelles à documenter</x:v>
      </x:c>
      <x:c r="I1865" s="115" t="str">
        <x:v>À équilibrer</x:v>
      </x:c>
      <x:c r="J1865" s="115" t="str">
        <x:v>Non</x:v>
      </x:c>
      <x:c r="K1865" s="115" t="str">
        <x:v>Pièces décrites, murs, portes, niveaux et mobilier inspectables à l’échelle. Volumes réservés, raccord au seed, butin, rencontres et services de campagne restent à terminer.</x:v>
      </x:c>
    </x:row>
    <x:row r="1866" ht="96" customHeight="1">
      <x:c r="A1866" s="115" t="str">
        <x:v>EXT-MONDE-T038-V11</x:v>
      </x:c>
      <x:c r="B1866" s="115" t="str">
        <x:v>EXT-MONDE-T038</x:v>
      </x:c>
      <x:c r="C1866" s="115" t="str">
        <x:v>Égouts</x:v>
      </x:c>
      <x:c r="D1866" s="115" t="str">
        <x:v>Réseau unitaire ancien</x:v>
      </x:c>
      <x:c r="E1866" s="115" t="n">
        <x:v>11</x:v>
      </x:c>
      <x:c r="F1866" s="115" t="str">
        <x:v>Inspection physique</x:v>
      </x:c>
      <x:c r="G1866" s="115" t="str">
        <x:v>3 niveaux ; 24 pièces ; 207 segments de mur ; 4 transitions. Inspection physique ; architecture complète encore ouverte.</x:v>
      </x:c>
      <x:c r="H1866" s="115" t="str">
        <x:v>L 190 ; l 212 ; hauteur 3 m ; choix de composition auteur ; dimensions réelles à documenter</x:v>
      </x:c>
      <x:c r="I1866" s="115" t="str">
        <x:v>À équilibrer</x:v>
      </x:c>
      <x:c r="J1866" s="115" t="str">
        <x:v>Non</x:v>
      </x:c>
      <x:c r="K1866" s="115" t="str">
        <x:v>Pièces décrites, murs, portes, niveaux et mobilier inspectables à l’échelle. Volumes réservés, raccord au seed, butin, rencontres et services de campagne restent à terminer.</x:v>
      </x:c>
    </x:row>
    <x:row r="1867" ht="96" customHeight="1">
      <x:c r="A1867" s="115" t="str">
        <x:v>EXT-MONDE-T038-V12</x:v>
      </x:c>
      <x:c r="B1867" s="115" t="str">
        <x:v>EXT-MONDE-T038</x:v>
      </x:c>
      <x:c r="C1867" s="115" t="str">
        <x:v>Égouts</x:v>
      </x:c>
      <x:c r="D1867" s="115" t="str">
        <x:v>Réseau unitaire ancien</x:v>
      </x:c>
      <x:c r="E1867" s="115" t="n">
        <x:v>12</x:v>
      </x:c>
      <x:c r="F1867" s="115" t="str">
        <x:v>Inspection physique</x:v>
      </x:c>
      <x:c r="G1867" s="115" t="str">
        <x:v>3 niveaux ; 24 pièces ; 207 segments de mur ; 4 transitions. Inspection physique ; architecture complète encore ouverte.</x:v>
      </x:c>
      <x:c r="H1867" s="115" t="str">
        <x:v>L 192 ; l 212,7 ; hauteur 3 m ; choix de composition auteur ; dimensions réelles à documenter</x:v>
      </x:c>
      <x:c r="I1867" s="115" t="str">
        <x:v>À équilibrer</x:v>
      </x:c>
      <x:c r="J1867" s="115" t="str">
        <x:v>Non</x:v>
      </x:c>
      <x:c r="K1867" s="115" t="str">
        <x:v>Pièces décrites, murs, portes, niveaux et mobilier inspectables à l’échelle. Volumes réservés, raccord au seed, butin, rencontres et services de campagne restent à terminer.</x:v>
      </x:c>
    </x:row>
    <x:row r="1868" ht="96" customHeight="1">
      <x:c r="A1868" s="115" t="str">
        <x:v>EXT-MONDE-T038-V13</x:v>
      </x:c>
      <x:c r="B1868" s="115" t="str">
        <x:v>EXT-MONDE-T038</x:v>
      </x:c>
      <x:c r="C1868" s="115" t="str">
        <x:v>Égouts</x:v>
      </x:c>
      <x:c r="D1868" s="115" t="str">
        <x:v>Réseau unitaire ancien</x:v>
      </x:c>
      <x:c r="E1868" s="115" t="n">
        <x:v>13</x:v>
      </x:c>
      <x:c r="F1868" s="115" t="str">
        <x:v>Inspection physique</x:v>
      </x:c>
      <x:c r="G1868" s="115" t="str">
        <x:v>3 niveaux ; 24 pièces ; 207 segments de mur ; 4 transitions. Inspection physique ; architecture complète encore ouverte.</x:v>
      </x:c>
      <x:c r="H1868" s="115" t="str">
        <x:v>L 194 ; l 213,4 ; hauteur 3 m ; choix de composition auteur ; dimensions réelles à documenter</x:v>
      </x:c>
      <x:c r="I1868" s="115" t="str">
        <x:v>À équilibrer</x:v>
      </x:c>
      <x:c r="J1868" s="115" t="str">
        <x:v>Non</x:v>
      </x:c>
      <x:c r="K1868" s="115" t="str">
        <x:v>Pièces décrites, murs, portes, niveaux et mobilier inspectables à l’échelle. Volumes réservés, raccord au seed, butin, rencontres et services de campagne restent à terminer.</x:v>
      </x:c>
    </x:row>
    <x:row r="1869" ht="96" customHeight="1">
      <x:c r="A1869" s="115" t="str">
        <x:v>EXT-MONDE-T038-V14</x:v>
      </x:c>
      <x:c r="B1869" s="115" t="str">
        <x:v>EXT-MONDE-T038</x:v>
      </x:c>
      <x:c r="C1869" s="115" t="str">
        <x:v>Égouts</x:v>
      </x:c>
      <x:c r="D1869" s="115" t="str">
        <x:v>Réseau unitaire ancien</x:v>
      </x:c>
      <x:c r="E1869" s="115" t="n">
        <x:v>14</x:v>
      </x:c>
      <x:c r="F1869" s="115" t="str">
        <x:v>Inspection physique</x:v>
      </x:c>
      <x:c r="G1869" s="115" t="str">
        <x:v>3 niveaux ; 24 pièces ; 207 segments de mur ; 4 transitions. Inspection physique ; architecture complète encore ouverte.</x:v>
      </x:c>
      <x:c r="H1869" s="115" t="str">
        <x:v>L 196 ; l 214,1 ; hauteur 3 m ; choix de composition auteur ; dimensions réelles à documenter</x:v>
      </x:c>
      <x:c r="I1869" s="115" t="str">
        <x:v>À équilibrer</x:v>
      </x:c>
      <x:c r="J1869" s="115" t="str">
        <x:v>Non</x:v>
      </x:c>
      <x:c r="K1869" s="115" t="str">
        <x:v>Pièces décrites, murs, portes, niveaux et mobilier inspectables à l’échelle. Volumes réservés, raccord au seed, butin, rencontres et services de campagne restent à terminer.</x:v>
      </x:c>
    </x:row>
    <x:row r="1870" ht="96" customHeight="1">
      <x:c r="A1870" s="115" t="str">
        <x:v>EXT-MONDE-T038-V15</x:v>
      </x:c>
      <x:c r="B1870" s="115" t="str">
        <x:v>EXT-MONDE-T038</x:v>
      </x:c>
      <x:c r="C1870" s="115" t="str">
        <x:v>Égouts</x:v>
      </x:c>
      <x:c r="D1870" s="115" t="str">
        <x:v>Réseau unitaire ancien</x:v>
      </x:c>
      <x:c r="E1870" s="115" t="n">
        <x:v>15</x:v>
      </x:c>
      <x:c r="F1870" s="115" t="str">
        <x:v>Inspection physique</x:v>
      </x:c>
      <x:c r="G1870" s="115" t="str">
        <x:v>3 niveaux ; 24 pièces ; 207 segments de mur ; 4 transitions. Inspection physique ; architecture complète encore ouverte.</x:v>
      </x:c>
      <x:c r="H1870" s="115" t="str">
        <x:v>L 198 ; l 214,8 ; hauteur 3 m ; choix de composition auteur ; dimensions réelles à documenter</x:v>
      </x:c>
      <x:c r="I1870" s="115" t="str">
        <x:v>À équilibrer</x:v>
      </x:c>
      <x:c r="J1870" s="115" t="str">
        <x:v>Non</x:v>
      </x:c>
      <x:c r="K1870" s="115" t="str">
        <x:v>Pièces décrites, murs, portes, niveaux et mobilier inspectables à l’échelle. Volumes réservés, raccord au seed, butin, rencontres et services de campagne restent à terminer.</x:v>
      </x:c>
    </x:row>
    <x:row r="1871" ht="96" customHeight="1">
      <x:c r="A1871" s="115" t="str">
        <x:v>EXT-MONDE-T038-V16</x:v>
      </x:c>
      <x:c r="B1871" s="115" t="str">
        <x:v>EXT-MONDE-T038</x:v>
      </x:c>
      <x:c r="C1871" s="115" t="str">
        <x:v>Égouts</x:v>
      </x:c>
      <x:c r="D1871" s="115" t="str">
        <x:v>Réseau unitaire ancien</x:v>
      </x:c>
      <x:c r="E1871" s="115" t="n">
        <x:v>16</x:v>
      </x:c>
      <x:c r="F1871" s="115" t="str">
        <x:v>Inspection physique</x:v>
      </x:c>
      <x:c r="G1871" s="115" t="str">
        <x:v>3 niveaux ; 24 pièces ; 207 segments de mur ; 4 transitions. Inspection physique ; architecture complète encore ouverte.</x:v>
      </x:c>
      <x:c r="H1871" s="115" t="str">
        <x:v>L 200 ; l 215,5 ; hauteur 3 m ; choix de composition auteur ; dimensions réelles à documenter</x:v>
      </x:c>
      <x:c r="I1871" s="115" t="str">
        <x:v>À équilibrer</x:v>
      </x:c>
      <x:c r="J1871" s="115" t="str">
        <x:v>Non</x:v>
      </x:c>
      <x:c r="K1871" s="115" t="str">
        <x:v>Pièces décrites, murs, portes, niveaux et mobilier inspectables à l’échelle. Volumes réservés, raccord au seed, butin, rencontres et services de campagne restent à terminer.</x:v>
      </x:c>
    </x:row>
    <x:row r="1872" ht="96" customHeight="1">
      <x:c r="A1872" s="115" t="str">
        <x:v>EXT-MONDE-T038-V17</x:v>
      </x:c>
      <x:c r="B1872" s="115" t="str">
        <x:v>EXT-MONDE-T038</x:v>
      </x:c>
      <x:c r="C1872" s="115" t="str">
        <x:v>Égouts</x:v>
      </x:c>
      <x:c r="D1872" s="115" t="str">
        <x:v>Réseau unitaire ancien</x:v>
      </x:c>
      <x:c r="E1872" s="115" t="n">
        <x:v>17</x:v>
      </x:c>
      <x:c r="F1872" s="115" t="str">
        <x:v>Inspection physique</x:v>
      </x:c>
      <x:c r="G1872" s="115" t="str">
        <x:v>3 niveaux ; 24 pièces ; 207 segments de mur ; 4 transitions. Inspection physique ; architecture complète encore ouverte.</x:v>
      </x:c>
      <x:c r="H1872" s="115" t="str">
        <x:v>L 202 ; l 216,2 ; hauteur 3 m ; choix de composition auteur ; dimensions réelles à documenter</x:v>
      </x:c>
      <x:c r="I1872" s="115" t="str">
        <x:v>À équilibrer</x:v>
      </x:c>
      <x:c r="J1872" s="115" t="str">
        <x:v>Non</x:v>
      </x:c>
      <x:c r="K1872" s="115" t="str">
        <x:v>Pièces décrites, murs, portes, niveaux et mobilier inspectables à l’échelle. Volumes réservés, raccord au seed, butin, rencontres et services de campagne restent à terminer.</x:v>
      </x:c>
    </x:row>
    <x:row r="1873" ht="96" customHeight="1">
      <x:c r="A1873" s="115" t="str">
        <x:v>EXT-MONDE-T038-V18</x:v>
      </x:c>
      <x:c r="B1873" s="115" t="str">
        <x:v>EXT-MONDE-T038</x:v>
      </x:c>
      <x:c r="C1873" s="115" t="str">
        <x:v>Égouts</x:v>
      </x:c>
      <x:c r="D1873" s="115" t="str">
        <x:v>Réseau unitaire ancien</x:v>
      </x:c>
      <x:c r="E1873" s="115" t="n">
        <x:v>18</x:v>
      </x:c>
      <x:c r="F1873" s="115" t="str">
        <x:v>Inspection physique</x:v>
      </x:c>
      <x:c r="G1873" s="115" t="str">
        <x:v>3 niveaux ; 24 pièces ; 207 segments de mur ; 4 transitions. Inspection physique ; architecture complète encore ouverte.</x:v>
      </x:c>
      <x:c r="H1873" s="115" t="str">
        <x:v>L 204 ; l 216,9 ; hauteur 3 m ; choix de composition auteur ; dimensions réelles à documenter</x:v>
      </x:c>
      <x:c r="I1873" s="115" t="str">
        <x:v>À équilibrer</x:v>
      </x:c>
      <x:c r="J1873" s="115" t="str">
        <x:v>Non</x:v>
      </x:c>
      <x:c r="K1873" s="115" t="str">
        <x:v>Pièces décrites, murs, portes, niveaux et mobilier inspectables à l’échelle. Volumes réservés, raccord au seed, butin, rencontres et services de campagne restent à terminer.</x:v>
      </x:c>
    </x:row>
    <x:row r="1874" ht="96" customHeight="1">
      <x:c r="A1874" s="115" t="str">
        <x:v>EXT-MONDE-T038-V19</x:v>
      </x:c>
      <x:c r="B1874" s="115" t="str">
        <x:v>EXT-MONDE-T038</x:v>
      </x:c>
      <x:c r="C1874" s="115" t="str">
        <x:v>Égouts</x:v>
      </x:c>
      <x:c r="D1874" s="115" t="str">
        <x:v>Réseau unitaire ancien</x:v>
      </x:c>
      <x:c r="E1874" s="115" t="n">
        <x:v>19</x:v>
      </x:c>
      <x:c r="F1874" s="115" t="str">
        <x:v>Inspection physique</x:v>
      </x:c>
      <x:c r="G1874" s="115" t="str">
        <x:v>3 niveaux ; 24 pièces ; 207 segments de mur ; 4 transitions. Inspection physique ; architecture complète encore ouverte.</x:v>
      </x:c>
      <x:c r="H1874" s="115" t="str">
        <x:v>L 206 ; l 217,6 ; hauteur 3 m ; choix de composition auteur ; dimensions réelles à documenter</x:v>
      </x:c>
      <x:c r="I1874" s="115" t="str">
        <x:v>À équilibrer</x:v>
      </x:c>
      <x:c r="J1874" s="115" t="str">
        <x:v>Non</x:v>
      </x:c>
      <x:c r="K1874" s="115" t="str">
        <x:v>Pièces décrites, murs, portes, niveaux et mobilier inspectables à l’échelle. Volumes réservés, raccord au seed, butin, rencontres et services de campagne restent à terminer.</x:v>
      </x:c>
    </x:row>
    <x:row r="1875" ht="96" customHeight="1">
      <x:c r="A1875" s="115" t="str">
        <x:v>EXT-MONDE-T038-V20</x:v>
      </x:c>
      <x:c r="B1875" s="115" t="str">
        <x:v>EXT-MONDE-T038</x:v>
      </x:c>
      <x:c r="C1875" s="115" t="str">
        <x:v>Égouts</x:v>
      </x:c>
      <x:c r="D1875" s="115" t="str">
        <x:v>Réseau unitaire ancien</x:v>
      </x:c>
      <x:c r="E1875" s="115" t="n">
        <x:v>20</x:v>
      </x:c>
      <x:c r="F1875" s="115" t="str">
        <x:v>Inspection physique</x:v>
      </x:c>
      <x:c r="G1875" s="115" t="str">
        <x:v>3 niveaux ; 24 pièces ; 207 segments de mur ; 4 transitions. Inspection physique ; architecture complète encore ouverte.</x:v>
      </x:c>
      <x:c r="H1875" s="115" t="str">
        <x:v>L 208 ; l 218,3 ; hauteur 3 m ; choix de composition auteur ; dimensions réelles à documenter</x:v>
      </x:c>
      <x:c r="I1875" s="115" t="str">
        <x:v>À équilibrer</x:v>
      </x:c>
      <x:c r="J1875" s="115" t="str">
        <x:v>Non</x:v>
      </x:c>
      <x:c r="K1875" s="115" t="str">
        <x:v>Pièces décrites, murs, portes, niveaux et mobilier inspectables à l’échelle. Volumes réservés, raccord au seed, butin, rencontres et services de campagne restent à terminer.</x:v>
      </x:c>
    </x:row>
    <x:row r="1876" ht="96" customHeight="1">
      <x:c r="A1876" s="115" t="str">
        <x:v>EXT-MONDE-T038-V21</x:v>
      </x:c>
      <x:c r="B1876" s="115" t="str">
        <x:v>EXT-MONDE-T038</x:v>
      </x:c>
      <x:c r="C1876" s="115" t="str">
        <x:v>Égouts</x:v>
      </x:c>
      <x:c r="D1876" s="115" t="str">
        <x:v>Réseau unitaire ancien</x:v>
      </x:c>
      <x:c r="E1876" s="115" t="n">
        <x:v>21</x:v>
      </x:c>
      <x:c r="F1876" s="115" t="str">
        <x:v>Inspection physique</x:v>
      </x:c>
      <x:c r="G1876" s="115" t="str">
        <x:v>3 niveaux ; 24 pièces ; 207 segments de mur ; 4 transitions. Inspection physique ; architecture complète encore ouverte.</x:v>
      </x:c>
      <x:c r="H1876" s="115" t="str">
        <x:v>L 200 ; l 224 ; hauteur 3 m ; choix de composition auteur ; dimensions réelles à documenter</x:v>
      </x:c>
      <x:c r="I1876" s="115" t="str">
        <x:v>À équilibrer</x:v>
      </x:c>
      <x:c r="J1876" s="115" t="str">
        <x:v>Non</x:v>
      </x:c>
      <x:c r="K1876" s="115" t="str">
        <x:v>Pièces décrites, murs, portes, niveaux et mobilier inspectables à l’échelle. Volumes réservés, raccord au seed, butin, rencontres et services de campagne restent à terminer.</x:v>
      </x:c>
    </x:row>
    <x:row r="1877" ht="96" customHeight="1">
      <x:c r="A1877" s="115" t="str">
        <x:v>EXT-MONDE-T038-V22</x:v>
      </x:c>
      <x:c r="B1877" s="115" t="str">
        <x:v>EXT-MONDE-T038</x:v>
      </x:c>
      <x:c r="C1877" s="115" t="str">
        <x:v>Égouts</x:v>
      </x:c>
      <x:c r="D1877" s="115" t="str">
        <x:v>Réseau unitaire ancien</x:v>
      </x:c>
      <x:c r="E1877" s="115" t="n">
        <x:v>22</x:v>
      </x:c>
      <x:c r="F1877" s="115" t="str">
        <x:v>Inspection physique</x:v>
      </x:c>
      <x:c r="G1877" s="115" t="str">
        <x:v>3 niveaux ; 24 pièces ; 207 segments de mur ; 4 transitions. Inspection physique ; architecture complète encore ouverte.</x:v>
      </x:c>
      <x:c r="H1877" s="115" t="str">
        <x:v>L 202 ; l 224,7 ; hauteur 3 m ; choix de composition auteur ; dimensions réelles à documenter</x:v>
      </x:c>
      <x:c r="I1877" s="115" t="str">
        <x:v>À équilibrer</x:v>
      </x:c>
      <x:c r="J1877" s="115" t="str">
        <x:v>Non</x:v>
      </x:c>
      <x:c r="K1877" s="115" t="str">
        <x:v>Pièces décrites, murs, portes, niveaux et mobilier inspectables à l’échelle. Volumes réservés, raccord au seed, butin, rencontres et services de campagne restent à terminer.</x:v>
      </x:c>
    </x:row>
    <x:row r="1878" ht="96" customHeight="1">
      <x:c r="A1878" s="115" t="str">
        <x:v>EXT-MONDE-T038-V23</x:v>
      </x:c>
      <x:c r="B1878" s="115" t="str">
        <x:v>EXT-MONDE-T038</x:v>
      </x:c>
      <x:c r="C1878" s="115" t="str">
        <x:v>Égouts</x:v>
      </x:c>
      <x:c r="D1878" s="115" t="str">
        <x:v>Réseau unitaire ancien</x:v>
      </x:c>
      <x:c r="E1878" s="115" t="n">
        <x:v>23</x:v>
      </x:c>
      <x:c r="F1878" s="115" t="str">
        <x:v>Inspection physique</x:v>
      </x:c>
      <x:c r="G1878" s="115" t="str">
        <x:v>3 niveaux ; 24 pièces ; 207 segments de mur ; 4 transitions. Inspection physique ; architecture complète encore ouverte.</x:v>
      </x:c>
      <x:c r="H1878" s="115" t="str">
        <x:v>L 204 ; l 225,4 ; hauteur 3 m ; choix de composition auteur ; dimensions réelles à documenter</x:v>
      </x:c>
      <x:c r="I1878" s="115" t="str">
        <x:v>À équilibrer</x:v>
      </x:c>
      <x:c r="J1878" s="115" t="str">
        <x:v>Non</x:v>
      </x:c>
      <x:c r="K1878" s="115" t="str">
        <x:v>Pièces décrites, murs, portes, niveaux et mobilier inspectables à l’échelle. Volumes réservés, raccord au seed, butin, rencontres et services de campagne restent à terminer.</x:v>
      </x:c>
    </x:row>
    <x:row r="1879" ht="96" customHeight="1">
      <x:c r="A1879" s="115" t="str">
        <x:v>EXT-MONDE-T038-V24</x:v>
      </x:c>
      <x:c r="B1879" s="115" t="str">
        <x:v>EXT-MONDE-T038</x:v>
      </x:c>
      <x:c r="C1879" s="115" t="str">
        <x:v>Égouts</x:v>
      </x:c>
      <x:c r="D1879" s="115" t="str">
        <x:v>Réseau unitaire ancien</x:v>
      </x:c>
      <x:c r="E1879" s="115" t="n">
        <x:v>24</x:v>
      </x:c>
      <x:c r="F1879" s="115" t="str">
        <x:v>Inspection physique</x:v>
      </x:c>
      <x:c r="G1879" s="115" t="str">
        <x:v>3 niveaux ; 24 pièces ; 207 segments de mur ; 4 transitions. Inspection physique ; architecture complète encore ouverte.</x:v>
      </x:c>
      <x:c r="H1879" s="115" t="str">
        <x:v>L 206 ; l 226,1 ; hauteur 3 m ; choix de composition auteur ; dimensions réelles à documenter</x:v>
      </x:c>
      <x:c r="I1879" s="115" t="str">
        <x:v>À équilibrer</x:v>
      </x:c>
      <x:c r="J1879" s="115" t="str">
        <x:v>Non</x:v>
      </x:c>
      <x:c r="K1879" s="115" t="str">
        <x:v>Pièces décrites, murs, portes, niveaux et mobilier inspectables à l’échelle. Volumes réservés, raccord au seed, butin, rencontres et services de campagne restent à terminer.</x:v>
      </x:c>
    </x:row>
    <x:row r="1880" ht="96" customHeight="1">
      <x:c r="A1880" s="115" t="str">
        <x:v>EXT-MONDE-T038-V25</x:v>
      </x:c>
      <x:c r="B1880" s="115" t="str">
        <x:v>EXT-MONDE-T038</x:v>
      </x:c>
      <x:c r="C1880" s="115" t="str">
        <x:v>Égouts</x:v>
      </x:c>
      <x:c r="D1880" s="115" t="str">
        <x:v>Réseau unitaire ancien</x:v>
      </x:c>
      <x:c r="E1880" s="115" t="n">
        <x:v>25</x:v>
      </x:c>
      <x:c r="F1880" s="115" t="str">
        <x:v>Inspection physique</x:v>
      </x:c>
      <x:c r="G1880" s="115" t="str">
        <x:v>3 niveaux ; 24 pièces ; 207 segments de mur ; 4 transitions. Inspection physique ; architecture complète encore ouverte.</x:v>
      </x:c>
      <x:c r="H1880" s="115" t="str">
        <x:v>L 208 ; l 226,8 ; hauteur 3 m ; choix de composition auteur ; dimensions réelles à documenter</x:v>
      </x:c>
      <x:c r="I1880" s="115" t="str">
        <x:v>À équilibrer</x:v>
      </x:c>
      <x:c r="J1880" s="115" t="str">
        <x:v>Non</x:v>
      </x:c>
      <x:c r="K1880" s="115" t="str">
        <x:v>Pièces décrites, murs, portes, niveaux et mobilier inspectables à l’échelle. Volumes réservés, raccord au seed, butin, rencontres et services de campagne restent à terminer.</x:v>
      </x:c>
    </x:row>
    <x:row r="1881" ht="96" customHeight="1">
      <x:c r="A1881" s="115" t="str">
        <x:v>EXT-MONDE-T038-V26</x:v>
      </x:c>
      <x:c r="B1881" s="115" t="str">
        <x:v>EXT-MONDE-T038</x:v>
      </x:c>
      <x:c r="C1881" s="115" t="str">
        <x:v>Égouts</x:v>
      </x:c>
      <x:c r="D1881" s="115" t="str">
        <x:v>Réseau unitaire ancien</x:v>
      </x:c>
      <x:c r="E1881" s="115" t="n">
        <x:v>26</x:v>
      </x:c>
      <x:c r="F1881" s="115" t="str">
        <x:v>Inspection physique</x:v>
      </x:c>
      <x:c r="G1881" s="115" t="str">
        <x:v>3 niveaux ; 24 pièces ; 207 segments de mur ; 4 transitions. Inspection physique ; architecture complète encore ouverte.</x:v>
      </x:c>
      <x:c r="H1881" s="115" t="str">
        <x:v>L 210 ; l 227,5 ; hauteur 3 m ; choix de composition auteur ; dimensions réelles à documenter</x:v>
      </x:c>
      <x:c r="I1881" s="115" t="str">
        <x:v>À équilibrer</x:v>
      </x:c>
      <x:c r="J1881" s="115" t="str">
        <x:v>Non</x:v>
      </x:c>
      <x:c r="K1881" s="115" t="str">
        <x:v>Pièces décrites, murs, portes, niveaux et mobilier inspectables à l’échelle. Volumes réservés, raccord au seed, butin, rencontres et services de campagne restent à terminer.</x:v>
      </x:c>
    </x:row>
    <x:row r="1882" ht="96" customHeight="1">
      <x:c r="A1882" s="115" t="str">
        <x:v>EXT-MONDE-T038-V27</x:v>
      </x:c>
      <x:c r="B1882" s="115" t="str">
        <x:v>EXT-MONDE-T038</x:v>
      </x:c>
      <x:c r="C1882" s="115" t="str">
        <x:v>Égouts</x:v>
      </x:c>
      <x:c r="D1882" s="115" t="str">
        <x:v>Réseau unitaire ancien</x:v>
      </x:c>
      <x:c r="E1882" s="115" t="n">
        <x:v>27</x:v>
      </x:c>
      <x:c r="F1882" s="115" t="str">
        <x:v>Inspection physique</x:v>
      </x:c>
      <x:c r="G1882" s="115" t="str">
        <x:v>3 niveaux ; 24 pièces ; 207 segments de mur ; 4 transitions. Inspection physique ; architecture complète encore ouverte.</x:v>
      </x:c>
      <x:c r="H1882" s="115" t="str">
        <x:v>L 212 ; l 228,2 ; hauteur 3 m ; choix de composition auteur ; dimensions réelles à documenter</x:v>
      </x:c>
      <x:c r="I1882" s="115" t="str">
        <x:v>À équilibrer</x:v>
      </x:c>
      <x:c r="J1882" s="115" t="str">
        <x:v>Non</x:v>
      </x:c>
      <x:c r="K1882" s="115" t="str">
        <x:v>Pièces décrites, murs, portes, niveaux et mobilier inspectables à l’échelle. Volumes réservés, raccord au seed, butin, rencontres et services de campagne restent à terminer.</x:v>
      </x:c>
    </x:row>
    <x:row r="1883" ht="96" customHeight="1">
      <x:c r="A1883" s="115" t="str">
        <x:v>EXT-MONDE-T038-V28</x:v>
      </x:c>
      <x:c r="B1883" s="115" t="str">
        <x:v>EXT-MONDE-T038</x:v>
      </x:c>
      <x:c r="C1883" s="115" t="str">
        <x:v>Égouts</x:v>
      </x:c>
      <x:c r="D1883" s="115" t="str">
        <x:v>Réseau unitaire ancien</x:v>
      </x:c>
      <x:c r="E1883" s="115" t="n">
        <x:v>28</x:v>
      </x:c>
      <x:c r="F1883" s="115" t="str">
        <x:v>Inspection physique</x:v>
      </x:c>
      <x:c r="G1883" s="115" t="str">
        <x:v>3 niveaux ; 24 pièces ; 207 segments de mur ; 4 transitions. Inspection physique ; architecture complète encore ouverte.</x:v>
      </x:c>
      <x:c r="H1883" s="115" t="str">
        <x:v>L 214 ; l 228,9 ; hauteur 3 m ; choix de composition auteur ; dimensions réelles à documenter</x:v>
      </x:c>
      <x:c r="I1883" s="115" t="str">
        <x:v>À équilibrer</x:v>
      </x:c>
      <x:c r="J1883" s="115" t="str">
        <x:v>Non</x:v>
      </x:c>
      <x:c r="K1883" s="115" t="str">
        <x:v>Pièces décrites, murs, portes, niveaux et mobilier inspectables à l’échelle. Volumes réservés, raccord au seed, butin, rencontres et services de campagne restent à terminer.</x:v>
      </x:c>
    </x:row>
    <x:row r="1884" ht="96" customHeight="1">
      <x:c r="A1884" s="115" t="str">
        <x:v>EXT-MONDE-T038-V29</x:v>
      </x:c>
      <x:c r="B1884" s="115" t="str">
        <x:v>EXT-MONDE-T038</x:v>
      </x:c>
      <x:c r="C1884" s="115" t="str">
        <x:v>Égouts</x:v>
      </x:c>
      <x:c r="D1884" s="115" t="str">
        <x:v>Réseau unitaire ancien</x:v>
      </x:c>
      <x:c r="E1884" s="115" t="n">
        <x:v>29</x:v>
      </x:c>
      <x:c r="F1884" s="115" t="str">
        <x:v>Inspection physique</x:v>
      </x:c>
      <x:c r="G1884" s="115" t="str">
        <x:v>3 niveaux ; 24 pièces ; 207 segments de mur ; 4 transitions. Inspection physique ; architecture complète encore ouverte.</x:v>
      </x:c>
      <x:c r="H1884" s="115" t="str">
        <x:v>L 216 ; l 229,6 ; hauteur 3 m ; choix de composition auteur ; dimensions réelles à documenter</x:v>
      </x:c>
      <x:c r="I1884" s="115" t="str">
        <x:v>À équilibrer</x:v>
      </x:c>
      <x:c r="J1884" s="115" t="str">
        <x:v>Non</x:v>
      </x:c>
      <x:c r="K1884" s="115" t="str">
        <x:v>Pièces décrites, murs, portes, niveaux et mobilier inspectables à l’échelle. Volumes réservés, raccord au seed, butin, rencontres et services de campagne restent à terminer.</x:v>
      </x:c>
    </x:row>
    <x:row r="1885" ht="96" customHeight="1">
      <x:c r="A1885" s="115" t="str">
        <x:v>EXT-MONDE-T038-V30</x:v>
      </x:c>
      <x:c r="B1885" s="115" t="str">
        <x:v>EXT-MONDE-T038</x:v>
      </x:c>
      <x:c r="C1885" s="115" t="str">
        <x:v>Égouts</x:v>
      </x:c>
      <x:c r="D1885" s="115" t="str">
        <x:v>Réseau unitaire ancien</x:v>
      </x:c>
      <x:c r="E1885" s="115" t="n">
        <x:v>30</x:v>
      </x:c>
      <x:c r="F1885" s="115" t="str">
        <x:v>Inspection physique</x:v>
      </x:c>
      <x:c r="G1885" s="115" t="str">
        <x:v>3 niveaux ; 24 pièces ; 207 segments de mur ; 4 transitions. Inspection physique ; architecture complète encore ouverte.</x:v>
      </x:c>
      <x:c r="H1885" s="115" t="str">
        <x:v>L 218 ; l 230,3 ; hauteur 3 m ; choix de composition auteur ; dimensions réelles à documenter</x:v>
      </x:c>
      <x:c r="I1885" s="115" t="str">
        <x:v>À équilibrer</x:v>
      </x:c>
      <x:c r="J1885" s="115" t="str">
        <x:v>Non</x:v>
      </x:c>
      <x:c r="K1885" s="115" t="str">
        <x:v>Pièces décrites, murs, portes, niveaux et mobilier inspectables à l’échelle. Volumes réservés, raccord au seed, butin, rencontres et services de campagne restent à terminer.</x:v>
      </x:c>
    </x:row>
    <x:row r="1886" ht="96" customHeight="1">
      <x:c r="A1886" s="115" t="str">
        <x:v>EXT-MONDE-T038-V31</x:v>
      </x:c>
      <x:c r="B1886" s="115" t="str">
        <x:v>EXT-MONDE-T038</x:v>
      </x:c>
      <x:c r="C1886" s="115" t="str">
        <x:v>Égouts</x:v>
      </x:c>
      <x:c r="D1886" s="115" t="str">
        <x:v>Réseau unitaire ancien</x:v>
      </x:c>
      <x:c r="E1886" s="115" t="n">
        <x:v>31</x:v>
      </x:c>
      <x:c r="F1886" s="115" t="str">
        <x:v>Inspection physique</x:v>
      </x:c>
      <x:c r="G1886" s="115" t="str">
        <x:v>3 niveaux ; 24 pièces ; 207 segments de mur ; 4 transitions. Inspection physique ; architecture complète encore ouverte.</x:v>
      </x:c>
      <x:c r="H1886" s="115" t="str">
        <x:v>L 210 ; l 236 ; hauteur 3 m ; choix de composition auteur ; dimensions réelles à documenter</x:v>
      </x:c>
      <x:c r="I1886" s="115" t="str">
        <x:v>À équilibrer</x:v>
      </x:c>
      <x:c r="J1886" s="115" t="str">
        <x:v>Non</x:v>
      </x:c>
      <x:c r="K1886" s="115" t="str">
        <x:v>Pièces décrites, murs, portes, niveaux et mobilier inspectables à l’échelle. Volumes réservés, raccord au seed, butin, rencontres et services de campagne restent à terminer.</x:v>
      </x:c>
    </x:row>
    <x:row r="1887" ht="96" customHeight="1">
      <x:c r="A1887" s="115" t="str">
        <x:v>EXT-MONDE-T038-V32</x:v>
      </x:c>
      <x:c r="B1887" s="115" t="str">
        <x:v>EXT-MONDE-T038</x:v>
      </x:c>
      <x:c r="C1887" s="115" t="str">
        <x:v>Égouts</x:v>
      </x:c>
      <x:c r="D1887" s="115" t="str">
        <x:v>Réseau unitaire ancien</x:v>
      </x:c>
      <x:c r="E1887" s="115" t="n">
        <x:v>32</x:v>
      </x:c>
      <x:c r="F1887" s="115" t="str">
        <x:v>Inspection physique</x:v>
      </x:c>
      <x:c r="G1887" s="115" t="str">
        <x:v>3 niveaux ; 24 pièces ; 207 segments de mur ; 4 transitions. Inspection physique ; architecture complète encore ouverte.</x:v>
      </x:c>
      <x:c r="H1887" s="115" t="str">
        <x:v>L 212 ; l 236,7 ; hauteur 3 m ; choix de composition auteur ; dimensions réelles à documenter</x:v>
      </x:c>
      <x:c r="I1887" s="115" t="str">
        <x:v>À équilibrer</x:v>
      </x:c>
      <x:c r="J1887" s="115" t="str">
        <x:v>Non</x:v>
      </x:c>
      <x:c r="K1887" s="115" t="str">
        <x:v>Pièces décrites, murs, portes, niveaux et mobilier inspectables à l’échelle. Volumes réservés, raccord au seed, butin, rencontres et services de campagne restent à terminer.</x:v>
      </x:c>
    </x:row>
    <x:row r="1888" ht="96" customHeight="1">
      <x:c r="A1888" s="115" t="str">
        <x:v>EXT-MONDE-T038-V33</x:v>
      </x:c>
      <x:c r="B1888" s="115" t="str">
        <x:v>EXT-MONDE-T038</x:v>
      </x:c>
      <x:c r="C1888" s="115" t="str">
        <x:v>Égouts</x:v>
      </x:c>
      <x:c r="D1888" s="115" t="str">
        <x:v>Réseau unitaire ancien</x:v>
      </x:c>
      <x:c r="E1888" s="115" t="n">
        <x:v>33</x:v>
      </x:c>
      <x:c r="F1888" s="115" t="str">
        <x:v>Inspection physique</x:v>
      </x:c>
      <x:c r="G1888" s="115" t="str">
        <x:v>3 niveaux ; 24 pièces ; 207 segments de mur ; 4 transitions. Inspection physique ; architecture complète encore ouverte.</x:v>
      </x:c>
      <x:c r="H1888" s="115" t="str">
        <x:v>L 214 ; l 237,4 ; hauteur 3 m ; choix de composition auteur ; dimensions réelles à documenter</x:v>
      </x:c>
      <x:c r="I1888" s="115" t="str">
        <x:v>À équilibrer</x:v>
      </x:c>
      <x:c r="J1888" s="115" t="str">
        <x:v>Non</x:v>
      </x:c>
      <x:c r="K1888" s="115" t="str">
        <x:v>Pièces décrites, murs, portes, niveaux et mobilier inspectables à l’échelle. Volumes réservés, raccord au seed, butin, rencontres et services de campagne restent à terminer.</x:v>
      </x:c>
    </x:row>
    <x:row r="1889" ht="96" customHeight="1">
      <x:c r="A1889" s="115" t="str">
        <x:v>EXT-MONDE-T038-V34</x:v>
      </x:c>
      <x:c r="B1889" s="115" t="str">
        <x:v>EXT-MONDE-T038</x:v>
      </x:c>
      <x:c r="C1889" s="115" t="str">
        <x:v>Égouts</x:v>
      </x:c>
      <x:c r="D1889" s="115" t="str">
        <x:v>Réseau unitaire ancien</x:v>
      </x:c>
      <x:c r="E1889" s="115" t="n">
        <x:v>34</x:v>
      </x:c>
      <x:c r="F1889" s="115" t="str">
        <x:v>Inspection physique</x:v>
      </x:c>
      <x:c r="G1889" s="115" t="str">
        <x:v>3 niveaux ; 24 pièces ; 207 segments de mur ; 4 transitions. Inspection physique ; architecture complète encore ouverte.</x:v>
      </x:c>
      <x:c r="H1889" s="115" t="str">
        <x:v>L 216 ; l 238,1 ; hauteur 3 m ; choix de composition auteur ; dimensions réelles à documenter</x:v>
      </x:c>
      <x:c r="I1889" s="115" t="str">
        <x:v>À équilibrer</x:v>
      </x:c>
      <x:c r="J1889" s="115" t="str">
        <x:v>Non</x:v>
      </x:c>
      <x:c r="K1889" s="115" t="str">
        <x:v>Pièces décrites, murs, portes, niveaux et mobilier inspectables à l’échelle. Volumes réservés, raccord au seed, butin, rencontres et services de campagne restent à terminer.</x:v>
      </x:c>
    </x:row>
    <x:row r="1890" ht="96" customHeight="1">
      <x:c r="A1890" s="115" t="str">
        <x:v>EXT-MONDE-T038-V35</x:v>
      </x:c>
      <x:c r="B1890" s="115" t="str">
        <x:v>EXT-MONDE-T038</x:v>
      </x:c>
      <x:c r="C1890" s="115" t="str">
        <x:v>Égouts</x:v>
      </x:c>
      <x:c r="D1890" s="115" t="str">
        <x:v>Réseau unitaire ancien</x:v>
      </x:c>
      <x:c r="E1890" s="115" t="n">
        <x:v>35</x:v>
      </x:c>
      <x:c r="F1890" s="115" t="str">
        <x:v>Inspection physique</x:v>
      </x:c>
      <x:c r="G1890" s="115" t="str">
        <x:v>3 niveaux ; 24 pièces ; 207 segments de mur ; 4 transitions. Inspection physique ; architecture complète encore ouverte.</x:v>
      </x:c>
      <x:c r="H1890" s="115" t="str">
        <x:v>L 218 ; l 238,8 ; hauteur 3 m ; choix de composition auteur ; dimensions réelles à documenter</x:v>
      </x:c>
      <x:c r="I1890" s="115" t="str">
        <x:v>À équilibrer</x:v>
      </x:c>
      <x:c r="J1890" s="115" t="str">
        <x:v>Non</x:v>
      </x:c>
      <x:c r="K1890" s="115" t="str">
        <x:v>Pièces décrites, murs, portes, niveaux et mobilier inspectables à l’échelle. Volumes réservés, raccord au seed, butin, rencontres et services de campagne restent à terminer.</x:v>
      </x:c>
    </x:row>
    <x:row r="1891" ht="96" customHeight="1">
      <x:c r="A1891" s="115" t="str">
        <x:v>EXT-MONDE-T038-V36</x:v>
      </x:c>
      <x:c r="B1891" s="115" t="str">
        <x:v>EXT-MONDE-T038</x:v>
      </x:c>
      <x:c r="C1891" s="115" t="str">
        <x:v>Égouts</x:v>
      </x:c>
      <x:c r="D1891" s="115" t="str">
        <x:v>Réseau unitaire ancien</x:v>
      </x:c>
      <x:c r="E1891" s="115" t="n">
        <x:v>36</x:v>
      </x:c>
      <x:c r="F1891" s="115" t="str">
        <x:v>Inspection physique</x:v>
      </x:c>
      <x:c r="G1891" s="115" t="str">
        <x:v>3 niveaux ; 24 pièces ; 207 segments de mur ; 4 transitions. Inspection physique ; architecture complète encore ouverte.</x:v>
      </x:c>
      <x:c r="H1891" s="115" t="str">
        <x:v>L 220 ; l 239,5 ; hauteur 3 m ; choix de composition auteur ; dimensions réelles à documenter</x:v>
      </x:c>
      <x:c r="I1891" s="115" t="str">
        <x:v>À équilibrer</x:v>
      </x:c>
      <x:c r="J1891" s="115" t="str">
        <x:v>Non</x:v>
      </x:c>
      <x:c r="K1891" s="115" t="str">
        <x:v>Pièces décrites, murs, portes, niveaux et mobilier inspectables à l’échelle. Volumes réservés, raccord au seed, butin, rencontres et services de campagne restent à terminer.</x:v>
      </x:c>
    </x:row>
    <x:row r="1892" ht="96" customHeight="1">
      <x:c r="A1892" s="115" t="str">
        <x:v>EXT-MONDE-T038-V37</x:v>
      </x:c>
      <x:c r="B1892" s="115" t="str">
        <x:v>EXT-MONDE-T038</x:v>
      </x:c>
      <x:c r="C1892" s="115" t="str">
        <x:v>Égouts</x:v>
      </x:c>
      <x:c r="D1892" s="115" t="str">
        <x:v>Réseau unitaire ancien</x:v>
      </x:c>
      <x:c r="E1892" s="115" t="n">
        <x:v>37</x:v>
      </x:c>
      <x:c r="F1892" s="115" t="str">
        <x:v>Inspection physique</x:v>
      </x:c>
      <x:c r="G1892" s="115" t="str">
        <x:v>3 niveaux ; 24 pièces ; 207 segments de mur ; 4 transitions. Inspection physique ; architecture complète encore ouverte.</x:v>
      </x:c>
      <x:c r="H1892" s="115" t="str">
        <x:v>L 222 ; l 240,2 ; hauteur 3 m ; choix de composition auteur ; dimensions réelles à documenter</x:v>
      </x:c>
      <x:c r="I1892" s="115" t="str">
        <x:v>À équilibrer</x:v>
      </x:c>
      <x:c r="J1892" s="115" t="str">
        <x:v>Non</x:v>
      </x:c>
      <x:c r="K1892" s="115" t="str">
        <x:v>Pièces décrites, murs, portes, niveaux et mobilier inspectables à l’échelle. Volumes réservés, raccord au seed, butin, rencontres et services de campagne restent à terminer.</x:v>
      </x:c>
    </x:row>
    <x:row r="1893" ht="96" customHeight="1">
      <x:c r="A1893" s="115" t="str">
        <x:v>EXT-MONDE-T038-V38</x:v>
      </x:c>
      <x:c r="B1893" s="115" t="str">
        <x:v>EXT-MONDE-T038</x:v>
      </x:c>
      <x:c r="C1893" s="115" t="str">
        <x:v>Égouts</x:v>
      </x:c>
      <x:c r="D1893" s="115" t="str">
        <x:v>Réseau unitaire ancien</x:v>
      </x:c>
      <x:c r="E1893" s="115" t="n">
        <x:v>38</x:v>
      </x:c>
      <x:c r="F1893" s="115" t="str">
        <x:v>Inspection physique</x:v>
      </x:c>
      <x:c r="G1893" s="115" t="str">
        <x:v>3 niveaux ; 24 pièces ; 207 segments de mur ; 4 transitions. Inspection physique ; architecture complète encore ouverte.</x:v>
      </x:c>
      <x:c r="H1893" s="115" t="str">
        <x:v>L 224 ; l 240,9 ; hauteur 3 m ; choix de composition auteur ; dimensions réelles à documenter</x:v>
      </x:c>
      <x:c r="I1893" s="115" t="str">
        <x:v>À équilibrer</x:v>
      </x:c>
      <x:c r="J1893" s="115" t="str">
        <x:v>Non</x:v>
      </x:c>
      <x:c r="K1893" s="115" t="str">
        <x:v>Pièces décrites, murs, portes, niveaux et mobilier inspectables à l’échelle. Volumes réservés, raccord au seed, butin, rencontres et services de campagne restent à terminer.</x:v>
      </x:c>
    </x:row>
    <x:row r="1894" ht="96" customHeight="1">
      <x:c r="A1894" s="115" t="str">
        <x:v>EXT-MONDE-T038-V39</x:v>
      </x:c>
      <x:c r="B1894" s="115" t="str">
        <x:v>EXT-MONDE-T038</x:v>
      </x:c>
      <x:c r="C1894" s="115" t="str">
        <x:v>Égouts</x:v>
      </x:c>
      <x:c r="D1894" s="115" t="str">
        <x:v>Réseau unitaire ancien</x:v>
      </x:c>
      <x:c r="E1894" s="115" t="n">
        <x:v>39</x:v>
      </x:c>
      <x:c r="F1894" s="115" t="str">
        <x:v>Inspection physique</x:v>
      </x:c>
      <x:c r="G1894" s="115" t="str">
        <x:v>3 niveaux ; 24 pièces ; 207 segments de mur ; 4 transitions. Inspection physique ; architecture complète encore ouverte.</x:v>
      </x:c>
      <x:c r="H1894" s="115" t="str">
        <x:v>L 226 ; l 241,6 ; hauteur 3 m ; choix de composition auteur ; dimensions réelles à documenter</x:v>
      </x:c>
      <x:c r="I1894" s="115" t="str">
        <x:v>À équilibrer</x:v>
      </x:c>
      <x:c r="J1894" s="115" t="str">
        <x:v>Non</x:v>
      </x:c>
      <x:c r="K1894" s="115" t="str">
        <x:v>Pièces décrites, murs, portes, niveaux et mobilier inspectables à l’échelle. Volumes réservés, raccord au seed, butin, rencontres et services de campagne restent à terminer.</x:v>
      </x:c>
    </x:row>
    <x:row r="1895" ht="96" customHeight="1">
      <x:c r="A1895" s="115" t="str">
        <x:v>EXT-MONDE-T038-V40</x:v>
      </x:c>
      <x:c r="B1895" s="115" t="str">
        <x:v>EXT-MONDE-T038</x:v>
      </x:c>
      <x:c r="C1895" s="115" t="str">
        <x:v>Égouts</x:v>
      </x:c>
      <x:c r="D1895" s="115" t="str">
        <x:v>Réseau unitaire ancien</x:v>
      </x:c>
      <x:c r="E1895" s="115" t="n">
        <x:v>40</x:v>
      </x:c>
      <x:c r="F1895" s="115" t="str">
        <x:v>Inspection physique</x:v>
      </x:c>
      <x:c r="G1895" s="115" t="str">
        <x:v>3 niveaux ; 24 pièces ; 207 segments de mur ; 4 transitions. Inspection physique ; architecture complète encore ouverte.</x:v>
      </x:c>
      <x:c r="H1895" s="115" t="str">
        <x:v>L 228 ; l 242,3 ; hauteur 3 m ; choix de composition auteur ; dimensions réelles à documenter</x:v>
      </x:c>
      <x:c r="I1895" s="115" t="str">
        <x:v>À équilibrer</x:v>
      </x:c>
      <x:c r="J1895" s="115" t="str">
        <x:v>Non</x:v>
      </x:c>
      <x:c r="K1895" s="115" t="str">
        <x:v>Pièces décrites, murs, portes, niveaux et mobilier inspectables à l’échelle. Volumes réservés, raccord au seed, butin, rencontres et services de campagne restent à terminer.</x:v>
      </x:c>
    </x:row>
    <x:row r="1896" ht="96" customHeight="1">
      <x:c r="A1896" s="115" t="str">
        <x:v>EXT-MONDE-T038-V41</x:v>
      </x:c>
      <x:c r="B1896" s="115" t="str">
        <x:v>EXT-MONDE-T038</x:v>
      </x:c>
      <x:c r="C1896" s="115" t="str">
        <x:v>Égouts</x:v>
      </x:c>
      <x:c r="D1896" s="115" t="str">
        <x:v>Réseau unitaire ancien</x:v>
      </x:c>
      <x:c r="E1896" s="115" t="n">
        <x:v>41</x:v>
      </x:c>
      <x:c r="F1896" s="115" t="str">
        <x:v>Inspection physique</x:v>
      </x:c>
      <x:c r="G1896" s="115" t="str">
        <x:v>3 niveaux ; 24 pièces ; 207 segments de mur ; 4 transitions. Inspection physique ; architecture complète encore ouverte.</x:v>
      </x:c>
      <x:c r="H1896" s="115" t="str">
        <x:v>L 220 ; l 248 ; hauteur 3 m ; choix de composition auteur ; dimensions réelles à documenter</x:v>
      </x:c>
      <x:c r="I1896" s="115" t="str">
        <x:v>À équilibrer</x:v>
      </x:c>
      <x:c r="J1896" s="115" t="str">
        <x:v>Non</x:v>
      </x:c>
      <x:c r="K1896" s="115" t="str">
        <x:v>Pièces décrites, murs, portes, niveaux et mobilier inspectables à l’échelle. Volumes réservés, raccord au seed, butin, rencontres et services de campagne restent à terminer.</x:v>
      </x:c>
    </x:row>
    <x:row r="1897" ht="96" customHeight="1">
      <x:c r="A1897" s="115" t="str">
        <x:v>EXT-MONDE-T038-V42</x:v>
      </x:c>
      <x:c r="B1897" s="115" t="str">
        <x:v>EXT-MONDE-T038</x:v>
      </x:c>
      <x:c r="C1897" s="115" t="str">
        <x:v>Égouts</x:v>
      </x:c>
      <x:c r="D1897" s="115" t="str">
        <x:v>Réseau unitaire ancien</x:v>
      </x:c>
      <x:c r="E1897" s="115" t="n">
        <x:v>42</x:v>
      </x:c>
      <x:c r="F1897" s="115" t="str">
        <x:v>Inspection physique</x:v>
      </x:c>
      <x:c r="G1897" s="115" t="str">
        <x:v>3 niveaux ; 24 pièces ; 207 segments de mur ; 4 transitions. Inspection physique ; architecture complète encore ouverte.</x:v>
      </x:c>
      <x:c r="H1897" s="115" t="str">
        <x:v>L 222 ; l 248,7 ; hauteur 3 m ; choix de composition auteur ; dimensions réelles à documenter</x:v>
      </x:c>
      <x:c r="I1897" s="115" t="str">
        <x:v>À équilibrer</x:v>
      </x:c>
      <x:c r="J1897" s="115" t="str">
        <x:v>Non</x:v>
      </x:c>
      <x:c r="K1897" s="115" t="str">
        <x:v>Pièces décrites, murs, portes, niveaux et mobilier inspectables à l’échelle. Volumes réservés, raccord au seed, butin, rencontres et services de campagne restent à terminer.</x:v>
      </x:c>
    </x:row>
    <x:row r="1898" ht="96" customHeight="1">
      <x:c r="A1898" s="115" t="str">
        <x:v>EXT-MONDE-T038-V43</x:v>
      </x:c>
      <x:c r="B1898" s="115" t="str">
        <x:v>EXT-MONDE-T038</x:v>
      </x:c>
      <x:c r="C1898" s="115" t="str">
        <x:v>Égouts</x:v>
      </x:c>
      <x:c r="D1898" s="115" t="str">
        <x:v>Réseau unitaire ancien</x:v>
      </x:c>
      <x:c r="E1898" s="115" t="n">
        <x:v>43</x:v>
      </x:c>
      <x:c r="F1898" s="115" t="str">
        <x:v>Inspection physique</x:v>
      </x:c>
      <x:c r="G1898" s="115" t="str">
        <x:v>3 niveaux ; 24 pièces ; 207 segments de mur ; 4 transitions. Inspection physique ; architecture complète encore ouverte.</x:v>
      </x:c>
      <x:c r="H1898" s="115" t="str">
        <x:v>L 224 ; l 249,4 ; hauteur 3 m ; choix de composition auteur ; dimensions réelles à documenter</x:v>
      </x:c>
      <x:c r="I1898" s="115" t="str">
        <x:v>À équilibrer</x:v>
      </x:c>
      <x:c r="J1898" s="115" t="str">
        <x:v>Non</x:v>
      </x:c>
      <x:c r="K1898" s="115" t="str">
        <x:v>Pièces décrites, murs, portes, niveaux et mobilier inspectables à l’échelle. Volumes réservés, raccord au seed, butin, rencontres et services de campagne restent à terminer.</x:v>
      </x:c>
    </x:row>
    <x:row r="1899" ht="96" customHeight="1">
      <x:c r="A1899" s="115" t="str">
        <x:v>EXT-MONDE-T038-V44</x:v>
      </x:c>
      <x:c r="B1899" s="115" t="str">
        <x:v>EXT-MONDE-T038</x:v>
      </x:c>
      <x:c r="C1899" s="115" t="str">
        <x:v>Égouts</x:v>
      </x:c>
      <x:c r="D1899" s="115" t="str">
        <x:v>Réseau unitaire ancien</x:v>
      </x:c>
      <x:c r="E1899" s="115" t="n">
        <x:v>44</x:v>
      </x:c>
      <x:c r="F1899" s="115" t="str">
        <x:v>Inspection physique</x:v>
      </x:c>
      <x:c r="G1899" s="115" t="str">
        <x:v>3 niveaux ; 24 pièces ; 207 segments de mur ; 4 transitions. Inspection physique ; architecture complète encore ouverte.</x:v>
      </x:c>
      <x:c r="H1899" s="115" t="str">
        <x:v>L 226 ; l 250,1 ; hauteur 3 m ; choix de composition auteur ; dimensions réelles à documenter</x:v>
      </x:c>
      <x:c r="I1899" s="115" t="str">
        <x:v>À équilibrer</x:v>
      </x:c>
      <x:c r="J1899" s="115" t="str">
        <x:v>Non</x:v>
      </x:c>
      <x:c r="K1899" s="115" t="str">
        <x:v>Pièces décrites, murs, portes, niveaux et mobilier inspectables à l’échelle. Volumes réservés, raccord au seed, butin, rencontres et services de campagne restent à terminer.</x:v>
      </x:c>
    </x:row>
    <x:row r="1900" ht="96" customHeight="1">
      <x:c r="A1900" s="115" t="str">
        <x:v>EXT-MONDE-T038-V45</x:v>
      </x:c>
      <x:c r="B1900" s="115" t="str">
        <x:v>EXT-MONDE-T038</x:v>
      </x:c>
      <x:c r="C1900" s="115" t="str">
        <x:v>Égouts</x:v>
      </x:c>
      <x:c r="D1900" s="115" t="str">
        <x:v>Réseau unitaire ancien</x:v>
      </x:c>
      <x:c r="E1900" s="115" t="n">
        <x:v>45</x:v>
      </x:c>
      <x:c r="F1900" s="115" t="str">
        <x:v>Inspection physique</x:v>
      </x:c>
      <x:c r="G1900" s="115" t="str">
        <x:v>3 niveaux ; 24 pièces ; 207 segments de mur ; 4 transitions. Inspection physique ; architecture complète encore ouverte.</x:v>
      </x:c>
      <x:c r="H1900" s="115" t="str">
        <x:v>L 228 ; l 250,8 ; hauteur 3 m ; choix de composition auteur ; dimensions réelles à documenter</x:v>
      </x:c>
      <x:c r="I1900" s="115" t="str">
        <x:v>À équilibrer</x:v>
      </x:c>
      <x:c r="J1900" s="115" t="str">
        <x:v>Non</x:v>
      </x:c>
      <x:c r="K1900" s="115" t="str">
        <x:v>Pièces décrites, murs, portes, niveaux et mobilier inspectables à l’échelle. Volumes réservés, raccord au seed, butin, rencontres et services de campagne restent à terminer.</x:v>
      </x:c>
    </x:row>
    <x:row r="1901" ht="96" customHeight="1">
      <x:c r="A1901" s="115" t="str">
        <x:v>EXT-MONDE-T038-V46</x:v>
      </x:c>
      <x:c r="B1901" s="115" t="str">
        <x:v>EXT-MONDE-T038</x:v>
      </x:c>
      <x:c r="C1901" s="115" t="str">
        <x:v>Égouts</x:v>
      </x:c>
      <x:c r="D1901" s="115" t="str">
        <x:v>Réseau unitaire ancien</x:v>
      </x:c>
      <x:c r="E1901" s="115" t="n">
        <x:v>46</x:v>
      </x:c>
      <x:c r="F1901" s="115" t="str">
        <x:v>Inspection physique</x:v>
      </x:c>
      <x:c r="G1901" s="115" t="str">
        <x:v>3 niveaux ; 24 pièces ; 207 segments de mur ; 4 transitions. Inspection physique ; architecture complète encore ouverte.</x:v>
      </x:c>
      <x:c r="H1901" s="115" t="str">
        <x:v>L 230 ; l 251,5 ; hauteur 3 m ; choix de composition auteur ; dimensions réelles à documenter</x:v>
      </x:c>
      <x:c r="I1901" s="115" t="str">
        <x:v>À équilibrer</x:v>
      </x:c>
      <x:c r="J1901" s="115" t="str">
        <x:v>Non</x:v>
      </x:c>
      <x:c r="K1901" s="115" t="str">
        <x:v>Pièces décrites, murs, portes, niveaux et mobilier inspectables à l’échelle. Volumes réservés, raccord au seed, butin, rencontres et services de campagne restent à terminer.</x:v>
      </x:c>
    </x:row>
    <x:row r="1902" ht="96" customHeight="1">
      <x:c r="A1902" s="115" t="str">
        <x:v>EXT-MONDE-T038-V47</x:v>
      </x:c>
      <x:c r="B1902" s="115" t="str">
        <x:v>EXT-MONDE-T038</x:v>
      </x:c>
      <x:c r="C1902" s="115" t="str">
        <x:v>Égouts</x:v>
      </x:c>
      <x:c r="D1902" s="115" t="str">
        <x:v>Réseau unitaire ancien</x:v>
      </x:c>
      <x:c r="E1902" s="115" t="n">
        <x:v>47</x:v>
      </x:c>
      <x:c r="F1902" s="115" t="str">
        <x:v>Inspection physique</x:v>
      </x:c>
      <x:c r="G1902" s="115" t="str">
        <x:v>3 niveaux ; 24 pièces ; 207 segments de mur ; 4 transitions. Inspection physique ; architecture complète encore ouverte.</x:v>
      </x:c>
      <x:c r="H1902" s="115" t="str">
        <x:v>L 232 ; l 252,2 ; hauteur 3 m ; choix de composition auteur ; dimensions réelles à documenter</x:v>
      </x:c>
      <x:c r="I1902" s="115" t="str">
        <x:v>À équilibrer</x:v>
      </x:c>
      <x:c r="J1902" s="115" t="str">
        <x:v>Non</x:v>
      </x:c>
      <x:c r="K1902" s="115" t="str">
        <x:v>Pièces décrites, murs, portes, niveaux et mobilier inspectables à l’échelle. Volumes réservés, raccord au seed, butin, rencontres et services de campagne restent à terminer.</x:v>
      </x:c>
    </x:row>
    <x:row r="1903" ht="96" customHeight="1">
      <x:c r="A1903" s="115" t="str">
        <x:v>EXT-MONDE-T038-V48</x:v>
      </x:c>
      <x:c r="B1903" s="115" t="str">
        <x:v>EXT-MONDE-T038</x:v>
      </x:c>
      <x:c r="C1903" s="115" t="str">
        <x:v>Égouts</x:v>
      </x:c>
      <x:c r="D1903" s="115" t="str">
        <x:v>Réseau unitaire ancien</x:v>
      </x:c>
      <x:c r="E1903" s="115" t="n">
        <x:v>48</x:v>
      </x:c>
      <x:c r="F1903" s="115" t="str">
        <x:v>Inspection physique</x:v>
      </x:c>
      <x:c r="G1903" s="115" t="str">
        <x:v>3 niveaux ; 24 pièces ; 207 segments de mur ; 4 transitions. Inspection physique ; architecture complète encore ouverte.</x:v>
      </x:c>
      <x:c r="H1903" s="115" t="str">
        <x:v>L 234 ; l 252,9 ; hauteur 3 m ; choix de composition auteur ; dimensions réelles à documenter</x:v>
      </x:c>
      <x:c r="I1903" s="115" t="str">
        <x:v>À équilibrer</x:v>
      </x:c>
      <x:c r="J1903" s="115" t="str">
        <x:v>Non</x:v>
      </x:c>
      <x:c r="K1903" s="115" t="str">
        <x:v>Pièces décrites, murs, portes, niveaux et mobilier inspectables à l’échelle. Volumes réservés, raccord au seed, butin, rencontres et services de campagne restent à terminer.</x:v>
      </x:c>
    </x:row>
    <x:row r="1904" ht="96" customHeight="1">
      <x:c r="A1904" s="115" t="str">
        <x:v>EXT-MONDE-T038-V49</x:v>
      </x:c>
      <x:c r="B1904" s="115" t="str">
        <x:v>EXT-MONDE-T038</x:v>
      </x:c>
      <x:c r="C1904" s="115" t="str">
        <x:v>Égouts</x:v>
      </x:c>
      <x:c r="D1904" s="115" t="str">
        <x:v>Réseau unitaire ancien</x:v>
      </x:c>
      <x:c r="E1904" s="115" t="n">
        <x:v>49</x:v>
      </x:c>
      <x:c r="F1904" s="115" t="str">
        <x:v>Inspection physique</x:v>
      </x:c>
      <x:c r="G1904" s="115" t="str">
        <x:v>3 niveaux ; 24 pièces ; 207 segments de mur ; 4 transitions. Inspection physique ; architecture complète encore ouverte.</x:v>
      </x:c>
      <x:c r="H1904" s="115" t="str">
        <x:v>L 236 ; l 253,6 ; hauteur 3 m ; choix de composition auteur ; dimensions réelles à documenter</x:v>
      </x:c>
      <x:c r="I1904" s="115" t="str">
        <x:v>À équilibrer</x:v>
      </x:c>
      <x:c r="J1904" s="115" t="str">
        <x:v>Non</x:v>
      </x:c>
      <x:c r="K1904" s="115" t="str">
        <x:v>Pièces décrites, murs, portes, niveaux et mobilier inspectables à l’échelle. Volumes réservés, raccord au seed, butin, rencontres et services de campagne restent à terminer.</x:v>
      </x:c>
    </x:row>
    <x:row r="1905" ht="96" customHeight="1">
      <x:c r="A1905" s="115" t="str">
        <x:v>EXT-MONDE-T038-V50</x:v>
      </x:c>
      <x:c r="B1905" s="115" t="str">
        <x:v>EXT-MONDE-T038</x:v>
      </x:c>
      <x:c r="C1905" s="115" t="str">
        <x:v>Égouts</x:v>
      </x:c>
      <x:c r="D1905" s="115" t="str">
        <x:v>Réseau unitaire ancien</x:v>
      </x:c>
      <x:c r="E1905" s="115" t="n">
        <x:v>50</x:v>
      </x:c>
      <x:c r="F1905" s="115" t="str">
        <x:v>Inspection physique</x:v>
      </x:c>
      <x:c r="G1905" s="115" t="str">
        <x:v>3 niveaux ; 24 pièces ; 207 segments de mur ; 4 transitions. Inspection physique ; architecture complète encore ouverte.</x:v>
      </x:c>
      <x:c r="H1905" s="115" t="str">
        <x:v>L 238 ; l 254,3 ; hauteur 3 m ; choix de composition auteur ; dimensions réelles à documenter</x:v>
      </x:c>
      <x:c r="I1905" s="115" t="str">
        <x:v>À équilibrer</x:v>
      </x:c>
      <x:c r="J1905" s="115" t="str">
        <x:v>Non</x:v>
      </x:c>
      <x:c r="K1905" s="115" t="str">
        <x:v>Pièces décrites, murs, portes, niveaux et mobilier inspectables à l’échelle. Volumes réservés, raccord au seed, butin, rencontres et services de campagne restent à terminer.</x:v>
      </x:c>
    </x:row>
    <x:row r="1906" ht="96" customHeight="1">
      <x:c r="A1906" s="115" t="str">
        <x:v>EXT-MONDE-T039-V01</x:v>
      </x:c>
      <x:c r="B1906" s="115" t="str">
        <x:v>EXT-MONDE-T039</x:v>
      </x:c>
      <x:c r="C1906" s="115" t="str">
        <x:v>Égouts</x:v>
      </x:c>
      <x:c r="D1906" s="115" t="str">
        <x:v>Galerie pluviale</x:v>
      </x:c>
      <x:c r="E1906" s="115" t="n">
        <x:v>1</x:v>
      </x:c>
      <x:c r="F1906" s="115" t="str">
        <x:v>Inspection physique</x:v>
      </x:c>
      <x:c r="G1906" s="115" t="str">
        <x:v>2 niveaux ; 12 pièces ; 114 segments de mur ; 2 transitions. Inspection physique ; architecture complète encore ouverte.</x:v>
      </x:c>
      <x:c r="H1906" s="115" t="str">
        <x:v>L 180 ; l 200 ; hauteur 3 m ; choix de composition auteur ; dimensions réelles à documenter</x:v>
      </x:c>
      <x:c r="I1906" s="115" t="str">
        <x:v>À équilibrer</x:v>
      </x:c>
      <x:c r="J1906" s="115" t="str">
        <x:v>Non</x:v>
      </x:c>
      <x:c r="K1906" s="115" t="str">
        <x:v>Pièces décrites, murs, portes, niveaux et mobilier inspectables à l’échelle. Volumes réservés, raccord au seed, butin, rencontres et services de campagne restent à terminer.</x:v>
      </x:c>
    </x:row>
    <x:row r="1907" ht="96" customHeight="1">
      <x:c r="A1907" s="115" t="str">
        <x:v>EXT-MONDE-T039-V02</x:v>
      </x:c>
      <x:c r="B1907" s="115" t="str">
        <x:v>EXT-MONDE-T039</x:v>
      </x:c>
      <x:c r="C1907" s="115" t="str">
        <x:v>Égouts</x:v>
      </x:c>
      <x:c r="D1907" s="115" t="str">
        <x:v>Galerie pluviale</x:v>
      </x:c>
      <x:c r="E1907" s="115" t="n">
        <x:v>2</x:v>
      </x:c>
      <x:c r="F1907" s="115" t="str">
        <x:v>Inspection physique</x:v>
      </x:c>
      <x:c r="G1907" s="115" t="str">
        <x:v>2 niveaux ; 12 pièces ; 114 segments de mur ; 2 transitions. Inspection physique ; architecture complète encore ouverte.</x:v>
      </x:c>
      <x:c r="H1907" s="115" t="str">
        <x:v>L 182 ; l 200,7 ; hauteur 3 m ; choix de composition auteur ; dimensions réelles à documenter</x:v>
      </x:c>
      <x:c r="I1907" s="115" t="str">
        <x:v>À équilibrer</x:v>
      </x:c>
      <x:c r="J1907" s="115" t="str">
        <x:v>Non</x:v>
      </x:c>
      <x:c r="K1907" s="115" t="str">
        <x:v>Pièces décrites, murs, portes, niveaux et mobilier inspectables à l’échelle. Volumes réservés, raccord au seed, butin, rencontres et services de campagne restent à terminer.</x:v>
      </x:c>
    </x:row>
    <x:row r="1908" ht="96" customHeight="1">
      <x:c r="A1908" s="115" t="str">
        <x:v>EXT-MONDE-T039-V03</x:v>
      </x:c>
      <x:c r="B1908" s="115" t="str">
        <x:v>EXT-MONDE-T039</x:v>
      </x:c>
      <x:c r="C1908" s="115" t="str">
        <x:v>Égouts</x:v>
      </x:c>
      <x:c r="D1908" s="115" t="str">
        <x:v>Galerie pluviale</x:v>
      </x:c>
      <x:c r="E1908" s="115" t="n">
        <x:v>3</x:v>
      </x:c>
      <x:c r="F1908" s="115" t="str">
        <x:v>Inspection physique</x:v>
      </x:c>
      <x:c r="G1908" s="115" t="str">
        <x:v>2 niveaux ; 12 pièces ; 114 segments de mur ; 2 transitions. Inspection physique ; architecture complète encore ouverte.</x:v>
      </x:c>
      <x:c r="H1908" s="115" t="str">
        <x:v>L 184 ; l 201,4 ; hauteur 3 m ; choix de composition auteur ; dimensions réelles à documenter</x:v>
      </x:c>
      <x:c r="I1908" s="115" t="str">
        <x:v>À équilibrer</x:v>
      </x:c>
      <x:c r="J1908" s="115" t="str">
        <x:v>Non</x:v>
      </x:c>
      <x:c r="K1908" s="115" t="str">
        <x:v>Pièces décrites, murs, portes, niveaux et mobilier inspectables à l’échelle. Volumes réservés, raccord au seed, butin, rencontres et services de campagne restent à terminer.</x:v>
      </x:c>
    </x:row>
    <x:row r="1909" ht="96" customHeight="1">
      <x:c r="A1909" s="115" t="str">
        <x:v>EXT-MONDE-T039-V04</x:v>
      </x:c>
      <x:c r="B1909" s="115" t="str">
        <x:v>EXT-MONDE-T039</x:v>
      </x:c>
      <x:c r="C1909" s="115" t="str">
        <x:v>Égouts</x:v>
      </x:c>
      <x:c r="D1909" s="115" t="str">
        <x:v>Galerie pluviale</x:v>
      </x:c>
      <x:c r="E1909" s="115" t="n">
        <x:v>4</x:v>
      </x:c>
      <x:c r="F1909" s="115" t="str">
        <x:v>Inspection physique</x:v>
      </x:c>
      <x:c r="G1909" s="115" t="str">
        <x:v>2 niveaux ; 12 pièces ; 114 segments de mur ; 2 transitions. Inspection physique ; architecture complète encore ouverte.</x:v>
      </x:c>
      <x:c r="H1909" s="115" t="str">
        <x:v>L 186 ; l 202,1 ; hauteur 3 m ; choix de composition auteur ; dimensions réelles à documenter</x:v>
      </x:c>
      <x:c r="I1909" s="115" t="str">
        <x:v>À équilibrer</x:v>
      </x:c>
      <x:c r="J1909" s="115" t="str">
        <x:v>Non</x:v>
      </x:c>
      <x:c r="K1909" s="115" t="str">
        <x:v>Pièces décrites, murs, portes, niveaux et mobilier inspectables à l’échelle. Volumes réservés, raccord au seed, butin, rencontres et services de campagne restent à terminer.</x:v>
      </x:c>
    </x:row>
    <x:row r="1910" ht="96" customHeight="1">
      <x:c r="A1910" s="115" t="str">
        <x:v>EXT-MONDE-T039-V05</x:v>
      </x:c>
      <x:c r="B1910" s="115" t="str">
        <x:v>EXT-MONDE-T039</x:v>
      </x:c>
      <x:c r="C1910" s="115" t="str">
        <x:v>Égouts</x:v>
      </x:c>
      <x:c r="D1910" s="115" t="str">
        <x:v>Galerie pluviale</x:v>
      </x:c>
      <x:c r="E1910" s="115" t="n">
        <x:v>5</x:v>
      </x:c>
      <x:c r="F1910" s="115" t="str">
        <x:v>Inspection physique</x:v>
      </x:c>
      <x:c r="G1910" s="115" t="str">
        <x:v>2 niveaux ; 12 pièces ; 114 segments de mur ; 2 transitions. Inspection physique ; architecture complète encore ouverte.</x:v>
      </x:c>
      <x:c r="H1910" s="115" t="str">
        <x:v>L 188 ; l 202,8 ; hauteur 3 m ; choix de composition auteur ; dimensions réelles à documenter</x:v>
      </x:c>
      <x:c r="I1910" s="115" t="str">
        <x:v>À équilibrer</x:v>
      </x:c>
      <x:c r="J1910" s="115" t="str">
        <x:v>Non</x:v>
      </x:c>
      <x:c r="K1910" s="115" t="str">
        <x:v>Pièces décrites, murs, portes, niveaux et mobilier inspectables à l’échelle. Volumes réservés, raccord au seed, butin, rencontres et services de campagne restent à terminer.</x:v>
      </x:c>
    </x:row>
    <x:row r="1911" ht="96" customHeight="1">
      <x:c r="A1911" s="115" t="str">
        <x:v>EXT-MONDE-T039-V06</x:v>
      </x:c>
      <x:c r="B1911" s="115" t="str">
        <x:v>EXT-MONDE-T039</x:v>
      </x:c>
      <x:c r="C1911" s="115" t="str">
        <x:v>Égouts</x:v>
      </x:c>
      <x:c r="D1911" s="115" t="str">
        <x:v>Galerie pluviale</x:v>
      </x:c>
      <x:c r="E1911" s="115" t="n">
        <x:v>6</x:v>
      </x:c>
      <x:c r="F1911" s="115" t="str">
        <x:v>Inspection physique</x:v>
      </x:c>
      <x:c r="G1911" s="115" t="str">
        <x:v>2 niveaux ; 12 pièces ; 114 segments de mur ; 2 transitions. Inspection physique ; architecture complète encore ouverte.</x:v>
      </x:c>
      <x:c r="H1911" s="115" t="str">
        <x:v>L 190 ; l 203,5 ; hauteur 3 m ; choix de composition auteur ; dimensions réelles à documenter</x:v>
      </x:c>
      <x:c r="I1911" s="115" t="str">
        <x:v>À équilibrer</x:v>
      </x:c>
      <x:c r="J1911" s="115" t="str">
        <x:v>Non</x:v>
      </x:c>
      <x:c r="K1911" s="115" t="str">
        <x:v>Pièces décrites, murs, portes, niveaux et mobilier inspectables à l’échelle. Volumes réservés, raccord au seed, butin, rencontres et services de campagne restent à terminer.</x:v>
      </x:c>
    </x:row>
    <x:row r="1912" ht="96" customHeight="1">
      <x:c r="A1912" s="115" t="str">
        <x:v>EXT-MONDE-T039-V07</x:v>
      </x:c>
      <x:c r="B1912" s="115" t="str">
        <x:v>EXT-MONDE-T039</x:v>
      </x:c>
      <x:c r="C1912" s="115" t="str">
        <x:v>Égouts</x:v>
      </x:c>
      <x:c r="D1912" s="115" t="str">
        <x:v>Galerie pluviale</x:v>
      </x:c>
      <x:c r="E1912" s="115" t="n">
        <x:v>7</x:v>
      </x:c>
      <x:c r="F1912" s="115" t="str">
        <x:v>Inspection physique</x:v>
      </x:c>
      <x:c r="G1912" s="115" t="str">
        <x:v>2 niveaux ; 12 pièces ; 114 segments de mur ; 2 transitions. Inspection physique ; architecture complète encore ouverte.</x:v>
      </x:c>
      <x:c r="H1912" s="115" t="str">
        <x:v>L 192 ; l 204,2 ; hauteur 3 m ; choix de composition auteur ; dimensions réelles à documenter</x:v>
      </x:c>
      <x:c r="I1912" s="115" t="str">
        <x:v>À équilibrer</x:v>
      </x:c>
      <x:c r="J1912" s="115" t="str">
        <x:v>Non</x:v>
      </x:c>
      <x:c r="K1912" s="115" t="str">
        <x:v>Pièces décrites, murs, portes, niveaux et mobilier inspectables à l’échelle. Volumes réservés, raccord au seed, butin, rencontres et services de campagne restent à terminer.</x:v>
      </x:c>
    </x:row>
    <x:row r="1913" ht="96" customHeight="1">
      <x:c r="A1913" s="115" t="str">
        <x:v>EXT-MONDE-T039-V08</x:v>
      </x:c>
      <x:c r="B1913" s="115" t="str">
        <x:v>EXT-MONDE-T039</x:v>
      </x:c>
      <x:c r="C1913" s="115" t="str">
        <x:v>Égouts</x:v>
      </x:c>
      <x:c r="D1913" s="115" t="str">
        <x:v>Galerie pluviale</x:v>
      </x:c>
      <x:c r="E1913" s="115" t="n">
        <x:v>8</x:v>
      </x:c>
      <x:c r="F1913" s="115" t="str">
        <x:v>Inspection physique</x:v>
      </x:c>
      <x:c r="G1913" s="115" t="str">
        <x:v>2 niveaux ; 12 pièces ; 114 segments de mur ; 2 transitions. Inspection physique ; architecture complète encore ouverte.</x:v>
      </x:c>
      <x:c r="H1913" s="115" t="str">
        <x:v>L 194 ; l 204,9 ; hauteur 3 m ; choix de composition auteur ; dimensions réelles à documenter</x:v>
      </x:c>
      <x:c r="I1913" s="115" t="str">
        <x:v>À équilibrer</x:v>
      </x:c>
      <x:c r="J1913" s="115" t="str">
        <x:v>Non</x:v>
      </x:c>
      <x:c r="K1913" s="115" t="str">
        <x:v>Pièces décrites, murs, portes, niveaux et mobilier inspectables à l’échelle. Volumes réservés, raccord au seed, butin, rencontres et services de campagne restent à terminer.</x:v>
      </x:c>
    </x:row>
    <x:row r="1914" ht="96" customHeight="1">
      <x:c r="A1914" s="115" t="str">
        <x:v>EXT-MONDE-T039-V09</x:v>
      </x:c>
      <x:c r="B1914" s="115" t="str">
        <x:v>EXT-MONDE-T039</x:v>
      </x:c>
      <x:c r="C1914" s="115" t="str">
        <x:v>Égouts</x:v>
      </x:c>
      <x:c r="D1914" s="115" t="str">
        <x:v>Galerie pluviale</x:v>
      </x:c>
      <x:c r="E1914" s="115" t="n">
        <x:v>9</x:v>
      </x:c>
      <x:c r="F1914" s="115" t="str">
        <x:v>Inspection physique</x:v>
      </x:c>
      <x:c r="G1914" s="115" t="str">
        <x:v>2 niveaux ; 12 pièces ; 114 segments de mur ; 2 transitions. Inspection physique ; architecture complète encore ouverte.</x:v>
      </x:c>
      <x:c r="H1914" s="115" t="str">
        <x:v>L 196 ; l 205,6 ; hauteur 3 m ; choix de composition auteur ; dimensions réelles à documenter</x:v>
      </x:c>
      <x:c r="I1914" s="115" t="str">
        <x:v>À équilibrer</x:v>
      </x:c>
      <x:c r="J1914" s="115" t="str">
        <x:v>Non</x:v>
      </x:c>
      <x:c r="K1914" s="115" t="str">
        <x:v>Pièces décrites, murs, portes, niveaux et mobilier inspectables à l’échelle. Volumes réservés, raccord au seed, butin, rencontres et services de campagne restent à terminer.</x:v>
      </x:c>
    </x:row>
    <x:row r="1915" ht="96" customHeight="1">
      <x:c r="A1915" s="115" t="str">
        <x:v>EXT-MONDE-T039-V10</x:v>
      </x:c>
      <x:c r="B1915" s="115" t="str">
        <x:v>EXT-MONDE-T039</x:v>
      </x:c>
      <x:c r="C1915" s="115" t="str">
        <x:v>Égouts</x:v>
      </x:c>
      <x:c r="D1915" s="115" t="str">
        <x:v>Galerie pluviale</x:v>
      </x:c>
      <x:c r="E1915" s="115" t="n">
        <x:v>10</x:v>
      </x:c>
      <x:c r="F1915" s="115" t="str">
        <x:v>Inspection physique</x:v>
      </x:c>
      <x:c r="G1915" s="115" t="str">
        <x:v>2 niveaux ; 12 pièces ; 114 segments de mur ; 2 transitions. Inspection physique ; architecture complète encore ouverte.</x:v>
      </x:c>
      <x:c r="H1915" s="115" t="str">
        <x:v>L 198 ; l 206,3 ; hauteur 3 m ; choix de composition auteur ; dimensions réelles à documenter</x:v>
      </x:c>
      <x:c r="I1915" s="115" t="str">
        <x:v>À équilibrer</x:v>
      </x:c>
      <x:c r="J1915" s="115" t="str">
        <x:v>Non</x:v>
      </x:c>
      <x:c r="K1915" s="115" t="str">
        <x:v>Pièces décrites, murs, portes, niveaux et mobilier inspectables à l’échelle. Volumes réservés, raccord au seed, butin, rencontres et services de campagne restent à terminer.</x:v>
      </x:c>
    </x:row>
    <x:row r="1916" ht="96" customHeight="1">
      <x:c r="A1916" s="115" t="str">
        <x:v>EXT-MONDE-T039-V11</x:v>
      </x:c>
      <x:c r="B1916" s="115" t="str">
        <x:v>EXT-MONDE-T039</x:v>
      </x:c>
      <x:c r="C1916" s="115" t="str">
        <x:v>Égouts</x:v>
      </x:c>
      <x:c r="D1916" s="115" t="str">
        <x:v>Galerie pluviale</x:v>
      </x:c>
      <x:c r="E1916" s="115" t="n">
        <x:v>11</x:v>
      </x:c>
      <x:c r="F1916" s="115" t="str">
        <x:v>Inspection physique</x:v>
      </x:c>
      <x:c r="G1916" s="115" t="str">
        <x:v>2 niveaux ; 12 pièces ; 114 segments de mur ; 2 transitions. Inspection physique ; architecture complète encore ouverte.</x:v>
      </x:c>
      <x:c r="H1916" s="115" t="str">
        <x:v>L 190 ; l 212 ; hauteur 3 m ; choix de composition auteur ; dimensions réelles à documenter</x:v>
      </x:c>
      <x:c r="I1916" s="115" t="str">
        <x:v>À équilibrer</x:v>
      </x:c>
      <x:c r="J1916" s="115" t="str">
        <x:v>Non</x:v>
      </x:c>
      <x:c r="K1916" s="115" t="str">
        <x:v>Pièces décrites, murs, portes, niveaux et mobilier inspectables à l’échelle. Volumes réservés, raccord au seed, butin, rencontres et services de campagne restent à terminer.</x:v>
      </x:c>
    </x:row>
    <x:row r="1917" ht="96" customHeight="1">
      <x:c r="A1917" s="115" t="str">
        <x:v>EXT-MONDE-T039-V12</x:v>
      </x:c>
      <x:c r="B1917" s="115" t="str">
        <x:v>EXT-MONDE-T039</x:v>
      </x:c>
      <x:c r="C1917" s="115" t="str">
        <x:v>Égouts</x:v>
      </x:c>
      <x:c r="D1917" s="115" t="str">
        <x:v>Galerie pluviale</x:v>
      </x:c>
      <x:c r="E1917" s="115" t="n">
        <x:v>12</x:v>
      </x:c>
      <x:c r="F1917" s="115" t="str">
        <x:v>Inspection physique</x:v>
      </x:c>
      <x:c r="G1917" s="115" t="str">
        <x:v>2 niveaux ; 12 pièces ; 114 segments de mur ; 2 transitions. Inspection physique ; architecture complète encore ouverte.</x:v>
      </x:c>
      <x:c r="H1917" s="115" t="str">
        <x:v>L 192 ; l 212,7 ; hauteur 3 m ; choix de composition auteur ; dimensions réelles à documenter</x:v>
      </x:c>
      <x:c r="I1917" s="115" t="str">
        <x:v>À équilibrer</x:v>
      </x:c>
      <x:c r="J1917" s="115" t="str">
        <x:v>Non</x:v>
      </x:c>
      <x:c r="K1917" s="115" t="str">
        <x:v>Pièces décrites, murs, portes, niveaux et mobilier inspectables à l’échelle. Volumes réservés, raccord au seed, butin, rencontres et services de campagne restent à terminer.</x:v>
      </x:c>
    </x:row>
    <x:row r="1918" ht="96" customHeight="1">
      <x:c r="A1918" s="115" t="str">
        <x:v>EXT-MONDE-T039-V13</x:v>
      </x:c>
      <x:c r="B1918" s="115" t="str">
        <x:v>EXT-MONDE-T039</x:v>
      </x:c>
      <x:c r="C1918" s="115" t="str">
        <x:v>Égouts</x:v>
      </x:c>
      <x:c r="D1918" s="115" t="str">
        <x:v>Galerie pluviale</x:v>
      </x:c>
      <x:c r="E1918" s="115" t="n">
        <x:v>13</x:v>
      </x:c>
      <x:c r="F1918" s="115" t="str">
        <x:v>Inspection physique</x:v>
      </x:c>
      <x:c r="G1918" s="115" t="str">
        <x:v>2 niveaux ; 12 pièces ; 114 segments de mur ; 2 transitions. Inspection physique ; architecture complète encore ouverte.</x:v>
      </x:c>
      <x:c r="H1918" s="115" t="str">
        <x:v>L 194 ; l 213,4 ; hauteur 3 m ; choix de composition auteur ; dimensions réelles à documenter</x:v>
      </x:c>
      <x:c r="I1918" s="115" t="str">
        <x:v>À équilibrer</x:v>
      </x:c>
      <x:c r="J1918" s="115" t="str">
        <x:v>Non</x:v>
      </x:c>
      <x:c r="K1918" s="115" t="str">
        <x:v>Pièces décrites, murs, portes, niveaux et mobilier inspectables à l’échelle. Volumes réservés, raccord au seed, butin, rencontres et services de campagne restent à terminer.</x:v>
      </x:c>
    </x:row>
    <x:row r="1919" ht="96" customHeight="1">
      <x:c r="A1919" s="115" t="str">
        <x:v>EXT-MONDE-T039-V14</x:v>
      </x:c>
      <x:c r="B1919" s="115" t="str">
        <x:v>EXT-MONDE-T039</x:v>
      </x:c>
      <x:c r="C1919" s="115" t="str">
        <x:v>Égouts</x:v>
      </x:c>
      <x:c r="D1919" s="115" t="str">
        <x:v>Galerie pluviale</x:v>
      </x:c>
      <x:c r="E1919" s="115" t="n">
        <x:v>14</x:v>
      </x:c>
      <x:c r="F1919" s="115" t="str">
        <x:v>Inspection physique</x:v>
      </x:c>
      <x:c r="G1919" s="115" t="str">
        <x:v>2 niveaux ; 12 pièces ; 114 segments de mur ; 2 transitions. Inspection physique ; architecture complète encore ouverte.</x:v>
      </x:c>
      <x:c r="H1919" s="115" t="str">
        <x:v>L 196 ; l 214,1 ; hauteur 3 m ; choix de composition auteur ; dimensions réelles à documenter</x:v>
      </x:c>
      <x:c r="I1919" s="115" t="str">
        <x:v>À équilibrer</x:v>
      </x:c>
      <x:c r="J1919" s="115" t="str">
        <x:v>Non</x:v>
      </x:c>
      <x:c r="K1919" s="115" t="str">
        <x:v>Pièces décrites, murs, portes, niveaux et mobilier inspectables à l’échelle. Volumes réservés, raccord au seed, butin, rencontres et services de campagne restent à terminer.</x:v>
      </x:c>
    </x:row>
    <x:row r="1920" ht="96" customHeight="1">
      <x:c r="A1920" s="115" t="str">
        <x:v>EXT-MONDE-T039-V15</x:v>
      </x:c>
      <x:c r="B1920" s="115" t="str">
        <x:v>EXT-MONDE-T039</x:v>
      </x:c>
      <x:c r="C1920" s="115" t="str">
        <x:v>Égouts</x:v>
      </x:c>
      <x:c r="D1920" s="115" t="str">
        <x:v>Galerie pluviale</x:v>
      </x:c>
      <x:c r="E1920" s="115" t="n">
        <x:v>15</x:v>
      </x:c>
      <x:c r="F1920" s="115" t="str">
        <x:v>Inspection physique</x:v>
      </x:c>
      <x:c r="G1920" s="115" t="str">
        <x:v>2 niveaux ; 12 pièces ; 114 segments de mur ; 2 transitions. Inspection physique ; architecture complète encore ouverte.</x:v>
      </x:c>
      <x:c r="H1920" s="115" t="str">
        <x:v>L 198 ; l 214,8 ; hauteur 3 m ; choix de composition auteur ; dimensions réelles à documenter</x:v>
      </x:c>
      <x:c r="I1920" s="115" t="str">
        <x:v>À équilibrer</x:v>
      </x:c>
      <x:c r="J1920" s="115" t="str">
        <x:v>Non</x:v>
      </x:c>
      <x:c r="K1920" s="115" t="str">
        <x:v>Pièces décrites, murs, portes, niveaux et mobilier inspectables à l’échelle. Volumes réservés, raccord au seed, butin, rencontres et services de campagne restent à terminer.</x:v>
      </x:c>
    </x:row>
    <x:row r="1921" ht="96" customHeight="1">
      <x:c r="A1921" s="115" t="str">
        <x:v>EXT-MONDE-T039-V16</x:v>
      </x:c>
      <x:c r="B1921" s="115" t="str">
        <x:v>EXT-MONDE-T039</x:v>
      </x:c>
      <x:c r="C1921" s="115" t="str">
        <x:v>Égouts</x:v>
      </x:c>
      <x:c r="D1921" s="115" t="str">
        <x:v>Galerie pluviale</x:v>
      </x:c>
      <x:c r="E1921" s="115" t="n">
        <x:v>16</x:v>
      </x:c>
      <x:c r="F1921" s="115" t="str">
        <x:v>Inspection physique</x:v>
      </x:c>
      <x:c r="G1921" s="115" t="str">
        <x:v>2 niveaux ; 12 pièces ; 114 segments de mur ; 2 transitions. Inspection physique ; architecture complète encore ouverte.</x:v>
      </x:c>
      <x:c r="H1921" s="115" t="str">
        <x:v>L 200 ; l 215,5 ; hauteur 3 m ; choix de composition auteur ; dimensions réelles à documenter</x:v>
      </x:c>
      <x:c r="I1921" s="115" t="str">
        <x:v>À équilibrer</x:v>
      </x:c>
      <x:c r="J1921" s="115" t="str">
        <x:v>Non</x:v>
      </x:c>
      <x:c r="K1921" s="115" t="str">
        <x:v>Pièces décrites, murs, portes, niveaux et mobilier inspectables à l’échelle. Volumes réservés, raccord au seed, butin, rencontres et services de campagne restent à terminer.</x:v>
      </x:c>
    </x:row>
    <x:row r="1922" ht="96" customHeight="1">
      <x:c r="A1922" s="115" t="str">
        <x:v>EXT-MONDE-T039-V17</x:v>
      </x:c>
      <x:c r="B1922" s="115" t="str">
        <x:v>EXT-MONDE-T039</x:v>
      </x:c>
      <x:c r="C1922" s="115" t="str">
        <x:v>Égouts</x:v>
      </x:c>
      <x:c r="D1922" s="115" t="str">
        <x:v>Galerie pluviale</x:v>
      </x:c>
      <x:c r="E1922" s="115" t="n">
        <x:v>17</x:v>
      </x:c>
      <x:c r="F1922" s="115" t="str">
        <x:v>Inspection physique</x:v>
      </x:c>
      <x:c r="G1922" s="115" t="str">
        <x:v>2 niveaux ; 12 pièces ; 114 segments de mur ; 2 transitions. Inspection physique ; architecture complète encore ouverte.</x:v>
      </x:c>
      <x:c r="H1922" s="115" t="str">
        <x:v>L 202 ; l 216,2 ; hauteur 3 m ; choix de composition auteur ; dimensions réelles à documenter</x:v>
      </x:c>
      <x:c r="I1922" s="115" t="str">
        <x:v>À équilibrer</x:v>
      </x:c>
      <x:c r="J1922" s="115" t="str">
        <x:v>Non</x:v>
      </x:c>
      <x:c r="K1922" s="115" t="str">
        <x:v>Pièces décrites, murs, portes, niveaux et mobilier inspectables à l’échelle. Volumes réservés, raccord au seed, butin, rencontres et services de campagne restent à terminer.</x:v>
      </x:c>
    </x:row>
    <x:row r="1923" ht="96" customHeight="1">
      <x:c r="A1923" s="115" t="str">
        <x:v>EXT-MONDE-T039-V18</x:v>
      </x:c>
      <x:c r="B1923" s="115" t="str">
        <x:v>EXT-MONDE-T039</x:v>
      </x:c>
      <x:c r="C1923" s="115" t="str">
        <x:v>Égouts</x:v>
      </x:c>
      <x:c r="D1923" s="115" t="str">
        <x:v>Galerie pluviale</x:v>
      </x:c>
      <x:c r="E1923" s="115" t="n">
        <x:v>18</x:v>
      </x:c>
      <x:c r="F1923" s="115" t="str">
        <x:v>Inspection physique</x:v>
      </x:c>
      <x:c r="G1923" s="115" t="str">
        <x:v>2 niveaux ; 12 pièces ; 114 segments de mur ; 2 transitions. Inspection physique ; architecture complète encore ouverte.</x:v>
      </x:c>
      <x:c r="H1923" s="115" t="str">
        <x:v>L 204 ; l 216,9 ; hauteur 3 m ; choix de composition auteur ; dimensions réelles à documenter</x:v>
      </x:c>
      <x:c r="I1923" s="115" t="str">
        <x:v>À équilibrer</x:v>
      </x:c>
      <x:c r="J1923" s="115" t="str">
        <x:v>Non</x:v>
      </x:c>
      <x:c r="K1923" s="115" t="str">
        <x:v>Pièces décrites, murs, portes, niveaux et mobilier inspectables à l’échelle. Volumes réservés, raccord au seed, butin, rencontres et services de campagne restent à terminer.</x:v>
      </x:c>
    </x:row>
    <x:row r="1924" ht="96" customHeight="1">
      <x:c r="A1924" s="115" t="str">
        <x:v>EXT-MONDE-T039-V19</x:v>
      </x:c>
      <x:c r="B1924" s="115" t="str">
        <x:v>EXT-MONDE-T039</x:v>
      </x:c>
      <x:c r="C1924" s="115" t="str">
        <x:v>Égouts</x:v>
      </x:c>
      <x:c r="D1924" s="115" t="str">
        <x:v>Galerie pluviale</x:v>
      </x:c>
      <x:c r="E1924" s="115" t="n">
        <x:v>19</x:v>
      </x:c>
      <x:c r="F1924" s="115" t="str">
        <x:v>Inspection physique</x:v>
      </x:c>
      <x:c r="G1924" s="115" t="str">
        <x:v>2 niveaux ; 12 pièces ; 114 segments de mur ; 2 transitions. Inspection physique ; architecture complète encore ouverte.</x:v>
      </x:c>
      <x:c r="H1924" s="115" t="str">
        <x:v>L 206 ; l 217,6 ; hauteur 3 m ; choix de composition auteur ; dimensions réelles à documenter</x:v>
      </x:c>
      <x:c r="I1924" s="115" t="str">
        <x:v>À équilibrer</x:v>
      </x:c>
      <x:c r="J1924" s="115" t="str">
        <x:v>Non</x:v>
      </x:c>
      <x:c r="K1924" s="115" t="str">
        <x:v>Pièces décrites, murs, portes, niveaux et mobilier inspectables à l’échelle. Volumes réservés, raccord au seed, butin, rencontres et services de campagne restent à terminer.</x:v>
      </x:c>
    </x:row>
    <x:row r="1925" ht="96" customHeight="1">
      <x:c r="A1925" s="115" t="str">
        <x:v>EXT-MONDE-T039-V20</x:v>
      </x:c>
      <x:c r="B1925" s="115" t="str">
        <x:v>EXT-MONDE-T039</x:v>
      </x:c>
      <x:c r="C1925" s="115" t="str">
        <x:v>Égouts</x:v>
      </x:c>
      <x:c r="D1925" s="115" t="str">
        <x:v>Galerie pluviale</x:v>
      </x:c>
      <x:c r="E1925" s="115" t="n">
        <x:v>20</x:v>
      </x:c>
      <x:c r="F1925" s="115" t="str">
        <x:v>Inspection physique</x:v>
      </x:c>
      <x:c r="G1925" s="115" t="str">
        <x:v>2 niveaux ; 12 pièces ; 114 segments de mur ; 2 transitions. Inspection physique ; architecture complète encore ouverte.</x:v>
      </x:c>
      <x:c r="H1925" s="115" t="str">
        <x:v>L 208 ; l 218,3 ; hauteur 3 m ; choix de composition auteur ; dimensions réelles à documenter</x:v>
      </x:c>
      <x:c r="I1925" s="115" t="str">
        <x:v>À équilibrer</x:v>
      </x:c>
      <x:c r="J1925" s="115" t="str">
        <x:v>Non</x:v>
      </x:c>
      <x:c r="K1925" s="115" t="str">
        <x:v>Pièces décrites, murs, portes, niveaux et mobilier inspectables à l’échelle. Volumes réservés, raccord au seed, butin, rencontres et services de campagne restent à terminer.</x:v>
      </x:c>
    </x:row>
    <x:row r="1926" ht="96" customHeight="1">
      <x:c r="A1926" s="115" t="str">
        <x:v>EXT-MONDE-T039-V21</x:v>
      </x:c>
      <x:c r="B1926" s="115" t="str">
        <x:v>EXT-MONDE-T039</x:v>
      </x:c>
      <x:c r="C1926" s="115" t="str">
        <x:v>Égouts</x:v>
      </x:c>
      <x:c r="D1926" s="115" t="str">
        <x:v>Galerie pluviale</x:v>
      </x:c>
      <x:c r="E1926" s="115" t="n">
        <x:v>21</x:v>
      </x:c>
      <x:c r="F1926" s="115" t="str">
        <x:v>Inspection physique</x:v>
      </x:c>
      <x:c r="G1926" s="115" t="str">
        <x:v>2 niveaux ; 12 pièces ; 114 segments de mur ; 2 transitions. Inspection physique ; architecture complète encore ouverte.</x:v>
      </x:c>
      <x:c r="H1926" s="115" t="str">
        <x:v>L 200 ; l 224 ; hauteur 3 m ; choix de composition auteur ; dimensions réelles à documenter</x:v>
      </x:c>
      <x:c r="I1926" s="115" t="str">
        <x:v>À équilibrer</x:v>
      </x:c>
      <x:c r="J1926" s="115" t="str">
        <x:v>Non</x:v>
      </x:c>
      <x:c r="K1926" s="115" t="str">
        <x:v>Pièces décrites, murs, portes, niveaux et mobilier inspectables à l’échelle. Volumes réservés, raccord au seed, butin, rencontres et services de campagne restent à terminer.</x:v>
      </x:c>
    </x:row>
    <x:row r="1927" ht="96" customHeight="1">
      <x:c r="A1927" s="115" t="str">
        <x:v>EXT-MONDE-T039-V22</x:v>
      </x:c>
      <x:c r="B1927" s="115" t="str">
        <x:v>EXT-MONDE-T039</x:v>
      </x:c>
      <x:c r="C1927" s="115" t="str">
        <x:v>Égouts</x:v>
      </x:c>
      <x:c r="D1927" s="115" t="str">
        <x:v>Galerie pluviale</x:v>
      </x:c>
      <x:c r="E1927" s="115" t="n">
        <x:v>22</x:v>
      </x:c>
      <x:c r="F1927" s="115" t="str">
        <x:v>Inspection physique</x:v>
      </x:c>
      <x:c r="G1927" s="115" t="str">
        <x:v>2 niveaux ; 12 pièces ; 114 segments de mur ; 2 transitions. Inspection physique ; architecture complète encore ouverte.</x:v>
      </x:c>
      <x:c r="H1927" s="115" t="str">
        <x:v>L 202 ; l 224,7 ; hauteur 3 m ; choix de composition auteur ; dimensions réelles à documenter</x:v>
      </x:c>
      <x:c r="I1927" s="115" t="str">
        <x:v>À équilibrer</x:v>
      </x:c>
      <x:c r="J1927" s="115" t="str">
        <x:v>Non</x:v>
      </x:c>
      <x:c r="K1927" s="115" t="str">
        <x:v>Pièces décrites, murs, portes, niveaux et mobilier inspectables à l’échelle. Volumes réservés, raccord au seed, butin, rencontres et services de campagne restent à terminer.</x:v>
      </x:c>
    </x:row>
    <x:row r="1928" ht="96" customHeight="1">
      <x:c r="A1928" s="115" t="str">
        <x:v>EXT-MONDE-T039-V23</x:v>
      </x:c>
      <x:c r="B1928" s="115" t="str">
        <x:v>EXT-MONDE-T039</x:v>
      </x:c>
      <x:c r="C1928" s="115" t="str">
        <x:v>Égouts</x:v>
      </x:c>
      <x:c r="D1928" s="115" t="str">
        <x:v>Galerie pluviale</x:v>
      </x:c>
      <x:c r="E1928" s="115" t="n">
        <x:v>23</x:v>
      </x:c>
      <x:c r="F1928" s="115" t="str">
        <x:v>Inspection physique</x:v>
      </x:c>
      <x:c r="G1928" s="115" t="str">
        <x:v>2 niveaux ; 12 pièces ; 114 segments de mur ; 2 transitions. Inspection physique ; architecture complète encore ouverte.</x:v>
      </x:c>
      <x:c r="H1928" s="115" t="str">
        <x:v>L 204 ; l 225,4 ; hauteur 3 m ; choix de composition auteur ; dimensions réelles à documenter</x:v>
      </x:c>
      <x:c r="I1928" s="115" t="str">
        <x:v>À équilibrer</x:v>
      </x:c>
      <x:c r="J1928" s="115" t="str">
        <x:v>Non</x:v>
      </x:c>
      <x:c r="K1928" s="115" t="str">
        <x:v>Pièces décrites, murs, portes, niveaux et mobilier inspectables à l’échelle. Volumes réservés, raccord au seed, butin, rencontres et services de campagne restent à terminer.</x:v>
      </x:c>
    </x:row>
    <x:row r="1929" ht="96" customHeight="1">
      <x:c r="A1929" s="115" t="str">
        <x:v>EXT-MONDE-T039-V24</x:v>
      </x:c>
      <x:c r="B1929" s="115" t="str">
        <x:v>EXT-MONDE-T039</x:v>
      </x:c>
      <x:c r="C1929" s="115" t="str">
        <x:v>Égouts</x:v>
      </x:c>
      <x:c r="D1929" s="115" t="str">
        <x:v>Galerie pluviale</x:v>
      </x:c>
      <x:c r="E1929" s="115" t="n">
        <x:v>24</x:v>
      </x:c>
      <x:c r="F1929" s="115" t="str">
        <x:v>Inspection physique</x:v>
      </x:c>
      <x:c r="G1929" s="115" t="str">
        <x:v>2 niveaux ; 12 pièces ; 114 segments de mur ; 2 transitions. Inspection physique ; architecture complète encore ouverte.</x:v>
      </x:c>
      <x:c r="H1929" s="115" t="str">
        <x:v>L 206 ; l 226,1 ; hauteur 3 m ; choix de composition auteur ; dimensions réelles à documenter</x:v>
      </x:c>
      <x:c r="I1929" s="115" t="str">
        <x:v>À équilibrer</x:v>
      </x:c>
      <x:c r="J1929" s="115" t="str">
        <x:v>Non</x:v>
      </x:c>
      <x:c r="K1929" s="115" t="str">
        <x:v>Pièces décrites, murs, portes, niveaux et mobilier inspectables à l’échelle. Volumes réservés, raccord au seed, butin, rencontres et services de campagne restent à terminer.</x:v>
      </x:c>
    </x:row>
    <x:row r="1930" ht="96" customHeight="1">
      <x:c r="A1930" s="115" t="str">
        <x:v>EXT-MONDE-T039-V25</x:v>
      </x:c>
      <x:c r="B1930" s="115" t="str">
        <x:v>EXT-MONDE-T039</x:v>
      </x:c>
      <x:c r="C1930" s="115" t="str">
        <x:v>Égouts</x:v>
      </x:c>
      <x:c r="D1930" s="115" t="str">
        <x:v>Galerie pluviale</x:v>
      </x:c>
      <x:c r="E1930" s="115" t="n">
        <x:v>25</x:v>
      </x:c>
      <x:c r="F1930" s="115" t="str">
        <x:v>Inspection physique</x:v>
      </x:c>
      <x:c r="G1930" s="115" t="str">
        <x:v>2 niveaux ; 12 pièces ; 114 segments de mur ; 2 transitions. Inspection physique ; architecture complète encore ouverte.</x:v>
      </x:c>
      <x:c r="H1930" s="115" t="str">
        <x:v>L 208 ; l 226,8 ; hauteur 3 m ; choix de composition auteur ; dimensions réelles à documenter</x:v>
      </x:c>
      <x:c r="I1930" s="115" t="str">
        <x:v>À équilibrer</x:v>
      </x:c>
      <x:c r="J1930" s="115" t="str">
        <x:v>Non</x:v>
      </x:c>
      <x:c r="K1930" s="115" t="str">
        <x:v>Pièces décrites, murs, portes, niveaux et mobilier inspectables à l’échelle. Volumes réservés, raccord au seed, butin, rencontres et services de campagne restent à terminer.</x:v>
      </x:c>
    </x:row>
    <x:row r="1931" ht="96" customHeight="1">
      <x:c r="A1931" s="115" t="str">
        <x:v>EXT-MONDE-T039-V26</x:v>
      </x:c>
      <x:c r="B1931" s="115" t="str">
        <x:v>EXT-MONDE-T039</x:v>
      </x:c>
      <x:c r="C1931" s="115" t="str">
        <x:v>Égouts</x:v>
      </x:c>
      <x:c r="D1931" s="115" t="str">
        <x:v>Galerie pluviale</x:v>
      </x:c>
      <x:c r="E1931" s="115" t="n">
        <x:v>26</x:v>
      </x:c>
      <x:c r="F1931" s="115" t="str">
        <x:v>Inspection physique</x:v>
      </x:c>
      <x:c r="G1931" s="115" t="str">
        <x:v>2 niveaux ; 12 pièces ; 114 segments de mur ; 2 transitions. Inspection physique ; architecture complète encore ouverte.</x:v>
      </x:c>
      <x:c r="H1931" s="115" t="str">
        <x:v>L 210 ; l 227,5 ; hauteur 3 m ; choix de composition auteur ; dimensions réelles à documenter</x:v>
      </x:c>
      <x:c r="I1931" s="115" t="str">
        <x:v>À équilibrer</x:v>
      </x:c>
      <x:c r="J1931" s="115" t="str">
        <x:v>Non</x:v>
      </x:c>
      <x:c r="K1931" s="115" t="str">
        <x:v>Pièces décrites, murs, portes, niveaux et mobilier inspectables à l’échelle. Volumes réservés, raccord au seed, butin, rencontres et services de campagne restent à terminer.</x:v>
      </x:c>
    </x:row>
    <x:row r="1932" ht="96" customHeight="1">
      <x:c r="A1932" s="115" t="str">
        <x:v>EXT-MONDE-T039-V27</x:v>
      </x:c>
      <x:c r="B1932" s="115" t="str">
        <x:v>EXT-MONDE-T039</x:v>
      </x:c>
      <x:c r="C1932" s="115" t="str">
        <x:v>Égouts</x:v>
      </x:c>
      <x:c r="D1932" s="115" t="str">
        <x:v>Galerie pluviale</x:v>
      </x:c>
      <x:c r="E1932" s="115" t="n">
        <x:v>27</x:v>
      </x:c>
      <x:c r="F1932" s="115" t="str">
        <x:v>Inspection physique</x:v>
      </x:c>
      <x:c r="G1932" s="115" t="str">
        <x:v>2 niveaux ; 12 pièces ; 114 segments de mur ; 2 transitions. Inspection physique ; architecture complète encore ouverte.</x:v>
      </x:c>
      <x:c r="H1932" s="115" t="str">
        <x:v>L 212 ; l 228,2 ; hauteur 3 m ; choix de composition auteur ; dimensions réelles à documenter</x:v>
      </x:c>
      <x:c r="I1932" s="115" t="str">
        <x:v>À équilibrer</x:v>
      </x:c>
      <x:c r="J1932" s="115" t="str">
        <x:v>Non</x:v>
      </x:c>
      <x:c r="K1932" s="115" t="str">
        <x:v>Pièces décrites, murs, portes, niveaux et mobilier inspectables à l’échelle. Volumes réservés, raccord au seed, butin, rencontres et services de campagne restent à terminer.</x:v>
      </x:c>
    </x:row>
    <x:row r="1933" ht="96" customHeight="1">
      <x:c r="A1933" s="115" t="str">
        <x:v>EXT-MONDE-T039-V28</x:v>
      </x:c>
      <x:c r="B1933" s="115" t="str">
        <x:v>EXT-MONDE-T039</x:v>
      </x:c>
      <x:c r="C1933" s="115" t="str">
        <x:v>Égouts</x:v>
      </x:c>
      <x:c r="D1933" s="115" t="str">
        <x:v>Galerie pluviale</x:v>
      </x:c>
      <x:c r="E1933" s="115" t="n">
        <x:v>28</x:v>
      </x:c>
      <x:c r="F1933" s="115" t="str">
        <x:v>Inspection physique</x:v>
      </x:c>
      <x:c r="G1933" s="115" t="str">
        <x:v>2 niveaux ; 12 pièces ; 114 segments de mur ; 2 transitions. Inspection physique ; architecture complète encore ouverte.</x:v>
      </x:c>
      <x:c r="H1933" s="115" t="str">
        <x:v>L 214 ; l 228,9 ; hauteur 3 m ; choix de composition auteur ; dimensions réelles à documenter</x:v>
      </x:c>
      <x:c r="I1933" s="115" t="str">
        <x:v>À équilibrer</x:v>
      </x:c>
      <x:c r="J1933" s="115" t="str">
        <x:v>Non</x:v>
      </x:c>
      <x:c r="K1933" s="115" t="str">
        <x:v>Pièces décrites, murs, portes, niveaux et mobilier inspectables à l’échelle. Volumes réservés, raccord au seed, butin, rencontres et services de campagne restent à terminer.</x:v>
      </x:c>
    </x:row>
    <x:row r="1934" ht="96" customHeight="1">
      <x:c r="A1934" s="115" t="str">
        <x:v>EXT-MONDE-T039-V29</x:v>
      </x:c>
      <x:c r="B1934" s="115" t="str">
        <x:v>EXT-MONDE-T039</x:v>
      </x:c>
      <x:c r="C1934" s="115" t="str">
        <x:v>Égouts</x:v>
      </x:c>
      <x:c r="D1934" s="115" t="str">
        <x:v>Galerie pluviale</x:v>
      </x:c>
      <x:c r="E1934" s="115" t="n">
        <x:v>29</x:v>
      </x:c>
      <x:c r="F1934" s="115" t="str">
        <x:v>Inspection physique</x:v>
      </x:c>
      <x:c r="G1934" s="115" t="str">
        <x:v>2 niveaux ; 12 pièces ; 114 segments de mur ; 2 transitions. Inspection physique ; architecture complète encore ouverte.</x:v>
      </x:c>
      <x:c r="H1934" s="115" t="str">
        <x:v>L 216 ; l 229,6 ; hauteur 3 m ; choix de composition auteur ; dimensions réelles à documenter</x:v>
      </x:c>
      <x:c r="I1934" s="115" t="str">
        <x:v>À équilibrer</x:v>
      </x:c>
      <x:c r="J1934" s="115" t="str">
        <x:v>Non</x:v>
      </x:c>
      <x:c r="K1934" s="115" t="str">
        <x:v>Pièces décrites, murs, portes, niveaux et mobilier inspectables à l’échelle. Volumes réservés, raccord au seed, butin, rencontres et services de campagne restent à terminer.</x:v>
      </x:c>
    </x:row>
    <x:row r="1935" ht="96" customHeight="1">
      <x:c r="A1935" s="115" t="str">
        <x:v>EXT-MONDE-T039-V30</x:v>
      </x:c>
      <x:c r="B1935" s="115" t="str">
        <x:v>EXT-MONDE-T039</x:v>
      </x:c>
      <x:c r="C1935" s="115" t="str">
        <x:v>Égouts</x:v>
      </x:c>
      <x:c r="D1935" s="115" t="str">
        <x:v>Galerie pluviale</x:v>
      </x:c>
      <x:c r="E1935" s="115" t="n">
        <x:v>30</x:v>
      </x:c>
      <x:c r="F1935" s="115" t="str">
        <x:v>Inspection physique</x:v>
      </x:c>
      <x:c r="G1935" s="115" t="str">
        <x:v>2 niveaux ; 12 pièces ; 114 segments de mur ; 2 transitions. Inspection physique ; architecture complète encore ouverte.</x:v>
      </x:c>
      <x:c r="H1935" s="115" t="str">
        <x:v>L 218 ; l 230,3 ; hauteur 3 m ; choix de composition auteur ; dimensions réelles à documenter</x:v>
      </x:c>
      <x:c r="I1935" s="115" t="str">
        <x:v>À équilibrer</x:v>
      </x:c>
      <x:c r="J1935" s="115" t="str">
        <x:v>Non</x:v>
      </x:c>
      <x:c r="K1935" s="115" t="str">
        <x:v>Pièces décrites, murs, portes, niveaux et mobilier inspectables à l’échelle. Volumes réservés, raccord au seed, butin, rencontres et services de campagne restent à terminer.</x:v>
      </x:c>
    </x:row>
    <x:row r="1936" ht="96" customHeight="1">
      <x:c r="A1936" s="115" t="str">
        <x:v>EXT-MONDE-T039-V31</x:v>
      </x:c>
      <x:c r="B1936" s="115" t="str">
        <x:v>EXT-MONDE-T039</x:v>
      </x:c>
      <x:c r="C1936" s="115" t="str">
        <x:v>Égouts</x:v>
      </x:c>
      <x:c r="D1936" s="115" t="str">
        <x:v>Galerie pluviale</x:v>
      </x:c>
      <x:c r="E1936" s="115" t="n">
        <x:v>31</x:v>
      </x:c>
      <x:c r="F1936" s="115" t="str">
        <x:v>Inspection physique</x:v>
      </x:c>
      <x:c r="G1936" s="115" t="str">
        <x:v>2 niveaux ; 12 pièces ; 114 segments de mur ; 2 transitions. Inspection physique ; architecture complète encore ouverte.</x:v>
      </x:c>
      <x:c r="H1936" s="115" t="str">
        <x:v>L 210 ; l 236 ; hauteur 3 m ; choix de composition auteur ; dimensions réelles à documenter</x:v>
      </x:c>
      <x:c r="I1936" s="115" t="str">
        <x:v>À équilibrer</x:v>
      </x:c>
      <x:c r="J1936" s="115" t="str">
        <x:v>Non</x:v>
      </x:c>
      <x:c r="K1936" s="115" t="str">
        <x:v>Pièces décrites, murs, portes, niveaux et mobilier inspectables à l’échelle. Volumes réservés, raccord au seed, butin, rencontres et services de campagne restent à terminer.</x:v>
      </x:c>
    </x:row>
    <x:row r="1937" ht="96" customHeight="1">
      <x:c r="A1937" s="115" t="str">
        <x:v>EXT-MONDE-T039-V32</x:v>
      </x:c>
      <x:c r="B1937" s="115" t="str">
        <x:v>EXT-MONDE-T039</x:v>
      </x:c>
      <x:c r="C1937" s="115" t="str">
        <x:v>Égouts</x:v>
      </x:c>
      <x:c r="D1937" s="115" t="str">
        <x:v>Galerie pluviale</x:v>
      </x:c>
      <x:c r="E1937" s="115" t="n">
        <x:v>32</x:v>
      </x:c>
      <x:c r="F1937" s="115" t="str">
        <x:v>Inspection physique</x:v>
      </x:c>
      <x:c r="G1937" s="115" t="str">
        <x:v>2 niveaux ; 12 pièces ; 114 segments de mur ; 2 transitions. Inspection physique ; architecture complète encore ouverte.</x:v>
      </x:c>
      <x:c r="H1937" s="115" t="str">
        <x:v>L 212 ; l 236,7 ; hauteur 3 m ; choix de composition auteur ; dimensions réelles à documenter</x:v>
      </x:c>
      <x:c r="I1937" s="115" t="str">
        <x:v>À équilibrer</x:v>
      </x:c>
      <x:c r="J1937" s="115" t="str">
        <x:v>Non</x:v>
      </x:c>
      <x:c r="K1937" s="115" t="str">
        <x:v>Pièces décrites, murs, portes, niveaux et mobilier inspectables à l’échelle. Volumes réservés, raccord au seed, butin, rencontres et services de campagne restent à terminer.</x:v>
      </x:c>
    </x:row>
    <x:row r="1938" ht="96" customHeight="1">
      <x:c r="A1938" s="115" t="str">
        <x:v>EXT-MONDE-T039-V33</x:v>
      </x:c>
      <x:c r="B1938" s="115" t="str">
        <x:v>EXT-MONDE-T039</x:v>
      </x:c>
      <x:c r="C1938" s="115" t="str">
        <x:v>Égouts</x:v>
      </x:c>
      <x:c r="D1938" s="115" t="str">
        <x:v>Galerie pluviale</x:v>
      </x:c>
      <x:c r="E1938" s="115" t="n">
        <x:v>33</x:v>
      </x:c>
      <x:c r="F1938" s="115" t="str">
        <x:v>Inspection physique</x:v>
      </x:c>
      <x:c r="G1938" s="115" t="str">
        <x:v>2 niveaux ; 12 pièces ; 114 segments de mur ; 2 transitions. Inspection physique ; architecture complète encore ouverte.</x:v>
      </x:c>
      <x:c r="H1938" s="115" t="str">
        <x:v>L 214 ; l 237,4 ; hauteur 3 m ; choix de composition auteur ; dimensions réelles à documenter</x:v>
      </x:c>
      <x:c r="I1938" s="115" t="str">
        <x:v>À équilibrer</x:v>
      </x:c>
      <x:c r="J1938" s="115" t="str">
        <x:v>Non</x:v>
      </x:c>
      <x:c r="K1938" s="115" t="str">
        <x:v>Pièces décrites, murs, portes, niveaux et mobilier inspectables à l’échelle. Volumes réservés, raccord au seed, butin, rencontres et services de campagne restent à terminer.</x:v>
      </x:c>
    </x:row>
    <x:row r="1939" ht="96" customHeight="1">
      <x:c r="A1939" s="115" t="str">
        <x:v>EXT-MONDE-T039-V34</x:v>
      </x:c>
      <x:c r="B1939" s="115" t="str">
        <x:v>EXT-MONDE-T039</x:v>
      </x:c>
      <x:c r="C1939" s="115" t="str">
        <x:v>Égouts</x:v>
      </x:c>
      <x:c r="D1939" s="115" t="str">
        <x:v>Galerie pluviale</x:v>
      </x:c>
      <x:c r="E1939" s="115" t="n">
        <x:v>34</x:v>
      </x:c>
      <x:c r="F1939" s="115" t="str">
        <x:v>Inspection physique</x:v>
      </x:c>
      <x:c r="G1939" s="115" t="str">
        <x:v>2 niveaux ; 12 pièces ; 114 segments de mur ; 2 transitions. Inspection physique ; architecture complète encore ouverte.</x:v>
      </x:c>
      <x:c r="H1939" s="115" t="str">
        <x:v>L 216 ; l 238,1 ; hauteur 3 m ; choix de composition auteur ; dimensions réelles à documenter</x:v>
      </x:c>
      <x:c r="I1939" s="115" t="str">
        <x:v>À équilibrer</x:v>
      </x:c>
      <x:c r="J1939" s="115" t="str">
        <x:v>Non</x:v>
      </x:c>
      <x:c r="K1939" s="115" t="str">
        <x:v>Pièces décrites, murs, portes, niveaux et mobilier inspectables à l’échelle. Volumes réservés, raccord au seed, butin, rencontres et services de campagne restent à terminer.</x:v>
      </x:c>
    </x:row>
    <x:row r="1940" ht="96" customHeight="1">
      <x:c r="A1940" s="115" t="str">
        <x:v>EXT-MONDE-T039-V35</x:v>
      </x:c>
      <x:c r="B1940" s="115" t="str">
        <x:v>EXT-MONDE-T039</x:v>
      </x:c>
      <x:c r="C1940" s="115" t="str">
        <x:v>Égouts</x:v>
      </x:c>
      <x:c r="D1940" s="115" t="str">
        <x:v>Galerie pluviale</x:v>
      </x:c>
      <x:c r="E1940" s="115" t="n">
        <x:v>35</x:v>
      </x:c>
      <x:c r="F1940" s="115" t="str">
        <x:v>Inspection physique</x:v>
      </x:c>
      <x:c r="G1940" s="115" t="str">
        <x:v>2 niveaux ; 12 pièces ; 114 segments de mur ; 2 transitions. Inspection physique ; architecture complète encore ouverte.</x:v>
      </x:c>
      <x:c r="H1940" s="115" t="str">
        <x:v>L 218 ; l 238,8 ; hauteur 3 m ; choix de composition auteur ; dimensions réelles à documenter</x:v>
      </x:c>
      <x:c r="I1940" s="115" t="str">
        <x:v>À équilibrer</x:v>
      </x:c>
      <x:c r="J1940" s="115" t="str">
        <x:v>Non</x:v>
      </x:c>
      <x:c r="K1940" s="115" t="str">
        <x:v>Pièces décrites, murs, portes, niveaux et mobilier inspectables à l’échelle. Volumes réservés, raccord au seed, butin, rencontres et services de campagne restent à terminer.</x:v>
      </x:c>
    </x:row>
    <x:row r="1941" ht="96" customHeight="1">
      <x:c r="A1941" s="115" t="str">
        <x:v>EXT-MONDE-T039-V36</x:v>
      </x:c>
      <x:c r="B1941" s="115" t="str">
        <x:v>EXT-MONDE-T039</x:v>
      </x:c>
      <x:c r="C1941" s="115" t="str">
        <x:v>Égouts</x:v>
      </x:c>
      <x:c r="D1941" s="115" t="str">
        <x:v>Galerie pluviale</x:v>
      </x:c>
      <x:c r="E1941" s="115" t="n">
        <x:v>36</x:v>
      </x:c>
      <x:c r="F1941" s="115" t="str">
        <x:v>Inspection physique</x:v>
      </x:c>
      <x:c r="G1941" s="115" t="str">
        <x:v>2 niveaux ; 12 pièces ; 114 segments de mur ; 2 transitions. Inspection physique ; architecture complète encore ouverte.</x:v>
      </x:c>
      <x:c r="H1941" s="115" t="str">
        <x:v>L 220 ; l 239,5 ; hauteur 3 m ; choix de composition auteur ; dimensions réelles à documenter</x:v>
      </x:c>
      <x:c r="I1941" s="115" t="str">
        <x:v>À équilibrer</x:v>
      </x:c>
      <x:c r="J1941" s="115" t="str">
        <x:v>Non</x:v>
      </x:c>
      <x:c r="K1941" s="115" t="str">
        <x:v>Pièces décrites, murs, portes, niveaux et mobilier inspectables à l’échelle. Volumes réservés, raccord au seed, butin, rencontres et services de campagne restent à terminer.</x:v>
      </x:c>
    </x:row>
    <x:row r="1942" ht="96" customHeight="1">
      <x:c r="A1942" s="115" t="str">
        <x:v>EXT-MONDE-T039-V37</x:v>
      </x:c>
      <x:c r="B1942" s="115" t="str">
        <x:v>EXT-MONDE-T039</x:v>
      </x:c>
      <x:c r="C1942" s="115" t="str">
        <x:v>Égouts</x:v>
      </x:c>
      <x:c r="D1942" s="115" t="str">
        <x:v>Galerie pluviale</x:v>
      </x:c>
      <x:c r="E1942" s="115" t="n">
        <x:v>37</x:v>
      </x:c>
      <x:c r="F1942" s="115" t="str">
        <x:v>Inspection physique</x:v>
      </x:c>
      <x:c r="G1942" s="115" t="str">
        <x:v>2 niveaux ; 12 pièces ; 114 segments de mur ; 2 transitions. Inspection physique ; architecture complète encore ouverte.</x:v>
      </x:c>
      <x:c r="H1942" s="115" t="str">
        <x:v>L 222 ; l 240,2 ; hauteur 3 m ; choix de composition auteur ; dimensions réelles à documenter</x:v>
      </x:c>
      <x:c r="I1942" s="115" t="str">
        <x:v>À équilibrer</x:v>
      </x:c>
      <x:c r="J1942" s="115" t="str">
        <x:v>Non</x:v>
      </x:c>
      <x:c r="K1942" s="115" t="str">
        <x:v>Pièces décrites, murs, portes, niveaux et mobilier inspectables à l’échelle. Volumes réservés, raccord au seed, butin, rencontres et services de campagne restent à terminer.</x:v>
      </x:c>
    </x:row>
    <x:row r="1943" ht="96" customHeight="1">
      <x:c r="A1943" s="115" t="str">
        <x:v>EXT-MONDE-T039-V38</x:v>
      </x:c>
      <x:c r="B1943" s="115" t="str">
        <x:v>EXT-MONDE-T039</x:v>
      </x:c>
      <x:c r="C1943" s="115" t="str">
        <x:v>Égouts</x:v>
      </x:c>
      <x:c r="D1943" s="115" t="str">
        <x:v>Galerie pluviale</x:v>
      </x:c>
      <x:c r="E1943" s="115" t="n">
        <x:v>38</x:v>
      </x:c>
      <x:c r="F1943" s="115" t="str">
        <x:v>Inspection physique</x:v>
      </x:c>
      <x:c r="G1943" s="115" t="str">
        <x:v>2 niveaux ; 12 pièces ; 114 segments de mur ; 2 transitions. Inspection physique ; architecture complète encore ouverte.</x:v>
      </x:c>
      <x:c r="H1943" s="115" t="str">
        <x:v>L 224 ; l 240,9 ; hauteur 3 m ; choix de composition auteur ; dimensions réelles à documenter</x:v>
      </x:c>
      <x:c r="I1943" s="115" t="str">
        <x:v>À équilibrer</x:v>
      </x:c>
      <x:c r="J1943" s="115" t="str">
        <x:v>Non</x:v>
      </x:c>
      <x:c r="K1943" s="115" t="str">
        <x:v>Pièces décrites, murs, portes, niveaux et mobilier inspectables à l’échelle. Volumes réservés, raccord au seed, butin, rencontres et services de campagne restent à terminer.</x:v>
      </x:c>
    </x:row>
    <x:row r="1944" ht="96" customHeight="1">
      <x:c r="A1944" s="115" t="str">
        <x:v>EXT-MONDE-T039-V39</x:v>
      </x:c>
      <x:c r="B1944" s="115" t="str">
        <x:v>EXT-MONDE-T039</x:v>
      </x:c>
      <x:c r="C1944" s="115" t="str">
        <x:v>Égouts</x:v>
      </x:c>
      <x:c r="D1944" s="115" t="str">
        <x:v>Galerie pluviale</x:v>
      </x:c>
      <x:c r="E1944" s="115" t="n">
        <x:v>39</x:v>
      </x:c>
      <x:c r="F1944" s="115" t="str">
        <x:v>Inspection physique</x:v>
      </x:c>
      <x:c r="G1944" s="115" t="str">
        <x:v>2 niveaux ; 12 pièces ; 114 segments de mur ; 2 transitions. Inspection physique ; architecture complète encore ouverte.</x:v>
      </x:c>
      <x:c r="H1944" s="115" t="str">
        <x:v>L 226 ; l 241,6 ; hauteur 3 m ; choix de composition auteur ; dimensions réelles à documenter</x:v>
      </x:c>
      <x:c r="I1944" s="115" t="str">
        <x:v>À équilibrer</x:v>
      </x:c>
      <x:c r="J1944" s="115" t="str">
        <x:v>Non</x:v>
      </x:c>
      <x:c r="K1944" s="115" t="str">
        <x:v>Pièces décrites, murs, portes, niveaux et mobilier inspectables à l’échelle. Volumes réservés, raccord au seed, butin, rencontres et services de campagne restent à terminer.</x:v>
      </x:c>
    </x:row>
    <x:row r="1945" ht="96" customHeight="1">
      <x:c r="A1945" s="115" t="str">
        <x:v>EXT-MONDE-T039-V40</x:v>
      </x:c>
      <x:c r="B1945" s="115" t="str">
        <x:v>EXT-MONDE-T039</x:v>
      </x:c>
      <x:c r="C1945" s="115" t="str">
        <x:v>Égouts</x:v>
      </x:c>
      <x:c r="D1945" s="115" t="str">
        <x:v>Galerie pluviale</x:v>
      </x:c>
      <x:c r="E1945" s="115" t="n">
        <x:v>40</x:v>
      </x:c>
      <x:c r="F1945" s="115" t="str">
        <x:v>Inspection physique</x:v>
      </x:c>
      <x:c r="G1945" s="115" t="str">
        <x:v>2 niveaux ; 12 pièces ; 114 segments de mur ; 2 transitions. Inspection physique ; architecture complète encore ouverte.</x:v>
      </x:c>
      <x:c r="H1945" s="115" t="str">
        <x:v>L 228 ; l 242,3 ; hauteur 3 m ; choix de composition auteur ; dimensions réelles à documenter</x:v>
      </x:c>
      <x:c r="I1945" s="115" t="str">
        <x:v>À équilibrer</x:v>
      </x:c>
      <x:c r="J1945" s="115" t="str">
        <x:v>Non</x:v>
      </x:c>
      <x:c r="K1945" s="115" t="str">
        <x:v>Pièces décrites, murs, portes, niveaux et mobilier inspectables à l’échelle. Volumes réservés, raccord au seed, butin, rencontres et services de campagne restent à terminer.</x:v>
      </x:c>
    </x:row>
    <x:row r="1946" ht="96" customHeight="1">
      <x:c r="A1946" s="115" t="str">
        <x:v>EXT-MONDE-T039-V41</x:v>
      </x:c>
      <x:c r="B1946" s="115" t="str">
        <x:v>EXT-MONDE-T039</x:v>
      </x:c>
      <x:c r="C1946" s="115" t="str">
        <x:v>Égouts</x:v>
      </x:c>
      <x:c r="D1946" s="115" t="str">
        <x:v>Galerie pluviale</x:v>
      </x:c>
      <x:c r="E1946" s="115" t="n">
        <x:v>41</x:v>
      </x:c>
      <x:c r="F1946" s="115" t="str">
        <x:v>Inspection physique</x:v>
      </x:c>
      <x:c r="G1946" s="115" t="str">
        <x:v>2 niveaux ; 12 pièces ; 114 segments de mur ; 2 transitions. Inspection physique ; architecture complète encore ouverte.</x:v>
      </x:c>
      <x:c r="H1946" s="115" t="str">
        <x:v>L 220 ; l 248 ; hauteur 3 m ; choix de composition auteur ; dimensions réelles à documenter</x:v>
      </x:c>
      <x:c r="I1946" s="115" t="str">
        <x:v>À équilibrer</x:v>
      </x:c>
      <x:c r="J1946" s="115" t="str">
        <x:v>Non</x:v>
      </x:c>
      <x:c r="K1946" s="115" t="str">
        <x:v>Pièces décrites, murs, portes, niveaux et mobilier inspectables à l’échelle. Volumes réservés, raccord au seed, butin, rencontres et services de campagne restent à terminer.</x:v>
      </x:c>
    </x:row>
    <x:row r="1947" ht="96" customHeight="1">
      <x:c r="A1947" s="115" t="str">
        <x:v>EXT-MONDE-T039-V42</x:v>
      </x:c>
      <x:c r="B1947" s="115" t="str">
        <x:v>EXT-MONDE-T039</x:v>
      </x:c>
      <x:c r="C1947" s="115" t="str">
        <x:v>Égouts</x:v>
      </x:c>
      <x:c r="D1947" s="115" t="str">
        <x:v>Galerie pluviale</x:v>
      </x:c>
      <x:c r="E1947" s="115" t="n">
        <x:v>42</x:v>
      </x:c>
      <x:c r="F1947" s="115" t="str">
        <x:v>Inspection physique</x:v>
      </x:c>
      <x:c r="G1947" s="115" t="str">
        <x:v>2 niveaux ; 12 pièces ; 114 segments de mur ; 2 transitions. Inspection physique ; architecture complète encore ouverte.</x:v>
      </x:c>
      <x:c r="H1947" s="115" t="str">
        <x:v>L 222 ; l 248,7 ; hauteur 3 m ; choix de composition auteur ; dimensions réelles à documenter</x:v>
      </x:c>
      <x:c r="I1947" s="115" t="str">
        <x:v>À équilibrer</x:v>
      </x:c>
      <x:c r="J1947" s="115" t="str">
        <x:v>Non</x:v>
      </x:c>
      <x:c r="K1947" s="115" t="str">
        <x:v>Pièces décrites, murs, portes, niveaux et mobilier inspectables à l’échelle. Volumes réservés, raccord au seed, butin, rencontres et services de campagne restent à terminer.</x:v>
      </x:c>
    </x:row>
    <x:row r="1948" ht="96" customHeight="1">
      <x:c r="A1948" s="115" t="str">
        <x:v>EXT-MONDE-T039-V43</x:v>
      </x:c>
      <x:c r="B1948" s="115" t="str">
        <x:v>EXT-MONDE-T039</x:v>
      </x:c>
      <x:c r="C1948" s="115" t="str">
        <x:v>Égouts</x:v>
      </x:c>
      <x:c r="D1948" s="115" t="str">
        <x:v>Galerie pluviale</x:v>
      </x:c>
      <x:c r="E1948" s="115" t="n">
        <x:v>43</x:v>
      </x:c>
      <x:c r="F1948" s="115" t="str">
        <x:v>Inspection physique</x:v>
      </x:c>
      <x:c r="G1948" s="115" t="str">
        <x:v>2 niveaux ; 12 pièces ; 114 segments de mur ; 2 transitions. Inspection physique ; architecture complète encore ouverte.</x:v>
      </x:c>
      <x:c r="H1948" s="115" t="str">
        <x:v>L 224 ; l 249,4 ; hauteur 3 m ; choix de composition auteur ; dimensions réelles à documenter</x:v>
      </x:c>
      <x:c r="I1948" s="115" t="str">
        <x:v>À équilibrer</x:v>
      </x:c>
      <x:c r="J1948" s="115" t="str">
        <x:v>Non</x:v>
      </x:c>
      <x:c r="K1948" s="115" t="str">
        <x:v>Pièces décrites, murs, portes, niveaux et mobilier inspectables à l’échelle. Volumes réservés, raccord au seed, butin, rencontres et services de campagne restent à terminer.</x:v>
      </x:c>
    </x:row>
    <x:row r="1949" ht="96" customHeight="1">
      <x:c r="A1949" s="115" t="str">
        <x:v>EXT-MONDE-T039-V44</x:v>
      </x:c>
      <x:c r="B1949" s="115" t="str">
        <x:v>EXT-MONDE-T039</x:v>
      </x:c>
      <x:c r="C1949" s="115" t="str">
        <x:v>Égouts</x:v>
      </x:c>
      <x:c r="D1949" s="115" t="str">
        <x:v>Galerie pluviale</x:v>
      </x:c>
      <x:c r="E1949" s="115" t="n">
        <x:v>44</x:v>
      </x:c>
      <x:c r="F1949" s="115" t="str">
        <x:v>Inspection physique</x:v>
      </x:c>
      <x:c r="G1949" s="115" t="str">
        <x:v>2 niveaux ; 12 pièces ; 114 segments de mur ; 2 transitions. Inspection physique ; architecture complète encore ouverte.</x:v>
      </x:c>
      <x:c r="H1949" s="115" t="str">
        <x:v>L 226 ; l 250,1 ; hauteur 3 m ; choix de composition auteur ; dimensions réelles à documenter</x:v>
      </x:c>
      <x:c r="I1949" s="115" t="str">
        <x:v>À équilibrer</x:v>
      </x:c>
      <x:c r="J1949" s="115" t="str">
        <x:v>Non</x:v>
      </x:c>
      <x:c r="K1949" s="115" t="str">
        <x:v>Pièces décrites, murs, portes, niveaux et mobilier inspectables à l’échelle. Volumes réservés, raccord au seed, butin, rencontres et services de campagne restent à terminer.</x:v>
      </x:c>
    </x:row>
    <x:row r="1950" ht="96" customHeight="1">
      <x:c r="A1950" s="115" t="str">
        <x:v>EXT-MONDE-T039-V45</x:v>
      </x:c>
      <x:c r="B1950" s="115" t="str">
        <x:v>EXT-MONDE-T039</x:v>
      </x:c>
      <x:c r="C1950" s="115" t="str">
        <x:v>Égouts</x:v>
      </x:c>
      <x:c r="D1950" s="115" t="str">
        <x:v>Galerie pluviale</x:v>
      </x:c>
      <x:c r="E1950" s="115" t="n">
        <x:v>45</x:v>
      </x:c>
      <x:c r="F1950" s="115" t="str">
        <x:v>Inspection physique</x:v>
      </x:c>
      <x:c r="G1950" s="115" t="str">
        <x:v>2 niveaux ; 12 pièces ; 114 segments de mur ; 2 transitions. Inspection physique ; architecture complète encore ouverte.</x:v>
      </x:c>
      <x:c r="H1950" s="115" t="str">
        <x:v>L 228 ; l 250,8 ; hauteur 3 m ; choix de composition auteur ; dimensions réelles à documenter</x:v>
      </x:c>
      <x:c r="I1950" s="115" t="str">
        <x:v>À équilibrer</x:v>
      </x:c>
      <x:c r="J1950" s="115" t="str">
        <x:v>Non</x:v>
      </x:c>
      <x:c r="K1950" s="115" t="str">
        <x:v>Pièces décrites, murs, portes, niveaux et mobilier inspectables à l’échelle. Volumes réservés, raccord au seed, butin, rencontres et services de campagne restent à terminer.</x:v>
      </x:c>
    </x:row>
    <x:row r="1951" ht="96" customHeight="1">
      <x:c r="A1951" s="115" t="str">
        <x:v>EXT-MONDE-T039-V46</x:v>
      </x:c>
      <x:c r="B1951" s="115" t="str">
        <x:v>EXT-MONDE-T039</x:v>
      </x:c>
      <x:c r="C1951" s="115" t="str">
        <x:v>Égouts</x:v>
      </x:c>
      <x:c r="D1951" s="115" t="str">
        <x:v>Galerie pluviale</x:v>
      </x:c>
      <x:c r="E1951" s="115" t="n">
        <x:v>46</x:v>
      </x:c>
      <x:c r="F1951" s="115" t="str">
        <x:v>Inspection physique</x:v>
      </x:c>
      <x:c r="G1951" s="115" t="str">
        <x:v>2 niveaux ; 12 pièces ; 114 segments de mur ; 2 transitions. Inspection physique ; architecture complète encore ouverte.</x:v>
      </x:c>
      <x:c r="H1951" s="115" t="str">
        <x:v>L 230 ; l 251,5 ; hauteur 3 m ; choix de composition auteur ; dimensions réelles à documenter</x:v>
      </x:c>
      <x:c r="I1951" s="115" t="str">
        <x:v>À équilibrer</x:v>
      </x:c>
      <x:c r="J1951" s="115" t="str">
        <x:v>Non</x:v>
      </x:c>
      <x:c r="K1951" s="115" t="str">
        <x:v>Pièces décrites, murs, portes, niveaux et mobilier inspectables à l’échelle. Volumes réservés, raccord au seed, butin, rencontres et services de campagne restent à terminer.</x:v>
      </x:c>
    </x:row>
    <x:row r="1952" ht="96" customHeight="1">
      <x:c r="A1952" s="115" t="str">
        <x:v>EXT-MONDE-T039-V47</x:v>
      </x:c>
      <x:c r="B1952" s="115" t="str">
        <x:v>EXT-MONDE-T039</x:v>
      </x:c>
      <x:c r="C1952" s="115" t="str">
        <x:v>Égouts</x:v>
      </x:c>
      <x:c r="D1952" s="115" t="str">
        <x:v>Galerie pluviale</x:v>
      </x:c>
      <x:c r="E1952" s="115" t="n">
        <x:v>47</x:v>
      </x:c>
      <x:c r="F1952" s="115" t="str">
        <x:v>Inspection physique</x:v>
      </x:c>
      <x:c r="G1952" s="115" t="str">
        <x:v>2 niveaux ; 12 pièces ; 114 segments de mur ; 2 transitions. Inspection physique ; architecture complète encore ouverte.</x:v>
      </x:c>
      <x:c r="H1952" s="115" t="str">
        <x:v>L 232 ; l 252,2 ; hauteur 3 m ; choix de composition auteur ; dimensions réelles à documenter</x:v>
      </x:c>
      <x:c r="I1952" s="115" t="str">
        <x:v>À équilibrer</x:v>
      </x:c>
      <x:c r="J1952" s="115" t="str">
        <x:v>Non</x:v>
      </x:c>
      <x:c r="K1952" s="115" t="str">
        <x:v>Pièces décrites, murs, portes, niveaux et mobilier inspectables à l’échelle. Volumes réservés, raccord au seed, butin, rencontres et services de campagne restent à terminer.</x:v>
      </x:c>
    </x:row>
    <x:row r="1953" ht="96" customHeight="1">
      <x:c r="A1953" s="115" t="str">
        <x:v>EXT-MONDE-T039-V48</x:v>
      </x:c>
      <x:c r="B1953" s="115" t="str">
        <x:v>EXT-MONDE-T039</x:v>
      </x:c>
      <x:c r="C1953" s="115" t="str">
        <x:v>Égouts</x:v>
      </x:c>
      <x:c r="D1953" s="115" t="str">
        <x:v>Galerie pluviale</x:v>
      </x:c>
      <x:c r="E1953" s="115" t="n">
        <x:v>48</x:v>
      </x:c>
      <x:c r="F1953" s="115" t="str">
        <x:v>Inspection physique</x:v>
      </x:c>
      <x:c r="G1953" s="115" t="str">
        <x:v>2 niveaux ; 12 pièces ; 114 segments de mur ; 2 transitions. Inspection physique ; architecture complète encore ouverte.</x:v>
      </x:c>
      <x:c r="H1953" s="115" t="str">
        <x:v>L 234 ; l 252,9 ; hauteur 3 m ; choix de composition auteur ; dimensions réelles à documenter</x:v>
      </x:c>
      <x:c r="I1953" s="115" t="str">
        <x:v>À équilibrer</x:v>
      </x:c>
      <x:c r="J1953" s="115" t="str">
        <x:v>Non</x:v>
      </x:c>
      <x:c r="K1953" s="115" t="str">
        <x:v>Pièces décrites, murs, portes, niveaux et mobilier inspectables à l’échelle. Volumes réservés, raccord au seed, butin, rencontres et services de campagne restent à terminer.</x:v>
      </x:c>
    </x:row>
    <x:row r="1954" ht="96" customHeight="1">
      <x:c r="A1954" s="115" t="str">
        <x:v>EXT-MONDE-T039-V49</x:v>
      </x:c>
      <x:c r="B1954" s="115" t="str">
        <x:v>EXT-MONDE-T039</x:v>
      </x:c>
      <x:c r="C1954" s="115" t="str">
        <x:v>Égouts</x:v>
      </x:c>
      <x:c r="D1954" s="115" t="str">
        <x:v>Galerie pluviale</x:v>
      </x:c>
      <x:c r="E1954" s="115" t="n">
        <x:v>49</x:v>
      </x:c>
      <x:c r="F1954" s="115" t="str">
        <x:v>Inspection physique</x:v>
      </x:c>
      <x:c r="G1954" s="115" t="str">
        <x:v>2 niveaux ; 12 pièces ; 114 segments de mur ; 2 transitions. Inspection physique ; architecture complète encore ouverte.</x:v>
      </x:c>
      <x:c r="H1954" s="115" t="str">
        <x:v>L 236 ; l 253,6 ; hauteur 3 m ; choix de composition auteur ; dimensions réelles à documenter</x:v>
      </x:c>
      <x:c r="I1954" s="115" t="str">
        <x:v>À équilibrer</x:v>
      </x:c>
      <x:c r="J1954" s="115" t="str">
        <x:v>Non</x:v>
      </x:c>
      <x:c r="K1954" s="115" t="str">
        <x:v>Pièces décrites, murs, portes, niveaux et mobilier inspectables à l’échelle. Volumes réservés, raccord au seed, butin, rencontres et services de campagne restent à terminer.</x:v>
      </x:c>
    </x:row>
    <x:row r="1955" ht="96" customHeight="1">
      <x:c r="A1955" s="115" t="str">
        <x:v>EXT-MONDE-T039-V50</x:v>
      </x:c>
      <x:c r="B1955" s="115" t="str">
        <x:v>EXT-MONDE-T039</x:v>
      </x:c>
      <x:c r="C1955" s="115" t="str">
        <x:v>Égouts</x:v>
      </x:c>
      <x:c r="D1955" s="115" t="str">
        <x:v>Galerie pluviale</x:v>
      </x:c>
      <x:c r="E1955" s="115" t="n">
        <x:v>50</x:v>
      </x:c>
      <x:c r="F1955" s="115" t="str">
        <x:v>Inspection physique</x:v>
      </x:c>
      <x:c r="G1955" s="115" t="str">
        <x:v>2 niveaux ; 12 pièces ; 114 segments de mur ; 2 transitions. Inspection physique ; architecture complète encore ouverte.</x:v>
      </x:c>
      <x:c r="H1955" s="115" t="str">
        <x:v>L 238 ; l 254,3 ; hauteur 3 m ; choix de composition auteur ; dimensions réelles à documenter</x:v>
      </x:c>
      <x:c r="I1955" s="115" t="str">
        <x:v>À équilibrer</x:v>
      </x:c>
      <x:c r="J1955" s="115" t="str">
        <x:v>Non</x:v>
      </x:c>
      <x:c r="K1955" s="115" t="str">
        <x:v>Pièces décrites, murs, portes, niveaux et mobilier inspectables à l’échelle. Volumes réservés, raccord au seed, butin, rencontres et services de campagne restent à terminer.</x:v>
      </x:c>
    </x:row>
    <x:row r="1956" ht="96" customHeight="1">
      <x:c r="A1956" s="115" t="str">
        <x:v>EXT-MONDE-T040-V01</x:v>
      </x:c>
      <x:c r="B1956" s="115" t="str">
        <x:v>EXT-MONDE-T040</x:v>
      </x:c>
      <x:c r="C1956" s="115" t="str">
        <x:v>Égouts</x:v>
      </x:c>
      <x:c r="D1956" s="115" t="str">
        <x:v>Station souterraine de relevage</x:v>
      </x:c>
      <x:c r="E1956" s="115" t="n">
        <x:v>1</x:v>
      </x:c>
      <x:c r="F1956" s="115" t="str">
        <x:v>Inspection physique</x:v>
      </x:c>
      <x:c r="G1956" s="115" t="str">
        <x:v>4 niveaux ; 26 pièces ; 240 segments de mur ; 6 transitions. Inspection physique ; architecture complète encore ouverte.</x:v>
      </x:c>
      <x:c r="H1956" s="115" t="str">
        <x:v>L 180 ; l 200 ; hauteur 3 m ; choix de composition auteur ; dimensions réelles à documenter</x:v>
      </x:c>
      <x:c r="I1956" s="115" t="str">
        <x:v>À équilibrer</x:v>
      </x:c>
      <x:c r="J1956" s="115" t="str">
        <x:v>Non</x:v>
      </x:c>
      <x:c r="K1956" s="115" t="str">
        <x:v>Pièces décrites, murs, portes, niveaux et mobilier inspectables à l’échelle. Volumes réservés, raccord au seed, butin, rencontres et services de campagne restent à terminer.</x:v>
      </x:c>
    </x:row>
    <x:row r="1957" ht="96" customHeight="1">
      <x:c r="A1957" s="115" t="str">
        <x:v>EXT-MONDE-T040-V02</x:v>
      </x:c>
      <x:c r="B1957" s="115" t="str">
        <x:v>EXT-MONDE-T040</x:v>
      </x:c>
      <x:c r="C1957" s="115" t="str">
        <x:v>Égouts</x:v>
      </x:c>
      <x:c r="D1957" s="115" t="str">
        <x:v>Station souterraine de relevage</x:v>
      </x:c>
      <x:c r="E1957" s="115" t="n">
        <x:v>2</x:v>
      </x:c>
      <x:c r="F1957" s="115" t="str">
        <x:v>Inspection physique</x:v>
      </x:c>
      <x:c r="G1957" s="115" t="str">
        <x:v>4 niveaux ; 26 pièces ; 240 segments de mur ; 6 transitions. Inspection physique ; architecture complète encore ouverte.</x:v>
      </x:c>
      <x:c r="H1957" s="115" t="str">
        <x:v>L 182 ; l 200,7 ; hauteur 3 m ; choix de composition auteur ; dimensions réelles à documenter</x:v>
      </x:c>
      <x:c r="I1957" s="115" t="str">
        <x:v>À équilibrer</x:v>
      </x:c>
      <x:c r="J1957" s="115" t="str">
        <x:v>Non</x:v>
      </x:c>
      <x:c r="K1957" s="115" t="str">
        <x:v>Pièces décrites, murs, portes, niveaux et mobilier inspectables à l’échelle. Volumes réservés, raccord au seed, butin, rencontres et services de campagne restent à terminer.</x:v>
      </x:c>
    </x:row>
    <x:row r="1958" ht="96" customHeight="1">
      <x:c r="A1958" s="115" t="str">
        <x:v>EXT-MONDE-T040-V03</x:v>
      </x:c>
      <x:c r="B1958" s="115" t="str">
        <x:v>EXT-MONDE-T040</x:v>
      </x:c>
      <x:c r="C1958" s="115" t="str">
        <x:v>Égouts</x:v>
      </x:c>
      <x:c r="D1958" s="115" t="str">
        <x:v>Station souterraine de relevage</x:v>
      </x:c>
      <x:c r="E1958" s="115" t="n">
        <x:v>3</x:v>
      </x:c>
      <x:c r="F1958" s="115" t="str">
        <x:v>Inspection physique</x:v>
      </x:c>
      <x:c r="G1958" s="115" t="str">
        <x:v>4 niveaux ; 26 pièces ; 240 segments de mur ; 6 transitions. Inspection physique ; architecture complète encore ouverte.</x:v>
      </x:c>
      <x:c r="H1958" s="115" t="str">
        <x:v>L 184 ; l 201,4 ; hauteur 3 m ; choix de composition auteur ; dimensions réelles à documenter</x:v>
      </x:c>
      <x:c r="I1958" s="115" t="str">
        <x:v>À équilibrer</x:v>
      </x:c>
      <x:c r="J1958" s="115" t="str">
        <x:v>Non</x:v>
      </x:c>
      <x:c r="K1958" s="115" t="str">
        <x:v>Pièces décrites, murs, portes, niveaux et mobilier inspectables à l’échelle. Volumes réservés, raccord au seed, butin, rencontres et services de campagne restent à terminer.</x:v>
      </x:c>
    </x:row>
    <x:row r="1959" ht="96" customHeight="1">
      <x:c r="A1959" s="115" t="str">
        <x:v>EXT-MONDE-T040-V04</x:v>
      </x:c>
      <x:c r="B1959" s="115" t="str">
        <x:v>EXT-MONDE-T040</x:v>
      </x:c>
      <x:c r="C1959" s="115" t="str">
        <x:v>Égouts</x:v>
      </x:c>
      <x:c r="D1959" s="115" t="str">
        <x:v>Station souterraine de relevage</x:v>
      </x:c>
      <x:c r="E1959" s="115" t="n">
        <x:v>4</x:v>
      </x:c>
      <x:c r="F1959" s="115" t="str">
        <x:v>Inspection physique</x:v>
      </x:c>
      <x:c r="G1959" s="115" t="str">
        <x:v>4 niveaux ; 26 pièces ; 240 segments de mur ; 6 transitions. Inspection physique ; architecture complète encore ouverte.</x:v>
      </x:c>
      <x:c r="H1959" s="115" t="str">
        <x:v>L 186 ; l 202,1 ; hauteur 3 m ; choix de composition auteur ; dimensions réelles à documenter</x:v>
      </x:c>
      <x:c r="I1959" s="115" t="str">
        <x:v>À équilibrer</x:v>
      </x:c>
      <x:c r="J1959" s="115" t="str">
        <x:v>Non</x:v>
      </x:c>
      <x:c r="K1959" s="115" t="str">
        <x:v>Pièces décrites, murs, portes, niveaux et mobilier inspectables à l’échelle. Volumes réservés, raccord au seed, butin, rencontres et services de campagne restent à terminer.</x:v>
      </x:c>
    </x:row>
    <x:row r="1960" ht="96" customHeight="1">
      <x:c r="A1960" s="115" t="str">
        <x:v>EXT-MONDE-T040-V05</x:v>
      </x:c>
      <x:c r="B1960" s="115" t="str">
        <x:v>EXT-MONDE-T040</x:v>
      </x:c>
      <x:c r="C1960" s="115" t="str">
        <x:v>Égouts</x:v>
      </x:c>
      <x:c r="D1960" s="115" t="str">
        <x:v>Station souterraine de relevage</x:v>
      </x:c>
      <x:c r="E1960" s="115" t="n">
        <x:v>5</x:v>
      </x:c>
      <x:c r="F1960" s="115" t="str">
        <x:v>Inspection physique</x:v>
      </x:c>
      <x:c r="G1960" s="115" t="str">
        <x:v>4 niveaux ; 26 pièces ; 240 segments de mur ; 6 transitions. Inspection physique ; architecture complète encore ouverte.</x:v>
      </x:c>
      <x:c r="H1960" s="115" t="str">
        <x:v>L 188 ; l 202,8 ; hauteur 3 m ; choix de composition auteur ; dimensions réelles à documenter</x:v>
      </x:c>
      <x:c r="I1960" s="115" t="str">
        <x:v>À équilibrer</x:v>
      </x:c>
      <x:c r="J1960" s="115" t="str">
        <x:v>Non</x:v>
      </x:c>
      <x:c r="K1960" s="115" t="str">
        <x:v>Pièces décrites, murs, portes, niveaux et mobilier inspectables à l’échelle. Volumes réservés, raccord au seed, butin, rencontres et services de campagne restent à terminer.</x:v>
      </x:c>
    </x:row>
    <x:row r="1961" ht="96" customHeight="1">
      <x:c r="A1961" s="115" t="str">
        <x:v>EXT-MONDE-T040-V06</x:v>
      </x:c>
      <x:c r="B1961" s="115" t="str">
        <x:v>EXT-MONDE-T040</x:v>
      </x:c>
      <x:c r="C1961" s="115" t="str">
        <x:v>Égouts</x:v>
      </x:c>
      <x:c r="D1961" s="115" t="str">
        <x:v>Station souterraine de relevage</x:v>
      </x:c>
      <x:c r="E1961" s="115" t="n">
        <x:v>6</x:v>
      </x:c>
      <x:c r="F1961" s="115" t="str">
        <x:v>Inspection physique</x:v>
      </x:c>
      <x:c r="G1961" s="115" t="str">
        <x:v>4 niveaux ; 26 pièces ; 240 segments de mur ; 6 transitions. Inspection physique ; architecture complète encore ouverte.</x:v>
      </x:c>
      <x:c r="H1961" s="115" t="str">
        <x:v>L 190 ; l 203,5 ; hauteur 3 m ; choix de composition auteur ; dimensions réelles à documenter</x:v>
      </x:c>
      <x:c r="I1961" s="115" t="str">
        <x:v>À équilibrer</x:v>
      </x:c>
      <x:c r="J1961" s="115" t="str">
        <x:v>Non</x:v>
      </x:c>
      <x:c r="K1961" s="115" t="str">
        <x:v>Pièces décrites, murs, portes, niveaux et mobilier inspectables à l’échelle. Volumes réservés, raccord au seed, butin, rencontres et services de campagne restent à terminer.</x:v>
      </x:c>
    </x:row>
    <x:row r="1962" ht="96" customHeight="1">
      <x:c r="A1962" s="115" t="str">
        <x:v>EXT-MONDE-T040-V07</x:v>
      </x:c>
      <x:c r="B1962" s="115" t="str">
        <x:v>EXT-MONDE-T040</x:v>
      </x:c>
      <x:c r="C1962" s="115" t="str">
        <x:v>Égouts</x:v>
      </x:c>
      <x:c r="D1962" s="115" t="str">
        <x:v>Station souterraine de relevage</x:v>
      </x:c>
      <x:c r="E1962" s="115" t="n">
        <x:v>7</x:v>
      </x:c>
      <x:c r="F1962" s="115" t="str">
        <x:v>Inspection physique</x:v>
      </x:c>
      <x:c r="G1962" s="115" t="str">
        <x:v>4 niveaux ; 26 pièces ; 240 segments de mur ; 6 transitions. Inspection physique ; architecture complète encore ouverte.</x:v>
      </x:c>
      <x:c r="H1962" s="115" t="str">
        <x:v>L 192 ; l 204,2 ; hauteur 3 m ; choix de composition auteur ; dimensions réelles à documenter</x:v>
      </x:c>
      <x:c r="I1962" s="115" t="str">
        <x:v>À équilibrer</x:v>
      </x:c>
      <x:c r="J1962" s="115" t="str">
        <x:v>Non</x:v>
      </x:c>
      <x:c r="K1962" s="115" t="str">
        <x:v>Pièces décrites, murs, portes, niveaux et mobilier inspectables à l’échelle. Volumes réservés, raccord au seed, butin, rencontres et services de campagne restent à terminer.</x:v>
      </x:c>
    </x:row>
    <x:row r="1963" ht="96" customHeight="1">
      <x:c r="A1963" s="115" t="str">
        <x:v>EXT-MONDE-T040-V08</x:v>
      </x:c>
      <x:c r="B1963" s="115" t="str">
        <x:v>EXT-MONDE-T040</x:v>
      </x:c>
      <x:c r="C1963" s="115" t="str">
        <x:v>Égouts</x:v>
      </x:c>
      <x:c r="D1963" s="115" t="str">
        <x:v>Station souterraine de relevage</x:v>
      </x:c>
      <x:c r="E1963" s="115" t="n">
        <x:v>8</x:v>
      </x:c>
      <x:c r="F1963" s="115" t="str">
        <x:v>Inspection physique</x:v>
      </x:c>
      <x:c r="G1963" s="115" t="str">
        <x:v>4 niveaux ; 26 pièces ; 240 segments de mur ; 6 transitions. Inspection physique ; architecture complète encore ouverte.</x:v>
      </x:c>
      <x:c r="H1963" s="115" t="str">
        <x:v>L 194 ; l 204,9 ; hauteur 3 m ; choix de composition auteur ; dimensions réelles à documenter</x:v>
      </x:c>
      <x:c r="I1963" s="115" t="str">
        <x:v>À équilibrer</x:v>
      </x:c>
      <x:c r="J1963" s="115" t="str">
        <x:v>Non</x:v>
      </x:c>
      <x:c r="K1963" s="115" t="str">
        <x:v>Pièces décrites, murs, portes, niveaux et mobilier inspectables à l’échelle. Volumes réservés, raccord au seed, butin, rencontres et services de campagne restent à terminer.</x:v>
      </x:c>
    </x:row>
    <x:row r="1964" ht="96" customHeight="1">
      <x:c r="A1964" s="115" t="str">
        <x:v>EXT-MONDE-T040-V09</x:v>
      </x:c>
      <x:c r="B1964" s="115" t="str">
        <x:v>EXT-MONDE-T040</x:v>
      </x:c>
      <x:c r="C1964" s="115" t="str">
        <x:v>Égouts</x:v>
      </x:c>
      <x:c r="D1964" s="115" t="str">
        <x:v>Station souterraine de relevage</x:v>
      </x:c>
      <x:c r="E1964" s="115" t="n">
        <x:v>9</x:v>
      </x:c>
      <x:c r="F1964" s="115" t="str">
        <x:v>Inspection physique</x:v>
      </x:c>
      <x:c r="G1964" s="115" t="str">
        <x:v>4 niveaux ; 26 pièces ; 240 segments de mur ; 6 transitions. Inspection physique ; architecture complète encore ouverte.</x:v>
      </x:c>
      <x:c r="H1964" s="115" t="str">
        <x:v>L 196 ; l 205,6 ; hauteur 3 m ; choix de composition auteur ; dimensions réelles à documenter</x:v>
      </x:c>
      <x:c r="I1964" s="115" t="str">
        <x:v>À équilibrer</x:v>
      </x:c>
      <x:c r="J1964" s="115" t="str">
        <x:v>Non</x:v>
      </x:c>
      <x:c r="K1964" s="115" t="str">
        <x:v>Pièces décrites, murs, portes, niveaux et mobilier inspectables à l’échelle. Volumes réservés, raccord au seed, butin, rencontres et services de campagne restent à terminer.</x:v>
      </x:c>
    </x:row>
    <x:row r="1965" ht="96" customHeight="1">
      <x:c r="A1965" s="115" t="str">
        <x:v>EXT-MONDE-T040-V10</x:v>
      </x:c>
      <x:c r="B1965" s="115" t="str">
        <x:v>EXT-MONDE-T040</x:v>
      </x:c>
      <x:c r="C1965" s="115" t="str">
        <x:v>Égouts</x:v>
      </x:c>
      <x:c r="D1965" s="115" t="str">
        <x:v>Station souterraine de relevage</x:v>
      </x:c>
      <x:c r="E1965" s="115" t="n">
        <x:v>10</x:v>
      </x:c>
      <x:c r="F1965" s="115" t="str">
        <x:v>Inspection physique</x:v>
      </x:c>
      <x:c r="G1965" s="115" t="str">
        <x:v>4 niveaux ; 26 pièces ; 240 segments de mur ; 6 transitions. Inspection physique ; architecture complète encore ouverte.</x:v>
      </x:c>
      <x:c r="H1965" s="115" t="str">
        <x:v>L 198 ; l 206,3 ; hauteur 3 m ; choix de composition auteur ; dimensions réelles à documenter</x:v>
      </x:c>
      <x:c r="I1965" s="115" t="str">
        <x:v>À équilibrer</x:v>
      </x:c>
      <x:c r="J1965" s="115" t="str">
        <x:v>Non</x:v>
      </x:c>
      <x:c r="K1965" s="115" t="str">
        <x:v>Pièces décrites, murs, portes, niveaux et mobilier inspectables à l’échelle. Volumes réservés, raccord au seed, butin, rencontres et services de campagne restent à terminer.</x:v>
      </x:c>
    </x:row>
    <x:row r="1966" ht="96" customHeight="1">
      <x:c r="A1966" s="115" t="str">
        <x:v>EXT-MONDE-T040-V11</x:v>
      </x:c>
      <x:c r="B1966" s="115" t="str">
        <x:v>EXT-MONDE-T040</x:v>
      </x:c>
      <x:c r="C1966" s="115" t="str">
        <x:v>Égouts</x:v>
      </x:c>
      <x:c r="D1966" s="115" t="str">
        <x:v>Station souterraine de relevage</x:v>
      </x:c>
      <x:c r="E1966" s="115" t="n">
        <x:v>11</x:v>
      </x:c>
      <x:c r="F1966" s="115" t="str">
        <x:v>Inspection physique</x:v>
      </x:c>
      <x:c r="G1966" s="115" t="str">
        <x:v>4 niveaux ; 26 pièces ; 240 segments de mur ; 6 transitions. Inspection physique ; architecture complète encore ouverte.</x:v>
      </x:c>
      <x:c r="H1966" s="115" t="str">
        <x:v>L 190 ; l 212 ; hauteur 3 m ; choix de composition auteur ; dimensions réelles à documenter</x:v>
      </x:c>
      <x:c r="I1966" s="115" t="str">
        <x:v>À équilibrer</x:v>
      </x:c>
      <x:c r="J1966" s="115" t="str">
        <x:v>Non</x:v>
      </x:c>
      <x:c r="K1966" s="115" t="str">
        <x:v>Pièces décrites, murs, portes, niveaux et mobilier inspectables à l’échelle. Volumes réservés, raccord au seed, butin, rencontres et services de campagne restent à terminer.</x:v>
      </x:c>
    </x:row>
    <x:row r="1967" ht="96" customHeight="1">
      <x:c r="A1967" s="115" t="str">
        <x:v>EXT-MONDE-T040-V12</x:v>
      </x:c>
      <x:c r="B1967" s="115" t="str">
        <x:v>EXT-MONDE-T040</x:v>
      </x:c>
      <x:c r="C1967" s="115" t="str">
        <x:v>Égouts</x:v>
      </x:c>
      <x:c r="D1967" s="115" t="str">
        <x:v>Station souterraine de relevage</x:v>
      </x:c>
      <x:c r="E1967" s="115" t="n">
        <x:v>12</x:v>
      </x:c>
      <x:c r="F1967" s="115" t="str">
        <x:v>Inspection physique</x:v>
      </x:c>
      <x:c r="G1967" s="115" t="str">
        <x:v>4 niveaux ; 26 pièces ; 240 segments de mur ; 6 transitions. Inspection physique ; architecture complète encore ouverte.</x:v>
      </x:c>
      <x:c r="H1967" s="115" t="str">
        <x:v>L 192 ; l 212,7 ; hauteur 3 m ; choix de composition auteur ; dimensions réelles à documenter</x:v>
      </x:c>
      <x:c r="I1967" s="115" t="str">
        <x:v>À équilibrer</x:v>
      </x:c>
      <x:c r="J1967" s="115" t="str">
        <x:v>Non</x:v>
      </x:c>
      <x:c r="K1967" s="115" t="str">
        <x:v>Pièces décrites, murs, portes, niveaux et mobilier inspectables à l’échelle. Volumes réservés, raccord au seed, butin, rencontres et services de campagne restent à terminer.</x:v>
      </x:c>
    </x:row>
    <x:row r="1968" ht="96" customHeight="1">
      <x:c r="A1968" s="115" t="str">
        <x:v>EXT-MONDE-T040-V13</x:v>
      </x:c>
      <x:c r="B1968" s="115" t="str">
        <x:v>EXT-MONDE-T040</x:v>
      </x:c>
      <x:c r="C1968" s="115" t="str">
        <x:v>Égouts</x:v>
      </x:c>
      <x:c r="D1968" s="115" t="str">
        <x:v>Station souterraine de relevage</x:v>
      </x:c>
      <x:c r="E1968" s="115" t="n">
        <x:v>13</x:v>
      </x:c>
      <x:c r="F1968" s="115" t="str">
        <x:v>Inspection physique</x:v>
      </x:c>
      <x:c r="G1968" s="115" t="str">
        <x:v>4 niveaux ; 26 pièces ; 240 segments de mur ; 6 transitions. Inspection physique ; architecture complète encore ouverte.</x:v>
      </x:c>
      <x:c r="H1968" s="115" t="str">
        <x:v>L 194 ; l 213,4 ; hauteur 3 m ; choix de composition auteur ; dimensions réelles à documenter</x:v>
      </x:c>
      <x:c r="I1968" s="115" t="str">
        <x:v>À équilibrer</x:v>
      </x:c>
      <x:c r="J1968" s="115" t="str">
        <x:v>Non</x:v>
      </x:c>
      <x:c r="K1968" s="115" t="str">
        <x:v>Pièces décrites, murs, portes, niveaux et mobilier inspectables à l’échelle. Volumes réservés, raccord au seed, butin, rencontres et services de campagne restent à terminer.</x:v>
      </x:c>
    </x:row>
    <x:row r="1969" ht="96" customHeight="1">
      <x:c r="A1969" s="115" t="str">
        <x:v>EXT-MONDE-T040-V14</x:v>
      </x:c>
      <x:c r="B1969" s="115" t="str">
        <x:v>EXT-MONDE-T040</x:v>
      </x:c>
      <x:c r="C1969" s="115" t="str">
        <x:v>Égouts</x:v>
      </x:c>
      <x:c r="D1969" s="115" t="str">
        <x:v>Station souterraine de relevage</x:v>
      </x:c>
      <x:c r="E1969" s="115" t="n">
        <x:v>14</x:v>
      </x:c>
      <x:c r="F1969" s="115" t="str">
        <x:v>Inspection physique</x:v>
      </x:c>
      <x:c r="G1969" s="115" t="str">
        <x:v>4 niveaux ; 26 pièces ; 240 segments de mur ; 6 transitions. Inspection physique ; architecture complète encore ouverte.</x:v>
      </x:c>
      <x:c r="H1969" s="115" t="str">
        <x:v>L 196 ; l 214,1 ; hauteur 3 m ; choix de composition auteur ; dimensions réelles à documenter</x:v>
      </x:c>
      <x:c r="I1969" s="115" t="str">
        <x:v>À équilibrer</x:v>
      </x:c>
      <x:c r="J1969" s="115" t="str">
        <x:v>Non</x:v>
      </x:c>
      <x:c r="K1969" s="115" t="str">
        <x:v>Pièces décrites, murs, portes, niveaux et mobilier inspectables à l’échelle. Volumes réservés, raccord au seed, butin, rencontres et services de campagne restent à terminer.</x:v>
      </x:c>
    </x:row>
    <x:row r="1970" ht="96" customHeight="1">
      <x:c r="A1970" s="115" t="str">
        <x:v>EXT-MONDE-T040-V15</x:v>
      </x:c>
      <x:c r="B1970" s="115" t="str">
        <x:v>EXT-MONDE-T040</x:v>
      </x:c>
      <x:c r="C1970" s="115" t="str">
        <x:v>Égouts</x:v>
      </x:c>
      <x:c r="D1970" s="115" t="str">
        <x:v>Station souterraine de relevage</x:v>
      </x:c>
      <x:c r="E1970" s="115" t="n">
        <x:v>15</x:v>
      </x:c>
      <x:c r="F1970" s="115" t="str">
        <x:v>Inspection physique</x:v>
      </x:c>
      <x:c r="G1970" s="115" t="str">
        <x:v>4 niveaux ; 26 pièces ; 240 segments de mur ; 6 transitions. Inspection physique ; architecture complète encore ouverte.</x:v>
      </x:c>
      <x:c r="H1970" s="115" t="str">
        <x:v>L 198 ; l 214,8 ; hauteur 3 m ; choix de composition auteur ; dimensions réelles à documenter</x:v>
      </x:c>
      <x:c r="I1970" s="115" t="str">
        <x:v>À équilibrer</x:v>
      </x:c>
      <x:c r="J1970" s="115" t="str">
        <x:v>Non</x:v>
      </x:c>
      <x:c r="K1970" s="115" t="str">
        <x:v>Pièces décrites, murs, portes, niveaux et mobilier inspectables à l’échelle. Volumes réservés, raccord au seed, butin, rencontres et services de campagne restent à terminer.</x:v>
      </x:c>
    </x:row>
    <x:row r="1971" ht="96" customHeight="1">
      <x:c r="A1971" s="115" t="str">
        <x:v>EXT-MONDE-T040-V16</x:v>
      </x:c>
      <x:c r="B1971" s="115" t="str">
        <x:v>EXT-MONDE-T040</x:v>
      </x:c>
      <x:c r="C1971" s="115" t="str">
        <x:v>Égouts</x:v>
      </x:c>
      <x:c r="D1971" s="115" t="str">
        <x:v>Station souterraine de relevage</x:v>
      </x:c>
      <x:c r="E1971" s="115" t="n">
        <x:v>16</x:v>
      </x:c>
      <x:c r="F1971" s="115" t="str">
        <x:v>Inspection physique</x:v>
      </x:c>
      <x:c r="G1971" s="115" t="str">
        <x:v>4 niveaux ; 26 pièces ; 240 segments de mur ; 6 transitions. Inspection physique ; architecture complète encore ouverte.</x:v>
      </x:c>
      <x:c r="H1971" s="115" t="str">
        <x:v>L 200 ; l 215,5 ; hauteur 3 m ; choix de composition auteur ; dimensions réelles à documenter</x:v>
      </x:c>
      <x:c r="I1971" s="115" t="str">
        <x:v>À équilibrer</x:v>
      </x:c>
      <x:c r="J1971" s="115" t="str">
        <x:v>Non</x:v>
      </x:c>
      <x:c r="K1971" s="115" t="str">
        <x:v>Pièces décrites, murs, portes, niveaux et mobilier inspectables à l’échelle. Volumes réservés, raccord au seed, butin, rencontres et services de campagne restent à terminer.</x:v>
      </x:c>
    </x:row>
    <x:row r="1972" ht="96" customHeight="1">
      <x:c r="A1972" s="115" t="str">
        <x:v>EXT-MONDE-T040-V17</x:v>
      </x:c>
      <x:c r="B1972" s="115" t="str">
        <x:v>EXT-MONDE-T040</x:v>
      </x:c>
      <x:c r="C1972" s="115" t="str">
        <x:v>Égouts</x:v>
      </x:c>
      <x:c r="D1972" s="115" t="str">
        <x:v>Station souterraine de relevage</x:v>
      </x:c>
      <x:c r="E1972" s="115" t="n">
        <x:v>17</x:v>
      </x:c>
      <x:c r="F1972" s="115" t="str">
        <x:v>Inspection physique</x:v>
      </x:c>
      <x:c r="G1972" s="115" t="str">
        <x:v>4 niveaux ; 26 pièces ; 240 segments de mur ; 6 transitions. Inspection physique ; architecture complète encore ouverte.</x:v>
      </x:c>
      <x:c r="H1972" s="115" t="str">
        <x:v>L 202 ; l 216,2 ; hauteur 3 m ; choix de composition auteur ; dimensions réelles à documenter</x:v>
      </x:c>
      <x:c r="I1972" s="115" t="str">
        <x:v>À équilibrer</x:v>
      </x:c>
      <x:c r="J1972" s="115" t="str">
        <x:v>Non</x:v>
      </x:c>
      <x:c r="K1972" s="115" t="str">
        <x:v>Pièces décrites, murs, portes, niveaux et mobilier inspectables à l’échelle. Volumes réservés, raccord au seed, butin, rencontres et services de campagne restent à terminer.</x:v>
      </x:c>
    </x:row>
    <x:row r="1973" ht="96" customHeight="1">
      <x:c r="A1973" s="115" t="str">
        <x:v>EXT-MONDE-T040-V18</x:v>
      </x:c>
      <x:c r="B1973" s="115" t="str">
        <x:v>EXT-MONDE-T040</x:v>
      </x:c>
      <x:c r="C1973" s="115" t="str">
        <x:v>Égouts</x:v>
      </x:c>
      <x:c r="D1973" s="115" t="str">
        <x:v>Station souterraine de relevage</x:v>
      </x:c>
      <x:c r="E1973" s="115" t="n">
        <x:v>18</x:v>
      </x:c>
      <x:c r="F1973" s="115" t="str">
        <x:v>Inspection physique</x:v>
      </x:c>
      <x:c r="G1973" s="115" t="str">
        <x:v>4 niveaux ; 26 pièces ; 240 segments de mur ; 6 transitions. Inspection physique ; architecture complète encore ouverte.</x:v>
      </x:c>
      <x:c r="H1973" s="115" t="str">
        <x:v>L 204 ; l 216,9 ; hauteur 3 m ; choix de composition auteur ; dimensions réelles à documenter</x:v>
      </x:c>
      <x:c r="I1973" s="115" t="str">
        <x:v>À équilibrer</x:v>
      </x:c>
      <x:c r="J1973" s="115" t="str">
        <x:v>Non</x:v>
      </x:c>
      <x:c r="K1973" s="115" t="str">
        <x:v>Pièces décrites, murs, portes, niveaux et mobilier inspectables à l’échelle. Volumes réservés, raccord au seed, butin, rencontres et services de campagne restent à terminer.</x:v>
      </x:c>
    </x:row>
    <x:row r="1974" ht="96" customHeight="1">
      <x:c r="A1974" s="115" t="str">
        <x:v>EXT-MONDE-T040-V19</x:v>
      </x:c>
      <x:c r="B1974" s="115" t="str">
        <x:v>EXT-MONDE-T040</x:v>
      </x:c>
      <x:c r="C1974" s="115" t="str">
        <x:v>Égouts</x:v>
      </x:c>
      <x:c r="D1974" s="115" t="str">
        <x:v>Station souterraine de relevage</x:v>
      </x:c>
      <x:c r="E1974" s="115" t="n">
        <x:v>19</x:v>
      </x:c>
      <x:c r="F1974" s="115" t="str">
        <x:v>Inspection physique</x:v>
      </x:c>
      <x:c r="G1974" s="115" t="str">
        <x:v>4 niveaux ; 26 pièces ; 240 segments de mur ; 6 transitions. Inspection physique ; architecture complète encore ouverte.</x:v>
      </x:c>
      <x:c r="H1974" s="115" t="str">
        <x:v>L 206 ; l 217,6 ; hauteur 3 m ; choix de composition auteur ; dimensions réelles à documenter</x:v>
      </x:c>
      <x:c r="I1974" s="115" t="str">
        <x:v>À équilibrer</x:v>
      </x:c>
      <x:c r="J1974" s="115" t="str">
        <x:v>Non</x:v>
      </x:c>
      <x:c r="K1974" s="115" t="str">
        <x:v>Pièces décrites, murs, portes, niveaux et mobilier inspectables à l’échelle. Volumes réservés, raccord au seed, butin, rencontres et services de campagne restent à terminer.</x:v>
      </x:c>
    </x:row>
    <x:row r="1975" ht="96" customHeight="1">
      <x:c r="A1975" s="115" t="str">
        <x:v>EXT-MONDE-T040-V20</x:v>
      </x:c>
      <x:c r="B1975" s="115" t="str">
        <x:v>EXT-MONDE-T040</x:v>
      </x:c>
      <x:c r="C1975" s="115" t="str">
        <x:v>Égouts</x:v>
      </x:c>
      <x:c r="D1975" s="115" t="str">
        <x:v>Station souterraine de relevage</x:v>
      </x:c>
      <x:c r="E1975" s="115" t="n">
        <x:v>20</x:v>
      </x:c>
      <x:c r="F1975" s="115" t="str">
        <x:v>Inspection physique</x:v>
      </x:c>
      <x:c r="G1975" s="115" t="str">
        <x:v>4 niveaux ; 26 pièces ; 240 segments de mur ; 6 transitions. Inspection physique ; architecture complète encore ouverte.</x:v>
      </x:c>
      <x:c r="H1975" s="115" t="str">
        <x:v>L 208 ; l 218,3 ; hauteur 3 m ; choix de composition auteur ; dimensions réelles à documenter</x:v>
      </x:c>
      <x:c r="I1975" s="115" t="str">
        <x:v>À équilibrer</x:v>
      </x:c>
      <x:c r="J1975" s="115" t="str">
        <x:v>Non</x:v>
      </x:c>
      <x:c r="K1975" s="115" t="str">
        <x:v>Pièces décrites, murs, portes, niveaux et mobilier inspectables à l’échelle. Volumes réservés, raccord au seed, butin, rencontres et services de campagne restent à terminer.</x:v>
      </x:c>
    </x:row>
    <x:row r="1976" ht="96" customHeight="1">
      <x:c r="A1976" s="115" t="str">
        <x:v>EXT-MONDE-T040-V21</x:v>
      </x:c>
      <x:c r="B1976" s="115" t="str">
        <x:v>EXT-MONDE-T040</x:v>
      </x:c>
      <x:c r="C1976" s="115" t="str">
        <x:v>Égouts</x:v>
      </x:c>
      <x:c r="D1976" s="115" t="str">
        <x:v>Station souterraine de relevage</x:v>
      </x:c>
      <x:c r="E1976" s="115" t="n">
        <x:v>21</x:v>
      </x:c>
      <x:c r="F1976" s="115" t="str">
        <x:v>Inspection physique</x:v>
      </x:c>
      <x:c r="G1976" s="115" t="str">
        <x:v>4 niveaux ; 26 pièces ; 240 segments de mur ; 6 transitions. Inspection physique ; architecture complète encore ouverte.</x:v>
      </x:c>
      <x:c r="H1976" s="115" t="str">
        <x:v>L 200 ; l 224 ; hauteur 3 m ; choix de composition auteur ; dimensions réelles à documenter</x:v>
      </x:c>
      <x:c r="I1976" s="115" t="str">
        <x:v>À équilibrer</x:v>
      </x:c>
      <x:c r="J1976" s="115" t="str">
        <x:v>Non</x:v>
      </x:c>
      <x:c r="K1976" s="115" t="str">
        <x:v>Pièces décrites, murs, portes, niveaux et mobilier inspectables à l’échelle. Volumes réservés, raccord au seed, butin, rencontres et services de campagne restent à terminer.</x:v>
      </x:c>
    </x:row>
    <x:row r="1977" ht="96" customHeight="1">
      <x:c r="A1977" s="115" t="str">
        <x:v>EXT-MONDE-T040-V22</x:v>
      </x:c>
      <x:c r="B1977" s="115" t="str">
        <x:v>EXT-MONDE-T040</x:v>
      </x:c>
      <x:c r="C1977" s="115" t="str">
        <x:v>Égouts</x:v>
      </x:c>
      <x:c r="D1977" s="115" t="str">
        <x:v>Station souterraine de relevage</x:v>
      </x:c>
      <x:c r="E1977" s="115" t="n">
        <x:v>22</x:v>
      </x:c>
      <x:c r="F1977" s="115" t="str">
        <x:v>Inspection physique</x:v>
      </x:c>
      <x:c r="G1977" s="115" t="str">
        <x:v>4 niveaux ; 26 pièces ; 240 segments de mur ; 6 transitions. Inspection physique ; architecture complète encore ouverte.</x:v>
      </x:c>
      <x:c r="H1977" s="115" t="str">
        <x:v>L 202 ; l 224,7 ; hauteur 3 m ; choix de composition auteur ; dimensions réelles à documenter</x:v>
      </x:c>
      <x:c r="I1977" s="115" t="str">
        <x:v>À équilibrer</x:v>
      </x:c>
      <x:c r="J1977" s="115" t="str">
        <x:v>Non</x:v>
      </x:c>
      <x:c r="K1977" s="115" t="str">
        <x:v>Pièces décrites, murs, portes, niveaux et mobilier inspectables à l’échelle. Volumes réservés, raccord au seed, butin, rencontres et services de campagne restent à terminer.</x:v>
      </x:c>
    </x:row>
    <x:row r="1978" ht="96" customHeight="1">
      <x:c r="A1978" s="115" t="str">
        <x:v>EXT-MONDE-T040-V23</x:v>
      </x:c>
      <x:c r="B1978" s="115" t="str">
        <x:v>EXT-MONDE-T040</x:v>
      </x:c>
      <x:c r="C1978" s="115" t="str">
        <x:v>Égouts</x:v>
      </x:c>
      <x:c r="D1978" s="115" t="str">
        <x:v>Station souterraine de relevage</x:v>
      </x:c>
      <x:c r="E1978" s="115" t="n">
        <x:v>23</x:v>
      </x:c>
      <x:c r="F1978" s="115" t="str">
        <x:v>Inspection physique</x:v>
      </x:c>
      <x:c r="G1978" s="115" t="str">
        <x:v>4 niveaux ; 26 pièces ; 240 segments de mur ; 6 transitions. Inspection physique ; architecture complète encore ouverte.</x:v>
      </x:c>
      <x:c r="H1978" s="115" t="str">
        <x:v>L 204 ; l 225,4 ; hauteur 3 m ; choix de composition auteur ; dimensions réelles à documenter</x:v>
      </x:c>
      <x:c r="I1978" s="115" t="str">
        <x:v>À équilibrer</x:v>
      </x:c>
      <x:c r="J1978" s="115" t="str">
        <x:v>Non</x:v>
      </x:c>
      <x:c r="K1978" s="115" t="str">
        <x:v>Pièces décrites, murs, portes, niveaux et mobilier inspectables à l’échelle. Volumes réservés, raccord au seed, butin, rencontres et services de campagne restent à terminer.</x:v>
      </x:c>
    </x:row>
    <x:row r="1979" ht="96" customHeight="1">
      <x:c r="A1979" s="115" t="str">
        <x:v>EXT-MONDE-T040-V24</x:v>
      </x:c>
      <x:c r="B1979" s="115" t="str">
        <x:v>EXT-MONDE-T040</x:v>
      </x:c>
      <x:c r="C1979" s="115" t="str">
        <x:v>Égouts</x:v>
      </x:c>
      <x:c r="D1979" s="115" t="str">
        <x:v>Station souterraine de relevage</x:v>
      </x:c>
      <x:c r="E1979" s="115" t="n">
        <x:v>24</x:v>
      </x:c>
      <x:c r="F1979" s="115" t="str">
        <x:v>Inspection physique</x:v>
      </x:c>
      <x:c r="G1979" s="115" t="str">
        <x:v>4 niveaux ; 26 pièces ; 240 segments de mur ; 6 transitions. Inspection physique ; architecture complète encore ouverte.</x:v>
      </x:c>
      <x:c r="H1979" s="115" t="str">
        <x:v>L 206 ; l 226,1 ; hauteur 3 m ; choix de composition auteur ; dimensions réelles à documenter</x:v>
      </x:c>
      <x:c r="I1979" s="115" t="str">
        <x:v>À équilibrer</x:v>
      </x:c>
      <x:c r="J1979" s="115" t="str">
        <x:v>Non</x:v>
      </x:c>
      <x:c r="K1979" s="115" t="str">
        <x:v>Pièces décrites, murs, portes, niveaux et mobilier inspectables à l’échelle. Volumes réservés, raccord au seed, butin, rencontres et services de campagne restent à terminer.</x:v>
      </x:c>
    </x:row>
    <x:row r="1980" ht="96" customHeight="1">
      <x:c r="A1980" s="115" t="str">
        <x:v>EXT-MONDE-T040-V25</x:v>
      </x:c>
      <x:c r="B1980" s="115" t="str">
        <x:v>EXT-MONDE-T040</x:v>
      </x:c>
      <x:c r="C1980" s="115" t="str">
        <x:v>Égouts</x:v>
      </x:c>
      <x:c r="D1980" s="115" t="str">
        <x:v>Station souterraine de relevage</x:v>
      </x:c>
      <x:c r="E1980" s="115" t="n">
        <x:v>25</x:v>
      </x:c>
      <x:c r="F1980" s="115" t="str">
        <x:v>Inspection physique</x:v>
      </x:c>
      <x:c r="G1980" s="115" t="str">
        <x:v>4 niveaux ; 26 pièces ; 240 segments de mur ; 6 transitions. Inspection physique ; architecture complète encore ouverte.</x:v>
      </x:c>
      <x:c r="H1980" s="115" t="str">
        <x:v>L 208 ; l 226,8 ; hauteur 3 m ; choix de composition auteur ; dimensions réelles à documenter</x:v>
      </x:c>
      <x:c r="I1980" s="115" t="str">
        <x:v>À équilibrer</x:v>
      </x:c>
      <x:c r="J1980" s="115" t="str">
        <x:v>Non</x:v>
      </x:c>
      <x:c r="K1980" s="115" t="str">
        <x:v>Pièces décrites, murs, portes, niveaux et mobilier inspectables à l’échelle. Volumes réservés, raccord au seed, butin, rencontres et services de campagne restent à terminer.</x:v>
      </x:c>
    </x:row>
    <x:row r="1981" ht="96" customHeight="1">
      <x:c r="A1981" s="115" t="str">
        <x:v>EXT-MONDE-T040-V26</x:v>
      </x:c>
      <x:c r="B1981" s="115" t="str">
        <x:v>EXT-MONDE-T040</x:v>
      </x:c>
      <x:c r="C1981" s="115" t="str">
        <x:v>Égouts</x:v>
      </x:c>
      <x:c r="D1981" s="115" t="str">
        <x:v>Station souterraine de relevage</x:v>
      </x:c>
      <x:c r="E1981" s="115" t="n">
        <x:v>26</x:v>
      </x:c>
      <x:c r="F1981" s="115" t="str">
        <x:v>Inspection physique</x:v>
      </x:c>
      <x:c r="G1981" s="115" t="str">
        <x:v>4 niveaux ; 26 pièces ; 240 segments de mur ; 6 transitions. Inspection physique ; architecture complète encore ouverte.</x:v>
      </x:c>
      <x:c r="H1981" s="115" t="str">
        <x:v>L 210 ; l 227,5 ; hauteur 3 m ; choix de composition auteur ; dimensions réelles à documenter</x:v>
      </x:c>
      <x:c r="I1981" s="115" t="str">
        <x:v>À équilibrer</x:v>
      </x:c>
      <x:c r="J1981" s="115" t="str">
        <x:v>Non</x:v>
      </x:c>
      <x:c r="K1981" s="115" t="str">
        <x:v>Pièces décrites, murs, portes, niveaux et mobilier inspectables à l’échelle. Volumes réservés, raccord au seed, butin, rencontres et services de campagne restent à terminer.</x:v>
      </x:c>
    </x:row>
    <x:row r="1982" ht="96" customHeight="1">
      <x:c r="A1982" s="115" t="str">
        <x:v>EXT-MONDE-T040-V27</x:v>
      </x:c>
      <x:c r="B1982" s="115" t="str">
        <x:v>EXT-MONDE-T040</x:v>
      </x:c>
      <x:c r="C1982" s="115" t="str">
        <x:v>Égouts</x:v>
      </x:c>
      <x:c r="D1982" s="115" t="str">
        <x:v>Station souterraine de relevage</x:v>
      </x:c>
      <x:c r="E1982" s="115" t="n">
        <x:v>27</x:v>
      </x:c>
      <x:c r="F1982" s="115" t="str">
        <x:v>Inspection physique</x:v>
      </x:c>
      <x:c r="G1982" s="115" t="str">
        <x:v>4 niveaux ; 26 pièces ; 240 segments de mur ; 6 transitions. Inspection physique ; architecture complète encore ouverte.</x:v>
      </x:c>
      <x:c r="H1982" s="115" t="str">
        <x:v>L 212 ; l 228,2 ; hauteur 3 m ; choix de composition auteur ; dimensions réelles à documenter</x:v>
      </x:c>
      <x:c r="I1982" s="115" t="str">
        <x:v>À équilibrer</x:v>
      </x:c>
      <x:c r="J1982" s="115" t="str">
        <x:v>Non</x:v>
      </x:c>
      <x:c r="K1982" s="115" t="str">
        <x:v>Pièces décrites, murs, portes, niveaux et mobilier inspectables à l’échelle. Volumes réservés, raccord au seed, butin, rencontres et services de campagne restent à terminer.</x:v>
      </x:c>
    </x:row>
    <x:row r="1983" ht="96" customHeight="1">
      <x:c r="A1983" s="115" t="str">
        <x:v>EXT-MONDE-T040-V28</x:v>
      </x:c>
      <x:c r="B1983" s="115" t="str">
        <x:v>EXT-MONDE-T040</x:v>
      </x:c>
      <x:c r="C1983" s="115" t="str">
        <x:v>Égouts</x:v>
      </x:c>
      <x:c r="D1983" s="115" t="str">
        <x:v>Station souterraine de relevage</x:v>
      </x:c>
      <x:c r="E1983" s="115" t="n">
        <x:v>28</x:v>
      </x:c>
      <x:c r="F1983" s="115" t="str">
        <x:v>Inspection physique</x:v>
      </x:c>
      <x:c r="G1983" s="115" t="str">
        <x:v>4 niveaux ; 26 pièces ; 240 segments de mur ; 6 transitions. Inspection physique ; architecture complète encore ouverte.</x:v>
      </x:c>
      <x:c r="H1983" s="115" t="str">
        <x:v>L 214 ; l 228,9 ; hauteur 3 m ; choix de composition auteur ; dimensions réelles à documenter</x:v>
      </x:c>
      <x:c r="I1983" s="115" t="str">
        <x:v>À équilibrer</x:v>
      </x:c>
      <x:c r="J1983" s="115" t="str">
        <x:v>Non</x:v>
      </x:c>
      <x:c r="K1983" s="115" t="str">
        <x:v>Pièces décrites, murs, portes, niveaux et mobilier inspectables à l’échelle. Volumes réservés, raccord au seed, butin, rencontres et services de campagne restent à terminer.</x:v>
      </x:c>
    </x:row>
    <x:row r="1984" ht="96" customHeight="1">
      <x:c r="A1984" s="115" t="str">
        <x:v>EXT-MONDE-T040-V29</x:v>
      </x:c>
      <x:c r="B1984" s="115" t="str">
        <x:v>EXT-MONDE-T040</x:v>
      </x:c>
      <x:c r="C1984" s="115" t="str">
        <x:v>Égouts</x:v>
      </x:c>
      <x:c r="D1984" s="115" t="str">
        <x:v>Station souterraine de relevage</x:v>
      </x:c>
      <x:c r="E1984" s="115" t="n">
        <x:v>29</x:v>
      </x:c>
      <x:c r="F1984" s="115" t="str">
        <x:v>Inspection physique</x:v>
      </x:c>
      <x:c r="G1984" s="115" t="str">
        <x:v>4 niveaux ; 26 pièces ; 240 segments de mur ; 6 transitions. Inspection physique ; architecture complète encore ouverte.</x:v>
      </x:c>
      <x:c r="H1984" s="115" t="str">
        <x:v>L 216 ; l 229,6 ; hauteur 3 m ; choix de composition auteur ; dimensions réelles à documenter</x:v>
      </x:c>
      <x:c r="I1984" s="115" t="str">
        <x:v>À équilibrer</x:v>
      </x:c>
      <x:c r="J1984" s="115" t="str">
        <x:v>Non</x:v>
      </x:c>
      <x:c r="K1984" s="115" t="str">
        <x:v>Pièces décrites, murs, portes, niveaux et mobilier inspectables à l’échelle. Volumes réservés, raccord au seed, butin, rencontres et services de campagne restent à terminer.</x:v>
      </x:c>
    </x:row>
    <x:row r="1985" ht="96" customHeight="1">
      <x:c r="A1985" s="115" t="str">
        <x:v>EXT-MONDE-T040-V30</x:v>
      </x:c>
      <x:c r="B1985" s="115" t="str">
        <x:v>EXT-MONDE-T040</x:v>
      </x:c>
      <x:c r="C1985" s="115" t="str">
        <x:v>Égouts</x:v>
      </x:c>
      <x:c r="D1985" s="115" t="str">
        <x:v>Station souterraine de relevage</x:v>
      </x:c>
      <x:c r="E1985" s="115" t="n">
        <x:v>30</x:v>
      </x:c>
      <x:c r="F1985" s="115" t="str">
        <x:v>Inspection physique</x:v>
      </x:c>
      <x:c r="G1985" s="115" t="str">
        <x:v>4 niveaux ; 26 pièces ; 240 segments de mur ; 6 transitions. Inspection physique ; architecture complète encore ouverte.</x:v>
      </x:c>
      <x:c r="H1985" s="115" t="str">
        <x:v>L 218 ; l 230,3 ; hauteur 3 m ; choix de composition auteur ; dimensions réelles à documenter</x:v>
      </x:c>
      <x:c r="I1985" s="115" t="str">
        <x:v>À équilibrer</x:v>
      </x:c>
      <x:c r="J1985" s="115" t="str">
        <x:v>Non</x:v>
      </x:c>
      <x:c r="K1985" s="115" t="str">
        <x:v>Pièces décrites, murs, portes, niveaux et mobilier inspectables à l’échelle. Volumes réservés, raccord au seed, butin, rencontres et services de campagne restent à terminer.</x:v>
      </x:c>
    </x:row>
    <x:row r="1986" ht="96" customHeight="1">
      <x:c r="A1986" s="115" t="str">
        <x:v>EXT-MONDE-T040-V31</x:v>
      </x:c>
      <x:c r="B1986" s="115" t="str">
        <x:v>EXT-MONDE-T040</x:v>
      </x:c>
      <x:c r="C1986" s="115" t="str">
        <x:v>Égouts</x:v>
      </x:c>
      <x:c r="D1986" s="115" t="str">
        <x:v>Station souterraine de relevage</x:v>
      </x:c>
      <x:c r="E1986" s="115" t="n">
        <x:v>31</x:v>
      </x:c>
      <x:c r="F1986" s="115" t="str">
        <x:v>Inspection physique</x:v>
      </x:c>
      <x:c r="G1986" s="115" t="str">
        <x:v>4 niveaux ; 26 pièces ; 240 segments de mur ; 6 transitions. Inspection physique ; architecture complète encore ouverte.</x:v>
      </x:c>
      <x:c r="H1986" s="115" t="str">
        <x:v>L 210 ; l 236 ; hauteur 3 m ; choix de composition auteur ; dimensions réelles à documenter</x:v>
      </x:c>
      <x:c r="I1986" s="115" t="str">
        <x:v>À équilibrer</x:v>
      </x:c>
      <x:c r="J1986" s="115" t="str">
        <x:v>Non</x:v>
      </x:c>
      <x:c r="K1986" s="115" t="str">
        <x:v>Pièces décrites, murs, portes, niveaux et mobilier inspectables à l’échelle. Volumes réservés, raccord au seed, butin, rencontres et services de campagne restent à terminer.</x:v>
      </x:c>
    </x:row>
    <x:row r="1987" ht="96" customHeight="1">
      <x:c r="A1987" s="115" t="str">
        <x:v>EXT-MONDE-T040-V32</x:v>
      </x:c>
      <x:c r="B1987" s="115" t="str">
        <x:v>EXT-MONDE-T040</x:v>
      </x:c>
      <x:c r="C1987" s="115" t="str">
        <x:v>Égouts</x:v>
      </x:c>
      <x:c r="D1987" s="115" t="str">
        <x:v>Station souterraine de relevage</x:v>
      </x:c>
      <x:c r="E1987" s="115" t="n">
        <x:v>32</x:v>
      </x:c>
      <x:c r="F1987" s="115" t="str">
        <x:v>Inspection physique</x:v>
      </x:c>
      <x:c r="G1987" s="115" t="str">
        <x:v>4 niveaux ; 26 pièces ; 240 segments de mur ; 6 transitions. Inspection physique ; architecture complète encore ouverte.</x:v>
      </x:c>
      <x:c r="H1987" s="115" t="str">
        <x:v>L 212 ; l 236,7 ; hauteur 3 m ; choix de composition auteur ; dimensions réelles à documenter</x:v>
      </x:c>
      <x:c r="I1987" s="115" t="str">
        <x:v>À équilibrer</x:v>
      </x:c>
      <x:c r="J1987" s="115" t="str">
        <x:v>Non</x:v>
      </x:c>
      <x:c r="K1987" s="115" t="str">
        <x:v>Pièces décrites, murs, portes, niveaux et mobilier inspectables à l’échelle. Volumes réservés, raccord au seed, butin, rencontres et services de campagne restent à terminer.</x:v>
      </x:c>
    </x:row>
    <x:row r="1988" ht="96" customHeight="1">
      <x:c r="A1988" s="115" t="str">
        <x:v>EXT-MONDE-T040-V33</x:v>
      </x:c>
      <x:c r="B1988" s="115" t="str">
        <x:v>EXT-MONDE-T040</x:v>
      </x:c>
      <x:c r="C1988" s="115" t="str">
        <x:v>Égouts</x:v>
      </x:c>
      <x:c r="D1988" s="115" t="str">
        <x:v>Station souterraine de relevage</x:v>
      </x:c>
      <x:c r="E1988" s="115" t="n">
        <x:v>33</x:v>
      </x:c>
      <x:c r="F1988" s="115" t="str">
        <x:v>Inspection physique</x:v>
      </x:c>
      <x:c r="G1988" s="115" t="str">
        <x:v>4 niveaux ; 26 pièces ; 240 segments de mur ; 6 transitions. Inspection physique ; architecture complète encore ouverte.</x:v>
      </x:c>
      <x:c r="H1988" s="115" t="str">
        <x:v>L 214 ; l 237,4 ; hauteur 3 m ; choix de composition auteur ; dimensions réelles à documenter</x:v>
      </x:c>
      <x:c r="I1988" s="115" t="str">
        <x:v>À équilibrer</x:v>
      </x:c>
      <x:c r="J1988" s="115" t="str">
        <x:v>Non</x:v>
      </x:c>
      <x:c r="K1988" s="115" t="str">
        <x:v>Pièces décrites, murs, portes, niveaux et mobilier inspectables à l’échelle. Volumes réservés, raccord au seed, butin, rencontres et services de campagne restent à terminer.</x:v>
      </x:c>
    </x:row>
    <x:row r="1989" ht="96" customHeight="1">
      <x:c r="A1989" s="115" t="str">
        <x:v>EXT-MONDE-T040-V34</x:v>
      </x:c>
      <x:c r="B1989" s="115" t="str">
        <x:v>EXT-MONDE-T040</x:v>
      </x:c>
      <x:c r="C1989" s="115" t="str">
        <x:v>Égouts</x:v>
      </x:c>
      <x:c r="D1989" s="115" t="str">
        <x:v>Station souterraine de relevage</x:v>
      </x:c>
      <x:c r="E1989" s="115" t="n">
        <x:v>34</x:v>
      </x:c>
      <x:c r="F1989" s="115" t="str">
        <x:v>Inspection physique</x:v>
      </x:c>
      <x:c r="G1989" s="115" t="str">
        <x:v>4 niveaux ; 26 pièces ; 240 segments de mur ; 6 transitions. Inspection physique ; architecture complète encore ouverte.</x:v>
      </x:c>
      <x:c r="H1989" s="115" t="str">
        <x:v>L 216 ; l 238,1 ; hauteur 3 m ; choix de composition auteur ; dimensions réelles à documenter</x:v>
      </x:c>
      <x:c r="I1989" s="115" t="str">
        <x:v>À équilibrer</x:v>
      </x:c>
      <x:c r="J1989" s="115" t="str">
        <x:v>Non</x:v>
      </x:c>
      <x:c r="K1989" s="115" t="str">
        <x:v>Pièces décrites, murs, portes, niveaux et mobilier inspectables à l’échelle. Volumes réservés, raccord au seed, butin, rencontres et services de campagne restent à terminer.</x:v>
      </x:c>
    </x:row>
    <x:row r="1990" ht="96" customHeight="1">
      <x:c r="A1990" s="115" t="str">
        <x:v>EXT-MONDE-T040-V35</x:v>
      </x:c>
      <x:c r="B1990" s="115" t="str">
        <x:v>EXT-MONDE-T040</x:v>
      </x:c>
      <x:c r="C1990" s="115" t="str">
        <x:v>Égouts</x:v>
      </x:c>
      <x:c r="D1990" s="115" t="str">
        <x:v>Station souterraine de relevage</x:v>
      </x:c>
      <x:c r="E1990" s="115" t="n">
        <x:v>35</x:v>
      </x:c>
      <x:c r="F1990" s="115" t="str">
        <x:v>Inspection physique</x:v>
      </x:c>
      <x:c r="G1990" s="115" t="str">
        <x:v>4 niveaux ; 26 pièces ; 240 segments de mur ; 6 transitions. Inspection physique ; architecture complète encore ouverte.</x:v>
      </x:c>
      <x:c r="H1990" s="115" t="str">
        <x:v>L 218 ; l 238,8 ; hauteur 3 m ; choix de composition auteur ; dimensions réelles à documenter</x:v>
      </x:c>
      <x:c r="I1990" s="115" t="str">
        <x:v>À équilibrer</x:v>
      </x:c>
      <x:c r="J1990" s="115" t="str">
        <x:v>Non</x:v>
      </x:c>
      <x:c r="K1990" s="115" t="str">
        <x:v>Pièces décrites, murs, portes, niveaux et mobilier inspectables à l’échelle. Volumes réservés, raccord au seed, butin, rencontres et services de campagne restent à terminer.</x:v>
      </x:c>
    </x:row>
    <x:row r="1991" ht="96" customHeight="1">
      <x:c r="A1991" s="115" t="str">
        <x:v>EXT-MONDE-T040-V36</x:v>
      </x:c>
      <x:c r="B1991" s="115" t="str">
        <x:v>EXT-MONDE-T040</x:v>
      </x:c>
      <x:c r="C1991" s="115" t="str">
        <x:v>Égouts</x:v>
      </x:c>
      <x:c r="D1991" s="115" t="str">
        <x:v>Station souterraine de relevage</x:v>
      </x:c>
      <x:c r="E1991" s="115" t="n">
        <x:v>36</x:v>
      </x:c>
      <x:c r="F1991" s="115" t="str">
        <x:v>Inspection physique</x:v>
      </x:c>
      <x:c r="G1991" s="115" t="str">
        <x:v>4 niveaux ; 26 pièces ; 240 segments de mur ; 6 transitions. Inspection physique ; architecture complète encore ouverte.</x:v>
      </x:c>
      <x:c r="H1991" s="115" t="str">
        <x:v>L 220 ; l 239,5 ; hauteur 3 m ; choix de composition auteur ; dimensions réelles à documenter</x:v>
      </x:c>
      <x:c r="I1991" s="115" t="str">
        <x:v>À équilibrer</x:v>
      </x:c>
      <x:c r="J1991" s="115" t="str">
        <x:v>Non</x:v>
      </x:c>
      <x:c r="K1991" s="115" t="str">
        <x:v>Pièces décrites, murs, portes, niveaux et mobilier inspectables à l’échelle. Volumes réservés, raccord au seed, butin, rencontres et services de campagne restent à terminer.</x:v>
      </x:c>
    </x:row>
    <x:row r="1992" ht="96" customHeight="1">
      <x:c r="A1992" s="115" t="str">
        <x:v>EXT-MONDE-T040-V37</x:v>
      </x:c>
      <x:c r="B1992" s="115" t="str">
        <x:v>EXT-MONDE-T040</x:v>
      </x:c>
      <x:c r="C1992" s="115" t="str">
        <x:v>Égouts</x:v>
      </x:c>
      <x:c r="D1992" s="115" t="str">
        <x:v>Station souterraine de relevage</x:v>
      </x:c>
      <x:c r="E1992" s="115" t="n">
        <x:v>37</x:v>
      </x:c>
      <x:c r="F1992" s="115" t="str">
        <x:v>Inspection physique</x:v>
      </x:c>
      <x:c r="G1992" s="115" t="str">
        <x:v>4 niveaux ; 26 pièces ; 240 segments de mur ; 6 transitions. Inspection physique ; architecture complète encore ouverte.</x:v>
      </x:c>
      <x:c r="H1992" s="115" t="str">
        <x:v>L 222 ; l 240,2 ; hauteur 3 m ; choix de composition auteur ; dimensions réelles à documenter</x:v>
      </x:c>
      <x:c r="I1992" s="115" t="str">
        <x:v>À équilibrer</x:v>
      </x:c>
      <x:c r="J1992" s="115" t="str">
        <x:v>Non</x:v>
      </x:c>
      <x:c r="K1992" s="115" t="str">
        <x:v>Pièces décrites, murs, portes, niveaux et mobilier inspectables à l’échelle. Volumes réservés, raccord au seed, butin, rencontres et services de campagne restent à terminer.</x:v>
      </x:c>
    </x:row>
    <x:row r="1993" ht="96" customHeight="1">
      <x:c r="A1993" s="115" t="str">
        <x:v>EXT-MONDE-T040-V38</x:v>
      </x:c>
      <x:c r="B1993" s="115" t="str">
        <x:v>EXT-MONDE-T040</x:v>
      </x:c>
      <x:c r="C1993" s="115" t="str">
        <x:v>Égouts</x:v>
      </x:c>
      <x:c r="D1993" s="115" t="str">
        <x:v>Station souterraine de relevage</x:v>
      </x:c>
      <x:c r="E1993" s="115" t="n">
        <x:v>38</x:v>
      </x:c>
      <x:c r="F1993" s="115" t="str">
        <x:v>Inspection physique</x:v>
      </x:c>
      <x:c r="G1993" s="115" t="str">
        <x:v>4 niveaux ; 26 pièces ; 240 segments de mur ; 6 transitions. Inspection physique ; architecture complète encore ouverte.</x:v>
      </x:c>
      <x:c r="H1993" s="115" t="str">
        <x:v>L 224 ; l 240,9 ; hauteur 3 m ; choix de composition auteur ; dimensions réelles à documenter</x:v>
      </x:c>
      <x:c r="I1993" s="115" t="str">
        <x:v>À équilibrer</x:v>
      </x:c>
      <x:c r="J1993" s="115" t="str">
        <x:v>Non</x:v>
      </x:c>
      <x:c r="K1993" s="115" t="str">
        <x:v>Pièces décrites, murs, portes, niveaux et mobilier inspectables à l’échelle. Volumes réservés, raccord au seed, butin, rencontres et services de campagne restent à terminer.</x:v>
      </x:c>
    </x:row>
    <x:row r="1994" ht="96" customHeight="1">
      <x:c r="A1994" s="115" t="str">
        <x:v>EXT-MONDE-T040-V39</x:v>
      </x:c>
      <x:c r="B1994" s="115" t="str">
        <x:v>EXT-MONDE-T040</x:v>
      </x:c>
      <x:c r="C1994" s="115" t="str">
        <x:v>Égouts</x:v>
      </x:c>
      <x:c r="D1994" s="115" t="str">
        <x:v>Station souterraine de relevage</x:v>
      </x:c>
      <x:c r="E1994" s="115" t="n">
        <x:v>39</x:v>
      </x:c>
      <x:c r="F1994" s="115" t="str">
        <x:v>Inspection physique</x:v>
      </x:c>
      <x:c r="G1994" s="115" t="str">
        <x:v>4 niveaux ; 26 pièces ; 240 segments de mur ; 6 transitions. Inspection physique ; architecture complète encore ouverte.</x:v>
      </x:c>
      <x:c r="H1994" s="115" t="str">
        <x:v>L 226 ; l 241,6 ; hauteur 3 m ; choix de composition auteur ; dimensions réelles à documenter</x:v>
      </x:c>
      <x:c r="I1994" s="115" t="str">
        <x:v>À équilibrer</x:v>
      </x:c>
      <x:c r="J1994" s="115" t="str">
        <x:v>Non</x:v>
      </x:c>
      <x:c r="K1994" s="115" t="str">
        <x:v>Pièces décrites, murs, portes, niveaux et mobilier inspectables à l’échelle. Volumes réservés, raccord au seed, butin, rencontres et services de campagne restent à terminer.</x:v>
      </x:c>
    </x:row>
    <x:row r="1995" ht="96" customHeight="1">
      <x:c r="A1995" s="115" t="str">
        <x:v>EXT-MONDE-T040-V40</x:v>
      </x:c>
      <x:c r="B1995" s="115" t="str">
        <x:v>EXT-MONDE-T040</x:v>
      </x:c>
      <x:c r="C1995" s="115" t="str">
        <x:v>Égouts</x:v>
      </x:c>
      <x:c r="D1995" s="115" t="str">
        <x:v>Station souterraine de relevage</x:v>
      </x:c>
      <x:c r="E1995" s="115" t="n">
        <x:v>40</x:v>
      </x:c>
      <x:c r="F1995" s="115" t="str">
        <x:v>Inspection physique</x:v>
      </x:c>
      <x:c r="G1995" s="115" t="str">
        <x:v>4 niveaux ; 26 pièces ; 240 segments de mur ; 6 transitions. Inspection physique ; architecture complète encore ouverte.</x:v>
      </x:c>
      <x:c r="H1995" s="115" t="str">
        <x:v>L 228 ; l 242,3 ; hauteur 3 m ; choix de composition auteur ; dimensions réelles à documenter</x:v>
      </x:c>
      <x:c r="I1995" s="115" t="str">
        <x:v>À équilibrer</x:v>
      </x:c>
      <x:c r="J1995" s="115" t="str">
        <x:v>Non</x:v>
      </x:c>
      <x:c r="K1995" s="115" t="str">
        <x:v>Pièces décrites, murs, portes, niveaux et mobilier inspectables à l’échelle. Volumes réservés, raccord au seed, butin, rencontres et services de campagne restent à terminer.</x:v>
      </x:c>
    </x:row>
    <x:row r="1996" ht="96" customHeight="1">
      <x:c r="A1996" s="115" t="str">
        <x:v>EXT-MONDE-T040-V41</x:v>
      </x:c>
      <x:c r="B1996" s="115" t="str">
        <x:v>EXT-MONDE-T040</x:v>
      </x:c>
      <x:c r="C1996" s="115" t="str">
        <x:v>Égouts</x:v>
      </x:c>
      <x:c r="D1996" s="115" t="str">
        <x:v>Station souterraine de relevage</x:v>
      </x:c>
      <x:c r="E1996" s="115" t="n">
        <x:v>41</x:v>
      </x:c>
      <x:c r="F1996" s="115" t="str">
        <x:v>Inspection physique</x:v>
      </x:c>
      <x:c r="G1996" s="115" t="str">
        <x:v>4 niveaux ; 26 pièces ; 240 segments de mur ; 6 transitions. Inspection physique ; architecture complète encore ouverte.</x:v>
      </x:c>
      <x:c r="H1996" s="115" t="str">
        <x:v>L 220 ; l 248 ; hauteur 3 m ; choix de composition auteur ; dimensions réelles à documenter</x:v>
      </x:c>
      <x:c r="I1996" s="115" t="str">
        <x:v>À équilibrer</x:v>
      </x:c>
      <x:c r="J1996" s="115" t="str">
        <x:v>Non</x:v>
      </x:c>
      <x:c r="K1996" s="115" t="str">
        <x:v>Pièces décrites, murs, portes, niveaux et mobilier inspectables à l’échelle. Volumes réservés, raccord au seed, butin, rencontres et services de campagne restent à terminer.</x:v>
      </x:c>
    </x:row>
    <x:row r="1997" ht="96" customHeight="1">
      <x:c r="A1997" s="115" t="str">
        <x:v>EXT-MONDE-T040-V42</x:v>
      </x:c>
      <x:c r="B1997" s="115" t="str">
        <x:v>EXT-MONDE-T040</x:v>
      </x:c>
      <x:c r="C1997" s="115" t="str">
        <x:v>Égouts</x:v>
      </x:c>
      <x:c r="D1997" s="115" t="str">
        <x:v>Station souterraine de relevage</x:v>
      </x:c>
      <x:c r="E1997" s="115" t="n">
        <x:v>42</x:v>
      </x:c>
      <x:c r="F1997" s="115" t="str">
        <x:v>Inspection physique</x:v>
      </x:c>
      <x:c r="G1997" s="115" t="str">
        <x:v>4 niveaux ; 26 pièces ; 240 segments de mur ; 6 transitions. Inspection physique ; architecture complète encore ouverte.</x:v>
      </x:c>
      <x:c r="H1997" s="115" t="str">
        <x:v>L 222 ; l 248,7 ; hauteur 3 m ; choix de composition auteur ; dimensions réelles à documenter</x:v>
      </x:c>
      <x:c r="I1997" s="115" t="str">
        <x:v>À équilibrer</x:v>
      </x:c>
      <x:c r="J1997" s="115" t="str">
        <x:v>Non</x:v>
      </x:c>
      <x:c r="K1997" s="115" t="str">
        <x:v>Pièces décrites, murs, portes, niveaux et mobilier inspectables à l’échelle. Volumes réservés, raccord au seed, butin, rencontres et services de campagne restent à terminer.</x:v>
      </x:c>
    </x:row>
    <x:row r="1998" ht="96" customHeight="1">
      <x:c r="A1998" s="115" t="str">
        <x:v>EXT-MONDE-T040-V43</x:v>
      </x:c>
      <x:c r="B1998" s="115" t="str">
        <x:v>EXT-MONDE-T040</x:v>
      </x:c>
      <x:c r="C1998" s="115" t="str">
        <x:v>Égouts</x:v>
      </x:c>
      <x:c r="D1998" s="115" t="str">
        <x:v>Station souterraine de relevage</x:v>
      </x:c>
      <x:c r="E1998" s="115" t="n">
        <x:v>43</x:v>
      </x:c>
      <x:c r="F1998" s="115" t="str">
        <x:v>Inspection physique</x:v>
      </x:c>
      <x:c r="G1998" s="115" t="str">
        <x:v>4 niveaux ; 26 pièces ; 240 segments de mur ; 6 transitions. Inspection physique ; architecture complète encore ouverte.</x:v>
      </x:c>
      <x:c r="H1998" s="115" t="str">
        <x:v>L 224 ; l 249,4 ; hauteur 3 m ; choix de composition auteur ; dimensions réelles à documenter</x:v>
      </x:c>
      <x:c r="I1998" s="115" t="str">
        <x:v>À équilibrer</x:v>
      </x:c>
      <x:c r="J1998" s="115" t="str">
        <x:v>Non</x:v>
      </x:c>
      <x:c r="K1998" s="115" t="str">
        <x:v>Pièces décrites, murs, portes, niveaux et mobilier inspectables à l’échelle. Volumes réservés, raccord au seed, butin, rencontres et services de campagne restent à terminer.</x:v>
      </x:c>
    </x:row>
    <x:row r="1999" ht="96" customHeight="1">
      <x:c r="A1999" s="115" t="str">
        <x:v>EXT-MONDE-T040-V44</x:v>
      </x:c>
      <x:c r="B1999" s="115" t="str">
        <x:v>EXT-MONDE-T040</x:v>
      </x:c>
      <x:c r="C1999" s="115" t="str">
        <x:v>Égouts</x:v>
      </x:c>
      <x:c r="D1999" s="115" t="str">
        <x:v>Station souterraine de relevage</x:v>
      </x:c>
      <x:c r="E1999" s="115" t="n">
        <x:v>44</x:v>
      </x:c>
      <x:c r="F1999" s="115" t="str">
        <x:v>Inspection physique</x:v>
      </x:c>
      <x:c r="G1999" s="115" t="str">
        <x:v>4 niveaux ; 26 pièces ; 240 segments de mur ; 6 transitions. Inspection physique ; architecture complète encore ouverte.</x:v>
      </x:c>
      <x:c r="H1999" s="115" t="str">
        <x:v>L 226 ; l 250,1 ; hauteur 3 m ; choix de composition auteur ; dimensions réelles à documenter</x:v>
      </x:c>
      <x:c r="I1999" s="115" t="str">
        <x:v>À équilibrer</x:v>
      </x:c>
      <x:c r="J1999" s="115" t="str">
        <x:v>Non</x:v>
      </x:c>
      <x:c r="K1999" s="115" t="str">
        <x:v>Pièces décrites, murs, portes, niveaux et mobilier inspectables à l’échelle. Volumes réservés, raccord au seed, butin, rencontres et services de campagne restent à terminer.</x:v>
      </x:c>
    </x:row>
    <x:row r="2000" ht="96" customHeight="1">
      <x:c r="A2000" s="115" t="str">
        <x:v>EXT-MONDE-T040-V45</x:v>
      </x:c>
      <x:c r="B2000" s="115" t="str">
        <x:v>EXT-MONDE-T040</x:v>
      </x:c>
      <x:c r="C2000" s="115" t="str">
        <x:v>Égouts</x:v>
      </x:c>
      <x:c r="D2000" s="115" t="str">
        <x:v>Station souterraine de relevage</x:v>
      </x:c>
      <x:c r="E2000" s="115" t="n">
        <x:v>45</x:v>
      </x:c>
      <x:c r="F2000" s="115" t="str">
        <x:v>Inspection physique</x:v>
      </x:c>
      <x:c r="G2000" s="115" t="str">
        <x:v>4 niveaux ; 26 pièces ; 240 segments de mur ; 6 transitions. Inspection physique ; architecture complète encore ouverte.</x:v>
      </x:c>
      <x:c r="H2000" s="115" t="str">
        <x:v>L 228 ; l 250,8 ; hauteur 3 m ; choix de composition auteur ; dimensions réelles à documenter</x:v>
      </x:c>
      <x:c r="I2000" s="115" t="str">
        <x:v>À équilibrer</x:v>
      </x:c>
      <x:c r="J2000" s="115" t="str">
        <x:v>Non</x:v>
      </x:c>
      <x:c r="K2000" s="115" t="str">
        <x:v>Pièces décrites, murs, portes, niveaux et mobilier inspectables à l’échelle. Volumes réservés, raccord au seed, butin, rencontres et services de campagne restent à terminer.</x:v>
      </x:c>
    </x:row>
    <x:row r="2001" ht="96" customHeight="1">
      <x:c r="A2001" s="115" t="str">
        <x:v>EXT-MONDE-T040-V46</x:v>
      </x:c>
      <x:c r="B2001" s="115" t="str">
        <x:v>EXT-MONDE-T040</x:v>
      </x:c>
      <x:c r="C2001" s="115" t="str">
        <x:v>Égouts</x:v>
      </x:c>
      <x:c r="D2001" s="115" t="str">
        <x:v>Station souterraine de relevage</x:v>
      </x:c>
      <x:c r="E2001" s="115" t="n">
        <x:v>46</x:v>
      </x:c>
      <x:c r="F2001" s="115" t="str">
        <x:v>Inspection physique</x:v>
      </x:c>
      <x:c r="G2001" s="115" t="str">
        <x:v>4 niveaux ; 26 pièces ; 240 segments de mur ; 6 transitions. Inspection physique ; architecture complète encore ouverte.</x:v>
      </x:c>
      <x:c r="H2001" s="115" t="str">
        <x:v>L 230 ; l 251,5 ; hauteur 3 m ; choix de composition auteur ; dimensions réelles à documenter</x:v>
      </x:c>
      <x:c r="I2001" s="115" t="str">
        <x:v>À équilibrer</x:v>
      </x:c>
      <x:c r="J2001" s="115" t="str">
        <x:v>Non</x:v>
      </x:c>
      <x:c r="K2001" s="115" t="str">
        <x:v>Pièces décrites, murs, portes, niveaux et mobilier inspectables à l’échelle. Volumes réservés, raccord au seed, butin, rencontres et services de campagne restent à terminer.</x:v>
      </x:c>
    </x:row>
    <x:row r="2002" ht="96" customHeight="1">
      <x:c r="A2002" s="115" t="str">
        <x:v>EXT-MONDE-T040-V47</x:v>
      </x:c>
      <x:c r="B2002" s="115" t="str">
        <x:v>EXT-MONDE-T040</x:v>
      </x:c>
      <x:c r="C2002" s="115" t="str">
        <x:v>Égouts</x:v>
      </x:c>
      <x:c r="D2002" s="115" t="str">
        <x:v>Station souterraine de relevage</x:v>
      </x:c>
      <x:c r="E2002" s="115" t="n">
        <x:v>47</x:v>
      </x:c>
      <x:c r="F2002" s="115" t="str">
        <x:v>Inspection physique</x:v>
      </x:c>
      <x:c r="G2002" s="115" t="str">
        <x:v>4 niveaux ; 26 pièces ; 240 segments de mur ; 6 transitions. Inspection physique ; architecture complète encore ouverte.</x:v>
      </x:c>
      <x:c r="H2002" s="115" t="str">
        <x:v>L 232 ; l 252,2 ; hauteur 3 m ; choix de composition auteur ; dimensions réelles à documenter</x:v>
      </x:c>
      <x:c r="I2002" s="115" t="str">
        <x:v>À équilibrer</x:v>
      </x:c>
      <x:c r="J2002" s="115" t="str">
        <x:v>Non</x:v>
      </x:c>
      <x:c r="K2002" s="115" t="str">
        <x:v>Pièces décrites, murs, portes, niveaux et mobilier inspectables à l’échelle. Volumes réservés, raccord au seed, butin, rencontres et services de campagne restent à terminer.</x:v>
      </x:c>
    </x:row>
    <x:row r="2003" ht="96" customHeight="1">
      <x:c r="A2003" s="115" t="str">
        <x:v>EXT-MONDE-T040-V48</x:v>
      </x:c>
      <x:c r="B2003" s="115" t="str">
        <x:v>EXT-MONDE-T040</x:v>
      </x:c>
      <x:c r="C2003" s="115" t="str">
        <x:v>Égouts</x:v>
      </x:c>
      <x:c r="D2003" s="115" t="str">
        <x:v>Station souterraine de relevage</x:v>
      </x:c>
      <x:c r="E2003" s="115" t="n">
        <x:v>48</x:v>
      </x:c>
      <x:c r="F2003" s="115" t="str">
        <x:v>Inspection physique</x:v>
      </x:c>
      <x:c r="G2003" s="115" t="str">
        <x:v>4 niveaux ; 26 pièces ; 240 segments de mur ; 6 transitions. Inspection physique ; architecture complète encore ouverte.</x:v>
      </x:c>
      <x:c r="H2003" s="115" t="str">
        <x:v>L 234 ; l 252,9 ; hauteur 3 m ; choix de composition auteur ; dimensions réelles à documenter</x:v>
      </x:c>
      <x:c r="I2003" s="115" t="str">
        <x:v>À équilibrer</x:v>
      </x:c>
      <x:c r="J2003" s="115" t="str">
        <x:v>Non</x:v>
      </x:c>
      <x:c r="K2003" s="115" t="str">
        <x:v>Pièces décrites, murs, portes, niveaux et mobilier inspectables à l’échelle. Volumes réservés, raccord au seed, butin, rencontres et services de campagne restent à terminer.</x:v>
      </x:c>
    </x:row>
    <x:row r="2004" ht="96" customHeight="1">
      <x:c r="A2004" s="115" t="str">
        <x:v>EXT-MONDE-T040-V49</x:v>
      </x:c>
      <x:c r="B2004" s="115" t="str">
        <x:v>EXT-MONDE-T040</x:v>
      </x:c>
      <x:c r="C2004" s="115" t="str">
        <x:v>Égouts</x:v>
      </x:c>
      <x:c r="D2004" s="115" t="str">
        <x:v>Station souterraine de relevage</x:v>
      </x:c>
      <x:c r="E2004" s="115" t="n">
        <x:v>49</x:v>
      </x:c>
      <x:c r="F2004" s="115" t="str">
        <x:v>Inspection physique</x:v>
      </x:c>
      <x:c r="G2004" s="115" t="str">
        <x:v>4 niveaux ; 26 pièces ; 240 segments de mur ; 6 transitions. Inspection physique ; architecture complète encore ouverte.</x:v>
      </x:c>
      <x:c r="H2004" s="115" t="str">
        <x:v>L 236 ; l 253,6 ; hauteur 3 m ; choix de composition auteur ; dimensions réelles à documenter</x:v>
      </x:c>
      <x:c r="I2004" s="115" t="str">
        <x:v>À équilibrer</x:v>
      </x:c>
      <x:c r="J2004" s="115" t="str">
        <x:v>Non</x:v>
      </x:c>
      <x:c r="K2004" s="115" t="str">
        <x:v>Pièces décrites, murs, portes, niveaux et mobilier inspectables à l’échelle. Volumes réservés, raccord au seed, butin, rencontres et services de campagne restent à terminer.</x:v>
      </x:c>
    </x:row>
    <x:row r="2005" ht="96" customHeight="1">
      <x:c r="A2005" s="115" t="str">
        <x:v>EXT-MONDE-T040-V50</x:v>
      </x:c>
      <x:c r="B2005" s="115" t="str">
        <x:v>EXT-MONDE-T040</x:v>
      </x:c>
      <x:c r="C2005" s="115" t="str">
        <x:v>Égouts</x:v>
      </x:c>
      <x:c r="D2005" s="115" t="str">
        <x:v>Station souterraine de relevage</x:v>
      </x:c>
      <x:c r="E2005" s="115" t="n">
        <x:v>50</x:v>
      </x:c>
      <x:c r="F2005" s="115" t="str">
        <x:v>Inspection physique</x:v>
      </x:c>
      <x:c r="G2005" s="115" t="str">
        <x:v>4 niveaux ; 26 pièces ; 240 segments de mur ; 6 transitions. Inspection physique ; architecture complète encore ouverte.</x:v>
      </x:c>
      <x:c r="H2005" s="115" t="str">
        <x:v>L 238 ; l 254,3 ; hauteur 3 m ; choix de composition auteur ; dimensions réelles à documenter</x:v>
      </x:c>
      <x:c r="I2005" s="115" t="str">
        <x:v>À équilibrer</x:v>
      </x:c>
      <x:c r="J2005" s="115" t="str">
        <x:v>Non</x:v>
      </x:c>
      <x:c r="K2005" s="115" t="str">
        <x:v>Pièces décrites, murs, portes, niveaux et mobilier inspectables à l’échelle. Volumes réservés, raccord au seed, butin, rencontres et services de campagne restent à terminer.</x:v>
      </x:c>
    </x:row>
    <x:row r="2006" ht="96" customHeight="1">
      <x:c r="A2006" s="115" t="str">
        <x:v>EXT-MONDE-T041-V01</x:v>
      </x:c>
      <x:c r="B2006" s="115" t="str">
        <x:v>EXT-MONDE-T041</x:v>
      </x:c>
      <x:c r="C2006" s="115" t="str">
        <x:v>HLM visitables</x:v>
      </x:c>
      <x:c r="D2006" s="115" t="str">
        <x:v>Barre HLM</x:v>
      </x:c>
      <x:c r="E2006" s="115" t="n">
        <x:v>1</x:v>
      </x:c>
      <x:c r="F2006" s="115" t="str">
        <x:v>Inspection physique</x:v>
      </x:c>
      <x:c r="G2006" s="115" t="str">
        <x:v>4 niveaux ; 74 pièces ; 563 segments de mur ; 3 transitions. Inspection physique ; architecture complète encore ouverte.</x:v>
      </x:c>
      <x:c r="H2006" s="115" t="str">
        <x:v>L 77 ; l 84,8 ; hauteur 9,35 m ; choix de composition auteur ; dimensions réelles à documenter</x:v>
      </x:c>
      <x:c r="I2006" s="115" t="str">
        <x:v>À équilibrer</x:v>
      </x:c>
      <x:c r="J2006" s="115" t="str">
        <x:v>Non</x:v>
      </x:c>
      <x:c r="K2006" s="115" t="str">
        <x:v>Pièces décrites, murs, portes, niveaux et mobilier inspectables à l’échelle. Volumes réservés, raccord au seed, butin, rencontres et services de campagne restent à terminer.</x:v>
      </x:c>
    </x:row>
    <x:row r="2007" ht="96" customHeight="1">
      <x:c r="A2007" s="115" t="str">
        <x:v>EXT-MONDE-T041-V02</x:v>
      </x:c>
      <x:c r="B2007" s="115" t="str">
        <x:v>EXT-MONDE-T041</x:v>
      </x:c>
      <x:c r="C2007" s="115" t="str">
        <x:v>HLM visitables</x:v>
      </x:c>
      <x:c r="D2007" s="115" t="str">
        <x:v>Barre HLM</x:v>
      </x:c>
      <x:c r="E2007" s="115" t="n">
        <x:v>2</x:v>
      </x:c>
      <x:c r="F2007" s="115" t="str">
        <x:v>Inspection physique</x:v>
      </x:c>
      <x:c r="G2007" s="115" t="str">
        <x:v>4 niveaux ; 110 pièces ; 821 segments de mur ; 3 transitions. Inspection physique ; architecture complète encore ouverte.</x:v>
      </x:c>
      <x:c r="H2007" s="115" t="str">
        <x:v>L 77,4 ; l 96,62 ; hauteur 9,45 m ; choix de composition auteur ; dimensions réelles à documenter</x:v>
      </x:c>
      <x:c r="I2007" s="115" t="str">
        <x:v>À équilibrer</x:v>
      </x:c>
      <x:c r="J2007" s="115" t="str">
        <x:v>Non</x:v>
      </x:c>
      <x:c r="K2007" s="115" t="str">
        <x:v>Pièces décrites, murs, portes, niveaux et mobilier inspectables à l’échelle. Volumes réservés, raccord au seed, butin, rencontres et services de campagne restent à terminer.</x:v>
      </x:c>
    </x:row>
    <x:row r="2008" ht="96" customHeight="1">
      <x:c r="A2008" s="115" t="str">
        <x:v>EXT-MONDE-T041-V03</x:v>
      </x:c>
      <x:c r="B2008" s="115" t="str">
        <x:v>EXT-MONDE-T041</x:v>
      </x:c>
      <x:c r="C2008" s="115" t="str">
        <x:v>HLM visitables</x:v>
      </x:c>
      <x:c r="D2008" s="115" t="str">
        <x:v>Barre HLM</x:v>
      </x:c>
      <x:c r="E2008" s="115" t="n">
        <x:v>3</x:v>
      </x:c>
      <x:c r="F2008" s="115" t="str">
        <x:v>Inspection physique</x:v>
      </x:c>
      <x:c r="G2008" s="115" t="str">
        <x:v>4 niveaux ; 74 pièces ; 563 segments de mur ; 3 transitions. Inspection physique ; architecture complète encore ouverte.</x:v>
      </x:c>
      <x:c r="H2008" s="115" t="str">
        <x:v>L 77,8 ; l 85,56 ; hauteur 9,55 m ; choix de composition auteur ; dimensions réelles à documenter</x:v>
      </x:c>
      <x:c r="I2008" s="115" t="str">
        <x:v>À équilibrer</x:v>
      </x:c>
      <x:c r="J2008" s="115" t="str">
        <x:v>Non</x:v>
      </x:c>
      <x:c r="K2008" s="115" t="str">
        <x:v>Pièces décrites, murs, portes, niveaux et mobilier inspectables à l’échelle. Volumes réservés, raccord au seed, butin, rencontres et services de campagne restent à terminer.</x:v>
      </x:c>
    </x:row>
    <x:row r="2009" ht="96" customHeight="1">
      <x:c r="A2009" s="115" t="str">
        <x:v>EXT-MONDE-T041-V04</x:v>
      </x:c>
      <x:c r="B2009" s="115" t="str">
        <x:v>EXT-MONDE-T041</x:v>
      </x:c>
      <x:c r="C2009" s="115" t="str">
        <x:v>HLM visitables</x:v>
      </x:c>
      <x:c r="D2009" s="115" t="str">
        <x:v>Barre HLM</x:v>
      </x:c>
      <x:c r="E2009" s="115" t="n">
        <x:v>4</x:v>
      </x:c>
      <x:c r="F2009" s="115" t="str">
        <x:v>Inspection physique</x:v>
      </x:c>
      <x:c r="G2009" s="115" t="str">
        <x:v>4 niveaux ; 110 pièces ; 821 segments de mur ; 3 transitions. Inspection physique ; architecture complète encore ouverte.</x:v>
      </x:c>
      <x:c r="H2009" s="115" t="str">
        <x:v>L 78,2 ; l 97,46 ; hauteur 9,35 m ; choix de composition auteur ; dimensions réelles à documenter</x:v>
      </x:c>
      <x:c r="I2009" s="115" t="str">
        <x:v>À équilibrer</x:v>
      </x:c>
      <x:c r="J2009" s="115" t="str">
        <x:v>Non</x:v>
      </x:c>
      <x:c r="K2009" s="115" t="str">
        <x:v>Pièces décrites, murs, portes, niveaux et mobilier inspectables à l’échelle. Volumes réservés, raccord au seed, butin, rencontres et services de campagne restent à terminer.</x:v>
      </x:c>
    </x:row>
    <x:row r="2010" ht="96" customHeight="1">
      <x:c r="A2010" s="115" t="str">
        <x:v>EXT-MONDE-T041-V05</x:v>
      </x:c>
      <x:c r="B2010" s="115" t="str">
        <x:v>EXT-MONDE-T041</x:v>
      </x:c>
      <x:c r="C2010" s="115" t="str">
        <x:v>HLM visitables</x:v>
      </x:c>
      <x:c r="D2010" s="115" t="str">
        <x:v>Barre HLM</x:v>
      </x:c>
      <x:c r="E2010" s="115" t="n">
        <x:v>5</x:v>
      </x:c>
      <x:c r="F2010" s="115" t="str">
        <x:v>Inspection physique</x:v>
      </x:c>
      <x:c r="G2010" s="115" t="str">
        <x:v>4 niveaux ; 74 pièces ; 563 segments de mur ; 3 transitions. Inspection physique ; architecture complète encore ouverte.</x:v>
      </x:c>
      <x:c r="H2010" s="115" t="str">
        <x:v>L 78,6 ; l 86,32 ; hauteur 9,45 m ; choix de composition auteur ; dimensions réelles à documenter</x:v>
      </x:c>
      <x:c r="I2010" s="115" t="str">
        <x:v>À équilibrer</x:v>
      </x:c>
      <x:c r="J2010" s="115" t="str">
        <x:v>Non</x:v>
      </x:c>
      <x:c r="K2010" s="115" t="str">
        <x:v>Pièces décrites, murs, portes, niveaux et mobilier inspectables à l’échelle. Volumes réservés, raccord au seed, butin, rencontres et services de campagne restent à terminer.</x:v>
      </x:c>
    </x:row>
    <x:row r="2011" ht="96" customHeight="1">
      <x:c r="A2011" s="115" t="str">
        <x:v>EXT-MONDE-T041-V06</x:v>
      </x:c>
      <x:c r="B2011" s="115" t="str">
        <x:v>EXT-MONDE-T041</x:v>
      </x:c>
      <x:c r="C2011" s="115" t="str">
        <x:v>HLM visitables</x:v>
      </x:c>
      <x:c r="D2011" s="115" t="str">
        <x:v>Barre HLM</x:v>
      </x:c>
      <x:c r="E2011" s="115" t="n">
        <x:v>6</x:v>
      </x:c>
      <x:c r="F2011" s="115" t="str">
        <x:v>Inspection physique</x:v>
      </x:c>
      <x:c r="G2011" s="115" t="str">
        <x:v>4 niveaux ; 110 pièces ; 821 segments de mur ; 3 transitions. Inspection physique ; architecture complète encore ouverte.</x:v>
      </x:c>
      <x:c r="H2011" s="115" t="str">
        <x:v>L 78,65 ; l 97,7 ; hauteur 9,55 m ; choix de composition auteur ; dimensions réelles à documenter</x:v>
      </x:c>
      <x:c r="I2011" s="115" t="str">
        <x:v>À équilibrer</x:v>
      </x:c>
      <x:c r="J2011" s="115" t="str">
        <x:v>Non</x:v>
      </x:c>
      <x:c r="K2011" s="115" t="str">
        <x:v>Pièces décrites, murs, portes, niveaux et mobilier inspectables à l’échelle. Volumes réservés, raccord au seed, butin, rencontres et services de campagne restent à terminer.</x:v>
      </x:c>
    </x:row>
    <x:row r="2012" ht="96" customHeight="1">
      <x:c r="A2012" s="115" t="str">
        <x:v>EXT-MONDE-T041-V07</x:v>
      </x:c>
      <x:c r="B2012" s="115" t="str">
        <x:v>EXT-MONDE-T041</x:v>
      </x:c>
      <x:c r="C2012" s="115" t="str">
        <x:v>HLM visitables</x:v>
      </x:c>
      <x:c r="D2012" s="115" t="str">
        <x:v>Barre HLM</x:v>
      </x:c>
      <x:c r="E2012" s="115" t="n">
        <x:v>7</x:v>
      </x:c>
      <x:c r="F2012" s="115" t="str">
        <x:v>Inspection physique</x:v>
      </x:c>
      <x:c r="G2012" s="115" t="str">
        <x:v>4 niveaux ; 74 pièces ; 563 segments de mur ; 3 transitions. Inspection physique ; architecture complète encore ouverte.</x:v>
      </x:c>
      <x:c r="H2012" s="115" t="str">
        <x:v>L 79,05 ; l 86,68 ; hauteur 9,35 m ; choix de composition auteur ; dimensions réelles à documenter</x:v>
      </x:c>
      <x:c r="I2012" s="115" t="str">
        <x:v>À équilibrer</x:v>
      </x:c>
      <x:c r="J2012" s="115" t="str">
        <x:v>Non</x:v>
      </x:c>
      <x:c r="K2012" s="115" t="str">
        <x:v>Pièces décrites, murs, portes, niveaux et mobilier inspectables à l’échelle. Volumes réservés, raccord au seed, butin, rencontres et services de campagne restent à terminer.</x:v>
      </x:c>
    </x:row>
    <x:row r="2013" ht="96" customHeight="1">
      <x:c r="A2013" s="115" t="str">
        <x:v>EXT-MONDE-T041-V08</x:v>
      </x:c>
      <x:c r="B2013" s="115" t="str">
        <x:v>EXT-MONDE-T041</x:v>
      </x:c>
      <x:c r="C2013" s="115" t="str">
        <x:v>HLM visitables</x:v>
      </x:c>
      <x:c r="D2013" s="115" t="str">
        <x:v>Barre HLM</x:v>
      </x:c>
      <x:c r="E2013" s="115" t="n">
        <x:v>8</x:v>
      </x:c>
      <x:c r="F2013" s="115" t="str">
        <x:v>Inspection physique</x:v>
      </x:c>
      <x:c r="G2013" s="115" t="str">
        <x:v>4 niveaux ; 110 pièces ; 821 segments de mur ; 3 transitions. Inspection physique ; architecture complète encore ouverte.</x:v>
      </x:c>
      <x:c r="H2013" s="115" t="str">
        <x:v>L 79,45 ; l 98,54 ; hauteur 9,45 m ; choix de composition auteur ; dimensions réelles à documenter</x:v>
      </x:c>
      <x:c r="I2013" s="115" t="str">
        <x:v>À équilibrer</x:v>
      </x:c>
      <x:c r="J2013" s="115" t="str">
        <x:v>Non</x:v>
      </x:c>
      <x:c r="K2013" s="115" t="str">
        <x:v>Pièces décrites, murs, portes, niveaux et mobilier inspectables à l’échelle. Volumes réservés, raccord au seed, butin, rencontres et services de campagne restent à terminer.</x:v>
      </x:c>
    </x:row>
    <x:row r="2014" ht="96" customHeight="1">
      <x:c r="A2014" s="115" t="str">
        <x:v>EXT-MONDE-T041-V09</x:v>
      </x:c>
      <x:c r="B2014" s="115" t="str">
        <x:v>EXT-MONDE-T041</x:v>
      </x:c>
      <x:c r="C2014" s="115" t="str">
        <x:v>HLM visitables</x:v>
      </x:c>
      <x:c r="D2014" s="115" t="str">
        <x:v>Barre HLM</x:v>
      </x:c>
      <x:c r="E2014" s="115" t="n">
        <x:v>9</x:v>
      </x:c>
      <x:c r="F2014" s="115" t="str">
        <x:v>Inspection physique</x:v>
      </x:c>
      <x:c r="G2014" s="115" t="str">
        <x:v>4 niveaux ; 74 pièces ; 563 segments de mur ; 3 transitions. Inspection physique ; architecture complète encore ouverte.</x:v>
      </x:c>
      <x:c r="H2014" s="115" t="str">
        <x:v>L 79,85 ; l 87,44 ; hauteur 9,55 m ; choix de composition auteur ; dimensions réelles à documenter</x:v>
      </x:c>
      <x:c r="I2014" s="115" t="str">
        <x:v>À équilibrer</x:v>
      </x:c>
      <x:c r="J2014" s="115" t="str">
        <x:v>Non</x:v>
      </x:c>
      <x:c r="K2014" s="115" t="str">
        <x:v>Pièces décrites, murs, portes, niveaux et mobilier inspectables à l’échelle. Volumes réservés, raccord au seed, butin, rencontres et services de campagne restent à terminer.</x:v>
      </x:c>
    </x:row>
    <x:row r="2015" ht="96" customHeight="1">
      <x:c r="A2015" s="115" t="str">
        <x:v>EXT-MONDE-T041-V10</x:v>
      </x:c>
      <x:c r="B2015" s="115" t="str">
        <x:v>EXT-MONDE-T041</x:v>
      </x:c>
      <x:c r="C2015" s="115" t="str">
        <x:v>HLM visitables</x:v>
      </x:c>
      <x:c r="D2015" s="115" t="str">
        <x:v>Barre HLM</x:v>
      </x:c>
      <x:c r="E2015" s="115" t="n">
        <x:v>10</x:v>
      </x:c>
      <x:c r="F2015" s="115" t="str">
        <x:v>Inspection physique</x:v>
      </x:c>
      <x:c r="G2015" s="115" t="str">
        <x:v>4 niveaux ; 110 pièces ; 821 segments de mur ; 3 transitions. Inspection physique ; architecture complète encore ouverte.</x:v>
      </x:c>
      <x:c r="H2015" s="115" t="str">
        <x:v>L 80,25 ; l 99,38 ; hauteur 9,35 m ; choix de composition auteur ; dimensions réelles à documenter</x:v>
      </x:c>
      <x:c r="I2015" s="115" t="str">
        <x:v>À équilibrer</x:v>
      </x:c>
      <x:c r="J2015" s="115" t="str">
        <x:v>Non</x:v>
      </x:c>
      <x:c r="K2015" s="115" t="str">
        <x:v>Pièces décrites, murs, portes, niveaux et mobilier inspectables à l’échelle. Volumes réservés, raccord au seed, butin, rencontres et services de campagne restent à terminer.</x:v>
      </x:c>
    </x:row>
    <x:row r="2016" ht="96" customHeight="1">
      <x:c r="A2016" s="115" t="str">
        <x:v>EXT-MONDE-T041-V11</x:v>
      </x:c>
      <x:c r="B2016" s="115" t="str">
        <x:v>EXT-MONDE-T041</x:v>
      </x:c>
      <x:c r="C2016" s="115" t="str">
        <x:v>HLM visitables</x:v>
      </x:c>
      <x:c r="D2016" s="115" t="str">
        <x:v>Barre HLM</x:v>
      </x:c>
      <x:c r="E2016" s="115" t="n">
        <x:v>11</x:v>
      </x:c>
      <x:c r="F2016" s="115" t="str">
        <x:v>Inspection physique</x:v>
      </x:c>
      <x:c r="G2016" s="115" t="str">
        <x:v>5 niveaux ; 98 pièces ; 742 segments de mur ; 4 transitions. Inspection physique ; architecture complète encore ouverte.</x:v>
      </x:c>
      <x:c r="H2016" s="115" t="str">
        <x:v>L 77,2 ; l 84,96 ; hauteur 12,35 m ; choix de composition auteur ; dimensions réelles à documenter</x:v>
      </x:c>
      <x:c r="I2016" s="115" t="str">
        <x:v>À équilibrer</x:v>
      </x:c>
      <x:c r="J2016" s="115" t="str">
        <x:v>Non</x:v>
      </x:c>
      <x:c r="K2016" s="115" t="str">
        <x:v>Pièces décrites, murs, portes, niveaux et mobilier inspectables à l’échelle. Volumes réservés, raccord au seed, butin, rencontres et services de campagne restent à terminer.</x:v>
      </x:c>
    </x:row>
    <x:row r="2017" ht="96" customHeight="1">
      <x:c r="A2017" s="115" t="str">
        <x:v>EXT-MONDE-T041-V12</x:v>
      </x:c>
      <x:c r="B2017" s="115" t="str">
        <x:v>EXT-MONDE-T041</x:v>
      </x:c>
      <x:c r="C2017" s="115" t="str">
        <x:v>HLM visitables</x:v>
      </x:c>
      <x:c r="D2017" s="115" t="str">
        <x:v>Barre HLM</x:v>
      </x:c>
      <x:c r="E2017" s="115" t="n">
        <x:v>12</x:v>
      </x:c>
      <x:c r="F2017" s="115" t="str">
        <x:v>Inspection physique</x:v>
      </x:c>
      <x:c r="G2017" s="115" t="str">
        <x:v>5 niveaux ; 146 pièces ; 1086 segments de mur ; 4 transitions. Inspection physique ; architecture complète encore ouverte.</x:v>
      </x:c>
      <x:c r="H2017" s="115" t="str">
        <x:v>L 77,6 ; l 96,86 ; hauteur 12,45 m ; choix de composition auteur ; dimensions réelles à documenter</x:v>
      </x:c>
      <x:c r="I2017" s="115" t="str">
        <x:v>À équilibrer</x:v>
      </x:c>
      <x:c r="J2017" s="115" t="str">
        <x:v>Non</x:v>
      </x:c>
      <x:c r="K2017" s="115" t="str">
        <x:v>Pièces décrites, murs, portes, niveaux et mobilier inspectables à l’échelle. Volumes réservés, raccord au seed, butin, rencontres et services de campagne restent à terminer.</x:v>
      </x:c>
    </x:row>
    <x:row r="2018" ht="96" customHeight="1">
      <x:c r="A2018" s="115" t="str">
        <x:v>EXT-MONDE-T041-V13</x:v>
      </x:c>
      <x:c r="B2018" s="115" t="str">
        <x:v>EXT-MONDE-T041</x:v>
      </x:c>
      <x:c r="C2018" s="115" t="str">
        <x:v>HLM visitables</x:v>
      </x:c>
      <x:c r="D2018" s="115" t="str">
        <x:v>Barre HLM</x:v>
      </x:c>
      <x:c r="E2018" s="115" t="n">
        <x:v>13</x:v>
      </x:c>
      <x:c r="F2018" s="115" t="str">
        <x:v>Inspection physique</x:v>
      </x:c>
      <x:c r="G2018" s="115" t="str">
        <x:v>5 niveaux ; 98 pièces ; 742 segments de mur ; 4 transitions. Inspection physique ; architecture complète encore ouverte.</x:v>
      </x:c>
      <x:c r="H2018" s="115" t="str">
        <x:v>L 78 ; l 85,72 ; hauteur 12,55 m ; choix de composition auteur ; dimensions réelles à documenter</x:v>
      </x:c>
      <x:c r="I2018" s="115" t="str">
        <x:v>À équilibrer</x:v>
      </x:c>
      <x:c r="J2018" s="115" t="str">
        <x:v>Non</x:v>
      </x:c>
      <x:c r="K2018" s="115" t="str">
        <x:v>Pièces décrites, murs, portes, niveaux et mobilier inspectables à l’échelle. Volumes réservés, raccord au seed, butin, rencontres et services de campagne restent à terminer.</x:v>
      </x:c>
    </x:row>
    <x:row r="2019" ht="96" customHeight="1">
      <x:c r="A2019" s="115" t="str">
        <x:v>EXT-MONDE-T041-V14</x:v>
      </x:c>
      <x:c r="B2019" s="115" t="str">
        <x:v>EXT-MONDE-T041</x:v>
      </x:c>
      <x:c r="C2019" s="115" t="str">
        <x:v>HLM visitables</x:v>
      </x:c>
      <x:c r="D2019" s="115" t="str">
        <x:v>Barre HLM</x:v>
      </x:c>
      <x:c r="E2019" s="115" t="n">
        <x:v>14</x:v>
      </x:c>
      <x:c r="F2019" s="115" t="str">
        <x:v>Inspection physique</x:v>
      </x:c>
      <x:c r="G2019" s="115" t="str">
        <x:v>5 niveaux ; 146 pièces ; 1086 segments de mur ; 4 transitions. Inspection physique ; architecture complète encore ouverte.</x:v>
      </x:c>
      <x:c r="H2019" s="115" t="str">
        <x:v>L 78,4 ; l 97,7 ; hauteur 12,35 m ; choix de composition auteur ; dimensions réelles à documenter</x:v>
      </x:c>
      <x:c r="I2019" s="115" t="str">
        <x:v>À équilibrer</x:v>
      </x:c>
      <x:c r="J2019" s="115" t="str">
        <x:v>Non</x:v>
      </x:c>
      <x:c r="K2019" s="115" t="str">
        <x:v>Pièces décrites, murs, portes, niveaux et mobilier inspectables à l’échelle. Volumes réservés, raccord au seed, butin, rencontres et services de campagne restent à terminer.</x:v>
      </x:c>
    </x:row>
    <x:row r="2020" ht="96" customHeight="1">
      <x:c r="A2020" s="115" t="str">
        <x:v>EXT-MONDE-T041-V15</x:v>
      </x:c>
      <x:c r="B2020" s="115" t="str">
        <x:v>EXT-MONDE-T041</x:v>
      </x:c>
      <x:c r="C2020" s="115" t="str">
        <x:v>HLM visitables</x:v>
      </x:c>
      <x:c r="D2020" s="115" t="str">
        <x:v>Barre HLM</x:v>
      </x:c>
      <x:c r="E2020" s="115" t="n">
        <x:v>15</x:v>
      </x:c>
      <x:c r="F2020" s="115" t="str">
        <x:v>Inspection physique</x:v>
      </x:c>
      <x:c r="G2020" s="115" t="str">
        <x:v>5 niveaux ; 98 pièces ; 742 segments de mur ; 4 transitions. Inspection physique ; architecture complète encore ouverte.</x:v>
      </x:c>
      <x:c r="H2020" s="115" t="str">
        <x:v>L 78,8 ; l 86,48 ; hauteur 12,45 m ; choix de composition auteur ; dimensions réelles à documenter</x:v>
      </x:c>
      <x:c r="I2020" s="115" t="str">
        <x:v>À équilibrer</x:v>
      </x:c>
      <x:c r="J2020" s="115" t="str">
        <x:v>Non</x:v>
      </x:c>
      <x:c r="K2020" s="115" t="str">
        <x:v>Pièces décrites, murs, portes, niveaux et mobilier inspectables à l’échelle. Volumes réservés, raccord au seed, butin, rencontres et services de campagne restent à terminer.</x:v>
      </x:c>
    </x:row>
    <x:row r="2021" ht="96" customHeight="1">
      <x:c r="A2021" s="115" t="str">
        <x:v>EXT-MONDE-T041-V16</x:v>
      </x:c>
      <x:c r="B2021" s="115" t="str">
        <x:v>EXT-MONDE-T041</x:v>
      </x:c>
      <x:c r="C2021" s="115" t="str">
        <x:v>HLM visitables</x:v>
      </x:c>
      <x:c r="D2021" s="115" t="str">
        <x:v>Barre HLM</x:v>
      </x:c>
      <x:c r="E2021" s="115" t="n">
        <x:v>16</x:v>
      </x:c>
      <x:c r="F2021" s="115" t="str">
        <x:v>Inspection physique</x:v>
      </x:c>
      <x:c r="G2021" s="115" t="str">
        <x:v>5 niveaux ; 146 pièces ; 1086 segments de mur ; 4 transitions. Inspection physique ; architecture complète encore ouverte.</x:v>
      </x:c>
      <x:c r="H2021" s="115" t="str">
        <x:v>L 78,85 ; l 97,94 ; hauteur 12,55 m ; choix de composition auteur ; dimensions réelles à documenter</x:v>
      </x:c>
      <x:c r="I2021" s="115" t="str">
        <x:v>À équilibrer</x:v>
      </x:c>
      <x:c r="J2021" s="115" t="str">
        <x:v>Non</x:v>
      </x:c>
      <x:c r="K2021" s="115" t="str">
        <x:v>Pièces décrites, murs, portes, niveaux et mobilier inspectables à l’échelle. Volumes réservés, raccord au seed, butin, rencontres et services de campagne restent à terminer.</x:v>
      </x:c>
    </x:row>
    <x:row r="2022" ht="96" customHeight="1">
      <x:c r="A2022" s="115" t="str">
        <x:v>EXT-MONDE-T041-V17</x:v>
      </x:c>
      <x:c r="B2022" s="115" t="str">
        <x:v>EXT-MONDE-T041</x:v>
      </x:c>
      <x:c r="C2022" s="115" t="str">
        <x:v>HLM visitables</x:v>
      </x:c>
      <x:c r="D2022" s="115" t="str">
        <x:v>Barre HLM</x:v>
      </x:c>
      <x:c r="E2022" s="115" t="n">
        <x:v>17</x:v>
      </x:c>
      <x:c r="F2022" s="115" t="str">
        <x:v>Inspection physique</x:v>
      </x:c>
      <x:c r="G2022" s="115" t="str">
        <x:v>5 niveaux ; 98 pièces ; 742 segments de mur ; 4 transitions. Inspection physique ; architecture complète encore ouverte.</x:v>
      </x:c>
      <x:c r="H2022" s="115" t="str">
        <x:v>L 79,25 ; l 86,84 ; hauteur 12,35 m ; choix de composition auteur ; dimensions réelles à documenter</x:v>
      </x:c>
      <x:c r="I2022" s="115" t="str">
        <x:v>À équilibrer</x:v>
      </x:c>
      <x:c r="J2022" s="115" t="str">
        <x:v>Non</x:v>
      </x:c>
      <x:c r="K2022" s="115" t="str">
        <x:v>Pièces décrites, murs, portes, niveaux et mobilier inspectables à l’échelle. Volumes réservés, raccord au seed, butin, rencontres et services de campagne restent à terminer.</x:v>
      </x:c>
    </x:row>
    <x:row r="2023" ht="96" customHeight="1">
      <x:c r="A2023" s="115" t="str">
        <x:v>EXT-MONDE-T041-V18</x:v>
      </x:c>
      <x:c r="B2023" s="115" t="str">
        <x:v>EXT-MONDE-T041</x:v>
      </x:c>
      <x:c r="C2023" s="115" t="str">
        <x:v>HLM visitables</x:v>
      </x:c>
      <x:c r="D2023" s="115" t="str">
        <x:v>Barre HLM</x:v>
      </x:c>
      <x:c r="E2023" s="115" t="n">
        <x:v>18</x:v>
      </x:c>
      <x:c r="F2023" s="115" t="str">
        <x:v>Inspection physique</x:v>
      </x:c>
      <x:c r="G2023" s="115" t="str">
        <x:v>5 niveaux ; 146 pièces ; 1086 segments de mur ; 4 transitions. Inspection physique ; architecture complète encore ouverte.</x:v>
      </x:c>
      <x:c r="H2023" s="115" t="str">
        <x:v>L 79,65 ; l 98,78 ; hauteur 12,45 m ; choix de composition auteur ; dimensions réelles à documenter</x:v>
      </x:c>
      <x:c r="I2023" s="115" t="str">
        <x:v>À équilibrer</x:v>
      </x:c>
      <x:c r="J2023" s="115" t="str">
        <x:v>Non</x:v>
      </x:c>
      <x:c r="K2023" s="115" t="str">
        <x:v>Pièces décrites, murs, portes, niveaux et mobilier inspectables à l’échelle. Volumes réservés, raccord au seed, butin, rencontres et services de campagne restent à terminer.</x:v>
      </x:c>
    </x:row>
    <x:row r="2024" ht="96" customHeight="1">
      <x:c r="A2024" s="115" t="str">
        <x:v>EXT-MONDE-T041-V19</x:v>
      </x:c>
      <x:c r="B2024" s="115" t="str">
        <x:v>EXT-MONDE-T041</x:v>
      </x:c>
      <x:c r="C2024" s="115" t="str">
        <x:v>HLM visitables</x:v>
      </x:c>
      <x:c r="D2024" s="115" t="str">
        <x:v>Barre HLM</x:v>
      </x:c>
      <x:c r="E2024" s="115" t="n">
        <x:v>19</x:v>
      </x:c>
      <x:c r="F2024" s="115" t="str">
        <x:v>Inspection physique</x:v>
      </x:c>
      <x:c r="G2024" s="115" t="str">
        <x:v>5 niveaux ; 98 pièces ; 742 segments de mur ; 4 transitions. Inspection physique ; architecture complète encore ouverte.</x:v>
      </x:c>
      <x:c r="H2024" s="115" t="str">
        <x:v>L 80,05 ; l 87,6 ; hauteur 12,55 m ; choix de composition auteur ; dimensions réelles à documenter</x:v>
      </x:c>
      <x:c r="I2024" s="115" t="str">
        <x:v>À équilibrer</x:v>
      </x:c>
      <x:c r="J2024" s="115" t="str">
        <x:v>Non</x:v>
      </x:c>
      <x:c r="K2024" s="115" t="str">
        <x:v>Pièces décrites, murs, portes, niveaux et mobilier inspectables à l’échelle. Volumes réservés, raccord au seed, butin, rencontres et services de campagne restent à terminer.</x:v>
      </x:c>
    </x:row>
    <x:row r="2025" ht="96" customHeight="1">
      <x:c r="A2025" s="115" t="str">
        <x:v>EXT-MONDE-T041-V20</x:v>
      </x:c>
      <x:c r="B2025" s="115" t="str">
        <x:v>EXT-MONDE-T041</x:v>
      </x:c>
      <x:c r="C2025" s="115" t="str">
        <x:v>HLM visitables</x:v>
      </x:c>
      <x:c r="D2025" s="115" t="str">
        <x:v>Barre HLM</x:v>
      </x:c>
      <x:c r="E2025" s="115" t="n">
        <x:v>20</x:v>
      </x:c>
      <x:c r="F2025" s="115" t="str">
        <x:v>Inspection physique</x:v>
      </x:c>
      <x:c r="G2025" s="115" t="str">
        <x:v>5 niveaux ; 146 pièces ; 1086 segments de mur ; 4 transitions. Inspection physique ; architecture complète encore ouverte.</x:v>
      </x:c>
      <x:c r="H2025" s="115" t="str">
        <x:v>L 80,45 ; l 99,62 ; hauteur 12,35 m ; choix de composition auteur ; dimensions réelles à documenter</x:v>
      </x:c>
      <x:c r="I2025" s="115" t="str">
        <x:v>À équilibrer</x:v>
      </x:c>
      <x:c r="J2025" s="115" t="str">
        <x:v>Non</x:v>
      </x:c>
      <x:c r="K2025" s="115" t="str">
        <x:v>Pièces décrites, murs, portes, niveaux et mobilier inspectables à l’échelle. Volumes réservés, raccord au seed, butin, rencontres et services de campagne restent à terminer.</x:v>
      </x:c>
    </x:row>
    <x:row r="2026" ht="96" customHeight="1">
      <x:c r="A2026" s="115" t="str">
        <x:v>EXT-MONDE-T041-V21</x:v>
      </x:c>
      <x:c r="B2026" s="115" t="str">
        <x:v>EXT-MONDE-T041</x:v>
      </x:c>
      <x:c r="C2026" s="115" t="str">
        <x:v>HLM visitables</x:v>
      </x:c>
      <x:c r="D2026" s="115" t="str">
        <x:v>Barre HLM</x:v>
      </x:c>
      <x:c r="E2026" s="115" t="n">
        <x:v>21</x:v>
      </x:c>
      <x:c r="F2026" s="115" t="str">
        <x:v>Inspection physique</x:v>
      </x:c>
      <x:c r="G2026" s="115" t="str">
        <x:v>6 niveaux ; 122 pièces ; 921 segments de mur ; 5 transitions. Inspection physique ; architecture complète encore ouverte.</x:v>
      </x:c>
      <x:c r="H2026" s="115" t="str">
        <x:v>L 77,4 ; l 85,12 ; hauteur 15,35 m ; choix de composition auteur ; dimensions réelles à documenter</x:v>
      </x:c>
      <x:c r="I2026" s="115" t="str">
        <x:v>À équilibrer</x:v>
      </x:c>
      <x:c r="J2026" s="115" t="str">
        <x:v>Non</x:v>
      </x:c>
      <x:c r="K2026" s="115" t="str">
        <x:v>Pièces décrites, murs, portes, niveaux et mobilier inspectables à l’échelle. Volumes réservés, raccord au seed, butin, rencontres et services de campagne restent à terminer.</x:v>
      </x:c>
    </x:row>
    <x:row r="2027" ht="96" customHeight="1">
      <x:c r="A2027" s="115" t="str">
        <x:v>EXT-MONDE-T041-V22</x:v>
      </x:c>
      <x:c r="B2027" s="115" t="str">
        <x:v>EXT-MONDE-T041</x:v>
      </x:c>
      <x:c r="C2027" s="115" t="str">
        <x:v>HLM visitables</x:v>
      </x:c>
      <x:c r="D2027" s="115" t="str">
        <x:v>Barre HLM</x:v>
      </x:c>
      <x:c r="E2027" s="115" t="n">
        <x:v>22</x:v>
      </x:c>
      <x:c r="F2027" s="115" t="str">
        <x:v>Inspection physique</x:v>
      </x:c>
      <x:c r="G2027" s="115" t="str">
        <x:v>6 niveaux ; 182 pièces ; 1351 segments de mur ; 5 transitions. Inspection physique ; architecture complète encore ouverte.</x:v>
      </x:c>
      <x:c r="H2027" s="115" t="str">
        <x:v>L 77,8 ; l 97,1 ; hauteur 15,45 m ; choix de composition auteur ; dimensions réelles à documenter</x:v>
      </x:c>
      <x:c r="I2027" s="115" t="str">
        <x:v>À équilibrer</x:v>
      </x:c>
      <x:c r="J2027" s="115" t="str">
        <x:v>Non</x:v>
      </x:c>
      <x:c r="K2027" s="115" t="str">
        <x:v>Pièces décrites, murs, portes, niveaux et mobilier inspectables à l’échelle. Volumes réservés, raccord au seed, butin, rencontres et services de campagne restent à terminer.</x:v>
      </x:c>
    </x:row>
    <x:row r="2028" ht="96" customHeight="1">
      <x:c r="A2028" s="115" t="str">
        <x:v>EXT-MONDE-T041-V23</x:v>
      </x:c>
      <x:c r="B2028" s="115" t="str">
        <x:v>EXT-MONDE-T041</x:v>
      </x:c>
      <x:c r="C2028" s="115" t="str">
        <x:v>HLM visitables</x:v>
      </x:c>
      <x:c r="D2028" s="115" t="str">
        <x:v>Barre HLM</x:v>
      </x:c>
      <x:c r="E2028" s="115" t="n">
        <x:v>23</x:v>
      </x:c>
      <x:c r="F2028" s="115" t="str">
        <x:v>Inspection physique</x:v>
      </x:c>
      <x:c r="G2028" s="115" t="str">
        <x:v>6 niveaux ; 122 pièces ; 921 segments de mur ; 5 transitions. Inspection physique ; architecture complète encore ouverte.</x:v>
      </x:c>
      <x:c r="H2028" s="115" t="str">
        <x:v>L 78,2 ; l 85,88 ; hauteur 15,55 m ; choix de composition auteur ; dimensions réelles à documenter</x:v>
      </x:c>
      <x:c r="I2028" s="115" t="str">
        <x:v>À équilibrer</x:v>
      </x:c>
      <x:c r="J2028" s="115" t="str">
        <x:v>Non</x:v>
      </x:c>
      <x:c r="K2028" s="115" t="str">
        <x:v>Pièces décrites, murs, portes, niveaux et mobilier inspectables à l’échelle. Volumes réservés, raccord au seed, butin, rencontres et services de campagne restent à terminer.</x:v>
      </x:c>
    </x:row>
    <x:row r="2029" ht="96" customHeight="1">
      <x:c r="A2029" s="115" t="str">
        <x:v>EXT-MONDE-T041-V24</x:v>
      </x:c>
      <x:c r="B2029" s="115" t="str">
        <x:v>EXT-MONDE-T041</x:v>
      </x:c>
      <x:c r="C2029" s="115" t="str">
        <x:v>HLM visitables</x:v>
      </x:c>
      <x:c r="D2029" s="115" t="str">
        <x:v>Barre HLM</x:v>
      </x:c>
      <x:c r="E2029" s="115" t="n">
        <x:v>24</x:v>
      </x:c>
      <x:c r="F2029" s="115" t="str">
        <x:v>Inspection physique</x:v>
      </x:c>
      <x:c r="G2029" s="115" t="str">
        <x:v>6 niveaux ; 182 pièces ; 1351 segments de mur ; 5 transitions. Inspection physique ; architecture complète encore ouverte.</x:v>
      </x:c>
      <x:c r="H2029" s="115" t="str">
        <x:v>L 78,6 ; l 97,94 ; hauteur 15,35 m ; choix de composition auteur ; dimensions réelles à documenter</x:v>
      </x:c>
      <x:c r="I2029" s="115" t="str">
        <x:v>À équilibrer</x:v>
      </x:c>
      <x:c r="J2029" s="115" t="str">
        <x:v>Non</x:v>
      </x:c>
      <x:c r="K2029" s="115" t="str">
        <x:v>Pièces décrites, murs, portes, niveaux et mobilier inspectables à l’échelle. Volumes réservés, raccord au seed, butin, rencontres et services de campagne restent à terminer.</x:v>
      </x:c>
    </x:row>
    <x:row r="2030" ht="96" customHeight="1">
      <x:c r="A2030" s="115" t="str">
        <x:v>EXT-MONDE-T041-V25</x:v>
      </x:c>
      <x:c r="B2030" s="115" t="str">
        <x:v>EXT-MONDE-T041</x:v>
      </x:c>
      <x:c r="C2030" s="115" t="str">
        <x:v>HLM visitables</x:v>
      </x:c>
      <x:c r="D2030" s="115" t="str">
        <x:v>Barre HLM</x:v>
      </x:c>
      <x:c r="E2030" s="115" t="n">
        <x:v>25</x:v>
      </x:c>
      <x:c r="F2030" s="115" t="str">
        <x:v>Inspection physique</x:v>
      </x:c>
      <x:c r="G2030" s="115" t="str">
        <x:v>6 niveaux ; 122 pièces ; 921 segments de mur ; 5 transitions. Inspection physique ; architecture complète encore ouverte.</x:v>
      </x:c>
      <x:c r="H2030" s="115" t="str">
        <x:v>L 79 ; l 86,64 ; hauteur 15,45 m ; choix de composition auteur ; dimensions réelles à documenter</x:v>
      </x:c>
      <x:c r="I2030" s="115" t="str">
        <x:v>À équilibrer</x:v>
      </x:c>
      <x:c r="J2030" s="115" t="str">
        <x:v>Non</x:v>
      </x:c>
      <x:c r="K2030" s="115" t="str">
        <x:v>Pièces décrites, murs, portes, niveaux et mobilier inspectables à l’échelle. Volumes réservés, raccord au seed, butin, rencontres et services de campagne restent à terminer.</x:v>
      </x:c>
    </x:row>
    <x:row r="2031" ht="96" customHeight="1">
      <x:c r="A2031" s="115" t="str">
        <x:v>EXT-MONDE-T041-V26</x:v>
      </x:c>
      <x:c r="B2031" s="115" t="str">
        <x:v>EXT-MONDE-T041</x:v>
      </x:c>
      <x:c r="C2031" s="115" t="str">
        <x:v>HLM visitables</x:v>
      </x:c>
      <x:c r="D2031" s="115" t="str">
        <x:v>Barre HLM</x:v>
      </x:c>
      <x:c r="E2031" s="115" t="n">
        <x:v>26</x:v>
      </x:c>
      <x:c r="F2031" s="115" t="str">
        <x:v>Inspection physique</x:v>
      </x:c>
      <x:c r="G2031" s="115" t="str">
        <x:v>6 niveaux ; 182 pièces ; 1351 segments de mur ; 5 transitions. Inspection physique ; architecture complète encore ouverte.</x:v>
      </x:c>
      <x:c r="H2031" s="115" t="str">
        <x:v>L 79,05 ; l 98,18 ; hauteur 15,55 m ; choix de composition auteur ; dimensions réelles à documenter</x:v>
      </x:c>
      <x:c r="I2031" s="115" t="str">
        <x:v>À équilibrer</x:v>
      </x:c>
      <x:c r="J2031" s="115" t="str">
        <x:v>Non</x:v>
      </x:c>
      <x:c r="K2031" s="115" t="str">
        <x:v>Pièces décrites, murs, portes, niveaux et mobilier inspectables à l’échelle. Volumes réservés, raccord au seed, butin, rencontres et services de campagne restent à terminer.</x:v>
      </x:c>
    </x:row>
    <x:row r="2032" ht="96" customHeight="1">
      <x:c r="A2032" s="115" t="str">
        <x:v>EXT-MONDE-T041-V27</x:v>
      </x:c>
      <x:c r="B2032" s="115" t="str">
        <x:v>EXT-MONDE-T041</x:v>
      </x:c>
      <x:c r="C2032" s="115" t="str">
        <x:v>HLM visitables</x:v>
      </x:c>
      <x:c r="D2032" s="115" t="str">
        <x:v>Barre HLM</x:v>
      </x:c>
      <x:c r="E2032" s="115" t="n">
        <x:v>27</x:v>
      </x:c>
      <x:c r="F2032" s="115" t="str">
        <x:v>Inspection physique</x:v>
      </x:c>
      <x:c r="G2032" s="115" t="str">
        <x:v>6 niveaux ; 122 pièces ; 921 segments de mur ; 5 transitions. Inspection physique ; architecture complète encore ouverte.</x:v>
      </x:c>
      <x:c r="H2032" s="115" t="str">
        <x:v>L 79,45 ; l 87 ; hauteur 15,35 m ; choix de composition auteur ; dimensions réelles à documenter</x:v>
      </x:c>
      <x:c r="I2032" s="115" t="str">
        <x:v>À équilibrer</x:v>
      </x:c>
      <x:c r="J2032" s="115" t="str">
        <x:v>Non</x:v>
      </x:c>
      <x:c r="K2032" s="115" t="str">
        <x:v>Pièces décrites, murs, portes, niveaux et mobilier inspectables à l’échelle. Volumes réservés, raccord au seed, butin, rencontres et services de campagne restent à terminer.</x:v>
      </x:c>
    </x:row>
    <x:row r="2033" ht="96" customHeight="1">
      <x:c r="A2033" s="115" t="str">
        <x:v>EXT-MONDE-T041-V28</x:v>
      </x:c>
      <x:c r="B2033" s="115" t="str">
        <x:v>EXT-MONDE-T041</x:v>
      </x:c>
      <x:c r="C2033" s="115" t="str">
        <x:v>HLM visitables</x:v>
      </x:c>
      <x:c r="D2033" s="115" t="str">
        <x:v>Barre HLM</x:v>
      </x:c>
      <x:c r="E2033" s="115" t="n">
        <x:v>28</x:v>
      </x:c>
      <x:c r="F2033" s="115" t="str">
        <x:v>Inspection physique</x:v>
      </x:c>
      <x:c r="G2033" s="115" t="str">
        <x:v>6 niveaux ; 182 pièces ; 1351 segments de mur ; 5 transitions. Inspection physique ; architecture complète encore ouverte.</x:v>
      </x:c>
      <x:c r="H2033" s="115" t="str">
        <x:v>L 79,85 ; l 99,02 ; hauteur 15,45 m ; choix de composition auteur ; dimensions réelles à documenter</x:v>
      </x:c>
      <x:c r="I2033" s="115" t="str">
        <x:v>À équilibrer</x:v>
      </x:c>
      <x:c r="J2033" s="115" t="str">
        <x:v>Non</x:v>
      </x:c>
      <x:c r="K2033" s="115" t="str">
        <x:v>Pièces décrites, murs, portes, niveaux et mobilier inspectables à l’échelle. Volumes réservés, raccord au seed, butin, rencontres et services de campagne restent à terminer.</x:v>
      </x:c>
    </x:row>
    <x:row r="2034" ht="96" customHeight="1">
      <x:c r="A2034" s="115" t="str">
        <x:v>EXT-MONDE-T041-V29</x:v>
      </x:c>
      <x:c r="B2034" s="115" t="str">
        <x:v>EXT-MONDE-T041</x:v>
      </x:c>
      <x:c r="C2034" s="115" t="str">
        <x:v>HLM visitables</x:v>
      </x:c>
      <x:c r="D2034" s="115" t="str">
        <x:v>Barre HLM</x:v>
      </x:c>
      <x:c r="E2034" s="115" t="n">
        <x:v>29</x:v>
      </x:c>
      <x:c r="F2034" s="115" t="str">
        <x:v>Inspection physique</x:v>
      </x:c>
      <x:c r="G2034" s="115" t="str">
        <x:v>6 niveaux ; 122 pièces ; 921 segments de mur ; 5 transitions. Inspection physique ; architecture complète encore ouverte.</x:v>
      </x:c>
      <x:c r="H2034" s="115" t="str">
        <x:v>L 80,25 ; l 87,76 ; hauteur 15,55 m ; choix de composition auteur ; dimensions réelles à documenter</x:v>
      </x:c>
      <x:c r="I2034" s="115" t="str">
        <x:v>À équilibrer</x:v>
      </x:c>
      <x:c r="J2034" s="115" t="str">
        <x:v>Non</x:v>
      </x:c>
      <x:c r="K2034" s="115" t="str">
        <x:v>Pièces décrites, murs, portes, niveaux et mobilier inspectables à l’échelle. Volumes réservés, raccord au seed, butin, rencontres et services de campagne restent à terminer.</x:v>
      </x:c>
    </x:row>
    <x:row r="2035" ht="96" customHeight="1">
      <x:c r="A2035" s="115" t="str">
        <x:v>EXT-MONDE-T041-V30</x:v>
      </x:c>
      <x:c r="B2035" s="115" t="str">
        <x:v>EXT-MONDE-T041</x:v>
      </x:c>
      <x:c r="C2035" s="115" t="str">
        <x:v>HLM visitables</x:v>
      </x:c>
      <x:c r="D2035" s="115" t="str">
        <x:v>Barre HLM</x:v>
      </x:c>
      <x:c r="E2035" s="115" t="n">
        <x:v>30</x:v>
      </x:c>
      <x:c r="F2035" s="115" t="str">
        <x:v>Inspection physique</x:v>
      </x:c>
      <x:c r="G2035" s="115" t="str">
        <x:v>6 niveaux ; 182 pièces ; 1351 segments de mur ; 5 transitions. Inspection physique ; architecture complète encore ouverte.</x:v>
      </x:c>
      <x:c r="H2035" s="115" t="str">
        <x:v>L 80,65 ; l 99,86 ; hauteur 15,35 m ; choix de composition auteur ; dimensions réelles à documenter</x:v>
      </x:c>
      <x:c r="I2035" s="115" t="str">
        <x:v>À équilibrer</x:v>
      </x:c>
      <x:c r="J2035" s="115" t="str">
        <x:v>Non</x:v>
      </x:c>
      <x:c r="K2035" s="115" t="str">
        <x:v>Pièces décrites, murs, portes, niveaux et mobilier inspectables à l’échelle. Volumes réservés, raccord au seed, butin, rencontres et services de campagne restent à terminer.</x:v>
      </x:c>
    </x:row>
    <x:row r="2036" ht="96" customHeight="1">
      <x:c r="A2036" s="115" t="str">
        <x:v>EXT-MONDE-T041-V31</x:v>
      </x:c>
      <x:c r="B2036" s="115" t="str">
        <x:v>EXT-MONDE-T041</x:v>
      </x:c>
      <x:c r="C2036" s="115" t="str">
        <x:v>HLM visitables</x:v>
      </x:c>
      <x:c r="D2036" s="115" t="str">
        <x:v>Barre HLM</x:v>
      </x:c>
      <x:c r="E2036" s="115" t="n">
        <x:v>31</x:v>
      </x:c>
      <x:c r="F2036" s="115" t="str">
        <x:v>Inspection physique</x:v>
      </x:c>
      <x:c r="G2036" s="115" t="str">
        <x:v>7 niveaux ; 146 pièces ; 1100 segments de mur ; 6 transitions. Inspection physique ; architecture complète encore ouverte.</x:v>
      </x:c>
      <x:c r="H2036" s="115" t="str">
        <x:v>L 77,6 ; l 85,28 ; hauteur 18,35 m ; choix de composition auteur ; dimensions réelles à documenter</x:v>
      </x:c>
      <x:c r="I2036" s="115" t="str">
        <x:v>À équilibrer</x:v>
      </x:c>
      <x:c r="J2036" s="115" t="str">
        <x:v>Non</x:v>
      </x:c>
      <x:c r="K2036" s="115" t="str">
        <x:v>Pièces décrites, murs, portes, niveaux et mobilier inspectables à l’échelle. Volumes réservés, raccord au seed, butin, rencontres et services de campagne restent à terminer.</x:v>
      </x:c>
    </x:row>
    <x:row r="2037" ht="96" customHeight="1">
      <x:c r="A2037" s="115" t="str">
        <x:v>EXT-MONDE-T041-V32</x:v>
      </x:c>
      <x:c r="B2037" s="115" t="str">
        <x:v>EXT-MONDE-T041</x:v>
      </x:c>
      <x:c r="C2037" s="115" t="str">
        <x:v>HLM visitables</x:v>
      </x:c>
      <x:c r="D2037" s="115" t="str">
        <x:v>Barre HLM</x:v>
      </x:c>
      <x:c r="E2037" s="115" t="n">
        <x:v>32</x:v>
      </x:c>
      <x:c r="F2037" s="115" t="str">
        <x:v>Inspection physique</x:v>
      </x:c>
      <x:c r="G2037" s="115" t="str">
        <x:v>7 niveaux ; 218 pièces ; 1616 segments de mur ; 6 transitions. Inspection physique ; architecture complète encore ouverte.</x:v>
      </x:c>
      <x:c r="H2037" s="115" t="str">
        <x:v>L 78 ; l 97,34 ; hauteur 18,45 m ; choix de composition auteur ; dimensions réelles à documenter</x:v>
      </x:c>
      <x:c r="I2037" s="115" t="str">
        <x:v>À équilibrer</x:v>
      </x:c>
      <x:c r="J2037" s="115" t="str">
        <x:v>Non</x:v>
      </x:c>
      <x:c r="K2037" s="115" t="str">
        <x:v>Pièces décrites, murs, portes, niveaux et mobilier inspectables à l’échelle. Volumes réservés, raccord au seed, butin, rencontres et services de campagne restent à terminer.</x:v>
      </x:c>
    </x:row>
    <x:row r="2038" ht="96" customHeight="1">
      <x:c r="A2038" s="115" t="str">
        <x:v>EXT-MONDE-T041-V33</x:v>
      </x:c>
      <x:c r="B2038" s="115" t="str">
        <x:v>EXT-MONDE-T041</x:v>
      </x:c>
      <x:c r="C2038" s="115" t="str">
        <x:v>HLM visitables</x:v>
      </x:c>
      <x:c r="D2038" s="115" t="str">
        <x:v>Barre HLM</x:v>
      </x:c>
      <x:c r="E2038" s="115" t="n">
        <x:v>33</x:v>
      </x:c>
      <x:c r="F2038" s="115" t="str">
        <x:v>Inspection physique</x:v>
      </x:c>
      <x:c r="G2038" s="115" t="str">
        <x:v>7 niveaux ; 146 pièces ; 1100 segments de mur ; 6 transitions. Inspection physique ; architecture complète encore ouverte.</x:v>
      </x:c>
      <x:c r="H2038" s="115" t="str">
        <x:v>L 78,4 ; l 86,04 ; hauteur 18,55 m ; choix de composition auteur ; dimensions réelles à documenter</x:v>
      </x:c>
      <x:c r="I2038" s="115" t="str">
        <x:v>À équilibrer</x:v>
      </x:c>
      <x:c r="J2038" s="115" t="str">
        <x:v>Non</x:v>
      </x:c>
      <x:c r="K2038" s="115" t="str">
        <x:v>Pièces décrites, murs, portes, niveaux et mobilier inspectables à l’échelle. Volumes réservés, raccord au seed, butin, rencontres et services de campagne restent à terminer.</x:v>
      </x:c>
    </x:row>
    <x:row r="2039" ht="96" customHeight="1">
      <x:c r="A2039" s="115" t="str">
        <x:v>EXT-MONDE-T041-V34</x:v>
      </x:c>
      <x:c r="B2039" s="115" t="str">
        <x:v>EXT-MONDE-T041</x:v>
      </x:c>
      <x:c r="C2039" s="115" t="str">
        <x:v>HLM visitables</x:v>
      </x:c>
      <x:c r="D2039" s="115" t="str">
        <x:v>Barre HLM</x:v>
      </x:c>
      <x:c r="E2039" s="115" t="n">
        <x:v>34</x:v>
      </x:c>
      <x:c r="F2039" s="115" t="str">
        <x:v>Inspection physique</x:v>
      </x:c>
      <x:c r="G2039" s="115" t="str">
        <x:v>7 niveaux ; 218 pièces ; 1616 segments de mur ; 6 transitions. Inspection physique ; architecture complète encore ouverte.</x:v>
      </x:c>
      <x:c r="H2039" s="115" t="str">
        <x:v>L 78,8 ; l 98,18 ; hauteur 18,35 m ; choix de composition auteur ; dimensions réelles à documenter</x:v>
      </x:c>
      <x:c r="I2039" s="115" t="str">
        <x:v>À équilibrer</x:v>
      </x:c>
      <x:c r="J2039" s="115" t="str">
        <x:v>Non</x:v>
      </x:c>
      <x:c r="K2039" s="115" t="str">
        <x:v>Pièces décrites, murs, portes, niveaux et mobilier inspectables à l’échelle. Volumes réservés, raccord au seed, butin, rencontres et services de campagne restent à terminer.</x:v>
      </x:c>
    </x:row>
    <x:row r="2040" ht="96" customHeight="1">
      <x:c r="A2040" s="115" t="str">
        <x:v>EXT-MONDE-T041-V35</x:v>
      </x:c>
      <x:c r="B2040" s="115" t="str">
        <x:v>EXT-MONDE-T041</x:v>
      </x:c>
      <x:c r="C2040" s="115" t="str">
        <x:v>HLM visitables</x:v>
      </x:c>
      <x:c r="D2040" s="115" t="str">
        <x:v>Barre HLM</x:v>
      </x:c>
      <x:c r="E2040" s="115" t="n">
        <x:v>35</x:v>
      </x:c>
      <x:c r="F2040" s="115" t="str">
        <x:v>Inspection physique</x:v>
      </x:c>
      <x:c r="G2040" s="115" t="str">
        <x:v>7 niveaux ; 146 pièces ; 1100 segments de mur ; 6 transitions. Inspection physique ; architecture complète encore ouverte.</x:v>
      </x:c>
      <x:c r="H2040" s="115" t="str">
        <x:v>L 79,2 ; l 86,8 ; hauteur 18,45 m ; choix de composition auteur ; dimensions réelles à documenter</x:v>
      </x:c>
      <x:c r="I2040" s="115" t="str">
        <x:v>À équilibrer</x:v>
      </x:c>
      <x:c r="J2040" s="115" t="str">
        <x:v>Non</x:v>
      </x:c>
      <x:c r="K2040" s="115" t="str">
        <x:v>Pièces décrites, murs, portes, niveaux et mobilier inspectables à l’échelle. Volumes réservés, raccord au seed, butin, rencontres et services de campagne restent à terminer.</x:v>
      </x:c>
    </x:row>
    <x:row r="2041" ht="96" customHeight="1">
      <x:c r="A2041" s="115" t="str">
        <x:v>EXT-MONDE-T041-V36</x:v>
      </x:c>
      <x:c r="B2041" s="115" t="str">
        <x:v>EXT-MONDE-T041</x:v>
      </x:c>
      <x:c r="C2041" s="115" t="str">
        <x:v>HLM visitables</x:v>
      </x:c>
      <x:c r="D2041" s="115" t="str">
        <x:v>Barre HLM</x:v>
      </x:c>
      <x:c r="E2041" s="115" t="n">
        <x:v>36</x:v>
      </x:c>
      <x:c r="F2041" s="115" t="str">
        <x:v>Inspection physique</x:v>
      </x:c>
      <x:c r="G2041" s="115" t="str">
        <x:v>7 niveaux ; 218 pièces ; 1616 segments de mur ; 6 transitions. Inspection physique ; architecture complète encore ouverte.</x:v>
      </x:c>
      <x:c r="H2041" s="115" t="str">
        <x:v>L 79,25 ; l 98,42 ; hauteur 18,55 m ; choix de composition auteur ; dimensions réelles à documenter</x:v>
      </x:c>
      <x:c r="I2041" s="115" t="str">
        <x:v>À équilibrer</x:v>
      </x:c>
      <x:c r="J2041" s="115" t="str">
        <x:v>Non</x:v>
      </x:c>
      <x:c r="K2041" s="115" t="str">
        <x:v>Pièces décrites, murs, portes, niveaux et mobilier inspectables à l’échelle. Volumes réservés, raccord au seed, butin, rencontres et services de campagne restent à terminer.</x:v>
      </x:c>
    </x:row>
    <x:row r="2042" ht="96" customHeight="1">
      <x:c r="A2042" s="115" t="str">
        <x:v>EXT-MONDE-T041-V37</x:v>
      </x:c>
      <x:c r="B2042" s="115" t="str">
        <x:v>EXT-MONDE-T041</x:v>
      </x:c>
      <x:c r="C2042" s="115" t="str">
        <x:v>HLM visitables</x:v>
      </x:c>
      <x:c r="D2042" s="115" t="str">
        <x:v>Barre HLM</x:v>
      </x:c>
      <x:c r="E2042" s="115" t="n">
        <x:v>37</x:v>
      </x:c>
      <x:c r="F2042" s="115" t="str">
        <x:v>Inspection physique</x:v>
      </x:c>
      <x:c r="G2042" s="115" t="str">
        <x:v>7 niveaux ; 146 pièces ; 1100 segments de mur ; 6 transitions. Inspection physique ; architecture complète encore ouverte.</x:v>
      </x:c>
      <x:c r="H2042" s="115" t="str">
        <x:v>L 79,65 ; l 87,16 ; hauteur 18,35 m ; choix de composition auteur ; dimensions réelles à documenter</x:v>
      </x:c>
      <x:c r="I2042" s="115" t="str">
        <x:v>À équilibrer</x:v>
      </x:c>
      <x:c r="J2042" s="115" t="str">
        <x:v>Non</x:v>
      </x:c>
      <x:c r="K2042" s="115" t="str">
        <x:v>Pièces décrites, murs, portes, niveaux et mobilier inspectables à l’échelle. Volumes réservés, raccord au seed, butin, rencontres et services de campagne restent à terminer.</x:v>
      </x:c>
    </x:row>
    <x:row r="2043" ht="96" customHeight="1">
      <x:c r="A2043" s="115" t="str">
        <x:v>EXT-MONDE-T041-V38</x:v>
      </x:c>
      <x:c r="B2043" s="115" t="str">
        <x:v>EXT-MONDE-T041</x:v>
      </x:c>
      <x:c r="C2043" s="115" t="str">
        <x:v>HLM visitables</x:v>
      </x:c>
      <x:c r="D2043" s="115" t="str">
        <x:v>Barre HLM</x:v>
      </x:c>
      <x:c r="E2043" s="115" t="n">
        <x:v>38</x:v>
      </x:c>
      <x:c r="F2043" s="115" t="str">
        <x:v>Inspection physique</x:v>
      </x:c>
      <x:c r="G2043" s="115" t="str">
        <x:v>7 niveaux ; 218 pièces ; 1616 segments de mur ; 6 transitions. Inspection physique ; architecture complète encore ouverte.</x:v>
      </x:c>
      <x:c r="H2043" s="115" t="str">
        <x:v>L 80,05 ; l 99,26 ; hauteur 18,45 m ; choix de composition auteur ; dimensions réelles à documenter</x:v>
      </x:c>
      <x:c r="I2043" s="115" t="str">
        <x:v>À équilibrer</x:v>
      </x:c>
      <x:c r="J2043" s="115" t="str">
        <x:v>Non</x:v>
      </x:c>
      <x:c r="K2043" s="115" t="str">
        <x:v>Pièces décrites, murs, portes, niveaux et mobilier inspectables à l’échelle. Volumes réservés, raccord au seed, butin, rencontres et services de campagne restent à terminer.</x:v>
      </x:c>
    </x:row>
    <x:row r="2044" ht="96" customHeight="1">
      <x:c r="A2044" s="115" t="str">
        <x:v>EXT-MONDE-T041-V39</x:v>
      </x:c>
      <x:c r="B2044" s="115" t="str">
        <x:v>EXT-MONDE-T041</x:v>
      </x:c>
      <x:c r="C2044" s="115" t="str">
        <x:v>HLM visitables</x:v>
      </x:c>
      <x:c r="D2044" s="115" t="str">
        <x:v>Barre HLM</x:v>
      </x:c>
      <x:c r="E2044" s="115" t="n">
        <x:v>39</x:v>
      </x:c>
      <x:c r="F2044" s="115" t="str">
        <x:v>Inspection physique</x:v>
      </x:c>
      <x:c r="G2044" s="115" t="str">
        <x:v>7 niveaux ; 146 pièces ; 1100 segments de mur ; 6 transitions. Inspection physique ; architecture complète encore ouverte.</x:v>
      </x:c>
      <x:c r="H2044" s="115" t="str">
        <x:v>L 80,45 ; l 87,92 ; hauteur 18,55 m ; choix de composition auteur ; dimensions réelles à documenter</x:v>
      </x:c>
      <x:c r="I2044" s="115" t="str">
        <x:v>À équilibrer</x:v>
      </x:c>
      <x:c r="J2044" s="115" t="str">
        <x:v>Non</x:v>
      </x:c>
      <x:c r="K2044" s="115" t="str">
        <x:v>Pièces décrites, murs, portes, niveaux et mobilier inspectables à l’échelle. Volumes réservés, raccord au seed, butin, rencontres et services de campagne restent à terminer.</x:v>
      </x:c>
    </x:row>
    <x:row r="2045" ht="96" customHeight="1">
      <x:c r="A2045" s="115" t="str">
        <x:v>EXT-MONDE-T041-V40</x:v>
      </x:c>
      <x:c r="B2045" s="115" t="str">
        <x:v>EXT-MONDE-T041</x:v>
      </x:c>
      <x:c r="C2045" s="115" t="str">
        <x:v>HLM visitables</x:v>
      </x:c>
      <x:c r="D2045" s="115" t="str">
        <x:v>Barre HLM</x:v>
      </x:c>
      <x:c r="E2045" s="115" t="n">
        <x:v>40</x:v>
      </x:c>
      <x:c r="F2045" s="115" t="str">
        <x:v>Inspection physique</x:v>
      </x:c>
      <x:c r="G2045" s="115" t="str">
        <x:v>7 niveaux ; 218 pièces ; 1616 segments de mur ; 6 transitions. Inspection physique ; architecture complète encore ouverte.</x:v>
      </x:c>
      <x:c r="H2045" s="115" t="str">
        <x:v>L 80,85 ; l 100,1 ; hauteur 18,35 m ; choix de composition auteur ; dimensions réelles à documenter</x:v>
      </x:c>
      <x:c r="I2045" s="115" t="str">
        <x:v>À équilibrer</x:v>
      </x:c>
      <x:c r="J2045" s="115" t="str">
        <x:v>Non</x:v>
      </x:c>
      <x:c r="K2045" s="115" t="str">
        <x:v>Pièces décrites, murs, portes, niveaux et mobilier inspectables à l’échelle. Volumes réservés, raccord au seed, butin, rencontres et services de campagne restent à terminer.</x:v>
      </x:c>
    </x:row>
    <x:row r="2046" ht="96" customHeight="1">
      <x:c r="A2046" s="115" t="str">
        <x:v>EXT-MONDE-T041-V41</x:v>
      </x:c>
      <x:c r="B2046" s="115" t="str">
        <x:v>EXT-MONDE-T041</x:v>
      </x:c>
      <x:c r="C2046" s="115" t="str">
        <x:v>HLM visitables</x:v>
      </x:c>
      <x:c r="D2046" s="115" t="str">
        <x:v>Barre HLM</x:v>
      </x:c>
      <x:c r="E2046" s="115" t="n">
        <x:v>41</x:v>
      </x:c>
      <x:c r="F2046" s="115" t="str">
        <x:v>Inspection physique</x:v>
      </x:c>
      <x:c r="G2046" s="115" t="str">
        <x:v>8 niveaux ; 170 pièces ; 1279 segments de mur ; 7 transitions. Inspection physique ; architecture complète encore ouverte.</x:v>
      </x:c>
      <x:c r="H2046" s="115" t="str">
        <x:v>L 77,8 ; l 85,44 ; hauteur 21,35 m ; choix de composition auteur ; dimensions réelles à documenter</x:v>
      </x:c>
      <x:c r="I2046" s="115" t="str">
        <x:v>À équilibrer</x:v>
      </x:c>
      <x:c r="J2046" s="115" t="str">
        <x:v>Non</x:v>
      </x:c>
      <x:c r="K2046" s="115" t="str">
        <x:v>Pièces décrites, murs, portes, niveaux et mobilier inspectables à l’échelle. Volumes réservés, raccord au seed, butin, rencontres et services de campagne restent à terminer.</x:v>
      </x:c>
    </x:row>
    <x:row r="2047" ht="96" customHeight="1">
      <x:c r="A2047" s="115" t="str">
        <x:v>EXT-MONDE-T041-V42</x:v>
      </x:c>
      <x:c r="B2047" s="115" t="str">
        <x:v>EXT-MONDE-T041</x:v>
      </x:c>
      <x:c r="C2047" s="115" t="str">
        <x:v>HLM visitables</x:v>
      </x:c>
      <x:c r="D2047" s="115" t="str">
        <x:v>Barre HLM</x:v>
      </x:c>
      <x:c r="E2047" s="115" t="n">
        <x:v>42</x:v>
      </x:c>
      <x:c r="F2047" s="115" t="str">
        <x:v>Inspection physique</x:v>
      </x:c>
      <x:c r="G2047" s="115" t="str">
        <x:v>8 niveaux ; 254 pièces ; 1881 segments de mur ; 7 transitions. Inspection physique ; architecture complète encore ouverte.</x:v>
      </x:c>
      <x:c r="H2047" s="115" t="str">
        <x:v>L 78,2 ; l 97,58 ; hauteur 21,45 m ; choix de composition auteur ; dimensions réelles à documenter</x:v>
      </x:c>
      <x:c r="I2047" s="115" t="str">
        <x:v>À équilibrer</x:v>
      </x:c>
      <x:c r="J2047" s="115" t="str">
        <x:v>Non</x:v>
      </x:c>
      <x:c r="K2047" s="115" t="str">
        <x:v>Pièces décrites, murs, portes, niveaux et mobilier inspectables à l’échelle. Volumes réservés, raccord au seed, butin, rencontres et services de campagne restent à terminer.</x:v>
      </x:c>
    </x:row>
    <x:row r="2048" ht="96" customHeight="1">
      <x:c r="A2048" s="115" t="str">
        <x:v>EXT-MONDE-T041-V43</x:v>
      </x:c>
      <x:c r="B2048" s="115" t="str">
        <x:v>EXT-MONDE-T041</x:v>
      </x:c>
      <x:c r="C2048" s="115" t="str">
        <x:v>HLM visitables</x:v>
      </x:c>
      <x:c r="D2048" s="115" t="str">
        <x:v>Barre HLM</x:v>
      </x:c>
      <x:c r="E2048" s="115" t="n">
        <x:v>43</x:v>
      </x:c>
      <x:c r="F2048" s="115" t="str">
        <x:v>Inspection physique</x:v>
      </x:c>
      <x:c r="G2048" s="115" t="str">
        <x:v>8 niveaux ; 170 pièces ; 1279 segments de mur ; 7 transitions. Inspection physique ; architecture complète encore ouverte.</x:v>
      </x:c>
      <x:c r="H2048" s="115" t="str">
        <x:v>L 78,6 ; l 86,2 ; hauteur 21,55 m ; choix de composition auteur ; dimensions réelles à documenter</x:v>
      </x:c>
      <x:c r="I2048" s="115" t="str">
        <x:v>À équilibrer</x:v>
      </x:c>
      <x:c r="J2048" s="115" t="str">
        <x:v>Non</x:v>
      </x:c>
      <x:c r="K2048" s="115" t="str">
        <x:v>Pièces décrites, murs, portes, niveaux et mobilier inspectables à l’échelle. Volumes réservés, raccord au seed, butin, rencontres et services de campagne restent à terminer.</x:v>
      </x:c>
    </x:row>
    <x:row r="2049" ht="96" customHeight="1">
      <x:c r="A2049" s="115" t="str">
        <x:v>EXT-MONDE-T041-V44</x:v>
      </x:c>
      <x:c r="B2049" s="115" t="str">
        <x:v>EXT-MONDE-T041</x:v>
      </x:c>
      <x:c r="C2049" s="115" t="str">
        <x:v>HLM visitables</x:v>
      </x:c>
      <x:c r="D2049" s="115" t="str">
        <x:v>Barre HLM</x:v>
      </x:c>
      <x:c r="E2049" s="115" t="n">
        <x:v>44</x:v>
      </x:c>
      <x:c r="F2049" s="115" t="str">
        <x:v>Inspection physique</x:v>
      </x:c>
      <x:c r="G2049" s="115" t="str">
        <x:v>8 niveaux ; 254 pièces ; 1881 segments de mur ; 7 transitions. Inspection physique ; architecture complète encore ouverte.</x:v>
      </x:c>
      <x:c r="H2049" s="115" t="str">
        <x:v>L 79 ; l 98,42 ; hauteur 21,35 m ; choix de composition auteur ; dimensions réelles à documenter</x:v>
      </x:c>
      <x:c r="I2049" s="115" t="str">
        <x:v>À équilibrer</x:v>
      </x:c>
      <x:c r="J2049" s="115" t="str">
        <x:v>Non</x:v>
      </x:c>
      <x:c r="K2049" s="115" t="str">
        <x:v>Pièces décrites, murs, portes, niveaux et mobilier inspectables à l’échelle. Volumes réservés, raccord au seed, butin, rencontres et services de campagne restent à terminer.</x:v>
      </x:c>
    </x:row>
    <x:row r="2050" ht="96" customHeight="1">
      <x:c r="A2050" s="115" t="str">
        <x:v>EXT-MONDE-T041-V45</x:v>
      </x:c>
      <x:c r="B2050" s="115" t="str">
        <x:v>EXT-MONDE-T041</x:v>
      </x:c>
      <x:c r="C2050" s="115" t="str">
        <x:v>HLM visitables</x:v>
      </x:c>
      <x:c r="D2050" s="115" t="str">
        <x:v>Barre HLM</x:v>
      </x:c>
      <x:c r="E2050" s="115" t="n">
        <x:v>45</x:v>
      </x:c>
      <x:c r="F2050" s="115" t="str">
        <x:v>Inspection physique</x:v>
      </x:c>
      <x:c r="G2050" s="115" t="str">
        <x:v>8 niveaux ; 170 pièces ; 1279 segments de mur ; 7 transitions. Inspection physique ; architecture complète encore ouverte.</x:v>
      </x:c>
      <x:c r="H2050" s="115" t="str">
        <x:v>L 79,4 ; l 86,96 ; hauteur 21,45 m ; choix de composition auteur ; dimensions réelles à documenter</x:v>
      </x:c>
      <x:c r="I2050" s="115" t="str">
        <x:v>À équilibrer</x:v>
      </x:c>
      <x:c r="J2050" s="115" t="str">
        <x:v>Non</x:v>
      </x:c>
      <x:c r="K2050" s="115" t="str">
        <x:v>Pièces décrites, murs, portes, niveaux et mobilier inspectables à l’échelle. Volumes réservés, raccord au seed, butin, rencontres et services de campagne restent à terminer.</x:v>
      </x:c>
    </x:row>
    <x:row r="2051" ht="96" customHeight="1">
      <x:c r="A2051" s="115" t="str">
        <x:v>EXT-MONDE-T041-V46</x:v>
      </x:c>
      <x:c r="B2051" s="115" t="str">
        <x:v>EXT-MONDE-T041</x:v>
      </x:c>
      <x:c r="C2051" s="115" t="str">
        <x:v>HLM visitables</x:v>
      </x:c>
      <x:c r="D2051" s="115" t="str">
        <x:v>Barre HLM</x:v>
      </x:c>
      <x:c r="E2051" s="115" t="n">
        <x:v>46</x:v>
      </x:c>
      <x:c r="F2051" s="115" t="str">
        <x:v>Inspection physique</x:v>
      </x:c>
      <x:c r="G2051" s="115" t="str">
        <x:v>8 niveaux ; 254 pièces ; 1881 segments de mur ; 7 transitions. Inspection physique ; architecture complète encore ouverte.</x:v>
      </x:c>
      <x:c r="H2051" s="115" t="str">
        <x:v>L 79,45 ; l 98,66 ; hauteur 21,55 m ; choix de composition auteur ; dimensions réelles à documenter</x:v>
      </x:c>
      <x:c r="I2051" s="115" t="str">
        <x:v>À équilibrer</x:v>
      </x:c>
      <x:c r="J2051" s="115" t="str">
        <x:v>Non</x:v>
      </x:c>
      <x:c r="K2051" s="115" t="str">
        <x:v>Pièces décrites, murs, portes, niveaux et mobilier inspectables à l’échelle. Volumes réservés, raccord au seed, butin, rencontres et services de campagne restent à terminer.</x:v>
      </x:c>
    </x:row>
    <x:row r="2052" ht="96" customHeight="1">
      <x:c r="A2052" s="115" t="str">
        <x:v>EXT-MONDE-T041-V47</x:v>
      </x:c>
      <x:c r="B2052" s="115" t="str">
        <x:v>EXT-MONDE-T041</x:v>
      </x:c>
      <x:c r="C2052" s="115" t="str">
        <x:v>HLM visitables</x:v>
      </x:c>
      <x:c r="D2052" s="115" t="str">
        <x:v>Barre HLM</x:v>
      </x:c>
      <x:c r="E2052" s="115" t="n">
        <x:v>47</x:v>
      </x:c>
      <x:c r="F2052" s="115" t="str">
        <x:v>Inspection physique</x:v>
      </x:c>
      <x:c r="G2052" s="115" t="str">
        <x:v>8 niveaux ; 170 pièces ; 1279 segments de mur ; 7 transitions. Inspection physique ; architecture complète encore ouverte.</x:v>
      </x:c>
      <x:c r="H2052" s="115" t="str">
        <x:v>L 79,85 ; l 87,32 ; hauteur 21,35 m ; choix de composition auteur ; dimensions réelles à documenter</x:v>
      </x:c>
      <x:c r="I2052" s="115" t="str">
        <x:v>À équilibrer</x:v>
      </x:c>
      <x:c r="J2052" s="115" t="str">
        <x:v>Non</x:v>
      </x:c>
      <x:c r="K2052" s="115" t="str">
        <x:v>Pièces décrites, murs, portes, niveaux et mobilier inspectables à l’échelle. Volumes réservés, raccord au seed, butin, rencontres et services de campagne restent à terminer.</x:v>
      </x:c>
    </x:row>
    <x:row r="2053" ht="96" customHeight="1">
      <x:c r="A2053" s="115" t="str">
        <x:v>EXT-MONDE-T041-V48</x:v>
      </x:c>
      <x:c r="B2053" s="115" t="str">
        <x:v>EXT-MONDE-T041</x:v>
      </x:c>
      <x:c r="C2053" s="115" t="str">
        <x:v>HLM visitables</x:v>
      </x:c>
      <x:c r="D2053" s="115" t="str">
        <x:v>Barre HLM</x:v>
      </x:c>
      <x:c r="E2053" s="115" t="n">
        <x:v>48</x:v>
      </x:c>
      <x:c r="F2053" s="115" t="str">
        <x:v>Inspection physique</x:v>
      </x:c>
      <x:c r="G2053" s="115" t="str">
        <x:v>8 niveaux ; 254 pièces ; 1881 segments de mur ; 7 transitions. Inspection physique ; architecture complète encore ouverte.</x:v>
      </x:c>
      <x:c r="H2053" s="115" t="str">
        <x:v>L 80,25 ; l 99,5 ; hauteur 21,45 m ; choix de composition auteur ; dimensions réelles à documenter</x:v>
      </x:c>
      <x:c r="I2053" s="115" t="str">
        <x:v>À équilibrer</x:v>
      </x:c>
      <x:c r="J2053" s="115" t="str">
        <x:v>Non</x:v>
      </x:c>
      <x:c r="K2053" s="115" t="str">
        <x:v>Pièces décrites, murs, portes, niveaux et mobilier inspectables à l’échelle. Volumes réservés, raccord au seed, butin, rencontres et services de campagne restent à terminer.</x:v>
      </x:c>
    </x:row>
    <x:row r="2054" ht="96" customHeight="1">
      <x:c r="A2054" s="115" t="str">
        <x:v>EXT-MONDE-T041-V49</x:v>
      </x:c>
      <x:c r="B2054" s="115" t="str">
        <x:v>EXT-MONDE-T041</x:v>
      </x:c>
      <x:c r="C2054" s="115" t="str">
        <x:v>HLM visitables</x:v>
      </x:c>
      <x:c r="D2054" s="115" t="str">
        <x:v>Barre HLM</x:v>
      </x:c>
      <x:c r="E2054" s="115" t="n">
        <x:v>49</x:v>
      </x:c>
      <x:c r="F2054" s="115" t="str">
        <x:v>Inspection physique</x:v>
      </x:c>
      <x:c r="G2054" s="115" t="str">
        <x:v>8 niveaux ; 170 pièces ; 1279 segments de mur ; 7 transitions. Inspection physique ; architecture complète encore ouverte.</x:v>
      </x:c>
      <x:c r="H2054" s="115" t="str">
        <x:v>L 80,65 ; l 88,08 ; hauteur 21,55 m ; choix de composition auteur ; dimensions réelles à documenter</x:v>
      </x:c>
      <x:c r="I2054" s="115" t="str">
        <x:v>À équilibrer</x:v>
      </x:c>
      <x:c r="J2054" s="115" t="str">
        <x:v>Non</x:v>
      </x:c>
      <x:c r="K2054" s="115" t="str">
        <x:v>Pièces décrites, murs, portes, niveaux et mobilier inspectables à l’échelle. Volumes réservés, raccord au seed, butin, rencontres et services de campagne restent à terminer.</x:v>
      </x:c>
    </x:row>
    <x:row r="2055" ht="96" customHeight="1">
      <x:c r="A2055" s="115" t="str">
        <x:v>EXT-MONDE-T041-V50</x:v>
      </x:c>
      <x:c r="B2055" s="115" t="str">
        <x:v>EXT-MONDE-T041</x:v>
      </x:c>
      <x:c r="C2055" s="115" t="str">
        <x:v>HLM visitables</x:v>
      </x:c>
      <x:c r="D2055" s="115" t="str">
        <x:v>Barre HLM</x:v>
      </x:c>
      <x:c r="E2055" s="115" t="n">
        <x:v>50</x:v>
      </x:c>
      <x:c r="F2055" s="115" t="str">
        <x:v>Inspection physique</x:v>
      </x:c>
      <x:c r="G2055" s="115" t="str">
        <x:v>8 niveaux ; 254 pièces ; 1881 segments de mur ; 7 transitions. Inspection physique ; architecture complète encore ouverte.</x:v>
      </x:c>
      <x:c r="H2055" s="115" t="str">
        <x:v>L 81,05 ; l 100,34 ; hauteur 21,35 m ; choix de composition auteur ; dimensions réelles à documenter</x:v>
      </x:c>
      <x:c r="I2055" s="115" t="str">
        <x:v>À équilibrer</x:v>
      </x:c>
      <x:c r="J2055" s="115" t="str">
        <x:v>Non</x:v>
      </x:c>
      <x:c r="K2055" s="115" t="str">
        <x:v>Pièces décrites, murs, portes, niveaux et mobilier inspectables à l’échelle. Volumes réservés, raccord au seed, butin, rencontres et services de campagne restent à terminer.</x:v>
      </x:c>
    </x:row>
    <x:row r="2056" ht="96" customHeight="1">
      <x:c r="A2056" s="115" t="str">
        <x:v>EXT-MONDE-T042-V01</x:v>
      </x:c>
      <x:c r="B2056" s="115" t="str">
        <x:v>EXT-MONDE-T042</x:v>
      </x:c>
      <x:c r="C2056" s="115" t="str">
        <x:v>HLM visitables</x:v>
      </x:c>
      <x:c r="D2056" s="115" t="str">
        <x:v>Tour HLM</x:v>
      </x:c>
      <x:c r="E2056" s="115" t="n">
        <x:v>1</x:v>
      </x:c>
      <x:c r="F2056" s="115" t="str">
        <x:v>Inspection physique</x:v>
      </x:c>
      <x:c r="G2056" s="115" t="str">
        <x:v>8 niveaux ; 170 pièces ; 1279 segments de mur ; 7 transitions. Inspection physique ; architecture complète encore ouverte.</x:v>
      </x:c>
      <x:c r="H2056" s="115" t="str">
        <x:v>L 77 ; l 84,8 ; hauteur 21,35 m ; choix de composition auteur ; dimensions réelles à documenter</x:v>
      </x:c>
      <x:c r="I2056" s="115" t="str">
        <x:v>À équilibrer</x:v>
      </x:c>
      <x:c r="J2056" s="115" t="str">
        <x:v>Non</x:v>
      </x:c>
      <x:c r="K2056" s="115" t="str">
        <x:v>Pièces décrites, murs, portes, niveaux et mobilier inspectables à l’échelle. Volumes réservés, raccord au seed, butin, rencontres et services de campagne restent à terminer.</x:v>
      </x:c>
    </x:row>
    <x:row r="2057" ht="96" customHeight="1">
      <x:c r="A2057" s="115" t="str">
        <x:v>EXT-MONDE-T042-V02</x:v>
      </x:c>
      <x:c r="B2057" s="115" t="str">
        <x:v>EXT-MONDE-T042</x:v>
      </x:c>
      <x:c r="C2057" s="115" t="str">
        <x:v>HLM visitables</x:v>
      </x:c>
      <x:c r="D2057" s="115" t="str">
        <x:v>Tour HLM</x:v>
      </x:c>
      <x:c r="E2057" s="115" t="n">
        <x:v>2</x:v>
      </x:c>
      <x:c r="F2057" s="115" t="str">
        <x:v>Inspection physique</x:v>
      </x:c>
      <x:c r="G2057" s="115" t="str">
        <x:v>8 niveaux ; 170 pièces ; 1279 segments de mur ; 7 transitions. Inspection physique ; architecture complète encore ouverte.</x:v>
      </x:c>
      <x:c r="H2057" s="115" t="str">
        <x:v>L 77,4 ; l 85,18 ; hauteur 21,45 m ; choix de composition auteur ; dimensions réelles à documenter</x:v>
      </x:c>
      <x:c r="I2057" s="115" t="str">
        <x:v>À équilibrer</x:v>
      </x:c>
      <x:c r="J2057" s="115" t="str">
        <x:v>Non</x:v>
      </x:c>
      <x:c r="K2057" s="115" t="str">
        <x:v>Pièces décrites, murs, portes, niveaux et mobilier inspectables à l’échelle. Volumes réservés, raccord au seed, butin, rencontres et services de campagne restent à terminer.</x:v>
      </x:c>
    </x:row>
    <x:row r="2058" ht="96" customHeight="1">
      <x:c r="A2058" s="115" t="str">
        <x:v>EXT-MONDE-T042-V03</x:v>
      </x:c>
      <x:c r="B2058" s="115" t="str">
        <x:v>EXT-MONDE-T042</x:v>
      </x:c>
      <x:c r="C2058" s="115" t="str">
        <x:v>HLM visitables</x:v>
      </x:c>
      <x:c r="D2058" s="115" t="str">
        <x:v>Tour HLM</x:v>
      </x:c>
      <x:c r="E2058" s="115" t="n">
        <x:v>3</x:v>
      </x:c>
      <x:c r="F2058" s="115" t="str">
        <x:v>Inspection physique</x:v>
      </x:c>
      <x:c r="G2058" s="115" t="str">
        <x:v>8 niveaux ; 170 pièces ; 1279 segments de mur ; 7 transitions. Inspection physique ; architecture complète encore ouverte.</x:v>
      </x:c>
      <x:c r="H2058" s="115" t="str">
        <x:v>L 77,8 ; l 85,56 ; hauteur 21,55 m ; choix de composition auteur ; dimensions réelles à documenter</x:v>
      </x:c>
      <x:c r="I2058" s="115" t="str">
        <x:v>À équilibrer</x:v>
      </x:c>
      <x:c r="J2058" s="115" t="str">
        <x:v>Non</x:v>
      </x:c>
      <x:c r="K2058" s="115" t="str">
        <x:v>Pièces décrites, murs, portes, niveaux et mobilier inspectables à l’échelle. Volumes réservés, raccord au seed, butin, rencontres et services de campagne restent à terminer.</x:v>
      </x:c>
    </x:row>
    <x:row r="2059" ht="96" customHeight="1">
      <x:c r="A2059" s="115" t="str">
        <x:v>EXT-MONDE-T042-V04</x:v>
      </x:c>
      <x:c r="B2059" s="115" t="str">
        <x:v>EXT-MONDE-T042</x:v>
      </x:c>
      <x:c r="C2059" s="115" t="str">
        <x:v>HLM visitables</x:v>
      </x:c>
      <x:c r="D2059" s="115" t="str">
        <x:v>Tour HLM</x:v>
      </x:c>
      <x:c r="E2059" s="115" t="n">
        <x:v>4</x:v>
      </x:c>
      <x:c r="F2059" s="115" t="str">
        <x:v>Inspection physique</x:v>
      </x:c>
      <x:c r="G2059" s="115" t="str">
        <x:v>8 niveaux ; 170 pièces ; 1279 segments de mur ; 7 transitions. Inspection physique ; architecture complète encore ouverte.</x:v>
      </x:c>
      <x:c r="H2059" s="115" t="str">
        <x:v>L 78,2 ; l 85,94 ; hauteur 21,35 m ; choix de composition auteur ; dimensions réelles à documenter</x:v>
      </x:c>
      <x:c r="I2059" s="115" t="str">
        <x:v>À équilibrer</x:v>
      </x:c>
      <x:c r="J2059" s="115" t="str">
        <x:v>Non</x:v>
      </x:c>
      <x:c r="K2059" s="115" t="str">
        <x:v>Pièces décrites, murs, portes, niveaux et mobilier inspectables à l’échelle. Volumes réservés, raccord au seed, butin, rencontres et services de campagne restent à terminer.</x:v>
      </x:c>
    </x:row>
    <x:row r="2060" ht="96" customHeight="1">
      <x:c r="A2060" s="115" t="str">
        <x:v>EXT-MONDE-T042-V05</x:v>
      </x:c>
      <x:c r="B2060" s="115" t="str">
        <x:v>EXT-MONDE-T042</x:v>
      </x:c>
      <x:c r="C2060" s="115" t="str">
        <x:v>HLM visitables</x:v>
      </x:c>
      <x:c r="D2060" s="115" t="str">
        <x:v>Tour HLM</x:v>
      </x:c>
      <x:c r="E2060" s="115" t="n">
        <x:v>5</x:v>
      </x:c>
      <x:c r="F2060" s="115" t="str">
        <x:v>Inspection physique</x:v>
      </x:c>
      <x:c r="G2060" s="115" t="str">
        <x:v>8 niveaux ; 170 pièces ; 1279 segments de mur ; 7 transitions. Inspection physique ; architecture complète encore ouverte.</x:v>
      </x:c>
      <x:c r="H2060" s="115" t="str">
        <x:v>L 78,6 ; l 86,32 ; hauteur 21,45 m ; choix de composition auteur ; dimensions réelles à documenter</x:v>
      </x:c>
      <x:c r="I2060" s="115" t="str">
        <x:v>À équilibrer</x:v>
      </x:c>
      <x:c r="J2060" s="115" t="str">
        <x:v>Non</x:v>
      </x:c>
      <x:c r="K2060" s="115" t="str">
        <x:v>Pièces décrites, murs, portes, niveaux et mobilier inspectables à l’échelle. Volumes réservés, raccord au seed, butin, rencontres et services de campagne restent à terminer.</x:v>
      </x:c>
    </x:row>
    <x:row r="2061" ht="96" customHeight="1">
      <x:c r="A2061" s="115" t="str">
        <x:v>EXT-MONDE-T042-V06</x:v>
      </x:c>
      <x:c r="B2061" s="115" t="str">
        <x:v>EXT-MONDE-T042</x:v>
      </x:c>
      <x:c r="C2061" s="115" t="str">
        <x:v>HLM visitables</x:v>
      </x:c>
      <x:c r="D2061" s="115" t="str">
        <x:v>Tour HLM</x:v>
      </x:c>
      <x:c r="E2061" s="115" t="n">
        <x:v>6</x:v>
      </x:c>
      <x:c r="F2061" s="115" t="str">
        <x:v>Inspection physique</x:v>
      </x:c>
      <x:c r="G2061" s="115" t="str">
        <x:v>8 niveaux ; 170 pièces ; 1279 segments de mur ; 7 transitions. Inspection physique ; architecture complète encore ouverte.</x:v>
      </x:c>
      <x:c r="H2061" s="115" t="str">
        <x:v>L 78,65 ; l 86,3 ; hauteur 21,55 m ; choix de composition auteur ; dimensions réelles à documenter</x:v>
      </x:c>
      <x:c r="I2061" s="115" t="str">
        <x:v>À équilibrer</x:v>
      </x:c>
      <x:c r="J2061" s="115" t="str">
        <x:v>Non</x:v>
      </x:c>
      <x:c r="K2061" s="115" t="str">
        <x:v>Pièces décrites, murs, portes, niveaux et mobilier inspectables à l’échelle. Volumes réservés, raccord au seed, butin, rencontres et services de campagne restent à terminer.</x:v>
      </x:c>
    </x:row>
    <x:row r="2062" ht="96" customHeight="1">
      <x:c r="A2062" s="115" t="str">
        <x:v>EXT-MONDE-T042-V07</x:v>
      </x:c>
      <x:c r="B2062" s="115" t="str">
        <x:v>EXT-MONDE-T042</x:v>
      </x:c>
      <x:c r="C2062" s="115" t="str">
        <x:v>HLM visitables</x:v>
      </x:c>
      <x:c r="D2062" s="115" t="str">
        <x:v>Tour HLM</x:v>
      </x:c>
      <x:c r="E2062" s="115" t="n">
        <x:v>7</x:v>
      </x:c>
      <x:c r="F2062" s="115" t="str">
        <x:v>Inspection physique</x:v>
      </x:c>
      <x:c r="G2062" s="115" t="str">
        <x:v>8 niveaux ; 170 pièces ; 1279 segments de mur ; 7 transitions. Inspection physique ; architecture complète encore ouverte.</x:v>
      </x:c>
      <x:c r="H2062" s="115" t="str">
        <x:v>L 79,05 ; l 86,68 ; hauteur 21,35 m ; choix de composition auteur ; dimensions réelles à documenter</x:v>
      </x:c>
      <x:c r="I2062" s="115" t="str">
        <x:v>À équilibrer</x:v>
      </x:c>
      <x:c r="J2062" s="115" t="str">
        <x:v>Non</x:v>
      </x:c>
      <x:c r="K2062" s="115" t="str">
        <x:v>Pièces décrites, murs, portes, niveaux et mobilier inspectables à l’échelle. Volumes réservés, raccord au seed, butin, rencontres et services de campagne restent à terminer.</x:v>
      </x:c>
    </x:row>
    <x:row r="2063" ht="96" customHeight="1">
      <x:c r="A2063" s="115" t="str">
        <x:v>EXT-MONDE-T042-V08</x:v>
      </x:c>
      <x:c r="B2063" s="115" t="str">
        <x:v>EXT-MONDE-T042</x:v>
      </x:c>
      <x:c r="C2063" s="115" t="str">
        <x:v>HLM visitables</x:v>
      </x:c>
      <x:c r="D2063" s="115" t="str">
        <x:v>Tour HLM</x:v>
      </x:c>
      <x:c r="E2063" s="115" t="n">
        <x:v>8</x:v>
      </x:c>
      <x:c r="F2063" s="115" t="str">
        <x:v>Inspection physique</x:v>
      </x:c>
      <x:c r="G2063" s="115" t="str">
        <x:v>8 niveaux ; 170 pièces ; 1279 segments de mur ; 7 transitions. Inspection physique ; architecture complète encore ouverte.</x:v>
      </x:c>
      <x:c r="H2063" s="115" t="str">
        <x:v>L 79,45 ; l 87,06 ; hauteur 21,45 m ; choix de composition auteur ; dimensions réelles à documenter</x:v>
      </x:c>
      <x:c r="I2063" s="115" t="str">
        <x:v>À équilibrer</x:v>
      </x:c>
      <x:c r="J2063" s="115" t="str">
        <x:v>Non</x:v>
      </x:c>
      <x:c r="K2063" s="115" t="str">
        <x:v>Pièces décrites, murs, portes, niveaux et mobilier inspectables à l’échelle. Volumes réservés, raccord au seed, butin, rencontres et services de campagne restent à terminer.</x:v>
      </x:c>
    </x:row>
    <x:row r="2064" ht="96" customHeight="1">
      <x:c r="A2064" s="115" t="str">
        <x:v>EXT-MONDE-T042-V09</x:v>
      </x:c>
      <x:c r="B2064" s="115" t="str">
        <x:v>EXT-MONDE-T042</x:v>
      </x:c>
      <x:c r="C2064" s="115" t="str">
        <x:v>HLM visitables</x:v>
      </x:c>
      <x:c r="D2064" s="115" t="str">
        <x:v>Tour HLM</x:v>
      </x:c>
      <x:c r="E2064" s="115" t="n">
        <x:v>9</x:v>
      </x:c>
      <x:c r="F2064" s="115" t="str">
        <x:v>Inspection physique</x:v>
      </x:c>
      <x:c r="G2064" s="115" t="str">
        <x:v>8 niveaux ; 170 pièces ; 1279 segments de mur ; 7 transitions. Inspection physique ; architecture complète encore ouverte.</x:v>
      </x:c>
      <x:c r="H2064" s="115" t="str">
        <x:v>L 79,85 ; l 87,44 ; hauteur 21,55 m ; choix de composition auteur ; dimensions réelles à documenter</x:v>
      </x:c>
      <x:c r="I2064" s="115" t="str">
        <x:v>À équilibrer</x:v>
      </x:c>
      <x:c r="J2064" s="115" t="str">
        <x:v>Non</x:v>
      </x:c>
      <x:c r="K2064" s="115" t="str">
        <x:v>Pièces décrites, murs, portes, niveaux et mobilier inspectables à l’échelle. Volumes réservés, raccord au seed, butin, rencontres et services de campagne restent à terminer.</x:v>
      </x:c>
    </x:row>
    <x:row r="2065" ht="96" customHeight="1">
      <x:c r="A2065" s="115" t="str">
        <x:v>EXT-MONDE-T042-V10</x:v>
      </x:c>
      <x:c r="B2065" s="115" t="str">
        <x:v>EXT-MONDE-T042</x:v>
      </x:c>
      <x:c r="C2065" s="115" t="str">
        <x:v>HLM visitables</x:v>
      </x:c>
      <x:c r="D2065" s="115" t="str">
        <x:v>Tour HLM</x:v>
      </x:c>
      <x:c r="E2065" s="115" t="n">
        <x:v>10</x:v>
      </x:c>
      <x:c r="F2065" s="115" t="str">
        <x:v>Inspection physique</x:v>
      </x:c>
      <x:c r="G2065" s="115" t="str">
        <x:v>8 niveaux ; 170 pièces ; 1279 segments de mur ; 7 transitions. Inspection physique ; architecture complète encore ouverte.</x:v>
      </x:c>
      <x:c r="H2065" s="115" t="str">
        <x:v>L 80,25 ; l 87,82 ; hauteur 21,35 m ; choix de composition auteur ; dimensions réelles à documenter</x:v>
      </x:c>
      <x:c r="I2065" s="115" t="str">
        <x:v>À équilibrer</x:v>
      </x:c>
      <x:c r="J2065" s="115" t="str">
        <x:v>Non</x:v>
      </x:c>
      <x:c r="K2065" s="115" t="str">
        <x:v>Pièces décrites, murs, portes, niveaux et mobilier inspectables à l’échelle. Volumes réservés, raccord au seed, butin, rencontres et services de campagne restent à terminer.</x:v>
      </x:c>
    </x:row>
    <x:row r="2066" ht="96" customHeight="1">
      <x:c r="A2066" s="115" t="str">
        <x:v>EXT-MONDE-T042-V11</x:v>
      </x:c>
      <x:c r="B2066" s="115" t="str">
        <x:v>EXT-MONDE-T042</x:v>
      </x:c>
      <x:c r="C2066" s="115" t="str">
        <x:v>HLM visitables</x:v>
      </x:c>
      <x:c r="D2066" s="115" t="str">
        <x:v>Tour HLM</x:v>
      </x:c>
      <x:c r="E2066" s="115" t="n">
        <x:v>11</x:v>
      </x:c>
      <x:c r="F2066" s="115" t="str">
        <x:v>Inspection physique</x:v>
      </x:c>
      <x:c r="G2066" s="115" t="str">
        <x:v>9 niveaux ; 194 pièces ; 1458 segments de mur ; 8 transitions. Inspection physique ; architecture complète encore ouverte.</x:v>
      </x:c>
      <x:c r="H2066" s="115" t="str">
        <x:v>L 77,2 ; l 84,96 ; hauteur 24,35 m ; choix de composition auteur ; dimensions réelles à documenter</x:v>
      </x:c>
      <x:c r="I2066" s="115" t="str">
        <x:v>À équilibrer</x:v>
      </x:c>
      <x:c r="J2066" s="115" t="str">
        <x:v>Non</x:v>
      </x:c>
      <x:c r="K2066" s="115" t="str">
        <x:v>Pièces décrites, murs, portes, niveaux et mobilier inspectables à l’échelle. Volumes réservés, raccord au seed, butin, rencontres et services de campagne restent à terminer.</x:v>
      </x:c>
    </x:row>
    <x:row r="2067" ht="96" customHeight="1">
      <x:c r="A2067" s="115" t="str">
        <x:v>EXT-MONDE-T042-V12</x:v>
      </x:c>
      <x:c r="B2067" s="115" t="str">
        <x:v>EXT-MONDE-T042</x:v>
      </x:c>
      <x:c r="C2067" s="115" t="str">
        <x:v>HLM visitables</x:v>
      </x:c>
      <x:c r="D2067" s="115" t="str">
        <x:v>Tour HLM</x:v>
      </x:c>
      <x:c r="E2067" s="115" t="n">
        <x:v>12</x:v>
      </x:c>
      <x:c r="F2067" s="115" t="str">
        <x:v>Inspection physique</x:v>
      </x:c>
      <x:c r="G2067" s="115" t="str">
        <x:v>9 niveaux ; 194 pièces ; 1458 segments de mur ; 8 transitions. Inspection physique ; architecture complète encore ouverte.</x:v>
      </x:c>
      <x:c r="H2067" s="115" t="str">
        <x:v>L 77,6 ; l 85,34 ; hauteur 24,45 m ; choix de composition auteur ; dimensions réelles à documenter</x:v>
      </x:c>
      <x:c r="I2067" s="115" t="str">
        <x:v>À équilibrer</x:v>
      </x:c>
      <x:c r="J2067" s="115" t="str">
        <x:v>Non</x:v>
      </x:c>
      <x:c r="K2067" s="115" t="str">
        <x:v>Pièces décrites, murs, portes, niveaux et mobilier inspectables à l’échelle. Volumes réservés, raccord au seed, butin, rencontres et services de campagne restent à terminer.</x:v>
      </x:c>
    </x:row>
    <x:row r="2068" ht="96" customHeight="1">
      <x:c r="A2068" s="115" t="str">
        <x:v>EXT-MONDE-T042-V13</x:v>
      </x:c>
      <x:c r="B2068" s="115" t="str">
        <x:v>EXT-MONDE-T042</x:v>
      </x:c>
      <x:c r="C2068" s="115" t="str">
        <x:v>HLM visitables</x:v>
      </x:c>
      <x:c r="D2068" s="115" t="str">
        <x:v>Tour HLM</x:v>
      </x:c>
      <x:c r="E2068" s="115" t="n">
        <x:v>13</x:v>
      </x:c>
      <x:c r="F2068" s="115" t="str">
        <x:v>Inspection physique</x:v>
      </x:c>
      <x:c r="G2068" s="115" t="str">
        <x:v>9 niveaux ; 194 pièces ; 1458 segments de mur ; 8 transitions. Inspection physique ; architecture complète encore ouverte.</x:v>
      </x:c>
      <x:c r="H2068" s="115" t="str">
        <x:v>L 78 ; l 85,72 ; hauteur 24,55 m ; choix de composition auteur ; dimensions réelles à documenter</x:v>
      </x:c>
      <x:c r="I2068" s="115" t="str">
        <x:v>À équilibrer</x:v>
      </x:c>
      <x:c r="J2068" s="115" t="str">
        <x:v>Non</x:v>
      </x:c>
      <x:c r="K2068" s="115" t="str">
        <x:v>Pièces décrites, murs, portes, niveaux et mobilier inspectables à l’échelle. Volumes réservés, raccord au seed, butin, rencontres et services de campagne restent à terminer.</x:v>
      </x:c>
    </x:row>
    <x:row r="2069" ht="96" customHeight="1">
      <x:c r="A2069" s="115" t="str">
        <x:v>EXT-MONDE-T042-V14</x:v>
      </x:c>
      <x:c r="B2069" s="115" t="str">
        <x:v>EXT-MONDE-T042</x:v>
      </x:c>
      <x:c r="C2069" s="115" t="str">
        <x:v>HLM visitables</x:v>
      </x:c>
      <x:c r="D2069" s="115" t="str">
        <x:v>Tour HLM</x:v>
      </x:c>
      <x:c r="E2069" s="115" t="n">
        <x:v>14</x:v>
      </x:c>
      <x:c r="F2069" s="115" t="str">
        <x:v>Inspection physique</x:v>
      </x:c>
      <x:c r="G2069" s="115" t="str">
        <x:v>9 niveaux ; 194 pièces ; 1458 segments de mur ; 8 transitions. Inspection physique ; architecture complète encore ouverte.</x:v>
      </x:c>
      <x:c r="H2069" s="115" t="str">
        <x:v>L 78,4 ; l 86,1 ; hauteur 24,35 m ; choix de composition auteur ; dimensions réelles à documenter</x:v>
      </x:c>
      <x:c r="I2069" s="115" t="str">
        <x:v>À équilibrer</x:v>
      </x:c>
      <x:c r="J2069" s="115" t="str">
        <x:v>Non</x:v>
      </x:c>
      <x:c r="K2069" s="115" t="str">
        <x:v>Pièces décrites, murs, portes, niveaux et mobilier inspectables à l’échelle. Volumes réservés, raccord au seed, butin, rencontres et services de campagne restent à terminer.</x:v>
      </x:c>
    </x:row>
    <x:row r="2070" ht="96" customHeight="1">
      <x:c r="A2070" s="115" t="str">
        <x:v>EXT-MONDE-T042-V15</x:v>
      </x:c>
      <x:c r="B2070" s="115" t="str">
        <x:v>EXT-MONDE-T042</x:v>
      </x:c>
      <x:c r="C2070" s="115" t="str">
        <x:v>HLM visitables</x:v>
      </x:c>
      <x:c r="D2070" s="115" t="str">
        <x:v>Tour HLM</x:v>
      </x:c>
      <x:c r="E2070" s="115" t="n">
        <x:v>15</x:v>
      </x:c>
      <x:c r="F2070" s="115" t="str">
        <x:v>Inspection physique</x:v>
      </x:c>
      <x:c r="G2070" s="115" t="str">
        <x:v>9 niveaux ; 194 pièces ; 1458 segments de mur ; 8 transitions. Inspection physique ; architecture complète encore ouverte.</x:v>
      </x:c>
      <x:c r="H2070" s="115" t="str">
        <x:v>L 78,8 ; l 86,48 ; hauteur 24,45 m ; choix de composition auteur ; dimensions réelles à documenter</x:v>
      </x:c>
      <x:c r="I2070" s="115" t="str">
        <x:v>À équilibrer</x:v>
      </x:c>
      <x:c r="J2070" s="115" t="str">
        <x:v>Non</x:v>
      </x:c>
      <x:c r="K2070" s="115" t="str">
        <x:v>Pièces décrites, murs, portes, niveaux et mobilier inspectables à l’échelle. Volumes réservés, raccord au seed, butin, rencontres et services de campagne restent à terminer.</x:v>
      </x:c>
    </x:row>
    <x:row r="2071" ht="96" customHeight="1">
      <x:c r="A2071" s="115" t="str">
        <x:v>EXT-MONDE-T042-V16</x:v>
      </x:c>
      <x:c r="B2071" s="115" t="str">
        <x:v>EXT-MONDE-T042</x:v>
      </x:c>
      <x:c r="C2071" s="115" t="str">
        <x:v>HLM visitables</x:v>
      </x:c>
      <x:c r="D2071" s="115" t="str">
        <x:v>Tour HLM</x:v>
      </x:c>
      <x:c r="E2071" s="115" t="n">
        <x:v>16</x:v>
      </x:c>
      <x:c r="F2071" s="115" t="str">
        <x:v>Inspection physique</x:v>
      </x:c>
      <x:c r="G2071" s="115" t="str">
        <x:v>9 niveaux ; 194 pièces ; 1458 segments de mur ; 8 transitions. Inspection physique ; architecture complète encore ouverte.</x:v>
      </x:c>
      <x:c r="H2071" s="115" t="str">
        <x:v>L 78,85 ; l 86,46 ; hauteur 24,55 m ; choix de composition auteur ; dimensions réelles à documenter</x:v>
      </x:c>
      <x:c r="I2071" s="115" t="str">
        <x:v>À équilibrer</x:v>
      </x:c>
      <x:c r="J2071" s="115" t="str">
        <x:v>Non</x:v>
      </x:c>
      <x:c r="K2071" s="115" t="str">
        <x:v>Pièces décrites, murs, portes, niveaux et mobilier inspectables à l’échelle. Volumes réservés, raccord au seed, butin, rencontres et services de campagne restent à terminer.</x:v>
      </x:c>
    </x:row>
    <x:row r="2072" ht="96" customHeight="1">
      <x:c r="A2072" s="115" t="str">
        <x:v>EXT-MONDE-T042-V17</x:v>
      </x:c>
      <x:c r="B2072" s="115" t="str">
        <x:v>EXT-MONDE-T042</x:v>
      </x:c>
      <x:c r="C2072" s="115" t="str">
        <x:v>HLM visitables</x:v>
      </x:c>
      <x:c r="D2072" s="115" t="str">
        <x:v>Tour HLM</x:v>
      </x:c>
      <x:c r="E2072" s="115" t="n">
        <x:v>17</x:v>
      </x:c>
      <x:c r="F2072" s="115" t="str">
        <x:v>Inspection physique</x:v>
      </x:c>
      <x:c r="G2072" s="115" t="str">
        <x:v>9 niveaux ; 194 pièces ; 1458 segments de mur ; 8 transitions. Inspection physique ; architecture complète encore ouverte.</x:v>
      </x:c>
      <x:c r="H2072" s="115" t="str">
        <x:v>L 79,25 ; l 86,84 ; hauteur 24,35 m ; choix de composition auteur ; dimensions réelles à documenter</x:v>
      </x:c>
      <x:c r="I2072" s="115" t="str">
        <x:v>À équilibrer</x:v>
      </x:c>
      <x:c r="J2072" s="115" t="str">
        <x:v>Non</x:v>
      </x:c>
      <x:c r="K2072" s="115" t="str">
        <x:v>Pièces décrites, murs, portes, niveaux et mobilier inspectables à l’échelle. Volumes réservés, raccord au seed, butin, rencontres et services de campagne restent à terminer.</x:v>
      </x:c>
    </x:row>
    <x:row r="2073" ht="96" customHeight="1">
      <x:c r="A2073" s="115" t="str">
        <x:v>EXT-MONDE-T042-V18</x:v>
      </x:c>
      <x:c r="B2073" s="115" t="str">
        <x:v>EXT-MONDE-T042</x:v>
      </x:c>
      <x:c r="C2073" s="115" t="str">
        <x:v>HLM visitables</x:v>
      </x:c>
      <x:c r="D2073" s="115" t="str">
        <x:v>Tour HLM</x:v>
      </x:c>
      <x:c r="E2073" s="115" t="n">
        <x:v>18</x:v>
      </x:c>
      <x:c r="F2073" s="115" t="str">
        <x:v>Inspection physique</x:v>
      </x:c>
      <x:c r="G2073" s="115" t="str">
        <x:v>9 niveaux ; 194 pièces ; 1458 segments de mur ; 8 transitions. Inspection physique ; architecture complète encore ouverte.</x:v>
      </x:c>
      <x:c r="H2073" s="115" t="str">
        <x:v>L 79,65 ; l 87,22 ; hauteur 24,45 m ; choix de composition auteur ; dimensions réelles à documenter</x:v>
      </x:c>
      <x:c r="I2073" s="115" t="str">
        <x:v>À équilibrer</x:v>
      </x:c>
      <x:c r="J2073" s="115" t="str">
        <x:v>Non</x:v>
      </x:c>
      <x:c r="K2073" s="115" t="str">
        <x:v>Pièces décrites, murs, portes, niveaux et mobilier inspectables à l’échelle. Volumes réservés, raccord au seed, butin, rencontres et services de campagne restent à terminer.</x:v>
      </x:c>
    </x:row>
    <x:row r="2074" ht="96" customHeight="1">
      <x:c r="A2074" s="115" t="str">
        <x:v>EXT-MONDE-T042-V19</x:v>
      </x:c>
      <x:c r="B2074" s="115" t="str">
        <x:v>EXT-MONDE-T042</x:v>
      </x:c>
      <x:c r="C2074" s="115" t="str">
        <x:v>HLM visitables</x:v>
      </x:c>
      <x:c r="D2074" s="115" t="str">
        <x:v>Tour HLM</x:v>
      </x:c>
      <x:c r="E2074" s="115" t="n">
        <x:v>19</x:v>
      </x:c>
      <x:c r="F2074" s="115" t="str">
        <x:v>Inspection physique</x:v>
      </x:c>
      <x:c r="G2074" s="115" t="str">
        <x:v>9 niveaux ; 194 pièces ; 1458 segments de mur ; 8 transitions. Inspection physique ; architecture complète encore ouverte.</x:v>
      </x:c>
      <x:c r="H2074" s="115" t="str">
        <x:v>L 80,05 ; l 87,6 ; hauteur 24,55 m ; choix de composition auteur ; dimensions réelles à documenter</x:v>
      </x:c>
      <x:c r="I2074" s="115" t="str">
        <x:v>À équilibrer</x:v>
      </x:c>
      <x:c r="J2074" s="115" t="str">
        <x:v>Non</x:v>
      </x:c>
      <x:c r="K2074" s="115" t="str">
        <x:v>Pièces décrites, murs, portes, niveaux et mobilier inspectables à l’échelle. Volumes réservés, raccord au seed, butin, rencontres et services de campagne restent à terminer.</x:v>
      </x:c>
    </x:row>
    <x:row r="2075" ht="96" customHeight="1">
      <x:c r="A2075" s="115" t="str">
        <x:v>EXT-MONDE-T042-V20</x:v>
      </x:c>
      <x:c r="B2075" s="115" t="str">
        <x:v>EXT-MONDE-T042</x:v>
      </x:c>
      <x:c r="C2075" s="115" t="str">
        <x:v>HLM visitables</x:v>
      </x:c>
      <x:c r="D2075" s="115" t="str">
        <x:v>Tour HLM</x:v>
      </x:c>
      <x:c r="E2075" s="115" t="n">
        <x:v>20</x:v>
      </x:c>
      <x:c r="F2075" s="115" t="str">
        <x:v>Inspection physique</x:v>
      </x:c>
      <x:c r="G2075" s="115" t="str">
        <x:v>9 niveaux ; 194 pièces ; 1458 segments de mur ; 8 transitions. Inspection physique ; architecture complète encore ouverte.</x:v>
      </x:c>
      <x:c r="H2075" s="115" t="str">
        <x:v>L 80,45 ; l 87,98 ; hauteur 24,35 m ; choix de composition auteur ; dimensions réelles à documenter</x:v>
      </x:c>
      <x:c r="I2075" s="115" t="str">
        <x:v>À équilibrer</x:v>
      </x:c>
      <x:c r="J2075" s="115" t="str">
        <x:v>Non</x:v>
      </x:c>
      <x:c r="K2075" s="115" t="str">
        <x:v>Pièces décrites, murs, portes, niveaux et mobilier inspectables à l’échelle. Volumes réservés, raccord au seed, butin, rencontres et services de campagne restent à terminer.</x:v>
      </x:c>
    </x:row>
    <x:row r="2076" ht="96" customHeight="1">
      <x:c r="A2076" s="115" t="str">
        <x:v>EXT-MONDE-T042-V21</x:v>
      </x:c>
      <x:c r="B2076" s="115" t="str">
        <x:v>EXT-MONDE-T042</x:v>
      </x:c>
      <x:c r="C2076" s="115" t="str">
        <x:v>HLM visitables</x:v>
      </x:c>
      <x:c r="D2076" s="115" t="str">
        <x:v>Tour HLM</x:v>
      </x:c>
      <x:c r="E2076" s="115" t="n">
        <x:v>21</x:v>
      </x:c>
      <x:c r="F2076" s="115" t="str">
        <x:v>Inspection physique</x:v>
      </x:c>
      <x:c r="G2076" s="115" t="str">
        <x:v>10 niveaux ; 218 pièces ; 1637 segments de mur ; 9 transitions. Inspection physique ; architecture complète encore ouverte.</x:v>
      </x:c>
      <x:c r="H2076" s="115" t="str">
        <x:v>L 77,4 ; l 85,12 ; hauteur 27,35 m ; choix de composition auteur ; dimensions réelles à documenter</x:v>
      </x:c>
      <x:c r="I2076" s="115" t="str">
        <x:v>À équilibrer</x:v>
      </x:c>
      <x:c r="J2076" s="115" t="str">
        <x:v>Non</x:v>
      </x:c>
      <x:c r="K2076" s="115" t="str">
        <x:v>Pièces décrites, murs, portes, niveaux et mobilier inspectables à l’échelle. Volumes réservés, raccord au seed, butin, rencontres et services de campagne restent à terminer.</x:v>
      </x:c>
    </x:row>
    <x:row r="2077" ht="96" customHeight="1">
      <x:c r="A2077" s="115" t="str">
        <x:v>EXT-MONDE-T042-V22</x:v>
      </x:c>
      <x:c r="B2077" s="115" t="str">
        <x:v>EXT-MONDE-T042</x:v>
      </x:c>
      <x:c r="C2077" s="115" t="str">
        <x:v>HLM visitables</x:v>
      </x:c>
      <x:c r="D2077" s="115" t="str">
        <x:v>Tour HLM</x:v>
      </x:c>
      <x:c r="E2077" s="115" t="n">
        <x:v>22</x:v>
      </x:c>
      <x:c r="F2077" s="115" t="str">
        <x:v>Inspection physique</x:v>
      </x:c>
      <x:c r="G2077" s="115" t="str">
        <x:v>10 niveaux ; 218 pièces ; 1637 segments de mur ; 9 transitions. Inspection physique ; architecture complète encore ouverte.</x:v>
      </x:c>
      <x:c r="H2077" s="115" t="str">
        <x:v>L 77,8 ; l 85,5 ; hauteur 27,45 m ; choix de composition auteur ; dimensions réelles à documenter</x:v>
      </x:c>
      <x:c r="I2077" s="115" t="str">
        <x:v>À équilibrer</x:v>
      </x:c>
      <x:c r="J2077" s="115" t="str">
        <x:v>Non</x:v>
      </x:c>
      <x:c r="K2077" s="115" t="str">
        <x:v>Pièces décrites, murs, portes, niveaux et mobilier inspectables à l’échelle. Volumes réservés, raccord au seed, butin, rencontres et services de campagne restent à terminer.</x:v>
      </x:c>
    </x:row>
    <x:row r="2078" ht="96" customHeight="1">
      <x:c r="A2078" s="115" t="str">
        <x:v>EXT-MONDE-T042-V23</x:v>
      </x:c>
      <x:c r="B2078" s="115" t="str">
        <x:v>EXT-MONDE-T042</x:v>
      </x:c>
      <x:c r="C2078" s="115" t="str">
        <x:v>HLM visitables</x:v>
      </x:c>
      <x:c r="D2078" s="115" t="str">
        <x:v>Tour HLM</x:v>
      </x:c>
      <x:c r="E2078" s="115" t="n">
        <x:v>23</x:v>
      </x:c>
      <x:c r="F2078" s="115" t="str">
        <x:v>Inspection physique</x:v>
      </x:c>
      <x:c r="G2078" s="115" t="str">
        <x:v>10 niveaux ; 218 pièces ; 1637 segments de mur ; 9 transitions. Inspection physique ; architecture complète encore ouverte.</x:v>
      </x:c>
      <x:c r="H2078" s="115" t="str">
        <x:v>L 78,2 ; l 85,88 ; hauteur 27,55 m ; choix de composition auteur ; dimensions réelles à documenter</x:v>
      </x:c>
      <x:c r="I2078" s="115" t="str">
        <x:v>À équilibrer</x:v>
      </x:c>
      <x:c r="J2078" s="115" t="str">
        <x:v>Non</x:v>
      </x:c>
      <x:c r="K2078" s="115" t="str">
        <x:v>Pièces décrites, murs, portes, niveaux et mobilier inspectables à l’échelle. Volumes réservés, raccord au seed, butin, rencontres et services de campagne restent à terminer.</x:v>
      </x:c>
    </x:row>
    <x:row r="2079" ht="96" customHeight="1">
      <x:c r="A2079" s="115" t="str">
        <x:v>EXT-MONDE-T042-V24</x:v>
      </x:c>
      <x:c r="B2079" s="115" t="str">
        <x:v>EXT-MONDE-T042</x:v>
      </x:c>
      <x:c r="C2079" s="115" t="str">
        <x:v>HLM visitables</x:v>
      </x:c>
      <x:c r="D2079" s="115" t="str">
        <x:v>Tour HLM</x:v>
      </x:c>
      <x:c r="E2079" s="115" t="n">
        <x:v>24</x:v>
      </x:c>
      <x:c r="F2079" s="115" t="str">
        <x:v>Inspection physique</x:v>
      </x:c>
      <x:c r="G2079" s="115" t="str">
        <x:v>10 niveaux ; 218 pièces ; 1637 segments de mur ; 9 transitions. Inspection physique ; architecture complète encore ouverte.</x:v>
      </x:c>
      <x:c r="H2079" s="115" t="str">
        <x:v>L 78,6 ; l 86,26 ; hauteur 27,35 m ; choix de composition auteur ; dimensions réelles à documenter</x:v>
      </x:c>
      <x:c r="I2079" s="115" t="str">
        <x:v>À équilibrer</x:v>
      </x:c>
      <x:c r="J2079" s="115" t="str">
        <x:v>Non</x:v>
      </x:c>
      <x:c r="K2079" s="115" t="str">
        <x:v>Pièces décrites, murs, portes, niveaux et mobilier inspectables à l’échelle. Volumes réservés, raccord au seed, butin, rencontres et services de campagne restent à terminer.</x:v>
      </x:c>
    </x:row>
    <x:row r="2080" ht="96" customHeight="1">
      <x:c r="A2080" s="115" t="str">
        <x:v>EXT-MONDE-T042-V25</x:v>
      </x:c>
      <x:c r="B2080" s="115" t="str">
        <x:v>EXT-MONDE-T042</x:v>
      </x:c>
      <x:c r="C2080" s="115" t="str">
        <x:v>HLM visitables</x:v>
      </x:c>
      <x:c r="D2080" s="115" t="str">
        <x:v>Tour HLM</x:v>
      </x:c>
      <x:c r="E2080" s="115" t="n">
        <x:v>25</x:v>
      </x:c>
      <x:c r="F2080" s="115" t="str">
        <x:v>Inspection physique</x:v>
      </x:c>
      <x:c r="G2080" s="115" t="str">
        <x:v>10 niveaux ; 218 pièces ; 1637 segments de mur ; 9 transitions. Inspection physique ; architecture complète encore ouverte.</x:v>
      </x:c>
      <x:c r="H2080" s="115" t="str">
        <x:v>L 79 ; l 86,64 ; hauteur 27,45 m ; choix de composition auteur ; dimensions réelles à documenter</x:v>
      </x:c>
      <x:c r="I2080" s="115" t="str">
        <x:v>À équilibrer</x:v>
      </x:c>
      <x:c r="J2080" s="115" t="str">
        <x:v>Non</x:v>
      </x:c>
      <x:c r="K2080" s="115" t="str">
        <x:v>Pièces décrites, murs, portes, niveaux et mobilier inspectables à l’échelle. Volumes réservés, raccord au seed, butin, rencontres et services de campagne restent à terminer.</x:v>
      </x:c>
    </x:row>
    <x:row r="2081" ht="96" customHeight="1">
      <x:c r="A2081" s="115" t="str">
        <x:v>EXT-MONDE-T042-V26</x:v>
      </x:c>
      <x:c r="B2081" s="115" t="str">
        <x:v>EXT-MONDE-T042</x:v>
      </x:c>
      <x:c r="C2081" s="115" t="str">
        <x:v>HLM visitables</x:v>
      </x:c>
      <x:c r="D2081" s="115" t="str">
        <x:v>Tour HLM</x:v>
      </x:c>
      <x:c r="E2081" s="115" t="n">
        <x:v>26</x:v>
      </x:c>
      <x:c r="F2081" s="115" t="str">
        <x:v>Inspection physique</x:v>
      </x:c>
      <x:c r="G2081" s="115" t="str">
        <x:v>10 niveaux ; 218 pièces ; 1637 segments de mur ; 9 transitions. Inspection physique ; architecture complète encore ouverte.</x:v>
      </x:c>
      <x:c r="H2081" s="115" t="str">
        <x:v>L 79,05 ; l 86,62 ; hauteur 27,55 m ; choix de composition auteur ; dimensions réelles à documenter</x:v>
      </x:c>
      <x:c r="I2081" s="115" t="str">
        <x:v>À équilibrer</x:v>
      </x:c>
      <x:c r="J2081" s="115" t="str">
        <x:v>Non</x:v>
      </x:c>
      <x:c r="K2081" s="115" t="str">
        <x:v>Pièces décrites, murs, portes, niveaux et mobilier inspectables à l’échelle. Volumes réservés, raccord au seed, butin, rencontres et services de campagne restent à terminer.</x:v>
      </x:c>
    </x:row>
    <x:row r="2082" ht="96" customHeight="1">
      <x:c r="A2082" s="115" t="str">
        <x:v>EXT-MONDE-T042-V27</x:v>
      </x:c>
      <x:c r="B2082" s="115" t="str">
        <x:v>EXT-MONDE-T042</x:v>
      </x:c>
      <x:c r="C2082" s="115" t="str">
        <x:v>HLM visitables</x:v>
      </x:c>
      <x:c r="D2082" s="115" t="str">
        <x:v>Tour HLM</x:v>
      </x:c>
      <x:c r="E2082" s="115" t="n">
        <x:v>27</x:v>
      </x:c>
      <x:c r="F2082" s="115" t="str">
        <x:v>Inspection physique</x:v>
      </x:c>
      <x:c r="G2082" s="115" t="str">
        <x:v>10 niveaux ; 218 pièces ; 1637 segments de mur ; 9 transitions. Inspection physique ; architecture complète encore ouverte.</x:v>
      </x:c>
      <x:c r="H2082" s="115" t="str">
        <x:v>L 79,45 ; l 87 ; hauteur 27,35 m ; choix de composition auteur ; dimensions réelles à documenter</x:v>
      </x:c>
      <x:c r="I2082" s="115" t="str">
        <x:v>À équilibrer</x:v>
      </x:c>
      <x:c r="J2082" s="115" t="str">
        <x:v>Non</x:v>
      </x:c>
      <x:c r="K2082" s="115" t="str">
        <x:v>Pièces décrites, murs, portes, niveaux et mobilier inspectables à l’échelle. Volumes réservés, raccord au seed, butin, rencontres et services de campagne restent à terminer.</x:v>
      </x:c>
    </x:row>
    <x:row r="2083" ht="96" customHeight="1">
      <x:c r="A2083" s="115" t="str">
        <x:v>EXT-MONDE-T042-V28</x:v>
      </x:c>
      <x:c r="B2083" s="115" t="str">
        <x:v>EXT-MONDE-T042</x:v>
      </x:c>
      <x:c r="C2083" s="115" t="str">
        <x:v>HLM visitables</x:v>
      </x:c>
      <x:c r="D2083" s="115" t="str">
        <x:v>Tour HLM</x:v>
      </x:c>
      <x:c r="E2083" s="115" t="n">
        <x:v>28</x:v>
      </x:c>
      <x:c r="F2083" s="115" t="str">
        <x:v>Inspection physique</x:v>
      </x:c>
      <x:c r="G2083" s="115" t="str">
        <x:v>10 niveaux ; 218 pièces ; 1637 segments de mur ; 9 transitions. Inspection physique ; architecture complète encore ouverte.</x:v>
      </x:c>
      <x:c r="H2083" s="115" t="str">
        <x:v>L 79,85 ; l 87,38 ; hauteur 27,45 m ; choix de composition auteur ; dimensions réelles à documenter</x:v>
      </x:c>
      <x:c r="I2083" s="115" t="str">
        <x:v>À équilibrer</x:v>
      </x:c>
      <x:c r="J2083" s="115" t="str">
        <x:v>Non</x:v>
      </x:c>
      <x:c r="K2083" s="115" t="str">
        <x:v>Pièces décrites, murs, portes, niveaux et mobilier inspectables à l’échelle. Volumes réservés, raccord au seed, butin, rencontres et services de campagne restent à terminer.</x:v>
      </x:c>
    </x:row>
    <x:row r="2084" ht="96" customHeight="1">
      <x:c r="A2084" s="115" t="str">
        <x:v>EXT-MONDE-T042-V29</x:v>
      </x:c>
      <x:c r="B2084" s="115" t="str">
        <x:v>EXT-MONDE-T042</x:v>
      </x:c>
      <x:c r="C2084" s="115" t="str">
        <x:v>HLM visitables</x:v>
      </x:c>
      <x:c r="D2084" s="115" t="str">
        <x:v>Tour HLM</x:v>
      </x:c>
      <x:c r="E2084" s="115" t="n">
        <x:v>29</x:v>
      </x:c>
      <x:c r="F2084" s="115" t="str">
        <x:v>Inspection physique</x:v>
      </x:c>
      <x:c r="G2084" s="115" t="str">
        <x:v>10 niveaux ; 218 pièces ; 1637 segments de mur ; 9 transitions. Inspection physique ; architecture complète encore ouverte.</x:v>
      </x:c>
      <x:c r="H2084" s="115" t="str">
        <x:v>L 80,25 ; l 87,76 ; hauteur 27,55 m ; choix de composition auteur ; dimensions réelles à documenter</x:v>
      </x:c>
      <x:c r="I2084" s="115" t="str">
        <x:v>À équilibrer</x:v>
      </x:c>
      <x:c r="J2084" s="115" t="str">
        <x:v>Non</x:v>
      </x:c>
      <x:c r="K2084" s="115" t="str">
        <x:v>Pièces décrites, murs, portes, niveaux et mobilier inspectables à l’échelle. Volumes réservés, raccord au seed, butin, rencontres et services de campagne restent à terminer.</x:v>
      </x:c>
    </x:row>
    <x:row r="2085" ht="96" customHeight="1">
      <x:c r="A2085" s="115" t="str">
        <x:v>EXT-MONDE-T042-V30</x:v>
      </x:c>
      <x:c r="B2085" s="115" t="str">
        <x:v>EXT-MONDE-T042</x:v>
      </x:c>
      <x:c r="C2085" s="115" t="str">
        <x:v>HLM visitables</x:v>
      </x:c>
      <x:c r="D2085" s="115" t="str">
        <x:v>Tour HLM</x:v>
      </x:c>
      <x:c r="E2085" s="115" t="n">
        <x:v>30</x:v>
      </x:c>
      <x:c r="F2085" s="115" t="str">
        <x:v>Inspection physique</x:v>
      </x:c>
      <x:c r="G2085" s="115" t="str">
        <x:v>10 niveaux ; 218 pièces ; 1637 segments de mur ; 9 transitions. Inspection physique ; architecture complète encore ouverte.</x:v>
      </x:c>
      <x:c r="H2085" s="115" t="str">
        <x:v>L 80,65 ; l 88,14 ; hauteur 27,35 m ; choix de composition auteur ; dimensions réelles à documenter</x:v>
      </x:c>
      <x:c r="I2085" s="115" t="str">
        <x:v>À équilibrer</x:v>
      </x:c>
      <x:c r="J2085" s="115" t="str">
        <x:v>Non</x:v>
      </x:c>
      <x:c r="K2085" s="115" t="str">
        <x:v>Pièces décrites, murs, portes, niveaux et mobilier inspectables à l’échelle. Volumes réservés, raccord au seed, butin, rencontres et services de campagne restent à terminer.</x:v>
      </x:c>
    </x:row>
    <x:row r="2086" ht="96" customHeight="1">
      <x:c r="A2086" s="115" t="str">
        <x:v>EXT-MONDE-T042-V31</x:v>
      </x:c>
      <x:c r="B2086" s="115" t="str">
        <x:v>EXT-MONDE-T042</x:v>
      </x:c>
      <x:c r="C2086" s="115" t="str">
        <x:v>HLM visitables</x:v>
      </x:c>
      <x:c r="D2086" s="115" t="str">
        <x:v>Tour HLM</x:v>
      </x:c>
      <x:c r="E2086" s="115" t="n">
        <x:v>31</x:v>
      </x:c>
      <x:c r="F2086" s="115" t="str">
        <x:v>Inspection physique</x:v>
      </x:c>
      <x:c r="G2086" s="115" t="str">
        <x:v>11 niveaux ; 242 pièces ; 1816 segments de mur ; 10 transitions. Inspection physique ; architecture complète encore ouverte.</x:v>
      </x:c>
      <x:c r="H2086" s="115" t="str">
        <x:v>L 77,6 ; l 85,28 ; hauteur 30,35 m ; choix de composition auteur ; dimensions réelles à documenter</x:v>
      </x:c>
      <x:c r="I2086" s="115" t="str">
        <x:v>À équilibrer</x:v>
      </x:c>
      <x:c r="J2086" s="115" t="str">
        <x:v>Non</x:v>
      </x:c>
      <x:c r="K2086" s="115" t="str">
        <x:v>Pièces décrites, murs, portes, niveaux et mobilier inspectables à l’échelle. Volumes réservés, raccord au seed, butin, rencontres et services de campagne restent à terminer.</x:v>
      </x:c>
    </x:row>
    <x:row r="2087" ht="96" customHeight="1">
      <x:c r="A2087" s="115" t="str">
        <x:v>EXT-MONDE-T042-V32</x:v>
      </x:c>
      <x:c r="B2087" s="115" t="str">
        <x:v>EXT-MONDE-T042</x:v>
      </x:c>
      <x:c r="C2087" s="115" t="str">
        <x:v>HLM visitables</x:v>
      </x:c>
      <x:c r="D2087" s="115" t="str">
        <x:v>Tour HLM</x:v>
      </x:c>
      <x:c r="E2087" s="115" t="n">
        <x:v>32</x:v>
      </x:c>
      <x:c r="F2087" s="115" t="str">
        <x:v>Inspection physique</x:v>
      </x:c>
      <x:c r="G2087" s="115" t="str">
        <x:v>11 niveaux ; 242 pièces ; 1816 segments de mur ; 10 transitions. Inspection physique ; architecture complète encore ouverte.</x:v>
      </x:c>
      <x:c r="H2087" s="115" t="str">
        <x:v>L 78 ; l 85,66 ; hauteur 30,45 m ; choix de composition auteur ; dimensions réelles à documenter</x:v>
      </x:c>
      <x:c r="I2087" s="115" t="str">
        <x:v>À équilibrer</x:v>
      </x:c>
      <x:c r="J2087" s="115" t="str">
        <x:v>Non</x:v>
      </x:c>
      <x:c r="K2087" s="115" t="str">
        <x:v>Pièces décrites, murs, portes, niveaux et mobilier inspectables à l’échelle. Volumes réservés, raccord au seed, butin, rencontres et services de campagne restent à terminer.</x:v>
      </x:c>
    </x:row>
    <x:row r="2088" ht="96" customHeight="1">
      <x:c r="A2088" s="115" t="str">
        <x:v>EXT-MONDE-T042-V33</x:v>
      </x:c>
      <x:c r="B2088" s="115" t="str">
        <x:v>EXT-MONDE-T042</x:v>
      </x:c>
      <x:c r="C2088" s="115" t="str">
        <x:v>HLM visitables</x:v>
      </x:c>
      <x:c r="D2088" s="115" t="str">
        <x:v>Tour HLM</x:v>
      </x:c>
      <x:c r="E2088" s="115" t="n">
        <x:v>33</x:v>
      </x:c>
      <x:c r="F2088" s="115" t="str">
        <x:v>Inspection physique</x:v>
      </x:c>
      <x:c r="G2088" s="115" t="str">
        <x:v>11 niveaux ; 242 pièces ; 1816 segments de mur ; 10 transitions. Inspection physique ; architecture complète encore ouverte.</x:v>
      </x:c>
      <x:c r="H2088" s="115" t="str">
        <x:v>L 78,4 ; l 86,04 ; hauteur 30,55 m ; choix de composition auteur ; dimensions réelles à documenter</x:v>
      </x:c>
      <x:c r="I2088" s="115" t="str">
        <x:v>À équilibrer</x:v>
      </x:c>
      <x:c r="J2088" s="115" t="str">
        <x:v>Non</x:v>
      </x:c>
      <x:c r="K2088" s="115" t="str">
        <x:v>Pièces décrites, murs, portes, niveaux et mobilier inspectables à l’échelle. Volumes réservés, raccord au seed, butin, rencontres et services de campagne restent à terminer.</x:v>
      </x:c>
    </x:row>
    <x:row r="2089" ht="96" customHeight="1">
      <x:c r="A2089" s="115" t="str">
        <x:v>EXT-MONDE-T042-V34</x:v>
      </x:c>
      <x:c r="B2089" s="115" t="str">
        <x:v>EXT-MONDE-T042</x:v>
      </x:c>
      <x:c r="C2089" s="115" t="str">
        <x:v>HLM visitables</x:v>
      </x:c>
      <x:c r="D2089" s="115" t="str">
        <x:v>Tour HLM</x:v>
      </x:c>
      <x:c r="E2089" s="115" t="n">
        <x:v>34</x:v>
      </x:c>
      <x:c r="F2089" s="115" t="str">
        <x:v>Inspection physique</x:v>
      </x:c>
      <x:c r="G2089" s="115" t="str">
        <x:v>11 niveaux ; 242 pièces ; 1816 segments de mur ; 10 transitions. Inspection physique ; architecture complète encore ouverte.</x:v>
      </x:c>
      <x:c r="H2089" s="115" t="str">
        <x:v>L 78,8 ; l 86,42 ; hauteur 30,35 m ; choix de composition auteur ; dimensions réelles à documenter</x:v>
      </x:c>
      <x:c r="I2089" s="115" t="str">
        <x:v>À équilibrer</x:v>
      </x:c>
      <x:c r="J2089" s="115" t="str">
        <x:v>Non</x:v>
      </x:c>
      <x:c r="K2089" s="115" t="str">
        <x:v>Pièces décrites, murs, portes, niveaux et mobilier inspectables à l’échelle. Volumes réservés, raccord au seed, butin, rencontres et services de campagne restent à terminer.</x:v>
      </x:c>
    </x:row>
    <x:row r="2090" ht="96" customHeight="1">
      <x:c r="A2090" s="115" t="str">
        <x:v>EXT-MONDE-T042-V35</x:v>
      </x:c>
      <x:c r="B2090" s="115" t="str">
        <x:v>EXT-MONDE-T042</x:v>
      </x:c>
      <x:c r="C2090" s="115" t="str">
        <x:v>HLM visitables</x:v>
      </x:c>
      <x:c r="D2090" s="115" t="str">
        <x:v>Tour HLM</x:v>
      </x:c>
      <x:c r="E2090" s="115" t="n">
        <x:v>35</x:v>
      </x:c>
      <x:c r="F2090" s="115" t="str">
        <x:v>Inspection physique</x:v>
      </x:c>
      <x:c r="G2090" s="115" t="str">
        <x:v>11 niveaux ; 242 pièces ; 1816 segments de mur ; 10 transitions. Inspection physique ; architecture complète encore ouverte.</x:v>
      </x:c>
      <x:c r="H2090" s="115" t="str">
        <x:v>L 79,2 ; l 86,8 ; hauteur 30,45 m ; choix de composition auteur ; dimensions réelles à documenter</x:v>
      </x:c>
      <x:c r="I2090" s="115" t="str">
        <x:v>À équilibrer</x:v>
      </x:c>
      <x:c r="J2090" s="115" t="str">
        <x:v>Non</x:v>
      </x:c>
      <x:c r="K2090" s="115" t="str">
        <x:v>Pièces décrites, murs, portes, niveaux et mobilier inspectables à l’échelle. Volumes réservés, raccord au seed, butin, rencontres et services de campagne restent à terminer.</x:v>
      </x:c>
    </x:row>
    <x:row r="2091" ht="96" customHeight="1">
      <x:c r="A2091" s="115" t="str">
        <x:v>EXT-MONDE-T042-V36</x:v>
      </x:c>
      <x:c r="B2091" s="115" t="str">
        <x:v>EXT-MONDE-T042</x:v>
      </x:c>
      <x:c r="C2091" s="115" t="str">
        <x:v>HLM visitables</x:v>
      </x:c>
      <x:c r="D2091" s="115" t="str">
        <x:v>Tour HLM</x:v>
      </x:c>
      <x:c r="E2091" s="115" t="n">
        <x:v>36</x:v>
      </x:c>
      <x:c r="F2091" s="115" t="str">
        <x:v>Inspection physique</x:v>
      </x:c>
      <x:c r="G2091" s="115" t="str">
        <x:v>11 niveaux ; 242 pièces ; 1816 segments de mur ; 10 transitions. Inspection physique ; architecture complète encore ouverte.</x:v>
      </x:c>
      <x:c r="H2091" s="115" t="str">
        <x:v>L 79,25 ; l 86,78 ; hauteur 30,55 m ; choix de composition auteur ; dimensions réelles à documenter</x:v>
      </x:c>
      <x:c r="I2091" s="115" t="str">
        <x:v>À équilibrer</x:v>
      </x:c>
      <x:c r="J2091" s="115" t="str">
        <x:v>Non</x:v>
      </x:c>
      <x:c r="K2091" s="115" t="str">
        <x:v>Pièces décrites, murs, portes, niveaux et mobilier inspectables à l’échelle. Volumes réservés, raccord au seed, butin, rencontres et services de campagne restent à terminer.</x:v>
      </x:c>
    </x:row>
    <x:row r="2092" ht="96" customHeight="1">
      <x:c r="A2092" s="115" t="str">
        <x:v>EXT-MONDE-T042-V37</x:v>
      </x:c>
      <x:c r="B2092" s="115" t="str">
        <x:v>EXT-MONDE-T042</x:v>
      </x:c>
      <x:c r="C2092" s="115" t="str">
        <x:v>HLM visitables</x:v>
      </x:c>
      <x:c r="D2092" s="115" t="str">
        <x:v>Tour HLM</x:v>
      </x:c>
      <x:c r="E2092" s="115" t="n">
        <x:v>37</x:v>
      </x:c>
      <x:c r="F2092" s="115" t="str">
        <x:v>Inspection physique</x:v>
      </x:c>
      <x:c r="G2092" s="115" t="str">
        <x:v>11 niveaux ; 242 pièces ; 1816 segments de mur ; 10 transitions. Inspection physique ; architecture complète encore ouverte.</x:v>
      </x:c>
      <x:c r="H2092" s="115" t="str">
        <x:v>L 79,65 ; l 87,16 ; hauteur 30,35 m ; choix de composition auteur ; dimensions réelles à documenter</x:v>
      </x:c>
      <x:c r="I2092" s="115" t="str">
        <x:v>À équilibrer</x:v>
      </x:c>
      <x:c r="J2092" s="115" t="str">
        <x:v>Non</x:v>
      </x:c>
      <x:c r="K2092" s="115" t="str">
        <x:v>Pièces décrites, murs, portes, niveaux et mobilier inspectables à l’échelle. Volumes réservés, raccord au seed, butin, rencontres et services de campagne restent à terminer.</x:v>
      </x:c>
    </x:row>
    <x:row r="2093" ht="96" customHeight="1">
      <x:c r="A2093" s="115" t="str">
        <x:v>EXT-MONDE-T042-V38</x:v>
      </x:c>
      <x:c r="B2093" s="115" t="str">
        <x:v>EXT-MONDE-T042</x:v>
      </x:c>
      <x:c r="C2093" s="115" t="str">
        <x:v>HLM visitables</x:v>
      </x:c>
      <x:c r="D2093" s="115" t="str">
        <x:v>Tour HLM</x:v>
      </x:c>
      <x:c r="E2093" s="115" t="n">
        <x:v>38</x:v>
      </x:c>
      <x:c r="F2093" s="115" t="str">
        <x:v>Inspection physique</x:v>
      </x:c>
      <x:c r="G2093" s="115" t="str">
        <x:v>11 niveaux ; 242 pièces ; 1816 segments de mur ; 10 transitions. Inspection physique ; architecture complète encore ouverte.</x:v>
      </x:c>
      <x:c r="H2093" s="115" t="str">
        <x:v>L 80,05 ; l 87,54 ; hauteur 30,45 m ; choix de composition auteur ; dimensions réelles à documenter</x:v>
      </x:c>
      <x:c r="I2093" s="115" t="str">
        <x:v>À équilibrer</x:v>
      </x:c>
      <x:c r="J2093" s="115" t="str">
        <x:v>Non</x:v>
      </x:c>
      <x:c r="K2093" s="115" t="str">
        <x:v>Pièces décrites, murs, portes, niveaux et mobilier inspectables à l’échelle. Volumes réservés, raccord au seed, butin, rencontres et services de campagne restent à terminer.</x:v>
      </x:c>
    </x:row>
    <x:row r="2094" ht="96" customHeight="1">
      <x:c r="A2094" s="115" t="str">
        <x:v>EXT-MONDE-T042-V39</x:v>
      </x:c>
      <x:c r="B2094" s="115" t="str">
        <x:v>EXT-MONDE-T042</x:v>
      </x:c>
      <x:c r="C2094" s="115" t="str">
        <x:v>HLM visitables</x:v>
      </x:c>
      <x:c r="D2094" s="115" t="str">
        <x:v>Tour HLM</x:v>
      </x:c>
      <x:c r="E2094" s="115" t="n">
        <x:v>39</x:v>
      </x:c>
      <x:c r="F2094" s="115" t="str">
        <x:v>Inspection physique</x:v>
      </x:c>
      <x:c r="G2094" s="115" t="str">
        <x:v>11 niveaux ; 242 pièces ; 1816 segments de mur ; 10 transitions. Inspection physique ; architecture complète encore ouverte.</x:v>
      </x:c>
      <x:c r="H2094" s="115" t="str">
        <x:v>L 80,45 ; l 87,92 ; hauteur 30,55 m ; choix de composition auteur ; dimensions réelles à documenter</x:v>
      </x:c>
      <x:c r="I2094" s="115" t="str">
        <x:v>À équilibrer</x:v>
      </x:c>
      <x:c r="J2094" s="115" t="str">
        <x:v>Non</x:v>
      </x:c>
      <x:c r="K2094" s="115" t="str">
        <x:v>Pièces décrites, murs, portes, niveaux et mobilier inspectables à l’échelle. Volumes réservés, raccord au seed, butin, rencontres et services de campagne restent à terminer.</x:v>
      </x:c>
    </x:row>
    <x:row r="2095" ht="96" customHeight="1">
      <x:c r="A2095" s="115" t="str">
        <x:v>EXT-MONDE-T042-V40</x:v>
      </x:c>
      <x:c r="B2095" s="115" t="str">
        <x:v>EXT-MONDE-T042</x:v>
      </x:c>
      <x:c r="C2095" s="115" t="str">
        <x:v>HLM visitables</x:v>
      </x:c>
      <x:c r="D2095" s="115" t="str">
        <x:v>Tour HLM</x:v>
      </x:c>
      <x:c r="E2095" s="115" t="n">
        <x:v>40</x:v>
      </x:c>
      <x:c r="F2095" s="115" t="str">
        <x:v>Inspection physique</x:v>
      </x:c>
      <x:c r="G2095" s="115" t="str">
        <x:v>11 niveaux ; 242 pièces ; 1816 segments de mur ; 10 transitions. Inspection physique ; architecture complète encore ouverte.</x:v>
      </x:c>
      <x:c r="H2095" s="115" t="str">
        <x:v>L 80,85 ; l 88,3 ; hauteur 30,35 m ; choix de composition auteur ; dimensions réelles à documenter</x:v>
      </x:c>
      <x:c r="I2095" s="115" t="str">
        <x:v>À équilibrer</x:v>
      </x:c>
      <x:c r="J2095" s="115" t="str">
        <x:v>Non</x:v>
      </x:c>
      <x:c r="K2095" s="115" t="str">
        <x:v>Pièces décrites, murs, portes, niveaux et mobilier inspectables à l’échelle. Volumes réservés, raccord au seed, butin, rencontres et services de campagne restent à terminer.</x:v>
      </x:c>
    </x:row>
    <x:row r="2096" ht="96" customHeight="1">
      <x:c r="A2096" s="115" t="str">
        <x:v>EXT-MONDE-T042-V41</x:v>
      </x:c>
      <x:c r="B2096" s="115" t="str">
        <x:v>EXT-MONDE-T042</x:v>
      </x:c>
      <x:c r="C2096" s="115" t="str">
        <x:v>HLM visitables</x:v>
      </x:c>
      <x:c r="D2096" s="115" t="str">
        <x:v>Tour HLM</x:v>
      </x:c>
      <x:c r="E2096" s="115" t="n">
        <x:v>41</x:v>
      </x:c>
      <x:c r="F2096" s="115" t="str">
        <x:v>Inspection physique</x:v>
      </x:c>
      <x:c r="G2096" s="115" t="str">
        <x:v>12 niveaux ; 266 pièces ; 1995 segments de mur ; 11 transitions. Inspection physique ; architecture complète encore ouverte.</x:v>
      </x:c>
      <x:c r="H2096" s="115" t="str">
        <x:v>L 77,8 ; l 85,44 ; hauteur 33,35 m ; choix de composition auteur ; dimensions réelles à documenter</x:v>
      </x:c>
      <x:c r="I2096" s="115" t="str">
        <x:v>À équilibrer</x:v>
      </x:c>
      <x:c r="J2096" s="115" t="str">
        <x:v>Non</x:v>
      </x:c>
      <x:c r="K2096" s="115" t="str">
        <x:v>Pièces décrites, murs, portes, niveaux et mobilier inspectables à l’échelle. Volumes réservés, raccord au seed, butin, rencontres et services de campagne restent à terminer.</x:v>
      </x:c>
    </x:row>
    <x:row r="2097" ht="96" customHeight="1">
      <x:c r="A2097" s="115" t="str">
        <x:v>EXT-MONDE-T042-V42</x:v>
      </x:c>
      <x:c r="B2097" s="115" t="str">
        <x:v>EXT-MONDE-T042</x:v>
      </x:c>
      <x:c r="C2097" s="115" t="str">
        <x:v>HLM visitables</x:v>
      </x:c>
      <x:c r="D2097" s="115" t="str">
        <x:v>Tour HLM</x:v>
      </x:c>
      <x:c r="E2097" s="115" t="n">
        <x:v>42</x:v>
      </x:c>
      <x:c r="F2097" s="115" t="str">
        <x:v>Inspection physique</x:v>
      </x:c>
      <x:c r="G2097" s="115" t="str">
        <x:v>12 niveaux ; 266 pièces ; 1995 segments de mur ; 11 transitions. Inspection physique ; architecture complète encore ouverte.</x:v>
      </x:c>
      <x:c r="H2097" s="115" t="str">
        <x:v>L 78,2 ; l 85,82 ; hauteur 33,45 m ; choix de composition auteur ; dimensions réelles à documenter</x:v>
      </x:c>
      <x:c r="I2097" s="115" t="str">
        <x:v>À équilibrer</x:v>
      </x:c>
      <x:c r="J2097" s="115" t="str">
        <x:v>Non</x:v>
      </x:c>
      <x:c r="K2097" s="115" t="str">
        <x:v>Pièces décrites, murs, portes, niveaux et mobilier inspectables à l’échelle. Volumes réservés, raccord au seed, butin, rencontres et services de campagne restent à terminer.</x:v>
      </x:c>
    </x:row>
    <x:row r="2098" ht="96" customHeight="1">
      <x:c r="A2098" s="115" t="str">
        <x:v>EXT-MONDE-T042-V43</x:v>
      </x:c>
      <x:c r="B2098" s="115" t="str">
        <x:v>EXT-MONDE-T042</x:v>
      </x:c>
      <x:c r="C2098" s="115" t="str">
        <x:v>HLM visitables</x:v>
      </x:c>
      <x:c r="D2098" s="115" t="str">
        <x:v>Tour HLM</x:v>
      </x:c>
      <x:c r="E2098" s="115" t="n">
        <x:v>43</x:v>
      </x:c>
      <x:c r="F2098" s="115" t="str">
        <x:v>Inspection physique</x:v>
      </x:c>
      <x:c r="G2098" s="115" t="str">
        <x:v>12 niveaux ; 266 pièces ; 1995 segments de mur ; 11 transitions. Inspection physique ; architecture complète encore ouverte.</x:v>
      </x:c>
      <x:c r="H2098" s="115" t="str">
        <x:v>L 78,6 ; l 86,2 ; hauteur 33,55 m ; choix de composition auteur ; dimensions réelles à documenter</x:v>
      </x:c>
      <x:c r="I2098" s="115" t="str">
        <x:v>À équilibrer</x:v>
      </x:c>
      <x:c r="J2098" s="115" t="str">
        <x:v>Non</x:v>
      </x:c>
      <x:c r="K2098" s="115" t="str">
        <x:v>Pièces décrites, murs, portes, niveaux et mobilier inspectables à l’échelle. Volumes réservés, raccord au seed, butin, rencontres et services de campagne restent à terminer.</x:v>
      </x:c>
    </x:row>
    <x:row r="2099" ht="96" customHeight="1">
      <x:c r="A2099" s="115" t="str">
        <x:v>EXT-MONDE-T042-V44</x:v>
      </x:c>
      <x:c r="B2099" s="115" t="str">
        <x:v>EXT-MONDE-T042</x:v>
      </x:c>
      <x:c r="C2099" s="115" t="str">
        <x:v>HLM visitables</x:v>
      </x:c>
      <x:c r="D2099" s="115" t="str">
        <x:v>Tour HLM</x:v>
      </x:c>
      <x:c r="E2099" s="115" t="n">
        <x:v>44</x:v>
      </x:c>
      <x:c r="F2099" s="115" t="str">
        <x:v>Inspection physique</x:v>
      </x:c>
      <x:c r="G2099" s="115" t="str">
        <x:v>12 niveaux ; 266 pièces ; 1995 segments de mur ; 11 transitions. Inspection physique ; architecture complète encore ouverte.</x:v>
      </x:c>
      <x:c r="H2099" s="115" t="str">
        <x:v>L 79 ; l 86,58 ; hauteur 33,35 m ; choix de composition auteur ; dimensions réelles à documenter</x:v>
      </x:c>
      <x:c r="I2099" s="115" t="str">
        <x:v>À équilibrer</x:v>
      </x:c>
      <x:c r="J2099" s="115" t="str">
        <x:v>Non</x:v>
      </x:c>
      <x:c r="K2099" s="115" t="str">
        <x:v>Pièces décrites, murs, portes, niveaux et mobilier inspectables à l’échelle. Volumes réservés, raccord au seed, butin, rencontres et services de campagne restent à terminer.</x:v>
      </x:c>
    </x:row>
    <x:row r="2100" ht="96" customHeight="1">
      <x:c r="A2100" s="115" t="str">
        <x:v>EXT-MONDE-T042-V45</x:v>
      </x:c>
      <x:c r="B2100" s="115" t="str">
        <x:v>EXT-MONDE-T042</x:v>
      </x:c>
      <x:c r="C2100" s="115" t="str">
        <x:v>HLM visitables</x:v>
      </x:c>
      <x:c r="D2100" s="115" t="str">
        <x:v>Tour HLM</x:v>
      </x:c>
      <x:c r="E2100" s="115" t="n">
        <x:v>45</x:v>
      </x:c>
      <x:c r="F2100" s="115" t="str">
        <x:v>Inspection physique</x:v>
      </x:c>
      <x:c r="G2100" s="115" t="str">
        <x:v>12 niveaux ; 266 pièces ; 1995 segments de mur ; 11 transitions. Inspection physique ; architecture complète encore ouverte.</x:v>
      </x:c>
      <x:c r="H2100" s="115" t="str">
        <x:v>L 79,4 ; l 86,96 ; hauteur 33,45 m ; choix de composition auteur ; dimensions réelles à documenter</x:v>
      </x:c>
      <x:c r="I2100" s="115" t="str">
        <x:v>À équilibrer</x:v>
      </x:c>
      <x:c r="J2100" s="115" t="str">
        <x:v>Non</x:v>
      </x:c>
      <x:c r="K2100" s="115" t="str">
        <x:v>Pièces décrites, murs, portes, niveaux et mobilier inspectables à l’échelle. Volumes réservés, raccord au seed, butin, rencontres et services de campagne restent à terminer.</x:v>
      </x:c>
    </x:row>
    <x:row r="2101" ht="96" customHeight="1">
      <x:c r="A2101" s="115" t="str">
        <x:v>EXT-MONDE-T042-V46</x:v>
      </x:c>
      <x:c r="B2101" s="115" t="str">
        <x:v>EXT-MONDE-T042</x:v>
      </x:c>
      <x:c r="C2101" s="115" t="str">
        <x:v>HLM visitables</x:v>
      </x:c>
      <x:c r="D2101" s="115" t="str">
        <x:v>Tour HLM</x:v>
      </x:c>
      <x:c r="E2101" s="115" t="n">
        <x:v>46</x:v>
      </x:c>
      <x:c r="F2101" s="115" t="str">
        <x:v>Inspection physique</x:v>
      </x:c>
      <x:c r="G2101" s="115" t="str">
        <x:v>12 niveaux ; 266 pièces ; 1995 segments de mur ; 11 transitions. Inspection physique ; architecture complète encore ouverte.</x:v>
      </x:c>
      <x:c r="H2101" s="115" t="str">
        <x:v>L 79,45 ; l 86,94 ; hauteur 33,55 m ; choix de composition auteur ; dimensions réelles à documenter</x:v>
      </x:c>
      <x:c r="I2101" s="115" t="str">
        <x:v>À équilibrer</x:v>
      </x:c>
      <x:c r="J2101" s="115" t="str">
        <x:v>Non</x:v>
      </x:c>
      <x:c r="K2101" s="115" t="str">
        <x:v>Pièces décrites, murs, portes, niveaux et mobilier inspectables à l’échelle. Volumes réservés, raccord au seed, butin, rencontres et services de campagne restent à terminer.</x:v>
      </x:c>
    </x:row>
    <x:row r="2102" ht="96" customHeight="1">
      <x:c r="A2102" s="115" t="str">
        <x:v>EXT-MONDE-T042-V47</x:v>
      </x:c>
      <x:c r="B2102" s="115" t="str">
        <x:v>EXT-MONDE-T042</x:v>
      </x:c>
      <x:c r="C2102" s="115" t="str">
        <x:v>HLM visitables</x:v>
      </x:c>
      <x:c r="D2102" s="115" t="str">
        <x:v>Tour HLM</x:v>
      </x:c>
      <x:c r="E2102" s="115" t="n">
        <x:v>47</x:v>
      </x:c>
      <x:c r="F2102" s="115" t="str">
        <x:v>Inspection physique</x:v>
      </x:c>
      <x:c r="G2102" s="115" t="str">
        <x:v>12 niveaux ; 266 pièces ; 1995 segments de mur ; 11 transitions. Inspection physique ; architecture complète encore ouverte.</x:v>
      </x:c>
      <x:c r="H2102" s="115" t="str">
        <x:v>L 79,85 ; l 87,32 ; hauteur 33,35 m ; choix de composition auteur ; dimensions réelles à documenter</x:v>
      </x:c>
      <x:c r="I2102" s="115" t="str">
        <x:v>À équilibrer</x:v>
      </x:c>
      <x:c r="J2102" s="115" t="str">
        <x:v>Non</x:v>
      </x:c>
      <x:c r="K2102" s="115" t="str">
        <x:v>Pièces décrites, murs, portes, niveaux et mobilier inspectables à l’échelle. Volumes réservés, raccord au seed, butin, rencontres et services de campagne restent à terminer.</x:v>
      </x:c>
    </x:row>
    <x:row r="2103" ht="96" customHeight="1">
      <x:c r="A2103" s="115" t="str">
        <x:v>EXT-MONDE-T042-V48</x:v>
      </x:c>
      <x:c r="B2103" s="115" t="str">
        <x:v>EXT-MONDE-T042</x:v>
      </x:c>
      <x:c r="C2103" s="115" t="str">
        <x:v>HLM visitables</x:v>
      </x:c>
      <x:c r="D2103" s="115" t="str">
        <x:v>Tour HLM</x:v>
      </x:c>
      <x:c r="E2103" s="115" t="n">
        <x:v>48</x:v>
      </x:c>
      <x:c r="F2103" s="115" t="str">
        <x:v>Inspection physique</x:v>
      </x:c>
      <x:c r="G2103" s="115" t="str">
        <x:v>12 niveaux ; 266 pièces ; 1995 segments de mur ; 11 transitions. Inspection physique ; architecture complète encore ouverte.</x:v>
      </x:c>
      <x:c r="H2103" s="115" t="str">
        <x:v>L 80,25 ; l 87,7 ; hauteur 33,45 m ; choix de composition auteur ; dimensions réelles à documenter</x:v>
      </x:c>
      <x:c r="I2103" s="115" t="str">
        <x:v>À équilibrer</x:v>
      </x:c>
      <x:c r="J2103" s="115" t="str">
        <x:v>Non</x:v>
      </x:c>
      <x:c r="K2103" s="115" t="str">
        <x:v>Pièces décrites, murs, portes, niveaux et mobilier inspectables à l’échelle. Volumes réservés, raccord au seed, butin, rencontres et services de campagne restent à terminer.</x:v>
      </x:c>
    </x:row>
    <x:row r="2104" ht="96" customHeight="1">
      <x:c r="A2104" s="115" t="str">
        <x:v>EXT-MONDE-T042-V49</x:v>
      </x:c>
      <x:c r="B2104" s="115" t="str">
        <x:v>EXT-MONDE-T042</x:v>
      </x:c>
      <x:c r="C2104" s="115" t="str">
        <x:v>HLM visitables</x:v>
      </x:c>
      <x:c r="D2104" s="115" t="str">
        <x:v>Tour HLM</x:v>
      </x:c>
      <x:c r="E2104" s="115" t="n">
        <x:v>49</x:v>
      </x:c>
      <x:c r="F2104" s="115" t="str">
        <x:v>Inspection physique</x:v>
      </x:c>
      <x:c r="G2104" s="115" t="str">
        <x:v>12 niveaux ; 266 pièces ; 1995 segments de mur ; 11 transitions. Inspection physique ; architecture complète encore ouverte.</x:v>
      </x:c>
      <x:c r="H2104" s="115" t="str">
        <x:v>L 80,65 ; l 88,08 ; hauteur 33,55 m ; choix de composition auteur ; dimensions réelles à documenter</x:v>
      </x:c>
      <x:c r="I2104" s="115" t="str">
        <x:v>À équilibrer</x:v>
      </x:c>
      <x:c r="J2104" s="115" t="str">
        <x:v>Non</x:v>
      </x:c>
      <x:c r="K2104" s="115" t="str">
        <x:v>Pièces décrites, murs, portes, niveaux et mobilier inspectables à l’échelle. Volumes réservés, raccord au seed, butin, rencontres et services de campagne restent à terminer.</x:v>
      </x:c>
    </x:row>
    <x:row r="2105" ht="96" customHeight="1">
      <x:c r="A2105" s="115" t="str">
        <x:v>EXT-MONDE-T042-V50</x:v>
      </x:c>
      <x:c r="B2105" s="115" t="str">
        <x:v>EXT-MONDE-T042</x:v>
      </x:c>
      <x:c r="C2105" s="115" t="str">
        <x:v>HLM visitables</x:v>
      </x:c>
      <x:c r="D2105" s="115" t="str">
        <x:v>Tour HLM</x:v>
      </x:c>
      <x:c r="E2105" s="115" t="n">
        <x:v>50</x:v>
      </x:c>
      <x:c r="F2105" s="115" t="str">
        <x:v>Inspection physique</x:v>
      </x:c>
      <x:c r="G2105" s="115" t="str">
        <x:v>12 niveaux ; 266 pièces ; 1995 segments de mur ; 11 transitions. Inspection physique ; architecture complète encore ouverte.</x:v>
      </x:c>
      <x:c r="H2105" s="115" t="str">
        <x:v>L 81,05 ; l 88,46 ; hauteur 33,35 m ; choix de composition auteur ; dimensions réelles à documenter</x:v>
      </x:c>
      <x:c r="I2105" s="115" t="str">
        <x:v>À équilibrer</x:v>
      </x:c>
      <x:c r="J2105" s="115" t="str">
        <x:v>Non</x:v>
      </x:c>
      <x:c r="K2105" s="115" t="str">
        <x:v>Pièces décrites, murs, portes, niveaux et mobilier inspectables à l’échelle. Volumes réservés, raccord au seed, butin, rencontres et services de campagne restent à terminer.</x:v>
      </x:c>
    </x:row>
    <x:row r="2106" ht="96" customHeight="1">
      <x:c r="A2106" s="115" t="str">
        <x:v>EXT-MONDE-T043-V01</x:v>
      </x:c>
      <x:c r="B2106" s="115" t="str">
        <x:v>EXT-MONDE-T043</x:v>
      </x:c>
      <x:c r="C2106" s="115" t="str">
        <x:v>HLM visitables</x:v>
      </x:c>
      <x:c r="D2106" s="115" t="str">
        <x:v>Résidence en cour</x:v>
      </x:c>
      <x:c r="E2106" s="115" t="n">
        <x:v>1</x:v>
      </x:c>
      <x:c r="F2106" s="115" t="str">
        <x:v>Inspection physique</x:v>
      </x:c>
      <x:c r="G2106" s="115" t="str">
        <x:v>5 niveaux ; 172 pièces ; 1305 segments de mur ; 7 transitions. Inspection physique ; architecture complète encore ouverte.</x:v>
      </x:c>
      <x:c r="H2106" s="115" t="str">
        <x:v>L 133 ; l 84,8 ; hauteur 12,35 m ; choix de composition auteur ; dimensions réelles à documenter</x:v>
      </x:c>
      <x:c r="I2106" s="115" t="str">
        <x:v>À équilibrer</x:v>
      </x:c>
      <x:c r="J2106" s="115" t="str">
        <x:v>Non</x:v>
      </x:c>
      <x:c r="K2106" s="115" t="str">
        <x:v>Pièces décrites, murs, portes, niveaux et mobilier inspectables à l’échelle. Volumes réservés, raccord au seed, butin, rencontres et services de campagne restent à terminer.</x:v>
      </x:c>
    </x:row>
    <x:row r="2107" ht="96" customHeight="1">
      <x:c r="A2107" s="115" t="str">
        <x:v>EXT-MONDE-T043-V02</x:v>
      </x:c>
      <x:c r="B2107" s="115" t="str">
        <x:v>EXT-MONDE-T043</x:v>
      </x:c>
      <x:c r="C2107" s="115" t="str">
        <x:v>HLM visitables</x:v>
      </x:c>
      <x:c r="D2107" s="115" t="str">
        <x:v>Résidence en cour</x:v>
      </x:c>
      <x:c r="E2107" s="115" t="n">
        <x:v>2</x:v>
      </x:c>
      <x:c r="F2107" s="115" t="str">
        <x:v>Inspection physique</x:v>
      </x:c>
      <x:c r="G2107" s="115" t="str">
        <x:v>6 niveaux ; 294 pièces ; 2226 segments de mur ; 12 transitions. Inspection physique ; architecture complète encore ouverte.</x:v>
      </x:c>
      <x:c r="H2107" s="115" t="str">
        <x:v>L 133,8 ; l 142,36 ; hauteur 15,45 m ; choix de composition auteur ; dimensions réelles à documenter</x:v>
      </x:c>
      <x:c r="I2107" s="115" t="str">
        <x:v>À équilibrer</x:v>
      </x:c>
      <x:c r="J2107" s="115" t="str">
        <x:v>Non</x:v>
      </x:c>
      <x:c r="K2107" s="115" t="str">
        <x:v>Pièces décrites, murs, portes, niveaux et mobilier inspectables à l’échelle. Volumes réservés, raccord au seed, butin, rencontres et services de campagne restent à terminer.</x:v>
      </x:c>
    </x:row>
    <x:row r="2108" ht="96" customHeight="1">
      <x:c r="A2108" s="115" t="str">
        <x:v>EXT-MONDE-T043-V03</x:v>
      </x:c>
      <x:c r="B2108" s="115" t="str">
        <x:v>EXT-MONDE-T043</x:v>
      </x:c>
      <x:c r="C2108" s="115" t="str">
        <x:v>HLM visitables</x:v>
      </x:c>
      <x:c r="D2108" s="115" t="str">
        <x:v>Résidence en cour</x:v>
      </x:c>
      <x:c r="E2108" s="115" t="n">
        <x:v>3</x:v>
      </x:c>
      <x:c r="F2108" s="115" t="str">
        <x:v>Inspection physique</x:v>
      </x:c>
      <x:c r="G2108" s="115" t="str">
        <x:v>5 niveaux ; 172 pièces ; 1305 segments de mur ; 7 transitions. Inspection physique ; architecture complète encore ouverte.</x:v>
      </x:c>
      <x:c r="H2108" s="115" t="str">
        <x:v>L 134,6 ; l 85,56 ; hauteur 12,55 m ; choix de composition auteur ; dimensions réelles à documenter</x:v>
      </x:c>
      <x:c r="I2108" s="115" t="str">
        <x:v>À équilibrer</x:v>
      </x:c>
      <x:c r="J2108" s="115" t="str">
        <x:v>Non</x:v>
      </x:c>
      <x:c r="K2108" s="115" t="str">
        <x:v>Pièces décrites, murs, portes, niveaux et mobilier inspectables à l’échelle. Volumes réservés, raccord au seed, butin, rencontres et services de campagne restent à terminer.</x:v>
      </x:c>
    </x:row>
    <x:row r="2109" ht="96" customHeight="1">
      <x:c r="A2109" s="115" t="str">
        <x:v>EXT-MONDE-T043-V04</x:v>
      </x:c>
      <x:c r="B2109" s="115" t="str">
        <x:v>EXT-MONDE-T043</x:v>
      </x:c>
      <x:c r="C2109" s="115" t="str">
        <x:v>HLM visitables</x:v>
      </x:c>
      <x:c r="D2109" s="115" t="str">
        <x:v>Résidence en cour</x:v>
      </x:c>
      <x:c r="E2109" s="115" t="n">
        <x:v>4</x:v>
      </x:c>
      <x:c r="F2109" s="115" t="str">
        <x:v>Inspection physique</x:v>
      </x:c>
      <x:c r="G2109" s="115" t="str">
        <x:v>6 niveaux ; 294 pièces ; 2226 segments de mur ; 12 transitions. Inspection physique ; architecture complète encore ouverte.</x:v>
      </x:c>
      <x:c r="H2109" s="115" t="str">
        <x:v>L 135,4 ; l 143,88 ; hauteur 15,35 m ; choix de composition auteur ; dimensions réelles à documenter</x:v>
      </x:c>
      <x:c r="I2109" s="115" t="str">
        <x:v>À équilibrer</x:v>
      </x:c>
      <x:c r="J2109" s="115" t="str">
        <x:v>Non</x:v>
      </x:c>
      <x:c r="K2109" s="115" t="str">
        <x:v>Pièces décrites, murs, portes, niveaux et mobilier inspectables à l’échelle. Volumes réservés, raccord au seed, butin, rencontres et services de campagne restent à terminer.</x:v>
      </x:c>
    </x:row>
    <x:row r="2110" ht="96" customHeight="1">
      <x:c r="A2110" s="115" t="str">
        <x:v>EXT-MONDE-T043-V05</x:v>
      </x:c>
      <x:c r="B2110" s="115" t="str">
        <x:v>EXT-MONDE-T043</x:v>
      </x:c>
      <x:c r="C2110" s="115" t="str">
        <x:v>HLM visitables</x:v>
      </x:c>
      <x:c r="D2110" s="115" t="str">
        <x:v>Résidence en cour</x:v>
      </x:c>
      <x:c r="E2110" s="115" t="n">
        <x:v>5</x:v>
      </x:c>
      <x:c r="F2110" s="115" t="str">
        <x:v>Inspection physique</x:v>
      </x:c>
      <x:c r="G2110" s="115" t="str">
        <x:v>5 niveaux ; 172 pièces ; 1305 segments de mur ; 7 transitions. Inspection physique ; architecture complète encore ouverte.</x:v>
      </x:c>
      <x:c r="H2110" s="115" t="str">
        <x:v>L 136,2 ; l 86,32 ; hauteur 12,45 m ; choix de composition auteur ; dimensions réelles à documenter</x:v>
      </x:c>
      <x:c r="I2110" s="115" t="str">
        <x:v>À équilibrer</x:v>
      </x:c>
      <x:c r="J2110" s="115" t="str">
        <x:v>Non</x:v>
      </x:c>
      <x:c r="K2110" s="115" t="str">
        <x:v>Pièces décrites, murs, portes, niveaux et mobilier inspectables à l’échelle. Volumes réservés, raccord au seed, butin, rencontres et services de campagne restent à terminer.</x:v>
      </x:c>
    </x:row>
    <x:row r="2111" ht="96" customHeight="1">
      <x:c r="A2111" s="115" t="str">
        <x:v>EXT-MONDE-T043-V06</x:v>
      </x:c>
      <x:c r="B2111" s="115" t="str">
        <x:v>EXT-MONDE-T043</x:v>
      </x:c>
      <x:c r="C2111" s="115" t="str">
        <x:v>HLM visitables</x:v>
      </x:c>
      <x:c r="D2111" s="115" t="str">
        <x:v>Résidence en cour</x:v>
      </x:c>
      <x:c r="E2111" s="115" t="n">
        <x:v>6</x:v>
      </x:c>
      <x:c r="F2111" s="115" t="str">
        <x:v>Inspection physique</x:v>
      </x:c>
      <x:c r="G2111" s="115" t="str">
        <x:v>6 niveaux ; 294 pièces ; 2226 segments de mur ; 12 transitions. Inspection physique ; architecture complète encore ouverte.</x:v>
      </x:c>
      <x:c r="H2111" s="115" t="str">
        <x:v>L 136,65 ; l 144,6 ; hauteur 15,55 m ; choix de composition auteur ; dimensions réelles à documenter</x:v>
      </x:c>
      <x:c r="I2111" s="115" t="str">
        <x:v>À équilibrer</x:v>
      </x:c>
      <x:c r="J2111" s="115" t="str">
        <x:v>Non</x:v>
      </x:c>
      <x:c r="K2111" s="115" t="str">
        <x:v>Pièces décrites, murs, portes, niveaux et mobilier inspectables à l’échelle. Volumes réservés, raccord au seed, butin, rencontres et services de campagne restent à terminer.</x:v>
      </x:c>
    </x:row>
    <x:row r="2112" ht="96" customHeight="1">
      <x:c r="A2112" s="115" t="str">
        <x:v>EXT-MONDE-T043-V07</x:v>
      </x:c>
      <x:c r="B2112" s="115" t="str">
        <x:v>EXT-MONDE-T043</x:v>
      </x:c>
      <x:c r="C2112" s="115" t="str">
        <x:v>HLM visitables</x:v>
      </x:c>
      <x:c r="D2112" s="115" t="str">
        <x:v>Résidence en cour</x:v>
      </x:c>
      <x:c r="E2112" s="115" t="n">
        <x:v>7</x:v>
      </x:c>
      <x:c r="F2112" s="115" t="str">
        <x:v>Inspection physique</x:v>
      </x:c>
      <x:c r="G2112" s="115" t="str">
        <x:v>5 niveaux ; 172 pièces ; 1305 segments de mur ; 7 transitions. Inspection physique ; architecture complète encore ouverte.</x:v>
      </x:c>
      <x:c r="H2112" s="115" t="str">
        <x:v>L 137,45 ; l 86,68 ; hauteur 12,35 m ; choix de composition auteur ; dimensions réelles à documenter</x:v>
      </x:c>
      <x:c r="I2112" s="115" t="str">
        <x:v>À équilibrer</x:v>
      </x:c>
      <x:c r="J2112" s="115" t="str">
        <x:v>Non</x:v>
      </x:c>
      <x:c r="K2112" s="115" t="str">
        <x:v>Pièces décrites, murs, portes, niveaux et mobilier inspectables à l’échelle. Volumes réservés, raccord au seed, butin, rencontres et services de campagne restent à terminer.</x:v>
      </x:c>
    </x:row>
    <x:row r="2113" ht="96" customHeight="1">
      <x:c r="A2113" s="115" t="str">
        <x:v>EXT-MONDE-T043-V08</x:v>
      </x:c>
      <x:c r="B2113" s="115" t="str">
        <x:v>EXT-MONDE-T043</x:v>
      </x:c>
      <x:c r="C2113" s="115" t="str">
        <x:v>HLM visitables</x:v>
      </x:c>
      <x:c r="D2113" s="115" t="str">
        <x:v>Résidence en cour</x:v>
      </x:c>
      <x:c r="E2113" s="115" t="n">
        <x:v>8</x:v>
      </x:c>
      <x:c r="F2113" s="115" t="str">
        <x:v>Inspection physique</x:v>
      </x:c>
      <x:c r="G2113" s="115" t="str">
        <x:v>6 niveaux ; 294 pièces ; 2226 segments de mur ; 12 transitions. Inspection physique ; architecture complète encore ouverte.</x:v>
      </x:c>
      <x:c r="H2113" s="115" t="str">
        <x:v>L 138,25 ; l 146,12 ; hauteur 15,45 m ; choix de composition auteur ; dimensions réelles à documenter</x:v>
      </x:c>
      <x:c r="I2113" s="115" t="str">
        <x:v>À équilibrer</x:v>
      </x:c>
      <x:c r="J2113" s="115" t="str">
        <x:v>Non</x:v>
      </x:c>
      <x:c r="K2113" s="115" t="str">
        <x:v>Pièces décrites, murs, portes, niveaux et mobilier inspectables à l’échelle. Volumes réservés, raccord au seed, butin, rencontres et services de campagne restent à terminer.</x:v>
      </x:c>
    </x:row>
    <x:row r="2114" ht="96" customHeight="1">
      <x:c r="A2114" s="115" t="str">
        <x:v>EXT-MONDE-T043-V09</x:v>
      </x:c>
      <x:c r="B2114" s="115" t="str">
        <x:v>EXT-MONDE-T043</x:v>
      </x:c>
      <x:c r="C2114" s="115" t="str">
        <x:v>HLM visitables</x:v>
      </x:c>
      <x:c r="D2114" s="115" t="str">
        <x:v>Résidence en cour</x:v>
      </x:c>
      <x:c r="E2114" s="115" t="n">
        <x:v>9</x:v>
      </x:c>
      <x:c r="F2114" s="115" t="str">
        <x:v>Inspection physique</x:v>
      </x:c>
      <x:c r="G2114" s="115" t="str">
        <x:v>5 niveaux ; 172 pièces ; 1305 segments de mur ; 7 transitions. Inspection physique ; architecture complète encore ouverte.</x:v>
      </x:c>
      <x:c r="H2114" s="115" t="str">
        <x:v>L 139,05 ; l 87,44 ; hauteur 12,55 m ; choix de composition auteur ; dimensions réelles à documenter</x:v>
      </x:c>
      <x:c r="I2114" s="115" t="str">
        <x:v>À équilibrer</x:v>
      </x:c>
      <x:c r="J2114" s="115" t="str">
        <x:v>Non</x:v>
      </x:c>
      <x:c r="K2114" s="115" t="str">
        <x:v>Pièces décrites, murs, portes, niveaux et mobilier inspectables à l’échelle. Volumes réservés, raccord au seed, butin, rencontres et services de campagne restent à terminer.</x:v>
      </x:c>
    </x:row>
    <x:row r="2115" ht="96" customHeight="1">
      <x:c r="A2115" s="115" t="str">
        <x:v>EXT-MONDE-T043-V10</x:v>
      </x:c>
      <x:c r="B2115" s="115" t="str">
        <x:v>EXT-MONDE-T043</x:v>
      </x:c>
      <x:c r="C2115" s="115" t="str">
        <x:v>HLM visitables</x:v>
      </x:c>
      <x:c r="D2115" s="115" t="str">
        <x:v>Résidence en cour</x:v>
      </x:c>
      <x:c r="E2115" s="115" t="n">
        <x:v>10</x:v>
      </x:c>
      <x:c r="F2115" s="115" t="str">
        <x:v>Inspection physique</x:v>
      </x:c>
      <x:c r="G2115" s="115" t="str">
        <x:v>6 niveaux ; 294 pièces ; 2226 segments de mur ; 12 transitions. Inspection physique ; architecture complète encore ouverte.</x:v>
      </x:c>
      <x:c r="H2115" s="115" t="str">
        <x:v>L 139,85 ; l 147,64 ; hauteur 15,35 m ; choix de composition auteur ; dimensions réelles à documenter</x:v>
      </x:c>
      <x:c r="I2115" s="115" t="str">
        <x:v>À équilibrer</x:v>
      </x:c>
      <x:c r="J2115" s="115" t="str">
        <x:v>Non</x:v>
      </x:c>
      <x:c r="K2115" s="115" t="str">
        <x:v>Pièces décrites, murs, portes, niveaux et mobilier inspectables à l’échelle. Volumes réservés, raccord au seed, butin, rencontres et services de campagne restent à terminer.</x:v>
      </x:c>
    </x:row>
    <x:row r="2116" ht="96" customHeight="1">
      <x:c r="A2116" s="115" t="str">
        <x:v>EXT-MONDE-T043-V11</x:v>
      </x:c>
      <x:c r="B2116" s="115" t="str">
        <x:v>EXT-MONDE-T043</x:v>
      </x:c>
      <x:c r="C2116" s="115" t="str">
        <x:v>HLM visitables</x:v>
      </x:c>
      <x:c r="D2116" s="115" t="str">
        <x:v>Résidence en cour</x:v>
      </x:c>
      <x:c r="E2116" s="115" t="n">
        <x:v>11</x:v>
      </x:c>
      <x:c r="F2116" s="115" t="str">
        <x:v>Inspection physique</x:v>
      </x:c>
      <x:c r="G2116" s="115" t="str">
        <x:v>6 niveaux ; 220 pièces ; 1663 segments de mur ; 9 transitions. Inspection physique ; architecture complète encore ouverte.</x:v>
      </x:c>
      <x:c r="H2116" s="115" t="str">
        <x:v>L 133,2 ; l 84,96 ; hauteur 15,35 m ; choix de composition auteur ; dimensions réelles à documenter</x:v>
      </x:c>
      <x:c r="I2116" s="115" t="str">
        <x:v>À équilibrer</x:v>
      </x:c>
      <x:c r="J2116" s="115" t="str">
        <x:v>Non</x:v>
      </x:c>
      <x:c r="K2116" s="115" t="str">
        <x:v>Pièces décrites, murs, portes, niveaux et mobilier inspectables à l’échelle. Volumes réservés, raccord au seed, butin, rencontres et services de campagne restent à terminer.</x:v>
      </x:c>
    </x:row>
    <x:row r="2117" ht="96" customHeight="1">
      <x:c r="A2117" s="115" t="str">
        <x:v>EXT-MONDE-T043-V12</x:v>
      </x:c>
      <x:c r="B2117" s="115" t="str">
        <x:v>EXT-MONDE-T043</x:v>
      </x:c>
      <x:c r="C2117" s="115" t="str">
        <x:v>HLM visitables</x:v>
      </x:c>
      <x:c r="D2117" s="115" t="str">
        <x:v>Résidence en cour</x:v>
      </x:c>
      <x:c r="E2117" s="115" t="n">
        <x:v>12</x:v>
      </x:c>
      <x:c r="F2117" s="115" t="str">
        <x:v>Inspection physique</x:v>
      </x:c>
      <x:c r="G2117" s="115" t="str">
        <x:v>6 niveaux ; 294 pièces ; 2226 segments de mur ; 12 transitions. Inspection physique ; architecture complète encore ouverte.</x:v>
      </x:c>
      <x:c r="H2117" s="115" t="str">
        <x:v>L 134 ; l 142,68 ; hauteur 15,45 m ; choix de composition auteur ; dimensions réelles à documenter</x:v>
      </x:c>
      <x:c r="I2117" s="115" t="str">
        <x:v>À équilibrer</x:v>
      </x:c>
      <x:c r="J2117" s="115" t="str">
        <x:v>Non</x:v>
      </x:c>
      <x:c r="K2117" s="115" t="str">
        <x:v>Pièces décrites, murs, portes, niveaux et mobilier inspectables à l’échelle. Volumes réservés, raccord au seed, butin, rencontres et services de campagne restent à terminer.</x:v>
      </x:c>
    </x:row>
    <x:row r="2118" ht="96" customHeight="1">
      <x:c r="A2118" s="115" t="str">
        <x:v>EXT-MONDE-T043-V13</x:v>
      </x:c>
      <x:c r="B2118" s="115" t="str">
        <x:v>EXT-MONDE-T043</x:v>
      </x:c>
      <x:c r="C2118" s="115" t="str">
        <x:v>HLM visitables</x:v>
      </x:c>
      <x:c r="D2118" s="115" t="str">
        <x:v>Résidence en cour</x:v>
      </x:c>
      <x:c r="E2118" s="115" t="n">
        <x:v>13</x:v>
      </x:c>
      <x:c r="F2118" s="115" t="str">
        <x:v>Inspection physique</x:v>
      </x:c>
      <x:c r="G2118" s="115" t="str">
        <x:v>6 niveaux ; 220 pièces ; 1663 segments de mur ; 9 transitions. Inspection physique ; architecture complète encore ouverte.</x:v>
      </x:c>
      <x:c r="H2118" s="115" t="str">
        <x:v>L 134,8 ; l 85,72 ; hauteur 15,55 m ; choix de composition auteur ; dimensions réelles à documenter</x:v>
      </x:c>
      <x:c r="I2118" s="115" t="str">
        <x:v>À équilibrer</x:v>
      </x:c>
      <x:c r="J2118" s="115" t="str">
        <x:v>Non</x:v>
      </x:c>
      <x:c r="K2118" s="115" t="str">
        <x:v>Pièces décrites, murs, portes, niveaux et mobilier inspectables à l’échelle. Volumes réservés, raccord au seed, butin, rencontres et services de campagne restent à terminer.</x:v>
      </x:c>
    </x:row>
    <x:row r="2119" ht="96" customHeight="1">
      <x:c r="A2119" s="115" t="str">
        <x:v>EXT-MONDE-T043-V14</x:v>
      </x:c>
      <x:c r="B2119" s="115" t="str">
        <x:v>EXT-MONDE-T043</x:v>
      </x:c>
      <x:c r="C2119" s="115" t="str">
        <x:v>HLM visitables</x:v>
      </x:c>
      <x:c r="D2119" s="115" t="str">
        <x:v>Résidence en cour</x:v>
      </x:c>
      <x:c r="E2119" s="115" t="n">
        <x:v>14</x:v>
      </x:c>
      <x:c r="F2119" s="115" t="str">
        <x:v>Inspection physique</x:v>
      </x:c>
      <x:c r="G2119" s="115" t="str">
        <x:v>6 niveaux ; 294 pièces ; 2226 segments de mur ; 12 transitions. Inspection physique ; architecture complète encore ouverte.</x:v>
      </x:c>
      <x:c r="H2119" s="115" t="str">
        <x:v>L 135,6 ; l 144,2 ; hauteur 15,35 m ; choix de composition auteur ; dimensions réelles à documenter</x:v>
      </x:c>
      <x:c r="I2119" s="115" t="str">
        <x:v>À équilibrer</x:v>
      </x:c>
      <x:c r="J2119" s="115" t="str">
        <x:v>Non</x:v>
      </x:c>
      <x:c r="K2119" s="115" t="str">
        <x:v>Pièces décrites, murs, portes, niveaux et mobilier inspectables à l’échelle. Volumes réservés, raccord au seed, butin, rencontres et services de campagne restent à terminer.</x:v>
      </x:c>
    </x:row>
    <x:row r="2120" ht="96" customHeight="1">
      <x:c r="A2120" s="115" t="str">
        <x:v>EXT-MONDE-T043-V15</x:v>
      </x:c>
      <x:c r="B2120" s="115" t="str">
        <x:v>EXT-MONDE-T043</x:v>
      </x:c>
      <x:c r="C2120" s="115" t="str">
        <x:v>HLM visitables</x:v>
      </x:c>
      <x:c r="D2120" s="115" t="str">
        <x:v>Résidence en cour</x:v>
      </x:c>
      <x:c r="E2120" s="115" t="n">
        <x:v>15</x:v>
      </x:c>
      <x:c r="F2120" s="115" t="str">
        <x:v>Inspection physique</x:v>
      </x:c>
      <x:c r="G2120" s="115" t="str">
        <x:v>6 niveaux ; 220 pièces ; 1663 segments de mur ; 9 transitions. Inspection physique ; architecture complète encore ouverte.</x:v>
      </x:c>
      <x:c r="H2120" s="115" t="str">
        <x:v>L 136,4 ; l 86,48 ; hauteur 15,45 m ; choix de composition auteur ; dimensions réelles à documenter</x:v>
      </x:c>
      <x:c r="I2120" s="115" t="str">
        <x:v>À équilibrer</x:v>
      </x:c>
      <x:c r="J2120" s="115" t="str">
        <x:v>Non</x:v>
      </x:c>
      <x:c r="K2120" s="115" t="str">
        <x:v>Pièces décrites, murs, portes, niveaux et mobilier inspectables à l’échelle. Volumes réservés, raccord au seed, butin, rencontres et services de campagne restent à terminer.</x:v>
      </x:c>
    </x:row>
    <x:row r="2121" ht="96" customHeight="1">
      <x:c r="A2121" s="115" t="str">
        <x:v>EXT-MONDE-T043-V16</x:v>
      </x:c>
      <x:c r="B2121" s="115" t="str">
        <x:v>EXT-MONDE-T043</x:v>
      </x:c>
      <x:c r="C2121" s="115" t="str">
        <x:v>HLM visitables</x:v>
      </x:c>
      <x:c r="D2121" s="115" t="str">
        <x:v>Résidence en cour</x:v>
      </x:c>
      <x:c r="E2121" s="115" t="n">
        <x:v>16</x:v>
      </x:c>
      <x:c r="F2121" s="115" t="str">
        <x:v>Inspection physique</x:v>
      </x:c>
      <x:c r="G2121" s="115" t="str">
        <x:v>6 niveaux ; 294 pièces ; 2226 segments de mur ; 12 transitions. Inspection physique ; architecture complète encore ouverte.</x:v>
      </x:c>
      <x:c r="H2121" s="115" t="str">
        <x:v>L 136,85 ; l 144,92 ; hauteur 15,55 m ; choix de composition auteur ; dimensions réelles à documenter</x:v>
      </x:c>
      <x:c r="I2121" s="115" t="str">
        <x:v>À équilibrer</x:v>
      </x:c>
      <x:c r="J2121" s="115" t="str">
        <x:v>Non</x:v>
      </x:c>
      <x:c r="K2121" s="115" t="str">
        <x:v>Pièces décrites, murs, portes, niveaux et mobilier inspectables à l’échelle. Volumes réservés, raccord au seed, butin, rencontres et services de campagne restent à terminer.</x:v>
      </x:c>
    </x:row>
    <x:row r="2122" ht="96" customHeight="1">
      <x:c r="A2122" s="115" t="str">
        <x:v>EXT-MONDE-T043-V17</x:v>
      </x:c>
      <x:c r="B2122" s="115" t="str">
        <x:v>EXT-MONDE-T043</x:v>
      </x:c>
      <x:c r="C2122" s="115" t="str">
        <x:v>HLM visitables</x:v>
      </x:c>
      <x:c r="D2122" s="115" t="str">
        <x:v>Résidence en cour</x:v>
      </x:c>
      <x:c r="E2122" s="115" t="n">
        <x:v>17</x:v>
      </x:c>
      <x:c r="F2122" s="115" t="str">
        <x:v>Inspection physique</x:v>
      </x:c>
      <x:c r="G2122" s="115" t="str">
        <x:v>6 niveaux ; 220 pièces ; 1663 segments de mur ; 9 transitions. Inspection physique ; architecture complète encore ouverte.</x:v>
      </x:c>
      <x:c r="H2122" s="115" t="str">
        <x:v>L 137,65 ; l 86,84 ; hauteur 15,35 m ; choix de composition auteur ; dimensions réelles à documenter</x:v>
      </x:c>
      <x:c r="I2122" s="115" t="str">
        <x:v>À équilibrer</x:v>
      </x:c>
      <x:c r="J2122" s="115" t="str">
        <x:v>Non</x:v>
      </x:c>
      <x:c r="K2122" s="115" t="str">
        <x:v>Pièces décrites, murs, portes, niveaux et mobilier inspectables à l’échelle. Volumes réservés, raccord au seed, butin, rencontres et services de campagne restent à terminer.</x:v>
      </x:c>
    </x:row>
    <x:row r="2123" ht="96" customHeight="1">
      <x:c r="A2123" s="115" t="str">
        <x:v>EXT-MONDE-T043-V18</x:v>
      </x:c>
      <x:c r="B2123" s="115" t="str">
        <x:v>EXT-MONDE-T043</x:v>
      </x:c>
      <x:c r="C2123" s="115" t="str">
        <x:v>HLM visitables</x:v>
      </x:c>
      <x:c r="D2123" s="115" t="str">
        <x:v>Résidence en cour</x:v>
      </x:c>
      <x:c r="E2123" s="115" t="n">
        <x:v>18</x:v>
      </x:c>
      <x:c r="F2123" s="115" t="str">
        <x:v>Inspection physique</x:v>
      </x:c>
      <x:c r="G2123" s="115" t="str">
        <x:v>6 niveaux ; 294 pièces ; 2226 segments de mur ; 12 transitions. Inspection physique ; architecture complète encore ouverte.</x:v>
      </x:c>
      <x:c r="H2123" s="115" t="str">
        <x:v>L 138,45 ; l 146,44 ; hauteur 15,45 m ; choix de composition auteur ; dimensions réelles à documenter</x:v>
      </x:c>
      <x:c r="I2123" s="115" t="str">
        <x:v>À équilibrer</x:v>
      </x:c>
      <x:c r="J2123" s="115" t="str">
        <x:v>Non</x:v>
      </x:c>
      <x:c r="K2123" s="115" t="str">
        <x:v>Pièces décrites, murs, portes, niveaux et mobilier inspectables à l’échelle. Volumes réservés, raccord au seed, butin, rencontres et services de campagne restent à terminer.</x:v>
      </x:c>
    </x:row>
    <x:row r="2124" ht="96" customHeight="1">
      <x:c r="A2124" s="115" t="str">
        <x:v>EXT-MONDE-T043-V19</x:v>
      </x:c>
      <x:c r="B2124" s="115" t="str">
        <x:v>EXT-MONDE-T043</x:v>
      </x:c>
      <x:c r="C2124" s="115" t="str">
        <x:v>HLM visitables</x:v>
      </x:c>
      <x:c r="D2124" s="115" t="str">
        <x:v>Résidence en cour</x:v>
      </x:c>
      <x:c r="E2124" s="115" t="n">
        <x:v>19</x:v>
      </x:c>
      <x:c r="F2124" s="115" t="str">
        <x:v>Inspection physique</x:v>
      </x:c>
      <x:c r="G2124" s="115" t="str">
        <x:v>6 niveaux ; 220 pièces ; 1663 segments de mur ; 9 transitions. Inspection physique ; architecture complète encore ouverte.</x:v>
      </x:c>
      <x:c r="H2124" s="115" t="str">
        <x:v>L 139,25 ; l 87,6 ; hauteur 15,55 m ; choix de composition auteur ; dimensions réelles à documenter</x:v>
      </x:c>
      <x:c r="I2124" s="115" t="str">
        <x:v>À équilibrer</x:v>
      </x:c>
      <x:c r="J2124" s="115" t="str">
        <x:v>Non</x:v>
      </x:c>
      <x:c r="K2124" s="115" t="str">
        <x:v>Pièces décrites, murs, portes, niveaux et mobilier inspectables à l’échelle. Volumes réservés, raccord au seed, butin, rencontres et services de campagne restent à terminer.</x:v>
      </x:c>
    </x:row>
    <x:row r="2125" ht="96" customHeight="1">
      <x:c r="A2125" s="115" t="str">
        <x:v>EXT-MONDE-T043-V20</x:v>
      </x:c>
      <x:c r="B2125" s="115" t="str">
        <x:v>EXT-MONDE-T043</x:v>
      </x:c>
      <x:c r="C2125" s="115" t="str">
        <x:v>HLM visitables</x:v>
      </x:c>
      <x:c r="D2125" s="115" t="str">
        <x:v>Résidence en cour</x:v>
      </x:c>
      <x:c r="E2125" s="115" t="n">
        <x:v>20</x:v>
      </x:c>
      <x:c r="F2125" s="115" t="str">
        <x:v>Inspection physique</x:v>
      </x:c>
      <x:c r="G2125" s="115" t="str">
        <x:v>6 niveaux ; 294 pièces ; 2226 segments de mur ; 12 transitions. Inspection physique ; architecture complète encore ouverte.</x:v>
      </x:c>
      <x:c r="H2125" s="115" t="str">
        <x:v>L 140,05 ; l 147,96 ; hauteur 15,35 m ; choix de composition auteur ; dimensions réelles à documenter</x:v>
      </x:c>
      <x:c r="I2125" s="115" t="str">
        <x:v>À équilibrer</x:v>
      </x:c>
      <x:c r="J2125" s="115" t="str">
        <x:v>Non</x:v>
      </x:c>
      <x:c r="K2125" s="115" t="str">
        <x:v>Pièces décrites, murs, portes, niveaux et mobilier inspectables à l’échelle. Volumes réservés, raccord au seed, butin, rencontres et services de campagne restent à terminer.</x:v>
      </x:c>
    </x:row>
    <x:row r="2126" ht="96" customHeight="1">
      <x:c r="A2126" s="115" t="str">
        <x:v>EXT-MONDE-T043-V21</x:v>
      </x:c>
      <x:c r="B2126" s="115" t="str">
        <x:v>EXT-MONDE-T043</x:v>
      </x:c>
      <x:c r="C2126" s="115" t="str">
        <x:v>HLM visitables</x:v>
      </x:c>
      <x:c r="D2126" s="115" t="str">
        <x:v>Résidence en cour</x:v>
      </x:c>
      <x:c r="E2126" s="115" t="n">
        <x:v>21</x:v>
      </x:c>
      <x:c r="F2126" s="115" t="str">
        <x:v>Inspection physique</x:v>
      </x:c>
      <x:c r="G2126" s="115" t="str">
        <x:v>6 niveaux ; 196 pièces ; 1484 segments de mur ; 8 transitions. Inspection physique ; architecture complète encore ouverte.</x:v>
      </x:c>
      <x:c r="H2126" s="115" t="str">
        <x:v>L 133,4 ; l 85,12 ; hauteur 15,35 m ; choix de composition auteur ; dimensions réelles à documenter</x:v>
      </x:c>
      <x:c r="I2126" s="115" t="str">
        <x:v>À équilibrer</x:v>
      </x:c>
      <x:c r="J2126" s="115" t="str">
        <x:v>Non</x:v>
      </x:c>
      <x:c r="K2126" s="115" t="str">
        <x:v>Pièces décrites, murs, portes, niveaux et mobilier inspectables à l’échelle. Volumes réservés, raccord au seed, butin, rencontres et services de campagne restent à terminer.</x:v>
      </x:c>
    </x:row>
    <x:row r="2127" ht="96" customHeight="1">
      <x:c r="A2127" s="115" t="str">
        <x:v>EXT-MONDE-T043-V22</x:v>
      </x:c>
      <x:c r="B2127" s="115" t="str">
        <x:v>EXT-MONDE-T043</x:v>
      </x:c>
      <x:c r="C2127" s="115" t="str">
        <x:v>HLM visitables</x:v>
      </x:c>
      <x:c r="D2127" s="115" t="str">
        <x:v>Résidence en cour</x:v>
      </x:c>
      <x:c r="E2127" s="115" t="n">
        <x:v>22</x:v>
      </x:c>
      <x:c r="F2127" s="115" t="str">
        <x:v>Inspection physique</x:v>
      </x:c>
      <x:c r="G2127" s="115" t="str">
        <x:v>6 niveaux ; 294 pièces ; 2226 segments de mur ; 12 transitions. Inspection physique ; architecture complète encore ouverte.</x:v>
      </x:c>
      <x:c r="H2127" s="115" t="str">
        <x:v>L 134,2 ; l 143 ; hauteur 15,45 m ; choix de composition auteur ; dimensions réelles à documenter</x:v>
      </x:c>
      <x:c r="I2127" s="115" t="str">
        <x:v>À équilibrer</x:v>
      </x:c>
      <x:c r="J2127" s="115" t="str">
        <x:v>Non</x:v>
      </x:c>
      <x:c r="K2127" s="115" t="str">
        <x:v>Pièces décrites, murs, portes, niveaux et mobilier inspectables à l’échelle. Volumes réservés, raccord au seed, butin, rencontres et services de campagne restent à terminer.</x:v>
      </x:c>
    </x:row>
    <x:row r="2128" ht="96" customHeight="1">
      <x:c r="A2128" s="115" t="str">
        <x:v>EXT-MONDE-T043-V23</x:v>
      </x:c>
      <x:c r="B2128" s="115" t="str">
        <x:v>EXT-MONDE-T043</x:v>
      </x:c>
      <x:c r="C2128" s="115" t="str">
        <x:v>HLM visitables</x:v>
      </x:c>
      <x:c r="D2128" s="115" t="str">
        <x:v>Résidence en cour</x:v>
      </x:c>
      <x:c r="E2128" s="115" t="n">
        <x:v>23</x:v>
      </x:c>
      <x:c r="F2128" s="115" t="str">
        <x:v>Inspection physique</x:v>
      </x:c>
      <x:c r="G2128" s="115" t="str">
        <x:v>6 niveaux ; 196 pièces ; 1484 segments de mur ; 8 transitions. Inspection physique ; architecture complète encore ouverte.</x:v>
      </x:c>
      <x:c r="H2128" s="115" t="str">
        <x:v>L 135 ; l 85,88 ; hauteur 15,55 m ; choix de composition auteur ; dimensions réelles à documenter</x:v>
      </x:c>
      <x:c r="I2128" s="115" t="str">
        <x:v>À équilibrer</x:v>
      </x:c>
      <x:c r="J2128" s="115" t="str">
        <x:v>Non</x:v>
      </x:c>
      <x:c r="K2128" s="115" t="str">
        <x:v>Pièces décrites, murs, portes, niveaux et mobilier inspectables à l’échelle. Volumes réservés, raccord au seed, butin, rencontres et services de campagne restent à terminer.</x:v>
      </x:c>
    </x:row>
    <x:row r="2129" ht="96" customHeight="1">
      <x:c r="A2129" s="115" t="str">
        <x:v>EXT-MONDE-T043-V24</x:v>
      </x:c>
      <x:c r="B2129" s="115" t="str">
        <x:v>EXT-MONDE-T043</x:v>
      </x:c>
      <x:c r="C2129" s="115" t="str">
        <x:v>HLM visitables</x:v>
      </x:c>
      <x:c r="D2129" s="115" t="str">
        <x:v>Résidence en cour</x:v>
      </x:c>
      <x:c r="E2129" s="115" t="n">
        <x:v>24</x:v>
      </x:c>
      <x:c r="F2129" s="115" t="str">
        <x:v>Inspection physique</x:v>
      </x:c>
      <x:c r="G2129" s="115" t="str">
        <x:v>6 niveaux ; 294 pièces ; 2226 segments de mur ; 12 transitions. Inspection physique ; architecture complète encore ouverte.</x:v>
      </x:c>
      <x:c r="H2129" s="115" t="str">
        <x:v>L 135,8 ; l 144,52 ; hauteur 15,35 m ; choix de composition auteur ; dimensions réelles à documenter</x:v>
      </x:c>
      <x:c r="I2129" s="115" t="str">
        <x:v>À équilibrer</x:v>
      </x:c>
      <x:c r="J2129" s="115" t="str">
        <x:v>Non</x:v>
      </x:c>
      <x:c r="K2129" s="115" t="str">
        <x:v>Pièces décrites, murs, portes, niveaux et mobilier inspectables à l’échelle. Volumes réservés, raccord au seed, butin, rencontres et services de campagne restent à terminer.</x:v>
      </x:c>
    </x:row>
    <x:row r="2130" ht="96" customHeight="1">
      <x:c r="A2130" s="115" t="str">
        <x:v>EXT-MONDE-T043-V25</x:v>
      </x:c>
      <x:c r="B2130" s="115" t="str">
        <x:v>EXT-MONDE-T043</x:v>
      </x:c>
      <x:c r="C2130" s="115" t="str">
        <x:v>HLM visitables</x:v>
      </x:c>
      <x:c r="D2130" s="115" t="str">
        <x:v>Résidence en cour</x:v>
      </x:c>
      <x:c r="E2130" s="115" t="n">
        <x:v>25</x:v>
      </x:c>
      <x:c r="F2130" s="115" t="str">
        <x:v>Inspection physique</x:v>
      </x:c>
      <x:c r="G2130" s="115" t="str">
        <x:v>6 niveaux ; 196 pièces ; 1484 segments de mur ; 8 transitions. Inspection physique ; architecture complète encore ouverte.</x:v>
      </x:c>
      <x:c r="H2130" s="115" t="str">
        <x:v>L 136,6 ; l 86,64 ; hauteur 15,45 m ; choix de composition auteur ; dimensions réelles à documenter</x:v>
      </x:c>
      <x:c r="I2130" s="115" t="str">
        <x:v>À équilibrer</x:v>
      </x:c>
      <x:c r="J2130" s="115" t="str">
        <x:v>Non</x:v>
      </x:c>
      <x:c r="K2130" s="115" t="str">
        <x:v>Pièces décrites, murs, portes, niveaux et mobilier inspectables à l’échelle. Volumes réservés, raccord au seed, butin, rencontres et services de campagne restent à terminer.</x:v>
      </x:c>
    </x:row>
    <x:row r="2131" ht="96" customHeight="1">
      <x:c r="A2131" s="115" t="str">
        <x:v>EXT-MONDE-T043-V26</x:v>
      </x:c>
      <x:c r="B2131" s="115" t="str">
        <x:v>EXT-MONDE-T043</x:v>
      </x:c>
      <x:c r="C2131" s="115" t="str">
        <x:v>HLM visitables</x:v>
      </x:c>
      <x:c r="D2131" s="115" t="str">
        <x:v>Résidence en cour</x:v>
      </x:c>
      <x:c r="E2131" s="115" t="n">
        <x:v>26</x:v>
      </x:c>
      <x:c r="F2131" s="115" t="str">
        <x:v>Inspection physique</x:v>
      </x:c>
      <x:c r="G2131" s="115" t="str">
        <x:v>6 niveaux ; 294 pièces ; 2226 segments de mur ; 12 transitions. Inspection physique ; architecture complète encore ouverte.</x:v>
      </x:c>
      <x:c r="H2131" s="115" t="str">
        <x:v>L 137,05 ; l 145,24 ; hauteur 15,55 m ; choix de composition auteur ; dimensions réelles à documenter</x:v>
      </x:c>
      <x:c r="I2131" s="115" t="str">
        <x:v>À équilibrer</x:v>
      </x:c>
      <x:c r="J2131" s="115" t="str">
        <x:v>Non</x:v>
      </x:c>
      <x:c r="K2131" s="115" t="str">
        <x:v>Pièces décrites, murs, portes, niveaux et mobilier inspectables à l’échelle. Volumes réservés, raccord au seed, butin, rencontres et services de campagne restent à terminer.</x:v>
      </x:c>
    </x:row>
    <x:row r="2132" ht="96" customHeight="1">
      <x:c r="A2132" s="115" t="str">
        <x:v>EXT-MONDE-T043-V27</x:v>
      </x:c>
      <x:c r="B2132" s="115" t="str">
        <x:v>EXT-MONDE-T043</x:v>
      </x:c>
      <x:c r="C2132" s="115" t="str">
        <x:v>HLM visitables</x:v>
      </x:c>
      <x:c r="D2132" s="115" t="str">
        <x:v>Résidence en cour</x:v>
      </x:c>
      <x:c r="E2132" s="115" t="n">
        <x:v>27</x:v>
      </x:c>
      <x:c r="F2132" s="115" t="str">
        <x:v>Inspection physique</x:v>
      </x:c>
      <x:c r="G2132" s="115" t="str">
        <x:v>6 niveaux ; 196 pièces ; 1484 segments de mur ; 8 transitions. Inspection physique ; architecture complète encore ouverte.</x:v>
      </x:c>
      <x:c r="H2132" s="115" t="str">
        <x:v>L 137,85 ; l 87 ; hauteur 15,35 m ; choix de composition auteur ; dimensions réelles à documenter</x:v>
      </x:c>
      <x:c r="I2132" s="115" t="str">
        <x:v>À équilibrer</x:v>
      </x:c>
      <x:c r="J2132" s="115" t="str">
        <x:v>Non</x:v>
      </x:c>
      <x:c r="K2132" s="115" t="str">
        <x:v>Pièces décrites, murs, portes, niveaux et mobilier inspectables à l’échelle. Volumes réservés, raccord au seed, butin, rencontres et services de campagne restent à terminer.</x:v>
      </x:c>
    </x:row>
    <x:row r="2133" ht="96" customHeight="1">
      <x:c r="A2133" s="115" t="str">
        <x:v>EXT-MONDE-T043-V28</x:v>
      </x:c>
      <x:c r="B2133" s="115" t="str">
        <x:v>EXT-MONDE-T043</x:v>
      </x:c>
      <x:c r="C2133" s="115" t="str">
        <x:v>HLM visitables</x:v>
      </x:c>
      <x:c r="D2133" s="115" t="str">
        <x:v>Résidence en cour</x:v>
      </x:c>
      <x:c r="E2133" s="115" t="n">
        <x:v>28</x:v>
      </x:c>
      <x:c r="F2133" s="115" t="str">
        <x:v>Inspection physique</x:v>
      </x:c>
      <x:c r="G2133" s="115" t="str">
        <x:v>6 niveaux ; 294 pièces ; 2226 segments de mur ; 12 transitions. Inspection physique ; architecture complète encore ouverte.</x:v>
      </x:c>
      <x:c r="H2133" s="115" t="str">
        <x:v>L 138,65 ; l 146,76 ; hauteur 15,45 m ; choix de composition auteur ; dimensions réelles à documenter</x:v>
      </x:c>
      <x:c r="I2133" s="115" t="str">
        <x:v>À équilibrer</x:v>
      </x:c>
      <x:c r="J2133" s="115" t="str">
        <x:v>Non</x:v>
      </x:c>
      <x:c r="K2133" s="115" t="str">
        <x:v>Pièces décrites, murs, portes, niveaux et mobilier inspectables à l’échelle. Volumes réservés, raccord au seed, butin, rencontres et services de campagne restent à terminer.</x:v>
      </x:c>
    </x:row>
    <x:row r="2134" ht="96" customHeight="1">
      <x:c r="A2134" s="115" t="str">
        <x:v>EXT-MONDE-T043-V29</x:v>
      </x:c>
      <x:c r="B2134" s="115" t="str">
        <x:v>EXT-MONDE-T043</x:v>
      </x:c>
      <x:c r="C2134" s="115" t="str">
        <x:v>HLM visitables</x:v>
      </x:c>
      <x:c r="D2134" s="115" t="str">
        <x:v>Résidence en cour</x:v>
      </x:c>
      <x:c r="E2134" s="115" t="n">
        <x:v>29</x:v>
      </x:c>
      <x:c r="F2134" s="115" t="str">
        <x:v>Inspection physique</x:v>
      </x:c>
      <x:c r="G2134" s="115" t="str">
        <x:v>6 niveaux ; 196 pièces ; 1484 segments de mur ; 8 transitions. Inspection physique ; architecture complète encore ouverte.</x:v>
      </x:c>
      <x:c r="H2134" s="115" t="str">
        <x:v>L 139,45 ; l 87,76 ; hauteur 15,55 m ; choix de composition auteur ; dimensions réelles à documenter</x:v>
      </x:c>
      <x:c r="I2134" s="115" t="str">
        <x:v>À équilibrer</x:v>
      </x:c>
      <x:c r="J2134" s="115" t="str">
        <x:v>Non</x:v>
      </x:c>
      <x:c r="K2134" s="115" t="str">
        <x:v>Pièces décrites, murs, portes, niveaux et mobilier inspectables à l’échelle. Volumes réservés, raccord au seed, butin, rencontres et services de campagne restent à terminer.</x:v>
      </x:c>
    </x:row>
    <x:row r="2135" ht="96" customHeight="1">
      <x:c r="A2135" s="115" t="str">
        <x:v>EXT-MONDE-T043-V30</x:v>
      </x:c>
      <x:c r="B2135" s="115" t="str">
        <x:v>EXT-MONDE-T043</x:v>
      </x:c>
      <x:c r="C2135" s="115" t="str">
        <x:v>HLM visitables</x:v>
      </x:c>
      <x:c r="D2135" s="115" t="str">
        <x:v>Résidence en cour</x:v>
      </x:c>
      <x:c r="E2135" s="115" t="n">
        <x:v>30</x:v>
      </x:c>
      <x:c r="F2135" s="115" t="str">
        <x:v>Inspection physique</x:v>
      </x:c>
      <x:c r="G2135" s="115" t="str">
        <x:v>6 niveaux ; 294 pièces ; 2226 segments de mur ; 12 transitions. Inspection physique ; architecture complète encore ouverte.</x:v>
      </x:c>
      <x:c r="H2135" s="115" t="str">
        <x:v>L 140,25 ; l 148,28 ; hauteur 15,35 m ; choix de composition auteur ; dimensions réelles à documenter</x:v>
      </x:c>
      <x:c r="I2135" s="115" t="str">
        <x:v>À équilibrer</x:v>
      </x:c>
      <x:c r="J2135" s="115" t="str">
        <x:v>Non</x:v>
      </x:c>
      <x:c r="K2135" s="115" t="str">
        <x:v>Pièces décrites, murs, portes, niveaux et mobilier inspectables à l’échelle. Volumes réservés, raccord au seed, butin, rencontres et services de campagne restent à terminer.</x:v>
      </x:c>
    </x:row>
    <x:row r="2136" ht="96" customHeight="1">
      <x:c r="A2136" s="115" t="str">
        <x:v>EXT-MONDE-T043-V31</x:v>
      </x:c>
      <x:c r="B2136" s="115" t="str">
        <x:v>EXT-MONDE-T043</x:v>
      </x:c>
      <x:c r="C2136" s="115" t="str">
        <x:v>HLM visitables</x:v>
      </x:c>
      <x:c r="D2136" s="115" t="str">
        <x:v>Résidence en cour</x:v>
      </x:c>
      <x:c r="E2136" s="115" t="n">
        <x:v>31</x:v>
      </x:c>
      <x:c r="F2136" s="115" t="str">
        <x:v>Inspection physique</x:v>
      </x:c>
      <x:c r="G2136" s="115" t="str">
        <x:v>5 niveaux ; 172 pièces ; 1305 segments de mur ; 7 transitions. Inspection physique ; architecture complète encore ouverte.</x:v>
      </x:c>
      <x:c r="H2136" s="115" t="str">
        <x:v>L 133,6 ; l 85,28 ; hauteur 12,35 m ; choix de composition auteur ; dimensions réelles à documenter</x:v>
      </x:c>
      <x:c r="I2136" s="115" t="str">
        <x:v>À équilibrer</x:v>
      </x:c>
      <x:c r="J2136" s="115" t="str">
        <x:v>Non</x:v>
      </x:c>
      <x:c r="K2136" s="115" t="str">
        <x:v>Pièces décrites, murs, portes, niveaux et mobilier inspectables à l’échelle. Volumes réservés, raccord au seed, butin, rencontres et services de campagne restent à terminer.</x:v>
      </x:c>
    </x:row>
    <x:row r="2137" ht="96" customHeight="1">
      <x:c r="A2137" s="115" t="str">
        <x:v>EXT-MONDE-T043-V32</x:v>
      </x:c>
      <x:c r="B2137" s="115" t="str">
        <x:v>EXT-MONDE-T043</x:v>
      </x:c>
      <x:c r="C2137" s="115" t="str">
        <x:v>HLM visitables</x:v>
      </x:c>
      <x:c r="D2137" s="115" t="str">
        <x:v>Résidence en cour</x:v>
      </x:c>
      <x:c r="E2137" s="115" t="n">
        <x:v>32</x:v>
      </x:c>
      <x:c r="F2137" s="115" t="str">
        <x:v>Inspection physique</x:v>
      </x:c>
      <x:c r="G2137" s="115" t="str">
        <x:v>6 niveaux ; 294 pièces ; 2226 segments de mur ; 12 transitions. Inspection physique ; architecture complète encore ouverte.</x:v>
      </x:c>
      <x:c r="H2137" s="115" t="str">
        <x:v>L 134,4 ; l 143,32 ; hauteur 15,45 m ; choix de composition auteur ; dimensions réelles à documenter</x:v>
      </x:c>
      <x:c r="I2137" s="115" t="str">
        <x:v>À équilibrer</x:v>
      </x:c>
      <x:c r="J2137" s="115" t="str">
        <x:v>Non</x:v>
      </x:c>
      <x:c r="K2137" s="115" t="str">
        <x:v>Pièces décrites, murs, portes, niveaux et mobilier inspectables à l’échelle. Volumes réservés, raccord au seed, butin, rencontres et services de campagne restent à terminer.</x:v>
      </x:c>
    </x:row>
    <x:row r="2138" ht="96" customHeight="1">
      <x:c r="A2138" s="115" t="str">
        <x:v>EXT-MONDE-T043-V33</x:v>
      </x:c>
      <x:c r="B2138" s="115" t="str">
        <x:v>EXT-MONDE-T043</x:v>
      </x:c>
      <x:c r="C2138" s="115" t="str">
        <x:v>HLM visitables</x:v>
      </x:c>
      <x:c r="D2138" s="115" t="str">
        <x:v>Résidence en cour</x:v>
      </x:c>
      <x:c r="E2138" s="115" t="n">
        <x:v>33</x:v>
      </x:c>
      <x:c r="F2138" s="115" t="str">
        <x:v>Inspection physique</x:v>
      </x:c>
      <x:c r="G2138" s="115" t="str">
        <x:v>5 niveaux ; 172 pièces ; 1305 segments de mur ; 7 transitions. Inspection physique ; architecture complète encore ouverte.</x:v>
      </x:c>
      <x:c r="H2138" s="115" t="str">
        <x:v>L 135,2 ; l 86,04 ; hauteur 12,55 m ; choix de composition auteur ; dimensions réelles à documenter</x:v>
      </x:c>
      <x:c r="I2138" s="115" t="str">
        <x:v>À équilibrer</x:v>
      </x:c>
      <x:c r="J2138" s="115" t="str">
        <x:v>Non</x:v>
      </x:c>
      <x:c r="K2138" s="115" t="str">
        <x:v>Pièces décrites, murs, portes, niveaux et mobilier inspectables à l’échelle. Volumes réservés, raccord au seed, butin, rencontres et services de campagne restent à terminer.</x:v>
      </x:c>
    </x:row>
    <x:row r="2139" ht="96" customHeight="1">
      <x:c r="A2139" s="115" t="str">
        <x:v>EXT-MONDE-T043-V34</x:v>
      </x:c>
      <x:c r="B2139" s="115" t="str">
        <x:v>EXT-MONDE-T043</x:v>
      </x:c>
      <x:c r="C2139" s="115" t="str">
        <x:v>HLM visitables</x:v>
      </x:c>
      <x:c r="D2139" s="115" t="str">
        <x:v>Résidence en cour</x:v>
      </x:c>
      <x:c r="E2139" s="115" t="n">
        <x:v>34</x:v>
      </x:c>
      <x:c r="F2139" s="115" t="str">
        <x:v>Inspection physique</x:v>
      </x:c>
      <x:c r="G2139" s="115" t="str">
        <x:v>6 niveaux ; 294 pièces ; 2226 segments de mur ; 12 transitions. Inspection physique ; architecture complète encore ouverte.</x:v>
      </x:c>
      <x:c r="H2139" s="115" t="str">
        <x:v>L 136 ; l 144,84 ; hauteur 15,35 m ; choix de composition auteur ; dimensions réelles à documenter</x:v>
      </x:c>
      <x:c r="I2139" s="115" t="str">
        <x:v>À équilibrer</x:v>
      </x:c>
      <x:c r="J2139" s="115" t="str">
        <x:v>Non</x:v>
      </x:c>
      <x:c r="K2139" s="115" t="str">
        <x:v>Pièces décrites, murs, portes, niveaux et mobilier inspectables à l’échelle. Volumes réservés, raccord au seed, butin, rencontres et services de campagne restent à terminer.</x:v>
      </x:c>
    </x:row>
    <x:row r="2140" ht="96" customHeight="1">
      <x:c r="A2140" s="115" t="str">
        <x:v>EXT-MONDE-T043-V35</x:v>
      </x:c>
      <x:c r="B2140" s="115" t="str">
        <x:v>EXT-MONDE-T043</x:v>
      </x:c>
      <x:c r="C2140" s="115" t="str">
        <x:v>HLM visitables</x:v>
      </x:c>
      <x:c r="D2140" s="115" t="str">
        <x:v>Résidence en cour</x:v>
      </x:c>
      <x:c r="E2140" s="115" t="n">
        <x:v>35</x:v>
      </x:c>
      <x:c r="F2140" s="115" t="str">
        <x:v>Inspection physique</x:v>
      </x:c>
      <x:c r="G2140" s="115" t="str">
        <x:v>5 niveaux ; 172 pièces ; 1305 segments de mur ; 7 transitions. Inspection physique ; architecture complète encore ouverte.</x:v>
      </x:c>
      <x:c r="H2140" s="115" t="str">
        <x:v>L 136,8 ; l 86,8 ; hauteur 12,45 m ; choix de composition auteur ; dimensions réelles à documenter</x:v>
      </x:c>
      <x:c r="I2140" s="115" t="str">
        <x:v>À équilibrer</x:v>
      </x:c>
      <x:c r="J2140" s="115" t="str">
        <x:v>Non</x:v>
      </x:c>
      <x:c r="K2140" s="115" t="str">
        <x:v>Pièces décrites, murs, portes, niveaux et mobilier inspectables à l’échelle. Volumes réservés, raccord au seed, butin, rencontres et services de campagne restent à terminer.</x:v>
      </x:c>
    </x:row>
    <x:row r="2141" ht="96" customHeight="1">
      <x:c r="A2141" s="115" t="str">
        <x:v>EXT-MONDE-T043-V36</x:v>
      </x:c>
      <x:c r="B2141" s="115" t="str">
        <x:v>EXT-MONDE-T043</x:v>
      </x:c>
      <x:c r="C2141" s="115" t="str">
        <x:v>HLM visitables</x:v>
      </x:c>
      <x:c r="D2141" s="115" t="str">
        <x:v>Résidence en cour</x:v>
      </x:c>
      <x:c r="E2141" s="115" t="n">
        <x:v>36</x:v>
      </x:c>
      <x:c r="F2141" s="115" t="str">
        <x:v>Inspection physique</x:v>
      </x:c>
      <x:c r="G2141" s="115" t="str">
        <x:v>6 niveaux ; 294 pièces ; 2226 segments de mur ; 12 transitions. Inspection physique ; architecture complète encore ouverte.</x:v>
      </x:c>
      <x:c r="H2141" s="115" t="str">
        <x:v>L 137,25 ; l 145,56 ; hauteur 15,55 m ; choix de composition auteur ; dimensions réelles à documenter</x:v>
      </x:c>
      <x:c r="I2141" s="115" t="str">
        <x:v>À équilibrer</x:v>
      </x:c>
      <x:c r="J2141" s="115" t="str">
        <x:v>Non</x:v>
      </x:c>
      <x:c r="K2141" s="115" t="str">
        <x:v>Pièces décrites, murs, portes, niveaux et mobilier inspectables à l’échelle. Volumes réservés, raccord au seed, butin, rencontres et services de campagne restent à terminer.</x:v>
      </x:c>
    </x:row>
    <x:row r="2142" ht="96" customHeight="1">
      <x:c r="A2142" s="115" t="str">
        <x:v>EXT-MONDE-T043-V37</x:v>
      </x:c>
      <x:c r="B2142" s="115" t="str">
        <x:v>EXT-MONDE-T043</x:v>
      </x:c>
      <x:c r="C2142" s="115" t="str">
        <x:v>HLM visitables</x:v>
      </x:c>
      <x:c r="D2142" s="115" t="str">
        <x:v>Résidence en cour</x:v>
      </x:c>
      <x:c r="E2142" s="115" t="n">
        <x:v>37</x:v>
      </x:c>
      <x:c r="F2142" s="115" t="str">
        <x:v>Inspection physique</x:v>
      </x:c>
      <x:c r="G2142" s="115" t="str">
        <x:v>5 niveaux ; 172 pièces ; 1305 segments de mur ; 7 transitions. Inspection physique ; architecture complète encore ouverte.</x:v>
      </x:c>
      <x:c r="H2142" s="115" t="str">
        <x:v>L 138,05 ; l 87,16 ; hauteur 12,35 m ; choix de composition auteur ; dimensions réelles à documenter</x:v>
      </x:c>
      <x:c r="I2142" s="115" t="str">
        <x:v>À équilibrer</x:v>
      </x:c>
      <x:c r="J2142" s="115" t="str">
        <x:v>Non</x:v>
      </x:c>
      <x:c r="K2142" s="115" t="str">
        <x:v>Pièces décrites, murs, portes, niveaux et mobilier inspectables à l’échelle. Volumes réservés, raccord au seed, butin, rencontres et services de campagne restent à terminer.</x:v>
      </x:c>
    </x:row>
    <x:row r="2143" ht="96" customHeight="1">
      <x:c r="A2143" s="115" t="str">
        <x:v>EXT-MONDE-T043-V38</x:v>
      </x:c>
      <x:c r="B2143" s="115" t="str">
        <x:v>EXT-MONDE-T043</x:v>
      </x:c>
      <x:c r="C2143" s="115" t="str">
        <x:v>HLM visitables</x:v>
      </x:c>
      <x:c r="D2143" s="115" t="str">
        <x:v>Résidence en cour</x:v>
      </x:c>
      <x:c r="E2143" s="115" t="n">
        <x:v>38</x:v>
      </x:c>
      <x:c r="F2143" s="115" t="str">
        <x:v>Inspection physique</x:v>
      </x:c>
      <x:c r="G2143" s="115" t="str">
        <x:v>6 niveaux ; 294 pièces ; 2226 segments de mur ; 12 transitions. Inspection physique ; architecture complète encore ouverte.</x:v>
      </x:c>
      <x:c r="H2143" s="115" t="str">
        <x:v>L 138,85 ; l 147,08 ; hauteur 15,45 m ; choix de composition auteur ; dimensions réelles à documenter</x:v>
      </x:c>
      <x:c r="I2143" s="115" t="str">
        <x:v>À équilibrer</x:v>
      </x:c>
      <x:c r="J2143" s="115" t="str">
        <x:v>Non</x:v>
      </x:c>
      <x:c r="K2143" s="115" t="str">
        <x:v>Pièces décrites, murs, portes, niveaux et mobilier inspectables à l’échelle. Volumes réservés, raccord au seed, butin, rencontres et services de campagne restent à terminer.</x:v>
      </x:c>
    </x:row>
    <x:row r="2144" ht="96" customHeight="1">
      <x:c r="A2144" s="115" t="str">
        <x:v>EXT-MONDE-T043-V39</x:v>
      </x:c>
      <x:c r="B2144" s="115" t="str">
        <x:v>EXT-MONDE-T043</x:v>
      </x:c>
      <x:c r="C2144" s="115" t="str">
        <x:v>HLM visitables</x:v>
      </x:c>
      <x:c r="D2144" s="115" t="str">
        <x:v>Résidence en cour</x:v>
      </x:c>
      <x:c r="E2144" s="115" t="n">
        <x:v>39</x:v>
      </x:c>
      <x:c r="F2144" s="115" t="str">
        <x:v>Inspection physique</x:v>
      </x:c>
      <x:c r="G2144" s="115" t="str">
        <x:v>5 niveaux ; 172 pièces ; 1305 segments de mur ; 7 transitions. Inspection physique ; architecture complète encore ouverte.</x:v>
      </x:c>
      <x:c r="H2144" s="115" t="str">
        <x:v>L 139,65 ; l 87,92 ; hauteur 12,55 m ; choix de composition auteur ; dimensions réelles à documenter</x:v>
      </x:c>
      <x:c r="I2144" s="115" t="str">
        <x:v>À équilibrer</x:v>
      </x:c>
      <x:c r="J2144" s="115" t="str">
        <x:v>Non</x:v>
      </x:c>
      <x:c r="K2144" s="115" t="str">
        <x:v>Pièces décrites, murs, portes, niveaux et mobilier inspectables à l’échelle. Volumes réservés, raccord au seed, butin, rencontres et services de campagne restent à terminer.</x:v>
      </x:c>
    </x:row>
    <x:row r="2145" ht="96" customHeight="1">
      <x:c r="A2145" s="115" t="str">
        <x:v>EXT-MONDE-T043-V40</x:v>
      </x:c>
      <x:c r="B2145" s="115" t="str">
        <x:v>EXT-MONDE-T043</x:v>
      </x:c>
      <x:c r="C2145" s="115" t="str">
        <x:v>HLM visitables</x:v>
      </x:c>
      <x:c r="D2145" s="115" t="str">
        <x:v>Résidence en cour</x:v>
      </x:c>
      <x:c r="E2145" s="115" t="n">
        <x:v>40</x:v>
      </x:c>
      <x:c r="F2145" s="115" t="str">
        <x:v>Inspection physique</x:v>
      </x:c>
      <x:c r="G2145" s="115" t="str">
        <x:v>6 niveaux ; 294 pièces ; 2226 segments de mur ; 12 transitions. Inspection physique ; architecture complète encore ouverte.</x:v>
      </x:c>
      <x:c r="H2145" s="115" t="str">
        <x:v>L 140,45 ; l 148,6 ; hauteur 15,35 m ; choix de composition auteur ; dimensions réelles à documenter</x:v>
      </x:c>
      <x:c r="I2145" s="115" t="str">
        <x:v>À équilibrer</x:v>
      </x:c>
      <x:c r="J2145" s="115" t="str">
        <x:v>Non</x:v>
      </x:c>
      <x:c r="K2145" s="115" t="str">
        <x:v>Pièces décrites, murs, portes, niveaux et mobilier inspectables à l’échelle. Volumes réservés, raccord au seed, butin, rencontres et services de campagne restent à terminer.</x:v>
      </x:c>
    </x:row>
    <x:row r="2146" ht="96" customHeight="1">
      <x:c r="A2146" s="115" t="str">
        <x:v>EXT-MONDE-T043-V41</x:v>
      </x:c>
      <x:c r="B2146" s="115" t="str">
        <x:v>EXT-MONDE-T043</x:v>
      </x:c>
      <x:c r="C2146" s="115" t="str">
        <x:v>HLM visitables</x:v>
      </x:c>
      <x:c r="D2146" s="115" t="str">
        <x:v>Résidence en cour</x:v>
      </x:c>
      <x:c r="E2146" s="115" t="n">
        <x:v>41</x:v>
      </x:c>
      <x:c r="F2146" s="115" t="str">
        <x:v>Inspection physique</x:v>
      </x:c>
      <x:c r="G2146" s="115" t="str">
        <x:v>6 niveaux ; 220 pièces ; 1663 segments de mur ; 9 transitions. Inspection physique ; architecture complète encore ouverte.</x:v>
      </x:c>
      <x:c r="H2146" s="115" t="str">
        <x:v>L 133,8 ; l 85,44 ; hauteur 15,35 m ; choix de composition auteur ; dimensions réelles à documenter</x:v>
      </x:c>
      <x:c r="I2146" s="115" t="str">
        <x:v>À équilibrer</x:v>
      </x:c>
      <x:c r="J2146" s="115" t="str">
        <x:v>Non</x:v>
      </x:c>
      <x:c r="K2146" s="115" t="str">
        <x:v>Pièces décrites, murs, portes, niveaux et mobilier inspectables à l’échelle. Volumes réservés, raccord au seed, butin, rencontres et services de campagne restent à terminer.</x:v>
      </x:c>
    </x:row>
    <x:row r="2147" ht="96" customHeight="1">
      <x:c r="A2147" s="115" t="str">
        <x:v>EXT-MONDE-T043-V42</x:v>
      </x:c>
      <x:c r="B2147" s="115" t="str">
        <x:v>EXT-MONDE-T043</x:v>
      </x:c>
      <x:c r="C2147" s="115" t="str">
        <x:v>HLM visitables</x:v>
      </x:c>
      <x:c r="D2147" s="115" t="str">
        <x:v>Résidence en cour</x:v>
      </x:c>
      <x:c r="E2147" s="115" t="n">
        <x:v>42</x:v>
      </x:c>
      <x:c r="F2147" s="115" t="str">
        <x:v>Inspection physique</x:v>
      </x:c>
      <x:c r="G2147" s="115" t="str">
        <x:v>6 niveaux ; 294 pièces ; 2226 segments de mur ; 12 transitions. Inspection physique ; architecture complète encore ouverte.</x:v>
      </x:c>
      <x:c r="H2147" s="115" t="str">
        <x:v>L 134,6 ; l 143,64 ; hauteur 15,45 m ; choix de composition auteur ; dimensions réelles à documenter</x:v>
      </x:c>
      <x:c r="I2147" s="115" t="str">
        <x:v>À équilibrer</x:v>
      </x:c>
      <x:c r="J2147" s="115" t="str">
        <x:v>Non</x:v>
      </x:c>
      <x:c r="K2147" s="115" t="str">
        <x:v>Pièces décrites, murs, portes, niveaux et mobilier inspectables à l’échelle. Volumes réservés, raccord au seed, butin, rencontres et services de campagne restent à terminer.</x:v>
      </x:c>
    </x:row>
    <x:row r="2148" ht="96" customHeight="1">
      <x:c r="A2148" s="115" t="str">
        <x:v>EXT-MONDE-T043-V43</x:v>
      </x:c>
      <x:c r="B2148" s="115" t="str">
        <x:v>EXT-MONDE-T043</x:v>
      </x:c>
      <x:c r="C2148" s="115" t="str">
        <x:v>HLM visitables</x:v>
      </x:c>
      <x:c r="D2148" s="115" t="str">
        <x:v>Résidence en cour</x:v>
      </x:c>
      <x:c r="E2148" s="115" t="n">
        <x:v>43</x:v>
      </x:c>
      <x:c r="F2148" s="115" t="str">
        <x:v>Inspection physique</x:v>
      </x:c>
      <x:c r="G2148" s="115" t="str">
        <x:v>6 niveaux ; 220 pièces ; 1663 segments de mur ; 9 transitions. Inspection physique ; architecture complète encore ouverte.</x:v>
      </x:c>
      <x:c r="H2148" s="115" t="str">
        <x:v>L 135,4 ; l 86,2 ; hauteur 15,55 m ; choix de composition auteur ; dimensions réelles à documenter</x:v>
      </x:c>
      <x:c r="I2148" s="115" t="str">
        <x:v>À équilibrer</x:v>
      </x:c>
      <x:c r="J2148" s="115" t="str">
        <x:v>Non</x:v>
      </x:c>
      <x:c r="K2148" s="115" t="str">
        <x:v>Pièces décrites, murs, portes, niveaux et mobilier inspectables à l’échelle. Volumes réservés, raccord au seed, butin, rencontres et services de campagne restent à terminer.</x:v>
      </x:c>
    </x:row>
    <x:row r="2149" ht="96" customHeight="1">
      <x:c r="A2149" s="115" t="str">
        <x:v>EXT-MONDE-T043-V44</x:v>
      </x:c>
      <x:c r="B2149" s="115" t="str">
        <x:v>EXT-MONDE-T043</x:v>
      </x:c>
      <x:c r="C2149" s="115" t="str">
        <x:v>HLM visitables</x:v>
      </x:c>
      <x:c r="D2149" s="115" t="str">
        <x:v>Résidence en cour</x:v>
      </x:c>
      <x:c r="E2149" s="115" t="n">
        <x:v>44</x:v>
      </x:c>
      <x:c r="F2149" s="115" t="str">
        <x:v>Inspection physique</x:v>
      </x:c>
      <x:c r="G2149" s="115" t="str">
        <x:v>6 niveaux ; 294 pièces ; 2226 segments de mur ; 12 transitions. Inspection physique ; architecture complète encore ouverte.</x:v>
      </x:c>
      <x:c r="H2149" s="115" t="str">
        <x:v>L 136,2 ; l 145,16 ; hauteur 15,35 m ; choix de composition auteur ; dimensions réelles à documenter</x:v>
      </x:c>
      <x:c r="I2149" s="115" t="str">
        <x:v>À équilibrer</x:v>
      </x:c>
      <x:c r="J2149" s="115" t="str">
        <x:v>Non</x:v>
      </x:c>
      <x:c r="K2149" s="115" t="str">
        <x:v>Pièces décrites, murs, portes, niveaux et mobilier inspectables à l’échelle. Volumes réservés, raccord au seed, butin, rencontres et services de campagne restent à terminer.</x:v>
      </x:c>
    </x:row>
    <x:row r="2150" ht="96" customHeight="1">
      <x:c r="A2150" s="115" t="str">
        <x:v>EXT-MONDE-T043-V45</x:v>
      </x:c>
      <x:c r="B2150" s="115" t="str">
        <x:v>EXT-MONDE-T043</x:v>
      </x:c>
      <x:c r="C2150" s="115" t="str">
        <x:v>HLM visitables</x:v>
      </x:c>
      <x:c r="D2150" s="115" t="str">
        <x:v>Résidence en cour</x:v>
      </x:c>
      <x:c r="E2150" s="115" t="n">
        <x:v>45</x:v>
      </x:c>
      <x:c r="F2150" s="115" t="str">
        <x:v>Inspection physique</x:v>
      </x:c>
      <x:c r="G2150" s="115" t="str">
        <x:v>6 niveaux ; 220 pièces ; 1663 segments de mur ; 9 transitions. Inspection physique ; architecture complète encore ouverte.</x:v>
      </x:c>
      <x:c r="H2150" s="115" t="str">
        <x:v>L 137 ; l 86,96 ; hauteur 15,45 m ; choix de composition auteur ; dimensions réelles à documenter</x:v>
      </x:c>
      <x:c r="I2150" s="115" t="str">
        <x:v>À équilibrer</x:v>
      </x:c>
      <x:c r="J2150" s="115" t="str">
        <x:v>Non</x:v>
      </x:c>
      <x:c r="K2150" s="115" t="str">
        <x:v>Pièces décrites, murs, portes, niveaux et mobilier inspectables à l’échelle. Volumes réservés, raccord au seed, butin, rencontres et services de campagne restent à terminer.</x:v>
      </x:c>
    </x:row>
    <x:row r="2151" ht="96" customHeight="1">
      <x:c r="A2151" s="115" t="str">
        <x:v>EXT-MONDE-T043-V46</x:v>
      </x:c>
      <x:c r="B2151" s="115" t="str">
        <x:v>EXT-MONDE-T043</x:v>
      </x:c>
      <x:c r="C2151" s="115" t="str">
        <x:v>HLM visitables</x:v>
      </x:c>
      <x:c r="D2151" s="115" t="str">
        <x:v>Résidence en cour</x:v>
      </x:c>
      <x:c r="E2151" s="115" t="n">
        <x:v>46</x:v>
      </x:c>
      <x:c r="F2151" s="115" t="str">
        <x:v>Inspection physique</x:v>
      </x:c>
      <x:c r="G2151" s="115" t="str">
        <x:v>6 niveaux ; 294 pièces ; 2226 segments de mur ; 12 transitions. Inspection physique ; architecture complète encore ouverte.</x:v>
      </x:c>
      <x:c r="H2151" s="115" t="str">
        <x:v>L 137,45 ; l 145,88 ; hauteur 15,55 m ; choix de composition auteur ; dimensions réelles à documenter</x:v>
      </x:c>
      <x:c r="I2151" s="115" t="str">
        <x:v>À équilibrer</x:v>
      </x:c>
      <x:c r="J2151" s="115" t="str">
        <x:v>Non</x:v>
      </x:c>
      <x:c r="K2151" s="115" t="str">
        <x:v>Pièces décrites, murs, portes, niveaux et mobilier inspectables à l’échelle. Volumes réservés, raccord au seed, butin, rencontres et services de campagne restent à terminer.</x:v>
      </x:c>
    </x:row>
    <x:row r="2152" ht="96" customHeight="1">
      <x:c r="A2152" s="115" t="str">
        <x:v>EXT-MONDE-T043-V47</x:v>
      </x:c>
      <x:c r="B2152" s="115" t="str">
        <x:v>EXT-MONDE-T043</x:v>
      </x:c>
      <x:c r="C2152" s="115" t="str">
        <x:v>HLM visitables</x:v>
      </x:c>
      <x:c r="D2152" s="115" t="str">
        <x:v>Résidence en cour</x:v>
      </x:c>
      <x:c r="E2152" s="115" t="n">
        <x:v>47</x:v>
      </x:c>
      <x:c r="F2152" s="115" t="str">
        <x:v>Inspection physique</x:v>
      </x:c>
      <x:c r="G2152" s="115" t="str">
        <x:v>6 niveaux ; 220 pièces ; 1663 segments de mur ; 9 transitions. Inspection physique ; architecture complète encore ouverte.</x:v>
      </x:c>
      <x:c r="H2152" s="115" t="str">
        <x:v>L 138,25 ; l 87,32 ; hauteur 15,35 m ; choix de composition auteur ; dimensions réelles à documenter</x:v>
      </x:c>
      <x:c r="I2152" s="115" t="str">
        <x:v>À équilibrer</x:v>
      </x:c>
      <x:c r="J2152" s="115" t="str">
        <x:v>Non</x:v>
      </x:c>
      <x:c r="K2152" s="115" t="str">
        <x:v>Pièces décrites, murs, portes, niveaux et mobilier inspectables à l’échelle. Volumes réservés, raccord au seed, butin, rencontres et services de campagne restent à terminer.</x:v>
      </x:c>
    </x:row>
    <x:row r="2153" ht="96" customHeight="1">
      <x:c r="A2153" s="115" t="str">
        <x:v>EXT-MONDE-T043-V48</x:v>
      </x:c>
      <x:c r="B2153" s="115" t="str">
        <x:v>EXT-MONDE-T043</x:v>
      </x:c>
      <x:c r="C2153" s="115" t="str">
        <x:v>HLM visitables</x:v>
      </x:c>
      <x:c r="D2153" s="115" t="str">
        <x:v>Résidence en cour</x:v>
      </x:c>
      <x:c r="E2153" s="115" t="n">
        <x:v>48</x:v>
      </x:c>
      <x:c r="F2153" s="115" t="str">
        <x:v>Inspection physique</x:v>
      </x:c>
      <x:c r="G2153" s="115" t="str">
        <x:v>6 niveaux ; 294 pièces ; 2226 segments de mur ; 12 transitions. Inspection physique ; architecture complète encore ouverte.</x:v>
      </x:c>
      <x:c r="H2153" s="115" t="str">
        <x:v>L 139,05 ; l 147,4 ; hauteur 15,45 m ; choix de composition auteur ; dimensions réelles à documenter</x:v>
      </x:c>
      <x:c r="I2153" s="115" t="str">
        <x:v>À équilibrer</x:v>
      </x:c>
      <x:c r="J2153" s="115" t="str">
        <x:v>Non</x:v>
      </x:c>
      <x:c r="K2153" s="115" t="str">
        <x:v>Pièces décrites, murs, portes, niveaux et mobilier inspectables à l’échelle. Volumes réservés, raccord au seed, butin, rencontres et services de campagne restent à terminer.</x:v>
      </x:c>
    </x:row>
    <x:row r="2154" ht="96" customHeight="1">
      <x:c r="A2154" s="115" t="str">
        <x:v>EXT-MONDE-T043-V49</x:v>
      </x:c>
      <x:c r="B2154" s="115" t="str">
        <x:v>EXT-MONDE-T043</x:v>
      </x:c>
      <x:c r="C2154" s="115" t="str">
        <x:v>HLM visitables</x:v>
      </x:c>
      <x:c r="D2154" s="115" t="str">
        <x:v>Résidence en cour</x:v>
      </x:c>
      <x:c r="E2154" s="115" t="n">
        <x:v>49</x:v>
      </x:c>
      <x:c r="F2154" s="115" t="str">
        <x:v>Inspection physique</x:v>
      </x:c>
      <x:c r="G2154" s="115" t="str">
        <x:v>6 niveaux ; 220 pièces ; 1663 segments de mur ; 9 transitions. Inspection physique ; architecture complète encore ouverte.</x:v>
      </x:c>
      <x:c r="H2154" s="115" t="str">
        <x:v>L 139,85 ; l 88,08 ; hauteur 15,55 m ; choix de composition auteur ; dimensions réelles à documenter</x:v>
      </x:c>
      <x:c r="I2154" s="115" t="str">
        <x:v>À équilibrer</x:v>
      </x:c>
      <x:c r="J2154" s="115" t="str">
        <x:v>Non</x:v>
      </x:c>
      <x:c r="K2154" s="115" t="str">
        <x:v>Pièces décrites, murs, portes, niveaux et mobilier inspectables à l’échelle. Volumes réservés, raccord au seed, butin, rencontres et services de campagne restent à terminer.</x:v>
      </x:c>
    </x:row>
    <x:row r="2155" ht="96" customHeight="1">
      <x:c r="A2155" s="115" t="str">
        <x:v>EXT-MONDE-T043-V50</x:v>
      </x:c>
      <x:c r="B2155" s="115" t="str">
        <x:v>EXT-MONDE-T043</x:v>
      </x:c>
      <x:c r="C2155" s="115" t="str">
        <x:v>HLM visitables</x:v>
      </x:c>
      <x:c r="D2155" s="115" t="str">
        <x:v>Résidence en cour</x:v>
      </x:c>
      <x:c r="E2155" s="115" t="n">
        <x:v>50</x:v>
      </x:c>
      <x:c r="F2155" s="115" t="str">
        <x:v>Inspection physique</x:v>
      </x:c>
      <x:c r="G2155" s="115" t="str">
        <x:v>6 niveaux ; 294 pièces ; 2226 segments de mur ; 12 transitions. Inspection physique ; architecture complète encore ouverte.</x:v>
      </x:c>
      <x:c r="H2155" s="115" t="str">
        <x:v>L 140,65 ; l 148,92 ; hauteur 15,35 m ; choix de composition auteur ; dimensions réelles à documenter</x:v>
      </x:c>
      <x:c r="I2155" s="115" t="str">
        <x:v>À équilibrer</x:v>
      </x:c>
      <x:c r="J2155" s="115" t="str">
        <x:v>Non</x:v>
      </x:c>
      <x:c r="K2155" s="115" t="str">
        <x:v>Pièces décrites, murs, portes, niveaux et mobilier inspectables à l’échelle. Volumes réservés, raccord au seed, butin, rencontres et services de campagne restent à terminer.</x:v>
      </x:c>
    </x:row>
    <x:row r="2156" ht="96" customHeight="1">
      <x:c r="A2156" s="115" t="str">
        <x:v>EXT-MONDE-T044-V01</x:v>
      </x:c>
      <x:c r="B2156" s="115" t="str">
        <x:v>EXT-MONDE-T044</x:v>
      </x:c>
      <x:c r="C2156" s="115" t="str">
        <x:v>HLM visitables</x:v>
      </x:c>
      <x:c r="D2156" s="115" t="str">
        <x:v>Ensemble HLM mixte</x:v>
      </x:c>
      <x:c r="E2156" s="115" t="n">
        <x:v>1</x:v>
      </x:c>
      <x:c r="F2156" s="115" t="str">
        <x:v>Inspection physique</x:v>
      </x:c>
      <x:c r="G2156" s="115" t="str">
        <x:v>7 niveaux ; 248 pièces ; 1873 segments de mur ; 10 transitions. Inspection physique ; architecture complète encore ouverte.</x:v>
      </x:c>
      <x:c r="H2156" s="115" t="str">
        <x:v>L 135 ; l 145,6 ; hauteur 18,35 m ; choix de composition auteur ; dimensions réelles à documenter</x:v>
      </x:c>
      <x:c r="I2156" s="115" t="str">
        <x:v>À équilibrer</x:v>
      </x:c>
      <x:c r="J2156" s="115" t="str">
        <x:v>Non</x:v>
      </x:c>
      <x:c r="K2156" s="115" t="str">
        <x:v>Pièces décrites, murs, portes, niveaux et mobilier inspectables à l’échelle. Volumes réservés, raccord au seed, butin, rencontres et services de campagne restent à terminer.</x:v>
      </x:c>
    </x:row>
    <x:row r="2157" ht="96" customHeight="1">
      <x:c r="A2157" s="115" t="str">
        <x:v>EXT-MONDE-T044-V02</x:v>
      </x:c>
      <x:c r="B2157" s="115" t="str">
        <x:v>EXT-MONDE-T044</x:v>
      </x:c>
      <x:c r="C2157" s="115" t="str">
        <x:v>HLM visitables</x:v>
      </x:c>
      <x:c r="D2157" s="115" t="str">
        <x:v>Ensemble HLM mixte</x:v>
      </x:c>
      <x:c r="E2157" s="115" t="n">
        <x:v>2</x:v>
      </x:c>
      <x:c r="F2157" s="115" t="str">
        <x:v>Inspection physique</x:v>
      </x:c>
      <x:c r="G2157" s="115" t="str">
        <x:v>7 niveaux ; 248 pièces ; 1873 segments de mur ; 10 transitions. Inspection physique ; architecture complète encore ouverte.</x:v>
      </x:c>
      <x:c r="H2157" s="115" t="str">
        <x:v>L 135,25 ; l 146,46 ; hauteur 18,45 m ; choix de composition auteur ; dimensions réelles à documenter</x:v>
      </x:c>
      <x:c r="I2157" s="115" t="str">
        <x:v>À équilibrer</x:v>
      </x:c>
      <x:c r="J2157" s="115" t="str">
        <x:v>Non</x:v>
      </x:c>
      <x:c r="K2157" s="115" t="str">
        <x:v>Pièces décrites, murs, portes, niveaux et mobilier inspectables à l’échelle. Volumes réservés, raccord au seed, butin, rencontres et services de campagne restent à terminer.</x:v>
      </x:c>
    </x:row>
    <x:row r="2158" ht="96" customHeight="1">
      <x:c r="A2158" s="115" t="str">
        <x:v>EXT-MONDE-T044-V03</x:v>
      </x:c>
      <x:c r="B2158" s="115" t="str">
        <x:v>EXT-MONDE-T044</x:v>
      </x:c>
      <x:c r="C2158" s="115" t="str">
        <x:v>HLM visitables</x:v>
      </x:c>
      <x:c r="D2158" s="115" t="str">
        <x:v>Ensemble HLM mixte</x:v>
      </x:c>
      <x:c r="E2158" s="115" t="n">
        <x:v>3</x:v>
      </x:c>
      <x:c r="F2158" s="115" t="str">
        <x:v>Inspection physique</x:v>
      </x:c>
      <x:c r="G2158" s="115" t="str">
        <x:v>7 niveaux ; 248 pièces ; 1873 segments de mur ; 10 transitions. Inspection physique ; architecture complète encore ouverte.</x:v>
      </x:c>
      <x:c r="H2158" s="115" t="str">
        <x:v>L 135,5 ; l 147,32 ; hauteur 18,55 m ; choix de composition auteur ; dimensions réelles à documenter</x:v>
      </x:c>
      <x:c r="I2158" s="115" t="str">
        <x:v>À équilibrer</x:v>
      </x:c>
      <x:c r="J2158" s="115" t="str">
        <x:v>Non</x:v>
      </x:c>
      <x:c r="K2158" s="115" t="str">
        <x:v>Pièces décrites, murs, portes, niveaux et mobilier inspectables à l’échelle. Volumes réservés, raccord au seed, butin, rencontres et services de campagne restent à terminer.</x:v>
      </x:c>
    </x:row>
    <x:row r="2159" ht="96" customHeight="1">
      <x:c r="A2159" s="115" t="str">
        <x:v>EXT-MONDE-T044-V04</x:v>
      </x:c>
      <x:c r="B2159" s="115" t="str">
        <x:v>EXT-MONDE-T044</x:v>
      </x:c>
      <x:c r="C2159" s="115" t="str">
        <x:v>HLM visitables</x:v>
      </x:c>
      <x:c r="D2159" s="115" t="str">
        <x:v>Ensemble HLM mixte</x:v>
      </x:c>
      <x:c r="E2159" s="115" t="n">
        <x:v>4</x:v>
      </x:c>
      <x:c r="F2159" s="115" t="str">
        <x:v>Inspection physique</x:v>
      </x:c>
      <x:c r="G2159" s="115" t="str">
        <x:v>7 niveaux ; 248 pièces ; 1873 segments de mur ; 10 transitions. Inspection physique ; architecture complète encore ouverte.</x:v>
      </x:c>
      <x:c r="H2159" s="115" t="str">
        <x:v>L 135,75 ; l 148,18 ; hauteur 18,35 m ; choix de composition auteur ; dimensions réelles à documenter</x:v>
      </x:c>
      <x:c r="I2159" s="115" t="str">
        <x:v>À équilibrer</x:v>
      </x:c>
      <x:c r="J2159" s="115" t="str">
        <x:v>Non</x:v>
      </x:c>
      <x:c r="K2159" s="115" t="str">
        <x:v>Pièces décrites, murs, portes, niveaux et mobilier inspectables à l’échelle. Volumes réservés, raccord au seed, butin, rencontres et services de campagne restent à terminer.</x:v>
      </x:c>
    </x:row>
    <x:row r="2160" ht="96" customHeight="1">
      <x:c r="A2160" s="115" t="str">
        <x:v>EXT-MONDE-T044-V05</x:v>
      </x:c>
      <x:c r="B2160" s="115" t="str">
        <x:v>EXT-MONDE-T044</x:v>
      </x:c>
      <x:c r="C2160" s="115" t="str">
        <x:v>HLM visitables</x:v>
      </x:c>
      <x:c r="D2160" s="115" t="str">
        <x:v>Ensemble HLM mixte</x:v>
      </x:c>
      <x:c r="E2160" s="115" t="n">
        <x:v>5</x:v>
      </x:c>
      <x:c r="F2160" s="115" t="str">
        <x:v>Inspection physique</x:v>
      </x:c>
      <x:c r="G2160" s="115" t="str">
        <x:v>7 niveaux ; 248 pièces ; 1873 segments de mur ; 10 transitions. Inspection physique ; architecture complète encore ouverte.</x:v>
      </x:c>
      <x:c r="H2160" s="115" t="str">
        <x:v>L 136 ; l 149,04 ; hauteur 18,45 m ; choix de composition auteur ; dimensions réelles à documenter</x:v>
      </x:c>
      <x:c r="I2160" s="115" t="str">
        <x:v>À équilibrer</x:v>
      </x:c>
      <x:c r="J2160" s="115" t="str">
        <x:v>Non</x:v>
      </x:c>
      <x:c r="K2160" s="115" t="str">
        <x:v>Pièces décrites, murs, portes, niveaux et mobilier inspectables à l’échelle. Volumes réservés, raccord au seed, butin, rencontres et services de campagne restent à terminer.</x:v>
      </x:c>
    </x:row>
    <x:row r="2161" ht="96" customHeight="1">
      <x:c r="A2161" s="115" t="str">
        <x:v>EXT-MONDE-T044-V06</x:v>
      </x:c>
      <x:c r="B2161" s="115" t="str">
        <x:v>EXT-MONDE-T044</x:v>
      </x:c>
      <x:c r="C2161" s="115" t="str">
        <x:v>HLM visitables</x:v>
      </x:c>
      <x:c r="D2161" s="115" t="str">
        <x:v>Ensemble HLM mixte</x:v>
      </x:c>
      <x:c r="E2161" s="115" t="n">
        <x:v>6</x:v>
      </x:c>
      <x:c r="F2161" s="115" t="str">
        <x:v>Inspection physique</x:v>
      </x:c>
      <x:c r="G2161" s="115" t="str">
        <x:v>7 niveaux ; 248 pièces ; 1873 segments de mur ; 10 transitions. Inspection physique ; architecture complète encore ouverte.</x:v>
      </x:c>
      <x:c r="H2161" s="115" t="str">
        <x:v>L 136,25 ; l 149,1 ; hauteur 18,55 m ; choix de composition auteur ; dimensions réelles à documenter</x:v>
      </x:c>
      <x:c r="I2161" s="115" t="str">
        <x:v>À équilibrer</x:v>
      </x:c>
      <x:c r="J2161" s="115" t="str">
        <x:v>Non</x:v>
      </x:c>
      <x:c r="K2161" s="115" t="str">
        <x:v>Pièces décrites, murs, portes, niveaux et mobilier inspectables à l’échelle. Volumes réservés, raccord au seed, butin, rencontres et services de campagne restent à terminer.</x:v>
      </x:c>
    </x:row>
    <x:row r="2162" ht="96" customHeight="1">
      <x:c r="A2162" s="115" t="str">
        <x:v>EXT-MONDE-T044-V07</x:v>
      </x:c>
      <x:c r="B2162" s="115" t="str">
        <x:v>EXT-MONDE-T044</x:v>
      </x:c>
      <x:c r="C2162" s="115" t="str">
        <x:v>HLM visitables</x:v>
      </x:c>
      <x:c r="D2162" s="115" t="str">
        <x:v>Ensemble HLM mixte</x:v>
      </x:c>
      <x:c r="E2162" s="115" t="n">
        <x:v>7</x:v>
      </x:c>
      <x:c r="F2162" s="115" t="str">
        <x:v>Inspection physique</x:v>
      </x:c>
      <x:c r="G2162" s="115" t="str">
        <x:v>7 niveaux ; 248 pièces ; 1873 segments de mur ; 10 transitions. Inspection physique ; architecture complète encore ouverte.</x:v>
      </x:c>
      <x:c r="H2162" s="115" t="str">
        <x:v>L 136,5 ; l 149,96 ; hauteur 18,35 m ; choix de composition auteur ; dimensions réelles à documenter</x:v>
      </x:c>
      <x:c r="I2162" s="115" t="str">
        <x:v>À équilibrer</x:v>
      </x:c>
      <x:c r="J2162" s="115" t="str">
        <x:v>Non</x:v>
      </x:c>
      <x:c r="K2162" s="115" t="str">
        <x:v>Pièces décrites, murs, portes, niveaux et mobilier inspectables à l’échelle. Volumes réservés, raccord au seed, butin, rencontres et services de campagne restent à terminer.</x:v>
      </x:c>
    </x:row>
    <x:row r="2163" ht="96" customHeight="1">
      <x:c r="A2163" s="115" t="str">
        <x:v>EXT-MONDE-T044-V08</x:v>
      </x:c>
      <x:c r="B2163" s="115" t="str">
        <x:v>EXT-MONDE-T044</x:v>
      </x:c>
      <x:c r="C2163" s="115" t="str">
        <x:v>HLM visitables</x:v>
      </x:c>
      <x:c r="D2163" s="115" t="str">
        <x:v>Ensemble HLM mixte</x:v>
      </x:c>
      <x:c r="E2163" s="115" t="n">
        <x:v>8</x:v>
      </x:c>
      <x:c r="F2163" s="115" t="str">
        <x:v>Inspection physique</x:v>
      </x:c>
      <x:c r="G2163" s="115" t="str">
        <x:v>7 niveaux ; 248 pièces ; 1873 segments de mur ; 10 transitions. Inspection physique ; architecture complète encore ouverte.</x:v>
      </x:c>
      <x:c r="H2163" s="115" t="str">
        <x:v>L 136,75 ; l 150,82 ; hauteur 18,45 m ; choix de composition auteur ; dimensions réelles à documenter</x:v>
      </x:c>
      <x:c r="I2163" s="115" t="str">
        <x:v>À équilibrer</x:v>
      </x:c>
      <x:c r="J2163" s="115" t="str">
        <x:v>Non</x:v>
      </x:c>
      <x:c r="K2163" s="115" t="str">
        <x:v>Pièces décrites, murs, portes, niveaux et mobilier inspectables à l’échelle. Volumes réservés, raccord au seed, butin, rencontres et services de campagne restent à terminer.</x:v>
      </x:c>
    </x:row>
    <x:row r="2164" ht="96" customHeight="1">
      <x:c r="A2164" s="115" t="str">
        <x:v>EXT-MONDE-T044-V09</x:v>
      </x:c>
      <x:c r="B2164" s="115" t="str">
        <x:v>EXT-MONDE-T044</x:v>
      </x:c>
      <x:c r="C2164" s="115" t="str">
        <x:v>HLM visitables</x:v>
      </x:c>
      <x:c r="D2164" s="115" t="str">
        <x:v>Ensemble HLM mixte</x:v>
      </x:c>
      <x:c r="E2164" s="115" t="n">
        <x:v>9</x:v>
      </x:c>
      <x:c r="F2164" s="115" t="str">
        <x:v>Inspection physique</x:v>
      </x:c>
      <x:c r="G2164" s="115" t="str">
        <x:v>7 niveaux ; 248 pièces ; 1873 segments de mur ; 10 transitions. Inspection physique ; architecture complète encore ouverte.</x:v>
      </x:c>
      <x:c r="H2164" s="115" t="str">
        <x:v>L 137 ; l 151,68 ; hauteur 18,55 m ; choix de composition auteur ; dimensions réelles à documenter</x:v>
      </x:c>
      <x:c r="I2164" s="115" t="str">
        <x:v>À équilibrer</x:v>
      </x:c>
      <x:c r="J2164" s="115" t="str">
        <x:v>Non</x:v>
      </x:c>
      <x:c r="K2164" s="115" t="str">
        <x:v>Pièces décrites, murs, portes, niveaux et mobilier inspectables à l’échelle. Volumes réservés, raccord au seed, butin, rencontres et services de campagne restent à terminer.</x:v>
      </x:c>
    </x:row>
    <x:row r="2165" ht="96" customHeight="1">
      <x:c r="A2165" s="115" t="str">
        <x:v>EXT-MONDE-T044-V10</x:v>
      </x:c>
      <x:c r="B2165" s="115" t="str">
        <x:v>EXT-MONDE-T044</x:v>
      </x:c>
      <x:c r="C2165" s="115" t="str">
        <x:v>HLM visitables</x:v>
      </x:c>
      <x:c r="D2165" s="115" t="str">
        <x:v>Ensemble HLM mixte</x:v>
      </x:c>
      <x:c r="E2165" s="115" t="n">
        <x:v>10</x:v>
      </x:c>
      <x:c r="F2165" s="115" t="str">
        <x:v>Inspection physique</x:v>
      </x:c>
      <x:c r="G2165" s="115" t="str">
        <x:v>7 niveaux ; 248 pièces ; 1873 segments de mur ; 10 transitions. Inspection physique ; architecture complète encore ouverte.</x:v>
      </x:c>
      <x:c r="H2165" s="115" t="str">
        <x:v>L 137,25 ; l 152,54 ; hauteur 18,35 m ; choix de composition auteur ; dimensions réelles à documenter</x:v>
      </x:c>
      <x:c r="I2165" s="115" t="str">
        <x:v>À équilibrer</x:v>
      </x:c>
      <x:c r="J2165" s="115" t="str">
        <x:v>Non</x:v>
      </x:c>
      <x:c r="K2165" s="115" t="str">
        <x:v>Pièces décrites, murs, portes, niveaux et mobilier inspectables à l’échelle. Volumes réservés, raccord au seed, butin, rencontres et services de campagne restent à terminer.</x:v>
      </x:c>
    </x:row>
    <x:row r="2166" ht="96" customHeight="1">
      <x:c r="A2166" s="115" t="str">
        <x:v>EXT-MONDE-T044-V11</x:v>
      </x:c>
      <x:c r="B2166" s="115" t="str">
        <x:v>EXT-MONDE-T044</x:v>
      </x:c>
      <x:c r="C2166" s="115" t="str">
        <x:v>HLM visitables</x:v>
      </x:c>
      <x:c r="D2166" s="115" t="str">
        <x:v>Ensemble HLM mixte</x:v>
      </x:c>
      <x:c r="E2166" s="115" t="n">
        <x:v>11</x:v>
      </x:c>
      <x:c r="F2166" s="115" t="str">
        <x:v>Inspection physique</x:v>
      </x:c>
      <x:c r="G2166" s="115" t="str">
        <x:v>8 niveaux ; 296 pièces ; 2231 segments de mur ; 12 transitions. Inspection physique ; architecture complète encore ouverte.</x:v>
      </x:c>
      <x:c r="H2166" s="115" t="str">
        <x:v>L 135 ; l 145,92 ; hauteur 21,35 m ; choix de composition auteur ; dimensions réelles à documenter</x:v>
      </x:c>
      <x:c r="I2166" s="115" t="str">
        <x:v>À équilibrer</x:v>
      </x:c>
      <x:c r="J2166" s="115" t="str">
        <x:v>Non</x:v>
      </x:c>
      <x:c r="K2166" s="115" t="str">
        <x:v>Pièces décrites, murs, portes, niveaux et mobilier inspectables à l’échelle. Volumes réservés, raccord au seed, butin, rencontres et services de campagne restent à terminer.</x:v>
      </x:c>
    </x:row>
    <x:row r="2167" ht="96" customHeight="1">
      <x:c r="A2167" s="115" t="str">
        <x:v>EXT-MONDE-T044-V12</x:v>
      </x:c>
      <x:c r="B2167" s="115" t="str">
        <x:v>EXT-MONDE-T044</x:v>
      </x:c>
      <x:c r="C2167" s="115" t="str">
        <x:v>HLM visitables</x:v>
      </x:c>
      <x:c r="D2167" s="115" t="str">
        <x:v>Ensemble HLM mixte</x:v>
      </x:c>
      <x:c r="E2167" s="115" t="n">
        <x:v>12</x:v>
      </x:c>
      <x:c r="F2167" s="115" t="str">
        <x:v>Inspection physique</x:v>
      </x:c>
      <x:c r="G2167" s="115" t="str">
        <x:v>8 niveaux ; 296 pièces ; 2231 segments de mur ; 12 transitions. Inspection physique ; architecture complète encore ouverte.</x:v>
      </x:c>
      <x:c r="H2167" s="115" t="str">
        <x:v>L 135,25 ; l 146,78 ; hauteur 21,45 m ; choix de composition auteur ; dimensions réelles à documenter</x:v>
      </x:c>
      <x:c r="I2167" s="115" t="str">
        <x:v>À équilibrer</x:v>
      </x:c>
      <x:c r="J2167" s="115" t="str">
        <x:v>Non</x:v>
      </x:c>
      <x:c r="K2167" s="115" t="str">
        <x:v>Pièces décrites, murs, portes, niveaux et mobilier inspectables à l’échelle. Volumes réservés, raccord au seed, butin, rencontres et services de campagne restent à terminer.</x:v>
      </x:c>
    </x:row>
    <x:row r="2168" ht="96" customHeight="1">
      <x:c r="A2168" s="115" t="str">
        <x:v>EXT-MONDE-T044-V13</x:v>
      </x:c>
      <x:c r="B2168" s="115" t="str">
        <x:v>EXT-MONDE-T044</x:v>
      </x:c>
      <x:c r="C2168" s="115" t="str">
        <x:v>HLM visitables</x:v>
      </x:c>
      <x:c r="D2168" s="115" t="str">
        <x:v>Ensemble HLM mixte</x:v>
      </x:c>
      <x:c r="E2168" s="115" t="n">
        <x:v>13</x:v>
      </x:c>
      <x:c r="F2168" s="115" t="str">
        <x:v>Inspection physique</x:v>
      </x:c>
      <x:c r="G2168" s="115" t="str">
        <x:v>8 niveaux ; 296 pièces ; 2231 segments de mur ; 12 transitions. Inspection physique ; architecture complète encore ouverte.</x:v>
      </x:c>
      <x:c r="H2168" s="115" t="str">
        <x:v>L 135,5 ; l 147,64 ; hauteur 21,55 m ; choix de composition auteur ; dimensions réelles à documenter</x:v>
      </x:c>
      <x:c r="I2168" s="115" t="str">
        <x:v>À équilibrer</x:v>
      </x:c>
      <x:c r="J2168" s="115" t="str">
        <x:v>Non</x:v>
      </x:c>
      <x:c r="K2168" s="115" t="str">
        <x:v>Pièces décrites, murs, portes, niveaux et mobilier inspectables à l’échelle. Volumes réservés, raccord au seed, butin, rencontres et services de campagne restent à terminer.</x:v>
      </x:c>
    </x:row>
    <x:row r="2169" ht="96" customHeight="1">
      <x:c r="A2169" s="115" t="str">
        <x:v>EXT-MONDE-T044-V14</x:v>
      </x:c>
      <x:c r="B2169" s="115" t="str">
        <x:v>EXT-MONDE-T044</x:v>
      </x:c>
      <x:c r="C2169" s="115" t="str">
        <x:v>HLM visitables</x:v>
      </x:c>
      <x:c r="D2169" s="115" t="str">
        <x:v>Ensemble HLM mixte</x:v>
      </x:c>
      <x:c r="E2169" s="115" t="n">
        <x:v>14</x:v>
      </x:c>
      <x:c r="F2169" s="115" t="str">
        <x:v>Inspection physique</x:v>
      </x:c>
      <x:c r="G2169" s="115" t="str">
        <x:v>8 niveaux ; 296 pièces ; 2231 segments de mur ; 12 transitions. Inspection physique ; architecture complète encore ouverte.</x:v>
      </x:c>
      <x:c r="H2169" s="115" t="str">
        <x:v>L 135,75 ; l 148,5 ; hauteur 21,35 m ; choix de composition auteur ; dimensions réelles à documenter</x:v>
      </x:c>
      <x:c r="I2169" s="115" t="str">
        <x:v>À équilibrer</x:v>
      </x:c>
      <x:c r="J2169" s="115" t="str">
        <x:v>Non</x:v>
      </x:c>
      <x:c r="K2169" s="115" t="str">
        <x:v>Pièces décrites, murs, portes, niveaux et mobilier inspectables à l’échelle. Volumes réservés, raccord au seed, butin, rencontres et services de campagne restent à terminer.</x:v>
      </x:c>
    </x:row>
    <x:row r="2170" ht="96" customHeight="1">
      <x:c r="A2170" s="115" t="str">
        <x:v>EXT-MONDE-T044-V15</x:v>
      </x:c>
      <x:c r="B2170" s="115" t="str">
        <x:v>EXT-MONDE-T044</x:v>
      </x:c>
      <x:c r="C2170" s="115" t="str">
        <x:v>HLM visitables</x:v>
      </x:c>
      <x:c r="D2170" s="115" t="str">
        <x:v>Ensemble HLM mixte</x:v>
      </x:c>
      <x:c r="E2170" s="115" t="n">
        <x:v>15</x:v>
      </x:c>
      <x:c r="F2170" s="115" t="str">
        <x:v>Inspection physique</x:v>
      </x:c>
      <x:c r="G2170" s="115" t="str">
        <x:v>8 niveaux ; 296 pièces ; 2231 segments de mur ; 12 transitions. Inspection physique ; architecture complète encore ouverte.</x:v>
      </x:c>
      <x:c r="H2170" s="115" t="str">
        <x:v>L 136 ; l 149,36 ; hauteur 21,45 m ; choix de composition auteur ; dimensions réelles à documenter</x:v>
      </x:c>
      <x:c r="I2170" s="115" t="str">
        <x:v>À équilibrer</x:v>
      </x:c>
      <x:c r="J2170" s="115" t="str">
        <x:v>Non</x:v>
      </x:c>
      <x:c r="K2170" s="115" t="str">
        <x:v>Pièces décrites, murs, portes, niveaux et mobilier inspectables à l’échelle. Volumes réservés, raccord au seed, butin, rencontres et services de campagne restent à terminer.</x:v>
      </x:c>
    </x:row>
    <x:row r="2171" ht="96" customHeight="1">
      <x:c r="A2171" s="115" t="str">
        <x:v>EXT-MONDE-T044-V16</x:v>
      </x:c>
      <x:c r="B2171" s="115" t="str">
        <x:v>EXT-MONDE-T044</x:v>
      </x:c>
      <x:c r="C2171" s="115" t="str">
        <x:v>HLM visitables</x:v>
      </x:c>
      <x:c r="D2171" s="115" t="str">
        <x:v>Ensemble HLM mixte</x:v>
      </x:c>
      <x:c r="E2171" s="115" t="n">
        <x:v>16</x:v>
      </x:c>
      <x:c r="F2171" s="115" t="str">
        <x:v>Inspection physique</x:v>
      </x:c>
      <x:c r="G2171" s="115" t="str">
        <x:v>8 niveaux ; 296 pièces ; 2231 segments de mur ; 12 transitions. Inspection physique ; architecture complète encore ouverte.</x:v>
      </x:c>
      <x:c r="H2171" s="115" t="str">
        <x:v>L 136,25 ; l 149,42 ; hauteur 21,55 m ; choix de composition auteur ; dimensions réelles à documenter</x:v>
      </x:c>
      <x:c r="I2171" s="115" t="str">
        <x:v>À équilibrer</x:v>
      </x:c>
      <x:c r="J2171" s="115" t="str">
        <x:v>Non</x:v>
      </x:c>
      <x:c r="K2171" s="115" t="str">
        <x:v>Pièces décrites, murs, portes, niveaux et mobilier inspectables à l’échelle. Volumes réservés, raccord au seed, butin, rencontres et services de campagne restent à terminer.</x:v>
      </x:c>
    </x:row>
    <x:row r="2172" ht="96" customHeight="1">
      <x:c r="A2172" s="115" t="str">
        <x:v>EXT-MONDE-T044-V17</x:v>
      </x:c>
      <x:c r="B2172" s="115" t="str">
        <x:v>EXT-MONDE-T044</x:v>
      </x:c>
      <x:c r="C2172" s="115" t="str">
        <x:v>HLM visitables</x:v>
      </x:c>
      <x:c r="D2172" s="115" t="str">
        <x:v>Ensemble HLM mixte</x:v>
      </x:c>
      <x:c r="E2172" s="115" t="n">
        <x:v>17</x:v>
      </x:c>
      <x:c r="F2172" s="115" t="str">
        <x:v>Inspection physique</x:v>
      </x:c>
      <x:c r="G2172" s="115" t="str">
        <x:v>8 niveaux ; 296 pièces ; 2231 segments de mur ; 12 transitions. Inspection physique ; architecture complète encore ouverte.</x:v>
      </x:c>
      <x:c r="H2172" s="115" t="str">
        <x:v>L 136,5 ; l 150,28 ; hauteur 21,35 m ; choix de composition auteur ; dimensions réelles à documenter</x:v>
      </x:c>
      <x:c r="I2172" s="115" t="str">
        <x:v>À équilibrer</x:v>
      </x:c>
      <x:c r="J2172" s="115" t="str">
        <x:v>Non</x:v>
      </x:c>
      <x:c r="K2172" s="115" t="str">
        <x:v>Pièces décrites, murs, portes, niveaux et mobilier inspectables à l’échelle. Volumes réservés, raccord au seed, butin, rencontres et services de campagne restent à terminer.</x:v>
      </x:c>
    </x:row>
    <x:row r="2173" ht="96" customHeight="1">
      <x:c r="A2173" s="115" t="str">
        <x:v>EXT-MONDE-T044-V18</x:v>
      </x:c>
      <x:c r="B2173" s="115" t="str">
        <x:v>EXT-MONDE-T044</x:v>
      </x:c>
      <x:c r="C2173" s="115" t="str">
        <x:v>HLM visitables</x:v>
      </x:c>
      <x:c r="D2173" s="115" t="str">
        <x:v>Ensemble HLM mixte</x:v>
      </x:c>
      <x:c r="E2173" s="115" t="n">
        <x:v>18</x:v>
      </x:c>
      <x:c r="F2173" s="115" t="str">
        <x:v>Inspection physique</x:v>
      </x:c>
      <x:c r="G2173" s="115" t="str">
        <x:v>8 niveaux ; 296 pièces ; 2231 segments de mur ; 12 transitions. Inspection physique ; architecture complète encore ouverte.</x:v>
      </x:c>
      <x:c r="H2173" s="115" t="str">
        <x:v>L 136,75 ; l 151,14 ; hauteur 21,45 m ; choix de composition auteur ; dimensions réelles à documenter</x:v>
      </x:c>
      <x:c r="I2173" s="115" t="str">
        <x:v>À équilibrer</x:v>
      </x:c>
      <x:c r="J2173" s="115" t="str">
        <x:v>Non</x:v>
      </x:c>
      <x:c r="K2173" s="115" t="str">
        <x:v>Pièces décrites, murs, portes, niveaux et mobilier inspectables à l’échelle. Volumes réservés, raccord au seed, butin, rencontres et services de campagne restent à terminer.</x:v>
      </x:c>
    </x:row>
    <x:row r="2174" ht="96" customHeight="1">
      <x:c r="A2174" s="115" t="str">
        <x:v>EXT-MONDE-T044-V19</x:v>
      </x:c>
      <x:c r="B2174" s="115" t="str">
        <x:v>EXT-MONDE-T044</x:v>
      </x:c>
      <x:c r="C2174" s="115" t="str">
        <x:v>HLM visitables</x:v>
      </x:c>
      <x:c r="D2174" s="115" t="str">
        <x:v>Ensemble HLM mixte</x:v>
      </x:c>
      <x:c r="E2174" s="115" t="n">
        <x:v>19</x:v>
      </x:c>
      <x:c r="F2174" s="115" t="str">
        <x:v>Inspection physique</x:v>
      </x:c>
      <x:c r="G2174" s="115" t="str">
        <x:v>8 niveaux ; 296 pièces ; 2231 segments de mur ; 12 transitions. Inspection physique ; architecture complète encore ouverte.</x:v>
      </x:c>
      <x:c r="H2174" s="115" t="str">
        <x:v>L 137 ; l 152 ; hauteur 21,55 m ; choix de composition auteur ; dimensions réelles à documenter</x:v>
      </x:c>
      <x:c r="I2174" s="115" t="str">
        <x:v>À équilibrer</x:v>
      </x:c>
      <x:c r="J2174" s="115" t="str">
        <x:v>Non</x:v>
      </x:c>
      <x:c r="K2174" s="115" t="str">
        <x:v>Pièces décrites, murs, portes, niveaux et mobilier inspectables à l’échelle. Volumes réservés, raccord au seed, butin, rencontres et services de campagne restent à terminer.</x:v>
      </x:c>
    </x:row>
    <x:row r="2175" ht="96" customHeight="1">
      <x:c r="A2175" s="115" t="str">
        <x:v>EXT-MONDE-T044-V20</x:v>
      </x:c>
      <x:c r="B2175" s="115" t="str">
        <x:v>EXT-MONDE-T044</x:v>
      </x:c>
      <x:c r="C2175" s="115" t="str">
        <x:v>HLM visitables</x:v>
      </x:c>
      <x:c r="D2175" s="115" t="str">
        <x:v>Ensemble HLM mixte</x:v>
      </x:c>
      <x:c r="E2175" s="115" t="n">
        <x:v>20</x:v>
      </x:c>
      <x:c r="F2175" s="115" t="str">
        <x:v>Inspection physique</x:v>
      </x:c>
      <x:c r="G2175" s="115" t="str">
        <x:v>8 niveaux ; 296 pièces ; 2231 segments de mur ; 12 transitions. Inspection physique ; architecture complète encore ouverte.</x:v>
      </x:c>
      <x:c r="H2175" s="115" t="str">
        <x:v>L 137,25 ; l 152,86 ; hauteur 21,35 m ; choix de composition auteur ; dimensions réelles à documenter</x:v>
      </x:c>
      <x:c r="I2175" s="115" t="str">
        <x:v>À équilibrer</x:v>
      </x:c>
      <x:c r="J2175" s="115" t="str">
        <x:v>Non</x:v>
      </x:c>
      <x:c r="K2175" s="115" t="str">
        <x:v>Pièces décrites, murs, portes, niveaux et mobilier inspectables à l’échelle. Volumes réservés, raccord au seed, butin, rencontres et services de campagne restent à terminer.</x:v>
      </x:c>
    </x:row>
    <x:row r="2176" ht="96" customHeight="1">
      <x:c r="A2176" s="115" t="str">
        <x:v>EXT-MONDE-T044-V21</x:v>
      </x:c>
      <x:c r="B2176" s="115" t="str">
        <x:v>EXT-MONDE-T044</x:v>
      </x:c>
      <x:c r="C2176" s="115" t="str">
        <x:v>HLM visitables</x:v>
      </x:c>
      <x:c r="D2176" s="115" t="str">
        <x:v>Ensemble HLM mixte</x:v>
      </x:c>
      <x:c r="E2176" s="115" t="n">
        <x:v>21</x:v>
      </x:c>
      <x:c r="F2176" s="115" t="str">
        <x:v>Inspection physique</x:v>
      </x:c>
      <x:c r="G2176" s="115" t="str">
        <x:v>9 niveaux ; 344 pièces ; 2589 segments de mur ; 14 transitions. Inspection physique ; architecture complète encore ouverte.</x:v>
      </x:c>
      <x:c r="H2176" s="115" t="str">
        <x:v>L 135 ; l 146,24 ; hauteur 24,35 m ; choix de composition auteur ; dimensions réelles à documenter</x:v>
      </x:c>
      <x:c r="I2176" s="115" t="str">
        <x:v>À équilibrer</x:v>
      </x:c>
      <x:c r="J2176" s="115" t="str">
        <x:v>Non</x:v>
      </x:c>
      <x:c r="K2176" s="115" t="str">
        <x:v>Pièces décrites, murs, portes, niveaux et mobilier inspectables à l’échelle. Volumes réservés, raccord au seed, butin, rencontres et services de campagne restent à terminer.</x:v>
      </x:c>
    </x:row>
    <x:row r="2177" ht="96" customHeight="1">
      <x:c r="A2177" s="115" t="str">
        <x:v>EXT-MONDE-T044-V22</x:v>
      </x:c>
      <x:c r="B2177" s="115" t="str">
        <x:v>EXT-MONDE-T044</x:v>
      </x:c>
      <x:c r="C2177" s="115" t="str">
        <x:v>HLM visitables</x:v>
      </x:c>
      <x:c r="D2177" s="115" t="str">
        <x:v>Ensemble HLM mixte</x:v>
      </x:c>
      <x:c r="E2177" s="115" t="n">
        <x:v>22</x:v>
      </x:c>
      <x:c r="F2177" s="115" t="str">
        <x:v>Inspection physique</x:v>
      </x:c>
      <x:c r="G2177" s="115" t="str">
        <x:v>9 niveaux ; 344 pièces ; 2589 segments de mur ; 14 transitions. Inspection physique ; architecture complète encore ouverte.</x:v>
      </x:c>
      <x:c r="H2177" s="115" t="str">
        <x:v>L 135,25 ; l 147,1 ; hauteur 24,45 m ; choix de composition auteur ; dimensions réelles à documenter</x:v>
      </x:c>
      <x:c r="I2177" s="115" t="str">
        <x:v>À équilibrer</x:v>
      </x:c>
      <x:c r="J2177" s="115" t="str">
        <x:v>Non</x:v>
      </x:c>
      <x:c r="K2177" s="115" t="str">
        <x:v>Pièces décrites, murs, portes, niveaux et mobilier inspectables à l’échelle. Volumes réservés, raccord au seed, butin, rencontres et services de campagne restent à terminer.</x:v>
      </x:c>
    </x:row>
    <x:row r="2178" ht="96" customHeight="1">
      <x:c r="A2178" s="115" t="str">
        <x:v>EXT-MONDE-T044-V23</x:v>
      </x:c>
      <x:c r="B2178" s="115" t="str">
        <x:v>EXT-MONDE-T044</x:v>
      </x:c>
      <x:c r="C2178" s="115" t="str">
        <x:v>HLM visitables</x:v>
      </x:c>
      <x:c r="D2178" s="115" t="str">
        <x:v>Ensemble HLM mixte</x:v>
      </x:c>
      <x:c r="E2178" s="115" t="n">
        <x:v>23</x:v>
      </x:c>
      <x:c r="F2178" s="115" t="str">
        <x:v>Inspection physique</x:v>
      </x:c>
      <x:c r="G2178" s="115" t="str">
        <x:v>9 niveaux ; 344 pièces ; 2589 segments de mur ; 14 transitions. Inspection physique ; architecture complète encore ouverte.</x:v>
      </x:c>
      <x:c r="H2178" s="115" t="str">
        <x:v>L 135,5 ; l 147,96 ; hauteur 24,55 m ; choix de composition auteur ; dimensions réelles à documenter</x:v>
      </x:c>
      <x:c r="I2178" s="115" t="str">
        <x:v>À équilibrer</x:v>
      </x:c>
      <x:c r="J2178" s="115" t="str">
        <x:v>Non</x:v>
      </x:c>
      <x:c r="K2178" s="115" t="str">
        <x:v>Pièces décrites, murs, portes, niveaux et mobilier inspectables à l’échelle. Volumes réservés, raccord au seed, butin, rencontres et services de campagne restent à terminer.</x:v>
      </x:c>
    </x:row>
    <x:row r="2179" ht="96" customHeight="1">
      <x:c r="A2179" s="115" t="str">
        <x:v>EXT-MONDE-T044-V24</x:v>
      </x:c>
      <x:c r="B2179" s="115" t="str">
        <x:v>EXT-MONDE-T044</x:v>
      </x:c>
      <x:c r="C2179" s="115" t="str">
        <x:v>HLM visitables</x:v>
      </x:c>
      <x:c r="D2179" s="115" t="str">
        <x:v>Ensemble HLM mixte</x:v>
      </x:c>
      <x:c r="E2179" s="115" t="n">
        <x:v>24</x:v>
      </x:c>
      <x:c r="F2179" s="115" t="str">
        <x:v>Inspection physique</x:v>
      </x:c>
      <x:c r="G2179" s="115" t="str">
        <x:v>9 niveaux ; 344 pièces ; 2589 segments de mur ; 14 transitions. Inspection physique ; architecture complète encore ouverte.</x:v>
      </x:c>
      <x:c r="H2179" s="115" t="str">
        <x:v>L 135,75 ; l 148,82 ; hauteur 24,35 m ; choix de composition auteur ; dimensions réelles à documenter</x:v>
      </x:c>
      <x:c r="I2179" s="115" t="str">
        <x:v>À équilibrer</x:v>
      </x:c>
      <x:c r="J2179" s="115" t="str">
        <x:v>Non</x:v>
      </x:c>
      <x:c r="K2179" s="115" t="str">
        <x:v>Pièces décrites, murs, portes, niveaux et mobilier inspectables à l’échelle. Volumes réservés, raccord au seed, butin, rencontres et services de campagne restent à terminer.</x:v>
      </x:c>
    </x:row>
    <x:row r="2180" ht="96" customHeight="1">
      <x:c r="A2180" s="115" t="str">
        <x:v>EXT-MONDE-T044-V25</x:v>
      </x:c>
      <x:c r="B2180" s="115" t="str">
        <x:v>EXT-MONDE-T044</x:v>
      </x:c>
      <x:c r="C2180" s="115" t="str">
        <x:v>HLM visitables</x:v>
      </x:c>
      <x:c r="D2180" s="115" t="str">
        <x:v>Ensemble HLM mixte</x:v>
      </x:c>
      <x:c r="E2180" s="115" t="n">
        <x:v>25</x:v>
      </x:c>
      <x:c r="F2180" s="115" t="str">
        <x:v>Inspection physique</x:v>
      </x:c>
      <x:c r="G2180" s="115" t="str">
        <x:v>9 niveaux ; 344 pièces ; 2589 segments de mur ; 14 transitions. Inspection physique ; architecture complète encore ouverte.</x:v>
      </x:c>
      <x:c r="H2180" s="115" t="str">
        <x:v>L 136 ; l 149,68 ; hauteur 24,45 m ; choix de composition auteur ; dimensions réelles à documenter</x:v>
      </x:c>
      <x:c r="I2180" s="115" t="str">
        <x:v>À équilibrer</x:v>
      </x:c>
      <x:c r="J2180" s="115" t="str">
        <x:v>Non</x:v>
      </x:c>
      <x:c r="K2180" s="115" t="str">
        <x:v>Pièces décrites, murs, portes, niveaux et mobilier inspectables à l’échelle. Volumes réservés, raccord au seed, butin, rencontres et services de campagne restent à terminer.</x:v>
      </x:c>
    </x:row>
    <x:row r="2181" ht="96" customHeight="1">
      <x:c r="A2181" s="115" t="str">
        <x:v>EXT-MONDE-T044-V26</x:v>
      </x:c>
      <x:c r="B2181" s="115" t="str">
        <x:v>EXT-MONDE-T044</x:v>
      </x:c>
      <x:c r="C2181" s="115" t="str">
        <x:v>HLM visitables</x:v>
      </x:c>
      <x:c r="D2181" s="115" t="str">
        <x:v>Ensemble HLM mixte</x:v>
      </x:c>
      <x:c r="E2181" s="115" t="n">
        <x:v>26</x:v>
      </x:c>
      <x:c r="F2181" s="115" t="str">
        <x:v>Inspection physique</x:v>
      </x:c>
      <x:c r="G2181" s="115" t="str">
        <x:v>9 niveaux ; 344 pièces ; 2589 segments de mur ; 14 transitions. Inspection physique ; architecture complète encore ouverte.</x:v>
      </x:c>
      <x:c r="H2181" s="115" t="str">
        <x:v>L 136,25 ; l 149,74 ; hauteur 24,55 m ; choix de composition auteur ; dimensions réelles à documenter</x:v>
      </x:c>
      <x:c r="I2181" s="115" t="str">
        <x:v>À équilibrer</x:v>
      </x:c>
      <x:c r="J2181" s="115" t="str">
        <x:v>Non</x:v>
      </x:c>
      <x:c r="K2181" s="115" t="str">
        <x:v>Pièces décrites, murs, portes, niveaux et mobilier inspectables à l’échelle. Volumes réservés, raccord au seed, butin, rencontres et services de campagne restent à terminer.</x:v>
      </x:c>
    </x:row>
    <x:row r="2182" ht="96" customHeight="1">
      <x:c r="A2182" s="115" t="str">
        <x:v>EXT-MONDE-T044-V27</x:v>
      </x:c>
      <x:c r="B2182" s="115" t="str">
        <x:v>EXT-MONDE-T044</x:v>
      </x:c>
      <x:c r="C2182" s="115" t="str">
        <x:v>HLM visitables</x:v>
      </x:c>
      <x:c r="D2182" s="115" t="str">
        <x:v>Ensemble HLM mixte</x:v>
      </x:c>
      <x:c r="E2182" s="115" t="n">
        <x:v>27</x:v>
      </x:c>
      <x:c r="F2182" s="115" t="str">
        <x:v>Inspection physique</x:v>
      </x:c>
      <x:c r="G2182" s="115" t="str">
        <x:v>9 niveaux ; 344 pièces ; 2589 segments de mur ; 14 transitions. Inspection physique ; architecture complète encore ouverte.</x:v>
      </x:c>
      <x:c r="H2182" s="115" t="str">
        <x:v>L 136,5 ; l 150,6 ; hauteur 24,35 m ; choix de composition auteur ; dimensions réelles à documenter</x:v>
      </x:c>
      <x:c r="I2182" s="115" t="str">
        <x:v>À équilibrer</x:v>
      </x:c>
      <x:c r="J2182" s="115" t="str">
        <x:v>Non</x:v>
      </x:c>
      <x:c r="K2182" s="115" t="str">
        <x:v>Pièces décrites, murs, portes, niveaux et mobilier inspectables à l’échelle. Volumes réservés, raccord au seed, butin, rencontres et services de campagne restent à terminer.</x:v>
      </x:c>
    </x:row>
    <x:row r="2183" ht="96" customHeight="1">
      <x:c r="A2183" s="115" t="str">
        <x:v>EXT-MONDE-T044-V28</x:v>
      </x:c>
      <x:c r="B2183" s="115" t="str">
        <x:v>EXT-MONDE-T044</x:v>
      </x:c>
      <x:c r="C2183" s="115" t="str">
        <x:v>HLM visitables</x:v>
      </x:c>
      <x:c r="D2183" s="115" t="str">
        <x:v>Ensemble HLM mixte</x:v>
      </x:c>
      <x:c r="E2183" s="115" t="n">
        <x:v>28</x:v>
      </x:c>
      <x:c r="F2183" s="115" t="str">
        <x:v>Inspection physique</x:v>
      </x:c>
      <x:c r="G2183" s="115" t="str">
        <x:v>9 niveaux ; 344 pièces ; 2589 segments de mur ; 14 transitions. Inspection physique ; architecture complète encore ouverte.</x:v>
      </x:c>
      <x:c r="H2183" s="115" t="str">
        <x:v>L 136,75 ; l 151,46 ; hauteur 24,45 m ; choix de composition auteur ; dimensions réelles à documenter</x:v>
      </x:c>
      <x:c r="I2183" s="115" t="str">
        <x:v>À équilibrer</x:v>
      </x:c>
      <x:c r="J2183" s="115" t="str">
        <x:v>Non</x:v>
      </x:c>
      <x:c r="K2183" s="115" t="str">
        <x:v>Pièces décrites, murs, portes, niveaux et mobilier inspectables à l’échelle. Volumes réservés, raccord au seed, butin, rencontres et services de campagne restent à terminer.</x:v>
      </x:c>
    </x:row>
    <x:row r="2184" ht="96" customHeight="1">
      <x:c r="A2184" s="115" t="str">
        <x:v>EXT-MONDE-T044-V29</x:v>
      </x:c>
      <x:c r="B2184" s="115" t="str">
        <x:v>EXT-MONDE-T044</x:v>
      </x:c>
      <x:c r="C2184" s="115" t="str">
        <x:v>HLM visitables</x:v>
      </x:c>
      <x:c r="D2184" s="115" t="str">
        <x:v>Ensemble HLM mixte</x:v>
      </x:c>
      <x:c r="E2184" s="115" t="n">
        <x:v>29</x:v>
      </x:c>
      <x:c r="F2184" s="115" t="str">
        <x:v>Inspection physique</x:v>
      </x:c>
      <x:c r="G2184" s="115" t="str">
        <x:v>9 niveaux ; 344 pièces ; 2589 segments de mur ; 14 transitions. Inspection physique ; architecture complète encore ouverte.</x:v>
      </x:c>
      <x:c r="H2184" s="115" t="str">
        <x:v>L 137 ; l 152,32 ; hauteur 24,55 m ; choix de composition auteur ; dimensions réelles à documenter</x:v>
      </x:c>
      <x:c r="I2184" s="115" t="str">
        <x:v>À équilibrer</x:v>
      </x:c>
      <x:c r="J2184" s="115" t="str">
        <x:v>Non</x:v>
      </x:c>
      <x:c r="K2184" s="115" t="str">
        <x:v>Pièces décrites, murs, portes, niveaux et mobilier inspectables à l’échelle. Volumes réservés, raccord au seed, butin, rencontres et services de campagne restent à terminer.</x:v>
      </x:c>
    </x:row>
    <x:row r="2185" ht="96" customHeight="1">
      <x:c r="A2185" s="115" t="str">
        <x:v>EXT-MONDE-T044-V30</x:v>
      </x:c>
      <x:c r="B2185" s="115" t="str">
        <x:v>EXT-MONDE-T044</x:v>
      </x:c>
      <x:c r="C2185" s="115" t="str">
        <x:v>HLM visitables</x:v>
      </x:c>
      <x:c r="D2185" s="115" t="str">
        <x:v>Ensemble HLM mixte</x:v>
      </x:c>
      <x:c r="E2185" s="115" t="n">
        <x:v>30</x:v>
      </x:c>
      <x:c r="F2185" s="115" t="str">
        <x:v>Inspection physique</x:v>
      </x:c>
      <x:c r="G2185" s="115" t="str">
        <x:v>9 niveaux ; 344 pièces ; 2589 segments de mur ; 14 transitions. Inspection physique ; architecture complète encore ouverte.</x:v>
      </x:c>
      <x:c r="H2185" s="115" t="str">
        <x:v>L 137,25 ; l 153,18 ; hauteur 24,35 m ; choix de composition auteur ; dimensions réelles à documenter</x:v>
      </x:c>
      <x:c r="I2185" s="115" t="str">
        <x:v>À équilibrer</x:v>
      </x:c>
      <x:c r="J2185" s="115" t="str">
        <x:v>Non</x:v>
      </x:c>
      <x:c r="K2185" s="115" t="str">
        <x:v>Pièces décrites, murs, portes, niveaux et mobilier inspectables à l’échelle. Volumes réservés, raccord au seed, butin, rencontres et services de campagne restent à terminer.</x:v>
      </x:c>
    </x:row>
    <x:row r="2186" ht="96" customHeight="1">
      <x:c r="A2186" s="115" t="str">
        <x:v>EXT-MONDE-T044-V31</x:v>
      </x:c>
      <x:c r="B2186" s="115" t="str">
        <x:v>EXT-MONDE-T044</x:v>
      </x:c>
      <x:c r="C2186" s="115" t="str">
        <x:v>HLM visitables</x:v>
      </x:c>
      <x:c r="D2186" s="115" t="str">
        <x:v>Ensemble HLM mixte</x:v>
      </x:c>
      <x:c r="E2186" s="115" t="n">
        <x:v>31</x:v>
      </x:c>
      <x:c r="F2186" s="115" t="str">
        <x:v>Inspection physique</x:v>
      </x:c>
      <x:c r="G2186" s="115" t="str">
        <x:v>7 niveaux ; 248 pièces ; 1873 segments de mur ; 10 transitions. Inspection physique ; architecture complète encore ouverte.</x:v>
      </x:c>
      <x:c r="H2186" s="115" t="str">
        <x:v>L 135 ; l 146,56 ; hauteur 18,35 m ; choix de composition auteur ; dimensions réelles à documenter</x:v>
      </x:c>
      <x:c r="I2186" s="115" t="str">
        <x:v>À équilibrer</x:v>
      </x:c>
      <x:c r="J2186" s="115" t="str">
        <x:v>Non</x:v>
      </x:c>
      <x:c r="K2186" s="115" t="str">
        <x:v>Pièces décrites, murs, portes, niveaux et mobilier inspectables à l’échelle. Volumes réservés, raccord au seed, butin, rencontres et services de campagne restent à terminer.</x:v>
      </x:c>
    </x:row>
    <x:row r="2187" ht="96" customHeight="1">
      <x:c r="A2187" s="115" t="str">
        <x:v>EXT-MONDE-T044-V32</x:v>
      </x:c>
      <x:c r="B2187" s="115" t="str">
        <x:v>EXT-MONDE-T044</x:v>
      </x:c>
      <x:c r="C2187" s="115" t="str">
        <x:v>HLM visitables</x:v>
      </x:c>
      <x:c r="D2187" s="115" t="str">
        <x:v>Ensemble HLM mixte</x:v>
      </x:c>
      <x:c r="E2187" s="115" t="n">
        <x:v>32</x:v>
      </x:c>
      <x:c r="F2187" s="115" t="str">
        <x:v>Inspection physique</x:v>
      </x:c>
      <x:c r="G2187" s="115" t="str">
        <x:v>7 niveaux ; 248 pièces ; 1873 segments de mur ; 10 transitions. Inspection physique ; architecture complète encore ouverte.</x:v>
      </x:c>
      <x:c r="H2187" s="115" t="str">
        <x:v>L 135,25 ; l 147,42 ; hauteur 18,45 m ; choix de composition auteur ; dimensions réelles à documenter</x:v>
      </x:c>
      <x:c r="I2187" s="115" t="str">
        <x:v>À équilibrer</x:v>
      </x:c>
      <x:c r="J2187" s="115" t="str">
        <x:v>Non</x:v>
      </x:c>
      <x:c r="K2187" s="115" t="str">
        <x:v>Pièces décrites, murs, portes, niveaux et mobilier inspectables à l’échelle. Volumes réservés, raccord au seed, butin, rencontres et services de campagne restent à terminer.</x:v>
      </x:c>
    </x:row>
    <x:row r="2188" ht="96" customHeight="1">
      <x:c r="A2188" s="115" t="str">
        <x:v>EXT-MONDE-T044-V33</x:v>
      </x:c>
      <x:c r="B2188" s="115" t="str">
        <x:v>EXT-MONDE-T044</x:v>
      </x:c>
      <x:c r="C2188" s="115" t="str">
        <x:v>HLM visitables</x:v>
      </x:c>
      <x:c r="D2188" s="115" t="str">
        <x:v>Ensemble HLM mixte</x:v>
      </x:c>
      <x:c r="E2188" s="115" t="n">
        <x:v>33</x:v>
      </x:c>
      <x:c r="F2188" s="115" t="str">
        <x:v>Inspection physique</x:v>
      </x:c>
      <x:c r="G2188" s="115" t="str">
        <x:v>7 niveaux ; 248 pièces ; 1873 segments de mur ; 10 transitions. Inspection physique ; architecture complète encore ouverte.</x:v>
      </x:c>
      <x:c r="H2188" s="115" t="str">
        <x:v>L 135,5 ; l 148,28 ; hauteur 18,55 m ; choix de composition auteur ; dimensions réelles à documenter</x:v>
      </x:c>
      <x:c r="I2188" s="115" t="str">
        <x:v>À équilibrer</x:v>
      </x:c>
      <x:c r="J2188" s="115" t="str">
        <x:v>Non</x:v>
      </x:c>
      <x:c r="K2188" s="115" t="str">
        <x:v>Pièces décrites, murs, portes, niveaux et mobilier inspectables à l’échelle. Volumes réservés, raccord au seed, butin, rencontres et services de campagne restent à terminer.</x:v>
      </x:c>
    </x:row>
    <x:row r="2189" ht="96" customHeight="1">
      <x:c r="A2189" s="115" t="str">
        <x:v>EXT-MONDE-T044-V34</x:v>
      </x:c>
      <x:c r="B2189" s="115" t="str">
        <x:v>EXT-MONDE-T044</x:v>
      </x:c>
      <x:c r="C2189" s="115" t="str">
        <x:v>HLM visitables</x:v>
      </x:c>
      <x:c r="D2189" s="115" t="str">
        <x:v>Ensemble HLM mixte</x:v>
      </x:c>
      <x:c r="E2189" s="115" t="n">
        <x:v>34</x:v>
      </x:c>
      <x:c r="F2189" s="115" t="str">
        <x:v>Inspection physique</x:v>
      </x:c>
      <x:c r="G2189" s="115" t="str">
        <x:v>7 niveaux ; 248 pièces ; 1873 segments de mur ; 10 transitions. Inspection physique ; architecture complète encore ouverte.</x:v>
      </x:c>
      <x:c r="H2189" s="115" t="str">
        <x:v>L 135,75 ; l 149,14 ; hauteur 18,35 m ; choix de composition auteur ; dimensions réelles à documenter</x:v>
      </x:c>
      <x:c r="I2189" s="115" t="str">
        <x:v>À équilibrer</x:v>
      </x:c>
      <x:c r="J2189" s="115" t="str">
        <x:v>Non</x:v>
      </x:c>
      <x:c r="K2189" s="115" t="str">
        <x:v>Pièces décrites, murs, portes, niveaux et mobilier inspectables à l’échelle. Volumes réservés, raccord au seed, butin, rencontres et services de campagne restent à terminer.</x:v>
      </x:c>
    </x:row>
    <x:row r="2190" ht="96" customHeight="1">
      <x:c r="A2190" s="115" t="str">
        <x:v>EXT-MONDE-T044-V35</x:v>
      </x:c>
      <x:c r="B2190" s="115" t="str">
        <x:v>EXT-MONDE-T044</x:v>
      </x:c>
      <x:c r="C2190" s="115" t="str">
        <x:v>HLM visitables</x:v>
      </x:c>
      <x:c r="D2190" s="115" t="str">
        <x:v>Ensemble HLM mixte</x:v>
      </x:c>
      <x:c r="E2190" s="115" t="n">
        <x:v>35</x:v>
      </x:c>
      <x:c r="F2190" s="115" t="str">
        <x:v>Inspection physique</x:v>
      </x:c>
      <x:c r="G2190" s="115" t="str">
        <x:v>7 niveaux ; 248 pièces ; 1873 segments de mur ; 10 transitions. Inspection physique ; architecture complète encore ouverte.</x:v>
      </x:c>
      <x:c r="H2190" s="115" t="str">
        <x:v>L 136 ; l 150 ; hauteur 18,45 m ; choix de composition auteur ; dimensions réelles à documenter</x:v>
      </x:c>
      <x:c r="I2190" s="115" t="str">
        <x:v>À équilibrer</x:v>
      </x:c>
      <x:c r="J2190" s="115" t="str">
        <x:v>Non</x:v>
      </x:c>
      <x:c r="K2190" s="115" t="str">
        <x:v>Pièces décrites, murs, portes, niveaux et mobilier inspectables à l’échelle. Volumes réservés, raccord au seed, butin, rencontres et services de campagne restent à terminer.</x:v>
      </x:c>
    </x:row>
    <x:row r="2191" ht="96" customHeight="1">
      <x:c r="A2191" s="115" t="str">
        <x:v>EXT-MONDE-T044-V36</x:v>
      </x:c>
      <x:c r="B2191" s="115" t="str">
        <x:v>EXT-MONDE-T044</x:v>
      </x:c>
      <x:c r="C2191" s="115" t="str">
        <x:v>HLM visitables</x:v>
      </x:c>
      <x:c r="D2191" s="115" t="str">
        <x:v>Ensemble HLM mixte</x:v>
      </x:c>
      <x:c r="E2191" s="115" t="n">
        <x:v>36</x:v>
      </x:c>
      <x:c r="F2191" s="115" t="str">
        <x:v>Inspection physique</x:v>
      </x:c>
      <x:c r="G2191" s="115" t="str">
        <x:v>7 niveaux ; 248 pièces ; 1873 segments de mur ; 10 transitions. Inspection physique ; architecture complète encore ouverte.</x:v>
      </x:c>
      <x:c r="H2191" s="115" t="str">
        <x:v>L 136,25 ; l 150,06 ; hauteur 18,55 m ; choix de composition auteur ; dimensions réelles à documenter</x:v>
      </x:c>
      <x:c r="I2191" s="115" t="str">
        <x:v>À équilibrer</x:v>
      </x:c>
      <x:c r="J2191" s="115" t="str">
        <x:v>Non</x:v>
      </x:c>
      <x:c r="K2191" s="115" t="str">
        <x:v>Pièces décrites, murs, portes, niveaux et mobilier inspectables à l’échelle. Volumes réservés, raccord au seed, butin, rencontres et services de campagne restent à terminer.</x:v>
      </x:c>
    </x:row>
    <x:row r="2192" ht="96" customHeight="1">
      <x:c r="A2192" s="115" t="str">
        <x:v>EXT-MONDE-T044-V37</x:v>
      </x:c>
      <x:c r="B2192" s="115" t="str">
        <x:v>EXT-MONDE-T044</x:v>
      </x:c>
      <x:c r="C2192" s="115" t="str">
        <x:v>HLM visitables</x:v>
      </x:c>
      <x:c r="D2192" s="115" t="str">
        <x:v>Ensemble HLM mixte</x:v>
      </x:c>
      <x:c r="E2192" s="115" t="n">
        <x:v>37</x:v>
      </x:c>
      <x:c r="F2192" s="115" t="str">
        <x:v>Inspection physique</x:v>
      </x:c>
      <x:c r="G2192" s="115" t="str">
        <x:v>7 niveaux ; 248 pièces ; 1873 segments de mur ; 10 transitions. Inspection physique ; architecture complète encore ouverte.</x:v>
      </x:c>
      <x:c r="H2192" s="115" t="str">
        <x:v>L 136,5 ; l 150,92 ; hauteur 18,35 m ; choix de composition auteur ; dimensions réelles à documenter</x:v>
      </x:c>
      <x:c r="I2192" s="115" t="str">
        <x:v>À équilibrer</x:v>
      </x:c>
      <x:c r="J2192" s="115" t="str">
        <x:v>Non</x:v>
      </x:c>
      <x:c r="K2192" s="115" t="str">
        <x:v>Pièces décrites, murs, portes, niveaux et mobilier inspectables à l’échelle. Volumes réservés, raccord au seed, butin, rencontres et services de campagne restent à terminer.</x:v>
      </x:c>
    </x:row>
    <x:row r="2193" ht="96" customHeight="1">
      <x:c r="A2193" s="115" t="str">
        <x:v>EXT-MONDE-T044-V38</x:v>
      </x:c>
      <x:c r="B2193" s="115" t="str">
        <x:v>EXT-MONDE-T044</x:v>
      </x:c>
      <x:c r="C2193" s="115" t="str">
        <x:v>HLM visitables</x:v>
      </x:c>
      <x:c r="D2193" s="115" t="str">
        <x:v>Ensemble HLM mixte</x:v>
      </x:c>
      <x:c r="E2193" s="115" t="n">
        <x:v>38</x:v>
      </x:c>
      <x:c r="F2193" s="115" t="str">
        <x:v>Inspection physique</x:v>
      </x:c>
      <x:c r="G2193" s="115" t="str">
        <x:v>7 niveaux ; 248 pièces ; 1873 segments de mur ; 10 transitions. Inspection physique ; architecture complète encore ouverte.</x:v>
      </x:c>
      <x:c r="H2193" s="115" t="str">
        <x:v>L 136,75 ; l 151,78 ; hauteur 18,45 m ; choix de composition auteur ; dimensions réelles à documenter</x:v>
      </x:c>
      <x:c r="I2193" s="115" t="str">
        <x:v>À équilibrer</x:v>
      </x:c>
      <x:c r="J2193" s="115" t="str">
        <x:v>Non</x:v>
      </x:c>
      <x:c r="K2193" s="115" t="str">
        <x:v>Pièces décrites, murs, portes, niveaux et mobilier inspectables à l’échelle. Volumes réservés, raccord au seed, butin, rencontres et services de campagne restent à terminer.</x:v>
      </x:c>
    </x:row>
    <x:row r="2194" ht="96" customHeight="1">
      <x:c r="A2194" s="115" t="str">
        <x:v>EXT-MONDE-T044-V39</x:v>
      </x:c>
      <x:c r="B2194" s="115" t="str">
        <x:v>EXT-MONDE-T044</x:v>
      </x:c>
      <x:c r="C2194" s="115" t="str">
        <x:v>HLM visitables</x:v>
      </x:c>
      <x:c r="D2194" s="115" t="str">
        <x:v>Ensemble HLM mixte</x:v>
      </x:c>
      <x:c r="E2194" s="115" t="n">
        <x:v>39</x:v>
      </x:c>
      <x:c r="F2194" s="115" t="str">
        <x:v>Inspection physique</x:v>
      </x:c>
      <x:c r="G2194" s="115" t="str">
        <x:v>7 niveaux ; 248 pièces ; 1873 segments de mur ; 10 transitions. Inspection physique ; architecture complète encore ouverte.</x:v>
      </x:c>
      <x:c r="H2194" s="115" t="str">
        <x:v>L 137 ; l 152,64 ; hauteur 18,55 m ; choix de composition auteur ; dimensions réelles à documenter</x:v>
      </x:c>
      <x:c r="I2194" s="115" t="str">
        <x:v>À équilibrer</x:v>
      </x:c>
      <x:c r="J2194" s="115" t="str">
        <x:v>Non</x:v>
      </x:c>
      <x:c r="K2194" s="115" t="str">
        <x:v>Pièces décrites, murs, portes, niveaux et mobilier inspectables à l’échelle. Volumes réservés, raccord au seed, butin, rencontres et services de campagne restent à terminer.</x:v>
      </x:c>
    </x:row>
    <x:row r="2195" ht="96" customHeight="1">
      <x:c r="A2195" s="115" t="str">
        <x:v>EXT-MONDE-T044-V40</x:v>
      </x:c>
      <x:c r="B2195" s="115" t="str">
        <x:v>EXT-MONDE-T044</x:v>
      </x:c>
      <x:c r="C2195" s="115" t="str">
        <x:v>HLM visitables</x:v>
      </x:c>
      <x:c r="D2195" s="115" t="str">
        <x:v>Ensemble HLM mixte</x:v>
      </x:c>
      <x:c r="E2195" s="115" t="n">
        <x:v>40</x:v>
      </x:c>
      <x:c r="F2195" s="115" t="str">
        <x:v>Inspection physique</x:v>
      </x:c>
      <x:c r="G2195" s="115" t="str">
        <x:v>7 niveaux ; 248 pièces ; 1873 segments de mur ; 10 transitions. Inspection physique ; architecture complète encore ouverte.</x:v>
      </x:c>
      <x:c r="H2195" s="115" t="str">
        <x:v>L 137,25 ; l 153,5 ; hauteur 18,35 m ; choix de composition auteur ; dimensions réelles à documenter</x:v>
      </x:c>
      <x:c r="I2195" s="115" t="str">
        <x:v>À équilibrer</x:v>
      </x:c>
      <x:c r="J2195" s="115" t="str">
        <x:v>Non</x:v>
      </x:c>
      <x:c r="K2195" s="115" t="str">
        <x:v>Pièces décrites, murs, portes, niveaux et mobilier inspectables à l’échelle. Volumes réservés, raccord au seed, butin, rencontres et services de campagne restent à terminer.</x:v>
      </x:c>
    </x:row>
    <x:row r="2196" ht="96" customHeight="1">
      <x:c r="A2196" s="115" t="str">
        <x:v>EXT-MONDE-T044-V41</x:v>
      </x:c>
      <x:c r="B2196" s="115" t="str">
        <x:v>EXT-MONDE-T044</x:v>
      </x:c>
      <x:c r="C2196" s="115" t="str">
        <x:v>HLM visitables</x:v>
      </x:c>
      <x:c r="D2196" s="115" t="str">
        <x:v>Ensemble HLM mixte</x:v>
      </x:c>
      <x:c r="E2196" s="115" t="n">
        <x:v>41</x:v>
      </x:c>
      <x:c r="F2196" s="115" t="str">
        <x:v>Inspection physique</x:v>
      </x:c>
      <x:c r="G2196" s="115" t="str">
        <x:v>8 niveaux ; 296 pièces ; 2231 segments de mur ; 12 transitions. Inspection physique ; architecture complète encore ouverte.</x:v>
      </x:c>
      <x:c r="H2196" s="115" t="str">
        <x:v>L 135 ; l 146,88 ; hauteur 21,35 m ; choix de composition auteur ; dimensions réelles à documenter</x:v>
      </x:c>
      <x:c r="I2196" s="115" t="str">
        <x:v>À équilibrer</x:v>
      </x:c>
      <x:c r="J2196" s="115" t="str">
        <x:v>Non</x:v>
      </x:c>
      <x:c r="K2196" s="115" t="str">
        <x:v>Pièces décrites, murs, portes, niveaux et mobilier inspectables à l’échelle. Volumes réservés, raccord au seed, butin, rencontres et services de campagne restent à terminer.</x:v>
      </x:c>
    </x:row>
    <x:row r="2197" ht="96" customHeight="1">
      <x:c r="A2197" s="115" t="str">
        <x:v>EXT-MONDE-T044-V42</x:v>
      </x:c>
      <x:c r="B2197" s="115" t="str">
        <x:v>EXT-MONDE-T044</x:v>
      </x:c>
      <x:c r="C2197" s="115" t="str">
        <x:v>HLM visitables</x:v>
      </x:c>
      <x:c r="D2197" s="115" t="str">
        <x:v>Ensemble HLM mixte</x:v>
      </x:c>
      <x:c r="E2197" s="115" t="n">
        <x:v>42</x:v>
      </x:c>
      <x:c r="F2197" s="115" t="str">
        <x:v>Inspection physique</x:v>
      </x:c>
      <x:c r="G2197" s="115" t="str">
        <x:v>8 niveaux ; 296 pièces ; 2231 segments de mur ; 12 transitions. Inspection physique ; architecture complète encore ouverte.</x:v>
      </x:c>
      <x:c r="H2197" s="115" t="str">
        <x:v>L 135,25 ; l 147,74 ; hauteur 21,45 m ; choix de composition auteur ; dimensions réelles à documenter</x:v>
      </x:c>
      <x:c r="I2197" s="115" t="str">
        <x:v>À équilibrer</x:v>
      </x:c>
      <x:c r="J2197" s="115" t="str">
        <x:v>Non</x:v>
      </x:c>
      <x:c r="K2197" s="115" t="str">
        <x:v>Pièces décrites, murs, portes, niveaux et mobilier inspectables à l’échelle. Volumes réservés, raccord au seed, butin, rencontres et services de campagne restent à terminer.</x:v>
      </x:c>
    </x:row>
    <x:row r="2198" ht="96" customHeight="1">
      <x:c r="A2198" s="115" t="str">
        <x:v>EXT-MONDE-T044-V43</x:v>
      </x:c>
      <x:c r="B2198" s="115" t="str">
        <x:v>EXT-MONDE-T044</x:v>
      </x:c>
      <x:c r="C2198" s="115" t="str">
        <x:v>HLM visitables</x:v>
      </x:c>
      <x:c r="D2198" s="115" t="str">
        <x:v>Ensemble HLM mixte</x:v>
      </x:c>
      <x:c r="E2198" s="115" t="n">
        <x:v>43</x:v>
      </x:c>
      <x:c r="F2198" s="115" t="str">
        <x:v>Inspection physique</x:v>
      </x:c>
      <x:c r="G2198" s="115" t="str">
        <x:v>8 niveaux ; 296 pièces ; 2231 segments de mur ; 12 transitions. Inspection physique ; architecture complète encore ouverte.</x:v>
      </x:c>
      <x:c r="H2198" s="115" t="str">
        <x:v>L 135,5 ; l 148,6 ; hauteur 21,55 m ; choix de composition auteur ; dimensions réelles à documenter</x:v>
      </x:c>
      <x:c r="I2198" s="115" t="str">
        <x:v>À équilibrer</x:v>
      </x:c>
      <x:c r="J2198" s="115" t="str">
        <x:v>Non</x:v>
      </x:c>
      <x:c r="K2198" s="115" t="str">
        <x:v>Pièces décrites, murs, portes, niveaux et mobilier inspectables à l’échelle. Volumes réservés, raccord au seed, butin, rencontres et services de campagne restent à terminer.</x:v>
      </x:c>
    </x:row>
    <x:row r="2199" ht="96" customHeight="1">
      <x:c r="A2199" s="115" t="str">
        <x:v>EXT-MONDE-T044-V44</x:v>
      </x:c>
      <x:c r="B2199" s="115" t="str">
        <x:v>EXT-MONDE-T044</x:v>
      </x:c>
      <x:c r="C2199" s="115" t="str">
        <x:v>HLM visitables</x:v>
      </x:c>
      <x:c r="D2199" s="115" t="str">
        <x:v>Ensemble HLM mixte</x:v>
      </x:c>
      <x:c r="E2199" s="115" t="n">
        <x:v>44</x:v>
      </x:c>
      <x:c r="F2199" s="115" t="str">
        <x:v>Inspection physique</x:v>
      </x:c>
      <x:c r="G2199" s="115" t="str">
        <x:v>8 niveaux ; 296 pièces ; 2231 segments de mur ; 12 transitions. Inspection physique ; architecture complète encore ouverte.</x:v>
      </x:c>
      <x:c r="H2199" s="115" t="str">
        <x:v>L 135,75 ; l 149,46 ; hauteur 21,35 m ; choix de composition auteur ; dimensions réelles à documenter</x:v>
      </x:c>
      <x:c r="I2199" s="115" t="str">
        <x:v>À équilibrer</x:v>
      </x:c>
      <x:c r="J2199" s="115" t="str">
        <x:v>Non</x:v>
      </x:c>
      <x:c r="K2199" s="115" t="str">
        <x:v>Pièces décrites, murs, portes, niveaux et mobilier inspectables à l’échelle. Volumes réservés, raccord au seed, butin, rencontres et services de campagne restent à terminer.</x:v>
      </x:c>
    </x:row>
    <x:row r="2200" ht="96" customHeight="1">
      <x:c r="A2200" s="115" t="str">
        <x:v>EXT-MONDE-T044-V45</x:v>
      </x:c>
      <x:c r="B2200" s="115" t="str">
        <x:v>EXT-MONDE-T044</x:v>
      </x:c>
      <x:c r="C2200" s="115" t="str">
        <x:v>HLM visitables</x:v>
      </x:c>
      <x:c r="D2200" s="115" t="str">
        <x:v>Ensemble HLM mixte</x:v>
      </x:c>
      <x:c r="E2200" s="115" t="n">
        <x:v>45</x:v>
      </x:c>
      <x:c r="F2200" s="115" t="str">
        <x:v>Inspection physique</x:v>
      </x:c>
      <x:c r="G2200" s="115" t="str">
        <x:v>8 niveaux ; 296 pièces ; 2231 segments de mur ; 12 transitions. Inspection physique ; architecture complète encore ouverte.</x:v>
      </x:c>
      <x:c r="H2200" s="115" t="str">
        <x:v>L 136 ; l 150,32 ; hauteur 21,45 m ; choix de composition auteur ; dimensions réelles à documenter</x:v>
      </x:c>
      <x:c r="I2200" s="115" t="str">
        <x:v>À équilibrer</x:v>
      </x:c>
      <x:c r="J2200" s="115" t="str">
        <x:v>Non</x:v>
      </x:c>
      <x:c r="K2200" s="115" t="str">
        <x:v>Pièces décrites, murs, portes, niveaux et mobilier inspectables à l’échelle. Volumes réservés, raccord au seed, butin, rencontres et services de campagne restent à terminer.</x:v>
      </x:c>
    </x:row>
    <x:row r="2201" ht="96" customHeight="1">
      <x:c r="A2201" s="115" t="str">
        <x:v>EXT-MONDE-T044-V46</x:v>
      </x:c>
      <x:c r="B2201" s="115" t="str">
        <x:v>EXT-MONDE-T044</x:v>
      </x:c>
      <x:c r="C2201" s="115" t="str">
        <x:v>HLM visitables</x:v>
      </x:c>
      <x:c r="D2201" s="115" t="str">
        <x:v>Ensemble HLM mixte</x:v>
      </x:c>
      <x:c r="E2201" s="115" t="n">
        <x:v>46</x:v>
      </x:c>
      <x:c r="F2201" s="115" t="str">
        <x:v>Inspection physique</x:v>
      </x:c>
      <x:c r="G2201" s="115" t="str">
        <x:v>8 niveaux ; 296 pièces ; 2231 segments de mur ; 12 transitions. Inspection physique ; architecture complète encore ouverte.</x:v>
      </x:c>
      <x:c r="H2201" s="115" t="str">
        <x:v>L 136,25 ; l 150,38 ; hauteur 21,55 m ; choix de composition auteur ; dimensions réelles à documenter</x:v>
      </x:c>
      <x:c r="I2201" s="115" t="str">
        <x:v>À équilibrer</x:v>
      </x:c>
      <x:c r="J2201" s="115" t="str">
        <x:v>Non</x:v>
      </x:c>
      <x:c r="K2201" s="115" t="str">
        <x:v>Pièces décrites, murs, portes, niveaux et mobilier inspectables à l’échelle. Volumes réservés, raccord au seed, butin, rencontres et services de campagne restent à terminer.</x:v>
      </x:c>
    </x:row>
    <x:row r="2202" ht="96" customHeight="1">
      <x:c r="A2202" s="115" t="str">
        <x:v>EXT-MONDE-T044-V47</x:v>
      </x:c>
      <x:c r="B2202" s="115" t="str">
        <x:v>EXT-MONDE-T044</x:v>
      </x:c>
      <x:c r="C2202" s="115" t="str">
        <x:v>HLM visitables</x:v>
      </x:c>
      <x:c r="D2202" s="115" t="str">
        <x:v>Ensemble HLM mixte</x:v>
      </x:c>
      <x:c r="E2202" s="115" t="n">
        <x:v>47</x:v>
      </x:c>
      <x:c r="F2202" s="115" t="str">
        <x:v>Inspection physique</x:v>
      </x:c>
      <x:c r="G2202" s="115" t="str">
        <x:v>8 niveaux ; 296 pièces ; 2231 segments de mur ; 12 transitions. Inspection physique ; architecture complète encore ouverte.</x:v>
      </x:c>
      <x:c r="H2202" s="115" t="str">
        <x:v>L 136,5 ; l 151,24 ; hauteur 21,35 m ; choix de composition auteur ; dimensions réelles à documenter</x:v>
      </x:c>
      <x:c r="I2202" s="115" t="str">
        <x:v>À équilibrer</x:v>
      </x:c>
      <x:c r="J2202" s="115" t="str">
        <x:v>Non</x:v>
      </x:c>
      <x:c r="K2202" s="115" t="str">
        <x:v>Pièces décrites, murs, portes, niveaux et mobilier inspectables à l’échelle. Volumes réservés, raccord au seed, butin, rencontres et services de campagne restent à terminer.</x:v>
      </x:c>
    </x:row>
    <x:row r="2203" ht="96" customHeight="1">
      <x:c r="A2203" s="115" t="str">
        <x:v>EXT-MONDE-T044-V48</x:v>
      </x:c>
      <x:c r="B2203" s="115" t="str">
        <x:v>EXT-MONDE-T044</x:v>
      </x:c>
      <x:c r="C2203" s="115" t="str">
        <x:v>HLM visitables</x:v>
      </x:c>
      <x:c r="D2203" s="115" t="str">
        <x:v>Ensemble HLM mixte</x:v>
      </x:c>
      <x:c r="E2203" s="115" t="n">
        <x:v>48</x:v>
      </x:c>
      <x:c r="F2203" s="115" t="str">
        <x:v>Inspection physique</x:v>
      </x:c>
      <x:c r="G2203" s="115" t="str">
        <x:v>8 niveaux ; 296 pièces ; 2231 segments de mur ; 12 transitions. Inspection physique ; architecture complète encore ouverte.</x:v>
      </x:c>
      <x:c r="H2203" s="115" t="str">
        <x:v>L 136,75 ; l 152,1 ; hauteur 21,45 m ; choix de composition auteur ; dimensions réelles à documenter</x:v>
      </x:c>
      <x:c r="I2203" s="115" t="str">
        <x:v>À équilibrer</x:v>
      </x:c>
      <x:c r="J2203" s="115" t="str">
        <x:v>Non</x:v>
      </x:c>
      <x:c r="K2203" s="115" t="str">
        <x:v>Pièces décrites, murs, portes, niveaux et mobilier inspectables à l’échelle. Volumes réservés, raccord au seed, butin, rencontres et services de campagne restent à terminer.</x:v>
      </x:c>
    </x:row>
    <x:row r="2204" ht="96" customHeight="1">
      <x:c r="A2204" s="115" t="str">
        <x:v>EXT-MONDE-T044-V49</x:v>
      </x:c>
      <x:c r="B2204" s="115" t="str">
        <x:v>EXT-MONDE-T044</x:v>
      </x:c>
      <x:c r="C2204" s="115" t="str">
        <x:v>HLM visitables</x:v>
      </x:c>
      <x:c r="D2204" s="115" t="str">
        <x:v>Ensemble HLM mixte</x:v>
      </x:c>
      <x:c r="E2204" s="115" t="n">
        <x:v>49</x:v>
      </x:c>
      <x:c r="F2204" s="115" t="str">
        <x:v>Inspection physique</x:v>
      </x:c>
      <x:c r="G2204" s="115" t="str">
        <x:v>8 niveaux ; 296 pièces ; 2231 segments de mur ; 12 transitions. Inspection physique ; architecture complète encore ouverte.</x:v>
      </x:c>
      <x:c r="H2204" s="115" t="str">
        <x:v>L 137 ; l 152,96 ; hauteur 21,55 m ; choix de composition auteur ; dimensions réelles à documenter</x:v>
      </x:c>
      <x:c r="I2204" s="115" t="str">
        <x:v>À équilibrer</x:v>
      </x:c>
      <x:c r="J2204" s="115" t="str">
        <x:v>Non</x:v>
      </x:c>
      <x:c r="K2204" s="115" t="str">
        <x:v>Pièces décrites, murs, portes, niveaux et mobilier inspectables à l’échelle. Volumes réservés, raccord au seed, butin, rencontres et services de campagne restent à terminer.</x:v>
      </x:c>
    </x:row>
    <x:row r="2205" ht="96" customHeight="1">
      <x:c r="A2205" s="115" t="str">
        <x:v>EXT-MONDE-T044-V50</x:v>
      </x:c>
      <x:c r="B2205" s="115" t="str">
        <x:v>EXT-MONDE-T044</x:v>
      </x:c>
      <x:c r="C2205" s="115" t="str">
        <x:v>HLM visitables</x:v>
      </x:c>
      <x:c r="D2205" s="115" t="str">
        <x:v>Ensemble HLM mixte</x:v>
      </x:c>
      <x:c r="E2205" s="115" t="n">
        <x:v>50</x:v>
      </x:c>
      <x:c r="F2205" s="115" t="str">
        <x:v>Inspection physique</x:v>
      </x:c>
      <x:c r="G2205" s="115" t="str">
        <x:v>8 niveaux ; 296 pièces ; 2231 segments de mur ; 12 transitions. Inspection physique ; architecture complète encore ouverte.</x:v>
      </x:c>
      <x:c r="H2205" s="115" t="str">
        <x:v>L 137,25 ; l 153,82 ; hauteur 21,35 m ; choix de composition auteur ; dimensions réelles à documenter</x:v>
      </x:c>
      <x:c r="I2205" s="115" t="str">
        <x:v>À équilibrer</x:v>
      </x:c>
      <x:c r="J2205" s="115" t="str">
        <x:v>Non</x:v>
      </x:c>
      <x:c r="K2205" s="115" t="str">
        <x:v>Pièces décrites, murs, portes, niveaux et mobilier inspectables à l’échelle. Volumes réservés, raccord au seed, butin, rencontres et services de campagne restent à terminer.</x:v>
      </x:c>
    </x:row>
    <x:row r="2206" ht="96" customHeight="1">
      <x:c r="A2206" s="115" t="str">
        <x:v>EXT-MONDE-T045-V01</x:v>
      </x:c>
      <x:c r="B2206" s="115" t="str">
        <x:v>EXT-MONDE-T045</x:v>
      </x:c>
      <x:c r="C2206" s="115" t="str">
        <x:v>Trailer parks</x:v>
      </x:c>
      <x:c r="D2206" s="115" t="str">
        <x:v>Parc résidentiel de mobil-homes</x:v>
      </x:c>
      <x:c r="E2206" s="115" t="n">
        <x:v>1</x:v>
      </x:c>
      <x:c r="F2206" s="115" t="str">
        <x:v>Inspection physique</x:v>
      </x:c>
      <x:c r="G2206" s="115" t="str">
        <x:v>1 niveaux ; 36 pièces ; 265 segments de mur ; 0 transitions. Inspection physique ; architecture complète encore ouverte.</x:v>
      </x:c>
      <x:c r="H2206" s="115" t="str">
        <x:v>L 122 ; l 118 ; hauteur 3,2 m ; choix de composition auteur ; dimensions réelles à documenter</x:v>
      </x:c>
      <x:c r="I2206" s="115" t="str">
        <x:v>À équilibrer</x:v>
      </x:c>
      <x:c r="J2206" s="115" t="str">
        <x:v>Non</x:v>
      </x:c>
      <x:c r="K2206" s="115" t="str">
        <x:v>Pièces décrites, murs, portes, niveaux et mobilier inspectables à l’échelle. Volumes réservés, raccord au seed, butin, rencontres et services de campagne restent à terminer.</x:v>
      </x:c>
    </x:row>
    <x:row r="2207" ht="96" customHeight="1">
      <x:c r="A2207" s="115" t="str">
        <x:v>EXT-MONDE-T045-V02</x:v>
      </x:c>
      <x:c r="B2207" s="115" t="str">
        <x:v>EXT-MONDE-T045</x:v>
      </x:c>
      <x:c r="C2207" s="115" t="str">
        <x:v>Trailer parks</x:v>
      </x:c>
      <x:c r="D2207" s="115" t="str">
        <x:v>Parc résidentiel de mobil-homes</x:v>
      </x:c>
      <x:c r="E2207" s="115" t="n">
        <x:v>2</x:v>
      </x:c>
      <x:c r="F2207" s="115" t="str">
        <x:v>Inspection physique</x:v>
      </x:c>
      <x:c r="G2207" s="115" t="str">
        <x:v>1 niveaux ; 48 pièces ; 351 segments de mur ; 0 transitions. Inspection physique ; architecture complète encore ouverte.</x:v>
      </x:c>
      <x:c r="H2207" s="115" t="str">
        <x:v>L 122 ; l 118 ; hauteur 3,2 m ; choix de composition auteur ; dimensions réelles à documenter</x:v>
      </x:c>
      <x:c r="I2207" s="115" t="str">
        <x:v>À équilibrer</x:v>
      </x:c>
      <x:c r="J2207" s="115" t="str">
        <x:v>Non</x:v>
      </x:c>
      <x:c r="K2207" s="115" t="str">
        <x:v>Pièces décrites, murs, portes, niveaux et mobilier inspectables à l’échelle. Volumes réservés, raccord au seed, butin, rencontres et services de campagne restent à terminer.</x:v>
      </x:c>
    </x:row>
    <x:row r="2208" ht="96" customHeight="1">
      <x:c r="A2208" s="115" t="str">
        <x:v>EXT-MONDE-T045-V03</x:v>
      </x:c>
      <x:c r="B2208" s="115" t="str">
        <x:v>EXT-MONDE-T045</x:v>
      </x:c>
      <x:c r="C2208" s="115" t="str">
        <x:v>Trailer parks</x:v>
      </x:c>
      <x:c r="D2208" s="115" t="str">
        <x:v>Parc résidentiel de mobil-homes</x:v>
      </x:c>
      <x:c r="E2208" s="115" t="n">
        <x:v>3</x:v>
      </x:c>
      <x:c r="F2208" s="115" t="str">
        <x:v>Inspection physique</x:v>
      </x:c>
      <x:c r="G2208" s="115" t="str">
        <x:v>1 niveaux ; 60 pièces ; 437 segments de mur ; 0 transitions. Inspection physique ; architecture complète encore ouverte.</x:v>
      </x:c>
      <x:c r="H2208" s="115" t="str">
        <x:v>L 122 ; l 138 ; hauteur 3,2 m ; choix de composition auteur ; dimensions réelles à documenter</x:v>
      </x:c>
      <x:c r="I2208" s="115" t="str">
        <x:v>À équilibrer</x:v>
      </x:c>
      <x:c r="J2208" s="115" t="str">
        <x:v>Non</x:v>
      </x:c>
      <x:c r="K2208" s="115" t="str">
        <x:v>Pièces décrites, murs, portes, niveaux et mobilier inspectables à l’échelle. Volumes réservés, raccord au seed, butin, rencontres et services de campagne restent à terminer.</x:v>
      </x:c>
    </x:row>
    <x:row r="2209" ht="96" customHeight="1">
      <x:c r="A2209" s="115" t="str">
        <x:v>EXT-MONDE-T045-V04</x:v>
      </x:c>
      <x:c r="B2209" s="115" t="str">
        <x:v>EXT-MONDE-T045</x:v>
      </x:c>
      <x:c r="C2209" s="115" t="str">
        <x:v>Trailer parks</x:v>
      </x:c>
      <x:c r="D2209" s="115" t="str">
        <x:v>Parc résidentiel de mobil-homes</x:v>
      </x:c>
      <x:c r="E2209" s="115" t="n">
        <x:v>4</x:v>
      </x:c>
      <x:c r="F2209" s="115" t="str">
        <x:v>Inspection physique</x:v>
      </x:c>
      <x:c r="G2209" s="115" t="str">
        <x:v>1 niveaux ; 30 pièces ; 222 segments de mur ; 0 transitions. Inspection physique ; architecture complète encore ouverte.</x:v>
      </x:c>
      <x:c r="H2209" s="115" t="str">
        <x:v>L 84 ; l 118 ; hauteur 3,2 m ; choix de composition auteur ; dimensions réelles à documenter</x:v>
      </x:c>
      <x:c r="I2209" s="115" t="str">
        <x:v>À équilibrer</x:v>
      </x:c>
      <x:c r="J2209" s="115" t="str">
        <x:v>Non</x:v>
      </x:c>
      <x:c r="K2209" s="115" t="str">
        <x:v>Pièces décrites, murs, portes, niveaux et mobilier inspectables à l’échelle. Volumes réservés, raccord au seed, butin, rencontres et services de campagne restent à terminer.</x:v>
      </x:c>
    </x:row>
    <x:row r="2210" ht="96" customHeight="1">
      <x:c r="A2210" s="115" t="str">
        <x:v>EXT-MONDE-T045-V05</x:v>
      </x:c>
      <x:c r="B2210" s="115" t="str">
        <x:v>EXT-MONDE-T045</x:v>
      </x:c>
      <x:c r="C2210" s="115" t="str">
        <x:v>Trailer parks</x:v>
      </x:c>
      <x:c r="D2210" s="115" t="str">
        <x:v>Parc résidentiel de mobil-homes</x:v>
      </x:c>
      <x:c r="E2210" s="115" t="n">
        <x:v>5</x:v>
      </x:c>
      <x:c r="F2210" s="115" t="str">
        <x:v>Inspection physique</x:v>
      </x:c>
      <x:c r="G2210" s="115" t="str">
        <x:v>1 niveaux ; 36 pièces ; 265 segments de mur ; 0 transitions. Inspection physique ; architecture complète encore ouverte.</x:v>
      </x:c>
      <x:c r="H2210" s="115" t="str">
        <x:v>L 84 ; l 138 ; hauteur 3,2 m ; choix de composition auteur ; dimensions réelles à documenter</x:v>
      </x:c>
      <x:c r="I2210" s="115" t="str">
        <x:v>À équilibrer</x:v>
      </x:c>
      <x:c r="J2210" s="115" t="str">
        <x:v>Non</x:v>
      </x:c>
      <x:c r="K2210" s="115" t="str">
        <x:v>Pièces décrites, murs, portes, niveaux et mobilier inspectables à l’échelle. Volumes réservés, raccord au seed, butin, rencontres et services de campagne restent à terminer.</x:v>
      </x:c>
    </x:row>
    <x:row r="2211" ht="96" customHeight="1">
      <x:c r="A2211" s="115" t="str">
        <x:v>EXT-MONDE-T045-V06</x:v>
      </x:c>
      <x:c r="B2211" s="115" t="str">
        <x:v>EXT-MONDE-T045</x:v>
      </x:c>
      <x:c r="C2211" s="115" t="str">
        <x:v>Trailer parks</x:v>
      </x:c>
      <x:c r="D2211" s="115" t="str">
        <x:v>Parc résidentiel de mobil-homes</x:v>
      </x:c>
      <x:c r="E2211" s="115" t="n">
        <x:v>6</x:v>
      </x:c>
      <x:c r="F2211" s="115" t="str">
        <x:v>Inspection physique</x:v>
      </x:c>
      <x:c r="G2211" s="115" t="str">
        <x:v>1 niveaux ; 48 pièces ; 351 segments de mur ; 0 transitions. Inspection physique ; architecture complète encore ouverte.</x:v>
      </x:c>
      <x:c r="H2211" s="115" t="str">
        <x:v>L 160 ; l 118 ; hauteur 3,2 m ; choix de composition auteur ; dimensions réelles à documenter</x:v>
      </x:c>
      <x:c r="I2211" s="115" t="str">
        <x:v>À équilibrer</x:v>
      </x:c>
      <x:c r="J2211" s="115" t="str">
        <x:v>Non</x:v>
      </x:c>
      <x:c r="K2211" s="115" t="str">
        <x:v>Pièces décrites, murs, portes, niveaux et mobilier inspectables à l’échelle. Volumes réservés, raccord au seed, butin, rencontres et services de campagne restent à terminer.</x:v>
      </x:c>
    </x:row>
    <x:row r="2212" ht="96" customHeight="1">
      <x:c r="A2212" s="115" t="str">
        <x:v>EXT-MONDE-T045-V07</x:v>
      </x:c>
      <x:c r="B2212" s="115" t="str">
        <x:v>EXT-MONDE-T045</x:v>
      </x:c>
      <x:c r="C2212" s="115" t="str">
        <x:v>Trailer parks</x:v>
      </x:c>
      <x:c r="D2212" s="115" t="str">
        <x:v>Parc résidentiel de mobil-homes</x:v>
      </x:c>
      <x:c r="E2212" s="115" t="n">
        <x:v>7</x:v>
      </x:c>
      <x:c r="F2212" s="115" t="str">
        <x:v>Inspection physique</x:v>
      </x:c>
      <x:c r="G2212" s="115" t="str">
        <x:v>1 niveaux ; 66 pièces ; 480 segments de mur ; 0 transitions. Inspection physique ; architecture complète encore ouverte.</x:v>
      </x:c>
      <x:c r="H2212" s="115" t="str">
        <x:v>L 160 ; l 118 ; hauteur 3,2 m ; choix de composition auteur ; dimensions réelles à documenter</x:v>
      </x:c>
      <x:c r="I2212" s="115" t="str">
        <x:v>À équilibrer</x:v>
      </x:c>
      <x:c r="J2212" s="115" t="str">
        <x:v>Non</x:v>
      </x:c>
      <x:c r="K2212" s="115" t="str">
        <x:v>Pièces décrites, murs, portes, niveaux et mobilier inspectables à l’échelle. Volumes réservés, raccord au seed, butin, rencontres et services de campagne restent à terminer.</x:v>
      </x:c>
    </x:row>
    <x:row r="2213" ht="96" customHeight="1">
      <x:c r="A2213" s="115" t="str">
        <x:v>EXT-MONDE-T045-V08</x:v>
      </x:c>
      <x:c r="B2213" s="115" t="str">
        <x:v>EXT-MONDE-T045</x:v>
      </x:c>
      <x:c r="C2213" s="115" t="str">
        <x:v>Trailer parks</x:v>
      </x:c>
      <x:c r="D2213" s="115" t="str">
        <x:v>Parc résidentiel de mobil-homes</x:v>
      </x:c>
      <x:c r="E2213" s="115" t="n">
        <x:v>8</x:v>
      </x:c>
      <x:c r="F2213" s="115" t="str">
        <x:v>Inspection physique</x:v>
      </x:c>
      <x:c r="G2213" s="115" t="str">
        <x:v>1 niveaux ; 54 pièces ; 394 segments de mur ; 0 transitions. Inspection physique ; architecture complète encore ouverte.</x:v>
      </x:c>
      <x:c r="H2213" s="115" t="str">
        <x:v>L 122 ; l 138 ; hauteur 3,2 m ; choix de composition auteur ; dimensions réelles à documenter</x:v>
      </x:c>
      <x:c r="I2213" s="115" t="str">
        <x:v>À équilibrer</x:v>
      </x:c>
      <x:c r="J2213" s="115" t="str">
        <x:v>Non</x:v>
      </x:c>
      <x:c r="K2213" s="115" t="str">
        <x:v>Pièces décrites, murs, portes, niveaux et mobilier inspectables à l’échelle. Volumes réservés, raccord au seed, butin, rencontres et services de campagne restent à terminer.</x:v>
      </x:c>
    </x:row>
    <x:row r="2214" ht="96" customHeight="1">
      <x:c r="A2214" s="115" t="str">
        <x:v>EXT-MONDE-T045-V09</x:v>
      </x:c>
      <x:c r="B2214" s="115" t="str">
        <x:v>EXT-MONDE-T045</x:v>
      </x:c>
      <x:c r="C2214" s="115" t="str">
        <x:v>Trailer parks</x:v>
      </x:c>
      <x:c r="D2214" s="115" t="str">
        <x:v>Parc résidentiel de mobil-homes</x:v>
      </x:c>
      <x:c r="E2214" s="115" t="n">
        <x:v>9</x:v>
      </x:c>
      <x:c r="F2214" s="115" t="str">
        <x:v>Inspection physique</x:v>
      </x:c>
      <x:c r="G2214" s="115" t="str">
        <x:v>1 niveaux ; 42 pièces ; 308 segments de mur ; 0 transitions. Inspection physique ; architecture complète encore ouverte.</x:v>
      </x:c>
      <x:c r="H2214" s="115" t="str">
        <x:v>L 122 ; l 118 ; hauteur 3,2 m ; choix de composition auteur ; dimensions réelles à documenter</x:v>
      </x:c>
      <x:c r="I2214" s="115" t="str">
        <x:v>À équilibrer</x:v>
      </x:c>
      <x:c r="J2214" s="115" t="str">
        <x:v>Non</x:v>
      </x:c>
      <x:c r="K2214" s="115" t="str">
        <x:v>Pièces décrites, murs, portes, niveaux et mobilier inspectables à l’échelle. Volumes réservés, raccord au seed, butin, rencontres et services de campagne restent à terminer.</x:v>
      </x:c>
    </x:row>
    <x:row r="2215" ht="96" customHeight="1">
      <x:c r="A2215" s="115" t="str">
        <x:v>EXT-MONDE-T045-V10</x:v>
      </x:c>
      <x:c r="B2215" s="115" t="str">
        <x:v>EXT-MONDE-T045</x:v>
      </x:c>
      <x:c r="C2215" s="115" t="str">
        <x:v>Trailer parks</x:v>
      </x:c>
      <x:c r="D2215" s="115" t="str">
        <x:v>Parc résidentiel de mobil-homes</x:v>
      </x:c>
      <x:c r="E2215" s="115" t="n">
        <x:v>10</x:v>
      </x:c>
      <x:c r="F2215" s="115" t="str">
        <x:v>Inspection physique</x:v>
      </x:c>
      <x:c r="G2215" s="115" t="str">
        <x:v>1 niveaux ; 72 pièces ; 523 segments de mur ; 0 transitions. Inspection physique ; architecture complète encore ouverte.</x:v>
      </x:c>
      <x:c r="H2215" s="115" t="str">
        <x:v>L 160 ; l 138 ; hauteur 3,2 m ; choix de composition auteur ; dimensions réelles à documenter</x:v>
      </x:c>
      <x:c r="I2215" s="115" t="str">
        <x:v>À équilibrer</x:v>
      </x:c>
      <x:c r="J2215" s="115" t="str">
        <x:v>Non</x:v>
      </x:c>
      <x:c r="K2215" s="115" t="str">
        <x:v>Pièces décrites, murs, portes, niveaux et mobilier inspectables à l’échelle. Volumes réservés, raccord au seed, butin, rencontres et services de campagne restent à terminer.</x:v>
      </x:c>
    </x:row>
    <x:row r="2216" ht="96" customHeight="1">
      <x:c r="A2216" s="115" t="str">
        <x:v>EXT-MONDE-T045-V11</x:v>
      </x:c>
      <x:c r="B2216" s="115" t="str">
        <x:v>EXT-MONDE-T045</x:v>
      </x:c>
      <x:c r="C2216" s="115" t="str">
        <x:v>Trailer parks</x:v>
      </x:c>
      <x:c r="D2216" s="115" t="str">
        <x:v>Parc résidentiel de mobil-homes</x:v>
      </x:c>
      <x:c r="E2216" s="115" t="n">
        <x:v>11</x:v>
      </x:c>
      <x:c r="F2216" s="115" t="str">
        <x:v>Inspection physique</x:v>
      </x:c>
      <x:c r="G2216" s="115" t="str">
        <x:v>1 niveaux ; 36 pièces ; 265 segments de mur ; 0 transitions. Inspection physique ; architecture complète encore ouverte.</x:v>
      </x:c>
      <x:c r="H2216" s="115" t="str">
        <x:v>L 126 ; l 118 ; hauteur 3,2 m ; choix de composition auteur ; dimensions réelles à documenter</x:v>
      </x:c>
      <x:c r="I2216" s="115" t="str">
        <x:v>À équilibrer</x:v>
      </x:c>
      <x:c r="J2216" s="115" t="str">
        <x:v>Non</x:v>
      </x:c>
      <x:c r="K2216" s="115" t="str">
        <x:v>Pièces décrites, murs, portes, niveaux et mobilier inspectables à l’échelle. Volumes réservés, raccord au seed, butin, rencontres et services de campagne restent à terminer.</x:v>
      </x:c>
    </x:row>
    <x:row r="2217" ht="96" customHeight="1">
      <x:c r="A2217" s="115" t="str">
        <x:v>EXT-MONDE-T045-V12</x:v>
      </x:c>
      <x:c r="B2217" s="115" t="str">
        <x:v>EXT-MONDE-T045</x:v>
      </x:c>
      <x:c r="C2217" s="115" t="str">
        <x:v>Trailer parks</x:v>
      </x:c>
      <x:c r="D2217" s="115" t="str">
        <x:v>Parc résidentiel de mobil-homes</x:v>
      </x:c>
      <x:c r="E2217" s="115" t="n">
        <x:v>12</x:v>
      </x:c>
      <x:c r="F2217" s="115" t="str">
        <x:v>Inspection physique</x:v>
      </x:c>
      <x:c r="G2217" s="115" t="str">
        <x:v>1 niveaux ; 48 pièces ; 351 segments de mur ; 0 transitions. Inspection physique ; architecture complète encore ouverte.</x:v>
      </x:c>
      <x:c r="H2217" s="115" t="str">
        <x:v>L 126 ; l 119 ; hauteur 3,2 m ; choix de composition auteur ; dimensions réelles à documenter</x:v>
      </x:c>
      <x:c r="I2217" s="115" t="str">
        <x:v>À équilibrer</x:v>
      </x:c>
      <x:c r="J2217" s="115" t="str">
        <x:v>Non</x:v>
      </x:c>
      <x:c r="K2217" s="115" t="str">
        <x:v>Pièces décrites, murs, portes, niveaux et mobilier inspectables à l’échelle. Volumes réservés, raccord au seed, butin, rencontres et services de campagne restent à terminer.</x:v>
      </x:c>
    </x:row>
    <x:row r="2218" ht="96" customHeight="1">
      <x:c r="A2218" s="115" t="str">
        <x:v>EXT-MONDE-T045-V13</x:v>
      </x:c>
      <x:c r="B2218" s="115" t="str">
        <x:v>EXT-MONDE-T045</x:v>
      </x:c>
      <x:c r="C2218" s="115" t="str">
        <x:v>Trailer parks</x:v>
      </x:c>
      <x:c r="D2218" s="115" t="str">
        <x:v>Parc résidentiel de mobil-homes</x:v>
      </x:c>
      <x:c r="E2218" s="115" t="n">
        <x:v>13</x:v>
      </x:c>
      <x:c r="F2218" s="115" t="str">
        <x:v>Inspection physique</x:v>
      </x:c>
      <x:c r="G2218" s="115" t="str">
        <x:v>1 niveaux ; 60 pièces ; 437 segments de mur ; 0 transitions. Inspection physique ; architecture complète encore ouverte.</x:v>
      </x:c>
      <x:c r="H2218" s="115" t="str">
        <x:v>L 126 ; l 142 ; hauteur 3,2 m ; choix de composition auteur ; dimensions réelles à documenter</x:v>
      </x:c>
      <x:c r="I2218" s="115" t="str">
        <x:v>À équilibrer</x:v>
      </x:c>
      <x:c r="J2218" s="115" t="str">
        <x:v>Non</x:v>
      </x:c>
      <x:c r="K2218" s="115" t="str">
        <x:v>Pièces décrites, murs, portes, niveaux et mobilier inspectables à l’échelle. Volumes réservés, raccord au seed, butin, rencontres et services de campagne restent à terminer.</x:v>
      </x:c>
    </x:row>
    <x:row r="2219" ht="96" customHeight="1">
      <x:c r="A2219" s="115" t="str">
        <x:v>EXT-MONDE-T045-V14</x:v>
      </x:c>
      <x:c r="B2219" s="115" t="str">
        <x:v>EXT-MONDE-T045</x:v>
      </x:c>
      <x:c r="C2219" s="115" t="str">
        <x:v>Trailer parks</x:v>
      </x:c>
      <x:c r="D2219" s="115" t="str">
        <x:v>Parc résidentiel de mobil-homes</x:v>
      </x:c>
      <x:c r="E2219" s="115" t="n">
        <x:v>14</x:v>
      </x:c>
      <x:c r="F2219" s="115" t="str">
        <x:v>Inspection physique</x:v>
      </x:c>
      <x:c r="G2219" s="115" t="str">
        <x:v>1 niveaux ; 30 pièces ; 222 segments de mur ; 0 transitions. Inspection physique ; architecture complète encore ouverte.</x:v>
      </x:c>
      <x:c r="H2219" s="115" t="str">
        <x:v>L 86 ; l 119 ; hauteur 3,2 m ; choix de composition auteur ; dimensions réelles à documenter</x:v>
      </x:c>
      <x:c r="I2219" s="115" t="str">
        <x:v>À équilibrer</x:v>
      </x:c>
      <x:c r="J2219" s="115" t="str">
        <x:v>Non</x:v>
      </x:c>
      <x:c r="K2219" s="115" t="str">
        <x:v>Pièces décrites, murs, portes, niveaux et mobilier inspectables à l’échelle. Volumes réservés, raccord au seed, butin, rencontres et services de campagne restent à terminer.</x:v>
      </x:c>
    </x:row>
    <x:row r="2220" ht="96" customHeight="1">
      <x:c r="A2220" s="115" t="str">
        <x:v>EXT-MONDE-T045-V15</x:v>
      </x:c>
      <x:c r="B2220" s="115" t="str">
        <x:v>EXT-MONDE-T045</x:v>
      </x:c>
      <x:c r="C2220" s="115" t="str">
        <x:v>Trailer parks</x:v>
      </x:c>
      <x:c r="D2220" s="115" t="str">
        <x:v>Parc résidentiel de mobil-homes</x:v>
      </x:c>
      <x:c r="E2220" s="115" t="n">
        <x:v>15</x:v>
      </x:c>
      <x:c r="F2220" s="115" t="str">
        <x:v>Inspection physique</x:v>
      </x:c>
      <x:c r="G2220" s="115" t="str">
        <x:v>1 niveaux ; 36 pièces ; 265 segments de mur ; 0 transitions. Inspection physique ; architecture complète encore ouverte.</x:v>
      </x:c>
      <x:c r="H2220" s="115" t="str">
        <x:v>L 86 ; l 142 ; hauteur 3,2 m ; choix de composition auteur ; dimensions réelles à documenter</x:v>
      </x:c>
      <x:c r="I2220" s="115" t="str">
        <x:v>À équilibrer</x:v>
      </x:c>
      <x:c r="J2220" s="115" t="str">
        <x:v>Non</x:v>
      </x:c>
      <x:c r="K2220" s="115" t="str">
        <x:v>Pièces décrites, murs, portes, niveaux et mobilier inspectables à l’échelle. Volumes réservés, raccord au seed, butin, rencontres et services de campagne restent à terminer.</x:v>
      </x:c>
    </x:row>
    <x:row r="2221" ht="96" customHeight="1">
      <x:c r="A2221" s="115" t="str">
        <x:v>EXT-MONDE-T045-V16</x:v>
      </x:c>
      <x:c r="B2221" s="115" t="str">
        <x:v>EXT-MONDE-T045</x:v>
      </x:c>
      <x:c r="C2221" s="115" t="str">
        <x:v>Trailer parks</x:v>
      </x:c>
      <x:c r="D2221" s="115" t="str">
        <x:v>Parc résidentiel de mobil-homes</x:v>
      </x:c>
      <x:c r="E2221" s="115" t="n">
        <x:v>16</x:v>
      </x:c>
      <x:c r="F2221" s="115" t="str">
        <x:v>Inspection physique</x:v>
      </x:c>
      <x:c r="G2221" s="115" t="str">
        <x:v>1 niveaux ; 48 pièces ; 351 segments de mur ; 0 transitions. Inspection physique ; architecture complète encore ouverte.</x:v>
      </x:c>
      <x:c r="H2221" s="115" t="str">
        <x:v>L 166 ; l 118 ; hauteur 3,2 m ; choix de composition auteur ; dimensions réelles à documenter</x:v>
      </x:c>
      <x:c r="I2221" s="115" t="str">
        <x:v>À équilibrer</x:v>
      </x:c>
      <x:c r="J2221" s="115" t="str">
        <x:v>Non</x:v>
      </x:c>
      <x:c r="K2221" s="115" t="str">
        <x:v>Pièces décrites, murs, portes, niveaux et mobilier inspectables à l’échelle. Volumes réservés, raccord au seed, butin, rencontres et services de campagne restent à terminer.</x:v>
      </x:c>
    </x:row>
    <x:row r="2222" ht="96" customHeight="1">
      <x:c r="A2222" s="115" t="str">
        <x:v>EXT-MONDE-T045-V17</x:v>
      </x:c>
      <x:c r="B2222" s="115" t="str">
        <x:v>EXT-MONDE-T045</x:v>
      </x:c>
      <x:c r="C2222" s="115" t="str">
        <x:v>Trailer parks</x:v>
      </x:c>
      <x:c r="D2222" s="115" t="str">
        <x:v>Parc résidentiel de mobil-homes</x:v>
      </x:c>
      <x:c r="E2222" s="115" t="n">
        <x:v>17</x:v>
      </x:c>
      <x:c r="F2222" s="115" t="str">
        <x:v>Inspection physique</x:v>
      </x:c>
      <x:c r="G2222" s="115" t="str">
        <x:v>1 niveaux ; 66 pièces ; 480 segments de mur ; 0 transitions. Inspection physique ; architecture complète encore ouverte.</x:v>
      </x:c>
      <x:c r="H2222" s="115" t="str">
        <x:v>L 166 ; l 119 ; hauteur 3,2 m ; choix de composition auteur ; dimensions réelles à documenter</x:v>
      </x:c>
      <x:c r="I2222" s="115" t="str">
        <x:v>À équilibrer</x:v>
      </x:c>
      <x:c r="J2222" s="115" t="str">
        <x:v>Non</x:v>
      </x:c>
      <x:c r="K2222" s="115" t="str">
        <x:v>Pièces décrites, murs, portes, niveaux et mobilier inspectables à l’échelle. Volumes réservés, raccord au seed, butin, rencontres et services de campagne restent à terminer.</x:v>
      </x:c>
    </x:row>
    <x:row r="2223" ht="96" customHeight="1">
      <x:c r="A2223" s="115" t="str">
        <x:v>EXT-MONDE-T045-V18</x:v>
      </x:c>
      <x:c r="B2223" s="115" t="str">
        <x:v>EXT-MONDE-T045</x:v>
      </x:c>
      <x:c r="C2223" s="115" t="str">
        <x:v>Trailer parks</x:v>
      </x:c>
      <x:c r="D2223" s="115" t="str">
        <x:v>Parc résidentiel de mobil-homes</x:v>
      </x:c>
      <x:c r="E2223" s="115" t="n">
        <x:v>18</x:v>
      </x:c>
      <x:c r="F2223" s="115" t="str">
        <x:v>Inspection physique</x:v>
      </x:c>
      <x:c r="G2223" s="115" t="str">
        <x:v>1 niveaux ; 54 pièces ; 394 segments de mur ; 0 transitions. Inspection physique ; architecture complète encore ouverte.</x:v>
      </x:c>
      <x:c r="H2223" s="115" t="str">
        <x:v>L 126 ; l 142 ; hauteur 3,2 m ; choix de composition auteur ; dimensions réelles à documenter</x:v>
      </x:c>
      <x:c r="I2223" s="115" t="str">
        <x:v>À équilibrer</x:v>
      </x:c>
      <x:c r="J2223" s="115" t="str">
        <x:v>Non</x:v>
      </x:c>
      <x:c r="K2223" s="115" t="str">
        <x:v>Pièces décrites, murs, portes, niveaux et mobilier inspectables à l’échelle. Volumes réservés, raccord au seed, butin, rencontres et services de campagne restent à terminer.</x:v>
      </x:c>
    </x:row>
    <x:row r="2224" ht="96" customHeight="1">
      <x:c r="A2224" s="115" t="str">
        <x:v>EXT-MONDE-T045-V19</x:v>
      </x:c>
      <x:c r="B2224" s="115" t="str">
        <x:v>EXT-MONDE-T045</x:v>
      </x:c>
      <x:c r="C2224" s="115" t="str">
        <x:v>Trailer parks</x:v>
      </x:c>
      <x:c r="D2224" s="115" t="str">
        <x:v>Parc résidentiel de mobil-homes</x:v>
      </x:c>
      <x:c r="E2224" s="115" t="n">
        <x:v>19</x:v>
      </x:c>
      <x:c r="F2224" s="115" t="str">
        <x:v>Inspection physique</x:v>
      </x:c>
      <x:c r="G2224" s="115" t="str">
        <x:v>1 niveaux ; 42 pièces ; 308 segments de mur ; 0 transitions. Inspection physique ; architecture complète encore ouverte.</x:v>
      </x:c>
      <x:c r="H2224" s="115" t="str">
        <x:v>L 126 ; l 119 ; hauteur 3,2 m ; choix de composition auteur ; dimensions réelles à documenter</x:v>
      </x:c>
      <x:c r="I2224" s="115" t="str">
        <x:v>À équilibrer</x:v>
      </x:c>
      <x:c r="J2224" s="115" t="str">
        <x:v>Non</x:v>
      </x:c>
      <x:c r="K2224" s="115" t="str">
        <x:v>Pièces décrites, murs, portes, niveaux et mobilier inspectables à l’échelle. Volumes réservés, raccord au seed, butin, rencontres et services de campagne restent à terminer.</x:v>
      </x:c>
    </x:row>
    <x:row r="2225" ht="96" customHeight="1">
      <x:c r="A2225" s="115" t="str">
        <x:v>EXT-MONDE-T045-V20</x:v>
      </x:c>
      <x:c r="B2225" s="115" t="str">
        <x:v>EXT-MONDE-T045</x:v>
      </x:c>
      <x:c r="C2225" s="115" t="str">
        <x:v>Trailer parks</x:v>
      </x:c>
      <x:c r="D2225" s="115" t="str">
        <x:v>Parc résidentiel de mobil-homes</x:v>
      </x:c>
      <x:c r="E2225" s="115" t="n">
        <x:v>20</x:v>
      </x:c>
      <x:c r="F2225" s="115" t="str">
        <x:v>Inspection physique</x:v>
      </x:c>
      <x:c r="G2225" s="115" t="str">
        <x:v>1 niveaux ; 72 pièces ; 523 segments de mur ; 0 transitions. Inspection physique ; architecture complète encore ouverte.</x:v>
      </x:c>
      <x:c r="H2225" s="115" t="str">
        <x:v>L 166 ; l 142 ; hauteur 3,2 m ; choix de composition auteur ; dimensions réelles à documenter</x:v>
      </x:c>
      <x:c r="I2225" s="115" t="str">
        <x:v>À équilibrer</x:v>
      </x:c>
      <x:c r="J2225" s="115" t="str">
        <x:v>Non</x:v>
      </x:c>
      <x:c r="K2225" s="115" t="str">
        <x:v>Pièces décrites, murs, portes, niveaux et mobilier inspectables à l’échelle. Volumes réservés, raccord au seed, butin, rencontres et services de campagne restent à terminer.</x:v>
      </x:c>
    </x:row>
    <x:row r="2226" ht="96" customHeight="1">
      <x:c r="A2226" s="115" t="str">
        <x:v>EXT-MONDE-T045-V21</x:v>
      </x:c>
      <x:c r="B2226" s="115" t="str">
        <x:v>EXT-MONDE-T045</x:v>
      </x:c>
      <x:c r="C2226" s="115" t="str">
        <x:v>Trailer parks</x:v>
      </x:c>
      <x:c r="D2226" s="115" t="str">
        <x:v>Parc résidentiel de mobil-homes</x:v>
      </x:c>
      <x:c r="E2226" s="115" t="n">
        <x:v>21</x:v>
      </x:c>
      <x:c r="F2226" s="115" t="str">
        <x:v>Inspection physique</x:v>
      </x:c>
      <x:c r="G2226" s="115" t="str">
        <x:v>1 niveaux ; 36 pièces ; 265 segments de mur ; 0 transitions. Inspection physique ; architecture complète encore ouverte.</x:v>
      </x:c>
      <x:c r="H2226" s="115" t="str">
        <x:v>L 130 ; l 118 ; hauteur 3,2 m ; choix de composition auteur ; dimensions réelles à documenter</x:v>
      </x:c>
      <x:c r="I2226" s="115" t="str">
        <x:v>À équilibrer</x:v>
      </x:c>
      <x:c r="J2226" s="115" t="str">
        <x:v>Non</x:v>
      </x:c>
      <x:c r="K2226" s="115" t="str">
        <x:v>Pièces décrites, murs, portes, niveaux et mobilier inspectables à l’échelle. Volumes réservés, raccord au seed, butin, rencontres et services de campagne restent à terminer.</x:v>
      </x:c>
    </x:row>
    <x:row r="2227" ht="96" customHeight="1">
      <x:c r="A2227" s="115" t="str">
        <x:v>EXT-MONDE-T045-V22</x:v>
      </x:c>
      <x:c r="B2227" s="115" t="str">
        <x:v>EXT-MONDE-T045</x:v>
      </x:c>
      <x:c r="C2227" s="115" t="str">
        <x:v>Trailer parks</x:v>
      </x:c>
      <x:c r="D2227" s="115" t="str">
        <x:v>Parc résidentiel de mobil-homes</x:v>
      </x:c>
      <x:c r="E2227" s="115" t="n">
        <x:v>22</x:v>
      </x:c>
      <x:c r="F2227" s="115" t="str">
        <x:v>Inspection physique</x:v>
      </x:c>
      <x:c r="G2227" s="115" t="str">
        <x:v>1 niveaux ; 48 pièces ; 351 segments de mur ; 0 transitions. Inspection physique ; architecture complète encore ouverte.</x:v>
      </x:c>
      <x:c r="H2227" s="115" t="str">
        <x:v>L 130 ; l 122 ; hauteur 3,2 m ; choix de composition auteur ; dimensions réelles à documenter</x:v>
      </x:c>
      <x:c r="I2227" s="115" t="str">
        <x:v>À équilibrer</x:v>
      </x:c>
      <x:c r="J2227" s="115" t="str">
        <x:v>Non</x:v>
      </x:c>
      <x:c r="K2227" s="115" t="str">
        <x:v>Pièces décrites, murs, portes, niveaux et mobilier inspectables à l’échelle. Volumes réservés, raccord au seed, butin, rencontres et services de campagne restent à terminer.</x:v>
      </x:c>
    </x:row>
    <x:row r="2228" ht="96" customHeight="1">
      <x:c r="A2228" s="115" t="str">
        <x:v>EXT-MONDE-T045-V23</x:v>
      </x:c>
      <x:c r="B2228" s="115" t="str">
        <x:v>EXT-MONDE-T045</x:v>
      </x:c>
      <x:c r="C2228" s="115" t="str">
        <x:v>Trailer parks</x:v>
      </x:c>
      <x:c r="D2228" s="115" t="str">
        <x:v>Parc résidentiel de mobil-homes</x:v>
      </x:c>
      <x:c r="E2228" s="115" t="n">
        <x:v>23</x:v>
      </x:c>
      <x:c r="F2228" s="115" t="str">
        <x:v>Inspection physique</x:v>
      </x:c>
      <x:c r="G2228" s="115" t="str">
        <x:v>1 niveaux ; 60 pièces ; 437 segments de mur ; 0 transitions. Inspection physique ; architecture complète encore ouverte.</x:v>
      </x:c>
      <x:c r="H2228" s="115" t="str">
        <x:v>L 130 ; l 146 ; hauteur 3,2 m ; choix de composition auteur ; dimensions réelles à documenter</x:v>
      </x:c>
      <x:c r="I2228" s="115" t="str">
        <x:v>À équilibrer</x:v>
      </x:c>
      <x:c r="J2228" s="115" t="str">
        <x:v>Non</x:v>
      </x:c>
      <x:c r="K2228" s="115" t="str">
        <x:v>Pièces décrites, murs, portes, niveaux et mobilier inspectables à l’échelle. Volumes réservés, raccord au seed, butin, rencontres et services de campagne restent à terminer.</x:v>
      </x:c>
    </x:row>
    <x:row r="2229" ht="96" customHeight="1">
      <x:c r="A2229" s="115" t="str">
        <x:v>EXT-MONDE-T045-V24</x:v>
      </x:c>
      <x:c r="B2229" s="115" t="str">
        <x:v>EXT-MONDE-T045</x:v>
      </x:c>
      <x:c r="C2229" s="115" t="str">
        <x:v>Trailer parks</x:v>
      </x:c>
      <x:c r="D2229" s="115" t="str">
        <x:v>Parc résidentiel de mobil-homes</x:v>
      </x:c>
      <x:c r="E2229" s="115" t="n">
        <x:v>24</x:v>
      </x:c>
      <x:c r="F2229" s="115" t="str">
        <x:v>Inspection physique</x:v>
      </x:c>
      <x:c r="G2229" s="115" t="str">
        <x:v>1 niveaux ; 30 pièces ; 222 segments de mur ; 0 transitions. Inspection physique ; architecture complète encore ouverte.</x:v>
      </x:c>
      <x:c r="H2229" s="115" t="str">
        <x:v>L 88 ; l 122 ; hauteur 3,2 m ; choix de composition auteur ; dimensions réelles à documenter</x:v>
      </x:c>
      <x:c r="I2229" s="115" t="str">
        <x:v>À équilibrer</x:v>
      </x:c>
      <x:c r="J2229" s="115" t="str">
        <x:v>Non</x:v>
      </x:c>
      <x:c r="K2229" s="115" t="str">
        <x:v>Pièces décrites, murs, portes, niveaux et mobilier inspectables à l’échelle. Volumes réservés, raccord au seed, butin, rencontres et services de campagne restent à terminer.</x:v>
      </x:c>
    </x:row>
    <x:row r="2230" ht="96" customHeight="1">
      <x:c r="A2230" s="115" t="str">
        <x:v>EXT-MONDE-T045-V25</x:v>
      </x:c>
      <x:c r="B2230" s="115" t="str">
        <x:v>EXT-MONDE-T045</x:v>
      </x:c>
      <x:c r="C2230" s="115" t="str">
        <x:v>Trailer parks</x:v>
      </x:c>
      <x:c r="D2230" s="115" t="str">
        <x:v>Parc résidentiel de mobil-homes</x:v>
      </x:c>
      <x:c r="E2230" s="115" t="n">
        <x:v>25</x:v>
      </x:c>
      <x:c r="F2230" s="115" t="str">
        <x:v>Inspection physique</x:v>
      </x:c>
      <x:c r="G2230" s="115" t="str">
        <x:v>1 niveaux ; 36 pièces ; 265 segments de mur ; 0 transitions. Inspection physique ; architecture complète encore ouverte.</x:v>
      </x:c>
      <x:c r="H2230" s="115" t="str">
        <x:v>L 88 ; l 146 ; hauteur 3,2 m ; choix de composition auteur ; dimensions réelles à documenter</x:v>
      </x:c>
      <x:c r="I2230" s="115" t="str">
        <x:v>À équilibrer</x:v>
      </x:c>
      <x:c r="J2230" s="115" t="str">
        <x:v>Non</x:v>
      </x:c>
      <x:c r="K2230" s="115" t="str">
        <x:v>Pièces décrites, murs, portes, niveaux et mobilier inspectables à l’échelle. Volumes réservés, raccord au seed, butin, rencontres et services de campagne restent à terminer.</x:v>
      </x:c>
    </x:row>
    <x:row r="2231" ht="96" customHeight="1">
      <x:c r="A2231" s="115" t="str">
        <x:v>EXT-MONDE-T045-V26</x:v>
      </x:c>
      <x:c r="B2231" s="115" t="str">
        <x:v>EXT-MONDE-T045</x:v>
      </x:c>
      <x:c r="C2231" s="115" t="str">
        <x:v>Trailer parks</x:v>
      </x:c>
      <x:c r="D2231" s="115" t="str">
        <x:v>Parc résidentiel de mobil-homes</x:v>
      </x:c>
      <x:c r="E2231" s="115" t="n">
        <x:v>26</x:v>
      </x:c>
      <x:c r="F2231" s="115" t="str">
        <x:v>Inspection physique</x:v>
      </x:c>
      <x:c r="G2231" s="115" t="str">
        <x:v>1 niveaux ; 48 pièces ; 351 segments de mur ; 0 transitions. Inspection physique ; architecture complète encore ouverte.</x:v>
      </x:c>
      <x:c r="H2231" s="115" t="str">
        <x:v>L 172 ; l 118 ; hauteur 3,2 m ; choix de composition auteur ; dimensions réelles à documenter</x:v>
      </x:c>
      <x:c r="I2231" s="115" t="str">
        <x:v>À équilibrer</x:v>
      </x:c>
      <x:c r="J2231" s="115" t="str">
        <x:v>Non</x:v>
      </x:c>
      <x:c r="K2231" s="115" t="str">
        <x:v>Pièces décrites, murs, portes, niveaux et mobilier inspectables à l’échelle. Volumes réservés, raccord au seed, butin, rencontres et services de campagne restent à terminer.</x:v>
      </x:c>
    </x:row>
    <x:row r="2232" ht="96" customHeight="1">
      <x:c r="A2232" s="115" t="str">
        <x:v>EXT-MONDE-T045-V27</x:v>
      </x:c>
      <x:c r="B2232" s="115" t="str">
        <x:v>EXT-MONDE-T045</x:v>
      </x:c>
      <x:c r="C2232" s="115" t="str">
        <x:v>Trailer parks</x:v>
      </x:c>
      <x:c r="D2232" s="115" t="str">
        <x:v>Parc résidentiel de mobil-homes</x:v>
      </x:c>
      <x:c r="E2232" s="115" t="n">
        <x:v>27</x:v>
      </x:c>
      <x:c r="F2232" s="115" t="str">
        <x:v>Inspection physique</x:v>
      </x:c>
      <x:c r="G2232" s="115" t="str">
        <x:v>1 niveaux ; 66 pièces ; 480 segments de mur ; 0 transitions. Inspection physique ; architecture complète encore ouverte.</x:v>
      </x:c>
      <x:c r="H2232" s="115" t="str">
        <x:v>L 172 ; l 122 ; hauteur 3,2 m ; choix de composition auteur ; dimensions réelles à documenter</x:v>
      </x:c>
      <x:c r="I2232" s="115" t="str">
        <x:v>À équilibrer</x:v>
      </x:c>
      <x:c r="J2232" s="115" t="str">
        <x:v>Non</x:v>
      </x:c>
      <x:c r="K2232" s="115" t="str">
        <x:v>Pièces décrites, murs, portes, niveaux et mobilier inspectables à l’échelle. Volumes réservés, raccord au seed, butin, rencontres et services de campagne restent à terminer.</x:v>
      </x:c>
    </x:row>
    <x:row r="2233" ht="96" customHeight="1">
      <x:c r="A2233" s="115" t="str">
        <x:v>EXT-MONDE-T045-V28</x:v>
      </x:c>
      <x:c r="B2233" s="115" t="str">
        <x:v>EXT-MONDE-T045</x:v>
      </x:c>
      <x:c r="C2233" s="115" t="str">
        <x:v>Trailer parks</x:v>
      </x:c>
      <x:c r="D2233" s="115" t="str">
        <x:v>Parc résidentiel de mobil-homes</x:v>
      </x:c>
      <x:c r="E2233" s="115" t="n">
        <x:v>28</x:v>
      </x:c>
      <x:c r="F2233" s="115" t="str">
        <x:v>Inspection physique</x:v>
      </x:c>
      <x:c r="G2233" s="115" t="str">
        <x:v>1 niveaux ; 54 pièces ; 394 segments de mur ; 0 transitions. Inspection physique ; architecture complète encore ouverte.</x:v>
      </x:c>
      <x:c r="H2233" s="115" t="str">
        <x:v>L 130 ; l 146 ; hauteur 3,2 m ; choix de composition auteur ; dimensions réelles à documenter</x:v>
      </x:c>
      <x:c r="I2233" s="115" t="str">
        <x:v>À équilibrer</x:v>
      </x:c>
      <x:c r="J2233" s="115" t="str">
        <x:v>Non</x:v>
      </x:c>
      <x:c r="K2233" s="115" t="str">
        <x:v>Pièces décrites, murs, portes, niveaux et mobilier inspectables à l’échelle. Volumes réservés, raccord au seed, butin, rencontres et services de campagne restent à terminer.</x:v>
      </x:c>
    </x:row>
    <x:row r="2234" ht="96" customHeight="1">
      <x:c r="A2234" s="115" t="str">
        <x:v>EXT-MONDE-T045-V29</x:v>
      </x:c>
      <x:c r="B2234" s="115" t="str">
        <x:v>EXT-MONDE-T045</x:v>
      </x:c>
      <x:c r="C2234" s="115" t="str">
        <x:v>Trailer parks</x:v>
      </x:c>
      <x:c r="D2234" s="115" t="str">
        <x:v>Parc résidentiel de mobil-homes</x:v>
      </x:c>
      <x:c r="E2234" s="115" t="n">
        <x:v>29</x:v>
      </x:c>
      <x:c r="F2234" s="115" t="str">
        <x:v>Inspection physique</x:v>
      </x:c>
      <x:c r="G2234" s="115" t="str">
        <x:v>1 niveaux ; 42 pièces ; 308 segments de mur ; 0 transitions. Inspection physique ; architecture complète encore ouverte.</x:v>
      </x:c>
      <x:c r="H2234" s="115" t="str">
        <x:v>L 130 ; l 122 ; hauteur 3,2 m ; choix de composition auteur ; dimensions réelles à documenter</x:v>
      </x:c>
      <x:c r="I2234" s="115" t="str">
        <x:v>À équilibrer</x:v>
      </x:c>
      <x:c r="J2234" s="115" t="str">
        <x:v>Non</x:v>
      </x:c>
      <x:c r="K2234" s="115" t="str">
        <x:v>Pièces décrites, murs, portes, niveaux et mobilier inspectables à l’échelle. Volumes réservés, raccord au seed, butin, rencontres et services de campagne restent à terminer.</x:v>
      </x:c>
    </x:row>
    <x:row r="2235" ht="96" customHeight="1">
      <x:c r="A2235" s="115" t="str">
        <x:v>EXT-MONDE-T045-V30</x:v>
      </x:c>
      <x:c r="B2235" s="115" t="str">
        <x:v>EXT-MONDE-T045</x:v>
      </x:c>
      <x:c r="C2235" s="115" t="str">
        <x:v>Trailer parks</x:v>
      </x:c>
      <x:c r="D2235" s="115" t="str">
        <x:v>Parc résidentiel de mobil-homes</x:v>
      </x:c>
      <x:c r="E2235" s="115" t="n">
        <x:v>30</x:v>
      </x:c>
      <x:c r="F2235" s="115" t="str">
        <x:v>Inspection physique</x:v>
      </x:c>
      <x:c r="G2235" s="115" t="str">
        <x:v>1 niveaux ; 72 pièces ; 523 segments de mur ; 0 transitions. Inspection physique ; architecture complète encore ouverte.</x:v>
      </x:c>
      <x:c r="H2235" s="115" t="str">
        <x:v>L 172 ; l 146 ; hauteur 3,2 m ; choix de composition auteur ; dimensions réelles à documenter</x:v>
      </x:c>
      <x:c r="I2235" s="115" t="str">
        <x:v>À équilibrer</x:v>
      </x:c>
      <x:c r="J2235" s="115" t="str">
        <x:v>Non</x:v>
      </x:c>
      <x:c r="K2235" s="115" t="str">
        <x:v>Pièces décrites, murs, portes, niveaux et mobilier inspectables à l’échelle. Volumes réservés, raccord au seed, butin, rencontres et services de campagne restent à terminer.</x:v>
      </x:c>
    </x:row>
    <x:row r="2236" ht="96" customHeight="1">
      <x:c r="A2236" s="115" t="str">
        <x:v>EXT-MONDE-T045-V31</x:v>
      </x:c>
      <x:c r="B2236" s="115" t="str">
        <x:v>EXT-MONDE-T045</x:v>
      </x:c>
      <x:c r="C2236" s="115" t="str">
        <x:v>Trailer parks</x:v>
      </x:c>
      <x:c r="D2236" s="115" t="str">
        <x:v>Parc résidentiel de mobil-homes</x:v>
      </x:c>
      <x:c r="E2236" s="115" t="n">
        <x:v>31</x:v>
      </x:c>
      <x:c r="F2236" s="115" t="str">
        <x:v>Inspection physique</x:v>
      </x:c>
      <x:c r="G2236" s="115" t="str">
        <x:v>1 niveaux ; 36 pièces ; 265 segments de mur ; 0 transitions. Inspection physique ; architecture complète encore ouverte.</x:v>
      </x:c>
      <x:c r="H2236" s="115" t="str">
        <x:v>L 134 ; l 118 ; hauteur 3,2 m ; choix de composition auteur ; dimensions réelles à documenter</x:v>
      </x:c>
      <x:c r="I2236" s="115" t="str">
        <x:v>À équilibrer</x:v>
      </x:c>
      <x:c r="J2236" s="115" t="str">
        <x:v>Non</x:v>
      </x:c>
      <x:c r="K2236" s="115" t="str">
        <x:v>Pièces décrites, murs, portes, niveaux et mobilier inspectables à l’échelle. Volumes réservés, raccord au seed, butin, rencontres et services de campagne restent à terminer.</x:v>
      </x:c>
    </x:row>
    <x:row r="2237" ht="96" customHeight="1">
      <x:c r="A2237" s="115" t="str">
        <x:v>EXT-MONDE-T045-V32</x:v>
      </x:c>
      <x:c r="B2237" s="115" t="str">
        <x:v>EXT-MONDE-T045</x:v>
      </x:c>
      <x:c r="C2237" s="115" t="str">
        <x:v>Trailer parks</x:v>
      </x:c>
      <x:c r="D2237" s="115" t="str">
        <x:v>Parc résidentiel de mobil-homes</x:v>
      </x:c>
      <x:c r="E2237" s="115" t="n">
        <x:v>32</x:v>
      </x:c>
      <x:c r="F2237" s="115" t="str">
        <x:v>Inspection physique</x:v>
      </x:c>
      <x:c r="G2237" s="115" t="str">
        <x:v>1 niveaux ; 48 pièces ; 351 segments de mur ; 0 transitions. Inspection physique ; architecture complète encore ouverte.</x:v>
      </x:c>
      <x:c r="H2237" s="115" t="str">
        <x:v>L 134 ; l 125 ; hauteur 3,2 m ; choix de composition auteur ; dimensions réelles à documenter</x:v>
      </x:c>
      <x:c r="I2237" s="115" t="str">
        <x:v>À équilibrer</x:v>
      </x:c>
      <x:c r="J2237" s="115" t="str">
        <x:v>Non</x:v>
      </x:c>
      <x:c r="K2237" s="115" t="str">
        <x:v>Pièces décrites, murs, portes, niveaux et mobilier inspectables à l’échelle. Volumes réservés, raccord au seed, butin, rencontres et services de campagne restent à terminer.</x:v>
      </x:c>
    </x:row>
    <x:row r="2238" ht="96" customHeight="1">
      <x:c r="A2238" s="115" t="str">
        <x:v>EXT-MONDE-T045-V33</x:v>
      </x:c>
      <x:c r="B2238" s="115" t="str">
        <x:v>EXT-MONDE-T045</x:v>
      </x:c>
      <x:c r="C2238" s="115" t="str">
        <x:v>Trailer parks</x:v>
      </x:c>
      <x:c r="D2238" s="115" t="str">
        <x:v>Parc résidentiel de mobil-homes</x:v>
      </x:c>
      <x:c r="E2238" s="115" t="n">
        <x:v>33</x:v>
      </x:c>
      <x:c r="F2238" s="115" t="str">
        <x:v>Inspection physique</x:v>
      </x:c>
      <x:c r="G2238" s="115" t="str">
        <x:v>1 niveaux ; 60 pièces ; 437 segments de mur ; 0 transitions. Inspection physique ; architecture complète encore ouverte.</x:v>
      </x:c>
      <x:c r="H2238" s="115" t="str">
        <x:v>L 134 ; l 150 ; hauteur 3,2 m ; choix de composition auteur ; dimensions réelles à documenter</x:v>
      </x:c>
      <x:c r="I2238" s="115" t="str">
        <x:v>À équilibrer</x:v>
      </x:c>
      <x:c r="J2238" s="115" t="str">
        <x:v>Non</x:v>
      </x:c>
      <x:c r="K2238" s="115" t="str">
        <x:v>Pièces décrites, murs, portes, niveaux et mobilier inspectables à l’échelle. Volumes réservés, raccord au seed, butin, rencontres et services de campagne restent à terminer.</x:v>
      </x:c>
    </x:row>
    <x:row r="2239" ht="96" customHeight="1">
      <x:c r="A2239" s="115" t="str">
        <x:v>EXT-MONDE-T045-V34</x:v>
      </x:c>
      <x:c r="B2239" s="115" t="str">
        <x:v>EXT-MONDE-T045</x:v>
      </x:c>
      <x:c r="C2239" s="115" t="str">
        <x:v>Trailer parks</x:v>
      </x:c>
      <x:c r="D2239" s="115" t="str">
        <x:v>Parc résidentiel de mobil-homes</x:v>
      </x:c>
      <x:c r="E2239" s="115" t="n">
        <x:v>34</x:v>
      </x:c>
      <x:c r="F2239" s="115" t="str">
        <x:v>Inspection physique</x:v>
      </x:c>
      <x:c r="G2239" s="115" t="str">
        <x:v>1 niveaux ; 30 pièces ; 222 segments de mur ; 0 transitions. Inspection physique ; architecture complète encore ouverte.</x:v>
      </x:c>
      <x:c r="H2239" s="115" t="str">
        <x:v>L 90 ; l 125 ; hauteur 3,2 m ; choix de composition auteur ; dimensions réelles à documenter</x:v>
      </x:c>
      <x:c r="I2239" s="115" t="str">
        <x:v>À équilibrer</x:v>
      </x:c>
      <x:c r="J2239" s="115" t="str">
        <x:v>Non</x:v>
      </x:c>
      <x:c r="K2239" s="115" t="str">
        <x:v>Pièces décrites, murs, portes, niveaux et mobilier inspectables à l’échelle. Volumes réservés, raccord au seed, butin, rencontres et services de campagne restent à terminer.</x:v>
      </x:c>
    </x:row>
    <x:row r="2240" ht="96" customHeight="1">
      <x:c r="A2240" s="115" t="str">
        <x:v>EXT-MONDE-T045-V35</x:v>
      </x:c>
      <x:c r="B2240" s="115" t="str">
        <x:v>EXT-MONDE-T045</x:v>
      </x:c>
      <x:c r="C2240" s="115" t="str">
        <x:v>Trailer parks</x:v>
      </x:c>
      <x:c r="D2240" s="115" t="str">
        <x:v>Parc résidentiel de mobil-homes</x:v>
      </x:c>
      <x:c r="E2240" s="115" t="n">
        <x:v>35</x:v>
      </x:c>
      <x:c r="F2240" s="115" t="str">
        <x:v>Inspection physique</x:v>
      </x:c>
      <x:c r="G2240" s="115" t="str">
        <x:v>1 niveaux ; 36 pièces ; 265 segments de mur ; 0 transitions. Inspection physique ; architecture complète encore ouverte.</x:v>
      </x:c>
      <x:c r="H2240" s="115" t="str">
        <x:v>L 90 ; l 150 ; hauteur 3,2 m ; choix de composition auteur ; dimensions réelles à documenter</x:v>
      </x:c>
      <x:c r="I2240" s="115" t="str">
        <x:v>À équilibrer</x:v>
      </x:c>
      <x:c r="J2240" s="115" t="str">
        <x:v>Non</x:v>
      </x:c>
      <x:c r="K2240" s="115" t="str">
        <x:v>Pièces décrites, murs, portes, niveaux et mobilier inspectables à l’échelle. Volumes réservés, raccord au seed, butin, rencontres et services de campagne restent à terminer.</x:v>
      </x:c>
    </x:row>
    <x:row r="2241" ht="96" customHeight="1">
      <x:c r="A2241" s="115" t="str">
        <x:v>EXT-MONDE-T045-V36</x:v>
      </x:c>
      <x:c r="B2241" s="115" t="str">
        <x:v>EXT-MONDE-T045</x:v>
      </x:c>
      <x:c r="C2241" s="115" t="str">
        <x:v>Trailer parks</x:v>
      </x:c>
      <x:c r="D2241" s="115" t="str">
        <x:v>Parc résidentiel de mobil-homes</x:v>
      </x:c>
      <x:c r="E2241" s="115" t="n">
        <x:v>36</x:v>
      </x:c>
      <x:c r="F2241" s="115" t="str">
        <x:v>Inspection physique</x:v>
      </x:c>
      <x:c r="G2241" s="115" t="str">
        <x:v>1 niveaux ; 48 pièces ; 351 segments de mur ; 0 transitions. Inspection physique ; architecture complète encore ouverte.</x:v>
      </x:c>
      <x:c r="H2241" s="115" t="str">
        <x:v>L 178 ; l 118 ; hauteur 3,2 m ; choix de composition auteur ; dimensions réelles à documenter</x:v>
      </x:c>
      <x:c r="I2241" s="115" t="str">
        <x:v>À équilibrer</x:v>
      </x:c>
      <x:c r="J2241" s="115" t="str">
        <x:v>Non</x:v>
      </x:c>
      <x:c r="K2241" s="115" t="str">
        <x:v>Pièces décrites, murs, portes, niveaux et mobilier inspectables à l’échelle. Volumes réservés, raccord au seed, butin, rencontres et services de campagne restent à terminer.</x:v>
      </x:c>
    </x:row>
    <x:row r="2242" ht="96" customHeight="1">
      <x:c r="A2242" s="115" t="str">
        <x:v>EXT-MONDE-T045-V37</x:v>
      </x:c>
      <x:c r="B2242" s="115" t="str">
        <x:v>EXT-MONDE-T045</x:v>
      </x:c>
      <x:c r="C2242" s="115" t="str">
        <x:v>Trailer parks</x:v>
      </x:c>
      <x:c r="D2242" s="115" t="str">
        <x:v>Parc résidentiel de mobil-homes</x:v>
      </x:c>
      <x:c r="E2242" s="115" t="n">
        <x:v>37</x:v>
      </x:c>
      <x:c r="F2242" s="115" t="str">
        <x:v>Inspection physique</x:v>
      </x:c>
      <x:c r="G2242" s="115" t="str">
        <x:v>1 niveaux ; 66 pièces ; 480 segments de mur ; 0 transitions. Inspection physique ; architecture complète encore ouverte.</x:v>
      </x:c>
      <x:c r="H2242" s="115" t="str">
        <x:v>L 178 ; l 125 ; hauteur 3,2 m ; choix de composition auteur ; dimensions réelles à documenter</x:v>
      </x:c>
      <x:c r="I2242" s="115" t="str">
        <x:v>À équilibrer</x:v>
      </x:c>
      <x:c r="J2242" s="115" t="str">
        <x:v>Non</x:v>
      </x:c>
      <x:c r="K2242" s="115" t="str">
        <x:v>Pièces décrites, murs, portes, niveaux et mobilier inspectables à l’échelle. Volumes réservés, raccord au seed, butin, rencontres et services de campagne restent à terminer.</x:v>
      </x:c>
    </x:row>
    <x:row r="2243" ht="96" customHeight="1">
      <x:c r="A2243" s="115" t="str">
        <x:v>EXT-MONDE-T045-V38</x:v>
      </x:c>
      <x:c r="B2243" s="115" t="str">
        <x:v>EXT-MONDE-T045</x:v>
      </x:c>
      <x:c r="C2243" s="115" t="str">
        <x:v>Trailer parks</x:v>
      </x:c>
      <x:c r="D2243" s="115" t="str">
        <x:v>Parc résidentiel de mobil-homes</x:v>
      </x:c>
      <x:c r="E2243" s="115" t="n">
        <x:v>38</x:v>
      </x:c>
      <x:c r="F2243" s="115" t="str">
        <x:v>Inspection physique</x:v>
      </x:c>
      <x:c r="G2243" s="115" t="str">
        <x:v>1 niveaux ; 54 pièces ; 394 segments de mur ; 0 transitions. Inspection physique ; architecture complète encore ouverte.</x:v>
      </x:c>
      <x:c r="H2243" s="115" t="str">
        <x:v>L 134 ; l 150 ; hauteur 3,2 m ; choix de composition auteur ; dimensions réelles à documenter</x:v>
      </x:c>
      <x:c r="I2243" s="115" t="str">
        <x:v>À équilibrer</x:v>
      </x:c>
      <x:c r="J2243" s="115" t="str">
        <x:v>Non</x:v>
      </x:c>
      <x:c r="K2243" s="115" t="str">
        <x:v>Pièces décrites, murs, portes, niveaux et mobilier inspectables à l’échelle. Volumes réservés, raccord au seed, butin, rencontres et services de campagne restent à terminer.</x:v>
      </x:c>
    </x:row>
    <x:row r="2244" ht="96" customHeight="1">
      <x:c r="A2244" s="115" t="str">
        <x:v>EXT-MONDE-T045-V39</x:v>
      </x:c>
      <x:c r="B2244" s="115" t="str">
        <x:v>EXT-MONDE-T045</x:v>
      </x:c>
      <x:c r="C2244" s="115" t="str">
        <x:v>Trailer parks</x:v>
      </x:c>
      <x:c r="D2244" s="115" t="str">
        <x:v>Parc résidentiel de mobil-homes</x:v>
      </x:c>
      <x:c r="E2244" s="115" t="n">
        <x:v>39</x:v>
      </x:c>
      <x:c r="F2244" s="115" t="str">
        <x:v>Inspection physique</x:v>
      </x:c>
      <x:c r="G2244" s="115" t="str">
        <x:v>1 niveaux ; 42 pièces ; 308 segments de mur ; 0 transitions. Inspection physique ; architecture complète encore ouverte.</x:v>
      </x:c>
      <x:c r="H2244" s="115" t="str">
        <x:v>L 134 ; l 125 ; hauteur 3,2 m ; choix de composition auteur ; dimensions réelles à documenter</x:v>
      </x:c>
      <x:c r="I2244" s="115" t="str">
        <x:v>À équilibrer</x:v>
      </x:c>
      <x:c r="J2244" s="115" t="str">
        <x:v>Non</x:v>
      </x:c>
      <x:c r="K2244" s="115" t="str">
        <x:v>Pièces décrites, murs, portes, niveaux et mobilier inspectables à l’échelle. Volumes réservés, raccord au seed, butin, rencontres et services de campagne restent à terminer.</x:v>
      </x:c>
    </x:row>
    <x:row r="2245" ht="96" customHeight="1">
      <x:c r="A2245" s="115" t="str">
        <x:v>EXT-MONDE-T045-V40</x:v>
      </x:c>
      <x:c r="B2245" s="115" t="str">
        <x:v>EXT-MONDE-T045</x:v>
      </x:c>
      <x:c r="C2245" s="115" t="str">
        <x:v>Trailer parks</x:v>
      </x:c>
      <x:c r="D2245" s="115" t="str">
        <x:v>Parc résidentiel de mobil-homes</x:v>
      </x:c>
      <x:c r="E2245" s="115" t="n">
        <x:v>40</x:v>
      </x:c>
      <x:c r="F2245" s="115" t="str">
        <x:v>Inspection physique</x:v>
      </x:c>
      <x:c r="G2245" s="115" t="str">
        <x:v>1 niveaux ; 72 pièces ; 523 segments de mur ; 0 transitions. Inspection physique ; architecture complète encore ouverte.</x:v>
      </x:c>
      <x:c r="H2245" s="115" t="str">
        <x:v>L 178 ; l 150 ; hauteur 3,2 m ; choix de composition auteur ; dimensions réelles à documenter</x:v>
      </x:c>
      <x:c r="I2245" s="115" t="str">
        <x:v>À équilibrer</x:v>
      </x:c>
      <x:c r="J2245" s="115" t="str">
        <x:v>Non</x:v>
      </x:c>
      <x:c r="K2245" s="115" t="str">
        <x:v>Pièces décrites, murs, portes, niveaux et mobilier inspectables à l’échelle. Volumes réservés, raccord au seed, butin, rencontres et services de campagne restent à terminer.</x:v>
      </x:c>
    </x:row>
    <x:row r="2246" ht="96" customHeight="1">
      <x:c r="A2246" s="115" t="str">
        <x:v>EXT-MONDE-T045-V41</x:v>
      </x:c>
      <x:c r="B2246" s="115" t="str">
        <x:v>EXT-MONDE-T045</x:v>
      </x:c>
      <x:c r="C2246" s="115" t="str">
        <x:v>Trailer parks</x:v>
      </x:c>
      <x:c r="D2246" s="115" t="str">
        <x:v>Parc résidentiel de mobil-homes</x:v>
      </x:c>
      <x:c r="E2246" s="115" t="n">
        <x:v>41</x:v>
      </x:c>
      <x:c r="F2246" s="115" t="str">
        <x:v>Inspection physique</x:v>
      </x:c>
      <x:c r="G2246" s="115" t="str">
        <x:v>1 niveaux ; 36 pièces ; 265 segments de mur ; 0 transitions. Inspection physique ; architecture complète encore ouverte.</x:v>
      </x:c>
      <x:c r="H2246" s="115" t="str">
        <x:v>L 138 ; l 118 ; hauteur 3,2 m ; choix de composition auteur ; dimensions réelles à documenter</x:v>
      </x:c>
      <x:c r="I2246" s="115" t="str">
        <x:v>À équilibrer</x:v>
      </x:c>
      <x:c r="J2246" s="115" t="str">
        <x:v>Non</x:v>
      </x:c>
      <x:c r="K2246" s="115" t="str">
        <x:v>Pièces décrites, murs, portes, niveaux et mobilier inspectables à l’échelle. Volumes réservés, raccord au seed, butin, rencontres et services de campagne restent à terminer.</x:v>
      </x:c>
    </x:row>
    <x:row r="2247" ht="96" customHeight="1">
      <x:c r="A2247" s="115" t="str">
        <x:v>EXT-MONDE-T045-V42</x:v>
      </x:c>
      <x:c r="B2247" s="115" t="str">
        <x:v>EXT-MONDE-T045</x:v>
      </x:c>
      <x:c r="C2247" s="115" t="str">
        <x:v>Trailer parks</x:v>
      </x:c>
      <x:c r="D2247" s="115" t="str">
        <x:v>Parc résidentiel de mobil-homes</x:v>
      </x:c>
      <x:c r="E2247" s="115" t="n">
        <x:v>42</x:v>
      </x:c>
      <x:c r="F2247" s="115" t="str">
        <x:v>Inspection physique</x:v>
      </x:c>
      <x:c r="G2247" s="115" t="str">
        <x:v>1 niveaux ; 48 pièces ; 351 segments de mur ; 0 transitions. Inspection physique ; architecture complète encore ouverte.</x:v>
      </x:c>
      <x:c r="H2247" s="115" t="str">
        <x:v>L 138 ; l 128 ; hauteur 3,2 m ; choix de composition auteur ; dimensions réelles à documenter</x:v>
      </x:c>
      <x:c r="I2247" s="115" t="str">
        <x:v>À équilibrer</x:v>
      </x:c>
      <x:c r="J2247" s="115" t="str">
        <x:v>Non</x:v>
      </x:c>
      <x:c r="K2247" s="115" t="str">
        <x:v>Pièces décrites, murs, portes, niveaux et mobilier inspectables à l’échelle. Volumes réservés, raccord au seed, butin, rencontres et services de campagne restent à terminer.</x:v>
      </x:c>
    </x:row>
    <x:row r="2248" ht="96" customHeight="1">
      <x:c r="A2248" s="115" t="str">
        <x:v>EXT-MONDE-T045-V43</x:v>
      </x:c>
      <x:c r="B2248" s="115" t="str">
        <x:v>EXT-MONDE-T045</x:v>
      </x:c>
      <x:c r="C2248" s="115" t="str">
        <x:v>Trailer parks</x:v>
      </x:c>
      <x:c r="D2248" s="115" t="str">
        <x:v>Parc résidentiel de mobil-homes</x:v>
      </x:c>
      <x:c r="E2248" s="115" t="n">
        <x:v>43</x:v>
      </x:c>
      <x:c r="F2248" s="115" t="str">
        <x:v>Inspection physique</x:v>
      </x:c>
      <x:c r="G2248" s="115" t="str">
        <x:v>1 niveaux ; 60 pièces ; 437 segments de mur ; 0 transitions. Inspection physique ; architecture complète encore ouverte.</x:v>
      </x:c>
      <x:c r="H2248" s="115" t="str">
        <x:v>L 138 ; l 154 ; hauteur 3,2 m ; choix de composition auteur ; dimensions réelles à documenter</x:v>
      </x:c>
      <x:c r="I2248" s="115" t="str">
        <x:v>À équilibrer</x:v>
      </x:c>
      <x:c r="J2248" s="115" t="str">
        <x:v>Non</x:v>
      </x:c>
      <x:c r="K2248" s="115" t="str">
        <x:v>Pièces décrites, murs, portes, niveaux et mobilier inspectables à l’échelle. Volumes réservés, raccord au seed, butin, rencontres et services de campagne restent à terminer.</x:v>
      </x:c>
    </x:row>
    <x:row r="2249" ht="96" customHeight="1">
      <x:c r="A2249" s="115" t="str">
        <x:v>EXT-MONDE-T045-V44</x:v>
      </x:c>
      <x:c r="B2249" s="115" t="str">
        <x:v>EXT-MONDE-T045</x:v>
      </x:c>
      <x:c r="C2249" s="115" t="str">
        <x:v>Trailer parks</x:v>
      </x:c>
      <x:c r="D2249" s="115" t="str">
        <x:v>Parc résidentiel de mobil-homes</x:v>
      </x:c>
      <x:c r="E2249" s="115" t="n">
        <x:v>44</x:v>
      </x:c>
      <x:c r="F2249" s="115" t="str">
        <x:v>Inspection physique</x:v>
      </x:c>
      <x:c r="G2249" s="115" t="str">
        <x:v>1 niveaux ; 30 pièces ; 222 segments de mur ; 0 transitions. Inspection physique ; architecture complète encore ouverte.</x:v>
      </x:c>
      <x:c r="H2249" s="115" t="str">
        <x:v>L 92 ; l 128 ; hauteur 3,2 m ; choix de composition auteur ; dimensions réelles à documenter</x:v>
      </x:c>
      <x:c r="I2249" s="115" t="str">
        <x:v>À équilibrer</x:v>
      </x:c>
      <x:c r="J2249" s="115" t="str">
        <x:v>Non</x:v>
      </x:c>
      <x:c r="K2249" s="115" t="str">
        <x:v>Pièces décrites, murs, portes, niveaux et mobilier inspectables à l’échelle. Volumes réservés, raccord au seed, butin, rencontres et services de campagne restent à terminer.</x:v>
      </x:c>
    </x:row>
    <x:row r="2250" ht="96" customHeight="1">
      <x:c r="A2250" s="115" t="str">
        <x:v>EXT-MONDE-T045-V45</x:v>
      </x:c>
      <x:c r="B2250" s="115" t="str">
        <x:v>EXT-MONDE-T045</x:v>
      </x:c>
      <x:c r="C2250" s="115" t="str">
        <x:v>Trailer parks</x:v>
      </x:c>
      <x:c r="D2250" s="115" t="str">
        <x:v>Parc résidentiel de mobil-homes</x:v>
      </x:c>
      <x:c r="E2250" s="115" t="n">
        <x:v>45</x:v>
      </x:c>
      <x:c r="F2250" s="115" t="str">
        <x:v>Inspection physique</x:v>
      </x:c>
      <x:c r="G2250" s="115" t="str">
        <x:v>1 niveaux ; 36 pièces ; 265 segments de mur ; 0 transitions. Inspection physique ; architecture complète encore ouverte.</x:v>
      </x:c>
      <x:c r="H2250" s="115" t="str">
        <x:v>L 92 ; l 154 ; hauteur 3,2 m ; choix de composition auteur ; dimensions réelles à documenter</x:v>
      </x:c>
      <x:c r="I2250" s="115" t="str">
        <x:v>À équilibrer</x:v>
      </x:c>
      <x:c r="J2250" s="115" t="str">
        <x:v>Non</x:v>
      </x:c>
      <x:c r="K2250" s="115" t="str">
        <x:v>Pièces décrites, murs, portes, niveaux et mobilier inspectables à l’échelle. Volumes réservés, raccord au seed, butin, rencontres et services de campagne restent à terminer.</x:v>
      </x:c>
    </x:row>
    <x:row r="2251" ht="96" customHeight="1">
      <x:c r="A2251" s="115" t="str">
        <x:v>EXT-MONDE-T045-V46</x:v>
      </x:c>
      <x:c r="B2251" s="115" t="str">
        <x:v>EXT-MONDE-T045</x:v>
      </x:c>
      <x:c r="C2251" s="115" t="str">
        <x:v>Trailer parks</x:v>
      </x:c>
      <x:c r="D2251" s="115" t="str">
        <x:v>Parc résidentiel de mobil-homes</x:v>
      </x:c>
      <x:c r="E2251" s="115" t="n">
        <x:v>46</x:v>
      </x:c>
      <x:c r="F2251" s="115" t="str">
        <x:v>Inspection physique</x:v>
      </x:c>
      <x:c r="G2251" s="115" t="str">
        <x:v>1 niveaux ; 48 pièces ; 351 segments de mur ; 0 transitions. Inspection physique ; architecture complète encore ouverte.</x:v>
      </x:c>
      <x:c r="H2251" s="115" t="str">
        <x:v>L 184 ; l 118 ; hauteur 3,2 m ; choix de composition auteur ; dimensions réelles à documenter</x:v>
      </x:c>
      <x:c r="I2251" s="115" t="str">
        <x:v>À équilibrer</x:v>
      </x:c>
      <x:c r="J2251" s="115" t="str">
        <x:v>Non</x:v>
      </x:c>
      <x:c r="K2251" s="115" t="str">
        <x:v>Pièces décrites, murs, portes, niveaux et mobilier inspectables à l’échelle. Volumes réservés, raccord au seed, butin, rencontres et services de campagne restent à terminer.</x:v>
      </x:c>
    </x:row>
    <x:row r="2252" ht="96" customHeight="1">
      <x:c r="A2252" s="115" t="str">
        <x:v>EXT-MONDE-T045-V47</x:v>
      </x:c>
      <x:c r="B2252" s="115" t="str">
        <x:v>EXT-MONDE-T045</x:v>
      </x:c>
      <x:c r="C2252" s="115" t="str">
        <x:v>Trailer parks</x:v>
      </x:c>
      <x:c r="D2252" s="115" t="str">
        <x:v>Parc résidentiel de mobil-homes</x:v>
      </x:c>
      <x:c r="E2252" s="115" t="n">
        <x:v>47</x:v>
      </x:c>
      <x:c r="F2252" s="115" t="str">
        <x:v>Inspection physique</x:v>
      </x:c>
      <x:c r="G2252" s="115" t="str">
        <x:v>1 niveaux ; 66 pièces ; 480 segments de mur ; 0 transitions. Inspection physique ; architecture complète encore ouverte.</x:v>
      </x:c>
      <x:c r="H2252" s="115" t="str">
        <x:v>L 184 ; l 128 ; hauteur 3,2 m ; choix de composition auteur ; dimensions réelles à documenter</x:v>
      </x:c>
      <x:c r="I2252" s="115" t="str">
        <x:v>À équilibrer</x:v>
      </x:c>
      <x:c r="J2252" s="115" t="str">
        <x:v>Non</x:v>
      </x:c>
      <x:c r="K2252" s="115" t="str">
        <x:v>Pièces décrites, murs, portes, niveaux et mobilier inspectables à l’échelle. Volumes réservés, raccord au seed, butin, rencontres et services de campagne restent à terminer.</x:v>
      </x:c>
    </x:row>
    <x:row r="2253" ht="96" customHeight="1">
      <x:c r="A2253" s="115" t="str">
        <x:v>EXT-MONDE-T045-V48</x:v>
      </x:c>
      <x:c r="B2253" s="115" t="str">
        <x:v>EXT-MONDE-T045</x:v>
      </x:c>
      <x:c r="C2253" s="115" t="str">
        <x:v>Trailer parks</x:v>
      </x:c>
      <x:c r="D2253" s="115" t="str">
        <x:v>Parc résidentiel de mobil-homes</x:v>
      </x:c>
      <x:c r="E2253" s="115" t="n">
        <x:v>48</x:v>
      </x:c>
      <x:c r="F2253" s="115" t="str">
        <x:v>Inspection physique</x:v>
      </x:c>
      <x:c r="G2253" s="115" t="str">
        <x:v>1 niveaux ; 54 pièces ; 394 segments de mur ; 0 transitions. Inspection physique ; architecture complète encore ouverte.</x:v>
      </x:c>
      <x:c r="H2253" s="115" t="str">
        <x:v>L 138 ; l 154 ; hauteur 3,2 m ; choix de composition auteur ; dimensions réelles à documenter</x:v>
      </x:c>
      <x:c r="I2253" s="115" t="str">
        <x:v>À équilibrer</x:v>
      </x:c>
      <x:c r="J2253" s="115" t="str">
        <x:v>Non</x:v>
      </x:c>
      <x:c r="K2253" s="115" t="str">
        <x:v>Pièces décrites, murs, portes, niveaux et mobilier inspectables à l’échelle. Volumes réservés, raccord au seed, butin, rencontres et services de campagne restent à terminer.</x:v>
      </x:c>
    </x:row>
    <x:row r="2254" ht="96" customHeight="1">
      <x:c r="A2254" s="115" t="str">
        <x:v>EXT-MONDE-T045-V49</x:v>
      </x:c>
      <x:c r="B2254" s="115" t="str">
        <x:v>EXT-MONDE-T045</x:v>
      </x:c>
      <x:c r="C2254" s="115" t="str">
        <x:v>Trailer parks</x:v>
      </x:c>
      <x:c r="D2254" s="115" t="str">
        <x:v>Parc résidentiel de mobil-homes</x:v>
      </x:c>
      <x:c r="E2254" s="115" t="n">
        <x:v>49</x:v>
      </x:c>
      <x:c r="F2254" s="115" t="str">
        <x:v>Inspection physique</x:v>
      </x:c>
      <x:c r="G2254" s="115" t="str">
        <x:v>1 niveaux ; 42 pièces ; 308 segments de mur ; 0 transitions. Inspection physique ; architecture complète encore ouverte.</x:v>
      </x:c>
      <x:c r="H2254" s="115" t="str">
        <x:v>L 138 ; l 128 ; hauteur 3,2 m ; choix de composition auteur ; dimensions réelles à documenter</x:v>
      </x:c>
      <x:c r="I2254" s="115" t="str">
        <x:v>À équilibrer</x:v>
      </x:c>
      <x:c r="J2254" s="115" t="str">
        <x:v>Non</x:v>
      </x:c>
      <x:c r="K2254" s="115" t="str">
        <x:v>Pièces décrites, murs, portes, niveaux et mobilier inspectables à l’échelle. Volumes réservés, raccord au seed, butin, rencontres et services de campagne restent à terminer.</x:v>
      </x:c>
    </x:row>
    <x:row r="2255" ht="96" customHeight="1">
      <x:c r="A2255" s="115" t="str">
        <x:v>EXT-MONDE-T045-V50</x:v>
      </x:c>
      <x:c r="B2255" s="115" t="str">
        <x:v>EXT-MONDE-T045</x:v>
      </x:c>
      <x:c r="C2255" s="115" t="str">
        <x:v>Trailer parks</x:v>
      </x:c>
      <x:c r="D2255" s="115" t="str">
        <x:v>Parc résidentiel de mobil-homes</x:v>
      </x:c>
      <x:c r="E2255" s="115" t="n">
        <x:v>50</x:v>
      </x:c>
      <x:c r="F2255" s="115" t="str">
        <x:v>Inspection physique</x:v>
      </x:c>
      <x:c r="G2255" s="115" t="str">
        <x:v>1 niveaux ; 72 pièces ; 523 segments de mur ; 0 transitions. Inspection physique ; architecture complète encore ouverte.</x:v>
      </x:c>
      <x:c r="H2255" s="115" t="str">
        <x:v>L 184 ; l 154 ; hauteur 3,2 m ; choix de composition auteur ; dimensions réelles à documenter</x:v>
      </x:c>
      <x:c r="I2255" s="115" t="str">
        <x:v>À équilibrer</x:v>
      </x:c>
      <x:c r="J2255" s="115" t="str">
        <x:v>Non</x:v>
      </x:c>
      <x:c r="K2255" s="115" t="str">
        <x:v>Pièces décrites, murs, portes, niveaux et mobilier inspectables à l’échelle. Volumes réservés, raccord au seed, butin, rencontres et services de campagne restent à terminer.</x:v>
      </x:c>
    </x:row>
    <x:row r="2256" ht="96" customHeight="1">
      <x:c r="A2256" s="115" t="str">
        <x:v>EXT-MONDE-T046-V01</x:v>
      </x:c>
      <x:c r="B2256" s="115" t="str">
        <x:v>EXT-MONDE-T046</x:v>
      </x:c>
      <x:c r="C2256" s="115" t="str">
        <x:v>Trailer parks</x:v>
      </x:c>
      <x:c r="D2256" s="115" t="str">
        <x:v>Camping caravanes</x:v>
      </x:c>
      <x:c r="E2256" s="115" t="n">
        <x:v>1</x:v>
      </x:c>
      <x:c r="F2256" s="115" t="str">
        <x:v>Inspection physique</x:v>
      </x:c>
      <x:c r="G2256" s="115" t="str">
        <x:v>1 niveaux ; 18 pièces ; 136 segments de mur ; 0 transitions. Inspection physique ; architecture complète encore ouverte.</x:v>
      </x:c>
      <x:c r="H2256" s="115" t="str">
        <x:v>L 122 ; l 118 ; hauteur 3,2 m ; choix de composition auteur ; dimensions réelles à documenter</x:v>
      </x:c>
      <x:c r="I2256" s="115" t="str">
        <x:v>À équilibrer</x:v>
      </x:c>
      <x:c r="J2256" s="115" t="str">
        <x:v>Non</x:v>
      </x:c>
      <x:c r="K2256" s="115" t="str">
        <x:v>Pièces décrites, murs, portes, niveaux et mobilier inspectables à l’échelle. Volumes réservés, raccord au seed, butin, rencontres et services de campagne restent à terminer.</x:v>
      </x:c>
    </x:row>
    <x:row r="2257" ht="96" customHeight="1">
      <x:c r="A2257" s="115" t="str">
        <x:v>EXT-MONDE-T046-V02</x:v>
      </x:c>
      <x:c r="B2257" s="115" t="str">
        <x:v>EXT-MONDE-T046</x:v>
      </x:c>
      <x:c r="C2257" s="115" t="str">
        <x:v>Trailer parks</x:v>
      </x:c>
      <x:c r="D2257" s="115" t="str">
        <x:v>Camping caravanes</x:v>
      </x:c>
      <x:c r="E2257" s="115" t="n">
        <x:v>2</x:v>
      </x:c>
      <x:c r="F2257" s="115" t="str">
        <x:v>Inspection physique</x:v>
      </x:c>
      <x:c r="G2257" s="115" t="str">
        <x:v>1 niveaux ; 18 pièces ; 136 segments de mur ; 0 transitions. Inspection physique ; architecture complète encore ouverte.</x:v>
      </x:c>
      <x:c r="H2257" s="115" t="str">
        <x:v>L 122 ; l 118 ; hauteur 3,2 m ; choix de composition auteur ; dimensions réelles à documenter</x:v>
      </x:c>
      <x:c r="I2257" s="115" t="str">
        <x:v>À équilibrer</x:v>
      </x:c>
      <x:c r="J2257" s="115" t="str">
        <x:v>Non</x:v>
      </x:c>
      <x:c r="K2257" s="115" t="str">
        <x:v>Pièces décrites, murs, portes, niveaux et mobilier inspectables à l’échelle. Volumes réservés, raccord au seed, butin, rencontres et services de campagne restent à terminer.</x:v>
      </x:c>
    </x:row>
    <x:row r="2258" ht="96" customHeight="1">
      <x:c r="A2258" s="115" t="str">
        <x:v>EXT-MONDE-T046-V03</x:v>
      </x:c>
      <x:c r="B2258" s="115" t="str">
        <x:v>EXT-MONDE-T046</x:v>
      </x:c>
      <x:c r="C2258" s="115" t="str">
        <x:v>Trailer parks</x:v>
      </x:c>
      <x:c r="D2258" s="115" t="str">
        <x:v>Camping caravanes</x:v>
      </x:c>
      <x:c r="E2258" s="115" t="n">
        <x:v>3</x:v>
      </x:c>
      <x:c r="F2258" s="115" t="str">
        <x:v>Inspection physique</x:v>
      </x:c>
      <x:c r="G2258" s="115" t="str">
        <x:v>1 niveaux ; 18 pièces ; 136 segments de mur ; 0 transitions. Inspection physique ; architecture complète encore ouverte.</x:v>
      </x:c>
      <x:c r="H2258" s="115" t="str">
        <x:v>L 122 ; l 138 ; hauteur 3,2 m ; choix de composition auteur ; dimensions réelles à documenter</x:v>
      </x:c>
      <x:c r="I2258" s="115" t="str">
        <x:v>À équilibrer</x:v>
      </x:c>
      <x:c r="J2258" s="115" t="str">
        <x:v>Non</x:v>
      </x:c>
      <x:c r="K2258" s="115" t="str">
        <x:v>Pièces décrites, murs, portes, niveaux et mobilier inspectables à l’échelle. Volumes réservés, raccord au seed, butin, rencontres et services de campagne restent à terminer.</x:v>
      </x:c>
    </x:row>
    <x:row r="2259" ht="96" customHeight="1">
      <x:c r="A2259" s="115" t="str">
        <x:v>EXT-MONDE-T046-V04</x:v>
      </x:c>
      <x:c r="B2259" s="115" t="str">
        <x:v>EXT-MONDE-T046</x:v>
      </x:c>
      <x:c r="C2259" s="115" t="str">
        <x:v>Trailer parks</x:v>
      </x:c>
      <x:c r="D2259" s="115" t="str">
        <x:v>Camping caravanes</x:v>
      </x:c>
      <x:c r="E2259" s="115" t="n">
        <x:v>4</x:v>
      </x:c>
      <x:c r="F2259" s="115" t="str">
        <x:v>Inspection physique</x:v>
      </x:c>
      <x:c r="G2259" s="115" t="str">
        <x:v>1 niveaux ; 18 pièces ; 136 segments de mur ; 0 transitions. Inspection physique ; architecture complète encore ouverte.</x:v>
      </x:c>
      <x:c r="H2259" s="115" t="str">
        <x:v>L 84 ; l 118 ; hauteur 3,2 m ; choix de composition auteur ; dimensions réelles à documenter</x:v>
      </x:c>
      <x:c r="I2259" s="115" t="str">
        <x:v>À équilibrer</x:v>
      </x:c>
      <x:c r="J2259" s="115" t="str">
        <x:v>Non</x:v>
      </x:c>
      <x:c r="K2259" s="115" t="str">
        <x:v>Pièces décrites, murs, portes, niveaux et mobilier inspectables à l’échelle. Volumes réservés, raccord au seed, butin, rencontres et services de campagne restent à terminer.</x:v>
      </x:c>
    </x:row>
    <x:row r="2260" ht="96" customHeight="1">
      <x:c r="A2260" s="115" t="str">
        <x:v>EXT-MONDE-T046-V05</x:v>
      </x:c>
      <x:c r="B2260" s="115" t="str">
        <x:v>EXT-MONDE-T046</x:v>
      </x:c>
      <x:c r="C2260" s="115" t="str">
        <x:v>Trailer parks</x:v>
      </x:c>
      <x:c r="D2260" s="115" t="str">
        <x:v>Camping caravanes</x:v>
      </x:c>
      <x:c r="E2260" s="115" t="n">
        <x:v>5</x:v>
      </x:c>
      <x:c r="F2260" s="115" t="str">
        <x:v>Inspection physique</x:v>
      </x:c>
      <x:c r="G2260" s="115" t="str">
        <x:v>1 niveaux ; 18 pièces ; 136 segments de mur ; 0 transitions. Inspection physique ; architecture complète encore ouverte.</x:v>
      </x:c>
      <x:c r="H2260" s="115" t="str">
        <x:v>L 84 ; l 138 ; hauteur 3,2 m ; choix de composition auteur ; dimensions réelles à documenter</x:v>
      </x:c>
      <x:c r="I2260" s="115" t="str">
        <x:v>À équilibrer</x:v>
      </x:c>
      <x:c r="J2260" s="115" t="str">
        <x:v>Non</x:v>
      </x:c>
      <x:c r="K2260" s="115" t="str">
        <x:v>Pièces décrites, murs, portes, niveaux et mobilier inspectables à l’échelle. Volumes réservés, raccord au seed, butin, rencontres et services de campagne restent à terminer.</x:v>
      </x:c>
    </x:row>
    <x:row r="2261" ht="96" customHeight="1">
      <x:c r="A2261" s="115" t="str">
        <x:v>EXT-MONDE-T046-V06</x:v>
      </x:c>
      <x:c r="B2261" s="115" t="str">
        <x:v>EXT-MONDE-T046</x:v>
      </x:c>
      <x:c r="C2261" s="115" t="str">
        <x:v>Trailer parks</x:v>
      </x:c>
      <x:c r="D2261" s="115" t="str">
        <x:v>Camping caravanes</x:v>
      </x:c>
      <x:c r="E2261" s="115" t="n">
        <x:v>6</x:v>
      </x:c>
      <x:c r="F2261" s="115" t="str">
        <x:v>Inspection physique</x:v>
      </x:c>
      <x:c r="G2261" s="115" t="str">
        <x:v>1 niveaux ; 18 pièces ; 136 segments de mur ; 0 transitions. Inspection physique ; architecture complète encore ouverte.</x:v>
      </x:c>
      <x:c r="H2261" s="115" t="str">
        <x:v>L 160 ; l 118 ; hauteur 3,2 m ; choix de composition auteur ; dimensions réelles à documenter</x:v>
      </x:c>
      <x:c r="I2261" s="115" t="str">
        <x:v>À équilibrer</x:v>
      </x:c>
      <x:c r="J2261" s="115" t="str">
        <x:v>Non</x:v>
      </x:c>
      <x:c r="K2261" s="115" t="str">
        <x:v>Pièces décrites, murs, portes, niveaux et mobilier inspectables à l’échelle. Volumes réservés, raccord au seed, butin, rencontres et services de campagne restent à terminer.</x:v>
      </x:c>
    </x:row>
    <x:row r="2262" ht="96" customHeight="1">
      <x:c r="A2262" s="115" t="str">
        <x:v>EXT-MONDE-T046-V07</x:v>
      </x:c>
      <x:c r="B2262" s="115" t="str">
        <x:v>EXT-MONDE-T046</x:v>
      </x:c>
      <x:c r="C2262" s="115" t="str">
        <x:v>Trailer parks</x:v>
      </x:c>
      <x:c r="D2262" s="115" t="str">
        <x:v>Camping caravanes</x:v>
      </x:c>
      <x:c r="E2262" s="115" t="n">
        <x:v>7</x:v>
      </x:c>
      <x:c r="F2262" s="115" t="str">
        <x:v>Inspection physique</x:v>
      </x:c>
      <x:c r="G2262" s="115" t="str">
        <x:v>1 niveaux ; 18 pièces ; 136 segments de mur ; 0 transitions. Inspection physique ; architecture complète encore ouverte.</x:v>
      </x:c>
      <x:c r="H2262" s="115" t="str">
        <x:v>L 160 ; l 118 ; hauteur 3,2 m ; choix de composition auteur ; dimensions réelles à documenter</x:v>
      </x:c>
      <x:c r="I2262" s="115" t="str">
        <x:v>À équilibrer</x:v>
      </x:c>
      <x:c r="J2262" s="115" t="str">
        <x:v>Non</x:v>
      </x:c>
      <x:c r="K2262" s="115" t="str">
        <x:v>Pièces décrites, murs, portes, niveaux et mobilier inspectables à l’échelle. Volumes réservés, raccord au seed, butin, rencontres et services de campagne restent à terminer.</x:v>
      </x:c>
    </x:row>
    <x:row r="2263" ht="96" customHeight="1">
      <x:c r="A2263" s="115" t="str">
        <x:v>EXT-MONDE-T046-V08</x:v>
      </x:c>
      <x:c r="B2263" s="115" t="str">
        <x:v>EXT-MONDE-T046</x:v>
      </x:c>
      <x:c r="C2263" s="115" t="str">
        <x:v>Trailer parks</x:v>
      </x:c>
      <x:c r="D2263" s="115" t="str">
        <x:v>Camping caravanes</x:v>
      </x:c>
      <x:c r="E2263" s="115" t="n">
        <x:v>8</x:v>
      </x:c>
      <x:c r="F2263" s="115" t="str">
        <x:v>Inspection physique</x:v>
      </x:c>
      <x:c r="G2263" s="115" t="str">
        <x:v>1 niveaux ; 18 pièces ; 136 segments de mur ; 0 transitions. Inspection physique ; architecture complète encore ouverte.</x:v>
      </x:c>
      <x:c r="H2263" s="115" t="str">
        <x:v>L 122 ; l 138 ; hauteur 3,2 m ; choix de composition auteur ; dimensions réelles à documenter</x:v>
      </x:c>
      <x:c r="I2263" s="115" t="str">
        <x:v>À équilibrer</x:v>
      </x:c>
      <x:c r="J2263" s="115" t="str">
        <x:v>Non</x:v>
      </x:c>
      <x:c r="K2263" s="115" t="str">
        <x:v>Pièces décrites, murs, portes, niveaux et mobilier inspectables à l’échelle. Volumes réservés, raccord au seed, butin, rencontres et services de campagne restent à terminer.</x:v>
      </x:c>
    </x:row>
    <x:row r="2264" ht="96" customHeight="1">
      <x:c r="A2264" s="115" t="str">
        <x:v>EXT-MONDE-T046-V09</x:v>
      </x:c>
      <x:c r="B2264" s="115" t="str">
        <x:v>EXT-MONDE-T046</x:v>
      </x:c>
      <x:c r="C2264" s="115" t="str">
        <x:v>Trailer parks</x:v>
      </x:c>
      <x:c r="D2264" s="115" t="str">
        <x:v>Camping caravanes</x:v>
      </x:c>
      <x:c r="E2264" s="115" t="n">
        <x:v>9</x:v>
      </x:c>
      <x:c r="F2264" s="115" t="str">
        <x:v>Inspection physique</x:v>
      </x:c>
      <x:c r="G2264" s="115" t="str">
        <x:v>1 niveaux ; 18 pièces ; 136 segments de mur ; 0 transitions. Inspection physique ; architecture complète encore ouverte.</x:v>
      </x:c>
      <x:c r="H2264" s="115" t="str">
        <x:v>L 122 ; l 118 ; hauteur 3,2 m ; choix de composition auteur ; dimensions réelles à documenter</x:v>
      </x:c>
      <x:c r="I2264" s="115" t="str">
        <x:v>À équilibrer</x:v>
      </x:c>
      <x:c r="J2264" s="115" t="str">
        <x:v>Non</x:v>
      </x:c>
      <x:c r="K2264" s="115" t="str">
        <x:v>Pièces décrites, murs, portes, niveaux et mobilier inspectables à l’échelle. Volumes réservés, raccord au seed, butin, rencontres et services de campagne restent à terminer.</x:v>
      </x:c>
    </x:row>
    <x:row r="2265" ht="96" customHeight="1">
      <x:c r="A2265" s="115" t="str">
        <x:v>EXT-MONDE-T046-V10</x:v>
      </x:c>
      <x:c r="B2265" s="115" t="str">
        <x:v>EXT-MONDE-T046</x:v>
      </x:c>
      <x:c r="C2265" s="115" t="str">
        <x:v>Trailer parks</x:v>
      </x:c>
      <x:c r="D2265" s="115" t="str">
        <x:v>Camping caravanes</x:v>
      </x:c>
      <x:c r="E2265" s="115" t="n">
        <x:v>10</x:v>
      </x:c>
      <x:c r="F2265" s="115" t="str">
        <x:v>Inspection physique</x:v>
      </x:c>
      <x:c r="G2265" s="115" t="str">
        <x:v>1 niveaux ; 18 pièces ; 136 segments de mur ; 0 transitions. Inspection physique ; architecture complète encore ouverte.</x:v>
      </x:c>
      <x:c r="H2265" s="115" t="str">
        <x:v>L 160 ; l 138 ; hauteur 3,2 m ; choix de composition auteur ; dimensions réelles à documenter</x:v>
      </x:c>
      <x:c r="I2265" s="115" t="str">
        <x:v>À équilibrer</x:v>
      </x:c>
      <x:c r="J2265" s="115" t="str">
        <x:v>Non</x:v>
      </x:c>
      <x:c r="K2265" s="115" t="str">
        <x:v>Pièces décrites, murs, portes, niveaux et mobilier inspectables à l’échelle. Volumes réservés, raccord au seed, butin, rencontres et services de campagne restent à terminer.</x:v>
      </x:c>
    </x:row>
    <x:row r="2266" ht="96" customHeight="1">
      <x:c r="A2266" s="115" t="str">
        <x:v>EXT-MONDE-T046-V11</x:v>
      </x:c>
      <x:c r="B2266" s="115" t="str">
        <x:v>EXT-MONDE-T046</x:v>
      </x:c>
      <x:c r="C2266" s="115" t="str">
        <x:v>Trailer parks</x:v>
      </x:c>
      <x:c r="D2266" s="115" t="str">
        <x:v>Camping caravanes</x:v>
      </x:c>
      <x:c r="E2266" s="115" t="n">
        <x:v>11</x:v>
      </x:c>
      <x:c r="F2266" s="115" t="str">
        <x:v>Inspection physique</x:v>
      </x:c>
      <x:c r="G2266" s="115" t="str">
        <x:v>1 niveaux ; 18 pièces ; 136 segments de mur ; 0 transitions. Inspection physique ; architecture complète encore ouverte.</x:v>
      </x:c>
      <x:c r="H2266" s="115" t="str">
        <x:v>L 126 ; l 118 ; hauteur 3,2 m ; choix de composition auteur ; dimensions réelles à documenter</x:v>
      </x:c>
      <x:c r="I2266" s="115" t="str">
        <x:v>À équilibrer</x:v>
      </x:c>
      <x:c r="J2266" s="115" t="str">
        <x:v>Non</x:v>
      </x:c>
      <x:c r="K2266" s="115" t="str">
        <x:v>Pièces décrites, murs, portes, niveaux et mobilier inspectables à l’échelle. Volumes réservés, raccord au seed, butin, rencontres et services de campagne restent à terminer.</x:v>
      </x:c>
    </x:row>
    <x:row r="2267" ht="96" customHeight="1">
      <x:c r="A2267" s="115" t="str">
        <x:v>EXT-MONDE-T046-V12</x:v>
      </x:c>
      <x:c r="B2267" s="115" t="str">
        <x:v>EXT-MONDE-T046</x:v>
      </x:c>
      <x:c r="C2267" s="115" t="str">
        <x:v>Trailer parks</x:v>
      </x:c>
      <x:c r="D2267" s="115" t="str">
        <x:v>Camping caravanes</x:v>
      </x:c>
      <x:c r="E2267" s="115" t="n">
        <x:v>12</x:v>
      </x:c>
      <x:c r="F2267" s="115" t="str">
        <x:v>Inspection physique</x:v>
      </x:c>
      <x:c r="G2267" s="115" t="str">
        <x:v>1 niveaux ; 18 pièces ; 136 segments de mur ; 0 transitions. Inspection physique ; architecture complète encore ouverte.</x:v>
      </x:c>
      <x:c r="H2267" s="115" t="str">
        <x:v>L 126 ; l 119 ; hauteur 3,2 m ; choix de composition auteur ; dimensions réelles à documenter</x:v>
      </x:c>
      <x:c r="I2267" s="115" t="str">
        <x:v>À équilibrer</x:v>
      </x:c>
      <x:c r="J2267" s="115" t="str">
        <x:v>Non</x:v>
      </x:c>
      <x:c r="K2267" s="115" t="str">
        <x:v>Pièces décrites, murs, portes, niveaux et mobilier inspectables à l’échelle. Volumes réservés, raccord au seed, butin, rencontres et services de campagne restent à terminer.</x:v>
      </x:c>
    </x:row>
    <x:row r="2268" ht="96" customHeight="1">
      <x:c r="A2268" s="115" t="str">
        <x:v>EXT-MONDE-T046-V13</x:v>
      </x:c>
      <x:c r="B2268" s="115" t="str">
        <x:v>EXT-MONDE-T046</x:v>
      </x:c>
      <x:c r="C2268" s="115" t="str">
        <x:v>Trailer parks</x:v>
      </x:c>
      <x:c r="D2268" s="115" t="str">
        <x:v>Camping caravanes</x:v>
      </x:c>
      <x:c r="E2268" s="115" t="n">
        <x:v>13</x:v>
      </x:c>
      <x:c r="F2268" s="115" t="str">
        <x:v>Inspection physique</x:v>
      </x:c>
      <x:c r="G2268" s="115" t="str">
        <x:v>1 niveaux ; 18 pièces ; 136 segments de mur ; 0 transitions. Inspection physique ; architecture complète encore ouverte.</x:v>
      </x:c>
      <x:c r="H2268" s="115" t="str">
        <x:v>L 126 ; l 142 ; hauteur 3,2 m ; choix de composition auteur ; dimensions réelles à documenter</x:v>
      </x:c>
      <x:c r="I2268" s="115" t="str">
        <x:v>À équilibrer</x:v>
      </x:c>
      <x:c r="J2268" s="115" t="str">
        <x:v>Non</x:v>
      </x:c>
      <x:c r="K2268" s="115" t="str">
        <x:v>Pièces décrites, murs, portes, niveaux et mobilier inspectables à l’échelle. Volumes réservés, raccord au seed, butin, rencontres et services de campagne restent à terminer.</x:v>
      </x:c>
    </x:row>
    <x:row r="2269" ht="96" customHeight="1">
      <x:c r="A2269" s="115" t="str">
        <x:v>EXT-MONDE-T046-V14</x:v>
      </x:c>
      <x:c r="B2269" s="115" t="str">
        <x:v>EXT-MONDE-T046</x:v>
      </x:c>
      <x:c r="C2269" s="115" t="str">
        <x:v>Trailer parks</x:v>
      </x:c>
      <x:c r="D2269" s="115" t="str">
        <x:v>Camping caravanes</x:v>
      </x:c>
      <x:c r="E2269" s="115" t="n">
        <x:v>14</x:v>
      </x:c>
      <x:c r="F2269" s="115" t="str">
        <x:v>Inspection physique</x:v>
      </x:c>
      <x:c r="G2269" s="115" t="str">
        <x:v>1 niveaux ; 18 pièces ; 136 segments de mur ; 0 transitions. Inspection physique ; architecture complète encore ouverte.</x:v>
      </x:c>
      <x:c r="H2269" s="115" t="str">
        <x:v>L 86 ; l 119 ; hauteur 3,2 m ; choix de composition auteur ; dimensions réelles à documenter</x:v>
      </x:c>
      <x:c r="I2269" s="115" t="str">
        <x:v>À équilibrer</x:v>
      </x:c>
      <x:c r="J2269" s="115" t="str">
        <x:v>Non</x:v>
      </x:c>
      <x:c r="K2269" s="115" t="str">
        <x:v>Pièces décrites, murs, portes, niveaux et mobilier inspectables à l’échelle. Volumes réservés, raccord au seed, butin, rencontres et services de campagne restent à terminer.</x:v>
      </x:c>
    </x:row>
    <x:row r="2270" ht="96" customHeight="1">
      <x:c r="A2270" s="115" t="str">
        <x:v>EXT-MONDE-T046-V15</x:v>
      </x:c>
      <x:c r="B2270" s="115" t="str">
        <x:v>EXT-MONDE-T046</x:v>
      </x:c>
      <x:c r="C2270" s="115" t="str">
        <x:v>Trailer parks</x:v>
      </x:c>
      <x:c r="D2270" s="115" t="str">
        <x:v>Camping caravanes</x:v>
      </x:c>
      <x:c r="E2270" s="115" t="n">
        <x:v>15</x:v>
      </x:c>
      <x:c r="F2270" s="115" t="str">
        <x:v>Inspection physique</x:v>
      </x:c>
      <x:c r="G2270" s="115" t="str">
        <x:v>1 niveaux ; 18 pièces ; 136 segments de mur ; 0 transitions. Inspection physique ; architecture complète encore ouverte.</x:v>
      </x:c>
      <x:c r="H2270" s="115" t="str">
        <x:v>L 86 ; l 142 ; hauteur 3,2 m ; choix de composition auteur ; dimensions réelles à documenter</x:v>
      </x:c>
      <x:c r="I2270" s="115" t="str">
        <x:v>À équilibrer</x:v>
      </x:c>
      <x:c r="J2270" s="115" t="str">
        <x:v>Non</x:v>
      </x:c>
      <x:c r="K2270" s="115" t="str">
        <x:v>Pièces décrites, murs, portes, niveaux et mobilier inspectables à l’échelle. Volumes réservés, raccord au seed, butin, rencontres et services de campagne restent à terminer.</x:v>
      </x:c>
    </x:row>
    <x:row r="2271" ht="96" customHeight="1">
      <x:c r="A2271" s="115" t="str">
        <x:v>EXT-MONDE-T046-V16</x:v>
      </x:c>
      <x:c r="B2271" s="115" t="str">
        <x:v>EXT-MONDE-T046</x:v>
      </x:c>
      <x:c r="C2271" s="115" t="str">
        <x:v>Trailer parks</x:v>
      </x:c>
      <x:c r="D2271" s="115" t="str">
        <x:v>Camping caravanes</x:v>
      </x:c>
      <x:c r="E2271" s="115" t="n">
        <x:v>16</x:v>
      </x:c>
      <x:c r="F2271" s="115" t="str">
        <x:v>Inspection physique</x:v>
      </x:c>
      <x:c r="G2271" s="115" t="str">
        <x:v>1 niveaux ; 18 pièces ; 136 segments de mur ; 0 transitions. Inspection physique ; architecture complète encore ouverte.</x:v>
      </x:c>
      <x:c r="H2271" s="115" t="str">
        <x:v>L 166 ; l 118 ; hauteur 3,2 m ; choix de composition auteur ; dimensions réelles à documenter</x:v>
      </x:c>
      <x:c r="I2271" s="115" t="str">
        <x:v>À équilibrer</x:v>
      </x:c>
      <x:c r="J2271" s="115" t="str">
        <x:v>Non</x:v>
      </x:c>
      <x:c r="K2271" s="115" t="str">
        <x:v>Pièces décrites, murs, portes, niveaux et mobilier inspectables à l’échelle. Volumes réservés, raccord au seed, butin, rencontres et services de campagne restent à terminer.</x:v>
      </x:c>
    </x:row>
    <x:row r="2272" ht="96" customHeight="1">
      <x:c r="A2272" s="115" t="str">
        <x:v>EXT-MONDE-T046-V17</x:v>
      </x:c>
      <x:c r="B2272" s="115" t="str">
        <x:v>EXT-MONDE-T046</x:v>
      </x:c>
      <x:c r="C2272" s="115" t="str">
        <x:v>Trailer parks</x:v>
      </x:c>
      <x:c r="D2272" s="115" t="str">
        <x:v>Camping caravanes</x:v>
      </x:c>
      <x:c r="E2272" s="115" t="n">
        <x:v>17</x:v>
      </x:c>
      <x:c r="F2272" s="115" t="str">
        <x:v>Inspection physique</x:v>
      </x:c>
      <x:c r="G2272" s="115" t="str">
        <x:v>1 niveaux ; 18 pièces ; 136 segments de mur ; 0 transitions. Inspection physique ; architecture complète encore ouverte.</x:v>
      </x:c>
      <x:c r="H2272" s="115" t="str">
        <x:v>L 166 ; l 119 ; hauteur 3,2 m ; choix de composition auteur ; dimensions réelles à documenter</x:v>
      </x:c>
      <x:c r="I2272" s="115" t="str">
        <x:v>À équilibrer</x:v>
      </x:c>
      <x:c r="J2272" s="115" t="str">
        <x:v>Non</x:v>
      </x:c>
      <x:c r="K2272" s="115" t="str">
        <x:v>Pièces décrites, murs, portes, niveaux et mobilier inspectables à l’échelle. Volumes réservés, raccord au seed, butin, rencontres et services de campagne restent à terminer.</x:v>
      </x:c>
    </x:row>
    <x:row r="2273" ht="96" customHeight="1">
      <x:c r="A2273" s="115" t="str">
        <x:v>EXT-MONDE-T046-V18</x:v>
      </x:c>
      <x:c r="B2273" s="115" t="str">
        <x:v>EXT-MONDE-T046</x:v>
      </x:c>
      <x:c r="C2273" s="115" t="str">
        <x:v>Trailer parks</x:v>
      </x:c>
      <x:c r="D2273" s="115" t="str">
        <x:v>Camping caravanes</x:v>
      </x:c>
      <x:c r="E2273" s="115" t="n">
        <x:v>18</x:v>
      </x:c>
      <x:c r="F2273" s="115" t="str">
        <x:v>Inspection physique</x:v>
      </x:c>
      <x:c r="G2273" s="115" t="str">
        <x:v>1 niveaux ; 18 pièces ; 136 segments de mur ; 0 transitions. Inspection physique ; architecture complète encore ouverte.</x:v>
      </x:c>
      <x:c r="H2273" s="115" t="str">
        <x:v>L 126 ; l 142 ; hauteur 3,2 m ; choix de composition auteur ; dimensions réelles à documenter</x:v>
      </x:c>
      <x:c r="I2273" s="115" t="str">
        <x:v>À équilibrer</x:v>
      </x:c>
      <x:c r="J2273" s="115" t="str">
        <x:v>Non</x:v>
      </x:c>
      <x:c r="K2273" s="115" t="str">
        <x:v>Pièces décrites, murs, portes, niveaux et mobilier inspectables à l’échelle. Volumes réservés, raccord au seed, butin, rencontres et services de campagne restent à terminer.</x:v>
      </x:c>
    </x:row>
    <x:row r="2274" ht="96" customHeight="1">
      <x:c r="A2274" s="115" t="str">
        <x:v>EXT-MONDE-T046-V19</x:v>
      </x:c>
      <x:c r="B2274" s="115" t="str">
        <x:v>EXT-MONDE-T046</x:v>
      </x:c>
      <x:c r="C2274" s="115" t="str">
        <x:v>Trailer parks</x:v>
      </x:c>
      <x:c r="D2274" s="115" t="str">
        <x:v>Camping caravanes</x:v>
      </x:c>
      <x:c r="E2274" s="115" t="n">
        <x:v>19</x:v>
      </x:c>
      <x:c r="F2274" s="115" t="str">
        <x:v>Inspection physique</x:v>
      </x:c>
      <x:c r="G2274" s="115" t="str">
        <x:v>1 niveaux ; 18 pièces ; 136 segments de mur ; 0 transitions. Inspection physique ; architecture complète encore ouverte.</x:v>
      </x:c>
      <x:c r="H2274" s="115" t="str">
        <x:v>L 126 ; l 119 ; hauteur 3,2 m ; choix de composition auteur ; dimensions réelles à documenter</x:v>
      </x:c>
      <x:c r="I2274" s="115" t="str">
        <x:v>À équilibrer</x:v>
      </x:c>
      <x:c r="J2274" s="115" t="str">
        <x:v>Non</x:v>
      </x:c>
      <x:c r="K2274" s="115" t="str">
        <x:v>Pièces décrites, murs, portes, niveaux et mobilier inspectables à l’échelle. Volumes réservés, raccord au seed, butin, rencontres et services de campagne restent à terminer.</x:v>
      </x:c>
    </x:row>
    <x:row r="2275" ht="96" customHeight="1">
      <x:c r="A2275" s="115" t="str">
        <x:v>EXT-MONDE-T046-V20</x:v>
      </x:c>
      <x:c r="B2275" s="115" t="str">
        <x:v>EXT-MONDE-T046</x:v>
      </x:c>
      <x:c r="C2275" s="115" t="str">
        <x:v>Trailer parks</x:v>
      </x:c>
      <x:c r="D2275" s="115" t="str">
        <x:v>Camping caravanes</x:v>
      </x:c>
      <x:c r="E2275" s="115" t="n">
        <x:v>20</x:v>
      </x:c>
      <x:c r="F2275" s="115" t="str">
        <x:v>Inspection physique</x:v>
      </x:c>
      <x:c r="G2275" s="115" t="str">
        <x:v>1 niveaux ; 18 pièces ; 136 segments de mur ; 0 transitions. Inspection physique ; architecture complète encore ouverte.</x:v>
      </x:c>
      <x:c r="H2275" s="115" t="str">
        <x:v>L 166 ; l 142 ; hauteur 3,2 m ; choix de composition auteur ; dimensions réelles à documenter</x:v>
      </x:c>
      <x:c r="I2275" s="115" t="str">
        <x:v>À équilibrer</x:v>
      </x:c>
      <x:c r="J2275" s="115" t="str">
        <x:v>Non</x:v>
      </x:c>
      <x:c r="K2275" s="115" t="str">
        <x:v>Pièces décrites, murs, portes, niveaux et mobilier inspectables à l’échelle. Volumes réservés, raccord au seed, butin, rencontres et services de campagne restent à terminer.</x:v>
      </x:c>
    </x:row>
    <x:row r="2276" ht="96" customHeight="1">
      <x:c r="A2276" s="115" t="str">
        <x:v>EXT-MONDE-T046-V21</x:v>
      </x:c>
      <x:c r="B2276" s="115" t="str">
        <x:v>EXT-MONDE-T046</x:v>
      </x:c>
      <x:c r="C2276" s="115" t="str">
        <x:v>Trailer parks</x:v>
      </x:c>
      <x:c r="D2276" s="115" t="str">
        <x:v>Camping caravanes</x:v>
      </x:c>
      <x:c r="E2276" s="115" t="n">
        <x:v>21</x:v>
      </x:c>
      <x:c r="F2276" s="115" t="str">
        <x:v>Inspection physique</x:v>
      </x:c>
      <x:c r="G2276" s="115" t="str">
        <x:v>1 niveaux ; 18 pièces ; 136 segments de mur ; 0 transitions. Inspection physique ; architecture complète encore ouverte.</x:v>
      </x:c>
      <x:c r="H2276" s="115" t="str">
        <x:v>L 130 ; l 118 ; hauteur 3,2 m ; choix de composition auteur ; dimensions réelles à documenter</x:v>
      </x:c>
      <x:c r="I2276" s="115" t="str">
        <x:v>À équilibrer</x:v>
      </x:c>
      <x:c r="J2276" s="115" t="str">
        <x:v>Non</x:v>
      </x:c>
      <x:c r="K2276" s="115" t="str">
        <x:v>Pièces décrites, murs, portes, niveaux et mobilier inspectables à l’échelle. Volumes réservés, raccord au seed, butin, rencontres et services de campagne restent à terminer.</x:v>
      </x:c>
    </x:row>
    <x:row r="2277" ht="96" customHeight="1">
      <x:c r="A2277" s="115" t="str">
        <x:v>EXT-MONDE-T046-V22</x:v>
      </x:c>
      <x:c r="B2277" s="115" t="str">
        <x:v>EXT-MONDE-T046</x:v>
      </x:c>
      <x:c r="C2277" s="115" t="str">
        <x:v>Trailer parks</x:v>
      </x:c>
      <x:c r="D2277" s="115" t="str">
        <x:v>Camping caravanes</x:v>
      </x:c>
      <x:c r="E2277" s="115" t="n">
        <x:v>22</x:v>
      </x:c>
      <x:c r="F2277" s="115" t="str">
        <x:v>Inspection physique</x:v>
      </x:c>
      <x:c r="G2277" s="115" t="str">
        <x:v>1 niveaux ; 18 pièces ; 136 segments de mur ; 0 transitions. Inspection physique ; architecture complète encore ouverte.</x:v>
      </x:c>
      <x:c r="H2277" s="115" t="str">
        <x:v>L 130 ; l 122 ; hauteur 3,2 m ; choix de composition auteur ; dimensions réelles à documenter</x:v>
      </x:c>
      <x:c r="I2277" s="115" t="str">
        <x:v>À équilibrer</x:v>
      </x:c>
      <x:c r="J2277" s="115" t="str">
        <x:v>Non</x:v>
      </x:c>
      <x:c r="K2277" s="115" t="str">
        <x:v>Pièces décrites, murs, portes, niveaux et mobilier inspectables à l’échelle. Volumes réservés, raccord au seed, butin, rencontres et services de campagne restent à terminer.</x:v>
      </x:c>
    </x:row>
    <x:row r="2278" ht="96" customHeight="1">
      <x:c r="A2278" s="115" t="str">
        <x:v>EXT-MONDE-T046-V23</x:v>
      </x:c>
      <x:c r="B2278" s="115" t="str">
        <x:v>EXT-MONDE-T046</x:v>
      </x:c>
      <x:c r="C2278" s="115" t="str">
        <x:v>Trailer parks</x:v>
      </x:c>
      <x:c r="D2278" s="115" t="str">
        <x:v>Camping caravanes</x:v>
      </x:c>
      <x:c r="E2278" s="115" t="n">
        <x:v>23</x:v>
      </x:c>
      <x:c r="F2278" s="115" t="str">
        <x:v>Inspection physique</x:v>
      </x:c>
      <x:c r="G2278" s="115" t="str">
        <x:v>1 niveaux ; 18 pièces ; 136 segments de mur ; 0 transitions. Inspection physique ; architecture complète encore ouverte.</x:v>
      </x:c>
      <x:c r="H2278" s="115" t="str">
        <x:v>L 130 ; l 146 ; hauteur 3,2 m ; choix de composition auteur ; dimensions réelles à documenter</x:v>
      </x:c>
      <x:c r="I2278" s="115" t="str">
        <x:v>À équilibrer</x:v>
      </x:c>
      <x:c r="J2278" s="115" t="str">
        <x:v>Non</x:v>
      </x:c>
      <x:c r="K2278" s="115" t="str">
        <x:v>Pièces décrites, murs, portes, niveaux et mobilier inspectables à l’échelle. Volumes réservés, raccord au seed, butin, rencontres et services de campagne restent à terminer.</x:v>
      </x:c>
    </x:row>
    <x:row r="2279" ht="96" customHeight="1">
      <x:c r="A2279" s="115" t="str">
        <x:v>EXT-MONDE-T046-V24</x:v>
      </x:c>
      <x:c r="B2279" s="115" t="str">
        <x:v>EXT-MONDE-T046</x:v>
      </x:c>
      <x:c r="C2279" s="115" t="str">
        <x:v>Trailer parks</x:v>
      </x:c>
      <x:c r="D2279" s="115" t="str">
        <x:v>Camping caravanes</x:v>
      </x:c>
      <x:c r="E2279" s="115" t="n">
        <x:v>24</x:v>
      </x:c>
      <x:c r="F2279" s="115" t="str">
        <x:v>Inspection physique</x:v>
      </x:c>
      <x:c r="G2279" s="115" t="str">
        <x:v>1 niveaux ; 18 pièces ; 136 segments de mur ; 0 transitions. Inspection physique ; architecture complète encore ouverte.</x:v>
      </x:c>
      <x:c r="H2279" s="115" t="str">
        <x:v>L 88 ; l 122 ; hauteur 3,2 m ; choix de composition auteur ; dimensions réelles à documenter</x:v>
      </x:c>
      <x:c r="I2279" s="115" t="str">
        <x:v>À équilibrer</x:v>
      </x:c>
      <x:c r="J2279" s="115" t="str">
        <x:v>Non</x:v>
      </x:c>
      <x:c r="K2279" s="115" t="str">
        <x:v>Pièces décrites, murs, portes, niveaux et mobilier inspectables à l’échelle. Volumes réservés, raccord au seed, butin, rencontres et services de campagne restent à terminer.</x:v>
      </x:c>
    </x:row>
    <x:row r="2280" ht="96" customHeight="1">
      <x:c r="A2280" s="115" t="str">
        <x:v>EXT-MONDE-T046-V25</x:v>
      </x:c>
      <x:c r="B2280" s="115" t="str">
        <x:v>EXT-MONDE-T046</x:v>
      </x:c>
      <x:c r="C2280" s="115" t="str">
        <x:v>Trailer parks</x:v>
      </x:c>
      <x:c r="D2280" s="115" t="str">
        <x:v>Camping caravanes</x:v>
      </x:c>
      <x:c r="E2280" s="115" t="n">
        <x:v>25</x:v>
      </x:c>
      <x:c r="F2280" s="115" t="str">
        <x:v>Inspection physique</x:v>
      </x:c>
      <x:c r="G2280" s="115" t="str">
        <x:v>1 niveaux ; 18 pièces ; 136 segments de mur ; 0 transitions. Inspection physique ; architecture complète encore ouverte.</x:v>
      </x:c>
      <x:c r="H2280" s="115" t="str">
        <x:v>L 88 ; l 146 ; hauteur 3,2 m ; choix de composition auteur ; dimensions réelles à documenter</x:v>
      </x:c>
      <x:c r="I2280" s="115" t="str">
        <x:v>À équilibrer</x:v>
      </x:c>
      <x:c r="J2280" s="115" t="str">
        <x:v>Non</x:v>
      </x:c>
      <x:c r="K2280" s="115" t="str">
        <x:v>Pièces décrites, murs, portes, niveaux et mobilier inspectables à l’échelle. Volumes réservés, raccord au seed, butin, rencontres et services de campagne restent à terminer.</x:v>
      </x:c>
    </x:row>
    <x:row r="2281" ht="96" customHeight="1">
      <x:c r="A2281" s="115" t="str">
        <x:v>EXT-MONDE-T046-V26</x:v>
      </x:c>
      <x:c r="B2281" s="115" t="str">
        <x:v>EXT-MONDE-T046</x:v>
      </x:c>
      <x:c r="C2281" s="115" t="str">
        <x:v>Trailer parks</x:v>
      </x:c>
      <x:c r="D2281" s="115" t="str">
        <x:v>Camping caravanes</x:v>
      </x:c>
      <x:c r="E2281" s="115" t="n">
        <x:v>26</x:v>
      </x:c>
      <x:c r="F2281" s="115" t="str">
        <x:v>Inspection physique</x:v>
      </x:c>
      <x:c r="G2281" s="115" t="str">
        <x:v>1 niveaux ; 18 pièces ; 136 segments de mur ; 0 transitions. Inspection physique ; architecture complète encore ouverte.</x:v>
      </x:c>
      <x:c r="H2281" s="115" t="str">
        <x:v>L 172 ; l 118 ; hauteur 3,2 m ; choix de composition auteur ; dimensions réelles à documenter</x:v>
      </x:c>
      <x:c r="I2281" s="115" t="str">
        <x:v>À équilibrer</x:v>
      </x:c>
      <x:c r="J2281" s="115" t="str">
        <x:v>Non</x:v>
      </x:c>
      <x:c r="K2281" s="115" t="str">
        <x:v>Pièces décrites, murs, portes, niveaux et mobilier inspectables à l’échelle. Volumes réservés, raccord au seed, butin, rencontres et services de campagne restent à terminer.</x:v>
      </x:c>
    </x:row>
    <x:row r="2282" ht="96" customHeight="1">
      <x:c r="A2282" s="115" t="str">
        <x:v>EXT-MONDE-T046-V27</x:v>
      </x:c>
      <x:c r="B2282" s="115" t="str">
        <x:v>EXT-MONDE-T046</x:v>
      </x:c>
      <x:c r="C2282" s="115" t="str">
        <x:v>Trailer parks</x:v>
      </x:c>
      <x:c r="D2282" s="115" t="str">
        <x:v>Camping caravanes</x:v>
      </x:c>
      <x:c r="E2282" s="115" t="n">
        <x:v>27</x:v>
      </x:c>
      <x:c r="F2282" s="115" t="str">
        <x:v>Inspection physique</x:v>
      </x:c>
      <x:c r="G2282" s="115" t="str">
        <x:v>1 niveaux ; 18 pièces ; 136 segments de mur ; 0 transitions. Inspection physique ; architecture complète encore ouverte.</x:v>
      </x:c>
      <x:c r="H2282" s="115" t="str">
        <x:v>L 172 ; l 122 ; hauteur 3,2 m ; choix de composition auteur ; dimensions réelles à documenter</x:v>
      </x:c>
      <x:c r="I2282" s="115" t="str">
        <x:v>À équilibrer</x:v>
      </x:c>
      <x:c r="J2282" s="115" t="str">
        <x:v>Non</x:v>
      </x:c>
      <x:c r="K2282" s="115" t="str">
        <x:v>Pièces décrites, murs, portes, niveaux et mobilier inspectables à l’échelle. Volumes réservés, raccord au seed, butin, rencontres et services de campagne restent à terminer.</x:v>
      </x:c>
    </x:row>
    <x:row r="2283" ht="96" customHeight="1">
      <x:c r="A2283" s="115" t="str">
        <x:v>EXT-MONDE-T046-V28</x:v>
      </x:c>
      <x:c r="B2283" s="115" t="str">
        <x:v>EXT-MONDE-T046</x:v>
      </x:c>
      <x:c r="C2283" s="115" t="str">
        <x:v>Trailer parks</x:v>
      </x:c>
      <x:c r="D2283" s="115" t="str">
        <x:v>Camping caravanes</x:v>
      </x:c>
      <x:c r="E2283" s="115" t="n">
        <x:v>28</x:v>
      </x:c>
      <x:c r="F2283" s="115" t="str">
        <x:v>Inspection physique</x:v>
      </x:c>
      <x:c r="G2283" s="115" t="str">
        <x:v>1 niveaux ; 18 pièces ; 136 segments de mur ; 0 transitions. Inspection physique ; architecture complète encore ouverte.</x:v>
      </x:c>
      <x:c r="H2283" s="115" t="str">
        <x:v>L 130 ; l 146 ; hauteur 3,2 m ; choix de composition auteur ; dimensions réelles à documenter</x:v>
      </x:c>
      <x:c r="I2283" s="115" t="str">
        <x:v>À équilibrer</x:v>
      </x:c>
      <x:c r="J2283" s="115" t="str">
        <x:v>Non</x:v>
      </x:c>
      <x:c r="K2283" s="115" t="str">
        <x:v>Pièces décrites, murs, portes, niveaux et mobilier inspectables à l’échelle. Volumes réservés, raccord au seed, butin, rencontres et services de campagne restent à terminer.</x:v>
      </x:c>
    </x:row>
    <x:row r="2284" ht="96" customHeight="1">
      <x:c r="A2284" s="115" t="str">
        <x:v>EXT-MONDE-T046-V29</x:v>
      </x:c>
      <x:c r="B2284" s="115" t="str">
        <x:v>EXT-MONDE-T046</x:v>
      </x:c>
      <x:c r="C2284" s="115" t="str">
        <x:v>Trailer parks</x:v>
      </x:c>
      <x:c r="D2284" s="115" t="str">
        <x:v>Camping caravanes</x:v>
      </x:c>
      <x:c r="E2284" s="115" t="n">
        <x:v>29</x:v>
      </x:c>
      <x:c r="F2284" s="115" t="str">
        <x:v>Inspection physique</x:v>
      </x:c>
      <x:c r="G2284" s="115" t="str">
        <x:v>1 niveaux ; 18 pièces ; 136 segments de mur ; 0 transitions. Inspection physique ; architecture complète encore ouverte.</x:v>
      </x:c>
      <x:c r="H2284" s="115" t="str">
        <x:v>L 130 ; l 122 ; hauteur 3,2 m ; choix de composition auteur ; dimensions réelles à documenter</x:v>
      </x:c>
      <x:c r="I2284" s="115" t="str">
        <x:v>À équilibrer</x:v>
      </x:c>
      <x:c r="J2284" s="115" t="str">
        <x:v>Non</x:v>
      </x:c>
      <x:c r="K2284" s="115" t="str">
        <x:v>Pièces décrites, murs, portes, niveaux et mobilier inspectables à l’échelle. Volumes réservés, raccord au seed, butin, rencontres et services de campagne restent à terminer.</x:v>
      </x:c>
    </x:row>
    <x:row r="2285" ht="96" customHeight="1">
      <x:c r="A2285" s="115" t="str">
        <x:v>EXT-MONDE-T046-V30</x:v>
      </x:c>
      <x:c r="B2285" s="115" t="str">
        <x:v>EXT-MONDE-T046</x:v>
      </x:c>
      <x:c r="C2285" s="115" t="str">
        <x:v>Trailer parks</x:v>
      </x:c>
      <x:c r="D2285" s="115" t="str">
        <x:v>Camping caravanes</x:v>
      </x:c>
      <x:c r="E2285" s="115" t="n">
        <x:v>30</x:v>
      </x:c>
      <x:c r="F2285" s="115" t="str">
        <x:v>Inspection physique</x:v>
      </x:c>
      <x:c r="G2285" s="115" t="str">
        <x:v>1 niveaux ; 18 pièces ; 136 segments de mur ; 0 transitions. Inspection physique ; architecture complète encore ouverte.</x:v>
      </x:c>
      <x:c r="H2285" s="115" t="str">
        <x:v>L 172 ; l 146 ; hauteur 3,2 m ; choix de composition auteur ; dimensions réelles à documenter</x:v>
      </x:c>
      <x:c r="I2285" s="115" t="str">
        <x:v>À équilibrer</x:v>
      </x:c>
      <x:c r="J2285" s="115" t="str">
        <x:v>Non</x:v>
      </x:c>
      <x:c r="K2285" s="115" t="str">
        <x:v>Pièces décrites, murs, portes, niveaux et mobilier inspectables à l’échelle. Volumes réservés, raccord au seed, butin, rencontres et services de campagne restent à terminer.</x:v>
      </x:c>
    </x:row>
    <x:row r="2286" ht="96" customHeight="1">
      <x:c r="A2286" s="115" t="str">
        <x:v>EXT-MONDE-T046-V31</x:v>
      </x:c>
      <x:c r="B2286" s="115" t="str">
        <x:v>EXT-MONDE-T046</x:v>
      </x:c>
      <x:c r="C2286" s="115" t="str">
        <x:v>Trailer parks</x:v>
      </x:c>
      <x:c r="D2286" s="115" t="str">
        <x:v>Camping caravanes</x:v>
      </x:c>
      <x:c r="E2286" s="115" t="n">
        <x:v>31</x:v>
      </x:c>
      <x:c r="F2286" s="115" t="str">
        <x:v>Inspection physique</x:v>
      </x:c>
      <x:c r="G2286" s="115" t="str">
        <x:v>1 niveaux ; 18 pièces ; 136 segments de mur ; 0 transitions. Inspection physique ; architecture complète encore ouverte.</x:v>
      </x:c>
      <x:c r="H2286" s="115" t="str">
        <x:v>L 134 ; l 118 ; hauteur 3,2 m ; choix de composition auteur ; dimensions réelles à documenter</x:v>
      </x:c>
      <x:c r="I2286" s="115" t="str">
        <x:v>À équilibrer</x:v>
      </x:c>
      <x:c r="J2286" s="115" t="str">
        <x:v>Non</x:v>
      </x:c>
      <x:c r="K2286" s="115" t="str">
        <x:v>Pièces décrites, murs, portes, niveaux et mobilier inspectables à l’échelle. Volumes réservés, raccord au seed, butin, rencontres et services de campagne restent à terminer.</x:v>
      </x:c>
    </x:row>
    <x:row r="2287" ht="96" customHeight="1">
      <x:c r="A2287" s="115" t="str">
        <x:v>EXT-MONDE-T046-V32</x:v>
      </x:c>
      <x:c r="B2287" s="115" t="str">
        <x:v>EXT-MONDE-T046</x:v>
      </x:c>
      <x:c r="C2287" s="115" t="str">
        <x:v>Trailer parks</x:v>
      </x:c>
      <x:c r="D2287" s="115" t="str">
        <x:v>Camping caravanes</x:v>
      </x:c>
      <x:c r="E2287" s="115" t="n">
        <x:v>32</x:v>
      </x:c>
      <x:c r="F2287" s="115" t="str">
        <x:v>Inspection physique</x:v>
      </x:c>
      <x:c r="G2287" s="115" t="str">
        <x:v>1 niveaux ; 18 pièces ; 136 segments de mur ; 0 transitions. Inspection physique ; architecture complète encore ouverte.</x:v>
      </x:c>
      <x:c r="H2287" s="115" t="str">
        <x:v>L 134 ; l 125 ; hauteur 3,2 m ; choix de composition auteur ; dimensions réelles à documenter</x:v>
      </x:c>
      <x:c r="I2287" s="115" t="str">
        <x:v>À équilibrer</x:v>
      </x:c>
      <x:c r="J2287" s="115" t="str">
        <x:v>Non</x:v>
      </x:c>
      <x:c r="K2287" s="115" t="str">
        <x:v>Pièces décrites, murs, portes, niveaux et mobilier inspectables à l’échelle. Volumes réservés, raccord au seed, butin, rencontres et services de campagne restent à terminer.</x:v>
      </x:c>
    </x:row>
    <x:row r="2288" ht="96" customHeight="1">
      <x:c r="A2288" s="115" t="str">
        <x:v>EXT-MONDE-T046-V33</x:v>
      </x:c>
      <x:c r="B2288" s="115" t="str">
        <x:v>EXT-MONDE-T046</x:v>
      </x:c>
      <x:c r="C2288" s="115" t="str">
        <x:v>Trailer parks</x:v>
      </x:c>
      <x:c r="D2288" s="115" t="str">
        <x:v>Camping caravanes</x:v>
      </x:c>
      <x:c r="E2288" s="115" t="n">
        <x:v>33</x:v>
      </x:c>
      <x:c r="F2288" s="115" t="str">
        <x:v>Inspection physique</x:v>
      </x:c>
      <x:c r="G2288" s="115" t="str">
        <x:v>1 niveaux ; 18 pièces ; 136 segments de mur ; 0 transitions. Inspection physique ; architecture complète encore ouverte.</x:v>
      </x:c>
      <x:c r="H2288" s="115" t="str">
        <x:v>L 134 ; l 150 ; hauteur 3,2 m ; choix de composition auteur ; dimensions réelles à documenter</x:v>
      </x:c>
      <x:c r="I2288" s="115" t="str">
        <x:v>À équilibrer</x:v>
      </x:c>
      <x:c r="J2288" s="115" t="str">
        <x:v>Non</x:v>
      </x:c>
      <x:c r="K2288" s="115" t="str">
        <x:v>Pièces décrites, murs, portes, niveaux et mobilier inspectables à l’échelle. Volumes réservés, raccord au seed, butin, rencontres et services de campagne restent à terminer.</x:v>
      </x:c>
    </x:row>
    <x:row r="2289" ht="96" customHeight="1">
      <x:c r="A2289" s="115" t="str">
        <x:v>EXT-MONDE-T046-V34</x:v>
      </x:c>
      <x:c r="B2289" s="115" t="str">
        <x:v>EXT-MONDE-T046</x:v>
      </x:c>
      <x:c r="C2289" s="115" t="str">
        <x:v>Trailer parks</x:v>
      </x:c>
      <x:c r="D2289" s="115" t="str">
        <x:v>Camping caravanes</x:v>
      </x:c>
      <x:c r="E2289" s="115" t="n">
        <x:v>34</x:v>
      </x:c>
      <x:c r="F2289" s="115" t="str">
        <x:v>Inspection physique</x:v>
      </x:c>
      <x:c r="G2289" s="115" t="str">
        <x:v>1 niveaux ; 18 pièces ; 136 segments de mur ; 0 transitions. Inspection physique ; architecture complète encore ouverte.</x:v>
      </x:c>
      <x:c r="H2289" s="115" t="str">
        <x:v>L 90 ; l 125 ; hauteur 3,2 m ; choix de composition auteur ; dimensions réelles à documenter</x:v>
      </x:c>
      <x:c r="I2289" s="115" t="str">
        <x:v>À équilibrer</x:v>
      </x:c>
      <x:c r="J2289" s="115" t="str">
        <x:v>Non</x:v>
      </x:c>
      <x:c r="K2289" s="115" t="str">
        <x:v>Pièces décrites, murs, portes, niveaux et mobilier inspectables à l’échelle. Volumes réservés, raccord au seed, butin, rencontres et services de campagne restent à terminer.</x:v>
      </x:c>
    </x:row>
    <x:row r="2290" ht="96" customHeight="1">
      <x:c r="A2290" s="115" t="str">
        <x:v>EXT-MONDE-T046-V35</x:v>
      </x:c>
      <x:c r="B2290" s="115" t="str">
        <x:v>EXT-MONDE-T046</x:v>
      </x:c>
      <x:c r="C2290" s="115" t="str">
        <x:v>Trailer parks</x:v>
      </x:c>
      <x:c r="D2290" s="115" t="str">
        <x:v>Camping caravanes</x:v>
      </x:c>
      <x:c r="E2290" s="115" t="n">
        <x:v>35</x:v>
      </x:c>
      <x:c r="F2290" s="115" t="str">
        <x:v>Inspection physique</x:v>
      </x:c>
      <x:c r="G2290" s="115" t="str">
        <x:v>1 niveaux ; 18 pièces ; 136 segments de mur ; 0 transitions. Inspection physique ; architecture complète encore ouverte.</x:v>
      </x:c>
      <x:c r="H2290" s="115" t="str">
        <x:v>L 90 ; l 150 ; hauteur 3,2 m ; choix de composition auteur ; dimensions réelles à documenter</x:v>
      </x:c>
      <x:c r="I2290" s="115" t="str">
        <x:v>À équilibrer</x:v>
      </x:c>
      <x:c r="J2290" s="115" t="str">
        <x:v>Non</x:v>
      </x:c>
      <x:c r="K2290" s="115" t="str">
        <x:v>Pièces décrites, murs, portes, niveaux et mobilier inspectables à l’échelle. Volumes réservés, raccord au seed, butin, rencontres et services de campagne restent à terminer.</x:v>
      </x:c>
    </x:row>
    <x:row r="2291" ht="96" customHeight="1">
      <x:c r="A2291" s="115" t="str">
        <x:v>EXT-MONDE-T046-V36</x:v>
      </x:c>
      <x:c r="B2291" s="115" t="str">
        <x:v>EXT-MONDE-T046</x:v>
      </x:c>
      <x:c r="C2291" s="115" t="str">
        <x:v>Trailer parks</x:v>
      </x:c>
      <x:c r="D2291" s="115" t="str">
        <x:v>Camping caravanes</x:v>
      </x:c>
      <x:c r="E2291" s="115" t="n">
        <x:v>36</x:v>
      </x:c>
      <x:c r="F2291" s="115" t="str">
        <x:v>Inspection physique</x:v>
      </x:c>
      <x:c r="G2291" s="115" t="str">
        <x:v>1 niveaux ; 18 pièces ; 136 segments de mur ; 0 transitions. Inspection physique ; architecture complète encore ouverte.</x:v>
      </x:c>
      <x:c r="H2291" s="115" t="str">
        <x:v>L 178 ; l 118 ; hauteur 3,2 m ; choix de composition auteur ; dimensions réelles à documenter</x:v>
      </x:c>
      <x:c r="I2291" s="115" t="str">
        <x:v>À équilibrer</x:v>
      </x:c>
      <x:c r="J2291" s="115" t="str">
        <x:v>Non</x:v>
      </x:c>
      <x:c r="K2291" s="115" t="str">
        <x:v>Pièces décrites, murs, portes, niveaux et mobilier inspectables à l’échelle. Volumes réservés, raccord au seed, butin, rencontres et services de campagne restent à terminer.</x:v>
      </x:c>
    </x:row>
    <x:row r="2292" ht="96" customHeight="1">
      <x:c r="A2292" s="115" t="str">
        <x:v>EXT-MONDE-T046-V37</x:v>
      </x:c>
      <x:c r="B2292" s="115" t="str">
        <x:v>EXT-MONDE-T046</x:v>
      </x:c>
      <x:c r="C2292" s="115" t="str">
        <x:v>Trailer parks</x:v>
      </x:c>
      <x:c r="D2292" s="115" t="str">
        <x:v>Camping caravanes</x:v>
      </x:c>
      <x:c r="E2292" s="115" t="n">
        <x:v>37</x:v>
      </x:c>
      <x:c r="F2292" s="115" t="str">
        <x:v>Inspection physique</x:v>
      </x:c>
      <x:c r="G2292" s="115" t="str">
        <x:v>1 niveaux ; 18 pièces ; 136 segments de mur ; 0 transitions. Inspection physique ; architecture complète encore ouverte.</x:v>
      </x:c>
      <x:c r="H2292" s="115" t="str">
        <x:v>L 178 ; l 125 ; hauteur 3,2 m ; choix de composition auteur ; dimensions réelles à documenter</x:v>
      </x:c>
      <x:c r="I2292" s="115" t="str">
        <x:v>À équilibrer</x:v>
      </x:c>
      <x:c r="J2292" s="115" t="str">
        <x:v>Non</x:v>
      </x:c>
      <x:c r="K2292" s="115" t="str">
        <x:v>Pièces décrites, murs, portes, niveaux et mobilier inspectables à l’échelle. Volumes réservés, raccord au seed, butin, rencontres et services de campagne restent à terminer.</x:v>
      </x:c>
    </x:row>
    <x:row r="2293" ht="96" customHeight="1">
      <x:c r="A2293" s="115" t="str">
        <x:v>EXT-MONDE-T046-V38</x:v>
      </x:c>
      <x:c r="B2293" s="115" t="str">
        <x:v>EXT-MONDE-T046</x:v>
      </x:c>
      <x:c r="C2293" s="115" t="str">
        <x:v>Trailer parks</x:v>
      </x:c>
      <x:c r="D2293" s="115" t="str">
        <x:v>Camping caravanes</x:v>
      </x:c>
      <x:c r="E2293" s="115" t="n">
        <x:v>38</x:v>
      </x:c>
      <x:c r="F2293" s="115" t="str">
        <x:v>Inspection physique</x:v>
      </x:c>
      <x:c r="G2293" s="115" t="str">
        <x:v>1 niveaux ; 18 pièces ; 136 segments de mur ; 0 transitions. Inspection physique ; architecture complète encore ouverte.</x:v>
      </x:c>
      <x:c r="H2293" s="115" t="str">
        <x:v>L 134 ; l 150 ; hauteur 3,2 m ; choix de composition auteur ; dimensions réelles à documenter</x:v>
      </x:c>
      <x:c r="I2293" s="115" t="str">
        <x:v>À équilibrer</x:v>
      </x:c>
      <x:c r="J2293" s="115" t="str">
        <x:v>Non</x:v>
      </x:c>
      <x:c r="K2293" s="115" t="str">
        <x:v>Pièces décrites, murs, portes, niveaux et mobilier inspectables à l’échelle. Volumes réservés, raccord au seed, butin, rencontres et services de campagne restent à terminer.</x:v>
      </x:c>
    </x:row>
    <x:row r="2294" ht="96" customHeight="1">
      <x:c r="A2294" s="115" t="str">
        <x:v>EXT-MONDE-T046-V39</x:v>
      </x:c>
      <x:c r="B2294" s="115" t="str">
        <x:v>EXT-MONDE-T046</x:v>
      </x:c>
      <x:c r="C2294" s="115" t="str">
        <x:v>Trailer parks</x:v>
      </x:c>
      <x:c r="D2294" s="115" t="str">
        <x:v>Camping caravanes</x:v>
      </x:c>
      <x:c r="E2294" s="115" t="n">
        <x:v>39</x:v>
      </x:c>
      <x:c r="F2294" s="115" t="str">
        <x:v>Inspection physique</x:v>
      </x:c>
      <x:c r="G2294" s="115" t="str">
        <x:v>1 niveaux ; 18 pièces ; 136 segments de mur ; 0 transitions. Inspection physique ; architecture complète encore ouverte.</x:v>
      </x:c>
      <x:c r="H2294" s="115" t="str">
        <x:v>L 134 ; l 125 ; hauteur 3,2 m ; choix de composition auteur ; dimensions réelles à documenter</x:v>
      </x:c>
      <x:c r="I2294" s="115" t="str">
        <x:v>À équilibrer</x:v>
      </x:c>
      <x:c r="J2294" s="115" t="str">
        <x:v>Non</x:v>
      </x:c>
      <x:c r="K2294" s="115" t="str">
        <x:v>Pièces décrites, murs, portes, niveaux et mobilier inspectables à l’échelle. Volumes réservés, raccord au seed, butin, rencontres et services de campagne restent à terminer.</x:v>
      </x:c>
    </x:row>
    <x:row r="2295" ht="96" customHeight="1">
      <x:c r="A2295" s="115" t="str">
        <x:v>EXT-MONDE-T046-V40</x:v>
      </x:c>
      <x:c r="B2295" s="115" t="str">
        <x:v>EXT-MONDE-T046</x:v>
      </x:c>
      <x:c r="C2295" s="115" t="str">
        <x:v>Trailer parks</x:v>
      </x:c>
      <x:c r="D2295" s="115" t="str">
        <x:v>Camping caravanes</x:v>
      </x:c>
      <x:c r="E2295" s="115" t="n">
        <x:v>40</x:v>
      </x:c>
      <x:c r="F2295" s="115" t="str">
        <x:v>Inspection physique</x:v>
      </x:c>
      <x:c r="G2295" s="115" t="str">
        <x:v>1 niveaux ; 18 pièces ; 136 segments de mur ; 0 transitions. Inspection physique ; architecture complète encore ouverte.</x:v>
      </x:c>
      <x:c r="H2295" s="115" t="str">
        <x:v>L 178 ; l 150 ; hauteur 3,2 m ; choix de composition auteur ; dimensions réelles à documenter</x:v>
      </x:c>
      <x:c r="I2295" s="115" t="str">
        <x:v>À équilibrer</x:v>
      </x:c>
      <x:c r="J2295" s="115" t="str">
        <x:v>Non</x:v>
      </x:c>
      <x:c r="K2295" s="115" t="str">
        <x:v>Pièces décrites, murs, portes, niveaux et mobilier inspectables à l’échelle. Volumes réservés, raccord au seed, butin, rencontres et services de campagne restent à terminer.</x:v>
      </x:c>
    </x:row>
    <x:row r="2296" ht="96" customHeight="1">
      <x:c r="A2296" s="115" t="str">
        <x:v>EXT-MONDE-T046-V41</x:v>
      </x:c>
      <x:c r="B2296" s="115" t="str">
        <x:v>EXT-MONDE-T046</x:v>
      </x:c>
      <x:c r="C2296" s="115" t="str">
        <x:v>Trailer parks</x:v>
      </x:c>
      <x:c r="D2296" s="115" t="str">
        <x:v>Camping caravanes</x:v>
      </x:c>
      <x:c r="E2296" s="115" t="n">
        <x:v>41</x:v>
      </x:c>
      <x:c r="F2296" s="115" t="str">
        <x:v>Inspection physique</x:v>
      </x:c>
      <x:c r="G2296" s="115" t="str">
        <x:v>1 niveaux ; 18 pièces ; 136 segments de mur ; 0 transitions. Inspection physique ; architecture complète encore ouverte.</x:v>
      </x:c>
      <x:c r="H2296" s="115" t="str">
        <x:v>L 138 ; l 118 ; hauteur 3,2 m ; choix de composition auteur ; dimensions réelles à documenter</x:v>
      </x:c>
      <x:c r="I2296" s="115" t="str">
        <x:v>À équilibrer</x:v>
      </x:c>
      <x:c r="J2296" s="115" t="str">
        <x:v>Non</x:v>
      </x:c>
      <x:c r="K2296" s="115" t="str">
        <x:v>Pièces décrites, murs, portes, niveaux et mobilier inspectables à l’échelle. Volumes réservés, raccord au seed, butin, rencontres et services de campagne restent à terminer.</x:v>
      </x:c>
    </x:row>
    <x:row r="2297" ht="96" customHeight="1">
      <x:c r="A2297" s="115" t="str">
        <x:v>EXT-MONDE-T046-V42</x:v>
      </x:c>
      <x:c r="B2297" s="115" t="str">
        <x:v>EXT-MONDE-T046</x:v>
      </x:c>
      <x:c r="C2297" s="115" t="str">
        <x:v>Trailer parks</x:v>
      </x:c>
      <x:c r="D2297" s="115" t="str">
        <x:v>Camping caravanes</x:v>
      </x:c>
      <x:c r="E2297" s="115" t="n">
        <x:v>42</x:v>
      </x:c>
      <x:c r="F2297" s="115" t="str">
        <x:v>Inspection physique</x:v>
      </x:c>
      <x:c r="G2297" s="115" t="str">
        <x:v>1 niveaux ; 18 pièces ; 136 segments de mur ; 0 transitions. Inspection physique ; architecture complète encore ouverte.</x:v>
      </x:c>
      <x:c r="H2297" s="115" t="str">
        <x:v>L 138 ; l 128 ; hauteur 3,2 m ; choix de composition auteur ; dimensions réelles à documenter</x:v>
      </x:c>
      <x:c r="I2297" s="115" t="str">
        <x:v>À équilibrer</x:v>
      </x:c>
      <x:c r="J2297" s="115" t="str">
        <x:v>Non</x:v>
      </x:c>
      <x:c r="K2297" s="115" t="str">
        <x:v>Pièces décrites, murs, portes, niveaux et mobilier inspectables à l’échelle. Volumes réservés, raccord au seed, butin, rencontres et services de campagne restent à terminer.</x:v>
      </x:c>
    </x:row>
    <x:row r="2298" ht="96" customHeight="1">
      <x:c r="A2298" s="115" t="str">
        <x:v>EXT-MONDE-T046-V43</x:v>
      </x:c>
      <x:c r="B2298" s="115" t="str">
        <x:v>EXT-MONDE-T046</x:v>
      </x:c>
      <x:c r="C2298" s="115" t="str">
        <x:v>Trailer parks</x:v>
      </x:c>
      <x:c r="D2298" s="115" t="str">
        <x:v>Camping caravanes</x:v>
      </x:c>
      <x:c r="E2298" s="115" t="n">
        <x:v>43</x:v>
      </x:c>
      <x:c r="F2298" s="115" t="str">
        <x:v>Inspection physique</x:v>
      </x:c>
      <x:c r="G2298" s="115" t="str">
        <x:v>1 niveaux ; 18 pièces ; 136 segments de mur ; 0 transitions. Inspection physique ; architecture complète encore ouverte.</x:v>
      </x:c>
      <x:c r="H2298" s="115" t="str">
        <x:v>L 138 ; l 154 ; hauteur 3,2 m ; choix de composition auteur ; dimensions réelles à documenter</x:v>
      </x:c>
      <x:c r="I2298" s="115" t="str">
        <x:v>À équilibrer</x:v>
      </x:c>
      <x:c r="J2298" s="115" t="str">
        <x:v>Non</x:v>
      </x:c>
      <x:c r="K2298" s="115" t="str">
        <x:v>Pièces décrites, murs, portes, niveaux et mobilier inspectables à l’échelle. Volumes réservés, raccord au seed, butin, rencontres et services de campagne restent à terminer.</x:v>
      </x:c>
    </x:row>
    <x:row r="2299" ht="96" customHeight="1">
      <x:c r="A2299" s="115" t="str">
        <x:v>EXT-MONDE-T046-V44</x:v>
      </x:c>
      <x:c r="B2299" s="115" t="str">
        <x:v>EXT-MONDE-T046</x:v>
      </x:c>
      <x:c r="C2299" s="115" t="str">
        <x:v>Trailer parks</x:v>
      </x:c>
      <x:c r="D2299" s="115" t="str">
        <x:v>Camping caravanes</x:v>
      </x:c>
      <x:c r="E2299" s="115" t="n">
        <x:v>44</x:v>
      </x:c>
      <x:c r="F2299" s="115" t="str">
        <x:v>Inspection physique</x:v>
      </x:c>
      <x:c r="G2299" s="115" t="str">
        <x:v>1 niveaux ; 18 pièces ; 136 segments de mur ; 0 transitions. Inspection physique ; architecture complète encore ouverte.</x:v>
      </x:c>
      <x:c r="H2299" s="115" t="str">
        <x:v>L 92 ; l 128 ; hauteur 3,2 m ; choix de composition auteur ; dimensions réelles à documenter</x:v>
      </x:c>
      <x:c r="I2299" s="115" t="str">
        <x:v>À équilibrer</x:v>
      </x:c>
      <x:c r="J2299" s="115" t="str">
        <x:v>Non</x:v>
      </x:c>
      <x:c r="K2299" s="115" t="str">
        <x:v>Pièces décrites, murs, portes, niveaux et mobilier inspectables à l’échelle. Volumes réservés, raccord au seed, butin, rencontres et services de campagne restent à terminer.</x:v>
      </x:c>
    </x:row>
    <x:row r="2300" ht="96" customHeight="1">
      <x:c r="A2300" s="115" t="str">
        <x:v>EXT-MONDE-T046-V45</x:v>
      </x:c>
      <x:c r="B2300" s="115" t="str">
        <x:v>EXT-MONDE-T046</x:v>
      </x:c>
      <x:c r="C2300" s="115" t="str">
        <x:v>Trailer parks</x:v>
      </x:c>
      <x:c r="D2300" s="115" t="str">
        <x:v>Camping caravanes</x:v>
      </x:c>
      <x:c r="E2300" s="115" t="n">
        <x:v>45</x:v>
      </x:c>
      <x:c r="F2300" s="115" t="str">
        <x:v>Inspection physique</x:v>
      </x:c>
      <x:c r="G2300" s="115" t="str">
        <x:v>1 niveaux ; 18 pièces ; 136 segments de mur ; 0 transitions. Inspection physique ; architecture complète encore ouverte.</x:v>
      </x:c>
      <x:c r="H2300" s="115" t="str">
        <x:v>L 92 ; l 154 ; hauteur 3,2 m ; choix de composition auteur ; dimensions réelles à documenter</x:v>
      </x:c>
      <x:c r="I2300" s="115" t="str">
        <x:v>À équilibrer</x:v>
      </x:c>
      <x:c r="J2300" s="115" t="str">
        <x:v>Non</x:v>
      </x:c>
      <x:c r="K2300" s="115" t="str">
        <x:v>Pièces décrites, murs, portes, niveaux et mobilier inspectables à l’échelle. Volumes réservés, raccord au seed, butin, rencontres et services de campagne restent à terminer.</x:v>
      </x:c>
    </x:row>
    <x:row r="2301" ht="96" customHeight="1">
      <x:c r="A2301" s="115" t="str">
        <x:v>EXT-MONDE-T046-V46</x:v>
      </x:c>
      <x:c r="B2301" s="115" t="str">
        <x:v>EXT-MONDE-T046</x:v>
      </x:c>
      <x:c r="C2301" s="115" t="str">
        <x:v>Trailer parks</x:v>
      </x:c>
      <x:c r="D2301" s="115" t="str">
        <x:v>Camping caravanes</x:v>
      </x:c>
      <x:c r="E2301" s="115" t="n">
        <x:v>46</x:v>
      </x:c>
      <x:c r="F2301" s="115" t="str">
        <x:v>Inspection physique</x:v>
      </x:c>
      <x:c r="G2301" s="115" t="str">
        <x:v>1 niveaux ; 18 pièces ; 136 segments de mur ; 0 transitions. Inspection physique ; architecture complète encore ouverte.</x:v>
      </x:c>
      <x:c r="H2301" s="115" t="str">
        <x:v>L 184 ; l 118 ; hauteur 3,2 m ; choix de composition auteur ; dimensions réelles à documenter</x:v>
      </x:c>
      <x:c r="I2301" s="115" t="str">
        <x:v>À équilibrer</x:v>
      </x:c>
      <x:c r="J2301" s="115" t="str">
        <x:v>Non</x:v>
      </x:c>
      <x:c r="K2301" s="115" t="str">
        <x:v>Pièces décrites, murs, portes, niveaux et mobilier inspectables à l’échelle. Volumes réservés, raccord au seed, butin, rencontres et services de campagne restent à terminer.</x:v>
      </x:c>
    </x:row>
    <x:row r="2302" ht="96" customHeight="1">
      <x:c r="A2302" s="115" t="str">
        <x:v>EXT-MONDE-T046-V47</x:v>
      </x:c>
      <x:c r="B2302" s="115" t="str">
        <x:v>EXT-MONDE-T046</x:v>
      </x:c>
      <x:c r="C2302" s="115" t="str">
        <x:v>Trailer parks</x:v>
      </x:c>
      <x:c r="D2302" s="115" t="str">
        <x:v>Camping caravanes</x:v>
      </x:c>
      <x:c r="E2302" s="115" t="n">
        <x:v>47</x:v>
      </x:c>
      <x:c r="F2302" s="115" t="str">
        <x:v>Inspection physique</x:v>
      </x:c>
      <x:c r="G2302" s="115" t="str">
        <x:v>1 niveaux ; 18 pièces ; 136 segments de mur ; 0 transitions. Inspection physique ; architecture complète encore ouverte.</x:v>
      </x:c>
      <x:c r="H2302" s="115" t="str">
        <x:v>L 184 ; l 128 ; hauteur 3,2 m ; choix de composition auteur ; dimensions réelles à documenter</x:v>
      </x:c>
      <x:c r="I2302" s="115" t="str">
        <x:v>À équilibrer</x:v>
      </x:c>
      <x:c r="J2302" s="115" t="str">
        <x:v>Non</x:v>
      </x:c>
      <x:c r="K2302" s="115" t="str">
        <x:v>Pièces décrites, murs, portes, niveaux et mobilier inspectables à l’échelle. Volumes réservés, raccord au seed, butin, rencontres et services de campagne restent à terminer.</x:v>
      </x:c>
    </x:row>
    <x:row r="2303" ht="96" customHeight="1">
      <x:c r="A2303" s="115" t="str">
        <x:v>EXT-MONDE-T046-V48</x:v>
      </x:c>
      <x:c r="B2303" s="115" t="str">
        <x:v>EXT-MONDE-T046</x:v>
      </x:c>
      <x:c r="C2303" s="115" t="str">
        <x:v>Trailer parks</x:v>
      </x:c>
      <x:c r="D2303" s="115" t="str">
        <x:v>Camping caravanes</x:v>
      </x:c>
      <x:c r="E2303" s="115" t="n">
        <x:v>48</x:v>
      </x:c>
      <x:c r="F2303" s="115" t="str">
        <x:v>Inspection physique</x:v>
      </x:c>
      <x:c r="G2303" s="115" t="str">
        <x:v>1 niveaux ; 18 pièces ; 136 segments de mur ; 0 transitions. Inspection physique ; architecture complète encore ouverte.</x:v>
      </x:c>
      <x:c r="H2303" s="115" t="str">
        <x:v>L 138 ; l 154 ; hauteur 3,2 m ; choix de composition auteur ; dimensions réelles à documenter</x:v>
      </x:c>
      <x:c r="I2303" s="115" t="str">
        <x:v>À équilibrer</x:v>
      </x:c>
      <x:c r="J2303" s="115" t="str">
        <x:v>Non</x:v>
      </x:c>
      <x:c r="K2303" s="115" t="str">
        <x:v>Pièces décrites, murs, portes, niveaux et mobilier inspectables à l’échelle. Volumes réservés, raccord au seed, butin, rencontres et services de campagne restent à terminer.</x:v>
      </x:c>
    </x:row>
    <x:row r="2304" ht="96" customHeight="1">
      <x:c r="A2304" s="115" t="str">
        <x:v>EXT-MONDE-T046-V49</x:v>
      </x:c>
      <x:c r="B2304" s="115" t="str">
        <x:v>EXT-MONDE-T046</x:v>
      </x:c>
      <x:c r="C2304" s="115" t="str">
        <x:v>Trailer parks</x:v>
      </x:c>
      <x:c r="D2304" s="115" t="str">
        <x:v>Camping caravanes</x:v>
      </x:c>
      <x:c r="E2304" s="115" t="n">
        <x:v>49</x:v>
      </x:c>
      <x:c r="F2304" s="115" t="str">
        <x:v>Inspection physique</x:v>
      </x:c>
      <x:c r="G2304" s="115" t="str">
        <x:v>1 niveaux ; 18 pièces ; 136 segments de mur ; 0 transitions. Inspection physique ; architecture complète encore ouverte.</x:v>
      </x:c>
      <x:c r="H2304" s="115" t="str">
        <x:v>L 138 ; l 128 ; hauteur 3,2 m ; choix de composition auteur ; dimensions réelles à documenter</x:v>
      </x:c>
      <x:c r="I2304" s="115" t="str">
        <x:v>À équilibrer</x:v>
      </x:c>
      <x:c r="J2304" s="115" t="str">
        <x:v>Non</x:v>
      </x:c>
      <x:c r="K2304" s="115" t="str">
        <x:v>Pièces décrites, murs, portes, niveaux et mobilier inspectables à l’échelle. Volumes réservés, raccord au seed, butin, rencontres et services de campagne restent à terminer.</x:v>
      </x:c>
    </x:row>
    <x:row r="2305" ht="96" customHeight="1">
      <x:c r="A2305" s="115" t="str">
        <x:v>EXT-MONDE-T046-V50</x:v>
      </x:c>
      <x:c r="B2305" s="115" t="str">
        <x:v>EXT-MONDE-T046</x:v>
      </x:c>
      <x:c r="C2305" s="115" t="str">
        <x:v>Trailer parks</x:v>
      </x:c>
      <x:c r="D2305" s="115" t="str">
        <x:v>Camping caravanes</x:v>
      </x:c>
      <x:c r="E2305" s="115" t="n">
        <x:v>50</x:v>
      </x:c>
      <x:c r="F2305" s="115" t="str">
        <x:v>Inspection physique</x:v>
      </x:c>
      <x:c r="G2305" s="115" t="str">
        <x:v>1 niveaux ; 18 pièces ; 136 segments de mur ; 0 transitions. Inspection physique ; architecture complète encore ouverte.</x:v>
      </x:c>
      <x:c r="H2305" s="115" t="str">
        <x:v>L 184 ; l 154 ; hauteur 3,2 m ; choix de composition auteur ; dimensions réelles à documenter</x:v>
      </x:c>
      <x:c r="I2305" s="115" t="str">
        <x:v>À équilibrer</x:v>
      </x:c>
      <x:c r="J2305" s="115" t="str">
        <x:v>Non</x:v>
      </x:c>
      <x:c r="K2305" s="115" t="str">
        <x:v>Pièces décrites, murs, portes, niveaux et mobilier inspectables à l’échelle. Volumes réservés, raccord au seed, butin, rencontres et services de campagne restent à terminer.</x:v>
      </x:c>
    </x:row>
    <x:row r="2306" ht="96" customHeight="1">
      <x:c r="A2306" s="115" t="str">
        <x:v>EXT-MONDE-T047-V01</x:v>
      </x:c>
      <x:c r="B2306" s="115" t="str">
        <x:v>EXT-MONDE-T047</x:v>
      </x:c>
      <x:c r="C2306" s="115" t="str">
        <x:v>Trailer parks</x:v>
      </x:c>
      <x:c r="D2306" s="115" t="str">
        <x:v>Camp de travailleurs</x:v>
      </x:c>
      <x:c r="E2306" s="115" t="n">
        <x:v>1</x:v>
      </x:c>
      <x:c r="F2306" s="115" t="str">
        <x:v>Inspection physique</x:v>
      </x:c>
      <x:c r="G2306" s="115" t="str">
        <x:v>1 niveaux ; 38 pièces ; 277 segments de mur ; 0 transitions. Inspection physique ; architecture complète encore ouverte.</x:v>
      </x:c>
      <x:c r="H2306" s="115" t="str">
        <x:v>L 122 ; l 118 ; hauteur 3,4 m ; choix de composition auteur ; dimensions réelles à documenter</x:v>
      </x:c>
      <x:c r="I2306" s="115" t="str">
        <x:v>À équilibrer</x:v>
      </x:c>
      <x:c r="J2306" s="115" t="str">
        <x:v>Non</x:v>
      </x:c>
      <x:c r="K2306" s="115" t="str">
        <x:v>Pièces décrites, murs, portes, niveaux et mobilier inspectables à l’échelle. Volumes réservés, raccord au seed, butin, rencontres et services de campagne restent à terminer.</x:v>
      </x:c>
    </x:row>
    <x:row r="2307" ht="96" customHeight="1">
      <x:c r="A2307" s="115" t="str">
        <x:v>EXT-MONDE-T047-V02</x:v>
      </x:c>
      <x:c r="B2307" s="115" t="str">
        <x:v>EXT-MONDE-T047</x:v>
      </x:c>
      <x:c r="C2307" s="115" t="str">
        <x:v>Trailer parks</x:v>
      </x:c>
      <x:c r="D2307" s="115" t="str">
        <x:v>Camp de travailleurs</x:v>
      </x:c>
      <x:c r="E2307" s="115" t="n">
        <x:v>2</x:v>
      </x:c>
      <x:c r="F2307" s="115" t="str">
        <x:v>Inspection physique</x:v>
      </x:c>
      <x:c r="G2307" s="115" t="str">
        <x:v>1 niveaux ; 50 pièces ; 363 segments de mur ; 0 transitions. Inspection physique ; architecture complète encore ouverte.</x:v>
      </x:c>
      <x:c r="H2307" s="115" t="str">
        <x:v>L 122 ; l 118 ; hauteur 3,4 m ; choix de composition auteur ; dimensions réelles à documenter</x:v>
      </x:c>
      <x:c r="I2307" s="115" t="str">
        <x:v>À équilibrer</x:v>
      </x:c>
      <x:c r="J2307" s="115" t="str">
        <x:v>Non</x:v>
      </x:c>
      <x:c r="K2307" s="115" t="str">
        <x:v>Pièces décrites, murs, portes, niveaux et mobilier inspectables à l’échelle. Volumes réservés, raccord au seed, butin, rencontres et services de campagne restent à terminer.</x:v>
      </x:c>
    </x:row>
    <x:row r="2308" ht="96" customHeight="1">
      <x:c r="A2308" s="115" t="str">
        <x:v>EXT-MONDE-T047-V03</x:v>
      </x:c>
      <x:c r="B2308" s="115" t="str">
        <x:v>EXT-MONDE-T047</x:v>
      </x:c>
      <x:c r="C2308" s="115" t="str">
        <x:v>Trailer parks</x:v>
      </x:c>
      <x:c r="D2308" s="115" t="str">
        <x:v>Camp de travailleurs</x:v>
      </x:c>
      <x:c r="E2308" s="115" t="n">
        <x:v>3</x:v>
      </x:c>
      <x:c r="F2308" s="115" t="str">
        <x:v>Inspection physique</x:v>
      </x:c>
      <x:c r="G2308" s="115" t="str">
        <x:v>1 niveaux ; 62 pièces ; 449 segments de mur ; 0 transitions. Inspection physique ; architecture complète encore ouverte.</x:v>
      </x:c>
      <x:c r="H2308" s="115" t="str">
        <x:v>L 122 ; l 138 ; hauteur 3,4 m ; choix de composition auteur ; dimensions réelles à documenter</x:v>
      </x:c>
      <x:c r="I2308" s="115" t="str">
        <x:v>À équilibrer</x:v>
      </x:c>
      <x:c r="J2308" s="115" t="str">
        <x:v>Non</x:v>
      </x:c>
      <x:c r="K2308" s="115" t="str">
        <x:v>Pièces décrites, murs, portes, niveaux et mobilier inspectables à l’échelle. Volumes réservés, raccord au seed, butin, rencontres et services de campagne restent à terminer.</x:v>
      </x:c>
    </x:row>
    <x:row r="2309" ht="96" customHeight="1">
      <x:c r="A2309" s="115" t="str">
        <x:v>EXT-MONDE-T047-V04</x:v>
      </x:c>
      <x:c r="B2309" s="115" t="str">
        <x:v>EXT-MONDE-T047</x:v>
      </x:c>
      <x:c r="C2309" s="115" t="str">
        <x:v>Trailer parks</x:v>
      </x:c>
      <x:c r="D2309" s="115" t="str">
        <x:v>Camp de travailleurs</x:v>
      </x:c>
      <x:c r="E2309" s="115" t="n">
        <x:v>4</x:v>
      </x:c>
      <x:c r="F2309" s="115" t="str">
        <x:v>Inspection physique</x:v>
      </x:c>
      <x:c r="G2309" s="115" t="str">
        <x:v>1 niveaux ; 32 pièces ; 234 segments de mur ; 0 transitions. Inspection physique ; architecture complète encore ouverte.</x:v>
      </x:c>
      <x:c r="H2309" s="115" t="str">
        <x:v>L 84 ; l 118 ; hauteur 3,4 m ; choix de composition auteur ; dimensions réelles à documenter</x:v>
      </x:c>
      <x:c r="I2309" s="115" t="str">
        <x:v>À équilibrer</x:v>
      </x:c>
      <x:c r="J2309" s="115" t="str">
        <x:v>Non</x:v>
      </x:c>
      <x:c r="K2309" s="115" t="str">
        <x:v>Pièces décrites, murs, portes, niveaux et mobilier inspectables à l’échelle. Volumes réservés, raccord au seed, butin, rencontres et services de campagne restent à terminer.</x:v>
      </x:c>
    </x:row>
    <x:row r="2310" ht="96" customHeight="1">
      <x:c r="A2310" s="115" t="str">
        <x:v>EXT-MONDE-T047-V05</x:v>
      </x:c>
      <x:c r="B2310" s="115" t="str">
        <x:v>EXT-MONDE-T047</x:v>
      </x:c>
      <x:c r="C2310" s="115" t="str">
        <x:v>Trailer parks</x:v>
      </x:c>
      <x:c r="D2310" s="115" t="str">
        <x:v>Camp de travailleurs</x:v>
      </x:c>
      <x:c r="E2310" s="115" t="n">
        <x:v>5</x:v>
      </x:c>
      <x:c r="F2310" s="115" t="str">
        <x:v>Inspection physique</x:v>
      </x:c>
      <x:c r="G2310" s="115" t="str">
        <x:v>1 niveaux ; 38 pièces ; 277 segments de mur ; 0 transitions. Inspection physique ; architecture complète encore ouverte.</x:v>
      </x:c>
      <x:c r="H2310" s="115" t="str">
        <x:v>L 84 ; l 138 ; hauteur 3,4 m ; choix de composition auteur ; dimensions réelles à documenter</x:v>
      </x:c>
      <x:c r="I2310" s="115" t="str">
        <x:v>À équilibrer</x:v>
      </x:c>
      <x:c r="J2310" s="115" t="str">
        <x:v>Non</x:v>
      </x:c>
      <x:c r="K2310" s="115" t="str">
        <x:v>Pièces décrites, murs, portes, niveaux et mobilier inspectables à l’échelle. Volumes réservés, raccord au seed, butin, rencontres et services de campagne restent à terminer.</x:v>
      </x:c>
    </x:row>
    <x:row r="2311" ht="96" customHeight="1">
      <x:c r="A2311" s="115" t="str">
        <x:v>EXT-MONDE-T047-V06</x:v>
      </x:c>
      <x:c r="B2311" s="115" t="str">
        <x:v>EXT-MONDE-T047</x:v>
      </x:c>
      <x:c r="C2311" s="115" t="str">
        <x:v>Trailer parks</x:v>
      </x:c>
      <x:c r="D2311" s="115" t="str">
        <x:v>Camp de travailleurs</x:v>
      </x:c>
      <x:c r="E2311" s="115" t="n">
        <x:v>6</x:v>
      </x:c>
      <x:c r="F2311" s="115" t="str">
        <x:v>Inspection physique</x:v>
      </x:c>
      <x:c r="G2311" s="115" t="str">
        <x:v>1 niveaux ; 50 pièces ; 363 segments de mur ; 0 transitions. Inspection physique ; architecture complète encore ouverte.</x:v>
      </x:c>
      <x:c r="H2311" s="115" t="str">
        <x:v>L 160 ; l 118 ; hauteur 3,4 m ; choix de composition auteur ; dimensions réelles à documenter</x:v>
      </x:c>
      <x:c r="I2311" s="115" t="str">
        <x:v>À équilibrer</x:v>
      </x:c>
      <x:c r="J2311" s="115" t="str">
        <x:v>Non</x:v>
      </x:c>
      <x:c r="K2311" s="115" t="str">
        <x:v>Pièces décrites, murs, portes, niveaux et mobilier inspectables à l’échelle. Volumes réservés, raccord au seed, butin, rencontres et services de campagne restent à terminer.</x:v>
      </x:c>
    </x:row>
    <x:row r="2312" ht="96" customHeight="1">
      <x:c r="A2312" s="115" t="str">
        <x:v>EXT-MONDE-T047-V07</x:v>
      </x:c>
      <x:c r="B2312" s="115" t="str">
        <x:v>EXT-MONDE-T047</x:v>
      </x:c>
      <x:c r="C2312" s="115" t="str">
        <x:v>Trailer parks</x:v>
      </x:c>
      <x:c r="D2312" s="115" t="str">
        <x:v>Camp de travailleurs</x:v>
      </x:c>
      <x:c r="E2312" s="115" t="n">
        <x:v>7</x:v>
      </x:c>
      <x:c r="F2312" s="115" t="str">
        <x:v>Inspection physique</x:v>
      </x:c>
      <x:c r="G2312" s="115" t="str">
        <x:v>1 niveaux ; 68 pièces ; 492 segments de mur ; 0 transitions. Inspection physique ; architecture complète encore ouverte.</x:v>
      </x:c>
      <x:c r="H2312" s="115" t="str">
        <x:v>L 160 ; l 118 ; hauteur 3,4 m ; choix de composition auteur ; dimensions réelles à documenter</x:v>
      </x:c>
      <x:c r="I2312" s="115" t="str">
        <x:v>À équilibrer</x:v>
      </x:c>
      <x:c r="J2312" s="115" t="str">
        <x:v>Non</x:v>
      </x:c>
      <x:c r="K2312" s="115" t="str">
        <x:v>Pièces décrites, murs, portes, niveaux et mobilier inspectables à l’échelle. Volumes réservés, raccord au seed, butin, rencontres et services de campagne restent à terminer.</x:v>
      </x:c>
    </x:row>
    <x:row r="2313" ht="96" customHeight="1">
      <x:c r="A2313" s="115" t="str">
        <x:v>EXT-MONDE-T047-V08</x:v>
      </x:c>
      <x:c r="B2313" s="115" t="str">
        <x:v>EXT-MONDE-T047</x:v>
      </x:c>
      <x:c r="C2313" s="115" t="str">
        <x:v>Trailer parks</x:v>
      </x:c>
      <x:c r="D2313" s="115" t="str">
        <x:v>Camp de travailleurs</x:v>
      </x:c>
      <x:c r="E2313" s="115" t="n">
        <x:v>8</x:v>
      </x:c>
      <x:c r="F2313" s="115" t="str">
        <x:v>Inspection physique</x:v>
      </x:c>
      <x:c r="G2313" s="115" t="str">
        <x:v>1 niveaux ; 56 pièces ; 406 segments de mur ; 0 transitions. Inspection physique ; architecture complète encore ouverte.</x:v>
      </x:c>
      <x:c r="H2313" s="115" t="str">
        <x:v>L 122 ; l 138 ; hauteur 3,4 m ; choix de composition auteur ; dimensions réelles à documenter</x:v>
      </x:c>
      <x:c r="I2313" s="115" t="str">
        <x:v>À équilibrer</x:v>
      </x:c>
      <x:c r="J2313" s="115" t="str">
        <x:v>Non</x:v>
      </x:c>
      <x:c r="K2313" s="115" t="str">
        <x:v>Pièces décrites, murs, portes, niveaux et mobilier inspectables à l’échelle. Volumes réservés, raccord au seed, butin, rencontres et services de campagne restent à terminer.</x:v>
      </x:c>
    </x:row>
    <x:row r="2314" ht="96" customHeight="1">
      <x:c r="A2314" s="115" t="str">
        <x:v>EXT-MONDE-T047-V09</x:v>
      </x:c>
      <x:c r="B2314" s="115" t="str">
        <x:v>EXT-MONDE-T047</x:v>
      </x:c>
      <x:c r="C2314" s="115" t="str">
        <x:v>Trailer parks</x:v>
      </x:c>
      <x:c r="D2314" s="115" t="str">
        <x:v>Camp de travailleurs</x:v>
      </x:c>
      <x:c r="E2314" s="115" t="n">
        <x:v>9</x:v>
      </x:c>
      <x:c r="F2314" s="115" t="str">
        <x:v>Inspection physique</x:v>
      </x:c>
      <x:c r="G2314" s="115" t="str">
        <x:v>1 niveaux ; 44 pièces ; 320 segments de mur ; 0 transitions. Inspection physique ; architecture complète encore ouverte.</x:v>
      </x:c>
      <x:c r="H2314" s="115" t="str">
        <x:v>L 122 ; l 118 ; hauteur 3,4 m ; choix de composition auteur ; dimensions réelles à documenter</x:v>
      </x:c>
      <x:c r="I2314" s="115" t="str">
        <x:v>À équilibrer</x:v>
      </x:c>
      <x:c r="J2314" s="115" t="str">
        <x:v>Non</x:v>
      </x:c>
      <x:c r="K2314" s="115" t="str">
        <x:v>Pièces décrites, murs, portes, niveaux et mobilier inspectables à l’échelle. Volumes réservés, raccord au seed, butin, rencontres et services de campagne restent à terminer.</x:v>
      </x:c>
    </x:row>
    <x:row r="2315" ht="96" customHeight="1">
      <x:c r="A2315" s="115" t="str">
        <x:v>EXT-MONDE-T047-V10</x:v>
      </x:c>
      <x:c r="B2315" s="115" t="str">
        <x:v>EXT-MONDE-T047</x:v>
      </x:c>
      <x:c r="C2315" s="115" t="str">
        <x:v>Trailer parks</x:v>
      </x:c>
      <x:c r="D2315" s="115" t="str">
        <x:v>Camp de travailleurs</x:v>
      </x:c>
      <x:c r="E2315" s="115" t="n">
        <x:v>10</x:v>
      </x:c>
      <x:c r="F2315" s="115" t="str">
        <x:v>Inspection physique</x:v>
      </x:c>
      <x:c r="G2315" s="115" t="str">
        <x:v>1 niveaux ; 74 pièces ; 535 segments de mur ; 0 transitions. Inspection physique ; architecture complète encore ouverte.</x:v>
      </x:c>
      <x:c r="H2315" s="115" t="str">
        <x:v>L 160 ; l 138 ; hauteur 3,4 m ; choix de composition auteur ; dimensions réelles à documenter</x:v>
      </x:c>
      <x:c r="I2315" s="115" t="str">
        <x:v>À équilibrer</x:v>
      </x:c>
      <x:c r="J2315" s="115" t="str">
        <x:v>Non</x:v>
      </x:c>
      <x:c r="K2315" s="115" t="str">
        <x:v>Pièces décrites, murs, portes, niveaux et mobilier inspectables à l’échelle. Volumes réservés, raccord au seed, butin, rencontres et services de campagne restent à terminer.</x:v>
      </x:c>
    </x:row>
    <x:row r="2316" ht="96" customHeight="1">
      <x:c r="A2316" s="115" t="str">
        <x:v>EXT-MONDE-T047-V11</x:v>
      </x:c>
      <x:c r="B2316" s="115" t="str">
        <x:v>EXT-MONDE-T047</x:v>
      </x:c>
      <x:c r="C2316" s="115" t="str">
        <x:v>Trailer parks</x:v>
      </x:c>
      <x:c r="D2316" s="115" t="str">
        <x:v>Camp de travailleurs</x:v>
      </x:c>
      <x:c r="E2316" s="115" t="n">
        <x:v>11</x:v>
      </x:c>
      <x:c r="F2316" s="115" t="str">
        <x:v>Inspection physique</x:v>
      </x:c>
      <x:c r="G2316" s="115" t="str">
        <x:v>1 niveaux ; 38 pièces ; 277 segments de mur ; 0 transitions. Inspection physique ; architecture complète encore ouverte.</x:v>
      </x:c>
      <x:c r="H2316" s="115" t="str">
        <x:v>L 126 ; l 118 ; hauteur 3,4 m ; choix de composition auteur ; dimensions réelles à documenter</x:v>
      </x:c>
      <x:c r="I2316" s="115" t="str">
        <x:v>À équilibrer</x:v>
      </x:c>
      <x:c r="J2316" s="115" t="str">
        <x:v>Non</x:v>
      </x:c>
      <x:c r="K2316" s="115" t="str">
        <x:v>Pièces décrites, murs, portes, niveaux et mobilier inspectables à l’échelle. Volumes réservés, raccord au seed, butin, rencontres et services de campagne restent à terminer.</x:v>
      </x:c>
    </x:row>
    <x:row r="2317" ht="96" customHeight="1">
      <x:c r="A2317" s="115" t="str">
        <x:v>EXT-MONDE-T047-V12</x:v>
      </x:c>
      <x:c r="B2317" s="115" t="str">
        <x:v>EXT-MONDE-T047</x:v>
      </x:c>
      <x:c r="C2317" s="115" t="str">
        <x:v>Trailer parks</x:v>
      </x:c>
      <x:c r="D2317" s="115" t="str">
        <x:v>Camp de travailleurs</x:v>
      </x:c>
      <x:c r="E2317" s="115" t="n">
        <x:v>12</x:v>
      </x:c>
      <x:c r="F2317" s="115" t="str">
        <x:v>Inspection physique</x:v>
      </x:c>
      <x:c r="G2317" s="115" t="str">
        <x:v>1 niveaux ; 50 pièces ; 363 segments de mur ; 0 transitions. Inspection physique ; architecture complète encore ouverte.</x:v>
      </x:c>
      <x:c r="H2317" s="115" t="str">
        <x:v>L 126 ; l 119 ; hauteur 3,4 m ; choix de composition auteur ; dimensions réelles à documenter</x:v>
      </x:c>
      <x:c r="I2317" s="115" t="str">
        <x:v>À équilibrer</x:v>
      </x:c>
      <x:c r="J2317" s="115" t="str">
        <x:v>Non</x:v>
      </x:c>
      <x:c r="K2317" s="115" t="str">
        <x:v>Pièces décrites, murs, portes, niveaux et mobilier inspectables à l’échelle. Volumes réservés, raccord au seed, butin, rencontres et services de campagne restent à terminer.</x:v>
      </x:c>
    </x:row>
    <x:row r="2318" ht="96" customHeight="1">
      <x:c r="A2318" s="115" t="str">
        <x:v>EXT-MONDE-T047-V13</x:v>
      </x:c>
      <x:c r="B2318" s="115" t="str">
        <x:v>EXT-MONDE-T047</x:v>
      </x:c>
      <x:c r="C2318" s="115" t="str">
        <x:v>Trailer parks</x:v>
      </x:c>
      <x:c r="D2318" s="115" t="str">
        <x:v>Camp de travailleurs</x:v>
      </x:c>
      <x:c r="E2318" s="115" t="n">
        <x:v>13</x:v>
      </x:c>
      <x:c r="F2318" s="115" t="str">
        <x:v>Inspection physique</x:v>
      </x:c>
      <x:c r="G2318" s="115" t="str">
        <x:v>1 niveaux ; 62 pièces ; 449 segments de mur ; 0 transitions. Inspection physique ; architecture complète encore ouverte.</x:v>
      </x:c>
      <x:c r="H2318" s="115" t="str">
        <x:v>L 126 ; l 142 ; hauteur 3,4 m ; choix de composition auteur ; dimensions réelles à documenter</x:v>
      </x:c>
      <x:c r="I2318" s="115" t="str">
        <x:v>À équilibrer</x:v>
      </x:c>
      <x:c r="J2318" s="115" t="str">
        <x:v>Non</x:v>
      </x:c>
      <x:c r="K2318" s="115" t="str">
        <x:v>Pièces décrites, murs, portes, niveaux et mobilier inspectables à l’échelle. Volumes réservés, raccord au seed, butin, rencontres et services de campagne restent à terminer.</x:v>
      </x:c>
    </x:row>
    <x:row r="2319" ht="96" customHeight="1">
      <x:c r="A2319" s="115" t="str">
        <x:v>EXT-MONDE-T047-V14</x:v>
      </x:c>
      <x:c r="B2319" s="115" t="str">
        <x:v>EXT-MONDE-T047</x:v>
      </x:c>
      <x:c r="C2319" s="115" t="str">
        <x:v>Trailer parks</x:v>
      </x:c>
      <x:c r="D2319" s="115" t="str">
        <x:v>Camp de travailleurs</x:v>
      </x:c>
      <x:c r="E2319" s="115" t="n">
        <x:v>14</x:v>
      </x:c>
      <x:c r="F2319" s="115" t="str">
        <x:v>Inspection physique</x:v>
      </x:c>
      <x:c r="G2319" s="115" t="str">
        <x:v>1 niveaux ; 32 pièces ; 234 segments de mur ; 0 transitions. Inspection physique ; architecture complète encore ouverte.</x:v>
      </x:c>
      <x:c r="H2319" s="115" t="str">
        <x:v>L 86 ; l 119 ; hauteur 3,4 m ; choix de composition auteur ; dimensions réelles à documenter</x:v>
      </x:c>
      <x:c r="I2319" s="115" t="str">
        <x:v>À équilibrer</x:v>
      </x:c>
      <x:c r="J2319" s="115" t="str">
        <x:v>Non</x:v>
      </x:c>
      <x:c r="K2319" s="115" t="str">
        <x:v>Pièces décrites, murs, portes, niveaux et mobilier inspectables à l’échelle. Volumes réservés, raccord au seed, butin, rencontres et services de campagne restent à terminer.</x:v>
      </x:c>
    </x:row>
    <x:row r="2320" ht="96" customHeight="1">
      <x:c r="A2320" s="115" t="str">
        <x:v>EXT-MONDE-T047-V15</x:v>
      </x:c>
      <x:c r="B2320" s="115" t="str">
        <x:v>EXT-MONDE-T047</x:v>
      </x:c>
      <x:c r="C2320" s="115" t="str">
        <x:v>Trailer parks</x:v>
      </x:c>
      <x:c r="D2320" s="115" t="str">
        <x:v>Camp de travailleurs</x:v>
      </x:c>
      <x:c r="E2320" s="115" t="n">
        <x:v>15</x:v>
      </x:c>
      <x:c r="F2320" s="115" t="str">
        <x:v>Inspection physique</x:v>
      </x:c>
      <x:c r="G2320" s="115" t="str">
        <x:v>1 niveaux ; 38 pièces ; 277 segments de mur ; 0 transitions. Inspection physique ; architecture complète encore ouverte.</x:v>
      </x:c>
      <x:c r="H2320" s="115" t="str">
        <x:v>L 86 ; l 142 ; hauteur 3,4 m ; choix de composition auteur ; dimensions réelles à documenter</x:v>
      </x:c>
      <x:c r="I2320" s="115" t="str">
        <x:v>À équilibrer</x:v>
      </x:c>
      <x:c r="J2320" s="115" t="str">
        <x:v>Non</x:v>
      </x:c>
      <x:c r="K2320" s="115" t="str">
        <x:v>Pièces décrites, murs, portes, niveaux et mobilier inspectables à l’échelle. Volumes réservés, raccord au seed, butin, rencontres et services de campagne restent à terminer.</x:v>
      </x:c>
    </x:row>
    <x:row r="2321" ht="96" customHeight="1">
      <x:c r="A2321" s="115" t="str">
        <x:v>EXT-MONDE-T047-V16</x:v>
      </x:c>
      <x:c r="B2321" s="115" t="str">
        <x:v>EXT-MONDE-T047</x:v>
      </x:c>
      <x:c r="C2321" s="115" t="str">
        <x:v>Trailer parks</x:v>
      </x:c>
      <x:c r="D2321" s="115" t="str">
        <x:v>Camp de travailleurs</x:v>
      </x:c>
      <x:c r="E2321" s="115" t="n">
        <x:v>16</x:v>
      </x:c>
      <x:c r="F2321" s="115" t="str">
        <x:v>Inspection physique</x:v>
      </x:c>
      <x:c r="G2321" s="115" t="str">
        <x:v>1 niveaux ; 50 pièces ; 363 segments de mur ; 0 transitions. Inspection physique ; architecture complète encore ouverte.</x:v>
      </x:c>
      <x:c r="H2321" s="115" t="str">
        <x:v>L 166 ; l 118 ; hauteur 3,4 m ; choix de composition auteur ; dimensions réelles à documenter</x:v>
      </x:c>
      <x:c r="I2321" s="115" t="str">
        <x:v>À équilibrer</x:v>
      </x:c>
      <x:c r="J2321" s="115" t="str">
        <x:v>Non</x:v>
      </x:c>
      <x:c r="K2321" s="115" t="str">
        <x:v>Pièces décrites, murs, portes, niveaux et mobilier inspectables à l’échelle. Volumes réservés, raccord au seed, butin, rencontres et services de campagne restent à terminer.</x:v>
      </x:c>
    </x:row>
    <x:row r="2322" ht="96" customHeight="1">
      <x:c r="A2322" s="115" t="str">
        <x:v>EXT-MONDE-T047-V17</x:v>
      </x:c>
      <x:c r="B2322" s="115" t="str">
        <x:v>EXT-MONDE-T047</x:v>
      </x:c>
      <x:c r="C2322" s="115" t="str">
        <x:v>Trailer parks</x:v>
      </x:c>
      <x:c r="D2322" s="115" t="str">
        <x:v>Camp de travailleurs</x:v>
      </x:c>
      <x:c r="E2322" s="115" t="n">
        <x:v>17</x:v>
      </x:c>
      <x:c r="F2322" s="115" t="str">
        <x:v>Inspection physique</x:v>
      </x:c>
      <x:c r="G2322" s="115" t="str">
        <x:v>1 niveaux ; 68 pièces ; 492 segments de mur ; 0 transitions. Inspection physique ; architecture complète encore ouverte.</x:v>
      </x:c>
      <x:c r="H2322" s="115" t="str">
        <x:v>L 166 ; l 119 ; hauteur 3,4 m ; choix de composition auteur ; dimensions réelles à documenter</x:v>
      </x:c>
      <x:c r="I2322" s="115" t="str">
        <x:v>À équilibrer</x:v>
      </x:c>
      <x:c r="J2322" s="115" t="str">
        <x:v>Non</x:v>
      </x:c>
      <x:c r="K2322" s="115" t="str">
        <x:v>Pièces décrites, murs, portes, niveaux et mobilier inspectables à l’échelle. Volumes réservés, raccord au seed, butin, rencontres et services de campagne restent à terminer.</x:v>
      </x:c>
    </x:row>
    <x:row r="2323" ht="96" customHeight="1">
      <x:c r="A2323" s="115" t="str">
        <x:v>EXT-MONDE-T047-V18</x:v>
      </x:c>
      <x:c r="B2323" s="115" t="str">
        <x:v>EXT-MONDE-T047</x:v>
      </x:c>
      <x:c r="C2323" s="115" t="str">
        <x:v>Trailer parks</x:v>
      </x:c>
      <x:c r="D2323" s="115" t="str">
        <x:v>Camp de travailleurs</x:v>
      </x:c>
      <x:c r="E2323" s="115" t="n">
        <x:v>18</x:v>
      </x:c>
      <x:c r="F2323" s="115" t="str">
        <x:v>Inspection physique</x:v>
      </x:c>
      <x:c r="G2323" s="115" t="str">
        <x:v>1 niveaux ; 56 pièces ; 406 segments de mur ; 0 transitions. Inspection physique ; architecture complète encore ouverte.</x:v>
      </x:c>
      <x:c r="H2323" s="115" t="str">
        <x:v>L 126 ; l 142 ; hauteur 3,4 m ; choix de composition auteur ; dimensions réelles à documenter</x:v>
      </x:c>
      <x:c r="I2323" s="115" t="str">
        <x:v>À équilibrer</x:v>
      </x:c>
      <x:c r="J2323" s="115" t="str">
        <x:v>Non</x:v>
      </x:c>
      <x:c r="K2323" s="115" t="str">
        <x:v>Pièces décrites, murs, portes, niveaux et mobilier inspectables à l’échelle. Volumes réservés, raccord au seed, butin, rencontres et services de campagne restent à terminer.</x:v>
      </x:c>
    </x:row>
    <x:row r="2324" ht="96" customHeight="1">
      <x:c r="A2324" s="115" t="str">
        <x:v>EXT-MONDE-T047-V19</x:v>
      </x:c>
      <x:c r="B2324" s="115" t="str">
        <x:v>EXT-MONDE-T047</x:v>
      </x:c>
      <x:c r="C2324" s="115" t="str">
        <x:v>Trailer parks</x:v>
      </x:c>
      <x:c r="D2324" s="115" t="str">
        <x:v>Camp de travailleurs</x:v>
      </x:c>
      <x:c r="E2324" s="115" t="n">
        <x:v>19</x:v>
      </x:c>
      <x:c r="F2324" s="115" t="str">
        <x:v>Inspection physique</x:v>
      </x:c>
      <x:c r="G2324" s="115" t="str">
        <x:v>1 niveaux ; 44 pièces ; 320 segments de mur ; 0 transitions. Inspection physique ; architecture complète encore ouverte.</x:v>
      </x:c>
      <x:c r="H2324" s="115" t="str">
        <x:v>L 126 ; l 119 ; hauteur 3,4 m ; choix de composition auteur ; dimensions réelles à documenter</x:v>
      </x:c>
      <x:c r="I2324" s="115" t="str">
        <x:v>À équilibrer</x:v>
      </x:c>
      <x:c r="J2324" s="115" t="str">
        <x:v>Non</x:v>
      </x:c>
      <x:c r="K2324" s="115" t="str">
        <x:v>Pièces décrites, murs, portes, niveaux et mobilier inspectables à l’échelle. Volumes réservés, raccord au seed, butin, rencontres et services de campagne restent à terminer.</x:v>
      </x:c>
    </x:row>
    <x:row r="2325" ht="96" customHeight="1">
      <x:c r="A2325" s="115" t="str">
        <x:v>EXT-MONDE-T047-V20</x:v>
      </x:c>
      <x:c r="B2325" s="115" t="str">
        <x:v>EXT-MONDE-T047</x:v>
      </x:c>
      <x:c r="C2325" s="115" t="str">
        <x:v>Trailer parks</x:v>
      </x:c>
      <x:c r="D2325" s="115" t="str">
        <x:v>Camp de travailleurs</x:v>
      </x:c>
      <x:c r="E2325" s="115" t="n">
        <x:v>20</x:v>
      </x:c>
      <x:c r="F2325" s="115" t="str">
        <x:v>Inspection physique</x:v>
      </x:c>
      <x:c r="G2325" s="115" t="str">
        <x:v>1 niveaux ; 74 pièces ; 535 segments de mur ; 0 transitions. Inspection physique ; architecture complète encore ouverte.</x:v>
      </x:c>
      <x:c r="H2325" s="115" t="str">
        <x:v>L 166 ; l 142 ; hauteur 3,4 m ; choix de composition auteur ; dimensions réelles à documenter</x:v>
      </x:c>
      <x:c r="I2325" s="115" t="str">
        <x:v>À équilibrer</x:v>
      </x:c>
      <x:c r="J2325" s="115" t="str">
        <x:v>Non</x:v>
      </x:c>
      <x:c r="K2325" s="115" t="str">
        <x:v>Pièces décrites, murs, portes, niveaux et mobilier inspectables à l’échelle. Volumes réservés, raccord au seed, butin, rencontres et services de campagne restent à terminer.</x:v>
      </x:c>
    </x:row>
    <x:row r="2326" ht="96" customHeight="1">
      <x:c r="A2326" s="115" t="str">
        <x:v>EXT-MONDE-T047-V21</x:v>
      </x:c>
      <x:c r="B2326" s="115" t="str">
        <x:v>EXT-MONDE-T047</x:v>
      </x:c>
      <x:c r="C2326" s="115" t="str">
        <x:v>Trailer parks</x:v>
      </x:c>
      <x:c r="D2326" s="115" t="str">
        <x:v>Camp de travailleurs</x:v>
      </x:c>
      <x:c r="E2326" s="115" t="n">
        <x:v>21</x:v>
      </x:c>
      <x:c r="F2326" s="115" t="str">
        <x:v>Inspection physique</x:v>
      </x:c>
      <x:c r="G2326" s="115" t="str">
        <x:v>1 niveaux ; 38 pièces ; 277 segments de mur ; 0 transitions. Inspection physique ; architecture complète encore ouverte.</x:v>
      </x:c>
      <x:c r="H2326" s="115" t="str">
        <x:v>L 130 ; l 118 ; hauteur 3,4 m ; choix de composition auteur ; dimensions réelles à documenter</x:v>
      </x:c>
      <x:c r="I2326" s="115" t="str">
        <x:v>À équilibrer</x:v>
      </x:c>
      <x:c r="J2326" s="115" t="str">
        <x:v>Non</x:v>
      </x:c>
      <x:c r="K2326" s="115" t="str">
        <x:v>Pièces décrites, murs, portes, niveaux et mobilier inspectables à l’échelle. Volumes réservés, raccord au seed, butin, rencontres et services de campagne restent à terminer.</x:v>
      </x:c>
    </x:row>
    <x:row r="2327" ht="96" customHeight="1">
      <x:c r="A2327" s="115" t="str">
        <x:v>EXT-MONDE-T047-V22</x:v>
      </x:c>
      <x:c r="B2327" s="115" t="str">
        <x:v>EXT-MONDE-T047</x:v>
      </x:c>
      <x:c r="C2327" s="115" t="str">
        <x:v>Trailer parks</x:v>
      </x:c>
      <x:c r="D2327" s="115" t="str">
        <x:v>Camp de travailleurs</x:v>
      </x:c>
      <x:c r="E2327" s="115" t="n">
        <x:v>22</x:v>
      </x:c>
      <x:c r="F2327" s="115" t="str">
        <x:v>Inspection physique</x:v>
      </x:c>
      <x:c r="G2327" s="115" t="str">
        <x:v>1 niveaux ; 50 pièces ; 363 segments de mur ; 0 transitions. Inspection physique ; architecture complète encore ouverte.</x:v>
      </x:c>
      <x:c r="H2327" s="115" t="str">
        <x:v>L 130 ; l 122 ; hauteur 3,4 m ; choix de composition auteur ; dimensions réelles à documenter</x:v>
      </x:c>
      <x:c r="I2327" s="115" t="str">
        <x:v>À équilibrer</x:v>
      </x:c>
      <x:c r="J2327" s="115" t="str">
        <x:v>Non</x:v>
      </x:c>
      <x:c r="K2327" s="115" t="str">
        <x:v>Pièces décrites, murs, portes, niveaux et mobilier inspectables à l’échelle. Volumes réservés, raccord au seed, butin, rencontres et services de campagne restent à terminer.</x:v>
      </x:c>
    </x:row>
    <x:row r="2328" ht="96" customHeight="1">
      <x:c r="A2328" s="115" t="str">
        <x:v>EXT-MONDE-T047-V23</x:v>
      </x:c>
      <x:c r="B2328" s="115" t="str">
        <x:v>EXT-MONDE-T047</x:v>
      </x:c>
      <x:c r="C2328" s="115" t="str">
        <x:v>Trailer parks</x:v>
      </x:c>
      <x:c r="D2328" s="115" t="str">
        <x:v>Camp de travailleurs</x:v>
      </x:c>
      <x:c r="E2328" s="115" t="n">
        <x:v>23</x:v>
      </x:c>
      <x:c r="F2328" s="115" t="str">
        <x:v>Inspection physique</x:v>
      </x:c>
      <x:c r="G2328" s="115" t="str">
        <x:v>1 niveaux ; 62 pièces ; 449 segments de mur ; 0 transitions. Inspection physique ; architecture complète encore ouverte.</x:v>
      </x:c>
      <x:c r="H2328" s="115" t="str">
        <x:v>L 130 ; l 146 ; hauteur 3,4 m ; choix de composition auteur ; dimensions réelles à documenter</x:v>
      </x:c>
      <x:c r="I2328" s="115" t="str">
        <x:v>À équilibrer</x:v>
      </x:c>
      <x:c r="J2328" s="115" t="str">
        <x:v>Non</x:v>
      </x:c>
      <x:c r="K2328" s="115" t="str">
        <x:v>Pièces décrites, murs, portes, niveaux et mobilier inspectables à l’échelle. Volumes réservés, raccord au seed, butin, rencontres et services de campagne restent à terminer.</x:v>
      </x:c>
    </x:row>
    <x:row r="2329" ht="96" customHeight="1">
      <x:c r="A2329" s="115" t="str">
        <x:v>EXT-MONDE-T047-V24</x:v>
      </x:c>
      <x:c r="B2329" s="115" t="str">
        <x:v>EXT-MONDE-T047</x:v>
      </x:c>
      <x:c r="C2329" s="115" t="str">
        <x:v>Trailer parks</x:v>
      </x:c>
      <x:c r="D2329" s="115" t="str">
        <x:v>Camp de travailleurs</x:v>
      </x:c>
      <x:c r="E2329" s="115" t="n">
        <x:v>24</x:v>
      </x:c>
      <x:c r="F2329" s="115" t="str">
        <x:v>Inspection physique</x:v>
      </x:c>
      <x:c r="G2329" s="115" t="str">
        <x:v>1 niveaux ; 32 pièces ; 234 segments de mur ; 0 transitions. Inspection physique ; architecture complète encore ouverte.</x:v>
      </x:c>
      <x:c r="H2329" s="115" t="str">
        <x:v>L 88 ; l 122 ; hauteur 3,4 m ; choix de composition auteur ; dimensions réelles à documenter</x:v>
      </x:c>
      <x:c r="I2329" s="115" t="str">
        <x:v>À équilibrer</x:v>
      </x:c>
      <x:c r="J2329" s="115" t="str">
        <x:v>Non</x:v>
      </x:c>
      <x:c r="K2329" s="115" t="str">
        <x:v>Pièces décrites, murs, portes, niveaux et mobilier inspectables à l’échelle. Volumes réservés, raccord au seed, butin, rencontres et services de campagne restent à terminer.</x:v>
      </x:c>
    </x:row>
    <x:row r="2330" ht="96" customHeight="1">
      <x:c r="A2330" s="115" t="str">
        <x:v>EXT-MONDE-T047-V25</x:v>
      </x:c>
      <x:c r="B2330" s="115" t="str">
        <x:v>EXT-MONDE-T047</x:v>
      </x:c>
      <x:c r="C2330" s="115" t="str">
        <x:v>Trailer parks</x:v>
      </x:c>
      <x:c r="D2330" s="115" t="str">
        <x:v>Camp de travailleurs</x:v>
      </x:c>
      <x:c r="E2330" s="115" t="n">
        <x:v>25</x:v>
      </x:c>
      <x:c r="F2330" s="115" t="str">
        <x:v>Inspection physique</x:v>
      </x:c>
      <x:c r="G2330" s="115" t="str">
        <x:v>1 niveaux ; 38 pièces ; 277 segments de mur ; 0 transitions. Inspection physique ; architecture complète encore ouverte.</x:v>
      </x:c>
      <x:c r="H2330" s="115" t="str">
        <x:v>L 88 ; l 146 ; hauteur 3,4 m ; choix de composition auteur ; dimensions réelles à documenter</x:v>
      </x:c>
      <x:c r="I2330" s="115" t="str">
        <x:v>À équilibrer</x:v>
      </x:c>
      <x:c r="J2330" s="115" t="str">
        <x:v>Non</x:v>
      </x:c>
      <x:c r="K2330" s="115" t="str">
        <x:v>Pièces décrites, murs, portes, niveaux et mobilier inspectables à l’échelle. Volumes réservés, raccord au seed, butin, rencontres et services de campagne restent à terminer.</x:v>
      </x:c>
    </x:row>
    <x:row r="2331" ht="96" customHeight="1">
      <x:c r="A2331" s="115" t="str">
        <x:v>EXT-MONDE-T047-V26</x:v>
      </x:c>
      <x:c r="B2331" s="115" t="str">
        <x:v>EXT-MONDE-T047</x:v>
      </x:c>
      <x:c r="C2331" s="115" t="str">
        <x:v>Trailer parks</x:v>
      </x:c>
      <x:c r="D2331" s="115" t="str">
        <x:v>Camp de travailleurs</x:v>
      </x:c>
      <x:c r="E2331" s="115" t="n">
        <x:v>26</x:v>
      </x:c>
      <x:c r="F2331" s="115" t="str">
        <x:v>Inspection physique</x:v>
      </x:c>
      <x:c r="G2331" s="115" t="str">
        <x:v>1 niveaux ; 50 pièces ; 363 segments de mur ; 0 transitions. Inspection physique ; architecture complète encore ouverte.</x:v>
      </x:c>
      <x:c r="H2331" s="115" t="str">
        <x:v>L 172 ; l 118 ; hauteur 3,4 m ; choix de composition auteur ; dimensions réelles à documenter</x:v>
      </x:c>
      <x:c r="I2331" s="115" t="str">
        <x:v>À équilibrer</x:v>
      </x:c>
      <x:c r="J2331" s="115" t="str">
        <x:v>Non</x:v>
      </x:c>
      <x:c r="K2331" s="115" t="str">
        <x:v>Pièces décrites, murs, portes, niveaux et mobilier inspectables à l’échelle. Volumes réservés, raccord au seed, butin, rencontres et services de campagne restent à terminer.</x:v>
      </x:c>
    </x:row>
    <x:row r="2332" ht="96" customHeight="1">
      <x:c r="A2332" s="115" t="str">
        <x:v>EXT-MONDE-T047-V27</x:v>
      </x:c>
      <x:c r="B2332" s="115" t="str">
        <x:v>EXT-MONDE-T047</x:v>
      </x:c>
      <x:c r="C2332" s="115" t="str">
        <x:v>Trailer parks</x:v>
      </x:c>
      <x:c r="D2332" s="115" t="str">
        <x:v>Camp de travailleurs</x:v>
      </x:c>
      <x:c r="E2332" s="115" t="n">
        <x:v>27</x:v>
      </x:c>
      <x:c r="F2332" s="115" t="str">
        <x:v>Inspection physique</x:v>
      </x:c>
      <x:c r="G2332" s="115" t="str">
        <x:v>1 niveaux ; 68 pièces ; 492 segments de mur ; 0 transitions. Inspection physique ; architecture complète encore ouverte.</x:v>
      </x:c>
      <x:c r="H2332" s="115" t="str">
        <x:v>L 172 ; l 122 ; hauteur 3,4 m ; choix de composition auteur ; dimensions réelles à documenter</x:v>
      </x:c>
      <x:c r="I2332" s="115" t="str">
        <x:v>À équilibrer</x:v>
      </x:c>
      <x:c r="J2332" s="115" t="str">
        <x:v>Non</x:v>
      </x:c>
      <x:c r="K2332" s="115" t="str">
        <x:v>Pièces décrites, murs, portes, niveaux et mobilier inspectables à l’échelle. Volumes réservés, raccord au seed, butin, rencontres et services de campagne restent à terminer.</x:v>
      </x:c>
    </x:row>
    <x:row r="2333" ht="96" customHeight="1">
      <x:c r="A2333" s="115" t="str">
        <x:v>EXT-MONDE-T047-V28</x:v>
      </x:c>
      <x:c r="B2333" s="115" t="str">
        <x:v>EXT-MONDE-T047</x:v>
      </x:c>
      <x:c r="C2333" s="115" t="str">
        <x:v>Trailer parks</x:v>
      </x:c>
      <x:c r="D2333" s="115" t="str">
        <x:v>Camp de travailleurs</x:v>
      </x:c>
      <x:c r="E2333" s="115" t="n">
        <x:v>28</x:v>
      </x:c>
      <x:c r="F2333" s="115" t="str">
        <x:v>Inspection physique</x:v>
      </x:c>
      <x:c r="G2333" s="115" t="str">
        <x:v>1 niveaux ; 56 pièces ; 406 segments de mur ; 0 transitions. Inspection physique ; architecture complète encore ouverte.</x:v>
      </x:c>
      <x:c r="H2333" s="115" t="str">
        <x:v>L 130 ; l 146 ; hauteur 3,4 m ; choix de composition auteur ; dimensions réelles à documenter</x:v>
      </x:c>
      <x:c r="I2333" s="115" t="str">
        <x:v>À équilibrer</x:v>
      </x:c>
      <x:c r="J2333" s="115" t="str">
        <x:v>Non</x:v>
      </x:c>
      <x:c r="K2333" s="115" t="str">
        <x:v>Pièces décrites, murs, portes, niveaux et mobilier inspectables à l’échelle. Volumes réservés, raccord au seed, butin, rencontres et services de campagne restent à terminer.</x:v>
      </x:c>
    </x:row>
    <x:row r="2334" ht="96" customHeight="1">
      <x:c r="A2334" s="115" t="str">
        <x:v>EXT-MONDE-T047-V29</x:v>
      </x:c>
      <x:c r="B2334" s="115" t="str">
        <x:v>EXT-MONDE-T047</x:v>
      </x:c>
      <x:c r="C2334" s="115" t="str">
        <x:v>Trailer parks</x:v>
      </x:c>
      <x:c r="D2334" s="115" t="str">
        <x:v>Camp de travailleurs</x:v>
      </x:c>
      <x:c r="E2334" s="115" t="n">
        <x:v>29</x:v>
      </x:c>
      <x:c r="F2334" s="115" t="str">
        <x:v>Inspection physique</x:v>
      </x:c>
      <x:c r="G2334" s="115" t="str">
        <x:v>1 niveaux ; 44 pièces ; 320 segments de mur ; 0 transitions. Inspection physique ; architecture complète encore ouverte.</x:v>
      </x:c>
      <x:c r="H2334" s="115" t="str">
        <x:v>L 130 ; l 122 ; hauteur 3,4 m ; choix de composition auteur ; dimensions réelles à documenter</x:v>
      </x:c>
      <x:c r="I2334" s="115" t="str">
        <x:v>À équilibrer</x:v>
      </x:c>
      <x:c r="J2334" s="115" t="str">
        <x:v>Non</x:v>
      </x:c>
      <x:c r="K2334" s="115" t="str">
        <x:v>Pièces décrites, murs, portes, niveaux et mobilier inspectables à l’échelle. Volumes réservés, raccord au seed, butin, rencontres et services de campagne restent à terminer.</x:v>
      </x:c>
    </x:row>
    <x:row r="2335" ht="96" customHeight="1">
      <x:c r="A2335" s="115" t="str">
        <x:v>EXT-MONDE-T047-V30</x:v>
      </x:c>
      <x:c r="B2335" s="115" t="str">
        <x:v>EXT-MONDE-T047</x:v>
      </x:c>
      <x:c r="C2335" s="115" t="str">
        <x:v>Trailer parks</x:v>
      </x:c>
      <x:c r="D2335" s="115" t="str">
        <x:v>Camp de travailleurs</x:v>
      </x:c>
      <x:c r="E2335" s="115" t="n">
        <x:v>30</x:v>
      </x:c>
      <x:c r="F2335" s="115" t="str">
        <x:v>Inspection physique</x:v>
      </x:c>
      <x:c r="G2335" s="115" t="str">
        <x:v>1 niveaux ; 74 pièces ; 535 segments de mur ; 0 transitions. Inspection physique ; architecture complète encore ouverte.</x:v>
      </x:c>
      <x:c r="H2335" s="115" t="str">
        <x:v>L 172 ; l 146 ; hauteur 3,4 m ; choix de composition auteur ; dimensions réelles à documenter</x:v>
      </x:c>
      <x:c r="I2335" s="115" t="str">
        <x:v>À équilibrer</x:v>
      </x:c>
      <x:c r="J2335" s="115" t="str">
        <x:v>Non</x:v>
      </x:c>
      <x:c r="K2335" s="115" t="str">
        <x:v>Pièces décrites, murs, portes, niveaux et mobilier inspectables à l’échelle. Volumes réservés, raccord au seed, butin, rencontres et services de campagne restent à terminer.</x:v>
      </x:c>
    </x:row>
    <x:row r="2336" ht="96" customHeight="1">
      <x:c r="A2336" s="115" t="str">
        <x:v>EXT-MONDE-T047-V31</x:v>
      </x:c>
      <x:c r="B2336" s="115" t="str">
        <x:v>EXT-MONDE-T047</x:v>
      </x:c>
      <x:c r="C2336" s="115" t="str">
        <x:v>Trailer parks</x:v>
      </x:c>
      <x:c r="D2336" s="115" t="str">
        <x:v>Camp de travailleurs</x:v>
      </x:c>
      <x:c r="E2336" s="115" t="n">
        <x:v>31</x:v>
      </x:c>
      <x:c r="F2336" s="115" t="str">
        <x:v>Inspection physique</x:v>
      </x:c>
      <x:c r="G2336" s="115" t="str">
        <x:v>1 niveaux ; 38 pièces ; 277 segments de mur ; 0 transitions. Inspection physique ; architecture complète encore ouverte.</x:v>
      </x:c>
      <x:c r="H2336" s="115" t="str">
        <x:v>L 134 ; l 118 ; hauteur 3,4 m ; choix de composition auteur ; dimensions réelles à documenter</x:v>
      </x:c>
      <x:c r="I2336" s="115" t="str">
        <x:v>À équilibrer</x:v>
      </x:c>
      <x:c r="J2336" s="115" t="str">
        <x:v>Non</x:v>
      </x:c>
      <x:c r="K2336" s="115" t="str">
        <x:v>Pièces décrites, murs, portes, niveaux et mobilier inspectables à l’échelle. Volumes réservés, raccord au seed, butin, rencontres et services de campagne restent à terminer.</x:v>
      </x:c>
    </x:row>
    <x:row r="2337" ht="96" customHeight="1">
      <x:c r="A2337" s="115" t="str">
        <x:v>EXT-MONDE-T047-V32</x:v>
      </x:c>
      <x:c r="B2337" s="115" t="str">
        <x:v>EXT-MONDE-T047</x:v>
      </x:c>
      <x:c r="C2337" s="115" t="str">
        <x:v>Trailer parks</x:v>
      </x:c>
      <x:c r="D2337" s="115" t="str">
        <x:v>Camp de travailleurs</x:v>
      </x:c>
      <x:c r="E2337" s="115" t="n">
        <x:v>32</x:v>
      </x:c>
      <x:c r="F2337" s="115" t="str">
        <x:v>Inspection physique</x:v>
      </x:c>
      <x:c r="G2337" s="115" t="str">
        <x:v>1 niveaux ; 50 pièces ; 363 segments de mur ; 0 transitions. Inspection physique ; architecture complète encore ouverte.</x:v>
      </x:c>
      <x:c r="H2337" s="115" t="str">
        <x:v>L 134 ; l 125 ; hauteur 3,4 m ; choix de composition auteur ; dimensions réelles à documenter</x:v>
      </x:c>
      <x:c r="I2337" s="115" t="str">
        <x:v>À équilibrer</x:v>
      </x:c>
      <x:c r="J2337" s="115" t="str">
        <x:v>Non</x:v>
      </x:c>
      <x:c r="K2337" s="115" t="str">
        <x:v>Pièces décrites, murs, portes, niveaux et mobilier inspectables à l’échelle. Volumes réservés, raccord au seed, butin, rencontres et services de campagne restent à terminer.</x:v>
      </x:c>
    </x:row>
    <x:row r="2338" ht="96" customHeight="1">
      <x:c r="A2338" s="115" t="str">
        <x:v>EXT-MONDE-T047-V33</x:v>
      </x:c>
      <x:c r="B2338" s="115" t="str">
        <x:v>EXT-MONDE-T047</x:v>
      </x:c>
      <x:c r="C2338" s="115" t="str">
        <x:v>Trailer parks</x:v>
      </x:c>
      <x:c r="D2338" s="115" t="str">
        <x:v>Camp de travailleurs</x:v>
      </x:c>
      <x:c r="E2338" s="115" t="n">
        <x:v>33</x:v>
      </x:c>
      <x:c r="F2338" s="115" t="str">
        <x:v>Inspection physique</x:v>
      </x:c>
      <x:c r="G2338" s="115" t="str">
        <x:v>1 niveaux ; 62 pièces ; 449 segments de mur ; 0 transitions. Inspection physique ; architecture complète encore ouverte.</x:v>
      </x:c>
      <x:c r="H2338" s="115" t="str">
        <x:v>L 134 ; l 150 ; hauteur 3,4 m ; choix de composition auteur ; dimensions réelles à documenter</x:v>
      </x:c>
      <x:c r="I2338" s="115" t="str">
        <x:v>À équilibrer</x:v>
      </x:c>
      <x:c r="J2338" s="115" t="str">
        <x:v>Non</x:v>
      </x:c>
      <x:c r="K2338" s="115" t="str">
        <x:v>Pièces décrites, murs, portes, niveaux et mobilier inspectables à l’échelle. Volumes réservés, raccord au seed, butin, rencontres et services de campagne restent à terminer.</x:v>
      </x:c>
    </x:row>
    <x:row r="2339" ht="96" customHeight="1">
      <x:c r="A2339" s="115" t="str">
        <x:v>EXT-MONDE-T047-V34</x:v>
      </x:c>
      <x:c r="B2339" s="115" t="str">
        <x:v>EXT-MONDE-T047</x:v>
      </x:c>
      <x:c r="C2339" s="115" t="str">
        <x:v>Trailer parks</x:v>
      </x:c>
      <x:c r="D2339" s="115" t="str">
        <x:v>Camp de travailleurs</x:v>
      </x:c>
      <x:c r="E2339" s="115" t="n">
        <x:v>34</x:v>
      </x:c>
      <x:c r="F2339" s="115" t="str">
        <x:v>Inspection physique</x:v>
      </x:c>
      <x:c r="G2339" s="115" t="str">
        <x:v>1 niveaux ; 32 pièces ; 234 segments de mur ; 0 transitions. Inspection physique ; architecture complète encore ouverte.</x:v>
      </x:c>
      <x:c r="H2339" s="115" t="str">
        <x:v>L 90 ; l 125 ; hauteur 3,4 m ; choix de composition auteur ; dimensions réelles à documenter</x:v>
      </x:c>
      <x:c r="I2339" s="115" t="str">
        <x:v>À équilibrer</x:v>
      </x:c>
      <x:c r="J2339" s="115" t="str">
        <x:v>Non</x:v>
      </x:c>
      <x:c r="K2339" s="115" t="str">
        <x:v>Pièces décrites, murs, portes, niveaux et mobilier inspectables à l’échelle. Volumes réservés, raccord au seed, butin, rencontres et services de campagne restent à terminer.</x:v>
      </x:c>
    </x:row>
    <x:row r="2340" ht="96" customHeight="1">
      <x:c r="A2340" s="115" t="str">
        <x:v>EXT-MONDE-T047-V35</x:v>
      </x:c>
      <x:c r="B2340" s="115" t="str">
        <x:v>EXT-MONDE-T047</x:v>
      </x:c>
      <x:c r="C2340" s="115" t="str">
        <x:v>Trailer parks</x:v>
      </x:c>
      <x:c r="D2340" s="115" t="str">
        <x:v>Camp de travailleurs</x:v>
      </x:c>
      <x:c r="E2340" s="115" t="n">
        <x:v>35</x:v>
      </x:c>
      <x:c r="F2340" s="115" t="str">
        <x:v>Inspection physique</x:v>
      </x:c>
      <x:c r="G2340" s="115" t="str">
        <x:v>1 niveaux ; 38 pièces ; 277 segments de mur ; 0 transitions. Inspection physique ; architecture complète encore ouverte.</x:v>
      </x:c>
      <x:c r="H2340" s="115" t="str">
        <x:v>L 90 ; l 150 ; hauteur 3,4 m ; choix de composition auteur ; dimensions réelles à documenter</x:v>
      </x:c>
      <x:c r="I2340" s="115" t="str">
        <x:v>À équilibrer</x:v>
      </x:c>
      <x:c r="J2340" s="115" t="str">
        <x:v>Non</x:v>
      </x:c>
      <x:c r="K2340" s="115" t="str">
        <x:v>Pièces décrites, murs, portes, niveaux et mobilier inspectables à l’échelle. Volumes réservés, raccord au seed, butin, rencontres et services de campagne restent à terminer.</x:v>
      </x:c>
    </x:row>
    <x:row r="2341" ht="96" customHeight="1">
      <x:c r="A2341" s="115" t="str">
        <x:v>EXT-MONDE-T047-V36</x:v>
      </x:c>
      <x:c r="B2341" s="115" t="str">
        <x:v>EXT-MONDE-T047</x:v>
      </x:c>
      <x:c r="C2341" s="115" t="str">
        <x:v>Trailer parks</x:v>
      </x:c>
      <x:c r="D2341" s="115" t="str">
        <x:v>Camp de travailleurs</x:v>
      </x:c>
      <x:c r="E2341" s="115" t="n">
        <x:v>36</x:v>
      </x:c>
      <x:c r="F2341" s="115" t="str">
        <x:v>Inspection physique</x:v>
      </x:c>
      <x:c r="G2341" s="115" t="str">
        <x:v>1 niveaux ; 50 pièces ; 363 segments de mur ; 0 transitions. Inspection physique ; architecture complète encore ouverte.</x:v>
      </x:c>
      <x:c r="H2341" s="115" t="str">
        <x:v>L 178 ; l 118 ; hauteur 3,4 m ; choix de composition auteur ; dimensions réelles à documenter</x:v>
      </x:c>
      <x:c r="I2341" s="115" t="str">
        <x:v>À équilibrer</x:v>
      </x:c>
      <x:c r="J2341" s="115" t="str">
        <x:v>Non</x:v>
      </x:c>
      <x:c r="K2341" s="115" t="str">
        <x:v>Pièces décrites, murs, portes, niveaux et mobilier inspectables à l’échelle. Volumes réservés, raccord au seed, butin, rencontres et services de campagne restent à terminer.</x:v>
      </x:c>
    </x:row>
    <x:row r="2342" ht="96" customHeight="1">
      <x:c r="A2342" s="115" t="str">
        <x:v>EXT-MONDE-T047-V37</x:v>
      </x:c>
      <x:c r="B2342" s="115" t="str">
        <x:v>EXT-MONDE-T047</x:v>
      </x:c>
      <x:c r="C2342" s="115" t="str">
        <x:v>Trailer parks</x:v>
      </x:c>
      <x:c r="D2342" s="115" t="str">
        <x:v>Camp de travailleurs</x:v>
      </x:c>
      <x:c r="E2342" s="115" t="n">
        <x:v>37</x:v>
      </x:c>
      <x:c r="F2342" s="115" t="str">
        <x:v>Inspection physique</x:v>
      </x:c>
      <x:c r="G2342" s="115" t="str">
        <x:v>1 niveaux ; 68 pièces ; 492 segments de mur ; 0 transitions. Inspection physique ; architecture complète encore ouverte.</x:v>
      </x:c>
      <x:c r="H2342" s="115" t="str">
        <x:v>L 178 ; l 125 ; hauteur 3,4 m ; choix de composition auteur ; dimensions réelles à documenter</x:v>
      </x:c>
      <x:c r="I2342" s="115" t="str">
        <x:v>À équilibrer</x:v>
      </x:c>
      <x:c r="J2342" s="115" t="str">
        <x:v>Non</x:v>
      </x:c>
      <x:c r="K2342" s="115" t="str">
        <x:v>Pièces décrites, murs, portes, niveaux et mobilier inspectables à l’échelle. Volumes réservés, raccord au seed, butin, rencontres et services de campagne restent à terminer.</x:v>
      </x:c>
    </x:row>
    <x:row r="2343" ht="96" customHeight="1">
      <x:c r="A2343" s="115" t="str">
        <x:v>EXT-MONDE-T047-V38</x:v>
      </x:c>
      <x:c r="B2343" s="115" t="str">
        <x:v>EXT-MONDE-T047</x:v>
      </x:c>
      <x:c r="C2343" s="115" t="str">
        <x:v>Trailer parks</x:v>
      </x:c>
      <x:c r="D2343" s="115" t="str">
        <x:v>Camp de travailleurs</x:v>
      </x:c>
      <x:c r="E2343" s="115" t="n">
        <x:v>38</x:v>
      </x:c>
      <x:c r="F2343" s="115" t="str">
        <x:v>Inspection physique</x:v>
      </x:c>
      <x:c r="G2343" s="115" t="str">
        <x:v>1 niveaux ; 56 pièces ; 406 segments de mur ; 0 transitions. Inspection physique ; architecture complète encore ouverte.</x:v>
      </x:c>
      <x:c r="H2343" s="115" t="str">
        <x:v>L 134 ; l 150 ; hauteur 3,4 m ; choix de composition auteur ; dimensions réelles à documenter</x:v>
      </x:c>
      <x:c r="I2343" s="115" t="str">
        <x:v>À équilibrer</x:v>
      </x:c>
      <x:c r="J2343" s="115" t="str">
        <x:v>Non</x:v>
      </x:c>
      <x:c r="K2343" s="115" t="str">
        <x:v>Pièces décrites, murs, portes, niveaux et mobilier inspectables à l’échelle. Volumes réservés, raccord au seed, butin, rencontres et services de campagne restent à terminer.</x:v>
      </x:c>
    </x:row>
    <x:row r="2344" ht="96" customHeight="1">
      <x:c r="A2344" s="115" t="str">
        <x:v>EXT-MONDE-T047-V39</x:v>
      </x:c>
      <x:c r="B2344" s="115" t="str">
        <x:v>EXT-MONDE-T047</x:v>
      </x:c>
      <x:c r="C2344" s="115" t="str">
        <x:v>Trailer parks</x:v>
      </x:c>
      <x:c r="D2344" s="115" t="str">
        <x:v>Camp de travailleurs</x:v>
      </x:c>
      <x:c r="E2344" s="115" t="n">
        <x:v>39</x:v>
      </x:c>
      <x:c r="F2344" s="115" t="str">
        <x:v>Inspection physique</x:v>
      </x:c>
      <x:c r="G2344" s="115" t="str">
        <x:v>1 niveaux ; 44 pièces ; 320 segments de mur ; 0 transitions. Inspection physique ; architecture complète encore ouverte.</x:v>
      </x:c>
      <x:c r="H2344" s="115" t="str">
        <x:v>L 134 ; l 125 ; hauteur 3,4 m ; choix de composition auteur ; dimensions réelles à documenter</x:v>
      </x:c>
      <x:c r="I2344" s="115" t="str">
        <x:v>À équilibrer</x:v>
      </x:c>
      <x:c r="J2344" s="115" t="str">
        <x:v>Non</x:v>
      </x:c>
      <x:c r="K2344" s="115" t="str">
        <x:v>Pièces décrites, murs, portes, niveaux et mobilier inspectables à l’échelle. Volumes réservés, raccord au seed, butin, rencontres et services de campagne restent à terminer.</x:v>
      </x:c>
    </x:row>
    <x:row r="2345" ht="96" customHeight="1">
      <x:c r="A2345" s="115" t="str">
        <x:v>EXT-MONDE-T047-V40</x:v>
      </x:c>
      <x:c r="B2345" s="115" t="str">
        <x:v>EXT-MONDE-T047</x:v>
      </x:c>
      <x:c r="C2345" s="115" t="str">
        <x:v>Trailer parks</x:v>
      </x:c>
      <x:c r="D2345" s="115" t="str">
        <x:v>Camp de travailleurs</x:v>
      </x:c>
      <x:c r="E2345" s="115" t="n">
        <x:v>40</x:v>
      </x:c>
      <x:c r="F2345" s="115" t="str">
        <x:v>Inspection physique</x:v>
      </x:c>
      <x:c r="G2345" s="115" t="str">
        <x:v>1 niveaux ; 74 pièces ; 535 segments de mur ; 0 transitions. Inspection physique ; architecture complète encore ouverte.</x:v>
      </x:c>
      <x:c r="H2345" s="115" t="str">
        <x:v>L 178 ; l 150 ; hauteur 3,4 m ; choix de composition auteur ; dimensions réelles à documenter</x:v>
      </x:c>
      <x:c r="I2345" s="115" t="str">
        <x:v>À équilibrer</x:v>
      </x:c>
      <x:c r="J2345" s="115" t="str">
        <x:v>Non</x:v>
      </x:c>
      <x:c r="K2345" s="115" t="str">
        <x:v>Pièces décrites, murs, portes, niveaux et mobilier inspectables à l’échelle. Volumes réservés, raccord au seed, butin, rencontres et services de campagne restent à terminer.</x:v>
      </x:c>
    </x:row>
    <x:row r="2346" ht="96" customHeight="1">
      <x:c r="A2346" s="115" t="str">
        <x:v>EXT-MONDE-T047-V41</x:v>
      </x:c>
      <x:c r="B2346" s="115" t="str">
        <x:v>EXT-MONDE-T047</x:v>
      </x:c>
      <x:c r="C2346" s="115" t="str">
        <x:v>Trailer parks</x:v>
      </x:c>
      <x:c r="D2346" s="115" t="str">
        <x:v>Camp de travailleurs</x:v>
      </x:c>
      <x:c r="E2346" s="115" t="n">
        <x:v>41</x:v>
      </x:c>
      <x:c r="F2346" s="115" t="str">
        <x:v>Inspection physique</x:v>
      </x:c>
      <x:c r="G2346" s="115" t="str">
        <x:v>1 niveaux ; 38 pièces ; 277 segments de mur ; 0 transitions. Inspection physique ; architecture complète encore ouverte.</x:v>
      </x:c>
      <x:c r="H2346" s="115" t="str">
        <x:v>L 138 ; l 118 ; hauteur 3,4 m ; choix de composition auteur ; dimensions réelles à documenter</x:v>
      </x:c>
      <x:c r="I2346" s="115" t="str">
        <x:v>À équilibrer</x:v>
      </x:c>
      <x:c r="J2346" s="115" t="str">
        <x:v>Non</x:v>
      </x:c>
      <x:c r="K2346" s="115" t="str">
        <x:v>Pièces décrites, murs, portes, niveaux et mobilier inspectables à l’échelle. Volumes réservés, raccord au seed, butin, rencontres et services de campagne restent à terminer.</x:v>
      </x:c>
    </x:row>
    <x:row r="2347" ht="96" customHeight="1">
      <x:c r="A2347" s="115" t="str">
        <x:v>EXT-MONDE-T047-V42</x:v>
      </x:c>
      <x:c r="B2347" s="115" t="str">
        <x:v>EXT-MONDE-T047</x:v>
      </x:c>
      <x:c r="C2347" s="115" t="str">
        <x:v>Trailer parks</x:v>
      </x:c>
      <x:c r="D2347" s="115" t="str">
        <x:v>Camp de travailleurs</x:v>
      </x:c>
      <x:c r="E2347" s="115" t="n">
        <x:v>42</x:v>
      </x:c>
      <x:c r="F2347" s="115" t="str">
        <x:v>Inspection physique</x:v>
      </x:c>
      <x:c r="G2347" s="115" t="str">
        <x:v>1 niveaux ; 50 pièces ; 363 segments de mur ; 0 transitions. Inspection physique ; architecture complète encore ouverte.</x:v>
      </x:c>
      <x:c r="H2347" s="115" t="str">
        <x:v>L 138 ; l 128 ; hauteur 3,4 m ; choix de composition auteur ; dimensions réelles à documenter</x:v>
      </x:c>
      <x:c r="I2347" s="115" t="str">
        <x:v>À équilibrer</x:v>
      </x:c>
      <x:c r="J2347" s="115" t="str">
        <x:v>Non</x:v>
      </x:c>
      <x:c r="K2347" s="115" t="str">
        <x:v>Pièces décrites, murs, portes, niveaux et mobilier inspectables à l’échelle. Volumes réservés, raccord au seed, butin, rencontres et services de campagne restent à terminer.</x:v>
      </x:c>
    </x:row>
    <x:row r="2348" ht="96" customHeight="1">
      <x:c r="A2348" s="115" t="str">
        <x:v>EXT-MONDE-T047-V43</x:v>
      </x:c>
      <x:c r="B2348" s="115" t="str">
        <x:v>EXT-MONDE-T047</x:v>
      </x:c>
      <x:c r="C2348" s="115" t="str">
        <x:v>Trailer parks</x:v>
      </x:c>
      <x:c r="D2348" s="115" t="str">
        <x:v>Camp de travailleurs</x:v>
      </x:c>
      <x:c r="E2348" s="115" t="n">
        <x:v>43</x:v>
      </x:c>
      <x:c r="F2348" s="115" t="str">
        <x:v>Inspection physique</x:v>
      </x:c>
      <x:c r="G2348" s="115" t="str">
        <x:v>1 niveaux ; 62 pièces ; 449 segments de mur ; 0 transitions. Inspection physique ; architecture complète encore ouverte.</x:v>
      </x:c>
      <x:c r="H2348" s="115" t="str">
        <x:v>L 138 ; l 154 ; hauteur 3,4 m ; choix de composition auteur ; dimensions réelles à documenter</x:v>
      </x:c>
      <x:c r="I2348" s="115" t="str">
        <x:v>À équilibrer</x:v>
      </x:c>
      <x:c r="J2348" s="115" t="str">
        <x:v>Non</x:v>
      </x:c>
      <x:c r="K2348" s="115" t="str">
        <x:v>Pièces décrites, murs, portes, niveaux et mobilier inspectables à l’échelle. Volumes réservés, raccord au seed, butin, rencontres et services de campagne restent à terminer.</x:v>
      </x:c>
    </x:row>
    <x:row r="2349" ht="96" customHeight="1">
      <x:c r="A2349" s="115" t="str">
        <x:v>EXT-MONDE-T047-V44</x:v>
      </x:c>
      <x:c r="B2349" s="115" t="str">
        <x:v>EXT-MONDE-T047</x:v>
      </x:c>
      <x:c r="C2349" s="115" t="str">
        <x:v>Trailer parks</x:v>
      </x:c>
      <x:c r="D2349" s="115" t="str">
        <x:v>Camp de travailleurs</x:v>
      </x:c>
      <x:c r="E2349" s="115" t="n">
        <x:v>44</x:v>
      </x:c>
      <x:c r="F2349" s="115" t="str">
        <x:v>Inspection physique</x:v>
      </x:c>
      <x:c r="G2349" s="115" t="str">
        <x:v>1 niveaux ; 32 pièces ; 234 segments de mur ; 0 transitions. Inspection physique ; architecture complète encore ouverte.</x:v>
      </x:c>
      <x:c r="H2349" s="115" t="str">
        <x:v>L 92 ; l 128 ; hauteur 3,4 m ; choix de composition auteur ; dimensions réelles à documenter</x:v>
      </x:c>
      <x:c r="I2349" s="115" t="str">
        <x:v>À équilibrer</x:v>
      </x:c>
      <x:c r="J2349" s="115" t="str">
        <x:v>Non</x:v>
      </x:c>
      <x:c r="K2349" s="115" t="str">
        <x:v>Pièces décrites, murs, portes, niveaux et mobilier inspectables à l’échelle. Volumes réservés, raccord au seed, butin, rencontres et services de campagne restent à terminer.</x:v>
      </x:c>
    </x:row>
    <x:row r="2350" ht="96" customHeight="1">
      <x:c r="A2350" s="115" t="str">
        <x:v>EXT-MONDE-T047-V45</x:v>
      </x:c>
      <x:c r="B2350" s="115" t="str">
        <x:v>EXT-MONDE-T047</x:v>
      </x:c>
      <x:c r="C2350" s="115" t="str">
        <x:v>Trailer parks</x:v>
      </x:c>
      <x:c r="D2350" s="115" t="str">
        <x:v>Camp de travailleurs</x:v>
      </x:c>
      <x:c r="E2350" s="115" t="n">
        <x:v>45</x:v>
      </x:c>
      <x:c r="F2350" s="115" t="str">
        <x:v>Inspection physique</x:v>
      </x:c>
      <x:c r="G2350" s="115" t="str">
        <x:v>1 niveaux ; 38 pièces ; 277 segments de mur ; 0 transitions. Inspection physique ; architecture complète encore ouverte.</x:v>
      </x:c>
      <x:c r="H2350" s="115" t="str">
        <x:v>L 92 ; l 154 ; hauteur 3,4 m ; choix de composition auteur ; dimensions réelles à documenter</x:v>
      </x:c>
      <x:c r="I2350" s="115" t="str">
        <x:v>À équilibrer</x:v>
      </x:c>
      <x:c r="J2350" s="115" t="str">
        <x:v>Non</x:v>
      </x:c>
      <x:c r="K2350" s="115" t="str">
        <x:v>Pièces décrites, murs, portes, niveaux et mobilier inspectables à l’échelle. Volumes réservés, raccord au seed, butin, rencontres et services de campagne restent à terminer.</x:v>
      </x:c>
    </x:row>
    <x:row r="2351" ht="96" customHeight="1">
      <x:c r="A2351" s="115" t="str">
        <x:v>EXT-MONDE-T047-V46</x:v>
      </x:c>
      <x:c r="B2351" s="115" t="str">
        <x:v>EXT-MONDE-T047</x:v>
      </x:c>
      <x:c r="C2351" s="115" t="str">
        <x:v>Trailer parks</x:v>
      </x:c>
      <x:c r="D2351" s="115" t="str">
        <x:v>Camp de travailleurs</x:v>
      </x:c>
      <x:c r="E2351" s="115" t="n">
        <x:v>46</x:v>
      </x:c>
      <x:c r="F2351" s="115" t="str">
        <x:v>Inspection physique</x:v>
      </x:c>
      <x:c r="G2351" s="115" t="str">
        <x:v>1 niveaux ; 50 pièces ; 363 segments de mur ; 0 transitions. Inspection physique ; architecture complète encore ouverte.</x:v>
      </x:c>
      <x:c r="H2351" s="115" t="str">
        <x:v>L 184 ; l 118 ; hauteur 3,4 m ; choix de composition auteur ; dimensions réelles à documenter</x:v>
      </x:c>
      <x:c r="I2351" s="115" t="str">
        <x:v>À équilibrer</x:v>
      </x:c>
      <x:c r="J2351" s="115" t="str">
        <x:v>Non</x:v>
      </x:c>
      <x:c r="K2351" s="115" t="str">
        <x:v>Pièces décrites, murs, portes, niveaux et mobilier inspectables à l’échelle. Volumes réservés, raccord au seed, butin, rencontres et services de campagne restent à terminer.</x:v>
      </x:c>
    </x:row>
    <x:row r="2352" ht="96" customHeight="1">
      <x:c r="A2352" s="115" t="str">
        <x:v>EXT-MONDE-T047-V47</x:v>
      </x:c>
      <x:c r="B2352" s="115" t="str">
        <x:v>EXT-MONDE-T047</x:v>
      </x:c>
      <x:c r="C2352" s="115" t="str">
        <x:v>Trailer parks</x:v>
      </x:c>
      <x:c r="D2352" s="115" t="str">
        <x:v>Camp de travailleurs</x:v>
      </x:c>
      <x:c r="E2352" s="115" t="n">
        <x:v>47</x:v>
      </x:c>
      <x:c r="F2352" s="115" t="str">
        <x:v>Inspection physique</x:v>
      </x:c>
      <x:c r="G2352" s="115" t="str">
        <x:v>1 niveaux ; 68 pièces ; 492 segments de mur ; 0 transitions. Inspection physique ; architecture complète encore ouverte.</x:v>
      </x:c>
      <x:c r="H2352" s="115" t="str">
        <x:v>L 184 ; l 128 ; hauteur 3,4 m ; choix de composition auteur ; dimensions réelles à documenter</x:v>
      </x:c>
      <x:c r="I2352" s="115" t="str">
        <x:v>À équilibrer</x:v>
      </x:c>
      <x:c r="J2352" s="115" t="str">
        <x:v>Non</x:v>
      </x:c>
      <x:c r="K2352" s="115" t="str">
        <x:v>Pièces décrites, murs, portes, niveaux et mobilier inspectables à l’échelle. Volumes réservés, raccord au seed, butin, rencontres et services de campagne restent à terminer.</x:v>
      </x:c>
    </x:row>
    <x:row r="2353" ht="96" customHeight="1">
      <x:c r="A2353" s="115" t="str">
        <x:v>EXT-MONDE-T047-V48</x:v>
      </x:c>
      <x:c r="B2353" s="115" t="str">
        <x:v>EXT-MONDE-T047</x:v>
      </x:c>
      <x:c r="C2353" s="115" t="str">
        <x:v>Trailer parks</x:v>
      </x:c>
      <x:c r="D2353" s="115" t="str">
        <x:v>Camp de travailleurs</x:v>
      </x:c>
      <x:c r="E2353" s="115" t="n">
        <x:v>48</x:v>
      </x:c>
      <x:c r="F2353" s="115" t="str">
        <x:v>Inspection physique</x:v>
      </x:c>
      <x:c r="G2353" s="115" t="str">
        <x:v>1 niveaux ; 56 pièces ; 406 segments de mur ; 0 transitions. Inspection physique ; architecture complète encore ouverte.</x:v>
      </x:c>
      <x:c r="H2353" s="115" t="str">
        <x:v>L 138 ; l 154 ; hauteur 3,4 m ; choix de composition auteur ; dimensions réelles à documenter</x:v>
      </x:c>
      <x:c r="I2353" s="115" t="str">
        <x:v>À équilibrer</x:v>
      </x:c>
      <x:c r="J2353" s="115" t="str">
        <x:v>Non</x:v>
      </x:c>
      <x:c r="K2353" s="115" t="str">
        <x:v>Pièces décrites, murs, portes, niveaux et mobilier inspectables à l’échelle. Volumes réservés, raccord au seed, butin, rencontres et services de campagne restent à terminer.</x:v>
      </x:c>
    </x:row>
    <x:row r="2354" ht="96" customHeight="1">
      <x:c r="A2354" s="115" t="str">
        <x:v>EXT-MONDE-T047-V49</x:v>
      </x:c>
      <x:c r="B2354" s="115" t="str">
        <x:v>EXT-MONDE-T047</x:v>
      </x:c>
      <x:c r="C2354" s="115" t="str">
        <x:v>Trailer parks</x:v>
      </x:c>
      <x:c r="D2354" s="115" t="str">
        <x:v>Camp de travailleurs</x:v>
      </x:c>
      <x:c r="E2354" s="115" t="n">
        <x:v>49</x:v>
      </x:c>
      <x:c r="F2354" s="115" t="str">
        <x:v>Inspection physique</x:v>
      </x:c>
      <x:c r="G2354" s="115" t="str">
        <x:v>1 niveaux ; 44 pièces ; 320 segments de mur ; 0 transitions. Inspection physique ; architecture complète encore ouverte.</x:v>
      </x:c>
      <x:c r="H2354" s="115" t="str">
        <x:v>L 138 ; l 128 ; hauteur 3,4 m ; choix de composition auteur ; dimensions réelles à documenter</x:v>
      </x:c>
      <x:c r="I2354" s="115" t="str">
        <x:v>À équilibrer</x:v>
      </x:c>
      <x:c r="J2354" s="115" t="str">
        <x:v>Non</x:v>
      </x:c>
      <x:c r="K2354" s="115" t="str">
        <x:v>Pièces décrites, murs, portes, niveaux et mobilier inspectables à l’échelle. Volumes réservés, raccord au seed, butin, rencontres et services de campagne restent à terminer.</x:v>
      </x:c>
    </x:row>
    <x:row r="2355" ht="96" customHeight="1">
      <x:c r="A2355" s="115" t="str">
        <x:v>EXT-MONDE-T047-V50</x:v>
      </x:c>
      <x:c r="B2355" s="115" t="str">
        <x:v>EXT-MONDE-T047</x:v>
      </x:c>
      <x:c r="C2355" s="115" t="str">
        <x:v>Trailer parks</x:v>
      </x:c>
      <x:c r="D2355" s="115" t="str">
        <x:v>Camp de travailleurs</x:v>
      </x:c>
      <x:c r="E2355" s="115" t="n">
        <x:v>50</x:v>
      </x:c>
      <x:c r="F2355" s="115" t="str">
        <x:v>Inspection physique</x:v>
      </x:c>
      <x:c r="G2355" s="115" t="str">
        <x:v>1 niveaux ; 74 pièces ; 535 segments de mur ; 0 transitions. Inspection physique ; architecture complète encore ouverte.</x:v>
      </x:c>
      <x:c r="H2355" s="115" t="str">
        <x:v>L 184 ; l 154 ; hauteur 3,4 m ; choix de composition auteur ; dimensions réelles à documenter</x:v>
      </x:c>
      <x:c r="I2355" s="115" t="str">
        <x:v>À équilibrer</x:v>
      </x:c>
      <x:c r="J2355" s="115" t="str">
        <x:v>Non</x:v>
      </x:c>
      <x:c r="K2355" s="115" t="str">
        <x:v>Pièces décrites, murs, portes, niveaux et mobilier inspectables à l’échelle. Volumes réservés, raccord au seed, butin, rencontres et services de campagne restent à terminer.</x:v>
      </x:c>
    </x:row>
    <x:row r="2356" ht="96" customHeight="1">
      <x:c r="A2356" s="115" t="str">
        <x:v>EXT-MONDE-T048-V01</x:v>
      </x:c>
      <x:c r="B2356" s="115" t="str">
        <x:v>EXT-MONDE-T048</x:v>
      </x:c>
      <x:c r="C2356" s="115" t="str">
        <x:v>Trailer parks</x:v>
      </x:c>
      <x:c r="D2356" s="115" t="str">
        <x:v>Parc de caravanes abandonné</x:v>
      </x:c>
      <x:c r="E2356" s="115" t="n">
        <x:v>1</x:v>
      </x:c>
      <x:c r="F2356" s="115" t="str">
        <x:v>Inspection physique</x:v>
      </x:c>
      <x:c r="G2356" s="115" t="str">
        <x:v>1 niveaux ; 24 pièces ; 179 segments de mur ; 0 transitions. Inspection physique ; architecture complète encore ouverte.</x:v>
      </x:c>
      <x:c r="H2356" s="115" t="str">
        <x:v>L 122 ; l 118 ; hauteur 3,2 m ; choix de composition auteur ; dimensions réelles à documenter</x:v>
      </x:c>
      <x:c r="I2356" s="115" t="str">
        <x:v>À équilibrer</x:v>
      </x:c>
      <x:c r="J2356" s="115" t="str">
        <x:v>Non</x:v>
      </x:c>
      <x:c r="K2356" s="115" t="str">
        <x:v>Pièces décrites, murs, portes, niveaux et mobilier inspectables à l’échelle. Volumes réservés, raccord au seed, butin, rencontres et services de campagne restent à terminer.</x:v>
      </x:c>
    </x:row>
    <x:row r="2357" ht="96" customHeight="1">
      <x:c r="A2357" s="115" t="str">
        <x:v>EXT-MONDE-T048-V02</x:v>
      </x:c>
      <x:c r="B2357" s="115" t="str">
        <x:v>EXT-MONDE-T048</x:v>
      </x:c>
      <x:c r="C2357" s="115" t="str">
        <x:v>Trailer parks</x:v>
      </x:c>
      <x:c r="D2357" s="115" t="str">
        <x:v>Parc de caravanes abandonné</x:v>
      </x:c>
      <x:c r="E2357" s="115" t="n">
        <x:v>2</x:v>
      </x:c>
      <x:c r="F2357" s="115" t="str">
        <x:v>Inspection physique</x:v>
      </x:c>
      <x:c r="G2357" s="115" t="str">
        <x:v>1 niveaux ; 24 pièces ; 179 segments de mur ; 0 transitions. Inspection physique ; architecture complète encore ouverte.</x:v>
      </x:c>
      <x:c r="H2357" s="115" t="str">
        <x:v>L 122 ; l 118 ; hauteur 3,2 m ; choix de composition auteur ; dimensions réelles à documenter</x:v>
      </x:c>
      <x:c r="I2357" s="115" t="str">
        <x:v>À équilibrer</x:v>
      </x:c>
      <x:c r="J2357" s="115" t="str">
        <x:v>Non</x:v>
      </x:c>
      <x:c r="K2357" s="115" t="str">
        <x:v>Pièces décrites, murs, portes, niveaux et mobilier inspectables à l’échelle. Volumes réservés, raccord au seed, butin, rencontres et services de campagne restent à terminer.</x:v>
      </x:c>
    </x:row>
    <x:row r="2358" ht="96" customHeight="1">
      <x:c r="A2358" s="115" t="str">
        <x:v>EXT-MONDE-T048-V03</x:v>
      </x:c>
      <x:c r="B2358" s="115" t="str">
        <x:v>EXT-MONDE-T048</x:v>
      </x:c>
      <x:c r="C2358" s="115" t="str">
        <x:v>Trailer parks</x:v>
      </x:c>
      <x:c r="D2358" s="115" t="str">
        <x:v>Parc de caravanes abandonné</x:v>
      </x:c>
      <x:c r="E2358" s="115" t="n">
        <x:v>3</x:v>
      </x:c>
      <x:c r="F2358" s="115" t="str">
        <x:v>Inspection physique</x:v>
      </x:c>
      <x:c r="G2358" s="115" t="str">
        <x:v>1 niveaux ; 30 pièces ; 222 segments de mur ; 0 transitions. Inspection physique ; architecture complète encore ouverte.</x:v>
      </x:c>
      <x:c r="H2358" s="115" t="str">
        <x:v>L 122 ; l 138 ; hauteur 3,2 m ; choix de composition auteur ; dimensions réelles à documenter</x:v>
      </x:c>
      <x:c r="I2358" s="115" t="str">
        <x:v>À équilibrer</x:v>
      </x:c>
      <x:c r="J2358" s="115" t="str">
        <x:v>Non</x:v>
      </x:c>
      <x:c r="K2358" s="115" t="str">
        <x:v>Pièces décrites, murs, portes, niveaux et mobilier inspectables à l’échelle. Volumes réservés, raccord au seed, butin, rencontres et services de campagne restent à terminer.</x:v>
      </x:c>
    </x:row>
    <x:row r="2359" ht="96" customHeight="1">
      <x:c r="A2359" s="115" t="str">
        <x:v>EXT-MONDE-T048-V04</x:v>
      </x:c>
      <x:c r="B2359" s="115" t="str">
        <x:v>EXT-MONDE-T048</x:v>
      </x:c>
      <x:c r="C2359" s="115" t="str">
        <x:v>Trailer parks</x:v>
      </x:c>
      <x:c r="D2359" s="115" t="str">
        <x:v>Parc de caravanes abandonné</x:v>
      </x:c>
      <x:c r="E2359" s="115" t="n">
        <x:v>4</x:v>
      </x:c>
      <x:c r="F2359" s="115" t="str">
        <x:v>Inspection physique</x:v>
      </x:c>
      <x:c r="G2359" s="115" t="str">
        <x:v>1 niveaux ; 18 pièces ; 136 segments de mur ; 0 transitions. Inspection physique ; architecture complète encore ouverte.</x:v>
      </x:c>
      <x:c r="H2359" s="115" t="str">
        <x:v>L 84 ; l 118 ; hauteur 3,2 m ; choix de composition auteur ; dimensions réelles à documenter</x:v>
      </x:c>
      <x:c r="I2359" s="115" t="str">
        <x:v>À équilibrer</x:v>
      </x:c>
      <x:c r="J2359" s="115" t="str">
        <x:v>Non</x:v>
      </x:c>
      <x:c r="K2359" s="115" t="str">
        <x:v>Pièces décrites, murs, portes, niveaux et mobilier inspectables à l’échelle. Volumes réservés, raccord au seed, butin, rencontres et services de campagne restent à terminer.</x:v>
      </x:c>
    </x:row>
    <x:row r="2360" ht="96" customHeight="1">
      <x:c r="A2360" s="115" t="str">
        <x:v>EXT-MONDE-T048-V05</x:v>
      </x:c>
      <x:c r="B2360" s="115" t="str">
        <x:v>EXT-MONDE-T048</x:v>
      </x:c>
      <x:c r="C2360" s="115" t="str">
        <x:v>Trailer parks</x:v>
      </x:c>
      <x:c r="D2360" s="115" t="str">
        <x:v>Parc de caravanes abandonné</x:v>
      </x:c>
      <x:c r="E2360" s="115" t="n">
        <x:v>5</x:v>
      </x:c>
      <x:c r="F2360" s="115" t="str">
        <x:v>Inspection physique</x:v>
      </x:c>
      <x:c r="G2360" s="115" t="str">
        <x:v>1 niveaux ; 24 pièces ; 179 segments de mur ; 0 transitions. Inspection physique ; architecture complète encore ouverte.</x:v>
      </x:c>
      <x:c r="H2360" s="115" t="str">
        <x:v>L 84 ; l 138 ; hauteur 3,2 m ; choix de composition auteur ; dimensions réelles à documenter</x:v>
      </x:c>
      <x:c r="I2360" s="115" t="str">
        <x:v>À équilibrer</x:v>
      </x:c>
      <x:c r="J2360" s="115" t="str">
        <x:v>Non</x:v>
      </x:c>
      <x:c r="K2360" s="115" t="str">
        <x:v>Pièces décrites, murs, portes, niveaux et mobilier inspectables à l’échelle. Volumes réservés, raccord au seed, butin, rencontres et services de campagne restent à terminer.</x:v>
      </x:c>
    </x:row>
    <x:row r="2361" ht="96" customHeight="1">
      <x:c r="A2361" s="115" t="str">
        <x:v>EXT-MONDE-T048-V06</x:v>
      </x:c>
      <x:c r="B2361" s="115" t="str">
        <x:v>EXT-MONDE-T048</x:v>
      </x:c>
      <x:c r="C2361" s="115" t="str">
        <x:v>Trailer parks</x:v>
      </x:c>
      <x:c r="D2361" s="115" t="str">
        <x:v>Parc de caravanes abandonné</x:v>
      </x:c>
      <x:c r="E2361" s="115" t="n">
        <x:v>6</x:v>
      </x:c>
      <x:c r="F2361" s="115" t="str">
        <x:v>Inspection physique</x:v>
      </x:c>
      <x:c r="G2361" s="115" t="str">
        <x:v>1 niveaux ; 24 pièces ; 179 segments de mur ; 0 transitions. Inspection physique ; architecture complète encore ouverte.</x:v>
      </x:c>
      <x:c r="H2361" s="115" t="str">
        <x:v>L 160 ; l 118 ; hauteur 3,2 m ; choix de composition auteur ; dimensions réelles à documenter</x:v>
      </x:c>
      <x:c r="I2361" s="115" t="str">
        <x:v>À équilibrer</x:v>
      </x:c>
      <x:c r="J2361" s="115" t="str">
        <x:v>Non</x:v>
      </x:c>
      <x:c r="K2361" s="115" t="str">
        <x:v>Pièces décrites, murs, portes, niveaux et mobilier inspectables à l’échelle. Volumes réservés, raccord au seed, butin, rencontres et services de campagne restent à terminer.</x:v>
      </x:c>
    </x:row>
    <x:row r="2362" ht="96" customHeight="1">
      <x:c r="A2362" s="115" t="str">
        <x:v>EXT-MONDE-T048-V07</x:v>
      </x:c>
      <x:c r="B2362" s="115" t="str">
        <x:v>EXT-MONDE-T048</x:v>
      </x:c>
      <x:c r="C2362" s="115" t="str">
        <x:v>Trailer parks</x:v>
      </x:c>
      <x:c r="D2362" s="115" t="str">
        <x:v>Parc de caravanes abandonné</x:v>
      </x:c>
      <x:c r="E2362" s="115" t="n">
        <x:v>7</x:v>
      </x:c>
      <x:c r="F2362" s="115" t="str">
        <x:v>Inspection physique</x:v>
      </x:c>
      <x:c r="G2362" s="115" t="str">
        <x:v>1 niveaux ; 30 pièces ; 222 segments de mur ; 0 transitions. Inspection physique ; architecture complète encore ouverte.</x:v>
      </x:c>
      <x:c r="H2362" s="115" t="str">
        <x:v>L 160 ; l 118 ; hauteur 3,2 m ; choix de composition auteur ; dimensions réelles à documenter</x:v>
      </x:c>
      <x:c r="I2362" s="115" t="str">
        <x:v>À équilibrer</x:v>
      </x:c>
      <x:c r="J2362" s="115" t="str">
        <x:v>Non</x:v>
      </x:c>
      <x:c r="K2362" s="115" t="str">
        <x:v>Pièces décrites, murs, portes, niveaux et mobilier inspectables à l’échelle. Volumes réservés, raccord au seed, butin, rencontres et services de campagne restent à terminer.</x:v>
      </x:c>
    </x:row>
    <x:row r="2363" ht="96" customHeight="1">
      <x:c r="A2363" s="115" t="str">
        <x:v>EXT-MONDE-T048-V08</x:v>
      </x:c>
      <x:c r="B2363" s="115" t="str">
        <x:v>EXT-MONDE-T048</x:v>
      </x:c>
      <x:c r="C2363" s="115" t="str">
        <x:v>Trailer parks</x:v>
      </x:c>
      <x:c r="D2363" s="115" t="str">
        <x:v>Parc de caravanes abandonné</x:v>
      </x:c>
      <x:c r="E2363" s="115" t="n">
        <x:v>8</x:v>
      </x:c>
      <x:c r="F2363" s="115" t="str">
        <x:v>Inspection physique</x:v>
      </x:c>
      <x:c r="G2363" s="115" t="str">
        <x:v>1 niveaux ; 30 pièces ; 222 segments de mur ; 0 transitions. Inspection physique ; architecture complète encore ouverte.</x:v>
      </x:c>
      <x:c r="H2363" s="115" t="str">
        <x:v>L 122 ; l 138 ; hauteur 3,2 m ; choix de composition auteur ; dimensions réelles à documenter</x:v>
      </x:c>
      <x:c r="I2363" s="115" t="str">
        <x:v>À équilibrer</x:v>
      </x:c>
      <x:c r="J2363" s="115" t="str">
        <x:v>Non</x:v>
      </x:c>
      <x:c r="K2363" s="115" t="str">
        <x:v>Pièces décrites, murs, portes, niveaux et mobilier inspectables à l’échelle. Volumes réservés, raccord au seed, butin, rencontres et services de campagne restent à terminer.</x:v>
      </x:c>
    </x:row>
    <x:row r="2364" ht="96" customHeight="1">
      <x:c r="A2364" s="115" t="str">
        <x:v>EXT-MONDE-T048-V09</x:v>
      </x:c>
      <x:c r="B2364" s="115" t="str">
        <x:v>EXT-MONDE-T048</x:v>
      </x:c>
      <x:c r="C2364" s="115" t="str">
        <x:v>Trailer parks</x:v>
      </x:c>
      <x:c r="D2364" s="115" t="str">
        <x:v>Parc de caravanes abandonné</x:v>
      </x:c>
      <x:c r="E2364" s="115" t="n">
        <x:v>9</x:v>
      </x:c>
      <x:c r="F2364" s="115" t="str">
        <x:v>Inspection physique</x:v>
      </x:c>
      <x:c r="G2364" s="115" t="str">
        <x:v>1 niveaux ; 24 pièces ; 179 segments de mur ; 0 transitions. Inspection physique ; architecture complète encore ouverte.</x:v>
      </x:c>
      <x:c r="H2364" s="115" t="str">
        <x:v>L 122 ; l 118 ; hauteur 3,2 m ; choix de composition auteur ; dimensions réelles à documenter</x:v>
      </x:c>
      <x:c r="I2364" s="115" t="str">
        <x:v>À équilibrer</x:v>
      </x:c>
      <x:c r="J2364" s="115" t="str">
        <x:v>Non</x:v>
      </x:c>
      <x:c r="K2364" s="115" t="str">
        <x:v>Pièces décrites, murs, portes, niveaux et mobilier inspectables à l’échelle. Volumes réservés, raccord au seed, butin, rencontres et services de campagne restent à terminer.</x:v>
      </x:c>
    </x:row>
    <x:row r="2365" ht="96" customHeight="1">
      <x:c r="A2365" s="115" t="str">
        <x:v>EXT-MONDE-T048-V10</x:v>
      </x:c>
      <x:c r="B2365" s="115" t="str">
        <x:v>EXT-MONDE-T048</x:v>
      </x:c>
      <x:c r="C2365" s="115" t="str">
        <x:v>Trailer parks</x:v>
      </x:c>
      <x:c r="D2365" s="115" t="str">
        <x:v>Parc de caravanes abandonné</x:v>
      </x:c>
      <x:c r="E2365" s="115" t="n">
        <x:v>10</x:v>
      </x:c>
      <x:c r="F2365" s="115" t="str">
        <x:v>Inspection physique</x:v>
      </x:c>
      <x:c r="G2365" s="115" t="str">
        <x:v>1 niveaux ; 30 pièces ; 222 segments de mur ; 0 transitions. Inspection physique ; architecture complète encore ouverte.</x:v>
      </x:c>
      <x:c r="H2365" s="115" t="str">
        <x:v>L 160 ; l 138 ; hauteur 3,2 m ; choix de composition auteur ; dimensions réelles à documenter</x:v>
      </x:c>
      <x:c r="I2365" s="115" t="str">
        <x:v>À équilibrer</x:v>
      </x:c>
      <x:c r="J2365" s="115" t="str">
        <x:v>Non</x:v>
      </x:c>
      <x:c r="K2365" s="115" t="str">
        <x:v>Pièces décrites, murs, portes, niveaux et mobilier inspectables à l’échelle. Volumes réservés, raccord au seed, butin, rencontres et services de campagne restent à terminer.</x:v>
      </x:c>
    </x:row>
    <x:row r="2366" ht="96" customHeight="1">
      <x:c r="A2366" s="115" t="str">
        <x:v>EXT-MONDE-T048-V11</x:v>
      </x:c>
      <x:c r="B2366" s="115" t="str">
        <x:v>EXT-MONDE-T048</x:v>
      </x:c>
      <x:c r="C2366" s="115" t="str">
        <x:v>Trailer parks</x:v>
      </x:c>
      <x:c r="D2366" s="115" t="str">
        <x:v>Parc de caravanes abandonné</x:v>
      </x:c>
      <x:c r="E2366" s="115" t="n">
        <x:v>11</x:v>
      </x:c>
      <x:c r="F2366" s="115" t="str">
        <x:v>Inspection physique</x:v>
      </x:c>
      <x:c r="G2366" s="115" t="str">
        <x:v>1 niveaux ; 24 pièces ; 179 segments de mur ; 0 transitions. Inspection physique ; architecture complète encore ouverte.</x:v>
      </x:c>
      <x:c r="H2366" s="115" t="str">
        <x:v>L 126 ; l 118 ; hauteur 3,2 m ; choix de composition auteur ; dimensions réelles à documenter</x:v>
      </x:c>
      <x:c r="I2366" s="115" t="str">
        <x:v>À équilibrer</x:v>
      </x:c>
      <x:c r="J2366" s="115" t="str">
        <x:v>Non</x:v>
      </x:c>
      <x:c r="K2366" s="115" t="str">
        <x:v>Pièces décrites, murs, portes, niveaux et mobilier inspectables à l’échelle. Volumes réservés, raccord au seed, butin, rencontres et services de campagne restent à terminer.</x:v>
      </x:c>
    </x:row>
    <x:row r="2367" ht="96" customHeight="1">
      <x:c r="A2367" s="115" t="str">
        <x:v>EXT-MONDE-T048-V12</x:v>
      </x:c>
      <x:c r="B2367" s="115" t="str">
        <x:v>EXT-MONDE-T048</x:v>
      </x:c>
      <x:c r="C2367" s="115" t="str">
        <x:v>Trailer parks</x:v>
      </x:c>
      <x:c r="D2367" s="115" t="str">
        <x:v>Parc de caravanes abandonné</x:v>
      </x:c>
      <x:c r="E2367" s="115" t="n">
        <x:v>12</x:v>
      </x:c>
      <x:c r="F2367" s="115" t="str">
        <x:v>Inspection physique</x:v>
      </x:c>
      <x:c r="G2367" s="115" t="str">
        <x:v>1 niveaux ; 24 pièces ; 179 segments de mur ; 0 transitions. Inspection physique ; architecture complète encore ouverte.</x:v>
      </x:c>
      <x:c r="H2367" s="115" t="str">
        <x:v>L 126 ; l 119 ; hauteur 3,2 m ; choix de composition auteur ; dimensions réelles à documenter</x:v>
      </x:c>
      <x:c r="I2367" s="115" t="str">
        <x:v>À équilibrer</x:v>
      </x:c>
      <x:c r="J2367" s="115" t="str">
        <x:v>Non</x:v>
      </x:c>
      <x:c r="K2367" s="115" t="str">
        <x:v>Pièces décrites, murs, portes, niveaux et mobilier inspectables à l’échelle. Volumes réservés, raccord au seed, butin, rencontres et services de campagne restent à terminer.</x:v>
      </x:c>
    </x:row>
    <x:row r="2368" ht="96" customHeight="1">
      <x:c r="A2368" s="115" t="str">
        <x:v>EXT-MONDE-T048-V13</x:v>
      </x:c>
      <x:c r="B2368" s="115" t="str">
        <x:v>EXT-MONDE-T048</x:v>
      </x:c>
      <x:c r="C2368" s="115" t="str">
        <x:v>Trailer parks</x:v>
      </x:c>
      <x:c r="D2368" s="115" t="str">
        <x:v>Parc de caravanes abandonné</x:v>
      </x:c>
      <x:c r="E2368" s="115" t="n">
        <x:v>13</x:v>
      </x:c>
      <x:c r="F2368" s="115" t="str">
        <x:v>Inspection physique</x:v>
      </x:c>
      <x:c r="G2368" s="115" t="str">
        <x:v>1 niveaux ; 30 pièces ; 222 segments de mur ; 0 transitions. Inspection physique ; architecture complète encore ouverte.</x:v>
      </x:c>
      <x:c r="H2368" s="115" t="str">
        <x:v>L 126 ; l 142 ; hauteur 3,2 m ; choix de composition auteur ; dimensions réelles à documenter</x:v>
      </x:c>
      <x:c r="I2368" s="115" t="str">
        <x:v>À équilibrer</x:v>
      </x:c>
      <x:c r="J2368" s="115" t="str">
        <x:v>Non</x:v>
      </x:c>
      <x:c r="K2368" s="115" t="str">
        <x:v>Pièces décrites, murs, portes, niveaux et mobilier inspectables à l’échelle. Volumes réservés, raccord au seed, butin, rencontres et services de campagne restent à terminer.</x:v>
      </x:c>
    </x:row>
    <x:row r="2369" ht="96" customHeight="1">
      <x:c r="A2369" s="115" t="str">
        <x:v>EXT-MONDE-T048-V14</x:v>
      </x:c>
      <x:c r="B2369" s="115" t="str">
        <x:v>EXT-MONDE-T048</x:v>
      </x:c>
      <x:c r="C2369" s="115" t="str">
        <x:v>Trailer parks</x:v>
      </x:c>
      <x:c r="D2369" s="115" t="str">
        <x:v>Parc de caravanes abandonné</x:v>
      </x:c>
      <x:c r="E2369" s="115" t="n">
        <x:v>14</x:v>
      </x:c>
      <x:c r="F2369" s="115" t="str">
        <x:v>Inspection physique</x:v>
      </x:c>
      <x:c r="G2369" s="115" t="str">
        <x:v>1 niveaux ; 18 pièces ; 136 segments de mur ; 0 transitions. Inspection physique ; architecture complète encore ouverte.</x:v>
      </x:c>
      <x:c r="H2369" s="115" t="str">
        <x:v>L 86 ; l 119 ; hauteur 3,2 m ; choix de composition auteur ; dimensions réelles à documenter</x:v>
      </x:c>
      <x:c r="I2369" s="115" t="str">
        <x:v>À équilibrer</x:v>
      </x:c>
      <x:c r="J2369" s="115" t="str">
        <x:v>Non</x:v>
      </x:c>
      <x:c r="K2369" s="115" t="str">
        <x:v>Pièces décrites, murs, portes, niveaux et mobilier inspectables à l’échelle. Volumes réservés, raccord au seed, butin, rencontres et services de campagne restent à terminer.</x:v>
      </x:c>
    </x:row>
    <x:row r="2370" ht="96" customHeight="1">
      <x:c r="A2370" s="115" t="str">
        <x:v>EXT-MONDE-T048-V15</x:v>
      </x:c>
      <x:c r="B2370" s="115" t="str">
        <x:v>EXT-MONDE-T048</x:v>
      </x:c>
      <x:c r="C2370" s="115" t="str">
        <x:v>Trailer parks</x:v>
      </x:c>
      <x:c r="D2370" s="115" t="str">
        <x:v>Parc de caravanes abandonné</x:v>
      </x:c>
      <x:c r="E2370" s="115" t="n">
        <x:v>15</x:v>
      </x:c>
      <x:c r="F2370" s="115" t="str">
        <x:v>Inspection physique</x:v>
      </x:c>
      <x:c r="G2370" s="115" t="str">
        <x:v>1 niveaux ; 24 pièces ; 179 segments de mur ; 0 transitions. Inspection physique ; architecture complète encore ouverte.</x:v>
      </x:c>
      <x:c r="H2370" s="115" t="str">
        <x:v>L 86 ; l 142 ; hauteur 3,2 m ; choix de composition auteur ; dimensions réelles à documenter</x:v>
      </x:c>
      <x:c r="I2370" s="115" t="str">
        <x:v>À équilibrer</x:v>
      </x:c>
      <x:c r="J2370" s="115" t="str">
        <x:v>Non</x:v>
      </x:c>
      <x:c r="K2370" s="115" t="str">
        <x:v>Pièces décrites, murs, portes, niveaux et mobilier inspectables à l’échelle. Volumes réservés, raccord au seed, butin, rencontres et services de campagne restent à terminer.</x:v>
      </x:c>
    </x:row>
    <x:row r="2371" ht="96" customHeight="1">
      <x:c r="A2371" s="115" t="str">
        <x:v>EXT-MONDE-T048-V16</x:v>
      </x:c>
      <x:c r="B2371" s="115" t="str">
        <x:v>EXT-MONDE-T048</x:v>
      </x:c>
      <x:c r="C2371" s="115" t="str">
        <x:v>Trailer parks</x:v>
      </x:c>
      <x:c r="D2371" s="115" t="str">
        <x:v>Parc de caravanes abandonné</x:v>
      </x:c>
      <x:c r="E2371" s="115" t="n">
        <x:v>16</x:v>
      </x:c>
      <x:c r="F2371" s="115" t="str">
        <x:v>Inspection physique</x:v>
      </x:c>
      <x:c r="G2371" s="115" t="str">
        <x:v>1 niveaux ; 24 pièces ; 179 segments de mur ; 0 transitions. Inspection physique ; architecture complète encore ouverte.</x:v>
      </x:c>
      <x:c r="H2371" s="115" t="str">
        <x:v>L 166 ; l 118 ; hauteur 3,2 m ; choix de composition auteur ; dimensions réelles à documenter</x:v>
      </x:c>
      <x:c r="I2371" s="115" t="str">
        <x:v>À équilibrer</x:v>
      </x:c>
      <x:c r="J2371" s="115" t="str">
        <x:v>Non</x:v>
      </x:c>
      <x:c r="K2371" s="115" t="str">
        <x:v>Pièces décrites, murs, portes, niveaux et mobilier inspectables à l’échelle. Volumes réservés, raccord au seed, butin, rencontres et services de campagne restent à terminer.</x:v>
      </x:c>
    </x:row>
    <x:row r="2372" ht="96" customHeight="1">
      <x:c r="A2372" s="115" t="str">
        <x:v>EXT-MONDE-T048-V17</x:v>
      </x:c>
      <x:c r="B2372" s="115" t="str">
        <x:v>EXT-MONDE-T048</x:v>
      </x:c>
      <x:c r="C2372" s="115" t="str">
        <x:v>Trailer parks</x:v>
      </x:c>
      <x:c r="D2372" s="115" t="str">
        <x:v>Parc de caravanes abandonné</x:v>
      </x:c>
      <x:c r="E2372" s="115" t="n">
        <x:v>17</x:v>
      </x:c>
      <x:c r="F2372" s="115" t="str">
        <x:v>Inspection physique</x:v>
      </x:c>
      <x:c r="G2372" s="115" t="str">
        <x:v>1 niveaux ; 30 pièces ; 222 segments de mur ; 0 transitions. Inspection physique ; architecture complète encore ouverte.</x:v>
      </x:c>
      <x:c r="H2372" s="115" t="str">
        <x:v>L 166 ; l 119 ; hauteur 3,2 m ; choix de composition auteur ; dimensions réelles à documenter</x:v>
      </x:c>
      <x:c r="I2372" s="115" t="str">
        <x:v>À équilibrer</x:v>
      </x:c>
      <x:c r="J2372" s="115" t="str">
        <x:v>Non</x:v>
      </x:c>
      <x:c r="K2372" s="115" t="str">
        <x:v>Pièces décrites, murs, portes, niveaux et mobilier inspectables à l’échelle. Volumes réservés, raccord au seed, butin, rencontres et services de campagne restent à terminer.</x:v>
      </x:c>
    </x:row>
    <x:row r="2373" ht="96" customHeight="1">
      <x:c r="A2373" s="115" t="str">
        <x:v>EXT-MONDE-T048-V18</x:v>
      </x:c>
      <x:c r="B2373" s="115" t="str">
        <x:v>EXT-MONDE-T048</x:v>
      </x:c>
      <x:c r="C2373" s="115" t="str">
        <x:v>Trailer parks</x:v>
      </x:c>
      <x:c r="D2373" s="115" t="str">
        <x:v>Parc de caravanes abandonné</x:v>
      </x:c>
      <x:c r="E2373" s="115" t="n">
        <x:v>18</x:v>
      </x:c>
      <x:c r="F2373" s="115" t="str">
        <x:v>Inspection physique</x:v>
      </x:c>
      <x:c r="G2373" s="115" t="str">
        <x:v>1 niveaux ; 30 pièces ; 222 segments de mur ; 0 transitions. Inspection physique ; architecture complète encore ouverte.</x:v>
      </x:c>
      <x:c r="H2373" s="115" t="str">
        <x:v>L 126 ; l 142 ; hauteur 3,2 m ; choix de composition auteur ; dimensions réelles à documenter</x:v>
      </x:c>
      <x:c r="I2373" s="115" t="str">
        <x:v>À équilibrer</x:v>
      </x:c>
      <x:c r="J2373" s="115" t="str">
        <x:v>Non</x:v>
      </x:c>
      <x:c r="K2373" s="115" t="str">
        <x:v>Pièces décrites, murs, portes, niveaux et mobilier inspectables à l’échelle. Volumes réservés, raccord au seed, butin, rencontres et services de campagne restent à terminer.</x:v>
      </x:c>
    </x:row>
    <x:row r="2374" ht="96" customHeight="1">
      <x:c r="A2374" s="115" t="str">
        <x:v>EXT-MONDE-T048-V19</x:v>
      </x:c>
      <x:c r="B2374" s="115" t="str">
        <x:v>EXT-MONDE-T048</x:v>
      </x:c>
      <x:c r="C2374" s="115" t="str">
        <x:v>Trailer parks</x:v>
      </x:c>
      <x:c r="D2374" s="115" t="str">
        <x:v>Parc de caravanes abandonné</x:v>
      </x:c>
      <x:c r="E2374" s="115" t="n">
        <x:v>19</x:v>
      </x:c>
      <x:c r="F2374" s="115" t="str">
        <x:v>Inspection physique</x:v>
      </x:c>
      <x:c r="G2374" s="115" t="str">
        <x:v>1 niveaux ; 24 pièces ; 179 segments de mur ; 0 transitions. Inspection physique ; architecture complète encore ouverte.</x:v>
      </x:c>
      <x:c r="H2374" s="115" t="str">
        <x:v>L 126 ; l 119 ; hauteur 3,2 m ; choix de composition auteur ; dimensions réelles à documenter</x:v>
      </x:c>
      <x:c r="I2374" s="115" t="str">
        <x:v>À équilibrer</x:v>
      </x:c>
      <x:c r="J2374" s="115" t="str">
        <x:v>Non</x:v>
      </x:c>
      <x:c r="K2374" s="115" t="str">
        <x:v>Pièces décrites, murs, portes, niveaux et mobilier inspectables à l’échelle. Volumes réservés, raccord au seed, butin, rencontres et services de campagne restent à terminer.</x:v>
      </x:c>
    </x:row>
    <x:row r="2375" ht="96" customHeight="1">
      <x:c r="A2375" s="115" t="str">
        <x:v>EXT-MONDE-T048-V20</x:v>
      </x:c>
      <x:c r="B2375" s="115" t="str">
        <x:v>EXT-MONDE-T048</x:v>
      </x:c>
      <x:c r="C2375" s="115" t="str">
        <x:v>Trailer parks</x:v>
      </x:c>
      <x:c r="D2375" s="115" t="str">
        <x:v>Parc de caravanes abandonné</x:v>
      </x:c>
      <x:c r="E2375" s="115" t="n">
        <x:v>20</x:v>
      </x:c>
      <x:c r="F2375" s="115" t="str">
        <x:v>Inspection physique</x:v>
      </x:c>
      <x:c r="G2375" s="115" t="str">
        <x:v>1 niveaux ; 30 pièces ; 222 segments de mur ; 0 transitions. Inspection physique ; architecture complète encore ouverte.</x:v>
      </x:c>
      <x:c r="H2375" s="115" t="str">
        <x:v>L 166 ; l 142 ; hauteur 3,2 m ; choix de composition auteur ; dimensions réelles à documenter</x:v>
      </x:c>
      <x:c r="I2375" s="115" t="str">
        <x:v>À équilibrer</x:v>
      </x:c>
      <x:c r="J2375" s="115" t="str">
        <x:v>Non</x:v>
      </x:c>
      <x:c r="K2375" s="115" t="str">
        <x:v>Pièces décrites, murs, portes, niveaux et mobilier inspectables à l’échelle. Volumes réservés, raccord au seed, butin, rencontres et services de campagne restent à terminer.</x:v>
      </x:c>
    </x:row>
    <x:row r="2376" ht="96" customHeight="1">
      <x:c r="A2376" s="115" t="str">
        <x:v>EXT-MONDE-T048-V21</x:v>
      </x:c>
      <x:c r="B2376" s="115" t="str">
        <x:v>EXT-MONDE-T048</x:v>
      </x:c>
      <x:c r="C2376" s="115" t="str">
        <x:v>Trailer parks</x:v>
      </x:c>
      <x:c r="D2376" s="115" t="str">
        <x:v>Parc de caravanes abandonné</x:v>
      </x:c>
      <x:c r="E2376" s="115" t="n">
        <x:v>21</x:v>
      </x:c>
      <x:c r="F2376" s="115" t="str">
        <x:v>Inspection physique</x:v>
      </x:c>
      <x:c r="G2376" s="115" t="str">
        <x:v>1 niveaux ; 24 pièces ; 179 segments de mur ; 0 transitions. Inspection physique ; architecture complète encore ouverte.</x:v>
      </x:c>
      <x:c r="H2376" s="115" t="str">
        <x:v>L 130 ; l 118 ; hauteur 3,2 m ; choix de composition auteur ; dimensions réelles à documenter</x:v>
      </x:c>
      <x:c r="I2376" s="115" t="str">
        <x:v>À équilibrer</x:v>
      </x:c>
      <x:c r="J2376" s="115" t="str">
        <x:v>Non</x:v>
      </x:c>
      <x:c r="K2376" s="115" t="str">
        <x:v>Pièces décrites, murs, portes, niveaux et mobilier inspectables à l’échelle. Volumes réservés, raccord au seed, butin, rencontres et services de campagne restent à terminer.</x:v>
      </x:c>
    </x:row>
    <x:row r="2377" ht="96" customHeight="1">
      <x:c r="A2377" s="115" t="str">
        <x:v>EXT-MONDE-T048-V22</x:v>
      </x:c>
      <x:c r="B2377" s="115" t="str">
        <x:v>EXT-MONDE-T048</x:v>
      </x:c>
      <x:c r="C2377" s="115" t="str">
        <x:v>Trailer parks</x:v>
      </x:c>
      <x:c r="D2377" s="115" t="str">
        <x:v>Parc de caravanes abandonné</x:v>
      </x:c>
      <x:c r="E2377" s="115" t="n">
        <x:v>22</x:v>
      </x:c>
      <x:c r="F2377" s="115" t="str">
        <x:v>Inspection physique</x:v>
      </x:c>
      <x:c r="G2377" s="115" t="str">
        <x:v>1 niveaux ; 24 pièces ; 179 segments de mur ; 0 transitions. Inspection physique ; architecture complète encore ouverte.</x:v>
      </x:c>
      <x:c r="H2377" s="115" t="str">
        <x:v>L 130 ; l 122 ; hauteur 3,2 m ; choix de composition auteur ; dimensions réelles à documenter</x:v>
      </x:c>
      <x:c r="I2377" s="115" t="str">
        <x:v>À équilibrer</x:v>
      </x:c>
      <x:c r="J2377" s="115" t="str">
        <x:v>Non</x:v>
      </x:c>
      <x:c r="K2377" s="115" t="str">
        <x:v>Pièces décrites, murs, portes, niveaux et mobilier inspectables à l’échelle. Volumes réservés, raccord au seed, butin, rencontres et services de campagne restent à terminer.</x:v>
      </x:c>
    </x:row>
    <x:row r="2378" ht="96" customHeight="1">
      <x:c r="A2378" s="115" t="str">
        <x:v>EXT-MONDE-T048-V23</x:v>
      </x:c>
      <x:c r="B2378" s="115" t="str">
        <x:v>EXT-MONDE-T048</x:v>
      </x:c>
      <x:c r="C2378" s="115" t="str">
        <x:v>Trailer parks</x:v>
      </x:c>
      <x:c r="D2378" s="115" t="str">
        <x:v>Parc de caravanes abandonné</x:v>
      </x:c>
      <x:c r="E2378" s="115" t="n">
        <x:v>23</x:v>
      </x:c>
      <x:c r="F2378" s="115" t="str">
        <x:v>Inspection physique</x:v>
      </x:c>
      <x:c r="G2378" s="115" t="str">
        <x:v>1 niveaux ; 30 pièces ; 222 segments de mur ; 0 transitions. Inspection physique ; architecture complète encore ouverte.</x:v>
      </x:c>
      <x:c r="H2378" s="115" t="str">
        <x:v>L 130 ; l 146 ; hauteur 3,2 m ; choix de composition auteur ; dimensions réelles à documenter</x:v>
      </x:c>
      <x:c r="I2378" s="115" t="str">
        <x:v>À équilibrer</x:v>
      </x:c>
      <x:c r="J2378" s="115" t="str">
        <x:v>Non</x:v>
      </x:c>
      <x:c r="K2378" s="115" t="str">
        <x:v>Pièces décrites, murs, portes, niveaux et mobilier inspectables à l’échelle. Volumes réservés, raccord au seed, butin, rencontres et services de campagne restent à terminer.</x:v>
      </x:c>
    </x:row>
    <x:row r="2379" ht="96" customHeight="1">
      <x:c r="A2379" s="115" t="str">
        <x:v>EXT-MONDE-T048-V24</x:v>
      </x:c>
      <x:c r="B2379" s="115" t="str">
        <x:v>EXT-MONDE-T048</x:v>
      </x:c>
      <x:c r="C2379" s="115" t="str">
        <x:v>Trailer parks</x:v>
      </x:c>
      <x:c r="D2379" s="115" t="str">
        <x:v>Parc de caravanes abandonné</x:v>
      </x:c>
      <x:c r="E2379" s="115" t="n">
        <x:v>24</x:v>
      </x:c>
      <x:c r="F2379" s="115" t="str">
        <x:v>Inspection physique</x:v>
      </x:c>
      <x:c r="G2379" s="115" t="str">
        <x:v>1 niveaux ; 18 pièces ; 136 segments de mur ; 0 transitions. Inspection physique ; architecture complète encore ouverte.</x:v>
      </x:c>
      <x:c r="H2379" s="115" t="str">
        <x:v>L 88 ; l 122 ; hauteur 3,2 m ; choix de composition auteur ; dimensions réelles à documenter</x:v>
      </x:c>
      <x:c r="I2379" s="115" t="str">
        <x:v>À équilibrer</x:v>
      </x:c>
      <x:c r="J2379" s="115" t="str">
        <x:v>Non</x:v>
      </x:c>
      <x:c r="K2379" s="115" t="str">
        <x:v>Pièces décrites, murs, portes, niveaux et mobilier inspectables à l’échelle. Volumes réservés, raccord au seed, butin, rencontres et services de campagne restent à terminer.</x:v>
      </x:c>
    </x:row>
    <x:row r="2380" ht="96" customHeight="1">
      <x:c r="A2380" s="115" t="str">
        <x:v>EXT-MONDE-T048-V25</x:v>
      </x:c>
      <x:c r="B2380" s="115" t="str">
        <x:v>EXT-MONDE-T048</x:v>
      </x:c>
      <x:c r="C2380" s="115" t="str">
        <x:v>Trailer parks</x:v>
      </x:c>
      <x:c r="D2380" s="115" t="str">
        <x:v>Parc de caravanes abandonné</x:v>
      </x:c>
      <x:c r="E2380" s="115" t="n">
        <x:v>25</x:v>
      </x:c>
      <x:c r="F2380" s="115" t="str">
        <x:v>Inspection physique</x:v>
      </x:c>
      <x:c r="G2380" s="115" t="str">
        <x:v>1 niveaux ; 24 pièces ; 179 segments de mur ; 0 transitions. Inspection physique ; architecture complète encore ouverte.</x:v>
      </x:c>
      <x:c r="H2380" s="115" t="str">
        <x:v>L 88 ; l 146 ; hauteur 3,2 m ; choix de composition auteur ; dimensions réelles à documenter</x:v>
      </x:c>
      <x:c r="I2380" s="115" t="str">
        <x:v>À équilibrer</x:v>
      </x:c>
      <x:c r="J2380" s="115" t="str">
        <x:v>Non</x:v>
      </x:c>
      <x:c r="K2380" s="115" t="str">
        <x:v>Pièces décrites, murs, portes, niveaux et mobilier inspectables à l’échelle. Volumes réservés, raccord au seed, butin, rencontres et services de campagne restent à terminer.</x:v>
      </x:c>
    </x:row>
    <x:row r="2381" ht="96" customHeight="1">
      <x:c r="A2381" s="115" t="str">
        <x:v>EXT-MONDE-T048-V26</x:v>
      </x:c>
      <x:c r="B2381" s="115" t="str">
        <x:v>EXT-MONDE-T048</x:v>
      </x:c>
      <x:c r="C2381" s="115" t="str">
        <x:v>Trailer parks</x:v>
      </x:c>
      <x:c r="D2381" s="115" t="str">
        <x:v>Parc de caravanes abandonné</x:v>
      </x:c>
      <x:c r="E2381" s="115" t="n">
        <x:v>26</x:v>
      </x:c>
      <x:c r="F2381" s="115" t="str">
        <x:v>Inspection physique</x:v>
      </x:c>
      <x:c r="G2381" s="115" t="str">
        <x:v>1 niveaux ; 24 pièces ; 179 segments de mur ; 0 transitions. Inspection physique ; architecture complète encore ouverte.</x:v>
      </x:c>
      <x:c r="H2381" s="115" t="str">
        <x:v>L 172 ; l 118 ; hauteur 3,2 m ; choix de composition auteur ; dimensions réelles à documenter</x:v>
      </x:c>
      <x:c r="I2381" s="115" t="str">
        <x:v>À équilibrer</x:v>
      </x:c>
      <x:c r="J2381" s="115" t="str">
        <x:v>Non</x:v>
      </x:c>
      <x:c r="K2381" s="115" t="str">
        <x:v>Pièces décrites, murs, portes, niveaux et mobilier inspectables à l’échelle. Volumes réservés, raccord au seed, butin, rencontres et services de campagne restent à terminer.</x:v>
      </x:c>
    </x:row>
    <x:row r="2382" ht="96" customHeight="1">
      <x:c r="A2382" s="115" t="str">
        <x:v>EXT-MONDE-T048-V27</x:v>
      </x:c>
      <x:c r="B2382" s="115" t="str">
        <x:v>EXT-MONDE-T048</x:v>
      </x:c>
      <x:c r="C2382" s="115" t="str">
        <x:v>Trailer parks</x:v>
      </x:c>
      <x:c r="D2382" s="115" t="str">
        <x:v>Parc de caravanes abandonné</x:v>
      </x:c>
      <x:c r="E2382" s="115" t="n">
        <x:v>27</x:v>
      </x:c>
      <x:c r="F2382" s="115" t="str">
        <x:v>Inspection physique</x:v>
      </x:c>
      <x:c r="G2382" s="115" t="str">
        <x:v>1 niveaux ; 30 pièces ; 222 segments de mur ; 0 transitions. Inspection physique ; architecture complète encore ouverte.</x:v>
      </x:c>
      <x:c r="H2382" s="115" t="str">
        <x:v>L 172 ; l 122 ; hauteur 3,2 m ; choix de composition auteur ; dimensions réelles à documenter</x:v>
      </x:c>
      <x:c r="I2382" s="115" t="str">
        <x:v>À équilibrer</x:v>
      </x:c>
      <x:c r="J2382" s="115" t="str">
        <x:v>Non</x:v>
      </x:c>
      <x:c r="K2382" s="115" t="str">
        <x:v>Pièces décrites, murs, portes, niveaux et mobilier inspectables à l’échelle. Volumes réservés, raccord au seed, butin, rencontres et services de campagne restent à terminer.</x:v>
      </x:c>
    </x:row>
    <x:row r="2383" ht="96" customHeight="1">
      <x:c r="A2383" s="115" t="str">
        <x:v>EXT-MONDE-T048-V28</x:v>
      </x:c>
      <x:c r="B2383" s="115" t="str">
        <x:v>EXT-MONDE-T048</x:v>
      </x:c>
      <x:c r="C2383" s="115" t="str">
        <x:v>Trailer parks</x:v>
      </x:c>
      <x:c r="D2383" s="115" t="str">
        <x:v>Parc de caravanes abandonné</x:v>
      </x:c>
      <x:c r="E2383" s="115" t="n">
        <x:v>28</x:v>
      </x:c>
      <x:c r="F2383" s="115" t="str">
        <x:v>Inspection physique</x:v>
      </x:c>
      <x:c r="G2383" s="115" t="str">
        <x:v>1 niveaux ; 30 pièces ; 222 segments de mur ; 0 transitions. Inspection physique ; architecture complète encore ouverte.</x:v>
      </x:c>
      <x:c r="H2383" s="115" t="str">
        <x:v>L 130 ; l 146 ; hauteur 3,2 m ; choix de composition auteur ; dimensions réelles à documenter</x:v>
      </x:c>
      <x:c r="I2383" s="115" t="str">
        <x:v>À équilibrer</x:v>
      </x:c>
      <x:c r="J2383" s="115" t="str">
        <x:v>Non</x:v>
      </x:c>
      <x:c r="K2383" s="115" t="str">
        <x:v>Pièces décrites, murs, portes, niveaux et mobilier inspectables à l’échelle. Volumes réservés, raccord au seed, butin, rencontres et services de campagne restent à terminer.</x:v>
      </x:c>
    </x:row>
    <x:row r="2384" ht="96" customHeight="1">
      <x:c r="A2384" s="115" t="str">
        <x:v>EXT-MONDE-T048-V29</x:v>
      </x:c>
      <x:c r="B2384" s="115" t="str">
        <x:v>EXT-MONDE-T048</x:v>
      </x:c>
      <x:c r="C2384" s="115" t="str">
        <x:v>Trailer parks</x:v>
      </x:c>
      <x:c r="D2384" s="115" t="str">
        <x:v>Parc de caravanes abandonné</x:v>
      </x:c>
      <x:c r="E2384" s="115" t="n">
        <x:v>29</x:v>
      </x:c>
      <x:c r="F2384" s="115" t="str">
        <x:v>Inspection physique</x:v>
      </x:c>
      <x:c r="G2384" s="115" t="str">
        <x:v>1 niveaux ; 24 pièces ; 179 segments de mur ; 0 transitions. Inspection physique ; architecture complète encore ouverte.</x:v>
      </x:c>
      <x:c r="H2384" s="115" t="str">
        <x:v>L 130 ; l 122 ; hauteur 3,2 m ; choix de composition auteur ; dimensions réelles à documenter</x:v>
      </x:c>
      <x:c r="I2384" s="115" t="str">
        <x:v>À équilibrer</x:v>
      </x:c>
      <x:c r="J2384" s="115" t="str">
        <x:v>Non</x:v>
      </x:c>
      <x:c r="K2384" s="115" t="str">
        <x:v>Pièces décrites, murs, portes, niveaux et mobilier inspectables à l’échelle. Volumes réservés, raccord au seed, butin, rencontres et services de campagne restent à terminer.</x:v>
      </x:c>
    </x:row>
    <x:row r="2385" ht="96" customHeight="1">
      <x:c r="A2385" s="115" t="str">
        <x:v>EXT-MONDE-T048-V30</x:v>
      </x:c>
      <x:c r="B2385" s="115" t="str">
        <x:v>EXT-MONDE-T048</x:v>
      </x:c>
      <x:c r="C2385" s="115" t="str">
        <x:v>Trailer parks</x:v>
      </x:c>
      <x:c r="D2385" s="115" t="str">
        <x:v>Parc de caravanes abandonné</x:v>
      </x:c>
      <x:c r="E2385" s="115" t="n">
        <x:v>30</x:v>
      </x:c>
      <x:c r="F2385" s="115" t="str">
        <x:v>Inspection physique</x:v>
      </x:c>
      <x:c r="G2385" s="115" t="str">
        <x:v>1 niveaux ; 30 pièces ; 222 segments de mur ; 0 transitions. Inspection physique ; architecture complète encore ouverte.</x:v>
      </x:c>
      <x:c r="H2385" s="115" t="str">
        <x:v>L 172 ; l 146 ; hauteur 3,2 m ; choix de composition auteur ; dimensions réelles à documenter</x:v>
      </x:c>
      <x:c r="I2385" s="115" t="str">
        <x:v>À équilibrer</x:v>
      </x:c>
      <x:c r="J2385" s="115" t="str">
        <x:v>Non</x:v>
      </x:c>
      <x:c r="K2385" s="115" t="str">
        <x:v>Pièces décrites, murs, portes, niveaux et mobilier inspectables à l’échelle. Volumes réservés, raccord au seed, butin, rencontres et services de campagne restent à terminer.</x:v>
      </x:c>
    </x:row>
    <x:row r="2386" ht="96" customHeight="1">
      <x:c r="A2386" s="115" t="str">
        <x:v>EXT-MONDE-T048-V31</x:v>
      </x:c>
      <x:c r="B2386" s="115" t="str">
        <x:v>EXT-MONDE-T048</x:v>
      </x:c>
      <x:c r="C2386" s="115" t="str">
        <x:v>Trailer parks</x:v>
      </x:c>
      <x:c r="D2386" s="115" t="str">
        <x:v>Parc de caravanes abandonné</x:v>
      </x:c>
      <x:c r="E2386" s="115" t="n">
        <x:v>31</x:v>
      </x:c>
      <x:c r="F2386" s="115" t="str">
        <x:v>Inspection physique</x:v>
      </x:c>
      <x:c r="G2386" s="115" t="str">
        <x:v>1 niveaux ; 24 pièces ; 179 segments de mur ; 0 transitions. Inspection physique ; architecture complète encore ouverte.</x:v>
      </x:c>
      <x:c r="H2386" s="115" t="str">
        <x:v>L 134 ; l 118 ; hauteur 3,2 m ; choix de composition auteur ; dimensions réelles à documenter</x:v>
      </x:c>
      <x:c r="I2386" s="115" t="str">
        <x:v>À équilibrer</x:v>
      </x:c>
      <x:c r="J2386" s="115" t="str">
        <x:v>Non</x:v>
      </x:c>
      <x:c r="K2386" s="115" t="str">
        <x:v>Pièces décrites, murs, portes, niveaux et mobilier inspectables à l’échelle. Volumes réservés, raccord au seed, butin, rencontres et services de campagne restent à terminer.</x:v>
      </x:c>
    </x:row>
    <x:row r="2387" ht="96" customHeight="1">
      <x:c r="A2387" s="115" t="str">
        <x:v>EXT-MONDE-T048-V32</x:v>
      </x:c>
      <x:c r="B2387" s="115" t="str">
        <x:v>EXT-MONDE-T048</x:v>
      </x:c>
      <x:c r="C2387" s="115" t="str">
        <x:v>Trailer parks</x:v>
      </x:c>
      <x:c r="D2387" s="115" t="str">
        <x:v>Parc de caravanes abandonné</x:v>
      </x:c>
      <x:c r="E2387" s="115" t="n">
        <x:v>32</x:v>
      </x:c>
      <x:c r="F2387" s="115" t="str">
        <x:v>Inspection physique</x:v>
      </x:c>
      <x:c r="G2387" s="115" t="str">
        <x:v>1 niveaux ; 24 pièces ; 179 segments de mur ; 0 transitions. Inspection physique ; architecture complète encore ouverte.</x:v>
      </x:c>
      <x:c r="H2387" s="115" t="str">
        <x:v>L 134 ; l 125 ; hauteur 3,2 m ; choix de composition auteur ; dimensions réelles à documenter</x:v>
      </x:c>
      <x:c r="I2387" s="115" t="str">
        <x:v>À équilibrer</x:v>
      </x:c>
      <x:c r="J2387" s="115" t="str">
        <x:v>Non</x:v>
      </x:c>
      <x:c r="K2387" s="115" t="str">
        <x:v>Pièces décrites, murs, portes, niveaux et mobilier inspectables à l’échelle. Volumes réservés, raccord au seed, butin, rencontres et services de campagne restent à terminer.</x:v>
      </x:c>
    </x:row>
    <x:row r="2388" ht="96" customHeight="1">
      <x:c r="A2388" s="115" t="str">
        <x:v>EXT-MONDE-T048-V33</x:v>
      </x:c>
      <x:c r="B2388" s="115" t="str">
        <x:v>EXT-MONDE-T048</x:v>
      </x:c>
      <x:c r="C2388" s="115" t="str">
        <x:v>Trailer parks</x:v>
      </x:c>
      <x:c r="D2388" s="115" t="str">
        <x:v>Parc de caravanes abandonné</x:v>
      </x:c>
      <x:c r="E2388" s="115" t="n">
        <x:v>33</x:v>
      </x:c>
      <x:c r="F2388" s="115" t="str">
        <x:v>Inspection physique</x:v>
      </x:c>
      <x:c r="G2388" s="115" t="str">
        <x:v>1 niveaux ; 30 pièces ; 222 segments de mur ; 0 transitions. Inspection physique ; architecture complète encore ouverte.</x:v>
      </x:c>
      <x:c r="H2388" s="115" t="str">
        <x:v>L 134 ; l 150 ; hauteur 3,2 m ; choix de composition auteur ; dimensions réelles à documenter</x:v>
      </x:c>
      <x:c r="I2388" s="115" t="str">
        <x:v>À équilibrer</x:v>
      </x:c>
      <x:c r="J2388" s="115" t="str">
        <x:v>Non</x:v>
      </x:c>
      <x:c r="K2388" s="115" t="str">
        <x:v>Pièces décrites, murs, portes, niveaux et mobilier inspectables à l’échelle. Volumes réservés, raccord au seed, butin, rencontres et services de campagne restent à terminer.</x:v>
      </x:c>
    </x:row>
    <x:row r="2389" ht="96" customHeight="1">
      <x:c r="A2389" s="115" t="str">
        <x:v>EXT-MONDE-T048-V34</x:v>
      </x:c>
      <x:c r="B2389" s="115" t="str">
        <x:v>EXT-MONDE-T048</x:v>
      </x:c>
      <x:c r="C2389" s="115" t="str">
        <x:v>Trailer parks</x:v>
      </x:c>
      <x:c r="D2389" s="115" t="str">
        <x:v>Parc de caravanes abandonné</x:v>
      </x:c>
      <x:c r="E2389" s="115" t="n">
        <x:v>34</x:v>
      </x:c>
      <x:c r="F2389" s="115" t="str">
        <x:v>Inspection physique</x:v>
      </x:c>
      <x:c r="G2389" s="115" t="str">
        <x:v>1 niveaux ; 18 pièces ; 136 segments de mur ; 0 transitions. Inspection physique ; architecture complète encore ouverte.</x:v>
      </x:c>
      <x:c r="H2389" s="115" t="str">
        <x:v>L 90 ; l 125 ; hauteur 3,2 m ; choix de composition auteur ; dimensions réelles à documenter</x:v>
      </x:c>
      <x:c r="I2389" s="115" t="str">
        <x:v>À équilibrer</x:v>
      </x:c>
      <x:c r="J2389" s="115" t="str">
        <x:v>Non</x:v>
      </x:c>
      <x:c r="K2389" s="115" t="str">
        <x:v>Pièces décrites, murs, portes, niveaux et mobilier inspectables à l’échelle. Volumes réservés, raccord au seed, butin, rencontres et services de campagne restent à terminer.</x:v>
      </x:c>
    </x:row>
    <x:row r="2390" ht="96" customHeight="1">
      <x:c r="A2390" s="115" t="str">
        <x:v>EXT-MONDE-T048-V35</x:v>
      </x:c>
      <x:c r="B2390" s="115" t="str">
        <x:v>EXT-MONDE-T048</x:v>
      </x:c>
      <x:c r="C2390" s="115" t="str">
        <x:v>Trailer parks</x:v>
      </x:c>
      <x:c r="D2390" s="115" t="str">
        <x:v>Parc de caravanes abandonné</x:v>
      </x:c>
      <x:c r="E2390" s="115" t="n">
        <x:v>35</x:v>
      </x:c>
      <x:c r="F2390" s="115" t="str">
        <x:v>Inspection physique</x:v>
      </x:c>
      <x:c r="G2390" s="115" t="str">
        <x:v>1 niveaux ; 24 pièces ; 179 segments de mur ; 0 transitions. Inspection physique ; architecture complète encore ouverte.</x:v>
      </x:c>
      <x:c r="H2390" s="115" t="str">
        <x:v>L 90 ; l 150 ; hauteur 3,2 m ; choix de composition auteur ; dimensions réelles à documenter</x:v>
      </x:c>
      <x:c r="I2390" s="115" t="str">
        <x:v>À équilibrer</x:v>
      </x:c>
      <x:c r="J2390" s="115" t="str">
        <x:v>Non</x:v>
      </x:c>
      <x:c r="K2390" s="115" t="str">
        <x:v>Pièces décrites, murs, portes, niveaux et mobilier inspectables à l’échelle. Volumes réservés, raccord au seed, butin, rencontres et services de campagne restent à terminer.</x:v>
      </x:c>
    </x:row>
    <x:row r="2391" ht="96" customHeight="1">
      <x:c r="A2391" s="115" t="str">
        <x:v>EXT-MONDE-T048-V36</x:v>
      </x:c>
      <x:c r="B2391" s="115" t="str">
        <x:v>EXT-MONDE-T048</x:v>
      </x:c>
      <x:c r="C2391" s="115" t="str">
        <x:v>Trailer parks</x:v>
      </x:c>
      <x:c r="D2391" s="115" t="str">
        <x:v>Parc de caravanes abandonné</x:v>
      </x:c>
      <x:c r="E2391" s="115" t="n">
        <x:v>36</x:v>
      </x:c>
      <x:c r="F2391" s="115" t="str">
        <x:v>Inspection physique</x:v>
      </x:c>
      <x:c r="G2391" s="115" t="str">
        <x:v>1 niveaux ; 24 pièces ; 179 segments de mur ; 0 transitions. Inspection physique ; architecture complète encore ouverte.</x:v>
      </x:c>
      <x:c r="H2391" s="115" t="str">
        <x:v>L 178 ; l 118 ; hauteur 3,2 m ; choix de composition auteur ; dimensions réelles à documenter</x:v>
      </x:c>
      <x:c r="I2391" s="115" t="str">
        <x:v>À équilibrer</x:v>
      </x:c>
      <x:c r="J2391" s="115" t="str">
        <x:v>Non</x:v>
      </x:c>
      <x:c r="K2391" s="115" t="str">
        <x:v>Pièces décrites, murs, portes, niveaux et mobilier inspectables à l’échelle. Volumes réservés, raccord au seed, butin, rencontres et services de campagne restent à terminer.</x:v>
      </x:c>
    </x:row>
    <x:row r="2392" ht="96" customHeight="1">
      <x:c r="A2392" s="115" t="str">
        <x:v>EXT-MONDE-T048-V37</x:v>
      </x:c>
      <x:c r="B2392" s="115" t="str">
        <x:v>EXT-MONDE-T048</x:v>
      </x:c>
      <x:c r="C2392" s="115" t="str">
        <x:v>Trailer parks</x:v>
      </x:c>
      <x:c r="D2392" s="115" t="str">
        <x:v>Parc de caravanes abandonné</x:v>
      </x:c>
      <x:c r="E2392" s="115" t="n">
        <x:v>37</x:v>
      </x:c>
      <x:c r="F2392" s="115" t="str">
        <x:v>Inspection physique</x:v>
      </x:c>
      <x:c r="G2392" s="115" t="str">
        <x:v>1 niveaux ; 30 pièces ; 222 segments de mur ; 0 transitions. Inspection physique ; architecture complète encore ouverte.</x:v>
      </x:c>
      <x:c r="H2392" s="115" t="str">
        <x:v>L 178 ; l 125 ; hauteur 3,2 m ; choix de composition auteur ; dimensions réelles à documenter</x:v>
      </x:c>
      <x:c r="I2392" s="115" t="str">
        <x:v>À équilibrer</x:v>
      </x:c>
      <x:c r="J2392" s="115" t="str">
        <x:v>Non</x:v>
      </x:c>
      <x:c r="K2392" s="115" t="str">
        <x:v>Pièces décrites, murs, portes, niveaux et mobilier inspectables à l’échelle. Volumes réservés, raccord au seed, butin, rencontres et services de campagne restent à terminer.</x:v>
      </x:c>
    </x:row>
    <x:row r="2393" ht="96" customHeight="1">
      <x:c r="A2393" s="115" t="str">
        <x:v>EXT-MONDE-T048-V38</x:v>
      </x:c>
      <x:c r="B2393" s="115" t="str">
        <x:v>EXT-MONDE-T048</x:v>
      </x:c>
      <x:c r="C2393" s="115" t="str">
        <x:v>Trailer parks</x:v>
      </x:c>
      <x:c r="D2393" s="115" t="str">
        <x:v>Parc de caravanes abandonné</x:v>
      </x:c>
      <x:c r="E2393" s="115" t="n">
        <x:v>38</x:v>
      </x:c>
      <x:c r="F2393" s="115" t="str">
        <x:v>Inspection physique</x:v>
      </x:c>
      <x:c r="G2393" s="115" t="str">
        <x:v>1 niveaux ; 30 pièces ; 222 segments de mur ; 0 transitions. Inspection physique ; architecture complète encore ouverte.</x:v>
      </x:c>
      <x:c r="H2393" s="115" t="str">
        <x:v>L 134 ; l 150 ; hauteur 3,2 m ; choix de composition auteur ; dimensions réelles à documenter</x:v>
      </x:c>
      <x:c r="I2393" s="115" t="str">
        <x:v>À équilibrer</x:v>
      </x:c>
      <x:c r="J2393" s="115" t="str">
        <x:v>Non</x:v>
      </x:c>
      <x:c r="K2393" s="115" t="str">
        <x:v>Pièces décrites, murs, portes, niveaux et mobilier inspectables à l’échelle. Volumes réservés, raccord au seed, butin, rencontres et services de campagne restent à terminer.</x:v>
      </x:c>
    </x:row>
    <x:row r="2394" ht="96" customHeight="1">
      <x:c r="A2394" s="115" t="str">
        <x:v>EXT-MONDE-T048-V39</x:v>
      </x:c>
      <x:c r="B2394" s="115" t="str">
        <x:v>EXT-MONDE-T048</x:v>
      </x:c>
      <x:c r="C2394" s="115" t="str">
        <x:v>Trailer parks</x:v>
      </x:c>
      <x:c r="D2394" s="115" t="str">
        <x:v>Parc de caravanes abandonné</x:v>
      </x:c>
      <x:c r="E2394" s="115" t="n">
        <x:v>39</x:v>
      </x:c>
      <x:c r="F2394" s="115" t="str">
        <x:v>Inspection physique</x:v>
      </x:c>
      <x:c r="G2394" s="115" t="str">
        <x:v>1 niveaux ; 24 pièces ; 179 segments de mur ; 0 transitions. Inspection physique ; architecture complète encore ouverte.</x:v>
      </x:c>
      <x:c r="H2394" s="115" t="str">
        <x:v>L 134 ; l 125 ; hauteur 3,2 m ; choix de composition auteur ; dimensions réelles à documenter</x:v>
      </x:c>
      <x:c r="I2394" s="115" t="str">
        <x:v>À équilibrer</x:v>
      </x:c>
      <x:c r="J2394" s="115" t="str">
        <x:v>Non</x:v>
      </x:c>
      <x:c r="K2394" s="115" t="str">
        <x:v>Pièces décrites, murs, portes, niveaux et mobilier inspectables à l’échelle. Volumes réservés, raccord au seed, butin, rencontres et services de campagne restent à terminer.</x:v>
      </x:c>
    </x:row>
    <x:row r="2395" ht="96" customHeight="1">
      <x:c r="A2395" s="115" t="str">
        <x:v>EXT-MONDE-T048-V40</x:v>
      </x:c>
      <x:c r="B2395" s="115" t="str">
        <x:v>EXT-MONDE-T048</x:v>
      </x:c>
      <x:c r="C2395" s="115" t="str">
        <x:v>Trailer parks</x:v>
      </x:c>
      <x:c r="D2395" s="115" t="str">
        <x:v>Parc de caravanes abandonné</x:v>
      </x:c>
      <x:c r="E2395" s="115" t="n">
        <x:v>40</x:v>
      </x:c>
      <x:c r="F2395" s="115" t="str">
        <x:v>Inspection physique</x:v>
      </x:c>
      <x:c r="G2395" s="115" t="str">
        <x:v>1 niveaux ; 30 pièces ; 222 segments de mur ; 0 transitions. Inspection physique ; architecture complète encore ouverte.</x:v>
      </x:c>
      <x:c r="H2395" s="115" t="str">
        <x:v>L 178 ; l 150 ; hauteur 3,2 m ; choix de composition auteur ; dimensions réelles à documenter</x:v>
      </x:c>
      <x:c r="I2395" s="115" t="str">
        <x:v>À équilibrer</x:v>
      </x:c>
      <x:c r="J2395" s="115" t="str">
        <x:v>Non</x:v>
      </x:c>
      <x:c r="K2395" s="115" t="str">
        <x:v>Pièces décrites, murs, portes, niveaux et mobilier inspectables à l’échelle. Volumes réservés, raccord au seed, butin, rencontres et services de campagne restent à terminer.</x:v>
      </x:c>
    </x:row>
    <x:row r="2396" ht="96" customHeight="1">
      <x:c r="A2396" s="115" t="str">
        <x:v>EXT-MONDE-T048-V41</x:v>
      </x:c>
      <x:c r="B2396" s="115" t="str">
        <x:v>EXT-MONDE-T048</x:v>
      </x:c>
      <x:c r="C2396" s="115" t="str">
        <x:v>Trailer parks</x:v>
      </x:c>
      <x:c r="D2396" s="115" t="str">
        <x:v>Parc de caravanes abandonné</x:v>
      </x:c>
      <x:c r="E2396" s="115" t="n">
        <x:v>41</x:v>
      </x:c>
      <x:c r="F2396" s="115" t="str">
        <x:v>Inspection physique</x:v>
      </x:c>
      <x:c r="G2396" s="115" t="str">
        <x:v>1 niveaux ; 24 pièces ; 179 segments de mur ; 0 transitions. Inspection physique ; architecture complète encore ouverte.</x:v>
      </x:c>
      <x:c r="H2396" s="115" t="str">
        <x:v>L 138 ; l 118 ; hauteur 3,2 m ; choix de composition auteur ; dimensions réelles à documenter</x:v>
      </x:c>
      <x:c r="I2396" s="115" t="str">
        <x:v>À équilibrer</x:v>
      </x:c>
      <x:c r="J2396" s="115" t="str">
        <x:v>Non</x:v>
      </x:c>
      <x:c r="K2396" s="115" t="str">
        <x:v>Pièces décrites, murs, portes, niveaux et mobilier inspectables à l’échelle. Volumes réservés, raccord au seed, butin, rencontres et services de campagne restent à terminer.</x:v>
      </x:c>
    </x:row>
    <x:row r="2397" ht="96" customHeight="1">
      <x:c r="A2397" s="115" t="str">
        <x:v>EXT-MONDE-T048-V42</x:v>
      </x:c>
      <x:c r="B2397" s="115" t="str">
        <x:v>EXT-MONDE-T048</x:v>
      </x:c>
      <x:c r="C2397" s="115" t="str">
        <x:v>Trailer parks</x:v>
      </x:c>
      <x:c r="D2397" s="115" t="str">
        <x:v>Parc de caravanes abandonné</x:v>
      </x:c>
      <x:c r="E2397" s="115" t="n">
        <x:v>42</x:v>
      </x:c>
      <x:c r="F2397" s="115" t="str">
        <x:v>Inspection physique</x:v>
      </x:c>
      <x:c r="G2397" s="115" t="str">
        <x:v>1 niveaux ; 24 pièces ; 179 segments de mur ; 0 transitions. Inspection physique ; architecture complète encore ouverte.</x:v>
      </x:c>
      <x:c r="H2397" s="115" t="str">
        <x:v>L 138 ; l 128 ; hauteur 3,2 m ; choix de composition auteur ; dimensions réelles à documenter</x:v>
      </x:c>
      <x:c r="I2397" s="115" t="str">
        <x:v>À équilibrer</x:v>
      </x:c>
      <x:c r="J2397" s="115" t="str">
        <x:v>Non</x:v>
      </x:c>
      <x:c r="K2397" s="115" t="str">
        <x:v>Pièces décrites, murs, portes, niveaux et mobilier inspectables à l’échelle. Volumes réservés, raccord au seed, butin, rencontres et services de campagne restent à terminer.</x:v>
      </x:c>
    </x:row>
    <x:row r="2398" ht="96" customHeight="1">
      <x:c r="A2398" s="115" t="str">
        <x:v>EXT-MONDE-T048-V43</x:v>
      </x:c>
      <x:c r="B2398" s="115" t="str">
        <x:v>EXT-MONDE-T048</x:v>
      </x:c>
      <x:c r="C2398" s="115" t="str">
        <x:v>Trailer parks</x:v>
      </x:c>
      <x:c r="D2398" s="115" t="str">
        <x:v>Parc de caravanes abandonné</x:v>
      </x:c>
      <x:c r="E2398" s="115" t="n">
        <x:v>43</x:v>
      </x:c>
      <x:c r="F2398" s="115" t="str">
        <x:v>Inspection physique</x:v>
      </x:c>
      <x:c r="G2398" s="115" t="str">
        <x:v>1 niveaux ; 30 pièces ; 222 segments de mur ; 0 transitions. Inspection physique ; architecture complète encore ouverte.</x:v>
      </x:c>
      <x:c r="H2398" s="115" t="str">
        <x:v>L 138 ; l 154 ; hauteur 3,2 m ; choix de composition auteur ; dimensions réelles à documenter</x:v>
      </x:c>
      <x:c r="I2398" s="115" t="str">
        <x:v>À équilibrer</x:v>
      </x:c>
      <x:c r="J2398" s="115" t="str">
        <x:v>Non</x:v>
      </x:c>
      <x:c r="K2398" s="115" t="str">
        <x:v>Pièces décrites, murs, portes, niveaux et mobilier inspectables à l’échelle. Volumes réservés, raccord au seed, butin, rencontres et services de campagne restent à terminer.</x:v>
      </x:c>
    </x:row>
    <x:row r="2399" ht="96" customHeight="1">
      <x:c r="A2399" s="115" t="str">
        <x:v>EXT-MONDE-T048-V44</x:v>
      </x:c>
      <x:c r="B2399" s="115" t="str">
        <x:v>EXT-MONDE-T048</x:v>
      </x:c>
      <x:c r="C2399" s="115" t="str">
        <x:v>Trailer parks</x:v>
      </x:c>
      <x:c r="D2399" s="115" t="str">
        <x:v>Parc de caravanes abandonné</x:v>
      </x:c>
      <x:c r="E2399" s="115" t="n">
        <x:v>44</x:v>
      </x:c>
      <x:c r="F2399" s="115" t="str">
        <x:v>Inspection physique</x:v>
      </x:c>
      <x:c r="G2399" s="115" t="str">
        <x:v>1 niveaux ; 18 pièces ; 136 segments de mur ; 0 transitions. Inspection physique ; architecture complète encore ouverte.</x:v>
      </x:c>
      <x:c r="H2399" s="115" t="str">
        <x:v>L 92 ; l 128 ; hauteur 3,2 m ; choix de composition auteur ; dimensions réelles à documenter</x:v>
      </x:c>
      <x:c r="I2399" s="115" t="str">
        <x:v>À équilibrer</x:v>
      </x:c>
      <x:c r="J2399" s="115" t="str">
        <x:v>Non</x:v>
      </x:c>
      <x:c r="K2399" s="115" t="str">
        <x:v>Pièces décrites, murs, portes, niveaux et mobilier inspectables à l’échelle. Volumes réservés, raccord au seed, butin, rencontres et services de campagne restent à terminer.</x:v>
      </x:c>
    </x:row>
    <x:row r="2400" ht="96" customHeight="1">
      <x:c r="A2400" s="115" t="str">
        <x:v>EXT-MONDE-T048-V45</x:v>
      </x:c>
      <x:c r="B2400" s="115" t="str">
        <x:v>EXT-MONDE-T048</x:v>
      </x:c>
      <x:c r="C2400" s="115" t="str">
        <x:v>Trailer parks</x:v>
      </x:c>
      <x:c r="D2400" s="115" t="str">
        <x:v>Parc de caravanes abandonné</x:v>
      </x:c>
      <x:c r="E2400" s="115" t="n">
        <x:v>45</x:v>
      </x:c>
      <x:c r="F2400" s="115" t="str">
        <x:v>Inspection physique</x:v>
      </x:c>
      <x:c r="G2400" s="115" t="str">
        <x:v>1 niveaux ; 24 pièces ; 179 segments de mur ; 0 transitions. Inspection physique ; architecture complète encore ouverte.</x:v>
      </x:c>
      <x:c r="H2400" s="115" t="str">
        <x:v>L 92 ; l 154 ; hauteur 3,2 m ; choix de composition auteur ; dimensions réelles à documenter</x:v>
      </x:c>
      <x:c r="I2400" s="115" t="str">
        <x:v>À équilibrer</x:v>
      </x:c>
      <x:c r="J2400" s="115" t="str">
        <x:v>Non</x:v>
      </x:c>
      <x:c r="K2400" s="115" t="str">
        <x:v>Pièces décrites, murs, portes, niveaux et mobilier inspectables à l’échelle. Volumes réservés, raccord au seed, butin, rencontres et services de campagne restent à terminer.</x:v>
      </x:c>
    </x:row>
    <x:row r="2401" ht="96" customHeight="1">
      <x:c r="A2401" s="115" t="str">
        <x:v>EXT-MONDE-T048-V46</x:v>
      </x:c>
      <x:c r="B2401" s="115" t="str">
        <x:v>EXT-MONDE-T048</x:v>
      </x:c>
      <x:c r="C2401" s="115" t="str">
        <x:v>Trailer parks</x:v>
      </x:c>
      <x:c r="D2401" s="115" t="str">
        <x:v>Parc de caravanes abandonné</x:v>
      </x:c>
      <x:c r="E2401" s="115" t="n">
        <x:v>46</x:v>
      </x:c>
      <x:c r="F2401" s="115" t="str">
        <x:v>Inspection physique</x:v>
      </x:c>
      <x:c r="G2401" s="115" t="str">
        <x:v>1 niveaux ; 24 pièces ; 179 segments de mur ; 0 transitions. Inspection physique ; architecture complète encore ouverte.</x:v>
      </x:c>
      <x:c r="H2401" s="115" t="str">
        <x:v>L 184 ; l 118 ; hauteur 3,2 m ; choix de composition auteur ; dimensions réelles à documenter</x:v>
      </x:c>
      <x:c r="I2401" s="115" t="str">
        <x:v>À équilibrer</x:v>
      </x:c>
      <x:c r="J2401" s="115" t="str">
        <x:v>Non</x:v>
      </x:c>
      <x:c r="K2401" s="115" t="str">
        <x:v>Pièces décrites, murs, portes, niveaux et mobilier inspectables à l’échelle. Volumes réservés, raccord au seed, butin, rencontres et services de campagne restent à terminer.</x:v>
      </x:c>
    </x:row>
    <x:row r="2402" ht="96" customHeight="1">
      <x:c r="A2402" s="115" t="str">
        <x:v>EXT-MONDE-T048-V47</x:v>
      </x:c>
      <x:c r="B2402" s="115" t="str">
        <x:v>EXT-MONDE-T048</x:v>
      </x:c>
      <x:c r="C2402" s="115" t="str">
        <x:v>Trailer parks</x:v>
      </x:c>
      <x:c r="D2402" s="115" t="str">
        <x:v>Parc de caravanes abandonné</x:v>
      </x:c>
      <x:c r="E2402" s="115" t="n">
        <x:v>47</x:v>
      </x:c>
      <x:c r="F2402" s="115" t="str">
        <x:v>Inspection physique</x:v>
      </x:c>
      <x:c r="G2402" s="115" t="str">
        <x:v>1 niveaux ; 30 pièces ; 222 segments de mur ; 0 transitions. Inspection physique ; architecture complète encore ouverte.</x:v>
      </x:c>
      <x:c r="H2402" s="115" t="str">
        <x:v>L 184 ; l 128 ; hauteur 3,2 m ; choix de composition auteur ; dimensions réelles à documenter</x:v>
      </x:c>
      <x:c r="I2402" s="115" t="str">
        <x:v>À équilibrer</x:v>
      </x:c>
      <x:c r="J2402" s="115" t="str">
        <x:v>Non</x:v>
      </x:c>
      <x:c r="K2402" s="115" t="str">
        <x:v>Pièces décrites, murs, portes, niveaux et mobilier inspectables à l’échelle. Volumes réservés, raccord au seed, butin, rencontres et services de campagne restent à terminer.</x:v>
      </x:c>
    </x:row>
    <x:row r="2403" ht="96" customHeight="1">
      <x:c r="A2403" s="115" t="str">
        <x:v>EXT-MONDE-T048-V48</x:v>
      </x:c>
      <x:c r="B2403" s="115" t="str">
        <x:v>EXT-MONDE-T048</x:v>
      </x:c>
      <x:c r="C2403" s="115" t="str">
        <x:v>Trailer parks</x:v>
      </x:c>
      <x:c r="D2403" s="115" t="str">
        <x:v>Parc de caravanes abandonné</x:v>
      </x:c>
      <x:c r="E2403" s="115" t="n">
        <x:v>48</x:v>
      </x:c>
      <x:c r="F2403" s="115" t="str">
        <x:v>Inspection physique</x:v>
      </x:c>
      <x:c r="G2403" s="115" t="str">
        <x:v>1 niveaux ; 30 pièces ; 222 segments de mur ; 0 transitions. Inspection physique ; architecture complète encore ouverte.</x:v>
      </x:c>
      <x:c r="H2403" s="115" t="str">
        <x:v>L 138 ; l 154 ; hauteur 3,2 m ; choix de composition auteur ; dimensions réelles à documenter</x:v>
      </x:c>
      <x:c r="I2403" s="115" t="str">
        <x:v>À équilibrer</x:v>
      </x:c>
      <x:c r="J2403" s="115" t="str">
        <x:v>Non</x:v>
      </x:c>
      <x:c r="K2403" s="115" t="str">
        <x:v>Pièces décrites, murs, portes, niveaux et mobilier inspectables à l’échelle. Volumes réservés, raccord au seed, butin, rencontres et services de campagne restent à terminer.</x:v>
      </x:c>
    </x:row>
    <x:row r="2404" ht="96" customHeight="1">
      <x:c r="A2404" s="115" t="str">
        <x:v>EXT-MONDE-T048-V49</x:v>
      </x:c>
      <x:c r="B2404" s="115" t="str">
        <x:v>EXT-MONDE-T048</x:v>
      </x:c>
      <x:c r="C2404" s="115" t="str">
        <x:v>Trailer parks</x:v>
      </x:c>
      <x:c r="D2404" s="115" t="str">
        <x:v>Parc de caravanes abandonné</x:v>
      </x:c>
      <x:c r="E2404" s="115" t="n">
        <x:v>49</x:v>
      </x:c>
      <x:c r="F2404" s="115" t="str">
        <x:v>Inspection physique</x:v>
      </x:c>
      <x:c r="G2404" s="115" t="str">
        <x:v>1 niveaux ; 24 pièces ; 179 segments de mur ; 0 transitions. Inspection physique ; architecture complète encore ouverte.</x:v>
      </x:c>
      <x:c r="H2404" s="115" t="str">
        <x:v>L 138 ; l 128 ; hauteur 3,2 m ; choix de composition auteur ; dimensions réelles à documenter</x:v>
      </x:c>
      <x:c r="I2404" s="115" t="str">
        <x:v>À équilibrer</x:v>
      </x:c>
      <x:c r="J2404" s="115" t="str">
        <x:v>Non</x:v>
      </x:c>
      <x:c r="K2404" s="115" t="str">
        <x:v>Pièces décrites, murs, portes, niveaux et mobilier inspectables à l’échelle. Volumes réservés, raccord au seed, butin, rencontres et services de campagne restent à terminer.</x:v>
      </x:c>
    </x:row>
    <x:row r="2405" ht="96" customHeight="1">
      <x:c r="A2405" s="115" t="str">
        <x:v>EXT-MONDE-T048-V50</x:v>
      </x:c>
      <x:c r="B2405" s="115" t="str">
        <x:v>EXT-MONDE-T048</x:v>
      </x:c>
      <x:c r="C2405" s="115" t="str">
        <x:v>Trailer parks</x:v>
      </x:c>
      <x:c r="D2405" s="115" t="str">
        <x:v>Parc de caravanes abandonné</x:v>
      </x:c>
      <x:c r="E2405" s="115" t="n">
        <x:v>50</x:v>
      </x:c>
      <x:c r="F2405" s="115" t="str">
        <x:v>Inspection physique</x:v>
      </x:c>
      <x:c r="G2405" s="115" t="str">
        <x:v>1 niveaux ; 30 pièces ; 222 segments de mur ; 0 transitions. Inspection physique ; architecture complète encore ouverte.</x:v>
      </x:c>
      <x:c r="H2405" s="115" t="str">
        <x:v>L 184 ; l 154 ; hauteur 3,2 m ; choix de composition auteur ; dimensions réelles à documenter</x:v>
      </x:c>
      <x:c r="I2405" s="115" t="str">
        <x:v>À équilibrer</x:v>
      </x:c>
      <x:c r="J2405" s="115" t="str">
        <x:v>Non</x:v>
      </x:c>
      <x:c r="K2405" s="115" t="str">
        <x:v>Pièces décrites, murs, portes, niveaux et mobilier inspectables à l’échelle. Volumes réservés, raccord au seed, butin, rencontres et services de campagne restent à terminer.</x:v>
      </x:c>
    </x:row>
    <x:row r="2406" ht="96" customHeight="1">
      <x:c r="A2406" s="115" t="str">
        <x:v>EXT-MONDE-T049-V01</x:v>
      </x:c>
      <x:c r="B2406" s="115" t="str">
        <x:v>EXT-MONDE-T049</x:v>
      </x:c>
      <x:c r="C2406" s="115" t="str">
        <x:v>Parcs attractions</x:v>
      </x:c>
      <x:c r="D2406" s="115" t="str">
        <x:v>Parc familial</x:v>
      </x:c>
      <x:c r="E2406" s="115" t="n">
        <x:v>1</x:v>
      </x:c>
      <x:c r="F2406" s="115" t="str">
        <x:v>Inspection physique</x:v>
      </x:c>
      <x:c r="G2406" s="115" t="str">
        <x:v>1 niveaux ; 32 pièces ; 248 segments de mur ; 0 transitions. Inspection physique ; architecture complète encore ouverte.</x:v>
      </x:c>
      <x:c r="H2406" s="115" t="str">
        <x:v>L 362 ; l 458 ; hauteur 18 m ; choix de composition auteur ; dimensions réelles à documenter</x:v>
      </x:c>
      <x:c r="I2406" s="115" t="str">
        <x:v>À équilibrer</x:v>
      </x:c>
      <x:c r="J2406" s="115" t="str">
        <x:v>Non</x:v>
      </x:c>
      <x:c r="K2406" s="115" t="str">
        <x:v>Pièces décrites, murs, portes, niveaux et mobilier inspectables à l’échelle. Volumes réservés, raccord au seed, butin, rencontres et services de campagne restent à terminer.</x:v>
      </x:c>
    </x:row>
    <x:row r="2407" ht="96" customHeight="1">
      <x:c r="A2407" s="115" t="str">
        <x:v>EXT-MONDE-T049-V02</x:v>
      </x:c>
      <x:c r="B2407" s="115" t="str">
        <x:v>EXT-MONDE-T049</x:v>
      </x:c>
      <x:c r="C2407" s="115" t="str">
        <x:v>Parcs attractions</x:v>
      </x:c>
      <x:c r="D2407" s="115" t="str">
        <x:v>Parc familial</x:v>
      </x:c>
      <x:c r="E2407" s="115" t="n">
        <x:v>2</x:v>
      </x:c>
      <x:c r="F2407" s="115" t="str">
        <x:v>Inspection physique</x:v>
      </x:c>
      <x:c r="G2407" s="115" t="str">
        <x:v>1 niveaux ; 32 pièces ; 248 segments de mur ; 0 transitions. Inspection physique ; architecture complète encore ouverte.</x:v>
      </x:c>
      <x:c r="H2407" s="115" t="str">
        <x:v>L 362 ; l 458 ; hauteur 18 m ; choix de composition auteur ; dimensions réelles à documenter</x:v>
      </x:c>
      <x:c r="I2407" s="115" t="str">
        <x:v>À équilibrer</x:v>
      </x:c>
      <x:c r="J2407" s="115" t="str">
        <x:v>Non</x:v>
      </x:c>
      <x:c r="K2407" s="115" t="str">
        <x:v>Pièces décrites, murs, portes, niveaux et mobilier inspectables à l’échelle. Volumes réservés, raccord au seed, butin, rencontres et services de campagne restent à terminer.</x:v>
      </x:c>
    </x:row>
    <x:row r="2408" ht="96" customHeight="1">
      <x:c r="A2408" s="115" t="str">
        <x:v>EXT-MONDE-T049-V03</x:v>
      </x:c>
      <x:c r="B2408" s="115" t="str">
        <x:v>EXT-MONDE-T049</x:v>
      </x:c>
      <x:c r="C2408" s="115" t="str">
        <x:v>Parcs attractions</x:v>
      </x:c>
      <x:c r="D2408" s="115" t="str">
        <x:v>Parc familial</x:v>
      </x:c>
      <x:c r="E2408" s="115" t="n">
        <x:v>3</x:v>
      </x:c>
      <x:c r="F2408" s="115" t="str">
        <x:v>Inspection physique</x:v>
      </x:c>
      <x:c r="G2408" s="115" t="str">
        <x:v>1 niveaux ; 32 pièces ; 248 segments de mur ; 0 transitions. Inspection physique ; architecture complète encore ouverte.</x:v>
      </x:c>
      <x:c r="H2408" s="115" t="str">
        <x:v>L 362 ; l 458 ; hauteur 18 m ; choix de composition auteur ; dimensions réelles à documenter</x:v>
      </x:c>
      <x:c r="I2408" s="115" t="str">
        <x:v>À équilibrer</x:v>
      </x:c>
      <x:c r="J2408" s="115" t="str">
        <x:v>Non</x:v>
      </x:c>
      <x:c r="K2408" s="115" t="str">
        <x:v>Pièces décrites, murs, portes, niveaux et mobilier inspectables à l’échelle. Volumes réservés, raccord au seed, butin, rencontres et services de campagne restent à terminer.</x:v>
      </x:c>
    </x:row>
    <x:row r="2409" ht="96" customHeight="1">
      <x:c r="A2409" s="115" t="str">
        <x:v>EXT-MONDE-T049-V04</x:v>
      </x:c>
      <x:c r="B2409" s="115" t="str">
        <x:v>EXT-MONDE-T049</x:v>
      </x:c>
      <x:c r="C2409" s="115" t="str">
        <x:v>Parcs attractions</x:v>
      </x:c>
      <x:c r="D2409" s="115" t="str">
        <x:v>Parc familial</x:v>
      </x:c>
      <x:c r="E2409" s="115" t="n">
        <x:v>4</x:v>
      </x:c>
      <x:c r="F2409" s="115" t="str">
        <x:v>Inspection physique</x:v>
      </x:c>
      <x:c r="G2409" s="115" t="str">
        <x:v>1 niveaux ; 32 pièces ; 248 segments de mur ; 0 transitions. Inspection physique ; architecture complète encore ouverte.</x:v>
      </x:c>
      <x:c r="H2409" s="115" t="str">
        <x:v>L 362 ; l 458 ; hauteur 18 m ; choix de composition auteur ; dimensions réelles à documenter</x:v>
      </x:c>
      <x:c r="I2409" s="115" t="str">
        <x:v>À équilibrer</x:v>
      </x:c>
      <x:c r="J2409" s="115" t="str">
        <x:v>Non</x:v>
      </x:c>
      <x:c r="K2409" s="115" t="str">
        <x:v>Pièces décrites, murs, portes, niveaux et mobilier inspectables à l’échelle. Volumes réservés, raccord au seed, butin, rencontres et services de campagne restent à terminer.</x:v>
      </x:c>
    </x:row>
    <x:row r="2410" ht="96" customHeight="1">
      <x:c r="A2410" s="115" t="str">
        <x:v>EXT-MONDE-T049-V05</x:v>
      </x:c>
      <x:c r="B2410" s="115" t="str">
        <x:v>EXT-MONDE-T049</x:v>
      </x:c>
      <x:c r="C2410" s="115" t="str">
        <x:v>Parcs attractions</x:v>
      </x:c>
      <x:c r="D2410" s="115" t="str">
        <x:v>Parc familial</x:v>
      </x:c>
      <x:c r="E2410" s="115" t="n">
        <x:v>5</x:v>
      </x:c>
      <x:c r="F2410" s="115" t="str">
        <x:v>Inspection physique</x:v>
      </x:c>
      <x:c r="G2410" s="115" t="str">
        <x:v>1 niveaux ; 32 pièces ; 248 segments de mur ; 0 transitions. Inspection physique ; architecture complète encore ouverte.</x:v>
      </x:c>
      <x:c r="H2410" s="115" t="str">
        <x:v>L 362 ; l 458 ; hauteur 18 m ; choix de composition auteur ; dimensions réelles à documenter</x:v>
      </x:c>
      <x:c r="I2410" s="115" t="str">
        <x:v>À équilibrer</x:v>
      </x:c>
      <x:c r="J2410" s="115" t="str">
        <x:v>Non</x:v>
      </x:c>
      <x:c r="K2410" s="115" t="str">
        <x:v>Pièces décrites, murs, portes, niveaux et mobilier inspectables à l’échelle. Volumes réservés, raccord au seed, butin, rencontres et services de campagne restent à terminer.</x:v>
      </x:c>
    </x:row>
    <x:row r="2411" ht="96" customHeight="1">
      <x:c r="A2411" s="115" t="str">
        <x:v>EXT-MONDE-T049-V06</x:v>
      </x:c>
      <x:c r="B2411" s="115" t="str">
        <x:v>EXT-MONDE-T049</x:v>
      </x:c>
      <x:c r="C2411" s="115" t="str">
        <x:v>Parcs attractions</x:v>
      </x:c>
      <x:c r="D2411" s="115" t="str">
        <x:v>Parc familial</x:v>
      </x:c>
      <x:c r="E2411" s="115" t="n">
        <x:v>6</x:v>
      </x:c>
      <x:c r="F2411" s="115" t="str">
        <x:v>Inspection physique</x:v>
      </x:c>
      <x:c r="G2411" s="115" t="str">
        <x:v>1 niveaux ; 32 pièces ; 248 segments de mur ; 0 transitions. Inspection physique ; architecture complète encore ouverte.</x:v>
      </x:c>
      <x:c r="H2411" s="115" t="str">
        <x:v>L 362 ; l 458 ; hauteur 18 m ; choix de composition auteur ; dimensions réelles à documenter</x:v>
      </x:c>
      <x:c r="I2411" s="115" t="str">
        <x:v>À équilibrer</x:v>
      </x:c>
      <x:c r="J2411" s="115" t="str">
        <x:v>Non</x:v>
      </x:c>
      <x:c r="K2411" s="115" t="str">
        <x:v>Pièces décrites, murs, portes, niveaux et mobilier inspectables à l’échelle. Volumes réservés, raccord au seed, butin, rencontres et services de campagne restent à terminer.</x:v>
      </x:c>
    </x:row>
    <x:row r="2412" ht="96" customHeight="1">
      <x:c r="A2412" s="115" t="str">
        <x:v>EXT-MONDE-T049-V07</x:v>
      </x:c>
      <x:c r="B2412" s="115" t="str">
        <x:v>EXT-MONDE-T049</x:v>
      </x:c>
      <x:c r="C2412" s="115" t="str">
        <x:v>Parcs attractions</x:v>
      </x:c>
      <x:c r="D2412" s="115" t="str">
        <x:v>Parc familial</x:v>
      </x:c>
      <x:c r="E2412" s="115" t="n">
        <x:v>7</x:v>
      </x:c>
      <x:c r="F2412" s="115" t="str">
        <x:v>Inspection physique</x:v>
      </x:c>
      <x:c r="G2412" s="115" t="str">
        <x:v>1 niveaux ; 32 pièces ; 248 segments de mur ; 0 transitions. Inspection physique ; architecture complète encore ouverte.</x:v>
      </x:c>
      <x:c r="H2412" s="115" t="str">
        <x:v>L 362 ; l 458 ; hauteur 18 m ; choix de composition auteur ; dimensions réelles à documenter</x:v>
      </x:c>
      <x:c r="I2412" s="115" t="str">
        <x:v>À équilibrer</x:v>
      </x:c>
      <x:c r="J2412" s="115" t="str">
        <x:v>Non</x:v>
      </x:c>
      <x:c r="K2412" s="115" t="str">
        <x:v>Pièces décrites, murs, portes, niveaux et mobilier inspectables à l’échelle. Volumes réservés, raccord au seed, butin, rencontres et services de campagne restent à terminer.</x:v>
      </x:c>
    </x:row>
    <x:row r="2413" ht="96" customHeight="1">
      <x:c r="A2413" s="115" t="str">
        <x:v>EXT-MONDE-T049-V08</x:v>
      </x:c>
      <x:c r="B2413" s="115" t="str">
        <x:v>EXT-MONDE-T049</x:v>
      </x:c>
      <x:c r="C2413" s="115" t="str">
        <x:v>Parcs attractions</x:v>
      </x:c>
      <x:c r="D2413" s="115" t="str">
        <x:v>Parc familial</x:v>
      </x:c>
      <x:c r="E2413" s="115" t="n">
        <x:v>8</x:v>
      </x:c>
      <x:c r="F2413" s="115" t="str">
        <x:v>Inspection physique</x:v>
      </x:c>
      <x:c r="G2413" s="115" t="str">
        <x:v>1 niveaux ; 32 pièces ; 248 segments de mur ; 0 transitions. Inspection physique ; architecture complète encore ouverte.</x:v>
      </x:c>
      <x:c r="H2413" s="115" t="str">
        <x:v>L 362 ; l 458 ; hauteur 18 m ; choix de composition auteur ; dimensions réelles à documenter</x:v>
      </x:c>
      <x:c r="I2413" s="115" t="str">
        <x:v>À équilibrer</x:v>
      </x:c>
      <x:c r="J2413" s="115" t="str">
        <x:v>Non</x:v>
      </x:c>
      <x:c r="K2413" s="115" t="str">
        <x:v>Pièces décrites, murs, portes, niveaux et mobilier inspectables à l’échelle. Volumes réservés, raccord au seed, butin, rencontres et services de campagne restent à terminer.</x:v>
      </x:c>
    </x:row>
    <x:row r="2414" ht="96" customHeight="1">
      <x:c r="A2414" s="115" t="str">
        <x:v>EXT-MONDE-T049-V09</x:v>
      </x:c>
      <x:c r="B2414" s="115" t="str">
        <x:v>EXT-MONDE-T049</x:v>
      </x:c>
      <x:c r="C2414" s="115" t="str">
        <x:v>Parcs attractions</x:v>
      </x:c>
      <x:c r="D2414" s="115" t="str">
        <x:v>Parc familial</x:v>
      </x:c>
      <x:c r="E2414" s="115" t="n">
        <x:v>9</x:v>
      </x:c>
      <x:c r="F2414" s="115" t="str">
        <x:v>Inspection physique</x:v>
      </x:c>
      <x:c r="G2414" s="115" t="str">
        <x:v>1 niveaux ; 32 pièces ; 248 segments de mur ; 0 transitions. Inspection physique ; architecture complète encore ouverte.</x:v>
      </x:c>
      <x:c r="H2414" s="115" t="str">
        <x:v>L 362 ; l 458 ; hauteur 18 m ; choix de composition auteur ; dimensions réelles à documenter</x:v>
      </x:c>
      <x:c r="I2414" s="115" t="str">
        <x:v>À équilibrer</x:v>
      </x:c>
      <x:c r="J2414" s="115" t="str">
        <x:v>Non</x:v>
      </x:c>
      <x:c r="K2414" s="115" t="str">
        <x:v>Pièces décrites, murs, portes, niveaux et mobilier inspectables à l’échelle. Volumes réservés, raccord au seed, butin, rencontres et services de campagne restent à terminer.</x:v>
      </x:c>
    </x:row>
    <x:row r="2415" ht="96" customHeight="1">
      <x:c r="A2415" s="115" t="str">
        <x:v>EXT-MONDE-T049-V10</x:v>
      </x:c>
      <x:c r="B2415" s="115" t="str">
        <x:v>EXT-MONDE-T049</x:v>
      </x:c>
      <x:c r="C2415" s="115" t="str">
        <x:v>Parcs attractions</x:v>
      </x:c>
      <x:c r="D2415" s="115" t="str">
        <x:v>Parc familial</x:v>
      </x:c>
      <x:c r="E2415" s="115" t="n">
        <x:v>10</x:v>
      </x:c>
      <x:c r="F2415" s="115" t="str">
        <x:v>Inspection physique</x:v>
      </x:c>
      <x:c r="G2415" s="115" t="str">
        <x:v>1 niveaux ; 32 pièces ; 248 segments de mur ; 0 transitions. Inspection physique ; architecture complète encore ouverte.</x:v>
      </x:c>
      <x:c r="H2415" s="115" t="str">
        <x:v>L 362 ; l 458 ; hauteur 18 m ; choix de composition auteur ; dimensions réelles à documenter</x:v>
      </x:c>
      <x:c r="I2415" s="115" t="str">
        <x:v>À équilibrer</x:v>
      </x:c>
      <x:c r="J2415" s="115" t="str">
        <x:v>Non</x:v>
      </x:c>
      <x:c r="K2415" s="115" t="str">
        <x:v>Pièces décrites, murs, portes, niveaux et mobilier inspectables à l’échelle. Volumes réservés, raccord au seed, butin, rencontres et services de campagne restent à terminer.</x:v>
      </x:c>
    </x:row>
    <x:row r="2416" ht="96" customHeight="1">
      <x:c r="A2416" s="115" t="str">
        <x:v>EXT-MONDE-T049-V11</x:v>
      </x:c>
      <x:c r="B2416" s="115" t="str">
        <x:v>EXT-MONDE-T049</x:v>
      </x:c>
      <x:c r="C2416" s="115" t="str">
        <x:v>Parcs attractions</x:v>
      </x:c>
      <x:c r="D2416" s="115" t="str">
        <x:v>Parc familial</x:v>
      </x:c>
      <x:c r="E2416" s="115" t="n">
        <x:v>11</x:v>
      </x:c>
      <x:c r="F2416" s="115" t="str">
        <x:v>Inspection physique</x:v>
      </x:c>
      <x:c r="G2416" s="115" t="str">
        <x:v>1 niveaux ; 32 pièces ; 248 segments de mur ; 0 transitions. Inspection physique ; architecture complète encore ouverte.</x:v>
      </x:c>
      <x:c r="H2416" s="115" t="str">
        <x:v>L 374 ; l 466 ; hauteur 18 m ; choix de composition auteur ; dimensions réelles à documenter</x:v>
      </x:c>
      <x:c r="I2416" s="115" t="str">
        <x:v>À équilibrer</x:v>
      </x:c>
      <x:c r="J2416" s="115" t="str">
        <x:v>Non</x:v>
      </x:c>
      <x:c r="K2416" s="115" t="str">
        <x:v>Pièces décrites, murs, portes, niveaux et mobilier inspectables à l’échelle. Volumes réservés, raccord au seed, butin, rencontres et services de campagne restent à terminer.</x:v>
      </x:c>
    </x:row>
    <x:row r="2417" ht="96" customHeight="1">
      <x:c r="A2417" s="115" t="str">
        <x:v>EXT-MONDE-T049-V12</x:v>
      </x:c>
      <x:c r="B2417" s="115" t="str">
        <x:v>EXT-MONDE-T049</x:v>
      </x:c>
      <x:c r="C2417" s="115" t="str">
        <x:v>Parcs attractions</x:v>
      </x:c>
      <x:c r="D2417" s="115" t="str">
        <x:v>Parc familial</x:v>
      </x:c>
      <x:c r="E2417" s="115" t="n">
        <x:v>12</x:v>
      </x:c>
      <x:c r="F2417" s="115" t="str">
        <x:v>Inspection physique</x:v>
      </x:c>
      <x:c r="G2417" s="115" t="str">
        <x:v>1 niveaux ; 32 pièces ; 248 segments de mur ; 0 transitions. Inspection physique ; architecture complète encore ouverte.</x:v>
      </x:c>
      <x:c r="H2417" s="115" t="str">
        <x:v>L 374 ; l 466 ; hauteur 18 m ; choix de composition auteur ; dimensions réelles à documenter</x:v>
      </x:c>
      <x:c r="I2417" s="115" t="str">
        <x:v>À équilibrer</x:v>
      </x:c>
      <x:c r="J2417" s="115" t="str">
        <x:v>Non</x:v>
      </x:c>
      <x:c r="K2417" s="115" t="str">
        <x:v>Pièces décrites, murs, portes, niveaux et mobilier inspectables à l’échelle. Volumes réservés, raccord au seed, butin, rencontres et services de campagne restent à terminer.</x:v>
      </x:c>
    </x:row>
    <x:row r="2418" ht="96" customHeight="1">
      <x:c r="A2418" s="115" t="str">
        <x:v>EXT-MONDE-T049-V13</x:v>
      </x:c>
      <x:c r="B2418" s="115" t="str">
        <x:v>EXT-MONDE-T049</x:v>
      </x:c>
      <x:c r="C2418" s="115" t="str">
        <x:v>Parcs attractions</x:v>
      </x:c>
      <x:c r="D2418" s="115" t="str">
        <x:v>Parc familial</x:v>
      </x:c>
      <x:c r="E2418" s="115" t="n">
        <x:v>13</x:v>
      </x:c>
      <x:c r="F2418" s="115" t="str">
        <x:v>Inspection physique</x:v>
      </x:c>
      <x:c r="G2418" s="115" t="str">
        <x:v>1 niveaux ; 32 pièces ; 248 segments de mur ; 0 transitions. Inspection physique ; architecture complète encore ouverte.</x:v>
      </x:c>
      <x:c r="H2418" s="115" t="str">
        <x:v>L 374 ; l 466 ; hauteur 18 m ; choix de composition auteur ; dimensions réelles à documenter</x:v>
      </x:c>
      <x:c r="I2418" s="115" t="str">
        <x:v>À équilibrer</x:v>
      </x:c>
      <x:c r="J2418" s="115" t="str">
        <x:v>Non</x:v>
      </x:c>
      <x:c r="K2418" s="115" t="str">
        <x:v>Pièces décrites, murs, portes, niveaux et mobilier inspectables à l’échelle. Volumes réservés, raccord au seed, butin, rencontres et services de campagne restent à terminer.</x:v>
      </x:c>
    </x:row>
    <x:row r="2419" ht="96" customHeight="1">
      <x:c r="A2419" s="115" t="str">
        <x:v>EXT-MONDE-T049-V14</x:v>
      </x:c>
      <x:c r="B2419" s="115" t="str">
        <x:v>EXT-MONDE-T049</x:v>
      </x:c>
      <x:c r="C2419" s="115" t="str">
        <x:v>Parcs attractions</x:v>
      </x:c>
      <x:c r="D2419" s="115" t="str">
        <x:v>Parc familial</x:v>
      </x:c>
      <x:c r="E2419" s="115" t="n">
        <x:v>14</x:v>
      </x:c>
      <x:c r="F2419" s="115" t="str">
        <x:v>Inspection physique</x:v>
      </x:c>
      <x:c r="G2419" s="115" t="str">
        <x:v>1 niveaux ; 32 pièces ; 248 segments de mur ; 0 transitions. Inspection physique ; architecture complète encore ouverte.</x:v>
      </x:c>
      <x:c r="H2419" s="115" t="str">
        <x:v>L 374 ; l 466 ; hauteur 18 m ; choix de composition auteur ; dimensions réelles à documenter</x:v>
      </x:c>
      <x:c r="I2419" s="115" t="str">
        <x:v>À équilibrer</x:v>
      </x:c>
      <x:c r="J2419" s="115" t="str">
        <x:v>Non</x:v>
      </x:c>
      <x:c r="K2419" s="115" t="str">
        <x:v>Pièces décrites, murs, portes, niveaux et mobilier inspectables à l’échelle. Volumes réservés, raccord au seed, butin, rencontres et services de campagne restent à terminer.</x:v>
      </x:c>
    </x:row>
    <x:row r="2420" ht="96" customHeight="1">
      <x:c r="A2420" s="115" t="str">
        <x:v>EXT-MONDE-T049-V15</x:v>
      </x:c>
      <x:c r="B2420" s="115" t="str">
        <x:v>EXT-MONDE-T049</x:v>
      </x:c>
      <x:c r="C2420" s="115" t="str">
        <x:v>Parcs attractions</x:v>
      </x:c>
      <x:c r="D2420" s="115" t="str">
        <x:v>Parc familial</x:v>
      </x:c>
      <x:c r="E2420" s="115" t="n">
        <x:v>15</x:v>
      </x:c>
      <x:c r="F2420" s="115" t="str">
        <x:v>Inspection physique</x:v>
      </x:c>
      <x:c r="G2420" s="115" t="str">
        <x:v>1 niveaux ; 32 pièces ; 248 segments de mur ; 0 transitions. Inspection physique ; architecture complète encore ouverte.</x:v>
      </x:c>
      <x:c r="H2420" s="115" t="str">
        <x:v>L 374 ; l 466 ; hauteur 18 m ; choix de composition auteur ; dimensions réelles à documenter</x:v>
      </x:c>
      <x:c r="I2420" s="115" t="str">
        <x:v>À équilibrer</x:v>
      </x:c>
      <x:c r="J2420" s="115" t="str">
        <x:v>Non</x:v>
      </x:c>
      <x:c r="K2420" s="115" t="str">
        <x:v>Pièces décrites, murs, portes, niveaux et mobilier inspectables à l’échelle. Volumes réservés, raccord au seed, butin, rencontres et services de campagne restent à terminer.</x:v>
      </x:c>
    </x:row>
    <x:row r="2421" ht="96" customHeight="1">
      <x:c r="A2421" s="115" t="str">
        <x:v>EXT-MONDE-T049-V16</x:v>
      </x:c>
      <x:c r="B2421" s="115" t="str">
        <x:v>EXT-MONDE-T049</x:v>
      </x:c>
      <x:c r="C2421" s="115" t="str">
        <x:v>Parcs attractions</x:v>
      </x:c>
      <x:c r="D2421" s="115" t="str">
        <x:v>Parc familial</x:v>
      </x:c>
      <x:c r="E2421" s="115" t="n">
        <x:v>16</x:v>
      </x:c>
      <x:c r="F2421" s="115" t="str">
        <x:v>Inspection physique</x:v>
      </x:c>
      <x:c r="G2421" s="115" t="str">
        <x:v>1 niveaux ; 32 pièces ; 248 segments de mur ; 0 transitions. Inspection physique ; architecture complète encore ouverte.</x:v>
      </x:c>
      <x:c r="H2421" s="115" t="str">
        <x:v>L 374 ; l 466 ; hauteur 18 m ; choix de composition auteur ; dimensions réelles à documenter</x:v>
      </x:c>
      <x:c r="I2421" s="115" t="str">
        <x:v>À équilibrer</x:v>
      </x:c>
      <x:c r="J2421" s="115" t="str">
        <x:v>Non</x:v>
      </x:c>
      <x:c r="K2421" s="115" t="str">
        <x:v>Pièces décrites, murs, portes, niveaux et mobilier inspectables à l’échelle. Volumes réservés, raccord au seed, butin, rencontres et services de campagne restent à terminer.</x:v>
      </x:c>
    </x:row>
    <x:row r="2422" ht="96" customHeight="1">
      <x:c r="A2422" s="115" t="str">
        <x:v>EXT-MONDE-T049-V17</x:v>
      </x:c>
      <x:c r="B2422" s="115" t="str">
        <x:v>EXT-MONDE-T049</x:v>
      </x:c>
      <x:c r="C2422" s="115" t="str">
        <x:v>Parcs attractions</x:v>
      </x:c>
      <x:c r="D2422" s="115" t="str">
        <x:v>Parc familial</x:v>
      </x:c>
      <x:c r="E2422" s="115" t="n">
        <x:v>17</x:v>
      </x:c>
      <x:c r="F2422" s="115" t="str">
        <x:v>Inspection physique</x:v>
      </x:c>
      <x:c r="G2422" s="115" t="str">
        <x:v>1 niveaux ; 32 pièces ; 248 segments de mur ; 0 transitions. Inspection physique ; architecture complète encore ouverte.</x:v>
      </x:c>
      <x:c r="H2422" s="115" t="str">
        <x:v>L 374 ; l 466 ; hauteur 18 m ; choix de composition auteur ; dimensions réelles à documenter</x:v>
      </x:c>
      <x:c r="I2422" s="115" t="str">
        <x:v>À équilibrer</x:v>
      </x:c>
      <x:c r="J2422" s="115" t="str">
        <x:v>Non</x:v>
      </x:c>
      <x:c r="K2422" s="115" t="str">
        <x:v>Pièces décrites, murs, portes, niveaux et mobilier inspectables à l’échelle. Volumes réservés, raccord au seed, butin, rencontres et services de campagne restent à terminer.</x:v>
      </x:c>
    </x:row>
    <x:row r="2423" ht="96" customHeight="1">
      <x:c r="A2423" s="115" t="str">
        <x:v>EXT-MONDE-T049-V18</x:v>
      </x:c>
      <x:c r="B2423" s="115" t="str">
        <x:v>EXT-MONDE-T049</x:v>
      </x:c>
      <x:c r="C2423" s="115" t="str">
        <x:v>Parcs attractions</x:v>
      </x:c>
      <x:c r="D2423" s="115" t="str">
        <x:v>Parc familial</x:v>
      </x:c>
      <x:c r="E2423" s="115" t="n">
        <x:v>18</x:v>
      </x:c>
      <x:c r="F2423" s="115" t="str">
        <x:v>Inspection physique</x:v>
      </x:c>
      <x:c r="G2423" s="115" t="str">
        <x:v>1 niveaux ; 32 pièces ; 248 segments de mur ; 0 transitions. Inspection physique ; architecture complète encore ouverte.</x:v>
      </x:c>
      <x:c r="H2423" s="115" t="str">
        <x:v>L 374 ; l 466 ; hauteur 18 m ; choix de composition auteur ; dimensions réelles à documenter</x:v>
      </x:c>
      <x:c r="I2423" s="115" t="str">
        <x:v>À équilibrer</x:v>
      </x:c>
      <x:c r="J2423" s="115" t="str">
        <x:v>Non</x:v>
      </x:c>
      <x:c r="K2423" s="115" t="str">
        <x:v>Pièces décrites, murs, portes, niveaux et mobilier inspectables à l’échelle. Volumes réservés, raccord au seed, butin, rencontres et services de campagne restent à terminer.</x:v>
      </x:c>
    </x:row>
    <x:row r="2424" ht="96" customHeight="1">
      <x:c r="A2424" s="115" t="str">
        <x:v>EXT-MONDE-T049-V19</x:v>
      </x:c>
      <x:c r="B2424" s="115" t="str">
        <x:v>EXT-MONDE-T049</x:v>
      </x:c>
      <x:c r="C2424" s="115" t="str">
        <x:v>Parcs attractions</x:v>
      </x:c>
      <x:c r="D2424" s="115" t="str">
        <x:v>Parc familial</x:v>
      </x:c>
      <x:c r="E2424" s="115" t="n">
        <x:v>19</x:v>
      </x:c>
      <x:c r="F2424" s="115" t="str">
        <x:v>Inspection physique</x:v>
      </x:c>
      <x:c r="G2424" s="115" t="str">
        <x:v>1 niveaux ; 32 pièces ; 248 segments de mur ; 0 transitions. Inspection physique ; architecture complète encore ouverte.</x:v>
      </x:c>
      <x:c r="H2424" s="115" t="str">
        <x:v>L 374 ; l 466 ; hauteur 18 m ; choix de composition auteur ; dimensions réelles à documenter</x:v>
      </x:c>
      <x:c r="I2424" s="115" t="str">
        <x:v>À équilibrer</x:v>
      </x:c>
      <x:c r="J2424" s="115" t="str">
        <x:v>Non</x:v>
      </x:c>
      <x:c r="K2424" s="115" t="str">
        <x:v>Pièces décrites, murs, portes, niveaux et mobilier inspectables à l’échelle. Volumes réservés, raccord au seed, butin, rencontres et services de campagne restent à terminer.</x:v>
      </x:c>
    </x:row>
    <x:row r="2425" ht="96" customHeight="1">
      <x:c r="A2425" s="115" t="str">
        <x:v>EXT-MONDE-T049-V20</x:v>
      </x:c>
      <x:c r="B2425" s="115" t="str">
        <x:v>EXT-MONDE-T049</x:v>
      </x:c>
      <x:c r="C2425" s="115" t="str">
        <x:v>Parcs attractions</x:v>
      </x:c>
      <x:c r="D2425" s="115" t="str">
        <x:v>Parc familial</x:v>
      </x:c>
      <x:c r="E2425" s="115" t="n">
        <x:v>20</x:v>
      </x:c>
      <x:c r="F2425" s="115" t="str">
        <x:v>Inspection physique</x:v>
      </x:c>
      <x:c r="G2425" s="115" t="str">
        <x:v>1 niveaux ; 32 pièces ; 248 segments de mur ; 0 transitions. Inspection physique ; architecture complète encore ouverte.</x:v>
      </x:c>
      <x:c r="H2425" s="115" t="str">
        <x:v>L 374 ; l 466 ; hauteur 18 m ; choix de composition auteur ; dimensions réelles à documenter</x:v>
      </x:c>
      <x:c r="I2425" s="115" t="str">
        <x:v>À équilibrer</x:v>
      </x:c>
      <x:c r="J2425" s="115" t="str">
        <x:v>Non</x:v>
      </x:c>
      <x:c r="K2425" s="115" t="str">
        <x:v>Pièces décrites, murs, portes, niveaux et mobilier inspectables à l’échelle. Volumes réservés, raccord au seed, butin, rencontres et services de campagne restent à terminer.</x:v>
      </x:c>
    </x:row>
    <x:row r="2426" ht="96" customHeight="1">
      <x:c r="A2426" s="115" t="str">
        <x:v>EXT-MONDE-T049-V21</x:v>
      </x:c>
      <x:c r="B2426" s="115" t="str">
        <x:v>EXT-MONDE-T049</x:v>
      </x:c>
      <x:c r="C2426" s="115" t="str">
        <x:v>Parcs attractions</x:v>
      </x:c>
      <x:c r="D2426" s="115" t="str">
        <x:v>Parc familial</x:v>
      </x:c>
      <x:c r="E2426" s="115" t="n">
        <x:v>21</x:v>
      </x:c>
      <x:c r="F2426" s="115" t="str">
        <x:v>Inspection physique</x:v>
      </x:c>
      <x:c r="G2426" s="115" t="str">
        <x:v>1 niveaux ; 32 pièces ; 248 segments de mur ; 0 transitions. Inspection physique ; architecture complète encore ouverte.</x:v>
      </x:c>
      <x:c r="H2426" s="115" t="str">
        <x:v>L 386 ; l 474 ; hauteur 18 m ; choix de composition auteur ; dimensions réelles à documenter</x:v>
      </x:c>
      <x:c r="I2426" s="115" t="str">
        <x:v>À équilibrer</x:v>
      </x:c>
      <x:c r="J2426" s="115" t="str">
        <x:v>Non</x:v>
      </x:c>
      <x:c r="K2426" s="115" t="str">
        <x:v>Pièces décrites, murs, portes, niveaux et mobilier inspectables à l’échelle. Volumes réservés, raccord au seed, butin, rencontres et services de campagne restent à terminer.</x:v>
      </x:c>
    </x:row>
    <x:row r="2427" ht="96" customHeight="1">
      <x:c r="A2427" s="115" t="str">
        <x:v>EXT-MONDE-T049-V22</x:v>
      </x:c>
      <x:c r="B2427" s="115" t="str">
        <x:v>EXT-MONDE-T049</x:v>
      </x:c>
      <x:c r="C2427" s="115" t="str">
        <x:v>Parcs attractions</x:v>
      </x:c>
      <x:c r="D2427" s="115" t="str">
        <x:v>Parc familial</x:v>
      </x:c>
      <x:c r="E2427" s="115" t="n">
        <x:v>22</x:v>
      </x:c>
      <x:c r="F2427" s="115" t="str">
        <x:v>Inspection physique</x:v>
      </x:c>
      <x:c r="G2427" s="115" t="str">
        <x:v>1 niveaux ; 32 pièces ; 248 segments de mur ; 0 transitions. Inspection physique ; architecture complète encore ouverte.</x:v>
      </x:c>
      <x:c r="H2427" s="115" t="str">
        <x:v>L 386 ; l 474 ; hauteur 18 m ; choix de composition auteur ; dimensions réelles à documenter</x:v>
      </x:c>
      <x:c r="I2427" s="115" t="str">
        <x:v>À équilibrer</x:v>
      </x:c>
      <x:c r="J2427" s="115" t="str">
        <x:v>Non</x:v>
      </x:c>
      <x:c r="K2427" s="115" t="str">
        <x:v>Pièces décrites, murs, portes, niveaux et mobilier inspectables à l’échelle. Volumes réservés, raccord au seed, butin, rencontres et services de campagne restent à terminer.</x:v>
      </x:c>
    </x:row>
    <x:row r="2428" ht="96" customHeight="1">
      <x:c r="A2428" s="115" t="str">
        <x:v>EXT-MONDE-T049-V23</x:v>
      </x:c>
      <x:c r="B2428" s="115" t="str">
        <x:v>EXT-MONDE-T049</x:v>
      </x:c>
      <x:c r="C2428" s="115" t="str">
        <x:v>Parcs attractions</x:v>
      </x:c>
      <x:c r="D2428" s="115" t="str">
        <x:v>Parc familial</x:v>
      </x:c>
      <x:c r="E2428" s="115" t="n">
        <x:v>23</x:v>
      </x:c>
      <x:c r="F2428" s="115" t="str">
        <x:v>Inspection physique</x:v>
      </x:c>
      <x:c r="G2428" s="115" t="str">
        <x:v>1 niveaux ; 32 pièces ; 248 segments de mur ; 0 transitions. Inspection physique ; architecture complète encore ouverte.</x:v>
      </x:c>
      <x:c r="H2428" s="115" t="str">
        <x:v>L 386 ; l 474 ; hauteur 18 m ; choix de composition auteur ; dimensions réelles à documenter</x:v>
      </x:c>
      <x:c r="I2428" s="115" t="str">
        <x:v>À équilibrer</x:v>
      </x:c>
      <x:c r="J2428" s="115" t="str">
        <x:v>Non</x:v>
      </x:c>
      <x:c r="K2428" s="115" t="str">
        <x:v>Pièces décrites, murs, portes, niveaux et mobilier inspectables à l’échelle. Volumes réservés, raccord au seed, butin, rencontres et services de campagne restent à terminer.</x:v>
      </x:c>
    </x:row>
    <x:row r="2429" ht="96" customHeight="1">
      <x:c r="A2429" s="115" t="str">
        <x:v>EXT-MONDE-T049-V24</x:v>
      </x:c>
      <x:c r="B2429" s="115" t="str">
        <x:v>EXT-MONDE-T049</x:v>
      </x:c>
      <x:c r="C2429" s="115" t="str">
        <x:v>Parcs attractions</x:v>
      </x:c>
      <x:c r="D2429" s="115" t="str">
        <x:v>Parc familial</x:v>
      </x:c>
      <x:c r="E2429" s="115" t="n">
        <x:v>24</x:v>
      </x:c>
      <x:c r="F2429" s="115" t="str">
        <x:v>Inspection physique</x:v>
      </x:c>
      <x:c r="G2429" s="115" t="str">
        <x:v>1 niveaux ; 32 pièces ; 248 segments de mur ; 0 transitions. Inspection physique ; architecture complète encore ouverte.</x:v>
      </x:c>
      <x:c r="H2429" s="115" t="str">
        <x:v>L 386 ; l 474 ; hauteur 18 m ; choix de composition auteur ; dimensions réelles à documenter</x:v>
      </x:c>
      <x:c r="I2429" s="115" t="str">
        <x:v>À équilibrer</x:v>
      </x:c>
      <x:c r="J2429" s="115" t="str">
        <x:v>Non</x:v>
      </x:c>
      <x:c r="K2429" s="115" t="str">
        <x:v>Pièces décrites, murs, portes, niveaux et mobilier inspectables à l’échelle. Volumes réservés, raccord au seed, butin, rencontres et services de campagne restent à terminer.</x:v>
      </x:c>
    </x:row>
    <x:row r="2430" ht="96" customHeight="1">
      <x:c r="A2430" s="115" t="str">
        <x:v>EXT-MONDE-T049-V25</x:v>
      </x:c>
      <x:c r="B2430" s="115" t="str">
        <x:v>EXT-MONDE-T049</x:v>
      </x:c>
      <x:c r="C2430" s="115" t="str">
        <x:v>Parcs attractions</x:v>
      </x:c>
      <x:c r="D2430" s="115" t="str">
        <x:v>Parc familial</x:v>
      </x:c>
      <x:c r="E2430" s="115" t="n">
        <x:v>25</x:v>
      </x:c>
      <x:c r="F2430" s="115" t="str">
        <x:v>Inspection physique</x:v>
      </x:c>
      <x:c r="G2430" s="115" t="str">
        <x:v>1 niveaux ; 32 pièces ; 248 segments de mur ; 0 transitions. Inspection physique ; architecture complète encore ouverte.</x:v>
      </x:c>
      <x:c r="H2430" s="115" t="str">
        <x:v>L 386 ; l 474 ; hauteur 18 m ; choix de composition auteur ; dimensions réelles à documenter</x:v>
      </x:c>
      <x:c r="I2430" s="115" t="str">
        <x:v>À équilibrer</x:v>
      </x:c>
      <x:c r="J2430" s="115" t="str">
        <x:v>Non</x:v>
      </x:c>
      <x:c r="K2430" s="115" t="str">
        <x:v>Pièces décrites, murs, portes, niveaux et mobilier inspectables à l’échelle. Volumes réservés, raccord au seed, butin, rencontres et services de campagne restent à terminer.</x:v>
      </x:c>
    </x:row>
    <x:row r="2431" ht="96" customHeight="1">
      <x:c r="A2431" s="115" t="str">
        <x:v>EXT-MONDE-T049-V26</x:v>
      </x:c>
      <x:c r="B2431" s="115" t="str">
        <x:v>EXT-MONDE-T049</x:v>
      </x:c>
      <x:c r="C2431" s="115" t="str">
        <x:v>Parcs attractions</x:v>
      </x:c>
      <x:c r="D2431" s="115" t="str">
        <x:v>Parc familial</x:v>
      </x:c>
      <x:c r="E2431" s="115" t="n">
        <x:v>26</x:v>
      </x:c>
      <x:c r="F2431" s="115" t="str">
        <x:v>Inspection physique</x:v>
      </x:c>
      <x:c r="G2431" s="115" t="str">
        <x:v>1 niveaux ; 32 pièces ; 248 segments de mur ; 0 transitions. Inspection physique ; architecture complète encore ouverte.</x:v>
      </x:c>
      <x:c r="H2431" s="115" t="str">
        <x:v>L 386 ; l 474 ; hauteur 18 m ; choix de composition auteur ; dimensions réelles à documenter</x:v>
      </x:c>
      <x:c r="I2431" s="115" t="str">
        <x:v>À équilibrer</x:v>
      </x:c>
      <x:c r="J2431" s="115" t="str">
        <x:v>Non</x:v>
      </x:c>
      <x:c r="K2431" s="115" t="str">
        <x:v>Pièces décrites, murs, portes, niveaux et mobilier inspectables à l’échelle. Volumes réservés, raccord au seed, butin, rencontres et services de campagne restent à terminer.</x:v>
      </x:c>
    </x:row>
    <x:row r="2432" ht="96" customHeight="1">
      <x:c r="A2432" s="115" t="str">
        <x:v>EXT-MONDE-T049-V27</x:v>
      </x:c>
      <x:c r="B2432" s="115" t="str">
        <x:v>EXT-MONDE-T049</x:v>
      </x:c>
      <x:c r="C2432" s="115" t="str">
        <x:v>Parcs attractions</x:v>
      </x:c>
      <x:c r="D2432" s="115" t="str">
        <x:v>Parc familial</x:v>
      </x:c>
      <x:c r="E2432" s="115" t="n">
        <x:v>27</x:v>
      </x:c>
      <x:c r="F2432" s="115" t="str">
        <x:v>Inspection physique</x:v>
      </x:c>
      <x:c r="G2432" s="115" t="str">
        <x:v>1 niveaux ; 32 pièces ; 248 segments de mur ; 0 transitions. Inspection physique ; architecture complète encore ouverte.</x:v>
      </x:c>
      <x:c r="H2432" s="115" t="str">
        <x:v>L 386 ; l 474 ; hauteur 18 m ; choix de composition auteur ; dimensions réelles à documenter</x:v>
      </x:c>
      <x:c r="I2432" s="115" t="str">
        <x:v>À équilibrer</x:v>
      </x:c>
      <x:c r="J2432" s="115" t="str">
        <x:v>Non</x:v>
      </x:c>
      <x:c r="K2432" s="115" t="str">
        <x:v>Pièces décrites, murs, portes, niveaux et mobilier inspectables à l’échelle. Volumes réservés, raccord au seed, butin, rencontres et services de campagne restent à terminer.</x:v>
      </x:c>
    </x:row>
    <x:row r="2433" ht="96" customHeight="1">
      <x:c r="A2433" s="115" t="str">
        <x:v>EXT-MONDE-T049-V28</x:v>
      </x:c>
      <x:c r="B2433" s="115" t="str">
        <x:v>EXT-MONDE-T049</x:v>
      </x:c>
      <x:c r="C2433" s="115" t="str">
        <x:v>Parcs attractions</x:v>
      </x:c>
      <x:c r="D2433" s="115" t="str">
        <x:v>Parc familial</x:v>
      </x:c>
      <x:c r="E2433" s="115" t="n">
        <x:v>28</x:v>
      </x:c>
      <x:c r="F2433" s="115" t="str">
        <x:v>Inspection physique</x:v>
      </x:c>
      <x:c r="G2433" s="115" t="str">
        <x:v>1 niveaux ; 32 pièces ; 248 segments de mur ; 0 transitions. Inspection physique ; architecture complète encore ouverte.</x:v>
      </x:c>
      <x:c r="H2433" s="115" t="str">
        <x:v>L 386 ; l 474 ; hauteur 18 m ; choix de composition auteur ; dimensions réelles à documenter</x:v>
      </x:c>
      <x:c r="I2433" s="115" t="str">
        <x:v>À équilibrer</x:v>
      </x:c>
      <x:c r="J2433" s="115" t="str">
        <x:v>Non</x:v>
      </x:c>
      <x:c r="K2433" s="115" t="str">
        <x:v>Pièces décrites, murs, portes, niveaux et mobilier inspectables à l’échelle. Volumes réservés, raccord au seed, butin, rencontres et services de campagne restent à terminer.</x:v>
      </x:c>
    </x:row>
    <x:row r="2434" ht="96" customHeight="1">
      <x:c r="A2434" s="115" t="str">
        <x:v>EXT-MONDE-T049-V29</x:v>
      </x:c>
      <x:c r="B2434" s="115" t="str">
        <x:v>EXT-MONDE-T049</x:v>
      </x:c>
      <x:c r="C2434" s="115" t="str">
        <x:v>Parcs attractions</x:v>
      </x:c>
      <x:c r="D2434" s="115" t="str">
        <x:v>Parc familial</x:v>
      </x:c>
      <x:c r="E2434" s="115" t="n">
        <x:v>29</x:v>
      </x:c>
      <x:c r="F2434" s="115" t="str">
        <x:v>Inspection physique</x:v>
      </x:c>
      <x:c r="G2434" s="115" t="str">
        <x:v>1 niveaux ; 32 pièces ; 248 segments de mur ; 0 transitions. Inspection physique ; architecture complète encore ouverte.</x:v>
      </x:c>
      <x:c r="H2434" s="115" t="str">
        <x:v>L 386 ; l 474 ; hauteur 18 m ; choix de composition auteur ; dimensions réelles à documenter</x:v>
      </x:c>
      <x:c r="I2434" s="115" t="str">
        <x:v>À équilibrer</x:v>
      </x:c>
      <x:c r="J2434" s="115" t="str">
        <x:v>Non</x:v>
      </x:c>
      <x:c r="K2434" s="115" t="str">
        <x:v>Pièces décrites, murs, portes, niveaux et mobilier inspectables à l’échelle. Volumes réservés, raccord au seed, butin, rencontres et services de campagne restent à terminer.</x:v>
      </x:c>
    </x:row>
    <x:row r="2435" ht="96" customHeight="1">
      <x:c r="A2435" s="115" t="str">
        <x:v>EXT-MONDE-T049-V30</x:v>
      </x:c>
      <x:c r="B2435" s="115" t="str">
        <x:v>EXT-MONDE-T049</x:v>
      </x:c>
      <x:c r="C2435" s="115" t="str">
        <x:v>Parcs attractions</x:v>
      </x:c>
      <x:c r="D2435" s="115" t="str">
        <x:v>Parc familial</x:v>
      </x:c>
      <x:c r="E2435" s="115" t="n">
        <x:v>30</x:v>
      </x:c>
      <x:c r="F2435" s="115" t="str">
        <x:v>Inspection physique</x:v>
      </x:c>
      <x:c r="G2435" s="115" t="str">
        <x:v>1 niveaux ; 32 pièces ; 248 segments de mur ; 0 transitions. Inspection physique ; architecture complète encore ouverte.</x:v>
      </x:c>
      <x:c r="H2435" s="115" t="str">
        <x:v>L 386 ; l 474 ; hauteur 18 m ; choix de composition auteur ; dimensions réelles à documenter</x:v>
      </x:c>
      <x:c r="I2435" s="115" t="str">
        <x:v>À équilibrer</x:v>
      </x:c>
      <x:c r="J2435" s="115" t="str">
        <x:v>Non</x:v>
      </x:c>
      <x:c r="K2435" s="115" t="str">
        <x:v>Pièces décrites, murs, portes, niveaux et mobilier inspectables à l’échelle. Volumes réservés, raccord au seed, butin, rencontres et services de campagne restent à terminer.</x:v>
      </x:c>
    </x:row>
    <x:row r="2436" ht="96" customHeight="1">
      <x:c r="A2436" s="115" t="str">
        <x:v>EXT-MONDE-T049-V31</x:v>
      </x:c>
      <x:c r="B2436" s="115" t="str">
        <x:v>EXT-MONDE-T049</x:v>
      </x:c>
      <x:c r="C2436" s="115" t="str">
        <x:v>Parcs attractions</x:v>
      </x:c>
      <x:c r="D2436" s="115" t="str">
        <x:v>Parc familial</x:v>
      </x:c>
      <x:c r="E2436" s="115" t="n">
        <x:v>31</x:v>
      </x:c>
      <x:c r="F2436" s="115" t="str">
        <x:v>Inspection physique</x:v>
      </x:c>
      <x:c r="G2436" s="115" t="str">
        <x:v>1 niveaux ; 32 pièces ; 248 segments de mur ; 0 transitions. Inspection physique ; architecture complète encore ouverte.</x:v>
      </x:c>
      <x:c r="H2436" s="115" t="str">
        <x:v>L 398 ; l 482 ; hauteur 18 m ; choix de composition auteur ; dimensions réelles à documenter</x:v>
      </x:c>
      <x:c r="I2436" s="115" t="str">
        <x:v>À équilibrer</x:v>
      </x:c>
      <x:c r="J2436" s="115" t="str">
        <x:v>Non</x:v>
      </x:c>
      <x:c r="K2436" s="115" t="str">
        <x:v>Pièces décrites, murs, portes, niveaux et mobilier inspectables à l’échelle. Volumes réservés, raccord au seed, butin, rencontres et services de campagne restent à terminer.</x:v>
      </x:c>
    </x:row>
    <x:row r="2437" ht="96" customHeight="1">
      <x:c r="A2437" s="115" t="str">
        <x:v>EXT-MONDE-T049-V32</x:v>
      </x:c>
      <x:c r="B2437" s="115" t="str">
        <x:v>EXT-MONDE-T049</x:v>
      </x:c>
      <x:c r="C2437" s="115" t="str">
        <x:v>Parcs attractions</x:v>
      </x:c>
      <x:c r="D2437" s="115" t="str">
        <x:v>Parc familial</x:v>
      </x:c>
      <x:c r="E2437" s="115" t="n">
        <x:v>32</x:v>
      </x:c>
      <x:c r="F2437" s="115" t="str">
        <x:v>Inspection physique</x:v>
      </x:c>
      <x:c r="G2437" s="115" t="str">
        <x:v>1 niveaux ; 32 pièces ; 248 segments de mur ; 0 transitions. Inspection physique ; architecture complète encore ouverte.</x:v>
      </x:c>
      <x:c r="H2437" s="115" t="str">
        <x:v>L 398 ; l 482 ; hauteur 18 m ; choix de composition auteur ; dimensions réelles à documenter</x:v>
      </x:c>
      <x:c r="I2437" s="115" t="str">
        <x:v>À équilibrer</x:v>
      </x:c>
      <x:c r="J2437" s="115" t="str">
        <x:v>Non</x:v>
      </x:c>
      <x:c r="K2437" s="115" t="str">
        <x:v>Pièces décrites, murs, portes, niveaux et mobilier inspectables à l’échelle. Volumes réservés, raccord au seed, butin, rencontres et services de campagne restent à terminer.</x:v>
      </x:c>
    </x:row>
    <x:row r="2438" ht="96" customHeight="1">
      <x:c r="A2438" s="115" t="str">
        <x:v>EXT-MONDE-T049-V33</x:v>
      </x:c>
      <x:c r="B2438" s="115" t="str">
        <x:v>EXT-MONDE-T049</x:v>
      </x:c>
      <x:c r="C2438" s="115" t="str">
        <x:v>Parcs attractions</x:v>
      </x:c>
      <x:c r="D2438" s="115" t="str">
        <x:v>Parc familial</x:v>
      </x:c>
      <x:c r="E2438" s="115" t="n">
        <x:v>33</x:v>
      </x:c>
      <x:c r="F2438" s="115" t="str">
        <x:v>Inspection physique</x:v>
      </x:c>
      <x:c r="G2438" s="115" t="str">
        <x:v>1 niveaux ; 32 pièces ; 248 segments de mur ; 0 transitions. Inspection physique ; architecture complète encore ouverte.</x:v>
      </x:c>
      <x:c r="H2438" s="115" t="str">
        <x:v>L 398 ; l 482 ; hauteur 18 m ; choix de composition auteur ; dimensions réelles à documenter</x:v>
      </x:c>
      <x:c r="I2438" s="115" t="str">
        <x:v>À équilibrer</x:v>
      </x:c>
      <x:c r="J2438" s="115" t="str">
        <x:v>Non</x:v>
      </x:c>
      <x:c r="K2438" s="115" t="str">
        <x:v>Pièces décrites, murs, portes, niveaux et mobilier inspectables à l’échelle. Volumes réservés, raccord au seed, butin, rencontres et services de campagne restent à terminer.</x:v>
      </x:c>
    </x:row>
    <x:row r="2439" ht="96" customHeight="1">
      <x:c r="A2439" s="115" t="str">
        <x:v>EXT-MONDE-T049-V34</x:v>
      </x:c>
      <x:c r="B2439" s="115" t="str">
        <x:v>EXT-MONDE-T049</x:v>
      </x:c>
      <x:c r="C2439" s="115" t="str">
        <x:v>Parcs attractions</x:v>
      </x:c>
      <x:c r="D2439" s="115" t="str">
        <x:v>Parc familial</x:v>
      </x:c>
      <x:c r="E2439" s="115" t="n">
        <x:v>34</x:v>
      </x:c>
      <x:c r="F2439" s="115" t="str">
        <x:v>Inspection physique</x:v>
      </x:c>
      <x:c r="G2439" s="115" t="str">
        <x:v>1 niveaux ; 32 pièces ; 248 segments de mur ; 0 transitions. Inspection physique ; architecture complète encore ouverte.</x:v>
      </x:c>
      <x:c r="H2439" s="115" t="str">
        <x:v>L 398 ; l 482 ; hauteur 18 m ; choix de composition auteur ; dimensions réelles à documenter</x:v>
      </x:c>
      <x:c r="I2439" s="115" t="str">
        <x:v>À équilibrer</x:v>
      </x:c>
      <x:c r="J2439" s="115" t="str">
        <x:v>Non</x:v>
      </x:c>
      <x:c r="K2439" s="115" t="str">
        <x:v>Pièces décrites, murs, portes, niveaux et mobilier inspectables à l’échelle. Volumes réservés, raccord au seed, butin, rencontres et services de campagne restent à terminer.</x:v>
      </x:c>
    </x:row>
    <x:row r="2440" ht="96" customHeight="1">
      <x:c r="A2440" s="115" t="str">
        <x:v>EXT-MONDE-T049-V35</x:v>
      </x:c>
      <x:c r="B2440" s="115" t="str">
        <x:v>EXT-MONDE-T049</x:v>
      </x:c>
      <x:c r="C2440" s="115" t="str">
        <x:v>Parcs attractions</x:v>
      </x:c>
      <x:c r="D2440" s="115" t="str">
        <x:v>Parc familial</x:v>
      </x:c>
      <x:c r="E2440" s="115" t="n">
        <x:v>35</x:v>
      </x:c>
      <x:c r="F2440" s="115" t="str">
        <x:v>Inspection physique</x:v>
      </x:c>
      <x:c r="G2440" s="115" t="str">
        <x:v>1 niveaux ; 32 pièces ; 248 segments de mur ; 0 transitions. Inspection physique ; architecture complète encore ouverte.</x:v>
      </x:c>
      <x:c r="H2440" s="115" t="str">
        <x:v>L 398 ; l 482 ; hauteur 18 m ; choix de composition auteur ; dimensions réelles à documenter</x:v>
      </x:c>
      <x:c r="I2440" s="115" t="str">
        <x:v>À équilibrer</x:v>
      </x:c>
      <x:c r="J2440" s="115" t="str">
        <x:v>Non</x:v>
      </x:c>
      <x:c r="K2440" s="115" t="str">
        <x:v>Pièces décrites, murs, portes, niveaux et mobilier inspectables à l’échelle. Volumes réservés, raccord au seed, butin, rencontres et services de campagne restent à terminer.</x:v>
      </x:c>
    </x:row>
    <x:row r="2441" ht="96" customHeight="1">
      <x:c r="A2441" s="115" t="str">
        <x:v>EXT-MONDE-T049-V36</x:v>
      </x:c>
      <x:c r="B2441" s="115" t="str">
        <x:v>EXT-MONDE-T049</x:v>
      </x:c>
      <x:c r="C2441" s="115" t="str">
        <x:v>Parcs attractions</x:v>
      </x:c>
      <x:c r="D2441" s="115" t="str">
        <x:v>Parc familial</x:v>
      </x:c>
      <x:c r="E2441" s="115" t="n">
        <x:v>36</x:v>
      </x:c>
      <x:c r="F2441" s="115" t="str">
        <x:v>Inspection physique</x:v>
      </x:c>
      <x:c r="G2441" s="115" t="str">
        <x:v>1 niveaux ; 32 pièces ; 248 segments de mur ; 0 transitions. Inspection physique ; architecture complète encore ouverte.</x:v>
      </x:c>
      <x:c r="H2441" s="115" t="str">
        <x:v>L 398 ; l 482 ; hauteur 18 m ; choix de composition auteur ; dimensions réelles à documenter</x:v>
      </x:c>
      <x:c r="I2441" s="115" t="str">
        <x:v>À équilibrer</x:v>
      </x:c>
      <x:c r="J2441" s="115" t="str">
        <x:v>Non</x:v>
      </x:c>
      <x:c r="K2441" s="115" t="str">
        <x:v>Pièces décrites, murs, portes, niveaux et mobilier inspectables à l’échelle. Volumes réservés, raccord au seed, butin, rencontres et services de campagne restent à terminer.</x:v>
      </x:c>
    </x:row>
    <x:row r="2442" ht="96" customHeight="1">
      <x:c r="A2442" s="115" t="str">
        <x:v>EXT-MONDE-T049-V37</x:v>
      </x:c>
      <x:c r="B2442" s="115" t="str">
        <x:v>EXT-MONDE-T049</x:v>
      </x:c>
      <x:c r="C2442" s="115" t="str">
        <x:v>Parcs attractions</x:v>
      </x:c>
      <x:c r="D2442" s="115" t="str">
        <x:v>Parc familial</x:v>
      </x:c>
      <x:c r="E2442" s="115" t="n">
        <x:v>37</x:v>
      </x:c>
      <x:c r="F2442" s="115" t="str">
        <x:v>Inspection physique</x:v>
      </x:c>
      <x:c r="G2442" s="115" t="str">
        <x:v>1 niveaux ; 32 pièces ; 248 segments de mur ; 0 transitions. Inspection physique ; architecture complète encore ouverte.</x:v>
      </x:c>
      <x:c r="H2442" s="115" t="str">
        <x:v>L 398 ; l 482 ; hauteur 18 m ; choix de composition auteur ; dimensions réelles à documenter</x:v>
      </x:c>
      <x:c r="I2442" s="115" t="str">
        <x:v>À équilibrer</x:v>
      </x:c>
      <x:c r="J2442" s="115" t="str">
        <x:v>Non</x:v>
      </x:c>
      <x:c r="K2442" s="115" t="str">
        <x:v>Pièces décrites, murs, portes, niveaux et mobilier inspectables à l’échelle. Volumes réservés, raccord au seed, butin, rencontres et services de campagne restent à terminer.</x:v>
      </x:c>
    </x:row>
    <x:row r="2443" ht="96" customHeight="1">
      <x:c r="A2443" s="115" t="str">
        <x:v>EXT-MONDE-T049-V38</x:v>
      </x:c>
      <x:c r="B2443" s="115" t="str">
        <x:v>EXT-MONDE-T049</x:v>
      </x:c>
      <x:c r="C2443" s="115" t="str">
        <x:v>Parcs attractions</x:v>
      </x:c>
      <x:c r="D2443" s="115" t="str">
        <x:v>Parc familial</x:v>
      </x:c>
      <x:c r="E2443" s="115" t="n">
        <x:v>38</x:v>
      </x:c>
      <x:c r="F2443" s="115" t="str">
        <x:v>Inspection physique</x:v>
      </x:c>
      <x:c r="G2443" s="115" t="str">
        <x:v>1 niveaux ; 32 pièces ; 248 segments de mur ; 0 transitions. Inspection physique ; architecture complète encore ouverte.</x:v>
      </x:c>
      <x:c r="H2443" s="115" t="str">
        <x:v>L 398 ; l 482 ; hauteur 18 m ; choix de composition auteur ; dimensions réelles à documenter</x:v>
      </x:c>
      <x:c r="I2443" s="115" t="str">
        <x:v>À équilibrer</x:v>
      </x:c>
      <x:c r="J2443" s="115" t="str">
        <x:v>Non</x:v>
      </x:c>
      <x:c r="K2443" s="115" t="str">
        <x:v>Pièces décrites, murs, portes, niveaux et mobilier inspectables à l’échelle. Volumes réservés, raccord au seed, butin, rencontres et services de campagne restent à terminer.</x:v>
      </x:c>
    </x:row>
    <x:row r="2444" ht="96" customHeight="1">
      <x:c r="A2444" s="115" t="str">
        <x:v>EXT-MONDE-T049-V39</x:v>
      </x:c>
      <x:c r="B2444" s="115" t="str">
        <x:v>EXT-MONDE-T049</x:v>
      </x:c>
      <x:c r="C2444" s="115" t="str">
        <x:v>Parcs attractions</x:v>
      </x:c>
      <x:c r="D2444" s="115" t="str">
        <x:v>Parc familial</x:v>
      </x:c>
      <x:c r="E2444" s="115" t="n">
        <x:v>39</x:v>
      </x:c>
      <x:c r="F2444" s="115" t="str">
        <x:v>Inspection physique</x:v>
      </x:c>
      <x:c r="G2444" s="115" t="str">
        <x:v>1 niveaux ; 32 pièces ; 248 segments de mur ; 0 transitions. Inspection physique ; architecture complète encore ouverte.</x:v>
      </x:c>
      <x:c r="H2444" s="115" t="str">
        <x:v>L 398 ; l 482 ; hauteur 18 m ; choix de composition auteur ; dimensions réelles à documenter</x:v>
      </x:c>
      <x:c r="I2444" s="115" t="str">
        <x:v>À équilibrer</x:v>
      </x:c>
      <x:c r="J2444" s="115" t="str">
        <x:v>Non</x:v>
      </x:c>
      <x:c r="K2444" s="115" t="str">
        <x:v>Pièces décrites, murs, portes, niveaux et mobilier inspectables à l’échelle. Volumes réservés, raccord au seed, butin, rencontres et services de campagne restent à terminer.</x:v>
      </x:c>
    </x:row>
    <x:row r="2445" ht="96" customHeight="1">
      <x:c r="A2445" s="115" t="str">
        <x:v>EXT-MONDE-T049-V40</x:v>
      </x:c>
      <x:c r="B2445" s="115" t="str">
        <x:v>EXT-MONDE-T049</x:v>
      </x:c>
      <x:c r="C2445" s="115" t="str">
        <x:v>Parcs attractions</x:v>
      </x:c>
      <x:c r="D2445" s="115" t="str">
        <x:v>Parc familial</x:v>
      </x:c>
      <x:c r="E2445" s="115" t="n">
        <x:v>40</x:v>
      </x:c>
      <x:c r="F2445" s="115" t="str">
        <x:v>Inspection physique</x:v>
      </x:c>
      <x:c r="G2445" s="115" t="str">
        <x:v>1 niveaux ; 32 pièces ; 248 segments de mur ; 0 transitions. Inspection physique ; architecture complète encore ouverte.</x:v>
      </x:c>
      <x:c r="H2445" s="115" t="str">
        <x:v>L 398 ; l 482 ; hauteur 18 m ; choix de composition auteur ; dimensions réelles à documenter</x:v>
      </x:c>
      <x:c r="I2445" s="115" t="str">
        <x:v>À équilibrer</x:v>
      </x:c>
      <x:c r="J2445" s="115" t="str">
        <x:v>Non</x:v>
      </x:c>
      <x:c r="K2445" s="115" t="str">
        <x:v>Pièces décrites, murs, portes, niveaux et mobilier inspectables à l’échelle. Volumes réservés, raccord au seed, butin, rencontres et services de campagne restent à terminer.</x:v>
      </x:c>
    </x:row>
    <x:row r="2446" ht="96" customHeight="1">
      <x:c r="A2446" s="115" t="str">
        <x:v>EXT-MONDE-T049-V41</x:v>
      </x:c>
      <x:c r="B2446" s="115" t="str">
        <x:v>EXT-MONDE-T049</x:v>
      </x:c>
      <x:c r="C2446" s="115" t="str">
        <x:v>Parcs attractions</x:v>
      </x:c>
      <x:c r="D2446" s="115" t="str">
        <x:v>Parc familial</x:v>
      </x:c>
      <x:c r="E2446" s="115" t="n">
        <x:v>41</x:v>
      </x:c>
      <x:c r="F2446" s="115" t="str">
        <x:v>Inspection physique</x:v>
      </x:c>
      <x:c r="G2446" s="115" t="str">
        <x:v>1 niveaux ; 32 pièces ; 248 segments de mur ; 0 transitions. Inspection physique ; architecture complète encore ouverte.</x:v>
      </x:c>
      <x:c r="H2446" s="115" t="str">
        <x:v>L 410 ; l 490 ; hauteur 18 m ; choix de composition auteur ; dimensions réelles à documenter</x:v>
      </x:c>
      <x:c r="I2446" s="115" t="str">
        <x:v>À équilibrer</x:v>
      </x:c>
      <x:c r="J2446" s="115" t="str">
        <x:v>Non</x:v>
      </x:c>
      <x:c r="K2446" s="115" t="str">
        <x:v>Pièces décrites, murs, portes, niveaux et mobilier inspectables à l’échelle. Volumes réservés, raccord au seed, butin, rencontres et services de campagne restent à terminer.</x:v>
      </x:c>
    </x:row>
    <x:row r="2447" ht="96" customHeight="1">
      <x:c r="A2447" s="115" t="str">
        <x:v>EXT-MONDE-T049-V42</x:v>
      </x:c>
      <x:c r="B2447" s="115" t="str">
        <x:v>EXT-MONDE-T049</x:v>
      </x:c>
      <x:c r="C2447" s="115" t="str">
        <x:v>Parcs attractions</x:v>
      </x:c>
      <x:c r="D2447" s="115" t="str">
        <x:v>Parc familial</x:v>
      </x:c>
      <x:c r="E2447" s="115" t="n">
        <x:v>42</x:v>
      </x:c>
      <x:c r="F2447" s="115" t="str">
        <x:v>Inspection physique</x:v>
      </x:c>
      <x:c r="G2447" s="115" t="str">
        <x:v>1 niveaux ; 32 pièces ; 248 segments de mur ; 0 transitions. Inspection physique ; architecture complète encore ouverte.</x:v>
      </x:c>
      <x:c r="H2447" s="115" t="str">
        <x:v>L 410 ; l 490 ; hauteur 18 m ; choix de composition auteur ; dimensions réelles à documenter</x:v>
      </x:c>
      <x:c r="I2447" s="115" t="str">
        <x:v>À équilibrer</x:v>
      </x:c>
      <x:c r="J2447" s="115" t="str">
        <x:v>Non</x:v>
      </x:c>
      <x:c r="K2447" s="115" t="str">
        <x:v>Pièces décrites, murs, portes, niveaux et mobilier inspectables à l’échelle. Volumes réservés, raccord au seed, butin, rencontres et services de campagne restent à terminer.</x:v>
      </x:c>
    </x:row>
    <x:row r="2448" ht="96" customHeight="1">
      <x:c r="A2448" s="115" t="str">
        <x:v>EXT-MONDE-T049-V43</x:v>
      </x:c>
      <x:c r="B2448" s="115" t="str">
        <x:v>EXT-MONDE-T049</x:v>
      </x:c>
      <x:c r="C2448" s="115" t="str">
        <x:v>Parcs attractions</x:v>
      </x:c>
      <x:c r="D2448" s="115" t="str">
        <x:v>Parc familial</x:v>
      </x:c>
      <x:c r="E2448" s="115" t="n">
        <x:v>43</x:v>
      </x:c>
      <x:c r="F2448" s="115" t="str">
        <x:v>Inspection physique</x:v>
      </x:c>
      <x:c r="G2448" s="115" t="str">
        <x:v>1 niveaux ; 32 pièces ; 248 segments de mur ; 0 transitions. Inspection physique ; architecture complète encore ouverte.</x:v>
      </x:c>
      <x:c r="H2448" s="115" t="str">
        <x:v>L 410 ; l 490 ; hauteur 18 m ; choix de composition auteur ; dimensions réelles à documenter</x:v>
      </x:c>
      <x:c r="I2448" s="115" t="str">
        <x:v>À équilibrer</x:v>
      </x:c>
      <x:c r="J2448" s="115" t="str">
        <x:v>Non</x:v>
      </x:c>
      <x:c r="K2448" s="115" t="str">
        <x:v>Pièces décrites, murs, portes, niveaux et mobilier inspectables à l’échelle. Volumes réservés, raccord au seed, butin, rencontres et services de campagne restent à terminer.</x:v>
      </x:c>
    </x:row>
    <x:row r="2449" ht="96" customHeight="1">
      <x:c r="A2449" s="115" t="str">
        <x:v>EXT-MONDE-T049-V44</x:v>
      </x:c>
      <x:c r="B2449" s="115" t="str">
        <x:v>EXT-MONDE-T049</x:v>
      </x:c>
      <x:c r="C2449" s="115" t="str">
        <x:v>Parcs attractions</x:v>
      </x:c>
      <x:c r="D2449" s="115" t="str">
        <x:v>Parc familial</x:v>
      </x:c>
      <x:c r="E2449" s="115" t="n">
        <x:v>44</x:v>
      </x:c>
      <x:c r="F2449" s="115" t="str">
        <x:v>Inspection physique</x:v>
      </x:c>
      <x:c r="G2449" s="115" t="str">
        <x:v>1 niveaux ; 32 pièces ; 248 segments de mur ; 0 transitions. Inspection physique ; architecture complète encore ouverte.</x:v>
      </x:c>
      <x:c r="H2449" s="115" t="str">
        <x:v>L 410 ; l 490 ; hauteur 18 m ; choix de composition auteur ; dimensions réelles à documenter</x:v>
      </x:c>
      <x:c r="I2449" s="115" t="str">
        <x:v>À équilibrer</x:v>
      </x:c>
      <x:c r="J2449" s="115" t="str">
        <x:v>Non</x:v>
      </x:c>
      <x:c r="K2449" s="115" t="str">
        <x:v>Pièces décrites, murs, portes, niveaux et mobilier inspectables à l’échelle. Volumes réservés, raccord au seed, butin, rencontres et services de campagne restent à terminer.</x:v>
      </x:c>
    </x:row>
    <x:row r="2450" ht="96" customHeight="1">
      <x:c r="A2450" s="115" t="str">
        <x:v>EXT-MONDE-T049-V45</x:v>
      </x:c>
      <x:c r="B2450" s="115" t="str">
        <x:v>EXT-MONDE-T049</x:v>
      </x:c>
      <x:c r="C2450" s="115" t="str">
        <x:v>Parcs attractions</x:v>
      </x:c>
      <x:c r="D2450" s="115" t="str">
        <x:v>Parc familial</x:v>
      </x:c>
      <x:c r="E2450" s="115" t="n">
        <x:v>45</x:v>
      </x:c>
      <x:c r="F2450" s="115" t="str">
        <x:v>Inspection physique</x:v>
      </x:c>
      <x:c r="G2450" s="115" t="str">
        <x:v>1 niveaux ; 32 pièces ; 248 segments de mur ; 0 transitions. Inspection physique ; architecture complète encore ouverte.</x:v>
      </x:c>
      <x:c r="H2450" s="115" t="str">
        <x:v>L 410 ; l 490 ; hauteur 18 m ; choix de composition auteur ; dimensions réelles à documenter</x:v>
      </x:c>
      <x:c r="I2450" s="115" t="str">
        <x:v>À équilibrer</x:v>
      </x:c>
      <x:c r="J2450" s="115" t="str">
        <x:v>Non</x:v>
      </x:c>
      <x:c r="K2450" s="115" t="str">
        <x:v>Pièces décrites, murs, portes, niveaux et mobilier inspectables à l’échelle. Volumes réservés, raccord au seed, butin, rencontres et services de campagne restent à terminer.</x:v>
      </x:c>
    </x:row>
    <x:row r="2451" ht="96" customHeight="1">
      <x:c r="A2451" s="115" t="str">
        <x:v>EXT-MONDE-T049-V46</x:v>
      </x:c>
      <x:c r="B2451" s="115" t="str">
        <x:v>EXT-MONDE-T049</x:v>
      </x:c>
      <x:c r="C2451" s="115" t="str">
        <x:v>Parcs attractions</x:v>
      </x:c>
      <x:c r="D2451" s="115" t="str">
        <x:v>Parc familial</x:v>
      </x:c>
      <x:c r="E2451" s="115" t="n">
        <x:v>46</x:v>
      </x:c>
      <x:c r="F2451" s="115" t="str">
        <x:v>Inspection physique</x:v>
      </x:c>
      <x:c r="G2451" s="115" t="str">
        <x:v>1 niveaux ; 32 pièces ; 248 segments de mur ; 0 transitions. Inspection physique ; architecture complète encore ouverte.</x:v>
      </x:c>
      <x:c r="H2451" s="115" t="str">
        <x:v>L 410 ; l 490 ; hauteur 18 m ; choix de composition auteur ; dimensions réelles à documenter</x:v>
      </x:c>
      <x:c r="I2451" s="115" t="str">
        <x:v>À équilibrer</x:v>
      </x:c>
      <x:c r="J2451" s="115" t="str">
        <x:v>Non</x:v>
      </x:c>
      <x:c r="K2451" s="115" t="str">
        <x:v>Pièces décrites, murs, portes, niveaux et mobilier inspectables à l’échelle. Volumes réservés, raccord au seed, butin, rencontres et services de campagne restent à terminer.</x:v>
      </x:c>
    </x:row>
    <x:row r="2452" ht="96" customHeight="1">
      <x:c r="A2452" s="115" t="str">
        <x:v>EXT-MONDE-T049-V47</x:v>
      </x:c>
      <x:c r="B2452" s="115" t="str">
        <x:v>EXT-MONDE-T049</x:v>
      </x:c>
      <x:c r="C2452" s="115" t="str">
        <x:v>Parcs attractions</x:v>
      </x:c>
      <x:c r="D2452" s="115" t="str">
        <x:v>Parc familial</x:v>
      </x:c>
      <x:c r="E2452" s="115" t="n">
        <x:v>47</x:v>
      </x:c>
      <x:c r="F2452" s="115" t="str">
        <x:v>Inspection physique</x:v>
      </x:c>
      <x:c r="G2452" s="115" t="str">
        <x:v>1 niveaux ; 32 pièces ; 248 segments de mur ; 0 transitions. Inspection physique ; architecture complète encore ouverte.</x:v>
      </x:c>
      <x:c r="H2452" s="115" t="str">
        <x:v>L 410 ; l 490 ; hauteur 18 m ; choix de composition auteur ; dimensions réelles à documenter</x:v>
      </x:c>
      <x:c r="I2452" s="115" t="str">
        <x:v>À équilibrer</x:v>
      </x:c>
      <x:c r="J2452" s="115" t="str">
        <x:v>Non</x:v>
      </x:c>
      <x:c r="K2452" s="115" t="str">
        <x:v>Pièces décrites, murs, portes, niveaux et mobilier inspectables à l’échelle. Volumes réservés, raccord au seed, butin, rencontres et services de campagne restent à terminer.</x:v>
      </x:c>
    </x:row>
    <x:row r="2453" ht="96" customHeight="1">
      <x:c r="A2453" s="115" t="str">
        <x:v>EXT-MONDE-T049-V48</x:v>
      </x:c>
      <x:c r="B2453" s="115" t="str">
        <x:v>EXT-MONDE-T049</x:v>
      </x:c>
      <x:c r="C2453" s="115" t="str">
        <x:v>Parcs attractions</x:v>
      </x:c>
      <x:c r="D2453" s="115" t="str">
        <x:v>Parc familial</x:v>
      </x:c>
      <x:c r="E2453" s="115" t="n">
        <x:v>48</x:v>
      </x:c>
      <x:c r="F2453" s="115" t="str">
        <x:v>Inspection physique</x:v>
      </x:c>
      <x:c r="G2453" s="115" t="str">
        <x:v>1 niveaux ; 32 pièces ; 248 segments de mur ; 0 transitions. Inspection physique ; architecture complète encore ouverte.</x:v>
      </x:c>
      <x:c r="H2453" s="115" t="str">
        <x:v>L 410 ; l 490 ; hauteur 18 m ; choix de composition auteur ; dimensions réelles à documenter</x:v>
      </x:c>
      <x:c r="I2453" s="115" t="str">
        <x:v>À équilibrer</x:v>
      </x:c>
      <x:c r="J2453" s="115" t="str">
        <x:v>Non</x:v>
      </x:c>
      <x:c r="K2453" s="115" t="str">
        <x:v>Pièces décrites, murs, portes, niveaux et mobilier inspectables à l’échelle. Volumes réservés, raccord au seed, butin, rencontres et services de campagne restent à terminer.</x:v>
      </x:c>
    </x:row>
    <x:row r="2454" ht="96" customHeight="1">
      <x:c r="A2454" s="115" t="str">
        <x:v>EXT-MONDE-T049-V49</x:v>
      </x:c>
      <x:c r="B2454" s="115" t="str">
        <x:v>EXT-MONDE-T049</x:v>
      </x:c>
      <x:c r="C2454" s="115" t="str">
        <x:v>Parcs attractions</x:v>
      </x:c>
      <x:c r="D2454" s="115" t="str">
        <x:v>Parc familial</x:v>
      </x:c>
      <x:c r="E2454" s="115" t="n">
        <x:v>49</x:v>
      </x:c>
      <x:c r="F2454" s="115" t="str">
        <x:v>Inspection physique</x:v>
      </x:c>
      <x:c r="G2454" s="115" t="str">
        <x:v>1 niveaux ; 32 pièces ; 248 segments de mur ; 0 transitions. Inspection physique ; architecture complète encore ouverte.</x:v>
      </x:c>
      <x:c r="H2454" s="115" t="str">
        <x:v>L 410 ; l 490 ; hauteur 18 m ; choix de composition auteur ; dimensions réelles à documenter</x:v>
      </x:c>
      <x:c r="I2454" s="115" t="str">
        <x:v>À équilibrer</x:v>
      </x:c>
      <x:c r="J2454" s="115" t="str">
        <x:v>Non</x:v>
      </x:c>
      <x:c r="K2454" s="115" t="str">
        <x:v>Pièces décrites, murs, portes, niveaux et mobilier inspectables à l’échelle. Volumes réservés, raccord au seed, butin, rencontres et services de campagne restent à terminer.</x:v>
      </x:c>
    </x:row>
    <x:row r="2455" ht="96" customHeight="1">
      <x:c r="A2455" s="115" t="str">
        <x:v>EXT-MONDE-T049-V50</x:v>
      </x:c>
      <x:c r="B2455" s="115" t="str">
        <x:v>EXT-MONDE-T049</x:v>
      </x:c>
      <x:c r="C2455" s="115" t="str">
        <x:v>Parcs attractions</x:v>
      </x:c>
      <x:c r="D2455" s="115" t="str">
        <x:v>Parc familial</x:v>
      </x:c>
      <x:c r="E2455" s="115" t="n">
        <x:v>50</x:v>
      </x:c>
      <x:c r="F2455" s="115" t="str">
        <x:v>Inspection physique</x:v>
      </x:c>
      <x:c r="G2455" s="115" t="str">
        <x:v>1 niveaux ; 32 pièces ; 248 segments de mur ; 0 transitions. Inspection physique ; architecture complète encore ouverte.</x:v>
      </x:c>
      <x:c r="H2455" s="115" t="str">
        <x:v>L 410 ; l 490 ; hauteur 18 m ; choix de composition auteur ; dimensions réelles à documenter</x:v>
      </x:c>
      <x:c r="I2455" s="115" t="str">
        <x:v>À équilibrer</x:v>
      </x:c>
      <x:c r="J2455" s="115" t="str">
        <x:v>Non</x:v>
      </x:c>
      <x:c r="K2455" s="115" t="str">
        <x:v>Pièces décrites, murs, portes, niveaux et mobilier inspectables à l’échelle. Volumes réservés, raccord au seed, butin, rencontres et services de campagne restent à terminer.</x:v>
      </x:c>
    </x:row>
    <x:row r="2456" ht="96" customHeight="1">
      <x:c r="A2456" s="115" t="str">
        <x:v>EXT-MONDE-T050-V01</x:v>
      </x:c>
      <x:c r="B2456" s="115" t="str">
        <x:v>EXT-MONDE-T050</x:v>
      </x:c>
      <x:c r="C2456" s="115" t="str">
        <x:v>Parcs attractions</x:v>
      </x:c>
      <x:c r="D2456" s="115" t="str">
        <x:v>Parc à sensations</x:v>
      </x:c>
      <x:c r="E2456" s="115" t="n">
        <x:v>1</x:v>
      </x:c>
      <x:c r="F2456" s="115" t="str">
        <x:v>Inspection physique</x:v>
      </x:c>
      <x:c r="G2456" s="115" t="str">
        <x:v>1 niveaux ; 32 pièces ; 248 segments de mur ; 0 transitions. Inspection physique ; architecture complète encore ouverte.</x:v>
      </x:c>
      <x:c r="H2456" s="115" t="str">
        <x:v>L 488 ; l 614 ; hauteur 58 m ; choix de composition auteur ; dimensions réelles à documenter</x:v>
      </x:c>
      <x:c r="I2456" s="115" t="str">
        <x:v>À équilibrer</x:v>
      </x:c>
      <x:c r="J2456" s="115" t="str">
        <x:v>Non</x:v>
      </x:c>
      <x:c r="K2456" s="115" t="str">
        <x:v>Pièces décrites, murs, portes, niveaux et mobilier inspectables à l’échelle. Volumes réservés, raccord au seed, butin, rencontres et services de campagne restent à terminer.</x:v>
      </x:c>
    </x:row>
    <x:row r="2457" ht="96" customHeight="1">
      <x:c r="A2457" s="115" t="str">
        <x:v>EXT-MONDE-T050-V02</x:v>
      </x:c>
      <x:c r="B2457" s="115" t="str">
        <x:v>EXT-MONDE-T050</x:v>
      </x:c>
      <x:c r="C2457" s="115" t="str">
        <x:v>Parcs attractions</x:v>
      </x:c>
      <x:c r="D2457" s="115" t="str">
        <x:v>Parc à sensations</x:v>
      </x:c>
      <x:c r="E2457" s="115" t="n">
        <x:v>2</x:v>
      </x:c>
      <x:c r="F2457" s="115" t="str">
        <x:v>Inspection physique</x:v>
      </x:c>
      <x:c r="G2457" s="115" t="str">
        <x:v>1 niveaux ; 32 pièces ; 248 segments de mur ; 0 transitions. Inspection physique ; architecture complète encore ouverte.</x:v>
      </x:c>
      <x:c r="H2457" s="115" t="str">
        <x:v>L 488 ; l 614 ; hauteur 58 m ; choix de composition auteur ; dimensions réelles à documenter</x:v>
      </x:c>
      <x:c r="I2457" s="115" t="str">
        <x:v>À équilibrer</x:v>
      </x:c>
      <x:c r="J2457" s="115" t="str">
        <x:v>Non</x:v>
      </x:c>
      <x:c r="K2457" s="115" t="str">
        <x:v>Pièces décrites, murs, portes, niveaux et mobilier inspectables à l’échelle. Volumes réservés, raccord au seed, butin, rencontres et services de campagne restent à terminer.</x:v>
      </x:c>
    </x:row>
    <x:row r="2458" ht="96" customHeight="1">
      <x:c r="A2458" s="115" t="str">
        <x:v>EXT-MONDE-T050-V03</x:v>
      </x:c>
      <x:c r="B2458" s="115" t="str">
        <x:v>EXT-MONDE-T050</x:v>
      </x:c>
      <x:c r="C2458" s="115" t="str">
        <x:v>Parcs attractions</x:v>
      </x:c>
      <x:c r="D2458" s="115" t="str">
        <x:v>Parc à sensations</x:v>
      </x:c>
      <x:c r="E2458" s="115" t="n">
        <x:v>3</x:v>
      </x:c>
      <x:c r="F2458" s="115" t="str">
        <x:v>Inspection physique</x:v>
      </x:c>
      <x:c r="G2458" s="115" t="str">
        <x:v>1 niveaux ; 32 pièces ; 248 segments de mur ; 0 transitions. Inspection physique ; architecture complète encore ouverte.</x:v>
      </x:c>
      <x:c r="H2458" s="115" t="str">
        <x:v>L 488 ; l 614 ; hauteur 58 m ; choix de composition auteur ; dimensions réelles à documenter</x:v>
      </x:c>
      <x:c r="I2458" s="115" t="str">
        <x:v>À équilibrer</x:v>
      </x:c>
      <x:c r="J2458" s="115" t="str">
        <x:v>Non</x:v>
      </x:c>
      <x:c r="K2458" s="115" t="str">
        <x:v>Pièces décrites, murs, portes, niveaux et mobilier inspectables à l’échelle. Volumes réservés, raccord au seed, butin, rencontres et services de campagne restent à terminer.</x:v>
      </x:c>
    </x:row>
    <x:row r="2459" ht="96" customHeight="1">
      <x:c r="A2459" s="115" t="str">
        <x:v>EXT-MONDE-T050-V04</x:v>
      </x:c>
      <x:c r="B2459" s="115" t="str">
        <x:v>EXT-MONDE-T050</x:v>
      </x:c>
      <x:c r="C2459" s="115" t="str">
        <x:v>Parcs attractions</x:v>
      </x:c>
      <x:c r="D2459" s="115" t="str">
        <x:v>Parc à sensations</x:v>
      </x:c>
      <x:c r="E2459" s="115" t="n">
        <x:v>4</x:v>
      </x:c>
      <x:c r="F2459" s="115" t="str">
        <x:v>Inspection physique</x:v>
      </x:c>
      <x:c r="G2459" s="115" t="str">
        <x:v>1 niveaux ; 32 pièces ; 248 segments de mur ; 0 transitions. Inspection physique ; architecture complète encore ouverte.</x:v>
      </x:c>
      <x:c r="H2459" s="115" t="str">
        <x:v>L 488 ; l 614 ; hauteur 58 m ; choix de composition auteur ; dimensions réelles à documenter</x:v>
      </x:c>
      <x:c r="I2459" s="115" t="str">
        <x:v>À équilibrer</x:v>
      </x:c>
      <x:c r="J2459" s="115" t="str">
        <x:v>Non</x:v>
      </x:c>
      <x:c r="K2459" s="115" t="str">
        <x:v>Pièces décrites, murs, portes, niveaux et mobilier inspectables à l’échelle. Volumes réservés, raccord au seed, butin, rencontres et services de campagne restent à terminer.</x:v>
      </x:c>
    </x:row>
    <x:row r="2460" ht="96" customHeight="1">
      <x:c r="A2460" s="115" t="str">
        <x:v>EXT-MONDE-T050-V05</x:v>
      </x:c>
      <x:c r="B2460" s="115" t="str">
        <x:v>EXT-MONDE-T050</x:v>
      </x:c>
      <x:c r="C2460" s="115" t="str">
        <x:v>Parcs attractions</x:v>
      </x:c>
      <x:c r="D2460" s="115" t="str">
        <x:v>Parc à sensations</x:v>
      </x:c>
      <x:c r="E2460" s="115" t="n">
        <x:v>5</x:v>
      </x:c>
      <x:c r="F2460" s="115" t="str">
        <x:v>Inspection physique</x:v>
      </x:c>
      <x:c r="G2460" s="115" t="str">
        <x:v>1 niveaux ; 32 pièces ; 248 segments de mur ; 0 transitions. Inspection physique ; architecture complète encore ouverte.</x:v>
      </x:c>
      <x:c r="H2460" s="115" t="str">
        <x:v>L 488 ; l 614 ; hauteur 58 m ; choix de composition auteur ; dimensions réelles à documenter</x:v>
      </x:c>
      <x:c r="I2460" s="115" t="str">
        <x:v>À équilibrer</x:v>
      </x:c>
      <x:c r="J2460" s="115" t="str">
        <x:v>Non</x:v>
      </x:c>
      <x:c r="K2460" s="115" t="str">
        <x:v>Pièces décrites, murs, portes, niveaux et mobilier inspectables à l’échelle. Volumes réservés, raccord au seed, butin, rencontres et services de campagne restent à terminer.</x:v>
      </x:c>
    </x:row>
    <x:row r="2461" ht="96" customHeight="1">
      <x:c r="A2461" s="115" t="str">
        <x:v>EXT-MONDE-T050-V06</x:v>
      </x:c>
      <x:c r="B2461" s="115" t="str">
        <x:v>EXT-MONDE-T050</x:v>
      </x:c>
      <x:c r="C2461" s="115" t="str">
        <x:v>Parcs attractions</x:v>
      </x:c>
      <x:c r="D2461" s="115" t="str">
        <x:v>Parc à sensations</x:v>
      </x:c>
      <x:c r="E2461" s="115" t="n">
        <x:v>6</x:v>
      </x:c>
      <x:c r="F2461" s="115" t="str">
        <x:v>Inspection physique</x:v>
      </x:c>
      <x:c r="G2461" s="115" t="str">
        <x:v>1 niveaux ; 32 pièces ; 248 segments de mur ; 0 transitions. Inspection physique ; architecture complète encore ouverte.</x:v>
      </x:c>
      <x:c r="H2461" s="115" t="str">
        <x:v>L 488 ; l 614 ; hauteur 58 m ; choix de composition auteur ; dimensions réelles à documenter</x:v>
      </x:c>
      <x:c r="I2461" s="115" t="str">
        <x:v>À équilibrer</x:v>
      </x:c>
      <x:c r="J2461" s="115" t="str">
        <x:v>Non</x:v>
      </x:c>
      <x:c r="K2461" s="115" t="str">
        <x:v>Pièces décrites, murs, portes, niveaux et mobilier inspectables à l’échelle. Volumes réservés, raccord au seed, butin, rencontres et services de campagne restent à terminer.</x:v>
      </x:c>
    </x:row>
    <x:row r="2462" ht="96" customHeight="1">
      <x:c r="A2462" s="115" t="str">
        <x:v>EXT-MONDE-T050-V07</x:v>
      </x:c>
      <x:c r="B2462" s="115" t="str">
        <x:v>EXT-MONDE-T050</x:v>
      </x:c>
      <x:c r="C2462" s="115" t="str">
        <x:v>Parcs attractions</x:v>
      </x:c>
      <x:c r="D2462" s="115" t="str">
        <x:v>Parc à sensations</x:v>
      </x:c>
      <x:c r="E2462" s="115" t="n">
        <x:v>7</x:v>
      </x:c>
      <x:c r="F2462" s="115" t="str">
        <x:v>Inspection physique</x:v>
      </x:c>
      <x:c r="G2462" s="115" t="str">
        <x:v>1 niveaux ; 32 pièces ; 248 segments de mur ; 0 transitions. Inspection physique ; architecture complète encore ouverte.</x:v>
      </x:c>
      <x:c r="H2462" s="115" t="str">
        <x:v>L 488 ; l 614 ; hauteur 58 m ; choix de composition auteur ; dimensions réelles à documenter</x:v>
      </x:c>
      <x:c r="I2462" s="115" t="str">
        <x:v>À équilibrer</x:v>
      </x:c>
      <x:c r="J2462" s="115" t="str">
        <x:v>Non</x:v>
      </x:c>
      <x:c r="K2462" s="115" t="str">
        <x:v>Pièces décrites, murs, portes, niveaux et mobilier inspectables à l’échelle. Volumes réservés, raccord au seed, butin, rencontres et services de campagne restent à terminer.</x:v>
      </x:c>
    </x:row>
    <x:row r="2463" ht="96" customHeight="1">
      <x:c r="A2463" s="115" t="str">
        <x:v>EXT-MONDE-T050-V08</x:v>
      </x:c>
      <x:c r="B2463" s="115" t="str">
        <x:v>EXT-MONDE-T050</x:v>
      </x:c>
      <x:c r="C2463" s="115" t="str">
        <x:v>Parcs attractions</x:v>
      </x:c>
      <x:c r="D2463" s="115" t="str">
        <x:v>Parc à sensations</x:v>
      </x:c>
      <x:c r="E2463" s="115" t="n">
        <x:v>8</x:v>
      </x:c>
      <x:c r="F2463" s="115" t="str">
        <x:v>Inspection physique</x:v>
      </x:c>
      <x:c r="G2463" s="115" t="str">
        <x:v>1 niveaux ; 32 pièces ; 248 segments de mur ; 0 transitions. Inspection physique ; architecture complète encore ouverte.</x:v>
      </x:c>
      <x:c r="H2463" s="115" t="str">
        <x:v>L 488 ; l 614 ; hauteur 58 m ; choix de composition auteur ; dimensions réelles à documenter</x:v>
      </x:c>
      <x:c r="I2463" s="115" t="str">
        <x:v>À équilibrer</x:v>
      </x:c>
      <x:c r="J2463" s="115" t="str">
        <x:v>Non</x:v>
      </x:c>
      <x:c r="K2463" s="115" t="str">
        <x:v>Pièces décrites, murs, portes, niveaux et mobilier inspectables à l’échelle. Volumes réservés, raccord au seed, butin, rencontres et services de campagne restent à terminer.</x:v>
      </x:c>
    </x:row>
    <x:row r="2464" ht="96" customHeight="1">
      <x:c r="A2464" s="115" t="str">
        <x:v>EXT-MONDE-T050-V09</x:v>
      </x:c>
      <x:c r="B2464" s="115" t="str">
        <x:v>EXT-MONDE-T050</x:v>
      </x:c>
      <x:c r="C2464" s="115" t="str">
        <x:v>Parcs attractions</x:v>
      </x:c>
      <x:c r="D2464" s="115" t="str">
        <x:v>Parc à sensations</x:v>
      </x:c>
      <x:c r="E2464" s="115" t="n">
        <x:v>9</x:v>
      </x:c>
      <x:c r="F2464" s="115" t="str">
        <x:v>Inspection physique</x:v>
      </x:c>
      <x:c r="G2464" s="115" t="str">
        <x:v>1 niveaux ; 32 pièces ; 248 segments de mur ; 0 transitions. Inspection physique ; architecture complète encore ouverte.</x:v>
      </x:c>
      <x:c r="H2464" s="115" t="str">
        <x:v>L 488 ; l 614 ; hauteur 58 m ; choix de composition auteur ; dimensions réelles à documenter</x:v>
      </x:c>
      <x:c r="I2464" s="115" t="str">
        <x:v>À équilibrer</x:v>
      </x:c>
      <x:c r="J2464" s="115" t="str">
        <x:v>Non</x:v>
      </x:c>
      <x:c r="K2464" s="115" t="str">
        <x:v>Pièces décrites, murs, portes, niveaux et mobilier inspectables à l’échelle. Volumes réservés, raccord au seed, butin, rencontres et services de campagne restent à terminer.</x:v>
      </x:c>
    </x:row>
    <x:row r="2465" ht="96" customHeight="1">
      <x:c r="A2465" s="115" t="str">
        <x:v>EXT-MONDE-T050-V10</x:v>
      </x:c>
      <x:c r="B2465" s="115" t="str">
        <x:v>EXT-MONDE-T050</x:v>
      </x:c>
      <x:c r="C2465" s="115" t="str">
        <x:v>Parcs attractions</x:v>
      </x:c>
      <x:c r="D2465" s="115" t="str">
        <x:v>Parc à sensations</x:v>
      </x:c>
      <x:c r="E2465" s="115" t="n">
        <x:v>10</x:v>
      </x:c>
      <x:c r="F2465" s="115" t="str">
        <x:v>Inspection physique</x:v>
      </x:c>
      <x:c r="G2465" s="115" t="str">
        <x:v>1 niveaux ; 32 pièces ; 248 segments de mur ; 0 transitions. Inspection physique ; architecture complète encore ouverte.</x:v>
      </x:c>
      <x:c r="H2465" s="115" t="str">
        <x:v>L 488 ; l 614 ; hauteur 58 m ; choix de composition auteur ; dimensions réelles à documenter</x:v>
      </x:c>
      <x:c r="I2465" s="115" t="str">
        <x:v>À équilibrer</x:v>
      </x:c>
      <x:c r="J2465" s="115" t="str">
        <x:v>Non</x:v>
      </x:c>
      <x:c r="K2465" s="115" t="str">
        <x:v>Pièces décrites, murs, portes, niveaux et mobilier inspectables à l’échelle. Volumes réservés, raccord au seed, butin, rencontres et services de campagne restent à terminer.</x:v>
      </x:c>
    </x:row>
    <x:row r="2466" ht="96" customHeight="1">
      <x:c r="A2466" s="115" t="str">
        <x:v>EXT-MONDE-T050-V11</x:v>
      </x:c>
      <x:c r="B2466" s="115" t="str">
        <x:v>EXT-MONDE-T050</x:v>
      </x:c>
      <x:c r="C2466" s="115" t="str">
        <x:v>Parcs attractions</x:v>
      </x:c>
      <x:c r="D2466" s="115" t="str">
        <x:v>Parc à sensations</x:v>
      </x:c>
      <x:c r="E2466" s="115" t="n">
        <x:v>11</x:v>
      </x:c>
      <x:c r="F2466" s="115" t="str">
        <x:v>Inspection physique</x:v>
      </x:c>
      <x:c r="G2466" s="115" t="str">
        <x:v>1 niveaux ; 32 pièces ; 248 segments de mur ; 0 transitions. Inspection physique ; architecture complète encore ouverte.</x:v>
      </x:c>
      <x:c r="H2466" s="115" t="str">
        <x:v>L 500 ; l 622 ; hauteur 58 m ; choix de composition auteur ; dimensions réelles à documenter</x:v>
      </x:c>
      <x:c r="I2466" s="115" t="str">
        <x:v>À équilibrer</x:v>
      </x:c>
      <x:c r="J2466" s="115" t="str">
        <x:v>Non</x:v>
      </x:c>
      <x:c r="K2466" s="115" t="str">
        <x:v>Pièces décrites, murs, portes, niveaux et mobilier inspectables à l’échelle. Volumes réservés, raccord au seed, butin, rencontres et services de campagne restent à terminer.</x:v>
      </x:c>
    </x:row>
    <x:row r="2467" ht="96" customHeight="1">
      <x:c r="A2467" s="115" t="str">
        <x:v>EXT-MONDE-T050-V12</x:v>
      </x:c>
      <x:c r="B2467" s="115" t="str">
        <x:v>EXT-MONDE-T050</x:v>
      </x:c>
      <x:c r="C2467" s="115" t="str">
        <x:v>Parcs attractions</x:v>
      </x:c>
      <x:c r="D2467" s="115" t="str">
        <x:v>Parc à sensations</x:v>
      </x:c>
      <x:c r="E2467" s="115" t="n">
        <x:v>12</x:v>
      </x:c>
      <x:c r="F2467" s="115" t="str">
        <x:v>Inspection physique</x:v>
      </x:c>
      <x:c r="G2467" s="115" t="str">
        <x:v>1 niveaux ; 32 pièces ; 248 segments de mur ; 0 transitions. Inspection physique ; architecture complète encore ouverte.</x:v>
      </x:c>
      <x:c r="H2467" s="115" t="str">
        <x:v>L 500 ; l 622 ; hauteur 58 m ; choix de composition auteur ; dimensions réelles à documenter</x:v>
      </x:c>
      <x:c r="I2467" s="115" t="str">
        <x:v>À équilibrer</x:v>
      </x:c>
      <x:c r="J2467" s="115" t="str">
        <x:v>Non</x:v>
      </x:c>
      <x:c r="K2467" s="115" t="str">
        <x:v>Pièces décrites, murs, portes, niveaux et mobilier inspectables à l’échelle. Volumes réservés, raccord au seed, butin, rencontres et services de campagne restent à terminer.</x:v>
      </x:c>
    </x:row>
    <x:row r="2468" ht="96" customHeight="1">
      <x:c r="A2468" s="115" t="str">
        <x:v>EXT-MONDE-T050-V13</x:v>
      </x:c>
      <x:c r="B2468" s="115" t="str">
        <x:v>EXT-MONDE-T050</x:v>
      </x:c>
      <x:c r="C2468" s="115" t="str">
        <x:v>Parcs attractions</x:v>
      </x:c>
      <x:c r="D2468" s="115" t="str">
        <x:v>Parc à sensations</x:v>
      </x:c>
      <x:c r="E2468" s="115" t="n">
        <x:v>13</x:v>
      </x:c>
      <x:c r="F2468" s="115" t="str">
        <x:v>Inspection physique</x:v>
      </x:c>
      <x:c r="G2468" s="115" t="str">
        <x:v>1 niveaux ; 32 pièces ; 248 segments de mur ; 0 transitions. Inspection physique ; architecture complète encore ouverte.</x:v>
      </x:c>
      <x:c r="H2468" s="115" t="str">
        <x:v>L 500 ; l 622 ; hauteur 58 m ; choix de composition auteur ; dimensions réelles à documenter</x:v>
      </x:c>
      <x:c r="I2468" s="115" t="str">
        <x:v>À équilibrer</x:v>
      </x:c>
      <x:c r="J2468" s="115" t="str">
        <x:v>Non</x:v>
      </x:c>
      <x:c r="K2468" s="115" t="str">
        <x:v>Pièces décrites, murs, portes, niveaux et mobilier inspectables à l’échelle. Volumes réservés, raccord au seed, butin, rencontres et services de campagne restent à terminer.</x:v>
      </x:c>
    </x:row>
    <x:row r="2469" ht="96" customHeight="1">
      <x:c r="A2469" s="115" t="str">
        <x:v>EXT-MONDE-T050-V14</x:v>
      </x:c>
      <x:c r="B2469" s="115" t="str">
        <x:v>EXT-MONDE-T050</x:v>
      </x:c>
      <x:c r="C2469" s="115" t="str">
        <x:v>Parcs attractions</x:v>
      </x:c>
      <x:c r="D2469" s="115" t="str">
        <x:v>Parc à sensations</x:v>
      </x:c>
      <x:c r="E2469" s="115" t="n">
        <x:v>14</x:v>
      </x:c>
      <x:c r="F2469" s="115" t="str">
        <x:v>Inspection physique</x:v>
      </x:c>
      <x:c r="G2469" s="115" t="str">
        <x:v>1 niveaux ; 32 pièces ; 248 segments de mur ; 0 transitions. Inspection physique ; architecture complète encore ouverte.</x:v>
      </x:c>
      <x:c r="H2469" s="115" t="str">
        <x:v>L 500 ; l 622 ; hauteur 58 m ; choix de composition auteur ; dimensions réelles à documenter</x:v>
      </x:c>
      <x:c r="I2469" s="115" t="str">
        <x:v>À équilibrer</x:v>
      </x:c>
      <x:c r="J2469" s="115" t="str">
        <x:v>Non</x:v>
      </x:c>
      <x:c r="K2469" s="115" t="str">
        <x:v>Pièces décrites, murs, portes, niveaux et mobilier inspectables à l’échelle. Volumes réservés, raccord au seed, butin, rencontres et services de campagne restent à terminer.</x:v>
      </x:c>
    </x:row>
    <x:row r="2470" ht="96" customHeight="1">
      <x:c r="A2470" s="115" t="str">
        <x:v>EXT-MONDE-T050-V15</x:v>
      </x:c>
      <x:c r="B2470" s="115" t="str">
        <x:v>EXT-MONDE-T050</x:v>
      </x:c>
      <x:c r="C2470" s="115" t="str">
        <x:v>Parcs attractions</x:v>
      </x:c>
      <x:c r="D2470" s="115" t="str">
        <x:v>Parc à sensations</x:v>
      </x:c>
      <x:c r="E2470" s="115" t="n">
        <x:v>15</x:v>
      </x:c>
      <x:c r="F2470" s="115" t="str">
        <x:v>Inspection physique</x:v>
      </x:c>
      <x:c r="G2470" s="115" t="str">
        <x:v>1 niveaux ; 32 pièces ; 248 segments de mur ; 0 transitions. Inspection physique ; architecture complète encore ouverte.</x:v>
      </x:c>
      <x:c r="H2470" s="115" t="str">
        <x:v>L 500 ; l 622 ; hauteur 58 m ; choix de composition auteur ; dimensions réelles à documenter</x:v>
      </x:c>
      <x:c r="I2470" s="115" t="str">
        <x:v>À équilibrer</x:v>
      </x:c>
      <x:c r="J2470" s="115" t="str">
        <x:v>Non</x:v>
      </x:c>
      <x:c r="K2470" s="115" t="str">
        <x:v>Pièces décrites, murs, portes, niveaux et mobilier inspectables à l’échelle. Volumes réservés, raccord au seed, butin, rencontres et services de campagne restent à terminer.</x:v>
      </x:c>
    </x:row>
    <x:row r="2471" ht="96" customHeight="1">
      <x:c r="A2471" s="115" t="str">
        <x:v>EXT-MONDE-T050-V16</x:v>
      </x:c>
      <x:c r="B2471" s="115" t="str">
        <x:v>EXT-MONDE-T050</x:v>
      </x:c>
      <x:c r="C2471" s="115" t="str">
        <x:v>Parcs attractions</x:v>
      </x:c>
      <x:c r="D2471" s="115" t="str">
        <x:v>Parc à sensations</x:v>
      </x:c>
      <x:c r="E2471" s="115" t="n">
        <x:v>16</x:v>
      </x:c>
      <x:c r="F2471" s="115" t="str">
        <x:v>Inspection physique</x:v>
      </x:c>
      <x:c r="G2471" s="115" t="str">
        <x:v>1 niveaux ; 32 pièces ; 248 segments de mur ; 0 transitions. Inspection physique ; architecture complète encore ouverte.</x:v>
      </x:c>
      <x:c r="H2471" s="115" t="str">
        <x:v>L 500 ; l 622 ; hauteur 58 m ; choix de composition auteur ; dimensions réelles à documenter</x:v>
      </x:c>
      <x:c r="I2471" s="115" t="str">
        <x:v>À équilibrer</x:v>
      </x:c>
      <x:c r="J2471" s="115" t="str">
        <x:v>Non</x:v>
      </x:c>
      <x:c r="K2471" s="115" t="str">
        <x:v>Pièces décrites, murs, portes, niveaux et mobilier inspectables à l’échelle. Volumes réservés, raccord au seed, butin, rencontres et services de campagne restent à terminer.</x:v>
      </x:c>
    </x:row>
    <x:row r="2472" ht="96" customHeight="1">
      <x:c r="A2472" s="115" t="str">
        <x:v>EXT-MONDE-T050-V17</x:v>
      </x:c>
      <x:c r="B2472" s="115" t="str">
        <x:v>EXT-MONDE-T050</x:v>
      </x:c>
      <x:c r="C2472" s="115" t="str">
        <x:v>Parcs attractions</x:v>
      </x:c>
      <x:c r="D2472" s="115" t="str">
        <x:v>Parc à sensations</x:v>
      </x:c>
      <x:c r="E2472" s="115" t="n">
        <x:v>17</x:v>
      </x:c>
      <x:c r="F2472" s="115" t="str">
        <x:v>Inspection physique</x:v>
      </x:c>
      <x:c r="G2472" s="115" t="str">
        <x:v>1 niveaux ; 32 pièces ; 248 segments de mur ; 0 transitions. Inspection physique ; architecture complète encore ouverte.</x:v>
      </x:c>
      <x:c r="H2472" s="115" t="str">
        <x:v>L 500 ; l 622 ; hauteur 58 m ; choix de composition auteur ; dimensions réelles à documenter</x:v>
      </x:c>
      <x:c r="I2472" s="115" t="str">
        <x:v>À équilibrer</x:v>
      </x:c>
      <x:c r="J2472" s="115" t="str">
        <x:v>Non</x:v>
      </x:c>
      <x:c r="K2472" s="115" t="str">
        <x:v>Pièces décrites, murs, portes, niveaux et mobilier inspectables à l’échelle. Volumes réservés, raccord au seed, butin, rencontres et services de campagne restent à terminer.</x:v>
      </x:c>
    </x:row>
    <x:row r="2473" ht="96" customHeight="1">
      <x:c r="A2473" s="115" t="str">
        <x:v>EXT-MONDE-T050-V18</x:v>
      </x:c>
      <x:c r="B2473" s="115" t="str">
        <x:v>EXT-MONDE-T050</x:v>
      </x:c>
      <x:c r="C2473" s="115" t="str">
        <x:v>Parcs attractions</x:v>
      </x:c>
      <x:c r="D2473" s="115" t="str">
        <x:v>Parc à sensations</x:v>
      </x:c>
      <x:c r="E2473" s="115" t="n">
        <x:v>18</x:v>
      </x:c>
      <x:c r="F2473" s="115" t="str">
        <x:v>Inspection physique</x:v>
      </x:c>
      <x:c r="G2473" s="115" t="str">
        <x:v>1 niveaux ; 32 pièces ; 248 segments de mur ; 0 transitions. Inspection physique ; architecture complète encore ouverte.</x:v>
      </x:c>
      <x:c r="H2473" s="115" t="str">
        <x:v>L 500 ; l 622 ; hauteur 58 m ; choix de composition auteur ; dimensions réelles à documenter</x:v>
      </x:c>
      <x:c r="I2473" s="115" t="str">
        <x:v>À équilibrer</x:v>
      </x:c>
      <x:c r="J2473" s="115" t="str">
        <x:v>Non</x:v>
      </x:c>
      <x:c r="K2473" s="115" t="str">
        <x:v>Pièces décrites, murs, portes, niveaux et mobilier inspectables à l’échelle. Volumes réservés, raccord au seed, butin, rencontres et services de campagne restent à terminer.</x:v>
      </x:c>
    </x:row>
    <x:row r="2474" ht="96" customHeight="1">
      <x:c r="A2474" s="115" t="str">
        <x:v>EXT-MONDE-T050-V19</x:v>
      </x:c>
      <x:c r="B2474" s="115" t="str">
        <x:v>EXT-MONDE-T050</x:v>
      </x:c>
      <x:c r="C2474" s="115" t="str">
        <x:v>Parcs attractions</x:v>
      </x:c>
      <x:c r="D2474" s="115" t="str">
        <x:v>Parc à sensations</x:v>
      </x:c>
      <x:c r="E2474" s="115" t="n">
        <x:v>19</x:v>
      </x:c>
      <x:c r="F2474" s="115" t="str">
        <x:v>Inspection physique</x:v>
      </x:c>
      <x:c r="G2474" s="115" t="str">
        <x:v>1 niveaux ; 32 pièces ; 248 segments de mur ; 0 transitions. Inspection physique ; architecture complète encore ouverte.</x:v>
      </x:c>
      <x:c r="H2474" s="115" t="str">
        <x:v>L 500 ; l 622 ; hauteur 58 m ; choix de composition auteur ; dimensions réelles à documenter</x:v>
      </x:c>
      <x:c r="I2474" s="115" t="str">
        <x:v>À équilibrer</x:v>
      </x:c>
      <x:c r="J2474" s="115" t="str">
        <x:v>Non</x:v>
      </x:c>
      <x:c r="K2474" s="115" t="str">
        <x:v>Pièces décrites, murs, portes, niveaux et mobilier inspectables à l’échelle. Volumes réservés, raccord au seed, butin, rencontres et services de campagne restent à terminer.</x:v>
      </x:c>
    </x:row>
    <x:row r="2475" ht="96" customHeight="1">
      <x:c r="A2475" s="115" t="str">
        <x:v>EXT-MONDE-T050-V20</x:v>
      </x:c>
      <x:c r="B2475" s="115" t="str">
        <x:v>EXT-MONDE-T050</x:v>
      </x:c>
      <x:c r="C2475" s="115" t="str">
        <x:v>Parcs attractions</x:v>
      </x:c>
      <x:c r="D2475" s="115" t="str">
        <x:v>Parc à sensations</x:v>
      </x:c>
      <x:c r="E2475" s="115" t="n">
        <x:v>20</x:v>
      </x:c>
      <x:c r="F2475" s="115" t="str">
        <x:v>Inspection physique</x:v>
      </x:c>
      <x:c r="G2475" s="115" t="str">
        <x:v>1 niveaux ; 32 pièces ; 248 segments de mur ; 0 transitions. Inspection physique ; architecture complète encore ouverte.</x:v>
      </x:c>
      <x:c r="H2475" s="115" t="str">
        <x:v>L 500 ; l 622 ; hauteur 58 m ; choix de composition auteur ; dimensions réelles à documenter</x:v>
      </x:c>
      <x:c r="I2475" s="115" t="str">
        <x:v>À équilibrer</x:v>
      </x:c>
      <x:c r="J2475" s="115" t="str">
        <x:v>Non</x:v>
      </x:c>
      <x:c r="K2475" s="115" t="str">
        <x:v>Pièces décrites, murs, portes, niveaux et mobilier inspectables à l’échelle. Volumes réservés, raccord au seed, butin, rencontres et services de campagne restent à terminer.</x:v>
      </x:c>
    </x:row>
    <x:row r="2476" ht="96" customHeight="1">
      <x:c r="A2476" s="115" t="str">
        <x:v>EXT-MONDE-T050-V21</x:v>
      </x:c>
      <x:c r="B2476" s="115" t="str">
        <x:v>EXT-MONDE-T050</x:v>
      </x:c>
      <x:c r="C2476" s="115" t="str">
        <x:v>Parcs attractions</x:v>
      </x:c>
      <x:c r="D2476" s="115" t="str">
        <x:v>Parc à sensations</x:v>
      </x:c>
      <x:c r="E2476" s="115" t="n">
        <x:v>21</x:v>
      </x:c>
      <x:c r="F2476" s="115" t="str">
        <x:v>Inspection physique</x:v>
      </x:c>
      <x:c r="G2476" s="115" t="str">
        <x:v>1 niveaux ; 32 pièces ; 248 segments de mur ; 0 transitions. Inspection physique ; architecture complète encore ouverte.</x:v>
      </x:c>
      <x:c r="H2476" s="115" t="str">
        <x:v>L 512 ; l 630 ; hauteur 58 m ; choix de composition auteur ; dimensions réelles à documenter</x:v>
      </x:c>
      <x:c r="I2476" s="115" t="str">
        <x:v>À équilibrer</x:v>
      </x:c>
      <x:c r="J2476" s="115" t="str">
        <x:v>Non</x:v>
      </x:c>
      <x:c r="K2476" s="115" t="str">
        <x:v>Pièces décrites, murs, portes, niveaux et mobilier inspectables à l’échelle. Volumes réservés, raccord au seed, butin, rencontres et services de campagne restent à terminer.</x:v>
      </x:c>
    </x:row>
    <x:row r="2477" ht="96" customHeight="1">
      <x:c r="A2477" s="115" t="str">
        <x:v>EXT-MONDE-T050-V22</x:v>
      </x:c>
      <x:c r="B2477" s="115" t="str">
        <x:v>EXT-MONDE-T050</x:v>
      </x:c>
      <x:c r="C2477" s="115" t="str">
        <x:v>Parcs attractions</x:v>
      </x:c>
      <x:c r="D2477" s="115" t="str">
        <x:v>Parc à sensations</x:v>
      </x:c>
      <x:c r="E2477" s="115" t="n">
        <x:v>22</x:v>
      </x:c>
      <x:c r="F2477" s="115" t="str">
        <x:v>Inspection physique</x:v>
      </x:c>
      <x:c r="G2477" s="115" t="str">
        <x:v>1 niveaux ; 32 pièces ; 248 segments de mur ; 0 transitions. Inspection physique ; architecture complète encore ouverte.</x:v>
      </x:c>
      <x:c r="H2477" s="115" t="str">
        <x:v>L 512 ; l 630 ; hauteur 58 m ; choix de composition auteur ; dimensions réelles à documenter</x:v>
      </x:c>
      <x:c r="I2477" s="115" t="str">
        <x:v>À équilibrer</x:v>
      </x:c>
      <x:c r="J2477" s="115" t="str">
        <x:v>Non</x:v>
      </x:c>
      <x:c r="K2477" s="115" t="str">
        <x:v>Pièces décrites, murs, portes, niveaux et mobilier inspectables à l’échelle. Volumes réservés, raccord au seed, butin, rencontres et services de campagne restent à terminer.</x:v>
      </x:c>
    </x:row>
    <x:row r="2478" ht="96" customHeight="1">
      <x:c r="A2478" s="115" t="str">
        <x:v>EXT-MONDE-T050-V23</x:v>
      </x:c>
      <x:c r="B2478" s="115" t="str">
        <x:v>EXT-MONDE-T050</x:v>
      </x:c>
      <x:c r="C2478" s="115" t="str">
        <x:v>Parcs attractions</x:v>
      </x:c>
      <x:c r="D2478" s="115" t="str">
        <x:v>Parc à sensations</x:v>
      </x:c>
      <x:c r="E2478" s="115" t="n">
        <x:v>23</x:v>
      </x:c>
      <x:c r="F2478" s="115" t="str">
        <x:v>Inspection physique</x:v>
      </x:c>
      <x:c r="G2478" s="115" t="str">
        <x:v>1 niveaux ; 32 pièces ; 248 segments de mur ; 0 transitions. Inspection physique ; architecture complète encore ouverte.</x:v>
      </x:c>
      <x:c r="H2478" s="115" t="str">
        <x:v>L 512 ; l 630 ; hauteur 58 m ; choix de composition auteur ; dimensions réelles à documenter</x:v>
      </x:c>
      <x:c r="I2478" s="115" t="str">
        <x:v>À équilibrer</x:v>
      </x:c>
      <x:c r="J2478" s="115" t="str">
        <x:v>Non</x:v>
      </x:c>
      <x:c r="K2478" s="115" t="str">
        <x:v>Pièces décrites, murs, portes, niveaux et mobilier inspectables à l’échelle. Volumes réservés, raccord au seed, butin, rencontres et services de campagne restent à terminer.</x:v>
      </x:c>
    </x:row>
    <x:row r="2479" ht="96" customHeight="1">
      <x:c r="A2479" s="115" t="str">
        <x:v>EXT-MONDE-T050-V24</x:v>
      </x:c>
      <x:c r="B2479" s="115" t="str">
        <x:v>EXT-MONDE-T050</x:v>
      </x:c>
      <x:c r="C2479" s="115" t="str">
        <x:v>Parcs attractions</x:v>
      </x:c>
      <x:c r="D2479" s="115" t="str">
        <x:v>Parc à sensations</x:v>
      </x:c>
      <x:c r="E2479" s="115" t="n">
        <x:v>24</x:v>
      </x:c>
      <x:c r="F2479" s="115" t="str">
        <x:v>Inspection physique</x:v>
      </x:c>
      <x:c r="G2479" s="115" t="str">
        <x:v>1 niveaux ; 32 pièces ; 248 segments de mur ; 0 transitions. Inspection physique ; architecture complète encore ouverte.</x:v>
      </x:c>
      <x:c r="H2479" s="115" t="str">
        <x:v>L 512 ; l 630 ; hauteur 58 m ; choix de composition auteur ; dimensions réelles à documenter</x:v>
      </x:c>
      <x:c r="I2479" s="115" t="str">
        <x:v>À équilibrer</x:v>
      </x:c>
      <x:c r="J2479" s="115" t="str">
        <x:v>Non</x:v>
      </x:c>
      <x:c r="K2479" s="115" t="str">
        <x:v>Pièces décrites, murs, portes, niveaux et mobilier inspectables à l’échelle. Volumes réservés, raccord au seed, butin, rencontres et services de campagne restent à terminer.</x:v>
      </x:c>
    </x:row>
    <x:row r="2480" ht="96" customHeight="1">
      <x:c r="A2480" s="115" t="str">
        <x:v>EXT-MONDE-T050-V25</x:v>
      </x:c>
      <x:c r="B2480" s="115" t="str">
        <x:v>EXT-MONDE-T050</x:v>
      </x:c>
      <x:c r="C2480" s="115" t="str">
        <x:v>Parcs attractions</x:v>
      </x:c>
      <x:c r="D2480" s="115" t="str">
        <x:v>Parc à sensations</x:v>
      </x:c>
      <x:c r="E2480" s="115" t="n">
        <x:v>25</x:v>
      </x:c>
      <x:c r="F2480" s="115" t="str">
        <x:v>Inspection physique</x:v>
      </x:c>
      <x:c r="G2480" s="115" t="str">
        <x:v>1 niveaux ; 32 pièces ; 248 segments de mur ; 0 transitions. Inspection physique ; architecture complète encore ouverte.</x:v>
      </x:c>
      <x:c r="H2480" s="115" t="str">
        <x:v>L 512 ; l 630 ; hauteur 58 m ; choix de composition auteur ; dimensions réelles à documenter</x:v>
      </x:c>
      <x:c r="I2480" s="115" t="str">
        <x:v>À équilibrer</x:v>
      </x:c>
      <x:c r="J2480" s="115" t="str">
        <x:v>Non</x:v>
      </x:c>
      <x:c r="K2480" s="115" t="str">
        <x:v>Pièces décrites, murs, portes, niveaux et mobilier inspectables à l’échelle. Volumes réservés, raccord au seed, butin, rencontres et services de campagne restent à terminer.</x:v>
      </x:c>
    </x:row>
    <x:row r="2481" ht="96" customHeight="1">
      <x:c r="A2481" s="115" t="str">
        <x:v>EXT-MONDE-T050-V26</x:v>
      </x:c>
      <x:c r="B2481" s="115" t="str">
        <x:v>EXT-MONDE-T050</x:v>
      </x:c>
      <x:c r="C2481" s="115" t="str">
        <x:v>Parcs attractions</x:v>
      </x:c>
      <x:c r="D2481" s="115" t="str">
        <x:v>Parc à sensations</x:v>
      </x:c>
      <x:c r="E2481" s="115" t="n">
        <x:v>26</x:v>
      </x:c>
      <x:c r="F2481" s="115" t="str">
        <x:v>Inspection physique</x:v>
      </x:c>
      <x:c r="G2481" s="115" t="str">
        <x:v>1 niveaux ; 32 pièces ; 248 segments de mur ; 0 transitions. Inspection physique ; architecture complète encore ouverte.</x:v>
      </x:c>
      <x:c r="H2481" s="115" t="str">
        <x:v>L 512 ; l 630 ; hauteur 58 m ; choix de composition auteur ; dimensions réelles à documenter</x:v>
      </x:c>
      <x:c r="I2481" s="115" t="str">
        <x:v>À équilibrer</x:v>
      </x:c>
      <x:c r="J2481" s="115" t="str">
        <x:v>Non</x:v>
      </x:c>
      <x:c r="K2481" s="115" t="str">
        <x:v>Pièces décrites, murs, portes, niveaux et mobilier inspectables à l’échelle. Volumes réservés, raccord au seed, butin, rencontres et services de campagne restent à terminer.</x:v>
      </x:c>
    </x:row>
    <x:row r="2482" ht="96" customHeight="1">
      <x:c r="A2482" s="115" t="str">
        <x:v>EXT-MONDE-T050-V27</x:v>
      </x:c>
      <x:c r="B2482" s="115" t="str">
        <x:v>EXT-MONDE-T050</x:v>
      </x:c>
      <x:c r="C2482" s="115" t="str">
        <x:v>Parcs attractions</x:v>
      </x:c>
      <x:c r="D2482" s="115" t="str">
        <x:v>Parc à sensations</x:v>
      </x:c>
      <x:c r="E2482" s="115" t="n">
        <x:v>27</x:v>
      </x:c>
      <x:c r="F2482" s="115" t="str">
        <x:v>Inspection physique</x:v>
      </x:c>
      <x:c r="G2482" s="115" t="str">
        <x:v>1 niveaux ; 32 pièces ; 248 segments de mur ; 0 transitions. Inspection physique ; architecture complète encore ouverte.</x:v>
      </x:c>
      <x:c r="H2482" s="115" t="str">
        <x:v>L 512 ; l 630 ; hauteur 58 m ; choix de composition auteur ; dimensions réelles à documenter</x:v>
      </x:c>
      <x:c r="I2482" s="115" t="str">
        <x:v>À équilibrer</x:v>
      </x:c>
      <x:c r="J2482" s="115" t="str">
        <x:v>Non</x:v>
      </x:c>
      <x:c r="K2482" s="115" t="str">
        <x:v>Pièces décrites, murs, portes, niveaux et mobilier inspectables à l’échelle. Volumes réservés, raccord au seed, butin, rencontres et services de campagne restent à terminer.</x:v>
      </x:c>
    </x:row>
    <x:row r="2483" ht="96" customHeight="1">
      <x:c r="A2483" s="115" t="str">
        <x:v>EXT-MONDE-T050-V28</x:v>
      </x:c>
      <x:c r="B2483" s="115" t="str">
        <x:v>EXT-MONDE-T050</x:v>
      </x:c>
      <x:c r="C2483" s="115" t="str">
        <x:v>Parcs attractions</x:v>
      </x:c>
      <x:c r="D2483" s="115" t="str">
        <x:v>Parc à sensations</x:v>
      </x:c>
      <x:c r="E2483" s="115" t="n">
        <x:v>28</x:v>
      </x:c>
      <x:c r="F2483" s="115" t="str">
        <x:v>Inspection physique</x:v>
      </x:c>
      <x:c r="G2483" s="115" t="str">
        <x:v>1 niveaux ; 32 pièces ; 248 segments de mur ; 0 transitions. Inspection physique ; architecture complète encore ouverte.</x:v>
      </x:c>
      <x:c r="H2483" s="115" t="str">
        <x:v>L 512 ; l 630 ; hauteur 58 m ; choix de composition auteur ; dimensions réelles à documenter</x:v>
      </x:c>
      <x:c r="I2483" s="115" t="str">
        <x:v>À équilibrer</x:v>
      </x:c>
      <x:c r="J2483" s="115" t="str">
        <x:v>Non</x:v>
      </x:c>
      <x:c r="K2483" s="115" t="str">
        <x:v>Pièces décrites, murs, portes, niveaux et mobilier inspectables à l’échelle. Volumes réservés, raccord au seed, butin, rencontres et services de campagne restent à terminer.</x:v>
      </x:c>
    </x:row>
    <x:row r="2484" ht="96" customHeight="1">
      <x:c r="A2484" s="115" t="str">
        <x:v>EXT-MONDE-T050-V29</x:v>
      </x:c>
      <x:c r="B2484" s="115" t="str">
        <x:v>EXT-MONDE-T050</x:v>
      </x:c>
      <x:c r="C2484" s="115" t="str">
        <x:v>Parcs attractions</x:v>
      </x:c>
      <x:c r="D2484" s="115" t="str">
        <x:v>Parc à sensations</x:v>
      </x:c>
      <x:c r="E2484" s="115" t="n">
        <x:v>29</x:v>
      </x:c>
      <x:c r="F2484" s="115" t="str">
        <x:v>Inspection physique</x:v>
      </x:c>
      <x:c r="G2484" s="115" t="str">
        <x:v>1 niveaux ; 32 pièces ; 248 segments de mur ; 0 transitions. Inspection physique ; architecture complète encore ouverte.</x:v>
      </x:c>
      <x:c r="H2484" s="115" t="str">
        <x:v>L 512 ; l 630 ; hauteur 58 m ; choix de composition auteur ; dimensions réelles à documenter</x:v>
      </x:c>
      <x:c r="I2484" s="115" t="str">
        <x:v>À équilibrer</x:v>
      </x:c>
      <x:c r="J2484" s="115" t="str">
        <x:v>Non</x:v>
      </x:c>
      <x:c r="K2484" s="115" t="str">
        <x:v>Pièces décrites, murs, portes, niveaux et mobilier inspectables à l’échelle. Volumes réservés, raccord au seed, butin, rencontres et services de campagne restent à terminer.</x:v>
      </x:c>
    </x:row>
    <x:row r="2485" ht="96" customHeight="1">
      <x:c r="A2485" s="115" t="str">
        <x:v>EXT-MONDE-T050-V30</x:v>
      </x:c>
      <x:c r="B2485" s="115" t="str">
        <x:v>EXT-MONDE-T050</x:v>
      </x:c>
      <x:c r="C2485" s="115" t="str">
        <x:v>Parcs attractions</x:v>
      </x:c>
      <x:c r="D2485" s="115" t="str">
        <x:v>Parc à sensations</x:v>
      </x:c>
      <x:c r="E2485" s="115" t="n">
        <x:v>30</x:v>
      </x:c>
      <x:c r="F2485" s="115" t="str">
        <x:v>Inspection physique</x:v>
      </x:c>
      <x:c r="G2485" s="115" t="str">
        <x:v>1 niveaux ; 32 pièces ; 248 segments de mur ; 0 transitions. Inspection physique ; architecture complète encore ouverte.</x:v>
      </x:c>
      <x:c r="H2485" s="115" t="str">
        <x:v>L 512 ; l 630 ; hauteur 58 m ; choix de composition auteur ; dimensions réelles à documenter</x:v>
      </x:c>
      <x:c r="I2485" s="115" t="str">
        <x:v>À équilibrer</x:v>
      </x:c>
      <x:c r="J2485" s="115" t="str">
        <x:v>Non</x:v>
      </x:c>
      <x:c r="K2485" s="115" t="str">
        <x:v>Pièces décrites, murs, portes, niveaux et mobilier inspectables à l’échelle. Volumes réservés, raccord au seed, butin, rencontres et services de campagne restent à terminer.</x:v>
      </x:c>
    </x:row>
    <x:row r="2486" ht="96" customHeight="1">
      <x:c r="A2486" s="115" t="str">
        <x:v>EXT-MONDE-T050-V31</x:v>
      </x:c>
      <x:c r="B2486" s="115" t="str">
        <x:v>EXT-MONDE-T050</x:v>
      </x:c>
      <x:c r="C2486" s="115" t="str">
        <x:v>Parcs attractions</x:v>
      </x:c>
      <x:c r="D2486" s="115" t="str">
        <x:v>Parc à sensations</x:v>
      </x:c>
      <x:c r="E2486" s="115" t="n">
        <x:v>31</x:v>
      </x:c>
      <x:c r="F2486" s="115" t="str">
        <x:v>Inspection physique</x:v>
      </x:c>
      <x:c r="G2486" s="115" t="str">
        <x:v>1 niveaux ; 32 pièces ; 248 segments de mur ; 0 transitions. Inspection physique ; architecture complète encore ouverte.</x:v>
      </x:c>
      <x:c r="H2486" s="115" t="str">
        <x:v>L 524 ; l 638 ; hauteur 58 m ; choix de composition auteur ; dimensions réelles à documenter</x:v>
      </x:c>
      <x:c r="I2486" s="115" t="str">
        <x:v>À équilibrer</x:v>
      </x:c>
      <x:c r="J2486" s="115" t="str">
        <x:v>Non</x:v>
      </x:c>
      <x:c r="K2486" s="115" t="str">
        <x:v>Pièces décrites, murs, portes, niveaux et mobilier inspectables à l’échelle. Volumes réservés, raccord au seed, butin, rencontres et services de campagne restent à terminer.</x:v>
      </x:c>
    </x:row>
    <x:row r="2487" ht="96" customHeight="1">
      <x:c r="A2487" s="115" t="str">
        <x:v>EXT-MONDE-T050-V32</x:v>
      </x:c>
      <x:c r="B2487" s="115" t="str">
        <x:v>EXT-MONDE-T050</x:v>
      </x:c>
      <x:c r="C2487" s="115" t="str">
        <x:v>Parcs attractions</x:v>
      </x:c>
      <x:c r="D2487" s="115" t="str">
        <x:v>Parc à sensations</x:v>
      </x:c>
      <x:c r="E2487" s="115" t="n">
        <x:v>32</x:v>
      </x:c>
      <x:c r="F2487" s="115" t="str">
        <x:v>Inspection physique</x:v>
      </x:c>
      <x:c r="G2487" s="115" t="str">
        <x:v>1 niveaux ; 32 pièces ; 248 segments de mur ; 0 transitions. Inspection physique ; architecture complète encore ouverte.</x:v>
      </x:c>
      <x:c r="H2487" s="115" t="str">
        <x:v>L 524 ; l 638 ; hauteur 58 m ; choix de composition auteur ; dimensions réelles à documenter</x:v>
      </x:c>
      <x:c r="I2487" s="115" t="str">
        <x:v>À équilibrer</x:v>
      </x:c>
      <x:c r="J2487" s="115" t="str">
        <x:v>Non</x:v>
      </x:c>
      <x:c r="K2487" s="115" t="str">
        <x:v>Pièces décrites, murs, portes, niveaux et mobilier inspectables à l’échelle. Volumes réservés, raccord au seed, butin, rencontres et services de campagne restent à terminer.</x:v>
      </x:c>
    </x:row>
    <x:row r="2488" ht="96" customHeight="1">
      <x:c r="A2488" s="115" t="str">
        <x:v>EXT-MONDE-T050-V33</x:v>
      </x:c>
      <x:c r="B2488" s="115" t="str">
        <x:v>EXT-MONDE-T050</x:v>
      </x:c>
      <x:c r="C2488" s="115" t="str">
        <x:v>Parcs attractions</x:v>
      </x:c>
      <x:c r="D2488" s="115" t="str">
        <x:v>Parc à sensations</x:v>
      </x:c>
      <x:c r="E2488" s="115" t="n">
        <x:v>33</x:v>
      </x:c>
      <x:c r="F2488" s="115" t="str">
        <x:v>Inspection physique</x:v>
      </x:c>
      <x:c r="G2488" s="115" t="str">
        <x:v>1 niveaux ; 32 pièces ; 248 segments de mur ; 0 transitions. Inspection physique ; architecture complète encore ouverte.</x:v>
      </x:c>
      <x:c r="H2488" s="115" t="str">
        <x:v>L 524 ; l 638 ; hauteur 58 m ; choix de composition auteur ; dimensions réelles à documenter</x:v>
      </x:c>
      <x:c r="I2488" s="115" t="str">
        <x:v>À équilibrer</x:v>
      </x:c>
      <x:c r="J2488" s="115" t="str">
        <x:v>Non</x:v>
      </x:c>
      <x:c r="K2488" s="115" t="str">
        <x:v>Pièces décrites, murs, portes, niveaux et mobilier inspectables à l’échelle. Volumes réservés, raccord au seed, butin, rencontres et services de campagne restent à terminer.</x:v>
      </x:c>
    </x:row>
    <x:row r="2489" ht="96" customHeight="1">
      <x:c r="A2489" s="115" t="str">
        <x:v>EXT-MONDE-T050-V34</x:v>
      </x:c>
      <x:c r="B2489" s="115" t="str">
        <x:v>EXT-MONDE-T050</x:v>
      </x:c>
      <x:c r="C2489" s="115" t="str">
        <x:v>Parcs attractions</x:v>
      </x:c>
      <x:c r="D2489" s="115" t="str">
        <x:v>Parc à sensations</x:v>
      </x:c>
      <x:c r="E2489" s="115" t="n">
        <x:v>34</x:v>
      </x:c>
      <x:c r="F2489" s="115" t="str">
        <x:v>Inspection physique</x:v>
      </x:c>
      <x:c r="G2489" s="115" t="str">
        <x:v>1 niveaux ; 32 pièces ; 248 segments de mur ; 0 transitions. Inspection physique ; architecture complète encore ouverte.</x:v>
      </x:c>
      <x:c r="H2489" s="115" t="str">
        <x:v>L 524 ; l 638 ; hauteur 58 m ; choix de composition auteur ; dimensions réelles à documenter</x:v>
      </x:c>
      <x:c r="I2489" s="115" t="str">
        <x:v>À équilibrer</x:v>
      </x:c>
      <x:c r="J2489" s="115" t="str">
        <x:v>Non</x:v>
      </x:c>
      <x:c r="K2489" s="115" t="str">
        <x:v>Pièces décrites, murs, portes, niveaux et mobilier inspectables à l’échelle. Volumes réservés, raccord au seed, butin, rencontres et services de campagne restent à terminer.</x:v>
      </x:c>
    </x:row>
    <x:row r="2490" ht="96" customHeight="1">
      <x:c r="A2490" s="115" t="str">
        <x:v>EXT-MONDE-T050-V35</x:v>
      </x:c>
      <x:c r="B2490" s="115" t="str">
        <x:v>EXT-MONDE-T050</x:v>
      </x:c>
      <x:c r="C2490" s="115" t="str">
        <x:v>Parcs attractions</x:v>
      </x:c>
      <x:c r="D2490" s="115" t="str">
        <x:v>Parc à sensations</x:v>
      </x:c>
      <x:c r="E2490" s="115" t="n">
        <x:v>35</x:v>
      </x:c>
      <x:c r="F2490" s="115" t="str">
        <x:v>Inspection physique</x:v>
      </x:c>
      <x:c r="G2490" s="115" t="str">
        <x:v>1 niveaux ; 32 pièces ; 248 segments de mur ; 0 transitions. Inspection physique ; architecture complète encore ouverte.</x:v>
      </x:c>
      <x:c r="H2490" s="115" t="str">
        <x:v>L 524 ; l 638 ; hauteur 58 m ; choix de composition auteur ; dimensions réelles à documenter</x:v>
      </x:c>
      <x:c r="I2490" s="115" t="str">
        <x:v>À équilibrer</x:v>
      </x:c>
      <x:c r="J2490" s="115" t="str">
        <x:v>Non</x:v>
      </x:c>
      <x:c r="K2490" s="115" t="str">
        <x:v>Pièces décrites, murs, portes, niveaux et mobilier inspectables à l’échelle. Volumes réservés, raccord au seed, butin, rencontres et services de campagne restent à terminer.</x:v>
      </x:c>
    </x:row>
    <x:row r="2491" ht="96" customHeight="1">
      <x:c r="A2491" s="115" t="str">
        <x:v>EXT-MONDE-T050-V36</x:v>
      </x:c>
      <x:c r="B2491" s="115" t="str">
        <x:v>EXT-MONDE-T050</x:v>
      </x:c>
      <x:c r="C2491" s="115" t="str">
        <x:v>Parcs attractions</x:v>
      </x:c>
      <x:c r="D2491" s="115" t="str">
        <x:v>Parc à sensations</x:v>
      </x:c>
      <x:c r="E2491" s="115" t="n">
        <x:v>36</x:v>
      </x:c>
      <x:c r="F2491" s="115" t="str">
        <x:v>Inspection physique</x:v>
      </x:c>
      <x:c r="G2491" s="115" t="str">
        <x:v>1 niveaux ; 32 pièces ; 248 segments de mur ; 0 transitions. Inspection physique ; architecture complète encore ouverte.</x:v>
      </x:c>
      <x:c r="H2491" s="115" t="str">
        <x:v>L 524 ; l 638 ; hauteur 58 m ; choix de composition auteur ; dimensions réelles à documenter</x:v>
      </x:c>
      <x:c r="I2491" s="115" t="str">
        <x:v>À équilibrer</x:v>
      </x:c>
      <x:c r="J2491" s="115" t="str">
        <x:v>Non</x:v>
      </x:c>
      <x:c r="K2491" s="115" t="str">
        <x:v>Pièces décrites, murs, portes, niveaux et mobilier inspectables à l’échelle. Volumes réservés, raccord au seed, butin, rencontres et services de campagne restent à terminer.</x:v>
      </x:c>
    </x:row>
    <x:row r="2492" ht="96" customHeight="1">
      <x:c r="A2492" s="115" t="str">
        <x:v>EXT-MONDE-T050-V37</x:v>
      </x:c>
      <x:c r="B2492" s="115" t="str">
        <x:v>EXT-MONDE-T050</x:v>
      </x:c>
      <x:c r="C2492" s="115" t="str">
        <x:v>Parcs attractions</x:v>
      </x:c>
      <x:c r="D2492" s="115" t="str">
        <x:v>Parc à sensations</x:v>
      </x:c>
      <x:c r="E2492" s="115" t="n">
        <x:v>37</x:v>
      </x:c>
      <x:c r="F2492" s="115" t="str">
        <x:v>Inspection physique</x:v>
      </x:c>
      <x:c r="G2492" s="115" t="str">
        <x:v>1 niveaux ; 32 pièces ; 248 segments de mur ; 0 transitions. Inspection physique ; architecture complète encore ouverte.</x:v>
      </x:c>
      <x:c r="H2492" s="115" t="str">
        <x:v>L 524 ; l 638 ; hauteur 58 m ; choix de composition auteur ; dimensions réelles à documenter</x:v>
      </x:c>
      <x:c r="I2492" s="115" t="str">
        <x:v>À équilibrer</x:v>
      </x:c>
      <x:c r="J2492" s="115" t="str">
        <x:v>Non</x:v>
      </x:c>
      <x:c r="K2492" s="115" t="str">
        <x:v>Pièces décrites, murs, portes, niveaux et mobilier inspectables à l’échelle. Volumes réservés, raccord au seed, butin, rencontres et services de campagne restent à terminer.</x:v>
      </x:c>
    </x:row>
    <x:row r="2493" ht="96" customHeight="1">
      <x:c r="A2493" s="115" t="str">
        <x:v>EXT-MONDE-T050-V38</x:v>
      </x:c>
      <x:c r="B2493" s="115" t="str">
        <x:v>EXT-MONDE-T050</x:v>
      </x:c>
      <x:c r="C2493" s="115" t="str">
        <x:v>Parcs attractions</x:v>
      </x:c>
      <x:c r="D2493" s="115" t="str">
        <x:v>Parc à sensations</x:v>
      </x:c>
      <x:c r="E2493" s="115" t="n">
        <x:v>38</x:v>
      </x:c>
      <x:c r="F2493" s="115" t="str">
        <x:v>Inspection physique</x:v>
      </x:c>
      <x:c r="G2493" s="115" t="str">
        <x:v>1 niveaux ; 32 pièces ; 248 segments de mur ; 0 transitions. Inspection physique ; architecture complète encore ouverte.</x:v>
      </x:c>
      <x:c r="H2493" s="115" t="str">
        <x:v>L 524 ; l 638 ; hauteur 58 m ; choix de composition auteur ; dimensions réelles à documenter</x:v>
      </x:c>
      <x:c r="I2493" s="115" t="str">
        <x:v>À équilibrer</x:v>
      </x:c>
      <x:c r="J2493" s="115" t="str">
        <x:v>Non</x:v>
      </x:c>
      <x:c r="K2493" s="115" t="str">
        <x:v>Pièces décrites, murs, portes, niveaux et mobilier inspectables à l’échelle. Volumes réservés, raccord au seed, butin, rencontres et services de campagne restent à terminer.</x:v>
      </x:c>
    </x:row>
    <x:row r="2494" ht="96" customHeight="1">
      <x:c r="A2494" s="115" t="str">
        <x:v>EXT-MONDE-T050-V39</x:v>
      </x:c>
      <x:c r="B2494" s="115" t="str">
        <x:v>EXT-MONDE-T050</x:v>
      </x:c>
      <x:c r="C2494" s="115" t="str">
        <x:v>Parcs attractions</x:v>
      </x:c>
      <x:c r="D2494" s="115" t="str">
        <x:v>Parc à sensations</x:v>
      </x:c>
      <x:c r="E2494" s="115" t="n">
        <x:v>39</x:v>
      </x:c>
      <x:c r="F2494" s="115" t="str">
        <x:v>Inspection physique</x:v>
      </x:c>
      <x:c r="G2494" s="115" t="str">
        <x:v>1 niveaux ; 32 pièces ; 248 segments de mur ; 0 transitions. Inspection physique ; architecture complète encore ouverte.</x:v>
      </x:c>
      <x:c r="H2494" s="115" t="str">
        <x:v>L 524 ; l 638 ; hauteur 58 m ; choix de composition auteur ; dimensions réelles à documenter</x:v>
      </x:c>
      <x:c r="I2494" s="115" t="str">
        <x:v>À équilibrer</x:v>
      </x:c>
      <x:c r="J2494" s="115" t="str">
        <x:v>Non</x:v>
      </x:c>
      <x:c r="K2494" s="115" t="str">
        <x:v>Pièces décrites, murs, portes, niveaux et mobilier inspectables à l’échelle. Volumes réservés, raccord au seed, butin, rencontres et services de campagne restent à terminer.</x:v>
      </x:c>
    </x:row>
    <x:row r="2495" ht="96" customHeight="1">
      <x:c r="A2495" s="115" t="str">
        <x:v>EXT-MONDE-T050-V40</x:v>
      </x:c>
      <x:c r="B2495" s="115" t="str">
        <x:v>EXT-MONDE-T050</x:v>
      </x:c>
      <x:c r="C2495" s="115" t="str">
        <x:v>Parcs attractions</x:v>
      </x:c>
      <x:c r="D2495" s="115" t="str">
        <x:v>Parc à sensations</x:v>
      </x:c>
      <x:c r="E2495" s="115" t="n">
        <x:v>40</x:v>
      </x:c>
      <x:c r="F2495" s="115" t="str">
        <x:v>Inspection physique</x:v>
      </x:c>
      <x:c r="G2495" s="115" t="str">
        <x:v>1 niveaux ; 32 pièces ; 248 segments de mur ; 0 transitions. Inspection physique ; architecture complète encore ouverte.</x:v>
      </x:c>
      <x:c r="H2495" s="115" t="str">
        <x:v>L 524 ; l 638 ; hauteur 58 m ; choix de composition auteur ; dimensions réelles à documenter</x:v>
      </x:c>
      <x:c r="I2495" s="115" t="str">
        <x:v>À équilibrer</x:v>
      </x:c>
      <x:c r="J2495" s="115" t="str">
        <x:v>Non</x:v>
      </x:c>
      <x:c r="K2495" s="115" t="str">
        <x:v>Pièces décrites, murs, portes, niveaux et mobilier inspectables à l’échelle. Volumes réservés, raccord au seed, butin, rencontres et services de campagne restent à terminer.</x:v>
      </x:c>
    </x:row>
    <x:row r="2496" ht="96" customHeight="1">
      <x:c r="A2496" s="115" t="str">
        <x:v>EXT-MONDE-T050-V41</x:v>
      </x:c>
      <x:c r="B2496" s="115" t="str">
        <x:v>EXT-MONDE-T050</x:v>
      </x:c>
      <x:c r="C2496" s="115" t="str">
        <x:v>Parcs attractions</x:v>
      </x:c>
      <x:c r="D2496" s="115" t="str">
        <x:v>Parc à sensations</x:v>
      </x:c>
      <x:c r="E2496" s="115" t="n">
        <x:v>41</x:v>
      </x:c>
      <x:c r="F2496" s="115" t="str">
        <x:v>Inspection physique</x:v>
      </x:c>
      <x:c r="G2496" s="115" t="str">
        <x:v>1 niveaux ; 32 pièces ; 248 segments de mur ; 0 transitions. Inspection physique ; architecture complète encore ouverte.</x:v>
      </x:c>
      <x:c r="H2496" s="115" t="str">
        <x:v>L 536 ; l 646 ; hauteur 58 m ; choix de composition auteur ; dimensions réelles à documenter</x:v>
      </x:c>
      <x:c r="I2496" s="115" t="str">
        <x:v>À équilibrer</x:v>
      </x:c>
      <x:c r="J2496" s="115" t="str">
        <x:v>Non</x:v>
      </x:c>
      <x:c r="K2496" s="115" t="str">
        <x:v>Pièces décrites, murs, portes, niveaux et mobilier inspectables à l’échelle. Volumes réservés, raccord au seed, butin, rencontres et services de campagne restent à terminer.</x:v>
      </x:c>
    </x:row>
    <x:row r="2497" ht="96" customHeight="1">
      <x:c r="A2497" s="115" t="str">
        <x:v>EXT-MONDE-T050-V42</x:v>
      </x:c>
      <x:c r="B2497" s="115" t="str">
        <x:v>EXT-MONDE-T050</x:v>
      </x:c>
      <x:c r="C2497" s="115" t="str">
        <x:v>Parcs attractions</x:v>
      </x:c>
      <x:c r="D2497" s="115" t="str">
        <x:v>Parc à sensations</x:v>
      </x:c>
      <x:c r="E2497" s="115" t="n">
        <x:v>42</x:v>
      </x:c>
      <x:c r="F2497" s="115" t="str">
        <x:v>Inspection physique</x:v>
      </x:c>
      <x:c r="G2497" s="115" t="str">
        <x:v>1 niveaux ; 32 pièces ; 248 segments de mur ; 0 transitions. Inspection physique ; architecture complète encore ouverte.</x:v>
      </x:c>
      <x:c r="H2497" s="115" t="str">
        <x:v>L 536 ; l 646 ; hauteur 58 m ; choix de composition auteur ; dimensions réelles à documenter</x:v>
      </x:c>
      <x:c r="I2497" s="115" t="str">
        <x:v>À équilibrer</x:v>
      </x:c>
      <x:c r="J2497" s="115" t="str">
        <x:v>Non</x:v>
      </x:c>
      <x:c r="K2497" s="115" t="str">
        <x:v>Pièces décrites, murs, portes, niveaux et mobilier inspectables à l’échelle. Volumes réservés, raccord au seed, butin, rencontres et services de campagne restent à terminer.</x:v>
      </x:c>
    </x:row>
    <x:row r="2498" ht="96" customHeight="1">
      <x:c r="A2498" s="115" t="str">
        <x:v>EXT-MONDE-T050-V43</x:v>
      </x:c>
      <x:c r="B2498" s="115" t="str">
        <x:v>EXT-MONDE-T050</x:v>
      </x:c>
      <x:c r="C2498" s="115" t="str">
        <x:v>Parcs attractions</x:v>
      </x:c>
      <x:c r="D2498" s="115" t="str">
        <x:v>Parc à sensations</x:v>
      </x:c>
      <x:c r="E2498" s="115" t="n">
        <x:v>43</x:v>
      </x:c>
      <x:c r="F2498" s="115" t="str">
        <x:v>Inspection physique</x:v>
      </x:c>
      <x:c r="G2498" s="115" t="str">
        <x:v>1 niveaux ; 32 pièces ; 248 segments de mur ; 0 transitions. Inspection physique ; architecture complète encore ouverte.</x:v>
      </x:c>
      <x:c r="H2498" s="115" t="str">
        <x:v>L 536 ; l 646 ; hauteur 58 m ; choix de composition auteur ; dimensions réelles à documenter</x:v>
      </x:c>
      <x:c r="I2498" s="115" t="str">
        <x:v>À équilibrer</x:v>
      </x:c>
      <x:c r="J2498" s="115" t="str">
        <x:v>Non</x:v>
      </x:c>
      <x:c r="K2498" s="115" t="str">
        <x:v>Pièces décrites, murs, portes, niveaux et mobilier inspectables à l’échelle. Volumes réservés, raccord au seed, butin, rencontres et services de campagne restent à terminer.</x:v>
      </x:c>
    </x:row>
    <x:row r="2499" ht="96" customHeight="1">
      <x:c r="A2499" s="115" t="str">
        <x:v>EXT-MONDE-T050-V44</x:v>
      </x:c>
      <x:c r="B2499" s="115" t="str">
        <x:v>EXT-MONDE-T050</x:v>
      </x:c>
      <x:c r="C2499" s="115" t="str">
        <x:v>Parcs attractions</x:v>
      </x:c>
      <x:c r="D2499" s="115" t="str">
        <x:v>Parc à sensations</x:v>
      </x:c>
      <x:c r="E2499" s="115" t="n">
        <x:v>44</x:v>
      </x:c>
      <x:c r="F2499" s="115" t="str">
        <x:v>Inspection physique</x:v>
      </x:c>
      <x:c r="G2499" s="115" t="str">
        <x:v>1 niveaux ; 32 pièces ; 248 segments de mur ; 0 transitions. Inspection physique ; architecture complète encore ouverte.</x:v>
      </x:c>
      <x:c r="H2499" s="115" t="str">
        <x:v>L 536 ; l 646 ; hauteur 58 m ; choix de composition auteur ; dimensions réelles à documenter</x:v>
      </x:c>
      <x:c r="I2499" s="115" t="str">
        <x:v>À équilibrer</x:v>
      </x:c>
      <x:c r="J2499" s="115" t="str">
        <x:v>Non</x:v>
      </x:c>
      <x:c r="K2499" s="115" t="str">
        <x:v>Pièces décrites, murs, portes, niveaux et mobilier inspectables à l’échelle. Volumes réservés, raccord au seed, butin, rencontres et services de campagne restent à terminer.</x:v>
      </x:c>
    </x:row>
    <x:row r="2500" ht="96" customHeight="1">
      <x:c r="A2500" s="115" t="str">
        <x:v>EXT-MONDE-T050-V45</x:v>
      </x:c>
      <x:c r="B2500" s="115" t="str">
        <x:v>EXT-MONDE-T050</x:v>
      </x:c>
      <x:c r="C2500" s="115" t="str">
        <x:v>Parcs attractions</x:v>
      </x:c>
      <x:c r="D2500" s="115" t="str">
        <x:v>Parc à sensations</x:v>
      </x:c>
      <x:c r="E2500" s="115" t="n">
        <x:v>45</x:v>
      </x:c>
      <x:c r="F2500" s="115" t="str">
        <x:v>Inspection physique</x:v>
      </x:c>
      <x:c r="G2500" s="115" t="str">
        <x:v>1 niveaux ; 32 pièces ; 248 segments de mur ; 0 transitions. Inspection physique ; architecture complète encore ouverte.</x:v>
      </x:c>
      <x:c r="H2500" s="115" t="str">
        <x:v>L 536 ; l 646 ; hauteur 58 m ; choix de composition auteur ; dimensions réelles à documenter</x:v>
      </x:c>
      <x:c r="I2500" s="115" t="str">
        <x:v>À équilibrer</x:v>
      </x:c>
      <x:c r="J2500" s="115" t="str">
        <x:v>Non</x:v>
      </x:c>
      <x:c r="K2500" s="115" t="str">
        <x:v>Pièces décrites, murs, portes, niveaux et mobilier inspectables à l’échelle. Volumes réservés, raccord au seed, butin, rencontres et services de campagne restent à terminer.</x:v>
      </x:c>
    </x:row>
    <x:row r="2501" ht="96" customHeight="1">
      <x:c r="A2501" s="115" t="str">
        <x:v>EXT-MONDE-T050-V46</x:v>
      </x:c>
      <x:c r="B2501" s="115" t="str">
        <x:v>EXT-MONDE-T050</x:v>
      </x:c>
      <x:c r="C2501" s="115" t="str">
        <x:v>Parcs attractions</x:v>
      </x:c>
      <x:c r="D2501" s="115" t="str">
        <x:v>Parc à sensations</x:v>
      </x:c>
      <x:c r="E2501" s="115" t="n">
        <x:v>46</x:v>
      </x:c>
      <x:c r="F2501" s="115" t="str">
        <x:v>Inspection physique</x:v>
      </x:c>
      <x:c r="G2501" s="115" t="str">
        <x:v>1 niveaux ; 32 pièces ; 248 segments de mur ; 0 transitions. Inspection physique ; architecture complète encore ouverte.</x:v>
      </x:c>
      <x:c r="H2501" s="115" t="str">
        <x:v>L 536 ; l 646 ; hauteur 58 m ; choix de composition auteur ; dimensions réelles à documenter</x:v>
      </x:c>
      <x:c r="I2501" s="115" t="str">
        <x:v>À équilibrer</x:v>
      </x:c>
      <x:c r="J2501" s="115" t="str">
        <x:v>Non</x:v>
      </x:c>
      <x:c r="K2501" s="115" t="str">
        <x:v>Pièces décrites, murs, portes, niveaux et mobilier inspectables à l’échelle. Volumes réservés, raccord au seed, butin, rencontres et services de campagne restent à terminer.</x:v>
      </x:c>
    </x:row>
    <x:row r="2502" ht="96" customHeight="1">
      <x:c r="A2502" s="115" t="str">
        <x:v>EXT-MONDE-T050-V47</x:v>
      </x:c>
      <x:c r="B2502" s="115" t="str">
        <x:v>EXT-MONDE-T050</x:v>
      </x:c>
      <x:c r="C2502" s="115" t="str">
        <x:v>Parcs attractions</x:v>
      </x:c>
      <x:c r="D2502" s="115" t="str">
        <x:v>Parc à sensations</x:v>
      </x:c>
      <x:c r="E2502" s="115" t="n">
        <x:v>47</x:v>
      </x:c>
      <x:c r="F2502" s="115" t="str">
        <x:v>Inspection physique</x:v>
      </x:c>
      <x:c r="G2502" s="115" t="str">
        <x:v>1 niveaux ; 32 pièces ; 248 segments de mur ; 0 transitions. Inspection physique ; architecture complète encore ouverte.</x:v>
      </x:c>
      <x:c r="H2502" s="115" t="str">
        <x:v>L 536 ; l 646 ; hauteur 58 m ; choix de composition auteur ; dimensions réelles à documenter</x:v>
      </x:c>
      <x:c r="I2502" s="115" t="str">
        <x:v>À équilibrer</x:v>
      </x:c>
      <x:c r="J2502" s="115" t="str">
        <x:v>Non</x:v>
      </x:c>
      <x:c r="K2502" s="115" t="str">
        <x:v>Pièces décrites, murs, portes, niveaux et mobilier inspectables à l’échelle. Volumes réservés, raccord au seed, butin, rencontres et services de campagne restent à terminer.</x:v>
      </x:c>
    </x:row>
    <x:row r="2503" ht="96" customHeight="1">
      <x:c r="A2503" s="115" t="str">
        <x:v>EXT-MONDE-T050-V48</x:v>
      </x:c>
      <x:c r="B2503" s="115" t="str">
        <x:v>EXT-MONDE-T050</x:v>
      </x:c>
      <x:c r="C2503" s="115" t="str">
        <x:v>Parcs attractions</x:v>
      </x:c>
      <x:c r="D2503" s="115" t="str">
        <x:v>Parc à sensations</x:v>
      </x:c>
      <x:c r="E2503" s="115" t="n">
        <x:v>48</x:v>
      </x:c>
      <x:c r="F2503" s="115" t="str">
        <x:v>Inspection physique</x:v>
      </x:c>
      <x:c r="G2503" s="115" t="str">
        <x:v>1 niveaux ; 32 pièces ; 248 segments de mur ; 0 transitions. Inspection physique ; architecture complète encore ouverte.</x:v>
      </x:c>
      <x:c r="H2503" s="115" t="str">
        <x:v>L 536 ; l 646 ; hauteur 58 m ; choix de composition auteur ; dimensions réelles à documenter</x:v>
      </x:c>
      <x:c r="I2503" s="115" t="str">
        <x:v>À équilibrer</x:v>
      </x:c>
      <x:c r="J2503" s="115" t="str">
        <x:v>Non</x:v>
      </x:c>
      <x:c r="K2503" s="115" t="str">
        <x:v>Pièces décrites, murs, portes, niveaux et mobilier inspectables à l’échelle. Volumes réservés, raccord au seed, butin, rencontres et services de campagne restent à terminer.</x:v>
      </x:c>
    </x:row>
    <x:row r="2504" ht="96" customHeight="1">
      <x:c r="A2504" s="115" t="str">
        <x:v>EXT-MONDE-T050-V49</x:v>
      </x:c>
      <x:c r="B2504" s="115" t="str">
        <x:v>EXT-MONDE-T050</x:v>
      </x:c>
      <x:c r="C2504" s="115" t="str">
        <x:v>Parcs attractions</x:v>
      </x:c>
      <x:c r="D2504" s="115" t="str">
        <x:v>Parc à sensations</x:v>
      </x:c>
      <x:c r="E2504" s="115" t="n">
        <x:v>49</x:v>
      </x:c>
      <x:c r="F2504" s="115" t="str">
        <x:v>Inspection physique</x:v>
      </x:c>
      <x:c r="G2504" s="115" t="str">
        <x:v>1 niveaux ; 32 pièces ; 248 segments de mur ; 0 transitions. Inspection physique ; architecture complète encore ouverte.</x:v>
      </x:c>
      <x:c r="H2504" s="115" t="str">
        <x:v>L 536 ; l 646 ; hauteur 58 m ; choix de composition auteur ; dimensions réelles à documenter</x:v>
      </x:c>
      <x:c r="I2504" s="115" t="str">
        <x:v>À équilibrer</x:v>
      </x:c>
      <x:c r="J2504" s="115" t="str">
        <x:v>Non</x:v>
      </x:c>
      <x:c r="K2504" s="115" t="str">
        <x:v>Pièces décrites, murs, portes, niveaux et mobilier inspectables à l’échelle. Volumes réservés, raccord au seed, butin, rencontres et services de campagne restent à terminer.</x:v>
      </x:c>
    </x:row>
    <x:row r="2505" ht="96" customHeight="1">
      <x:c r="A2505" s="115" t="str">
        <x:v>EXT-MONDE-T050-V50</x:v>
      </x:c>
      <x:c r="B2505" s="115" t="str">
        <x:v>EXT-MONDE-T050</x:v>
      </x:c>
      <x:c r="C2505" s="115" t="str">
        <x:v>Parcs attractions</x:v>
      </x:c>
      <x:c r="D2505" s="115" t="str">
        <x:v>Parc à sensations</x:v>
      </x:c>
      <x:c r="E2505" s="115" t="n">
        <x:v>50</x:v>
      </x:c>
      <x:c r="F2505" s="115" t="str">
        <x:v>Inspection physique</x:v>
      </x:c>
      <x:c r="G2505" s="115" t="str">
        <x:v>1 niveaux ; 32 pièces ; 248 segments de mur ; 0 transitions. Inspection physique ; architecture complète encore ouverte.</x:v>
      </x:c>
      <x:c r="H2505" s="115" t="str">
        <x:v>L 536 ; l 646 ; hauteur 58 m ; choix de composition auteur ; dimensions réelles à documenter</x:v>
      </x:c>
      <x:c r="I2505" s="115" t="str">
        <x:v>À équilibrer</x:v>
      </x:c>
      <x:c r="J2505" s="115" t="str">
        <x:v>Non</x:v>
      </x:c>
      <x:c r="K2505" s="115" t="str">
        <x:v>Pièces décrites, murs, portes, niveaux et mobilier inspectables à l’échelle. Volumes réservés, raccord au seed, butin, rencontres et services de campagne restent à terminer.</x:v>
      </x:c>
    </x:row>
    <x:row r="2506" ht="96" customHeight="1">
      <x:c r="A2506" s="115" t="str">
        <x:v>EXT-MONDE-T051-V01</x:v>
      </x:c>
      <x:c r="B2506" s="115" t="str">
        <x:v>EXT-MONDE-T051</x:v>
      </x:c>
      <x:c r="C2506" s="115" t="str">
        <x:v>Parcs attractions</x:v>
      </x:c>
      <x:c r="D2506" s="115" t="str">
        <x:v>Parc aquatique</x:v>
      </x:c>
      <x:c r="E2506" s="115" t="n">
        <x:v>1</x:v>
      </x:c>
      <x:c r="F2506" s="115" t="str">
        <x:v>Inspection physique</x:v>
      </x:c>
      <x:c r="G2506" s="115" t="str">
        <x:v>1 niveaux ; 32 pièces ; 248 segments de mur ; 0 transitions. Inspection physique ; architecture complète encore ouverte.</x:v>
      </x:c>
      <x:c r="H2506" s="115" t="str">
        <x:v>L 362 ; l 446 ; hauteur 18 m ; choix de composition auteur ; dimensions réelles à documenter</x:v>
      </x:c>
      <x:c r="I2506" s="115" t="str">
        <x:v>À équilibrer</x:v>
      </x:c>
      <x:c r="J2506" s="115" t="str">
        <x:v>Non</x:v>
      </x:c>
      <x:c r="K2506" s="115" t="str">
        <x:v>Pièces décrites, murs, portes, niveaux et mobilier inspectables à l’échelle. Volumes réservés, raccord au seed, butin, rencontres et services de campagne restent à terminer.</x:v>
      </x:c>
    </x:row>
    <x:row r="2507" ht="96" customHeight="1">
      <x:c r="A2507" s="115" t="str">
        <x:v>EXT-MONDE-T051-V02</x:v>
      </x:c>
      <x:c r="B2507" s="115" t="str">
        <x:v>EXT-MONDE-T051</x:v>
      </x:c>
      <x:c r="C2507" s="115" t="str">
        <x:v>Parcs attractions</x:v>
      </x:c>
      <x:c r="D2507" s="115" t="str">
        <x:v>Parc aquatique</x:v>
      </x:c>
      <x:c r="E2507" s="115" t="n">
        <x:v>2</x:v>
      </x:c>
      <x:c r="F2507" s="115" t="str">
        <x:v>Inspection physique</x:v>
      </x:c>
      <x:c r="G2507" s="115" t="str">
        <x:v>1 niveaux ; 32 pièces ; 248 segments de mur ; 0 transitions. Inspection physique ; architecture complète encore ouverte.</x:v>
      </x:c>
      <x:c r="H2507" s="115" t="str">
        <x:v>L 362 ; l 446 ; hauteur 18 m ; choix de composition auteur ; dimensions réelles à documenter</x:v>
      </x:c>
      <x:c r="I2507" s="115" t="str">
        <x:v>À équilibrer</x:v>
      </x:c>
      <x:c r="J2507" s="115" t="str">
        <x:v>Non</x:v>
      </x:c>
      <x:c r="K2507" s="115" t="str">
        <x:v>Pièces décrites, murs, portes, niveaux et mobilier inspectables à l’échelle. Volumes réservés, raccord au seed, butin, rencontres et services de campagne restent à terminer.</x:v>
      </x:c>
    </x:row>
    <x:row r="2508" ht="96" customHeight="1">
      <x:c r="A2508" s="115" t="str">
        <x:v>EXT-MONDE-T051-V03</x:v>
      </x:c>
      <x:c r="B2508" s="115" t="str">
        <x:v>EXT-MONDE-T051</x:v>
      </x:c>
      <x:c r="C2508" s="115" t="str">
        <x:v>Parcs attractions</x:v>
      </x:c>
      <x:c r="D2508" s="115" t="str">
        <x:v>Parc aquatique</x:v>
      </x:c>
      <x:c r="E2508" s="115" t="n">
        <x:v>3</x:v>
      </x:c>
      <x:c r="F2508" s="115" t="str">
        <x:v>Inspection physique</x:v>
      </x:c>
      <x:c r="G2508" s="115" t="str">
        <x:v>1 niveaux ; 32 pièces ; 248 segments de mur ; 0 transitions. Inspection physique ; architecture complète encore ouverte.</x:v>
      </x:c>
      <x:c r="H2508" s="115" t="str">
        <x:v>L 362 ; l 446 ; hauteur 18 m ; choix de composition auteur ; dimensions réelles à documenter</x:v>
      </x:c>
      <x:c r="I2508" s="115" t="str">
        <x:v>À équilibrer</x:v>
      </x:c>
      <x:c r="J2508" s="115" t="str">
        <x:v>Non</x:v>
      </x:c>
      <x:c r="K2508" s="115" t="str">
        <x:v>Pièces décrites, murs, portes, niveaux et mobilier inspectables à l’échelle. Volumes réservés, raccord au seed, butin, rencontres et services de campagne restent à terminer.</x:v>
      </x:c>
    </x:row>
    <x:row r="2509" ht="96" customHeight="1">
      <x:c r="A2509" s="115" t="str">
        <x:v>EXT-MONDE-T051-V04</x:v>
      </x:c>
      <x:c r="B2509" s="115" t="str">
        <x:v>EXT-MONDE-T051</x:v>
      </x:c>
      <x:c r="C2509" s="115" t="str">
        <x:v>Parcs attractions</x:v>
      </x:c>
      <x:c r="D2509" s="115" t="str">
        <x:v>Parc aquatique</x:v>
      </x:c>
      <x:c r="E2509" s="115" t="n">
        <x:v>4</x:v>
      </x:c>
      <x:c r="F2509" s="115" t="str">
        <x:v>Inspection physique</x:v>
      </x:c>
      <x:c r="G2509" s="115" t="str">
        <x:v>1 niveaux ; 32 pièces ; 248 segments de mur ; 0 transitions. Inspection physique ; architecture complète encore ouverte.</x:v>
      </x:c>
      <x:c r="H2509" s="115" t="str">
        <x:v>L 362 ; l 446 ; hauteur 18 m ; choix de composition auteur ; dimensions réelles à documenter</x:v>
      </x:c>
      <x:c r="I2509" s="115" t="str">
        <x:v>À équilibrer</x:v>
      </x:c>
      <x:c r="J2509" s="115" t="str">
        <x:v>Non</x:v>
      </x:c>
      <x:c r="K2509" s="115" t="str">
        <x:v>Pièces décrites, murs, portes, niveaux et mobilier inspectables à l’échelle. Volumes réservés, raccord au seed, butin, rencontres et services de campagne restent à terminer.</x:v>
      </x:c>
    </x:row>
    <x:row r="2510" ht="96" customHeight="1">
      <x:c r="A2510" s="115" t="str">
        <x:v>EXT-MONDE-T051-V05</x:v>
      </x:c>
      <x:c r="B2510" s="115" t="str">
        <x:v>EXT-MONDE-T051</x:v>
      </x:c>
      <x:c r="C2510" s="115" t="str">
        <x:v>Parcs attractions</x:v>
      </x:c>
      <x:c r="D2510" s="115" t="str">
        <x:v>Parc aquatique</x:v>
      </x:c>
      <x:c r="E2510" s="115" t="n">
        <x:v>5</x:v>
      </x:c>
      <x:c r="F2510" s="115" t="str">
        <x:v>Inspection physique</x:v>
      </x:c>
      <x:c r="G2510" s="115" t="str">
        <x:v>1 niveaux ; 32 pièces ; 248 segments de mur ; 0 transitions. Inspection physique ; architecture complète encore ouverte.</x:v>
      </x:c>
      <x:c r="H2510" s="115" t="str">
        <x:v>L 362 ; l 446 ; hauteur 18 m ; choix de composition auteur ; dimensions réelles à documenter</x:v>
      </x:c>
      <x:c r="I2510" s="115" t="str">
        <x:v>À équilibrer</x:v>
      </x:c>
      <x:c r="J2510" s="115" t="str">
        <x:v>Non</x:v>
      </x:c>
      <x:c r="K2510" s="115" t="str">
        <x:v>Pièces décrites, murs, portes, niveaux et mobilier inspectables à l’échelle. Volumes réservés, raccord au seed, butin, rencontres et services de campagne restent à terminer.</x:v>
      </x:c>
    </x:row>
    <x:row r="2511" ht="96" customHeight="1">
      <x:c r="A2511" s="115" t="str">
        <x:v>EXT-MONDE-T051-V06</x:v>
      </x:c>
      <x:c r="B2511" s="115" t="str">
        <x:v>EXT-MONDE-T051</x:v>
      </x:c>
      <x:c r="C2511" s="115" t="str">
        <x:v>Parcs attractions</x:v>
      </x:c>
      <x:c r="D2511" s="115" t="str">
        <x:v>Parc aquatique</x:v>
      </x:c>
      <x:c r="E2511" s="115" t="n">
        <x:v>6</x:v>
      </x:c>
      <x:c r="F2511" s="115" t="str">
        <x:v>Inspection physique</x:v>
      </x:c>
      <x:c r="G2511" s="115" t="str">
        <x:v>1 niveaux ; 32 pièces ; 248 segments de mur ; 0 transitions. Inspection physique ; architecture complète encore ouverte.</x:v>
      </x:c>
      <x:c r="H2511" s="115" t="str">
        <x:v>L 362 ; l 446 ; hauteur 18 m ; choix de composition auteur ; dimensions réelles à documenter</x:v>
      </x:c>
      <x:c r="I2511" s="115" t="str">
        <x:v>À équilibrer</x:v>
      </x:c>
      <x:c r="J2511" s="115" t="str">
        <x:v>Non</x:v>
      </x:c>
      <x:c r="K2511" s="115" t="str">
        <x:v>Pièces décrites, murs, portes, niveaux et mobilier inspectables à l’échelle. Volumes réservés, raccord au seed, butin, rencontres et services de campagne restent à terminer.</x:v>
      </x:c>
    </x:row>
    <x:row r="2512" ht="96" customHeight="1">
      <x:c r="A2512" s="115" t="str">
        <x:v>EXT-MONDE-T051-V07</x:v>
      </x:c>
      <x:c r="B2512" s="115" t="str">
        <x:v>EXT-MONDE-T051</x:v>
      </x:c>
      <x:c r="C2512" s="115" t="str">
        <x:v>Parcs attractions</x:v>
      </x:c>
      <x:c r="D2512" s="115" t="str">
        <x:v>Parc aquatique</x:v>
      </x:c>
      <x:c r="E2512" s="115" t="n">
        <x:v>7</x:v>
      </x:c>
      <x:c r="F2512" s="115" t="str">
        <x:v>Inspection physique</x:v>
      </x:c>
      <x:c r="G2512" s="115" t="str">
        <x:v>1 niveaux ; 32 pièces ; 248 segments de mur ; 0 transitions. Inspection physique ; architecture complète encore ouverte.</x:v>
      </x:c>
      <x:c r="H2512" s="115" t="str">
        <x:v>L 362 ; l 446 ; hauteur 18 m ; choix de composition auteur ; dimensions réelles à documenter</x:v>
      </x:c>
      <x:c r="I2512" s="115" t="str">
        <x:v>À équilibrer</x:v>
      </x:c>
      <x:c r="J2512" s="115" t="str">
        <x:v>Non</x:v>
      </x:c>
      <x:c r="K2512" s="115" t="str">
        <x:v>Pièces décrites, murs, portes, niveaux et mobilier inspectables à l’échelle. Volumes réservés, raccord au seed, butin, rencontres et services de campagne restent à terminer.</x:v>
      </x:c>
    </x:row>
    <x:row r="2513" ht="96" customHeight="1">
      <x:c r="A2513" s="115" t="str">
        <x:v>EXT-MONDE-T051-V08</x:v>
      </x:c>
      <x:c r="B2513" s="115" t="str">
        <x:v>EXT-MONDE-T051</x:v>
      </x:c>
      <x:c r="C2513" s="115" t="str">
        <x:v>Parcs attractions</x:v>
      </x:c>
      <x:c r="D2513" s="115" t="str">
        <x:v>Parc aquatique</x:v>
      </x:c>
      <x:c r="E2513" s="115" t="n">
        <x:v>8</x:v>
      </x:c>
      <x:c r="F2513" s="115" t="str">
        <x:v>Inspection physique</x:v>
      </x:c>
      <x:c r="G2513" s="115" t="str">
        <x:v>1 niveaux ; 32 pièces ; 248 segments de mur ; 0 transitions. Inspection physique ; architecture complète encore ouverte.</x:v>
      </x:c>
      <x:c r="H2513" s="115" t="str">
        <x:v>L 362 ; l 446 ; hauteur 18 m ; choix de composition auteur ; dimensions réelles à documenter</x:v>
      </x:c>
      <x:c r="I2513" s="115" t="str">
        <x:v>À équilibrer</x:v>
      </x:c>
      <x:c r="J2513" s="115" t="str">
        <x:v>Non</x:v>
      </x:c>
      <x:c r="K2513" s="115" t="str">
        <x:v>Pièces décrites, murs, portes, niveaux et mobilier inspectables à l’échelle. Volumes réservés, raccord au seed, butin, rencontres et services de campagne restent à terminer.</x:v>
      </x:c>
    </x:row>
    <x:row r="2514" ht="96" customHeight="1">
      <x:c r="A2514" s="115" t="str">
        <x:v>EXT-MONDE-T051-V09</x:v>
      </x:c>
      <x:c r="B2514" s="115" t="str">
        <x:v>EXT-MONDE-T051</x:v>
      </x:c>
      <x:c r="C2514" s="115" t="str">
        <x:v>Parcs attractions</x:v>
      </x:c>
      <x:c r="D2514" s="115" t="str">
        <x:v>Parc aquatique</x:v>
      </x:c>
      <x:c r="E2514" s="115" t="n">
        <x:v>9</x:v>
      </x:c>
      <x:c r="F2514" s="115" t="str">
        <x:v>Inspection physique</x:v>
      </x:c>
      <x:c r="G2514" s="115" t="str">
        <x:v>1 niveaux ; 32 pièces ; 248 segments de mur ; 0 transitions. Inspection physique ; architecture complète encore ouverte.</x:v>
      </x:c>
      <x:c r="H2514" s="115" t="str">
        <x:v>L 362 ; l 446 ; hauteur 18 m ; choix de composition auteur ; dimensions réelles à documenter</x:v>
      </x:c>
      <x:c r="I2514" s="115" t="str">
        <x:v>À équilibrer</x:v>
      </x:c>
      <x:c r="J2514" s="115" t="str">
        <x:v>Non</x:v>
      </x:c>
      <x:c r="K2514" s="115" t="str">
        <x:v>Pièces décrites, murs, portes, niveaux et mobilier inspectables à l’échelle. Volumes réservés, raccord au seed, butin, rencontres et services de campagne restent à terminer.</x:v>
      </x:c>
    </x:row>
    <x:row r="2515" ht="96" customHeight="1">
      <x:c r="A2515" s="115" t="str">
        <x:v>EXT-MONDE-T051-V10</x:v>
      </x:c>
      <x:c r="B2515" s="115" t="str">
        <x:v>EXT-MONDE-T051</x:v>
      </x:c>
      <x:c r="C2515" s="115" t="str">
        <x:v>Parcs attractions</x:v>
      </x:c>
      <x:c r="D2515" s="115" t="str">
        <x:v>Parc aquatique</x:v>
      </x:c>
      <x:c r="E2515" s="115" t="n">
        <x:v>10</x:v>
      </x:c>
      <x:c r="F2515" s="115" t="str">
        <x:v>Inspection physique</x:v>
      </x:c>
      <x:c r="G2515" s="115" t="str">
        <x:v>1 niveaux ; 32 pièces ; 248 segments de mur ; 0 transitions. Inspection physique ; architecture complète encore ouverte.</x:v>
      </x:c>
      <x:c r="H2515" s="115" t="str">
        <x:v>L 362 ; l 446 ; hauteur 18 m ; choix de composition auteur ; dimensions réelles à documenter</x:v>
      </x:c>
      <x:c r="I2515" s="115" t="str">
        <x:v>À équilibrer</x:v>
      </x:c>
      <x:c r="J2515" s="115" t="str">
        <x:v>Non</x:v>
      </x:c>
      <x:c r="K2515" s="115" t="str">
        <x:v>Pièces décrites, murs, portes, niveaux et mobilier inspectables à l’échelle. Volumes réservés, raccord au seed, butin, rencontres et services de campagne restent à terminer.</x:v>
      </x:c>
    </x:row>
    <x:row r="2516" ht="96" customHeight="1">
      <x:c r="A2516" s="115" t="str">
        <x:v>EXT-MONDE-T051-V11</x:v>
      </x:c>
      <x:c r="B2516" s="115" t="str">
        <x:v>EXT-MONDE-T051</x:v>
      </x:c>
      <x:c r="C2516" s="115" t="str">
        <x:v>Parcs attractions</x:v>
      </x:c>
      <x:c r="D2516" s="115" t="str">
        <x:v>Parc aquatique</x:v>
      </x:c>
      <x:c r="E2516" s="115" t="n">
        <x:v>11</x:v>
      </x:c>
      <x:c r="F2516" s="115" t="str">
        <x:v>Inspection physique</x:v>
      </x:c>
      <x:c r="G2516" s="115" t="str">
        <x:v>1 niveaux ; 32 pièces ; 248 segments de mur ; 0 transitions. Inspection physique ; architecture complète encore ouverte.</x:v>
      </x:c>
      <x:c r="H2516" s="115" t="str">
        <x:v>L 374 ; l 454 ; hauteur 18 m ; choix de composition auteur ; dimensions réelles à documenter</x:v>
      </x:c>
      <x:c r="I2516" s="115" t="str">
        <x:v>À équilibrer</x:v>
      </x:c>
      <x:c r="J2516" s="115" t="str">
        <x:v>Non</x:v>
      </x:c>
      <x:c r="K2516" s="115" t="str">
        <x:v>Pièces décrites, murs, portes, niveaux et mobilier inspectables à l’échelle. Volumes réservés, raccord au seed, butin, rencontres et services de campagne restent à terminer.</x:v>
      </x:c>
    </x:row>
    <x:row r="2517" ht="96" customHeight="1">
      <x:c r="A2517" s="115" t="str">
        <x:v>EXT-MONDE-T051-V12</x:v>
      </x:c>
      <x:c r="B2517" s="115" t="str">
        <x:v>EXT-MONDE-T051</x:v>
      </x:c>
      <x:c r="C2517" s="115" t="str">
        <x:v>Parcs attractions</x:v>
      </x:c>
      <x:c r="D2517" s="115" t="str">
        <x:v>Parc aquatique</x:v>
      </x:c>
      <x:c r="E2517" s="115" t="n">
        <x:v>12</x:v>
      </x:c>
      <x:c r="F2517" s="115" t="str">
        <x:v>Inspection physique</x:v>
      </x:c>
      <x:c r="G2517" s="115" t="str">
        <x:v>1 niveaux ; 32 pièces ; 248 segments de mur ; 0 transitions. Inspection physique ; architecture complète encore ouverte.</x:v>
      </x:c>
      <x:c r="H2517" s="115" t="str">
        <x:v>L 374 ; l 454 ; hauteur 18 m ; choix de composition auteur ; dimensions réelles à documenter</x:v>
      </x:c>
      <x:c r="I2517" s="115" t="str">
        <x:v>À équilibrer</x:v>
      </x:c>
      <x:c r="J2517" s="115" t="str">
        <x:v>Non</x:v>
      </x:c>
      <x:c r="K2517" s="115" t="str">
        <x:v>Pièces décrites, murs, portes, niveaux et mobilier inspectables à l’échelle. Volumes réservés, raccord au seed, butin, rencontres et services de campagne restent à terminer.</x:v>
      </x:c>
    </x:row>
    <x:row r="2518" ht="96" customHeight="1">
      <x:c r="A2518" s="115" t="str">
        <x:v>EXT-MONDE-T051-V13</x:v>
      </x:c>
      <x:c r="B2518" s="115" t="str">
        <x:v>EXT-MONDE-T051</x:v>
      </x:c>
      <x:c r="C2518" s="115" t="str">
        <x:v>Parcs attractions</x:v>
      </x:c>
      <x:c r="D2518" s="115" t="str">
        <x:v>Parc aquatique</x:v>
      </x:c>
      <x:c r="E2518" s="115" t="n">
        <x:v>13</x:v>
      </x:c>
      <x:c r="F2518" s="115" t="str">
        <x:v>Inspection physique</x:v>
      </x:c>
      <x:c r="G2518" s="115" t="str">
        <x:v>1 niveaux ; 32 pièces ; 248 segments de mur ; 0 transitions. Inspection physique ; architecture complète encore ouverte.</x:v>
      </x:c>
      <x:c r="H2518" s="115" t="str">
        <x:v>L 374 ; l 454 ; hauteur 18 m ; choix de composition auteur ; dimensions réelles à documenter</x:v>
      </x:c>
      <x:c r="I2518" s="115" t="str">
        <x:v>À équilibrer</x:v>
      </x:c>
      <x:c r="J2518" s="115" t="str">
        <x:v>Non</x:v>
      </x:c>
      <x:c r="K2518" s="115" t="str">
        <x:v>Pièces décrites, murs, portes, niveaux et mobilier inspectables à l’échelle. Volumes réservés, raccord au seed, butin, rencontres et services de campagne restent à terminer.</x:v>
      </x:c>
    </x:row>
    <x:row r="2519" ht="96" customHeight="1">
      <x:c r="A2519" s="115" t="str">
        <x:v>EXT-MONDE-T051-V14</x:v>
      </x:c>
      <x:c r="B2519" s="115" t="str">
        <x:v>EXT-MONDE-T051</x:v>
      </x:c>
      <x:c r="C2519" s="115" t="str">
        <x:v>Parcs attractions</x:v>
      </x:c>
      <x:c r="D2519" s="115" t="str">
        <x:v>Parc aquatique</x:v>
      </x:c>
      <x:c r="E2519" s="115" t="n">
        <x:v>14</x:v>
      </x:c>
      <x:c r="F2519" s="115" t="str">
        <x:v>Inspection physique</x:v>
      </x:c>
      <x:c r="G2519" s="115" t="str">
        <x:v>1 niveaux ; 32 pièces ; 248 segments de mur ; 0 transitions. Inspection physique ; architecture complète encore ouverte.</x:v>
      </x:c>
      <x:c r="H2519" s="115" t="str">
        <x:v>L 374 ; l 454 ; hauteur 18 m ; choix de composition auteur ; dimensions réelles à documenter</x:v>
      </x:c>
      <x:c r="I2519" s="115" t="str">
        <x:v>À équilibrer</x:v>
      </x:c>
      <x:c r="J2519" s="115" t="str">
        <x:v>Non</x:v>
      </x:c>
      <x:c r="K2519" s="115" t="str">
        <x:v>Pièces décrites, murs, portes, niveaux et mobilier inspectables à l’échelle. Volumes réservés, raccord au seed, butin, rencontres et services de campagne restent à terminer.</x:v>
      </x:c>
    </x:row>
    <x:row r="2520" ht="96" customHeight="1">
      <x:c r="A2520" s="115" t="str">
        <x:v>EXT-MONDE-T051-V15</x:v>
      </x:c>
      <x:c r="B2520" s="115" t="str">
        <x:v>EXT-MONDE-T051</x:v>
      </x:c>
      <x:c r="C2520" s="115" t="str">
        <x:v>Parcs attractions</x:v>
      </x:c>
      <x:c r="D2520" s="115" t="str">
        <x:v>Parc aquatique</x:v>
      </x:c>
      <x:c r="E2520" s="115" t="n">
        <x:v>15</x:v>
      </x:c>
      <x:c r="F2520" s="115" t="str">
        <x:v>Inspection physique</x:v>
      </x:c>
      <x:c r="G2520" s="115" t="str">
        <x:v>1 niveaux ; 32 pièces ; 248 segments de mur ; 0 transitions. Inspection physique ; architecture complète encore ouverte.</x:v>
      </x:c>
      <x:c r="H2520" s="115" t="str">
        <x:v>L 374 ; l 454 ; hauteur 18 m ; choix de composition auteur ; dimensions réelles à documenter</x:v>
      </x:c>
      <x:c r="I2520" s="115" t="str">
        <x:v>À équilibrer</x:v>
      </x:c>
      <x:c r="J2520" s="115" t="str">
        <x:v>Non</x:v>
      </x:c>
      <x:c r="K2520" s="115" t="str">
        <x:v>Pièces décrites, murs, portes, niveaux et mobilier inspectables à l’échelle. Volumes réservés, raccord au seed, butin, rencontres et services de campagne restent à terminer.</x:v>
      </x:c>
    </x:row>
    <x:row r="2521" ht="96" customHeight="1">
      <x:c r="A2521" s="115" t="str">
        <x:v>EXT-MONDE-T051-V16</x:v>
      </x:c>
      <x:c r="B2521" s="115" t="str">
        <x:v>EXT-MONDE-T051</x:v>
      </x:c>
      <x:c r="C2521" s="115" t="str">
        <x:v>Parcs attractions</x:v>
      </x:c>
      <x:c r="D2521" s="115" t="str">
        <x:v>Parc aquatique</x:v>
      </x:c>
      <x:c r="E2521" s="115" t="n">
        <x:v>16</x:v>
      </x:c>
      <x:c r="F2521" s="115" t="str">
        <x:v>Inspection physique</x:v>
      </x:c>
      <x:c r="G2521" s="115" t="str">
        <x:v>1 niveaux ; 32 pièces ; 248 segments de mur ; 0 transitions. Inspection physique ; architecture complète encore ouverte.</x:v>
      </x:c>
      <x:c r="H2521" s="115" t="str">
        <x:v>L 374 ; l 454 ; hauteur 18 m ; choix de composition auteur ; dimensions réelles à documenter</x:v>
      </x:c>
      <x:c r="I2521" s="115" t="str">
        <x:v>À équilibrer</x:v>
      </x:c>
      <x:c r="J2521" s="115" t="str">
        <x:v>Non</x:v>
      </x:c>
      <x:c r="K2521" s="115" t="str">
        <x:v>Pièces décrites, murs, portes, niveaux et mobilier inspectables à l’échelle. Volumes réservés, raccord au seed, butin, rencontres et services de campagne restent à terminer.</x:v>
      </x:c>
    </x:row>
    <x:row r="2522" ht="96" customHeight="1">
      <x:c r="A2522" s="115" t="str">
        <x:v>EXT-MONDE-T051-V17</x:v>
      </x:c>
      <x:c r="B2522" s="115" t="str">
        <x:v>EXT-MONDE-T051</x:v>
      </x:c>
      <x:c r="C2522" s="115" t="str">
        <x:v>Parcs attractions</x:v>
      </x:c>
      <x:c r="D2522" s="115" t="str">
        <x:v>Parc aquatique</x:v>
      </x:c>
      <x:c r="E2522" s="115" t="n">
        <x:v>17</x:v>
      </x:c>
      <x:c r="F2522" s="115" t="str">
        <x:v>Inspection physique</x:v>
      </x:c>
      <x:c r="G2522" s="115" t="str">
        <x:v>1 niveaux ; 32 pièces ; 248 segments de mur ; 0 transitions. Inspection physique ; architecture complète encore ouverte.</x:v>
      </x:c>
      <x:c r="H2522" s="115" t="str">
        <x:v>L 374 ; l 454 ; hauteur 18 m ; choix de composition auteur ; dimensions réelles à documenter</x:v>
      </x:c>
      <x:c r="I2522" s="115" t="str">
        <x:v>À équilibrer</x:v>
      </x:c>
      <x:c r="J2522" s="115" t="str">
        <x:v>Non</x:v>
      </x:c>
      <x:c r="K2522" s="115" t="str">
        <x:v>Pièces décrites, murs, portes, niveaux et mobilier inspectables à l’échelle. Volumes réservés, raccord au seed, butin, rencontres et services de campagne restent à terminer.</x:v>
      </x:c>
    </x:row>
    <x:row r="2523" ht="96" customHeight="1">
      <x:c r="A2523" s="115" t="str">
        <x:v>EXT-MONDE-T051-V18</x:v>
      </x:c>
      <x:c r="B2523" s="115" t="str">
        <x:v>EXT-MONDE-T051</x:v>
      </x:c>
      <x:c r="C2523" s="115" t="str">
        <x:v>Parcs attractions</x:v>
      </x:c>
      <x:c r="D2523" s="115" t="str">
        <x:v>Parc aquatique</x:v>
      </x:c>
      <x:c r="E2523" s="115" t="n">
        <x:v>18</x:v>
      </x:c>
      <x:c r="F2523" s="115" t="str">
        <x:v>Inspection physique</x:v>
      </x:c>
      <x:c r="G2523" s="115" t="str">
        <x:v>1 niveaux ; 32 pièces ; 248 segments de mur ; 0 transitions. Inspection physique ; architecture complète encore ouverte.</x:v>
      </x:c>
      <x:c r="H2523" s="115" t="str">
        <x:v>L 374 ; l 454 ; hauteur 18 m ; choix de composition auteur ; dimensions réelles à documenter</x:v>
      </x:c>
      <x:c r="I2523" s="115" t="str">
        <x:v>À équilibrer</x:v>
      </x:c>
      <x:c r="J2523" s="115" t="str">
        <x:v>Non</x:v>
      </x:c>
      <x:c r="K2523" s="115" t="str">
        <x:v>Pièces décrites, murs, portes, niveaux et mobilier inspectables à l’échelle. Volumes réservés, raccord au seed, butin, rencontres et services de campagne restent à terminer.</x:v>
      </x:c>
    </x:row>
    <x:row r="2524" ht="96" customHeight="1">
      <x:c r="A2524" s="115" t="str">
        <x:v>EXT-MONDE-T051-V19</x:v>
      </x:c>
      <x:c r="B2524" s="115" t="str">
        <x:v>EXT-MONDE-T051</x:v>
      </x:c>
      <x:c r="C2524" s="115" t="str">
        <x:v>Parcs attractions</x:v>
      </x:c>
      <x:c r="D2524" s="115" t="str">
        <x:v>Parc aquatique</x:v>
      </x:c>
      <x:c r="E2524" s="115" t="n">
        <x:v>19</x:v>
      </x:c>
      <x:c r="F2524" s="115" t="str">
        <x:v>Inspection physique</x:v>
      </x:c>
      <x:c r="G2524" s="115" t="str">
        <x:v>1 niveaux ; 32 pièces ; 248 segments de mur ; 0 transitions. Inspection physique ; architecture complète encore ouverte.</x:v>
      </x:c>
      <x:c r="H2524" s="115" t="str">
        <x:v>L 374 ; l 454 ; hauteur 18 m ; choix de composition auteur ; dimensions réelles à documenter</x:v>
      </x:c>
      <x:c r="I2524" s="115" t="str">
        <x:v>À équilibrer</x:v>
      </x:c>
      <x:c r="J2524" s="115" t="str">
        <x:v>Non</x:v>
      </x:c>
      <x:c r="K2524" s="115" t="str">
        <x:v>Pièces décrites, murs, portes, niveaux et mobilier inspectables à l’échelle. Volumes réservés, raccord au seed, butin, rencontres et services de campagne restent à terminer.</x:v>
      </x:c>
    </x:row>
    <x:row r="2525" ht="96" customHeight="1">
      <x:c r="A2525" s="115" t="str">
        <x:v>EXT-MONDE-T051-V20</x:v>
      </x:c>
      <x:c r="B2525" s="115" t="str">
        <x:v>EXT-MONDE-T051</x:v>
      </x:c>
      <x:c r="C2525" s="115" t="str">
        <x:v>Parcs attractions</x:v>
      </x:c>
      <x:c r="D2525" s="115" t="str">
        <x:v>Parc aquatique</x:v>
      </x:c>
      <x:c r="E2525" s="115" t="n">
        <x:v>20</x:v>
      </x:c>
      <x:c r="F2525" s="115" t="str">
        <x:v>Inspection physique</x:v>
      </x:c>
      <x:c r="G2525" s="115" t="str">
        <x:v>1 niveaux ; 32 pièces ; 248 segments de mur ; 0 transitions. Inspection physique ; architecture complète encore ouverte.</x:v>
      </x:c>
      <x:c r="H2525" s="115" t="str">
        <x:v>L 374 ; l 454 ; hauteur 18 m ; choix de composition auteur ; dimensions réelles à documenter</x:v>
      </x:c>
      <x:c r="I2525" s="115" t="str">
        <x:v>À équilibrer</x:v>
      </x:c>
      <x:c r="J2525" s="115" t="str">
        <x:v>Non</x:v>
      </x:c>
      <x:c r="K2525" s="115" t="str">
        <x:v>Pièces décrites, murs, portes, niveaux et mobilier inspectables à l’échelle. Volumes réservés, raccord au seed, butin, rencontres et services de campagne restent à terminer.</x:v>
      </x:c>
    </x:row>
    <x:row r="2526" ht="96" customHeight="1">
      <x:c r="A2526" s="115" t="str">
        <x:v>EXT-MONDE-T051-V21</x:v>
      </x:c>
      <x:c r="B2526" s="115" t="str">
        <x:v>EXT-MONDE-T051</x:v>
      </x:c>
      <x:c r="C2526" s="115" t="str">
        <x:v>Parcs attractions</x:v>
      </x:c>
      <x:c r="D2526" s="115" t="str">
        <x:v>Parc aquatique</x:v>
      </x:c>
      <x:c r="E2526" s="115" t="n">
        <x:v>21</x:v>
      </x:c>
      <x:c r="F2526" s="115" t="str">
        <x:v>Inspection physique</x:v>
      </x:c>
      <x:c r="G2526" s="115" t="str">
        <x:v>1 niveaux ; 32 pièces ; 248 segments de mur ; 0 transitions. Inspection physique ; architecture complète encore ouverte.</x:v>
      </x:c>
      <x:c r="H2526" s="115" t="str">
        <x:v>L 386 ; l 462 ; hauteur 18 m ; choix de composition auteur ; dimensions réelles à documenter</x:v>
      </x:c>
      <x:c r="I2526" s="115" t="str">
        <x:v>À équilibrer</x:v>
      </x:c>
      <x:c r="J2526" s="115" t="str">
        <x:v>Non</x:v>
      </x:c>
      <x:c r="K2526" s="115" t="str">
        <x:v>Pièces décrites, murs, portes, niveaux et mobilier inspectables à l’échelle. Volumes réservés, raccord au seed, butin, rencontres et services de campagne restent à terminer.</x:v>
      </x:c>
    </x:row>
    <x:row r="2527" ht="96" customHeight="1">
      <x:c r="A2527" s="115" t="str">
        <x:v>EXT-MONDE-T051-V22</x:v>
      </x:c>
      <x:c r="B2527" s="115" t="str">
        <x:v>EXT-MONDE-T051</x:v>
      </x:c>
      <x:c r="C2527" s="115" t="str">
        <x:v>Parcs attractions</x:v>
      </x:c>
      <x:c r="D2527" s="115" t="str">
        <x:v>Parc aquatique</x:v>
      </x:c>
      <x:c r="E2527" s="115" t="n">
        <x:v>22</x:v>
      </x:c>
      <x:c r="F2527" s="115" t="str">
        <x:v>Inspection physique</x:v>
      </x:c>
      <x:c r="G2527" s="115" t="str">
        <x:v>1 niveaux ; 32 pièces ; 248 segments de mur ; 0 transitions. Inspection physique ; architecture complète encore ouverte.</x:v>
      </x:c>
      <x:c r="H2527" s="115" t="str">
        <x:v>L 386 ; l 462 ; hauteur 18 m ; choix de composition auteur ; dimensions réelles à documenter</x:v>
      </x:c>
      <x:c r="I2527" s="115" t="str">
        <x:v>À équilibrer</x:v>
      </x:c>
      <x:c r="J2527" s="115" t="str">
        <x:v>Non</x:v>
      </x:c>
      <x:c r="K2527" s="115" t="str">
        <x:v>Pièces décrites, murs, portes, niveaux et mobilier inspectables à l’échelle. Volumes réservés, raccord au seed, butin, rencontres et services de campagne restent à terminer.</x:v>
      </x:c>
    </x:row>
    <x:row r="2528" ht="96" customHeight="1">
      <x:c r="A2528" s="115" t="str">
        <x:v>EXT-MONDE-T051-V23</x:v>
      </x:c>
      <x:c r="B2528" s="115" t="str">
        <x:v>EXT-MONDE-T051</x:v>
      </x:c>
      <x:c r="C2528" s="115" t="str">
        <x:v>Parcs attractions</x:v>
      </x:c>
      <x:c r="D2528" s="115" t="str">
        <x:v>Parc aquatique</x:v>
      </x:c>
      <x:c r="E2528" s="115" t="n">
        <x:v>23</x:v>
      </x:c>
      <x:c r="F2528" s="115" t="str">
        <x:v>Inspection physique</x:v>
      </x:c>
      <x:c r="G2528" s="115" t="str">
        <x:v>1 niveaux ; 32 pièces ; 248 segments de mur ; 0 transitions. Inspection physique ; architecture complète encore ouverte.</x:v>
      </x:c>
      <x:c r="H2528" s="115" t="str">
        <x:v>L 386 ; l 462 ; hauteur 18 m ; choix de composition auteur ; dimensions réelles à documenter</x:v>
      </x:c>
      <x:c r="I2528" s="115" t="str">
        <x:v>À équilibrer</x:v>
      </x:c>
      <x:c r="J2528" s="115" t="str">
        <x:v>Non</x:v>
      </x:c>
      <x:c r="K2528" s="115" t="str">
        <x:v>Pièces décrites, murs, portes, niveaux et mobilier inspectables à l’échelle. Volumes réservés, raccord au seed, butin, rencontres et services de campagne restent à terminer.</x:v>
      </x:c>
    </x:row>
    <x:row r="2529" ht="96" customHeight="1">
      <x:c r="A2529" s="115" t="str">
        <x:v>EXT-MONDE-T051-V24</x:v>
      </x:c>
      <x:c r="B2529" s="115" t="str">
        <x:v>EXT-MONDE-T051</x:v>
      </x:c>
      <x:c r="C2529" s="115" t="str">
        <x:v>Parcs attractions</x:v>
      </x:c>
      <x:c r="D2529" s="115" t="str">
        <x:v>Parc aquatique</x:v>
      </x:c>
      <x:c r="E2529" s="115" t="n">
        <x:v>24</x:v>
      </x:c>
      <x:c r="F2529" s="115" t="str">
        <x:v>Inspection physique</x:v>
      </x:c>
      <x:c r="G2529" s="115" t="str">
        <x:v>1 niveaux ; 32 pièces ; 248 segments de mur ; 0 transitions. Inspection physique ; architecture complète encore ouverte.</x:v>
      </x:c>
      <x:c r="H2529" s="115" t="str">
        <x:v>L 386 ; l 462 ; hauteur 18 m ; choix de composition auteur ; dimensions réelles à documenter</x:v>
      </x:c>
      <x:c r="I2529" s="115" t="str">
        <x:v>À équilibrer</x:v>
      </x:c>
      <x:c r="J2529" s="115" t="str">
        <x:v>Non</x:v>
      </x:c>
      <x:c r="K2529" s="115" t="str">
        <x:v>Pièces décrites, murs, portes, niveaux et mobilier inspectables à l’échelle. Volumes réservés, raccord au seed, butin, rencontres et services de campagne restent à terminer.</x:v>
      </x:c>
    </x:row>
    <x:row r="2530" ht="96" customHeight="1">
      <x:c r="A2530" s="115" t="str">
        <x:v>EXT-MONDE-T051-V25</x:v>
      </x:c>
      <x:c r="B2530" s="115" t="str">
        <x:v>EXT-MONDE-T051</x:v>
      </x:c>
      <x:c r="C2530" s="115" t="str">
        <x:v>Parcs attractions</x:v>
      </x:c>
      <x:c r="D2530" s="115" t="str">
        <x:v>Parc aquatique</x:v>
      </x:c>
      <x:c r="E2530" s="115" t="n">
        <x:v>25</x:v>
      </x:c>
      <x:c r="F2530" s="115" t="str">
        <x:v>Inspection physique</x:v>
      </x:c>
      <x:c r="G2530" s="115" t="str">
        <x:v>1 niveaux ; 32 pièces ; 248 segments de mur ; 0 transitions. Inspection physique ; architecture complète encore ouverte.</x:v>
      </x:c>
      <x:c r="H2530" s="115" t="str">
        <x:v>L 386 ; l 462 ; hauteur 18 m ; choix de composition auteur ; dimensions réelles à documenter</x:v>
      </x:c>
      <x:c r="I2530" s="115" t="str">
        <x:v>À équilibrer</x:v>
      </x:c>
      <x:c r="J2530" s="115" t="str">
        <x:v>Non</x:v>
      </x:c>
      <x:c r="K2530" s="115" t="str">
        <x:v>Pièces décrites, murs, portes, niveaux et mobilier inspectables à l’échelle. Volumes réservés, raccord au seed, butin, rencontres et services de campagne restent à terminer.</x:v>
      </x:c>
    </x:row>
    <x:row r="2531" ht="96" customHeight="1">
      <x:c r="A2531" s="115" t="str">
        <x:v>EXT-MONDE-T051-V26</x:v>
      </x:c>
      <x:c r="B2531" s="115" t="str">
        <x:v>EXT-MONDE-T051</x:v>
      </x:c>
      <x:c r="C2531" s="115" t="str">
        <x:v>Parcs attractions</x:v>
      </x:c>
      <x:c r="D2531" s="115" t="str">
        <x:v>Parc aquatique</x:v>
      </x:c>
      <x:c r="E2531" s="115" t="n">
        <x:v>26</x:v>
      </x:c>
      <x:c r="F2531" s="115" t="str">
        <x:v>Inspection physique</x:v>
      </x:c>
      <x:c r="G2531" s="115" t="str">
        <x:v>1 niveaux ; 32 pièces ; 248 segments de mur ; 0 transitions. Inspection physique ; architecture complète encore ouverte.</x:v>
      </x:c>
      <x:c r="H2531" s="115" t="str">
        <x:v>L 386 ; l 462 ; hauteur 18 m ; choix de composition auteur ; dimensions réelles à documenter</x:v>
      </x:c>
      <x:c r="I2531" s="115" t="str">
        <x:v>À équilibrer</x:v>
      </x:c>
      <x:c r="J2531" s="115" t="str">
        <x:v>Non</x:v>
      </x:c>
      <x:c r="K2531" s="115" t="str">
        <x:v>Pièces décrites, murs, portes, niveaux et mobilier inspectables à l’échelle. Volumes réservés, raccord au seed, butin, rencontres et services de campagne restent à terminer.</x:v>
      </x:c>
    </x:row>
    <x:row r="2532" ht="96" customHeight="1">
      <x:c r="A2532" s="115" t="str">
        <x:v>EXT-MONDE-T051-V27</x:v>
      </x:c>
      <x:c r="B2532" s="115" t="str">
        <x:v>EXT-MONDE-T051</x:v>
      </x:c>
      <x:c r="C2532" s="115" t="str">
        <x:v>Parcs attractions</x:v>
      </x:c>
      <x:c r="D2532" s="115" t="str">
        <x:v>Parc aquatique</x:v>
      </x:c>
      <x:c r="E2532" s="115" t="n">
        <x:v>27</x:v>
      </x:c>
      <x:c r="F2532" s="115" t="str">
        <x:v>Inspection physique</x:v>
      </x:c>
      <x:c r="G2532" s="115" t="str">
        <x:v>1 niveaux ; 32 pièces ; 248 segments de mur ; 0 transitions. Inspection physique ; architecture complète encore ouverte.</x:v>
      </x:c>
      <x:c r="H2532" s="115" t="str">
        <x:v>L 386 ; l 462 ; hauteur 18 m ; choix de composition auteur ; dimensions réelles à documenter</x:v>
      </x:c>
      <x:c r="I2532" s="115" t="str">
        <x:v>À équilibrer</x:v>
      </x:c>
      <x:c r="J2532" s="115" t="str">
        <x:v>Non</x:v>
      </x:c>
      <x:c r="K2532" s="115" t="str">
        <x:v>Pièces décrites, murs, portes, niveaux et mobilier inspectables à l’échelle. Volumes réservés, raccord au seed, butin, rencontres et services de campagne restent à terminer.</x:v>
      </x:c>
    </x:row>
    <x:row r="2533" ht="96" customHeight="1">
      <x:c r="A2533" s="115" t="str">
        <x:v>EXT-MONDE-T051-V28</x:v>
      </x:c>
      <x:c r="B2533" s="115" t="str">
        <x:v>EXT-MONDE-T051</x:v>
      </x:c>
      <x:c r="C2533" s="115" t="str">
        <x:v>Parcs attractions</x:v>
      </x:c>
      <x:c r="D2533" s="115" t="str">
        <x:v>Parc aquatique</x:v>
      </x:c>
      <x:c r="E2533" s="115" t="n">
        <x:v>28</x:v>
      </x:c>
      <x:c r="F2533" s="115" t="str">
        <x:v>Inspection physique</x:v>
      </x:c>
      <x:c r="G2533" s="115" t="str">
        <x:v>1 niveaux ; 32 pièces ; 248 segments de mur ; 0 transitions. Inspection physique ; architecture complète encore ouverte.</x:v>
      </x:c>
      <x:c r="H2533" s="115" t="str">
        <x:v>L 386 ; l 462 ; hauteur 18 m ; choix de composition auteur ; dimensions réelles à documenter</x:v>
      </x:c>
      <x:c r="I2533" s="115" t="str">
        <x:v>À équilibrer</x:v>
      </x:c>
      <x:c r="J2533" s="115" t="str">
        <x:v>Non</x:v>
      </x:c>
      <x:c r="K2533" s="115" t="str">
        <x:v>Pièces décrites, murs, portes, niveaux et mobilier inspectables à l’échelle. Volumes réservés, raccord au seed, butin, rencontres et services de campagne restent à terminer.</x:v>
      </x:c>
    </x:row>
    <x:row r="2534" ht="96" customHeight="1">
      <x:c r="A2534" s="115" t="str">
        <x:v>EXT-MONDE-T051-V29</x:v>
      </x:c>
      <x:c r="B2534" s="115" t="str">
        <x:v>EXT-MONDE-T051</x:v>
      </x:c>
      <x:c r="C2534" s="115" t="str">
        <x:v>Parcs attractions</x:v>
      </x:c>
      <x:c r="D2534" s="115" t="str">
        <x:v>Parc aquatique</x:v>
      </x:c>
      <x:c r="E2534" s="115" t="n">
        <x:v>29</x:v>
      </x:c>
      <x:c r="F2534" s="115" t="str">
        <x:v>Inspection physique</x:v>
      </x:c>
      <x:c r="G2534" s="115" t="str">
        <x:v>1 niveaux ; 32 pièces ; 248 segments de mur ; 0 transitions. Inspection physique ; architecture complète encore ouverte.</x:v>
      </x:c>
      <x:c r="H2534" s="115" t="str">
        <x:v>L 386 ; l 462 ; hauteur 18 m ; choix de composition auteur ; dimensions réelles à documenter</x:v>
      </x:c>
      <x:c r="I2534" s="115" t="str">
        <x:v>À équilibrer</x:v>
      </x:c>
      <x:c r="J2534" s="115" t="str">
        <x:v>Non</x:v>
      </x:c>
      <x:c r="K2534" s="115" t="str">
        <x:v>Pièces décrites, murs, portes, niveaux et mobilier inspectables à l’échelle. Volumes réservés, raccord au seed, butin, rencontres et services de campagne restent à terminer.</x:v>
      </x:c>
    </x:row>
    <x:row r="2535" ht="96" customHeight="1">
      <x:c r="A2535" s="115" t="str">
        <x:v>EXT-MONDE-T051-V30</x:v>
      </x:c>
      <x:c r="B2535" s="115" t="str">
        <x:v>EXT-MONDE-T051</x:v>
      </x:c>
      <x:c r="C2535" s="115" t="str">
        <x:v>Parcs attractions</x:v>
      </x:c>
      <x:c r="D2535" s="115" t="str">
        <x:v>Parc aquatique</x:v>
      </x:c>
      <x:c r="E2535" s="115" t="n">
        <x:v>30</x:v>
      </x:c>
      <x:c r="F2535" s="115" t="str">
        <x:v>Inspection physique</x:v>
      </x:c>
      <x:c r="G2535" s="115" t="str">
        <x:v>1 niveaux ; 32 pièces ; 248 segments de mur ; 0 transitions. Inspection physique ; architecture complète encore ouverte.</x:v>
      </x:c>
      <x:c r="H2535" s="115" t="str">
        <x:v>L 386 ; l 462 ; hauteur 18 m ; choix de composition auteur ; dimensions réelles à documenter</x:v>
      </x:c>
      <x:c r="I2535" s="115" t="str">
        <x:v>À équilibrer</x:v>
      </x:c>
      <x:c r="J2535" s="115" t="str">
        <x:v>Non</x:v>
      </x:c>
      <x:c r="K2535" s="115" t="str">
        <x:v>Pièces décrites, murs, portes, niveaux et mobilier inspectables à l’échelle. Volumes réservés, raccord au seed, butin, rencontres et services de campagne restent à terminer.</x:v>
      </x:c>
    </x:row>
    <x:row r="2536" ht="96" customHeight="1">
      <x:c r="A2536" s="115" t="str">
        <x:v>EXT-MONDE-T051-V31</x:v>
      </x:c>
      <x:c r="B2536" s="115" t="str">
        <x:v>EXT-MONDE-T051</x:v>
      </x:c>
      <x:c r="C2536" s="115" t="str">
        <x:v>Parcs attractions</x:v>
      </x:c>
      <x:c r="D2536" s="115" t="str">
        <x:v>Parc aquatique</x:v>
      </x:c>
      <x:c r="E2536" s="115" t="n">
        <x:v>31</x:v>
      </x:c>
      <x:c r="F2536" s="115" t="str">
        <x:v>Inspection physique</x:v>
      </x:c>
      <x:c r="G2536" s="115" t="str">
        <x:v>1 niveaux ; 32 pièces ; 248 segments de mur ; 0 transitions. Inspection physique ; architecture complète encore ouverte.</x:v>
      </x:c>
      <x:c r="H2536" s="115" t="str">
        <x:v>L 398 ; l 470 ; hauteur 18 m ; choix de composition auteur ; dimensions réelles à documenter</x:v>
      </x:c>
      <x:c r="I2536" s="115" t="str">
        <x:v>À équilibrer</x:v>
      </x:c>
      <x:c r="J2536" s="115" t="str">
        <x:v>Non</x:v>
      </x:c>
      <x:c r="K2536" s="115" t="str">
        <x:v>Pièces décrites, murs, portes, niveaux et mobilier inspectables à l’échelle. Volumes réservés, raccord au seed, butin, rencontres et services de campagne restent à terminer.</x:v>
      </x:c>
    </x:row>
    <x:row r="2537" ht="96" customHeight="1">
      <x:c r="A2537" s="115" t="str">
        <x:v>EXT-MONDE-T051-V32</x:v>
      </x:c>
      <x:c r="B2537" s="115" t="str">
        <x:v>EXT-MONDE-T051</x:v>
      </x:c>
      <x:c r="C2537" s="115" t="str">
        <x:v>Parcs attractions</x:v>
      </x:c>
      <x:c r="D2537" s="115" t="str">
        <x:v>Parc aquatique</x:v>
      </x:c>
      <x:c r="E2537" s="115" t="n">
        <x:v>32</x:v>
      </x:c>
      <x:c r="F2537" s="115" t="str">
        <x:v>Inspection physique</x:v>
      </x:c>
      <x:c r="G2537" s="115" t="str">
        <x:v>1 niveaux ; 32 pièces ; 248 segments de mur ; 0 transitions. Inspection physique ; architecture complète encore ouverte.</x:v>
      </x:c>
      <x:c r="H2537" s="115" t="str">
        <x:v>L 398 ; l 470 ; hauteur 18 m ; choix de composition auteur ; dimensions réelles à documenter</x:v>
      </x:c>
      <x:c r="I2537" s="115" t="str">
        <x:v>À équilibrer</x:v>
      </x:c>
      <x:c r="J2537" s="115" t="str">
        <x:v>Non</x:v>
      </x:c>
      <x:c r="K2537" s="115" t="str">
        <x:v>Pièces décrites, murs, portes, niveaux et mobilier inspectables à l’échelle. Volumes réservés, raccord au seed, butin, rencontres et services de campagne restent à terminer.</x:v>
      </x:c>
    </x:row>
    <x:row r="2538" ht="96" customHeight="1">
      <x:c r="A2538" s="115" t="str">
        <x:v>EXT-MONDE-T051-V33</x:v>
      </x:c>
      <x:c r="B2538" s="115" t="str">
        <x:v>EXT-MONDE-T051</x:v>
      </x:c>
      <x:c r="C2538" s="115" t="str">
        <x:v>Parcs attractions</x:v>
      </x:c>
      <x:c r="D2538" s="115" t="str">
        <x:v>Parc aquatique</x:v>
      </x:c>
      <x:c r="E2538" s="115" t="n">
        <x:v>33</x:v>
      </x:c>
      <x:c r="F2538" s="115" t="str">
        <x:v>Inspection physique</x:v>
      </x:c>
      <x:c r="G2538" s="115" t="str">
        <x:v>1 niveaux ; 32 pièces ; 248 segments de mur ; 0 transitions. Inspection physique ; architecture complète encore ouverte.</x:v>
      </x:c>
      <x:c r="H2538" s="115" t="str">
        <x:v>L 398 ; l 470 ; hauteur 18 m ; choix de composition auteur ; dimensions réelles à documenter</x:v>
      </x:c>
      <x:c r="I2538" s="115" t="str">
        <x:v>À équilibrer</x:v>
      </x:c>
      <x:c r="J2538" s="115" t="str">
        <x:v>Non</x:v>
      </x:c>
      <x:c r="K2538" s="115" t="str">
        <x:v>Pièces décrites, murs, portes, niveaux et mobilier inspectables à l’échelle. Volumes réservés, raccord au seed, butin, rencontres et services de campagne restent à terminer.</x:v>
      </x:c>
    </x:row>
    <x:row r="2539" ht="96" customHeight="1">
      <x:c r="A2539" s="115" t="str">
        <x:v>EXT-MONDE-T051-V34</x:v>
      </x:c>
      <x:c r="B2539" s="115" t="str">
        <x:v>EXT-MONDE-T051</x:v>
      </x:c>
      <x:c r="C2539" s="115" t="str">
        <x:v>Parcs attractions</x:v>
      </x:c>
      <x:c r="D2539" s="115" t="str">
        <x:v>Parc aquatique</x:v>
      </x:c>
      <x:c r="E2539" s="115" t="n">
        <x:v>34</x:v>
      </x:c>
      <x:c r="F2539" s="115" t="str">
        <x:v>Inspection physique</x:v>
      </x:c>
      <x:c r="G2539" s="115" t="str">
        <x:v>1 niveaux ; 32 pièces ; 248 segments de mur ; 0 transitions. Inspection physique ; architecture complète encore ouverte.</x:v>
      </x:c>
      <x:c r="H2539" s="115" t="str">
        <x:v>L 398 ; l 470 ; hauteur 18 m ; choix de composition auteur ; dimensions réelles à documenter</x:v>
      </x:c>
      <x:c r="I2539" s="115" t="str">
        <x:v>À équilibrer</x:v>
      </x:c>
      <x:c r="J2539" s="115" t="str">
        <x:v>Non</x:v>
      </x:c>
      <x:c r="K2539" s="115" t="str">
        <x:v>Pièces décrites, murs, portes, niveaux et mobilier inspectables à l’échelle. Volumes réservés, raccord au seed, butin, rencontres et services de campagne restent à terminer.</x:v>
      </x:c>
    </x:row>
    <x:row r="2540" ht="96" customHeight="1">
      <x:c r="A2540" s="115" t="str">
        <x:v>EXT-MONDE-T051-V35</x:v>
      </x:c>
      <x:c r="B2540" s="115" t="str">
        <x:v>EXT-MONDE-T051</x:v>
      </x:c>
      <x:c r="C2540" s="115" t="str">
        <x:v>Parcs attractions</x:v>
      </x:c>
      <x:c r="D2540" s="115" t="str">
        <x:v>Parc aquatique</x:v>
      </x:c>
      <x:c r="E2540" s="115" t="n">
        <x:v>35</x:v>
      </x:c>
      <x:c r="F2540" s="115" t="str">
        <x:v>Inspection physique</x:v>
      </x:c>
      <x:c r="G2540" s="115" t="str">
        <x:v>1 niveaux ; 32 pièces ; 248 segments de mur ; 0 transitions. Inspection physique ; architecture complète encore ouverte.</x:v>
      </x:c>
      <x:c r="H2540" s="115" t="str">
        <x:v>L 398 ; l 470 ; hauteur 18 m ; choix de composition auteur ; dimensions réelles à documenter</x:v>
      </x:c>
      <x:c r="I2540" s="115" t="str">
        <x:v>À équilibrer</x:v>
      </x:c>
      <x:c r="J2540" s="115" t="str">
        <x:v>Non</x:v>
      </x:c>
      <x:c r="K2540" s="115" t="str">
        <x:v>Pièces décrites, murs, portes, niveaux et mobilier inspectables à l’échelle. Volumes réservés, raccord au seed, butin, rencontres et services de campagne restent à terminer.</x:v>
      </x:c>
    </x:row>
    <x:row r="2541" ht="96" customHeight="1">
      <x:c r="A2541" s="115" t="str">
        <x:v>EXT-MONDE-T051-V36</x:v>
      </x:c>
      <x:c r="B2541" s="115" t="str">
        <x:v>EXT-MONDE-T051</x:v>
      </x:c>
      <x:c r="C2541" s="115" t="str">
        <x:v>Parcs attractions</x:v>
      </x:c>
      <x:c r="D2541" s="115" t="str">
        <x:v>Parc aquatique</x:v>
      </x:c>
      <x:c r="E2541" s="115" t="n">
        <x:v>36</x:v>
      </x:c>
      <x:c r="F2541" s="115" t="str">
        <x:v>Inspection physique</x:v>
      </x:c>
      <x:c r="G2541" s="115" t="str">
        <x:v>1 niveaux ; 32 pièces ; 248 segments de mur ; 0 transitions. Inspection physique ; architecture complète encore ouverte.</x:v>
      </x:c>
      <x:c r="H2541" s="115" t="str">
        <x:v>L 398 ; l 470 ; hauteur 18 m ; choix de composition auteur ; dimensions réelles à documenter</x:v>
      </x:c>
      <x:c r="I2541" s="115" t="str">
        <x:v>À équilibrer</x:v>
      </x:c>
      <x:c r="J2541" s="115" t="str">
        <x:v>Non</x:v>
      </x:c>
      <x:c r="K2541" s="115" t="str">
        <x:v>Pièces décrites, murs, portes, niveaux et mobilier inspectables à l’échelle. Volumes réservés, raccord au seed, butin, rencontres et services de campagne restent à terminer.</x:v>
      </x:c>
    </x:row>
    <x:row r="2542" ht="96" customHeight="1">
      <x:c r="A2542" s="115" t="str">
        <x:v>EXT-MONDE-T051-V37</x:v>
      </x:c>
      <x:c r="B2542" s="115" t="str">
        <x:v>EXT-MONDE-T051</x:v>
      </x:c>
      <x:c r="C2542" s="115" t="str">
        <x:v>Parcs attractions</x:v>
      </x:c>
      <x:c r="D2542" s="115" t="str">
        <x:v>Parc aquatique</x:v>
      </x:c>
      <x:c r="E2542" s="115" t="n">
        <x:v>37</x:v>
      </x:c>
      <x:c r="F2542" s="115" t="str">
        <x:v>Inspection physique</x:v>
      </x:c>
      <x:c r="G2542" s="115" t="str">
        <x:v>1 niveaux ; 32 pièces ; 248 segments de mur ; 0 transitions. Inspection physique ; architecture complète encore ouverte.</x:v>
      </x:c>
      <x:c r="H2542" s="115" t="str">
        <x:v>L 398 ; l 470 ; hauteur 18 m ; choix de composition auteur ; dimensions réelles à documenter</x:v>
      </x:c>
      <x:c r="I2542" s="115" t="str">
        <x:v>À équilibrer</x:v>
      </x:c>
      <x:c r="J2542" s="115" t="str">
        <x:v>Non</x:v>
      </x:c>
      <x:c r="K2542" s="115" t="str">
        <x:v>Pièces décrites, murs, portes, niveaux et mobilier inspectables à l’échelle. Volumes réservés, raccord au seed, butin, rencontres et services de campagne restent à terminer.</x:v>
      </x:c>
    </x:row>
    <x:row r="2543" ht="96" customHeight="1">
      <x:c r="A2543" s="115" t="str">
        <x:v>EXT-MONDE-T051-V38</x:v>
      </x:c>
      <x:c r="B2543" s="115" t="str">
        <x:v>EXT-MONDE-T051</x:v>
      </x:c>
      <x:c r="C2543" s="115" t="str">
        <x:v>Parcs attractions</x:v>
      </x:c>
      <x:c r="D2543" s="115" t="str">
        <x:v>Parc aquatique</x:v>
      </x:c>
      <x:c r="E2543" s="115" t="n">
        <x:v>38</x:v>
      </x:c>
      <x:c r="F2543" s="115" t="str">
        <x:v>Inspection physique</x:v>
      </x:c>
      <x:c r="G2543" s="115" t="str">
        <x:v>1 niveaux ; 32 pièces ; 248 segments de mur ; 0 transitions. Inspection physique ; architecture complète encore ouverte.</x:v>
      </x:c>
      <x:c r="H2543" s="115" t="str">
        <x:v>L 398 ; l 470 ; hauteur 18 m ; choix de composition auteur ; dimensions réelles à documenter</x:v>
      </x:c>
      <x:c r="I2543" s="115" t="str">
        <x:v>À équilibrer</x:v>
      </x:c>
      <x:c r="J2543" s="115" t="str">
        <x:v>Non</x:v>
      </x:c>
      <x:c r="K2543" s="115" t="str">
        <x:v>Pièces décrites, murs, portes, niveaux et mobilier inspectables à l’échelle. Volumes réservés, raccord au seed, butin, rencontres et services de campagne restent à terminer.</x:v>
      </x:c>
    </x:row>
    <x:row r="2544" ht="96" customHeight="1">
      <x:c r="A2544" s="115" t="str">
        <x:v>EXT-MONDE-T051-V39</x:v>
      </x:c>
      <x:c r="B2544" s="115" t="str">
        <x:v>EXT-MONDE-T051</x:v>
      </x:c>
      <x:c r="C2544" s="115" t="str">
        <x:v>Parcs attractions</x:v>
      </x:c>
      <x:c r="D2544" s="115" t="str">
        <x:v>Parc aquatique</x:v>
      </x:c>
      <x:c r="E2544" s="115" t="n">
        <x:v>39</x:v>
      </x:c>
      <x:c r="F2544" s="115" t="str">
        <x:v>Inspection physique</x:v>
      </x:c>
      <x:c r="G2544" s="115" t="str">
        <x:v>1 niveaux ; 32 pièces ; 248 segments de mur ; 0 transitions. Inspection physique ; architecture complète encore ouverte.</x:v>
      </x:c>
      <x:c r="H2544" s="115" t="str">
        <x:v>L 398 ; l 470 ; hauteur 18 m ; choix de composition auteur ; dimensions réelles à documenter</x:v>
      </x:c>
      <x:c r="I2544" s="115" t="str">
        <x:v>À équilibrer</x:v>
      </x:c>
      <x:c r="J2544" s="115" t="str">
        <x:v>Non</x:v>
      </x:c>
      <x:c r="K2544" s="115" t="str">
        <x:v>Pièces décrites, murs, portes, niveaux et mobilier inspectables à l’échelle. Volumes réservés, raccord au seed, butin, rencontres et services de campagne restent à terminer.</x:v>
      </x:c>
    </x:row>
    <x:row r="2545" ht="96" customHeight="1">
      <x:c r="A2545" s="115" t="str">
        <x:v>EXT-MONDE-T051-V40</x:v>
      </x:c>
      <x:c r="B2545" s="115" t="str">
        <x:v>EXT-MONDE-T051</x:v>
      </x:c>
      <x:c r="C2545" s="115" t="str">
        <x:v>Parcs attractions</x:v>
      </x:c>
      <x:c r="D2545" s="115" t="str">
        <x:v>Parc aquatique</x:v>
      </x:c>
      <x:c r="E2545" s="115" t="n">
        <x:v>40</x:v>
      </x:c>
      <x:c r="F2545" s="115" t="str">
        <x:v>Inspection physique</x:v>
      </x:c>
      <x:c r="G2545" s="115" t="str">
        <x:v>1 niveaux ; 32 pièces ; 248 segments de mur ; 0 transitions. Inspection physique ; architecture complète encore ouverte.</x:v>
      </x:c>
      <x:c r="H2545" s="115" t="str">
        <x:v>L 398 ; l 470 ; hauteur 18 m ; choix de composition auteur ; dimensions réelles à documenter</x:v>
      </x:c>
      <x:c r="I2545" s="115" t="str">
        <x:v>À équilibrer</x:v>
      </x:c>
      <x:c r="J2545" s="115" t="str">
        <x:v>Non</x:v>
      </x:c>
      <x:c r="K2545" s="115" t="str">
        <x:v>Pièces décrites, murs, portes, niveaux et mobilier inspectables à l’échelle. Volumes réservés, raccord au seed, butin, rencontres et services de campagne restent à terminer.</x:v>
      </x:c>
    </x:row>
    <x:row r="2546" ht="96" customHeight="1">
      <x:c r="A2546" s="115" t="str">
        <x:v>EXT-MONDE-T051-V41</x:v>
      </x:c>
      <x:c r="B2546" s="115" t="str">
        <x:v>EXT-MONDE-T051</x:v>
      </x:c>
      <x:c r="C2546" s="115" t="str">
        <x:v>Parcs attractions</x:v>
      </x:c>
      <x:c r="D2546" s="115" t="str">
        <x:v>Parc aquatique</x:v>
      </x:c>
      <x:c r="E2546" s="115" t="n">
        <x:v>41</x:v>
      </x:c>
      <x:c r="F2546" s="115" t="str">
        <x:v>Inspection physique</x:v>
      </x:c>
      <x:c r="G2546" s="115" t="str">
        <x:v>1 niveaux ; 32 pièces ; 248 segments de mur ; 0 transitions. Inspection physique ; architecture complète encore ouverte.</x:v>
      </x:c>
      <x:c r="H2546" s="115" t="str">
        <x:v>L 410 ; l 478 ; hauteur 18 m ; choix de composition auteur ; dimensions réelles à documenter</x:v>
      </x:c>
      <x:c r="I2546" s="115" t="str">
        <x:v>À équilibrer</x:v>
      </x:c>
      <x:c r="J2546" s="115" t="str">
        <x:v>Non</x:v>
      </x:c>
      <x:c r="K2546" s="115" t="str">
        <x:v>Pièces décrites, murs, portes, niveaux et mobilier inspectables à l’échelle. Volumes réservés, raccord au seed, butin, rencontres et services de campagne restent à terminer.</x:v>
      </x:c>
    </x:row>
    <x:row r="2547" ht="96" customHeight="1">
      <x:c r="A2547" s="115" t="str">
        <x:v>EXT-MONDE-T051-V42</x:v>
      </x:c>
      <x:c r="B2547" s="115" t="str">
        <x:v>EXT-MONDE-T051</x:v>
      </x:c>
      <x:c r="C2547" s="115" t="str">
        <x:v>Parcs attractions</x:v>
      </x:c>
      <x:c r="D2547" s="115" t="str">
        <x:v>Parc aquatique</x:v>
      </x:c>
      <x:c r="E2547" s="115" t="n">
        <x:v>42</x:v>
      </x:c>
      <x:c r="F2547" s="115" t="str">
        <x:v>Inspection physique</x:v>
      </x:c>
      <x:c r="G2547" s="115" t="str">
        <x:v>1 niveaux ; 32 pièces ; 248 segments de mur ; 0 transitions. Inspection physique ; architecture complète encore ouverte.</x:v>
      </x:c>
      <x:c r="H2547" s="115" t="str">
        <x:v>L 410 ; l 478 ; hauteur 18 m ; choix de composition auteur ; dimensions réelles à documenter</x:v>
      </x:c>
      <x:c r="I2547" s="115" t="str">
        <x:v>À équilibrer</x:v>
      </x:c>
      <x:c r="J2547" s="115" t="str">
        <x:v>Non</x:v>
      </x:c>
      <x:c r="K2547" s="115" t="str">
        <x:v>Pièces décrites, murs, portes, niveaux et mobilier inspectables à l’échelle. Volumes réservés, raccord au seed, butin, rencontres et services de campagne restent à terminer.</x:v>
      </x:c>
    </x:row>
    <x:row r="2548" ht="96" customHeight="1">
      <x:c r="A2548" s="115" t="str">
        <x:v>EXT-MONDE-T051-V43</x:v>
      </x:c>
      <x:c r="B2548" s="115" t="str">
        <x:v>EXT-MONDE-T051</x:v>
      </x:c>
      <x:c r="C2548" s="115" t="str">
        <x:v>Parcs attractions</x:v>
      </x:c>
      <x:c r="D2548" s="115" t="str">
        <x:v>Parc aquatique</x:v>
      </x:c>
      <x:c r="E2548" s="115" t="n">
        <x:v>43</x:v>
      </x:c>
      <x:c r="F2548" s="115" t="str">
        <x:v>Inspection physique</x:v>
      </x:c>
      <x:c r="G2548" s="115" t="str">
        <x:v>1 niveaux ; 32 pièces ; 248 segments de mur ; 0 transitions. Inspection physique ; architecture complète encore ouverte.</x:v>
      </x:c>
      <x:c r="H2548" s="115" t="str">
        <x:v>L 410 ; l 478 ; hauteur 18 m ; choix de composition auteur ; dimensions réelles à documenter</x:v>
      </x:c>
      <x:c r="I2548" s="115" t="str">
        <x:v>À équilibrer</x:v>
      </x:c>
      <x:c r="J2548" s="115" t="str">
        <x:v>Non</x:v>
      </x:c>
      <x:c r="K2548" s="115" t="str">
        <x:v>Pièces décrites, murs, portes, niveaux et mobilier inspectables à l’échelle. Volumes réservés, raccord au seed, butin, rencontres et services de campagne restent à terminer.</x:v>
      </x:c>
    </x:row>
    <x:row r="2549" ht="96" customHeight="1">
      <x:c r="A2549" s="115" t="str">
        <x:v>EXT-MONDE-T051-V44</x:v>
      </x:c>
      <x:c r="B2549" s="115" t="str">
        <x:v>EXT-MONDE-T051</x:v>
      </x:c>
      <x:c r="C2549" s="115" t="str">
        <x:v>Parcs attractions</x:v>
      </x:c>
      <x:c r="D2549" s="115" t="str">
        <x:v>Parc aquatique</x:v>
      </x:c>
      <x:c r="E2549" s="115" t="n">
        <x:v>44</x:v>
      </x:c>
      <x:c r="F2549" s="115" t="str">
        <x:v>Inspection physique</x:v>
      </x:c>
      <x:c r="G2549" s="115" t="str">
        <x:v>1 niveaux ; 32 pièces ; 248 segments de mur ; 0 transitions. Inspection physique ; architecture complète encore ouverte.</x:v>
      </x:c>
      <x:c r="H2549" s="115" t="str">
        <x:v>L 410 ; l 478 ; hauteur 18 m ; choix de composition auteur ; dimensions réelles à documenter</x:v>
      </x:c>
      <x:c r="I2549" s="115" t="str">
        <x:v>À équilibrer</x:v>
      </x:c>
      <x:c r="J2549" s="115" t="str">
        <x:v>Non</x:v>
      </x:c>
      <x:c r="K2549" s="115" t="str">
        <x:v>Pièces décrites, murs, portes, niveaux et mobilier inspectables à l’échelle. Volumes réservés, raccord au seed, butin, rencontres et services de campagne restent à terminer.</x:v>
      </x:c>
    </x:row>
    <x:row r="2550" ht="96" customHeight="1">
      <x:c r="A2550" s="115" t="str">
        <x:v>EXT-MONDE-T051-V45</x:v>
      </x:c>
      <x:c r="B2550" s="115" t="str">
        <x:v>EXT-MONDE-T051</x:v>
      </x:c>
      <x:c r="C2550" s="115" t="str">
        <x:v>Parcs attractions</x:v>
      </x:c>
      <x:c r="D2550" s="115" t="str">
        <x:v>Parc aquatique</x:v>
      </x:c>
      <x:c r="E2550" s="115" t="n">
        <x:v>45</x:v>
      </x:c>
      <x:c r="F2550" s="115" t="str">
        <x:v>Inspection physique</x:v>
      </x:c>
      <x:c r="G2550" s="115" t="str">
        <x:v>1 niveaux ; 32 pièces ; 248 segments de mur ; 0 transitions. Inspection physique ; architecture complète encore ouverte.</x:v>
      </x:c>
      <x:c r="H2550" s="115" t="str">
        <x:v>L 410 ; l 478 ; hauteur 18 m ; choix de composition auteur ; dimensions réelles à documenter</x:v>
      </x:c>
      <x:c r="I2550" s="115" t="str">
        <x:v>À équilibrer</x:v>
      </x:c>
      <x:c r="J2550" s="115" t="str">
        <x:v>Non</x:v>
      </x:c>
      <x:c r="K2550" s="115" t="str">
        <x:v>Pièces décrites, murs, portes, niveaux et mobilier inspectables à l’échelle. Volumes réservés, raccord au seed, butin, rencontres et services de campagne restent à terminer.</x:v>
      </x:c>
    </x:row>
    <x:row r="2551" ht="96" customHeight="1">
      <x:c r="A2551" s="115" t="str">
        <x:v>EXT-MONDE-T051-V46</x:v>
      </x:c>
      <x:c r="B2551" s="115" t="str">
        <x:v>EXT-MONDE-T051</x:v>
      </x:c>
      <x:c r="C2551" s="115" t="str">
        <x:v>Parcs attractions</x:v>
      </x:c>
      <x:c r="D2551" s="115" t="str">
        <x:v>Parc aquatique</x:v>
      </x:c>
      <x:c r="E2551" s="115" t="n">
        <x:v>46</x:v>
      </x:c>
      <x:c r="F2551" s="115" t="str">
        <x:v>Inspection physique</x:v>
      </x:c>
      <x:c r="G2551" s="115" t="str">
        <x:v>1 niveaux ; 32 pièces ; 248 segments de mur ; 0 transitions. Inspection physique ; architecture complète encore ouverte.</x:v>
      </x:c>
      <x:c r="H2551" s="115" t="str">
        <x:v>L 410 ; l 478 ; hauteur 18 m ; choix de composition auteur ; dimensions réelles à documenter</x:v>
      </x:c>
      <x:c r="I2551" s="115" t="str">
        <x:v>À équilibrer</x:v>
      </x:c>
      <x:c r="J2551" s="115" t="str">
        <x:v>Non</x:v>
      </x:c>
      <x:c r="K2551" s="115" t="str">
        <x:v>Pièces décrites, murs, portes, niveaux et mobilier inspectables à l’échelle. Volumes réservés, raccord au seed, butin, rencontres et services de campagne restent à terminer.</x:v>
      </x:c>
    </x:row>
    <x:row r="2552" ht="96" customHeight="1">
      <x:c r="A2552" s="115" t="str">
        <x:v>EXT-MONDE-T051-V47</x:v>
      </x:c>
      <x:c r="B2552" s="115" t="str">
        <x:v>EXT-MONDE-T051</x:v>
      </x:c>
      <x:c r="C2552" s="115" t="str">
        <x:v>Parcs attractions</x:v>
      </x:c>
      <x:c r="D2552" s="115" t="str">
        <x:v>Parc aquatique</x:v>
      </x:c>
      <x:c r="E2552" s="115" t="n">
        <x:v>47</x:v>
      </x:c>
      <x:c r="F2552" s="115" t="str">
        <x:v>Inspection physique</x:v>
      </x:c>
      <x:c r="G2552" s="115" t="str">
        <x:v>1 niveaux ; 32 pièces ; 248 segments de mur ; 0 transitions. Inspection physique ; architecture complète encore ouverte.</x:v>
      </x:c>
      <x:c r="H2552" s="115" t="str">
        <x:v>L 410 ; l 478 ; hauteur 18 m ; choix de composition auteur ; dimensions réelles à documenter</x:v>
      </x:c>
      <x:c r="I2552" s="115" t="str">
        <x:v>À équilibrer</x:v>
      </x:c>
      <x:c r="J2552" s="115" t="str">
        <x:v>Non</x:v>
      </x:c>
      <x:c r="K2552" s="115" t="str">
        <x:v>Pièces décrites, murs, portes, niveaux et mobilier inspectables à l’échelle. Volumes réservés, raccord au seed, butin, rencontres et services de campagne restent à terminer.</x:v>
      </x:c>
    </x:row>
    <x:row r="2553" ht="96" customHeight="1">
      <x:c r="A2553" s="115" t="str">
        <x:v>EXT-MONDE-T051-V48</x:v>
      </x:c>
      <x:c r="B2553" s="115" t="str">
        <x:v>EXT-MONDE-T051</x:v>
      </x:c>
      <x:c r="C2553" s="115" t="str">
        <x:v>Parcs attractions</x:v>
      </x:c>
      <x:c r="D2553" s="115" t="str">
        <x:v>Parc aquatique</x:v>
      </x:c>
      <x:c r="E2553" s="115" t="n">
        <x:v>48</x:v>
      </x:c>
      <x:c r="F2553" s="115" t="str">
        <x:v>Inspection physique</x:v>
      </x:c>
      <x:c r="G2553" s="115" t="str">
        <x:v>1 niveaux ; 32 pièces ; 248 segments de mur ; 0 transitions. Inspection physique ; architecture complète encore ouverte.</x:v>
      </x:c>
      <x:c r="H2553" s="115" t="str">
        <x:v>L 410 ; l 478 ; hauteur 18 m ; choix de composition auteur ; dimensions réelles à documenter</x:v>
      </x:c>
      <x:c r="I2553" s="115" t="str">
        <x:v>À équilibrer</x:v>
      </x:c>
      <x:c r="J2553" s="115" t="str">
        <x:v>Non</x:v>
      </x:c>
      <x:c r="K2553" s="115" t="str">
        <x:v>Pièces décrites, murs, portes, niveaux et mobilier inspectables à l’échelle. Volumes réservés, raccord au seed, butin, rencontres et services de campagne restent à terminer.</x:v>
      </x:c>
    </x:row>
    <x:row r="2554" ht="96" customHeight="1">
      <x:c r="A2554" s="115" t="str">
        <x:v>EXT-MONDE-T051-V49</x:v>
      </x:c>
      <x:c r="B2554" s="115" t="str">
        <x:v>EXT-MONDE-T051</x:v>
      </x:c>
      <x:c r="C2554" s="115" t="str">
        <x:v>Parcs attractions</x:v>
      </x:c>
      <x:c r="D2554" s="115" t="str">
        <x:v>Parc aquatique</x:v>
      </x:c>
      <x:c r="E2554" s="115" t="n">
        <x:v>49</x:v>
      </x:c>
      <x:c r="F2554" s="115" t="str">
        <x:v>Inspection physique</x:v>
      </x:c>
      <x:c r="G2554" s="115" t="str">
        <x:v>1 niveaux ; 32 pièces ; 248 segments de mur ; 0 transitions. Inspection physique ; architecture complète encore ouverte.</x:v>
      </x:c>
      <x:c r="H2554" s="115" t="str">
        <x:v>L 410 ; l 478 ; hauteur 18 m ; choix de composition auteur ; dimensions réelles à documenter</x:v>
      </x:c>
      <x:c r="I2554" s="115" t="str">
        <x:v>À équilibrer</x:v>
      </x:c>
      <x:c r="J2554" s="115" t="str">
        <x:v>Non</x:v>
      </x:c>
      <x:c r="K2554" s="115" t="str">
        <x:v>Pièces décrites, murs, portes, niveaux et mobilier inspectables à l’échelle. Volumes réservés, raccord au seed, butin, rencontres et services de campagne restent à terminer.</x:v>
      </x:c>
    </x:row>
    <x:row r="2555" ht="96" customHeight="1">
      <x:c r="A2555" s="115" t="str">
        <x:v>EXT-MONDE-T051-V50</x:v>
      </x:c>
      <x:c r="B2555" s="115" t="str">
        <x:v>EXT-MONDE-T051</x:v>
      </x:c>
      <x:c r="C2555" s="115" t="str">
        <x:v>Parcs attractions</x:v>
      </x:c>
      <x:c r="D2555" s="115" t="str">
        <x:v>Parc aquatique</x:v>
      </x:c>
      <x:c r="E2555" s="115" t="n">
        <x:v>50</x:v>
      </x:c>
      <x:c r="F2555" s="115" t="str">
        <x:v>Inspection physique</x:v>
      </x:c>
      <x:c r="G2555" s="115" t="str">
        <x:v>1 niveaux ; 32 pièces ; 248 segments de mur ; 0 transitions. Inspection physique ; architecture complète encore ouverte.</x:v>
      </x:c>
      <x:c r="H2555" s="115" t="str">
        <x:v>L 410 ; l 478 ; hauteur 18 m ; choix de composition auteur ; dimensions réelles à documenter</x:v>
      </x:c>
      <x:c r="I2555" s="115" t="str">
        <x:v>À équilibrer</x:v>
      </x:c>
      <x:c r="J2555" s="115" t="str">
        <x:v>Non</x:v>
      </x:c>
      <x:c r="K2555" s="115" t="str">
        <x:v>Pièces décrites, murs, portes, niveaux et mobilier inspectables à l’échelle. Volumes réservés, raccord au seed, butin, rencontres et services de campagne restent à terminer.</x:v>
      </x:c>
    </x:row>
    <x:row r="2556" ht="96" customHeight="1">
      <x:c r="A2556" s="115" t="str">
        <x:v>EXT-MONDE-T052-V01</x:v>
      </x:c>
      <x:c r="B2556" s="115" t="str">
        <x:v>EXT-MONDE-T052</x:v>
      </x:c>
      <x:c r="C2556" s="115" t="str">
        <x:v>Parcs attractions</x:v>
      </x:c>
      <x:c r="D2556" s="115" t="str">
        <x:v>Parc thématique abandonné</x:v>
      </x:c>
      <x:c r="E2556" s="115" t="n">
        <x:v>1</x:v>
      </x:c>
      <x:c r="F2556" s="115" t="str">
        <x:v>Inspection physique</x:v>
      </x:c>
      <x:c r="G2556" s="115" t="str">
        <x:v>1 niveaux ; 32 pièces ; 248 segments de mur ; 0 transitions. Inspection physique ; architecture complète encore ouverte.</x:v>
      </x:c>
      <x:c r="H2556" s="115" t="str">
        <x:v>L 362 ; l 502 ; hauteur 24 m ; choix de composition auteur ; dimensions réelles à documenter</x:v>
      </x:c>
      <x:c r="I2556" s="115" t="str">
        <x:v>À équilibrer</x:v>
      </x:c>
      <x:c r="J2556" s="115" t="str">
        <x:v>Non</x:v>
      </x:c>
      <x:c r="K2556" s="115" t="str">
        <x:v>Pièces décrites, murs, portes, niveaux et mobilier inspectables à l’échelle. Volumes réservés, raccord au seed, butin, rencontres et services de campagne restent à terminer.</x:v>
      </x:c>
    </x:row>
    <x:row r="2557" ht="96" customHeight="1">
      <x:c r="A2557" s="115" t="str">
        <x:v>EXT-MONDE-T052-V02</x:v>
      </x:c>
      <x:c r="B2557" s="115" t="str">
        <x:v>EXT-MONDE-T052</x:v>
      </x:c>
      <x:c r="C2557" s="115" t="str">
        <x:v>Parcs attractions</x:v>
      </x:c>
      <x:c r="D2557" s="115" t="str">
        <x:v>Parc thématique abandonné</x:v>
      </x:c>
      <x:c r="E2557" s="115" t="n">
        <x:v>2</x:v>
      </x:c>
      <x:c r="F2557" s="115" t="str">
        <x:v>Inspection physique</x:v>
      </x:c>
      <x:c r="G2557" s="115" t="str">
        <x:v>1 niveaux ; 32 pièces ; 248 segments de mur ; 0 transitions. Inspection physique ; architecture complète encore ouverte.</x:v>
      </x:c>
      <x:c r="H2557" s="115" t="str">
        <x:v>L 362 ; l 502 ; hauteur 24 m ; choix de composition auteur ; dimensions réelles à documenter</x:v>
      </x:c>
      <x:c r="I2557" s="115" t="str">
        <x:v>À équilibrer</x:v>
      </x:c>
      <x:c r="J2557" s="115" t="str">
        <x:v>Non</x:v>
      </x:c>
      <x:c r="K2557" s="115" t="str">
        <x:v>Pièces décrites, murs, portes, niveaux et mobilier inspectables à l’échelle. Volumes réservés, raccord au seed, butin, rencontres et services de campagne restent à terminer.</x:v>
      </x:c>
    </x:row>
    <x:row r="2558" ht="96" customHeight="1">
      <x:c r="A2558" s="115" t="str">
        <x:v>EXT-MONDE-T052-V03</x:v>
      </x:c>
      <x:c r="B2558" s="115" t="str">
        <x:v>EXT-MONDE-T052</x:v>
      </x:c>
      <x:c r="C2558" s="115" t="str">
        <x:v>Parcs attractions</x:v>
      </x:c>
      <x:c r="D2558" s="115" t="str">
        <x:v>Parc thématique abandonné</x:v>
      </x:c>
      <x:c r="E2558" s="115" t="n">
        <x:v>3</x:v>
      </x:c>
      <x:c r="F2558" s="115" t="str">
        <x:v>Inspection physique</x:v>
      </x:c>
      <x:c r="G2558" s="115" t="str">
        <x:v>1 niveaux ; 32 pièces ; 248 segments de mur ; 0 transitions. Inspection physique ; architecture complète encore ouverte.</x:v>
      </x:c>
      <x:c r="H2558" s="115" t="str">
        <x:v>L 362 ; l 502 ; hauteur 24 m ; choix de composition auteur ; dimensions réelles à documenter</x:v>
      </x:c>
      <x:c r="I2558" s="115" t="str">
        <x:v>À équilibrer</x:v>
      </x:c>
      <x:c r="J2558" s="115" t="str">
        <x:v>Non</x:v>
      </x:c>
      <x:c r="K2558" s="115" t="str">
        <x:v>Pièces décrites, murs, portes, niveaux et mobilier inspectables à l’échelle. Volumes réservés, raccord au seed, butin, rencontres et services de campagne restent à terminer.</x:v>
      </x:c>
    </x:row>
    <x:row r="2559" ht="96" customHeight="1">
      <x:c r="A2559" s="115" t="str">
        <x:v>EXT-MONDE-T052-V04</x:v>
      </x:c>
      <x:c r="B2559" s="115" t="str">
        <x:v>EXT-MONDE-T052</x:v>
      </x:c>
      <x:c r="C2559" s="115" t="str">
        <x:v>Parcs attractions</x:v>
      </x:c>
      <x:c r="D2559" s="115" t="str">
        <x:v>Parc thématique abandonné</x:v>
      </x:c>
      <x:c r="E2559" s="115" t="n">
        <x:v>4</x:v>
      </x:c>
      <x:c r="F2559" s="115" t="str">
        <x:v>Inspection physique</x:v>
      </x:c>
      <x:c r="G2559" s="115" t="str">
        <x:v>1 niveaux ; 32 pièces ; 248 segments de mur ; 0 transitions. Inspection physique ; architecture complète encore ouverte.</x:v>
      </x:c>
      <x:c r="H2559" s="115" t="str">
        <x:v>L 362 ; l 502 ; hauteur 24 m ; choix de composition auteur ; dimensions réelles à documenter</x:v>
      </x:c>
      <x:c r="I2559" s="115" t="str">
        <x:v>À équilibrer</x:v>
      </x:c>
      <x:c r="J2559" s="115" t="str">
        <x:v>Non</x:v>
      </x:c>
      <x:c r="K2559" s="115" t="str">
        <x:v>Pièces décrites, murs, portes, niveaux et mobilier inspectables à l’échelle. Volumes réservés, raccord au seed, butin, rencontres et services de campagne restent à terminer.</x:v>
      </x:c>
    </x:row>
    <x:row r="2560" ht="96" customHeight="1">
      <x:c r="A2560" s="115" t="str">
        <x:v>EXT-MONDE-T052-V05</x:v>
      </x:c>
      <x:c r="B2560" s="115" t="str">
        <x:v>EXT-MONDE-T052</x:v>
      </x:c>
      <x:c r="C2560" s="115" t="str">
        <x:v>Parcs attractions</x:v>
      </x:c>
      <x:c r="D2560" s="115" t="str">
        <x:v>Parc thématique abandonné</x:v>
      </x:c>
      <x:c r="E2560" s="115" t="n">
        <x:v>5</x:v>
      </x:c>
      <x:c r="F2560" s="115" t="str">
        <x:v>Inspection physique</x:v>
      </x:c>
      <x:c r="G2560" s="115" t="str">
        <x:v>1 niveaux ; 32 pièces ; 248 segments de mur ; 0 transitions. Inspection physique ; architecture complète encore ouverte.</x:v>
      </x:c>
      <x:c r="H2560" s="115" t="str">
        <x:v>L 362 ; l 502 ; hauteur 24 m ; choix de composition auteur ; dimensions réelles à documenter</x:v>
      </x:c>
      <x:c r="I2560" s="115" t="str">
        <x:v>À équilibrer</x:v>
      </x:c>
      <x:c r="J2560" s="115" t="str">
        <x:v>Non</x:v>
      </x:c>
      <x:c r="K2560" s="115" t="str">
        <x:v>Pièces décrites, murs, portes, niveaux et mobilier inspectables à l’échelle. Volumes réservés, raccord au seed, butin, rencontres et services de campagne restent à terminer.</x:v>
      </x:c>
    </x:row>
    <x:row r="2561" ht="96" customHeight="1">
      <x:c r="A2561" s="115" t="str">
        <x:v>EXT-MONDE-T052-V06</x:v>
      </x:c>
      <x:c r="B2561" s="115" t="str">
        <x:v>EXT-MONDE-T052</x:v>
      </x:c>
      <x:c r="C2561" s="115" t="str">
        <x:v>Parcs attractions</x:v>
      </x:c>
      <x:c r="D2561" s="115" t="str">
        <x:v>Parc thématique abandonné</x:v>
      </x:c>
      <x:c r="E2561" s="115" t="n">
        <x:v>6</x:v>
      </x:c>
      <x:c r="F2561" s="115" t="str">
        <x:v>Inspection physique</x:v>
      </x:c>
      <x:c r="G2561" s="115" t="str">
        <x:v>1 niveaux ; 32 pièces ; 248 segments de mur ; 0 transitions. Inspection physique ; architecture complète encore ouverte.</x:v>
      </x:c>
      <x:c r="H2561" s="115" t="str">
        <x:v>L 362 ; l 502 ; hauteur 24 m ; choix de composition auteur ; dimensions réelles à documenter</x:v>
      </x:c>
      <x:c r="I2561" s="115" t="str">
        <x:v>À équilibrer</x:v>
      </x:c>
      <x:c r="J2561" s="115" t="str">
        <x:v>Non</x:v>
      </x:c>
      <x:c r="K2561" s="115" t="str">
        <x:v>Pièces décrites, murs, portes, niveaux et mobilier inspectables à l’échelle. Volumes réservés, raccord au seed, butin, rencontres et services de campagne restent à terminer.</x:v>
      </x:c>
    </x:row>
    <x:row r="2562" ht="96" customHeight="1">
      <x:c r="A2562" s="115" t="str">
        <x:v>EXT-MONDE-T052-V07</x:v>
      </x:c>
      <x:c r="B2562" s="115" t="str">
        <x:v>EXT-MONDE-T052</x:v>
      </x:c>
      <x:c r="C2562" s="115" t="str">
        <x:v>Parcs attractions</x:v>
      </x:c>
      <x:c r="D2562" s="115" t="str">
        <x:v>Parc thématique abandonné</x:v>
      </x:c>
      <x:c r="E2562" s="115" t="n">
        <x:v>7</x:v>
      </x:c>
      <x:c r="F2562" s="115" t="str">
        <x:v>Inspection physique</x:v>
      </x:c>
      <x:c r="G2562" s="115" t="str">
        <x:v>1 niveaux ; 32 pièces ; 248 segments de mur ; 0 transitions. Inspection physique ; architecture complète encore ouverte.</x:v>
      </x:c>
      <x:c r="H2562" s="115" t="str">
        <x:v>L 362 ; l 502 ; hauteur 24 m ; choix de composition auteur ; dimensions réelles à documenter</x:v>
      </x:c>
      <x:c r="I2562" s="115" t="str">
        <x:v>À équilibrer</x:v>
      </x:c>
      <x:c r="J2562" s="115" t="str">
        <x:v>Non</x:v>
      </x:c>
      <x:c r="K2562" s="115" t="str">
        <x:v>Pièces décrites, murs, portes, niveaux et mobilier inspectables à l’échelle. Volumes réservés, raccord au seed, butin, rencontres et services de campagne restent à terminer.</x:v>
      </x:c>
    </x:row>
    <x:row r="2563" ht="96" customHeight="1">
      <x:c r="A2563" s="115" t="str">
        <x:v>EXT-MONDE-T052-V08</x:v>
      </x:c>
      <x:c r="B2563" s="115" t="str">
        <x:v>EXT-MONDE-T052</x:v>
      </x:c>
      <x:c r="C2563" s="115" t="str">
        <x:v>Parcs attractions</x:v>
      </x:c>
      <x:c r="D2563" s="115" t="str">
        <x:v>Parc thématique abandonné</x:v>
      </x:c>
      <x:c r="E2563" s="115" t="n">
        <x:v>8</x:v>
      </x:c>
      <x:c r="F2563" s="115" t="str">
        <x:v>Inspection physique</x:v>
      </x:c>
      <x:c r="G2563" s="115" t="str">
        <x:v>1 niveaux ; 32 pièces ; 248 segments de mur ; 0 transitions. Inspection physique ; architecture complète encore ouverte.</x:v>
      </x:c>
      <x:c r="H2563" s="115" t="str">
        <x:v>L 362 ; l 502 ; hauteur 24 m ; choix de composition auteur ; dimensions réelles à documenter</x:v>
      </x:c>
      <x:c r="I2563" s="115" t="str">
        <x:v>À équilibrer</x:v>
      </x:c>
      <x:c r="J2563" s="115" t="str">
        <x:v>Non</x:v>
      </x:c>
      <x:c r="K2563" s="115" t="str">
        <x:v>Pièces décrites, murs, portes, niveaux et mobilier inspectables à l’échelle. Volumes réservés, raccord au seed, butin, rencontres et services de campagne restent à terminer.</x:v>
      </x:c>
    </x:row>
    <x:row r="2564" ht="96" customHeight="1">
      <x:c r="A2564" s="115" t="str">
        <x:v>EXT-MONDE-T052-V09</x:v>
      </x:c>
      <x:c r="B2564" s="115" t="str">
        <x:v>EXT-MONDE-T052</x:v>
      </x:c>
      <x:c r="C2564" s="115" t="str">
        <x:v>Parcs attractions</x:v>
      </x:c>
      <x:c r="D2564" s="115" t="str">
        <x:v>Parc thématique abandonné</x:v>
      </x:c>
      <x:c r="E2564" s="115" t="n">
        <x:v>9</x:v>
      </x:c>
      <x:c r="F2564" s="115" t="str">
        <x:v>Inspection physique</x:v>
      </x:c>
      <x:c r="G2564" s="115" t="str">
        <x:v>1 niveaux ; 32 pièces ; 248 segments de mur ; 0 transitions. Inspection physique ; architecture complète encore ouverte.</x:v>
      </x:c>
      <x:c r="H2564" s="115" t="str">
        <x:v>L 362 ; l 502 ; hauteur 24 m ; choix de composition auteur ; dimensions réelles à documenter</x:v>
      </x:c>
      <x:c r="I2564" s="115" t="str">
        <x:v>À équilibrer</x:v>
      </x:c>
      <x:c r="J2564" s="115" t="str">
        <x:v>Non</x:v>
      </x:c>
      <x:c r="K2564" s="115" t="str">
        <x:v>Pièces décrites, murs, portes, niveaux et mobilier inspectables à l’échelle. Volumes réservés, raccord au seed, butin, rencontres et services de campagne restent à terminer.</x:v>
      </x:c>
    </x:row>
    <x:row r="2565" ht="96" customHeight="1">
      <x:c r="A2565" s="115" t="str">
        <x:v>EXT-MONDE-T052-V10</x:v>
      </x:c>
      <x:c r="B2565" s="115" t="str">
        <x:v>EXT-MONDE-T052</x:v>
      </x:c>
      <x:c r="C2565" s="115" t="str">
        <x:v>Parcs attractions</x:v>
      </x:c>
      <x:c r="D2565" s="115" t="str">
        <x:v>Parc thématique abandonné</x:v>
      </x:c>
      <x:c r="E2565" s="115" t="n">
        <x:v>10</x:v>
      </x:c>
      <x:c r="F2565" s="115" t="str">
        <x:v>Inspection physique</x:v>
      </x:c>
      <x:c r="G2565" s="115" t="str">
        <x:v>1 niveaux ; 32 pièces ; 248 segments de mur ; 0 transitions. Inspection physique ; architecture complète encore ouverte.</x:v>
      </x:c>
      <x:c r="H2565" s="115" t="str">
        <x:v>L 362 ; l 502 ; hauteur 24 m ; choix de composition auteur ; dimensions réelles à documenter</x:v>
      </x:c>
      <x:c r="I2565" s="115" t="str">
        <x:v>À équilibrer</x:v>
      </x:c>
      <x:c r="J2565" s="115" t="str">
        <x:v>Non</x:v>
      </x:c>
      <x:c r="K2565" s="115" t="str">
        <x:v>Pièces décrites, murs, portes, niveaux et mobilier inspectables à l’échelle. Volumes réservés, raccord au seed, butin, rencontres et services de campagne restent à terminer.</x:v>
      </x:c>
    </x:row>
    <x:row r="2566" ht="96" customHeight="1">
      <x:c r="A2566" s="115" t="str">
        <x:v>EXT-MONDE-T052-V11</x:v>
      </x:c>
      <x:c r="B2566" s="115" t="str">
        <x:v>EXT-MONDE-T052</x:v>
      </x:c>
      <x:c r="C2566" s="115" t="str">
        <x:v>Parcs attractions</x:v>
      </x:c>
      <x:c r="D2566" s="115" t="str">
        <x:v>Parc thématique abandonné</x:v>
      </x:c>
      <x:c r="E2566" s="115" t="n">
        <x:v>11</x:v>
      </x:c>
      <x:c r="F2566" s="115" t="str">
        <x:v>Inspection physique</x:v>
      </x:c>
      <x:c r="G2566" s="115" t="str">
        <x:v>1 niveaux ; 32 pièces ; 248 segments de mur ; 0 transitions. Inspection physique ; architecture complète encore ouverte.</x:v>
      </x:c>
      <x:c r="H2566" s="115" t="str">
        <x:v>L 374 ; l 510 ; hauteur 24 m ; choix de composition auteur ; dimensions réelles à documenter</x:v>
      </x:c>
      <x:c r="I2566" s="115" t="str">
        <x:v>À équilibrer</x:v>
      </x:c>
      <x:c r="J2566" s="115" t="str">
        <x:v>Non</x:v>
      </x:c>
      <x:c r="K2566" s="115" t="str">
        <x:v>Pièces décrites, murs, portes, niveaux et mobilier inspectables à l’échelle. Volumes réservés, raccord au seed, butin, rencontres et services de campagne restent à terminer.</x:v>
      </x:c>
    </x:row>
    <x:row r="2567" ht="96" customHeight="1">
      <x:c r="A2567" s="115" t="str">
        <x:v>EXT-MONDE-T052-V12</x:v>
      </x:c>
      <x:c r="B2567" s="115" t="str">
        <x:v>EXT-MONDE-T052</x:v>
      </x:c>
      <x:c r="C2567" s="115" t="str">
        <x:v>Parcs attractions</x:v>
      </x:c>
      <x:c r="D2567" s="115" t="str">
        <x:v>Parc thématique abandonné</x:v>
      </x:c>
      <x:c r="E2567" s="115" t="n">
        <x:v>12</x:v>
      </x:c>
      <x:c r="F2567" s="115" t="str">
        <x:v>Inspection physique</x:v>
      </x:c>
      <x:c r="G2567" s="115" t="str">
        <x:v>1 niveaux ; 32 pièces ; 248 segments de mur ; 0 transitions. Inspection physique ; architecture complète encore ouverte.</x:v>
      </x:c>
      <x:c r="H2567" s="115" t="str">
        <x:v>L 374 ; l 510 ; hauteur 24 m ; choix de composition auteur ; dimensions réelles à documenter</x:v>
      </x:c>
      <x:c r="I2567" s="115" t="str">
        <x:v>À équilibrer</x:v>
      </x:c>
      <x:c r="J2567" s="115" t="str">
        <x:v>Non</x:v>
      </x:c>
      <x:c r="K2567" s="115" t="str">
        <x:v>Pièces décrites, murs, portes, niveaux et mobilier inspectables à l’échelle. Volumes réservés, raccord au seed, butin, rencontres et services de campagne restent à terminer.</x:v>
      </x:c>
    </x:row>
    <x:row r="2568" ht="96" customHeight="1">
      <x:c r="A2568" s="115" t="str">
        <x:v>EXT-MONDE-T052-V13</x:v>
      </x:c>
      <x:c r="B2568" s="115" t="str">
        <x:v>EXT-MONDE-T052</x:v>
      </x:c>
      <x:c r="C2568" s="115" t="str">
        <x:v>Parcs attractions</x:v>
      </x:c>
      <x:c r="D2568" s="115" t="str">
        <x:v>Parc thématique abandonné</x:v>
      </x:c>
      <x:c r="E2568" s="115" t="n">
        <x:v>13</x:v>
      </x:c>
      <x:c r="F2568" s="115" t="str">
        <x:v>Inspection physique</x:v>
      </x:c>
      <x:c r="G2568" s="115" t="str">
        <x:v>1 niveaux ; 32 pièces ; 248 segments de mur ; 0 transitions. Inspection physique ; architecture complète encore ouverte.</x:v>
      </x:c>
      <x:c r="H2568" s="115" t="str">
        <x:v>L 374 ; l 510 ; hauteur 24 m ; choix de composition auteur ; dimensions réelles à documenter</x:v>
      </x:c>
      <x:c r="I2568" s="115" t="str">
        <x:v>À équilibrer</x:v>
      </x:c>
      <x:c r="J2568" s="115" t="str">
        <x:v>Non</x:v>
      </x:c>
      <x:c r="K2568" s="115" t="str">
        <x:v>Pièces décrites, murs, portes, niveaux et mobilier inspectables à l’échelle. Volumes réservés, raccord au seed, butin, rencontres et services de campagne restent à terminer.</x:v>
      </x:c>
    </x:row>
    <x:row r="2569" ht="96" customHeight="1">
      <x:c r="A2569" s="115" t="str">
        <x:v>EXT-MONDE-T052-V14</x:v>
      </x:c>
      <x:c r="B2569" s="115" t="str">
        <x:v>EXT-MONDE-T052</x:v>
      </x:c>
      <x:c r="C2569" s="115" t="str">
        <x:v>Parcs attractions</x:v>
      </x:c>
      <x:c r="D2569" s="115" t="str">
        <x:v>Parc thématique abandonné</x:v>
      </x:c>
      <x:c r="E2569" s="115" t="n">
        <x:v>14</x:v>
      </x:c>
      <x:c r="F2569" s="115" t="str">
        <x:v>Inspection physique</x:v>
      </x:c>
      <x:c r="G2569" s="115" t="str">
        <x:v>1 niveaux ; 32 pièces ; 248 segments de mur ; 0 transitions. Inspection physique ; architecture complète encore ouverte.</x:v>
      </x:c>
      <x:c r="H2569" s="115" t="str">
        <x:v>L 374 ; l 510 ; hauteur 24 m ; choix de composition auteur ; dimensions réelles à documenter</x:v>
      </x:c>
      <x:c r="I2569" s="115" t="str">
        <x:v>À équilibrer</x:v>
      </x:c>
      <x:c r="J2569" s="115" t="str">
        <x:v>Non</x:v>
      </x:c>
      <x:c r="K2569" s="115" t="str">
        <x:v>Pièces décrites, murs, portes, niveaux et mobilier inspectables à l’échelle. Volumes réservés, raccord au seed, butin, rencontres et services de campagne restent à terminer.</x:v>
      </x:c>
    </x:row>
    <x:row r="2570" ht="96" customHeight="1">
      <x:c r="A2570" s="115" t="str">
        <x:v>EXT-MONDE-T052-V15</x:v>
      </x:c>
      <x:c r="B2570" s="115" t="str">
        <x:v>EXT-MONDE-T052</x:v>
      </x:c>
      <x:c r="C2570" s="115" t="str">
        <x:v>Parcs attractions</x:v>
      </x:c>
      <x:c r="D2570" s="115" t="str">
        <x:v>Parc thématique abandonné</x:v>
      </x:c>
      <x:c r="E2570" s="115" t="n">
        <x:v>15</x:v>
      </x:c>
      <x:c r="F2570" s="115" t="str">
        <x:v>Inspection physique</x:v>
      </x:c>
      <x:c r="G2570" s="115" t="str">
        <x:v>1 niveaux ; 32 pièces ; 248 segments de mur ; 0 transitions. Inspection physique ; architecture complète encore ouverte.</x:v>
      </x:c>
      <x:c r="H2570" s="115" t="str">
        <x:v>L 374 ; l 510 ; hauteur 24 m ; choix de composition auteur ; dimensions réelles à documenter</x:v>
      </x:c>
      <x:c r="I2570" s="115" t="str">
        <x:v>À équilibrer</x:v>
      </x:c>
      <x:c r="J2570" s="115" t="str">
        <x:v>Non</x:v>
      </x:c>
      <x:c r="K2570" s="115" t="str">
        <x:v>Pièces décrites, murs, portes, niveaux et mobilier inspectables à l’échelle. Volumes réservés, raccord au seed, butin, rencontres et services de campagne restent à terminer.</x:v>
      </x:c>
    </x:row>
    <x:row r="2571" ht="96" customHeight="1">
      <x:c r="A2571" s="115" t="str">
        <x:v>EXT-MONDE-T052-V16</x:v>
      </x:c>
      <x:c r="B2571" s="115" t="str">
        <x:v>EXT-MONDE-T052</x:v>
      </x:c>
      <x:c r="C2571" s="115" t="str">
        <x:v>Parcs attractions</x:v>
      </x:c>
      <x:c r="D2571" s="115" t="str">
        <x:v>Parc thématique abandonné</x:v>
      </x:c>
      <x:c r="E2571" s="115" t="n">
        <x:v>16</x:v>
      </x:c>
      <x:c r="F2571" s="115" t="str">
        <x:v>Inspection physique</x:v>
      </x:c>
      <x:c r="G2571" s="115" t="str">
        <x:v>1 niveaux ; 32 pièces ; 248 segments de mur ; 0 transitions. Inspection physique ; architecture complète encore ouverte.</x:v>
      </x:c>
      <x:c r="H2571" s="115" t="str">
        <x:v>L 374 ; l 510 ; hauteur 24 m ; choix de composition auteur ; dimensions réelles à documenter</x:v>
      </x:c>
      <x:c r="I2571" s="115" t="str">
        <x:v>À équilibrer</x:v>
      </x:c>
      <x:c r="J2571" s="115" t="str">
        <x:v>Non</x:v>
      </x:c>
      <x:c r="K2571" s="115" t="str">
        <x:v>Pièces décrites, murs, portes, niveaux et mobilier inspectables à l’échelle. Volumes réservés, raccord au seed, butin, rencontres et services de campagne restent à terminer.</x:v>
      </x:c>
    </x:row>
    <x:row r="2572" ht="96" customHeight="1">
      <x:c r="A2572" s="115" t="str">
        <x:v>EXT-MONDE-T052-V17</x:v>
      </x:c>
      <x:c r="B2572" s="115" t="str">
        <x:v>EXT-MONDE-T052</x:v>
      </x:c>
      <x:c r="C2572" s="115" t="str">
        <x:v>Parcs attractions</x:v>
      </x:c>
      <x:c r="D2572" s="115" t="str">
        <x:v>Parc thématique abandonné</x:v>
      </x:c>
      <x:c r="E2572" s="115" t="n">
        <x:v>17</x:v>
      </x:c>
      <x:c r="F2572" s="115" t="str">
        <x:v>Inspection physique</x:v>
      </x:c>
      <x:c r="G2572" s="115" t="str">
        <x:v>1 niveaux ; 32 pièces ; 248 segments de mur ; 0 transitions. Inspection physique ; architecture complète encore ouverte.</x:v>
      </x:c>
      <x:c r="H2572" s="115" t="str">
        <x:v>L 374 ; l 510 ; hauteur 24 m ; choix de composition auteur ; dimensions réelles à documenter</x:v>
      </x:c>
      <x:c r="I2572" s="115" t="str">
        <x:v>À équilibrer</x:v>
      </x:c>
      <x:c r="J2572" s="115" t="str">
        <x:v>Non</x:v>
      </x:c>
      <x:c r="K2572" s="115" t="str">
        <x:v>Pièces décrites, murs, portes, niveaux et mobilier inspectables à l’échelle. Volumes réservés, raccord au seed, butin, rencontres et services de campagne restent à terminer.</x:v>
      </x:c>
    </x:row>
    <x:row r="2573" ht="96" customHeight="1">
      <x:c r="A2573" s="115" t="str">
        <x:v>EXT-MONDE-T052-V18</x:v>
      </x:c>
      <x:c r="B2573" s="115" t="str">
        <x:v>EXT-MONDE-T052</x:v>
      </x:c>
      <x:c r="C2573" s="115" t="str">
        <x:v>Parcs attractions</x:v>
      </x:c>
      <x:c r="D2573" s="115" t="str">
        <x:v>Parc thématique abandonné</x:v>
      </x:c>
      <x:c r="E2573" s="115" t="n">
        <x:v>18</x:v>
      </x:c>
      <x:c r="F2573" s="115" t="str">
        <x:v>Inspection physique</x:v>
      </x:c>
      <x:c r="G2573" s="115" t="str">
        <x:v>1 niveaux ; 32 pièces ; 248 segments de mur ; 0 transitions. Inspection physique ; architecture complète encore ouverte.</x:v>
      </x:c>
      <x:c r="H2573" s="115" t="str">
        <x:v>L 374 ; l 510 ; hauteur 24 m ; choix de composition auteur ; dimensions réelles à documenter</x:v>
      </x:c>
      <x:c r="I2573" s="115" t="str">
        <x:v>À équilibrer</x:v>
      </x:c>
      <x:c r="J2573" s="115" t="str">
        <x:v>Non</x:v>
      </x:c>
      <x:c r="K2573" s="115" t="str">
        <x:v>Pièces décrites, murs, portes, niveaux et mobilier inspectables à l’échelle. Volumes réservés, raccord au seed, butin, rencontres et services de campagne restent à terminer.</x:v>
      </x:c>
    </x:row>
    <x:row r="2574" ht="96" customHeight="1">
      <x:c r="A2574" s="115" t="str">
        <x:v>EXT-MONDE-T052-V19</x:v>
      </x:c>
      <x:c r="B2574" s="115" t="str">
        <x:v>EXT-MONDE-T052</x:v>
      </x:c>
      <x:c r="C2574" s="115" t="str">
        <x:v>Parcs attractions</x:v>
      </x:c>
      <x:c r="D2574" s="115" t="str">
        <x:v>Parc thématique abandonné</x:v>
      </x:c>
      <x:c r="E2574" s="115" t="n">
        <x:v>19</x:v>
      </x:c>
      <x:c r="F2574" s="115" t="str">
        <x:v>Inspection physique</x:v>
      </x:c>
      <x:c r="G2574" s="115" t="str">
        <x:v>1 niveaux ; 32 pièces ; 248 segments de mur ; 0 transitions. Inspection physique ; architecture complète encore ouverte.</x:v>
      </x:c>
      <x:c r="H2574" s="115" t="str">
        <x:v>L 374 ; l 510 ; hauteur 24 m ; choix de composition auteur ; dimensions réelles à documenter</x:v>
      </x:c>
      <x:c r="I2574" s="115" t="str">
        <x:v>À équilibrer</x:v>
      </x:c>
      <x:c r="J2574" s="115" t="str">
        <x:v>Non</x:v>
      </x:c>
      <x:c r="K2574" s="115" t="str">
        <x:v>Pièces décrites, murs, portes, niveaux et mobilier inspectables à l’échelle. Volumes réservés, raccord au seed, butin, rencontres et services de campagne restent à terminer.</x:v>
      </x:c>
    </x:row>
    <x:row r="2575" ht="96" customHeight="1">
      <x:c r="A2575" s="115" t="str">
        <x:v>EXT-MONDE-T052-V20</x:v>
      </x:c>
      <x:c r="B2575" s="115" t="str">
        <x:v>EXT-MONDE-T052</x:v>
      </x:c>
      <x:c r="C2575" s="115" t="str">
        <x:v>Parcs attractions</x:v>
      </x:c>
      <x:c r="D2575" s="115" t="str">
        <x:v>Parc thématique abandonné</x:v>
      </x:c>
      <x:c r="E2575" s="115" t="n">
        <x:v>20</x:v>
      </x:c>
      <x:c r="F2575" s="115" t="str">
        <x:v>Inspection physique</x:v>
      </x:c>
      <x:c r="G2575" s="115" t="str">
        <x:v>1 niveaux ; 32 pièces ; 248 segments de mur ; 0 transitions. Inspection physique ; architecture complète encore ouverte.</x:v>
      </x:c>
      <x:c r="H2575" s="115" t="str">
        <x:v>L 374 ; l 510 ; hauteur 24 m ; choix de composition auteur ; dimensions réelles à documenter</x:v>
      </x:c>
      <x:c r="I2575" s="115" t="str">
        <x:v>À équilibrer</x:v>
      </x:c>
      <x:c r="J2575" s="115" t="str">
        <x:v>Non</x:v>
      </x:c>
      <x:c r="K2575" s="115" t="str">
        <x:v>Pièces décrites, murs, portes, niveaux et mobilier inspectables à l’échelle. Volumes réservés, raccord au seed, butin, rencontres et services de campagne restent à terminer.</x:v>
      </x:c>
    </x:row>
    <x:row r="2576" ht="96" customHeight="1">
      <x:c r="A2576" s="115" t="str">
        <x:v>EXT-MONDE-T052-V21</x:v>
      </x:c>
      <x:c r="B2576" s="115" t="str">
        <x:v>EXT-MONDE-T052</x:v>
      </x:c>
      <x:c r="C2576" s="115" t="str">
        <x:v>Parcs attractions</x:v>
      </x:c>
      <x:c r="D2576" s="115" t="str">
        <x:v>Parc thématique abandonné</x:v>
      </x:c>
      <x:c r="E2576" s="115" t="n">
        <x:v>21</x:v>
      </x:c>
      <x:c r="F2576" s="115" t="str">
        <x:v>Inspection physique</x:v>
      </x:c>
      <x:c r="G2576" s="115" t="str">
        <x:v>1 niveaux ; 32 pièces ; 248 segments de mur ; 0 transitions. Inspection physique ; architecture complète encore ouverte.</x:v>
      </x:c>
      <x:c r="H2576" s="115" t="str">
        <x:v>L 386 ; l 518 ; hauteur 24 m ; choix de composition auteur ; dimensions réelles à documenter</x:v>
      </x:c>
      <x:c r="I2576" s="115" t="str">
        <x:v>À équilibrer</x:v>
      </x:c>
      <x:c r="J2576" s="115" t="str">
        <x:v>Non</x:v>
      </x:c>
      <x:c r="K2576" s="115" t="str">
        <x:v>Pièces décrites, murs, portes, niveaux et mobilier inspectables à l’échelle. Volumes réservés, raccord au seed, butin, rencontres et services de campagne restent à terminer.</x:v>
      </x:c>
    </x:row>
    <x:row r="2577" ht="96" customHeight="1">
      <x:c r="A2577" s="115" t="str">
        <x:v>EXT-MONDE-T052-V22</x:v>
      </x:c>
      <x:c r="B2577" s="115" t="str">
        <x:v>EXT-MONDE-T052</x:v>
      </x:c>
      <x:c r="C2577" s="115" t="str">
        <x:v>Parcs attractions</x:v>
      </x:c>
      <x:c r="D2577" s="115" t="str">
        <x:v>Parc thématique abandonné</x:v>
      </x:c>
      <x:c r="E2577" s="115" t="n">
        <x:v>22</x:v>
      </x:c>
      <x:c r="F2577" s="115" t="str">
        <x:v>Inspection physique</x:v>
      </x:c>
      <x:c r="G2577" s="115" t="str">
        <x:v>1 niveaux ; 32 pièces ; 248 segments de mur ; 0 transitions. Inspection physique ; architecture complète encore ouverte.</x:v>
      </x:c>
      <x:c r="H2577" s="115" t="str">
        <x:v>L 386 ; l 518 ; hauteur 24 m ; choix de composition auteur ; dimensions réelles à documenter</x:v>
      </x:c>
      <x:c r="I2577" s="115" t="str">
        <x:v>À équilibrer</x:v>
      </x:c>
      <x:c r="J2577" s="115" t="str">
        <x:v>Non</x:v>
      </x:c>
      <x:c r="K2577" s="115" t="str">
        <x:v>Pièces décrites, murs, portes, niveaux et mobilier inspectables à l’échelle. Volumes réservés, raccord au seed, butin, rencontres et services de campagne restent à terminer.</x:v>
      </x:c>
    </x:row>
    <x:row r="2578" ht="96" customHeight="1">
      <x:c r="A2578" s="115" t="str">
        <x:v>EXT-MONDE-T052-V23</x:v>
      </x:c>
      <x:c r="B2578" s="115" t="str">
        <x:v>EXT-MONDE-T052</x:v>
      </x:c>
      <x:c r="C2578" s="115" t="str">
        <x:v>Parcs attractions</x:v>
      </x:c>
      <x:c r="D2578" s="115" t="str">
        <x:v>Parc thématique abandonné</x:v>
      </x:c>
      <x:c r="E2578" s="115" t="n">
        <x:v>23</x:v>
      </x:c>
      <x:c r="F2578" s="115" t="str">
        <x:v>Inspection physique</x:v>
      </x:c>
      <x:c r="G2578" s="115" t="str">
        <x:v>1 niveaux ; 32 pièces ; 248 segments de mur ; 0 transitions. Inspection physique ; architecture complète encore ouverte.</x:v>
      </x:c>
      <x:c r="H2578" s="115" t="str">
        <x:v>L 386 ; l 518 ; hauteur 24 m ; choix de composition auteur ; dimensions réelles à documenter</x:v>
      </x:c>
      <x:c r="I2578" s="115" t="str">
        <x:v>À équilibrer</x:v>
      </x:c>
      <x:c r="J2578" s="115" t="str">
        <x:v>Non</x:v>
      </x:c>
      <x:c r="K2578" s="115" t="str">
        <x:v>Pièces décrites, murs, portes, niveaux et mobilier inspectables à l’échelle. Volumes réservés, raccord au seed, butin, rencontres et services de campagne restent à terminer.</x:v>
      </x:c>
    </x:row>
    <x:row r="2579" ht="96" customHeight="1">
      <x:c r="A2579" s="115" t="str">
        <x:v>EXT-MONDE-T052-V24</x:v>
      </x:c>
      <x:c r="B2579" s="115" t="str">
        <x:v>EXT-MONDE-T052</x:v>
      </x:c>
      <x:c r="C2579" s="115" t="str">
        <x:v>Parcs attractions</x:v>
      </x:c>
      <x:c r="D2579" s="115" t="str">
        <x:v>Parc thématique abandonné</x:v>
      </x:c>
      <x:c r="E2579" s="115" t="n">
        <x:v>24</x:v>
      </x:c>
      <x:c r="F2579" s="115" t="str">
        <x:v>Inspection physique</x:v>
      </x:c>
      <x:c r="G2579" s="115" t="str">
        <x:v>1 niveaux ; 32 pièces ; 248 segments de mur ; 0 transitions. Inspection physique ; architecture complète encore ouverte.</x:v>
      </x:c>
      <x:c r="H2579" s="115" t="str">
        <x:v>L 386 ; l 518 ; hauteur 24 m ; choix de composition auteur ; dimensions réelles à documenter</x:v>
      </x:c>
      <x:c r="I2579" s="115" t="str">
        <x:v>À équilibrer</x:v>
      </x:c>
      <x:c r="J2579" s="115" t="str">
        <x:v>Non</x:v>
      </x:c>
      <x:c r="K2579" s="115" t="str">
        <x:v>Pièces décrites, murs, portes, niveaux et mobilier inspectables à l’échelle. Volumes réservés, raccord au seed, butin, rencontres et services de campagne restent à terminer.</x:v>
      </x:c>
    </x:row>
    <x:row r="2580" ht="96" customHeight="1">
      <x:c r="A2580" s="115" t="str">
        <x:v>EXT-MONDE-T052-V25</x:v>
      </x:c>
      <x:c r="B2580" s="115" t="str">
        <x:v>EXT-MONDE-T052</x:v>
      </x:c>
      <x:c r="C2580" s="115" t="str">
        <x:v>Parcs attractions</x:v>
      </x:c>
      <x:c r="D2580" s="115" t="str">
        <x:v>Parc thématique abandonné</x:v>
      </x:c>
      <x:c r="E2580" s="115" t="n">
        <x:v>25</x:v>
      </x:c>
      <x:c r="F2580" s="115" t="str">
        <x:v>Inspection physique</x:v>
      </x:c>
      <x:c r="G2580" s="115" t="str">
        <x:v>1 niveaux ; 32 pièces ; 248 segments de mur ; 0 transitions. Inspection physique ; architecture complète encore ouverte.</x:v>
      </x:c>
      <x:c r="H2580" s="115" t="str">
        <x:v>L 386 ; l 518 ; hauteur 24 m ; choix de composition auteur ; dimensions réelles à documenter</x:v>
      </x:c>
      <x:c r="I2580" s="115" t="str">
        <x:v>À équilibrer</x:v>
      </x:c>
      <x:c r="J2580" s="115" t="str">
        <x:v>Non</x:v>
      </x:c>
      <x:c r="K2580" s="115" t="str">
        <x:v>Pièces décrites, murs, portes, niveaux et mobilier inspectables à l’échelle. Volumes réservés, raccord au seed, butin, rencontres et services de campagne restent à terminer.</x:v>
      </x:c>
    </x:row>
    <x:row r="2581" ht="96" customHeight="1">
      <x:c r="A2581" s="115" t="str">
        <x:v>EXT-MONDE-T052-V26</x:v>
      </x:c>
      <x:c r="B2581" s="115" t="str">
        <x:v>EXT-MONDE-T052</x:v>
      </x:c>
      <x:c r="C2581" s="115" t="str">
        <x:v>Parcs attractions</x:v>
      </x:c>
      <x:c r="D2581" s="115" t="str">
        <x:v>Parc thématique abandonné</x:v>
      </x:c>
      <x:c r="E2581" s="115" t="n">
        <x:v>26</x:v>
      </x:c>
      <x:c r="F2581" s="115" t="str">
        <x:v>Inspection physique</x:v>
      </x:c>
      <x:c r="G2581" s="115" t="str">
        <x:v>1 niveaux ; 32 pièces ; 248 segments de mur ; 0 transitions. Inspection physique ; architecture complète encore ouverte.</x:v>
      </x:c>
      <x:c r="H2581" s="115" t="str">
        <x:v>L 386 ; l 518 ; hauteur 24 m ; choix de composition auteur ; dimensions réelles à documenter</x:v>
      </x:c>
      <x:c r="I2581" s="115" t="str">
        <x:v>À équilibrer</x:v>
      </x:c>
      <x:c r="J2581" s="115" t="str">
        <x:v>Non</x:v>
      </x:c>
      <x:c r="K2581" s="115" t="str">
        <x:v>Pièces décrites, murs, portes, niveaux et mobilier inspectables à l’échelle. Volumes réservés, raccord au seed, butin, rencontres et services de campagne restent à terminer.</x:v>
      </x:c>
    </x:row>
    <x:row r="2582" ht="96" customHeight="1">
      <x:c r="A2582" s="115" t="str">
        <x:v>EXT-MONDE-T052-V27</x:v>
      </x:c>
      <x:c r="B2582" s="115" t="str">
        <x:v>EXT-MONDE-T052</x:v>
      </x:c>
      <x:c r="C2582" s="115" t="str">
        <x:v>Parcs attractions</x:v>
      </x:c>
      <x:c r="D2582" s="115" t="str">
        <x:v>Parc thématique abandonné</x:v>
      </x:c>
      <x:c r="E2582" s="115" t="n">
        <x:v>27</x:v>
      </x:c>
      <x:c r="F2582" s="115" t="str">
        <x:v>Inspection physique</x:v>
      </x:c>
      <x:c r="G2582" s="115" t="str">
        <x:v>1 niveaux ; 32 pièces ; 248 segments de mur ; 0 transitions. Inspection physique ; architecture complète encore ouverte.</x:v>
      </x:c>
      <x:c r="H2582" s="115" t="str">
        <x:v>L 386 ; l 518 ; hauteur 24 m ; choix de composition auteur ; dimensions réelles à documenter</x:v>
      </x:c>
      <x:c r="I2582" s="115" t="str">
        <x:v>À équilibrer</x:v>
      </x:c>
      <x:c r="J2582" s="115" t="str">
        <x:v>Non</x:v>
      </x:c>
      <x:c r="K2582" s="115" t="str">
        <x:v>Pièces décrites, murs, portes, niveaux et mobilier inspectables à l’échelle. Volumes réservés, raccord au seed, butin, rencontres et services de campagne restent à terminer.</x:v>
      </x:c>
    </x:row>
    <x:row r="2583" ht="96" customHeight="1">
      <x:c r="A2583" s="115" t="str">
        <x:v>EXT-MONDE-T052-V28</x:v>
      </x:c>
      <x:c r="B2583" s="115" t="str">
        <x:v>EXT-MONDE-T052</x:v>
      </x:c>
      <x:c r="C2583" s="115" t="str">
        <x:v>Parcs attractions</x:v>
      </x:c>
      <x:c r="D2583" s="115" t="str">
        <x:v>Parc thématique abandonné</x:v>
      </x:c>
      <x:c r="E2583" s="115" t="n">
        <x:v>28</x:v>
      </x:c>
      <x:c r="F2583" s="115" t="str">
        <x:v>Inspection physique</x:v>
      </x:c>
      <x:c r="G2583" s="115" t="str">
        <x:v>1 niveaux ; 32 pièces ; 248 segments de mur ; 0 transitions. Inspection physique ; architecture complète encore ouverte.</x:v>
      </x:c>
      <x:c r="H2583" s="115" t="str">
        <x:v>L 386 ; l 518 ; hauteur 24 m ; choix de composition auteur ; dimensions réelles à documenter</x:v>
      </x:c>
      <x:c r="I2583" s="115" t="str">
        <x:v>À équilibrer</x:v>
      </x:c>
      <x:c r="J2583" s="115" t="str">
        <x:v>Non</x:v>
      </x:c>
      <x:c r="K2583" s="115" t="str">
        <x:v>Pièces décrites, murs, portes, niveaux et mobilier inspectables à l’échelle. Volumes réservés, raccord au seed, butin, rencontres et services de campagne restent à terminer.</x:v>
      </x:c>
    </x:row>
    <x:row r="2584" ht="96" customHeight="1">
      <x:c r="A2584" s="115" t="str">
        <x:v>EXT-MONDE-T052-V29</x:v>
      </x:c>
      <x:c r="B2584" s="115" t="str">
        <x:v>EXT-MONDE-T052</x:v>
      </x:c>
      <x:c r="C2584" s="115" t="str">
        <x:v>Parcs attractions</x:v>
      </x:c>
      <x:c r="D2584" s="115" t="str">
        <x:v>Parc thématique abandonné</x:v>
      </x:c>
      <x:c r="E2584" s="115" t="n">
        <x:v>29</x:v>
      </x:c>
      <x:c r="F2584" s="115" t="str">
        <x:v>Inspection physique</x:v>
      </x:c>
      <x:c r="G2584" s="115" t="str">
        <x:v>1 niveaux ; 32 pièces ; 248 segments de mur ; 0 transitions. Inspection physique ; architecture complète encore ouverte.</x:v>
      </x:c>
      <x:c r="H2584" s="115" t="str">
        <x:v>L 386 ; l 518 ; hauteur 24 m ; choix de composition auteur ; dimensions réelles à documenter</x:v>
      </x:c>
      <x:c r="I2584" s="115" t="str">
        <x:v>À équilibrer</x:v>
      </x:c>
      <x:c r="J2584" s="115" t="str">
        <x:v>Non</x:v>
      </x:c>
      <x:c r="K2584" s="115" t="str">
        <x:v>Pièces décrites, murs, portes, niveaux et mobilier inspectables à l’échelle. Volumes réservés, raccord au seed, butin, rencontres et services de campagne restent à terminer.</x:v>
      </x:c>
    </x:row>
    <x:row r="2585" ht="96" customHeight="1">
      <x:c r="A2585" s="115" t="str">
        <x:v>EXT-MONDE-T052-V30</x:v>
      </x:c>
      <x:c r="B2585" s="115" t="str">
        <x:v>EXT-MONDE-T052</x:v>
      </x:c>
      <x:c r="C2585" s="115" t="str">
        <x:v>Parcs attractions</x:v>
      </x:c>
      <x:c r="D2585" s="115" t="str">
        <x:v>Parc thématique abandonné</x:v>
      </x:c>
      <x:c r="E2585" s="115" t="n">
        <x:v>30</x:v>
      </x:c>
      <x:c r="F2585" s="115" t="str">
        <x:v>Inspection physique</x:v>
      </x:c>
      <x:c r="G2585" s="115" t="str">
        <x:v>1 niveaux ; 32 pièces ; 248 segments de mur ; 0 transitions. Inspection physique ; architecture complète encore ouverte.</x:v>
      </x:c>
      <x:c r="H2585" s="115" t="str">
        <x:v>L 386 ; l 518 ; hauteur 24 m ; choix de composition auteur ; dimensions réelles à documenter</x:v>
      </x:c>
      <x:c r="I2585" s="115" t="str">
        <x:v>À équilibrer</x:v>
      </x:c>
      <x:c r="J2585" s="115" t="str">
        <x:v>Non</x:v>
      </x:c>
      <x:c r="K2585" s="115" t="str">
        <x:v>Pièces décrites, murs, portes, niveaux et mobilier inspectables à l’échelle. Volumes réservés, raccord au seed, butin, rencontres et services de campagne restent à terminer.</x:v>
      </x:c>
    </x:row>
    <x:row r="2586" ht="96" customHeight="1">
      <x:c r="A2586" s="115" t="str">
        <x:v>EXT-MONDE-T052-V31</x:v>
      </x:c>
      <x:c r="B2586" s="115" t="str">
        <x:v>EXT-MONDE-T052</x:v>
      </x:c>
      <x:c r="C2586" s="115" t="str">
        <x:v>Parcs attractions</x:v>
      </x:c>
      <x:c r="D2586" s="115" t="str">
        <x:v>Parc thématique abandonné</x:v>
      </x:c>
      <x:c r="E2586" s="115" t="n">
        <x:v>31</x:v>
      </x:c>
      <x:c r="F2586" s="115" t="str">
        <x:v>Inspection physique</x:v>
      </x:c>
      <x:c r="G2586" s="115" t="str">
        <x:v>1 niveaux ; 32 pièces ; 248 segments de mur ; 0 transitions. Inspection physique ; architecture complète encore ouverte.</x:v>
      </x:c>
      <x:c r="H2586" s="115" t="str">
        <x:v>L 398 ; l 526 ; hauteur 24 m ; choix de composition auteur ; dimensions réelles à documenter</x:v>
      </x:c>
      <x:c r="I2586" s="115" t="str">
        <x:v>À équilibrer</x:v>
      </x:c>
      <x:c r="J2586" s="115" t="str">
        <x:v>Non</x:v>
      </x:c>
      <x:c r="K2586" s="115" t="str">
        <x:v>Pièces décrites, murs, portes, niveaux et mobilier inspectables à l’échelle. Volumes réservés, raccord au seed, butin, rencontres et services de campagne restent à terminer.</x:v>
      </x:c>
    </x:row>
    <x:row r="2587" ht="96" customHeight="1">
      <x:c r="A2587" s="115" t="str">
        <x:v>EXT-MONDE-T052-V32</x:v>
      </x:c>
      <x:c r="B2587" s="115" t="str">
        <x:v>EXT-MONDE-T052</x:v>
      </x:c>
      <x:c r="C2587" s="115" t="str">
        <x:v>Parcs attractions</x:v>
      </x:c>
      <x:c r="D2587" s="115" t="str">
        <x:v>Parc thématique abandonné</x:v>
      </x:c>
      <x:c r="E2587" s="115" t="n">
        <x:v>32</x:v>
      </x:c>
      <x:c r="F2587" s="115" t="str">
        <x:v>Inspection physique</x:v>
      </x:c>
      <x:c r="G2587" s="115" t="str">
        <x:v>1 niveaux ; 32 pièces ; 248 segments de mur ; 0 transitions. Inspection physique ; architecture complète encore ouverte.</x:v>
      </x:c>
      <x:c r="H2587" s="115" t="str">
        <x:v>L 398 ; l 526 ; hauteur 24 m ; choix de composition auteur ; dimensions réelles à documenter</x:v>
      </x:c>
      <x:c r="I2587" s="115" t="str">
        <x:v>À équilibrer</x:v>
      </x:c>
      <x:c r="J2587" s="115" t="str">
        <x:v>Non</x:v>
      </x:c>
      <x:c r="K2587" s="115" t="str">
        <x:v>Pièces décrites, murs, portes, niveaux et mobilier inspectables à l’échelle. Volumes réservés, raccord au seed, butin, rencontres et services de campagne restent à terminer.</x:v>
      </x:c>
    </x:row>
    <x:row r="2588" ht="96" customHeight="1">
      <x:c r="A2588" s="115" t="str">
        <x:v>EXT-MONDE-T052-V33</x:v>
      </x:c>
      <x:c r="B2588" s="115" t="str">
        <x:v>EXT-MONDE-T052</x:v>
      </x:c>
      <x:c r="C2588" s="115" t="str">
        <x:v>Parcs attractions</x:v>
      </x:c>
      <x:c r="D2588" s="115" t="str">
        <x:v>Parc thématique abandonné</x:v>
      </x:c>
      <x:c r="E2588" s="115" t="n">
        <x:v>33</x:v>
      </x:c>
      <x:c r="F2588" s="115" t="str">
        <x:v>Inspection physique</x:v>
      </x:c>
      <x:c r="G2588" s="115" t="str">
        <x:v>1 niveaux ; 32 pièces ; 248 segments de mur ; 0 transitions. Inspection physique ; architecture complète encore ouverte.</x:v>
      </x:c>
      <x:c r="H2588" s="115" t="str">
        <x:v>L 398 ; l 526 ; hauteur 24 m ; choix de composition auteur ; dimensions réelles à documenter</x:v>
      </x:c>
      <x:c r="I2588" s="115" t="str">
        <x:v>À équilibrer</x:v>
      </x:c>
      <x:c r="J2588" s="115" t="str">
        <x:v>Non</x:v>
      </x:c>
      <x:c r="K2588" s="115" t="str">
        <x:v>Pièces décrites, murs, portes, niveaux et mobilier inspectables à l’échelle. Volumes réservés, raccord au seed, butin, rencontres et services de campagne restent à terminer.</x:v>
      </x:c>
    </x:row>
    <x:row r="2589" ht="96" customHeight="1">
      <x:c r="A2589" s="115" t="str">
        <x:v>EXT-MONDE-T052-V34</x:v>
      </x:c>
      <x:c r="B2589" s="115" t="str">
        <x:v>EXT-MONDE-T052</x:v>
      </x:c>
      <x:c r="C2589" s="115" t="str">
        <x:v>Parcs attractions</x:v>
      </x:c>
      <x:c r="D2589" s="115" t="str">
        <x:v>Parc thématique abandonné</x:v>
      </x:c>
      <x:c r="E2589" s="115" t="n">
        <x:v>34</x:v>
      </x:c>
      <x:c r="F2589" s="115" t="str">
        <x:v>Inspection physique</x:v>
      </x:c>
      <x:c r="G2589" s="115" t="str">
        <x:v>1 niveaux ; 32 pièces ; 248 segments de mur ; 0 transitions. Inspection physique ; architecture complète encore ouverte.</x:v>
      </x:c>
      <x:c r="H2589" s="115" t="str">
        <x:v>L 398 ; l 526 ; hauteur 24 m ; choix de composition auteur ; dimensions réelles à documenter</x:v>
      </x:c>
      <x:c r="I2589" s="115" t="str">
        <x:v>À équilibrer</x:v>
      </x:c>
      <x:c r="J2589" s="115" t="str">
        <x:v>Non</x:v>
      </x:c>
      <x:c r="K2589" s="115" t="str">
        <x:v>Pièces décrites, murs, portes, niveaux et mobilier inspectables à l’échelle. Volumes réservés, raccord au seed, butin, rencontres et services de campagne restent à terminer.</x:v>
      </x:c>
    </x:row>
    <x:row r="2590" ht="96" customHeight="1">
      <x:c r="A2590" s="115" t="str">
        <x:v>EXT-MONDE-T052-V35</x:v>
      </x:c>
      <x:c r="B2590" s="115" t="str">
        <x:v>EXT-MONDE-T052</x:v>
      </x:c>
      <x:c r="C2590" s="115" t="str">
        <x:v>Parcs attractions</x:v>
      </x:c>
      <x:c r="D2590" s="115" t="str">
        <x:v>Parc thématique abandonné</x:v>
      </x:c>
      <x:c r="E2590" s="115" t="n">
        <x:v>35</x:v>
      </x:c>
      <x:c r="F2590" s="115" t="str">
        <x:v>Inspection physique</x:v>
      </x:c>
      <x:c r="G2590" s="115" t="str">
        <x:v>1 niveaux ; 32 pièces ; 248 segments de mur ; 0 transitions. Inspection physique ; architecture complète encore ouverte.</x:v>
      </x:c>
      <x:c r="H2590" s="115" t="str">
        <x:v>L 398 ; l 526 ; hauteur 24 m ; choix de composition auteur ; dimensions réelles à documenter</x:v>
      </x:c>
      <x:c r="I2590" s="115" t="str">
        <x:v>À équilibrer</x:v>
      </x:c>
      <x:c r="J2590" s="115" t="str">
        <x:v>Non</x:v>
      </x:c>
      <x:c r="K2590" s="115" t="str">
        <x:v>Pièces décrites, murs, portes, niveaux et mobilier inspectables à l’échelle. Volumes réservés, raccord au seed, butin, rencontres et services de campagne restent à terminer.</x:v>
      </x:c>
    </x:row>
    <x:row r="2591" ht="96" customHeight="1">
      <x:c r="A2591" s="115" t="str">
        <x:v>EXT-MONDE-T052-V36</x:v>
      </x:c>
      <x:c r="B2591" s="115" t="str">
        <x:v>EXT-MONDE-T052</x:v>
      </x:c>
      <x:c r="C2591" s="115" t="str">
        <x:v>Parcs attractions</x:v>
      </x:c>
      <x:c r="D2591" s="115" t="str">
        <x:v>Parc thématique abandonné</x:v>
      </x:c>
      <x:c r="E2591" s="115" t="n">
        <x:v>36</x:v>
      </x:c>
      <x:c r="F2591" s="115" t="str">
        <x:v>Inspection physique</x:v>
      </x:c>
      <x:c r="G2591" s="115" t="str">
        <x:v>1 niveaux ; 32 pièces ; 248 segments de mur ; 0 transitions. Inspection physique ; architecture complète encore ouverte.</x:v>
      </x:c>
      <x:c r="H2591" s="115" t="str">
        <x:v>L 398 ; l 526 ; hauteur 24 m ; choix de composition auteur ; dimensions réelles à documenter</x:v>
      </x:c>
      <x:c r="I2591" s="115" t="str">
        <x:v>À équilibrer</x:v>
      </x:c>
      <x:c r="J2591" s="115" t="str">
        <x:v>Non</x:v>
      </x:c>
      <x:c r="K2591" s="115" t="str">
        <x:v>Pièces décrites, murs, portes, niveaux et mobilier inspectables à l’échelle. Volumes réservés, raccord au seed, butin, rencontres et services de campagne restent à terminer.</x:v>
      </x:c>
    </x:row>
    <x:row r="2592" ht="96" customHeight="1">
      <x:c r="A2592" s="115" t="str">
        <x:v>EXT-MONDE-T052-V37</x:v>
      </x:c>
      <x:c r="B2592" s="115" t="str">
        <x:v>EXT-MONDE-T052</x:v>
      </x:c>
      <x:c r="C2592" s="115" t="str">
        <x:v>Parcs attractions</x:v>
      </x:c>
      <x:c r="D2592" s="115" t="str">
        <x:v>Parc thématique abandonné</x:v>
      </x:c>
      <x:c r="E2592" s="115" t="n">
        <x:v>37</x:v>
      </x:c>
      <x:c r="F2592" s="115" t="str">
        <x:v>Inspection physique</x:v>
      </x:c>
      <x:c r="G2592" s="115" t="str">
        <x:v>1 niveaux ; 32 pièces ; 248 segments de mur ; 0 transitions. Inspection physique ; architecture complète encore ouverte.</x:v>
      </x:c>
      <x:c r="H2592" s="115" t="str">
        <x:v>L 398 ; l 526 ; hauteur 24 m ; choix de composition auteur ; dimensions réelles à documenter</x:v>
      </x:c>
      <x:c r="I2592" s="115" t="str">
        <x:v>À équilibrer</x:v>
      </x:c>
      <x:c r="J2592" s="115" t="str">
        <x:v>Non</x:v>
      </x:c>
      <x:c r="K2592" s="115" t="str">
        <x:v>Pièces décrites, murs, portes, niveaux et mobilier inspectables à l’échelle. Volumes réservés, raccord au seed, butin, rencontres et services de campagne restent à terminer.</x:v>
      </x:c>
    </x:row>
    <x:row r="2593" ht="96" customHeight="1">
      <x:c r="A2593" s="115" t="str">
        <x:v>EXT-MONDE-T052-V38</x:v>
      </x:c>
      <x:c r="B2593" s="115" t="str">
        <x:v>EXT-MONDE-T052</x:v>
      </x:c>
      <x:c r="C2593" s="115" t="str">
        <x:v>Parcs attractions</x:v>
      </x:c>
      <x:c r="D2593" s="115" t="str">
        <x:v>Parc thématique abandonné</x:v>
      </x:c>
      <x:c r="E2593" s="115" t="n">
        <x:v>38</x:v>
      </x:c>
      <x:c r="F2593" s="115" t="str">
        <x:v>Inspection physique</x:v>
      </x:c>
      <x:c r="G2593" s="115" t="str">
        <x:v>1 niveaux ; 32 pièces ; 248 segments de mur ; 0 transitions. Inspection physique ; architecture complète encore ouverte.</x:v>
      </x:c>
      <x:c r="H2593" s="115" t="str">
        <x:v>L 398 ; l 526 ; hauteur 24 m ; choix de composition auteur ; dimensions réelles à documenter</x:v>
      </x:c>
      <x:c r="I2593" s="115" t="str">
        <x:v>À équilibrer</x:v>
      </x:c>
      <x:c r="J2593" s="115" t="str">
        <x:v>Non</x:v>
      </x:c>
      <x:c r="K2593" s="115" t="str">
        <x:v>Pièces décrites, murs, portes, niveaux et mobilier inspectables à l’échelle. Volumes réservés, raccord au seed, butin, rencontres et services de campagne restent à terminer.</x:v>
      </x:c>
    </x:row>
    <x:row r="2594" ht="96" customHeight="1">
      <x:c r="A2594" s="115" t="str">
        <x:v>EXT-MONDE-T052-V39</x:v>
      </x:c>
      <x:c r="B2594" s="115" t="str">
        <x:v>EXT-MONDE-T052</x:v>
      </x:c>
      <x:c r="C2594" s="115" t="str">
        <x:v>Parcs attractions</x:v>
      </x:c>
      <x:c r="D2594" s="115" t="str">
        <x:v>Parc thématique abandonné</x:v>
      </x:c>
      <x:c r="E2594" s="115" t="n">
        <x:v>39</x:v>
      </x:c>
      <x:c r="F2594" s="115" t="str">
        <x:v>Inspection physique</x:v>
      </x:c>
      <x:c r="G2594" s="115" t="str">
        <x:v>1 niveaux ; 32 pièces ; 248 segments de mur ; 0 transitions. Inspection physique ; architecture complète encore ouverte.</x:v>
      </x:c>
      <x:c r="H2594" s="115" t="str">
        <x:v>L 398 ; l 526 ; hauteur 24 m ; choix de composition auteur ; dimensions réelles à documenter</x:v>
      </x:c>
      <x:c r="I2594" s="115" t="str">
        <x:v>À équilibrer</x:v>
      </x:c>
      <x:c r="J2594" s="115" t="str">
        <x:v>Non</x:v>
      </x:c>
      <x:c r="K2594" s="115" t="str">
        <x:v>Pièces décrites, murs, portes, niveaux et mobilier inspectables à l’échelle. Volumes réservés, raccord au seed, butin, rencontres et services de campagne restent à terminer.</x:v>
      </x:c>
    </x:row>
    <x:row r="2595" ht="96" customHeight="1">
      <x:c r="A2595" s="115" t="str">
        <x:v>EXT-MONDE-T052-V40</x:v>
      </x:c>
      <x:c r="B2595" s="115" t="str">
        <x:v>EXT-MONDE-T052</x:v>
      </x:c>
      <x:c r="C2595" s="115" t="str">
        <x:v>Parcs attractions</x:v>
      </x:c>
      <x:c r="D2595" s="115" t="str">
        <x:v>Parc thématique abandonné</x:v>
      </x:c>
      <x:c r="E2595" s="115" t="n">
        <x:v>40</x:v>
      </x:c>
      <x:c r="F2595" s="115" t="str">
        <x:v>Inspection physique</x:v>
      </x:c>
      <x:c r="G2595" s="115" t="str">
        <x:v>1 niveaux ; 32 pièces ; 248 segments de mur ; 0 transitions. Inspection physique ; architecture complète encore ouverte.</x:v>
      </x:c>
      <x:c r="H2595" s="115" t="str">
        <x:v>L 398 ; l 526 ; hauteur 24 m ; choix de composition auteur ; dimensions réelles à documenter</x:v>
      </x:c>
      <x:c r="I2595" s="115" t="str">
        <x:v>À équilibrer</x:v>
      </x:c>
      <x:c r="J2595" s="115" t="str">
        <x:v>Non</x:v>
      </x:c>
      <x:c r="K2595" s="115" t="str">
        <x:v>Pièces décrites, murs, portes, niveaux et mobilier inspectables à l’échelle. Volumes réservés, raccord au seed, butin, rencontres et services de campagne restent à terminer.</x:v>
      </x:c>
    </x:row>
    <x:row r="2596" ht="96" customHeight="1">
      <x:c r="A2596" s="115" t="str">
        <x:v>EXT-MONDE-T052-V41</x:v>
      </x:c>
      <x:c r="B2596" s="115" t="str">
        <x:v>EXT-MONDE-T052</x:v>
      </x:c>
      <x:c r="C2596" s="115" t="str">
        <x:v>Parcs attractions</x:v>
      </x:c>
      <x:c r="D2596" s="115" t="str">
        <x:v>Parc thématique abandonné</x:v>
      </x:c>
      <x:c r="E2596" s="115" t="n">
        <x:v>41</x:v>
      </x:c>
      <x:c r="F2596" s="115" t="str">
        <x:v>Inspection physique</x:v>
      </x:c>
      <x:c r="G2596" s="115" t="str">
        <x:v>1 niveaux ; 32 pièces ; 248 segments de mur ; 0 transitions. Inspection physique ; architecture complète encore ouverte.</x:v>
      </x:c>
      <x:c r="H2596" s="115" t="str">
        <x:v>L 410 ; l 534 ; hauteur 24 m ; choix de composition auteur ; dimensions réelles à documenter</x:v>
      </x:c>
      <x:c r="I2596" s="115" t="str">
        <x:v>À équilibrer</x:v>
      </x:c>
      <x:c r="J2596" s="115" t="str">
        <x:v>Non</x:v>
      </x:c>
      <x:c r="K2596" s="115" t="str">
        <x:v>Pièces décrites, murs, portes, niveaux et mobilier inspectables à l’échelle. Volumes réservés, raccord au seed, butin, rencontres et services de campagne restent à terminer.</x:v>
      </x:c>
    </x:row>
    <x:row r="2597" ht="96" customHeight="1">
      <x:c r="A2597" s="115" t="str">
        <x:v>EXT-MONDE-T052-V42</x:v>
      </x:c>
      <x:c r="B2597" s="115" t="str">
        <x:v>EXT-MONDE-T052</x:v>
      </x:c>
      <x:c r="C2597" s="115" t="str">
        <x:v>Parcs attractions</x:v>
      </x:c>
      <x:c r="D2597" s="115" t="str">
        <x:v>Parc thématique abandonné</x:v>
      </x:c>
      <x:c r="E2597" s="115" t="n">
        <x:v>42</x:v>
      </x:c>
      <x:c r="F2597" s="115" t="str">
        <x:v>Inspection physique</x:v>
      </x:c>
      <x:c r="G2597" s="115" t="str">
        <x:v>1 niveaux ; 32 pièces ; 248 segments de mur ; 0 transitions. Inspection physique ; architecture complète encore ouverte.</x:v>
      </x:c>
      <x:c r="H2597" s="115" t="str">
        <x:v>L 410 ; l 534 ; hauteur 24 m ; choix de composition auteur ; dimensions réelles à documenter</x:v>
      </x:c>
      <x:c r="I2597" s="115" t="str">
        <x:v>À équilibrer</x:v>
      </x:c>
      <x:c r="J2597" s="115" t="str">
        <x:v>Non</x:v>
      </x:c>
      <x:c r="K2597" s="115" t="str">
        <x:v>Pièces décrites, murs, portes, niveaux et mobilier inspectables à l’échelle. Volumes réservés, raccord au seed, butin, rencontres et services de campagne restent à terminer.</x:v>
      </x:c>
    </x:row>
    <x:row r="2598" ht="96" customHeight="1">
      <x:c r="A2598" s="115" t="str">
        <x:v>EXT-MONDE-T052-V43</x:v>
      </x:c>
      <x:c r="B2598" s="115" t="str">
        <x:v>EXT-MONDE-T052</x:v>
      </x:c>
      <x:c r="C2598" s="115" t="str">
        <x:v>Parcs attractions</x:v>
      </x:c>
      <x:c r="D2598" s="115" t="str">
        <x:v>Parc thématique abandonné</x:v>
      </x:c>
      <x:c r="E2598" s="115" t="n">
        <x:v>43</x:v>
      </x:c>
      <x:c r="F2598" s="115" t="str">
        <x:v>Inspection physique</x:v>
      </x:c>
      <x:c r="G2598" s="115" t="str">
        <x:v>1 niveaux ; 32 pièces ; 248 segments de mur ; 0 transitions. Inspection physique ; architecture complète encore ouverte.</x:v>
      </x:c>
      <x:c r="H2598" s="115" t="str">
        <x:v>L 410 ; l 534 ; hauteur 24 m ; choix de composition auteur ; dimensions réelles à documenter</x:v>
      </x:c>
      <x:c r="I2598" s="115" t="str">
        <x:v>À équilibrer</x:v>
      </x:c>
      <x:c r="J2598" s="115" t="str">
        <x:v>Non</x:v>
      </x:c>
      <x:c r="K2598" s="115" t="str">
        <x:v>Pièces décrites, murs, portes, niveaux et mobilier inspectables à l’échelle. Volumes réservés, raccord au seed, butin, rencontres et services de campagne restent à terminer.</x:v>
      </x:c>
    </x:row>
    <x:row r="2599" ht="96" customHeight="1">
      <x:c r="A2599" s="115" t="str">
        <x:v>EXT-MONDE-T052-V44</x:v>
      </x:c>
      <x:c r="B2599" s="115" t="str">
        <x:v>EXT-MONDE-T052</x:v>
      </x:c>
      <x:c r="C2599" s="115" t="str">
        <x:v>Parcs attractions</x:v>
      </x:c>
      <x:c r="D2599" s="115" t="str">
        <x:v>Parc thématique abandonné</x:v>
      </x:c>
      <x:c r="E2599" s="115" t="n">
        <x:v>44</x:v>
      </x:c>
      <x:c r="F2599" s="115" t="str">
        <x:v>Inspection physique</x:v>
      </x:c>
      <x:c r="G2599" s="115" t="str">
        <x:v>1 niveaux ; 32 pièces ; 248 segments de mur ; 0 transitions. Inspection physique ; architecture complète encore ouverte.</x:v>
      </x:c>
      <x:c r="H2599" s="115" t="str">
        <x:v>L 410 ; l 534 ; hauteur 24 m ; choix de composition auteur ; dimensions réelles à documenter</x:v>
      </x:c>
      <x:c r="I2599" s="115" t="str">
        <x:v>À équilibrer</x:v>
      </x:c>
      <x:c r="J2599" s="115" t="str">
        <x:v>Non</x:v>
      </x:c>
      <x:c r="K2599" s="115" t="str">
        <x:v>Pièces décrites, murs, portes, niveaux et mobilier inspectables à l’échelle. Volumes réservés, raccord au seed, butin, rencontres et services de campagne restent à terminer.</x:v>
      </x:c>
    </x:row>
    <x:row r="2600" ht="96" customHeight="1">
      <x:c r="A2600" s="115" t="str">
        <x:v>EXT-MONDE-T052-V45</x:v>
      </x:c>
      <x:c r="B2600" s="115" t="str">
        <x:v>EXT-MONDE-T052</x:v>
      </x:c>
      <x:c r="C2600" s="115" t="str">
        <x:v>Parcs attractions</x:v>
      </x:c>
      <x:c r="D2600" s="115" t="str">
        <x:v>Parc thématique abandonné</x:v>
      </x:c>
      <x:c r="E2600" s="115" t="n">
        <x:v>45</x:v>
      </x:c>
      <x:c r="F2600" s="115" t="str">
        <x:v>Inspection physique</x:v>
      </x:c>
      <x:c r="G2600" s="115" t="str">
        <x:v>1 niveaux ; 32 pièces ; 248 segments de mur ; 0 transitions. Inspection physique ; architecture complète encore ouverte.</x:v>
      </x:c>
      <x:c r="H2600" s="115" t="str">
        <x:v>L 410 ; l 534 ; hauteur 24 m ; choix de composition auteur ; dimensions réelles à documenter</x:v>
      </x:c>
      <x:c r="I2600" s="115" t="str">
        <x:v>À équilibrer</x:v>
      </x:c>
      <x:c r="J2600" s="115" t="str">
        <x:v>Non</x:v>
      </x:c>
      <x:c r="K2600" s="115" t="str">
        <x:v>Pièces décrites, murs, portes, niveaux et mobilier inspectables à l’échelle. Volumes réservés, raccord au seed, butin, rencontres et services de campagne restent à terminer.</x:v>
      </x:c>
    </x:row>
    <x:row r="2601" ht="96" customHeight="1">
      <x:c r="A2601" s="115" t="str">
        <x:v>EXT-MONDE-T052-V46</x:v>
      </x:c>
      <x:c r="B2601" s="115" t="str">
        <x:v>EXT-MONDE-T052</x:v>
      </x:c>
      <x:c r="C2601" s="115" t="str">
        <x:v>Parcs attractions</x:v>
      </x:c>
      <x:c r="D2601" s="115" t="str">
        <x:v>Parc thématique abandonné</x:v>
      </x:c>
      <x:c r="E2601" s="115" t="n">
        <x:v>46</x:v>
      </x:c>
      <x:c r="F2601" s="115" t="str">
        <x:v>Inspection physique</x:v>
      </x:c>
      <x:c r="G2601" s="115" t="str">
        <x:v>1 niveaux ; 32 pièces ; 248 segments de mur ; 0 transitions. Inspection physique ; architecture complète encore ouverte.</x:v>
      </x:c>
      <x:c r="H2601" s="115" t="str">
        <x:v>L 410 ; l 534 ; hauteur 24 m ; choix de composition auteur ; dimensions réelles à documenter</x:v>
      </x:c>
      <x:c r="I2601" s="115" t="str">
        <x:v>À équilibrer</x:v>
      </x:c>
      <x:c r="J2601" s="115" t="str">
        <x:v>Non</x:v>
      </x:c>
      <x:c r="K2601" s="115" t="str">
        <x:v>Pièces décrites, murs, portes, niveaux et mobilier inspectables à l’échelle. Volumes réservés, raccord au seed, butin, rencontres et services de campagne restent à terminer.</x:v>
      </x:c>
    </x:row>
    <x:row r="2602" ht="96" customHeight="1">
      <x:c r="A2602" s="115" t="str">
        <x:v>EXT-MONDE-T052-V47</x:v>
      </x:c>
      <x:c r="B2602" s="115" t="str">
        <x:v>EXT-MONDE-T052</x:v>
      </x:c>
      <x:c r="C2602" s="115" t="str">
        <x:v>Parcs attractions</x:v>
      </x:c>
      <x:c r="D2602" s="115" t="str">
        <x:v>Parc thématique abandonné</x:v>
      </x:c>
      <x:c r="E2602" s="115" t="n">
        <x:v>47</x:v>
      </x:c>
      <x:c r="F2602" s="115" t="str">
        <x:v>Inspection physique</x:v>
      </x:c>
      <x:c r="G2602" s="115" t="str">
        <x:v>1 niveaux ; 32 pièces ; 248 segments de mur ; 0 transitions. Inspection physique ; architecture complète encore ouverte.</x:v>
      </x:c>
      <x:c r="H2602" s="115" t="str">
        <x:v>L 410 ; l 534 ; hauteur 24 m ; choix de composition auteur ; dimensions réelles à documenter</x:v>
      </x:c>
      <x:c r="I2602" s="115" t="str">
        <x:v>À équilibrer</x:v>
      </x:c>
      <x:c r="J2602" s="115" t="str">
        <x:v>Non</x:v>
      </x:c>
      <x:c r="K2602" s="115" t="str">
        <x:v>Pièces décrites, murs, portes, niveaux et mobilier inspectables à l’échelle. Volumes réservés, raccord au seed, butin, rencontres et services de campagne restent à terminer.</x:v>
      </x:c>
    </x:row>
    <x:row r="2603" ht="96" customHeight="1">
      <x:c r="A2603" s="115" t="str">
        <x:v>EXT-MONDE-T052-V48</x:v>
      </x:c>
      <x:c r="B2603" s="115" t="str">
        <x:v>EXT-MONDE-T052</x:v>
      </x:c>
      <x:c r="C2603" s="115" t="str">
        <x:v>Parcs attractions</x:v>
      </x:c>
      <x:c r="D2603" s="115" t="str">
        <x:v>Parc thématique abandonné</x:v>
      </x:c>
      <x:c r="E2603" s="115" t="n">
        <x:v>48</x:v>
      </x:c>
      <x:c r="F2603" s="115" t="str">
        <x:v>Inspection physique</x:v>
      </x:c>
      <x:c r="G2603" s="115" t="str">
        <x:v>1 niveaux ; 32 pièces ; 248 segments de mur ; 0 transitions. Inspection physique ; architecture complète encore ouverte.</x:v>
      </x:c>
      <x:c r="H2603" s="115" t="str">
        <x:v>L 410 ; l 534 ; hauteur 24 m ; choix de composition auteur ; dimensions réelles à documenter</x:v>
      </x:c>
      <x:c r="I2603" s="115" t="str">
        <x:v>À équilibrer</x:v>
      </x:c>
      <x:c r="J2603" s="115" t="str">
        <x:v>Non</x:v>
      </x:c>
      <x:c r="K2603" s="115" t="str">
        <x:v>Pièces décrites, murs, portes, niveaux et mobilier inspectables à l’échelle. Volumes réservés, raccord au seed, butin, rencontres et services de campagne restent à terminer.</x:v>
      </x:c>
    </x:row>
    <x:row r="2604" ht="96" customHeight="1">
      <x:c r="A2604" s="115" t="str">
        <x:v>EXT-MONDE-T052-V49</x:v>
      </x:c>
      <x:c r="B2604" s="115" t="str">
        <x:v>EXT-MONDE-T052</x:v>
      </x:c>
      <x:c r="C2604" s="115" t="str">
        <x:v>Parcs attractions</x:v>
      </x:c>
      <x:c r="D2604" s="115" t="str">
        <x:v>Parc thématique abandonné</x:v>
      </x:c>
      <x:c r="E2604" s="115" t="n">
        <x:v>49</x:v>
      </x:c>
      <x:c r="F2604" s="115" t="str">
        <x:v>Inspection physique</x:v>
      </x:c>
      <x:c r="G2604" s="115" t="str">
        <x:v>1 niveaux ; 32 pièces ; 248 segments de mur ; 0 transitions. Inspection physique ; architecture complète encore ouverte.</x:v>
      </x:c>
      <x:c r="H2604" s="115" t="str">
        <x:v>L 410 ; l 534 ; hauteur 24 m ; choix de composition auteur ; dimensions réelles à documenter</x:v>
      </x:c>
      <x:c r="I2604" s="115" t="str">
        <x:v>À équilibrer</x:v>
      </x:c>
      <x:c r="J2604" s="115" t="str">
        <x:v>Non</x:v>
      </x:c>
      <x:c r="K2604" s="115" t="str">
        <x:v>Pièces décrites, murs, portes, niveaux et mobilier inspectables à l’échelle. Volumes réservés, raccord au seed, butin, rencontres et services de campagne restent à terminer.</x:v>
      </x:c>
    </x:row>
    <x:row r="2605" ht="96" customHeight="1">
      <x:c r="A2605" s="115" t="str">
        <x:v>EXT-MONDE-T052-V50</x:v>
      </x:c>
      <x:c r="B2605" s="115" t="str">
        <x:v>EXT-MONDE-T052</x:v>
      </x:c>
      <x:c r="C2605" s="115" t="str">
        <x:v>Parcs attractions</x:v>
      </x:c>
      <x:c r="D2605" s="115" t="str">
        <x:v>Parc thématique abandonné</x:v>
      </x:c>
      <x:c r="E2605" s="115" t="n">
        <x:v>50</x:v>
      </x:c>
      <x:c r="F2605" s="115" t="str">
        <x:v>Inspection physique</x:v>
      </x:c>
      <x:c r="G2605" s="115" t="str">
        <x:v>1 niveaux ; 32 pièces ; 248 segments de mur ; 0 transitions. Inspection physique ; architecture complète encore ouverte.</x:v>
      </x:c>
      <x:c r="H2605" s="115" t="str">
        <x:v>L 410 ; l 534 ; hauteur 24 m ; choix de composition auteur ; dimensions réelles à documenter</x:v>
      </x:c>
      <x:c r="I2605" s="115" t="str">
        <x:v>À équilibrer</x:v>
      </x:c>
      <x:c r="J2605" s="115" t="str">
        <x:v>Non</x:v>
      </x:c>
      <x:c r="K2605" s="115" t="str">
        <x:v>Pièces décrites, murs, portes, niveaux et mobilier inspectables à l’échelle. Volumes réservés, raccord au seed, butin, rencontres et services de campagne restent à terminer.</x:v>
      </x:c>
    </x:row>
    <x:row r="2606" ht="96" customHeight="1">
      <x:c r="A2606" s="115" t="str">
        <x:v>EXT-MONDE-T053-V01</x:v>
      </x:c>
      <x:c r="B2606" s="115" t="str">
        <x:v>EXT-MONDE-T053</x:v>
      </x:c>
      <x:c r="C2606" s="115" t="str">
        <x:v>Usines</x:v>
      </x:c>
      <x:c r="D2606" s="115" t="str">
        <x:v>Usine agroalimentaire</x:v>
      </x:c>
      <x:c r="E2606" s="115" t="n">
        <x:v>1</x:v>
      </x:c>
      <x:c r="F2606" s="115" t="str">
        <x:v>Inspection physique</x:v>
      </x:c>
      <x:c r="G2606" s="115" t="str">
        <x:v>1 niveaux ; 38 pièces ; 291 segments de mur ; 0 transitions. Inspection physique ; architecture complète encore ouverte.</x:v>
      </x:c>
      <x:c r="H2606" s="115" t="str">
        <x:v>L 350 ; l 320 ; hauteur 6,2 m ; choix de composition auteur ; dimensions réelles à documenter</x:v>
      </x:c>
      <x:c r="I2606" s="115" t="str">
        <x:v>À équilibrer</x:v>
      </x:c>
      <x:c r="J2606" s="115" t="str">
        <x:v>Non</x:v>
      </x:c>
      <x:c r="K2606" s="115" t="str">
        <x:v>Pièces décrites, murs, portes, niveaux et mobilier inspectables à l’échelle. Volumes réservés, raccord au seed, butin, rencontres et services de campagne restent à terminer.</x:v>
      </x:c>
    </x:row>
    <x:row r="2607" ht="96" customHeight="1">
      <x:c r="A2607" s="115" t="str">
        <x:v>EXT-MONDE-T053-V02</x:v>
      </x:c>
      <x:c r="B2607" s="115" t="str">
        <x:v>EXT-MONDE-T053</x:v>
      </x:c>
      <x:c r="C2607" s="115" t="str">
        <x:v>Usines</x:v>
      </x:c>
      <x:c r="D2607" s="115" t="str">
        <x:v>Usine agroalimentaire</x:v>
      </x:c>
      <x:c r="E2607" s="115" t="n">
        <x:v>2</x:v>
      </x:c>
      <x:c r="F2607" s="115" t="str">
        <x:v>Inspection physique</x:v>
      </x:c>
      <x:c r="G2607" s="115" t="str">
        <x:v>1 niveaux ; 38 pièces ; 291 segments de mur ; 0 transitions. Inspection physique ; architecture complète encore ouverte.</x:v>
      </x:c>
      <x:c r="H2607" s="115" t="str">
        <x:v>L 350 ; l 320 ; hauteur 6,2 m ; choix de composition auteur ; dimensions réelles à documenter</x:v>
      </x:c>
      <x:c r="I2607" s="115" t="str">
        <x:v>À équilibrer</x:v>
      </x:c>
      <x:c r="J2607" s="115" t="str">
        <x:v>Non</x:v>
      </x:c>
      <x:c r="K2607" s="115" t="str">
        <x:v>Pièces décrites, murs, portes, niveaux et mobilier inspectables à l’échelle. Volumes réservés, raccord au seed, butin, rencontres et services de campagne restent à terminer.</x:v>
      </x:c>
    </x:row>
    <x:row r="2608" ht="96" customHeight="1">
      <x:c r="A2608" s="115" t="str">
        <x:v>EXT-MONDE-T053-V03</x:v>
      </x:c>
      <x:c r="B2608" s="115" t="str">
        <x:v>EXT-MONDE-T053</x:v>
      </x:c>
      <x:c r="C2608" s="115" t="str">
        <x:v>Usines</x:v>
      </x:c>
      <x:c r="D2608" s="115" t="str">
        <x:v>Usine agroalimentaire</x:v>
      </x:c>
      <x:c r="E2608" s="115" t="n">
        <x:v>3</x:v>
      </x:c>
      <x:c r="F2608" s="115" t="str">
        <x:v>Inspection physique</x:v>
      </x:c>
      <x:c r="G2608" s="115" t="str">
        <x:v>1 niveaux ; 38 pièces ; 291 segments de mur ; 0 transitions. Inspection physique ; architecture complète encore ouverte.</x:v>
      </x:c>
      <x:c r="H2608" s="115" t="str">
        <x:v>L 350 ; l 320 ; hauteur 6,2 m ; choix de composition auteur ; dimensions réelles à documenter</x:v>
      </x:c>
      <x:c r="I2608" s="115" t="str">
        <x:v>À équilibrer</x:v>
      </x:c>
      <x:c r="J2608" s="115" t="str">
        <x:v>Non</x:v>
      </x:c>
      <x:c r="K2608" s="115" t="str">
        <x:v>Pièces décrites, murs, portes, niveaux et mobilier inspectables à l’échelle. Volumes réservés, raccord au seed, butin, rencontres et services de campagne restent à terminer.</x:v>
      </x:c>
    </x:row>
    <x:row r="2609" ht="96" customHeight="1">
      <x:c r="A2609" s="115" t="str">
        <x:v>EXT-MONDE-T053-V04</x:v>
      </x:c>
      <x:c r="B2609" s="115" t="str">
        <x:v>EXT-MONDE-T053</x:v>
      </x:c>
      <x:c r="C2609" s="115" t="str">
        <x:v>Usines</x:v>
      </x:c>
      <x:c r="D2609" s="115" t="str">
        <x:v>Usine agroalimentaire</x:v>
      </x:c>
      <x:c r="E2609" s="115" t="n">
        <x:v>4</x:v>
      </x:c>
      <x:c r="F2609" s="115" t="str">
        <x:v>Inspection physique</x:v>
      </x:c>
      <x:c r="G2609" s="115" t="str">
        <x:v>1 niveaux ; 38 pièces ; 291 segments de mur ; 0 transitions. Inspection physique ; architecture complète encore ouverte.</x:v>
      </x:c>
      <x:c r="H2609" s="115" t="str">
        <x:v>L 350 ; l 320 ; hauteur 6,2 m ; choix de composition auteur ; dimensions réelles à documenter</x:v>
      </x:c>
      <x:c r="I2609" s="115" t="str">
        <x:v>À équilibrer</x:v>
      </x:c>
      <x:c r="J2609" s="115" t="str">
        <x:v>Non</x:v>
      </x:c>
      <x:c r="K2609" s="115" t="str">
        <x:v>Pièces décrites, murs, portes, niveaux et mobilier inspectables à l’échelle. Volumes réservés, raccord au seed, butin, rencontres et services de campagne restent à terminer.</x:v>
      </x:c>
    </x:row>
    <x:row r="2610" ht="96" customHeight="1">
      <x:c r="A2610" s="115" t="str">
        <x:v>EXT-MONDE-T053-V05</x:v>
      </x:c>
      <x:c r="B2610" s="115" t="str">
        <x:v>EXT-MONDE-T053</x:v>
      </x:c>
      <x:c r="C2610" s="115" t="str">
        <x:v>Usines</x:v>
      </x:c>
      <x:c r="D2610" s="115" t="str">
        <x:v>Usine agroalimentaire</x:v>
      </x:c>
      <x:c r="E2610" s="115" t="n">
        <x:v>5</x:v>
      </x:c>
      <x:c r="F2610" s="115" t="str">
        <x:v>Inspection physique</x:v>
      </x:c>
      <x:c r="G2610" s="115" t="str">
        <x:v>1 niveaux ; 38 pièces ; 291 segments de mur ; 0 transitions. Inspection physique ; architecture complète encore ouverte.</x:v>
      </x:c>
      <x:c r="H2610" s="115" t="str">
        <x:v>L 350 ; l 320 ; hauteur 6,2 m ; choix de composition auteur ; dimensions réelles à documenter</x:v>
      </x:c>
      <x:c r="I2610" s="115" t="str">
        <x:v>À équilibrer</x:v>
      </x:c>
      <x:c r="J2610" s="115" t="str">
        <x:v>Non</x:v>
      </x:c>
      <x:c r="K2610" s="115" t="str">
        <x:v>Pièces décrites, murs, portes, niveaux et mobilier inspectables à l’échelle. Volumes réservés, raccord au seed, butin, rencontres et services de campagne restent à terminer.</x:v>
      </x:c>
    </x:row>
    <x:row r="2611" ht="96" customHeight="1">
      <x:c r="A2611" s="115" t="str">
        <x:v>EXT-MONDE-T053-V06</x:v>
      </x:c>
      <x:c r="B2611" s="115" t="str">
        <x:v>EXT-MONDE-T053</x:v>
      </x:c>
      <x:c r="C2611" s="115" t="str">
        <x:v>Usines</x:v>
      </x:c>
      <x:c r="D2611" s="115" t="str">
        <x:v>Usine agroalimentaire</x:v>
      </x:c>
      <x:c r="E2611" s="115" t="n">
        <x:v>6</x:v>
      </x:c>
      <x:c r="F2611" s="115" t="str">
        <x:v>Inspection physique</x:v>
      </x:c>
      <x:c r="G2611" s="115" t="str">
        <x:v>1 niveaux ; 38 pièces ; 291 segments de mur ; 0 transitions. Inspection physique ; architecture complète encore ouverte.</x:v>
      </x:c>
      <x:c r="H2611" s="115" t="str">
        <x:v>L 350 ; l 320 ; hauteur 6,2 m ; choix de composition auteur ; dimensions réelles à documenter</x:v>
      </x:c>
      <x:c r="I2611" s="115" t="str">
        <x:v>À équilibrer</x:v>
      </x:c>
      <x:c r="J2611" s="115" t="str">
        <x:v>Non</x:v>
      </x:c>
      <x:c r="K2611" s="115" t="str">
        <x:v>Pièces décrites, murs, portes, niveaux et mobilier inspectables à l’échelle. Volumes réservés, raccord au seed, butin, rencontres et services de campagne restent à terminer.</x:v>
      </x:c>
    </x:row>
    <x:row r="2612" ht="96" customHeight="1">
      <x:c r="A2612" s="115" t="str">
        <x:v>EXT-MONDE-T053-V07</x:v>
      </x:c>
      <x:c r="B2612" s="115" t="str">
        <x:v>EXT-MONDE-T053</x:v>
      </x:c>
      <x:c r="C2612" s="115" t="str">
        <x:v>Usines</x:v>
      </x:c>
      <x:c r="D2612" s="115" t="str">
        <x:v>Usine agroalimentaire</x:v>
      </x:c>
      <x:c r="E2612" s="115" t="n">
        <x:v>7</x:v>
      </x:c>
      <x:c r="F2612" s="115" t="str">
        <x:v>Inspection physique</x:v>
      </x:c>
      <x:c r="G2612" s="115" t="str">
        <x:v>1 niveaux ; 38 pièces ; 291 segments de mur ; 0 transitions. Inspection physique ; architecture complète encore ouverte.</x:v>
      </x:c>
      <x:c r="H2612" s="115" t="str">
        <x:v>L 350 ; l 320 ; hauteur 6,2 m ; choix de composition auteur ; dimensions réelles à documenter</x:v>
      </x:c>
      <x:c r="I2612" s="115" t="str">
        <x:v>À équilibrer</x:v>
      </x:c>
      <x:c r="J2612" s="115" t="str">
        <x:v>Non</x:v>
      </x:c>
      <x:c r="K2612" s="115" t="str">
        <x:v>Pièces décrites, murs, portes, niveaux et mobilier inspectables à l’échelle. Volumes réservés, raccord au seed, butin, rencontres et services de campagne restent à terminer.</x:v>
      </x:c>
    </x:row>
    <x:row r="2613" ht="96" customHeight="1">
      <x:c r="A2613" s="115" t="str">
        <x:v>EXT-MONDE-T053-V08</x:v>
      </x:c>
      <x:c r="B2613" s="115" t="str">
        <x:v>EXT-MONDE-T053</x:v>
      </x:c>
      <x:c r="C2613" s="115" t="str">
        <x:v>Usines</x:v>
      </x:c>
      <x:c r="D2613" s="115" t="str">
        <x:v>Usine agroalimentaire</x:v>
      </x:c>
      <x:c r="E2613" s="115" t="n">
        <x:v>8</x:v>
      </x:c>
      <x:c r="F2613" s="115" t="str">
        <x:v>Inspection physique</x:v>
      </x:c>
      <x:c r="G2613" s="115" t="str">
        <x:v>1 niveaux ; 38 pièces ; 291 segments de mur ; 0 transitions. Inspection physique ; architecture complète encore ouverte.</x:v>
      </x:c>
      <x:c r="H2613" s="115" t="str">
        <x:v>L 350 ; l 320 ; hauteur 6,2 m ; choix de composition auteur ; dimensions réelles à documenter</x:v>
      </x:c>
      <x:c r="I2613" s="115" t="str">
        <x:v>À équilibrer</x:v>
      </x:c>
      <x:c r="J2613" s="115" t="str">
        <x:v>Non</x:v>
      </x:c>
      <x:c r="K2613" s="115" t="str">
        <x:v>Pièces décrites, murs, portes, niveaux et mobilier inspectables à l’échelle. Volumes réservés, raccord au seed, butin, rencontres et services de campagne restent à terminer.</x:v>
      </x:c>
    </x:row>
    <x:row r="2614" ht="96" customHeight="1">
      <x:c r="A2614" s="115" t="str">
        <x:v>EXT-MONDE-T053-V09</x:v>
      </x:c>
      <x:c r="B2614" s="115" t="str">
        <x:v>EXT-MONDE-T053</x:v>
      </x:c>
      <x:c r="C2614" s="115" t="str">
        <x:v>Usines</x:v>
      </x:c>
      <x:c r="D2614" s="115" t="str">
        <x:v>Usine agroalimentaire</x:v>
      </x:c>
      <x:c r="E2614" s="115" t="n">
        <x:v>9</x:v>
      </x:c>
      <x:c r="F2614" s="115" t="str">
        <x:v>Inspection physique</x:v>
      </x:c>
      <x:c r="G2614" s="115" t="str">
        <x:v>1 niveaux ; 38 pièces ; 291 segments de mur ; 0 transitions. Inspection physique ; architecture complète encore ouverte.</x:v>
      </x:c>
      <x:c r="H2614" s="115" t="str">
        <x:v>L 350 ; l 320 ; hauteur 6,2 m ; choix de composition auteur ; dimensions réelles à documenter</x:v>
      </x:c>
      <x:c r="I2614" s="115" t="str">
        <x:v>À équilibrer</x:v>
      </x:c>
      <x:c r="J2614" s="115" t="str">
        <x:v>Non</x:v>
      </x:c>
      <x:c r="K2614" s="115" t="str">
        <x:v>Pièces décrites, murs, portes, niveaux et mobilier inspectables à l’échelle. Volumes réservés, raccord au seed, butin, rencontres et services de campagne restent à terminer.</x:v>
      </x:c>
    </x:row>
    <x:row r="2615" ht="96" customHeight="1">
      <x:c r="A2615" s="115" t="str">
        <x:v>EXT-MONDE-T053-V10</x:v>
      </x:c>
      <x:c r="B2615" s="115" t="str">
        <x:v>EXT-MONDE-T053</x:v>
      </x:c>
      <x:c r="C2615" s="115" t="str">
        <x:v>Usines</x:v>
      </x:c>
      <x:c r="D2615" s="115" t="str">
        <x:v>Usine agroalimentaire</x:v>
      </x:c>
      <x:c r="E2615" s="115" t="n">
        <x:v>10</x:v>
      </x:c>
      <x:c r="F2615" s="115" t="str">
        <x:v>Inspection physique</x:v>
      </x:c>
      <x:c r="G2615" s="115" t="str">
        <x:v>1 niveaux ; 38 pièces ; 291 segments de mur ; 0 transitions. Inspection physique ; architecture complète encore ouverte.</x:v>
      </x:c>
      <x:c r="H2615" s="115" t="str">
        <x:v>L 350 ; l 320 ; hauteur 6,2 m ; choix de composition auteur ; dimensions réelles à documenter</x:v>
      </x:c>
      <x:c r="I2615" s="115" t="str">
        <x:v>À équilibrer</x:v>
      </x:c>
      <x:c r="J2615" s="115" t="str">
        <x:v>Non</x:v>
      </x:c>
      <x:c r="K2615" s="115" t="str">
        <x:v>Pièces décrites, murs, portes, niveaux et mobilier inspectables à l’échelle. Volumes réservés, raccord au seed, butin, rencontres et services de campagne restent à terminer.</x:v>
      </x:c>
    </x:row>
    <x:row r="2616" ht="96" customHeight="1">
      <x:c r="A2616" s="115" t="str">
        <x:v>EXT-MONDE-T053-V11</x:v>
      </x:c>
      <x:c r="B2616" s="115" t="str">
        <x:v>EXT-MONDE-T053</x:v>
      </x:c>
      <x:c r="C2616" s="115" t="str">
        <x:v>Usines</x:v>
      </x:c>
      <x:c r="D2616" s="115" t="str">
        <x:v>Usine agroalimentaire</x:v>
      </x:c>
      <x:c r="E2616" s="115" t="n">
        <x:v>11</x:v>
      </x:c>
      <x:c r="F2616" s="115" t="str">
        <x:v>Inspection physique</x:v>
      </x:c>
      <x:c r="G2616" s="115" t="str">
        <x:v>1 niveaux ; 38 pièces ; 291 segments de mur ; 0 transitions. Inspection physique ; architecture complète encore ouverte.</x:v>
      </x:c>
      <x:c r="H2616" s="115" t="str">
        <x:v>L 368 ; l 344 ; hauteur 6,45 m ; choix de composition auteur ; dimensions réelles à documenter</x:v>
      </x:c>
      <x:c r="I2616" s="115" t="str">
        <x:v>À équilibrer</x:v>
      </x:c>
      <x:c r="J2616" s="115" t="str">
        <x:v>Non</x:v>
      </x:c>
      <x:c r="K2616" s="115" t="str">
        <x:v>Pièces décrites, murs, portes, niveaux et mobilier inspectables à l’échelle. Volumes réservés, raccord au seed, butin, rencontres et services de campagne restent à terminer.</x:v>
      </x:c>
    </x:row>
    <x:row r="2617" ht="96" customHeight="1">
      <x:c r="A2617" s="115" t="str">
        <x:v>EXT-MONDE-T053-V12</x:v>
      </x:c>
      <x:c r="B2617" s="115" t="str">
        <x:v>EXT-MONDE-T053</x:v>
      </x:c>
      <x:c r="C2617" s="115" t="str">
        <x:v>Usines</x:v>
      </x:c>
      <x:c r="D2617" s="115" t="str">
        <x:v>Usine agroalimentaire</x:v>
      </x:c>
      <x:c r="E2617" s="115" t="n">
        <x:v>12</x:v>
      </x:c>
      <x:c r="F2617" s="115" t="str">
        <x:v>Inspection physique</x:v>
      </x:c>
      <x:c r="G2617" s="115" t="str">
        <x:v>1 niveaux ; 38 pièces ; 291 segments de mur ; 0 transitions. Inspection physique ; architecture complète encore ouverte.</x:v>
      </x:c>
      <x:c r="H2617" s="115" t="str">
        <x:v>L 368 ; l 344 ; hauteur 6,45 m ; choix de composition auteur ; dimensions réelles à documenter</x:v>
      </x:c>
      <x:c r="I2617" s="115" t="str">
        <x:v>À équilibrer</x:v>
      </x:c>
      <x:c r="J2617" s="115" t="str">
        <x:v>Non</x:v>
      </x:c>
      <x:c r="K2617" s="115" t="str">
        <x:v>Pièces décrites, murs, portes, niveaux et mobilier inspectables à l’échelle. Volumes réservés, raccord au seed, butin, rencontres et services de campagne restent à terminer.</x:v>
      </x:c>
    </x:row>
    <x:row r="2618" ht="96" customHeight="1">
      <x:c r="A2618" s="115" t="str">
        <x:v>EXT-MONDE-T053-V13</x:v>
      </x:c>
      <x:c r="B2618" s="115" t="str">
        <x:v>EXT-MONDE-T053</x:v>
      </x:c>
      <x:c r="C2618" s="115" t="str">
        <x:v>Usines</x:v>
      </x:c>
      <x:c r="D2618" s="115" t="str">
        <x:v>Usine agroalimentaire</x:v>
      </x:c>
      <x:c r="E2618" s="115" t="n">
        <x:v>13</x:v>
      </x:c>
      <x:c r="F2618" s="115" t="str">
        <x:v>Inspection physique</x:v>
      </x:c>
      <x:c r="G2618" s="115" t="str">
        <x:v>1 niveaux ; 38 pièces ; 291 segments de mur ; 0 transitions. Inspection physique ; architecture complète encore ouverte.</x:v>
      </x:c>
      <x:c r="H2618" s="115" t="str">
        <x:v>L 368 ; l 344 ; hauteur 6,45 m ; choix de composition auteur ; dimensions réelles à documenter</x:v>
      </x:c>
      <x:c r="I2618" s="115" t="str">
        <x:v>À équilibrer</x:v>
      </x:c>
      <x:c r="J2618" s="115" t="str">
        <x:v>Non</x:v>
      </x:c>
      <x:c r="K2618" s="115" t="str">
        <x:v>Pièces décrites, murs, portes, niveaux et mobilier inspectables à l’échelle. Volumes réservés, raccord au seed, butin, rencontres et services de campagne restent à terminer.</x:v>
      </x:c>
    </x:row>
    <x:row r="2619" ht="96" customHeight="1">
      <x:c r="A2619" s="115" t="str">
        <x:v>EXT-MONDE-T053-V14</x:v>
      </x:c>
      <x:c r="B2619" s="115" t="str">
        <x:v>EXT-MONDE-T053</x:v>
      </x:c>
      <x:c r="C2619" s="115" t="str">
        <x:v>Usines</x:v>
      </x:c>
      <x:c r="D2619" s="115" t="str">
        <x:v>Usine agroalimentaire</x:v>
      </x:c>
      <x:c r="E2619" s="115" t="n">
        <x:v>14</x:v>
      </x:c>
      <x:c r="F2619" s="115" t="str">
        <x:v>Inspection physique</x:v>
      </x:c>
      <x:c r="G2619" s="115" t="str">
        <x:v>1 niveaux ; 38 pièces ; 291 segments de mur ; 0 transitions. Inspection physique ; architecture complète encore ouverte.</x:v>
      </x:c>
      <x:c r="H2619" s="115" t="str">
        <x:v>L 368 ; l 344 ; hauteur 6,45 m ; choix de composition auteur ; dimensions réelles à documenter</x:v>
      </x:c>
      <x:c r="I2619" s="115" t="str">
        <x:v>À équilibrer</x:v>
      </x:c>
      <x:c r="J2619" s="115" t="str">
        <x:v>Non</x:v>
      </x:c>
      <x:c r="K2619" s="115" t="str">
        <x:v>Pièces décrites, murs, portes, niveaux et mobilier inspectables à l’échelle. Volumes réservés, raccord au seed, butin, rencontres et services de campagne restent à terminer.</x:v>
      </x:c>
    </x:row>
    <x:row r="2620" ht="96" customHeight="1">
      <x:c r="A2620" s="115" t="str">
        <x:v>EXT-MONDE-T053-V15</x:v>
      </x:c>
      <x:c r="B2620" s="115" t="str">
        <x:v>EXT-MONDE-T053</x:v>
      </x:c>
      <x:c r="C2620" s="115" t="str">
        <x:v>Usines</x:v>
      </x:c>
      <x:c r="D2620" s="115" t="str">
        <x:v>Usine agroalimentaire</x:v>
      </x:c>
      <x:c r="E2620" s="115" t="n">
        <x:v>15</x:v>
      </x:c>
      <x:c r="F2620" s="115" t="str">
        <x:v>Inspection physique</x:v>
      </x:c>
      <x:c r="G2620" s="115" t="str">
        <x:v>1 niveaux ; 38 pièces ; 291 segments de mur ; 0 transitions. Inspection physique ; architecture complète encore ouverte.</x:v>
      </x:c>
      <x:c r="H2620" s="115" t="str">
        <x:v>L 368 ; l 344 ; hauteur 6,45 m ; choix de composition auteur ; dimensions réelles à documenter</x:v>
      </x:c>
      <x:c r="I2620" s="115" t="str">
        <x:v>À équilibrer</x:v>
      </x:c>
      <x:c r="J2620" s="115" t="str">
        <x:v>Non</x:v>
      </x:c>
      <x:c r="K2620" s="115" t="str">
        <x:v>Pièces décrites, murs, portes, niveaux et mobilier inspectables à l’échelle. Volumes réservés, raccord au seed, butin, rencontres et services de campagne restent à terminer.</x:v>
      </x:c>
    </x:row>
    <x:row r="2621" ht="96" customHeight="1">
      <x:c r="A2621" s="115" t="str">
        <x:v>EXT-MONDE-T053-V16</x:v>
      </x:c>
      <x:c r="B2621" s="115" t="str">
        <x:v>EXT-MONDE-T053</x:v>
      </x:c>
      <x:c r="C2621" s="115" t="str">
        <x:v>Usines</x:v>
      </x:c>
      <x:c r="D2621" s="115" t="str">
        <x:v>Usine agroalimentaire</x:v>
      </x:c>
      <x:c r="E2621" s="115" t="n">
        <x:v>16</x:v>
      </x:c>
      <x:c r="F2621" s="115" t="str">
        <x:v>Inspection physique</x:v>
      </x:c>
      <x:c r="G2621" s="115" t="str">
        <x:v>1 niveaux ; 38 pièces ; 291 segments de mur ; 0 transitions. Inspection physique ; architecture complète encore ouverte.</x:v>
      </x:c>
      <x:c r="H2621" s="115" t="str">
        <x:v>L 368 ; l 344 ; hauteur 6,45 m ; choix de composition auteur ; dimensions réelles à documenter</x:v>
      </x:c>
      <x:c r="I2621" s="115" t="str">
        <x:v>À équilibrer</x:v>
      </x:c>
      <x:c r="J2621" s="115" t="str">
        <x:v>Non</x:v>
      </x:c>
      <x:c r="K2621" s="115" t="str">
        <x:v>Pièces décrites, murs, portes, niveaux et mobilier inspectables à l’échelle. Volumes réservés, raccord au seed, butin, rencontres et services de campagne restent à terminer.</x:v>
      </x:c>
    </x:row>
    <x:row r="2622" ht="96" customHeight="1">
      <x:c r="A2622" s="115" t="str">
        <x:v>EXT-MONDE-T053-V17</x:v>
      </x:c>
      <x:c r="B2622" s="115" t="str">
        <x:v>EXT-MONDE-T053</x:v>
      </x:c>
      <x:c r="C2622" s="115" t="str">
        <x:v>Usines</x:v>
      </x:c>
      <x:c r="D2622" s="115" t="str">
        <x:v>Usine agroalimentaire</x:v>
      </x:c>
      <x:c r="E2622" s="115" t="n">
        <x:v>17</x:v>
      </x:c>
      <x:c r="F2622" s="115" t="str">
        <x:v>Inspection physique</x:v>
      </x:c>
      <x:c r="G2622" s="115" t="str">
        <x:v>1 niveaux ; 38 pièces ; 291 segments de mur ; 0 transitions. Inspection physique ; architecture complète encore ouverte.</x:v>
      </x:c>
      <x:c r="H2622" s="115" t="str">
        <x:v>L 368 ; l 344 ; hauteur 6,45 m ; choix de composition auteur ; dimensions réelles à documenter</x:v>
      </x:c>
      <x:c r="I2622" s="115" t="str">
        <x:v>À équilibrer</x:v>
      </x:c>
      <x:c r="J2622" s="115" t="str">
        <x:v>Non</x:v>
      </x:c>
      <x:c r="K2622" s="115" t="str">
        <x:v>Pièces décrites, murs, portes, niveaux et mobilier inspectables à l’échelle. Volumes réservés, raccord au seed, butin, rencontres et services de campagne restent à terminer.</x:v>
      </x:c>
    </x:row>
    <x:row r="2623" ht="96" customHeight="1">
      <x:c r="A2623" s="115" t="str">
        <x:v>EXT-MONDE-T053-V18</x:v>
      </x:c>
      <x:c r="B2623" s="115" t="str">
        <x:v>EXT-MONDE-T053</x:v>
      </x:c>
      <x:c r="C2623" s="115" t="str">
        <x:v>Usines</x:v>
      </x:c>
      <x:c r="D2623" s="115" t="str">
        <x:v>Usine agroalimentaire</x:v>
      </x:c>
      <x:c r="E2623" s="115" t="n">
        <x:v>18</x:v>
      </x:c>
      <x:c r="F2623" s="115" t="str">
        <x:v>Inspection physique</x:v>
      </x:c>
      <x:c r="G2623" s="115" t="str">
        <x:v>1 niveaux ; 38 pièces ; 291 segments de mur ; 0 transitions. Inspection physique ; architecture complète encore ouverte.</x:v>
      </x:c>
      <x:c r="H2623" s="115" t="str">
        <x:v>L 368 ; l 344 ; hauteur 6,45 m ; choix de composition auteur ; dimensions réelles à documenter</x:v>
      </x:c>
      <x:c r="I2623" s="115" t="str">
        <x:v>À équilibrer</x:v>
      </x:c>
      <x:c r="J2623" s="115" t="str">
        <x:v>Non</x:v>
      </x:c>
      <x:c r="K2623" s="115" t="str">
        <x:v>Pièces décrites, murs, portes, niveaux et mobilier inspectables à l’échelle. Volumes réservés, raccord au seed, butin, rencontres et services de campagne restent à terminer.</x:v>
      </x:c>
    </x:row>
    <x:row r="2624" ht="96" customHeight="1">
      <x:c r="A2624" s="115" t="str">
        <x:v>EXT-MONDE-T053-V19</x:v>
      </x:c>
      <x:c r="B2624" s="115" t="str">
        <x:v>EXT-MONDE-T053</x:v>
      </x:c>
      <x:c r="C2624" s="115" t="str">
        <x:v>Usines</x:v>
      </x:c>
      <x:c r="D2624" s="115" t="str">
        <x:v>Usine agroalimentaire</x:v>
      </x:c>
      <x:c r="E2624" s="115" t="n">
        <x:v>19</x:v>
      </x:c>
      <x:c r="F2624" s="115" t="str">
        <x:v>Inspection physique</x:v>
      </x:c>
      <x:c r="G2624" s="115" t="str">
        <x:v>1 niveaux ; 38 pièces ; 291 segments de mur ; 0 transitions. Inspection physique ; architecture complète encore ouverte.</x:v>
      </x:c>
      <x:c r="H2624" s="115" t="str">
        <x:v>L 368 ; l 344 ; hauteur 6,45 m ; choix de composition auteur ; dimensions réelles à documenter</x:v>
      </x:c>
      <x:c r="I2624" s="115" t="str">
        <x:v>À équilibrer</x:v>
      </x:c>
      <x:c r="J2624" s="115" t="str">
        <x:v>Non</x:v>
      </x:c>
      <x:c r="K2624" s="115" t="str">
        <x:v>Pièces décrites, murs, portes, niveaux et mobilier inspectables à l’échelle. Volumes réservés, raccord au seed, butin, rencontres et services de campagne restent à terminer.</x:v>
      </x:c>
    </x:row>
    <x:row r="2625" ht="96" customHeight="1">
      <x:c r="A2625" s="115" t="str">
        <x:v>EXT-MONDE-T053-V20</x:v>
      </x:c>
      <x:c r="B2625" s="115" t="str">
        <x:v>EXT-MONDE-T053</x:v>
      </x:c>
      <x:c r="C2625" s="115" t="str">
        <x:v>Usines</x:v>
      </x:c>
      <x:c r="D2625" s="115" t="str">
        <x:v>Usine agroalimentaire</x:v>
      </x:c>
      <x:c r="E2625" s="115" t="n">
        <x:v>20</x:v>
      </x:c>
      <x:c r="F2625" s="115" t="str">
        <x:v>Inspection physique</x:v>
      </x:c>
      <x:c r="G2625" s="115" t="str">
        <x:v>1 niveaux ; 38 pièces ; 291 segments de mur ; 0 transitions. Inspection physique ; architecture complète encore ouverte.</x:v>
      </x:c>
      <x:c r="H2625" s="115" t="str">
        <x:v>L 368 ; l 344 ; hauteur 6,45 m ; choix de composition auteur ; dimensions réelles à documenter</x:v>
      </x:c>
      <x:c r="I2625" s="115" t="str">
        <x:v>À équilibrer</x:v>
      </x:c>
      <x:c r="J2625" s="115" t="str">
        <x:v>Non</x:v>
      </x:c>
      <x:c r="K2625" s="115" t="str">
        <x:v>Pièces décrites, murs, portes, niveaux et mobilier inspectables à l’échelle. Volumes réservés, raccord au seed, butin, rencontres et services de campagne restent à terminer.</x:v>
      </x:c>
    </x:row>
    <x:row r="2626" ht="96" customHeight="1">
      <x:c r="A2626" s="115" t="str">
        <x:v>EXT-MONDE-T053-V21</x:v>
      </x:c>
      <x:c r="B2626" s="115" t="str">
        <x:v>EXT-MONDE-T053</x:v>
      </x:c>
      <x:c r="C2626" s="115" t="str">
        <x:v>Usines</x:v>
      </x:c>
      <x:c r="D2626" s="115" t="str">
        <x:v>Usine agroalimentaire</x:v>
      </x:c>
      <x:c r="E2626" s="115" t="n">
        <x:v>21</x:v>
      </x:c>
      <x:c r="F2626" s="115" t="str">
        <x:v>Inspection physique</x:v>
      </x:c>
      <x:c r="G2626" s="115" t="str">
        <x:v>1 niveaux ; 38 pièces ; 291 segments de mur ; 0 transitions. Inspection physique ; architecture complète encore ouverte.</x:v>
      </x:c>
      <x:c r="H2626" s="115" t="str">
        <x:v>L 386 ; l 368 ; hauteur 6,7 m ; choix de composition auteur ; dimensions réelles à documenter</x:v>
      </x:c>
      <x:c r="I2626" s="115" t="str">
        <x:v>À équilibrer</x:v>
      </x:c>
      <x:c r="J2626" s="115" t="str">
        <x:v>Non</x:v>
      </x:c>
      <x:c r="K2626" s="115" t="str">
        <x:v>Pièces décrites, murs, portes, niveaux et mobilier inspectables à l’échelle. Volumes réservés, raccord au seed, butin, rencontres et services de campagne restent à terminer.</x:v>
      </x:c>
    </x:row>
    <x:row r="2627" ht="96" customHeight="1">
      <x:c r="A2627" s="115" t="str">
        <x:v>EXT-MONDE-T053-V22</x:v>
      </x:c>
      <x:c r="B2627" s="115" t="str">
        <x:v>EXT-MONDE-T053</x:v>
      </x:c>
      <x:c r="C2627" s="115" t="str">
        <x:v>Usines</x:v>
      </x:c>
      <x:c r="D2627" s="115" t="str">
        <x:v>Usine agroalimentaire</x:v>
      </x:c>
      <x:c r="E2627" s="115" t="n">
        <x:v>22</x:v>
      </x:c>
      <x:c r="F2627" s="115" t="str">
        <x:v>Inspection physique</x:v>
      </x:c>
      <x:c r="G2627" s="115" t="str">
        <x:v>1 niveaux ; 38 pièces ; 291 segments de mur ; 0 transitions. Inspection physique ; architecture complète encore ouverte.</x:v>
      </x:c>
      <x:c r="H2627" s="115" t="str">
        <x:v>L 386 ; l 368 ; hauteur 6,7 m ; choix de composition auteur ; dimensions réelles à documenter</x:v>
      </x:c>
      <x:c r="I2627" s="115" t="str">
        <x:v>À équilibrer</x:v>
      </x:c>
      <x:c r="J2627" s="115" t="str">
        <x:v>Non</x:v>
      </x:c>
      <x:c r="K2627" s="115" t="str">
        <x:v>Pièces décrites, murs, portes, niveaux et mobilier inspectables à l’échelle. Volumes réservés, raccord au seed, butin, rencontres et services de campagne restent à terminer.</x:v>
      </x:c>
    </x:row>
    <x:row r="2628" ht="96" customHeight="1">
      <x:c r="A2628" s="115" t="str">
        <x:v>EXT-MONDE-T053-V23</x:v>
      </x:c>
      <x:c r="B2628" s="115" t="str">
        <x:v>EXT-MONDE-T053</x:v>
      </x:c>
      <x:c r="C2628" s="115" t="str">
        <x:v>Usines</x:v>
      </x:c>
      <x:c r="D2628" s="115" t="str">
        <x:v>Usine agroalimentaire</x:v>
      </x:c>
      <x:c r="E2628" s="115" t="n">
        <x:v>23</x:v>
      </x:c>
      <x:c r="F2628" s="115" t="str">
        <x:v>Inspection physique</x:v>
      </x:c>
      <x:c r="G2628" s="115" t="str">
        <x:v>1 niveaux ; 38 pièces ; 291 segments de mur ; 0 transitions. Inspection physique ; architecture complète encore ouverte.</x:v>
      </x:c>
      <x:c r="H2628" s="115" t="str">
        <x:v>L 386 ; l 368 ; hauteur 6,7 m ; choix de composition auteur ; dimensions réelles à documenter</x:v>
      </x:c>
      <x:c r="I2628" s="115" t="str">
        <x:v>À équilibrer</x:v>
      </x:c>
      <x:c r="J2628" s="115" t="str">
        <x:v>Non</x:v>
      </x:c>
      <x:c r="K2628" s="115" t="str">
        <x:v>Pièces décrites, murs, portes, niveaux et mobilier inspectables à l’échelle. Volumes réservés, raccord au seed, butin, rencontres et services de campagne restent à terminer.</x:v>
      </x:c>
    </x:row>
    <x:row r="2629" ht="96" customHeight="1">
      <x:c r="A2629" s="115" t="str">
        <x:v>EXT-MONDE-T053-V24</x:v>
      </x:c>
      <x:c r="B2629" s="115" t="str">
        <x:v>EXT-MONDE-T053</x:v>
      </x:c>
      <x:c r="C2629" s="115" t="str">
        <x:v>Usines</x:v>
      </x:c>
      <x:c r="D2629" s="115" t="str">
        <x:v>Usine agroalimentaire</x:v>
      </x:c>
      <x:c r="E2629" s="115" t="n">
        <x:v>24</x:v>
      </x:c>
      <x:c r="F2629" s="115" t="str">
        <x:v>Inspection physique</x:v>
      </x:c>
      <x:c r="G2629" s="115" t="str">
        <x:v>1 niveaux ; 38 pièces ; 291 segments de mur ; 0 transitions. Inspection physique ; architecture complète encore ouverte.</x:v>
      </x:c>
      <x:c r="H2629" s="115" t="str">
        <x:v>L 386 ; l 368 ; hauteur 6,7 m ; choix de composition auteur ; dimensions réelles à documenter</x:v>
      </x:c>
      <x:c r="I2629" s="115" t="str">
        <x:v>À équilibrer</x:v>
      </x:c>
      <x:c r="J2629" s="115" t="str">
        <x:v>Non</x:v>
      </x:c>
      <x:c r="K2629" s="115" t="str">
        <x:v>Pièces décrites, murs, portes, niveaux et mobilier inspectables à l’échelle. Volumes réservés, raccord au seed, butin, rencontres et services de campagne restent à terminer.</x:v>
      </x:c>
    </x:row>
    <x:row r="2630" ht="96" customHeight="1">
      <x:c r="A2630" s="115" t="str">
        <x:v>EXT-MONDE-T053-V25</x:v>
      </x:c>
      <x:c r="B2630" s="115" t="str">
        <x:v>EXT-MONDE-T053</x:v>
      </x:c>
      <x:c r="C2630" s="115" t="str">
        <x:v>Usines</x:v>
      </x:c>
      <x:c r="D2630" s="115" t="str">
        <x:v>Usine agroalimentaire</x:v>
      </x:c>
      <x:c r="E2630" s="115" t="n">
        <x:v>25</x:v>
      </x:c>
      <x:c r="F2630" s="115" t="str">
        <x:v>Inspection physique</x:v>
      </x:c>
      <x:c r="G2630" s="115" t="str">
        <x:v>1 niveaux ; 38 pièces ; 291 segments de mur ; 0 transitions. Inspection physique ; architecture complète encore ouverte.</x:v>
      </x:c>
      <x:c r="H2630" s="115" t="str">
        <x:v>L 386 ; l 368 ; hauteur 6,7 m ; choix de composition auteur ; dimensions réelles à documenter</x:v>
      </x:c>
      <x:c r="I2630" s="115" t="str">
        <x:v>À équilibrer</x:v>
      </x:c>
      <x:c r="J2630" s="115" t="str">
        <x:v>Non</x:v>
      </x:c>
      <x:c r="K2630" s="115" t="str">
        <x:v>Pièces décrites, murs, portes, niveaux et mobilier inspectables à l’échelle. Volumes réservés, raccord au seed, butin, rencontres et services de campagne restent à terminer.</x:v>
      </x:c>
    </x:row>
    <x:row r="2631" ht="96" customHeight="1">
      <x:c r="A2631" s="115" t="str">
        <x:v>EXT-MONDE-T053-V26</x:v>
      </x:c>
      <x:c r="B2631" s="115" t="str">
        <x:v>EXT-MONDE-T053</x:v>
      </x:c>
      <x:c r="C2631" s="115" t="str">
        <x:v>Usines</x:v>
      </x:c>
      <x:c r="D2631" s="115" t="str">
        <x:v>Usine agroalimentaire</x:v>
      </x:c>
      <x:c r="E2631" s="115" t="n">
        <x:v>26</x:v>
      </x:c>
      <x:c r="F2631" s="115" t="str">
        <x:v>Inspection physique</x:v>
      </x:c>
      <x:c r="G2631" s="115" t="str">
        <x:v>1 niveaux ; 38 pièces ; 291 segments de mur ; 0 transitions. Inspection physique ; architecture complète encore ouverte.</x:v>
      </x:c>
      <x:c r="H2631" s="115" t="str">
        <x:v>L 386 ; l 368 ; hauteur 6,7 m ; choix de composition auteur ; dimensions réelles à documenter</x:v>
      </x:c>
      <x:c r="I2631" s="115" t="str">
        <x:v>À équilibrer</x:v>
      </x:c>
      <x:c r="J2631" s="115" t="str">
        <x:v>Non</x:v>
      </x:c>
      <x:c r="K2631" s="115" t="str">
        <x:v>Pièces décrites, murs, portes, niveaux et mobilier inspectables à l’échelle. Volumes réservés, raccord au seed, butin, rencontres et services de campagne restent à terminer.</x:v>
      </x:c>
    </x:row>
    <x:row r="2632" ht="96" customHeight="1">
      <x:c r="A2632" s="115" t="str">
        <x:v>EXT-MONDE-T053-V27</x:v>
      </x:c>
      <x:c r="B2632" s="115" t="str">
        <x:v>EXT-MONDE-T053</x:v>
      </x:c>
      <x:c r="C2632" s="115" t="str">
        <x:v>Usines</x:v>
      </x:c>
      <x:c r="D2632" s="115" t="str">
        <x:v>Usine agroalimentaire</x:v>
      </x:c>
      <x:c r="E2632" s="115" t="n">
        <x:v>27</x:v>
      </x:c>
      <x:c r="F2632" s="115" t="str">
        <x:v>Inspection physique</x:v>
      </x:c>
      <x:c r="G2632" s="115" t="str">
        <x:v>1 niveaux ; 38 pièces ; 291 segments de mur ; 0 transitions. Inspection physique ; architecture complète encore ouverte.</x:v>
      </x:c>
      <x:c r="H2632" s="115" t="str">
        <x:v>L 386 ; l 368 ; hauteur 6,7 m ; choix de composition auteur ; dimensions réelles à documenter</x:v>
      </x:c>
      <x:c r="I2632" s="115" t="str">
        <x:v>À équilibrer</x:v>
      </x:c>
      <x:c r="J2632" s="115" t="str">
        <x:v>Non</x:v>
      </x:c>
      <x:c r="K2632" s="115" t="str">
        <x:v>Pièces décrites, murs, portes, niveaux et mobilier inspectables à l’échelle. Volumes réservés, raccord au seed, butin, rencontres et services de campagne restent à terminer.</x:v>
      </x:c>
    </x:row>
    <x:row r="2633" ht="96" customHeight="1">
      <x:c r="A2633" s="115" t="str">
        <x:v>EXT-MONDE-T053-V28</x:v>
      </x:c>
      <x:c r="B2633" s="115" t="str">
        <x:v>EXT-MONDE-T053</x:v>
      </x:c>
      <x:c r="C2633" s="115" t="str">
        <x:v>Usines</x:v>
      </x:c>
      <x:c r="D2633" s="115" t="str">
        <x:v>Usine agroalimentaire</x:v>
      </x:c>
      <x:c r="E2633" s="115" t="n">
        <x:v>28</x:v>
      </x:c>
      <x:c r="F2633" s="115" t="str">
        <x:v>Inspection physique</x:v>
      </x:c>
      <x:c r="G2633" s="115" t="str">
        <x:v>1 niveaux ; 38 pièces ; 291 segments de mur ; 0 transitions. Inspection physique ; architecture complète encore ouverte.</x:v>
      </x:c>
      <x:c r="H2633" s="115" t="str">
        <x:v>L 386 ; l 368 ; hauteur 6,7 m ; choix de composition auteur ; dimensions réelles à documenter</x:v>
      </x:c>
      <x:c r="I2633" s="115" t="str">
        <x:v>À équilibrer</x:v>
      </x:c>
      <x:c r="J2633" s="115" t="str">
        <x:v>Non</x:v>
      </x:c>
      <x:c r="K2633" s="115" t="str">
        <x:v>Pièces décrites, murs, portes, niveaux et mobilier inspectables à l’échelle. Volumes réservés, raccord au seed, butin, rencontres et services de campagne restent à terminer.</x:v>
      </x:c>
    </x:row>
    <x:row r="2634" ht="96" customHeight="1">
      <x:c r="A2634" s="115" t="str">
        <x:v>EXT-MONDE-T053-V29</x:v>
      </x:c>
      <x:c r="B2634" s="115" t="str">
        <x:v>EXT-MONDE-T053</x:v>
      </x:c>
      <x:c r="C2634" s="115" t="str">
        <x:v>Usines</x:v>
      </x:c>
      <x:c r="D2634" s="115" t="str">
        <x:v>Usine agroalimentaire</x:v>
      </x:c>
      <x:c r="E2634" s="115" t="n">
        <x:v>29</x:v>
      </x:c>
      <x:c r="F2634" s="115" t="str">
        <x:v>Inspection physique</x:v>
      </x:c>
      <x:c r="G2634" s="115" t="str">
        <x:v>1 niveaux ; 38 pièces ; 291 segments de mur ; 0 transitions. Inspection physique ; architecture complète encore ouverte.</x:v>
      </x:c>
      <x:c r="H2634" s="115" t="str">
        <x:v>L 386 ; l 368 ; hauteur 6,7 m ; choix de composition auteur ; dimensions réelles à documenter</x:v>
      </x:c>
      <x:c r="I2634" s="115" t="str">
        <x:v>À équilibrer</x:v>
      </x:c>
      <x:c r="J2634" s="115" t="str">
        <x:v>Non</x:v>
      </x:c>
      <x:c r="K2634" s="115" t="str">
        <x:v>Pièces décrites, murs, portes, niveaux et mobilier inspectables à l’échelle. Volumes réservés, raccord au seed, butin, rencontres et services de campagne restent à terminer.</x:v>
      </x:c>
    </x:row>
    <x:row r="2635" ht="96" customHeight="1">
      <x:c r="A2635" s="115" t="str">
        <x:v>EXT-MONDE-T053-V30</x:v>
      </x:c>
      <x:c r="B2635" s="115" t="str">
        <x:v>EXT-MONDE-T053</x:v>
      </x:c>
      <x:c r="C2635" s="115" t="str">
        <x:v>Usines</x:v>
      </x:c>
      <x:c r="D2635" s="115" t="str">
        <x:v>Usine agroalimentaire</x:v>
      </x:c>
      <x:c r="E2635" s="115" t="n">
        <x:v>30</x:v>
      </x:c>
      <x:c r="F2635" s="115" t="str">
        <x:v>Inspection physique</x:v>
      </x:c>
      <x:c r="G2635" s="115" t="str">
        <x:v>1 niveaux ; 38 pièces ; 291 segments de mur ; 0 transitions. Inspection physique ; architecture complète encore ouverte.</x:v>
      </x:c>
      <x:c r="H2635" s="115" t="str">
        <x:v>L 386 ; l 368 ; hauteur 6,7 m ; choix de composition auteur ; dimensions réelles à documenter</x:v>
      </x:c>
      <x:c r="I2635" s="115" t="str">
        <x:v>À équilibrer</x:v>
      </x:c>
      <x:c r="J2635" s="115" t="str">
        <x:v>Non</x:v>
      </x:c>
      <x:c r="K2635" s="115" t="str">
        <x:v>Pièces décrites, murs, portes, niveaux et mobilier inspectables à l’échelle. Volumes réservés, raccord au seed, butin, rencontres et services de campagne restent à terminer.</x:v>
      </x:c>
    </x:row>
    <x:row r="2636" ht="96" customHeight="1">
      <x:c r="A2636" s="115" t="str">
        <x:v>EXT-MONDE-T053-V31</x:v>
      </x:c>
      <x:c r="B2636" s="115" t="str">
        <x:v>EXT-MONDE-T053</x:v>
      </x:c>
      <x:c r="C2636" s="115" t="str">
        <x:v>Usines</x:v>
      </x:c>
      <x:c r="D2636" s="115" t="str">
        <x:v>Usine agroalimentaire</x:v>
      </x:c>
      <x:c r="E2636" s="115" t="n">
        <x:v>31</x:v>
      </x:c>
      <x:c r="F2636" s="115" t="str">
        <x:v>Inspection physique</x:v>
      </x:c>
      <x:c r="G2636" s="115" t="str">
        <x:v>1 niveaux ; 38 pièces ; 291 segments de mur ; 0 transitions. Inspection physique ; architecture complète encore ouverte.</x:v>
      </x:c>
      <x:c r="H2636" s="115" t="str">
        <x:v>L 404 ; l 392 ; hauteur 6,95 m ; choix de composition auteur ; dimensions réelles à documenter</x:v>
      </x:c>
      <x:c r="I2636" s="115" t="str">
        <x:v>À équilibrer</x:v>
      </x:c>
      <x:c r="J2636" s="115" t="str">
        <x:v>Non</x:v>
      </x:c>
      <x:c r="K2636" s="115" t="str">
        <x:v>Pièces décrites, murs, portes, niveaux et mobilier inspectables à l’échelle. Volumes réservés, raccord au seed, butin, rencontres et services de campagne restent à terminer.</x:v>
      </x:c>
    </x:row>
    <x:row r="2637" ht="96" customHeight="1">
      <x:c r="A2637" s="115" t="str">
        <x:v>EXT-MONDE-T053-V32</x:v>
      </x:c>
      <x:c r="B2637" s="115" t="str">
        <x:v>EXT-MONDE-T053</x:v>
      </x:c>
      <x:c r="C2637" s="115" t="str">
        <x:v>Usines</x:v>
      </x:c>
      <x:c r="D2637" s="115" t="str">
        <x:v>Usine agroalimentaire</x:v>
      </x:c>
      <x:c r="E2637" s="115" t="n">
        <x:v>32</x:v>
      </x:c>
      <x:c r="F2637" s="115" t="str">
        <x:v>Inspection physique</x:v>
      </x:c>
      <x:c r="G2637" s="115" t="str">
        <x:v>1 niveaux ; 38 pièces ; 291 segments de mur ; 0 transitions. Inspection physique ; architecture complète encore ouverte.</x:v>
      </x:c>
      <x:c r="H2637" s="115" t="str">
        <x:v>L 404 ; l 392 ; hauteur 6,95 m ; choix de composition auteur ; dimensions réelles à documenter</x:v>
      </x:c>
      <x:c r="I2637" s="115" t="str">
        <x:v>À équilibrer</x:v>
      </x:c>
      <x:c r="J2637" s="115" t="str">
        <x:v>Non</x:v>
      </x:c>
      <x:c r="K2637" s="115" t="str">
        <x:v>Pièces décrites, murs, portes, niveaux et mobilier inspectables à l’échelle. Volumes réservés, raccord au seed, butin, rencontres et services de campagne restent à terminer.</x:v>
      </x:c>
    </x:row>
    <x:row r="2638" ht="96" customHeight="1">
      <x:c r="A2638" s="115" t="str">
        <x:v>EXT-MONDE-T053-V33</x:v>
      </x:c>
      <x:c r="B2638" s="115" t="str">
        <x:v>EXT-MONDE-T053</x:v>
      </x:c>
      <x:c r="C2638" s="115" t="str">
        <x:v>Usines</x:v>
      </x:c>
      <x:c r="D2638" s="115" t="str">
        <x:v>Usine agroalimentaire</x:v>
      </x:c>
      <x:c r="E2638" s="115" t="n">
        <x:v>33</x:v>
      </x:c>
      <x:c r="F2638" s="115" t="str">
        <x:v>Inspection physique</x:v>
      </x:c>
      <x:c r="G2638" s="115" t="str">
        <x:v>1 niveaux ; 38 pièces ; 291 segments de mur ; 0 transitions. Inspection physique ; architecture complète encore ouverte.</x:v>
      </x:c>
      <x:c r="H2638" s="115" t="str">
        <x:v>L 404 ; l 392 ; hauteur 6,95 m ; choix de composition auteur ; dimensions réelles à documenter</x:v>
      </x:c>
      <x:c r="I2638" s="115" t="str">
        <x:v>À équilibrer</x:v>
      </x:c>
      <x:c r="J2638" s="115" t="str">
        <x:v>Non</x:v>
      </x:c>
      <x:c r="K2638" s="115" t="str">
        <x:v>Pièces décrites, murs, portes, niveaux et mobilier inspectables à l’échelle. Volumes réservés, raccord au seed, butin, rencontres et services de campagne restent à terminer.</x:v>
      </x:c>
    </x:row>
    <x:row r="2639" ht="96" customHeight="1">
      <x:c r="A2639" s="115" t="str">
        <x:v>EXT-MONDE-T053-V34</x:v>
      </x:c>
      <x:c r="B2639" s="115" t="str">
        <x:v>EXT-MONDE-T053</x:v>
      </x:c>
      <x:c r="C2639" s="115" t="str">
        <x:v>Usines</x:v>
      </x:c>
      <x:c r="D2639" s="115" t="str">
        <x:v>Usine agroalimentaire</x:v>
      </x:c>
      <x:c r="E2639" s="115" t="n">
        <x:v>34</x:v>
      </x:c>
      <x:c r="F2639" s="115" t="str">
        <x:v>Inspection physique</x:v>
      </x:c>
      <x:c r="G2639" s="115" t="str">
        <x:v>1 niveaux ; 38 pièces ; 291 segments de mur ; 0 transitions. Inspection physique ; architecture complète encore ouverte.</x:v>
      </x:c>
      <x:c r="H2639" s="115" t="str">
        <x:v>L 404 ; l 392 ; hauteur 6,95 m ; choix de composition auteur ; dimensions réelles à documenter</x:v>
      </x:c>
      <x:c r="I2639" s="115" t="str">
        <x:v>À équilibrer</x:v>
      </x:c>
      <x:c r="J2639" s="115" t="str">
        <x:v>Non</x:v>
      </x:c>
      <x:c r="K2639" s="115" t="str">
        <x:v>Pièces décrites, murs, portes, niveaux et mobilier inspectables à l’échelle. Volumes réservés, raccord au seed, butin, rencontres et services de campagne restent à terminer.</x:v>
      </x:c>
    </x:row>
    <x:row r="2640" ht="96" customHeight="1">
      <x:c r="A2640" s="115" t="str">
        <x:v>EXT-MONDE-T053-V35</x:v>
      </x:c>
      <x:c r="B2640" s="115" t="str">
        <x:v>EXT-MONDE-T053</x:v>
      </x:c>
      <x:c r="C2640" s="115" t="str">
        <x:v>Usines</x:v>
      </x:c>
      <x:c r="D2640" s="115" t="str">
        <x:v>Usine agroalimentaire</x:v>
      </x:c>
      <x:c r="E2640" s="115" t="n">
        <x:v>35</x:v>
      </x:c>
      <x:c r="F2640" s="115" t="str">
        <x:v>Inspection physique</x:v>
      </x:c>
      <x:c r="G2640" s="115" t="str">
        <x:v>1 niveaux ; 38 pièces ; 291 segments de mur ; 0 transitions. Inspection physique ; architecture complète encore ouverte.</x:v>
      </x:c>
      <x:c r="H2640" s="115" t="str">
        <x:v>L 404 ; l 392 ; hauteur 6,95 m ; choix de composition auteur ; dimensions réelles à documenter</x:v>
      </x:c>
      <x:c r="I2640" s="115" t="str">
        <x:v>À équilibrer</x:v>
      </x:c>
      <x:c r="J2640" s="115" t="str">
        <x:v>Non</x:v>
      </x:c>
      <x:c r="K2640" s="115" t="str">
        <x:v>Pièces décrites, murs, portes, niveaux et mobilier inspectables à l’échelle. Volumes réservés, raccord au seed, butin, rencontres et services de campagne restent à terminer.</x:v>
      </x:c>
    </x:row>
    <x:row r="2641" ht="96" customHeight="1">
      <x:c r="A2641" s="115" t="str">
        <x:v>EXT-MONDE-T053-V36</x:v>
      </x:c>
      <x:c r="B2641" s="115" t="str">
        <x:v>EXT-MONDE-T053</x:v>
      </x:c>
      <x:c r="C2641" s="115" t="str">
        <x:v>Usines</x:v>
      </x:c>
      <x:c r="D2641" s="115" t="str">
        <x:v>Usine agroalimentaire</x:v>
      </x:c>
      <x:c r="E2641" s="115" t="n">
        <x:v>36</x:v>
      </x:c>
      <x:c r="F2641" s="115" t="str">
        <x:v>Inspection physique</x:v>
      </x:c>
      <x:c r="G2641" s="115" t="str">
        <x:v>1 niveaux ; 38 pièces ; 291 segments de mur ; 0 transitions. Inspection physique ; architecture complète encore ouverte.</x:v>
      </x:c>
      <x:c r="H2641" s="115" t="str">
        <x:v>L 404 ; l 392 ; hauteur 6,95 m ; choix de composition auteur ; dimensions réelles à documenter</x:v>
      </x:c>
      <x:c r="I2641" s="115" t="str">
        <x:v>À équilibrer</x:v>
      </x:c>
      <x:c r="J2641" s="115" t="str">
        <x:v>Non</x:v>
      </x:c>
      <x:c r="K2641" s="115" t="str">
        <x:v>Pièces décrites, murs, portes, niveaux et mobilier inspectables à l’échelle. Volumes réservés, raccord au seed, butin, rencontres et services de campagne restent à terminer.</x:v>
      </x:c>
    </x:row>
    <x:row r="2642" ht="96" customHeight="1">
      <x:c r="A2642" s="115" t="str">
        <x:v>EXT-MONDE-T053-V37</x:v>
      </x:c>
      <x:c r="B2642" s="115" t="str">
        <x:v>EXT-MONDE-T053</x:v>
      </x:c>
      <x:c r="C2642" s="115" t="str">
        <x:v>Usines</x:v>
      </x:c>
      <x:c r="D2642" s="115" t="str">
        <x:v>Usine agroalimentaire</x:v>
      </x:c>
      <x:c r="E2642" s="115" t="n">
        <x:v>37</x:v>
      </x:c>
      <x:c r="F2642" s="115" t="str">
        <x:v>Inspection physique</x:v>
      </x:c>
      <x:c r="G2642" s="115" t="str">
        <x:v>1 niveaux ; 38 pièces ; 291 segments de mur ; 0 transitions. Inspection physique ; architecture complète encore ouverte.</x:v>
      </x:c>
      <x:c r="H2642" s="115" t="str">
        <x:v>L 404 ; l 392 ; hauteur 6,95 m ; choix de composition auteur ; dimensions réelles à documenter</x:v>
      </x:c>
      <x:c r="I2642" s="115" t="str">
        <x:v>À équilibrer</x:v>
      </x:c>
      <x:c r="J2642" s="115" t="str">
        <x:v>Non</x:v>
      </x:c>
      <x:c r="K2642" s="115" t="str">
        <x:v>Pièces décrites, murs, portes, niveaux et mobilier inspectables à l’échelle. Volumes réservés, raccord au seed, butin, rencontres et services de campagne restent à terminer.</x:v>
      </x:c>
    </x:row>
    <x:row r="2643" ht="96" customHeight="1">
      <x:c r="A2643" s="115" t="str">
        <x:v>EXT-MONDE-T053-V38</x:v>
      </x:c>
      <x:c r="B2643" s="115" t="str">
        <x:v>EXT-MONDE-T053</x:v>
      </x:c>
      <x:c r="C2643" s="115" t="str">
        <x:v>Usines</x:v>
      </x:c>
      <x:c r="D2643" s="115" t="str">
        <x:v>Usine agroalimentaire</x:v>
      </x:c>
      <x:c r="E2643" s="115" t="n">
        <x:v>38</x:v>
      </x:c>
      <x:c r="F2643" s="115" t="str">
        <x:v>Inspection physique</x:v>
      </x:c>
      <x:c r="G2643" s="115" t="str">
        <x:v>1 niveaux ; 38 pièces ; 291 segments de mur ; 0 transitions. Inspection physique ; architecture complète encore ouverte.</x:v>
      </x:c>
      <x:c r="H2643" s="115" t="str">
        <x:v>L 404 ; l 392 ; hauteur 6,95 m ; choix de composition auteur ; dimensions réelles à documenter</x:v>
      </x:c>
      <x:c r="I2643" s="115" t="str">
        <x:v>À équilibrer</x:v>
      </x:c>
      <x:c r="J2643" s="115" t="str">
        <x:v>Non</x:v>
      </x:c>
      <x:c r="K2643" s="115" t="str">
        <x:v>Pièces décrites, murs, portes, niveaux et mobilier inspectables à l’échelle. Volumes réservés, raccord au seed, butin, rencontres et services de campagne restent à terminer.</x:v>
      </x:c>
    </x:row>
    <x:row r="2644" ht="96" customHeight="1">
      <x:c r="A2644" s="115" t="str">
        <x:v>EXT-MONDE-T053-V39</x:v>
      </x:c>
      <x:c r="B2644" s="115" t="str">
        <x:v>EXT-MONDE-T053</x:v>
      </x:c>
      <x:c r="C2644" s="115" t="str">
        <x:v>Usines</x:v>
      </x:c>
      <x:c r="D2644" s="115" t="str">
        <x:v>Usine agroalimentaire</x:v>
      </x:c>
      <x:c r="E2644" s="115" t="n">
        <x:v>39</x:v>
      </x:c>
      <x:c r="F2644" s="115" t="str">
        <x:v>Inspection physique</x:v>
      </x:c>
      <x:c r="G2644" s="115" t="str">
        <x:v>1 niveaux ; 38 pièces ; 291 segments de mur ; 0 transitions. Inspection physique ; architecture complète encore ouverte.</x:v>
      </x:c>
      <x:c r="H2644" s="115" t="str">
        <x:v>L 404 ; l 392 ; hauteur 6,95 m ; choix de composition auteur ; dimensions réelles à documenter</x:v>
      </x:c>
      <x:c r="I2644" s="115" t="str">
        <x:v>À équilibrer</x:v>
      </x:c>
      <x:c r="J2644" s="115" t="str">
        <x:v>Non</x:v>
      </x:c>
      <x:c r="K2644" s="115" t="str">
        <x:v>Pièces décrites, murs, portes, niveaux et mobilier inspectables à l’échelle. Volumes réservés, raccord au seed, butin, rencontres et services de campagne restent à terminer.</x:v>
      </x:c>
    </x:row>
    <x:row r="2645" ht="96" customHeight="1">
      <x:c r="A2645" s="115" t="str">
        <x:v>EXT-MONDE-T053-V40</x:v>
      </x:c>
      <x:c r="B2645" s="115" t="str">
        <x:v>EXT-MONDE-T053</x:v>
      </x:c>
      <x:c r="C2645" s="115" t="str">
        <x:v>Usines</x:v>
      </x:c>
      <x:c r="D2645" s="115" t="str">
        <x:v>Usine agroalimentaire</x:v>
      </x:c>
      <x:c r="E2645" s="115" t="n">
        <x:v>40</x:v>
      </x:c>
      <x:c r="F2645" s="115" t="str">
        <x:v>Inspection physique</x:v>
      </x:c>
      <x:c r="G2645" s="115" t="str">
        <x:v>1 niveaux ; 38 pièces ; 291 segments de mur ; 0 transitions. Inspection physique ; architecture complète encore ouverte.</x:v>
      </x:c>
      <x:c r="H2645" s="115" t="str">
        <x:v>L 404 ; l 392 ; hauteur 6,95 m ; choix de composition auteur ; dimensions réelles à documenter</x:v>
      </x:c>
      <x:c r="I2645" s="115" t="str">
        <x:v>À équilibrer</x:v>
      </x:c>
      <x:c r="J2645" s="115" t="str">
        <x:v>Non</x:v>
      </x:c>
      <x:c r="K2645" s="115" t="str">
        <x:v>Pièces décrites, murs, portes, niveaux et mobilier inspectables à l’échelle. Volumes réservés, raccord au seed, butin, rencontres et services de campagne restent à terminer.</x:v>
      </x:c>
    </x:row>
    <x:row r="2646" ht="96" customHeight="1">
      <x:c r="A2646" s="115" t="str">
        <x:v>EXT-MONDE-T053-V41</x:v>
      </x:c>
      <x:c r="B2646" s="115" t="str">
        <x:v>EXT-MONDE-T053</x:v>
      </x:c>
      <x:c r="C2646" s="115" t="str">
        <x:v>Usines</x:v>
      </x:c>
      <x:c r="D2646" s="115" t="str">
        <x:v>Usine agroalimentaire</x:v>
      </x:c>
      <x:c r="E2646" s="115" t="n">
        <x:v>41</x:v>
      </x:c>
      <x:c r="F2646" s="115" t="str">
        <x:v>Inspection physique</x:v>
      </x:c>
      <x:c r="G2646" s="115" t="str">
        <x:v>1 niveaux ; 38 pièces ; 291 segments de mur ; 0 transitions. Inspection physique ; architecture complète encore ouverte.</x:v>
      </x:c>
      <x:c r="H2646" s="115" t="str">
        <x:v>L 422 ; l 416 ; hauteur 7,2 m ; choix de composition auteur ; dimensions réelles à documenter</x:v>
      </x:c>
      <x:c r="I2646" s="115" t="str">
        <x:v>À équilibrer</x:v>
      </x:c>
      <x:c r="J2646" s="115" t="str">
        <x:v>Non</x:v>
      </x:c>
      <x:c r="K2646" s="115" t="str">
        <x:v>Pièces décrites, murs, portes, niveaux et mobilier inspectables à l’échelle. Volumes réservés, raccord au seed, butin, rencontres et services de campagne restent à terminer.</x:v>
      </x:c>
    </x:row>
    <x:row r="2647" ht="96" customHeight="1">
      <x:c r="A2647" s="115" t="str">
        <x:v>EXT-MONDE-T053-V42</x:v>
      </x:c>
      <x:c r="B2647" s="115" t="str">
        <x:v>EXT-MONDE-T053</x:v>
      </x:c>
      <x:c r="C2647" s="115" t="str">
        <x:v>Usines</x:v>
      </x:c>
      <x:c r="D2647" s="115" t="str">
        <x:v>Usine agroalimentaire</x:v>
      </x:c>
      <x:c r="E2647" s="115" t="n">
        <x:v>42</x:v>
      </x:c>
      <x:c r="F2647" s="115" t="str">
        <x:v>Inspection physique</x:v>
      </x:c>
      <x:c r="G2647" s="115" t="str">
        <x:v>1 niveaux ; 38 pièces ; 291 segments de mur ; 0 transitions. Inspection physique ; architecture complète encore ouverte.</x:v>
      </x:c>
      <x:c r="H2647" s="115" t="str">
        <x:v>L 422 ; l 416 ; hauteur 7,2 m ; choix de composition auteur ; dimensions réelles à documenter</x:v>
      </x:c>
      <x:c r="I2647" s="115" t="str">
        <x:v>À équilibrer</x:v>
      </x:c>
      <x:c r="J2647" s="115" t="str">
        <x:v>Non</x:v>
      </x:c>
      <x:c r="K2647" s="115" t="str">
        <x:v>Pièces décrites, murs, portes, niveaux et mobilier inspectables à l’échelle. Volumes réservés, raccord au seed, butin, rencontres et services de campagne restent à terminer.</x:v>
      </x:c>
    </x:row>
    <x:row r="2648" ht="96" customHeight="1">
      <x:c r="A2648" s="115" t="str">
        <x:v>EXT-MONDE-T053-V43</x:v>
      </x:c>
      <x:c r="B2648" s="115" t="str">
        <x:v>EXT-MONDE-T053</x:v>
      </x:c>
      <x:c r="C2648" s="115" t="str">
        <x:v>Usines</x:v>
      </x:c>
      <x:c r="D2648" s="115" t="str">
        <x:v>Usine agroalimentaire</x:v>
      </x:c>
      <x:c r="E2648" s="115" t="n">
        <x:v>43</x:v>
      </x:c>
      <x:c r="F2648" s="115" t="str">
        <x:v>Inspection physique</x:v>
      </x:c>
      <x:c r="G2648" s="115" t="str">
        <x:v>1 niveaux ; 38 pièces ; 291 segments de mur ; 0 transitions. Inspection physique ; architecture complète encore ouverte.</x:v>
      </x:c>
      <x:c r="H2648" s="115" t="str">
        <x:v>L 422 ; l 416 ; hauteur 7,2 m ; choix de composition auteur ; dimensions réelles à documenter</x:v>
      </x:c>
      <x:c r="I2648" s="115" t="str">
        <x:v>À équilibrer</x:v>
      </x:c>
      <x:c r="J2648" s="115" t="str">
        <x:v>Non</x:v>
      </x:c>
      <x:c r="K2648" s="115" t="str">
        <x:v>Pièces décrites, murs, portes, niveaux et mobilier inspectables à l’échelle. Volumes réservés, raccord au seed, butin, rencontres et services de campagne restent à terminer.</x:v>
      </x:c>
    </x:row>
    <x:row r="2649" ht="96" customHeight="1">
      <x:c r="A2649" s="115" t="str">
        <x:v>EXT-MONDE-T053-V44</x:v>
      </x:c>
      <x:c r="B2649" s="115" t="str">
        <x:v>EXT-MONDE-T053</x:v>
      </x:c>
      <x:c r="C2649" s="115" t="str">
        <x:v>Usines</x:v>
      </x:c>
      <x:c r="D2649" s="115" t="str">
        <x:v>Usine agroalimentaire</x:v>
      </x:c>
      <x:c r="E2649" s="115" t="n">
        <x:v>44</x:v>
      </x:c>
      <x:c r="F2649" s="115" t="str">
        <x:v>Inspection physique</x:v>
      </x:c>
      <x:c r="G2649" s="115" t="str">
        <x:v>1 niveaux ; 38 pièces ; 291 segments de mur ; 0 transitions. Inspection physique ; architecture complète encore ouverte.</x:v>
      </x:c>
      <x:c r="H2649" s="115" t="str">
        <x:v>L 422 ; l 416 ; hauteur 7,2 m ; choix de composition auteur ; dimensions réelles à documenter</x:v>
      </x:c>
      <x:c r="I2649" s="115" t="str">
        <x:v>À équilibrer</x:v>
      </x:c>
      <x:c r="J2649" s="115" t="str">
        <x:v>Non</x:v>
      </x:c>
      <x:c r="K2649" s="115" t="str">
        <x:v>Pièces décrites, murs, portes, niveaux et mobilier inspectables à l’échelle. Volumes réservés, raccord au seed, butin, rencontres et services de campagne restent à terminer.</x:v>
      </x:c>
    </x:row>
    <x:row r="2650" ht="96" customHeight="1">
      <x:c r="A2650" s="115" t="str">
        <x:v>EXT-MONDE-T053-V45</x:v>
      </x:c>
      <x:c r="B2650" s="115" t="str">
        <x:v>EXT-MONDE-T053</x:v>
      </x:c>
      <x:c r="C2650" s="115" t="str">
        <x:v>Usines</x:v>
      </x:c>
      <x:c r="D2650" s="115" t="str">
        <x:v>Usine agroalimentaire</x:v>
      </x:c>
      <x:c r="E2650" s="115" t="n">
        <x:v>45</x:v>
      </x:c>
      <x:c r="F2650" s="115" t="str">
        <x:v>Inspection physique</x:v>
      </x:c>
      <x:c r="G2650" s="115" t="str">
        <x:v>1 niveaux ; 38 pièces ; 291 segments de mur ; 0 transitions. Inspection physique ; architecture complète encore ouverte.</x:v>
      </x:c>
      <x:c r="H2650" s="115" t="str">
        <x:v>L 422 ; l 416 ; hauteur 7,2 m ; choix de composition auteur ; dimensions réelles à documenter</x:v>
      </x:c>
      <x:c r="I2650" s="115" t="str">
        <x:v>À équilibrer</x:v>
      </x:c>
      <x:c r="J2650" s="115" t="str">
        <x:v>Non</x:v>
      </x:c>
      <x:c r="K2650" s="115" t="str">
        <x:v>Pièces décrites, murs, portes, niveaux et mobilier inspectables à l’échelle. Volumes réservés, raccord au seed, butin, rencontres et services de campagne restent à terminer.</x:v>
      </x:c>
    </x:row>
    <x:row r="2651" ht="96" customHeight="1">
      <x:c r="A2651" s="115" t="str">
        <x:v>EXT-MONDE-T053-V46</x:v>
      </x:c>
      <x:c r="B2651" s="115" t="str">
        <x:v>EXT-MONDE-T053</x:v>
      </x:c>
      <x:c r="C2651" s="115" t="str">
        <x:v>Usines</x:v>
      </x:c>
      <x:c r="D2651" s="115" t="str">
        <x:v>Usine agroalimentaire</x:v>
      </x:c>
      <x:c r="E2651" s="115" t="n">
        <x:v>46</x:v>
      </x:c>
      <x:c r="F2651" s="115" t="str">
        <x:v>Inspection physique</x:v>
      </x:c>
      <x:c r="G2651" s="115" t="str">
        <x:v>1 niveaux ; 38 pièces ; 291 segments de mur ; 0 transitions. Inspection physique ; architecture complète encore ouverte.</x:v>
      </x:c>
      <x:c r="H2651" s="115" t="str">
        <x:v>L 422 ; l 416 ; hauteur 7,2 m ; choix de composition auteur ; dimensions réelles à documenter</x:v>
      </x:c>
      <x:c r="I2651" s="115" t="str">
        <x:v>À équilibrer</x:v>
      </x:c>
      <x:c r="J2651" s="115" t="str">
        <x:v>Non</x:v>
      </x:c>
      <x:c r="K2651" s="115" t="str">
        <x:v>Pièces décrites, murs, portes, niveaux et mobilier inspectables à l’échelle. Volumes réservés, raccord au seed, butin, rencontres et services de campagne restent à terminer.</x:v>
      </x:c>
    </x:row>
    <x:row r="2652" ht="96" customHeight="1">
      <x:c r="A2652" s="115" t="str">
        <x:v>EXT-MONDE-T053-V47</x:v>
      </x:c>
      <x:c r="B2652" s="115" t="str">
        <x:v>EXT-MONDE-T053</x:v>
      </x:c>
      <x:c r="C2652" s="115" t="str">
        <x:v>Usines</x:v>
      </x:c>
      <x:c r="D2652" s="115" t="str">
        <x:v>Usine agroalimentaire</x:v>
      </x:c>
      <x:c r="E2652" s="115" t="n">
        <x:v>47</x:v>
      </x:c>
      <x:c r="F2652" s="115" t="str">
        <x:v>Inspection physique</x:v>
      </x:c>
      <x:c r="G2652" s="115" t="str">
        <x:v>1 niveaux ; 38 pièces ; 291 segments de mur ; 0 transitions. Inspection physique ; architecture complète encore ouverte.</x:v>
      </x:c>
      <x:c r="H2652" s="115" t="str">
        <x:v>L 422 ; l 416 ; hauteur 7,2 m ; choix de composition auteur ; dimensions réelles à documenter</x:v>
      </x:c>
      <x:c r="I2652" s="115" t="str">
        <x:v>À équilibrer</x:v>
      </x:c>
      <x:c r="J2652" s="115" t="str">
        <x:v>Non</x:v>
      </x:c>
      <x:c r="K2652" s="115" t="str">
        <x:v>Pièces décrites, murs, portes, niveaux et mobilier inspectables à l’échelle. Volumes réservés, raccord au seed, butin, rencontres et services de campagne restent à terminer.</x:v>
      </x:c>
    </x:row>
    <x:row r="2653" ht="96" customHeight="1">
      <x:c r="A2653" s="115" t="str">
        <x:v>EXT-MONDE-T053-V48</x:v>
      </x:c>
      <x:c r="B2653" s="115" t="str">
        <x:v>EXT-MONDE-T053</x:v>
      </x:c>
      <x:c r="C2653" s="115" t="str">
        <x:v>Usines</x:v>
      </x:c>
      <x:c r="D2653" s="115" t="str">
        <x:v>Usine agroalimentaire</x:v>
      </x:c>
      <x:c r="E2653" s="115" t="n">
        <x:v>48</x:v>
      </x:c>
      <x:c r="F2653" s="115" t="str">
        <x:v>Inspection physique</x:v>
      </x:c>
      <x:c r="G2653" s="115" t="str">
        <x:v>1 niveaux ; 38 pièces ; 291 segments de mur ; 0 transitions. Inspection physique ; architecture complète encore ouverte.</x:v>
      </x:c>
      <x:c r="H2653" s="115" t="str">
        <x:v>L 422 ; l 416 ; hauteur 7,2 m ; choix de composition auteur ; dimensions réelles à documenter</x:v>
      </x:c>
      <x:c r="I2653" s="115" t="str">
        <x:v>À équilibrer</x:v>
      </x:c>
      <x:c r="J2653" s="115" t="str">
        <x:v>Non</x:v>
      </x:c>
      <x:c r="K2653" s="115" t="str">
        <x:v>Pièces décrites, murs, portes, niveaux et mobilier inspectables à l’échelle. Volumes réservés, raccord au seed, butin, rencontres et services de campagne restent à terminer.</x:v>
      </x:c>
    </x:row>
    <x:row r="2654" ht="96" customHeight="1">
      <x:c r="A2654" s="115" t="str">
        <x:v>EXT-MONDE-T053-V49</x:v>
      </x:c>
      <x:c r="B2654" s="115" t="str">
        <x:v>EXT-MONDE-T053</x:v>
      </x:c>
      <x:c r="C2654" s="115" t="str">
        <x:v>Usines</x:v>
      </x:c>
      <x:c r="D2654" s="115" t="str">
        <x:v>Usine agroalimentaire</x:v>
      </x:c>
      <x:c r="E2654" s="115" t="n">
        <x:v>49</x:v>
      </x:c>
      <x:c r="F2654" s="115" t="str">
        <x:v>Inspection physique</x:v>
      </x:c>
      <x:c r="G2654" s="115" t="str">
        <x:v>1 niveaux ; 38 pièces ; 291 segments de mur ; 0 transitions. Inspection physique ; architecture complète encore ouverte.</x:v>
      </x:c>
      <x:c r="H2654" s="115" t="str">
        <x:v>L 422 ; l 416 ; hauteur 7,2 m ; choix de composition auteur ; dimensions réelles à documenter</x:v>
      </x:c>
      <x:c r="I2654" s="115" t="str">
        <x:v>À équilibrer</x:v>
      </x:c>
      <x:c r="J2654" s="115" t="str">
        <x:v>Non</x:v>
      </x:c>
      <x:c r="K2654" s="115" t="str">
        <x:v>Pièces décrites, murs, portes, niveaux et mobilier inspectables à l’échelle. Volumes réservés, raccord au seed, butin, rencontres et services de campagne restent à terminer.</x:v>
      </x:c>
    </x:row>
    <x:row r="2655" ht="96" customHeight="1">
      <x:c r="A2655" s="115" t="str">
        <x:v>EXT-MONDE-T053-V50</x:v>
      </x:c>
      <x:c r="B2655" s="115" t="str">
        <x:v>EXT-MONDE-T053</x:v>
      </x:c>
      <x:c r="C2655" s="115" t="str">
        <x:v>Usines</x:v>
      </x:c>
      <x:c r="D2655" s="115" t="str">
        <x:v>Usine agroalimentaire</x:v>
      </x:c>
      <x:c r="E2655" s="115" t="n">
        <x:v>50</x:v>
      </x:c>
      <x:c r="F2655" s="115" t="str">
        <x:v>Inspection physique</x:v>
      </x:c>
      <x:c r="G2655" s="115" t="str">
        <x:v>1 niveaux ; 38 pièces ; 291 segments de mur ; 0 transitions. Inspection physique ; architecture complète encore ouverte.</x:v>
      </x:c>
      <x:c r="H2655" s="115" t="str">
        <x:v>L 422 ; l 416 ; hauteur 7,2 m ; choix de composition auteur ; dimensions réelles à documenter</x:v>
      </x:c>
      <x:c r="I2655" s="115" t="str">
        <x:v>À équilibrer</x:v>
      </x:c>
      <x:c r="J2655" s="115" t="str">
        <x:v>Non</x:v>
      </x:c>
      <x:c r="K2655" s="115" t="str">
        <x:v>Pièces décrites, murs, portes, niveaux et mobilier inspectables à l’échelle. Volumes réservés, raccord au seed, butin, rencontres et services de campagne restent à terminer.</x:v>
      </x:c>
    </x:row>
    <x:row r="2656" ht="96" customHeight="1">
      <x:c r="A2656" s="115" t="str">
        <x:v>EXT-MONDE-T054-V01</x:v>
      </x:c>
      <x:c r="B2656" s="115" t="str">
        <x:v>EXT-MONDE-T054</x:v>
      </x:c>
      <x:c r="C2656" s="115" t="str">
        <x:v>Usines</x:v>
      </x:c>
      <x:c r="D2656" s="115" t="str">
        <x:v>Usine de mécanique</x:v>
      </x:c>
      <x:c r="E2656" s="115" t="n">
        <x:v>1</x:v>
      </x:c>
      <x:c r="F2656" s="115" t="str">
        <x:v>Inspection physique</x:v>
      </x:c>
      <x:c r="G2656" s="115" t="str">
        <x:v>1 niveaux ; 40 pièces ; 303 segments de mur ; 0 transitions. Inspection physique ; architecture complète encore ouverte.</x:v>
      </x:c>
      <x:c r="H2656" s="115" t="str">
        <x:v>L 350 ; l 320 ; hauteur 7,2 m ; choix de composition auteur ; dimensions réelles à documenter</x:v>
      </x:c>
      <x:c r="I2656" s="115" t="str">
        <x:v>À équilibrer</x:v>
      </x:c>
      <x:c r="J2656" s="115" t="str">
        <x:v>Non</x:v>
      </x:c>
      <x:c r="K2656" s="115" t="str">
        <x:v>Pièces décrites, murs, portes, niveaux et mobilier inspectables à l’échelle. Volumes réservés, raccord au seed, butin, rencontres et services de campagne restent à terminer.</x:v>
      </x:c>
    </x:row>
    <x:row r="2657" ht="96" customHeight="1">
      <x:c r="A2657" s="115" t="str">
        <x:v>EXT-MONDE-T054-V02</x:v>
      </x:c>
      <x:c r="B2657" s="115" t="str">
        <x:v>EXT-MONDE-T054</x:v>
      </x:c>
      <x:c r="C2657" s="115" t="str">
        <x:v>Usines</x:v>
      </x:c>
      <x:c r="D2657" s="115" t="str">
        <x:v>Usine de mécanique</x:v>
      </x:c>
      <x:c r="E2657" s="115" t="n">
        <x:v>2</x:v>
      </x:c>
      <x:c r="F2657" s="115" t="str">
        <x:v>Inspection physique</x:v>
      </x:c>
      <x:c r="G2657" s="115" t="str">
        <x:v>1 niveaux ; 40 pièces ; 303 segments de mur ; 0 transitions. Inspection physique ; architecture complète encore ouverte.</x:v>
      </x:c>
      <x:c r="H2657" s="115" t="str">
        <x:v>L 350 ; l 320 ; hauteur 7,2 m ; choix de composition auteur ; dimensions réelles à documenter</x:v>
      </x:c>
      <x:c r="I2657" s="115" t="str">
        <x:v>À équilibrer</x:v>
      </x:c>
      <x:c r="J2657" s="115" t="str">
        <x:v>Non</x:v>
      </x:c>
      <x:c r="K2657" s="115" t="str">
        <x:v>Pièces décrites, murs, portes, niveaux et mobilier inspectables à l’échelle. Volumes réservés, raccord au seed, butin, rencontres et services de campagne restent à terminer.</x:v>
      </x:c>
    </x:row>
    <x:row r="2658" ht="96" customHeight="1">
      <x:c r="A2658" s="115" t="str">
        <x:v>EXT-MONDE-T054-V03</x:v>
      </x:c>
      <x:c r="B2658" s="115" t="str">
        <x:v>EXT-MONDE-T054</x:v>
      </x:c>
      <x:c r="C2658" s="115" t="str">
        <x:v>Usines</x:v>
      </x:c>
      <x:c r="D2658" s="115" t="str">
        <x:v>Usine de mécanique</x:v>
      </x:c>
      <x:c r="E2658" s="115" t="n">
        <x:v>3</x:v>
      </x:c>
      <x:c r="F2658" s="115" t="str">
        <x:v>Inspection physique</x:v>
      </x:c>
      <x:c r="G2658" s="115" t="str">
        <x:v>1 niveaux ; 40 pièces ; 303 segments de mur ; 0 transitions. Inspection physique ; architecture complète encore ouverte.</x:v>
      </x:c>
      <x:c r="H2658" s="115" t="str">
        <x:v>L 350 ; l 320 ; hauteur 7,2 m ; choix de composition auteur ; dimensions réelles à documenter</x:v>
      </x:c>
      <x:c r="I2658" s="115" t="str">
        <x:v>À équilibrer</x:v>
      </x:c>
      <x:c r="J2658" s="115" t="str">
        <x:v>Non</x:v>
      </x:c>
      <x:c r="K2658" s="115" t="str">
        <x:v>Pièces décrites, murs, portes, niveaux et mobilier inspectables à l’échelle. Volumes réservés, raccord au seed, butin, rencontres et services de campagne restent à terminer.</x:v>
      </x:c>
    </x:row>
    <x:row r="2659" ht="96" customHeight="1">
      <x:c r="A2659" s="115" t="str">
        <x:v>EXT-MONDE-T054-V04</x:v>
      </x:c>
      <x:c r="B2659" s="115" t="str">
        <x:v>EXT-MONDE-T054</x:v>
      </x:c>
      <x:c r="C2659" s="115" t="str">
        <x:v>Usines</x:v>
      </x:c>
      <x:c r="D2659" s="115" t="str">
        <x:v>Usine de mécanique</x:v>
      </x:c>
      <x:c r="E2659" s="115" t="n">
        <x:v>4</x:v>
      </x:c>
      <x:c r="F2659" s="115" t="str">
        <x:v>Inspection physique</x:v>
      </x:c>
      <x:c r="G2659" s="115" t="str">
        <x:v>1 niveaux ; 40 pièces ; 303 segments de mur ; 0 transitions. Inspection physique ; architecture complète encore ouverte.</x:v>
      </x:c>
      <x:c r="H2659" s="115" t="str">
        <x:v>L 350 ; l 320 ; hauteur 7,2 m ; choix de composition auteur ; dimensions réelles à documenter</x:v>
      </x:c>
      <x:c r="I2659" s="115" t="str">
        <x:v>À équilibrer</x:v>
      </x:c>
      <x:c r="J2659" s="115" t="str">
        <x:v>Non</x:v>
      </x:c>
      <x:c r="K2659" s="115" t="str">
        <x:v>Pièces décrites, murs, portes, niveaux et mobilier inspectables à l’échelle. Volumes réservés, raccord au seed, butin, rencontres et services de campagne restent à terminer.</x:v>
      </x:c>
    </x:row>
    <x:row r="2660" ht="96" customHeight="1">
      <x:c r="A2660" s="115" t="str">
        <x:v>EXT-MONDE-T054-V05</x:v>
      </x:c>
      <x:c r="B2660" s="115" t="str">
        <x:v>EXT-MONDE-T054</x:v>
      </x:c>
      <x:c r="C2660" s="115" t="str">
        <x:v>Usines</x:v>
      </x:c>
      <x:c r="D2660" s="115" t="str">
        <x:v>Usine de mécanique</x:v>
      </x:c>
      <x:c r="E2660" s="115" t="n">
        <x:v>5</x:v>
      </x:c>
      <x:c r="F2660" s="115" t="str">
        <x:v>Inspection physique</x:v>
      </x:c>
      <x:c r="G2660" s="115" t="str">
        <x:v>1 niveaux ; 40 pièces ; 303 segments de mur ; 0 transitions. Inspection physique ; architecture complète encore ouverte.</x:v>
      </x:c>
      <x:c r="H2660" s="115" t="str">
        <x:v>L 350 ; l 320 ; hauteur 7,2 m ; choix de composition auteur ; dimensions réelles à documenter</x:v>
      </x:c>
      <x:c r="I2660" s="115" t="str">
        <x:v>À équilibrer</x:v>
      </x:c>
      <x:c r="J2660" s="115" t="str">
        <x:v>Non</x:v>
      </x:c>
      <x:c r="K2660" s="115" t="str">
        <x:v>Pièces décrites, murs, portes, niveaux et mobilier inspectables à l’échelle. Volumes réservés, raccord au seed, butin, rencontres et services de campagne restent à terminer.</x:v>
      </x:c>
    </x:row>
    <x:row r="2661" ht="96" customHeight="1">
      <x:c r="A2661" s="115" t="str">
        <x:v>EXT-MONDE-T054-V06</x:v>
      </x:c>
      <x:c r="B2661" s="115" t="str">
        <x:v>EXT-MONDE-T054</x:v>
      </x:c>
      <x:c r="C2661" s="115" t="str">
        <x:v>Usines</x:v>
      </x:c>
      <x:c r="D2661" s="115" t="str">
        <x:v>Usine de mécanique</x:v>
      </x:c>
      <x:c r="E2661" s="115" t="n">
        <x:v>6</x:v>
      </x:c>
      <x:c r="F2661" s="115" t="str">
        <x:v>Inspection physique</x:v>
      </x:c>
      <x:c r="G2661" s="115" t="str">
        <x:v>1 niveaux ; 40 pièces ; 303 segments de mur ; 0 transitions. Inspection physique ; architecture complète encore ouverte.</x:v>
      </x:c>
      <x:c r="H2661" s="115" t="str">
        <x:v>L 350 ; l 320 ; hauteur 7,2 m ; choix de composition auteur ; dimensions réelles à documenter</x:v>
      </x:c>
      <x:c r="I2661" s="115" t="str">
        <x:v>À équilibrer</x:v>
      </x:c>
      <x:c r="J2661" s="115" t="str">
        <x:v>Non</x:v>
      </x:c>
      <x:c r="K2661" s="115" t="str">
        <x:v>Pièces décrites, murs, portes, niveaux et mobilier inspectables à l’échelle. Volumes réservés, raccord au seed, butin, rencontres et services de campagne restent à terminer.</x:v>
      </x:c>
    </x:row>
    <x:row r="2662" ht="96" customHeight="1">
      <x:c r="A2662" s="115" t="str">
        <x:v>EXT-MONDE-T054-V07</x:v>
      </x:c>
      <x:c r="B2662" s="115" t="str">
        <x:v>EXT-MONDE-T054</x:v>
      </x:c>
      <x:c r="C2662" s="115" t="str">
        <x:v>Usines</x:v>
      </x:c>
      <x:c r="D2662" s="115" t="str">
        <x:v>Usine de mécanique</x:v>
      </x:c>
      <x:c r="E2662" s="115" t="n">
        <x:v>7</x:v>
      </x:c>
      <x:c r="F2662" s="115" t="str">
        <x:v>Inspection physique</x:v>
      </x:c>
      <x:c r="G2662" s="115" t="str">
        <x:v>1 niveaux ; 40 pièces ; 303 segments de mur ; 0 transitions. Inspection physique ; architecture complète encore ouverte.</x:v>
      </x:c>
      <x:c r="H2662" s="115" t="str">
        <x:v>L 350 ; l 320 ; hauteur 7,2 m ; choix de composition auteur ; dimensions réelles à documenter</x:v>
      </x:c>
      <x:c r="I2662" s="115" t="str">
        <x:v>À équilibrer</x:v>
      </x:c>
      <x:c r="J2662" s="115" t="str">
        <x:v>Non</x:v>
      </x:c>
      <x:c r="K2662" s="115" t="str">
        <x:v>Pièces décrites, murs, portes, niveaux et mobilier inspectables à l’échelle. Volumes réservés, raccord au seed, butin, rencontres et services de campagne restent à terminer.</x:v>
      </x:c>
    </x:row>
    <x:row r="2663" ht="96" customHeight="1">
      <x:c r="A2663" s="115" t="str">
        <x:v>EXT-MONDE-T054-V08</x:v>
      </x:c>
      <x:c r="B2663" s="115" t="str">
        <x:v>EXT-MONDE-T054</x:v>
      </x:c>
      <x:c r="C2663" s="115" t="str">
        <x:v>Usines</x:v>
      </x:c>
      <x:c r="D2663" s="115" t="str">
        <x:v>Usine de mécanique</x:v>
      </x:c>
      <x:c r="E2663" s="115" t="n">
        <x:v>8</x:v>
      </x:c>
      <x:c r="F2663" s="115" t="str">
        <x:v>Inspection physique</x:v>
      </x:c>
      <x:c r="G2663" s="115" t="str">
        <x:v>1 niveaux ; 40 pièces ; 303 segments de mur ; 0 transitions. Inspection physique ; architecture complète encore ouverte.</x:v>
      </x:c>
      <x:c r="H2663" s="115" t="str">
        <x:v>L 350 ; l 320 ; hauteur 7,2 m ; choix de composition auteur ; dimensions réelles à documenter</x:v>
      </x:c>
      <x:c r="I2663" s="115" t="str">
        <x:v>À équilibrer</x:v>
      </x:c>
      <x:c r="J2663" s="115" t="str">
        <x:v>Non</x:v>
      </x:c>
      <x:c r="K2663" s="115" t="str">
        <x:v>Pièces décrites, murs, portes, niveaux et mobilier inspectables à l’échelle. Volumes réservés, raccord au seed, butin, rencontres et services de campagne restent à terminer.</x:v>
      </x:c>
    </x:row>
    <x:row r="2664" ht="96" customHeight="1">
      <x:c r="A2664" s="115" t="str">
        <x:v>EXT-MONDE-T054-V09</x:v>
      </x:c>
      <x:c r="B2664" s="115" t="str">
        <x:v>EXT-MONDE-T054</x:v>
      </x:c>
      <x:c r="C2664" s="115" t="str">
        <x:v>Usines</x:v>
      </x:c>
      <x:c r="D2664" s="115" t="str">
        <x:v>Usine de mécanique</x:v>
      </x:c>
      <x:c r="E2664" s="115" t="n">
        <x:v>9</x:v>
      </x:c>
      <x:c r="F2664" s="115" t="str">
        <x:v>Inspection physique</x:v>
      </x:c>
      <x:c r="G2664" s="115" t="str">
        <x:v>1 niveaux ; 40 pièces ; 303 segments de mur ; 0 transitions. Inspection physique ; architecture complète encore ouverte.</x:v>
      </x:c>
      <x:c r="H2664" s="115" t="str">
        <x:v>L 350 ; l 320 ; hauteur 7,2 m ; choix de composition auteur ; dimensions réelles à documenter</x:v>
      </x:c>
      <x:c r="I2664" s="115" t="str">
        <x:v>À équilibrer</x:v>
      </x:c>
      <x:c r="J2664" s="115" t="str">
        <x:v>Non</x:v>
      </x:c>
      <x:c r="K2664" s="115" t="str">
        <x:v>Pièces décrites, murs, portes, niveaux et mobilier inspectables à l’échelle. Volumes réservés, raccord au seed, butin, rencontres et services de campagne restent à terminer.</x:v>
      </x:c>
    </x:row>
    <x:row r="2665" ht="96" customHeight="1">
      <x:c r="A2665" s="115" t="str">
        <x:v>EXT-MONDE-T054-V10</x:v>
      </x:c>
      <x:c r="B2665" s="115" t="str">
        <x:v>EXT-MONDE-T054</x:v>
      </x:c>
      <x:c r="C2665" s="115" t="str">
        <x:v>Usines</x:v>
      </x:c>
      <x:c r="D2665" s="115" t="str">
        <x:v>Usine de mécanique</x:v>
      </x:c>
      <x:c r="E2665" s="115" t="n">
        <x:v>10</x:v>
      </x:c>
      <x:c r="F2665" s="115" t="str">
        <x:v>Inspection physique</x:v>
      </x:c>
      <x:c r="G2665" s="115" t="str">
        <x:v>1 niveaux ; 40 pièces ; 303 segments de mur ; 0 transitions. Inspection physique ; architecture complète encore ouverte.</x:v>
      </x:c>
      <x:c r="H2665" s="115" t="str">
        <x:v>L 350 ; l 320 ; hauteur 7,2 m ; choix de composition auteur ; dimensions réelles à documenter</x:v>
      </x:c>
      <x:c r="I2665" s="115" t="str">
        <x:v>À équilibrer</x:v>
      </x:c>
      <x:c r="J2665" s="115" t="str">
        <x:v>Non</x:v>
      </x:c>
      <x:c r="K2665" s="115" t="str">
        <x:v>Pièces décrites, murs, portes, niveaux et mobilier inspectables à l’échelle. Volumes réservés, raccord au seed, butin, rencontres et services de campagne restent à terminer.</x:v>
      </x:c>
    </x:row>
    <x:row r="2666" ht="96" customHeight="1">
      <x:c r="A2666" s="115" t="str">
        <x:v>EXT-MONDE-T054-V11</x:v>
      </x:c>
      <x:c r="B2666" s="115" t="str">
        <x:v>EXT-MONDE-T054</x:v>
      </x:c>
      <x:c r="C2666" s="115" t="str">
        <x:v>Usines</x:v>
      </x:c>
      <x:c r="D2666" s="115" t="str">
        <x:v>Usine de mécanique</x:v>
      </x:c>
      <x:c r="E2666" s="115" t="n">
        <x:v>11</x:v>
      </x:c>
      <x:c r="F2666" s="115" t="str">
        <x:v>Inspection physique</x:v>
      </x:c>
      <x:c r="G2666" s="115" t="str">
        <x:v>1 niveaux ; 40 pièces ; 303 segments de mur ; 0 transitions. Inspection physique ; architecture complète encore ouverte.</x:v>
      </x:c>
      <x:c r="H2666" s="115" t="str">
        <x:v>L 368 ; l 344 ; hauteur 7,45 m ; choix de composition auteur ; dimensions réelles à documenter</x:v>
      </x:c>
      <x:c r="I2666" s="115" t="str">
        <x:v>À équilibrer</x:v>
      </x:c>
      <x:c r="J2666" s="115" t="str">
        <x:v>Non</x:v>
      </x:c>
      <x:c r="K2666" s="115" t="str">
        <x:v>Pièces décrites, murs, portes, niveaux et mobilier inspectables à l’échelle. Volumes réservés, raccord au seed, butin, rencontres et services de campagne restent à terminer.</x:v>
      </x:c>
    </x:row>
    <x:row r="2667" ht="96" customHeight="1">
      <x:c r="A2667" s="115" t="str">
        <x:v>EXT-MONDE-T054-V12</x:v>
      </x:c>
      <x:c r="B2667" s="115" t="str">
        <x:v>EXT-MONDE-T054</x:v>
      </x:c>
      <x:c r="C2667" s="115" t="str">
        <x:v>Usines</x:v>
      </x:c>
      <x:c r="D2667" s="115" t="str">
        <x:v>Usine de mécanique</x:v>
      </x:c>
      <x:c r="E2667" s="115" t="n">
        <x:v>12</x:v>
      </x:c>
      <x:c r="F2667" s="115" t="str">
        <x:v>Inspection physique</x:v>
      </x:c>
      <x:c r="G2667" s="115" t="str">
        <x:v>1 niveaux ; 40 pièces ; 303 segments de mur ; 0 transitions. Inspection physique ; architecture complète encore ouverte.</x:v>
      </x:c>
      <x:c r="H2667" s="115" t="str">
        <x:v>L 368 ; l 344 ; hauteur 7,45 m ; choix de composition auteur ; dimensions réelles à documenter</x:v>
      </x:c>
      <x:c r="I2667" s="115" t="str">
        <x:v>À équilibrer</x:v>
      </x:c>
      <x:c r="J2667" s="115" t="str">
        <x:v>Non</x:v>
      </x:c>
      <x:c r="K2667" s="115" t="str">
        <x:v>Pièces décrites, murs, portes, niveaux et mobilier inspectables à l’échelle. Volumes réservés, raccord au seed, butin, rencontres et services de campagne restent à terminer.</x:v>
      </x:c>
    </x:row>
    <x:row r="2668" ht="96" customHeight="1">
      <x:c r="A2668" s="115" t="str">
        <x:v>EXT-MONDE-T054-V13</x:v>
      </x:c>
      <x:c r="B2668" s="115" t="str">
        <x:v>EXT-MONDE-T054</x:v>
      </x:c>
      <x:c r="C2668" s="115" t="str">
        <x:v>Usines</x:v>
      </x:c>
      <x:c r="D2668" s="115" t="str">
        <x:v>Usine de mécanique</x:v>
      </x:c>
      <x:c r="E2668" s="115" t="n">
        <x:v>13</x:v>
      </x:c>
      <x:c r="F2668" s="115" t="str">
        <x:v>Inspection physique</x:v>
      </x:c>
      <x:c r="G2668" s="115" t="str">
        <x:v>1 niveaux ; 40 pièces ; 303 segments de mur ; 0 transitions. Inspection physique ; architecture complète encore ouverte.</x:v>
      </x:c>
      <x:c r="H2668" s="115" t="str">
        <x:v>L 368 ; l 344 ; hauteur 7,45 m ; choix de composition auteur ; dimensions réelles à documenter</x:v>
      </x:c>
      <x:c r="I2668" s="115" t="str">
        <x:v>À équilibrer</x:v>
      </x:c>
      <x:c r="J2668" s="115" t="str">
        <x:v>Non</x:v>
      </x:c>
      <x:c r="K2668" s="115" t="str">
        <x:v>Pièces décrites, murs, portes, niveaux et mobilier inspectables à l’échelle. Volumes réservés, raccord au seed, butin, rencontres et services de campagne restent à terminer.</x:v>
      </x:c>
    </x:row>
    <x:row r="2669" ht="96" customHeight="1">
      <x:c r="A2669" s="115" t="str">
        <x:v>EXT-MONDE-T054-V14</x:v>
      </x:c>
      <x:c r="B2669" s="115" t="str">
        <x:v>EXT-MONDE-T054</x:v>
      </x:c>
      <x:c r="C2669" s="115" t="str">
        <x:v>Usines</x:v>
      </x:c>
      <x:c r="D2669" s="115" t="str">
        <x:v>Usine de mécanique</x:v>
      </x:c>
      <x:c r="E2669" s="115" t="n">
        <x:v>14</x:v>
      </x:c>
      <x:c r="F2669" s="115" t="str">
        <x:v>Inspection physique</x:v>
      </x:c>
      <x:c r="G2669" s="115" t="str">
        <x:v>1 niveaux ; 40 pièces ; 303 segments de mur ; 0 transitions. Inspection physique ; architecture complète encore ouverte.</x:v>
      </x:c>
      <x:c r="H2669" s="115" t="str">
        <x:v>L 368 ; l 344 ; hauteur 7,45 m ; choix de composition auteur ; dimensions réelles à documenter</x:v>
      </x:c>
      <x:c r="I2669" s="115" t="str">
        <x:v>À équilibrer</x:v>
      </x:c>
      <x:c r="J2669" s="115" t="str">
        <x:v>Non</x:v>
      </x:c>
      <x:c r="K2669" s="115" t="str">
        <x:v>Pièces décrites, murs, portes, niveaux et mobilier inspectables à l’échelle. Volumes réservés, raccord au seed, butin, rencontres et services de campagne restent à terminer.</x:v>
      </x:c>
    </x:row>
    <x:row r="2670" ht="96" customHeight="1">
      <x:c r="A2670" s="115" t="str">
        <x:v>EXT-MONDE-T054-V15</x:v>
      </x:c>
      <x:c r="B2670" s="115" t="str">
        <x:v>EXT-MONDE-T054</x:v>
      </x:c>
      <x:c r="C2670" s="115" t="str">
        <x:v>Usines</x:v>
      </x:c>
      <x:c r="D2670" s="115" t="str">
        <x:v>Usine de mécanique</x:v>
      </x:c>
      <x:c r="E2670" s="115" t="n">
        <x:v>15</x:v>
      </x:c>
      <x:c r="F2670" s="115" t="str">
        <x:v>Inspection physique</x:v>
      </x:c>
      <x:c r="G2670" s="115" t="str">
        <x:v>1 niveaux ; 40 pièces ; 303 segments de mur ; 0 transitions. Inspection physique ; architecture complète encore ouverte.</x:v>
      </x:c>
      <x:c r="H2670" s="115" t="str">
        <x:v>L 368 ; l 344 ; hauteur 7,45 m ; choix de composition auteur ; dimensions réelles à documenter</x:v>
      </x:c>
      <x:c r="I2670" s="115" t="str">
        <x:v>À équilibrer</x:v>
      </x:c>
      <x:c r="J2670" s="115" t="str">
        <x:v>Non</x:v>
      </x:c>
      <x:c r="K2670" s="115" t="str">
        <x:v>Pièces décrites, murs, portes, niveaux et mobilier inspectables à l’échelle. Volumes réservés, raccord au seed, butin, rencontres et services de campagne restent à terminer.</x:v>
      </x:c>
    </x:row>
    <x:row r="2671" ht="96" customHeight="1">
      <x:c r="A2671" s="115" t="str">
        <x:v>EXT-MONDE-T054-V16</x:v>
      </x:c>
      <x:c r="B2671" s="115" t="str">
        <x:v>EXT-MONDE-T054</x:v>
      </x:c>
      <x:c r="C2671" s="115" t="str">
        <x:v>Usines</x:v>
      </x:c>
      <x:c r="D2671" s="115" t="str">
        <x:v>Usine de mécanique</x:v>
      </x:c>
      <x:c r="E2671" s="115" t="n">
        <x:v>16</x:v>
      </x:c>
      <x:c r="F2671" s="115" t="str">
        <x:v>Inspection physique</x:v>
      </x:c>
      <x:c r="G2671" s="115" t="str">
        <x:v>1 niveaux ; 40 pièces ; 303 segments de mur ; 0 transitions. Inspection physique ; architecture complète encore ouverte.</x:v>
      </x:c>
      <x:c r="H2671" s="115" t="str">
        <x:v>L 368 ; l 344 ; hauteur 7,45 m ; choix de composition auteur ; dimensions réelles à documenter</x:v>
      </x:c>
      <x:c r="I2671" s="115" t="str">
        <x:v>À équilibrer</x:v>
      </x:c>
      <x:c r="J2671" s="115" t="str">
        <x:v>Non</x:v>
      </x:c>
      <x:c r="K2671" s="115" t="str">
        <x:v>Pièces décrites, murs, portes, niveaux et mobilier inspectables à l’échelle. Volumes réservés, raccord au seed, butin, rencontres et services de campagne restent à terminer.</x:v>
      </x:c>
    </x:row>
    <x:row r="2672" ht="96" customHeight="1">
      <x:c r="A2672" s="115" t="str">
        <x:v>EXT-MONDE-T054-V17</x:v>
      </x:c>
      <x:c r="B2672" s="115" t="str">
        <x:v>EXT-MONDE-T054</x:v>
      </x:c>
      <x:c r="C2672" s="115" t="str">
        <x:v>Usines</x:v>
      </x:c>
      <x:c r="D2672" s="115" t="str">
        <x:v>Usine de mécanique</x:v>
      </x:c>
      <x:c r="E2672" s="115" t="n">
        <x:v>17</x:v>
      </x:c>
      <x:c r="F2672" s="115" t="str">
        <x:v>Inspection physique</x:v>
      </x:c>
      <x:c r="G2672" s="115" t="str">
        <x:v>1 niveaux ; 40 pièces ; 303 segments de mur ; 0 transitions. Inspection physique ; architecture complète encore ouverte.</x:v>
      </x:c>
      <x:c r="H2672" s="115" t="str">
        <x:v>L 368 ; l 344 ; hauteur 7,45 m ; choix de composition auteur ; dimensions réelles à documenter</x:v>
      </x:c>
      <x:c r="I2672" s="115" t="str">
        <x:v>À équilibrer</x:v>
      </x:c>
      <x:c r="J2672" s="115" t="str">
        <x:v>Non</x:v>
      </x:c>
      <x:c r="K2672" s="115" t="str">
        <x:v>Pièces décrites, murs, portes, niveaux et mobilier inspectables à l’échelle. Volumes réservés, raccord au seed, butin, rencontres et services de campagne restent à terminer.</x:v>
      </x:c>
    </x:row>
    <x:row r="2673" ht="96" customHeight="1">
      <x:c r="A2673" s="115" t="str">
        <x:v>EXT-MONDE-T054-V18</x:v>
      </x:c>
      <x:c r="B2673" s="115" t="str">
        <x:v>EXT-MONDE-T054</x:v>
      </x:c>
      <x:c r="C2673" s="115" t="str">
        <x:v>Usines</x:v>
      </x:c>
      <x:c r="D2673" s="115" t="str">
        <x:v>Usine de mécanique</x:v>
      </x:c>
      <x:c r="E2673" s="115" t="n">
        <x:v>18</x:v>
      </x:c>
      <x:c r="F2673" s="115" t="str">
        <x:v>Inspection physique</x:v>
      </x:c>
      <x:c r="G2673" s="115" t="str">
        <x:v>1 niveaux ; 40 pièces ; 303 segments de mur ; 0 transitions. Inspection physique ; architecture complète encore ouverte.</x:v>
      </x:c>
      <x:c r="H2673" s="115" t="str">
        <x:v>L 368 ; l 344 ; hauteur 7,45 m ; choix de composition auteur ; dimensions réelles à documenter</x:v>
      </x:c>
      <x:c r="I2673" s="115" t="str">
        <x:v>À équilibrer</x:v>
      </x:c>
      <x:c r="J2673" s="115" t="str">
        <x:v>Non</x:v>
      </x:c>
      <x:c r="K2673" s="115" t="str">
        <x:v>Pièces décrites, murs, portes, niveaux et mobilier inspectables à l’échelle. Volumes réservés, raccord au seed, butin, rencontres et services de campagne restent à terminer.</x:v>
      </x:c>
    </x:row>
    <x:row r="2674" ht="96" customHeight="1">
      <x:c r="A2674" s="115" t="str">
        <x:v>EXT-MONDE-T054-V19</x:v>
      </x:c>
      <x:c r="B2674" s="115" t="str">
        <x:v>EXT-MONDE-T054</x:v>
      </x:c>
      <x:c r="C2674" s="115" t="str">
        <x:v>Usines</x:v>
      </x:c>
      <x:c r="D2674" s="115" t="str">
        <x:v>Usine de mécanique</x:v>
      </x:c>
      <x:c r="E2674" s="115" t="n">
        <x:v>19</x:v>
      </x:c>
      <x:c r="F2674" s="115" t="str">
        <x:v>Inspection physique</x:v>
      </x:c>
      <x:c r="G2674" s="115" t="str">
        <x:v>1 niveaux ; 40 pièces ; 303 segments de mur ; 0 transitions. Inspection physique ; architecture complète encore ouverte.</x:v>
      </x:c>
      <x:c r="H2674" s="115" t="str">
        <x:v>L 368 ; l 344 ; hauteur 7,45 m ; choix de composition auteur ; dimensions réelles à documenter</x:v>
      </x:c>
      <x:c r="I2674" s="115" t="str">
        <x:v>À équilibrer</x:v>
      </x:c>
      <x:c r="J2674" s="115" t="str">
        <x:v>Non</x:v>
      </x:c>
      <x:c r="K2674" s="115" t="str">
        <x:v>Pièces décrites, murs, portes, niveaux et mobilier inspectables à l’échelle. Volumes réservés, raccord au seed, butin, rencontres et services de campagne restent à terminer.</x:v>
      </x:c>
    </x:row>
    <x:row r="2675" ht="96" customHeight="1">
      <x:c r="A2675" s="115" t="str">
        <x:v>EXT-MONDE-T054-V20</x:v>
      </x:c>
      <x:c r="B2675" s="115" t="str">
        <x:v>EXT-MONDE-T054</x:v>
      </x:c>
      <x:c r="C2675" s="115" t="str">
        <x:v>Usines</x:v>
      </x:c>
      <x:c r="D2675" s="115" t="str">
        <x:v>Usine de mécanique</x:v>
      </x:c>
      <x:c r="E2675" s="115" t="n">
        <x:v>20</x:v>
      </x:c>
      <x:c r="F2675" s="115" t="str">
        <x:v>Inspection physique</x:v>
      </x:c>
      <x:c r="G2675" s="115" t="str">
        <x:v>1 niveaux ; 40 pièces ; 303 segments de mur ; 0 transitions. Inspection physique ; architecture complète encore ouverte.</x:v>
      </x:c>
      <x:c r="H2675" s="115" t="str">
        <x:v>L 368 ; l 344 ; hauteur 7,45 m ; choix de composition auteur ; dimensions réelles à documenter</x:v>
      </x:c>
      <x:c r="I2675" s="115" t="str">
        <x:v>À équilibrer</x:v>
      </x:c>
      <x:c r="J2675" s="115" t="str">
        <x:v>Non</x:v>
      </x:c>
      <x:c r="K2675" s="115" t="str">
        <x:v>Pièces décrites, murs, portes, niveaux et mobilier inspectables à l’échelle. Volumes réservés, raccord au seed, butin, rencontres et services de campagne restent à terminer.</x:v>
      </x:c>
    </x:row>
    <x:row r="2676" ht="96" customHeight="1">
      <x:c r="A2676" s="115" t="str">
        <x:v>EXT-MONDE-T054-V21</x:v>
      </x:c>
      <x:c r="B2676" s="115" t="str">
        <x:v>EXT-MONDE-T054</x:v>
      </x:c>
      <x:c r="C2676" s="115" t="str">
        <x:v>Usines</x:v>
      </x:c>
      <x:c r="D2676" s="115" t="str">
        <x:v>Usine de mécanique</x:v>
      </x:c>
      <x:c r="E2676" s="115" t="n">
        <x:v>21</x:v>
      </x:c>
      <x:c r="F2676" s="115" t="str">
        <x:v>Inspection physique</x:v>
      </x:c>
      <x:c r="G2676" s="115" t="str">
        <x:v>1 niveaux ; 40 pièces ; 303 segments de mur ; 0 transitions. Inspection physique ; architecture complète encore ouverte.</x:v>
      </x:c>
      <x:c r="H2676" s="115" t="str">
        <x:v>L 386 ; l 368 ; hauteur 7,7 m ; choix de composition auteur ; dimensions réelles à documenter</x:v>
      </x:c>
      <x:c r="I2676" s="115" t="str">
        <x:v>À équilibrer</x:v>
      </x:c>
      <x:c r="J2676" s="115" t="str">
        <x:v>Non</x:v>
      </x:c>
      <x:c r="K2676" s="115" t="str">
        <x:v>Pièces décrites, murs, portes, niveaux et mobilier inspectables à l’échelle. Volumes réservés, raccord au seed, butin, rencontres et services de campagne restent à terminer.</x:v>
      </x:c>
    </x:row>
    <x:row r="2677" ht="96" customHeight="1">
      <x:c r="A2677" s="115" t="str">
        <x:v>EXT-MONDE-T054-V22</x:v>
      </x:c>
      <x:c r="B2677" s="115" t="str">
        <x:v>EXT-MONDE-T054</x:v>
      </x:c>
      <x:c r="C2677" s="115" t="str">
        <x:v>Usines</x:v>
      </x:c>
      <x:c r="D2677" s="115" t="str">
        <x:v>Usine de mécanique</x:v>
      </x:c>
      <x:c r="E2677" s="115" t="n">
        <x:v>22</x:v>
      </x:c>
      <x:c r="F2677" s="115" t="str">
        <x:v>Inspection physique</x:v>
      </x:c>
      <x:c r="G2677" s="115" t="str">
        <x:v>1 niveaux ; 40 pièces ; 303 segments de mur ; 0 transitions. Inspection physique ; architecture complète encore ouverte.</x:v>
      </x:c>
      <x:c r="H2677" s="115" t="str">
        <x:v>L 386 ; l 368 ; hauteur 7,7 m ; choix de composition auteur ; dimensions réelles à documenter</x:v>
      </x:c>
      <x:c r="I2677" s="115" t="str">
        <x:v>À équilibrer</x:v>
      </x:c>
      <x:c r="J2677" s="115" t="str">
        <x:v>Non</x:v>
      </x:c>
      <x:c r="K2677" s="115" t="str">
        <x:v>Pièces décrites, murs, portes, niveaux et mobilier inspectables à l’échelle. Volumes réservés, raccord au seed, butin, rencontres et services de campagne restent à terminer.</x:v>
      </x:c>
    </x:row>
    <x:row r="2678" ht="96" customHeight="1">
      <x:c r="A2678" s="115" t="str">
        <x:v>EXT-MONDE-T054-V23</x:v>
      </x:c>
      <x:c r="B2678" s="115" t="str">
        <x:v>EXT-MONDE-T054</x:v>
      </x:c>
      <x:c r="C2678" s="115" t="str">
        <x:v>Usines</x:v>
      </x:c>
      <x:c r="D2678" s="115" t="str">
        <x:v>Usine de mécanique</x:v>
      </x:c>
      <x:c r="E2678" s="115" t="n">
        <x:v>23</x:v>
      </x:c>
      <x:c r="F2678" s="115" t="str">
        <x:v>Inspection physique</x:v>
      </x:c>
      <x:c r="G2678" s="115" t="str">
        <x:v>1 niveaux ; 40 pièces ; 303 segments de mur ; 0 transitions. Inspection physique ; architecture complète encore ouverte.</x:v>
      </x:c>
      <x:c r="H2678" s="115" t="str">
        <x:v>L 386 ; l 368 ; hauteur 7,7 m ; choix de composition auteur ; dimensions réelles à documenter</x:v>
      </x:c>
      <x:c r="I2678" s="115" t="str">
        <x:v>À équilibrer</x:v>
      </x:c>
      <x:c r="J2678" s="115" t="str">
        <x:v>Non</x:v>
      </x:c>
      <x:c r="K2678" s="115" t="str">
        <x:v>Pièces décrites, murs, portes, niveaux et mobilier inspectables à l’échelle. Volumes réservés, raccord au seed, butin, rencontres et services de campagne restent à terminer.</x:v>
      </x:c>
    </x:row>
    <x:row r="2679" ht="96" customHeight="1">
      <x:c r="A2679" s="115" t="str">
        <x:v>EXT-MONDE-T054-V24</x:v>
      </x:c>
      <x:c r="B2679" s="115" t="str">
        <x:v>EXT-MONDE-T054</x:v>
      </x:c>
      <x:c r="C2679" s="115" t="str">
        <x:v>Usines</x:v>
      </x:c>
      <x:c r="D2679" s="115" t="str">
        <x:v>Usine de mécanique</x:v>
      </x:c>
      <x:c r="E2679" s="115" t="n">
        <x:v>24</x:v>
      </x:c>
      <x:c r="F2679" s="115" t="str">
        <x:v>Inspection physique</x:v>
      </x:c>
      <x:c r="G2679" s="115" t="str">
        <x:v>1 niveaux ; 40 pièces ; 303 segments de mur ; 0 transitions. Inspection physique ; architecture complète encore ouverte.</x:v>
      </x:c>
      <x:c r="H2679" s="115" t="str">
        <x:v>L 386 ; l 368 ; hauteur 7,7 m ; choix de composition auteur ; dimensions réelles à documenter</x:v>
      </x:c>
      <x:c r="I2679" s="115" t="str">
        <x:v>À équilibrer</x:v>
      </x:c>
      <x:c r="J2679" s="115" t="str">
        <x:v>Non</x:v>
      </x:c>
      <x:c r="K2679" s="115" t="str">
        <x:v>Pièces décrites, murs, portes, niveaux et mobilier inspectables à l’échelle. Volumes réservés, raccord au seed, butin, rencontres et services de campagne restent à terminer.</x:v>
      </x:c>
    </x:row>
    <x:row r="2680" ht="96" customHeight="1">
      <x:c r="A2680" s="115" t="str">
        <x:v>EXT-MONDE-T054-V25</x:v>
      </x:c>
      <x:c r="B2680" s="115" t="str">
        <x:v>EXT-MONDE-T054</x:v>
      </x:c>
      <x:c r="C2680" s="115" t="str">
        <x:v>Usines</x:v>
      </x:c>
      <x:c r="D2680" s="115" t="str">
        <x:v>Usine de mécanique</x:v>
      </x:c>
      <x:c r="E2680" s="115" t="n">
        <x:v>25</x:v>
      </x:c>
      <x:c r="F2680" s="115" t="str">
        <x:v>Inspection physique</x:v>
      </x:c>
      <x:c r="G2680" s="115" t="str">
        <x:v>1 niveaux ; 40 pièces ; 303 segments de mur ; 0 transitions. Inspection physique ; architecture complète encore ouverte.</x:v>
      </x:c>
      <x:c r="H2680" s="115" t="str">
        <x:v>L 386 ; l 368 ; hauteur 7,7 m ; choix de composition auteur ; dimensions réelles à documenter</x:v>
      </x:c>
      <x:c r="I2680" s="115" t="str">
        <x:v>À équilibrer</x:v>
      </x:c>
      <x:c r="J2680" s="115" t="str">
        <x:v>Non</x:v>
      </x:c>
      <x:c r="K2680" s="115" t="str">
        <x:v>Pièces décrites, murs, portes, niveaux et mobilier inspectables à l’échelle. Volumes réservés, raccord au seed, butin, rencontres et services de campagne restent à terminer.</x:v>
      </x:c>
    </x:row>
    <x:row r="2681" ht="96" customHeight="1">
      <x:c r="A2681" s="115" t="str">
        <x:v>EXT-MONDE-T054-V26</x:v>
      </x:c>
      <x:c r="B2681" s="115" t="str">
        <x:v>EXT-MONDE-T054</x:v>
      </x:c>
      <x:c r="C2681" s="115" t="str">
        <x:v>Usines</x:v>
      </x:c>
      <x:c r="D2681" s="115" t="str">
        <x:v>Usine de mécanique</x:v>
      </x:c>
      <x:c r="E2681" s="115" t="n">
        <x:v>26</x:v>
      </x:c>
      <x:c r="F2681" s="115" t="str">
        <x:v>Inspection physique</x:v>
      </x:c>
      <x:c r="G2681" s="115" t="str">
        <x:v>1 niveaux ; 40 pièces ; 303 segments de mur ; 0 transitions. Inspection physique ; architecture complète encore ouverte.</x:v>
      </x:c>
      <x:c r="H2681" s="115" t="str">
        <x:v>L 386 ; l 368 ; hauteur 7,7 m ; choix de composition auteur ; dimensions réelles à documenter</x:v>
      </x:c>
      <x:c r="I2681" s="115" t="str">
        <x:v>À équilibrer</x:v>
      </x:c>
      <x:c r="J2681" s="115" t="str">
        <x:v>Non</x:v>
      </x:c>
      <x:c r="K2681" s="115" t="str">
        <x:v>Pièces décrites, murs, portes, niveaux et mobilier inspectables à l’échelle. Volumes réservés, raccord au seed, butin, rencontres et services de campagne restent à terminer.</x:v>
      </x:c>
    </x:row>
    <x:row r="2682" ht="96" customHeight="1">
      <x:c r="A2682" s="115" t="str">
        <x:v>EXT-MONDE-T054-V27</x:v>
      </x:c>
      <x:c r="B2682" s="115" t="str">
        <x:v>EXT-MONDE-T054</x:v>
      </x:c>
      <x:c r="C2682" s="115" t="str">
        <x:v>Usines</x:v>
      </x:c>
      <x:c r="D2682" s="115" t="str">
        <x:v>Usine de mécanique</x:v>
      </x:c>
      <x:c r="E2682" s="115" t="n">
        <x:v>27</x:v>
      </x:c>
      <x:c r="F2682" s="115" t="str">
        <x:v>Inspection physique</x:v>
      </x:c>
      <x:c r="G2682" s="115" t="str">
        <x:v>1 niveaux ; 40 pièces ; 303 segments de mur ; 0 transitions. Inspection physique ; architecture complète encore ouverte.</x:v>
      </x:c>
      <x:c r="H2682" s="115" t="str">
        <x:v>L 386 ; l 368 ; hauteur 7,7 m ; choix de composition auteur ; dimensions réelles à documenter</x:v>
      </x:c>
      <x:c r="I2682" s="115" t="str">
        <x:v>À équilibrer</x:v>
      </x:c>
      <x:c r="J2682" s="115" t="str">
        <x:v>Non</x:v>
      </x:c>
      <x:c r="K2682" s="115" t="str">
        <x:v>Pièces décrites, murs, portes, niveaux et mobilier inspectables à l’échelle. Volumes réservés, raccord au seed, butin, rencontres et services de campagne restent à terminer.</x:v>
      </x:c>
    </x:row>
    <x:row r="2683" ht="96" customHeight="1">
      <x:c r="A2683" s="115" t="str">
        <x:v>EXT-MONDE-T054-V28</x:v>
      </x:c>
      <x:c r="B2683" s="115" t="str">
        <x:v>EXT-MONDE-T054</x:v>
      </x:c>
      <x:c r="C2683" s="115" t="str">
        <x:v>Usines</x:v>
      </x:c>
      <x:c r="D2683" s="115" t="str">
        <x:v>Usine de mécanique</x:v>
      </x:c>
      <x:c r="E2683" s="115" t="n">
        <x:v>28</x:v>
      </x:c>
      <x:c r="F2683" s="115" t="str">
        <x:v>Inspection physique</x:v>
      </x:c>
      <x:c r="G2683" s="115" t="str">
        <x:v>1 niveaux ; 40 pièces ; 303 segments de mur ; 0 transitions. Inspection physique ; architecture complète encore ouverte.</x:v>
      </x:c>
      <x:c r="H2683" s="115" t="str">
        <x:v>L 386 ; l 368 ; hauteur 7,7 m ; choix de composition auteur ; dimensions réelles à documenter</x:v>
      </x:c>
      <x:c r="I2683" s="115" t="str">
        <x:v>À équilibrer</x:v>
      </x:c>
      <x:c r="J2683" s="115" t="str">
        <x:v>Non</x:v>
      </x:c>
      <x:c r="K2683" s="115" t="str">
        <x:v>Pièces décrites, murs, portes, niveaux et mobilier inspectables à l’échelle. Volumes réservés, raccord au seed, butin, rencontres et services de campagne restent à terminer.</x:v>
      </x:c>
    </x:row>
    <x:row r="2684" ht="96" customHeight="1">
      <x:c r="A2684" s="115" t="str">
        <x:v>EXT-MONDE-T054-V29</x:v>
      </x:c>
      <x:c r="B2684" s="115" t="str">
        <x:v>EXT-MONDE-T054</x:v>
      </x:c>
      <x:c r="C2684" s="115" t="str">
        <x:v>Usines</x:v>
      </x:c>
      <x:c r="D2684" s="115" t="str">
        <x:v>Usine de mécanique</x:v>
      </x:c>
      <x:c r="E2684" s="115" t="n">
        <x:v>29</x:v>
      </x:c>
      <x:c r="F2684" s="115" t="str">
        <x:v>Inspection physique</x:v>
      </x:c>
      <x:c r="G2684" s="115" t="str">
        <x:v>1 niveaux ; 40 pièces ; 303 segments de mur ; 0 transitions. Inspection physique ; architecture complète encore ouverte.</x:v>
      </x:c>
      <x:c r="H2684" s="115" t="str">
        <x:v>L 386 ; l 368 ; hauteur 7,7 m ; choix de composition auteur ; dimensions réelles à documenter</x:v>
      </x:c>
      <x:c r="I2684" s="115" t="str">
        <x:v>À équilibrer</x:v>
      </x:c>
      <x:c r="J2684" s="115" t="str">
        <x:v>Non</x:v>
      </x:c>
      <x:c r="K2684" s="115" t="str">
        <x:v>Pièces décrites, murs, portes, niveaux et mobilier inspectables à l’échelle. Volumes réservés, raccord au seed, butin, rencontres et services de campagne restent à terminer.</x:v>
      </x:c>
    </x:row>
    <x:row r="2685" ht="96" customHeight="1">
      <x:c r="A2685" s="115" t="str">
        <x:v>EXT-MONDE-T054-V30</x:v>
      </x:c>
      <x:c r="B2685" s="115" t="str">
        <x:v>EXT-MONDE-T054</x:v>
      </x:c>
      <x:c r="C2685" s="115" t="str">
        <x:v>Usines</x:v>
      </x:c>
      <x:c r="D2685" s="115" t="str">
        <x:v>Usine de mécanique</x:v>
      </x:c>
      <x:c r="E2685" s="115" t="n">
        <x:v>30</x:v>
      </x:c>
      <x:c r="F2685" s="115" t="str">
        <x:v>Inspection physique</x:v>
      </x:c>
      <x:c r="G2685" s="115" t="str">
        <x:v>1 niveaux ; 40 pièces ; 303 segments de mur ; 0 transitions. Inspection physique ; architecture complète encore ouverte.</x:v>
      </x:c>
      <x:c r="H2685" s="115" t="str">
        <x:v>L 386 ; l 368 ; hauteur 7,7 m ; choix de composition auteur ; dimensions réelles à documenter</x:v>
      </x:c>
      <x:c r="I2685" s="115" t="str">
        <x:v>À équilibrer</x:v>
      </x:c>
      <x:c r="J2685" s="115" t="str">
        <x:v>Non</x:v>
      </x:c>
      <x:c r="K2685" s="115" t="str">
        <x:v>Pièces décrites, murs, portes, niveaux et mobilier inspectables à l’échelle. Volumes réservés, raccord au seed, butin, rencontres et services de campagne restent à terminer.</x:v>
      </x:c>
    </x:row>
    <x:row r="2686" ht="96" customHeight="1">
      <x:c r="A2686" s="115" t="str">
        <x:v>EXT-MONDE-T054-V31</x:v>
      </x:c>
      <x:c r="B2686" s="115" t="str">
        <x:v>EXT-MONDE-T054</x:v>
      </x:c>
      <x:c r="C2686" s="115" t="str">
        <x:v>Usines</x:v>
      </x:c>
      <x:c r="D2686" s="115" t="str">
        <x:v>Usine de mécanique</x:v>
      </x:c>
      <x:c r="E2686" s="115" t="n">
        <x:v>31</x:v>
      </x:c>
      <x:c r="F2686" s="115" t="str">
        <x:v>Inspection physique</x:v>
      </x:c>
      <x:c r="G2686" s="115" t="str">
        <x:v>1 niveaux ; 40 pièces ; 303 segments de mur ; 0 transitions. Inspection physique ; architecture complète encore ouverte.</x:v>
      </x:c>
      <x:c r="H2686" s="115" t="str">
        <x:v>L 404 ; l 392 ; hauteur 7,95 m ; choix de composition auteur ; dimensions réelles à documenter</x:v>
      </x:c>
      <x:c r="I2686" s="115" t="str">
        <x:v>À équilibrer</x:v>
      </x:c>
      <x:c r="J2686" s="115" t="str">
        <x:v>Non</x:v>
      </x:c>
      <x:c r="K2686" s="115" t="str">
        <x:v>Pièces décrites, murs, portes, niveaux et mobilier inspectables à l’échelle. Volumes réservés, raccord au seed, butin, rencontres et services de campagne restent à terminer.</x:v>
      </x:c>
    </x:row>
    <x:row r="2687" ht="96" customHeight="1">
      <x:c r="A2687" s="115" t="str">
        <x:v>EXT-MONDE-T054-V32</x:v>
      </x:c>
      <x:c r="B2687" s="115" t="str">
        <x:v>EXT-MONDE-T054</x:v>
      </x:c>
      <x:c r="C2687" s="115" t="str">
        <x:v>Usines</x:v>
      </x:c>
      <x:c r="D2687" s="115" t="str">
        <x:v>Usine de mécanique</x:v>
      </x:c>
      <x:c r="E2687" s="115" t="n">
        <x:v>32</x:v>
      </x:c>
      <x:c r="F2687" s="115" t="str">
        <x:v>Inspection physique</x:v>
      </x:c>
      <x:c r="G2687" s="115" t="str">
        <x:v>1 niveaux ; 40 pièces ; 303 segments de mur ; 0 transitions. Inspection physique ; architecture complète encore ouverte.</x:v>
      </x:c>
      <x:c r="H2687" s="115" t="str">
        <x:v>L 404 ; l 392 ; hauteur 7,95 m ; choix de composition auteur ; dimensions réelles à documenter</x:v>
      </x:c>
      <x:c r="I2687" s="115" t="str">
        <x:v>À équilibrer</x:v>
      </x:c>
      <x:c r="J2687" s="115" t="str">
        <x:v>Non</x:v>
      </x:c>
      <x:c r="K2687" s="115" t="str">
        <x:v>Pièces décrites, murs, portes, niveaux et mobilier inspectables à l’échelle. Volumes réservés, raccord au seed, butin, rencontres et services de campagne restent à terminer.</x:v>
      </x:c>
    </x:row>
    <x:row r="2688" ht="96" customHeight="1">
      <x:c r="A2688" s="115" t="str">
        <x:v>EXT-MONDE-T054-V33</x:v>
      </x:c>
      <x:c r="B2688" s="115" t="str">
        <x:v>EXT-MONDE-T054</x:v>
      </x:c>
      <x:c r="C2688" s="115" t="str">
        <x:v>Usines</x:v>
      </x:c>
      <x:c r="D2688" s="115" t="str">
        <x:v>Usine de mécanique</x:v>
      </x:c>
      <x:c r="E2688" s="115" t="n">
        <x:v>33</x:v>
      </x:c>
      <x:c r="F2688" s="115" t="str">
        <x:v>Inspection physique</x:v>
      </x:c>
      <x:c r="G2688" s="115" t="str">
        <x:v>1 niveaux ; 40 pièces ; 303 segments de mur ; 0 transitions. Inspection physique ; architecture complète encore ouverte.</x:v>
      </x:c>
      <x:c r="H2688" s="115" t="str">
        <x:v>L 404 ; l 392 ; hauteur 7,95 m ; choix de composition auteur ; dimensions réelles à documenter</x:v>
      </x:c>
      <x:c r="I2688" s="115" t="str">
        <x:v>À équilibrer</x:v>
      </x:c>
      <x:c r="J2688" s="115" t="str">
        <x:v>Non</x:v>
      </x:c>
      <x:c r="K2688" s="115" t="str">
        <x:v>Pièces décrites, murs, portes, niveaux et mobilier inspectables à l’échelle. Volumes réservés, raccord au seed, butin, rencontres et services de campagne restent à terminer.</x:v>
      </x:c>
    </x:row>
    <x:row r="2689" ht="96" customHeight="1">
      <x:c r="A2689" s="115" t="str">
        <x:v>EXT-MONDE-T054-V34</x:v>
      </x:c>
      <x:c r="B2689" s="115" t="str">
        <x:v>EXT-MONDE-T054</x:v>
      </x:c>
      <x:c r="C2689" s="115" t="str">
        <x:v>Usines</x:v>
      </x:c>
      <x:c r="D2689" s="115" t="str">
        <x:v>Usine de mécanique</x:v>
      </x:c>
      <x:c r="E2689" s="115" t="n">
        <x:v>34</x:v>
      </x:c>
      <x:c r="F2689" s="115" t="str">
        <x:v>Inspection physique</x:v>
      </x:c>
      <x:c r="G2689" s="115" t="str">
        <x:v>1 niveaux ; 40 pièces ; 303 segments de mur ; 0 transitions. Inspection physique ; architecture complète encore ouverte.</x:v>
      </x:c>
      <x:c r="H2689" s="115" t="str">
        <x:v>L 404 ; l 392 ; hauteur 7,95 m ; choix de composition auteur ; dimensions réelles à documenter</x:v>
      </x:c>
      <x:c r="I2689" s="115" t="str">
        <x:v>À équilibrer</x:v>
      </x:c>
      <x:c r="J2689" s="115" t="str">
        <x:v>Non</x:v>
      </x:c>
      <x:c r="K2689" s="115" t="str">
        <x:v>Pièces décrites, murs, portes, niveaux et mobilier inspectables à l’échelle. Volumes réservés, raccord au seed, butin, rencontres et services de campagne restent à terminer.</x:v>
      </x:c>
    </x:row>
    <x:row r="2690" ht="96" customHeight="1">
      <x:c r="A2690" s="115" t="str">
        <x:v>EXT-MONDE-T054-V35</x:v>
      </x:c>
      <x:c r="B2690" s="115" t="str">
        <x:v>EXT-MONDE-T054</x:v>
      </x:c>
      <x:c r="C2690" s="115" t="str">
        <x:v>Usines</x:v>
      </x:c>
      <x:c r="D2690" s="115" t="str">
        <x:v>Usine de mécanique</x:v>
      </x:c>
      <x:c r="E2690" s="115" t="n">
        <x:v>35</x:v>
      </x:c>
      <x:c r="F2690" s="115" t="str">
        <x:v>Inspection physique</x:v>
      </x:c>
      <x:c r="G2690" s="115" t="str">
        <x:v>1 niveaux ; 40 pièces ; 303 segments de mur ; 0 transitions. Inspection physique ; architecture complète encore ouverte.</x:v>
      </x:c>
      <x:c r="H2690" s="115" t="str">
        <x:v>L 404 ; l 392 ; hauteur 7,95 m ; choix de composition auteur ; dimensions réelles à documenter</x:v>
      </x:c>
      <x:c r="I2690" s="115" t="str">
        <x:v>À équilibrer</x:v>
      </x:c>
      <x:c r="J2690" s="115" t="str">
        <x:v>Non</x:v>
      </x:c>
      <x:c r="K2690" s="115" t="str">
        <x:v>Pièces décrites, murs, portes, niveaux et mobilier inspectables à l’échelle. Volumes réservés, raccord au seed, butin, rencontres et services de campagne restent à terminer.</x:v>
      </x:c>
    </x:row>
    <x:row r="2691" ht="96" customHeight="1">
      <x:c r="A2691" s="115" t="str">
        <x:v>EXT-MONDE-T054-V36</x:v>
      </x:c>
      <x:c r="B2691" s="115" t="str">
        <x:v>EXT-MONDE-T054</x:v>
      </x:c>
      <x:c r="C2691" s="115" t="str">
        <x:v>Usines</x:v>
      </x:c>
      <x:c r="D2691" s="115" t="str">
        <x:v>Usine de mécanique</x:v>
      </x:c>
      <x:c r="E2691" s="115" t="n">
        <x:v>36</x:v>
      </x:c>
      <x:c r="F2691" s="115" t="str">
        <x:v>Inspection physique</x:v>
      </x:c>
      <x:c r="G2691" s="115" t="str">
        <x:v>1 niveaux ; 40 pièces ; 303 segments de mur ; 0 transitions. Inspection physique ; architecture complète encore ouverte.</x:v>
      </x:c>
      <x:c r="H2691" s="115" t="str">
        <x:v>L 404 ; l 392 ; hauteur 7,95 m ; choix de composition auteur ; dimensions réelles à documenter</x:v>
      </x:c>
      <x:c r="I2691" s="115" t="str">
        <x:v>À équilibrer</x:v>
      </x:c>
      <x:c r="J2691" s="115" t="str">
        <x:v>Non</x:v>
      </x:c>
      <x:c r="K2691" s="115" t="str">
        <x:v>Pièces décrites, murs, portes, niveaux et mobilier inspectables à l’échelle. Volumes réservés, raccord au seed, butin, rencontres et services de campagne restent à terminer.</x:v>
      </x:c>
    </x:row>
    <x:row r="2692" ht="96" customHeight="1">
      <x:c r="A2692" s="115" t="str">
        <x:v>EXT-MONDE-T054-V37</x:v>
      </x:c>
      <x:c r="B2692" s="115" t="str">
        <x:v>EXT-MONDE-T054</x:v>
      </x:c>
      <x:c r="C2692" s="115" t="str">
        <x:v>Usines</x:v>
      </x:c>
      <x:c r="D2692" s="115" t="str">
        <x:v>Usine de mécanique</x:v>
      </x:c>
      <x:c r="E2692" s="115" t="n">
        <x:v>37</x:v>
      </x:c>
      <x:c r="F2692" s="115" t="str">
        <x:v>Inspection physique</x:v>
      </x:c>
      <x:c r="G2692" s="115" t="str">
        <x:v>1 niveaux ; 40 pièces ; 303 segments de mur ; 0 transitions. Inspection physique ; architecture complète encore ouverte.</x:v>
      </x:c>
      <x:c r="H2692" s="115" t="str">
        <x:v>L 404 ; l 392 ; hauteur 7,95 m ; choix de composition auteur ; dimensions réelles à documenter</x:v>
      </x:c>
      <x:c r="I2692" s="115" t="str">
        <x:v>À équilibrer</x:v>
      </x:c>
      <x:c r="J2692" s="115" t="str">
        <x:v>Non</x:v>
      </x:c>
      <x:c r="K2692" s="115" t="str">
        <x:v>Pièces décrites, murs, portes, niveaux et mobilier inspectables à l’échelle. Volumes réservés, raccord au seed, butin, rencontres et services de campagne restent à terminer.</x:v>
      </x:c>
    </x:row>
    <x:row r="2693" ht="96" customHeight="1">
      <x:c r="A2693" s="115" t="str">
        <x:v>EXT-MONDE-T054-V38</x:v>
      </x:c>
      <x:c r="B2693" s="115" t="str">
        <x:v>EXT-MONDE-T054</x:v>
      </x:c>
      <x:c r="C2693" s="115" t="str">
        <x:v>Usines</x:v>
      </x:c>
      <x:c r="D2693" s="115" t="str">
        <x:v>Usine de mécanique</x:v>
      </x:c>
      <x:c r="E2693" s="115" t="n">
        <x:v>38</x:v>
      </x:c>
      <x:c r="F2693" s="115" t="str">
        <x:v>Inspection physique</x:v>
      </x:c>
      <x:c r="G2693" s="115" t="str">
        <x:v>1 niveaux ; 40 pièces ; 303 segments de mur ; 0 transitions. Inspection physique ; architecture complète encore ouverte.</x:v>
      </x:c>
      <x:c r="H2693" s="115" t="str">
        <x:v>L 404 ; l 392 ; hauteur 7,95 m ; choix de composition auteur ; dimensions réelles à documenter</x:v>
      </x:c>
      <x:c r="I2693" s="115" t="str">
        <x:v>À équilibrer</x:v>
      </x:c>
      <x:c r="J2693" s="115" t="str">
        <x:v>Non</x:v>
      </x:c>
      <x:c r="K2693" s="115" t="str">
        <x:v>Pièces décrites, murs, portes, niveaux et mobilier inspectables à l’échelle. Volumes réservés, raccord au seed, butin, rencontres et services de campagne restent à terminer.</x:v>
      </x:c>
    </x:row>
    <x:row r="2694" ht="96" customHeight="1">
      <x:c r="A2694" s="115" t="str">
        <x:v>EXT-MONDE-T054-V39</x:v>
      </x:c>
      <x:c r="B2694" s="115" t="str">
        <x:v>EXT-MONDE-T054</x:v>
      </x:c>
      <x:c r="C2694" s="115" t="str">
        <x:v>Usines</x:v>
      </x:c>
      <x:c r="D2694" s="115" t="str">
        <x:v>Usine de mécanique</x:v>
      </x:c>
      <x:c r="E2694" s="115" t="n">
        <x:v>39</x:v>
      </x:c>
      <x:c r="F2694" s="115" t="str">
        <x:v>Inspection physique</x:v>
      </x:c>
      <x:c r="G2694" s="115" t="str">
        <x:v>1 niveaux ; 40 pièces ; 303 segments de mur ; 0 transitions. Inspection physique ; architecture complète encore ouverte.</x:v>
      </x:c>
      <x:c r="H2694" s="115" t="str">
        <x:v>L 404 ; l 392 ; hauteur 7,95 m ; choix de composition auteur ; dimensions réelles à documenter</x:v>
      </x:c>
      <x:c r="I2694" s="115" t="str">
        <x:v>À équilibrer</x:v>
      </x:c>
      <x:c r="J2694" s="115" t="str">
        <x:v>Non</x:v>
      </x:c>
      <x:c r="K2694" s="115" t="str">
        <x:v>Pièces décrites, murs, portes, niveaux et mobilier inspectables à l’échelle. Volumes réservés, raccord au seed, butin, rencontres et services de campagne restent à terminer.</x:v>
      </x:c>
    </x:row>
    <x:row r="2695" ht="96" customHeight="1">
      <x:c r="A2695" s="115" t="str">
        <x:v>EXT-MONDE-T054-V40</x:v>
      </x:c>
      <x:c r="B2695" s="115" t="str">
        <x:v>EXT-MONDE-T054</x:v>
      </x:c>
      <x:c r="C2695" s="115" t="str">
        <x:v>Usines</x:v>
      </x:c>
      <x:c r="D2695" s="115" t="str">
        <x:v>Usine de mécanique</x:v>
      </x:c>
      <x:c r="E2695" s="115" t="n">
        <x:v>40</x:v>
      </x:c>
      <x:c r="F2695" s="115" t="str">
        <x:v>Inspection physique</x:v>
      </x:c>
      <x:c r="G2695" s="115" t="str">
        <x:v>1 niveaux ; 40 pièces ; 303 segments de mur ; 0 transitions. Inspection physique ; architecture complète encore ouverte.</x:v>
      </x:c>
      <x:c r="H2695" s="115" t="str">
        <x:v>L 404 ; l 392 ; hauteur 7,95 m ; choix de composition auteur ; dimensions réelles à documenter</x:v>
      </x:c>
      <x:c r="I2695" s="115" t="str">
        <x:v>À équilibrer</x:v>
      </x:c>
      <x:c r="J2695" s="115" t="str">
        <x:v>Non</x:v>
      </x:c>
      <x:c r="K2695" s="115" t="str">
        <x:v>Pièces décrites, murs, portes, niveaux et mobilier inspectables à l’échelle. Volumes réservés, raccord au seed, butin, rencontres et services de campagne restent à terminer.</x:v>
      </x:c>
    </x:row>
    <x:row r="2696" ht="96" customHeight="1">
      <x:c r="A2696" s="115" t="str">
        <x:v>EXT-MONDE-T054-V41</x:v>
      </x:c>
      <x:c r="B2696" s="115" t="str">
        <x:v>EXT-MONDE-T054</x:v>
      </x:c>
      <x:c r="C2696" s="115" t="str">
        <x:v>Usines</x:v>
      </x:c>
      <x:c r="D2696" s="115" t="str">
        <x:v>Usine de mécanique</x:v>
      </x:c>
      <x:c r="E2696" s="115" t="n">
        <x:v>41</x:v>
      </x:c>
      <x:c r="F2696" s="115" t="str">
        <x:v>Inspection physique</x:v>
      </x:c>
      <x:c r="G2696" s="115" t="str">
        <x:v>1 niveaux ; 40 pièces ; 303 segments de mur ; 0 transitions. Inspection physique ; architecture complète encore ouverte.</x:v>
      </x:c>
      <x:c r="H2696" s="115" t="str">
        <x:v>L 422 ; l 416 ; hauteur 8,2 m ; choix de composition auteur ; dimensions réelles à documenter</x:v>
      </x:c>
      <x:c r="I2696" s="115" t="str">
        <x:v>À équilibrer</x:v>
      </x:c>
      <x:c r="J2696" s="115" t="str">
        <x:v>Non</x:v>
      </x:c>
      <x:c r="K2696" s="115" t="str">
        <x:v>Pièces décrites, murs, portes, niveaux et mobilier inspectables à l’échelle. Volumes réservés, raccord au seed, butin, rencontres et services de campagne restent à terminer.</x:v>
      </x:c>
    </x:row>
    <x:row r="2697" ht="96" customHeight="1">
      <x:c r="A2697" s="115" t="str">
        <x:v>EXT-MONDE-T054-V42</x:v>
      </x:c>
      <x:c r="B2697" s="115" t="str">
        <x:v>EXT-MONDE-T054</x:v>
      </x:c>
      <x:c r="C2697" s="115" t="str">
        <x:v>Usines</x:v>
      </x:c>
      <x:c r="D2697" s="115" t="str">
        <x:v>Usine de mécanique</x:v>
      </x:c>
      <x:c r="E2697" s="115" t="n">
        <x:v>42</x:v>
      </x:c>
      <x:c r="F2697" s="115" t="str">
        <x:v>Inspection physique</x:v>
      </x:c>
      <x:c r="G2697" s="115" t="str">
        <x:v>1 niveaux ; 40 pièces ; 303 segments de mur ; 0 transitions. Inspection physique ; architecture complète encore ouverte.</x:v>
      </x:c>
      <x:c r="H2697" s="115" t="str">
        <x:v>L 422 ; l 416 ; hauteur 8,2 m ; choix de composition auteur ; dimensions réelles à documenter</x:v>
      </x:c>
      <x:c r="I2697" s="115" t="str">
        <x:v>À équilibrer</x:v>
      </x:c>
      <x:c r="J2697" s="115" t="str">
        <x:v>Non</x:v>
      </x:c>
      <x:c r="K2697" s="115" t="str">
        <x:v>Pièces décrites, murs, portes, niveaux et mobilier inspectables à l’échelle. Volumes réservés, raccord au seed, butin, rencontres et services de campagne restent à terminer.</x:v>
      </x:c>
    </x:row>
    <x:row r="2698" ht="96" customHeight="1">
      <x:c r="A2698" s="115" t="str">
        <x:v>EXT-MONDE-T054-V43</x:v>
      </x:c>
      <x:c r="B2698" s="115" t="str">
        <x:v>EXT-MONDE-T054</x:v>
      </x:c>
      <x:c r="C2698" s="115" t="str">
        <x:v>Usines</x:v>
      </x:c>
      <x:c r="D2698" s="115" t="str">
        <x:v>Usine de mécanique</x:v>
      </x:c>
      <x:c r="E2698" s="115" t="n">
        <x:v>43</x:v>
      </x:c>
      <x:c r="F2698" s="115" t="str">
        <x:v>Inspection physique</x:v>
      </x:c>
      <x:c r="G2698" s="115" t="str">
        <x:v>1 niveaux ; 40 pièces ; 303 segments de mur ; 0 transitions. Inspection physique ; architecture complète encore ouverte.</x:v>
      </x:c>
      <x:c r="H2698" s="115" t="str">
        <x:v>L 422 ; l 416 ; hauteur 8,2 m ; choix de composition auteur ; dimensions réelles à documenter</x:v>
      </x:c>
      <x:c r="I2698" s="115" t="str">
        <x:v>À équilibrer</x:v>
      </x:c>
      <x:c r="J2698" s="115" t="str">
        <x:v>Non</x:v>
      </x:c>
      <x:c r="K2698" s="115" t="str">
        <x:v>Pièces décrites, murs, portes, niveaux et mobilier inspectables à l’échelle. Volumes réservés, raccord au seed, butin, rencontres et services de campagne restent à terminer.</x:v>
      </x:c>
    </x:row>
    <x:row r="2699" ht="96" customHeight="1">
      <x:c r="A2699" s="115" t="str">
        <x:v>EXT-MONDE-T054-V44</x:v>
      </x:c>
      <x:c r="B2699" s="115" t="str">
        <x:v>EXT-MONDE-T054</x:v>
      </x:c>
      <x:c r="C2699" s="115" t="str">
        <x:v>Usines</x:v>
      </x:c>
      <x:c r="D2699" s="115" t="str">
        <x:v>Usine de mécanique</x:v>
      </x:c>
      <x:c r="E2699" s="115" t="n">
        <x:v>44</x:v>
      </x:c>
      <x:c r="F2699" s="115" t="str">
        <x:v>Inspection physique</x:v>
      </x:c>
      <x:c r="G2699" s="115" t="str">
        <x:v>1 niveaux ; 40 pièces ; 303 segments de mur ; 0 transitions. Inspection physique ; architecture complète encore ouverte.</x:v>
      </x:c>
      <x:c r="H2699" s="115" t="str">
        <x:v>L 422 ; l 416 ; hauteur 8,2 m ; choix de composition auteur ; dimensions réelles à documenter</x:v>
      </x:c>
      <x:c r="I2699" s="115" t="str">
        <x:v>À équilibrer</x:v>
      </x:c>
      <x:c r="J2699" s="115" t="str">
        <x:v>Non</x:v>
      </x:c>
      <x:c r="K2699" s="115" t="str">
        <x:v>Pièces décrites, murs, portes, niveaux et mobilier inspectables à l’échelle. Volumes réservés, raccord au seed, butin, rencontres et services de campagne restent à terminer.</x:v>
      </x:c>
    </x:row>
    <x:row r="2700" ht="96" customHeight="1">
      <x:c r="A2700" s="115" t="str">
        <x:v>EXT-MONDE-T054-V45</x:v>
      </x:c>
      <x:c r="B2700" s="115" t="str">
        <x:v>EXT-MONDE-T054</x:v>
      </x:c>
      <x:c r="C2700" s="115" t="str">
        <x:v>Usines</x:v>
      </x:c>
      <x:c r="D2700" s="115" t="str">
        <x:v>Usine de mécanique</x:v>
      </x:c>
      <x:c r="E2700" s="115" t="n">
        <x:v>45</x:v>
      </x:c>
      <x:c r="F2700" s="115" t="str">
        <x:v>Inspection physique</x:v>
      </x:c>
      <x:c r="G2700" s="115" t="str">
        <x:v>1 niveaux ; 40 pièces ; 303 segments de mur ; 0 transitions. Inspection physique ; architecture complète encore ouverte.</x:v>
      </x:c>
      <x:c r="H2700" s="115" t="str">
        <x:v>L 422 ; l 416 ; hauteur 8,2 m ; choix de composition auteur ; dimensions réelles à documenter</x:v>
      </x:c>
      <x:c r="I2700" s="115" t="str">
        <x:v>À équilibrer</x:v>
      </x:c>
      <x:c r="J2700" s="115" t="str">
        <x:v>Non</x:v>
      </x:c>
      <x:c r="K2700" s="115" t="str">
        <x:v>Pièces décrites, murs, portes, niveaux et mobilier inspectables à l’échelle. Volumes réservés, raccord au seed, butin, rencontres et services de campagne restent à terminer.</x:v>
      </x:c>
    </x:row>
    <x:row r="2701" ht="96" customHeight="1">
      <x:c r="A2701" s="115" t="str">
        <x:v>EXT-MONDE-T054-V46</x:v>
      </x:c>
      <x:c r="B2701" s="115" t="str">
        <x:v>EXT-MONDE-T054</x:v>
      </x:c>
      <x:c r="C2701" s="115" t="str">
        <x:v>Usines</x:v>
      </x:c>
      <x:c r="D2701" s="115" t="str">
        <x:v>Usine de mécanique</x:v>
      </x:c>
      <x:c r="E2701" s="115" t="n">
        <x:v>46</x:v>
      </x:c>
      <x:c r="F2701" s="115" t="str">
        <x:v>Inspection physique</x:v>
      </x:c>
      <x:c r="G2701" s="115" t="str">
        <x:v>1 niveaux ; 40 pièces ; 303 segments de mur ; 0 transitions. Inspection physique ; architecture complète encore ouverte.</x:v>
      </x:c>
      <x:c r="H2701" s="115" t="str">
        <x:v>L 422 ; l 416 ; hauteur 8,2 m ; choix de composition auteur ; dimensions réelles à documenter</x:v>
      </x:c>
      <x:c r="I2701" s="115" t="str">
        <x:v>À équilibrer</x:v>
      </x:c>
      <x:c r="J2701" s="115" t="str">
        <x:v>Non</x:v>
      </x:c>
      <x:c r="K2701" s="115" t="str">
        <x:v>Pièces décrites, murs, portes, niveaux et mobilier inspectables à l’échelle. Volumes réservés, raccord au seed, butin, rencontres et services de campagne restent à terminer.</x:v>
      </x:c>
    </x:row>
    <x:row r="2702" ht="96" customHeight="1">
      <x:c r="A2702" s="115" t="str">
        <x:v>EXT-MONDE-T054-V47</x:v>
      </x:c>
      <x:c r="B2702" s="115" t="str">
        <x:v>EXT-MONDE-T054</x:v>
      </x:c>
      <x:c r="C2702" s="115" t="str">
        <x:v>Usines</x:v>
      </x:c>
      <x:c r="D2702" s="115" t="str">
        <x:v>Usine de mécanique</x:v>
      </x:c>
      <x:c r="E2702" s="115" t="n">
        <x:v>47</x:v>
      </x:c>
      <x:c r="F2702" s="115" t="str">
        <x:v>Inspection physique</x:v>
      </x:c>
      <x:c r="G2702" s="115" t="str">
        <x:v>1 niveaux ; 40 pièces ; 303 segments de mur ; 0 transitions. Inspection physique ; architecture complète encore ouverte.</x:v>
      </x:c>
      <x:c r="H2702" s="115" t="str">
        <x:v>L 422 ; l 416 ; hauteur 8,2 m ; choix de composition auteur ; dimensions réelles à documenter</x:v>
      </x:c>
      <x:c r="I2702" s="115" t="str">
        <x:v>À équilibrer</x:v>
      </x:c>
      <x:c r="J2702" s="115" t="str">
        <x:v>Non</x:v>
      </x:c>
      <x:c r="K2702" s="115" t="str">
        <x:v>Pièces décrites, murs, portes, niveaux et mobilier inspectables à l’échelle. Volumes réservés, raccord au seed, butin, rencontres et services de campagne restent à terminer.</x:v>
      </x:c>
    </x:row>
    <x:row r="2703" ht="96" customHeight="1">
      <x:c r="A2703" s="115" t="str">
        <x:v>EXT-MONDE-T054-V48</x:v>
      </x:c>
      <x:c r="B2703" s="115" t="str">
        <x:v>EXT-MONDE-T054</x:v>
      </x:c>
      <x:c r="C2703" s="115" t="str">
        <x:v>Usines</x:v>
      </x:c>
      <x:c r="D2703" s="115" t="str">
        <x:v>Usine de mécanique</x:v>
      </x:c>
      <x:c r="E2703" s="115" t="n">
        <x:v>48</x:v>
      </x:c>
      <x:c r="F2703" s="115" t="str">
        <x:v>Inspection physique</x:v>
      </x:c>
      <x:c r="G2703" s="115" t="str">
        <x:v>1 niveaux ; 40 pièces ; 303 segments de mur ; 0 transitions. Inspection physique ; architecture complète encore ouverte.</x:v>
      </x:c>
      <x:c r="H2703" s="115" t="str">
        <x:v>L 422 ; l 416 ; hauteur 8,2 m ; choix de composition auteur ; dimensions réelles à documenter</x:v>
      </x:c>
      <x:c r="I2703" s="115" t="str">
        <x:v>À équilibrer</x:v>
      </x:c>
      <x:c r="J2703" s="115" t="str">
        <x:v>Non</x:v>
      </x:c>
      <x:c r="K2703" s="115" t="str">
        <x:v>Pièces décrites, murs, portes, niveaux et mobilier inspectables à l’échelle. Volumes réservés, raccord au seed, butin, rencontres et services de campagne restent à terminer.</x:v>
      </x:c>
    </x:row>
    <x:row r="2704" ht="96" customHeight="1">
      <x:c r="A2704" s="115" t="str">
        <x:v>EXT-MONDE-T054-V49</x:v>
      </x:c>
      <x:c r="B2704" s="115" t="str">
        <x:v>EXT-MONDE-T054</x:v>
      </x:c>
      <x:c r="C2704" s="115" t="str">
        <x:v>Usines</x:v>
      </x:c>
      <x:c r="D2704" s="115" t="str">
        <x:v>Usine de mécanique</x:v>
      </x:c>
      <x:c r="E2704" s="115" t="n">
        <x:v>49</x:v>
      </x:c>
      <x:c r="F2704" s="115" t="str">
        <x:v>Inspection physique</x:v>
      </x:c>
      <x:c r="G2704" s="115" t="str">
        <x:v>1 niveaux ; 40 pièces ; 303 segments de mur ; 0 transitions. Inspection physique ; architecture complète encore ouverte.</x:v>
      </x:c>
      <x:c r="H2704" s="115" t="str">
        <x:v>L 422 ; l 416 ; hauteur 8,2 m ; choix de composition auteur ; dimensions réelles à documenter</x:v>
      </x:c>
      <x:c r="I2704" s="115" t="str">
        <x:v>À équilibrer</x:v>
      </x:c>
      <x:c r="J2704" s="115" t="str">
        <x:v>Non</x:v>
      </x:c>
      <x:c r="K2704" s="115" t="str">
        <x:v>Pièces décrites, murs, portes, niveaux et mobilier inspectables à l’échelle. Volumes réservés, raccord au seed, butin, rencontres et services de campagne restent à terminer.</x:v>
      </x:c>
    </x:row>
    <x:row r="2705" ht="96" customHeight="1">
      <x:c r="A2705" s="115" t="str">
        <x:v>EXT-MONDE-T054-V50</x:v>
      </x:c>
      <x:c r="B2705" s="115" t="str">
        <x:v>EXT-MONDE-T054</x:v>
      </x:c>
      <x:c r="C2705" s="115" t="str">
        <x:v>Usines</x:v>
      </x:c>
      <x:c r="D2705" s="115" t="str">
        <x:v>Usine de mécanique</x:v>
      </x:c>
      <x:c r="E2705" s="115" t="n">
        <x:v>50</x:v>
      </x:c>
      <x:c r="F2705" s="115" t="str">
        <x:v>Inspection physique</x:v>
      </x:c>
      <x:c r="G2705" s="115" t="str">
        <x:v>1 niveaux ; 40 pièces ; 303 segments de mur ; 0 transitions. Inspection physique ; architecture complète encore ouverte.</x:v>
      </x:c>
      <x:c r="H2705" s="115" t="str">
        <x:v>L 422 ; l 416 ; hauteur 8,2 m ; choix de composition auteur ; dimensions réelles à documenter</x:v>
      </x:c>
      <x:c r="I2705" s="115" t="str">
        <x:v>À équilibrer</x:v>
      </x:c>
      <x:c r="J2705" s="115" t="str">
        <x:v>Non</x:v>
      </x:c>
      <x:c r="K2705" s="115" t="str">
        <x:v>Pièces décrites, murs, portes, niveaux et mobilier inspectables à l’échelle. Volumes réservés, raccord au seed, butin, rencontres et services de campagne restent à terminer.</x:v>
      </x:c>
    </x:row>
    <x:row r="2706" ht="96" customHeight="1">
      <x:c r="A2706" s="115" t="str">
        <x:v>EXT-MONDE-T055-V01</x:v>
      </x:c>
      <x:c r="B2706" s="115" t="str">
        <x:v>EXT-MONDE-T055</x:v>
      </x:c>
      <x:c r="C2706" s="115" t="str">
        <x:v>Usines</x:v>
      </x:c>
      <x:c r="D2706" s="115" t="str">
        <x:v>Usine textile</x:v>
      </x:c>
      <x:c r="E2706" s="115" t="n">
        <x:v>1</x:v>
      </x:c>
      <x:c r="F2706" s="115" t="str">
        <x:v>Inspection physique</x:v>
      </x:c>
      <x:c r="G2706" s="115" t="str">
        <x:v>1 niveaux ; 40 pièces ; 303 segments de mur ; 0 transitions. Inspection physique ; architecture complète encore ouverte.</x:v>
      </x:c>
      <x:c r="H2706" s="115" t="str">
        <x:v>L 350 ; l 320 ; hauteur 5,8 m ; choix de composition auteur ; dimensions réelles à documenter</x:v>
      </x:c>
      <x:c r="I2706" s="115" t="str">
        <x:v>À équilibrer</x:v>
      </x:c>
      <x:c r="J2706" s="115" t="str">
        <x:v>Non</x:v>
      </x:c>
      <x:c r="K2706" s="115" t="str">
        <x:v>Pièces décrites, murs, portes, niveaux et mobilier inspectables à l’échelle. Volumes réservés, raccord au seed, butin, rencontres et services de campagne restent à terminer.</x:v>
      </x:c>
    </x:row>
    <x:row r="2707" ht="96" customHeight="1">
      <x:c r="A2707" s="115" t="str">
        <x:v>EXT-MONDE-T055-V02</x:v>
      </x:c>
      <x:c r="B2707" s="115" t="str">
        <x:v>EXT-MONDE-T055</x:v>
      </x:c>
      <x:c r="C2707" s="115" t="str">
        <x:v>Usines</x:v>
      </x:c>
      <x:c r="D2707" s="115" t="str">
        <x:v>Usine textile</x:v>
      </x:c>
      <x:c r="E2707" s="115" t="n">
        <x:v>2</x:v>
      </x:c>
      <x:c r="F2707" s="115" t="str">
        <x:v>Inspection physique</x:v>
      </x:c>
      <x:c r="G2707" s="115" t="str">
        <x:v>1 niveaux ; 40 pièces ; 303 segments de mur ; 0 transitions. Inspection physique ; architecture complète encore ouverte.</x:v>
      </x:c>
      <x:c r="H2707" s="115" t="str">
        <x:v>L 350 ; l 320 ; hauteur 5,8 m ; choix de composition auteur ; dimensions réelles à documenter</x:v>
      </x:c>
      <x:c r="I2707" s="115" t="str">
        <x:v>À équilibrer</x:v>
      </x:c>
      <x:c r="J2707" s="115" t="str">
        <x:v>Non</x:v>
      </x:c>
      <x:c r="K2707" s="115" t="str">
        <x:v>Pièces décrites, murs, portes, niveaux et mobilier inspectables à l’échelle. Volumes réservés, raccord au seed, butin, rencontres et services de campagne restent à terminer.</x:v>
      </x:c>
    </x:row>
    <x:row r="2708" ht="96" customHeight="1">
      <x:c r="A2708" s="115" t="str">
        <x:v>EXT-MONDE-T055-V03</x:v>
      </x:c>
      <x:c r="B2708" s="115" t="str">
        <x:v>EXT-MONDE-T055</x:v>
      </x:c>
      <x:c r="C2708" s="115" t="str">
        <x:v>Usines</x:v>
      </x:c>
      <x:c r="D2708" s="115" t="str">
        <x:v>Usine textile</x:v>
      </x:c>
      <x:c r="E2708" s="115" t="n">
        <x:v>3</x:v>
      </x:c>
      <x:c r="F2708" s="115" t="str">
        <x:v>Inspection physique</x:v>
      </x:c>
      <x:c r="G2708" s="115" t="str">
        <x:v>1 niveaux ; 40 pièces ; 303 segments de mur ; 0 transitions. Inspection physique ; architecture complète encore ouverte.</x:v>
      </x:c>
      <x:c r="H2708" s="115" t="str">
        <x:v>L 350 ; l 320 ; hauteur 5,8 m ; choix de composition auteur ; dimensions réelles à documenter</x:v>
      </x:c>
      <x:c r="I2708" s="115" t="str">
        <x:v>À équilibrer</x:v>
      </x:c>
      <x:c r="J2708" s="115" t="str">
        <x:v>Non</x:v>
      </x:c>
      <x:c r="K2708" s="115" t="str">
        <x:v>Pièces décrites, murs, portes, niveaux et mobilier inspectables à l’échelle. Volumes réservés, raccord au seed, butin, rencontres et services de campagne restent à terminer.</x:v>
      </x:c>
    </x:row>
    <x:row r="2709" ht="96" customHeight="1">
      <x:c r="A2709" s="115" t="str">
        <x:v>EXT-MONDE-T055-V04</x:v>
      </x:c>
      <x:c r="B2709" s="115" t="str">
        <x:v>EXT-MONDE-T055</x:v>
      </x:c>
      <x:c r="C2709" s="115" t="str">
        <x:v>Usines</x:v>
      </x:c>
      <x:c r="D2709" s="115" t="str">
        <x:v>Usine textile</x:v>
      </x:c>
      <x:c r="E2709" s="115" t="n">
        <x:v>4</x:v>
      </x:c>
      <x:c r="F2709" s="115" t="str">
        <x:v>Inspection physique</x:v>
      </x:c>
      <x:c r="G2709" s="115" t="str">
        <x:v>1 niveaux ; 40 pièces ; 303 segments de mur ; 0 transitions. Inspection physique ; architecture complète encore ouverte.</x:v>
      </x:c>
      <x:c r="H2709" s="115" t="str">
        <x:v>L 350 ; l 320 ; hauteur 5,8 m ; choix de composition auteur ; dimensions réelles à documenter</x:v>
      </x:c>
      <x:c r="I2709" s="115" t="str">
        <x:v>À équilibrer</x:v>
      </x:c>
      <x:c r="J2709" s="115" t="str">
        <x:v>Non</x:v>
      </x:c>
      <x:c r="K2709" s="115" t="str">
        <x:v>Pièces décrites, murs, portes, niveaux et mobilier inspectables à l’échelle. Volumes réservés, raccord au seed, butin, rencontres et services de campagne restent à terminer.</x:v>
      </x:c>
    </x:row>
    <x:row r="2710" ht="96" customHeight="1">
      <x:c r="A2710" s="115" t="str">
        <x:v>EXT-MONDE-T055-V05</x:v>
      </x:c>
      <x:c r="B2710" s="115" t="str">
        <x:v>EXT-MONDE-T055</x:v>
      </x:c>
      <x:c r="C2710" s="115" t="str">
        <x:v>Usines</x:v>
      </x:c>
      <x:c r="D2710" s="115" t="str">
        <x:v>Usine textile</x:v>
      </x:c>
      <x:c r="E2710" s="115" t="n">
        <x:v>5</x:v>
      </x:c>
      <x:c r="F2710" s="115" t="str">
        <x:v>Inspection physique</x:v>
      </x:c>
      <x:c r="G2710" s="115" t="str">
        <x:v>1 niveaux ; 40 pièces ; 303 segments de mur ; 0 transitions. Inspection physique ; architecture complète encore ouverte.</x:v>
      </x:c>
      <x:c r="H2710" s="115" t="str">
        <x:v>L 350 ; l 320 ; hauteur 5,8 m ; choix de composition auteur ; dimensions réelles à documenter</x:v>
      </x:c>
      <x:c r="I2710" s="115" t="str">
        <x:v>À équilibrer</x:v>
      </x:c>
      <x:c r="J2710" s="115" t="str">
        <x:v>Non</x:v>
      </x:c>
      <x:c r="K2710" s="115" t="str">
        <x:v>Pièces décrites, murs, portes, niveaux et mobilier inspectables à l’échelle. Volumes réservés, raccord au seed, butin, rencontres et services de campagne restent à terminer.</x:v>
      </x:c>
    </x:row>
    <x:row r="2711" ht="96" customHeight="1">
      <x:c r="A2711" s="115" t="str">
        <x:v>EXT-MONDE-T055-V06</x:v>
      </x:c>
      <x:c r="B2711" s="115" t="str">
        <x:v>EXT-MONDE-T055</x:v>
      </x:c>
      <x:c r="C2711" s="115" t="str">
        <x:v>Usines</x:v>
      </x:c>
      <x:c r="D2711" s="115" t="str">
        <x:v>Usine textile</x:v>
      </x:c>
      <x:c r="E2711" s="115" t="n">
        <x:v>6</x:v>
      </x:c>
      <x:c r="F2711" s="115" t="str">
        <x:v>Inspection physique</x:v>
      </x:c>
      <x:c r="G2711" s="115" t="str">
        <x:v>1 niveaux ; 40 pièces ; 303 segments de mur ; 0 transitions. Inspection physique ; architecture complète encore ouverte.</x:v>
      </x:c>
      <x:c r="H2711" s="115" t="str">
        <x:v>L 350 ; l 320 ; hauteur 5,8 m ; choix de composition auteur ; dimensions réelles à documenter</x:v>
      </x:c>
      <x:c r="I2711" s="115" t="str">
        <x:v>À équilibrer</x:v>
      </x:c>
      <x:c r="J2711" s="115" t="str">
        <x:v>Non</x:v>
      </x:c>
      <x:c r="K2711" s="115" t="str">
        <x:v>Pièces décrites, murs, portes, niveaux et mobilier inspectables à l’échelle. Volumes réservés, raccord au seed, butin, rencontres et services de campagne restent à terminer.</x:v>
      </x:c>
    </x:row>
    <x:row r="2712" ht="96" customHeight="1">
      <x:c r="A2712" s="115" t="str">
        <x:v>EXT-MONDE-T055-V07</x:v>
      </x:c>
      <x:c r="B2712" s="115" t="str">
        <x:v>EXT-MONDE-T055</x:v>
      </x:c>
      <x:c r="C2712" s="115" t="str">
        <x:v>Usines</x:v>
      </x:c>
      <x:c r="D2712" s="115" t="str">
        <x:v>Usine textile</x:v>
      </x:c>
      <x:c r="E2712" s="115" t="n">
        <x:v>7</x:v>
      </x:c>
      <x:c r="F2712" s="115" t="str">
        <x:v>Inspection physique</x:v>
      </x:c>
      <x:c r="G2712" s="115" t="str">
        <x:v>1 niveaux ; 40 pièces ; 303 segments de mur ; 0 transitions. Inspection physique ; architecture complète encore ouverte.</x:v>
      </x:c>
      <x:c r="H2712" s="115" t="str">
        <x:v>L 350 ; l 320 ; hauteur 5,8 m ; choix de composition auteur ; dimensions réelles à documenter</x:v>
      </x:c>
      <x:c r="I2712" s="115" t="str">
        <x:v>À équilibrer</x:v>
      </x:c>
      <x:c r="J2712" s="115" t="str">
        <x:v>Non</x:v>
      </x:c>
      <x:c r="K2712" s="115" t="str">
        <x:v>Pièces décrites, murs, portes, niveaux et mobilier inspectables à l’échelle. Volumes réservés, raccord au seed, butin, rencontres et services de campagne restent à terminer.</x:v>
      </x:c>
    </x:row>
    <x:row r="2713" ht="96" customHeight="1">
      <x:c r="A2713" s="115" t="str">
        <x:v>EXT-MONDE-T055-V08</x:v>
      </x:c>
      <x:c r="B2713" s="115" t="str">
        <x:v>EXT-MONDE-T055</x:v>
      </x:c>
      <x:c r="C2713" s="115" t="str">
        <x:v>Usines</x:v>
      </x:c>
      <x:c r="D2713" s="115" t="str">
        <x:v>Usine textile</x:v>
      </x:c>
      <x:c r="E2713" s="115" t="n">
        <x:v>8</x:v>
      </x:c>
      <x:c r="F2713" s="115" t="str">
        <x:v>Inspection physique</x:v>
      </x:c>
      <x:c r="G2713" s="115" t="str">
        <x:v>1 niveaux ; 40 pièces ; 303 segments de mur ; 0 transitions. Inspection physique ; architecture complète encore ouverte.</x:v>
      </x:c>
      <x:c r="H2713" s="115" t="str">
        <x:v>L 350 ; l 320 ; hauteur 5,8 m ; choix de composition auteur ; dimensions réelles à documenter</x:v>
      </x:c>
      <x:c r="I2713" s="115" t="str">
        <x:v>À équilibrer</x:v>
      </x:c>
      <x:c r="J2713" s="115" t="str">
        <x:v>Non</x:v>
      </x:c>
      <x:c r="K2713" s="115" t="str">
        <x:v>Pièces décrites, murs, portes, niveaux et mobilier inspectables à l’échelle. Volumes réservés, raccord au seed, butin, rencontres et services de campagne restent à terminer.</x:v>
      </x:c>
    </x:row>
    <x:row r="2714" ht="96" customHeight="1">
      <x:c r="A2714" s="115" t="str">
        <x:v>EXT-MONDE-T055-V09</x:v>
      </x:c>
      <x:c r="B2714" s="115" t="str">
        <x:v>EXT-MONDE-T055</x:v>
      </x:c>
      <x:c r="C2714" s="115" t="str">
        <x:v>Usines</x:v>
      </x:c>
      <x:c r="D2714" s="115" t="str">
        <x:v>Usine textile</x:v>
      </x:c>
      <x:c r="E2714" s="115" t="n">
        <x:v>9</x:v>
      </x:c>
      <x:c r="F2714" s="115" t="str">
        <x:v>Inspection physique</x:v>
      </x:c>
      <x:c r="G2714" s="115" t="str">
        <x:v>1 niveaux ; 40 pièces ; 303 segments de mur ; 0 transitions. Inspection physique ; architecture complète encore ouverte.</x:v>
      </x:c>
      <x:c r="H2714" s="115" t="str">
        <x:v>L 350 ; l 320 ; hauteur 5,8 m ; choix de composition auteur ; dimensions réelles à documenter</x:v>
      </x:c>
      <x:c r="I2714" s="115" t="str">
        <x:v>À équilibrer</x:v>
      </x:c>
      <x:c r="J2714" s="115" t="str">
        <x:v>Non</x:v>
      </x:c>
      <x:c r="K2714" s="115" t="str">
        <x:v>Pièces décrites, murs, portes, niveaux et mobilier inspectables à l’échelle. Volumes réservés, raccord au seed, butin, rencontres et services de campagne restent à terminer.</x:v>
      </x:c>
    </x:row>
    <x:row r="2715" ht="96" customHeight="1">
      <x:c r="A2715" s="115" t="str">
        <x:v>EXT-MONDE-T055-V10</x:v>
      </x:c>
      <x:c r="B2715" s="115" t="str">
        <x:v>EXT-MONDE-T055</x:v>
      </x:c>
      <x:c r="C2715" s="115" t="str">
        <x:v>Usines</x:v>
      </x:c>
      <x:c r="D2715" s="115" t="str">
        <x:v>Usine textile</x:v>
      </x:c>
      <x:c r="E2715" s="115" t="n">
        <x:v>10</x:v>
      </x:c>
      <x:c r="F2715" s="115" t="str">
        <x:v>Inspection physique</x:v>
      </x:c>
      <x:c r="G2715" s="115" t="str">
        <x:v>1 niveaux ; 40 pièces ; 303 segments de mur ; 0 transitions. Inspection physique ; architecture complète encore ouverte.</x:v>
      </x:c>
      <x:c r="H2715" s="115" t="str">
        <x:v>L 350 ; l 320 ; hauteur 5,8 m ; choix de composition auteur ; dimensions réelles à documenter</x:v>
      </x:c>
      <x:c r="I2715" s="115" t="str">
        <x:v>À équilibrer</x:v>
      </x:c>
      <x:c r="J2715" s="115" t="str">
        <x:v>Non</x:v>
      </x:c>
      <x:c r="K2715" s="115" t="str">
        <x:v>Pièces décrites, murs, portes, niveaux et mobilier inspectables à l’échelle. Volumes réservés, raccord au seed, butin, rencontres et services de campagne restent à terminer.</x:v>
      </x:c>
    </x:row>
    <x:row r="2716" ht="96" customHeight="1">
      <x:c r="A2716" s="115" t="str">
        <x:v>EXT-MONDE-T055-V11</x:v>
      </x:c>
      <x:c r="B2716" s="115" t="str">
        <x:v>EXT-MONDE-T055</x:v>
      </x:c>
      <x:c r="C2716" s="115" t="str">
        <x:v>Usines</x:v>
      </x:c>
      <x:c r="D2716" s="115" t="str">
        <x:v>Usine textile</x:v>
      </x:c>
      <x:c r="E2716" s="115" t="n">
        <x:v>11</x:v>
      </x:c>
      <x:c r="F2716" s="115" t="str">
        <x:v>Inspection physique</x:v>
      </x:c>
      <x:c r="G2716" s="115" t="str">
        <x:v>1 niveaux ; 40 pièces ; 303 segments de mur ; 0 transitions. Inspection physique ; architecture complète encore ouverte.</x:v>
      </x:c>
      <x:c r="H2716" s="115" t="str">
        <x:v>L 368 ; l 344 ; hauteur 6,05 m ; choix de composition auteur ; dimensions réelles à documenter</x:v>
      </x:c>
      <x:c r="I2716" s="115" t="str">
        <x:v>À équilibrer</x:v>
      </x:c>
      <x:c r="J2716" s="115" t="str">
        <x:v>Non</x:v>
      </x:c>
      <x:c r="K2716" s="115" t="str">
        <x:v>Pièces décrites, murs, portes, niveaux et mobilier inspectables à l’échelle. Volumes réservés, raccord au seed, butin, rencontres et services de campagne restent à terminer.</x:v>
      </x:c>
    </x:row>
    <x:row r="2717" ht="96" customHeight="1">
      <x:c r="A2717" s="115" t="str">
        <x:v>EXT-MONDE-T055-V12</x:v>
      </x:c>
      <x:c r="B2717" s="115" t="str">
        <x:v>EXT-MONDE-T055</x:v>
      </x:c>
      <x:c r="C2717" s="115" t="str">
        <x:v>Usines</x:v>
      </x:c>
      <x:c r="D2717" s="115" t="str">
        <x:v>Usine textile</x:v>
      </x:c>
      <x:c r="E2717" s="115" t="n">
        <x:v>12</x:v>
      </x:c>
      <x:c r="F2717" s="115" t="str">
        <x:v>Inspection physique</x:v>
      </x:c>
      <x:c r="G2717" s="115" t="str">
        <x:v>1 niveaux ; 40 pièces ; 303 segments de mur ; 0 transitions. Inspection physique ; architecture complète encore ouverte.</x:v>
      </x:c>
      <x:c r="H2717" s="115" t="str">
        <x:v>L 368 ; l 344 ; hauteur 6,05 m ; choix de composition auteur ; dimensions réelles à documenter</x:v>
      </x:c>
      <x:c r="I2717" s="115" t="str">
        <x:v>À équilibrer</x:v>
      </x:c>
      <x:c r="J2717" s="115" t="str">
        <x:v>Non</x:v>
      </x:c>
      <x:c r="K2717" s="115" t="str">
        <x:v>Pièces décrites, murs, portes, niveaux et mobilier inspectables à l’échelle. Volumes réservés, raccord au seed, butin, rencontres et services de campagne restent à terminer.</x:v>
      </x:c>
    </x:row>
    <x:row r="2718" ht="96" customHeight="1">
      <x:c r="A2718" s="115" t="str">
        <x:v>EXT-MONDE-T055-V13</x:v>
      </x:c>
      <x:c r="B2718" s="115" t="str">
        <x:v>EXT-MONDE-T055</x:v>
      </x:c>
      <x:c r="C2718" s="115" t="str">
        <x:v>Usines</x:v>
      </x:c>
      <x:c r="D2718" s="115" t="str">
        <x:v>Usine textile</x:v>
      </x:c>
      <x:c r="E2718" s="115" t="n">
        <x:v>13</x:v>
      </x:c>
      <x:c r="F2718" s="115" t="str">
        <x:v>Inspection physique</x:v>
      </x:c>
      <x:c r="G2718" s="115" t="str">
        <x:v>1 niveaux ; 40 pièces ; 303 segments de mur ; 0 transitions. Inspection physique ; architecture complète encore ouverte.</x:v>
      </x:c>
      <x:c r="H2718" s="115" t="str">
        <x:v>L 368 ; l 344 ; hauteur 6,05 m ; choix de composition auteur ; dimensions réelles à documenter</x:v>
      </x:c>
      <x:c r="I2718" s="115" t="str">
        <x:v>À équilibrer</x:v>
      </x:c>
      <x:c r="J2718" s="115" t="str">
        <x:v>Non</x:v>
      </x:c>
      <x:c r="K2718" s="115" t="str">
        <x:v>Pièces décrites, murs, portes, niveaux et mobilier inspectables à l’échelle. Volumes réservés, raccord au seed, butin, rencontres et services de campagne restent à terminer.</x:v>
      </x:c>
    </x:row>
    <x:row r="2719" ht="96" customHeight="1">
      <x:c r="A2719" s="115" t="str">
        <x:v>EXT-MONDE-T055-V14</x:v>
      </x:c>
      <x:c r="B2719" s="115" t="str">
        <x:v>EXT-MONDE-T055</x:v>
      </x:c>
      <x:c r="C2719" s="115" t="str">
        <x:v>Usines</x:v>
      </x:c>
      <x:c r="D2719" s="115" t="str">
        <x:v>Usine textile</x:v>
      </x:c>
      <x:c r="E2719" s="115" t="n">
        <x:v>14</x:v>
      </x:c>
      <x:c r="F2719" s="115" t="str">
        <x:v>Inspection physique</x:v>
      </x:c>
      <x:c r="G2719" s="115" t="str">
        <x:v>1 niveaux ; 40 pièces ; 303 segments de mur ; 0 transitions. Inspection physique ; architecture complète encore ouverte.</x:v>
      </x:c>
      <x:c r="H2719" s="115" t="str">
        <x:v>L 368 ; l 344 ; hauteur 6,05 m ; choix de composition auteur ; dimensions réelles à documenter</x:v>
      </x:c>
      <x:c r="I2719" s="115" t="str">
        <x:v>À équilibrer</x:v>
      </x:c>
      <x:c r="J2719" s="115" t="str">
        <x:v>Non</x:v>
      </x:c>
      <x:c r="K2719" s="115" t="str">
        <x:v>Pièces décrites, murs, portes, niveaux et mobilier inspectables à l’échelle. Volumes réservés, raccord au seed, butin, rencontres et services de campagne restent à terminer.</x:v>
      </x:c>
    </x:row>
    <x:row r="2720" ht="96" customHeight="1">
      <x:c r="A2720" s="115" t="str">
        <x:v>EXT-MONDE-T055-V15</x:v>
      </x:c>
      <x:c r="B2720" s="115" t="str">
        <x:v>EXT-MONDE-T055</x:v>
      </x:c>
      <x:c r="C2720" s="115" t="str">
        <x:v>Usines</x:v>
      </x:c>
      <x:c r="D2720" s="115" t="str">
        <x:v>Usine textile</x:v>
      </x:c>
      <x:c r="E2720" s="115" t="n">
        <x:v>15</x:v>
      </x:c>
      <x:c r="F2720" s="115" t="str">
        <x:v>Inspection physique</x:v>
      </x:c>
      <x:c r="G2720" s="115" t="str">
        <x:v>1 niveaux ; 40 pièces ; 303 segments de mur ; 0 transitions. Inspection physique ; architecture complète encore ouverte.</x:v>
      </x:c>
      <x:c r="H2720" s="115" t="str">
        <x:v>L 368 ; l 344 ; hauteur 6,05 m ; choix de composition auteur ; dimensions réelles à documenter</x:v>
      </x:c>
      <x:c r="I2720" s="115" t="str">
        <x:v>À équilibrer</x:v>
      </x:c>
      <x:c r="J2720" s="115" t="str">
        <x:v>Non</x:v>
      </x:c>
      <x:c r="K2720" s="115" t="str">
        <x:v>Pièces décrites, murs, portes, niveaux et mobilier inspectables à l’échelle. Volumes réservés, raccord au seed, butin, rencontres et services de campagne restent à terminer.</x:v>
      </x:c>
    </x:row>
    <x:row r="2721" ht="96" customHeight="1">
      <x:c r="A2721" s="115" t="str">
        <x:v>EXT-MONDE-T055-V16</x:v>
      </x:c>
      <x:c r="B2721" s="115" t="str">
        <x:v>EXT-MONDE-T055</x:v>
      </x:c>
      <x:c r="C2721" s="115" t="str">
        <x:v>Usines</x:v>
      </x:c>
      <x:c r="D2721" s="115" t="str">
        <x:v>Usine textile</x:v>
      </x:c>
      <x:c r="E2721" s="115" t="n">
        <x:v>16</x:v>
      </x:c>
      <x:c r="F2721" s="115" t="str">
        <x:v>Inspection physique</x:v>
      </x:c>
      <x:c r="G2721" s="115" t="str">
        <x:v>1 niveaux ; 40 pièces ; 303 segments de mur ; 0 transitions. Inspection physique ; architecture complète encore ouverte.</x:v>
      </x:c>
      <x:c r="H2721" s="115" t="str">
        <x:v>L 368 ; l 344 ; hauteur 6,05 m ; choix de composition auteur ; dimensions réelles à documenter</x:v>
      </x:c>
      <x:c r="I2721" s="115" t="str">
        <x:v>À équilibrer</x:v>
      </x:c>
      <x:c r="J2721" s="115" t="str">
        <x:v>Non</x:v>
      </x:c>
      <x:c r="K2721" s="115" t="str">
        <x:v>Pièces décrites, murs, portes, niveaux et mobilier inspectables à l’échelle. Volumes réservés, raccord au seed, butin, rencontres et services de campagne restent à terminer.</x:v>
      </x:c>
    </x:row>
    <x:row r="2722" ht="96" customHeight="1">
      <x:c r="A2722" s="115" t="str">
        <x:v>EXT-MONDE-T055-V17</x:v>
      </x:c>
      <x:c r="B2722" s="115" t="str">
        <x:v>EXT-MONDE-T055</x:v>
      </x:c>
      <x:c r="C2722" s="115" t="str">
        <x:v>Usines</x:v>
      </x:c>
      <x:c r="D2722" s="115" t="str">
        <x:v>Usine textile</x:v>
      </x:c>
      <x:c r="E2722" s="115" t="n">
        <x:v>17</x:v>
      </x:c>
      <x:c r="F2722" s="115" t="str">
        <x:v>Inspection physique</x:v>
      </x:c>
      <x:c r="G2722" s="115" t="str">
        <x:v>1 niveaux ; 40 pièces ; 303 segments de mur ; 0 transitions. Inspection physique ; architecture complète encore ouverte.</x:v>
      </x:c>
      <x:c r="H2722" s="115" t="str">
        <x:v>L 368 ; l 344 ; hauteur 6,05 m ; choix de composition auteur ; dimensions réelles à documenter</x:v>
      </x:c>
      <x:c r="I2722" s="115" t="str">
        <x:v>À équilibrer</x:v>
      </x:c>
      <x:c r="J2722" s="115" t="str">
        <x:v>Non</x:v>
      </x:c>
      <x:c r="K2722" s="115" t="str">
        <x:v>Pièces décrites, murs, portes, niveaux et mobilier inspectables à l’échelle. Volumes réservés, raccord au seed, butin, rencontres et services de campagne restent à terminer.</x:v>
      </x:c>
    </x:row>
    <x:row r="2723" ht="96" customHeight="1">
      <x:c r="A2723" s="115" t="str">
        <x:v>EXT-MONDE-T055-V18</x:v>
      </x:c>
      <x:c r="B2723" s="115" t="str">
        <x:v>EXT-MONDE-T055</x:v>
      </x:c>
      <x:c r="C2723" s="115" t="str">
        <x:v>Usines</x:v>
      </x:c>
      <x:c r="D2723" s="115" t="str">
        <x:v>Usine textile</x:v>
      </x:c>
      <x:c r="E2723" s="115" t="n">
        <x:v>18</x:v>
      </x:c>
      <x:c r="F2723" s="115" t="str">
        <x:v>Inspection physique</x:v>
      </x:c>
      <x:c r="G2723" s="115" t="str">
        <x:v>1 niveaux ; 40 pièces ; 303 segments de mur ; 0 transitions. Inspection physique ; architecture complète encore ouverte.</x:v>
      </x:c>
      <x:c r="H2723" s="115" t="str">
        <x:v>L 368 ; l 344 ; hauteur 6,05 m ; choix de composition auteur ; dimensions réelles à documenter</x:v>
      </x:c>
      <x:c r="I2723" s="115" t="str">
        <x:v>À équilibrer</x:v>
      </x:c>
      <x:c r="J2723" s="115" t="str">
        <x:v>Non</x:v>
      </x:c>
      <x:c r="K2723" s="115" t="str">
        <x:v>Pièces décrites, murs, portes, niveaux et mobilier inspectables à l’échelle. Volumes réservés, raccord au seed, butin, rencontres et services de campagne restent à terminer.</x:v>
      </x:c>
    </x:row>
    <x:row r="2724" ht="96" customHeight="1">
      <x:c r="A2724" s="115" t="str">
        <x:v>EXT-MONDE-T055-V19</x:v>
      </x:c>
      <x:c r="B2724" s="115" t="str">
        <x:v>EXT-MONDE-T055</x:v>
      </x:c>
      <x:c r="C2724" s="115" t="str">
        <x:v>Usines</x:v>
      </x:c>
      <x:c r="D2724" s="115" t="str">
        <x:v>Usine textile</x:v>
      </x:c>
      <x:c r="E2724" s="115" t="n">
        <x:v>19</x:v>
      </x:c>
      <x:c r="F2724" s="115" t="str">
        <x:v>Inspection physique</x:v>
      </x:c>
      <x:c r="G2724" s="115" t="str">
        <x:v>1 niveaux ; 40 pièces ; 303 segments de mur ; 0 transitions. Inspection physique ; architecture complète encore ouverte.</x:v>
      </x:c>
      <x:c r="H2724" s="115" t="str">
        <x:v>L 368 ; l 344 ; hauteur 6,05 m ; choix de composition auteur ; dimensions réelles à documenter</x:v>
      </x:c>
      <x:c r="I2724" s="115" t="str">
        <x:v>À équilibrer</x:v>
      </x:c>
      <x:c r="J2724" s="115" t="str">
        <x:v>Non</x:v>
      </x:c>
      <x:c r="K2724" s="115" t="str">
        <x:v>Pièces décrites, murs, portes, niveaux et mobilier inspectables à l’échelle. Volumes réservés, raccord au seed, butin, rencontres et services de campagne restent à terminer.</x:v>
      </x:c>
    </x:row>
    <x:row r="2725" ht="96" customHeight="1">
      <x:c r="A2725" s="115" t="str">
        <x:v>EXT-MONDE-T055-V20</x:v>
      </x:c>
      <x:c r="B2725" s="115" t="str">
        <x:v>EXT-MONDE-T055</x:v>
      </x:c>
      <x:c r="C2725" s="115" t="str">
        <x:v>Usines</x:v>
      </x:c>
      <x:c r="D2725" s="115" t="str">
        <x:v>Usine textile</x:v>
      </x:c>
      <x:c r="E2725" s="115" t="n">
        <x:v>20</x:v>
      </x:c>
      <x:c r="F2725" s="115" t="str">
        <x:v>Inspection physique</x:v>
      </x:c>
      <x:c r="G2725" s="115" t="str">
        <x:v>1 niveaux ; 40 pièces ; 303 segments de mur ; 0 transitions. Inspection physique ; architecture complète encore ouverte.</x:v>
      </x:c>
      <x:c r="H2725" s="115" t="str">
        <x:v>L 368 ; l 344 ; hauteur 6,05 m ; choix de composition auteur ; dimensions réelles à documenter</x:v>
      </x:c>
      <x:c r="I2725" s="115" t="str">
        <x:v>À équilibrer</x:v>
      </x:c>
      <x:c r="J2725" s="115" t="str">
        <x:v>Non</x:v>
      </x:c>
      <x:c r="K2725" s="115" t="str">
        <x:v>Pièces décrites, murs, portes, niveaux et mobilier inspectables à l’échelle. Volumes réservés, raccord au seed, butin, rencontres et services de campagne restent à terminer.</x:v>
      </x:c>
    </x:row>
    <x:row r="2726" ht="96" customHeight="1">
      <x:c r="A2726" s="115" t="str">
        <x:v>EXT-MONDE-T055-V21</x:v>
      </x:c>
      <x:c r="B2726" s="115" t="str">
        <x:v>EXT-MONDE-T055</x:v>
      </x:c>
      <x:c r="C2726" s="115" t="str">
        <x:v>Usines</x:v>
      </x:c>
      <x:c r="D2726" s="115" t="str">
        <x:v>Usine textile</x:v>
      </x:c>
      <x:c r="E2726" s="115" t="n">
        <x:v>21</x:v>
      </x:c>
      <x:c r="F2726" s="115" t="str">
        <x:v>Inspection physique</x:v>
      </x:c>
      <x:c r="G2726" s="115" t="str">
        <x:v>1 niveaux ; 40 pièces ; 303 segments de mur ; 0 transitions. Inspection physique ; architecture complète encore ouverte.</x:v>
      </x:c>
      <x:c r="H2726" s="115" t="str">
        <x:v>L 386 ; l 368 ; hauteur 6,3 m ; choix de composition auteur ; dimensions réelles à documenter</x:v>
      </x:c>
      <x:c r="I2726" s="115" t="str">
        <x:v>À équilibrer</x:v>
      </x:c>
      <x:c r="J2726" s="115" t="str">
        <x:v>Non</x:v>
      </x:c>
      <x:c r="K2726" s="115" t="str">
        <x:v>Pièces décrites, murs, portes, niveaux et mobilier inspectables à l’échelle. Volumes réservés, raccord au seed, butin, rencontres et services de campagne restent à terminer.</x:v>
      </x:c>
    </x:row>
    <x:row r="2727" ht="96" customHeight="1">
      <x:c r="A2727" s="115" t="str">
        <x:v>EXT-MONDE-T055-V22</x:v>
      </x:c>
      <x:c r="B2727" s="115" t="str">
        <x:v>EXT-MONDE-T055</x:v>
      </x:c>
      <x:c r="C2727" s="115" t="str">
        <x:v>Usines</x:v>
      </x:c>
      <x:c r="D2727" s="115" t="str">
        <x:v>Usine textile</x:v>
      </x:c>
      <x:c r="E2727" s="115" t="n">
        <x:v>22</x:v>
      </x:c>
      <x:c r="F2727" s="115" t="str">
        <x:v>Inspection physique</x:v>
      </x:c>
      <x:c r="G2727" s="115" t="str">
        <x:v>1 niveaux ; 40 pièces ; 303 segments de mur ; 0 transitions. Inspection physique ; architecture complète encore ouverte.</x:v>
      </x:c>
      <x:c r="H2727" s="115" t="str">
        <x:v>L 386 ; l 368 ; hauteur 6,3 m ; choix de composition auteur ; dimensions réelles à documenter</x:v>
      </x:c>
      <x:c r="I2727" s="115" t="str">
        <x:v>À équilibrer</x:v>
      </x:c>
      <x:c r="J2727" s="115" t="str">
        <x:v>Non</x:v>
      </x:c>
      <x:c r="K2727" s="115" t="str">
        <x:v>Pièces décrites, murs, portes, niveaux et mobilier inspectables à l’échelle. Volumes réservés, raccord au seed, butin, rencontres et services de campagne restent à terminer.</x:v>
      </x:c>
    </x:row>
    <x:row r="2728" ht="96" customHeight="1">
      <x:c r="A2728" s="115" t="str">
        <x:v>EXT-MONDE-T055-V23</x:v>
      </x:c>
      <x:c r="B2728" s="115" t="str">
        <x:v>EXT-MONDE-T055</x:v>
      </x:c>
      <x:c r="C2728" s="115" t="str">
        <x:v>Usines</x:v>
      </x:c>
      <x:c r="D2728" s="115" t="str">
        <x:v>Usine textile</x:v>
      </x:c>
      <x:c r="E2728" s="115" t="n">
        <x:v>23</x:v>
      </x:c>
      <x:c r="F2728" s="115" t="str">
        <x:v>Inspection physique</x:v>
      </x:c>
      <x:c r="G2728" s="115" t="str">
        <x:v>1 niveaux ; 40 pièces ; 303 segments de mur ; 0 transitions. Inspection physique ; architecture complète encore ouverte.</x:v>
      </x:c>
      <x:c r="H2728" s="115" t="str">
        <x:v>L 386 ; l 368 ; hauteur 6,3 m ; choix de composition auteur ; dimensions réelles à documenter</x:v>
      </x:c>
      <x:c r="I2728" s="115" t="str">
        <x:v>À équilibrer</x:v>
      </x:c>
      <x:c r="J2728" s="115" t="str">
        <x:v>Non</x:v>
      </x:c>
      <x:c r="K2728" s="115" t="str">
        <x:v>Pièces décrites, murs, portes, niveaux et mobilier inspectables à l’échelle. Volumes réservés, raccord au seed, butin, rencontres et services de campagne restent à terminer.</x:v>
      </x:c>
    </x:row>
    <x:row r="2729" ht="96" customHeight="1">
      <x:c r="A2729" s="115" t="str">
        <x:v>EXT-MONDE-T055-V24</x:v>
      </x:c>
      <x:c r="B2729" s="115" t="str">
        <x:v>EXT-MONDE-T055</x:v>
      </x:c>
      <x:c r="C2729" s="115" t="str">
        <x:v>Usines</x:v>
      </x:c>
      <x:c r="D2729" s="115" t="str">
        <x:v>Usine textile</x:v>
      </x:c>
      <x:c r="E2729" s="115" t="n">
        <x:v>24</x:v>
      </x:c>
      <x:c r="F2729" s="115" t="str">
        <x:v>Inspection physique</x:v>
      </x:c>
      <x:c r="G2729" s="115" t="str">
        <x:v>1 niveaux ; 40 pièces ; 303 segments de mur ; 0 transitions. Inspection physique ; architecture complète encore ouverte.</x:v>
      </x:c>
      <x:c r="H2729" s="115" t="str">
        <x:v>L 386 ; l 368 ; hauteur 6,3 m ; choix de composition auteur ; dimensions réelles à documenter</x:v>
      </x:c>
      <x:c r="I2729" s="115" t="str">
        <x:v>À équilibrer</x:v>
      </x:c>
      <x:c r="J2729" s="115" t="str">
        <x:v>Non</x:v>
      </x:c>
      <x:c r="K2729" s="115" t="str">
        <x:v>Pièces décrites, murs, portes, niveaux et mobilier inspectables à l’échelle. Volumes réservés, raccord au seed, butin, rencontres et services de campagne restent à terminer.</x:v>
      </x:c>
    </x:row>
    <x:row r="2730" ht="96" customHeight="1">
      <x:c r="A2730" s="115" t="str">
        <x:v>EXT-MONDE-T055-V25</x:v>
      </x:c>
      <x:c r="B2730" s="115" t="str">
        <x:v>EXT-MONDE-T055</x:v>
      </x:c>
      <x:c r="C2730" s="115" t="str">
        <x:v>Usines</x:v>
      </x:c>
      <x:c r="D2730" s="115" t="str">
        <x:v>Usine textile</x:v>
      </x:c>
      <x:c r="E2730" s="115" t="n">
        <x:v>25</x:v>
      </x:c>
      <x:c r="F2730" s="115" t="str">
        <x:v>Inspection physique</x:v>
      </x:c>
      <x:c r="G2730" s="115" t="str">
        <x:v>1 niveaux ; 40 pièces ; 303 segments de mur ; 0 transitions. Inspection physique ; architecture complète encore ouverte.</x:v>
      </x:c>
      <x:c r="H2730" s="115" t="str">
        <x:v>L 386 ; l 368 ; hauteur 6,3 m ; choix de composition auteur ; dimensions réelles à documenter</x:v>
      </x:c>
      <x:c r="I2730" s="115" t="str">
        <x:v>À équilibrer</x:v>
      </x:c>
      <x:c r="J2730" s="115" t="str">
        <x:v>Non</x:v>
      </x:c>
      <x:c r="K2730" s="115" t="str">
        <x:v>Pièces décrites, murs, portes, niveaux et mobilier inspectables à l’échelle. Volumes réservés, raccord au seed, butin, rencontres et services de campagne restent à terminer.</x:v>
      </x:c>
    </x:row>
    <x:row r="2731" ht="96" customHeight="1">
      <x:c r="A2731" s="115" t="str">
        <x:v>EXT-MONDE-T055-V26</x:v>
      </x:c>
      <x:c r="B2731" s="115" t="str">
        <x:v>EXT-MONDE-T055</x:v>
      </x:c>
      <x:c r="C2731" s="115" t="str">
        <x:v>Usines</x:v>
      </x:c>
      <x:c r="D2731" s="115" t="str">
        <x:v>Usine textile</x:v>
      </x:c>
      <x:c r="E2731" s="115" t="n">
        <x:v>26</x:v>
      </x:c>
      <x:c r="F2731" s="115" t="str">
        <x:v>Inspection physique</x:v>
      </x:c>
      <x:c r="G2731" s="115" t="str">
        <x:v>1 niveaux ; 40 pièces ; 303 segments de mur ; 0 transitions. Inspection physique ; architecture complète encore ouverte.</x:v>
      </x:c>
      <x:c r="H2731" s="115" t="str">
        <x:v>L 386 ; l 368 ; hauteur 6,3 m ; choix de composition auteur ; dimensions réelles à documenter</x:v>
      </x:c>
      <x:c r="I2731" s="115" t="str">
        <x:v>À équilibrer</x:v>
      </x:c>
      <x:c r="J2731" s="115" t="str">
        <x:v>Non</x:v>
      </x:c>
      <x:c r="K2731" s="115" t="str">
        <x:v>Pièces décrites, murs, portes, niveaux et mobilier inspectables à l’échelle. Volumes réservés, raccord au seed, butin, rencontres et services de campagne restent à terminer.</x:v>
      </x:c>
    </x:row>
    <x:row r="2732" ht="96" customHeight="1">
      <x:c r="A2732" s="115" t="str">
        <x:v>EXT-MONDE-T055-V27</x:v>
      </x:c>
      <x:c r="B2732" s="115" t="str">
        <x:v>EXT-MONDE-T055</x:v>
      </x:c>
      <x:c r="C2732" s="115" t="str">
        <x:v>Usines</x:v>
      </x:c>
      <x:c r="D2732" s="115" t="str">
        <x:v>Usine textile</x:v>
      </x:c>
      <x:c r="E2732" s="115" t="n">
        <x:v>27</x:v>
      </x:c>
      <x:c r="F2732" s="115" t="str">
        <x:v>Inspection physique</x:v>
      </x:c>
      <x:c r="G2732" s="115" t="str">
        <x:v>1 niveaux ; 40 pièces ; 303 segments de mur ; 0 transitions. Inspection physique ; architecture complète encore ouverte.</x:v>
      </x:c>
      <x:c r="H2732" s="115" t="str">
        <x:v>L 386 ; l 368 ; hauteur 6,3 m ; choix de composition auteur ; dimensions réelles à documenter</x:v>
      </x:c>
      <x:c r="I2732" s="115" t="str">
        <x:v>À équilibrer</x:v>
      </x:c>
      <x:c r="J2732" s="115" t="str">
        <x:v>Non</x:v>
      </x:c>
      <x:c r="K2732" s="115" t="str">
        <x:v>Pièces décrites, murs, portes, niveaux et mobilier inspectables à l’échelle. Volumes réservés, raccord au seed, butin, rencontres et services de campagne restent à terminer.</x:v>
      </x:c>
    </x:row>
    <x:row r="2733" ht="96" customHeight="1">
      <x:c r="A2733" s="115" t="str">
        <x:v>EXT-MONDE-T055-V28</x:v>
      </x:c>
      <x:c r="B2733" s="115" t="str">
        <x:v>EXT-MONDE-T055</x:v>
      </x:c>
      <x:c r="C2733" s="115" t="str">
        <x:v>Usines</x:v>
      </x:c>
      <x:c r="D2733" s="115" t="str">
        <x:v>Usine textile</x:v>
      </x:c>
      <x:c r="E2733" s="115" t="n">
        <x:v>28</x:v>
      </x:c>
      <x:c r="F2733" s="115" t="str">
        <x:v>Inspection physique</x:v>
      </x:c>
      <x:c r="G2733" s="115" t="str">
        <x:v>1 niveaux ; 40 pièces ; 303 segments de mur ; 0 transitions. Inspection physique ; architecture complète encore ouverte.</x:v>
      </x:c>
      <x:c r="H2733" s="115" t="str">
        <x:v>L 386 ; l 368 ; hauteur 6,3 m ; choix de composition auteur ; dimensions réelles à documenter</x:v>
      </x:c>
      <x:c r="I2733" s="115" t="str">
        <x:v>À équilibrer</x:v>
      </x:c>
      <x:c r="J2733" s="115" t="str">
        <x:v>Non</x:v>
      </x:c>
      <x:c r="K2733" s="115" t="str">
        <x:v>Pièces décrites, murs, portes, niveaux et mobilier inspectables à l’échelle. Volumes réservés, raccord au seed, butin, rencontres et services de campagne restent à terminer.</x:v>
      </x:c>
    </x:row>
    <x:row r="2734" ht="96" customHeight="1">
      <x:c r="A2734" s="115" t="str">
        <x:v>EXT-MONDE-T055-V29</x:v>
      </x:c>
      <x:c r="B2734" s="115" t="str">
        <x:v>EXT-MONDE-T055</x:v>
      </x:c>
      <x:c r="C2734" s="115" t="str">
        <x:v>Usines</x:v>
      </x:c>
      <x:c r="D2734" s="115" t="str">
        <x:v>Usine textile</x:v>
      </x:c>
      <x:c r="E2734" s="115" t="n">
        <x:v>29</x:v>
      </x:c>
      <x:c r="F2734" s="115" t="str">
        <x:v>Inspection physique</x:v>
      </x:c>
      <x:c r="G2734" s="115" t="str">
        <x:v>1 niveaux ; 40 pièces ; 303 segments de mur ; 0 transitions. Inspection physique ; architecture complète encore ouverte.</x:v>
      </x:c>
      <x:c r="H2734" s="115" t="str">
        <x:v>L 386 ; l 368 ; hauteur 6,3 m ; choix de composition auteur ; dimensions réelles à documenter</x:v>
      </x:c>
      <x:c r="I2734" s="115" t="str">
        <x:v>À équilibrer</x:v>
      </x:c>
      <x:c r="J2734" s="115" t="str">
        <x:v>Non</x:v>
      </x:c>
      <x:c r="K2734" s="115" t="str">
        <x:v>Pièces décrites, murs, portes, niveaux et mobilier inspectables à l’échelle. Volumes réservés, raccord au seed, butin, rencontres et services de campagne restent à terminer.</x:v>
      </x:c>
    </x:row>
    <x:row r="2735" ht="96" customHeight="1">
      <x:c r="A2735" s="115" t="str">
        <x:v>EXT-MONDE-T055-V30</x:v>
      </x:c>
      <x:c r="B2735" s="115" t="str">
        <x:v>EXT-MONDE-T055</x:v>
      </x:c>
      <x:c r="C2735" s="115" t="str">
        <x:v>Usines</x:v>
      </x:c>
      <x:c r="D2735" s="115" t="str">
        <x:v>Usine textile</x:v>
      </x:c>
      <x:c r="E2735" s="115" t="n">
        <x:v>30</x:v>
      </x:c>
      <x:c r="F2735" s="115" t="str">
        <x:v>Inspection physique</x:v>
      </x:c>
      <x:c r="G2735" s="115" t="str">
        <x:v>1 niveaux ; 40 pièces ; 303 segments de mur ; 0 transitions. Inspection physique ; architecture complète encore ouverte.</x:v>
      </x:c>
      <x:c r="H2735" s="115" t="str">
        <x:v>L 386 ; l 368 ; hauteur 6,3 m ; choix de composition auteur ; dimensions réelles à documenter</x:v>
      </x:c>
      <x:c r="I2735" s="115" t="str">
        <x:v>À équilibrer</x:v>
      </x:c>
      <x:c r="J2735" s="115" t="str">
        <x:v>Non</x:v>
      </x:c>
      <x:c r="K2735" s="115" t="str">
        <x:v>Pièces décrites, murs, portes, niveaux et mobilier inspectables à l’échelle. Volumes réservés, raccord au seed, butin, rencontres et services de campagne restent à terminer.</x:v>
      </x:c>
    </x:row>
    <x:row r="2736" ht="96" customHeight="1">
      <x:c r="A2736" s="115" t="str">
        <x:v>EXT-MONDE-T055-V31</x:v>
      </x:c>
      <x:c r="B2736" s="115" t="str">
        <x:v>EXT-MONDE-T055</x:v>
      </x:c>
      <x:c r="C2736" s="115" t="str">
        <x:v>Usines</x:v>
      </x:c>
      <x:c r="D2736" s="115" t="str">
        <x:v>Usine textile</x:v>
      </x:c>
      <x:c r="E2736" s="115" t="n">
        <x:v>31</x:v>
      </x:c>
      <x:c r="F2736" s="115" t="str">
        <x:v>Inspection physique</x:v>
      </x:c>
      <x:c r="G2736" s="115" t="str">
        <x:v>1 niveaux ; 40 pièces ; 303 segments de mur ; 0 transitions. Inspection physique ; architecture complète encore ouverte.</x:v>
      </x:c>
      <x:c r="H2736" s="115" t="str">
        <x:v>L 404 ; l 392 ; hauteur 6,55 m ; choix de composition auteur ; dimensions réelles à documenter</x:v>
      </x:c>
      <x:c r="I2736" s="115" t="str">
        <x:v>À équilibrer</x:v>
      </x:c>
      <x:c r="J2736" s="115" t="str">
        <x:v>Non</x:v>
      </x:c>
      <x:c r="K2736" s="115" t="str">
        <x:v>Pièces décrites, murs, portes, niveaux et mobilier inspectables à l’échelle. Volumes réservés, raccord au seed, butin, rencontres et services de campagne restent à terminer.</x:v>
      </x:c>
    </x:row>
    <x:row r="2737" ht="96" customHeight="1">
      <x:c r="A2737" s="115" t="str">
        <x:v>EXT-MONDE-T055-V32</x:v>
      </x:c>
      <x:c r="B2737" s="115" t="str">
        <x:v>EXT-MONDE-T055</x:v>
      </x:c>
      <x:c r="C2737" s="115" t="str">
        <x:v>Usines</x:v>
      </x:c>
      <x:c r="D2737" s="115" t="str">
        <x:v>Usine textile</x:v>
      </x:c>
      <x:c r="E2737" s="115" t="n">
        <x:v>32</x:v>
      </x:c>
      <x:c r="F2737" s="115" t="str">
        <x:v>Inspection physique</x:v>
      </x:c>
      <x:c r="G2737" s="115" t="str">
        <x:v>1 niveaux ; 40 pièces ; 303 segments de mur ; 0 transitions. Inspection physique ; architecture complète encore ouverte.</x:v>
      </x:c>
      <x:c r="H2737" s="115" t="str">
        <x:v>L 404 ; l 392 ; hauteur 6,55 m ; choix de composition auteur ; dimensions réelles à documenter</x:v>
      </x:c>
      <x:c r="I2737" s="115" t="str">
        <x:v>À équilibrer</x:v>
      </x:c>
      <x:c r="J2737" s="115" t="str">
        <x:v>Non</x:v>
      </x:c>
      <x:c r="K2737" s="115" t="str">
        <x:v>Pièces décrites, murs, portes, niveaux et mobilier inspectables à l’échelle. Volumes réservés, raccord au seed, butin, rencontres et services de campagne restent à terminer.</x:v>
      </x:c>
    </x:row>
    <x:row r="2738" ht="96" customHeight="1">
      <x:c r="A2738" s="115" t="str">
        <x:v>EXT-MONDE-T055-V33</x:v>
      </x:c>
      <x:c r="B2738" s="115" t="str">
        <x:v>EXT-MONDE-T055</x:v>
      </x:c>
      <x:c r="C2738" s="115" t="str">
        <x:v>Usines</x:v>
      </x:c>
      <x:c r="D2738" s="115" t="str">
        <x:v>Usine textile</x:v>
      </x:c>
      <x:c r="E2738" s="115" t="n">
        <x:v>33</x:v>
      </x:c>
      <x:c r="F2738" s="115" t="str">
        <x:v>Inspection physique</x:v>
      </x:c>
      <x:c r="G2738" s="115" t="str">
        <x:v>1 niveaux ; 40 pièces ; 303 segments de mur ; 0 transitions. Inspection physique ; architecture complète encore ouverte.</x:v>
      </x:c>
      <x:c r="H2738" s="115" t="str">
        <x:v>L 404 ; l 392 ; hauteur 6,55 m ; choix de composition auteur ; dimensions réelles à documenter</x:v>
      </x:c>
      <x:c r="I2738" s="115" t="str">
        <x:v>À équilibrer</x:v>
      </x:c>
      <x:c r="J2738" s="115" t="str">
        <x:v>Non</x:v>
      </x:c>
      <x:c r="K2738" s="115" t="str">
        <x:v>Pièces décrites, murs, portes, niveaux et mobilier inspectables à l’échelle. Volumes réservés, raccord au seed, butin, rencontres et services de campagne restent à terminer.</x:v>
      </x:c>
    </x:row>
    <x:row r="2739" ht="96" customHeight="1">
      <x:c r="A2739" s="115" t="str">
        <x:v>EXT-MONDE-T055-V34</x:v>
      </x:c>
      <x:c r="B2739" s="115" t="str">
        <x:v>EXT-MONDE-T055</x:v>
      </x:c>
      <x:c r="C2739" s="115" t="str">
        <x:v>Usines</x:v>
      </x:c>
      <x:c r="D2739" s="115" t="str">
        <x:v>Usine textile</x:v>
      </x:c>
      <x:c r="E2739" s="115" t="n">
        <x:v>34</x:v>
      </x:c>
      <x:c r="F2739" s="115" t="str">
        <x:v>Inspection physique</x:v>
      </x:c>
      <x:c r="G2739" s="115" t="str">
        <x:v>1 niveaux ; 40 pièces ; 303 segments de mur ; 0 transitions. Inspection physique ; architecture complète encore ouverte.</x:v>
      </x:c>
      <x:c r="H2739" s="115" t="str">
        <x:v>L 404 ; l 392 ; hauteur 6,55 m ; choix de composition auteur ; dimensions réelles à documenter</x:v>
      </x:c>
      <x:c r="I2739" s="115" t="str">
        <x:v>À équilibrer</x:v>
      </x:c>
      <x:c r="J2739" s="115" t="str">
        <x:v>Non</x:v>
      </x:c>
      <x:c r="K2739" s="115" t="str">
        <x:v>Pièces décrites, murs, portes, niveaux et mobilier inspectables à l’échelle. Volumes réservés, raccord au seed, butin, rencontres et services de campagne restent à terminer.</x:v>
      </x:c>
    </x:row>
    <x:row r="2740" ht="96" customHeight="1">
      <x:c r="A2740" s="115" t="str">
        <x:v>EXT-MONDE-T055-V35</x:v>
      </x:c>
      <x:c r="B2740" s="115" t="str">
        <x:v>EXT-MONDE-T055</x:v>
      </x:c>
      <x:c r="C2740" s="115" t="str">
        <x:v>Usines</x:v>
      </x:c>
      <x:c r="D2740" s="115" t="str">
        <x:v>Usine textile</x:v>
      </x:c>
      <x:c r="E2740" s="115" t="n">
        <x:v>35</x:v>
      </x:c>
      <x:c r="F2740" s="115" t="str">
        <x:v>Inspection physique</x:v>
      </x:c>
      <x:c r="G2740" s="115" t="str">
        <x:v>1 niveaux ; 40 pièces ; 303 segments de mur ; 0 transitions. Inspection physique ; architecture complète encore ouverte.</x:v>
      </x:c>
      <x:c r="H2740" s="115" t="str">
        <x:v>L 404 ; l 392 ; hauteur 6,55 m ; choix de composition auteur ; dimensions réelles à documenter</x:v>
      </x:c>
      <x:c r="I2740" s="115" t="str">
        <x:v>À équilibrer</x:v>
      </x:c>
      <x:c r="J2740" s="115" t="str">
        <x:v>Non</x:v>
      </x:c>
      <x:c r="K2740" s="115" t="str">
        <x:v>Pièces décrites, murs, portes, niveaux et mobilier inspectables à l’échelle. Volumes réservés, raccord au seed, butin, rencontres et services de campagne restent à terminer.</x:v>
      </x:c>
    </x:row>
    <x:row r="2741" ht="96" customHeight="1">
      <x:c r="A2741" s="115" t="str">
        <x:v>EXT-MONDE-T055-V36</x:v>
      </x:c>
      <x:c r="B2741" s="115" t="str">
        <x:v>EXT-MONDE-T055</x:v>
      </x:c>
      <x:c r="C2741" s="115" t="str">
        <x:v>Usines</x:v>
      </x:c>
      <x:c r="D2741" s="115" t="str">
        <x:v>Usine textile</x:v>
      </x:c>
      <x:c r="E2741" s="115" t="n">
        <x:v>36</x:v>
      </x:c>
      <x:c r="F2741" s="115" t="str">
        <x:v>Inspection physique</x:v>
      </x:c>
      <x:c r="G2741" s="115" t="str">
        <x:v>1 niveaux ; 40 pièces ; 303 segments de mur ; 0 transitions. Inspection physique ; architecture complète encore ouverte.</x:v>
      </x:c>
      <x:c r="H2741" s="115" t="str">
        <x:v>L 404 ; l 392 ; hauteur 6,55 m ; choix de composition auteur ; dimensions réelles à documenter</x:v>
      </x:c>
      <x:c r="I2741" s="115" t="str">
        <x:v>À équilibrer</x:v>
      </x:c>
      <x:c r="J2741" s="115" t="str">
        <x:v>Non</x:v>
      </x:c>
      <x:c r="K2741" s="115" t="str">
        <x:v>Pièces décrites, murs, portes, niveaux et mobilier inspectables à l’échelle. Volumes réservés, raccord au seed, butin, rencontres et services de campagne restent à terminer.</x:v>
      </x:c>
    </x:row>
    <x:row r="2742" ht="96" customHeight="1">
      <x:c r="A2742" s="115" t="str">
        <x:v>EXT-MONDE-T055-V37</x:v>
      </x:c>
      <x:c r="B2742" s="115" t="str">
        <x:v>EXT-MONDE-T055</x:v>
      </x:c>
      <x:c r="C2742" s="115" t="str">
        <x:v>Usines</x:v>
      </x:c>
      <x:c r="D2742" s="115" t="str">
        <x:v>Usine textile</x:v>
      </x:c>
      <x:c r="E2742" s="115" t="n">
        <x:v>37</x:v>
      </x:c>
      <x:c r="F2742" s="115" t="str">
        <x:v>Inspection physique</x:v>
      </x:c>
      <x:c r="G2742" s="115" t="str">
        <x:v>1 niveaux ; 40 pièces ; 303 segments de mur ; 0 transitions. Inspection physique ; architecture complète encore ouverte.</x:v>
      </x:c>
      <x:c r="H2742" s="115" t="str">
        <x:v>L 404 ; l 392 ; hauteur 6,55 m ; choix de composition auteur ; dimensions réelles à documenter</x:v>
      </x:c>
      <x:c r="I2742" s="115" t="str">
        <x:v>À équilibrer</x:v>
      </x:c>
      <x:c r="J2742" s="115" t="str">
        <x:v>Non</x:v>
      </x:c>
      <x:c r="K2742" s="115" t="str">
        <x:v>Pièces décrites, murs, portes, niveaux et mobilier inspectables à l’échelle. Volumes réservés, raccord au seed, butin, rencontres et services de campagne restent à terminer.</x:v>
      </x:c>
    </x:row>
    <x:row r="2743" ht="96" customHeight="1">
      <x:c r="A2743" s="115" t="str">
        <x:v>EXT-MONDE-T055-V38</x:v>
      </x:c>
      <x:c r="B2743" s="115" t="str">
        <x:v>EXT-MONDE-T055</x:v>
      </x:c>
      <x:c r="C2743" s="115" t="str">
        <x:v>Usines</x:v>
      </x:c>
      <x:c r="D2743" s="115" t="str">
        <x:v>Usine textile</x:v>
      </x:c>
      <x:c r="E2743" s="115" t="n">
        <x:v>38</x:v>
      </x:c>
      <x:c r="F2743" s="115" t="str">
        <x:v>Inspection physique</x:v>
      </x:c>
      <x:c r="G2743" s="115" t="str">
        <x:v>1 niveaux ; 40 pièces ; 303 segments de mur ; 0 transitions. Inspection physique ; architecture complète encore ouverte.</x:v>
      </x:c>
      <x:c r="H2743" s="115" t="str">
        <x:v>L 404 ; l 392 ; hauteur 6,55 m ; choix de composition auteur ; dimensions réelles à documenter</x:v>
      </x:c>
      <x:c r="I2743" s="115" t="str">
        <x:v>À équilibrer</x:v>
      </x:c>
      <x:c r="J2743" s="115" t="str">
        <x:v>Non</x:v>
      </x:c>
      <x:c r="K2743" s="115" t="str">
        <x:v>Pièces décrites, murs, portes, niveaux et mobilier inspectables à l’échelle. Volumes réservés, raccord au seed, butin, rencontres et services de campagne restent à terminer.</x:v>
      </x:c>
    </x:row>
    <x:row r="2744" ht="96" customHeight="1">
      <x:c r="A2744" s="115" t="str">
        <x:v>EXT-MONDE-T055-V39</x:v>
      </x:c>
      <x:c r="B2744" s="115" t="str">
        <x:v>EXT-MONDE-T055</x:v>
      </x:c>
      <x:c r="C2744" s="115" t="str">
        <x:v>Usines</x:v>
      </x:c>
      <x:c r="D2744" s="115" t="str">
        <x:v>Usine textile</x:v>
      </x:c>
      <x:c r="E2744" s="115" t="n">
        <x:v>39</x:v>
      </x:c>
      <x:c r="F2744" s="115" t="str">
        <x:v>Inspection physique</x:v>
      </x:c>
      <x:c r="G2744" s="115" t="str">
        <x:v>1 niveaux ; 40 pièces ; 303 segments de mur ; 0 transitions. Inspection physique ; architecture complète encore ouverte.</x:v>
      </x:c>
      <x:c r="H2744" s="115" t="str">
        <x:v>L 404 ; l 392 ; hauteur 6,55 m ; choix de composition auteur ; dimensions réelles à documenter</x:v>
      </x:c>
      <x:c r="I2744" s="115" t="str">
        <x:v>À équilibrer</x:v>
      </x:c>
      <x:c r="J2744" s="115" t="str">
        <x:v>Non</x:v>
      </x:c>
      <x:c r="K2744" s="115" t="str">
        <x:v>Pièces décrites, murs, portes, niveaux et mobilier inspectables à l’échelle. Volumes réservés, raccord au seed, butin, rencontres et services de campagne restent à terminer.</x:v>
      </x:c>
    </x:row>
    <x:row r="2745" ht="96" customHeight="1">
      <x:c r="A2745" s="115" t="str">
        <x:v>EXT-MONDE-T055-V40</x:v>
      </x:c>
      <x:c r="B2745" s="115" t="str">
        <x:v>EXT-MONDE-T055</x:v>
      </x:c>
      <x:c r="C2745" s="115" t="str">
        <x:v>Usines</x:v>
      </x:c>
      <x:c r="D2745" s="115" t="str">
        <x:v>Usine textile</x:v>
      </x:c>
      <x:c r="E2745" s="115" t="n">
        <x:v>40</x:v>
      </x:c>
      <x:c r="F2745" s="115" t="str">
        <x:v>Inspection physique</x:v>
      </x:c>
      <x:c r="G2745" s="115" t="str">
        <x:v>1 niveaux ; 40 pièces ; 303 segments de mur ; 0 transitions. Inspection physique ; architecture complète encore ouverte.</x:v>
      </x:c>
      <x:c r="H2745" s="115" t="str">
        <x:v>L 404 ; l 392 ; hauteur 6,55 m ; choix de composition auteur ; dimensions réelles à documenter</x:v>
      </x:c>
      <x:c r="I2745" s="115" t="str">
        <x:v>À équilibrer</x:v>
      </x:c>
      <x:c r="J2745" s="115" t="str">
        <x:v>Non</x:v>
      </x:c>
      <x:c r="K2745" s="115" t="str">
        <x:v>Pièces décrites, murs, portes, niveaux et mobilier inspectables à l’échelle. Volumes réservés, raccord au seed, butin, rencontres et services de campagne restent à terminer.</x:v>
      </x:c>
    </x:row>
    <x:row r="2746" ht="96" customHeight="1">
      <x:c r="A2746" s="115" t="str">
        <x:v>EXT-MONDE-T055-V41</x:v>
      </x:c>
      <x:c r="B2746" s="115" t="str">
        <x:v>EXT-MONDE-T055</x:v>
      </x:c>
      <x:c r="C2746" s="115" t="str">
        <x:v>Usines</x:v>
      </x:c>
      <x:c r="D2746" s="115" t="str">
        <x:v>Usine textile</x:v>
      </x:c>
      <x:c r="E2746" s="115" t="n">
        <x:v>41</x:v>
      </x:c>
      <x:c r="F2746" s="115" t="str">
        <x:v>Inspection physique</x:v>
      </x:c>
      <x:c r="G2746" s="115" t="str">
        <x:v>1 niveaux ; 40 pièces ; 303 segments de mur ; 0 transitions. Inspection physique ; architecture complète encore ouverte.</x:v>
      </x:c>
      <x:c r="H2746" s="115" t="str">
        <x:v>L 422 ; l 416 ; hauteur 6,8 m ; choix de composition auteur ; dimensions réelles à documenter</x:v>
      </x:c>
      <x:c r="I2746" s="115" t="str">
        <x:v>À équilibrer</x:v>
      </x:c>
      <x:c r="J2746" s="115" t="str">
        <x:v>Non</x:v>
      </x:c>
      <x:c r="K2746" s="115" t="str">
        <x:v>Pièces décrites, murs, portes, niveaux et mobilier inspectables à l’échelle. Volumes réservés, raccord au seed, butin, rencontres et services de campagne restent à terminer.</x:v>
      </x:c>
    </x:row>
    <x:row r="2747" ht="96" customHeight="1">
      <x:c r="A2747" s="115" t="str">
        <x:v>EXT-MONDE-T055-V42</x:v>
      </x:c>
      <x:c r="B2747" s="115" t="str">
        <x:v>EXT-MONDE-T055</x:v>
      </x:c>
      <x:c r="C2747" s="115" t="str">
        <x:v>Usines</x:v>
      </x:c>
      <x:c r="D2747" s="115" t="str">
        <x:v>Usine textile</x:v>
      </x:c>
      <x:c r="E2747" s="115" t="n">
        <x:v>42</x:v>
      </x:c>
      <x:c r="F2747" s="115" t="str">
        <x:v>Inspection physique</x:v>
      </x:c>
      <x:c r="G2747" s="115" t="str">
        <x:v>1 niveaux ; 40 pièces ; 303 segments de mur ; 0 transitions. Inspection physique ; architecture complète encore ouverte.</x:v>
      </x:c>
      <x:c r="H2747" s="115" t="str">
        <x:v>L 422 ; l 416 ; hauteur 6,8 m ; choix de composition auteur ; dimensions réelles à documenter</x:v>
      </x:c>
      <x:c r="I2747" s="115" t="str">
        <x:v>À équilibrer</x:v>
      </x:c>
      <x:c r="J2747" s="115" t="str">
        <x:v>Non</x:v>
      </x:c>
      <x:c r="K2747" s="115" t="str">
        <x:v>Pièces décrites, murs, portes, niveaux et mobilier inspectables à l’échelle. Volumes réservés, raccord au seed, butin, rencontres et services de campagne restent à terminer.</x:v>
      </x:c>
    </x:row>
    <x:row r="2748" ht="96" customHeight="1">
      <x:c r="A2748" s="115" t="str">
        <x:v>EXT-MONDE-T055-V43</x:v>
      </x:c>
      <x:c r="B2748" s="115" t="str">
        <x:v>EXT-MONDE-T055</x:v>
      </x:c>
      <x:c r="C2748" s="115" t="str">
        <x:v>Usines</x:v>
      </x:c>
      <x:c r="D2748" s="115" t="str">
        <x:v>Usine textile</x:v>
      </x:c>
      <x:c r="E2748" s="115" t="n">
        <x:v>43</x:v>
      </x:c>
      <x:c r="F2748" s="115" t="str">
        <x:v>Inspection physique</x:v>
      </x:c>
      <x:c r="G2748" s="115" t="str">
        <x:v>1 niveaux ; 40 pièces ; 303 segments de mur ; 0 transitions. Inspection physique ; architecture complète encore ouverte.</x:v>
      </x:c>
      <x:c r="H2748" s="115" t="str">
        <x:v>L 422 ; l 416 ; hauteur 6,8 m ; choix de composition auteur ; dimensions réelles à documenter</x:v>
      </x:c>
      <x:c r="I2748" s="115" t="str">
        <x:v>À équilibrer</x:v>
      </x:c>
      <x:c r="J2748" s="115" t="str">
        <x:v>Non</x:v>
      </x:c>
      <x:c r="K2748" s="115" t="str">
        <x:v>Pièces décrites, murs, portes, niveaux et mobilier inspectables à l’échelle. Volumes réservés, raccord au seed, butin, rencontres et services de campagne restent à terminer.</x:v>
      </x:c>
    </x:row>
    <x:row r="2749" ht="96" customHeight="1">
      <x:c r="A2749" s="115" t="str">
        <x:v>EXT-MONDE-T055-V44</x:v>
      </x:c>
      <x:c r="B2749" s="115" t="str">
        <x:v>EXT-MONDE-T055</x:v>
      </x:c>
      <x:c r="C2749" s="115" t="str">
        <x:v>Usines</x:v>
      </x:c>
      <x:c r="D2749" s="115" t="str">
        <x:v>Usine textile</x:v>
      </x:c>
      <x:c r="E2749" s="115" t="n">
        <x:v>44</x:v>
      </x:c>
      <x:c r="F2749" s="115" t="str">
        <x:v>Inspection physique</x:v>
      </x:c>
      <x:c r="G2749" s="115" t="str">
        <x:v>1 niveaux ; 40 pièces ; 303 segments de mur ; 0 transitions. Inspection physique ; architecture complète encore ouverte.</x:v>
      </x:c>
      <x:c r="H2749" s="115" t="str">
        <x:v>L 422 ; l 416 ; hauteur 6,8 m ; choix de composition auteur ; dimensions réelles à documenter</x:v>
      </x:c>
      <x:c r="I2749" s="115" t="str">
        <x:v>À équilibrer</x:v>
      </x:c>
      <x:c r="J2749" s="115" t="str">
        <x:v>Non</x:v>
      </x:c>
      <x:c r="K2749" s="115" t="str">
        <x:v>Pièces décrites, murs, portes, niveaux et mobilier inspectables à l’échelle. Volumes réservés, raccord au seed, butin, rencontres et services de campagne restent à terminer.</x:v>
      </x:c>
    </x:row>
    <x:row r="2750" ht="96" customHeight="1">
      <x:c r="A2750" s="115" t="str">
        <x:v>EXT-MONDE-T055-V45</x:v>
      </x:c>
      <x:c r="B2750" s="115" t="str">
        <x:v>EXT-MONDE-T055</x:v>
      </x:c>
      <x:c r="C2750" s="115" t="str">
        <x:v>Usines</x:v>
      </x:c>
      <x:c r="D2750" s="115" t="str">
        <x:v>Usine textile</x:v>
      </x:c>
      <x:c r="E2750" s="115" t="n">
        <x:v>45</x:v>
      </x:c>
      <x:c r="F2750" s="115" t="str">
        <x:v>Inspection physique</x:v>
      </x:c>
      <x:c r="G2750" s="115" t="str">
        <x:v>1 niveaux ; 40 pièces ; 303 segments de mur ; 0 transitions. Inspection physique ; architecture complète encore ouverte.</x:v>
      </x:c>
      <x:c r="H2750" s="115" t="str">
        <x:v>L 422 ; l 416 ; hauteur 6,8 m ; choix de composition auteur ; dimensions réelles à documenter</x:v>
      </x:c>
      <x:c r="I2750" s="115" t="str">
        <x:v>À équilibrer</x:v>
      </x:c>
      <x:c r="J2750" s="115" t="str">
        <x:v>Non</x:v>
      </x:c>
      <x:c r="K2750" s="115" t="str">
        <x:v>Pièces décrites, murs, portes, niveaux et mobilier inspectables à l’échelle. Volumes réservés, raccord au seed, butin, rencontres et services de campagne restent à terminer.</x:v>
      </x:c>
    </x:row>
    <x:row r="2751" ht="96" customHeight="1">
      <x:c r="A2751" s="115" t="str">
        <x:v>EXT-MONDE-T055-V46</x:v>
      </x:c>
      <x:c r="B2751" s="115" t="str">
        <x:v>EXT-MONDE-T055</x:v>
      </x:c>
      <x:c r="C2751" s="115" t="str">
        <x:v>Usines</x:v>
      </x:c>
      <x:c r="D2751" s="115" t="str">
        <x:v>Usine textile</x:v>
      </x:c>
      <x:c r="E2751" s="115" t="n">
        <x:v>46</x:v>
      </x:c>
      <x:c r="F2751" s="115" t="str">
        <x:v>Inspection physique</x:v>
      </x:c>
      <x:c r="G2751" s="115" t="str">
        <x:v>1 niveaux ; 40 pièces ; 303 segments de mur ; 0 transitions. Inspection physique ; architecture complète encore ouverte.</x:v>
      </x:c>
      <x:c r="H2751" s="115" t="str">
        <x:v>L 422 ; l 416 ; hauteur 6,8 m ; choix de composition auteur ; dimensions réelles à documenter</x:v>
      </x:c>
      <x:c r="I2751" s="115" t="str">
        <x:v>À équilibrer</x:v>
      </x:c>
      <x:c r="J2751" s="115" t="str">
        <x:v>Non</x:v>
      </x:c>
      <x:c r="K2751" s="115" t="str">
        <x:v>Pièces décrites, murs, portes, niveaux et mobilier inspectables à l’échelle. Volumes réservés, raccord au seed, butin, rencontres et services de campagne restent à terminer.</x:v>
      </x:c>
    </x:row>
    <x:row r="2752" ht="96" customHeight="1">
      <x:c r="A2752" s="115" t="str">
        <x:v>EXT-MONDE-T055-V47</x:v>
      </x:c>
      <x:c r="B2752" s="115" t="str">
        <x:v>EXT-MONDE-T055</x:v>
      </x:c>
      <x:c r="C2752" s="115" t="str">
        <x:v>Usines</x:v>
      </x:c>
      <x:c r="D2752" s="115" t="str">
        <x:v>Usine textile</x:v>
      </x:c>
      <x:c r="E2752" s="115" t="n">
        <x:v>47</x:v>
      </x:c>
      <x:c r="F2752" s="115" t="str">
        <x:v>Inspection physique</x:v>
      </x:c>
      <x:c r="G2752" s="115" t="str">
        <x:v>1 niveaux ; 40 pièces ; 303 segments de mur ; 0 transitions. Inspection physique ; architecture complète encore ouverte.</x:v>
      </x:c>
      <x:c r="H2752" s="115" t="str">
        <x:v>L 422 ; l 416 ; hauteur 6,8 m ; choix de composition auteur ; dimensions réelles à documenter</x:v>
      </x:c>
      <x:c r="I2752" s="115" t="str">
        <x:v>À équilibrer</x:v>
      </x:c>
      <x:c r="J2752" s="115" t="str">
        <x:v>Non</x:v>
      </x:c>
      <x:c r="K2752" s="115" t="str">
        <x:v>Pièces décrites, murs, portes, niveaux et mobilier inspectables à l’échelle. Volumes réservés, raccord au seed, butin, rencontres et services de campagne restent à terminer.</x:v>
      </x:c>
    </x:row>
    <x:row r="2753" ht="96" customHeight="1">
      <x:c r="A2753" s="115" t="str">
        <x:v>EXT-MONDE-T055-V48</x:v>
      </x:c>
      <x:c r="B2753" s="115" t="str">
        <x:v>EXT-MONDE-T055</x:v>
      </x:c>
      <x:c r="C2753" s="115" t="str">
        <x:v>Usines</x:v>
      </x:c>
      <x:c r="D2753" s="115" t="str">
        <x:v>Usine textile</x:v>
      </x:c>
      <x:c r="E2753" s="115" t="n">
        <x:v>48</x:v>
      </x:c>
      <x:c r="F2753" s="115" t="str">
        <x:v>Inspection physique</x:v>
      </x:c>
      <x:c r="G2753" s="115" t="str">
        <x:v>1 niveaux ; 40 pièces ; 303 segments de mur ; 0 transitions. Inspection physique ; architecture complète encore ouverte.</x:v>
      </x:c>
      <x:c r="H2753" s="115" t="str">
        <x:v>L 422 ; l 416 ; hauteur 6,8 m ; choix de composition auteur ; dimensions réelles à documenter</x:v>
      </x:c>
      <x:c r="I2753" s="115" t="str">
        <x:v>À équilibrer</x:v>
      </x:c>
      <x:c r="J2753" s="115" t="str">
        <x:v>Non</x:v>
      </x:c>
      <x:c r="K2753" s="115" t="str">
        <x:v>Pièces décrites, murs, portes, niveaux et mobilier inspectables à l’échelle. Volumes réservés, raccord au seed, butin, rencontres et services de campagne restent à terminer.</x:v>
      </x:c>
    </x:row>
    <x:row r="2754" ht="96" customHeight="1">
      <x:c r="A2754" s="115" t="str">
        <x:v>EXT-MONDE-T055-V49</x:v>
      </x:c>
      <x:c r="B2754" s="115" t="str">
        <x:v>EXT-MONDE-T055</x:v>
      </x:c>
      <x:c r="C2754" s="115" t="str">
        <x:v>Usines</x:v>
      </x:c>
      <x:c r="D2754" s="115" t="str">
        <x:v>Usine textile</x:v>
      </x:c>
      <x:c r="E2754" s="115" t="n">
        <x:v>49</x:v>
      </x:c>
      <x:c r="F2754" s="115" t="str">
        <x:v>Inspection physique</x:v>
      </x:c>
      <x:c r="G2754" s="115" t="str">
        <x:v>1 niveaux ; 40 pièces ; 303 segments de mur ; 0 transitions. Inspection physique ; architecture complète encore ouverte.</x:v>
      </x:c>
      <x:c r="H2754" s="115" t="str">
        <x:v>L 422 ; l 416 ; hauteur 6,8 m ; choix de composition auteur ; dimensions réelles à documenter</x:v>
      </x:c>
      <x:c r="I2754" s="115" t="str">
        <x:v>À équilibrer</x:v>
      </x:c>
      <x:c r="J2754" s="115" t="str">
        <x:v>Non</x:v>
      </x:c>
      <x:c r="K2754" s="115" t="str">
        <x:v>Pièces décrites, murs, portes, niveaux et mobilier inspectables à l’échelle. Volumes réservés, raccord au seed, butin, rencontres et services de campagne restent à terminer.</x:v>
      </x:c>
    </x:row>
    <x:row r="2755" ht="96" customHeight="1">
      <x:c r="A2755" s="115" t="str">
        <x:v>EXT-MONDE-T055-V50</x:v>
      </x:c>
      <x:c r="B2755" s="115" t="str">
        <x:v>EXT-MONDE-T055</x:v>
      </x:c>
      <x:c r="C2755" s="115" t="str">
        <x:v>Usines</x:v>
      </x:c>
      <x:c r="D2755" s="115" t="str">
        <x:v>Usine textile</x:v>
      </x:c>
      <x:c r="E2755" s="115" t="n">
        <x:v>50</x:v>
      </x:c>
      <x:c r="F2755" s="115" t="str">
        <x:v>Inspection physique</x:v>
      </x:c>
      <x:c r="G2755" s="115" t="str">
        <x:v>1 niveaux ; 40 pièces ; 303 segments de mur ; 0 transitions. Inspection physique ; architecture complète encore ouverte.</x:v>
      </x:c>
      <x:c r="H2755" s="115" t="str">
        <x:v>L 422 ; l 416 ; hauteur 6,8 m ; choix de composition auteur ; dimensions réelles à documenter</x:v>
      </x:c>
      <x:c r="I2755" s="115" t="str">
        <x:v>À équilibrer</x:v>
      </x:c>
      <x:c r="J2755" s="115" t="str">
        <x:v>Non</x:v>
      </x:c>
      <x:c r="K2755" s="115" t="str">
        <x:v>Pièces décrites, murs, portes, niveaux et mobilier inspectables à l’échelle. Volumes réservés, raccord au seed, butin, rencontres et services de campagne restent à terminer.</x:v>
      </x:c>
    </x:row>
    <x:row r="2756" ht="96" customHeight="1">
      <x:c r="A2756" s="115" t="str">
        <x:v>EXT-MONDE-T056-V01</x:v>
      </x:c>
      <x:c r="B2756" s="115" t="str">
        <x:v>EXT-MONDE-T056</x:v>
      </x:c>
      <x:c r="C2756" s="115" t="str">
        <x:v>Usines</x:v>
      </x:c>
      <x:c r="D2756" s="115" t="str">
        <x:v>Usine de matériaux</x:v>
      </x:c>
      <x:c r="E2756" s="115" t="n">
        <x:v>1</x:v>
      </x:c>
      <x:c r="F2756" s="115" t="str">
        <x:v>Inspection physique</x:v>
      </x:c>
      <x:c r="G2756" s="115" t="str">
        <x:v>1 niveaux ; 40 pièces ; 303 segments de mur ; 0 transitions. Inspection physique ; architecture complète encore ouverte.</x:v>
      </x:c>
      <x:c r="H2756" s="115" t="str">
        <x:v>L 350 ; l 320 ; hauteur 10,6 m ; choix de composition auteur ; dimensions réelles à documenter</x:v>
      </x:c>
      <x:c r="I2756" s="115" t="str">
        <x:v>À équilibrer</x:v>
      </x:c>
      <x:c r="J2756" s="115" t="str">
        <x:v>Non</x:v>
      </x:c>
      <x:c r="K2756" s="115" t="str">
        <x:v>Pièces décrites, murs, portes, niveaux et mobilier inspectables à l’échelle. Volumes réservés, raccord au seed, butin, rencontres et services de campagne restent à terminer.</x:v>
      </x:c>
    </x:row>
    <x:row r="2757" ht="96" customHeight="1">
      <x:c r="A2757" s="115" t="str">
        <x:v>EXT-MONDE-T056-V02</x:v>
      </x:c>
      <x:c r="B2757" s="115" t="str">
        <x:v>EXT-MONDE-T056</x:v>
      </x:c>
      <x:c r="C2757" s="115" t="str">
        <x:v>Usines</x:v>
      </x:c>
      <x:c r="D2757" s="115" t="str">
        <x:v>Usine de matériaux</x:v>
      </x:c>
      <x:c r="E2757" s="115" t="n">
        <x:v>2</x:v>
      </x:c>
      <x:c r="F2757" s="115" t="str">
        <x:v>Inspection physique</x:v>
      </x:c>
      <x:c r="G2757" s="115" t="str">
        <x:v>1 niveaux ; 40 pièces ; 303 segments de mur ; 0 transitions. Inspection physique ; architecture complète encore ouverte.</x:v>
      </x:c>
      <x:c r="H2757" s="115" t="str">
        <x:v>L 350 ; l 320 ; hauteur 10,6 m ; choix de composition auteur ; dimensions réelles à documenter</x:v>
      </x:c>
      <x:c r="I2757" s="115" t="str">
        <x:v>À équilibrer</x:v>
      </x:c>
      <x:c r="J2757" s="115" t="str">
        <x:v>Non</x:v>
      </x:c>
      <x:c r="K2757" s="115" t="str">
        <x:v>Pièces décrites, murs, portes, niveaux et mobilier inspectables à l’échelle. Volumes réservés, raccord au seed, butin, rencontres et services de campagne restent à terminer.</x:v>
      </x:c>
    </x:row>
    <x:row r="2758" ht="96" customHeight="1">
      <x:c r="A2758" s="115" t="str">
        <x:v>EXT-MONDE-T056-V03</x:v>
      </x:c>
      <x:c r="B2758" s="115" t="str">
        <x:v>EXT-MONDE-T056</x:v>
      </x:c>
      <x:c r="C2758" s="115" t="str">
        <x:v>Usines</x:v>
      </x:c>
      <x:c r="D2758" s="115" t="str">
        <x:v>Usine de matériaux</x:v>
      </x:c>
      <x:c r="E2758" s="115" t="n">
        <x:v>3</x:v>
      </x:c>
      <x:c r="F2758" s="115" t="str">
        <x:v>Inspection physique</x:v>
      </x:c>
      <x:c r="G2758" s="115" t="str">
        <x:v>1 niveaux ; 40 pièces ; 303 segments de mur ; 0 transitions. Inspection physique ; architecture complète encore ouverte.</x:v>
      </x:c>
      <x:c r="H2758" s="115" t="str">
        <x:v>L 350 ; l 320 ; hauteur 10,6 m ; choix de composition auteur ; dimensions réelles à documenter</x:v>
      </x:c>
      <x:c r="I2758" s="115" t="str">
        <x:v>À équilibrer</x:v>
      </x:c>
      <x:c r="J2758" s="115" t="str">
        <x:v>Non</x:v>
      </x:c>
      <x:c r="K2758" s="115" t="str">
        <x:v>Pièces décrites, murs, portes, niveaux et mobilier inspectables à l’échelle. Volumes réservés, raccord au seed, butin, rencontres et services de campagne restent à terminer.</x:v>
      </x:c>
    </x:row>
    <x:row r="2759" ht="96" customHeight="1">
      <x:c r="A2759" s="115" t="str">
        <x:v>EXT-MONDE-T056-V04</x:v>
      </x:c>
      <x:c r="B2759" s="115" t="str">
        <x:v>EXT-MONDE-T056</x:v>
      </x:c>
      <x:c r="C2759" s="115" t="str">
        <x:v>Usines</x:v>
      </x:c>
      <x:c r="D2759" s="115" t="str">
        <x:v>Usine de matériaux</x:v>
      </x:c>
      <x:c r="E2759" s="115" t="n">
        <x:v>4</x:v>
      </x:c>
      <x:c r="F2759" s="115" t="str">
        <x:v>Inspection physique</x:v>
      </x:c>
      <x:c r="G2759" s="115" t="str">
        <x:v>1 niveaux ; 40 pièces ; 303 segments de mur ; 0 transitions. Inspection physique ; architecture complète encore ouverte.</x:v>
      </x:c>
      <x:c r="H2759" s="115" t="str">
        <x:v>L 350 ; l 320 ; hauteur 10,6 m ; choix de composition auteur ; dimensions réelles à documenter</x:v>
      </x:c>
      <x:c r="I2759" s="115" t="str">
        <x:v>À équilibrer</x:v>
      </x:c>
      <x:c r="J2759" s="115" t="str">
        <x:v>Non</x:v>
      </x:c>
      <x:c r="K2759" s="115" t="str">
        <x:v>Pièces décrites, murs, portes, niveaux et mobilier inspectables à l’échelle. Volumes réservés, raccord au seed, butin, rencontres et services de campagne restent à terminer.</x:v>
      </x:c>
    </x:row>
    <x:row r="2760" ht="96" customHeight="1">
      <x:c r="A2760" s="115" t="str">
        <x:v>EXT-MONDE-T056-V05</x:v>
      </x:c>
      <x:c r="B2760" s="115" t="str">
        <x:v>EXT-MONDE-T056</x:v>
      </x:c>
      <x:c r="C2760" s="115" t="str">
        <x:v>Usines</x:v>
      </x:c>
      <x:c r="D2760" s="115" t="str">
        <x:v>Usine de matériaux</x:v>
      </x:c>
      <x:c r="E2760" s="115" t="n">
        <x:v>5</x:v>
      </x:c>
      <x:c r="F2760" s="115" t="str">
        <x:v>Inspection physique</x:v>
      </x:c>
      <x:c r="G2760" s="115" t="str">
        <x:v>1 niveaux ; 40 pièces ; 303 segments de mur ; 0 transitions. Inspection physique ; architecture complète encore ouverte.</x:v>
      </x:c>
      <x:c r="H2760" s="115" t="str">
        <x:v>L 350 ; l 320 ; hauteur 10,6 m ; choix de composition auteur ; dimensions réelles à documenter</x:v>
      </x:c>
      <x:c r="I2760" s="115" t="str">
        <x:v>À équilibrer</x:v>
      </x:c>
      <x:c r="J2760" s="115" t="str">
        <x:v>Non</x:v>
      </x:c>
      <x:c r="K2760" s="115" t="str">
        <x:v>Pièces décrites, murs, portes, niveaux et mobilier inspectables à l’échelle. Volumes réservés, raccord au seed, butin, rencontres et services de campagne restent à terminer.</x:v>
      </x:c>
    </x:row>
    <x:row r="2761" ht="96" customHeight="1">
      <x:c r="A2761" s="115" t="str">
        <x:v>EXT-MONDE-T056-V06</x:v>
      </x:c>
      <x:c r="B2761" s="115" t="str">
        <x:v>EXT-MONDE-T056</x:v>
      </x:c>
      <x:c r="C2761" s="115" t="str">
        <x:v>Usines</x:v>
      </x:c>
      <x:c r="D2761" s="115" t="str">
        <x:v>Usine de matériaux</x:v>
      </x:c>
      <x:c r="E2761" s="115" t="n">
        <x:v>6</x:v>
      </x:c>
      <x:c r="F2761" s="115" t="str">
        <x:v>Inspection physique</x:v>
      </x:c>
      <x:c r="G2761" s="115" t="str">
        <x:v>1 niveaux ; 40 pièces ; 303 segments de mur ; 0 transitions. Inspection physique ; architecture complète encore ouverte.</x:v>
      </x:c>
      <x:c r="H2761" s="115" t="str">
        <x:v>L 350 ; l 320 ; hauteur 10,6 m ; choix de composition auteur ; dimensions réelles à documenter</x:v>
      </x:c>
      <x:c r="I2761" s="115" t="str">
        <x:v>À équilibrer</x:v>
      </x:c>
      <x:c r="J2761" s="115" t="str">
        <x:v>Non</x:v>
      </x:c>
      <x:c r="K2761" s="115" t="str">
        <x:v>Pièces décrites, murs, portes, niveaux et mobilier inspectables à l’échelle. Volumes réservés, raccord au seed, butin, rencontres et services de campagne restent à terminer.</x:v>
      </x:c>
    </x:row>
    <x:row r="2762" ht="96" customHeight="1">
      <x:c r="A2762" s="115" t="str">
        <x:v>EXT-MONDE-T056-V07</x:v>
      </x:c>
      <x:c r="B2762" s="115" t="str">
        <x:v>EXT-MONDE-T056</x:v>
      </x:c>
      <x:c r="C2762" s="115" t="str">
        <x:v>Usines</x:v>
      </x:c>
      <x:c r="D2762" s="115" t="str">
        <x:v>Usine de matériaux</x:v>
      </x:c>
      <x:c r="E2762" s="115" t="n">
        <x:v>7</x:v>
      </x:c>
      <x:c r="F2762" s="115" t="str">
        <x:v>Inspection physique</x:v>
      </x:c>
      <x:c r="G2762" s="115" t="str">
        <x:v>1 niveaux ; 40 pièces ; 303 segments de mur ; 0 transitions. Inspection physique ; architecture complète encore ouverte.</x:v>
      </x:c>
      <x:c r="H2762" s="115" t="str">
        <x:v>L 350 ; l 320 ; hauteur 10,6 m ; choix de composition auteur ; dimensions réelles à documenter</x:v>
      </x:c>
      <x:c r="I2762" s="115" t="str">
        <x:v>À équilibrer</x:v>
      </x:c>
      <x:c r="J2762" s="115" t="str">
        <x:v>Non</x:v>
      </x:c>
      <x:c r="K2762" s="115" t="str">
        <x:v>Pièces décrites, murs, portes, niveaux et mobilier inspectables à l’échelle. Volumes réservés, raccord au seed, butin, rencontres et services de campagne restent à terminer.</x:v>
      </x:c>
    </x:row>
    <x:row r="2763" ht="96" customHeight="1">
      <x:c r="A2763" s="115" t="str">
        <x:v>EXT-MONDE-T056-V08</x:v>
      </x:c>
      <x:c r="B2763" s="115" t="str">
        <x:v>EXT-MONDE-T056</x:v>
      </x:c>
      <x:c r="C2763" s="115" t="str">
        <x:v>Usines</x:v>
      </x:c>
      <x:c r="D2763" s="115" t="str">
        <x:v>Usine de matériaux</x:v>
      </x:c>
      <x:c r="E2763" s="115" t="n">
        <x:v>8</x:v>
      </x:c>
      <x:c r="F2763" s="115" t="str">
        <x:v>Inspection physique</x:v>
      </x:c>
      <x:c r="G2763" s="115" t="str">
        <x:v>1 niveaux ; 40 pièces ; 303 segments de mur ; 0 transitions. Inspection physique ; architecture complète encore ouverte.</x:v>
      </x:c>
      <x:c r="H2763" s="115" t="str">
        <x:v>L 350 ; l 320 ; hauteur 10,6 m ; choix de composition auteur ; dimensions réelles à documenter</x:v>
      </x:c>
      <x:c r="I2763" s="115" t="str">
        <x:v>À équilibrer</x:v>
      </x:c>
      <x:c r="J2763" s="115" t="str">
        <x:v>Non</x:v>
      </x:c>
      <x:c r="K2763" s="115" t="str">
        <x:v>Pièces décrites, murs, portes, niveaux et mobilier inspectables à l’échelle. Volumes réservés, raccord au seed, butin, rencontres et services de campagne restent à terminer.</x:v>
      </x:c>
    </x:row>
    <x:row r="2764" ht="96" customHeight="1">
      <x:c r="A2764" s="115" t="str">
        <x:v>EXT-MONDE-T056-V09</x:v>
      </x:c>
      <x:c r="B2764" s="115" t="str">
        <x:v>EXT-MONDE-T056</x:v>
      </x:c>
      <x:c r="C2764" s="115" t="str">
        <x:v>Usines</x:v>
      </x:c>
      <x:c r="D2764" s="115" t="str">
        <x:v>Usine de matériaux</x:v>
      </x:c>
      <x:c r="E2764" s="115" t="n">
        <x:v>9</x:v>
      </x:c>
      <x:c r="F2764" s="115" t="str">
        <x:v>Inspection physique</x:v>
      </x:c>
      <x:c r="G2764" s="115" t="str">
        <x:v>1 niveaux ; 40 pièces ; 303 segments de mur ; 0 transitions. Inspection physique ; architecture complète encore ouverte.</x:v>
      </x:c>
      <x:c r="H2764" s="115" t="str">
        <x:v>L 350 ; l 320 ; hauteur 10,6 m ; choix de composition auteur ; dimensions réelles à documenter</x:v>
      </x:c>
      <x:c r="I2764" s="115" t="str">
        <x:v>À équilibrer</x:v>
      </x:c>
      <x:c r="J2764" s="115" t="str">
        <x:v>Non</x:v>
      </x:c>
      <x:c r="K2764" s="115" t="str">
        <x:v>Pièces décrites, murs, portes, niveaux et mobilier inspectables à l’échelle. Volumes réservés, raccord au seed, butin, rencontres et services de campagne restent à terminer.</x:v>
      </x:c>
    </x:row>
    <x:row r="2765" ht="96" customHeight="1">
      <x:c r="A2765" s="115" t="str">
        <x:v>EXT-MONDE-T056-V10</x:v>
      </x:c>
      <x:c r="B2765" s="115" t="str">
        <x:v>EXT-MONDE-T056</x:v>
      </x:c>
      <x:c r="C2765" s="115" t="str">
        <x:v>Usines</x:v>
      </x:c>
      <x:c r="D2765" s="115" t="str">
        <x:v>Usine de matériaux</x:v>
      </x:c>
      <x:c r="E2765" s="115" t="n">
        <x:v>10</x:v>
      </x:c>
      <x:c r="F2765" s="115" t="str">
        <x:v>Inspection physique</x:v>
      </x:c>
      <x:c r="G2765" s="115" t="str">
        <x:v>1 niveaux ; 40 pièces ; 303 segments de mur ; 0 transitions. Inspection physique ; architecture complète encore ouverte.</x:v>
      </x:c>
      <x:c r="H2765" s="115" t="str">
        <x:v>L 350 ; l 320 ; hauteur 10,6 m ; choix de composition auteur ; dimensions réelles à documenter</x:v>
      </x:c>
      <x:c r="I2765" s="115" t="str">
        <x:v>À équilibrer</x:v>
      </x:c>
      <x:c r="J2765" s="115" t="str">
        <x:v>Non</x:v>
      </x:c>
      <x:c r="K2765" s="115" t="str">
        <x:v>Pièces décrites, murs, portes, niveaux et mobilier inspectables à l’échelle. Volumes réservés, raccord au seed, butin, rencontres et services de campagne restent à terminer.</x:v>
      </x:c>
    </x:row>
    <x:row r="2766" ht="96" customHeight="1">
      <x:c r="A2766" s="115" t="str">
        <x:v>EXT-MONDE-T056-V11</x:v>
      </x:c>
      <x:c r="B2766" s="115" t="str">
        <x:v>EXT-MONDE-T056</x:v>
      </x:c>
      <x:c r="C2766" s="115" t="str">
        <x:v>Usines</x:v>
      </x:c>
      <x:c r="D2766" s="115" t="str">
        <x:v>Usine de matériaux</x:v>
      </x:c>
      <x:c r="E2766" s="115" t="n">
        <x:v>11</x:v>
      </x:c>
      <x:c r="F2766" s="115" t="str">
        <x:v>Inspection physique</x:v>
      </x:c>
      <x:c r="G2766" s="115" t="str">
        <x:v>1 niveaux ; 40 pièces ; 303 segments de mur ; 0 transitions. Inspection physique ; architecture complète encore ouverte.</x:v>
      </x:c>
      <x:c r="H2766" s="115" t="str">
        <x:v>L 368 ; l 344 ; hauteur 10,6 m ; choix de composition auteur ; dimensions réelles à documenter</x:v>
      </x:c>
      <x:c r="I2766" s="115" t="str">
        <x:v>À équilibrer</x:v>
      </x:c>
      <x:c r="J2766" s="115" t="str">
        <x:v>Non</x:v>
      </x:c>
      <x:c r="K2766" s="115" t="str">
        <x:v>Pièces décrites, murs, portes, niveaux et mobilier inspectables à l’échelle. Volumes réservés, raccord au seed, butin, rencontres et services de campagne restent à terminer.</x:v>
      </x:c>
    </x:row>
    <x:row r="2767" ht="96" customHeight="1">
      <x:c r="A2767" s="115" t="str">
        <x:v>EXT-MONDE-T056-V12</x:v>
      </x:c>
      <x:c r="B2767" s="115" t="str">
        <x:v>EXT-MONDE-T056</x:v>
      </x:c>
      <x:c r="C2767" s="115" t="str">
        <x:v>Usines</x:v>
      </x:c>
      <x:c r="D2767" s="115" t="str">
        <x:v>Usine de matériaux</x:v>
      </x:c>
      <x:c r="E2767" s="115" t="n">
        <x:v>12</x:v>
      </x:c>
      <x:c r="F2767" s="115" t="str">
        <x:v>Inspection physique</x:v>
      </x:c>
      <x:c r="G2767" s="115" t="str">
        <x:v>1 niveaux ; 40 pièces ; 303 segments de mur ; 0 transitions. Inspection physique ; architecture complète encore ouverte.</x:v>
      </x:c>
      <x:c r="H2767" s="115" t="str">
        <x:v>L 368 ; l 344 ; hauteur 10,6 m ; choix de composition auteur ; dimensions réelles à documenter</x:v>
      </x:c>
      <x:c r="I2767" s="115" t="str">
        <x:v>À équilibrer</x:v>
      </x:c>
      <x:c r="J2767" s="115" t="str">
        <x:v>Non</x:v>
      </x:c>
      <x:c r="K2767" s="115" t="str">
        <x:v>Pièces décrites, murs, portes, niveaux et mobilier inspectables à l’échelle. Volumes réservés, raccord au seed, butin, rencontres et services de campagne restent à terminer.</x:v>
      </x:c>
    </x:row>
    <x:row r="2768" ht="96" customHeight="1">
      <x:c r="A2768" s="115" t="str">
        <x:v>EXT-MONDE-T056-V13</x:v>
      </x:c>
      <x:c r="B2768" s="115" t="str">
        <x:v>EXT-MONDE-T056</x:v>
      </x:c>
      <x:c r="C2768" s="115" t="str">
        <x:v>Usines</x:v>
      </x:c>
      <x:c r="D2768" s="115" t="str">
        <x:v>Usine de matériaux</x:v>
      </x:c>
      <x:c r="E2768" s="115" t="n">
        <x:v>13</x:v>
      </x:c>
      <x:c r="F2768" s="115" t="str">
        <x:v>Inspection physique</x:v>
      </x:c>
      <x:c r="G2768" s="115" t="str">
        <x:v>1 niveaux ; 40 pièces ; 303 segments de mur ; 0 transitions. Inspection physique ; architecture complète encore ouverte.</x:v>
      </x:c>
      <x:c r="H2768" s="115" t="str">
        <x:v>L 368 ; l 344 ; hauteur 10,6 m ; choix de composition auteur ; dimensions réelles à documenter</x:v>
      </x:c>
      <x:c r="I2768" s="115" t="str">
        <x:v>À équilibrer</x:v>
      </x:c>
      <x:c r="J2768" s="115" t="str">
        <x:v>Non</x:v>
      </x:c>
      <x:c r="K2768" s="115" t="str">
        <x:v>Pièces décrites, murs, portes, niveaux et mobilier inspectables à l’échelle. Volumes réservés, raccord au seed, butin, rencontres et services de campagne restent à terminer.</x:v>
      </x:c>
    </x:row>
    <x:row r="2769" ht="96" customHeight="1">
      <x:c r="A2769" s="115" t="str">
        <x:v>EXT-MONDE-T056-V14</x:v>
      </x:c>
      <x:c r="B2769" s="115" t="str">
        <x:v>EXT-MONDE-T056</x:v>
      </x:c>
      <x:c r="C2769" s="115" t="str">
        <x:v>Usines</x:v>
      </x:c>
      <x:c r="D2769" s="115" t="str">
        <x:v>Usine de matériaux</x:v>
      </x:c>
      <x:c r="E2769" s="115" t="n">
        <x:v>14</x:v>
      </x:c>
      <x:c r="F2769" s="115" t="str">
        <x:v>Inspection physique</x:v>
      </x:c>
      <x:c r="G2769" s="115" t="str">
        <x:v>1 niveaux ; 40 pièces ; 303 segments de mur ; 0 transitions. Inspection physique ; architecture complète encore ouverte.</x:v>
      </x:c>
      <x:c r="H2769" s="115" t="str">
        <x:v>L 368 ; l 344 ; hauteur 10,6 m ; choix de composition auteur ; dimensions réelles à documenter</x:v>
      </x:c>
      <x:c r="I2769" s="115" t="str">
        <x:v>À équilibrer</x:v>
      </x:c>
      <x:c r="J2769" s="115" t="str">
        <x:v>Non</x:v>
      </x:c>
      <x:c r="K2769" s="115" t="str">
        <x:v>Pièces décrites, murs, portes, niveaux et mobilier inspectables à l’échelle. Volumes réservés, raccord au seed, butin, rencontres et services de campagne restent à terminer.</x:v>
      </x:c>
    </x:row>
    <x:row r="2770" ht="96" customHeight="1">
      <x:c r="A2770" s="115" t="str">
        <x:v>EXT-MONDE-T056-V15</x:v>
      </x:c>
      <x:c r="B2770" s="115" t="str">
        <x:v>EXT-MONDE-T056</x:v>
      </x:c>
      <x:c r="C2770" s="115" t="str">
        <x:v>Usines</x:v>
      </x:c>
      <x:c r="D2770" s="115" t="str">
        <x:v>Usine de matériaux</x:v>
      </x:c>
      <x:c r="E2770" s="115" t="n">
        <x:v>15</x:v>
      </x:c>
      <x:c r="F2770" s="115" t="str">
        <x:v>Inspection physique</x:v>
      </x:c>
      <x:c r="G2770" s="115" t="str">
        <x:v>1 niveaux ; 40 pièces ; 303 segments de mur ; 0 transitions. Inspection physique ; architecture complète encore ouverte.</x:v>
      </x:c>
      <x:c r="H2770" s="115" t="str">
        <x:v>L 368 ; l 344 ; hauteur 10,6 m ; choix de composition auteur ; dimensions réelles à documenter</x:v>
      </x:c>
      <x:c r="I2770" s="115" t="str">
        <x:v>À équilibrer</x:v>
      </x:c>
      <x:c r="J2770" s="115" t="str">
        <x:v>Non</x:v>
      </x:c>
      <x:c r="K2770" s="115" t="str">
        <x:v>Pièces décrites, murs, portes, niveaux et mobilier inspectables à l’échelle. Volumes réservés, raccord au seed, butin, rencontres et services de campagne restent à terminer.</x:v>
      </x:c>
    </x:row>
    <x:row r="2771" ht="96" customHeight="1">
      <x:c r="A2771" s="115" t="str">
        <x:v>EXT-MONDE-T056-V16</x:v>
      </x:c>
      <x:c r="B2771" s="115" t="str">
        <x:v>EXT-MONDE-T056</x:v>
      </x:c>
      <x:c r="C2771" s="115" t="str">
        <x:v>Usines</x:v>
      </x:c>
      <x:c r="D2771" s="115" t="str">
        <x:v>Usine de matériaux</x:v>
      </x:c>
      <x:c r="E2771" s="115" t="n">
        <x:v>16</x:v>
      </x:c>
      <x:c r="F2771" s="115" t="str">
        <x:v>Inspection physique</x:v>
      </x:c>
      <x:c r="G2771" s="115" t="str">
        <x:v>1 niveaux ; 40 pièces ; 303 segments de mur ; 0 transitions. Inspection physique ; architecture complète encore ouverte.</x:v>
      </x:c>
      <x:c r="H2771" s="115" t="str">
        <x:v>L 368 ; l 344 ; hauteur 10,6 m ; choix de composition auteur ; dimensions réelles à documenter</x:v>
      </x:c>
      <x:c r="I2771" s="115" t="str">
        <x:v>À équilibrer</x:v>
      </x:c>
      <x:c r="J2771" s="115" t="str">
        <x:v>Non</x:v>
      </x:c>
      <x:c r="K2771" s="115" t="str">
        <x:v>Pièces décrites, murs, portes, niveaux et mobilier inspectables à l’échelle. Volumes réservés, raccord au seed, butin, rencontres et services de campagne restent à terminer.</x:v>
      </x:c>
    </x:row>
    <x:row r="2772" ht="96" customHeight="1">
      <x:c r="A2772" s="115" t="str">
        <x:v>EXT-MONDE-T056-V17</x:v>
      </x:c>
      <x:c r="B2772" s="115" t="str">
        <x:v>EXT-MONDE-T056</x:v>
      </x:c>
      <x:c r="C2772" s="115" t="str">
        <x:v>Usines</x:v>
      </x:c>
      <x:c r="D2772" s="115" t="str">
        <x:v>Usine de matériaux</x:v>
      </x:c>
      <x:c r="E2772" s="115" t="n">
        <x:v>17</x:v>
      </x:c>
      <x:c r="F2772" s="115" t="str">
        <x:v>Inspection physique</x:v>
      </x:c>
      <x:c r="G2772" s="115" t="str">
        <x:v>1 niveaux ; 40 pièces ; 303 segments de mur ; 0 transitions. Inspection physique ; architecture complète encore ouverte.</x:v>
      </x:c>
      <x:c r="H2772" s="115" t="str">
        <x:v>L 368 ; l 344 ; hauteur 10,6 m ; choix de composition auteur ; dimensions réelles à documenter</x:v>
      </x:c>
      <x:c r="I2772" s="115" t="str">
        <x:v>À équilibrer</x:v>
      </x:c>
      <x:c r="J2772" s="115" t="str">
        <x:v>Non</x:v>
      </x:c>
      <x:c r="K2772" s="115" t="str">
        <x:v>Pièces décrites, murs, portes, niveaux et mobilier inspectables à l’échelle. Volumes réservés, raccord au seed, butin, rencontres et services de campagne restent à terminer.</x:v>
      </x:c>
    </x:row>
    <x:row r="2773" ht="96" customHeight="1">
      <x:c r="A2773" s="115" t="str">
        <x:v>EXT-MONDE-T056-V18</x:v>
      </x:c>
      <x:c r="B2773" s="115" t="str">
        <x:v>EXT-MONDE-T056</x:v>
      </x:c>
      <x:c r="C2773" s="115" t="str">
        <x:v>Usines</x:v>
      </x:c>
      <x:c r="D2773" s="115" t="str">
        <x:v>Usine de matériaux</x:v>
      </x:c>
      <x:c r="E2773" s="115" t="n">
        <x:v>18</x:v>
      </x:c>
      <x:c r="F2773" s="115" t="str">
        <x:v>Inspection physique</x:v>
      </x:c>
      <x:c r="G2773" s="115" t="str">
        <x:v>1 niveaux ; 40 pièces ; 303 segments de mur ; 0 transitions. Inspection physique ; architecture complète encore ouverte.</x:v>
      </x:c>
      <x:c r="H2773" s="115" t="str">
        <x:v>L 368 ; l 344 ; hauteur 10,6 m ; choix de composition auteur ; dimensions réelles à documenter</x:v>
      </x:c>
      <x:c r="I2773" s="115" t="str">
        <x:v>À équilibrer</x:v>
      </x:c>
      <x:c r="J2773" s="115" t="str">
        <x:v>Non</x:v>
      </x:c>
      <x:c r="K2773" s="115" t="str">
        <x:v>Pièces décrites, murs, portes, niveaux et mobilier inspectables à l’échelle. Volumes réservés, raccord au seed, butin, rencontres et services de campagne restent à terminer.</x:v>
      </x:c>
    </x:row>
    <x:row r="2774" ht="96" customHeight="1">
      <x:c r="A2774" s="115" t="str">
        <x:v>EXT-MONDE-T056-V19</x:v>
      </x:c>
      <x:c r="B2774" s="115" t="str">
        <x:v>EXT-MONDE-T056</x:v>
      </x:c>
      <x:c r="C2774" s="115" t="str">
        <x:v>Usines</x:v>
      </x:c>
      <x:c r="D2774" s="115" t="str">
        <x:v>Usine de matériaux</x:v>
      </x:c>
      <x:c r="E2774" s="115" t="n">
        <x:v>19</x:v>
      </x:c>
      <x:c r="F2774" s="115" t="str">
        <x:v>Inspection physique</x:v>
      </x:c>
      <x:c r="G2774" s="115" t="str">
        <x:v>1 niveaux ; 40 pièces ; 303 segments de mur ; 0 transitions. Inspection physique ; architecture complète encore ouverte.</x:v>
      </x:c>
      <x:c r="H2774" s="115" t="str">
        <x:v>L 368 ; l 344 ; hauteur 10,6 m ; choix de composition auteur ; dimensions réelles à documenter</x:v>
      </x:c>
      <x:c r="I2774" s="115" t="str">
        <x:v>À équilibrer</x:v>
      </x:c>
      <x:c r="J2774" s="115" t="str">
        <x:v>Non</x:v>
      </x:c>
      <x:c r="K2774" s="115" t="str">
        <x:v>Pièces décrites, murs, portes, niveaux et mobilier inspectables à l’échelle. Volumes réservés, raccord au seed, butin, rencontres et services de campagne restent à terminer.</x:v>
      </x:c>
    </x:row>
    <x:row r="2775" ht="96" customHeight="1">
      <x:c r="A2775" s="115" t="str">
        <x:v>EXT-MONDE-T056-V20</x:v>
      </x:c>
      <x:c r="B2775" s="115" t="str">
        <x:v>EXT-MONDE-T056</x:v>
      </x:c>
      <x:c r="C2775" s="115" t="str">
        <x:v>Usines</x:v>
      </x:c>
      <x:c r="D2775" s="115" t="str">
        <x:v>Usine de matériaux</x:v>
      </x:c>
      <x:c r="E2775" s="115" t="n">
        <x:v>20</x:v>
      </x:c>
      <x:c r="F2775" s="115" t="str">
        <x:v>Inspection physique</x:v>
      </x:c>
      <x:c r="G2775" s="115" t="str">
        <x:v>1 niveaux ; 40 pièces ; 303 segments de mur ; 0 transitions. Inspection physique ; architecture complète encore ouverte.</x:v>
      </x:c>
      <x:c r="H2775" s="115" t="str">
        <x:v>L 368 ; l 344 ; hauteur 10,6 m ; choix de composition auteur ; dimensions réelles à documenter</x:v>
      </x:c>
      <x:c r="I2775" s="115" t="str">
        <x:v>À équilibrer</x:v>
      </x:c>
      <x:c r="J2775" s="115" t="str">
        <x:v>Non</x:v>
      </x:c>
      <x:c r="K2775" s="115" t="str">
        <x:v>Pièces décrites, murs, portes, niveaux et mobilier inspectables à l’échelle. Volumes réservés, raccord au seed, butin, rencontres et services de campagne restent à terminer.</x:v>
      </x:c>
    </x:row>
    <x:row r="2776" ht="96" customHeight="1">
      <x:c r="A2776" s="115" t="str">
        <x:v>EXT-MONDE-T056-V21</x:v>
      </x:c>
      <x:c r="B2776" s="115" t="str">
        <x:v>EXT-MONDE-T056</x:v>
      </x:c>
      <x:c r="C2776" s="115" t="str">
        <x:v>Usines</x:v>
      </x:c>
      <x:c r="D2776" s="115" t="str">
        <x:v>Usine de matériaux</x:v>
      </x:c>
      <x:c r="E2776" s="115" t="n">
        <x:v>21</x:v>
      </x:c>
      <x:c r="F2776" s="115" t="str">
        <x:v>Inspection physique</x:v>
      </x:c>
      <x:c r="G2776" s="115" t="str">
        <x:v>1 niveaux ; 40 pièces ; 303 segments de mur ; 0 transitions. Inspection physique ; architecture complète encore ouverte.</x:v>
      </x:c>
      <x:c r="H2776" s="115" t="str">
        <x:v>L 386 ; l 368 ; hauteur 10,6 m ; choix de composition auteur ; dimensions réelles à documenter</x:v>
      </x:c>
      <x:c r="I2776" s="115" t="str">
        <x:v>À équilibrer</x:v>
      </x:c>
      <x:c r="J2776" s="115" t="str">
        <x:v>Non</x:v>
      </x:c>
      <x:c r="K2776" s="115" t="str">
        <x:v>Pièces décrites, murs, portes, niveaux et mobilier inspectables à l’échelle. Volumes réservés, raccord au seed, butin, rencontres et services de campagne restent à terminer.</x:v>
      </x:c>
    </x:row>
    <x:row r="2777" ht="96" customHeight="1">
      <x:c r="A2777" s="115" t="str">
        <x:v>EXT-MONDE-T056-V22</x:v>
      </x:c>
      <x:c r="B2777" s="115" t="str">
        <x:v>EXT-MONDE-T056</x:v>
      </x:c>
      <x:c r="C2777" s="115" t="str">
        <x:v>Usines</x:v>
      </x:c>
      <x:c r="D2777" s="115" t="str">
        <x:v>Usine de matériaux</x:v>
      </x:c>
      <x:c r="E2777" s="115" t="n">
        <x:v>22</x:v>
      </x:c>
      <x:c r="F2777" s="115" t="str">
        <x:v>Inspection physique</x:v>
      </x:c>
      <x:c r="G2777" s="115" t="str">
        <x:v>1 niveaux ; 40 pièces ; 303 segments de mur ; 0 transitions. Inspection physique ; architecture complète encore ouverte.</x:v>
      </x:c>
      <x:c r="H2777" s="115" t="str">
        <x:v>L 386 ; l 368 ; hauteur 10,6 m ; choix de composition auteur ; dimensions réelles à documenter</x:v>
      </x:c>
      <x:c r="I2777" s="115" t="str">
        <x:v>À équilibrer</x:v>
      </x:c>
      <x:c r="J2777" s="115" t="str">
        <x:v>Non</x:v>
      </x:c>
      <x:c r="K2777" s="115" t="str">
        <x:v>Pièces décrites, murs, portes, niveaux et mobilier inspectables à l’échelle. Volumes réservés, raccord au seed, butin, rencontres et services de campagne restent à terminer.</x:v>
      </x:c>
    </x:row>
    <x:row r="2778" ht="96" customHeight="1">
      <x:c r="A2778" s="115" t="str">
        <x:v>EXT-MONDE-T056-V23</x:v>
      </x:c>
      <x:c r="B2778" s="115" t="str">
        <x:v>EXT-MONDE-T056</x:v>
      </x:c>
      <x:c r="C2778" s="115" t="str">
        <x:v>Usines</x:v>
      </x:c>
      <x:c r="D2778" s="115" t="str">
        <x:v>Usine de matériaux</x:v>
      </x:c>
      <x:c r="E2778" s="115" t="n">
        <x:v>23</x:v>
      </x:c>
      <x:c r="F2778" s="115" t="str">
        <x:v>Inspection physique</x:v>
      </x:c>
      <x:c r="G2778" s="115" t="str">
        <x:v>1 niveaux ; 40 pièces ; 303 segments de mur ; 0 transitions. Inspection physique ; architecture complète encore ouverte.</x:v>
      </x:c>
      <x:c r="H2778" s="115" t="str">
        <x:v>L 386 ; l 368 ; hauteur 10,6 m ; choix de composition auteur ; dimensions réelles à documenter</x:v>
      </x:c>
      <x:c r="I2778" s="115" t="str">
        <x:v>À équilibrer</x:v>
      </x:c>
      <x:c r="J2778" s="115" t="str">
        <x:v>Non</x:v>
      </x:c>
      <x:c r="K2778" s="115" t="str">
        <x:v>Pièces décrites, murs, portes, niveaux et mobilier inspectables à l’échelle. Volumes réservés, raccord au seed, butin, rencontres et services de campagne restent à terminer.</x:v>
      </x:c>
    </x:row>
    <x:row r="2779" ht="96" customHeight="1">
      <x:c r="A2779" s="115" t="str">
        <x:v>EXT-MONDE-T056-V24</x:v>
      </x:c>
      <x:c r="B2779" s="115" t="str">
        <x:v>EXT-MONDE-T056</x:v>
      </x:c>
      <x:c r="C2779" s="115" t="str">
        <x:v>Usines</x:v>
      </x:c>
      <x:c r="D2779" s="115" t="str">
        <x:v>Usine de matériaux</x:v>
      </x:c>
      <x:c r="E2779" s="115" t="n">
        <x:v>24</x:v>
      </x:c>
      <x:c r="F2779" s="115" t="str">
        <x:v>Inspection physique</x:v>
      </x:c>
      <x:c r="G2779" s="115" t="str">
        <x:v>1 niveaux ; 40 pièces ; 303 segments de mur ; 0 transitions. Inspection physique ; architecture complète encore ouverte.</x:v>
      </x:c>
      <x:c r="H2779" s="115" t="str">
        <x:v>L 386 ; l 368 ; hauteur 10,6 m ; choix de composition auteur ; dimensions réelles à documenter</x:v>
      </x:c>
      <x:c r="I2779" s="115" t="str">
        <x:v>À équilibrer</x:v>
      </x:c>
      <x:c r="J2779" s="115" t="str">
        <x:v>Non</x:v>
      </x:c>
      <x:c r="K2779" s="115" t="str">
        <x:v>Pièces décrites, murs, portes, niveaux et mobilier inspectables à l’échelle. Volumes réservés, raccord au seed, butin, rencontres et services de campagne restent à terminer.</x:v>
      </x:c>
    </x:row>
    <x:row r="2780" ht="96" customHeight="1">
      <x:c r="A2780" s="115" t="str">
        <x:v>EXT-MONDE-T056-V25</x:v>
      </x:c>
      <x:c r="B2780" s="115" t="str">
        <x:v>EXT-MONDE-T056</x:v>
      </x:c>
      <x:c r="C2780" s="115" t="str">
        <x:v>Usines</x:v>
      </x:c>
      <x:c r="D2780" s="115" t="str">
        <x:v>Usine de matériaux</x:v>
      </x:c>
      <x:c r="E2780" s="115" t="n">
        <x:v>25</x:v>
      </x:c>
      <x:c r="F2780" s="115" t="str">
        <x:v>Inspection physique</x:v>
      </x:c>
      <x:c r="G2780" s="115" t="str">
        <x:v>1 niveaux ; 40 pièces ; 303 segments de mur ; 0 transitions. Inspection physique ; architecture complète encore ouverte.</x:v>
      </x:c>
      <x:c r="H2780" s="115" t="str">
        <x:v>L 386 ; l 368 ; hauteur 10,6 m ; choix de composition auteur ; dimensions réelles à documenter</x:v>
      </x:c>
      <x:c r="I2780" s="115" t="str">
        <x:v>À équilibrer</x:v>
      </x:c>
      <x:c r="J2780" s="115" t="str">
        <x:v>Non</x:v>
      </x:c>
      <x:c r="K2780" s="115" t="str">
        <x:v>Pièces décrites, murs, portes, niveaux et mobilier inspectables à l’échelle. Volumes réservés, raccord au seed, butin, rencontres et services de campagne restent à terminer.</x:v>
      </x:c>
    </x:row>
    <x:row r="2781" ht="96" customHeight="1">
      <x:c r="A2781" s="115" t="str">
        <x:v>EXT-MONDE-T056-V26</x:v>
      </x:c>
      <x:c r="B2781" s="115" t="str">
        <x:v>EXT-MONDE-T056</x:v>
      </x:c>
      <x:c r="C2781" s="115" t="str">
        <x:v>Usines</x:v>
      </x:c>
      <x:c r="D2781" s="115" t="str">
        <x:v>Usine de matériaux</x:v>
      </x:c>
      <x:c r="E2781" s="115" t="n">
        <x:v>26</x:v>
      </x:c>
      <x:c r="F2781" s="115" t="str">
        <x:v>Inspection physique</x:v>
      </x:c>
      <x:c r="G2781" s="115" t="str">
        <x:v>1 niveaux ; 40 pièces ; 303 segments de mur ; 0 transitions. Inspection physique ; architecture complète encore ouverte.</x:v>
      </x:c>
      <x:c r="H2781" s="115" t="str">
        <x:v>L 386 ; l 368 ; hauteur 10,6 m ; choix de composition auteur ; dimensions réelles à documenter</x:v>
      </x:c>
      <x:c r="I2781" s="115" t="str">
        <x:v>À équilibrer</x:v>
      </x:c>
      <x:c r="J2781" s="115" t="str">
        <x:v>Non</x:v>
      </x:c>
      <x:c r="K2781" s="115" t="str">
        <x:v>Pièces décrites, murs, portes, niveaux et mobilier inspectables à l’échelle. Volumes réservés, raccord au seed, butin, rencontres et services de campagne restent à terminer.</x:v>
      </x:c>
    </x:row>
    <x:row r="2782" ht="96" customHeight="1">
      <x:c r="A2782" s="115" t="str">
        <x:v>EXT-MONDE-T056-V27</x:v>
      </x:c>
      <x:c r="B2782" s="115" t="str">
        <x:v>EXT-MONDE-T056</x:v>
      </x:c>
      <x:c r="C2782" s="115" t="str">
        <x:v>Usines</x:v>
      </x:c>
      <x:c r="D2782" s="115" t="str">
        <x:v>Usine de matériaux</x:v>
      </x:c>
      <x:c r="E2782" s="115" t="n">
        <x:v>27</x:v>
      </x:c>
      <x:c r="F2782" s="115" t="str">
        <x:v>Inspection physique</x:v>
      </x:c>
      <x:c r="G2782" s="115" t="str">
        <x:v>1 niveaux ; 40 pièces ; 303 segments de mur ; 0 transitions. Inspection physique ; architecture complète encore ouverte.</x:v>
      </x:c>
      <x:c r="H2782" s="115" t="str">
        <x:v>L 386 ; l 368 ; hauteur 10,6 m ; choix de composition auteur ; dimensions réelles à documenter</x:v>
      </x:c>
      <x:c r="I2782" s="115" t="str">
        <x:v>À équilibrer</x:v>
      </x:c>
      <x:c r="J2782" s="115" t="str">
        <x:v>Non</x:v>
      </x:c>
      <x:c r="K2782" s="115" t="str">
        <x:v>Pièces décrites, murs, portes, niveaux et mobilier inspectables à l’échelle. Volumes réservés, raccord au seed, butin, rencontres et services de campagne restent à terminer.</x:v>
      </x:c>
    </x:row>
    <x:row r="2783" ht="96" customHeight="1">
      <x:c r="A2783" s="115" t="str">
        <x:v>EXT-MONDE-T056-V28</x:v>
      </x:c>
      <x:c r="B2783" s="115" t="str">
        <x:v>EXT-MONDE-T056</x:v>
      </x:c>
      <x:c r="C2783" s="115" t="str">
        <x:v>Usines</x:v>
      </x:c>
      <x:c r="D2783" s="115" t="str">
        <x:v>Usine de matériaux</x:v>
      </x:c>
      <x:c r="E2783" s="115" t="n">
        <x:v>28</x:v>
      </x:c>
      <x:c r="F2783" s="115" t="str">
        <x:v>Inspection physique</x:v>
      </x:c>
      <x:c r="G2783" s="115" t="str">
        <x:v>1 niveaux ; 40 pièces ; 303 segments de mur ; 0 transitions. Inspection physique ; architecture complète encore ouverte.</x:v>
      </x:c>
      <x:c r="H2783" s="115" t="str">
        <x:v>L 386 ; l 368 ; hauteur 10,6 m ; choix de composition auteur ; dimensions réelles à documenter</x:v>
      </x:c>
      <x:c r="I2783" s="115" t="str">
        <x:v>À équilibrer</x:v>
      </x:c>
      <x:c r="J2783" s="115" t="str">
        <x:v>Non</x:v>
      </x:c>
      <x:c r="K2783" s="115" t="str">
        <x:v>Pièces décrites, murs, portes, niveaux et mobilier inspectables à l’échelle. Volumes réservés, raccord au seed, butin, rencontres et services de campagne restent à terminer.</x:v>
      </x:c>
    </x:row>
    <x:row r="2784" ht="96" customHeight="1">
      <x:c r="A2784" s="115" t="str">
        <x:v>EXT-MONDE-T056-V29</x:v>
      </x:c>
      <x:c r="B2784" s="115" t="str">
        <x:v>EXT-MONDE-T056</x:v>
      </x:c>
      <x:c r="C2784" s="115" t="str">
        <x:v>Usines</x:v>
      </x:c>
      <x:c r="D2784" s="115" t="str">
        <x:v>Usine de matériaux</x:v>
      </x:c>
      <x:c r="E2784" s="115" t="n">
        <x:v>29</x:v>
      </x:c>
      <x:c r="F2784" s="115" t="str">
        <x:v>Inspection physique</x:v>
      </x:c>
      <x:c r="G2784" s="115" t="str">
        <x:v>1 niveaux ; 40 pièces ; 303 segments de mur ; 0 transitions. Inspection physique ; architecture complète encore ouverte.</x:v>
      </x:c>
      <x:c r="H2784" s="115" t="str">
        <x:v>L 386 ; l 368 ; hauteur 10,6 m ; choix de composition auteur ; dimensions réelles à documenter</x:v>
      </x:c>
      <x:c r="I2784" s="115" t="str">
        <x:v>À équilibrer</x:v>
      </x:c>
      <x:c r="J2784" s="115" t="str">
        <x:v>Non</x:v>
      </x:c>
      <x:c r="K2784" s="115" t="str">
        <x:v>Pièces décrites, murs, portes, niveaux et mobilier inspectables à l’échelle. Volumes réservés, raccord au seed, butin, rencontres et services de campagne restent à terminer.</x:v>
      </x:c>
    </x:row>
    <x:row r="2785" ht="96" customHeight="1">
      <x:c r="A2785" s="115" t="str">
        <x:v>EXT-MONDE-T056-V30</x:v>
      </x:c>
      <x:c r="B2785" s="115" t="str">
        <x:v>EXT-MONDE-T056</x:v>
      </x:c>
      <x:c r="C2785" s="115" t="str">
        <x:v>Usines</x:v>
      </x:c>
      <x:c r="D2785" s="115" t="str">
        <x:v>Usine de matériaux</x:v>
      </x:c>
      <x:c r="E2785" s="115" t="n">
        <x:v>30</x:v>
      </x:c>
      <x:c r="F2785" s="115" t="str">
        <x:v>Inspection physique</x:v>
      </x:c>
      <x:c r="G2785" s="115" t="str">
        <x:v>1 niveaux ; 40 pièces ; 303 segments de mur ; 0 transitions. Inspection physique ; architecture complète encore ouverte.</x:v>
      </x:c>
      <x:c r="H2785" s="115" t="str">
        <x:v>L 386 ; l 368 ; hauteur 10,6 m ; choix de composition auteur ; dimensions réelles à documenter</x:v>
      </x:c>
      <x:c r="I2785" s="115" t="str">
        <x:v>À équilibrer</x:v>
      </x:c>
      <x:c r="J2785" s="115" t="str">
        <x:v>Non</x:v>
      </x:c>
      <x:c r="K2785" s="115" t="str">
        <x:v>Pièces décrites, murs, portes, niveaux et mobilier inspectables à l’échelle. Volumes réservés, raccord au seed, butin, rencontres et services de campagne restent à terminer.</x:v>
      </x:c>
    </x:row>
    <x:row r="2786" ht="96" customHeight="1">
      <x:c r="A2786" s="115" t="str">
        <x:v>EXT-MONDE-T056-V31</x:v>
      </x:c>
      <x:c r="B2786" s="115" t="str">
        <x:v>EXT-MONDE-T056</x:v>
      </x:c>
      <x:c r="C2786" s="115" t="str">
        <x:v>Usines</x:v>
      </x:c>
      <x:c r="D2786" s="115" t="str">
        <x:v>Usine de matériaux</x:v>
      </x:c>
      <x:c r="E2786" s="115" t="n">
        <x:v>31</x:v>
      </x:c>
      <x:c r="F2786" s="115" t="str">
        <x:v>Inspection physique</x:v>
      </x:c>
      <x:c r="G2786" s="115" t="str">
        <x:v>1 niveaux ; 40 pièces ; 303 segments de mur ; 0 transitions. Inspection physique ; architecture complète encore ouverte.</x:v>
      </x:c>
      <x:c r="H2786" s="115" t="str">
        <x:v>L 404 ; l 392 ; hauteur 10,6 m ; choix de composition auteur ; dimensions réelles à documenter</x:v>
      </x:c>
      <x:c r="I2786" s="115" t="str">
        <x:v>À équilibrer</x:v>
      </x:c>
      <x:c r="J2786" s="115" t="str">
        <x:v>Non</x:v>
      </x:c>
      <x:c r="K2786" s="115" t="str">
        <x:v>Pièces décrites, murs, portes, niveaux et mobilier inspectables à l’échelle. Volumes réservés, raccord au seed, butin, rencontres et services de campagne restent à terminer.</x:v>
      </x:c>
    </x:row>
    <x:row r="2787" ht="96" customHeight="1">
      <x:c r="A2787" s="115" t="str">
        <x:v>EXT-MONDE-T056-V32</x:v>
      </x:c>
      <x:c r="B2787" s="115" t="str">
        <x:v>EXT-MONDE-T056</x:v>
      </x:c>
      <x:c r="C2787" s="115" t="str">
        <x:v>Usines</x:v>
      </x:c>
      <x:c r="D2787" s="115" t="str">
        <x:v>Usine de matériaux</x:v>
      </x:c>
      <x:c r="E2787" s="115" t="n">
        <x:v>32</x:v>
      </x:c>
      <x:c r="F2787" s="115" t="str">
        <x:v>Inspection physique</x:v>
      </x:c>
      <x:c r="G2787" s="115" t="str">
        <x:v>1 niveaux ; 40 pièces ; 303 segments de mur ; 0 transitions. Inspection physique ; architecture complète encore ouverte.</x:v>
      </x:c>
      <x:c r="H2787" s="115" t="str">
        <x:v>L 404 ; l 392 ; hauteur 10,6 m ; choix de composition auteur ; dimensions réelles à documenter</x:v>
      </x:c>
      <x:c r="I2787" s="115" t="str">
        <x:v>À équilibrer</x:v>
      </x:c>
      <x:c r="J2787" s="115" t="str">
        <x:v>Non</x:v>
      </x:c>
      <x:c r="K2787" s="115" t="str">
        <x:v>Pièces décrites, murs, portes, niveaux et mobilier inspectables à l’échelle. Volumes réservés, raccord au seed, butin, rencontres et services de campagne restent à terminer.</x:v>
      </x:c>
    </x:row>
    <x:row r="2788" ht="96" customHeight="1">
      <x:c r="A2788" s="115" t="str">
        <x:v>EXT-MONDE-T056-V33</x:v>
      </x:c>
      <x:c r="B2788" s="115" t="str">
        <x:v>EXT-MONDE-T056</x:v>
      </x:c>
      <x:c r="C2788" s="115" t="str">
        <x:v>Usines</x:v>
      </x:c>
      <x:c r="D2788" s="115" t="str">
        <x:v>Usine de matériaux</x:v>
      </x:c>
      <x:c r="E2788" s="115" t="n">
        <x:v>33</x:v>
      </x:c>
      <x:c r="F2788" s="115" t="str">
        <x:v>Inspection physique</x:v>
      </x:c>
      <x:c r="G2788" s="115" t="str">
        <x:v>1 niveaux ; 40 pièces ; 303 segments de mur ; 0 transitions. Inspection physique ; architecture complète encore ouverte.</x:v>
      </x:c>
      <x:c r="H2788" s="115" t="str">
        <x:v>L 404 ; l 392 ; hauteur 10,6 m ; choix de composition auteur ; dimensions réelles à documenter</x:v>
      </x:c>
      <x:c r="I2788" s="115" t="str">
        <x:v>À équilibrer</x:v>
      </x:c>
      <x:c r="J2788" s="115" t="str">
        <x:v>Non</x:v>
      </x:c>
      <x:c r="K2788" s="115" t="str">
        <x:v>Pièces décrites, murs, portes, niveaux et mobilier inspectables à l’échelle. Volumes réservés, raccord au seed, butin, rencontres et services de campagne restent à terminer.</x:v>
      </x:c>
    </x:row>
    <x:row r="2789" ht="96" customHeight="1">
      <x:c r="A2789" s="115" t="str">
        <x:v>EXT-MONDE-T056-V34</x:v>
      </x:c>
      <x:c r="B2789" s="115" t="str">
        <x:v>EXT-MONDE-T056</x:v>
      </x:c>
      <x:c r="C2789" s="115" t="str">
        <x:v>Usines</x:v>
      </x:c>
      <x:c r="D2789" s="115" t="str">
        <x:v>Usine de matériaux</x:v>
      </x:c>
      <x:c r="E2789" s="115" t="n">
        <x:v>34</x:v>
      </x:c>
      <x:c r="F2789" s="115" t="str">
        <x:v>Inspection physique</x:v>
      </x:c>
      <x:c r="G2789" s="115" t="str">
        <x:v>1 niveaux ; 40 pièces ; 303 segments de mur ; 0 transitions. Inspection physique ; architecture complète encore ouverte.</x:v>
      </x:c>
      <x:c r="H2789" s="115" t="str">
        <x:v>L 404 ; l 392 ; hauteur 10,6 m ; choix de composition auteur ; dimensions réelles à documenter</x:v>
      </x:c>
      <x:c r="I2789" s="115" t="str">
        <x:v>À équilibrer</x:v>
      </x:c>
      <x:c r="J2789" s="115" t="str">
        <x:v>Non</x:v>
      </x:c>
      <x:c r="K2789" s="115" t="str">
        <x:v>Pièces décrites, murs, portes, niveaux et mobilier inspectables à l’échelle. Volumes réservés, raccord au seed, butin, rencontres et services de campagne restent à terminer.</x:v>
      </x:c>
    </x:row>
    <x:row r="2790" ht="96" customHeight="1">
      <x:c r="A2790" s="115" t="str">
        <x:v>EXT-MONDE-T056-V35</x:v>
      </x:c>
      <x:c r="B2790" s="115" t="str">
        <x:v>EXT-MONDE-T056</x:v>
      </x:c>
      <x:c r="C2790" s="115" t="str">
        <x:v>Usines</x:v>
      </x:c>
      <x:c r="D2790" s="115" t="str">
        <x:v>Usine de matériaux</x:v>
      </x:c>
      <x:c r="E2790" s="115" t="n">
        <x:v>35</x:v>
      </x:c>
      <x:c r="F2790" s="115" t="str">
        <x:v>Inspection physique</x:v>
      </x:c>
      <x:c r="G2790" s="115" t="str">
        <x:v>1 niveaux ; 40 pièces ; 303 segments de mur ; 0 transitions. Inspection physique ; architecture complète encore ouverte.</x:v>
      </x:c>
      <x:c r="H2790" s="115" t="str">
        <x:v>L 404 ; l 392 ; hauteur 10,6 m ; choix de composition auteur ; dimensions réelles à documenter</x:v>
      </x:c>
      <x:c r="I2790" s="115" t="str">
        <x:v>À équilibrer</x:v>
      </x:c>
      <x:c r="J2790" s="115" t="str">
        <x:v>Non</x:v>
      </x:c>
      <x:c r="K2790" s="115" t="str">
        <x:v>Pièces décrites, murs, portes, niveaux et mobilier inspectables à l’échelle. Volumes réservés, raccord au seed, butin, rencontres et services de campagne restent à terminer.</x:v>
      </x:c>
    </x:row>
    <x:row r="2791" ht="96" customHeight="1">
      <x:c r="A2791" s="115" t="str">
        <x:v>EXT-MONDE-T056-V36</x:v>
      </x:c>
      <x:c r="B2791" s="115" t="str">
        <x:v>EXT-MONDE-T056</x:v>
      </x:c>
      <x:c r="C2791" s="115" t="str">
        <x:v>Usines</x:v>
      </x:c>
      <x:c r="D2791" s="115" t="str">
        <x:v>Usine de matériaux</x:v>
      </x:c>
      <x:c r="E2791" s="115" t="n">
        <x:v>36</x:v>
      </x:c>
      <x:c r="F2791" s="115" t="str">
        <x:v>Inspection physique</x:v>
      </x:c>
      <x:c r="G2791" s="115" t="str">
        <x:v>1 niveaux ; 40 pièces ; 303 segments de mur ; 0 transitions. Inspection physique ; architecture complète encore ouverte.</x:v>
      </x:c>
      <x:c r="H2791" s="115" t="str">
        <x:v>L 404 ; l 392 ; hauteur 10,6 m ; choix de composition auteur ; dimensions réelles à documenter</x:v>
      </x:c>
      <x:c r="I2791" s="115" t="str">
        <x:v>À équilibrer</x:v>
      </x:c>
      <x:c r="J2791" s="115" t="str">
        <x:v>Non</x:v>
      </x:c>
      <x:c r="K2791" s="115" t="str">
        <x:v>Pièces décrites, murs, portes, niveaux et mobilier inspectables à l’échelle. Volumes réservés, raccord au seed, butin, rencontres et services de campagne restent à terminer.</x:v>
      </x:c>
    </x:row>
    <x:row r="2792" ht="96" customHeight="1">
      <x:c r="A2792" s="115" t="str">
        <x:v>EXT-MONDE-T056-V37</x:v>
      </x:c>
      <x:c r="B2792" s="115" t="str">
        <x:v>EXT-MONDE-T056</x:v>
      </x:c>
      <x:c r="C2792" s="115" t="str">
        <x:v>Usines</x:v>
      </x:c>
      <x:c r="D2792" s="115" t="str">
        <x:v>Usine de matériaux</x:v>
      </x:c>
      <x:c r="E2792" s="115" t="n">
        <x:v>37</x:v>
      </x:c>
      <x:c r="F2792" s="115" t="str">
        <x:v>Inspection physique</x:v>
      </x:c>
      <x:c r="G2792" s="115" t="str">
        <x:v>1 niveaux ; 40 pièces ; 303 segments de mur ; 0 transitions. Inspection physique ; architecture complète encore ouverte.</x:v>
      </x:c>
      <x:c r="H2792" s="115" t="str">
        <x:v>L 404 ; l 392 ; hauteur 10,6 m ; choix de composition auteur ; dimensions réelles à documenter</x:v>
      </x:c>
      <x:c r="I2792" s="115" t="str">
        <x:v>À équilibrer</x:v>
      </x:c>
      <x:c r="J2792" s="115" t="str">
        <x:v>Non</x:v>
      </x:c>
      <x:c r="K2792" s="115" t="str">
        <x:v>Pièces décrites, murs, portes, niveaux et mobilier inspectables à l’échelle. Volumes réservés, raccord au seed, butin, rencontres et services de campagne restent à terminer.</x:v>
      </x:c>
    </x:row>
    <x:row r="2793" ht="96" customHeight="1">
      <x:c r="A2793" s="115" t="str">
        <x:v>EXT-MONDE-T056-V38</x:v>
      </x:c>
      <x:c r="B2793" s="115" t="str">
        <x:v>EXT-MONDE-T056</x:v>
      </x:c>
      <x:c r="C2793" s="115" t="str">
        <x:v>Usines</x:v>
      </x:c>
      <x:c r="D2793" s="115" t="str">
        <x:v>Usine de matériaux</x:v>
      </x:c>
      <x:c r="E2793" s="115" t="n">
        <x:v>38</x:v>
      </x:c>
      <x:c r="F2793" s="115" t="str">
        <x:v>Inspection physique</x:v>
      </x:c>
      <x:c r="G2793" s="115" t="str">
        <x:v>1 niveaux ; 40 pièces ; 303 segments de mur ; 0 transitions. Inspection physique ; architecture complète encore ouverte.</x:v>
      </x:c>
      <x:c r="H2793" s="115" t="str">
        <x:v>L 404 ; l 392 ; hauteur 10,6 m ; choix de composition auteur ; dimensions réelles à documenter</x:v>
      </x:c>
      <x:c r="I2793" s="115" t="str">
        <x:v>À équilibrer</x:v>
      </x:c>
      <x:c r="J2793" s="115" t="str">
        <x:v>Non</x:v>
      </x:c>
      <x:c r="K2793" s="115" t="str">
        <x:v>Pièces décrites, murs, portes, niveaux et mobilier inspectables à l’échelle. Volumes réservés, raccord au seed, butin, rencontres et services de campagne restent à terminer.</x:v>
      </x:c>
    </x:row>
    <x:row r="2794" ht="96" customHeight="1">
      <x:c r="A2794" s="115" t="str">
        <x:v>EXT-MONDE-T056-V39</x:v>
      </x:c>
      <x:c r="B2794" s="115" t="str">
        <x:v>EXT-MONDE-T056</x:v>
      </x:c>
      <x:c r="C2794" s="115" t="str">
        <x:v>Usines</x:v>
      </x:c>
      <x:c r="D2794" s="115" t="str">
        <x:v>Usine de matériaux</x:v>
      </x:c>
      <x:c r="E2794" s="115" t="n">
        <x:v>39</x:v>
      </x:c>
      <x:c r="F2794" s="115" t="str">
        <x:v>Inspection physique</x:v>
      </x:c>
      <x:c r="G2794" s="115" t="str">
        <x:v>1 niveaux ; 40 pièces ; 303 segments de mur ; 0 transitions. Inspection physique ; architecture complète encore ouverte.</x:v>
      </x:c>
      <x:c r="H2794" s="115" t="str">
        <x:v>L 404 ; l 392 ; hauteur 10,6 m ; choix de composition auteur ; dimensions réelles à documenter</x:v>
      </x:c>
      <x:c r="I2794" s="115" t="str">
        <x:v>À équilibrer</x:v>
      </x:c>
      <x:c r="J2794" s="115" t="str">
        <x:v>Non</x:v>
      </x:c>
      <x:c r="K2794" s="115" t="str">
        <x:v>Pièces décrites, murs, portes, niveaux et mobilier inspectables à l’échelle. Volumes réservés, raccord au seed, butin, rencontres et services de campagne restent à terminer.</x:v>
      </x:c>
    </x:row>
    <x:row r="2795" ht="96" customHeight="1">
      <x:c r="A2795" s="115" t="str">
        <x:v>EXT-MONDE-T056-V40</x:v>
      </x:c>
      <x:c r="B2795" s="115" t="str">
        <x:v>EXT-MONDE-T056</x:v>
      </x:c>
      <x:c r="C2795" s="115" t="str">
        <x:v>Usines</x:v>
      </x:c>
      <x:c r="D2795" s="115" t="str">
        <x:v>Usine de matériaux</x:v>
      </x:c>
      <x:c r="E2795" s="115" t="n">
        <x:v>40</x:v>
      </x:c>
      <x:c r="F2795" s="115" t="str">
        <x:v>Inspection physique</x:v>
      </x:c>
      <x:c r="G2795" s="115" t="str">
        <x:v>1 niveaux ; 40 pièces ; 303 segments de mur ; 0 transitions. Inspection physique ; architecture complète encore ouverte.</x:v>
      </x:c>
      <x:c r="H2795" s="115" t="str">
        <x:v>L 404 ; l 392 ; hauteur 10,6 m ; choix de composition auteur ; dimensions réelles à documenter</x:v>
      </x:c>
      <x:c r="I2795" s="115" t="str">
        <x:v>À équilibrer</x:v>
      </x:c>
      <x:c r="J2795" s="115" t="str">
        <x:v>Non</x:v>
      </x:c>
      <x:c r="K2795" s="115" t="str">
        <x:v>Pièces décrites, murs, portes, niveaux et mobilier inspectables à l’échelle. Volumes réservés, raccord au seed, butin, rencontres et services de campagne restent à terminer.</x:v>
      </x:c>
    </x:row>
    <x:row r="2796" ht="96" customHeight="1">
      <x:c r="A2796" s="115" t="str">
        <x:v>EXT-MONDE-T056-V41</x:v>
      </x:c>
      <x:c r="B2796" s="115" t="str">
        <x:v>EXT-MONDE-T056</x:v>
      </x:c>
      <x:c r="C2796" s="115" t="str">
        <x:v>Usines</x:v>
      </x:c>
      <x:c r="D2796" s="115" t="str">
        <x:v>Usine de matériaux</x:v>
      </x:c>
      <x:c r="E2796" s="115" t="n">
        <x:v>41</x:v>
      </x:c>
      <x:c r="F2796" s="115" t="str">
        <x:v>Inspection physique</x:v>
      </x:c>
      <x:c r="G2796" s="115" t="str">
        <x:v>1 niveaux ; 40 pièces ; 303 segments de mur ; 0 transitions. Inspection physique ; architecture complète encore ouverte.</x:v>
      </x:c>
      <x:c r="H2796" s="115" t="str">
        <x:v>L 422 ; l 416 ; hauteur 10,6 m ; choix de composition auteur ; dimensions réelles à documenter</x:v>
      </x:c>
      <x:c r="I2796" s="115" t="str">
        <x:v>À équilibrer</x:v>
      </x:c>
      <x:c r="J2796" s="115" t="str">
        <x:v>Non</x:v>
      </x:c>
      <x:c r="K2796" s="115" t="str">
        <x:v>Pièces décrites, murs, portes, niveaux et mobilier inspectables à l’échelle. Volumes réservés, raccord au seed, butin, rencontres et services de campagne restent à terminer.</x:v>
      </x:c>
    </x:row>
    <x:row r="2797" ht="96" customHeight="1">
      <x:c r="A2797" s="115" t="str">
        <x:v>EXT-MONDE-T056-V42</x:v>
      </x:c>
      <x:c r="B2797" s="115" t="str">
        <x:v>EXT-MONDE-T056</x:v>
      </x:c>
      <x:c r="C2797" s="115" t="str">
        <x:v>Usines</x:v>
      </x:c>
      <x:c r="D2797" s="115" t="str">
        <x:v>Usine de matériaux</x:v>
      </x:c>
      <x:c r="E2797" s="115" t="n">
        <x:v>42</x:v>
      </x:c>
      <x:c r="F2797" s="115" t="str">
        <x:v>Inspection physique</x:v>
      </x:c>
      <x:c r="G2797" s="115" t="str">
        <x:v>1 niveaux ; 40 pièces ; 303 segments de mur ; 0 transitions. Inspection physique ; architecture complète encore ouverte.</x:v>
      </x:c>
      <x:c r="H2797" s="115" t="str">
        <x:v>L 422 ; l 416 ; hauteur 10,6 m ; choix de composition auteur ; dimensions réelles à documenter</x:v>
      </x:c>
      <x:c r="I2797" s="115" t="str">
        <x:v>À équilibrer</x:v>
      </x:c>
      <x:c r="J2797" s="115" t="str">
        <x:v>Non</x:v>
      </x:c>
      <x:c r="K2797" s="115" t="str">
        <x:v>Pièces décrites, murs, portes, niveaux et mobilier inspectables à l’échelle. Volumes réservés, raccord au seed, butin, rencontres et services de campagne restent à terminer.</x:v>
      </x:c>
    </x:row>
    <x:row r="2798" ht="96" customHeight="1">
      <x:c r="A2798" s="115" t="str">
        <x:v>EXT-MONDE-T056-V43</x:v>
      </x:c>
      <x:c r="B2798" s="115" t="str">
        <x:v>EXT-MONDE-T056</x:v>
      </x:c>
      <x:c r="C2798" s="115" t="str">
        <x:v>Usines</x:v>
      </x:c>
      <x:c r="D2798" s="115" t="str">
        <x:v>Usine de matériaux</x:v>
      </x:c>
      <x:c r="E2798" s="115" t="n">
        <x:v>43</x:v>
      </x:c>
      <x:c r="F2798" s="115" t="str">
        <x:v>Inspection physique</x:v>
      </x:c>
      <x:c r="G2798" s="115" t="str">
        <x:v>1 niveaux ; 40 pièces ; 303 segments de mur ; 0 transitions. Inspection physique ; architecture complète encore ouverte.</x:v>
      </x:c>
      <x:c r="H2798" s="115" t="str">
        <x:v>L 422 ; l 416 ; hauteur 10,6 m ; choix de composition auteur ; dimensions réelles à documenter</x:v>
      </x:c>
      <x:c r="I2798" s="115" t="str">
        <x:v>À équilibrer</x:v>
      </x:c>
      <x:c r="J2798" s="115" t="str">
        <x:v>Non</x:v>
      </x:c>
      <x:c r="K2798" s="115" t="str">
        <x:v>Pièces décrites, murs, portes, niveaux et mobilier inspectables à l’échelle. Volumes réservés, raccord au seed, butin, rencontres et services de campagne restent à terminer.</x:v>
      </x:c>
    </x:row>
    <x:row r="2799" ht="96" customHeight="1">
      <x:c r="A2799" s="115" t="str">
        <x:v>EXT-MONDE-T056-V44</x:v>
      </x:c>
      <x:c r="B2799" s="115" t="str">
        <x:v>EXT-MONDE-T056</x:v>
      </x:c>
      <x:c r="C2799" s="115" t="str">
        <x:v>Usines</x:v>
      </x:c>
      <x:c r="D2799" s="115" t="str">
        <x:v>Usine de matériaux</x:v>
      </x:c>
      <x:c r="E2799" s="115" t="n">
        <x:v>44</x:v>
      </x:c>
      <x:c r="F2799" s="115" t="str">
        <x:v>Inspection physique</x:v>
      </x:c>
      <x:c r="G2799" s="115" t="str">
        <x:v>1 niveaux ; 40 pièces ; 303 segments de mur ; 0 transitions. Inspection physique ; architecture complète encore ouverte.</x:v>
      </x:c>
      <x:c r="H2799" s="115" t="str">
        <x:v>L 422 ; l 416 ; hauteur 10,6 m ; choix de composition auteur ; dimensions réelles à documenter</x:v>
      </x:c>
      <x:c r="I2799" s="115" t="str">
        <x:v>À équilibrer</x:v>
      </x:c>
      <x:c r="J2799" s="115" t="str">
        <x:v>Non</x:v>
      </x:c>
      <x:c r="K2799" s="115" t="str">
        <x:v>Pièces décrites, murs, portes, niveaux et mobilier inspectables à l’échelle. Volumes réservés, raccord au seed, butin, rencontres et services de campagne restent à terminer.</x:v>
      </x:c>
    </x:row>
    <x:row r="2800" ht="96" customHeight="1">
      <x:c r="A2800" s="115" t="str">
        <x:v>EXT-MONDE-T056-V45</x:v>
      </x:c>
      <x:c r="B2800" s="115" t="str">
        <x:v>EXT-MONDE-T056</x:v>
      </x:c>
      <x:c r="C2800" s="115" t="str">
        <x:v>Usines</x:v>
      </x:c>
      <x:c r="D2800" s="115" t="str">
        <x:v>Usine de matériaux</x:v>
      </x:c>
      <x:c r="E2800" s="115" t="n">
        <x:v>45</x:v>
      </x:c>
      <x:c r="F2800" s="115" t="str">
        <x:v>Inspection physique</x:v>
      </x:c>
      <x:c r="G2800" s="115" t="str">
        <x:v>1 niveaux ; 40 pièces ; 303 segments de mur ; 0 transitions. Inspection physique ; architecture complète encore ouverte.</x:v>
      </x:c>
      <x:c r="H2800" s="115" t="str">
        <x:v>L 422 ; l 416 ; hauteur 10,6 m ; choix de composition auteur ; dimensions réelles à documenter</x:v>
      </x:c>
      <x:c r="I2800" s="115" t="str">
        <x:v>À équilibrer</x:v>
      </x:c>
      <x:c r="J2800" s="115" t="str">
        <x:v>Non</x:v>
      </x:c>
      <x:c r="K2800" s="115" t="str">
        <x:v>Pièces décrites, murs, portes, niveaux et mobilier inspectables à l’échelle. Volumes réservés, raccord au seed, butin, rencontres et services de campagne restent à terminer.</x:v>
      </x:c>
    </x:row>
    <x:row r="2801" ht="96" customHeight="1">
      <x:c r="A2801" s="115" t="str">
        <x:v>EXT-MONDE-T056-V46</x:v>
      </x:c>
      <x:c r="B2801" s="115" t="str">
        <x:v>EXT-MONDE-T056</x:v>
      </x:c>
      <x:c r="C2801" s="115" t="str">
        <x:v>Usines</x:v>
      </x:c>
      <x:c r="D2801" s="115" t="str">
        <x:v>Usine de matériaux</x:v>
      </x:c>
      <x:c r="E2801" s="115" t="n">
        <x:v>46</x:v>
      </x:c>
      <x:c r="F2801" s="115" t="str">
        <x:v>Inspection physique</x:v>
      </x:c>
      <x:c r="G2801" s="115" t="str">
        <x:v>1 niveaux ; 40 pièces ; 303 segments de mur ; 0 transitions. Inspection physique ; architecture complète encore ouverte.</x:v>
      </x:c>
      <x:c r="H2801" s="115" t="str">
        <x:v>L 422 ; l 416 ; hauteur 10,6 m ; choix de composition auteur ; dimensions réelles à documenter</x:v>
      </x:c>
      <x:c r="I2801" s="115" t="str">
        <x:v>À équilibrer</x:v>
      </x:c>
      <x:c r="J2801" s="115" t="str">
        <x:v>Non</x:v>
      </x:c>
      <x:c r="K2801" s="115" t="str">
        <x:v>Pièces décrites, murs, portes, niveaux et mobilier inspectables à l’échelle. Volumes réservés, raccord au seed, butin, rencontres et services de campagne restent à terminer.</x:v>
      </x:c>
    </x:row>
    <x:row r="2802" ht="96" customHeight="1">
      <x:c r="A2802" s="115" t="str">
        <x:v>EXT-MONDE-T056-V47</x:v>
      </x:c>
      <x:c r="B2802" s="115" t="str">
        <x:v>EXT-MONDE-T056</x:v>
      </x:c>
      <x:c r="C2802" s="115" t="str">
        <x:v>Usines</x:v>
      </x:c>
      <x:c r="D2802" s="115" t="str">
        <x:v>Usine de matériaux</x:v>
      </x:c>
      <x:c r="E2802" s="115" t="n">
        <x:v>47</x:v>
      </x:c>
      <x:c r="F2802" s="115" t="str">
        <x:v>Inspection physique</x:v>
      </x:c>
      <x:c r="G2802" s="115" t="str">
        <x:v>1 niveaux ; 40 pièces ; 303 segments de mur ; 0 transitions. Inspection physique ; architecture complète encore ouverte.</x:v>
      </x:c>
      <x:c r="H2802" s="115" t="str">
        <x:v>L 422 ; l 416 ; hauteur 10,6 m ; choix de composition auteur ; dimensions réelles à documenter</x:v>
      </x:c>
      <x:c r="I2802" s="115" t="str">
        <x:v>À équilibrer</x:v>
      </x:c>
      <x:c r="J2802" s="115" t="str">
        <x:v>Non</x:v>
      </x:c>
      <x:c r="K2802" s="115" t="str">
        <x:v>Pièces décrites, murs, portes, niveaux et mobilier inspectables à l’échelle. Volumes réservés, raccord au seed, butin, rencontres et services de campagne restent à terminer.</x:v>
      </x:c>
    </x:row>
    <x:row r="2803" ht="96" customHeight="1">
      <x:c r="A2803" s="115" t="str">
        <x:v>EXT-MONDE-T056-V48</x:v>
      </x:c>
      <x:c r="B2803" s="115" t="str">
        <x:v>EXT-MONDE-T056</x:v>
      </x:c>
      <x:c r="C2803" s="115" t="str">
        <x:v>Usines</x:v>
      </x:c>
      <x:c r="D2803" s="115" t="str">
        <x:v>Usine de matériaux</x:v>
      </x:c>
      <x:c r="E2803" s="115" t="n">
        <x:v>48</x:v>
      </x:c>
      <x:c r="F2803" s="115" t="str">
        <x:v>Inspection physique</x:v>
      </x:c>
      <x:c r="G2803" s="115" t="str">
        <x:v>1 niveaux ; 40 pièces ; 303 segments de mur ; 0 transitions. Inspection physique ; architecture complète encore ouverte.</x:v>
      </x:c>
      <x:c r="H2803" s="115" t="str">
        <x:v>L 422 ; l 416 ; hauteur 10,6 m ; choix de composition auteur ; dimensions réelles à documenter</x:v>
      </x:c>
      <x:c r="I2803" s="115" t="str">
        <x:v>À équilibrer</x:v>
      </x:c>
      <x:c r="J2803" s="115" t="str">
        <x:v>Non</x:v>
      </x:c>
      <x:c r="K2803" s="115" t="str">
        <x:v>Pièces décrites, murs, portes, niveaux et mobilier inspectables à l’échelle. Volumes réservés, raccord au seed, butin, rencontres et services de campagne restent à terminer.</x:v>
      </x:c>
    </x:row>
    <x:row r="2804" ht="96" customHeight="1">
      <x:c r="A2804" s="115" t="str">
        <x:v>EXT-MONDE-T056-V49</x:v>
      </x:c>
      <x:c r="B2804" s="115" t="str">
        <x:v>EXT-MONDE-T056</x:v>
      </x:c>
      <x:c r="C2804" s="115" t="str">
        <x:v>Usines</x:v>
      </x:c>
      <x:c r="D2804" s="115" t="str">
        <x:v>Usine de matériaux</x:v>
      </x:c>
      <x:c r="E2804" s="115" t="n">
        <x:v>49</x:v>
      </x:c>
      <x:c r="F2804" s="115" t="str">
        <x:v>Inspection physique</x:v>
      </x:c>
      <x:c r="G2804" s="115" t="str">
        <x:v>1 niveaux ; 40 pièces ; 303 segments de mur ; 0 transitions. Inspection physique ; architecture complète encore ouverte.</x:v>
      </x:c>
      <x:c r="H2804" s="115" t="str">
        <x:v>L 422 ; l 416 ; hauteur 10,6 m ; choix de composition auteur ; dimensions réelles à documenter</x:v>
      </x:c>
      <x:c r="I2804" s="115" t="str">
        <x:v>À équilibrer</x:v>
      </x:c>
      <x:c r="J2804" s="115" t="str">
        <x:v>Non</x:v>
      </x:c>
      <x:c r="K2804" s="115" t="str">
        <x:v>Pièces décrites, murs, portes, niveaux et mobilier inspectables à l’échelle. Volumes réservés, raccord au seed, butin, rencontres et services de campagne restent à terminer.</x:v>
      </x:c>
    </x:row>
    <x:row r="2805" ht="96" customHeight="1">
      <x:c r="A2805" s="115" t="str">
        <x:v>EXT-MONDE-T056-V50</x:v>
      </x:c>
      <x:c r="B2805" s="115" t="str">
        <x:v>EXT-MONDE-T056</x:v>
      </x:c>
      <x:c r="C2805" s="115" t="str">
        <x:v>Usines</x:v>
      </x:c>
      <x:c r="D2805" s="115" t="str">
        <x:v>Usine de matériaux</x:v>
      </x:c>
      <x:c r="E2805" s="115" t="n">
        <x:v>50</x:v>
      </x:c>
      <x:c r="F2805" s="115" t="str">
        <x:v>Inspection physique</x:v>
      </x:c>
      <x:c r="G2805" s="115" t="str">
        <x:v>1 niveaux ; 40 pièces ; 303 segments de mur ; 0 transitions. Inspection physique ; architecture complète encore ouverte.</x:v>
      </x:c>
      <x:c r="H2805" s="115" t="str">
        <x:v>L 422 ; l 416 ; hauteur 10,6 m ; choix de composition auteur ; dimensions réelles à documenter</x:v>
      </x:c>
      <x:c r="I2805" s="115" t="str">
        <x:v>À équilibrer</x:v>
      </x:c>
      <x:c r="J2805" s="115" t="str">
        <x:v>Non</x:v>
      </x:c>
      <x:c r="K2805" s="115" t="str">
        <x:v>Pièces décrites, murs, portes, niveaux et mobilier inspectables à l’échelle. Volumes réservés, raccord au seed, butin, rencontres et services de campagne restent à terminer.</x:v>
      </x:c>
    </x:row>
    <x:row r="2806" ht="96" customHeight="1">
      <x:c r="A2806" s="115" t="str">
        <x:v>EXT-MONDE-T057-V01</x:v>
      </x:c>
      <x:c r="B2806" s="115" t="str">
        <x:v>EXT-MONDE-T057</x:v>
      </x:c>
      <x:c r="C2806" s="115" t="str">
        <x:v>Énergie</x:v>
      </x:c>
      <x:c r="D2806" s="115" t="str">
        <x:v>Centrale thermique</x:v>
      </x:c>
      <x:c r="E2806" s="115" t="n">
        <x:v>1</x:v>
      </x:c>
      <x:c r="F2806" s="115" t="str">
        <x:v>Inspection physique</x:v>
      </x:c>
      <x:c r="G2806" s="115" t="str">
        <x:v>1 niveaux ; 22 pièces ; 167 segments de mur ; 0 transitions. Inspection physique ; architecture complète encore ouverte.</x:v>
      </x:c>
      <x:c r="H2806" s="115" t="str">
        <x:v>L 430 ; l 440 ; hauteur 24 m ; choix de composition auteur ; dimensions réelles à documenter</x:v>
      </x:c>
      <x:c r="I2806" s="115" t="str">
        <x:v>À équilibrer</x:v>
      </x:c>
      <x:c r="J2806" s="115" t="str">
        <x:v>Non</x:v>
      </x:c>
      <x:c r="K2806" s="115" t="str">
        <x:v>Pièces décrites, murs, portes, niveaux et mobilier inspectables à l’échelle. Volumes réservés, raccord au seed, butin, rencontres et services de campagne restent à terminer.</x:v>
      </x:c>
    </x:row>
    <x:row r="2807" ht="96" customHeight="1">
      <x:c r="A2807" s="115" t="str">
        <x:v>EXT-MONDE-T057-V02</x:v>
      </x:c>
      <x:c r="B2807" s="115" t="str">
        <x:v>EXT-MONDE-T057</x:v>
      </x:c>
      <x:c r="C2807" s="115" t="str">
        <x:v>Énergie</x:v>
      </x:c>
      <x:c r="D2807" s="115" t="str">
        <x:v>Centrale thermique</x:v>
      </x:c>
      <x:c r="E2807" s="115" t="n">
        <x:v>2</x:v>
      </x:c>
      <x:c r="F2807" s="115" t="str">
        <x:v>Inspection physique</x:v>
      </x:c>
      <x:c r="G2807" s="115" t="str">
        <x:v>1 niveaux ; 22 pièces ; 167 segments de mur ; 0 transitions. Inspection physique ; architecture complète encore ouverte.</x:v>
      </x:c>
      <x:c r="H2807" s="115" t="str">
        <x:v>L 430 ; l 440 ; hauteur 24 m ; choix de composition auteur ; dimensions réelles à documenter</x:v>
      </x:c>
      <x:c r="I2807" s="115" t="str">
        <x:v>À équilibrer</x:v>
      </x:c>
      <x:c r="J2807" s="115" t="str">
        <x:v>Non</x:v>
      </x:c>
      <x:c r="K2807" s="115" t="str">
        <x:v>Pièces décrites, murs, portes, niveaux et mobilier inspectables à l’échelle. Volumes réservés, raccord au seed, butin, rencontres et services de campagne restent à terminer.</x:v>
      </x:c>
    </x:row>
    <x:row r="2808" ht="96" customHeight="1">
      <x:c r="A2808" s="115" t="str">
        <x:v>EXT-MONDE-T057-V03</x:v>
      </x:c>
      <x:c r="B2808" s="115" t="str">
        <x:v>EXT-MONDE-T057</x:v>
      </x:c>
      <x:c r="C2808" s="115" t="str">
        <x:v>Énergie</x:v>
      </x:c>
      <x:c r="D2808" s="115" t="str">
        <x:v>Centrale thermique</x:v>
      </x:c>
      <x:c r="E2808" s="115" t="n">
        <x:v>3</x:v>
      </x:c>
      <x:c r="F2808" s="115" t="str">
        <x:v>Inspection physique</x:v>
      </x:c>
      <x:c r="G2808" s="115" t="str">
        <x:v>1 niveaux ; 22 pièces ; 167 segments de mur ; 0 transitions. Inspection physique ; architecture complète encore ouverte.</x:v>
      </x:c>
      <x:c r="H2808" s="115" t="str">
        <x:v>L 430 ; l 440 ; hauteur 24 m ; choix de composition auteur ; dimensions réelles à documenter</x:v>
      </x:c>
      <x:c r="I2808" s="115" t="str">
        <x:v>À équilibrer</x:v>
      </x:c>
      <x:c r="J2808" s="115" t="str">
        <x:v>Non</x:v>
      </x:c>
      <x:c r="K2808" s="115" t="str">
        <x:v>Pièces décrites, murs, portes, niveaux et mobilier inspectables à l’échelle. Volumes réservés, raccord au seed, butin, rencontres et services de campagne restent à terminer.</x:v>
      </x:c>
    </x:row>
    <x:row r="2809" ht="96" customHeight="1">
      <x:c r="A2809" s="115" t="str">
        <x:v>EXT-MONDE-T057-V04</x:v>
      </x:c>
      <x:c r="B2809" s="115" t="str">
        <x:v>EXT-MONDE-T057</x:v>
      </x:c>
      <x:c r="C2809" s="115" t="str">
        <x:v>Énergie</x:v>
      </x:c>
      <x:c r="D2809" s="115" t="str">
        <x:v>Centrale thermique</x:v>
      </x:c>
      <x:c r="E2809" s="115" t="n">
        <x:v>4</x:v>
      </x:c>
      <x:c r="F2809" s="115" t="str">
        <x:v>Inspection physique</x:v>
      </x:c>
      <x:c r="G2809" s="115" t="str">
        <x:v>1 niveaux ; 22 pièces ; 167 segments de mur ; 0 transitions. Inspection physique ; architecture complète encore ouverte.</x:v>
      </x:c>
      <x:c r="H2809" s="115" t="str">
        <x:v>L 430 ; l 440 ; hauteur 24 m ; choix de composition auteur ; dimensions réelles à documenter</x:v>
      </x:c>
      <x:c r="I2809" s="115" t="str">
        <x:v>À équilibrer</x:v>
      </x:c>
      <x:c r="J2809" s="115" t="str">
        <x:v>Non</x:v>
      </x:c>
      <x:c r="K2809" s="115" t="str">
        <x:v>Pièces décrites, murs, portes, niveaux et mobilier inspectables à l’échelle. Volumes réservés, raccord au seed, butin, rencontres et services de campagne restent à terminer.</x:v>
      </x:c>
    </x:row>
    <x:row r="2810" ht="96" customHeight="1">
      <x:c r="A2810" s="115" t="str">
        <x:v>EXT-MONDE-T057-V05</x:v>
      </x:c>
      <x:c r="B2810" s="115" t="str">
        <x:v>EXT-MONDE-T057</x:v>
      </x:c>
      <x:c r="C2810" s="115" t="str">
        <x:v>Énergie</x:v>
      </x:c>
      <x:c r="D2810" s="115" t="str">
        <x:v>Centrale thermique</x:v>
      </x:c>
      <x:c r="E2810" s="115" t="n">
        <x:v>5</x:v>
      </x:c>
      <x:c r="F2810" s="115" t="str">
        <x:v>Inspection physique</x:v>
      </x:c>
      <x:c r="G2810" s="115" t="str">
        <x:v>1 niveaux ; 22 pièces ; 167 segments de mur ; 0 transitions. Inspection physique ; architecture complète encore ouverte.</x:v>
      </x:c>
      <x:c r="H2810" s="115" t="str">
        <x:v>L 430 ; l 440 ; hauteur 24 m ; choix de composition auteur ; dimensions réelles à documenter</x:v>
      </x:c>
      <x:c r="I2810" s="115" t="str">
        <x:v>À équilibrer</x:v>
      </x:c>
      <x:c r="J2810" s="115" t="str">
        <x:v>Non</x:v>
      </x:c>
      <x:c r="K2810" s="115" t="str">
        <x:v>Pièces décrites, murs, portes, niveaux et mobilier inspectables à l’échelle. Volumes réservés, raccord au seed, butin, rencontres et services de campagne restent à terminer.</x:v>
      </x:c>
    </x:row>
    <x:row r="2811" ht="96" customHeight="1">
      <x:c r="A2811" s="115" t="str">
        <x:v>EXT-MONDE-T057-V06</x:v>
      </x:c>
      <x:c r="B2811" s="115" t="str">
        <x:v>EXT-MONDE-T057</x:v>
      </x:c>
      <x:c r="C2811" s="115" t="str">
        <x:v>Énergie</x:v>
      </x:c>
      <x:c r="D2811" s="115" t="str">
        <x:v>Centrale thermique</x:v>
      </x:c>
      <x:c r="E2811" s="115" t="n">
        <x:v>6</x:v>
      </x:c>
      <x:c r="F2811" s="115" t="str">
        <x:v>Inspection physique</x:v>
      </x:c>
      <x:c r="G2811" s="115" t="str">
        <x:v>1 niveaux ; 22 pièces ; 167 segments de mur ; 0 transitions. Inspection physique ; architecture complète encore ouverte.</x:v>
      </x:c>
      <x:c r="H2811" s="115" t="str">
        <x:v>L 430 ; l 440 ; hauteur 24 m ; choix de composition auteur ; dimensions réelles à documenter</x:v>
      </x:c>
      <x:c r="I2811" s="115" t="str">
        <x:v>À équilibrer</x:v>
      </x:c>
      <x:c r="J2811" s="115" t="str">
        <x:v>Non</x:v>
      </x:c>
      <x:c r="K2811" s="115" t="str">
        <x:v>Pièces décrites, murs, portes, niveaux et mobilier inspectables à l’échelle. Volumes réservés, raccord au seed, butin, rencontres et services de campagne restent à terminer.</x:v>
      </x:c>
    </x:row>
    <x:row r="2812" ht="96" customHeight="1">
      <x:c r="A2812" s="115" t="str">
        <x:v>EXT-MONDE-T057-V07</x:v>
      </x:c>
      <x:c r="B2812" s="115" t="str">
        <x:v>EXT-MONDE-T057</x:v>
      </x:c>
      <x:c r="C2812" s="115" t="str">
        <x:v>Énergie</x:v>
      </x:c>
      <x:c r="D2812" s="115" t="str">
        <x:v>Centrale thermique</x:v>
      </x:c>
      <x:c r="E2812" s="115" t="n">
        <x:v>7</x:v>
      </x:c>
      <x:c r="F2812" s="115" t="str">
        <x:v>Inspection physique</x:v>
      </x:c>
      <x:c r="G2812" s="115" t="str">
        <x:v>1 niveaux ; 22 pièces ; 167 segments de mur ; 0 transitions. Inspection physique ; architecture complète encore ouverte.</x:v>
      </x:c>
      <x:c r="H2812" s="115" t="str">
        <x:v>L 430 ; l 440 ; hauteur 24 m ; choix de composition auteur ; dimensions réelles à documenter</x:v>
      </x:c>
      <x:c r="I2812" s="115" t="str">
        <x:v>À équilibrer</x:v>
      </x:c>
      <x:c r="J2812" s="115" t="str">
        <x:v>Non</x:v>
      </x:c>
      <x:c r="K2812" s="115" t="str">
        <x:v>Pièces décrites, murs, portes, niveaux et mobilier inspectables à l’échelle. Volumes réservés, raccord au seed, butin, rencontres et services de campagne restent à terminer.</x:v>
      </x:c>
    </x:row>
    <x:row r="2813" ht="96" customHeight="1">
      <x:c r="A2813" s="115" t="str">
        <x:v>EXT-MONDE-T057-V08</x:v>
      </x:c>
      <x:c r="B2813" s="115" t="str">
        <x:v>EXT-MONDE-T057</x:v>
      </x:c>
      <x:c r="C2813" s="115" t="str">
        <x:v>Énergie</x:v>
      </x:c>
      <x:c r="D2813" s="115" t="str">
        <x:v>Centrale thermique</x:v>
      </x:c>
      <x:c r="E2813" s="115" t="n">
        <x:v>8</x:v>
      </x:c>
      <x:c r="F2813" s="115" t="str">
        <x:v>Inspection physique</x:v>
      </x:c>
      <x:c r="G2813" s="115" t="str">
        <x:v>1 niveaux ; 22 pièces ; 167 segments de mur ; 0 transitions. Inspection physique ; architecture complète encore ouverte.</x:v>
      </x:c>
      <x:c r="H2813" s="115" t="str">
        <x:v>L 430 ; l 440 ; hauteur 24 m ; choix de composition auteur ; dimensions réelles à documenter</x:v>
      </x:c>
      <x:c r="I2813" s="115" t="str">
        <x:v>À équilibrer</x:v>
      </x:c>
      <x:c r="J2813" s="115" t="str">
        <x:v>Non</x:v>
      </x:c>
      <x:c r="K2813" s="115" t="str">
        <x:v>Pièces décrites, murs, portes, niveaux et mobilier inspectables à l’échelle. Volumes réservés, raccord au seed, butin, rencontres et services de campagne restent à terminer.</x:v>
      </x:c>
    </x:row>
    <x:row r="2814" ht="96" customHeight="1">
      <x:c r="A2814" s="115" t="str">
        <x:v>EXT-MONDE-T057-V09</x:v>
      </x:c>
      <x:c r="B2814" s="115" t="str">
        <x:v>EXT-MONDE-T057</x:v>
      </x:c>
      <x:c r="C2814" s="115" t="str">
        <x:v>Énergie</x:v>
      </x:c>
      <x:c r="D2814" s="115" t="str">
        <x:v>Centrale thermique</x:v>
      </x:c>
      <x:c r="E2814" s="115" t="n">
        <x:v>9</x:v>
      </x:c>
      <x:c r="F2814" s="115" t="str">
        <x:v>Inspection physique</x:v>
      </x:c>
      <x:c r="G2814" s="115" t="str">
        <x:v>1 niveaux ; 22 pièces ; 167 segments de mur ; 0 transitions. Inspection physique ; architecture complète encore ouverte.</x:v>
      </x:c>
      <x:c r="H2814" s="115" t="str">
        <x:v>L 430 ; l 440 ; hauteur 24 m ; choix de composition auteur ; dimensions réelles à documenter</x:v>
      </x:c>
      <x:c r="I2814" s="115" t="str">
        <x:v>À équilibrer</x:v>
      </x:c>
      <x:c r="J2814" s="115" t="str">
        <x:v>Non</x:v>
      </x:c>
      <x:c r="K2814" s="115" t="str">
        <x:v>Pièces décrites, murs, portes, niveaux et mobilier inspectables à l’échelle. Volumes réservés, raccord au seed, butin, rencontres et services de campagne restent à terminer.</x:v>
      </x:c>
    </x:row>
    <x:row r="2815" ht="96" customHeight="1">
      <x:c r="A2815" s="115" t="str">
        <x:v>EXT-MONDE-T057-V10</x:v>
      </x:c>
      <x:c r="B2815" s="115" t="str">
        <x:v>EXT-MONDE-T057</x:v>
      </x:c>
      <x:c r="C2815" s="115" t="str">
        <x:v>Énergie</x:v>
      </x:c>
      <x:c r="D2815" s="115" t="str">
        <x:v>Centrale thermique</x:v>
      </x:c>
      <x:c r="E2815" s="115" t="n">
        <x:v>10</x:v>
      </x:c>
      <x:c r="F2815" s="115" t="str">
        <x:v>Inspection physique</x:v>
      </x:c>
      <x:c r="G2815" s="115" t="str">
        <x:v>1 niveaux ; 22 pièces ; 167 segments de mur ; 0 transitions. Inspection physique ; architecture complète encore ouverte.</x:v>
      </x:c>
      <x:c r="H2815" s="115" t="str">
        <x:v>L 430 ; l 440 ; hauteur 24 m ; choix de composition auteur ; dimensions réelles à documenter</x:v>
      </x:c>
      <x:c r="I2815" s="115" t="str">
        <x:v>À équilibrer</x:v>
      </x:c>
      <x:c r="J2815" s="115" t="str">
        <x:v>Non</x:v>
      </x:c>
      <x:c r="K2815" s="115" t="str">
        <x:v>Pièces décrites, murs, portes, niveaux et mobilier inspectables à l’échelle. Volumes réservés, raccord au seed, butin, rencontres et services de campagne restent à terminer.</x:v>
      </x:c>
    </x:row>
    <x:row r="2816" ht="96" customHeight="1">
      <x:c r="A2816" s="115" t="str">
        <x:v>EXT-MONDE-T057-V11</x:v>
      </x:c>
      <x:c r="B2816" s="115" t="str">
        <x:v>EXT-MONDE-T057</x:v>
      </x:c>
      <x:c r="C2816" s="115" t="str">
        <x:v>Énergie</x:v>
      </x:c>
      <x:c r="D2816" s="115" t="str">
        <x:v>Centrale thermique</x:v>
      </x:c>
      <x:c r="E2816" s="115" t="n">
        <x:v>11</x:v>
      </x:c>
      <x:c r="F2816" s="115" t="str">
        <x:v>Inspection physique</x:v>
      </x:c>
      <x:c r="G2816" s="115" t="str">
        <x:v>1 niveaux ; 22 pièces ; 167 segments de mur ; 0 transitions. Inspection physique ; architecture complète encore ouverte.</x:v>
      </x:c>
      <x:c r="H2816" s="115" t="str">
        <x:v>L 448 ; l 460 ; hauteur 24 m ; choix de composition auteur ; dimensions réelles à documenter</x:v>
      </x:c>
      <x:c r="I2816" s="115" t="str">
        <x:v>À équilibrer</x:v>
      </x:c>
      <x:c r="J2816" s="115" t="str">
        <x:v>Non</x:v>
      </x:c>
      <x:c r="K2816" s="115" t="str">
        <x:v>Pièces décrites, murs, portes, niveaux et mobilier inspectables à l’échelle. Volumes réservés, raccord au seed, butin, rencontres et services de campagne restent à terminer.</x:v>
      </x:c>
    </x:row>
    <x:row r="2817" ht="96" customHeight="1">
      <x:c r="A2817" s="115" t="str">
        <x:v>EXT-MONDE-T057-V12</x:v>
      </x:c>
      <x:c r="B2817" s="115" t="str">
        <x:v>EXT-MONDE-T057</x:v>
      </x:c>
      <x:c r="C2817" s="115" t="str">
        <x:v>Énergie</x:v>
      </x:c>
      <x:c r="D2817" s="115" t="str">
        <x:v>Centrale thermique</x:v>
      </x:c>
      <x:c r="E2817" s="115" t="n">
        <x:v>12</x:v>
      </x:c>
      <x:c r="F2817" s="115" t="str">
        <x:v>Inspection physique</x:v>
      </x:c>
      <x:c r="G2817" s="115" t="str">
        <x:v>1 niveaux ; 22 pièces ; 167 segments de mur ; 0 transitions. Inspection physique ; architecture complète encore ouverte.</x:v>
      </x:c>
      <x:c r="H2817" s="115" t="str">
        <x:v>L 448 ; l 460 ; hauteur 24 m ; choix de composition auteur ; dimensions réelles à documenter</x:v>
      </x:c>
      <x:c r="I2817" s="115" t="str">
        <x:v>À équilibrer</x:v>
      </x:c>
      <x:c r="J2817" s="115" t="str">
        <x:v>Non</x:v>
      </x:c>
      <x:c r="K2817" s="115" t="str">
        <x:v>Pièces décrites, murs, portes, niveaux et mobilier inspectables à l’échelle. Volumes réservés, raccord au seed, butin, rencontres et services de campagne restent à terminer.</x:v>
      </x:c>
    </x:row>
    <x:row r="2818" ht="96" customHeight="1">
      <x:c r="A2818" s="115" t="str">
        <x:v>EXT-MONDE-T057-V13</x:v>
      </x:c>
      <x:c r="B2818" s="115" t="str">
        <x:v>EXT-MONDE-T057</x:v>
      </x:c>
      <x:c r="C2818" s="115" t="str">
        <x:v>Énergie</x:v>
      </x:c>
      <x:c r="D2818" s="115" t="str">
        <x:v>Centrale thermique</x:v>
      </x:c>
      <x:c r="E2818" s="115" t="n">
        <x:v>13</x:v>
      </x:c>
      <x:c r="F2818" s="115" t="str">
        <x:v>Inspection physique</x:v>
      </x:c>
      <x:c r="G2818" s="115" t="str">
        <x:v>1 niveaux ; 22 pièces ; 167 segments de mur ; 0 transitions. Inspection physique ; architecture complète encore ouverte.</x:v>
      </x:c>
      <x:c r="H2818" s="115" t="str">
        <x:v>L 448 ; l 460 ; hauteur 24 m ; choix de composition auteur ; dimensions réelles à documenter</x:v>
      </x:c>
      <x:c r="I2818" s="115" t="str">
        <x:v>À équilibrer</x:v>
      </x:c>
      <x:c r="J2818" s="115" t="str">
        <x:v>Non</x:v>
      </x:c>
      <x:c r="K2818" s="115" t="str">
        <x:v>Pièces décrites, murs, portes, niveaux et mobilier inspectables à l’échelle. Volumes réservés, raccord au seed, butin, rencontres et services de campagne restent à terminer.</x:v>
      </x:c>
    </x:row>
    <x:row r="2819" ht="96" customHeight="1">
      <x:c r="A2819" s="115" t="str">
        <x:v>EXT-MONDE-T057-V14</x:v>
      </x:c>
      <x:c r="B2819" s="115" t="str">
        <x:v>EXT-MONDE-T057</x:v>
      </x:c>
      <x:c r="C2819" s="115" t="str">
        <x:v>Énergie</x:v>
      </x:c>
      <x:c r="D2819" s="115" t="str">
        <x:v>Centrale thermique</x:v>
      </x:c>
      <x:c r="E2819" s="115" t="n">
        <x:v>14</x:v>
      </x:c>
      <x:c r="F2819" s="115" t="str">
        <x:v>Inspection physique</x:v>
      </x:c>
      <x:c r="G2819" s="115" t="str">
        <x:v>1 niveaux ; 22 pièces ; 167 segments de mur ; 0 transitions. Inspection physique ; architecture complète encore ouverte.</x:v>
      </x:c>
      <x:c r="H2819" s="115" t="str">
        <x:v>L 448 ; l 460 ; hauteur 24 m ; choix de composition auteur ; dimensions réelles à documenter</x:v>
      </x:c>
      <x:c r="I2819" s="115" t="str">
        <x:v>À équilibrer</x:v>
      </x:c>
      <x:c r="J2819" s="115" t="str">
        <x:v>Non</x:v>
      </x:c>
      <x:c r="K2819" s="115" t="str">
        <x:v>Pièces décrites, murs, portes, niveaux et mobilier inspectables à l’échelle. Volumes réservés, raccord au seed, butin, rencontres et services de campagne restent à terminer.</x:v>
      </x:c>
    </x:row>
    <x:row r="2820" ht="96" customHeight="1">
      <x:c r="A2820" s="115" t="str">
        <x:v>EXT-MONDE-T057-V15</x:v>
      </x:c>
      <x:c r="B2820" s="115" t="str">
        <x:v>EXT-MONDE-T057</x:v>
      </x:c>
      <x:c r="C2820" s="115" t="str">
        <x:v>Énergie</x:v>
      </x:c>
      <x:c r="D2820" s="115" t="str">
        <x:v>Centrale thermique</x:v>
      </x:c>
      <x:c r="E2820" s="115" t="n">
        <x:v>15</x:v>
      </x:c>
      <x:c r="F2820" s="115" t="str">
        <x:v>Inspection physique</x:v>
      </x:c>
      <x:c r="G2820" s="115" t="str">
        <x:v>1 niveaux ; 22 pièces ; 167 segments de mur ; 0 transitions. Inspection physique ; architecture complète encore ouverte.</x:v>
      </x:c>
      <x:c r="H2820" s="115" t="str">
        <x:v>L 448 ; l 460 ; hauteur 24 m ; choix de composition auteur ; dimensions réelles à documenter</x:v>
      </x:c>
      <x:c r="I2820" s="115" t="str">
        <x:v>À équilibrer</x:v>
      </x:c>
      <x:c r="J2820" s="115" t="str">
        <x:v>Non</x:v>
      </x:c>
      <x:c r="K2820" s="115" t="str">
        <x:v>Pièces décrites, murs, portes, niveaux et mobilier inspectables à l’échelle. Volumes réservés, raccord au seed, butin, rencontres et services de campagne restent à terminer.</x:v>
      </x:c>
    </x:row>
    <x:row r="2821" ht="96" customHeight="1">
      <x:c r="A2821" s="115" t="str">
        <x:v>EXT-MONDE-T057-V16</x:v>
      </x:c>
      <x:c r="B2821" s="115" t="str">
        <x:v>EXT-MONDE-T057</x:v>
      </x:c>
      <x:c r="C2821" s="115" t="str">
        <x:v>Énergie</x:v>
      </x:c>
      <x:c r="D2821" s="115" t="str">
        <x:v>Centrale thermique</x:v>
      </x:c>
      <x:c r="E2821" s="115" t="n">
        <x:v>16</x:v>
      </x:c>
      <x:c r="F2821" s="115" t="str">
        <x:v>Inspection physique</x:v>
      </x:c>
      <x:c r="G2821" s="115" t="str">
        <x:v>1 niveaux ; 22 pièces ; 167 segments de mur ; 0 transitions. Inspection physique ; architecture complète encore ouverte.</x:v>
      </x:c>
      <x:c r="H2821" s="115" t="str">
        <x:v>L 448 ; l 460 ; hauteur 24 m ; choix de composition auteur ; dimensions réelles à documenter</x:v>
      </x:c>
      <x:c r="I2821" s="115" t="str">
        <x:v>À équilibrer</x:v>
      </x:c>
      <x:c r="J2821" s="115" t="str">
        <x:v>Non</x:v>
      </x:c>
      <x:c r="K2821" s="115" t="str">
        <x:v>Pièces décrites, murs, portes, niveaux et mobilier inspectables à l’échelle. Volumes réservés, raccord au seed, butin, rencontres et services de campagne restent à terminer.</x:v>
      </x:c>
    </x:row>
    <x:row r="2822" ht="96" customHeight="1">
      <x:c r="A2822" s="115" t="str">
        <x:v>EXT-MONDE-T057-V17</x:v>
      </x:c>
      <x:c r="B2822" s="115" t="str">
        <x:v>EXT-MONDE-T057</x:v>
      </x:c>
      <x:c r="C2822" s="115" t="str">
        <x:v>Énergie</x:v>
      </x:c>
      <x:c r="D2822" s="115" t="str">
        <x:v>Centrale thermique</x:v>
      </x:c>
      <x:c r="E2822" s="115" t="n">
        <x:v>17</x:v>
      </x:c>
      <x:c r="F2822" s="115" t="str">
        <x:v>Inspection physique</x:v>
      </x:c>
      <x:c r="G2822" s="115" t="str">
        <x:v>1 niveaux ; 22 pièces ; 167 segments de mur ; 0 transitions. Inspection physique ; architecture complète encore ouverte.</x:v>
      </x:c>
      <x:c r="H2822" s="115" t="str">
        <x:v>L 448 ; l 460 ; hauteur 24 m ; choix de composition auteur ; dimensions réelles à documenter</x:v>
      </x:c>
      <x:c r="I2822" s="115" t="str">
        <x:v>À équilibrer</x:v>
      </x:c>
      <x:c r="J2822" s="115" t="str">
        <x:v>Non</x:v>
      </x:c>
      <x:c r="K2822" s="115" t="str">
        <x:v>Pièces décrites, murs, portes, niveaux et mobilier inspectables à l’échelle. Volumes réservés, raccord au seed, butin, rencontres et services de campagne restent à terminer.</x:v>
      </x:c>
    </x:row>
    <x:row r="2823" ht="96" customHeight="1">
      <x:c r="A2823" s="115" t="str">
        <x:v>EXT-MONDE-T057-V18</x:v>
      </x:c>
      <x:c r="B2823" s="115" t="str">
        <x:v>EXT-MONDE-T057</x:v>
      </x:c>
      <x:c r="C2823" s="115" t="str">
        <x:v>Énergie</x:v>
      </x:c>
      <x:c r="D2823" s="115" t="str">
        <x:v>Centrale thermique</x:v>
      </x:c>
      <x:c r="E2823" s="115" t="n">
        <x:v>18</x:v>
      </x:c>
      <x:c r="F2823" s="115" t="str">
        <x:v>Inspection physique</x:v>
      </x:c>
      <x:c r="G2823" s="115" t="str">
        <x:v>1 niveaux ; 22 pièces ; 167 segments de mur ; 0 transitions. Inspection physique ; architecture complète encore ouverte.</x:v>
      </x:c>
      <x:c r="H2823" s="115" t="str">
        <x:v>L 448 ; l 460 ; hauteur 24 m ; choix de composition auteur ; dimensions réelles à documenter</x:v>
      </x:c>
      <x:c r="I2823" s="115" t="str">
        <x:v>À équilibrer</x:v>
      </x:c>
      <x:c r="J2823" s="115" t="str">
        <x:v>Non</x:v>
      </x:c>
      <x:c r="K2823" s="115" t="str">
        <x:v>Pièces décrites, murs, portes, niveaux et mobilier inspectables à l’échelle. Volumes réservés, raccord au seed, butin, rencontres et services de campagne restent à terminer.</x:v>
      </x:c>
    </x:row>
    <x:row r="2824" ht="96" customHeight="1">
      <x:c r="A2824" s="115" t="str">
        <x:v>EXT-MONDE-T057-V19</x:v>
      </x:c>
      <x:c r="B2824" s="115" t="str">
        <x:v>EXT-MONDE-T057</x:v>
      </x:c>
      <x:c r="C2824" s="115" t="str">
        <x:v>Énergie</x:v>
      </x:c>
      <x:c r="D2824" s="115" t="str">
        <x:v>Centrale thermique</x:v>
      </x:c>
      <x:c r="E2824" s="115" t="n">
        <x:v>19</x:v>
      </x:c>
      <x:c r="F2824" s="115" t="str">
        <x:v>Inspection physique</x:v>
      </x:c>
      <x:c r="G2824" s="115" t="str">
        <x:v>1 niveaux ; 22 pièces ; 167 segments de mur ; 0 transitions. Inspection physique ; architecture complète encore ouverte.</x:v>
      </x:c>
      <x:c r="H2824" s="115" t="str">
        <x:v>L 448 ; l 460 ; hauteur 24 m ; choix de composition auteur ; dimensions réelles à documenter</x:v>
      </x:c>
      <x:c r="I2824" s="115" t="str">
        <x:v>À équilibrer</x:v>
      </x:c>
      <x:c r="J2824" s="115" t="str">
        <x:v>Non</x:v>
      </x:c>
      <x:c r="K2824" s="115" t="str">
        <x:v>Pièces décrites, murs, portes, niveaux et mobilier inspectables à l’échelle. Volumes réservés, raccord au seed, butin, rencontres et services de campagne restent à terminer.</x:v>
      </x:c>
    </x:row>
    <x:row r="2825" ht="96" customHeight="1">
      <x:c r="A2825" s="115" t="str">
        <x:v>EXT-MONDE-T057-V20</x:v>
      </x:c>
      <x:c r="B2825" s="115" t="str">
        <x:v>EXT-MONDE-T057</x:v>
      </x:c>
      <x:c r="C2825" s="115" t="str">
        <x:v>Énergie</x:v>
      </x:c>
      <x:c r="D2825" s="115" t="str">
        <x:v>Centrale thermique</x:v>
      </x:c>
      <x:c r="E2825" s="115" t="n">
        <x:v>20</x:v>
      </x:c>
      <x:c r="F2825" s="115" t="str">
        <x:v>Inspection physique</x:v>
      </x:c>
      <x:c r="G2825" s="115" t="str">
        <x:v>1 niveaux ; 22 pièces ; 167 segments de mur ; 0 transitions. Inspection physique ; architecture complète encore ouverte.</x:v>
      </x:c>
      <x:c r="H2825" s="115" t="str">
        <x:v>L 448 ; l 460 ; hauteur 24 m ; choix de composition auteur ; dimensions réelles à documenter</x:v>
      </x:c>
      <x:c r="I2825" s="115" t="str">
        <x:v>À équilibrer</x:v>
      </x:c>
      <x:c r="J2825" s="115" t="str">
        <x:v>Non</x:v>
      </x:c>
      <x:c r="K2825" s="115" t="str">
        <x:v>Pièces décrites, murs, portes, niveaux et mobilier inspectables à l’échelle. Volumes réservés, raccord au seed, butin, rencontres et services de campagne restent à terminer.</x:v>
      </x:c>
    </x:row>
    <x:row r="2826" ht="96" customHeight="1">
      <x:c r="A2826" s="115" t="str">
        <x:v>EXT-MONDE-T057-V21</x:v>
      </x:c>
      <x:c r="B2826" s="115" t="str">
        <x:v>EXT-MONDE-T057</x:v>
      </x:c>
      <x:c r="C2826" s="115" t="str">
        <x:v>Énergie</x:v>
      </x:c>
      <x:c r="D2826" s="115" t="str">
        <x:v>Centrale thermique</x:v>
      </x:c>
      <x:c r="E2826" s="115" t="n">
        <x:v>21</x:v>
      </x:c>
      <x:c r="F2826" s="115" t="str">
        <x:v>Inspection physique</x:v>
      </x:c>
      <x:c r="G2826" s="115" t="str">
        <x:v>1 niveaux ; 22 pièces ; 167 segments de mur ; 0 transitions. Inspection physique ; architecture complète encore ouverte.</x:v>
      </x:c>
      <x:c r="H2826" s="115" t="str">
        <x:v>L 466 ; l 480 ; hauteur 24 m ; choix de composition auteur ; dimensions réelles à documenter</x:v>
      </x:c>
      <x:c r="I2826" s="115" t="str">
        <x:v>À équilibrer</x:v>
      </x:c>
      <x:c r="J2826" s="115" t="str">
        <x:v>Non</x:v>
      </x:c>
      <x:c r="K2826" s="115" t="str">
        <x:v>Pièces décrites, murs, portes, niveaux et mobilier inspectables à l’échelle. Volumes réservés, raccord au seed, butin, rencontres et services de campagne restent à terminer.</x:v>
      </x:c>
    </x:row>
    <x:row r="2827" ht="96" customHeight="1">
      <x:c r="A2827" s="115" t="str">
        <x:v>EXT-MONDE-T057-V22</x:v>
      </x:c>
      <x:c r="B2827" s="115" t="str">
        <x:v>EXT-MONDE-T057</x:v>
      </x:c>
      <x:c r="C2827" s="115" t="str">
        <x:v>Énergie</x:v>
      </x:c>
      <x:c r="D2827" s="115" t="str">
        <x:v>Centrale thermique</x:v>
      </x:c>
      <x:c r="E2827" s="115" t="n">
        <x:v>22</x:v>
      </x:c>
      <x:c r="F2827" s="115" t="str">
        <x:v>Inspection physique</x:v>
      </x:c>
      <x:c r="G2827" s="115" t="str">
        <x:v>1 niveaux ; 22 pièces ; 167 segments de mur ; 0 transitions. Inspection physique ; architecture complète encore ouverte.</x:v>
      </x:c>
      <x:c r="H2827" s="115" t="str">
        <x:v>L 466 ; l 480 ; hauteur 24 m ; choix de composition auteur ; dimensions réelles à documenter</x:v>
      </x:c>
      <x:c r="I2827" s="115" t="str">
        <x:v>À équilibrer</x:v>
      </x:c>
      <x:c r="J2827" s="115" t="str">
        <x:v>Non</x:v>
      </x:c>
      <x:c r="K2827" s="115" t="str">
        <x:v>Pièces décrites, murs, portes, niveaux et mobilier inspectables à l’échelle. Volumes réservés, raccord au seed, butin, rencontres et services de campagne restent à terminer.</x:v>
      </x:c>
    </x:row>
    <x:row r="2828" ht="96" customHeight="1">
      <x:c r="A2828" s="115" t="str">
        <x:v>EXT-MONDE-T057-V23</x:v>
      </x:c>
      <x:c r="B2828" s="115" t="str">
        <x:v>EXT-MONDE-T057</x:v>
      </x:c>
      <x:c r="C2828" s="115" t="str">
        <x:v>Énergie</x:v>
      </x:c>
      <x:c r="D2828" s="115" t="str">
        <x:v>Centrale thermique</x:v>
      </x:c>
      <x:c r="E2828" s="115" t="n">
        <x:v>23</x:v>
      </x:c>
      <x:c r="F2828" s="115" t="str">
        <x:v>Inspection physique</x:v>
      </x:c>
      <x:c r="G2828" s="115" t="str">
        <x:v>1 niveaux ; 22 pièces ; 167 segments de mur ; 0 transitions. Inspection physique ; architecture complète encore ouverte.</x:v>
      </x:c>
      <x:c r="H2828" s="115" t="str">
        <x:v>L 466 ; l 480 ; hauteur 24 m ; choix de composition auteur ; dimensions réelles à documenter</x:v>
      </x:c>
      <x:c r="I2828" s="115" t="str">
        <x:v>À équilibrer</x:v>
      </x:c>
      <x:c r="J2828" s="115" t="str">
        <x:v>Non</x:v>
      </x:c>
      <x:c r="K2828" s="115" t="str">
        <x:v>Pièces décrites, murs, portes, niveaux et mobilier inspectables à l’échelle. Volumes réservés, raccord au seed, butin, rencontres et services de campagne restent à terminer.</x:v>
      </x:c>
    </x:row>
    <x:row r="2829" ht="96" customHeight="1">
      <x:c r="A2829" s="115" t="str">
        <x:v>EXT-MONDE-T057-V24</x:v>
      </x:c>
      <x:c r="B2829" s="115" t="str">
        <x:v>EXT-MONDE-T057</x:v>
      </x:c>
      <x:c r="C2829" s="115" t="str">
        <x:v>Énergie</x:v>
      </x:c>
      <x:c r="D2829" s="115" t="str">
        <x:v>Centrale thermique</x:v>
      </x:c>
      <x:c r="E2829" s="115" t="n">
        <x:v>24</x:v>
      </x:c>
      <x:c r="F2829" s="115" t="str">
        <x:v>Inspection physique</x:v>
      </x:c>
      <x:c r="G2829" s="115" t="str">
        <x:v>1 niveaux ; 22 pièces ; 167 segments de mur ; 0 transitions. Inspection physique ; architecture complète encore ouverte.</x:v>
      </x:c>
      <x:c r="H2829" s="115" t="str">
        <x:v>L 466 ; l 480 ; hauteur 24 m ; choix de composition auteur ; dimensions réelles à documenter</x:v>
      </x:c>
      <x:c r="I2829" s="115" t="str">
        <x:v>À équilibrer</x:v>
      </x:c>
      <x:c r="J2829" s="115" t="str">
        <x:v>Non</x:v>
      </x:c>
      <x:c r="K2829" s="115" t="str">
        <x:v>Pièces décrites, murs, portes, niveaux et mobilier inspectables à l’échelle. Volumes réservés, raccord au seed, butin, rencontres et services de campagne restent à terminer.</x:v>
      </x:c>
    </x:row>
    <x:row r="2830" ht="96" customHeight="1">
      <x:c r="A2830" s="115" t="str">
        <x:v>EXT-MONDE-T057-V25</x:v>
      </x:c>
      <x:c r="B2830" s="115" t="str">
        <x:v>EXT-MONDE-T057</x:v>
      </x:c>
      <x:c r="C2830" s="115" t="str">
        <x:v>Énergie</x:v>
      </x:c>
      <x:c r="D2830" s="115" t="str">
        <x:v>Centrale thermique</x:v>
      </x:c>
      <x:c r="E2830" s="115" t="n">
        <x:v>25</x:v>
      </x:c>
      <x:c r="F2830" s="115" t="str">
        <x:v>Inspection physique</x:v>
      </x:c>
      <x:c r="G2830" s="115" t="str">
        <x:v>1 niveaux ; 22 pièces ; 167 segments de mur ; 0 transitions. Inspection physique ; architecture complète encore ouverte.</x:v>
      </x:c>
      <x:c r="H2830" s="115" t="str">
        <x:v>L 466 ; l 480 ; hauteur 24 m ; choix de composition auteur ; dimensions réelles à documenter</x:v>
      </x:c>
      <x:c r="I2830" s="115" t="str">
        <x:v>À équilibrer</x:v>
      </x:c>
      <x:c r="J2830" s="115" t="str">
        <x:v>Non</x:v>
      </x:c>
      <x:c r="K2830" s="115" t="str">
        <x:v>Pièces décrites, murs, portes, niveaux et mobilier inspectables à l’échelle. Volumes réservés, raccord au seed, butin, rencontres et services de campagne restent à terminer.</x:v>
      </x:c>
    </x:row>
    <x:row r="2831" ht="96" customHeight="1">
      <x:c r="A2831" s="115" t="str">
        <x:v>EXT-MONDE-T057-V26</x:v>
      </x:c>
      <x:c r="B2831" s="115" t="str">
        <x:v>EXT-MONDE-T057</x:v>
      </x:c>
      <x:c r="C2831" s="115" t="str">
        <x:v>Énergie</x:v>
      </x:c>
      <x:c r="D2831" s="115" t="str">
        <x:v>Centrale thermique</x:v>
      </x:c>
      <x:c r="E2831" s="115" t="n">
        <x:v>26</x:v>
      </x:c>
      <x:c r="F2831" s="115" t="str">
        <x:v>Inspection physique</x:v>
      </x:c>
      <x:c r="G2831" s="115" t="str">
        <x:v>1 niveaux ; 22 pièces ; 167 segments de mur ; 0 transitions. Inspection physique ; architecture complète encore ouverte.</x:v>
      </x:c>
      <x:c r="H2831" s="115" t="str">
        <x:v>L 466 ; l 480 ; hauteur 24 m ; choix de composition auteur ; dimensions réelles à documenter</x:v>
      </x:c>
      <x:c r="I2831" s="115" t="str">
        <x:v>À équilibrer</x:v>
      </x:c>
      <x:c r="J2831" s="115" t="str">
        <x:v>Non</x:v>
      </x:c>
      <x:c r="K2831" s="115" t="str">
        <x:v>Pièces décrites, murs, portes, niveaux et mobilier inspectables à l’échelle. Volumes réservés, raccord au seed, butin, rencontres et services de campagne restent à terminer.</x:v>
      </x:c>
    </x:row>
    <x:row r="2832" ht="96" customHeight="1">
      <x:c r="A2832" s="115" t="str">
        <x:v>EXT-MONDE-T057-V27</x:v>
      </x:c>
      <x:c r="B2832" s="115" t="str">
        <x:v>EXT-MONDE-T057</x:v>
      </x:c>
      <x:c r="C2832" s="115" t="str">
        <x:v>Énergie</x:v>
      </x:c>
      <x:c r="D2832" s="115" t="str">
        <x:v>Centrale thermique</x:v>
      </x:c>
      <x:c r="E2832" s="115" t="n">
        <x:v>27</x:v>
      </x:c>
      <x:c r="F2832" s="115" t="str">
        <x:v>Inspection physique</x:v>
      </x:c>
      <x:c r="G2832" s="115" t="str">
        <x:v>1 niveaux ; 22 pièces ; 167 segments de mur ; 0 transitions. Inspection physique ; architecture complète encore ouverte.</x:v>
      </x:c>
      <x:c r="H2832" s="115" t="str">
        <x:v>L 466 ; l 480 ; hauteur 24 m ; choix de composition auteur ; dimensions réelles à documenter</x:v>
      </x:c>
      <x:c r="I2832" s="115" t="str">
        <x:v>À équilibrer</x:v>
      </x:c>
      <x:c r="J2832" s="115" t="str">
        <x:v>Non</x:v>
      </x:c>
      <x:c r="K2832" s="115" t="str">
        <x:v>Pièces décrites, murs, portes, niveaux et mobilier inspectables à l’échelle. Volumes réservés, raccord au seed, butin, rencontres et services de campagne restent à terminer.</x:v>
      </x:c>
    </x:row>
    <x:row r="2833" ht="96" customHeight="1">
      <x:c r="A2833" s="115" t="str">
        <x:v>EXT-MONDE-T057-V28</x:v>
      </x:c>
      <x:c r="B2833" s="115" t="str">
        <x:v>EXT-MONDE-T057</x:v>
      </x:c>
      <x:c r="C2833" s="115" t="str">
        <x:v>Énergie</x:v>
      </x:c>
      <x:c r="D2833" s="115" t="str">
        <x:v>Centrale thermique</x:v>
      </x:c>
      <x:c r="E2833" s="115" t="n">
        <x:v>28</x:v>
      </x:c>
      <x:c r="F2833" s="115" t="str">
        <x:v>Inspection physique</x:v>
      </x:c>
      <x:c r="G2833" s="115" t="str">
        <x:v>1 niveaux ; 22 pièces ; 167 segments de mur ; 0 transitions. Inspection physique ; architecture complète encore ouverte.</x:v>
      </x:c>
      <x:c r="H2833" s="115" t="str">
        <x:v>L 466 ; l 480 ; hauteur 24 m ; choix de composition auteur ; dimensions réelles à documenter</x:v>
      </x:c>
      <x:c r="I2833" s="115" t="str">
        <x:v>À équilibrer</x:v>
      </x:c>
      <x:c r="J2833" s="115" t="str">
        <x:v>Non</x:v>
      </x:c>
      <x:c r="K2833" s="115" t="str">
        <x:v>Pièces décrites, murs, portes, niveaux et mobilier inspectables à l’échelle. Volumes réservés, raccord au seed, butin, rencontres et services de campagne restent à terminer.</x:v>
      </x:c>
    </x:row>
    <x:row r="2834" ht="96" customHeight="1">
      <x:c r="A2834" s="115" t="str">
        <x:v>EXT-MONDE-T057-V29</x:v>
      </x:c>
      <x:c r="B2834" s="115" t="str">
        <x:v>EXT-MONDE-T057</x:v>
      </x:c>
      <x:c r="C2834" s="115" t="str">
        <x:v>Énergie</x:v>
      </x:c>
      <x:c r="D2834" s="115" t="str">
        <x:v>Centrale thermique</x:v>
      </x:c>
      <x:c r="E2834" s="115" t="n">
        <x:v>29</x:v>
      </x:c>
      <x:c r="F2834" s="115" t="str">
        <x:v>Inspection physique</x:v>
      </x:c>
      <x:c r="G2834" s="115" t="str">
        <x:v>1 niveaux ; 22 pièces ; 167 segments de mur ; 0 transitions. Inspection physique ; architecture complète encore ouverte.</x:v>
      </x:c>
      <x:c r="H2834" s="115" t="str">
        <x:v>L 466 ; l 480 ; hauteur 24 m ; choix de composition auteur ; dimensions réelles à documenter</x:v>
      </x:c>
      <x:c r="I2834" s="115" t="str">
        <x:v>À équilibrer</x:v>
      </x:c>
      <x:c r="J2834" s="115" t="str">
        <x:v>Non</x:v>
      </x:c>
      <x:c r="K2834" s="115" t="str">
        <x:v>Pièces décrites, murs, portes, niveaux et mobilier inspectables à l’échelle. Volumes réservés, raccord au seed, butin, rencontres et services de campagne restent à terminer.</x:v>
      </x:c>
    </x:row>
    <x:row r="2835" ht="96" customHeight="1">
      <x:c r="A2835" s="115" t="str">
        <x:v>EXT-MONDE-T057-V30</x:v>
      </x:c>
      <x:c r="B2835" s="115" t="str">
        <x:v>EXT-MONDE-T057</x:v>
      </x:c>
      <x:c r="C2835" s="115" t="str">
        <x:v>Énergie</x:v>
      </x:c>
      <x:c r="D2835" s="115" t="str">
        <x:v>Centrale thermique</x:v>
      </x:c>
      <x:c r="E2835" s="115" t="n">
        <x:v>30</x:v>
      </x:c>
      <x:c r="F2835" s="115" t="str">
        <x:v>Inspection physique</x:v>
      </x:c>
      <x:c r="G2835" s="115" t="str">
        <x:v>1 niveaux ; 22 pièces ; 167 segments de mur ; 0 transitions. Inspection physique ; architecture complète encore ouverte.</x:v>
      </x:c>
      <x:c r="H2835" s="115" t="str">
        <x:v>L 466 ; l 480 ; hauteur 24 m ; choix de composition auteur ; dimensions réelles à documenter</x:v>
      </x:c>
      <x:c r="I2835" s="115" t="str">
        <x:v>À équilibrer</x:v>
      </x:c>
      <x:c r="J2835" s="115" t="str">
        <x:v>Non</x:v>
      </x:c>
      <x:c r="K2835" s="115" t="str">
        <x:v>Pièces décrites, murs, portes, niveaux et mobilier inspectables à l’échelle. Volumes réservés, raccord au seed, butin, rencontres et services de campagne restent à terminer.</x:v>
      </x:c>
    </x:row>
    <x:row r="2836" ht="96" customHeight="1">
      <x:c r="A2836" s="115" t="str">
        <x:v>EXT-MONDE-T057-V31</x:v>
      </x:c>
      <x:c r="B2836" s="115" t="str">
        <x:v>EXT-MONDE-T057</x:v>
      </x:c>
      <x:c r="C2836" s="115" t="str">
        <x:v>Énergie</x:v>
      </x:c>
      <x:c r="D2836" s="115" t="str">
        <x:v>Centrale thermique</x:v>
      </x:c>
      <x:c r="E2836" s="115" t="n">
        <x:v>31</x:v>
      </x:c>
      <x:c r="F2836" s="115" t="str">
        <x:v>Inspection physique</x:v>
      </x:c>
      <x:c r="G2836" s="115" t="str">
        <x:v>1 niveaux ; 22 pièces ; 167 segments de mur ; 0 transitions. Inspection physique ; architecture complète encore ouverte.</x:v>
      </x:c>
      <x:c r="H2836" s="115" t="str">
        <x:v>L 484 ; l 500 ; hauteur 24 m ; choix de composition auteur ; dimensions réelles à documenter</x:v>
      </x:c>
      <x:c r="I2836" s="115" t="str">
        <x:v>À équilibrer</x:v>
      </x:c>
      <x:c r="J2836" s="115" t="str">
        <x:v>Non</x:v>
      </x:c>
      <x:c r="K2836" s="115" t="str">
        <x:v>Pièces décrites, murs, portes, niveaux et mobilier inspectables à l’échelle. Volumes réservés, raccord au seed, butin, rencontres et services de campagne restent à terminer.</x:v>
      </x:c>
    </x:row>
    <x:row r="2837" ht="96" customHeight="1">
      <x:c r="A2837" s="115" t="str">
        <x:v>EXT-MONDE-T057-V32</x:v>
      </x:c>
      <x:c r="B2837" s="115" t="str">
        <x:v>EXT-MONDE-T057</x:v>
      </x:c>
      <x:c r="C2837" s="115" t="str">
        <x:v>Énergie</x:v>
      </x:c>
      <x:c r="D2837" s="115" t="str">
        <x:v>Centrale thermique</x:v>
      </x:c>
      <x:c r="E2837" s="115" t="n">
        <x:v>32</x:v>
      </x:c>
      <x:c r="F2837" s="115" t="str">
        <x:v>Inspection physique</x:v>
      </x:c>
      <x:c r="G2837" s="115" t="str">
        <x:v>1 niveaux ; 22 pièces ; 167 segments de mur ; 0 transitions. Inspection physique ; architecture complète encore ouverte.</x:v>
      </x:c>
      <x:c r="H2837" s="115" t="str">
        <x:v>L 484 ; l 500 ; hauteur 24 m ; choix de composition auteur ; dimensions réelles à documenter</x:v>
      </x:c>
      <x:c r="I2837" s="115" t="str">
        <x:v>À équilibrer</x:v>
      </x:c>
      <x:c r="J2837" s="115" t="str">
        <x:v>Non</x:v>
      </x:c>
      <x:c r="K2837" s="115" t="str">
        <x:v>Pièces décrites, murs, portes, niveaux et mobilier inspectables à l’échelle. Volumes réservés, raccord au seed, butin, rencontres et services de campagne restent à terminer.</x:v>
      </x:c>
    </x:row>
    <x:row r="2838" ht="96" customHeight="1">
      <x:c r="A2838" s="115" t="str">
        <x:v>EXT-MONDE-T057-V33</x:v>
      </x:c>
      <x:c r="B2838" s="115" t="str">
        <x:v>EXT-MONDE-T057</x:v>
      </x:c>
      <x:c r="C2838" s="115" t="str">
        <x:v>Énergie</x:v>
      </x:c>
      <x:c r="D2838" s="115" t="str">
        <x:v>Centrale thermique</x:v>
      </x:c>
      <x:c r="E2838" s="115" t="n">
        <x:v>33</x:v>
      </x:c>
      <x:c r="F2838" s="115" t="str">
        <x:v>Inspection physique</x:v>
      </x:c>
      <x:c r="G2838" s="115" t="str">
        <x:v>1 niveaux ; 22 pièces ; 167 segments de mur ; 0 transitions. Inspection physique ; architecture complète encore ouverte.</x:v>
      </x:c>
      <x:c r="H2838" s="115" t="str">
        <x:v>L 484 ; l 500 ; hauteur 24 m ; choix de composition auteur ; dimensions réelles à documenter</x:v>
      </x:c>
      <x:c r="I2838" s="115" t="str">
        <x:v>À équilibrer</x:v>
      </x:c>
      <x:c r="J2838" s="115" t="str">
        <x:v>Non</x:v>
      </x:c>
      <x:c r="K2838" s="115" t="str">
        <x:v>Pièces décrites, murs, portes, niveaux et mobilier inspectables à l’échelle. Volumes réservés, raccord au seed, butin, rencontres et services de campagne restent à terminer.</x:v>
      </x:c>
    </x:row>
    <x:row r="2839" ht="96" customHeight="1">
      <x:c r="A2839" s="115" t="str">
        <x:v>EXT-MONDE-T057-V34</x:v>
      </x:c>
      <x:c r="B2839" s="115" t="str">
        <x:v>EXT-MONDE-T057</x:v>
      </x:c>
      <x:c r="C2839" s="115" t="str">
        <x:v>Énergie</x:v>
      </x:c>
      <x:c r="D2839" s="115" t="str">
        <x:v>Centrale thermique</x:v>
      </x:c>
      <x:c r="E2839" s="115" t="n">
        <x:v>34</x:v>
      </x:c>
      <x:c r="F2839" s="115" t="str">
        <x:v>Inspection physique</x:v>
      </x:c>
      <x:c r="G2839" s="115" t="str">
        <x:v>1 niveaux ; 22 pièces ; 167 segments de mur ; 0 transitions. Inspection physique ; architecture complète encore ouverte.</x:v>
      </x:c>
      <x:c r="H2839" s="115" t="str">
        <x:v>L 484 ; l 500 ; hauteur 24 m ; choix de composition auteur ; dimensions réelles à documenter</x:v>
      </x:c>
      <x:c r="I2839" s="115" t="str">
        <x:v>À équilibrer</x:v>
      </x:c>
      <x:c r="J2839" s="115" t="str">
        <x:v>Non</x:v>
      </x:c>
      <x:c r="K2839" s="115" t="str">
        <x:v>Pièces décrites, murs, portes, niveaux et mobilier inspectables à l’échelle. Volumes réservés, raccord au seed, butin, rencontres et services de campagne restent à terminer.</x:v>
      </x:c>
    </x:row>
    <x:row r="2840" ht="96" customHeight="1">
      <x:c r="A2840" s="115" t="str">
        <x:v>EXT-MONDE-T057-V35</x:v>
      </x:c>
      <x:c r="B2840" s="115" t="str">
        <x:v>EXT-MONDE-T057</x:v>
      </x:c>
      <x:c r="C2840" s="115" t="str">
        <x:v>Énergie</x:v>
      </x:c>
      <x:c r="D2840" s="115" t="str">
        <x:v>Centrale thermique</x:v>
      </x:c>
      <x:c r="E2840" s="115" t="n">
        <x:v>35</x:v>
      </x:c>
      <x:c r="F2840" s="115" t="str">
        <x:v>Inspection physique</x:v>
      </x:c>
      <x:c r="G2840" s="115" t="str">
        <x:v>1 niveaux ; 22 pièces ; 167 segments de mur ; 0 transitions. Inspection physique ; architecture complète encore ouverte.</x:v>
      </x:c>
      <x:c r="H2840" s="115" t="str">
        <x:v>L 484 ; l 500 ; hauteur 24 m ; choix de composition auteur ; dimensions réelles à documenter</x:v>
      </x:c>
      <x:c r="I2840" s="115" t="str">
        <x:v>À équilibrer</x:v>
      </x:c>
      <x:c r="J2840" s="115" t="str">
        <x:v>Non</x:v>
      </x:c>
      <x:c r="K2840" s="115" t="str">
        <x:v>Pièces décrites, murs, portes, niveaux et mobilier inspectables à l’échelle. Volumes réservés, raccord au seed, butin, rencontres et services de campagne restent à terminer.</x:v>
      </x:c>
    </x:row>
    <x:row r="2841" ht="96" customHeight="1">
      <x:c r="A2841" s="115" t="str">
        <x:v>EXT-MONDE-T057-V36</x:v>
      </x:c>
      <x:c r="B2841" s="115" t="str">
        <x:v>EXT-MONDE-T057</x:v>
      </x:c>
      <x:c r="C2841" s="115" t="str">
        <x:v>Énergie</x:v>
      </x:c>
      <x:c r="D2841" s="115" t="str">
        <x:v>Centrale thermique</x:v>
      </x:c>
      <x:c r="E2841" s="115" t="n">
        <x:v>36</x:v>
      </x:c>
      <x:c r="F2841" s="115" t="str">
        <x:v>Inspection physique</x:v>
      </x:c>
      <x:c r="G2841" s="115" t="str">
        <x:v>1 niveaux ; 22 pièces ; 167 segments de mur ; 0 transitions. Inspection physique ; architecture complète encore ouverte.</x:v>
      </x:c>
      <x:c r="H2841" s="115" t="str">
        <x:v>L 484 ; l 500 ; hauteur 24 m ; choix de composition auteur ; dimensions réelles à documenter</x:v>
      </x:c>
      <x:c r="I2841" s="115" t="str">
        <x:v>À équilibrer</x:v>
      </x:c>
      <x:c r="J2841" s="115" t="str">
        <x:v>Non</x:v>
      </x:c>
      <x:c r="K2841" s="115" t="str">
        <x:v>Pièces décrites, murs, portes, niveaux et mobilier inspectables à l’échelle. Volumes réservés, raccord au seed, butin, rencontres et services de campagne restent à terminer.</x:v>
      </x:c>
    </x:row>
    <x:row r="2842" ht="96" customHeight="1">
      <x:c r="A2842" s="115" t="str">
        <x:v>EXT-MONDE-T057-V37</x:v>
      </x:c>
      <x:c r="B2842" s="115" t="str">
        <x:v>EXT-MONDE-T057</x:v>
      </x:c>
      <x:c r="C2842" s="115" t="str">
        <x:v>Énergie</x:v>
      </x:c>
      <x:c r="D2842" s="115" t="str">
        <x:v>Centrale thermique</x:v>
      </x:c>
      <x:c r="E2842" s="115" t="n">
        <x:v>37</x:v>
      </x:c>
      <x:c r="F2842" s="115" t="str">
        <x:v>Inspection physique</x:v>
      </x:c>
      <x:c r="G2842" s="115" t="str">
        <x:v>1 niveaux ; 22 pièces ; 167 segments de mur ; 0 transitions. Inspection physique ; architecture complète encore ouverte.</x:v>
      </x:c>
      <x:c r="H2842" s="115" t="str">
        <x:v>L 484 ; l 500 ; hauteur 24 m ; choix de composition auteur ; dimensions réelles à documenter</x:v>
      </x:c>
      <x:c r="I2842" s="115" t="str">
        <x:v>À équilibrer</x:v>
      </x:c>
      <x:c r="J2842" s="115" t="str">
        <x:v>Non</x:v>
      </x:c>
      <x:c r="K2842" s="115" t="str">
        <x:v>Pièces décrites, murs, portes, niveaux et mobilier inspectables à l’échelle. Volumes réservés, raccord au seed, butin, rencontres et services de campagne restent à terminer.</x:v>
      </x:c>
    </x:row>
    <x:row r="2843" ht="96" customHeight="1">
      <x:c r="A2843" s="115" t="str">
        <x:v>EXT-MONDE-T057-V38</x:v>
      </x:c>
      <x:c r="B2843" s="115" t="str">
        <x:v>EXT-MONDE-T057</x:v>
      </x:c>
      <x:c r="C2843" s="115" t="str">
        <x:v>Énergie</x:v>
      </x:c>
      <x:c r="D2843" s="115" t="str">
        <x:v>Centrale thermique</x:v>
      </x:c>
      <x:c r="E2843" s="115" t="n">
        <x:v>38</x:v>
      </x:c>
      <x:c r="F2843" s="115" t="str">
        <x:v>Inspection physique</x:v>
      </x:c>
      <x:c r="G2843" s="115" t="str">
        <x:v>1 niveaux ; 22 pièces ; 167 segments de mur ; 0 transitions. Inspection physique ; architecture complète encore ouverte.</x:v>
      </x:c>
      <x:c r="H2843" s="115" t="str">
        <x:v>L 484 ; l 500 ; hauteur 24 m ; choix de composition auteur ; dimensions réelles à documenter</x:v>
      </x:c>
      <x:c r="I2843" s="115" t="str">
        <x:v>À équilibrer</x:v>
      </x:c>
      <x:c r="J2843" s="115" t="str">
        <x:v>Non</x:v>
      </x:c>
      <x:c r="K2843" s="115" t="str">
        <x:v>Pièces décrites, murs, portes, niveaux et mobilier inspectables à l’échelle. Volumes réservés, raccord au seed, butin, rencontres et services de campagne restent à terminer.</x:v>
      </x:c>
    </x:row>
    <x:row r="2844" ht="96" customHeight="1">
      <x:c r="A2844" s="115" t="str">
        <x:v>EXT-MONDE-T057-V39</x:v>
      </x:c>
      <x:c r="B2844" s="115" t="str">
        <x:v>EXT-MONDE-T057</x:v>
      </x:c>
      <x:c r="C2844" s="115" t="str">
        <x:v>Énergie</x:v>
      </x:c>
      <x:c r="D2844" s="115" t="str">
        <x:v>Centrale thermique</x:v>
      </x:c>
      <x:c r="E2844" s="115" t="n">
        <x:v>39</x:v>
      </x:c>
      <x:c r="F2844" s="115" t="str">
        <x:v>Inspection physique</x:v>
      </x:c>
      <x:c r="G2844" s="115" t="str">
        <x:v>1 niveaux ; 22 pièces ; 167 segments de mur ; 0 transitions. Inspection physique ; architecture complète encore ouverte.</x:v>
      </x:c>
      <x:c r="H2844" s="115" t="str">
        <x:v>L 484 ; l 500 ; hauteur 24 m ; choix de composition auteur ; dimensions réelles à documenter</x:v>
      </x:c>
      <x:c r="I2844" s="115" t="str">
        <x:v>À équilibrer</x:v>
      </x:c>
      <x:c r="J2844" s="115" t="str">
        <x:v>Non</x:v>
      </x:c>
      <x:c r="K2844" s="115" t="str">
        <x:v>Pièces décrites, murs, portes, niveaux et mobilier inspectables à l’échelle. Volumes réservés, raccord au seed, butin, rencontres et services de campagne restent à terminer.</x:v>
      </x:c>
    </x:row>
    <x:row r="2845" ht="96" customHeight="1">
      <x:c r="A2845" s="115" t="str">
        <x:v>EXT-MONDE-T057-V40</x:v>
      </x:c>
      <x:c r="B2845" s="115" t="str">
        <x:v>EXT-MONDE-T057</x:v>
      </x:c>
      <x:c r="C2845" s="115" t="str">
        <x:v>Énergie</x:v>
      </x:c>
      <x:c r="D2845" s="115" t="str">
        <x:v>Centrale thermique</x:v>
      </x:c>
      <x:c r="E2845" s="115" t="n">
        <x:v>40</x:v>
      </x:c>
      <x:c r="F2845" s="115" t="str">
        <x:v>Inspection physique</x:v>
      </x:c>
      <x:c r="G2845" s="115" t="str">
        <x:v>1 niveaux ; 22 pièces ; 167 segments de mur ; 0 transitions. Inspection physique ; architecture complète encore ouverte.</x:v>
      </x:c>
      <x:c r="H2845" s="115" t="str">
        <x:v>L 484 ; l 500 ; hauteur 24 m ; choix de composition auteur ; dimensions réelles à documenter</x:v>
      </x:c>
      <x:c r="I2845" s="115" t="str">
        <x:v>À équilibrer</x:v>
      </x:c>
      <x:c r="J2845" s="115" t="str">
        <x:v>Non</x:v>
      </x:c>
      <x:c r="K2845" s="115" t="str">
        <x:v>Pièces décrites, murs, portes, niveaux et mobilier inspectables à l’échelle. Volumes réservés, raccord au seed, butin, rencontres et services de campagne restent à terminer.</x:v>
      </x:c>
    </x:row>
    <x:row r="2846" ht="96" customHeight="1">
      <x:c r="A2846" s="115" t="str">
        <x:v>EXT-MONDE-T057-V41</x:v>
      </x:c>
      <x:c r="B2846" s="115" t="str">
        <x:v>EXT-MONDE-T057</x:v>
      </x:c>
      <x:c r="C2846" s="115" t="str">
        <x:v>Énergie</x:v>
      </x:c>
      <x:c r="D2846" s="115" t="str">
        <x:v>Centrale thermique</x:v>
      </x:c>
      <x:c r="E2846" s="115" t="n">
        <x:v>41</x:v>
      </x:c>
      <x:c r="F2846" s="115" t="str">
        <x:v>Inspection physique</x:v>
      </x:c>
      <x:c r="G2846" s="115" t="str">
        <x:v>1 niveaux ; 22 pièces ; 167 segments de mur ; 0 transitions. Inspection physique ; architecture complète encore ouverte.</x:v>
      </x:c>
      <x:c r="H2846" s="115" t="str">
        <x:v>L 502 ; l 520 ; hauteur 24 m ; choix de composition auteur ; dimensions réelles à documenter</x:v>
      </x:c>
      <x:c r="I2846" s="115" t="str">
        <x:v>À équilibrer</x:v>
      </x:c>
      <x:c r="J2846" s="115" t="str">
        <x:v>Non</x:v>
      </x:c>
      <x:c r="K2846" s="115" t="str">
        <x:v>Pièces décrites, murs, portes, niveaux et mobilier inspectables à l’échelle. Volumes réservés, raccord au seed, butin, rencontres et services de campagne restent à terminer.</x:v>
      </x:c>
    </x:row>
    <x:row r="2847" ht="96" customHeight="1">
      <x:c r="A2847" s="115" t="str">
        <x:v>EXT-MONDE-T057-V42</x:v>
      </x:c>
      <x:c r="B2847" s="115" t="str">
        <x:v>EXT-MONDE-T057</x:v>
      </x:c>
      <x:c r="C2847" s="115" t="str">
        <x:v>Énergie</x:v>
      </x:c>
      <x:c r="D2847" s="115" t="str">
        <x:v>Centrale thermique</x:v>
      </x:c>
      <x:c r="E2847" s="115" t="n">
        <x:v>42</x:v>
      </x:c>
      <x:c r="F2847" s="115" t="str">
        <x:v>Inspection physique</x:v>
      </x:c>
      <x:c r="G2847" s="115" t="str">
        <x:v>1 niveaux ; 22 pièces ; 167 segments de mur ; 0 transitions. Inspection physique ; architecture complète encore ouverte.</x:v>
      </x:c>
      <x:c r="H2847" s="115" t="str">
        <x:v>L 502 ; l 520 ; hauteur 24 m ; choix de composition auteur ; dimensions réelles à documenter</x:v>
      </x:c>
      <x:c r="I2847" s="115" t="str">
        <x:v>À équilibrer</x:v>
      </x:c>
      <x:c r="J2847" s="115" t="str">
        <x:v>Non</x:v>
      </x:c>
      <x:c r="K2847" s="115" t="str">
        <x:v>Pièces décrites, murs, portes, niveaux et mobilier inspectables à l’échelle. Volumes réservés, raccord au seed, butin, rencontres et services de campagne restent à terminer.</x:v>
      </x:c>
    </x:row>
    <x:row r="2848" ht="96" customHeight="1">
      <x:c r="A2848" s="115" t="str">
        <x:v>EXT-MONDE-T057-V43</x:v>
      </x:c>
      <x:c r="B2848" s="115" t="str">
        <x:v>EXT-MONDE-T057</x:v>
      </x:c>
      <x:c r="C2848" s="115" t="str">
        <x:v>Énergie</x:v>
      </x:c>
      <x:c r="D2848" s="115" t="str">
        <x:v>Centrale thermique</x:v>
      </x:c>
      <x:c r="E2848" s="115" t="n">
        <x:v>43</x:v>
      </x:c>
      <x:c r="F2848" s="115" t="str">
        <x:v>Inspection physique</x:v>
      </x:c>
      <x:c r="G2848" s="115" t="str">
        <x:v>1 niveaux ; 22 pièces ; 167 segments de mur ; 0 transitions. Inspection physique ; architecture complète encore ouverte.</x:v>
      </x:c>
      <x:c r="H2848" s="115" t="str">
        <x:v>L 502 ; l 520 ; hauteur 24 m ; choix de composition auteur ; dimensions réelles à documenter</x:v>
      </x:c>
      <x:c r="I2848" s="115" t="str">
        <x:v>À équilibrer</x:v>
      </x:c>
      <x:c r="J2848" s="115" t="str">
        <x:v>Non</x:v>
      </x:c>
      <x:c r="K2848" s="115" t="str">
        <x:v>Pièces décrites, murs, portes, niveaux et mobilier inspectables à l’échelle. Volumes réservés, raccord au seed, butin, rencontres et services de campagne restent à terminer.</x:v>
      </x:c>
    </x:row>
    <x:row r="2849" ht="96" customHeight="1">
      <x:c r="A2849" s="115" t="str">
        <x:v>EXT-MONDE-T057-V44</x:v>
      </x:c>
      <x:c r="B2849" s="115" t="str">
        <x:v>EXT-MONDE-T057</x:v>
      </x:c>
      <x:c r="C2849" s="115" t="str">
        <x:v>Énergie</x:v>
      </x:c>
      <x:c r="D2849" s="115" t="str">
        <x:v>Centrale thermique</x:v>
      </x:c>
      <x:c r="E2849" s="115" t="n">
        <x:v>44</x:v>
      </x:c>
      <x:c r="F2849" s="115" t="str">
        <x:v>Inspection physique</x:v>
      </x:c>
      <x:c r="G2849" s="115" t="str">
        <x:v>1 niveaux ; 22 pièces ; 167 segments de mur ; 0 transitions. Inspection physique ; architecture complète encore ouverte.</x:v>
      </x:c>
      <x:c r="H2849" s="115" t="str">
        <x:v>L 502 ; l 520 ; hauteur 24 m ; choix de composition auteur ; dimensions réelles à documenter</x:v>
      </x:c>
      <x:c r="I2849" s="115" t="str">
        <x:v>À équilibrer</x:v>
      </x:c>
      <x:c r="J2849" s="115" t="str">
        <x:v>Non</x:v>
      </x:c>
      <x:c r="K2849" s="115" t="str">
        <x:v>Pièces décrites, murs, portes, niveaux et mobilier inspectables à l’échelle. Volumes réservés, raccord au seed, butin, rencontres et services de campagne restent à terminer.</x:v>
      </x:c>
    </x:row>
    <x:row r="2850" ht="96" customHeight="1">
      <x:c r="A2850" s="115" t="str">
        <x:v>EXT-MONDE-T057-V45</x:v>
      </x:c>
      <x:c r="B2850" s="115" t="str">
        <x:v>EXT-MONDE-T057</x:v>
      </x:c>
      <x:c r="C2850" s="115" t="str">
        <x:v>Énergie</x:v>
      </x:c>
      <x:c r="D2850" s="115" t="str">
        <x:v>Centrale thermique</x:v>
      </x:c>
      <x:c r="E2850" s="115" t="n">
        <x:v>45</x:v>
      </x:c>
      <x:c r="F2850" s="115" t="str">
        <x:v>Inspection physique</x:v>
      </x:c>
      <x:c r="G2850" s="115" t="str">
        <x:v>1 niveaux ; 22 pièces ; 167 segments de mur ; 0 transitions. Inspection physique ; architecture complète encore ouverte.</x:v>
      </x:c>
      <x:c r="H2850" s="115" t="str">
        <x:v>L 502 ; l 520 ; hauteur 24 m ; choix de composition auteur ; dimensions réelles à documenter</x:v>
      </x:c>
      <x:c r="I2850" s="115" t="str">
        <x:v>À équilibrer</x:v>
      </x:c>
      <x:c r="J2850" s="115" t="str">
        <x:v>Non</x:v>
      </x:c>
      <x:c r="K2850" s="115" t="str">
        <x:v>Pièces décrites, murs, portes, niveaux et mobilier inspectables à l’échelle. Volumes réservés, raccord au seed, butin, rencontres et services de campagne restent à terminer.</x:v>
      </x:c>
    </x:row>
    <x:row r="2851" ht="96" customHeight="1">
      <x:c r="A2851" s="115" t="str">
        <x:v>EXT-MONDE-T057-V46</x:v>
      </x:c>
      <x:c r="B2851" s="115" t="str">
        <x:v>EXT-MONDE-T057</x:v>
      </x:c>
      <x:c r="C2851" s="115" t="str">
        <x:v>Énergie</x:v>
      </x:c>
      <x:c r="D2851" s="115" t="str">
        <x:v>Centrale thermique</x:v>
      </x:c>
      <x:c r="E2851" s="115" t="n">
        <x:v>46</x:v>
      </x:c>
      <x:c r="F2851" s="115" t="str">
        <x:v>Inspection physique</x:v>
      </x:c>
      <x:c r="G2851" s="115" t="str">
        <x:v>1 niveaux ; 22 pièces ; 167 segments de mur ; 0 transitions. Inspection physique ; architecture complète encore ouverte.</x:v>
      </x:c>
      <x:c r="H2851" s="115" t="str">
        <x:v>L 502 ; l 520 ; hauteur 24 m ; choix de composition auteur ; dimensions réelles à documenter</x:v>
      </x:c>
      <x:c r="I2851" s="115" t="str">
        <x:v>À équilibrer</x:v>
      </x:c>
      <x:c r="J2851" s="115" t="str">
        <x:v>Non</x:v>
      </x:c>
      <x:c r="K2851" s="115" t="str">
        <x:v>Pièces décrites, murs, portes, niveaux et mobilier inspectables à l’échelle. Volumes réservés, raccord au seed, butin, rencontres et services de campagne restent à terminer.</x:v>
      </x:c>
    </x:row>
    <x:row r="2852" ht="96" customHeight="1">
      <x:c r="A2852" s="115" t="str">
        <x:v>EXT-MONDE-T057-V47</x:v>
      </x:c>
      <x:c r="B2852" s="115" t="str">
        <x:v>EXT-MONDE-T057</x:v>
      </x:c>
      <x:c r="C2852" s="115" t="str">
        <x:v>Énergie</x:v>
      </x:c>
      <x:c r="D2852" s="115" t="str">
        <x:v>Centrale thermique</x:v>
      </x:c>
      <x:c r="E2852" s="115" t="n">
        <x:v>47</x:v>
      </x:c>
      <x:c r="F2852" s="115" t="str">
        <x:v>Inspection physique</x:v>
      </x:c>
      <x:c r="G2852" s="115" t="str">
        <x:v>1 niveaux ; 22 pièces ; 167 segments de mur ; 0 transitions. Inspection physique ; architecture complète encore ouverte.</x:v>
      </x:c>
      <x:c r="H2852" s="115" t="str">
        <x:v>L 502 ; l 520 ; hauteur 24 m ; choix de composition auteur ; dimensions réelles à documenter</x:v>
      </x:c>
      <x:c r="I2852" s="115" t="str">
        <x:v>À équilibrer</x:v>
      </x:c>
      <x:c r="J2852" s="115" t="str">
        <x:v>Non</x:v>
      </x:c>
      <x:c r="K2852" s="115" t="str">
        <x:v>Pièces décrites, murs, portes, niveaux et mobilier inspectables à l’échelle. Volumes réservés, raccord au seed, butin, rencontres et services de campagne restent à terminer.</x:v>
      </x:c>
    </x:row>
    <x:row r="2853" ht="96" customHeight="1">
      <x:c r="A2853" s="115" t="str">
        <x:v>EXT-MONDE-T057-V48</x:v>
      </x:c>
      <x:c r="B2853" s="115" t="str">
        <x:v>EXT-MONDE-T057</x:v>
      </x:c>
      <x:c r="C2853" s="115" t="str">
        <x:v>Énergie</x:v>
      </x:c>
      <x:c r="D2853" s="115" t="str">
        <x:v>Centrale thermique</x:v>
      </x:c>
      <x:c r="E2853" s="115" t="n">
        <x:v>48</x:v>
      </x:c>
      <x:c r="F2853" s="115" t="str">
        <x:v>Inspection physique</x:v>
      </x:c>
      <x:c r="G2853" s="115" t="str">
        <x:v>1 niveaux ; 22 pièces ; 167 segments de mur ; 0 transitions. Inspection physique ; architecture complète encore ouverte.</x:v>
      </x:c>
      <x:c r="H2853" s="115" t="str">
        <x:v>L 502 ; l 520 ; hauteur 24 m ; choix de composition auteur ; dimensions réelles à documenter</x:v>
      </x:c>
      <x:c r="I2853" s="115" t="str">
        <x:v>À équilibrer</x:v>
      </x:c>
      <x:c r="J2853" s="115" t="str">
        <x:v>Non</x:v>
      </x:c>
      <x:c r="K2853" s="115" t="str">
        <x:v>Pièces décrites, murs, portes, niveaux et mobilier inspectables à l’échelle. Volumes réservés, raccord au seed, butin, rencontres et services de campagne restent à terminer.</x:v>
      </x:c>
    </x:row>
    <x:row r="2854" ht="96" customHeight="1">
      <x:c r="A2854" s="115" t="str">
        <x:v>EXT-MONDE-T057-V49</x:v>
      </x:c>
      <x:c r="B2854" s="115" t="str">
        <x:v>EXT-MONDE-T057</x:v>
      </x:c>
      <x:c r="C2854" s="115" t="str">
        <x:v>Énergie</x:v>
      </x:c>
      <x:c r="D2854" s="115" t="str">
        <x:v>Centrale thermique</x:v>
      </x:c>
      <x:c r="E2854" s="115" t="n">
        <x:v>49</x:v>
      </x:c>
      <x:c r="F2854" s="115" t="str">
        <x:v>Inspection physique</x:v>
      </x:c>
      <x:c r="G2854" s="115" t="str">
        <x:v>1 niveaux ; 22 pièces ; 167 segments de mur ; 0 transitions. Inspection physique ; architecture complète encore ouverte.</x:v>
      </x:c>
      <x:c r="H2854" s="115" t="str">
        <x:v>L 502 ; l 520 ; hauteur 24 m ; choix de composition auteur ; dimensions réelles à documenter</x:v>
      </x:c>
      <x:c r="I2854" s="115" t="str">
        <x:v>À équilibrer</x:v>
      </x:c>
      <x:c r="J2854" s="115" t="str">
        <x:v>Non</x:v>
      </x:c>
      <x:c r="K2854" s="115" t="str">
        <x:v>Pièces décrites, murs, portes, niveaux et mobilier inspectables à l’échelle. Volumes réservés, raccord au seed, butin, rencontres et services de campagne restent à terminer.</x:v>
      </x:c>
    </x:row>
    <x:row r="2855" ht="96" customHeight="1">
      <x:c r="A2855" s="115" t="str">
        <x:v>EXT-MONDE-T057-V50</x:v>
      </x:c>
      <x:c r="B2855" s="115" t="str">
        <x:v>EXT-MONDE-T057</x:v>
      </x:c>
      <x:c r="C2855" s="115" t="str">
        <x:v>Énergie</x:v>
      </x:c>
      <x:c r="D2855" s="115" t="str">
        <x:v>Centrale thermique</x:v>
      </x:c>
      <x:c r="E2855" s="115" t="n">
        <x:v>50</x:v>
      </x:c>
      <x:c r="F2855" s="115" t="str">
        <x:v>Inspection physique</x:v>
      </x:c>
      <x:c r="G2855" s="115" t="str">
        <x:v>1 niveaux ; 22 pièces ; 167 segments de mur ; 0 transitions. Inspection physique ; architecture complète encore ouverte.</x:v>
      </x:c>
      <x:c r="H2855" s="115" t="str">
        <x:v>L 502 ; l 520 ; hauteur 24 m ; choix de composition auteur ; dimensions réelles à documenter</x:v>
      </x:c>
      <x:c r="I2855" s="115" t="str">
        <x:v>À équilibrer</x:v>
      </x:c>
      <x:c r="J2855" s="115" t="str">
        <x:v>Non</x:v>
      </x:c>
      <x:c r="K2855" s="115" t="str">
        <x:v>Pièces décrites, murs, portes, niveaux et mobilier inspectables à l’échelle. Volumes réservés, raccord au seed, butin, rencontres et services de campagne restent à terminer.</x:v>
      </x:c>
    </x:row>
    <x:row r="2856" ht="96" customHeight="1">
      <x:c r="A2856" s="115" t="str">
        <x:v>EXT-MONDE-T058-V01</x:v>
      </x:c>
      <x:c r="B2856" s="115" t="str">
        <x:v>EXT-MONDE-T058</x:v>
      </x:c>
      <x:c r="C2856" s="115" t="str">
        <x:v>Énergie</x:v>
      </x:c>
      <x:c r="D2856" s="115" t="str">
        <x:v>Centrale hydroélectrique</x:v>
      </x:c>
      <x:c r="E2856" s="115" t="n">
        <x:v>1</x:v>
      </x:c>
      <x:c r="F2856" s="115" t="str">
        <x:v>Inspection physique</x:v>
      </x:c>
      <x:c r="G2856" s="115" t="str">
        <x:v>1 niveaux ; 22 pièces ; 167 segments de mur ; 0 transitions. Inspection physique ; architecture complète encore ouverte.</x:v>
      </x:c>
      <x:c r="H2856" s="115" t="str">
        <x:v>L 430 ; l 440 ; hauteur 9 m ; choix de composition auteur ; dimensions réelles à documenter</x:v>
      </x:c>
      <x:c r="I2856" s="115" t="str">
        <x:v>À équilibrer</x:v>
      </x:c>
      <x:c r="J2856" s="115" t="str">
        <x:v>Non</x:v>
      </x:c>
      <x:c r="K2856" s="115" t="str">
        <x:v>Pièces décrites, murs, portes, niveaux et mobilier inspectables à l’échelle. Volumes réservés, raccord au seed, butin, rencontres et services de campagne restent à terminer.</x:v>
      </x:c>
    </x:row>
    <x:row r="2857" ht="96" customHeight="1">
      <x:c r="A2857" s="115" t="str">
        <x:v>EXT-MONDE-T058-V02</x:v>
      </x:c>
      <x:c r="B2857" s="115" t="str">
        <x:v>EXT-MONDE-T058</x:v>
      </x:c>
      <x:c r="C2857" s="115" t="str">
        <x:v>Énergie</x:v>
      </x:c>
      <x:c r="D2857" s="115" t="str">
        <x:v>Centrale hydroélectrique</x:v>
      </x:c>
      <x:c r="E2857" s="115" t="n">
        <x:v>2</x:v>
      </x:c>
      <x:c r="F2857" s="115" t="str">
        <x:v>Inspection physique</x:v>
      </x:c>
      <x:c r="G2857" s="115" t="str">
        <x:v>1 niveaux ; 22 pièces ; 167 segments de mur ; 0 transitions. Inspection physique ; architecture complète encore ouverte.</x:v>
      </x:c>
      <x:c r="H2857" s="115" t="str">
        <x:v>L 430 ; l 440 ; hauteur 9 m ; choix de composition auteur ; dimensions réelles à documenter</x:v>
      </x:c>
      <x:c r="I2857" s="115" t="str">
        <x:v>À équilibrer</x:v>
      </x:c>
      <x:c r="J2857" s="115" t="str">
        <x:v>Non</x:v>
      </x:c>
      <x:c r="K2857" s="115" t="str">
        <x:v>Pièces décrites, murs, portes, niveaux et mobilier inspectables à l’échelle. Volumes réservés, raccord au seed, butin, rencontres et services de campagne restent à terminer.</x:v>
      </x:c>
    </x:row>
    <x:row r="2858" ht="96" customHeight="1">
      <x:c r="A2858" s="115" t="str">
        <x:v>EXT-MONDE-T058-V03</x:v>
      </x:c>
      <x:c r="B2858" s="115" t="str">
        <x:v>EXT-MONDE-T058</x:v>
      </x:c>
      <x:c r="C2858" s="115" t="str">
        <x:v>Énergie</x:v>
      </x:c>
      <x:c r="D2858" s="115" t="str">
        <x:v>Centrale hydroélectrique</x:v>
      </x:c>
      <x:c r="E2858" s="115" t="n">
        <x:v>3</x:v>
      </x:c>
      <x:c r="F2858" s="115" t="str">
        <x:v>Inspection physique</x:v>
      </x:c>
      <x:c r="G2858" s="115" t="str">
        <x:v>1 niveaux ; 22 pièces ; 167 segments de mur ; 0 transitions. Inspection physique ; architecture complète encore ouverte.</x:v>
      </x:c>
      <x:c r="H2858" s="115" t="str">
        <x:v>L 430 ; l 440 ; hauteur 9 m ; choix de composition auteur ; dimensions réelles à documenter</x:v>
      </x:c>
      <x:c r="I2858" s="115" t="str">
        <x:v>À équilibrer</x:v>
      </x:c>
      <x:c r="J2858" s="115" t="str">
        <x:v>Non</x:v>
      </x:c>
      <x:c r="K2858" s="115" t="str">
        <x:v>Pièces décrites, murs, portes, niveaux et mobilier inspectables à l’échelle. Volumes réservés, raccord au seed, butin, rencontres et services de campagne restent à terminer.</x:v>
      </x:c>
    </x:row>
    <x:row r="2859" ht="96" customHeight="1">
      <x:c r="A2859" s="115" t="str">
        <x:v>EXT-MONDE-T058-V04</x:v>
      </x:c>
      <x:c r="B2859" s="115" t="str">
        <x:v>EXT-MONDE-T058</x:v>
      </x:c>
      <x:c r="C2859" s="115" t="str">
        <x:v>Énergie</x:v>
      </x:c>
      <x:c r="D2859" s="115" t="str">
        <x:v>Centrale hydroélectrique</x:v>
      </x:c>
      <x:c r="E2859" s="115" t="n">
        <x:v>4</x:v>
      </x:c>
      <x:c r="F2859" s="115" t="str">
        <x:v>Inspection physique</x:v>
      </x:c>
      <x:c r="G2859" s="115" t="str">
        <x:v>1 niveaux ; 22 pièces ; 167 segments de mur ; 0 transitions. Inspection physique ; architecture complète encore ouverte.</x:v>
      </x:c>
      <x:c r="H2859" s="115" t="str">
        <x:v>L 430 ; l 440 ; hauteur 9 m ; choix de composition auteur ; dimensions réelles à documenter</x:v>
      </x:c>
      <x:c r="I2859" s="115" t="str">
        <x:v>À équilibrer</x:v>
      </x:c>
      <x:c r="J2859" s="115" t="str">
        <x:v>Non</x:v>
      </x:c>
      <x:c r="K2859" s="115" t="str">
        <x:v>Pièces décrites, murs, portes, niveaux et mobilier inspectables à l’échelle. Volumes réservés, raccord au seed, butin, rencontres et services de campagne restent à terminer.</x:v>
      </x:c>
    </x:row>
    <x:row r="2860" ht="96" customHeight="1">
      <x:c r="A2860" s="115" t="str">
        <x:v>EXT-MONDE-T058-V05</x:v>
      </x:c>
      <x:c r="B2860" s="115" t="str">
        <x:v>EXT-MONDE-T058</x:v>
      </x:c>
      <x:c r="C2860" s="115" t="str">
        <x:v>Énergie</x:v>
      </x:c>
      <x:c r="D2860" s="115" t="str">
        <x:v>Centrale hydroélectrique</x:v>
      </x:c>
      <x:c r="E2860" s="115" t="n">
        <x:v>5</x:v>
      </x:c>
      <x:c r="F2860" s="115" t="str">
        <x:v>Inspection physique</x:v>
      </x:c>
      <x:c r="G2860" s="115" t="str">
        <x:v>1 niveaux ; 22 pièces ; 167 segments de mur ; 0 transitions. Inspection physique ; architecture complète encore ouverte.</x:v>
      </x:c>
      <x:c r="H2860" s="115" t="str">
        <x:v>L 430 ; l 440 ; hauteur 9 m ; choix de composition auteur ; dimensions réelles à documenter</x:v>
      </x:c>
      <x:c r="I2860" s="115" t="str">
        <x:v>À équilibrer</x:v>
      </x:c>
      <x:c r="J2860" s="115" t="str">
        <x:v>Non</x:v>
      </x:c>
      <x:c r="K2860" s="115" t="str">
        <x:v>Pièces décrites, murs, portes, niveaux et mobilier inspectables à l’échelle. Volumes réservés, raccord au seed, butin, rencontres et services de campagne restent à terminer.</x:v>
      </x:c>
    </x:row>
    <x:row r="2861" ht="96" customHeight="1">
      <x:c r="A2861" s="115" t="str">
        <x:v>EXT-MONDE-T058-V06</x:v>
      </x:c>
      <x:c r="B2861" s="115" t="str">
        <x:v>EXT-MONDE-T058</x:v>
      </x:c>
      <x:c r="C2861" s="115" t="str">
        <x:v>Énergie</x:v>
      </x:c>
      <x:c r="D2861" s="115" t="str">
        <x:v>Centrale hydroélectrique</x:v>
      </x:c>
      <x:c r="E2861" s="115" t="n">
        <x:v>6</x:v>
      </x:c>
      <x:c r="F2861" s="115" t="str">
        <x:v>Inspection physique</x:v>
      </x:c>
      <x:c r="G2861" s="115" t="str">
        <x:v>1 niveaux ; 22 pièces ; 167 segments de mur ; 0 transitions. Inspection physique ; architecture complète encore ouverte.</x:v>
      </x:c>
      <x:c r="H2861" s="115" t="str">
        <x:v>L 430 ; l 440 ; hauteur 9 m ; choix de composition auteur ; dimensions réelles à documenter</x:v>
      </x:c>
      <x:c r="I2861" s="115" t="str">
        <x:v>À équilibrer</x:v>
      </x:c>
      <x:c r="J2861" s="115" t="str">
        <x:v>Non</x:v>
      </x:c>
      <x:c r="K2861" s="115" t="str">
        <x:v>Pièces décrites, murs, portes, niveaux et mobilier inspectables à l’échelle. Volumes réservés, raccord au seed, butin, rencontres et services de campagne restent à terminer.</x:v>
      </x:c>
    </x:row>
    <x:row r="2862" ht="96" customHeight="1">
      <x:c r="A2862" s="115" t="str">
        <x:v>EXT-MONDE-T058-V07</x:v>
      </x:c>
      <x:c r="B2862" s="115" t="str">
        <x:v>EXT-MONDE-T058</x:v>
      </x:c>
      <x:c r="C2862" s="115" t="str">
        <x:v>Énergie</x:v>
      </x:c>
      <x:c r="D2862" s="115" t="str">
        <x:v>Centrale hydroélectrique</x:v>
      </x:c>
      <x:c r="E2862" s="115" t="n">
        <x:v>7</x:v>
      </x:c>
      <x:c r="F2862" s="115" t="str">
        <x:v>Inspection physique</x:v>
      </x:c>
      <x:c r="G2862" s="115" t="str">
        <x:v>1 niveaux ; 22 pièces ; 167 segments de mur ; 0 transitions. Inspection physique ; architecture complète encore ouverte.</x:v>
      </x:c>
      <x:c r="H2862" s="115" t="str">
        <x:v>L 430 ; l 440 ; hauteur 9 m ; choix de composition auteur ; dimensions réelles à documenter</x:v>
      </x:c>
      <x:c r="I2862" s="115" t="str">
        <x:v>À équilibrer</x:v>
      </x:c>
      <x:c r="J2862" s="115" t="str">
        <x:v>Non</x:v>
      </x:c>
      <x:c r="K2862" s="115" t="str">
        <x:v>Pièces décrites, murs, portes, niveaux et mobilier inspectables à l’échelle. Volumes réservés, raccord au seed, butin, rencontres et services de campagne restent à terminer.</x:v>
      </x:c>
    </x:row>
    <x:row r="2863" ht="96" customHeight="1">
      <x:c r="A2863" s="115" t="str">
        <x:v>EXT-MONDE-T058-V08</x:v>
      </x:c>
      <x:c r="B2863" s="115" t="str">
        <x:v>EXT-MONDE-T058</x:v>
      </x:c>
      <x:c r="C2863" s="115" t="str">
        <x:v>Énergie</x:v>
      </x:c>
      <x:c r="D2863" s="115" t="str">
        <x:v>Centrale hydroélectrique</x:v>
      </x:c>
      <x:c r="E2863" s="115" t="n">
        <x:v>8</x:v>
      </x:c>
      <x:c r="F2863" s="115" t="str">
        <x:v>Inspection physique</x:v>
      </x:c>
      <x:c r="G2863" s="115" t="str">
        <x:v>1 niveaux ; 22 pièces ; 167 segments de mur ; 0 transitions. Inspection physique ; architecture complète encore ouverte.</x:v>
      </x:c>
      <x:c r="H2863" s="115" t="str">
        <x:v>L 430 ; l 440 ; hauteur 9 m ; choix de composition auteur ; dimensions réelles à documenter</x:v>
      </x:c>
      <x:c r="I2863" s="115" t="str">
        <x:v>À équilibrer</x:v>
      </x:c>
      <x:c r="J2863" s="115" t="str">
        <x:v>Non</x:v>
      </x:c>
      <x:c r="K2863" s="115" t="str">
        <x:v>Pièces décrites, murs, portes, niveaux et mobilier inspectables à l’échelle. Volumes réservés, raccord au seed, butin, rencontres et services de campagne restent à terminer.</x:v>
      </x:c>
    </x:row>
    <x:row r="2864" ht="96" customHeight="1">
      <x:c r="A2864" s="115" t="str">
        <x:v>EXT-MONDE-T058-V09</x:v>
      </x:c>
      <x:c r="B2864" s="115" t="str">
        <x:v>EXT-MONDE-T058</x:v>
      </x:c>
      <x:c r="C2864" s="115" t="str">
        <x:v>Énergie</x:v>
      </x:c>
      <x:c r="D2864" s="115" t="str">
        <x:v>Centrale hydroélectrique</x:v>
      </x:c>
      <x:c r="E2864" s="115" t="n">
        <x:v>9</x:v>
      </x:c>
      <x:c r="F2864" s="115" t="str">
        <x:v>Inspection physique</x:v>
      </x:c>
      <x:c r="G2864" s="115" t="str">
        <x:v>1 niveaux ; 22 pièces ; 167 segments de mur ; 0 transitions. Inspection physique ; architecture complète encore ouverte.</x:v>
      </x:c>
      <x:c r="H2864" s="115" t="str">
        <x:v>L 430 ; l 440 ; hauteur 9 m ; choix de composition auteur ; dimensions réelles à documenter</x:v>
      </x:c>
      <x:c r="I2864" s="115" t="str">
        <x:v>À équilibrer</x:v>
      </x:c>
      <x:c r="J2864" s="115" t="str">
        <x:v>Non</x:v>
      </x:c>
      <x:c r="K2864" s="115" t="str">
        <x:v>Pièces décrites, murs, portes, niveaux et mobilier inspectables à l’échelle. Volumes réservés, raccord au seed, butin, rencontres et services de campagne restent à terminer.</x:v>
      </x:c>
    </x:row>
    <x:row r="2865" ht="96" customHeight="1">
      <x:c r="A2865" s="115" t="str">
        <x:v>EXT-MONDE-T058-V10</x:v>
      </x:c>
      <x:c r="B2865" s="115" t="str">
        <x:v>EXT-MONDE-T058</x:v>
      </x:c>
      <x:c r="C2865" s="115" t="str">
        <x:v>Énergie</x:v>
      </x:c>
      <x:c r="D2865" s="115" t="str">
        <x:v>Centrale hydroélectrique</x:v>
      </x:c>
      <x:c r="E2865" s="115" t="n">
        <x:v>10</x:v>
      </x:c>
      <x:c r="F2865" s="115" t="str">
        <x:v>Inspection physique</x:v>
      </x:c>
      <x:c r="G2865" s="115" t="str">
        <x:v>1 niveaux ; 22 pièces ; 167 segments de mur ; 0 transitions. Inspection physique ; architecture complète encore ouverte.</x:v>
      </x:c>
      <x:c r="H2865" s="115" t="str">
        <x:v>L 430 ; l 440 ; hauteur 9 m ; choix de composition auteur ; dimensions réelles à documenter</x:v>
      </x:c>
      <x:c r="I2865" s="115" t="str">
        <x:v>À équilibrer</x:v>
      </x:c>
      <x:c r="J2865" s="115" t="str">
        <x:v>Non</x:v>
      </x:c>
      <x:c r="K2865" s="115" t="str">
        <x:v>Pièces décrites, murs, portes, niveaux et mobilier inspectables à l’échelle. Volumes réservés, raccord au seed, butin, rencontres et services de campagne restent à terminer.</x:v>
      </x:c>
    </x:row>
    <x:row r="2866" ht="96" customHeight="1">
      <x:c r="A2866" s="115" t="str">
        <x:v>EXT-MONDE-T058-V11</x:v>
      </x:c>
      <x:c r="B2866" s="115" t="str">
        <x:v>EXT-MONDE-T058</x:v>
      </x:c>
      <x:c r="C2866" s="115" t="str">
        <x:v>Énergie</x:v>
      </x:c>
      <x:c r="D2866" s="115" t="str">
        <x:v>Centrale hydroélectrique</x:v>
      </x:c>
      <x:c r="E2866" s="115" t="n">
        <x:v>11</x:v>
      </x:c>
      <x:c r="F2866" s="115" t="str">
        <x:v>Inspection physique</x:v>
      </x:c>
      <x:c r="G2866" s="115" t="str">
        <x:v>1 niveaux ; 22 pièces ; 167 segments de mur ; 0 transitions. Inspection physique ; architecture complète encore ouverte.</x:v>
      </x:c>
      <x:c r="H2866" s="115" t="str">
        <x:v>L 448 ; l 460 ; hauteur 9,2 m ; choix de composition auteur ; dimensions réelles à documenter</x:v>
      </x:c>
      <x:c r="I2866" s="115" t="str">
        <x:v>À équilibrer</x:v>
      </x:c>
      <x:c r="J2866" s="115" t="str">
        <x:v>Non</x:v>
      </x:c>
      <x:c r="K2866" s="115" t="str">
        <x:v>Pièces décrites, murs, portes, niveaux et mobilier inspectables à l’échelle. Volumes réservés, raccord au seed, butin, rencontres et services de campagne restent à terminer.</x:v>
      </x:c>
    </x:row>
    <x:row r="2867" ht="96" customHeight="1">
      <x:c r="A2867" s="115" t="str">
        <x:v>EXT-MONDE-T058-V12</x:v>
      </x:c>
      <x:c r="B2867" s="115" t="str">
        <x:v>EXT-MONDE-T058</x:v>
      </x:c>
      <x:c r="C2867" s="115" t="str">
        <x:v>Énergie</x:v>
      </x:c>
      <x:c r="D2867" s="115" t="str">
        <x:v>Centrale hydroélectrique</x:v>
      </x:c>
      <x:c r="E2867" s="115" t="n">
        <x:v>12</x:v>
      </x:c>
      <x:c r="F2867" s="115" t="str">
        <x:v>Inspection physique</x:v>
      </x:c>
      <x:c r="G2867" s="115" t="str">
        <x:v>1 niveaux ; 22 pièces ; 167 segments de mur ; 0 transitions. Inspection physique ; architecture complète encore ouverte.</x:v>
      </x:c>
      <x:c r="H2867" s="115" t="str">
        <x:v>L 448 ; l 460 ; hauteur 9,2 m ; choix de composition auteur ; dimensions réelles à documenter</x:v>
      </x:c>
      <x:c r="I2867" s="115" t="str">
        <x:v>À équilibrer</x:v>
      </x:c>
      <x:c r="J2867" s="115" t="str">
        <x:v>Non</x:v>
      </x:c>
      <x:c r="K2867" s="115" t="str">
        <x:v>Pièces décrites, murs, portes, niveaux et mobilier inspectables à l’échelle. Volumes réservés, raccord au seed, butin, rencontres et services de campagne restent à terminer.</x:v>
      </x:c>
    </x:row>
    <x:row r="2868" ht="96" customHeight="1">
      <x:c r="A2868" s="115" t="str">
        <x:v>EXT-MONDE-T058-V13</x:v>
      </x:c>
      <x:c r="B2868" s="115" t="str">
        <x:v>EXT-MONDE-T058</x:v>
      </x:c>
      <x:c r="C2868" s="115" t="str">
        <x:v>Énergie</x:v>
      </x:c>
      <x:c r="D2868" s="115" t="str">
        <x:v>Centrale hydroélectrique</x:v>
      </x:c>
      <x:c r="E2868" s="115" t="n">
        <x:v>13</x:v>
      </x:c>
      <x:c r="F2868" s="115" t="str">
        <x:v>Inspection physique</x:v>
      </x:c>
      <x:c r="G2868" s="115" t="str">
        <x:v>1 niveaux ; 22 pièces ; 167 segments de mur ; 0 transitions. Inspection physique ; architecture complète encore ouverte.</x:v>
      </x:c>
      <x:c r="H2868" s="115" t="str">
        <x:v>L 448 ; l 460 ; hauteur 9,2 m ; choix de composition auteur ; dimensions réelles à documenter</x:v>
      </x:c>
      <x:c r="I2868" s="115" t="str">
        <x:v>À équilibrer</x:v>
      </x:c>
      <x:c r="J2868" s="115" t="str">
        <x:v>Non</x:v>
      </x:c>
      <x:c r="K2868" s="115" t="str">
        <x:v>Pièces décrites, murs, portes, niveaux et mobilier inspectables à l’échelle. Volumes réservés, raccord au seed, butin, rencontres et services de campagne restent à terminer.</x:v>
      </x:c>
    </x:row>
    <x:row r="2869" ht="96" customHeight="1">
      <x:c r="A2869" s="115" t="str">
        <x:v>EXT-MONDE-T058-V14</x:v>
      </x:c>
      <x:c r="B2869" s="115" t="str">
        <x:v>EXT-MONDE-T058</x:v>
      </x:c>
      <x:c r="C2869" s="115" t="str">
        <x:v>Énergie</x:v>
      </x:c>
      <x:c r="D2869" s="115" t="str">
        <x:v>Centrale hydroélectrique</x:v>
      </x:c>
      <x:c r="E2869" s="115" t="n">
        <x:v>14</x:v>
      </x:c>
      <x:c r="F2869" s="115" t="str">
        <x:v>Inspection physique</x:v>
      </x:c>
      <x:c r="G2869" s="115" t="str">
        <x:v>1 niveaux ; 22 pièces ; 167 segments de mur ; 0 transitions. Inspection physique ; architecture complète encore ouverte.</x:v>
      </x:c>
      <x:c r="H2869" s="115" t="str">
        <x:v>L 448 ; l 460 ; hauteur 9,2 m ; choix de composition auteur ; dimensions réelles à documenter</x:v>
      </x:c>
      <x:c r="I2869" s="115" t="str">
        <x:v>À équilibrer</x:v>
      </x:c>
      <x:c r="J2869" s="115" t="str">
        <x:v>Non</x:v>
      </x:c>
      <x:c r="K2869" s="115" t="str">
        <x:v>Pièces décrites, murs, portes, niveaux et mobilier inspectables à l’échelle. Volumes réservés, raccord au seed, butin, rencontres et services de campagne restent à terminer.</x:v>
      </x:c>
    </x:row>
    <x:row r="2870" ht="96" customHeight="1">
      <x:c r="A2870" s="115" t="str">
        <x:v>EXT-MONDE-T058-V15</x:v>
      </x:c>
      <x:c r="B2870" s="115" t="str">
        <x:v>EXT-MONDE-T058</x:v>
      </x:c>
      <x:c r="C2870" s="115" t="str">
        <x:v>Énergie</x:v>
      </x:c>
      <x:c r="D2870" s="115" t="str">
        <x:v>Centrale hydroélectrique</x:v>
      </x:c>
      <x:c r="E2870" s="115" t="n">
        <x:v>15</x:v>
      </x:c>
      <x:c r="F2870" s="115" t="str">
        <x:v>Inspection physique</x:v>
      </x:c>
      <x:c r="G2870" s="115" t="str">
        <x:v>1 niveaux ; 22 pièces ; 167 segments de mur ; 0 transitions. Inspection physique ; architecture complète encore ouverte.</x:v>
      </x:c>
      <x:c r="H2870" s="115" t="str">
        <x:v>L 448 ; l 460 ; hauteur 9,2 m ; choix de composition auteur ; dimensions réelles à documenter</x:v>
      </x:c>
      <x:c r="I2870" s="115" t="str">
        <x:v>À équilibrer</x:v>
      </x:c>
      <x:c r="J2870" s="115" t="str">
        <x:v>Non</x:v>
      </x:c>
      <x:c r="K2870" s="115" t="str">
        <x:v>Pièces décrites, murs, portes, niveaux et mobilier inspectables à l’échelle. Volumes réservés, raccord au seed, butin, rencontres et services de campagne restent à terminer.</x:v>
      </x:c>
    </x:row>
    <x:row r="2871" ht="96" customHeight="1">
      <x:c r="A2871" s="115" t="str">
        <x:v>EXT-MONDE-T058-V16</x:v>
      </x:c>
      <x:c r="B2871" s="115" t="str">
        <x:v>EXT-MONDE-T058</x:v>
      </x:c>
      <x:c r="C2871" s="115" t="str">
        <x:v>Énergie</x:v>
      </x:c>
      <x:c r="D2871" s="115" t="str">
        <x:v>Centrale hydroélectrique</x:v>
      </x:c>
      <x:c r="E2871" s="115" t="n">
        <x:v>16</x:v>
      </x:c>
      <x:c r="F2871" s="115" t="str">
        <x:v>Inspection physique</x:v>
      </x:c>
      <x:c r="G2871" s="115" t="str">
        <x:v>1 niveaux ; 22 pièces ; 167 segments de mur ; 0 transitions. Inspection physique ; architecture complète encore ouverte.</x:v>
      </x:c>
      <x:c r="H2871" s="115" t="str">
        <x:v>L 448 ; l 460 ; hauteur 9,2 m ; choix de composition auteur ; dimensions réelles à documenter</x:v>
      </x:c>
      <x:c r="I2871" s="115" t="str">
        <x:v>À équilibrer</x:v>
      </x:c>
      <x:c r="J2871" s="115" t="str">
        <x:v>Non</x:v>
      </x:c>
      <x:c r="K2871" s="115" t="str">
        <x:v>Pièces décrites, murs, portes, niveaux et mobilier inspectables à l’échelle. Volumes réservés, raccord au seed, butin, rencontres et services de campagne restent à terminer.</x:v>
      </x:c>
    </x:row>
    <x:row r="2872" ht="96" customHeight="1">
      <x:c r="A2872" s="115" t="str">
        <x:v>EXT-MONDE-T058-V17</x:v>
      </x:c>
      <x:c r="B2872" s="115" t="str">
        <x:v>EXT-MONDE-T058</x:v>
      </x:c>
      <x:c r="C2872" s="115" t="str">
        <x:v>Énergie</x:v>
      </x:c>
      <x:c r="D2872" s="115" t="str">
        <x:v>Centrale hydroélectrique</x:v>
      </x:c>
      <x:c r="E2872" s="115" t="n">
        <x:v>17</x:v>
      </x:c>
      <x:c r="F2872" s="115" t="str">
        <x:v>Inspection physique</x:v>
      </x:c>
      <x:c r="G2872" s="115" t="str">
        <x:v>1 niveaux ; 22 pièces ; 167 segments de mur ; 0 transitions. Inspection physique ; architecture complète encore ouverte.</x:v>
      </x:c>
      <x:c r="H2872" s="115" t="str">
        <x:v>L 448 ; l 460 ; hauteur 9,2 m ; choix de composition auteur ; dimensions réelles à documenter</x:v>
      </x:c>
      <x:c r="I2872" s="115" t="str">
        <x:v>À équilibrer</x:v>
      </x:c>
      <x:c r="J2872" s="115" t="str">
        <x:v>Non</x:v>
      </x:c>
      <x:c r="K2872" s="115" t="str">
        <x:v>Pièces décrites, murs, portes, niveaux et mobilier inspectables à l’échelle. Volumes réservés, raccord au seed, butin, rencontres et services de campagne restent à terminer.</x:v>
      </x:c>
    </x:row>
    <x:row r="2873" ht="96" customHeight="1">
      <x:c r="A2873" s="115" t="str">
        <x:v>EXT-MONDE-T058-V18</x:v>
      </x:c>
      <x:c r="B2873" s="115" t="str">
        <x:v>EXT-MONDE-T058</x:v>
      </x:c>
      <x:c r="C2873" s="115" t="str">
        <x:v>Énergie</x:v>
      </x:c>
      <x:c r="D2873" s="115" t="str">
        <x:v>Centrale hydroélectrique</x:v>
      </x:c>
      <x:c r="E2873" s="115" t="n">
        <x:v>18</x:v>
      </x:c>
      <x:c r="F2873" s="115" t="str">
        <x:v>Inspection physique</x:v>
      </x:c>
      <x:c r="G2873" s="115" t="str">
        <x:v>1 niveaux ; 22 pièces ; 167 segments de mur ; 0 transitions. Inspection physique ; architecture complète encore ouverte.</x:v>
      </x:c>
      <x:c r="H2873" s="115" t="str">
        <x:v>L 448 ; l 460 ; hauteur 9,2 m ; choix de composition auteur ; dimensions réelles à documenter</x:v>
      </x:c>
      <x:c r="I2873" s="115" t="str">
        <x:v>À équilibrer</x:v>
      </x:c>
      <x:c r="J2873" s="115" t="str">
        <x:v>Non</x:v>
      </x:c>
      <x:c r="K2873" s="115" t="str">
        <x:v>Pièces décrites, murs, portes, niveaux et mobilier inspectables à l’échelle. Volumes réservés, raccord au seed, butin, rencontres et services de campagne restent à terminer.</x:v>
      </x:c>
    </x:row>
    <x:row r="2874" ht="96" customHeight="1">
      <x:c r="A2874" s="115" t="str">
        <x:v>EXT-MONDE-T058-V19</x:v>
      </x:c>
      <x:c r="B2874" s="115" t="str">
        <x:v>EXT-MONDE-T058</x:v>
      </x:c>
      <x:c r="C2874" s="115" t="str">
        <x:v>Énergie</x:v>
      </x:c>
      <x:c r="D2874" s="115" t="str">
        <x:v>Centrale hydroélectrique</x:v>
      </x:c>
      <x:c r="E2874" s="115" t="n">
        <x:v>19</x:v>
      </x:c>
      <x:c r="F2874" s="115" t="str">
        <x:v>Inspection physique</x:v>
      </x:c>
      <x:c r="G2874" s="115" t="str">
        <x:v>1 niveaux ; 22 pièces ; 167 segments de mur ; 0 transitions. Inspection physique ; architecture complète encore ouverte.</x:v>
      </x:c>
      <x:c r="H2874" s="115" t="str">
        <x:v>L 448 ; l 460 ; hauteur 9,2 m ; choix de composition auteur ; dimensions réelles à documenter</x:v>
      </x:c>
      <x:c r="I2874" s="115" t="str">
        <x:v>À équilibrer</x:v>
      </x:c>
      <x:c r="J2874" s="115" t="str">
        <x:v>Non</x:v>
      </x:c>
      <x:c r="K2874" s="115" t="str">
        <x:v>Pièces décrites, murs, portes, niveaux et mobilier inspectables à l’échelle. Volumes réservés, raccord au seed, butin, rencontres et services de campagne restent à terminer.</x:v>
      </x:c>
    </x:row>
    <x:row r="2875" ht="96" customHeight="1">
      <x:c r="A2875" s="115" t="str">
        <x:v>EXT-MONDE-T058-V20</x:v>
      </x:c>
      <x:c r="B2875" s="115" t="str">
        <x:v>EXT-MONDE-T058</x:v>
      </x:c>
      <x:c r="C2875" s="115" t="str">
        <x:v>Énergie</x:v>
      </x:c>
      <x:c r="D2875" s="115" t="str">
        <x:v>Centrale hydroélectrique</x:v>
      </x:c>
      <x:c r="E2875" s="115" t="n">
        <x:v>20</x:v>
      </x:c>
      <x:c r="F2875" s="115" t="str">
        <x:v>Inspection physique</x:v>
      </x:c>
      <x:c r="G2875" s="115" t="str">
        <x:v>1 niveaux ; 22 pièces ; 167 segments de mur ; 0 transitions. Inspection physique ; architecture complète encore ouverte.</x:v>
      </x:c>
      <x:c r="H2875" s="115" t="str">
        <x:v>L 448 ; l 460 ; hauteur 9,2 m ; choix de composition auteur ; dimensions réelles à documenter</x:v>
      </x:c>
      <x:c r="I2875" s="115" t="str">
        <x:v>À équilibrer</x:v>
      </x:c>
      <x:c r="J2875" s="115" t="str">
        <x:v>Non</x:v>
      </x:c>
      <x:c r="K2875" s="115" t="str">
        <x:v>Pièces décrites, murs, portes, niveaux et mobilier inspectables à l’échelle. Volumes réservés, raccord au seed, butin, rencontres et services de campagne restent à terminer.</x:v>
      </x:c>
    </x:row>
    <x:row r="2876" ht="96" customHeight="1">
      <x:c r="A2876" s="115" t="str">
        <x:v>EXT-MONDE-T058-V21</x:v>
      </x:c>
      <x:c r="B2876" s="115" t="str">
        <x:v>EXT-MONDE-T058</x:v>
      </x:c>
      <x:c r="C2876" s="115" t="str">
        <x:v>Énergie</x:v>
      </x:c>
      <x:c r="D2876" s="115" t="str">
        <x:v>Centrale hydroélectrique</x:v>
      </x:c>
      <x:c r="E2876" s="115" t="n">
        <x:v>21</x:v>
      </x:c>
      <x:c r="F2876" s="115" t="str">
        <x:v>Inspection physique</x:v>
      </x:c>
      <x:c r="G2876" s="115" t="str">
        <x:v>1 niveaux ; 22 pièces ; 167 segments de mur ; 0 transitions. Inspection physique ; architecture complète encore ouverte.</x:v>
      </x:c>
      <x:c r="H2876" s="115" t="str">
        <x:v>L 466 ; l 480 ; hauteur 9,4 m ; choix de composition auteur ; dimensions réelles à documenter</x:v>
      </x:c>
      <x:c r="I2876" s="115" t="str">
        <x:v>À équilibrer</x:v>
      </x:c>
      <x:c r="J2876" s="115" t="str">
        <x:v>Non</x:v>
      </x:c>
      <x:c r="K2876" s="115" t="str">
        <x:v>Pièces décrites, murs, portes, niveaux et mobilier inspectables à l’échelle. Volumes réservés, raccord au seed, butin, rencontres et services de campagne restent à terminer.</x:v>
      </x:c>
    </x:row>
    <x:row r="2877" ht="96" customHeight="1">
      <x:c r="A2877" s="115" t="str">
        <x:v>EXT-MONDE-T058-V22</x:v>
      </x:c>
      <x:c r="B2877" s="115" t="str">
        <x:v>EXT-MONDE-T058</x:v>
      </x:c>
      <x:c r="C2877" s="115" t="str">
        <x:v>Énergie</x:v>
      </x:c>
      <x:c r="D2877" s="115" t="str">
        <x:v>Centrale hydroélectrique</x:v>
      </x:c>
      <x:c r="E2877" s="115" t="n">
        <x:v>22</x:v>
      </x:c>
      <x:c r="F2877" s="115" t="str">
        <x:v>Inspection physique</x:v>
      </x:c>
      <x:c r="G2877" s="115" t="str">
        <x:v>1 niveaux ; 22 pièces ; 167 segments de mur ; 0 transitions. Inspection physique ; architecture complète encore ouverte.</x:v>
      </x:c>
      <x:c r="H2877" s="115" t="str">
        <x:v>L 466 ; l 480 ; hauteur 9,4 m ; choix de composition auteur ; dimensions réelles à documenter</x:v>
      </x:c>
      <x:c r="I2877" s="115" t="str">
        <x:v>À équilibrer</x:v>
      </x:c>
      <x:c r="J2877" s="115" t="str">
        <x:v>Non</x:v>
      </x:c>
      <x:c r="K2877" s="115" t="str">
        <x:v>Pièces décrites, murs, portes, niveaux et mobilier inspectables à l’échelle. Volumes réservés, raccord au seed, butin, rencontres et services de campagne restent à terminer.</x:v>
      </x:c>
    </x:row>
    <x:row r="2878" ht="96" customHeight="1">
      <x:c r="A2878" s="115" t="str">
        <x:v>EXT-MONDE-T058-V23</x:v>
      </x:c>
      <x:c r="B2878" s="115" t="str">
        <x:v>EXT-MONDE-T058</x:v>
      </x:c>
      <x:c r="C2878" s="115" t="str">
        <x:v>Énergie</x:v>
      </x:c>
      <x:c r="D2878" s="115" t="str">
        <x:v>Centrale hydroélectrique</x:v>
      </x:c>
      <x:c r="E2878" s="115" t="n">
        <x:v>23</x:v>
      </x:c>
      <x:c r="F2878" s="115" t="str">
        <x:v>Inspection physique</x:v>
      </x:c>
      <x:c r="G2878" s="115" t="str">
        <x:v>1 niveaux ; 22 pièces ; 167 segments de mur ; 0 transitions. Inspection physique ; architecture complète encore ouverte.</x:v>
      </x:c>
      <x:c r="H2878" s="115" t="str">
        <x:v>L 466 ; l 480 ; hauteur 9,4 m ; choix de composition auteur ; dimensions réelles à documenter</x:v>
      </x:c>
      <x:c r="I2878" s="115" t="str">
        <x:v>À équilibrer</x:v>
      </x:c>
      <x:c r="J2878" s="115" t="str">
        <x:v>Non</x:v>
      </x:c>
      <x:c r="K2878" s="115" t="str">
        <x:v>Pièces décrites, murs, portes, niveaux et mobilier inspectables à l’échelle. Volumes réservés, raccord au seed, butin, rencontres et services de campagne restent à terminer.</x:v>
      </x:c>
    </x:row>
    <x:row r="2879" ht="96" customHeight="1">
      <x:c r="A2879" s="115" t="str">
        <x:v>EXT-MONDE-T058-V24</x:v>
      </x:c>
      <x:c r="B2879" s="115" t="str">
        <x:v>EXT-MONDE-T058</x:v>
      </x:c>
      <x:c r="C2879" s="115" t="str">
        <x:v>Énergie</x:v>
      </x:c>
      <x:c r="D2879" s="115" t="str">
        <x:v>Centrale hydroélectrique</x:v>
      </x:c>
      <x:c r="E2879" s="115" t="n">
        <x:v>24</x:v>
      </x:c>
      <x:c r="F2879" s="115" t="str">
        <x:v>Inspection physique</x:v>
      </x:c>
      <x:c r="G2879" s="115" t="str">
        <x:v>1 niveaux ; 22 pièces ; 167 segments de mur ; 0 transitions. Inspection physique ; architecture complète encore ouverte.</x:v>
      </x:c>
      <x:c r="H2879" s="115" t="str">
        <x:v>L 466 ; l 480 ; hauteur 9,4 m ; choix de composition auteur ; dimensions réelles à documenter</x:v>
      </x:c>
      <x:c r="I2879" s="115" t="str">
        <x:v>À équilibrer</x:v>
      </x:c>
      <x:c r="J2879" s="115" t="str">
        <x:v>Non</x:v>
      </x:c>
      <x:c r="K2879" s="115" t="str">
        <x:v>Pièces décrites, murs, portes, niveaux et mobilier inspectables à l’échelle. Volumes réservés, raccord au seed, butin, rencontres et services de campagne restent à terminer.</x:v>
      </x:c>
    </x:row>
    <x:row r="2880" ht="96" customHeight="1">
      <x:c r="A2880" s="115" t="str">
        <x:v>EXT-MONDE-T058-V25</x:v>
      </x:c>
      <x:c r="B2880" s="115" t="str">
        <x:v>EXT-MONDE-T058</x:v>
      </x:c>
      <x:c r="C2880" s="115" t="str">
        <x:v>Énergie</x:v>
      </x:c>
      <x:c r="D2880" s="115" t="str">
        <x:v>Centrale hydroélectrique</x:v>
      </x:c>
      <x:c r="E2880" s="115" t="n">
        <x:v>25</x:v>
      </x:c>
      <x:c r="F2880" s="115" t="str">
        <x:v>Inspection physique</x:v>
      </x:c>
      <x:c r="G2880" s="115" t="str">
        <x:v>1 niveaux ; 22 pièces ; 167 segments de mur ; 0 transitions. Inspection physique ; architecture complète encore ouverte.</x:v>
      </x:c>
      <x:c r="H2880" s="115" t="str">
        <x:v>L 466 ; l 480 ; hauteur 9,4 m ; choix de composition auteur ; dimensions réelles à documenter</x:v>
      </x:c>
      <x:c r="I2880" s="115" t="str">
        <x:v>À équilibrer</x:v>
      </x:c>
      <x:c r="J2880" s="115" t="str">
        <x:v>Non</x:v>
      </x:c>
      <x:c r="K2880" s="115" t="str">
        <x:v>Pièces décrites, murs, portes, niveaux et mobilier inspectables à l’échelle. Volumes réservés, raccord au seed, butin, rencontres et services de campagne restent à terminer.</x:v>
      </x:c>
    </x:row>
    <x:row r="2881" ht="96" customHeight="1">
      <x:c r="A2881" s="115" t="str">
        <x:v>EXT-MONDE-T058-V26</x:v>
      </x:c>
      <x:c r="B2881" s="115" t="str">
        <x:v>EXT-MONDE-T058</x:v>
      </x:c>
      <x:c r="C2881" s="115" t="str">
        <x:v>Énergie</x:v>
      </x:c>
      <x:c r="D2881" s="115" t="str">
        <x:v>Centrale hydroélectrique</x:v>
      </x:c>
      <x:c r="E2881" s="115" t="n">
        <x:v>26</x:v>
      </x:c>
      <x:c r="F2881" s="115" t="str">
        <x:v>Inspection physique</x:v>
      </x:c>
      <x:c r="G2881" s="115" t="str">
        <x:v>1 niveaux ; 22 pièces ; 167 segments de mur ; 0 transitions. Inspection physique ; architecture complète encore ouverte.</x:v>
      </x:c>
      <x:c r="H2881" s="115" t="str">
        <x:v>L 466 ; l 480 ; hauteur 9,4 m ; choix de composition auteur ; dimensions réelles à documenter</x:v>
      </x:c>
      <x:c r="I2881" s="115" t="str">
        <x:v>À équilibrer</x:v>
      </x:c>
      <x:c r="J2881" s="115" t="str">
        <x:v>Non</x:v>
      </x:c>
      <x:c r="K2881" s="115" t="str">
        <x:v>Pièces décrites, murs, portes, niveaux et mobilier inspectables à l’échelle. Volumes réservés, raccord au seed, butin, rencontres et services de campagne restent à terminer.</x:v>
      </x:c>
    </x:row>
    <x:row r="2882" ht="96" customHeight="1">
      <x:c r="A2882" s="115" t="str">
        <x:v>EXT-MONDE-T058-V27</x:v>
      </x:c>
      <x:c r="B2882" s="115" t="str">
        <x:v>EXT-MONDE-T058</x:v>
      </x:c>
      <x:c r="C2882" s="115" t="str">
        <x:v>Énergie</x:v>
      </x:c>
      <x:c r="D2882" s="115" t="str">
        <x:v>Centrale hydroélectrique</x:v>
      </x:c>
      <x:c r="E2882" s="115" t="n">
        <x:v>27</x:v>
      </x:c>
      <x:c r="F2882" s="115" t="str">
        <x:v>Inspection physique</x:v>
      </x:c>
      <x:c r="G2882" s="115" t="str">
        <x:v>1 niveaux ; 22 pièces ; 167 segments de mur ; 0 transitions. Inspection physique ; architecture complète encore ouverte.</x:v>
      </x:c>
      <x:c r="H2882" s="115" t="str">
        <x:v>L 466 ; l 480 ; hauteur 9,4 m ; choix de composition auteur ; dimensions réelles à documenter</x:v>
      </x:c>
      <x:c r="I2882" s="115" t="str">
        <x:v>À équilibrer</x:v>
      </x:c>
      <x:c r="J2882" s="115" t="str">
        <x:v>Non</x:v>
      </x:c>
      <x:c r="K2882" s="115" t="str">
        <x:v>Pièces décrites, murs, portes, niveaux et mobilier inspectables à l’échelle. Volumes réservés, raccord au seed, butin, rencontres et services de campagne restent à terminer.</x:v>
      </x:c>
    </x:row>
    <x:row r="2883" ht="96" customHeight="1">
      <x:c r="A2883" s="115" t="str">
        <x:v>EXT-MONDE-T058-V28</x:v>
      </x:c>
      <x:c r="B2883" s="115" t="str">
        <x:v>EXT-MONDE-T058</x:v>
      </x:c>
      <x:c r="C2883" s="115" t="str">
        <x:v>Énergie</x:v>
      </x:c>
      <x:c r="D2883" s="115" t="str">
        <x:v>Centrale hydroélectrique</x:v>
      </x:c>
      <x:c r="E2883" s="115" t="n">
        <x:v>28</x:v>
      </x:c>
      <x:c r="F2883" s="115" t="str">
        <x:v>Inspection physique</x:v>
      </x:c>
      <x:c r="G2883" s="115" t="str">
        <x:v>1 niveaux ; 22 pièces ; 167 segments de mur ; 0 transitions. Inspection physique ; architecture complète encore ouverte.</x:v>
      </x:c>
      <x:c r="H2883" s="115" t="str">
        <x:v>L 466 ; l 480 ; hauteur 9,4 m ; choix de composition auteur ; dimensions réelles à documenter</x:v>
      </x:c>
      <x:c r="I2883" s="115" t="str">
        <x:v>À équilibrer</x:v>
      </x:c>
      <x:c r="J2883" s="115" t="str">
        <x:v>Non</x:v>
      </x:c>
      <x:c r="K2883" s="115" t="str">
        <x:v>Pièces décrites, murs, portes, niveaux et mobilier inspectables à l’échelle. Volumes réservés, raccord au seed, butin, rencontres et services de campagne restent à terminer.</x:v>
      </x:c>
    </x:row>
    <x:row r="2884" ht="96" customHeight="1">
      <x:c r="A2884" s="115" t="str">
        <x:v>EXT-MONDE-T058-V29</x:v>
      </x:c>
      <x:c r="B2884" s="115" t="str">
        <x:v>EXT-MONDE-T058</x:v>
      </x:c>
      <x:c r="C2884" s="115" t="str">
        <x:v>Énergie</x:v>
      </x:c>
      <x:c r="D2884" s="115" t="str">
        <x:v>Centrale hydroélectrique</x:v>
      </x:c>
      <x:c r="E2884" s="115" t="n">
        <x:v>29</x:v>
      </x:c>
      <x:c r="F2884" s="115" t="str">
        <x:v>Inspection physique</x:v>
      </x:c>
      <x:c r="G2884" s="115" t="str">
        <x:v>1 niveaux ; 22 pièces ; 167 segments de mur ; 0 transitions. Inspection physique ; architecture complète encore ouverte.</x:v>
      </x:c>
      <x:c r="H2884" s="115" t="str">
        <x:v>L 466 ; l 480 ; hauteur 9,4 m ; choix de composition auteur ; dimensions réelles à documenter</x:v>
      </x:c>
      <x:c r="I2884" s="115" t="str">
        <x:v>À équilibrer</x:v>
      </x:c>
      <x:c r="J2884" s="115" t="str">
        <x:v>Non</x:v>
      </x:c>
      <x:c r="K2884" s="115" t="str">
        <x:v>Pièces décrites, murs, portes, niveaux et mobilier inspectables à l’échelle. Volumes réservés, raccord au seed, butin, rencontres et services de campagne restent à terminer.</x:v>
      </x:c>
    </x:row>
    <x:row r="2885" ht="96" customHeight="1">
      <x:c r="A2885" s="115" t="str">
        <x:v>EXT-MONDE-T058-V30</x:v>
      </x:c>
      <x:c r="B2885" s="115" t="str">
        <x:v>EXT-MONDE-T058</x:v>
      </x:c>
      <x:c r="C2885" s="115" t="str">
        <x:v>Énergie</x:v>
      </x:c>
      <x:c r="D2885" s="115" t="str">
        <x:v>Centrale hydroélectrique</x:v>
      </x:c>
      <x:c r="E2885" s="115" t="n">
        <x:v>30</x:v>
      </x:c>
      <x:c r="F2885" s="115" t="str">
        <x:v>Inspection physique</x:v>
      </x:c>
      <x:c r="G2885" s="115" t="str">
        <x:v>1 niveaux ; 22 pièces ; 167 segments de mur ; 0 transitions. Inspection physique ; architecture complète encore ouverte.</x:v>
      </x:c>
      <x:c r="H2885" s="115" t="str">
        <x:v>L 466 ; l 480 ; hauteur 9,4 m ; choix de composition auteur ; dimensions réelles à documenter</x:v>
      </x:c>
      <x:c r="I2885" s="115" t="str">
        <x:v>À équilibrer</x:v>
      </x:c>
      <x:c r="J2885" s="115" t="str">
        <x:v>Non</x:v>
      </x:c>
      <x:c r="K2885" s="115" t="str">
        <x:v>Pièces décrites, murs, portes, niveaux et mobilier inspectables à l’échelle. Volumes réservés, raccord au seed, butin, rencontres et services de campagne restent à terminer.</x:v>
      </x:c>
    </x:row>
    <x:row r="2886" ht="96" customHeight="1">
      <x:c r="A2886" s="115" t="str">
        <x:v>EXT-MONDE-T058-V31</x:v>
      </x:c>
      <x:c r="B2886" s="115" t="str">
        <x:v>EXT-MONDE-T058</x:v>
      </x:c>
      <x:c r="C2886" s="115" t="str">
        <x:v>Énergie</x:v>
      </x:c>
      <x:c r="D2886" s="115" t="str">
        <x:v>Centrale hydroélectrique</x:v>
      </x:c>
      <x:c r="E2886" s="115" t="n">
        <x:v>31</x:v>
      </x:c>
      <x:c r="F2886" s="115" t="str">
        <x:v>Inspection physique</x:v>
      </x:c>
      <x:c r="G2886" s="115" t="str">
        <x:v>1 niveaux ; 22 pièces ; 167 segments de mur ; 0 transitions. Inspection physique ; architecture complète encore ouverte.</x:v>
      </x:c>
      <x:c r="H2886" s="115" t="str">
        <x:v>L 484 ; l 500 ; hauteur 9,6 m ; choix de composition auteur ; dimensions réelles à documenter</x:v>
      </x:c>
      <x:c r="I2886" s="115" t="str">
        <x:v>À équilibrer</x:v>
      </x:c>
      <x:c r="J2886" s="115" t="str">
        <x:v>Non</x:v>
      </x:c>
      <x:c r="K2886" s="115" t="str">
        <x:v>Pièces décrites, murs, portes, niveaux et mobilier inspectables à l’échelle. Volumes réservés, raccord au seed, butin, rencontres et services de campagne restent à terminer.</x:v>
      </x:c>
    </x:row>
    <x:row r="2887" ht="96" customHeight="1">
      <x:c r="A2887" s="115" t="str">
        <x:v>EXT-MONDE-T058-V32</x:v>
      </x:c>
      <x:c r="B2887" s="115" t="str">
        <x:v>EXT-MONDE-T058</x:v>
      </x:c>
      <x:c r="C2887" s="115" t="str">
        <x:v>Énergie</x:v>
      </x:c>
      <x:c r="D2887" s="115" t="str">
        <x:v>Centrale hydroélectrique</x:v>
      </x:c>
      <x:c r="E2887" s="115" t="n">
        <x:v>32</x:v>
      </x:c>
      <x:c r="F2887" s="115" t="str">
        <x:v>Inspection physique</x:v>
      </x:c>
      <x:c r="G2887" s="115" t="str">
        <x:v>1 niveaux ; 22 pièces ; 167 segments de mur ; 0 transitions. Inspection physique ; architecture complète encore ouverte.</x:v>
      </x:c>
      <x:c r="H2887" s="115" t="str">
        <x:v>L 484 ; l 500 ; hauteur 9,6 m ; choix de composition auteur ; dimensions réelles à documenter</x:v>
      </x:c>
      <x:c r="I2887" s="115" t="str">
        <x:v>À équilibrer</x:v>
      </x:c>
      <x:c r="J2887" s="115" t="str">
        <x:v>Non</x:v>
      </x:c>
      <x:c r="K2887" s="115" t="str">
        <x:v>Pièces décrites, murs, portes, niveaux et mobilier inspectables à l’échelle. Volumes réservés, raccord au seed, butin, rencontres et services de campagne restent à terminer.</x:v>
      </x:c>
    </x:row>
    <x:row r="2888" ht="96" customHeight="1">
      <x:c r="A2888" s="115" t="str">
        <x:v>EXT-MONDE-T058-V33</x:v>
      </x:c>
      <x:c r="B2888" s="115" t="str">
        <x:v>EXT-MONDE-T058</x:v>
      </x:c>
      <x:c r="C2888" s="115" t="str">
        <x:v>Énergie</x:v>
      </x:c>
      <x:c r="D2888" s="115" t="str">
        <x:v>Centrale hydroélectrique</x:v>
      </x:c>
      <x:c r="E2888" s="115" t="n">
        <x:v>33</x:v>
      </x:c>
      <x:c r="F2888" s="115" t="str">
        <x:v>Inspection physique</x:v>
      </x:c>
      <x:c r="G2888" s="115" t="str">
        <x:v>1 niveaux ; 22 pièces ; 167 segments de mur ; 0 transitions. Inspection physique ; architecture complète encore ouverte.</x:v>
      </x:c>
      <x:c r="H2888" s="115" t="str">
        <x:v>L 484 ; l 500 ; hauteur 9,6 m ; choix de composition auteur ; dimensions réelles à documenter</x:v>
      </x:c>
      <x:c r="I2888" s="115" t="str">
        <x:v>À équilibrer</x:v>
      </x:c>
      <x:c r="J2888" s="115" t="str">
        <x:v>Non</x:v>
      </x:c>
      <x:c r="K2888" s="115" t="str">
        <x:v>Pièces décrites, murs, portes, niveaux et mobilier inspectables à l’échelle. Volumes réservés, raccord au seed, butin, rencontres et services de campagne restent à terminer.</x:v>
      </x:c>
    </x:row>
    <x:row r="2889" ht="96" customHeight="1">
      <x:c r="A2889" s="115" t="str">
        <x:v>EXT-MONDE-T058-V34</x:v>
      </x:c>
      <x:c r="B2889" s="115" t="str">
        <x:v>EXT-MONDE-T058</x:v>
      </x:c>
      <x:c r="C2889" s="115" t="str">
        <x:v>Énergie</x:v>
      </x:c>
      <x:c r="D2889" s="115" t="str">
        <x:v>Centrale hydroélectrique</x:v>
      </x:c>
      <x:c r="E2889" s="115" t="n">
        <x:v>34</x:v>
      </x:c>
      <x:c r="F2889" s="115" t="str">
        <x:v>Inspection physique</x:v>
      </x:c>
      <x:c r="G2889" s="115" t="str">
        <x:v>1 niveaux ; 22 pièces ; 167 segments de mur ; 0 transitions. Inspection physique ; architecture complète encore ouverte.</x:v>
      </x:c>
      <x:c r="H2889" s="115" t="str">
        <x:v>L 484 ; l 500 ; hauteur 9,6 m ; choix de composition auteur ; dimensions réelles à documenter</x:v>
      </x:c>
      <x:c r="I2889" s="115" t="str">
        <x:v>À équilibrer</x:v>
      </x:c>
      <x:c r="J2889" s="115" t="str">
        <x:v>Non</x:v>
      </x:c>
      <x:c r="K2889" s="115" t="str">
        <x:v>Pièces décrites, murs, portes, niveaux et mobilier inspectables à l’échelle. Volumes réservés, raccord au seed, butin, rencontres et services de campagne restent à terminer.</x:v>
      </x:c>
    </x:row>
    <x:row r="2890" ht="96" customHeight="1">
      <x:c r="A2890" s="115" t="str">
        <x:v>EXT-MONDE-T058-V35</x:v>
      </x:c>
      <x:c r="B2890" s="115" t="str">
        <x:v>EXT-MONDE-T058</x:v>
      </x:c>
      <x:c r="C2890" s="115" t="str">
        <x:v>Énergie</x:v>
      </x:c>
      <x:c r="D2890" s="115" t="str">
        <x:v>Centrale hydroélectrique</x:v>
      </x:c>
      <x:c r="E2890" s="115" t="n">
        <x:v>35</x:v>
      </x:c>
      <x:c r="F2890" s="115" t="str">
        <x:v>Inspection physique</x:v>
      </x:c>
      <x:c r="G2890" s="115" t="str">
        <x:v>1 niveaux ; 22 pièces ; 167 segments de mur ; 0 transitions. Inspection physique ; architecture complète encore ouverte.</x:v>
      </x:c>
      <x:c r="H2890" s="115" t="str">
        <x:v>L 484 ; l 500 ; hauteur 9,6 m ; choix de composition auteur ; dimensions réelles à documenter</x:v>
      </x:c>
      <x:c r="I2890" s="115" t="str">
        <x:v>À équilibrer</x:v>
      </x:c>
      <x:c r="J2890" s="115" t="str">
        <x:v>Non</x:v>
      </x:c>
      <x:c r="K2890" s="115" t="str">
        <x:v>Pièces décrites, murs, portes, niveaux et mobilier inspectables à l’échelle. Volumes réservés, raccord au seed, butin, rencontres et services de campagne restent à terminer.</x:v>
      </x:c>
    </x:row>
    <x:row r="2891" ht="96" customHeight="1">
      <x:c r="A2891" s="115" t="str">
        <x:v>EXT-MONDE-T058-V36</x:v>
      </x:c>
      <x:c r="B2891" s="115" t="str">
        <x:v>EXT-MONDE-T058</x:v>
      </x:c>
      <x:c r="C2891" s="115" t="str">
        <x:v>Énergie</x:v>
      </x:c>
      <x:c r="D2891" s="115" t="str">
        <x:v>Centrale hydroélectrique</x:v>
      </x:c>
      <x:c r="E2891" s="115" t="n">
        <x:v>36</x:v>
      </x:c>
      <x:c r="F2891" s="115" t="str">
        <x:v>Inspection physique</x:v>
      </x:c>
      <x:c r="G2891" s="115" t="str">
        <x:v>1 niveaux ; 22 pièces ; 167 segments de mur ; 0 transitions. Inspection physique ; architecture complète encore ouverte.</x:v>
      </x:c>
      <x:c r="H2891" s="115" t="str">
        <x:v>L 484 ; l 500 ; hauteur 9,6 m ; choix de composition auteur ; dimensions réelles à documenter</x:v>
      </x:c>
      <x:c r="I2891" s="115" t="str">
        <x:v>À équilibrer</x:v>
      </x:c>
      <x:c r="J2891" s="115" t="str">
        <x:v>Non</x:v>
      </x:c>
      <x:c r="K2891" s="115" t="str">
        <x:v>Pièces décrites, murs, portes, niveaux et mobilier inspectables à l’échelle. Volumes réservés, raccord au seed, butin, rencontres et services de campagne restent à terminer.</x:v>
      </x:c>
    </x:row>
    <x:row r="2892" ht="96" customHeight="1">
      <x:c r="A2892" s="115" t="str">
        <x:v>EXT-MONDE-T058-V37</x:v>
      </x:c>
      <x:c r="B2892" s="115" t="str">
        <x:v>EXT-MONDE-T058</x:v>
      </x:c>
      <x:c r="C2892" s="115" t="str">
        <x:v>Énergie</x:v>
      </x:c>
      <x:c r="D2892" s="115" t="str">
        <x:v>Centrale hydroélectrique</x:v>
      </x:c>
      <x:c r="E2892" s="115" t="n">
        <x:v>37</x:v>
      </x:c>
      <x:c r="F2892" s="115" t="str">
        <x:v>Inspection physique</x:v>
      </x:c>
      <x:c r="G2892" s="115" t="str">
        <x:v>1 niveaux ; 22 pièces ; 167 segments de mur ; 0 transitions. Inspection physique ; architecture complète encore ouverte.</x:v>
      </x:c>
      <x:c r="H2892" s="115" t="str">
        <x:v>L 484 ; l 500 ; hauteur 9,6 m ; choix de composition auteur ; dimensions réelles à documenter</x:v>
      </x:c>
      <x:c r="I2892" s="115" t="str">
        <x:v>À équilibrer</x:v>
      </x:c>
      <x:c r="J2892" s="115" t="str">
        <x:v>Non</x:v>
      </x:c>
      <x:c r="K2892" s="115" t="str">
        <x:v>Pièces décrites, murs, portes, niveaux et mobilier inspectables à l’échelle. Volumes réservés, raccord au seed, butin, rencontres et services de campagne restent à terminer.</x:v>
      </x:c>
    </x:row>
    <x:row r="2893" ht="96" customHeight="1">
      <x:c r="A2893" s="115" t="str">
        <x:v>EXT-MONDE-T058-V38</x:v>
      </x:c>
      <x:c r="B2893" s="115" t="str">
        <x:v>EXT-MONDE-T058</x:v>
      </x:c>
      <x:c r="C2893" s="115" t="str">
        <x:v>Énergie</x:v>
      </x:c>
      <x:c r="D2893" s="115" t="str">
        <x:v>Centrale hydroélectrique</x:v>
      </x:c>
      <x:c r="E2893" s="115" t="n">
        <x:v>38</x:v>
      </x:c>
      <x:c r="F2893" s="115" t="str">
        <x:v>Inspection physique</x:v>
      </x:c>
      <x:c r="G2893" s="115" t="str">
        <x:v>1 niveaux ; 22 pièces ; 167 segments de mur ; 0 transitions. Inspection physique ; architecture complète encore ouverte.</x:v>
      </x:c>
      <x:c r="H2893" s="115" t="str">
        <x:v>L 484 ; l 500 ; hauteur 9,6 m ; choix de composition auteur ; dimensions réelles à documenter</x:v>
      </x:c>
      <x:c r="I2893" s="115" t="str">
        <x:v>À équilibrer</x:v>
      </x:c>
      <x:c r="J2893" s="115" t="str">
        <x:v>Non</x:v>
      </x:c>
      <x:c r="K2893" s="115" t="str">
        <x:v>Pièces décrites, murs, portes, niveaux et mobilier inspectables à l’échelle. Volumes réservés, raccord au seed, butin, rencontres et services de campagne restent à terminer.</x:v>
      </x:c>
    </x:row>
    <x:row r="2894" ht="96" customHeight="1">
      <x:c r="A2894" s="115" t="str">
        <x:v>EXT-MONDE-T058-V39</x:v>
      </x:c>
      <x:c r="B2894" s="115" t="str">
        <x:v>EXT-MONDE-T058</x:v>
      </x:c>
      <x:c r="C2894" s="115" t="str">
        <x:v>Énergie</x:v>
      </x:c>
      <x:c r="D2894" s="115" t="str">
        <x:v>Centrale hydroélectrique</x:v>
      </x:c>
      <x:c r="E2894" s="115" t="n">
        <x:v>39</x:v>
      </x:c>
      <x:c r="F2894" s="115" t="str">
        <x:v>Inspection physique</x:v>
      </x:c>
      <x:c r="G2894" s="115" t="str">
        <x:v>1 niveaux ; 22 pièces ; 167 segments de mur ; 0 transitions. Inspection physique ; architecture complète encore ouverte.</x:v>
      </x:c>
      <x:c r="H2894" s="115" t="str">
        <x:v>L 484 ; l 500 ; hauteur 9,6 m ; choix de composition auteur ; dimensions réelles à documenter</x:v>
      </x:c>
      <x:c r="I2894" s="115" t="str">
        <x:v>À équilibrer</x:v>
      </x:c>
      <x:c r="J2894" s="115" t="str">
        <x:v>Non</x:v>
      </x:c>
      <x:c r="K2894" s="115" t="str">
        <x:v>Pièces décrites, murs, portes, niveaux et mobilier inspectables à l’échelle. Volumes réservés, raccord au seed, butin, rencontres et services de campagne restent à terminer.</x:v>
      </x:c>
    </x:row>
    <x:row r="2895" ht="96" customHeight="1">
      <x:c r="A2895" s="115" t="str">
        <x:v>EXT-MONDE-T058-V40</x:v>
      </x:c>
      <x:c r="B2895" s="115" t="str">
        <x:v>EXT-MONDE-T058</x:v>
      </x:c>
      <x:c r="C2895" s="115" t="str">
        <x:v>Énergie</x:v>
      </x:c>
      <x:c r="D2895" s="115" t="str">
        <x:v>Centrale hydroélectrique</x:v>
      </x:c>
      <x:c r="E2895" s="115" t="n">
        <x:v>40</x:v>
      </x:c>
      <x:c r="F2895" s="115" t="str">
        <x:v>Inspection physique</x:v>
      </x:c>
      <x:c r="G2895" s="115" t="str">
        <x:v>1 niveaux ; 22 pièces ; 167 segments de mur ; 0 transitions. Inspection physique ; architecture complète encore ouverte.</x:v>
      </x:c>
      <x:c r="H2895" s="115" t="str">
        <x:v>L 484 ; l 500 ; hauteur 9,6 m ; choix de composition auteur ; dimensions réelles à documenter</x:v>
      </x:c>
      <x:c r="I2895" s="115" t="str">
        <x:v>À équilibrer</x:v>
      </x:c>
      <x:c r="J2895" s="115" t="str">
        <x:v>Non</x:v>
      </x:c>
      <x:c r="K2895" s="115" t="str">
        <x:v>Pièces décrites, murs, portes, niveaux et mobilier inspectables à l’échelle. Volumes réservés, raccord au seed, butin, rencontres et services de campagne restent à terminer.</x:v>
      </x:c>
    </x:row>
    <x:row r="2896" ht="96" customHeight="1">
      <x:c r="A2896" s="115" t="str">
        <x:v>EXT-MONDE-T058-V41</x:v>
      </x:c>
      <x:c r="B2896" s="115" t="str">
        <x:v>EXT-MONDE-T058</x:v>
      </x:c>
      <x:c r="C2896" s="115" t="str">
        <x:v>Énergie</x:v>
      </x:c>
      <x:c r="D2896" s="115" t="str">
        <x:v>Centrale hydroélectrique</x:v>
      </x:c>
      <x:c r="E2896" s="115" t="n">
        <x:v>41</x:v>
      </x:c>
      <x:c r="F2896" s="115" t="str">
        <x:v>Inspection physique</x:v>
      </x:c>
      <x:c r="G2896" s="115" t="str">
        <x:v>1 niveaux ; 22 pièces ; 167 segments de mur ; 0 transitions. Inspection physique ; architecture complète encore ouverte.</x:v>
      </x:c>
      <x:c r="H2896" s="115" t="str">
        <x:v>L 502 ; l 520 ; hauteur 9,8 m ; choix de composition auteur ; dimensions réelles à documenter</x:v>
      </x:c>
      <x:c r="I2896" s="115" t="str">
        <x:v>À équilibrer</x:v>
      </x:c>
      <x:c r="J2896" s="115" t="str">
        <x:v>Non</x:v>
      </x:c>
      <x:c r="K2896" s="115" t="str">
        <x:v>Pièces décrites, murs, portes, niveaux et mobilier inspectables à l’échelle. Volumes réservés, raccord au seed, butin, rencontres et services de campagne restent à terminer.</x:v>
      </x:c>
    </x:row>
    <x:row r="2897" ht="96" customHeight="1">
      <x:c r="A2897" s="115" t="str">
        <x:v>EXT-MONDE-T058-V42</x:v>
      </x:c>
      <x:c r="B2897" s="115" t="str">
        <x:v>EXT-MONDE-T058</x:v>
      </x:c>
      <x:c r="C2897" s="115" t="str">
        <x:v>Énergie</x:v>
      </x:c>
      <x:c r="D2897" s="115" t="str">
        <x:v>Centrale hydroélectrique</x:v>
      </x:c>
      <x:c r="E2897" s="115" t="n">
        <x:v>42</x:v>
      </x:c>
      <x:c r="F2897" s="115" t="str">
        <x:v>Inspection physique</x:v>
      </x:c>
      <x:c r="G2897" s="115" t="str">
        <x:v>1 niveaux ; 22 pièces ; 167 segments de mur ; 0 transitions. Inspection physique ; architecture complète encore ouverte.</x:v>
      </x:c>
      <x:c r="H2897" s="115" t="str">
        <x:v>L 502 ; l 520 ; hauteur 9,8 m ; choix de composition auteur ; dimensions réelles à documenter</x:v>
      </x:c>
      <x:c r="I2897" s="115" t="str">
        <x:v>À équilibrer</x:v>
      </x:c>
      <x:c r="J2897" s="115" t="str">
        <x:v>Non</x:v>
      </x:c>
      <x:c r="K2897" s="115" t="str">
        <x:v>Pièces décrites, murs, portes, niveaux et mobilier inspectables à l’échelle. Volumes réservés, raccord au seed, butin, rencontres et services de campagne restent à terminer.</x:v>
      </x:c>
    </x:row>
    <x:row r="2898" ht="96" customHeight="1">
      <x:c r="A2898" s="115" t="str">
        <x:v>EXT-MONDE-T058-V43</x:v>
      </x:c>
      <x:c r="B2898" s="115" t="str">
        <x:v>EXT-MONDE-T058</x:v>
      </x:c>
      <x:c r="C2898" s="115" t="str">
        <x:v>Énergie</x:v>
      </x:c>
      <x:c r="D2898" s="115" t="str">
        <x:v>Centrale hydroélectrique</x:v>
      </x:c>
      <x:c r="E2898" s="115" t="n">
        <x:v>43</x:v>
      </x:c>
      <x:c r="F2898" s="115" t="str">
        <x:v>Inspection physique</x:v>
      </x:c>
      <x:c r="G2898" s="115" t="str">
        <x:v>1 niveaux ; 22 pièces ; 167 segments de mur ; 0 transitions. Inspection physique ; architecture complète encore ouverte.</x:v>
      </x:c>
      <x:c r="H2898" s="115" t="str">
        <x:v>L 502 ; l 520 ; hauteur 9,8 m ; choix de composition auteur ; dimensions réelles à documenter</x:v>
      </x:c>
      <x:c r="I2898" s="115" t="str">
        <x:v>À équilibrer</x:v>
      </x:c>
      <x:c r="J2898" s="115" t="str">
        <x:v>Non</x:v>
      </x:c>
      <x:c r="K2898" s="115" t="str">
        <x:v>Pièces décrites, murs, portes, niveaux et mobilier inspectables à l’échelle. Volumes réservés, raccord au seed, butin, rencontres et services de campagne restent à terminer.</x:v>
      </x:c>
    </x:row>
    <x:row r="2899" ht="96" customHeight="1">
      <x:c r="A2899" s="115" t="str">
        <x:v>EXT-MONDE-T058-V44</x:v>
      </x:c>
      <x:c r="B2899" s="115" t="str">
        <x:v>EXT-MONDE-T058</x:v>
      </x:c>
      <x:c r="C2899" s="115" t="str">
        <x:v>Énergie</x:v>
      </x:c>
      <x:c r="D2899" s="115" t="str">
        <x:v>Centrale hydroélectrique</x:v>
      </x:c>
      <x:c r="E2899" s="115" t="n">
        <x:v>44</x:v>
      </x:c>
      <x:c r="F2899" s="115" t="str">
        <x:v>Inspection physique</x:v>
      </x:c>
      <x:c r="G2899" s="115" t="str">
        <x:v>1 niveaux ; 22 pièces ; 167 segments de mur ; 0 transitions. Inspection physique ; architecture complète encore ouverte.</x:v>
      </x:c>
      <x:c r="H2899" s="115" t="str">
        <x:v>L 502 ; l 520 ; hauteur 9,8 m ; choix de composition auteur ; dimensions réelles à documenter</x:v>
      </x:c>
      <x:c r="I2899" s="115" t="str">
        <x:v>À équilibrer</x:v>
      </x:c>
      <x:c r="J2899" s="115" t="str">
        <x:v>Non</x:v>
      </x:c>
      <x:c r="K2899" s="115" t="str">
        <x:v>Pièces décrites, murs, portes, niveaux et mobilier inspectables à l’échelle. Volumes réservés, raccord au seed, butin, rencontres et services de campagne restent à terminer.</x:v>
      </x:c>
    </x:row>
    <x:row r="2900" ht="96" customHeight="1">
      <x:c r="A2900" s="115" t="str">
        <x:v>EXT-MONDE-T058-V45</x:v>
      </x:c>
      <x:c r="B2900" s="115" t="str">
        <x:v>EXT-MONDE-T058</x:v>
      </x:c>
      <x:c r="C2900" s="115" t="str">
        <x:v>Énergie</x:v>
      </x:c>
      <x:c r="D2900" s="115" t="str">
        <x:v>Centrale hydroélectrique</x:v>
      </x:c>
      <x:c r="E2900" s="115" t="n">
        <x:v>45</x:v>
      </x:c>
      <x:c r="F2900" s="115" t="str">
        <x:v>Inspection physique</x:v>
      </x:c>
      <x:c r="G2900" s="115" t="str">
        <x:v>1 niveaux ; 22 pièces ; 167 segments de mur ; 0 transitions. Inspection physique ; architecture complète encore ouverte.</x:v>
      </x:c>
      <x:c r="H2900" s="115" t="str">
        <x:v>L 502 ; l 520 ; hauteur 9,8 m ; choix de composition auteur ; dimensions réelles à documenter</x:v>
      </x:c>
      <x:c r="I2900" s="115" t="str">
        <x:v>À équilibrer</x:v>
      </x:c>
      <x:c r="J2900" s="115" t="str">
        <x:v>Non</x:v>
      </x:c>
      <x:c r="K2900" s="115" t="str">
        <x:v>Pièces décrites, murs, portes, niveaux et mobilier inspectables à l’échelle. Volumes réservés, raccord au seed, butin, rencontres et services de campagne restent à terminer.</x:v>
      </x:c>
    </x:row>
    <x:row r="2901" ht="96" customHeight="1">
      <x:c r="A2901" s="115" t="str">
        <x:v>EXT-MONDE-T058-V46</x:v>
      </x:c>
      <x:c r="B2901" s="115" t="str">
        <x:v>EXT-MONDE-T058</x:v>
      </x:c>
      <x:c r="C2901" s="115" t="str">
        <x:v>Énergie</x:v>
      </x:c>
      <x:c r="D2901" s="115" t="str">
        <x:v>Centrale hydroélectrique</x:v>
      </x:c>
      <x:c r="E2901" s="115" t="n">
        <x:v>46</x:v>
      </x:c>
      <x:c r="F2901" s="115" t="str">
        <x:v>Inspection physique</x:v>
      </x:c>
      <x:c r="G2901" s="115" t="str">
        <x:v>1 niveaux ; 22 pièces ; 167 segments de mur ; 0 transitions. Inspection physique ; architecture complète encore ouverte.</x:v>
      </x:c>
      <x:c r="H2901" s="115" t="str">
        <x:v>L 502 ; l 520 ; hauteur 9,8 m ; choix de composition auteur ; dimensions réelles à documenter</x:v>
      </x:c>
      <x:c r="I2901" s="115" t="str">
        <x:v>À équilibrer</x:v>
      </x:c>
      <x:c r="J2901" s="115" t="str">
        <x:v>Non</x:v>
      </x:c>
      <x:c r="K2901" s="115" t="str">
        <x:v>Pièces décrites, murs, portes, niveaux et mobilier inspectables à l’échelle. Volumes réservés, raccord au seed, butin, rencontres et services de campagne restent à terminer.</x:v>
      </x:c>
    </x:row>
    <x:row r="2902" ht="96" customHeight="1">
      <x:c r="A2902" s="115" t="str">
        <x:v>EXT-MONDE-T058-V47</x:v>
      </x:c>
      <x:c r="B2902" s="115" t="str">
        <x:v>EXT-MONDE-T058</x:v>
      </x:c>
      <x:c r="C2902" s="115" t="str">
        <x:v>Énergie</x:v>
      </x:c>
      <x:c r="D2902" s="115" t="str">
        <x:v>Centrale hydroélectrique</x:v>
      </x:c>
      <x:c r="E2902" s="115" t="n">
        <x:v>47</x:v>
      </x:c>
      <x:c r="F2902" s="115" t="str">
        <x:v>Inspection physique</x:v>
      </x:c>
      <x:c r="G2902" s="115" t="str">
        <x:v>1 niveaux ; 22 pièces ; 167 segments de mur ; 0 transitions. Inspection physique ; architecture complète encore ouverte.</x:v>
      </x:c>
      <x:c r="H2902" s="115" t="str">
        <x:v>L 502 ; l 520 ; hauteur 9,8 m ; choix de composition auteur ; dimensions réelles à documenter</x:v>
      </x:c>
      <x:c r="I2902" s="115" t="str">
        <x:v>À équilibrer</x:v>
      </x:c>
      <x:c r="J2902" s="115" t="str">
        <x:v>Non</x:v>
      </x:c>
      <x:c r="K2902" s="115" t="str">
        <x:v>Pièces décrites, murs, portes, niveaux et mobilier inspectables à l’échelle. Volumes réservés, raccord au seed, butin, rencontres et services de campagne restent à terminer.</x:v>
      </x:c>
    </x:row>
    <x:row r="2903" ht="96" customHeight="1">
      <x:c r="A2903" s="115" t="str">
        <x:v>EXT-MONDE-T058-V48</x:v>
      </x:c>
      <x:c r="B2903" s="115" t="str">
        <x:v>EXT-MONDE-T058</x:v>
      </x:c>
      <x:c r="C2903" s="115" t="str">
        <x:v>Énergie</x:v>
      </x:c>
      <x:c r="D2903" s="115" t="str">
        <x:v>Centrale hydroélectrique</x:v>
      </x:c>
      <x:c r="E2903" s="115" t="n">
        <x:v>48</x:v>
      </x:c>
      <x:c r="F2903" s="115" t="str">
        <x:v>Inspection physique</x:v>
      </x:c>
      <x:c r="G2903" s="115" t="str">
        <x:v>1 niveaux ; 22 pièces ; 167 segments de mur ; 0 transitions. Inspection physique ; architecture complète encore ouverte.</x:v>
      </x:c>
      <x:c r="H2903" s="115" t="str">
        <x:v>L 502 ; l 520 ; hauteur 9,8 m ; choix de composition auteur ; dimensions réelles à documenter</x:v>
      </x:c>
      <x:c r="I2903" s="115" t="str">
        <x:v>À équilibrer</x:v>
      </x:c>
      <x:c r="J2903" s="115" t="str">
        <x:v>Non</x:v>
      </x:c>
      <x:c r="K2903" s="115" t="str">
        <x:v>Pièces décrites, murs, portes, niveaux et mobilier inspectables à l’échelle. Volumes réservés, raccord au seed, butin, rencontres et services de campagne restent à terminer.</x:v>
      </x:c>
    </x:row>
    <x:row r="2904" ht="96" customHeight="1">
      <x:c r="A2904" s="115" t="str">
        <x:v>EXT-MONDE-T058-V49</x:v>
      </x:c>
      <x:c r="B2904" s="115" t="str">
        <x:v>EXT-MONDE-T058</x:v>
      </x:c>
      <x:c r="C2904" s="115" t="str">
        <x:v>Énergie</x:v>
      </x:c>
      <x:c r="D2904" s="115" t="str">
        <x:v>Centrale hydroélectrique</x:v>
      </x:c>
      <x:c r="E2904" s="115" t="n">
        <x:v>49</x:v>
      </x:c>
      <x:c r="F2904" s="115" t="str">
        <x:v>Inspection physique</x:v>
      </x:c>
      <x:c r="G2904" s="115" t="str">
        <x:v>1 niveaux ; 22 pièces ; 167 segments de mur ; 0 transitions. Inspection physique ; architecture complète encore ouverte.</x:v>
      </x:c>
      <x:c r="H2904" s="115" t="str">
        <x:v>L 502 ; l 520 ; hauteur 9,8 m ; choix de composition auteur ; dimensions réelles à documenter</x:v>
      </x:c>
      <x:c r="I2904" s="115" t="str">
        <x:v>À équilibrer</x:v>
      </x:c>
      <x:c r="J2904" s="115" t="str">
        <x:v>Non</x:v>
      </x:c>
      <x:c r="K2904" s="115" t="str">
        <x:v>Pièces décrites, murs, portes, niveaux et mobilier inspectables à l’échelle. Volumes réservés, raccord au seed, butin, rencontres et services de campagne restent à terminer.</x:v>
      </x:c>
    </x:row>
    <x:row r="2905" ht="96" customHeight="1">
      <x:c r="A2905" s="115" t="str">
        <x:v>EXT-MONDE-T058-V50</x:v>
      </x:c>
      <x:c r="B2905" s="115" t="str">
        <x:v>EXT-MONDE-T058</x:v>
      </x:c>
      <x:c r="C2905" s="115" t="str">
        <x:v>Énergie</x:v>
      </x:c>
      <x:c r="D2905" s="115" t="str">
        <x:v>Centrale hydroélectrique</x:v>
      </x:c>
      <x:c r="E2905" s="115" t="n">
        <x:v>50</x:v>
      </x:c>
      <x:c r="F2905" s="115" t="str">
        <x:v>Inspection physique</x:v>
      </x:c>
      <x:c r="G2905" s="115" t="str">
        <x:v>1 niveaux ; 22 pièces ; 167 segments de mur ; 0 transitions. Inspection physique ; architecture complète encore ouverte.</x:v>
      </x:c>
      <x:c r="H2905" s="115" t="str">
        <x:v>L 502 ; l 520 ; hauteur 9,8 m ; choix de composition auteur ; dimensions réelles à documenter</x:v>
      </x:c>
      <x:c r="I2905" s="115" t="str">
        <x:v>À équilibrer</x:v>
      </x:c>
      <x:c r="J2905" s="115" t="str">
        <x:v>Non</x:v>
      </x:c>
      <x:c r="K2905" s="115" t="str">
        <x:v>Pièces décrites, murs, portes, niveaux et mobilier inspectables à l’échelle. Volumes réservés, raccord au seed, butin, rencontres et services de campagne restent à terminer.</x:v>
      </x:c>
    </x:row>
    <x:row r="2906" ht="96" customHeight="1">
      <x:c r="A2906" s="115" t="str">
        <x:v>EXT-MONDE-T059-V01</x:v>
      </x:c>
      <x:c r="B2906" s="115" t="str">
        <x:v>EXT-MONDE-T059</x:v>
      </x:c>
      <x:c r="C2906" s="115" t="str">
        <x:v>Énergie</x:v>
      </x:c>
      <x:c r="D2906" s="115" t="str">
        <x:v>Poste électrique régional</x:v>
      </x:c>
      <x:c r="E2906" s="115" t="n">
        <x:v>1</x:v>
      </x:c>
      <x:c r="F2906" s="115" t="str">
        <x:v>Inspection physique</x:v>
      </x:c>
      <x:c r="G2906" s="115" t="str">
        <x:v>1 niveaux ; 22 pièces ; 167 segments de mur ; 0 transitions. Inspection physique ; architecture complète encore ouverte.</x:v>
      </x:c>
      <x:c r="H2906" s="115" t="str">
        <x:v>L 430 ; l 440 ; hauteur 6 m ; choix de composition auteur ; dimensions réelles à documenter</x:v>
      </x:c>
      <x:c r="I2906" s="115" t="str">
        <x:v>À équilibrer</x:v>
      </x:c>
      <x:c r="J2906" s="115" t="str">
        <x:v>Non</x:v>
      </x:c>
      <x:c r="K2906" s="115" t="str">
        <x:v>Pièces décrites, murs, portes, niveaux et mobilier inspectables à l’échelle. Volumes réservés, raccord au seed, butin, rencontres et services de campagne restent à terminer.</x:v>
      </x:c>
    </x:row>
    <x:row r="2907" ht="96" customHeight="1">
      <x:c r="A2907" s="115" t="str">
        <x:v>EXT-MONDE-T059-V02</x:v>
      </x:c>
      <x:c r="B2907" s="115" t="str">
        <x:v>EXT-MONDE-T059</x:v>
      </x:c>
      <x:c r="C2907" s="115" t="str">
        <x:v>Énergie</x:v>
      </x:c>
      <x:c r="D2907" s="115" t="str">
        <x:v>Poste électrique régional</x:v>
      </x:c>
      <x:c r="E2907" s="115" t="n">
        <x:v>2</x:v>
      </x:c>
      <x:c r="F2907" s="115" t="str">
        <x:v>Inspection physique</x:v>
      </x:c>
      <x:c r="G2907" s="115" t="str">
        <x:v>1 niveaux ; 22 pièces ; 167 segments de mur ; 0 transitions. Inspection physique ; architecture complète encore ouverte.</x:v>
      </x:c>
      <x:c r="H2907" s="115" t="str">
        <x:v>L 430 ; l 440 ; hauteur 6 m ; choix de composition auteur ; dimensions réelles à documenter</x:v>
      </x:c>
      <x:c r="I2907" s="115" t="str">
        <x:v>À équilibrer</x:v>
      </x:c>
      <x:c r="J2907" s="115" t="str">
        <x:v>Non</x:v>
      </x:c>
      <x:c r="K2907" s="115" t="str">
        <x:v>Pièces décrites, murs, portes, niveaux et mobilier inspectables à l’échelle. Volumes réservés, raccord au seed, butin, rencontres et services de campagne restent à terminer.</x:v>
      </x:c>
    </x:row>
    <x:row r="2908" ht="96" customHeight="1">
      <x:c r="A2908" s="115" t="str">
        <x:v>EXT-MONDE-T059-V03</x:v>
      </x:c>
      <x:c r="B2908" s="115" t="str">
        <x:v>EXT-MONDE-T059</x:v>
      </x:c>
      <x:c r="C2908" s="115" t="str">
        <x:v>Énergie</x:v>
      </x:c>
      <x:c r="D2908" s="115" t="str">
        <x:v>Poste électrique régional</x:v>
      </x:c>
      <x:c r="E2908" s="115" t="n">
        <x:v>3</x:v>
      </x:c>
      <x:c r="F2908" s="115" t="str">
        <x:v>Inspection physique</x:v>
      </x:c>
      <x:c r="G2908" s="115" t="str">
        <x:v>1 niveaux ; 22 pièces ; 167 segments de mur ; 0 transitions. Inspection physique ; architecture complète encore ouverte.</x:v>
      </x:c>
      <x:c r="H2908" s="115" t="str">
        <x:v>L 430 ; l 440 ; hauteur 6 m ; choix de composition auteur ; dimensions réelles à documenter</x:v>
      </x:c>
      <x:c r="I2908" s="115" t="str">
        <x:v>À équilibrer</x:v>
      </x:c>
      <x:c r="J2908" s="115" t="str">
        <x:v>Non</x:v>
      </x:c>
      <x:c r="K2908" s="115" t="str">
        <x:v>Pièces décrites, murs, portes, niveaux et mobilier inspectables à l’échelle. Volumes réservés, raccord au seed, butin, rencontres et services de campagne restent à terminer.</x:v>
      </x:c>
    </x:row>
    <x:row r="2909" ht="96" customHeight="1">
      <x:c r="A2909" s="115" t="str">
        <x:v>EXT-MONDE-T059-V04</x:v>
      </x:c>
      <x:c r="B2909" s="115" t="str">
        <x:v>EXT-MONDE-T059</x:v>
      </x:c>
      <x:c r="C2909" s="115" t="str">
        <x:v>Énergie</x:v>
      </x:c>
      <x:c r="D2909" s="115" t="str">
        <x:v>Poste électrique régional</x:v>
      </x:c>
      <x:c r="E2909" s="115" t="n">
        <x:v>4</x:v>
      </x:c>
      <x:c r="F2909" s="115" t="str">
        <x:v>Inspection physique</x:v>
      </x:c>
      <x:c r="G2909" s="115" t="str">
        <x:v>1 niveaux ; 22 pièces ; 167 segments de mur ; 0 transitions. Inspection physique ; architecture complète encore ouverte.</x:v>
      </x:c>
      <x:c r="H2909" s="115" t="str">
        <x:v>L 430 ; l 440 ; hauteur 6 m ; choix de composition auteur ; dimensions réelles à documenter</x:v>
      </x:c>
      <x:c r="I2909" s="115" t="str">
        <x:v>À équilibrer</x:v>
      </x:c>
      <x:c r="J2909" s="115" t="str">
        <x:v>Non</x:v>
      </x:c>
      <x:c r="K2909" s="115" t="str">
        <x:v>Pièces décrites, murs, portes, niveaux et mobilier inspectables à l’échelle. Volumes réservés, raccord au seed, butin, rencontres et services de campagne restent à terminer.</x:v>
      </x:c>
    </x:row>
    <x:row r="2910" ht="96" customHeight="1">
      <x:c r="A2910" s="115" t="str">
        <x:v>EXT-MONDE-T059-V05</x:v>
      </x:c>
      <x:c r="B2910" s="115" t="str">
        <x:v>EXT-MONDE-T059</x:v>
      </x:c>
      <x:c r="C2910" s="115" t="str">
        <x:v>Énergie</x:v>
      </x:c>
      <x:c r="D2910" s="115" t="str">
        <x:v>Poste électrique régional</x:v>
      </x:c>
      <x:c r="E2910" s="115" t="n">
        <x:v>5</x:v>
      </x:c>
      <x:c r="F2910" s="115" t="str">
        <x:v>Inspection physique</x:v>
      </x:c>
      <x:c r="G2910" s="115" t="str">
        <x:v>1 niveaux ; 22 pièces ; 167 segments de mur ; 0 transitions. Inspection physique ; architecture complète encore ouverte.</x:v>
      </x:c>
      <x:c r="H2910" s="115" t="str">
        <x:v>L 430 ; l 440 ; hauteur 6 m ; choix de composition auteur ; dimensions réelles à documenter</x:v>
      </x:c>
      <x:c r="I2910" s="115" t="str">
        <x:v>À équilibrer</x:v>
      </x:c>
      <x:c r="J2910" s="115" t="str">
        <x:v>Non</x:v>
      </x:c>
      <x:c r="K2910" s="115" t="str">
        <x:v>Pièces décrites, murs, portes, niveaux et mobilier inspectables à l’échelle. Volumes réservés, raccord au seed, butin, rencontres et services de campagne restent à terminer.</x:v>
      </x:c>
    </x:row>
    <x:row r="2911" ht="96" customHeight="1">
      <x:c r="A2911" s="115" t="str">
        <x:v>EXT-MONDE-T059-V06</x:v>
      </x:c>
      <x:c r="B2911" s="115" t="str">
        <x:v>EXT-MONDE-T059</x:v>
      </x:c>
      <x:c r="C2911" s="115" t="str">
        <x:v>Énergie</x:v>
      </x:c>
      <x:c r="D2911" s="115" t="str">
        <x:v>Poste électrique régional</x:v>
      </x:c>
      <x:c r="E2911" s="115" t="n">
        <x:v>6</x:v>
      </x:c>
      <x:c r="F2911" s="115" t="str">
        <x:v>Inspection physique</x:v>
      </x:c>
      <x:c r="G2911" s="115" t="str">
        <x:v>1 niveaux ; 22 pièces ; 167 segments de mur ; 0 transitions. Inspection physique ; architecture complète encore ouverte.</x:v>
      </x:c>
      <x:c r="H2911" s="115" t="str">
        <x:v>L 430 ; l 440 ; hauteur 6 m ; choix de composition auteur ; dimensions réelles à documenter</x:v>
      </x:c>
      <x:c r="I2911" s="115" t="str">
        <x:v>À équilibrer</x:v>
      </x:c>
      <x:c r="J2911" s="115" t="str">
        <x:v>Non</x:v>
      </x:c>
      <x:c r="K2911" s="115" t="str">
        <x:v>Pièces décrites, murs, portes, niveaux et mobilier inspectables à l’échelle. Volumes réservés, raccord au seed, butin, rencontres et services de campagne restent à terminer.</x:v>
      </x:c>
    </x:row>
    <x:row r="2912" ht="96" customHeight="1">
      <x:c r="A2912" s="115" t="str">
        <x:v>EXT-MONDE-T059-V07</x:v>
      </x:c>
      <x:c r="B2912" s="115" t="str">
        <x:v>EXT-MONDE-T059</x:v>
      </x:c>
      <x:c r="C2912" s="115" t="str">
        <x:v>Énergie</x:v>
      </x:c>
      <x:c r="D2912" s="115" t="str">
        <x:v>Poste électrique régional</x:v>
      </x:c>
      <x:c r="E2912" s="115" t="n">
        <x:v>7</x:v>
      </x:c>
      <x:c r="F2912" s="115" t="str">
        <x:v>Inspection physique</x:v>
      </x:c>
      <x:c r="G2912" s="115" t="str">
        <x:v>1 niveaux ; 22 pièces ; 167 segments de mur ; 0 transitions. Inspection physique ; architecture complète encore ouverte.</x:v>
      </x:c>
      <x:c r="H2912" s="115" t="str">
        <x:v>L 430 ; l 440 ; hauteur 6 m ; choix de composition auteur ; dimensions réelles à documenter</x:v>
      </x:c>
      <x:c r="I2912" s="115" t="str">
        <x:v>À équilibrer</x:v>
      </x:c>
      <x:c r="J2912" s="115" t="str">
        <x:v>Non</x:v>
      </x:c>
      <x:c r="K2912" s="115" t="str">
        <x:v>Pièces décrites, murs, portes, niveaux et mobilier inspectables à l’échelle. Volumes réservés, raccord au seed, butin, rencontres et services de campagne restent à terminer.</x:v>
      </x:c>
    </x:row>
    <x:row r="2913" ht="96" customHeight="1">
      <x:c r="A2913" s="115" t="str">
        <x:v>EXT-MONDE-T059-V08</x:v>
      </x:c>
      <x:c r="B2913" s="115" t="str">
        <x:v>EXT-MONDE-T059</x:v>
      </x:c>
      <x:c r="C2913" s="115" t="str">
        <x:v>Énergie</x:v>
      </x:c>
      <x:c r="D2913" s="115" t="str">
        <x:v>Poste électrique régional</x:v>
      </x:c>
      <x:c r="E2913" s="115" t="n">
        <x:v>8</x:v>
      </x:c>
      <x:c r="F2913" s="115" t="str">
        <x:v>Inspection physique</x:v>
      </x:c>
      <x:c r="G2913" s="115" t="str">
        <x:v>1 niveaux ; 22 pièces ; 167 segments de mur ; 0 transitions. Inspection physique ; architecture complète encore ouverte.</x:v>
      </x:c>
      <x:c r="H2913" s="115" t="str">
        <x:v>L 430 ; l 440 ; hauteur 6 m ; choix de composition auteur ; dimensions réelles à documenter</x:v>
      </x:c>
      <x:c r="I2913" s="115" t="str">
        <x:v>À équilibrer</x:v>
      </x:c>
      <x:c r="J2913" s="115" t="str">
        <x:v>Non</x:v>
      </x:c>
      <x:c r="K2913" s="115" t="str">
        <x:v>Pièces décrites, murs, portes, niveaux et mobilier inspectables à l’échelle. Volumes réservés, raccord au seed, butin, rencontres et services de campagne restent à terminer.</x:v>
      </x:c>
    </x:row>
    <x:row r="2914" ht="96" customHeight="1">
      <x:c r="A2914" s="115" t="str">
        <x:v>EXT-MONDE-T059-V09</x:v>
      </x:c>
      <x:c r="B2914" s="115" t="str">
        <x:v>EXT-MONDE-T059</x:v>
      </x:c>
      <x:c r="C2914" s="115" t="str">
        <x:v>Énergie</x:v>
      </x:c>
      <x:c r="D2914" s="115" t="str">
        <x:v>Poste électrique régional</x:v>
      </x:c>
      <x:c r="E2914" s="115" t="n">
        <x:v>9</x:v>
      </x:c>
      <x:c r="F2914" s="115" t="str">
        <x:v>Inspection physique</x:v>
      </x:c>
      <x:c r="G2914" s="115" t="str">
        <x:v>1 niveaux ; 22 pièces ; 167 segments de mur ; 0 transitions. Inspection physique ; architecture complète encore ouverte.</x:v>
      </x:c>
      <x:c r="H2914" s="115" t="str">
        <x:v>L 430 ; l 440 ; hauteur 6 m ; choix de composition auteur ; dimensions réelles à documenter</x:v>
      </x:c>
      <x:c r="I2914" s="115" t="str">
        <x:v>À équilibrer</x:v>
      </x:c>
      <x:c r="J2914" s="115" t="str">
        <x:v>Non</x:v>
      </x:c>
      <x:c r="K2914" s="115" t="str">
        <x:v>Pièces décrites, murs, portes, niveaux et mobilier inspectables à l’échelle. Volumes réservés, raccord au seed, butin, rencontres et services de campagne restent à terminer.</x:v>
      </x:c>
    </x:row>
    <x:row r="2915" ht="96" customHeight="1">
      <x:c r="A2915" s="115" t="str">
        <x:v>EXT-MONDE-T059-V10</x:v>
      </x:c>
      <x:c r="B2915" s="115" t="str">
        <x:v>EXT-MONDE-T059</x:v>
      </x:c>
      <x:c r="C2915" s="115" t="str">
        <x:v>Énergie</x:v>
      </x:c>
      <x:c r="D2915" s="115" t="str">
        <x:v>Poste électrique régional</x:v>
      </x:c>
      <x:c r="E2915" s="115" t="n">
        <x:v>10</x:v>
      </x:c>
      <x:c r="F2915" s="115" t="str">
        <x:v>Inspection physique</x:v>
      </x:c>
      <x:c r="G2915" s="115" t="str">
        <x:v>1 niveaux ; 22 pièces ; 167 segments de mur ; 0 transitions. Inspection physique ; architecture complète encore ouverte.</x:v>
      </x:c>
      <x:c r="H2915" s="115" t="str">
        <x:v>L 430 ; l 440 ; hauteur 6 m ; choix de composition auteur ; dimensions réelles à documenter</x:v>
      </x:c>
      <x:c r="I2915" s="115" t="str">
        <x:v>À équilibrer</x:v>
      </x:c>
      <x:c r="J2915" s="115" t="str">
        <x:v>Non</x:v>
      </x:c>
      <x:c r="K2915" s="115" t="str">
        <x:v>Pièces décrites, murs, portes, niveaux et mobilier inspectables à l’échelle. Volumes réservés, raccord au seed, butin, rencontres et services de campagne restent à terminer.</x:v>
      </x:c>
    </x:row>
    <x:row r="2916" ht="96" customHeight="1">
      <x:c r="A2916" s="115" t="str">
        <x:v>EXT-MONDE-T059-V11</x:v>
      </x:c>
      <x:c r="B2916" s="115" t="str">
        <x:v>EXT-MONDE-T059</x:v>
      </x:c>
      <x:c r="C2916" s="115" t="str">
        <x:v>Énergie</x:v>
      </x:c>
      <x:c r="D2916" s="115" t="str">
        <x:v>Poste électrique régional</x:v>
      </x:c>
      <x:c r="E2916" s="115" t="n">
        <x:v>11</x:v>
      </x:c>
      <x:c r="F2916" s="115" t="str">
        <x:v>Inspection physique</x:v>
      </x:c>
      <x:c r="G2916" s="115" t="str">
        <x:v>1 niveaux ; 22 pièces ; 167 segments de mur ; 0 transitions. Inspection physique ; architecture complète encore ouverte.</x:v>
      </x:c>
      <x:c r="H2916" s="115" t="str">
        <x:v>L 448 ; l 460 ; hauteur 6 m ; choix de composition auteur ; dimensions réelles à documenter</x:v>
      </x:c>
      <x:c r="I2916" s="115" t="str">
        <x:v>À équilibrer</x:v>
      </x:c>
      <x:c r="J2916" s="115" t="str">
        <x:v>Non</x:v>
      </x:c>
      <x:c r="K2916" s="115" t="str">
        <x:v>Pièces décrites, murs, portes, niveaux et mobilier inspectables à l’échelle. Volumes réservés, raccord au seed, butin, rencontres et services de campagne restent à terminer.</x:v>
      </x:c>
    </x:row>
    <x:row r="2917" ht="96" customHeight="1">
      <x:c r="A2917" s="115" t="str">
        <x:v>EXT-MONDE-T059-V12</x:v>
      </x:c>
      <x:c r="B2917" s="115" t="str">
        <x:v>EXT-MONDE-T059</x:v>
      </x:c>
      <x:c r="C2917" s="115" t="str">
        <x:v>Énergie</x:v>
      </x:c>
      <x:c r="D2917" s="115" t="str">
        <x:v>Poste électrique régional</x:v>
      </x:c>
      <x:c r="E2917" s="115" t="n">
        <x:v>12</x:v>
      </x:c>
      <x:c r="F2917" s="115" t="str">
        <x:v>Inspection physique</x:v>
      </x:c>
      <x:c r="G2917" s="115" t="str">
        <x:v>1 niveaux ; 22 pièces ; 167 segments de mur ; 0 transitions. Inspection physique ; architecture complète encore ouverte.</x:v>
      </x:c>
      <x:c r="H2917" s="115" t="str">
        <x:v>L 448 ; l 460 ; hauteur 6 m ; choix de composition auteur ; dimensions réelles à documenter</x:v>
      </x:c>
      <x:c r="I2917" s="115" t="str">
        <x:v>À équilibrer</x:v>
      </x:c>
      <x:c r="J2917" s="115" t="str">
        <x:v>Non</x:v>
      </x:c>
      <x:c r="K2917" s="115" t="str">
        <x:v>Pièces décrites, murs, portes, niveaux et mobilier inspectables à l’échelle. Volumes réservés, raccord au seed, butin, rencontres et services de campagne restent à terminer.</x:v>
      </x:c>
    </x:row>
    <x:row r="2918" ht="96" customHeight="1">
      <x:c r="A2918" s="115" t="str">
        <x:v>EXT-MONDE-T059-V13</x:v>
      </x:c>
      <x:c r="B2918" s="115" t="str">
        <x:v>EXT-MONDE-T059</x:v>
      </x:c>
      <x:c r="C2918" s="115" t="str">
        <x:v>Énergie</x:v>
      </x:c>
      <x:c r="D2918" s="115" t="str">
        <x:v>Poste électrique régional</x:v>
      </x:c>
      <x:c r="E2918" s="115" t="n">
        <x:v>13</x:v>
      </x:c>
      <x:c r="F2918" s="115" t="str">
        <x:v>Inspection physique</x:v>
      </x:c>
      <x:c r="G2918" s="115" t="str">
        <x:v>1 niveaux ; 22 pièces ; 167 segments de mur ; 0 transitions. Inspection physique ; architecture complète encore ouverte.</x:v>
      </x:c>
      <x:c r="H2918" s="115" t="str">
        <x:v>L 448 ; l 460 ; hauteur 6 m ; choix de composition auteur ; dimensions réelles à documenter</x:v>
      </x:c>
      <x:c r="I2918" s="115" t="str">
        <x:v>À équilibrer</x:v>
      </x:c>
      <x:c r="J2918" s="115" t="str">
        <x:v>Non</x:v>
      </x:c>
      <x:c r="K2918" s="115" t="str">
        <x:v>Pièces décrites, murs, portes, niveaux et mobilier inspectables à l’échelle. Volumes réservés, raccord au seed, butin, rencontres et services de campagne restent à terminer.</x:v>
      </x:c>
    </x:row>
    <x:row r="2919" ht="96" customHeight="1">
      <x:c r="A2919" s="115" t="str">
        <x:v>EXT-MONDE-T059-V14</x:v>
      </x:c>
      <x:c r="B2919" s="115" t="str">
        <x:v>EXT-MONDE-T059</x:v>
      </x:c>
      <x:c r="C2919" s="115" t="str">
        <x:v>Énergie</x:v>
      </x:c>
      <x:c r="D2919" s="115" t="str">
        <x:v>Poste électrique régional</x:v>
      </x:c>
      <x:c r="E2919" s="115" t="n">
        <x:v>14</x:v>
      </x:c>
      <x:c r="F2919" s="115" t="str">
        <x:v>Inspection physique</x:v>
      </x:c>
      <x:c r="G2919" s="115" t="str">
        <x:v>1 niveaux ; 22 pièces ; 167 segments de mur ; 0 transitions. Inspection physique ; architecture complète encore ouverte.</x:v>
      </x:c>
      <x:c r="H2919" s="115" t="str">
        <x:v>L 448 ; l 460 ; hauteur 6 m ; choix de composition auteur ; dimensions réelles à documenter</x:v>
      </x:c>
      <x:c r="I2919" s="115" t="str">
        <x:v>À équilibrer</x:v>
      </x:c>
      <x:c r="J2919" s="115" t="str">
        <x:v>Non</x:v>
      </x:c>
      <x:c r="K2919" s="115" t="str">
        <x:v>Pièces décrites, murs, portes, niveaux et mobilier inspectables à l’échelle. Volumes réservés, raccord au seed, butin, rencontres et services de campagne restent à terminer.</x:v>
      </x:c>
    </x:row>
    <x:row r="2920" ht="96" customHeight="1">
      <x:c r="A2920" s="115" t="str">
        <x:v>EXT-MONDE-T059-V15</x:v>
      </x:c>
      <x:c r="B2920" s="115" t="str">
        <x:v>EXT-MONDE-T059</x:v>
      </x:c>
      <x:c r="C2920" s="115" t="str">
        <x:v>Énergie</x:v>
      </x:c>
      <x:c r="D2920" s="115" t="str">
        <x:v>Poste électrique régional</x:v>
      </x:c>
      <x:c r="E2920" s="115" t="n">
        <x:v>15</x:v>
      </x:c>
      <x:c r="F2920" s="115" t="str">
        <x:v>Inspection physique</x:v>
      </x:c>
      <x:c r="G2920" s="115" t="str">
        <x:v>1 niveaux ; 22 pièces ; 167 segments de mur ; 0 transitions. Inspection physique ; architecture complète encore ouverte.</x:v>
      </x:c>
      <x:c r="H2920" s="115" t="str">
        <x:v>L 448 ; l 460 ; hauteur 6 m ; choix de composition auteur ; dimensions réelles à documenter</x:v>
      </x:c>
      <x:c r="I2920" s="115" t="str">
        <x:v>À équilibrer</x:v>
      </x:c>
      <x:c r="J2920" s="115" t="str">
        <x:v>Non</x:v>
      </x:c>
      <x:c r="K2920" s="115" t="str">
        <x:v>Pièces décrites, murs, portes, niveaux et mobilier inspectables à l’échelle. Volumes réservés, raccord au seed, butin, rencontres et services de campagne restent à terminer.</x:v>
      </x:c>
    </x:row>
    <x:row r="2921" ht="96" customHeight="1">
      <x:c r="A2921" s="115" t="str">
        <x:v>EXT-MONDE-T059-V16</x:v>
      </x:c>
      <x:c r="B2921" s="115" t="str">
        <x:v>EXT-MONDE-T059</x:v>
      </x:c>
      <x:c r="C2921" s="115" t="str">
        <x:v>Énergie</x:v>
      </x:c>
      <x:c r="D2921" s="115" t="str">
        <x:v>Poste électrique régional</x:v>
      </x:c>
      <x:c r="E2921" s="115" t="n">
        <x:v>16</x:v>
      </x:c>
      <x:c r="F2921" s="115" t="str">
        <x:v>Inspection physique</x:v>
      </x:c>
      <x:c r="G2921" s="115" t="str">
        <x:v>1 niveaux ; 22 pièces ; 167 segments de mur ; 0 transitions. Inspection physique ; architecture complète encore ouverte.</x:v>
      </x:c>
      <x:c r="H2921" s="115" t="str">
        <x:v>L 448 ; l 460 ; hauteur 6 m ; choix de composition auteur ; dimensions réelles à documenter</x:v>
      </x:c>
      <x:c r="I2921" s="115" t="str">
        <x:v>À équilibrer</x:v>
      </x:c>
      <x:c r="J2921" s="115" t="str">
        <x:v>Non</x:v>
      </x:c>
      <x:c r="K2921" s="115" t="str">
        <x:v>Pièces décrites, murs, portes, niveaux et mobilier inspectables à l’échelle. Volumes réservés, raccord au seed, butin, rencontres et services de campagne restent à terminer.</x:v>
      </x:c>
    </x:row>
    <x:row r="2922" ht="96" customHeight="1">
      <x:c r="A2922" s="115" t="str">
        <x:v>EXT-MONDE-T059-V17</x:v>
      </x:c>
      <x:c r="B2922" s="115" t="str">
        <x:v>EXT-MONDE-T059</x:v>
      </x:c>
      <x:c r="C2922" s="115" t="str">
        <x:v>Énergie</x:v>
      </x:c>
      <x:c r="D2922" s="115" t="str">
        <x:v>Poste électrique régional</x:v>
      </x:c>
      <x:c r="E2922" s="115" t="n">
        <x:v>17</x:v>
      </x:c>
      <x:c r="F2922" s="115" t="str">
        <x:v>Inspection physique</x:v>
      </x:c>
      <x:c r="G2922" s="115" t="str">
        <x:v>1 niveaux ; 22 pièces ; 167 segments de mur ; 0 transitions. Inspection physique ; architecture complète encore ouverte.</x:v>
      </x:c>
      <x:c r="H2922" s="115" t="str">
        <x:v>L 448 ; l 460 ; hauteur 6 m ; choix de composition auteur ; dimensions réelles à documenter</x:v>
      </x:c>
      <x:c r="I2922" s="115" t="str">
        <x:v>À équilibrer</x:v>
      </x:c>
      <x:c r="J2922" s="115" t="str">
        <x:v>Non</x:v>
      </x:c>
      <x:c r="K2922" s="115" t="str">
        <x:v>Pièces décrites, murs, portes, niveaux et mobilier inspectables à l’échelle. Volumes réservés, raccord au seed, butin, rencontres et services de campagne restent à terminer.</x:v>
      </x:c>
    </x:row>
    <x:row r="2923" ht="96" customHeight="1">
      <x:c r="A2923" s="115" t="str">
        <x:v>EXT-MONDE-T059-V18</x:v>
      </x:c>
      <x:c r="B2923" s="115" t="str">
        <x:v>EXT-MONDE-T059</x:v>
      </x:c>
      <x:c r="C2923" s="115" t="str">
        <x:v>Énergie</x:v>
      </x:c>
      <x:c r="D2923" s="115" t="str">
        <x:v>Poste électrique régional</x:v>
      </x:c>
      <x:c r="E2923" s="115" t="n">
        <x:v>18</x:v>
      </x:c>
      <x:c r="F2923" s="115" t="str">
        <x:v>Inspection physique</x:v>
      </x:c>
      <x:c r="G2923" s="115" t="str">
        <x:v>1 niveaux ; 22 pièces ; 167 segments de mur ; 0 transitions. Inspection physique ; architecture complète encore ouverte.</x:v>
      </x:c>
      <x:c r="H2923" s="115" t="str">
        <x:v>L 448 ; l 460 ; hauteur 6 m ; choix de composition auteur ; dimensions réelles à documenter</x:v>
      </x:c>
      <x:c r="I2923" s="115" t="str">
        <x:v>À équilibrer</x:v>
      </x:c>
      <x:c r="J2923" s="115" t="str">
        <x:v>Non</x:v>
      </x:c>
      <x:c r="K2923" s="115" t="str">
        <x:v>Pièces décrites, murs, portes, niveaux et mobilier inspectables à l’échelle. Volumes réservés, raccord au seed, butin, rencontres et services de campagne restent à terminer.</x:v>
      </x:c>
    </x:row>
    <x:row r="2924" ht="96" customHeight="1">
      <x:c r="A2924" s="115" t="str">
        <x:v>EXT-MONDE-T059-V19</x:v>
      </x:c>
      <x:c r="B2924" s="115" t="str">
        <x:v>EXT-MONDE-T059</x:v>
      </x:c>
      <x:c r="C2924" s="115" t="str">
        <x:v>Énergie</x:v>
      </x:c>
      <x:c r="D2924" s="115" t="str">
        <x:v>Poste électrique régional</x:v>
      </x:c>
      <x:c r="E2924" s="115" t="n">
        <x:v>19</x:v>
      </x:c>
      <x:c r="F2924" s="115" t="str">
        <x:v>Inspection physique</x:v>
      </x:c>
      <x:c r="G2924" s="115" t="str">
        <x:v>1 niveaux ; 22 pièces ; 167 segments de mur ; 0 transitions. Inspection physique ; architecture complète encore ouverte.</x:v>
      </x:c>
      <x:c r="H2924" s="115" t="str">
        <x:v>L 448 ; l 460 ; hauteur 6 m ; choix de composition auteur ; dimensions réelles à documenter</x:v>
      </x:c>
      <x:c r="I2924" s="115" t="str">
        <x:v>À équilibrer</x:v>
      </x:c>
      <x:c r="J2924" s="115" t="str">
        <x:v>Non</x:v>
      </x:c>
      <x:c r="K2924" s="115" t="str">
        <x:v>Pièces décrites, murs, portes, niveaux et mobilier inspectables à l’échelle. Volumes réservés, raccord au seed, butin, rencontres et services de campagne restent à terminer.</x:v>
      </x:c>
    </x:row>
    <x:row r="2925" ht="96" customHeight="1">
      <x:c r="A2925" s="115" t="str">
        <x:v>EXT-MONDE-T059-V20</x:v>
      </x:c>
      <x:c r="B2925" s="115" t="str">
        <x:v>EXT-MONDE-T059</x:v>
      </x:c>
      <x:c r="C2925" s="115" t="str">
        <x:v>Énergie</x:v>
      </x:c>
      <x:c r="D2925" s="115" t="str">
        <x:v>Poste électrique régional</x:v>
      </x:c>
      <x:c r="E2925" s="115" t="n">
        <x:v>20</x:v>
      </x:c>
      <x:c r="F2925" s="115" t="str">
        <x:v>Inspection physique</x:v>
      </x:c>
      <x:c r="G2925" s="115" t="str">
        <x:v>1 niveaux ; 22 pièces ; 167 segments de mur ; 0 transitions. Inspection physique ; architecture complète encore ouverte.</x:v>
      </x:c>
      <x:c r="H2925" s="115" t="str">
        <x:v>L 448 ; l 460 ; hauteur 6 m ; choix de composition auteur ; dimensions réelles à documenter</x:v>
      </x:c>
      <x:c r="I2925" s="115" t="str">
        <x:v>À équilibrer</x:v>
      </x:c>
      <x:c r="J2925" s="115" t="str">
        <x:v>Non</x:v>
      </x:c>
      <x:c r="K2925" s="115" t="str">
        <x:v>Pièces décrites, murs, portes, niveaux et mobilier inspectables à l’échelle. Volumes réservés, raccord au seed, butin, rencontres et services de campagne restent à terminer.</x:v>
      </x:c>
    </x:row>
    <x:row r="2926" ht="96" customHeight="1">
      <x:c r="A2926" s="115" t="str">
        <x:v>EXT-MONDE-T059-V21</x:v>
      </x:c>
      <x:c r="B2926" s="115" t="str">
        <x:v>EXT-MONDE-T059</x:v>
      </x:c>
      <x:c r="C2926" s="115" t="str">
        <x:v>Énergie</x:v>
      </x:c>
      <x:c r="D2926" s="115" t="str">
        <x:v>Poste électrique régional</x:v>
      </x:c>
      <x:c r="E2926" s="115" t="n">
        <x:v>21</x:v>
      </x:c>
      <x:c r="F2926" s="115" t="str">
        <x:v>Inspection physique</x:v>
      </x:c>
      <x:c r="G2926" s="115" t="str">
        <x:v>1 niveaux ; 22 pièces ; 167 segments de mur ; 0 transitions. Inspection physique ; architecture complète encore ouverte.</x:v>
      </x:c>
      <x:c r="H2926" s="115" t="str">
        <x:v>L 466 ; l 480 ; hauteur 6 m ; choix de composition auteur ; dimensions réelles à documenter</x:v>
      </x:c>
      <x:c r="I2926" s="115" t="str">
        <x:v>À équilibrer</x:v>
      </x:c>
      <x:c r="J2926" s="115" t="str">
        <x:v>Non</x:v>
      </x:c>
      <x:c r="K2926" s="115" t="str">
        <x:v>Pièces décrites, murs, portes, niveaux et mobilier inspectables à l’échelle. Volumes réservés, raccord au seed, butin, rencontres et services de campagne restent à terminer.</x:v>
      </x:c>
    </x:row>
    <x:row r="2927" ht="96" customHeight="1">
      <x:c r="A2927" s="115" t="str">
        <x:v>EXT-MONDE-T059-V22</x:v>
      </x:c>
      <x:c r="B2927" s="115" t="str">
        <x:v>EXT-MONDE-T059</x:v>
      </x:c>
      <x:c r="C2927" s="115" t="str">
        <x:v>Énergie</x:v>
      </x:c>
      <x:c r="D2927" s="115" t="str">
        <x:v>Poste électrique régional</x:v>
      </x:c>
      <x:c r="E2927" s="115" t="n">
        <x:v>22</x:v>
      </x:c>
      <x:c r="F2927" s="115" t="str">
        <x:v>Inspection physique</x:v>
      </x:c>
      <x:c r="G2927" s="115" t="str">
        <x:v>1 niveaux ; 22 pièces ; 167 segments de mur ; 0 transitions. Inspection physique ; architecture complète encore ouverte.</x:v>
      </x:c>
      <x:c r="H2927" s="115" t="str">
        <x:v>L 466 ; l 480 ; hauteur 6 m ; choix de composition auteur ; dimensions réelles à documenter</x:v>
      </x:c>
      <x:c r="I2927" s="115" t="str">
        <x:v>À équilibrer</x:v>
      </x:c>
      <x:c r="J2927" s="115" t="str">
        <x:v>Non</x:v>
      </x:c>
      <x:c r="K2927" s="115" t="str">
        <x:v>Pièces décrites, murs, portes, niveaux et mobilier inspectables à l’échelle. Volumes réservés, raccord au seed, butin, rencontres et services de campagne restent à terminer.</x:v>
      </x:c>
    </x:row>
    <x:row r="2928" ht="96" customHeight="1">
      <x:c r="A2928" s="115" t="str">
        <x:v>EXT-MONDE-T059-V23</x:v>
      </x:c>
      <x:c r="B2928" s="115" t="str">
        <x:v>EXT-MONDE-T059</x:v>
      </x:c>
      <x:c r="C2928" s="115" t="str">
        <x:v>Énergie</x:v>
      </x:c>
      <x:c r="D2928" s="115" t="str">
        <x:v>Poste électrique régional</x:v>
      </x:c>
      <x:c r="E2928" s="115" t="n">
        <x:v>23</x:v>
      </x:c>
      <x:c r="F2928" s="115" t="str">
        <x:v>Inspection physique</x:v>
      </x:c>
      <x:c r="G2928" s="115" t="str">
        <x:v>1 niveaux ; 22 pièces ; 167 segments de mur ; 0 transitions. Inspection physique ; architecture complète encore ouverte.</x:v>
      </x:c>
      <x:c r="H2928" s="115" t="str">
        <x:v>L 466 ; l 480 ; hauteur 6 m ; choix de composition auteur ; dimensions réelles à documenter</x:v>
      </x:c>
      <x:c r="I2928" s="115" t="str">
        <x:v>À équilibrer</x:v>
      </x:c>
      <x:c r="J2928" s="115" t="str">
        <x:v>Non</x:v>
      </x:c>
      <x:c r="K2928" s="115" t="str">
        <x:v>Pièces décrites, murs, portes, niveaux et mobilier inspectables à l’échelle. Volumes réservés, raccord au seed, butin, rencontres et services de campagne restent à terminer.</x:v>
      </x:c>
    </x:row>
    <x:row r="2929" ht="96" customHeight="1">
      <x:c r="A2929" s="115" t="str">
        <x:v>EXT-MONDE-T059-V24</x:v>
      </x:c>
      <x:c r="B2929" s="115" t="str">
        <x:v>EXT-MONDE-T059</x:v>
      </x:c>
      <x:c r="C2929" s="115" t="str">
        <x:v>Énergie</x:v>
      </x:c>
      <x:c r="D2929" s="115" t="str">
        <x:v>Poste électrique régional</x:v>
      </x:c>
      <x:c r="E2929" s="115" t="n">
        <x:v>24</x:v>
      </x:c>
      <x:c r="F2929" s="115" t="str">
        <x:v>Inspection physique</x:v>
      </x:c>
      <x:c r="G2929" s="115" t="str">
        <x:v>1 niveaux ; 22 pièces ; 167 segments de mur ; 0 transitions. Inspection physique ; architecture complète encore ouverte.</x:v>
      </x:c>
      <x:c r="H2929" s="115" t="str">
        <x:v>L 466 ; l 480 ; hauteur 6 m ; choix de composition auteur ; dimensions réelles à documenter</x:v>
      </x:c>
      <x:c r="I2929" s="115" t="str">
        <x:v>À équilibrer</x:v>
      </x:c>
      <x:c r="J2929" s="115" t="str">
        <x:v>Non</x:v>
      </x:c>
      <x:c r="K2929" s="115" t="str">
        <x:v>Pièces décrites, murs, portes, niveaux et mobilier inspectables à l’échelle. Volumes réservés, raccord au seed, butin, rencontres et services de campagne restent à terminer.</x:v>
      </x:c>
    </x:row>
    <x:row r="2930" ht="96" customHeight="1">
      <x:c r="A2930" s="115" t="str">
        <x:v>EXT-MONDE-T059-V25</x:v>
      </x:c>
      <x:c r="B2930" s="115" t="str">
        <x:v>EXT-MONDE-T059</x:v>
      </x:c>
      <x:c r="C2930" s="115" t="str">
        <x:v>Énergie</x:v>
      </x:c>
      <x:c r="D2930" s="115" t="str">
        <x:v>Poste électrique régional</x:v>
      </x:c>
      <x:c r="E2930" s="115" t="n">
        <x:v>25</x:v>
      </x:c>
      <x:c r="F2930" s="115" t="str">
        <x:v>Inspection physique</x:v>
      </x:c>
      <x:c r="G2930" s="115" t="str">
        <x:v>1 niveaux ; 22 pièces ; 167 segments de mur ; 0 transitions. Inspection physique ; architecture complète encore ouverte.</x:v>
      </x:c>
      <x:c r="H2930" s="115" t="str">
        <x:v>L 466 ; l 480 ; hauteur 6 m ; choix de composition auteur ; dimensions réelles à documenter</x:v>
      </x:c>
      <x:c r="I2930" s="115" t="str">
        <x:v>À équilibrer</x:v>
      </x:c>
      <x:c r="J2930" s="115" t="str">
        <x:v>Non</x:v>
      </x:c>
      <x:c r="K2930" s="115" t="str">
        <x:v>Pièces décrites, murs, portes, niveaux et mobilier inspectables à l’échelle. Volumes réservés, raccord au seed, butin, rencontres et services de campagne restent à terminer.</x:v>
      </x:c>
    </x:row>
    <x:row r="2931" ht="96" customHeight="1">
      <x:c r="A2931" s="115" t="str">
        <x:v>EXT-MONDE-T059-V26</x:v>
      </x:c>
      <x:c r="B2931" s="115" t="str">
        <x:v>EXT-MONDE-T059</x:v>
      </x:c>
      <x:c r="C2931" s="115" t="str">
        <x:v>Énergie</x:v>
      </x:c>
      <x:c r="D2931" s="115" t="str">
        <x:v>Poste électrique régional</x:v>
      </x:c>
      <x:c r="E2931" s="115" t="n">
        <x:v>26</x:v>
      </x:c>
      <x:c r="F2931" s="115" t="str">
        <x:v>Inspection physique</x:v>
      </x:c>
      <x:c r="G2931" s="115" t="str">
        <x:v>1 niveaux ; 22 pièces ; 167 segments de mur ; 0 transitions. Inspection physique ; architecture complète encore ouverte.</x:v>
      </x:c>
      <x:c r="H2931" s="115" t="str">
        <x:v>L 466 ; l 480 ; hauteur 6 m ; choix de composition auteur ; dimensions réelles à documenter</x:v>
      </x:c>
      <x:c r="I2931" s="115" t="str">
        <x:v>À équilibrer</x:v>
      </x:c>
      <x:c r="J2931" s="115" t="str">
        <x:v>Non</x:v>
      </x:c>
      <x:c r="K2931" s="115" t="str">
        <x:v>Pièces décrites, murs, portes, niveaux et mobilier inspectables à l’échelle. Volumes réservés, raccord au seed, butin, rencontres et services de campagne restent à terminer.</x:v>
      </x:c>
    </x:row>
    <x:row r="2932" ht="96" customHeight="1">
      <x:c r="A2932" s="115" t="str">
        <x:v>EXT-MONDE-T059-V27</x:v>
      </x:c>
      <x:c r="B2932" s="115" t="str">
        <x:v>EXT-MONDE-T059</x:v>
      </x:c>
      <x:c r="C2932" s="115" t="str">
        <x:v>Énergie</x:v>
      </x:c>
      <x:c r="D2932" s="115" t="str">
        <x:v>Poste électrique régional</x:v>
      </x:c>
      <x:c r="E2932" s="115" t="n">
        <x:v>27</x:v>
      </x:c>
      <x:c r="F2932" s="115" t="str">
        <x:v>Inspection physique</x:v>
      </x:c>
      <x:c r="G2932" s="115" t="str">
        <x:v>1 niveaux ; 22 pièces ; 167 segments de mur ; 0 transitions. Inspection physique ; architecture complète encore ouverte.</x:v>
      </x:c>
      <x:c r="H2932" s="115" t="str">
        <x:v>L 466 ; l 480 ; hauteur 6 m ; choix de composition auteur ; dimensions réelles à documenter</x:v>
      </x:c>
      <x:c r="I2932" s="115" t="str">
        <x:v>À équilibrer</x:v>
      </x:c>
      <x:c r="J2932" s="115" t="str">
        <x:v>Non</x:v>
      </x:c>
      <x:c r="K2932" s="115" t="str">
        <x:v>Pièces décrites, murs, portes, niveaux et mobilier inspectables à l’échelle. Volumes réservés, raccord au seed, butin, rencontres et services de campagne restent à terminer.</x:v>
      </x:c>
    </x:row>
    <x:row r="2933" ht="96" customHeight="1">
      <x:c r="A2933" s="115" t="str">
        <x:v>EXT-MONDE-T059-V28</x:v>
      </x:c>
      <x:c r="B2933" s="115" t="str">
        <x:v>EXT-MONDE-T059</x:v>
      </x:c>
      <x:c r="C2933" s="115" t="str">
        <x:v>Énergie</x:v>
      </x:c>
      <x:c r="D2933" s="115" t="str">
        <x:v>Poste électrique régional</x:v>
      </x:c>
      <x:c r="E2933" s="115" t="n">
        <x:v>28</x:v>
      </x:c>
      <x:c r="F2933" s="115" t="str">
        <x:v>Inspection physique</x:v>
      </x:c>
      <x:c r="G2933" s="115" t="str">
        <x:v>1 niveaux ; 22 pièces ; 167 segments de mur ; 0 transitions. Inspection physique ; architecture complète encore ouverte.</x:v>
      </x:c>
      <x:c r="H2933" s="115" t="str">
        <x:v>L 466 ; l 480 ; hauteur 6 m ; choix de composition auteur ; dimensions réelles à documenter</x:v>
      </x:c>
      <x:c r="I2933" s="115" t="str">
        <x:v>À équilibrer</x:v>
      </x:c>
      <x:c r="J2933" s="115" t="str">
        <x:v>Non</x:v>
      </x:c>
      <x:c r="K2933" s="115" t="str">
        <x:v>Pièces décrites, murs, portes, niveaux et mobilier inspectables à l’échelle. Volumes réservés, raccord au seed, butin, rencontres et services de campagne restent à terminer.</x:v>
      </x:c>
    </x:row>
    <x:row r="2934" ht="96" customHeight="1">
      <x:c r="A2934" s="115" t="str">
        <x:v>EXT-MONDE-T059-V29</x:v>
      </x:c>
      <x:c r="B2934" s="115" t="str">
        <x:v>EXT-MONDE-T059</x:v>
      </x:c>
      <x:c r="C2934" s="115" t="str">
        <x:v>Énergie</x:v>
      </x:c>
      <x:c r="D2934" s="115" t="str">
        <x:v>Poste électrique régional</x:v>
      </x:c>
      <x:c r="E2934" s="115" t="n">
        <x:v>29</x:v>
      </x:c>
      <x:c r="F2934" s="115" t="str">
        <x:v>Inspection physique</x:v>
      </x:c>
      <x:c r="G2934" s="115" t="str">
        <x:v>1 niveaux ; 22 pièces ; 167 segments de mur ; 0 transitions. Inspection physique ; architecture complète encore ouverte.</x:v>
      </x:c>
      <x:c r="H2934" s="115" t="str">
        <x:v>L 466 ; l 480 ; hauteur 6 m ; choix de composition auteur ; dimensions réelles à documenter</x:v>
      </x:c>
      <x:c r="I2934" s="115" t="str">
        <x:v>À équilibrer</x:v>
      </x:c>
      <x:c r="J2934" s="115" t="str">
        <x:v>Non</x:v>
      </x:c>
      <x:c r="K2934" s="115" t="str">
        <x:v>Pièces décrites, murs, portes, niveaux et mobilier inspectables à l’échelle. Volumes réservés, raccord au seed, butin, rencontres et services de campagne restent à terminer.</x:v>
      </x:c>
    </x:row>
    <x:row r="2935" ht="96" customHeight="1">
      <x:c r="A2935" s="115" t="str">
        <x:v>EXT-MONDE-T059-V30</x:v>
      </x:c>
      <x:c r="B2935" s="115" t="str">
        <x:v>EXT-MONDE-T059</x:v>
      </x:c>
      <x:c r="C2935" s="115" t="str">
        <x:v>Énergie</x:v>
      </x:c>
      <x:c r="D2935" s="115" t="str">
        <x:v>Poste électrique régional</x:v>
      </x:c>
      <x:c r="E2935" s="115" t="n">
        <x:v>30</x:v>
      </x:c>
      <x:c r="F2935" s="115" t="str">
        <x:v>Inspection physique</x:v>
      </x:c>
      <x:c r="G2935" s="115" t="str">
        <x:v>1 niveaux ; 22 pièces ; 167 segments de mur ; 0 transitions. Inspection physique ; architecture complète encore ouverte.</x:v>
      </x:c>
      <x:c r="H2935" s="115" t="str">
        <x:v>L 466 ; l 480 ; hauteur 6 m ; choix de composition auteur ; dimensions réelles à documenter</x:v>
      </x:c>
      <x:c r="I2935" s="115" t="str">
        <x:v>À équilibrer</x:v>
      </x:c>
      <x:c r="J2935" s="115" t="str">
        <x:v>Non</x:v>
      </x:c>
      <x:c r="K2935" s="115" t="str">
        <x:v>Pièces décrites, murs, portes, niveaux et mobilier inspectables à l’échelle. Volumes réservés, raccord au seed, butin, rencontres et services de campagne restent à terminer.</x:v>
      </x:c>
    </x:row>
    <x:row r="2936" ht="96" customHeight="1">
      <x:c r="A2936" s="115" t="str">
        <x:v>EXT-MONDE-T059-V31</x:v>
      </x:c>
      <x:c r="B2936" s="115" t="str">
        <x:v>EXT-MONDE-T059</x:v>
      </x:c>
      <x:c r="C2936" s="115" t="str">
        <x:v>Énergie</x:v>
      </x:c>
      <x:c r="D2936" s="115" t="str">
        <x:v>Poste électrique régional</x:v>
      </x:c>
      <x:c r="E2936" s="115" t="n">
        <x:v>31</x:v>
      </x:c>
      <x:c r="F2936" s="115" t="str">
        <x:v>Inspection physique</x:v>
      </x:c>
      <x:c r="G2936" s="115" t="str">
        <x:v>1 niveaux ; 22 pièces ; 167 segments de mur ; 0 transitions. Inspection physique ; architecture complète encore ouverte.</x:v>
      </x:c>
      <x:c r="H2936" s="115" t="str">
        <x:v>L 484 ; l 500 ; hauteur 6 m ; choix de composition auteur ; dimensions réelles à documenter</x:v>
      </x:c>
      <x:c r="I2936" s="115" t="str">
        <x:v>À équilibrer</x:v>
      </x:c>
      <x:c r="J2936" s="115" t="str">
        <x:v>Non</x:v>
      </x:c>
      <x:c r="K2936" s="115" t="str">
        <x:v>Pièces décrites, murs, portes, niveaux et mobilier inspectables à l’échelle. Volumes réservés, raccord au seed, butin, rencontres et services de campagne restent à terminer.</x:v>
      </x:c>
    </x:row>
    <x:row r="2937" ht="96" customHeight="1">
      <x:c r="A2937" s="115" t="str">
        <x:v>EXT-MONDE-T059-V32</x:v>
      </x:c>
      <x:c r="B2937" s="115" t="str">
        <x:v>EXT-MONDE-T059</x:v>
      </x:c>
      <x:c r="C2937" s="115" t="str">
        <x:v>Énergie</x:v>
      </x:c>
      <x:c r="D2937" s="115" t="str">
        <x:v>Poste électrique régional</x:v>
      </x:c>
      <x:c r="E2937" s="115" t="n">
        <x:v>32</x:v>
      </x:c>
      <x:c r="F2937" s="115" t="str">
        <x:v>Inspection physique</x:v>
      </x:c>
      <x:c r="G2937" s="115" t="str">
        <x:v>1 niveaux ; 22 pièces ; 167 segments de mur ; 0 transitions. Inspection physique ; architecture complète encore ouverte.</x:v>
      </x:c>
      <x:c r="H2937" s="115" t="str">
        <x:v>L 484 ; l 500 ; hauteur 6 m ; choix de composition auteur ; dimensions réelles à documenter</x:v>
      </x:c>
      <x:c r="I2937" s="115" t="str">
        <x:v>À équilibrer</x:v>
      </x:c>
      <x:c r="J2937" s="115" t="str">
        <x:v>Non</x:v>
      </x:c>
      <x:c r="K2937" s="115" t="str">
        <x:v>Pièces décrites, murs, portes, niveaux et mobilier inspectables à l’échelle. Volumes réservés, raccord au seed, butin, rencontres et services de campagne restent à terminer.</x:v>
      </x:c>
    </x:row>
    <x:row r="2938" ht="96" customHeight="1">
      <x:c r="A2938" s="115" t="str">
        <x:v>EXT-MONDE-T059-V33</x:v>
      </x:c>
      <x:c r="B2938" s="115" t="str">
        <x:v>EXT-MONDE-T059</x:v>
      </x:c>
      <x:c r="C2938" s="115" t="str">
        <x:v>Énergie</x:v>
      </x:c>
      <x:c r="D2938" s="115" t="str">
        <x:v>Poste électrique régional</x:v>
      </x:c>
      <x:c r="E2938" s="115" t="n">
        <x:v>33</x:v>
      </x:c>
      <x:c r="F2938" s="115" t="str">
        <x:v>Inspection physique</x:v>
      </x:c>
      <x:c r="G2938" s="115" t="str">
        <x:v>1 niveaux ; 22 pièces ; 167 segments de mur ; 0 transitions. Inspection physique ; architecture complète encore ouverte.</x:v>
      </x:c>
      <x:c r="H2938" s="115" t="str">
        <x:v>L 484 ; l 500 ; hauteur 6 m ; choix de composition auteur ; dimensions réelles à documenter</x:v>
      </x:c>
      <x:c r="I2938" s="115" t="str">
        <x:v>À équilibrer</x:v>
      </x:c>
      <x:c r="J2938" s="115" t="str">
        <x:v>Non</x:v>
      </x:c>
      <x:c r="K2938" s="115" t="str">
        <x:v>Pièces décrites, murs, portes, niveaux et mobilier inspectables à l’échelle. Volumes réservés, raccord au seed, butin, rencontres et services de campagne restent à terminer.</x:v>
      </x:c>
    </x:row>
    <x:row r="2939" ht="96" customHeight="1">
      <x:c r="A2939" s="115" t="str">
        <x:v>EXT-MONDE-T059-V34</x:v>
      </x:c>
      <x:c r="B2939" s="115" t="str">
        <x:v>EXT-MONDE-T059</x:v>
      </x:c>
      <x:c r="C2939" s="115" t="str">
        <x:v>Énergie</x:v>
      </x:c>
      <x:c r="D2939" s="115" t="str">
        <x:v>Poste électrique régional</x:v>
      </x:c>
      <x:c r="E2939" s="115" t="n">
        <x:v>34</x:v>
      </x:c>
      <x:c r="F2939" s="115" t="str">
        <x:v>Inspection physique</x:v>
      </x:c>
      <x:c r="G2939" s="115" t="str">
        <x:v>1 niveaux ; 22 pièces ; 167 segments de mur ; 0 transitions. Inspection physique ; architecture complète encore ouverte.</x:v>
      </x:c>
      <x:c r="H2939" s="115" t="str">
        <x:v>L 484 ; l 500 ; hauteur 6 m ; choix de composition auteur ; dimensions réelles à documenter</x:v>
      </x:c>
      <x:c r="I2939" s="115" t="str">
        <x:v>À équilibrer</x:v>
      </x:c>
      <x:c r="J2939" s="115" t="str">
        <x:v>Non</x:v>
      </x:c>
      <x:c r="K2939" s="115" t="str">
        <x:v>Pièces décrites, murs, portes, niveaux et mobilier inspectables à l’échelle. Volumes réservés, raccord au seed, butin, rencontres et services de campagne restent à terminer.</x:v>
      </x:c>
    </x:row>
    <x:row r="2940" ht="96" customHeight="1">
      <x:c r="A2940" s="115" t="str">
        <x:v>EXT-MONDE-T059-V35</x:v>
      </x:c>
      <x:c r="B2940" s="115" t="str">
        <x:v>EXT-MONDE-T059</x:v>
      </x:c>
      <x:c r="C2940" s="115" t="str">
        <x:v>Énergie</x:v>
      </x:c>
      <x:c r="D2940" s="115" t="str">
        <x:v>Poste électrique régional</x:v>
      </x:c>
      <x:c r="E2940" s="115" t="n">
        <x:v>35</x:v>
      </x:c>
      <x:c r="F2940" s="115" t="str">
        <x:v>Inspection physique</x:v>
      </x:c>
      <x:c r="G2940" s="115" t="str">
        <x:v>1 niveaux ; 22 pièces ; 167 segments de mur ; 0 transitions. Inspection physique ; architecture complète encore ouverte.</x:v>
      </x:c>
      <x:c r="H2940" s="115" t="str">
        <x:v>L 484 ; l 500 ; hauteur 6 m ; choix de composition auteur ; dimensions réelles à documenter</x:v>
      </x:c>
      <x:c r="I2940" s="115" t="str">
        <x:v>À équilibrer</x:v>
      </x:c>
      <x:c r="J2940" s="115" t="str">
        <x:v>Non</x:v>
      </x:c>
      <x:c r="K2940" s="115" t="str">
        <x:v>Pièces décrites, murs, portes, niveaux et mobilier inspectables à l’échelle. Volumes réservés, raccord au seed, butin, rencontres et services de campagne restent à terminer.</x:v>
      </x:c>
    </x:row>
    <x:row r="2941" ht="96" customHeight="1">
      <x:c r="A2941" s="115" t="str">
        <x:v>EXT-MONDE-T059-V36</x:v>
      </x:c>
      <x:c r="B2941" s="115" t="str">
        <x:v>EXT-MONDE-T059</x:v>
      </x:c>
      <x:c r="C2941" s="115" t="str">
        <x:v>Énergie</x:v>
      </x:c>
      <x:c r="D2941" s="115" t="str">
        <x:v>Poste électrique régional</x:v>
      </x:c>
      <x:c r="E2941" s="115" t="n">
        <x:v>36</x:v>
      </x:c>
      <x:c r="F2941" s="115" t="str">
        <x:v>Inspection physique</x:v>
      </x:c>
      <x:c r="G2941" s="115" t="str">
        <x:v>1 niveaux ; 22 pièces ; 167 segments de mur ; 0 transitions. Inspection physique ; architecture complète encore ouverte.</x:v>
      </x:c>
      <x:c r="H2941" s="115" t="str">
        <x:v>L 484 ; l 500 ; hauteur 6 m ; choix de composition auteur ; dimensions réelles à documenter</x:v>
      </x:c>
      <x:c r="I2941" s="115" t="str">
        <x:v>À équilibrer</x:v>
      </x:c>
      <x:c r="J2941" s="115" t="str">
        <x:v>Non</x:v>
      </x:c>
      <x:c r="K2941" s="115" t="str">
        <x:v>Pièces décrites, murs, portes, niveaux et mobilier inspectables à l’échelle. Volumes réservés, raccord au seed, butin, rencontres et services de campagne restent à terminer.</x:v>
      </x:c>
    </x:row>
    <x:row r="2942" ht="96" customHeight="1">
      <x:c r="A2942" s="115" t="str">
        <x:v>EXT-MONDE-T059-V37</x:v>
      </x:c>
      <x:c r="B2942" s="115" t="str">
        <x:v>EXT-MONDE-T059</x:v>
      </x:c>
      <x:c r="C2942" s="115" t="str">
        <x:v>Énergie</x:v>
      </x:c>
      <x:c r="D2942" s="115" t="str">
        <x:v>Poste électrique régional</x:v>
      </x:c>
      <x:c r="E2942" s="115" t="n">
        <x:v>37</x:v>
      </x:c>
      <x:c r="F2942" s="115" t="str">
        <x:v>Inspection physique</x:v>
      </x:c>
      <x:c r="G2942" s="115" t="str">
        <x:v>1 niveaux ; 22 pièces ; 167 segments de mur ; 0 transitions. Inspection physique ; architecture complète encore ouverte.</x:v>
      </x:c>
      <x:c r="H2942" s="115" t="str">
        <x:v>L 484 ; l 500 ; hauteur 6 m ; choix de composition auteur ; dimensions réelles à documenter</x:v>
      </x:c>
      <x:c r="I2942" s="115" t="str">
        <x:v>À équilibrer</x:v>
      </x:c>
      <x:c r="J2942" s="115" t="str">
        <x:v>Non</x:v>
      </x:c>
      <x:c r="K2942" s="115" t="str">
        <x:v>Pièces décrites, murs, portes, niveaux et mobilier inspectables à l’échelle. Volumes réservés, raccord au seed, butin, rencontres et services de campagne restent à terminer.</x:v>
      </x:c>
    </x:row>
    <x:row r="2943" ht="96" customHeight="1">
      <x:c r="A2943" s="115" t="str">
        <x:v>EXT-MONDE-T059-V38</x:v>
      </x:c>
      <x:c r="B2943" s="115" t="str">
        <x:v>EXT-MONDE-T059</x:v>
      </x:c>
      <x:c r="C2943" s="115" t="str">
        <x:v>Énergie</x:v>
      </x:c>
      <x:c r="D2943" s="115" t="str">
        <x:v>Poste électrique régional</x:v>
      </x:c>
      <x:c r="E2943" s="115" t="n">
        <x:v>38</x:v>
      </x:c>
      <x:c r="F2943" s="115" t="str">
        <x:v>Inspection physique</x:v>
      </x:c>
      <x:c r="G2943" s="115" t="str">
        <x:v>1 niveaux ; 22 pièces ; 167 segments de mur ; 0 transitions. Inspection physique ; architecture complète encore ouverte.</x:v>
      </x:c>
      <x:c r="H2943" s="115" t="str">
        <x:v>L 484 ; l 500 ; hauteur 6 m ; choix de composition auteur ; dimensions réelles à documenter</x:v>
      </x:c>
      <x:c r="I2943" s="115" t="str">
        <x:v>À équilibrer</x:v>
      </x:c>
      <x:c r="J2943" s="115" t="str">
        <x:v>Non</x:v>
      </x:c>
      <x:c r="K2943" s="115" t="str">
        <x:v>Pièces décrites, murs, portes, niveaux et mobilier inspectables à l’échelle. Volumes réservés, raccord au seed, butin, rencontres et services de campagne restent à terminer.</x:v>
      </x:c>
    </x:row>
    <x:row r="2944" ht="96" customHeight="1">
      <x:c r="A2944" s="115" t="str">
        <x:v>EXT-MONDE-T059-V39</x:v>
      </x:c>
      <x:c r="B2944" s="115" t="str">
        <x:v>EXT-MONDE-T059</x:v>
      </x:c>
      <x:c r="C2944" s="115" t="str">
        <x:v>Énergie</x:v>
      </x:c>
      <x:c r="D2944" s="115" t="str">
        <x:v>Poste électrique régional</x:v>
      </x:c>
      <x:c r="E2944" s="115" t="n">
        <x:v>39</x:v>
      </x:c>
      <x:c r="F2944" s="115" t="str">
        <x:v>Inspection physique</x:v>
      </x:c>
      <x:c r="G2944" s="115" t="str">
        <x:v>1 niveaux ; 22 pièces ; 167 segments de mur ; 0 transitions. Inspection physique ; architecture complète encore ouverte.</x:v>
      </x:c>
      <x:c r="H2944" s="115" t="str">
        <x:v>L 484 ; l 500 ; hauteur 6 m ; choix de composition auteur ; dimensions réelles à documenter</x:v>
      </x:c>
      <x:c r="I2944" s="115" t="str">
        <x:v>À équilibrer</x:v>
      </x:c>
      <x:c r="J2944" s="115" t="str">
        <x:v>Non</x:v>
      </x:c>
      <x:c r="K2944" s="115" t="str">
        <x:v>Pièces décrites, murs, portes, niveaux et mobilier inspectables à l’échelle. Volumes réservés, raccord au seed, butin, rencontres et services de campagne restent à terminer.</x:v>
      </x:c>
    </x:row>
    <x:row r="2945" ht="96" customHeight="1">
      <x:c r="A2945" s="115" t="str">
        <x:v>EXT-MONDE-T059-V40</x:v>
      </x:c>
      <x:c r="B2945" s="115" t="str">
        <x:v>EXT-MONDE-T059</x:v>
      </x:c>
      <x:c r="C2945" s="115" t="str">
        <x:v>Énergie</x:v>
      </x:c>
      <x:c r="D2945" s="115" t="str">
        <x:v>Poste électrique régional</x:v>
      </x:c>
      <x:c r="E2945" s="115" t="n">
        <x:v>40</x:v>
      </x:c>
      <x:c r="F2945" s="115" t="str">
        <x:v>Inspection physique</x:v>
      </x:c>
      <x:c r="G2945" s="115" t="str">
        <x:v>1 niveaux ; 22 pièces ; 167 segments de mur ; 0 transitions. Inspection physique ; architecture complète encore ouverte.</x:v>
      </x:c>
      <x:c r="H2945" s="115" t="str">
        <x:v>L 484 ; l 500 ; hauteur 6 m ; choix de composition auteur ; dimensions réelles à documenter</x:v>
      </x:c>
      <x:c r="I2945" s="115" t="str">
        <x:v>À équilibrer</x:v>
      </x:c>
      <x:c r="J2945" s="115" t="str">
        <x:v>Non</x:v>
      </x:c>
      <x:c r="K2945" s="115" t="str">
        <x:v>Pièces décrites, murs, portes, niveaux et mobilier inspectables à l’échelle. Volumes réservés, raccord au seed, butin, rencontres et services de campagne restent à terminer.</x:v>
      </x:c>
    </x:row>
    <x:row r="2946" ht="96" customHeight="1">
      <x:c r="A2946" s="115" t="str">
        <x:v>EXT-MONDE-T059-V41</x:v>
      </x:c>
      <x:c r="B2946" s="115" t="str">
        <x:v>EXT-MONDE-T059</x:v>
      </x:c>
      <x:c r="C2946" s="115" t="str">
        <x:v>Énergie</x:v>
      </x:c>
      <x:c r="D2946" s="115" t="str">
        <x:v>Poste électrique régional</x:v>
      </x:c>
      <x:c r="E2946" s="115" t="n">
        <x:v>41</x:v>
      </x:c>
      <x:c r="F2946" s="115" t="str">
        <x:v>Inspection physique</x:v>
      </x:c>
      <x:c r="G2946" s="115" t="str">
        <x:v>1 niveaux ; 22 pièces ; 167 segments de mur ; 0 transitions. Inspection physique ; architecture complète encore ouverte.</x:v>
      </x:c>
      <x:c r="H2946" s="115" t="str">
        <x:v>L 502 ; l 520 ; hauteur 6 m ; choix de composition auteur ; dimensions réelles à documenter</x:v>
      </x:c>
      <x:c r="I2946" s="115" t="str">
        <x:v>À équilibrer</x:v>
      </x:c>
      <x:c r="J2946" s="115" t="str">
        <x:v>Non</x:v>
      </x:c>
      <x:c r="K2946" s="115" t="str">
        <x:v>Pièces décrites, murs, portes, niveaux et mobilier inspectables à l’échelle. Volumes réservés, raccord au seed, butin, rencontres et services de campagne restent à terminer.</x:v>
      </x:c>
    </x:row>
    <x:row r="2947" ht="96" customHeight="1">
      <x:c r="A2947" s="115" t="str">
        <x:v>EXT-MONDE-T059-V42</x:v>
      </x:c>
      <x:c r="B2947" s="115" t="str">
        <x:v>EXT-MONDE-T059</x:v>
      </x:c>
      <x:c r="C2947" s="115" t="str">
        <x:v>Énergie</x:v>
      </x:c>
      <x:c r="D2947" s="115" t="str">
        <x:v>Poste électrique régional</x:v>
      </x:c>
      <x:c r="E2947" s="115" t="n">
        <x:v>42</x:v>
      </x:c>
      <x:c r="F2947" s="115" t="str">
        <x:v>Inspection physique</x:v>
      </x:c>
      <x:c r="G2947" s="115" t="str">
        <x:v>1 niveaux ; 22 pièces ; 167 segments de mur ; 0 transitions. Inspection physique ; architecture complète encore ouverte.</x:v>
      </x:c>
      <x:c r="H2947" s="115" t="str">
        <x:v>L 502 ; l 520 ; hauteur 6 m ; choix de composition auteur ; dimensions réelles à documenter</x:v>
      </x:c>
      <x:c r="I2947" s="115" t="str">
        <x:v>À équilibrer</x:v>
      </x:c>
      <x:c r="J2947" s="115" t="str">
        <x:v>Non</x:v>
      </x:c>
      <x:c r="K2947" s="115" t="str">
        <x:v>Pièces décrites, murs, portes, niveaux et mobilier inspectables à l’échelle. Volumes réservés, raccord au seed, butin, rencontres et services de campagne restent à terminer.</x:v>
      </x:c>
    </x:row>
    <x:row r="2948" ht="96" customHeight="1">
      <x:c r="A2948" s="115" t="str">
        <x:v>EXT-MONDE-T059-V43</x:v>
      </x:c>
      <x:c r="B2948" s="115" t="str">
        <x:v>EXT-MONDE-T059</x:v>
      </x:c>
      <x:c r="C2948" s="115" t="str">
        <x:v>Énergie</x:v>
      </x:c>
      <x:c r="D2948" s="115" t="str">
        <x:v>Poste électrique régional</x:v>
      </x:c>
      <x:c r="E2948" s="115" t="n">
        <x:v>43</x:v>
      </x:c>
      <x:c r="F2948" s="115" t="str">
        <x:v>Inspection physique</x:v>
      </x:c>
      <x:c r="G2948" s="115" t="str">
        <x:v>1 niveaux ; 22 pièces ; 167 segments de mur ; 0 transitions. Inspection physique ; architecture complète encore ouverte.</x:v>
      </x:c>
      <x:c r="H2948" s="115" t="str">
        <x:v>L 502 ; l 520 ; hauteur 6 m ; choix de composition auteur ; dimensions réelles à documenter</x:v>
      </x:c>
      <x:c r="I2948" s="115" t="str">
        <x:v>À équilibrer</x:v>
      </x:c>
      <x:c r="J2948" s="115" t="str">
        <x:v>Non</x:v>
      </x:c>
      <x:c r="K2948" s="115" t="str">
        <x:v>Pièces décrites, murs, portes, niveaux et mobilier inspectables à l’échelle. Volumes réservés, raccord au seed, butin, rencontres et services de campagne restent à terminer.</x:v>
      </x:c>
    </x:row>
    <x:row r="2949" ht="96" customHeight="1">
      <x:c r="A2949" s="115" t="str">
        <x:v>EXT-MONDE-T059-V44</x:v>
      </x:c>
      <x:c r="B2949" s="115" t="str">
        <x:v>EXT-MONDE-T059</x:v>
      </x:c>
      <x:c r="C2949" s="115" t="str">
        <x:v>Énergie</x:v>
      </x:c>
      <x:c r="D2949" s="115" t="str">
        <x:v>Poste électrique régional</x:v>
      </x:c>
      <x:c r="E2949" s="115" t="n">
        <x:v>44</x:v>
      </x:c>
      <x:c r="F2949" s="115" t="str">
        <x:v>Inspection physique</x:v>
      </x:c>
      <x:c r="G2949" s="115" t="str">
        <x:v>1 niveaux ; 22 pièces ; 167 segments de mur ; 0 transitions. Inspection physique ; architecture complète encore ouverte.</x:v>
      </x:c>
      <x:c r="H2949" s="115" t="str">
        <x:v>L 502 ; l 520 ; hauteur 6 m ; choix de composition auteur ; dimensions réelles à documenter</x:v>
      </x:c>
      <x:c r="I2949" s="115" t="str">
        <x:v>À équilibrer</x:v>
      </x:c>
      <x:c r="J2949" s="115" t="str">
        <x:v>Non</x:v>
      </x:c>
      <x:c r="K2949" s="115" t="str">
        <x:v>Pièces décrites, murs, portes, niveaux et mobilier inspectables à l’échelle. Volumes réservés, raccord au seed, butin, rencontres et services de campagne restent à terminer.</x:v>
      </x:c>
    </x:row>
    <x:row r="2950" ht="96" customHeight="1">
      <x:c r="A2950" s="115" t="str">
        <x:v>EXT-MONDE-T059-V45</x:v>
      </x:c>
      <x:c r="B2950" s="115" t="str">
        <x:v>EXT-MONDE-T059</x:v>
      </x:c>
      <x:c r="C2950" s="115" t="str">
        <x:v>Énergie</x:v>
      </x:c>
      <x:c r="D2950" s="115" t="str">
        <x:v>Poste électrique régional</x:v>
      </x:c>
      <x:c r="E2950" s="115" t="n">
        <x:v>45</x:v>
      </x:c>
      <x:c r="F2950" s="115" t="str">
        <x:v>Inspection physique</x:v>
      </x:c>
      <x:c r="G2950" s="115" t="str">
        <x:v>1 niveaux ; 22 pièces ; 167 segments de mur ; 0 transitions. Inspection physique ; architecture complète encore ouverte.</x:v>
      </x:c>
      <x:c r="H2950" s="115" t="str">
        <x:v>L 502 ; l 520 ; hauteur 6 m ; choix de composition auteur ; dimensions réelles à documenter</x:v>
      </x:c>
      <x:c r="I2950" s="115" t="str">
        <x:v>À équilibrer</x:v>
      </x:c>
      <x:c r="J2950" s="115" t="str">
        <x:v>Non</x:v>
      </x:c>
      <x:c r="K2950" s="115" t="str">
        <x:v>Pièces décrites, murs, portes, niveaux et mobilier inspectables à l’échelle. Volumes réservés, raccord au seed, butin, rencontres et services de campagne restent à terminer.</x:v>
      </x:c>
    </x:row>
    <x:row r="2951" ht="96" customHeight="1">
      <x:c r="A2951" s="115" t="str">
        <x:v>EXT-MONDE-T059-V46</x:v>
      </x:c>
      <x:c r="B2951" s="115" t="str">
        <x:v>EXT-MONDE-T059</x:v>
      </x:c>
      <x:c r="C2951" s="115" t="str">
        <x:v>Énergie</x:v>
      </x:c>
      <x:c r="D2951" s="115" t="str">
        <x:v>Poste électrique régional</x:v>
      </x:c>
      <x:c r="E2951" s="115" t="n">
        <x:v>46</x:v>
      </x:c>
      <x:c r="F2951" s="115" t="str">
        <x:v>Inspection physique</x:v>
      </x:c>
      <x:c r="G2951" s="115" t="str">
        <x:v>1 niveaux ; 22 pièces ; 167 segments de mur ; 0 transitions. Inspection physique ; architecture complète encore ouverte.</x:v>
      </x:c>
      <x:c r="H2951" s="115" t="str">
        <x:v>L 502 ; l 520 ; hauteur 6 m ; choix de composition auteur ; dimensions réelles à documenter</x:v>
      </x:c>
      <x:c r="I2951" s="115" t="str">
        <x:v>À équilibrer</x:v>
      </x:c>
      <x:c r="J2951" s="115" t="str">
        <x:v>Non</x:v>
      </x:c>
      <x:c r="K2951" s="115" t="str">
        <x:v>Pièces décrites, murs, portes, niveaux et mobilier inspectables à l’échelle. Volumes réservés, raccord au seed, butin, rencontres et services de campagne restent à terminer.</x:v>
      </x:c>
    </x:row>
    <x:row r="2952" ht="96" customHeight="1">
      <x:c r="A2952" s="115" t="str">
        <x:v>EXT-MONDE-T059-V47</x:v>
      </x:c>
      <x:c r="B2952" s="115" t="str">
        <x:v>EXT-MONDE-T059</x:v>
      </x:c>
      <x:c r="C2952" s="115" t="str">
        <x:v>Énergie</x:v>
      </x:c>
      <x:c r="D2952" s="115" t="str">
        <x:v>Poste électrique régional</x:v>
      </x:c>
      <x:c r="E2952" s="115" t="n">
        <x:v>47</x:v>
      </x:c>
      <x:c r="F2952" s="115" t="str">
        <x:v>Inspection physique</x:v>
      </x:c>
      <x:c r="G2952" s="115" t="str">
        <x:v>1 niveaux ; 22 pièces ; 167 segments de mur ; 0 transitions. Inspection physique ; architecture complète encore ouverte.</x:v>
      </x:c>
      <x:c r="H2952" s="115" t="str">
        <x:v>L 502 ; l 520 ; hauteur 6 m ; choix de composition auteur ; dimensions réelles à documenter</x:v>
      </x:c>
      <x:c r="I2952" s="115" t="str">
        <x:v>À équilibrer</x:v>
      </x:c>
      <x:c r="J2952" s="115" t="str">
        <x:v>Non</x:v>
      </x:c>
      <x:c r="K2952" s="115" t="str">
        <x:v>Pièces décrites, murs, portes, niveaux et mobilier inspectables à l’échelle. Volumes réservés, raccord au seed, butin, rencontres et services de campagne restent à terminer.</x:v>
      </x:c>
    </x:row>
    <x:row r="2953" ht="96" customHeight="1">
      <x:c r="A2953" s="115" t="str">
        <x:v>EXT-MONDE-T059-V48</x:v>
      </x:c>
      <x:c r="B2953" s="115" t="str">
        <x:v>EXT-MONDE-T059</x:v>
      </x:c>
      <x:c r="C2953" s="115" t="str">
        <x:v>Énergie</x:v>
      </x:c>
      <x:c r="D2953" s="115" t="str">
        <x:v>Poste électrique régional</x:v>
      </x:c>
      <x:c r="E2953" s="115" t="n">
        <x:v>48</x:v>
      </x:c>
      <x:c r="F2953" s="115" t="str">
        <x:v>Inspection physique</x:v>
      </x:c>
      <x:c r="G2953" s="115" t="str">
        <x:v>1 niveaux ; 22 pièces ; 167 segments de mur ; 0 transitions. Inspection physique ; architecture complète encore ouverte.</x:v>
      </x:c>
      <x:c r="H2953" s="115" t="str">
        <x:v>L 502 ; l 520 ; hauteur 6 m ; choix de composition auteur ; dimensions réelles à documenter</x:v>
      </x:c>
      <x:c r="I2953" s="115" t="str">
        <x:v>À équilibrer</x:v>
      </x:c>
      <x:c r="J2953" s="115" t="str">
        <x:v>Non</x:v>
      </x:c>
      <x:c r="K2953" s="115" t="str">
        <x:v>Pièces décrites, murs, portes, niveaux et mobilier inspectables à l’échelle. Volumes réservés, raccord au seed, butin, rencontres et services de campagne restent à terminer.</x:v>
      </x:c>
    </x:row>
    <x:row r="2954" ht="96" customHeight="1">
      <x:c r="A2954" s="115" t="str">
        <x:v>EXT-MONDE-T059-V49</x:v>
      </x:c>
      <x:c r="B2954" s="115" t="str">
        <x:v>EXT-MONDE-T059</x:v>
      </x:c>
      <x:c r="C2954" s="115" t="str">
        <x:v>Énergie</x:v>
      </x:c>
      <x:c r="D2954" s="115" t="str">
        <x:v>Poste électrique régional</x:v>
      </x:c>
      <x:c r="E2954" s="115" t="n">
        <x:v>49</x:v>
      </x:c>
      <x:c r="F2954" s="115" t="str">
        <x:v>Inspection physique</x:v>
      </x:c>
      <x:c r="G2954" s="115" t="str">
        <x:v>1 niveaux ; 22 pièces ; 167 segments de mur ; 0 transitions. Inspection physique ; architecture complète encore ouverte.</x:v>
      </x:c>
      <x:c r="H2954" s="115" t="str">
        <x:v>L 502 ; l 520 ; hauteur 6 m ; choix de composition auteur ; dimensions réelles à documenter</x:v>
      </x:c>
      <x:c r="I2954" s="115" t="str">
        <x:v>À équilibrer</x:v>
      </x:c>
      <x:c r="J2954" s="115" t="str">
        <x:v>Non</x:v>
      </x:c>
      <x:c r="K2954" s="115" t="str">
        <x:v>Pièces décrites, murs, portes, niveaux et mobilier inspectables à l’échelle. Volumes réservés, raccord au seed, butin, rencontres et services de campagne restent à terminer.</x:v>
      </x:c>
    </x:row>
    <x:row r="2955" ht="96" customHeight="1">
      <x:c r="A2955" s="115" t="str">
        <x:v>EXT-MONDE-T059-V50</x:v>
      </x:c>
      <x:c r="B2955" s="115" t="str">
        <x:v>EXT-MONDE-T059</x:v>
      </x:c>
      <x:c r="C2955" s="115" t="str">
        <x:v>Énergie</x:v>
      </x:c>
      <x:c r="D2955" s="115" t="str">
        <x:v>Poste électrique régional</x:v>
      </x:c>
      <x:c r="E2955" s="115" t="n">
        <x:v>50</x:v>
      </x:c>
      <x:c r="F2955" s="115" t="str">
        <x:v>Inspection physique</x:v>
      </x:c>
      <x:c r="G2955" s="115" t="str">
        <x:v>1 niveaux ; 22 pièces ; 167 segments de mur ; 0 transitions. Inspection physique ; architecture complète encore ouverte.</x:v>
      </x:c>
      <x:c r="H2955" s="115" t="str">
        <x:v>L 502 ; l 520 ; hauteur 6 m ; choix de composition auteur ; dimensions réelles à documenter</x:v>
      </x:c>
      <x:c r="I2955" s="115" t="str">
        <x:v>À équilibrer</x:v>
      </x:c>
      <x:c r="J2955" s="115" t="str">
        <x:v>Non</x:v>
      </x:c>
      <x:c r="K2955" s="115" t="str">
        <x:v>Pièces décrites, murs, portes, niveaux et mobilier inspectables à l’échelle. Volumes réservés, raccord au seed, butin, rencontres et services de campagne restent à terminer.</x:v>
      </x:c>
    </x:row>
    <x:row r="2956">
      <x:c r="A2956" t="str">
        <x:v>EXT-MONDE-T060-V01</x:v>
      </x:c>
      <x:c r="B2956" t="str">
        <x:v>EXT-MONDE-T060</x:v>
      </x:c>
      <x:c r="C2956" t="str">
        <x:v>Énergie</x:v>
      </x:c>
      <x:c r="D2956" t="str">
        <x:v>Champ d’éoliennes</x:v>
      </x:c>
      <x:c r="E2956" t="n">
        <x:v>1</x:v>
      </x:c>
      <x:c r="F2956" t="str">
        <x:v>Inspection physique</x:v>
      </x:c>
      <x:c r="G2956" t="str">
        <x:v>1 niveaux ; 12 pièces ; 93 segments de mur ; 0 transitions. Inspection physique ; architecture complète encore ouverte.</x:v>
      </x:c>
      <x:c r="H2956" t="str">
        <x:v>L 280 ; l 1280 ; hauteur 180 m ; emprise auteur, non relevé complet d’un lieu réel</x:v>
      </x:c>
      <x:c r="I2956" t="str">
        <x:v>À équilibrer</x:v>
      </x:c>
      <x:c r="J2956" t="str">
        <x:v>Non</x:v>
      </x:c>
      <x:c r="K2956" t="str">
        <x:v>Pièces décrites, murs, portes, niveaux et mobilier inspectables à l’échelle. Volumes réservés, raccord au seed, butin, rencontres et services de campagne restent à terminer.</x:v>
      </x:c>
    </x:row>
    <x:row r="2957">
      <x:c r="A2957" t="str">
        <x:v>EXT-MONDE-T060-V02</x:v>
      </x:c>
      <x:c r="B2957" t="str">
        <x:v>EXT-MONDE-T060</x:v>
      </x:c>
      <x:c r="C2957" t="str">
        <x:v>Énergie</x:v>
      </x:c>
      <x:c r="D2957" t="str">
        <x:v>Champ d’éoliennes</x:v>
      </x:c>
      <x:c r="E2957" t="n">
        <x:v>2</x:v>
      </x:c>
      <x:c r="F2957" t="str">
        <x:v>Inspection physique</x:v>
      </x:c>
      <x:c r="G2957" t="str">
        <x:v>1 niveaux ; 12 pièces ; 93 segments de mur ; 0 transitions. Inspection physique ; architecture complète encore ouverte.</x:v>
      </x:c>
      <x:c r="H2957" t="str">
        <x:v>L 280 ; l 2330 ; hauteur 180 m ; emprise auteur, non relevé complet d’un lieu réel</x:v>
      </x:c>
      <x:c r="I2957" t="str">
        <x:v>À équilibrer</x:v>
      </x:c>
      <x:c r="J2957" t="str">
        <x:v>Non</x:v>
      </x:c>
      <x:c r="K2957" t="str">
        <x:v>Pièces décrites, murs, portes, niveaux et mobilier inspectables à l’échelle. Volumes réservés, raccord au seed, butin, rencontres et services de campagne restent à terminer.</x:v>
      </x:c>
    </x:row>
    <x:row r="2958">
      <x:c r="A2958" t="str">
        <x:v>EXT-MONDE-T060-V03</x:v>
      </x:c>
      <x:c r="B2958" t="str">
        <x:v>EXT-MONDE-T060</x:v>
      </x:c>
      <x:c r="C2958" t="str">
        <x:v>Énergie</x:v>
      </x:c>
      <x:c r="D2958" t="str">
        <x:v>Champ d’éoliennes</x:v>
      </x:c>
      <x:c r="E2958" t="n">
        <x:v>3</x:v>
      </x:c>
      <x:c r="F2958" t="str">
        <x:v>Inspection physique</x:v>
      </x:c>
      <x:c r="G2958" t="str">
        <x:v>1 niveaux ; 12 pièces ; 93 segments de mur ; 0 transitions. Inspection physique ; architecture complète encore ouverte.</x:v>
      </x:c>
      <x:c r="H2958" t="str">
        <x:v>L 1030 ; l 1280 ; hauteur 180 m ; emprise auteur, non relevé complet d’un lieu réel</x:v>
      </x:c>
      <x:c r="I2958" t="str">
        <x:v>À équilibrer</x:v>
      </x:c>
      <x:c r="J2958" t="str">
        <x:v>Non</x:v>
      </x:c>
      <x:c r="K2958" t="str">
        <x:v>Pièces décrites, murs, portes, niveaux et mobilier inspectables à l’échelle. Volumes réservés, raccord au seed, butin, rencontres et services de campagne restent à terminer.</x:v>
      </x:c>
    </x:row>
    <x:row r="2959">
      <x:c r="A2959" t="str">
        <x:v>EXT-MONDE-T060-V04</x:v>
      </x:c>
      <x:c r="B2959" t="str">
        <x:v>EXT-MONDE-T060</x:v>
      </x:c>
      <x:c r="C2959" t="str">
        <x:v>Énergie</x:v>
      </x:c>
      <x:c r="D2959" t="str">
        <x:v>Champ d’éoliennes</x:v>
      </x:c>
      <x:c r="E2959" t="n">
        <x:v>4</x:v>
      </x:c>
      <x:c r="F2959" t="str">
        <x:v>Inspection physique</x:v>
      </x:c>
      <x:c r="G2959" t="str">
        <x:v>1 niveaux ; 12 pièces ; 93 segments de mur ; 0 transitions. Inspection physique ; architecture complète encore ouverte.</x:v>
      </x:c>
      <x:c r="H2959" t="str">
        <x:v>L 280 ; l 3380 ; hauteur 180 m ; emprise auteur, non relevé complet d’un lieu réel</x:v>
      </x:c>
      <x:c r="I2959" t="str">
        <x:v>À équilibrer</x:v>
      </x:c>
      <x:c r="J2959" t="str">
        <x:v>Non</x:v>
      </x:c>
      <x:c r="K2959" t="str">
        <x:v>Pièces décrites, murs, portes, niveaux et mobilier inspectables à l’échelle. Volumes réservés, raccord au seed, butin, rencontres et services de campagne restent à terminer.</x:v>
      </x:c>
    </x:row>
    <x:row r="2960">
      <x:c r="A2960" t="str">
        <x:v>EXT-MONDE-T060-V05</x:v>
      </x:c>
      <x:c r="B2960" t="str">
        <x:v>EXT-MONDE-T060</x:v>
      </x:c>
      <x:c r="C2960" t="str">
        <x:v>Énergie</x:v>
      </x:c>
      <x:c r="D2960" t="str">
        <x:v>Champ d’éoliennes</x:v>
      </x:c>
      <x:c r="E2960" t="n">
        <x:v>5</x:v>
      </x:c>
      <x:c r="F2960" t="str">
        <x:v>Inspection physique</x:v>
      </x:c>
      <x:c r="G2960" t="str">
        <x:v>1 niveaux ; 12 pièces ; 93 segments de mur ; 0 transitions. Inspection physique ; architecture complète encore ouverte.</x:v>
      </x:c>
      <x:c r="H2960" t="str">
        <x:v>L 1030 ; l 2330 ; hauteur 180 m ; emprise auteur, non relevé complet d’un lieu réel</x:v>
      </x:c>
      <x:c r="I2960" t="str">
        <x:v>À équilibrer</x:v>
      </x:c>
      <x:c r="J2960" t="str">
        <x:v>Non</x:v>
      </x:c>
      <x:c r="K2960" t="str">
        <x:v>Pièces décrites, murs, portes, niveaux et mobilier inspectables à l’échelle. Volumes réservés, raccord au seed, butin, rencontres et services de campagne restent à terminer.</x:v>
      </x:c>
    </x:row>
    <x:row r="2961">
      <x:c r="A2961" t="str">
        <x:v>EXT-MONDE-T060-V06</x:v>
      </x:c>
      <x:c r="B2961" t="str">
        <x:v>EXT-MONDE-T060</x:v>
      </x:c>
      <x:c r="C2961" t="str">
        <x:v>Énergie</x:v>
      </x:c>
      <x:c r="D2961" t="str">
        <x:v>Champ d’éoliennes</x:v>
      </x:c>
      <x:c r="E2961" t="n">
        <x:v>6</x:v>
      </x:c>
      <x:c r="F2961" t="str">
        <x:v>Inspection physique</x:v>
      </x:c>
      <x:c r="G2961" t="str">
        <x:v>1 niveaux ; 12 pièces ; 93 segments de mur ; 0 transitions. Inspection physique ; architecture complète encore ouverte.</x:v>
      </x:c>
      <x:c r="H2961" t="str">
        <x:v>L 1780 ; l 1280 ; hauteur 180 m ; emprise auteur, non relevé complet d’un lieu réel</x:v>
      </x:c>
      <x:c r="I2961" t="str">
        <x:v>À équilibrer</x:v>
      </x:c>
      <x:c r="J2961" t="str">
        <x:v>Non</x:v>
      </x:c>
      <x:c r="K2961" t="str">
        <x:v>Pièces décrites, murs, portes, niveaux et mobilier inspectables à l’échelle. Volumes réservés, raccord au seed, butin, rencontres et services de campagne restent à terminer.</x:v>
      </x:c>
    </x:row>
    <x:row r="2962">
      <x:c r="A2962" t="str">
        <x:v>EXT-MONDE-T060-V07</x:v>
      </x:c>
      <x:c r="B2962" t="str">
        <x:v>EXT-MONDE-T060</x:v>
      </x:c>
      <x:c r="C2962" t="str">
        <x:v>Énergie</x:v>
      </x:c>
      <x:c r="D2962" t="str">
        <x:v>Champ d’éoliennes</x:v>
      </x:c>
      <x:c r="E2962" t="n">
        <x:v>7</x:v>
      </x:c>
      <x:c r="F2962" t="str">
        <x:v>Inspection physique</x:v>
      </x:c>
      <x:c r="G2962" t="str">
        <x:v>1 niveaux ; 12 pièces ; 93 segments de mur ; 0 transitions. Inspection physique ; architecture complète encore ouverte.</x:v>
      </x:c>
      <x:c r="H2962" t="str">
        <x:v>L 1030 ; l 3380 ; hauteur 180 m ; emprise auteur, non relevé complet d’un lieu réel</x:v>
      </x:c>
      <x:c r="I2962" t="str">
        <x:v>À équilibrer</x:v>
      </x:c>
      <x:c r="J2962" t="str">
        <x:v>Non</x:v>
      </x:c>
      <x:c r="K2962" t="str">
        <x:v>Pièces décrites, murs, portes, niveaux et mobilier inspectables à l’échelle. Volumes réservés, raccord au seed, butin, rencontres et services de campagne restent à terminer.</x:v>
      </x:c>
    </x:row>
    <x:row r="2963">
      <x:c r="A2963" t="str">
        <x:v>EXT-MONDE-T060-V08</x:v>
      </x:c>
      <x:c r="B2963" t="str">
        <x:v>EXT-MONDE-T060</x:v>
      </x:c>
      <x:c r="C2963" t="str">
        <x:v>Énergie</x:v>
      </x:c>
      <x:c r="D2963" t="str">
        <x:v>Champ d’éoliennes</x:v>
      </x:c>
      <x:c r="E2963" t="n">
        <x:v>8</x:v>
      </x:c>
      <x:c r="F2963" t="str">
        <x:v>Inspection physique</x:v>
      </x:c>
      <x:c r="G2963" t="str">
        <x:v>1 niveaux ; 12 pièces ; 93 segments de mur ; 0 transitions. Inspection physique ; architecture complète encore ouverte.</x:v>
      </x:c>
      <x:c r="H2963" t="str">
        <x:v>L 1780 ; l 2330 ; hauteur 180 m ; emprise auteur, non relevé complet d’un lieu réel</x:v>
      </x:c>
      <x:c r="I2963" t="str">
        <x:v>À équilibrer</x:v>
      </x:c>
      <x:c r="J2963" t="str">
        <x:v>Non</x:v>
      </x:c>
      <x:c r="K2963" t="str">
        <x:v>Pièces décrites, murs, portes, niveaux et mobilier inspectables à l’échelle. Volumes réservés, raccord au seed, butin, rencontres et services de campagne restent à terminer.</x:v>
      </x:c>
    </x:row>
    <x:row r="2964">
      <x:c r="A2964" t="str">
        <x:v>EXT-MONDE-T060-V09</x:v>
      </x:c>
      <x:c r="B2964" t="str">
        <x:v>EXT-MONDE-T060</x:v>
      </x:c>
      <x:c r="C2964" t="str">
        <x:v>Énergie</x:v>
      </x:c>
      <x:c r="D2964" t="str">
        <x:v>Champ d’éoliennes</x:v>
      </x:c>
      <x:c r="E2964" t="n">
        <x:v>9</x:v>
      </x:c>
      <x:c r="F2964" t="str">
        <x:v>Inspection physique</x:v>
      </x:c>
      <x:c r="G2964" t="str">
        <x:v>1 niveaux ; 12 pièces ; 93 segments de mur ; 0 transitions. Inspection physique ; architecture complète encore ouverte.</x:v>
      </x:c>
      <x:c r="H2964" t="str">
        <x:v>L 1030 ; l 4430 ; hauteur 180 m ; emprise auteur, non relevé complet d’un lieu réel</x:v>
      </x:c>
      <x:c r="I2964" t="str">
        <x:v>À équilibrer</x:v>
      </x:c>
      <x:c r="J2964" t="str">
        <x:v>Non</x:v>
      </x:c>
      <x:c r="K2964" t="str">
        <x:v>Pièces décrites, murs, portes, niveaux et mobilier inspectables à l’échelle. Volumes réservés, raccord au seed, butin, rencontres et services de campagne restent à terminer.</x:v>
      </x:c>
    </x:row>
    <x:row r="2965">
      <x:c r="A2965" t="str">
        <x:v>EXT-MONDE-T060-V10</x:v>
      </x:c>
      <x:c r="B2965" t="str">
        <x:v>EXT-MONDE-T060</x:v>
      </x:c>
      <x:c r="C2965" t="str">
        <x:v>Énergie</x:v>
      </x:c>
      <x:c r="D2965" t="str">
        <x:v>Champ d’éoliennes</x:v>
      </x:c>
      <x:c r="E2965" t="n">
        <x:v>10</x:v>
      </x:c>
      <x:c r="F2965" t="str">
        <x:v>Inspection physique</x:v>
      </x:c>
      <x:c r="G2965" t="str">
        <x:v>1 niveaux ; 12 pièces ; 93 segments de mur ; 0 transitions. Inspection physique ; architecture complète encore ouverte.</x:v>
      </x:c>
      <x:c r="H2965" t="str">
        <x:v>L 1780 ; l 3380 ; hauteur 180 m ; emprise auteur, non relevé complet d’un lieu réel</x:v>
      </x:c>
      <x:c r="I2965" t="str">
        <x:v>À équilibrer</x:v>
      </x:c>
      <x:c r="J2965" t="str">
        <x:v>Non</x:v>
      </x:c>
      <x:c r="K2965" t="str">
        <x:v>Pièces décrites, murs, portes, niveaux et mobilier inspectables à l’échelle. Volumes réservés, raccord au seed, butin, rencontres et services de campagne restent à terminer.</x:v>
      </x:c>
    </x:row>
    <x:row r="2966">
      <x:c r="A2966" t="str">
        <x:v>EXT-MONDE-T060-V11</x:v>
      </x:c>
      <x:c r="B2966" t="str">
        <x:v>EXT-MONDE-T060</x:v>
      </x:c>
      <x:c r="C2966" t="str">
        <x:v>Énergie</x:v>
      </x:c>
      <x:c r="D2966" t="str">
        <x:v>Champ d’éoliennes</x:v>
      </x:c>
      <x:c r="E2966" t="n">
        <x:v>11</x:v>
      </x:c>
      <x:c r="F2966" t="str">
        <x:v>Inspection physique</x:v>
      </x:c>
      <x:c r="G2966" t="str">
        <x:v>1 niveaux ; 12 pièces ; 93 segments de mur ; 0 transitions. Inspection physique ; architecture complète encore ouverte.</x:v>
      </x:c>
      <x:c r="H2966" t="str">
        <x:v>L 280 ; l 1280 ; hauteur 198 m ; emprise auteur, non relevé complet d’un lieu réel</x:v>
      </x:c>
      <x:c r="I2966" t="str">
        <x:v>À équilibrer</x:v>
      </x:c>
      <x:c r="J2966" t="str">
        <x:v>Non</x:v>
      </x:c>
      <x:c r="K2966" t="str">
        <x:v>Pièces décrites, murs, portes, niveaux et mobilier inspectables à l’échelle. Volumes réservés, raccord au seed, butin, rencontres et services de campagne restent à terminer.</x:v>
      </x:c>
    </x:row>
    <x:row r="2967">
      <x:c r="A2967" t="str">
        <x:v>EXT-MONDE-T060-V12</x:v>
      </x:c>
      <x:c r="B2967" t="str">
        <x:v>EXT-MONDE-T060</x:v>
      </x:c>
      <x:c r="C2967" t="str">
        <x:v>Énergie</x:v>
      </x:c>
      <x:c r="D2967" t="str">
        <x:v>Champ d’éoliennes</x:v>
      </x:c>
      <x:c r="E2967" t="n">
        <x:v>12</x:v>
      </x:c>
      <x:c r="F2967" t="str">
        <x:v>Inspection physique</x:v>
      </x:c>
      <x:c r="G2967" t="str">
        <x:v>1 niveaux ; 12 pièces ; 93 segments de mur ; 0 transitions. Inspection physique ; architecture complète encore ouverte.</x:v>
      </x:c>
      <x:c r="H2967" t="str">
        <x:v>L 280 ; l 2330 ; hauteur 198 m ; emprise auteur, non relevé complet d’un lieu réel</x:v>
      </x:c>
      <x:c r="I2967" t="str">
        <x:v>À équilibrer</x:v>
      </x:c>
      <x:c r="J2967" t="str">
        <x:v>Non</x:v>
      </x:c>
      <x:c r="K2967" t="str">
        <x:v>Pièces décrites, murs, portes, niveaux et mobilier inspectables à l’échelle. Volumes réservés, raccord au seed, butin, rencontres et services de campagne restent à terminer.</x:v>
      </x:c>
    </x:row>
    <x:row r="2968">
      <x:c r="A2968" t="str">
        <x:v>EXT-MONDE-T060-V13</x:v>
      </x:c>
      <x:c r="B2968" t="str">
        <x:v>EXT-MONDE-T060</x:v>
      </x:c>
      <x:c r="C2968" t="str">
        <x:v>Énergie</x:v>
      </x:c>
      <x:c r="D2968" t="str">
        <x:v>Champ d’éoliennes</x:v>
      </x:c>
      <x:c r="E2968" t="n">
        <x:v>13</x:v>
      </x:c>
      <x:c r="F2968" t="str">
        <x:v>Inspection physique</x:v>
      </x:c>
      <x:c r="G2968" t="str">
        <x:v>1 niveaux ; 12 pièces ; 93 segments de mur ; 0 transitions. Inspection physique ; architecture complète encore ouverte.</x:v>
      </x:c>
      <x:c r="H2968" t="str">
        <x:v>L 1030 ; l 1280 ; hauteur 198 m ; emprise auteur, non relevé complet d’un lieu réel</x:v>
      </x:c>
      <x:c r="I2968" t="str">
        <x:v>À équilibrer</x:v>
      </x:c>
      <x:c r="J2968" t="str">
        <x:v>Non</x:v>
      </x:c>
      <x:c r="K2968" t="str">
        <x:v>Pièces décrites, murs, portes, niveaux et mobilier inspectables à l’échelle. Volumes réservés, raccord au seed, butin, rencontres et services de campagne restent à terminer.</x:v>
      </x:c>
    </x:row>
    <x:row r="2969">
      <x:c r="A2969" t="str">
        <x:v>EXT-MONDE-T060-V14</x:v>
      </x:c>
      <x:c r="B2969" t="str">
        <x:v>EXT-MONDE-T060</x:v>
      </x:c>
      <x:c r="C2969" t="str">
        <x:v>Énergie</x:v>
      </x:c>
      <x:c r="D2969" t="str">
        <x:v>Champ d’éoliennes</x:v>
      </x:c>
      <x:c r="E2969" t="n">
        <x:v>14</x:v>
      </x:c>
      <x:c r="F2969" t="str">
        <x:v>Inspection physique</x:v>
      </x:c>
      <x:c r="G2969" t="str">
        <x:v>1 niveaux ; 12 pièces ; 93 segments de mur ; 0 transitions. Inspection physique ; architecture complète encore ouverte.</x:v>
      </x:c>
      <x:c r="H2969" t="str">
        <x:v>L 280 ; l 3380 ; hauteur 198 m ; emprise auteur, non relevé complet d’un lieu réel</x:v>
      </x:c>
      <x:c r="I2969" t="str">
        <x:v>À équilibrer</x:v>
      </x:c>
      <x:c r="J2969" t="str">
        <x:v>Non</x:v>
      </x:c>
      <x:c r="K2969" t="str">
        <x:v>Pièces décrites, murs, portes, niveaux et mobilier inspectables à l’échelle. Volumes réservés, raccord au seed, butin, rencontres et services de campagne restent à terminer.</x:v>
      </x:c>
    </x:row>
    <x:row r="2970">
      <x:c r="A2970" t="str">
        <x:v>EXT-MONDE-T060-V15</x:v>
      </x:c>
      <x:c r="B2970" t="str">
        <x:v>EXT-MONDE-T060</x:v>
      </x:c>
      <x:c r="C2970" t="str">
        <x:v>Énergie</x:v>
      </x:c>
      <x:c r="D2970" t="str">
        <x:v>Champ d’éoliennes</x:v>
      </x:c>
      <x:c r="E2970" t="n">
        <x:v>15</x:v>
      </x:c>
      <x:c r="F2970" t="str">
        <x:v>Inspection physique</x:v>
      </x:c>
      <x:c r="G2970" t="str">
        <x:v>1 niveaux ; 12 pièces ; 93 segments de mur ; 0 transitions. Inspection physique ; architecture complète encore ouverte.</x:v>
      </x:c>
      <x:c r="H2970" t="str">
        <x:v>L 1030 ; l 2330 ; hauteur 198 m ; emprise auteur, non relevé complet d’un lieu réel</x:v>
      </x:c>
      <x:c r="I2970" t="str">
        <x:v>À équilibrer</x:v>
      </x:c>
      <x:c r="J2970" t="str">
        <x:v>Non</x:v>
      </x:c>
      <x:c r="K2970" t="str">
        <x:v>Pièces décrites, murs, portes, niveaux et mobilier inspectables à l’échelle. Volumes réservés, raccord au seed, butin, rencontres et services de campagne restent à terminer.</x:v>
      </x:c>
    </x:row>
    <x:row r="2971">
      <x:c r="A2971" t="str">
        <x:v>EXT-MONDE-T060-V16</x:v>
      </x:c>
      <x:c r="B2971" t="str">
        <x:v>EXT-MONDE-T060</x:v>
      </x:c>
      <x:c r="C2971" t="str">
        <x:v>Énergie</x:v>
      </x:c>
      <x:c r="D2971" t="str">
        <x:v>Champ d’éoliennes</x:v>
      </x:c>
      <x:c r="E2971" t="n">
        <x:v>16</x:v>
      </x:c>
      <x:c r="F2971" t="str">
        <x:v>Inspection physique</x:v>
      </x:c>
      <x:c r="G2971" t="str">
        <x:v>1 niveaux ; 12 pièces ; 93 segments de mur ; 0 transitions. Inspection physique ; architecture complète encore ouverte.</x:v>
      </x:c>
      <x:c r="H2971" t="str">
        <x:v>L 1780 ; l 1280 ; hauteur 198 m ; emprise auteur, non relevé complet d’un lieu réel</x:v>
      </x:c>
      <x:c r="I2971" t="str">
        <x:v>À équilibrer</x:v>
      </x:c>
      <x:c r="J2971" t="str">
        <x:v>Non</x:v>
      </x:c>
      <x:c r="K2971" t="str">
        <x:v>Pièces décrites, murs, portes, niveaux et mobilier inspectables à l’échelle. Volumes réservés, raccord au seed, butin, rencontres et services de campagne restent à terminer.</x:v>
      </x:c>
    </x:row>
    <x:row r="2972">
      <x:c r="A2972" t="str">
        <x:v>EXT-MONDE-T060-V17</x:v>
      </x:c>
      <x:c r="B2972" t="str">
        <x:v>EXT-MONDE-T060</x:v>
      </x:c>
      <x:c r="C2972" t="str">
        <x:v>Énergie</x:v>
      </x:c>
      <x:c r="D2972" t="str">
        <x:v>Champ d’éoliennes</x:v>
      </x:c>
      <x:c r="E2972" t="n">
        <x:v>17</x:v>
      </x:c>
      <x:c r="F2972" t="str">
        <x:v>Inspection physique</x:v>
      </x:c>
      <x:c r="G2972" t="str">
        <x:v>1 niveaux ; 12 pièces ; 93 segments de mur ; 0 transitions. Inspection physique ; architecture complète encore ouverte.</x:v>
      </x:c>
      <x:c r="H2972" t="str">
        <x:v>L 1030 ; l 3380 ; hauteur 198 m ; emprise auteur, non relevé complet d’un lieu réel</x:v>
      </x:c>
      <x:c r="I2972" t="str">
        <x:v>À équilibrer</x:v>
      </x:c>
      <x:c r="J2972" t="str">
        <x:v>Non</x:v>
      </x:c>
      <x:c r="K2972" t="str">
        <x:v>Pièces décrites, murs, portes, niveaux et mobilier inspectables à l’échelle. Volumes réservés, raccord au seed, butin, rencontres et services de campagne restent à terminer.</x:v>
      </x:c>
    </x:row>
    <x:row r="2973">
      <x:c r="A2973" t="str">
        <x:v>EXT-MONDE-T060-V18</x:v>
      </x:c>
      <x:c r="B2973" t="str">
        <x:v>EXT-MONDE-T060</x:v>
      </x:c>
      <x:c r="C2973" t="str">
        <x:v>Énergie</x:v>
      </x:c>
      <x:c r="D2973" t="str">
        <x:v>Champ d’éoliennes</x:v>
      </x:c>
      <x:c r="E2973" t="n">
        <x:v>18</x:v>
      </x:c>
      <x:c r="F2973" t="str">
        <x:v>Inspection physique</x:v>
      </x:c>
      <x:c r="G2973" t="str">
        <x:v>1 niveaux ; 12 pièces ; 93 segments de mur ; 0 transitions. Inspection physique ; architecture complète encore ouverte.</x:v>
      </x:c>
      <x:c r="H2973" t="str">
        <x:v>L 1780 ; l 2330 ; hauteur 198 m ; emprise auteur, non relevé complet d’un lieu réel</x:v>
      </x:c>
      <x:c r="I2973" t="str">
        <x:v>À équilibrer</x:v>
      </x:c>
      <x:c r="J2973" t="str">
        <x:v>Non</x:v>
      </x:c>
      <x:c r="K2973" t="str">
        <x:v>Pièces décrites, murs, portes, niveaux et mobilier inspectables à l’échelle. Volumes réservés, raccord au seed, butin, rencontres et services de campagne restent à terminer.</x:v>
      </x:c>
    </x:row>
    <x:row r="2974">
      <x:c r="A2974" t="str">
        <x:v>EXT-MONDE-T060-V19</x:v>
      </x:c>
      <x:c r="B2974" t="str">
        <x:v>EXT-MONDE-T060</x:v>
      </x:c>
      <x:c r="C2974" t="str">
        <x:v>Énergie</x:v>
      </x:c>
      <x:c r="D2974" t="str">
        <x:v>Champ d’éoliennes</x:v>
      </x:c>
      <x:c r="E2974" t="n">
        <x:v>19</x:v>
      </x:c>
      <x:c r="F2974" t="str">
        <x:v>Inspection physique</x:v>
      </x:c>
      <x:c r="G2974" t="str">
        <x:v>1 niveaux ; 12 pièces ; 93 segments de mur ; 0 transitions. Inspection physique ; architecture complète encore ouverte.</x:v>
      </x:c>
      <x:c r="H2974" t="str">
        <x:v>L 1030 ; l 4430 ; hauteur 198 m ; emprise auteur, non relevé complet d’un lieu réel</x:v>
      </x:c>
      <x:c r="I2974" t="str">
        <x:v>À équilibrer</x:v>
      </x:c>
      <x:c r="J2974" t="str">
        <x:v>Non</x:v>
      </x:c>
      <x:c r="K2974" t="str">
        <x:v>Pièces décrites, murs, portes, niveaux et mobilier inspectables à l’échelle. Volumes réservés, raccord au seed, butin, rencontres et services de campagne restent à terminer.</x:v>
      </x:c>
    </x:row>
    <x:row r="2975">
      <x:c r="A2975" t="str">
        <x:v>EXT-MONDE-T060-V20</x:v>
      </x:c>
      <x:c r="B2975" t="str">
        <x:v>EXT-MONDE-T060</x:v>
      </x:c>
      <x:c r="C2975" t="str">
        <x:v>Énergie</x:v>
      </x:c>
      <x:c r="D2975" t="str">
        <x:v>Champ d’éoliennes</x:v>
      </x:c>
      <x:c r="E2975" t="n">
        <x:v>20</x:v>
      </x:c>
      <x:c r="F2975" t="str">
        <x:v>Inspection physique</x:v>
      </x:c>
      <x:c r="G2975" t="str">
        <x:v>1 niveaux ; 12 pièces ; 93 segments de mur ; 0 transitions. Inspection physique ; architecture complète encore ouverte.</x:v>
      </x:c>
      <x:c r="H2975" t="str">
        <x:v>L 1780 ; l 3380 ; hauteur 198 m ; emprise auteur, non relevé complet d’un lieu réel</x:v>
      </x:c>
      <x:c r="I2975" t="str">
        <x:v>À équilibrer</x:v>
      </x:c>
      <x:c r="J2975" t="str">
        <x:v>Non</x:v>
      </x:c>
      <x:c r="K2975" t="str">
        <x:v>Pièces décrites, murs, portes, niveaux et mobilier inspectables à l’échelle. Volumes réservés, raccord au seed, butin, rencontres et services de campagne restent à terminer.</x:v>
      </x:c>
    </x:row>
    <x:row r="2976">
      <x:c r="A2976" t="str">
        <x:v>EXT-MONDE-T060-V21</x:v>
      </x:c>
      <x:c r="B2976" t="str">
        <x:v>EXT-MONDE-T060</x:v>
      </x:c>
      <x:c r="C2976" t="str">
        <x:v>Énergie</x:v>
      </x:c>
      <x:c r="D2976" t="str">
        <x:v>Champ d’éoliennes</x:v>
      </x:c>
      <x:c r="E2976" t="n">
        <x:v>21</x:v>
      </x:c>
      <x:c r="F2976" t="str">
        <x:v>Inspection physique</x:v>
      </x:c>
      <x:c r="G2976" t="str">
        <x:v>1 niveaux ; 12 pièces ; 93 segments de mur ; 0 transitions. Inspection physique ; architecture complète encore ouverte.</x:v>
      </x:c>
      <x:c r="H2976" t="str">
        <x:v>L 280 ; l 1280 ; hauteur 220 m ; emprise auteur, non relevé complet d’un lieu réel</x:v>
      </x:c>
      <x:c r="I2976" t="str">
        <x:v>À équilibrer</x:v>
      </x:c>
      <x:c r="J2976" t="str">
        <x:v>Non</x:v>
      </x:c>
      <x:c r="K2976" t="str">
        <x:v>Pièces décrites, murs, portes, niveaux et mobilier inspectables à l’échelle. Volumes réservés, raccord au seed, butin, rencontres et services de campagne restent à terminer.</x:v>
      </x:c>
    </x:row>
    <x:row r="2977">
      <x:c r="A2977" t="str">
        <x:v>EXT-MONDE-T060-V22</x:v>
      </x:c>
      <x:c r="B2977" t="str">
        <x:v>EXT-MONDE-T060</x:v>
      </x:c>
      <x:c r="C2977" t="str">
        <x:v>Énergie</x:v>
      </x:c>
      <x:c r="D2977" t="str">
        <x:v>Champ d’éoliennes</x:v>
      </x:c>
      <x:c r="E2977" t="n">
        <x:v>22</x:v>
      </x:c>
      <x:c r="F2977" t="str">
        <x:v>Inspection physique</x:v>
      </x:c>
      <x:c r="G2977" t="str">
        <x:v>1 niveaux ; 12 pièces ; 93 segments de mur ; 0 transitions. Inspection physique ; architecture complète encore ouverte.</x:v>
      </x:c>
      <x:c r="H2977" t="str">
        <x:v>L 280 ; l 2330 ; hauteur 220 m ; emprise auteur, non relevé complet d’un lieu réel</x:v>
      </x:c>
      <x:c r="I2977" t="str">
        <x:v>À équilibrer</x:v>
      </x:c>
      <x:c r="J2977" t="str">
        <x:v>Non</x:v>
      </x:c>
      <x:c r="K2977" t="str">
        <x:v>Pièces décrites, murs, portes, niveaux et mobilier inspectables à l’échelle. Volumes réservés, raccord au seed, butin, rencontres et services de campagne restent à terminer.</x:v>
      </x:c>
    </x:row>
    <x:row r="2978">
      <x:c r="A2978" t="str">
        <x:v>EXT-MONDE-T060-V23</x:v>
      </x:c>
      <x:c r="B2978" t="str">
        <x:v>EXT-MONDE-T060</x:v>
      </x:c>
      <x:c r="C2978" t="str">
        <x:v>Énergie</x:v>
      </x:c>
      <x:c r="D2978" t="str">
        <x:v>Champ d’éoliennes</x:v>
      </x:c>
      <x:c r="E2978" t="n">
        <x:v>23</x:v>
      </x:c>
      <x:c r="F2978" t="str">
        <x:v>Inspection physique</x:v>
      </x:c>
      <x:c r="G2978" t="str">
        <x:v>1 niveaux ; 12 pièces ; 93 segments de mur ; 0 transitions. Inspection physique ; architecture complète encore ouverte.</x:v>
      </x:c>
      <x:c r="H2978" t="str">
        <x:v>L 1030 ; l 1280 ; hauteur 220 m ; emprise auteur, non relevé complet d’un lieu réel</x:v>
      </x:c>
      <x:c r="I2978" t="str">
        <x:v>À équilibrer</x:v>
      </x:c>
      <x:c r="J2978" t="str">
        <x:v>Non</x:v>
      </x:c>
      <x:c r="K2978" t="str">
        <x:v>Pièces décrites, murs, portes, niveaux et mobilier inspectables à l’échelle. Volumes réservés, raccord au seed, butin, rencontres et services de campagne restent à terminer.</x:v>
      </x:c>
    </x:row>
    <x:row r="2979">
      <x:c r="A2979" t="str">
        <x:v>EXT-MONDE-T060-V24</x:v>
      </x:c>
      <x:c r="B2979" t="str">
        <x:v>EXT-MONDE-T060</x:v>
      </x:c>
      <x:c r="C2979" t="str">
        <x:v>Énergie</x:v>
      </x:c>
      <x:c r="D2979" t="str">
        <x:v>Champ d’éoliennes</x:v>
      </x:c>
      <x:c r="E2979" t="n">
        <x:v>24</x:v>
      </x:c>
      <x:c r="F2979" t="str">
        <x:v>Inspection physique</x:v>
      </x:c>
      <x:c r="G2979" t="str">
        <x:v>1 niveaux ; 12 pièces ; 93 segments de mur ; 0 transitions. Inspection physique ; architecture complète encore ouverte.</x:v>
      </x:c>
      <x:c r="H2979" t="str">
        <x:v>L 280 ; l 3380 ; hauteur 220 m ; emprise auteur, non relevé complet d’un lieu réel</x:v>
      </x:c>
      <x:c r="I2979" t="str">
        <x:v>À équilibrer</x:v>
      </x:c>
      <x:c r="J2979" t="str">
        <x:v>Non</x:v>
      </x:c>
      <x:c r="K2979" t="str">
        <x:v>Pièces décrites, murs, portes, niveaux et mobilier inspectables à l’échelle. Volumes réservés, raccord au seed, butin, rencontres et services de campagne restent à terminer.</x:v>
      </x:c>
    </x:row>
    <x:row r="2980">
      <x:c r="A2980" t="str">
        <x:v>EXT-MONDE-T060-V25</x:v>
      </x:c>
      <x:c r="B2980" t="str">
        <x:v>EXT-MONDE-T060</x:v>
      </x:c>
      <x:c r="C2980" t="str">
        <x:v>Énergie</x:v>
      </x:c>
      <x:c r="D2980" t="str">
        <x:v>Champ d’éoliennes</x:v>
      </x:c>
      <x:c r="E2980" t="n">
        <x:v>25</x:v>
      </x:c>
      <x:c r="F2980" t="str">
        <x:v>Inspection physique</x:v>
      </x:c>
      <x:c r="G2980" t="str">
        <x:v>1 niveaux ; 12 pièces ; 93 segments de mur ; 0 transitions. Inspection physique ; architecture complète encore ouverte.</x:v>
      </x:c>
      <x:c r="H2980" t="str">
        <x:v>L 1030 ; l 2330 ; hauteur 220 m ; emprise auteur, non relevé complet d’un lieu réel</x:v>
      </x:c>
      <x:c r="I2980" t="str">
        <x:v>À équilibrer</x:v>
      </x:c>
      <x:c r="J2980" t="str">
        <x:v>Non</x:v>
      </x:c>
      <x:c r="K2980" t="str">
        <x:v>Pièces décrites, murs, portes, niveaux et mobilier inspectables à l’échelle. Volumes réservés, raccord au seed, butin, rencontres et services de campagne restent à terminer.</x:v>
      </x:c>
    </x:row>
    <x:row r="2981">
      <x:c r="A2981" t="str">
        <x:v>EXT-MONDE-T060-V26</x:v>
      </x:c>
      <x:c r="B2981" t="str">
        <x:v>EXT-MONDE-T060</x:v>
      </x:c>
      <x:c r="C2981" t="str">
        <x:v>Énergie</x:v>
      </x:c>
      <x:c r="D2981" t="str">
        <x:v>Champ d’éoliennes</x:v>
      </x:c>
      <x:c r="E2981" t="n">
        <x:v>26</x:v>
      </x:c>
      <x:c r="F2981" t="str">
        <x:v>Inspection physique</x:v>
      </x:c>
      <x:c r="G2981" t="str">
        <x:v>1 niveaux ; 12 pièces ; 93 segments de mur ; 0 transitions. Inspection physique ; architecture complète encore ouverte.</x:v>
      </x:c>
      <x:c r="H2981" t="str">
        <x:v>L 1780 ; l 1280 ; hauteur 220 m ; emprise auteur, non relevé complet d’un lieu réel</x:v>
      </x:c>
      <x:c r="I2981" t="str">
        <x:v>À équilibrer</x:v>
      </x:c>
      <x:c r="J2981" t="str">
        <x:v>Non</x:v>
      </x:c>
      <x:c r="K2981" t="str">
        <x:v>Pièces décrites, murs, portes, niveaux et mobilier inspectables à l’échelle. Volumes réservés, raccord au seed, butin, rencontres et services de campagne restent à terminer.</x:v>
      </x:c>
    </x:row>
    <x:row r="2982">
      <x:c r="A2982" t="str">
        <x:v>EXT-MONDE-T060-V27</x:v>
      </x:c>
      <x:c r="B2982" t="str">
        <x:v>EXT-MONDE-T060</x:v>
      </x:c>
      <x:c r="C2982" t="str">
        <x:v>Énergie</x:v>
      </x:c>
      <x:c r="D2982" t="str">
        <x:v>Champ d’éoliennes</x:v>
      </x:c>
      <x:c r="E2982" t="n">
        <x:v>27</x:v>
      </x:c>
      <x:c r="F2982" t="str">
        <x:v>Inspection physique</x:v>
      </x:c>
      <x:c r="G2982" t="str">
        <x:v>1 niveaux ; 12 pièces ; 93 segments de mur ; 0 transitions. Inspection physique ; architecture complète encore ouverte.</x:v>
      </x:c>
      <x:c r="H2982" t="str">
        <x:v>L 1030 ; l 3380 ; hauteur 220 m ; emprise auteur, non relevé complet d’un lieu réel</x:v>
      </x:c>
      <x:c r="I2982" t="str">
        <x:v>À équilibrer</x:v>
      </x:c>
      <x:c r="J2982" t="str">
        <x:v>Non</x:v>
      </x:c>
      <x:c r="K2982" t="str">
        <x:v>Pièces décrites, murs, portes, niveaux et mobilier inspectables à l’échelle. Volumes réservés, raccord au seed, butin, rencontres et services de campagne restent à terminer.</x:v>
      </x:c>
    </x:row>
    <x:row r="2983">
      <x:c r="A2983" t="str">
        <x:v>EXT-MONDE-T060-V28</x:v>
      </x:c>
      <x:c r="B2983" t="str">
        <x:v>EXT-MONDE-T060</x:v>
      </x:c>
      <x:c r="C2983" t="str">
        <x:v>Énergie</x:v>
      </x:c>
      <x:c r="D2983" t="str">
        <x:v>Champ d’éoliennes</x:v>
      </x:c>
      <x:c r="E2983" t="n">
        <x:v>28</x:v>
      </x:c>
      <x:c r="F2983" t="str">
        <x:v>Inspection physique</x:v>
      </x:c>
      <x:c r="G2983" t="str">
        <x:v>1 niveaux ; 12 pièces ; 93 segments de mur ; 0 transitions. Inspection physique ; architecture complète encore ouverte.</x:v>
      </x:c>
      <x:c r="H2983" t="str">
        <x:v>L 1780 ; l 2330 ; hauteur 220 m ; emprise auteur, non relevé complet d’un lieu réel</x:v>
      </x:c>
      <x:c r="I2983" t="str">
        <x:v>À équilibrer</x:v>
      </x:c>
      <x:c r="J2983" t="str">
        <x:v>Non</x:v>
      </x:c>
      <x:c r="K2983" t="str">
        <x:v>Pièces décrites, murs, portes, niveaux et mobilier inspectables à l’échelle. Volumes réservés, raccord au seed, butin, rencontres et services de campagne restent à terminer.</x:v>
      </x:c>
    </x:row>
    <x:row r="2984">
      <x:c r="A2984" t="str">
        <x:v>EXT-MONDE-T060-V29</x:v>
      </x:c>
      <x:c r="B2984" t="str">
        <x:v>EXT-MONDE-T060</x:v>
      </x:c>
      <x:c r="C2984" t="str">
        <x:v>Énergie</x:v>
      </x:c>
      <x:c r="D2984" t="str">
        <x:v>Champ d’éoliennes</x:v>
      </x:c>
      <x:c r="E2984" t="n">
        <x:v>29</x:v>
      </x:c>
      <x:c r="F2984" t="str">
        <x:v>Inspection physique</x:v>
      </x:c>
      <x:c r="G2984" t="str">
        <x:v>1 niveaux ; 12 pièces ; 93 segments de mur ; 0 transitions. Inspection physique ; architecture complète encore ouverte.</x:v>
      </x:c>
      <x:c r="H2984" t="str">
        <x:v>L 1030 ; l 4430 ; hauteur 220 m ; emprise auteur, non relevé complet d’un lieu réel</x:v>
      </x:c>
      <x:c r="I2984" t="str">
        <x:v>À équilibrer</x:v>
      </x:c>
      <x:c r="J2984" t="str">
        <x:v>Non</x:v>
      </x:c>
      <x:c r="K2984" t="str">
        <x:v>Pièces décrites, murs, portes, niveaux et mobilier inspectables à l’échelle. Volumes réservés, raccord au seed, butin, rencontres et services de campagne restent à terminer.</x:v>
      </x:c>
    </x:row>
    <x:row r="2985">
      <x:c r="A2985" t="str">
        <x:v>EXT-MONDE-T060-V30</x:v>
      </x:c>
      <x:c r="B2985" t="str">
        <x:v>EXT-MONDE-T060</x:v>
      </x:c>
      <x:c r="C2985" t="str">
        <x:v>Énergie</x:v>
      </x:c>
      <x:c r="D2985" t="str">
        <x:v>Champ d’éoliennes</x:v>
      </x:c>
      <x:c r="E2985" t="n">
        <x:v>30</x:v>
      </x:c>
      <x:c r="F2985" t="str">
        <x:v>Inspection physique</x:v>
      </x:c>
      <x:c r="G2985" t="str">
        <x:v>1 niveaux ; 12 pièces ; 93 segments de mur ; 0 transitions. Inspection physique ; architecture complète encore ouverte.</x:v>
      </x:c>
      <x:c r="H2985" t="str">
        <x:v>L 1780 ; l 3380 ; hauteur 220 m ; emprise auteur, non relevé complet d’un lieu réel</x:v>
      </x:c>
      <x:c r="I2985" t="str">
        <x:v>À équilibrer</x:v>
      </x:c>
      <x:c r="J2985" t="str">
        <x:v>Non</x:v>
      </x:c>
      <x:c r="K2985" t="str">
        <x:v>Pièces décrites, murs, portes, niveaux et mobilier inspectables à l’échelle. Volumes réservés, raccord au seed, butin, rencontres et services de campagne restent à terminer.</x:v>
      </x:c>
    </x:row>
    <x:row r="2986">
      <x:c r="A2986" t="str">
        <x:v>EXT-MONDE-T060-V31</x:v>
      </x:c>
      <x:c r="B2986" t="str">
        <x:v>EXT-MONDE-T060</x:v>
      </x:c>
      <x:c r="C2986" t="str">
        <x:v>Énergie</x:v>
      </x:c>
      <x:c r="D2986" t="str">
        <x:v>Champ d’éoliennes</x:v>
      </x:c>
      <x:c r="E2986" t="n">
        <x:v>31</x:v>
      </x:c>
      <x:c r="F2986" t="str">
        <x:v>Inspection physique</x:v>
      </x:c>
      <x:c r="G2986" t="str">
        <x:v>1 niveaux ; 12 pièces ; 93 segments de mur ; 0 transitions. Inspection physique ; architecture complète encore ouverte.</x:v>
      </x:c>
      <x:c r="H2986" t="str">
        <x:v>L 280 ; l 1280 ; hauteur 230 m ; emprise auteur, non relevé complet d’un lieu réel</x:v>
      </x:c>
      <x:c r="I2986" t="str">
        <x:v>À équilibrer</x:v>
      </x:c>
      <x:c r="J2986" t="str">
        <x:v>Non</x:v>
      </x:c>
      <x:c r="K2986" t="str">
        <x:v>Pièces décrites, murs, portes, niveaux et mobilier inspectables à l’échelle. Volumes réservés, raccord au seed, butin, rencontres et services de campagne restent à terminer.</x:v>
      </x:c>
    </x:row>
    <x:row r="2987">
      <x:c r="A2987" t="str">
        <x:v>EXT-MONDE-T060-V32</x:v>
      </x:c>
      <x:c r="B2987" t="str">
        <x:v>EXT-MONDE-T060</x:v>
      </x:c>
      <x:c r="C2987" t="str">
        <x:v>Énergie</x:v>
      </x:c>
      <x:c r="D2987" t="str">
        <x:v>Champ d’éoliennes</x:v>
      </x:c>
      <x:c r="E2987" t="n">
        <x:v>32</x:v>
      </x:c>
      <x:c r="F2987" t="str">
        <x:v>Inspection physique</x:v>
      </x:c>
      <x:c r="G2987" t="str">
        <x:v>1 niveaux ; 12 pièces ; 93 segments de mur ; 0 transitions. Inspection physique ; architecture complète encore ouverte.</x:v>
      </x:c>
      <x:c r="H2987" t="str">
        <x:v>L 280 ; l 2330 ; hauteur 230 m ; emprise auteur, non relevé complet d’un lieu réel</x:v>
      </x:c>
      <x:c r="I2987" t="str">
        <x:v>À équilibrer</x:v>
      </x:c>
      <x:c r="J2987" t="str">
        <x:v>Non</x:v>
      </x:c>
      <x:c r="K2987" t="str">
        <x:v>Pièces décrites, murs, portes, niveaux et mobilier inspectables à l’échelle. Volumes réservés, raccord au seed, butin, rencontres et services de campagne restent à terminer.</x:v>
      </x:c>
    </x:row>
    <x:row r="2988">
      <x:c r="A2988" t="str">
        <x:v>EXT-MONDE-T060-V33</x:v>
      </x:c>
      <x:c r="B2988" t="str">
        <x:v>EXT-MONDE-T060</x:v>
      </x:c>
      <x:c r="C2988" t="str">
        <x:v>Énergie</x:v>
      </x:c>
      <x:c r="D2988" t="str">
        <x:v>Champ d’éoliennes</x:v>
      </x:c>
      <x:c r="E2988" t="n">
        <x:v>33</x:v>
      </x:c>
      <x:c r="F2988" t="str">
        <x:v>Inspection physique</x:v>
      </x:c>
      <x:c r="G2988" t="str">
        <x:v>1 niveaux ; 12 pièces ; 93 segments de mur ; 0 transitions. Inspection physique ; architecture complète encore ouverte.</x:v>
      </x:c>
      <x:c r="H2988" t="str">
        <x:v>L 1030 ; l 1280 ; hauteur 230 m ; emprise auteur, non relevé complet d’un lieu réel</x:v>
      </x:c>
      <x:c r="I2988" t="str">
        <x:v>À équilibrer</x:v>
      </x:c>
      <x:c r="J2988" t="str">
        <x:v>Non</x:v>
      </x:c>
      <x:c r="K2988" t="str">
        <x:v>Pièces décrites, murs, portes, niveaux et mobilier inspectables à l’échelle. Volumes réservés, raccord au seed, butin, rencontres et services de campagne restent à terminer.</x:v>
      </x:c>
    </x:row>
    <x:row r="2989">
      <x:c r="A2989" t="str">
        <x:v>EXT-MONDE-T060-V34</x:v>
      </x:c>
      <x:c r="B2989" t="str">
        <x:v>EXT-MONDE-T060</x:v>
      </x:c>
      <x:c r="C2989" t="str">
        <x:v>Énergie</x:v>
      </x:c>
      <x:c r="D2989" t="str">
        <x:v>Champ d’éoliennes</x:v>
      </x:c>
      <x:c r="E2989" t="n">
        <x:v>34</x:v>
      </x:c>
      <x:c r="F2989" t="str">
        <x:v>Inspection physique</x:v>
      </x:c>
      <x:c r="G2989" t="str">
        <x:v>1 niveaux ; 12 pièces ; 93 segments de mur ; 0 transitions. Inspection physique ; architecture complète encore ouverte.</x:v>
      </x:c>
      <x:c r="H2989" t="str">
        <x:v>L 280 ; l 3380 ; hauteur 230 m ; emprise auteur, non relevé complet d’un lieu réel</x:v>
      </x:c>
      <x:c r="I2989" t="str">
        <x:v>À équilibrer</x:v>
      </x:c>
      <x:c r="J2989" t="str">
        <x:v>Non</x:v>
      </x:c>
      <x:c r="K2989" t="str">
        <x:v>Pièces décrites, murs, portes, niveaux et mobilier inspectables à l’échelle. Volumes réservés, raccord au seed, butin, rencontres et services de campagne restent à terminer.</x:v>
      </x:c>
    </x:row>
    <x:row r="2990">
      <x:c r="A2990" t="str">
        <x:v>EXT-MONDE-T060-V35</x:v>
      </x:c>
      <x:c r="B2990" t="str">
        <x:v>EXT-MONDE-T060</x:v>
      </x:c>
      <x:c r="C2990" t="str">
        <x:v>Énergie</x:v>
      </x:c>
      <x:c r="D2990" t="str">
        <x:v>Champ d’éoliennes</x:v>
      </x:c>
      <x:c r="E2990" t="n">
        <x:v>35</x:v>
      </x:c>
      <x:c r="F2990" t="str">
        <x:v>Inspection physique</x:v>
      </x:c>
      <x:c r="G2990" t="str">
        <x:v>1 niveaux ; 12 pièces ; 93 segments de mur ; 0 transitions. Inspection physique ; architecture complète encore ouverte.</x:v>
      </x:c>
      <x:c r="H2990" t="str">
        <x:v>L 1030 ; l 2330 ; hauteur 230 m ; emprise auteur, non relevé complet d’un lieu réel</x:v>
      </x:c>
      <x:c r="I2990" t="str">
        <x:v>À équilibrer</x:v>
      </x:c>
      <x:c r="J2990" t="str">
        <x:v>Non</x:v>
      </x:c>
      <x:c r="K2990" t="str">
        <x:v>Pièces décrites, murs, portes, niveaux et mobilier inspectables à l’échelle. Volumes réservés, raccord au seed, butin, rencontres et services de campagne restent à terminer.</x:v>
      </x:c>
    </x:row>
    <x:row r="2991">
      <x:c r="A2991" t="str">
        <x:v>EXT-MONDE-T060-V36</x:v>
      </x:c>
      <x:c r="B2991" t="str">
        <x:v>EXT-MONDE-T060</x:v>
      </x:c>
      <x:c r="C2991" t="str">
        <x:v>Énergie</x:v>
      </x:c>
      <x:c r="D2991" t="str">
        <x:v>Champ d’éoliennes</x:v>
      </x:c>
      <x:c r="E2991" t="n">
        <x:v>36</x:v>
      </x:c>
      <x:c r="F2991" t="str">
        <x:v>Inspection physique</x:v>
      </x:c>
      <x:c r="G2991" t="str">
        <x:v>1 niveaux ; 12 pièces ; 93 segments de mur ; 0 transitions. Inspection physique ; architecture complète encore ouverte.</x:v>
      </x:c>
      <x:c r="H2991" t="str">
        <x:v>L 1780 ; l 1280 ; hauteur 230 m ; emprise auteur, non relevé complet d’un lieu réel</x:v>
      </x:c>
      <x:c r="I2991" t="str">
        <x:v>À équilibrer</x:v>
      </x:c>
      <x:c r="J2991" t="str">
        <x:v>Non</x:v>
      </x:c>
      <x:c r="K2991" t="str">
        <x:v>Pièces décrites, murs, portes, niveaux et mobilier inspectables à l’échelle. Volumes réservés, raccord au seed, butin, rencontres et services de campagne restent à terminer.</x:v>
      </x:c>
    </x:row>
    <x:row r="2992">
      <x:c r="A2992" t="str">
        <x:v>EXT-MONDE-T060-V37</x:v>
      </x:c>
      <x:c r="B2992" t="str">
        <x:v>EXT-MONDE-T060</x:v>
      </x:c>
      <x:c r="C2992" t="str">
        <x:v>Énergie</x:v>
      </x:c>
      <x:c r="D2992" t="str">
        <x:v>Champ d’éoliennes</x:v>
      </x:c>
      <x:c r="E2992" t="n">
        <x:v>37</x:v>
      </x:c>
      <x:c r="F2992" t="str">
        <x:v>Inspection physique</x:v>
      </x:c>
      <x:c r="G2992" t="str">
        <x:v>1 niveaux ; 12 pièces ; 93 segments de mur ; 0 transitions. Inspection physique ; architecture complète encore ouverte.</x:v>
      </x:c>
      <x:c r="H2992" t="str">
        <x:v>L 1030 ; l 3380 ; hauteur 230 m ; emprise auteur, non relevé complet d’un lieu réel</x:v>
      </x:c>
      <x:c r="I2992" t="str">
        <x:v>À équilibrer</x:v>
      </x:c>
      <x:c r="J2992" t="str">
        <x:v>Non</x:v>
      </x:c>
      <x:c r="K2992" t="str">
        <x:v>Pièces décrites, murs, portes, niveaux et mobilier inspectables à l’échelle. Volumes réservés, raccord au seed, butin, rencontres et services de campagne restent à terminer.</x:v>
      </x:c>
    </x:row>
    <x:row r="2993">
      <x:c r="A2993" t="str">
        <x:v>EXT-MONDE-T060-V38</x:v>
      </x:c>
      <x:c r="B2993" t="str">
        <x:v>EXT-MONDE-T060</x:v>
      </x:c>
      <x:c r="C2993" t="str">
        <x:v>Énergie</x:v>
      </x:c>
      <x:c r="D2993" t="str">
        <x:v>Champ d’éoliennes</x:v>
      </x:c>
      <x:c r="E2993" t="n">
        <x:v>38</x:v>
      </x:c>
      <x:c r="F2993" t="str">
        <x:v>Inspection physique</x:v>
      </x:c>
      <x:c r="G2993" t="str">
        <x:v>1 niveaux ; 12 pièces ; 93 segments de mur ; 0 transitions. Inspection physique ; architecture complète encore ouverte.</x:v>
      </x:c>
      <x:c r="H2993" t="str">
        <x:v>L 1780 ; l 2330 ; hauteur 230 m ; emprise auteur, non relevé complet d’un lieu réel</x:v>
      </x:c>
      <x:c r="I2993" t="str">
        <x:v>À équilibrer</x:v>
      </x:c>
      <x:c r="J2993" t="str">
        <x:v>Non</x:v>
      </x:c>
      <x:c r="K2993" t="str">
        <x:v>Pièces décrites, murs, portes, niveaux et mobilier inspectables à l’échelle. Volumes réservés, raccord au seed, butin, rencontres et services de campagne restent à terminer.</x:v>
      </x:c>
    </x:row>
    <x:row r="2994">
      <x:c r="A2994" t="str">
        <x:v>EXT-MONDE-T060-V39</x:v>
      </x:c>
      <x:c r="B2994" t="str">
        <x:v>EXT-MONDE-T060</x:v>
      </x:c>
      <x:c r="C2994" t="str">
        <x:v>Énergie</x:v>
      </x:c>
      <x:c r="D2994" t="str">
        <x:v>Champ d’éoliennes</x:v>
      </x:c>
      <x:c r="E2994" t="n">
        <x:v>39</x:v>
      </x:c>
      <x:c r="F2994" t="str">
        <x:v>Inspection physique</x:v>
      </x:c>
      <x:c r="G2994" t="str">
        <x:v>1 niveaux ; 12 pièces ; 93 segments de mur ; 0 transitions. Inspection physique ; architecture complète encore ouverte.</x:v>
      </x:c>
      <x:c r="H2994" t="str">
        <x:v>L 1030 ; l 4430 ; hauteur 230 m ; emprise auteur, non relevé complet d’un lieu réel</x:v>
      </x:c>
      <x:c r="I2994" t="str">
        <x:v>À équilibrer</x:v>
      </x:c>
      <x:c r="J2994" t="str">
        <x:v>Non</x:v>
      </x:c>
      <x:c r="K2994" t="str">
        <x:v>Pièces décrites, murs, portes, niveaux et mobilier inspectables à l’échelle. Volumes réservés, raccord au seed, butin, rencontres et services de campagne restent à terminer.</x:v>
      </x:c>
    </x:row>
    <x:row r="2995">
      <x:c r="A2995" t="str">
        <x:v>EXT-MONDE-T060-V40</x:v>
      </x:c>
      <x:c r="B2995" t="str">
        <x:v>EXT-MONDE-T060</x:v>
      </x:c>
      <x:c r="C2995" t="str">
        <x:v>Énergie</x:v>
      </x:c>
      <x:c r="D2995" t="str">
        <x:v>Champ d’éoliennes</x:v>
      </x:c>
      <x:c r="E2995" t="n">
        <x:v>40</x:v>
      </x:c>
      <x:c r="F2995" t="str">
        <x:v>Inspection physique</x:v>
      </x:c>
      <x:c r="G2995" t="str">
        <x:v>1 niveaux ; 12 pièces ; 93 segments de mur ; 0 transitions. Inspection physique ; architecture complète encore ouverte.</x:v>
      </x:c>
      <x:c r="H2995" t="str">
        <x:v>L 1780 ; l 3380 ; hauteur 230 m ; emprise auteur, non relevé complet d’un lieu réel</x:v>
      </x:c>
      <x:c r="I2995" t="str">
        <x:v>À équilibrer</x:v>
      </x:c>
      <x:c r="J2995" t="str">
        <x:v>Non</x:v>
      </x:c>
      <x:c r="K2995" t="str">
        <x:v>Pièces décrites, murs, portes, niveaux et mobilier inspectables à l’échelle. Volumes réservés, raccord au seed, butin, rencontres et services de campagne restent à terminer.</x:v>
      </x:c>
    </x:row>
    <x:row r="2996">
      <x:c r="A2996" t="str">
        <x:v>EXT-MONDE-T060-V41</x:v>
      </x:c>
      <x:c r="B2996" t="str">
        <x:v>EXT-MONDE-T060</x:v>
      </x:c>
      <x:c r="C2996" t="str">
        <x:v>Énergie</x:v>
      </x:c>
      <x:c r="D2996" t="str">
        <x:v>Champ d’éoliennes</x:v>
      </x:c>
      <x:c r="E2996" t="n">
        <x:v>41</x:v>
      </x:c>
      <x:c r="F2996" t="str">
        <x:v>Inspection physique</x:v>
      </x:c>
      <x:c r="G2996" t="str">
        <x:v>1 niveaux ; 12 pièces ; 93 segments de mur ; 0 transitions. Inspection physique ; architecture complète encore ouverte.</x:v>
      </x:c>
      <x:c r="H2996" t="str">
        <x:v>L 280 ; l 1280 ; hauteur 241 m ; emprise auteur, non relevé complet d’un lieu réel</x:v>
      </x:c>
      <x:c r="I2996" t="str">
        <x:v>À équilibrer</x:v>
      </x:c>
      <x:c r="J2996" t="str">
        <x:v>Non</x:v>
      </x:c>
      <x:c r="K2996" t="str">
        <x:v>Pièces décrites, murs, portes, niveaux et mobilier inspectables à l’échelle. Volumes réservés, raccord au seed, butin, rencontres et services de campagne restent à terminer.</x:v>
      </x:c>
    </x:row>
    <x:row r="2997">
      <x:c r="A2997" t="str">
        <x:v>EXT-MONDE-T060-V42</x:v>
      </x:c>
      <x:c r="B2997" t="str">
        <x:v>EXT-MONDE-T060</x:v>
      </x:c>
      <x:c r="C2997" t="str">
        <x:v>Énergie</x:v>
      </x:c>
      <x:c r="D2997" t="str">
        <x:v>Champ d’éoliennes</x:v>
      </x:c>
      <x:c r="E2997" t="n">
        <x:v>42</x:v>
      </x:c>
      <x:c r="F2997" t="str">
        <x:v>Inspection physique</x:v>
      </x:c>
      <x:c r="G2997" t="str">
        <x:v>1 niveaux ; 12 pièces ; 93 segments de mur ; 0 transitions. Inspection physique ; architecture complète encore ouverte.</x:v>
      </x:c>
      <x:c r="H2997" t="str">
        <x:v>L 280 ; l 2330 ; hauteur 241 m ; emprise auteur, non relevé complet d’un lieu réel</x:v>
      </x:c>
      <x:c r="I2997" t="str">
        <x:v>À équilibrer</x:v>
      </x:c>
      <x:c r="J2997" t="str">
        <x:v>Non</x:v>
      </x:c>
      <x:c r="K2997" t="str">
        <x:v>Pièces décrites, murs, portes, niveaux et mobilier inspectables à l’échelle. Volumes réservés, raccord au seed, butin, rencontres et services de campagne restent à terminer.</x:v>
      </x:c>
    </x:row>
    <x:row r="2998">
      <x:c r="A2998" t="str">
        <x:v>EXT-MONDE-T060-V43</x:v>
      </x:c>
      <x:c r="B2998" t="str">
        <x:v>EXT-MONDE-T060</x:v>
      </x:c>
      <x:c r="C2998" t="str">
        <x:v>Énergie</x:v>
      </x:c>
      <x:c r="D2998" t="str">
        <x:v>Champ d’éoliennes</x:v>
      </x:c>
      <x:c r="E2998" t="n">
        <x:v>43</x:v>
      </x:c>
      <x:c r="F2998" t="str">
        <x:v>Inspection physique</x:v>
      </x:c>
      <x:c r="G2998" t="str">
        <x:v>1 niveaux ; 12 pièces ; 93 segments de mur ; 0 transitions. Inspection physique ; architecture complète encore ouverte.</x:v>
      </x:c>
      <x:c r="H2998" t="str">
        <x:v>L 1030 ; l 1280 ; hauteur 241 m ; emprise auteur, non relevé complet d’un lieu réel</x:v>
      </x:c>
      <x:c r="I2998" t="str">
        <x:v>À équilibrer</x:v>
      </x:c>
      <x:c r="J2998" t="str">
        <x:v>Non</x:v>
      </x:c>
      <x:c r="K2998" t="str">
        <x:v>Pièces décrites, murs, portes, niveaux et mobilier inspectables à l’échelle. Volumes réservés, raccord au seed, butin, rencontres et services de campagne restent à terminer.</x:v>
      </x:c>
    </x:row>
    <x:row r="2999">
      <x:c r="A2999" t="str">
        <x:v>EXT-MONDE-T060-V44</x:v>
      </x:c>
      <x:c r="B2999" t="str">
        <x:v>EXT-MONDE-T060</x:v>
      </x:c>
      <x:c r="C2999" t="str">
        <x:v>Énergie</x:v>
      </x:c>
      <x:c r="D2999" t="str">
        <x:v>Champ d’éoliennes</x:v>
      </x:c>
      <x:c r="E2999" t="n">
        <x:v>44</x:v>
      </x:c>
      <x:c r="F2999" t="str">
        <x:v>Inspection physique</x:v>
      </x:c>
      <x:c r="G2999" t="str">
        <x:v>1 niveaux ; 12 pièces ; 93 segments de mur ; 0 transitions. Inspection physique ; architecture complète encore ouverte.</x:v>
      </x:c>
      <x:c r="H2999" t="str">
        <x:v>L 280 ; l 3380 ; hauteur 241 m ; emprise auteur, non relevé complet d’un lieu réel</x:v>
      </x:c>
      <x:c r="I2999" t="str">
        <x:v>À équilibrer</x:v>
      </x:c>
      <x:c r="J2999" t="str">
        <x:v>Non</x:v>
      </x:c>
      <x:c r="K2999" t="str">
        <x:v>Pièces décrites, murs, portes, niveaux et mobilier inspectables à l’échelle. Volumes réservés, raccord au seed, butin, rencontres et services de campagne restent à terminer.</x:v>
      </x:c>
    </x:row>
    <x:row r="3000">
      <x:c r="A3000" t="str">
        <x:v>EXT-MONDE-T060-V45</x:v>
      </x:c>
      <x:c r="B3000" t="str">
        <x:v>EXT-MONDE-T060</x:v>
      </x:c>
      <x:c r="C3000" t="str">
        <x:v>Énergie</x:v>
      </x:c>
      <x:c r="D3000" t="str">
        <x:v>Champ d’éoliennes</x:v>
      </x:c>
      <x:c r="E3000" t="n">
        <x:v>45</x:v>
      </x:c>
      <x:c r="F3000" t="str">
        <x:v>Inspection physique</x:v>
      </x:c>
      <x:c r="G3000" t="str">
        <x:v>1 niveaux ; 12 pièces ; 93 segments de mur ; 0 transitions. Inspection physique ; architecture complète encore ouverte.</x:v>
      </x:c>
      <x:c r="H3000" t="str">
        <x:v>L 1030 ; l 2330 ; hauteur 241 m ; emprise auteur, non relevé complet d’un lieu réel</x:v>
      </x:c>
      <x:c r="I3000" t="str">
        <x:v>À équilibrer</x:v>
      </x:c>
      <x:c r="J3000" t="str">
        <x:v>Non</x:v>
      </x:c>
      <x:c r="K3000" t="str">
        <x:v>Pièces décrites, murs, portes, niveaux et mobilier inspectables à l’échelle. Volumes réservés, raccord au seed, butin, rencontres et services de campagne restent à terminer.</x:v>
      </x:c>
    </x:row>
    <x:row r="3001">
      <x:c r="A3001" t="str">
        <x:v>EXT-MONDE-T060-V46</x:v>
      </x:c>
      <x:c r="B3001" t="str">
        <x:v>EXT-MONDE-T060</x:v>
      </x:c>
      <x:c r="C3001" t="str">
        <x:v>Énergie</x:v>
      </x:c>
      <x:c r="D3001" t="str">
        <x:v>Champ d’éoliennes</x:v>
      </x:c>
      <x:c r="E3001" t="n">
        <x:v>46</x:v>
      </x:c>
      <x:c r="F3001" t="str">
        <x:v>Inspection physique</x:v>
      </x:c>
      <x:c r="G3001" t="str">
        <x:v>1 niveaux ; 12 pièces ; 93 segments de mur ; 0 transitions. Inspection physique ; architecture complète encore ouverte.</x:v>
      </x:c>
      <x:c r="H3001" t="str">
        <x:v>L 1780 ; l 1280 ; hauteur 241 m ; emprise auteur, non relevé complet d’un lieu réel</x:v>
      </x:c>
      <x:c r="I3001" t="str">
        <x:v>À équilibrer</x:v>
      </x:c>
      <x:c r="J3001" t="str">
        <x:v>Non</x:v>
      </x:c>
      <x:c r="K3001" t="str">
        <x:v>Pièces décrites, murs, portes, niveaux et mobilier inspectables à l’échelle. Volumes réservés, raccord au seed, butin, rencontres et services de campagne restent à terminer.</x:v>
      </x:c>
    </x:row>
    <x:row r="3002">
      <x:c r="A3002" t="str">
        <x:v>EXT-MONDE-T060-V47</x:v>
      </x:c>
      <x:c r="B3002" t="str">
        <x:v>EXT-MONDE-T060</x:v>
      </x:c>
      <x:c r="C3002" t="str">
        <x:v>Énergie</x:v>
      </x:c>
      <x:c r="D3002" t="str">
        <x:v>Champ d’éoliennes</x:v>
      </x:c>
      <x:c r="E3002" t="n">
        <x:v>47</x:v>
      </x:c>
      <x:c r="F3002" t="str">
        <x:v>Inspection physique</x:v>
      </x:c>
      <x:c r="G3002" t="str">
        <x:v>1 niveaux ; 12 pièces ; 93 segments de mur ; 0 transitions. Inspection physique ; architecture complète encore ouverte.</x:v>
      </x:c>
      <x:c r="H3002" t="str">
        <x:v>L 1030 ; l 3380 ; hauteur 241 m ; emprise auteur, non relevé complet d’un lieu réel</x:v>
      </x:c>
      <x:c r="I3002" t="str">
        <x:v>À équilibrer</x:v>
      </x:c>
      <x:c r="J3002" t="str">
        <x:v>Non</x:v>
      </x:c>
      <x:c r="K3002" t="str">
        <x:v>Pièces décrites, murs, portes, niveaux et mobilier inspectables à l’échelle. Volumes réservés, raccord au seed, butin, rencontres et services de campagne restent à terminer.</x:v>
      </x:c>
    </x:row>
    <x:row r="3003">
      <x:c r="A3003" t="str">
        <x:v>EXT-MONDE-T060-V48</x:v>
      </x:c>
      <x:c r="B3003" t="str">
        <x:v>EXT-MONDE-T060</x:v>
      </x:c>
      <x:c r="C3003" t="str">
        <x:v>Énergie</x:v>
      </x:c>
      <x:c r="D3003" t="str">
        <x:v>Champ d’éoliennes</x:v>
      </x:c>
      <x:c r="E3003" t="n">
        <x:v>48</x:v>
      </x:c>
      <x:c r="F3003" t="str">
        <x:v>Inspection physique</x:v>
      </x:c>
      <x:c r="G3003" t="str">
        <x:v>1 niveaux ; 12 pièces ; 93 segments de mur ; 0 transitions. Inspection physique ; architecture complète encore ouverte.</x:v>
      </x:c>
      <x:c r="H3003" t="str">
        <x:v>L 1780 ; l 2330 ; hauteur 241 m ; emprise auteur, non relevé complet d’un lieu réel</x:v>
      </x:c>
      <x:c r="I3003" t="str">
        <x:v>À équilibrer</x:v>
      </x:c>
      <x:c r="J3003" t="str">
        <x:v>Non</x:v>
      </x:c>
      <x:c r="K3003" t="str">
        <x:v>Pièces décrites, murs, portes, niveaux et mobilier inspectables à l’échelle. Volumes réservés, raccord au seed, butin, rencontres et services de campagne restent à terminer.</x:v>
      </x:c>
    </x:row>
    <x:row r="3004">
      <x:c r="A3004" t="str">
        <x:v>EXT-MONDE-T060-V49</x:v>
      </x:c>
      <x:c r="B3004" t="str">
        <x:v>EXT-MONDE-T060</x:v>
      </x:c>
      <x:c r="C3004" t="str">
        <x:v>Énergie</x:v>
      </x:c>
      <x:c r="D3004" t="str">
        <x:v>Champ d’éoliennes</x:v>
      </x:c>
      <x:c r="E3004" t="n">
        <x:v>49</x:v>
      </x:c>
      <x:c r="F3004" t="str">
        <x:v>Inspection physique</x:v>
      </x:c>
      <x:c r="G3004" t="str">
        <x:v>1 niveaux ; 12 pièces ; 93 segments de mur ; 0 transitions. Inspection physique ; architecture complète encore ouverte.</x:v>
      </x:c>
      <x:c r="H3004" t="str">
        <x:v>L 1030 ; l 4430 ; hauteur 241 m ; emprise auteur, non relevé complet d’un lieu réel</x:v>
      </x:c>
      <x:c r="I3004" t="str">
        <x:v>À équilibrer</x:v>
      </x:c>
      <x:c r="J3004" t="str">
        <x:v>Non</x:v>
      </x:c>
      <x:c r="K3004" t="str">
        <x:v>Pièces décrites, murs, portes, niveaux et mobilier inspectables à l’échelle. Volumes réservés, raccord au seed, butin, rencontres et services de campagne restent à terminer.</x:v>
      </x:c>
    </x:row>
    <x:row r="3005">
      <x:c r="A3005" t="str">
        <x:v>EXT-MONDE-T060-V50</x:v>
      </x:c>
      <x:c r="B3005" t="str">
        <x:v>EXT-MONDE-T060</x:v>
      </x:c>
      <x:c r="C3005" t="str">
        <x:v>Énergie</x:v>
      </x:c>
      <x:c r="D3005" t="str">
        <x:v>Champ d’éoliennes</x:v>
      </x:c>
      <x:c r="E3005" t="n">
        <x:v>50</x:v>
      </x:c>
      <x:c r="F3005" t="str">
        <x:v>Inspection physique</x:v>
      </x:c>
      <x:c r="G3005" t="str">
        <x:v>1 niveaux ; 12 pièces ; 93 segments de mur ; 0 transitions. Inspection physique ; architecture complète encore ouverte.</x:v>
      </x:c>
      <x:c r="H3005" t="str">
        <x:v>L 1780 ; l 3380 ; hauteur 241 m ; emprise auteur, non relevé complet d’un lieu réel</x:v>
      </x:c>
      <x:c r="I3005" t="str">
        <x:v>À équilibrer</x:v>
      </x:c>
      <x:c r="J3005" t="str">
        <x:v>Non</x:v>
      </x:c>
      <x:c r="K3005" t="str">
        <x:v>Pièces décrites, murs, portes, niveaux et mobilier inspectables à l’échelle. Volumes réservés, raccord au seed, butin, rencontres et services de campagne restent à terminer.</x:v>
      </x:c>
    </x:row>
    <x:row r="3006" ht="96" customHeight="1">
      <x:c r="A3006" s="115" t="str">
        <x:v>EXT-MONDE-T061-V01</x:v>
      </x:c>
      <x:c r="B3006" s="115" t="str">
        <x:v>EXT-MONDE-T061</x:v>
      </x:c>
      <x:c r="C3006" s="115" t="str">
        <x:v>Épuration</x:v>
      </x:c>
      <x:c r="D3006" s="115" t="str">
        <x:v>Station d’épuration urbaine</x:v>
      </x:c>
      <x:c r="E3006" s="115" t="n">
        <x:v>1</x:v>
      </x:c>
      <x:c r="F3006" s="115" t="str">
        <x:v>Inspection physique</x:v>
      </x:c>
      <x:c r="G3006" s="115" t="str">
        <x:v>1 niveaux ; 22 pièces ; 167 segments de mur ; 0 transitions. Inspection physique ; architecture complète encore ouverte.</x:v>
      </x:c>
      <x:c r="H3006" s="115" t="str">
        <x:v>L 430 ; l 440 ; hauteur 12 m ; choix de composition auteur ; dimensions réelles à documenter</x:v>
      </x:c>
      <x:c r="I3006" s="115" t="str">
        <x:v>À équilibrer</x:v>
      </x:c>
      <x:c r="J3006" s="115" t="str">
        <x:v>Non</x:v>
      </x:c>
      <x:c r="K3006" s="115" t="str">
        <x:v>Pièces décrites, murs, portes, niveaux et mobilier inspectables à l’échelle. Volumes réservés, raccord au seed, butin, rencontres et services de campagne restent à terminer.</x:v>
      </x:c>
    </x:row>
    <x:row r="3007" ht="96" customHeight="1">
      <x:c r="A3007" s="115" t="str">
        <x:v>EXT-MONDE-T061-V02</x:v>
      </x:c>
      <x:c r="B3007" s="115" t="str">
        <x:v>EXT-MONDE-T061</x:v>
      </x:c>
      <x:c r="C3007" s="115" t="str">
        <x:v>Épuration</x:v>
      </x:c>
      <x:c r="D3007" s="115" t="str">
        <x:v>Station d’épuration urbaine</x:v>
      </x:c>
      <x:c r="E3007" s="115" t="n">
        <x:v>2</x:v>
      </x:c>
      <x:c r="F3007" s="115" t="str">
        <x:v>Inspection physique</x:v>
      </x:c>
      <x:c r="G3007" s="115" t="str">
        <x:v>1 niveaux ; 22 pièces ; 167 segments de mur ; 0 transitions. Inspection physique ; architecture complète encore ouverte.</x:v>
      </x:c>
      <x:c r="H3007" s="115" t="str">
        <x:v>L 430 ; l 440 ; hauteur 12 m ; choix de composition auteur ; dimensions réelles à documenter</x:v>
      </x:c>
      <x:c r="I3007" s="115" t="str">
        <x:v>À équilibrer</x:v>
      </x:c>
      <x:c r="J3007" s="115" t="str">
        <x:v>Non</x:v>
      </x:c>
      <x:c r="K3007" s="115" t="str">
        <x:v>Pièces décrites, murs, portes, niveaux et mobilier inspectables à l’échelle. Volumes réservés, raccord au seed, butin, rencontres et services de campagne restent à terminer.</x:v>
      </x:c>
    </x:row>
    <x:row r="3008" ht="96" customHeight="1">
      <x:c r="A3008" s="115" t="str">
        <x:v>EXT-MONDE-T061-V03</x:v>
      </x:c>
      <x:c r="B3008" s="115" t="str">
        <x:v>EXT-MONDE-T061</x:v>
      </x:c>
      <x:c r="C3008" s="115" t="str">
        <x:v>Épuration</x:v>
      </x:c>
      <x:c r="D3008" s="115" t="str">
        <x:v>Station d’épuration urbaine</x:v>
      </x:c>
      <x:c r="E3008" s="115" t="n">
        <x:v>3</x:v>
      </x:c>
      <x:c r="F3008" s="115" t="str">
        <x:v>Inspection physique</x:v>
      </x:c>
      <x:c r="G3008" s="115" t="str">
        <x:v>1 niveaux ; 22 pièces ; 167 segments de mur ; 0 transitions. Inspection physique ; architecture complète encore ouverte.</x:v>
      </x:c>
      <x:c r="H3008" s="115" t="str">
        <x:v>L 430 ; l 440 ; hauteur 12 m ; choix de composition auteur ; dimensions réelles à documenter</x:v>
      </x:c>
      <x:c r="I3008" s="115" t="str">
        <x:v>À équilibrer</x:v>
      </x:c>
      <x:c r="J3008" s="115" t="str">
        <x:v>Non</x:v>
      </x:c>
      <x:c r="K3008" s="115" t="str">
        <x:v>Pièces décrites, murs, portes, niveaux et mobilier inspectables à l’échelle. Volumes réservés, raccord au seed, butin, rencontres et services de campagne restent à terminer.</x:v>
      </x:c>
    </x:row>
    <x:row r="3009" ht="96" customHeight="1">
      <x:c r="A3009" s="115" t="str">
        <x:v>EXT-MONDE-T061-V04</x:v>
      </x:c>
      <x:c r="B3009" s="115" t="str">
        <x:v>EXT-MONDE-T061</x:v>
      </x:c>
      <x:c r="C3009" s="115" t="str">
        <x:v>Épuration</x:v>
      </x:c>
      <x:c r="D3009" s="115" t="str">
        <x:v>Station d’épuration urbaine</x:v>
      </x:c>
      <x:c r="E3009" s="115" t="n">
        <x:v>4</x:v>
      </x:c>
      <x:c r="F3009" s="115" t="str">
        <x:v>Inspection physique</x:v>
      </x:c>
      <x:c r="G3009" s="115" t="str">
        <x:v>1 niveaux ; 22 pièces ; 167 segments de mur ; 0 transitions. Inspection physique ; architecture complète encore ouverte.</x:v>
      </x:c>
      <x:c r="H3009" s="115" t="str">
        <x:v>L 430 ; l 440 ; hauteur 12 m ; choix de composition auteur ; dimensions réelles à documenter</x:v>
      </x:c>
      <x:c r="I3009" s="115" t="str">
        <x:v>À équilibrer</x:v>
      </x:c>
      <x:c r="J3009" s="115" t="str">
        <x:v>Non</x:v>
      </x:c>
      <x:c r="K3009" s="115" t="str">
        <x:v>Pièces décrites, murs, portes, niveaux et mobilier inspectables à l’échelle. Volumes réservés, raccord au seed, butin, rencontres et services de campagne restent à terminer.</x:v>
      </x:c>
    </x:row>
    <x:row r="3010" ht="96" customHeight="1">
      <x:c r="A3010" s="115" t="str">
        <x:v>EXT-MONDE-T061-V05</x:v>
      </x:c>
      <x:c r="B3010" s="115" t="str">
        <x:v>EXT-MONDE-T061</x:v>
      </x:c>
      <x:c r="C3010" s="115" t="str">
        <x:v>Épuration</x:v>
      </x:c>
      <x:c r="D3010" s="115" t="str">
        <x:v>Station d’épuration urbaine</x:v>
      </x:c>
      <x:c r="E3010" s="115" t="n">
        <x:v>5</x:v>
      </x:c>
      <x:c r="F3010" s="115" t="str">
        <x:v>Inspection physique</x:v>
      </x:c>
      <x:c r="G3010" s="115" t="str">
        <x:v>1 niveaux ; 22 pièces ; 167 segments de mur ; 0 transitions. Inspection physique ; architecture complète encore ouverte.</x:v>
      </x:c>
      <x:c r="H3010" s="115" t="str">
        <x:v>L 430 ; l 440 ; hauteur 12 m ; choix de composition auteur ; dimensions réelles à documenter</x:v>
      </x:c>
      <x:c r="I3010" s="115" t="str">
        <x:v>À équilibrer</x:v>
      </x:c>
      <x:c r="J3010" s="115" t="str">
        <x:v>Non</x:v>
      </x:c>
      <x:c r="K3010" s="115" t="str">
        <x:v>Pièces décrites, murs, portes, niveaux et mobilier inspectables à l’échelle. Volumes réservés, raccord au seed, butin, rencontres et services de campagne restent à terminer.</x:v>
      </x:c>
    </x:row>
    <x:row r="3011" ht="96" customHeight="1">
      <x:c r="A3011" s="115" t="str">
        <x:v>EXT-MONDE-T061-V06</x:v>
      </x:c>
      <x:c r="B3011" s="115" t="str">
        <x:v>EXT-MONDE-T061</x:v>
      </x:c>
      <x:c r="C3011" s="115" t="str">
        <x:v>Épuration</x:v>
      </x:c>
      <x:c r="D3011" s="115" t="str">
        <x:v>Station d’épuration urbaine</x:v>
      </x:c>
      <x:c r="E3011" s="115" t="n">
        <x:v>6</x:v>
      </x:c>
      <x:c r="F3011" s="115" t="str">
        <x:v>Inspection physique</x:v>
      </x:c>
      <x:c r="G3011" s="115" t="str">
        <x:v>1 niveaux ; 22 pièces ; 167 segments de mur ; 0 transitions. Inspection physique ; architecture complète encore ouverte.</x:v>
      </x:c>
      <x:c r="H3011" s="115" t="str">
        <x:v>L 430 ; l 440 ; hauteur 12 m ; choix de composition auteur ; dimensions réelles à documenter</x:v>
      </x:c>
      <x:c r="I3011" s="115" t="str">
        <x:v>À équilibrer</x:v>
      </x:c>
      <x:c r="J3011" s="115" t="str">
        <x:v>Non</x:v>
      </x:c>
      <x:c r="K3011" s="115" t="str">
        <x:v>Pièces décrites, murs, portes, niveaux et mobilier inspectables à l’échelle. Volumes réservés, raccord au seed, butin, rencontres et services de campagne restent à terminer.</x:v>
      </x:c>
    </x:row>
    <x:row r="3012" ht="96" customHeight="1">
      <x:c r="A3012" s="115" t="str">
        <x:v>EXT-MONDE-T061-V07</x:v>
      </x:c>
      <x:c r="B3012" s="115" t="str">
        <x:v>EXT-MONDE-T061</x:v>
      </x:c>
      <x:c r="C3012" s="115" t="str">
        <x:v>Épuration</x:v>
      </x:c>
      <x:c r="D3012" s="115" t="str">
        <x:v>Station d’épuration urbaine</x:v>
      </x:c>
      <x:c r="E3012" s="115" t="n">
        <x:v>7</x:v>
      </x:c>
      <x:c r="F3012" s="115" t="str">
        <x:v>Inspection physique</x:v>
      </x:c>
      <x:c r="G3012" s="115" t="str">
        <x:v>1 niveaux ; 22 pièces ; 167 segments de mur ; 0 transitions. Inspection physique ; architecture complète encore ouverte.</x:v>
      </x:c>
      <x:c r="H3012" s="115" t="str">
        <x:v>L 430 ; l 440 ; hauteur 12 m ; choix de composition auteur ; dimensions réelles à documenter</x:v>
      </x:c>
      <x:c r="I3012" s="115" t="str">
        <x:v>À équilibrer</x:v>
      </x:c>
      <x:c r="J3012" s="115" t="str">
        <x:v>Non</x:v>
      </x:c>
      <x:c r="K3012" s="115" t="str">
        <x:v>Pièces décrites, murs, portes, niveaux et mobilier inspectables à l’échelle. Volumes réservés, raccord au seed, butin, rencontres et services de campagne restent à terminer.</x:v>
      </x:c>
    </x:row>
    <x:row r="3013" ht="96" customHeight="1">
      <x:c r="A3013" s="115" t="str">
        <x:v>EXT-MONDE-T061-V08</x:v>
      </x:c>
      <x:c r="B3013" s="115" t="str">
        <x:v>EXT-MONDE-T061</x:v>
      </x:c>
      <x:c r="C3013" s="115" t="str">
        <x:v>Épuration</x:v>
      </x:c>
      <x:c r="D3013" s="115" t="str">
        <x:v>Station d’épuration urbaine</x:v>
      </x:c>
      <x:c r="E3013" s="115" t="n">
        <x:v>8</x:v>
      </x:c>
      <x:c r="F3013" s="115" t="str">
        <x:v>Inspection physique</x:v>
      </x:c>
      <x:c r="G3013" s="115" t="str">
        <x:v>1 niveaux ; 22 pièces ; 167 segments de mur ; 0 transitions. Inspection physique ; architecture complète encore ouverte.</x:v>
      </x:c>
      <x:c r="H3013" s="115" t="str">
        <x:v>L 430 ; l 440 ; hauteur 12 m ; choix de composition auteur ; dimensions réelles à documenter</x:v>
      </x:c>
      <x:c r="I3013" s="115" t="str">
        <x:v>À équilibrer</x:v>
      </x:c>
      <x:c r="J3013" s="115" t="str">
        <x:v>Non</x:v>
      </x:c>
      <x:c r="K3013" s="115" t="str">
        <x:v>Pièces décrites, murs, portes, niveaux et mobilier inspectables à l’échelle. Volumes réservés, raccord au seed, butin, rencontres et services de campagne restent à terminer.</x:v>
      </x:c>
    </x:row>
    <x:row r="3014" ht="96" customHeight="1">
      <x:c r="A3014" s="115" t="str">
        <x:v>EXT-MONDE-T061-V09</x:v>
      </x:c>
      <x:c r="B3014" s="115" t="str">
        <x:v>EXT-MONDE-T061</x:v>
      </x:c>
      <x:c r="C3014" s="115" t="str">
        <x:v>Épuration</x:v>
      </x:c>
      <x:c r="D3014" s="115" t="str">
        <x:v>Station d’épuration urbaine</x:v>
      </x:c>
      <x:c r="E3014" s="115" t="n">
        <x:v>9</x:v>
      </x:c>
      <x:c r="F3014" s="115" t="str">
        <x:v>Inspection physique</x:v>
      </x:c>
      <x:c r="G3014" s="115" t="str">
        <x:v>1 niveaux ; 22 pièces ; 167 segments de mur ; 0 transitions. Inspection physique ; architecture complète encore ouverte.</x:v>
      </x:c>
      <x:c r="H3014" s="115" t="str">
        <x:v>L 430 ; l 440 ; hauteur 12 m ; choix de composition auteur ; dimensions réelles à documenter</x:v>
      </x:c>
      <x:c r="I3014" s="115" t="str">
        <x:v>À équilibrer</x:v>
      </x:c>
      <x:c r="J3014" s="115" t="str">
        <x:v>Non</x:v>
      </x:c>
      <x:c r="K3014" s="115" t="str">
        <x:v>Pièces décrites, murs, portes, niveaux et mobilier inspectables à l’échelle. Volumes réservés, raccord au seed, butin, rencontres et services de campagne restent à terminer.</x:v>
      </x:c>
    </x:row>
    <x:row r="3015" ht="96" customHeight="1">
      <x:c r="A3015" s="115" t="str">
        <x:v>EXT-MONDE-T061-V10</x:v>
      </x:c>
      <x:c r="B3015" s="115" t="str">
        <x:v>EXT-MONDE-T061</x:v>
      </x:c>
      <x:c r="C3015" s="115" t="str">
        <x:v>Épuration</x:v>
      </x:c>
      <x:c r="D3015" s="115" t="str">
        <x:v>Station d’épuration urbaine</x:v>
      </x:c>
      <x:c r="E3015" s="115" t="n">
        <x:v>10</x:v>
      </x:c>
      <x:c r="F3015" s="115" t="str">
        <x:v>Inspection physique</x:v>
      </x:c>
      <x:c r="G3015" s="115" t="str">
        <x:v>1 niveaux ; 22 pièces ; 167 segments de mur ; 0 transitions. Inspection physique ; architecture complète encore ouverte.</x:v>
      </x:c>
      <x:c r="H3015" s="115" t="str">
        <x:v>L 430 ; l 440 ; hauteur 12 m ; choix de composition auteur ; dimensions réelles à documenter</x:v>
      </x:c>
      <x:c r="I3015" s="115" t="str">
        <x:v>À équilibrer</x:v>
      </x:c>
      <x:c r="J3015" s="115" t="str">
        <x:v>Non</x:v>
      </x:c>
      <x:c r="K3015" s="115" t="str">
        <x:v>Pièces décrites, murs, portes, niveaux et mobilier inspectables à l’échelle. Volumes réservés, raccord au seed, butin, rencontres et services de campagne restent à terminer.</x:v>
      </x:c>
    </x:row>
    <x:row r="3016" ht="96" customHeight="1">
      <x:c r="A3016" s="115" t="str">
        <x:v>EXT-MONDE-T061-V11</x:v>
      </x:c>
      <x:c r="B3016" s="115" t="str">
        <x:v>EXT-MONDE-T061</x:v>
      </x:c>
      <x:c r="C3016" s="115" t="str">
        <x:v>Épuration</x:v>
      </x:c>
      <x:c r="D3016" s="115" t="str">
        <x:v>Station d’épuration urbaine</x:v>
      </x:c>
      <x:c r="E3016" s="115" t="n">
        <x:v>11</x:v>
      </x:c>
      <x:c r="F3016" s="115" t="str">
        <x:v>Inspection physique</x:v>
      </x:c>
      <x:c r="G3016" s="115" t="str">
        <x:v>1 niveaux ; 22 pièces ; 167 segments de mur ; 0 transitions. Inspection physique ; architecture complète encore ouverte.</x:v>
      </x:c>
      <x:c r="H3016" s="115" t="str">
        <x:v>L 448 ; l 460 ; hauteur 12 m ; choix de composition auteur ; dimensions réelles à documenter</x:v>
      </x:c>
      <x:c r="I3016" s="115" t="str">
        <x:v>À équilibrer</x:v>
      </x:c>
      <x:c r="J3016" s="115" t="str">
        <x:v>Non</x:v>
      </x:c>
      <x:c r="K3016" s="115" t="str">
        <x:v>Pièces décrites, murs, portes, niveaux et mobilier inspectables à l’échelle. Volumes réservés, raccord au seed, butin, rencontres et services de campagne restent à terminer.</x:v>
      </x:c>
    </x:row>
    <x:row r="3017" ht="96" customHeight="1">
      <x:c r="A3017" s="115" t="str">
        <x:v>EXT-MONDE-T061-V12</x:v>
      </x:c>
      <x:c r="B3017" s="115" t="str">
        <x:v>EXT-MONDE-T061</x:v>
      </x:c>
      <x:c r="C3017" s="115" t="str">
        <x:v>Épuration</x:v>
      </x:c>
      <x:c r="D3017" s="115" t="str">
        <x:v>Station d’épuration urbaine</x:v>
      </x:c>
      <x:c r="E3017" s="115" t="n">
        <x:v>12</x:v>
      </x:c>
      <x:c r="F3017" s="115" t="str">
        <x:v>Inspection physique</x:v>
      </x:c>
      <x:c r="G3017" s="115" t="str">
        <x:v>1 niveaux ; 22 pièces ; 167 segments de mur ; 0 transitions. Inspection physique ; architecture complète encore ouverte.</x:v>
      </x:c>
      <x:c r="H3017" s="115" t="str">
        <x:v>L 448 ; l 460 ; hauteur 12 m ; choix de composition auteur ; dimensions réelles à documenter</x:v>
      </x:c>
      <x:c r="I3017" s="115" t="str">
        <x:v>À équilibrer</x:v>
      </x:c>
      <x:c r="J3017" s="115" t="str">
        <x:v>Non</x:v>
      </x:c>
      <x:c r="K3017" s="115" t="str">
        <x:v>Pièces décrites, murs, portes, niveaux et mobilier inspectables à l’échelle. Volumes réservés, raccord au seed, butin, rencontres et services de campagne restent à terminer.</x:v>
      </x:c>
    </x:row>
    <x:row r="3018" ht="96" customHeight="1">
      <x:c r="A3018" s="115" t="str">
        <x:v>EXT-MONDE-T061-V13</x:v>
      </x:c>
      <x:c r="B3018" s="115" t="str">
        <x:v>EXT-MONDE-T061</x:v>
      </x:c>
      <x:c r="C3018" s="115" t="str">
        <x:v>Épuration</x:v>
      </x:c>
      <x:c r="D3018" s="115" t="str">
        <x:v>Station d’épuration urbaine</x:v>
      </x:c>
      <x:c r="E3018" s="115" t="n">
        <x:v>13</x:v>
      </x:c>
      <x:c r="F3018" s="115" t="str">
        <x:v>Inspection physique</x:v>
      </x:c>
      <x:c r="G3018" s="115" t="str">
        <x:v>1 niveaux ; 22 pièces ; 167 segments de mur ; 0 transitions. Inspection physique ; architecture complète encore ouverte.</x:v>
      </x:c>
      <x:c r="H3018" s="115" t="str">
        <x:v>L 448 ; l 460 ; hauteur 12 m ; choix de composition auteur ; dimensions réelles à documenter</x:v>
      </x:c>
      <x:c r="I3018" s="115" t="str">
        <x:v>À équilibrer</x:v>
      </x:c>
      <x:c r="J3018" s="115" t="str">
        <x:v>Non</x:v>
      </x:c>
      <x:c r="K3018" s="115" t="str">
        <x:v>Pièces décrites, murs, portes, niveaux et mobilier inspectables à l’échelle. Volumes réservés, raccord au seed, butin, rencontres et services de campagne restent à terminer.</x:v>
      </x:c>
    </x:row>
    <x:row r="3019" ht="96" customHeight="1">
      <x:c r="A3019" s="115" t="str">
        <x:v>EXT-MONDE-T061-V14</x:v>
      </x:c>
      <x:c r="B3019" s="115" t="str">
        <x:v>EXT-MONDE-T061</x:v>
      </x:c>
      <x:c r="C3019" s="115" t="str">
        <x:v>Épuration</x:v>
      </x:c>
      <x:c r="D3019" s="115" t="str">
        <x:v>Station d’épuration urbaine</x:v>
      </x:c>
      <x:c r="E3019" s="115" t="n">
        <x:v>14</x:v>
      </x:c>
      <x:c r="F3019" s="115" t="str">
        <x:v>Inspection physique</x:v>
      </x:c>
      <x:c r="G3019" s="115" t="str">
        <x:v>1 niveaux ; 22 pièces ; 167 segments de mur ; 0 transitions. Inspection physique ; architecture complète encore ouverte.</x:v>
      </x:c>
      <x:c r="H3019" s="115" t="str">
        <x:v>L 448 ; l 460 ; hauteur 12 m ; choix de composition auteur ; dimensions réelles à documenter</x:v>
      </x:c>
      <x:c r="I3019" s="115" t="str">
        <x:v>À équilibrer</x:v>
      </x:c>
      <x:c r="J3019" s="115" t="str">
        <x:v>Non</x:v>
      </x:c>
      <x:c r="K3019" s="115" t="str">
        <x:v>Pièces décrites, murs, portes, niveaux et mobilier inspectables à l’échelle. Volumes réservés, raccord au seed, butin, rencontres et services de campagne restent à terminer.</x:v>
      </x:c>
    </x:row>
    <x:row r="3020" ht="96" customHeight="1">
      <x:c r="A3020" s="115" t="str">
        <x:v>EXT-MONDE-T061-V15</x:v>
      </x:c>
      <x:c r="B3020" s="115" t="str">
        <x:v>EXT-MONDE-T061</x:v>
      </x:c>
      <x:c r="C3020" s="115" t="str">
        <x:v>Épuration</x:v>
      </x:c>
      <x:c r="D3020" s="115" t="str">
        <x:v>Station d’épuration urbaine</x:v>
      </x:c>
      <x:c r="E3020" s="115" t="n">
        <x:v>15</x:v>
      </x:c>
      <x:c r="F3020" s="115" t="str">
        <x:v>Inspection physique</x:v>
      </x:c>
      <x:c r="G3020" s="115" t="str">
        <x:v>1 niveaux ; 22 pièces ; 167 segments de mur ; 0 transitions. Inspection physique ; architecture complète encore ouverte.</x:v>
      </x:c>
      <x:c r="H3020" s="115" t="str">
        <x:v>L 448 ; l 460 ; hauteur 12 m ; choix de composition auteur ; dimensions réelles à documenter</x:v>
      </x:c>
      <x:c r="I3020" s="115" t="str">
        <x:v>À équilibrer</x:v>
      </x:c>
      <x:c r="J3020" s="115" t="str">
        <x:v>Non</x:v>
      </x:c>
      <x:c r="K3020" s="115" t="str">
        <x:v>Pièces décrites, murs, portes, niveaux et mobilier inspectables à l’échelle. Volumes réservés, raccord au seed, butin, rencontres et services de campagne restent à terminer.</x:v>
      </x:c>
    </x:row>
    <x:row r="3021" ht="96" customHeight="1">
      <x:c r="A3021" s="115" t="str">
        <x:v>EXT-MONDE-T061-V16</x:v>
      </x:c>
      <x:c r="B3021" s="115" t="str">
        <x:v>EXT-MONDE-T061</x:v>
      </x:c>
      <x:c r="C3021" s="115" t="str">
        <x:v>Épuration</x:v>
      </x:c>
      <x:c r="D3021" s="115" t="str">
        <x:v>Station d’épuration urbaine</x:v>
      </x:c>
      <x:c r="E3021" s="115" t="n">
        <x:v>16</x:v>
      </x:c>
      <x:c r="F3021" s="115" t="str">
        <x:v>Inspection physique</x:v>
      </x:c>
      <x:c r="G3021" s="115" t="str">
        <x:v>1 niveaux ; 22 pièces ; 167 segments de mur ; 0 transitions. Inspection physique ; architecture complète encore ouverte.</x:v>
      </x:c>
      <x:c r="H3021" s="115" t="str">
        <x:v>L 448 ; l 460 ; hauteur 12 m ; choix de composition auteur ; dimensions réelles à documenter</x:v>
      </x:c>
      <x:c r="I3021" s="115" t="str">
        <x:v>À équilibrer</x:v>
      </x:c>
      <x:c r="J3021" s="115" t="str">
        <x:v>Non</x:v>
      </x:c>
      <x:c r="K3021" s="115" t="str">
        <x:v>Pièces décrites, murs, portes, niveaux et mobilier inspectables à l’échelle. Volumes réservés, raccord au seed, butin, rencontres et services de campagne restent à terminer.</x:v>
      </x:c>
    </x:row>
    <x:row r="3022" ht="96" customHeight="1">
      <x:c r="A3022" s="115" t="str">
        <x:v>EXT-MONDE-T061-V17</x:v>
      </x:c>
      <x:c r="B3022" s="115" t="str">
        <x:v>EXT-MONDE-T061</x:v>
      </x:c>
      <x:c r="C3022" s="115" t="str">
        <x:v>Épuration</x:v>
      </x:c>
      <x:c r="D3022" s="115" t="str">
        <x:v>Station d’épuration urbaine</x:v>
      </x:c>
      <x:c r="E3022" s="115" t="n">
        <x:v>17</x:v>
      </x:c>
      <x:c r="F3022" s="115" t="str">
        <x:v>Inspection physique</x:v>
      </x:c>
      <x:c r="G3022" s="115" t="str">
        <x:v>1 niveaux ; 22 pièces ; 167 segments de mur ; 0 transitions. Inspection physique ; architecture complète encore ouverte.</x:v>
      </x:c>
      <x:c r="H3022" s="115" t="str">
        <x:v>L 448 ; l 460 ; hauteur 12 m ; choix de composition auteur ; dimensions réelles à documenter</x:v>
      </x:c>
      <x:c r="I3022" s="115" t="str">
        <x:v>À équilibrer</x:v>
      </x:c>
      <x:c r="J3022" s="115" t="str">
        <x:v>Non</x:v>
      </x:c>
      <x:c r="K3022" s="115" t="str">
        <x:v>Pièces décrites, murs, portes, niveaux et mobilier inspectables à l’échelle. Volumes réservés, raccord au seed, butin, rencontres et services de campagne restent à terminer.</x:v>
      </x:c>
    </x:row>
    <x:row r="3023" ht="96" customHeight="1">
      <x:c r="A3023" s="115" t="str">
        <x:v>EXT-MONDE-T061-V18</x:v>
      </x:c>
      <x:c r="B3023" s="115" t="str">
        <x:v>EXT-MONDE-T061</x:v>
      </x:c>
      <x:c r="C3023" s="115" t="str">
        <x:v>Épuration</x:v>
      </x:c>
      <x:c r="D3023" s="115" t="str">
        <x:v>Station d’épuration urbaine</x:v>
      </x:c>
      <x:c r="E3023" s="115" t="n">
        <x:v>18</x:v>
      </x:c>
      <x:c r="F3023" s="115" t="str">
        <x:v>Inspection physique</x:v>
      </x:c>
      <x:c r="G3023" s="115" t="str">
        <x:v>1 niveaux ; 22 pièces ; 167 segments de mur ; 0 transitions. Inspection physique ; architecture complète encore ouverte.</x:v>
      </x:c>
      <x:c r="H3023" s="115" t="str">
        <x:v>L 448 ; l 460 ; hauteur 12 m ; choix de composition auteur ; dimensions réelles à documenter</x:v>
      </x:c>
      <x:c r="I3023" s="115" t="str">
        <x:v>À équilibrer</x:v>
      </x:c>
      <x:c r="J3023" s="115" t="str">
        <x:v>Non</x:v>
      </x:c>
      <x:c r="K3023" s="115" t="str">
        <x:v>Pièces décrites, murs, portes, niveaux et mobilier inspectables à l’échelle. Volumes réservés, raccord au seed, butin, rencontres et services de campagne restent à terminer.</x:v>
      </x:c>
    </x:row>
    <x:row r="3024" ht="96" customHeight="1">
      <x:c r="A3024" s="115" t="str">
        <x:v>EXT-MONDE-T061-V19</x:v>
      </x:c>
      <x:c r="B3024" s="115" t="str">
        <x:v>EXT-MONDE-T061</x:v>
      </x:c>
      <x:c r="C3024" s="115" t="str">
        <x:v>Épuration</x:v>
      </x:c>
      <x:c r="D3024" s="115" t="str">
        <x:v>Station d’épuration urbaine</x:v>
      </x:c>
      <x:c r="E3024" s="115" t="n">
        <x:v>19</x:v>
      </x:c>
      <x:c r="F3024" s="115" t="str">
        <x:v>Inspection physique</x:v>
      </x:c>
      <x:c r="G3024" s="115" t="str">
        <x:v>1 niveaux ; 22 pièces ; 167 segments de mur ; 0 transitions. Inspection physique ; architecture complète encore ouverte.</x:v>
      </x:c>
      <x:c r="H3024" s="115" t="str">
        <x:v>L 448 ; l 460 ; hauteur 12 m ; choix de composition auteur ; dimensions réelles à documenter</x:v>
      </x:c>
      <x:c r="I3024" s="115" t="str">
        <x:v>À équilibrer</x:v>
      </x:c>
      <x:c r="J3024" s="115" t="str">
        <x:v>Non</x:v>
      </x:c>
      <x:c r="K3024" s="115" t="str">
        <x:v>Pièces décrites, murs, portes, niveaux et mobilier inspectables à l’échelle. Volumes réservés, raccord au seed, butin, rencontres et services de campagne restent à terminer.</x:v>
      </x:c>
    </x:row>
    <x:row r="3025" ht="96" customHeight="1">
      <x:c r="A3025" s="115" t="str">
        <x:v>EXT-MONDE-T061-V20</x:v>
      </x:c>
      <x:c r="B3025" s="115" t="str">
        <x:v>EXT-MONDE-T061</x:v>
      </x:c>
      <x:c r="C3025" s="115" t="str">
        <x:v>Épuration</x:v>
      </x:c>
      <x:c r="D3025" s="115" t="str">
        <x:v>Station d’épuration urbaine</x:v>
      </x:c>
      <x:c r="E3025" s="115" t="n">
        <x:v>20</x:v>
      </x:c>
      <x:c r="F3025" s="115" t="str">
        <x:v>Inspection physique</x:v>
      </x:c>
      <x:c r="G3025" s="115" t="str">
        <x:v>1 niveaux ; 22 pièces ; 167 segments de mur ; 0 transitions. Inspection physique ; architecture complète encore ouverte.</x:v>
      </x:c>
      <x:c r="H3025" s="115" t="str">
        <x:v>L 448 ; l 460 ; hauteur 12 m ; choix de composition auteur ; dimensions réelles à documenter</x:v>
      </x:c>
      <x:c r="I3025" s="115" t="str">
        <x:v>À équilibrer</x:v>
      </x:c>
      <x:c r="J3025" s="115" t="str">
        <x:v>Non</x:v>
      </x:c>
      <x:c r="K3025" s="115" t="str">
        <x:v>Pièces décrites, murs, portes, niveaux et mobilier inspectables à l’échelle. Volumes réservés, raccord au seed, butin, rencontres et services de campagne restent à terminer.</x:v>
      </x:c>
    </x:row>
    <x:row r="3026" ht="96" customHeight="1">
      <x:c r="A3026" s="115" t="str">
        <x:v>EXT-MONDE-T061-V21</x:v>
      </x:c>
      <x:c r="B3026" s="115" t="str">
        <x:v>EXT-MONDE-T061</x:v>
      </x:c>
      <x:c r="C3026" s="115" t="str">
        <x:v>Épuration</x:v>
      </x:c>
      <x:c r="D3026" s="115" t="str">
        <x:v>Station d’épuration urbaine</x:v>
      </x:c>
      <x:c r="E3026" s="115" t="n">
        <x:v>21</x:v>
      </x:c>
      <x:c r="F3026" s="115" t="str">
        <x:v>Inspection physique</x:v>
      </x:c>
      <x:c r="G3026" s="115" t="str">
        <x:v>1 niveaux ; 22 pièces ; 167 segments de mur ; 0 transitions. Inspection physique ; architecture complète encore ouverte.</x:v>
      </x:c>
      <x:c r="H3026" s="115" t="str">
        <x:v>L 466 ; l 480 ; hauteur 12 m ; choix de composition auteur ; dimensions réelles à documenter</x:v>
      </x:c>
      <x:c r="I3026" s="115" t="str">
        <x:v>À équilibrer</x:v>
      </x:c>
      <x:c r="J3026" s="115" t="str">
        <x:v>Non</x:v>
      </x:c>
      <x:c r="K3026" s="115" t="str">
        <x:v>Pièces décrites, murs, portes, niveaux et mobilier inspectables à l’échelle. Volumes réservés, raccord au seed, butin, rencontres et services de campagne restent à terminer.</x:v>
      </x:c>
    </x:row>
    <x:row r="3027" ht="96" customHeight="1">
      <x:c r="A3027" s="115" t="str">
        <x:v>EXT-MONDE-T061-V22</x:v>
      </x:c>
      <x:c r="B3027" s="115" t="str">
        <x:v>EXT-MONDE-T061</x:v>
      </x:c>
      <x:c r="C3027" s="115" t="str">
        <x:v>Épuration</x:v>
      </x:c>
      <x:c r="D3027" s="115" t="str">
        <x:v>Station d’épuration urbaine</x:v>
      </x:c>
      <x:c r="E3027" s="115" t="n">
        <x:v>22</x:v>
      </x:c>
      <x:c r="F3027" s="115" t="str">
        <x:v>Inspection physique</x:v>
      </x:c>
      <x:c r="G3027" s="115" t="str">
        <x:v>1 niveaux ; 22 pièces ; 167 segments de mur ; 0 transitions. Inspection physique ; architecture complète encore ouverte.</x:v>
      </x:c>
      <x:c r="H3027" s="115" t="str">
        <x:v>L 466 ; l 480 ; hauteur 12 m ; choix de composition auteur ; dimensions réelles à documenter</x:v>
      </x:c>
      <x:c r="I3027" s="115" t="str">
        <x:v>À équilibrer</x:v>
      </x:c>
      <x:c r="J3027" s="115" t="str">
        <x:v>Non</x:v>
      </x:c>
      <x:c r="K3027" s="115" t="str">
        <x:v>Pièces décrites, murs, portes, niveaux et mobilier inspectables à l’échelle. Volumes réservés, raccord au seed, butin, rencontres et services de campagne restent à terminer.</x:v>
      </x:c>
    </x:row>
    <x:row r="3028" ht="96" customHeight="1">
      <x:c r="A3028" s="115" t="str">
        <x:v>EXT-MONDE-T061-V23</x:v>
      </x:c>
      <x:c r="B3028" s="115" t="str">
        <x:v>EXT-MONDE-T061</x:v>
      </x:c>
      <x:c r="C3028" s="115" t="str">
        <x:v>Épuration</x:v>
      </x:c>
      <x:c r="D3028" s="115" t="str">
        <x:v>Station d’épuration urbaine</x:v>
      </x:c>
      <x:c r="E3028" s="115" t="n">
        <x:v>23</x:v>
      </x:c>
      <x:c r="F3028" s="115" t="str">
        <x:v>Inspection physique</x:v>
      </x:c>
      <x:c r="G3028" s="115" t="str">
        <x:v>1 niveaux ; 22 pièces ; 167 segments de mur ; 0 transitions. Inspection physique ; architecture complète encore ouverte.</x:v>
      </x:c>
      <x:c r="H3028" s="115" t="str">
        <x:v>L 466 ; l 480 ; hauteur 12 m ; choix de composition auteur ; dimensions réelles à documenter</x:v>
      </x:c>
      <x:c r="I3028" s="115" t="str">
        <x:v>À équilibrer</x:v>
      </x:c>
      <x:c r="J3028" s="115" t="str">
        <x:v>Non</x:v>
      </x:c>
      <x:c r="K3028" s="115" t="str">
        <x:v>Pièces décrites, murs, portes, niveaux et mobilier inspectables à l’échelle. Volumes réservés, raccord au seed, butin, rencontres et services de campagne restent à terminer.</x:v>
      </x:c>
    </x:row>
    <x:row r="3029" ht="96" customHeight="1">
      <x:c r="A3029" s="115" t="str">
        <x:v>EXT-MONDE-T061-V24</x:v>
      </x:c>
      <x:c r="B3029" s="115" t="str">
        <x:v>EXT-MONDE-T061</x:v>
      </x:c>
      <x:c r="C3029" s="115" t="str">
        <x:v>Épuration</x:v>
      </x:c>
      <x:c r="D3029" s="115" t="str">
        <x:v>Station d’épuration urbaine</x:v>
      </x:c>
      <x:c r="E3029" s="115" t="n">
        <x:v>24</x:v>
      </x:c>
      <x:c r="F3029" s="115" t="str">
        <x:v>Inspection physique</x:v>
      </x:c>
      <x:c r="G3029" s="115" t="str">
        <x:v>1 niveaux ; 22 pièces ; 167 segments de mur ; 0 transitions. Inspection physique ; architecture complète encore ouverte.</x:v>
      </x:c>
      <x:c r="H3029" s="115" t="str">
        <x:v>L 466 ; l 480 ; hauteur 12 m ; choix de composition auteur ; dimensions réelles à documenter</x:v>
      </x:c>
      <x:c r="I3029" s="115" t="str">
        <x:v>À équilibrer</x:v>
      </x:c>
      <x:c r="J3029" s="115" t="str">
        <x:v>Non</x:v>
      </x:c>
      <x:c r="K3029" s="115" t="str">
        <x:v>Pièces décrites, murs, portes, niveaux et mobilier inspectables à l’échelle. Volumes réservés, raccord au seed, butin, rencontres et services de campagne restent à terminer.</x:v>
      </x:c>
    </x:row>
    <x:row r="3030" ht="96" customHeight="1">
      <x:c r="A3030" s="115" t="str">
        <x:v>EXT-MONDE-T061-V25</x:v>
      </x:c>
      <x:c r="B3030" s="115" t="str">
        <x:v>EXT-MONDE-T061</x:v>
      </x:c>
      <x:c r="C3030" s="115" t="str">
        <x:v>Épuration</x:v>
      </x:c>
      <x:c r="D3030" s="115" t="str">
        <x:v>Station d’épuration urbaine</x:v>
      </x:c>
      <x:c r="E3030" s="115" t="n">
        <x:v>25</x:v>
      </x:c>
      <x:c r="F3030" s="115" t="str">
        <x:v>Inspection physique</x:v>
      </x:c>
      <x:c r="G3030" s="115" t="str">
        <x:v>1 niveaux ; 22 pièces ; 167 segments de mur ; 0 transitions. Inspection physique ; architecture complète encore ouverte.</x:v>
      </x:c>
      <x:c r="H3030" s="115" t="str">
        <x:v>L 466 ; l 480 ; hauteur 12 m ; choix de composition auteur ; dimensions réelles à documenter</x:v>
      </x:c>
      <x:c r="I3030" s="115" t="str">
        <x:v>À équilibrer</x:v>
      </x:c>
      <x:c r="J3030" s="115" t="str">
        <x:v>Non</x:v>
      </x:c>
      <x:c r="K3030" s="115" t="str">
        <x:v>Pièces décrites, murs, portes, niveaux et mobilier inspectables à l’échelle. Volumes réservés, raccord au seed, butin, rencontres et services de campagne restent à terminer.</x:v>
      </x:c>
    </x:row>
    <x:row r="3031" ht="96" customHeight="1">
      <x:c r="A3031" s="115" t="str">
        <x:v>EXT-MONDE-T061-V26</x:v>
      </x:c>
      <x:c r="B3031" s="115" t="str">
        <x:v>EXT-MONDE-T061</x:v>
      </x:c>
      <x:c r="C3031" s="115" t="str">
        <x:v>Épuration</x:v>
      </x:c>
      <x:c r="D3031" s="115" t="str">
        <x:v>Station d’épuration urbaine</x:v>
      </x:c>
      <x:c r="E3031" s="115" t="n">
        <x:v>26</x:v>
      </x:c>
      <x:c r="F3031" s="115" t="str">
        <x:v>Inspection physique</x:v>
      </x:c>
      <x:c r="G3031" s="115" t="str">
        <x:v>1 niveaux ; 22 pièces ; 167 segments de mur ; 0 transitions. Inspection physique ; architecture complète encore ouverte.</x:v>
      </x:c>
      <x:c r="H3031" s="115" t="str">
        <x:v>L 466 ; l 480 ; hauteur 12 m ; choix de composition auteur ; dimensions réelles à documenter</x:v>
      </x:c>
      <x:c r="I3031" s="115" t="str">
        <x:v>À équilibrer</x:v>
      </x:c>
      <x:c r="J3031" s="115" t="str">
        <x:v>Non</x:v>
      </x:c>
      <x:c r="K3031" s="115" t="str">
        <x:v>Pièces décrites, murs, portes, niveaux et mobilier inspectables à l’échelle. Volumes réservés, raccord au seed, butin, rencontres et services de campagne restent à terminer.</x:v>
      </x:c>
    </x:row>
    <x:row r="3032" ht="96" customHeight="1">
      <x:c r="A3032" s="115" t="str">
        <x:v>EXT-MONDE-T061-V27</x:v>
      </x:c>
      <x:c r="B3032" s="115" t="str">
        <x:v>EXT-MONDE-T061</x:v>
      </x:c>
      <x:c r="C3032" s="115" t="str">
        <x:v>Épuration</x:v>
      </x:c>
      <x:c r="D3032" s="115" t="str">
        <x:v>Station d’épuration urbaine</x:v>
      </x:c>
      <x:c r="E3032" s="115" t="n">
        <x:v>27</x:v>
      </x:c>
      <x:c r="F3032" s="115" t="str">
        <x:v>Inspection physique</x:v>
      </x:c>
      <x:c r="G3032" s="115" t="str">
        <x:v>1 niveaux ; 22 pièces ; 167 segments de mur ; 0 transitions. Inspection physique ; architecture complète encore ouverte.</x:v>
      </x:c>
      <x:c r="H3032" s="115" t="str">
        <x:v>L 466 ; l 480 ; hauteur 12 m ; choix de composition auteur ; dimensions réelles à documenter</x:v>
      </x:c>
      <x:c r="I3032" s="115" t="str">
        <x:v>À équilibrer</x:v>
      </x:c>
      <x:c r="J3032" s="115" t="str">
        <x:v>Non</x:v>
      </x:c>
      <x:c r="K3032" s="115" t="str">
        <x:v>Pièces décrites, murs, portes, niveaux et mobilier inspectables à l’échelle. Volumes réservés, raccord au seed, butin, rencontres et services de campagne restent à terminer.</x:v>
      </x:c>
    </x:row>
    <x:row r="3033" ht="96" customHeight="1">
      <x:c r="A3033" s="115" t="str">
        <x:v>EXT-MONDE-T061-V28</x:v>
      </x:c>
      <x:c r="B3033" s="115" t="str">
        <x:v>EXT-MONDE-T061</x:v>
      </x:c>
      <x:c r="C3033" s="115" t="str">
        <x:v>Épuration</x:v>
      </x:c>
      <x:c r="D3033" s="115" t="str">
        <x:v>Station d’épuration urbaine</x:v>
      </x:c>
      <x:c r="E3033" s="115" t="n">
        <x:v>28</x:v>
      </x:c>
      <x:c r="F3033" s="115" t="str">
        <x:v>Inspection physique</x:v>
      </x:c>
      <x:c r="G3033" s="115" t="str">
        <x:v>1 niveaux ; 22 pièces ; 167 segments de mur ; 0 transitions. Inspection physique ; architecture complète encore ouverte.</x:v>
      </x:c>
      <x:c r="H3033" s="115" t="str">
        <x:v>L 466 ; l 480 ; hauteur 12 m ; choix de composition auteur ; dimensions réelles à documenter</x:v>
      </x:c>
      <x:c r="I3033" s="115" t="str">
        <x:v>À équilibrer</x:v>
      </x:c>
      <x:c r="J3033" s="115" t="str">
        <x:v>Non</x:v>
      </x:c>
      <x:c r="K3033" s="115" t="str">
        <x:v>Pièces décrites, murs, portes, niveaux et mobilier inspectables à l’échelle. Volumes réservés, raccord au seed, butin, rencontres et services de campagne restent à terminer.</x:v>
      </x:c>
    </x:row>
    <x:row r="3034" ht="96" customHeight="1">
      <x:c r="A3034" s="115" t="str">
        <x:v>EXT-MONDE-T061-V29</x:v>
      </x:c>
      <x:c r="B3034" s="115" t="str">
        <x:v>EXT-MONDE-T061</x:v>
      </x:c>
      <x:c r="C3034" s="115" t="str">
        <x:v>Épuration</x:v>
      </x:c>
      <x:c r="D3034" s="115" t="str">
        <x:v>Station d’épuration urbaine</x:v>
      </x:c>
      <x:c r="E3034" s="115" t="n">
        <x:v>29</x:v>
      </x:c>
      <x:c r="F3034" s="115" t="str">
        <x:v>Inspection physique</x:v>
      </x:c>
      <x:c r="G3034" s="115" t="str">
        <x:v>1 niveaux ; 22 pièces ; 167 segments de mur ; 0 transitions. Inspection physique ; architecture complète encore ouverte.</x:v>
      </x:c>
      <x:c r="H3034" s="115" t="str">
        <x:v>L 466 ; l 480 ; hauteur 12 m ; choix de composition auteur ; dimensions réelles à documenter</x:v>
      </x:c>
      <x:c r="I3034" s="115" t="str">
        <x:v>À équilibrer</x:v>
      </x:c>
      <x:c r="J3034" s="115" t="str">
        <x:v>Non</x:v>
      </x:c>
      <x:c r="K3034" s="115" t="str">
        <x:v>Pièces décrites, murs, portes, niveaux et mobilier inspectables à l’échelle. Volumes réservés, raccord au seed, butin, rencontres et services de campagne restent à terminer.</x:v>
      </x:c>
    </x:row>
    <x:row r="3035" ht="96" customHeight="1">
      <x:c r="A3035" s="115" t="str">
        <x:v>EXT-MONDE-T061-V30</x:v>
      </x:c>
      <x:c r="B3035" s="115" t="str">
        <x:v>EXT-MONDE-T061</x:v>
      </x:c>
      <x:c r="C3035" s="115" t="str">
        <x:v>Épuration</x:v>
      </x:c>
      <x:c r="D3035" s="115" t="str">
        <x:v>Station d’épuration urbaine</x:v>
      </x:c>
      <x:c r="E3035" s="115" t="n">
        <x:v>30</x:v>
      </x:c>
      <x:c r="F3035" s="115" t="str">
        <x:v>Inspection physique</x:v>
      </x:c>
      <x:c r="G3035" s="115" t="str">
        <x:v>1 niveaux ; 22 pièces ; 167 segments de mur ; 0 transitions. Inspection physique ; architecture complète encore ouverte.</x:v>
      </x:c>
      <x:c r="H3035" s="115" t="str">
        <x:v>L 466 ; l 480 ; hauteur 12 m ; choix de composition auteur ; dimensions réelles à documenter</x:v>
      </x:c>
      <x:c r="I3035" s="115" t="str">
        <x:v>À équilibrer</x:v>
      </x:c>
      <x:c r="J3035" s="115" t="str">
        <x:v>Non</x:v>
      </x:c>
      <x:c r="K3035" s="115" t="str">
        <x:v>Pièces décrites, murs, portes, niveaux et mobilier inspectables à l’échelle. Volumes réservés, raccord au seed, butin, rencontres et services de campagne restent à terminer.</x:v>
      </x:c>
    </x:row>
    <x:row r="3036" ht="96" customHeight="1">
      <x:c r="A3036" s="115" t="str">
        <x:v>EXT-MONDE-T061-V31</x:v>
      </x:c>
      <x:c r="B3036" s="115" t="str">
        <x:v>EXT-MONDE-T061</x:v>
      </x:c>
      <x:c r="C3036" s="115" t="str">
        <x:v>Épuration</x:v>
      </x:c>
      <x:c r="D3036" s="115" t="str">
        <x:v>Station d’épuration urbaine</x:v>
      </x:c>
      <x:c r="E3036" s="115" t="n">
        <x:v>31</x:v>
      </x:c>
      <x:c r="F3036" s="115" t="str">
        <x:v>Inspection physique</x:v>
      </x:c>
      <x:c r="G3036" s="115" t="str">
        <x:v>1 niveaux ; 22 pièces ; 167 segments de mur ; 0 transitions. Inspection physique ; architecture complète encore ouverte.</x:v>
      </x:c>
      <x:c r="H3036" s="115" t="str">
        <x:v>L 484 ; l 500 ; hauteur 12 m ; choix de composition auteur ; dimensions réelles à documenter</x:v>
      </x:c>
      <x:c r="I3036" s="115" t="str">
        <x:v>À équilibrer</x:v>
      </x:c>
      <x:c r="J3036" s="115" t="str">
        <x:v>Non</x:v>
      </x:c>
      <x:c r="K3036" s="115" t="str">
        <x:v>Pièces décrites, murs, portes, niveaux et mobilier inspectables à l’échelle. Volumes réservés, raccord au seed, butin, rencontres et services de campagne restent à terminer.</x:v>
      </x:c>
    </x:row>
    <x:row r="3037" ht="96" customHeight="1">
      <x:c r="A3037" s="115" t="str">
        <x:v>EXT-MONDE-T061-V32</x:v>
      </x:c>
      <x:c r="B3037" s="115" t="str">
        <x:v>EXT-MONDE-T061</x:v>
      </x:c>
      <x:c r="C3037" s="115" t="str">
        <x:v>Épuration</x:v>
      </x:c>
      <x:c r="D3037" s="115" t="str">
        <x:v>Station d’épuration urbaine</x:v>
      </x:c>
      <x:c r="E3037" s="115" t="n">
        <x:v>32</x:v>
      </x:c>
      <x:c r="F3037" s="115" t="str">
        <x:v>Inspection physique</x:v>
      </x:c>
      <x:c r="G3037" s="115" t="str">
        <x:v>1 niveaux ; 22 pièces ; 167 segments de mur ; 0 transitions. Inspection physique ; architecture complète encore ouverte.</x:v>
      </x:c>
      <x:c r="H3037" s="115" t="str">
        <x:v>L 484 ; l 500 ; hauteur 12 m ; choix de composition auteur ; dimensions réelles à documenter</x:v>
      </x:c>
      <x:c r="I3037" s="115" t="str">
        <x:v>À équilibrer</x:v>
      </x:c>
      <x:c r="J3037" s="115" t="str">
        <x:v>Non</x:v>
      </x:c>
      <x:c r="K3037" s="115" t="str">
        <x:v>Pièces décrites, murs, portes, niveaux et mobilier inspectables à l’échelle. Volumes réservés, raccord au seed, butin, rencontres et services de campagne restent à terminer.</x:v>
      </x:c>
    </x:row>
    <x:row r="3038" ht="96" customHeight="1">
      <x:c r="A3038" s="115" t="str">
        <x:v>EXT-MONDE-T061-V33</x:v>
      </x:c>
      <x:c r="B3038" s="115" t="str">
        <x:v>EXT-MONDE-T061</x:v>
      </x:c>
      <x:c r="C3038" s="115" t="str">
        <x:v>Épuration</x:v>
      </x:c>
      <x:c r="D3038" s="115" t="str">
        <x:v>Station d’épuration urbaine</x:v>
      </x:c>
      <x:c r="E3038" s="115" t="n">
        <x:v>33</x:v>
      </x:c>
      <x:c r="F3038" s="115" t="str">
        <x:v>Inspection physique</x:v>
      </x:c>
      <x:c r="G3038" s="115" t="str">
        <x:v>1 niveaux ; 22 pièces ; 167 segments de mur ; 0 transitions. Inspection physique ; architecture complète encore ouverte.</x:v>
      </x:c>
      <x:c r="H3038" s="115" t="str">
        <x:v>L 484 ; l 500 ; hauteur 12 m ; choix de composition auteur ; dimensions réelles à documenter</x:v>
      </x:c>
      <x:c r="I3038" s="115" t="str">
        <x:v>À équilibrer</x:v>
      </x:c>
      <x:c r="J3038" s="115" t="str">
        <x:v>Non</x:v>
      </x:c>
      <x:c r="K3038" s="115" t="str">
        <x:v>Pièces décrites, murs, portes, niveaux et mobilier inspectables à l’échelle. Volumes réservés, raccord au seed, butin, rencontres et services de campagne restent à terminer.</x:v>
      </x:c>
    </x:row>
    <x:row r="3039" ht="96" customHeight="1">
      <x:c r="A3039" s="115" t="str">
        <x:v>EXT-MONDE-T061-V34</x:v>
      </x:c>
      <x:c r="B3039" s="115" t="str">
        <x:v>EXT-MONDE-T061</x:v>
      </x:c>
      <x:c r="C3039" s="115" t="str">
        <x:v>Épuration</x:v>
      </x:c>
      <x:c r="D3039" s="115" t="str">
        <x:v>Station d’épuration urbaine</x:v>
      </x:c>
      <x:c r="E3039" s="115" t="n">
        <x:v>34</x:v>
      </x:c>
      <x:c r="F3039" s="115" t="str">
        <x:v>Inspection physique</x:v>
      </x:c>
      <x:c r="G3039" s="115" t="str">
        <x:v>1 niveaux ; 22 pièces ; 167 segments de mur ; 0 transitions. Inspection physique ; architecture complète encore ouverte.</x:v>
      </x:c>
      <x:c r="H3039" s="115" t="str">
        <x:v>L 484 ; l 500 ; hauteur 12 m ; choix de composition auteur ; dimensions réelles à documenter</x:v>
      </x:c>
      <x:c r="I3039" s="115" t="str">
        <x:v>À équilibrer</x:v>
      </x:c>
      <x:c r="J3039" s="115" t="str">
        <x:v>Non</x:v>
      </x:c>
      <x:c r="K3039" s="115" t="str">
        <x:v>Pièces décrites, murs, portes, niveaux et mobilier inspectables à l’échelle. Volumes réservés, raccord au seed, butin, rencontres et services de campagne restent à terminer.</x:v>
      </x:c>
    </x:row>
    <x:row r="3040" ht="96" customHeight="1">
      <x:c r="A3040" s="115" t="str">
        <x:v>EXT-MONDE-T061-V35</x:v>
      </x:c>
      <x:c r="B3040" s="115" t="str">
        <x:v>EXT-MONDE-T061</x:v>
      </x:c>
      <x:c r="C3040" s="115" t="str">
        <x:v>Épuration</x:v>
      </x:c>
      <x:c r="D3040" s="115" t="str">
        <x:v>Station d’épuration urbaine</x:v>
      </x:c>
      <x:c r="E3040" s="115" t="n">
        <x:v>35</x:v>
      </x:c>
      <x:c r="F3040" s="115" t="str">
        <x:v>Inspection physique</x:v>
      </x:c>
      <x:c r="G3040" s="115" t="str">
        <x:v>1 niveaux ; 22 pièces ; 167 segments de mur ; 0 transitions. Inspection physique ; architecture complète encore ouverte.</x:v>
      </x:c>
      <x:c r="H3040" s="115" t="str">
        <x:v>L 484 ; l 500 ; hauteur 12 m ; choix de composition auteur ; dimensions réelles à documenter</x:v>
      </x:c>
      <x:c r="I3040" s="115" t="str">
        <x:v>À équilibrer</x:v>
      </x:c>
      <x:c r="J3040" s="115" t="str">
        <x:v>Non</x:v>
      </x:c>
      <x:c r="K3040" s="115" t="str">
        <x:v>Pièces décrites, murs, portes, niveaux et mobilier inspectables à l’échelle. Volumes réservés, raccord au seed, butin, rencontres et services de campagne restent à terminer.</x:v>
      </x:c>
    </x:row>
    <x:row r="3041" ht="96" customHeight="1">
      <x:c r="A3041" s="115" t="str">
        <x:v>EXT-MONDE-T061-V36</x:v>
      </x:c>
      <x:c r="B3041" s="115" t="str">
        <x:v>EXT-MONDE-T061</x:v>
      </x:c>
      <x:c r="C3041" s="115" t="str">
        <x:v>Épuration</x:v>
      </x:c>
      <x:c r="D3041" s="115" t="str">
        <x:v>Station d’épuration urbaine</x:v>
      </x:c>
      <x:c r="E3041" s="115" t="n">
        <x:v>36</x:v>
      </x:c>
      <x:c r="F3041" s="115" t="str">
        <x:v>Inspection physique</x:v>
      </x:c>
      <x:c r="G3041" s="115" t="str">
        <x:v>1 niveaux ; 22 pièces ; 167 segments de mur ; 0 transitions. Inspection physique ; architecture complète encore ouverte.</x:v>
      </x:c>
      <x:c r="H3041" s="115" t="str">
        <x:v>L 484 ; l 500 ; hauteur 12 m ; choix de composition auteur ; dimensions réelles à documenter</x:v>
      </x:c>
      <x:c r="I3041" s="115" t="str">
        <x:v>À équilibrer</x:v>
      </x:c>
      <x:c r="J3041" s="115" t="str">
        <x:v>Non</x:v>
      </x:c>
      <x:c r="K3041" s="115" t="str">
        <x:v>Pièces décrites, murs, portes, niveaux et mobilier inspectables à l’échelle. Volumes réservés, raccord au seed, butin, rencontres et services de campagne restent à terminer.</x:v>
      </x:c>
    </x:row>
    <x:row r="3042" ht="96" customHeight="1">
      <x:c r="A3042" s="115" t="str">
        <x:v>EXT-MONDE-T061-V37</x:v>
      </x:c>
      <x:c r="B3042" s="115" t="str">
        <x:v>EXT-MONDE-T061</x:v>
      </x:c>
      <x:c r="C3042" s="115" t="str">
        <x:v>Épuration</x:v>
      </x:c>
      <x:c r="D3042" s="115" t="str">
        <x:v>Station d’épuration urbaine</x:v>
      </x:c>
      <x:c r="E3042" s="115" t="n">
        <x:v>37</x:v>
      </x:c>
      <x:c r="F3042" s="115" t="str">
        <x:v>Inspection physique</x:v>
      </x:c>
      <x:c r="G3042" s="115" t="str">
        <x:v>1 niveaux ; 22 pièces ; 167 segments de mur ; 0 transitions. Inspection physique ; architecture complète encore ouverte.</x:v>
      </x:c>
      <x:c r="H3042" s="115" t="str">
        <x:v>L 484 ; l 500 ; hauteur 12 m ; choix de composition auteur ; dimensions réelles à documenter</x:v>
      </x:c>
      <x:c r="I3042" s="115" t="str">
        <x:v>À équilibrer</x:v>
      </x:c>
      <x:c r="J3042" s="115" t="str">
        <x:v>Non</x:v>
      </x:c>
      <x:c r="K3042" s="115" t="str">
        <x:v>Pièces décrites, murs, portes, niveaux et mobilier inspectables à l’échelle. Volumes réservés, raccord au seed, butin, rencontres et services de campagne restent à terminer.</x:v>
      </x:c>
    </x:row>
    <x:row r="3043" ht="96" customHeight="1">
      <x:c r="A3043" s="115" t="str">
        <x:v>EXT-MONDE-T061-V38</x:v>
      </x:c>
      <x:c r="B3043" s="115" t="str">
        <x:v>EXT-MONDE-T061</x:v>
      </x:c>
      <x:c r="C3043" s="115" t="str">
        <x:v>Épuration</x:v>
      </x:c>
      <x:c r="D3043" s="115" t="str">
        <x:v>Station d’épuration urbaine</x:v>
      </x:c>
      <x:c r="E3043" s="115" t="n">
        <x:v>38</x:v>
      </x:c>
      <x:c r="F3043" s="115" t="str">
        <x:v>Inspection physique</x:v>
      </x:c>
      <x:c r="G3043" s="115" t="str">
        <x:v>1 niveaux ; 22 pièces ; 167 segments de mur ; 0 transitions. Inspection physique ; architecture complète encore ouverte.</x:v>
      </x:c>
      <x:c r="H3043" s="115" t="str">
        <x:v>L 484 ; l 500 ; hauteur 12 m ; choix de composition auteur ; dimensions réelles à documenter</x:v>
      </x:c>
      <x:c r="I3043" s="115" t="str">
        <x:v>À équilibrer</x:v>
      </x:c>
      <x:c r="J3043" s="115" t="str">
        <x:v>Non</x:v>
      </x:c>
      <x:c r="K3043" s="115" t="str">
        <x:v>Pièces décrites, murs, portes, niveaux et mobilier inspectables à l’échelle. Volumes réservés, raccord au seed, butin, rencontres et services de campagne restent à terminer.</x:v>
      </x:c>
    </x:row>
    <x:row r="3044" ht="96" customHeight="1">
      <x:c r="A3044" s="115" t="str">
        <x:v>EXT-MONDE-T061-V39</x:v>
      </x:c>
      <x:c r="B3044" s="115" t="str">
        <x:v>EXT-MONDE-T061</x:v>
      </x:c>
      <x:c r="C3044" s="115" t="str">
        <x:v>Épuration</x:v>
      </x:c>
      <x:c r="D3044" s="115" t="str">
        <x:v>Station d’épuration urbaine</x:v>
      </x:c>
      <x:c r="E3044" s="115" t="n">
        <x:v>39</x:v>
      </x:c>
      <x:c r="F3044" s="115" t="str">
        <x:v>Inspection physique</x:v>
      </x:c>
      <x:c r="G3044" s="115" t="str">
        <x:v>1 niveaux ; 22 pièces ; 167 segments de mur ; 0 transitions. Inspection physique ; architecture complète encore ouverte.</x:v>
      </x:c>
      <x:c r="H3044" s="115" t="str">
        <x:v>L 484 ; l 500 ; hauteur 12 m ; choix de composition auteur ; dimensions réelles à documenter</x:v>
      </x:c>
      <x:c r="I3044" s="115" t="str">
        <x:v>À équilibrer</x:v>
      </x:c>
      <x:c r="J3044" s="115" t="str">
        <x:v>Non</x:v>
      </x:c>
      <x:c r="K3044" s="115" t="str">
        <x:v>Pièces décrites, murs, portes, niveaux et mobilier inspectables à l’échelle. Volumes réservés, raccord au seed, butin, rencontres et services de campagne restent à terminer.</x:v>
      </x:c>
    </x:row>
    <x:row r="3045" ht="96" customHeight="1">
      <x:c r="A3045" s="115" t="str">
        <x:v>EXT-MONDE-T061-V40</x:v>
      </x:c>
      <x:c r="B3045" s="115" t="str">
        <x:v>EXT-MONDE-T061</x:v>
      </x:c>
      <x:c r="C3045" s="115" t="str">
        <x:v>Épuration</x:v>
      </x:c>
      <x:c r="D3045" s="115" t="str">
        <x:v>Station d’épuration urbaine</x:v>
      </x:c>
      <x:c r="E3045" s="115" t="n">
        <x:v>40</x:v>
      </x:c>
      <x:c r="F3045" s="115" t="str">
        <x:v>Inspection physique</x:v>
      </x:c>
      <x:c r="G3045" s="115" t="str">
        <x:v>1 niveaux ; 22 pièces ; 167 segments de mur ; 0 transitions. Inspection physique ; architecture complète encore ouverte.</x:v>
      </x:c>
      <x:c r="H3045" s="115" t="str">
        <x:v>L 484 ; l 500 ; hauteur 12 m ; choix de composition auteur ; dimensions réelles à documenter</x:v>
      </x:c>
      <x:c r="I3045" s="115" t="str">
        <x:v>À équilibrer</x:v>
      </x:c>
      <x:c r="J3045" s="115" t="str">
        <x:v>Non</x:v>
      </x:c>
      <x:c r="K3045" s="115" t="str">
        <x:v>Pièces décrites, murs, portes, niveaux et mobilier inspectables à l’échelle. Volumes réservés, raccord au seed, butin, rencontres et services de campagne restent à terminer.</x:v>
      </x:c>
    </x:row>
    <x:row r="3046" ht="96" customHeight="1">
      <x:c r="A3046" s="115" t="str">
        <x:v>EXT-MONDE-T061-V41</x:v>
      </x:c>
      <x:c r="B3046" s="115" t="str">
        <x:v>EXT-MONDE-T061</x:v>
      </x:c>
      <x:c r="C3046" s="115" t="str">
        <x:v>Épuration</x:v>
      </x:c>
      <x:c r="D3046" s="115" t="str">
        <x:v>Station d’épuration urbaine</x:v>
      </x:c>
      <x:c r="E3046" s="115" t="n">
        <x:v>41</x:v>
      </x:c>
      <x:c r="F3046" s="115" t="str">
        <x:v>Inspection physique</x:v>
      </x:c>
      <x:c r="G3046" s="115" t="str">
        <x:v>1 niveaux ; 22 pièces ; 167 segments de mur ; 0 transitions. Inspection physique ; architecture complète encore ouverte.</x:v>
      </x:c>
      <x:c r="H3046" s="115" t="str">
        <x:v>L 502 ; l 520 ; hauteur 12 m ; choix de composition auteur ; dimensions réelles à documenter</x:v>
      </x:c>
      <x:c r="I3046" s="115" t="str">
        <x:v>À équilibrer</x:v>
      </x:c>
      <x:c r="J3046" s="115" t="str">
        <x:v>Non</x:v>
      </x:c>
      <x:c r="K3046" s="115" t="str">
        <x:v>Pièces décrites, murs, portes, niveaux et mobilier inspectables à l’échelle. Volumes réservés, raccord au seed, butin, rencontres et services de campagne restent à terminer.</x:v>
      </x:c>
    </x:row>
    <x:row r="3047" ht="96" customHeight="1">
      <x:c r="A3047" s="115" t="str">
        <x:v>EXT-MONDE-T061-V42</x:v>
      </x:c>
      <x:c r="B3047" s="115" t="str">
        <x:v>EXT-MONDE-T061</x:v>
      </x:c>
      <x:c r="C3047" s="115" t="str">
        <x:v>Épuration</x:v>
      </x:c>
      <x:c r="D3047" s="115" t="str">
        <x:v>Station d’épuration urbaine</x:v>
      </x:c>
      <x:c r="E3047" s="115" t="n">
        <x:v>42</x:v>
      </x:c>
      <x:c r="F3047" s="115" t="str">
        <x:v>Inspection physique</x:v>
      </x:c>
      <x:c r="G3047" s="115" t="str">
        <x:v>1 niveaux ; 22 pièces ; 167 segments de mur ; 0 transitions. Inspection physique ; architecture complète encore ouverte.</x:v>
      </x:c>
      <x:c r="H3047" s="115" t="str">
        <x:v>L 502 ; l 520 ; hauteur 12 m ; choix de composition auteur ; dimensions réelles à documenter</x:v>
      </x:c>
      <x:c r="I3047" s="115" t="str">
        <x:v>À équilibrer</x:v>
      </x:c>
      <x:c r="J3047" s="115" t="str">
        <x:v>Non</x:v>
      </x:c>
      <x:c r="K3047" s="115" t="str">
        <x:v>Pièces décrites, murs, portes, niveaux et mobilier inspectables à l’échelle. Volumes réservés, raccord au seed, butin, rencontres et services de campagne restent à terminer.</x:v>
      </x:c>
    </x:row>
    <x:row r="3048" ht="96" customHeight="1">
      <x:c r="A3048" s="115" t="str">
        <x:v>EXT-MONDE-T061-V43</x:v>
      </x:c>
      <x:c r="B3048" s="115" t="str">
        <x:v>EXT-MONDE-T061</x:v>
      </x:c>
      <x:c r="C3048" s="115" t="str">
        <x:v>Épuration</x:v>
      </x:c>
      <x:c r="D3048" s="115" t="str">
        <x:v>Station d’épuration urbaine</x:v>
      </x:c>
      <x:c r="E3048" s="115" t="n">
        <x:v>43</x:v>
      </x:c>
      <x:c r="F3048" s="115" t="str">
        <x:v>Inspection physique</x:v>
      </x:c>
      <x:c r="G3048" s="115" t="str">
        <x:v>1 niveaux ; 22 pièces ; 167 segments de mur ; 0 transitions. Inspection physique ; architecture complète encore ouverte.</x:v>
      </x:c>
      <x:c r="H3048" s="115" t="str">
        <x:v>L 502 ; l 520 ; hauteur 12 m ; choix de composition auteur ; dimensions réelles à documenter</x:v>
      </x:c>
      <x:c r="I3048" s="115" t="str">
        <x:v>À équilibrer</x:v>
      </x:c>
      <x:c r="J3048" s="115" t="str">
        <x:v>Non</x:v>
      </x:c>
      <x:c r="K3048" s="115" t="str">
        <x:v>Pièces décrites, murs, portes, niveaux et mobilier inspectables à l’échelle. Volumes réservés, raccord au seed, butin, rencontres et services de campagne restent à terminer.</x:v>
      </x:c>
    </x:row>
    <x:row r="3049" ht="96" customHeight="1">
      <x:c r="A3049" s="115" t="str">
        <x:v>EXT-MONDE-T061-V44</x:v>
      </x:c>
      <x:c r="B3049" s="115" t="str">
        <x:v>EXT-MONDE-T061</x:v>
      </x:c>
      <x:c r="C3049" s="115" t="str">
        <x:v>Épuration</x:v>
      </x:c>
      <x:c r="D3049" s="115" t="str">
        <x:v>Station d’épuration urbaine</x:v>
      </x:c>
      <x:c r="E3049" s="115" t="n">
        <x:v>44</x:v>
      </x:c>
      <x:c r="F3049" s="115" t="str">
        <x:v>Inspection physique</x:v>
      </x:c>
      <x:c r="G3049" s="115" t="str">
        <x:v>1 niveaux ; 22 pièces ; 167 segments de mur ; 0 transitions. Inspection physique ; architecture complète encore ouverte.</x:v>
      </x:c>
      <x:c r="H3049" s="115" t="str">
        <x:v>L 502 ; l 520 ; hauteur 12 m ; choix de composition auteur ; dimensions réelles à documenter</x:v>
      </x:c>
      <x:c r="I3049" s="115" t="str">
        <x:v>À équilibrer</x:v>
      </x:c>
      <x:c r="J3049" s="115" t="str">
        <x:v>Non</x:v>
      </x:c>
      <x:c r="K3049" s="115" t="str">
        <x:v>Pièces décrites, murs, portes, niveaux et mobilier inspectables à l’échelle. Volumes réservés, raccord au seed, butin, rencontres et services de campagne restent à terminer.</x:v>
      </x:c>
    </x:row>
    <x:row r="3050" ht="96" customHeight="1">
      <x:c r="A3050" s="115" t="str">
        <x:v>EXT-MONDE-T061-V45</x:v>
      </x:c>
      <x:c r="B3050" s="115" t="str">
        <x:v>EXT-MONDE-T061</x:v>
      </x:c>
      <x:c r="C3050" s="115" t="str">
        <x:v>Épuration</x:v>
      </x:c>
      <x:c r="D3050" s="115" t="str">
        <x:v>Station d’épuration urbaine</x:v>
      </x:c>
      <x:c r="E3050" s="115" t="n">
        <x:v>45</x:v>
      </x:c>
      <x:c r="F3050" s="115" t="str">
        <x:v>Inspection physique</x:v>
      </x:c>
      <x:c r="G3050" s="115" t="str">
        <x:v>1 niveaux ; 22 pièces ; 167 segments de mur ; 0 transitions. Inspection physique ; architecture complète encore ouverte.</x:v>
      </x:c>
      <x:c r="H3050" s="115" t="str">
        <x:v>L 502 ; l 520 ; hauteur 12 m ; choix de composition auteur ; dimensions réelles à documenter</x:v>
      </x:c>
      <x:c r="I3050" s="115" t="str">
        <x:v>À équilibrer</x:v>
      </x:c>
      <x:c r="J3050" s="115" t="str">
        <x:v>Non</x:v>
      </x:c>
      <x:c r="K3050" s="115" t="str">
        <x:v>Pièces décrites, murs, portes, niveaux et mobilier inspectables à l’échelle. Volumes réservés, raccord au seed, butin, rencontres et services de campagne restent à terminer.</x:v>
      </x:c>
    </x:row>
    <x:row r="3051" ht="96" customHeight="1">
      <x:c r="A3051" s="115" t="str">
        <x:v>EXT-MONDE-T061-V46</x:v>
      </x:c>
      <x:c r="B3051" s="115" t="str">
        <x:v>EXT-MONDE-T061</x:v>
      </x:c>
      <x:c r="C3051" s="115" t="str">
        <x:v>Épuration</x:v>
      </x:c>
      <x:c r="D3051" s="115" t="str">
        <x:v>Station d’épuration urbaine</x:v>
      </x:c>
      <x:c r="E3051" s="115" t="n">
        <x:v>46</x:v>
      </x:c>
      <x:c r="F3051" s="115" t="str">
        <x:v>Inspection physique</x:v>
      </x:c>
      <x:c r="G3051" s="115" t="str">
        <x:v>1 niveaux ; 22 pièces ; 167 segments de mur ; 0 transitions. Inspection physique ; architecture complète encore ouverte.</x:v>
      </x:c>
      <x:c r="H3051" s="115" t="str">
        <x:v>L 502 ; l 520 ; hauteur 12 m ; choix de composition auteur ; dimensions réelles à documenter</x:v>
      </x:c>
      <x:c r="I3051" s="115" t="str">
        <x:v>À équilibrer</x:v>
      </x:c>
      <x:c r="J3051" s="115" t="str">
        <x:v>Non</x:v>
      </x:c>
      <x:c r="K3051" s="115" t="str">
        <x:v>Pièces décrites, murs, portes, niveaux et mobilier inspectables à l’échelle. Volumes réservés, raccord au seed, butin, rencontres et services de campagne restent à terminer.</x:v>
      </x:c>
    </x:row>
    <x:row r="3052" ht="96" customHeight="1">
      <x:c r="A3052" s="115" t="str">
        <x:v>EXT-MONDE-T061-V47</x:v>
      </x:c>
      <x:c r="B3052" s="115" t="str">
        <x:v>EXT-MONDE-T061</x:v>
      </x:c>
      <x:c r="C3052" s="115" t="str">
        <x:v>Épuration</x:v>
      </x:c>
      <x:c r="D3052" s="115" t="str">
        <x:v>Station d’épuration urbaine</x:v>
      </x:c>
      <x:c r="E3052" s="115" t="n">
        <x:v>47</x:v>
      </x:c>
      <x:c r="F3052" s="115" t="str">
        <x:v>Inspection physique</x:v>
      </x:c>
      <x:c r="G3052" s="115" t="str">
        <x:v>1 niveaux ; 22 pièces ; 167 segments de mur ; 0 transitions. Inspection physique ; architecture complète encore ouverte.</x:v>
      </x:c>
      <x:c r="H3052" s="115" t="str">
        <x:v>L 502 ; l 520 ; hauteur 12 m ; choix de composition auteur ; dimensions réelles à documenter</x:v>
      </x:c>
      <x:c r="I3052" s="115" t="str">
        <x:v>À équilibrer</x:v>
      </x:c>
      <x:c r="J3052" s="115" t="str">
        <x:v>Non</x:v>
      </x:c>
      <x:c r="K3052" s="115" t="str">
        <x:v>Pièces décrites, murs, portes, niveaux et mobilier inspectables à l’échelle. Volumes réservés, raccord au seed, butin, rencontres et services de campagne restent à terminer.</x:v>
      </x:c>
    </x:row>
    <x:row r="3053" ht="96" customHeight="1">
      <x:c r="A3053" s="115" t="str">
        <x:v>EXT-MONDE-T061-V48</x:v>
      </x:c>
      <x:c r="B3053" s="115" t="str">
        <x:v>EXT-MONDE-T061</x:v>
      </x:c>
      <x:c r="C3053" s="115" t="str">
        <x:v>Épuration</x:v>
      </x:c>
      <x:c r="D3053" s="115" t="str">
        <x:v>Station d’épuration urbaine</x:v>
      </x:c>
      <x:c r="E3053" s="115" t="n">
        <x:v>48</x:v>
      </x:c>
      <x:c r="F3053" s="115" t="str">
        <x:v>Inspection physique</x:v>
      </x:c>
      <x:c r="G3053" s="115" t="str">
        <x:v>1 niveaux ; 22 pièces ; 167 segments de mur ; 0 transitions. Inspection physique ; architecture complète encore ouverte.</x:v>
      </x:c>
      <x:c r="H3053" s="115" t="str">
        <x:v>L 502 ; l 520 ; hauteur 12 m ; choix de composition auteur ; dimensions réelles à documenter</x:v>
      </x:c>
      <x:c r="I3053" s="115" t="str">
        <x:v>À équilibrer</x:v>
      </x:c>
      <x:c r="J3053" s="115" t="str">
        <x:v>Non</x:v>
      </x:c>
      <x:c r="K3053" s="115" t="str">
        <x:v>Pièces décrites, murs, portes, niveaux et mobilier inspectables à l’échelle. Volumes réservés, raccord au seed, butin, rencontres et services de campagne restent à terminer.</x:v>
      </x:c>
    </x:row>
    <x:row r="3054" ht="96" customHeight="1">
      <x:c r="A3054" s="115" t="str">
        <x:v>EXT-MONDE-T061-V49</x:v>
      </x:c>
      <x:c r="B3054" s="115" t="str">
        <x:v>EXT-MONDE-T061</x:v>
      </x:c>
      <x:c r="C3054" s="115" t="str">
        <x:v>Épuration</x:v>
      </x:c>
      <x:c r="D3054" s="115" t="str">
        <x:v>Station d’épuration urbaine</x:v>
      </x:c>
      <x:c r="E3054" s="115" t="n">
        <x:v>49</x:v>
      </x:c>
      <x:c r="F3054" s="115" t="str">
        <x:v>Inspection physique</x:v>
      </x:c>
      <x:c r="G3054" s="115" t="str">
        <x:v>1 niveaux ; 22 pièces ; 167 segments de mur ; 0 transitions. Inspection physique ; architecture complète encore ouverte.</x:v>
      </x:c>
      <x:c r="H3054" s="115" t="str">
        <x:v>L 502 ; l 520 ; hauteur 12 m ; choix de composition auteur ; dimensions réelles à documenter</x:v>
      </x:c>
      <x:c r="I3054" s="115" t="str">
        <x:v>À équilibrer</x:v>
      </x:c>
      <x:c r="J3054" s="115" t="str">
        <x:v>Non</x:v>
      </x:c>
      <x:c r="K3054" s="115" t="str">
        <x:v>Pièces décrites, murs, portes, niveaux et mobilier inspectables à l’échelle. Volumes réservés, raccord au seed, butin, rencontres et services de campagne restent à terminer.</x:v>
      </x:c>
    </x:row>
    <x:row r="3055" ht="96" customHeight="1">
      <x:c r="A3055" s="115" t="str">
        <x:v>EXT-MONDE-T061-V50</x:v>
      </x:c>
      <x:c r="B3055" s="115" t="str">
        <x:v>EXT-MONDE-T061</x:v>
      </x:c>
      <x:c r="C3055" s="115" t="str">
        <x:v>Épuration</x:v>
      </x:c>
      <x:c r="D3055" s="115" t="str">
        <x:v>Station d’épuration urbaine</x:v>
      </x:c>
      <x:c r="E3055" s="115" t="n">
        <x:v>50</x:v>
      </x:c>
      <x:c r="F3055" s="115" t="str">
        <x:v>Inspection physique</x:v>
      </x:c>
      <x:c r="G3055" s="115" t="str">
        <x:v>1 niveaux ; 22 pièces ; 167 segments de mur ; 0 transitions. Inspection physique ; architecture complète encore ouverte.</x:v>
      </x:c>
      <x:c r="H3055" s="115" t="str">
        <x:v>L 502 ; l 520 ; hauteur 12 m ; choix de composition auteur ; dimensions réelles à documenter</x:v>
      </x:c>
      <x:c r="I3055" s="115" t="str">
        <x:v>À équilibrer</x:v>
      </x:c>
      <x:c r="J3055" s="115" t="str">
        <x:v>Non</x:v>
      </x:c>
      <x:c r="K3055" s="115" t="str">
        <x:v>Pièces décrites, murs, portes, niveaux et mobilier inspectables à l’échelle. Volumes réservés, raccord au seed, butin, rencontres et services de campagne restent à terminer.</x:v>
      </x:c>
    </x:row>
    <x:row r="3056" ht="96" customHeight="1">
      <x:c r="A3056" s="115" t="str">
        <x:v>EXT-MONDE-T062-V01</x:v>
      </x:c>
      <x:c r="B3056" s="115" t="str">
        <x:v>EXT-MONDE-T062</x:v>
      </x:c>
      <x:c r="C3056" s="115" t="str">
        <x:v>Épuration</x:v>
      </x:c>
      <x:c r="D3056" s="115" t="str">
        <x:v>Station de lagunage</x:v>
      </x:c>
      <x:c r="E3056" s="115" t="n">
        <x:v>1</x:v>
      </x:c>
      <x:c r="F3056" s="115" t="str">
        <x:v>Inspection physique</x:v>
      </x:c>
      <x:c r="G3056" s="115" t="str">
        <x:v>1 niveaux ; 22 pièces ; 167 segments de mur ; 0 transitions. Inspection physique ; architecture complète encore ouverte.</x:v>
      </x:c>
      <x:c r="H3056" s="115" t="str">
        <x:v>L 430 ; l 440 ; hauteur 5 m ; choix de composition auteur ; dimensions réelles à documenter</x:v>
      </x:c>
      <x:c r="I3056" s="115" t="str">
        <x:v>À équilibrer</x:v>
      </x:c>
      <x:c r="J3056" s="115" t="str">
        <x:v>Non</x:v>
      </x:c>
      <x:c r="K3056" s="115" t="str">
        <x:v>Pièces décrites, murs, portes, niveaux et mobilier inspectables à l’échelle. Volumes réservés, raccord au seed, butin, rencontres et services de campagne restent à terminer.</x:v>
      </x:c>
    </x:row>
    <x:row r="3057" ht="96" customHeight="1">
      <x:c r="A3057" s="115" t="str">
        <x:v>EXT-MONDE-T062-V02</x:v>
      </x:c>
      <x:c r="B3057" s="115" t="str">
        <x:v>EXT-MONDE-T062</x:v>
      </x:c>
      <x:c r="C3057" s="115" t="str">
        <x:v>Épuration</x:v>
      </x:c>
      <x:c r="D3057" s="115" t="str">
        <x:v>Station de lagunage</x:v>
      </x:c>
      <x:c r="E3057" s="115" t="n">
        <x:v>2</x:v>
      </x:c>
      <x:c r="F3057" s="115" t="str">
        <x:v>Inspection physique</x:v>
      </x:c>
      <x:c r="G3057" s="115" t="str">
        <x:v>1 niveaux ; 22 pièces ; 167 segments de mur ; 0 transitions. Inspection physique ; architecture complète encore ouverte.</x:v>
      </x:c>
      <x:c r="H3057" s="115" t="str">
        <x:v>L 430 ; l 440 ; hauteur 5 m ; choix de composition auteur ; dimensions réelles à documenter</x:v>
      </x:c>
      <x:c r="I3057" s="115" t="str">
        <x:v>À équilibrer</x:v>
      </x:c>
      <x:c r="J3057" s="115" t="str">
        <x:v>Non</x:v>
      </x:c>
      <x:c r="K3057" s="115" t="str">
        <x:v>Pièces décrites, murs, portes, niveaux et mobilier inspectables à l’échelle. Volumes réservés, raccord au seed, butin, rencontres et services de campagne restent à terminer.</x:v>
      </x:c>
    </x:row>
    <x:row r="3058" ht="96" customHeight="1">
      <x:c r="A3058" s="115" t="str">
        <x:v>EXT-MONDE-T062-V03</x:v>
      </x:c>
      <x:c r="B3058" s="115" t="str">
        <x:v>EXT-MONDE-T062</x:v>
      </x:c>
      <x:c r="C3058" s="115" t="str">
        <x:v>Épuration</x:v>
      </x:c>
      <x:c r="D3058" s="115" t="str">
        <x:v>Station de lagunage</x:v>
      </x:c>
      <x:c r="E3058" s="115" t="n">
        <x:v>3</x:v>
      </x:c>
      <x:c r="F3058" s="115" t="str">
        <x:v>Inspection physique</x:v>
      </x:c>
      <x:c r="G3058" s="115" t="str">
        <x:v>1 niveaux ; 22 pièces ; 167 segments de mur ; 0 transitions. Inspection physique ; architecture complète encore ouverte.</x:v>
      </x:c>
      <x:c r="H3058" s="115" t="str">
        <x:v>L 430 ; l 440 ; hauteur 5 m ; choix de composition auteur ; dimensions réelles à documenter</x:v>
      </x:c>
      <x:c r="I3058" s="115" t="str">
        <x:v>À équilibrer</x:v>
      </x:c>
      <x:c r="J3058" s="115" t="str">
        <x:v>Non</x:v>
      </x:c>
      <x:c r="K3058" s="115" t="str">
        <x:v>Pièces décrites, murs, portes, niveaux et mobilier inspectables à l’échelle. Volumes réservés, raccord au seed, butin, rencontres et services de campagne restent à terminer.</x:v>
      </x:c>
    </x:row>
    <x:row r="3059" ht="96" customHeight="1">
      <x:c r="A3059" s="115" t="str">
        <x:v>EXT-MONDE-T062-V04</x:v>
      </x:c>
      <x:c r="B3059" s="115" t="str">
        <x:v>EXT-MONDE-T062</x:v>
      </x:c>
      <x:c r="C3059" s="115" t="str">
        <x:v>Épuration</x:v>
      </x:c>
      <x:c r="D3059" s="115" t="str">
        <x:v>Station de lagunage</x:v>
      </x:c>
      <x:c r="E3059" s="115" t="n">
        <x:v>4</x:v>
      </x:c>
      <x:c r="F3059" s="115" t="str">
        <x:v>Inspection physique</x:v>
      </x:c>
      <x:c r="G3059" s="115" t="str">
        <x:v>1 niveaux ; 22 pièces ; 167 segments de mur ; 0 transitions. Inspection physique ; architecture complète encore ouverte.</x:v>
      </x:c>
      <x:c r="H3059" s="115" t="str">
        <x:v>L 430 ; l 440 ; hauteur 5 m ; choix de composition auteur ; dimensions réelles à documenter</x:v>
      </x:c>
      <x:c r="I3059" s="115" t="str">
        <x:v>À équilibrer</x:v>
      </x:c>
      <x:c r="J3059" s="115" t="str">
        <x:v>Non</x:v>
      </x:c>
      <x:c r="K3059" s="115" t="str">
        <x:v>Pièces décrites, murs, portes, niveaux et mobilier inspectables à l’échelle. Volumes réservés, raccord au seed, butin, rencontres et services de campagne restent à terminer.</x:v>
      </x:c>
    </x:row>
    <x:row r="3060" ht="96" customHeight="1">
      <x:c r="A3060" s="115" t="str">
        <x:v>EXT-MONDE-T062-V05</x:v>
      </x:c>
      <x:c r="B3060" s="115" t="str">
        <x:v>EXT-MONDE-T062</x:v>
      </x:c>
      <x:c r="C3060" s="115" t="str">
        <x:v>Épuration</x:v>
      </x:c>
      <x:c r="D3060" s="115" t="str">
        <x:v>Station de lagunage</x:v>
      </x:c>
      <x:c r="E3060" s="115" t="n">
        <x:v>5</x:v>
      </x:c>
      <x:c r="F3060" s="115" t="str">
        <x:v>Inspection physique</x:v>
      </x:c>
      <x:c r="G3060" s="115" t="str">
        <x:v>1 niveaux ; 22 pièces ; 167 segments de mur ; 0 transitions. Inspection physique ; architecture complète encore ouverte.</x:v>
      </x:c>
      <x:c r="H3060" s="115" t="str">
        <x:v>L 430 ; l 440 ; hauteur 5 m ; choix de composition auteur ; dimensions réelles à documenter</x:v>
      </x:c>
      <x:c r="I3060" s="115" t="str">
        <x:v>À équilibrer</x:v>
      </x:c>
      <x:c r="J3060" s="115" t="str">
        <x:v>Non</x:v>
      </x:c>
      <x:c r="K3060" s="115" t="str">
        <x:v>Pièces décrites, murs, portes, niveaux et mobilier inspectables à l’échelle. Volumes réservés, raccord au seed, butin, rencontres et services de campagne restent à terminer.</x:v>
      </x:c>
    </x:row>
    <x:row r="3061" ht="96" customHeight="1">
      <x:c r="A3061" s="115" t="str">
        <x:v>EXT-MONDE-T062-V06</x:v>
      </x:c>
      <x:c r="B3061" s="115" t="str">
        <x:v>EXT-MONDE-T062</x:v>
      </x:c>
      <x:c r="C3061" s="115" t="str">
        <x:v>Épuration</x:v>
      </x:c>
      <x:c r="D3061" s="115" t="str">
        <x:v>Station de lagunage</x:v>
      </x:c>
      <x:c r="E3061" s="115" t="n">
        <x:v>6</x:v>
      </x:c>
      <x:c r="F3061" s="115" t="str">
        <x:v>Inspection physique</x:v>
      </x:c>
      <x:c r="G3061" s="115" t="str">
        <x:v>1 niveaux ; 22 pièces ; 167 segments de mur ; 0 transitions. Inspection physique ; architecture complète encore ouverte.</x:v>
      </x:c>
      <x:c r="H3061" s="115" t="str">
        <x:v>L 430 ; l 440 ; hauteur 5 m ; choix de composition auteur ; dimensions réelles à documenter</x:v>
      </x:c>
      <x:c r="I3061" s="115" t="str">
        <x:v>À équilibrer</x:v>
      </x:c>
      <x:c r="J3061" s="115" t="str">
        <x:v>Non</x:v>
      </x:c>
      <x:c r="K3061" s="115" t="str">
        <x:v>Pièces décrites, murs, portes, niveaux et mobilier inspectables à l’échelle. Volumes réservés, raccord au seed, butin, rencontres et services de campagne restent à terminer.</x:v>
      </x:c>
    </x:row>
    <x:row r="3062" ht="96" customHeight="1">
      <x:c r="A3062" s="115" t="str">
        <x:v>EXT-MONDE-T062-V07</x:v>
      </x:c>
      <x:c r="B3062" s="115" t="str">
        <x:v>EXT-MONDE-T062</x:v>
      </x:c>
      <x:c r="C3062" s="115" t="str">
        <x:v>Épuration</x:v>
      </x:c>
      <x:c r="D3062" s="115" t="str">
        <x:v>Station de lagunage</x:v>
      </x:c>
      <x:c r="E3062" s="115" t="n">
        <x:v>7</x:v>
      </x:c>
      <x:c r="F3062" s="115" t="str">
        <x:v>Inspection physique</x:v>
      </x:c>
      <x:c r="G3062" s="115" t="str">
        <x:v>1 niveaux ; 22 pièces ; 167 segments de mur ; 0 transitions. Inspection physique ; architecture complète encore ouverte.</x:v>
      </x:c>
      <x:c r="H3062" s="115" t="str">
        <x:v>L 430 ; l 440 ; hauteur 5 m ; choix de composition auteur ; dimensions réelles à documenter</x:v>
      </x:c>
      <x:c r="I3062" s="115" t="str">
        <x:v>À équilibrer</x:v>
      </x:c>
      <x:c r="J3062" s="115" t="str">
        <x:v>Non</x:v>
      </x:c>
      <x:c r="K3062" s="115" t="str">
        <x:v>Pièces décrites, murs, portes, niveaux et mobilier inspectables à l’échelle. Volumes réservés, raccord au seed, butin, rencontres et services de campagne restent à terminer.</x:v>
      </x:c>
    </x:row>
    <x:row r="3063" ht="96" customHeight="1">
      <x:c r="A3063" s="115" t="str">
        <x:v>EXT-MONDE-T062-V08</x:v>
      </x:c>
      <x:c r="B3063" s="115" t="str">
        <x:v>EXT-MONDE-T062</x:v>
      </x:c>
      <x:c r="C3063" s="115" t="str">
        <x:v>Épuration</x:v>
      </x:c>
      <x:c r="D3063" s="115" t="str">
        <x:v>Station de lagunage</x:v>
      </x:c>
      <x:c r="E3063" s="115" t="n">
        <x:v>8</x:v>
      </x:c>
      <x:c r="F3063" s="115" t="str">
        <x:v>Inspection physique</x:v>
      </x:c>
      <x:c r="G3063" s="115" t="str">
        <x:v>1 niveaux ; 22 pièces ; 167 segments de mur ; 0 transitions. Inspection physique ; architecture complète encore ouverte.</x:v>
      </x:c>
      <x:c r="H3063" s="115" t="str">
        <x:v>L 430 ; l 440 ; hauteur 5 m ; choix de composition auteur ; dimensions réelles à documenter</x:v>
      </x:c>
      <x:c r="I3063" s="115" t="str">
        <x:v>À équilibrer</x:v>
      </x:c>
      <x:c r="J3063" s="115" t="str">
        <x:v>Non</x:v>
      </x:c>
      <x:c r="K3063" s="115" t="str">
        <x:v>Pièces décrites, murs, portes, niveaux et mobilier inspectables à l’échelle. Volumes réservés, raccord au seed, butin, rencontres et services de campagne restent à terminer.</x:v>
      </x:c>
    </x:row>
    <x:row r="3064" ht="96" customHeight="1">
      <x:c r="A3064" s="115" t="str">
        <x:v>EXT-MONDE-T062-V09</x:v>
      </x:c>
      <x:c r="B3064" s="115" t="str">
        <x:v>EXT-MONDE-T062</x:v>
      </x:c>
      <x:c r="C3064" s="115" t="str">
        <x:v>Épuration</x:v>
      </x:c>
      <x:c r="D3064" s="115" t="str">
        <x:v>Station de lagunage</x:v>
      </x:c>
      <x:c r="E3064" s="115" t="n">
        <x:v>9</x:v>
      </x:c>
      <x:c r="F3064" s="115" t="str">
        <x:v>Inspection physique</x:v>
      </x:c>
      <x:c r="G3064" s="115" t="str">
        <x:v>1 niveaux ; 22 pièces ; 167 segments de mur ; 0 transitions. Inspection physique ; architecture complète encore ouverte.</x:v>
      </x:c>
      <x:c r="H3064" s="115" t="str">
        <x:v>L 430 ; l 440 ; hauteur 5 m ; choix de composition auteur ; dimensions réelles à documenter</x:v>
      </x:c>
      <x:c r="I3064" s="115" t="str">
        <x:v>À équilibrer</x:v>
      </x:c>
      <x:c r="J3064" s="115" t="str">
        <x:v>Non</x:v>
      </x:c>
      <x:c r="K3064" s="115" t="str">
        <x:v>Pièces décrites, murs, portes, niveaux et mobilier inspectables à l’échelle. Volumes réservés, raccord au seed, butin, rencontres et services de campagne restent à terminer.</x:v>
      </x:c>
    </x:row>
    <x:row r="3065" ht="96" customHeight="1">
      <x:c r="A3065" s="115" t="str">
        <x:v>EXT-MONDE-T062-V10</x:v>
      </x:c>
      <x:c r="B3065" s="115" t="str">
        <x:v>EXT-MONDE-T062</x:v>
      </x:c>
      <x:c r="C3065" s="115" t="str">
        <x:v>Épuration</x:v>
      </x:c>
      <x:c r="D3065" s="115" t="str">
        <x:v>Station de lagunage</x:v>
      </x:c>
      <x:c r="E3065" s="115" t="n">
        <x:v>10</x:v>
      </x:c>
      <x:c r="F3065" s="115" t="str">
        <x:v>Inspection physique</x:v>
      </x:c>
      <x:c r="G3065" s="115" t="str">
        <x:v>1 niveaux ; 22 pièces ; 167 segments de mur ; 0 transitions. Inspection physique ; architecture complète encore ouverte.</x:v>
      </x:c>
      <x:c r="H3065" s="115" t="str">
        <x:v>L 430 ; l 440 ; hauteur 5 m ; choix de composition auteur ; dimensions réelles à documenter</x:v>
      </x:c>
      <x:c r="I3065" s="115" t="str">
        <x:v>À équilibrer</x:v>
      </x:c>
      <x:c r="J3065" s="115" t="str">
        <x:v>Non</x:v>
      </x:c>
      <x:c r="K3065" s="115" t="str">
        <x:v>Pièces décrites, murs, portes, niveaux et mobilier inspectables à l’échelle. Volumes réservés, raccord au seed, butin, rencontres et services de campagne restent à terminer.</x:v>
      </x:c>
    </x:row>
    <x:row r="3066" ht="96" customHeight="1">
      <x:c r="A3066" s="115" t="str">
        <x:v>EXT-MONDE-T062-V11</x:v>
      </x:c>
      <x:c r="B3066" s="115" t="str">
        <x:v>EXT-MONDE-T062</x:v>
      </x:c>
      <x:c r="C3066" s="115" t="str">
        <x:v>Épuration</x:v>
      </x:c>
      <x:c r="D3066" s="115" t="str">
        <x:v>Station de lagunage</x:v>
      </x:c>
      <x:c r="E3066" s="115" t="n">
        <x:v>11</x:v>
      </x:c>
      <x:c r="F3066" s="115" t="str">
        <x:v>Inspection physique</x:v>
      </x:c>
      <x:c r="G3066" s="115" t="str">
        <x:v>1 niveaux ; 22 pièces ; 167 segments de mur ; 0 transitions. Inspection physique ; architecture complète encore ouverte.</x:v>
      </x:c>
      <x:c r="H3066" s="115" t="str">
        <x:v>L 448 ; l 460 ; hauteur 5,2 m ; choix de composition auteur ; dimensions réelles à documenter</x:v>
      </x:c>
      <x:c r="I3066" s="115" t="str">
        <x:v>À équilibrer</x:v>
      </x:c>
      <x:c r="J3066" s="115" t="str">
        <x:v>Non</x:v>
      </x:c>
      <x:c r="K3066" s="115" t="str">
        <x:v>Pièces décrites, murs, portes, niveaux et mobilier inspectables à l’échelle. Volumes réservés, raccord au seed, butin, rencontres et services de campagne restent à terminer.</x:v>
      </x:c>
    </x:row>
    <x:row r="3067" ht="96" customHeight="1">
      <x:c r="A3067" s="115" t="str">
        <x:v>EXT-MONDE-T062-V12</x:v>
      </x:c>
      <x:c r="B3067" s="115" t="str">
        <x:v>EXT-MONDE-T062</x:v>
      </x:c>
      <x:c r="C3067" s="115" t="str">
        <x:v>Épuration</x:v>
      </x:c>
      <x:c r="D3067" s="115" t="str">
        <x:v>Station de lagunage</x:v>
      </x:c>
      <x:c r="E3067" s="115" t="n">
        <x:v>12</x:v>
      </x:c>
      <x:c r="F3067" s="115" t="str">
        <x:v>Inspection physique</x:v>
      </x:c>
      <x:c r="G3067" s="115" t="str">
        <x:v>1 niveaux ; 22 pièces ; 167 segments de mur ; 0 transitions. Inspection physique ; architecture complète encore ouverte.</x:v>
      </x:c>
      <x:c r="H3067" s="115" t="str">
        <x:v>L 448 ; l 460 ; hauteur 5,2 m ; choix de composition auteur ; dimensions réelles à documenter</x:v>
      </x:c>
      <x:c r="I3067" s="115" t="str">
        <x:v>À équilibrer</x:v>
      </x:c>
      <x:c r="J3067" s="115" t="str">
        <x:v>Non</x:v>
      </x:c>
      <x:c r="K3067" s="115" t="str">
        <x:v>Pièces décrites, murs, portes, niveaux et mobilier inspectables à l’échelle. Volumes réservés, raccord au seed, butin, rencontres et services de campagne restent à terminer.</x:v>
      </x:c>
    </x:row>
    <x:row r="3068" ht="96" customHeight="1">
      <x:c r="A3068" s="115" t="str">
        <x:v>EXT-MONDE-T062-V13</x:v>
      </x:c>
      <x:c r="B3068" s="115" t="str">
        <x:v>EXT-MONDE-T062</x:v>
      </x:c>
      <x:c r="C3068" s="115" t="str">
        <x:v>Épuration</x:v>
      </x:c>
      <x:c r="D3068" s="115" t="str">
        <x:v>Station de lagunage</x:v>
      </x:c>
      <x:c r="E3068" s="115" t="n">
        <x:v>13</x:v>
      </x:c>
      <x:c r="F3068" s="115" t="str">
        <x:v>Inspection physique</x:v>
      </x:c>
      <x:c r="G3068" s="115" t="str">
        <x:v>1 niveaux ; 22 pièces ; 167 segments de mur ; 0 transitions. Inspection physique ; architecture complète encore ouverte.</x:v>
      </x:c>
      <x:c r="H3068" s="115" t="str">
        <x:v>L 448 ; l 460 ; hauteur 5,2 m ; choix de composition auteur ; dimensions réelles à documenter</x:v>
      </x:c>
      <x:c r="I3068" s="115" t="str">
        <x:v>À équilibrer</x:v>
      </x:c>
      <x:c r="J3068" s="115" t="str">
        <x:v>Non</x:v>
      </x:c>
      <x:c r="K3068" s="115" t="str">
        <x:v>Pièces décrites, murs, portes, niveaux et mobilier inspectables à l’échelle. Volumes réservés, raccord au seed, butin, rencontres et services de campagne restent à terminer.</x:v>
      </x:c>
    </x:row>
    <x:row r="3069" ht="96" customHeight="1">
      <x:c r="A3069" s="115" t="str">
        <x:v>EXT-MONDE-T062-V14</x:v>
      </x:c>
      <x:c r="B3069" s="115" t="str">
        <x:v>EXT-MONDE-T062</x:v>
      </x:c>
      <x:c r="C3069" s="115" t="str">
        <x:v>Épuration</x:v>
      </x:c>
      <x:c r="D3069" s="115" t="str">
        <x:v>Station de lagunage</x:v>
      </x:c>
      <x:c r="E3069" s="115" t="n">
        <x:v>14</x:v>
      </x:c>
      <x:c r="F3069" s="115" t="str">
        <x:v>Inspection physique</x:v>
      </x:c>
      <x:c r="G3069" s="115" t="str">
        <x:v>1 niveaux ; 22 pièces ; 167 segments de mur ; 0 transitions. Inspection physique ; architecture complète encore ouverte.</x:v>
      </x:c>
      <x:c r="H3069" s="115" t="str">
        <x:v>L 448 ; l 460 ; hauteur 5,2 m ; choix de composition auteur ; dimensions réelles à documenter</x:v>
      </x:c>
      <x:c r="I3069" s="115" t="str">
        <x:v>À équilibrer</x:v>
      </x:c>
      <x:c r="J3069" s="115" t="str">
        <x:v>Non</x:v>
      </x:c>
      <x:c r="K3069" s="115" t="str">
        <x:v>Pièces décrites, murs, portes, niveaux et mobilier inspectables à l’échelle. Volumes réservés, raccord au seed, butin, rencontres et services de campagne restent à terminer.</x:v>
      </x:c>
    </x:row>
    <x:row r="3070" ht="96" customHeight="1">
      <x:c r="A3070" s="115" t="str">
        <x:v>EXT-MONDE-T062-V15</x:v>
      </x:c>
      <x:c r="B3070" s="115" t="str">
        <x:v>EXT-MONDE-T062</x:v>
      </x:c>
      <x:c r="C3070" s="115" t="str">
        <x:v>Épuration</x:v>
      </x:c>
      <x:c r="D3070" s="115" t="str">
        <x:v>Station de lagunage</x:v>
      </x:c>
      <x:c r="E3070" s="115" t="n">
        <x:v>15</x:v>
      </x:c>
      <x:c r="F3070" s="115" t="str">
        <x:v>Inspection physique</x:v>
      </x:c>
      <x:c r="G3070" s="115" t="str">
        <x:v>1 niveaux ; 22 pièces ; 167 segments de mur ; 0 transitions. Inspection physique ; architecture complète encore ouverte.</x:v>
      </x:c>
      <x:c r="H3070" s="115" t="str">
        <x:v>L 448 ; l 460 ; hauteur 5,2 m ; choix de composition auteur ; dimensions réelles à documenter</x:v>
      </x:c>
      <x:c r="I3070" s="115" t="str">
        <x:v>À équilibrer</x:v>
      </x:c>
      <x:c r="J3070" s="115" t="str">
        <x:v>Non</x:v>
      </x:c>
      <x:c r="K3070" s="115" t="str">
        <x:v>Pièces décrites, murs, portes, niveaux et mobilier inspectables à l’échelle. Volumes réservés, raccord au seed, butin, rencontres et services de campagne restent à terminer.</x:v>
      </x:c>
    </x:row>
    <x:row r="3071" ht="96" customHeight="1">
      <x:c r="A3071" s="115" t="str">
        <x:v>EXT-MONDE-T062-V16</x:v>
      </x:c>
      <x:c r="B3071" s="115" t="str">
        <x:v>EXT-MONDE-T062</x:v>
      </x:c>
      <x:c r="C3071" s="115" t="str">
        <x:v>Épuration</x:v>
      </x:c>
      <x:c r="D3071" s="115" t="str">
        <x:v>Station de lagunage</x:v>
      </x:c>
      <x:c r="E3071" s="115" t="n">
        <x:v>16</x:v>
      </x:c>
      <x:c r="F3071" s="115" t="str">
        <x:v>Inspection physique</x:v>
      </x:c>
      <x:c r="G3071" s="115" t="str">
        <x:v>1 niveaux ; 22 pièces ; 167 segments de mur ; 0 transitions. Inspection physique ; architecture complète encore ouverte.</x:v>
      </x:c>
      <x:c r="H3071" s="115" t="str">
        <x:v>L 448 ; l 460 ; hauteur 5,2 m ; choix de composition auteur ; dimensions réelles à documenter</x:v>
      </x:c>
      <x:c r="I3071" s="115" t="str">
        <x:v>À équilibrer</x:v>
      </x:c>
      <x:c r="J3071" s="115" t="str">
        <x:v>Non</x:v>
      </x:c>
      <x:c r="K3071" s="115" t="str">
        <x:v>Pièces décrites, murs, portes, niveaux et mobilier inspectables à l’échelle. Volumes réservés, raccord au seed, butin, rencontres et services de campagne restent à terminer.</x:v>
      </x:c>
    </x:row>
    <x:row r="3072" ht="96" customHeight="1">
      <x:c r="A3072" s="115" t="str">
        <x:v>EXT-MONDE-T062-V17</x:v>
      </x:c>
      <x:c r="B3072" s="115" t="str">
        <x:v>EXT-MONDE-T062</x:v>
      </x:c>
      <x:c r="C3072" s="115" t="str">
        <x:v>Épuration</x:v>
      </x:c>
      <x:c r="D3072" s="115" t="str">
        <x:v>Station de lagunage</x:v>
      </x:c>
      <x:c r="E3072" s="115" t="n">
        <x:v>17</x:v>
      </x:c>
      <x:c r="F3072" s="115" t="str">
        <x:v>Inspection physique</x:v>
      </x:c>
      <x:c r="G3072" s="115" t="str">
        <x:v>1 niveaux ; 22 pièces ; 167 segments de mur ; 0 transitions. Inspection physique ; architecture complète encore ouverte.</x:v>
      </x:c>
      <x:c r="H3072" s="115" t="str">
        <x:v>L 448 ; l 460 ; hauteur 5,2 m ; choix de composition auteur ; dimensions réelles à documenter</x:v>
      </x:c>
      <x:c r="I3072" s="115" t="str">
        <x:v>À équilibrer</x:v>
      </x:c>
      <x:c r="J3072" s="115" t="str">
        <x:v>Non</x:v>
      </x:c>
      <x:c r="K3072" s="115" t="str">
        <x:v>Pièces décrites, murs, portes, niveaux et mobilier inspectables à l’échelle. Volumes réservés, raccord au seed, butin, rencontres et services de campagne restent à terminer.</x:v>
      </x:c>
    </x:row>
    <x:row r="3073" ht="96" customHeight="1">
      <x:c r="A3073" s="115" t="str">
        <x:v>EXT-MONDE-T062-V18</x:v>
      </x:c>
      <x:c r="B3073" s="115" t="str">
        <x:v>EXT-MONDE-T062</x:v>
      </x:c>
      <x:c r="C3073" s="115" t="str">
        <x:v>Épuration</x:v>
      </x:c>
      <x:c r="D3073" s="115" t="str">
        <x:v>Station de lagunage</x:v>
      </x:c>
      <x:c r="E3073" s="115" t="n">
        <x:v>18</x:v>
      </x:c>
      <x:c r="F3073" s="115" t="str">
        <x:v>Inspection physique</x:v>
      </x:c>
      <x:c r="G3073" s="115" t="str">
        <x:v>1 niveaux ; 22 pièces ; 167 segments de mur ; 0 transitions. Inspection physique ; architecture complète encore ouverte.</x:v>
      </x:c>
      <x:c r="H3073" s="115" t="str">
        <x:v>L 448 ; l 460 ; hauteur 5,2 m ; choix de composition auteur ; dimensions réelles à documenter</x:v>
      </x:c>
      <x:c r="I3073" s="115" t="str">
        <x:v>À équilibrer</x:v>
      </x:c>
      <x:c r="J3073" s="115" t="str">
        <x:v>Non</x:v>
      </x:c>
      <x:c r="K3073" s="115" t="str">
        <x:v>Pièces décrites, murs, portes, niveaux et mobilier inspectables à l’échelle. Volumes réservés, raccord au seed, butin, rencontres et services de campagne restent à terminer.</x:v>
      </x:c>
    </x:row>
    <x:row r="3074" ht="96" customHeight="1">
      <x:c r="A3074" s="115" t="str">
        <x:v>EXT-MONDE-T062-V19</x:v>
      </x:c>
      <x:c r="B3074" s="115" t="str">
        <x:v>EXT-MONDE-T062</x:v>
      </x:c>
      <x:c r="C3074" s="115" t="str">
        <x:v>Épuration</x:v>
      </x:c>
      <x:c r="D3074" s="115" t="str">
        <x:v>Station de lagunage</x:v>
      </x:c>
      <x:c r="E3074" s="115" t="n">
        <x:v>19</x:v>
      </x:c>
      <x:c r="F3074" s="115" t="str">
        <x:v>Inspection physique</x:v>
      </x:c>
      <x:c r="G3074" s="115" t="str">
        <x:v>1 niveaux ; 22 pièces ; 167 segments de mur ; 0 transitions. Inspection physique ; architecture complète encore ouverte.</x:v>
      </x:c>
      <x:c r="H3074" s="115" t="str">
        <x:v>L 448 ; l 460 ; hauteur 5,2 m ; choix de composition auteur ; dimensions réelles à documenter</x:v>
      </x:c>
      <x:c r="I3074" s="115" t="str">
        <x:v>À équilibrer</x:v>
      </x:c>
      <x:c r="J3074" s="115" t="str">
        <x:v>Non</x:v>
      </x:c>
      <x:c r="K3074" s="115" t="str">
        <x:v>Pièces décrites, murs, portes, niveaux et mobilier inspectables à l’échelle. Volumes réservés, raccord au seed, butin, rencontres et services de campagne restent à terminer.</x:v>
      </x:c>
    </x:row>
    <x:row r="3075" ht="96" customHeight="1">
      <x:c r="A3075" s="115" t="str">
        <x:v>EXT-MONDE-T062-V20</x:v>
      </x:c>
      <x:c r="B3075" s="115" t="str">
        <x:v>EXT-MONDE-T062</x:v>
      </x:c>
      <x:c r="C3075" s="115" t="str">
        <x:v>Épuration</x:v>
      </x:c>
      <x:c r="D3075" s="115" t="str">
        <x:v>Station de lagunage</x:v>
      </x:c>
      <x:c r="E3075" s="115" t="n">
        <x:v>20</x:v>
      </x:c>
      <x:c r="F3075" s="115" t="str">
        <x:v>Inspection physique</x:v>
      </x:c>
      <x:c r="G3075" s="115" t="str">
        <x:v>1 niveaux ; 22 pièces ; 167 segments de mur ; 0 transitions. Inspection physique ; architecture complète encore ouverte.</x:v>
      </x:c>
      <x:c r="H3075" s="115" t="str">
        <x:v>L 448 ; l 460 ; hauteur 5,2 m ; choix de composition auteur ; dimensions réelles à documenter</x:v>
      </x:c>
      <x:c r="I3075" s="115" t="str">
        <x:v>À équilibrer</x:v>
      </x:c>
      <x:c r="J3075" s="115" t="str">
        <x:v>Non</x:v>
      </x:c>
      <x:c r="K3075" s="115" t="str">
        <x:v>Pièces décrites, murs, portes, niveaux et mobilier inspectables à l’échelle. Volumes réservés, raccord au seed, butin, rencontres et services de campagne restent à terminer.</x:v>
      </x:c>
    </x:row>
    <x:row r="3076" ht="96" customHeight="1">
      <x:c r="A3076" s="115" t="str">
        <x:v>EXT-MONDE-T062-V21</x:v>
      </x:c>
      <x:c r="B3076" s="115" t="str">
        <x:v>EXT-MONDE-T062</x:v>
      </x:c>
      <x:c r="C3076" s="115" t="str">
        <x:v>Épuration</x:v>
      </x:c>
      <x:c r="D3076" s="115" t="str">
        <x:v>Station de lagunage</x:v>
      </x:c>
      <x:c r="E3076" s="115" t="n">
        <x:v>21</x:v>
      </x:c>
      <x:c r="F3076" s="115" t="str">
        <x:v>Inspection physique</x:v>
      </x:c>
      <x:c r="G3076" s="115" t="str">
        <x:v>1 niveaux ; 22 pièces ; 167 segments de mur ; 0 transitions. Inspection physique ; architecture complète encore ouverte.</x:v>
      </x:c>
      <x:c r="H3076" s="115" t="str">
        <x:v>L 466 ; l 480 ; hauteur 5,4 m ; choix de composition auteur ; dimensions réelles à documenter</x:v>
      </x:c>
      <x:c r="I3076" s="115" t="str">
        <x:v>À équilibrer</x:v>
      </x:c>
      <x:c r="J3076" s="115" t="str">
        <x:v>Non</x:v>
      </x:c>
      <x:c r="K3076" s="115" t="str">
        <x:v>Pièces décrites, murs, portes, niveaux et mobilier inspectables à l’échelle. Volumes réservés, raccord au seed, butin, rencontres et services de campagne restent à terminer.</x:v>
      </x:c>
    </x:row>
    <x:row r="3077" ht="96" customHeight="1">
      <x:c r="A3077" s="115" t="str">
        <x:v>EXT-MONDE-T062-V22</x:v>
      </x:c>
      <x:c r="B3077" s="115" t="str">
        <x:v>EXT-MONDE-T062</x:v>
      </x:c>
      <x:c r="C3077" s="115" t="str">
        <x:v>Épuration</x:v>
      </x:c>
      <x:c r="D3077" s="115" t="str">
        <x:v>Station de lagunage</x:v>
      </x:c>
      <x:c r="E3077" s="115" t="n">
        <x:v>22</x:v>
      </x:c>
      <x:c r="F3077" s="115" t="str">
        <x:v>Inspection physique</x:v>
      </x:c>
      <x:c r="G3077" s="115" t="str">
        <x:v>1 niveaux ; 22 pièces ; 167 segments de mur ; 0 transitions. Inspection physique ; architecture complète encore ouverte.</x:v>
      </x:c>
      <x:c r="H3077" s="115" t="str">
        <x:v>L 466 ; l 480 ; hauteur 5,4 m ; choix de composition auteur ; dimensions réelles à documenter</x:v>
      </x:c>
      <x:c r="I3077" s="115" t="str">
        <x:v>À équilibrer</x:v>
      </x:c>
      <x:c r="J3077" s="115" t="str">
        <x:v>Non</x:v>
      </x:c>
      <x:c r="K3077" s="115" t="str">
        <x:v>Pièces décrites, murs, portes, niveaux et mobilier inspectables à l’échelle. Volumes réservés, raccord au seed, butin, rencontres et services de campagne restent à terminer.</x:v>
      </x:c>
    </x:row>
    <x:row r="3078" ht="96" customHeight="1">
      <x:c r="A3078" s="115" t="str">
        <x:v>EXT-MONDE-T062-V23</x:v>
      </x:c>
      <x:c r="B3078" s="115" t="str">
        <x:v>EXT-MONDE-T062</x:v>
      </x:c>
      <x:c r="C3078" s="115" t="str">
        <x:v>Épuration</x:v>
      </x:c>
      <x:c r="D3078" s="115" t="str">
        <x:v>Station de lagunage</x:v>
      </x:c>
      <x:c r="E3078" s="115" t="n">
        <x:v>23</x:v>
      </x:c>
      <x:c r="F3078" s="115" t="str">
        <x:v>Inspection physique</x:v>
      </x:c>
      <x:c r="G3078" s="115" t="str">
        <x:v>1 niveaux ; 22 pièces ; 167 segments de mur ; 0 transitions. Inspection physique ; architecture complète encore ouverte.</x:v>
      </x:c>
      <x:c r="H3078" s="115" t="str">
        <x:v>L 466 ; l 480 ; hauteur 5,4 m ; choix de composition auteur ; dimensions réelles à documenter</x:v>
      </x:c>
      <x:c r="I3078" s="115" t="str">
        <x:v>À équilibrer</x:v>
      </x:c>
      <x:c r="J3078" s="115" t="str">
        <x:v>Non</x:v>
      </x:c>
      <x:c r="K3078" s="115" t="str">
        <x:v>Pièces décrites, murs, portes, niveaux et mobilier inspectables à l’échelle. Volumes réservés, raccord au seed, butin, rencontres et services de campagne restent à terminer.</x:v>
      </x:c>
    </x:row>
    <x:row r="3079" ht="96" customHeight="1">
      <x:c r="A3079" s="115" t="str">
        <x:v>EXT-MONDE-T062-V24</x:v>
      </x:c>
      <x:c r="B3079" s="115" t="str">
        <x:v>EXT-MONDE-T062</x:v>
      </x:c>
      <x:c r="C3079" s="115" t="str">
        <x:v>Épuration</x:v>
      </x:c>
      <x:c r="D3079" s="115" t="str">
        <x:v>Station de lagunage</x:v>
      </x:c>
      <x:c r="E3079" s="115" t="n">
        <x:v>24</x:v>
      </x:c>
      <x:c r="F3079" s="115" t="str">
        <x:v>Inspection physique</x:v>
      </x:c>
      <x:c r="G3079" s="115" t="str">
        <x:v>1 niveaux ; 22 pièces ; 167 segments de mur ; 0 transitions. Inspection physique ; architecture complète encore ouverte.</x:v>
      </x:c>
      <x:c r="H3079" s="115" t="str">
        <x:v>L 466 ; l 480 ; hauteur 5,4 m ; choix de composition auteur ; dimensions réelles à documenter</x:v>
      </x:c>
      <x:c r="I3079" s="115" t="str">
        <x:v>À équilibrer</x:v>
      </x:c>
      <x:c r="J3079" s="115" t="str">
        <x:v>Non</x:v>
      </x:c>
      <x:c r="K3079" s="115" t="str">
        <x:v>Pièces décrites, murs, portes, niveaux et mobilier inspectables à l’échelle. Volumes réservés, raccord au seed, butin, rencontres et services de campagne restent à terminer.</x:v>
      </x:c>
    </x:row>
    <x:row r="3080" ht="96" customHeight="1">
      <x:c r="A3080" s="115" t="str">
        <x:v>EXT-MONDE-T062-V25</x:v>
      </x:c>
      <x:c r="B3080" s="115" t="str">
        <x:v>EXT-MONDE-T062</x:v>
      </x:c>
      <x:c r="C3080" s="115" t="str">
        <x:v>Épuration</x:v>
      </x:c>
      <x:c r="D3080" s="115" t="str">
        <x:v>Station de lagunage</x:v>
      </x:c>
      <x:c r="E3080" s="115" t="n">
        <x:v>25</x:v>
      </x:c>
      <x:c r="F3080" s="115" t="str">
        <x:v>Inspection physique</x:v>
      </x:c>
      <x:c r="G3080" s="115" t="str">
        <x:v>1 niveaux ; 22 pièces ; 167 segments de mur ; 0 transitions. Inspection physique ; architecture complète encore ouverte.</x:v>
      </x:c>
      <x:c r="H3080" s="115" t="str">
        <x:v>L 466 ; l 480 ; hauteur 5,4 m ; choix de composition auteur ; dimensions réelles à documenter</x:v>
      </x:c>
      <x:c r="I3080" s="115" t="str">
        <x:v>À équilibrer</x:v>
      </x:c>
      <x:c r="J3080" s="115" t="str">
        <x:v>Non</x:v>
      </x:c>
      <x:c r="K3080" s="115" t="str">
        <x:v>Pièces décrites, murs, portes, niveaux et mobilier inspectables à l’échelle. Volumes réservés, raccord au seed, butin, rencontres et services de campagne restent à terminer.</x:v>
      </x:c>
    </x:row>
    <x:row r="3081" ht="96" customHeight="1">
      <x:c r="A3081" s="115" t="str">
        <x:v>EXT-MONDE-T062-V26</x:v>
      </x:c>
      <x:c r="B3081" s="115" t="str">
        <x:v>EXT-MONDE-T062</x:v>
      </x:c>
      <x:c r="C3081" s="115" t="str">
        <x:v>Épuration</x:v>
      </x:c>
      <x:c r="D3081" s="115" t="str">
        <x:v>Station de lagunage</x:v>
      </x:c>
      <x:c r="E3081" s="115" t="n">
        <x:v>26</x:v>
      </x:c>
      <x:c r="F3081" s="115" t="str">
        <x:v>Inspection physique</x:v>
      </x:c>
      <x:c r="G3081" s="115" t="str">
        <x:v>1 niveaux ; 22 pièces ; 167 segments de mur ; 0 transitions. Inspection physique ; architecture complète encore ouverte.</x:v>
      </x:c>
      <x:c r="H3081" s="115" t="str">
        <x:v>L 466 ; l 480 ; hauteur 5,4 m ; choix de composition auteur ; dimensions réelles à documenter</x:v>
      </x:c>
      <x:c r="I3081" s="115" t="str">
        <x:v>À équilibrer</x:v>
      </x:c>
      <x:c r="J3081" s="115" t="str">
        <x:v>Non</x:v>
      </x:c>
      <x:c r="K3081" s="115" t="str">
        <x:v>Pièces décrites, murs, portes, niveaux et mobilier inspectables à l’échelle. Volumes réservés, raccord au seed, butin, rencontres et services de campagne restent à terminer.</x:v>
      </x:c>
    </x:row>
    <x:row r="3082" ht="96" customHeight="1">
      <x:c r="A3082" s="115" t="str">
        <x:v>EXT-MONDE-T062-V27</x:v>
      </x:c>
      <x:c r="B3082" s="115" t="str">
        <x:v>EXT-MONDE-T062</x:v>
      </x:c>
      <x:c r="C3082" s="115" t="str">
        <x:v>Épuration</x:v>
      </x:c>
      <x:c r="D3082" s="115" t="str">
        <x:v>Station de lagunage</x:v>
      </x:c>
      <x:c r="E3082" s="115" t="n">
        <x:v>27</x:v>
      </x:c>
      <x:c r="F3082" s="115" t="str">
        <x:v>Inspection physique</x:v>
      </x:c>
      <x:c r="G3082" s="115" t="str">
        <x:v>1 niveaux ; 22 pièces ; 167 segments de mur ; 0 transitions. Inspection physique ; architecture complète encore ouverte.</x:v>
      </x:c>
      <x:c r="H3082" s="115" t="str">
        <x:v>L 466 ; l 480 ; hauteur 5,4 m ; choix de composition auteur ; dimensions réelles à documenter</x:v>
      </x:c>
      <x:c r="I3082" s="115" t="str">
        <x:v>À équilibrer</x:v>
      </x:c>
      <x:c r="J3082" s="115" t="str">
        <x:v>Non</x:v>
      </x:c>
      <x:c r="K3082" s="115" t="str">
        <x:v>Pièces décrites, murs, portes, niveaux et mobilier inspectables à l’échelle. Volumes réservés, raccord au seed, butin, rencontres et services de campagne restent à terminer.</x:v>
      </x:c>
    </x:row>
    <x:row r="3083" ht="96" customHeight="1">
      <x:c r="A3083" s="115" t="str">
        <x:v>EXT-MONDE-T062-V28</x:v>
      </x:c>
      <x:c r="B3083" s="115" t="str">
        <x:v>EXT-MONDE-T062</x:v>
      </x:c>
      <x:c r="C3083" s="115" t="str">
        <x:v>Épuration</x:v>
      </x:c>
      <x:c r="D3083" s="115" t="str">
        <x:v>Station de lagunage</x:v>
      </x:c>
      <x:c r="E3083" s="115" t="n">
        <x:v>28</x:v>
      </x:c>
      <x:c r="F3083" s="115" t="str">
        <x:v>Inspection physique</x:v>
      </x:c>
      <x:c r="G3083" s="115" t="str">
        <x:v>1 niveaux ; 22 pièces ; 167 segments de mur ; 0 transitions. Inspection physique ; architecture complète encore ouverte.</x:v>
      </x:c>
      <x:c r="H3083" s="115" t="str">
        <x:v>L 466 ; l 480 ; hauteur 5,4 m ; choix de composition auteur ; dimensions réelles à documenter</x:v>
      </x:c>
      <x:c r="I3083" s="115" t="str">
        <x:v>À équilibrer</x:v>
      </x:c>
      <x:c r="J3083" s="115" t="str">
        <x:v>Non</x:v>
      </x:c>
      <x:c r="K3083" s="115" t="str">
        <x:v>Pièces décrites, murs, portes, niveaux et mobilier inspectables à l’échelle. Volumes réservés, raccord au seed, butin, rencontres et services de campagne restent à terminer.</x:v>
      </x:c>
    </x:row>
    <x:row r="3084" ht="96" customHeight="1">
      <x:c r="A3084" s="115" t="str">
        <x:v>EXT-MONDE-T062-V29</x:v>
      </x:c>
      <x:c r="B3084" s="115" t="str">
        <x:v>EXT-MONDE-T062</x:v>
      </x:c>
      <x:c r="C3084" s="115" t="str">
        <x:v>Épuration</x:v>
      </x:c>
      <x:c r="D3084" s="115" t="str">
        <x:v>Station de lagunage</x:v>
      </x:c>
      <x:c r="E3084" s="115" t="n">
        <x:v>29</x:v>
      </x:c>
      <x:c r="F3084" s="115" t="str">
        <x:v>Inspection physique</x:v>
      </x:c>
      <x:c r="G3084" s="115" t="str">
        <x:v>1 niveaux ; 22 pièces ; 167 segments de mur ; 0 transitions. Inspection physique ; architecture complète encore ouverte.</x:v>
      </x:c>
      <x:c r="H3084" s="115" t="str">
        <x:v>L 466 ; l 480 ; hauteur 5,4 m ; choix de composition auteur ; dimensions réelles à documenter</x:v>
      </x:c>
      <x:c r="I3084" s="115" t="str">
        <x:v>À équilibrer</x:v>
      </x:c>
      <x:c r="J3084" s="115" t="str">
        <x:v>Non</x:v>
      </x:c>
      <x:c r="K3084" s="115" t="str">
        <x:v>Pièces décrites, murs, portes, niveaux et mobilier inspectables à l’échelle. Volumes réservés, raccord au seed, butin, rencontres et services de campagne restent à terminer.</x:v>
      </x:c>
    </x:row>
    <x:row r="3085" ht="96" customHeight="1">
      <x:c r="A3085" s="115" t="str">
        <x:v>EXT-MONDE-T062-V30</x:v>
      </x:c>
      <x:c r="B3085" s="115" t="str">
        <x:v>EXT-MONDE-T062</x:v>
      </x:c>
      <x:c r="C3085" s="115" t="str">
        <x:v>Épuration</x:v>
      </x:c>
      <x:c r="D3085" s="115" t="str">
        <x:v>Station de lagunage</x:v>
      </x:c>
      <x:c r="E3085" s="115" t="n">
        <x:v>30</x:v>
      </x:c>
      <x:c r="F3085" s="115" t="str">
        <x:v>Inspection physique</x:v>
      </x:c>
      <x:c r="G3085" s="115" t="str">
        <x:v>1 niveaux ; 22 pièces ; 167 segments de mur ; 0 transitions. Inspection physique ; architecture complète encore ouverte.</x:v>
      </x:c>
      <x:c r="H3085" s="115" t="str">
        <x:v>L 466 ; l 480 ; hauteur 5,4 m ; choix de composition auteur ; dimensions réelles à documenter</x:v>
      </x:c>
      <x:c r="I3085" s="115" t="str">
        <x:v>À équilibrer</x:v>
      </x:c>
      <x:c r="J3085" s="115" t="str">
        <x:v>Non</x:v>
      </x:c>
      <x:c r="K3085" s="115" t="str">
        <x:v>Pièces décrites, murs, portes, niveaux et mobilier inspectables à l’échelle. Volumes réservés, raccord au seed, butin, rencontres et services de campagne restent à terminer.</x:v>
      </x:c>
    </x:row>
    <x:row r="3086" ht="96" customHeight="1">
      <x:c r="A3086" s="115" t="str">
        <x:v>EXT-MONDE-T062-V31</x:v>
      </x:c>
      <x:c r="B3086" s="115" t="str">
        <x:v>EXT-MONDE-T062</x:v>
      </x:c>
      <x:c r="C3086" s="115" t="str">
        <x:v>Épuration</x:v>
      </x:c>
      <x:c r="D3086" s="115" t="str">
        <x:v>Station de lagunage</x:v>
      </x:c>
      <x:c r="E3086" s="115" t="n">
        <x:v>31</x:v>
      </x:c>
      <x:c r="F3086" s="115" t="str">
        <x:v>Inspection physique</x:v>
      </x:c>
      <x:c r="G3086" s="115" t="str">
        <x:v>1 niveaux ; 22 pièces ; 167 segments de mur ; 0 transitions. Inspection physique ; architecture complète encore ouverte.</x:v>
      </x:c>
      <x:c r="H3086" s="115" t="str">
        <x:v>L 484 ; l 500 ; hauteur 5,6 m ; choix de composition auteur ; dimensions réelles à documenter</x:v>
      </x:c>
      <x:c r="I3086" s="115" t="str">
        <x:v>À équilibrer</x:v>
      </x:c>
      <x:c r="J3086" s="115" t="str">
        <x:v>Non</x:v>
      </x:c>
      <x:c r="K3086" s="115" t="str">
        <x:v>Pièces décrites, murs, portes, niveaux et mobilier inspectables à l’échelle. Volumes réservés, raccord au seed, butin, rencontres et services de campagne restent à terminer.</x:v>
      </x:c>
    </x:row>
    <x:row r="3087" ht="96" customHeight="1">
      <x:c r="A3087" s="115" t="str">
        <x:v>EXT-MONDE-T062-V32</x:v>
      </x:c>
      <x:c r="B3087" s="115" t="str">
        <x:v>EXT-MONDE-T062</x:v>
      </x:c>
      <x:c r="C3087" s="115" t="str">
        <x:v>Épuration</x:v>
      </x:c>
      <x:c r="D3087" s="115" t="str">
        <x:v>Station de lagunage</x:v>
      </x:c>
      <x:c r="E3087" s="115" t="n">
        <x:v>32</x:v>
      </x:c>
      <x:c r="F3087" s="115" t="str">
        <x:v>Inspection physique</x:v>
      </x:c>
      <x:c r="G3087" s="115" t="str">
        <x:v>1 niveaux ; 22 pièces ; 167 segments de mur ; 0 transitions. Inspection physique ; architecture complète encore ouverte.</x:v>
      </x:c>
      <x:c r="H3087" s="115" t="str">
        <x:v>L 484 ; l 500 ; hauteur 5,6 m ; choix de composition auteur ; dimensions réelles à documenter</x:v>
      </x:c>
      <x:c r="I3087" s="115" t="str">
        <x:v>À équilibrer</x:v>
      </x:c>
      <x:c r="J3087" s="115" t="str">
        <x:v>Non</x:v>
      </x:c>
      <x:c r="K3087" s="115" t="str">
        <x:v>Pièces décrites, murs, portes, niveaux et mobilier inspectables à l’échelle. Volumes réservés, raccord au seed, butin, rencontres et services de campagne restent à terminer.</x:v>
      </x:c>
    </x:row>
    <x:row r="3088" ht="96" customHeight="1">
      <x:c r="A3088" s="115" t="str">
        <x:v>EXT-MONDE-T062-V33</x:v>
      </x:c>
      <x:c r="B3088" s="115" t="str">
        <x:v>EXT-MONDE-T062</x:v>
      </x:c>
      <x:c r="C3088" s="115" t="str">
        <x:v>Épuration</x:v>
      </x:c>
      <x:c r="D3088" s="115" t="str">
        <x:v>Station de lagunage</x:v>
      </x:c>
      <x:c r="E3088" s="115" t="n">
        <x:v>33</x:v>
      </x:c>
      <x:c r="F3088" s="115" t="str">
        <x:v>Inspection physique</x:v>
      </x:c>
      <x:c r="G3088" s="115" t="str">
        <x:v>1 niveaux ; 22 pièces ; 167 segments de mur ; 0 transitions. Inspection physique ; architecture complète encore ouverte.</x:v>
      </x:c>
      <x:c r="H3088" s="115" t="str">
        <x:v>L 484 ; l 500 ; hauteur 5,6 m ; choix de composition auteur ; dimensions réelles à documenter</x:v>
      </x:c>
      <x:c r="I3088" s="115" t="str">
        <x:v>À équilibrer</x:v>
      </x:c>
      <x:c r="J3088" s="115" t="str">
        <x:v>Non</x:v>
      </x:c>
      <x:c r="K3088" s="115" t="str">
        <x:v>Pièces décrites, murs, portes, niveaux et mobilier inspectables à l’échelle. Volumes réservés, raccord au seed, butin, rencontres et services de campagne restent à terminer.</x:v>
      </x:c>
    </x:row>
    <x:row r="3089" ht="96" customHeight="1">
      <x:c r="A3089" s="115" t="str">
        <x:v>EXT-MONDE-T062-V34</x:v>
      </x:c>
      <x:c r="B3089" s="115" t="str">
        <x:v>EXT-MONDE-T062</x:v>
      </x:c>
      <x:c r="C3089" s="115" t="str">
        <x:v>Épuration</x:v>
      </x:c>
      <x:c r="D3089" s="115" t="str">
        <x:v>Station de lagunage</x:v>
      </x:c>
      <x:c r="E3089" s="115" t="n">
        <x:v>34</x:v>
      </x:c>
      <x:c r="F3089" s="115" t="str">
        <x:v>Inspection physique</x:v>
      </x:c>
      <x:c r="G3089" s="115" t="str">
        <x:v>1 niveaux ; 22 pièces ; 167 segments de mur ; 0 transitions. Inspection physique ; architecture complète encore ouverte.</x:v>
      </x:c>
      <x:c r="H3089" s="115" t="str">
        <x:v>L 484 ; l 500 ; hauteur 5,6 m ; choix de composition auteur ; dimensions réelles à documenter</x:v>
      </x:c>
      <x:c r="I3089" s="115" t="str">
        <x:v>À équilibrer</x:v>
      </x:c>
      <x:c r="J3089" s="115" t="str">
        <x:v>Non</x:v>
      </x:c>
      <x:c r="K3089" s="115" t="str">
        <x:v>Pièces décrites, murs, portes, niveaux et mobilier inspectables à l’échelle. Volumes réservés, raccord au seed, butin, rencontres et services de campagne restent à terminer.</x:v>
      </x:c>
    </x:row>
    <x:row r="3090" ht="96" customHeight="1">
      <x:c r="A3090" s="115" t="str">
        <x:v>EXT-MONDE-T062-V35</x:v>
      </x:c>
      <x:c r="B3090" s="115" t="str">
        <x:v>EXT-MONDE-T062</x:v>
      </x:c>
      <x:c r="C3090" s="115" t="str">
        <x:v>Épuration</x:v>
      </x:c>
      <x:c r="D3090" s="115" t="str">
        <x:v>Station de lagunage</x:v>
      </x:c>
      <x:c r="E3090" s="115" t="n">
        <x:v>35</x:v>
      </x:c>
      <x:c r="F3090" s="115" t="str">
        <x:v>Inspection physique</x:v>
      </x:c>
      <x:c r="G3090" s="115" t="str">
        <x:v>1 niveaux ; 22 pièces ; 167 segments de mur ; 0 transitions. Inspection physique ; architecture complète encore ouverte.</x:v>
      </x:c>
      <x:c r="H3090" s="115" t="str">
        <x:v>L 484 ; l 500 ; hauteur 5,6 m ; choix de composition auteur ; dimensions réelles à documenter</x:v>
      </x:c>
      <x:c r="I3090" s="115" t="str">
        <x:v>À équilibrer</x:v>
      </x:c>
      <x:c r="J3090" s="115" t="str">
        <x:v>Non</x:v>
      </x:c>
      <x:c r="K3090" s="115" t="str">
        <x:v>Pièces décrites, murs, portes, niveaux et mobilier inspectables à l’échelle. Volumes réservés, raccord au seed, butin, rencontres et services de campagne restent à terminer.</x:v>
      </x:c>
    </x:row>
    <x:row r="3091" ht="96" customHeight="1">
      <x:c r="A3091" s="115" t="str">
        <x:v>EXT-MONDE-T062-V36</x:v>
      </x:c>
      <x:c r="B3091" s="115" t="str">
        <x:v>EXT-MONDE-T062</x:v>
      </x:c>
      <x:c r="C3091" s="115" t="str">
        <x:v>Épuration</x:v>
      </x:c>
      <x:c r="D3091" s="115" t="str">
        <x:v>Station de lagunage</x:v>
      </x:c>
      <x:c r="E3091" s="115" t="n">
        <x:v>36</x:v>
      </x:c>
      <x:c r="F3091" s="115" t="str">
        <x:v>Inspection physique</x:v>
      </x:c>
      <x:c r="G3091" s="115" t="str">
        <x:v>1 niveaux ; 22 pièces ; 167 segments de mur ; 0 transitions. Inspection physique ; architecture complète encore ouverte.</x:v>
      </x:c>
      <x:c r="H3091" s="115" t="str">
        <x:v>L 484 ; l 500 ; hauteur 5,6 m ; choix de composition auteur ; dimensions réelles à documenter</x:v>
      </x:c>
      <x:c r="I3091" s="115" t="str">
        <x:v>À équilibrer</x:v>
      </x:c>
      <x:c r="J3091" s="115" t="str">
        <x:v>Non</x:v>
      </x:c>
      <x:c r="K3091" s="115" t="str">
        <x:v>Pièces décrites, murs, portes, niveaux et mobilier inspectables à l’échelle. Volumes réservés, raccord au seed, butin, rencontres et services de campagne restent à terminer.</x:v>
      </x:c>
    </x:row>
    <x:row r="3092" ht="96" customHeight="1">
      <x:c r="A3092" s="115" t="str">
        <x:v>EXT-MONDE-T062-V37</x:v>
      </x:c>
      <x:c r="B3092" s="115" t="str">
        <x:v>EXT-MONDE-T062</x:v>
      </x:c>
      <x:c r="C3092" s="115" t="str">
        <x:v>Épuration</x:v>
      </x:c>
      <x:c r="D3092" s="115" t="str">
        <x:v>Station de lagunage</x:v>
      </x:c>
      <x:c r="E3092" s="115" t="n">
        <x:v>37</x:v>
      </x:c>
      <x:c r="F3092" s="115" t="str">
        <x:v>Inspection physique</x:v>
      </x:c>
      <x:c r="G3092" s="115" t="str">
        <x:v>1 niveaux ; 22 pièces ; 167 segments de mur ; 0 transitions. Inspection physique ; architecture complète encore ouverte.</x:v>
      </x:c>
      <x:c r="H3092" s="115" t="str">
        <x:v>L 484 ; l 500 ; hauteur 5,6 m ; choix de composition auteur ; dimensions réelles à documenter</x:v>
      </x:c>
      <x:c r="I3092" s="115" t="str">
        <x:v>À équilibrer</x:v>
      </x:c>
      <x:c r="J3092" s="115" t="str">
        <x:v>Non</x:v>
      </x:c>
      <x:c r="K3092" s="115" t="str">
        <x:v>Pièces décrites, murs, portes, niveaux et mobilier inspectables à l’échelle. Volumes réservés, raccord au seed, butin, rencontres et services de campagne restent à terminer.</x:v>
      </x:c>
    </x:row>
    <x:row r="3093" ht="96" customHeight="1">
      <x:c r="A3093" s="115" t="str">
        <x:v>EXT-MONDE-T062-V38</x:v>
      </x:c>
      <x:c r="B3093" s="115" t="str">
        <x:v>EXT-MONDE-T062</x:v>
      </x:c>
      <x:c r="C3093" s="115" t="str">
        <x:v>Épuration</x:v>
      </x:c>
      <x:c r="D3093" s="115" t="str">
        <x:v>Station de lagunage</x:v>
      </x:c>
      <x:c r="E3093" s="115" t="n">
        <x:v>38</x:v>
      </x:c>
      <x:c r="F3093" s="115" t="str">
        <x:v>Inspection physique</x:v>
      </x:c>
      <x:c r="G3093" s="115" t="str">
        <x:v>1 niveaux ; 22 pièces ; 167 segments de mur ; 0 transitions. Inspection physique ; architecture complète encore ouverte.</x:v>
      </x:c>
      <x:c r="H3093" s="115" t="str">
        <x:v>L 484 ; l 500 ; hauteur 5,6 m ; choix de composition auteur ; dimensions réelles à documenter</x:v>
      </x:c>
      <x:c r="I3093" s="115" t="str">
        <x:v>À équilibrer</x:v>
      </x:c>
      <x:c r="J3093" s="115" t="str">
        <x:v>Non</x:v>
      </x:c>
      <x:c r="K3093" s="115" t="str">
        <x:v>Pièces décrites, murs, portes, niveaux et mobilier inspectables à l’échelle. Volumes réservés, raccord au seed, butin, rencontres et services de campagne restent à terminer.</x:v>
      </x:c>
    </x:row>
    <x:row r="3094" ht="96" customHeight="1">
      <x:c r="A3094" s="115" t="str">
        <x:v>EXT-MONDE-T062-V39</x:v>
      </x:c>
      <x:c r="B3094" s="115" t="str">
        <x:v>EXT-MONDE-T062</x:v>
      </x:c>
      <x:c r="C3094" s="115" t="str">
        <x:v>Épuration</x:v>
      </x:c>
      <x:c r="D3094" s="115" t="str">
        <x:v>Station de lagunage</x:v>
      </x:c>
      <x:c r="E3094" s="115" t="n">
        <x:v>39</x:v>
      </x:c>
      <x:c r="F3094" s="115" t="str">
        <x:v>Inspection physique</x:v>
      </x:c>
      <x:c r="G3094" s="115" t="str">
        <x:v>1 niveaux ; 22 pièces ; 167 segments de mur ; 0 transitions. Inspection physique ; architecture complète encore ouverte.</x:v>
      </x:c>
      <x:c r="H3094" s="115" t="str">
        <x:v>L 484 ; l 500 ; hauteur 5,6 m ; choix de composition auteur ; dimensions réelles à documenter</x:v>
      </x:c>
      <x:c r="I3094" s="115" t="str">
        <x:v>À équilibrer</x:v>
      </x:c>
      <x:c r="J3094" s="115" t="str">
        <x:v>Non</x:v>
      </x:c>
      <x:c r="K3094" s="115" t="str">
        <x:v>Pièces décrites, murs, portes, niveaux et mobilier inspectables à l’échelle. Volumes réservés, raccord au seed, butin, rencontres et services de campagne restent à terminer.</x:v>
      </x:c>
    </x:row>
    <x:row r="3095" ht="96" customHeight="1">
      <x:c r="A3095" s="115" t="str">
        <x:v>EXT-MONDE-T062-V40</x:v>
      </x:c>
      <x:c r="B3095" s="115" t="str">
        <x:v>EXT-MONDE-T062</x:v>
      </x:c>
      <x:c r="C3095" s="115" t="str">
        <x:v>Épuration</x:v>
      </x:c>
      <x:c r="D3095" s="115" t="str">
        <x:v>Station de lagunage</x:v>
      </x:c>
      <x:c r="E3095" s="115" t="n">
        <x:v>40</x:v>
      </x:c>
      <x:c r="F3095" s="115" t="str">
        <x:v>Inspection physique</x:v>
      </x:c>
      <x:c r="G3095" s="115" t="str">
        <x:v>1 niveaux ; 22 pièces ; 167 segments de mur ; 0 transitions. Inspection physique ; architecture complète encore ouverte.</x:v>
      </x:c>
      <x:c r="H3095" s="115" t="str">
        <x:v>L 484 ; l 500 ; hauteur 5,6 m ; choix de composition auteur ; dimensions réelles à documenter</x:v>
      </x:c>
      <x:c r="I3095" s="115" t="str">
        <x:v>À équilibrer</x:v>
      </x:c>
      <x:c r="J3095" s="115" t="str">
        <x:v>Non</x:v>
      </x:c>
      <x:c r="K3095" s="115" t="str">
        <x:v>Pièces décrites, murs, portes, niveaux et mobilier inspectables à l’échelle. Volumes réservés, raccord au seed, butin, rencontres et services de campagne restent à terminer.</x:v>
      </x:c>
    </x:row>
    <x:row r="3096" ht="96" customHeight="1">
      <x:c r="A3096" s="115" t="str">
        <x:v>EXT-MONDE-T062-V41</x:v>
      </x:c>
      <x:c r="B3096" s="115" t="str">
        <x:v>EXT-MONDE-T062</x:v>
      </x:c>
      <x:c r="C3096" s="115" t="str">
        <x:v>Épuration</x:v>
      </x:c>
      <x:c r="D3096" s="115" t="str">
        <x:v>Station de lagunage</x:v>
      </x:c>
      <x:c r="E3096" s="115" t="n">
        <x:v>41</x:v>
      </x:c>
      <x:c r="F3096" s="115" t="str">
        <x:v>Inspection physique</x:v>
      </x:c>
      <x:c r="G3096" s="115" t="str">
        <x:v>1 niveaux ; 22 pièces ; 167 segments de mur ; 0 transitions. Inspection physique ; architecture complète encore ouverte.</x:v>
      </x:c>
      <x:c r="H3096" s="115" t="str">
        <x:v>L 502 ; l 520 ; hauteur 5,8 m ; choix de composition auteur ; dimensions réelles à documenter</x:v>
      </x:c>
      <x:c r="I3096" s="115" t="str">
        <x:v>À équilibrer</x:v>
      </x:c>
      <x:c r="J3096" s="115" t="str">
        <x:v>Non</x:v>
      </x:c>
      <x:c r="K3096" s="115" t="str">
        <x:v>Pièces décrites, murs, portes, niveaux et mobilier inspectables à l’échelle. Volumes réservés, raccord au seed, butin, rencontres et services de campagne restent à terminer.</x:v>
      </x:c>
    </x:row>
    <x:row r="3097" ht="96" customHeight="1">
      <x:c r="A3097" s="115" t="str">
        <x:v>EXT-MONDE-T062-V42</x:v>
      </x:c>
      <x:c r="B3097" s="115" t="str">
        <x:v>EXT-MONDE-T062</x:v>
      </x:c>
      <x:c r="C3097" s="115" t="str">
        <x:v>Épuration</x:v>
      </x:c>
      <x:c r="D3097" s="115" t="str">
        <x:v>Station de lagunage</x:v>
      </x:c>
      <x:c r="E3097" s="115" t="n">
        <x:v>42</x:v>
      </x:c>
      <x:c r="F3097" s="115" t="str">
        <x:v>Inspection physique</x:v>
      </x:c>
      <x:c r="G3097" s="115" t="str">
        <x:v>1 niveaux ; 22 pièces ; 167 segments de mur ; 0 transitions. Inspection physique ; architecture complète encore ouverte.</x:v>
      </x:c>
      <x:c r="H3097" s="115" t="str">
        <x:v>L 502 ; l 520 ; hauteur 5,8 m ; choix de composition auteur ; dimensions réelles à documenter</x:v>
      </x:c>
      <x:c r="I3097" s="115" t="str">
        <x:v>À équilibrer</x:v>
      </x:c>
      <x:c r="J3097" s="115" t="str">
        <x:v>Non</x:v>
      </x:c>
      <x:c r="K3097" s="115" t="str">
        <x:v>Pièces décrites, murs, portes, niveaux et mobilier inspectables à l’échelle. Volumes réservés, raccord au seed, butin, rencontres et services de campagne restent à terminer.</x:v>
      </x:c>
    </x:row>
    <x:row r="3098" ht="96" customHeight="1">
      <x:c r="A3098" s="115" t="str">
        <x:v>EXT-MONDE-T062-V43</x:v>
      </x:c>
      <x:c r="B3098" s="115" t="str">
        <x:v>EXT-MONDE-T062</x:v>
      </x:c>
      <x:c r="C3098" s="115" t="str">
        <x:v>Épuration</x:v>
      </x:c>
      <x:c r="D3098" s="115" t="str">
        <x:v>Station de lagunage</x:v>
      </x:c>
      <x:c r="E3098" s="115" t="n">
        <x:v>43</x:v>
      </x:c>
      <x:c r="F3098" s="115" t="str">
        <x:v>Inspection physique</x:v>
      </x:c>
      <x:c r="G3098" s="115" t="str">
        <x:v>1 niveaux ; 22 pièces ; 167 segments de mur ; 0 transitions. Inspection physique ; architecture complète encore ouverte.</x:v>
      </x:c>
      <x:c r="H3098" s="115" t="str">
        <x:v>L 502 ; l 520 ; hauteur 5,8 m ; choix de composition auteur ; dimensions réelles à documenter</x:v>
      </x:c>
      <x:c r="I3098" s="115" t="str">
        <x:v>À équilibrer</x:v>
      </x:c>
      <x:c r="J3098" s="115" t="str">
        <x:v>Non</x:v>
      </x:c>
      <x:c r="K3098" s="115" t="str">
        <x:v>Pièces décrites, murs, portes, niveaux et mobilier inspectables à l’échelle. Volumes réservés, raccord au seed, butin, rencontres et services de campagne restent à terminer.</x:v>
      </x:c>
    </x:row>
    <x:row r="3099" ht="96" customHeight="1">
      <x:c r="A3099" s="115" t="str">
        <x:v>EXT-MONDE-T062-V44</x:v>
      </x:c>
      <x:c r="B3099" s="115" t="str">
        <x:v>EXT-MONDE-T062</x:v>
      </x:c>
      <x:c r="C3099" s="115" t="str">
        <x:v>Épuration</x:v>
      </x:c>
      <x:c r="D3099" s="115" t="str">
        <x:v>Station de lagunage</x:v>
      </x:c>
      <x:c r="E3099" s="115" t="n">
        <x:v>44</x:v>
      </x:c>
      <x:c r="F3099" s="115" t="str">
        <x:v>Inspection physique</x:v>
      </x:c>
      <x:c r="G3099" s="115" t="str">
        <x:v>1 niveaux ; 22 pièces ; 167 segments de mur ; 0 transitions. Inspection physique ; architecture complète encore ouverte.</x:v>
      </x:c>
      <x:c r="H3099" s="115" t="str">
        <x:v>L 502 ; l 520 ; hauteur 5,8 m ; choix de composition auteur ; dimensions réelles à documenter</x:v>
      </x:c>
      <x:c r="I3099" s="115" t="str">
        <x:v>À équilibrer</x:v>
      </x:c>
      <x:c r="J3099" s="115" t="str">
        <x:v>Non</x:v>
      </x:c>
      <x:c r="K3099" s="115" t="str">
        <x:v>Pièces décrites, murs, portes, niveaux et mobilier inspectables à l’échelle. Volumes réservés, raccord au seed, butin, rencontres et services de campagne restent à terminer.</x:v>
      </x:c>
    </x:row>
    <x:row r="3100" ht="96" customHeight="1">
      <x:c r="A3100" s="115" t="str">
        <x:v>EXT-MONDE-T062-V45</x:v>
      </x:c>
      <x:c r="B3100" s="115" t="str">
        <x:v>EXT-MONDE-T062</x:v>
      </x:c>
      <x:c r="C3100" s="115" t="str">
        <x:v>Épuration</x:v>
      </x:c>
      <x:c r="D3100" s="115" t="str">
        <x:v>Station de lagunage</x:v>
      </x:c>
      <x:c r="E3100" s="115" t="n">
        <x:v>45</x:v>
      </x:c>
      <x:c r="F3100" s="115" t="str">
        <x:v>Inspection physique</x:v>
      </x:c>
      <x:c r="G3100" s="115" t="str">
        <x:v>1 niveaux ; 22 pièces ; 167 segments de mur ; 0 transitions. Inspection physique ; architecture complète encore ouverte.</x:v>
      </x:c>
      <x:c r="H3100" s="115" t="str">
        <x:v>L 502 ; l 520 ; hauteur 5,8 m ; choix de composition auteur ; dimensions réelles à documenter</x:v>
      </x:c>
      <x:c r="I3100" s="115" t="str">
        <x:v>À équilibrer</x:v>
      </x:c>
      <x:c r="J3100" s="115" t="str">
        <x:v>Non</x:v>
      </x:c>
      <x:c r="K3100" s="115" t="str">
        <x:v>Pièces décrites, murs, portes, niveaux et mobilier inspectables à l’échelle. Volumes réservés, raccord au seed, butin, rencontres et services de campagne restent à terminer.</x:v>
      </x:c>
    </x:row>
    <x:row r="3101" ht="96" customHeight="1">
      <x:c r="A3101" s="115" t="str">
        <x:v>EXT-MONDE-T062-V46</x:v>
      </x:c>
      <x:c r="B3101" s="115" t="str">
        <x:v>EXT-MONDE-T062</x:v>
      </x:c>
      <x:c r="C3101" s="115" t="str">
        <x:v>Épuration</x:v>
      </x:c>
      <x:c r="D3101" s="115" t="str">
        <x:v>Station de lagunage</x:v>
      </x:c>
      <x:c r="E3101" s="115" t="n">
        <x:v>46</x:v>
      </x:c>
      <x:c r="F3101" s="115" t="str">
        <x:v>Inspection physique</x:v>
      </x:c>
      <x:c r="G3101" s="115" t="str">
        <x:v>1 niveaux ; 22 pièces ; 167 segments de mur ; 0 transitions. Inspection physique ; architecture complète encore ouverte.</x:v>
      </x:c>
      <x:c r="H3101" s="115" t="str">
        <x:v>L 502 ; l 520 ; hauteur 5,8 m ; choix de composition auteur ; dimensions réelles à documenter</x:v>
      </x:c>
      <x:c r="I3101" s="115" t="str">
        <x:v>À équilibrer</x:v>
      </x:c>
      <x:c r="J3101" s="115" t="str">
        <x:v>Non</x:v>
      </x:c>
      <x:c r="K3101" s="115" t="str">
        <x:v>Pièces décrites, murs, portes, niveaux et mobilier inspectables à l’échelle. Volumes réservés, raccord au seed, butin, rencontres et services de campagne restent à terminer.</x:v>
      </x:c>
    </x:row>
    <x:row r="3102" ht="96" customHeight="1">
      <x:c r="A3102" s="115" t="str">
        <x:v>EXT-MONDE-T062-V47</x:v>
      </x:c>
      <x:c r="B3102" s="115" t="str">
        <x:v>EXT-MONDE-T062</x:v>
      </x:c>
      <x:c r="C3102" s="115" t="str">
        <x:v>Épuration</x:v>
      </x:c>
      <x:c r="D3102" s="115" t="str">
        <x:v>Station de lagunage</x:v>
      </x:c>
      <x:c r="E3102" s="115" t="n">
        <x:v>47</x:v>
      </x:c>
      <x:c r="F3102" s="115" t="str">
        <x:v>Inspection physique</x:v>
      </x:c>
      <x:c r="G3102" s="115" t="str">
        <x:v>1 niveaux ; 22 pièces ; 167 segments de mur ; 0 transitions. Inspection physique ; architecture complète encore ouverte.</x:v>
      </x:c>
      <x:c r="H3102" s="115" t="str">
        <x:v>L 502 ; l 520 ; hauteur 5,8 m ; choix de composition auteur ; dimensions réelles à documenter</x:v>
      </x:c>
      <x:c r="I3102" s="115" t="str">
        <x:v>À équilibrer</x:v>
      </x:c>
      <x:c r="J3102" s="115" t="str">
        <x:v>Non</x:v>
      </x:c>
      <x:c r="K3102" s="115" t="str">
        <x:v>Pièces décrites, murs, portes, niveaux et mobilier inspectables à l’échelle. Volumes réservés, raccord au seed, butin, rencontres et services de campagne restent à terminer.</x:v>
      </x:c>
    </x:row>
    <x:row r="3103" ht="96" customHeight="1">
      <x:c r="A3103" s="115" t="str">
        <x:v>EXT-MONDE-T062-V48</x:v>
      </x:c>
      <x:c r="B3103" s="115" t="str">
        <x:v>EXT-MONDE-T062</x:v>
      </x:c>
      <x:c r="C3103" s="115" t="str">
        <x:v>Épuration</x:v>
      </x:c>
      <x:c r="D3103" s="115" t="str">
        <x:v>Station de lagunage</x:v>
      </x:c>
      <x:c r="E3103" s="115" t="n">
        <x:v>48</x:v>
      </x:c>
      <x:c r="F3103" s="115" t="str">
        <x:v>Inspection physique</x:v>
      </x:c>
      <x:c r="G3103" s="115" t="str">
        <x:v>1 niveaux ; 22 pièces ; 167 segments de mur ; 0 transitions. Inspection physique ; architecture complète encore ouverte.</x:v>
      </x:c>
      <x:c r="H3103" s="115" t="str">
        <x:v>L 502 ; l 520 ; hauteur 5,8 m ; choix de composition auteur ; dimensions réelles à documenter</x:v>
      </x:c>
      <x:c r="I3103" s="115" t="str">
        <x:v>À équilibrer</x:v>
      </x:c>
      <x:c r="J3103" s="115" t="str">
        <x:v>Non</x:v>
      </x:c>
      <x:c r="K3103" s="115" t="str">
        <x:v>Pièces décrites, murs, portes, niveaux et mobilier inspectables à l’échelle. Volumes réservés, raccord au seed, butin, rencontres et services de campagne restent à terminer.</x:v>
      </x:c>
    </x:row>
    <x:row r="3104" ht="96" customHeight="1">
      <x:c r="A3104" s="115" t="str">
        <x:v>EXT-MONDE-T062-V49</x:v>
      </x:c>
      <x:c r="B3104" s="115" t="str">
        <x:v>EXT-MONDE-T062</x:v>
      </x:c>
      <x:c r="C3104" s="115" t="str">
        <x:v>Épuration</x:v>
      </x:c>
      <x:c r="D3104" s="115" t="str">
        <x:v>Station de lagunage</x:v>
      </x:c>
      <x:c r="E3104" s="115" t="n">
        <x:v>49</x:v>
      </x:c>
      <x:c r="F3104" s="115" t="str">
        <x:v>Inspection physique</x:v>
      </x:c>
      <x:c r="G3104" s="115" t="str">
        <x:v>1 niveaux ; 22 pièces ; 167 segments de mur ; 0 transitions. Inspection physique ; architecture complète encore ouverte.</x:v>
      </x:c>
      <x:c r="H3104" s="115" t="str">
        <x:v>L 502 ; l 520 ; hauteur 5,8 m ; choix de composition auteur ; dimensions réelles à documenter</x:v>
      </x:c>
      <x:c r="I3104" s="115" t="str">
        <x:v>À équilibrer</x:v>
      </x:c>
      <x:c r="J3104" s="115" t="str">
        <x:v>Non</x:v>
      </x:c>
      <x:c r="K3104" s="115" t="str">
        <x:v>Pièces décrites, murs, portes, niveaux et mobilier inspectables à l’échelle. Volumes réservés, raccord au seed, butin, rencontres et services de campagne restent à terminer.</x:v>
      </x:c>
    </x:row>
    <x:row r="3105" ht="96" customHeight="1">
      <x:c r="A3105" s="115" t="str">
        <x:v>EXT-MONDE-T062-V50</x:v>
      </x:c>
      <x:c r="B3105" s="115" t="str">
        <x:v>EXT-MONDE-T062</x:v>
      </x:c>
      <x:c r="C3105" s="115" t="str">
        <x:v>Épuration</x:v>
      </x:c>
      <x:c r="D3105" s="115" t="str">
        <x:v>Station de lagunage</x:v>
      </x:c>
      <x:c r="E3105" s="115" t="n">
        <x:v>50</x:v>
      </x:c>
      <x:c r="F3105" s="115" t="str">
        <x:v>Inspection physique</x:v>
      </x:c>
      <x:c r="G3105" s="115" t="str">
        <x:v>1 niveaux ; 22 pièces ; 167 segments de mur ; 0 transitions. Inspection physique ; architecture complète encore ouverte.</x:v>
      </x:c>
      <x:c r="H3105" s="115" t="str">
        <x:v>L 502 ; l 520 ; hauteur 5,8 m ; choix de composition auteur ; dimensions réelles à documenter</x:v>
      </x:c>
      <x:c r="I3105" s="115" t="str">
        <x:v>À équilibrer</x:v>
      </x:c>
      <x:c r="J3105" s="115" t="str">
        <x:v>Non</x:v>
      </x:c>
      <x:c r="K3105" s="115" t="str">
        <x:v>Pièces décrites, murs, portes, niveaux et mobilier inspectables à l’échelle. Volumes réservés, raccord au seed, butin, rencontres et services de campagne restent à terminer.</x:v>
      </x:c>
    </x:row>
    <x:row r="3106" ht="96" customHeight="1">
      <x:c r="A3106" s="115" t="str">
        <x:v>EXT-MONDE-T063-V01</x:v>
      </x:c>
      <x:c r="B3106" s="115" t="str">
        <x:v>EXT-MONDE-T063</x:v>
      </x:c>
      <x:c r="C3106" s="115" t="str">
        <x:v>Épuration</x:v>
      </x:c>
      <x:c r="D3106" s="115" t="str">
        <x:v>Traitement des eaux industrielles</x:v>
      </x:c>
      <x:c r="E3106" s="115" t="n">
        <x:v>1</x:v>
      </x:c>
      <x:c r="F3106" s="115" t="str">
        <x:v>Inspection physique</x:v>
      </x:c>
      <x:c r="G3106" s="115" t="str">
        <x:v>1 niveaux ; 22 pièces ; 167 segments de mur ; 0 transitions. Inspection physique ; architecture complète encore ouverte.</x:v>
      </x:c>
      <x:c r="H3106" s="115" t="str">
        <x:v>L 430 ; l 440 ; hauteur 5,5 m ; choix de composition auteur ; dimensions réelles à documenter</x:v>
      </x:c>
      <x:c r="I3106" s="115" t="str">
        <x:v>À équilibrer</x:v>
      </x:c>
      <x:c r="J3106" s="115" t="str">
        <x:v>Non</x:v>
      </x:c>
      <x:c r="K3106" s="115" t="str">
        <x:v>Pièces décrites, murs, portes, niveaux et mobilier inspectables à l’échelle. Volumes réservés, raccord au seed, butin, rencontres et services de campagne restent à terminer.</x:v>
      </x:c>
    </x:row>
    <x:row r="3107" ht="96" customHeight="1">
      <x:c r="A3107" s="115" t="str">
        <x:v>EXT-MONDE-T063-V02</x:v>
      </x:c>
      <x:c r="B3107" s="115" t="str">
        <x:v>EXT-MONDE-T063</x:v>
      </x:c>
      <x:c r="C3107" s="115" t="str">
        <x:v>Épuration</x:v>
      </x:c>
      <x:c r="D3107" s="115" t="str">
        <x:v>Traitement des eaux industrielles</x:v>
      </x:c>
      <x:c r="E3107" s="115" t="n">
        <x:v>2</x:v>
      </x:c>
      <x:c r="F3107" s="115" t="str">
        <x:v>Inspection physique</x:v>
      </x:c>
      <x:c r="G3107" s="115" t="str">
        <x:v>1 niveaux ; 22 pièces ; 167 segments de mur ; 0 transitions. Inspection physique ; architecture complète encore ouverte.</x:v>
      </x:c>
      <x:c r="H3107" s="115" t="str">
        <x:v>L 430 ; l 440 ; hauteur 5,5 m ; choix de composition auteur ; dimensions réelles à documenter</x:v>
      </x:c>
      <x:c r="I3107" s="115" t="str">
        <x:v>À équilibrer</x:v>
      </x:c>
      <x:c r="J3107" s="115" t="str">
        <x:v>Non</x:v>
      </x:c>
      <x:c r="K3107" s="115" t="str">
        <x:v>Pièces décrites, murs, portes, niveaux et mobilier inspectables à l’échelle. Volumes réservés, raccord au seed, butin, rencontres et services de campagne restent à terminer.</x:v>
      </x:c>
    </x:row>
    <x:row r="3108" ht="96" customHeight="1">
      <x:c r="A3108" s="115" t="str">
        <x:v>EXT-MONDE-T063-V03</x:v>
      </x:c>
      <x:c r="B3108" s="115" t="str">
        <x:v>EXT-MONDE-T063</x:v>
      </x:c>
      <x:c r="C3108" s="115" t="str">
        <x:v>Épuration</x:v>
      </x:c>
      <x:c r="D3108" s="115" t="str">
        <x:v>Traitement des eaux industrielles</x:v>
      </x:c>
      <x:c r="E3108" s="115" t="n">
        <x:v>3</x:v>
      </x:c>
      <x:c r="F3108" s="115" t="str">
        <x:v>Inspection physique</x:v>
      </x:c>
      <x:c r="G3108" s="115" t="str">
        <x:v>1 niveaux ; 22 pièces ; 167 segments de mur ; 0 transitions. Inspection physique ; architecture complète encore ouverte.</x:v>
      </x:c>
      <x:c r="H3108" s="115" t="str">
        <x:v>L 430 ; l 440 ; hauteur 5,5 m ; choix de composition auteur ; dimensions réelles à documenter</x:v>
      </x:c>
      <x:c r="I3108" s="115" t="str">
        <x:v>À équilibrer</x:v>
      </x:c>
      <x:c r="J3108" s="115" t="str">
        <x:v>Non</x:v>
      </x:c>
      <x:c r="K3108" s="115" t="str">
        <x:v>Pièces décrites, murs, portes, niveaux et mobilier inspectables à l’échelle. Volumes réservés, raccord au seed, butin, rencontres et services de campagne restent à terminer.</x:v>
      </x:c>
    </x:row>
    <x:row r="3109" ht="96" customHeight="1">
      <x:c r="A3109" s="115" t="str">
        <x:v>EXT-MONDE-T063-V04</x:v>
      </x:c>
      <x:c r="B3109" s="115" t="str">
        <x:v>EXT-MONDE-T063</x:v>
      </x:c>
      <x:c r="C3109" s="115" t="str">
        <x:v>Épuration</x:v>
      </x:c>
      <x:c r="D3109" s="115" t="str">
        <x:v>Traitement des eaux industrielles</x:v>
      </x:c>
      <x:c r="E3109" s="115" t="n">
        <x:v>4</x:v>
      </x:c>
      <x:c r="F3109" s="115" t="str">
        <x:v>Inspection physique</x:v>
      </x:c>
      <x:c r="G3109" s="115" t="str">
        <x:v>1 niveaux ; 22 pièces ; 167 segments de mur ; 0 transitions. Inspection physique ; architecture complète encore ouverte.</x:v>
      </x:c>
      <x:c r="H3109" s="115" t="str">
        <x:v>L 430 ; l 440 ; hauteur 5,5 m ; choix de composition auteur ; dimensions réelles à documenter</x:v>
      </x:c>
      <x:c r="I3109" s="115" t="str">
        <x:v>À équilibrer</x:v>
      </x:c>
      <x:c r="J3109" s="115" t="str">
        <x:v>Non</x:v>
      </x:c>
      <x:c r="K3109" s="115" t="str">
        <x:v>Pièces décrites, murs, portes, niveaux et mobilier inspectables à l’échelle. Volumes réservés, raccord au seed, butin, rencontres et services de campagne restent à terminer.</x:v>
      </x:c>
    </x:row>
    <x:row r="3110" ht="96" customHeight="1">
      <x:c r="A3110" s="115" t="str">
        <x:v>EXT-MONDE-T063-V05</x:v>
      </x:c>
      <x:c r="B3110" s="115" t="str">
        <x:v>EXT-MONDE-T063</x:v>
      </x:c>
      <x:c r="C3110" s="115" t="str">
        <x:v>Épuration</x:v>
      </x:c>
      <x:c r="D3110" s="115" t="str">
        <x:v>Traitement des eaux industrielles</x:v>
      </x:c>
      <x:c r="E3110" s="115" t="n">
        <x:v>5</x:v>
      </x:c>
      <x:c r="F3110" s="115" t="str">
        <x:v>Inspection physique</x:v>
      </x:c>
      <x:c r="G3110" s="115" t="str">
        <x:v>1 niveaux ; 22 pièces ; 167 segments de mur ; 0 transitions. Inspection physique ; architecture complète encore ouverte.</x:v>
      </x:c>
      <x:c r="H3110" s="115" t="str">
        <x:v>L 430 ; l 440 ; hauteur 5,5 m ; choix de composition auteur ; dimensions réelles à documenter</x:v>
      </x:c>
      <x:c r="I3110" s="115" t="str">
        <x:v>À équilibrer</x:v>
      </x:c>
      <x:c r="J3110" s="115" t="str">
        <x:v>Non</x:v>
      </x:c>
      <x:c r="K3110" s="115" t="str">
        <x:v>Pièces décrites, murs, portes, niveaux et mobilier inspectables à l’échelle. Volumes réservés, raccord au seed, butin, rencontres et services de campagne restent à terminer.</x:v>
      </x:c>
    </x:row>
    <x:row r="3111" ht="96" customHeight="1">
      <x:c r="A3111" s="115" t="str">
        <x:v>EXT-MONDE-T063-V06</x:v>
      </x:c>
      <x:c r="B3111" s="115" t="str">
        <x:v>EXT-MONDE-T063</x:v>
      </x:c>
      <x:c r="C3111" s="115" t="str">
        <x:v>Épuration</x:v>
      </x:c>
      <x:c r="D3111" s="115" t="str">
        <x:v>Traitement des eaux industrielles</x:v>
      </x:c>
      <x:c r="E3111" s="115" t="n">
        <x:v>6</x:v>
      </x:c>
      <x:c r="F3111" s="115" t="str">
        <x:v>Inspection physique</x:v>
      </x:c>
      <x:c r="G3111" s="115" t="str">
        <x:v>1 niveaux ; 22 pièces ; 167 segments de mur ; 0 transitions. Inspection physique ; architecture complète encore ouverte.</x:v>
      </x:c>
      <x:c r="H3111" s="115" t="str">
        <x:v>L 430 ; l 440 ; hauteur 5,5 m ; choix de composition auteur ; dimensions réelles à documenter</x:v>
      </x:c>
      <x:c r="I3111" s="115" t="str">
        <x:v>À équilibrer</x:v>
      </x:c>
      <x:c r="J3111" s="115" t="str">
        <x:v>Non</x:v>
      </x:c>
      <x:c r="K3111" s="115" t="str">
        <x:v>Pièces décrites, murs, portes, niveaux et mobilier inspectables à l’échelle. Volumes réservés, raccord au seed, butin, rencontres et services de campagne restent à terminer.</x:v>
      </x:c>
    </x:row>
    <x:row r="3112" ht="96" customHeight="1">
      <x:c r="A3112" s="115" t="str">
        <x:v>EXT-MONDE-T063-V07</x:v>
      </x:c>
      <x:c r="B3112" s="115" t="str">
        <x:v>EXT-MONDE-T063</x:v>
      </x:c>
      <x:c r="C3112" s="115" t="str">
        <x:v>Épuration</x:v>
      </x:c>
      <x:c r="D3112" s="115" t="str">
        <x:v>Traitement des eaux industrielles</x:v>
      </x:c>
      <x:c r="E3112" s="115" t="n">
        <x:v>7</x:v>
      </x:c>
      <x:c r="F3112" s="115" t="str">
        <x:v>Inspection physique</x:v>
      </x:c>
      <x:c r="G3112" s="115" t="str">
        <x:v>1 niveaux ; 22 pièces ; 167 segments de mur ; 0 transitions. Inspection physique ; architecture complète encore ouverte.</x:v>
      </x:c>
      <x:c r="H3112" s="115" t="str">
        <x:v>L 430 ; l 440 ; hauteur 5,5 m ; choix de composition auteur ; dimensions réelles à documenter</x:v>
      </x:c>
      <x:c r="I3112" s="115" t="str">
        <x:v>À équilibrer</x:v>
      </x:c>
      <x:c r="J3112" s="115" t="str">
        <x:v>Non</x:v>
      </x:c>
      <x:c r="K3112" s="115" t="str">
        <x:v>Pièces décrites, murs, portes, niveaux et mobilier inspectables à l’échelle. Volumes réservés, raccord au seed, butin, rencontres et services de campagne restent à terminer.</x:v>
      </x:c>
    </x:row>
    <x:row r="3113" ht="96" customHeight="1">
      <x:c r="A3113" s="115" t="str">
        <x:v>EXT-MONDE-T063-V08</x:v>
      </x:c>
      <x:c r="B3113" s="115" t="str">
        <x:v>EXT-MONDE-T063</x:v>
      </x:c>
      <x:c r="C3113" s="115" t="str">
        <x:v>Épuration</x:v>
      </x:c>
      <x:c r="D3113" s="115" t="str">
        <x:v>Traitement des eaux industrielles</x:v>
      </x:c>
      <x:c r="E3113" s="115" t="n">
        <x:v>8</x:v>
      </x:c>
      <x:c r="F3113" s="115" t="str">
        <x:v>Inspection physique</x:v>
      </x:c>
      <x:c r="G3113" s="115" t="str">
        <x:v>1 niveaux ; 22 pièces ; 167 segments de mur ; 0 transitions. Inspection physique ; architecture complète encore ouverte.</x:v>
      </x:c>
      <x:c r="H3113" s="115" t="str">
        <x:v>L 430 ; l 440 ; hauteur 5,5 m ; choix de composition auteur ; dimensions réelles à documenter</x:v>
      </x:c>
      <x:c r="I3113" s="115" t="str">
        <x:v>À équilibrer</x:v>
      </x:c>
      <x:c r="J3113" s="115" t="str">
        <x:v>Non</x:v>
      </x:c>
      <x:c r="K3113" s="115" t="str">
        <x:v>Pièces décrites, murs, portes, niveaux et mobilier inspectables à l’échelle. Volumes réservés, raccord au seed, butin, rencontres et services de campagne restent à terminer.</x:v>
      </x:c>
    </x:row>
    <x:row r="3114" ht="96" customHeight="1">
      <x:c r="A3114" s="115" t="str">
        <x:v>EXT-MONDE-T063-V09</x:v>
      </x:c>
      <x:c r="B3114" s="115" t="str">
        <x:v>EXT-MONDE-T063</x:v>
      </x:c>
      <x:c r="C3114" s="115" t="str">
        <x:v>Épuration</x:v>
      </x:c>
      <x:c r="D3114" s="115" t="str">
        <x:v>Traitement des eaux industrielles</x:v>
      </x:c>
      <x:c r="E3114" s="115" t="n">
        <x:v>9</x:v>
      </x:c>
      <x:c r="F3114" s="115" t="str">
        <x:v>Inspection physique</x:v>
      </x:c>
      <x:c r="G3114" s="115" t="str">
        <x:v>1 niveaux ; 22 pièces ; 167 segments de mur ; 0 transitions. Inspection physique ; architecture complète encore ouverte.</x:v>
      </x:c>
      <x:c r="H3114" s="115" t="str">
        <x:v>L 430 ; l 440 ; hauteur 5,5 m ; choix de composition auteur ; dimensions réelles à documenter</x:v>
      </x:c>
      <x:c r="I3114" s="115" t="str">
        <x:v>À équilibrer</x:v>
      </x:c>
      <x:c r="J3114" s="115" t="str">
        <x:v>Non</x:v>
      </x:c>
      <x:c r="K3114" s="115" t="str">
        <x:v>Pièces décrites, murs, portes, niveaux et mobilier inspectables à l’échelle. Volumes réservés, raccord au seed, butin, rencontres et services de campagne restent à terminer.</x:v>
      </x:c>
    </x:row>
    <x:row r="3115" ht="96" customHeight="1">
      <x:c r="A3115" s="115" t="str">
        <x:v>EXT-MONDE-T063-V10</x:v>
      </x:c>
      <x:c r="B3115" s="115" t="str">
        <x:v>EXT-MONDE-T063</x:v>
      </x:c>
      <x:c r="C3115" s="115" t="str">
        <x:v>Épuration</x:v>
      </x:c>
      <x:c r="D3115" s="115" t="str">
        <x:v>Traitement des eaux industrielles</x:v>
      </x:c>
      <x:c r="E3115" s="115" t="n">
        <x:v>10</x:v>
      </x:c>
      <x:c r="F3115" s="115" t="str">
        <x:v>Inspection physique</x:v>
      </x:c>
      <x:c r="G3115" s="115" t="str">
        <x:v>1 niveaux ; 22 pièces ; 167 segments de mur ; 0 transitions. Inspection physique ; architecture complète encore ouverte.</x:v>
      </x:c>
      <x:c r="H3115" s="115" t="str">
        <x:v>L 430 ; l 440 ; hauteur 5,5 m ; choix de composition auteur ; dimensions réelles à documenter</x:v>
      </x:c>
      <x:c r="I3115" s="115" t="str">
        <x:v>À équilibrer</x:v>
      </x:c>
      <x:c r="J3115" s="115" t="str">
        <x:v>Non</x:v>
      </x:c>
      <x:c r="K3115" s="115" t="str">
        <x:v>Pièces décrites, murs, portes, niveaux et mobilier inspectables à l’échelle. Volumes réservés, raccord au seed, butin, rencontres et services de campagne restent à terminer.</x:v>
      </x:c>
    </x:row>
    <x:row r="3116" ht="96" customHeight="1">
      <x:c r="A3116" s="115" t="str">
        <x:v>EXT-MONDE-T063-V11</x:v>
      </x:c>
      <x:c r="B3116" s="115" t="str">
        <x:v>EXT-MONDE-T063</x:v>
      </x:c>
      <x:c r="C3116" s="115" t="str">
        <x:v>Épuration</x:v>
      </x:c>
      <x:c r="D3116" s="115" t="str">
        <x:v>Traitement des eaux industrielles</x:v>
      </x:c>
      <x:c r="E3116" s="115" t="n">
        <x:v>11</x:v>
      </x:c>
      <x:c r="F3116" s="115" t="str">
        <x:v>Inspection physique</x:v>
      </x:c>
      <x:c r="G3116" s="115" t="str">
        <x:v>1 niveaux ; 22 pièces ; 167 segments de mur ; 0 transitions. Inspection physique ; architecture complète encore ouverte.</x:v>
      </x:c>
      <x:c r="H3116" s="115" t="str">
        <x:v>L 448 ; l 460 ; hauteur 5,7 m ; choix de composition auteur ; dimensions réelles à documenter</x:v>
      </x:c>
      <x:c r="I3116" s="115" t="str">
        <x:v>À équilibrer</x:v>
      </x:c>
      <x:c r="J3116" s="115" t="str">
        <x:v>Non</x:v>
      </x:c>
      <x:c r="K3116" s="115" t="str">
        <x:v>Pièces décrites, murs, portes, niveaux et mobilier inspectables à l’échelle. Volumes réservés, raccord au seed, butin, rencontres et services de campagne restent à terminer.</x:v>
      </x:c>
    </x:row>
    <x:row r="3117" ht="96" customHeight="1">
      <x:c r="A3117" s="115" t="str">
        <x:v>EXT-MONDE-T063-V12</x:v>
      </x:c>
      <x:c r="B3117" s="115" t="str">
        <x:v>EXT-MONDE-T063</x:v>
      </x:c>
      <x:c r="C3117" s="115" t="str">
        <x:v>Épuration</x:v>
      </x:c>
      <x:c r="D3117" s="115" t="str">
        <x:v>Traitement des eaux industrielles</x:v>
      </x:c>
      <x:c r="E3117" s="115" t="n">
        <x:v>12</x:v>
      </x:c>
      <x:c r="F3117" s="115" t="str">
        <x:v>Inspection physique</x:v>
      </x:c>
      <x:c r="G3117" s="115" t="str">
        <x:v>1 niveaux ; 22 pièces ; 167 segments de mur ; 0 transitions. Inspection physique ; architecture complète encore ouverte.</x:v>
      </x:c>
      <x:c r="H3117" s="115" t="str">
        <x:v>L 448 ; l 460 ; hauteur 5,7 m ; choix de composition auteur ; dimensions réelles à documenter</x:v>
      </x:c>
      <x:c r="I3117" s="115" t="str">
        <x:v>À équilibrer</x:v>
      </x:c>
      <x:c r="J3117" s="115" t="str">
        <x:v>Non</x:v>
      </x:c>
      <x:c r="K3117" s="115" t="str">
        <x:v>Pièces décrites, murs, portes, niveaux et mobilier inspectables à l’échelle. Volumes réservés, raccord au seed, butin, rencontres et services de campagne restent à terminer.</x:v>
      </x:c>
    </x:row>
    <x:row r="3118" ht="96" customHeight="1">
      <x:c r="A3118" s="115" t="str">
        <x:v>EXT-MONDE-T063-V13</x:v>
      </x:c>
      <x:c r="B3118" s="115" t="str">
        <x:v>EXT-MONDE-T063</x:v>
      </x:c>
      <x:c r="C3118" s="115" t="str">
        <x:v>Épuration</x:v>
      </x:c>
      <x:c r="D3118" s="115" t="str">
        <x:v>Traitement des eaux industrielles</x:v>
      </x:c>
      <x:c r="E3118" s="115" t="n">
        <x:v>13</x:v>
      </x:c>
      <x:c r="F3118" s="115" t="str">
        <x:v>Inspection physique</x:v>
      </x:c>
      <x:c r="G3118" s="115" t="str">
        <x:v>1 niveaux ; 22 pièces ; 167 segments de mur ; 0 transitions. Inspection physique ; architecture complète encore ouverte.</x:v>
      </x:c>
      <x:c r="H3118" s="115" t="str">
        <x:v>L 448 ; l 460 ; hauteur 5,7 m ; choix de composition auteur ; dimensions réelles à documenter</x:v>
      </x:c>
      <x:c r="I3118" s="115" t="str">
        <x:v>À équilibrer</x:v>
      </x:c>
      <x:c r="J3118" s="115" t="str">
        <x:v>Non</x:v>
      </x:c>
      <x:c r="K3118" s="115" t="str">
        <x:v>Pièces décrites, murs, portes, niveaux et mobilier inspectables à l’échelle. Volumes réservés, raccord au seed, butin, rencontres et services de campagne restent à terminer.</x:v>
      </x:c>
    </x:row>
    <x:row r="3119" ht="96" customHeight="1">
      <x:c r="A3119" s="115" t="str">
        <x:v>EXT-MONDE-T063-V14</x:v>
      </x:c>
      <x:c r="B3119" s="115" t="str">
        <x:v>EXT-MONDE-T063</x:v>
      </x:c>
      <x:c r="C3119" s="115" t="str">
        <x:v>Épuration</x:v>
      </x:c>
      <x:c r="D3119" s="115" t="str">
        <x:v>Traitement des eaux industrielles</x:v>
      </x:c>
      <x:c r="E3119" s="115" t="n">
        <x:v>14</x:v>
      </x:c>
      <x:c r="F3119" s="115" t="str">
        <x:v>Inspection physique</x:v>
      </x:c>
      <x:c r="G3119" s="115" t="str">
        <x:v>1 niveaux ; 22 pièces ; 167 segments de mur ; 0 transitions. Inspection physique ; architecture complète encore ouverte.</x:v>
      </x:c>
      <x:c r="H3119" s="115" t="str">
        <x:v>L 448 ; l 460 ; hauteur 5,7 m ; choix de composition auteur ; dimensions réelles à documenter</x:v>
      </x:c>
      <x:c r="I3119" s="115" t="str">
        <x:v>À équilibrer</x:v>
      </x:c>
      <x:c r="J3119" s="115" t="str">
        <x:v>Non</x:v>
      </x:c>
      <x:c r="K3119" s="115" t="str">
        <x:v>Pièces décrites, murs, portes, niveaux et mobilier inspectables à l’échelle. Volumes réservés, raccord au seed, butin, rencontres et services de campagne restent à terminer.</x:v>
      </x:c>
    </x:row>
    <x:row r="3120" ht="96" customHeight="1">
      <x:c r="A3120" s="115" t="str">
        <x:v>EXT-MONDE-T063-V15</x:v>
      </x:c>
      <x:c r="B3120" s="115" t="str">
        <x:v>EXT-MONDE-T063</x:v>
      </x:c>
      <x:c r="C3120" s="115" t="str">
        <x:v>Épuration</x:v>
      </x:c>
      <x:c r="D3120" s="115" t="str">
        <x:v>Traitement des eaux industrielles</x:v>
      </x:c>
      <x:c r="E3120" s="115" t="n">
        <x:v>15</x:v>
      </x:c>
      <x:c r="F3120" s="115" t="str">
        <x:v>Inspection physique</x:v>
      </x:c>
      <x:c r="G3120" s="115" t="str">
        <x:v>1 niveaux ; 22 pièces ; 167 segments de mur ; 0 transitions. Inspection physique ; architecture complète encore ouverte.</x:v>
      </x:c>
      <x:c r="H3120" s="115" t="str">
        <x:v>L 448 ; l 460 ; hauteur 5,7 m ; choix de composition auteur ; dimensions réelles à documenter</x:v>
      </x:c>
      <x:c r="I3120" s="115" t="str">
        <x:v>À équilibrer</x:v>
      </x:c>
      <x:c r="J3120" s="115" t="str">
        <x:v>Non</x:v>
      </x:c>
      <x:c r="K3120" s="115" t="str">
        <x:v>Pièces décrites, murs, portes, niveaux et mobilier inspectables à l’échelle. Volumes réservés, raccord au seed, butin, rencontres et services de campagne restent à terminer.</x:v>
      </x:c>
    </x:row>
    <x:row r="3121" ht="96" customHeight="1">
      <x:c r="A3121" s="115" t="str">
        <x:v>EXT-MONDE-T063-V16</x:v>
      </x:c>
      <x:c r="B3121" s="115" t="str">
        <x:v>EXT-MONDE-T063</x:v>
      </x:c>
      <x:c r="C3121" s="115" t="str">
        <x:v>Épuration</x:v>
      </x:c>
      <x:c r="D3121" s="115" t="str">
        <x:v>Traitement des eaux industrielles</x:v>
      </x:c>
      <x:c r="E3121" s="115" t="n">
        <x:v>16</x:v>
      </x:c>
      <x:c r="F3121" s="115" t="str">
        <x:v>Inspection physique</x:v>
      </x:c>
      <x:c r="G3121" s="115" t="str">
        <x:v>1 niveaux ; 22 pièces ; 167 segments de mur ; 0 transitions. Inspection physique ; architecture complète encore ouverte.</x:v>
      </x:c>
      <x:c r="H3121" s="115" t="str">
        <x:v>L 448 ; l 460 ; hauteur 5,7 m ; choix de composition auteur ; dimensions réelles à documenter</x:v>
      </x:c>
      <x:c r="I3121" s="115" t="str">
        <x:v>À équilibrer</x:v>
      </x:c>
      <x:c r="J3121" s="115" t="str">
        <x:v>Non</x:v>
      </x:c>
      <x:c r="K3121" s="115" t="str">
        <x:v>Pièces décrites, murs, portes, niveaux et mobilier inspectables à l’échelle. Volumes réservés, raccord au seed, butin, rencontres et services de campagne restent à terminer.</x:v>
      </x:c>
    </x:row>
    <x:row r="3122" ht="96" customHeight="1">
      <x:c r="A3122" s="115" t="str">
        <x:v>EXT-MONDE-T063-V17</x:v>
      </x:c>
      <x:c r="B3122" s="115" t="str">
        <x:v>EXT-MONDE-T063</x:v>
      </x:c>
      <x:c r="C3122" s="115" t="str">
        <x:v>Épuration</x:v>
      </x:c>
      <x:c r="D3122" s="115" t="str">
        <x:v>Traitement des eaux industrielles</x:v>
      </x:c>
      <x:c r="E3122" s="115" t="n">
        <x:v>17</x:v>
      </x:c>
      <x:c r="F3122" s="115" t="str">
        <x:v>Inspection physique</x:v>
      </x:c>
      <x:c r="G3122" s="115" t="str">
        <x:v>1 niveaux ; 22 pièces ; 167 segments de mur ; 0 transitions. Inspection physique ; architecture complète encore ouverte.</x:v>
      </x:c>
      <x:c r="H3122" s="115" t="str">
        <x:v>L 448 ; l 460 ; hauteur 5,7 m ; choix de composition auteur ; dimensions réelles à documenter</x:v>
      </x:c>
      <x:c r="I3122" s="115" t="str">
        <x:v>À équilibrer</x:v>
      </x:c>
      <x:c r="J3122" s="115" t="str">
        <x:v>Non</x:v>
      </x:c>
      <x:c r="K3122" s="115" t="str">
        <x:v>Pièces décrites, murs, portes, niveaux et mobilier inspectables à l’échelle. Volumes réservés, raccord au seed, butin, rencontres et services de campagne restent à terminer.</x:v>
      </x:c>
    </x:row>
    <x:row r="3123" ht="96" customHeight="1">
      <x:c r="A3123" s="115" t="str">
        <x:v>EXT-MONDE-T063-V18</x:v>
      </x:c>
      <x:c r="B3123" s="115" t="str">
        <x:v>EXT-MONDE-T063</x:v>
      </x:c>
      <x:c r="C3123" s="115" t="str">
        <x:v>Épuration</x:v>
      </x:c>
      <x:c r="D3123" s="115" t="str">
        <x:v>Traitement des eaux industrielles</x:v>
      </x:c>
      <x:c r="E3123" s="115" t="n">
        <x:v>18</x:v>
      </x:c>
      <x:c r="F3123" s="115" t="str">
        <x:v>Inspection physique</x:v>
      </x:c>
      <x:c r="G3123" s="115" t="str">
        <x:v>1 niveaux ; 22 pièces ; 167 segments de mur ; 0 transitions. Inspection physique ; architecture complète encore ouverte.</x:v>
      </x:c>
      <x:c r="H3123" s="115" t="str">
        <x:v>L 448 ; l 460 ; hauteur 5,7 m ; choix de composition auteur ; dimensions réelles à documenter</x:v>
      </x:c>
      <x:c r="I3123" s="115" t="str">
        <x:v>À équilibrer</x:v>
      </x:c>
      <x:c r="J3123" s="115" t="str">
        <x:v>Non</x:v>
      </x:c>
      <x:c r="K3123" s="115" t="str">
        <x:v>Pièces décrites, murs, portes, niveaux et mobilier inspectables à l’échelle. Volumes réservés, raccord au seed, butin, rencontres et services de campagne restent à terminer.</x:v>
      </x:c>
    </x:row>
    <x:row r="3124" ht="96" customHeight="1">
      <x:c r="A3124" s="115" t="str">
        <x:v>EXT-MONDE-T063-V19</x:v>
      </x:c>
      <x:c r="B3124" s="115" t="str">
        <x:v>EXT-MONDE-T063</x:v>
      </x:c>
      <x:c r="C3124" s="115" t="str">
        <x:v>Épuration</x:v>
      </x:c>
      <x:c r="D3124" s="115" t="str">
        <x:v>Traitement des eaux industrielles</x:v>
      </x:c>
      <x:c r="E3124" s="115" t="n">
        <x:v>19</x:v>
      </x:c>
      <x:c r="F3124" s="115" t="str">
        <x:v>Inspection physique</x:v>
      </x:c>
      <x:c r="G3124" s="115" t="str">
        <x:v>1 niveaux ; 22 pièces ; 167 segments de mur ; 0 transitions. Inspection physique ; architecture complète encore ouverte.</x:v>
      </x:c>
      <x:c r="H3124" s="115" t="str">
        <x:v>L 448 ; l 460 ; hauteur 5,7 m ; choix de composition auteur ; dimensions réelles à documenter</x:v>
      </x:c>
      <x:c r="I3124" s="115" t="str">
        <x:v>À équilibrer</x:v>
      </x:c>
      <x:c r="J3124" s="115" t="str">
        <x:v>Non</x:v>
      </x:c>
      <x:c r="K3124" s="115" t="str">
        <x:v>Pièces décrites, murs, portes, niveaux et mobilier inspectables à l’échelle. Volumes réservés, raccord au seed, butin, rencontres et services de campagne restent à terminer.</x:v>
      </x:c>
    </x:row>
    <x:row r="3125" ht="96" customHeight="1">
      <x:c r="A3125" s="115" t="str">
        <x:v>EXT-MONDE-T063-V20</x:v>
      </x:c>
      <x:c r="B3125" s="115" t="str">
        <x:v>EXT-MONDE-T063</x:v>
      </x:c>
      <x:c r="C3125" s="115" t="str">
        <x:v>Épuration</x:v>
      </x:c>
      <x:c r="D3125" s="115" t="str">
        <x:v>Traitement des eaux industrielles</x:v>
      </x:c>
      <x:c r="E3125" s="115" t="n">
        <x:v>20</x:v>
      </x:c>
      <x:c r="F3125" s="115" t="str">
        <x:v>Inspection physique</x:v>
      </x:c>
      <x:c r="G3125" s="115" t="str">
        <x:v>1 niveaux ; 22 pièces ; 167 segments de mur ; 0 transitions. Inspection physique ; architecture complète encore ouverte.</x:v>
      </x:c>
      <x:c r="H3125" s="115" t="str">
        <x:v>L 448 ; l 460 ; hauteur 5,7 m ; choix de composition auteur ; dimensions réelles à documenter</x:v>
      </x:c>
      <x:c r="I3125" s="115" t="str">
        <x:v>À équilibrer</x:v>
      </x:c>
      <x:c r="J3125" s="115" t="str">
        <x:v>Non</x:v>
      </x:c>
      <x:c r="K3125" s="115" t="str">
        <x:v>Pièces décrites, murs, portes, niveaux et mobilier inspectables à l’échelle. Volumes réservés, raccord au seed, butin, rencontres et services de campagne restent à terminer.</x:v>
      </x:c>
    </x:row>
    <x:row r="3126" ht="96" customHeight="1">
      <x:c r="A3126" s="115" t="str">
        <x:v>EXT-MONDE-T063-V21</x:v>
      </x:c>
      <x:c r="B3126" s="115" t="str">
        <x:v>EXT-MONDE-T063</x:v>
      </x:c>
      <x:c r="C3126" s="115" t="str">
        <x:v>Épuration</x:v>
      </x:c>
      <x:c r="D3126" s="115" t="str">
        <x:v>Traitement des eaux industrielles</x:v>
      </x:c>
      <x:c r="E3126" s="115" t="n">
        <x:v>21</x:v>
      </x:c>
      <x:c r="F3126" s="115" t="str">
        <x:v>Inspection physique</x:v>
      </x:c>
      <x:c r="G3126" s="115" t="str">
        <x:v>1 niveaux ; 22 pièces ; 167 segments de mur ; 0 transitions. Inspection physique ; architecture complète encore ouverte.</x:v>
      </x:c>
      <x:c r="H3126" s="115" t="str">
        <x:v>L 466 ; l 480 ; hauteur 5,9 m ; choix de composition auteur ; dimensions réelles à documenter</x:v>
      </x:c>
      <x:c r="I3126" s="115" t="str">
        <x:v>À équilibrer</x:v>
      </x:c>
      <x:c r="J3126" s="115" t="str">
        <x:v>Non</x:v>
      </x:c>
      <x:c r="K3126" s="115" t="str">
        <x:v>Pièces décrites, murs, portes, niveaux et mobilier inspectables à l’échelle. Volumes réservés, raccord au seed, butin, rencontres et services de campagne restent à terminer.</x:v>
      </x:c>
    </x:row>
    <x:row r="3127" ht="96" customHeight="1">
      <x:c r="A3127" s="115" t="str">
        <x:v>EXT-MONDE-T063-V22</x:v>
      </x:c>
      <x:c r="B3127" s="115" t="str">
        <x:v>EXT-MONDE-T063</x:v>
      </x:c>
      <x:c r="C3127" s="115" t="str">
        <x:v>Épuration</x:v>
      </x:c>
      <x:c r="D3127" s="115" t="str">
        <x:v>Traitement des eaux industrielles</x:v>
      </x:c>
      <x:c r="E3127" s="115" t="n">
        <x:v>22</x:v>
      </x:c>
      <x:c r="F3127" s="115" t="str">
        <x:v>Inspection physique</x:v>
      </x:c>
      <x:c r="G3127" s="115" t="str">
        <x:v>1 niveaux ; 22 pièces ; 167 segments de mur ; 0 transitions. Inspection physique ; architecture complète encore ouverte.</x:v>
      </x:c>
      <x:c r="H3127" s="115" t="str">
        <x:v>L 466 ; l 480 ; hauteur 5,9 m ; choix de composition auteur ; dimensions réelles à documenter</x:v>
      </x:c>
      <x:c r="I3127" s="115" t="str">
        <x:v>À équilibrer</x:v>
      </x:c>
      <x:c r="J3127" s="115" t="str">
        <x:v>Non</x:v>
      </x:c>
      <x:c r="K3127" s="115" t="str">
        <x:v>Pièces décrites, murs, portes, niveaux et mobilier inspectables à l’échelle. Volumes réservés, raccord au seed, butin, rencontres et services de campagne restent à terminer.</x:v>
      </x:c>
    </x:row>
    <x:row r="3128" ht="96" customHeight="1">
      <x:c r="A3128" s="115" t="str">
        <x:v>EXT-MONDE-T063-V23</x:v>
      </x:c>
      <x:c r="B3128" s="115" t="str">
        <x:v>EXT-MONDE-T063</x:v>
      </x:c>
      <x:c r="C3128" s="115" t="str">
        <x:v>Épuration</x:v>
      </x:c>
      <x:c r="D3128" s="115" t="str">
        <x:v>Traitement des eaux industrielles</x:v>
      </x:c>
      <x:c r="E3128" s="115" t="n">
        <x:v>23</x:v>
      </x:c>
      <x:c r="F3128" s="115" t="str">
        <x:v>Inspection physique</x:v>
      </x:c>
      <x:c r="G3128" s="115" t="str">
        <x:v>1 niveaux ; 22 pièces ; 167 segments de mur ; 0 transitions. Inspection physique ; architecture complète encore ouverte.</x:v>
      </x:c>
      <x:c r="H3128" s="115" t="str">
        <x:v>L 466 ; l 480 ; hauteur 5,9 m ; choix de composition auteur ; dimensions réelles à documenter</x:v>
      </x:c>
      <x:c r="I3128" s="115" t="str">
        <x:v>À équilibrer</x:v>
      </x:c>
      <x:c r="J3128" s="115" t="str">
        <x:v>Non</x:v>
      </x:c>
      <x:c r="K3128" s="115" t="str">
        <x:v>Pièces décrites, murs, portes, niveaux et mobilier inspectables à l’échelle. Volumes réservés, raccord au seed, butin, rencontres et services de campagne restent à terminer.</x:v>
      </x:c>
    </x:row>
    <x:row r="3129" ht="96" customHeight="1">
      <x:c r="A3129" s="115" t="str">
        <x:v>EXT-MONDE-T063-V24</x:v>
      </x:c>
      <x:c r="B3129" s="115" t="str">
        <x:v>EXT-MONDE-T063</x:v>
      </x:c>
      <x:c r="C3129" s="115" t="str">
        <x:v>Épuration</x:v>
      </x:c>
      <x:c r="D3129" s="115" t="str">
        <x:v>Traitement des eaux industrielles</x:v>
      </x:c>
      <x:c r="E3129" s="115" t="n">
        <x:v>24</x:v>
      </x:c>
      <x:c r="F3129" s="115" t="str">
        <x:v>Inspection physique</x:v>
      </x:c>
      <x:c r="G3129" s="115" t="str">
        <x:v>1 niveaux ; 22 pièces ; 167 segments de mur ; 0 transitions. Inspection physique ; architecture complète encore ouverte.</x:v>
      </x:c>
      <x:c r="H3129" s="115" t="str">
        <x:v>L 466 ; l 480 ; hauteur 5,9 m ; choix de composition auteur ; dimensions réelles à documenter</x:v>
      </x:c>
      <x:c r="I3129" s="115" t="str">
        <x:v>À équilibrer</x:v>
      </x:c>
      <x:c r="J3129" s="115" t="str">
        <x:v>Non</x:v>
      </x:c>
      <x:c r="K3129" s="115" t="str">
        <x:v>Pièces décrites, murs, portes, niveaux et mobilier inspectables à l’échelle. Volumes réservés, raccord au seed, butin, rencontres et services de campagne restent à terminer.</x:v>
      </x:c>
    </x:row>
    <x:row r="3130" ht="96" customHeight="1">
      <x:c r="A3130" s="115" t="str">
        <x:v>EXT-MONDE-T063-V25</x:v>
      </x:c>
      <x:c r="B3130" s="115" t="str">
        <x:v>EXT-MONDE-T063</x:v>
      </x:c>
      <x:c r="C3130" s="115" t="str">
        <x:v>Épuration</x:v>
      </x:c>
      <x:c r="D3130" s="115" t="str">
        <x:v>Traitement des eaux industrielles</x:v>
      </x:c>
      <x:c r="E3130" s="115" t="n">
        <x:v>25</x:v>
      </x:c>
      <x:c r="F3130" s="115" t="str">
        <x:v>Inspection physique</x:v>
      </x:c>
      <x:c r="G3130" s="115" t="str">
        <x:v>1 niveaux ; 22 pièces ; 167 segments de mur ; 0 transitions. Inspection physique ; architecture complète encore ouverte.</x:v>
      </x:c>
      <x:c r="H3130" s="115" t="str">
        <x:v>L 466 ; l 480 ; hauteur 5,9 m ; choix de composition auteur ; dimensions réelles à documenter</x:v>
      </x:c>
      <x:c r="I3130" s="115" t="str">
        <x:v>À équilibrer</x:v>
      </x:c>
      <x:c r="J3130" s="115" t="str">
        <x:v>Non</x:v>
      </x:c>
      <x:c r="K3130" s="115" t="str">
        <x:v>Pièces décrites, murs, portes, niveaux et mobilier inspectables à l’échelle. Volumes réservés, raccord au seed, butin, rencontres et services de campagne restent à terminer.</x:v>
      </x:c>
    </x:row>
    <x:row r="3131" ht="96" customHeight="1">
      <x:c r="A3131" s="115" t="str">
        <x:v>EXT-MONDE-T063-V26</x:v>
      </x:c>
      <x:c r="B3131" s="115" t="str">
        <x:v>EXT-MONDE-T063</x:v>
      </x:c>
      <x:c r="C3131" s="115" t="str">
        <x:v>Épuration</x:v>
      </x:c>
      <x:c r="D3131" s="115" t="str">
        <x:v>Traitement des eaux industrielles</x:v>
      </x:c>
      <x:c r="E3131" s="115" t="n">
        <x:v>26</x:v>
      </x:c>
      <x:c r="F3131" s="115" t="str">
        <x:v>Inspection physique</x:v>
      </x:c>
      <x:c r="G3131" s="115" t="str">
        <x:v>1 niveaux ; 22 pièces ; 167 segments de mur ; 0 transitions. Inspection physique ; architecture complète encore ouverte.</x:v>
      </x:c>
      <x:c r="H3131" s="115" t="str">
        <x:v>L 466 ; l 480 ; hauteur 5,9 m ; choix de composition auteur ; dimensions réelles à documenter</x:v>
      </x:c>
      <x:c r="I3131" s="115" t="str">
        <x:v>À équilibrer</x:v>
      </x:c>
      <x:c r="J3131" s="115" t="str">
        <x:v>Non</x:v>
      </x:c>
      <x:c r="K3131" s="115" t="str">
        <x:v>Pièces décrites, murs, portes, niveaux et mobilier inspectables à l’échelle. Volumes réservés, raccord au seed, butin, rencontres et services de campagne restent à terminer.</x:v>
      </x:c>
    </x:row>
    <x:row r="3132" ht="96" customHeight="1">
      <x:c r="A3132" s="115" t="str">
        <x:v>EXT-MONDE-T063-V27</x:v>
      </x:c>
      <x:c r="B3132" s="115" t="str">
        <x:v>EXT-MONDE-T063</x:v>
      </x:c>
      <x:c r="C3132" s="115" t="str">
        <x:v>Épuration</x:v>
      </x:c>
      <x:c r="D3132" s="115" t="str">
        <x:v>Traitement des eaux industrielles</x:v>
      </x:c>
      <x:c r="E3132" s="115" t="n">
        <x:v>27</x:v>
      </x:c>
      <x:c r="F3132" s="115" t="str">
        <x:v>Inspection physique</x:v>
      </x:c>
      <x:c r="G3132" s="115" t="str">
        <x:v>1 niveaux ; 22 pièces ; 167 segments de mur ; 0 transitions. Inspection physique ; architecture complète encore ouverte.</x:v>
      </x:c>
      <x:c r="H3132" s="115" t="str">
        <x:v>L 466 ; l 480 ; hauteur 5,9 m ; choix de composition auteur ; dimensions réelles à documenter</x:v>
      </x:c>
      <x:c r="I3132" s="115" t="str">
        <x:v>À équilibrer</x:v>
      </x:c>
      <x:c r="J3132" s="115" t="str">
        <x:v>Non</x:v>
      </x:c>
      <x:c r="K3132" s="115" t="str">
        <x:v>Pièces décrites, murs, portes, niveaux et mobilier inspectables à l’échelle. Volumes réservés, raccord au seed, butin, rencontres et services de campagne restent à terminer.</x:v>
      </x:c>
    </x:row>
    <x:row r="3133" ht="96" customHeight="1">
      <x:c r="A3133" s="115" t="str">
        <x:v>EXT-MONDE-T063-V28</x:v>
      </x:c>
      <x:c r="B3133" s="115" t="str">
        <x:v>EXT-MONDE-T063</x:v>
      </x:c>
      <x:c r="C3133" s="115" t="str">
        <x:v>Épuration</x:v>
      </x:c>
      <x:c r="D3133" s="115" t="str">
        <x:v>Traitement des eaux industrielles</x:v>
      </x:c>
      <x:c r="E3133" s="115" t="n">
        <x:v>28</x:v>
      </x:c>
      <x:c r="F3133" s="115" t="str">
        <x:v>Inspection physique</x:v>
      </x:c>
      <x:c r="G3133" s="115" t="str">
        <x:v>1 niveaux ; 22 pièces ; 167 segments de mur ; 0 transitions. Inspection physique ; architecture complète encore ouverte.</x:v>
      </x:c>
      <x:c r="H3133" s="115" t="str">
        <x:v>L 466 ; l 480 ; hauteur 5,9 m ; choix de composition auteur ; dimensions réelles à documenter</x:v>
      </x:c>
      <x:c r="I3133" s="115" t="str">
        <x:v>À équilibrer</x:v>
      </x:c>
      <x:c r="J3133" s="115" t="str">
        <x:v>Non</x:v>
      </x:c>
      <x:c r="K3133" s="115" t="str">
        <x:v>Pièces décrites, murs, portes, niveaux et mobilier inspectables à l’échelle. Volumes réservés, raccord au seed, butin, rencontres et services de campagne restent à terminer.</x:v>
      </x:c>
    </x:row>
    <x:row r="3134" ht="96" customHeight="1">
      <x:c r="A3134" s="115" t="str">
        <x:v>EXT-MONDE-T063-V29</x:v>
      </x:c>
      <x:c r="B3134" s="115" t="str">
        <x:v>EXT-MONDE-T063</x:v>
      </x:c>
      <x:c r="C3134" s="115" t="str">
        <x:v>Épuration</x:v>
      </x:c>
      <x:c r="D3134" s="115" t="str">
        <x:v>Traitement des eaux industrielles</x:v>
      </x:c>
      <x:c r="E3134" s="115" t="n">
        <x:v>29</x:v>
      </x:c>
      <x:c r="F3134" s="115" t="str">
        <x:v>Inspection physique</x:v>
      </x:c>
      <x:c r="G3134" s="115" t="str">
        <x:v>1 niveaux ; 22 pièces ; 167 segments de mur ; 0 transitions. Inspection physique ; architecture complète encore ouverte.</x:v>
      </x:c>
      <x:c r="H3134" s="115" t="str">
        <x:v>L 466 ; l 480 ; hauteur 5,9 m ; choix de composition auteur ; dimensions réelles à documenter</x:v>
      </x:c>
      <x:c r="I3134" s="115" t="str">
        <x:v>À équilibrer</x:v>
      </x:c>
      <x:c r="J3134" s="115" t="str">
        <x:v>Non</x:v>
      </x:c>
      <x:c r="K3134" s="115" t="str">
        <x:v>Pièces décrites, murs, portes, niveaux et mobilier inspectables à l’échelle. Volumes réservés, raccord au seed, butin, rencontres et services de campagne restent à terminer.</x:v>
      </x:c>
    </x:row>
    <x:row r="3135" ht="96" customHeight="1">
      <x:c r="A3135" s="115" t="str">
        <x:v>EXT-MONDE-T063-V30</x:v>
      </x:c>
      <x:c r="B3135" s="115" t="str">
        <x:v>EXT-MONDE-T063</x:v>
      </x:c>
      <x:c r="C3135" s="115" t="str">
        <x:v>Épuration</x:v>
      </x:c>
      <x:c r="D3135" s="115" t="str">
        <x:v>Traitement des eaux industrielles</x:v>
      </x:c>
      <x:c r="E3135" s="115" t="n">
        <x:v>30</x:v>
      </x:c>
      <x:c r="F3135" s="115" t="str">
        <x:v>Inspection physique</x:v>
      </x:c>
      <x:c r="G3135" s="115" t="str">
        <x:v>1 niveaux ; 22 pièces ; 167 segments de mur ; 0 transitions. Inspection physique ; architecture complète encore ouverte.</x:v>
      </x:c>
      <x:c r="H3135" s="115" t="str">
        <x:v>L 466 ; l 480 ; hauteur 5,9 m ; choix de composition auteur ; dimensions réelles à documenter</x:v>
      </x:c>
      <x:c r="I3135" s="115" t="str">
        <x:v>À équilibrer</x:v>
      </x:c>
      <x:c r="J3135" s="115" t="str">
        <x:v>Non</x:v>
      </x:c>
      <x:c r="K3135" s="115" t="str">
        <x:v>Pièces décrites, murs, portes, niveaux et mobilier inspectables à l’échelle. Volumes réservés, raccord au seed, butin, rencontres et services de campagne restent à terminer.</x:v>
      </x:c>
    </x:row>
    <x:row r="3136" ht="96" customHeight="1">
      <x:c r="A3136" s="115" t="str">
        <x:v>EXT-MONDE-T063-V31</x:v>
      </x:c>
      <x:c r="B3136" s="115" t="str">
        <x:v>EXT-MONDE-T063</x:v>
      </x:c>
      <x:c r="C3136" s="115" t="str">
        <x:v>Épuration</x:v>
      </x:c>
      <x:c r="D3136" s="115" t="str">
        <x:v>Traitement des eaux industrielles</x:v>
      </x:c>
      <x:c r="E3136" s="115" t="n">
        <x:v>31</x:v>
      </x:c>
      <x:c r="F3136" s="115" t="str">
        <x:v>Inspection physique</x:v>
      </x:c>
      <x:c r="G3136" s="115" t="str">
        <x:v>1 niveaux ; 22 pièces ; 167 segments de mur ; 0 transitions. Inspection physique ; architecture complète encore ouverte.</x:v>
      </x:c>
      <x:c r="H3136" s="115" t="str">
        <x:v>L 484 ; l 500 ; hauteur 6,1 m ; choix de composition auteur ; dimensions réelles à documenter</x:v>
      </x:c>
      <x:c r="I3136" s="115" t="str">
        <x:v>À équilibrer</x:v>
      </x:c>
      <x:c r="J3136" s="115" t="str">
        <x:v>Non</x:v>
      </x:c>
      <x:c r="K3136" s="115" t="str">
        <x:v>Pièces décrites, murs, portes, niveaux et mobilier inspectables à l’échelle. Volumes réservés, raccord au seed, butin, rencontres et services de campagne restent à terminer.</x:v>
      </x:c>
    </x:row>
    <x:row r="3137" ht="96" customHeight="1">
      <x:c r="A3137" s="115" t="str">
        <x:v>EXT-MONDE-T063-V32</x:v>
      </x:c>
      <x:c r="B3137" s="115" t="str">
        <x:v>EXT-MONDE-T063</x:v>
      </x:c>
      <x:c r="C3137" s="115" t="str">
        <x:v>Épuration</x:v>
      </x:c>
      <x:c r="D3137" s="115" t="str">
        <x:v>Traitement des eaux industrielles</x:v>
      </x:c>
      <x:c r="E3137" s="115" t="n">
        <x:v>32</x:v>
      </x:c>
      <x:c r="F3137" s="115" t="str">
        <x:v>Inspection physique</x:v>
      </x:c>
      <x:c r="G3137" s="115" t="str">
        <x:v>1 niveaux ; 22 pièces ; 167 segments de mur ; 0 transitions. Inspection physique ; architecture complète encore ouverte.</x:v>
      </x:c>
      <x:c r="H3137" s="115" t="str">
        <x:v>L 484 ; l 500 ; hauteur 6,1 m ; choix de composition auteur ; dimensions réelles à documenter</x:v>
      </x:c>
      <x:c r="I3137" s="115" t="str">
        <x:v>À équilibrer</x:v>
      </x:c>
      <x:c r="J3137" s="115" t="str">
        <x:v>Non</x:v>
      </x:c>
      <x:c r="K3137" s="115" t="str">
        <x:v>Pièces décrites, murs, portes, niveaux et mobilier inspectables à l’échelle. Volumes réservés, raccord au seed, butin, rencontres et services de campagne restent à terminer.</x:v>
      </x:c>
    </x:row>
    <x:row r="3138" ht="96" customHeight="1">
      <x:c r="A3138" s="115" t="str">
        <x:v>EXT-MONDE-T063-V33</x:v>
      </x:c>
      <x:c r="B3138" s="115" t="str">
        <x:v>EXT-MONDE-T063</x:v>
      </x:c>
      <x:c r="C3138" s="115" t="str">
        <x:v>Épuration</x:v>
      </x:c>
      <x:c r="D3138" s="115" t="str">
        <x:v>Traitement des eaux industrielles</x:v>
      </x:c>
      <x:c r="E3138" s="115" t="n">
        <x:v>33</x:v>
      </x:c>
      <x:c r="F3138" s="115" t="str">
        <x:v>Inspection physique</x:v>
      </x:c>
      <x:c r="G3138" s="115" t="str">
        <x:v>1 niveaux ; 22 pièces ; 167 segments de mur ; 0 transitions. Inspection physique ; architecture complète encore ouverte.</x:v>
      </x:c>
      <x:c r="H3138" s="115" t="str">
        <x:v>L 484 ; l 500 ; hauteur 6,1 m ; choix de composition auteur ; dimensions réelles à documenter</x:v>
      </x:c>
      <x:c r="I3138" s="115" t="str">
        <x:v>À équilibrer</x:v>
      </x:c>
      <x:c r="J3138" s="115" t="str">
        <x:v>Non</x:v>
      </x:c>
      <x:c r="K3138" s="115" t="str">
        <x:v>Pièces décrites, murs, portes, niveaux et mobilier inspectables à l’échelle. Volumes réservés, raccord au seed, butin, rencontres et services de campagne restent à terminer.</x:v>
      </x:c>
    </x:row>
    <x:row r="3139" ht="96" customHeight="1">
      <x:c r="A3139" s="115" t="str">
        <x:v>EXT-MONDE-T063-V34</x:v>
      </x:c>
      <x:c r="B3139" s="115" t="str">
        <x:v>EXT-MONDE-T063</x:v>
      </x:c>
      <x:c r="C3139" s="115" t="str">
        <x:v>Épuration</x:v>
      </x:c>
      <x:c r="D3139" s="115" t="str">
        <x:v>Traitement des eaux industrielles</x:v>
      </x:c>
      <x:c r="E3139" s="115" t="n">
        <x:v>34</x:v>
      </x:c>
      <x:c r="F3139" s="115" t="str">
        <x:v>Inspection physique</x:v>
      </x:c>
      <x:c r="G3139" s="115" t="str">
        <x:v>1 niveaux ; 22 pièces ; 167 segments de mur ; 0 transitions. Inspection physique ; architecture complète encore ouverte.</x:v>
      </x:c>
      <x:c r="H3139" s="115" t="str">
        <x:v>L 484 ; l 500 ; hauteur 6,1 m ; choix de composition auteur ; dimensions réelles à documenter</x:v>
      </x:c>
      <x:c r="I3139" s="115" t="str">
        <x:v>À équilibrer</x:v>
      </x:c>
      <x:c r="J3139" s="115" t="str">
        <x:v>Non</x:v>
      </x:c>
      <x:c r="K3139" s="115" t="str">
        <x:v>Pièces décrites, murs, portes, niveaux et mobilier inspectables à l’échelle. Volumes réservés, raccord au seed, butin, rencontres et services de campagne restent à terminer.</x:v>
      </x:c>
    </x:row>
    <x:row r="3140" ht="96" customHeight="1">
      <x:c r="A3140" s="115" t="str">
        <x:v>EXT-MONDE-T063-V35</x:v>
      </x:c>
      <x:c r="B3140" s="115" t="str">
        <x:v>EXT-MONDE-T063</x:v>
      </x:c>
      <x:c r="C3140" s="115" t="str">
        <x:v>Épuration</x:v>
      </x:c>
      <x:c r="D3140" s="115" t="str">
        <x:v>Traitement des eaux industrielles</x:v>
      </x:c>
      <x:c r="E3140" s="115" t="n">
        <x:v>35</x:v>
      </x:c>
      <x:c r="F3140" s="115" t="str">
        <x:v>Inspection physique</x:v>
      </x:c>
      <x:c r="G3140" s="115" t="str">
        <x:v>1 niveaux ; 22 pièces ; 167 segments de mur ; 0 transitions. Inspection physique ; architecture complète encore ouverte.</x:v>
      </x:c>
      <x:c r="H3140" s="115" t="str">
        <x:v>L 484 ; l 500 ; hauteur 6,1 m ; choix de composition auteur ; dimensions réelles à documenter</x:v>
      </x:c>
      <x:c r="I3140" s="115" t="str">
        <x:v>À équilibrer</x:v>
      </x:c>
      <x:c r="J3140" s="115" t="str">
        <x:v>Non</x:v>
      </x:c>
      <x:c r="K3140" s="115" t="str">
        <x:v>Pièces décrites, murs, portes, niveaux et mobilier inspectables à l’échelle. Volumes réservés, raccord au seed, butin, rencontres et services de campagne restent à terminer.</x:v>
      </x:c>
    </x:row>
    <x:row r="3141" ht="96" customHeight="1">
      <x:c r="A3141" s="115" t="str">
        <x:v>EXT-MONDE-T063-V36</x:v>
      </x:c>
      <x:c r="B3141" s="115" t="str">
        <x:v>EXT-MONDE-T063</x:v>
      </x:c>
      <x:c r="C3141" s="115" t="str">
        <x:v>Épuration</x:v>
      </x:c>
      <x:c r="D3141" s="115" t="str">
        <x:v>Traitement des eaux industrielles</x:v>
      </x:c>
      <x:c r="E3141" s="115" t="n">
        <x:v>36</x:v>
      </x:c>
      <x:c r="F3141" s="115" t="str">
        <x:v>Inspection physique</x:v>
      </x:c>
      <x:c r="G3141" s="115" t="str">
        <x:v>1 niveaux ; 22 pièces ; 167 segments de mur ; 0 transitions. Inspection physique ; architecture complète encore ouverte.</x:v>
      </x:c>
      <x:c r="H3141" s="115" t="str">
        <x:v>L 484 ; l 500 ; hauteur 6,1 m ; choix de composition auteur ; dimensions réelles à documenter</x:v>
      </x:c>
      <x:c r="I3141" s="115" t="str">
        <x:v>À équilibrer</x:v>
      </x:c>
      <x:c r="J3141" s="115" t="str">
        <x:v>Non</x:v>
      </x:c>
      <x:c r="K3141" s="115" t="str">
        <x:v>Pièces décrites, murs, portes, niveaux et mobilier inspectables à l’échelle. Volumes réservés, raccord au seed, butin, rencontres et services de campagne restent à terminer.</x:v>
      </x:c>
    </x:row>
    <x:row r="3142" ht="96" customHeight="1">
      <x:c r="A3142" s="115" t="str">
        <x:v>EXT-MONDE-T063-V37</x:v>
      </x:c>
      <x:c r="B3142" s="115" t="str">
        <x:v>EXT-MONDE-T063</x:v>
      </x:c>
      <x:c r="C3142" s="115" t="str">
        <x:v>Épuration</x:v>
      </x:c>
      <x:c r="D3142" s="115" t="str">
        <x:v>Traitement des eaux industrielles</x:v>
      </x:c>
      <x:c r="E3142" s="115" t="n">
        <x:v>37</x:v>
      </x:c>
      <x:c r="F3142" s="115" t="str">
        <x:v>Inspection physique</x:v>
      </x:c>
      <x:c r="G3142" s="115" t="str">
        <x:v>1 niveaux ; 22 pièces ; 167 segments de mur ; 0 transitions. Inspection physique ; architecture complète encore ouverte.</x:v>
      </x:c>
      <x:c r="H3142" s="115" t="str">
        <x:v>L 484 ; l 500 ; hauteur 6,1 m ; choix de composition auteur ; dimensions réelles à documenter</x:v>
      </x:c>
      <x:c r="I3142" s="115" t="str">
        <x:v>À équilibrer</x:v>
      </x:c>
      <x:c r="J3142" s="115" t="str">
        <x:v>Non</x:v>
      </x:c>
      <x:c r="K3142" s="115" t="str">
        <x:v>Pièces décrites, murs, portes, niveaux et mobilier inspectables à l’échelle. Volumes réservés, raccord au seed, butin, rencontres et services de campagne restent à terminer.</x:v>
      </x:c>
    </x:row>
    <x:row r="3143" ht="96" customHeight="1">
      <x:c r="A3143" s="115" t="str">
        <x:v>EXT-MONDE-T063-V38</x:v>
      </x:c>
      <x:c r="B3143" s="115" t="str">
        <x:v>EXT-MONDE-T063</x:v>
      </x:c>
      <x:c r="C3143" s="115" t="str">
        <x:v>Épuration</x:v>
      </x:c>
      <x:c r="D3143" s="115" t="str">
        <x:v>Traitement des eaux industrielles</x:v>
      </x:c>
      <x:c r="E3143" s="115" t="n">
        <x:v>38</x:v>
      </x:c>
      <x:c r="F3143" s="115" t="str">
        <x:v>Inspection physique</x:v>
      </x:c>
      <x:c r="G3143" s="115" t="str">
        <x:v>1 niveaux ; 22 pièces ; 167 segments de mur ; 0 transitions. Inspection physique ; architecture complète encore ouverte.</x:v>
      </x:c>
      <x:c r="H3143" s="115" t="str">
        <x:v>L 484 ; l 500 ; hauteur 6,1 m ; choix de composition auteur ; dimensions réelles à documenter</x:v>
      </x:c>
      <x:c r="I3143" s="115" t="str">
        <x:v>À équilibrer</x:v>
      </x:c>
      <x:c r="J3143" s="115" t="str">
        <x:v>Non</x:v>
      </x:c>
      <x:c r="K3143" s="115" t="str">
        <x:v>Pièces décrites, murs, portes, niveaux et mobilier inspectables à l’échelle. Volumes réservés, raccord au seed, butin, rencontres et services de campagne restent à terminer.</x:v>
      </x:c>
    </x:row>
    <x:row r="3144" ht="96" customHeight="1">
      <x:c r="A3144" s="115" t="str">
        <x:v>EXT-MONDE-T063-V39</x:v>
      </x:c>
      <x:c r="B3144" s="115" t="str">
        <x:v>EXT-MONDE-T063</x:v>
      </x:c>
      <x:c r="C3144" s="115" t="str">
        <x:v>Épuration</x:v>
      </x:c>
      <x:c r="D3144" s="115" t="str">
        <x:v>Traitement des eaux industrielles</x:v>
      </x:c>
      <x:c r="E3144" s="115" t="n">
        <x:v>39</x:v>
      </x:c>
      <x:c r="F3144" s="115" t="str">
        <x:v>Inspection physique</x:v>
      </x:c>
      <x:c r="G3144" s="115" t="str">
        <x:v>1 niveaux ; 22 pièces ; 167 segments de mur ; 0 transitions. Inspection physique ; architecture complète encore ouverte.</x:v>
      </x:c>
      <x:c r="H3144" s="115" t="str">
        <x:v>L 484 ; l 500 ; hauteur 6,1 m ; choix de composition auteur ; dimensions réelles à documenter</x:v>
      </x:c>
      <x:c r="I3144" s="115" t="str">
        <x:v>À équilibrer</x:v>
      </x:c>
      <x:c r="J3144" s="115" t="str">
        <x:v>Non</x:v>
      </x:c>
      <x:c r="K3144" s="115" t="str">
        <x:v>Pièces décrites, murs, portes, niveaux et mobilier inspectables à l’échelle. Volumes réservés, raccord au seed, butin, rencontres et services de campagne restent à terminer.</x:v>
      </x:c>
    </x:row>
    <x:row r="3145" ht="96" customHeight="1">
      <x:c r="A3145" s="115" t="str">
        <x:v>EXT-MONDE-T063-V40</x:v>
      </x:c>
      <x:c r="B3145" s="115" t="str">
        <x:v>EXT-MONDE-T063</x:v>
      </x:c>
      <x:c r="C3145" s="115" t="str">
        <x:v>Épuration</x:v>
      </x:c>
      <x:c r="D3145" s="115" t="str">
        <x:v>Traitement des eaux industrielles</x:v>
      </x:c>
      <x:c r="E3145" s="115" t="n">
        <x:v>40</x:v>
      </x:c>
      <x:c r="F3145" s="115" t="str">
        <x:v>Inspection physique</x:v>
      </x:c>
      <x:c r="G3145" s="115" t="str">
        <x:v>1 niveaux ; 22 pièces ; 167 segments de mur ; 0 transitions. Inspection physique ; architecture complète encore ouverte.</x:v>
      </x:c>
      <x:c r="H3145" s="115" t="str">
        <x:v>L 484 ; l 500 ; hauteur 6,1 m ; choix de composition auteur ; dimensions réelles à documenter</x:v>
      </x:c>
      <x:c r="I3145" s="115" t="str">
        <x:v>À équilibrer</x:v>
      </x:c>
      <x:c r="J3145" s="115" t="str">
        <x:v>Non</x:v>
      </x:c>
      <x:c r="K3145" s="115" t="str">
        <x:v>Pièces décrites, murs, portes, niveaux et mobilier inspectables à l’échelle. Volumes réservés, raccord au seed, butin, rencontres et services de campagne restent à terminer.</x:v>
      </x:c>
    </x:row>
    <x:row r="3146" ht="96" customHeight="1">
      <x:c r="A3146" s="115" t="str">
        <x:v>EXT-MONDE-T063-V41</x:v>
      </x:c>
      <x:c r="B3146" s="115" t="str">
        <x:v>EXT-MONDE-T063</x:v>
      </x:c>
      <x:c r="C3146" s="115" t="str">
        <x:v>Épuration</x:v>
      </x:c>
      <x:c r="D3146" s="115" t="str">
        <x:v>Traitement des eaux industrielles</x:v>
      </x:c>
      <x:c r="E3146" s="115" t="n">
        <x:v>41</x:v>
      </x:c>
      <x:c r="F3146" s="115" t="str">
        <x:v>Inspection physique</x:v>
      </x:c>
      <x:c r="G3146" s="115" t="str">
        <x:v>1 niveaux ; 22 pièces ; 167 segments de mur ; 0 transitions. Inspection physique ; architecture complète encore ouverte.</x:v>
      </x:c>
      <x:c r="H3146" s="115" t="str">
        <x:v>L 502 ; l 520 ; hauteur 6,3 m ; choix de composition auteur ; dimensions réelles à documenter</x:v>
      </x:c>
      <x:c r="I3146" s="115" t="str">
        <x:v>À équilibrer</x:v>
      </x:c>
      <x:c r="J3146" s="115" t="str">
        <x:v>Non</x:v>
      </x:c>
      <x:c r="K3146" s="115" t="str">
        <x:v>Pièces décrites, murs, portes, niveaux et mobilier inspectables à l’échelle. Volumes réservés, raccord au seed, butin, rencontres et services de campagne restent à terminer.</x:v>
      </x:c>
    </x:row>
    <x:row r="3147" ht="96" customHeight="1">
      <x:c r="A3147" s="115" t="str">
        <x:v>EXT-MONDE-T063-V42</x:v>
      </x:c>
      <x:c r="B3147" s="115" t="str">
        <x:v>EXT-MONDE-T063</x:v>
      </x:c>
      <x:c r="C3147" s="115" t="str">
        <x:v>Épuration</x:v>
      </x:c>
      <x:c r="D3147" s="115" t="str">
        <x:v>Traitement des eaux industrielles</x:v>
      </x:c>
      <x:c r="E3147" s="115" t="n">
        <x:v>42</x:v>
      </x:c>
      <x:c r="F3147" s="115" t="str">
        <x:v>Inspection physique</x:v>
      </x:c>
      <x:c r="G3147" s="115" t="str">
        <x:v>1 niveaux ; 22 pièces ; 167 segments de mur ; 0 transitions. Inspection physique ; architecture complète encore ouverte.</x:v>
      </x:c>
      <x:c r="H3147" s="115" t="str">
        <x:v>L 502 ; l 520 ; hauteur 6,3 m ; choix de composition auteur ; dimensions réelles à documenter</x:v>
      </x:c>
      <x:c r="I3147" s="115" t="str">
        <x:v>À équilibrer</x:v>
      </x:c>
      <x:c r="J3147" s="115" t="str">
        <x:v>Non</x:v>
      </x:c>
      <x:c r="K3147" s="115" t="str">
        <x:v>Pièces décrites, murs, portes, niveaux et mobilier inspectables à l’échelle. Volumes réservés, raccord au seed, butin, rencontres et services de campagne restent à terminer.</x:v>
      </x:c>
    </x:row>
    <x:row r="3148" ht="96" customHeight="1">
      <x:c r="A3148" s="115" t="str">
        <x:v>EXT-MONDE-T063-V43</x:v>
      </x:c>
      <x:c r="B3148" s="115" t="str">
        <x:v>EXT-MONDE-T063</x:v>
      </x:c>
      <x:c r="C3148" s="115" t="str">
        <x:v>Épuration</x:v>
      </x:c>
      <x:c r="D3148" s="115" t="str">
        <x:v>Traitement des eaux industrielles</x:v>
      </x:c>
      <x:c r="E3148" s="115" t="n">
        <x:v>43</x:v>
      </x:c>
      <x:c r="F3148" s="115" t="str">
        <x:v>Inspection physique</x:v>
      </x:c>
      <x:c r="G3148" s="115" t="str">
        <x:v>1 niveaux ; 22 pièces ; 167 segments de mur ; 0 transitions. Inspection physique ; architecture complète encore ouverte.</x:v>
      </x:c>
      <x:c r="H3148" s="115" t="str">
        <x:v>L 502 ; l 520 ; hauteur 6,3 m ; choix de composition auteur ; dimensions réelles à documenter</x:v>
      </x:c>
      <x:c r="I3148" s="115" t="str">
        <x:v>À équilibrer</x:v>
      </x:c>
      <x:c r="J3148" s="115" t="str">
        <x:v>Non</x:v>
      </x:c>
      <x:c r="K3148" s="115" t="str">
        <x:v>Pièces décrites, murs, portes, niveaux et mobilier inspectables à l’échelle. Volumes réservés, raccord au seed, butin, rencontres et services de campagne restent à terminer.</x:v>
      </x:c>
    </x:row>
    <x:row r="3149" ht="96" customHeight="1">
      <x:c r="A3149" s="115" t="str">
        <x:v>EXT-MONDE-T063-V44</x:v>
      </x:c>
      <x:c r="B3149" s="115" t="str">
        <x:v>EXT-MONDE-T063</x:v>
      </x:c>
      <x:c r="C3149" s="115" t="str">
        <x:v>Épuration</x:v>
      </x:c>
      <x:c r="D3149" s="115" t="str">
        <x:v>Traitement des eaux industrielles</x:v>
      </x:c>
      <x:c r="E3149" s="115" t="n">
        <x:v>44</x:v>
      </x:c>
      <x:c r="F3149" s="115" t="str">
        <x:v>Inspection physique</x:v>
      </x:c>
      <x:c r="G3149" s="115" t="str">
        <x:v>1 niveaux ; 22 pièces ; 167 segments de mur ; 0 transitions. Inspection physique ; architecture complète encore ouverte.</x:v>
      </x:c>
      <x:c r="H3149" s="115" t="str">
        <x:v>L 502 ; l 520 ; hauteur 6,3 m ; choix de composition auteur ; dimensions réelles à documenter</x:v>
      </x:c>
      <x:c r="I3149" s="115" t="str">
        <x:v>À équilibrer</x:v>
      </x:c>
      <x:c r="J3149" s="115" t="str">
        <x:v>Non</x:v>
      </x:c>
      <x:c r="K3149" s="115" t="str">
        <x:v>Pièces décrites, murs, portes, niveaux et mobilier inspectables à l’échelle. Volumes réservés, raccord au seed, butin, rencontres et services de campagne restent à terminer.</x:v>
      </x:c>
    </x:row>
    <x:row r="3150" ht="96" customHeight="1">
      <x:c r="A3150" s="115" t="str">
        <x:v>EXT-MONDE-T063-V45</x:v>
      </x:c>
      <x:c r="B3150" s="115" t="str">
        <x:v>EXT-MONDE-T063</x:v>
      </x:c>
      <x:c r="C3150" s="115" t="str">
        <x:v>Épuration</x:v>
      </x:c>
      <x:c r="D3150" s="115" t="str">
        <x:v>Traitement des eaux industrielles</x:v>
      </x:c>
      <x:c r="E3150" s="115" t="n">
        <x:v>45</x:v>
      </x:c>
      <x:c r="F3150" s="115" t="str">
        <x:v>Inspection physique</x:v>
      </x:c>
      <x:c r="G3150" s="115" t="str">
        <x:v>1 niveaux ; 22 pièces ; 167 segments de mur ; 0 transitions. Inspection physique ; architecture complète encore ouverte.</x:v>
      </x:c>
      <x:c r="H3150" s="115" t="str">
        <x:v>L 502 ; l 520 ; hauteur 6,3 m ; choix de composition auteur ; dimensions réelles à documenter</x:v>
      </x:c>
      <x:c r="I3150" s="115" t="str">
        <x:v>À équilibrer</x:v>
      </x:c>
      <x:c r="J3150" s="115" t="str">
        <x:v>Non</x:v>
      </x:c>
      <x:c r="K3150" s="115" t="str">
        <x:v>Pièces décrites, murs, portes, niveaux et mobilier inspectables à l’échelle. Volumes réservés, raccord au seed, butin, rencontres et services de campagne restent à terminer.</x:v>
      </x:c>
    </x:row>
    <x:row r="3151" ht="96" customHeight="1">
      <x:c r="A3151" s="115" t="str">
        <x:v>EXT-MONDE-T063-V46</x:v>
      </x:c>
      <x:c r="B3151" s="115" t="str">
        <x:v>EXT-MONDE-T063</x:v>
      </x:c>
      <x:c r="C3151" s="115" t="str">
        <x:v>Épuration</x:v>
      </x:c>
      <x:c r="D3151" s="115" t="str">
        <x:v>Traitement des eaux industrielles</x:v>
      </x:c>
      <x:c r="E3151" s="115" t="n">
        <x:v>46</x:v>
      </x:c>
      <x:c r="F3151" s="115" t="str">
        <x:v>Inspection physique</x:v>
      </x:c>
      <x:c r="G3151" s="115" t="str">
        <x:v>1 niveaux ; 22 pièces ; 167 segments de mur ; 0 transitions. Inspection physique ; architecture complète encore ouverte.</x:v>
      </x:c>
      <x:c r="H3151" s="115" t="str">
        <x:v>L 502 ; l 520 ; hauteur 6,3 m ; choix de composition auteur ; dimensions réelles à documenter</x:v>
      </x:c>
      <x:c r="I3151" s="115" t="str">
        <x:v>À équilibrer</x:v>
      </x:c>
      <x:c r="J3151" s="115" t="str">
        <x:v>Non</x:v>
      </x:c>
      <x:c r="K3151" s="115" t="str">
        <x:v>Pièces décrites, murs, portes, niveaux et mobilier inspectables à l’échelle. Volumes réservés, raccord au seed, butin, rencontres et services de campagne restent à terminer.</x:v>
      </x:c>
    </x:row>
    <x:row r="3152" ht="96" customHeight="1">
      <x:c r="A3152" s="115" t="str">
        <x:v>EXT-MONDE-T063-V47</x:v>
      </x:c>
      <x:c r="B3152" s="115" t="str">
        <x:v>EXT-MONDE-T063</x:v>
      </x:c>
      <x:c r="C3152" s="115" t="str">
        <x:v>Épuration</x:v>
      </x:c>
      <x:c r="D3152" s="115" t="str">
        <x:v>Traitement des eaux industrielles</x:v>
      </x:c>
      <x:c r="E3152" s="115" t="n">
        <x:v>47</x:v>
      </x:c>
      <x:c r="F3152" s="115" t="str">
        <x:v>Inspection physique</x:v>
      </x:c>
      <x:c r="G3152" s="115" t="str">
        <x:v>1 niveaux ; 22 pièces ; 167 segments de mur ; 0 transitions. Inspection physique ; architecture complète encore ouverte.</x:v>
      </x:c>
      <x:c r="H3152" s="115" t="str">
        <x:v>L 502 ; l 520 ; hauteur 6,3 m ; choix de composition auteur ; dimensions réelles à documenter</x:v>
      </x:c>
      <x:c r="I3152" s="115" t="str">
        <x:v>À équilibrer</x:v>
      </x:c>
      <x:c r="J3152" s="115" t="str">
        <x:v>Non</x:v>
      </x:c>
      <x:c r="K3152" s="115" t="str">
        <x:v>Pièces décrites, murs, portes, niveaux et mobilier inspectables à l’échelle. Volumes réservés, raccord au seed, butin, rencontres et services de campagne restent à terminer.</x:v>
      </x:c>
    </x:row>
    <x:row r="3153" ht="96" customHeight="1">
      <x:c r="A3153" s="115" t="str">
        <x:v>EXT-MONDE-T063-V48</x:v>
      </x:c>
      <x:c r="B3153" s="115" t="str">
        <x:v>EXT-MONDE-T063</x:v>
      </x:c>
      <x:c r="C3153" s="115" t="str">
        <x:v>Épuration</x:v>
      </x:c>
      <x:c r="D3153" s="115" t="str">
        <x:v>Traitement des eaux industrielles</x:v>
      </x:c>
      <x:c r="E3153" s="115" t="n">
        <x:v>48</x:v>
      </x:c>
      <x:c r="F3153" s="115" t="str">
        <x:v>Inspection physique</x:v>
      </x:c>
      <x:c r="G3153" s="115" t="str">
        <x:v>1 niveaux ; 22 pièces ; 167 segments de mur ; 0 transitions. Inspection physique ; architecture complète encore ouverte.</x:v>
      </x:c>
      <x:c r="H3153" s="115" t="str">
        <x:v>L 502 ; l 520 ; hauteur 6,3 m ; choix de composition auteur ; dimensions réelles à documenter</x:v>
      </x:c>
      <x:c r="I3153" s="115" t="str">
        <x:v>À équilibrer</x:v>
      </x:c>
      <x:c r="J3153" s="115" t="str">
        <x:v>Non</x:v>
      </x:c>
      <x:c r="K3153" s="115" t="str">
        <x:v>Pièces décrites, murs, portes, niveaux et mobilier inspectables à l’échelle. Volumes réservés, raccord au seed, butin, rencontres et services de campagne restent à terminer.</x:v>
      </x:c>
    </x:row>
    <x:row r="3154" ht="96" customHeight="1">
      <x:c r="A3154" s="115" t="str">
        <x:v>EXT-MONDE-T063-V49</x:v>
      </x:c>
      <x:c r="B3154" s="115" t="str">
        <x:v>EXT-MONDE-T063</x:v>
      </x:c>
      <x:c r="C3154" s="115" t="str">
        <x:v>Épuration</x:v>
      </x:c>
      <x:c r="D3154" s="115" t="str">
        <x:v>Traitement des eaux industrielles</x:v>
      </x:c>
      <x:c r="E3154" s="115" t="n">
        <x:v>49</x:v>
      </x:c>
      <x:c r="F3154" s="115" t="str">
        <x:v>Inspection physique</x:v>
      </x:c>
      <x:c r="G3154" s="115" t="str">
        <x:v>1 niveaux ; 22 pièces ; 167 segments de mur ; 0 transitions. Inspection physique ; architecture complète encore ouverte.</x:v>
      </x:c>
      <x:c r="H3154" s="115" t="str">
        <x:v>L 502 ; l 520 ; hauteur 6,3 m ; choix de composition auteur ; dimensions réelles à documenter</x:v>
      </x:c>
      <x:c r="I3154" s="115" t="str">
        <x:v>À équilibrer</x:v>
      </x:c>
      <x:c r="J3154" s="115" t="str">
        <x:v>Non</x:v>
      </x:c>
      <x:c r="K3154" s="115" t="str">
        <x:v>Pièces décrites, murs, portes, niveaux et mobilier inspectables à l’échelle. Volumes réservés, raccord au seed, butin, rencontres et services de campagne restent à terminer.</x:v>
      </x:c>
    </x:row>
    <x:row r="3155" ht="96" customHeight="1">
      <x:c r="A3155" s="115" t="str">
        <x:v>EXT-MONDE-T063-V50</x:v>
      </x:c>
      <x:c r="B3155" s="115" t="str">
        <x:v>EXT-MONDE-T063</x:v>
      </x:c>
      <x:c r="C3155" s="115" t="str">
        <x:v>Épuration</x:v>
      </x:c>
      <x:c r="D3155" s="115" t="str">
        <x:v>Traitement des eaux industrielles</x:v>
      </x:c>
      <x:c r="E3155" s="115" t="n">
        <x:v>50</x:v>
      </x:c>
      <x:c r="F3155" s="115" t="str">
        <x:v>Inspection physique</x:v>
      </x:c>
      <x:c r="G3155" s="115" t="str">
        <x:v>1 niveaux ; 22 pièces ; 167 segments de mur ; 0 transitions. Inspection physique ; architecture complète encore ouverte.</x:v>
      </x:c>
      <x:c r="H3155" s="115" t="str">
        <x:v>L 502 ; l 520 ; hauteur 6,3 m ; choix de composition auteur ; dimensions réelles à documenter</x:v>
      </x:c>
      <x:c r="I3155" s="115" t="str">
        <x:v>À équilibrer</x:v>
      </x:c>
      <x:c r="J3155" s="115" t="str">
        <x:v>Non</x:v>
      </x:c>
      <x:c r="K3155" s="115" t="str">
        <x:v>Pièces décrites, murs, portes, niveaux et mobilier inspectables à l’échelle. Volumes réservés, raccord au seed, butin, rencontres et services de campagne restent à terminer.</x:v>
      </x:c>
    </x:row>
    <x:row r="3156" ht="96" customHeight="1">
      <x:c r="A3156" s="115" t="str">
        <x:v>EXT-MONDE-T064-V01</x:v>
      </x:c>
      <x:c r="B3156" s="115" t="str">
        <x:v>EXT-MONDE-T064</x:v>
      </x:c>
      <x:c r="C3156" s="115" t="str">
        <x:v>Épuration</x:v>
      </x:c>
      <x:c r="D3156" s="115" t="str">
        <x:v>Usine de potabilisation</x:v>
      </x:c>
      <x:c r="E3156" s="115" t="n">
        <x:v>1</x:v>
      </x:c>
      <x:c r="F3156" s="115" t="str">
        <x:v>Inspection physique</x:v>
      </x:c>
      <x:c r="G3156" s="115" t="str">
        <x:v>1 niveaux ; 22 pièces ; 167 segments de mur ; 0 transitions. Inspection physique ; architecture complète encore ouverte.</x:v>
      </x:c>
      <x:c r="H3156" s="115" t="str">
        <x:v>L 430 ; l 440 ; hauteur 6 m ; choix de composition auteur ; dimensions réelles à documenter</x:v>
      </x:c>
      <x:c r="I3156" s="115" t="str">
        <x:v>À équilibrer</x:v>
      </x:c>
      <x:c r="J3156" s="115" t="str">
        <x:v>Non</x:v>
      </x:c>
      <x:c r="K3156" s="115" t="str">
        <x:v>Pièces décrites, murs, portes, niveaux et mobilier inspectables à l’échelle. Volumes réservés, raccord au seed, butin, rencontres et services de campagne restent à terminer.</x:v>
      </x:c>
    </x:row>
    <x:row r="3157" ht="96" customHeight="1">
      <x:c r="A3157" s="115" t="str">
        <x:v>EXT-MONDE-T064-V02</x:v>
      </x:c>
      <x:c r="B3157" s="115" t="str">
        <x:v>EXT-MONDE-T064</x:v>
      </x:c>
      <x:c r="C3157" s="115" t="str">
        <x:v>Épuration</x:v>
      </x:c>
      <x:c r="D3157" s="115" t="str">
        <x:v>Usine de potabilisation</x:v>
      </x:c>
      <x:c r="E3157" s="115" t="n">
        <x:v>2</x:v>
      </x:c>
      <x:c r="F3157" s="115" t="str">
        <x:v>Inspection physique</x:v>
      </x:c>
      <x:c r="G3157" s="115" t="str">
        <x:v>1 niveaux ; 22 pièces ; 167 segments de mur ; 0 transitions. Inspection physique ; architecture complète encore ouverte.</x:v>
      </x:c>
      <x:c r="H3157" s="115" t="str">
        <x:v>L 430 ; l 440 ; hauteur 6 m ; choix de composition auteur ; dimensions réelles à documenter</x:v>
      </x:c>
      <x:c r="I3157" s="115" t="str">
        <x:v>À équilibrer</x:v>
      </x:c>
      <x:c r="J3157" s="115" t="str">
        <x:v>Non</x:v>
      </x:c>
      <x:c r="K3157" s="115" t="str">
        <x:v>Pièces décrites, murs, portes, niveaux et mobilier inspectables à l’échelle. Volumes réservés, raccord au seed, butin, rencontres et services de campagne restent à terminer.</x:v>
      </x:c>
    </x:row>
    <x:row r="3158" ht="96" customHeight="1">
      <x:c r="A3158" s="115" t="str">
        <x:v>EXT-MONDE-T064-V03</x:v>
      </x:c>
      <x:c r="B3158" s="115" t="str">
        <x:v>EXT-MONDE-T064</x:v>
      </x:c>
      <x:c r="C3158" s="115" t="str">
        <x:v>Épuration</x:v>
      </x:c>
      <x:c r="D3158" s="115" t="str">
        <x:v>Usine de potabilisation</x:v>
      </x:c>
      <x:c r="E3158" s="115" t="n">
        <x:v>3</x:v>
      </x:c>
      <x:c r="F3158" s="115" t="str">
        <x:v>Inspection physique</x:v>
      </x:c>
      <x:c r="G3158" s="115" t="str">
        <x:v>1 niveaux ; 22 pièces ; 167 segments de mur ; 0 transitions. Inspection physique ; architecture complète encore ouverte.</x:v>
      </x:c>
      <x:c r="H3158" s="115" t="str">
        <x:v>L 430 ; l 440 ; hauteur 6 m ; choix de composition auteur ; dimensions réelles à documenter</x:v>
      </x:c>
      <x:c r="I3158" s="115" t="str">
        <x:v>À équilibrer</x:v>
      </x:c>
      <x:c r="J3158" s="115" t="str">
        <x:v>Non</x:v>
      </x:c>
      <x:c r="K3158" s="115" t="str">
        <x:v>Pièces décrites, murs, portes, niveaux et mobilier inspectables à l’échelle. Volumes réservés, raccord au seed, butin, rencontres et services de campagne restent à terminer.</x:v>
      </x:c>
    </x:row>
    <x:row r="3159" ht="96" customHeight="1">
      <x:c r="A3159" s="115" t="str">
        <x:v>EXT-MONDE-T064-V04</x:v>
      </x:c>
      <x:c r="B3159" s="115" t="str">
        <x:v>EXT-MONDE-T064</x:v>
      </x:c>
      <x:c r="C3159" s="115" t="str">
        <x:v>Épuration</x:v>
      </x:c>
      <x:c r="D3159" s="115" t="str">
        <x:v>Usine de potabilisation</x:v>
      </x:c>
      <x:c r="E3159" s="115" t="n">
        <x:v>4</x:v>
      </x:c>
      <x:c r="F3159" s="115" t="str">
        <x:v>Inspection physique</x:v>
      </x:c>
      <x:c r="G3159" s="115" t="str">
        <x:v>1 niveaux ; 22 pièces ; 167 segments de mur ; 0 transitions. Inspection physique ; architecture complète encore ouverte.</x:v>
      </x:c>
      <x:c r="H3159" s="115" t="str">
        <x:v>L 430 ; l 440 ; hauteur 6 m ; choix de composition auteur ; dimensions réelles à documenter</x:v>
      </x:c>
      <x:c r="I3159" s="115" t="str">
        <x:v>À équilibrer</x:v>
      </x:c>
      <x:c r="J3159" s="115" t="str">
        <x:v>Non</x:v>
      </x:c>
      <x:c r="K3159" s="115" t="str">
        <x:v>Pièces décrites, murs, portes, niveaux et mobilier inspectables à l’échelle. Volumes réservés, raccord au seed, butin, rencontres et services de campagne restent à terminer.</x:v>
      </x:c>
    </x:row>
    <x:row r="3160" ht="96" customHeight="1">
      <x:c r="A3160" s="115" t="str">
        <x:v>EXT-MONDE-T064-V05</x:v>
      </x:c>
      <x:c r="B3160" s="115" t="str">
        <x:v>EXT-MONDE-T064</x:v>
      </x:c>
      <x:c r="C3160" s="115" t="str">
        <x:v>Épuration</x:v>
      </x:c>
      <x:c r="D3160" s="115" t="str">
        <x:v>Usine de potabilisation</x:v>
      </x:c>
      <x:c r="E3160" s="115" t="n">
        <x:v>5</x:v>
      </x:c>
      <x:c r="F3160" s="115" t="str">
        <x:v>Inspection physique</x:v>
      </x:c>
      <x:c r="G3160" s="115" t="str">
        <x:v>1 niveaux ; 22 pièces ; 167 segments de mur ; 0 transitions. Inspection physique ; architecture complète encore ouverte.</x:v>
      </x:c>
      <x:c r="H3160" s="115" t="str">
        <x:v>L 430 ; l 440 ; hauteur 6 m ; choix de composition auteur ; dimensions réelles à documenter</x:v>
      </x:c>
      <x:c r="I3160" s="115" t="str">
        <x:v>À équilibrer</x:v>
      </x:c>
      <x:c r="J3160" s="115" t="str">
        <x:v>Non</x:v>
      </x:c>
      <x:c r="K3160" s="115" t="str">
        <x:v>Pièces décrites, murs, portes, niveaux et mobilier inspectables à l’échelle. Volumes réservés, raccord au seed, butin, rencontres et services de campagne restent à terminer.</x:v>
      </x:c>
    </x:row>
    <x:row r="3161" ht="96" customHeight="1">
      <x:c r="A3161" s="115" t="str">
        <x:v>EXT-MONDE-T064-V06</x:v>
      </x:c>
      <x:c r="B3161" s="115" t="str">
        <x:v>EXT-MONDE-T064</x:v>
      </x:c>
      <x:c r="C3161" s="115" t="str">
        <x:v>Épuration</x:v>
      </x:c>
      <x:c r="D3161" s="115" t="str">
        <x:v>Usine de potabilisation</x:v>
      </x:c>
      <x:c r="E3161" s="115" t="n">
        <x:v>6</x:v>
      </x:c>
      <x:c r="F3161" s="115" t="str">
        <x:v>Inspection physique</x:v>
      </x:c>
      <x:c r="G3161" s="115" t="str">
        <x:v>1 niveaux ; 22 pièces ; 167 segments de mur ; 0 transitions. Inspection physique ; architecture complète encore ouverte.</x:v>
      </x:c>
      <x:c r="H3161" s="115" t="str">
        <x:v>L 430 ; l 440 ; hauteur 6 m ; choix de composition auteur ; dimensions réelles à documenter</x:v>
      </x:c>
      <x:c r="I3161" s="115" t="str">
        <x:v>À équilibrer</x:v>
      </x:c>
      <x:c r="J3161" s="115" t="str">
        <x:v>Non</x:v>
      </x:c>
      <x:c r="K3161" s="115" t="str">
        <x:v>Pièces décrites, murs, portes, niveaux et mobilier inspectables à l’échelle. Volumes réservés, raccord au seed, butin, rencontres et services de campagne restent à terminer.</x:v>
      </x:c>
    </x:row>
    <x:row r="3162" ht="96" customHeight="1">
      <x:c r="A3162" s="115" t="str">
        <x:v>EXT-MONDE-T064-V07</x:v>
      </x:c>
      <x:c r="B3162" s="115" t="str">
        <x:v>EXT-MONDE-T064</x:v>
      </x:c>
      <x:c r="C3162" s="115" t="str">
        <x:v>Épuration</x:v>
      </x:c>
      <x:c r="D3162" s="115" t="str">
        <x:v>Usine de potabilisation</x:v>
      </x:c>
      <x:c r="E3162" s="115" t="n">
        <x:v>7</x:v>
      </x:c>
      <x:c r="F3162" s="115" t="str">
        <x:v>Inspection physique</x:v>
      </x:c>
      <x:c r="G3162" s="115" t="str">
        <x:v>1 niveaux ; 22 pièces ; 167 segments de mur ; 0 transitions. Inspection physique ; architecture complète encore ouverte.</x:v>
      </x:c>
      <x:c r="H3162" s="115" t="str">
        <x:v>L 430 ; l 440 ; hauteur 6 m ; choix de composition auteur ; dimensions réelles à documenter</x:v>
      </x:c>
      <x:c r="I3162" s="115" t="str">
        <x:v>À équilibrer</x:v>
      </x:c>
      <x:c r="J3162" s="115" t="str">
        <x:v>Non</x:v>
      </x:c>
      <x:c r="K3162" s="115" t="str">
        <x:v>Pièces décrites, murs, portes, niveaux et mobilier inspectables à l’échelle. Volumes réservés, raccord au seed, butin, rencontres et services de campagne restent à terminer.</x:v>
      </x:c>
    </x:row>
    <x:row r="3163" ht="96" customHeight="1">
      <x:c r="A3163" s="115" t="str">
        <x:v>EXT-MONDE-T064-V08</x:v>
      </x:c>
      <x:c r="B3163" s="115" t="str">
        <x:v>EXT-MONDE-T064</x:v>
      </x:c>
      <x:c r="C3163" s="115" t="str">
        <x:v>Épuration</x:v>
      </x:c>
      <x:c r="D3163" s="115" t="str">
        <x:v>Usine de potabilisation</x:v>
      </x:c>
      <x:c r="E3163" s="115" t="n">
        <x:v>8</x:v>
      </x:c>
      <x:c r="F3163" s="115" t="str">
        <x:v>Inspection physique</x:v>
      </x:c>
      <x:c r="G3163" s="115" t="str">
        <x:v>1 niveaux ; 22 pièces ; 167 segments de mur ; 0 transitions. Inspection physique ; architecture complète encore ouverte.</x:v>
      </x:c>
      <x:c r="H3163" s="115" t="str">
        <x:v>L 430 ; l 440 ; hauteur 6 m ; choix de composition auteur ; dimensions réelles à documenter</x:v>
      </x:c>
      <x:c r="I3163" s="115" t="str">
        <x:v>À équilibrer</x:v>
      </x:c>
      <x:c r="J3163" s="115" t="str">
        <x:v>Non</x:v>
      </x:c>
      <x:c r="K3163" s="115" t="str">
        <x:v>Pièces décrites, murs, portes, niveaux et mobilier inspectables à l’échelle. Volumes réservés, raccord au seed, butin, rencontres et services de campagne restent à terminer.</x:v>
      </x:c>
    </x:row>
    <x:row r="3164" ht="96" customHeight="1">
      <x:c r="A3164" s="115" t="str">
        <x:v>EXT-MONDE-T064-V09</x:v>
      </x:c>
      <x:c r="B3164" s="115" t="str">
        <x:v>EXT-MONDE-T064</x:v>
      </x:c>
      <x:c r="C3164" s="115" t="str">
        <x:v>Épuration</x:v>
      </x:c>
      <x:c r="D3164" s="115" t="str">
        <x:v>Usine de potabilisation</x:v>
      </x:c>
      <x:c r="E3164" s="115" t="n">
        <x:v>9</x:v>
      </x:c>
      <x:c r="F3164" s="115" t="str">
        <x:v>Inspection physique</x:v>
      </x:c>
      <x:c r="G3164" s="115" t="str">
        <x:v>1 niveaux ; 22 pièces ; 167 segments de mur ; 0 transitions. Inspection physique ; architecture complète encore ouverte.</x:v>
      </x:c>
      <x:c r="H3164" s="115" t="str">
        <x:v>L 430 ; l 440 ; hauteur 6 m ; choix de composition auteur ; dimensions réelles à documenter</x:v>
      </x:c>
      <x:c r="I3164" s="115" t="str">
        <x:v>À équilibrer</x:v>
      </x:c>
      <x:c r="J3164" s="115" t="str">
        <x:v>Non</x:v>
      </x:c>
      <x:c r="K3164" s="115" t="str">
        <x:v>Pièces décrites, murs, portes, niveaux et mobilier inspectables à l’échelle. Volumes réservés, raccord au seed, butin, rencontres et services de campagne restent à terminer.</x:v>
      </x:c>
    </x:row>
    <x:row r="3165" ht="96" customHeight="1">
      <x:c r="A3165" s="115" t="str">
        <x:v>EXT-MONDE-T064-V10</x:v>
      </x:c>
      <x:c r="B3165" s="115" t="str">
        <x:v>EXT-MONDE-T064</x:v>
      </x:c>
      <x:c r="C3165" s="115" t="str">
        <x:v>Épuration</x:v>
      </x:c>
      <x:c r="D3165" s="115" t="str">
        <x:v>Usine de potabilisation</x:v>
      </x:c>
      <x:c r="E3165" s="115" t="n">
        <x:v>10</x:v>
      </x:c>
      <x:c r="F3165" s="115" t="str">
        <x:v>Inspection physique</x:v>
      </x:c>
      <x:c r="G3165" s="115" t="str">
        <x:v>1 niveaux ; 22 pièces ; 167 segments de mur ; 0 transitions. Inspection physique ; architecture complète encore ouverte.</x:v>
      </x:c>
      <x:c r="H3165" s="115" t="str">
        <x:v>L 430 ; l 440 ; hauteur 6 m ; choix de composition auteur ; dimensions réelles à documenter</x:v>
      </x:c>
      <x:c r="I3165" s="115" t="str">
        <x:v>À équilibrer</x:v>
      </x:c>
      <x:c r="J3165" s="115" t="str">
        <x:v>Non</x:v>
      </x:c>
      <x:c r="K3165" s="115" t="str">
        <x:v>Pièces décrites, murs, portes, niveaux et mobilier inspectables à l’échelle. Volumes réservés, raccord au seed, butin, rencontres et services de campagne restent à terminer.</x:v>
      </x:c>
    </x:row>
    <x:row r="3166" ht="96" customHeight="1">
      <x:c r="A3166" s="115" t="str">
        <x:v>EXT-MONDE-T064-V11</x:v>
      </x:c>
      <x:c r="B3166" s="115" t="str">
        <x:v>EXT-MONDE-T064</x:v>
      </x:c>
      <x:c r="C3166" s="115" t="str">
        <x:v>Épuration</x:v>
      </x:c>
      <x:c r="D3166" s="115" t="str">
        <x:v>Usine de potabilisation</x:v>
      </x:c>
      <x:c r="E3166" s="115" t="n">
        <x:v>11</x:v>
      </x:c>
      <x:c r="F3166" s="115" t="str">
        <x:v>Inspection physique</x:v>
      </x:c>
      <x:c r="G3166" s="115" t="str">
        <x:v>1 niveaux ; 22 pièces ; 167 segments de mur ; 0 transitions. Inspection physique ; architecture complète encore ouverte.</x:v>
      </x:c>
      <x:c r="H3166" s="115" t="str">
        <x:v>L 448 ; l 460 ; hauteur 6 m ; choix de composition auteur ; dimensions réelles à documenter</x:v>
      </x:c>
      <x:c r="I3166" s="115" t="str">
        <x:v>À équilibrer</x:v>
      </x:c>
      <x:c r="J3166" s="115" t="str">
        <x:v>Non</x:v>
      </x:c>
      <x:c r="K3166" s="115" t="str">
        <x:v>Pièces décrites, murs, portes, niveaux et mobilier inspectables à l’échelle. Volumes réservés, raccord au seed, butin, rencontres et services de campagne restent à terminer.</x:v>
      </x:c>
    </x:row>
    <x:row r="3167" ht="96" customHeight="1">
      <x:c r="A3167" s="115" t="str">
        <x:v>EXT-MONDE-T064-V12</x:v>
      </x:c>
      <x:c r="B3167" s="115" t="str">
        <x:v>EXT-MONDE-T064</x:v>
      </x:c>
      <x:c r="C3167" s="115" t="str">
        <x:v>Épuration</x:v>
      </x:c>
      <x:c r="D3167" s="115" t="str">
        <x:v>Usine de potabilisation</x:v>
      </x:c>
      <x:c r="E3167" s="115" t="n">
        <x:v>12</x:v>
      </x:c>
      <x:c r="F3167" s="115" t="str">
        <x:v>Inspection physique</x:v>
      </x:c>
      <x:c r="G3167" s="115" t="str">
        <x:v>1 niveaux ; 22 pièces ; 167 segments de mur ; 0 transitions. Inspection physique ; architecture complète encore ouverte.</x:v>
      </x:c>
      <x:c r="H3167" s="115" t="str">
        <x:v>L 448 ; l 460 ; hauteur 6 m ; choix de composition auteur ; dimensions réelles à documenter</x:v>
      </x:c>
      <x:c r="I3167" s="115" t="str">
        <x:v>À équilibrer</x:v>
      </x:c>
      <x:c r="J3167" s="115" t="str">
        <x:v>Non</x:v>
      </x:c>
      <x:c r="K3167" s="115" t="str">
        <x:v>Pièces décrites, murs, portes, niveaux et mobilier inspectables à l’échelle. Volumes réservés, raccord au seed, butin, rencontres et services de campagne restent à terminer.</x:v>
      </x:c>
    </x:row>
    <x:row r="3168" ht="96" customHeight="1">
      <x:c r="A3168" s="115" t="str">
        <x:v>EXT-MONDE-T064-V13</x:v>
      </x:c>
      <x:c r="B3168" s="115" t="str">
        <x:v>EXT-MONDE-T064</x:v>
      </x:c>
      <x:c r="C3168" s="115" t="str">
        <x:v>Épuration</x:v>
      </x:c>
      <x:c r="D3168" s="115" t="str">
        <x:v>Usine de potabilisation</x:v>
      </x:c>
      <x:c r="E3168" s="115" t="n">
        <x:v>13</x:v>
      </x:c>
      <x:c r="F3168" s="115" t="str">
        <x:v>Inspection physique</x:v>
      </x:c>
      <x:c r="G3168" s="115" t="str">
        <x:v>1 niveaux ; 22 pièces ; 167 segments de mur ; 0 transitions. Inspection physique ; architecture complète encore ouverte.</x:v>
      </x:c>
      <x:c r="H3168" s="115" t="str">
        <x:v>L 448 ; l 460 ; hauteur 6 m ; choix de composition auteur ; dimensions réelles à documenter</x:v>
      </x:c>
      <x:c r="I3168" s="115" t="str">
        <x:v>À équilibrer</x:v>
      </x:c>
      <x:c r="J3168" s="115" t="str">
        <x:v>Non</x:v>
      </x:c>
      <x:c r="K3168" s="115" t="str">
        <x:v>Pièces décrites, murs, portes, niveaux et mobilier inspectables à l’échelle. Volumes réservés, raccord au seed, butin, rencontres et services de campagne restent à terminer.</x:v>
      </x:c>
    </x:row>
    <x:row r="3169" ht="96" customHeight="1">
      <x:c r="A3169" s="115" t="str">
        <x:v>EXT-MONDE-T064-V14</x:v>
      </x:c>
      <x:c r="B3169" s="115" t="str">
        <x:v>EXT-MONDE-T064</x:v>
      </x:c>
      <x:c r="C3169" s="115" t="str">
        <x:v>Épuration</x:v>
      </x:c>
      <x:c r="D3169" s="115" t="str">
        <x:v>Usine de potabilisation</x:v>
      </x:c>
      <x:c r="E3169" s="115" t="n">
        <x:v>14</x:v>
      </x:c>
      <x:c r="F3169" s="115" t="str">
        <x:v>Inspection physique</x:v>
      </x:c>
      <x:c r="G3169" s="115" t="str">
        <x:v>1 niveaux ; 22 pièces ; 167 segments de mur ; 0 transitions. Inspection physique ; architecture complète encore ouverte.</x:v>
      </x:c>
      <x:c r="H3169" s="115" t="str">
        <x:v>L 448 ; l 460 ; hauteur 6 m ; choix de composition auteur ; dimensions réelles à documenter</x:v>
      </x:c>
      <x:c r="I3169" s="115" t="str">
        <x:v>À équilibrer</x:v>
      </x:c>
      <x:c r="J3169" s="115" t="str">
        <x:v>Non</x:v>
      </x:c>
      <x:c r="K3169" s="115" t="str">
        <x:v>Pièces décrites, murs, portes, niveaux et mobilier inspectables à l’échelle. Volumes réservés, raccord au seed, butin, rencontres et services de campagne restent à terminer.</x:v>
      </x:c>
    </x:row>
    <x:row r="3170" ht="96" customHeight="1">
      <x:c r="A3170" s="115" t="str">
        <x:v>EXT-MONDE-T064-V15</x:v>
      </x:c>
      <x:c r="B3170" s="115" t="str">
        <x:v>EXT-MONDE-T064</x:v>
      </x:c>
      <x:c r="C3170" s="115" t="str">
        <x:v>Épuration</x:v>
      </x:c>
      <x:c r="D3170" s="115" t="str">
        <x:v>Usine de potabilisation</x:v>
      </x:c>
      <x:c r="E3170" s="115" t="n">
        <x:v>15</x:v>
      </x:c>
      <x:c r="F3170" s="115" t="str">
        <x:v>Inspection physique</x:v>
      </x:c>
      <x:c r="G3170" s="115" t="str">
        <x:v>1 niveaux ; 22 pièces ; 167 segments de mur ; 0 transitions. Inspection physique ; architecture complète encore ouverte.</x:v>
      </x:c>
      <x:c r="H3170" s="115" t="str">
        <x:v>L 448 ; l 460 ; hauteur 6 m ; choix de composition auteur ; dimensions réelles à documenter</x:v>
      </x:c>
      <x:c r="I3170" s="115" t="str">
        <x:v>À équilibrer</x:v>
      </x:c>
      <x:c r="J3170" s="115" t="str">
        <x:v>Non</x:v>
      </x:c>
      <x:c r="K3170" s="115" t="str">
        <x:v>Pièces décrites, murs, portes, niveaux et mobilier inspectables à l’échelle. Volumes réservés, raccord au seed, butin, rencontres et services de campagne restent à terminer.</x:v>
      </x:c>
    </x:row>
    <x:row r="3171" ht="96" customHeight="1">
      <x:c r="A3171" s="115" t="str">
        <x:v>EXT-MONDE-T064-V16</x:v>
      </x:c>
      <x:c r="B3171" s="115" t="str">
        <x:v>EXT-MONDE-T064</x:v>
      </x:c>
      <x:c r="C3171" s="115" t="str">
        <x:v>Épuration</x:v>
      </x:c>
      <x:c r="D3171" s="115" t="str">
        <x:v>Usine de potabilisation</x:v>
      </x:c>
      <x:c r="E3171" s="115" t="n">
        <x:v>16</x:v>
      </x:c>
      <x:c r="F3171" s="115" t="str">
        <x:v>Inspection physique</x:v>
      </x:c>
      <x:c r="G3171" s="115" t="str">
        <x:v>1 niveaux ; 22 pièces ; 167 segments de mur ; 0 transitions. Inspection physique ; architecture complète encore ouverte.</x:v>
      </x:c>
      <x:c r="H3171" s="115" t="str">
        <x:v>L 448 ; l 460 ; hauteur 6 m ; choix de composition auteur ; dimensions réelles à documenter</x:v>
      </x:c>
      <x:c r="I3171" s="115" t="str">
        <x:v>À équilibrer</x:v>
      </x:c>
      <x:c r="J3171" s="115" t="str">
        <x:v>Non</x:v>
      </x:c>
      <x:c r="K3171" s="115" t="str">
        <x:v>Pièces décrites, murs, portes, niveaux et mobilier inspectables à l’échelle. Volumes réservés, raccord au seed, butin, rencontres et services de campagne restent à terminer.</x:v>
      </x:c>
    </x:row>
    <x:row r="3172" ht="96" customHeight="1">
      <x:c r="A3172" s="115" t="str">
        <x:v>EXT-MONDE-T064-V17</x:v>
      </x:c>
      <x:c r="B3172" s="115" t="str">
        <x:v>EXT-MONDE-T064</x:v>
      </x:c>
      <x:c r="C3172" s="115" t="str">
        <x:v>Épuration</x:v>
      </x:c>
      <x:c r="D3172" s="115" t="str">
        <x:v>Usine de potabilisation</x:v>
      </x:c>
      <x:c r="E3172" s="115" t="n">
        <x:v>17</x:v>
      </x:c>
      <x:c r="F3172" s="115" t="str">
        <x:v>Inspection physique</x:v>
      </x:c>
      <x:c r="G3172" s="115" t="str">
        <x:v>1 niveaux ; 22 pièces ; 167 segments de mur ; 0 transitions. Inspection physique ; architecture complète encore ouverte.</x:v>
      </x:c>
      <x:c r="H3172" s="115" t="str">
        <x:v>L 448 ; l 460 ; hauteur 6 m ; choix de composition auteur ; dimensions réelles à documenter</x:v>
      </x:c>
      <x:c r="I3172" s="115" t="str">
        <x:v>À équilibrer</x:v>
      </x:c>
      <x:c r="J3172" s="115" t="str">
        <x:v>Non</x:v>
      </x:c>
      <x:c r="K3172" s="115" t="str">
        <x:v>Pièces décrites, murs, portes, niveaux et mobilier inspectables à l’échelle. Volumes réservés, raccord au seed, butin, rencontres et services de campagne restent à terminer.</x:v>
      </x:c>
    </x:row>
    <x:row r="3173" ht="96" customHeight="1">
      <x:c r="A3173" s="115" t="str">
        <x:v>EXT-MONDE-T064-V18</x:v>
      </x:c>
      <x:c r="B3173" s="115" t="str">
        <x:v>EXT-MONDE-T064</x:v>
      </x:c>
      <x:c r="C3173" s="115" t="str">
        <x:v>Épuration</x:v>
      </x:c>
      <x:c r="D3173" s="115" t="str">
        <x:v>Usine de potabilisation</x:v>
      </x:c>
      <x:c r="E3173" s="115" t="n">
        <x:v>18</x:v>
      </x:c>
      <x:c r="F3173" s="115" t="str">
        <x:v>Inspection physique</x:v>
      </x:c>
      <x:c r="G3173" s="115" t="str">
        <x:v>1 niveaux ; 22 pièces ; 167 segments de mur ; 0 transitions. Inspection physique ; architecture complète encore ouverte.</x:v>
      </x:c>
      <x:c r="H3173" s="115" t="str">
        <x:v>L 448 ; l 460 ; hauteur 6 m ; choix de composition auteur ; dimensions réelles à documenter</x:v>
      </x:c>
      <x:c r="I3173" s="115" t="str">
        <x:v>À équilibrer</x:v>
      </x:c>
      <x:c r="J3173" s="115" t="str">
        <x:v>Non</x:v>
      </x:c>
      <x:c r="K3173" s="115" t="str">
        <x:v>Pièces décrites, murs, portes, niveaux et mobilier inspectables à l’échelle. Volumes réservés, raccord au seed, butin, rencontres et services de campagne restent à terminer.</x:v>
      </x:c>
    </x:row>
    <x:row r="3174" ht="96" customHeight="1">
      <x:c r="A3174" s="115" t="str">
        <x:v>EXT-MONDE-T064-V19</x:v>
      </x:c>
      <x:c r="B3174" s="115" t="str">
        <x:v>EXT-MONDE-T064</x:v>
      </x:c>
      <x:c r="C3174" s="115" t="str">
        <x:v>Épuration</x:v>
      </x:c>
      <x:c r="D3174" s="115" t="str">
        <x:v>Usine de potabilisation</x:v>
      </x:c>
      <x:c r="E3174" s="115" t="n">
        <x:v>19</x:v>
      </x:c>
      <x:c r="F3174" s="115" t="str">
        <x:v>Inspection physique</x:v>
      </x:c>
      <x:c r="G3174" s="115" t="str">
        <x:v>1 niveaux ; 22 pièces ; 167 segments de mur ; 0 transitions. Inspection physique ; architecture complète encore ouverte.</x:v>
      </x:c>
      <x:c r="H3174" s="115" t="str">
        <x:v>L 448 ; l 460 ; hauteur 6 m ; choix de composition auteur ; dimensions réelles à documenter</x:v>
      </x:c>
      <x:c r="I3174" s="115" t="str">
        <x:v>À équilibrer</x:v>
      </x:c>
      <x:c r="J3174" s="115" t="str">
        <x:v>Non</x:v>
      </x:c>
      <x:c r="K3174" s="115" t="str">
        <x:v>Pièces décrites, murs, portes, niveaux et mobilier inspectables à l’échelle. Volumes réservés, raccord au seed, butin, rencontres et services de campagne restent à terminer.</x:v>
      </x:c>
    </x:row>
    <x:row r="3175" ht="96" customHeight="1">
      <x:c r="A3175" s="115" t="str">
        <x:v>EXT-MONDE-T064-V20</x:v>
      </x:c>
      <x:c r="B3175" s="115" t="str">
        <x:v>EXT-MONDE-T064</x:v>
      </x:c>
      <x:c r="C3175" s="115" t="str">
        <x:v>Épuration</x:v>
      </x:c>
      <x:c r="D3175" s="115" t="str">
        <x:v>Usine de potabilisation</x:v>
      </x:c>
      <x:c r="E3175" s="115" t="n">
        <x:v>20</x:v>
      </x:c>
      <x:c r="F3175" s="115" t="str">
        <x:v>Inspection physique</x:v>
      </x:c>
      <x:c r="G3175" s="115" t="str">
        <x:v>1 niveaux ; 22 pièces ; 167 segments de mur ; 0 transitions. Inspection physique ; architecture complète encore ouverte.</x:v>
      </x:c>
      <x:c r="H3175" s="115" t="str">
        <x:v>L 448 ; l 460 ; hauteur 6 m ; choix de composition auteur ; dimensions réelles à documenter</x:v>
      </x:c>
      <x:c r="I3175" s="115" t="str">
        <x:v>À équilibrer</x:v>
      </x:c>
      <x:c r="J3175" s="115" t="str">
        <x:v>Non</x:v>
      </x:c>
      <x:c r="K3175" s="115" t="str">
        <x:v>Pièces décrites, murs, portes, niveaux et mobilier inspectables à l’échelle. Volumes réservés, raccord au seed, butin, rencontres et services de campagne restent à terminer.</x:v>
      </x:c>
    </x:row>
    <x:row r="3176" ht="96" customHeight="1">
      <x:c r="A3176" s="115" t="str">
        <x:v>EXT-MONDE-T064-V21</x:v>
      </x:c>
      <x:c r="B3176" s="115" t="str">
        <x:v>EXT-MONDE-T064</x:v>
      </x:c>
      <x:c r="C3176" s="115" t="str">
        <x:v>Épuration</x:v>
      </x:c>
      <x:c r="D3176" s="115" t="str">
        <x:v>Usine de potabilisation</x:v>
      </x:c>
      <x:c r="E3176" s="115" t="n">
        <x:v>21</x:v>
      </x:c>
      <x:c r="F3176" s="115" t="str">
        <x:v>Inspection physique</x:v>
      </x:c>
      <x:c r="G3176" s="115" t="str">
        <x:v>1 niveaux ; 22 pièces ; 167 segments de mur ; 0 transitions. Inspection physique ; architecture complète encore ouverte.</x:v>
      </x:c>
      <x:c r="H3176" s="115" t="str">
        <x:v>L 466 ; l 480 ; hauteur 6 m ; choix de composition auteur ; dimensions réelles à documenter</x:v>
      </x:c>
      <x:c r="I3176" s="115" t="str">
        <x:v>À équilibrer</x:v>
      </x:c>
      <x:c r="J3176" s="115" t="str">
        <x:v>Non</x:v>
      </x:c>
      <x:c r="K3176" s="115" t="str">
        <x:v>Pièces décrites, murs, portes, niveaux et mobilier inspectables à l’échelle. Volumes réservés, raccord au seed, butin, rencontres et services de campagne restent à terminer.</x:v>
      </x:c>
    </x:row>
    <x:row r="3177" ht="96" customHeight="1">
      <x:c r="A3177" s="115" t="str">
        <x:v>EXT-MONDE-T064-V22</x:v>
      </x:c>
      <x:c r="B3177" s="115" t="str">
        <x:v>EXT-MONDE-T064</x:v>
      </x:c>
      <x:c r="C3177" s="115" t="str">
        <x:v>Épuration</x:v>
      </x:c>
      <x:c r="D3177" s="115" t="str">
        <x:v>Usine de potabilisation</x:v>
      </x:c>
      <x:c r="E3177" s="115" t="n">
        <x:v>22</x:v>
      </x:c>
      <x:c r="F3177" s="115" t="str">
        <x:v>Inspection physique</x:v>
      </x:c>
      <x:c r="G3177" s="115" t="str">
        <x:v>1 niveaux ; 22 pièces ; 167 segments de mur ; 0 transitions. Inspection physique ; architecture complète encore ouverte.</x:v>
      </x:c>
      <x:c r="H3177" s="115" t="str">
        <x:v>L 466 ; l 480 ; hauteur 6 m ; choix de composition auteur ; dimensions réelles à documenter</x:v>
      </x:c>
      <x:c r="I3177" s="115" t="str">
        <x:v>À équilibrer</x:v>
      </x:c>
      <x:c r="J3177" s="115" t="str">
        <x:v>Non</x:v>
      </x:c>
      <x:c r="K3177" s="115" t="str">
        <x:v>Pièces décrites, murs, portes, niveaux et mobilier inspectables à l’échelle. Volumes réservés, raccord au seed, butin, rencontres et services de campagne restent à terminer.</x:v>
      </x:c>
    </x:row>
    <x:row r="3178" ht="96" customHeight="1">
      <x:c r="A3178" s="115" t="str">
        <x:v>EXT-MONDE-T064-V23</x:v>
      </x:c>
      <x:c r="B3178" s="115" t="str">
        <x:v>EXT-MONDE-T064</x:v>
      </x:c>
      <x:c r="C3178" s="115" t="str">
        <x:v>Épuration</x:v>
      </x:c>
      <x:c r="D3178" s="115" t="str">
        <x:v>Usine de potabilisation</x:v>
      </x:c>
      <x:c r="E3178" s="115" t="n">
        <x:v>23</x:v>
      </x:c>
      <x:c r="F3178" s="115" t="str">
        <x:v>Inspection physique</x:v>
      </x:c>
      <x:c r="G3178" s="115" t="str">
        <x:v>1 niveaux ; 22 pièces ; 167 segments de mur ; 0 transitions. Inspection physique ; architecture complète encore ouverte.</x:v>
      </x:c>
      <x:c r="H3178" s="115" t="str">
        <x:v>L 466 ; l 480 ; hauteur 6 m ; choix de composition auteur ; dimensions réelles à documenter</x:v>
      </x:c>
      <x:c r="I3178" s="115" t="str">
        <x:v>À équilibrer</x:v>
      </x:c>
      <x:c r="J3178" s="115" t="str">
        <x:v>Non</x:v>
      </x:c>
      <x:c r="K3178" s="115" t="str">
        <x:v>Pièces décrites, murs, portes, niveaux et mobilier inspectables à l’échelle. Volumes réservés, raccord au seed, butin, rencontres et services de campagne restent à terminer.</x:v>
      </x:c>
    </x:row>
    <x:row r="3179" ht="96" customHeight="1">
      <x:c r="A3179" s="115" t="str">
        <x:v>EXT-MONDE-T064-V24</x:v>
      </x:c>
      <x:c r="B3179" s="115" t="str">
        <x:v>EXT-MONDE-T064</x:v>
      </x:c>
      <x:c r="C3179" s="115" t="str">
        <x:v>Épuration</x:v>
      </x:c>
      <x:c r="D3179" s="115" t="str">
        <x:v>Usine de potabilisation</x:v>
      </x:c>
      <x:c r="E3179" s="115" t="n">
        <x:v>24</x:v>
      </x:c>
      <x:c r="F3179" s="115" t="str">
        <x:v>Inspection physique</x:v>
      </x:c>
      <x:c r="G3179" s="115" t="str">
        <x:v>1 niveaux ; 22 pièces ; 167 segments de mur ; 0 transitions. Inspection physique ; architecture complète encore ouverte.</x:v>
      </x:c>
      <x:c r="H3179" s="115" t="str">
        <x:v>L 466 ; l 480 ; hauteur 6 m ; choix de composition auteur ; dimensions réelles à documenter</x:v>
      </x:c>
      <x:c r="I3179" s="115" t="str">
        <x:v>À équilibrer</x:v>
      </x:c>
      <x:c r="J3179" s="115" t="str">
        <x:v>Non</x:v>
      </x:c>
      <x:c r="K3179" s="115" t="str">
        <x:v>Pièces décrites, murs, portes, niveaux et mobilier inspectables à l’échelle. Volumes réservés, raccord au seed, butin, rencontres et services de campagne restent à terminer.</x:v>
      </x:c>
    </x:row>
    <x:row r="3180" ht="96" customHeight="1">
      <x:c r="A3180" s="115" t="str">
        <x:v>EXT-MONDE-T064-V25</x:v>
      </x:c>
      <x:c r="B3180" s="115" t="str">
        <x:v>EXT-MONDE-T064</x:v>
      </x:c>
      <x:c r="C3180" s="115" t="str">
        <x:v>Épuration</x:v>
      </x:c>
      <x:c r="D3180" s="115" t="str">
        <x:v>Usine de potabilisation</x:v>
      </x:c>
      <x:c r="E3180" s="115" t="n">
        <x:v>25</x:v>
      </x:c>
      <x:c r="F3180" s="115" t="str">
        <x:v>Inspection physique</x:v>
      </x:c>
      <x:c r="G3180" s="115" t="str">
        <x:v>1 niveaux ; 22 pièces ; 167 segments de mur ; 0 transitions. Inspection physique ; architecture complète encore ouverte.</x:v>
      </x:c>
      <x:c r="H3180" s="115" t="str">
        <x:v>L 466 ; l 480 ; hauteur 6 m ; choix de composition auteur ; dimensions réelles à documenter</x:v>
      </x:c>
      <x:c r="I3180" s="115" t="str">
        <x:v>À équilibrer</x:v>
      </x:c>
      <x:c r="J3180" s="115" t="str">
        <x:v>Non</x:v>
      </x:c>
      <x:c r="K3180" s="115" t="str">
        <x:v>Pièces décrites, murs, portes, niveaux et mobilier inspectables à l’échelle. Volumes réservés, raccord au seed, butin, rencontres et services de campagne restent à terminer.</x:v>
      </x:c>
    </x:row>
    <x:row r="3181" ht="96" customHeight="1">
      <x:c r="A3181" s="115" t="str">
        <x:v>EXT-MONDE-T064-V26</x:v>
      </x:c>
      <x:c r="B3181" s="115" t="str">
        <x:v>EXT-MONDE-T064</x:v>
      </x:c>
      <x:c r="C3181" s="115" t="str">
        <x:v>Épuration</x:v>
      </x:c>
      <x:c r="D3181" s="115" t="str">
        <x:v>Usine de potabilisation</x:v>
      </x:c>
      <x:c r="E3181" s="115" t="n">
        <x:v>26</x:v>
      </x:c>
      <x:c r="F3181" s="115" t="str">
        <x:v>Inspection physique</x:v>
      </x:c>
      <x:c r="G3181" s="115" t="str">
        <x:v>1 niveaux ; 22 pièces ; 167 segments de mur ; 0 transitions. Inspection physique ; architecture complète encore ouverte.</x:v>
      </x:c>
      <x:c r="H3181" s="115" t="str">
        <x:v>L 466 ; l 480 ; hauteur 6 m ; choix de composition auteur ; dimensions réelles à documenter</x:v>
      </x:c>
      <x:c r="I3181" s="115" t="str">
        <x:v>À équilibrer</x:v>
      </x:c>
      <x:c r="J3181" s="115" t="str">
        <x:v>Non</x:v>
      </x:c>
      <x:c r="K3181" s="115" t="str">
        <x:v>Pièces décrites, murs, portes, niveaux et mobilier inspectables à l’échelle. Volumes réservés, raccord au seed, butin, rencontres et services de campagne restent à terminer.</x:v>
      </x:c>
    </x:row>
    <x:row r="3182" ht="96" customHeight="1">
      <x:c r="A3182" s="115" t="str">
        <x:v>EXT-MONDE-T064-V27</x:v>
      </x:c>
      <x:c r="B3182" s="115" t="str">
        <x:v>EXT-MONDE-T064</x:v>
      </x:c>
      <x:c r="C3182" s="115" t="str">
        <x:v>Épuration</x:v>
      </x:c>
      <x:c r="D3182" s="115" t="str">
        <x:v>Usine de potabilisation</x:v>
      </x:c>
      <x:c r="E3182" s="115" t="n">
        <x:v>27</x:v>
      </x:c>
      <x:c r="F3182" s="115" t="str">
        <x:v>Inspection physique</x:v>
      </x:c>
      <x:c r="G3182" s="115" t="str">
        <x:v>1 niveaux ; 22 pièces ; 167 segments de mur ; 0 transitions. Inspection physique ; architecture complète encore ouverte.</x:v>
      </x:c>
      <x:c r="H3182" s="115" t="str">
        <x:v>L 466 ; l 480 ; hauteur 6 m ; choix de composition auteur ; dimensions réelles à documenter</x:v>
      </x:c>
      <x:c r="I3182" s="115" t="str">
        <x:v>À équilibrer</x:v>
      </x:c>
      <x:c r="J3182" s="115" t="str">
        <x:v>Non</x:v>
      </x:c>
      <x:c r="K3182" s="115" t="str">
        <x:v>Pièces décrites, murs, portes, niveaux et mobilier inspectables à l’échelle. Volumes réservés, raccord au seed, butin, rencontres et services de campagne restent à terminer.</x:v>
      </x:c>
    </x:row>
    <x:row r="3183" ht="96" customHeight="1">
      <x:c r="A3183" s="115" t="str">
        <x:v>EXT-MONDE-T064-V28</x:v>
      </x:c>
      <x:c r="B3183" s="115" t="str">
        <x:v>EXT-MONDE-T064</x:v>
      </x:c>
      <x:c r="C3183" s="115" t="str">
        <x:v>Épuration</x:v>
      </x:c>
      <x:c r="D3183" s="115" t="str">
        <x:v>Usine de potabilisation</x:v>
      </x:c>
      <x:c r="E3183" s="115" t="n">
        <x:v>28</x:v>
      </x:c>
      <x:c r="F3183" s="115" t="str">
        <x:v>Inspection physique</x:v>
      </x:c>
      <x:c r="G3183" s="115" t="str">
        <x:v>1 niveaux ; 22 pièces ; 167 segments de mur ; 0 transitions. Inspection physique ; architecture complète encore ouverte.</x:v>
      </x:c>
      <x:c r="H3183" s="115" t="str">
        <x:v>L 466 ; l 480 ; hauteur 6 m ; choix de composition auteur ; dimensions réelles à documenter</x:v>
      </x:c>
      <x:c r="I3183" s="115" t="str">
        <x:v>À équilibrer</x:v>
      </x:c>
      <x:c r="J3183" s="115" t="str">
        <x:v>Non</x:v>
      </x:c>
      <x:c r="K3183" s="115" t="str">
        <x:v>Pièces décrites, murs, portes, niveaux et mobilier inspectables à l’échelle. Volumes réservés, raccord au seed, butin, rencontres et services de campagne restent à terminer.</x:v>
      </x:c>
    </x:row>
    <x:row r="3184" ht="96" customHeight="1">
      <x:c r="A3184" s="115" t="str">
        <x:v>EXT-MONDE-T064-V29</x:v>
      </x:c>
      <x:c r="B3184" s="115" t="str">
        <x:v>EXT-MONDE-T064</x:v>
      </x:c>
      <x:c r="C3184" s="115" t="str">
        <x:v>Épuration</x:v>
      </x:c>
      <x:c r="D3184" s="115" t="str">
        <x:v>Usine de potabilisation</x:v>
      </x:c>
      <x:c r="E3184" s="115" t="n">
        <x:v>29</x:v>
      </x:c>
      <x:c r="F3184" s="115" t="str">
        <x:v>Inspection physique</x:v>
      </x:c>
      <x:c r="G3184" s="115" t="str">
        <x:v>1 niveaux ; 22 pièces ; 167 segments de mur ; 0 transitions. Inspection physique ; architecture complète encore ouverte.</x:v>
      </x:c>
      <x:c r="H3184" s="115" t="str">
        <x:v>L 466 ; l 480 ; hauteur 6 m ; choix de composition auteur ; dimensions réelles à documenter</x:v>
      </x:c>
      <x:c r="I3184" s="115" t="str">
        <x:v>À équilibrer</x:v>
      </x:c>
      <x:c r="J3184" s="115" t="str">
        <x:v>Non</x:v>
      </x:c>
      <x:c r="K3184" s="115" t="str">
        <x:v>Pièces décrites, murs, portes, niveaux et mobilier inspectables à l’échelle. Volumes réservés, raccord au seed, butin, rencontres et services de campagne restent à terminer.</x:v>
      </x:c>
    </x:row>
    <x:row r="3185" ht="96" customHeight="1">
      <x:c r="A3185" s="115" t="str">
        <x:v>EXT-MONDE-T064-V30</x:v>
      </x:c>
      <x:c r="B3185" s="115" t="str">
        <x:v>EXT-MONDE-T064</x:v>
      </x:c>
      <x:c r="C3185" s="115" t="str">
        <x:v>Épuration</x:v>
      </x:c>
      <x:c r="D3185" s="115" t="str">
        <x:v>Usine de potabilisation</x:v>
      </x:c>
      <x:c r="E3185" s="115" t="n">
        <x:v>30</x:v>
      </x:c>
      <x:c r="F3185" s="115" t="str">
        <x:v>Inspection physique</x:v>
      </x:c>
      <x:c r="G3185" s="115" t="str">
        <x:v>1 niveaux ; 22 pièces ; 167 segments de mur ; 0 transitions. Inspection physique ; architecture complète encore ouverte.</x:v>
      </x:c>
      <x:c r="H3185" s="115" t="str">
        <x:v>L 466 ; l 480 ; hauteur 6 m ; choix de composition auteur ; dimensions réelles à documenter</x:v>
      </x:c>
      <x:c r="I3185" s="115" t="str">
        <x:v>À équilibrer</x:v>
      </x:c>
      <x:c r="J3185" s="115" t="str">
        <x:v>Non</x:v>
      </x:c>
      <x:c r="K3185" s="115" t="str">
        <x:v>Pièces décrites, murs, portes, niveaux et mobilier inspectables à l’échelle. Volumes réservés, raccord au seed, butin, rencontres et services de campagne restent à terminer.</x:v>
      </x:c>
    </x:row>
    <x:row r="3186" ht="96" customHeight="1">
      <x:c r="A3186" s="115" t="str">
        <x:v>EXT-MONDE-T064-V31</x:v>
      </x:c>
      <x:c r="B3186" s="115" t="str">
        <x:v>EXT-MONDE-T064</x:v>
      </x:c>
      <x:c r="C3186" s="115" t="str">
        <x:v>Épuration</x:v>
      </x:c>
      <x:c r="D3186" s="115" t="str">
        <x:v>Usine de potabilisation</x:v>
      </x:c>
      <x:c r="E3186" s="115" t="n">
        <x:v>31</x:v>
      </x:c>
      <x:c r="F3186" s="115" t="str">
        <x:v>Inspection physique</x:v>
      </x:c>
      <x:c r="G3186" s="115" t="str">
        <x:v>1 niveaux ; 22 pièces ; 167 segments de mur ; 0 transitions. Inspection physique ; architecture complète encore ouverte.</x:v>
      </x:c>
      <x:c r="H3186" s="115" t="str">
        <x:v>L 484 ; l 500 ; hauteur 6,1 m ; choix de composition auteur ; dimensions réelles à documenter</x:v>
      </x:c>
      <x:c r="I3186" s="115" t="str">
        <x:v>À équilibrer</x:v>
      </x:c>
      <x:c r="J3186" s="115" t="str">
        <x:v>Non</x:v>
      </x:c>
      <x:c r="K3186" s="115" t="str">
        <x:v>Pièces décrites, murs, portes, niveaux et mobilier inspectables à l’échelle. Volumes réservés, raccord au seed, butin, rencontres et services de campagne restent à terminer.</x:v>
      </x:c>
    </x:row>
    <x:row r="3187" ht="96" customHeight="1">
      <x:c r="A3187" s="115" t="str">
        <x:v>EXT-MONDE-T064-V32</x:v>
      </x:c>
      <x:c r="B3187" s="115" t="str">
        <x:v>EXT-MONDE-T064</x:v>
      </x:c>
      <x:c r="C3187" s="115" t="str">
        <x:v>Épuration</x:v>
      </x:c>
      <x:c r="D3187" s="115" t="str">
        <x:v>Usine de potabilisation</x:v>
      </x:c>
      <x:c r="E3187" s="115" t="n">
        <x:v>32</x:v>
      </x:c>
      <x:c r="F3187" s="115" t="str">
        <x:v>Inspection physique</x:v>
      </x:c>
      <x:c r="G3187" s="115" t="str">
        <x:v>1 niveaux ; 22 pièces ; 167 segments de mur ; 0 transitions. Inspection physique ; architecture complète encore ouverte.</x:v>
      </x:c>
      <x:c r="H3187" s="115" t="str">
        <x:v>L 484 ; l 500 ; hauteur 6,1 m ; choix de composition auteur ; dimensions réelles à documenter</x:v>
      </x:c>
      <x:c r="I3187" s="115" t="str">
        <x:v>À équilibrer</x:v>
      </x:c>
      <x:c r="J3187" s="115" t="str">
        <x:v>Non</x:v>
      </x:c>
      <x:c r="K3187" s="115" t="str">
        <x:v>Pièces décrites, murs, portes, niveaux et mobilier inspectables à l’échelle. Volumes réservés, raccord au seed, butin, rencontres et services de campagne restent à terminer.</x:v>
      </x:c>
    </x:row>
    <x:row r="3188" ht="96" customHeight="1">
      <x:c r="A3188" s="115" t="str">
        <x:v>EXT-MONDE-T064-V33</x:v>
      </x:c>
      <x:c r="B3188" s="115" t="str">
        <x:v>EXT-MONDE-T064</x:v>
      </x:c>
      <x:c r="C3188" s="115" t="str">
        <x:v>Épuration</x:v>
      </x:c>
      <x:c r="D3188" s="115" t="str">
        <x:v>Usine de potabilisation</x:v>
      </x:c>
      <x:c r="E3188" s="115" t="n">
        <x:v>33</x:v>
      </x:c>
      <x:c r="F3188" s="115" t="str">
        <x:v>Inspection physique</x:v>
      </x:c>
      <x:c r="G3188" s="115" t="str">
        <x:v>1 niveaux ; 22 pièces ; 167 segments de mur ; 0 transitions. Inspection physique ; architecture complète encore ouverte.</x:v>
      </x:c>
      <x:c r="H3188" s="115" t="str">
        <x:v>L 484 ; l 500 ; hauteur 6,1 m ; choix de composition auteur ; dimensions réelles à documenter</x:v>
      </x:c>
      <x:c r="I3188" s="115" t="str">
        <x:v>À équilibrer</x:v>
      </x:c>
      <x:c r="J3188" s="115" t="str">
        <x:v>Non</x:v>
      </x:c>
      <x:c r="K3188" s="115" t="str">
        <x:v>Pièces décrites, murs, portes, niveaux et mobilier inspectables à l’échelle. Volumes réservés, raccord au seed, butin, rencontres et services de campagne restent à terminer.</x:v>
      </x:c>
    </x:row>
    <x:row r="3189" ht="96" customHeight="1">
      <x:c r="A3189" s="115" t="str">
        <x:v>EXT-MONDE-T064-V34</x:v>
      </x:c>
      <x:c r="B3189" s="115" t="str">
        <x:v>EXT-MONDE-T064</x:v>
      </x:c>
      <x:c r="C3189" s="115" t="str">
        <x:v>Épuration</x:v>
      </x:c>
      <x:c r="D3189" s="115" t="str">
        <x:v>Usine de potabilisation</x:v>
      </x:c>
      <x:c r="E3189" s="115" t="n">
        <x:v>34</x:v>
      </x:c>
      <x:c r="F3189" s="115" t="str">
        <x:v>Inspection physique</x:v>
      </x:c>
      <x:c r="G3189" s="115" t="str">
        <x:v>1 niveaux ; 22 pièces ; 167 segments de mur ; 0 transitions. Inspection physique ; architecture complète encore ouverte.</x:v>
      </x:c>
      <x:c r="H3189" s="115" t="str">
        <x:v>L 484 ; l 500 ; hauteur 6,1 m ; choix de composition auteur ; dimensions réelles à documenter</x:v>
      </x:c>
      <x:c r="I3189" s="115" t="str">
        <x:v>À équilibrer</x:v>
      </x:c>
      <x:c r="J3189" s="115" t="str">
        <x:v>Non</x:v>
      </x:c>
      <x:c r="K3189" s="115" t="str">
        <x:v>Pièces décrites, murs, portes, niveaux et mobilier inspectables à l’échelle. Volumes réservés, raccord au seed, butin, rencontres et services de campagne restent à terminer.</x:v>
      </x:c>
    </x:row>
    <x:row r="3190" ht="96" customHeight="1">
      <x:c r="A3190" s="115" t="str">
        <x:v>EXT-MONDE-T064-V35</x:v>
      </x:c>
      <x:c r="B3190" s="115" t="str">
        <x:v>EXT-MONDE-T064</x:v>
      </x:c>
      <x:c r="C3190" s="115" t="str">
        <x:v>Épuration</x:v>
      </x:c>
      <x:c r="D3190" s="115" t="str">
        <x:v>Usine de potabilisation</x:v>
      </x:c>
      <x:c r="E3190" s="115" t="n">
        <x:v>35</x:v>
      </x:c>
      <x:c r="F3190" s="115" t="str">
        <x:v>Inspection physique</x:v>
      </x:c>
      <x:c r="G3190" s="115" t="str">
        <x:v>1 niveaux ; 22 pièces ; 167 segments de mur ; 0 transitions. Inspection physique ; architecture complète encore ouverte.</x:v>
      </x:c>
      <x:c r="H3190" s="115" t="str">
        <x:v>L 484 ; l 500 ; hauteur 6,1 m ; choix de composition auteur ; dimensions réelles à documenter</x:v>
      </x:c>
      <x:c r="I3190" s="115" t="str">
        <x:v>À équilibrer</x:v>
      </x:c>
      <x:c r="J3190" s="115" t="str">
        <x:v>Non</x:v>
      </x:c>
      <x:c r="K3190" s="115" t="str">
        <x:v>Pièces décrites, murs, portes, niveaux et mobilier inspectables à l’échelle. Volumes réservés, raccord au seed, butin, rencontres et services de campagne restent à terminer.</x:v>
      </x:c>
    </x:row>
    <x:row r="3191" ht="96" customHeight="1">
      <x:c r="A3191" s="115" t="str">
        <x:v>EXT-MONDE-T064-V36</x:v>
      </x:c>
      <x:c r="B3191" s="115" t="str">
        <x:v>EXT-MONDE-T064</x:v>
      </x:c>
      <x:c r="C3191" s="115" t="str">
        <x:v>Épuration</x:v>
      </x:c>
      <x:c r="D3191" s="115" t="str">
        <x:v>Usine de potabilisation</x:v>
      </x:c>
      <x:c r="E3191" s="115" t="n">
        <x:v>36</x:v>
      </x:c>
      <x:c r="F3191" s="115" t="str">
        <x:v>Inspection physique</x:v>
      </x:c>
      <x:c r="G3191" s="115" t="str">
        <x:v>1 niveaux ; 22 pièces ; 167 segments de mur ; 0 transitions. Inspection physique ; architecture complète encore ouverte.</x:v>
      </x:c>
      <x:c r="H3191" s="115" t="str">
        <x:v>L 484 ; l 500 ; hauteur 6,1 m ; choix de composition auteur ; dimensions réelles à documenter</x:v>
      </x:c>
      <x:c r="I3191" s="115" t="str">
        <x:v>À équilibrer</x:v>
      </x:c>
      <x:c r="J3191" s="115" t="str">
        <x:v>Non</x:v>
      </x:c>
      <x:c r="K3191" s="115" t="str">
        <x:v>Pièces décrites, murs, portes, niveaux et mobilier inspectables à l’échelle. Volumes réservés, raccord au seed, butin, rencontres et services de campagne restent à terminer.</x:v>
      </x:c>
    </x:row>
    <x:row r="3192" ht="96" customHeight="1">
      <x:c r="A3192" s="115" t="str">
        <x:v>EXT-MONDE-T064-V37</x:v>
      </x:c>
      <x:c r="B3192" s="115" t="str">
        <x:v>EXT-MONDE-T064</x:v>
      </x:c>
      <x:c r="C3192" s="115" t="str">
        <x:v>Épuration</x:v>
      </x:c>
      <x:c r="D3192" s="115" t="str">
        <x:v>Usine de potabilisation</x:v>
      </x:c>
      <x:c r="E3192" s="115" t="n">
        <x:v>37</x:v>
      </x:c>
      <x:c r="F3192" s="115" t="str">
        <x:v>Inspection physique</x:v>
      </x:c>
      <x:c r="G3192" s="115" t="str">
        <x:v>1 niveaux ; 22 pièces ; 167 segments de mur ; 0 transitions. Inspection physique ; architecture complète encore ouverte.</x:v>
      </x:c>
      <x:c r="H3192" s="115" t="str">
        <x:v>L 484 ; l 500 ; hauteur 6,1 m ; choix de composition auteur ; dimensions réelles à documenter</x:v>
      </x:c>
      <x:c r="I3192" s="115" t="str">
        <x:v>À équilibrer</x:v>
      </x:c>
      <x:c r="J3192" s="115" t="str">
        <x:v>Non</x:v>
      </x:c>
      <x:c r="K3192" s="115" t="str">
        <x:v>Pièces décrites, murs, portes, niveaux et mobilier inspectables à l’échelle. Volumes réservés, raccord au seed, butin, rencontres et services de campagne restent à terminer.</x:v>
      </x:c>
    </x:row>
    <x:row r="3193" ht="96" customHeight="1">
      <x:c r="A3193" s="115" t="str">
        <x:v>EXT-MONDE-T064-V38</x:v>
      </x:c>
      <x:c r="B3193" s="115" t="str">
        <x:v>EXT-MONDE-T064</x:v>
      </x:c>
      <x:c r="C3193" s="115" t="str">
        <x:v>Épuration</x:v>
      </x:c>
      <x:c r="D3193" s="115" t="str">
        <x:v>Usine de potabilisation</x:v>
      </x:c>
      <x:c r="E3193" s="115" t="n">
        <x:v>38</x:v>
      </x:c>
      <x:c r="F3193" s="115" t="str">
        <x:v>Inspection physique</x:v>
      </x:c>
      <x:c r="G3193" s="115" t="str">
        <x:v>1 niveaux ; 22 pièces ; 167 segments de mur ; 0 transitions. Inspection physique ; architecture complète encore ouverte.</x:v>
      </x:c>
      <x:c r="H3193" s="115" t="str">
        <x:v>L 484 ; l 500 ; hauteur 6,1 m ; choix de composition auteur ; dimensions réelles à documenter</x:v>
      </x:c>
      <x:c r="I3193" s="115" t="str">
        <x:v>À équilibrer</x:v>
      </x:c>
      <x:c r="J3193" s="115" t="str">
        <x:v>Non</x:v>
      </x:c>
      <x:c r="K3193" s="115" t="str">
        <x:v>Pièces décrites, murs, portes, niveaux et mobilier inspectables à l’échelle. Volumes réservés, raccord au seed, butin, rencontres et services de campagne restent à terminer.</x:v>
      </x:c>
    </x:row>
    <x:row r="3194" ht="96" customHeight="1">
      <x:c r="A3194" s="115" t="str">
        <x:v>EXT-MONDE-T064-V39</x:v>
      </x:c>
      <x:c r="B3194" s="115" t="str">
        <x:v>EXT-MONDE-T064</x:v>
      </x:c>
      <x:c r="C3194" s="115" t="str">
        <x:v>Épuration</x:v>
      </x:c>
      <x:c r="D3194" s="115" t="str">
        <x:v>Usine de potabilisation</x:v>
      </x:c>
      <x:c r="E3194" s="115" t="n">
        <x:v>39</x:v>
      </x:c>
      <x:c r="F3194" s="115" t="str">
        <x:v>Inspection physique</x:v>
      </x:c>
      <x:c r="G3194" s="115" t="str">
        <x:v>1 niveaux ; 22 pièces ; 167 segments de mur ; 0 transitions. Inspection physique ; architecture complète encore ouverte.</x:v>
      </x:c>
      <x:c r="H3194" s="115" t="str">
        <x:v>L 484 ; l 500 ; hauteur 6,1 m ; choix de composition auteur ; dimensions réelles à documenter</x:v>
      </x:c>
      <x:c r="I3194" s="115" t="str">
        <x:v>À équilibrer</x:v>
      </x:c>
      <x:c r="J3194" s="115" t="str">
        <x:v>Non</x:v>
      </x:c>
      <x:c r="K3194" s="115" t="str">
        <x:v>Pièces décrites, murs, portes, niveaux et mobilier inspectables à l’échelle. Volumes réservés, raccord au seed, butin, rencontres et services de campagne restent à terminer.</x:v>
      </x:c>
    </x:row>
    <x:row r="3195" ht="96" customHeight="1">
      <x:c r="A3195" s="115" t="str">
        <x:v>EXT-MONDE-T064-V40</x:v>
      </x:c>
      <x:c r="B3195" s="115" t="str">
        <x:v>EXT-MONDE-T064</x:v>
      </x:c>
      <x:c r="C3195" s="115" t="str">
        <x:v>Épuration</x:v>
      </x:c>
      <x:c r="D3195" s="115" t="str">
        <x:v>Usine de potabilisation</x:v>
      </x:c>
      <x:c r="E3195" s="115" t="n">
        <x:v>40</x:v>
      </x:c>
      <x:c r="F3195" s="115" t="str">
        <x:v>Inspection physique</x:v>
      </x:c>
      <x:c r="G3195" s="115" t="str">
        <x:v>1 niveaux ; 22 pièces ; 167 segments de mur ; 0 transitions. Inspection physique ; architecture complète encore ouverte.</x:v>
      </x:c>
      <x:c r="H3195" s="115" t="str">
        <x:v>L 484 ; l 500 ; hauteur 6,1 m ; choix de composition auteur ; dimensions réelles à documenter</x:v>
      </x:c>
      <x:c r="I3195" s="115" t="str">
        <x:v>À équilibrer</x:v>
      </x:c>
      <x:c r="J3195" s="115" t="str">
        <x:v>Non</x:v>
      </x:c>
      <x:c r="K3195" s="115" t="str">
        <x:v>Pièces décrites, murs, portes, niveaux et mobilier inspectables à l’échelle. Volumes réservés, raccord au seed, butin, rencontres et services de campagne restent à terminer.</x:v>
      </x:c>
    </x:row>
    <x:row r="3196" ht="96" customHeight="1">
      <x:c r="A3196" s="115" t="str">
        <x:v>EXT-MONDE-T064-V41</x:v>
      </x:c>
      <x:c r="B3196" s="115" t="str">
        <x:v>EXT-MONDE-T064</x:v>
      </x:c>
      <x:c r="C3196" s="115" t="str">
        <x:v>Épuration</x:v>
      </x:c>
      <x:c r="D3196" s="115" t="str">
        <x:v>Usine de potabilisation</x:v>
      </x:c>
      <x:c r="E3196" s="115" t="n">
        <x:v>41</x:v>
      </x:c>
      <x:c r="F3196" s="115" t="str">
        <x:v>Inspection physique</x:v>
      </x:c>
      <x:c r="G3196" s="115" t="str">
        <x:v>1 niveaux ; 22 pièces ; 167 segments de mur ; 0 transitions. Inspection physique ; architecture complète encore ouverte.</x:v>
      </x:c>
      <x:c r="H3196" s="115" t="str">
        <x:v>L 502 ; l 520 ; hauteur 6,3 m ; choix de composition auteur ; dimensions réelles à documenter</x:v>
      </x:c>
      <x:c r="I3196" s="115" t="str">
        <x:v>À équilibrer</x:v>
      </x:c>
      <x:c r="J3196" s="115" t="str">
        <x:v>Non</x:v>
      </x:c>
      <x:c r="K3196" s="115" t="str">
        <x:v>Pièces décrites, murs, portes, niveaux et mobilier inspectables à l’échelle. Volumes réservés, raccord au seed, butin, rencontres et services de campagne restent à terminer.</x:v>
      </x:c>
    </x:row>
    <x:row r="3197" ht="96" customHeight="1">
      <x:c r="A3197" s="115" t="str">
        <x:v>EXT-MONDE-T064-V42</x:v>
      </x:c>
      <x:c r="B3197" s="115" t="str">
        <x:v>EXT-MONDE-T064</x:v>
      </x:c>
      <x:c r="C3197" s="115" t="str">
        <x:v>Épuration</x:v>
      </x:c>
      <x:c r="D3197" s="115" t="str">
        <x:v>Usine de potabilisation</x:v>
      </x:c>
      <x:c r="E3197" s="115" t="n">
        <x:v>42</x:v>
      </x:c>
      <x:c r="F3197" s="115" t="str">
        <x:v>Inspection physique</x:v>
      </x:c>
      <x:c r="G3197" s="115" t="str">
        <x:v>1 niveaux ; 22 pièces ; 167 segments de mur ; 0 transitions. Inspection physique ; architecture complète encore ouverte.</x:v>
      </x:c>
      <x:c r="H3197" s="115" t="str">
        <x:v>L 502 ; l 520 ; hauteur 6,3 m ; choix de composition auteur ; dimensions réelles à documenter</x:v>
      </x:c>
      <x:c r="I3197" s="115" t="str">
        <x:v>À équilibrer</x:v>
      </x:c>
      <x:c r="J3197" s="115" t="str">
        <x:v>Non</x:v>
      </x:c>
      <x:c r="K3197" s="115" t="str">
        <x:v>Pièces décrites, murs, portes, niveaux et mobilier inspectables à l’échelle. Volumes réservés, raccord au seed, butin, rencontres et services de campagne restent à terminer.</x:v>
      </x:c>
    </x:row>
    <x:row r="3198" ht="96" customHeight="1">
      <x:c r="A3198" s="115" t="str">
        <x:v>EXT-MONDE-T064-V43</x:v>
      </x:c>
      <x:c r="B3198" s="115" t="str">
        <x:v>EXT-MONDE-T064</x:v>
      </x:c>
      <x:c r="C3198" s="115" t="str">
        <x:v>Épuration</x:v>
      </x:c>
      <x:c r="D3198" s="115" t="str">
        <x:v>Usine de potabilisation</x:v>
      </x:c>
      <x:c r="E3198" s="115" t="n">
        <x:v>43</x:v>
      </x:c>
      <x:c r="F3198" s="115" t="str">
        <x:v>Inspection physique</x:v>
      </x:c>
      <x:c r="G3198" s="115" t="str">
        <x:v>1 niveaux ; 22 pièces ; 167 segments de mur ; 0 transitions. Inspection physique ; architecture complète encore ouverte.</x:v>
      </x:c>
      <x:c r="H3198" s="115" t="str">
        <x:v>L 502 ; l 520 ; hauteur 6,3 m ; choix de composition auteur ; dimensions réelles à documenter</x:v>
      </x:c>
      <x:c r="I3198" s="115" t="str">
        <x:v>À équilibrer</x:v>
      </x:c>
      <x:c r="J3198" s="115" t="str">
        <x:v>Non</x:v>
      </x:c>
      <x:c r="K3198" s="115" t="str">
        <x:v>Pièces décrites, murs, portes, niveaux et mobilier inspectables à l’échelle. Volumes réservés, raccord au seed, butin, rencontres et services de campagne restent à terminer.</x:v>
      </x:c>
    </x:row>
    <x:row r="3199" ht="96" customHeight="1">
      <x:c r="A3199" s="115" t="str">
        <x:v>EXT-MONDE-T064-V44</x:v>
      </x:c>
      <x:c r="B3199" s="115" t="str">
        <x:v>EXT-MONDE-T064</x:v>
      </x:c>
      <x:c r="C3199" s="115" t="str">
        <x:v>Épuration</x:v>
      </x:c>
      <x:c r="D3199" s="115" t="str">
        <x:v>Usine de potabilisation</x:v>
      </x:c>
      <x:c r="E3199" s="115" t="n">
        <x:v>44</x:v>
      </x:c>
      <x:c r="F3199" s="115" t="str">
        <x:v>Inspection physique</x:v>
      </x:c>
      <x:c r="G3199" s="115" t="str">
        <x:v>1 niveaux ; 22 pièces ; 167 segments de mur ; 0 transitions. Inspection physique ; architecture complète encore ouverte.</x:v>
      </x:c>
      <x:c r="H3199" s="115" t="str">
        <x:v>L 502 ; l 520 ; hauteur 6,3 m ; choix de composition auteur ; dimensions réelles à documenter</x:v>
      </x:c>
      <x:c r="I3199" s="115" t="str">
        <x:v>À équilibrer</x:v>
      </x:c>
      <x:c r="J3199" s="115" t="str">
        <x:v>Non</x:v>
      </x:c>
      <x:c r="K3199" s="115" t="str">
        <x:v>Pièces décrites, murs, portes, niveaux et mobilier inspectables à l’échelle. Volumes réservés, raccord au seed, butin, rencontres et services de campagne restent à terminer.</x:v>
      </x:c>
    </x:row>
    <x:row r="3200" ht="96" customHeight="1">
      <x:c r="A3200" s="115" t="str">
        <x:v>EXT-MONDE-T064-V45</x:v>
      </x:c>
      <x:c r="B3200" s="115" t="str">
        <x:v>EXT-MONDE-T064</x:v>
      </x:c>
      <x:c r="C3200" s="115" t="str">
        <x:v>Épuration</x:v>
      </x:c>
      <x:c r="D3200" s="115" t="str">
        <x:v>Usine de potabilisation</x:v>
      </x:c>
      <x:c r="E3200" s="115" t="n">
        <x:v>45</x:v>
      </x:c>
      <x:c r="F3200" s="115" t="str">
        <x:v>Inspection physique</x:v>
      </x:c>
      <x:c r="G3200" s="115" t="str">
        <x:v>1 niveaux ; 22 pièces ; 167 segments de mur ; 0 transitions. Inspection physique ; architecture complète encore ouverte.</x:v>
      </x:c>
      <x:c r="H3200" s="115" t="str">
        <x:v>L 502 ; l 520 ; hauteur 6,3 m ; choix de composition auteur ; dimensions réelles à documenter</x:v>
      </x:c>
      <x:c r="I3200" s="115" t="str">
        <x:v>À équilibrer</x:v>
      </x:c>
      <x:c r="J3200" s="115" t="str">
        <x:v>Non</x:v>
      </x:c>
      <x:c r="K3200" s="115" t="str">
        <x:v>Pièces décrites, murs, portes, niveaux et mobilier inspectables à l’échelle. Volumes réservés, raccord au seed, butin, rencontres et services de campagne restent à terminer.</x:v>
      </x:c>
    </x:row>
    <x:row r="3201" ht="96" customHeight="1">
      <x:c r="A3201" s="115" t="str">
        <x:v>EXT-MONDE-T064-V46</x:v>
      </x:c>
      <x:c r="B3201" s="115" t="str">
        <x:v>EXT-MONDE-T064</x:v>
      </x:c>
      <x:c r="C3201" s="115" t="str">
        <x:v>Épuration</x:v>
      </x:c>
      <x:c r="D3201" s="115" t="str">
        <x:v>Usine de potabilisation</x:v>
      </x:c>
      <x:c r="E3201" s="115" t="n">
        <x:v>46</x:v>
      </x:c>
      <x:c r="F3201" s="115" t="str">
        <x:v>Inspection physique</x:v>
      </x:c>
      <x:c r="G3201" s="115" t="str">
        <x:v>1 niveaux ; 22 pièces ; 167 segments de mur ; 0 transitions. Inspection physique ; architecture complète encore ouverte.</x:v>
      </x:c>
      <x:c r="H3201" s="115" t="str">
        <x:v>L 502 ; l 520 ; hauteur 6,3 m ; choix de composition auteur ; dimensions réelles à documenter</x:v>
      </x:c>
      <x:c r="I3201" s="115" t="str">
        <x:v>À équilibrer</x:v>
      </x:c>
      <x:c r="J3201" s="115" t="str">
        <x:v>Non</x:v>
      </x:c>
      <x:c r="K3201" s="115" t="str">
        <x:v>Pièces décrites, murs, portes, niveaux et mobilier inspectables à l’échelle. Volumes réservés, raccord au seed, butin, rencontres et services de campagne restent à terminer.</x:v>
      </x:c>
    </x:row>
    <x:row r="3202" ht="96" customHeight="1">
      <x:c r="A3202" s="115" t="str">
        <x:v>EXT-MONDE-T064-V47</x:v>
      </x:c>
      <x:c r="B3202" s="115" t="str">
        <x:v>EXT-MONDE-T064</x:v>
      </x:c>
      <x:c r="C3202" s="115" t="str">
        <x:v>Épuration</x:v>
      </x:c>
      <x:c r="D3202" s="115" t="str">
        <x:v>Usine de potabilisation</x:v>
      </x:c>
      <x:c r="E3202" s="115" t="n">
        <x:v>47</x:v>
      </x:c>
      <x:c r="F3202" s="115" t="str">
        <x:v>Inspection physique</x:v>
      </x:c>
      <x:c r="G3202" s="115" t="str">
        <x:v>1 niveaux ; 22 pièces ; 167 segments de mur ; 0 transitions. Inspection physique ; architecture complète encore ouverte.</x:v>
      </x:c>
      <x:c r="H3202" s="115" t="str">
        <x:v>L 502 ; l 520 ; hauteur 6,3 m ; choix de composition auteur ; dimensions réelles à documenter</x:v>
      </x:c>
      <x:c r="I3202" s="115" t="str">
        <x:v>À équilibrer</x:v>
      </x:c>
      <x:c r="J3202" s="115" t="str">
        <x:v>Non</x:v>
      </x:c>
      <x:c r="K3202" s="115" t="str">
        <x:v>Pièces décrites, murs, portes, niveaux et mobilier inspectables à l’échelle. Volumes réservés, raccord au seed, butin, rencontres et services de campagne restent à terminer.</x:v>
      </x:c>
    </x:row>
    <x:row r="3203" ht="96" customHeight="1">
      <x:c r="A3203" s="115" t="str">
        <x:v>EXT-MONDE-T064-V48</x:v>
      </x:c>
      <x:c r="B3203" s="115" t="str">
        <x:v>EXT-MONDE-T064</x:v>
      </x:c>
      <x:c r="C3203" s="115" t="str">
        <x:v>Épuration</x:v>
      </x:c>
      <x:c r="D3203" s="115" t="str">
        <x:v>Usine de potabilisation</x:v>
      </x:c>
      <x:c r="E3203" s="115" t="n">
        <x:v>48</x:v>
      </x:c>
      <x:c r="F3203" s="115" t="str">
        <x:v>Inspection physique</x:v>
      </x:c>
      <x:c r="G3203" s="115" t="str">
        <x:v>1 niveaux ; 22 pièces ; 167 segments de mur ; 0 transitions. Inspection physique ; architecture complète encore ouverte.</x:v>
      </x:c>
      <x:c r="H3203" s="115" t="str">
        <x:v>L 502 ; l 520 ; hauteur 6,3 m ; choix de composition auteur ; dimensions réelles à documenter</x:v>
      </x:c>
      <x:c r="I3203" s="115" t="str">
        <x:v>À équilibrer</x:v>
      </x:c>
      <x:c r="J3203" s="115" t="str">
        <x:v>Non</x:v>
      </x:c>
      <x:c r="K3203" s="115" t="str">
        <x:v>Pièces décrites, murs, portes, niveaux et mobilier inspectables à l’échelle. Volumes réservés, raccord au seed, butin, rencontres et services de campagne restent à terminer.</x:v>
      </x:c>
    </x:row>
    <x:row r="3204" ht="96" customHeight="1">
      <x:c r="A3204" s="115" t="str">
        <x:v>EXT-MONDE-T064-V49</x:v>
      </x:c>
      <x:c r="B3204" s="115" t="str">
        <x:v>EXT-MONDE-T064</x:v>
      </x:c>
      <x:c r="C3204" s="115" t="str">
        <x:v>Épuration</x:v>
      </x:c>
      <x:c r="D3204" s="115" t="str">
        <x:v>Usine de potabilisation</x:v>
      </x:c>
      <x:c r="E3204" s="115" t="n">
        <x:v>49</x:v>
      </x:c>
      <x:c r="F3204" s="115" t="str">
        <x:v>Inspection physique</x:v>
      </x:c>
      <x:c r="G3204" s="115" t="str">
        <x:v>1 niveaux ; 22 pièces ; 167 segments de mur ; 0 transitions. Inspection physique ; architecture complète encore ouverte.</x:v>
      </x:c>
      <x:c r="H3204" s="115" t="str">
        <x:v>L 502 ; l 520 ; hauteur 6,3 m ; choix de composition auteur ; dimensions réelles à documenter</x:v>
      </x:c>
      <x:c r="I3204" s="115" t="str">
        <x:v>À équilibrer</x:v>
      </x:c>
      <x:c r="J3204" s="115" t="str">
        <x:v>Non</x:v>
      </x:c>
      <x:c r="K3204" s="115" t="str">
        <x:v>Pièces décrites, murs, portes, niveaux et mobilier inspectables à l’échelle. Volumes réservés, raccord au seed, butin, rencontres et services de campagne restent à terminer.</x:v>
      </x:c>
    </x:row>
    <x:row r="3205" ht="96" customHeight="1">
      <x:c r="A3205" s="115" t="str">
        <x:v>EXT-MONDE-T064-V50</x:v>
      </x:c>
      <x:c r="B3205" s="115" t="str">
        <x:v>EXT-MONDE-T064</x:v>
      </x:c>
      <x:c r="C3205" s="115" t="str">
        <x:v>Épuration</x:v>
      </x:c>
      <x:c r="D3205" s="115" t="str">
        <x:v>Usine de potabilisation</x:v>
      </x:c>
      <x:c r="E3205" s="115" t="n">
        <x:v>50</x:v>
      </x:c>
      <x:c r="F3205" s="115" t="str">
        <x:v>Inspection physique</x:v>
      </x:c>
      <x:c r="G3205" s="115" t="str">
        <x:v>1 niveaux ; 22 pièces ; 167 segments de mur ; 0 transitions. Inspection physique ; architecture complète encore ouverte.</x:v>
      </x:c>
      <x:c r="H3205" s="115" t="str">
        <x:v>L 502 ; l 520 ; hauteur 6,3 m ; choix de composition auteur ; dimensions réelles à documenter</x:v>
      </x:c>
      <x:c r="I3205" s="115" t="str">
        <x:v>À équilibrer</x:v>
      </x:c>
      <x:c r="J3205" s="115" t="str">
        <x:v>Non</x:v>
      </x:c>
      <x:c r="K3205" s="115" t="str">
        <x:v>Pièces décrites, murs, portes, niveaux et mobilier inspectables à l’échelle. Volumes réservés, raccord au seed, butin, rencontres et services de campagne restent à terminer.</x:v>
      </x:c>
    </x:row>
    <x:row r="3206">
      <x:c r="A3206" t="str">
        <x:v>EXT-MONDE-T065-V01</x:v>
      </x:c>
      <x:c r="B3206" t="str">
        <x:v>EXT-MONDE-T065</x:v>
      </x:c>
      <x:c r="C3206" t="str">
        <x:v>Stades</x:v>
      </x:c>
      <x:c r="D3206" t="str">
        <x:v>Stade municipal</x:v>
      </x:c>
      <x:c r="E3206" t="n">
        <x:v>1</x:v>
      </x:c>
      <x:c r="F3206" t="str">
        <x:v>Inspection physique</x:v>
      </x:c>
      <x:c r="G3206" t="str">
        <x:v>1 niveaux ; 40 pièces ; 310 segments de mur ; 0 transitions. Inspection physique ; architecture complète encore ouverte.</x:v>
      </x:c>
      <x:c r="H3206" t="str">
        <x:v>L 162 ; l 201 ; hauteur 7 m ; emprise auteur, non relevé complet d’un lieu réel</x:v>
      </x:c>
      <x:c r="I3206" t="str">
        <x:v>À équilibrer</x:v>
      </x:c>
      <x:c r="J3206" t="str">
        <x:v>Non</x:v>
      </x:c>
      <x:c r="K3206" t="str">
        <x:v>Pièces décrites, murs, portes, niveaux et mobilier inspectables à l’échelle. Volumes réservés, raccord au seed, butin, rencontres et services de campagne restent à terminer.</x:v>
      </x:c>
    </x:row>
    <x:row r="3207">
      <x:c r="A3207" t="str">
        <x:v>EXT-MONDE-T065-V02</x:v>
      </x:c>
      <x:c r="B3207" t="str">
        <x:v>EXT-MONDE-T065</x:v>
      </x:c>
      <x:c r="C3207" t="str">
        <x:v>Stades</x:v>
      </x:c>
      <x:c r="D3207" t="str">
        <x:v>Stade municipal</x:v>
      </x:c>
      <x:c r="E3207" t="n">
        <x:v>2</x:v>
      </x:c>
      <x:c r="F3207" t="str">
        <x:v>Inspection physique</x:v>
      </x:c>
      <x:c r="G3207" t="str">
        <x:v>1 niveaux ; 40 pièces ; 310 segments de mur ; 0 transitions. Inspection physique ; architecture complète encore ouverte.</x:v>
      </x:c>
      <x:c r="H3207" t="str">
        <x:v>L 166 ; l 205 ; hauteur 7 m ; emprise auteur, non relevé complet d’un lieu réel</x:v>
      </x:c>
      <x:c r="I3207" t="str">
        <x:v>À équilibrer</x:v>
      </x:c>
      <x:c r="J3207" t="str">
        <x:v>Non</x:v>
      </x:c>
      <x:c r="K3207" t="str">
        <x:v>Pièces décrites, murs, portes, niveaux et mobilier inspectables à l’échelle. Volumes réservés, raccord au seed, butin, rencontres et services de campagne restent à terminer.</x:v>
      </x:c>
    </x:row>
    <x:row r="3208">
      <x:c r="A3208" t="str">
        <x:v>EXT-MONDE-T065-V03</x:v>
      </x:c>
      <x:c r="B3208" t="str">
        <x:v>EXT-MONDE-T065</x:v>
      </x:c>
      <x:c r="C3208" t="str">
        <x:v>Stades</x:v>
      </x:c>
      <x:c r="D3208" t="str">
        <x:v>Stade municipal</x:v>
      </x:c>
      <x:c r="E3208" t="n">
        <x:v>3</x:v>
      </x:c>
      <x:c r="F3208" t="str">
        <x:v>Inspection physique</x:v>
      </x:c>
      <x:c r="G3208" t="str">
        <x:v>1 niveaux ; 40 pièces ; 310 segments de mur ; 0 transitions. Inspection physique ; architecture complète encore ouverte.</x:v>
      </x:c>
      <x:c r="H3208" t="str">
        <x:v>L 170 ; l 209 ; hauteur 7 m ; emprise auteur, non relevé complet d’un lieu réel</x:v>
      </x:c>
      <x:c r="I3208" t="str">
        <x:v>À équilibrer</x:v>
      </x:c>
      <x:c r="J3208" t="str">
        <x:v>Non</x:v>
      </x:c>
      <x:c r="K3208" t="str">
        <x:v>Pièces décrites, murs, portes, niveaux et mobilier inspectables à l’échelle. Volumes réservés, raccord au seed, butin, rencontres et services de campagne restent à terminer.</x:v>
      </x:c>
    </x:row>
    <x:row r="3209">
      <x:c r="A3209" t="str">
        <x:v>EXT-MONDE-T065-V04</x:v>
      </x:c>
      <x:c r="B3209" t="str">
        <x:v>EXT-MONDE-T065</x:v>
      </x:c>
      <x:c r="C3209" t="str">
        <x:v>Stades</x:v>
      </x:c>
      <x:c r="D3209" t="str">
        <x:v>Stade municipal</x:v>
      </x:c>
      <x:c r="E3209" t="n">
        <x:v>4</x:v>
      </x:c>
      <x:c r="F3209" t="str">
        <x:v>Inspection physique</x:v>
      </x:c>
      <x:c r="G3209" t="str">
        <x:v>1 niveaux ; 40 pièces ; 310 segments de mur ; 0 transitions. Inspection physique ; architecture complète encore ouverte.</x:v>
      </x:c>
      <x:c r="H3209" t="str">
        <x:v>L 174 ; l 213 ; hauteur 7 m ; emprise auteur, non relevé complet d’un lieu réel</x:v>
      </x:c>
      <x:c r="I3209" t="str">
        <x:v>À équilibrer</x:v>
      </x:c>
      <x:c r="J3209" t="str">
        <x:v>Non</x:v>
      </x:c>
      <x:c r="K3209" t="str">
        <x:v>Pièces décrites, murs, portes, niveaux et mobilier inspectables à l’échelle. Volumes réservés, raccord au seed, butin, rencontres et services de campagne restent à terminer.</x:v>
      </x:c>
    </x:row>
    <x:row r="3210">
      <x:c r="A3210" t="str">
        <x:v>EXT-MONDE-T065-V05</x:v>
      </x:c>
      <x:c r="B3210" t="str">
        <x:v>EXT-MONDE-T065</x:v>
      </x:c>
      <x:c r="C3210" t="str">
        <x:v>Stades</x:v>
      </x:c>
      <x:c r="D3210" t="str">
        <x:v>Stade municipal</x:v>
      </x:c>
      <x:c r="E3210" t="n">
        <x:v>5</x:v>
      </x:c>
      <x:c r="F3210" t="str">
        <x:v>Inspection physique</x:v>
      </x:c>
      <x:c r="G3210" t="str">
        <x:v>1 niveaux ; 40 pièces ; 310 segments de mur ; 0 transitions. Inspection physique ; architecture complète encore ouverte.</x:v>
      </x:c>
      <x:c r="H3210" t="str">
        <x:v>L 178 ; l 217 ; hauteur 7 m ; emprise auteur, non relevé complet d’un lieu réel</x:v>
      </x:c>
      <x:c r="I3210" t="str">
        <x:v>À équilibrer</x:v>
      </x:c>
      <x:c r="J3210" t="str">
        <x:v>Non</x:v>
      </x:c>
      <x:c r="K3210" t="str">
        <x:v>Pièces décrites, murs, portes, niveaux et mobilier inspectables à l’échelle. Volumes réservés, raccord au seed, butin, rencontres et services de campagne restent à terminer.</x:v>
      </x:c>
    </x:row>
    <x:row r="3211">
      <x:c r="A3211" t="str">
        <x:v>EXT-MONDE-T065-V06</x:v>
      </x:c>
      <x:c r="B3211" t="str">
        <x:v>EXT-MONDE-T065</x:v>
      </x:c>
      <x:c r="C3211" t="str">
        <x:v>Stades</x:v>
      </x:c>
      <x:c r="D3211" t="str">
        <x:v>Stade municipal</x:v>
      </x:c>
      <x:c r="E3211" t="n">
        <x:v>6</x:v>
      </x:c>
      <x:c r="F3211" t="str">
        <x:v>Inspection physique</x:v>
      </x:c>
      <x:c r="G3211" t="str">
        <x:v>1 niveaux ; 40 pièces ; 310 segments de mur ; 0 transitions. Inspection physique ; architecture complète encore ouverte.</x:v>
      </x:c>
      <x:c r="H3211" t="str">
        <x:v>L 182 ; l 221 ; hauteur 7 m ; emprise auteur, non relevé complet d’un lieu réel</x:v>
      </x:c>
      <x:c r="I3211" t="str">
        <x:v>À équilibrer</x:v>
      </x:c>
      <x:c r="J3211" t="str">
        <x:v>Non</x:v>
      </x:c>
      <x:c r="K3211" t="str">
        <x:v>Pièces décrites, murs, portes, niveaux et mobilier inspectables à l’échelle. Volumes réservés, raccord au seed, butin, rencontres et services de campagne restent à terminer.</x:v>
      </x:c>
    </x:row>
    <x:row r="3212">
      <x:c r="A3212" t="str">
        <x:v>EXT-MONDE-T065-V07</x:v>
      </x:c>
      <x:c r="B3212" t="str">
        <x:v>EXT-MONDE-T065</x:v>
      </x:c>
      <x:c r="C3212" t="str">
        <x:v>Stades</x:v>
      </x:c>
      <x:c r="D3212" t="str">
        <x:v>Stade municipal</x:v>
      </x:c>
      <x:c r="E3212" t="n">
        <x:v>7</x:v>
      </x:c>
      <x:c r="F3212" t="str">
        <x:v>Inspection physique</x:v>
      </x:c>
      <x:c r="G3212" t="str">
        <x:v>1 niveaux ; 40 pièces ; 310 segments de mur ; 0 transitions. Inspection physique ; architecture complète encore ouverte.</x:v>
      </x:c>
      <x:c r="H3212" t="str">
        <x:v>L 186 ; l 225 ; hauteur 7 m ; emprise auteur, non relevé complet d’un lieu réel</x:v>
      </x:c>
      <x:c r="I3212" t="str">
        <x:v>À équilibrer</x:v>
      </x:c>
      <x:c r="J3212" t="str">
        <x:v>Non</x:v>
      </x:c>
      <x:c r="K3212" t="str">
        <x:v>Pièces décrites, murs, portes, niveaux et mobilier inspectables à l’échelle. Volumes réservés, raccord au seed, butin, rencontres et services de campagne restent à terminer.</x:v>
      </x:c>
    </x:row>
    <x:row r="3213">
      <x:c r="A3213" t="str">
        <x:v>EXT-MONDE-T065-V08</x:v>
      </x:c>
      <x:c r="B3213" t="str">
        <x:v>EXT-MONDE-T065</x:v>
      </x:c>
      <x:c r="C3213" t="str">
        <x:v>Stades</x:v>
      </x:c>
      <x:c r="D3213" t="str">
        <x:v>Stade municipal</x:v>
      </x:c>
      <x:c r="E3213" t="n">
        <x:v>8</x:v>
      </x:c>
      <x:c r="F3213" t="str">
        <x:v>Inspection physique</x:v>
      </x:c>
      <x:c r="G3213" t="str">
        <x:v>1 niveaux ; 40 pièces ; 310 segments de mur ; 0 transitions. Inspection physique ; architecture complète encore ouverte.</x:v>
      </x:c>
      <x:c r="H3213" t="str">
        <x:v>L 190 ; l 229 ; hauteur 7 m ; emprise auteur, non relevé complet d’un lieu réel</x:v>
      </x:c>
      <x:c r="I3213" t="str">
        <x:v>À équilibrer</x:v>
      </x:c>
      <x:c r="J3213" t="str">
        <x:v>Non</x:v>
      </x:c>
      <x:c r="K3213" t="str">
        <x:v>Pièces décrites, murs, portes, niveaux et mobilier inspectables à l’échelle. Volumes réservés, raccord au seed, butin, rencontres et services de campagne restent à terminer.</x:v>
      </x:c>
    </x:row>
    <x:row r="3214">
      <x:c r="A3214" t="str">
        <x:v>EXT-MONDE-T065-V09</x:v>
      </x:c>
      <x:c r="B3214" t="str">
        <x:v>EXT-MONDE-T065</x:v>
      </x:c>
      <x:c r="C3214" t="str">
        <x:v>Stades</x:v>
      </x:c>
      <x:c r="D3214" t="str">
        <x:v>Stade municipal</x:v>
      </x:c>
      <x:c r="E3214" t="n">
        <x:v>9</x:v>
      </x:c>
      <x:c r="F3214" t="str">
        <x:v>Inspection physique</x:v>
      </x:c>
      <x:c r="G3214" t="str">
        <x:v>1 niveaux ; 40 pièces ; 310 segments de mur ; 0 transitions. Inspection physique ; architecture complète encore ouverte.</x:v>
      </x:c>
      <x:c r="H3214" t="str">
        <x:v>L 194 ; l 233 ; hauteur 7 m ; emprise auteur, non relevé complet d’un lieu réel</x:v>
      </x:c>
      <x:c r="I3214" t="str">
        <x:v>À équilibrer</x:v>
      </x:c>
      <x:c r="J3214" t="str">
        <x:v>Non</x:v>
      </x:c>
      <x:c r="K3214" t="str">
        <x:v>Pièces décrites, murs, portes, niveaux et mobilier inspectables à l’échelle. Volumes réservés, raccord au seed, butin, rencontres et services de campagne restent à terminer.</x:v>
      </x:c>
    </x:row>
    <x:row r="3215">
      <x:c r="A3215" t="str">
        <x:v>EXT-MONDE-T065-V10</x:v>
      </x:c>
      <x:c r="B3215" t="str">
        <x:v>EXT-MONDE-T065</x:v>
      </x:c>
      <x:c r="C3215" t="str">
        <x:v>Stades</x:v>
      </x:c>
      <x:c r="D3215" t="str">
        <x:v>Stade municipal</x:v>
      </x:c>
      <x:c r="E3215" t="n">
        <x:v>10</x:v>
      </x:c>
      <x:c r="F3215" t="str">
        <x:v>Inspection physique</x:v>
      </x:c>
      <x:c r="G3215" t="str">
        <x:v>1 niveaux ; 40 pièces ; 310 segments de mur ; 0 transitions. Inspection physique ; architecture complète encore ouverte.</x:v>
      </x:c>
      <x:c r="H3215" t="str">
        <x:v>L 198 ; l 237 ; hauteur 7 m ; emprise auteur, non relevé complet d’un lieu réel</x:v>
      </x:c>
      <x:c r="I3215" t="str">
        <x:v>À équilibrer</x:v>
      </x:c>
      <x:c r="J3215" t="str">
        <x:v>Non</x:v>
      </x:c>
      <x:c r="K3215" t="str">
        <x:v>Pièces décrites, murs, portes, niveaux et mobilier inspectables à l’échelle. Volumes réservés, raccord au seed, butin, rencontres et services de campagne restent à terminer.</x:v>
      </x:c>
    </x:row>
    <x:row r="3216">
      <x:c r="A3216" t="str">
        <x:v>EXT-MONDE-T065-V11</x:v>
      </x:c>
      <x:c r="B3216" t="str">
        <x:v>EXT-MONDE-T065</x:v>
      </x:c>
      <x:c r="C3216" t="str">
        <x:v>Stades</x:v>
      </x:c>
      <x:c r="D3216" t="str">
        <x:v>Stade municipal</x:v>
      </x:c>
      <x:c r="E3216" t="n">
        <x:v>11</x:v>
      </x:c>
      <x:c r="F3216" t="str">
        <x:v>Inspection physique</x:v>
      </x:c>
      <x:c r="G3216" t="str">
        <x:v>1 niveaux ; 40 pièces ; 310 segments de mur ; 0 transitions. Inspection physique ; architecture complète encore ouverte.</x:v>
      </x:c>
      <x:c r="H3216" t="str">
        <x:v>L 170 ; l 209 ; hauteur 9 m ; emprise auteur, non relevé complet d’un lieu réel</x:v>
      </x:c>
      <x:c r="I3216" t="str">
        <x:v>À équilibrer</x:v>
      </x:c>
      <x:c r="J3216" t="str">
        <x:v>Non</x:v>
      </x:c>
      <x:c r="K3216" t="str">
        <x:v>Pièces décrites, murs, portes, niveaux et mobilier inspectables à l’échelle. Volumes réservés, raccord au seed, butin, rencontres et services de campagne restent à terminer.</x:v>
      </x:c>
    </x:row>
    <x:row r="3217">
      <x:c r="A3217" t="str">
        <x:v>EXT-MONDE-T065-V12</x:v>
      </x:c>
      <x:c r="B3217" t="str">
        <x:v>EXT-MONDE-T065</x:v>
      </x:c>
      <x:c r="C3217" t="str">
        <x:v>Stades</x:v>
      </x:c>
      <x:c r="D3217" t="str">
        <x:v>Stade municipal</x:v>
      </x:c>
      <x:c r="E3217" t="n">
        <x:v>12</x:v>
      </x:c>
      <x:c r="F3217" t="str">
        <x:v>Inspection physique</x:v>
      </x:c>
      <x:c r="G3217" t="str">
        <x:v>1 niveaux ; 40 pièces ; 310 segments de mur ; 0 transitions. Inspection physique ; architecture complète encore ouverte.</x:v>
      </x:c>
      <x:c r="H3217" t="str">
        <x:v>L 174 ; l 213 ; hauteur 9 m ; emprise auteur, non relevé complet d’un lieu réel</x:v>
      </x:c>
      <x:c r="I3217" t="str">
        <x:v>À équilibrer</x:v>
      </x:c>
      <x:c r="J3217" t="str">
        <x:v>Non</x:v>
      </x:c>
      <x:c r="K3217" t="str">
        <x:v>Pièces décrites, murs, portes, niveaux et mobilier inspectables à l’échelle. Volumes réservés, raccord au seed, butin, rencontres et services de campagne restent à terminer.</x:v>
      </x:c>
    </x:row>
    <x:row r="3218">
      <x:c r="A3218" t="str">
        <x:v>EXT-MONDE-T065-V13</x:v>
      </x:c>
      <x:c r="B3218" t="str">
        <x:v>EXT-MONDE-T065</x:v>
      </x:c>
      <x:c r="C3218" t="str">
        <x:v>Stades</x:v>
      </x:c>
      <x:c r="D3218" t="str">
        <x:v>Stade municipal</x:v>
      </x:c>
      <x:c r="E3218" t="n">
        <x:v>13</x:v>
      </x:c>
      <x:c r="F3218" t="str">
        <x:v>Inspection physique</x:v>
      </x:c>
      <x:c r="G3218" t="str">
        <x:v>1 niveaux ; 40 pièces ; 310 segments de mur ; 0 transitions. Inspection physique ; architecture complète encore ouverte.</x:v>
      </x:c>
      <x:c r="H3218" t="str">
        <x:v>L 178 ; l 217 ; hauteur 9 m ; emprise auteur, non relevé complet d’un lieu réel</x:v>
      </x:c>
      <x:c r="I3218" t="str">
        <x:v>À équilibrer</x:v>
      </x:c>
      <x:c r="J3218" t="str">
        <x:v>Non</x:v>
      </x:c>
      <x:c r="K3218" t="str">
        <x:v>Pièces décrites, murs, portes, niveaux et mobilier inspectables à l’échelle. Volumes réservés, raccord au seed, butin, rencontres et services de campagne restent à terminer.</x:v>
      </x:c>
    </x:row>
    <x:row r="3219">
      <x:c r="A3219" t="str">
        <x:v>EXT-MONDE-T065-V14</x:v>
      </x:c>
      <x:c r="B3219" t="str">
        <x:v>EXT-MONDE-T065</x:v>
      </x:c>
      <x:c r="C3219" t="str">
        <x:v>Stades</x:v>
      </x:c>
      <x:c r="D3219" t="str">
        <x:v>Stade municipal</x:v>
      </x:c>
      <x:c r="E3219" t="n">
        <x:v>14</x:v>
      </x:c>
      <x:c r="F3219" t="str">
        <x:v>Inspection physique</x:v>
      </x:c>
      <x:c r="G3219" t="str">
        <x:v>1 niveaux ; 40 pièces ; 310 segments de mur ; 0 transitions. Inspection physique ; architecture complète encore ouverte.</x:v>
      </x:c>
      <x:c r="H3219" t="str">
        <x:v>L 182 ; l 221 ; hauteur 9 m ; emprise auteur, non relevé complet d’un lieu réel</x:v>
      </x:c>
      <x:c r="I3219" t="str">
        <x:v>À équilibrer</x:v>
      </x:c>
      <x:c r="J3219" t="str">
        <x:v>Non</x:v>
      </x:c>
      <x:c r="K3219" t="str">
        <x:v>Pièces décrites, murs, portes, niveaux et mobilier inspectables à l’échelle. Volumes réservés, raccord au seed, butin, rencontres et services de campagne restent à terminer.</x:v>
      </x:c>
    </x:row>
    <x:row r="3220">
      <x:c r="A3220" t="str">
        <x:v>EXT-MONDE-T065-V15</x:v>
      </x:c>
      <x:c r="B3220" t="str">
        <x:v>EXT-MONDE-T065</x:v>
      </x:c>
      <x:c r="C3220" t="str">
        <x:v>Stades</x:v>
      </x:c>
      <x:c r="D3220" t="str">
        <x:v>Stade municipal</x:v>
      </x:c>
      <x:c r="E3220" t="n">
        <x:v>15</x:v>
      </x:c>
      <x:c r="F3220" t="str">
        <x:v>Inspection physique</x:v>
      </x:c>
      <x:c r="G3220" t="str">
        <x:v>1 niveaux ; 40 pièces ; 310 segments de mur ; 0 transitions. Inspection physique ; architecture complète encore ouverte.</x:v>
      </x:c>
      <x:c r="H3220" t="str">
        <x:v>L 186 ; l 225 ; hauteur 9 m ; emprise auteur, non relevé complet d’un lieu réel</x:v>
      </x:c>
      <x:c r="I3220" t="str">
        <x:v>À équilibrer</x:v>
      </x:c>
      <x:c r="J3220" t="str">
        <x:v>Non</x:v>
      </x:c>
      <x:c r="K3220" t="str">
        <x:v>Pièces décrites, murs, portes, niveaux et mobilier inspectables à l’échelle. Volumes réservés, raccord au seed, butin, rencontres et services de campagne restent à terminer.</x:v>
      </x:c>
    </x:row>
    <x:row r="3221">
      <x:c r="A3221" t="str">
        <x:v>EXT-MONDE-T065-V16</x:v>
      </x:c>
      <x:c r="B3221" t="str">
        <x:v>EXT-MONDE-T065</x:v>
      </x:c>
      <x:c r="C3221" t="str">
        <x:v>Stades</x:v>
      </x:c>
      <x:c r="D3221" t="str">
        <x:v>Stade municipal</x:v>
      </x:c>
      <x:c r="E3221" t="n">
        <x:v>16</x:v>
      </x:c>
      <x:c r="F3221" t="str">
        <x:v>Inspection physique</x:v>
      </x:c>
      <x:c r="G3221" t="str">
        <x:v>1 niveaux ; 40 pièces ; 310 segments de mur ; 0 transitions. Inspection physique ; architecture complète encore ouverte.</x:v>
      </x:c>
      <x:c r="H3221" t="str">
        <x:v>L 190 ; l 229 ; hauteur 9 m ; emprise auteur, non relevé complet d’un lieu réel</x:v>
      </x:c>
      <x:c r="I3221" t="str">
        <x:v>À équilibrer</x:v>
      </x:c>
      <x:c r="J3221" t="str">
        <x:v>Non</x:v>
      </x:c>
      <x:c r="K3221" t="str">
        <x:v>Pièces décrites, murs, portes, niveaux et mobilier inspectables à l’échelle. Volumes réservés, raccord au seed, butin, rencontres et services de campagne restent à terminer.</x:v>
      </x:c>
    </x:row>
    <x:row r="3222">
      <x:c r="A3222" t="str">
        <x:v>EXT-MONDE-T065-V17</x:v>
      </x:c>
      <x:c r="B3222" t="str">
        <x:v>EXT-MONDE-T065</x:v>
      </x:c>
      <x:c r="C3222" t="str">
        <x:v>Stades</x:v>
      </x:c>
      <x:c r="D3222" t="str">
        <x:v>Stade municipal</x:v>
      </x:c>
      <x:c r="E3222" t="n">
        <x:v>17</x:v>
      </x:c>
      <x:c r="F3222" t="str">
        <x:v>Inspection physique</x:v>
      </x:c>
      <x:c r="G3222" t="str">
        <x:v>1 niveaux ; 40 pièces ; 310 segments de mur ; 0 transitions. Inspection physique ; architecture complète encore ouverte.</x:v>
      </x:c>
      <x:c r="H3222" t="str">
        <x:v>L 194 ; l 233 ; hauteur 9 m ; emprise auteur, non relevé complet d’un lieu réel</x:v>
      </x:c>
      <x:c r="I3222" t="str">
        <x:v>À équilibrer</x:v>
      </x:c>
      <x:c r="J3222" t="str">
        <x:v>Non</x:v>
      </x:c>
      <x:c r="K3222" t="str">
        <x:v>Pièces décrites, murs, portes, niveaux et mobilier inspectables à l’échelle. Volumes réservés, raccord au seed, butin, rencontres et services de campagne restent à terminer.</x:v>
      </x:c>
    </x:row>
    <x:row r="3223">
      <x:c r="A3223" t="str">
        <x:v>EXT-MONDE-T065-V18</x:v>
      </x:c>
      <x:c r="B3223" t="str">
        <x:v>EXT-MONDE-T065</x:v>
      </x:c>
      <x:c r="C3223" t="str">
        <x:v>Stades</x:v>
      </x:c>
      <x:c r="D3223" t="str">
        <x:v>Stade municipal</x:v>
      </x:c>
      <x:c r="E3223" t="n">
        <x:v>18</x:v>
      </x:c>
      <x:c r="F3223" t="str">
        <x:v>Inspection physique</x:v>
      </x:c>
      <x:c r="G3223" t="str">
        <x:v>1 niveaux ; 40 pièces ; 310 segments de mur ; 0 transitions. Inspection physique ; architecture complète encore ouverte.</x:v>
      </x:c>
      <x:c r="H3223" t="str">
        <x:v>L 198 ; l 237 ; hauteur 9 m ; emprise auteur, non relevé complet d’un lieu réel</x:v>
      </x:c>
      <x:c r="I3223" t="str">
        <x:v>À équilibrer</x:v>
      </x:c>
      <x:c r="J3223" t="str">
        <x:v>Non</x:v>
      </x:c>
      <x:c r="K3223" t="str">
        <x:v>Pièces décrites, murs, portes, niveaux et mobilier inspectables à l’échelle. Volumes réservés, raccord au seed, butin, rencontres et services de campagne restent à terminer.</x:v>
      </x:c>
    </x:row>
    <x:row r="3224">
      <x:c r="A3224" t="str">
        <x:v>EXT-MONDE-T065-V19</x:v>
      </x:c>
      <x:c r="B3224" t="str">
        <x:v>EXT-MONDE-T065</x:v>
      </x:c>
      <x:c r="C3224" t="str">
        <x:v>Stades</x:v>
      </x:c>
      <x:c r="D3224" t="str">
        <x:v>Stade municipal</x:v>
      </x:c>
      <x:c r="E3224" t="n">
        <x:v>19</x:v>
      </x:c>
      <x:c r="F3224" t="str">
        <x:v>Inspection physique</x:v>
      </x:c>
      <x:c r="G3224" t="str">
        <x:v>1 niveaux ; 40 pièces ; 310 segments de mur ; 0 transitions. Inspection physique ; architecture complète encore ouverte.</x:v>
      </x:c>
      <x:c r="H3224" t="str">
        <x:v>L 202 ; l 241 ; hauteur 9 m ; emprise auteur, non relevé complet d’un lieu réel</x:v>
      </x:c>
      <x:c r="I3224" t="str">
        <x:v>À équilibrer</x:v>
      </x:c>
      <x:c r="J3224" t="str">
        <x:v>Non</x:v>
      </x:c>
      <x:c r="K3224" t="str">
        <x:v>Pièces décrites, murs, portes, niveaux et mobilier inspectables à l’échelle. Volumes réservés, raccord au seed, butin, rencontres et services de campagne restent à terminer.</x:v>
      </x:c>
    </x:row>
    <x:row r="3225">
      <x:c r="A3225" t="str">
        <x:v>EXT-MONDE-T065-V20</x:v>
      </x:c>
      <x:c r="B3225" t="str">
        <x:v>EXT-MONDE-T065</x:v>
      </x:c>
      <x:c r="C3225" t="str">
        <x:v>Stades</x:v>
      </x:c>
      <x:c r="D3225" t="str">
        <x:v>Stade municipal</x:v>
      </x:c>
      <x:c r="E3225" t="n">
        <x:v>20</x:v>
      </x:c>
      <x:c r="F3225" t="str">
        <x:v>Inspection physique</x:v>
      </x:c>
      <x:c r="G3225" t="str">
        <x:v>1 niveaux ; 40 pièces ; 310 segments de mur ; 0 transitions. Inspection physique ; architecture complète encore ouverte.</x:v>
      </x:c>
      <x:c r="H3225" t="str">
        <x:v>L 206 ; l 245 ; hauteur 9 m ; emprise auteur, non relevé complet d’un lieu réel</x:v>
      </x:c>
      <x:c r="I3225" t="str">
        <x:v>À équilibrer</x:v>
      </x:c>
      <x:c r="J3225" t="str">
        <x:v>Non</x:v>
      </x:c>
      <x:c r="K3225" t="str">
        <x:v>Pièces décrites, murs, portes, niveaux et mobilier inspectables à l’échelle. Volumes réservés, raccord au seed, butin, rencontres et services de campagne restent à terminer.</x:v>
      </x:c>
    </x:row>
    <x:row r="3226">
      <x:c r="A3226" t="str">
        <x:v>EXT-MONDE-T065-V21</x:v>
      </x:c>
      <x:c r="B3226" t="str">
        <x:v>EXT-MONDE-T065</x:v>
      </x:c>
      <x:c r="C3226" t="str">
        <x:v>Stades</x:v>
      </x:c>
      <x:c r="D3226" t="str">
        <x:v>Stade municipal</x:v>
      </x:c>
      <x:c r="E3226" t="n">
        <x:v>21</x:v>
      </x:c>
      <x:c r="F3226" t="str">
        <x:v>Inspection physique</x:v>
      </x:c>
      <x:c r="G3226" t="str">
        <x:v>1 niveaux ; 40 pièces ; 310 segments de mur ; 0 transitions. Inspection physique ; architecture complète encore ouverte.</x:v>
      </x:c>
      <x:c r="H3226" t="str">
        <x:v>L 178 ; l 217 ; hauteur 11 m ; emprise auteur, non relevé complet d’un lieu réel</x:v>
      </x:c>
      <x:c r="I3226" t="str">
        <x:v>À équilibrer</x:v>
      </x:c>
      <x:c r="J3226" t="str">
        <x:v>Non</x:v>
      </x:c>
      <x:c r="K3226" t="str">
        <x:v>Pièces décrites, murs, portes, niveaux et mobilier inspectables à l’échelle. Volumes réservés, raccord au seed, butin, rencontres et services de campagne restent à terminer.</x:v>
      </x:c>
    </x:row>
    <x:row r="3227">
      <x:c r="A3227" t="str">
        <x:v>EXT-MONDE-T065-V22</x:v>
      </x:c>
      <x:c r="B3227" t="str">
        <x:v>EXT-MONDE-T065</x:v>
      </x:c>
      <x:c r="C3227" t="str">
        <x:v>Stades</x:v>
      </x:c>
      <x:c r="D3227" t="str">
        <x:v>Stade municipal</x:v>
      </x:c>
      <x:c r="E3227" t="n">
        <x:v>22</x:v>
      </x:c>
      <x:c r="F3227" t="str">
        <x:v>Inspection physique</x:v>
      </x:c>
      <x:c r="G3227" t="str">
        <x:v>1 niveaux ; 40 pièces ; 310 segments de mur ; 0 transitions. Inspection physique ; architecture complète encore ouverte.</x:v>
      </x:c>
      <x:c r="H3227" t="str">
        <x:v>L 182 ; l 221 ; hauteur 11 m ; emprise auteur, non relevé complet d’un lieu réel</x:v>
      </x:c>
      <x:c r="I3227" t="str">
        <x:v>À équilibrer</x:v>
      </x:c>
      <x:c r="J3227" t="str">
        <x:v>Non</x:v>
      </x:c>
      <x:c r="K3227" t="str">
        <x:v>Pièces décrites, murs, portes, niveaux et mobilier inspectables à l’échelle. Volumes réservés, raccord au seed, butin, rencontres et services de campagne restent à terminer.</x:v>
      </x:c>
    </x:row>
    <x:row r="3228">
      <x:c r="A3228" t="str">
        <x:v>EXT-MONDE-T065-V23</x:v>
      </x:c>
      <x:c r="B3228" t="str">
        <x:v>EXT-MONDE-T065</x:v>
      </x:c>
      <x:c r="C3228" t="str">
        <x:v>Stades</x:v>
      </x:c>
      <x:c r="D3228" t="str">
        <x:v>Stade municipal</x:v>
      </x:c>
      <x:c r="E3228" t="n">
        <x:v>23</x:v>
      </x:c>
      <x:c r="F3228" t="str">
        <x:v>Inspection physique</x:v>
      </x:c>
      <x:c r="G3228" t="str">
        <x:v>1 niveaux ; 40 pièces ; 310 segments de mur ; 0 transitions. Inspection physique ; architecture complète encore ouverte.</x:v>
      </x:c>
      <x:c r="H3228" t="str">
        <x:v>L 186 ; l 225 ; hauteur 11 m ; emprise auteur, non relevé complet d’un lieu réel</x:v>
      </x:c>
      <x:c r="I3228" t="str">
        <x:v>À équilibrer</x:v>
      </x:c>
      <x:c r="J3228" t="str">
        <x:v>Non</x:v>
      </x:c>
      <x:c r="K3228" t="str">
        <x:v>Pièces décrites, murs, portes, niveaux et mobilier inspectables à l’échelle. Volumes réservés, raccord au seed, butin, rencontres et services de campagne restent à terminer.</x:v>
      </x:c>
    </x:row>
    <x:row r="3229">
      <x:c r="A3229" t="str">
        <x:v>EXT-MONDE-T065-V24</x:v>
      </x:c>
      <x:c r="B3229" t="str">
        <x:v>EXT-MONDE-T065</x:v>
      </x:c>
      <x:c r="C3229" t="str">
        <x:v>Stades</x:v>
      </x:c>
      <x:c r="D3229" t="str">
        <x:v>Stade municipal</x:v>
      </x:c>
      <x:c r="E3229" t="n">
        <x:v>24</x:v>
      </x:c>
      <x:c r="F3229" t="str">
        <x:v>Inspection physique</x:v>
      </x:c>
      <x:c r="G3229" t="str">
        <x:v>1 niveaux ; 40 pièces ; 310 segments de mur ; 0 transitions. Inspection physique ; architecture complète encore ouverte.</x:v>
      </x:c>
      <x:c r="H3229" t="str">
        <x:v>L 190 ; l 229 ; hauteur 11 m ; emprise auteur, non relevé complet d’un lieu réel</x:v>
      </x:c>
      <x:c r="I3229" t="str">
        <x:v>À équilibrer</x:v>
      </x:c>
      <x:c r="J3229" t="str">
        <x:v>Non</x:v>
      </x:c>
      <x:c r="K3229" t="str">
        <x:v>Pièces décrites, murs, portes, niveaux et mobilier inspectables à l’échelle. Volumes réservés, raccord au seed, butin, rencontres et services de campagne restent à terminer.</x:v>
      </x:c>
    </x:row>
    <x:row r="3230">
      <x:c r="A3230" t="str">
        <x:v>EXT-MONDE-T065-V25</x:v>
      </x:c>
      <x:c r="B3230" t="str">
        <x:v>EXT-MONDE-T065</x:v>
      </x:c>
      <x:c r="C3230" t="str">
        <x:v>Stades</x:v>
      </x:c>
      <x:c r="D3230" t="str">
        <x:v>Stade municipal</x:v>
      </x:c>
      <x:c r="E3230" t="n">
        <x:v>25</x:v>
      </x:c>
      <x:c r="F3230" t="str">
        <x:v>Inspection physique</x:v>
      </x:c>
      <x:c r="G3230" t="str">
        <x:v>1 niveaux ; 40 pièces ; 310 segments de mur ; 0 transitions. Inspection physique ; architecture complète encore ouverte.</x:v>
      </x:c>
      <x:c r="H3230" t="str">
        <x:v>L 194 ; l 233 ; hauteur 11 m ; emprise auteur, non relevé complet d’un lieu réel</x:v>
      </x:c>
      <x:c r="I3230" t="str">
        <x:v>À équilibrer</x:v>
      </x:c>
      <x:c r="J3230" t="str">
        <x:v>Non</x:v>
      </x:c>
      <x:c r="K3230" t="str">
        <x:v>Pièces décrites, murs, portes, niveaux et mobilier inspectables à l’échelle. Volumes réservés, raccord au seed, butin, rencontres et services de campagne restent à terminer.</x:v>
      </x:c>
    </x:row>
    <x:row r="3231">
      <x:c r="A3231" t="str">
        <x:v>EXT-MONDE-T065-V26</x:v>
      </x:c>
      <x:c r="B3231" t="str">
        <x:v>EXT-MONDE-T065</x:v>
      </x:c>
      <x:c r="C3231" t="str">
        <x:v>Stades</x:v>
      </x:c>
      <x:c r="D3231" t="str">
        <x:v>Stade municipal</x:v>
      </x:c>
      <x:c r="E3231" t="n">
        <x:v>26</x:v>
      </x:c>
      <x:c r="F3231" t="str">
        <x:v>Inspection physique</x:v>
      </x:c>
      <x:c r="G3231" t="str">
        <x:v>1 niveaux ; 40 pièces ; 310 segments de mur ; 0 transitions. Inspection physique ; architecture complète encore ouverte.</x:v>
      </x:c>
      <x:c r="H3231" t="str">
        <x:v>L 198 ; l 237 ; hauteur 11 m ; emprise auteur, non relevé complet d’un lieu réel</x:v>
      </x:c>
      <x:c r="I3231" t="str">
        <x:v>À équilibrer</x:v>
      </x:c>
      <x:c r="J3231" t="str">
        <x:v>Non</x:v>
      </x:c>
      <x:c r="K3231" t="str">
        <x:v>Pièces décrites, murs, portes, niveaux et mobilier inspectables à l’échelle. Volumes réservés, raccord au seed, butin, rencontres et services de campagne restent à terminer.</x:v>
      </x:c>
    </x:row>
    <x:row r="3232">
      <x:c r="A3232" t="str">
        <x:v>EXT-MONDE-T065-V27</x:v>
      </x:c>
      <x:c r="B3232" t="str">
        <x:v>EXT-MONDE-T065</x:v>
      </x:c>
      <x:c r="C3232" t="str">
        <x:v>Stades</x:v>
      </x:c>
      <x:c r="D3232" t="str">
        <x:v>Stade municipal</x:v>
      </x:c>
      <x:c r="E3232" t="n">
        <x:v>27</x:v>
      </x:c>
      <x:c r="F3232" t="str">
        <x:v>Inspection physique</x:v>
      </x:c>
      <x:c r="G3232" t="str">
        <x:v>1 niveaux ; 40 pièces ; 310 segments de mur ; 0 transitions. Inspection physique ; architecture complète encore ouverte.</x:v>
      </x:c>
      <x:c r="H3232" t="str">
        <x:v>L 202 ; l 241 ; hauteur 11 m ; emprise auteur, non relevé complet d’un lieu réel</x:v>
      </x:c>
      <x:c r="I3232" t="str">
        <x:v>À équilibrer</x:v>
      </x:c>
      <x:c r="J3232" t="str">
        <x:v>Non</x:v>
      </x:c>
      <x:c r="K3232" t="str">
        <x:v>Pièces décrites, murs, portes, niveaux et mobilier inspectables à l’échelle. Volumes réservés, raccord au seed, butin, rencontres et services de campagne restent à terminer.</x:v>
      </x:c>
    </x:row>
    <x:row r="3233">
      <x:c r="A3233" t="str">
        <x:v>EXT-MONDE-T065-V28</x:v>
      </x:c>
      <x:c r="B3233" t="str">
        <x:v>EXT-MONDE-T065</x:v>
      </x:c>
      <x:c r="C3233" t="str">
        <x:v>Stades</x:v>
      </x:c>
      <x:c r="D3233" t="str">
        <x:v>Stade municipal</x:v>
      </x:c>
      <x:c r="E3233" t="n">
        <x:v>28</x:v>
      </x:c>
      <x:c r="F3233" t="str">
        <x:v>Inspection physique</x:v>
      </x:c>
      <x:c r="G3233" t="str">
        <x:v>1 niveaux ; 40 pièces ; 310 segments de mur ; 0 transitions. Inspection physique ; architecture complète encore ouverte.</x:v>
      </x:c>
      <x:c r="H3233" t="str">
        <x:v>L 206 ; l 245 ; hauteur 11 m ; emprise auteur, non relevé complet d’un lieu réel</x:v>
      </x:c>
      <x:c r="I3233" t="str">
        <x:v>À équilibrer</x:v>
      </x:c>
      <x:c r="J3233" t="str">
        <x:v>Non</x:v>
      </x:c>
      <x:c r="K3233" t="str">
        <x:v>Pièces décrites, murs, portes, niveaux et mobilier inspectables à l’échelle. Volumes réservés, raccord au seed, butin, rencontres et services de campagne restent à terminer.</x:v>
      </x:c>
    </x:row>
    <x:row r="3234">
      <x:c r="A3234" t="str">
        <x:v>EXT-MONDE-T065-V29</x:v>
      </x:c>
      <x:c r="B3234" t="str">
        <x:v>EXT-MONDE-T065</x:v>
      </x:c>
      <x:c r="C3234" t="str">
        <x:v>Stades</x:v>
      </x:c>
      <x:c r="D3234" t="str">
        <x:v>Stade municipal</x:v>
      </x:c>
      <x:c r="E3234" t="n">
        <x:v>29</x:v>
      </x:c>
      <x:c r="F3234" t="str">
        <x:v>Inspection physique</x:v>
      </x:c>
      <x:c r="G3234" t="str">
        <x:v>1 niveaux ; 40 pièces ; 310 segments de mur ; 0 transitions. Inspection physique ; architecture complète encore ouverte.</x:v>
      </x:c>
      <x:c r="H3234" t="str">
        <x:v>L 210 ; l 249 ; hauteur 11 m ; emprise auteur, non relevé complet d’un lieu réel</x:v>
      </x:c>
      <x:c r="I3234" t="str">
        <x:v>À équilibrer</x:v>
      </x:c>
      <x:c r="J3234" t="str">
        <x:v>Non</x:v>
      </x:c>
      <x:c r="K3234" t="str">
        <x:v>Pièces décrites, murs, portes, niveaux et mobilier inspectables à l’échelle. Volumes réservés, raccord au seed, butin, rencontres et services de campagne restent à terminer.</x:v>
      </x:c>
    </x:row>
    <x:row r="3235">
      <x:c r="A3235" t="str">
        <x:v>EXT-MONDE-T065-V30</x:v>
      </x:c>
      <x:c r="B3235" t="str">
        <x:v>EXT-MONDE-T065</x:v>
      </x:c>
      <x:c r="C3235" t="str">
        <x:v>Stades</x:v>
      </x:c>
      <x:c r="D3235" t="str">
        <x:v>Stade municipal</x:v>
      </x:c>
      <x:c r="E3235" t="n">
        <x:v>30</x:v>
      </x:c>
      <x:c r="F3235" t="str">
        <x:v>Inspection physique</x:v>
      </x:c>
      <x:c r="G3235" t="str">
        <x:v>1 niveaux ; 40 pièces ; 310 segments de mur ; 0 transitions. Inspection physique ; architecture complète encore ouverte.</x:v>
      </x:c>
      <x:c r="H3235" t="str">
        <x:v>L 214 ; l 253 ; hauteur 11 m ; emprise auteur, non relevé complet d’un lieu réel</x:v>
      </x:c>
      <x:c r="I3235" t="str">
        <x:v>À équilibrer</x:v>
      </x:c>
      <x:c r="J3235" t="str">
        <x:v>Non</x:v>
      </x:c>
      <x:c r="K3235" t="str">
        <x:v>Pièces décrites, murs, portes, niveaux et mobilier inspectables à l’échelle. Volumes réservés, raccord au seed, butin, rencontres et services de campagne restent à terminer.</x:v>
      </x:c>
    </x:row>
    <x:row r="3236">
      <x:c r="A3236" t="str">
        <x:v>EXT-MONDE-T065-V31</x:v>
      </x:c>
      <x:c r="B3236" t="str">
        <x:v>EXT-MONDE-T065</x:v>
      </x:c>
      <x:c r="C3236" t="str">
        <x:v>Stades</x:v>
      </x:c>
      <x:c r="D3236" t="str">
        <x:v>Stade municipal</x:v>
      </x:c>
      <x:c r="E3236" t="n">
        <x:v>31</x:v>
      </x:c>
      <x:c r="F3236" t="str">
        <x:v>Inspection physique</x:v>
      </x:c>
      <x:c r="G3236" t="str">
        <x:v>1 niveaux ; 40 pièces ; 310 segments de mur ; 0 transitions. Inspection physique ; architecture complète encore ouverte.</x:v>
      </x:c>
      <x:c r="H3236" t="str">
        <x:v>L 186 ; l 225 ; hauteur 13 m ; emprise auteur, non relevé complet d’un lieu réel</x:v>
      </x:c>
      <x:c r="I3236" t="str">
        <x:v>À équilibrer</x:v>
      </x:c>
      <x:c r="J3236" t="str">
        <x:v>Non</x:v>
      </x:c>
      <x:c r="K3236" t="str">
        <x:v>Pièces décrites, murs, portes, niveaux et mobilier inspectables à l’échelle. Volumes réservés, raccord au seed, butin, rencontres et services de campagne restent à terminer.</x:v>
      </x:c>
    </x:row>
    <x:row r="3237">
      <x:c r="A3237" t="str">
        <x:v>EXT-MONDE-T065-V32</x:v>
      </x:c>
      <x:c r="B3237" t="str">
        <x:v>EXT-MONDE-T065</x:v>
      </x:c>
      <x:c r="C3237" t="str">
        <x:v>Stades</x:v>
      </x:c>
      <x:c r="D3237" t="str">
        <x:v>Stade municipal</x:v>
      </x:c>
      <x:c r="E3237" t="n">
        <x:v>32</x:v>
      </x:c>
      <x:c r="F3237" t="str">
        <x:v>Inspection physique</x:v>
      </x:c>
      <x:c r="G3237" t="str">
        <x:v>1 niveaux ; 40 pièces ; 310 segments de mur ; 0 transitions. Inspection physique ; architecture complète encore ouverte.</x:v>
      </x:c>
      <x:c r="H3237" t="str">
        <x:v>L 190 ; l 229 ; hauteur 13 m ; emprise auteur, non relevé complet d’un lieu réel</x:v>
      </x:c>
      <x:c r="I3237" t="str">
        <x:v>À équilibrer</x:v>
      </x:c>
      <x:c r="J3237" t="str">
        <x:v>Non</x:v>
      </x:c>
      <x:c r="K3237" t="str">
        <x:v>Pièces décrites, murs, portes, niveaux et mobilier inspectables à l’échelle. Volumes réservés, raccord au seed, butin, rencontres et services de campagne restent à terminer.</x:v>
      </x:c>
    </x:row>
    <x:row r="3238">
      <x:c r="A3238" t="str">
        <x:v>EXT-MONDE-T065-V33</x:v>
      </x:c>
      <x:c r="B3238" t="str">
        <x:v>EXT-MONDE-T065</x:v>
      </x:c>
      <x:c r="C3238" t="str">
        <x:v>Stades</x:v>
      </x:c>
      <x:c r="D3238" t="str">
        <x:v>Stade municipal</x:v>
      </x:c>
      <x:c r="E3238" t="n">
        <x:v>33</x:v>
      </x:c>
      <x:c r="F3238" t="str">
        <x:v>Inspection physique</x:v>
      </x:c>
      <x:c r="G3238" t="str">
        <x:v>1 niveaux ; 40 pièces ; 310 segments de mur ; 0 transitions. Inspection physique ; architecture complète encore ouverte.</x:v>
      </x:c>
      <x:c r="H3238" t="str">
        <x:v>L 194 ; l 233 ; hauteur 13 m ; emprise auteur, non relevé complet d’un lieu réel</x:v>
      </x:c>
      <x:c r="I3238" t="str">
        <x:v>À équilibrer</x:v>
      </x:c>
      <x:c r="J3238" t="str">
        <x:v>Non</x:v>
      </x:c>
      <x:c r="K3238" t="str">
        <x:v>Pièces décrites, murs, portes, niveaux et mobilier inspectables à l’échelle. Volumes réservés, raccord au seed, butin, rencontres et services de campagne restent à terminer.</x:v>
      </x:c>
    </x:row>
    <x:row r="3239">
      <x:c r="A3239" t="str">
        <x:v>EXT-MONDE-T065-V34</x:v>
      </x:c>
      <x:c r="B3239" t="str">
        <x:v>EXT-MONDE-T065</x:v>
      </x:c>
      <x:c r="C3239" t="str">
        <x:v>Stades</x:v>
      </x:c>
      <x:c r="D3239" t="str">
        <x:v>Stade municipal</x:v>
      </x:c>
      <x:c r="E3239" t="n">
        <x:v>34</x:v>
      </x:c>
      <x:c r="F3239" t="str">
        <x:v>Inspection physique</x:v>
      </x:c>
      <x:c r="G3239" t="str">
        <x:v>1 niveaux ; 40 pièces ; 310 segments de mur ; 0 transitions. Inspection physique ; architecture complète encore ouverte.</x:v>
      </x:c>
      <x:c r="H3239" t="str">
        <x:v>L 198 ; l 237 ; hauteur 13 m ; emprise auteur, non relevé complet d’un lieu réel</x:v>
      </x:c>
      <x:c r="I3239" t="str">
        <x:v>À équilibrer</x:v>
      </x:c>
      <x:c r="J3239" t="str">
        <x:v>Non</x:v>
      </x:c>
      <x:c r="K3239" t="str">
        <x:v>Pièces décrites, murs, portes, niveaux et mobilier inspectables à l’échelle. Volumes réservés, raccord au seed, butin, rencontres et services de campagne restent à terminer.</x:v>
      </x:c>
    </x:row>
    <x:row r="3240">
      <x:c r="A3240" t="str">
        <x:v>EXT-MONDE-T065-V35</x:v>
      </x:c>
      <x:c r="B3240" t="str">
        <x:v>EXT-MONDE-T065</x:v>
      </x:c>
      <x:c r="C3240" t="str">
        <x:v>Stades</x:v>
      </x:c>
      <x:c r="D3240" t="str">
        <x:v>Stade municipal</x:v>
      </x:c>
      <x:c r="E3240" t="n">
        <x:v>35</x:v>
      </x:c>
      <x:c r="F3240" t="str">
        <x:v>Inspection physique</x:v>
      </x:c>
      <x:c r="G3240" t="str">
        <x:v>1 niveaux ; 40 pièces ; 310 segments de mur ; 0 transitions. Inspection physique ; architecture complète encore ouverte.</x:v>
      </x:c>
      <x:c r="H3240" t="str">
        <x:v>L 202 ; l 241 ; hauteur 13 m ; emprise auteur, non relevé complet d’un lieu réel</x:v>
      </x:c>
      <x:c r="I3240" t="str">
        <x:v>À équilibrer</x:v>
      </x:c>
      <x:c r="J3240" t="str">
        <x:v>Non</x:v>
      </x:c>
      <x:c r="K3240" t="str">
        <x:v>Pièces décrites, murs, portes, niveaux et mobilier inspectables à l’échelle. Volumes réservés, raccord au seed, butin, rencontres et services de campagne restent à terminer.</x:v>
      </x:c>
    </x:row>
    <x:row r="3241">
      <x:c r="A3241" t="str">
        <x:v>EXT-MONDE-T065-V36</x:v>
      </x:c>
      <x:c r="B3241" t="str">
        <x:v>EXT-MONDE-T065</x:v>
      </x:c>
      <x:c r="C3241" t="str">
        <x:v>Stades</x:v>
      </x:c>
      <x:c r="D3241" t="str">
        <x:v>Stade municipal</x:v>
      </x:c>
      <x:c r="E3241" t="n">
        <x:v>36</x:v>
      </x:c>
      <x:c r="F3241" t="str">
        <x:v>Inspection physique</x:v>
      </x:c>
      <x:c r="G3241" t="str">
        <x:v>1 niveaux ; 40 pièces ; 310 segments de mur ; 0 transitions. Inspection physique ; architecture complète encore ouverte.</x:v>
      </x:c>
      <x:c r="H3241" t="str">
        <x:v>L 206 ; l 245 ; hauteur 13 m ; emprise auteur, non relevé complet d’un lieu réel</x:v>
      </x:c>
      <x:c r="I3241" t="str">
        <x:v>À équilibrer</x:v>
      </x:c>
      <x:c r="J3241" t="str">
        <x:v>Non</x:v>
      </x:c>
      <x:c r="K3241" t="str">
        <x:v>Pièces décrites, murs, portes, niveaux et mobilier inspectables à l’échelle. Volumes réservés, raccord au seed, butin, rencontres et services de campagne restent à terminer.</x:v>
      </x:c>
    </x:row>
    <x:row r="3242">
      <x:c r="A3242" t="str">
        <x:v>EXT-MONDE-T065-V37</x:v>
      </x:c>
      <x:c r="B3242" t="str">
        <x:v>EXT-MONDE-T065</x:v>
      </x:c>
      <x:c r="C3242" t="str">
        <x:v>Stades</x:v>
      </x:c>
      <x:c r="D3242" t="str">
        <x:v>Stade municipal</x:v>
      </x:c>
      <x:c r="E3242" t="n">
        <x:v>37</x:v>
      </x:c>
      <x:c r="F3242" t="str">
        <x:v>Inspection physique</x:v>
      </x:c>
      <x:c r="G3242" t="str">
        <x:v>1 niveaux ; 40 pièces ; 310 segments de mur ; 0 transitions. Inspection physique ; architecture complète encore ouverte.</x:v>
      </x:c>
      <x:c r="H3242" t="str">
        <x:v>L 210 ; l 249 ; hauteur 13 m ; emprise auteur, non relevé complet d’un lieu réel</x:v>
      </x:c>
      <x:c r="I3242" t="str">
        <x:v>À équilibrer</x:v>
      </x:c>
      <x:c r="J3242" t="str">
        <x:v>Non</x:v>
      </x:c>
      <x:c r="K3242" t="str">
        <x:v>Pièces décrites, murs, portes, niveaux et mobilier inspectables à l’échelle. Volumes réservés, raccord au seed, butin, rencontres et services de campagne restent à terminer.</x:v>
      </x:c>
    </x:row>
    <x:row r="3243">
      <x:c r="A3243" t="str">
        <x:v>EXT-MONDE-T065-V38</x:v>
      </x:c>
      <x:c r="B3243" t="str">
        <x:v>EXT-MONDE-T065</x:v>
      </x:c>
      <x:c r="C3243" t="str">
        <x:v>Stades</x:v>
      </x:c>
      <x:c r="D3243" t="str">
        <x:v>Stade municipal</x:v>
      </x:c>
      <x:c r="E3243" t="n">
        <x:v>38</x:v>
      </x:c>
      <x:c r="F3243" t="str">
        <x:v>Inspection physique</x:v>
      </x:c>
      <x:c r="G3243" t="str">
        <x:v>1 niveaux ; 40 pièces ; 310 segments de mur ; 0 transitions. Inspection physique ; architecture complète encore ouverte.</x:v>
      </x:c>
      <x:c r="H3243" t="str">
        <x:v>L 214 ; l 253 ; hauteur 13 m ; emprise auteur, non relevé complet d’un lieu réel</x:v>
      </x:c>
      <x:c r="I3243" t="str">
        <x:v>À équilibrer</x:v>
      </x:c>
      <x:c r="J3243" t="str">
        <x:v>Non</x:v>
      </x:c>
      <x:c r="K3243" t="str">
        <x:v>Pièces décrites, murs, portes, niveaux et mobilier inspectables à l’échelle. Volumes réservés, raccord au seed, butin, rencontres et services de campagne restent à terminer.</x:v>
      </x:c>
    </x:row>
    <x:row r="3244">
      <x:c r="A3244" t="str">
        <x:v>EXT-MONDE-T065-V39</x:v>
      </x:c>
      <x:c r="B3244" t="str">
        <x:v>EXT-MONDE-T065</x:v>
      </x:c>
      <x:c r="C3244" t="str">
        <x:v>Stades</x:v>
      </x:c>
      <x:c r="D3244" t="str">
        <x:v>Stade municipal</x:v>
      </x:c>
      <x:c r="E3244" t="n">
        <x:v>39</x:v>
      </x:c>
      <x:c r="F3244" t="str">
        <x:v>Inspection physique</x:v>
      </x:c>
      <x:c r="G3244" t="str">
        <x:v>1 niveaux ; 40 pièces ; 310 segments de mur ; 0 transitions. Inspection physique ; architecture complète encore ouverte.</x:v>
      </x:c>
      <x:c r="H3244" t="str">
        <x:v>L 218 ; l 257 ; hauteur 13 m ; emprise auteur, non relevé complet d’un lieu réel</x:v>
      </x:c>
      <x:c r="I3244" t="str">
        <x:v>À équilibrer</x:v>
      </x:c>
      <x:c r="J3244" t="str">
        <x:v>Non</x:v>
      </x:c>
      <x:c r="K3244" t="str">
        <x:v>Pièces décrites, murs, portes, niveaux et mobilier inspectables à l’échelle. Volumes réservés, raccord au seed, butin, rencontres et services de campagne restent à terminer.</x:v>
      </x:c>
    </x:row>
    <x:row r="3245">
      <x:c r="A3245" t="str">
        <x:v>EXT-MONDE-T065-V40</x:v>
      </x:c>
      <x:c r="B3245" t="str">
        <x:v>EXT-MONDE-T065</x:v>
      </x:c>
      <x:c r="C3245" t="str">
        <x:v>Stades</x:v>
      </x:c>
      <x:c r="D3245" t="str">
        <x:v>Stade municipal</x:v>
      </x:c>
      <x:c r="E3245" t="n">
        <x:v>40</x:v>
      </x:c>
      <x:c r="F3245" t="str">
        <x:v>Inspection physique</x:v>
      </x:c>
      <x:c r="G3245" t="str">
        <x:v>1 niveaux ; 40 pièces ; 310 segments de mur ; 0 transitions. Inspection physique ; architecture complète encore ouverte.</x:v>
      </x:c>
      <x:c r="H3245" t="str">
        <x:v>L 222 ; l 261 ; hauteur 13 m ; emprise auteur, non relevé complet d’un lieu réel</x:v>
      </x:c>
      <x:c r="I3245" t="str">
        <x:v>À équilibrer</x:v>
      </x:c>
      <x:c r="J3245" t="str">
        <x:v>Non</x:v>
      </x:c>
      <x:c r="K3245" t="str">
        <x:v>Pièces décrites, murs, portes, niveaux et mobilier inspectables à l’échelle. Volumes réservés, raccord au seed, butin, rencontres et services de campagne restent à terminer.</x:v>
      </x:c>
    </x:row>
    <x:row r="3246">
      <x:c r="A3246" t="str">
        <x:v>EXT-MONDE-T065-V41</x:v>
      </x:c>
      <x:c r="B3246" t="str">
        <x:v>EXT-MONDE-T065</x:v>
      </x:c>
      <x:c r="C3246" t="str">
        <x:v>Stades</x:v>
      </x:c>
      <x:c r="D3246" t="str">
        <x:v>Stade municipal</x:v>
      </x:c>
      <x:c r="E3246" t="n">
        <x:v>41</x:v>
      </x:c>
      <x:c r="F3246" t="str">
        <x:v>Inspection physique</x:v>
      </x:c>
      <x:c r="G3246" t="str">
        <x:v>1 niveaux ; 40 pièces ; 310 segments de mur ; 0 transitions. Inspection physique ; architecture complète encore ouverte.</x:v>
      </x:c>
      <x:c r="H3246" t="str">
        <x:v>L 194 ; l 233 ; hauteur 15 m ; emprise auteur, non relevé complet d’un lieu réel</x:v>
      </x:c>
      <x:c r="I3246" t="str">
        <x:v>À équilibrer</x:v>
      </x:c>
      <x:c r="J3246" t="str">
        <x:v>Non</x:v>
      </x:c>
      <x:c r="K3246" t="str">
        <x:v>Pièces décrites, murs, portes, niveaux et mobilier inspectables à l’échelle. Volumes réservés, raccord au seed, butin, rencontres et services de campagne restent à terminer.</x:v>
      </x:c>
    </x:row>
    <x:row r="3247">
      <x:c r="A3247" t="str">
        <x:v>EXT-MONDE-T065-V42</x:v>
      </x:c>
      <x:c r="B3247" t="str">
        <x:v>EXT-MONDE-T065</x:v>
      </x:c>
      <x:c r="C3247" t="str">
        <x:v>Stades</x:v>
      </x:c>
      <x:c r="D3247" t="str">
        <x:v>Stade municipal</x:v>
      </x:c>
      <x:c r="E3247" t="n">
        <x:v>42</x:v>
      </x:c>
      <x:c r="F3247" t="str">
        <x:v>Inspection physique</x:v>
      </x:c>
      <x:c r="G3247" t="str">
        <x:v>1 niveaux ; 40 pièces ; 310 segments de mur ; 0 transitions. Inspection physique ; architecture complète encore ouverte.</x:v>
      </x:c>
      <x:c r="H3247" t="str">
        <x:v>L 198 ; l 237 ; hauteur 15 m ; emprise auteur, non relevé complet d’un lieu réel</x:v>
      </x:c>
      <x:c r="I3247" t="str">
        <x:v>À équilibrer</x:v>
      </x:c>
      <x:c r="J3247" t="str">
        <x:v>Non</x:v>
      </x:c>
      <x:c r="K3247" t="str">
        <x:v>Pièces décrites, murs, portes, niveaux et mobilier inspectables à l’échelle. Volumes réservés, raccord au seed, butin, rencontres et services de campagne restent à terminer.</x:v>
      </x:c>
    </x:row>
    <x:row r="3248">
      <x:c r="A3248" t="str">
        <x:v>EXT-MONDE-T065-V43</x:v>
      </x:c>
      <x:c r="B3248" t="str">
        <x:v>EXT-MONDE-T065</x:v>
      </x:c>
      <x:c r="C3248" t="str">
        <x:v>Stades</x:v>
      </x:c>
      <x:c r="D3248" t="str">
        <x:v>Stade municipal</x:v>
      </x:c>
      <x:c r="E3248" t="n">
        <x:v>43</x:v>
      </x:c>
      <x:c r="F3248" t="str">
        <x:v>Inspection physique</x:v>
      </x:c>
      <x:c r="G3248" t="str">
        <x:v>1 niveaux ; 40 pièces ; 310 segments de mur ; 0 transitions. Inspection physique ; architecture complète encore ouverte.</x:v>
      </x:c>
      <x:c r="H3248" t="str">
        <x:v>L 202 ; l 241 ; hauteur 15 m ; emprise auteur, non relevé complet d’un lieu réel</x:v>
      </x:c>
      <x:c r="I3248" t="str">
        <x:v>À équilibrer</x:v>
      </x:c>
      <x:c r="J3248" t="str">
        <x:v>Non</x:v>
      </x:c>
      <x:c r="K3248" t="str">
        <x:v>Pièces décrites, murs, portes, niveaux et mobilier inspectables à l’échelle. Volumes réservés, raccord au seed, butin, rencontres et services de campagne restent à terminer.</x:v>
      </x:c>
    </x:row>
    <x:row r="3249">
      <x:c r="A3249" t="str">
        <x:v>EXT-MONDE-T065-V44</x:v>
      </x:c>
      <x:c r="B3249" t="str">
        <x:v>EXT-MONDE-T065</x:v>
      </x:c>
      <x:c r="C3249" t="str">
        <x:v>Stades</x:v>
      </x:c>
      <x:c r="D3249" t="str">
        <x:v>Stade municipal</x:v>
      </x:c>
      <x:c r="E3249" t="n">
        <x:v>44</x:v>
      </x:c>
      <x:c r="F3249" t="str">
        <x:v>Inspection physique</x:v>
      </x:c>
      <x:c r="G3249" t="str">
        <x:v>1 niveaux ; 40 pièces ; 310 segments de mur ; 0 transitions. Inspection physique ; architecture complète encore ouverte.</x:v>
      </x:c>
      <x:c r="H3249" t="str">
        <x:v>L 206 ; l 245 ; hauteur 15 m ; emprise auteur, non relevé complet d’un lieu réel</x:v>
      </x:c>
      <x:c r="I3249" t="str">
        <x:v>À équilibrer</x:v>
      </x:c>
      <x:c r="J3249" t="str">
        <x:v>Non</x:v>
      </x:c>
      <x:c r="K3249" t="str">
        <x:v>Pièces décrites, murs, portes, niveaux et mobilier inspectables à l’échelle. Volumes réservés, raccord au seed, butin, rencontres et services de campagne restent à terminer.</x:v>
      </x:c>
    </x:row>
    <x:row r="3250">
      <x:c r="A3250" t="str">
        <x:v>EXT-MONDE-T065-V45</x:v>
      </x:c>
      <x:c r="B3250" t="str">
        <x:v>EXT-MONDE-T065</x:v>
      </x:c>
      <x:c r="C3250" t="str">
        <x:v>Stades</x:v>
      </x:c>
      <x:c r="D3250" t="str">
        <x:v>Stade municipal</x:v>
      </x:c>
      <x:c r="E3250" t="n">
        <x:v>45</x:v>
      </x:c>
      <x:c r="F3250" t="str">
        <x:v>Inspection physique</x:v>
      </x:c>
      <x:c r="G3250" t="str">
        <x:v>1 niveaux ; 40 pièces ; 310 segments de mur ; 0 transitions. Inspection physique ; architecture complète encore ouverte.</x:v>
      </x:c>
      <x:c r="H3250" t="str">
        <x:v>L 210 ; l 249 ; hauteur 15 m ; emprise auteur, non relevé complet d’un lieu réel</x:v>
      </x:c>
      <x:c r="I3250" t="str">
        <x:v>À équilibrer</x:v>
      </x:c>
      <x:c r="J3250" t="str">
        <x:v>Non</x:v>
      </x:c>
      <x:c r="K3250" t="str">
        <x:v>Pièces décrites, murs, portes, niveaux et mobilier inspectables à l’échelle. Volumes réservés, raccord au seed, butin, rencontres et services de campagne restent à terminer.</x:v>
      </x:c>
    </x:row>
    <x:row r="3251">
      <x:c r="A3251" t="str">
        <x:v>EXT-MONDE-T065-V46</x:v>
      </x:c>
      <x:c r="B3251" t="str">
        <x:v>EXT-MONDE-T065</x:v>
      </x:c>
      <x:c r="C3251" t="str">
        <x:v>Stades</x:v>
      </x:c>
      <x:c r="D3251" t="str">
        <x:v>Stade municipal</x:v>
      </x:c>
      <x:c r="E3251" t="n">
        <x:v>46</x:v>
      </x:c>
      <x:c r="F3251" t="str">
        <x:v>Inspection physique</x:v>
      </x:c>
      <x:c r="G3251" t="str">
        <x:v>1 niveaux ; 40 pièces ; 310 segments de mur ; 0 transitions. Inspection physique ; architecture complète encore ouverte.</x:v>
      </x:c>
      <x:c r="H3251" t="str">
        <x:v>L 214 ; l 253 ; hauteur 15 m ; emprise auteur, non relevé complet d’un lieu réel</x:v>
      </x:c>
      <x:c r="I3251" t="str">
        <x:v>À équilibrer</x:v>
      </x:c>
      <x:c r="J3251" t="str">
        <x:v>Non</x:v>
      </x:c>
      <x:c r="K3251" t="str">
        <x:v>Pièces décrites, murs, portes, niveaux et mobilier inspectables à l’échelle. Volumes réservés, raccord au seed, butin, rencontres et services de campagne restent à terminer.</x:v>
      </x:c>
    </x:row>
    <x:row r="3252">
      <x:c r="A3252" t="str">
        <x:v>EXT-MONDE-T065-V47</x:v>
      </x:c>
      <x:c r="B3252" t="str">
        <x:v>EXT-MONDE-T065</x:v>
      </x:c>
      <x:c r="C3252" t="str">
        <x:v>Stades</x:v>
      </x:c>
      <x:c r="D3252" t="str">
        <x:v>Stade municipal</x:v>
      </x:c>
      <x:c r="E3252" t="n">
        <x:v>47</x:v>
      </x:c>
      <x:c r="F3252" t="str">
        <x:v>Inspection physique</x:v>
      </x:c>
      <x:c r="G3252" t="str">
        <x:v>1 niveaux ; 40 pièces ; 310 segments de mur ; 0 transitions. Inspection physique ; architecture complète encore ouverte.</x:v>
      </x:c>
      <x:c r="H3252" t="str">
        <x:v>L 218 ; l 257 ; hauteur 15 m ; emprise auteur, non relevé complet d’un lieu réel</x:v>
      </x:c>
      <x:c r="I3252" t="str">
        <x:v>À équilibrer</x:v>
      </x:c>
      <x:c r="J3252" t="str">
        <x:v>Non</x:v>
      </x:c>
      <x:c r="K3252" t="str">
        <x:v>Pièces décrites, murs, portes, niveaux et mobilier inspectables à l’échelle. Volumes réservés, raccord au seed, butin, rencontres et services de campagne restent à terminer.</x:v>
      </x:c>
    </x:row>
    <x:row r="3253">
      <x:c r="A3253" t="str">
        <x:v>EXT-MONDE-T065-V48</x:v>
      </x:c>
      <x:c r="B3253" t="str">
        <x:v>EXT-MONDE-T065</x:v>
      </x:c>
      <x:c r="C3253" t="str">
        <x:v>Stades</x:v>
      </x:c>
      <x:c r="D3253" t="str">
        <x:v>Stade municipal</x:v>
      </x:c>
      <x:c r="E3253" t="n">
        <x:v>48</x:v>
      </x:c>
      <x:c r="F3253" t="str">
        <x:v>Inspection physique</x:v>
      </x:c>
      <x:c r="G3253" t="str">
        <x:v>1 niveaux ; 40 pièces ; 310 segments de mur ; 0 transitions. Inspection physique ; architecture complète encore ouverte.</x:v>
      </x:c>
      <x:c r="H3253" t="str">
        <x:v>L 222 ; l 261 ; hauteur 15 m ; emprise auteur, non relevé complet d’un lieu réel</x:v>
      </x:c>
      <x:c r="I3253" t="str">
        <x:v>À équilibrer</x:v>
      </x:c>
      <x:c r="J3253" t="str">
        <x:v>Non</x:v>
      </x:c>
      <x:c r="K3253" t="str">
        <x:v>Pièces décrites, murs, portes, niveaux et mobilier inspectables à l’échelle. Volumes réservés, raccord au seed, butin, rencontres et services de campagne restent à terminer.</x:v>
      </x:c>
    </x:row>
    <x:row r="3254">
      <x:c r="A3254" t="str">
        <x:v>EXT-MONDE-T065-V49</x:v>
      </x:c>
      <x:c r="B3254" t="str">
        <x:v>EXT-MONDE-T065</x:v>
      </x:c>
      <x:c r="C3254" t="str">
        <x:v>Stades</x:v>
      </x:c>
      <x:c r="D3254" t="str">
        <x:v>Stade municipal</x:v>
      </x:c>
      <x:c r="E3254" t="n">
        <x:v>49</x:v>
      </x:c>
      <x:c r="F3254" t="str">
        <x:v>Inspection physique</x:v>
      </x:c>
      <x:c r="G3254" t="str">
        <x:v>1 niveaux ; 40 pièces ; 310 segments de mur ; 0 transitions. Inspection physique ; architecture complète encore ouverte.</x:v>
      </x:c>
      <x:c r="H3254" t="str">
        <x:v>L 226 ; l 265 ; hauteur 15 m ; emprise auteur, non relevé complet d’un lieu réel</x:v>
      </x:c>
      <x:c r="I3254" t="str">
        <x:v>À équilibrer</x:v>
      </x:c>
      <x:c r="J3254" t="str">
        <x:v>Non</x:v>
      </x:c>
      <x:c r="K3254" t="str">
        <x:v>Pièces décrites, murs, portes, niveaux et mobilier inspectables à l’échelle. Volumes réservés, raccord au seed, butin, rencontres et services de campagne restent à terminer.</x:v>
      </x:c>
    </x:row>
    <x:row r="3255">
      <x:c r="A3255" t="str">
        <x:v>EXT-MONDE-T065-V50</x:v>
      </x:c>
      <x:c r="B3255" t="str">
        <x:v>EXT-MONDE-T065</x:v>
      </x:c>
      <x:c r="C3255" t="str">
        <x:v>Stades</x:v>
      </x:c>
      <x:c r="D3255" t="str">
        <x:v>Stade municipal</x:v>
      </x:c>
      <x:c r="E3255" t="n">
        <x:v>50</x:v>
      </x:c>
      <x:c r="F3255" t="str">
        <x:v>Inspection physique</x:v>
      </x:c>
      <x:c r="G3255" t="str">
        <x:v>1 niveaux ; 40 pièces ; 310 segments de mur ; 0 transitions. Inspection physique ; architecture complète encore ouverte.</x:v>
      </x:c>
      <x:c r="H3255" t="str">
        <x:v>L 230 ; l 269 ; hauteur 15 m ; emprise auteur, non relevé complet d’un lieu réel</x:v>
      </x:c>
      <x:c r="I3255" t="str">
        <x:v>À équilibrer</x:v>
      </x:c>
      <x:c r="J3255" t="str">
        <x:v>Non</x:v>
      </x:c>
      <x:c r="K3255" t="str">
        <x:v>Pièces décrites, murs, portes, niveaux et mobilier inspectables à l’échelle. Volumes réservés, raccord au seed, butin, rencontres et services de campagne restent à terminer.</x:v>
      </x:c>
    </x:row>
    <x:row r="3256">
      <x:c r="A3256" t="str">
        <x:v>EXT-MONDE-T066-V01</x:v>
      </x:c>
      <x:c r="B3256" t="str">
        <x:v>EXT-MONDE-T066</x:v>
      </x:c>
      <x:c r="C3256" t="str">
        <x:v>Stades</x:v>
      </x:c>
      <x:c r="D3256" t="str">
        <x:v>Grand stade couvert</x:v>
      </x:c>
      <x:c r="E3256" t="n">
        <x:v>1</x:v>
      </x:c>
      <x:c r="F3256" t="str">
        <x:v>Inspection physique</x:v>
      </x:c>
      <x:c r="G3256" t="str">
        <x:v>1 niveaux ; 40 pièces ; 310 segments de mur ; 0 transitions. Inspection physique ; architecture complète encore ouverte.</x:v>
      </x:c>
      <x:c r="H3256" t="str">
        <x:v>L 180 ; l 219 ; hauteur 36 m ; emprise auteur, non relevé complet d’un lieu réel</x:v>
      </x:c>
      <x:c r="I3256" t="str">
        <x:v>À équilibrer</x:v>
      </x:c>
      <x:c r="J3256" t="str">
        <x:v>Non</x:v>
      </x:c>
      <x:c r="K3256" t="str">
        <x:v>Pièces décrites, murs, portes, niveaux et mobilier inspectables à l’échelle. Volumes réservés, raccord au seed, butin, rencontres et services de campagne restent à terminer.</x:v>
      </x:c>
    </x:row>
    <x:row r="3257">
      <x:c r="A3257" t="str">
        <x:v>EXT-MONDE-T066-V02</x:v>
      </x:c>
      <x:c r="B3257" t="str">
        <x:v>EXT-MONDE-T066</x:v>
      </x:c>
      <x:c r="C3257" t="str">
        <x:v>Stades</x:v>
      </x:c>
      <x:c r="D3257" t="str">
        <x:v>Grand stade couvert</x:v>
      </x:c>
      <x:c r="E3257" t="n">
        <x:v>2</x:v>
      </x:c>
      <x:c r="F3257" t="str">
        <x:v>Inspection physique</x:v>
      </x:c>
      <x:c r="G3257" t="str">
        <x:v>1 niveaux ; 40 pièces ; 310 segments de mur ; 0 transitions. Inspection physique ; architecture complète encore ouverte.</x:v>
      </x:c>
      <x:c r="H3257" t="str">
        <x:v>L 184 ; l 223 ; hauteur 36 m ; emprise auteur, non relevé complet d’un lieu réel</x:v>
      </x:c>
      <x:c r="I3257" t="str">
        <x:v>À équilibrer</x:v>
      </x:c>
      <x:c r="J3257" t="str">
        <x:v>Non</x:v>
      </x:c>
      <x:c r="K3257" t="str">
        <x:v>Pièces décrites, murs, portes, niveaux et mobilier inspectables à l’échelle. Volumes réservés, raccord au seed, butin, rencontres et services de campagne restent à terminer.</x:v>
      </x:c>
    </x:row>
    <x:row r="3258">
      <x:c r="A3258" t="str">
        <x:v>EXT-MONDE-T066-V03</x:v>
      </x:c>
      <x:c r="B3258" t="str">
        <x:v>EXT-MONDE-T066</x:v>
      </x:c>
      <x:c r="C3258" t="str">
        <x:v>Stades</x:v>
      </x:c>
      <x:c r="D3258" t="str">
        <x:v>Grand stade couvert</x:v>
      </x:c>
      <x:c r="E3258" t="n">
        <x:v>3</x:v>
      </x:c>
      <x:c r="F3258" t="str">
        <x:v>Inspection physique</x:v>
      </x:c>
      <x:c r="G3258" t="str">
        <x:v>1 niveaux ; 40 pièces ; 310 segments de mur ; 0 transitions. Inspection physique ; architecture complète encore ouverte.</x:v>
      </x:c>
      <x:c r="H3258" t="str">
        <x:v>L 188 ; l 227 ; hauteur 36 m ; emprise auteur, non relevé complet d’un lieu réel</x:v>
      </x:c>
      <x:c r="I3258" t="str">
        <x:v>À équilibrer</x:v>
      </x:c>
      <x:c r="J3258" t="str">
        <x:v>Non</x:v>
      </x:c>
      <x:c r="K3258" t="str">
        <x:v>Pièces décrites, murs, portes, niveaux et mobilier inspectables à l’échelle. Volumes réservés, raccord au seed, butin, rencontres et services de campagne restent à terminer.</x:v>
      </x:c>
    </x:row>
    <x:row r="3259">
      <x:c r="A3259" t="str">
        <x:v>EXT-MONDE-T066-V04</x:v>
      </x:c>
      <x:c r="B3259" t="str">
        <x:v>EXT-MONDE-T066</x:v>
      </x:c>
      <x:c r="C3259" t="str">
        <x:v>Stades</x:v>
      </x:c>
      <x:c r="D3259" t="str">
        <x:v>Grand stade couvert</x:v>
      </x:c>
      <x:c r="E3259" t="n">
        <x:v>4</x:v>
      </x:c>
      <x:c r="F3259" t="str">
        <x:v>Inspection physique</x:v>
      </x:c>
      <x:c r="G3259" t="str">
        <x:v>1 niveaux ; 40 pièces ; 310 segments de mur ; 0 transitions. Inspection physique ; architecture complète encore ouverte.</x:v>
      </x:c>
      <x:c r="H3259" t="str">
        <x:v>L 192 ; l 231 ; hauteur 36 m ; emprise auteur, non relevé complet d’un lieu réel</x:v>
      </x:c>
      <x:c r="I3259" t="str">
        <x:v>À équilibrer</x:v>
      </x:c>
      <x:c r="J3259" t="str">
        <x:v>Non</x:v>
      </x:c>
      <x:c r="K3259" t="str">
        <x:v>Pièces décrites, murs, portes, niveaux et mobilier inspectables à l’échelle. Volumes réservés, raccord au seed, butin, rencontres et services de campagne restent à terminer.</x:v>
      </x:c>
    </x:row>
    <x:row r="3260">
      <x:c r="A3260" t="str">
        <x:v>EXT-MONDE-T066-V05</x:v>
      </x:c>
      <x:c r="B3260" t="str">
        <x:v>EXT-MONDE-T066</x:v>
      </x:c>
      <x:c r="C3260" t="str">
        <x:v>Stades</x:v>
      </x:c>
      <x:c r="D3260" t="str">
        <x:v>Grand stade couvert</x:v>
      </x:c>
      <x:c r="E3260" t="n">
        <x:v>5</x:v>
      </x:c>
      <x:c r="F3260" t="str">
        <x:v>Inspection physique</x:v>
      </x:c>
      <x:c r="G3260" t="str">
        <x:v>1 niveaux ; 40 pièces ; 310 segments de mur ; 0 transitions. Inspection physique ; architecture complète encore ouverte.</x:v>
      </x:c>
      <x:c r="H3260" t="str">
        <x:v>L 196 ; l 235 ; hauteur 36 m ; emprise auteur, non relevé complet d’un lieu réel</x:v>
      </x:c>
      <x:c r="I3260" t="str">
        <x:v>À équilibrer</x:v>
      </x:c>
      <x:c r="J3260" t="str">
        <x:v>Non</x:v>
      </x:c>
      <x:c r="K3260" t="str">
        <x:v>Pièces décrites, murs, portes, niveaux et mobilier inspectables à l’échelle. Volumes réservés, raccord au seed, butin, rencontres et services de campagne restent à terminer.</x:v>
      </x:c>
    </x:row>
    <x:row r="3261">
      <x:c r="A3261" t="str">
        <x:v>EXT-MONDE-T066-V06</x:v>
      </x:c>
      <x:c r="B3261" t="str">
        <x:v>EXT-MONDE-T066</x:v>
      </x:c>
      <x:c r="C3261" t="str">
        <x:v>Stades</x:v>
      </x:c>
      <x:c r="D3261" t="str">
        <x:v>Grand stade couvert</x:v>
      </x:c>
      <x:c r="E3261" t="n">
        <x:v>6</x:v>
      </x:c>
      <x:c r="F3261" t="str">
        <x:v>Inspection physique</x:v>
      </x:c>
      <x:c r="G3261" t="str">
        <x:v>1 niveaux ; 40 pièces ; 310 segments de mur ; 0 transitions. Inspection physique ; architecture complète encore ouverte.</x:v>
      </x:c>
      <x:c r="H3261" t="str">
        <x:v>L 200 ; l 239 ; hauteur 36 m ; emprise auteur, non relevé complet d’un lieu réel</x:v>
      </x:c>
      <x:c r="I3261" t="str">
        <x:v>À équilibrer</x:v>
      </x:c>
      <x:c r="J3261" t="str">
        <x:v>Non</x:v>
      </x:c>
      <x:c r="K3261" t="str">
        <x:v>Pièces décrites, murs, portes, niveaux et mobilier inspectables à l’échelle. Volumes réservés, raccord au seed, butin, rencontres et services de campagne restent à terminer.</x:v>
      </x:c>
    </x:row>
    <x:row r="3262">
      <x:c r="A3262" t="str">
        <x:v>EXT-MONDE-T066-V07</x:v>
      </x:c>
      <x:c r="B3262" t="str">
        <x:v>EXT-MONDE-T066</x:v>
      </x:c>
      <x:c r="C3262" t="str">
        <x:v>Stades</x:v>
      </x:c>
      <x:c r="D3262" t="str">
        <x:v>Grand stade couvert</x:v>
      </x:c>
      <x:c r="E3262" t="n">
        <x:v>7</x:v>
      </x:c>
      <x:c r="F3262" t="str">
        <x:v>Inspection physique</x:v>
      </x:c>
      <x:c r="G3262" t="str">
        <x:v>1 niveaux ; 40 pièces ; 310 segments de mur ; 0 transitions. Inspection physique ; architecture complète encore ouverte.</x:v>
      </x:c>
      <x:c r="H3262" t="str">
        <x:v>L 204 ; l 243 ; hauteur 36 m ; emprise auteur, non relevé complet d’un lieu réel</x:v>
      </x:c>
      <x:c r="I3262" t="str">
        <x:v>À équilibrer</x:v>
      </x:c>
      <x:c r="J3262" t="str">
        <x:v>Non</x:v>
      </x:c>
      <x:c r="K3262" t="str">
        <x:v>Pièces décrites, murs, portes, niveaux et mobilier inspectables à l’échelle. Volumes réservés, raccord au seed, butin, rencontres et services de campagne restent à terminer.</x:v>
      </x:c>
    </x:row>
    <x:row r="3263">
      <x:c r="A3263" t="str">
        <x:v>EXT-MONDE-T066-V08</x:v>
      </x:c>
      <x:c r="B3263" t="str">
        <x:v>EXT-MONDE-T066</x:v>
      </x:c>
      <x:c r="C3263" t="str">
        <x:v>Stades</x:v>
      </x:c>
      <x:c r="D3263" t="str">
        <x:v>Grand stade couvert</x:v>
      </x:c>
      <x:c r="E3263" t="n">
        <x:v>8</x:v>
      </x:c>
      <x:c r="F3263" t="str">
        <x:v>Inspection physique</x:v>
      </x:c>
      <x:c r="G3263" t="str">
        <x:v>1 niveaux ; 40 pièces ; 310 segments de mur ; 0 transitions. Inspection physique ; architecture complète encore ouverte.</x:v>
      </x:c>
      <x:c r="H3263" t="str">
        <x:v>L 208 ; l 247 ; hauteur 36 m ; emprise auteur, non relevé complet d’un lieu réel</x:v>
      </x:c>
      <x:c r="I3263" t="str">
        <x:v>À équilibrer</x:v>
      </x:c>
      <x:c r="J3263" t="str">
        <x:v>Non</x:v>
      </x:c>
      <x:c r="K3263" t="str">
        <x:v>Pièces décrites, murs, portes, niveaux et mobilier inspectables à l’échelle. Volumes réservés, raccord au seed, butin, rencontres et services de campagne restent à terminer.</x:v>
      </x:c>
    </x:row>
    <x:row r="3264">
      <x:c r="A3264" t="str">
        <x:v>EXT-MONDE-T066-V09</x:v>
      </x:c>
      <x:c r="B3264" t="str">
        <x:v>EXT-MONDE-T066</x:v>
      </x:c>
      <x:c r="C3264" t="str">
        <x:v>Stades</x:v>
      </x:c>
      <x:c r="D3264" t="str">
        <x:v>Grand stade couvert</x:v>
      </x:c>
      <x:c r="E3264" t="n">
        <x:v>9</x:v>
      </x:c>
      <x:c r="F3264" t="str">
        <x:v>Inspection physique</x:v>
      </x:c>
      <x:c r="G3264" t="str">
        <x:v>1 niveaux ; 40 pièces ; 310 segments de mur ; 0 transitions. Inspection physique ; architecture complète encore ouverte.</x:v>
      </x:c>
      <x:c r="H3264" t="str">
        <x:v>L 212 ; l 251 ; hauteur 36 m ; emprise auteur, non relevé complet d’un lieu réel</x:v>
      </x:c>
      <x:c r="I3264" t="str">
        <x:v>À équilibrer</x:v>
      </x:c>
      <x:c r="J3264" t="str">
        <x:v>Non</x:v>
      </x:c>
      <x:c r="K3264" t="str">
        <x:v>Pièces décrites, murs, portes, niveaux et mobilier inspectables à l’échelle. Volumes réservés, raccord au seed, butin, rencontres et services de campagne restent à terminer.</x:v>
      </x:c>
    </x:row>
    <x:row r="3265">
      <x:c r="A3265" t="str">
        <x:v>EXT-MONDE-T066-V10</x:v>
      </x:c>
      <x:c r="B3265" t="str">
        <x:v>EXT-MONDE-T066</x:v>
      </x:c>
      <x:c r="C3265" t="str">
        <x:v>Stades</x:v>
      </x:c>
      <x:c r="D3265" t="str">
        <x:v>Grand stade couvert</x:v>
      </x:c>
      <x:c r="E3265" t="n">
        <x:v>10</x:v>
      </x:c>
      <x:c r="F3265" t="str">
        <x:v>Inspection physique</x:v>
      </x:c>
      <x:c r="G3265" t="str">
        <x:v>1 niveaux ; 40 pièces ; 310 segments de mur ; 0 transitions. Inspection physique ; architecture complète encore ouverte.</x:v>
      </x:c>
      <x:c r="H3265" t="str">
        <x:v>L 216 ; l 255 ; hauteur 36 m ; emprise auteur, non relevé complet d’un lieu réel</x:v>
      </x:c>
      <x:c r="I3265" t="str">
        <x:v>À équilibrer</x:v>
      </x:c>
      <x:c r="J3265" t="str">
        <x:v>Non</x:v>
      </x:c>
      <x:c r="K3265" t="str">
        <x:v>Pièces décrites, murs, portes, niveaux et mobilier inspectables à l’échelle. Volumes réservés, raccord au seed, butin, rencontres et services de campagne restent à terminer.</x:v>
      </x:c>
    </x:row>
    <x:row r="3266">
      <x:c r="A3266" t="str">
        <x:v>EXT-MONDE-T066-V11</x:v>
      </x:c>
      <x:c r="B3266" t="str">
        <x:v>EXT-MONDE-T066</x:v>
      </x:c>
      <x:c r="C3266" t="str">
        <x:v>Stades</x:v>
      </x:c>
      <x:c r="D3266" t="str">
        <x:v>Grand stade couvert</x:v>
      </x:c>
      <x:c r="E3266" t="n">
        <x:v>11</x:v>
      </x:c>
      <x:c r="F3266" t="str">
        <x:v>Inspection physique</x:v>
      </x:c>
      <x:c r="G3266" t="str">
        <x:v>1 niveaux ; 40 pièces ; 310 segments de mur ; 0 transitions. Inspection physique ; architecture complète encore ouverte.</x:v>
      </x:c>
      <x:c r="H3266" t="str">
        <x:v>L 196 ; l 235 ; hauteur 40 m ; emprise auteur, non relevé complet d’un lieu réel</x:v>
      </x:c>
      <x:c r="I3266" t="str">
        <x:v>À équilibrer</x:v>
      </x:c>
      <x:c r="J3266" t="str">
        <x:v>Non</x:v>
      </x:c>
      <x:c r="K3266" t="str">
        <x:v>Pièces décrites, murs, portes, niveaux et mobilier inspectables à l’échelle. Volumes réservés, raccord au seed, butin, rencontres et services de campagne restent à terminer.</x:v>
      </x:c>
    </x:row>
    <x:row r="3267">
      <x:c r="A3267" t="str">
        <x:v>EXT-MONDE-T066-V12</x:v>
      </x:c>
      <x:c r="B3267" t="str">
        <x:v>EXT-MONDE-T066</x:v>
      </x:c>
      <x:c r="C3267" t="str">
        <x:v>Stades</x:v>
      </x:c>
      <x:c r="D3267" t="str">
        <x:v>Grand stade couvert</x:v>
      </x:c>
      <x:c r="E3267" t="n">
        <x:v>12</x:v>
      </x:c>
      <x:c r="F3267" t="str">
        <x:v>Inspection physique</x:v>
      </x:c>
      <x:c r="G3267" t="str">
        <x:v>1 niveaux ; 40 pièces ; 310 segments de mur ; 0 transitions. Inspection physique ; architecture complète encore ouverte.</x:v>
      </x:c>
      <x:c r="H3267" t="str">
        <x:v>L 200 ; l 239 ; hauteur 40 m ; emprise auteur, non relevé complet d’un lieu réel</x:v>
      </x:c>
      <x:c r="I3267" t="str">
        <x:v>À équilibrer</x:v>
      </x:c>
      <x:c r="J3267" t="str">
        <x:v>Non</x:v>
      </x:c>
      <x:c r="K3267" t="str">
        <x:v>Pièces décrites, murs, portes, niveaux et mobilier inspectables à l’échelle. Volumes réservés, raccord au seed, butin, rencontres et services de campagne restent à terminer.</x:v>
      </x:c>
    </x:row>
    <x:row r="3268">
      <x:c r="A3268" t="str">
        <x:v>EXT-MONDE-T066-V13</x:v>
      </x:c>
      <x:c r="B3268" t="str">
        <x:v>EXT-MONDE-T066</x:v>
      </x:c>
      <x:c r="C3268" t="str">
        <x:v>Stades</x:v>
      </x:c>
      <x:c r="D3268" t="str">
        <x:v>Grand stade couvert</x:v>
      </x:c>
      <x:c r="E3268" t="n">
        <x:v>13</x:v>
      </x:c>
      <x:c r="F3268" t="str">
        <x:v>Inspection physique</x:v>
      </x:c>
      <x:c r="G3268" t="str">
        <x:v>1 niveaux ; 40 pièces ; 310 segments de mur ; 0 transitions. Inspection physique ; architecture complète encore ouverte.</x:v>
      </x:c>
      <x:c r="H3268" t="str">
        <x:v>L 204 ; l 243 ; hauteur 40 m ; emprise auteur, non relevé complet d’un lieu réel</x:v>
      </x:c>
      <x:c r="I3268" t="str">
        <x:v>À équilibrer</x:v>
      </x:c>
      <x:c r="J3268" t="str">
        <x:v>Non</x:v>
      </x:c>
      <x:c r="K3268" t="str">
        <x:v>Pièces décrites, murs, portes, niveaux et mobilier inspectables à l’échelle. Volumes réservés, raccord au seed, butin, rencontres et services de campagne restent à terminer.</x:v>
      </x:c>
    </x:row>
    <x:row r="3269">
      <x:c r="A3269" t="str">
        <x:v>EXT-MONDE-T066-V14</x:v>
      </x:c>
      <x:c r="B3269" t="str">
        <x:v>EXT-MONDE-T066</x:v>
      </x:c>
      <x:c r="C3269" t="str">
        <x:v>Stades</x:v>
      </x:c>
      <x:c r="D3269" t="str">
        <x:v>Grand stade couvert</x:v>
      </x:c>
      <x:c r="E3269" t="n">
        <x:v>14</x:v>
      </x:c>
      <x:c r="F3269" t="str">
        <x:v>Inspection physique</x:v>
      </x:c>
      <x:c r="G3269" t="str">
        <x:v>1 niveaux ; 40 pièces ; 310 segments de mur ; 0 transitions. Inspection physique ; architecture complète encore ouverte.</x:v>
      </x:c>
      <x:c r="H3269" t="str">
        <x:v>L 208 ; l 247 ; hauteur 40 m ; emprise auteur, non relevé complet d’un lieu réel</x:v>
      </x:c>
      <x:c r="I3269" t="str">
        <x:v>À équilibrer</x:v>
      </x:c>
      <x:c r="J3269" t="str">
        <x:v>Non</x:v>
      </x:c>
      <x:c r="K3269" t="str">
        <x:v>Pièces décrites, murs, portes, niveaux et mobilier inspectables à l’échelle. Volumes réservés, raccord au seed, butin, rencontres et services de campagne restent à terminer.</x:v>
      </x:c>
    </x:row>
    <x:row r="3270">
      <x:c r="A3270" t="str">
        <x:v>EXT-MONDE-T066-V15</x:v>
      </x:c>
      <x:c r="B3270" t="str">
        <x:v>EXT-MONDE-T066</x:v>
      </x:c>
      <x:c r="C3270" t="str">
        <x:v>Stades</x:v>
      </x:c>
      <x:c r="D3270" t="str">
        <x:v>Grand stade couvert</x:v>
      </x:c>
      <x:c r="E3270" t="n">
        <x:v>15</x:v>
      </x:c>
      <x:c r="F3270" t="str">
        <x:v>Inspection physique</x:v>
      </x:c>
      <x:c r="G3270" t="str">
        <x:v>1 niveaux ; 40 pièces ; 310 segments de mur ; 0 transitions. Inspection physique ; architecture complète encore ouverte.</x:v>
      </x:c>
      <x:c r="H3270" t="str">
        <x:v>L 212 ; l 251 ; hauteur 40 m ; emprise auteur, non relevé complet d’un lieu réel</x:v>
      </x:c>
      <x:c r="I3270" t="str">
        <x:v>À équilibrer</x:v>
      </x:c>
      <x:c r="J3270" t="str">
        <x:v>Non</x:v>
      </x:c>
      <x:c r="K3270" t="str">
        <x:v>Pièces décrites, murs, portes, niveaux et mobilier inspectables à l’échelle. Volumes réservés, raccord au seed, butin, rencontres et services de campagne restent à terminer.</x:v>
      </x:c>
    </x:row>
    <x:row r="3271">
      <x:c r="A3271" t="str">
        <x:v>EXT-MONDE-T066-V16</x:v>
      </x:c>
      <x:c r="B3271" t="str">
        <x:v>EXT-MONDE-T066</x:v>
      </x:c>
      <x:c r="C3271" t="str">
        <x:v>Stades</x:v>
      </x:c>
      <x:c r="D3271" t="str">
        <x:v>Grand stade couvert</x:v>
      </x:c>
      <x:c r="E3271" t="n">
        <x:v>16</x:v>
      </x:c>
      <x:c r="F3271" t="str">
        <x:v>Inspection physique</x:v>
      </x:c>
      <x:c r="G3271" t="str">
        <x:v>1 niveaux ; 40 pièces ; 310 segments de mur ; 0 transitions. Inspection physique ; architecture complète encore ouverte.</x:v>
      </x:c>
      <x:c r="H3271" t="str">
        <x:v>L 216 ; l 255 ; hauteur 40 m ; emprise auteur, non relevé complet d’un lieu réel</x:v>
      </x:c>
      <x:c r="I3271" t="str">
        <x:v>À équilibrer</x:v>
      </x:c>
      <x:c r="J3271" t="str">
        <x:v>Non</x:v>
      </x:c>
      <x:c r="K3271" t="str">
        <x:v>Pièces décrites, murs, portes, niveaux et mobilier inspectables à l’échelle. Volumes réservés, raccord au seed, butin, rencontres et services de campagne restent à terminer.</x:v>
      </x:c>
    </x:row>
    <x:row r="3272">
      <x:c r="A3272" t="str">
        <x:v>EXT-MONDE-T066-V17</x:v>
      </x:c>
      <x:c r="B3272" t="str">
        <x:v>EXT-MONDE-T066</x:v>
      </x:c>
      <x:c r="C3272" t="str">
        <x:v>Stades</x:v>
      </x:c>
      <x:c r="D3272" t="str">
        <x:v>Grand stade couvert</x:v>
      </x:c>
      <x:c r="E3272" t="n">
        <x:v>17</x:v>
      </x:c>
      <x:c r="F3272" t="str">
        <x:v>Inspection physique</x:v>
      </x:c>
      <x:c r="G3272" t="str">
        <x:v>1 niveaux ; 40 pièces ; 310 segments de mur ; 0 transitions. Inspection physique ; architecture complète encore ouverte.</x:v>
      </x:c>
      <x:c r="H3272" t="str">
        <x:v>L 220 ; l 259 ; hauteur 40 m ; emprise auteur, non relevé complet d’un lieu réel</x:v>
      </x:c>
      <x:c r="I3272" t="str">
        <x:v>À équilibrer</x:v>
      </x:c>
      <x:c r="J3272" t="str">
        <x:v>Non</x:v>
      </x:c>
      <x:c r="K3272" t="str">
        <x:v>Pièces décrites, murs, portes, niveaux et mobilier inspectables à l’échelle. Volumes réservés, raccord au seed, butin, rencontres et services de campagne restent à terminer.</x:v>
      </x:c>
    </x:row>
    <x:row r="3273">
      <x:c r="A3273" t="str">
        <x:v>EXT-MONDE-T066-V18</x:v>
      </x:c>
      <x:c r="B3273" t="str">
        <x:v>EXT-MONDE-T066</x:v>
      </x:c>
      <x:c r="C3273" t="str">
        <x:v>Stades</x:v>
      </x:c>
      <x:c r="D3273" t="str">
        <x:v>Grand stade couvert</x:v>
      </x:c>
      <x:c r="E3273" t="n">
        <x:v>18</x:v>
      </x:c>
      <x:c r="F3273" t="str">
        <x:v>Inspection physique</x:v>
      </x:c>
      <x:c r="G3273" t="str">
        <x:v>1 niveaux ; 40 pièces ; 310 segments de mur ; 0 transitions. Inspection physique ; architecture complète encore ouverte.</x:v>
      </x:c>
      <x:c r="H3273" t="str">
        <x:v>L 224 ; l 263 ; hauteur 40 m ; emprise auteur, non relevé complet d’un lieu réel</x:v>
      </x:c>
      <x:c r="I3273" t="str">
        <x:v>À équilibrer</x:v>
      </x:c>
      <x:c r="J3273" t="str">
        <x:v>Non</x:v>
      </x:c>
      <x:c r="K3273" t="str">
        <x:v>Pièces décrites, murs, portes, niveaux et mobilier inspectables à l’échelle. Volumes réservés, raccord au seed, butin, rencontres et services de campagne restent à terminer.</x:v>
      </x:c>
    </x:row>
    <x:row r="3274">
      <x:c r="A3274" t="str">
        <x:v>EXT-MONDE-T066-V19</x:v>
      </x:c>
      <x:c r="B3274" t="str">
        <x:v>EXT-MONDE-T066</x:v>
      </x:c>
      <x:c r="C3274" t="str">
        <x:v>Stades</x:v>
      </x:c>
      <x:c r="D3274" t="str">
        <x:v>Grand stade couvert</x:v>
      </x:c>
      <x:c r="E3274" t="n">
        <x:v>19</x:v>
      </x:c>
      <x:c r="F3274" t="str">
        <x:v>Inspection physique</x:v>
      </x:c>
      <x:c r="G3274" t="str">
        <x:v>1 niveaux ; 40 pièces ; 310 segments de mur ; 0 transitions. Inspection physique ; architecture complète encore ouverte.</x:v>
      </x:c>
      <x:c r="H3274" t="str">
        <x:v>L 228 ; l 267 ; hauteur 40 m ; emprise auteur, non relevé complet d’un lieu réel</x:v>
      </x:c>
      <x:c r="I3274" t="str">
        <x:v>À équilibrer</x:v>
      </x:c>
      <x:c r="J3274" t="str">
        <x:v>Non</x:v>
      </x:c>
      <x:c r="K3274" t="str">
        <x:v>Pièces décrites, murs, portes, niveaux et mobilier inspectables à l’échelle. Volumes réservés, raccord au seed, butin, rencontres et services de campagne restent à terminer.</x:v>
      </x:c>
    </x:row>
    <x:row r="3275">
      <x:c r="A3275" t="str">
        <x:v>EXT-MONDE-T066-V20</x:v>
      </x:c>
      <x:c r="B3275" t="str">
        <x:v>EXT-MONDE-T066</x:v>
      </x:c>
      <x:c r="C3275" t="str">
        <x:v>Stades</x:v>
      </x:c>
      <x:c r="D3275" t="str">
        <x:v>Grand stade couvert</x:v>
      </x:c>
      <x:c r="E3275" t="n">
        <x:v>20</x:v>
      </x:c>
      <x:c r="F3275" t="str">
        <x:v>Inspection physique</x:v>
      </x:c>
      <x:c r="G3275" t="str">
        <x:v>1 niveaux ; 40 pièces ; 310 segments de mur ; 0 transitions. Inspection physique ; architecture complète encore ouverte.</x:v>
      </x:c>
      <x:c r="H3275" t="str">
        <x:v>L 232 ; l 271 ; hauteur 40 m ; emprise auteur, non relevé complet d’un lieu réel</x:v>
      </x:c>
      <x:c r="I3275" t="str">
        <x:v>À équilibrer</x:v>
      </x:c>
      <x:c r="J3275" t="str">
        <x:v>Non</x:v>
      </x:c>
      <x:c r="K3275" t="str">
        <x:v>Pièces décrites, murs, portes, niveaux et mobilier inspectables à l’échelle. Volumes réservés, raccord au seed, butin, rencontres et services de campagne restent à terminer.</x:v>
      </x:c>
    </x:row>
    <x:row r="3276">
      <x:c r="A3276" t="str">
        <x:v>EXT-MONDE-T066-V21</x:v>
      </x:c>
      <x:c r="B3276" t="str">
        <x:v>EXT-MONDE-T066</x:v>
      </x:c>
      <x:c r="C3276" t="str">
        <x:v>Stades</x:v>
      </x:c>
      <x:c r="D3276" t="str">
        <x:v>Grand stade couvert</x:v>
      </x:c>
      <x:c r="E3276" t="n">
        <x:v>21</x:v>
      </x:c>
      <x:c r="F3276" t="str">
        <x:v>Inspection physique</x:v>
      </x:c>
      <x:c r="G3276" t="str">
        <x:v>1 niveaux ; 40 pièces ; 310 segments de mur ; 0 transitions. Inspection physique ; architecture complète encore ouverte.</x:v>
      </x:c>
      <x:c r="H3276" t="str">
        <x:v>L 212 ; l 251 ; hauteur 44 m ; emprise auteur, non relevé complet d’un lieu réel</x:v>
      </x:c>
      <x:c r="I3276" t="str">
        <x:v>À équilibrer</x:v>
      </x:c>
      <x:c r="J3276" t="str">
        <x:v>Non</x:v>
      </x:c>
      <x:c r="K3276" t="str">
        <x:v>Pièces décrites, murs, portes, niveaux et mobilier inspectables à l’échelle. Volumes réservés, raccord au seed, butin, rencontres et services de campagne restent à terminer.</x:v>
      </x:c>
    </x:row>
    <x:row r="3277">
      <x:c r="A3277" t="str">
        <x:v>EXT-MONDE-T066-V22</x:v>
      </x:c>
      <x:c r="B3277" t="str">
        <x:v>EXT-MONDE-T066</x:v>
      </x:c>
      <x:c r="C3277" t="str">
        <x:v>Stades</x:v>
      </x:c>
      <x:c r="D3277" t="str">
        <x:v>Grand stade couvert</x:v>
      </x:c>
      <x:c r="E3277" t="n">
        <x:v>22</x:v>
      </x:c>
      <x:c r="F3277" t="str">
        <x:v>Inspection physique</x:v>
      </x:c>
      <x:c r="G3277" t="str">
        <x:v>1 niveaux ; 40 pièces ; 310 segments de mur ; 0 transitions. Inspection physique ; architecture complète encore ouverte.</x:v>
      </x:c>
      <x:c r="H3277" t="str">
        <x:v>L 216 ; l 255 ; hauteur 44 m ; emprise auteur, non relevé complet d’un lieu réel</x:v>
      </x:c>
      <x:c r="I3277" t="str">
        <x:v>À équilibrer</x:v>
      </x:c>
      <x:c r="J3277" t="str">
        <x:v>Non</x:v>
      </x:c>
      <x:c r="K3277" t="str">
        <x:v>Pièces décrites, murs, portes, niveaux et mobilier inspectables à l’échelle. Volumes réservés, raccord au seed, butin, rencontres et services de campagne restent à terminer.</x:v>
      </x:c>
    </x:row>
    <x:row r="3278">
      <x:c r="A3278" t="str">
        <x:v>EXT-MONDE-T066-V23</x:v>
      </x:c>
      <x:c r="B3278" t="str">
        <x:v>EXT-MONDE-T066</x:v>
      </x:c>
      <x:c r="C3278" t="str">
        <x:v>Stades</x:v>
      </x:c>
      <x:c r="D3278" t="str">
        <x:v>Grand stade couvert</x:v>
      </x:c>
      <x:c r="E3278" t="n">
        <x:v>23</x:v>
      </x:c>
      <x:c r="F3278" t="str">
        <x:v>Inspection physique</x:v>
      </x:c>
      <x:c r="G3278" t="str">
        <x:v>1 niveaux ; 40 pièces ; 310 segments de mur ; 0 transitions. Inspection physique ; architecture complète encore ouverte.</x:v>
      </x:c>
      <x:c r="H3278" t="str">
        <x:v>L 220 ; l 259 ; hauteur 44 m ; emprise auteur, non relevé complet d’un lieu réel</x:v>
      </x:c>
      <x:c r="I3278" t="str">
        <x:v>À équilibrer</x:v>
      </x:c>
      <x:c r="J3278" t="str">
        <x:v>Non</x:v>
      </x:c>
      <x:c r="K3278" t="str">
        <x:v>Pièces décrites, murs, portes, niveaux et mobilier inspectables à l’échelle. Volumes réservés, raccord au seed, butin, rencontres et services de campagne restent à terminer.</x:v>
      </x:c>
    </x:row>
    <x:row r="3279">
      <x:c r="A3279" t="str">
        <x:v>EXT-MONDE-T066-V24</x:v>
      </x:c>
      <x:c r="B3279" t="str">
        <x:v>EXT-MONDE-T066</x:v>
      </x:c>
      <x:c r="C3279" t="str">
        <x:v>Stades</x:v>
      </x:c>
      <x:c r="D3279" t="str">
        <x:v>Grand stade couvert</x:v>
      </x:c>
      <x:c r="E3279" t="n">
        <x:v>24</x:v>
      </x:c>
      <x:c r="F3279" t="str">
        <x:v>Inspection physique</x:v>
      </x:c>
      <x:c r="G3279" t="str">
        <x:v>1 niveaux ; 40 pièces ; 310 segments de mur ; 0 transitions. Inspection physique ; architecture complète encore ouverte.</x:v>
      </x:c>
      <x:c r="H3279" t="str">
        <x:v>L 224 ; l 263 ; hauteur 44 m ; emprise auteur, non relevé complet d’un lieu réel</x:v>
      </x:c>
      <x:c r="I3279" t="str">
        <x:v>À équilibrer</x:v>
      </x:c>
      <x:c r="J3279" t="str">
        <x:v>Non</x:v>
      </x:c>
      <x:c r="K3279" t="str">
        <x:v>Pièces décrites, murs, portes, niveaux et mobilier inspectables à l’échelle. Volumes réservés, raccord au seed, butin, rencontres et services de campagne restent à terminer.</x:v>
      </x:c>
    </x:row>
    <x:row r="3280">
      <x:c r="A3280" t="str">
        <x:v>EXT-MONDE-T066-V25</x:v>
      </x:c>
      <x:c r="B3280" t="str">
        <x:v>EXT-MONDE-T066</x:v>
      </x:c>
      <x:c r="C3280" t="str">
        <x:v>Stades</x:v>
      </x:c>
      <x:c r="D3280" t="str">
        <x:v>Grand stade couvert</x:v>
      </x:c>
      <x:c r="E3280" t="n">
        <x:v>25</x:v>
      </x:c>
      <x:c r="F3280" t="str">
        <x:v>Inspection physique</x:v>
      </x:c>
      <x:c r="G3280" t="str">
        <x:v>1 niveaux ; 40 pièces ; 310 segments de mur ; 0 transitions. Inspection physique ; architecture complète encore ouverte.</x:v>
      </x:c>
      <x:c r="H3280" t="str">
        <x:v>L 228 ; l 267 ; hauteur 44 m ; emprise auteur, non relevé complet d’un lieu réel</x:v>
      </x:c>
      <x:c r="I3280" t="str">
        <x:v>À équilibrer</x:v>
      </x:c>
      <x:c r="J3280" t="str">
        <x:v>Non</x:v>
      </x:c>
      <x:c r="K3280" t="str">
        <x:v>Pièces décrites, murs, portes, niveaux et mobilier inspectables à l’échelle. Volumes réservés, raccord au seed, butin, rencontres et services de campagne restent à terminer.</x:v>
      </x:c>
    </x:row>
    <x:row r="3281">
      <x:c r="A3281" t="str">
        <x:v>EXT-MONDE-T066-V26</x:v>
      </x:c>
      <x:c r="B3281" t="str">
        <x:v>EXT-MONDE-T066</x:v>
      </x:c>
      <x:c r="C3281" t="str">
        <x:v>Stades</x:v>
      </x:c>
      <x:c r="D3281" t="str">
        <x:v>Grand stade couvert</x:v>
      </x:c>
      <x:c r="E3281" t="n">
        <x:v>26</x:v>
      </x:c>
      <x:c r="F3281" t="str">
        <x:v>Inspection physique</x:v>
      </x:c>
      <x:c r="G3281" t="str">
        <x:v>1 niveaux ; 40 pièces ; 310 segments de mur ; 0 transitions. Inspection physique ; architecture complète encore ouverte.</x:v>
      </x:c>
      <x:c r="H3281" t="str">
        <x:v>L 232 ; l 271 ; hauteur 44 m ; emprise auteur, non relevé complet d’un lieu réel</x:v>
      </x:c>
      <x:c r="I3281" t="str">
        <x:v>À équilibrer</x:v>
      </x:c>
      <x:c r="J3281" t="str">
        <x:v>Non</x:v>
      </x:c>
      <x:c r="K3281" t="str">
        <x:v>Pièces décrites, murs, portes, niveaux et mobilier inspectables à l’échelle. Volumes réservés, raccord au seed, butin, rencontres et services de campagne restent à terminer.</x:v>
      </x:c>
    </x:row>
    <x:row r="3282">
      <x:c r="A3282" t="str">
        <x:v>EXT-MONDE-T066-V27</x:v>
      </x:c>
      <x:c r="B3282" t="str">
        <x:v>EXT-MONDE-T066</x:v>
      </x:c>
      <x:c r="C3282" t="str">
        <x:v>Stades</x:v>
      </x:c>
      <x:c r="D3282" t="str">
        <x:v>Grand stade couvert</x:v>
      </x:c>
      <x:c r="E3282" t="n">
        <x:v>27</x:v>
      </x:c>
      <x:c r="F3282" t="str">
        <x:v>Inspection physique</x:v>
      </x:c>
      <x:c r="G3282" t="str">
        <x:v>1 niveaux ; 40 pièces ; 310 segments de mur ; 0 transitions. Inspection physique ; architecture complète encore ouverte.</x:v>
      </x:c>
      <x:c r="H3282" t="str">
        <x:v>L 236 ; l 275 ; hauteur 44 m ; emprise auteur, non relevé complet d’un lieu réel</x:v>
      </x:c>
      <x:c r="I3282" t="str">
        <x:v>À équilibrer</x:v>
      </x:c>
      <x:c r="J3282" t="str">
        <x:v>Non</x:v>
      </x:c>
      <x:c r="K3282" t="str">
        <x:v>Pièces décrites, murs, portes, niveaux et mobilier inspectables à l’échelle. Volumes réservés, raccord au seed, butin, rencontres et services de campagne restent à terminer.</x:v>
      </x:c>
    </x:row>
    <x:row r="3283">
      <x:c r="A3283" t="str">
        <x:v>EXT-MONDE-T066-V28</x:v>
      </x:c>
      <x:c r="B3283" t="str">
        <x:v>EXT-MONDE-T066</x:v>
      </x:c>
      <x:c r="C3283" t="str">
        <x:v>Stades</x:v>
      </x:c>
      <x:c r="D3283" t="str">
        <x:v>Grand stade couvert</x:v>
      </x:c>
      <x:c r="E3283" t="n">
        <x:v>28</x:v>
      </x:c>
      <x:c r="F3283" t="str">
        <x:v>Inspection physique</x:v>
      </x:c>
      <x:c r="G3283" t="str">
        <x:v>1 niveaux ; 40 pièces ; 310 segments de mur ; 0 transitions. Inspection physique ; architecture complète encore ouverte.</x:v>
      </x:c>
      <x:c r="H3283" t="str">
        <x:v>L 240 ; l 279 ; hauteur 44 m ; emprise auteur, non relevé complet d’un lieu réel</x:v>
      </x:c>
      <x:c r="I3283" t="str">
        <x:v>À équilibrer</x:v>
      </x:c>
      <x:c r="J3283" t="str">
        <x:v>Non</x:v>
      </x:c>
      <x:c r="K3283" t="str">
        <x:v>Pièces décrites, murs, portes, niveaux et mobilier inspectables à l’échelle. Volumes réservés, raccord au seed, butin, rencontres et services de campagne restent à terminer.</x:v>
      </x:c>
    </x:row>
    <x:row r="3284">
      <x:c r="A3284" t="str">
        <x:v>EXT-MONDE-T066-V29</x:v>
      </x:c>
      <x:c r="B3284" t="str">
        <x:v>EXT-MONDE-T066</x:v>
      </x:c>
      <x:c r="C3284" t="str">
        <x:v>Stades</x:v>
      </x:c>
      <x:c r="D3284" t="str">
        <x:v>Grand stade couvert</x:v>
      </x:c>
      <x:c r="E3284" t="n">
        <x:v>29</x:v>
      </x:c>
      <x:c r="F3284" t="str">
        <x:v>Inspection physique</x:v>
      </x:c>
      <x:c r="G3284" t="str">
        <x:v>1 niveaux ; 40 pièces ; 310 segments de mur ; 0 transitions. Inspection physique ; architecture complète encore ouverte.</x:v>
      </x:c>
      <x:c r="H3284" t="str">
        <x:v>L 244 ; l 283 ; hauteur 44 m ; emprise auteur, non relevé complet d’un lieu réel</x:v>
      </x:c>
      <x:c r="I3284" t="str">
        <x:v>À équilibrer</x:v>
      </x:c>
      <x:c r="J3284" t="str">
        <x:v>Non</x:v>
      </x:c>
      <x:c r="K3284" t="str">
        <x:v>Pièces décrites, murs, portes, niveaux et mobilier inspectables à l’échelle. Volumes réservés, raccord au seed, butin, rencontres et services de campagne restent à terminer.</x:v>
      </x:c>
    </x:row>
    <x:row r="3285">
      <x:c r="A3285" t="str">
        <x:v>EXT-MONDE-T066-V30</x:v>
      </x:c>
      <x:c r="B3285" t="str">
        <x:v>EXT-MONDE-T066</x:v>
      </x:c>
      <x:c r="C3285" t="str">
        <x:v>Stades</x:v>
      </x:c>
      <x:c r="D3285" t="str">
        <x:v>Grand stade couvert</x:v>
      </x:c>
      <x:c r="E3285" t="n">
        <x:v>30</x:v>
      </x:c>
      <x:c r="F3285" t="str">
        <x:v>Inspection physique</x:v>
      </x:c>
      <x:c r="G3285" t="str">
        <x:v>1 niveaux ; 40 pièces ; 310 segments de mur ; 0 transitions. Inspection physique ; architecture complète encore ouverte.</x:v>
      </x:c>
      <x:c r="H3285" t="str">
        <x:v>L 248 ; l 287 ; hauteur 44 m ; emprise auteur, non relevé complet d’un lieu réel</x:v>
      </x:c>
      <x:c r="I3285" t="str">
        <x:v>À équilibrer</x:v>
      </x:c>
      <x:c r="J3285" t="str">
        <x:v>Non</x:v>
      </x:c>
      <x:c r="K3285" t="str">
        <x:v>Pièces décrites, murs, portes, niveaux et mobilier inspectables à l’échelle. Volumes réservés, raccord au seed, butin, rencontres et services de campagne restent à terminer.</x:v>
      </x:c>
    </x:row>
    <x:row r="3286">
      <x:c r="A3286" t="str">
        <x:v>EXT-MONDE-T066-V31</x:v>
      </x:c>
      <x:c r="B3286" t="str">
        <x:v>EXT-MONDE-T066</x:v>
      </x:c>
      <x:c r="C3286" t="str">
        <x:v>Stades</x:v>
      </x:c>
      <x:c r="D3286" t="str">
        <x:v>Grand stade couvert</x:v>
      </x:c>
      <x:c r="E3286" t="n">
        <x:v>31</x:v>
      </x:c>
      <x:c r="F3286" t="str">
        <x:v>Inspection physique</x:v>
      </x:c>
      <x:c r="G3286" t="str">
        <x:v>1 niveaux ; 40 pièces ; 310 segments de mur ; 0 transitions. Inspection physique ; architecture complète encore ouverte.</x:v>
      </x:c>
      <x:c r="H3286" t="str">
        <x:v>L 228 ; l 267 ; hauteur 48 m ; emprise auteur, non relevé complet d’un lieu réel</x:v>
      </x:c>
      <x:c r="I3286" t="str">
        <x:v>À équilibrer</x:v>
      </x:c>
      <x:c r="J3286" t="str">
        <x:v>Non</x:v>
      </x:c>
      <x:c r="K3286" t="str">
        <x:v>Pièces décrites, murs, portes, niveaux et mobilier inspectables à l’échelle. Volumes réservés, raccord au seed, butin, rencontres et services de campagne restent à terminer.</x:v>
      </x:c>
    </x:row>
    <x:row r="3287">
      <x:c r="A3287" t="str">
        <x:v>EXT-MONDE-T066-V32</x:v>
      </x:c>
      <x:c r="B3287" t="str">
        <x:v>EXT-MONDE-T066</x:v>
      </x:c>
      <x:c r="C3287" t="str">
        <x:v>Stades</x:v>
      </x:c>
      <x:c r="D3287" t="str">
        <x:v>Grand stade couvert</x:v>
      </x:c>
      <x:c r="E3287" t="n">
        <x:v>32</x:v>
      </x:c>
      <x:c r="F3287" t="str">
        <x:v>Inspection physique</x:v>
      </x:c>
      <x:c r="G3287" t="str">
        <x:v>1 niveaux ; 40 pièces ; 310 segments de mur ; 0 transitions. Inspection physique ; architecture complète encore ouverte.</x:v>
      </x:c>
      <x:c r="H3287" t="str">
        <x:v>L 232 ; l 271 ; hauteur 48 m ; emprise auteur, non relevé complet d’un lieu réel</x:v>
      </x:c>
      <x:c r="I3287" t="str">
        <x:v>À équilibrer</x:v>
      </x:c>
      <x:c r="J3287" t="str">
        <x:v>Non</x:v>
      </x:c>
      <x:c r="K3287" t="str">
        <x:v>Pièces décrites, murs, portes, niveaux et mobilier inspectables à l’échelle. Volumes réservés, raccord au seed, butin, rencontres et services de campagne restent à terminer.</x:v>
      </x:c>
    </x:row>
    <x:row r="3288">
      <x:c r="A3288" t="str">
        <x:v>EXT-MONDE-T066-V33</x:v>
      </x:c>
      <x:c r="B3288" t="str">
        <x:v>EXT-MONDE-T066</x:v>
      </x:c>
      <x:c r="C3288" t="str">
        <x:v>Stades</x:v>
      </x:c>
      <x:c r="D3288" t="str">
        <x:v>Grand stade couvert</x:v>
      </x:c>
      <x:c r="E3288" t="n">
        <x:v>33</x:v>
      </x:c>
      <x:c r="F3288" t="str">
        <x:v>Inspection physique</x:v>
      </x:c>
      <x:c r="G3288" t="str">
        <x:v>1 niveaux ; 40 pièces ; 310 segments de mur ; 0 transitions. Inspection physique ; architecture complète encore ouverte.</x:v>
      </x:c>
      <x:c r="H3288" t="str">
        <x:v>L 236 ; l 275 ; hauteur 48 m ; emprise auteur, non relevé complet d’un lieu réel</x:v>
      </x:c>
      <x:c r="I3288" t="str">
        <x:v>À équilibrer</x:v>
      </x:c>
      <x:c r="J3288" t="str">
        <x:v>Non</x:v>
      </x:c>
      <x:c r="K3288" t="str">
        <x:v>Pièces décrites, murs, portes, niveaux et mobilier inspectables à l’échelle. Volumes réservés, raccord au seed, butin, rencontres et services de campagne restent à terminer.</x:v>
      </x:c>
    </x:row>
    <x:row r="3289">
      <x:c r="A3289" t="str">
        <x:v>EXT-MONDE-T066-V34</x:v>
      </x:c>
      <x:c r="B3289" t="str">
        <x:v>EXT-MONDE-T066</x:v>
      </x:c>
      <x:c r="C3289" t="str">
        <x:v>Stades</x:v>
      </x:c>
      <x:c r="D3289" t="str">
        <x:v>Grand stade couvert</x:v>
      </x:c>
      <x:c r="E3289" t="n">
        <x:v>34</x:v>
      </x:c>
      <x:c r="F3289" t="str">
        <x:v>Inspection physique</x:v>
      </x:c>
      <x:c r="G3289" t="str">
        <x:v>1 niveaux ; 40 pièces ; 310 segments de mur ; 0 transitions. Inspection physique ; architecture complète encore ouverte.</x:v>
      </x:c>
      <x:c r="H3289" t="str">
        <x:v>L 240 ; l 279 ; hauteur 48 m ; emprise auteur, non relevé complet d’un lieu réel</x:v>
      </x:c>
      <x:c r="I3289" t="str">
        <x:v>À équilibrer</x:v>
      </x:c>
      <x:c r="J3289" t="str">
        <x:v>Non</x:v>
      </x:c>
      <x:c r="K3289" t="str">
        <x:v>Pièces décrites, murs, portes, niveaux et mobilier inspectables à l’échelle. Volumes réservés, raccord au seed, butin, rencontres et services de campagne restent à terminer.</x:v>
      </x:c>
    </x:row>
    <x:row r="3290">
      <x:c r="A3290" t="str">
        <x:v>EXT-MONDE-T066-V35</x:v>
      </x:c>
      <x:c r="B3290" t="str">
        <x:v>EXT-MONDE-T066</x:v>
      </x:c>
      <x:c r="C3290" t="str">
        <x:v>Stades</x:v>
      </x:c>
      <x:c r="D3290" t="str">
        <x:v>Grand stade couvert</x:v>
      </x:c>
      <x:c r="E3290" t="n">
        <x:v>35</x:v>
      </x:c>
      <x:c r="F3290" t="str">
        <x:v>Inspection physique</x:v>
      </x:c>
      <x:c r="G3290" t="str">
        <x:v>1 niveaux ; 40 pièces ; 310 segments de mur ; 0 transitions. Inspection physique ; architecture complète encore ouverte.</x:v>
      </x:c>
      <x:c r="H3290" t="str">
        <x:v>L 244 ; l 283 ; hauteur 48 m ; emprise auteur, non relevé complet d’un lieu réel</x:v>
      </x:c>
      <x:c r="I3290" t="str">
        <x:v>À équilibrer</x:v>
      </x:c>
      <x:c r="J3290" t="str">
        <x:v>Non</x:v>
      </x:c>
      <x:c r="K3290" t="str">
        <x:v>Pièces décrites, murs, portes, niveaux et mobilier inspectables à l’échelle. Volumes réservés, raccord au seed, butin, rencontres et services de campagne restent à terminer.</x:v>
      </x:c>
    </x:row>
    <x:row r="3291">
      <x:c r="A3291" t="str">
        <x:v>EXT-MONDE-T066-V36</x:v>
      </x:c>
      <x:c r="B3291" t="str">
        <x:v>EXT-MONDE-T066</x:v>
      </x:c>
      <x:c r="C3291" t="str">
        <x:v>Stades</x:v>
      </x:c>
      <x:c r="D3291" t="str">
        <x:v>Grand stade couvert</x:v>
      </x:c>
      <x:c r="E3291" t="n">
        <x:v>36</x:v>
      </x:c>
      <x:c r="F3291" t="str">
        <x:v>Inspection physique</x:v>
      </x:c>
      <x:c r="G3291" t="str">
        <x:v>1 niveaux ; 40 pièces ; 310 segments de mur ; 0 transitions. Inspection physique ; architecture complète encore ouverte.</x:v>
      </x:c>
      <x:c r="H3291" t="str">
        <x:v>L 248 ; l 287 ; hauteur 48 m ; emprise auteur, non relevé complet d’un lieu réel</x:v>
      </x:c>
      <x:c r="I3291" t="str">
        <x:v>À équilibrer</x:v>
      </x:c>
      <x:c r="J3291" t="str">
        <x:v>Non</x:v>
      </x:c>
      <x:c r="K3291" t="str">
        <x:v>Pièces décrites, murs, portes, niveaux et mobilier inspectables à l’échelle. Volumes réservés, raccord au seed, butin, rencontres et services de campagne restent à terminer.</x:v>
      </x:c>
    </x:row>
    <x:row r="3292">
      <x:c r="A3292" t="str">
        <x:v>EXT-MONDE-T066-V37</x:v>
      </x:c>
      <x:c r="B3292" t="str">
        <x:v>EXT-MONDE-T066</x:v>
      </x:c>
      <x:c r="C3292" t="str">
        <x:v>Stades</x:v>
      </x:c>
      <x:c r="D3292" t="str">
        <x:v>Grand stade couvert</x:v>
      </x:c>
      <x:c r="E3292" t="n">
        <x:v>37</x:v>
      </x:c>
      <x:c r="F3292" t="str">
        <x:v>Inspection physique</x:v>
      </x:c>
      <x:c r="G3292" t="str">
        <x:v>1 niveaux ; 40 pièces ; 310 segments de mur ; 0 transitions. Inspection physique ; architecture complète encore ouverte.</x:v>
      </x:c>
      <x:c r="H3292" t="str">
        <x:v>L 252 ; l 291 ; hauteur 48 m ; emprise auteur, non relevé complet d’un lieu réel</x:v>
      </x:c>
      <x:c r="I3292" t="str">
        <x:v>À équilibrer</x:v>
      </x:c>
      <x:c r="J3292" t="str">
        <x:v>Non</x:v>
      </x:c>
      <x:c r="K3292" t="str">
        <x:v>Pièces décrites, murs, portes, niveaux et mobilier inspectables à l’échelle. Volumes réservés, raccord au seed, butin, rencontres et services de campagne restent à terminer.</x:v>
      </x:c>
    </x:row>
    <x:row r="3293">
      <x:c r="A3293" t="str">
        <x:v>EXT-MONDE-T066-V38</x:v>
      </x:c>
      <x:c r="B3293" t="str">
        <x:v>EXT-MONDE-T066</x:v>
      </x:c>
      <x:c r="C3293" t="str">
        <x:v>Stades</x:v>
      </x:c>
      <x:c r="D3293" t="str">
        <x:v>Grand stade couvert</x:v>
      </x:c>
      <x:c r="E3293" t="n">
        <x:v>38</x:v>
      </x:c>
      <x:c r="F3293" t="str">
        <x:v>Inspection physique</x:v>
      </x:c>
      <x:c r="G3293" t="str">
        <x:v>1 niveaux ; 40 pièces ; 310 segments de mur ; 0 transitions. Inspection physique ; architecture complète encore ouverte.</x:v>
      </x:c>
      <x:c r="H3293" t="str">
        <x:v>L 256 ; l 295 ; hauteur 48 m ; emprise auteur, non relevé complet d’un lieu réel</x:v>
      </x:c>
      <x:c r="I3293" t="str">
        <x:v>À équilibrer</x:v>
      </x:c>
      <x:c r="J3293" t="str">
        <x:v>Non</x:v>
      </x:c>
      <x:c r="K3293" t="str">
        <x:v>Pièces décrites, murs, portes, niveaux et mobilier inspectables à l’échelle. Volumes réservés, raccord au seed, butin, rencontres et services de campagne restent à terminer.</x:v>
      </x:c>
    </x:row>
    <x:row r="3294">
      <x:c r="A3294" t="str">
        <x:v>EXT-MONDE-T066-V39</x:v>
      </x:c>
      <x:c r="B3294" t="str">
        <x:v>EXT-MONDE-T066</x:v>
      </x:c>
      <x:c r="C3294" t="str">
        <x:v>Stades</x:v>
      </x:c>
      <x:c r="D3294" t="str">
        <x:v>Grand stade couvert</x:v>
      </x:c>
      <x:c r="E3294" t="n">
        <x:v>39</x:v>
      </x:c>
      <x:c r="F3294" t="str">
        <x:v>Inspection physique</x:v>
      </x:c>
      <x:c r="G3294" t="str">
        <x:v>1 niveaux ; 40 pièces ; 310 segments de mur ; 0 transitions. Inspection physique ; architecture complète encore ouverte.</x:v>
      </x:c>
      <x:c r="H3294" t="str">
        <x:v>L 260 ; l 299 ; hauteur 48 m ; emprise auteur, non relevé complet d’un lieu réel</x:v>
      </x:c>
      <x:c r="I3294" t="str">
        <x:v>À équilibrer</x:v>
      </x:c>
      <x:c r="J3294" t="str">
        <x:v>Non</x:v>
      </x:c>
      <x:c r="K3294" t="str">
        <x:v>Pièces décrites, murs, portes, niveaux et mobilier inspectables à l’échelle. Volumes réservés, raccord au seed, butin, rencontres et services de campagne restent à terminer.</x:v>
      </x:c>
    </x:row>
    <x:row r="3295">
      <x:c r="A3295" t="str">
        <x:v>EXT-MONDE-T066-V40</x:v>
      </x:c>
      <x:c r="B3295" t="str">
        <x:v>EXT-MONDE-T066</x:v>
      </x:c>
      <x:c r="C3295" t="str">
        <x:v>Stades</x:v>
      </x:c>
      <x:c r="D3295" t="str">
        <x:v>Grand stade couvert</x:v>
      </x:c>
      <x:c r="E3295" t="n">
        <x:v>40</x:v>
      </x:c>
      <x:c r="F3295" t="str">
        <x:v>Inspection physique</x:v>
      </x:c>
      <x:c r="G3295" t="str">
        <x:v>1 niveaux ; 40 pièces ; 310 segments de mur ; 0 transitions. Inspection physique ; architecture complète encore ouverte.</x:v>
      </x:c>
      <x:c r="H3295" t="str">
        <x:v>L 264 ; l 303 ; hauteur 48 m ; emprise auteur, non relevé complet d’un lieu réel</x:v>
      </x:c>
      <x:c r="I3295" t="str">
        <x:v>À équilibrer</x:v>
      </x:c>
      <x:c r="J3295" t="str">
        <x:v>Non</x:v>
      </x:c>
      <x:c r="K3295" t="str">
        <x:v>Pièces décrites, murs, portes, niveaux et mobilier inspectables à l’échelle. Volumes réservés, raccord au seed, butin, rencontres et services de campagne restent à terminer.</x:v>
      </x:c>
    </x:row>
    <x:row r="3296">
      <x:c r="A3296" t="str">
        <x:v>EXT-MONDE-T066-V41</x:v>
      </x:c>
      <x:c r="B3296" t="str">
        <x:v>EXT-MONDE-T066</x:v>
      </x:c>
      <x:c r="C3296" t="str">
        <x:v>Stades</x:v>
      </x:c>
      <x:c r="D3296" t="str">
        <x:v>Grand stade couvert</x:v>
      </x:c>
      <x:c r="E3296" t="n">
        <x:v>41</x:v>
      </x:c>
      <x:c r="F3296" t="str">
        <x:v>Inspection physique</x:v>
      </x:c>
      <x:c r="G3296" t="str">
        <x:v>1 niveaux ; 40 pièces ; 310 segments de mur ; 0 transitions. Inspection physique ; architecture complète encore ouverte.</x:v>
      </x:c>
      <x:c r="H3296" t="str">
        <x:v>L 244 ; l 283 ; hauteur 52 m ; emprise auteur, non relevé complet d’un lieu réel</x:v>
      </x:c>
      <x:c r="I3296" t="str">
        <x:v>À équilibrer</x:v>
      </x:c>
      <x:c r="J3296" t="str">
        <x:v>Non</x:v>
      </x:c>
      <x:c r="K3296" t="str">
        <x:v>Pièces décrites, murs, portes, niveaux et mobilier inspectables à l’échelle. Volumes réservés, raccord au seed, butin, rencontres et services de campagne restent à terminer.</x:v>
      </x:c>
    </x:row>
    <x:row r="3297">
      <x:c r="A3297" t="str">
        <x:v>EXT-MONDE-T066-V42</x:v>
      </x:c>
      <x:c r="B3297" t="str">
        <x:v>EXT-MONDE-T066</x:v>
      </x:c>
      <x:c r="C3297" t="str">
        <x:v>Stades</x:v>
      </x:c>
      <x:c r="D3297" t="str">
        <x:v>Grand stade couvert</x:v>
      </x:c>
      <x:c r="E3297" t="n">
        <x:v>42</x:v>
      </x:c>
      <x:c r="F3297" t="str">
        <x:v>Inspection physique</x:v>
      </x:c>
      <x:c r="G3297" t="str">
        <x:v>1 niveaux ; 40 pièces ; 310 segments de mur ; 0 transitions. Inspection physique ; architecture complète encore ouverte.</x:v>
      </x:c>
      <x:c r="H3297" t="str">
        <x:v>L 248 ; l 287 ; hauteur 52 m ; emprise auteur, non relevé complet d’un lieu réel</x:v>
      </x:c>
      <x:c r="I3297" t="str">
        <x:v>À équilibrer</x:v>
      </x:c>
      <x:c r="J3297" t="str">
        <x:v>Non</x:v>
      </x:c>
      <x:c r="K3297" t="str">
        <x:v>Pièces décrites, murs, portes, niveaux et mobilier inspectables à l’échelle. Volumes réservés, raccord au seed, butin, rencontres et services de campagne restent à terminer.</x:v>
      </x:c>
    </x:row>
    <x:row r="3298">
      <x:c r="A3298" t="str">
        <x:v>EXT-MONDE-T066-V43</x:v>
      </x:c>
      <x:c r="B3298" t="str">
        <x:v>EXT-MONDE-T066</x:v>
      </x:c>
      <x:c r="C3298" t="str">
        <x:v>Stades</x:v>
      </x:c>
      <x:c r="D3298" t="str">
        <x:v>Grand stade couvert</x:v>
      </x:c>
      <x:c r="E3298" t="n">
        <x:v>43</x:v>
      </x:c>
      <x:c r="F3298" t="str">
        <x:v>Inspection physique</x:v>
      </x:c>
      <x:c r="G3298" t="str">
        <x:v>1 niveaux ; 40 pièces ; 310 segments de mur ; 0 transitions. Inspection physique ; architecture complète encore ouverte.</x:v>
      </x:c>
      <x:c r="H3298" t="str">
        <x:v>L 252 ; l 291 ; hauteur 52 m ; emprise auteur, non relevé complet d’un lieu réel</x:v>
      </x:c>
      <x:c r="I3298" t="str">
        <x:v>À équilibrer</x:v>
      </x:c>
      <x:c r="J3298" t="str">
        <x:v>Non</x:v>
      </x:c>
      <x:c r="K3298" t="str">
        <x:v>Pièces décrites, murs, portes, niveaux et mobilier inspectables à l’échelle. Volumes réservés, raccord au seed, butin, rencontres et services de campagne restent à terminer.</x:v>
      </x:c>
    </x:row>
    <x:row r="3299">
      <x:c r="A3299" t="str">
        <x:v>EXT-MONDE-T066-V44</x:v>
      </x:c>
      <x:c r="B3299" t="str">
        <x:v>EXT-MONDE-T066</x:v>
      </x:c>
      <x:c r="C3299" t="str">
        <x:v>Stades</x:v>
      </x:c>
      <x:c r="D3299" t="str">
        <x:v>Grand stade couvert</x:v>
      </x:c>
      <x:c r="E3299" t="n">
        <x:v>44</x:v>
      </x:c>
      <x:c r="F3299" t="str">
        <x:v>Inspection physique</x:v>
      </x:c>
      <x:c r="G3299" t="str">
        <x:v>1 niveaux ; 40 pièces ; 310 segments de mur ; 0 transitions. Inspection physique ; architecture complète encore ouverte.</x:v>
      </x:c>
      <x:c r="H3299" t="str">
        <x:v>L 256 ; l 295 ; hauteur 52 m ; emprise auteur, non relevé complet d’un lieu réel</x:v>
      </x:c>
      <x:c r="I3299" t="str">
        <x:v>À équilibrer</x:v>
      </x:c>
      <x:c r="J3299" t="str">
        <x:v>Non</x:v>
      </x:c>
      <x:c r="K3299" t="str">
        <x:v>Pièces décrites, murs, portes, niveaux et mobilier inspectables à l’échelle. Volumes réservés, raccord au seed, butin, rencontres et services de campagne restent à terminer.</x:v>
      </x:c>
    </x:row>
    <x:row r="3300">
      <x:c r="A3300" t="str">
        <x:v>EXT-MONDE-T066-V45</x:v>
      </x:c>
      <x:c r="B3300" t="str">
        <x:v>EXT-MONDE-T066</x:v>
      </x:c>
      <x:c r="C3300" t="str">
        <x:v>Stades</x:v>
      </x:c>
      <x:c r="D3300" t="str">
        <x:v>Grand stade couvert</x:v>
      </x:c>
      <x:c r="E3300" t="n">
        <x:v>45</x:v>
      </x:c>
      <x:c r="F3300" t="str">
        <x:v>Inspection physique</x:v>
      </x:c>
      <x:c r="G3300" t="str">
        <x:v>1 niveaux ; 40 pièces ; 310 segments de mur ; 0 transitions. Inspection physique ; architecture complète encore ouverte.</x:v>
      </x:c>
      <x:c r="H3300" t="str">
        <x:v>L 260 ; l 299 ; hauteur 52 m ; emprise auteur, non relevé complet d’un lieu réel</x:v>
      </x:c>
      <x:c r="I3300" t="str">
        <x:v>À équilibrer</x:v>
      </x:c>
      <x:c r="J3300" t="str">
        <x:v>Non</x:v>
      </x:c>
      <x:c r="K3300" t="str">
        <x:v>Pièces décrites, murs, portes, niveaux et mobilier inspectables à l’échelle. Volumes réservés, raccord au seed, butin, rencontres et services de campagne restent à terminer.</x:v>
      </x:c>
    </x:row>
    <x:row r="3301">
      <x:c r="A3301" t="str">
        <x:v>EXT-MONDE-T066-V46</x:v>
      </x:c>
      <x:c r="B3301" t="str">
        <x:v>EXT-MONDE-T066</x:v>
      </x:c>
      <x:c r="C3301" t="str">
        <x:v>Stades</x:v>
      </x:c>
      <x:c r="D3301" t="str">
        <x:v>Grand stade couvert</x:v>
      </x:c>
      <x:c r="E3301" t="n">
        <x:v>46</x:v>
      </x:c>
      <x:c r="F3301" t="str">
        <x:v>Inspection physique</x:v>
      </x:c>
      <x:c r="G3301" t="str">
        <x:v>1 niveaux ; 40 pièces ; 310 segments de mur ; 0 transitions. Inspection physique ; architecture complète encore ouverte.</x:v>
      </x:c>
      <x:c r="H3301" t="str">
        <x:v>L 264 ; l 303 ; hauteur 52 m ; emprise auteur, non relevé complet d’un lieu réel</x:v>
      </x:c>
      <x:c r="I3301" t="str">
        <x:v>À équilibrer</x:v>
      </x:c>
      <x:c r="J3301" t="str">
        <x:v>Non</x:v>
      </x:c>
      <x:c r="K3301" t="str">
        <x:v>Pièces décrites, murs, portes, niveaux et mobilier inspectables à l’échelle. Volumes réservés, raccord au seed, butin, rencontres et services de campagne restent à terminer.</x:v>
      </x:c>
    </x:row>
    <x:row r="3302">
      <x:c r="A3302" t="str">
        <x:v>EXT-MONDE-T066-V47</x:v>
      </x:c>
      <x:c r="B3302" t="str">
        <x:v>EXT-MONDE-T066</x:v>
      </x:c>
      <x:c r="C3302" t="str">
        <x:v>Stades</x:v>
      </x:c>
      <x:c r="D3302" t="str">
        <x:v>Grand stade couvert</x:v>
      </x:c>
      <x:c r="E3302" t="n">
        <x:v>47</x:v>
      </x:c>
      <x:c r="F3302" t="str">
        <x:v>Inspection physique</x:v>
      </x:c>
      <x:c r="G3302" t="str">
        <x:v>1 niveaux ; 40 pièces ; 310 segments de mur ; 0 transitions. Inspection physique ; architecture complète encore ouverte.</x:v>
      </x:c>
      <x:c r="H3302" t="str">
        <x:v>L 268 ; l 307 ; hauteur 52 m ; emprise auteur, non relevé complet d’un lieu réel</x:v>
      </x:c>
      <x:c r="I3302" t="str">
        <x:v>À équilibrer</x:v>
      </x:c>
      <x:c r="J3302" t="str">
        <x:v>Non</x:v>
      </x:c>
      <x:c r="K3302" t="str">
        <x:v>Pièces décrites, murs, portes, niveaux et mobilier inspectables à l’échelle. Volumes réservés, raccord au seed, butin, rencontres et services de campagne restent à terminer.</x:v>
      </x:c>
    </x:row>
    <x:row r="3303">
      <x:c r="A3303" t="str">
        <x:v>EXT-MONDE-T066-V48</x:v>
      </x:c>
      <x:c r="B3303" t="str">
        <x:v>EXT-MONDE-T066</x:v>
      </x:c>
      <x:c r="C3303" t="str">
        <x:v>Stades</x:v>
      </x:c>
      <x:c r="D3303" t="str">
        <x:v>Grand stade couvert</x:v>
      </x:c>
      <x:c r="E3303" t="n">
        <x:v>48</x:v>
      </x:c>
      <x:c r="F3303" t="str">
        <x:v>Inspection physique</x:v>
      </x:c>
      <x:c r="G3303" t="str">
        <x:v>1 niveaux ; 40 pièces ; 310 segments de mur ; 0 transitions. Inspection physique ; architecture complète encore ouverte.</x:v>
      </x:c>
      <x:c r="H3303" t="str">
        <x:v>L 272 ; l 311 ; hauteur 52 m ; emprise auteur, non relevé complet d’un lieu réel</x:v>
      </x:c>
      <x:c r="I3303" t="str">
        <x:v>À équilibrer</x:v>
      </x:c>
      <x:c r="J3303" t="str">
        <x:v>Non</x:v>
      </x:c>
      <x:c r="K3303" t="str">
        <x:v>Pièces décrites, murs, portes, niveaux et mobilier inspectables à l’échelle. Volumes réservés, raccord au seed, butin, rencontres et services de campagne restent à terminer.</x:v>
      </x:c>
    </x:row>
    <x:row r="3304">
      <x:c r="A3304" t="str">
        <x:v>EXT-MONDE-T066-V49</x:v>
      </x:c>
      <x:c r="B3304" t="str">
        <x:v>EXT-MONDE-T066</x:v>
      </x:c>
      <x:c r="C3304" t="str">
        <x:v>Stades</x:v>
      </x:c>
      <x:c r="D3304" t="str">
        <x:v>Grand stade couvert</x:v>
      </x:c>
      <x:c r="E3304" t="n">
        <x:v>49</x:v>
      </x:c>
      <x:c r="F3304" t="str">
        <x:v>Inspection physique</x:v>
      </x:c>
      <x:c r="G3304" t="str">
        <x:v>1 niveaux ; 40 pièces ; 310 segments de mur ; 0 transitions. Inspection physique ; architecture complète encore ouverte.</x:v>
      </x:c>
      <x:c r="H3304" t="str">
        <x:v>L 276 ; l 315 ; hauteur 52 m ; emprise auteur, non relevé complet d’un lieu réel</x:v>
      </x:c>
      <x:c r="I3304" t="str">
        <x:v>À équilibrer</x:v>
      </x:c>
      <x:c r="J3304" t="str">
        <x:v>Non</x:v>
      </x:c>
      <x:c r="K3304" t="str">
        <x:v>Pièces décrites, murs, portes, niveaux et mobilier inspectables à l’échelle. Volumes réservés, raccord au seed, butin, rencontres et services de campagne restent à terminer.</x:v>
      </x:c>
    </x:row>
    <x:row r="3305">
      <x:c r="A3305" t="str">
        <x:v>EXT-MONDE-T066-V50</x:v>
      </x:c>
      <x:c r="B3305" t="str">
        <x:v>EXT-MONDE-T066</x:v>
      </x:c>
      <x:c r="C3305" t="str">
        <x:v>Stades</x:v>
      </x:c>
      <x:c r="D3305" t="str">
        <x:v>Grand stade couvert</x:v>
      </x:c>
      <x:c r="E3305" t="n">
        <x:v>50</x:v>
      </x:c>
      <x:c r="F3305" t="str">
        <x:v>Inspection physique</x:v>
      </x:c>
      <x:c r="G3305" t="str">
        <x:v>1 niveaux ; 40 pièces ; 310 segments de mur ; 0 transitions. Inspection physique ; architecture complète encore ouverte.</x:v>
      </x:c>
      <x:c r="H3305" t="str">
        <x:v>L 280 ; l 319 ; hauteur 52 m ; emprise auteur, non relevé complet d’un lieu réel</x:v>
      </x:c>
      <x:c r="I3305" t="str">
        <x:v>À équilibrer</x:v>
      </x:c>
      <x:c r="J3305" t="str">
        <x:v>Non</x:v>
      </x:c>
      <x:c r="K3305" t="str">
        <x:v>Pièces décrites, murs, portes, niveaux et mobilier inspectables à l’échelle. Volumes réservés, raccord au seed, butin, rencontres et services de campagne restent à terminer.</x:v>
      </x:c>
    </x:row>
    <x:row r="3306" ht="96" customHeight="1">
      <x:c r="A3306" s="115" t="str">
        <x:v>EXT-MONDE-T067-V01</x:v>
      </x:c>
      <x:c r="B3306" s="115" t="str">
        <x:v>EXT-MONDE-T067</x:v>
      </x:c>
      <x:c r="C3306" s="115" t="str">
        <x:v>Stades</x:v>
      </x:c>
      <x:c r="D3306" s="115" t="str">
        <x:v>Vélodrome</x:v>
      </x:c>
      <x:c r="E3306" s="115" t="n">
        <x:v>1</x:v>
      </x:c>
      <x:c r="F3306" s="115" t="str">
        <x:v>Inspection physique</x:v>
      </x:c>
      <x:c r="G3306" s="115" t="str">
        <x:v>1 niveaux ; 32 pièces ; 248 segments de mur ; 0 transitions. Inspection physique ; architecture complète encore ouverte.</x:v>
      </x:c>
      <x:c r="H3306" s="115" t="str">
        <x:v>L 434 ; l 590 ; hauteur 16 m ; choix de composition auteur ; dimensions réelles à documenter</x:v>
      </x:c>
      <x:c r="I3306" s="115" t="str">
        <x:v>À équilibrer</x:v>
      </x:c>
      <x:c r="J3306" s="115" t="str">
        <x:v>Non</x:v>
      </x:c>
      <x:c r="K3306" s="115" t="str">
        <x:v>Pièces décrites, murs, portes, niveaux et mobilier inspectables à l’échelle. Volumes réservés, raccord au seed, butin, rencontres et services de campagne restent à terminer.</x:v>
      </x:c>
    </x:row>
    <x:row r="3307" ht="96" customHeight="1">
      <x:c r="A3307" s="115" t="str">
        <x:v>EXT-MONDE-T067-V02</x:v>
      </x:c>
      <x:c r="B3307" s="115" t="str">
        <x:v>EXT-MONDE-T067</x:v>
      </x:c>
      <x:c r="C3307" s="115" t="str">
        <x:v>Stades</x:v>
      </x:c>
      <x:c r="D3307" s="115" t="str">
        <x:v>Vélodrome</x:v>
      </x:c>
      <x:c r="E3307" s="115" t="n">
        <x:v>2</x:v>
      </x:c>
      <x:c r="F3307" s="115" t="str">
        <x:v>Inspection physique</x:v>
      </x:c>
      <x:c r="G3307" s="115" t="str">
        <x:v>1 niveaux ; 32 pièces ; 248 segments de mur ; 0 transitions. Inspection physique ; architecture complète encore ouverte.</x:v>
      </x:c>
      <x:c r="H3307" s="115" t="str">
        <x:v>L 434 ; l 590 ; hauteur 16 m ; choix de composition auteur ; dimensions réelles à documenter</x:v>
      </x:c>
      <x:c r="I3307" s="115" t="str">
        <x:v>À équilibrer</x:v>
      </x:c>
      <x:c r="J3307" s="115" t="str">
        <x:v>Non</x:v>
      </x:c>
      <x:c r="K3307" s="115" t="str">
        <x:v>Pièces décrites, murs, portes, niveaux et mobilier inspectables à l’échelle. Volumes réservés, raccord au seed, butin, rencontres et services de campagne restent à terminer.</x:v>
      </x:c>
    </x:row>
    <x:row r="3308" ht="96" customHeight="1">
      <x:c r="A3308" s="115" t="str">
        <x:v>EXT-MONDE-T067-V03</x:v>
      </x:c>
      <x:c r="B3308" s="115" t="str">
        <x:v>EXT-MONDE-T067</x:v>
      </x:c>
      <x:c r="C3308" s="115" t="str">
        <x:v>Stades</x:v>
      </x:c>
      <x:c r="D3308" s="115" t="str">
        <x:v>Vélodrome</x:v>
      </x:c>
      <x:c r="E3308" s="115" t="n">
        <x:v>3</x:v>
      </x:c>
      <x:c r="F3308" s="115" t="str">
        <x:v>Inspection physique</x:v>
      </x:c>
      <x:c r="G3308" s="115" t="str">
        <x:v>1 niveaux ; 32 pièces ; 248 segments de mur ; 0 transitions. Inspection physique ; architecture complète encore ouverte.</x:v>
      </x:c>
      <x:c r="H3308" s="115" t="str">
        <x:v>L 434 ; l 590 ; hauteur 16 m ; choix de composition auteur ; dimensions réelles à documenter</x:v>
      </x:c>
      <x:c r="I3308" s="115" t="str">
        <x:v>À équilibrer</x:v>
      </x:c>
      <x:c r="J3308" s="115" t="str">
        <x:v>Non</x:v>
      </x:c>
      <x:c r="K3308" s="115" t="str">
        <x:v>Pièces décrites, murs, portes, niveaux et mobilier inspectables à l’échelle. Volumes réservés, raccord au seed, butin, rencontres et services de campagne restent à terminer.</x:v>
      </x:c>
    </x:row>
    <x:row r="3309" ht="96" customHeight="1">
      <x:c r="A3309" s="115" t="str">
        <x:v>EXT-MONDE-T067-V04</x:v>
      </x:c>
      <x:c r="B3309" s="115" t="str">
        <x:v>EXT-MONDE-T067</x:v>
      </x:c>
      <x:c r="C3309" s="115" t="str">
        <x:v>Stades</x:v>
      </x:c>
      <x:c r="D3309" s="115" t="str">
        <x:v>Vélodrome</x:v>
      </x:c>
      <x:c r="E3309" s="115" t="n">
        <x:v>4</x:v>
      </x:c>
      <x:c r="F3309" s="115" t="str">
        <x:v>Inspection physique</x:v>
      </x:c>
      <x:c r="G3309" s="115" t="str">
        <x:v>1 niveaux ; 32 pièces ; 248 segments de mur ; 0 transitions. Inspection physique ; architecture complète encore ouverte.</x:v>
      </x:c>
      <x:c r="H3309" s="115" t="str">
        <x:v>L 434 ; l 590 ; hauteur 16 m ; choix de composition auteur ; dimensions réelles à documenter</x:v>
      </x:c>
      <x:c r="I3309" s="115" t="str">
        <x:v>À équilibrer</x:v>
      </x:c>
      <x:c r="J3309" s="115" t="str">
        <x:v>Non</x:v>
      </x:c>
      <x:c r="K3309" s="115" t="str">
        <x:v>Pièces décrites, murs, portes, niveaux et mobilier inspectables à l’échelle. Volumes réservés, raccord au seed, butin, rencontres et services de campagne restent à terminer.</x:v>
      </x:c>
    </x:row>
    <x:row r="3310" ht="96" customHeight="1">
      <x:c r="A3310" s="115" t="str">
        <x:v>EXT-MONDE-T067-V05</x:v>
      </x:c>
      <x:c r="B3310" s="115" t="str">
        <x:v>EXT-MONDE-T067</x:v>
      </x:c>
      <x:c r="C3310" s="115" t="str">
        <x:v>Stades</x:v>
      </x:c>
      <x:c r="D3310" s="115" t="str">
        <x:v>Vélodrome</x:v>
      </x:c>
      <x:c r="E3310" s="115" t="n">
        <x:v>5</x:v>
      </x:c>
      <x:c r="F3310" s="115" t="str">
        <x:v>Inspection physique</x:v>
      </x:c>
      <x:c r="G3310" s="115" t="str">
        <x:v>1 niveaux ; 32 pièces ; 248 segments de mur ; 0 transitions. Inspection physique ; architecture complète encore ouverte.</x:v>
      </x:c>
      <x:c r="H3310" s="115" t="str">
        <x:v>L 434 ; l 590 ; hauteur 16 m ; choix de composition auteur ; dimensions réelles à documenter</x:v>
      </x:c>
      <x:c r="I3310" s="115" t="str">
        <x:v>À équilibrer</x:v>
      </x:c>
      <x:c r="J3310" s="115" t="str">
        <x:v>Non</x:v>
      </x:c>
      <x:c r="K3310" s="115" t="str">
        <x:v>Pièces décrites, murs, portes, niveaux et mobilier inspectables à l’échelle. Volumes réservés, raccord au seed, butin, rencontres et services de campagne restent à terminer.</x:v>
      </x:c>
    </x:row>
    <x:row r="3311" ht="96" customHeight="1">
      <x:c r="A3311" s="115" t="str">
        <x:v>EXT-MONDE-T067-V06</x:v>
      </x:c>
      <x:c r="B3311" s="115" t="str">
        <x:v>EXT-MONDE-T067</x:v>
      </x:c>
      <x:c r="C3311" s="115" t="str">
        <x:v>Stades</x:v>
      </x:c>
      <x:c r="D3311" s="115" t="str">
        <x:v>Vélodrome</x:v>
      </x:c>
      <x:c r="E3311" s="115" t="n">
        <x:v>6</x:v>
      </x:c>
      <x:c r="F3311" s="115" t="str">
        <x:v>Inspection physique</x:v>
      </x:c>
      <x:c r="G3311" s="115" t="str">
        <x:v>1 niveaux ; 32 pièces ; 248 segments de mur ; 0 transitions. Inspection physique ; architecture complète encore ouverte.</x:v>
      </x:c>
      <x:c r="H3311" s="115" t="str">
        <x:v>L 434 ; l 590 ; hauteur 16 m ; choix de composition auteur ; dimensions réelles à documenter</x:v>
      </x:c>
      <x:c r="I3311" s="115" t="str">
        <x:v>À équilibrer</x:v>
      </x:c>
      <x:c r="J3311" s="115" t="str">
        <x:v>Non</x:v>
      </x:c>
      <x:c r="K3311" s="115" t="str">
        <x:v>Pièces décrites, murs, portes, niveaux et mobilier inspectables à l’échelle. Volumes réservés, raccord au seed, butin, rencontres et services de campagne restent à terminer.</x:v>
      </x:c>
    </x:row>
    <x:row r="3312" ht="96" customHeight="1">
      <x:c r="A3312" s="115" t="str">
        <x:v>EXT-MONDE-T067-V07</x:v>
      </x:c>
      <x:c r="B3312" s="115" t="str">
        <x:v>EXT-MONDE-T067</x:v>
      </x:c>
      <x:c r="C3312" s="115" t="str">
        <x:v>Stades</x:v>
      </x:c>
      <x:c r="D3312" s="115" t="str">
        <x:v>Vélodrome</x:v>
      </x:c>
      <x:c r="E3312" s="115" t="n">
        <x:v>7</x:v>
      </x:c>
      <x:c r="F3312" s="115" t="str">
        <x:v>Inspection physique</x:v>
      </x:c>
      <x:c r="G3312" s="115" t="str">
        <x:v>1 niveaux ; 32 pièces ; 248 segments de mur ; 0 transitions. Inspection physique ; architecture complète encore ouverte.</x:v>
      </x:c>
      <x:c r="H3312" s="115" t="str">
        <x:v>L 434 ; l 590 ; hauteur 16 m ; choix de composition auteur ; dimensions réelles à documenter</x:v>
      </x:c>
      <x:c r="I3312" s="115" t="str">
        <x:v>À équilibrer</x:v>
      </x:c>
      <x:c r="J3312" s="115" t="str">
        <x:v>Non</x:v>
      </x:c>
      <x:c r="K3312" s="115" t="str">
        <x:v>Pièces décrites, murs, portes, niveaux et mobilier inspectables à l’échelle. Volumes réservés, raccord au seed, butin, rencontres et services de campagne restent à terminer.</x:v>
      </x:c>
    </x:row>
    <x:row r="3313" ht="96" customHeight="1">
      <x:c r="A3313" s="115" t="str">
        <x:v>EXT-MONDE-T067-V08</x:v>
      </x:c>
      <x:c r="B3313" s="115" t="str">
        <x:v>EXT-MONDE-T067</x:v>
      </x:c>
      <x:c r="C3313" s="115" t="str">
        <x:v>Stades</x:v>
      </x:c>
      <x:c r="D3313" s="115" t="str">
        <x:v>Vélodrome</x:v>
      </x:c>
      <x:c r="E3313" s="115" t="n">
        <x:v>8</x:v>
      </x:c>
      <x:c r="F3313" s="115" t="str">
        <x:v>Inspection physique</x:v>
      </x:c>
      <x:c r="G3313" s="115" t="str">
        <x:v>1 niveaux ; 32 pièces ; 248 segments de mur ; 0 transitions. Inspection physique ; architecture complète encore ouverte.</x:v>
      </x:c>
      <x:c r="H3313" s="115" t="str">
        <x:v>L 434 ; l 590 ; hauteur 16 m ; choix de composition auteur ; dimensions réelles à documenter</x:v>
      </x:c>
      <x:c r="I3313" s="115" t="str">
        <x:v>À équilibrer</x:v>
      </x:c>
      <x:c r="J3313" s="115" t="str">
        <x:v>Non</x:v>
      </x:c>
      <x:c r="K3313" s="115" t="str">
        <x:v>Pièces décrites, murs, portes, niveaux et mobilier inspectables à l’échelle. Volumes réservés, raccord au seed, butin, rencontres et services de campagne restent à terminer.</x:v>
      </x:c>
    </x:row>
    <x:row r="3314" ht="96" customHeight="1">
      <x:c r="A3314" s="115" t="str">
        <x:v>EXT-MONDE-T067-V09</x:v>
      </x:c>
      <x:c r="B3314" s="115" t="str">
        <x:v>EXT-MONDE-T067</x:v>
      </x:c>
      <x:c r="C3314" s="115" t="str">
        <x:v>Stades</x:v>
      </x:c>
      <x:c r="D3314" s="115" t="str">
        <x:v>Vélodrome</x:v>
      </x:c>
      <x:c r="E3314" s="115" t="n">
        <x:v>9</x:v>
      </x:c>
      <x:c r="F3314" s="115" t="str">
        <x:v>Inspection physique</x:v>
      </x:c>
      <x:c r="G3314" s="115" t="str">
        <x:v>1 niveaux ; 32 pièces ; 248 segments de mur ; 0 transitions. Inspection physique ; architecture complète encore ouverte.</x:v>
      </x:c>
      <x:c r="H3314" s="115" t="str">
        <x:v>L 434 ; l 590 ; hauteur 16 m ; choix de composition auteur ; dimensions réelles à documenter</x:v>
      </x:c>
      <x:c r="I3314" s="115" t="str">
        <x:v>À équilibrer</x:v>
      </x:c>
      <x:c r="J3314" s="115" t="str">
        <x:v>Non</x:v>
      </x:c>
      <x:c r="K3314" s="115" t="str">
        <x:v>Pièces décrites, murs, portes, niveaux et mobilier inspectables à l’échelle. Volumes réservés, raccord au seed, butin, rencontres et services de campagne restent à terminer.</x:v>
      </x:c>
    </x:row>
    <x:row r="3315" ht="96" customHeight="1">
      <x:c r="A3315" s="115" t="str">
        <x:v>EXT-MONDE-T067-V10</x:v>
      </x:c>
      <x:c r="B3315" s="115" t="str">
        <x:v>EXT-MONDE-T067</x:v>
      </x:c>
      <x:c r="C3315" s="115" t="str">
        <x:v>Stades</x:v>
      </x:c>
      <x:c r="D3315" s="115" t="str">
        <x:v>Vélodrome</x:v>
      </x:c>
      <x:c r="E3315" s="115" t="n">
        <x:v>10</x:v>
      </x:c>
      <x:c r="F3315" s="115" t="str">
        <x:v>Inspection physique</x:v>
      </x:c>
      <x:c r="G3315" s="115" t="str">
        <x:v>1 niveaux ; 32 pièces ; 248 segments de mur ; 0 transitions. Inspection physique ; architecture complète encore ouverte.</x:v>
      </x:c>
      <x:c r="H3315" s="115" t="str">
        <x:v>L 434 ; l 590 ; hauteur 16 m ; choix de composition auteur ; dimensions réelles à documenter</x:v>
      </x:c>
      <x:c r="I3315" s="115" t="str">
        <x:v>À équilibrer</x:v>
      </x:c>
      <x:c r="J3315" s="115" t="str">
        <x:v>Non</x:v>
      </x:c>
      <x:c r="K3315" s="115" t="str">
        <x:v>Pièces décrites, murs, portes, niveaux et mobilier inspectables à l’échelle. Volumes réservés, raccord au seed, butin, rencontres et services de campagne restent à terminer.</x:v>
      </x:c>
    </x:row>
    <x:row r="3316" ht="96" customHeight="1">
      <x:c r="A3316" s="115" t="str">
        <x:v>EXT-MONDE-T067-V11</x:v>
      </x:c>
      <x:c r="B3316" s="115" t="str">
        <x:v>EXT-MONDE-T067</x:v>
      </x:c>
      <x:c r="C3316" s="115" t="str">
        <x:v>Stades</x:v>
      </x:c>
      <x:c r="D3316" s="115" t="str">
        <x:v>Vélodrome</x:v>
      </x:c>
      <x:c r="E3316" s="115" t="n">
        <x:v>11</x:v>
      </x:c>
      <x:c r="F3316" s="115" t="str">
        <x:v>Inspection physique</x:v>
      </x:c>
      <x:c r="G3316" s="115" t="str">
        <x:v>1 niveaux ; 32 pièces ; 248 segments de mur ; 0 transitions. Inspection physique ; architecture complète encore ouverte.</x:v>
      </x:c>
      <x:c r="H3316" s="115" t="str">
        <x:v>L 446 ; l 598 ; hauteur 16 m ; choix de composition auteur ; dimensions réelles à documenter</x:v>
      </x:c>
      <x:c r="I3316" s="115" t="str">
        <x:v>À équilibrer</x:v>
      </x:c>
      <x:c r="J3316" s="115" t="str">
        <x:v>Non</x:v>
      </x:c>
      <x:c r="K3316" s="115" t="str">
        <x:v>Pièces décrites, murs, portes, niveaux et mobilier inspectables à l’échelle. Volumes réservés, raccord au seed, butin, rencontres et services de campagne restent à terminer.</x:v>
      </x:c>
    </x:row>
    <x:row r="3317" ht="96" customHeight="1">
      <x:c r="A3317" s="115" t="str">
        <x:v>EXT-MONDE-T067-V12</x:v>
      </x:c>
      <x:c r="B3317" s="115" t="str">
        <x:v>EXT-MONDE-T067</x:v>
      </x:c>
      <x:c r="C3317" s="115" t="str">
        <x:v>Stades</x:v>
      </x:c>
      <x:c r="D3317" s="115" t="str">
        <x:v>Vélodrome</x:v>
      </x:c>
      <x:c r="E3317" s="115" t="n">
        <x:v>12</x:v>
      </x:c>
      <x:c r="F3317" s="115" t="str">
        <x:v>Inspection physique</x:v>
      </x:c>
      <x:c r="G3317" s="115" t="str">
        <x:v>1 niveaux ; 32 pièces ; 248 segments de mur ; 0 transitions. Inspection physique ; architecture complète encore ouverte.</x:v>
      </x:c>
      <x:c r="H3317" s="115" t="str">
        <x:v>L 446 ; l 598 ; hauteur 16 m ; choix de composition auteur ; dimensions réelles à documenter</x:v>
      </x:c>
      <x:c r="I3317" s="115" t="str">
        <x:v>À équilibrer</x:v>
      </x:c>
      <x:c r="J3317" s="115" t="str">
        <x:v>Non</x:v>
      </x:c>
      <x:c r="K3317" s="115" t="str">
        <x:v>Pièces décrites, murs, portes, niveaux et mobilier inspectables à l’échelle. Volumes réservés, raccord au seed, butin, rencontres et services de campagne restent à terminer.</x:v>
      </x:c>
    </x:row>
    <x:row r="3318" ht="96" customHeight="1">
      <x:c r="A3318" s="115" t="str">
        <x:v>EXT-MONDE-T067-V13</x:v>
      </x:c>
      <x:c r="B3318" s="115" t="str">
        <x:v>EXT-MONDE-T067</x:v>
      </x:c>
      <x:c r="C3318" s="115" t="str">
        <x:v>Stades</x:v>
      </x:c>
      <x:c r="D3318" s="115" t="str">
        <x:v>Vélodrome</x:v>
      </x:c>
      <x:c r="E3318" s="115" t="n">
        <x:v>13</x:v>
      </x:c>
      <x:c r="F3318" s="115" t="str">
        <x:v>Inspection physique</x:v>
      </x:c>
      <x:c r="G3318" s="115" t="str">
        <x:v>1 niveaux ; 32 pièces ; 248 segments de mur ; 0 transitions. Inspection physique ; architecture complète encore ouverte.</x:v>
      </x:c>
      <x:c r="H3318" s="115" t="str">
        <x:v>L 446 ; l 598 ; hauteur 16 m ; choix de composition auteur ; dimensions réelles à documenter</x:v>
      </x:c>
      <x:c r="I3318" s="115" t="str">
        <x:v>À équilibrer</x:v>
      </x:c>
      <x:c r="J3318" s="115" t="str">
        <x:v>Non</x:v>
      </x:c>
      <x:c r="K3318" s="115" t="str">
        <x:v>Pièces décrites, murs, portes, niveaux et mobilier inspectables à l’échelle. Volumes réservés, raccord au seed, butin, rencontres et services de campagne restent à terminer.</x:v>
      </x:c>
    </x:row>
    <x:row r="3319" ht="96" customHeight="1">
      <x:c r="A3319" s="115" t="str">
        <x:v>EXT-MONDE-T067-V14</x:v>
      </x:c>
      <x:c r="B3319" s="115" t="str">
        <x:v>EXT-MONDE-T067</x:v>
      </x:c>
      <x:c r="C3319" s="115" t="str">
        <x:v>Stades</x:v>
      </x:c>
      <x:c r="D3319" s="115" t="str">
        <x:v>Vélodrome</x:v>
      </x:c>
      <x:c r="E3319" s="115" t="n">
        <x:v>14</x:v>
      </x:c>
      <x:c r="F3319" s="115" t="str">
        <x:v>Inspection physique</x:v>
      </x:c>
      <x:c r="G3319" s="115" t="str">
        <x:v>1 niveaux ; 32 pièces ; 248 segments de mur ; 0 transitions. Inspection physique ; architecture complète encore ouverte.</x:v>
      </x:c>
      <x:c r="H3319" s="115" t="str">
        <x:v>L 446 ; l 598 ; hauteur 16 m ; choix de composition auteur ; dimensions réelles à documenter</x:v>
      </x:c>
      <x:c r="I3319" s="115" t="str">
        <x:v>À équilibrer</x:v>
      </x:c>
      <x:c r="J3319" s="115" t="str">
        <x:v>Non</x:v>
      </x:c>
      <x:c r="K3319" s="115" t="str">
        <x:v>Pièces décrites, murs, portes, niveaux et mobilier inspectables à l’échelle. Volumes réservés, raccord au seed, butin, rencontres et services de campagne restent à terminer.</x:v>
      </x:c>
    </x:row>
    <x:row r="3320" ht="96" customHeight="1">
      <x:c r="A3320" s="115" t="str">
        <x:v>EXT-MONDE-T067-V15</x:v>
      </x:c>
      <x:c r="B3320" s="115" t="str">
        <x:v>EXT-MONDE-T067</x:v>
      </x:c>
      <x:c r="C3320" s="115" t="str">
        <x:v>Stades</x:v>
      </x:c>
      <x:c r="D3320" s="115" t="str">
        <x:v>Vélodrome</x:v>
      </x:c>
      <x:c r="E3320" s="115" t="n">
        <x:v>15</x:v>
      </x:c>
      <x:c r="F3320" s="115" t="str">
        <x:v>Inspection physique</x:v>
      </x:c>
      <x:c r="G3320" s="115" t="str">
        <x:v>1 niveaux ; 32 pièces ; 248 segments de mur ; 0 transitions. Inspection physique ; architecture complète encore ouverte.</x:v>
      </x:c>
      <x:c r="H3320" s="115" t="str">
        <x:v>L 446 ; l 598 ; hauteur 16 m ; choix de composition auteur ; dimensions réelles à documenter</x:v>
      </x:c>
      <x:c r="I3320" s="115" t="str">
        <x:v>À équilibrer</x:v>
      </x:c>
      <x:c r="J3320" s="115" t="str">
        <x:v>Non</x:v>
      </x:c>
      <x:c r="K3320" s="115" t="str">
        <x:v>Pièces décrites, murs, portes, niveaux et mobilier inspectables à l’échelle. Volumes réservés, raccord au seed, butin, rencontres et services de campagne restent à terminer.</x:v>
      </x:c>
    </x:row>
    <x:row r="3321" ht="96" customHeight="1">
      <x:c r="A3321" s="115" t="str">
        <x:v>EXT-MONDE-T067-V16</x:v>
      </x:c>
      <x:c r="B3321" s="115" t="str">
        <x:v>EXT-MONDE-T067</x:v>
      </x:c>
      <x:c r="C3321" s="115" t="str">
        <x:v>Stades</x:v>
      </x:c>
      <x:c r="D3321" s="115" t="str">
        <x:v>Vélodrome</x:v>
      </x:c>
      <x:c r="E3321" s="115" t="n">
        <x:v>16</x:v>
      </x:c>
      <x:c r="F3321" s="115" t="str">
        <x:v>Inspection physique</x:v>
      </x:c>
      <x:c r="G3321" s="115" t="str">
        <x:v>1 niveaux ; 32 pièces ; 248 segments de mur ; 0 transitions. Inspection physique ; architecture complète encore ouverte.</x:v>
      </x:c>
      <x:c r="H3321" s="115" t="str">
        <x:v>L 446 ; l 598 ; hauteur 16 m ; choix de composition auteur ; dimensions réelles à documenter</x:v>
      </x:c>
      <x:c r="I3321" s="115" t="str">
        <x:v>À équilibrer</x:v>
      </x:c>
      <x:c r="J3321" s="115" t="str">
        <x:v>Non</x:v>
      </x:c>
      <x:c r="K3321" s="115" t="str">
        <x:v>Pièces décrites, murs, portes, niveaux et mobilier inspectables à l’échelle. Volumes réservés, raccord au seed, butin, rencontres et services de campagne restent à terminer.</x:v>
      </x:c>
    </x:row>
    <x:row r="3322" ht="96" customHeight="1">
      <x:c r="A3322" s="115" t="str">
        <x:v>EXT-MONDE-T067-V17</x:v>
      </x:c>
      <x:c r="B3322" s="115" t="str">
        <x:v>EXT-MONDE-T067</x:v>
      </x:c>
      <x:c r="C3322" s="115" t="str">
        <x:v>Stades</x:v>
      </x:c>
      <x:c r="D3322" s="115" t="str">
        <x:v>Vélodrome</x:v>
      </x:c>
      <x:c r="E3322" s="115" t="n">
        <x:v>17</x:v>
      </x:c>
      <x:c r="F3322" s="115" t="str">
        <x:v>Inspection physique</x:v>
      </x:c>
      <x:c r="G3322" s="115" t="str">
        <x:v>1 niveaux ; 32 pièces ; 248 segments de mur ; 0 transitions. Inspection physique ; architecture complète encore ouverte.</x:v>
      </x:c>
      <x:c r="H3322" s="115" t="str">
        <x:v>L 446 ; l 598 ; hauteur 16 m ; choix de composition auteur ; dimensions réelles à documenter</x:v>
      </x:c>
      <x:c r="I3322" s="115" t="str">
        <x:v>À équilibrer</x:v>
      </x:c>
      <x:c r="J3322" s="115" t="str">
        <x:v>Non</x:v>
      </x:c>
      <x:c r="K3322" s="115" t="str">
        <x:v>Pièces décrites, murs, portes, niveaux et mobilier inspectables à l’échelle. Volumes réservés, raccord au seed, butin, rencontres et services de campagne restent à terminer.</x:v>
      </x:c>
    </x:row>
    <x:row r="3323" ht="96" customHeight="1">
      <x:c r="A3323" s="115" t="str">
        <x:v>EXT-MONDE-T067-V18</x:v>
      </x:c>
      <x:c r="B3323" s="115" t="str">
        <x:v>EXT-MONDE-T067</x:v>
      </x:c>
      <x:c r="C3323" s="115" t="str">
        <x:v>Stades</x:v>
      </x:c>
      <x:c r="D3323" s="115" t="str">
        <x:v>Vélodrome</x:v>
      </x:c>
      <x:c r="E3323" s="115" t="n">
        <x:v>18</x:v>
      </x:c>
      <x:c r="F3323" s="115" t="str">
        <x:v>Inspection physique</x:v>
      </x:c>
      <x:c r="G3323" s="115" t="str">
        <x:v>1 niveaux ; 32 pièces ; 248 segments de mur ; 0 transitions. Inspection physique ; architecture complète encore ouverte.</x:v>
      </x:c>
      <x:c r="H3323" s="115" t="str">
        <x:v>L 446 ; l 598 ; hauteur 16 m ; choix de composition auteur ; dimensions réelles à documenter</x:v>
      </x:c>
      <x:c r="I3323" s="115" t="str">
        <x:v>À équilibrer</x:v>
      </x:c>
      <x:c r="J3323" s="115" t="str">
        <x:v>Non</x:v>
      </x:c>
      <x:c r="K3323" s="115" t="str">
        <x:v>Pièces décrites, murs, portes, niveaux et mobilier inspectables à l’échelle. Volumes réservés, raccord au seed, butin, rencontres et services de campagne restent à terminer.</x:v>
      </x:c>
    </x:row>
    <x:row r="3324" ht="96" customHeight="1">
      <x:c r="A3324" s="115" t="str">
        <x:v>EXT-MONDE-T067-V19</x:v>
      </x:c>
      <x:c r="B3324" s="115" t="str">
        <x:v>EXT-MONDE-T067</x:v>
      </x:c>
      <x:c r="C3324" s="115" t="str">
        <x:v>Stades</x:v>
      </x:c>
      <x:c r="D3324" s="115" t="str">
        <x:v>Vélodrome</x:v>
      </x:c>
      <x:c r="E3324" s="115" t="n">
        <x:v>19</x:v>
      </x:c>
      <x:c r="F3324" s="115" t="str">
        <x:v>Inspection physique</x:v>
      </x:c>
      <x:c r="G3324" s="115" t="str">
        <x:v>1 niveaux ; 32 pièces ; 248 segments de mur ; 0 transitions. Inspection physique ; architecture complète encore ouverte.</x:v>
      </x:c>
      <x:c r="H3324" s="115" t="str">
        <x:v>L 446 ; l 598 ; hauteur 16 m ; choix de composition auteur ; dimensions réelles à documenter</x:v>
      </x:c>
      <x:c r="I3324" s="115" t="str">
        <x:v>À équilibrer</x:v>
      </x:c>
      <x:c r="J3324" s="115" t="str">
        <x:v>Non</x:v>
      </x:c>
      <x:c r="K3324" s="115" t="str">
        <x:v>Pièces décrites, murs, portes, niveaux et mobilier inspectables à l’échelle. Volumes réservés, raccord au seed, butin, rencontres et services de campagne restent à terminer.</x:v>
      </x:c>
    </x:row>
    <x:row r="3325" ht="96" customHeight="1">
      <x:c r="A3325" s="115" t="str">
        <x:v>EXT-MONDE-T067-V20</x:v>
      </x:c>
      <x:c r="B3325" s="115" t="str">
        <x:v>EXT-MONDE-T067</x:v>
      </x:c>
      <x:c r="C3325" s="115" t="str">
        <x:v>Stades</x:v>
      </x:c>
      <x:c r="D3325" s="115" t="str">
        <x:v>Vélodrome</x:v>
      </x:c>
      <x:c r="E3325" s="115" t="n">
        <x:v>20</x:v>
      </x:c>
      <x:c r="F3325" s="115" t="str">
        <x:v>Inspection physique</x:v>
      </x:c>
      <x:c r="G3325" s="115" t="str">
        <x:v>1 niveaux ; 32 pièces ; 248 segments de mur ; 0 transitions. Inspection physique ; architecture complète encore ouverte.</x:v>
      </x:c>
      <x:c r="H3325" s="115" t="str">
        <x:v>L 446 ; l 598 ; hauteur 16 m ; choix de composition auteur ; dimensions réelles à documenter</x:v>
      </x:c>
      <x:c r="I3325" s="115" t="str">
        <x:v>À équilibrer</x:v>
      </x:c>
      <x:c r="J3325" s="115" t="str">
        <x:v>Non</x:v>
      </x:c>
      <x:c r="K3325" s="115" t="str">
        <x:v>Pièces décrites, murs, portes, niveaux et mobilier inspectables à l’échelle. Volumes réservés, raccord au seed, butin, rencontres et services de campagne restent à terminer.</x:v>
      </x:c>
    </x:row>
    <x:row r="3326" ht="96" customHeight="1">
      <x:c r="A3326" s="115" t="str">
        <x:v>EXT-MONDE-T067-V21</x:v>
      </x:c>
      <x:c r="B3326" s="115" t="str">
        <x:v>EXT-MONDE-T067</x:v>
      </x:c>
      <x:c r="C3326" s="115" t="str">
        <x:v>Stades</x:v>
      </x:c>
      <x:c r="D3326" s="115" t="str">
        <x:v>Vélodrome</x:v>
      </x:c>
      <x:c r="E3326" s="115" t="n">
        <x:v>21</x:v>
      </x:c>
      <x:c r="F3326" s="115" t="str">
        <x:v>Inspection physique</x:v>
      </x:c>
      <x:c r="G3326" s="115" t="str">
        <x:v>1 niveaux ; 32 pièces ; 248 segments de mur ; 0 transitions. Inspection physique ; architecture complète encore ouverte.</x:v>
      </x:c>
      <x:c r="H3326" s="115" t="str">
        <x:v>L 458 ; l 606 ; hauteur 16 m ; choix de composition auteur ; dimensions réelles à documenter</x:v>
      </x:c>
      <x:c r="I3326" s="115" t="str">
        <x:v>À équilibrer</x:v>
      </x:c>
      <x:c r="J3326" s="115" t="str">
        <x:v>Non</x:v>
      </x:c>
      <x:c r="K3326" s="115" t="str">
        <x:v>Pièces décrites, murs, portes, niveaux et mobilier inspectables à l’échelle. Volumes réservés, raccord au seed, butin, rencontres et services de campagne restent à terminer.</x:v>
      </x:c>
    </x:row>
    <x:row r="3327" ht="96" customHeight="1">
      <x:c r="A3327" s="115" t="str">
        <x:v>EXT-MONDE-T067-V22</x:v>
      </x:c>
      <x:c r="B3327" s="115" t="str">
        <x:v>EXT-MONDE-T067</x:v>
      </x:c>
      <x:c r="C3327" s="115" t="str">
        <x:v>Stades</x:v>
      </x:c>
      <x:c r="D3327" s="115" t="str">
        <x:v>Vélodrome</x:v>
      </x:c>
      <x:c r="E3327" s="115" t="n">
        <x:v>22</x:v>
      </x:c>
      <x:c r="F3327" s="115" t="str">
        <x:v>Inspection physique</x:v>
      </x:c>
      <x:c r="G3327" s="115" t="str">
        <x:v>1 niveaux ; 32 pièces ; 248 segments de mur ; 0 transitions. Inspection physique ; architecture complète encore ouverte.</x:v>
      </x:c>
      <x:c r="H3327" s="115" t="str">
        <x:v>L 458 ; l 606 ; hauteur 16 m ; choix de composition auteur ; dimensions réelles à documenter</x:v>
      </x:c>
      <x:c r="I3327" s="115" t="str">
        <x:v>À équilibrer</x:v>
      </x:c>
      <x:c r="J3327" s="115" t="str">
        <x:v>Non</x:v>
      </x:c>
      <x:c r="K3327" s="115" t="str">
        <x:v>Pièces décrites, murs, portes, niveaux et mobilier inspectables à l’échelle. Volumes réservés, raccord au seed, butin, rencontres et services de campagne restent à terminer.</x:v>
      </x:c>
    </x:row>
    <x:row r="3328" ht="96" customHeight="1">
      <x:c r="A3328" s="115" t="str">
        <x:v>EXT-MONDE-T067-V23</x:v>
      </x:c>
      <x:c r="B3328" s="115" t="str">
        <x:v>EXT-MONDE-T067</x:v>
      </x:c>
      <x:c r="C3328" s="115" t="str">
        <x:v>Stades</x:v>
      </x:c>
      <x:c r="D3328" s="115" t="str">
        <x:v>Vélodrome</x:v>
      </x:c>
      <x:c r="E3328" s="115" t="n">
        <x:v>23</x:v>
      </x:c>
      <x:c r="F3328" s="115" t="str">
        <x:v>Inspection physique</x:v>
      </x:c>
      <x:c r="G3328" s="115" t="str">
        <x:v>1 niveaux ; 32 pièces ; 248 segments de mur ; 0 transitions. Inspection physique ; architecture complète encore ouverte.</x:v>
      </x:c>
      <x:c r="H3328" s="115" t="str">
        <x:v>L 458 ; l 606 ; hauteur 16 m ; choix de composition auteur ; dimensions réelles à documenter</x:v>
      </x:c>
      <x:c r="I3328" s="115" t="str">
        <x:v>À équilibrer</x:v>
      </x:c>
      <x:c r="J3328" s="115" t="str">
        <x:v>Non</x:v>
      </x:c>
      <x:c r="K3328" s="115" t="str">
        <x:v>Pièces décrites, murs, portes, niveaux et mobilier inspectables à l’échelle. Volumes réservés, raccord au seed, butin, rencontres et services de campagne restent à terminer.</x:v>
      </x:c>
    </x:row>
    <x:row r="3329" ht="96" customHeight="1">
      <x:c r="A3329" s="115" t="str">
        <x:v>EXT-MONDE-T067-V24</x:v>
      </x:c>
      <x:c r="B3329" s="115" t="str">
        <x:v>EXT-MONDE-T067</x:v>
      </x:c>
      <x:c r="C3329" s="115" t="str">
        <x:v>Stades</x:v>
      </x:c>
      <x:c r="D3329" s="115" t="str">
        <x:v>Vélodrome</x:v>
      </x:c>
      <x:c r="E3329" s="115" t="n">
        <x:v>24</x:v>
      </x:c>
      <x:c r="F3329" s="115" t="str">
        <x:v>Inspection physique</x:v>
      </x:c>
      <x:c r="G3329" s="115" t="str">
        <x:v>1 niveaux ; 32 pièces ; 248 segments de mur ; 0 transitions. Inspection physique ; architecture complète encore ouverte.</x:v>
      </x:c>
      <x:c r="H3329" s="115" t="str">
        <x:v>L 458 ; l 606 ; hauteur 16 m ; choix de composition auteur ; dimensions réelles à documenter</x:v>
      </x:c>
      <x:c r="I3329" s="115" t="str">
        <x:v>À équilibrer</x:v>
      </x:c>
      <x:c r="J3329" s="115" t="str">
        <x:v>Non</x:v>
      </x:c>
      <x:c r="K3329" s="115" t="str">
        <x:v>Pièces décrites, murs, portes, niveaux et mobilier inspectables à l’échelle. Volumes réservés, raccord au seed, butin, rencontres et services de campagne restent à terminer.</x:v>
      </x:c>
    </x:row>
    <x:row r="3330" ht="96" customHeight="1">
      <x:c r="A3330" s="115" t="str">
        <x:v>EXT-MONDE-T067-V25</x:v>
      </x:c>
      <x:c r="B3330" s="115" t="str">
        <x:v>EXT-MONDE-T067</x:v>
      </x:c>
      <x:c r="C3330" s="115" t="str">
        <x:v>Stades</x:v>
      </x:c>
      <x:c r="D3330" s="115" t="str">
        <x:v>Vélodrome</x:v>
      </x:c>
      <x:c r="E3330" s="115" t="n">
        <x:v>25</x:v>
      </x:c>
      <x:c r="F3330" s="115" t="str">
        <x:v>Inspection physique</x:v>
      </x:c>
      <x:c r="G3330" s="115" t="str">
        <x:v>1 niveaux ; 32 pièces ; 248 segments de mur ; 0 transitions. Inspection physique ; architecture complète encore ouverte.</x:v>
      </x:c>
      <x:c r="H3330" s="115" t="str">
        <x:v>L 458 ; l 606 ; hauteur 16 m ; choix de composition auteur ; dimensions réelles à documenter</x:v>
      </x:c>
      <x:c r="I3330" s="115" t="str">
        <x:v>À équilibrer</x:v>
      </x:c>
      <x:c r="J3330" s="115" t="str">
        <x:v>Non</x:v>
      </x:c>
      <x:c r="K3330" s="115" t="str">
        <x:v>Pièces décrites, murs, portes, niveaux et mobilier inspectables à l’échelle. Volumes réservés, raccord au seed, butin, rencontres et services de campagne restent à terminer.</x:v>
      </x:c>
    </x:row>
    <x:row r="3331" ht="96" customHeight="1">
      <x:c r="A3331" s="115" t="str">
        <x:v>EXT-MONDE-T067-V26</x:v>
      </x:c>
      <x:c r="B3331" s="115" t="str">
        <x:v>EXT-MONDE-T067</x:v>
      </x:c>
      <x:c r="C3331" s="115" t="str">
        <x:v>Stades</x:v>
      </x:c>
      <x:c r="D3331" s="115" t="str">
        <x:v>Vélodrome</x:v>
      </x:c>
      <x:c r="E3331" s="115" t="n">
        <x:v>26</x:v>
      </x:c>
      <x:c r="F3331" s="115" t="str">
        <x:v>Inspection physique</x:v>
      </x:c>
      <x:c r="G3331" s="115" t="str">
        <x:v>1 niveaux ; 32 pièces ; 248 segments de mur ; 0 transitions. Inspection physique ; architecture complète encore ouverte.</x:v>
      </x:c>
      <x:c r="H3331" s="115" t="str">
        <x:v>L 458 ; l 606 ; hauteur 16 m ; choix de composition auteur ; dimensions réelles à documenter</x:v>
      </x:c>
      <x:c r="I3331" s="115" t="str">
        <x:v>À équilibrer</x:v>
      </x:c>
      <x:c r="J3331" s="115" t="str">
        <x:v>Non</x:v>
      </x:c>
      <x:c r="K3331" s="115" t="str">
        <x:v>Pièces décrites, murs, portes, niveaux et mobilier inspectables à l’échelle. Volumes réservés, raccord au seed, butin, rencontres et services de campagne restent à terminer.</x:v>
      </x:c>
    </x:row>
    <x:row r="3332" ht="96" customHeight="1">
      <x:c r="A3332" s="115" t="str">
        <x:v>EXT-MONDE-T067-V27</x:v>
      </x:c>
      <x:c r="B3332" s="115" t="str">
        <x:v>EXT-MONDE-T067</x:v>
      </x:c>
      <x:c r="C3332" s="115" t="str">
        <x:v>Stades</x:v>
      </x:c>
      <x:c r="D3332" s="115" t="str">
        <x:v>Vélodrome</x:v>
      </x:c>
      <x:c r="E3332" s="115" t="n">
        <x:v>27</x:v>
      </x:c>
      <x:c r="F3332" s="115" t="str">
        <x:v>Inspection physique</x:v>
      </x:c>
      <x:c r="G3332" s="115" t="str">
        <x:v>1 niveaux ; 32 pièces ; 248 segments de mur ; 0 transitions. Inspection physique ; architecture complète encore ouverte.</x:v>
      </x:c>
      <x:c r="H3332" s="115" t="str">
        <x:v>L 458 ; l 606 ; hauteur 16 m ; choix de composition auteur ; dimensions réelles à documenter</x:v>
      </x:c>
      <x:c r="I3332" s="115" t="str">
        <x:v>À équilibrer</x:v>
      </x:c>
      <x:c r="J3332" s="115" t="str">
        <x:v>Non</x:v>
      </x:c>
      <x:c r="K3332" s="115" t="str">
        <x:v>Pièces décrites, murs, portes, niveaux et mobilier inspectables à l’échelle. Volumes réservés, raccord au seed, butin, rencontres et services de campagne restent à terminer.</x:v>
      </x:c>
    </x:row>
    <x:row r="3333" ht="96" customHeight="1">
      <x:c r="A3333" s="115" t="str">
        <x:v>EXT-MONDE-T067-V28</x:v>
      </x:c>
      <x:c r="B3333" s="115" t="str">
        <x:v>EXT-MONDE-T067</x:v>
      </x:c>
      <x:c r="C3333" s="115" t="str">
        <x:v>Stades</x:v>
      </x:c>
      <x:c r="D3333" s="115" t="str">
        <x:v>Vélodrome</x:v>
      </x:c>
      <x:c r="E3333" s="115" t="n">
        <x:v>28</x:v>
      </x:c>
      <x:c r="F3333" s="115" t="str">
        <x:v>Inspection physique</x:v>
      </x:c>
      <x:c r="G3333" s="115" t="str">
        <x:v>1 niveaux ; 32 pièces ; 248 segments de mur ; 0 transitions. Inspection physique ; architecture complète encore ouverte.</x:v>
      </x:c>
      <x:c r="H3333" s="115" t="str">
        <x:v>L 458 ; l 606 ; hauteur 16 m ; choix de composition auteur ; dimensions réelles à documenter</x:v>
      </x:c>
      <x:c r="I3333" s="115" t="str">
        <x:v>À équilibrer</x:v>
      </x:c>
      <x:c r="J3333" s="115" t="str">
        <x:v>Non</x:v>
      </x:c>
      <x:c r="K3333" s="115" t="str">
        <x:v>Pièces décrites, murs, portes, niveaux et mobilier inspectables à l’échelle. Volumes réservés, raccord au seed, butin, rencontres et services de campagne restent à terminer.</x:v>
      </x:c>
    </x:row>
    <x:row r="3334" ht="96" customHeight="1">
      <x:c r="A3334" s="115" t="str">
        <x:v>EXT-MONDE-T067-V29</x:v>
      </x:c>
      <x:c r="B3334" s="115" t="str">
        <x:v>EXT-MONDE-T067</x:v>
      </x:c>
      <x:c r="C3334" s="115" t="str">
        <x:v>Stades</x:v>
      </x:c>
      <x:c r="D3334" s="115" t="str">
        <x:v>Vélodrome</x:v>
      </x:c>
      <x:c r="E3334" s="115" t="n">
        <x:v>29</x:v>
      </x:c>
      <x:c r="F3334" s="115" t="str">
        <x:v>Inspection physique</x:v>
      </x:c>
      <x:c r="G3334" s="115" t="str">
        <x:v>1 niveaux ; 32 pièces ; 248 segments de mur ; 0 transitions. Inspection physique ; architecture complète encore ouverte.</x:v>
      </x:c>
      <x:c r="H3334" s="115" t="str">
        <x:v>L 458 ; l 606 ; hauteur 16 m ; choix de composition auteur ; dimensions réelles à documenter</x:v>
      </x:c>
      <x:c r="I3334" s="115" t="str">
        <x:v>À équilibrer</x:v>
      </x:c>
      <x:c r="J3334" s="115" t="str">
        <x:v>Non</x:v>
      </x:c>
      <x:c r="K3334" s="115" t="str">
        <x:v>Pièces décrites, murs, portes, niveaux et mobilier inspectables à l’échelle. Volumes réservés, raccord au seed, butin, rencontres et services de campagne restent à terminer.</x:v>
      </x:c>
    </x:row>
    <x:row r="3335" ht="96" customHeight="1">
      <x:c r="A3335" s="115" t="str">
        <x:v>EXT-MONDE-T067-V30</x:v>
      </x:c>
      <x:c r="B3335" s="115" t="str">
        <x:v>EXT-MONDE-T067</x:v>
      </x:c>
      <x:c r="C3335" s="115" t="str">
        <x:v>Stades</x:v>
      </x:c>
      <x:c r="D3335" s="115" t="str">
        <x:v>Vélodrome</x:v>
      </x:c>
      <x:c r="E3335" s="115" t="n">
        <x:v>30</x:v>
      </x:c>
      <x:c r="F3335" s="115" t="str">
        <x:v>Inspection physique</x:v>
      </x:c>
      <x:c r="G3335" s="115" t="str">
        <x:v>1 niveaux ; 32 pièces ; 248 segments de mur ; 0 transitions. Inspection physique ; architecture complète encore ouverte.</x:v>
      </x:c>
      <x:c r="H3335" s="115" t="str">
        <x:v>L 458 ; l 606 ; hauteur 16 m ; choix de composition auteur ; dimensions réelles à documenter</x:v>
      </x:c>
      <x:c r="I3335" s="115" t="str">
        <x:v>À équilibrer</x:v>
      </x:c>
      <x:c r="J3335" s="115" t="str">
        <x:v>Non</x:v>
      </x:c>
      <x:c r="K3335" s="115" t="str">
        <x:v>Pièces décrites, murs, portes, niveaux et mobilier inspectables à l’échelle. Volumes réservés, raccord au seed, butin, rencontres et services de campagne restent à terminer.</x:v>
      </x:c>
    </x:row>
    <x:row r="3336" ht="96" customHeight="1">
      <x:c r="A3336" s="115" t="str">
        <x:v>EXT-MONDE-T067-V31</x:v>
      </x:c>
      <x:c r="B3336" s="115" t="str">
        <x:v>EXT-MONDE-T067</x:v>
      </x:c>
      <x:c r="C3336" s="115" t="str">
        <x:v>Stades</x:v>
      </x:c>
      <x:c r="D3336" s="115" t="str">
        <x:v>Vélodrome</x:v>
      </x:c>
      <x:c r="E3336" s="115" t="n">
        <x:v>31</x:v>
      </x:c>
      <x:c r="F3336" s="115" t="str">
        <x:v>Inspection physique</x:v>
      </x:c>
      <x:c r="G3336" s="115" t="str">
        <x:v>1 niveaux ; 32 pièces ; 248 segments de mur ; 0 transitions. Inspection physique ; architecture complète encore ouverte.</x:v>
      </x:c>
      <x:c r="H3336" s="115" t="str">
        <x:v>L 470 ; l 614 ; hauteur 16 m ; choix de composition auteur ; dimensions réelles à documenter</x:v>
      </x:c>
      <x:c r="I3336" s="115" t="str">
        <x:v>À équilibrer</x:v>
      </x:c>
      <x:c r="J3336" s="115" t="str">
        <x:v>Non</x:v>
      </x:c>
      <x:c r="K3336" s="115" t="str">
        <x:v>Pièces décrites, murs, portes, niveaux et mobilier inspectables à l’échelle. Volumes réservés, raccord au seed, butin, rencontres et services de campagne restent à terminer.</x:v>
      </x:c>
    </x:row>
    <x:row r="3337" ht="96" customHeight="1">
      <x:c r="A3337" s="115" t="str">
        <x:v>EXT-MONDE-T067-V32</x:v>
      </x:c>
      <x:c r="B3337" s="115" t="str">
        <x:v>EXT-MONDE-T067</x:v>
      </x:c>
      <x:c r="C3337" s="115" t="str">
        <x:v>Stades</x:v>
      </x:c>
      <x:c r="D3337" s="115" t="str">
        <x:v>Vélodrome</x:v>
      </x:c>
      <x:c r="E3337" s="115" t="n">
        <x:v>32</x:v>
      </x:c>
      <x:c r="F3337" s="115" t="str">
        <x:v>Inspection physique</x:v>
      </x:c>
      <x:c r="G3337" s="115" t="str">
        <x:v>1 niveaux ; 32 pièces ; 248 segments de mur ; 0 transitions. Inspection physique ; architecture complète encore ouverte.</x:v>
      </x:c>
      <x:c r="H3337" s="115" t="str">
        <x:v>L 470 ; l 614 ; hauteur 16 m ; choix de composition auteur ; dimensions réelles à documenter</x:v>
      </x:c>
      <x:c r="I3337" s="115" t="str">
        <x:v>À équilibrer</x:v>
      </x:c>
      <x:c r="J3337" s="115" t="str">
        <x:v>Non</x:v>
      </x:c>
      <x:c r="K3337" s="115" t="str">
        <x:v>Pièces décrites, murs, portes, niveaux et mobilier inspectables à l’échelle. Volumes réservés, raccord au seed, butin, rencontres et services de campagne restent à terminer.</x:v>
      </x:c>
    </x:row>
    <x:row r="3338" ht="96" customHeight="1">
      <x:c r="A3338" s="115" t="str">
        <x:v>EXT-MONDE-T067-V33</x:v>
      </x:c>
      <x:c r="B3338" s="115" t="str">
        <x:v>EXT-MONDE-T067</x:v>
      </x:c>
      <x:c r="C3338" s="115" t="str">
        <x:v>Stades</x:v>
      </x:c>
      <x:c r="D3338" s="115" t="str">
        <x:v>Vélodrome</x:v>
      </x:c>
      <x:c r="E3338" s="115" t="n">
        <x:v>33</x:v>
      </x:c>
      <x:c r="F3338" s="115" t="str">
        <x:v>Inspection physique</x:v>
      </x:c>
      <x:c r="G3338" s="115" t="str">
        <x:v>1 niveaux ; 32 pièces ; 248 segments de mur ; 0 transitions. Inspection physique ; architecture complète encore ouverte.</x:v>
      </x:c>
      <x:c r="H3338" s="115" t="str">
        <x:v>L 470 ; l 614 ; hauteur 16 m ; choix de composition auteur ; dimensions réelles à documenter</x:v>
      </x:c>
      <x:c r="I3338" s="115" t="str">
        <x:v>À équilibrer</x:v>
      </x:c>
      <x:c r="J3338" s="115" t="str">
        <x:v>Non</x:v>
      </x:c>
      <x:c r="K3338" s="115" t="str">
        <x:v>Pièces décrites, murs, portes, niveaux et mobilier inspectables à l’échelle. Volumes réservés, raccord au seed, butin, rencontres et services de campagne restent à terminer.</x:v>
      </x:c>
    </x:row>
    <x:row r="3339" ht="96" customHeight="1">
      <x:c r="A3339" s="115" t="str">
        <x:v>EXT-MONDE-T067-V34</x:v>
      </x:c>
      <x:c r="B3339" s="115" t="str">
        <x:v>EXT-MONDE-T067</x:v>
      </x:c>
      <x:c r="C3339" s="115" t="str">
        <x:v>Stades</x:v>
      </x:c>
      <x:c r="D3339" s="115" t="str">
        <x:v>Vélodrome</x:v>
      </x:c>
      <x:c r="E3339" s="115" t="n">
        <x:v>34</x:v>
      </x:c>
      <x:c r="F3339" s="115" t="str">
        <x:v>Inspection physique</x:v>
      </x:c>
      <x:c r="G3339" s="115" t="str">
        <x:v>1 niveaux ; 32 pièces ; 248 segments de mur ; 0 transitions. Inspection physique ; architecture complète encore ouverte.</x:v>
      </x:c>
      <x:c r="H3339" s="115" t="str">
        <x:v>L 470 ; l 614 ; hauteur 16 m ; choix de composition auteur ; dimensions réelles à documenter</x:v>
      </x:c>
      <x:c r="I3339" s="115" t="str">
        <x:v>À équilibrer</x:v>
      </x:c>
      <x:c r="J3339" s="115" t="str">
        <x:v>Non</x:v>
      </x:c>
      <x:c r="K3339" s="115" t="str">
        <x:v>Pièces décrites, murs, portes, niveaux et mobilier inspectables à l’échelle. Volumes réservés, raccord au seed, butin, rencontres et services de campagne restent à terminer.</x:v>
      </x:c>
    </x:row>
    <x:row r="3340" ht="96" customHeight="1">
      <x:c r="A3340" s="115" t="str">
        <x:v>EXT-MONDE-T067-V35</x:v>
      </x:c>
      <x:c r="B3340" s="115" t="str">
        <x:v>EXT-MONDE-T067</x:v>
      </x:c>
      <x:c r="C3340" s="115" t="str">
        <x:v>Stades</x:v>
      </x:c>
      <x:c r="D3340" s="115" t="str">
        <x:v>Vélodrome</x:v>
      </x:c>
      <x:c r="E3340" s="115" t="n">
        <x:v>35</x:v>
      </x:c>
      <x:c r="F3340" s="115" t="str">
        <x:v>Inspection physique</x:v>
      </x:c>
      <x:c r="G3340" s="115" t="str">
        <x:v>1 niveaux ; 32 pièces ; 248 segments de mur ; 0 transitions. Inspection physique ; architecture complète encore ouverte.</x:v>
      </x:c>
      <x:c r="H3340" s="115" t="str">
        <x:v>L 470 ; l 614 ; hauteur 16 m ; choix de composition auteur ; dimensions réelles à documenter</x:v>
      </x:c>
      <x:c r="I3340" s="115" t="str">
        <x:v>À équilibrer</x:v>
      </x:c>
      <x:c r="J3340" s="115" t="str">
        <x:v>Non</x:v>
      </x:c>
      <x:c r="K3340" s="115" t="str">
        <x:v>Pièces décrites, murs, portes, niveaux et mobilier inspectables à l’échelle. Volumes réservés, raccord au seed, butin, rencontres et services de campagne restent à terminer.</x:v>
      </x:c>
    </x:row>
    <x:row r="3341" ht="96" customHeight="1">
      <x:c r="A3341" s="115" t="str">
        <x:v>EXT-MONDE-T067-V36</x:v>
      </x:c>
      <x:c r="B3341" s="115" t="str">
        <x:v>EXT-MONDE-T067</x:v>
      </x:c>
      <x:c r="C3341" s="115" t="str">
        <x:v>Stades</x:v>
      </x:c>
      <x:c r="D3341" s="115" t="str">
        <x:v>Vélodrome</x:v>
      </x:c>
      <x:c r="E3341" s="115" t="n">
        <x:v>36</x:v>
      </x:c>
      <x:c r="F3341" s="115" t="str">
        <x:v>Inspection physique</x:v>
      </x:c>
      <x:c r="G3341" s="115" t="str">
        <x:v>1 niveaux ; 32 pièces ; 248 segments de mur ; 0 transitions. Inspection physique ; architecture complète encore ouverte.</x:v>
      </x:c>
      <x:c r="H3341" s="115" t="str">
        <x:v>L 470 ; l 614 ; hauteur 16 m ; choix de composition auteur ; dimensions réelles à documenter</x:v>
      </x:c>
      <x:c r="I3341" s="115" t="str">
        <x:v>À équilibrer</x:v>
      </x:c>
      <x:c r="J3341" s="115" t="str">
        <x:v>Non</x:v>
      </x:c>
      <x:c r="K3341" s="115" t="str">
        <x:v>Pièces décrites, murs, portes, niveaux et mobilier inspectables à l’échelle. Volumes réservés, raccord au seed, butin, rencontres et services de campagne restent à terminer.</x:v>
      </x:c>
    </x:row>
    <x:row r="3342" ht="96" customHeight="1">
      <x:c r="A3342" s="115" t="str">
        <x:v>EXT-MONDE-T067-V37</x:v>
      </x:c>
      <x:c r="B3342" s="115" t="str">
        <x:v>EXT-MONDE-T067</x:v>
      </x:c>
      <x:c r="C3342" s="115" t="str">
        <x:v>Stades</x:v>
      </x:c>
      <x:c r="D3342" s="115" t="str">
        <x:v>Vélodrome</x:v>
      </x:c>
      <x:c r="E3342" s="115" t="n">
        <x:v>37</x:v>
      </x:c>
      <x:c r="F3342" s="115" t="str">
        <x:v>Inspection physique</x:v>
      </x:c>
      <x:c r="G3342" s="115" t="str">
        <x:v>1 niveaux ; 32 pièces ; 248 segments de mur ; 0 transitions. Inspection physique ; architecture complète encore ouverte.</x:v>
      </x:c>
      <x:c r="H3342" s="115" t="str">
        <x:v>L 470 ; l 614 ; hauteur 16 m ; choix de composition auteur ; dimensions réelles à documenter</x:v>
      </x:c>
      <x:c r="I3342" s="115" t="str">
        <x:v>À équilibrer</x:v>
      </x:c>
      <x:c r="J3342" s="115" t="str">
        <x:v>Non</x:v>
      </x:c>
      <x:c r="K3342" s="115" t="str">
        <x:v>Pièces décrites, murs, portes, niveaux et mobilier inspectables à l’échelle. Volumes réservés, raccord au seed, butin, rencontres et services de campagne restent à terminer.</x:v>
      </x:c>
    </x:row>
    <x:row r="3343" ht="96" customHeight="1">
      <x:c r="A3343" s="115" t="str">
        <x:v>EXT-MONDE-T067-V38</x:v>
      </x:c>
      <x:c r="B3343" s="115" t="str">
        <x:v>EXT-MONDE-T067</x:v>
      </x:c>
      <x:c r="C3343" s="115" t="str">
        <x:v>Stades</x:v>
      </x:c>
      <x:c r="D3343" s="115" t="str">
        <x:v>Vélodrome</x:v>
      </x:c>
      <x:c r="E3343" s="115" t="n">
        <x:v>38</x:v>
      </x:c>
      <x:c r="F3343" s="115" t="str">
        <x:v>Inspection physique</x:v>
      </x:c>
      <x:c r="G3343" s="115" t="str">
        <x:v>1 niveaux ; 32 pièces ; 248 segments de mur ; 0 transitions. Inspection physique ; architecture complète encore ouverte.</x:v>
      </x:c>
      <x:c r="H3343" s="115" t="str">
        <x:v>L 470 ; l 614 ; hauteur 16 m ; choix de composition auteur ; dimensions réelles à documenter</x:v>
      </x:c>
      <x:c r="I3343" s="115" t="str">
        <x:v>À équilibrer</x:v>
      </x:c>
      <x:c r="J3343" s="115" t="str">
        <x:v>Non</x:v>
      </x:c>
      <x:c r="K3343" s="115" t="str">
        <x:v>Pièces décrites, murs, portes, niveaux et mobilier inspectables à l’échelle. Volumes réservés, raccord au seed, butin, rencontres et services de campagne restent à terminer.</x:v>
      </x:c>
    </x:row>
    <x:row r="3344" ht="96" customHeight="1">
      <x:c r="A3344" s="115" t="str">
        <x:v>EXT-MONDE-T067-V39</x:v>
      </x:c>
      <x:c r="B3344" s="115" t="str">
        <x:v>EXT-MONDE-T067</x:v>
      </x:c>
      <x:c r="C3344" s="115" t="str">
        <x:v>Stades</x:v>
      </x:c>
      <x:c r="D3344" s="115" t="str">
        <x:v>Vélodrome</x:v>
      </x:c>
      <x:c r="E3344" s="115" t="n">
        <x:v>39</x:v>
      </x:c>
      <x:c r="F3344" s="115" t="str">
        <x:v>Inspection physique</x:v>
      </x:c>
      <x:c r="G3344" s="115" t="str">
        <x:v>1 niveaux ; 32 pièces ; 248 segments de mur ; 0 transitions. Inspection physique ; architecture complète encore ouverte.</x:v>
      </x:c>
      <x:c r="H3344" s="115" t="str">
        <x:v>L 470 ; l 614 ; hauteur 16 m ; choix de composition auteur ; dimensions réelles à documenter</x:v>
      </x:c>
      <x:c r="I3344" s="115" t="str">
        <x:v>À équilibrer</x:v>
      </x:c>
      <x:c r="J3344" s="115" t="str">
        <x:v>Non</x:v>
      </x:c>
      <x:c r="K3344" s="115" t="str">
        <x:v>Pièces décrites, murs, portes, niveaux et mobilier inspectables à l’échelle. Volumes réservés, raccord au seed, butin, rencontres et services de campagne restent à terminer.</x:v>
      </x:c>
    </x:row>
    <x:row r="3345" ht="96" customHeight="1">
      <x:c r="A3345" s="115" t="str">
        <x:v>EXT-MONDE-T067-V40</x:v>
      </x:c>
      <x:c r="B3345" s="115" t="str">
        <x:v>EXT-MONDE-T067</x:v>
      </x:c>
      <x:c r="C3345" s="115" t="str">
        <x:v>Stades</x:v>
      </x:c>
      <x:c r="D3345" s="115" t="str">
        <x:v>Vélodrome</x:v>
      </x:c>
      <x:c r="E3345" s="115" t="n">
        <x:v>40</x:v>
      </x:c>
      <x:c r="F3345" s="115" t="str">
        <x:v>Inspection physique</x:v>
      </x:c>
      <x:c r="G3345" s="115" t="str">
        <x:v>1 niveaux ; 32 pièces ; 248 segments de mur ; 0 transitions. Inspection physique ; architecture complète encore ouverte.</x:v>
      </x:c>
      <x:c r="H3345" s="115" t="str">
        <x:v>L 470 ; l 614 ; hauteur 16 m ; choix de composition auteur ; dimensions réelles à documenter</x:v>
      </x:c>
      <x:c r="I3345" s="115" t="str">
        <x:v>À équilibrer</x:v>
      </x:c>
      <x:c r="J3345" s="115" t="str">
        <x:v>Non</x:v>
      </x:c>
      <x:c r="K3345" s="115" t="str">
        <x:v>Pièces décrites, murs, portes, niveaux et mobilier inspectables à l’échelle. Volumes réservés, raccord au seed, butin, rencontres et services de campagne restent à terminer.</x:v>
      </x:c>
    </x:row>
    <x:row r="3346" ht="96" customHeight="1">
      <x:c r="A3346" s="115" t="str">
        <x:v>EXT-MONDE-T067-V41</x:v>
      </x:c>
      <x:c r="B3346" s="115" t="str">
        <x:v>EXT-MONDE-T067</x:v>
      </x:c>
      <x:c r="C3346" s="115" t="str">
        <x:v>Stades</x:v>
      </x:c>
      <x:c r="D3346" s="115" t="str">
        <x:v>Vélodrome</x:v>
      </x:c>
      <x:c r="E3346" s="115" t="n">
        <x:v>41</x:v>
      </x:c>
      <x:c r="F3346" s="115" t="str">
        <x:v>Inspection physique</x:v>
      </x:c>
      <x:c r="G3346" s="115" t="str">
        <x:v>1 niveaux ; 32 pièces ; 248 segments de mur ; 0 transitions. Inspection physique ; architecture complète encore ouverte.</x:v>
      </x:c>
      <x:c r="H3346" s="115" t="str">
        <x:v>L 482 ; l 622 ; hauteur 16 m ; choix de composition auteur ; dimensions réelles à documenter</x:v>
      </x:c>
      <x:c r="I3346" s="115" t="str">
        <x:v>À équilibrer</x:v>
      </x:c>
      <x:c r="J3346" s="115" t="str">
        <x:v>Non</x:v>
      </x:c>
      <x:c r="K3346" s="115" t="str">
        <x:v>Pièces décrites, murs, portes, niveaux et mobilier inspectables à l’échelle. Volumes réservés, raccord au seed, butin, rencontres et services de campagne restent à terminer.</x:v>
      </x:c>
    </x:row>
    <x:row r="3347" ht="96" customHeight="1">
      <x:c r="A3347" s="115" t="str">
        <x:v>EXT-MONDE-T067-V42</x:v>
      </x:c>
      <x:c r="B3347" s="115" t="str">
        <x:v>EXT-MONDE-T067</x:v>
      </x:c>
      <x:c r="C3347" s="115" t="str">
        <x:v>Stades</x:v>
      </x:c>
      <x:c r="D3347" s="115" t="str">
        <x:v>Vélodrome</x:v>
      </x:c>
      <x:c r="E3347" s="115" t="n">
        <x:v>42</x:v>
      </x:c>
      <x:c r="F3347" s="115" t="str">
        <x:v>Inspection physique</x:v>
      </x:c>
      <x:c r="G3347" s="115" t="str">
        <x:v>1 niveaux ; 32 pièces ; 248 segments de mur ; 0 transitions. Inspection physique ; architecture complète encore ouverte.</x:v>
      </x:c>
      <x:c r="H3347" s="115" t="str">
        <x:v>L 482 ; l 622 ; hauteur 16 m ; choix de composition auteur ; dimensions réelles à documenter</x:v>
      </x:c>
      <x:c r="I3347" s="115" t="str">
        <x:v>À équilibrer</x:v>
      </x:c>
      <x:c r="J3347" s="115" t="str">
        <x:v>Non</x:v>
      </x:c>
      <x:c r="K3347" s="115" t="str">
        <x:v>Pièces décrites, murs, portes, niveaux et mobilier inspectables à l’échelle. Volumes réservés, raccord au seed, butin, rencontres et services de campagne restent à terminer.</x:v>
      </x:c>
    </x:row>
    <x:row r="3348" ht="96" customHeight="1">
      <x:c r="A3348" s="115" t="str">
        <x:v>EXT-MONDE-T067-V43</x:v>
      </x:c>
      <x:c r="B3348" s="115" t="str">
        <x:v>EXT-MONDE-T067</x:v>
      </x:c>
      <x:c r="C3348" s="115" t="str">
        <x:v>Stades</x:v>
      </x:c>
      <x:c r="D3348" s="115" t="str">
        <x:v>Vélodrome</x:v>
      </x:c>
      <x:c r="E3348" s="115" t="n">
        <x:v>43</x:v>
      </x:c>
      <x:c r="F3348" s="115" t="str">
        <x:v>Inspection physique</x:v>
      </x:c>
      <x:c r="G3348" s="115" t="str">
        <x:v>1 niveaux ; 32 pièces ; 248 segments de mur ; 0 transitions. Inspection physique ; architecture complète encore ouverte.</x:v>
      </x:c>
      <x:c r="H3348" s="115" t="str">
        <x:v>L 482 ; l 622 ; hauteur 16 m ; choix de composition auteur ; dimensions réelles à documenter</x:v>
      </x:c>
      <x:c r="I3348" s="115" t="str">
        <x:v>À équilibrer</x:v>
      </x:c>
      <x:c r="J3348" s="115" t="str">
        <x:v>Non</x:v>
      </x:c>
      <x:c r="K3348" s="115" t="str">
        <x:v>Pièces décrites, murs, portes, niveaux et mobilier inspectables à l’échelle. Volumes réservés, raccord au seed, butin, rencontres et services de campagne restent à terminer.</x:v>
      </x:c>
    </x:row>
    <x:row r="3349" ht="96" customHeight="1">
      <x:c r="A3349" s="115" t="str">
        <x:v>EXT-MONDE-T067-V44</x:v>
      </x:c>
      <x:c r="B3349" s="115" t="str">
        <x:v>EXT-MONDE-T067</x:v>
      </x:c>
      <x:c r="C3349" s="115" t="str">
        <x:v>Stades</x:v>
      </x:c>
      <x:c r="D3349" s="115" t="str">
        <x:v>Vélodrome</x:v>
      </x:c>
      <x:c r="E3349" s="115" t="n">
        <x:v>44</x:v>
      </x:c>
      <x:c r="F3349" s="115" t="str">
        <x:v>Inspection physique</x:v>
      </x:c>
      <x:c r="G3349" s="115" t="str">
        <x:v>1 niveaux ; 32 pièces ; 248 segments de mur ; 0 transitions. Inspection physique ; architecture complète encore ouverte.</x:v>
      </x:c>
      <x:c r="H3349" s="115" t="str">
        <x:v>L 482 ; l 622 ; hauteur 16 m ; choix de composition auteur ; dimensions réelles à documenter</x:v>
      </x:c>
      <x:c r="I3349" s="115" t="str">
        <x:v>À équilibrer</x:v>
      </x:c>
      <x:c r="J3349" s="115" t="str">
        <x:v>Non</x:v>
      </x:c>
      <x:c r="K3349" s="115" t="str">
        <x:v>Pièces décrites, murs, portes, niveaux et mobilier inspectables à l’échelle. Volumes réservés, raccord au seed, butin, rencontres et services de campagne restent à terminer.</x:v>
      </x:c>
    </x:row>
    <x:row r="3350" ht="96" customHeight="1">
      <x:c r="A3350" s="115" t="str">
        <x:v>EXT-MONDE-T067-V45</x:v>
      </x:c>
      <x:c r="B3350" s="115" t="str">
        <x:v>EXT-MONDE-T067</x:v>
      </x:c>
      <x:c r="C3350" s="115" t="str">
        <x:v>Stades</x:v>
      </x:c>
      <x:c r="D3350" s="115" t="str">
        <x:v>Vélodrome</x:v>
      </x:c>
      <x:c r="E3350" s="115" t="n">
        <x:v>45</x:v>
      </x:c>
      <x:c r="F3350" s="115" t="str">
        <x:v>Inspection physique</x:v>
      </x:c>
      <x:c r="G3350" s="115" t="str">
        <x:v>1 niveaux ; 32 pièces ; 248 segments de mur ; 0 transitions. Inspection physique ; architecture complète encore ouverte.</x:v>
      </x:c>
      <x:c r="H3350" s="115" t="str">
        <x:v>L 482 ; l 622 ; hauteur 16 m ; choix de composition auteur ; dimensions réelles à documenter</x:v>
      </x:c>
      <x:c r="I3350" s="115" t="str">
        <x:v>À équilibrer</x:v>
      </x:c>
      <x:c r="J3350" s="115" t="str">
        <x:v>Non</x:v>
      </x:c>
      <x:c r="K3350" s="115" t="str">
        <x:v>Pièces décrites, murs, portes, niveaux et mobilier inspectables à l’échelle. Volumes réservés, raccord au seed, butin, rencontres et services de campagne restent à terminer.</x:v>
      </x:c>
    </x:row>
    <x:row r="3351" ht="96" customHeight="1">
      <x:c r="A3351" s="115" t="str">
        <x:v>EXT-MONDE-T067-V46</x:v>
      </x:c>
      <x:c r="B3351" s="115" t="str">
        <x:v>EXT-MONDE-T067</x:v>
      </x:c>
      <x:c r="C3351" s="115" t="str">
        <x:v>Stades</x:v>
      </x:c>
      <x:c r="D3351" s="115" t="str">
        <x:v>Vélodrome</x:v>
      </x:c>
      <x:c r="E3351" s="115" t="n">
        <x:v>46</x:v>
      </x:c>
      <x:c r="F3351" s="115" t="str">
        <x:v>Inspection physique</x:v>
      </x:c>
      <x:c r="G3351" s="115" t="str">
        <x:v>1 niveaux ; 32 pièces ; 248 segments de mur ; 0 transitions. Inspection physique ; architecture complète encore ouverte.</x:v>
      </x:c>
      <x:c r="H3351" s="115" t="str">
        <x:v>L 482 ; l 622 ; hauteur 16 m ; choix de composition auteur ; dimensions réelles à documenter</x:v>
      </x:c>
      <x:c r="I3351" s="115" t="str">
        <x:v>À équilibrer</x:v>
      </x:c>
      <x:c r="J3351" s="115" t="str">
        <x:v>Non</x:v>
      </x:c>
      <x:c r="K3351" s="115" t="str">
        <x:v>Pièces décrites, murs, portes, niveaux et mobilier inspectables à l’échelle. Volumes réservés, raccord au seed, butin, rencontres et services de campagne restent à terminer.</x:v>
      </x:c>
    </x:row>
    <x:row r="3352" ht="96" customHeight="1">
      <x:c r="A3352" s="115" t="str">
        <x:v>EXT-MONDE-T067-V47</x:v>
      </x:c>
      <x:c r="B3352" s="115" t="str">
        <x:v>EXT-MONDE-T067</x:v>
      </x:c>
      <x:c r="C3352" s="115" t="str">
        <x:v>Stades</x:v>
      </x:c>
      <x:c r="D3352" s="115" t="str">
        <x:v>Vélodrome</x:v>
      </x:c>
      <x:c r="E3352" s="115" t="n">
        <x:v>47</x:v>
      </x:c>
      <x:c r="F3352" s="115" t="str">
        <x:v>Inspection physique</x:v>
      </x:c>
      <x:c r="G3352" s="115" t="str">
        <x:v>1 niveaux ; 32 pièces ; 248 segments de mur ; 0 transitions. Inspection physique ; architecture complète encore ouverte.</x:v>
      </x:c>
      <x:c r="H3352" s="115" t="str">
        <x:v>L 482 ; l 622 ; hauteur 16 m ; choix de composition auteur ; dimensions réelles à documenter</x:v>
      </x:c>
      <x:c r="I3352" s="115" t="str">
        <x:v>À équilibrer</x:v>
      </x:c>
      <x:c r="J3352" s="115" t="str">
        <x:v>Non</x:v>
      </x:c>
      <x:c r="K3352" s="115" t="str">
        <x:v>Pièces décrites, murs, portes, niveaux et mobilier inspectables à l’échelle. Volumes réservés, raccord au seed, butin, rencontres et services de campagne restent à terminer.</x:v>
      </x:c>
    </x:row>
    <x:row r="3353" ht="96" customHeight="1">
      <x:c r="A3353" s="115" t="str">
        <x:v>EXT-MONDE-T067-V48</x:v>
      </x:c>
      <x:c r="B3353" s="115" t="str">
        <x:v>EXT-MONDE-T067</x:v>
      </x:c>
      <x:c r="C3353" s="115" t="str">
        <x:v>Stades</x:v>
      </x:c>
      <x:c r="D3353" s="115" t="str">
        <x:v>Vélodrome</x:v>
      </x:c>
      <x:c r="E3353" s="115" t="n">
        <x:v>48</x:v>
      </x:c>
      <x:c r="F3353" s="115" t="str">
        <x:v>Inspection physique</x:v>
      </x:c>
      <x:c r="G3353" s="115" t="str">
        <x:v>1 niveaux ; 32 pièces ; 248 segments de mur ; 0 transitions. Inspection physique ; architecture complète encore ouverte.</x:v>
      </x:c>
      <x:c r="H3353" s="115" t="str">
        <x:v>L 482 ; l 622 ; hauteur 16 m ; choix de composition auteur ; dimensions réelles à documenter</x:v>
      </x:c>
      <x:c r="I3353" s="115" t="str">
        <x:v>À équilibrer</x:v>
      </x:c>
      <x:c r="J3353" s="115" t="str">
        <x:v>Non</x:v>
      </x:c>
      <x:c r="K3353" s="115" t="str">
        <x:v>Pièces décrites, murs, portes, niveaux et mobilier inspectables à l’échelle. Volumes réservés, raccord au seed, butin, rencontres et services de campagne restent à terminer.</x:v>
      </x:c>
    </x:row>
    <x:row r="3354" ht="96" customHeight="1">
      <x:c r="A3354" s="115" t="str">
        <x:v>EXT-MONDE-T067-V49</x:v>
      </x:c>
      <x:c r="B3354" s="115" t="str">
        <x:v>EXT-MONDE-T067</x:v>
      </x:c>
      <x:c r="C3354" s="115" t="str">
        <x:v>Stades</x:v>
      </x:c>
      <x:c r="D3354" s="115" t="str">
        <x:v>Vélodrome</x:v>
      </x:c>
      <x:c r="E3354" s="115" t="n">
        <x:v>49</x:v>
      </x:c>
      <x:c r="F3354" s="115" t="str">
        <x:v>Inspection physique</x:v>
      </x:c>
      <x:c r="G3354" s="115" t="str">
        <x:v>1 niveaux ; 32 pièces ; 248 segments de mur ; 0 transitions. Inspection physique ; architecture complète encore ouverte.</x:v>
      </x:c>
      <x:c r="H3354" s="115" t="str">
        <x:v>L 482 ; l 622 ; hauteur 16 m ; choix de composition auteur ; dimensions réelles à documenter</x:v>
      </x:c>
      <x:c r="I3354" s="115" t="str">
        <x:v>À équilibrer</x:v>
      </x:c>
      <x:c r="J3354" s="115" t="str">
        <x:v>Non</x:v>
      </x:c>
      <x:c r="K3354" s="115" t="str">
        <x:v>Pièces décrites, murs, portes, niveaux et mobilier inspectables à l’échelle. Volumes réservés, raccord au seed, butin, rencontres et services de campagne restent à terminer.</x:v>
      </x:c>
    </x:row>
    <x:row r="3355" ht="96" customHeight="1">
      <x:c r="A3355" s="115" t="str">
        <x:v>EXT-MONDE-T067-V50</x:v>
      </x:c>
      <x:c r="B3355" s="115" t="str">
        <x:v>EXT-MONDE-T067</x:v>
      </x:c>
      <x:c r="C3355" s="115" t="str">
        <x:v>Stades</x:v>
      </x:c>
      <x:c r="D3355" s="115" t="str">
        <x:v>Vélodrome</x:v>
      </x:c>
      <x:c r="E3355" s="115" t="n">
        <x:v>50</x:v>
      </x:c>
      <x:c r="F3355" s="115" t="str">
        <x:v>Inspection physique</x:v>
      </x:c>
      <x:c r="G3355" s="115" t="str">
        <x:v>1 niveaux ; 32 pièces ; 248 segments de mur ; 0 transitions. Inspection physique ; architecture complète encore ouverte.</x:v>
      </x:c>
      <x:c r="H3355" s="115" t="str">
        <x:v>L 482 ; l 622 ; hauteur 16 m ; choix de composition auteur ; dimensions réelles à documenter</x:v>
      </x:c>
      <x:c r="I3355" s="115" t="str">
        <x:v>À équilibrer</x:v>
      </x:c>
      <x:c r="J3355" s="115" t="str">
        <x:v>Non</x:v>
      </x:c>
      <x:c r="K3355" s="115" t="str">
        <x:v>Pièces décrites, murs, portes, niveaux et mobilier inspectables à l’échelle. Volumes réservés, raccord au seed, butin, rencontres et services de campagne restent à terminer.</x:v>
      </x:c>
    </x:row>
    <x:row r="3356" ht="96" customHeight="1">
      <x:c r="A3356" s="115" t="str">
        <x:v>EXT-MONDE-T068-V01</x:v>
      </x:c>
      <x:c r="B3356" s="115" t="str">
        <x:v>EXT-MONDE-T068</x:v>
      </x:c>
      <x:c r="C3356" s="115" t="str">
        <x:v>Stades</x:v>
      </x:c>
      <x:c r="D3356" s="115" t="str">
        <x:v>Complexe sportif</x:v>
      </x:c>
      <x:c r="E3356" s="115" t="n">
        <x:v>1</x:v>
      </x:c>
      <x:c r="F3356" s="115" t="str">
        <x:v>Inspection physique</x:v>
      </x:c>
      <x:c r="G3356" s="115" t="str">
        <x:v>1 niveaux ; 32 pièces ; 248 segments de mur ; 0 transitions. Inspection physique ; architecture complète encore ouverte.</x:v>
      </x:c>
      <x:c r="H3356" s="115" t="str">
        <x:v>L 362 ; l 570 ; hauteur 10 m ; choix de composition auteur ; dimensions réelles à documenter</x:v>
      </x:c>
      <x:c r="I3356" s="115" t="str">
        <x:v>À équilibrer</x:v>
      </x:c>
      <x:c r="J3356" s="115" t="str">
        <x:v>Non</x:v>
      </x:c>
      <x:c r="K3356" s="115" t="str">
        <x:v>Pièces décrites, murs, portes, niveaux et mobilier inspectables à l’échelle. Volumes réservés, raccord au seed, butin, rencontres et services de campagne restent à terminer.</x:v>
      </x:c>
    </x:row>
    <x:row r="3357" ht="96" customHeight="1">
      <x:c r="A3357" s="115" t="str">
        <x:v>EXT-MONDE-T068-V02</x:v>
      </x:c>
      <x:c r="B3357" s="115" t="str">
        <x:v>EXT-MONDE-T068</x:v>
      </x:c>
      <x:c r="C3357" s="115" t="str">
        <x:v>Stades</x:v>
      </x:c>
      <x:c r="D3357" s="115" t="str">
        <x:v>Complexe sportif</x:v>
      </x:c>
      <x:c r="E3357" s="115" t="n">
        <x:v>2</x:v>
      </x:c>
      <x:c r="F3357" s="115" t="str">
        <x:v>Inspection physique</x:v>
      </x:c>
      <x:c r="G3357" s="115" t="str">
        <x:v>1 niveaux ; 32 pièces ; 248 segments de mur ; 0 transitions. Inspection physique ; architecture complète encore ouverte.</x:v>
      </x:c>
      <x:c r="H3357" s="115" t="str">
        <x:v>L 362 ; l 570 ; hauteur 10 m ; choix de composition auteur ; dimensions réelles à documenter</x:v>
      </x:c>
      <x:c r="I3357" s="115" t="str">
        <x:v>À équilibrer</x:v>
      </x:c>
      <x:c r="J3357" s="115" t="str">
        <x:v>Non</x:v>
      </x:c>
      <x:c r="K3357" s="115" t="str">
        <x:v>Pièces décrites, murs, portes, niveaux et mobilier inspectables à l’échelle. Volumes réservés, raccord au seed, butin, rencontres et services de campagne restent à terminer.</x:v>
      </x:c>
    </x:row>
    <x:row r="3358" ht="96" customHeight="1">
      <x:c r="A3358" s="115" t="str">
        <x:v>EXT-MONDE-T068-V03</x:v>
      </x:c>
      <x:c r="B3358" s="115" t="str">
        <x:v>EXT-MONDE-T068</x:v>
      </x:c>
      <x:c r="C3358" s="115" t="str">
        <x:v>Stades</x:v>
      </x:c>
      <x:c r="D3358" s="115" t="str">
        <x:v>Complexe sportif</x:v>
      </x:c>
      <x:c r="E3358" s="115" t="n">
        <x:v>3</x:v>
      </x:c>
      <x:c r="F3358" s="115" t="str">
        <x:v>Inspection physique</x:v>
      </x:c>
      <x:c r="G3358" s="115" t="str">
        <x:v>1 niveaux ; 32 pièces ; 248 segments de mur ; 0 transitions. Inspection physique ; architecture complète encore ouverte.</x:v>
      </x:c>
      <x:c r="H3358" s="115" t="str">
        <x:v>L 362 ; l 570 ; hauteur 10 m ; choix de composition auteur ; dimensions réelles à documenter</x:v>
      </x:c>
      <x:c r="I3358" s="115" t="str">
        <x:v>À équilibrer</x:v>
      </x:c>
      <x:c r="J3358" s="115" t="str">
        <x:v>Non</x:v>
      </x:c>
      <x:c r="K3358" s="115" t="str">
        <x:v>Pièces décrites, murs, portes, niveaux et mobilier inspectables à l’échelle. Volumes réservés, raccord au seed, butin, rencontres et services de campagne restent à terminer.</x:v>
      </x:c>
    </x:row>
    <x:row r="3359" ht="96" customHeight="1">
      <x:c r="A3359" s="115" t="str">
        <x:v>EXT-MONDE-T068-V04</x:v>
      </x:c>
      <x:c r="B3359" s="115" t="str">
        <x:v>EXT-MONDE-T068</x:v>
      </x:c>
      <x:c r="C3359" s="115" t="str">
        <x:v>Stades</x:v>
      </x:c>
      <x:c r="D3359" s="115" t="str">
        <x:v>Complexe sportif</x:v>
      </x:c>
      <x:c r="E3359" s="115" t="n">
        <x:v>4</x:v>
      </x:c>
      <x:c r="F3359" s="115" t="str">
        <x:v>Inspection physique</x:v>
      </x:c>
      <x:c r="G3359" s="115" t="str">
        <x:v>1 niveaux ; 32 pièces ; 248 segments de mur ; 0 transitions. Inspection physique ; architecture complète encore ouverte.</x:v>
      </x:c>
      <x:c r="H3359" s="115" t="str">
        <x:v>L 362 ; l 570 ; hauteur 10 m ; choix de composition auteur ; dimensions réelles à documenter</x:v>
      </x:c>
      <x:c r="I3359" s="115" t="str">
        <x:v>À équilibrer</x:v>
      </x:c>
      <x:c r="J3359" s="115" t="str">
        <x:v>Non</x:v>
      </x:c>
      <x:c r="K3359" s="115" t="str">
        <x:v>Pièces décrites, murs, portes, niveaux et mobilier inspectables à l’échelle. Volumes réservés, raccord au seed, butin, rencontres et services de campagne restent à terminer.</x:v>
      </x:c>
    </x:row>
    <x:row r="3360" ht="96" customHeight="1">
      <x:c r="A3360" s="115" t="str">
        <x:v>EXT-MONDE-T068-V05</x:v>
      </x:c>
      <x:c r="B3360" s="115" t="str">
        <x:v>EXT-MONDE-T068</x:v>
      </x:c>
      <x:c r="C3360" s="115" t="str">
        <x:v>Stades</x:v>
      </x:c>
      <x:c r="D3360" s="115" t="str">
        <x:v>Complexe sportif</x:v>
      </x:c>
      <x:c r="E3360" s="115" t="n">
        <x:v>5</x:v>
      </x:c>
      <x:c r="F3360" s="115" t="str">
        <x:v>Inspection physique</x:v>
      </x:c>
      <x:c r="G3360" s="115" t="str">
        <x:v>1 niveaux ; 32 pièces ; 248 segments de mur ; 0 transitions. Inspection physique ; architecture complète encore ouverte.</x:v>
      </x:c>
      <x:c r="H3360" s="115" t="str">
        <x:v>L 362 ; l 570 ; hauteur 10 m ; choix de composition auteur ; dimensions réelles à documenter</x:v>
      </x:c>
      <x:c r="I3360" s="115" t="str">
        <x:v>À équilibrer</x:v>
      </x:c>
      <x:c r="J3360" s="115" t="str">
        <x:v>Non</x:v>
      </x:c>
      <x:c r="K3360" s="115" t="str">
        <x:v>Pièces décrites, murs, portes, niveaux et mobilier inspectables à l’échelle. Volumes réservés, raccord au seed, butin, rencontres et services de campagne restent à terminer.</x:v>
      </x:c>
    </x:row>
    <x:row r="3361" ht="96" customHeight="1">
      <x:c r="A3361" s="115" t="str">
        <x:v>EXT-MONDE-T068-V06</x:v>
      </x:c>
      <x:c r="B3361" s="115" t="str">
        <x:v>EXT-MONDE-T068</x:v>
      </x:c>
      <x:c r="C3361" s="115" t="str">
        <x:v>Stades</x:v>
      </x:c>
      <x:c r="D3361" s="115" t="str">
        <x:v>Complexe sportif</x:v>
      </x:c>
      <x:c r="E3361" s="115" t="n">
        <x:v>6</x:v>
      </x:c>
      <x:c r="F3361" s="115" t="str">
        <x:v>Inspection physique</x:v>
      </x:c>
      <x:c r="G3361" s="115" t="str">
        <x:v>1 niveaux ; 32 pièces ; 248 segments de mur ; 0 transitions. Inspection physique ; architecture complète encore ouverte.</x:v>
      </x:c>
      <x:c r="H3361" s="115" t="str">
        <x:v>L 362 ; l 570 ; hauteur 10 m ; choix de composition auteur ; dimensions réelles à documenter</x:v>
      </x:c>
      <x:c r="I3361" s="115" t="str">
        <x:v>À équilibrer</x:v>
      </x:c>
      <x:c r="J3361" s="115" t="str">
        <x:v>Non</x:v>
      </x:c>
      <x:c r="K3361" s="115" t="str">
        <x:v>Pièces décrites, murs, portes, niveaux et mobilier inspectables à l’échelle. Volumes réservés, raccord au seed, butin, rencontres et services de campagne restent à terminer.</x:v>
      </x:c>
    </x:row>
    <x:row r="3362" ht="96" customHeight="1">
      <x:c r="A3362" s="115" t="str">
        <x:v>EXT-MONDE-T068-V07</x:v>
      </x:c>
      <x:c r="B3362" s="115" t="str">
        <x:v>EXT-MONDE-T068</x:v>
      </x:c>
      <x:c r="C3362" s="115" t="str">
        <x:v>Stades</x:v>
      </x:c>
      <x:c r="D3362" s="115" t="str">
        <x:v>Complexe sportif</x:v>
      </x:c>
      <x:c r="E3362" s="115" t="n">
        <x:v>7</x:v>
      </x:c>
      <x:c r="F3362" s="115" t="str">
        <x:v>Inspection physique</x:v>
      </x:c>
      <x:c r="G3362" s="115" t="str">
        <x:v>1 niveaux ; 32 pièces ; 248 segments de mur ; 0 transitions. Inspection physique ; architecture complète encore ouverte.</x:v>
      </x:c>
      <x:c r="H3362" s="115" t="str">
        <x:v>L 362 ; l 570 ; hauteur 10 m ; choix de composition auteur ; dimensions réelles à documenter</x:v>
      </x:c>
      <x:c r="I3362" s="115" t="str">
        <x:v>À équilibrer</x:v>
      </x:c>
      <x:c r="J3362" s="115" t="str">
        <x:v>Non</x:v>
      </x:c>
      <x:c r="K3362" s="115" t="str">
        <x:v>Pièces décrites, murs, portes, niveaux et mobilier inspectables à l’échelle. Volumes réservés, raccord au seed, butin, rencontres et services de campagne restent à terminer.</x:v>
      </x:c>
    </x:row>
    <x:row r="3363" ht="96" customHeight="1">
      <x:c r="A3363" s="115" t="str">
        <x:v>EXT-MONDE-T068-V08</x:v>
      </x:c>
      <x:c r="B3363" s="115" t="str">
        <x:v>EXT-MONDE-T068</x:v>
      </x:c>
      <x:c r="C3363" s="115" t="str">
        <x:v>Stades</x:v>
      </x:c>
      <x:c r="D3363" s="115" t="str">
        <x:v>Complexe sportif</x:v>
      </x:c>
      <x:c r="E3363" s="115" t="n">
        <x:v>8</x:v>
      </x:c>
      <x:c r="F3363" s="115" t="str">
        <x:v>Inspection physique</x:v>
      </x:c>
      <x:c r="G3363" s="115" t="str">
        <x:v>1 niveaux ; 32 pièces ; 248 segments de mur ; 0 transitions. Inspection physique ; architecture complète encore ouverte.</x:v>
      </x:c>
      <x:c r="H3363" s="115" t="str">
        <x:v>L 362 ; l 570 ; hauteur 10 m ; choix de composition auteur ; dimensions réelles à documenter</x:v>
      </x:c>
      <x:c r="I3363" s="115" t="str">
        <x:v>À équilibrer</x:v>
      </x:c>
      <x:c r="J3363" s="115" t="str">
        <x:v>Non</x:v>
      </x:c>
      <x:c r="K3363" s="115" t="str">
        <x:v>Pièces décrites, murs, portes, niveaux et mobilier inspectables à l’échelle. Volumes réservés, raccord au seed, butin, rencontres et services de campagne restent à terminer.</x:v>
      </x:c>
    </x:row>
    <x:row r="3364" ht="96" customHeight="1">
      <x:c r="A3364" s="115" t="str">
        <x:v>EXT-MONDE-T068-V09</x:v>
      </x:c>
      <x:c r="B3364" s="115" t="str">
        <x:v>EXT-MONDE-T068</x:v>
      </x:c>
      <x:c r="C3364" s="115" t="str">
        <x:v>Stades</x:v>
      </x:c>
      <x:c r="D3364" s="115" t="str">
        <x:v>Complexe sportif</x:v>
      </x:c>
      <x:c r="E3364" s="115" t="n">
        <x:v>9</x:v>
      </x:c>
      <x:c r="F3364" s="115" t="str">
        <x:v>Inspection physique</x:v>
      </x:c>
      <x:c r="G3364" s="115" t="str">
        <x:v>1 niveaux ; 32 pièces ; 248 segments de mur ; 0 transitions. Inspection physique ; architecture complète encore ouverte.</x:v>
      </x:c>
      <x:c r="H3364" s="115" t="str">
        <x:v>L 362 ; l 570 ; hauteur 10 m ; choix de composition auteur ; dimensions réelles à documenter</x:v>
      </x:c>
      <x:c r="I3364" s="115" t="str">
        <x:v>À équilibrer</x:v>
      </x:c>
      <x:c r="J3364" s="115" t="str">
        <x:v>Non</x:v>
      </x:c>
      <x:c r="K3364" s="115" t="str">
        <x:v>Pièces décrites, murs, portes, niveaux et mobilier inspectables à l’échelle. Volumes réservés, raccord au seed, butin, rencontres et services de campagne restent à terminer.</x:v>
      </x:c>
    </x:row>
    <x:row r="3365" ht="96" customHeight="1">
      <x:c r="A3365" s="115" t="str">
        <x:v>EXT-MONDE-T068-V10</x:v>
      </x:c>
      <x:c r="B3365" s="115" t="str">
        <x:v>EXT-MONDE-T068</x:v>
      </x:c>
      <x:c r="C3365" s="115" t="str">
        <x:v>Stades</x:v>
      </x:c>
      <x:c r="D3365" s="115" t="str">
        <x:v>Complexe sportif</x:v>
      </x:c>
      <x:c r="E3365" s="115" t="n">
        <x:v>10</x:v>
      </x:c>
      <x:c r="F3365" s="115" t="str">
        <x:v>Inspection physique</x:v>
      </x:c>
      <x:c r="G3365" s="115" t="str">
        <x:v>1 niveaux ; 32 pièces ; 248 segments de mur ; 0 transitions. Inspection physique ; architecture complète encore ouverte.</x:v>
      </x:c>
      <x:c r="H3365" s="115" t="str">
        <x:v>L 362 ; l 570 ; hauteur 10 m ; choix de composition auteur ; dimensions réelles à documenter</x:v>
      </x:c>
      <x:c r="I3365" s="115" t="str">
        <x:v>À équilibrer</x:v>
      </x:c>
      <x:c r="J3365" s="115" t="str">
        <x:v>Non</x:v>
      </x:c>
      <x:c r="K3365" s="115" t="str">
        <x:v>Pièces décrites, murs, portes, niveaux et mobilier inspectables à l’échelle. Volumes réservés, raccord au seed, butin, rencontres et services de campagne restent à terminer.</x:v>
      </x:c>
    </x:row>
    <x:row r="3366" ht="96" customHeight="1">
      <x:c r="A3366" s="115" t="str">
        <x:v>EXT-MONDE-T068-V11</x:v>
      </x:c>
      <x:c r="B3366" s="115" t="str">
        <x:v>EXT-MONDE-T068</x:v>
      </x:c>
      <x:c r="C3366" s="115" t="str">
        <x:v>Stades</x:v>
      </x:c>
      <x:c r="D3366" s="115" t="str">
        <x:v>Complexe sportif</x:v>
      </x:c>
      <x:c r="E3366" s="115" t="n">
        <x:v>11</x:v>
      </x:c>
      <x:c r="F3366" s="115" t="str">
        <x:v>Inspection physique</x:v>
      </x:c>
      <x:c r="G3366" s="115" t="str">
        <x:v>1 niveaux ; 32 pièces ; 248 segments de mur ; 0 transitions. Inspection physique ; architecture complète encore ouverte.</x:v>
      </x:c>
      <x:c r="H3366" s="115" t="str">
        <x:v>L 374 ; l 578 ; hauteur 10 m ; choix de composition auteur ; dimensions réelles à documenter</x:v>
      </x:c>
      <x:c r="I3366" s="115" t="str">
        <x:v>À équilibrer</x:v>
      </x:c>
      <x:c r="J3366" s="115" t="str">
        <x:v>Non</x:v>
      </x:c>
      <x:c r="K3366" s="115" t="str">
        <x:v>Pièces décrites, murs, portes, niveaux et mobilier inspectables à l’échelle. Volumes réservés, raccord au seed, butin, rencontres et services de campagne restent à terminer.</x:v>
      </x:c>
    </x:row>
    <x:row r="3367" ht="96" customHeight="1">
      <x:c r="A3367" s="115" t="str">
        <x:v>EXT-MONDE-T068-V12</x:v>
      </x:c>
      <x:c r="B3367" s="115" t="str">
        <x:v>EXT-MONDE-T068</x:v>
      </x:c>
      <x:c r="C3367" s="115" t="str">
        <x:v>Stades</x:v>
      </x:c>
      <x:c r="D3367" s="115" t="str">
        <x:v>Complexe sportif</x:v>
      </x:c>
      <x:c r="E3367" s="115" t="n">
        <x:v>12</x:v>
      </x:c>
      <x:c r="F3367" s="115" t="str">
        <x:v>Inspection physique</x:v>
      </x:c>
      <x:c r="G3367" s="115" t="str">
        <x:v>1 niveaux ; 32 pièces ; 248 segments de mur ; 0 transitions. Inspection physique ; architecture complète encore ouverte.</x:v>
      </x:c>
      <x:c r="H3367" s="115" t="str">
        <x:v>L 374 ; l 578 ; hauteur 10 m ; choix de composition auteur ; dimensions réelles à documenter</x:v>
      </x:c>
      <x:c r="I3367" s="115" t="str">
        <x:v>À équilibrer</x:v>
      </x:c>
      <x:c r="J3367" s="115" t="str">
        <x:v>Non</x:v>
      </x:c>
      <x:c r="K3367" s="115" t="str">
        <x:v>Pièces décrites, murs, portes, niveaux et mobilier inspectables à l’échelle. Volumes réservés, raccord au seed, butin, rencontres et services de campagne restent à terminer.</x:v>
      </x:c>
    </x:row>
    <x:row r="3368" ht="96" customHeight="1">
      <x:c r="A3368" s="115" t="str">
        <x:v>EXT-MONDE-T068-V13</x:v>
      </x:c>
      <x:c r="B3368" s="115" t="str">
        <x:v>EXT-MONDE-T068</x:v>
      </x:c>
      <x:c r="C3368" s="115" t="str">
        <x:v>Stades</x:v>
      </x:c>
      <x:c r="D3368" s="115" t="str">
        <x:v>Complexe sportif</x:v>
      </x:c>
      <x:c r="E3368" s="115" t="n">
        <x:v>13</x:v>
      </x:c>
      <x:c r="F3368" s="115" t="str">
        <x:v>Inspection physique</x:v>
      </x:c>
      <x:c r="G3368" s="115" t="str">
        <x:v>1 niveaux ; 32 pièces ; 248 segments de mur ; 0 transitions. Inspection physique ; architecture complète encore ouverte.</x:v>
      </x:c>
      <x:c r="H3368" s="115" t="str">
        <x:v>L 374 ; l 578 ; hauteur 10 m ; choix de composition auteur ; dimensions réelles à documenter</x:v>
      </x:c>
      <x:c r="I3368" s="115" t="str">
        <x:v>À équilibrer</x:v>
      </x:c>
      <x:c r="J3368" s="115" t="str">
        <x:v>Non</x:v>
      </x:c>
      <x:c r="K3368" s="115" t="str">
        <x:v>Pièces décrites, murs, portes, niveaux et mobilier inspectables à l’échelle. Volumes réservés, raccord au seed, butin, rencontres et services de campagne restent à terminer.</x:v>
      </x:c>
    </x:row>
    <x:row r="3369" ht="96" customHeight="1">
      <x:c r="A3369" s="115" t="str">
        <x:v>EXT-MONDE-T068-V14</x:v>
      </x:c>
      <x:c r="B3369" s="115" t="str">
        <x:v>EXT-MONDE-T068</x:v>
      </x:c>
      <x:c r="C3369" s="115" t="str">
        <x:v>Stades</x:v>
      </x:c>
      <x:c r="D3369" s="115" t="str">
        <x:v>Complexe sportif</x:v>
      </x:c>
      <x:c r="E3369" s="115" t="n">
        <x:v>14</x:v>
      </x:c>
      <x:c r="F3369" s="115" t="str">
        <x:v>Inspection physique</x:v>
      </x:c>
      <x:c r="G3369" s="115" t="str">
        <x:v>1 niveaux ; 32 pièces ; 248 segments de mur ; 0 transitions. Inspection physique ; architecture complète encore ouverte.</x:v>
      </x:c>
      <x:c r="H3369" s="115" t="str">
        <x:v>L 374 ; l 578 ; hauteur 10 m ; choix de composition auteur ; dimensions réelles à documenter</x:v>
      </x:c>
      <x:c r="I3369" s="115" t="str">
        <x:v>À équilibrer</x:v>
      </x:c>
      <x:c r="J3369" s="115" t="str">
        <x:v>Non</x:v>
      </x:c>
      <x:c r="K3369" s="115" t="str">
        <x:v>Pièces décrites, murs, portes, niveaux et mobilier inspectables à l’échelle. Volumes réservés, raccord au seed, butin, rencontres et services de campagne restent à terminer.</x:v>
      </x:c>
    </x:row>
    <x:row r="3370" ht="96" customHeight="1">
      <x:c r="A3370" s="115" t="str">
        <x:v>EXT-MONDE-T068-V15</x:v>
      </x:c>
      <x:c r="B3370" s="115" t="str">
        <x:v>EXT-MONDE-T068</x:v>
      </x:c>
      <x:c r="C3370" s="115" t="str">
        <x:v>Stades</x:v>
      </x:c>
      <x:c r="D3370" s="115" t="str">
        <x:v>Complexe sportif</x:v>
      </x:c>
      <x:c r="E3370" s="115" t="n">
        <x:v>15</x:v>
      </x:c>
      <x:c r="F3370" s="115" t="str">
        <x:v>Inspection physique</x:v>
      </x:c>
      <x:c r="G3370" s="115" t="str">
        <x:v>1 niveaux ; 32 pièces ; 248 segments de mur ; 0 transitions. Inspection physique ; architecture complète encore ouverte.</x:v>
      </x:c>
      <x:c r="H3370" s="115" t="str">
        <x:v>L 374 ; l 578 ; hauteur 10 m ; choix de composition auteur ; dimensions réelles à documenter</x:v>
      </x:c>
      <x:c r="I3370" s="115" t="str">
        <x:v>À équilibrer</x:v>
      </x:c>
      <x:c r="J3370" s="115" t="str">
        <x:v>Non</x:v>
      </x:c>
      <x:c r="K3370" s="115" t="str">
        <x:v>Pièces décrites, murs, portes, niveaux et mobilier inspectables à l’échelle. Volumes réservés, raccord au seed, butin, rencontres et services de campagne restent à terminer.</x:v>
      </x:c>
    </x:row>
    <x:row r="3371" ht="96" customHeight="1">
      <x:c r="A3371" s="115" t="str">
        <x:v>EXT-MONDE-T068-V16</x:v>
      </x:c>
      <x:c r="B3371" s="115" t="str">
        <x:v>EXT-MONDE-T068</x:v>
      </x:c>
      <x:c r="C3371" s="115" t="str">
        <x:v>Stades</x:v>
      </x:c>
      <x:c r="D3371" s="115" t="str">
        <x:v>Complexe sportif</x:v>
      </x:c>
      <x:c r="E3371" s="115" t="n">
        <x:v>16</x:v>
      </x:c>
      <x:c r="F3371" s="115" t="str">
        <x:v>Inspection physique</x:v>
      </x:c>
      <x:c r="G3371" s="115" t="str">
        <x:v>1 niveaux ; 32 pièces ; 248 segments de mur ; 0 transitions. Inspection physique ; architecture complète encore ouverte.</x:v>
      </x:c>
      <x:c r="H3371" s="115" t="str">
        <x:v>L 374 ; l 578 ; hauteur 10 m ; choix de composition auteur ; dimensions réelles à documenter</x:v>
      </x:c>
      <x:c r="I3371" s="115" t="str">
        <x:v>À équilibrer</x:v>
      </x:c>
      <x:c r="J3371" s="115" t="str">
        <x:v>Non</x:v>
      </x:c>
      <x:c r="K3371" s="115" t="str">
        <x:v>Pièces décrites, murs, portes, niveaux et mobilier inspectables à l’échelle. Volumes réservés, raccord au seed, butin, rencontres et services de campagne restent à terminer.</x:v>
      </x:c>
    </x:row>
    <x:row r="3372" ht="96" customHeight="1">
      <x:c r="A3372" s="115" t="str">
        <x:v>EXT-MONDE-T068-V17</x:v>
      </x:c>
      <x:c r="B3372" s="115" t="str">
        <x:v>EXT-MONDE-T068</x:v>
      </x:c>
      <x:c r="C3372" s="115" t="str">
        <x:v>Stades</x:v>
      </x:c>
      <x:c r="D3372" s="115" t="str">
        <x:v>Complexe sportif</x:v>
      </x:c>
      <x:c r="E3372" s="115" t="n">
        <x:v>17</x:v>
      </x:c>
      <x:c r="F3372" s="115" t="str">
        <x:v>Inspection physique</x:v>
      </x:c>
      <x:c r="G3372" s="115" t="str">
        <x:v>1 niveaux ; 32 pièces ; 248 segments de mur ; 0 transitions. Inspection physique ; architecture complète encore ouverte.</x:v>
      </x:c>
      <x:c r="H3372" s="115" t="str">
        <x:v>L 374 ; l 578 ; hauteur 10 m ; choix de composition auteur ; dimensions réelles à documenter</x:v>
      </x:c>
      <x:c r="I3372" s="115" t="str">
        <x:v>À équilibrer</x:v>
      </x:c>
      <x:c r="J3372" s="115" t="str">
        <x:v>Non</x:v>
      </x:c>
      <x:c r="K3372" s="115" t="str">
        <x:v>Pièces décrites, murs, portes, niveaux et mobilier inspectables à l’échelle. Volumes réservés, raccord au seed, butin, rencontres et services de campagne restent à terminer.</x:v>
      </x:c>
    </x:row>
    <x:row r="3373" ht="96" customHeight="1">
      <x:c r="A3373" s="115" t="str">
        <x:v>EXT-MONDE-T068-V18</x:v>
      </x:c>
      <x:c r="B3373" s="115" t="str">
        <x:v>EXT-MONDE-T068</x:v>
      </x:c>
      <x:c r="C3373" s="115" t="str">
        <x:v>Stades</x:v>
      </x:c>
      <x:c r="D3373" s="115" t="str">
        <x:v>Complexe sportif</x:v>
      </x:c>
      <x:c r="E3373" s="115" t="n">
        <x:v>18</x:v>
      </x:c>
      <x:c r="F3373" s="115" t="str">
        <x:v>Inspection physique</x:v>
      </x:c>
      <x:c r="G3373" s="115" t="str">
        <x:v>1 niveaux ; 32 pièces ; 248 segments de mur ; 0 transitions. Inspection physique ; architecture complète encore ouverte.</x:v>
      </x:c>
      <x:c r="H3373" s="115" t="str">
        <x:v>L 374 ; l 578 ; hauteur 10 m ; choix de composition auteur ; dimensions réelles à documenter</x:v>
      </x:c>
      <x:c r="I3373" s="115" t="str">
        <x:v>À équilibrer</x:v>
      </x:c>
      <x:c r="J3373" s="115" t="str">
        <x:v>Non</x:v>
      </x:c>
      <x:c r="K3373" s="115" t="str">
        <x:v>Pièces décrites, murs, portes, niveaux et mobilier inspectables à l’échelle. Volumes réservés, raccord au seed, butin, rencontres et services de campagne restent à terminer.</x:v>
      </x:c>
    </x:row>
    <x:row r="3374" ht="96" customHeight="1">
      <x:c r="A3374" s="115" t="str">
        <x:v>EXT-MONDE-T068-V19</x:v>
      </x:c>
      <x:c r="B3374" s="115" t="str">
        <x:v>EXT-MONDE-T068</x:v>
      </x:c>
      <x:c r="C3374" s="115" t="str">
        <x:v>Stades</x:v>
      </x:c>
      <x:c r="D3374" s="115" t="str">
        <x:v>Complexe sportif</x:v>
      </x:c>
      <x:c r="E3374" s="115" t="n">
        <x:v>19</x:v>
      </x:c>
      <x:c r="F3374" s="115" t="str">
        <x:v>Inspection physique</x:v>
      </x:c>
      <x:c r="G3374" s="115" t="str">
        <x:v>1 niveaux ; 32 pièces ; 248 segments de mur ; 0 transitions. Inspection physique ; architecture complète encore ouverte.</x:v>
      </x:c>
      <x:c r="H3374" s="115" t="str">
        <x:v>L 374 ; l 578 ; hauteur 10 m ; choix de composition auteur ; dimensions réelles à documenter</x:v>
      </x:c>
      <x:c r="I3374" s="115" t="str">
        <x:v>À équilibrer</x:v>
      </x:c>
      <x:c r="J3374" s="115" t="str">
        <x:v>Non</x:v>
      </x:c>
      <x:c r="K3374" s="115" t="str">
        <x:v>Pièces décrites, murs, portes, niveaux et mobilier inspectables à l’échelle. Volumes réservés, raccord au seed, butin, rencontres et services de campagne restent à terminer.</x:v>
      </x:c>
    </x:row>
    <x:row r="3375" ht="96" customHeight="1">
      <x:c r="A3375" s="115" t="str">
        <x:v>EXT-MONDE-T068-V20</x:v>
      </x:c>
      <x:c r="B3375" s="115" t="str">
        <x:v>EXT-MONDE-T068</x:v>
      </x:c>
      <x:c r="C3375" s="115" t="str">
        <x:v>Stades</x:v>
      </x:c>
      <x:c r="D3375" s="115" t="str">
        <x:v>Complexe sportif</x:v>
      </x:c>
      <x:c r="E3375" s="115" t="n">
        <x:v>20</x:v>
      </x:c>
      <x:c r="F3375" s="115" t="str">
        <x:v>Inspection physique</x:v>
      </x:c>
      <x:c r="G3375" s="115" t="str">
        <x:v>1 niveaux ; 32 pièces ; 248 segments de mur ; 0 transitions. Inspection physique ; architecture complète encore ouverte.</x:v>
      </x:c>
      <x:c r="H3375" s="115" t="str">
        <x:v>L 374 ; l 578 ; hauteur 10 m ; choix de composition auteur ; dimensions réelles à documenter</x:v>
      </x:c>
      <x:c r="I3375" s="115" t="str">
        <x:v>À équilibrer</x:v>
      </x:c>
      <x:c r="J3375" s="115" t="str">
        <x:v>Non</x:v>
      </x:c>
      <x:c r="K3375" s="115" t="str">
        <x:v>Pièces décrites, murs, portes, niveaux et mobilier inspectables à l’échelle. Volumes réservés, raccord au seed, butin, rencontres et services de campagne restent à terminer.</x:v>
      </x:c>
    </x:row>
    <x:row r="3376" ht="96" customHeight="1">
      <x:c r="A3376" s="115" t="str">
        <x:v>EXT-MONDE-T068-V21</x:v>
      </x:c>
      <x:c r="B3376" s="115" t="str">
        <x:v>EXT-MONDE-T068</x:v>
      </x:c>
      <x:c r="C3376" s="115" t="str">
        <x:v>Stades</x:v>
      </x:c>
      <x:c r="D3376" s="115" t="str">
        <x:v>Complexe sportif</x:v>
      </x:c>
      <x:c r="E3376" s="115" t="n">
        <x:v>21</x:v>
      </x:c>
      <x:c r="F3376" s="115" t="str">
        <x:v>Inspection physique</x:v>
      </x:c>
      <x:c r="G3376" s="115" t="str">
        <x:v>1 niveaux ; 32 pièces ; 248 segments de mur ; 0 transitions. Inspection physique ; architecture complète encore ouverte.</x:v>
      </x:c>
      <x:c r="H3376" s="115" t="str">
        <x:v>L 386 ; l 586 ; hauteur 10 m ; choix de composition auteur ; dimensions réelles à documenter</x:v>
      </x:c>
      <x:c r="I3376" s="115" t="str">
        <x:v>À équilibrer</x:v>
      </x:c>
      <x:c r="J3376" s="115" t="str">
        <x:v>Non</x:v>
      </x:c>
      <x:c r="K3376" s="115" t="str">
        <x:v>Pièces décrites, murs, portes, niveaux et mobilier inspectables à l’échelle. Volumes réservés, raccord au seed, butin, rencontres et services de campagne restent à terminer.</x:v>
      </x:c>
    </x:row>
    <x:row r="3377" ht="96" customHeight="1">
      <x:c r="A3377" s="115" t="str">
        <x:v>EXT-MONDE-T068-V22</x:v>
      </x:c>
      <x:c r="B3377" s="115" t="str">
        <x:v>EXT-MONDE-T068</x:v>
      </x:c>
      <x:c r="C3377" s="115" t="str">
        <x:v>Stades</x:v>
      </x:c>
      <x:c r="D3377" s="115" t="str">
        <x:v>Complexe sportif</x:v>
      </x:c>
      <x:c r="E3377" s="115" t="n">
        <x:v>22</x:v>
      </x:c>
      <x:c r="F3377" s="115" t="str">
        <x:v>Inspection physique</x:v>
      </x:c>
      <x:c r="G3377" s="115" t="str">
        <x:v>1 niveaux ; 32 pièces ; 248 segments de mur ; 0 transitions. Inspection physique ; architecture complète encore ouverte.</x:v>
      </x:c>
      <x:c r="H3377" s="115" t="str">
        <x:v>L 386 ; l 586 ; hauteur 10 m ; choix de composition auteur ; dimensions réelles à documenter</x:v>
      </x:c>
      <x:c r="I3377" s="115" t="str">
        <x:v>À équilibrer</x:v>
      </x:c>
      <x:c r="J3377" s="115" t="str">
        <x:v>Non</x:v>
      </x:c>
      <x:c r="K3377" s="115" t="str">
        <x:v>Pièces décrites, murs, portes, niveaux et mobilier inspectables à l’échelle. Volumes réservés, raccord au seed, butin, rencontres et services de campagne restent à terminer.</x:v>
      </x:c>
    </x:row>
    <x:row r="3378" ht="96" customHeight="1">
      <x:c r="A3378" s="115" t="str">
        <x:v>EXT-MONDE-T068-V23</x:v>
      </x:c>
      <x:c r="B3378" s="115" t="str">
        <x:v>EXT-MONDE-T068</x:v>
      </x:c>
      <x:c r="C3378" s="115" t="str">
        <x:v>Stades</x:v>
      </x:c>
      <x:c r="D3378" s="115" t="str">
        <x:v>Complexe sportif</x:v>
      </x:c>
      <x:c r="E3378" s="115" t="n">
        <x:v>23</x:v>
      </x:c>
      <x:c r="F3378" s="115" t="str">
        <x:v>Inspection physique</x:v>
      </x:c>
      <x:c r="G3378" s="115" t="str">
        <x:v>1 niveaux ; 32 pièces ; 248 segments de mur ; 0 transitions. Inspection physique ; architecture complète encore ouverte.</x:v>
      </x:c>
      <x:c r="H3378" s="115" t="str">
        <x:v>L 386 ; l 586 ; hauteur 10 m ; choix de composition auteur ; dimensions réelles à documenter</x:v>
      </x:c>
      <x:c r="I3378" s="115" t="str">
        <x:v>À équilibrer</x:v>
      </x:c>
      <x:c r="J3378" s="115" t="str">
        <x:v>Non</x:v>
      </x:c>
      <x:c r="K3378" s="115" t="str">
        <x:v>Pièces décrites, murs, portes, niveaux et mobilier inspectables à l’échelle. Volumes réservés, raccord au seed, butin, rencontres et services de campagne restent à terminer.</x:v>
      </x:c>
    </x:row>
    <x:row r="3379" ht="96" customHeight="1">
      <x:c r="A3379" s="115" t="str">
        <x:v>EXT-MONDE-T068-V24</x:v>
      </x:c>
      <x:c r="B3379" s="115" t="str">
        <x:v>EXT-MONDE-T068</x:v>
      </x:c>
      <x:c r="C3379" s="115" t="str">
        <x:v>Stades</x:v>
      </x:c>
      <x:c r="D3379" s="115" t="str">
        <x:v>Complexe sportif</x:v>
      </x:c>
      <x:c r="E3379" s="115" t="n">
        <x:v>24</x:v>
      </x:c>
      <x:c r="F3379" s="115" t="str">
        <x:v>Inspection physique</x:v>
      </x:c>
      <x:c r="G3379" s="115" t="str">
        <x:v>1 niveaux ; 32 pièces ; 248 segments de mur ; 0 transitions. Inspection physique ; architecture complète encore ouverte.</x:v>
      </x:c>
      <x:c r="H3379" s="115" t="str">
        <x:v>L 386 ; l 586 ; hauteur 10 m ; choix de composition auteur ; dimensions réelles à documenter</x:v>
      </x:c>
      <x:c r="I3379" s="115" t="str">
        <x:v>À équilibrer</x:v>
      </x:c>
      <x:c r="J3379" s="115" t="str">
        <x:v>Non</x:v>
      </x:c>
      <x:c r="K3379" s="115" t="str">
        <x:v>Pièces décrites, murs, portes, niveaux et mobilier inspectables à l’échelle. Volumes réservés, raccord au seed, butin, rencontres et services de campagne restent à terminer.</x:v>
      </x:c>
    </x:row>
    <x:row r="3380" ht="96" customHeight="1">
      <x:c r="A3380" s="115" t="str">
        <x:v>EXT-MONDE-T068-V25</x:v>
      </x:c>
      <x:c r="B3380" s="115" t="str">
        <x:v>EXT-MONDE-T068</x:v>
      </x:c>
      <x:c r="C3380" s="115" t="str">
        <x:v>Stades</x:v>
      </x:c>
      <x:c r="D3380" s="115" t="str">
        <x:v>Complexe sportif</x:v>
      </x:c>
      <x:c r="E3380" s="115" t="n">
        <x:v>25</x:v>
      </x:c>
      <x:c r="F3380" s="115" t="str">
        <x:v>Inspection physique</x:v>
      </x:c>
      <x:c r="G3380" s="115" t="str">
        <x:v>1 niveaux ; 32 pièces ; 248 segments de mur ; 0 transitions. Inspection physique ; architecture complète encore ouverte.</x:v>
      </x:c>
      <x:c r="H3380" s="115" t="str">
        <x:v>L 386 ; l 586 ; hauteur 10 m ; choix de composition auteur ; dimensions réelles à documenter</x:v>
      </x:c>
      <x:c r="I3380" s="115" t="str">
        <x:v>À équilibrer</x:v>
      </x:c>
      <x:c r="J3380" s="115" t="str">
        <x:v>Non</x:v>
      </x:c>
      <x:c r="K3380" s="115" t="str">
        <x:v>Pièces décrites, murs, portes, niveaux et mobilier inspectables à l’échelle. Volumes réservés, raccord au seed, butin, rencontres et services de campagne restent à terminer.</x:v>
      </x:c>
    </x:row>
    <x:row r="3381" ht="96" customHeight="1">
      <x:c r="A3381" s="115" t="str">
        <x:v>EXT-MONDE-T068-V26</x:v>
      </x:c>
      <x:c r="B3381" s="115" t="str">
        <x:v>EXT-MONDE-T068</x:v>
      </x:c>
      <x:c r="C3381" s="115" t="str">
        <x:v>Stades</x:v>
      </x:c>
      <x:c r="D3381" s="115" t="str">
        <x:v>Complexe sportif</x:v>
      </x:c>
      <x:c r="E3381" s="115" t="n">
        <x:v>26</x:v>
      </x:c>
      <x:c r="F3381" s="115" t="str">
        <x:v>Inspection physique</x:v>
      </x:c>
      <x:c r="G3381" s="115" t="str">
        <x:v>1 niveaux ; 32 pièces ; 248 segments de mur ; 0 transitions. Inspection physique ; architecture complète encore ouverte.</x:v>
      </x:c>
      <x:c r="H3381" s="115" t="str">
        <x:v>L 386 ; l 586 ; hauteur 10 m ; choix de composition auteur ; dimensions réelles à documenter</x:v>
      </x:c>
      <x:c r="I3381" s="115" t="str">
        <x:v>À équilibrer</x:v>
      </x:c>
      <x:c r="J3381" s="115" t="str">
        <x:v>Non</x:v>
      </x:c>
      <x:c r="K3381" s="115" t="str">
        <x:v>Pièces décrites, murs, portes, niveaux et mobilier inspectables à l’échelle. Volumes réservés, raccord au seed, butin, rencontres et services de campagne restent à terminer.</x:v>
      </x:c>
    </x:row>
    <x:row r="3382" ht="96" customHeight="1">
      <x:c r="A3382" s="115" t="str">
        <x:v>EXT-MONDE-T068-V27</x:v>
      </x:c>
      <x:c r="B3382" s="115" t="str">
        <x:v>EXT-MONDE-T068</x:v>
      </x:c>
      <x:c r="C3382" s="115" t="str">
        <x:v>Stades</x:v>
      </x:c>
      <x:c r="D3382" s="115" t="str">
        <x:v>Complexe sportif</x:v>
      </x:c>
      <x:c r="E3382" s="115" t="n">
        <x:v>27</x:v>
      </x:c>
      <x:c r="F3382" s="115" t="str">
        <x:v>Inspection physique</x:v>
      </x:c>
      <x:c r="G3382" s="115" t="str">
        <x:v>1 niveaux ; 32 pièces ; 248 segments de mur ; 0 transitions. Inspection physique ; architecture complète encore ouverte.</x:v>
      </x:c>
      <x:c r="H3382" s="115" t="str">
        <x:v>L 386 ; l 586 ; hauteur 10 m ; choix de composition auteur ; dimensions réelles à documenter</x:v>
      </x:c>
      <x:c r="I3382" s="115" t="str">
        <x:v>À équilibrer</x:v>
      </x:c>
      <x:c r="J3382" s="115" t="str">
        <x:v>Non</x:v>
      </x:c>
      <x:c r="K3382" s="115" t="str">
        <x:v>Pièces décrites, murs, portes, niveaux et mobilier inspectables à l’échelle. Volumes réservés, raccord au seed, butin, rencontres et services de campagne restent à terminer.</x:v>
      </x:c>
    </x:row>
    <x:row r="3383" ht="96" customHeight="1">
      <x:c r="A3383" s="115" t="str">
        <x:v>EXT-MONDE-T068-V28</x:v>
      </x:c>
      <x:c r="B3383" s="115" t="str">
        <x:v>EXT-MONDE-T068</x:v>
      </x:c>
      <x:c r="C3383" s="115" t="str">
        <x:v>Stades</x:v>
      </x:c>
      <x:c r="D3383" s="115" t="str">
        <x:v>Complexe sportif</x:v>
      </x:c>
      <x:c r="E3383" s="115" t="n">
        <x:v>28</x:v>
      </x:c>
      <x:c r="F3383" s="115" t="str">
        <x:v>Inspection physique</x:v>
      </x:c>
      <x:c r="G3383" s="115" t="str">
        <x:v>1 niveaux ; 32 pièces ; 248 segments de mur ; 0 transitions. Inspection physique ; architecture complète encore ouverte.</x:v>
      </x:c>
      <x:c r="H3383" s="115" t="str">
        <x:v>L 386 ; l 586 ; hauteur 10 m ; choix de composition auteur ; dimensions réelles à documenter</x:v>
      </x:c>
      <x:c r="I3383" s="115" t="str">
        <x:v>À équilibrer</x:v>
      </x:c>
      <x:c r="J3383" s="115" t="str">
        <x:v>Non</x:v>
      </x:c>
      <x:c r="K3383" s="115" t="str">
        <x:v>Pièces décrites, murs, portes, niveaux et mobilier inspectables à l’échelle. Volumes réservés, raccord au seed, butin, rencontres et services de campagne restent à terminer.</x:v>
      </x:c>
    </x:row>
    <x:row r="3384" ht="96" customHeight="1">
      <x:c r="A3384" s="115" t="str">
        <x:v>EXT-MONDE-T068-V29</x:v>
      </x:c>
      <x:c r="B3384" s="115" t="str">
        <x:v>EXT-MONDE-T068</x:v>
      </x:c>
      <x:c r="C3384" s="115" t="str">
        <x:v>Stades</x:v>
      </x:c>
      <x:c r="D3384" s="115" t="str">
        <x:v>Complexe sportif</x:v>
      </x:c>
      <x:c r="E3384" s="115" t="n">
        <x:v>29</x:v>
      </x:c>
      <x:c r="F3384" s="115" t="str">
        <x:v>Inspection physique</x:v>
      </x:c>
      <x:c r="G3384" s="115" t="str">
        <x:v>1 niveaux ; 32 pièces ; 248 segments de mur ; 0 transitions. Inspection physique ; architecture complète encore ouverte.</x:v>
      </x:c>
      <x:c r="H3384" s="115" t="str">
        <x:v>L 386 ; l 586 ; hauteur 10 m ; choix de composition auteur ; dimensions réelles à documenter</x:v>
      </x:c>
      <x:c r="I3384" s="115" t="str">
        <x:v>À équilibrer</x:v>
      </x:c>
      <x:c r="J3384" s="115" t="str">
        <x:v>Non</x:v>
      </x:c>
      <x:c r="K3384" s="115" t="str">
        <x:v>Pièces décrites, murs, portes, niveaux et mobilier inspectables à l’échelle. Volumes réservés, raccord au seed, butin, rencontres et services de campagne restent à terminer.</x:v>
      </x:c>
    </x:row>
    <x:row r="3385" ht="96" customHeight="1">
      <x:c r="A3385" s="115" t="str">
        <x:v>EXT-MONDE-T068-V30</x:v>
      </x:c>
      <x:c r="B3385" s="115" t="str">
        <x:v>EXT-MONDE-T068</x:v>
      </x:c>
      <x:c r="C3385" s="115" t="str">
        <x:v>Stades</x:v>
      </x:c>
      <x:c r="D3385" s="115" t="str">
        <x:v>Complexe sportif</x:v>
      </x:c>
      <x:c r="E3385" s="115" t="n">
        <x:v>30</x:v>
      </x:c>
      <x:c r="F3385" s="115" t="str">
        <x:v>Inspection physique</x:v>
      </x:c>
      <x:c r="G3385" s="115" t="str">
        <x:v>1 niveaux ; 32 pièces ; 248 segments de mur ; 0 transitions. Inspection physique ; architecture complète encore ouverte.</x:v>
      </x:c>
      <x:c r="H3385" s="115" t="str">
        <x:v>L 386 ; l 586 ; hauteur 10 m ; choix de composition auteur ; dimensions réelles à documenter</x:v>
      </x:c>
      <x:c r="I3385" s="115" t="str">
        <x:v>À équilibrer</x:v>
      </x:c>
      <x:c r="J3385" s="115" t="str">
        <x:v>Non</x:v>
      </x:c>
      <x:c r="K3385" s="115" t="str">
        <x:v>Pièces décrites, murs, portes, niveaux et mobilier inspectables à l’échelle. Volumes réservés, raccord au seed, butin, rencontres et services de campagne restent à terminer.</x:v>
      </x:c>
    </x:row>
    <x:row r="3386" ht="96" customHeight="1">
      <x:c r="A3386" s="115" t="str">
        <x:v>EXT-MONDE-T068-V31</x:v>
      </x:c>
      <x:c r="B3386" s="115" t="str">
        <x:v>EXT-MONDE-T068</x:v>
      </x:c>
      <x:c r="C3386" s="115" t="str">
        <x:v>Stades</x:v>
      </x:c>
      <x:c r="D3386" s="115" t="str">
        <x:v>Complexe sportif</x:v>
      </x:c>
      <x:c r="E3386" s="115" t="n">
        <x:v>31</x:v>
      </x:c>
      <x:c r="F3386" s="115" t="str">
        <x:v>Inspection physique</x:v>
      </x:c>
      <x:c r="G3386" s="115" t="str">
        <x:v>1 niveaux ; 32 pièces ; 248 segments de mur ; 0 transitions. Inspection physique ; architecture complète encore ouverte.</x:v>
      </x:c>
      <x:c r="H3386" s="115" t="str">
        <x:v>L 398 ; l 594 ; hauteur 10 m ; choix de composition auteur ; dimensions réelles à documenter</x:v>
      </x:c>
      <x:c r="I3386" s="115" t="str">
        <x:v>À équilibrer</x:v>
      </x:c>
      <x:c r="J3386" s="115" t="str">
        <x:v>Non</x:v>
      </x:c>
      <x:c r="K3386" s="115" t="str">
        <x:v>Pièces décrites, murs, portes, niveaux et mobilier inspectables à l’échelle. Volumes réservés, raccord au seed, butin, rencontres et services de campagne restent à terminer.</x:v>
      </x:c>
    </x:row>
    <x:row r="3387" ht="96" customHeight="1">
      <x:c r="A3387" s="115" t="str">
        <x:v>EXT-MONDE-T068-V32</x:v>
      </x:c>
      <x:c r="B3387" s="115" t="str">
        <x:v>EXT-MONDE-T068</x:v>
      </x:c>
      <x:c r="C3387" s="115" t="str">
        <x:v>Stades</x:v>
      </x:c>
      <x:c r="D3387" s="115" t="str">
        <x:v>Complexe sportif</x:v>
      </x:c>
      <x:c r="E3387" s="115" t="n">
        <x:v>32</x:v>
      </x:c>
      <x:c r="F3387" s="115" t="str">
        <x:v>Inspection physique</x:v>
      </x:c>
      <x:c r="G3387" s="115" t="str">
        <x:v>1 niveaux ; 32 pièces ; 248 segments de mur ; 0 transitions. Inspection physique ; architecture complète encore ouverte.</x:v>
      </x:c>
      <x:c r="H3387" s="115" t="str">
        <x:v>L 398 ; l 594 ; hauteur 10 m ; choix de composition auteur ; dimensions réelles à documenter</x:v>
      </x:c>
      <x:c r="I3387" s="115" t="str">
        <x:v>À équilibrer</x:v>
      </x:c>
      <x:c r="J3387" s="115" t="str">
        <x:v>Non</x:v>
      </x:c>
      <x:c r="K3387" s="115" t="str">
        <x:v>Pièces décrites, murs, portes, niveaux et mobilier inspectables à l’échelle. Volumes réservés, raccord au seed, butin, rencontres et services de campagne restent à terminer.</x:v>
      </x:c>
    </x:row>
    <x:row r="3388" ht="96" customHeight="1">
      <x:c r="A3388" s="115" t="str">
        <x:v>EXT-MONDE-T068-V33</x:v>
      </x:c>
      <x:c r="B3388" s="115" t="str">
        <x:v>EXT-MONDE-T068</x:v>
      </x:c>
      <x:c r="C3388" s="115" t="str">
        <x:v>Stades</x:v>
      </x:c>
      <x:c r="D3388" s="115" t="str">
        <x:v>Complexe sportif</x:v>
      </x:c>
      <x:c r="E3388" s="115" t="n">
        <x:v>33</x:v>
      </x:c>
      <x:c r="F3388" s="115" t="str">
        <x:v>Inspection physique</x:v>
      </x:c>
      <x:c r="G3388" s="115" t="str">
        <x:v>1 niveaux ; 32 pièces ; 248 segments de mur ; 0 transitions. Inspection physique ; architecture complète encore ouverte.</x:v>
      </x:c>
      <x:c r="H3388" s="115" t="str">
        <x:v>L 398 ; l 594 ; hauteur 10 m ; choix de composition auteur ; dimensions réelles à documenter</x:v>
      </x:c>
      <x:c r="I3388" s="115" t="str">
        <x:v>À équilibrer</x:v>
      </x:c>
      <x:c r="J3388" s="115" t="str">
        <x:v>Non</x:v>
      </x:c>
      <x:c r="K3388" s="115" t="str">
        <x:v>Pièces décrites, murs, portes, niveaux et mobilier inspectables à l’échelle. Volumes réservés, raccord au seed, butin, rencontres et services de campagne restent à terminer.</x:v>
      </x:c>
    </x:row>
    <x:row r="3389" ht="96" customHeight="1">
      <x:c r="A3389" s="115" t="str">
        <x:v>EXT-MONDE-T068-V34</x:v>
      </x:c>
      <x:c r="B3389" s="115" t="str">
        <x:v>EXT-MONDE-T068</x:v>
      </x:c>
      <x:c r="C3389" s="115" t="str">
        <x:v>Stades</x:v>
      </x:c>
      <x:c r="D3389" s="115" t="str">
        <x:v>Complexe sportif</x:v>
      </x:c>
      <x:c r="E3389" s="115" t="n">
        <x:v>34</x:v>
      </x:c>
      <x:c r="F3389" s="115" t="str">
        <x:v>Inspection physique</x:v>
      </x:c>
      <x:c r="G3389" s="115" t="str">
        <x:v>1 niveaux ; 32 pièces ; 248 segments de mur ; 0 transitions. Inspection physique ; architecture complète encore ouverte.</x:v>
      </x:c>
      <x:c r="H3389" s="115" t="str">
        <x:v>L 398 ; l 594 ; hauteur 10 m ; choix de composition auteur ; dimensions réelles à documenter</x:v>
      </x:c>
      <x:c r="I3389" s="115" t="str">
        <x:v>À équilibrer</x:v>
      </x:c>
      <x:c r="J3389" s="115" t="str">
        <x:v>Non</x:v>
      </x:c>
      <x:c r="K3389" s="115" t="str">
        <x:v>Pièces décrites, murs, portes, niveaux et mobilier inspectables à l’échelle. Volumes réservés, raccord au seed, butin, rencontres et services de campagne restent à terminer.</x:v>
      </x:c>
    </x:row>
    <x:row r="3390" ht="96" customHeight="1">
      <x:c r="A3390" s="115" t="str">
        <x:v>EXT-MONDE-T068-V35</x:v>
      </x:c>
      <x:c r="B3390" s="115" t="str">
        <x:v>EXT-MONDE-T068</x:v>
      </x:c>
      <x:c r="C3390" s="115" t="str">
        <x:v>Stades</x:v>
      </x:c>
      <x:c r="D3390" s="115" t="str">
        <x:v>Complexe sportif</x:v>
      </x:c>
      <x:c r="E3390" s="115" t="n">
        <x:v>35</x:v>
      </x:c>
      <x:c r="F3390" s="115" t="str">
        <x:v>Inspection physique</x:v>
      </x:c>
      <x:c r="G3390" s="115" t="str">
        <x:v>1 niveaux ; 32 pièces ; 248 segments de mur ; 0 transitions. Inspection physique ; architecture complète encore ouverte.</x:v>
      </x:c>
      <x:c r="H3390" s="115" t="str">
        <x:v>L 398 ; l 594 ; hauteur 10 m ; choix de composition auteur ; dimensions réelles à documenter</x:v>
      </x:c>
      <x:c r="I3390" s="115" t="str">
        <x:v>À équilibrer</x:v>
      </x:c>
      <x:c r="J3390" s="115" t="str">
        <x:v>Non</x:v>
      </x:c>
      <x:c r="K3390" s="115" t="str">
        <x:v>Pièces décrites, murs, portes, niveaux et mobilier inspectables à l’échelle. Volumes réservés, raccord au seed, butin, rencontres et services de campagne restent à terminer.</x:v>
      </x:c>
    </x:row>
    <x:row r="3391" ht="96" customHeight="1">
      <x:c r="A3391" s="115" t="str">
        <x:v>EXT-MONDE-T068-V36</x:v>
      </x:c>
      <x:c r="B3391" s="115" t="str">
        <x:v>EXT-MONDE-T068</x:v>
      </x:c>
      <x:c r="C3391" s="115" t="str">
        <x:v>Stades</x:v>
      </x:c>
      <x:c r="D3391" s="115" t="str">
        <x:v>Complexe sportif</x:v>
      </x:c>
      <x:c r="E3391" s="115" t="n">
        <x:v>36</x:v>
      </x:c>
      <x:c r="F3391" s="115" t="str">
        <x:v>Inspection physique</x:v>
      </x:c>
      <x:c r="G3391" s="115" t="str">
        <x:v>1 niveaux ; 32 pièces ; 248 segments de mur ; 0 transitions. Inspection physique ; architecture complète encore ouverte.</x:v>
      </x:c>
      <x:c r="H3391" s="115" t="str">
        <x:v>L 398 ; l 594 ; hauteur 10 m ; choix de composition auteur ; dimensions réelles à documenter</x:v>
      </x:c>
      <x:c r="I3391" s="115" t="str">
        <x:v>À équilibrer</x:v>
      </x:c>
      <x:c r="J3391" s="115" t="str">
        <x:v>Non</x:v>
      </x:c>
      <x:c r="K3391" s="115" t="str">
        <x:v>Pièces décrites, murs, portes, niveaux et mobilier inspectables à l’échelle. Volumes réservés, raccord au seed, butin, rencontres et services de campagne restent à terminer.</x:v>
      </x:c>
    </x:row>
    <x:row r="3392" ht="96" customHeight="1">
      <x:c r="A3392" s="115" t="str">
        <x:v>EXT-MONDE-T068-V37</x:v>
      </x:c>
      <x:c r="B3392" s="115" t="str">
        <x:v>EXT-MONDE-T068</x:v>
      </x:c>
      <x:c r="C3392" s="115" t="str">
        <x:v>Stades</x:v>
      </x:c>
      <x:c r="D3392" s="115" t="str">
        <x:v>Complexe sportif</x:v>
      </x:c>
      <x:c r="E3392" s="115" t="n">
        <x:v>37</x:v>
      </x:c>
      <x:c r="F3392" s="115" t="str">
        <x:v>Inspection physique</x:v>
      </x:c>
      <x:c r="G3392" s="115" t="str">
        <x:v>1 niveaux ; 32 pièces ; 248 segments de mur ; 0 transitions. Inspection physique ; architecture complète encore ouverte.</x:v>
      </x:c>
      <x:c r="H3392" s="115" t="str">
        <x:v>L 398 ; l 594 ; hauteur 10 m ; choix de composition auteur ; dimensions réelles à documenter</x:v>
      </x:c>
      <x:c r="I3392" s="115" t="str">
        <x:v>À équilibrer</x:v>
      </x:c>
      <x:c r="J3392" s="115" t="str">
        <x:v>Non</x:v>
      </x:c>
      <x:c r="K3392" s="115" t="str">
        <x:v>Pièces décrites, murs, portes, niveaux et mobilier inspectables à l’échelle. Volumes réservés, raccord au seed, butin, rencontres et services de campagne restent à terminer.</x:v>
      </x:c>
    </x:row>
    <x:row r="3393" ht="96" customHeight="1">
      <x:c r="A3393" s="115" t="str">
        <x:v>EXT-MONDE-T068-V38</x:v>
      </x:c>
      <x:c r="B3393" s="115" t="str">
        <x:v>EXT-MONDE-T068</x:v>
      </x:c>
      <x:c r="C3393" s="115" t="str">
        <x:v>Stades</x:v>
      </x:c>
      <x:c r="D3393" s="115" t="str">
        <x:v>Complexe sportif</x:v>
      </x:c>
      <x:c r="E3393" s="115" t="n">
        <x:v>38</x:v>
      </x:c>
      <x:c r="F3393" s="115" t="str">
        <x:v>Inspection physique</x:v>
      </x:c>
      <x:c r="G3393" s="115" t="str">
        <x:v>1 niveaux ; 32 pièces ; 248 segments de mur ; 0 transitions. Inspection physique ; architecture complète encore ouverte.</x:v>
      </x:c>
      <x:c r="H3393" s="115" t="str">
        <x:v>L 398 ; l 594 ; hauteur 10 m ; choix de composition auteur ; dimensions réelles à documenter</x:v>
      </x:c>
      <x:c r="I3393" s="115" t="str">
        <x:v>À équilibrer</x:v>
      </x:c>
      <x:c r="J3393" s="115" t="str">
        <x:v>Non</x:v>
      </x:c>
      <x:c r="K3393" s="115" t="str">
        <x:v>Pièces décrites, murs, portes, niveaux et mobilier inspectables à l’échelle. Volumes réservés, raccord au seed, butin, rencontres et services de campagne restent à terminer.</x:v>
      </x:c>
    </x:row>
    <x:row r="3394" ht="96" customHeight="1">
      <x:c r="A3394" s="115" t="str">
        <x:v>EXT-MONDE-T068-V39</x:v>
      </x:c>
      <x:c r="B3394" s="115" t="str">
        <x:v>EXT-MONDE-T068</x:v>
      </x:c>
      <x:c r="C3394" s="115" t="str">
        <x:v>Stades</x:v>
      </x:c>
      <x:c r="D3394" s="115" t="str">
        <x:v>Complexe sportif</x:v>
      </x:c>
      <x:c r="E3394" s="115" t="n">
        <x:v>39</x:v>
      </x:c>
      <x:c r="F3394" s="115" t="str">
        <x:v>Inspection physique</x:v>
      </x:c>
      <x:c r="G3394" s="115" t="str">
        <x:v>1 niveaux ; 32 pièces ; 248 segments de mur ; 0 transitions. Inspection physique ; architecture complète encore ouverte.</x:v>
      </x:c>
      <x:c r="H3394" s="115" t="str">
        <x:v>L 398 ; l 594 ; hauteur 10 m ; choix de composition auteur ; dimensions réelles à documenter</x:v>
      </x:c>
      <x:c r="I3394" s="115" t="str">
        <x:v>À équilibrer</x:v>
      </x:c>
      <x:c r="J3394" s="115" t="str">
        <x:v>Non</x:v>
      </x:c>
      <x:c r="K3394" s="115" t="str">
        <x:v>Pièces décrites, murs, portes, niveaux et mobilier inspectables à l’échelle. Volumes réservés, raccord au seed, butin, rencontres et services de campagne restent à terminer.</x:v>
      </x:c>
    </x:row>
    <x:row r="3395" ht="96" customHeight="1">
      <x:c r="A3395" s="115" t="str">
        <x:v>EXT-MONDE-T068-V40</x:v>
      </x:c>
      <x:c r="B3395" s="115" t="str">
        <x:v>EXT-MONDE-T068</x:v>
      </x:c>
      <x:c r="C3395" s="115" t="str">
        <x:v>Stades</x:v>
      </x:c>
      <x:c r="D3395" s="115" t="str">
        <x:v>Complexe sportif</x:v>
      </x:c>
      <x:c r="E3395" s="115" t="n">
        <x:v>40</x:v>
      </x:c>
      <x:c r="F3395" s="115" t="str">
        <x:v>Inspection physique</x:v>
      </x:c>
      <x:c r="G3395" s="115" t="str">
        <x:v>1 niveaux ; 32 pièces ; 248 segments de mur ; 0 transitions. Inspection physique ; architecture complète encore ouverte.</x:v>
      </x:c>
      <x:c r="H3395" s="115" t="str">
        <x:v>L 398 ; l 594 ; hauteur 10 m ; choix de composition auteur ; dimensions réelles à documenter</x:v>
      </x:c>
      <x:c r="I3395" s="115" t="str">
        <x:v>À équilibrer</x:v>
      </x:c>
      <x:c r="J3395" s="115" t="str">
        <x:v>Non</x:v>
      </x:c>
      <x:c r="K3395" s="115" t="str">
        <x:v>Pièces décrites, murs, portes, niveaux et mobilier inspectables à l’échelle. Volumes réservés, raccord au seed, butin, rencontres et services de campagne restent à terminer.</x:v>
      </x:c>
    </x:row>
    <x:row r="3396" ht="96" customHeight="1">
      <x:c r="A3396" s="115" t="str">
        <x:v>EXT-MONDE-T068-V41</x:v>
      </x:c>
      <x:c r="B3396" s="115" t="str">
        <x:v>EXT-MONDE-T068</x:v>
      </x:c>
      <x:c r="C3396" s="115" t="str">
        <x:v>Stades</x:v>
      </x:c>
      <x:c r="D3396" s="115" t="str">
        <x:v>Complexe sportif</x:v>
      </x:c>
      <x:c r="E3396" s="115" t="n">
        <x:v>41</x:v>
      </x:c>
      <x:c r="F3396" s="115" t="str">
        <x:v>Inspection physique</x:v>
      </x:c>
      <x:c r="G3396" s="115" t="str">
        <x:v>1 niveaux ; 32 pièces ; 248 segments de mur ; 0 transitions. Inspection physique ; architecture complète encore ouverte.</x:v>
      </x:c>
      <x:c r="H3396" s="115" t="str">
        <x:v>L 410 ; l 602 ; hauteur 10 m ; choix de composition auteur ; dimensions réelles à documenter</x:v>
      </x:c>
      <x:c r="I3396" s="115" t="str">
        <x:v>À équilibrer</x:v>
      </x:c>
      <x:c r="J3396" s="115" t="str">
        <x:v>Non</x:v>
      </x:c>
      <x:c r="K3396" s="115" t="str">
        <x:v>Pièces décrites, murs, portes, niveaux et mobilier inspectables à l’échelle. Volumes réservés, raccord au seed, butin, rencontres et services de campagne restent à terminer.</x:v>
      </x:c>
    </x:row>
    <x:row r="3397" ht="96" customHeight="1">
      <x:c r="A3397" s="115" t="str">
        <x:v>EXT-MONDE-T068-V42</x:v>
      </x:c>
      <x:c r="B3397" s="115" t="str">
        <x:v>EXT-MONDE-T068</x:v>
      </x:c>
      <x:c r="C3397" s="115" t="str">
        <x:v>Stades</x:v>
      </x:c>
      <x:c r="D3397" s="115" t="str">
        <x:v>Complexe sportif</x:v>
      </x:c>
      <x:c r="E3397" s="115" t="n">
        <x:v>42</x:v>
      </x:c>
      <x:c r="F3397" s="115" t="str">
        <x:v>Inspection physique</x:v>
      </x:c>
      <x:c r="G3397" s="115" t="str">
        <x:v>1 niveaux ; 32 pièces ; 248 segments de mur ; 0 transitions. Inspection physique ; architecture complète encore ouverte.</x:v>
      </x:c>
      <x:c r="H3397" s="115" t="str">
        <x:v>L 410 ; l 602 ; hauteur 10 m ; choix de composition auteur ; dimensions réelles à documenter</x:v>
      </x:c>
      <x:c r="I3397" s="115" t="str">
        <x:v>À équilibrer</x:v>
      </x:c>
      <x:c r="J3397" s="115" t="str">
        <x:v>Non</x:v>
      </x:c>
      <x:c r="K3397" s="115" t="str">
        <x:v>Pièces décrites, murs, portes, niveaux et mobilier inspectables à l’échelle. Volumes réservés, raccord au seed, butin, rencontres et services de campagne restent à terminer.</x:v>
      </x:c>
    </x:row>
    <x:row r="3398" ht="96" customHeight="1">
      <x:c r="A3398" s="115" t="str">
        <x:v>EXT-MONDE-T068-V43</x:v>
      </x:c>
      <x:c r="B3398" s="115" t="str">
        <x:v>EXT-MONDE-T068</x:v>
      </x:c>
      <x:c r="C3398" s="115" t="str">
        <x:v>Stades</x:v>
      </x:c>
      <x:c r="D3398" s="115" t="str">
        <x:v>Complexe sportif</x:v>
      </x:c>
      <x:c r="E3398" s="115" t="n">
        <x:v>43</x:v>
      </x:c>
      <x:c r="F3398" s="115" t="str">
        <x:v>Inspection physique</x:v>
      </x:c>
      <x:c r="G3398" s="115" t="str">
        <x:v>1 niveaux ; 32 pièces ; 248 segments de mur ; 0 transitions. Inspection physique ; architecture complète encore ouverte.</x:v>
      </x:c>
      <x:c r="H3398" s="115" t="str">
        <x:v>L 410 ; l 602 ; hauteur 10 m ; choix de composition auteur ; dimensions réelles à documenter</x:v>
      </x:c>
      <x:c r="I3398" s="115" t="str">
        <x:v>À équilibrer</x:v>
      </x:c>
      <x:c r="J3398" s="115" t="str">
        <x:v>Non</x:v>
      </x:c>
      <x:c r="K3398" s="115" t="str">
        <x:v>Pièces décrites, murs, portes, niveaux et mobilier inspectables à l’échelle. Volumes réservés, raccord au seed, butin, rencontres et services de campagne restent à terminer.</x:v>
      </x:c>
    </x:row>
    <x:row r="3399" ht="96" customHeight="1">
      <x:c r="A3399" s="115" t="str">
        <x:v>EXT-MONDE-T068-V44</x:v>
      </x:c>
      <x:c r="B3399" s="115" t="str">
        <x:v>EXT-MONDE-T068</x:v>
      </x:c>
      <x:c r="C3399" s="115" t="str">
        <x:v>Stades</x:v>
      </x:c>
      <x:c r="D3399" s="115" t="str">
        <x:v>Complexe sportif</x:v>
      </x:c>
      <x:c r="E3399" s="115" t="n">
        <x:v>44</x:v>
      </x:c>
      <x:c r="F3399" s="115" t="str">
        <x:v>Inspection physique</x:v>
      </x:c>
      <x:c r="G3399" s="115" t="str">
        <x:v>1 niveaux ; 32 pièces ; 248 segments de mur ; 0 transitions. Inspection physique ; architecture complète encore ouverte.</x:v>
      </x:c>
      <x:c r="H3399" s="115" t="str">
        <x:v>L 410 ; l 602 ; hauteur 10 m ; choix de composition auteur ; dimensions réelles à documenter</x:v>
      </x:c>
      <x:c r="I3399" s="115" t="str">
        <x:v>À équilibrer</x:v>
      </x:c>
      <x:c r="J3399" s="115" t="str">
        <x:v>Non</x:v>
      </x:c>
      <x:c r="K3399" s="115" t="str">
        <x:v>Pièces décrites, murs, portes, niveaux et mobilier inspectables à l’échelle. Volumes réservés, raccord au seed, butin, rencontres et services de campagne restent à terminer.</x:v>
      </x:c>
    </x:row>
    <x:row r="3400" ht="96" customHeight="1">
      <x:c r="A3400" s="115" t="str">
        <x:v>EXT-MONDE-T068-V45</x:v>
      </x:c>
      <x:c r="B3400" s="115" t="str">
        <x:v>EXT-MONDE-T068</x:v>
      </x:c>
      <x:c r="C3400" s="115" t="str">
        <x:v>Stades</x:v>
      </x:c>
      <x:c r="D3400" s="115" t="str">
        <x:v>Complexe sportif</x:v>
      </x:c>
      <x:c r="E3400" s="115" t="n">
        <x:v>45</x:v>
      </x:c>
      <x:c r="F3400" s="115" t="str">
        <x:v>Inspection physique</x:v>
      </x:c>
      <x:c r="G3400" s="115" t="str">
        <x:v>1 niveaux ; 32 pièces ; 248 segments de mur ; 0 transitions. Inspection physique ; architecture complète encore ouverte.</x:v>
      </x:c>
      <x:c r="H3400" s="115" t="str">
        <x:v>L 410 ; l 602 ; hauteur 10 m ; choix de composition auteur ; dimensions réelles à documenter</x:v>
      </x:c>
      <x:c r="I3400" s="115" t="str">
        <x:v>À équilibrer</x:v>
      </x:c>
      <x:c r="J3400" s="115" t="str">
        <x:v>Non</x:v>
      </x:c>
      <x:c r="K3400" s="115" t="str">
        <x:v>Pièces décrites, murs, portes, niveaux et mobilier inspectables à l’échelle. Volumes réservés, raccord au seed, butin, rencontres et services de campagne restent à terminer.</x:v>
      </x:c>
    </x:row>
    <x:row r="3401" ht="96" customHeight="1">
      <x:c r="A3401" s="115" t="str">
        <x:v>EXT-MONDE-T068-V46</x:v>
      </x:c>
      <x:c r="B3401" s="115" t="str">
        <x:v>EXT-MONDE-T068</x:v>
      </x:c>
      <x:c r="C3401" s="115" t="str">
        <x:v>Stades</x:v>
      </x:c>
      <x:c r="D3401" s="115" t="str">
        <x:v>Complexe sportif</x:v>
      </x:c>
      <x:c r="E3401" s="115" t="n">
        <x:v>46</x:v>
      </x:c>
      <x:c r="F3401" s="115" t="str">
        <x:v>Inspection physique</x:v>
      </x:c>
      <x:c r="G3401" s="115" t="str">
        <x:v>1 niveaux ; 32 pièces ; 248 segments de mur ; 0 transitions. Inspection physique ; architecture complète encore ouverte.</x:v>
      </x:c>
      <x:c r="H3401" s="115" t="str">
        <x:v>L 410 ; l 602 ; hauteur 10 m ; choix de composition auteur ; dimensions réelles à documenter</x:v>
      </x:c>
      <x:c r="I3401" s="115" t="str">
        <x:v>À équilibrer</x:v>
      </x:c>
      <x:c r="J3401" s="115" t="str">
        <x:v>Non</x:v>
      </x:c>
      <x:c r="K3401" s="115" t="str">
        <x:v>Pièces décrites, murs, portes, niveaux et mobilier inspectables à l’échelle. Volumes réservés, raccord au seed, butin, rencontres et services de campagne restent à terminer.</x:v>
      </x:c>
    </x:row>
    <x:row r="3402" ht="96" customHeight="1">
      <x:c r="A3402" s="115" t="str">
        <x:v>EXT-MONDE-T068-V47</x:v>
      </x:c>
      <x:c r="B3402" s="115" t="str">
        <x:v>EXT-MONDE-T068</x:v>
      </x:c>
      <x:c r="C3402" s="115" t="str">
        <x:v>Stades</x:v>
      </x:c>
      <x:c r="D3402" s="115" t="str">
        <x:v>Complexe sportif</x:v>
      </x:c>
      <x:c r="E3402" s="115" t="n">
        <x:v>47</x:v>
      </x:c>
      <x:c r="F3402" s="115" t="str">
        <x:v>Inspection physique</x:v>
      </x:c>
      <x:c r="G3402" s="115" t="str">
        <x:v>1 niveaux ; 32 pièces ; 248 segments de mur ; 0 transitions. Inspection physique ; architecture complète encore ouverte.</x:v>
      </x:c>
      <x:c r="H3402" s="115" t="str">
        <x:v>L 410 ; l 602 ; hauteur 10 m ; choix de composition auteur ; dimensions réelles à documenter</x:v>
      </x:c>
      <x:c r="I3402" s="115" t="str">
        <x:v>À équilibrer</x:v>
      </x:c>
      <x:c r="J3402" s="115" t="str">
        <x:v>Non</x:v>
      </x:c>
      <x:c r="K3402" s="115" t="str">
        <x:v>Pièces décrites, murs, portes, niveaux et mobilier inspectables à l’échelle. Volumes réservés, raccord au seed, butin, rencontres et services de campagne restent à terminer.</x:v>
      </x:c>
    </x:row>
    <x:row r="3403" ht="96" customHeight="1">
      <x:c r="A3403" s="115" t="str">
        <x:v>EXT-MONDE-T068-V48</x:v>
      </x:c>
      <x:c r="B3403" s="115" t="str">
        <x:v>EXT-MONDE-T068</x:v>
      </x:c>
      <x:c r="C3403" s="115" t="str">
        <x:v>Stades</x:v>
      </x:c>
      <x:c r="D3403" s="115" t="str">
        <x:v>Complexe sportif</x:v>
      </x:c>
      <x:c r="E3403" s="115" t="n">
        <x:v>48</x:v>
      </x:c>
      <x:c r="F3403" s="115" t="str">
        <x:v>Inspection physique</x:v>
      </x:c>
      <x:c r="G3403" s="115" t="str">
        <x:v>1 niveaux ; 32 pièces ; 248 segments de mur ; 0 transitions. Inspection physique ; architecture complète encore ouverte.</x:v>
      </x:c>
      <x:c r="H3403" s="115" t="str">
        <x:v>L 410 ; l 602 ; hauteur 10 m ; choix de composition auteur ; dimensions réelles à documenter</x:v>
      </x:c>
      <x:c r="I3403" s="115" t="str">
        <x:v>À équilibrer</x:v>
      </x:c>
      <x:c r="J3403" s="115" t="str">
        <x:v>Non</x:v>
      </x:c>
      <x:c r="K3403" s="115" t="str">
        <x:v>Pièces décrites, murs, portes, niveaux et mobilier inspectables à l’échelle. Volumes réservés, raccord au seed, butin, rencontres et services de campagne restent à terminer.</x:v>
      </x:c>
    </x:row>
    <x:row r="3404" ht="96" customHeight="1">
      <x:c r="A3404" s="115" t="str">
        <x:v>EXT-MONDE-T068-V49</x:v>
      </x:c>
      <x:c r="B3404" s="115" t="str">
        <x:v>EXT-MONDE-T068</x:v>
      </x:c>
      <x:c r="C3404" s="115" t="str">
        <x:v>Stades</x:v>
      </x:c>
      <x:c r="D3404" s="115" t="str">
        <x:v>Complexe sportif</x:v>
      </x:c>
      <x:c r="E3404" s="115" t="n">
        <x:v>49</x:v>
      </x:c>
      <x:c r="F3404" s="115" t="str">
        <x:v>Inspection physique</x:v>
      </x:c>
      <x:c r="G3404" s="115" t="str">
        <x:v>1 niveaux ; 32 pièces ; 248 segments de mur ; 0 transitions. Inspection physique ; architecture complète encore ouverte.</x:v>
      </x:c>
      <x:c r="H3404" s="115" t="str">
        <x:v>L 410 ; l 602 ; hauteur 10 m ; choix de composition auteur ; dimensions réelles à documenter</x:v>
      </x:c>
      <x:c r="I3404" s="115" t="str">
        <x:v>À équilibrer</x:v>
      </x:c>
      <x:c r="J3404" s="115" t="str">
        <x:v>Non</x:v>
      </x:c>
      <x:c r="K3404" s="115" t="str">
        <x:v>Pièces décrites, murs, portes, niveaux et mobilier inspectables à l’échelle. Volumes réservés, raccord au seed, butin, rencontres et services de campagne restent à terminer.</x:v>
      </x:c>
    </x:row>
    <x:row r="3405" ht="96" customHeight="1">
      <x:c r="A3405" s="115" t="str">
        <x:v>EXT-MONDE-T068-V50</x:v>
      </x:c>
      <x:c r="B3405" s="115" t="str">
        <x:v>EXT-MONDE-T068</x:v>
      </x:c>
      <x:c r="C3405" s="115" t="str">
        <x:v>Stades</x:v>
      </x:c>
      <x:c r="D3405" s="115" t="str">
        <x:v>Complexe sportif</x:v>
      </x:c>
      <x:c r="E3405" s="115" t="n">
        <x:v>50</x:v>
      </x:c>
      <x:c r="F3405" s="115" t="str">
        <x:v>Inspection physique</x:v>
      </x:c>
      <x:c r="G3405" s="115" t="str">
        <x:v>1 niveaux ; 32 pièces ; 248 segments de mur ; 0 transitions. Inspection physique ; architecture complète encore ouverte.</x:v>
      </x:c>
      <x:c r="H3405" s="115" t="str">
        <x:v>L 410 ; l 602 ; hauteur 10 m ; choix de composition auteur ; dimensions réelles à documenter</x:v>
      </x:c>
      <x:c r="I3405" s="115" t="str">
        <x:v>À équilibrer</x:v>
      </x:c>
      <x:c r="J3405" s="115" t="str">
        <x:v>Non</x:v>
      </x:c>
      <x:c r="K3405" s="115" t="str">
        <x:v>Pièces décrites, murs, portes, niveaux et mobilier inspectables à l’échelle. Volumes réservés, raccord au seed, butin, rencontres et services de campagne restent à terminer.</x:v>
      </x:c>
    </x:row>
    <x:row r="3406" ht="96" customHeight="1">
      <x:c r="A3406" s="115" t="str">
        <x:v>EXT-MONDE-T069-V01</x:v>
      </x:c>
      <x:c r="B3406" s="115" t="str">
        <x:v>EXT-MONDE-T069</x:v>
      </x:c>
      <x:c r="C3406" s="115" t="str">
        <x:v>Aéroports</x:v>
      </x:c>
      <x:c r="D3406" s="115" t="str">
        <x:v>Aérodrome régional</x:v>
      </x:c>
      <x:c r="E3406" s="115" t="n">
        <x:v>1</x:v>
      </x:c>
      <x:c r="F3406" s="115" t="str">
        <x:v>Inspection physique</x:v>
      </x:c>
      <x:c r="G3406" s="115" t="str">
        <x:v>1 niveaux ; 36 pièces ; 265 segments de mur ; 0 transitions. Inspection physique ; architecture complète encore ouverte.</x:v>
      </x:c>
      <x:c r="H3406" s="115" t="str">
        <x:v>L 1100 ; l 1600 ; hauteur 18 m ; choix de composition auteur ; dimensions réelles à documenter</x:v>
      </x:c>
      <x:c r="I3406" s="115" t="str">
        <x:v>À équilibrer</x:v>
      </x:c>
      <x:c r="J3406" s="115" t="str">
        <x:v>Non</x:v>
      </x:c>
      <x:c r="K3406" s="115" t="str">
        <x:v>Pièces décrites, murs, portes, niveaux et mobilier inspectables à l’échelle. Volumes réservés, raccord au seed, butin, rencontres et services de campagne restent à terminer.</x:v>
      </x:c>
    </x:row>
    <x:row r="3407" ht="96" customHeight="1">
      <x:c r="A3407" s="115" t="str">
        <x:v>EXT-MONDE-T069-V02</x:v>
      </x:c>
      <x:c r="B3407" s="115" t="str">
        <x:v>EXT-MONDE-T069</x:v>
      </x:c>
      <x:c r="C3407" s="115" t="str">
        <x:v>Aéroports</x:v>
      </x:c>
      <x:c r="D3407" s="115" t="str">
        <x:v>Aérodrome régional</x:v>
      </x:c>
      <x:c r="E3407" s="115" t="n">
        <x:v>2</x:v>
      </x:c>
      <x:c r="F3407" s="115" t="str">
        <x:v>Inspection physique</x:v>
      </x:c>
      <x:c r="G3407" s="115" t="str">
        <x:v>1 niveaux ; 36 pièces ; 265 segments de mur ; 0 transitions. Inspection physique ; architecture complète encore ouverte.</x:v>
      </x:c>
      <x:c r="H3407" s="115" t="str">
        <x:v>L 1100 ; l 1600 ; hauteur 18 m ; choix de composition auteur ; dimensions réelles à documenter</x:v>
      </x:c>
      <x:c r="I3407" s="115" t="str">
        <x:v>À équilibrer</x:v>
      </x:c>
      <x:c r="J3407" s="115" t="str">
        <x:v>Non</x:v>
      </x:c>
      <x:c r="K3407" s="115" t="str">
        <x:v>Pièces décrites, murs, portes, niveaux et mobilier inspectables à l’échelle. Volumes réservés, raccord au seed, butin, rencontres et services de campagne restent à terminer.</x:v>
      </x:c>
    </x:row>
    <x:row r="3408" ht="96" customHeight="1">
      <x:c r="A3408" s="115" t="str">
        <x:v>EXT-MONDE-T069-V03</x:v>
      </x:c>
      <x:c r="B3408" s="115" t="str">
        <x:v>EXT-MONDE-T069</x:v>
      </x:c>
      <x:c r="C3408" s="115" t="str">
        <x:v>Aéroports</x:v>
      </x:c>
      <x:c r="D3408" s="115" t="str">
        <x:v>Aérodrome régional</x:v>
      </x:c>
      <x:c r="E3408" s="115" t="n">
        <x:v>3</x:v>
      </x:c>
      <x:c r="F3408" s="115" t="str">
        <x:v>Inspection physique</x:v>
      </x:c>
      <x:c r="G3408" s="115" t="str">
        <x:v>1 niveaux ; 36 pièces ; 265 segments de mur ; 0 transitions. Inspection physique ; architecture complète encore ouverte.</x:v>
      </x:c>
      <x:c r="H3408" s="115" t="str">
        <x:v>L 1100 ; l 1600 ; hauteur 18 m ; choix de composition auteur ; dimensions réelles à documenter</x:v>
      </x:c>
      <x:c r="I3408" s="115" t="str">
        <x:v>À équilibrer</x:v>
      </x:c>
      <x:c r="J3408" s="115" t="str">
        <x:v>Non</x:v>
      </x:c>
      <x:c r="K3408" s="115" t="str">
        <x:v>Pièces décrites, murs, portes, niveaux et mobilier inspectables à l’échelle. Volumes réservés, raccord au seed, butin, rencontres et services de campagne restent à terminer.</x:v>
      </x:c>
    </x:row>
    <x:row r="3409" ht="96" customHeight="1">
      <x:c r="A3409" s="115" t="str">
        <x:v>EXT-MONDE-T069-V04</x:v>
      </x:c>
      <x:c r="B3409" s="115" t="str">
        <x:v>EXT-MONDE-T069</x:v>
      </x:c>
      <x:c r="C3409" s="115" t="str">
        <x:v>Aéroports</x:v>
      </x:c>
      <x:c r="D3409" s="115" t="str">
        <x:v>Aérodrome régional</x:v>
      </x:c>
      <x:c r="E3409" s="115" t="n">
        <x:v>4</x:v>
      </x:c>
      <x:c r="F3409" s="115" t="str">
        <x:v>Inspection physique</x:v>
      </x:c>
      <x:c r="G3409" s="115" t="str">
        <x:v>1 niveaux ; 36 pièces ; 265 segments de mur ; 0 transitions. Inspection physique ; architecture complète encore ouverte.</x:v>
      </x:c>
      <x:c r="H3409" s="115" t="str">
        <x:v>L 1100 ; l 1600 ; hauteur 18 m ; choix de composition auteur ; dimensions réelles à documenter</x:v>
      </x:c>
      <x:c r="I3409" s="115" t="str">
        <x:v>À équilibrer</x:v>
      </x:c>
      <x:c r="J3409" s="115" t="str">
        <x:v>Non</x:v>
      </x:c>
      <x:c r="K3409" s="115" t="str">
        <x:v>Pièces décrites, murs, portes, niveaux et mobilier inspectables à l’échelle. Volumes réservés, raccord au seed, butin, rencontres et services de campagne restent à terminer.</x:v>
      </x:c>
    </x:row>
    <x:row r="3410" ht="96" customHeight="1">
      <x:c r="A3410" s="115" t="str">
        <x:v>EXT-MONDE-T069-V05</x:v>
      </x:c>
      <x:c r="B3410" s="115" t="str">
        <x:v>EXT-MONDE-T069</x:v>
      </x:c>
      <x:c r="C3410" s="115" t="str">
        <x:v>Aéroports</x:v>
      </x:c>
      <x:c r="D3410" s="115" t="str">
        <x:v>Aérodrome régional</x:v>
      </x:c>
      <x:c r="E3410" s="115" t="n">
        <x:v>5</x:v>
      </x:c>
      <x:c r="F3410" s="115" t="str">
        <x:v>Inspection physique</x:v>
      </x:c>
      <x:c r="G3410" s="115" t="str">
        <x:v>1 niveaux ; 36 pièces ; 265 segments de mur ; 0 transitions. Inspection physique ; architecture complète encore ouverte.</x:v>
      </x:c>
      <x:c r="H3410" s="115" t="str">
        <x:v>L 1100 ; l 1600 ; hauteur 18 m ; choix de composition auteur ; dimensions réelles à documenter</x:v>
      </x:c>
      <x:c r="I3410" s="115" t="str">
        <x:v>À équilibrer</x:v>
      </x:c>
      <x:c r="J3410" s="115" t="str">
        <x:v>Non</x:v>
      </x:c>
      <x:c r="K3410" s="115" t="str">
        <x:v>Pièces décrites, murs, portes, niveaux et mobilier inspectables à l’échelle. Volumes réservés, raccord au seed, butin, rencontres et services de campagne restent à terminer.</x:v>
      </x:c>
    </x:row>
    <x:row r="3411" ht="96" customHeight="1">
      <x:c r="A3411" s="115" t="str">
        <x:v>EXT-MONDE-T069-V06</x:v>
      </x:c>
      <x:c r="B3411" s="115" t="str">
        <x:v>EXT-MONDE-T069</x:v>
      </x:c>
      <x:c r="C3411" s="115" t="str">
        <x:v>Aéroports</x:v>
      </x:c>
      <x:c r="D3411" s="115" t="str">
        <x:v>Aérodrome régional</x:v>
      </x:c>
      <x:c r="E3411" s="115" t="n">
        <x:v>6</x:v>
      </x:c>
      <x:c r="F3411" s="115" t="str">
        <x:v>Inspection physique</x:v>
      </x:c>
      <x:c r="G3411" s="115" t="str">
        <x:v>1 niveaux ; 36 pièces ; 265 segments de mur ; 0 transitions. Inspection physique ; architecture complète encore ouverte.</x:v>
      </x:c>
      <x:c r="H3411" s="115" t="str">
        <x:v>L 1100 ; l 1600 ; hauteur 18 m ; choix de composition auteur ; dimensions réelles à documenter</x:v>
      </x:c>
      <x:c r="I3411" s="115" t="str">
        <x:v>À équilibrer</x:v>
      </x:c>
      <x:c r="J3411" s="115" t="str">
        <x:v>Non</x:v>
      </x:c>
      <x:c r="K3411" s="115" t="str">
        <x:v>Pièces décrites, murs, portes, niveaux et mobilier inspectables à l’échelle. Volumes réservés, raccord au seed, butin, rencontres et services de campagne restent à terminer.</x:v>
      </x:c>
    </x:row>
    <x:row r="3412" ht="96" customHeight="1">
      <x:c r="A3412" s="115" t="str">
        <x:v>EXT-MONDE-T069-V07</x:v>
      </x:c>
      <x:c r="B3412" s="115" t="str">
        <x:v>EXT-MONDE-T069</x:v>
      </x:c>
      <x:c r="C3412" s="115" t="str">
        <x:v>Aéroports</x:v>
      </x:c>
      <x:c r="D3412" s="115" t="str">
        <x:v>Aérodrome régional</x:v>
      </x:c>
      <x:c r="E3412" s="115" t="n">
        <x:v>7</x:v>
      </x:c>
      <x:c r="F3412" s="115" t="str">
        <x:v>Inspection physique</x:v>
      </x:c>
      <x:c r="G3412" s="115" t="str">
        <x:v>1 niveaux ; 36 pièces ; 265 segments de mur ; 0 transitions. Inspection physique ; architecture complète encore ouverte.</x:v>
      </x:c>
      <x:c r="H3412" s="115" t="str">
        <x:v>L 1100 ; l 1600 ; hauteur 18 m ; choix de composition auteur ; dimensions réelles à documenter</x:v>
      </x:c>
      <x:c r="I3412" s="115" t="str">
        <x:v>À équilibrer</x:v>
      </x:c>
      <x:c r="J3412" s="115" t="str">
        <x:v>Non</x:v>
      </x:c>
      <x:c r="K3412" s="115" t="str">
        <x:v>Pièces décrites, murs, portes, niveaux et mobilier inspectables à l’échelle. Volumes réservés, raccord au seed, butin, rencontres et services de campagne restent à terminer.</x:v>
      </x:c>
    </x:row>
    <x:row r="3413" ht="96" customHeight="1">
      <x:c r="A3413" s="115" t="str">
        <x:v>EXT-MONDE-T069-V08</x:v>
      </x:c>
      <x:c r="B3413" s="115" t="str">
        <x:v>EXT-MONDE-T069</x:v>
      </x:c>
      <x:c r="C3413" s="115" t="str">
        <x:v>Aéroports</x:v>
      </x:c>
      <x:c r="D3413" s="115" t="str">
        <x:v>Aérodrome régional</x:v>
      </x:c>
      <x:c r="E3413" s="115" t="n">
        <x:v>8</x:v>
      </x:c>
      <x:c r="F3413" s="115" t="str">
        <x:v>Inspection physique</x:v>
      </x:c>
      <x:c r="G3413" s="115" t="str">
        <x:v>1 niveaux ; 36 pièces ; 265 segments de mur ; 0 transitions. Inspection physique ; architecture complète encore ouverte.</x:v>
      </x:c>
      <x:c r="H3413" s="115" t="str">
        <x:v>L 1100 ; l 1600 ; hauteur 18 m ; choix de composition auteur ; dimensions réelles à documenter</x:v>
      </x:c>
      <x:c r="I3413" s="115" t="str">
        <x:v>À équilibrer</x:v>
      </x:c>
      <x:c r="J3413" s="115" t="str">
        <x:v>Non</x:v>
      </x:c>
      <x:c r="K3413" s="115" t="str">
        <x:v>Pièces décrites, murs, portes, niveaux et mobilier inspectables à l’échelle. Volumes réservés, raccord au seed, butin, rencontres et services de campagne restent à terminer.</x:v>
      </x:c>
    </x:row>
    <x:row r="3414" ht="96" customHeight="1">
      <x:c r="A3414" s="115" t="str">
        <x:v>EXT-MONDE-T069-V09</x:v>
      </x:c>
      <x:c r="B3414" s="115" t="str">
        <x:v>EXT-MONDE-T069</x:v>
      </x:c>
      <x:c r="C3414" s="115" t="str">
        <x:v>Aéroports</x:v>
      </x:c>
      <x:c r="D3414" s="115" t="str">
        <x:v>Aérodrome régional</x:v>
      </x:c>
      <x:c r="E3414" s="115" t="n">
        <x:v>9</x:v>
      </x:c>
      <x:c r="F3414" s="115" t="str">
        <x:v>Inspection physique</x:v>
      </x:c>
      <x:c r="G3414" s="115" t="str">
        <x:v>1 niveaux ; 36 pièces ; 265 segments de mur ; 0 transitions. Inspection physique ; architecture complète encore ouverte.</x:v>
      </x:c>
      <x:c r="H3414" s="115" t="str">
        <x:v>L 1100 ; l 1600 ; hauteur 18 m ; choix de composition auteur ; dimensions réelles à documenter</x:v>
      </x:c>
      <x:c r="I3414" s="115" t="str">
        <x:v>À équilibrer</x:v>
      </x:c>
      <x:c r="J3414" s="115" t="str">
        <x:v>Non</x:v>
      </x:c>
      <x:c r="K3414" s="115" t="str">
        <x:v>Pièces décrites, murs, portes, niveaux et mobilier inspectables à l’échelle. Volumes réservés, raccord au seed, butin, rencontres et services de campagne restent à terminer.</x:v>
      </x:c>
    </x:row>
    <x:row r="3415" ht="96" customHeight="1">
      <x:c r="A3415" s="115" t="str">
        <x:v>EXT-MONDE-T069-V10</x:v>
      </x:c>
      <x:c r="B3415" s="115" t="str">
        <x:v>EXT-MONDE-T069</x:v>
      </x:c>
      <x:c r="C3415" s="115" t="str">
        <x:v>Aéroports</x:v>
      </x:c>
      <x:c r="D3415" s="115" t="str">
        <x:v>Aérodrome régional</x:v>
      </x:c>
      <x:c r="E3415" s="115" t="n">
        <x:v>10</x:v>
      </x:c>
      <x:c r="F3415" s="115" t="str">
        <x:v>Inspection physique</x:v>
      </x:c>
      <x:c r="G3415" s="115" t="str">
        <x:v>1 niveaux ; 36 pièces ; 265 segments de mur ; 0 transitions. Inspection physique ; architecture complète encore ouverte.</x:v>
      </x:c>
      <x:c r="H3415" s="115" t="str">
        <x:v>L 1100 ; l 1600 ; hauteur 18 m ; choix de composition auteur ; dimensions réelles à documenter</x:v>
      </x:c>
      <x:c r="I3415" s="115" t="str">
        <x:v>À équilibrer</x:v>
      </x:c>
      <x:c r="J3415" s="115" t="str">
        <x:v>Non</x:v>
      </x:c>
      <x:c r="K3415" s="115" t="str">
        <x:v>Pièces décrites, murs, portes, niveaux et mobilier inspectables à l’échelle. Volumes réservés, raccord au seed, butin, rencontres et services de campagne restent à terminer.</x:v>
      </x:c>
    </x:row>
    <x:row r="3416" ht="96" customHeight="1">
      <x:c r="A3416" s="115" t="str">
        <x:v>EXT-MONDE-T069-V11</x:v>
      </x:c>
      <x:c r="B3416" s="115" t="str">
        <x:v>EXT-MONDE-T069</x:v>
      </x:c>
      <x:c r="C3416" s="115" t="str">
        <x:v>Aéroports</x:v>
      </x:c>
      <x:c r="D3416" s="115" t="str">
        <x:v>Aérodrome régional</x:v>
      </x:c>
      <x:c r="E3416" s="115" t="n">
        <x:v>11</x:v>
      </x:c>
      <x:c r="F3416" s="115" t="str">
        <x:v>Inspection physique</x:v>
      </x:c>
      <x:c r="G3416" s="115" t="str">
        <x:v>1 niveaux ; 36 pièces ; 265 segments de mur ; 0 transitions. Inspection physique ; architecture complète encore ouverte.</x:v>
      </x:c>
      <x:c r="H3416" s="115" t="str">
        <x:v>L 1100 ; l 1700 ; hauteur 20 m ; choix de composition auteur ; dimensions réelles à documenter</x:v>
      </x:c>
      <x:c r="I3416" s="115" t="str">
        <x:v>À équilibrer</x:v>
      </x:c>
      <x:c r="J3416" s="115" t="str">
        <x:v>Non</x:v>
      </x:c>
      <x:c r="K3416" s="115" t="str">
        <x:v>Pièces décrites, murs, portes, niveaux et mobilier inspectables à l’échelle. Volumes réservés, raccord au seed, butin, rencontres et services de campagne restent à terminer.</x:v>
      </x:c>
    </x:row>
    <x:row r="3417" ht="96" customHeight="1">
      <x:c r="A3417" s="115" t="str">
        <x:v>EXT-MONDE-T069-V12</x:v>
      </x:c>
      <x:c r="B3417" s="115" t="str">
        <x:v>EXT-MONDE-T069</x:v>
      </x:c>
      <x:c r="C3417" s="115" t="str">
        <x:v>Aéroports</x:v>
      </x:c>
      <x:c r="D3417" s="115" t="str">
        <x:v>Aérodrome régional</x:v>
      </x:c>
      <x:c r="E3417" s="115" t="n">
        <x:v>12</x:v>
      </x:c>
      <x:c r="F3417" s="115" t="str">
        <x:v>Inspection physique</x:v>
      </x:c>
      <x:c r="G3417" s="115" t="str">
        <x:v>1 niveaux ; 36 pièces ; 265 segments de mur ; 0 transitions. Inspection physique ; architecture complète encore ouverte.</x:v>
      </x:c>
      <x:c r="H3417" s="115" t="str">
        <x:v>L 1100 ; l 1700 ; hauteur 20 m ; choix de composition auteur ; dimensions réelles à documenter</x:v>
      </x:c>
      <x:c r="I3417" s="115" t="str">
        <x:v>À équilibrer</x:v>
      </x:c>
      <x:c r="J3417" s="115" t="str">
        <x:v>Non</x:v>
      </x:c>
      <x:c r="K3417" s="115" t="str">
        <x:v>Pièces décrites, murs, portes, niveaux et mobilier inspectables à l’échelle. Volumes réservés, raccord au seed, butin, rencontres et services de campagne restent à terminer.</x:v>
      </x:c>
    </x:row>
    <x:row r="3418" ht="96" customHeight="1">
      <x:c r="A3418" s="115" t="str">
        <x:v>EXT-MONDE-T069-V13</x:v>
      </x:c>
      <x:c r="B3418" s="115" t="str">
        <x:v>EXT-MONDE-T069</x:v>
      </x:c>
      <x:c r="C3418" s="115" t="str">
        <x:v>Aéroports</x:v>
      </x:c>
      <x:c r="D3418" s="115" t="str">
        <x:v>Aérodrome régional</x:v>
      </x:c>
      <x:c r="E3418" s="115" t="n">
        <x:v>13</x:v>
      </x:c>
      <x:c r="F3418" s="115" t="str">
        <x:v>Inspection physique</x:v>
      </x:c>
      <x:c r="G3418" s="115" t="str">
        <x:v>1 niveaux ; 36 pièces ; 265 segments de mur ; 0 transitions. Inspection physique ; architecture complète encore ouverte.</x:v>
      </x:c>
      <x:c r="H3418" s="115" t="str">
        <x:v>L 1100 ; l 1700 ; hauteur 20 m ; choix de composition auteur ; dimensions réelles à documenter</x:v>
      </x:c>
      <x:c r="I3418" s="115" t="str">
        <x:v>À équilibrer</x:v>
      </x:c>
      <x:c r="J3418" s="115" t="str">
        <x:v>Non</x:v>
      </x:c>
      <x:c r="K3418" s="115" t="str">
        <x:v>Pièces décrites, murs, portes, niveaux et mobilier inspectables à l’échelle. Volumes réservés, raccord au seed, butin, rencontres et services de campagne restent à terminer.</x:v>
      </x:c>
    </x:row>
    <x:row r="3419" ht="96" customHeight="1">
      <x:c r="A3419" s="115" t="str">
        <x:v>EXT-MONDE-T069-V14</x:v>
      </x:c>
      <x:c r="B3419" s="115" t="str">
        <x:v>EXT-MONDE-T069</x:v>
      </x:c>
      <x:c r="C3419" s="115" t="str">
        <x:v>Aéroports</x:v>
      </x:c>
      <x:c r="D3419" s="115" t="str">
        <x:v>Aérodrome régional</x:v>
      </x:c>
      <x:c r="E3419" s="115" t="n">
        <x:v>14</x:v>
      </x:c>
      <x:c r="F3419" s="115" t="str">
        <x:v>Inspection physique</x:v>
      </x:c>
      <x:c r="G3419" s="115" t="str">
        <x:v>1 niveaux ; 36 pièces ; 265 segments de mur ; 0 transitions. Inspection physique ; architecture complète encore ouverte.</x:v>
      </x:c>
      <x:c r="H3419" s="115" t="str">
        <x:v>L 1100 ; l 1700 ; hauteur 20 m ; choix de composition auteur ; dimensions réelles à documenter</x:v>
      </x:c>
      <x:c r="I3419" s="115" t="str">
        <x:v>À équilibrer</x:v>
      </x:c>
      <x:c r="J3419" s="115" t="str">
        <x:v>Non</x:v>
      </x:c>
      <x:c r="K3419" s="115" t="str">
        <x:v>Pièces décrites, murs, portes, niveaux et mobilier inspectables à l’échelle. Volumes réservés, raccord au seed, butin, rencontres et services de campagne restent à terminer.</x:v>
      </x:c>
    </x:row>
    <x:row r="3420" ht="96" customHeight="1">
      <x:c r="A3420" s="115" t="str">
        <x:v>EXT-MONDE-T069-V15</x:v>
      </x:c>
      <x:c r="B3420" s="115" t="str">
        <x:v>EXT-MONDE-T069</x:v>
      </x:c>
      <x:c r="C3420" s="115" t="str">
        <x:v>Aéroports</x:v>
      </x:c>
      <x:c r="D3420" s="115" t="str">
        <x:v>Aérodrome régional</x:v>
      </x:c>
      <x:c r="E3420" s="115" t="n">
        <x:v>15</x:v>
      </x:c>
      <x:c r="F3420" s="115" t="str">
        <x:v>Inspection physique</x:v>
      </x:c>
      <x:c r="G3420" s="115" t="str">
        <x:v>1 niveaux ; 36 pièces ; 265 segments de mur ; 0 transitions. Inspection physique ; architecture complète encore ouverte.</x:v>
      </x:c>
      <x:c r="H3420" s="115" t="str">
        <x:v>L 1100 ; l 1700 ; hauteur 20 m ; choix de composition auteur ; dimensions réelles à documenter</x:v>
      </x:c>
      <x:c r="I3420" s="115" t="str">
        <x:v>À équilibrer</x:v>
      </x:c>
      <x:c r="J3420" s="115" t="str">
        <x:v>Non</x:v>
      </x:c>
      <x:c r="K3420" s="115" t="str">
        <x:v>Pièces décrites, murs, portes, niveaux et mobilier inspectables à l’échelle. Volumes réservés, raccord au seed, butin, rencontres et services de campagne restent à terminer.</x:v>
      </x:c>
    </x:row>
    <x:row r="3421" ht="96" customHeight="1">
      <x:c r="A3421" s="115" t="str">
        <x:v>EXT-MONDE-T069-V16</x:v>
      </x:c>
      <x:c r="B3421" s="115" t="str">
        <x:v>EXT-MONDE-T069</x:v>
      </x:c>
      <x:c r="C3421" s="115" t="str">
        <x:v>Aéroports</x:v>
      </x:c>
      <x:c r="D3421" s="115" t="str">
        <x:v>Aérodrome régional</x:v>
      </x:c>
      <x:c r="E3421" s="115" t="n">
        <x:v>16</x:v>
      </x:c>
      <x:c r="F3421" s="115" t="str">
        <x:v>Inspection physique</x:v>
      </x:c>
      <x:c r="G3421" s="115" t="str">
        <x:v>1 niveaux ; 36 pièces ; 265 segments de mur ; 0 transitions. Inspection physique ; architecture complète encore ouverte.</x:v>
      </x:c>
      <x:c r="H3421" s="115" t="str">
        <x:v>L 1100 ; l 1700 ; hauteur 20 m ; choix de composition auteur ; dimensions réelles à documenter</x:v>
      </x:c>
      <x:c r="I3421" s="115" t="str">
        <x:v>À équilibrer</x:v>
      </x:c>
      <x:c r="J3421" s="115" t="str">
        <x:v>Non</x:v>
      </x:c>
      <x:c r="K3421" s="115" t="str">
        <x:v>Pièces décrites, murs, portes, niveaux et mobilier inspectables à l’échelle. Volumes réservés, raccord au seed, butin, rencontres et services de campagne restent à terminer.</x:v>
      </x:c>
    </x:row>
    <x:row r="3422" ht="96" customHeight="1">
      <x:c r="A3422" s="115" t="str">
        <x:v>EXT-MONDE-T069-V17</x:v>
      </x:c>
      <x:c r="B3422" s="115" t="str">
        <x:v>EXT-MONDE-T069</x:v>
      </x:c>
      <x:c r="C3422" s="115" t="str">
        <x:v>Aéroports</x:v>
      </x:c>
      <x:c r="D3422" s="115" t="str">
        <x:v>Aérodrome régional</x:v>
      </x:c>
      <x:c r="E3422" s="115" t="n">
        <x:v>17</x:v>
      </x:c>
      <x:c r="F3422" s="115" t="str">
        <x:v>Inspection physique</x:v>
      </x:c>
      <x:c r="G3422" s="115" t="str">
        <x:v>1 niveaux ; 36 pièces ; 265 segments de mur ; 0 transitions. Inspection physique ; architecture complète encore ouverte.</x:v>
      </x:c>
      <x:c r="H3422" s="115" t="str">
        <x:v>L 1100 ; l 1700 ; hauteur 20 m ; choix de composition auteur ; dimensions réelles à documenter</x:v>
      </x:c>
      <x:c r="I3422" s="115" t="str">
        <x:v>À équilibrer</x:v>
      </x:c>
      <x:c r="J3422" s="115" t="str">
        <x:v>Non</x:v>
      </x:c>
      <x:c r="K3422" s="115" t="str">
        <x:v>Pièces décrites, murs, portes, niveaux et mobilier inspectables à l’échelle. Volumes réservés, raccord au seed, butin, rencontres et services de campagne restent à terminer.</x:v>
      </x:c>
    </x:row>
    <x:row r="3423" ht="96" customHeight="1">
      <x:c r="A3423" s="115" t="str">
        <x:v>EXT-MONDE-T069-V18</x:v>
      </x:c>
      <x:c r="B3423" s="115" t="str">
        <x:v>EXT-MONDE-T069</x:v>
      </x:c>
      <x:c r="C3423" s="115" t="str">
        <x:v>Aéroports</x:v>
      </x:c>
      <x:c r="D3423" s="115" t="str">
        <x:v>Aérodrome régional</x:v>
      </x:c>
      <x:c r="E3423" s="115" t="n">
        <x:v>18</x:v>
      </x:c>
      <x:c r="F3423" s="115" t="str">
        <x:v>Inspection physique</x:v>
      </x:c>
      <x:c r="G3423" s="115" t="str">
        <x:v>1 niveaux ; 36 pièces ; 265 segments de mur ; 0 transitions. Inspection physique ; architecture complète encore ouverte.</x:v>
      </x:c>
      <x:c r="H3423" s="115" t="str">
        <x:v>L 1100 ; l 1700 ; hauteur 20 m ; choix de composition auteur ; dimensions réelles à documenter</x:v>
      </x:c>
      <x:c r="I3423" s="115" t="str">
        <x:v>À équilibrer</x:v>
      </x:c>
      <x:c r="J3423" s="115" t="str">
        <x:v>Non</x:v>
      </x:c>
      <x:c r="K3423" s="115" t="str">
        <x:v>Pièces décrites, murs, portes, niveaux et mobilier inspectables à l’échelle. Volumes réservés, raccord au seed, butin, rencontres et services de campagne restent à terminer.</x:v>
      </x:c>
    </x:row>
    <x:row r="3424" ht="96" customHeight="1">
      <x:c r="A3424" s="115" t="str">
        <x:v>EXT-MONDE-T069-V19</x:v>
      </x:c>
      <x:c r="B3424" s="115" t="str">
        <x:v>EXT-MONDE-T069</x:v>
      </x:c>
      <x:c r="C3424" s="115" t="str">
        <x:v>Aéroports</x:v>
      </x:c>
      <x:c r="D3424" s="115" t="str">
        <x:v>Aérodrome régional</x:v>
      </x:c>
      <x:c r="E3424" s="115" t="n">
        <x:v>19</x:v>
      </x:c>
      <x:c r="F3424" s="115" t="str">
        <x:v>Inspection physique</x:v>
      </x:c>
      <x:c r="G3424" s="115" t="str">
        <x:v>1 niveaux ; 36 pièces ; 265 segments de mur ; 0 transitions. Inspection physique ; architecture complète encore ouverte.</x:v>
      </x:c>
      <x:c r="H3424" s="115" t="str">
        <x:v>L 1100 ; l 1700 ; hauteur 20 m ; choix de composition auteur ; dimensions réelles à documenter</x:v>
      </x:c>
      <x:c r="I3424" s="115" t="str">
        <x:v>À équilibrer</x:v>
      </x:c>
      <x:c r="J3424" s="115" t="str">
        <x:v>Non</x:v>
      </x:c>
      <x:c r="K3424" s="115" t="str">
        <x:v>Pièces décrites, murs, portes, niveaux et mobilier inspectables à l’échelle. Volumes réservés, raccord au seed, butin, rencontres et services de campagne restent à terminer.</x:v>
      </x:c>
    </x:row>
    <x:row r="3425" ht="96" customHeight="1">
      <x:c r="A3425" s="115" t="str">
        <x:v>EXT-MONDE-T069-V20</x:v>
      </x:c>
      <x:c r="B3425" s="115" t="str">
        <x:v>EXT-MONDE-T069</x:v>
      </x:c>
      <x:c r="C3425" s="115" t="str">
        <x:v>Aéroports</x:v>
      </x:c>
      <x:c r="D3425" s="115" t="str">
        <x:v>Aérodrome régional</x:v>
      </x:c>
      <x:c r="E3425" s="115" t="n">
        <x:v>20</x:v>
      </x:c>
      <x:c r="F3425" s="115" t="str">
        <x:v>Inspection physique</x:v>
      </x:c>
      <x:c r="G3425" s="115" t="str">
        <x:v>1 niveaux ; 36 pièces ; 265 segments de mur ; 0 transitions. Inspection physique ; architecture complète encore ouverte.</x:v>
      </x:c>
      <x:c r="H3425" s="115" t="str">
        <x:v>L 1100 ; l 1700 ; hauteur 20 m ; choix de composition auteur ; dimensions réelles à documenter</x:v>
      </x:c>
      <x:c r="I3425" s="115" t="str">
        <x:v>À équilibrer</x:v>
      </x:c>
      <x:c r="J3425" s="115" t="str">
        <x:v>Non</x:v>
      </x:c>
      <x:c r="K3425" s="115" t="str">
        <x:v>Pièces décrites, murs, portes, niveaux et mobilier inspectables à l’échelle. Volumes réservés, raccord au seed, butin, rencontres et services de campagne restent à terminer.</x:v>
      </x:c>
    </x:row>
    <x:row r="3426" ht="96" customHeight="1">
      <x:c r="A3426" s="115" t="str">
        <x:v>EXT-MONDE-T069-V21</x:v>
      </x:c>
      <x:c r="B3426" s="115" t="str">
        <x:v>EXT-MONDE-T069</x:v>
      </x:c>
      <x:c r="C3426" s="115" t="str">
        <x:v>Aéroports</x:v>
      </x:c>
      <x:c r="D3426" s="115" t="str">
        <x:v>Aérodrome régional</x:v>
      </x:c>
      <x:c r="E3426" s="115" t="n">
        <x:v>21</x:v>
      </x:c>
      <x:c r="F3426" s="115" t="str">
        <x:v>Inspection physique</x:v>
      </x:c>
      <x:c r="G3426" s="115" t="str">
        <x:v>1 niveaux ; 36 pièces ; 265 segments de mur ; 0 transitions. Inspection physique ; architecture complète encore ouverte.</x:v>
      </x:c>
      <x:c r="H3426" s="115" t="str">
        <x:v>L 1100 ; l 1800 ; hauteur 22 m ; choix de composition auteur ; dimensions réelles à documenter</x:v>
      </x:c>
      <x:c r="I3426" s="115" t="str">
        <x:v>À équilibrer</x:v>
      </x:c>
      <x:c r="J3426" s="115" t="str">
        <x:v>Non</x:v>
      </x:c>
      <x:c r="K3426" s="115" t="str">
        <x:v>Pièces décrites, murs, portes, niveaux et mobilier inspectables à l’échelle. Volumes réservés, raccord au seed, butin, rencontres et services de campagne restent à terminer.</x:v>
      </x:c>
    </x:row>
    <x:row r="3427" ht="96" customHeight="1">
      <x:c r="A3427" s="115" t="str">
        <x:v>EXT-MONDE-T069-V22</x:v>
      </x:c>
      <x:c r="B3427" s="115" t="str">
        <x:v>EXT-MONDE-T069</x:v>
      </x:c>
      <x:c r="C3427" s="115" t="str">
        <x:v>Aéroports</x:v>
      </x:c>
      <x:c r="D3427" s="115" t="str">
        <x:v>Aérodrome régional</x:v>
      </x:c>
      <x:c r="E3427" s="115" t="n">
        <x:v>22</x:v>
      </x:c>
      <x:c r="F3427" s="115" t="str">
        <x:v>Inspection physique</x:v>
      </x:c>
      <x:c r="G3427" s="115" t="str">
        <x:v>1 niveaux ; 36 pièces ; 265 segments de mur ; 0 transitions. Inspection physique ; architecture complète encore ouverte.</x:v>
      </x:c>
      <x:c r="H3427" s="115" t="str">
        <x:v>L 1100 ; l 1800 ; hauteur 22 m ; choix de composition auteur ; dimensions réelles à documenter</x:v>
      </x:c>
      <x:c r="I3427" s="115" t="str">
        <x:v>À équilibrer</x:v>
      </x:c>
      <x:c r="J3427" s="115" t="str">
        <x:v>Non</x:v>
      </x:c>
      <x:c r="K3427" s="115" t="str">
        <x:v>Pièces décrites, murs, portes, niveaux et mobilier inspectables à l’échelle. Volumes réservés, raccord au seed, butin, rencontres et services de campagne restent à terminer.</x:v>
      </x:c>
    </x:row>
    <x:row r="3428" ht="96" customHeight="1">
      <x:c r="A3428" s="115" t="str">
        <x:v>EXT-MONDE-T069-V23</x:v>
      </x:c>
      <x:c r="B3428" s="115" t="str">
        <x:v>EXT-MONDE-T069</x:v>
      </x:c>
      <x:c r="C3428" s="115" t="str">
        <x:v>Aéroports</x:v>
      </x:c>
      <x:c r="D3428" s="115" t="str">
        <x:v>Aérodrome régional</x:v>
      </x:c>
      <x:c r="E3428" s="115" t="n">
        <x:v>23</x:v>
      </x:c>
      <x:c r="F3428" s="115" t="str">
        <x:v>Inspection physique</x:v>
      </x:c>
      <x:c r="G3428" s="115" t="str">
        <x:v>1 niveaux ; 36 pièces ; 265 segments de mur ; 0 transitions. Inspection physique ; architecture complète encore ouverte.</x:v>
      </x:c>
      <x:c r="H3428" s="115" t="str">
        <x:v>L 1100 ; l 1800 ; hauteur 22 m ; choix de composition auteur ; dimensions réelles à documenter</x:v>
      </x:c>
      <x:c r="I3428" s="115" t="str">
        <x:v>À équilibrer</x:v>
      </x:c>
      <x:c r="J3428" s="115" t="str">
        <x:v>Non</x:v>
      </x:c>
      <x:c r="K3428" s="115" t="str">
        <x:v>Pièces décrites, murs, portes, niveaux et mobilier inspectables à l’échelle. Volumes réservés, raccord au seed, butin, rencontres et services de campagne restent à terminer.</x:v>
      </x:c>
    </x:row>
    <x:row r="3429" ht="96" customHeight="1">
      <x:c r="A3429" s="115" t="str">
        <x:v>EXT-MONDE-T069-V24</x:v>
      </x:c>
      <x:c r="B3429" s="115" t="str">
        <x:v>EXT-MONDE-T069</x:v>
      </x:c>
      <x:c r="C3429" s="115" t="str">
        <x:v>Aéroports</x:v>
      </x:c>
      <x:c r="D3429" s="115" t="str">
        <x:v>Aérodrome régional</x:v>
      </x:c>
      <x:c r="E3429" s="115" t="n">
        <x:v>24</x:v>
      </x:c>
      <x:c r="F3429" s="115" t="str">
        <x:v>Inspection physique</x:v>
      </x:c>
      <x:c r="G3429" s="115" t="str">
        <x:v>1 niveaux ; 36 pièces ; 265 segments de mur ; 0 transitions. Inspection physique ; architecture complète encore ouverte.</x:v>
      </x:c>
      <x:c r="H3429" s="115" t="str">
        <x:v>L 1100 ; l 1800 ; hauteur 22 m ; choix de composition auteur ; dimensions réelles à documenter</x:v>
      </x:c>
      <x:c r="I3429" s="115" t="str">
        <x:v>À équilibrer</x:v>
      </x:c>
      <x:c r="J3429" s="115" t="str">
        <x:v>Non</x:v>
      </x:c>
      <x:c r="K3429" s="115" t="str">
        <x:v>Pièces décrites, murs, portes, niveaux et mobilier inspectables à l’échelle. Volumes réservés, raccord au seed, butin, rencontres et services de campagne restent à terminer.</x:v>
      </x:c>
    </x:row>
    <x:row r="3430" ht="96" customHeight="1">
      <x:c r="A3430" s="115" t="str">
        <x:v>EXT-MONDE-T069-V25</x:v>
      </x:c>
      <x:c r="B3430" s="115" t="str">
        <x:v>EXT-MONDE-T069</x:v>
      </x:c>
      <x:c r="C3430" s="115" t="str">
        <x:v>Aéroports</x:v>
      </x:c>
      <x:c r="D3430" s="115" t="str">
        <x:v>Aérodrome régional</x:v>
      </x:c>
      <x:c r="E3430" s="115" t="n">
        <x:v>25</x:v>
      </x:c>
      <x:c r="F3430" s="115" t="str">
        <x:v>Inspection physique</x:v>
      </x:c>
      <x:c r="G3430" s="115" t="str">
        <x:v>1 niveaux ; 36 pièces ; 265 segments de mur ; 0 transitions. Inspection physique ; architecture complète encore ouverte.</x:v>
      </x:c>
      <x:c r="H3430" s="115" t="str">
        <x:v>L 1100 ; l 1800 ; hauteur 22 m ; choix de composition auteur ; dimensions réelles à documenter</x:v>
      </x:c>
      <x:c r="I3430" s="115" t="str">
        <x:v>À équilibrer</x:v>
      </x:c>
      <x:c r="J3430" s="115" t="str">
        <x:v>Non</x:v>
      </x:c>
      <x:c r="K3430" s="115" t="str">
        <x:v>Pièces décrites, murs, portes, niveaux et mobilier inspectables à l’échelle. Volumes réservés, raccord au seed, butin, rencontres et services de campagne restent à terminer.</x:v>
      </x:c>
    </x:row>
    <x:row r="3431" ht="96" customHeight="1">
      <x:c r="A3431" s="115" t="str">
        <x:v>EXT-MONDE-T069-V26</x:v>
      </x:c>
      <x:c r="B3431" s="115" t="str">
        <x:v>EXT-MONDE-T069</x:v>
      </x:c>
      <x:c r="C3431" s="115" t="str">
        <x:v>Aéroports</x:v>
      </x:c>
      <x:c r="D3431" s="115" t="str">
        <x:v>Aérodrome régional</x:v>
      </x:c>
      <x:c r="E3431" s="115" t="n">
        <x:v>26</x:v>
      </x:c>
      <x:c r="F3431" s="115" t="str">
        <x:v>Inspection physique</x:v>
      </x:c>
      <x:c r="G3431" s="115" t="str">
        <x:v>1 niveaux ; 36 pièces ; 265 segments de mur ; 0 transitions. Inspection physique ; architecture complète encore ouverte.</x:v>
      </x:c>
      <x:c r="H3431" s="115" t="str">
        <x:v>L 1100 ; l 1800 ; hauteur 22 m ; choix de composition auteur ; dimensions réelles à documenter</x:v>
      </x:c>
      <x:c r="I3431" s="115" t="str">
        <x:v>À équilibrer</x:v>
      </x:c>
      <x:c r="J3431" s="115" t="str">
        <x:v>Non</x:v>
      </x:c>
      <x:c r="K3431" s="115" t="str">
        <x:v>Pièces décrites, murs, portes, niveaux et mobilier inspectables à l’échelle. Volumes réservés, raccord au seed, butin, rencontres et services de campagne restent à terminer.</x:v>
      </x:c>
    </x:row>
    <x:row r="3432" ht="96" customHeight="1">
      <x:c r="A3432" s="115" t="str">
        <x:v>EXT-MONDE-T069-V27</x:v>
      </x:c>
      <x:c r="B3432" s="115" t="str">
        <x:v>EXT-MONDE-T069</x:v>
      </x:c>
      <x:c r="C3432" s="115" t="str">
        <x:v>Aéroports</x:v>
      </x:c>
      <x:c r="D3432" s="115" t="str">
        <x:v>Aérodrome régional</x:v>
      </x:c>
      <x:c r="E3432" s="115" t="n">
        <x:v>27</x:v>
      </x:c>
      <x:c r="F3432" s="115" t="str">
        <x:v>Inspection physique</x:v>
      </x:c>
      <x:c r="G3432" s="115" t="str">
        <x:v>1 niveaux ; 36 pièces ; 265 segments de mur ; 0 transitions. Inspection physique ; architecture complète encore ouverte.</x:v>
      </x:c>
      <x:c r="H3432" s="115" t="str">
        <x:v>L 1100 ; l 1800 ; hauteur 22 m ; choix de composition auteur ; dimensions réelles à documenter</x:v>
      </x:c>
      <x:c r="I3432" s="115" t="str">
        <x:v>À équilibrer</x:v>
      </x:c>
      <x:c r="J3432" s="115" t="str">
        <x:v>Non</x:v>
      </x:c>
      <x:c r="K3432" s="115" t="str">
        <x:v>Pièces décrites, murs, portes, niveaux et mobilier inspectables à l’échelle. Volumes réservés, raccord au seed, butin, rencontres et services de campagne restent à terminer.</x:v>
      </x:c>
    </x:row>
    <x:row r="3433" ht="96" customHeight="1">
      <x:c r="A3433" s="115" t="str">
        <x:v>EXT-MONDE-T069-V28</x:v>
      </x:c>
      <x:c r="B3433" s="115" t="str">
        <x:v>EXT-MONDE-T069</x:v>
      </x:c>
      <x:c r="C3433" s="115" t="str">
        <x:v>Aéroports</x:v>
      </x:c>
      <x:c r="D3433" s="115" t="str">
        <x:v>Aérodrome régional</x:v>
      </x:c>
      <x:c r="E3433" s="115" t="n">
        <x:v>28</x:v>
      </x:c>
      <x:c r="F3433" s="115" t="str">
        <x:v>Inspection physique</x:v>
      </x:c>
      <x:c r="G3433" s="115" t="str">
        <x:v>1 niveaux ; 36 pièces ; 265 segments de mur ; 0 transitions. Inspection physique ; architecture complète encore ouverte.</x:v>
      </x:c>
      <x:c r="H3433" s="115" t="str">
        <x:v>L 1100 ; l 1800 ; hauteur 22 m ; choix de composition auteur ; dimensions réelles à documenter</x:v>
      </x:c>
      <x:c r="I3433" s="115" t="str">
        <x:v>À équilibrer</x:v>
      </x:c>
      <x:c r="J3433" s="115" t="str">
        <x:v>Non</x:v>
      </x:c>
      <x:c r="K3433" s="115" t="str">
        <x:v>Pièces décrites, murs, portes, niveaux et mobilier inspectables à l’échelle. Volumes réservés, raccord au seed, butin, rencontres et services de campagne restent à terminer.</x:v>
      </x:c>
    </x:row>
    <x:row r="3434" ht="96" customHeight="1">
      <x:c r="A3434" s="115" t="str">
        <x:v>EXT-MONDE-T069-V29</x:v>
      </x:c>
      <x:c r="B3434" s="115" t="str">
        <x:v>EXT-MONDE-T069</x:v>
      </x:c>
      <x:c r="C3434" s="115" t="str">
        <x:v>Aéroports</x:v>
      </x:c>
      <x:c r="D3434" s="115" t="str">
        <x:v>Aérodrome régional</x:v>
      </x:c>
      <x:c r="E3434" s="115" t="n">
        <x:v>29</x:v>
      </x:c>
      <x:c r="F3434" s="115" t="str">
        <x:v>Inspection physique</x:v>
      </x:c>
      <x:c r="G3434" s="115" t="str">
        <x:v>1 niveaux ; 36 pièces ; 265 segments de mur ; 0 transitions. Inspection physique ; architecture complète encore ouverte.</x:v>
      </x:c>
      <x:c r="H3434" s="115" t="str">
        <x:v>L 1100 ; l 1800 ; hauteur 22 m ; choix de composition auteur ; dimensions réelles à documenter</x:v>
      </x:c>
      <x:c r="I3434" s="115" t="str">
        <x:v>À équilibrer</x:v>
      </x:c>
      <x:c r="J3434" s="115" t="str">
        <x:v>Non</x:v>
      </x:c>
      <x:c r="K3434" s="115" t="str">
        <x:v>Pièces décrites, murs, portes, niveaux et mobilier inspectables à l’échelle. Volumes réservés, raccord au seed, butin, rencontres et services de campagne restent à terminer.</x:v>
      </x:c>
    </x:row>
    <x:row r="3435" ht="96" customHeight="1">
      <x:c r="A3435" s="115" t="str">
        <x:v>EXT-MONDE-T069-V30</x:v>
      </x:c>
      <x:c r="B3435" s="115" t="str">
        <x:v>EXT-MONDE-T069</x:v>
      </x:c>
      <x:c r="C3435" s="115" t="str">
        <x:v>Aéroports</x:v>
      </x:c>
      <x:c r="D3435" s="115" t="str">
        <x:v>Aérodrome régional</x:v>
      </x:c>
      <x:c r="E3435" s="115" t="n">
        <x:v>30</x:v>
      </x:c>
      <x:c r="F3435" s="115" t="str">
        <x:v>Inspection physique</x:v>
      </x:c>
      <x:c r="G3435" s="115" t="str">
        <x:v>1 niveaux ; 36 pièces ; 265 segments de mur ; 0 transitions. Inspection physique ; architecture complète encore ouverte.</x:v>
      </x:c>
      <x:c r="H3435" s="115" t="str">
        <x:v>L 1100 ; l 1800 ; hauteur 22 m ; choix de composition auteur ; dimensions réelles à documenter</x:v>
      </x:c>
      <x:c r="I3435" s="115" t="str">
        <x:v>À équilibrer</x:v>
      </x:c>
      <x:c r="J3435" s="115" t="str">
        <x:v>Non</x:v>
      </x:c>
      <x:c r="K3435" s="115" t="str">
        <x:v>Pièces décrites, murs, portes, niveaux et mobilier inspectables à l’échelle. Volumes réservés, raccord au seed, butin, rencontres et services de campagne restent à terminer.</x:v>
      </x:c>
    </x:row>
    <x:row r="3436" ht="96" customHeight="1">
      <x:c r="A3436" s="115" t="str">
        <x:v>EXT-MONDE-T069-V31</x:v>
      </x:c>
      <x:c r="B3436" s="115" t="str">
        <x:v>EXT-MONDE-T069</x:v>
      </x:c>
      <x:c r="C3436" s="115" t="str">
        <x:v>Aéroports</x:v>
      </x:c>
      <x:c r="D3436" s="115" t="str">
        <x:v>Aérodrome régional</x:v>
      </x:c>
      <x:c r="E3436" s="115" t="n">
        <x:v>31</x:v>
      </x:c>
      <x:c r="F3436" s="115" t="str">
        <x:v>Inspection physique</x:v>
      </x:c>
      <x:c r="G3436" s="115" t="str">
        <x:v>1 niveaux ; 36 pièces ; 265 segments de mur ; 0 transitions. Inspection physique ; architecture complète encore ouverte.</x:v>
      </x:c>
      <x:c r="H3436" s="115" t="str">
        <x:v>L 1100 ; l 1900 ; hauteur 24 m ; choix de composition auteur ; dimensions réelles à documenter</x:v>
      </x:c>
      <x:c r="I3436" s="115" t="str">
        <x:v>À équilibrer</x:v>
      </x:c>
      <x:c r="J3436" s="115" t="str">
        <x:v>Non</x:v>
      </x:c>
      <x:c r="K3436" s="115" t="str">
        <x:v>Pièces décrites, murs, portes, niveaux et mobilier inspectables à l’échelle. Volumes réservés, raccord au seed, butin, rencontres et services de campagne restent à terminer.</x:v>
      </x:c>
    </x:row>
    <x:row r="3437" ht="96" customHeight="1">
      <x:c r="A3437" s="115" t="str">
        <x:v>EXT-MONDE-T069-V32</x:v>
      </x:c>
      <x:c r="B3437" s="115" t="str">
        <x:v>EXT-MONDE-T069</x:v>
      </x:c>
      <x:c r="C3437" s="115" t="str">
        <x:v>Aéroports</x:v>
      </x:c>
      <x:c r="D3437" s="115" t="str">
        <x:v>Aérodrome régional</x:v>
      </x:c>
      <x:c r="E3437" s="115" t="n">
        <x:v>32</x:v>
      </x:c>
      <x:c r="F3437" s="115" t="str">
        <x:v>Inspection physique</x:v>
      </x:c>
      <x:c r="G3437" s="115" t="str">
        <x:v>1 niveaux ; 36 pièces ; 265 segments de mur ; 0 transitions. Inspection physique ; architecture complète encore ouverte.</x:v>
      </x:c>
      <x:c r="H3437" s="115" t="str">
        <x:v>L 1100 ; l 1900 ; hauteur 24 m ; choix de composition auteur ; dimensions réelles à documenter</x:v>
      </x:c>
      <x:c r="I3437" s="115" t="str">
        <x:v>À équilibrer</x:v>
      </x:c>
      <x:c r="J3437" s="115" t="str">
        <x:v>Non</x:v>
      </x:c>
      <x:c r="K3437" s="115" t="str">
        <x:v>Pièces décrites, murs, portes, niveaux et mobilier inspectables à l’échelle. Volumes réservés, raccord au seed, butin, rencontres et services de campagne restent à terminer.</x:v>
      </x:c>
    </x:row>
    <x:row r="3438" ht="96" customHeight="1">
      <x:c r="A3438" s="115" t="str">
        <x:v>EXT-MONDE-T069-V33</x:v>
      </x:c>
      <x:c r="B3438" s="115" t="str">
        <x:v>EXT-MONDE-T069</x:v>
      </x:c>
      <x:c r="C3438" s="115" t="str">
        <x:v>Aéroports</x:v>
      </x:c>
      <x:c r="D3438" s="115" t="str">
        <x:v>Aérodrome régional</x:v>
      </x:c>
      <x:c r="E3438" s="115" t="n">
        <x:v>33</x:v>
      </x:c>
      <x:c r="F3438" s="115" t="str">
        <x:v>Inspection physique</x:v>
      </x:c>
      <x:c r="G3438" s="115" t="str">
        <x:v>1 niveaux ; 36 pièces ; 265 segments de mur ; 0 transitions. Inspection physique ; architecture complète encore ouverte.</x:v>
      </x:c>
      <x:c r="H3438" s="115" t="str">
        <x:v>L 1100 ; l 1900 ; hauteur 24 m ; choix de composition auteur ; dimensions réelles à documenter</x:v>
      </x:c>
      <x:c r="I3438" s="115" t="str">
        <x:v>À équilibrer</x:v>
      </x:c>
      <x:c r="J3438" s="115" t="str">
        <x:v>Non</x:v>
      </x:c>
      <x:c r="K3438" s="115" t="str">
        <x:v>Pièces décrites, murs, portes, niveaux et mobilier inspectables à l’échelle. Volumes réservés, raccord au seed, butin, rencontres et services de campagne restent à terminer.</x:v>
      </x:c>
    </x:row>
    <x:row r="3439" ht="96" customHeight="1">
      <x:c r="A3439" s="115" t="str">
        <x:v>EXT-MONDE-T069-V34</x:v>
      </x:c>
      <x:c r="B3439" s="115" t="str">
        <x:v>EXT-MONDE-T069</x:v>
      </x:c>
      <x:c r="C3439" s="115" t="str">
        <x:v>Aéroports</x:v>
      </x:c>
      <x:c r="D3439" s="115" t="str">
        <x:v>Aérodrome régional</x:v>
      </x:c>
      <x:c r="E3439" s="115" t="n">
        <x:v>34</x:v>
      </x:c>
      <x:c r="F3439" s="115" t="str">
        <x:v>Inspection physique</x:v>
      </x:c>
      <x:c r="G3439" s="115" t="str">
        <x:v>1 niveaux ; 36 pièces ; 265 segments de mur ; 0 transitions. Inspection physique ; architecture complète encore ouverte.</x:v>
      </x:c>
      <x:c r="H3439" s="115" t="str">
        <x:v>L 1100 ; l 1900 ; hauteur 24 m ; choix de composition auteur ; dimensions réelles à documenter</x:v>
      </x:c>
      <x:c r="I3439" s="115" t="str">
        <x:v>À équilibrer</x:v>
      </x:c>
      <x:c r="J3439" s="115" t="str">
        <x:v>Non</x:v>
      </x:c>
      <x:c r="K3439" s="115" t="str">
        <x:v>Pièces décrites, murs, portes, niveaux et mobilier inspectables à l’échelle. Volumes réservés, raccord au seed, butin, rencontres et services de campagne restent à terminer.</x:v>
      </x:c>
    </x:row>
    <x:row r="3440" ht="96" customHeight="1">
      <x:c r="A3440" s="115" t="str">
        <x:v>EXT-MONDE-T069-V35</x:v>
      </x:c>
      <x:c r="B3440" s="115" t="str">
        <x:v>EXT-MONDE-T069</x:v>
      </x:c>
      <x:c r="C3440" s="115" t="str">
        <x:v>Aéroports</x:v>
      </x:c>
      <x:c r="D3440" s="115" t="str">
        <x:v>Aérodrome régional</x:v>
      </x:c>
      <x:c r="E3440" s="115" t="n">
        <x:v>35</x:v>
      </x:c>
      <x:c r="F3440" s="115" t="str">
        <x:v>Inspection physique</x:v>
      </x:c>
      <x:c r="G3440" s="115" t="str">
        <x:v>1 niveaux ; 36 pièces ; 265 segments de mur ; 0 transitions. Inspection physique ; architecture complète encore ouverte.</x:v>
      </x:c>
      <x:c r="H3440" s="115" t="str">
        <x:v>L 1100 ; l 1900 ; hauteur 24 m ; choix de composition auteur ; dimensions réelles à documenter</x:v>
      </x:c>
      <x:c r="I3440" s="115" t="str">
        <x:v>À équilibrer</x:v>
      </x:c>
      <x:c r="J3440" s="115" t="str">
        <x:v>Non</x:v>
      </x:c>
      <x:c r="K3440" s="115" t="str">
        <x:v>Pièces décrites, murs, portes, niveaux et mobilier inspectables à l’échelle. Volumes réservés, raccord au seed, butin, rencontres et services de campagne restent à terminer.</x:v>
      </x:c>
    </x:row>
    <x:row r="3441" ht="96" customHeight="1">
      <x:c r="A3441" s="115" t="str">
        <x:v>EXT-MONDE-T069-V36</x:v>
      </x:c>
      <x:c r="B3441" s="115" t="str">
        <x:v>EXT-MONDE-T069</x:v>
      </x:c>
      <x:c r="C3441" s="115" t="str">
        <x:v>Aéroports</x:v>
      </x:c>
      <x:c r="D3441" s="115" t="str">
        <x:v>Aérodrome régional</x:v>
      </x:c>
      <x:c r="E3441" s="115" t="n">
        <x:v>36</x:v>
      </x:c>
      <x:c r="F3441" s="115" t="str">
        <x:v>Inspection physique</x:v>
      </x:c>
      <x:c r="G3441" s="115" t="str">
        <x:v>1 niveaux ; 36 pièces ; 265 segments de mur ; 0 transitions. Inspection physique ; architecture complète encore ouverte.</x:v>
      </x:c>
      <x:c r="H3441" s="115" t="str">
        <x:v>L 1100 ; l 1900 ; hauteur 24 m ; choix de composition auteur ; dimensions réelles à documenter</x:v>
      </x:c>
      <x:c r="I3441" s="115" t="str">
        <x:v>À équilibrer</x:v>
      </x:c>
      <x:c r="J3441" s="115" t="str">
        <x:v>Non</x:v>
      </x:c>
      <x:c r="K3441" s="115" t="str">
        <x:v>Pièces décrites, murs, portes, niveaux et mobilier inspectables à l’échelle. Volumes réservés, raccord au seed, butin, rencontres et services de campagne restent à terminer.</x:v>
      </x:c>
    </x:row>
    <x:row r="3442" ht="96" customHeight="1">
      <x:c r="A3442" s="115" t="str">
        <x:v>EXT-MONDE-T069-V37</x:v>
      </x:c>
      <x:c r="B3442" s="115" t="str">
        <x:v>EXT-MONDE-T069</x:v>
      </x:c>
      <x:c r="C3442" s="115" t="str">
        <x:v>Aéroports</x:v>
      </x:c>
      <x:c r="D3442" s="115" t="str">
        <x:v>Aérodrome régional</x:v>
      </x:c>
      <x:c r="E3442" s="115" t="n">
        <x:v>37</x:v>
      </x:c>
      <x:c r="F3442" s="115" t="str">
        <x:v>Inspection physique</x:v>
      </x:c>
      <x:c r="G3442" s="115" t="str">
        <x:v>1 niveaux ; 36 pièces ; 265 segments de mur ; 0 transitions. Inspection physique ; architecture complète encore ouverte.</x:v>
      </x:c>
      <x:c r="H3442" s="115" t="str">
        <x:v>L 1100 ; l 1900 ; hauteur 24 m ; choix de composition auteur ; dimensions réelles à documenter</x:v>
      </x:c>
      <x:c r="I3442" s="115" t="str">
        <x:v>À équilibrer</x:v>
      </x:c>
      <x:c r="J3442" s="115" t="str">
        <x:v>Non</x:v>
      </x:c>
      <x:c r="K3442" s="115" t="str">
        <x:v>Pièces décrites, murs, portes, niveaux et mobilier inspectables à l’échelle. Volumes réservés, raccord au seed, butin, rencontres et services de campagne restent à terminer.</x:v>
      </x:c>
    </x:row>
    <x:row r="3443" ht="96" customHeight="1">
      <x:c r="A3443" s="115" t="str">
        <x:v>EXT-MONDE-T069-V38</x:v>
      </x:c>
      <x:c r="B3443" s="115" t="str">
        <x:v>EXT-MONDE-T069</x:v>
      </x:c>
      <x:c r="C3443" s="115" t="str">
        <x:v>Aéroports</x:v>
      </x:c>
      <x:c r="D3443" s="115" t="str">
        <x:v>Aérodrome régional</x:v>
      </x:c>
      <x:c r="E3443" s="115" t="n">
        <x:v>38</x:v>
      </x:c>
      <x:c r="F3443" s="115" t="str">
        <x:v>Inspection physique</x:v>
      </x:c>
      <x:c r="G3443" s="115" t="str">
        <x:v>1 niveaux ; 36 pièces ; 265 segments de mur ; 0 transitions. Inspection physique ; architecture complète encore ouverte.</x:v>
      </x:c>
      <x:c r="H3443" s="115" t="str">
        <x:v>L 1100 ; l 1900 ; hauteur 24 m ; choix de composition auteur ; dimensions réelles à documenter</x:v>
      </x:c>
      <x:c r="I3443" s="115" t="str">
        <x:v>À équilibrer</x:v>
      </x:c>
      <x:c r="J3443" s="115" t="str">
        <x:v>Non</x:v>
      </x:c>
      <x:c r="K3443" s="115" t="str">
        <x:v>Pièces décrites, murs, portes, niveaux et mobilier inspectables à l’échelle. Volumes réservés, raccord au seed, butin, rencontres et services de campagne restent à terminer.</x:v>
      </x:c>
    </x:row>
    <x:row r="3444" ht="96" customHeight="1">
      <x:c r="A3444" s="115" t="str">
        <x:v>EXT-MONDE-T069-V39</x:v>
      </x:c>
      <x:c r="B3444" s="115" t="str">
        <x:v>EXT-MONDE-T069</x:v>
      </x:c>
      <x:c r="C3444" s="115" t="str">
        <x:v>Aéroports</x:v>
      </x:c>
      <x:c r="D3444" s="115" t="str">
        <x:v>Aérodrome régional</x:v>
      </x:c>
      <x:c r="E3444" s="115" t="n">
        <x:v>39</x:v>
      </x:c>
      <x:c r="F3444" s="115" t="str">
        <x:v>Inspection physique</x:v>
      </x:c>
      <x:c r="G3444" s="115" t="str">
        <x:v>1 niveaux ; 36 pièces ; 265 segments de mur ; 0 transitions. Inspection physique ; architecture complète encore ouverte.</x:v>
      </x:c>
      <x:c r="H3444" s="115" t="str">
        <x:v>L 1100 ; l 1900 ; hauteur 24 m ; choix de composition auteur ; dimensions réelles à documenter</x:v>
      </x:c>
      <x:c r="I3444" s="115" t="str">
        <x:v>À équilibrer</x:v>
      </x:c>
      <x:c r="J3444" s="115" t="str">
        <x:v>Non</x:v>
      </x:c>
      <x:c r="K3444" s="115" t="str">
        <x:v>Pièces décrites, murs, portes, niveaux et mobilier inspectables à l’échelle. Volumes réservés, raccord au seed, butin, rencontres et services de campagne restent à terminer.</x:v>
      </x:c>
    </x:row>
    <x:row r="3445" ht="96" customHeight="1">
      <x:c r="A3445" s="115" t="str">
        <x:v>EXT-MONDE-T069-V40</x:v>
      </x:c>
      <x:c r="B3445" s="115" t="str">
        <x:v>EXT-MONDE-T069</x:v>
      </x:c>
      <x:c r="C3445" s="115" t="str">
        <x:v>Aéroports</x:v>
      </x:c>
      <x:c r="D3445" s="115" t="str">
        <x:v>Aérodrome régional</x:v>
      </x:c>
      <x:c r="E3445" s="115" t="n">
        <x:v>40</x:v>
      </x:c>
      <x:c r="F3445" s="115" t="str">
        <x:v>Inspection physique</x:v>
      </x:c>
      <x:c r="G3445" s="115" t="str">
        <x:v>1 niveaux ; 36 pièces ; 265 segments de mur ; 0 transitions. Inspection physique ; architecture complète encore ouverte.</x:v>
      </x:c>
      <x:c r="H3445" s="115" t="str">
        <x:v>L 1100 ; l 1900 ; hauteur 24 m ; choix de composition auteur ; dimensions réelles à documenter</x:v>
      </x:c>
      <x:c r="I3445" s="115" t="str">
        <x:v>À équilibrer</x:v>
      </x:c>
      <x:c r="J3445" s="115" t="str">
        <x:v>Non</x:v>
      </x:c>
      <x:c r="K3445" s="115" t="str">
        <x:v>Pièces décrites, murs, portes, niveaux et mobilier inspectables à l’échelle. Volumes réservés, raccord au seed, butin, rencontres et services de campagne restent à terminer.</x:v>
      </x:c>
    </x:row>
    <x:row r="3446" ht="96" customHeight="1">
      <x:c r="A3446" s="115" t="str">
        <x:v>EXT-MONDE-T069-V41</x:v>
      </x:c>
      <x:c r="B3446" s="115" t="str">
        <x:v>EXT-MONDE-T069</x:v>
      </x:c>
      <x:c r="C3446" s="115" t="str">
        <x:v>Aéroports</x:v>
      </x:c>
      <x:c r="D3446" s="115" t="str">
        <x:v>Aérodrome régional</x:v>
      </x:c>
      <x:c r="E3446" s="115" t="n">
        <x:v>41</x:v>
      </x:c>
      <x:c r="F3446" s="115" t="str">
        <x:v>Inspection physique</x:v>
      </x:c>
      <x:c r="G3446" s="115" t="str">
        <x:v>1 niveaux ; 36 pièces ; 265 segments de mur ; 0 transitions. Inspection physique ; architecture complète encore ouverte.</x:v>
      </x:c>
      <x:c r="H3446" s="115" t="str">
        <x:v>L 1100 ; l 2000 ; hauteur 26 m ; choix de composition auteur ; dimensions réelles à documenter</x:v>
      </x:c>
      <x:c r="I3446" s="115" t="str">
        <x:v>À équilibrer</x:v>
      </x:c>
      <x:c r="J3446" s="115" t="str">
        <x:v>Non</x:v>
      </x:c>
      <x:c r="K3446" s="115" t="str">
        <x:v>Pièces décrites, murs, portes, niveaux et mobilier inspectables à l’échelle. Volumes réservés, raccord au seed, butin, rencontres et services de campagne restent à terminer.</x:v>
      </x:c>
    </x:row>
    <x:row r="3447" ht="96" customHeight="1">
      <x:c r="A3447" s="115" t="str">
        <x:v>EXT-MONDE-T069-V42</x:v>
      </x:c>
      <x:c r="B3447" s="115" t="str">
        <x:v>EXT-MONDE-T069</x:v>
      </x:c>
      <x:c r="C3447" s="115" t="str">
        <x:v>Aéroports</x:v>
      </x:c>
      <x:c r="D3447" s="115" t="str">
        <x:v>Aérodrome régional</x:v>
      </x:c>
      <x:c r="E3447" s="115" t="n">
        <x:v>42</x:v>
      </x:c>
      <x:c r="F3447" s="115" t="str">
        <x:v>Inspection physique</x:v>
      </x:c>
      <x:c r="G3447" s="115" t="str">
        <x:v>1 niveaux ; 36 pièces ; 265 segments de mur ; 0 transitions. Inspection physique ; architecture complète encore ouverte.</x:v>
      </x:c>
      <x:c r="H3447" s="115" t="str">
        <x:v>L 1100 ; l 2000 ; hauteur 26 m ; choix de composition auteur ; dimensions réelles à documenter</x:v>
      </x:c>
      <x:c r="I3447" s="115" t="str">
        <x:v>À équilibrer</x:v>
      </x:c>
      <x:c r="J3447" s="115" t="str">
        <x:v>Non</x:v>
      </x:c>
      <x:c r="K3447" s="115" t="str">
        <x:v>Pièces décrites, murs, portes, niveaux et mobilier inspectables à l’échelle. Volumes réservés, raccord au seed, butin, rencontres et services de campagne restent à terminer.</x:v>
      </x:c>
    </x:row>
    <x:row r="3448" ht="96" customHeight="1">
      <x:c r="A3448" s="115" t="str">
        <x:v>EXT-MONDE-T069-V43</x:v>
      </x:c>
      <x:c r="B3448" s="115" t="str">
        <x:v>EXT-MONDE-T069</x:v>
      </x:c>
      <x:c r="C3448" s="115" t="str">
        <x:v>Aéroports</x:v>
      </x:c>
      <x:c r="D3448" s="115" t="str">
        <x:v>Aérodrome régional</x:v>
      </x:c>
      <x:c r="E3448" s="115" t="n">
        <x:v>43</x:v>
      </x:c>
      <x:c r="F3448" s="115" t="str">
        <x:v>Inspection physique</x:v>
      </x:c>
      <x:c r="G3448" s="115" t="str">
        <x:v>1 niveaux ; 36 pièces ; 265 segments de mur ; 0 transitions. Inspection physique ; architecture complète encore ouverte.</x:v>
      </x:c>
      <x:c r="H3448" s="115" t="str">
        <x:v>L 1100 ; l 2000 ; hauteur 26 m ; choix de composition auteur ; dimensions réelles à documenter</x:v>
      </x:c>
      <x:c r="I3448" s="115" t="str">
        <x:v>À équilibrer</x:v>
      </x:c>
      <x:c r="J3448" s="115" t="str">
        <x:v>Non</x:v>
      </x:c>
      <x:c r="K3448" s="115" t="str">
        <x:v>Pièces décrites, murs, portes, niveaux et mobilier inspectables à l’échelle. Volumes réservés, raccord au seed, butin, rencontres et services de campagne restent à terminer.</x:v>
      </x:c>
    </x:row>
    <x:row r="3449" ht="96" customHeight="1">
      <x:c r="A3449" s="115" t="str">
        <x:v>EXT-MONDE-T069-V44</x:v>
      </x:c>
      <x:c r="B3449" s="115" t="str">
        <x:v>EXT-MONDE-T069</x:v>
      </x:c>
      <x:c r="C3449" s="115" t="str">
        <x:v>Aéroports</x:v>
      </x:c>
      <x:c r="D3449" s="115" t="str">
        <x:v>Aérodrome régional</x:v>
      </x:c>
      <x:c r="E3449" s="115" t="n">
        <x:v>44</x:v>
      </x:c>
      <x:c r="F3449" s="115" t="str">
        <x:v>Inspection physique</x:v>
      </x:c>
      <x:c r="G3449" s="115" t="str">
        <x:v>1 niveaux ; 36 pièces ; 265 segments de mur ; 0 transitions. Inspection physique ; architecture complète encore ouverte.</x:v>
      </x:c>
      <x:c r="H3449" s="115" t="str">
        <x:v>L 1100 ; l 2000 ; hauteur 26 m ; choix de composition auteur ; dimensions réelles à documenter</x:v>
      </x:c>
      <x:c r="I3449" s="115" t="str">
        <x:v>À équilibrer</x:v>
      </x:c>
      <x:c r="J3449" s="115" t="str">
        <x:v>Non</x:v>
      </x:c>
      <x:c r="K3449" s="115" t="str">
        <x:v>Pièces décrites, murs, portes, niveaux et mobilier inspectables à l’échelle. Volumes réservés, raccord au seed, butin, rencontres et services de campagne restent à terminer.</x:v>
      </x:c>
    </x:row>
    <x:row r="3450" ht="96" customHeight="1">
      <x:c r="A3450" s="115" t="str">
        <x:v>EXT-MONDE-T069-V45</x:v>
      </x:c>
      <x:c r="B3450" s="115" t="str">
        <x:v>EXT-MONDE-T069</x:v>
      </x:c>
      <x:c r="C3450" s="115" t="str">
        <x:v>Aéroports</x:v>
      </x:c>
      <x:c r="D3450" s="115" t="str">
        <x:v>Aérodrome régional</x:v>
      </x:c>
      <x:c r="E3450" s="115" t="n">
        <x:v>45</x:v>
      </x:c>
      <x:c r="F3450" s="115" t="str">
        <x:v>Inspection physique</x:v>
      </x:c>
      <x:c r="G3450" s="115" t="str">
        <x:v>1 niveaux ; 36 pièces ; 265 segments de mur ; 0 transitions. Inspection physique ; architecture complète encore ouverte.</x:v>
      </x:c>
      <x:c r="H3450" s="115" t="str">
        <x:v>L 1100 ; l 2000 ; hauteur 26 m ; choix de composition auteur ; dimensions réelles à documenter</x:v>
      </x:c>
      <x:c r="I3450" s="115" t="str">
        <x:v>À équilibrer</x:v>
      </x:c>
      <x:c r="J3450" s="115" t="str">
        <x:v>Non</x:v>
      </x:c>
      <x:c r="K3450" s="115" t="str">
        <x:v>Pièces décrites, murs, portes, niveaux et mobilier inspectables à l’échelle. Volumes réservés, raccord au seed, butin, rencontres et services de campagne restent à terminer.</x:v>
      </x:c>
    </x:row>
    <x:row r="3451" ht="96" customHeight="1">
      <x:c r="A3451" s="115" t="str">
        <x:v>EXT-MONDE-T069-V46</x:v>
      </x:c>
      <x:c r="B3451" s="115" t="str">
        <x:v>EXT-MONDE-T069</x:v>
      </x:c>
      <x:c r="C3451" s="115" t="str">
        <x:v>Aéroports</x:v>
      </x:c>
      <x:c r="D3451" s="115" t="str">
        <x:v>Aérodrome régional</x:v>
      </x:c>
      <x:c r="E3451" s="115" t="n">
        <x:v>46</x:v>
      </x:c>
      <x:c r="F3451" s="115" t="str">
        <x:v>Inspection physique</x:v>
      </x:c>
      <x:c r="G3451" s="115" t="str">
        <x:v>1 niveaux ; 36 pièces ; 265 segments de mur ; 0 transitions. Inspection physique ; architecture complète encore ouverte.</x:v>
      </x:c>
      <x:c r="H3451" s="115" t="str">
        <x:v>L 1100 ; l 2000 ; hauteur 26 m ; choix de composition auteur ; dimensions réelles à documenter</x:v>
      </x:c>
      <x:c r="I3451" s="115" t="str">
        <x:v>À équilibrer</x:v>
      </x:c>
      <x:c r="J3451" s="115" t="str">
        <x:v>Non</x:v>
      </x:c>
      <x:c r="K3451" s="115" t="str">
        <x:v>Pièces décrites, murs, portes, niveaux et mobilier inspectables à l’échelle. Volumes réservés, raccord au seed, butin, rencontres et services de campagne restent à terminer.</x:v>
      </x:c>
    </x:row>
    <x:row r="3452" ht="96" customHeight="1">
      <x:c r="A3452" s="115" t="str">
        <x:v>EXT-MONDE-T069-V47</x:v>
      </x:c>
      <x:c r="B3452" s="115" t="str">
        <x:v>EXT-MONDE-T069</x:v>
      </x:c>
      <x:c r="C3452" s="115" t="str">
        <x:v>Aéroports</x:v>
      </x:c>
      <x:c r="D3452" s="115" t="str">
        <x:v>Aérodrome régional</x:v>
      </x:c>
      <x:c r="E3452" s="115" t="n">
        <x:v>47</x:v>
      </x:c>
      <x:c r="F3452" s="115" t="str">
        <x:v>Inspection physique</x:v>
      </x:c>
      <x:c r="G3452" s="115" t="str">
        <x:v>1 niveaux ; 36 pièces ; 265 segments de mur ; 0 transitions. Inspection physique ; architecture complète encore ouverte.</x:v>
      </x:c>
      <x:c r="H3452" s="115" t="str">
        <x:v>L 1100 ; l 2000 ; hauteur 26 m ; choix de composition auteur ; dimensions réelles à documenter</x:v>
      </x:c>
      <x:c r="I3452" s="115" t="str">
        <x:v>À équilibrer</x:v>
      </x:c>
      <x:c r="J3452" s="115" t="str">
        <x:v>Non</x:v>
      </x:c>
      <x:c r="K3452" s="115" t="str">
        <x:v>Pièces décrites, murs, portes, niveaux et mobilier inspectables à l’échelle. Volumes réservés, raccord au seed, butin, rencontres et services de campagne restent à terminer.</x:v>
      </x:c>
    </x:row>
    <x:row r="3453" ht="96" customHeight="1">
      <x:c r="A3453" s="115" t="str">
        <x:v>EXT-MONDE-T069-V48</x:v>
      </x:c>
      <x:c r="B3453" s="115" t="str">
        <x:v>EXT-MONDE-T069</x:v>
      </x:c>
      <x:c r="C3453" s="115" t="str">
        <x:v>Aéroports</x:v>
      </x:c>
      <x:c r="D3453" s="115" t="str">
        <x:v>Aérodrome régional</x:v>
      </x:c>
      <x:c r="E3453" s="115" t="n">
        <x:v>48</x:v>
      </x:c>
      <x:c r="F3453" s="115" t="str">
        <x:v>Inspection physique</x:v>
      </x:c>
      <x:c r="G3453" s="115" t="str">
        <x:v>1 niveaux ; 36 pièces ; 265 segments de mur ; 0 transitions. Inspection physique ; architecture complète encore ouverte.</x:v>
      </x:c>
      <x:c r="H3453" s="115" t="str">
        <x:v>L 1100 ; l 2000 ; hauteur 26 m ; choix de composition auteur ; dimensions réelles à documenter</x:v>
      </x:c>
      <x:c r="I3453" s="115" t="str">
        <x:v>À équilibrer</x:v>
      </x:c>
      <x:c r="J3453" s="115" t="str">
        <x:v>Non</x:v>
      </x:c>
      <x:c r="K3453" s="115" t="str">
        <x:v>Pièces décrites, murs, portes, niveaux et mobilier inspectables à l’échelle. Volumes réservés, raccord au seed, butin, rencontres et services de campagne restent à terminer.</x:v>
      </x:c>
    </x:row>
    <x:row r="3454" ht="96" customHeight="1">
      <x:c r="A3454" s="115" t="str">
        <x:v>EXT-MONDE-T069-V49</x:v>
      </x:c>
      <x:c r="B3454" s="115" t="str">
        <x:v>EXT-MONDE-T069</x:v>
      </x:c>
      <x:c r="C3454" s="115" t="str">
        <x:v>Aéroports</x:v>
      </x:c>
      <x:c r="D3454" s="115" t="str">
        <x:v>Aérodrome régional</x:v>
      </x:c>
      <x:c r="E3454" s="115" t="n">
        <x:v>49</x:v>
      </x:c>
      <x:c r="F3454" s="115" t="str">
        <x:v>Inspection physique</x:v>
      </x:c>
      <x:c r="G3454" s="115" t="str">
        <x:v>1 niveaux ; 36 pièces ; 265 segments de mur ; 0 transitions. Inspection physique ; architecture complète encore ouverte.</x:v>
      </x:c>
      <x:c r="H3454" s="115" t="str">
        <x:v>L 1100 ; l 2000 ; hauteur 26 m ; choix de composition auteur ; dimensions réelles à documenter</x:v>
      </x:c>
      <x:c r="I3454" s="115" t="str">
        <x:v>À équilibrer</x:v>
      </x:c>
      <x:c r="J3454" s="115" t="str">
        <x:v>Non</x:v>
      </x:c>
      <x:c r="K3454" s="115" t="str">
        <x:v>Pièces décrites, murs, portes, niveaux et mobilier inspectables à l’échelle. Volumes réservés, raccord au seed, butin, rencontres et services de campagne restent à terminer.</x:v>
      </x:c>
    </x:row>
    <x:row r="3455" ht="96" customHeight="1">
      <x:c r="A3455" s="115" t="str">
        <x:v>EXT-MONDE-T069-V50</x:v>
      </x:c>
      <x:c r="B3455" s="115" t="str">
        <x:v>EXT-MONDE-T069</x:v>
      </x:c>
      <x:c r="C3455" s="115" t="str">
        <x:v>Aéroports</x:v>
      </x:c>
      <x:c r="D3455" s="115" t="str">
        <x:v>Aérodrome régional</x:v>
      </x:c>
      <x:c r="E3455" s="115" t="n">
        <x:v>50</x:v>
      </x:c>
      <x:c r="F3455" s="115" t="str">
        <x:v>Inspection physique</x:v>
      </x:c>
      <x:c r="G3455" s="115" t="str">
        <x:v>1 niveaux ; 36 pièces ; 265 segments de mur ; 0 transitions. Inspection physique ; architecture complète encore ouverte.</x:v>
      </x:c>
      <x:c r="H3455" s="115" t="str">
        <x:v>L 1100 ; l 2000 ; hauteur 26 m ; choix de composition auteur ; dimensions réelles à documenter</x:v>
      </x:c>
      <x:c r="I3455" s="115" t="str">
        <x:v>À équilibrer</x:v>
      </x:c>
      <x:c r="J3455" s="115" t="str">
        <x:v>Non</x:v>
      </x:c>
      <x:c r="K3455" s="115" t="str">
        <x:v>Pièces décrites, murs, portes, niveaux et mobilier inspectables à l’échelle. Volumes réservés, raccord au seed, butin, rencontres et services de campagne restent à terminer.</x:v>
      </x:c>
    </x:row>
    <x:row r="3456" ht="96" customHeight="1">
      <x:c r="A3456" s="115" t="str">
        <x:v>EXT-MONDE-T070-V01</x:v>
      </x:c>
      <x:c r="B3456" s="115" t="str">
        <x:v>EXT-MONDE-T070</x:v>
      </x:c>
      <x:c r="C3456" s="115" t="str">
        <x:v>Aéroports</x:v>
      </x:c>
      <x:c r="D3456" s="115" t="str">
        <x:v>Aéroport international</x:v>
      </x:c>
      <x:c r="E3456" s="115" t="n">
        <x:v>1</x:v>
      </x:c>
      <x:c r="F3456" s="115" t="str">
        <x:v>Inspection physique</x:v>
      </x:c>
      <x:c r="G3456" s="115" t="str">
        <x:v>1 niveaux ; 36 pièces ; 265 segments de mur ; 0 transitions. Inspection physique ; architecture complète encore ouverte.</x:v>
      </x:c>
      <x:c r="H3456" s="115" t="str">
        <x:v>L 1460 ; l 3000 ; hauteur 36 m ; choix de composition auteur ; dimensions réelles à documenter</x:v>
      </x:c>
      <x:c r="I3456" s="115" t="str">
        <x:v>À équilibrer</x:v>
      </x:c>
      <x:c r="J3456" s="115" t="str">
        <x:v>Non</x:v>
      </x:c>
      <x:c r="K3456" s="115" t="str">
        <x:v>Pièces décrites, murs, portes, niveaux et mobilier inspectables à l’échelle. Volumes réservés, raccord au seed, butin, rencontres et services de campagne restent à terminer.</x:v>
      </x:c>
    </x:row>
    <x:row r="3457" ht="96" customHeight="1">
      <x:c r="A3457" s="115" t="str">
        <x:v>EXT-MONDE-T070-V02</x:v>
      </x:c>
      <x:c r="B3457" s="115" t="str">
        <x:v>EXT-MONDE-T070</x:v>
      </x:c>
      <x:c r="C3457" s="115" t="str">
        <x:v>Aéroports</x:v>
      </x:c>
      <x:c r="D3457" s="115" t="str">
        <x:v>Aéroport international</x:v>
      </x:c>
      <x:c r="E3457" s="115" t="n">
        <x:v>2</x:v>
      </x:c>
      <x:c r="F3457" s="115" t="str">
        <x:v>Inspection physique</x:v>
      </x:c>
      <x:c r="G3457" s="115" t="str">
        <x:v>1 niveaux ; 36 pièces ; 265 segments de mur ; 0 transitions. Inspection physique ; architecture complète encore ouverte.</x:v>
      </x:c>
      <x:c r="H3457" s="115" t="str">
        <x:v>L 1460 ; l 3000 ; hauteur 36 m ; choix de composition auteur ; dimensions réelles à documenter</x:v>
      </x:c>
      <x:c r="I3457" s="115" t="str">
        <x:v>À équilibrer</x:v>
      </x:c>
      <x:c r="J3457" s="115" t="str">
        <x:v>Non</x:v>
      </x:c>
      <x:c r="K3457" s="115" t="str">
        <x:v>Pièces décrites, murs, portes, niveaux et mobilier inspectables à l’échelle. Volumes réservés, raccord au seed, butin, rencontres et services de campagne restent à terminer.</x:v>
      </x:c>
    </x:row>
    <x:row r="3458" ht="96" customHeight="1">
      <x:c r="A3458" s="115" t="str">
        <x:v>EXT-MONDE-T070-V03</x:v>
      </x:c>
      <x:c r="B3458" s="115" t="str">
        <x:v>EXT-MONDE-T070</x:v>
      </x:c>
      <x:c r="C3458" s="115" t="str">
        <x:v>Aéroports</x:v>
      </x:c>
      <x:c r="D3458" s="115" t="str">
        <x:v>Aéroport international</x:v>
      </x:c>
      <x:c r="E3458" s="115" t="n">
        <x:v>3</x:v>
      </x:c>
      <x:c r="F3458" s="115" t="str">
        <x:v>Inspection physique</x:v>
      </x:c>
      <x:c r="G3458" s="115" t="str">
        <x:v>1 niveaux ; 36 pièces ; 265 segments de mur ; 0 transitions. Inspection physique ; architecture complète encore ouverte.</x:v>
      </x:c>
      <x:c r="H3458" s="115" t="str">
        <x:v>L 1460 ; l 3000 ; hauteur 36 m ; choix de composition auteur ; dimensions réelles à documenter</x:v>
      </x:c>
      <x:c r="I3458" s="115" t="str">
        <x:v>À équilibrer</x:v>
      </x:c>
      <x:c r="J3458" s="115" t="str">
        <x:v>Non</x:v>
      </x:c>
      <x:c r="K3458" s="115" t="str">
        <x:v>Pièces décrites, murs, portes, niveaux et mobilier inspectables à l’échelle. Volumes réservés, raccord au seed, butin, rencontres et services de campagne restent à terminer.</x:v>
      </x:c>
    </x:row>
    <x:row r="3459" ht="96" customHeight="1">
      <x:c r="A3459" s="115" t="str">
        <x:v>EXT-MONDE-T070-V04</x:v>
      </x:c>
      <x:c r="B3459" s="115" t="str">
        <x:v>EXT-MONDE-T070</x:v>
      </x:c>
      <x:c r="C3459" s="115" t="str">
        <x:v>Aéroports</x:v>
      </x:c>
      <x:c r="D3459" s="115" t="str">
        <x:v>Aéroport international</x:v>
      </x:c>
      <x:c r="E3459" s="115" t="n">
        <x:v>4</x:v>
      </x:c>
      <x:c r="F3459" s="115" t="str">
        <x:v>Inspection physique</x:v>
      </x:c>
      <x:c r="G3459" s="115" t="str">
        <x:v>1 niveaux ; 36 pièces ; 265 segments de mur ; 0 transitions. Inspection physique ; architecture complète encore ouverte.</x:v>
      </x:c>
      <x:c r="H3459" s="115" t="str">
        <x:v>L 1460 ; l 3000 ; hauteur 36 m ; choix de composition auteur ; dimensions réelles à documenter</x:v>
      </x:c>
      <x:c r="I3459" s="115" t="str">
        <x:v>À équilibrer</x:v>
      </x:c>
      <x:c r="J3459" s="115" t="str">
        <x:v>Non</x:v>
      </x:c>
      <x:c r="K3459" s="115" t="str">
        <x:v>Pièces décrites, murs, portes, niveaux et mobilier inspectables à l’échelle. Volumes réservés, raccord au seed, butin, rencontres et services de campagne restent à terminer.</x:v>
      </x:c>
    </x:row>
    <x:row r="3460" ht="96" customHeight="1">
      <x:c r="A3460" s="115" t="str">
        <x:v>EXT-MONDE-T070-V05</x:v>
      </x:c>
      <x:c r="B3460" s="115" t="str">
        <x:v>EXT-MONDE-T070</x:v>
      </x:c>
      <x:c r="C3460" s="115" t="str">
        <x:v>Aéroports</x:v>
      </x:c>
      <x:c r="D3460" s="115" t="str">
        <x:v>Aéroport international</x:v>
      </x:c>
      <x:c r="E3460" s="115" t="n">
        <x:v>5</x:v>
      </x:c>
      <x:c r="F3460" s="115" t="str">
        <x:v>Inspection physique</x:v>
      </x:c>
      <x:c r="G3460" s="115" t="str">
        <x:v>1 niveaux ; 36 pièces ; 265 segments de mur ; 0 transitions. Inspection physique ; architecture complète encore ouverte.</x:v>
      </x:c>
      <x:c r="H3460" s="115" t="str">
        <x:v>L 1460 ; l 3000 ; hauteur 36 m ; choix de composition auteur ; dimensions réelles à documenter</x:v>
      </x:c>
      <x:c r="I3460" s="115" t="str">
        <x:v>À équilibrer</x:v>
      </x:c>
      <x:c r="J3460" s="115" t="str">
        <x:v>Non</x:v>
      </x:c>
      <x:c r="K3460" s="115" t="str">
        <x:v>Pièces décrites, murs, portes, niveaux et mobilier inspectables à l’échelle. Volumes réservés, raccord au seed, butin, rencontres et services de campagne restent à terminer.</x:v>
      </x:c>
    </x:row>
    <x:row r="3461" ht="96" customHeight="1">
      <x:c r="A3461" s="115" t="str">
        <x:v>EXT-MONDE-T070-V06</x:v>
      </x:c>
      <x:c r="B3461" s="115" t="str">
        <x:v>EXT-MONDE-T070</x:v>
      </x:c>
      <x:c r="C3461" s="115" t="str">
        <x:v>Aéroports</x:v>
      </x:c>
      <x:c r="D3461" s="115" t="str">
        <x:v>Aéroport international</x:v>
      </x:c>
      <x:c r="E3461" s="115" t="n">
        <x:v>6</x:v>
      </x:c>
      <x:c r="F3461" s="115" t="str">
        <x:v>Inspection physique</x:v>
      </x:c>
      <x:c r="G3461" s="115" t="str">
        <x:v>1 niveaux ; 36 pièces ; 265 segments de mur ; 0 transitions. Inspection physique ; architecture complète encore ouverte.</x:v>
      </x:c>
      <x:c r="H3461" s="115" t="str">
        <x:v>L 1460 ; l 3000 ; hauteur 36 m ; choix de composition auteur ; dimensions réelles à documenter</x:v>
      </x:c>
      <x:c r="I3461" s="115" t="str">
        <x:v>À équilibrer</x:v>
      </x:c>
      <x:c r="J3461" s="115" t="str">
        <x:v>Non</x:v>
      </x:c>
      <x:c r="K3461" s="115" t="str">
        <x:v>Pièces décrites, murs, portes, niveaux et mobilier inspectables à l’échelle. Volumes réservés, raccord au seed, butin, rencontres et services de campagne restent à terminer.</x:v>
      </x:c>
    </x:row>
    <x:row r="3462" ht="96" customHeight="1">
      <x:c r="A3462" s="115" t="str">
        <x:v>EXT-MONDE-T070-V07</x:v>
      </x:c>
      <x:c r="B3462" s="115" t="str">
        <x:v>EXT-MONDE-T070</x:v>
      </x:c>
      <x:c r="C3462" s="115" t="str">
        <x:v>Aéroports</x:v>
      </x:c>
      <x:c r="D3462" s="115" t="str">
        <x:v>Aéroport international</x:v>
      </x:c>
      <x:c r="E3462" s="115" t="n">
        <x:v>7</x:v>
      </x:c>
      <x:c r="F3462" s="115" t="str">
        <x:v>Inspection physique</x:v>
      </x:c>
      <x:c r="G3462" s="115" t="str">
        <x:v>1 niveaux ; 36 pièces ; 265 segments de mur ; 0 transitions. Inspection physique ; architecture complète encore ouverte.</x:v>
      </x:c>
      <x:c r="H3462" s="115" t="str">
        <x:v>L 1460 ; l 3000 ; hauteur 36 m ; choix de composition auteur ; dimensions réelles à documenter</x:v>
      </x:c>
      <x:c r="I3462" s="115" t="str">
        <x:v>À équilibrer</x:v>
      </x:c>
      <x:c r="J3462" s="115" t="str">
        <x:v>Non</x:v>
      </x:c>
      <x:c r="K3462" s="115" t="str">
        <x:v>Pièces décrites, murs, portes, niveaux et mobilier inspectables à l’échelle. Volumes réservés, raccord au seed, butin, rencontres et services de campagne restent à terminer.</x:v>
      </x:c>
    </x:row>
    <x:row r="3463" ht="96" customHeight="1">
      <x:c r="A3463" s="115" t="str">
        <x:v>EXT-MONDE-T070-V08</x:v>
      </x:c>
      <x:c r="B3463" s="115" t="str">
        <x:v>EXT-MONDE-T070</x:v>
      </x:c>
      <x:c r="C3463" s="115" t="str">
        <x:v>Aéroports</x:v>
      </x:c>
      <x:c r="D3463" s="115" t="str">
        <x:v>Aéroport international</x:v>
      </x:c>
      <x:c r="E3463" s="115" t="n">
        <x:v>8</x:v>
      </x:c>
      <x:c r="F3463" s="115" t="str">
        <x:v>Inspection physique</x:v>
      </x:c>
      <x:c r="G3463" s="115" t="str">
        <x:v>1 niveaux ; 36 pièces ; 265 segments de mur ; 0 transitions. Inspection physique ; architecture complète encore ouverte.</x:v>
      </x:c>
      <x:c r="H3463" s="115" t="str">
        <x:v>L 1460 ; l 3000 ; hauteur 36 m ; choix de composition auteur ; dimensions réelles à documenter</x:v>
      </x:c>
      <x:c r="I3463" s="115" t="str">
        <x:v>À équilibrer</x:v>
      </x:c>
      <x:c r="J3463" s="115" t="str">
        <x:v>Non</x:v>
      </x:c>
      <x:c r="K3463" s="115" t="str">
        <x:v>Pièces décrites, murs, portes, niveaux et mobilier inspectables à l’échelle. Volumes réservés, raccord au seed, butin, rencontres et services de campagne restent à terminer.</x:v>
      </x:c>
    </x:row>
    <x:row r="3464" ht="96" customHeight="1">
      <x:c r="A3464" s="115" t="str">
        <x:v>EXT-MONDE-T070-V09</x:v>
      </x:c>
      <x:c r="B3464" s="115" t="str">
        <x:v>EXT-MONDE-T070</x:v>
      </x:c>
      <x:c r="C3464" s="115" t="str">
        <x:v>Aéroports</x:v>
      </x:c>
      <x:c r="D3464" s="115" t="str">
        <x:v>Aéroport international</x:v>
      </x:c>
      <x:c r="E3464" s="115" t="n">
        <x:v>9</x:v>
      </x:c>
      <x:c r="F3464" s="115" t="str">
        <x:v>Inspection physique</x:v>
      </x:c>
      <x:c r="G3464" s="115" t="str">
        <x:v>1 niveaux ; 36 pièces ; 265 segments de mur ; 0 transitions. Inspection physique ; architecture complète encore ouverte.</x:v>
      </x:c>
      <x:c r="H3464" s="115" t="str">
        <x:v>L 1460 ; l 3000 ; hauteur 36 m ; choix de composition auteur ; dimensions réelles à documenter</x:v>
      </x:c>
      <x:c r="I3464" s="115" t="str">
        <x:v>À équilibrer</x:v>
      </x:c>
      <x:c r="J3464" s="115" t="str">
        <x:v>Non</x:v>
      </x:c>
      <x:c r="K3464" s="115" t="str">
        <x:v>Pièces décrites, murs, portes, niveaux et mobilier inspectables à l’échelle. Volumes réservés, raccord au seed, butin, rencontres et services de campagne restent à terminer.</x:v>
      </x:c>
    </x:row>
    <x:row r="3465" ht="96" customHeight="1">
      <x:c r="A3465" s="115" t="str">
        <x:v>EXT-MONDE-T070-V10</x:v>
      </x:c>
      <x:c r="B3465" s="115" t="str">
        <x:v>EXT-MONDE-T070</x:v>
      </x:c>
      <x:c r="C3465" s="115" t="str">
        <x:v>Aéroports</x:v>
      </x:c>
      <x:c r="D3465" s="115" t="str">
        <x:v>Aéroport international</x:v>
      </x:c>
      <x:c r="E3465" s="115" t="n">
        <x:v>10</x:v>
      </x:c>
      <x:c r="F3465" s="115" t="str">
        <x:v>Inspection physique</x:v>
      </x:c>
      <x:c r="G3465" s="115" t="str">
        <x:v>1 niveaux ; 36 pièces ; 265 segments de mur ; 0 transitions. Inspection physique ; architecture complète encore ouverte.</x:v>
      </x:c>
      <x:c r="H3465" s="115" t="str">
        <x:v>L 1460 ; l 3000 ; hauteur 36 m ; choix de composition auteur ; dimensions réelles à documenter</x:v>
      </x:c>
      <x:c r="I3465" s="115" t="str">
        <x:v>À équilibrer</x:v>
      </x:c>
      <x:c r="J3465" s="115" t="str">
        <x:v>Non</x:v>
      </x:c>
      <x:c r="K3465" s="115" t="str">
        <x:v>Pièces décrites, murs, portes, niveaux et mobilier inspectables à l’échelle. Volumes réservés, raccord au seed, butin, rencontres et services de campagne restent à terminer.</x:v>
      </x:c>
    </x:row>
    <x:row r="3466" ht="96" customHeight="1">
      <x:c r="A3466" s="115" t="str">
        <x:v>EXT-MONDE-T070-V11</x:v>
      </x:c>
      <x:c r="B3466" s="115" t="str">
        <x:v>EXT-MONDE-T070</x:v>
      </x:c>
      <x:c r="C3466" s="115" t="str">
        <x:v>Aéroports</x:v>
      </x:c>
      <x:c r="D3466" s="115" t="str">
        <x:v>Aéroport international</x:v>
      </x:c>
      <x:c r="E3466" s="115" t="n">
        <x:v>11</x:v>
      </x:c>
      <x:c r="F3466" s="115" t="str">
        <x:v>Inspection physique</x:v>
      </x:c>
      <x:c r="G3466" s="115" t="str">
        <x:v>1 niveaux ; 36 pièces ; 265 segments de mur ; 0 transitions. Inspection physique ; architecture complète encore ouverte.</x:v>
      </x:c>
      <x:c r="H3466" s="115" t="str">
        <x:v>L 1460 ; l 3200 ; hauteur 38 m ; choix de composition auteur ; dimensions réelles à documenter</x:v>
      </x:c>
      <x:c r="I3466" s="115" t="str">
        <x:v>À équilibrer</x:v>
      </x:c>
      <x:c r="J3466" s="115" t="str">
        <x:v>Non</x:v>
      </x:c>
      <x:c r="K3466" s="115" t="str">
        <x:v>Pièces décrites, murs, portes, niveaux et mobilier inspectables à l’échelle. Volumes réservés, raccord au seed, butin, rencontres et services de campagne restent à terminer.</x:v>
      </x:c>
    </x:row>
    <x:row r="3467" ht="96" customHeight="1">
      <x:c r="A3467" s="115" t="str">
        <x:v>EXT-MONDE-T070-V12</x:v>
      </x:c>
      <x:c r="B3467" s="115" t="str">
        <x:v>EXT-MONDE-T070</x:v>
      </x:c>
      <x:c r="C3467" s="115" t="str">
        <x:v>Aéroports</x:v>
      </x:c>
      <x:c r="D3467" s="115" t="str">
        <x:v>Aéroport international</x:v>
      </x:c>
      <x:c r="E3467" s="115" t="n">
        <x:v>12</x:v>
      </x:c>
      <x:c r="F3467" s="115" t="str">
        <x:v>Inspection physique</x:v>
      </x:c>
      <x:c r="G3467" s="115" t="str">
        <x:v>1 niveaux ; 36 pièces ; 265 segments de mur ; 0 transitions. Inspection physique ; architecture complète encore ouverte.</x:v>
      </x:c>
      <x:c r="H3467" s="115" t="str">
        <x:v>L 1460 ; l 3200 ; hauteur 38 m ; choix de composition auteur ; dimensions réelles à documenter</x:v>
      </x:c>
      <x:c r="I3467" s="115" t="str">
        <x:v>À équilibrer</x:v>
      </x:c>
      <x:c r="J3467" s="115" t="str">
        <x:v>Non</x:v>
      </x:c>
      <x:c r="K3467" s="115" t="str">
        <x:v>Pièces décrites, murs, portes, niveaux et mobilier inspectables à l’échelle. Volumes réservés, raccord au seed, butin, rencontres et services de campagne restent à terminer.</x:v>
      </x:c>
    </x:row>
    <x:row r="3468" ht="96" customHeight="1">
      <x:c r="A3468" s="115" t="str">
        <x:v>EXT-MONDE-T070-V13</x:v>
      </x:c>
      <x:c r="B3468" s="115" t="str">
        <x:v>EXT-MONDE-T070</x:v>
      </x:c>
      <x:c r="C3468" s="115" t="str">
        <x:v>Aéroports</x:v>
      </x:c>
      <x:c r="D3468" s="115" t="str">
        <x:v>Aéroport international</x:v>
      </x:c>
      <x:c r="E3468" s="115" t="n">
        <x:v>13</x:v>
      </x:c>
      <x:c r="F3468" s="115" t="str">
        <x:v>Inspection physique</x:v>
      </x:c>
      <x:c r="G3468" s="115" t="str">
        <x:v>1 niveaux ; 36 pièces ; 265 segments de mur ; 0 transitions. Inspection physique ; architecture complète encore ouverte.</x:v>
      </x:c>
      <x:c r="H3468" s="115" t="str">
        <x:v>L 1460 ; l 3200 ; hauteur 38 m ; choix de composition auteur ; dimensions réelles à documenter</x:v>
      </x:c>
      <x:c r="I3468" s="115" t="str">
        <x:v>À équilibrer</x:v>
      </x:c>
      <x:c r="J3468" s="115" t="str">
        <x:v>Non</x:v>
      </x:c>
      <x:c r="K3468" s="115" t="str">
        <x:v>Pièces décrites, murs, portes, niveaux et mobilier inspectables à l’échelle. Volumes réservés, raccord au seed, butin, rencontres et services de campagne restent à terminer.</x:v>
      </x:c>
    </x:row>
    <x:row r="3469" ht="96" customHeight="1">
      <x:c r="A3469" s="115" t="str">
        <x:v>EXT-MONDE-T070-V14</x:v>
      </x:c>
      <x:c r="B3469" s="115" t="str">
        <x:v>EXT-MONDE-T070</x:v>
      </x:c>
      <x:c r="C3469" s="115" t="str">
        <x:v>Aéroports</x:v>
      </x:c>
      <x:c r="D3469" s="115" t="str">
        <x:v>Aéroport international</x:v>
      </x:c>
      <x:c r="E3469" s="115" t="n">
        <x:v>14</x:v>
      </x:c>
      <x:c r="F3469" s="115" t="str">
        <x:v>Inspection physique</x:v>
      </x:c>
      <x:c r="G3469" s="115" t="str">
        <x:v>1 niveaux ; 36 pièces ; 265 segments de mur ; 0 transitions. Inspection physique ; architecture complète encore ouverte.</x:v>
      </x:c>
      <x:c r="H3469" s="115" t="str">
        <x:v>L 1460 ; l 3200 ; hauteur 38 m ; choix de composition auteur ; dimensions réelles à documenter</x:v>
      </x:c>
      <x:c r="I3469" s="115" t="str">
        <x:v>À équilibrer</x:v>
      </x:c>
      <x:c r="J3469" s="115" t="str">
        <x:v>Non</x:v>
      </x:c>
      <x:c r="K3469" s="115" t="str">
        <x:v>Pièces décrites, murs, portes, niveaux et mobilier inspectables à l’échelle. Volumes réservés, raccord au seed, butin, rencontres et services de campagne restent à terminer.</x:v>
      </x:c>
    </x:row>
    <x:row r="3470" ht="96" customHeight="1">
      <x:c r="A3470" s="115" t="str">
        <x:v>EXT-MONDE-T070-V15</x:v>
      </x:c>
      <x:c r="B3470" s="115" t="str">
        <x:v>EXT-MONDE-T070</x:v>
      </x:c>
      <x:c r="C3470" s="115" t="str">
        <x:v>Aéroports</x:v>
      </x:c>
      <x:c r="D3470" s="115" t="str">
        <x:v>Aéroport international</x:v>
      </x:c>
      <x:c r="E3470" s="115" t="n">
        <x:v>15</x:v>
      </x:c>
      <x:c r="F3470" s="115" t="str">
        <x:v>Inspection physique</x:v>
      </x:c>
      <x:c r="G3470" s="115" t="str">
        <x:v>1 niveaux ; 36 pièces ; 265 segments de mur ; 0 transitions. Inspection physique ; architecture complète encore ouverte.</x:v>
      </x:c>
      <x:c r="H3470" s="115" t="str">
        <x:v>L 1460 ; l 3200 ; hauteur 38 m ; choix de composition auteur ; dimensions réelles à documenter</x:v>
      </x:c>
      <x:c r="I3470" s="115" t="str">
        <x:v>À équilibrer</x:v>
      </x:c>
      <x:c r="J3470" s="115" t="str">
        <x:v>Non</x:v>
      </x:c>
      <x:c r="K3470" s="115" t="str">
        <x:v>Pièces décrites, murs, portes, niveaux et mobilier inspectables à l’échelle. Volumes réservés, raccord au seed, butin, rencontres et services de campagne restent à terminer.</x:v>
      </x:c>
    </x:row>
    <x:row r="3471" ht="96" customHeight="1">
      <x:c r="A3471" s="115" t="str">
        <x:v>EXT-MONDE-T070-V16</x:v>
      </x:c>
      <x:c r="B3471" s="115" t="str">
        <x:v>EXT-MONDE-T070</x:v>
      </x:c>
      <x:c r="C3471" s="115" t="str">
        <x:v>Aéroports</x:v>
      </x:c>
      <x:c r="D3471" s="115" t="str">
        <x:v>Aéroport international</x:v>
      </x:c>
      <x:c r="E3471" s="115" t="n">
        <x:v>16</x:v>
      </x:c>
      <x:c r="F3471" s="115" t="str">
        <x:v>Inspection physique</x:v>
      </x:c>
      <x:c r="G3471" s="115" t="str">
        <x:v>1 niveaux ; 36 pièces ; 265 segments de mur ; 0 transitions. Inspection physique ; architecture complète encore ouverte.</x:v>
      </x:c>
      <x:c r="H3471" s="115" t="str">
        <x:v>L 1460 ; l 3200 ; hauteur 38 m ; choix de composition auteur ; dimensions réelles à documenter</x:v>
      </x:c>
      <x:c r="I3471" s="115" t="str">
        <x:v>À équilibrer</x:v>
      </x:c>
      <x:c r="J3471" s="115" t="str">
        <x:v>Non</x:v>
      </x:c>
      <x:c r="K3471" s="115" t="str">
        <x:v>Pièces décrites, murs, portes, niveaux et mobilier inspectables à l’échelle. Volumes réservés, raccord au seed, butin, rencontres et services de campagne restent à terminer.</x:v>
      </x:c>
    </x:row>
    <x:row r="3472" ht="96" customHeight="1">
      <x:c r="A3472" s="115" t="str">
        <x:v>EXT-MONDE-T070-V17</x:v>
      </x:c>
      <x:c r="B3472" s="115" t="str">
        <x:v>EXT-MONDE-T070</x:v>
      </x:c>
      <x:c r="C3472" s="115" t="str">
        <x:v>Aéroports</x:v>
      </x:c>
      <x:c r="D3472" s="115" t="str">
        <x:v>Aéroport international</x:v>
      </x:c>
      <x:c r="E3472" s="115" t="n">
        <x:v>17</x:v>
      </x:c>
      <x:c r="F3472" s="115" t="str">
        <x:v>Inspection physique</x:v>
      </x:c>
      <x:c r="G3472" s="115" t="str">
        <x:v>1 niveaux ; 36 pièces ; 265 segments de mur ; 0 transitions. Inspection physique ; architecture complète encore ouverte.</x:v>
      </x:c>
      <x:c r="H3472" s="115" t="str">
        <x:v>L 1460 ; l 3200 ; hauteur 38 m ; choix de composition auteur ; dimensions réelles à documenter</x:v>
      </x:c>
      <x:c r="I3472" s="115" t="str">
        <x:v>À équilibrer</x:v>
      </x:c>
      <x:c r="J3472" s="115" t="str">
        <x:v>Non</x:v>
      </x:c>
      <x:c r="K3472" s="115" t="str">
        <x:v>Pièces décrites, murs, portes, niveaux et mobilier inspectables à l’échelle. Volumes réservés, raccord au seed, butin, rencontres et services de campagne restent à terminer.</x:v>
      </x:c>
    </x:row>
    <x:row r="3473" ht="96" customHeight="1">
      <x:c r="A3473" s="115" t="str">
        <x:v>EXT-MONDE-T070-V18</x:v>
      </x:c>
      <x:c r="B3473" s="115" t="str">
        <x:v>EXT-MONDE-T070</x:v>
      </x:c>
      <x:c r="C3473" s="115" t="str">
        <x:v>Aéroports</x:v>
      </x:c>
      <x:c r="D3473" s="115" t="str">
        <x:v>Aéroport international</x:v>
      </x:c>
      <x:c r="E3473" s="115" t="n">
        <x:v>18</x:v>
      </x:c>
      <x:c r="F3473" s="115" t="str">
        <x:v>Inspection physique</x:v>
      </x:c>
      <x:c r="G3473" s="115" t="str">
        <x:v>1 niveaux ; 36 pièces ; 265 segments de mur ; 0 transitions. Inspection physique ; architecture complète encore ouverte.</x:v>
      </x:c>
      <x:c r="H3473" s="115" t="str">
        <x:v>L 1460 ; l 3200 ; hauteur 38 m ; choix de composition auteur ; dimensions réelles à documenter</x:v>
      </x:c>
      <x:c r="I3473" s="115" t="str">
        <x:v>À équilibrer</x:v>
      </x:c>
      <x:c r="J3473" s="115" t="str">
        <x:v>Non</x:v>
      </x:c>
      <x:c r="K3473" s="115" t="str">
        <x:v>Pièces décrites, murs, portes, niveaux et mobilier inspectables à l’échelle. Volumes réservés, raccord au seed, butin, rencontres et services de campagne restent à terminer.</x:v>
      </x:c>
    </x:row>
    <x:row r="3474" ht="96" customHeight="1">
      <x:c r="A3474" s="115" t="str">
        <x:v>EXT-MONDE-T070-V19</x:v>
      </x:c>
      <x:c r="B3474" s="115" t="str">
        <x:v>EXT-MONDE-T070</x:v>
      </x:c>
      <x:c r="C3474" s="115" t="str">
        <x:v>Aéroports</x:v>
      </x:c>
      <x:c r="D3474" s="115" t="str">
        <x:v>Aéroport international</x:v>
      </x:c>
      <x:c r="E3474" s="115" t="n">
        <x:v>19</x:v>
      </x:c>
      <x:c r="F3474" s="115" t="str">
        <x:v>Inspection physique</x:v>
      </x:c>
      <x:c r="G3474" s="115" t="str">
        <x:v>1 niveaux ; 36 pièces ; 265 segments de mur ; 0 transitions. Inspection physique ; architecture complète encore ouverte.</x:v>
      </x:c>
      <x:c r="H3474" s="115" t="str">
        <x:v>L 1460 ; l 3200 ; hauteur 38 m ; choix de composition auteur ; dimensions réelles à documenter</x:v>
      </x:c>
      <x:c r="I3474" s="115" t="str">
        <x:v>À équilibrer</x:v>
      </x:c>
      <x:c r="J3474" s="115" t="str">
        <x:v>Non</x:v>
      </x:c>
      <x:c r="K3474" s="115" t="str">
        <x:v>Pièces décrites, murs, portes, niveaux et mobilier inspectables à l’échelle. Volumes réservés, raccord au seed, butin, rencontres et services de campagne restent à terminer.</x:v>
      </x:c>
    </x:row>
    <x:row r="3475" ht="96" customHeight="1">
      <x:c r="A3475" s="115" t="str">
        <x:v>EXT-MONDE-T070-V20</x:v>
      </x:c>
      <x:c r="B3475" s="115" t="str">
        <x:v>EXT-MONDE-T070</x:v>
      </x:c>
      <x:c r="C3475" s="115" t="str">
        <x:v>Aéroports</x:v>
      </x:c>
      <x:c r="D3475" s="115" t="str">
        <x:v>Aéroport international</x:v>
      </x:c>
      <x:c r="E3475" s="115" t="n">
        <x:v>20</x:v>
      </x:c>
      <x:c r="F3475" s="115" t="str">
        <x:v>Inspection physique</x:v>
      </x:c>
      <x:c r="G3475" s="115" t="str">
        <x:v>1 niveaux ; 36 pièces ; 265 segments de mur ; 0 transitions. Inspection physique ; architecture complète encore ouverte.</x:v>
      </x:c>
      <x:c r="H3475" s="115" t="str">
        <x:v>L 1460 ; l 3200 ; hauteur 38 m ; choix de composition auteur ; dimensions réelles à documenter</x:v>
      </x:c>
      <x:c r="I3475" s="115" t="str">
        <x:v>À équilibrer</x:v>
      </x:c>
      <x:c r="J3475" s="115" t="str">
        <x:v>Non</x:v>
      </x:c>
      <x:c r="K3475" s="115" t="str">
        <x:v>Pièces décrites, murs, portes, niveaux et mobilier inspectables à l’échelle. Volumes réservés, raccord au seed, butin, rencontres et services de campagne restent à terminer.</x:v>
      </x:c>
    </x:row>
    <x:row r="3476" ht="96" customHeight="1">
      <x:c r="A3476" s="115" t="str">
        <x:v>EXT-MONDE-T070-V21</x:v>
      </x:c>
      <x:c r="B3476" s="115" t="str">
        <x:v>EXT-MONDE-T070</x:v>
      </x:c>
      <x:c r="C3476" s="115" t="str">
        <x:v>Aéroports</x:v>
      </x:c>
      <x:c r="D3476" s="115" t="str">
        <x:v>Aéroport international</x:v>
      </x:c>
      <x:c r="E3476" s="115" t="n">
        <x:v>21</x:v>
      </x:c>
      <x:c r="F3476" s="115" t="str">
        <x:v>Inspection physique</x:v>
      </x:c>
      <x:c r="G3476" s="115" t="str">
        <x:v>1 niveaux ; 36 pièces ; 265 segments de mur ; 0 transitions. Inspection physique ; architecture complète encore ouverte.</x:v>
      </x:c>
      <x:c r="H3476" s="115" t="str">
        <x:v>L 1460 ; l 3400 ; hauteur 40 m ; choix de composition auteur ; dimensions réelles à documenter</x:v>
      </x:c>
      <x:c r="I3476" s="115" t="str">
        <x:v>À équilibrer</x:v>
      </x:c>
      <x:c r="J3476" s="115" t="str">
        <x:v>Non</x:v>
      </x:c>
      <x:c r="K3476" s="115" t="str">
        <x:v>Pièces décrites, murs, portes, niveaux et mobilier inspectables à l’échelle. Volumes réservés, raccord au seed, butin, rencontres et services de campagne restent à terminer.</x:v>
      </x:c>
    </x:row>
    <x:row r="3477" ht="96" customHeight="1">
      <x:c r="A3477" s="115" t="str">
        <x:v>EXT-MONDE-T070-V22</x:v>
      </x:c>
      <x:c r="B3477" s="115" t="str">
        <x:v>EXT-MONDE-T070</x:v>
      </x:c>
      <x:c r="C3477" s="115" t="str">
        <x:v>Aéroports</x:v>
      </x:c>
      <x:c r="D3477" s="115" t="str">
        <x:v>Aéroport international</x:v>
      </x:c>
      <x:c r="E3477" s="115" t="n">
        <x:v>22</x:v>
      </x:c>
      <x:c r="F3477" s="115" t="str">
        <x:v>Inspection physique</x:v>
      </x:c>
      <x:c r="G3477" s="115" t="str">
        <x:v>1 niveaux ; 36 pièces ; 265 segments de mur ; 0 transitions. Inspection physique ; architecture complète encore ouverte.</x:v>
      </x:c>
      <x:c r="H3477" s="115" t="str">
        <x:v>L 1460 ; l 3400 ; hauteur 40 m ; choix de composition auteur ; dimensions réelles à documenter</x:v>
      </x:c>
      <x:c r="I3477" s="115" t="str">
        <x:v>À équilibrer</x:v>
      </x:c>
      <x:c r="J3477" s="115" t="str">
        <x:v>Non</x:v>
      </x:c>
      <x:c r="K3477" s="115" t="str">
        <x:v>Pièces décrites, murs, portes, niveaux et mobilier inspectables à l’échelle. Volumes réservés, raccord au seed, butin, rencontres et services de campagne restent à terminer.</x:v>
      </x:c>
    </x:row>
    <x:row r="3478" ht="96" customHeight="1">
      <x:c r="A3478" s="115" t="str">
        <x:v>EXT-MONDE-T070-V23</x:v>
      </x:c>
      <x:c r="B3478" s="115" t="str">
        <x:v>EXT-MONDE-T070</x:v>
      </x:c>
      <x:c r="C3478" s="115" t="str">
        <x:v>Aéroports</x:v>
      </x:c>
      <x:c r="D3478" s="115" t="str">
        <x:v>Aéroport international</x:v>
      </x:c>
      <x:c r="E3478" s="115" t="n">
        <x:v>23</x:v>
      </x:c>
      <x:c r="F3478" s="115" t="str">
        <x:v>Inspection physique</x:v>
      </x:c>
      <x:c r="G3478" s="115" t="str">
        <x:v>1 niveaux ; 36 pièces ; 265 segments de mur ; 0 transitions. Inspection physique ; architecture complète encore ouverte.</x:v>
      </x:c>
      <x:c r="H3478" s="115" t="str">
        <x:v>L 1460 ; l 3400 ; hauteur 40 m ; choix de composition auteur ; dimensions réelles à documenter</x:v>
      </x:c>
      <x:c r="I3478" s="115" t="str">
        <x:v>À équilibrer</x:v>
      </x:c>
      <x:c r="J3478" s="115" t="str">
        <x:v>Non</x:v>
      </x:c>
      <x:c r="K3478" s="115" t="str">
        <x:v>Pièces décrites, murs, portes, niveaux et mobilier inspectables à l’échelle. Volumes réservés, raccord au seed, butin, rencontres et services de campagne restent à terminer.</x:v>
      </x:c>
    </x:row>
    <x:row r="3479" ht="96" customHeight="1">
      <x:c r="A3479" s="115" t="str">
        <x:v>EXT-MONDE-T070-V24</x:v>
      </x:c>
      <x:c r="B3479" s="115" t="str">
        <x:v>EXT-MONDE-T070</x:v>
      </x:c>
      <x:c r="C3479" s="115" t="str">
        <x:v>Aéroports</x:v>
      </x:c>
      <x:c r="D3479" s="115" t="str">
        <x:v>Aéroport international</x:v>
      </x:c>
      <x:c r="E3479" s="115" t="n">
        <x:v>24</x:v>
      </x:c>
      <x:c r="F3479" s="115" t="str">
        <x:v>Inspection physique</x:v>
      </x:c>
      <x:c r="G3479" s="115" t="str">
        <x:v>1 niveaux ; 36 pièces ; 265 segments de mur ; 0 transitions. Inspection physique ; architecture complète encore ouverte.</x:v>
      </x:c>
      <x:c r="H3479" s="115" t="str">
        <x:v>L 1460 ; l 3400 ; hauteur 40 m ; choix de composition auteur ; dimensions réelles à documenter</x:v>
      </x:c>
      <x:c r="I3479" s="115" t="str">
        <x:v>À équilibrer</x:v>
      </x:c>
      <x:c r="J3479" s="115" t="str">
        <x:v>Non</x:v>
      </x:c>
      <x:c r="K3479" s="115" t="str">
        <x:v>Pièces décrites, murs, portes, niveaux et mobilier inspectables à l’échelle. Volumes réservés, raccord au seed, butin, rencontres et services de campagne restent à terminer.</x:v>
      </x:c>
    </x:row>
    <x:row r="3480" ht="96" customHeight="1">
      <x:c r="A3480" s="115" t="str">
        <x:v>EXT-MONDE-T070-V25</x:v>
      </x:c>
      <x:c r="B3480" s="115" t="str">
        <x:v>EXT-MONDE-T070</x:v>
      </x:c>
      <x:c r="C3480" s="115" t="str">
        <x:v>Aéroports</x:v>
      </x:c>
      <x:c r="D3480" s="115" t="str">
        <x:v>Aéroport international</x:v>
      </x:c>
      <x:c r="E3480" s="115" t="n">
        <x:v>25</x:v>
      </x:c>
      <x:c r="F3480" s="115" t="str">
        <x:v>Inspection physique</x:v>
      </x:c>
      <x:c r="G3480" s="115" t="str">
        <x:v>1 niveaux ; 36 pièces ; 265 segments de mur ; 0 transitions. Inspection physique ; architecture complète encore ouverte.</x:v>
      </x:c>
      <x:c r="H3480" s="115" t="str">
        <x:v>L 1460 ; l 3400 ; hauteur 40 m ; choix de composition auteur ; dimensions réelles à documenter</x:v>
      </x:c>
      <x:c r="I3480" s="115" t="str">
        <x:v>À équilibrer</x:v>
      </x:c>
      <x:c r="J3480" s="115" t="str">
        <x:v>Non</x:v>
      </x:c>
      <x:c r="K3480" s="115" t="str">
        <x:v>Pièces décrites, murs, portes, niveaux et mobilier inspectables à l’échelle. Volumes réservés, raccord au seed, butin, rencontres et services de campagne restent à terminer.</x:v>
      </x:c>
    </x:row>
    <x:row r="3481" ht="96" customHeight="1">
      <x:c r="A3481" s="115" t="str">
        <x:v>EXT-MONDE-T070-V26</x:v>
      </x:c>
      <x:c r="B3481" s="115" t="str">
        <x:v>EXT-MONDE-T070</x:v>
      </x:c>
      <x:c r="C3481" s="115" t="str">
        <x:v>Aéroports</x:v>
      </x:c>
      <x:c r="D3481" s="115" t="str">
        <x:v>Aéroport international</x:v>
      </x:c>
      <x:c r="E3481" s="115" t="n">
        <x:v>26</x:v>
      </x:c>
      <x:c r="F3481" s="115" t="str">
        <x:v>Inspection physique</x:v>
      </x:c>
      <x:c r="G3481" s="115" t="str">
        <x:v>1 niveaux ; 36 pièces ; 265 segments de mur ; 0 transitions. Inspection physique ; architecture complète encore ouverte.</x:v>
      </x:c>
      <x:c r="H3481" s="115" t="str">
        <x:v>L 1460 ; l 3400 ; hauteur 40 m ; choix de composition auteur ; dimensions réelles à documenter</x:v>
      </x:c>
      <x:c r="I3481" s="115" t="str">
        <x:v>À équilibrer</x:v>
      </x:c>
      <x:c r="J3481" s="115" t="str">
        <x:v>Non</x:v>
      </x:c>
      <x:c r="K3481" s="115" t="str">
        <x:v>Pièces décrites, murs, portes, niveaux et mobilier inspectables à l’échelle. Volumes réservés, raccord au seed, butin, rencontres et services de campagne restent à terminer.</x:v>
      </x:c>
    </x:row>
    <x:row r="3482" ht="96" customHeight="1">
      <x:c r="A3482" s="115" t="str">
        <x:v>EXT-MONDE-T070-V27</x:v>
      </x:c>
      <x:c r="B3482" s="115" t="str">
        <x:v>EXT-MONDE-T070</x:v>
      </x:c>
      <x:c r="C3482" s="115" t="str">
        <x:v>Aéroports</x:v>
      </x:c>
      <x:c r="D3482" s="115" t="str">
        <x:v>Aéroport international</x:v>
      </x:c>
      <x:c r="E3482" s="115" t="n">
        <x:v>27</x:v>
      </x:c>
      <x:c r="F3482" s="115" t="str">
        <x:v>Inspection physique</x:v>
      </x:c>
      <x:c r="G3482" s="115" t="str">
        <x:v>1 niveaux ; 36 pièces ; 265 segments de mur ; 0 transitions. Inspection physique ; architecture complète encore ouverte.</x:v>
      </x:c>
      <x:c r="H3482" s="115" t="str">
        <x:v>L 1460 ; l 3400 ; hauteur 40 m ; choix de composition auteur ; dimensions réelles à documenter</x:v>
      </x:c>
      <x:c r="I3482" s="115" t="str">
        <x:v>À équilibrer</x:v>
      </x:c>
      <x:c r="J3482" s="115" t="str">
        <x:v>Non</x:v>
      </x:c>
      <x:c r="K3482" s="115" t="str">
        <x:v>Pièces décrites, murs, portes, niveaux et mobilier inspectables à l’échelle. Volumes réservés, raccord au seed, butin, rencontres et services de campagne restent à terminer.</x:v>
      </x:c>
    </x:row>
    <x:row r="3483" ht="96" customHeight="1">
      <x:c r="A3483" s="115" t="str">
        <x:v>EXT-MONDE-T070-V28</x:v>
      </x:c>
      <x:c r="B3483" s="115" t="str">
        <x:v>EXT-MONDE-T070</x:v>
      </x:c>
      <x:c r="C3483" s="115" t="str">
        <x:v>Aéroports</x:v>
      </x:c>
      <x:c r="D3483" s="115" t="str">
        <x:v>Aéroport international</x:v>
      </x:c>
      <x:c r="E3483" s="115" t="n">
        <x:v>28</x:v>
      </x:c>
      <x:c r="F3483" s="115" t="str">
        <x:v>Inspection physique</x:v>
      </x:c>
      <x:c r="G3483" s="115" t="str">
        <x:v>1 niveaux ; 36 pièces ; 265 segments de mur ; 0 transitions. Inspection physique ; architecture complète encore ouverte.</x:v>
      </x:c>
      <x:c r="H3483" s="115" t="str">
        <x:v>L 1460 ; l 3400 ; hauteur 40 m ; choix de composition auteur ; dimensions réelles à documenter</x:v>
      </x:c>
      <x:c r="I3483" s="115" t="str">
        <x:v>À équilibrer</x:v>
      </x:c>
      <x:c r="J3483" s="115" t="str">
        <x:v>Non</x:v>
      </x:c>
      <x:c r="K3483" s="115" t="str">
        <x:v>Pièces décrites, murs, portes, niveaux et mobilier inspectables à l’échelle. Volumes réservés, raccord au seed, butin, rencontres et services de campagne restent à terminer.</x:v>
      </x:c>
    </x:row>
    <x:row r="3484" ht="96" customHeight="1">
      <x:c r="A3484" s="115" t="str">
        <x:v>EXT-MONDE-T070-V29</x:v>
      </x:c>
      <x:c r="B3484" s="115" t="str">
        <x:v>EXT-MONDE-T070</x:v>
      </x:c>
      <x:c r="C3484" s="115" t="str">
        <x:v>Aéroports</x:v>
      </x:c>
      <x:c r="D3484" s="115" t="str">
        <x:v>Aéroport international</x:v>
      </x:c>
      <x:c r="E3484" s="115" t="n">
        <x:v>29</x:v>
      </x:c>
      <x:c r="F3484" s="115" t="str">
        <x:v>Inspection physique</x:v>
      </x:c>
      <x:c r="G3484" s="115" t="str">
        <x:v>1 niveaux ; 36 pièces ; 265 segments de mur ; 0 transitions. Inspection physique ; architecture complète encore ouverte.</x:v>
      </x:c>
      <x:c r="H3484" s="115" t="str">
        <x:v>L 1460 ; l 3400 ; hauteur 40 m ; choix de composition auteur ; dimensions réelles à documenter</x:v>
      </x:c>
      <x:c r="I3484" s="115" t="str">
        <x:v>À équilibrer</x:v>
      </x:c>
      <x:c r="J3484" s="115" t="str">
        <x:v>Non</x:v>
      </x:c>
      <x:c r="K3484" s="115" t="str">
        <x:v>Pièces décrites, murs, portes, niveaux et mobilier inspectables à l’échelle. Volumes réservés, raccord au seed, butin, rencontres et services de campagne restent à terminer.</x:v>
      </x:c>
    </x:row>
    <x:row r="3485" ht="96" customHeight="1">
      <x:c r="A3485" s="115" t="str">
        <x:v>EXT-MONDE-T070-V30</x:v>
      </x:c>
      <x:c r="B3485" s="115" t="str">
        <x:v>EXT-MONDE-T070</x:v>
      </x:c>
      <x:c r="C3485" s="115" t="str">
        <x:v>Aéroports</x:v>
      </x:c>
      <x:c r="D3485" s="115" t="str">
        <x:v>Aéroport international</x:v>
      </x:c>
      <x:c r="E3485" s="115" t="n">
        <x:v>30</x:v>
      </x:c>
      <x:c r="F3485" s="115" t="str">
        <x:v>Inspection physique</x:v>
      </x:c>
      <x:c r="G3485" s="115" t="str">
        <x:v>1 niveaux ; 36 pièces ; 265 segments de mur ; 0 transitions. Inspection physique ; architecture complète encore ouverte.</x:v>
      </x:c>
      <x:c r="H3485" s="115" t="str">
        <x:v>L 1460 ; l 3400 ; hauteur 40 m ; choix de composition auteur ; dimensions réelles à documenter</x:v>
      </x:c>
      <x:c r="I3485" s="115" t="str">
        <x:v>À équilibrer</x:v>
      </x:c>
      <x:c r="J3485" s="115" t="str">
        <x:v>Non</x:v>
      </x:c>
      <x:c r="K3485" s="115" t="str">
        <x:v>Pièces décrites, murs, portes, niveaux et mobilier inspectables à l’échelle. Volumes réservés, raccord au seed, butin, rencontres et services de campagne restent à terminer.</x:v>
      </x:c>
    </x:row>
    <x:row r="3486" ht="96" customHeight="1">
      <x:c r="A3486" s="115" t="str">
        <x:v>EXT-MONDE-T070-V31</x:v>
      </x:c>
      <x:c r="B3486" s="115" t="str">
        <x:v>EXT-MONDE-T070</x:v>
      </x:c>
      <x:c r="C3486" s="115" t="str">
        <x:v>Aéroports</x:v>
      </x:c>
      <x:c r="D3486" s="115" t="str">
        <x:v>Aéroport international</x:v>
      </x:c>
      <x:c r="E3486" s="115" t="n">
        <x:v>31</x:v>
      </x:c>
      <x:c r="F3486" s="115" t="str">
        <x:v>Inspection physique</x:v>
      </x:c>
      <x:c r="G3486" s="115" t="str">
        <x:v>1 niveaux ; 36 pièces ; 265 segments de mur ; 0 transitions. Inspection physique ; architecture complète encore ouverte.</x:v>
      </x:c>
      <x:c r="H3486" s="115" t="str">
        <x:v>L 1460 ; l 3600 ; hauteur 42 m ; choix de composition auteur ; dimensions réelles à documenter</x:v>
      </x:c>
      <x:c r="I3486" s="115" t="str">
        <x:v>À équilibrer</x:v>
      </x:c>
      <x:c r="J3486" s="115" t="str">
        <x:v>Non</x:v>
      </x:c>
      <x:c r="K3486" s="115" t="str">
        <x:v>Pièces décrites, murs, portes, niveaux et mobilier inspectables à l’échelle. Volumes réservés, raccord au seed, butin, rencontres et services de campagne restent à terminer.</x:v>
      </x:c>
    </x:row>
    <x:row r="3487" ht="96" customHeight="1">
      <x:c r="A3487" s="115" t="str">
        <x:v>EXT-MONDE-T070-V32</x:v>
      </x:c>
      <x:c r="B3487" s="115" t="str">
        <x:v>EXT-MONDE-T070</x:v>
      </x:c>
      <x:c r="C3487" s="115" t="str">
        <x:v>Aéroports</x:v>
      </x:c>
      <x:c r="D3487" s="115" t="str">
        <x:v>Aéroport international</x:v>
      </x:c>
      <x:c r="E3487" s="115" t="n">
        <x:v>32</x:v>
      </x:c>
      <x:c r="F3487" s="115" t="str">
        <x:v>Inspection physique</x:v>
      </x:c>
      <x:c r="G3487" s="115" t="str">
        <x:v>1 niveaux ; 36 pièces ; 265 segments de mur ; 0 transitions. Inspection physique ; architecture complète encore ouverte.</x:v>
      </x:c>
      <x:c r="H3487" s="115" t="str">
        <x:v>L 1460 ; l 3600 ; hauteur 42 m ; choix de composition auteur ; dimensions réelles à documenter</x:v>
      </x:c>
      <x:c r="I3487" s="115" t="str">
        <x:v>À équilibrer</x:v>
      </x:c>
      <x:c r="J3487" s="115" t="str">
        <x:v>Non</x:v>
      </x:c>
      <x:c r="K3487" s="115" t="str">
        <x:v>Pièces décrites, murs, portes, niveaux et mobilier inspectables à l’échelle. Volumes réservés, raccord au seed, butin, rencontres et services de campagne restent à terminer.</x:v>
      </x:c>
    </x:row>
    <x:row r="3488" ht="96" customHeight="1">
      <x:c r="A3488" s="115" t="str">
        <x:v>EXT-MONDE-T070-V33</x:v>
      </x:c>
      <x:c r="B3488" s="115" t="str">
        <x:v>EXT-MONDE-T070</x:v>
      </x:c>
      <x:c r="C3488" s="115" t="str">
        <x:v>Aéroports</x:v>
      </x:c>
      <x:c r="D3488" s="115" t="str">
        <x:v>Aéroport international</x:v>
      </x:c>
      <x:c r="E3488" s="115" t="n">
        <x:v>33</x:v>
      </x:c>
      <x:c r="F3488" s="115" t="str">
        <x:v>Inspection physique</x:v>
      </x:c>
      <x:c r="G3488" s="115" t="str">
        <x:v>1 niveaux ; 36 pièces ; 265 segments de mur ; 0 transitions. Inspection physique ; architecture complète encore ouverte.</x:v>
      </x:c>
      <x:c r="H3488" s="115" t="str">
        <x:v>L 1460 ; l 3600 ; hauteur 42 m ; choix de composition auteur ; dimensions réelles à documenter</x:v>
      </x:c>
      <x:c r="I3488" s="115" t="str">
        <x:v>À équilibrer</x:v>
      </x:c>
      <x:c r="J3488" s="115" t="str">
        <x:v>Non</x:v>
      </x:c>
      <x:c r="K3488" s="115" t="str">
        <x:v>Pièces décrites, murs, portes, niveaux et mobilier inspectables à l’échelle. Volumes réservés, raccord au seed, butin, rencontres et services de campagne restent à terminer.</x:v>
      </x:c>
    </x:row>
    <x:row r="3489" ht="96" customHeight="1">
      <x:c r="A3489" s="115" t="str">
        <x:v>EXT-MONDE-T070-V34</x:v>
      </x:c>
      <x:c r="B3489" s="115" t="str">
        <x:v>EXT-MONDE-T070</x:v>
      </x:c>
      <x:c r="C3489" s="115" t="str">
        <x:v>Aéroports</x:v>
      </x:c>
      <x:c r="D3489" s="115" t="str">
        <x:v>Aéroport international</x:v>
      </x:c>
      <x:c r="E3489" s="115" t="n">
        <x:v>34</x:v>
      </x:c>
      <x:c r="F3489" s="115" t="str">
        <x:v>Inspection physique</x:v>
      </x:c>
      <x:c r="G3489" s="115" t="str">
        <x:v>1 niveaux ; 36 pièces ; 265 segments de mur ; 0 transitions. Inspection physique ; architecture complète encore ouverte.</x:v>
      </x:c>
      <x:c r="H3489" s="115" t="str">
        <x:v>L 1460 ; l 3600 ; hauteur 42 m ; choix de composition auteur ; dimensions réelles à documenter</x:v>
      </x:c>
      <x:c r="I3489" s="115" t="str">
        <x:v>À équilibrer</x:v>
      </x:c>
      <x:c r="J3489" s="115" t="str">
        <x:v>Non</x:v>
      </x:c>
      <x:c r="K3489" s="115" t="str">
        <x:v>Pièces décrites, murs, portes, niveaux et mobilier inspectables à l’échelle. Volumes réservés, raccord au seed, butin, rencontres et services de campagne restent à terminer.</x:v>
      </x:c>
    </x:row>
    <x:row r="3490" ht="96" customHeight="1">
      <x:c r="A3490" s="115" t="str">
        <x:v>EXT-MONDE-T070-V35</x:v>
      </x:c>
      <x:c r="B3490" s="115" t="str">
        <x:v>EXT-MONDE-T070</x:v>
      </x:c>
      <x:c r="C3490" s="115" t="str">
        <x:v>Aéroports</x:v>
      </x:c>
      <x:c r="D3490" s="115" t="str">
        <x:v>Aéroport international</x:v>
      </x:c>
      <x:c r="E3490" s="115" t="n">
        <x:v>35</x:v>
      </x:c>
      <x:c r="F3490" s="115" t="str">
        <x:v>Inspection physique</x:v>
      </x:c>
      <x:c r="G3490" s="115" t="str">
        <x:v>1 niveaux ; 36 pièces ; 265 segments de mur ; 0 transitions. Inspection physique ; architecture complète encore ouverte.</x:v>
      </x:c>
      <x:c r="H3490" s="115" t="str">
        <x:v>L 1460 ; l 3600 ; hauteur 42 m ; choix de composition auteur ; dimensions réelles à documenter</x:v>
      </x:c>
      <x:c r="I3490" s="115" t="str">
        <x:v>À équilibrer</x:v>
      </x:c>
      <x:c r="J3490" s="115" t="str">
        <x:v>Non</x:v>
      </x:c>
      <x:c r="K3490" s="115" t="str">
        <x:v>Pièces décrites, murs, portes, niveaux et mobilier inspectables à l’échelle. Volumes réservés, raccord au seed, butin, rencontres et services de campagne restent à terminer.</x:v>
      </x:c>
    </x:row>
    <x:row r="3491" ht="96" customHeight="1">
      <x:c r="A3491" s="115" t="str">
        <x:v>EXT-MONDE-T070-V36</x:v>
      </x:c>
      <x:c r="B3491" s="115" t="str">
        <x:v>EXT-MONDE-T070</x:v>
      </x:c>
      <x:c r="C3491" s="115" t="str">
        <x:v>Aéroports</x:v>
      </x:c>
      <x:c r="D3491" s="115" t="str">
        <x:v>Aéroport international</x:v>
      </x:c>
      <x:c r="E3491" s="115" t="n">
        <x:v>36</x:v>
      </x:c>
      <x:c r="F3491" s="115" t="str">
        <x:v>Inspection physique</x:v>
      </x:c>
      <x:c r="G3491" s="115" t="str">
        <x:v>1 niveaux ; 36 pièces ; 265 segments de mur ; 0 transitions. Inspection physique ; architecture complète encore ouverte.</x:v>
      </x:c>
      <x:c r="H3491" s="115" t="str">
        <x:v>L 1460 ; l 3600 ; hauteur 42 m ; choix de composition auteur ; dimensions réelles à documenter</x:v>
      </x:c>
      <x:c r="I3491" s="115" t="str">
        <x:v>À équilibrer</x:v>
      </x:c>
      <x:c r="J3491" s="115" t="str">
        <x:v>Non</x:v>
      </x:c>
      <x:c r="K3491" s="115" t="str">
        <x:v>Pièces décrites, murs, portes, niveaux et mobilier inspectables à l’échelle. Volumes réservés, raccord au seed, butin, rencontres et services de campagne restent à terminer.</x:v>
      </x:c>
    </x:row>
    <x:row r="3492" ht="96" customHeight="1">
      <x:c r="A3492" s="115" t="str">
        <x:v>EXT-MONDE-T070-V37</x:v>
      </x:c>
      <x:c r="B3492" s="115" t="str">
        <x:v>EXT-MONDE-T070</x:v>
      </x:c>
      <x:c r="C3492" s="115" t="str">
        <x:v>Aéroports</x:v>
      </x:c>
      <x:c r="D3492" s="115" t="str">
        <x:v>Aéroport international</x:v>
      </x:c>
      <x:c r="E3492" s="115" t="n">
        <x:v>37</x:v>
      </x:c>
      <x:c r="F3492" s="115" t="str">
        <x:v>Inspection physique</x:v>
      </x:c>
      <x:c r="G3492" s="115" t="str">
        <x:v>1 niveaux ; 36 pièces ; 265 segments de mur ; 0 transitions. Inspection physique ; architecture complète encore ouverte.</x:v>
      </x:c>
      <x:c r="H3492" s="115" t="str">
        <x:v>L 1460 ; l 3600 ; hauteur 42 m ; choix de composition auteur ; dimensions réelles à documenter</x:v>
      </x:c>
      <x:c r="I3492" s="115" t="str">
        <x:v>À équilibrer</x:v>
      </x:c>
      <x:c r="J3492" s="115" t="str">
        <x:v>Non</x:v>
      </x:c>
      <x:c r="K3492" s="115" t="str">
        <x:v>Pièces décrites, murs, portes, niveaux et mobilier inspectables à l’échelle. Volumes réservés, raccord au seed, butin, rencontres et services de campagne restent à terminer.</x:v>
      </x:c>
    </x:row>
    <x:row r="3493" ht="96" customHeight="1">
      <x:c r="A3493" s="115" t="str">
        <x:v>EXT-MONDE-T070-V38</x:v>
      </x:c>
      <x:c r="B3493" s="115" t="str">
        <x:v>EXT-MONDE-T070</x:v>
      </x:c>
      <x:c r="C3493" s="115" t="str">
        <x:v>Aéroports</x:v>
      </x:c>
      <x:c r="D3493" s="115" t="str">
        <x:v>Aéroport international</x:v>
      </x:c>
      <x:c r="E3493" s="115" t="n">
        <x:v>38</x:v>
      </x:c>
      <x:c r="F3493" s="115" t="str">
        <x:v>Inspection physique</x:v>
      </x:c>
      <x:c r="G3493" s="115" t="str">
        <x:v>1 niveaux ; 36 pièces ; 265 segments de mur ; 0 transitions. Inspection physique ; architecture complète encore ouverte.</x:v>
      </x:c>
      <x:c r="H3493" s="115" t="str">
        <x:v>L 1460 ; l 3600 ; hauteur 42 m ; choix de composition auteur ; dimensions réelles à documenter</x:v>
      </x:c>
      <x:c r="I3493" s="115" t="str">
        <x:v>À équilibrer</x:v>
      </x:c>
      <x:c r="J3493" s="115" t="str">
        <x:v>Non</x:v>
      </x:c>
      <x:c r="K3493" s="115" t="str">
        <x:v>Pièces décrites, murs, portes, niveaux et mobilier inspectables à l’échelle. Volumes réservés, raccord au seed, butin, rencontres et services de campagne restent à terminer.</x:v>
      </x:c>
    </x:row>
    <x:row r="3494" ht="96" customHeight="1">
      <x:c r="A3494" s="115" t="str">
        <x:v>EXT-MONDE-T070-V39</x:v>
      </x:c>
      <x:c r="B3494" s="115" t="str">
        <x:v>EXT-MONDE-T070</x:v>
      </x:c>
      <x:c r="C3494" s="115" t="str">
        <x:v>Aéroports</x:v>
      </x:c>
      <x:c r="D3494" s="115" t="str">
        <x:v>Aéroport international</x:v>
      </x:c>
      <x:c r="E3494" s="115" t="n">
        <x:v>39</x:v>
      </x:c>
      <x:c r="F3494" s="115" t="str">
        <x:v>Inspection physique</x:v>
      </x:c>
      <x:c r="G3494" s="115" t="str">
        <x:v>1 niveaux ; 36 pièces ; 265 segments de mur ; 0 transitions. Inspection physique ; architecture complète encore ouverte.</x:v>
      </x:c>
      <x:c r="H3494" s="115" t="str">
        <x:v>L 1460 ; l 3600 ; hauteur 42 m ; choix de composition auteur ; dimensions réelles à documenter</x:v>
      </x:c>
      <x:c r="I3494" s="115" t="str">
        <x:v>À équilibrer</x:v>
      </x:c>
      <x:c r="J3494" s="115" t="str">
        <x:v>Non</x:v>
      </x:c>
      <x:c r="K3494" s="115" t="str">
        <x:v>Pièces décrites, murs, portes, niveaux et mobilier inspectables à l’échelle. Volumes réservés, raccord au seed, butin, rencontres et services de campagne restent à terminer.</x:v>
      </x:c>
    </x:row>
    <x:row r="3495" ht="96" customHeight="1">
      <x:c r="A3495" s="115" t="str">
        <x:v>EXT-MONDE-T070-V40</x:v>
      </x:c>
      <x:c r="B3495" s="115" t="str">
        <x:v>EXT-MONDE-T070</x:v>
      </x:c>
      <x:c r="C3495" s="115" t="str">
        <x:v>Aéroports</x:v>
      </x:c>
      <x:c r="D3495" s="115" t="str">
        <x:v>Aéroport international</x:v>
      </x:c>
      <x:c r="E3495" s="115" t="n">
        <x:v>40</x:v>
      </x:c>
      <x:c r="F3495" s="115" t="str">
        <x:v>Inspection physique</x:v>
      </x:c>
      <x:c r="G3495" s="115" t="str">
        <x:v>1 niveaux ; 36 pièces ; 265 segments de mur ; 0 transitions. Inspection physique ; architecture complète encore ouverte.</x:v>
      </x:c>
      <x:c r="H3495" s="115" t="str">
        <x:v>L 1460 ; l 3600 ; hauteur 42 m ; choix de composition auteur ; dimensions réelles à documenter</x:v>
      </x:c>
      <x:c r="I3495" s="115" t="str">
        <x:v>À équilibrer</x:v>
      </x:c>
      <x:c r="J3495" s="115" t="str">
        <x:v>Non</x:v>
      </x:c>
      <x:c r="K3495" s="115" t="str">
        <x:v>Pièces décrites, murs, portes, niveaux et mobilier inspectables à l’échelle. Volumes réservés, raccord au seed, butin, rencontres et services de campagne restent à terminer.</x:v>
      </x:c>
    </x:row>
    <x:row r="3496" ht="96" customHeight="1">
      <x:c r="A3496" s="115" t="str">
        <x:v>EXT-MONDE-T070-V41</x:v>
      </x:c>
      <x:c r="B3496" s="115" t="str">
        <x:v>EXT-MONDE-T070</x:v>
      </x:c>
      <x:c r="C3496" s="115" t="str">
        <x:v>Aéroports</x:v>
      </x:c>
      <x:c r="D3496" s="115" t="str">
        <x:v>Aéroport international</x:v>
      </x:c>
      <x:c r="E3496" s="115" t="n">
        <x:v>41</x:v>
      </x:c>
      <x:c r="F3496" s="115" t="str">
        <x:v>Inspection physique</x:v>
      </x:c>
      <x:c r="G3496" s="115" t="str">
        <x:v>1 niveaux ; 36 pièces ; 265 segments de mur ; 0 transitions. Inspection physique ; architecture complète encore ouverte.</x:v>
      </x:c>
      <x:c r="H3496" s="115" t="str">
        <x:v>L 1460 ; l 3800 ; hauteur 44 m ; choix de composition auteur ; dimensions réelles à documenter</x:v>
      </x:c>
      <x:c r="I3496" s="115" t="str">
        <x:v>À équilibrer</x:v>
      </x:c>
      <x:c r="J3496" s="115" t="str">
        <x:v>Non</x:v>
      </x:c>
      <x:c r="K3496" s="115" t="str">
        <x:v>Pièces décrites, murs, portes, niveaux et mobilier inspectables à l’échelle. Volumes réservés, raccord au seed, butin, rencontres et services de campagne restent à terminer.</x:v>
      </x:c>
    </x:row>
    <x:row r="3497" ht="96" customHeight="1">
      <x:c r="A3497" s="115" t="str">
        <x:v>EXT-MONDE-T070-V42</x:v>
      </x:c>
      <x:c r="B3497" s="115" t="str">
        <x:v>EXT-MONDE-T070</x:v>
      </x:c>
      <x:c r="C3497" s="115" t="str">
        <x:v>Aéroports</x:v>
      </x:c>
      <x:c r="D3497" s="115" t="str">
        <x:v>Aéroport international</x:v>
      </x:c>
      <x:c r="E3497" s="115" t="n">
        <x:v>42</x:v>
      </x:c>
      <x:c r="F3497" s="115" t="str">
        <x:v>Inspection physique</x:v>
      </x:c>
      <x:c r="G3497" s="115" t="str">
        <x:v>1 niveaux ; 36 pièces ; 265 segments de mur ; 0 transitions. Inspection physique ; architecture complète encore ouverte.</x:v>
      </x:c>
      <x:c r="H3497" s="115" t="str">
        <x:v>L 1460 ; l 3800 ; hauteur 44 m ; choix de composition auteur ; dimensions réelles à documenter</x:v>
      </x:c>
      <x:c r="I3497" s="115" t="str">
        <x:v>À équilibrer</x:v>
      </x:c>
      <x:c r="J3497" s="115" t="str">
        <x:v>Non</x:v>
      </x:c>
      <x:c r="K3497" s="115" t="str">
        <x:v>Pièces décrites, murs, portes, niveaux et mobilier inspectables à l’échelle. Volumes réservés, raccord au seed, butin, rencontres et services de campagne restent à terminer.</x:v>
      </x:c>
    </x:row>
    <x:row r="3498" ht="96" customHeight="1">
      <x:c r="A3498" s="115" t="str">
        <x:v>EXT-MONDE-T070-V43</x:v>
      </x:c>
      <x:c r="B3498" s="115" t="str">
        <x:v>EXT-MONDE-T070</x:v>
      </x:c>
      <x:c r="C3498" s="115" t="str">
        <x:v>Aéroports</x:v>
      </x:c>
      <x:c r="D3498" s="115" t="str">
        <x:v>Aéroport international</x:v>
      </x:c>
      <x:c r="E3498" s="115" t="n">
        <x:v>43</x:v>
      </x:c>
      <x:c r="F3498" s="115" t="str">
        <x:v>Inspection physique</x:v>
      </x:c>
      <x:c r="G3498" s="115" t="str">
        <x:v>1 niveaux ; 36 pièces ; 265 segments de mur ; 0 transitions. Inspection physique ; architecture complète encore ouverte.</x:v>
      </x:c>
      <x:c r="H3498" s="115" t="str">
        <x:v>L 1460 ; l 3800 ; hauteur 44 m ; choix de composition auteur ; dimensions réelles à documenter</x:v>
      </x:c>
      <x:c r="I3498" s="115" t="str">
        <x:v>À équilibrer</x:v>
      </x:c>
      <x:c r="J3498" s="115" t="str">
        <x:v>Non</x:v>
      </x:c>
      <x:c r="K3498" s="115" t="str">
        <x:v>Pièces décrites, murs, portes, niveaux et mobilier inspectables à l’échelle. Volumes réservés, raccord au seed, butin, rencontres et services de campagne restent à terminer.</x:v>
      </x:c>
    </x:row>
    <x:row r="3499" ht="96" customHeight="1">
      <x:c r="A3499" s="115" t="str">
        <x:v>EXT-MONDE-T070-V44</x:v>
      </x:c>
      <x:c r="B3499" s="115" t="str">
        <x:v>EXT-MONDE-T070</x:v>
      </x:c>
      <x:c r="C3499" s="115" t="str">
        <x:v>Aéroports</x:v>
      </x:c>
      <x:c r="D3499" s="115" t="str">
        <x:v>Aéroport international</x:v>
      </x:c>
      <x:c r="E3499" s="115" t="n">
        <x:v>44</x:v>
      </x:c>
      <x:c r="F3499" s="115" t="str">
        <x:v>Inspection physique</x:v>
      </x:c>
      <x:c r="G3499" s="115" t="str">
        <x:v>1 niveaux ; 36 pièces ; 265 segments de mur ; 0 transitions. Inspection physique ; architecture complète encore ouverte.</x:v>
      </x:c>
      <x:c r="H3499" s="115" t="str">
        <x:v>L 1460 ; l 3800 ; hauteur 44 m ; choix de composition auteur ; dimensions réelles à documenter</x:v>
      </x:c>
      <x:c r="I3499" s="115" t="str">
        <x:v>À équilibrer</x:v>
      </x:c>
      <x:c r="J3499" s="115" t="str">
        <x:v>Non</x:v>
      </x:c>
      <x:c r="K3499" s="115" t="str">
        <x:v>Pièces décrites, murs, portes, niveaux et mobilier inspectables à l’échelle. Volumes réservés, raccord au seed, butin, rencontres et services de campagne restent à terminer.</x:v>
      </x:c>
    </x:row>
    <x:row r="3500" ht="96" customHeight="1">
      <x:c r="A3500" s="115" t="str">
        <x:v>EXT-MONDE-T070-V45</x:v>
      </x:c>
      <x:c r="B3500" s="115" t="str">
        <x:v>EXT-MONDE-T070</x:v>
      </x:c>
      <x:c r="C3500" s="115" t="str">
        <x:v>Aéroports</x:v>
      </x:c>
      <x:c r="D3500" s="115" t="str">
        <x:v>Aéroport international</x:v>
      </x:c>
      <x:c r="E3500" s="115" t="n">
        <x:v>45</x:v>
      </x:c>
      <x:c r="F3500" s="115" t="str">
        <x:v>Inspection physique</x:v>
      </x:c>
      <x:c r="G3500" s="115" t="str">
        <x:v>1 niveaux ; 36 pièces ; 265 segments de mur ; 0 transitions. Inspection physique ; architecture complète encore ouverte.</x:v>
      </x:c>
      <x:c r="H3500" s="115" t="str">
        <x:v>L 1460 ; l 3800 ; hauteur 44 m ; choix de composition auteur ; dimensions réelles à documenter</x:v>
      </x:c>
      <x:c r="I3500" s="115" t="str">
        <x:v>À équilibrer</x:v>
      </x:c>
      <x:c r="J3500" s="115" t="str">
        <x:v>Non</x:v>
      </x:c>
      <x:c r="K3500" s="115" t="str">
        <x:v>Pièces décrites, murs, portes, niveaux et mobilier inspectables à l’échelle. Volumes réservés, raccord au seed, butin, rencontres et services de campagne restent à terminer.</x:v>
      </x:c>
    </x:row>
    <x:row r="3501" ht="96" customHeight="1">
      <x:c r="A3501" s="115" t="str">
        <x:v>EXT-MONDE-T070-V46</x:v>
      </x:c>
      <x:c r="B3501" s="115" t="str">
        <x:v>EXT-MONDE-T070</x:v>
      </x:c>
      <x:c r="C3501" s="115" t="str">
        <x:v>Aéroports</x:v>
      </x:c>
      <x:c r="D3501" s="115" t="str">
        <x:v>Aéroport international</x:v>
      </x:c>
      <x:c r="E3501" s="115" t="n">
        <x:v>46</x:v>
      </x:c>
      <x:c r="F3501" s="115" t="str">
        <x:v>Inspection physique</x:v>
      </x:c>
      <x:c r="G3501" s="115" t="str">
        <x:v>1 niveaux ; 36 pièces ; 265 segments de mur ; 0 transitions. Inspection physique ; architecture complète encore ouverte.</x:v>
      </x:c>
      <x:c r="H3501" s="115" t="str">
        <x:v>L 1460 ; l 3800 ; hauteur 44 m ; choix de composition auteur ; dimensions réelles à documenter</x:v>
      </x:c>
      <x:c r="I3501" s="115" t="str">
        <x:v>À équilibrer</x:v>
      </x:c>
      <x:c r="J3501" s="115" t="str">
        <x:v>Non</x:v>
      </x:c>
      <x:c r="K3501" s="115" t="str">
        <x:v>Pièces décrites, murs, portes, niveaux et mobilier inspectables à l’échelle. Volumes réservés, raccord au seed, butin, rencontres et services de campagne restent à terminer.</x:v>
      </x:c>
    </x:row>
    <x:row r="3502" ht="96" customHeight="1">
      <x:c r="A3502" s="115" t="str">
        <x:v>EXT-MONDE-T070-V47</x:v>
      </x:c>
      <x:c r="B3502" s="115" t="str">
        <x:v>EXT-MONDE-T070</x:v>
      </x:c>
      <x:c r="C3502" s="115" t="str">
        <x:v>Aéroports</x:v>
      </x:c>
      <x:c r="D3502" s="115" t="str">
        <x:v>Aéroport international</x:v>
      </x:c>
      <x:c r="E3502" s="115" t="n">
        <x:v>47</x:v>
      </x:c>
      <x:c r="F3502" s="115" t="str">
        <x:v>Inspection physique</x:v>
      </x:c>
      <x:c r="G3502" s="115" t="str">
        <x:v>1 niveaux ; 36 pièces ; 265 segments de mur ; 0 transitions. Inspection physique ; architecture complète encore ouverte.</x:v>
      </x:c>
      <x:c r="H3502" s="115" t="str">
        <x:v>L 1460 ; l 3800 ; hauteur 44 m ; choix de composition auteur ; dimensions réelles à documenter</x:v>
      </x:c>
      <x:c r="I3502" s="115" t="str">
        <x:v>À équilibrer</x:v>
      </x:c>
      <x:c r="J3502" s="115" t="str">
        <x:v>Non</x:v>
      </x:c>
      <x:c r="K3502" s="115" t="str">
        <x:v>Pièces décrites, murs, portes, niveaux et mobilier inspectables à l’échelle. Volumes réservés, raccord au seed, butin, rencontres et services de campagne restent à terminer.</x:v>
      </x:c>
    </x:row>
    <x:row r="3503" ht="96" customHeight="1">
      <x:c r="A3503" s="115" t="str">
        <x:v>EXT-MONDE-T070-V48</x:v>
      </x:c>
      <x:c r="B3503" s="115" t="str">
        <x:v>EXT-MONDE-T070</x:v>
      </x:c>
      <x:c r="C3503" s="115" t="str">
        <x:v>Aéroports</x:v>
      </x:c>
      <x:c r="D3503" s="115" t="str">
        <x:v>Aéroport international</x:v>
      </x:c>
      <x:c r="E3503" s="115" t="n">
        <x:v>48</x:v>
      </x:c>
      <x:c r="F3503" s="115" t="str">
        <x:v>Inspection physique</x:v>
      </x:c>
      <x:c r="G3503" s="115" t="str">
        <x:v>1 niveaux ; 36 pièces ; 265 segments de mur ; 0 transitions. Inspection physique ; architecture complète encore ouverte.</x:v>
      </x:c>
      <x:c r="H3503" s="115" t="str">
        <x:v>L 1460 ; l 3800 ; hauteur 44 m ; choix de composition auteur ; dimensions réelles à documenter</x:v>
      </x:c>
      <x:c r="I3503" s="115" t="str">
        <x:v>À équilibrer</x:v>
      </x:c>
      <x:c r="J3503" s="115" t="str">
        <x:v>Non</x:v>
      </x:c>
      <x:c r="K3503" s="115" t="str">
        <x:v>Pièces décrites, murs, portes, niveaux et mobilier inspectables à l’échelle. Volumes réservés, raccord au seed, butin, rencontres et services de campagne restent à terminer.</x:v>
      </x:c>
    </x:row>
    <x:row r="3504" ht="96" customHeight="1">
      <x:c r="A3504" s="115" t="str">
        <x:v>EXT-MONDE-T070-V49</x:v>
      </x:c>
      <x:c r="B3504" s="115" t="str">
        <x:v>EXT-MONDE-T070</x:v>
      </x:c>
      <x:c r="C3504" s="115" t="str">
        <x:v>Aéroports</x:v>
      </x:c>
      <x:c r="D3504" s="115" t="str">
        <x:v>Aéroport international</x:v>
      </x:c>
      <x:c r="E3504" s="115" t="n">
        <x:v>49</x:v>
      </x:c>
      <x:c r="F3504" s="115" t="str">
        <x:v>Inspection physique</x:v>
      </x:c>
      <x:c r="G3504" s="115" t="str">
        <x:v>1 niveaux ; 36 pièces ; 265 segments de mur ; 0 transitions. Inspection physique ; architecture complète encore ouverte.</x:v>
      </x:c>
      <x:c r="H3504" s="115" t="str">
        <x:v>L 1460 ; l 3800 ; hauteur 44 m ; choix de composition auteur ; dimensions réelles à documenter</x:v>
      </x:c>
      <x:c r="I3504" s="115" t="str">
        <x:v>À équilibrer</x:v>
      </x:c>
      <x:c r="J3504" s="115" t="str">
        <x:v>Non</x:v>
      </x:c>
      <x:c r="K3504" s="115" t="str">
        <x:v>Pièces décrites, murs, portes, niveaux et mobilier inspectables à l’échelle. Volumes réservés, raccord au seed, butin, rencontres et services de campagne restent à terminer.</x:v>
      </x:c>
    </x:row>
    <x:row r="3505" ht="96" customHeight="1">
      <x:c r="A3505" s="115" t="str">
        <x:v>EXT-MONDE-T070-V50</x:v>
      </x:c>
      <x:c r="B3505" s="115" t="str">
        <x:v>EXT-MONDE-T070</x:v>
      </x:c>
      <x:c r="C3505" s="115" t="str">
        <x:v>Aéroports</x:v>
      </x:c>
      <x:c r="D3505" s="115" t="str">
        <x:v>Aéroport international</x:v>
      </x:c>
      <x:c r="E3505" s="115" t="n">
        <x:v>50</x:v>
      </x:c>
      <x:c r="F3505" s="115" t="str">
        <x:v>Inspection physique</x:v>
      </x:c>
      <x:c r="G3505" s="115" t="str">
        <x:v>1 niveaux ; 36 pièces ; 265 segments de mur ; 0 transitions. Inspection physique ; architecture complète encore ouverte.</x:v>
      </x:c>
      <x:c r="H3505" s="115" t="str">
        <x:v>L 1460 ; l 3800 ; hauteur 44 m ; choix de composition auteur ; dimensions réelles à documenter</x:v>
      </x:c>
      <x:c r="I3505" s="115" t="str">
        <x:v>À équilibrer</x:v>
      </x:c>
      <x:c r="J3505" s="115" t="str">
        <x:v>Non</x:v>
      </x:c>
      <x:c r="K3505" s="115" t="str">
        <x:v>Pièces décrites, murs, portes, niveaux et mobilier inspectables à l’échelle. Volumes réservés, raccord au seed, butin, rencontres et services de campagne restent à terminer.</x:v>
      </x:c>
    </x:row>
    <x:row r="3506" ht="96" customHeight="1">
      <x:c r="A3506" s="115" t="str">
        <x:v>EXT-MONDE-T071-V01</x:v>
      </x:c>
      <x:c r="B3506" s="115" t="str">
        <x:v>EXT-MONDE-T071</x:v>
      </x:c>
      <x:c r="C3506" s="115" t="str">
        <x:v>Aéroports</x:v>
      </x:c>
      <x:c r="D3506" s="115" t="str">
        <x:v>Aéroport de fret</x:v>
      </x:c>
      <x:c r="E3506" s="115" t="n">
        <x:v>1</x:v>
      </x:c>
      <x:c r="F3506" s="115" t="str">
        <x:v>Inspection physique</x:v>
      </x:c>
      <x:c r="G3506" s="115" t="str">
        <x:v>1 niveaux ; 36 pièces ; 265 segments de mur ; 0 transitions. Inspection physique ; architecture complète encore ouverte.</x:v>
      </x:c>
      <x:c r="H3506" s="115" t="str">
        <x:v>L 1100 ; l 2600 ; hauteur 28 m ; choix de composition auteur ; dimensions réelles à documenter</x:v>
      </x:c>
      <x:c r="I3506" s="115" t="str">
        <x:v>À équilibrer</x:v>
      </x:c>
      <x:c r="J3506" s="115" t="str">
        <x:v>Non</x:v>
      </x:c>
      <x:c r="K3506" s="115" t="str">
        <x:v>Pièces décrites, murs, portes, niveaux et mobilier inspectables à l’échelle. Volumes réservés, raccord au seed, butin, rencontres et services de campagne restent à terminer.</x:v>
      </x:c>
    </x:row>
    <x:row r="3507" ht="96" customHeight="1">
      <x:c r="A3507" s="115" t="str">
        <x:v>EXT-MONDE-T071-V02</x:v>
      </x:c>
      <x:c r="B3507" s="115" t="str">
        <x:v>EXT-MONDE-T071</x:v>
      </x:c>
      <x:c r="C3507" s="115" t="str">
        <x:v>Aéroports</x:v>
      </x:c>
      <x:c r="D3507" s="115" t="str">
        <x:v>Aéroport de fret</x:v>
      </x:c>
      <x:c r="E3507" s="115" t="n">
        <x:v>2</x:v>
      </x:c>
      <x:c r="F3507" s="115" t="str">
        <x:v>Inspection physique</x:v>
      </x:c>
      <x:c r="G3507" s="115" t="str">
        <x:v>1 niveaux ; 36 pièces ; 265 segments de mur ; 0 transitions. Inspection physique ; architecture complète encore ouverte.</x:v>
      </x:c>
      <x:c r="H3507" s="115" t="str">
        <x:v>L 1100 ; l 2600 ; hauteur 28 m ; choix de composition auteur ; dimensions réelles à documenter</x:v>
      </x:c>
      <x:c r="I3507" s="115" t="str">
        <x:v>À équilibrer</x:v>
      </x:c>
      <x:c r="J3507" s="115" t="str">
        <x:v>Non</x:v>
      </x:c>
      <x:c r="K3507" s="115" t="str">
        <x:v>Pièces décrites, murs, portes, niveaux et mobilier inspectables à l’échelle. Volumes réservés, raccord au seed, butin, rencontres et services de campagne restent à terminer.</x:v>
      </x:c>
    </x:row>
    <x:row r="3508" ht="96" customHeight="1">
      <x:c r="A3508" s="115" t="str">
        <x:v>EXT-MONDE-T071-V03</x:v>
      </x:c>
      <x:c r="B3508" s="115" t="str">
        <x:v>EXT-MONDE-T071</x:v>
      </x:c>
      <x:c r="C3508" s="115" t="str">
        <x:v>Aéroports</x:v>
      </x:c>
      <x:c r="D3508" s="115" t="str">
        <x:v>Aéroport de fret</x:v>
      </x:c>
      <x:c r="E3508" s="115" t="n">
        <x:v>3</x:v>
      </x:c>
      <x:c r="F3508" s="115" t="str">
        <x:v>Inspection physique</x:v>
      </x:c>
      <x:c r="G3508" s="115" t="str">
        <x:v>1 niveaux ; 36 pièces ; 265 segments de mur ; 0 transitions. Inspection physique ; architecture complète encore ouverte.</x:v>
      </x:c>
      <x:c r="H3508" s="115" t="str">
        <x:v>L 1100 ; l 2600 ; hauteur 28 m ; choix de composition auteur ; dimensions réelles à documenter</x:v>
      </x:c>
      <x:c r="I3508" s="115" t="str">
        <x:v>À équilibrer</x:v>
      </x:c>
      <x:c r="J3508" s="115" t="str">
        <x:v>Non</x:v>
      </x:c>
      <x:c r="K3508" s="115" t="str">
        <x:v>Pièces décrites, murs, portes, niveaux et mobilier inspectables à l’échelle. Volumes réservés, raccord au seed, butin, rencontres et services de campagne restent à terminer.</x:v>
      </x:c>
    </x:row>
    <x:row r="3509" ht="96" customHeight="1">
      <x:c r="A3509" s="115" t="str">
        <x:v>EXT-MONDE-T071-V04</x:v>
      </x:c>
      <x:c r="B3509" s="115" t="str">
        <x:v>EXT-MONDE-T071</x:v>
      </x:c>
      <x:c r="C3509" s="115" t="str">
        <x:v>Aéroports</x:v>
      </x:c>
      <x:c r="D3509" s="115" t="str">
        <x:v>Aéroport de fret</x:v>
      </x:c>
      <x:c r="E3509" s="115" t="n">
        <x:v>4</x:v>
      </x:c>
      <x:c r="F3509" s="115" t="str">
        <x:v>Inspection physique</x:v>
      </x:c>
      <x:c r="G3509" s="115" t="str">
        <x:v>1 niveaux ; 36 pièces ; 265 segments de mur ; 0 transitions. Inspection physique ; architecture complète encore ouverte.</x:v>
      </x:c>
      <x:c r="H3509" s="115" t="str">
        <x:v>L 1100 ; l 2600 ; hauteur 28 m ; choix de composition auteur ; dimensions réelles à documenter</x:v>
      </x:c>
      <x:c r="I3509" s="115" t="str">
        <x:v>À équilibrer</x:v>
      </x:c>
      <x:c r="J3509" s="115" t="str">
        <x:v>Non</x:v>
      </x:c>
      <x:c r="K3509" s="115" t="str">
        <x:v>Pièces décrites, murs, portes, niveaux et mobilier inspectables à l’échelle. Volumes réservés, raccord au seed, butin, rencontres et services de campagne restent à terminer.</x:v>
      </x:c>
    </x:row>
    <x:row r="3510" ht="96" customHeight="1">
      <x:c r="A3510" s="115" t="str">
        <x:v>EXT-MONDE-T071-V05</x:v>
      </x:c>
      <x:c r="B3510" s="115" t="str">
        <x:v>EXT-MONDE-T071</x:v>
      </x:c>
      <x:c r="C3510" s="115" t="str">
        <x:v>Aéroports</x:v>
      </x:c>
      <x:c r="D3510" s="115" t="str">
        <x:v>Aéroport de fret</x:v>
      </x:c>
      <x:c r="E3510" s="115" t="n">
        <x:v>5</x:v>
      </x:c>
      <x:c r="F3510" s="115" t="str">
        <x:v>Inspection physique</x:v>
      </x:c>
      <x:c r="G3510" s="115" t="str">
        <x:v>1 niveaux ; 36 pièces ; 265 segments de mur ; 0 transitions. Inspection physique ; architecture complète encore ouverte.</x:v>
      </x:c>
      <x:c r="H3510" s="115" t="str">
        <x:v>L 1100 ; l 2600 ; hauteur 28 m ; choix de composition auteur ; dimensions réelles à documenter</x:v>
      </x:c>
      <x:c r="I3510" s="115" t="str">
        <x:v>À équilibrer</x:v>
      </x:c>
      <x:c r="J3510" s="115" t="str">
        <x:v>Non</x:v>
      </x:c>
      <x:c r="K3510" s="115" t="str">
        <x:v>Pièces décrites, murs, portes, niveaux et mobilier inspectables à l’échelle. Volumes réservés, raccord au seed, butin, rencontres et services de campagne restent à terminer.</x:v>
      </x:c>
    </x:row>
    <x:row r="3511" ht="96" customHeight="1">
      <x:c r="A3511" s="115" t="str">
        <x:v>EXT-MONDE-T071-V06</x:v>
      </x:c>
      <x:c r="B3511" s="115" t="str">
        <x:v>EXT-MONDE-T071</x:v>
      </x:c>
      <x:c r="C3511" s="115" t="str">
        <x:v>Aéroports</x:v>
      </x:c>
      <x:c r="D3511" s="115" t="str">
        <x:v>Aéroport de fret</x:v>
      </x:c>
      <x:c r="E3511" s="115" t="n">
        <x:v>6</x:v>
      </x:c>
      <x:c r="F3511" s="115" t="str">
        <x:v>Inspection physique</x:v>
      </x:c>
      <x:c r="G3511" s="115" t="str">
        <x:v>1 niveaux ; 36 pièces ; 265 segments de mur ; 0 transitions. Inspection physique ; architecture complète encore ouverte.</x:v>
      </x:c>
      <x:c r="H3511" s="115" t="str">
        <x:v>L 1100 ; l 2600 ; hauteur 28 m ; choix de composition auteur ; dimensions réelles à documenter</x:v>
      </x:c>
      <x:c r="I3511" s="115" t="str">
        <x:v>À équilibrer</x:v>
      </x:c>
      <x:c r="J3511" s="115" t="str">
        <x:v>Non</x:v>
      </x:c>
      <x:c r="K3511" s="115" t="str">
        <x:v>Pièces décrites, murs, portes, niveaux et mobilier inspectables à l’échelle. Volumes réservés, raccord au seed, butin, rencontres et services de campagne restent à terminer.</x:v>
      </x:c>
    </x:row>
    <x:row r="3512" ht="96" customHeight="1">
      <x:c r="A3512" s="115" t="str">
        <x:v>EXT-MONDE-T071-V07</x:v>
      </x:c>
      <x:c r="B3512" s="115" t="str">
        <x:v>EXT-MONDE-T071</x:v>
      </x:c>
      <x:c r="C3512" s="115" t="str">
        <x:v>Aéroports</x:v>
      </x:c>
      <x:c r="D3512" s="115" t="str">
        <x:v>Aéroport de fret</x:v>
      </x:c>
      <x:c r="E3512" s="115" t="n">
        <x:v>7</x:v>
      </x:c>
      <x:c r="F3512" s="115" t="str">
        <x:v>Inspection physique</x:v>
      </x:c>
      <x:c r="G3512" s="115" t="str">
        <x:v>1 niveaux ; 36 pièces ; 265 segments de mur ; 0 transitions. Inspection physique ; architecture complète encore ouverte.</x:v>
      </x:c>
      <x:c r="H3512" s="115" t="str">
        <x:v>L 1100 ; l 2600 ; hauteur 28 m ; choix de composition auteur ; dimensions réelles à documenter</x:v>
      </x:c>
      <x:c r="I3512" s="115" t="str">
        <x:v>À équilibrer</x:v>
      </x:c>
      <x:c r="J3512" s="115" t="str">
        <x:v>Non</x:v>
      </x:c>
      <x:c r="K3512" s="115" t="str">
        <x:v>Pièces décrites, murs, portes, niveaux et mobilier inspectables à l’échelle. Volumes réservés, raccord au seed, butin, rencontres et services de campagne restent à terminer.</x:v>
      </x:c>
    </x:row>
    <x:row r="3513" ht="96" customHeight="1">
      <x:c r="A3513" s="115" t="str">
        <x:v>EXT-MONDE-T071-V08</x:v>
      </x:c>
      <x:c r="B3513" s="115" t="str">
        <x:v>EXT-MONDE-T071</x:v>
      </x:c>
      <x:c r="C3513" s="115" t="str">
        <x:v>Aéroports</x:v>
      </x:c>
      <x:c r="D3513" s="115" t="str">
        <x:v>Aéroport de fret</x:v>
      </x:c>
      <x:c r="E3513" s="115" t="n">
        <x:v>8</x:v>
      </x:c>
      <x:c r="F3513" s="115" t="str">
        <x:v>Inspection physique</x:v>
      </x:c>
      <x:c r="G3513" s="115" t="str">
        <x:v>1 niveaux ; 36 pièces ; 265 segments de mur ; 0 transitions. Inspection physique ; architecture complète encore ouverte.</x:v>
      </x:c>
      <x:c r="H3513" s="115" t="str">
        <x:v>L 1100 ; l 2600 ; hauteur 28 m ; choix de composition auteur ; dimensions réelles à documenter</x:v>
      </x:c>
      <x:c r="I3513" s="115" t="str">
        <x:v>À équilibrer</x:v>
      </x:c>
      <x:c r="J3513" s="115" t="str">
        <x:v>Non</x:v>
      </x:c>
      <x:c r="K3513" s="115" t="str">
        <x:v>Pièces décrites, murs, portes, niveaux et mobilier inspectables à l’échelle. Volumes réservés, raccord au seed, butin, rencontres et services de campagne restent à terminer.</x:v>
      </x:c>
    </x:row>
    <x:row r="3514" ht="96" customHeight="1">
      <x:c r="A3514" s="115" t="str">
        <x:v>EXT-MONDE-T071-V09</x:v>
      </x:c>
      <x:c r="B3514" s="115" t="str">
        <x:v>EXT-MONDE-T071</x:v>
      </x:c>
      <x:c r="C3514" s="115" t="str">
        <x:v>Aéroports</x:v>
      </x:c>
      <x:c r="D3514" s="115" t="str">
        <x:v>Aéroport de fret</x:v>
      </x:c>
      <x:c r="E3514" s="115" t="n">
        <x:v>9</x:v>
      </x:c>
      <x:c r="F3514" s="115" t="str">
        <x:v>Inspection physique</x:v>
      </x:c>
      <x:c r="G3514" s="115" t="str">
        <x:v>1 niveaux ; 36 pièces ; 265 segments de mur ; 0 transitions. Inspection physique ; architecture complète encore ouverte.</x:v>
      </x:c>
      <x:c r="H3514" s="115" t="str">
        <x:v>L 1100 ; l 2600 ; hauteur 28 m ; choix de composition auteur ; dimensions réelles à documenter</x:v>
      </x:c>
      <x:c r="I3514" s="115" t="str">
        <x:v>À équilibrer</x:v>
      </x:c>
      <x:c r="J3514" s="115" t="str">
        <x:v>Non</x:v>
      </x:c>
      <x:c r="K3514" s="115" t="str">
        <x:v>Pièces décrites, murs, portes, niveaux et mobilier inspectables à l’échelle. Volumes réservés, raccord au seed, butin, rencontres et services de campagne restent à terminer.</x:v>
      </x:c>
    </x:row>
    <x:row r="3515" ht="96" customHeight="1">
      <x:c r="A3515" s="115" t="str">
        <x:v>EXT-MONDE-T071-V10</x:v>
      </x:c>
      <x:c r="B3515" s="115" t="str">
        <x:v>EXT-MONDE-T071</x:v>
      </x:c>
      <x:c r="C3515" s="115" t="str">
        <x:v>Aéroports</x:v>
      </x:c>
      <x:c r="D3515" s="115" t="str">
        <x:v>Aéroport de fret</x:v>
      </x:c>
      <x:c r="E3515" s="115" t="n">
        <x:v>10</x:v>
      </x:c>
      <x:c r="F3515" s="115" t="str">
        <x:v>Inspection physique</x:v>
      </x:c>
      <x:c r="G3515" s="115" t="str">
        <x:v>1 niveaux ; 36 pièces ; 265 segments de mur ; 0 transitions. Inspection physique ; architecture complète encore ouverte.</x:v>
      </x:c>
      <x:c r="H3515" s="115" t="str">
        <x:v>L 1100 ; l 2600 ; hauteur 28 m ; choix de composition auteur ; dimensions réelles à documenter</x:v>
      </x:c>
      <x:c r="I3515" s="115" t="str">
        <x:v>À équilibrer</x:v>
      </x:c>
      <x:c r="J3515" s="115" t="str">
        <x:v>Non</x:v>
      </x:c>
      <x:c r="K3515" s="115" t="str">
        <x:v>Pièces décrites, murs, portes, niveaux et mobilier inspectables à l’échelle. Volumes réservés, raccord au seed, butin, rencontres et services de campagne restent à terminer.</x:v>
      </x:c>
    </x:row>
    <x:row r="3516" ht="96" customHeight="1">
      <x:c r="A3516" s="115" t="str">
        <x:v>EXT-MONDE-T071-V11</x:v>
      </x:c>
      <x:c r="B3516" s="115" t="str">
        <x:v>EXT-MONDE-T071</x:v>
      </x:c>
      <x:c r="C3516" s="115" t="str">
        <x:v>Aéroports</x:v>
      </x:c>
      <x:c r="D3516" s="115" t="str">
        <x:v>Aéroport de fret</x:v>
      </x:c>
      <x:c r="E3516" s="115" t="n">
        <x:v>11</x:v>
      </x:c>
      <x:c r="F3516" s="115" t="str">
        <x:v>Inspection physique</x:v>
      </x:c>
      <x:c r="G3516" s="115" t="str">
        <x:v>1 niveaux ; 36 pièces ; 265 segments de mur ; 0 transitions. Inspection physique ; architecture complète encore ouverte.</x:v>
      </x:c>
      <x:c r="H3516" s="115" t="str">
        <x:v>L 1100 ; l 2800 ; hauteur 30 m ; choix de composition auteur ; dimensions réelles à documenter</x:v>
      </x:c>
      <x:c r="I3516" s="115" t="str">
        <x:v>À équilibrer</x:v>
      </x:c>
      <x:c r="J3516" s="115" t="str">
        <x:v>Non</x:v>
      </x:c>
      <x:c r="K3516" s="115" t="str">
        <x:v>Pièces décrites, murs, portes, niveaux et mobilier inspectables à l’échelle. Volumes réservés, raccord au seed, butin, rencontres et services de campagne restent à terminer.</x:v>
      </x:c>
    </x:row>
    <x:row r="3517" ht="96" customHeight="1">
      <x:c r="A3517" s="115" t="str">
        <x:v>EXT-MONDE-T071-V12</x:v>
      </x:c>
      <x:c r="B3517" s="115" t="str">
        <x:v>EXT-MONDE-T071</x:v>
      </x:c>
      <x:c r="C3517" s="115" t="str">
        <x:v>Aéroports</x:v>
      </x:c>
      <x:c r="D3517" s="115" t="str">
        <x:v>Aéroport de fret</x:v>
      </x:c>
      <x:c r="E3517" s="115" t="n">
        <x:v>12</x:v>
      </x:c>
      <x:c r="F3517" s="115" t="str">
        <x:v>Inspection physique</x:v>
      </x:c>
      <x:c r="G3517" s="115" t="str">
        <x:v>1 niveaux ; 36 pièces ; 265 segments de mur ; 0 transitions. Inspection physique ; architecture complète encore ouverte.</x:v>
      </x:c>
      <x:c r="H3517" s="115" t="str">
        <x:v>L 1100 ; l 2800 ; hauteur 30 m ; choix de composition auteur ; dimensions réelles à documenter</x:v>
      </x:c>
      <x:c r="I3517" s="115" t="str">
        <x:v>À équilibrer</x:v>
      </x:c>
      <x:c r="J3517" s="115" t="str">
        <x:v>Non</x:v>
      </x:c>
      <x:c r="K3517" s="115" t="str">
        <x:v>Pièces décrites, murs, portes, niveaux et mobilier inspectables à l’échelle. Volumes réservés, raccord au seed, butin, rencontres et services de campagne restent à terminer.</x:v>
      </x:c>
    </x:row>
    <x:row r="3518" ht="96" customHeight="1">
      <x:c r="A3518" s="115" t="str">
        <x:v>EXT-MONDE-T071-V13</x:v>
      </x:c>
      <x:c r="B3518" s="115" t="str">
        <x:v>EXT-MONDE-T071</x:v>
      </x:c>
      <x:c r="C3518" s="115" t="str">
        <x:v>Aéroports</x:v>
      </x:c>
      <x:c r="D3518" s="115" t="str">
        <x:v>Aéroport de fret</x:v>
      </x:c>
      <x:c r="E3518" s="115" t="n">
        <x:v>13</x:v>
      </x:c>
      <x:c r="F3518" s="115" t="str">
        <x:v>Inspection physique</x:v>
      </x:c>
      <x:c r="G3518" s="115" t="str">
        <x:v>1 niveaux ; 36 pièces ; 265 segments de mur ; 0 transitions. Inspection physique ; architecture complète encore ouverte.</x:v>
      </x:c>
      <x:c r="H3518" s="115" t="str">
        <x:v>L 1100 ; l 2800 ; hauteur 30 m ; choix de composition auteur ; dimensions réelles à documenter</x:v>
      </x:c>
      <x:c r="I3518" s="115" t="str">
        <x:v>À équilibrer</x:v>
      </x:c>
      <x:c r="J3518" s="115" t="str">
        <x:v>Non</x:v>
      </x:c>
      <x:c r="K3518" s="115" t="str">
        <x:v>Pièces décrites, murs, portes, niveaux et mobilier inspectables à l’échelle. Volumes réservés, raccord au seed, butin, rencontres et services de campagne restent à terminer.</x:v>
      </x:c>
    </x:row>
    <x:row r="3519" ht="96" customHeight="1">
      <x:c r="A3519" s="115" t="str">
        <x:v>EXT-MONDE-T071-V14</x:v>
      </x:c>
      <x:c r="B3519" s="115" t="str">
        <x:v>EXT-MONDE-T071</x:v>
      </x:c>
      <x:c r="C3519" s="115" t="str">
        <x:v>Aéroports</x:v>
      </x:c>
      <x:c r="D3519" s="115" t="str">
        <x:v>Aéroport de fret</x:v>
      </x:c>
      <x:c r="E3519" s="115" t="n">
        <x:v>14</x:v>
      </x:c>
      <x:c r="F3519" s="115" t="str">
        <x:v>Inspection physique</x:v>
      </x:c>
      <x:c r="G3519" s="115" t="str">
        <x:v>1 niveaux ; 36 pièces ; 265 segments de mur ; 0 transitions. Inspection physique ; architecture complète encore ouverte.</x:v>
      </x:c>
      <x:c r="H3519" s="115" t="str">
        <x:v>L 1100 ; l 2800 ; hauteur 30 m ; choix de composition auteur ; dimensions réelles à documenter</x:v>
      </x:c>
      <x:c r="I3519" s="115" t="str">
        <x:v>À équilibrer</x:v>
      </x:c>
      <x:c r="J3519" s="115" t="str">
        <x:v>Non</x:v>
      </x:c>
      <x:c r="K3519" s="115" t="str">
        <x:v>Pièces décrites, murs, portes, niveaux et mobilier inspectables à l’échelle. Volumes réservés, raccord au seed, butin, rencontres et services de campagne restent à terminer.</x:v>
      </x:c>
    </x:row>
    <x:row r="3520" ht="96" customHeight="1">
      <x:c r="A3520" s="115" t="str">
        <x:v>EXT-MONDE-T071-V15</x:v>
      </x:c>
      <x:c r="B3520" s="115" t="str">
        <x:v>EXT-MONDE-T071</x:v>
      </x:c>
      <x:c r="C3520" s="115" t="str">
        <x:v>Aéroports</x:v>
      </x:c>
      <x:c r="D3520" s="115" t="str">
        <x:v>Aéroport de fret</x:v>
      </x:c>
      <x:c r="E3520" s="115" t="n">
        <x:v>15</x:v>
      </x:c>
      <x:c r="F3520" s="115" t="str">
        <x:v>Inspection physique</x:v>
      </x:c>
      <x:c r="G3520" s="115" t="str">
        <x:v>1 niveaux ; 36 pièces ; 265 segments de mur ; 0 transitions. Inspection physique ; architecture complète encore ouverte.</x:v>
      </x:c>
      <x:c r="H3520" s="115" t="str">
        <x:v>L 1100 ; l 2800 ; hauteur 30 m ; choix de composition auteur ; dimensions réelles à documenter</x:v>
      </x:c>
      <x:c r="I3520" s="115" t="str">
        <x:v>À équilibrer</x:v>
      </x:c>
      <x:c r="J3520" s="115" t="str">
        <x:v>Non</x:v>
      </x:c>
      <x:c r="K3520" s="115" t="str">
        <x:v>Pièces décrites, murs, portes, niveaux et mobilier inspectables à l’échelle. Volumes réservés, raccord au seed, butin, rencontres et services de campagne restent à terminer.</x:v>
      </x:c>
    </x:row>
    <x:row r="3521" ht="96" customHeight="1">
      <x:c r="A3521" s="115" t="str">
        <x:v>EXT-MONDE-T071-V16</x:v>
      </x:c>
      <x:c r="B3521" s="115" t="str">
        <x:v>EXT-MONDE-T071</x:v>
      </x:c>
      <x:c r="C3521" s="115" t="str">
        <x:v>Aéroports</x:v>
      </x:c>
      <x:c r="D3521" s="115" t="str">
        <x:v>Aéroport de fret</x:v>
      </x:c>
      <x:c r="E3521" s="115" t="n">
        <x:v>16</x:v>
      </x:c>
      <x:c r="F3521" s="115" t="str">
        <x:v>Inspection physique</x:v>
      </x:c>
      <x:c r="G3521" s="115" t="str">
        <x:v>1 niveaux ; 36 pièces ; 265 segments de mur ; 0 transitions. Inspection physique ; architecture complète encore ouverte.</x:v>
      </x:c>
      <x:c r="H3521" s="115" t="str">
        <x:v>L 1100 ; l 2800 ; hauteur 30 m ; choix de composition auteur ; dimensions réelles à documenter</x:v>
      </x:c>
      <x:c r="I3521" s="115" t="str">
        <x:v>À équilibrer</x:v>
      </x:c>
      <x:c r="J3521" s="115" t="str">
        <x:v>Non</x:v>
      </x:c>
      <x:c r="K3521" s="115" t="str">
        <x:v>Pièces décrites, murs, portes, niveaux et mobilier inspectables à l’échelle. Volumes réservés, raccord au seed, butin, rencontres et services de campagne restent à terminer.</x:v>
      </x:c>
    </x:row>
    <x:row r="3522" ht="96" customHeight="1">
      <x:c r="A3522" s="115" t="str">
        <x:v>EXT-MONDE-T071-V17</x:v>
      </x:c>
      <x:c r="B3522" s="115" t="str">
        <x:v>EXT-MONDE-T071</x:v>
      </x:c>
      <x:c r="C3522" s="115" t="str">
        <x:v>Aéroports</x:v>
      </x:c>
      <x:c r="D3522" s="115" t="str">
        <x:v>Aéroport de fret</x:v>
      </x:c>
      <x:c r="E3522" s="115" t="n">
        <x:v>17</x:v>
      </x:c>
      <x:c r="F3522" s="115" t="str">
        <x:v>Inspection physique</x:v>
      </x:c>
      <x:c r="G3522" s="115" t="str">
        <x:v>1 niveaux ; 36 pièces ; 265 segments de mur ; 0 transitions. Inspection physique ; architecture complète encore ouverte.</x:v>
      </x:c>
      <x:c r="H3522" s="115" t="str">
        <x:v>L 1100 ; l 2800 ; hauteur 30 m ; choix de composition auteur ; dimensions réelles à documenter</x:v>
      </x:c>
      <x:c r="I3522" s="115" t="str">
        <x:v>À équilibrer</x:v>
      </x:c>
      <x:c r="J3522" s="115" t="str">
        <x:v>Non</x:v>
      </x:c>
      <x:c r="K3522" s="115" t="str">
        <x:v>Pièces décrites, murs, portes, niveaux et mobilier inspectables à l’échelle. Volumes réservés, raccord au seed, butin, rencontres et services de campagne restent à terminer.</x:v>
      </x:c>
    </x:row>
    <x:row r="3523" ht="96" customHeight="1">
      <x:c r="A3523" s="115" t="str">
        <x:v>EXT-MONDE-T071-V18</x:v>
      </x:c>
      <x:c r="B3523" s="115" t="str">
        <x:v>EXT-MONDE-T071</x:v>
      </x:c>
      <x:c r="C3523" s="115" t="str">
        <x:v>Aéroports</x:v>
      </x:c>
      <x:c r="D3523" s="115" t="str">
        <x:v>Aéroport de fret</x:v>
      </x:c>
      <x:c r="E3523" s="115" t="n">
        <x:v>18</x:v>
      </x:c>
      <x:c r="F3523" s="115" t="str">
        <x:v>Inspection physique</x:v>
      </x:c>
      <x:c r="G3523" s="115" t="str">
        <x:v>1 niveaux ; 36 pièces ; 265 segments de mur ; 0 transitions. Inspection physique ; architecture complète encore ouverte.</x:v>
      </x:c>
      <x:c r="H3523" s="115" t="str">
        <x:v>L 1100 ; l 2800 ; hauteur 30 m ; choix de composition auteur ; dimensions réelles à documenter</x:v>
      </x:c>
      <x:c r="I3523" s="115" t="str">
        <x:v>À équilibrer</x:v>
      </x:c>
      <x:c r="J3523" s="115" t="str">
        <x:v>Non</x:v>
      </x:c>
      <x:c r="K3523" s="115" t="str">
        <x:v>Pièces décrites, murs, portes, niveaux et mobilier inspectables à l’échelle. Volumes réservés, raccord au seed, butin, rencontres et services de campagne restent à terminer.</x:v>
      </x:c>
    </x:row>
    <x:row r="3524" ht="96" customHeight="1">
      <x:c r="A3524" s="115" t="str">
        <x:v>EXT-MONDE-T071-V19</x:v>
      </x:c>
      <x:c r="B3524" s="115" t="str">
        <x:v>EXT-MONDE-T071</x:v>
      </x:c>
      <x:c r="C3524" s="115" t="str">
        <x:v>Aéroports</x:v>
      </x:c>
      <x:c r="D3524" s="115" t="str">
        <x:v>Aéroport de fret</x:v>
      </x:c>
      <x:c r="E3524" s="115" t="n">
        <x:v>19</x:v>
      </x:c>
      <x:c r="F3524" s="115" t="str">
        <x:v>Inspection physique</x:v>
      </x:c>
      <x:c r="G3524" s="115" t="str">
        <x:v>1 niveaux ; 36 pièces ; 265 segments de mur ; 0 transitions. Inspection physique ; architecture complète encore ouverte.</x:v>
      </x:c>
      <x:c r="H3524" s="115" t="str">
        <x:v>L 1100 ; l 2800 ; hauteur 30 m ; choix de composition auteur ; dimensions réelles à documenter</x:v>
      </x:c>
      <x:c r="I3524" s="115" t="str">
        <x:v>À équilibrer</x:v>
      </x:c>
      <x:c r="J3524" s="115" t="str">
        <x:v>Non</x:v>
      </x:c>
      <x:c r="K3524" s="115" t="str">
        <x:v>Pièces décrites, murs, portes, niveaux et mobilier inspectables à l’échelle. Volumes réservés, raccord au seed, butin, rencontres et services de campagne restent à terminer.</x:v>
      </x:c>
    </x:row>
    <x:row r="3525" ht="96" customHeight="1">
      <x:c r="A3525" s="115" t="str">
        <x:v>EXT-MONDE-T071-V20</x:v>
      </x:c>
      <x:c r="B3525" s="115" t="str">
        <x:v>EXT-MONDE-T071</x:v>
      </x:c>
      <x:c r="C3525" s="115" t="str">
        <x:v>Aéroports</x:v>
      </x:c>
      <x:c r="D3525" s="115" t="str">
        <x:v>Aéroport de fret</x:v>
      </x:c>
      <x:c r="E3525" s="115" t="n">
        <x:v>20</x:v>
      </x:c>
      <x:c r="F3525" s="115" t="str">
        <x:v>Inspection physique</x:v>
      </x:c>
      <x:c r="G3525" s="115" t="str">
        <x:v>1 niveaux ; 36 pièces ; 265 segments de mur ; 0 transitions. Inspection physique ; architecture complète encore ouverte.</x:v>
      </x:c>
      <x:c r="H3525" s="115" t="str">
        <x:v>L 1100 ; l 2800 ; hauteur 30 m ; choix de composition auteur ; dimensions réelles à documenter</x:v>
      </x:c>
      <x:c r="I3525" s="115" t="str">
        <x:v>À équilibrer</x:v>
      </x:c>
      <x:c r="J3525" s="115" t="str">
        <x:v>Non</x:v>
      </x:c>
      <x:c r="K3525" s="115" t="str">
        <x:v>Pièces décrites, murs, portes, niveaux et mobilier inspectables à l’échelle. Volumes réservés, raccord au seed, butin, rencontres et services de campagne restent à terminer.</x:v>
      </x:c>
    </x:row>
    <x:row r="3526" ht="96" customHeight="1">
      <x:c r="A3526" s="115" t="str">
        <x:v>EXT-MONDE-T071-V21</x:v>
      </x:c>
      <x:c r="B3526" s="115" t="str">
        <x:v>EXT-MONDE-T071</x:v>
      </x:c>
      <x:c r="C3526" s="115" t="str">
        <x:v>Aéroports</x:v>
      </x:c>
      <x:c r="D3526" s="115" t="str">
        <x:v>Aéroport de fret</x:v>
      </x:c>
      <x:c r="E3526" s="115" t="n">
        <x:v>21</x:v>
      </x:c>
      <x:c r="F3526" s="115" t="str">
        <x:v>Inspection physique</x:v>
      </x:c>
      <x:c r="G3526" s="115" t="str">
        <x:v>1 niveaux ; 36 pièces ; 265 segments de mur ; 0 transitions. Inspection physique ; architecture complète encore ouverte.</x:v>
      </x:c>
      <x:c r="H3526" s="115" t="str">
        <x:v>L 1100 ; l 3000 ; hauteur 32 m ; choix de composition auteur ; dimensions réelles à documenter</x:v>
      </x:c>
      <x:c r="I3526" s="115" t="str">
        <x:v>À équilibrer</x:v>
      </x:c>
      <x:c r="J3526" s="115" t="str">
        <x:v>Non</x:v>
      </x:c>
      <x:c r="K3526" s="115" t="str">
        <x:v>Pièces décrites, murs, portes, niveaux et mobilier inspectables à l’échelle. Volumes réservés, raccord au seed, butin, rencontres et services de campagne restent à terminer.</x:v>
      </x:c>
    </x:row>
    <x:row r="3527" ht="96" customHeight="1">
      <x:c r="A3527" s="115" t="str">
        <x:v>EXT-MONDE-T071-V22</x:v>
      </x:c>
      <x:c r="B3527" s="115" t="str">
        <x:v>EXT-MONDE-T071</x:v>
      </x:c>
      <x:c r="C3527" s="115" t="str">
        <x:v>Aéroports</x:v>
      </x:c>
      <x:c r="D3527" s="115" t="str">
        <x:v>Aéroport de fret</x:v>
      </x:c>
      <x:c r="E3527" s="115" t="n">
        <x:v>22</x:v>
      </x:c>
      <x:c r="F3527" s="115" t="str">
        <x:v>Inspection physique</x:v>
      </x:c>
      <x:c r="G3527" s="115" t="str">
        <x:v>1 niveaux ; 36 pièces ; 265 segments de mur ; 0 transitions. Inspection physique ; architecture complète encore ouverte.</x:v>
      </x:c>
      <x:c r="H3527" s="115" t="str">
        <x:v>L 1100 ; l 3000 ; hauteur 32 m ; choix de composition auteur ; dimensions réelles à documenter</x:v>
      </x:c>
      <x:c r="I3527" s="115" t="str">
        <x:v>À équilibrer</x:v>
      </x:c>
      <x:c r="J3527" s="115" t="str">
        <x:v>Non</x:v>
      </x:c>
      <x:c r="K3527" s="115" t="str">
        <x:v>Pièces décrites, murs, portes, niveaux et mobilier inspectables à l’échelle. Volumes réservés, raccord au seed, butin, rencontres et services de campagne restent à terminer.</x:v>
      </x:c>
    </x:row>
    <x:row r="3528" ht="96" customHeight="1">
      <x:c r="A3528" s="115" t="str">
        <x:v>EXT-MONDE-T071-V23</x:v>
      </x:c>
      <x:c r="B3528" s="115" t="str">
        <x:v>EXT-MONDE-T071</x:v>
      </x:c>
      <x:c r="C3528" s="115" t="str">
        <x:v>Aéroports</x:v>
      </x:c>
      <x:c r="D3528" s="115" t="str">
        <x:v>Aéroport de fret</x:v>
      </x:c>
      <x:c r="E3528" s="115" t="n">
        <x:v>23</x:v>
      </x:c>
      <x:c r="F3528" s="115" t="str">
        <x:v>Inspection physique</x:v>
      </x:c>
      <x:c r="G3528" s="115" t="str">
        <x:v>1 niveaux ; 36 pièces ; 265 segments de mur ; 0 transitions. Inspection physique ; architecture complète encore ouverte.</x:v>
      </x:c>
      <x:c r="H3528" s="115" t="str">
        <x:v>L 1100 ; l 3000 ; hauteur 32 m ; choix de composition auteur ; dimensions réelles à documenter</x:v>
      </x:c>
      <x:c r="I3528" s="115" t="str">
        <x:v>À équilibrer</x:v>
      </x:c>
      <x:c r="J3528" s="115" t="str">
        <x:v>Non</x:v>
      </x:c>
      <x:c r="K3528" s="115" t="str">
        <x:v>Pièces décrites, murs, portes, niveaux et mobilier inspectables à l’échelle. Volumes réservés, raccord au seed, butin, rencontres et services de campagne restent à terminer.</x:v>
      </x:c>
    </x:row>
    <x:row r="3529" ht="96" customHeight="1">
      <x:c r="A3529" s="115" t="str">
        <x:v>EXT-MONDE-T071-V24</x:v>
      </x:c>
      <x:c r="B3529" s="115" t="str">
        <x:v>EXT-MONDE-T071</x:v>
      </x:c>
      <x:c r="C3529" s="115" t="str">
        <x:v>Aéroports</x:v>
      </x:c>
      <x:c r="D3529" s="115" t="str">
        <x:v>Aéroport de fret</x:v>
      </x:c>
      <x:c r="E3529" s="115" t="n">
        <x:v>24</x:v>
      </x:c>
      <x:c r="F3529" s="115" t="str">
        <x:v>Inspection physique</x:v>
      </x:c>
      <x:c r="G3529" s="115" t="str">
        <x:v>1 niveaux ; 36 pièces ; 265 segments de mur ; 0 transitions. Inspection physique ; architecture complète encore ouverte.</x:v>
      </x:c>
      <x:c r="H3529" s="115" t="str">
        <x:v>L 1100 ; l 3000 ; hauteur 32 m ; choix de composition auteur ; dimensions réelles à documenter</x:v>
      </x:c>
      <x:c r="I3529" s="115" t="str">
        <x:v>À équilibrer</x:v>
      </x:c>
      <x:c r="J3529" s="115" t="str">
        <x:v>Non</x:v>
      </x:c>
      <x:c r="K3529" s="115" t="str">
        <x:v>Pièces décrites, murs, portes, niveaux et mobilier inspectables à l’échelle. Volumes réservés, raccord au seed, butin, rencontres et services de campagne restent à terminer.</x:v>
      </x:c>
    </x:row>
    <x:row r="3530" ht="96" customHeight="1">
      <x:c r="A3530" s="115" t="str">
        <x:v>EXT-MONDE-T071-V25</x:v>
      </x:c>
      <x:c r="B3530" s="115" t="str">
        <x:v>EXT-MONDE-T071</x:v>
      </x:c>
      <x:c r="C3530" s="115" t="str">
        <x:v>Aéroports</x:v>
      </x:c>
      <x:c r="D3530" s="115" t="str">
        <x:v>Aéroport de fret</x:v>
      </x:c>
      <x:c r="E3530" s="115" t="n">
        <x:v>25</x:v>
      </x:c>
      <x:c r="F3530" s="115" t="str">
        <x:v>Inspection physique</x:v>
      </x:c>
      <x:c r="G3530" s="115" t="str">
        <x:v>1 niveaux ; 36 pièces ; 265 segments de mur ; 0 transitions. Inspection physique ; architecture complète encore ouverte.</x:v>
      </x:c>
      <x:c r="H3530" s="115" t="str">
        <x:v>L 1100 ; l 3000 ; hauteur 32 m ; choix de composition auteur ; dimensions réelles à documenter</x:v>
      </x:c>
      <x:c r="I3530" s="115" t="str">
        <x:v>À équilibrer</x:v>
      </x:c>
      <x:c r="J3530" s="115" t="str">
        <x:v>Non</x:v>
      </x:c>
      <x:c r="K3530" s="115" t="str">
        <x:v>Pièces décrites, murs, portes, niveaux et mobilier inspectables à l’échelle. Volumes réservés, raccord au seed, butin, rencontres et services de campagne restent à terminer.</x:v>
      </x:c>
    </x:row>
    <x:row r="3531" ht="96" customHeight="1">
      <x:c r="A3531" s="115" t="str">
        <x:v>EXT-MONDE-T071-V26</x:v>
      </x:c>
      <x:c r="B3531" s="115" t="str">
        <x:v>EXT-MONDE-T071</x:v>
      </x:c>
      <x:c r="C3531" s="115" t="str">
        <x:v>Aéroports</x:v>
      </x:c>
      <x:c r="D3531" s="115" t="str">
        <x:v>Aéroport de fret</x:v>
      </x:c>
      <x:c r="E3531" s="115" t="n">
        <x:v>26</x:v>
      </x:c>
      <x:c r="F3531" s="115" t="str">
        <x:v>Inspection physique</x:v>
      </x:c>
      <x:c r="G3531" s="115" t="str">
        <x:v>1 niveaux ; 36 pièces ; 265 segments de mur ; 0 transitions. Inspection physique ; architecture complète encore ouverte.</x:v>
      </x:c>
      <x:c r="H3531" s="115" t="str">
        <x:v>L 1100 ; l 3000 ; hauteur 32 m ; choix de composition auteur ; dimensions réelles à documenter</x:v>
      </x:c>
      <x:c r="I3531" s="115" t="str">
        <x:v>À équilibrer</x:v>
      </x:c>
      <x:c r="J3531" s="115" t="str">
        <x:v>Non</x:v>
      </x:c>
      <x:c r="K3531" s="115" t="str">
        <x:v>Pièces décrites, murs, portes, niveaux et mobilier inspectables à l’échelle. Volumes réservés, raccord au seed, butin, rencontres et services de campagne restent à terminer.</x:v>
      </x:c>
    </x:row>
    <x:row r="3532" ht="96" customHeight="1">
      <x:c r="A3532" s="115" t="str">
        <x:v>EXT-MONDE-T071-V27</x:v>
      </x:c>
      <x:c r="B3532" s="115" t="str">
        <x:v>EXT-MONDE-T071</x:v>
      </x:c>
      <x:c r="C3532" s="115" t="str">
        <x:v>Aéroports</x:v>
      </x:c>
      <x:c r="D3532" s="115" t="str">
        <x:v>Aéroport de fret</x:v>
      </x:c>
      <x:c r="E3532" s="115" t="n">
        <x:v>27</x:v>
      </x:c>
      <x:c r="F3532" s="115" t="str">
        <x:v>Inspection physique</x:v>
      </x:c>
      <x:c r="G3532" s="115" t="str">
        <x:v>1 niveaux ; 36 pièces ; 265 segments de mur ; 0 transitions. Inspection physique ; architecture complète encore ouverte.</x:v>
      </x:c>
      <x:c r="H3532" s="115" t="str">
        <x:v>L 1100 ; l 3000 ; hauteur 32 m ; choix de composition auteur ; dimensions réelles à documenter</x:v>
      </x:c>
      <x:c r="I3532" s="115" t="str">
        <x:v>À équilibrer</x:v>
      </x:c>
      <x:c r="J3532" s="115" t="str">
        <x:v>Non</x:v>
      </x:c>
      <x:c r="K3532" s="115" t="str">
        <x:v>Pièces décrites, murs, portes, niveaux et mobilier inspectables à l’échelle. Volumes réservés, raccord au seed, butin, rencontres et services de campagne restent à terminer.</x:v>
      </x:c>
    </x:row>
    <x:row r="3533" ht="96" customHeight="1">
      <x:c r="A3533" s="115" t="str">
        <x:v>EXT-MONDE-T071-V28</x:v>
      </x:c>
      <x:c r="B3533" s="115" t="str">
        <x:v>EXT-MONDE-T071</x:v>
      </x:c>
      <x:c r="C3533" s="115" t="str">
        <x:v>Aéroports</x:v>
      </x:c>
      <x:c r="D3533" s="115" t="str">
        <x:v>Aéroport de fret</x:v>
      </x:c>
      <x:c r="E3533" s="115" t="n">
        <x:v>28</x:v>
      </x:c>
      <x:c r="F3533" s="115" t="str">
        <x:v>Inspection physique</x:v>
      </x:c>
      <x:c r="G3533" s="115" t="str">
        <x:v>1 niveaux ; 36 pièces ; 265 segments de mur ; 0 transitions. Inspection physique ; architecture complète encore ouverte.</x:v>
      </x:c>
      <x:c r="H3533" s="115" t="str">
        <x:v>L 1100 ; l 3000 ; hauteur 32 m ; choix de composition auteur ; dimensions réelles à documenter</x:v>
      </x:c>
      <x:c r="I3533" s="115" t="str">
        <x:v>À équilibrer</x:v>
      </x:c>
      <x:c r="J3533" s="115" t="str">
        <x:v>Non</x:v>
      </x:c>
      <x:c r="K3533" s="115" t="str">
        <x:v>Pièces décrites, murs, portes, niveaux et mobilier inspectables à l’échelle. Volumes réservés, raccord au seed, butin, rencontres et services de campagne restent à terminer.</x:v>
      </x:c>
    </x:row>
    <x:row r="3534" ht="96" customHeight="1">
      <x:c r="A3534" s="115" t="str">
        <x:v>EXT-MONDE-T071-V29</x:v>
      </x:c>
      <x:c r="B3534" s="115" t="str">
        <x:v>EXT-MONDE-T071</x:v>
      </x:c>
      <x:c r="C3534" s="115" t="str">
        <x:v>Aéroports</x:v>
      </x:c>
      <x:c r="D3534" s="115" t="str">
        <x:v>Aéroport de fret</x:v>
      </x:c>
      <x:c r="E3534" s="115" t="n">
        <x:v>29</x:v>
      </x:c>
      <x:c r="F3534" s="115" t="str">
        <x:v>Inspection physique</x:v>
      </x:c>
      <x:c r="G3534" s="115" t="str">
        <x:v>1 niveaux ; 36 pièces ; 265 segments de mur ; 0 transitions. Inspection physique ; architecture complète encore ouverte.</x:v>
      </x:c>
      <x:c r="H3534" s="115" t="str">
        <x:v>L 1100 ; l 3000 ; hauteur 32 m ; choix de composition auteur ; dimensions réelles à documenter</x:v>
      </x:c>
      <x:c r="I3534" s="115" t="str">
        <x:v>À équilibrer</x:v>
      </x:c>
      <x:c r="J3534" s="115" t="str">
        <x:v>Non</x:v>
      </x:c>
      <x:c r="K3534" s="115" t="str">
        <x:v>Pièces décrites, murs, portes, niveaux et mobilier inspectables à l’échelle. Volumes réservés, raccord au seed, butin, rencontres et services de campagne restent à terminer.</x:v>
      </x:c>
    </x:row>
    <x:row r="3535" ht="96" customHeight="1">
      <x:c r="A3535" s="115" t="str">
        <x:v>EXT-MONDE-T071-V30</x:v>
      </x:c>
      <x:c r="B3535" s="115" t="str">
        <x:v>EXT-MONDE-T071</x:v>
      </x:c>
      <x:c r="C3535" s="115" t="str">
        <x:v>Aéroports</x:v>
      </x:c>
      <x:c r="D3535" s="115" t="str">
        <x:v>Aéroport de fret</x:v>
      </x:c>
      <x:c r="E3535" s="115" t="n">
        <x:v>30</x:v>
      </x:c>
      <x:c r="F3535" s="115" t="str">
        <x:v>Inspection physique</x:v>
      </x:c>
      <x:c r="G3535" s="115" t="str">
        <x:v>1 niveaux ; 36 pièces ; 265 segments de mur ; 0 transitions. Inspection physique ; architecture complète encore ouverte.</x:v>
      </x:c>
      <x:c r="H3535" s="115" t="str">
        <x:v>L 1100 ; l 3000 ; hauteur 32 m ; choix de composition auteur ; dimensions réelles à documenter</x:v>
      </x:c>
      <x:c r="I3535" s="115" t="str">
        <x:v>À équilibrer</x:v>
      </x:c>
      <x:c r="J3535" s="115" t="str">
        <x:v>Non</x:v>
      </x:c>
      <x:c r="K3535" s="115" t="str">
        <x:v>Pièces décrites, murs, portes, niveaux et mobilier inspectables à l’échelle. Volumes réservés, raccord au seed, butin, rencontres et services de campagne restent à terminer.</x:v>
      </x:c>
    </x:row>
    <x:row r="3536" ht="96" customHeight="1">
      <x:c r="A3536" s="115" t="str">
        <x:v>EXT-MONDE-T071-V31</x:v>
      </x:c>
      <x:c r="B3536" s="115" t="str">
        <x:v>EXT-MONDE-T071</x:v>
      </x:c>
      <x:c r="C3536" s="115" t="str">
        <x:v>Aéroports</x:v>
      </x:c>
      <x:c r="D3536" s="115" t="str">
        <x:v>Aéroport de fret</x:v>
      </x:c>
      <x:c r="E3536" s="115" t="n">
        <x:v>31</x:v>
      </x:c>
      <x:c r="F3536" s="115" t="str">
        <x:v>Inspection physique</x:v>
      </x:c>
      <x:c r="G3536" s="115" t="str">
        <x:v>1 niveaux ; 36 pièces ; 265 segments de mur ; 0 transitions. Inspection physique ; architecture complète encore ouverte.</x:v>
      </x:c>
      <x:c r="H3536" s="115" t="str">
        <x:v>L 1100 ; l 3200 ; hauteur 34 m ; choix de composition auteur ; dimensions réelles à documenter</x:v>
      </x:c>
      <x:c r="I3536" s="115" t="str">
        <x:v>À équilibrer</x:v>
      </x:c>
      <x:c r="J3536" s="115" t="str">
        <x:v>Non</x:v>
      </x:c>
      <x:c r="K3536" s="115" t="str">
        <x:v>Pièces décrites, murs, portes, niveaux et mobilier inspectables à l’échelle. Volumes réservés, raccord au seed, butin, rencontres et services de campagne restent à terminer.</x:v>
      </x:c>
    </x:row>
    <x:row r="3537" ht="96" customHeight="1">
      <x:c r="A3537" s="115" t="str">
        <x:v>EXT-MONDE-T071-V32</x:v>
      </x:c>
      <x:c r="B3537" s="115" t="str">
        <x:v>EXT-MONDE-T071</x:v>
      </x:c>
      <x:c r="C3537" s="115" t="str">
        <x:v>Aéroports</x:v>
      </x:c>
      <x:c r="D3537" s="115" t="str">
        <x:v>Aéroport de fret</x:v>
      </x:c>
      <x:c r="E3537" s="115" t="n">
        <x:v>32</x:v>
      </x:c>
      <x:c r="F3537" s="115" t="str">
        <x:v>Inspection physique</x:v>
      </x:c>
      <x:c r="G3537" s="115" t="str">
        <x:v>1 niveaux ; 36 pièces ; 265 segments de mur ; 0 transitions. Inspection physique ; architecture complète encore ouverte.</x:v>
      </x:c>
      <x:c r="H3537" s="115" t="str">
        <x:v>L 1100 ; l 3200 ; hauteur 34 m ; choix de composition auteur ; dimensions réelles à documenter</x:v>
      </x:c>
      <x:c r="I3537" s="115" t="str">
        <x:v>À équilibrer</x:v>
      </x:c>
      <x:c r="J3537" s="115" t="str">
        <x:v>Non</x:v>
      </x:c>
      <x:c r="K3537" s="115" t="str">
        <x:v>Pièces décrites, murs, portes, niveaux et mobilier inspectables à l’échelle. Volumes réservés, raccord au seed, butin, rencontres et services de campagne restent à terminer.</x:v>
      </x:c>
    </x:row>
    <x:row r="3538" ht="96" customHeight="1">
      <x:c r="A3538" s="115" t="str">
        <x:v>EXT-MONDE-T071-V33</x:v>
      </x:c>
      <x:c r="B3538" s="115" t="str">
        <x:v>EXT-MONDE-T071</x:v>
      </x:c>
      <x:c r="C3538" s="115" t="str">
        <x:v>Aéroports</x:v>
      </x:c>
      <x:c r="D3538" s="115" t="str">
        <x:v>Aéroport de fret</x:v>
      </x:c>
      <x:c r="E3538" s="115" t="n">
        <x:v>33</x:v>
      </x:c>
      <x:c r="F3538" s="115" t="str">
        <x:v>Inspection physique</x:v>
      </x:c>
      <x:c r="G3538" s="115" t="str">
        <x:v>1 niveaux ; 36 pièces ; 265 segments de mur ; 0 transitions. Inspection physique ; architecture complète encore ouverte.</x:v>
      </x:c>
      <x:c r="H3538" s="115" t="str">
        <x:v>L 1100 ; l 3200 ; hauteur 34 m ; choix de composition auteur ; dimensions réelles à documenter</x:v>
      </x:c>
      <x:c r="I3538" s="115" t="str">
        <x:v>À équilibrer</x:v>
      </x:c>
      <x:c r="J3538" s="115" t="str">
        <x:v>Non</x:v>
      </x:c>
      <x:c r="K3538" s="115" t="str">
        <x:v>Pièces décrites, murs, portes, niveaux et mobilier inspectables à l’échelle. Volumes réservés, raccord au seed, butin, rencontres et services de campagne restent à terminer.</x:v>
      </x:c>
    </x:row>
    <x:row r="3539" ht="96" customHeight="1">
      <x:c r="A3539" s="115" t="str">
        <x:v>EXT-MONDE-T071-V34</x:v>
      </x:c>
      <x:c r="B3539" s="115" t="str">
        <x:v>EXT-MONDE-T071</x:v>
      </x:c>
      <x:c r="C3539" s="115" t="str">
        <x:v>Aéroports</x:v>
      </x:c>
      <x:c r="D3539" s="115" t="str">
        <x:v>Aéroport de fret</x:v>
      </x:c>
      <x:c r="E3539" s="115" t="n">
        <x:v>34</x:v>
      </x:c>
      <x:c r="F3539" s="115" t="str">
        <x:v>Inspection physique</x:v>
      </x:c>
      <x:c r="G3539" s="115" t="str">
        <x:v>1 niveaux ; 36 pièces ; 265 segments de mur ; 0 transitions. Inspection physique ; architecture complète encore ouverte.</x:v>
      </x:c>
      <x:c r="H3539" s="115" t="str">
        <x:v>L 1100 ; l 3200 ; hauteur 34 m ; choix de composition auteur ; dimensions réelles à documenter</x:v>
      </x:c>
      <x:c r="I3539" s="115" t="str">
        <x:v>À équilibrer</x:v>
      </x:c>
      <x:c r="J3539" s="115" t="str">
        <x:v>Non</x:v>
      </x:c>
      <x:c r="K3539" s="115" t="str">
        <x:v>Pièces décrites, murs, portes, niveaux et mobilier inspectables à l’échelle. Volumes réservés, raccord au seed, butin, rencontres et services de campagne restent à terminer.</x:v>
      </x:c>
    </x:row>
    <x:row r="3540" ht="96" customHeight="1">
      <x:c r="A3540" s="115" t="str">
        <x:v>EXT-MONDE-T071-V35</x:v>
      </x:c>
      <x:c r="B3540" s="115" t="str">
        <x:v>EXT-MONDE-T071</x:v>
      </x:c>
      <x:c r="C3540" s="115" t="str">
        <x:v>Aéroports</x:v>
      </x:c>
      <x:c r="D3540" s="115" t="str">
        <x:v>Aéroport de fret</x:v>
      </x:c>
      <x:c r="E3540" s="115" t="n">
        <x:v>35</x:v>
      </x:c>
      <x:c r="F3540" s="115" t="str">
        <x:v>Inspection physique</x:v>
      </x:c>
      <x:c r="G3540" s="115" t="str">
        <x:v>1 niveaux ; 36 pièces ; 265 segments de mur ; 0 transitions. Inspection physique ; architecture complète encore ouverte.</x:v>
      </x:c>
      <x:c r="H3540" s="115" t="str">
        <x:v>L 1100 ; l 3200 ; hauteur 34 m ; choix de composition auteur ; dimensions réelles à documenter</x:v>
      </x:c>
      <x:c r="I3540" s="115" t="str">
        <x:v>À équilibrer</x:v>
      </x:c>
      <x:c r="J3540" s="115" t="str">
        <x:v>Non</x:v>
      </x:c>
      <x:c r="K3540" s="115" t="str">
        <x:v>Pièces décrites, murs, portes, niveaux et mobilier inspectables à l’échelle. Volumes réservés, raccord au seed, butin, rencontres et services de campagne restent à terminer.</x:v>
      </x:c>
    </x:row>
    <x:row r="3541" ht="96" customHeight="1">
      <x:c r="A3541" s="115" t="str">
        <x:v>EXT-MONDE-T071-V36</x:v>
      </x:c>
      <x:c r="B3541" s="115" t="str">
        <x:v>EXT-MONDE-T071</x:v>
      </x:c>
      <x:c r="C3541" s="115" t="str">
        <x:v>Aéroports</x:v>
      </x:c>
      <x:c r="D3541" s="115" t="str">
        <x:v>Aéroport de fret</x:v>
      </x:c>
      <x:c r="E3541" s="115" t="n">
        <x:v>36</x:v>
      </x:c>
      <x:c r="F3541" s="115" t="str">
        <x:v>Inspection physique</x:v>
      </x:c>
      <x:c r="G3541" s="115" t="str">
        <x:v>1 niveaux ; 36 pièces ; 265 segments de mur ; 0 transitions. Inspection physique ; architecture complète encore ouverte.</x:v>
      </x:c>
      <x:c r="H3541" s="115" t="str">
        <x:v>L 1100 ; l 3200 ; hauteur 34 m ; choix de composition auteur ; dimensions réelles à documenter</x:v>
      </x:c>
      <x:c r="I3541" s="115" t="str">
        <x:v>À équilibrer</x:v>
      </x:c>
      <x:c r="J3541" s="115" t="str">
        <x:v>Non</x:v>
      </x:c>
      <x:c r="K3541" s="115" t="str">
        <x:v>Pièces décrites, murs, portes, niveaux et mobilier inspectables à l’échelle. Volumes réservés, raccord au seed, butin, rencontres et services de campagne restent à terminer.</x:v>
      </x:c>
    </x:row>
    <x:row r="3542" ht="96" customHeight="1">
      <x:c r="A3542" s="115" t="str">
        <x:v>EXT-MONDE-T071-V37</x:v>
      </x:c>
      <x:c r="B3542" s="115" t="str">
        <x:v>EXT-MONDE-T071</x:v>
      </x:c>
      <x:c r="C3542" s="115" t="str">
        <x:v>Aéroports</x:v>
      </x:c>
      <x:c r="D3542" s="115" t="str">
        <x:v>Aéroport de fret</x:v>
      </x:c>
      <x:c r="E3542" s="115" t="n">
        <x:v>37</x:v>
      </x:c>
      <x:c r="F3542" s="115" t="str">
        <x:v>Inspection physique</x:v>
      </x:c>
      <x:c r="G3542" s="115" t="str">
        <x:v>1 niveaux ; 36 pièces ; 265 segments de mur ; 0 transitions. Inspection physique ; architecture complète encore ouverte.</x:v>
      </x:c>
      <x:c r="H3542" s="115" t="str">
        <x:v>L 1100 ; l 3200 ; hauteur 34 m ; choix de composition auteur ; dimensions réelles à documenter</x:v>
      </x:c>
      <x:c r="I3542" s="115" t="str">
        <x:v>À équilibrer</x:v>
      </x:c>
      <x:c r="J3542" s="115" t="str">
        <x:v>Non</x:v>
      </x:c>
      <x:c r="K3542" s="115" t="str">
        <x:v>Pièces décrites, murs, portes, niveaux et mobilier inspectables à l’échelle. Volumes réservés, raccord au seed, butin, rencontres et services de campagne restent à terminer.</x:v>
      </x:c>
    </x:row>
    <x:row r="3543" ht="96" customHeight="1">
      <x:c r="A3543" s="115" t="str">
        <x:v>EXT-MONDE-T071-V38</x:v>
      </x:c>
      <x:c r="B3543" s="115" t="str">
        <x:v>EXT-MONDE-T071</x:v>
      </x:c>
      <x:c r="C3543" s="115" t="str">
        <x:v>Aéroports</x:v>
      </x:c>
      <x:c r="D3543" s="115" t="str">
        <x:v>Aéroport de fret</x:v>
      </x:c>
      <x:c r="E3543" s="115" t="n">
        <x:v>38</x:v>
      </x:c>
      <x:c r="F3543" s="115" t="str">
        <x:v>Inspection physique</x:v>
      </x:c>
      <x:c r="G3543" s="115" t="str">
        <x:v>1 niveaux ; 36 pièces ; 265 segments de mur ; 0 transitions. Inspection physique ; architecture complète encore ouverte.</x:v>
      </x:c>
      <x:c r="H3543" s="115" t="str">
        <x:v>L 1100 ; l 3200 ; hauteur 34 m ; choix de composition auteur ; dimensions réelles à documenter</x:v>
      </x:c>
      <x:c r="I3543" s="115" t="str">
        <x:v>À équilibrer</x:v>
      </x:c>
      <x:c r="J3543" s="115" t="str">
        <x:v>Non</x:v>
      </x:c>
      <x:c r="K3543" s="115" t="str">
        <x:v>Pièces décrites, murs, portes, niveaux et mobilier inspectables à l’échelle. Volumes réservés, raccord au seed, butin, rencontres et services de campagne restent à terminer.</x:v>
      </x:c>
    </x:row>
    <x:row r="3544" ht="96" customHeight="1">
      <x:c r="A3544" s="115" t="str">
        <x:v>EXT-MONDE-T071-V39</x:v>
      </x:c>
      <x:c r="B3544" s="115" t="str">
        <x:v>EXT-MONDE-T071</x:v>
      </x:c>
      <x:c r="C3544" s="115" t="str">
        <x:v>Aéroports</x:v>
      </x:c>
      <x:c r="D3544" s="115" t="str">
        <x:v>Aéroport de fret</x:v>
      </x:c>
      <x:c r="E3544" s="115" t="n">
        <x:v>39</x:v>
      </x:c>
      <x:c r="F3544" s="115" t="str">
        <x:v>Inspection physique</x:v>
      </x:c>
      <x:c r="G3544" s="115" t="str">
        <x:v>1 niveaux ; 36 pièces ; 265 segments de mur ; 0 transitions. Inspection physique ; architecture complète encore ouverte.</x:v>
      </x:c>
      <x:c r="H3544" s="115" t="str">
        <x:v>L 1100 ; l 3200 ; hauteur 34 m ; choix de composition auteur ; dimensions réelles à documenter</x:v>
      </x:c>
      <x:c r="I3544" s="115" t="str">
        <x:v>À équilibrer</x:v>
      </x:c>
      <x:c r="J3544" s="115" t="str">
        <x:v>Non</x:v>
      </x:c>
      <x:c r="K3544" s="115" t="str">
        <x:v>Pièces décrites, murs, portes, niveaux et mobilier inspectables à l’échelle. Volumes réservés, raccord au seed, butin, rencontres et services de campagne restent à terminer.</x:v>
      </x:c>
    </x:row>
    <x:row r="3545" ht="96" customHeight="1">
      <x:c r="A3545" s="115" t="str">
        <x:v>EXT-MONDE-T071-V40</x:v>
      </x:c>
      <x:c r="B3545" s="115" t="str">
        <x:v>EXT-MONDE-T071</x:v>
      </x:c>
      <x:c r="C3545" s="115" t="str">
        <x:v>Aéroports</x:v>
      </x:c>
      <x:c r="D3545" s="115" t="str">
        <x:v>Aéroport de fret</x:v>
      </x:c>
      <x:c r="E3545" s="115" t="n">
        <x:v>40</x:v>
      </x:c>
      <x:c r="F3545" s="115" t="str">
        <x:v>Inspection physique</x:v>
      </x:c>
      <x:c r="G3545" s="115" t="str">
        <x:v>1 niveaux ; 36 pièces ; 265 segments de mur ; 0 transitions. Inspection physique ; architecture complète encore ouverte.</x:v>
      </x:c>
      <x:c r="H3545" s="115" t="str">
        <x:v>L 1100 ; l 3200 ; hauteur 34 m ; choix de composition auteur ; dimensions réelles à documenter</x:v>
      </x:c>
      <x:c r="I3545" s="115" t="str">
        <x:v>À équilibrer</x:v>
      </x:c>
      <x:c r="J3545" s="115" t="str">
        <x:v>Non</x:v>
      </x:c>
      <x:c r="K3545" s="115" t="str">
        <x:v>Pièces décrites, murs, portes, niveaux et mobilier inspectables à l’échelle. Volumes réservés, raccord au seed, butin, rencontres et services de campagne restent à terminer.</x:v>
      </x:c>
    </x:row>
    <x:row r="3546" ht="96" customHeight="1">
      <x:c r="A3546" s="115" t="str">
        <x:v>EXT-MONDE-T071-V41</x:v>
      </x:c>
      <x:c r="B3546" s="115" t="str">
        <x:v>EXT-MONDE-T071</x:v>
      </x:c>
      <x:c r="C3546" s="115" t="str">
        <x:v>Aéroports</x:v>
      </x:c>
      <x:c r="D3546" s="115" t="str">
        <x:v>Aéroport de fret</x:v>
      </x:c>
      <x:c r="E3546" s="115" t="n">
        <x:v>41</x:v>
      </x:c>
      <x:c r="F3546" s="115" t="str">
        <x:v>Inspection physique</x:v>
      </x:c>
      <x:c r="G3546" s="115" t="str">
        <x:v>1 niveaux ; 36 pièces ; 265 segments de mur ; 0 transitions. Inspection physique ; architecture complète encore ouverte.</x:v>
      </x:c>
      <x:c r="H3546" s="115" t="str">
        <x:v>L 1100 ; l 3400 ; hauteur 36 m ; choix de composition auteur ; dimensions réelles à documenter</x:v>
      </x:c>
      <x:c r="I3546" s="115" t="str">
        <x:v>À équilibrer</x:v>
      </x:c>
      <x:c r="J3546" s="115" t="str">
        <x:v>Non</x:v>
      </x:c>
      <x:c r="K3546" s="115" t="str">
        <x:v>Pièces décrites, murs, portes, niveaux et mobilier inspectables à l’échelle. Volumes réservés, raccord au seed, butin, rencontres et services de campagne restent à terminer.</x:v>
      </x:c>
    </x:row>
    <x:row r="3547" ht="96" customHeight="1">
      <x:c r="A3547" s="115" t="str">
        <x:v>EXT-MONDE-T071-V42</x:v>
      </x:c>
      <x:c r="B3547" s="115" t="str">
        <x:v>EXT-MONDE-T071</x:v>
      </x:c>
      <x:c r="C3547" s="115" t="str">
        <x:v>Aéroports</x:v>
      </x:c>
      <x:c r="D3547" s="115" t="str">
        <x:v>Aéroport de fret</x:v>
      </x:c>
      <x:c r="E3547" s="115" t="n">
        <x:v>42</x:v>
      </x:c>
      <x:c r="F3547" s="115" t="str">
        <x:v>Inspection physique</x:v>
      </x:c>
      <x:c r="G3547" s="115" t="str">
        <x:v>1 niveaux ; 36 pièces ; 265 segments de mur ; 0 transitions. Inspection physique ; architecture complète encore ouverte.</x:v>
      </x:c>
      <x:c r="H3547" s="115" t="str">
        <x:v>L 1100 ; l 3400 ; hauteur 36 m ; choix de composition auteur ; dimensions réelles à documenter</x:v>
      </x:c>
      <x:c r="I3547" s="115" t="str">
        <x:v>À équilibrer</x:v>
      </x:c>
      <x:c r="J3547" s="115" t="str">
        <x:v>Non</x:v>
      </x:c>
      <x:c r="K3547" s="115" t="str">
        <x:v>Pièces décrites, murs, portes, niveaux et mobilier inspectables à l’échelle. Volumes réservés, raccord au seed, butin, rencontres et services de campagne restent à terminer.</x:v>
      </x:c>
    </x:row>
    <x:row r="3548" ht="96" customHeight="1">
      <x:c r="A3548" s="115" t="str">
        <x:v>EXT-MONDE-T071-V43</x:v>
      </x:c>
      <x:c r="B3548" s="115" t="str">
        <x:v>EXT-MONDE-T071</x:v>
      </x:c>
      <x:c r="C3548" s="115" t="str">
        <x:v>Aéroports</x:v>
      </x:c>
      <x:c r="D3548" s="115" t="str">
        <x:v>Aéroport de fret</x:v>
      </x:c>
      <x:c r="E3548" s="115" t="n">
        <x:v>43</x:v>
      </x:c>
      <x:c r="F3548" s="115" t="str">
        <x:v>Inspection physique</x:v>
      </x:c>
      <x:c r="G3548" s="115" t="str">
        <x:v>1 niveaux ; 36 pièces ; 265 segments de mur ; 0 transitions. Inspection physique ; architecture complète encore ouverte.</x:v>
      </x:c>
      <x:c r="H3548" s="115" t="str">
        <x:v>L 1100 ; l 3400 ; hauteur 36 m ; choix de composition auteur ; dimensions réelles à documenter</x:v>
      </x:c>
      <x:c r="I3548" s="115" t="str">
        <x:v>À équilibrer</x:v>
      </x:c>
      <x:c r="J3548" s="115" t="str">
        <x:v>Non</x:v>
      </x:c>
      <x:c r="K3548" s="115" t="str">
        <x:v>Pièces décrites, murs, portes, niveaux et mobilier inspectables à l’échelle. Volumes réservés, raccord au seed, butin, rencontres et services de campagne restent à terminer.</x:v>
      </x:c>
    </x:row>
    <x:row r="3549" ht="96" customHeight="1">
      <x:c r="A3549" s="115" t="str">
        <x:v>EXT-MONDE-T071-V44</x:v>
      </x:c>
      <x:c r="B3549" s="115" t="str">
        <x:v>EXT-MONDE-T071</x:v>
      </x:c>
      <x:c r="C3549" s="115" t="str">
        <x:v>Aéroports</x:v>
      </x:c>
      <x:c r="D3549" s="115" t="str">
        <x:v>Aéroport de fret</x:v>
      </x:c>
      <x:c r="E3549" s="115" t="n">
        <x:v>44</x:v>
      </x:c>
      <x:c r="F3549" s="115" t="str">
        <x:v>Inspection physique</x:v>
      </x:c>
      <x:c r="G3549" s="115" t="str">
        <x:v>1 niveaux ; 36 pièces ; 265 segments de mur ; 0 transitions. Inspection physique ; architecture complète encore ouverte.</x:v>
      </x:c>
      <x:c r="H3549" s="115" t="str">
        <x:v>L 1100 ; l 3400 ; hauteur 36 m ; choix de composition auteur ; dimensions réelles à documenter</x:v>
      </x:c>
      <x:c r="I3549" s="115" t="str">
        <x:v>À équilibrer</x:v>
      </x:c>
      <x:c r="J3549" s="115" t="str">
        <x:v>Non</x:v>
      </x:c>
      <x:c r="K3549" s="115" t="str">
        <x:v>Pièces décrites, murs, portes, niveaux et mobilier inspectables à l’échelle. Volumes réservés, raccord au seed, butin, rencontres et services de campagne restent à terminer.</x:v>
      </x:c>
    </x:row>
    <x:row r="3550" ht="96" customHeight="1">
      <x:c r="A3550" s="115" t="str">
        <x:v>EXT-MONDE-T071-V45</x:v>
      </x:c>
      <x:c r="B3550" s="115" t="str">
        <x:v>EXT-MONDE-T071</x:v>
      </x:c>
      <x:c r="C3550" s="115" t="str">
        <x:v>Aéroports</x:v>
      </x:c>
      <x:c r="D3550" s="115" t="str">
        <x:v>Aéroport de fret</x:v>
      </x:c>
      <x:c r="E3550" s="115" t="n">
        <x:v>45</x:v>
      </x:c>
      <x:c r="F3550" s="115" t="str">
        <x:v>Inspection physique</x:v>
      </x:c>
      <x:c r="G3550" s="115" t="str">
        <x:v>1 niveaux ; 36 pièces ; 265 segments de mur ; 0 transitions. Inspection physique ; architecture complète encore ouverte.</x:v>
      </x:c>
      <x:c r="H3550" s="115" t="str">
        <x:v>L 1100 ; l 3400 ; hauteur 36 m ; choix de composition auteur ; dimensions réelles à documenter</x:v>
      </x:c>
      <x:c r="I3550" s="115" t="str">
        <x:v>À équilibrer</x:v>
      </x:c>
      <x:c r="J3550" s="115" t="str">
        <x:v>Non</x:v>
      </x:c>
      <x:c r="K3550" s="115" t="str">
        <x:v>Pièces décrites, murs, portes, niveaux et mobilier inspectables à l’échelle. Volumes réservés, raccord au seed, butin, rencontres et services de campagne restent à terminer.</x:v>
      </x:c>
    </x:row>
    <x:row r="3551" ht="96" customHeight="1">
      <x:c r="A3551" s="115" t="str">
        <x:v>EXT-MONDE-T071-V46</x:v>
      </x:c>
      <x:c r="B3551" s="115" t="str">
        <x:v>EXT-MONDE-T071</x:v>
      </x:c>
      <x:c r="C3551" s="115" t="str">
        <x:v>Aéroports</x:v>
      </x:c>
      <x:c r="D3551" s="115" t="str">
        <x:v>Aéroport de fret</x:v>
      </x:c>
      <x:c r="E3551" s="115" t="n">
        <x:v>46</x:v>
      </x:c>
      <x:c r="F3551" s="115" t="str">
        <x:v>Inspection physique</x:v>
      </x:c>
      <x:c r="G3551" s="115" t="str">
        <x:v>1 niveaux ; 36 pièces ; 265 segments de mur ; 0 transitions. Inspection physique ; architecture complète encore ouverte.</x:v>
      </x:c>
      <x:c r="H3551" s="115" t="str">
        <x:v>L 1100 ; l 3400 ; hauteur 36 m ; choix de composition auteur ; dimensions réelles à documenter</x:v>
      </x:c>
      <x:c r="I3551" s="115" t="str">
        <x:v>À équilibrer</x:v>
      </x:c>
      <x:c r="J3551" s="115" t="str">
        <x:v>Non</x:v>
      </x:c>
      <x:c r="K3551" s="115" t="str">
        <x:v>Pièces décrites, murs, portes, niveaux et mobilier inspectables à l’échelle. Volumes réservés, raccord au seed, butin, rencontres et services de campagne restent à terminer.</x:v>
      </x:c>
    </x:row>
    <x:row r="3552" ht="96" customHeight="1">
      <x:c r="A3552" s="115" t="str">
        <x:v>EXT-MONDE-T071-V47</x:v>
      </x:c>
      <x:c r="B3552" s="115" t="str">
        <x:v>EXT-MONDE-T071</x:v>
      </x:c>
      <x:c r="C3552" s="115" t="str">
        <x:v>Aéroports</x:v>
      </x:c>
      <x:c r="D3552" s="115" t="str">
        <x:v>Aéroport de fret</x:v>
      </x:c>
      <x:c r="E3552" s="115" t="n">
        <x:v>47</x:v>
      </x:c>
      <x:c r="F3552" s="115" t="str">
        <x:v>Inspection physique</x:v>
      </x:c>
      <x:c r="G3552" s="115" t="str">
        <x:v>1 niveaux ; 36 pièces ; 265 segments de mur ; 0 transitions. Inspection physique ; architecture complète encore ouverte.</x:v>
      </x:c>
      <x:c r="H3552" s="115" t="str">
        <x:v>L 1100 ; l 3400 ; hauteur 36 m ; choix de composition auteur ; dimensions réelles à documenter</x:v>
      </x:c>
      <x:c r="I3552" s="115" t="str">
        <x:v>À équilibrer</x:v>
      </x:c>
      <x:c r="J3552" s="115" t="str">
        <x:v>Non</x:v>
      </x:c>
      <x:c r="K3552" s="115" t="str">
        <x:v>Pièces décrites, murs, portes, niveaux et mobilier inspectables à l’échelle. Volumes réservés, raccord au seed, butin, rencontres et services de campagne restent à terminer.</x:v>
      </x:c>
    </x:row>
    <x:row r="3553" ht="96" customHeight="1">
      <x:c r="A3553" s="115" t="str">
        <x:v>EXT-MONDE-T071-V48</x:v>
      </x:c>
      <x:c r="B3553" s="115" t="str">
        <x:v>EXT-MONDE-T071</x:v>
      </x:c>
      <x:c r="C3553" s="115" t="str">
        <x:v>Aéroports</x:v>
      </x:c>
      <x:c r="D3553" s="115" t="str">
        <x:v>Aéroport de fret</x:v>
      </x:c>
      <x:c r="E3553" s="115" t="n">
        <x:v>48</x:v>
      </x:c>
      <x:c r="F3553" s="115" t="str">
        <x:v>Inspection physique</x:v>
      </x:c>
      <x:c r="G3553" s="115" t="str">
        <x:v>1 niveaux ; 36 pièces ; 265 segments de mur ; 0 transitions. Inspection physique ; architecture complète encore ouverte.</x:v>
      </x:c>
      <x:c r="H3553" s="115" t="str">
        <x:v>L 1100 ; l 3400 ; hauteur 36 m ; choix de composition auteur ; dimensions réelles à documenter</x:v>
      </x:c>
      <x:c r="I3553" s="115" t="str">
        <x:v>À équilibrer</x:v>
      </x:c>
      <x:c r="J3553" s="115" t="str">
        <x:v>Non</x:v>
      </x:c>
      <x:c r="K3553" s="115" t="str">
        <x:v>Pièces décrites, murs, portes, niveaux et mobilier inspectables à l’échelle. Volumes réservés, raccord au seed, butin, rencontres et services de campagne restent à terminer.</x:v>
      </x:c>
    </x:row>
    <x:row r="3554" ht="96" customHeight="1">
      <x:c r="A3554" s="115" t="str">
        <x:v>EXT-MONDE-T071-V49</x:v>
      </x:c>
      <x:c r="B3554" s="115" t="str">
        <x:v>EXT-MONDE-T071</x:v>
      </x:c>
      <x:c r="C3554" s="115" t="str">
        <x:v>Aéroports</x:v>
      </x:c>
      <x:c r="D3554" s="115" t="str">
        <x:v>Aéroport de fret</x:v>
      </x:c>
      <x:c r="E3554" s="115" t="n">
        <x:v>49</x:v>
      </x:c>
      <x:c r="F3554" s="115" t="str">
        <x:v>Inspection physique</x:v>
      </x:c>
      <x:c r="G3554" s="115" t="str">
        <x:v>1 niveaux ; 36 pièces ; 265 segments de mur ; 0 transitions. Inspection physique ; architecture complète encore ouverte.</x:v>
      </x:c>
      <x:c r="H3554" s="115" t="str">
        <x:v>L 1100 ; l 3400 ; hauteur 36 m ; choix de composition auteur ; dimensions réelles à documenter</x:v>
      </x:c>
      <x:c r="I3554" s="115" t="str">
        <x:v>À équilibrer</x:v>
      </x:c>
      <x:c r="J3554" s="115" t="str">
        <x:v>Non</x:v>
      </x:c>
      <x:c r="K3554" s="115" t="str">
        <x:v>Pièces décrites, murs, portes, niveaux et mobilier inspectables à l’échelle. Volumes réservés, raccord au seed, butin, rencontres et services de campagne restent à terminer.</x:v>
      </x:c>
    </x:row>
    <x:row r="3555" ht="96" customHeight="1">
      <x:c r="A3555" s="115" t="str">
        <x:v>EXT-MONDE-T071-V50</x:v>
      </x:c>
      <x:c r="B3555" s="115" t="str">
        <x:v>EXT-MONDE-T071</x:v>
      </x:c>
      <x:c r="C3555" s="115" t="str">
        <x:v>Aéroports</x:v>
      </x:c>
      <x:c r="D3555" s="115" t="str">
        <x:v>Aéroport de fret</x:v>
      </x:c>
      <x:c r="E3555" s="115" t="n">
        <x:v>50</x:v>
      </x:c>
      <x:c r="F3555" s="115" t="str">
        <x:v>Inspection physique</x:v>
      </x:c>
      <x:c r="G3555" s="115" t="str">
        <x:v>1 niveaux ; 36 pièces ; 265 segments de mur ; 0 transitions. Inspection physique ; architecture complète encore ouverte.</x:v>
      </x:c>
      <x:c r="H3555" s="115" t="str">
        <x:v>L 1100 ; l 3400 ; hauteur 36 m ; choix de composition auteur ; dimensions réelles à documenter</x:v>
      </x:c>
      <x:c r="I3555" s="115" t="str">
        <x:v>À équilibrer</x:v>
      </x:c>
      <x:c r="J3555" s="115" t="str">
        <x:v>Non</x:v>
      </x:c>
      <x:c r="K3555" s="115" t="str">
        <x:v>Pièces décrites, murs, portes, niveaux et mobilier inspectables à l’échelle. Volumes réservés, raccord au seed, butin, rencontres et services de campagne restent à terminer.</x:v>
      </x:c>
    </x:row>
    <x:row r="3556" ht="96" customHeight="1">
      <x:c r="A3556" s="115" t="str">
        <x:v>EXT-MONDE-T072-V01</x:v>
      </x:c>
      <x:c r="B3556" s="115" t="str">
        <x:v>EXT-MONDE-T072</x:v>
      </x:c>
      <x:c r="C3556" s="115" t="str">
        <x:v>Aéroports</x:v>
      </x:c>
      <x:c r="D3556" s="115" t="str">
        <x:v>Aérodrome insulaire</x:v>
      </x:c>
      <x:c r="E3556" s="115" t="n">
        <x:v>1</x:v>
      </x:c>
      <x:c r="F3556" s="115" t="str">
        <x:v>Inspection physique</x:v>
      </x:c>
      <x:c r="G3556" s="115" t="str">
        <x:v>1 niveaux ; 36 pièces ; 265 segments de mur ; 0 transitions. Inspection physique ; architecture complète encore ouverte.</x:v>
      </x:c>
      <x:c r="H3556" s="115" t="str">
        <x:v>L 1100 ; l 1300 ; hauteur 14 m ; choix de composition auteur ; dimensions réelles à documenter</x:v>
      </x:c>
      <x:c r="I3556" s="115" t="str">
        <x:v>À équilibrer</x:v>
      </x:c>
      <x:c r="J3556" s="115" t="str">
        <x:v>Non</x:v>
      </x:c>
      <x:c r="K3556" s="115" t="str">
        <x:v>Pièces décrites, murs, portes, niveaux et mobilier inspectables à l’échelle. Volumes réservés, raccord au seed, butin, rencontres et services de campagne restent à terminer.</x:v>
      </x:c>
    </x:row>
    <x:row r="3557" ht="96" customHeight="1">
      <x:c r="A3557" s="115" t="str">
        <x:v>EXT-MONDE-T072-V02</x:v>
      </x:c>
      <x:c r="B3557" s="115" t="str">
        <x:v>EXT-MONDE-T072</x:v>
      </x:c>
      <x:c r="C3557" s="115" t="str">
        <x:v>Aéroports</x:v>
      </x:c>
      <x:c r="D3557" s="115" t="str">
        <x:v>Aérodrome insulaire</x:v>
      </x:c>
      <x:c r="E3557" s="115" t="n">
        <x:v>2</x:v>
      </x:c>
      <x:c r="F3557" s="115" t="str">
        <x:v>Inspection physique</x:v>
      </x:c>
      <x:c r="G3557" s="115" t="str">
        <x:v>1 niveaux ; 36 pièces ; 265 segments de mur ; 0 transitions. Inspection physique ; architecture complète encore ouverte.</x:v>
      </x:c>
      <x:c r="H3557" s="115" t="str">
        <x:v>L 1100 ; l 1300 ; hauteur 14 m ; choix de composition auteur ; dimensions réelles à documenter</x:v>
      </x:c>
      <x:c r="I3557" s="115" t="str">
        <x:v>À équilibrer</x:v>
      </x:c>
      <x:c r="J3557" s="115" t="str">
        <x:v>Non</x:v>
      </x:c>
      <x:c r="K3557" s="115" t="str">
        <x:v>Pièces décrites, murs, portes, niveaux et mobilier inspectables à l’échelle. Volumes réservés, raccord au seed, butin, rencontres et services de campagne restent à terminer.</x:v>
      </x:c>
    </x:row>
    <x:row r="3558" ht="96" customHeight="1">
      <x:c r="A3558" s="115" t="str">
        <x:v>EXT-MONDE-T072-V03</x:v>
      </x:c>
      <x:c r="B3558" s="115" t="str">
        <x:v>EXT-MONDE-T072</x:v>
      </x:c>
      <x:c r="C3558" s="115" t="str">
        <x:v>Aéroports</x:v>
      </x:c>
      <x:c r="D3558" s="115" t="str">
        <x:v>Aérodrome insulaire</x:v>
      </x:c>
      <x:c r="E3558" s="115" t="n">
        <x:v>3</x:v>
      </x:c>
      <x:c r="F3558" s="115" t="str">
        <x:v>Inspection physique</x:v>
      </x:c>
      <x:c r="G3558" s="115" t="str">
        <x:v>1 niveaux ; 36 pièces ; 265 segments de mur ; 0 transitions. Inspection physique ; architecture complète encore ouverte.</x:v>
      </x:c>
      <x:c r="H3558" s="115" t="str">
        <x:v>L 1100 ; l 1300 ; hauteur 14 m ; choix de composition auteur ; dimensions réelles à documenter</x:v>
      </x:c>
      <x:c r="I3558" s="115" t="str">
        <x:v>À équilibrer</x:v>
      </x:c>
      <x:c r="J3558" s="115" t="str">
        <x:v>Non</x:v>
      </x:c>
      <x:c r="K3558" s="115" t="str">
        <x:v>Pièces décrites, murs, portes, niveaux et mobilier inspectables à l’échelle. Volumes réservés, raccord au seed, butin, rencontres et services de campagne restent à terminer.</x:v>
      </x:c>
    </x:row>
    <x:row r="3559" ht="96" customHeight="1">
      <x:c r="A3559" s="115" t="str">
        <x:v>EXT-MONDE-T072-V04</x:v>
      </x:c>
      <x:c r="B3559" s="115" t="str">
        <x:v>EXT-MONDE-T072</x:v>
      </x:c>
      <x:c r="C3559" s="115" t="str">
        <x:v>Aéroports</x:v>
      </x:c>
      <x:c r="D3559" s="115" t="str">
        <x:v>Aérodrome insulaire</x:v>
      </x:c>
      <x:c r="E3559" s="115" t="n">
        <x:v>4</x:v>
      </x:c>
      <x:c r="F3559" s="115" t="str">
        <x:v>Inspection physique</x:v>
      </x:c>
      <x:c r="G3559" s="115" t="str">
        <x:v>1 niveaux ; 36 pièces ; 265 segments de mur ; 0 transitions. Inspection physique ; architecture complète encore ouverte.</x:v>
      </x:c>
      <x:c r="H3559" s="115" t="str">
        <x:v>L 1100 ; l 1300 ; hauteur 14 m ; choix de composition auteur ; dimensions réelles à documenter</x:v>
      </x:c>
      <x:c r="I3559" s="115" t="str">
        <x:v>À équilibrer</x:v>
      </x:c>
      <x:c r="J3559" s="115" t="str">
        <x:v>Non</x:v>
      </x:c>
      <x:c r="K3559" s="115" t="str">
        <x:v>Pièces décrites, murs, portes, niveaux et mobilier inspectables à l’échelle. Volumes réservés, raccord au seed, butin, rencontres et services de campagne restent à terminer.</x:v>
      </x:c>
    </x:row>
    <x:row r="3560" ht="96" customHeight="1">
      <x:c r="A3560" s="115" t="str">
        <x:v>EXT-MONDE-T072-V05</x:v>
      </x:c>
      <x:c r="B3560" s="115" t="str">
        <x:v>EXT-MONDE-T072</x:v>
      </x:c>
      <x:c r="C3560" s="115" t="str">
        <x:v>Aéroports</x:v>
      </x:c>
      <x:c r="D3560" s="115" t="str">
        <x:v>Aérodrome insulaire</x:v>
      </x:c>
      <x:c r="E3560" s="115" t="n">
        <x:v>5</x:v>
      </x:c>
      <x:c r="F3560" s="115" t="str">
        <x:v>Inspection physique</x:v>
      </x:c>
      <x:c r="G3560" s="115" t="str">
        <x:v>1 niveaux ; 36 pièces ; 265 segments de mur ; 0 transitions. Inspection physique ; architecture complète encore ouverte.</x:v>
      </x:c>
      <x:c r="H3560" s="115" t="str">
        <x:v>L 1100 ; l 1300 ; hauteur 14 m ; choix de composition auteur ; dimensions réelles à documenter</x:v>
      </x:c>
      <x:c r="I3560" s="115" t="str">
        <x:v>À équilibrer</x:v>
      </x:c>
      <x:c r="J3560" s="115" t="str">
        <x:v>Non</x:v>
      </x:c>
      <x:c r="K3560" s="115" t="str">
        <x:v>Pièces décrites, murs, portes, niveaux et mobilier inspectables à l’échelle. Volumes réservés, raccord au seed, butin, rencontres et services de campagne restent à terminer.</x:v>
      </x:c>
    </x:row>
    <x:row r="3561" ht="96" customHeight="1">
      <x:c r="A3561" s="115" t="str">
        <x:v>EXT-MONDE-T072-V06</x:v>
      </x:c>
      <x:c r="B3561" s="115" t="str">
        <x:v>EXT-MONDE-T072</x:v>
      </x:c>
      <x:c r="C3561" s="115" t="str">
        <x:v>Aéroports</x:v>
      </x:c>
      <x:c r="D3561" s="115" t="str">
        <x:v>Aérodrome insulaire</x:v>
      </x:c>
      <x:c r="E3561" s="115" t="n">
        <x:v>6</x:v>
      </x:c>
      <x:c r="F3561" s="115" t="str">
        <x:v>Inspection physique</x:v>
      </x:c>
      <x:c r="G3561" s="115" t="str">
        <x:v>1 niveaux ; 36 pièces ; 265 segments de mur ; 0 transitions. Inspection physique ; architecture complète encore ouverte.</x:v>
      </x:c>
      <x:c r="H3561" s="115" t="str">
        <x:v>L 1100 ; l 1300 ; hauteur 14 m ; choix de composition auteur ; dimensions réelles à documenter</x:v>
      </x:c>
      <x:c r="I3561" s="115" t="str">
        <x:v>À équilibrer</x:v>
      </x:c>
      <x:c r="J3561" s="115" t="str">
        <x:v>Non</x:v>
      </x:c>
      <x:c r="K3561" s="115" t="str">
        <x:v>Pièces décrites, murs, portes, niveaux et mobilier inspectables à l’échelle. Volumes réservés, raccord au seed, butin, rencontres et services de campagne restent à terminer.</x:v>
      </x:c>
    </x:row>
    <x:row r="3562" ht="96" customHeight="1">
      <x:c r="A3562" s="115" t="str">
        <x:v>EXT-MONDE-T072-V07</x:v>
      </x:c>
      <x:c r="B3562" s="115" t="str">
        <x:v>EXT-MONDE-T072</x:v>
      </x:c>
      <x:c r="C3562" s="115" t="str">
        <x:v>Aéroports</x:v>
      </x:c>
      <x:c r="D3562" s="115" t="str">
        <x:v>Aérodrome insulaire</x:v>
      </x:c>
      <x:c r="E3562" s="115" t="n">
        <x:v>7</x:v>
      </x:c>
      <x:c r="F3562" s="115" t="str">
        <x:v>Inspection physique</x:v>
      </x:c>
      <x:c r="G3562" s="115" t="str">
        <x:v>1 niveaux ; 36 pièces ; 265 segments de mur ; 0 transitions. Inspection physique ; architecture complète encore ouverte.</x:v>
      </x:c>
      <x:c r="H3562" s="115" t="str">
        <x:v>L 1100 ; l 1300 ; hauteur 14 m ; choix de composition auteur ; dimensions réelles à documenter</x:v>
      </x:c>
      <x:c r="I3562" s="115" t="str">
        <x:v>À équilibrer</x:v>
      </x:c>
      <x:c r="J3562" s="115" t="str">
        <x:v>Non</x:v>
      </x:c>
      <x:c r="K3562" s="115" t="str">
        <x:v>Pièces décrites, murs, portes, niveaux et mobilier inspectables à l’échelle. Volumes réservés, raccord au seed, butin, rencontres et services de campagne restent à terminer.</x:v>
      </x:c>
    </x:row>
    <x:row r="3563" ht="96" customHeight="1">
      <x:c r="A3563" s="115" t="str">
        <x:v>EXT-MONDE-T072-V08</x:v>
      </x:c>
      <x:c r="B3563" s="115" t="str">
        <x:v>EXT-MONDE-T072</x:v>
      </x:c>
      <x:c r="C3563" s="115" t="str">
        <x:v>Aéroports</x:v>
      </x:c>
      <x:c r="D3563" s="115" t="str">
        <x:v>Aérodrome insulaire</x:v>
      </x:c>
      <x:c r="E3563" s="115" t="n">
        <x:v>8</x:v>
      </x:c>
      <x:c r="F3563" s="115" t="str">
        <x:v>Inspection physique</x:v>
      </x:c>
      <x:c r="G3563" s="115" t="str">
        <x:v>1 niveaux ; 36 pièces ; 265 segments de mur ; 0 transitions. Inspection physique ; architecture complète encore ouverte.</x:v>
      </x:c>
      <x:c r="H3563" s="115" t="str">
        <x:v>L 1100 ; l 1300 ; hauteur 14 m ; choix de composition auteur ; dimensions réelles à documenter</x:v>
      </x:c>
      <x:c r="I3563" s="115" t="str">
        <x:v>À équilibrer</x:v>
      </x:c>
      <x:c r="J3563" s="115" t="str">
        <x:v>Non</x:v>
      </x:c>
      <x:c r="K3563" s="115" t="str">
        <x:v>Pièces décrites, murs, portes, niveaux et mobilier inspectables à l’échelle. Volumes réservés, raccord au seed, butin, rencontres et services de campagne restent à terminer.</x:v>
      </x:c>
    </x:row>
    <x:row r="3564" ht="96" customHeight="1">
      <x:c r="A3564" s="115" t="str">
        <x:v>EXT-MONDE-T072-V09</x:v>
      </x:c>
      <x:c r="B3564" s="115" t="str">
        <x:v>EXT-MONDE-T072</x:v>
      </x:c>
      <x:c r="C3564" s="115" t="str">
        <x:v>Aéroports</x:v>
      </x:c>
      <x:c r="D3564" s="115" t="str">
        <x:v>Aérodrome insulaire</x:v>
      </x:c>
      <x:c r="E3564" s="115" t="n">
        <x:v>9</x:v>
      </x:c>
      <x:c r="F3564" s="115" t="str">
        <x:v>Inspection physique</x:v>
      </x:c>
      <x:c r="G3564" s="115" t="str">
        <x:v>1 niveaux ; 36 pièces ; 265 segments de mur ; 0 transitions. Inspection physique ; architecture complète encore ouverte.</x:v>
      </x:c>
      <x:c r="H3564" s="115" t="str">
        <x:v>L 1100 ; l 1300 ; hauteur 14 m ; choix de composition auteur ; dimensions réelles à documenter</x:v>
      </x:c>
      <x:c r="I3564" s="115" t="str">
        <x:v>À équilibrer</x:v>
      </x:c>
      <x:c r="J3564" s="115" t="str">
        <x:v>Non</x:v>
      </x:c>
      <x:c r="K3564" s="115" t="str">
        <x:v>Pièces décrites, murs, portes, niveaux et mobilier inspectables à l’échelle. Volumes réservés, raccord au seed, butin, rencontres et services de campagne restent à terminer.</x:v>
      </x:c>
    </x:row>
    <x:row r="3565" ht="96" customHeight="1">
      <x:c r="A3565" s="115" t="str">
        <x:v>EXT-MONDE-T072-V10</x:v>
      </x:c>
      <x:c r="B3565" s="115" t="str">
        <x:v>EXT-MONDE-T072</x:v>
      </x:c>
      <x:c r="C3565" s="115" t="str">
        <x:v>Aéroports</x:v>
      </x:c>
      <x:c r="D3565" s="115" t="str">
        <x:v>Aérodrome insulaire</x:v>
      </x:c>
      <x:c r="E3565" s="115" t="n">
        <x:v>10</x:v>
      </x:c>
      <x:c r="F3565" s="115" t="str">
        <x:v>Inspection physique</x:v>
      </x:c>
      <x:c r="G3565" s="115" t="str">
        <x:v>1 niveaux ; 36 pièces ; 265 segments de mur ; 0 transitions. Inspection physique ; architecture complète encore ouverte.</x:v>
      </x:c>
      <x:c r="H3565" s="115" t="str">
        <x:v>L 1100 ; l 1300 ; hauteur 14 m ; choix de composition auteur ; dimensions réelles à documenter</x:v>
      </x:c>
      <x:c r="I3565" s="115" t="str">
        <x:v>À équilibrer</x:v>
      </x:c>
      <x:c r="J3565" s="115" t="str">
        <x:v>Non</x:v>
      </x:c>
      <x:c r="K3565" s="115" t="str">
        <x:v>Pièces décrites, murs, portes, niveaux et mobilier inspectables à l’échelle. Volumes réservés, raccord au seed, butin, rencontres et services de campagne restent à terminer.</x:v>
      </x:c>
    </x:row>
    <x:row r="3566" ht="96" customHeight="1">
      <x:c r="A3566" s="115" t="str">
        <x:v>EXT-MONDE-T072-V11</x:v>
      </x:c>
      <x:c r="B3566" s="115" t="str">
        <x:v>EXT-MONDE-T072</x:v>
      </x:c>
      <x:c r="C3566" s="115" t="str">
        <x:v>Aéroports</x:v>
      </x:c>
      <x:c r="D3566" s="115" t="str">
        <x:v>Aérodrome insulaire</x:v>
      </x:c>
      <x:c r="E3566" s="115" t="n">
        <x:v>11</x:v>
      </x:c>
      <x:c r="F3566" s="115" t="str">
        <x:v>Inspection physique</x:v>
      </x:c>
      <x:c r="G3566" s="115" t="str">
        <x:v>1 niveaux ; 36 pièces ; 265 segments de mur ; 0 transitions. Inspection physique ; architecture complète encore ouverte.</x:v>
      </x:c>
      <x:c r="H3566" s="115" t="str">
        <x:v>L 1100 ; l 1400 ; hauteur 16 m ; choix de composition auteur ; dimensions réelles à documenter</x:v>
      </x:c>
      <x:c r="I3566" s="115" t="str">
        <x:v>À équilibrer</x:v>
      </x:c>
      <x:c r="J3566" s="115" t="str">
        <x:v>Non</x:v>
      </x:c>
      <x:c r="K3566" s="115" t="str">
        <x:v>Pièces décrites, murs, portes, niveaux et mobilier inspectables à l’échelle. Volumes réservés, raccord au seed, butin, rencontres et services de campagne restent à terminer.</x:v>
      </x:c>
    </x:row>
    <x:row r="3567" ht="96" customHeight="1">
      <x:c r="A3567" s="115" t="str">
        <x:v>EXT-MONDE-T072-V12</x:v>
      </x:c>
      <x:c r="B3567" s="115" t="str">
        <x:v>EXT-MONDE-T072</x:v>
      </x:c>
      <x:c r="C3567" s="115" t="str">
        <x:v>Aéroports</x:v>
      </x:c>
      <x:c r="D3567" s="115" t="str">
        <x:v>Aérodrome insulaire</x:v>
      </x:c>
      <x:c r="E3567" s="115" t="n">
        <x:v>12</x:v>
      </x:c>
      <x:c r="F3567" s="115" t="str">
        <x:v>Inspection physique</x:v>
      </x:c>
      <x:c r="G3567" s="115" t="str">
        <x:v>1 niveaux ; 36 pièces ; 265 segments de mur ; 0 transitions. Inspection physique ; architecture complète encore ouverte.</x:v>
      </x:c>
      <x:c r="H3567" s="115" t="str">
        <x:v>L 1100 ; l 1400 ; hauteur 16 m ; choix de composition auteur ; dimensions réelles à documenter</x:v>
      </x:c>
      <x:c r="I3567" s="115" t="str">
        <x:v>À équilibrer</x:v>
      </x:c>
      <x:c r="J3567" s="115" t="str">
        <x:v>Non</x:v>
      </x:c>
      <x:c r="K3567" s="115" t="str">
        <x:v>Pièces décrites, murs, portes, niveaux et mobilier inspectables à l’échelle. Volumes réservés, raccord au seed, butin, rencontres et services de campagne restent à terminer.</x:v>
      </x:c>
    </x:row>
    <x:row r="3568" ht="96" customHeight="1">
      <x:c r="A3568" s="115" t="str">
        <x:v>EXT-MONDE-T072-V13</x:v>
      </x:c>
      <x:c r="B3568" s="115" t="str">
        <x:v>EXT-MONDE-T072</x:v>
      </x:c>
      <x:c r="C3568" s="115" t="str">
        <x:v>Aéroports</x:v>
      </x:c>
      <x:c r="D3568" s="115" t="str">
        <x:v>Aérodrome insulaire</x:v>
      </x:c>
      <x:c r="E3568" s="115" t="n">
        <x:v>13</x:v>
      </x:c>
      <x:c r="F3568" s="115" t="str">
        <x:v>Inspection physique</x:v>
      </x:c>
      <x:c r="G3568" s="115" t="str">
        <x:v>1 niveaux ; 36 pièces ; 265 segments de mur ; 0 transitions. Inspection physique ; architecture complète encore ouverte.</x:v>
      </x:c>
      <x:c r="H3568" s="115" t="str">
        <x:v>L 1100 ; l 1400 ; hauteur 16 m ; choix de composition auteur ; dimensions réelles à documenter</x:v>
      </x:c>
      <x:c r="I3568" s="115" t="str">
        <x:v>À équilibrer</x:v>
      </x:c>
      <x:c r="J3568" s="115" t="str">
        <x:v>Non</x:v>
      </x:c>
      <x:c r="K3568" s="115" t="str">
        <x:v>Pièces décrites, murs, portes, niveaux et mobilier inspectables à l’échelle. Volumes réservés, raccord au seed, butin, rencontres et services de campagne restent à terminer.</x:v>
      </x:c>
    </x:row>
    <x:row r="3569" ht="96" customHeight="1">
      <x:c r="A3569" s="115" t="str">
        <x:v>EXT-MONDE-T072-V14</x:v>
      </x:c>
      <x:c r="B3569" s="115" t="str">
        <x:v>EXT-MONDE-T072</x:v>
      </x:c>
      <x:c r="C3569" s="115" t="str">
        <x:v>Aéroports</x:v>
      </x:c>
      <x:c r="D3569" s="115" t="str">
        <x:v>Aérodrome insulaire</x:v>
      </x:c>
      <x:c r="E3569" s="115" t="n">
        <x:v>14</x:v>
      </x:c>
      <x:c r="F3569" s="115" t="str">
        <x:v>Inspection physique</x:v>
      </x:c>
      <x:c r="G3569" s="115" t="str">
        <x:v>1 niveaux ; 36 pièces ; 265 segments de mur ; 0 transitions. Inspection physique ; architecture complète encore ouverte.</x:v>
      </x:c>
      <x:c r="H3569" s="115" t="str">
        <x:v>L 1100 ; l 1400 ; hauteur 16 m ; choix de composition auteur ; dimensions réelles à documenter</x:v>
      </x:c>
      <x:c r="I3569" s="115" t="str">
        <x:v>À équilibrer</x:v>
      </x:c>
      <x:c r="J3569" s="115" t="str">
        <x:v>Non</x:v>
      </x:c>
      <x:c r="K3569" s="115" t="str">
        <x:v>Pièces décrites, murs, portes, niveaux et mobilier inspectables à l’échelle. Volumes réservés, raccord au seed, butin, rencontres et services de campagne restent à terminer.</x:v>
      </x:c>
    </x:row>
    <x:row r="3570" ht="96" customHeight="1">
      <x:c r="A3570" s="115" t="str">
        <x:v>EXT-MONDE-T072-V15</x:v>
      </x:c>
      <x:c r="B3570" s="115" t="str">
        <x:v>EXT-MONDE-T072</x:v>
      </x:c>
      <x:c r="C3570" s="115" t="str">
        <x:v>Aéroports</x:v>
      </x:c>
      <x:c r="D3570" s="115" t="str">
        <x:v>Aérodrome insulaire</x:v>
      </x:c>
      <x:c r="E3570" s="115" t="n">
        <x:v>15</x:v>
      </x:c>
      <x:c r="F3570" s="115" t="str">
        <x:v>Inspection physique</x:v>
      </x:c>
      <x:c r="G3570" s="115" t="str">
        <x:v>1 niveaux ; 36 pièces ; 265 segments de mur ; 0 transitions. Inspection physique ; architecture complète encore ouverte.</x:v>
      </x:c>
      <x:c r="H3570" s="115" t="str">
        <x:v>L 1100 ; l 1400 ; hauteur 16 m ; choix de composition auteur ; dimensions réelles à documenter</x:v>
      </x:c>
      <x:c r="I3570" s="115" t="str">
        <x:v>À équilibrer</x:v>
      </x:c>
      <x:c r="J3570" s="115" t="str">
        <x:v>Non</x:v>
      </x:c>
      <x:c r="K3570" s="115" t="str">
        <x:v>Pièces décrites, murs, portes, niveaux et mobilier inspectables à l’échelle. Volumes réservés, raccord au seed, butin, rencontres et services de campagne restent à terminer.</x:v>
      </x:c>
    </x:row>
    <x:row r="3571" ht="96" customHeight="1">
      <x:c r="A3571" s="115" t="str">
        <x:v>EXT-MONDE-T072-V16</x:v>
      </x:c>
      <x:c r="B3571" s="115" t="str">
        <x:v>EXT-MONDE-T072</x:v>
      </x:c>
      <x:c r="C3571" s="115" t="str">
        <x:v>Aéroports</x:v>
      </x:c>
      <x:c r="D3571" s="115" t="str">
        <x:v>Aérodrome insulaire</x:v>
      </x:c>
      <x:c r="E3571" s="115" t="n">
        <x:v>16</x:v>
      </x:c>
      <x:c r="F3571" s="115" t="str">
        <x:v>Inspection physique</x:v>
      </x:c>
      <x:c r="G3571" s="115" t="str">
        <x:v>1 niveaux ; 36 pièces ; 265 segments de mur ; 0 transitions. Inspection physique ; architecture complète encore ouverte.</x:v>
      </x:c>
      <x:c r="H3571" s="115" t="str">
        <x:v>L 1100 ; l 1400 ; hauteur 16 m ; choix de composition auteur ; dimensions réelles à documenter</x:v>
      </x:c>
      <x:c r="I3571" s="115" t="str">
        <x:v>À équilibrer</x:v>
      </x:c>
      <x:c r="J3571" s="115" t="str">
        <x:v>Non</x:v>
      </x:c>
      <x:c r="K3571" s="115" t="str">
        <x:v>Pièces décrites, murs, portes, niveaux et mobilier inspectables à l’échelle. Volumes réservés, raccord au seed, butin, rencontres et services de campagne restent à terminer.</x:v>
      </x:c>
    </x:row>
    <x:row r="3572" ht="96" customHeight="1">
      <x:c r="A3572" s="115" t="str">
        <x:v>EXT-MONDE-T072-V17</x:v>
      </x:c>
      <x:c r="B3572" s="115" t="str">
        <x:v>EXT-MONDE-T072</x:v>
      </x:c>
      <x:c r="C3572" s="115" t="str">
        <x:v>Aéroports</x:v>
      </x:c>
      <x:c r="D3572" s="115" t="str">
        <x:v>Aérodrome insulaire</x:v>
      </x:c>
      <x:c r="E3572" s="115" t="n">
        <x:v>17</x:v>
      </x:c>
      <x:c r="F3572" s="115" t="str">
        <x:v>Inspection physique</x:v>
      </x:c>
      <x:c r="G3572" s="115" t="str">
        <x:v>1 niveaux ; 36 pièces ; 265 segments de mur ; 0 transitions. Inspection physique ; architecture complète encore ouverte.</x:v>
      </x:c>
      <x:c r="H3572" s="115" t="str">
        <x:v>L 1100 ; l 1400 ; hauteur 16 m ; choix de composition auteur ; dimensions réelles à documenter</x:v>
      </x:c>
      <x:c r="I3572" s="115" t="str">
        <x:v>À équilibrer</x:v>
      </x:c>
      <x:c r="J3572" s="115" t="str">
        <x:v>Non</x:v>
      </x:c>
      <x:c r="K3572" s="115" t="str">
        <x:v>Pièces décrites, murs, portes, niveaux et mobilier inspectables à l’échelle. Volumes réservés, raccord au seed, butin, rencontres et services de campagne restent à terminer.</x:v>
      </x:c>
    </x:row>
    <x:row r="3573" ht="96" customHeight="1">
      <x:c r="A3573" s="115" t="str">
        <x:v>EXT-MONDE-T072-V18</x:v>
      </x:c>
      <x:c r="B3573" s="115" t="str">
        <x:v>EXT-MONDE-T072</x:v>
      </x:c>
      <x:c r="C3573" s="115" t="str">
        <x:v>Aéroports</x:v>
      </x:c>
      <x:c r="D3573" s="115" t="str">
        <x:v>Aérodrome insulaire</x:v>
      </x:c>
      <x:c r="E3573" s="115" t="n">
        <x:v>18</x:v>
      </x:c>
      <x:c r="F3573" s="115" t="str">
        <x:v>Inspection physique</x:v>
      </x:c>
      <x:c r="G3573" s="115" t="str">
        <x:v>1 niveaux ; 36 pièces ; 265 segments de mur ; 0 transitions. Inspection physique ; architecture complète encore ouverte.</x:v>
      </x:c>
      <x:c r="H3573" s="115" t="str">
        <x:v>L 1100 ; l 1400 ; hauteur 16 m ; choix de composition auteur ; dimensions réelles à documenter</x:v>
      </x:c>
      <x:c r="I3573" s="115" t="str">
        <x:v>À équilibrer</x:v>
      </x:c>
      <x:c r="J3573" s="115" t="str">
        <x:v>Non</x:v>
      </x:c>
      <x:c r="K3573" s="115" t="str">
        <x:v>Pièces décrites, murs, portes, niveaux et mobilier inspectables à l’échelle. Volumes réservés, raccord au seed, butin, rencontres et services de campagne restent à terminer.</x:v>
      </x:c>
    </x:row>
    <x:row r="3574" ht="96" customHeight="1">
      <x:c r="A3574" s="115" t="str">
        <x:v>EXT-MONDE-T072-V19</x:v>
      </x:c>
      <x:c r="B3574" s="115" t="str">
        <x:v>EXT-MONDE-T072</x:v>
      </x:c>
      <x:c r="C3574" s="115" t="str">
        <x:v>Aéroports</x:v>
      </x:c>
      <x:c r="D3574" s="115" t="str">
        <x:v>Aérodrome insulaire</x:v>
      </x:c>
      <x:c r="E3574" s="115" t="n">
        <x:v>19</x:v>
      </x:c>
      <x:c r="F3574" s="115" t="str">
        <x:v>Inspection physique</x:v>
      </x:c>
      <x:c r="G3574" s="115" t="str">
        <x:v>1 niveaux ; 36 pièces ; 265 segments de mur ; 0 transitions. Inspection physique ; architecture complète encore ouverte.</x:v>
      </x:c>
      <x:c r="H3574" s="115" t="str">
        <x:v>L 1100 ; l 1400 ; hauteur 16 m ; choix de composition auteur ; dimensions réelles à documenter</x:v>
      </x:c>
      <x:c r="I3574" s="115" t="str">
        <x:v>À équilibrer</x:v>
      </x:c>
      <x:c r="J3574" s="115" t="str">
        <x:v>Non</x:v>
      </x:c>
      <x:c r="K3574" s="115" t="str">
        <x:v>Pièces décrites, murs, portes, niveaux et mobilier inspectables à l’échelle. Volumes réservés, raccord au seed, butin, rencontres et services de campagne restent à terminer.</x:v>
      </x:c>
    </x:row>
    <x:row r="3575" ht="96" customHeight="1">
      <x:c r="A3575" s="115" t="str">
        <x:v>EXT-MONDE-T072-V20</x:v>
      </x:c>
      <x:c r="B3575" s="115" t="str">
        <x:v>EXT-MONDE-T072</x:v>
      </x:c>
      <x:c r="C3575" s="115" t="str">
        <x:v>Aéroports</x:v>
      </x:c>
      <x:c r="D3575" s="115" t="str">
        <x:v>Aérodrome insulaire</x:v>
      </x:c>
      <x:c r="E3575" s="115" t="n">
        <x:v>20</x:v>
      </x:c>
      <x:c r="F3575" s="115" t="str">
        <x:v>Inspection physique</x:v>
      </x:c>
      <x:c r="G3575" s="115" t="str">
        <x:v>1 niveaux ; 36 pièces ; 265 segments de mur ; 0 transitions. Inspection physique ; architecture complète encore ouverte.</x:v>
      </x:c>
      <x:c r="H3575" s="115" t="str">
        <x:v>L 1100 ; l 1400 ; hauteur 16 m ; choix de composition auteur ; dimensions réelles à documenter</x:v>
      </x:c>
      <x:c r="I3575" s="115" t="str">
        <x:v>À équilibrer</x:v>
      </x:c>
      <x:c r="J3575" s="115" t="str">
        <x:v>Non</x:v>
      </x:c>
      <x:c r="K3575" s="115" t="str">
        <x:v>Pièces décrites, murs, portes, niveaux et mobilier inspectables à l’échelle. Volumes réservés, raccord au seed, butin, rencontres et services de campagne restent à terminer.</x:v>
      </x:c>
    </x:row>
    <x:row r="3576" ht="96" customHeight="1">
      <x:c r="A3576" s="115" t="str">
        <x:v>EXT-MONDE-T072-V21</x:v>
      </x:c>
      <x:c r="B3576" s="115" t="str">
        <x:v>EXT-MONDE-T072</x:v>
      </x:c>
      <x:c r="C3576" s="115" t="str">
        <x:v>Aéroports</x:v>
      </x:c>
      <x:c r="D3576" s="115" t="str">
        <x:v>Aérodrome insulaire</x:v>
      </x:c>
      <x:c r="E3576" s="115" t="n">
        <x:v>21</x:v>
      </x:c>
      <x:c r="F3576" s="115" t="str">
        <x:v>Inspection physique</x:v>
      </x:c>
      <x:c r="G3576" s="115" t="str">
        <x:v>1 niveaux ; 36 pièces ; 265 segments de mur ; 0 transitions. Inspection physique ; architecture complète encore ouverte.</x:v>
      </x:c>
      <x:c r="H3576" s="115" t="str">
        <x:v>L 1100 ; l 1500 ; hauteur 18 m ; choix de composition auteur ; dimensions réelles à documenter</x:v>
      </x:c>
      <x:c r="I3576" s="115" t="str">
        <x:v>À équilibrer</x:v>
      </x:c>
      <x:c r="J3576" s="115" t="str">
        <x:v>Non</x:v>
      </x:c>
      <x:c r="K3576" s="115" t="str">
        <x:v>Pièces décrites, murs, portes, niveaux et mobilier inspectables à l’échelle. Volumes réservés, raccord au seed, butin, rencontres et services de campagne restent à terminer.</x:v>
      </x:c>
    </x:row>
    <x:row r="3577" ht="96" customHeight="1">
      <x:c r="A3577" s="115" t="str">
        <x:v>EXT-MONDE-T072-V22</x:v>
      </x:c>
      <x:c r="B3577" s="115" t="str">
        <x:v>EXT-MONDE-T072</x:v>
      </x:c>
      <x:c r="C3577" s="115" t="str">
        <x:v>Aéroports</x:v>
      </x:c>
      <x:c r="D3577" s="115" t="str">
        <x:v>Aérodrome insulaire</x:v>
      </x:c>
      <x:c r="E3577" s="115" t="n">
        <x:v>22</x:v>
      </x:c>
      <x:c r="F3577" s="115" t="str">
        <x:v>Inspection physique</x:v>
      </x:c>
      <x:c r="G3577" s="115" t="str">
        <x:v>1 niveaux ; 36 pièces ; 265 segments de mur ; 0 transitions. Inspection physique ; architecture complète encore ouverte.</x:v>
      </x:c>
      <x:c r="H3577" s="115" t="str">
        <x:v>L 1100 ; l 1500 ; hauteur 18 m ; choix de composition auteur ; dimensions réelles à documenter</x:v>
      </x:c>
      <x:c r="I3577" s="115" t="str">
        <x:v>À équilibrer</x:v>
      </x:c>
      <x:c r="J3577" s="115" t="str">
        <x:v>Non</x:v>
      </x:c>
      <x:c r="K3577" s="115" t="str">
        <x:v>Pièces décrites, murs, portes, niveaux et mobilier inspectables à l’échelle. Volumes réservés, raccord au seed, butin, rencontres et services de campagne restent à terminer.</x:v>
      </x:c>
    </x:row>
    <x:row r="3578" ht="96" customHeight="1">
      <x:c r="A3578" s="115" t="str">
        <x:v>EXT-MONDE-T072-V23</x:v>
      </x:c>
      <x:c r="B3578" s="115" t="str">
        <x:v>EXT-MONDE-T072</x:v>
      </x:c>
      <x:c r="C3578" s="115" t="str">
        <x:v>Aéroports</x:v>
      </x:c>
      <x:c r="D3578" s="115" t="str">
        <x:v>Aérodrome insulaire</x:v>
      </x:c>
      <x:c r="E3578" s="115" t="n">
        <x:v>23</x:v>
      </x:c>
      <x:c r="F3578" s="115" t="str">
        <x:v>Inspection physique</x:v>
      </x:c>
      <x:c r="G3578" s="115" t="str">
        <x:v>1 niveaux ; 36 pièces ; 265 segments de mur ; 0 transitions. Inspection physique ; architecture complète encore ouverte.</x:v>
      </x:c>
      <x:c r="H3578" s="115" t="str">
        <x:v>L 1100 ; l 1500 ; hauteur 18 m ; choix de composition auteur ; dimensions réelles à documenter</x:v>
      </x:c>
      <x:c r="I3578" s="115" t="str">
        <x:v>À équilibrer</x:v>
      </x:c>
      <x:c r="J3578" s="115" t="str">
        <x:v>Non</x:v>
      </x:c>
      <x:c r="K3578" s="115" t="str">
        <x:v>Pièces décrites, murs, portes, niveaux et mobilier inspectables à l’échelle. Volumes réservés, raccord au seed, butin, rencontres et services de campagne restent à terminer.</x:v>
      </x:c>
    </x:row>
    <x:row r="3579" ht="96" customHeight="1">
      <x:c r="A3579" s="115" t="str">
        <x:v>EXT-MONDE-T072-V24</x:v>
      </x:c>
      <x:c r="B3579" s="115" t="str">
        <x:v>EXT-MONDE-T072</x:v>
      </x:c>
      <x:c r="C3579" s="115" t="str">
        <x:v>Aéroports</x:v>
      </x:c>
      <x:c r="D3579" s="115" t="str">
        <x:v>Aérodrome insulaire</x:v>
      </x:c>
      <x:c r="E3579" s="115" t="n">
        <x:v>24</x:v>
      </x:c>
      <x:c r="F3579" s="115" t="str">
        <x:v>Inspection physique</x:v>
      </x:c>
      <x:c r="G3579" s="115" t="str">
        <x:v>1 niveaux ; 36 pièces ; 265 segments de mur ; 0 transitions. Inspection physique ; architecture complète encore ouverte.</x:v>
      </x:c>
      <x:c r="H3579" s="115" t="str">
        <x:v>L 1100 ; l 1500 ; hauteur 18 m ; choix de composition auteur ; dimensions réelles à documenter</x:v>
      </x:c>
      <x:c r="I3579" s="115" t="str">
        <x:v>À équilibrer</x:v>
      </x:c>
      <x:c r="J3579" s="115" t="str">
        <x:v>Non</x:v>
      </x:c>
      <x:c r="K3579" s="115" t="str">
        <x:v>Pièces décrites, murs, portes, niveaux et mobilier inspectables à l’échelle. Volumes réservés, raccord au seed, butin, rencontres et services de campagne restent à terminer.</x:v>
      </x:c>
    </x:row>
    <x:row r="3580" ht="96" customHeight="1">
      <x:c r="A3580" s="115" t="str">
        <x:v>EXT-MONDE-T072-V25</x:v>
      </x:c>
      <x:c r="B3580" s="115" t="str">
        <x:v>EXT-MONDE-T072</x:v>
      </x:c>
      <x:c r="C3580" s="115" t="str">
        <x:v>Aéroports</x:v>
      </x:c>
      <x:c r="D3580" s="115" t="str">
        <x:v>Aérodrome insulaire</x:v>
      </x:c>
      <x:c r="E3580" s="115" t="n">
        <x:v>25</x:v>
      </x:c>
      <x:c r="F3580" s="115" t="str">
        <x:v>Inspection physique</x:v>
      </x:c>
      <x:c r="G3580" s="115" t="str">
        <x:v>1 niveaux ; 36 pièces ; 265 segments de mur ; 0 transitions. Inspection physique ; architecture complète encore ouverte.</x:v>
      </x:c>
      <x:c r="H3580" s="115" t="str">
        <x:v>L 1100 ; l 1500 ; hauteur 18 m ; choix de composition auteur ; dimensions réelles à documenter</x:v>
      </x:c>
      <x:c r="I3580" s="115" t="str">
        <x:v>À équilibrer</x:v>
      </x:c>
      <x:c r="J3580" s="115" t="str">
        <x:v>Non</x:v>
      </x:c>
      <x:c r="K3580" s="115" t="str">
        <x:v>Pièces décrites, murs, portes, niveaux et mobilier inspectables à l’échelle. Volumes réservés, raccord au seed, butin, rencontres et services de campagne restent à terminer.</x:v>
      </x:c>
    </x:row>
    <x:row r="3581" ht="96" customHeight="1">
      <x:c r="A3581" s="115" t="str">
        <x:v>EXT-MONDE-T072-V26</x:v>
      </x:c>
      <x:c r="B3581" s="115" t="str">
        <x:v>EXT-MONDE-T072</x:v>
      </x:c>
      <x:c r="C3581" s="115" t="str">
        <x:v>Aéroports</x:v>
      </x:c>
      <x:c r="D3581" s="115" t="str">
        <x:v>Aérodrome insulaire</x:v>
      </x:c>
      <x:c r="E3581" s="115" t="n">
        <x:v>26</x:v>
      </x:c>
      <x:c r="F3581" s="115" t="str">
        <x:v>Inspection physique</x:v>
      </x:c>
      <x:c r="G3581" s="115" t="str">
        <x:v>1 niveaux ; 36 pièces ; 265 segments de mur ; 0 transitions. Inspection physique ; architecture complète encore ouverte.</x:v>
      </x:c>
      <x:c r="H3581" s="115" t="str">
        <x:v>L 1100 ; l 1500 ; hauteur 18 m ; choix de composition auteur ; dimensions réelles à documenter</x:v>
      </x:c>
      <x:c r="I3581" s="115" t="str">
        <x:v>À équilibrer</x:v>
      </x:c>
      <x:c r="J3581" s="115" t="str">
        <x:v>Non</x:v>
      </x:c>
      <x:c r="K3581" s="115" t="str">
        <x:v>Pièces décrites, murs, portes, niveaux et mobilier inspectables à l’échelle. Volumes réservés, raccord au seed, butin, rencontres et services de campagne restent à terminer.</x:v>
      </x:c>
    </x:row>
    <x:row r="3582" ht="96" customHeight="1">
      <x:c r="A3582" s="115" t="str">
        <x:v>EXT-MONDE-T072-V27</x:v>
      </x:c>
      <x:c r="B3582" s="115" t="str">
        <x:v>EXT-MONDE-T072</x:v>
      </x:c>
      <x:c r="C3582" s="115" t="str">
        <x:v>Aéroports</x:v>
      </x:c>
      <x:c r="D3582" s="115" t="str">
        <x:v>Aérodrome insulaire</x:v>
      </x:c>
      <x:c r="E3582" s="115" t="n">
        <x:v>27</x:v>
      </x:c>
      <x:c r="F3582" s="115" t="str">
        <x:v>Inspection physique</x:v>
      </x:c>
      <x:c r="G3582" s="115" t="str">
        <x:v>1 niveaux ; 36 pièces ; 265 segments de mur ; 0 transitions. Inspection physique ; architecture complète encore ouverte.</x:v>
      </x:c>
      <x:c r="H3582" s="115" t="str">
        <x:v>L 1100 ; l 1500 ; hauteur 18 m ; choix de composition auteur ; dimensions réelles à documenter</x:v>
      </x:c>
      <x:c r="I3582" s="115" t="str">
        <x:v>À équilibrer</x:v>
      </x:c>
      <x:c r="J3582" s="115" t="str">
        <x:v>Non</x:v>
      </x:c>
      <x:c r="K3582" s="115" t="str">
        <x:v>Pièces décrites, murs, portes, niveaux et mobilier inspectables à l’échelle. Volumes réservés, raccord au seed, butin, rencontres et services de campagne restent à terminer.</x:v>
      </x:c>
    </x:row>
    <x:row r="3583" ht="96" customHeight="1">
      <x:c r="A3583" s="115" t="str">
        <x:v>EXT-MONDE-T072-V28</x:v>
      </x:c>
      <x:c r="B3583" s="115" t="str">
        <x:v>EXT-MONDE-T072</x:v>
      </x:c>
      <x:c r="C3583" s="115" t="str">
        <x:v>Aéroports</x:v>
      </x:c>
      <x:c r="D3583" s="115" t="str">
        <x:v>Aérodrome insulaire</x:v>
      </x:c>
      <x:c r="E3583" s="115" t="n">
        <x:v>28</x:v>
      </x:c>
      <x:c r="F3583" s="115" t="str">
        <x:v>Inspection physique</x:v>
      </x:c>
      <x:c r="G3583" s="115" t="str">
        <x:v>1 niveaux ; 36 pièces ; 265 segments de mur ; 0 transitions. Inspection physique ; architecture complète encore ouverte.</x:v>
      </x:c>
      <x:c r="H3583" s="115" t="str">
        <x:v>L 1100 ; l 1500 ; hauteur 18 m ; choix de composition auteur ; dimensions réelles à documenter</x:v>
      </x:c>
      <x:c r="I3583" s="115" t="str">
        <x:v>À équilibrer</x:v>
      </x:c>
      <x:c r="J3583" s="115" t="str">
        <x:v>Non</x:v>
      </x:c>
      <x:c r="K3583" s="115" t="str">
        <x:v>Pièces décrites, murs, portes, niveaux et mobilier inspectables à l’échelle. Volumes réservés, raccord au seed, butin, rencontres et services de campagne restent à terminer.</x:v>
      </x:c>
    </x:row>
    <x:row r="3584" ht="96" customHeight="1">
      <x:c r="A3584" s="115" t="str">
        <x:v>EXT-MONDE-T072-V29</x:v>
      </x:c>
      <x:c r="B3584" s="115" t="str">
        <x:v>EXT-MONDE-T072</x:v>
      </x:c>
      <x:c r="C3584" s="115" t="str">
        <x:v>Aéroports</x:v>
      </x:c>
      <x:c r="D3584" s="115" t="str">
        <x:v>Aérodrome insulaire</x:v>
      </x:c>
      <x:c r="E3584" s="115" t="n">
        <x:v>29</x:v>
      </x:c>
      <x:c r="F3584" s="115" t="str">
        <x:v>Inspection physique</x:v>
      </x:c>
      <x:c r="G3584" s="115" t="str">
        <x:v>1 niveaux ; 36 pièces ; 265 segments de mur ; 0 transitions. Inspection physique ; architecture complète encore ouverte.</x:v>
      </x:c>
      <x:c r="H3584" s="115" t="str">
        <x:v>L 1100 ; l 1500 ; hauteur 18 m ; choix de composition auteur ; dimensions réelles à documenter</x:v>
      </x:c>
      <x:c r="I3584" s="115" t="str">
        <x:v>À équilibrer</x:v>
      </x:c>
      <x:c r="J3584" s="115" t="str">
        <x:v>Non</x:v>
      </x:c>
      <x:c r="K3584" s="115" t="str">
        <x:v>Pièces décrites, murs, portes, niveaux et mobilier inspectables à l’échelle. Volumes réservés, raccord au seed, butin, rencontres et services de campagne restent à terminer.</x:v>
      </x:c>
    </x:row>
    <x:row r="3585" ht="96" customHeight="1">
      <x:c r="A3585" s="115" t="str">
        <x:v>EXT-MONDE-T072-V30</x:v>
      </x:c>
      <x:c r="B3585" s="115" t="str">
        <x:v>EXT-MONDE-T072</x:v>
      </x:c>
      <x:c r="C3585" s="115" t="str">
        <x:v>Aéroports</x:v>
      </x:c>
      <x:c r="D3585" s="115" t="str">
        <x:v>Aérodrome insulaire</x:v>
      </x:c>
      <x:c r="E3585" s="115" t="n">
        <x:v>30</x:v>
      </x:c>
      <x:c r="F3585" s="115" t="str">
        <x:v>Inspection physique</x:v>
      </x:c>
      <x:c r="G3585" s="115" t="str">
        <x:v>1 niveaux ; 36 pièces ; 265 segments de mur ; 0 transitions. Inspection physique ; architecture complète encore ouverte.</x:v>
      </x:c>
      <x:c r="H3585" s="115" t="str">
        <x:v>L 1100 ; l 1500 ; hauteur 18 m ; choix de composition auteur ; dimensions réelles à documenter</x:v>
      </x:c>
      <x:c r="I3585" s="115" t="str">
        <x:v>À équilibrer</x:v>
      </x:c>
      <x:c r="J3585" s="115" t="str">
        <x:v>Non</x:v>
      </x:c>
      <x:c r="K3585" s="115" t="str">
        <x:v>Pièces décrites, murs, portes, niveaux et mobilier inspectables à l’échelle. Volumes réservés, raccord au seed, butin, rencontres et services de campagne restent à terminer.</x:v>
      </x:c>
    </x:row>
    <x:row r="3586" ht="96" customHeight="1">
      <x:c r="A3586" s="115" t="str">
        <x:v>EXT-MONDE-T072-V31</x:v>
      </x:c>
      <x:c r="B3586" s="115" t="str">
        <x:v>EXT-MONDE-T072</x:v>
      </x:c>
      <x:c r="C3586" s="115" t="str">
        <x:v>Aéroports</x:v>
      </x:c>
      <x:c r="D3586" s="115" t="str">
        <x:v>Aérodrome insulaire</x:v>
      </x:c>
      <x:c r="E3586" s="115" t="n">
        <x:v>31</x:v>
      </x:c>
      <x:c r="F3586" s="115" t="str">
        <x:v>Inspection physique</x:v>
      </x:c>
      <x:c r="G3586" s="115" t="str">
        <x:v>1 niveaux ; 36 pièces ; 265 segments de mur ; 0 transitions. Inspection physique ; architecture complète encore ouverte.</x:v>
      </x:c>
      <x:c r="H3586" s="115" t="str">
        <x:v>L 1100 ; l 1600 ; hauteur 20 m ; choix de composition auteur ; dimensions réelles à documenter</x:v>
      </x:c>
      <x:c r="I3586" s="115" t="str">
        <x:v>À équilibrer</x:v>
      </x:c>
      <x:c r="J3586" s="115" t="str">
        <x:v>Non</x:v>
      </x:c>
      <x:c r="K3586" s="115" t="str">
        <x:v>Pièces décrites, murs, portes, niveaux et mobilier inspectables à l’échelle. Volumes réservés, raccord au seed, butin, rencontres et services de campagne restent à terminer.</x:v>
      </x:c>
    </x:row>
    <x:row r="3587" ht="96" customHeight="1">
      <x:c r="A3587" s="115" t="str">
        <x:v>EXT-MONDE-T072-V32</x:v>
      </x:c>
      <x:c r="B3587" s="115" t="str">
        <x:v>EXT-MONDE-T072</x:v>
      </x:c>
      <x:c r="C3587" s="115" t="str">
        <x:v>Aéroports</x:v>
      </x:c>
      <x:c r="D3587" s="115" t="str">
        <x:v>Aérodrome insulaire</x:v>
      </x:c>
      <x:c r="E3587" s="115" t="n">
        <x:v>32</x:v>
      </x:c>
      <x:c r="F3587" s="115" t="str">
        <x:v>Inspection physique</x:v>
      </x:c>
      <x:c r="G3587" s="115" t="str">
        <x:v>1 niveaux ; 36 pièces ; 265 segments de mur ; 0 transitions. Inspection physique ; architecture complète encore ouverte.</x:v>
      </x:c>
      <x:c r="H3587" s="115" t="str">
        <x:v>L 1100 ; l 1600 ; hauteur 20 m ; choix de composition auteur ; dimensions réelles à documenter</x:v>
      </x:c>
      <x:c r="I3587" s="115" t="str">
        <x:v>À équilibrer</x:v>
      </x:c>
      <x:c r="J3587" s="115" t="str">
        <x:v>Non</x:v>
      </x:c>
      <x:c r="K3587" s="115" t="str">
        <x:v>Pièces décrites, murs, portes, niveaux et mobilier inspectables à l’échelle. Volumes réservés, raccord au seed, butin, rencontres et services de campagne restent à terminer.</x:v>
      </x:c>
    </x:row>
    <x:row r="3588" ht="96" customHeight="1">
      <x:c r="A3588" s="115" t="str">
        <x:v>EXT-MONDE-T072-V33</x:v>
      </x:c>
      <x:c r="B3588" s="115" t="str">
        <x:v>EXT-MONDE-T072</x:v>
      </x:c>
      <x:c r="C3588" s="115" t="str">
        <x:v>Aéroports</x:v>
      </x:c>
      <x:c r="D3588" s="115" t="str">
        <x:v>Aérodrome insulaire</x:v>
      </x:c>
      <x:c r="E3588" s="115" t="n">
        <x:v>33</x:v>
      </x:c>
      <x:c r="F3588" s="115" t="str">
        <x:v>Inspection physique</x:v>
      </x:c>
      <x:c r="G3588" s="115" t="str">
        <x:v>1 niveaux ; 36 pièces ; 265 segments de mur ; 0 transitions. Inspection physique ; architecture complète encore ouverte.</x:v>
      </x:c>
      <x:c r="H3588" s="115" t="str">
        <x:v>L 1100 ; l 1600 ; hauteur 20 m ; choix de composition auteur ; dimensions réelles à documenter</x:v>
      </x:c>
      <x:c r="I3588" s="115" t="str">
        <x:v>À équilibrer</x:v>
      </x:c>
      <x:c r="J3588" s="115" t="str">
        <x:v>Non</x:v>
      </x:c>
      <x:c r="K3588" s="115" t="str">
        <x:v>Pièces décrites, murs, portes, niveaux et mobilier inspectables à l’échelle. Volumes réservés, raccord au seed, butin, rencontres et services de campagne restent à terminer.</x:v>
      </x:c>
    </x:row>
    <x:row r="3589" ht="96" customHeight="1">
      <x:c r="A3589" s="115" t="str">
        <x:v>EXT-MONDE-T072-V34</x:v>
      </x:c>
      <x:c r="B3589" s="115" t="str">
        <x:v>EXT-MONDE-T072</x:v>
      </x:c>
      <x:c r="C3589" s="115" t="str">
        <x:v>Aéroports</x:v>
      </x:c>
      <x:c r="D3589" s="115" t="str">
        <x:v>Aérodrome insulaire</x:v>
      </x:c>
      <x:c r="E3589" s="115" t="n">
        <x:v>34</x:v>
      </x:c>
      <x:c r="F3589" s="115" t="str">
        <x:v>Inspection physique</x:v>
      </x:c>
      <x:c r="G3589" s="115" t="str">
        <x:v>1 niveaux ; 36 pièces ; 265 segments de mur ; 0 transitions. Inspection physique ; architecture complète encore ouverte.</x:v>
      </x:c>
      <x:c r="H3589" s="115" t="str">
        <x:v>L 1100 ; l 1600 ; hauteur 20 m ; choix de composition auteur ; dimensions réelles à documenter</x:v>
      </x:c>
      <x:c r="I3589" s="115" t="str">
        <x:v>À équilibrer</x:v>
      </x:c>
      <x:c r="J3589" s="115" t="str">
        <x:v>Non</x:v>
      </x:c>
      <x:c r="K3589" s="115" t="str">
        <x:v>Pièces décrites, murs, portes, niveaux et mobilier inspectables à l’échelle. Volumes réservés, raccord au seed, butin, rencontres et services de campagne restent à terminer.</x:v>
      </x:c>
    </x:row>
    <x:row r="3590" ht="96" customHeight="1">
      <x:c r="A3590" s="115" t="str">
        <x:v>EXT-MONDE-T072-V35</x:v>
      </x:c>
      <x:c r="B3590" s="115" t="str">
        <x:v>EXT-MONDE-T072</x:v>
      </x:c>
      <x:c r="C3590" s="115" t="str">
        <x:v>Aéroports</x:v>
      </x:c>
      <x:c r="D3590" s="115" t="str">
        <x:v>Aérodrome insulaire</x:v>
      </x:c>
      <x:c r="E3590" s="115" t="n">
        <x:v>35</x:v>
      </x:c>
      <x:c r="F3590" s="115" t="str">
        <x:v>Inspection physique</x:v>
      </x:c>
      <x:c r="G3590" s="115" t="str">
        <x:v>1 niveaux ; 36 pièces ; 265 segments de mur ; 0 transitions. Inspection physique ; architecture complète encore ouverte.</x:v>
      </x:c>
      <x:c r="H3590" s="115" t="str">
        <x:v>L 1100 ; l 1600 ; hauteur 20 m ; choix de composition auteur ; dimensions réelles à documenter</x:v>
      </x:c>
      <x:c r="I3590" s="115" t="str">
        <x:v>À équilibrer</x:v>
      </x:c>
      <x:c r="J3590" s="115" t="str">
        <x:v>Non</x:v>
      </x:c>
      <x:c r="K3590" s="115" t="str">
        <x:v>Pièces décrites, murs, portes, niveaux et mobilier inspectables à l’échelle. Volumes réservés, raccord au seed, butin, rencontres et services de campagne restent à terminer.</x:v>
      </x:c>
    </x:row>
    <x:row r="3591" ht="96" customHeight="1">
      <x:c r="A3591" s="115" t="str">
        <x:v>EXT-MONDE-T072-V36</x:v>
      </x:c>
      <x:c r="B3591" s="115" t="str">
        <x:v>EXT-MONDE-T072</x:v>
      </x:c>
      <x:c r="C3591" s="115" t="str">
        <x:v>Aéroports</x:v>
      </x:c>
      <x:c r="D3591" s="115" t="str">
        <x:v>Aérodrome insulaire</x:v>
      </x:c>
      <x:c r="E3591" s="115" t="n">
        <x:v>36</x:v>
      </x:c>
      <x:c r="F3591" s="115" t="str">
        <x:v>Inspection physique</x:v>
      </x:c>
      <x:c r="G3591" s="115" t="str">
        <x:v>1 niveaux ; 36 pièces ; 265 segments de mur ; 0 transitions. Inspection physique ; architecture complète encore ouverte.</x:v>
      </x:c>
      <x:c r="H3591" s="115" t="str">
        <x:v>L 1100 ; l 1600 ; hauteur 20 m ; choix de composition auteur ; dimensions réelles à documenter</x:v>
      </x:c>
      <x:c r="I3591" s="115" t="str">
        <x:v>À équilibrer</x:v>
      </x:c>
      <x:c r="J3591" s="115" t="str">
        <x:v>Non</x:v>
      </x:c>
      <x:c r="K3591" s="115" t="str">
        <x:v>Pièces décrites, murs, portes, niveaux et mobilier inspectables à l’échelle. Volumes réservés, raccord au seed, butin, rencontres et services de campagne restent à terminer.</x:v>
      </x:c>
    </x:row>
    <x:row r="3592" ht="96" customHeight="1">
      <x:c r="A3592" s="115" t="str">
        <x:v>EXT-MONDE-T072-V37</x:v>
      </x:c>
      <x:c r="B3592" s="115" t="str">
        <x:v>EXT-MONDE-T072</x:v>
      </x:c>
      <x:c r="C3592" s="115" t="str">
        <x:v>Aéroports</x:v>
      </x:c>
      <x:c r="D3592" s="115" t="str">
        <x:v>Aérodrome insulaire</x:v>
      </x:c>
      <x:c r="E3592" s="115" t="n">
        <x:v>37</x:v>
      </x:c>
      <x:c r="F3592" s="115" t="str">
        <x:v>Inspection physique</x:v>
      </x:c>
      <x:c r="G3592" s="115" t="str">
        <x:v>1 niveaux ; 36 pièces ; 265 segments de mur ; 0 transitions. Inspection physique ; architecture complète encore ouverte.</x:v>
      </x:c>
      <x:c r="H3592" s="115" t="str">
        <x:v>L 1100 ; l 1600 ; hauteur 20 m ; choix de composition auteur ; dimensions réelles à documenter</x:v>
      </x:c>
      <x:c r="I3592" s="115" t="str">
        <x:v>À équilibrer</x:v>
      </x:c>
      <x:c r="J3592" s="115" t="str">
        <x:v>Non</x:v>
      </x:c>
      <x:c r="K3592" s="115" t="str">
        <x:v>Pièces décrites, murs, portes, niveaux et mobilier inspectables à l’échelle. Volumes réservés, raccord au seed, butin, rencontres et services de campagne restent à terminer.</x:v>
      </x:c>
    </x:row>
    <x:row r="3593" ht="96" customHeight="1">
      <x:c r="A3593" s="115" t="str">
        <x:v>EXT-MONDE-T072-V38</x:v>
      </x:c>
      <x:c r="B3593" s="115" t="str">
        <x:v>EXT-MONDE-T072</x:v>
      </x:c>
      <x:c r="C3593" s="115" t="str">
        <x:v>Aéroports</x:v>
      </x:c>
      <x:c r="D3593" s="115" t="str">
        <x:v>Aérodrome insulaire</x:v>
      </x:c>
      <x:c r="E3593" s="115" t="n">
        <x:v>38</x:v>
      </x:c>
      <x:c r="F3593" s="115" t="str">
        <x:v>Inspection physique</x:v>
      </x:c>
      <x:c r="G3593" s="115" t="str">
        <x:v>1 niveaux ; 36 pièces ; 265 segments de mur ; 0 transitions. Inspection physique ; architecture complète encore ouverte.</x:v>
      </x:c>
      <x:c r="H3593" s="115" t="str">
        <x:v>L 1100 ; l 1600 ; hauteur 20 m ; choix de composition auteur ; dimensions réelles à documenter</x:v>
      </x:c>
      <x:c r="I3593" s="115" t="str">
        <x:v>À équilibrer</x:v>
      </x:c>
      <x:c r="J3593" s="115" t="str">
        <x:v>Non</x:v>
      </x:c>
      <x:c r="K3593" s="115" t="str">
        <x:v>Pièces décrites, murs, portes, niveaux et mobilier inspectables à l’échelle. Volumes réservés, raccord au seed, butin, rencontres et services de campagne restent à terminer.</x:v>
      </x:c>
    </x:row>
    <x:row r="3594" ht="96" customHeight="1">
      <x:c r="A3594" s="115" t="str">
        <x:v>EXT-MONDE-T072-V39</x:v>
      </x:c>
      <x:c r="B3594" s="115" t="str">
        <x:v>EXT-MONDE-T072</x:v>
      </x:c>
      <x:c r="C3594" s="115" t="str">
        <x:v>Aéroports</x:v>
      </x:c>
      <x:c r="D3594" s="115" t="str">
        <x:v>Aérodrome insulaire</x:v>
      </x:c>
      <x:c r="E3594" s="115" t="n">
        <x:v>39</x:v>
      </x:c>
      <x:c r="F3594" s="115" t="str">
        <x:v>Inspection physique</x:v>
      </x:c>
      <x:c r="G3594" s="115" t="str">
        <x:v>1 niveaux ; 36 pièces ; 265 segments de mur ; 0 transitions. Inspection physique ; architecture complète encore ouverte.</x:v>
      </x:c>
      <x:c r="H3594" s="115" t="str">
        <x:v>L 1100 ; l 1600 ; hauteur 20 m ; choix de composition auteur ; dimensions réelles à documenter</x:v>
      </x:c>
      <x:c r="I3594" s="115" t="str">
        <x:v>À équilibrer</x:v>
      </x:c>
      <x:c r="J3594" s="115" t="str">
        <x:v>Non</x:v>
      </x:c>
      <x:c r="K3594" s="115" t="str">
        <x:v>Pièces décrites, murs, portes, niveaux et mobilier inspectables à l’échelle. Volumes réservés, raccord au seed, butin, rencontres et services de campagne restent à terminer.</x:v>
      </x:c>
    </x:row>
    <x:row r="3595" ht="96" customHeight="1">
      <x:c r="A3595" s="115" t="str">
        <x:v>EXT-MONDE-T072-V40</x:v>
      </x:c>
      <x:c r="B3595" s="115" t="str">
        <x:v>EXT-MONDE-T072</x:v>
      </x:c>
      <x:c r="C3595" s="115" t="str">
        <x:v>Aéroports</x:v>
      </x:c>
      <x:c r="D3595" s="115" t="str">
        <x:v>Aérodrome insulaire</x:v>
      </x:c>
      <x:c r="E3595" s="115" t="n">
        <x:v>40</x:v>
      </x:c>
      <x:c r="F3595" s="115" t="str">
        <x:v>Inspection physique</x:v>
      </x:c>
      <x:c r="G3595" s="115" t="str">
        <x:v>1 niveaux ; 36 pièces ; 265 segments de mur ; 0 transitions. Inspection physique ; architecture complète encore ouverte.</x:v>
      </x:c>
      <x:c r="H3595" s="115" t="str">
        <x:v>L 1100 ; l 1600 ; hauteur 20 m ; choix de composition auteur ; dimensions réelles à documenter</x:v>
      </x:c>
      <x:c r="I3595" s="115" t="str">
        <x:v>À équilibrer</x:v>
      </x:c>
      <x:c r="J3595" s="115" t="str">
        <x:v>Non</x:v>
      </x:c>
      <x:c r="K3595" s="115" t="str">
        <x:v>Pièces décrites, murs, portes, niveaux et mobilier inspectables à l’échelle. Volumes réservés, raccord au seed, butin, rencontres et services de campagne restent à terminer.</x:v>
      </x:c>
    </x:row>
    <x:row r="3596" ht="96" customHeight="1">
      <x:c r="A3596" s="115" t="str">
        <x:v>EXT-MONDE-T072-V41</x:v>
      </x:c>
      <x:c r="B3596" s="115" t="str">
        <x:v>EXT-MONDE-T072</x:v>
      </x:c>
      <x:c r="C3596" s="115" t="str">
        <x:v>Aéroports</x:v>
      </x:c>
      <x:c r="D3596" s="115" t="str">
        <x:v>Aérodrome insulaire</x:v>
      </x:c>
      <x:c r="E3596" s="115" t="n">
        <x:v>41</x:v>
      </x:c>
      <x:c r="F3596" s="115" t="str">
        <x:v>Inspection physique</x:v>
      </x:c>
      <x:c r="G3596" s="115" t="str">
        <x:v>1 niveaux ; 36 pièces ; 265 segments de mur ; 0 transitions. Inspection physique ; architecture complète encore ouverte.</x:v>
      </x:c>
      <x:c r="H3596" s="115" t="str">
        <x:v>L 1100 ; l 1700 ; hauteur 22 m ; choix de composition auteur ; dimensions réelles à documenter</x:v>
      </x:c>
      <x:c r="I3596" s="115" t="str">
        <x:v>À équilibrer</x:v>
      </x:c>
      <x:c r="J3596" s="115" t="str">
        <x:v>Non</x:v>
      </x:c>
      <x:c r="K3596" s="115" t="str">
        <x:v>Pièces décrites, murs, portes, niveaux et mobilier inspectables à l’échelle. Volumes réservés, raccord au seed, butin, rencontres et services de campagne restent à terminer.</x:v>
      </x:c>
    </x:row>
    <x:row r="3597" ht="96" customHeight="1">
      <x:c r="A3597" s="115" t="str">
        <x:v>EXT-MONDE-T072-V42</x:v>
      </x:c>
      <x:c r="B3597" s="115" t="str">
        <x:v>EXT-MONDE-T072</x:v>
      </x:c>
      <x:c r="C3597" s="115" t="str">
        <x:v>Aéroports</x:v>
      </x:c>
      <x:c r="D3597" s="115" t="str">
        <x:v>Aérodrome insulaire</x:v>
      </x:c>
      <x:c r="E3597" s="115" t="n">
        <x:v>42</x:v>
      </x:c>
      <x:c r="F3597" s="115" t="str">
        <x:v>Inspection physique</x:v>
      </x:c>
      <x:c r="G3597" s="115" t="str">
        <x:v>1 niveaux ; 36 pièces ; 265 segments de mur ; 0 transitions. Inspection physique ; architecture complète encore ouverte.</x:v>
      </x:c>
      <x:c r="H3597" s="115" t="str">
        <x:v>L 1100 ; l 1700 ; hauteur 22 m ; choix de composition auteur ; dimensions réelles à documenter</x:v>
      </x:c>
      <x:c r="I3597" s="115" t="str">
        <x:v>À équilibrer</x:v>
      </x:c>
      <x:c r="J3597" s="115" t="str">
        <x:v>Non</x:v>
      </x:c>
      <x:c r="K3597" s="115" t="str">
        <x:v>Pièces décrites, murs, portes, niveaux et mobilier inspectables à l’échelle. Volumes réservés, raccord au seed, butin, rencontres et services de campagne restent à terminer.</x:v>
      </x:c>
    </x:row>
    <x:row r="3598" ht="96" customHeight="1">
      <x:c r="A3598" s="115" t="str">
        <x:v>EXT-MONDE-T072-V43</x:v>
      </x:c>
      <x:c r="B3598" s="115" t="str">
        <x:v>EXT-MONDE-T072</x:v>
      </x:c>
      <x:c r="C3598" s="115" t="str">
        <x:v>Aéroports</x:v>
      </x:c>
      <x:c r="D3598" s="115" t="str">
        <x:v>Aérodrome insulaire</x:v>
      </x:c>
      <x:c r="E3598" s="115" t="n">
        <x:v>43</x:v>
      </x:c>
      <x:c r="F3598" s="115" t="str">
        <x:v>Inspection physique</x:v>
      </x:c>
      <x:c r="G3598" s="115" t="str">
        <x:v>1 niveaux ; 36 pièces ; 265 segments de mur ; 0 transitions. Inspection physique ; architecture complète encore ouverte.</x:v>
      </x:c>
      <x:c r="H3598" s="115" t="str">
        <x:v>L 1100 ; l 1700 ; hauteur 22 m ; choix de composition auteur ; dimensions réelles à documenter</x:v>
      </x:c>
      <x:c r="I3598" s="115" t="str">
        <x:v>À équilibrer</x:v>
      </x:c>
      <x:c r="J3598" s="115" t="str">
        <x:v>Non</x:v>
      </x:c>
      <x:c r="K3598" s="115" t="str">
        <x:v>Pièces décrites, murs, portes, niveaux et mobilier inspectables à l’échelle. Volumes réservés, raccord au seed, butin, rencontres et services de campagne restent à terminer.</x:v>
      </x:c>
    </x:row>
    <x:row r="3599" ht="96" customHeight="1">
      <x:c r="A3599" s="115" t="str">
        <x:v>EXT-MONDE-T072-V44</x:v>
      </x:c>
      <x:c r="B3599" s="115" t="str">
        <x:v>EXT-MONDE-T072</x:v>
      </x:c>
      <x:c r="C3599" s="115" t="str">
        <x:v>Aéroports</x:v>
      </x:c>
      <x:c r="D3599" s="115" t="str">
        <x:v>Aérodrome insulaire</x:v>
      </x:c>
      <x:c r="E3599" s="115" t="n">
        <x:v>44</x:v>
      </x:c>
      <x:c r="F3599" s="115" t="str">
        <x:v>Inspection physique</x:v>
      </x:c>
      <x:c r="G3599" s="115" t="str">
        <x:v>1 niveaux ; 36 pièces ; 265 segments de mur ; 0 transitions. Inspection physique ; architecture complète encore ouverte.</x:v>
      </x:c>
      <x:c r="H3599" s="115" t="str">
        <x:v>L 1100 ; l 1700 ; hauteur 22 m ; choix de composition auteur ; dimensions réelles à documenter</x:v>
      </x:c>
      <x:c r="I3599" s="115" t="str">
        <x:v>À équilibrer</x:v>
      </x:c>
      <x:c r="J3599" s="115" t="str">
        <x:v>Non</x:v>
      </x:c>
      <x:c r="K3599" s="115" t="str">
        <x:v>Pièces décrites, murs, portes, niveaux et mobilier inspectables à l’échelle. Volumes réservés, raccord au seed, butin, rencontres et services de campagne restent à terminer.</x:v>
      </x:c>
    </x:row>
    <x:row r="3600" ht="96" customHeight="1">
      <x:c r="A3600" s="115" t="str">
        <x:v>EXT-MONDE-T072-V45</x:v>
      </x:c>
      <x:c r="B3600" s="115" t="str">
        <x:v>EXT-MONDE-T072</x:v>
      </x:c>
      <x:c r="C3600" s="115" t="str">
        <x:v>Aéroports</x:v>
      </x:c>
      <x:c r="D3600" s="115" t="str">
        <x:v>Aérodrome insulaire</x:v>
      </x:c>
      <x:c r="E3600" s="115" t="n">
        <x:v>45</x:v>
      </x:c>
      <x:c r="F3600" s="115" t="str">
        <x:v>Inspection physique</x:v>
      </x:c>
      <x:c r="G3600" s="115" t="str">
        <x:v>1 niveaux ; 36 pièces ; 265 segments de mur ; 0 transitions. Inspection physique ; architecture complète encore ouverte.</x:v>
      </x:c>
      <x:c r="H3600" s="115" t="str">
        <x:v>L 1100 ; l 1700 ; hauteur 22 m ; choix de composition auteur ; dimensions réelles à documenter</x:v>
      </x:c>
      <x:c r="I3600" s="115" t="str">
        <x:v>À équilibrer</x:v>
      </x:c>
      <x:c r="J3600" s="115" t="str">
        <x:v>Non</x:v>
      </x:c>
      <x:c r="K3600" s="115" t="str">
        <x:v>Pièces décrites, murs, portes, niveaux et mobilier inspectables à l’échelle. Volumes réservés, raccord au seed, butin, rencontres et services de campagne restent à terminer.</x:v>
      </x:c>
    </x:row>
    <x:row r="3601" ht="96" customHeight="1">
      <x:c r="A3601" s="115" t="str">
        <x:v>EXT-MONDE-T072-V46</x:v>
      </x:c>
      <x:c r="B3601" s="115" t="str">
        <x:v>EXT-MONDE-T072</x:v>
      </x:c>
      <x:c r="C3601" s="115" t="str">
        <x:v>Aéroports</x:v>
      </x:c>
      <x:c r="D3601" s="115" t="str">
        <x:v>Aérodrome insulaire</x:v>
      </x:c>
      <x:c r="E3601" s="115" t="n">
        <x:v>46</x:v>
      </x:c>
      <x:c r="F3601" s="115" t="str">
        <x:v>Inspection physique</x:v>
      </x:c>
      <x:c r="G3601" s="115" t="str">
        <x:v>1 niveaux ; 36 pièces ; 265 segments de mur ; 0 transitions. Inspection physique ; architecture complète encore ouverte.</x:v>
      </x:c>
      <x:c r="H3601" s="115" t="str">
        <x:v>L 1100 ; l 1700 ; hauteur 22 m ; choix de composition auteur ; dimensions réelles à documenter</x:v>
      </x:c>
      <x:c r="I3601" s="115" t="str">
        <x:v>À équilibrer</x:v>
      </x:c>
      <x:c r="J3601" s="115" t="str">
        <x:v>Non</x:v>
      </x:c>
      <x:c r="K3601" s="115" t="str">
        <x:v>Pièces décrites, murs, portes, niveaux et mobilier inspectables à l’échelle. Volumes réservés, raccord au seed, butin, rencontres et services de campagne restent à terminer.</x:v>
      </x:c>
    </x:row>
    <x:row r="3602" ht="96" customHeight="1">
      <x:c r="A3602" s="115" t="str">
        <x:v>EXT-MONDE-T072-V47</x:v>
      </x:c>
      <x:c r="B3602" s="115" t="str">
        <x:v>EXT-MONDE-T072</x:v>
      </x:c>
      <x:c r="C3602" s="115" t="str">
        <x:v>Aéroports</x:v>
      </x:c>
      <x:c r="D3602" s="115" t="str">
        <x:v>Aérodrome insulaire</x:v>
      </x:c>
      <x:c r="E3602" s="115" t="n">
        <x:v>47</x:v>
      </x:c>
      <x:c r="F3602" s="115" t="str">
        <x:v>Inspection physique</x:v>
      </x:c>
      <x:c r="G3602" s="115" t="str">
        <x:v>1 niveaux ; 36 pièces ; 265 segments de mur ; 0 transitions. Inspection physique ; architecture complète encore ouverte.</x:v>
      </x:c>
      <x:c r="H3602" s="115" t="str">
        <x:v>L 1100 ; l 1700 ; hauteur 22 m ; choix de composition auteur ; dimensions réelles à documenter</x:v>
      </x:c>
      <x:c r="I3602" s="115" t="str">
        <x:v>À équilibrer</x:v>
      </x:c>
      <x:c r="J3602" s="115" t="str">
        <x:v>Non</x:v>
      </x:c>
      <x:c r="K3602" s="115" t="str">
        <x:v>Pièces décrites, murs, portes, niveaux et mobilier inspectables à l’échelle. Volumes réservés, raccord au seed, butin, rencontres et services de campagne restent à terminer.</x:v>
      </x:c>
    </x:row>
    <x:row r="3603" ht="96" customHeight="1">
      <x:c r="A3603" s="115" t="str">
        <x:v>EXT-MONDE-T072-V48</x:v>
      </x:c>
      <x:c r="B3603" s="115" t="str">
        <x:v>EXT-MONDE-T072</x:v>
      </x:c>
      <x:c r="C3603" s="115" t="str">
        <x:v>Aéroports</x:v>
      </x:c>
      <x:c r="D3603" s="115" t="str">
        <x:v>Aérodrome insulaire</x:v>
      </x:c>
      <x:c r="E3603" s="115" t="n">
        <x:v>48</x:v>
      </x:c>
      <x:c r="F3603" s="115" t="str">
        <x:v>Inspection physique</x:v>
      </x:c>
      <x:c r="G3603" s="115" t="str">
        <x:v>1 niveaux ; 36 pièces ; 265 segments de mur ; 0 transitions. Inspection physique ; architecture complète encore ouverte.</x:v>
      </x:c>
      <x:c r="H3603" s="115" t="str">
        <x:v>L 1100 ; l 1700 ; hauteur 22 m ; choix de composition auteur ; dimensions réelles à documenter</x:v>
      </x:c>
      <x:c r="I3603" s="115" t="str">
        <x:v>À équilibrer</x:v>
      </x:c>
      <x:c r="J3603" s="115" t="str">
        <x:v>Non</x:v>
      </x:c>
      <x:c r="K3603" s="115" t="str">
        <x:v>Pièces décrites, murs, portes, niveaux et mobilier inspectables à l’échelle. Volumes réservés, raccord au seed, butin, rencontres et services de campagne restent à terminer.</x:v>
      </x:c>
    </x:row>
    <x:row r="3604" ht="96" customHeight="1">
      <x:c r="A3604" s="115" t="str">
        <x:v>EXT-MONDE-T072-V49</x:v>
      </x:c>
      <x:c r="B3604" s="115" t="str">
        <x:v>EXT-MONDE-T072</x:v>
      </x:c>
      <x:c r="C3604" s="115" t="str">
        <x:v>Aéroports</x:v>
      </x:c>
      <x:c r="D3604" s="115" t="str">
        <x:v>Aérodrome insulaire</x:v>
      </x:c>
      <x:c r="E3604" s="115" t="n">
        <x:v>49</x:v>
      </x:c>
      <x:c r="F3604" s="115" t="str">
        <x:v>Inspection physique</x:v>
      </x:c>
      <x:c r="G3604" s="115" t="str">
        <x:v>1 niveaux ; 36 pièces ; 265 segments de mur ; 0 transitions. Inspection physique ; architecture complète encore ouverte.</x:v>
      </x:c>
      <x:c r="H3604" s="115" t="str">
        <x:v>L 1100 ; l 1700 ; hauteur 22 m ; choix de composition auteur ; dimensions réelles à documenter</x:v>
      </x:c>
      <x:c r="I3604" s="115" t="str">
        <x:v>À équilibrer</x:v>
      </x:c>
      <x:c r="J3604" s="115" t="str">
        <x:v>Non</x:v>
      </x:c>
      <x:c r="K3604" s="115" t="str">
        <x:v>Pièces décrites, murs, portes, niveaux et mobilier inspectables à l’échelle. Volumes réservés, raccord au seed, butin, rencontres et services de campagne restent à terminer.</x:v>
      </x:c>
    </x:row>
    <x:row r="3605" ht="96" customHeight="1">
      <x:c r="A3605" s="115" t="str">
        <x:v>EXT-MONDE-T072-V50</x:v>
      </x:c>
      <x:c r="B3605" s="115" t="str">
        <x:v>EXT-MONDE-T072</x:v>
      </x:c>
      <x:c r="C3605" s="115" t="str">
        <x:v>Aéroports</x:v>
      </x:c>
      <x:c r="D3605" s="115" t="str">
        <x:v>Aérodrome insulaire</x:v>
      </x:c>
      <x:c r="E3605" s="115" t="n">
        <x:v>50</x:v>
      </x:c>
      <x:c r="F3605" s="115" t="str">
        <x:v>Inspection physique</x:v>
      </x:c>
      <x:c r="G3605" s="115" t="str">
        <x:v>1 niveaux ; 36 pièces ; 265 segments de mur ; 0 transitions. Inspection physique ; architecture complète encore ouverte.</x:v>
      </x:c>
      <x:c r="H3605" s="115" t="str">
        <x:v>L 1100 ; l 1700 ; hauteur 22 m ; choix de composition auteur ; dimensions réelles à documenter</x:v>
      </x:c>
      <x:c r="I3605" s="115" t="str">
        <x:v>À équilibrer</x:v>
      </x:c>
      <x:c r="J3605" s="115" t="str">
        <x:v>Non</x:v>
      </x:c>
      <x:c r="K3605" s="115" t="str">
        <x:v>Pièces décrites, murs, portes, niveaux et mobilier inspectables à l’échelle. Volumes réservés, raccord au seed, butin, rencontres et services de campagne restent à terminer.</x:v>
      </x:c>
    </x:row>
    <x:row r="3606" ht="96" customHeight="1">
      <x:c r="A3606" s="115" t="str">
        <x:v>EXT-MONDE-T073-V01</x:v>
      </x:c>
      <x:c r="B3606" s="115" t="str">
        <x:v>EXT-MONDE-T073</x:v>
      </x:c>
      <x:c r="C3606" s="115" t="str">
        <x:v>Ferroviaire</x:v>
      </x:c>
      <x:c r="D3606" s="115" t="str">
        <x:v>Gare de passage</x:v>
      </x:c>
      <x:c r="E3606" s="115" t="n">
        <x:v>1</x:v>
      </x:c>
      <x:c r="F3606" s="115" t="str">
        <x:v>Inspection physique</x:v>
      </x:c>
      <x:c r="G3606" s="115" t="str">
        <x:v>1 niveaux ; 36 pièces ; 265 segments de mur ; 0 transitions. Inspection physique ; architecture complète encore ouverte.</x:v>
      </x:c>
      <x:c r="H3606" s="115" t="str">
        <x:v>L 800 ; l 1700 ; hauteur 7 m ; choix de composition auteur ; dimensions réelles à documenter</x:v>
      </x:c>
      <x:c r="I3606" s="115" t="str">
        <x:v>À équilibrer</x:v>
      </x:c>
      <x:c r="J3606" s="115" t="str">
        <x:v>Non</x:v>
      </x:c>
      <x:c r="K3606" s="115" t="str">
        <x:v>Pièces décrites, murs, portes, niveaux et mobilier inspectables à l’échelle. Volumes réservés, raccord au seed, butin, rencontres et services de campagne restent à terminer.</x:v>
      </x:c>
    </x:row>
    <x:row r="3607" ht="96" customHeight="1">
      <x:c r="A3607" s="115" t="str">
        <x:v>EXT-MONDE-T073-V02</x:v>
      </x:c>
      <x:c r="B3607" s="115" t="str">
        <x:v>EXT-MONDE-T073</x:v>
      </x:c>
      <x:c r="C3607" s="115" t="str">
        <x:v>Ferroviaire</x:v>
      </x:c>
      <x:c r="D3607" s="115" t="str">
        <x:v>Gare de passage</x:v>
      </x:c>
      <x:c r="E3607" s="115" t="n">
        <x:v>2</x:v>
      </x:c>
      <x:c r="F3607" s="115" t="str">
        <x:v>Inspection physique</x:v>
      </x:c>
      <x:c r="G3607" s="115" t="str">
        <x:v>1 niveaux ; 36 pièces ; 265 segments de mur ; 0 transitions. Inspection physique ; architecture complète encore ouverte.</x:v>
      </x:c>
      <x:c r="H3607" s="115" t="str">
        <x:v>L 800 ; l 1700 ; hauteur 7 m ; choix de composition auteur ; dimensions réelles à documenter</x:v>
      </x:c>
      <x:c r="I3607" s="115" t="str">
        <x:v>À équilibrer</x:v>
      </x:c>
      <x:c r="J3607" s="115" t="str">
        <x:v>Non</x:v>
      </x:c>
      <x:c r="K3607" s="115" t="str">
        <x:v>Pièces décrites, murs, portes, niveaux et mobilier inspectables à l’échelle. Volumes réservés, raccord au seed, butin, rencontres et services de campagne restent à terminer.</x:v>
      </x:c>
    </x:row>
    <x:row r="3608" ht="96" customHeight="1">
      <x:c r="A3608" s="115" t="str">
        <x:v>EXT-MONDE-T073-V03</x:v>
      </x:c>
      <x:c r="B3608" s="115" t="str">
        <x:v>EXT-MONDE-T073</x:v>
      </x:c>
      <x:c r="C3608" s="115" t="str">
        <x:v>Ferroviaire</x:v>
      </x:c>
      <x:c r="D3608" s="115" t="str">
        <x:v>Gare de passage</x:v>
      </x:c>
      <x:c r="E3608" s="115" t="n">
        <x:v>3</x:v>
      </x:c>
      <x:c r="F3608" s="115" t="str">
        <x:v>Inspection physique</x:v>
      </x:c>
      <x:c r="G3608" s="115" t="str">
        <x:v>1 niveaux ; 36 pièces ; 265 segments de mur ; 0 transitions. Inspection physique ; architecture complète encore ouverte.</x:v>
      </x:c>
      <x:c r="H3608" s="115" t="str">
        <x:v>L 800 ; l 1700 ; hauteur 7 m ; choix de composition auteur ; dimensions réelles à documenter</x:v>
      </x:c>
      <x:c r="I3608" s="115" t="str">
        <x:v>À équilibrer</x:v>
      </x:c>
      <x:c r="J3608" s="115" t="str">
        <x:v>Non</x:v>
      </x:c>
      <x:c r="K3608" s="115" t="str">
        <x:v>Pièces décrites, murs, portes, niveaux et mobilier inspectables à l’échelle. Volumes réservés, raccord au seed, butin, rencontres et services de campagne restent à terminer.</x:v>
      </x:c>
    </x:row>
    <x:row r="3609" ht="96" customHeight="1">
      <x:c r="A3609" s="115" t="str">
        <x:v>EXT-MONDE-T073-V04</x:v>
      </x:c>
      <x:c r="B3609" s="115" t="str">
        <x:v>EXT-MONDE-T073</x:v>
      </x:c>
      <x:c r="C3609" s="115" t="str">
        <x:v>Ferroviaire</x:v>
      </x:c>
      <x:c r="D3609" s="115" t="str">
        <x:v>Gare de passage</x:v>
      </x:c>
      <x:c r="E3609" s="115" t="n">
        <x:v>4</x:v>
      </x:c>
      <x:c r="F3609" s="115" t="str">
        <x:v>Inspection physique</x:v>
      </x:c>
      <x:c r="G3609" s="115" t="str">
        <x:v>1 niveaux ; 36 pièces ; 265 segments de mur ; 0 transitions. Inspection physique ; architecture complète encore ouverte.</x:v>
      </x:c>
      <x:c r="H3609" s="115" t="str">
        <x:v>L 800 ; l 1700 ; hauteur 7 m ; choix de composition auteur ; dimensions réelles à documenter</x:v>
      </x:c>
      <x:c r="I3609" s="115" t="str">
        <x:v>À équilibrer</x:v>
      </x:c>
      <x:c r="J3609" s="115" t="str">
        <x:v>Non</x:v>
      </x:c>
      <x:c r="K3609" s="115" t="str">
        <x:v>Pièces décrites, murs, portes, niveaux et mobilier inspectables à l’échelle. Volumes réservés, raccord au seed, butin, rencontres et services de campagne restent à terminer.</x:v>
      </x:c>
    </x:row>
    <x:row r="3610" ht="96" customHeight="1">
      <x:c r="A3610" s="115" t="str">
        <x:v>EXT-MONDE-T073-V05</x:v>
      </x:c>
      <x:c r="B3610" s="115" t="str">
        <x:v>EXT-MONDE-T073</x:v>
      </x:c>
      <x:c r="C3610" s="115" t="str">
        <x:v>Ferroviaire</x:v>
      </x:c>
      <x:c r="D3610" s="115" t="str">
        <x:v>Gare de passage</x:v>
      </x:c>
      <x:c r="E3610" s="115" t="n">
        <x:v>5</x:v>
      </x:c>
      <x:c r="F3610" s="115" t="str">
        <x:v>Inspection physique</x:v>
      </x:c>
      <x:c r="G3610" s="115" t="str">
        <x:v>1 niveaux ; 36 pièces ; 265 segments de mur ; 0 transitions. Inspection physique ; architecture complète encore ouverte.</x:v>
      </x:c>
      <x:c r="H3610" s="115" t="str">
        <x:v>L 800 ; l 1700 ; hauteur 7 m ; choix de composition auteur ; dimensions réelles à documenter</x:v>
      </x:c>
      <x:c r="I3610" s="115" t="str">
        <x:v>À équilibrer</x:v>
      </x:c>
      <x:c r="J3610" s="115" t="str">
        <x:v>Non</x:v>
      </x:c>
      <x:c r="K3610" s="115" t="str">
        <x:v>Pièces décrites, murs, portes, niveaux et mobilier inspectables à l’échelle. Volumes réservés, raccord au seed, butin, rencontres et services de campagne restent à terminer.</x:v>
      </x:c>
    </x:row>
    <x:row r="3611" ht="96" customHeight="1">
      <x:c r="A3611" s="115" t="str">
        <x:v>EXT-MONDE-T073-V06</x:v>
      </x:c>
      <x:c r="B3611" s="115" t="str">
        <x:v>EXT-MONDE-T073</x:v>
      </x:c>
      <x:c r="C3611" s="115" t="str">
        <x:v>Ferroviaire</x:v>
      </x:c>
      <x:c r="D3611" s="115" t="str">
        <x:v>Gare de passage</x:v>
      </x:c>
      <x:c r="E3611" s="115" t="n">
        <x:v>6</x:v>
      </x:c>
      <x:c r="F3611" s="115" t="str">
        <x:v>Inspection physique</x:v>
      </x:c>
      <x:c r="G3611" s="115" t="str">
        <x:v>1 niveaux ; 36 pièces ; 265 segments de mur ; 0 transitions. Inspection physique ; architecture complète encore ouverte.</x:v>
      </x:c>
      <x:c r="H3611" s="115" t="str">
        <x:v>L 800 ; l 1700 ; hauteur 7 m ; choix de composition auteur ; dimensions réelles à documenter</x:v>
      </x:c>
      <x:c r="I3611" s="115" t="str">
        <x:v>À équilibrer</x:v>
      </x:c>
      <x:c r="J3611" s="115" t="str">
        <x:v>Non</x:v>
      </x:c>
      <x:c r="K3611" s="115" t="str">
        <x:v>Pièces décrites, murs, portes, niveaux et mobilier inspectables à l’échelle. Volumes réservés, raccord au seed, butin, rencontres et services de campagne restent à terminer.</x:v>
      </x:c>
    </x:row>
    <x:row r="3612" ht="96" customHeight="1">
      <x:c r="A3612" s="115" t="str">
        <x:v>EXT-MONDE-T073-V07</x:v>
      </x:c>
      <x:c r="B3612" s="115" t="str">
        <x:v>EXT-MONDE-T073</x:v>
      </x:c>
      <x:c r="C3612" s="115" t="str">
        <x:v>Ferroviaire</x:v>
      </x:c>
      <x:c r="D3612" s="115" t="str">
        <x:v>Gare de passage</x:v>
      </x:c>
      <x:c r="E3612" s="115" t="n">
        <x:v>7</x:v>
      </x:c>
      <x:c r="F3612" s="115" t="str">
        <x:v>Inspection physique</x:v>
      </x:c>
      <x:c r="G3612" s="115" t="str">
        <x:v>1 niveaux ; 36 pièces ; 265 segments de mur ; 0 transitions. Inspection physique ; architecture complète encore ouverte.</x:v>
      </x:c>
      <x:c r="H3612" s="115" t="str">
        <x:v>L 800 ; l 1700 ; hauteur 7 m ; choix de composition auteur ; dimensions réelles à documenter</x:v>
      </x:c>
      <x:c r="I3612" s="115" t="str">
        <x:v>À équilibrer</x:v>
      </x:c>
      <x:c r="J3612" s="115" t="str">
        <x:v>Non</x:v>
      </x:c>
      <x:c r="K3612" s="115" t="str">
        <x:v>Pièces décrites, murs, portes, niveaux et mobilier inspectables à l’échelle. Volumes réservés, raccord au seed, butin, rencontres et services de campagne restent à terminer.</x:v>
      </x:c>
    </x:row>
    <x:row r="3613" ht="96" customHeight="1">
      <x:c r="A3613" s="115" t="str">
        <x:v>EXT-MONDE-T073-V08</x:v>
      </x:c>
      <x:c r="B3613" s="115" t="str">
        <x:v>EXT-MONDE-T073</x:v>
      </x:c>
      <x:c r="C3613" s="115" t="str">
        <x:v>Ferroviaire</x:v>
      </x:c>
      <x:c r="D3613" s="115" t="str">
        <x:v>Gare de passage</x:v>
      </x:c>
      <x:c r="E3613" s="115" t="n">
        <x:v>8</x:v>
      </x:c>
      <x:c r="F3613" s="115" t="str">
        <x:v>Inspection physique</x:v>
      </x:c>
      <x:c r="G3613" s="115" t="str">
        <x:v>1 niveaux ; 36 pièces ; 265 segments de mur ; 0 transitions. Inspection physique ; architecture complète encore ouverte.</x:v>
      </x:c>
      <x:c r="H3613" s="115" t="str">
        <x:v>L 800 ; l 1700 ; hauteur 7 m ; choix de composition auteur ; dimensions réelles à documenter</x:v>
      </x:c>
      <x:c r="I3613" s="115" t="str">
        <x:v>À équilibrer</x:v>
      </x:c>
      <x:c r="J3613" s="115" t="str">
        <x:v>Non</x:v>
      </x:c>
      <x:c r="K3613" s="115" t="str">
        <x:v>Pièces décrites, murs, portes, niveaux et mobilier inspectables à l’échelle. Volumes réservés, raccord au seed, butin, rencontres et services de campagne restent à terminer.</x:v>
      </x:c>
    </x:row>
    <x:row r="3614" ht="96" customHeight="1">
      <x:c r="A3614" s="115" t="str">
        <x:v>EXT-MONDE-T073-V09</x:v>
      </x:c>
      <x:c r="B3614" s="115" t="str">
        <x:v>EXT-MONDE-T073</x:v>
      </x:c>
      <x:c r="C3614" s="115" t="str">
        <x:v>Ferroviaire</x:v>
      </x:c>
      <x:c r="D3614" s="115" t="str">
        <x:v>Gare de passage</x:v>
      </x:c>
      <x:c r="E3614" s="115" t="n">
        <x:v>9</x:v>
      </x:c>
      <x:c r="F3614" s="115" t="str">
        <x:v>Inspection physique</x:v>
      </x:c>
      <x:c r="G3614" s="115" t="str">
        <x:v>1 niveaux ; 36 pièces ; 265 segments de mur ; 0 transitions. Inspection physique ; architecture complète encore ouverte.</x:v>
      </x:c>
      <x:c r="H3614" s="115" t="str">
        <x:v>L 800 ; l 1700 ; hauteur 7 m ; choix de composition auteur ; dimensions réelles à documenter</x:v>
      </x:c>
      <x:c r="I3614" s="115" t="str">
        <x:v>À équilibrer</x:v>
      </x:c>
      <x:c r="J3614" s="115" t="str">
        <x:v>Non</x:v>
      </x:c>
      <x:c r="K3614" s="115" t="str">
        <x:v>Pièces décrites, murs, portes, niveaux et mobilier inspectables à l’échelle. Volumes réservés, raccord au seed, butin, rencontres et services de campagne restent à terminer.</x:v>
      </x:c>
    </x:row>
    <x:row r="3615" ht="96" customHeight="1">
      <x:c r="A3615" s="115" t="str">
        <x:v>EXT-MONDE-T073-V10</x:v>
      </x:c>
      <x:c r="B3615" s="115" t="str">
        <x:v>EXT-MONDE-T073</x:v>
      </x:c>
      <x:c r="C3615" s="115" t="str">
        <x:v>Ferroviaire</x:v>
      </x:c>
      <x:c r="D3615" s="115" t="str">
        <x:v>Gare de passage</x:v>
      </x:c>
      <x:c r="E3615" s="115" t="n">
        <x:v>10</x:v>
      </x:c>
      <x:c r="F3615" s="115" t="str">
        <x:v>Inspection physique</x:v>
      </x:c>
      <x:c r="G3615" s="115" t="str">
        <x:v>1 niveaux ; 36 pièces ; 265 segments de mur ; 0 transitions. Inspection physique ; architecture complète encore ouverte.</x:v>
      </x:c>
      <x:c r="H3615" s="115" t="str">
        <x:v>L 800 ; l 1700 ; hauteur 7 m ; choix de composition auteur ; dimensions réelles à documenter</x:v>
      </x:c>
      <x:c r="I3615" s="115" t="str">
        <x:v>À équilibrer</x:v>
      </x:c>
      <x:c r="J3615" s="115" t="str">
        <x:v>Non</x:v>
      </x:c>
      <x:c r="K3615" s="115" t="str">
        <x:v>Pièces décrites, murs, portes, niveaux et mobilier inspectables à l’échelle. Volumes réservés, raccord au seed, butin, rencontres et services de campagne restent à terminer.</x:v>
      </x:c>
    </x:row>
    <x:row r="3616" ht="96" customHeight="1">
      <x:c r="A3616" s="115" t="str">
        <x:v>EXT-MONDE-T073-V11</x:v>
      </x:c>
      <x:c r="B3616" s="115" t="str">
        <x:v>EXT-MONDE-T073</x:v>
      </x:c>
      <x:c r="C3616" s="115" t="str">
        <x:v>Ferroviaire</x:v>
      </x:c>
      <x:c r="D3616" s="115" t="str">
        <x:v>Gare de passage</x:v>
      </x:c>
      <x:c r="E3616" s="115" t="n">
        <x:v>11</x:v>
      </x:c>
      <x:c r="F3616" s="115" t="str">
        <x:v>Inspection physique</x:v>
      </x:c>
      <x:c r="G3616" s="115" t="str">
        <x:v>1 niveaux ; 36 pièces ; 265 segments de mur ; 0 transitions. Inspection physique ; architecture complète encore ouverte.</x:v>
      </x:c>
      <x:c r="H3616" s="115" t="str">
        <x:v>L 800 ; l 1860 ; hauteur 7,2 m ; choix de composition auteur ; dimensions réelles à documenter</x:v>
      </x:c>
      <x:c r="I3616" s="115" t="str">
        <x:v>À équilibrer</x:v>
      </x:c>
      <x:c r="J3616" s="115" t="str">
        <x:v>Non</x:v>
      </x:c>
      <x:c r="K3616" s="115" t="str">
        <x:v>Pièces décrites, murs, portes, niveaux et mobilier inspectables à l’échelle. Volumes réservés, raccord au seed, butin, rencontres et services de campagne restent à terminer.</x:v>
      </x:c>
    </x:row>
    <x:row r="3617" ht="96" customHeight="1">
      <x:c r="A3617" s="115" t="str">
        <x:v>EXT-MONDE-T073-V12</x:v>
      </x:c>
      <x:c r="B3617" s="115" t="str">
        <x:v>EXT-MONDE-T073</x:v>
      </x:c>
      <x:c r="C3617" s="115" t="str">
        <x:v>Ferroviaire</x:v>
      </x:c>
      <x:c r="D3617" s="115" t="str">
        <x:v>Gare de passage</x:v>
      </x:c>
      <x:c r="E3617" s="115" t="n">
        <x:v>12</x:v>
      </x:c>
      <x:c r="F3617" s="115" t="str">
        <x:v>Inspection physique</x:v>
      </x:c>
      <x:c r="G3617" s="115" t="str">
        <x:v>1 niveaux ; 36 pièces ; 265 segments de mur ; 0 transitions. Inspection physique ; architecture complète encore ouverte.</x:v>
      </x:c>
      <x:c r="H3617" s="115" t="str">
        <x:v>L 800 ; l 1860 ; hauteur 7,2 m ; choix de composition auteur ; dimensions réelles à documenter</x:v>
      </x:c>
      <x:c r="I3617" s="115" t="str">
        <x:v>À équilibrer</x:v>
      </x:c>
      <x:c r="J3617" s="115" t="str">
        <x:v>Non</x:v>
      </x:c>
      <x:c r="K3617" s="115" t="str">
        <x:v>Pièces décrites, murs, portes, niveaux et mobilier inspectables à l’échelle. Volumes réservés, raccord au seed, butin, rencontres et services de campagne restent à terminer.</x:v>
      </x:c>
    </x:row>
    <x:row r="3618" ht="96" customHeight="1">
      <x:c r="A3618" s="115" t="str">
        <x:v>EXT-MONDE-T073-V13</x:v>
      </x:c>
      <x:c r="B3618" s="115" t="str">
        <x:v>EXT-MONDE-T073</x:v>
      </x:c>
      <x:c r="C3618" s="115" t="str">
        <x:v>Ferroviaire</x:v>
      </x:c>
      <x:c r="D3618" s="115" t="str">
        <x:v>Gare de passage</x:v>
      </x:c>
      <x:c r="E3618" s="115" t="n">
        <x:v>13</x:v>
      </x:c>
      <x:c r="F3618" s="115" t="str">
        <x:v>Inspection physique</x:v>
      </x:c>
      <x:c r="G3618" s="115" t="str">
        <x:v>1 niveaux ; 36 pièces ; 265 segments de mur ; 0 transitions. Inspection physique ; architecture complète encore ouverte.</x:v>
      </x:c>
      <x:c r="H3618" s="115" t="str">
        <x:v>L 800 ; l 1860 ; hauteur 7,2 m ; choix de composition auteur ; dimensions réelles à documenter</x:v>
      </x:c>
      <x:c r="I3618" s="115" t="str">
        <x:v>À équilibrer</x:v>
      </x:c>
      <x:c r="J3618" s="115" t="str">
        <x:v>Non</x:v>
      </x:c>
      <x:c r="K3618" s="115" t="str">
        <x:v>Pièces décrites, murs, portes, niveaux et mobilier inspectables à l’échelle. Volumes réservés, raccord au seed, butin, rencontres et services de campagne restent à terminer.</x:v>
      </x:c>
    </x:row>
    <x:row r="3619" ht="96" customHeight="1">
      <x:c r="A3619" s="115" t="str">
        <x:v>EXT-MONDE-T073-V14</x:v>
      </x:c>
      <x:c r="B3619" s="115" t="str">
        <x:v>EXT-MONDE-T073</x:v>
      </x:c>
      <x:c r="C3619" s="115" t="str">
        <x:v>Ferroviaire</x:v>
      </x:c>
      <x:c r="D3619" s="115" t="str">
        <x:v>Gare de passage</x:v>
      </x:c>
      <x:c r="E3619" s="115" t="n">
        <x:v>14</x:v>
      </x:c>
      <x:c r="F3619" s="115" t="str">
        <x:v>Inspection physique</x:v>
      </x:c>
      <x:c r="G3619" s="115" t="str">
        <x:v>1 niveaux ; 36 pièces ; 265 segments de mur ; 0 transitions. Inspection physique ; architecture complète encore ouverte.</x:v>
      </x:c>
      <x:c r="H3619" s="115" t="str">
        <x:v>L 800 ; l 1860 ; hauteur 7,2 m ; choix de composition auteur ; dimensions réelles à documenter</x:v>
      </x:c>
      <x:c r="I3619" s="115" t="str">
        <x:v>À équilibrer</x:v>
      </x:c>
      <x:c r="J3619" s="115" t="str">
        <x:v>Non</x:v>
      </x:c>
      <x:c r="K3619" s="115" t="str">
        <x:v>Pièces décrites, murs, portes, niveaux et mobilier inspectables à l’échelle. Volumes réservés, raccord au seed, butin, rencontres et services de campagne restent à terminer.</x:v>
      </x:c>
    </x:row>
    <x:row r="3620" ht="96" customHeight="1">
      <x:c r="A3620" s="115" t="str">
        <x:v>EXT-MONDE-T073-V15</x:v>
      </x:c>
      <x:c r="B3620" s="115" t="str">
        <x:v>EXT-MONDE-T073</x:v>
      </x:c>
      <x:c r="C3620" s="115" t="str">
        <x:v>Ferroviaire</x:v>
      </x:c>
      <x:c r="D3620" s="115" t="str">
        <x:v>Gare de passage</x:v>
      </x:c>
      <x:c r="E3620" s="115" t="n">
        <x:v>15</x:v>
      </x:c>
      <x:c r="F3620" s="115" t="str">
        <x:v>Inspection physique</x:v>
      </x:c>
      <x:c r="G3620" s="115" t="str">
        <x:v>1 niveaux ; 36 pièces ; 265 segments de mur ; 0 transitions. Inspection physique ; architecture complète encore ouverte.</x:v>
      </x:c>
      <x:c r="H3620" s="115" t="str">
        <x:v>L 800 ; l 1860 ; hauteur 7,2 m ; choix de composition auteur ; dimensions réelles à documenter</x:v>
      </x:c>
      <x:c r="I3620" s="115" t="str">
        <x:v>À équilibrer</x:v>
      </x:c>
      <x:c r="J3620" s="115" t="str">
        <x:v>Non</x:v>
      </x:c>
      <x:c r="K3620" s="115" t="str">
        <x:v>Pièces décrites, murs, portes, niveaux et mobilier inspectables à l’échelle. Volumes réservés, raccord au seed, butin, rencontres et services de campagne restent à terminer.</x:v>
      </x:c>
    </x:row>
    <x:row r="3621" ht="96" customHeight="1">
      <x:c r="A3621" s="115" t="str">
        <x:v>EXT-MONDE-T073-V16</x:v>
      </x:c>
      <x:c r="B3621" s="115" t="str">
        <x:v>EXT-MONDE-T073</x:v>
      </x:c>
      <x:c r="C3621" s="115" t="str">
        <x:v>Ferroviaire</x:v>
      </x:c>
      <x:c r="D3621" s="115" t="str">
        <x:v>Gare de passage</x:v>
      </x:c>
      <x:c r="E3621" s="115" t="n">
        <x:v>16</x:v>
      </x:c>
      <x:c r="F3621" s="115" t="str">
        <x:v>Inspection physique</x:v>
      </x:c>
      <x:c r="G3621" s="115" t="str">
        <x:v>1 niveaux ; 36 pièces ; 265 segments de mur ; 0 transitions. Inspection physique ; architecture complète encore ouverte.</x:v>
      </x:c>
      <x:c r="H3621" s="115" t="str">
        <x:v>L 800 ; l 1860 ; hauteur 7,2 m ; choix de composition auteur ; dimensions réelles à documenter</x:v>
      </x:c>
      <x:c r="I3621" s="115" t="str">
        <x:v>À équilibrer</x:v>
      </x:c>
      <x:c r="J3621" s="115" t="str">
        <x:v>Non</x:v>
      </x:c>
      <x:c r="K3621" s="115" t="str">
        <x:v>Pièces décrites, murs, portes, niveaux et mobilier inspectables à l’échelle. Volumes réservés, raccord au seed, butin, rencontres et services de campagne restent à terminer.</x:v>
      </x:c>
    </x:row>
    <x:row r="3622" ht="96" customHeight="1">
      <x:c r="A3622" s="115" t="str">
        <x:v>EXT-MONDE-T073-V17</x:v>
      </x:c>
      <x:c r="B3622" s="115" t="str">
        <x:v>EXT-MONDE-T073</x:v>
      </x:c>
      <x:c r="C3622" s="115" t="str">
        <x:v>Ferroviaire</x:v>
      </x:c>
      <x:c r="D3622" s="115" t="str">
        <x:v>Gare de passage</x:v>
      </x:c>
      <x:c r="E3622" s="115" t="n">
        <x:v>17</x:v>
      </x:c>
      <x:c r="F3622" s="115" t="str">
        <x:v>Inspection physique</x:v>
      </x:c>
      <x:c r="G3622" s="115" t="str">
        <x:v>1 niveaux ; 36 pièces ; 265 segments de mur ; 0 transitions. Inspection physique ; architecture complète encore ouverte.</x:v>
      </x:c>
      <x:c r="H3622" s="115" t="str">
        <x:v>L 800 ; l 1860 ; hauteur 7,2 m ; choix de composition auteur ; dimensions réelles à documenter</x:v>
      </x:c>
      <x:c r="I3622" s="115" t="str">
        <x:v>À équilibrer</x:v>
      </x:c>
      <x:c r="J3622" s="115" t="str">
        <x:v>Non</x:v>
      </x:c>
      <x:c r="K3622" s="115" t="str">
        <x:v>Pièces décrites, murs, portes, niveaux et mobilier inspectables à l’échelle. Volumes réservés, raccord au seed, butin, rencontres et services de campagne restent à terminer.</x:v>
      </x:c>
    </x:row>
    <x:row r="3623" ht="96" customHeight="1">
      <x:c r="A3623" s="115" t="str">
        <x:v>EXT-MONDE-T073-V18</x:v>
      </x:c>
      <x:c r="B3623" s="115" t="str">
        <x:v>EXT-MONDE-T073</x:v>
      </x:c>
      <x:c r="C3623" s="115" t="str">
        <x:v>Ferroviaire</x:v>
      </x:c>
      <x:c r="D3623" s="115" t="str">
        <x:v>Gare de passage</x:v>
      </x:c>
      <x:c r="E3623" s="115" t="n">
        <x:v>18</x:v>
      </x:c>
      <x:c r="F3623" s="115" t="str">
        <x:v>Inspection physique</x:v>
      </x:c>
      <x:c r="G3623" s="115" t="str">
        <x:v>1 niveaux ; 36 pièces ; 265 segments de mur ; 0 transitions. Inspection physique ; architecture complète encore ouverte.</x:v>
      </x:c>
      <x:c r="H3623" s="115" t="str">
        <x:v>L 800 ; l 1860 ; hauteur 7,2 m ; choix de composition auteur ; dimensions réelles à documenter</x:v>
      </x:c>
      <x:c r="I3623" s="115" t="str">
        <x:v>À équilibrer</x:v>
      </x:c>
      <x:c r="J3623" s="115" t="str">
        <x:v>Non</x:v>
      </x:c>
      <x:c r="K3623" s="115" t="str">
        <x:v>Pièces décrites, murs, portes, niveaux et mobilier inspectables à l’échelle. Volumes réservés, raccord au seed, butin, rencontres et services de campagne restent à terminer.</x:v>
      </x:c>
    </x:row>
    <x:row r="3624" ht="96" customHeight="1">
      <x:c r="A3624" s="115" t="str">
        <x:v>EXT-MONDE-T073-V19</x:v>
      </x:c>
      <x:c r="B3624" s="115" t="str">
        <x:v>EXT-MONDE-T073</x:v>
      </x:c>
      <x:c r="C3624" s="115" t="str">
        <x:v>Ferroviaire</x:v>
      </x:c>
      <x:c r="D3624" s="115" t="str">
        <x:v>Gare de passage</x:v>
      </x:c>
      <x:c r="E3624" s="115" t="n">
        <x:v>19</x:v>
      </x:c>
      <x:c r="F3624" s="115" t="str">
        <x:v>Inspection physique</x:v>
      </x:c>
      <x:c r="G3624" s="115" t="str">
        <x:v>1 niveaux ; 36 pièces ; 265 segments de mur ; 0 transitions. Inspection physique ; architecture complète encore ouverte.</x:v>
      </x:c>
      <x:c r="H3624" s="115" t="str">
        <x:v>L 800 ; l 1860 ; hauteur 7,2 m ; choix de composition auteur ; dimensions réelles à documenter</x:v>
      </x:c>
      <x:c r="I3624" s="115" t="str">
        <x:v>À équilibrer</x:v>
      </x:c>
      <x:c r="J3624" s="115" t="str">
        <x:v>Non</x:v>
      </x:c>
      <x:c r="K3624" s="115" t="str">
        <x:v>Pièces décrites, murs, portes, niveaux et mobilier inspectables à l’échelle. Volumes réservés, raccord au seed, butin, rencontres et services de campagne restent à terminer.</x:v>
      </x:c>
    </x:row>
    <x:row r="3625" ht="96" customHeight="1">
      <x:c r="A3625" s="115" t="str">
        <x:v>EXT-MONDE-T073-V20</x:v>
      </x:c>
      <x:c r="B3625" s="115" t="str">
        <x:v>EXT-MONDE-T073</x:v>
      </x:c>
      <x:c r="C3625" s="115" t="str">
        <x:v>Ferroviaire</x:v>
      </x:c>
      <x:c r="D3625" s="115" t="str">
        <x:v>Gare de passage</x:v>
      </x:c>
      <x:c r="E3625" s="115" t="n">
        <x:v>20</x:v>
      </x:c>
      <x:c r="F3625" s="115" t="str">
        <x:v>Inspection physique</x:v>
      </x:c>
      <x:c r="G3625" s="115" t="str">
        <x:v>1 niveaux ; 36 pièces ; 265 segments de mur ; 0 transitions. Inspection physique ; architecture complète encore ouverte.</x:v>
      </x:c>
      <x:c r="H3625" s="115" t="str">
        <x:v>L 800 ; l 1860 ; hauteur 7,2 m ; choix de composition auteur ; dimensions réelles à documenter</x:v>
      </x:c>
      <x:c r="I3625" s="115" t="str">
        <x:v>À équilibrer</x:v>
      </x:c>
      <x:c r="J3625" s="115" t="str">
        <x:v>Non</x:v>
      </x:c>
      <x:c r="K3625" s="115" t="str">
        <x:v>Pièces décrites, murs, portes, niveaux et mobilier inspectables à l’échelle. Volumes réservés, raccord au seed, butin, rencontres et services de campagne restent à terminer.</x:v>
      </x:c>
    </x:row>
    <x:row r="3626" ht="96" customHeight="1">
      <x:c r="A3626" s="115" t="str">
        <x:v>EXT-MONDE-T073-V21</x:v>
      </x:c>
      <x:c r="B3626" s="115" t="str">
        <x:v>EXT-MONDE-T073</x:v>
      </x:c>
      <x:c r="C3626" s="115" t="str">
        <x:v>Ferroviaire</x:v>
      </x:c>
      <x:c r="D3626" s="115" t="str">
        <x:v>Gare de passage</x:v>
      </x:c>
      <x:c r="E3626" s="115" t="n">
        <x:v>21</x:v>
      </x:c>
      <x:c r="F3626" s="115" t="str">
        <x:v>Inspection physique</x:v>
      </x:c>
      <x:c r="G3626" s="115" t="str">
        <x:v>1 niveaux ; 36 pièces ; 265 segments de mur ; 0 transitions. Inspection physique ; architecture complète encore ouverte.</x:v>
      </x:c>
      <x:c r="H3626" s="115" t="str">
        <x:v>L 800 ; l 2020 ; hauteur 7,4 m ; choix de composition auteur ; dimensions réelles à documenter</x:v>
      </x:c>
      <x:c r="I3626" s="115" t="str">
        <x:v>À équilibrer</x:v>
      </x:c>
      <x:c r="J3626" s="115" t="str">
        <x:v>Non</x:v>
      </x:c>
      <x:c r="K3626" s="115" t="str">
        <x:v>Pièces décrites, murs, portes, niveaux et mobilier inspectables à l’échelle. Volumes réservés, raccord au seed, butin, rencontres et services de campagne restent à terminer.</x:v>
      </x:c>
    </x:row>
    <x:row r="3627" ht="96" customHeight="1">
      <x:c r="A3627" s="115" t="str">
        <x:v>EXT-MONDE-T073-V22</x:v>
      </x:c>
      <x:c r="B3627" s="115" t="str">
        <x:v>EXT-MONDE-T073</x:v>
      </x:c>
      <x:c r="C3627" s="115" t="str">
        <x:v>Ferroviaire</x:v>
      </x:c>
      <x:c r="D3627" s="115" t="str">
        <x:v>Gare de passage</x:v>
      </x:c>
      <x:c r="E3627" s="115" t="n">
        <x:v>22</x:v>
      </x:c>
      <x:c r="F3627" s="115" t="str">
        <x:v>Inspection physique</x:v>
      </x:c>
      <x:c r="G3627" s="115" t="str">
        <x:v>1 niveaux ; 36 pièces ; 265 segments de mur ; 0 transitions. Inspection physique ; architecture complète encore ouverte.</x:v>
      </x:c>
      <x:c r="H3627" s="115" t="str">
        <x:v>L 800 ; l 2020 ; hauteur 7,4 m ; choix de composition auteur ; dimensions réelles à documenter</x:v>
      </x:c>
      <x:c r="I3627" s="115" t="str">
        <x:v>À équilibrer</x:v>
      </x:c>
      <x:c r="J3627" s="115" t="str">
        <x:v>Non</x:v>
      </x:c>
      <x:c r="K3627" s="115" t="str">
        <x:v>Pièces décrites, murs, portes, niveaux et mobilier inspectables à l’échelle. Volumes réservés, raccord au seed, butin, rencontres et services de campagne restent à terminer.</x:v>
      </x:c>
    </x:row>
    <x:row r="3628" ht="96" customHeight="1">
      <x:c r="A3628" s="115" t="str">
        <x:v>EXT-MONDE-T073-V23</x:v>
      </x:c>
      <x:c r="B3628" s="115" t="str">
        <x:v>EXT-MONDE-T073</x:v>
      </x:c>
      <x:c r="C3628" s="115" t="str">
        <x:v>Ferroviaire</x:v>
      </x:c>
      <x:c r="D3628" s="115" t="str">
        <x:v>Gare de passage</x:v>
      </x:c>
      <x:c r="E3628" s="115" t="n">
        <x:v>23</x:v>
      </x:c>
      <x:c r="F3628" s="115" t="str">
        <x:v>Inspection physique</x:v>
      </x:c>
      <x:c r="G3628" s="115" t="str">
        <x:v>1 niveaux ; 36 pièces ; 265 segments de mur ; 0 transitions. Inspection physique ; architecture complète encore ouverte.</x:v>
      </x:c>
      <x:c r="H3628" s="115" t="str">
        <x:v>L 800 ; l 2020 ; hauteur 7,4 m ; choix de composition auteur ; dimensions réelles à documenter</x:v>
      </x:c>
      <x:c r="I3628" s="115" t="str">
        <x:v>À équilibrer</x:v>
      </x:c>
      <x:c r="J3628" s="115" t="str">
        <x:v>Non</x:v>
      </x:c>
      <x:c r="K3628" s="115" t="str">
        <x:v>Pièces décrites, murs, portes, niveaux et mobilier inspectables à l’échelle. Volumes réservés, raccord au seed, butin, rencontres et services de campagne restent à terminer.</x:v>
      </x:c>
    </x:row>
    <x:row r="3629" ht="96" customHeight="1">
      <x:c r="A3629" s="115" t="str">
        <x:v>EXT-MONDE-T073-V24</x:v>
      </x:c>
      <x:c r="B3629" s="115" t="str">
        <x:v>EXT-MONDE-T073</x:v>
      </x:c>
      <x:c r="C3629" s="115" t="str">
        <x:v>Ferroviaire</x:v>
      </x:c>
      <x:c r="D3629" s="115" t="str">
        <x:v>Gare de passage</x:v>
      </x:c>
      <x:c r="E3629" s="115" t="n">
        <x:v>24</x:v>
      </x:c>
      <x:c r="F3629" s="115" t="str">
        <x:v>Inspection physique</x:v>
      </x:c>
      <x:c r="G3629" s="115" t="str">
        <x:v>1 niveaux ; 36 pièces ; 265 segments de mur ; 0 transitions. Inspection physique ; architecture complète encore ouverte.</x:v>
      </x:c>
      <x:c r="H3629" s="115" t="str">
        <x:v>L 800 ; l 2020 ; hauteur 7,4 m ; choix de composition auteur ; dimensions réelles à documenter</x:v>
      </x:c>
      <x:c r="I3629" s="115" t="str">
        <x:v>À équilibrer</x:v>
      </x:c>
      <x:c r="J3629" s="115" t="str">
        <x:v>Non</x:v>
      </x:c>
      <x:c r="K3629" s="115" t="str">
        <x:v>Pièces décrites, murs, portes, niveaux et mobilier inspectables à l’échelle. Volumes réservés, raccord au seed, butin, rencontres et services de campagne restent à terminer.</x:v>
      </x:c>
    </x:row>
    <x:row r="3630" ht="96" customHeight="1">
      <x:c r="A3630" s="115" t="str">
        <x:v>EXT-MONDE-T073-V25</x:v>
      </x:c>
      <x:c r="B3630" s="115" t="str">
        <x:v>EXT-MONDE-T073</x:v>
      </x:c>
      <x:c r="C3630" s="115" t="str">
        <x:v>Ferroviaire</x:v>
      </x:c>
      <x:c r="D3630" s="115" t="str">
        <x:v>Gare de passage</x:v>
      </x:c>
      <x:c r="E3630" s="115" t="n">
        <x:v>25</x:v>
      </x:c>
      <x:c r="F3630" s="115" t="str">
        <x:v>Inspection physique</x:v>
      </x:c>
      <x:c r="G3630" s="115" t="str">
        <x:v>1 niveaux ; 36 pièces ; 265 segments de mur ; 0 transitions. Inspection physique ; architecture complète encore ouverte.</x:v>
      </x:c>
      <x:c r="H3630" s="115" t="str">
        <x:v>L 800 ; l 2020 ; hauteur 7,4 m ; choix de composition auteur ; dimensions réelles à documenter</x:v>
      </x:c>
      <x:c r="I3630" s="115" t="str">
        <x:v>À équilibrer</x:v>
      </x:c>
      <x:c r="J3630" s="115" t="str">
        <x:v>Non</x:v>
      </x:c>
      <x:c r="K3630" s="115" t="str">
        <x:v>Pièces décrites, murs, portes, niveaux et mobilier inspectables à l’échelle. Volumes réservés, raccord au seed, butin, rencontres et services de campagne restent à terminer.</x:v>
      </x:c>
    </x:row>
    <x:row r="3631" ht="96" customHeight="1">
      <x:c r="A3631" s="115" t="str">
        <x:v>EXT-MONDE-T073-V26</x:v>
      </x:c>
      <x:c r="B3631" s="115" t="str">
        <x:v>EXT-MONDE-T073</x:v>
      </x:c>
      <x:c r="C3631" s="115" t="str">
        <x:v>Ferroviaire</x:v>
      </x:c>
      <x:c r="D3631" s="115" t="str">
        <x:v>Gare de passage</x:v>
      </x:c>
      <x:c r="E3631" s="115" t="n">
        <x:v>26</x:v>
      </x:c>
      <x:c r="F3631" s="115" t="str">
        <x:v>Inspection physique</x:v>
      </x:c>
      <x:c r="G3631" s="115" t="str">
        <x:v>1 niveaux ; 36 pièces ; 265 segments de mur ; 0 transitions. Inspection physique ; architecture complète encore ouverte.</x:v>
      </x:c>
      <x:c r="H3631" s="115" t="str">
        <x:v>L 800 ; l 2020 ; hauteur 7,4 m ; choix de composition auteur ; dimensions réelles à documenter</x:v>
      </x:c>
      <x:c r="I3631" s="115" t="str">
        <x:v>À équilibrer</x:v>
      </x:c>
      <x:c r="J3631" s="115" t="str">
        <x:v>Non</x:v>
      </x:c>
      <x:c r="K3631" s="115" t="str">
        <x:v>Pièces décrites, murs, portes, niveaux et mobilier inspectables à l’échelle. Volumes réservés, raccord au seed, butin, rencontres et services de campagne restent à terminer.</x:v>
      </x:c>
    </x:row>
    <x:row r="3632" ht="96" customHeight="1">
      <x:c r="A3632" s="115" t="str">
        <x:v>EXT-MONDE-T073-V27</x:v>
      </x:c>
      <x:c r="B3632" s="115" t="str">
        <x:v>EXT-MONDE-T073</x:v>
      </x:c>
      <x:c r="C3632" s="115" t="str">
        <x:v>Ferroviaire</x:v>
      </x:c>
      <x:c r="D3632" s="115" t="str">
        <x:v>Gare de passage</x:v>
      </x:c>
      <x:c r="E3632" s="115" t="n">
        <x:v>27</x:v>
      </x:c>
      <x:c r="F3632" s="115" t="str">
        <x:v>Inspection physique</x:v>
      </x:c>
      <x:c r="G3632" s="115" t="str">
        <x:v>1 niveaux ; 36 pièces ; 265 segments de mur ; 0 transitions. Inspection physique ; architecture complète encore ouverte.</x:v>
      </x:c>
      <x:c r="H3632" s="115" t="str">
        <x:v>L 800 ; l 2020 ; hauteur 7,4 m ; choix de composition auteur ; dimensions réelles à documenter</x:v>
      </x:c>
      <x:c r="I3632" s="115" t="str">
        <x:v>À équilibrer</x:v>
      </x:c>
      <x:c r="J3632" s="115" t="str">
        <x:v>Non</x:v>
      </x:c>
      <x:c r="K3632" s="115" t="str">
        <x:v>Pièces décrites, murs, portes, niveaux et mobilier inspectables à l’échelle. Volumes réservés, raccord au seed, butin, rencontres et services de campagne restent à terminer.</x:v>
      </x:c>
    </x:row>
    <x:row r="3633" ht="96" customHeight="1">
      <x:c r="A3633" s="115" t="str">
        <x:v>EXT-MONDE-T073-V28</x:v>
      </x:c>
      <x:c r="B3633" s="115" t="str">
        <x:v>EXT-MONDE-T073</x:v>
      </x:c>
      <x:c r="C3633" s="115" t="str">
        <x:v>Ferroviaire</x:v>
      </x:c>
      <x:c r="D3633" s="115" t="str">
        <x:v>Gare de passage</x:v>
      </x:c>
      <x:c r="E3633" s="115" t="n">
        <x:v>28</x:v>
      </x:c>
      <x:c r="F3633" s="115" t="str">
        <x:v>Inspection physique</x:v>
      </x:c>
      <x:c r="G3633" s="115" t="str">
        <x:v>1 niveaux ; 36 pièces ; 265 segments de mur ; 0 transitions. Inspection physique ; architecture complète encore ouverte.</x:v>
      </x:c>
      <x:c r="H3633" s="115" t="str">
        <x:v>L 800 ; l 2020 ; hauteur 7,4 m ; choix de composition auteur ; dimensions réelles à documenter</x:v>
      </x:c>
      <x:c r="I3633" s="115" t="str">
        <x:v>À équilibrer</x:v>
      </x:c>
      <x:c r="J3633" s="115" t="str">
        <x:v>Non</x:v>
      </x:c>
      <x:c r="K3633" s="115" t="str">
        <x:v>Pièces décrites, murs, portes, niveaux et mobilier inspectables à l’échelle. Volumes réservés, raccord au seed, butin, rencontres et services de campagne restent à terminer.</x:v>
      </x:c>
    </x:row>
    <x:row r="3634" ht="96" customHeight="1">
      <x:c r="A3634" s="115" t="str">
        <x:v>EXT-MONDE-T073-V29</x:v>
      </x:c>
      <x:c r="B3634" s="115" t="str">
        <x:v>EXT-MONDE-T073</x:v>
      </x:c>
      <x:c r="C3634" s="115" t="str">
        <x:v>Ferroviaire</x:v>
      </x:c>
      <x:c r="D3634" s="115" t="str">
        <x:v>Gare de passage</x:v>
      </x:c>
      <x:c r="E3634" s="115" t="n">
        <x:v>29</x:v>
      </x:c>
      <x:c r="F3634" s="115" t="str">
        <x:v>Inspection physique</x:v>
      </x:c>
      <x:c r="G3634" s="115" t="str">
        <x:v>1 niveaux ; 36 pièces ; 265 segments de mur ; 0 transitions. Inspection physique ; architecture complète encore ouverte.</x:v>
      </x:c>
      <x:c r="H3634" s="115" t="str">
        <x:v>L 800 ; l 2020 ; hauteur 7,4 m ; choix de composition auteur ; dimensions réelles à documenter</x:v>
      </x:c>
      <x:c r="I3634" s="115" t="str">
        <x:v>À équilibrer</x:v>
      </x:c>
      <x:c r="J3634" s="115" t="str">
        <x:v>Non</x:v>
      </x:c>
      <x:c r="K3634" s="115" t="str">
        <x:v>Pièces décrites, murs, portes, niveaux et mobilier inspectables à l’échelle. Volumes réservés, raccord au seed, butin, rencontres et services de campagne restent à terminer.</x:v>
      </x:c>
    </x:row>
    <x:row r="3635" ht="96" customHeight="1">
      <x:c r="A3635" s="115" t="str">
        <x:v>EXT-MONDE-T073-V30</x:v>
      </x:c>
      <x:c r="B3635" s="115" t="str">
        <x:v>EXT-MONDE-T073</x:v>
      </x:c>
      <x:c r="C3635" s="115" t="str">
        <x:v>Ferroviaire</x:v>
      </x:c>
      <x:c r="D3635" s="115" t="str">
        <x:v>Gare de passage</x:v>
      </x:c>
      <x:c r="E3635" s="115" t="n">
        <x:v>30</x:v>
      </x:c>
      <x:c r="F3635" s="115" t="str">
        <x:v>Inspection physique</x:v>
      </x:c>
      <x:c r="G3635" s="115" t="str">
        <x:v>1 niveaux ; 36 pièces ; 265 segments de mur ; 0 transitions. Inspection physique ; architecture complète encore ouverte.</x:v>
      </x:c>
      <x:c r="H3635" s="115" t="str">
        <x:v>L 800 ; l 2020 ; hauteur 7,4 m ; choix de composition auteur ; dimensions réelles à documenter</x:v>
      </x:c>
      <x:c r="I3635" s="115" t="str">
        <x:v>À équilibrer</x:v>
      </x:c>
      <x:c r="J3635" s="115" t="str">
        <x:v>Non</x:v>
      </x:c>
      <x:c r="K3635" s="115" t="str">
        <x:v>Pièces décrites, murs, portes, niveaux et mobilier inspectables à l’échelle. Volumes réservés, raccord au seed, butin, rencontres et services de campagne restent à terminer.</x:v>
      </x:c>
    </x:row>
    <x:row r="3636" ht="96" customHeight="1">
      <x:c r="A3636" s="115" t="str">
        <x:v>EXT-MONDE-T073-V31</x:v>
      </x:c>
      <x:c r="B3636" s="115" t="str">
        <x:v>EXT-MONDE-T073</x:v>
      </x:c>
      <x:c r="C3636" s="115" t="str">
        <x:v>Ferroviaire</x:v>
      </x:c>
      <x:c r="D3636" s="115" t="str">
        <x:v>Gare de passage</x:v>
      </x:c>
      <x:c r="E3636" s="115" t="n">
        <x:v>31</x:v>
      </x:c>
      <x:c r="F3636" s="115" t="str">
        <x:v>Inspection physique</x:v>
      </x:c>
      <x:c r="G3636" s="115" t="str">
        <x:v>1 niveaux ; 36 pièces ; 265 segments de mur ; 0 transitions. Inspection physique ; architecture complète encore ouverte.</x:v>
      </x:c>
      <x:c r="H3636" s="115" t="str">
        <x:v>L 800 ; l 2180 ; hauteur 7,6 m ; choix de composition auteur ; dimensions réelles à documenter</x:v>
      </x:c>
      <x:c r="I3636" s="115" t="str">
        <x:v>À équilibrer</x:v>
      </x:c>
      <x:c r="J3636" s="115" t="str">
        <x:v>Non</x:v>
      </x:c>
      <x:c r="K3636" s="115" t="str">
        <x:v>Pièces décrites, murs, portes, niveaux et mobilier inspectables à l’échelle. Volumes réservés, raccord au seed, butin, rencontres et services de campagne restent à terminer.</x:v>
      </x:c>
    </x:row>
    <x:row r="3637" ht="96" customHeight="1">
      <x:c r="A3637" s="115" t="str">
        <x:v>EXT-MONDE-T073-V32</x:v>
      </x:c>
      <x:c r="B3637" s="115" t="str">
        <x:v>EXT-MONDE-T073</x:v>
      </x:c>
      <x:c r="C3637" s="115" t="str">
        <x:v>Ferroviaire</x:v>
      </x:c>
      <x:c r="D3637" s="115" t="str">
        <x:v>Gare de passage</x:v>
      </x:c>
      <x:c r="E3637" s="115" t="n">
        <x:v>32</x:v>
      </x:c>
      <x:c r="F3637" s="115" t="str">
        <x:v>Inspection physique</x:v>
      </x:c>
      <x:c r="G3637" s="115" t="str">
        <x:v>1 niveaux ; 36 pièces ; 265 segments de mur ; 0 transitions. Inspection physique ; architecture complète encore ouverte.</x:v>
      </x:c>
      <x:c r="H3637" s="115" t="str">
        <x:v>L 800 ; l 2180 ; hauteur 7,6 m ; choix de composition auteur ; dimensions réelles à documenter</x:v>
      </x:c>
      <x:c r="I3637" s="115" t="str">
        <x:v>À équilibrer</x:v>
      </x:c>
      <x:c r="J3637" s="115" t="str">
        <x:v>Non</x:v>
      </x:c>
      <x:c r="K3637" s="115" t="str">
        <x:v>Pièces décrites, murs, portes, niveaux et mobilier inspectables à l’échelle. Volumes réservés, raccord au seed, butin, rencontres et services de campagne restent à terminer.</x:v>
      </x:c>
    </x:row>
    <x:row r="3638" ht="96" customHeight="1">
      <x:c r="A3638" s="115" t="str">
        <x:v>EXT-MONDE-T073-V33</x:v>
      </x:c>
      <x:c r="B3638" s="115" t="str">
        <x:v>EXT-MONDE-T073</x:v>
      </x:c>
      <x:c r="C3638" s="115" t="str">
        <x:v>Ferroviaire</x:v>
      </x:c>
      <x:c r="D3638" s="115" t="str">
        <x:v>Gare de passage</x:v>
      </x:c>
      <x:c r="E3638" s="115" t="n">
        <x:v>33</x:v>
      </x:c>
      <x:c r="F3638" s="115" t="str">
        <x:v>Inspection physique</x:v>
      </x:c>
      <x:c r="G3638" s="115" t="str">
        <x:v>1 niveaux ; 36 pièces ; 265 segments de mur ; 0 transitions. Inspection physique ; architecture complète encore ouverte.</x:v>
      </x:c>
      <x:c r="H3638" s="115" t="str">
        <x:v>L 800 ; l 2180 ; hauteur 7,6 m ; choix de composition auteur ; dimensions réelles à documenter</x:v>
      </x:c>
      <x:c r="I3638" s="115" t="str">
        <x:v>À équilibrer</x:v>
      </x:c>
      <x:c r="J3638" s="115" t="str">
        <x:v>Non</x:v>
      </x:c>
      <x:c r="K3638" s="115" t="str">
        <x:v>Pièces décrites, murs, portes, niveaux et mobilier inspectables à l’échelle. Volumes réservés, raccord au seed, butin, rencontres et services de campagne restent à terminer.</x:v>
      </x:c>
    </x:row>
    <x:row r="3639" ht="96" customHeight="1">
      <x:c r="A3639" s="115" t="str">
        <x:v>EXT-MONDE-T073-V34</x:v>
      </x:c>
      <x:c r="B3639" s="115" t="str">
        <x:v>EXT-MONDE-T073</x:v>
      </x:c>
      <x:c r="C3639" s="115" t="str">
        <x:v>Ferroviaire</x:v>
      </x:c>
      <x:c r="D3639" s="115" t="str">
        <x:v>Gare de passage</x:v>
      </x:c>
      <x:c r="E3639" s="115" t="n">
        <x:v>34</x:v>
      </x:c>
      <x:c r="F3639" s="115" t="str">
        <x:v>Inspection physique</x:v>
      </x:c>
      <x:c r="G3639" s="115" t="str">
        <x:v>1 niveaux ; 36 pièces ; 265 segments de mur ; 0 transitions. Inspection physique ; architecture complète encore ouverte.</x:v>
      </x:c>
      <x:c r="H3639" s="115" t="str">
        <x:v>L 800 ; l 2180 ; hauteur 7,6 m ; choix de composition auteur ; dimensions réelles à documenter</x:v>
      </x:c>
      <x:c r="I3639" s="115" t="str">
        <x:v>À équilibrer</x:v>
      </x:c>
      <x:c r="J3639" s="115" t="str">
        <x:v>Non</x:v>
      </x:c>
      <x:c r="K3639" s="115" t="str">
        <x:v>Pièces décrites, murs, portes, niveaux et mobilier inspectables à l’échelle. Volumes réservés, raccord au seed, butin, rencontres et services de campagne restent à terminer.</x:v>
      </x:c>
    </x:row>
    <x:row r="3640" ht="96" customHeight="1">
      <x:c r="A3640" s="115" t="str">
        <x:v>EXT-MONDE-T073-V35</x:v>
      </x:c>
      <x:c r="B3640" s="115" t="str">
        <x:v>EXT-MONDE-T073</x:v>
      </x:c>
      <x:c r="C3640" s="115" t="str">
        <x:v>Ferroviaire</x:v>
      </x:c>
      <x:c r="D3640" s="115" t="str">
        <x:v>Gare de passage</x:v>
      </x:c>
      <x:c r="E3640" s="115" t="n">
        <x:v>35</x:v>
      </x:c>
      <x:c r="F3640" s="115" t="str">
        <x:v>Inspection physique</x:v>
      </x:c>
      <x:c r="G3640" s="115" t="str">
        <x:v>1 niveaux ; 36 pièces ; 265 segments de mur ; 0 transitions. Inspection physique ; architecture complète encore ouverte.</x:v>
      </x:c>
      <x:c r="H3640" s="115" t="str">
        <x:v>L 800 ; l 2180 ; hauteur 7,6 m ; choix de composition auteur ; dimensions réelles à documenter</x:v>
      </x:c>
      <x:c r="I3640" s="115" t="str">
        <x:v>À équilibrer</x:v>
      </x:c>
      <x:c r="J3640" s="115" t="str">
        <x:v>Non</x:v>
      </x:c>
      <x:c r="K3640" s="115" t="str">
        <x:v>Pièces décrites, murs, portes, niveaux et mobilier inspectables à l’échelle. Volumes réservés, raccord au seed, butin, rencontres et services de campagne restent à terminer.</x:v>
      </x:c>
    </x:row>
    <x:row r="3641" ht="96" customHeight="1">
      <x:c r="A3641" s="115" t="str">
        <x:v>EXT-MONDE-T073-V36</x:v>
      </x:c>
      <x:c r="B3641" s="115" t="str">
        <x:v>EXT-MONDE-T073</x:v>
      </x:c>
      <x:c r="C3641" s="115" t="str">
        <x:v>Ferroviaire</x:v>
      </x:c>
      <x:c r="D3641" s="115" t="str">
        <x:v>Gare de passage</x:v>
      </x:c>
      <x:c r="E3641" s="115" t="n">
        <x:v>36</x:v>
      </x:c>
      <x:c r="F3641" s="115" t="str">
        <x:v>Inspection physique</x:v>
      </x:c>
      <x:c r="G3641" s="115" t="str">
        <x:v>1 niveaux ; 36 pièces ; 265 segments de mur ; 0 transitions. Inspection physique ; architecture complète encore ouverte.</x:v>
      </x:c>
      <x:c r="H3641" s="115" t="str">
        <x:v>L 800 ; l 2180 ; hauteur 7,6 m ; choix de composition auteur ; dimensions réelles à documenter</x:v>
      </x:c>
      <x:c r="I3641" s="115" t="str">
        <x:v>À équilibrer</x:v>
      </x:c>
      <x:c r="J3641" s="115" t="str">
        <x:v>Non</x:v>
      </x:c>
      <x:c r="K3641" s="115" t="str">
        <x:v>Pièces décrites, murs, portes, niveaux et mobilier inspectables à l’échelle. Volumes réservés, raccord au seed, butin, rencontres et services de campagne restent à terminer.</x:v>
      </x:c>
    </x:row>
    <x:row r="3642" ht="96" customHeight="1">
      <x:c r="A3642" s="115" t="str">
        <x:v>EXT-MONDE-T073-V37</x:v>
      </x:c>
      <x:c r="B3642" s="115" t="str">
        <x:v>EXT-MONDE-T073</x:v>
      </x:c>
      <x:c r="C3642" s="115" t="str">
        <x:v>Ferroviaire</x:v>
      </x:c>
      <x:c r="D3642" s="115" t="str">
        <x:v>Gare de passage</x:v>
      </x:c>
      <x:c r="E3642" s="115" t="n">
        <x:v>37</x:v>
      </x:c>
      <x:c r="F3642" s="115" t="str">
        <x:v>Inspection physique</x:v>
      </x:c>
      <x:c r="G3642" s="115" t="str">
        <x:v>1 niveaux ; 36 pièces ; 265 segments de mur ; 0 transitions. Inspection physique ; architecture complète encore ouverte.</x:v>
      </x:c>
      <x:c r="H3642" s="115" t="str">
        <x:v>L 800 ; l 2180 ; hauteur 7,6 m ; choix de composition auteur ; dimensions réelles à documenter</x:v>
      </x:c>
      <x:c r="I3642" s="115" t="str">
        <x:v>À équilibrer</x:v>
      </x:c>
      <x:c r="J3642" s="115" t="str">
        <x:v>Non</x:v>
      </x:c>
      <x:c r="K3642" s="115" t="str">
        <x:v>Pièces décrites, murs, portes, niveaux et mobilier inspectables à l’échelle. Volumes réservés, raccord au seed, butin, rencontres et services de campagne restent à terminer.</x:v>
      </x:c>
    </x:row>
    <x:row r="3643" ht="96" customHeight="1">
      <x:c r="A3643" s="115" t="str">
        <x:v>EXT-MONDE-T073-V38</x:v>
      </x:c>
      <x:c r="B3643" s="115" t="str">
        <x:v>EXT-MONDE-T073</x:v>
      </x:c>
      <x:c r="C3643" s="115" t="str">
        <x:v>Ferroviaire</x:v>
      </x:c>
      <x:c r="D3643" s="115" t="str">
        <x:v>Gare de passage</x:v>
      </x:c>
      <x:c r="E3643" s="115" t="n">
        <x:v>38</x:v>
      </x:c>
      <x:c r="F3643" s="115" t="str">
        <x:v>Inspection physique</x:v>
      </x:c>
      <x:c r="G3643" s="115" t="str">
        <x:v>1 niveaux ; 36 pièces ; 265 segments de mur ; 0 transitions. Inspection physique ; architecture complète encore ouverte.</x:v>
      </x:c>
      <x:c r="H3643" s="115" t="str">
        <x:v>L 800 ; l 2180 ; hauteur 7,6 m ; choix de composition auteur ; dimensions réelles à documenter</x:v>
      </x:c>
      <x:c r="I3643" s="115" t="str">
        <x:v>À équilibrer</x:v>
      </x:c>
      <x:c r="J3643" s="115" t="str">
        <x:v>Non</x:v>
      </x:c>
      <x:c r="K3643" s="115" t="str">
        <x:v>Pièces décrites, murs, portes, niveaux et mobilier inspectables à l’échelle. Volumes réservés, raccord au seed, butin, rencontres et services de campagne restent à terminer.</x:v>
      </x:c>
    </x:row>
    <x:row r="3644" ht="96" customHeight="1">
      <x:c r="A3644" s="115" t="str">
        <x:v>EXT-MONDE-T073-V39</x:v>
      </x:c>
      <x:c r="B3644" s="115" t="str">
        <x:v>EXT-MONDE-T073</x:v>
      </x:c>
      <x:c r="C3644" s="115" t="str">
        <x:v>Ferroviaire</x:v>
      </x:c>
      <x:c r="D3644" s="115" t="str">
        <x:v>Gare de passage</x:v>
      </x:c>
      <x:c r="E3644" s="115" t="n">
        <x:v>39</x:v>
      </x:c>
      <x:c r="F3644" s="115" t="str">
        <x:v>Inspection physique</x:v>
      </x:c>
      <x:c r="G3644" s="115" t="str">
        <x:v>1 niveaux ; 36 pièces ; 265 segments de mur ; 0 transitions. Inspection physique ; architecture complète encore ouverte.</x:v>
      </x:c>
      <x:c r="H3644" s="115" t="str">
        <x:v>L 800 ; l 2180 ; hauteur 7,6 m ; choix de composition auteur ; dimensions réelles à documenter</x:v>
      </x:c>
      <x:c r="I3644" s="115" t="str">
        <x:v>À équilibrer</x:v>
      </x:c>
      <x:c r="J3644" s="115" t="str">
        <x:v>Non</x:v>
      </x:c>
      <x:c r="K3644" s="115" t="str">
        <x:v>Pièces décrites, murs, portes, niveaux et mobilier inspectables à l’échelle. Volumes réservés, raccord au seed, butin, rencontres et services de campagne restent à terminer.</x:v>
      </x:c>
    </x:row>
    <x:row r="3645" ht="96" customHeight="1">
      <x:c r="A3645" s="115" t="str">
        <x:v>EXT-MONDE-T073-V40</x:v>
      </x:c>
      <x:c r="B3645" s="115" t="str">
        <x:v>EXT-MONDE-T073</x:v>
      </x:c>
      <x:c r="C3645" s="115" t="str">
        <x:v>Ferroviaire</x:v>
      </x:c>
      <x:c r="D3645" s="115" t="str">
        <x:v>Gare de passage</x:v>
      </x:c>
      <x:c r="E3645" s="115" t="n">
        <x:v>40</x:v>
      </x:c>
      <x:c r="F3645" s="115" t="str">
        <x:v>Inspection physique</x:v>
      </x:c>
      <x:c r="G3645" s="115" t="str">
        <x:v>1 niveaux ; 36 pièces ; 265 segments de mur ; 0 transitions. Inspection physique ; architecture complète encore ouverte.</x:v>
      </x:c>
      <x:c r="H3645" s="115" t="str">
        <x:v>L 800 ; l 2180 ; hauteur 7,6 m ; choix de composition auteur ; dimensions réelles à documenter</x:v>
      </x:c>
      <x:c r="I3645" s="115" t="str">
        <x:v>À équilibrer</x:v>
      </x:c>
      <x:c r="J3645" s="115" t="str">
        <x:v>Non</x:v>
      </x:c>
      <x:c r="K3645" s="115" t="str">
        <x:v>Pièces décrites, murs, portes, niveaux et mobilier inspectables à l’échelle. Volumes réservés, raccord au seed, butin, rencontres et services de campagne restent à terminer.</x:v>
      </x:c>
    </x:row>
    <x:row r="3646" ht="96" customHeight="1">
      <x:c r="A3646" s="115" t="str">
        <x:v>EXT-MONDE-T073-V41</x:v>
      </x:c>
      <x:c r="B3646" s="115" t="str">
        <x:v>EXT-MONDE-T073</x:v>
      </x:c>
      <x:c r="C3646" s="115" t="str">
        <x:v>Ferroviaire</x:v>
      </x:c>
      <x:c r="D3646" s="115" t="str">
        <x:v>Gare de passage</x:v>
      </x:c>
      <x:c r="E3646" s="115" t="n">
        <x:v>41</x:v>
      </x:c>
      <x:c r="F3646" s="115" t="str">
        <x:v>Inspection physique</x:v>
      </x:c>
      <x:c r="G3646" s="115" t="str">
        <x:v>1 niveaux ; 36 pièces ; 265 segments de mur ; 0 transitions. Inspection physique ; architecture complète encore ouverte.</x:v>
      </x:c>
      <x:c r="H3646" s="115" t="str">
        <x:v>L 800 ; l 2340 ; hauteur 7,8 m ; choix de composition auteur ; dimensions réelles à documenter</x:v>
      </x:c>
      <x:c r="I3646" s="115" t="str">
        <x:v>À équilibrer</x:v>
      </x:c>
      <x:c r="J3646" s="115" t="str">
        <x:v>Non</x:v>
      </x:c>
      <x:c r="K3646" s="115" t="str">
        <x:v>Pièces décrites, murs, portes, niveaux et mobilier inspectables à l’échelle. Volumes réservés, raccord au seed, butin, rencontres et services de campagne restent à terminer.</x:v>
      </x:c>
    </x:row>
    <x:row r="3647" ht="96" customHeight="1">
      <x:c r="A3647" s="115" t="str">
        <x:v>EXT-MONDE-T073-V42</x:v>
      </x:c>
      <x:c r="B3647" s="115" t="str">
        <x:v>EXT-MONDE-T073</x:v>
      </x:c>
      <x:c r="C3647" s="115" t="str">
        <x:v>Ferroviaire</x:v>
      </x:c>
      <x:c r="D3647" s="115" t="str">
        <x:v>Gare de passage</x:v>
      </x:c>
      <x:c r="E3647" s="115" t="n">
        <x:v>42</x:v>
      </x:c>
      <x:c r="F3647" s="115" t="str">
        <x:v>Inspection physique</x:v>
      </x:c>
      <x:c r="G3647" s="115" t="str">
        <x:v>1 niveaux ; 36 pièces ; 265 segments de mur ; 0 transitions. Inspection physique ; architecture complète encore ouverte.</x:v>
      </x:c>
      <x:c r="H3647" s="115" t="str">
        <x:v>L 800 ; l 2340 ; hauteur 7,8 m ; choix de composition auteur ; dimensions réelles à documenter</x:v>
      </x:c>
      <x:c r="I3647" s="115" t="str">
        <x:v>À équilibrer</x:v>
      </x:c>
      <x:c r="J3647" s="115" t="str">
        <x:v>Non</x:v>
      </x:c>
      <x:c r="K3647" s="115" t="str">
        <x:v>Pièces décrites, murs, portes, niveaux et mobilier inspectables à l’échelle. Volumes réservés, raccord au seed, butin, rencontres et services de campagne restent à terminer.</x:v>
      </x:c>
    </x:row>
    <x:row r="3648" ht="96" customHeight="1">
      <x:c r="A3648" s="115" t="str">
        <x:v>EXT-MONDE-T073-V43</x:v>
      </x:c>
      <x:c r="B3648" s="115" t="str">
        <x:v>EXT-MONDE-T073</x:v>
      </x:c>
      <x:c r="C3648" s="115" t="str">
        <x:v>Ferroviaire</x:v>
      </x:c>
      <x:c r="D3648" s="115" t="str">
        <x:v>Gare de passage</x:v>
      </x:c>
      <x:c r="E3648" s="115" t="n">
        <x:v>43</x:v>
      </x:c>
      <x:c r="F3648" s="115" t="str">
        <x:v>Inspection physique</x:v>
      </x:c>
      <x:c r="G3648" s="115" t="str">
        <x:v>1 niveaux ; 36 pièces ; 265 segments de mur ; 0 transitions. Inspection physique ; architecture complète encore ouverte.</x:v>
      </x:c>
      <x:c r="H3648" s="115" t="str">
        <x:v>L 800 ; l 2340 ; hauteur 7,8 m ; choix de composition auteur ; dimensions réelles à documenter</x:v>
      </x:c>
      <x:c r="I3648" s="115" t="str">
        <x:v>À équilibrer</x:v>
      </x:c>
      <x:c r="J3648" s="115" t="str">
        <x:v>Non</x:v>
      </x:c>
      <x:c r="K3648" s="115" t="str">
        <x:v>Pièces décrites, murs, portes, niveaux et mobilier inspectables à l’échelle. Volumes réservés, raccord au seed, butin, rencontres et services de campagne restent à terminer.</x:v>
      </x:c>
    </x:row>
    <x:row r="3649" ht="96" customHeight="1">
      <x:c r="A3649" s="115" t="str">
        <x:v>EXT-MONDE-T073-V44</x:v>
      </x:c>
      <x:c r="B3649" s="115" t="str">
        <x:v>EXT-MONDE-T073</x:v>
      </x:c>
      <x:c r="C3649" s="115" t="str">
        <x:v>Ferroviaire</x:v>
      </x:c>
      <x:c r="D3649" s="115" t="str">
        <x:v>Gare de passage</x:v>
      </x:c>
      <x:c r="E3649" s="115" t="n">
        <x:v>44</x:v>
      </x:c>
      <x:c r="F3649" s="115" t="str">
        <x:v>Inspection physique</x:v>
      </x:c>
      <x:c r="G3649" s="115" t="str">
        <x:v>1 niveaux ; 36 pièces ; 265 segments de mur ; 0 transitions. Inspection physique ; architecture complète encore ouverte.</x:v>
      </x:c>
      <x:c r="H3649" s="115" t="str">
        <x:v>L 800 ; l 2340 ; hauteur 7,8 m ; choix de composition auteur ; dimensions réelles à documenter</x:v>
      </x:c>
      <x:c r="I3649" s="115" t="str">
        <x:v>À équilibrer</x:v>
      </x:c>
      <x:c r="J3649" s="115" t="str">
        <x:v>Non</x:v>
      </x:c>
      <x:c r="K3649" s="115" t="str">
        <x:v>Pièces décrites, murs, portes, niveaux et mobilier inspectables à l’échelle. Volumes réservés, raccord au seed, butin, rencontres et services de campagne restent à terminer.</x:v>
      </x:c>
    </x:row>
    <x:row r="3650" ht="96" customHeight="1">
      <x:c r="A3650" s="115" t="str">
        <x:v>EXT-MONDE-T073-V45</x:v>
      </x:c>
      <x:c r="B3650" s="115" t="str">
        <x:v>EXT-MONDE-T073</x:v>
      </x:c>
      <x:c r="C3650" s="115" t="str">
        <x:v>Ferroviaire</x:v>
      </x:c>
      <x:c r="D3650" s="115" t="str">
        <x:v>Gare de passage</x:v>
      </x:c>
      <x:c r="E3650" s="115" t="n">
        <x:v>45</x:v>
      </x:c>
      <x:c r="F3650" s="115" t="str">
        <x:v>Inspection physique</x:v>
      </x:c>
      <x:c r="G3650" s="115" t="str">
        <x:v>1 niveaux ; 36 pièces ; 265 segments de mur ; 0 transitions. Inspection physique ; architecture complète encore ouverte.</x:v>
      </x:c>
      <x:c r="H3650" s="115" t="str">
        <x:v>L 800 ; l 2340 ; hauteur 7,8 m ; choix de composition auteur ; dimensions réelles à documenter</x:v>
      </x:c>
      <x:c r="I3650" s="115" t="str">
        <x:v>À équilibrer</x:v>
      </x:c>
      <x:c r="J3650" s="115" t="str">
        <x:v>Non</x:v>
      </x:c>
      <x:c r="K3650" s="115" t="str">
        <x:v>Pièces décrites, murs, portes, niveaux et mobilier inspectables à l’échelle. Volumes réservés, raccord au seed, butin, rencontres et services de campagne restent à terminer.</x:v>
      </x:c>
    </x:row>
    <x:row r="3651" ht="96" customHeight="1">
      <x:c r="A3651" s="115" t="str">
        <x:v>EXT-MONDE-T073-V46</x:v>
      </x:c>
      <x:c r="B3651" s="115" t="str">
        <x:v>EXT-MONDE-T073</x:v>
      </x:c>
      <x:c r="C3651" s="115" t="str">
        <x:v>Ferroviaire</x:v>
      </x:c>
      <x:c r="D3651" s="115" t="str">
        <x:v>Gare de passage</x:v>
      </x:c>
      <x:c r="E3651" s="115" t="n">
        <x:v>46</x:v>
      </x:c>
      <x:c r="F3651" s="115" t="str">
        <x:v>Inspection physique</x:v>
      </x:c>
      <x:c r="G3651" s="115" t="str">
        <x:v>1 niveaux ; 36 pièces ; 265 segments de mur ; 0 transitions. Inspection physique ; architecture complète encore ouverte.</x:v>
      </x:c>
      <x:c r="H3651" s="115" t="str">
        <x:v>L 800 ; l 2340 ; hauteur 7,8 m ; choix de composition auteur ; dimensions réelles à documenter</x:v>
      </x:c>
      <x:c r="I3651" s="115" t="str">
        <x:v>À équilibrer</x:v>
      </x:c>
      <x:c r="J3651" s="115" t="str">
        <x:v>Non</x:v>
      </x:c>
      <x:c r="K3651" s="115" t="str">
        <x:v>Pièces décrites, murs, portes, niveaux et mobilier inspectables à l’échelle. Volumes réservés, raccord au seed, butin, rencontres et services de campagne restent à terminer.</x:v>
      </x:c>
    </x:row>
    <x:row r="3652" ht="96" customHeight="1">
      <x:c r="A3652" s="115" t="str">
        <x:v>EXT-MONDE-T073-V47</x:v>
      </x:c>
      <x:c r="B3652" s="115" t="str">
        <x:v>EXT-MONDE-T073</x:v>
      </x:c>
      <x:c r="C3652" s="115" t="str">
        <x:v>Ferroviaire</x:v>
      </x:c>
      <x:c r="D3652" s="115" t="str">
        <x:v>Gare de passage</x:v>
      </x:c>
      <x:c r="E3652" s="115" t="n">
        <x:v>47</x:v>
      </x:c>
      <x:c r="F3652" s="115" t="str">
        <x:v>Inspection physique</x:v>
      </x:c>
      <x:c r="G3652" s="115" t="str">
        <x:v>1 niveaux ; 36 pièces ; 265 segments de mur ; 0 transitions. Inspection physique ; architecture complète encore ouverte.</x:v>
      </x:c>
      <x:c r="H3652" s="115" t="str">
        <x:v>L 800 ; l 2340 ; hauteur 7,8 m ; choix de composition auteur ; dimensions réelles à documenter</x:v>
      </x:c>
      <x:c r="I3652" s="115" t="str">
        <x:v>À équilibrer</x:v>
      </x:c>
      <x:c r="J3652" s="115" t="str">
        <x:v>Non</x:v>
      </x:c>
      <x:c r="K3652" s="115" t="str">
        <x:v>Pièces décrites, murs, portes, niveaux et mobilier inspectables à l’échelle. Volumes réservés, raccord au seed, butin, rencontres et services de campagne restent à terminer.</x:v>
      </x:c>
    </x:row>
    <x:row r="3653" ht="96" customHeight="1">
      <x:c r="A3653" s="115" t="str">
        <x:v>EXT-MONDE-T073-V48</x:v>
      </x:c>
      <x:c r="B3653" s="115" t="str">
        <x:v>EXT-MONDE-T073</x:v>
      </x:c>
      <x:c r="C3653" s="115" t="str">
        <x:v>Ferroviaire</x:v>
      </x:c>
      <x:c r="D3653" s="115" t="str">
        <x:v>Gare de passage</x:v>
      </x:c>
      <x:c r="E3653" s="115" t="n">
        <x:v>48</x:v>
      </x:c>
      <x:c r="F3653" s="115" t="str">
        <x:v>Inspection physique</x:v>
      </x:c>
      <x:c r="G3653" s="115" t="str">
        <x:v>1 niveaux ; 36 pièces ; 265 segments de mur ; 0 transitions. Inspection physique ; architecture complète encore ouverte.</x:v>
      </x:c>
      <x:c r="H3653" s="115" t="str">
        <x:v>L 800 ; l 2340 ; hauteur 7,8 m ; choix de composition auteur ; dimensions réelles à documenter</x:v>
      </x:c>
      <x:c r="I3653" s="115" t="str">
        <x:v>À équilibrer</x:v>
      </x:c>
      <x:c r="J3653" s="115" t="str">
        <x:v>Non</x:v>
      </x:c>
      <x:c r="K3653" s="115" t="str">
        <x:v>Pièces décrites, murs, portes, niveaux et mobilier inspectables à l’échelle. Volumes réservés, raccord au seed, butin, rencontres et services de campagne restent à terminer.</x:v>
      </x:c>
    </x:row>
    <x:row r="3654" ht="96" customHeight="1">
      <x:c r="A3654" s="115" t="str">
        <x:v>EXT-MONDE-T073-V49</x:v>
      </x:c>
      <x:c r="B3654" s="115" t="str">
        <x:v>EXT-MONDE-T073</x:v>
      </x:c>
      <x:c r="C3654" s="115" t="str">
        <x:v>Ferroviaire</x:v>
      </x:c>
      <x:c r="D3654" s="115" t="str">
        <x:v>Gare de passage</x:v>
      </x:c>
      <x:c r="E3654" s="115" t="n">
        <x:v>49</x:v>
      </x:c>
      <x:c r="F3654" s="115" t="str">
        <x:v>Inspection physique</x:v>
      </x:c>
      <x:c r="G3654" s="115" t="str">
        <x:v>1 niveaux ; 36 pièces ; 265 segments de mur ; 0 transitions. Inspection physique ; architecture complète encore ouverte.</x:v>
      </x:c>
      <x:c r="H3654" s="115" t="str">
        <x:v>L 800 ; l 2340 ; hauteur 7,8 m ; choix de composition auteur ; dimensions réelles à documenter</x:v>
      </x:c>
      <x:c r="I3654" s="115" t="str">
        <x:v>À équilibrer</x:v>
      </x:c>
      <x:c r="J3654" s="115" t="str">
        <x:v>Non</x:v>
      </x:c>
      <x:c r="K3654" s="115" t="str">
        <x:v>Pièces décrites, murs, portes, niveaux et mobilier inspectables à l’échelle. Volumes réservés, raccord au seed, butin, rencontres et services de campagne restent à terminer.</x:v>
      </x:c>
    </x:row>
    <x:row r="3655" ht="96" customHeight="1">
      <x:c r="A3655" s="115" t="str">
        <x:v>EXT-MONDE-T073-V50</x:v>
      </x:c>
      <x:c r="B3655" s="115" t="str">
        <x:v>EXT-MONDE-T073</x:v>
      </x:c>
      <x:c r="C3655" s="115" t="str">
        <x:v>Ferroviaire</x:v>
      </x:c>
      <x:c r="D3655" s="115" t="str">
        <x:v>Gare de passage</x:v>
      </x:c>
      <x:c r="E3655" s="115" t="n">
        <x:v>50</x:v>
      </x:c>
      <x:c r="F3655" s="115" t="str">
        <x:v>Inspection physique</x:v>
      </x:c>
      <x:c r="G3655" s="115" t="str">
        <x:v>1 niveaux ; 36 pièces ; 265 segments de mur ; 0 transitions. Inspection physique ; architecture complète encore ouverte.</x:v>
      </x:c>
      <x:c r="H3655" s="115" t="str">
        <x:v>L 800 ; l 2340 ; hauteur 7,8 m ; choix de composition auteur ; dimensions réelles à documenter</x:v>
      </x:c>
      <x:c r="I3655" s="115" t="str">
        <x:v>À équilibrer</x:v>
      </x:c>
      <x:c r="J3655" s="115" t="str">
        <x:v>Non</x:v>
      </x:c>
      <x:c r="K3655" s="115" t="str">
        <x:v>Pièces décrites, murs, portes, niveaux et mobilier inspectables à l’échelle. Volumes réservés, raccord au seed, butin, rencontres et services de campagne restent à terminer.</x:v>
      </x:c>
    </x:row>
    <x:row r="3656" ht="96" customHeight="1">
      <x:c r="A3656" s="115" t="str">
        <x:v>EXT-MONDE-T074-V01</x:v>
      </x:c>
      <x:c r="B3656" s="115" t="str">
        <x:v>EXT-MONDE-T074</x:v>
      </x:c>
      <x:c r="C3656" s="115" t="str">
        <x:v>Ferroviaire</x:v>
      </x:c>
      <x:c r="D3656" s="115" t="str">
        <x:v>Gare terminus</x:v>
      </x:c>
      <x:c r="E3656" s="115" t="n">
        <x:v>1</x:v>
      </x:c>
      <x:c r="F3656" s="115" t="str">
        <x:v>Inspection physique</x:v>
      </x:c>
      <x:c r="G3656" s="115" t="str">
        <x:v>1 niveaux ; 36 pièces ; 265 segments de mur ; 0 transitions. Inspection physique ; architecture complète encore ouverte.</x:v>
      </x:c>
      <x:c r="H3656" s="115" t="str">
        <x:v>L 800 ; l 1900 ; hauteur 7 m ; choix de composition auteur ; dimensions réelles à documenter</x:v>
      </x:c>
      <x:c r="I3656" s="115" t="str">
        <x:v>À équilibrer</x:v>
      </x:c>
      <x:c r="J3656" s="115" t="str">
        <x:v>Non</x:v>
      </x:c>
      <x:c r="K3656" s="115" t="str">
        <x:v>Pièces décrites, murs, portes, niveaux et mobilier inspectables à l’échelle. Volumes réservés, raccord au seed, butin, rencontres et services de campagne restent à terminer.</x:v>
      </x:c>
    </x:row>
    <x:row r="3657" ht="96" customHeight="1">
      <x:c r="A3657" s="115" t="str">
        <x:v>EXT-MONDE-T074-V02</x:v>
      </x:c>
      <x:c r="B3657" s="115" t="str">
        <x:v>EXT-MONDE-T074</x:v>
      </x:c>
      <x:c r="C3657" s="115" t="str">
        <x:v>Ferroviaire</x:v>
      </x:c>
      <x:c r="D3657" s="115" t="str">
        <x:v>Gare terminus</x:v>
      </x:c>
      <x:c r="E3657" s="115" t="n">
        <x:v>2</x:v>
      </x:c>
      <x:c r="F3657" s="115" t="str">
        <x:v>Inspection physique</x:v>
      </x:c>
      <x:c r="G3657" s="115" t="str">
        <x:v>1 niveaux ; 36 pièces ; 265 segments de mur ; 0 transitions. Inspection physique ; architecture complète encore ouverte.</x:v>
      </x:c>
      <x:c r="H3657" s="115" t="str">
        <x:v>L 800 ; l 1900 ; hauteur 7 m ; choix de composition auteur ; dimensions réelles à documenter</x:v>
      </x:c>
      <x:c r="I3657" s="115" t="str">
        <x:v>À équilibrer</x:v>
      </x:c>
      <x:c r="J3657" s="115" t="str">
        <x:v>Non</x:v>
      </x:c>
      <x:c r="K3657" s="115" t="str">
        <x:v>Pièces décrites, murs, portes, niveaux et mobilier inspectables à l’échelle. Volumes réservés, raccord au seed, butin, rencontres et services de campagne restent à terminer.</x:v>
      </x:c>
    </x:row>
    <x:row r="3658" ht="96" customHeight="1">
      <x:c r="A3658" s="115" t="str">
        <x:v>EXT-MONDE-T074-V03</x:v>
      </x:c>
      <x:c r="B3658" s="115" t="str">
        <x:v>EXT-MONDE-T074</x:v>
      </x:c>
      <x:c r="C3658" s="115" t="str">
        <x:v>Ferroviaire</x:v>
      </x:c>
      <x:c r="D3658" s="115" t="str">
        <x:v>Gare terminus</x:v>
      </x:c>
      <x:c r="E3658" s="115" t="n">
        <x:v>3</x:v>
      </x:c>
      <x:c r="F3658" s="115" t="str">
        <x:v>Inspection physique</x:v>
      </x:c>
      <x:c r="G3658" s="115" t="str">
        <x:v>1 niveaux ; 36 pièces ; 265 segments de mur ; 0 transitions. Inspection physique ; architecture complète encore ouverte.</x:v>
      </x:c>
      <x:c r="H3658" s="115" t="str">
        <x:v>L 800 ; l 1900 ; hauteur 7 m ; choix de composition auteur ; dimensions réelles à documenter</x:v>
      </x:c>
      <x:c r="I3658" s="115" t="str">
        <x:v>À équilibrer</x:v>
      </x:c>
      <x:c r="J3658" s="115" t="str">
        <x:v>Non</x:v>
      </x:c>
      <x:c r="K3658" s="115" t="str">
        <x:v>Pièces décrites, murs, portes, niveaux et mobilier inspectables à l’échelle. Volumes réservés, raccord au seed, butin, rencontres et services de campagne restent à terminer.</x:v>
      </x:c>
    </x:row>
    <x:row r="3659" ht="96" customHeight="1">
      <x:c r="A3659" s="115" t="str">
        <x:v>EXT-MONDE-T074-V04</x:v>
      </x:c>
      <x:c r="B3659" s="115" t="str">
        <x:v>EXT-MONDE-T074</x:v>
      </x:c>
      <x:c r="C3659" s="115" t="str">
        <x:v>Ferroviaire</x:v>
      </x:c>
      <x:c r="D3659" s="115" t="str">
        <x:v>Gare terminus</x:v>
      </x:c>
      <x:c r="E3659" s="115" t="n">
        <x:v>4</x:v>
      </x:c>
      <x:c r="F3659" s="115" t="str">
        <x:v>Inspection physique</x:v>
      </x:c>
      <x:c r="G3659" s="115" t="str">
        <x:v>1 niveaux ; 36 pièces ; 265 segments de mur ; 0 transitions. Inspection physique ; architecture complète encore ouverte.</x:v>
      </x:c>
      <x:c r="H3659" s="115" t="str">
        <x:v>L 800 ; l 1900 ; hauteur 7 m ; choix de composition auteur ; dimensions réelles à documenter</x:v>
      </x:c>
      <x:c r="I3659" s="115" t="str">
        <x:v>À équilibrer</x:v>
      </x:c>
      <x:c r="J3659" s="115" t="str">
        <x:v>Non</x:v>
      </x:c>
      <x:c r="K3659" s="115" t="str">
        <x:v>Pièces décrites, murs, portes, niveaux et mobilier inspectables à l’échelle. Volumes réservés, raccord au seed, butin, rencontres et services de campagne restent à terminer.</x:v>
      </x:c>
    </x:row>
    <x:row r="3660" ht="96" customHeight="1">
      <x:c r="A3660" s="115" t="str">
        <x:v>EXT-MONDE-T074-V05</x:v>
      </x:c>
      <x:c r="B3660" s="115" t="str">
        <x:v>EXT-MONDE-T074</x:v>
      </x:c>
      <x:c r="C3660" s="115" t="str">
        <x:v>Ferroviaire</x:v>
      </x:c>
      <x:c r="D3660" s="115" t="str">
        <x:v>Gare terminus</x:v>
      </x:c>
      <x:c r="E3660" s="115" t="n">
        <x:v>5</x:v>
      </x:c>
      <x:c r="F3660" s="115" t="str">
        <x:v>Inspection physique</x:v>
      </x:c>
      <x:c r="G3660" s="115" t="str">
        <x:v>1 niveaux ; 36 pièces ; 265 segments de mur ; 0 transitions. Inspection physique ; architecture complète encore ouverte.</x:v>
      </x:c>
      <x:c r="H3660" s="115" t="str">
        <x:v>L 800 ; l 1900 ; hauteur 7 m ; choix de composition auteur ; dimensions réelles à documenter</x:v>
      </x:c>
      <x:c r="I3660" s="115" t="str">
        <x:v>À équilibrer</x:v>
      </x:c>
      <x:c r="J3660" s="115" t="str">
        <x:v>Non</x:v>
      </x:c>
      <x:c r="K3660" s="115" t="str">
        <x:v>Pièces décrites, murs, portes, niveaux et mobilier inspectables à l’échelle. Volumes réservés, raccord au seed, butin, rencontres et services de campagne restent à terminer.</x:v>
      </x:c>
    </x:row>
    <x:row r="3661" ht="96" customHeight="1">
      <x:c r="A3661" s="115" t="str">
        <x:v>EXT-MONDE-T074-V06</x:v>
      </x:c>
      <x:c r="B3661" s="115" t="str">
        <x:v>EXT-MONDE-T074</x:v>
      </x:c>
      <x:c r="C3661" s="115" t="str">
        <x:v>Ferroviaire</x:v>
      </x:c>
      <x:c r="D3661" s="115" t="str">
        <x:v>Gare terminus</x:v>
      </x:c>
      <x:c r="E3661" s="115" t="n">
        <x:v>6</x:v>
      </x:c>
      <x:c r="F3661" s="115" t="str">
        <x:v>Inspection physique</x:v>
      </x:c>
      <x:c r="G3661" s="115" t="str">
        <x:v>1 niveaux ; 36 pièces ; 265 segments de mur ; 0 transitions. Inspection physique ; architecture complète encore ouverte.</x:v>
      </x:c>
      <x:c r="H3661" s="115" t="str">
        <x:v>L 800 ; l 1900 ; hauteur 7 m ; choix de composition auteur ; dimensions réelles à documenter</x:v>
      </x:c>
      <x:c r="I3661" s="115" t="str">
        <x:v>À équilibrer</x:v>
      </x:c>
      <x:c r="J3661" s="115" t="str">
        <x:v>Non</x:v>
      </x:c>
      <x:c r="K3661" s="115" t="str">
        <x:v>Pièces décrites, murs, portes, niveaux et mobilier inspectables à l’échelle. Volumes réservés, raccord au seed, butin, rencontres et services de campagne restent à terminer.</x:v>
      </x:c>
    </x:row>
    <x:row r="3662" ht="96" customHeight="1">
      <x:c r="A3662" s="115" t="str">
        <x:v>EXT-MONDE-T074-V07</x:v>
      </x:c>
      <x:c r="B3662" s="115" t="str">
        <x:v>EXT-MONDE-T074</x:v>
      </x:c>
      <x:c r="C3662" s="115" t="str">
        <x:v>Ferroviaire</x:v>
      </x:c>
      <x:c r="D3662" s="115" t="str">
        <x:v>Gare terminus</x:v>
      </x:c>
      <x:c r="E3662" s="115" t="n">
        <x:v>7</x:v>
      </x:c>
      <x:c r="F3662" s="115" t="str">
        <x:v>Inspection physique</x:v>
      </x:c>
      <x:c r="G3662" s="115" t="str">
        <x:v>1 niveaux ; 36 pièces ; 265 segments de mur ; 0 transitions. Inspection physique ; architecture complète encore ouverte.</x:v>
      </x:c>
      <x:c r="H3662" s="115" t="str">
        <x:v>L 800 ; l 1900 ; hauteur 7 m ; choix de composition auteur ; dimensions réelles à documenter</x:v>
      </x:c>
      <x:c r="I3662" s="115" t="str">
        <x:v>À équilibrer</x:v>
      </x:c>
      <x:c r="J3662" s="115" t="str">
        <x:v>Non</x:v>
      </x:c>
      <x:c r="K3662" s="115" t="str">
        <x:v>Pièces décrites, murs, portes, niveaux et mobilier inspectables à l’échelle. Volumes réservés, raccord au seed, butin, rencontres et services de campagne restent à terminer.</x:v>
      </x:c>
    </x:row>
    <x:row r="3663" ht="96" customHeight="1">
      <x:c r="A3663" s="115" t="str">
        <x:v>EXT-MONDE-T074-V08</x:v>
      </x:c>
      <x:c r="B3663" s="115" t="str">
        <x:v>EXT-MONDE-T074</x:v>
      </x:c>
      <x:c r="C3663" s="115" t="str">
        <x:v>Ferroviaire</x:v>
      </x:c>
      <x:c r="D3663" s="115" t="str">
        <x:v>Gare terminus</x:v>
      </x:c>
      <x:c r="E3663" s="115" t="n">
        <x:v>8</x:v>
      </x:c>
      <x:c r="F3663" s="115" t="str">
        <x:v>Inspection physique</x:v>
      </x:c>
      <x:c r="G3663" s="115" t="str">
        <x:v>1 niveaux ; 36 pièces ; 265 segments de mur ; 0 transitions. Inspection physique ; architecture complète encore ouverte.</x:v>
      </x:c>
      <x:c r="H3663" s="115" t="str">
        <x:v>L 800 ; l 1900 ; hauteur 7 m ; choix de composition auteur ; dimensions réelles à documenter</x:v>
      </x:c>
      <x:c r="I3663" s="115" t="str">
        <x:v>À équilibrer</x:v>
      </x:c>
      <x:c r="J3663" s="115" t="str">
        <x:v>Non</x:v>
      </x:c>
      <x:c r="K3663" s="115" t="str">
        <x:v>Pièces décrites, murs, portes, niveaux et mobilier inspectables à l’échelle. Volumes réservés, raccord au seed, butin, rencontres et services de campagne restent à terminer.</x:v>
      </x:c>
    </x:row>
    <x:row r="3664" ht="96" customHeight="1">
      <x:c r="A3664" s="115" t="str">
        <x:v>EXT-MONDE-T074-V09</x:v>
      </x:c>
      <x:c r="B3664" s="115" t="str">
        <x:v>EXT-MONDE-T074</x:v>
      </x:c>
      <x:c r="C3664" s="115" t="str">
        <x:v>Ferroviaire</x:v>
      </x:c>
      <x:c r="D3664" s="115" t="str">
        <x:v>Gare terminus</x:v>
      </x:c>
      <x:c r="E3664" s="115" t="n">
        <x:v>9</x:v>
      </x:c>
      <x:c r="F3664" s="115" t="str">
        <x:v>Inspection physique</x:v>
      </x:c>
      <x:c r="G3664" s="115" t="str">
        <x:v>1 niveaux ; 36 pièces ; 265 segments de mur ; 0 transitions. Inspection physique ; architecture complète encore ouverte.</x:v>
      </x:c>
      <x:c r="H3664" s="115" t="str">
        <x:v>L 800 ; l 1900 ; hauteur 7 m ; choix de composition auteur ; dimensions réelles à documenter</x:v>
      </x:c>
      <x:c r="I3664" s="115" t="str">
        <x:v>À équilibrer</x:v>
      </x:c>
      <x:c r="J3664" s="115" t="str">
        <x:v>Non</x:v>
      </x:c>
      <x:c r="K3664" s="115" t="str">
        <x:v>Pièces décrites, murs, portes, niveaux et mobilier inspectables à l’échelle. Volumes réservés, raccord au seed, butin, rencontres et services de campagne restent à terminer.</x:v>
      </x:c>
    </x:row>
    <x:row r="3665" ht="96" customHeight="1">
      <x:c r="A3665" s="115" t="str">
        <x:v>EXT-MONDE-T074-V10</x:v>
      </x:c>
      <x:c r="B3665" s="115" t="str">
        <x:v>EXT-MONDE-T074</x:v>
      </x:c>
      <x:c r="C3665" s="115" t="str">
        <x:v>Ferroviaire</x:v>
      </x:c>
      <x:c r="D3665" s="115" t="str">
        <x:v>Gare terminus</x:v>
      </x:c>
      <x:c r="E3665" s="115" t="n">
        <x:v>10</x:v>
      </x:c>
      <x:c r="F3665" s="115" t="str">
        <x:v>Inspection physique</x:v>
      </x:c>
      <x:c r="G3665" s="115" t="str">
        <x:v>1 niveaux ; 36 pièces ; 265 segments de mur ; 0 transitions. Inspection physique ; architecture complète encore ouverte.</x:v>
      </x:c>
      <x:c r="H3665" s="115" t="str">
        <x:v>L 800 ; l 1900 ; hauteur 7 m ; choix de composition auteur ; dimensions réelles à documenter</x:v>
      </x:c>
      <x:c r="I3665" s="115" t="str">
        <x:v>À équilibrer</x:v>
      </x:c>
      <x:c r="J3665" s="115" t="str">
        <x:v>Non</x:v>
      </x:c>
      <x:c r="K3665" s="115" t="str">
        <x:v>Pièces décrites, murs, portes, niveaux et mobilier inspectables à l’échelle. Volumes réservés, raccord au seed, butin, rencontres et services de campagne restent à terminer.</x:v>
      </x:c>
    </x:row>
    <x:row r="3666" ht="96" customHeight="1">
      <x:c r="A3666" s="115" t="str">
        <x:v>EXT-MONDE-T074-V11</x:v>
      </x:c>
      <x:c r="B3666" s="115" t="str">
        <x:v>EXT-MONDE-T074</x:v>
      </x:c>
      <x:c r="C3666" s="115" t="str">
        <x:v>Ferroviaire</x:v>
      </x:c>
      <x:c r="D3666" s="115" t="str">
        <x:v>Gare terminus</x:v>
      </x:c>
      <x:c r="E3666" s="115" t="n">
        <x:v>11</x:v>
      </x:c>
      <x:c r="F3666" s="115" t="str">
        <x:v>Inspection physique</x:v>
      </x:c>
      <x:c r="G3666" s="115" t="str">
        <x:v>1 niveaux ; 36 pièces ; 265 segments de mur ; 0 transitions. Inspection physique ; architecture complète encore ouverte.</x:v>
      </x:c>
      <x:c r="H3666" s="115" t="str">
        <x:v>L 800 ; l 2100 ; hauteur 7,2 m ; choix de composition auteur ; dimensions réelles à documenter</x:v>
      </x:c>
      <x:c r="I3666" s="115" t="str">
        <x:v>À équilibrer</x:v>
      </x:c>
      <x:c r="J3666" s="115" t="str">
        <x:v>Non</x:v>
      </x:c>
      <x:c r="K3666" s="115" t="str">
        <x:v>Pièces décrites, murs, portes, niveaux et mobilier inspectables à l’échelle. Volumes réservés, raccord au seed, butin, rencontres et services de campagne restent à terminer.</x:v>
      </x:c>
    </x:row>
    <x:row r="3667" ht="96" customHeight="1">
      <x:c r="A3667" s="115" t="str">
        <x:v>EXT-MONDE-T074-V12</x:v>
      </x:c>
      <x:c r="B3667" s="115" t="str">
        <x:v>EXT-MONDE-T074</x:v>
      </x:c>
      <x:c r="C3667" s="115" t="str">
        <x:v>Ferroviaire</x:v>
      </x:c>
      <x:c r="D3667" s="115" t="str">
        <x:v>Gare terminus</x:v>
      </x:c>
      <x:c r="E3667" s="115" t="n">
        <x:v>12</x:v>
      </x:c>
      <x:c r="F3667" s="115" t="str">
        <x:v>Inspection physique</x:v>
      </x:c>
      <x:c r="G3667" s="115" t="str">
        <x:v>1 niveaux ; 36 pièces ; 265 segments de mur ; 0 transitions. Inspection physique ; architecture complète encore ouverte.</x:v>
      </x:c>
      <x:c r="H3667" s="115" t="str">
        <x:v>L 800 ; l 2100 ; hauteur 7,2 m ; choix de composition auteur ; dimensions réelles à documenter</x:v>
      </x:c>
      <x:c r="I3667" s="115" t="str">
        <x:v>À équilibrer</x:v>
      </x:c>
      <x:c r="J3667" s="115" t="str">
        <x:v>Non</x:v>
      </x:c>
      <x:c r="K3667" s="115" t="str">
        <x:v>Pièces décrites, murs, portes, niveaux et mobilier inspectables à l’échelle. Volumes réservés, raccord au seed, butin, rencontres et services de campagne restent à terminer.</x:v>
      </x:c>
    </x:row>
    <x:row r="3668" ht="96" customHeight="1">
      <x:c r="A3668" s="115" t="str">
        <x:v>EXT-MONDE-T074-V13</x:v>
      </x:c>
      <x:c r="B3668" s="115" t="str">
        <x:v>EXT-MONDE-T074</x:v>
      </x:c>
      <x:c r="C3668" s="115" t="str">
        <x:v>Ferroviaire</x:v>
      </x:c>
      <x:c r="D3668" s="115" t="str">
        <x:v>Gare terminus</x:v>
      </x:c>
      <x:c r="E3668" s="115" t="n">
        <x:v>13</x:v>
      </x:c>
      <x:c r="F3668" s="115" t="str">
        <x:v>Inspection physique</x:v>
      </x:c>
      <x:c r="G3668" s="115" t="str">
        <x:v>1 niveaux ; 36 pièces ; 265 segments de mur ; 0 transitions. Inspection physique ; architecture complète encore ouverte.</x:v>
      </x:c>
      <x:c r="H3668" s="115" t="str">
        <x:v>L 800 ; l 2100 ; hauteur 7,2 m ; choix de composition auteur ; dimensions réelles à documenter</x:v>
      </x:c>
      <x:c r="I3668" s="115" t="str">
        <x:v>À équilibrer</x:v>
      </x:c>
      <x:c r="J3668" s="115" t="str">
        <x:v>Non</x:v>
      </x:c>
      <x:c r="K3668" s="115" t="str">
        <x:v>Pièces décrites, murs, portes, niveaux et mobilier inspectables à l’échelle. Volumes réservés, raccord au seed, butin, rencontres et services de campagne restent à terminer.</x:v>
      </x:c>
    </x:row>
    <x:row r="3669" ht="96" customHeight="1">
      <x:c r="A3669" s="115" t="str">
        <x:v>EXT-MONDE-T074-V14</x:v>
      </x:c>
      <x:c r="B3669" s="115" t="str">
        <x:v>EXT-MONDE-T074</x:v>
      </x:c>
      <x:c r="C3669" s="115" t="str">
        <x:v>Ferroviaire</x:v>
      </x:c>
      <x:c r="D3669" s="115" t="str">
        <x:v>Gare terminus</x:v>
      </x:c>
      <x:c r="E3669" s="115" t="n">
        <x:v>14</x:v>
      </x:c>
      <x:c r="F3669" s="115" t="str">
        <x:v>Inspection physique</x:v>
      </x:c>
      <x:c r="G3669" s="115" t="str">
        <x:v>1 niveaux ; 36 pièces ; 265 segments de mur ; 0 transitions. Inspection physique ; architecture complète encore ouverte.</x:v>
      </x:c>
      <x:c r="H3669" s="115" t="str">
        <x:v>L 800 ; l 2100 ; hauteur 7,2 m ; choix de composition auteur ; dimensions réelles à documenter</x:v>
      </x:c>
      <x:c r="I3669" s="115" t="str">
        <x:v>À équilibrer</x:v>
      </x:c>
      <x:c r="J3669" s="115" t="str">
        <x:v>Non</x:v>
      </x:c>
      <x:c r="K3669" s="115" t="str">
        <x:v>Pièces décrites, murs, portes, niveaux et mobilier inspectables à l’échelle. Volumes réservés, raccord au seed, butin, rencontres et services de campagne restent à terminer.</x:v>
      </x:c>
    </x:row>
    <x:row r="3670" ht="96" customHeight="1">
      <x:c r="A3670" s="115" t="str">
        <x:v>EXT-MONDE-T074-V15</x:v>
      </x:c>
      <x:c r="B3670" s="115" t="str">
        <x:v>EXT-MONDE-T074</x:v>
      </x:c>
      <x:c r="C3670" s="115" t="str">
        <x:v>Ferroviaire</x:v>
      </x:c>
      <x:c r="D3670" s="115" t="str">
        <x:v>Gare terminus</x:v>
      </x:c>
      <x:c r="E3670" s="115" t="n">
        <x:v>15</x:v>
      </x:c>
      <x:c r="F3670" s="115" t="str">
        <x:v>Inspection physique</x:v>
      </x:c>
      <x:c r="G3670" s="115" t="str">
        <x:v>1 niveaux ; 36 pièces ; 265 segments de mur ; 0 transitions. Inspection physique ; architecture complète encore ouverte.</x:v>
      </x:c>
      <x:c r="H3670" s="115" t="str">
        <x:v>L 800 ; l 2100 ; hauteur 7,2 m ; choix de composition auteur ; dimensions réelles à documenter</x:v>
      </x:c>
      <x:c r="I3670" s="115" t="str">
        <x:v>À équilibrer</x:v>
      </x:c>
      <x:c r="J3670" s="115" t="str">
        <x:v>Non</x:v>
      </x:c>
      <x:c r="K3670" s="115" t="str">
        <x:v>Pièces décrites, murs, portes, niveaux et mobilier inspectables à l’échelle. Volumes réservés, raccord au seed, butin, rencontres et services de campagne restent à terminer.</x:v>
      </x:c>
    </x:row>
    <x:row r="3671" ht="96" customHeight="1">
      <x:c r="A3671" s="115" t="str">
        <x:v>EXT-MONDE-T074-V16</x:v>
      </x:c>
      <x:c r="B3671" s="115" t="str">
        <x:v>EXT-MONDE-T074</x:v>
      </x:c>
      <x:c r="C3671" s="115" t="str">
        <x:v>Ferroviaire</x:v>
      </x:c>
      <x:c r="D3671" s="115" t="str">
        <x:v>Gare terminus</x:v>
      </x:c>
      <x:c r="E3671" s="115" t="n">
        <x:v>16</x:v>
      </x:c>
      <x:c r="F3671" s="115" t="str">
        <x:v>Inspection physique</x:v>
      </x:c>
      <x:c r="G3671" s="115" t="str">
        <x:v>1 niveaux ; 36 pièces ; 265 segments de mur ; 0 transitions. Inspection physique ; architecture complète encore ouverte.</x:v>
      </x:c>
      <x:c r="H3671" s="115" t="str">
        <x:v>L 800 ; l 2100 ; hauteur 7,2 m ; choix de composition auteur ; dimensions réelles à documenter</x:v>
      </x:c>
      <x:c r="I3671" s="115" t="str">
        <x:v>À équilibrer</x:v>
      </x:c>
      <x:c r="J3671" s="115" t="str">
        <x:v>Non</x:v>
      </x:c>
      <x:c r="K3671" s="115" t="str">
        <x:v>Pièces décrites, murs, portes, niveaux et mobilier inspectables à l’échelle. Volumes réservés, raccord au seed, butin, rencontres et services de campagne restent à terminer.</x:v>
      </x:c>
    </x:row>
    <x:row r="3672" ht="96" customHeight="1">
      <x:c r="A3672" s="115" t="str">
        <x:v>EXT-MONDE-T074-V17</x:v>
      </x:c>
      <x:c r="B3672" s="115" t="str">
        <x:v>EXT-MONDE-T074</x:v>
      </x:c>
      <x:c r="C3672" s="115" t="str">
        <x:v>Ferroviaire</x:v>
      </x:c>
      <x:c r="D3672" s="115" t="str">
        <x:v>Gare terminus</x:v>
      </x:c>
      <x:c r="E3672" s="115" t="n">
        <x:v>17</x:v>
      </x:c>
      <x:c r="F3672" s="115" t="str">
        <x:v>Inspection physique</x:v>
      </x:c>
      <x:c r="G3672" s="115" t="str">
        <x:v>1 niveaux ; 36 pièces ; 265 segments de mur ; 0 transitions. Inspection physique ; architecture complète encore ouverte.</x:v>
      </x:c>
      <x:c r="H3672" s="115" t="str">
        <x:v>L 800 ; l 2100 ; hauteur 7,2 m ; choix de composition auteur ; dimensions réelles à documenter</x:v>
      </x:c>
      <x:c r="I3672" s="115" t="str">
        <x:v>À équilibrer</x:v>
      </x:c>
      <x:c r="J3672" s="115" t="str">
        <x:v>Non</x:v>
      </x:c>
      <x:c r="K3672" s="115" t="str">
        <x:v>Pièces décrites, murs, portes, niveaux et mobilier inspectables à l’échelle. Volumes réservés, raccord au seed, butin, rencontres et services de campagne restent à terminer.</x:v>
      </x:c>
    </x:row>
    <x:row r="3673" ht="96" customHeight="1">
      <x:c r="A3673" s="115" t="str">
        <x:v>EXT-MONDE-T074-V18</x:v>
      </x:c>
      <x:c r="B3673" s="115" t="str">
        <x:v>EXT-MONDE-T074</x:v>
      </x:c>
      <x:c r="C3673" s="115" t="str">
        <x:v>Ferroviaire</x:v>
      </x:c>
      <x:c r="D3673" s="115" t="str">
        <x:v>Gare terminus</x:v>
      </x:c>
      <x:c r="E3673" s="115" t="n">
        <x:v>18</x:v>
      </x:c>
      <x:c r="F3673" s="115" t="str">
        <x:v>Inspection physique</x:v>
      </x:c>
      <x:c r="G3673" s="115" t="str">
        <x:v>1 niveaux ; 36 pièces ; 265 segments de mur ; 0 transitions. Inspection physique ; architecture complète encore ouverte.</x:v>
      </x:c>
      <x:c r="H3673" s="115" t="str">
        <x:v>L 800 ; l 2100 ; hauteur 7,2 m ; choix de composition auteur ; dimensions réelles à documenter</x:v>
      </x:c>
      <x:c r="I3673" s="115" t="str">
        <x:v>À équilibrer</x:v>
      </x:c>
      <x:c r="J3673" s="115" t="str">
        <x:v>Non</x:v>
      </x:c>
      <x:c r="K3673" s="115" t="str">
        <x:v>Pièces décrites, murs, portes, niveaux et mobilier inspectables à l’échelle. Volumes réservés, raccord au seed, butin, rencontres et services de campagne restent à terminer.</x:v>
      </x:c>
    </x:row>
    <x:row r="3674" ht="96" customHeight="1">
      <x:c r="A3674" s="115" t="str">
        <x:v>EXT-MONDE-T074-V19</x:v>
      </x:c>
      <x:c r="B3674" s="115" t="str">
        <x:v>EXT-MONDE-T074</x:v>
      </x:c>
      <x:c r="C3674" s="115" t="str">
        <x:v>Ferroviaire</x:v>
      </x:c>
      <x:c r="D3674" s="115" t="str">
        <x:v>Gare terminus</x:v>
      </x:c>
      <x:c r="E3674" s="115" t="n">
        <x:v>19</x:v>
      </x:c>
      <x:c r="F3674" s="115" t="str">
        <x:v>Inspection physique</x:v>
      </x:c>
      <x:c r="G3674" s="115" t="str">
        <x:v>1 niveaux ; 36 pièces ; 265 segments de mur ; 0 transitions. Inspection physique ; architecture complète encore ouverte.</x:v>
      </x:c>
      <x:c r="H3674" s="115" t="str">
        <x:v>L 800 ; l 2100 ; hauteur 7,2 m ; choix de composition auteur ; dimensions réelles à documenter</x:v>
      </x:c>
      <x:c r="I3674" s="115" t="str">
        <x:v>À équilibrer</x:v>
      </x:c>
      <x:c r="J3674" s="115" t="str">
        <x:v>Non</x:v>
      </x:c>
      <x:c r="K3674" s="115" t="str">
        <x:v>Pièces décrites, murs, portes, niveaux et mobilier inspectables à l’échelle. Volumes réservés, raccord au seed, butin, rencontres et services de campagne restent à terminer.</x:v>
      </x:c>
    </x:row>
    <x:row r="3675" ht="96" customHeight="1">
      <x:c r="A3675" s="115" t="str">
        <x:v>EXT-MONDE-T074-V20</x:v>
      </x:c>
      <x:c r="B3675" s="115" t="str">
        <x:v>EXT-MONDE-T074</x:v>
      </x:c>
      <x:c r="C3675" s="115" t="str">
        <x:v>Ferroviaire</x:v>
      </x:c>
      <x:c r="D3675" s="115" t="str">
        <x:v>Gare terminus</x:v>
      </x:c>
      <x:c r="E3675" s="115" t="n">
        <x:v>20</x:v>
      </x:c>
      <x:c r="F3675" s="115" t="str">
        <x:v>Inspection physique</x:v>
      </x:c>
      <x:c r="G3675" s="115" t="str">
        <x:v>1 niveaux ; 36 pièces ; 265 segments de mur ; 0 transitions. Inspection physique ; architecture complète encore ouverte.</x:v>
      </x:c>
      <x:c r="H3675" s="115" t="str">
        <x:v>L 800 ; l 2100 ; hauteur 7,2 m ; choix de composition auteur ; dimensions réelles à documenter</x:v>
      </x:c>
      <x:c r="I3675" s="115" t="str">
        <x:v>À équilibrer</x:v>
      </x:c>
      <x:c r="J3675" s="115" t="str">
        <x:v>Non</x:v>
      </x:c>
      <x:c r="K3675" s="115" t="str">
        <x:v>Pièces décrites, murs, portes, niveaux et mobilier inspectables à l’échelle. Volumes réservés, raccord au seed, butin, rencontres et services de campagne restent à terminer.</x:v>
      </x:c>
    </x:row>
    <x:row r="3676" ht="96" customHeight="1">
      <x:c r="A3676" s="115" t="str">
        <x:v>EXT-MONDE-T074-V21</x:v>
      </x:c>
      <x:c r="B3676" s="115" t="str">
        <x:v>EXT-MONDE-T074</x:v>
      </x:c>
      <x:c r="C3676" s="115" t="str">
        <x:v>Ferroviaire</x:v>
      </x:c>
      <x:c r="D3676" s="115" t="str">
        <x:v>Gare terminus</x:v>
      </x:c>
      <x:c r="E3676" s="115" t="n">
        <x:v>21</x:v>
      </x:c>
      <x:c r="F3676" s="115" t="str">
        <x:v>Inspection physique</x:v>
      </x:c>
      <x:c r="G3676" s="115" t="str">
        <x:v>1 niveaux ; 36 pièces ; 265 segments de mur ; 0 transitions. Inspection physique ; architecture complète encore ouverte.</x:v>
      </x:c>
      <x:c r="H3676" s="115" t="str">
        <x:v>L 800 ; l 2300 ; hauteur 7,4 m ; choix de composition auteur ; dimensions réelles à documenter</x:v>
      </x:c>
      <x:c r="I3676" s="115" t="str">
        <x:v>À équilibrer</x:v>
      </x:c>
      <x:c r="J3676" s="115" t="str">
        <x:v>Non</x:v>
      </x:c>
      <x:c r="K3676" s="115" t="str">
        <x:v>Pièces décrites, murs, portes, niveaux et mobilier inspectables à l’échelle. Volumes réservés, raccord au seed, butin, rencontres et services de campagne restent à terminer.</x:v>
      </x:c>
    </x:row>
    <x:row r="3677" ht="96" customHeight="1">
      <x:c r="A3677" s="115" t="str">
        <x:v>EXT-MONDE-T074-V22</x:v>
      </x:c>
      <x:c r="B3677" s="115" t="str">
        <x:v>EXT-MONDE-T074</x:v>
      </x:c>
      <x:c r="C3677" s="115" t="str">
        <x:v>Ferroviaire</x:v>
      </x:c>
      <x:c r="D3677" s="115" t="str">
        <x:v>Gare terminus</x:v>
      </x:c>
      <x:c r="E3677" s="115" t="n">
        <x:v>22</x:v>
      </x:c>
      <x:c r="F3677" s="115" t="str">
        <x:v>Inspection physique</x:v>
      </x:c>
      <x:c r="G3677" s="115" t="str">
        <x:v>1 niveaux ; 36 pièces ; 265 segments de mur ; 0 transitions. Inspection physique ; architecture complète encore ouverte.</x:v>
      </x:c>
      <x:c r="H3677" s="115" t="str">
        <x:v>L 800 ; l 2300 ; hauteur 7,4 m ; choix de composition auteur ; dimensions réelles à documenter</x:v>
      </x:c>
      <x:c r="I3677" s="115" t="str">
        <x:v>À équilibrer</x:v>
      </x:c>
      <x:c r="J3677" s="115" t="str">
        <x:v>Non</x:v>
      </x:c>
      <x:c r="K3677" s="115" t="str">
        <x:v>Pièces décrites, murs, portes, niveaux et mobilier inspectables à l’échelle. Volumes réservés, raccord au seed, butin, rencontres et services de campagne restent à terminer.</x:v>
      </x:c>
    </x:row>
    <x:row r="3678" ht="96" customHeight="1">
      <x:c r="A3678" s="115" t="str">
        <x:v>EXT-MONDE-T074-V23</x:v>
      </x:c>
      <x:c r="B3678" s="115" t="str">
        <x:v>EXT-MONDE-T074</x:v>
      </x:c>
      <x:c r="C3678" s="115" t="str">
        <x:v>Ferroviaire</x:v>
      </x:c>
      <x:c r="D3678" s="115" t="str">
        <x:v>Gare terminus</x:v>
      </x:c>
      <x:c r="E3678" s="115" t="n">
        <x:v>23</x:v>
      </x:c>
      <x:c r="F3678" s="115" t="str">
        <x:v>Inspection physique</x:v>
      </x:c>
      <x:c r="G3678" s="115" t="str">
        <x:v>1 niveaux ; 36 pièces ; 265 segments de mur ; 0 transitions. Inspection physique ; architecture complète encore ouverte.</x:v>
      </x:c>
      <x:c r="H3678" s="115" t="str">
        <x:v>L 800 ; l 2300 ; hauteur 7,4 m ; choix de composition auteur ; dimensions réelles à documenter</x:v>
      </x:c>
      <x:c r="I3678" s="115" t="str">
        <x:v>À équilibrer</x:v>
      </x:c>
      <x:c r="J3678" s="115" t="str">
        <x:v>Non</x:v>
      </x:c>
      <x:c r="K3678" s="115" t="str">
        <x:v>Pièces décrites, murs, portes, niveaux et mobilier inspectables à l’échelle. Volumes réservés, raccord au seed, butin, rencontres et services de campagne restent à terminer.</x:v>
      </x:c>
    </x:row>
    <x:row r="3679" ht="96" customHeight="1">
      <x:c r="A3679" s="115" t="str">
        <x:v>EXT-MONDE-T074-V24</x:v>
      </x:c>
      <x:c r="B3679" s="115" t="str">
        <x:v>EXT-MONDE-T074</x:v>
      </x:c>
      <x:c r="C3679" s="115" t="str">
        <x:v>Ferroviaire</x:v>
      </x:c>
      <x:c r="D3679" s="115" t="str">
        <x:v>Gare terminus</x:v>
      </x:c>
      <x:c r="E3679" s="115" t="n">
        <x:v>24</x:v>
      </x:c>
      <x:c r="F3679" s="115" t="str">
        <x:v>Inspection physique</x:v>
      </x:c>
      <x:c r="G3679" s="115" t="str">
        <x:v>1 niveaux ; 36 pièces ; 265 segments de mur ; 0 transitions. Inspection physique ; architecture complète encore ouverte.</x:v>
      </x:c>
      <x:c r="H3679" s="115" t="str">
        <x:v>L 800 ; l 2300 ; hauteur 7,4 m ; choix de composition auteur ; dimensions réelles à documenter</x:v>
      </x:c>
      <x:c r="I3679" s="115" t="str">
        <x:v>À équilibrer</x:v>
      </x:c>
      <x:c r="J3679" s="115" t="str">
        <x:v>Non</x:v>
      </x:c>
      <x:c r="K3679" s="115" t="str">
        <x:v>Pièces décrites, murs, portes, niveaux et mobilier inspectables à l’échelle. Volumes réservés, raccord au seed, butin, rencontres et services de campagne restent à terminer.</x:v>
      </x:c>
    </x:row>
    <x:row r="3680" ht="96" customHeight="1">
      <x:c r="A3680" s="115" t="str">
        <x:v>EXT-MONDE-T074-V25</x:v>
      </x:c>
      <x:c r="B3680" s="115" t="str">
        <x:v>EXT-MONDE-T074</x:v>
      </x:c>
      <x:c r="C3680" s="115" t="str">
        <x:v>Ferroviaire</x:v>
      </x:c>
      <x:c r="D3680" s="115" t="str">
        <x:v>Gare terminus</x:v>
      </x:c>
      <x:c r="E3680" s="115" t="n">
        <x:v>25</x:v>
      </x:c>
      <x:c r="F3680" s="115" t="str">
        <x:v>Inspection physique</x:v>
      </x:c>
      <x:c r="G3680" s="115" t="str">
        <x:v>1 niveaux ; 36 pièces ; 265 segments de mur ; 0 transitions. Inspection physique ; architecture complète encore ouverte.</x:v>
      </x:c>
      <x:c r="H3680" s="115" t="str">
        <x:v>L 800 ; l 2300 ; hauteur 7,4 m ; choix de composition auteur ; dimensions réelles à documenter</x:v>
      </x:c>
      <x:c r="I3680" s="115" t="str">
        <x:v>À équilibrer</x:v>
      </x:c>
      <x:c r="J3680" s="115" t="str">
        <x:v>Non</x:v>
      </x:c>
      <x:c r="K3680" s="115" t="str">
        <x:v>Pièces décrites, murs, portes, niveaux et mobilier inspectables à l’échelle. Volumes réservés, raccord au seed, butin, rencontres et services de campagne restent à terminer.</x:v>
      </x:c>
    </x:row>
    <x:row r="3681" ht="96" customHeight="1">
      <x:c r="A3681" s="115" t="str">
        <x:v>EXT-MONDE-T074-V26</x:v>
      </x:c>
      <x:c r="B3681" s="115" t="str">
        <x:v>EXT-MONDE-T074</x:v>
      </x:c>
      <x:c r="C3681" s="115" t="str">
        <x:v>Ferroviaire</x:v>
      </x:c>
      <x:c r="D3681" s="115" t="str">
        <x:v>Gare terminus</x:v>
      </x:c>
      <x:c r="E3681" s="115" t="n">
        <x:v>26</x:v>
      </x:c>
      <x:c r="F3681" s="115" t="str">
        <x:v>Inspection physique</x:v>
      </x:c>
      <x:c r="G3681" s="115" t="str">
        <x:v>1 niveaux ; 36 pièces ; 265 segments de mur ; 0 transitions. Inspection physique ; architecture complète encore ouverte.</x:v>
      </x:c>
      <x:c r="H3681" s="115" t="str">
        <x:v>L 800 ; l 2300 ; hauteur 7,4 m ; choix de composition auteur ; dimensions réelles à documenter</x:v>
      </x:c>
      <x:c r="I3681" s="115" t="str">
        <x:v>À équilibrer</x:v>
      </x:c>
      <x:c r="J3681" s="115" t="str">
        <x:v>Non</x:v>
      </x:c>
      <x:c r="K3681" s="115" t="str">
        <x:v>Pièces décrites, murs, portes, niveaux et mobilier inspectables à l’échelle. Volumes réservés, raccord au seed, butin, rencontres et services de campagne restent à terminer.</x:v>
      </x:c>
    </x:row>
    <x:row r="3682" ht="96" customHeight="1">
      <x:c r="A3682" s="115" t="str">
        <x:v>EXT-MONDE-T074-V27</x:v>
      </x:c>
      <x:c r="B3682" s="115" t="str">
        <x:v>EXT-MONDE-T074</x:v>
      </x:c>
      <x:c r="C3682" s="115" t="str">
        <x:v>Ferroviaire</x:v>
      </x:c>
      <x:c r="D3682" s="115" t="str">
        <x:v>Gare terminus</x:v>
      </x:c>
      <x:c r="E3682" s="115" t="n">
        <x:v>27</x:v>
      </x:c>
      <x:c r="F3682" s="115" t="str">
        <x:v>Inspection physique</x:v>
      </x:c>
      <x:c r="G3682" s="115" t="str">
        <x:v>1 niveaux ; 36 pièces ; 265 segments de mur ; 0 transitions. Inspection physique ; architecture complète encore ouverte.</x:v>
      </x:c>
      <x:c r="H3682" s="115" t="str">
        <x:v>L 800 ; l 2300 ; hauteur 7,4 m ; choix de composition auteur ; dimensions réelles à documenter</x:v>
      </x:c>
      <x:c r="I3682" s="115" t="str">
        <x:v>À équilibrer</x:v>
      </x:c>
      <x:c r="J3682" s="115" t="str">
        <x:v>Non</x:v>
      </x:c>
      <x:c r="K3682" s="115" t="str">
        <x:v>Pièces décrites, murs, portes, niveaux et mobilier inspectables à l’échelle. Volumes réservés, raccord au seed, butin, rencontres et services de campagne restent à terminer.</x:v>
      </x:c>
    </x:row>
    <x:row r="3683" ht="96" customHeight="1">
      <x:c r="A3683" s="115" t="str">
        <x:v>EXT-MONDE-T074-V28</x:v>
      </x:c>
      <x:c r="B3683" s="115" t="str">
        <x:v>EXT-MONDE-T074</x:v>
      </x:c>
      <x:c r="C3683" s="115" t="str">
        <x:v>Ferroviaire</x:v>
      </x:c>
      <x:c r="D3683" s="115" t="str">
        <x:v>Gare terminus</x:v>
      </x:c>
      <x:c r="E3683" s="115" t="n">
        <x:v>28</x:v>
      </x:c>
      <x:c r="F3683" s="115" t="str">
        <x:v>Inspection physique</x:v>
      </x:c>
      <x:c r="G3683" s="115" t="str">
        <x:v>1 niveaux ; 36 pièces ; 265 segments de mur ; 0 transitions. Inspection physique ; architecture complète encore ouverte.</x:v>
      </x:c>
      <x:c r="H3683" s="115" t="str">
        <x:v>L 800 ; l 2300 ; hauteur 7,4 m ; choix de composition auteur ; dimensions réelles à documenter</x:v>
      </x:c>
      <x:c r="I3683" s="115" t="str">
        <x:v>À équilibrer</x:v>
      </x:c>
      <x:c r="J3683" s="115" t="str">
        <x:v>Non</x:v>
      </x:c>
      <x:c r="K3683" s="115" t="str">
        <x:v>Pièces décrites, murs, portes, niveaux et mobilier inspectables à l’échelle. Volumes réservés, raccord au seed, butin, rencontres et services de campagne restent à terminer.</x:v>
      </x:c>
    </x:row>
    <x:row r="3684" ht="96" customHeight="1">
      <x:c r="A3684" s="115" t="str">
        <x:v>EXT-MONDE-T074-V29</x:v>
      </x:c>
      <x:c r="B3684" s="115" t="str">
        <x:v>EXT-MONDE-T074</x:v>
      </x:c>
      <x:c r="C3684" s="115" t="str">
        <x:v>Ferroviaire</x:v>
      </x:c>
      <x:c r="D3684" s="115" t="str">
        <x:v>Gare terminus</x:v>
      </x:c>
      <x:c r="E3684" s="115" t="n">
        <x:v>29</x:v>
      </x:c>
      <x:c r="F3684" s="115" t="str">
        <x:v>Inspection physique</x:v>
      </x:c>
      <x:c r="G3684" s="115" t="str">
        <x:v>1 niveaux ; 36 pièces ; 265 segments de mur ; 0 transitions. Inspection physique ; architecture complète encore ouverte.</x:v>
      </x:c>
      <x:c r="H3684" s="115" t="str">
        <x:v>L 800 ; l 2300 ; hauteur 7,4 m ; choix de composition auteur ; dimensions réelles à documenter</x:v>
      </x:c>
      <x:c r="I3684" s="115" t="str">
        <x:v>À équilibrer</x:v>
      </x:c>
      <x:c r="J3684" s="115" t="str">
        <x:v>Non</x:v>
      </x:c>
      <x:c r="K3684" s="115" t="str">
        <x:v>Pièces décrites, murs, portes, niveaux et mobilier inspectables à l’échelle. Volumes réservés, raccord au seed, butin, rencontres et services de campagne restent à terminer.</x:v>
      </x:c>
    </x:row>
    <x:row r="3685" ht="96" customHeight="1">
      <x:c r="A3685" s="115" t="str">
        <x:v>EXT-MONDE-T074-V30</x:v>
      </x:c>
      <x:c r="B3685" s="115" t="str">
        <x:v>EXT-MONDE-T074</x:v>
      </x:c>
      <x:c r="C3685" s="115" t="str">
        <x:v>Ferroviaire</x:v>
      </x:c>
      <x:c r="D3685" s="115" t="str">
        <x:v>Gare terminus</x:v>
      </x:c>
      <x:c r="E3685" s="115" t="n">
        <x:v>30</x:v>
      </x:c>
      <x:c r="F3685" s="115" t="str">
        <x:v>Inspection physique</x:v>
      </x:c>
      <x:c r="G3685" s="115" t="str">
        <x:v>1 niveaux ; 36 pièces ; 265 segments de mur ; 0 transitions. Inspection physique ; architecture complète encore ouverte.</x:v>
      </x:c>
      <x:c r="H3685" s="115" t="str">
        <x:v>L 800 ; l 2300 ; hauteur 7,4 m ; choix de composition auteur ; dimensions réelles à documenter</x:v>
      </x:c>
      <x:c r="I3685" s="115" t="str">
        <x:v>À équilibrer</x:v>
      </x:c>
      <x:c r="J3685" s="115" t="str">
        <x:v>Non</x:v>
      </x:c>
      <x:c r="K3685" s="115" t="str">
        <x:v>Pièces décrites, murs, portes, niveaux et mobilier inspectables à l’échelle. Volumes réservés, raccord au seed, butin, rencontres et services de campagne restent à terminer.</x:v>
      </x:c>
    </x:row>
    <x:row r="3686" ht="96" customHeight="1">
      <x:c r="A3686" s="115" t="str">
        <x:v>EXT-MONDE-T074-V31</x:v>
      </x:c>
      <x:c r="B3686" s="115" t="str">
        <x:v>EXT-MONDE-T074</x:v>
      </x:c>
      <x:c r="C3686" s="115" t="str">
        <x:v>Ferroviaire</x:v>
      </x:c>
      <x:c r="D3686" s="115" t="str">
        <x:v>Gare terminus</x:v>
      </x:c>
      <x:c r="E3686" s="115" t="n">
        <x:v>31</x:v>
      </x:c>
      <x:c r="F3686" s="115" t="str">
        <x:v>Inspection physique</x:v>
      </x:c>
      <x:c r="G3686" s="115" t="str">
        <x:v>1 niveaux ; 36 pièces ; 265 segments de mur ; 0 transitions. Inspection physique ; architecture complète encore ouverte.</x:v>
      </x:c>
      <x:c r="H3686" s="115" t="str">
        <x:v>L 800 ; l 2500 ; hauteur 7,6 m ; choix de composition auteur ; dimensions réelles à documenter</x:v>
      </x:c>
      <x:c r="I3686" s="115" t="str">
        <x:v>À équilibrer</x:v>
      </x:c>
      <x:c r="J3686" s="115" t="str">
        <x:v>Non</x:v>
      </x:c>
      <x:c r="K3686" s="115" t="str">
        <x:v>Pièces décrites, murs, portes, niveaux et mobilier inspectables à l’échelle. Volumes réservés, raccord au seed, butin, rencontres et services de campagne restent à terminer.</x:v>
      </x:c>
    </x:row>
    <x:row r="3687" ht="96" customHeight="1">
      <x:c r="A3687" s="115" t="str">
        <x:v>EXT-MONDE-T074-V32</x:v>
      </x:c>
      <x:c r="B3687" s="115" t="str">
        <x:v>EXT-MONDE-T074</x:v>
      </x:c>
      <x:c r="C3687" s="115" t="str">
        <x:v>Ferroviaire</x:v>
      </x:c>
      <x:c r="D3687" s="115" t="str">
        <x:v>Gare terminus</x:v>
      </x:c>
      <x:c r="E3687" s="115" t="n">
        <x:v>32</x:v>
      </x:c>
      <x:c r="F3687" s="115" t="str">
        <x:v>Inspection physique</x:v>
      </x:c>
      <x:c r="G3687" s="115" t="str">
        <x:v>1 niveaux ; 36 pièces ; 265 segments de mur ; 0 transitions. Inspection physique ; architecture complète encore ouverte.</x:v>
      </x:c>
      <x:c r="H3687" s="115" t="str">
        <x:v>L 800 ; l 2500 ; hauteur 7,6 m ; choix de composition auteur ; dimensions réelles à documenter</x:v>
      </x:c>
      <x:c r="I3687" s="115" t="str">
        <x:v>À équilibrer</x:v>
      </x:c>
      <x:c r="J3687" s="115" t="str">
        <x:v>Non</x:v>
      </x:c>
      <x:c r="K3687" s="115" t="str">
        <x:v>Pièces décrites, murs, portes, niveaux et mobilier inspectables à l’échelle. Volumes réservés, raccord au seed, butin, rencontres et services de campagne restent à terminer.</x:v>
      </x:c>
    </x:row>
    <x:row r="3688" ht="96" customHeight="1">
      <x:c r="A3688" s="115" t="str">
        <x:v>EXT-MONDE-T074-V33</x:v>
      </x:c>
      <x:c r="B3688" s="115" t="str">
        <x:v>EXT-MONDE-T074</x:v>
      </x:c>
      <x:c r="C3688" s="115" t="str">
        <x:v>Ferroviaire</x:v>
      </x:c>
      <x:c r="D3688" s="115" t="str">
        <x:v>Gare terminus</x:v>
      </x:c>
      <x:c r="E3688" s="115" t="n">
        <x:v>33</x:v>
      </x:c>
      <x:c r="F3688" s="115" t="str">
        <x:v>Inspection physique</x:v>
      </x:c>
      <x:c r="G3688" s="115" t="str">
        <x:v>1 niveaux ; 36 pièces ; 265 segments de mur ; 0 transitions. Inspection physique ; architecture complète encore ouverte.</x:v>
      </x:c>
      <x:c r="H3688" s="115" t="str">
        <x:v>L 800 ; l 2500 ; hauteur 7,6 m ; choix de composition auteur ; dimensions réelles à documenter</x:v>
      </x:c>
      <x:c r="I3688" s="115" t="str">
        <x:v>À équilibrer</x:v>
      </x:c>
      <x:c r="J3688" s="115" t="str">
        <x:v>Non</x:v>
      </x:c>
      <x:c r="K3688" s="115" t="str">
        <x:v>Pièces décrites, murs, portes, niveaux et mobilier inspectables à l’échelle. Volumes réservés, raccord au seed, butin, rencontres et services de campagne restent à terminer.</x:v>
      </x:c>
    </x:row>
    <x:row r="3689" ht="96" customHeight="1">
      <x:c r="A3689" s="115" t="str">
        <x:v>EXT-MONDE-T074-V34</x:v>
      </x:c>
      <x:c r="B3689" s="115" t="str">
        <x:v>EXT-MONDE-T074</x:v>
      </x:c>
      <x:c r="C3689" s="115" t="str">
        <x:v>Ferroviaire</x:v>
      </x:c>
      <x:c r="D3689" s="115" t="str">
        <x:v>Gare terminus</x:v>
      </x:c>
      <x:c r="E3689" s="115" t="n">
        <x:v>34</x:v>
      </x:c>
      <x:c r="F3689" s="115" t="str">
        <x:v>Inspection physique</x:v>
      </x:c>
      <x:c r="G3689" s="115" t="str">
        <x:v>1 niveaux ; 36 pièces ; 265 segments de mur ; 0 transitions. Inspection physique ; architecture complète encore ouverte.</x:v>
      </x:c>
      <x:c r="H3689" s="115" t="str">
        <x:v>L 800 ; l 2500 ; hauteur 7,6 m ; choix de composition auteur ; dimensions réelles à documenter</x:v>
      </x:c>
      <x:c r="I3689" s="115" t="str">
        <x:v>À équilibrer</x:v>
      </x:c>
      <x:c r="J3689" s="115" t="str">
        <x:v>Non</x:v>
      </x:c>
      <x:c r="K3689" s="115" t="str">
        <x:v>Pièces décrites, murs, portes, niveaux et mobilier inspectables à l’échelle. Volumes réservés, raccord au seed, butin, rencontres et services de campagne restent à terminer.</x:v>
      </x:c>
    </x:row>
    <x:row r="3690" ht="96" customHeight="1">
      <x:c r="A3690" s="115" t="str">
        <x:v>EXT-MONDE-T074-V35</x:v>
      </x:c>
      <x:c r="B3690" s="115" t="str">
        <x:v>EXT-MONDE-T074</x:v>
      </x:c>
      <x:c r="C3690" s="115" t="str">
        <x:v>Ferroviaire</x:v>
      </x:c>
      <x:c r="D3690" s="115" t="str">
        <x:v>Gare terminus</x:v>
      </x:c>
      <x:c r="E3690" s="115" t="n">
        <x:v>35</x:v>
      </x:c>
      <x:c r="F3690" s="115" t="str">
        <x:v>Inspection physique</x:v>
      </x:c>
      <x:c r="G3690" s="115" t="str">
        <x:v>1 niveaux ; 36 pièces ; 265 segments de mur ; 0 transitions. Inspection physique ; architecture complète encore ouverte.</x:v>
      </x:c>
      <x:c r="H3690" s="115" t="str">
        <x:v>L 800 ; l 2500 ; hauteur 7,6 m ; choix de composition auteur ; dimensions réelles à documenter</x:v>
      </x:c>
      <x:c r="I3690" s="115" t="str">
        <x:v>À équilibrer</x:v>
      </x:c>
      <x:c r="J3690" s="115" t="str">
        <x:v>Non</x:v>
      </x:c>
      <x:c r="K3690" s="115" t="str">
        <x:v>Pièces décrites, murs, portes, niveaux et mobilier inspectables à l’échelle. Volumes réservés, raccord au seed, butin, rencontres et services de campagne restent à terminer.</x:v>
      </x:c>
    </x:row>
    <x:row r="3691" ht="96" customHeight="1">
      <x:c r="A3691" s="115" t="str">
        <x:v>EXT-MONDE-T074-V36</x:v>
      </x:c>
      <x:c r="B3691" s="115" t="str">
        <x:v>EXT-MONDE-T074</x:v>
      </x:c>
      <x:c r="C3691" s="115" t="str">
        <x:v>Ferroviaire</x:v>
      </x:c>
      <x:c r="D3691" s="115" t="str">
        <x:v>Gare terminus</x:v>
      </x:c>
      <x:c r="E3691" s="115" t="n">
        <x:v>36</x:v>
      </x:c>
      <x:c r="F3691" s="115" t="str">
        <x:v>Inspection physique</x:v>
      </x:c>
      <x:c r="G3691" s="115" t="str">
        <x:v>1 niveaux ; 36 pièces ; 265 segments de mur ; 0 transitions. Inspection physique ; architecture complète encore ouverte.</x:v>
      </x:c>
      <x:c r="H3691" s="115" t="str">
        <x:v>L 800 ; l 2500 ; hauteur 7,6 m ; choix de composition auteur ; dimensions réelles à documenter</x:v>
      </x:c>
      <x:c r="I3691" s="115" t="str">
        <x:v>À équilibrer</x:v>
      </x:c>
      <x:c r="J3691" s="115" t="str">
        <x:v>Non</x:v>
      </x:c>
      <x:c r="K3691" s="115" t="str">
        <x:v>Pièces décrites, murs, portes, niveaux et mobilier inspectables à l’échelle. Volumes réservés, raccord au seed, butin, rencontres et services de campagne restent à terminer.</x:v>
      </x:c>
    </x:row>
    <x:row r="3692" ht="96" customHeight="1">
      <x:c r="A3692" s="115" t="str">
        <x:v>EXT-MONDE-T074-V37</x:v>
      </x:c>
      <x:c r="B3692" s="115" t="str">
        <x:v>EXT-MONDE-T074</x:v>
      </x:c>
      <x:c r="C3692" s="115" t="str">
        <x:v>Ferroviaire</x:v>
      </x:c>
      <x:c r="D3692" s="115" t="str">
        <x:v>Gare terminus</x:v>
      </x:c>
      <x:c r="E3692" s="115" t="n">
        <x:v>37</x:v>
      </x:c>
      <x:c r="F3692" s="115" t="str">
        <x:v>Inspection physique</x:v>
      </x:c>
      <x:c r="G3692" s="115" t="str">
        <x:v>1 niveaux ; 36 pièces ; 265 segments de mur ; 0 transitions. Inspection physique ; architecture complète encore ouverte.</x:v>
      </x:c>
      <x:c r="H3692" s="115" t="str">
        <x:v>L 800 ; l 2500 ; hauteur 7,6 m ; choix de composition auteur ; dimensions réelles à documenter</x:v>
      </x:c>
      <x:c r="I3692" s="115" t="str">
        <x:v>À équilibrer</x:v>
      </x:c>
      <x:c r="J3692" s="115" t="str">
        <x:v>Non</x:v>
      </x:c>
      <x:c r="K3692" s="115" t="str">
        <x:v>Pièces décrites, murs, portes, niveaux et mobilier inspectables à l’échelle. Volumes réservés, raccord au seed, butin, rencontres et services de campagne restent à terminer.</x:v>
      </x:c>
    </x:row>
    <x:row r="3693" ht="96" customHeight="1">
      <x:c r="A3693" s="115" t="str">
        <x:v>EXT-MONDE-T074-V38</x:v>
      </x:c>
      <x:c r="B3693" s="115" t="str">
        <x:v>EXT-MONDE-T074</x:v>
      </x:c>
      <x:c r="C3693" s="115" t="str">
        <x:v>Ferroviaire</x:v>
      </x:c>
      <x:c r="D3693" s="115" t="str">
        <x:v>Gare terminus</x:v>
      </x:c>
      <x:c r="E3693" s="115" t="n">
        <x:v>38</x:v>
      </x:c>
      <x:c r="F3693" s="115" t="str">
        <x:v>Inspection physique</x:v>
      </x:c>
      <x:c r="G3693" s="115" t="str">
        <x:v>1 niveaux ; 36 pièces ; 265 segments de mur ; 0 transitions. Inspection physique ; architecture complète encore ouverte.</x:v>
      </x:c>
      <x:c r="H3693" s="115" t="str">
        <x:v>L 800 ; l 2500 ; hauteur 7,6 m ; choix de composition auteur ; dimensions réelles à documenter</x:v>
      </x:c>
      <x:c r="I3693" s="115" t="str">
        <x:v>À équilibrer</x:v>
      </x:c>
      <x:c r="J3693" s="115" t="str">
        <x:v>Non</x:v>
      </x:c>
      <x:c r="K3693" s="115" t="str">
        <x:v>Pièces décrites, murs, portes, niveaux et mobilier inspectables à l’échelle. Volumes réservés, raccord au seed, butin, rencontres et services de campagne restent à terminer.</x:v>
      </x:c>
    </x:row>
    <x:row r="3694" ht="96" customHeight="1">
      <x:c r="A3694" s="115" t="str">
        <x:v>EXT-MONDE-T074-V39</x:v>
      </x:c>
      <x:c r="B3694" s="115" t="str">
        <x:v>EXT-MONDE-T074</x:v>
      </x:c>
      <x:c r="C3694" s="115" t="str">
        <x:v>Ferroviaire</x:v>
      </x:c>
      <x:c r="D3694" s="115" t="str">
        <x:v>Gare terminus</x:v>
      </x:c>
      <x:c r="E3694" s="115" t="n">
        <x:v>39</x:v>
      </x:c>
      <x:c r="F3694" s="115" t="str">
        <x:v>Inspection physique</x:v>
      </x:c>
      <x:c r="G3694" s="115" t="str">
        <x:v>1 niveaux ; 36 pièces ; 265 segments de mur ; 0 transitions. Inspection physique ; architecture complète encore ouverte.</x:v>
      </x:c>
      <x:c r="H3694" s="115" t="str">
        <x:v>L 800 ; l 2500 ; hauteur 7,6 m ; choix de composition auteur ; dimensions réelles à documenter</x:v>
      </x:c>
      <x:c r="I3694" s="115" t="str">
        <x:v>À équilibrer</x:v>
      </x:c>
      <x:c r="J3694" s="115" t="str">
        <x:v>Non</x:v>
      </x:c>
      <x:c r="K3694" s="115" t="str">
        <x:v>Pièces décrites, murs, portes, niveaux et mobilier inspectables à l’échelle. Volumes réservés, raccord au seed, butin, rencontres et services de campagne restent à terminer.</x:v>
      </x:c>
    </x:row>
    <x:row r="3695" ht="96" customHeight="1">
      <x:c r="A3695" s="115" t="str">
        <x:v>EXT-MONDE-T074-V40</x:v>
      </x:c>
      <x:c r="B3695" s="115" t="str">
        <x:v>EXT-MONDE-T074</x:v>
      </x:c>
      <x:c r="C3695" s="115" t="str">
        <x:v>Ferroviaire</x:v>
      </x:c>
      <x:c r="D3695" s="115" t="str">
        <x:v>Gare terminus</x:v>
      </x:c>
      <x:c r="E3695" s="115" t="n">
        <x:v>40</x:v>
      </x:c>
      <x:c r="F3695" s="115" t="str">
        <x:v>Inspection physique</x:v>
      </x:c>
      <x:c r="G3695" s="115" t="str">
        <x:v>1 niveaux ; 36 pièces ; 265 segments de mur ; 0 transitions. Inspection physique ; architecture complète encore ouverte.</x:v>
      </x:c>
      <x:c r="H3695" s="115" t="str">
        <x:v>L 800 ; l 2500 ; hauteur 7,6 m ; choix de composition auteur ; dimensions réelles à documenter</x:v>
      </x:c>
      <x:c r="I3695" s="115" t="str">
        <x:v>À équilibrer</x:v>
      </x:c>
      <x:c r="J3695" s="115" t="str">
        <x:v>Non</x:v>
      </x:c>
      <x:c r="K3695" s="115" t="str">
        <x:v>Pièces décrites, murs, portes, niveaux et mobilier inspectables à l’échelle. Volumes réservés, raccord au seed, butin, rencontres et services de campagne restent à terminer.</x:v>
      </x:c>
    </x:row>
    <x:row r="3696" ht="96" customHeight="1">
      <x:c r="A3696" s="115" t="str">
        <x:v>EXT-MONDE-T074-V41</x:v>
      </x:c>
      <x:c r="B3696" s="115" t="str">
        <x:v>EXT-MONDE-T074</x:v>
      </x:c>
      <x:c r="C3696" s="115" t="str">
        <x:v>Ferroviaire</x:v>
      </x:c>
      <x:c r="D3696" s="115" t="str">
        <x:v>Gare terminus</x:v>
      </x:c>
      <x:c r="E3696" s="115" t="n">
        <x:v>41</x:v>
      </x:c>
      <x:c r="F3696" s="115" t="str">
        <x:v>Inspection physique</x:v>
      </x:c>
      <x:c r="G3696" s="115" t="str">
        <x:v>1 niveaux ; 36 pièces ; 265 segments de mur ; 0 transitions. Inspection physique ; architecture complète encore ouverte.</x:v>
      </x:c>
      <x:c r="H3696" s="115" t="str">
        <x:v>L 800 ; l 2700 ; hauteur 7,8 m ; choix de composition auteur ; dimensions réelles à documenter</x:v>
      </x:c>
      <x:c r="I3696" s="115" t="str">
        <x:v>À équilibrer</x:v>
      </x:c>
      <x:c r="J3696" s="115" t="str">
        <x:v>Non</x:v>
      </x:c>
      <x:c r="K3696" s="115" t="str">
        <x:v>Pièces décrites, murs, portes, niveaux et mobilier inspectables à l’échelle. Volumes réservés, raccord au seed, butin, rencontres et services de campagne restent à terminer.</x:v>
      </x:c>
    </x:row>
    <x:row r="3697" ht="96" customHeight="1">
      <x:c r="A3697" s="115" t="str">
        <x:v>EXT-MONDE-T074-V42</x:v>
      </x:c>
      <x:c r="B3697" s="115" t="str">
        <x:v>EXT-MONDE-T074</x:v>
      </x:c>
      <x:c r="C3697" s="115" t="str">
        <x:v>Ferroviaire</x:v>
      </x:c>
      <x:c r="D3697" s="115" t="str">
        <x:v>Gare terminus</x:v>
      </x:c>
      <x:c r="E3697" s="115" t="n">
        <x:v>42</x:v>
      </x:c>
      <x:c r="F3697" s="115" t="str">
        <x:v>Inspection physique</x:v>
      </x:c>
      <x:c r="G3697" s="115" t="str">
        <x:v>1 niveaux ; 36 pièces ; 265 segments de mur ; 0 transitions. Inspection physique ; architecture complète encore ouverte.</x:v>
      </x:c>
      <x:c r="H3697" s="115" t="str">
        <x:v>L 800 ; l 2700 ; hauteur 7,8 m ; choix de composition auteur ; dimensions réelles à documenter</x:v>
      </x:c>
      <x:c r="I3697" s="115" t="str">
        <x:v>À équilibrer</x:v>
      </x:c>
      <x:c r="J3697" s="115" t="str">
        <x:v>Non</x:v>
      </x:c>
      <x:c r="K3697" s="115" t="str">
        <x:v>Pièces décrites, murs, portes, niveaux et mobilier inspectables à l’échelle. Volumes réservés, raccord au seed, butin, rencontres et services de campagne restent à terminer.</x:v>
      </x:c>
    </x:row>
    <x:row r="3698" ht="96" customHeight="1">
      <x:c r="A3698" s="115" t="str">
        <x:v>EXT-MONDE-T074-V43</x:v>
      </x:c>
      <x:c r="B3698" s="115" t="str">
        <x:v>EXT-MONDE-T074</x:v>
      </x:c>
      <x:c r="C3698" s="115" t="str">
        <x:v>Ferroviaire</x:v>
      </x:c>
      <x:c r="D3698" s="115" t="str">
        <x:v>Gare terminus</x:v>
      </x:c>
      <x:c r="E3698" s="115" t="n">
        <x:v>43</x:v>
      </x:c>
      <x:c r="F3698" s="115" t="str">
        <x:v>Inspection physique</x:v>
      </x:c>
      <x:c r="G3698" s="115" t="str">
        <x:v>1 niveaux ; 36 pièces ; 265 segments de mur ; 0 transitions. Inspection physique ; architecture complète encore ouverte.</x:v>
      </x:c>
      <x:c r="H3698" s="115" t="str">
        <x:v>L 800 ; l 2700 ; hauteur 7,8 m ; choix de composition auteur ; dimensions réelles à documenter</x:v>
      </x:c>
      <x:c r="I3698" s="115" t="str">
        <x:v>À équilibrer</x:v>
      </x:c>
      <x:c r="J3698" s="115" t="str">
        <x:v>Non</x:v>
      </x:c>
      <x:c r="K3698" s="115" t="str">
        <x:v>Pièces décrites, murs, portes, niveaux et mobilier inspectables à l’échelle. Volumes réservés, raccord au seed, butin, rencontres et services de campagne restent à terminer.</x:v>
      </x:c>
    </x:row>
    <x:row r="3699" ht="96" customHeight="1">
      <x:c r="A3699" s="115" t="str">
        <x:v>EXT-MONDE-T074-V44</x:v>
      </x:c>
      <x:c r="B3699" s="115" t="str">
        <x:v>EXT-MONDE-T074</x:v>
      </x:c>
      <x:c r="C3699" s="115" t="str">
        <x:v>Ferroviaire</x:v>
      </x:c>
      <x:c r="D3699" s="115" t="str">
        <x:v>Gare terminus</x:v>
      </x:c>
      <x:c r="E3699" s="115" t="n">
        <x:v>44</x:v>
      </x:c>
      <x:c r="F3699" s="115" t="str">
        <x:v>Inspection physique</x:v>
      </x:c>
      <x:c r="G3699" s="115" t="str">
        <x:v>1 niveaux ; 36 pièces ; 265 segments de mur ; 0 transitions. Inspection physique ; architecture complète encore ouverte.</x:v>
      </x:c>
      <x:c r="H3699" s="115" t="str">
        <x:v>L 800 ; l 2700 ; hauteur 7,8 m ; choix de composition auteur ; dimensions réelles à documenter</x:v>
      </x:c>
      <x:c r="I3699" s="115" t="str">
        <x:v>À équilibrer</x:v>
      </x:c>
      <x:c r="J3699" s="115" t="str">
        <x:v>Non</x:v>
      </x:c>
      <x:c r="K3699" s="115" t="str">
        <x:v>Pièces décrites, murs, portes, niveaux et mobilier inspectables à l’échelle. Volumes réservés, raccord au seed, butin, rencontres et services de campagne restent à terminer.</x:v>
      </x:c>
    </x:row>
    <x:row r="3700" ht="96" customHeight="1">
      <x:c r="A3700" s="115" t="str">
        <x:v>EXT-MONDE-T074-V45</x:v>
      </x:c>
      <x:c r="B3700" s="115" t="str">
        <x:v>EXT-MONDE-T074</x:v>
      </x:c>
      <x:c r="C3700" s="115" t="str">
        <x:v>Ferroviaire</x:v>
      </x:c>
      <x:c r="D3700" s="115" t="str">
        <x:v>Gare terminus</x:v>
      </x:c>
      <x:c r="E3700" s="115" t="n">
        <x:v>45</x:v>
      </x:c>
      <x:c r="F3700" s="115" t="str">
        <x:v>Inspection physique</x:v>
      </x:c>
      <x:c r="G3700" s="115" t="str">
        <x:v>1 niveaux ; 36 pièces ; 265 segments de mur ; 0 transitions. Inspection physique ; architecture complète encore ouverte.</x:v>
      </x:c>
      <x:c r="H3700" s="115" t="str">
        <x:v>L 800 ; l 2700 ; hauteur 7,8 m ; choix de composition auteur ; dimensions réelles à documenter</x:v>
      </x:c>
      <x:c r="I3700" s="115" t="str">
        <x:v>À équilibrer</x:v>
      </x:c>
      <x:c r="J3700" s="115" t="str">
        <x:v>Non</x:v>
      </x:c>
      <x:c r="K3700" s="115" t="str">
        <x:v>Pièces décrites, murs, portes, niveaux et mobilier inspectables à l’échelle. Volumes réservés, raccord au seed, butin, rencontres et services de campagne restent à terminer.</x:v>
      </x:c>
    </x:row>
    <x:row r="3701" ht="96" customHeight="1">
      <x:c r="A3701" s="115" t="str">
        <x:v>EXT-MONDE-T074-V46</x:v>
      </x:c>
      <x:c r="B3701" s="115" t="str">
        <x:v>EXT-MONDE-T074</x:v>
      </x:c>
      <x:c r="C3701" s="115" t="str">
        <x:v>Ferroviaire</x:v>
      </x:c>
      <x:c r="D3701" s="115" t="str">
        <x:v>Gare terminus</x:v>
      </x:c>
      <x:c r="E3701" s="115" t="n">
        <x:v>46</x:v>
      </x:c>
      <x:c r="F3701" s="115" t="str">
        <x:v>Inspection physique</x:v>
      </x:c>
      <x:c r="G3701" s="115" t="str">
        <x:v>1 niveaux ; 36 pièces ; 265 segments de mur ; 0 transitions. Inspection physique ; architecture complète encore ouverte.</x:v>
      </x:c>
      <x:c r="H3701" s="115" t="str">
        <x:v>L 800 ; l 2700 ; hauteur 7,8 m ; choix de composition auteur ; dimensions réelles à documenter</x:v>
      </x:c>
      <x:c r="I3701" s="115" t="str">
        <x:v>À équilibrer</x:v>
      </x:c>
      <x:c r="J3701" s="115" t="str">
        <x:v>Non</x:v>
      </x:c>
      <x:c r="K3701" s="115" t="str">
        <x:v>Pièces décrites, murs, portes, niveaux et mobilier inspectables à l’échelle. Volumes réservés, raccord au seed, butin, rencontres et services de campagne restent à terminer.</x:v>
      </x:c>
    </x:row>
    <x:row r="3702" ht="96" customHeight="1">
      <x:c r="A3702" s="115" t="str">
        <x:v>EXT-MONDE-T074-V47</x:v>
      </x:c>
      <x:c r="B3702" s="115" t="str">
        <x:v>EXT-MONDE-T074</x:v>
      </x:c>
      <x:c r="C3702" s="115" t="str">
        <x:v>Ferroviaire</x:v>
      </x:c>
      <x:c r="D3702" s="115" t="str">
        <x:v>Gare terminus</x:v>
      </x:c>
      <x:c r="E3702" s="115" t="n">
        <x:v>47</x:v>
      </x:c>
      <x:c r="F3702" s="115" t="str">
        <x:v>Inspection physique</x:v>
      </x:c>
      <x:c r="G3702" s="115" t="str">
        <x:v>1 niveaux ; 36 pièces ; 265 segments de mur ; 0 transitions. Inspection physique ; architecture complète encore ouverte.</x:v>
      </x:c>
      <x:c r="H3702" s="115" t="str">
        <x:v>L 800 ; l 2700 ; hauteur 7,8 m ; choix de composition auteur ; dimensions réelles à documenter</x:v>
      </x:c>
      <x:c r="I3702" s="115" t="str">
        <x:v>À équilibrer</x:v>
      </x:c>
      <x:c r="J3702" s="115" t="str">
        <x:v>Non</x:v>
      </x:c>
      <x:c r="K3702" s="115" t="str">
        <x:v>Pièces décrites, murs, portes, niveaux et mobilier inspectables à l’échelle. Volumes réservés, raccord au seed, butin, rencontres et services de campagne restent à terminer.</x:v>
      </x:c>
    </x:row>
    <x:row r="3703" ht="96" customHeight="1">
      <x:c r="A3703" s="115" t="str">
        <x:v>EXT-MONDE-T074-V48</x:v>
      </x:c>
      <x:c r="B3703" s="115" t="str">
        <x:v>EXT-MONDE-T074</x:v>
      </x:c>
      <x:c r="C3703" s="115" t="str">
        <x:v>Ferroviaire</x:v>
      </x:c>
      <x:c r="D3703" s="115" t="str">
        <x:v>Gare terminus</x:v>
      </x:c>
      <x:c r="E3703" s="115" t="n">
        <x:v>48</x:v>
      </x:c>
      <x:c r="F3703" s="115" t="str">
        <x:v>Inspection physique</x:v>
      </x:c>
      <x:c r="G3703" s="115" t="str">
        <x:v>1 niveaux ; 36 pièces ; 265 segments de mur ; 0 transitions. Inspection physique ; architecture complète encore ouverte.</x:v>
      </x:c>
      <x:c r="H3703" s="115" t="str">
        <x:v>L 800 ; l 2700 ; hauteur 7,8 m ; choix de composition auteur ; dimensions réelles à documenter</x:v>
      </x:c>
      <x:c r="I3703" s="115" t="str">
        <x:v>À équilibrer</x:v>
      </x:c>
      <x:c r="J3703" s="115" t="str">
        <x:v>Non</x:v>
      </x:c>
      <x:c r="K3703" s="115" t="str">
        <x:v>Pièces décrites, murs, portes, niveaux et mobilier inspectables à l’échelle. Volumes réservés, raccord au seed, butin, rencontres et services de campagne restent à terminer.</x:v>
      </x:c>
    </x:row>
    <x:row r="3704" ht="96" customHeight="1">
      <x:c r="A3704" s="115" t="str">
        <x:v>EXT-MONDE-T074-V49</x:v>
      </x:c>
      <x:c r="B3704" s="115" t="str">
        <x:v>EXT-MONDE-T074</x:v>
      </x:c>
      <x:c r="C3704" s="115" t="str">
        <x:v>Ferroviaire</x:v>
      </x:c>
      <x:c r="D3704" s="115" t="str">
        <x:v>Gare terminus</x:v>
      </x:c>
      <x:c r="E3704" s="115" t="n">
        <x:v>49</x:v>
      </x:c>
      <x:c r="F3704" s="115" t="str">
        <x:v>Inspection physique</x:v>
      </x:c>
      <x:c r="G3704" s="115" t="str">
        <x:v>1 niveaux ; 36 pièces ; 265 segments de mur ; 0 transitions. Inspection physique ; architecture complète encore ouverte.</x:v>
      </x:c>
      <x:c r="H3704" s="115" t="str">
        <x:v>L 800 ; l 2700 ; hauteur 7,8 m ; choix de composition auteur ; dimensions réelles à documenter</x:v>
      </x:c>
      <x:c r="I3704" s="115" t="str">
        <x:v>À équilibrer</x:v>
      </x:c>
      <x:c r="J3704" s="115" t="str">
        <x:v>Non</x:v>
      </x:c>
      <x:c r="K3704" s="115" t="str">
        <x:v>Pièces décrites, murs, portes, niveaux et mobilier inspectables à l’échelle. Volumes réservés, raccord au seed, butin, rencontres et services de campagne restent à terminer.</x:v>
      </x:c>
    </x:row>
    <x:row r="3705" ht="96" customHeight="1">
      <x:c r="A3705" s="115" t="str">
        <x:v>EXT-MONDE-T074-V50</x:v>
      </x:c>
      <x:c r="B3705" s="115" t="str">
        <x:v>EXT-MONDE-T074</x:v>
      </x:c>
      <x:c r="C3705" s="115" t="str">
        <x:v>Ferroviaire</x:v>
      </x:c>
      <x:c r="D3705" s="115" t="str">
        <x:v>Gare terminus</x:v>
      </x:c>
      <x:c r="E3705" s="115" t="n">
        <x:v>50</x:v>
      </x:c>
      <x:c r="F3705" s="115" t="str">
        <x:v>Inspection physique</x:v>
      </x:c>
      <x:c r="G3705" s="115" t="str">
        <x:v>1 niveaux ; 36 pièces ; 265 segments de mur ; 0 transitions. Inspection physique ; architecture complète encore ouverte.</x:v>
      </x:c>
      <x:c r="H3705" s="115" t="str">
        <x:v>L 800 ; l 2700 ; hauteur 7,8 m ; choix de composition auteur ; dimensions réelles à documenter</x:v>
      </x:c>
      <x:c r="I3705" s="115" t="str">
        <x:v>À équilibrer</x:v>
      </x:c>
      <x:c r="J3705" s="115" t="str">
        <x:v>Non</x:v>
      </x:c>
      <x:c r="K3705" s="115" t="str">
        <x:v>Pièces décrites, murs, portes, niveaux et mobilier inspectables à l’échelle. Volumes réservés, raccord au seed, butin, rencontres et services de campagne restent à terminer.</x:v>
      </x:c>
    </x:row>
    <x:row r="3706" ht="96" customHeight="1">
      <x:c r="A3706" s="115" t="str">
        <x:v>EXT-MONDE-T075-V01</x:v>
      </x:c>
      <x:c r="B3706" s="115" t="str">
        <x:v>EXT-MONDE-T075</x:v>
      </x:c>
      <x:c r="C3706" s="115" t="str">
        <x:v>Ferroviaire</x:v>
      </x:c>
      <x:c r="D3706" s="115" t="str">
        <x:v>Gare de triage</x:v>
      </x:c>
      <x:c r="E3706" s="115" t="n">
        <x:v>1</x:v>
      </x:c>
      <x:c r="F3706" s="115" t="str">
        <x:v>Inspection physique</x:v>
      </x:c>
      <x:c r="G3706" s="115" t="str">
        <x:v>1 niveaux ; 36 pièces ; 265 segments de mur ; 0 transitions. Inspection physique ; architecture complète encore ouverte.</x:v>
      </x:c>
      <x:c r="H3706" s="115" t="str">
        <x:v>L 800 ; l 2500 ; hauteur 7 m ; choix de composition auteur ; dimensions réelles à documenter</x:v>
      </x:c>
      <x:c r="I3706" s="115" t="str">
        <x:v>À équilibrer</x:v>
      </x:c>
      <x:c r="J3706" s="115" t="str">
        <x:v>Non</x:v>
      </x:c>
      <x:c r="K3706" s="115" t="str">
        <x:v>Pièces décrites, murs, portes, niveaux et mobilier inspectables à l’échelle. Volumes réservés, raccord au seed, butin, rencontres et services de campagne restent à terminer.</x:v>
      </x:c>
    </x:row>
    <x:row r="3707" ht="96" customHeight="1">
      <x:c r="A3707" s="115" t="str">
        <x:v>EXT-MONDE-T075-V02</x:v>
      </x:c>
      <x:c r="B3707" s="115" t="str">
        <x:v>EXT-MONDE-T075</x:v>
      </x:c>
      <x:c r="C3707" s="115" t="str">
        <x:v>Ferroviaire</x:v>
      </x:c>
      <x:c r="D3707" s="115" t="str">
        <x:v>Gare de triage</x:v>
      </x:c>
      <x:c r="E3707" s="115" t="n">
        <x:v>2</x:v>
      </x:c>
      <x:c r="F3707" s="115" t="str">
        <x:v>Inspection physique</x:v>
      </x:c>
      <x:c r="G3707" s="115" t="str">
        <x:v>1 niveaux ; 36 pièces ; 265 segments de mur ; 0 transitions. Inspection physique ; architecture complète encore ouverte.</x:v>
      </x:c>
      <x:c r="H3707" s="115" t="str">
        <x:v>L 800 ; l 2500 ; hauteur 7 m ; choix de composition auteur ; dimensions réelles à documenter</x:v>
      </x:c>
      <x:c r="I3707" s="115" t="str">
        <x:v>À équilibrer</x:v>
      </x:c>
      <x:c r="J3707" s="115" t="str">
        <x:v>Non</x:v>
      </x:c>
      <x:c r="K3707" s="115" t="str">
        <x:v>Pièces décrites, murs, portes, niveaux et mobilier inspectables à l’échelle. Volumes réservés, raccord au seed, butin, rencontres et services de campagne restent à terminer.</x:v>
      </x:c>
    </x:row>
    <x:row r="3708" ht="96" customHeight="1">
      <x:c r="A3708" s="115" t="str">
        <x:v>EXT-MONDE-T075-V03</x:v>
      </x:c>
      <x:c r="B3708" s="115" t="str">
        <x:v>EXT-MONDE-T075</x:v>
      </x:c>
      <x:c r="C3708" s="115" t="str">
        <x:v>Ferroviaire</x:v>
      </x:c>
      <x:c r="D3708" s="115" t="str">
        <x:v>Gare de triage</x:v>
      </x:c>
      <x:c r="E3708" s="115" t="n">
        <x:v>3</x:v>
      </x:c>
      <x:c r="F3708" s="115" t="str">
        <x:v>Inspection physique</x:v>
      </x:c>
      <x:c r="G3708" s="115" t="str">
        <x:v>1 niveaux ; 36 pièces ; 265 segments de mur ; 0 transitions. Inspection physique ; architecture complète encore ouverte.</x:v>
      </x:c>
      <x:c r="H3708" s="115" t="str">
        <x:v>L 800 ; l 2500 ; hauteur 7 m ; choix de composition auteur ; dimensions réelles à documenter</x:v>
      </x:c>
      <x:c r="I3708" s="115" t="str">
        <x:v>À équilibrer</x:v>
      </x:c>
      <x:c r="J3708" s="115" t="str">
        <x:v>Non</x:v>
      </x:c>
      <x:c r="K3708" s="115" t="str">
        <x:v>Pièces décrites, murs, portes, niveaux et mobilier inspectables à l’échelle. Volumes réservés, raccord au seed, butin, rencontres et services de campagne restent à terminer.</x:v>
      </x:c>
    </x:row>
    <x:row r="3709" ht="96" customHeight="1">
      <x:c r="A3709" s="115" t="str">
        <x:v>EXT-MONDE-T075-V04</x:v>
      </x:c>
      <x:c r="B3709" s="115" t="str">
        <x:v>EXT-MONDE-T075</x:v>
      </x:c>
      <x:c r="C3709" s="115" t="str">
        <x:v>Ferroviaire</x:v>
      </x:c>
      <x:c r="D3709" s="115" t="str">
        <x:v>Gare de triage</x:v>
      </x:c>
      <x:c r="E3709" s="115" t="n">
        <x:v>4</x:v>
      </x:c>
      <x:c r="F3709" s="115" t="str">
        <x:v>Inspection physique</x:v>
      </x:c>
      <x:c r="G3709" s="115" t="str">
        <x:v>1 niveaux ; 36 pièces ; 265 segments de mur ; 0 transitions. Inspection physique ; architecture complète encore ouverte.</x:v>
      </x:c>
      <x:c r="H3709" s="115" t="str">
        <x:v>L 800 ; l 2500 ; hauteur 7 m ; choix de composition auteur ; dimensions réelles à documenter</x:v>
      </x:c>
      <x:c r="I3709" s="115" t="str">
        <x:v>À équilibrer</x:v>
      </x:c>
      <x:c r="J3709" s="115" t="str">
        <x:v>Non</x:v>
      </x:c>
      <x:c r="K3709" s="115" t="str">
        <x:v>Pièces décrites, murs, portes, niveaux et mobilier inspectables à l’échelle. Volumes réservés, raccord au seed, butin, rencontres et services de campagne restent à terminer.</x:v>
      </x:c>
    </x:row>
    <x:row r="3710" ht="96" customHeight="1">
      <x:c r="A3710" s="115" t="str">
        <x:v>EXT-MONDE-T075-V05</x:v>
      </x:c>
      <x:c r="B3710" s="115" t="str">
        <x:v>EXT-MONDE-T075</x:v>
      </x:c>
      <x:c r="C3710" s="115" t="str">
        <x:v>Ferroviaire</x:v>
      </x:c>
      <x:c r="D3710" s="115" t="str">
        <x:v>Gare de triage</x:v>
      </x:c>
      <x:c r="E3710" s="115" t="n">
        <x:v>5</x:v>
      </x:c>
      <x:c r="F3710" s="115" t="str">
        <x:v>Inspection physique</x:v>
      </x:c>
      <x:c r="G3710" s="115" t="str">
        <x:v>1 niveaux ; 36 pièces ; 265 segments de mur ; 0 transitions. Inspection physique ; architecture complète encore ouverte.</x:v>
      </x:c>
      <x:c r="H3710" s="115" t="str">
        <x:v>L 800 ; l 2500 ; hauteur 7 m ; choix de composition auteur ; dimensions réelles à documenter</x:v>
      </x:c>
      <x:c r="I3710" s="115" t="str">
        <x:v>À équilibrer</x:v>
      </x:c>
      <x:c r="J3710" s="115" t="str">
        <x:v>Non</x:v>
      </x:c>
      <x:c r="K3710" s="115" t="str">
        <x:v>Pièces décrites, murs, portes, niveaux et mobilier inspectables à l’échelle. Volumes réservés, raccord au seed, butin, rencontres et services de campagne restent à terminer.</x:v>
      </x:c>
    </x:row>
    <x:row r="3711" ht="96" customHeight="1">
      <x:c r="A3711" s="115" t="str">
        <x:v>EXT-MONDE-T075-V06</x:v>
      </x:c>
      <x:c r="B3711" s="115" t="str">
        <x:v>EXT-MONDE-T075</x:v>
      </x:c>
      <x:c r="C3711" s="115" t="str">
        <x:v>Ferroviaire</x:v>
      </x:c>
      <x:c r="D3711" s="115" t="str">
        <x:v>Gare de triage</x:v>
      </x:c>
      <x:c r="E3711" s="115" t="n">
        <x:v>6</x:v>
      </x:c>
      <x:c r="F3711" s="115" t="str">
        <x:v>Inspection physique</x:v>
      </x:c>
      <x:c r="G3711" s="115" t="str">
        <x:v>1 niveaux ; 36 pièces ; 265 segments de mur ; 0 transitions. Inspection physique ; architecture complète encore ouverte.</x:v>
      </x:c>
      <x:c r="H3711" s="115" t="str">
        <x:v>L 800 ; l 2500 ; hauteur 7 m ; choix de composition auteur ; dimensions réelles à documenter</x:v>
      </x:c>
      <x:c r="I3711" s="115" t="str">
        <x:v>À équilibrer</x:v>
      </x:c>
      <x:c r="J3711" s="115" t="str">
        <x:v>Non</x:v>
      </x:c>
      <x:c r="K3711" s="115" t="str">
        <x:v>Pièces décrites, murs, portes, niveaux et mobilier inspectables à l’échelle. Volumes réservés, raccord au seed, butin, rencontres et services de campagne restent à terminer.</x:v>
      </x:c>
    </x:row>
    <x:row r="3712" ht="96" customHeight="1">
      <x:c r="A3712" s="115" t="str">
        <x:v>EXT-MONDE-T075-V07</x:v>
      </x:c>
      <x:c r="B3712" s="115" t="str">
        <x:v>EXT-MONDE-T075</x:v>
      </x:c>
      <x:c r="C3712" s="115" t="str">
        <x:v>Ferroviaire</x:v>
      </x:c>
      <x:c r="D3712" s="115" t="str">
        <x:v>Gare de triage</x:v>
      </x:c>
      <x:c r="E3712" s="115" t="n">
        <x:v>7</x:v>
      </x:c>
      <x:c r="F3712" s="115" t="str">
        <x:v>Inspection physique</x:v>
      </x:c>
      <x:c r="G3712" s="115" t="str">
        <x:v>1 niveaux ; 36 pièces ; 265 segments de mur ; 0 transitions. Inspection physique ; architecture complète encore ouverte.</x:v>
      </x:c>
      <x:c r="H3712" s="115" t="str">
        <x:v>L 800 ; l 2500 ; hauteur 7 m ; choix de composition auteur ; dimensions réelles à documenter</x:v>
      </x:c>
      <x:c r="I3712" s="115" t="str">
        <x:v>À équilibrer</x:v>
      </x:c>
      <x:c r="J3712" s="115" t="str">
        <x:v>Non</x:v>
      </x:c>
      <x:c r="K3712" s="115" t="str">
        <x:v>Pièces décrites, murs, portes, niveaux et mobilier inspectables à l’échelle. Volumes réservés, raccord au seed, butin, rencontres et services de campagne restent à terminer.</x:v>
      </x:c>
    </x:row>
    <x:row r="3713" ht="96" customHeight="1">
      <x:c r="A3713" s="115" t="str">
        <x:v>EXT-MONDE-T075-V08</x:v>
      </x:c>
      <x:c r="B3713" s="115" t="str">
        <x:v>EXT-MONDE-T075</x:v>
      </x:c>
      <x:c r="C3713" s="115" t="str">
        <x:v>Ferroviaire</x:v>
      </x:c>
      <x:c r="D3713" s="115" t="str">
        <x:v>Gare de triage</x:v>
      </x:c>
      <x:c r="E3713" s="115" t="n">
        <x:v>8</x:v>
      </x:c>
      <x:c r="F3713" s="115" t="str">
        <x:v>Inspection physique</x:v>
      </x:c>
      <x:c r="G3713" s="115" t="str">
        <x:v>1 niveaux ; 36 pièces ; 265 segments de mur ; 0 transitions. Inspection physique ; architecture complète encore ouverte.</x:v>
      </x:c>
      <x:c r="H3713" s="115" t="str">
        <x:v>L 800 ; l 2500 ; hauteur 7 m ; choix de composition auteur ; dimensions réelles à documenter</x:v>
      </x:c>
      <x:c r="I3713" s="115" t="str">
        <x:v>À équilibrer</x:v>
      </x:c>
      <x:c r="J3713" s="115" t="str">
        <x:v>Non</x:v>
      </x:c>
      <x:c r="K3713" s="115" t="str">
        <x:v>Pièces décrites, murs, portes, niveaux et mobilier inspectables à l’échelle. Volumes réservés, raccord au seed, butin, rencontres et services de campagne restent à terminer.</x:v>
      </x:c>
    </x:row>
    <x:row r="3714" ht="96" customHeight="1">
      <x:c r="A3714" s="115" t="str">
        <x:v>EXT-MONDE-T075-V09</x:v>
      </x:c>
      <x:c r="B3714" s="115" t="str">
        <x:v>EXT-MONDE-T075</x:v>
      </x:c>
      <x:c r="C3714" s="115" t="str">
        <x:v>Ferroviaire</x:v>
      </x:c>
      <x:c r="D3714" s="115" t="str">
        <x:v>Gare de triage</x:v>
      </x:c>
      <x:c r="E3714" s="115" t="n">
        <x:v>9</x:v>
      </x:c>
      <x:c r="F3714" s="115" t="str">
        <x:v>Inspection physique</x:v>
      </x:c>
      <x:c r="G3714" s="115" t="str">
        <x:v>1 niveaux ; 36 pièces ; 265 segments de mur ; 0 transitions. Inspection physique ; architecture complète encore ouverte.</x:v>
      </x:c>
      <x:c r="H3714" s="115" t="str">
        <x:v>L 800 ; l 2500 ; hauteur 7 m ; choix de composition auteur ; dimensions réelles à documenter</x:v>
      </x:c>
      <x:c r="I3714" s="115" t="str">
        <x:v>À équilibrer</x:v>
      </x:c>
      <x:c r="J3714" s="115" t="str">
        <x:v>Non</x:v>
      </x:c>
      <x:c r="K3714" s="115" t="str">
        <x:v>Pièces décrites, murs, portes, niveaux et mobilier inspectables à l’échelle. Volumes réservés, raccord au seed, butin, rencontres et services de campagne restent à terminer.</x:v>
      </x:c>
    </x:row>
    <x:row r="3715" ht="96" customHeight="1">
      <x:c r="A3715" s="115" t="str">
        <x:v>EXT-MONDE-T075-V10</x:v>
      </x:c>
      <x:c r="B3715" s="115" t="str">
        <x:v>EXT-MONDE-T075</x:v>
      </x:c>
      <x:c r="C3715" s="115" t="str">
        <x:v>Ferroviaire</x:v>
      </x:c>
      <x:c r="D3715" s="115" t="str">
        <x:v>Gare de triage</x:v>
      </x:c>
      <x:c r="E3715" s="115" t="n">
        <x:v>10</x:v>
      </x:c>
      <x:c r="F3715" s="115" t="str">
        <x:v>Inspection physique</x:v>
      </x:c>
      <x:c r="G3715" s="115" t="str">
        <x:v>1 niveaux ; 36 pièces ; 265 segments de mur ; 0 transitions. Inspection physique ; architecture complète encore ouverte.</x:v>
      </x:c>
      <x:c r="H3715" s="115" t="str">
        <x:v>L 800 ; l 2500 ; hauteur 7 m ; choix de composition auteur ; dimensions réelles à documenter</x:v>
      </x:c>
      <x:c r="I3715" s="115" t="str">
        <x:v>À équilibrer</x:v>
      </x:c>
      <x:c r="J3715" s="115" t="str">
        <x:v>Non</x:v>
      </x:c>
      <x:c r="K3715" s="115" t="str">
        <x:v>Pièces décrites, murs, portes, niveaux et mobilier inspectables à l’échelle. Volumes réservés, raccord au seed, butin, rencontres et services de campagne restent à terminer.</x:v>
      </x:c>
    </x:row>
    <x:row r="3716" ht="96" customHeight="1">
      <x:c r="A3716" s="115" t="str">
        <x:v>EXT-MONDE-T075-V11</x:v>
      </x:c>
      <x:c r="B3716" s="115" t="str">
        <x:v>EXT-MONDE-T075</x:v>
      </x:c>
      <x:c r="C3716" s="115" t="str">
        <x:v>Ferroviaire</x:v>
      </x:c>
      <x:c r="D3716" s="115" t="str">
        <x:v>Gare de triage</x:v>
      </x:c>
      <x:c r="E3716" s="115" t="n">
        <x:v>11</x:v>
      </x:c>
      <x:c r="F3716" s="115" t="str">
        <x:v>Inspection physique</x:v>
      </x:c>
      <x:c r="G3716" s="115" t="str">
        <x:v>1 niveaux ; 36 pièces ; 265 segments de mur ; 0 transitions. Inspection physique ; architecture complète encore ouverte.</x:v>
      </x:c>
      <x:c r="H3716" s="115" t="str">
        <x:v>L 800 ; l 2700 ; hauteur 7,2 m ; choix de composition auteur ; dimensions réelles à documenter</x:v>
      </x:c>
      <x:c r="I3716" s="115" t="str">
        <x:v>À équilibrer</x:v>
      </x:c>
      <x:c r="J3716" s="115" t="str">
        <x:v>Non</x:v>
      </x:c>
      <x:c r="K3716" s="115" t="str">
        <x:v>Pièces décrites, murs, portes, niveaux et mobilier inspectables à l’échelle. Volumes réservés, raccord au seed, butin, rencontres et services de campagne restent à terminer.</x:v>
      </x:c>
    </x:row>
    <x:row r="3717" ht="96" customHeight="1">
      <x:c r="A3717" s="115" t="str">
        <x:v>EXT-MONDE-T075-V12</x:v>
      </x:c>
      <x:c r="B3717" s="115" t="str">
        <x:v>EXT-MONDE-T075</x:v>
      </x:c>
      <x:c r="C3717" s="115" t="str">
        <x:v>Ferroviaire</x:v>
      </x:c>
      <x:c r="D3717" s="115" t="str">
        <x:v>Gare de triage</x:v>
      </x:c>
      <x:c r="E3717" s="115" t="n">
        <x:v>12</x:v>
      </x:c>
      <x:c r="F3717" s="115" t="str">
        <x:v>Inspection physique</x:v>
      </x:c>
      <x:c r="G3717" s="115" t="str">
        <x:v>1 niveaux ; 36 pièces ; 265 segments de mur ; 0 transitions. Inspection physique ; architecture complète encore ouverte.</x:v>
      </x:c>
      <x:c r="H3717" s="115" t="str">
        <x:v>L 800 ; l 2700 ; hauteur 7,2 m ; choix de composition auteur ; dimensions réelles à documenter</x:v>
      </x:c>
      <x:c r="I3717" s="115" t="str">
        <x:v>À équilibrer</x:v>
      </x:c>
      <x:c r="J3717" s="115" t="str">
        <x:v>Non</x:v>
      </x:c>
      <x:c r="K3717" s="115" t="str">
        <x:v>Pièces décrites, murs, portes, niveaux et mobilier inspectables à l’échelle. Volumes réservés, raccord au seed, butin, rencontres et services de campagne restent à terminer.</x:v>
      </x:c>
    </x:row>
    <x:row r="3718" ht="96" customHeight="1">
      <x:c r="A3718" s="115" t="str">
        <x:v>EXT-MONDE-T075-V13</x:v>
      </x:c>
      <x:c r="B3718" s="115" t="str">
        <x:v>EXT-MONDE-T075</x:v>
      </x:c>
      <x:c r="C3718" s="115" t="str">
        <x:v>Ferroviaire</x:v>
      </x:c>
      <x:c r="D3718" s="115" t="str">
        <x:v>Gare de triage</x:v>
      </x:c>
      <x:c r="E3718" s="115" t="n">
        <x:v>13</x:v>
      </x:c>
      <x:c r="F3718" s="115" t="str">
        <x:v>Inspection physique</x:v>
      </x:c>
      <x:c r="G3718" s="115" t="str">
        <x:v>1 niveaux ; 36 pièces ; 265 segments de mur ; 0 transitions. Inspection physique ; architecture complète encore ouverte.</x:v>
      </x:c>
      <x:c r="H3718" s="115" t="str">
        <x:v>L 800 ; l 2700 ; hauteur 7,2 m ; choix de composition auteur ; dimensions réelles à documenter</x:v>
      </x:c>
      <x:c r="I3718" s="115" t="str">
        <x:v>À équilibrer</x:v>
      </x:c>
      <x:c r="J3718" s="115" t="str">
        <x:v>Non</x:v>
      </x:c>
      <x:c r="K3718" s="115" t="str">
        <x:v>Pièces décrites, murs, portes, niveaux et mobilier inspectables à l’échelle. Volumes réservés, raccord au seed, butin, rencontres et services de campagne restent à terminer.</x:v>
      </x:c>
    </x:row>
    <x:row r="3719" ht="96" customHeight="1">
      <x:c r="A3719" s="115" t="str">
        <x:v>EXT-MONDE-T075-V14</x:v>
      </x:c>
      <x:c r="B3719" s="115" t="str">
        <x:v>EXT-MONDE-T075</x:v>
      </x:c>
      <x:c r="C3719" s="115" t="str">
        <x:v>Ferroviaire</x:v>
      </x:c>
      <x:c r="D3719" s="115" t="str">
        <x:v>Gare de triage</x:v>
      </x:c>
      <x:c r="E3719" s="115" t="n">
        <x:v>14</x:v>
      </x:c>
      <x:c r="F3719" s="115" t="str">
        <x:v>Inspection physique</x:v>
      </x:c>
      <x:c r="G3719" s="115" t="str">
        <x:v>1 niveaux ; 36 pièces ; 265 segments de mur ; 0 transitions. Inspection physique ; architecture complète encore ouverte.</x:v>
      </x:c>
      <x:c r="H3719" s="115" t="str">
        <x:v>L 800 ; l 2700 ; hauteur 7,2 m ; choix de composition auteur ; dimensions réelles à documenter</x:v>
      </x:c>
      <x:c r="I3719" s="115" t="str">
        <x:v>À équilibrer</x:v>
      </x:c>
      <x:c r="J3719" s="115" t="str">
        <x:v>Non</x:v>
      </x:c>
      <x:c r="K3719" s="115" t="str">
        <x:v>Pièces décrites, murs, portes, niveaux et mobilier inspectables à l’échelle. Volumes réservés, raccord au seed, butin, rencontres et services de campagne restent à terminer.</x:v>
      </x:c>
    </x:row>
    <x:row r="3720" ht="96" customHeight="1">
      <x:c r="A3720" s="115" t="str">
        <x:v>EXT-MONDE-T075-V15</x:v>
      </x:c>
      <x:c r="B3720" s="115" t="str">
        <x:v>EXT-MONDE-T075</x:v>
      </x:c>
      <x:c r="C3720" s="115" t="str">
        <x:v>Ferroviaire</x:v>
      </x:c>
      <x:c r="D3720" s="115" t="str">
        <x:v>Gare de triage</x:v>
      </x:c>
      <x:c r="E3720" s="115" t="n">
        <x:v>15</x:v>
      </x:c>
      <x:c r="F3720" s="115" t="str">
        <x:v>Inspection physique</x:v>
      </x:c>
      <x:c r="G3720" s="115" t="str">
        <x:v>1 niveaux ; 36 pièces ; 265 segments de mur ; 0 transitions. Inspection physique ; architecture complète encore ouverte.</x:v>
      </x:c>
      <x:c r="H3720" s="115" t="str">
        <x:v>L 800 ; l 2700 ; hauteur 7,2 m ; choix de composition auteur ; dimensions réelles à documenter</x:v>
      </x:c>
      <x:c r="I3720" s="115" t="str">
        <x:v>À équilibrer</x:v>
      </x:c>
      <x:c r="J3720" s="115" t="str">
        <x:v>Non</x:v>
      </x:c>
      <x:c r="K3720" s="115" t="str">
        <x:v>Pièces décrites, murs, portes, niveaux et mobilier inspectables à l’échelle. Volumes réservés, raccord au seed, butin, rencontres et services de campagne restent à terminer.</x:v>
      </x:c>
    </x:row>
    <x:row r="3721" ht="96" customHeight="1">
      <x:c r="A3721" s="115" t="str">
        <x:v>EXT-MONDE-T075-V16</x:v>
      </x:c>
      <x:c r="B3721" s="115" t="str">
        <x:v>EXT-MONDE-T075</x:v>
      </x:c>
      <x:c r="C3721" s="115" t="str">
        <x:v>Ferroviaire</x:v>
      </x:c>
      <x:c r="D3721" s="115" t="str">
        <x:v>Gare de triage</x:v>
      </x:c>
      <x:c r="E3721" s="115" t="n">
        <x:v>16</x:v>
      </x:c>
      <x:c r="F3721" s="115" t="str">
        <x:v>Inspection physique</x:v>
      </x:c>
      <x:c r="G3721" s="115" t="str">
        <x:v>1 niveaux ; 36 pièces ; 265 segments de mur ; 0 transitions. Inspection physique ; architecture complète encore ouverte.</x:v>
      </x:c>
      <x:c r="H3721" s="115" t="str">
        <x:v>L 800 ; l 2700 ; hauteur 7,2 m ; choix de composition auteur ; dimensions réelles à documenter</x:v>
      </x:c>
      <x:c r="I3721" s="115" t="str">
        <x:v>À équilibrer</x:v>
      </x:c>
      <x:c r="J3721" s="115" t="str">
        <x:v>Non</x:v>
      </x:c>
      <x:c r="K3721" s="115" t="str">
        <x:v>Pièces décrites, murs, portes, niveaux et mobilier inspectables à l’échelle. Volumes réservés, raccord au seed, butin, rencontres et services de campagne restent à terminer.</x:v>
      </x:c>
    </x:row>
    <x:row r="3722" ht="96" customHeight="1">
      <x:c r="A3722" s="115" t="str">
        <x:v>EXT-MONDE-T075-V17</x:v>
      </x:c>
      <x:c r="B3722" s="115" t="str">
        <x:v>EXT-MONDE-T075</x:v>
      </x:c>
      <x:c r="C3722" s="115" t="str">
        <x:v>Ferroviaire</x:v>
      </x:c>
      <x:c r="D3722" s="115" t="str">
        <x:v>Gare de triage</x:v>
      </x:c>
      <x:c r="E3722" s="115" t="n">
        <x:v>17</x:v>
      </x:c>
      <x:c r="F3722" s="115" t="str">
        <x:v>Inspection physique</x:v>
      </x:c>
      <x:c r="G3722" s="115" t="str">
        <x:v>1 niveaux ; 36 pièces ; 265 segments de mur ; 0 transitions. Inspection physique ; architecture complète encore ouverte.</x:v>
      </x:c>
      <x:c r="H3722" s="115" t="str">
        <x:v>L 800 ; l 2700 ; hauteur 7,2 m ; choix de composition auteur ; dimensions réelles à documenter</x:v>
      </x:c>
      <x:c r="I3722" s="115" t="str">
        <x:v>À équilibrer</x:v>
      </x:c>
      <x:c r="J3722" s="115" t="str">
        <x:v>Non</x:v>
      </x:c>
      <x:c r="K3722" s="115" t="str">
        <x:v>Pièces décrites, murs, portes, niveaux et mobilier inspectables à l’échelle. Volumes réservés, raccord au seed, butin, rencontres et services de campagne restent à terminer.</x:v>
      </x:c>
    </x:row>
    <x:row r="3723" ht="96" customHeight="1">
      <x:c r="A3723" s="115" t="str">
        <x:v>EXT-MONDE-T075-V18</x:v>
      </x:c>
      <x:c r="B3723" s="115" t="str">
        <x:v>EXT-MONDE-T075</x:v>
      </x:c>
      <x:c r="C3723" s="115" t="str">
        <x:v>Ferroviaire</x:v>
      </x:c>
      <x:c r="D3723" s="115" t="str">
        <x:v>Gare de triage</x:v>
      </x:c>
      <x:c r="E3723" s="115" t="n">
        <x:v>18</x:v>
      </x:c>
      <x:c r="F3723" s="115" t="str">
        <x:v>Inspection physique</x:v>
      </x:c>
      <x:c r="G3723" s="115" t="str">
        <x:v>1 niveaux ; 36 pièces ; 265 segments de mur ; 0 transitions. Inspection physique ; architecture complète encore ouverte.</x:v>
      </x:c>
      <x:c r="H3723" s="115" t="str">
        <x:v>L 800 ; l 2700 ; hauteur 7,2 m ; choix de composition auteur ; dimensions réelles à documenter</x:v>
      </x:c>
      <x:c r="I3723" s="115" t="str">
        <x:v>À équilibrer</x:v>
      </x:c>
      <x:c r="J3723" s="115" t="str">
        <x:v>Non</x:v>
      </x:c>
      <x:c r="K3723" s="115" t="str">
        <x:v>Pièces décrites, murs, portes, niveaux et mobilier inspectables à l’échelle. Volumes réservés, raccord au seed, butin, rencontres et services de campagne restent à terminer.</x:v>
      </x:c>
    </x:row>
    <x:row r="3724" ht="96" customHeight="1">
      <x:c r="A3724" s="115" t="str">
        <x:v>EXT-MONDE-T075-V19</x:v>
      </x:c>
      <x:c r="B3724" s="115" t="str">
        <x:v>EXT-MONDE-T075</x:v>
      </x:c>
      <x:c r="C3724" s="115" t="str">
        <x:v>Ferroviaire</x:v>
      </x:c>
      <x:c r="D3724" s="115" t="str">
        <x:v>Gare de triage</x:v>
      </x:c>
      <x:c r="E3724" s="115" t="n">
        <x:v>19</x:v>
      </x:c>
      <x:c r="F3724" s="115" t="str">
        <x:v>Inspection physique</x:v>
      </x:c>
      <x:c r="G3724" s="115" t="str">
        <x:v>1 niveaux ; 36 pièces ; 265 segments de mur ; 0 transitions. Inspection physique ; architecture complète encore ouverte.</x:v>
      </x:c>
      <x:c r="H3724" s="115" t="str">
        <x:v>L 800 ; l 2700 ; hauteur 7,2 m ; choix de composition auteur ; dimensions réelles à documenter</x:v>
      </x:c>
      <x:c r="I3724" s="115" t="str">
        <x:v>À équilibrer</x:v>
      </x:c>
      <x:c r="J3724" s="115" t="str">
        <x:v>Non</x:v>
      </x:c>
      <x:c r="K3724" s="115" t="str">
        <x:v>Pièces décrites, murs, portes, niveaux et mobilier inspectables à l’échelle. Volumes réservés, raccord au seed, butin, rencontres et services de campagne restent à terminer.</x:v>
      </x:c>
    </x:row>
    <x:row r="3725" ht="96" customHeight="1">
      <x:c r="A3725" s="115" t="str">
        <x:v>EXT-MONDE-T075-V20</x:v>
      </x:c>
      <x:c r="B3725" s="115" t="str">
        <x:v>EXT-MONDE-T075</x:v>
      </x:c>
      <x:c r="C3725" s="115" t="str">
        <x:v>Ferroviaire</x:v>
      </x:c>
      <x:c r="D3725" s="115" t="str">
        <x:v>Gare de triage</x:v>
      </x:c>
      <x:c r="E3725" s="115" t="n">
        <x:v>20</x:v>
      </x:c>
      <x:c r="F3725" s="115" t="str">
        <x:v>Inspection physique</x:v>
      </x:c>
      <x:c r="G3725" s="115" t="str">
        <x:v>1 niveaux ; 36 pièces ; 265 segments de mur ; 0 transitions. Inspection physique ; architecture complète encore ouverte.</x:v>
      </x:c>
      <x:c r="H3725" s="115" t="str">
        <x:v>L 800 ; l 2700 ; hauteur 7,2 m ; choix de composition auteur ; dimensions réelles à documenter</x:v>
      </x:c>
      <x:c r="I3725" s="115" t="str">
        <x:v>À équilibrer</x:v>
      </x:c>
      <x:c r="J3725" s="115" t="str">
        <x:v>Non</x:v>
      </x:c>
      <x:c r="K3725" s="115" t="str">
        <x:v>Pièces décrites, murs, portes, niveaux et mobilier inspectables à l’échelle. Volumes réservés, raccord au seed, butin, rencontres et services de campagne restent à terminer.</x:v>
      </x:c>
    </x:row>
    <x:row r="3726" ht="96" customHeight="1">
      <x:c r="A3726" s="115" t="str">
        <x:v>EXT-MONDE-T075-V21</x:v>
      </x:c>
      <x:c r="B3726" s="115" t="str">
        <x:v>EXT-MONDE-T075</x:v>
      </x:c>
      <x:c r="C3726" s="115" t="str">
        <x:v>Ferroviaire</x:v>
      </x:c>
      <x:c r="D3726" s="115" t="str">
        <x:v>Gare de triage</x:v>
      </x:c>
      <x:c r="E3726" s="115" t="n">
        <x:v>21</x:v>
      </x:c>
      <x:c r="F3726" s="115" t="str">
        <x:v>Inspection physique</x:v>
      </x:c>
      <x:c r="G3726" s="115" t="str">
        <x:v>1 niveaux ; 36 pièces ; 265 segments de mur ; 0 transitions. Inspection physique ; architecture complète encore ouverte.</x:v>
      </x:c>
      <x:c r="H3726" s="115" t="str">
        <x:v>L 800 ; l 2900 ; hauteur 7,4 m ; choix de composition auteur ; dimensions réelles à documenter</x:v>
      </x:c>
      <x:c r="I3726" s="115" t="str">
        <x:v>À équilibrer</x:v>
      </x:c>
      <x:c r="J3726" s="115" t="str">
        <x:v>Non</x:v>
      </x:c>
      <x:c r="K3726" s="115" t="str">
        <x:v>Pièces décrites, murs, portes, niveaux et mobilier inspectables à l’échelle. Volumes réservés, raccord au seed, butin, rencontres et services de campagne restent à terminer.</x:v>
      </x:c>
    </x:row>
    <x:row r="3727" ht="96" customHeight="1">
      <x:c r="A3727" s="115" t="str">
        <x:v>EXT-MONDE-T075-V22</x:v>
      </x:c>
      <x:c r="B3727" s="115" t="str">
        <x:v>EXT-MONDE-T075</x:v>
      </x:c>
      <x:c r="C3727" s="115" t="str">
        <x:v>Ferroviaire</x:v>
      </x:c>
      <x:c r="D3727" s="115" t="str">
        <x:v>Gare de triage</x:v>
      </x:c>
      <x:c r="E3727" s="115" t="n">
        <x:v>22</x:v>
      </x:c>
      <x:c r="F3727" s="115" t="str">
        <x:v>Inspection physique</x:v>
      </x:c>
      <x:c r="G3727" s="115" t="str">
        <x:v>1 niveaux ; 36 pièces ; 265 segments de mur ; 0 transitions. Inspection physique ; architecture complète encore ouverte.</x:v>
      </x:c>
      <x:c r="H3727" s="115" t="str">
        <x:v>L 800 ; l 2900 ; hauteur 7,4 m ; choix de composition auteur ; dimensions réelles à documenter</x:v>
      </x:c>
      <x:c r="I3727" s="115" t="str">
        <x:v>À équilibrer</x:v>
      </x:c>
      <x:c r="J3727" s="115" t="str">
        <x:v>Non</x:v>
      </x:c>
      <x:c r="K3727" s="115" t="str">
        <x:v>Pièces décrites, murs, portes, niveaux et mobilier inspectables à l’échelle. Volumes réservés, raccord au seed, butin, rencontres et services de campagne restent à terminer.</x:v>
      </x:c>
    </x:row>
    <x:row r="3728" ht="96" customHeight="1">
      <x:c r="A3728" s="115" t="str">
        <x:v>EXT-MONDE-T075-V23</x:v>
      </x:c>
      <x:c r="B3728" s="115" t="str">
        <x:v>EXT-MONDE-T075</x:v>
      </x:c>
      <x:c r="C3728" s="115" t="str">
        <x:v>Ferroviaire</x:v>
      </x:c>
      <x:c r="D3728" s="115" t="str">
        <x:v>Gare de triage</x:v>
      </x:c>
      <x:c r="E3728" s="115" t="n">
        <x:v>23</x:v>
      </x:c>
      <x:c r="F3728" s="115" t="str">
        <x:v>Inspection physique</x:v>
      </x:c>
      <x:c r="G3728" s="115" t="str">
        <x:v>1 niveaux ; 36 pièces ; 265 segments de mur ; 0 transitions. Inspection physique ; architecture complète encore ouverte.</x:v>
      </x:c>
      <x:c r="H3728" s="115" t="str">
        <x:v>L 800 ; l 2900 ; hauteur 7,4 m ; choix de composition auteur ; dimensions réelles à documenter</x:v>
      </x:c>
      <x:c r="I3728" s="115" t="str">
        <x:v>À équilibrer</x:v>
      </x:c>
      <x:c r="J3728" s="115" t="str">
        <x:v>Non</x:v>
      </x:c>
      <x:c r="K3728" s="115" t="str">
        <x:v>Pièces décrites, murs, portes, niveaux et mobilier inspectables à l’échelle. Volumes réservés, raccord au seed, butin, rencontres et services de campagne restent à terminer.</x:v>
      </x:c>
    </x:row>
    <x:row r="3729" ht="96" customHeight="1">
      <x:c r="A3729" s="115" t="str">
        <x:v>EXT-MONDE-T075-V24</x:v>
      </x:c>
      <x:c r="B3729" s="115" t="str">
        <x:v>EXT-MONDE-T075</x:v>
      </x:c>
      <x:c r="C3729" s="115" t="str">
        <x:v>Ferroviaire</x:v>
      </x:c>
      <x:c r="D3729" s="115" t="str">
        <x:v>Gare de triage</x:v>
      </x:c>
      <x:c r="E3729" s="115" t="n">
        <x:v>24</x:v>
      </x:c>
      <x:c r="F3729" s="115" t="str">
        <x:v>Inspection physique</x:v>
      </x:c>
      <x:c r="G3729" s="115" t="str">
        <x:v>1 niveaux ; 36 pièces ; 265 segments de mur ; 0 transitions. Inspection physique ; architecture complète encore ouverte.</x:v>
      </x:c>
      <x:c r="H3729" s="115" t="str">
        <x:v>L 800 ; l 2900 ; hauteur 7,4 m ; choix de composition auteur ; dimensions réelles à documenter</x:v>
      </x:c>
      <x:c r="I3729" s="115" t="str">
        <x:v>À équilibrer</x:v>
      </x:c>
      <x:c r="J3729" s="115" t="str">
        <x:v>Non</x:v>
      </x:c>
      <x:c r="K3729" s="115" t="str">
        <x:v>Pièces décrites, murs, portes, niveaux et mobilier inspectables à l’échelle. Volumes réservés, raccord au seed, butin, rencontres et services de campagne restent à terminer.</x:v>
      </x:c>
    </x:row>
    <x:row r="3730" ht="96" customHeight="1">
      <x:c r="A3730" s="115" t="str">
        <x:v>EXT-MONDE-T075-V25</x:v>
      </x:c>
      <x:c r="B3730" s="115" t="str">
        <x:v>EXT-MONDE-T075</x:v>
      </x:c>
      <x:c r="C3730" s="115" t="str">
        <x:v>Ferroviaire</x:v>
      </x:c>
      <x:c r="D3730" s="115" t="str">
        <x:v>Gare de triage</x:v>
      </x:c>
      <x:c r="E3730" s="115" t="n">
        <x:v>25</x:v>
      </x:c>
      <x:c r="F3730" s="115" t="str">
        <x:v>Inspection physique</x:v>
      </x:c>
      <x:c r="G3730" s="115" t="str">
        <x:v>1 niveaux ; 36 pièces ; 265 segments de mur ; 0 transitions. Inspection physique ; architecture complète encore ouverte.</x:v>
      </x:c>
      <x:c r="H3730" s="115" t="str">
        <x:v>L 800 ; l 2900 ; hauteur 7,4 m ; choix de composition auteur ; dimensions réelles à documenter</x:v>
      </x:c>
      <x:c r="I3730" s="115" t="str">
        <x:v>À équilibrer</x:v>
      </x:c>
      <x:c r="J3730" s="115" t="str">
        <x:v>Non</x:v>
      </x:c>
      <x:c r="K3730" s="115" t="str">
        <x:v>Pièces décrites, murs, portes, niveaux et mobilier inspectables à l’échelle. Volumes réservés, raccord au seed, butin, rencontres et services de campagne restent à terminer.</x:v>
      </x:c>
    </x:row>
    <x:row r="3731" ht="96" customHeight="1">
      <x:c r="A3731" s="115" t="str">
        <x:v>EXT-MONDE-T075-V26</x:v>
      </x:c>
      <x:c r="B3731" s="115" t="str">
        <x:v>EXT-MONDE-T075</x:v>
      </x:c>
      <x:c r="C3731" s="115" t="str">
        <x:v>Ferroviaire</x:v>
      </x:c>
      <x:c r="D3731" s="115" t="str">
        <x:v>Gare de triage</x:v>
      </x:c>
      <x:c r="E3731" s="115" t="n">
        <x:v>26</x:v>
      </x:c>
      <x:c r="F3731" s="115" t="str">
        <x:v>Inspection physique</x:v>
      </x:c>
      <x:c r="G3731" s="115" t="str">
        <x:v>1 niveaux ; 36 pièces ; 265 segments de mur ; 0 transitions. Inspection physique ; architecture complète encore ouverte.</x:v>
      </x:c>
      <x:c r="H3731" s="115" t="str">
        <x:v>L 800 ; l 2900 ; hauteur 7,4 m ; choix de composition auteur ; dimensions réelles à documenter</x:v>
      </x:c>
      <x:c r="I3731" s="115" t="str">
        <x:v>À équilibrer</x:v>
      </x:c>
      <x:c r="J3731" s="115" t="str">
        <x:v>Non</x:v>
      </x:c>
      <x:c r="K3731" s="115" t="str">
        <x:v>Pièces décrites, murs, portes, niveaux et mobilier inspectables à l’échelle. Volumes réservés, raccord au seed, butin, rencontres et services de campagne restent à terminer.</x:v>
      </x:c>
    </x:row>
    <x:row r="3732" ht="96" customHeight="1">
      <x:c r="A3732" s="115" t="str">
        <x:v>EXT-MONDE-T075-V27</x:v>
      </x:c>
      <x:c r="B3732" s="115" t="str">
        <x:v>EXT-MONDE-T075</x:v>
      </x:c>
      <x:c r="C3732" s="115" t="str">
        <x:v>Ferroviaire</x:v>
      </x:c>
      <x:c r="D3732" s="115" t="str">
        <x:v>Gare de triage</x:v>
      </x:c>
      <x:c r="E3732" s="115" t="n">
        <x:v>27</x:v>
      </x:c>
      <x:c r="F3732" s="115" t="str">
        <x:v>Inspection physique</x:v>
      </x:c>
      <x:c r="G3732" s="115" t="str">
        <x:v>1 niveaux ; 36 pièces ; 265 segments de mur ; 0 transitions. Inspection physique ; architecture complète encore ouverte.</x:v>
      </x:c>
      <x:c r="H3732" s="115" t="str">
        <x:v>L 800 ; l 2900 ; hauteur 7,4 m ; choix de composition auteur ; dimensions réelles à documenter</x:v>
      </x:c>
      <x:c r="I3732" s="115" t="str">
        <x:v>À équilibrer</x:v>
      </x:c>
      <x:c r="J3732" s="115" t="str">
        <x:v>Non</x:v>
      </x:c>
      <x:c r="K3732" s="115" t="str">
        <x:v>Pièces décrites, murs, portes, niveaux et mobilier inspectables à l’échelle. Volumes réservés, raccord au seed, butin, rencontres et services de campagne restent à terminer.</x:v>
      </x:c>
    </x:row>
    <x:row r="3733" ht="96" customHeight="1">
      <x:c r="A3733" s="115" t="str">
        <x:v>EXT-MONDE-T075-V28</x:v>
      </x:c>
      <x:c r="B3733" s="115" t="str">
        <x:v>EXT-MONDE-T075</x:v>
      </x:c>
      <x:c r="C3733" s="115" t="str">
        <x:v>Ferroviaire</x:v>
      </x:c>
      <x:c r="D3733" s="115" t="str">
        <x:v>Gare de triage</x:v>
      </x:c>
      <x:c r="E3733" s="115" t="n">
        <x:v>28</x:v>
      </x:c>
      <x:c r="F3733" s="115" t="str">
        <x:v>Inspection physique</x:v>
      </x:c>
      <x:c r="G3733" s="115" t="str">
        <x:v>1 niveaux ; 36 pièces ; 265 segments de mur ; 0 transitions. Inspection physique ; architecture complète encore ouverte.</x:v>
      </x:c>
      <x:c r="H3733" s="115" t="str">
        <x:v>L 800 ; l 2900 ; hauteur 7,4 m ; choix de composition auteur ; dimensions réelles à documenter</x:v>
      </x:c>
      <x:c r="I3733" s="115" t="str">
        <x:v>À équilibrer</x:v>
      </x:c>
      <x:c r="J3733" s="115" t="str">
        <x:v>Non</x:v>
      </x:c>
      <x:c r="K3733" s="115" t="str">
        <x:v>Pièces décrites, murs, portes, niveaux et mobilier inspectables à l’échelle. Volumes réservés, raccord au seed, butin, rencontres et services de campagne restent à terminer.</x:v>
      </x:c>
    </x:row>
    <x:row r="3734" ht="96" customHeight="1">
      <x:c r="A3734" s="115" t="str">
        <x:v>EXT-MONDE-T075-V29</x:v>
      </x:c>
      <x:c r="B3734" s="115" t="str">
        <x:v>EXT-MONDE-T075</x:v>
      </x:c>
      <x:c r="C3734" s="115" t="str">
        <x:v>Ferroviaire</x:v>
      </x:c>
      <x:c r="D3734" s="115" t="str">
        <x:v>Gare de triage</x:v>
      </x:c>
      <x:c r="E3734" s="115" t="n">
        <x:v>29</x:v>
      </x:c>
      <x:c r="F3734" s="115" t="str">
        <x:v>Inspection physique</x:v>
      </x:c>
      <x:c r="G3734" s="115" t="str">
        <x:v>1 niveaux ; 36 pièces ; 265 segments de mur ; 0 transitions. Inspection physique ; architecture complète encore ouverte.</x:v>
      </x:c>
      <x:c r="H3734" s="115" t="str">
        <x:v>L 800 ; l 2900 ; hauteur 7,4 m ; choix de composition auteur ; dimensions réelles à documenter</x:v>
      </x:c>
      <x:c r="I3734" s="115" t="str">
        <x:v>À équilibrer</x:v>
      </x:c>
      <x:c r="J3734" s="115" t="str">
        <x:v>Non</x:v>
      </x:c>
      <x:c r="K3734" s="115" t="str">
        <x:v>Pièces décrites, murs, portes, niveaux et mobilier inspectables à l’échelle. Volumes réservés, raccord au seed, butin, rencontres et services de campagne restent à terminer.</x:v>
      </x:c>
    </x:row>
    <x:row r="3735" ht="96" customHeight="1">
      <x:c r="A3735" s="115" t="str">
        <x:v>EXT-MONDE-T075-V30</x:v>
      </x:c>
      <x:c r="B3735" s="115" t="str">
        <x:v>EXT-MONDE-T075</x:v>
      </x:c>
      <x:c r="C3735" s="115" t="str">
        <x:v>Ferroviaire</x:v>
      </x:c>
      <x:c r="D3735" s="115" t="str">
        <x:v>Gare de triage</x:v>
      </x:c>
      <x:c r="E3735" s="115" t="n">
        <x:v>30</x:v>
      </x:c>
      <x:c r="F3735" s="115" t="str">
        <x:v>Inspection physique</x:v>
      </x:c>
      <x:c r="G3735" s="115" t="str">
        <x:v>1 niveaux ; 36 pièces ; 265 segments de mur ; 0 transitions. Inspection physique ; architecture complète encore ouverte.</x:v>
      </x:c>
      <x:c r="H3735" s="115" t="str">
        <x:v>L 800 ; l 2900 ; hauteur 7,4 m ; choix de composition auteur ; dimensions réelles à documenter</x:v>
      </x:c>
      <x:c r="I3735" s="115" t="str">
        <x:v>À équilibrer</x:v>
      </x:c>
      <x:c r="J3735" s="115" t="str">
        <x:v>Non</x:v>
      </x:c>
      <x:c r="K3735" s="115" t="str">
        <x:v>Pièces décrites, murs, portes, niveaux et mobilier inspectables à l’échelle. Volumes réservés, raccord au seed, butin, rencontres et services de campagne restent à terminer.</x:v>
      </x:c>
    </x:row>
    <x:row r="3736" ht="96" customHeight="1">
      <x:c r="A3736" s="115" t="str">
        <x:v>EXT-MONDE-T075-V31</x:v>
      </x:c>
      <x:c r="B3736" s="115" t="str">
        <x:v>EXT-MONDE-T075</x:v>
      </x:c>
      <x:c r="C3736" s="115" t="str">
        <x:v>Ferroviaire</x:v>
      </x:c>
      <x:c r="D3736" s="115" t="str">
        <x:v>Gare de triage</x:v>
      </x:c>
      <x:c r="E3736" s="115" t="n">
        <x:v>31</x:v>
      </x:c>
      <x:c r="F3736" s="115" t="str">
        <x:v>Inspection physique</x:v>
      </x:c>
      <x:c r="G3736" s="115" t="str">
        <x:v>1 niveaux ; 36 pièces ; 265 segments de mur ; 0 transitions. Inspection physique ; architecture complète encore ouverte.</x:v>
      </x:c>
      <x:c r="H3736" s="115" t="str">
        <x:v>L 800 ; l 3100 ; hauteur 7,6 m ; choix de composition auteur ; dimensions réelles à documenter</x:v>
      </x:c>
      <x:c r="I3736" s="115" t="str">
        <x:v>À équilibrer</x:v>
      </x:c>
      <x:c r="J3736" s="115" t="str">
        <x:v>Non</x:v>
      </x:c>
      <x:c r="K3736" s="115" t="str">
        <x:v>Pièces décrites, murs, portes, niveaux et mobilier inspectables à l’échelle. Volumes réservés, raccord au seed, butin, rencontres et services de campagne restent à terminer.</x:v>
      </x:c>
    </x:row>
    <x:row r="3737" ht="96" customHeight="1">
      <x:c r="A3737" s="115" t="str">
        <x:v>EXT-MONDE-T075-V32</x:v>
      </x:c>
      <x:c r="B3737" s="115" t="str">
        <x:v>EXT-MONDE-T075</x:v>
      </x:c>
      <x:c r="C3737" s="115" t="str">
        <x:v>Ferroviaire</x:v>
      </x:c>
      <x:c r="D3737" s="115" t="str">
        <x:v>Gare de triage</x:v>
      </x:c>
      <x:c r="E3737" s="115" t="n">
        <x:v>32</x:v>
      </x:c>
      <x:c r="F3737" s="115" t="str">
        <x:v>Inspection physique</x:v>
      </x:c>
      <x:c r="G3737" s="115" t="str">
        <x:v>1 niveaux ; 36 pièces ; 265 segments de mur ; 0 transitions. Inspection physique ; architecture complète encore ouverte.</x:v>
      </x:c>
      <x:c r="H3737" s="115" t="str">
        <x:v>L 800 ; l 3100 ; hauteur 7,6 m ; choix de composition auteur ; dimensions réelles à documenter</x:v>
      </x:c>
      <x:c r="I3737" s="115" t="str">
        <x:v>À équilibrer</x:v>
      </x:c>
      <x:c r="J3737" s="115" t="str">
        <x:v>Non</x:v>
      </x:c>
      <x:c r="K3737" s="115" t="str">
        <x:v>Pièces décrites, murs, portes, niveaux et mobilier inspectables à l’échelle. Volumes réservés, raccord au seed, butin, rencontres et services de campagne restent à terminer.</x:v>
      </x:c>
    </x:row>
    <x:row r="3738" ht="96" customHeight="1">
      <x:c r="A3738" s="115" t="str">
        <x:v>EXT-MONDE-T075-V33</x:v>
      </x:c>
      <x:c r="B3738" s="115" t="str">
        <x:v>EXT-MONDE-T075</x:v>
      </x:c>
      <x:c r="C3738" s="115" t="str">
        <x:v>Ferroviaire</x:v>
      </x:c>
      <x:c r="D3738" s="115" t="str">
        <x:v>Gare de triage</x:v>
      </x:c>
      <x:c r="E3738" s="115" t="n">
        <x:v>33</x:v>
      </x:c>
      <x:c r="F3738" s="115" t="str">
        <x:v>Inspection physique</x:v>
      </x:c>
      <x:c r="G3738" s="115" t="str">
        <x:v>1 niveaux ; 36 pièces ; 265 segments de mur ; 0 transitions. Inspection physique ; architecture complète encore ouverte.</x:v>
      </x:c>
      <x:c r="H3738" s="115" t="str">
        <x:v>L 800 ; l 3100 ; hauteur 7,6 m ; choix de composition auteur ; dimensions réelles à documenter</x:v>
      </x:c>
      <x:c r="I3738" s="115" t="str">
        <x:v>À équilibrer</x:v>
      </x:c>
      <x:c r="J3738" s="115" t="str">
        <x:v>Non</x:v>
      </x:c>
      <x:c r="K3738" s="115" t="str">
        <x:v>Pièces décrites, murs, portes, niveaux et mobilier inspectables à l’échelle. Volumes réservés, raccord au seed, butin, rencontres et services de campagne restent à terminer.</x:v>
      </x:c>
    </x:row>
    <x:row r="3739" ht="96" customHeight="1">
      <x:c r="A3739" s="115" t="str">
        <x:v>EXT-MONDE-T075-V34</x:v>
      </x:c>
      <x:c r="B3739" s="115" t="str">
        <x:v>EXT-MONDE-T075</x:v>
      </x:c>
      <x:c r="C3739" s="115" t="str">
        <x:v>Ferroviaire</x:v>
      </x:c>
      <x:c r="D3739" s="115" t="str">
        <x:v>Gare de triage</x:v>
      </x:c>
      <x:c r="E3739" s="115" t="n">
        <x:v>34</x:v>
      </x:c>
      <x:c r="F3739" s="115" t="str">
        <x:v>Inspection physique</x:v>
      </x:c>
      <x:c r="G3739" s="115" t="str">
        <x:v>1 niveaux ; 36 pièces ; 265 segments de mur ; 0 transitions. Inspection physique ; architecture complète encore ouverte.</x:v>
      </x:c>
      <x:c r="H3739" s="115" t="str">
        <x:v>L 800 ; l 3100 ; hauteur 7,6 m ; choix de composition auteur ; dimensions réelles à documenter</x:v>
      </x:c>
      <x:c r="I3739" s="115" t="str">
        <x:v>À équilibrer</x:v>
      </x:c>
      <x:c r="J3739" s="115" t="str">
        <x:v>Non</x:v>
      </x:c>
      <x:c r="K3739" s="115" t="str">
        <x:v>Pièces décrites, murs, portes, niveaux et mobilier inspectables à l’échelle. Volumes réservés, raccord au seed, butin, rencontres et services de campagne restent à terminer.</x:v>
      </x:c>
    </x:row>
    <x:row r="3740" ht="96" customHeight="1">
      <x:c r="A3740" s="115" t="str">
        <x:v>EXT-MONDE-T075-V35</x:v>
      </x:c>
      <x:c r="B3740" s="115" t="str">
        <x:v>EXT-MONDE-T075</x:v>
      </x:c>
      <x:c r="C3740" s="115" t="str">
        <x:v>Ferroviaire</x:v>
      </x:c>
      <x:c r="D3740" s="115" t="str">
        <x:v>Gare de triage</x:v>
      </x:c>
      <x:c r="E3740" s="115" t="n">
        <x:v>35</x:v>
      </x:c>
      <x:c r="F3740" s="115" t="str">
        <x:v>Inspection physique</x:v>
      </x:c>
      <x:c r="G3740" s="115" t="str">
        <x:v>1 niveaux ; 36 pièces ; 265 segments de mur ; 0 transitions. Inspection physique ; architecture complète encore ouverte.</x:v>
      </x:c>
      <x:c r="H3740" s="115" t="str">
        <x:v>L 800 ; l 3100 ; hauteur 7,6 m ; choix de composition auteur ; dimensions réelles à documenter</x:v>
      </x:c>
      <x:c r="I3740" s="115" t="str">
        <x:v>À équilibrer</x:v>
      </x:c>
      <x:c r="J3740" s="115" t="str">
        <x:v>Non</x:v>
      </x:c>
      <x:c r="K3740" s="115" t="str">
        <x:v>Pièces décrites, murs, portes, niveaux et mobilier inspectables à l’échelle. Volumes réservés, raccord au seed, butin, rencontres et services de campagne restent à terminer.</x:v>
      </x:c>
    </x:row>
    <x:row r="3741" ht="96" customHeight="1">
      <x:c r="A3741" s="115" t="str">
        <x:v>EXT-MONDE-T075-V36</x:v>
      </x:c>
      <x:c r="B3741" s="115" t="str">
        <x:v>EXT-MONDE-T075</x:v>
      </x:c>
      <x:c r="C3741" s="115" t="str">
        <x:v>Ferroviaire</x:v>
      </x:c>
      <x:c r="D3741" s="115" t="str">
        <x:v>Gare de triage</x:v>
      </x:c>
      <x:c r="E3741" s="115" t="n">
        <x:v>36</x:v>
      </x:c>
      <x:c r="F3741" s="115" t="str">
        <x:v>Inspection physique</x:v>
      </x:c>
      <x:c r="G3741" s="115" t="str">
        <x:v>1 niveaux ; 36 pièces ; 265 segments de mur ; 0 transitions. Inspection physique ; architecture complète encore ouverte.</x:v>
      </x:c>
      <x:c r="H3741" s="115" t="str">
        <x:v>L 800 ; l 3100 ; hauteur 7,6 m ; choix de composition auteur ; dimensions réelles à documenter</x:v>
      </x:c>
      <x:c r="I3741" s="115" t="str">
        <x:v>À équilibrer</x:v>
      </x:c>
      <x:c r="J3741" s="115" t="str">
        <x:v>Non</x:v>
      </x:c>
      <x:c r="K3741" s="115" t="str">
        <x:v>Pièces décrites, murs, portes, niveaux et mobilier inspectables à l’échelle. Volumes réservés, raccord au seed, butin, rencontres et services de campagne restent à terminer.</x:v>
      </x:c>
    </x:row>
    <x:row r="3742" ht="96" customHeight="1">
      <x:c r="A3742" s="115" t="str">
        <x:v>EXT-MONDE-T075-V37</x:v>
      </x:c>
      <x:c r="B3742" s="115" t="str">
        <x:v>EXT-MONDE-T075</x:v>
      </x:c>
      <x:c r="C3742" s="115" t="str">
        <x:v>Ferroviaire</x:v>
      </x:c>
      <x:c r="D3742" s="115" t="str">
        <x:v>Gare de triage</x:v>
      </x:c>
      <x:c r="E3742" s="115" t="n">
        <x:v>37</x:v>
      </x:c>
      <x:c r="F3742" s="115" t="str">
        <x:v>Inspection physique</x:v>
      </x:c>
      <x:c r="G3742" s="115" t="str">
        <x:v>1 niveaux ; 36 pièces ; 265 segments de mur ; 0 transitions. Inspection physique ; architecture complète encore ouverte.</x:v>
      </x:c>
      <x:c r="H3742" s="115" t="str">
        <x:v>L 800 ; l 3100 ; hauteur 7,6 m ; choix de composition auteur ; dimensions réelles à documenter</x:v>
      </x:c>
      <x:c r="I3742" s="115" t="str">
        <x:v>À équilibrer</x:v>
      </x:c>
      <x:c r="J3742" s="115" t="str">
        <x:v>Non</x:v>
      </x:c>
      <x:c r="K3742" s="115" t="str">
        <x:v>Pièces décrites, murs, portes, niveaux et mobilier inspectables à l’échelle. Volumes réservés, raccord au seed, butin, rencontres et services de campagne restent à terminer.</x:v>
      </x:c>
    </x:row>
    <x:row r="3743" ht="96" customHeight="1">
      <x:c r="A3743" s="115" t="str">
        <x:v>EXT-MONDE-T075-V38</x:v>
      </x:c>
      <x:c r="B3743" s="115" t="str">
        <x:v>EXT-MONDE-T075</x:v>
      </x:c>
      <x:c r="C3743" s="115" t="str">
        <x:v>Ferroviaire</x:v>
      </x:c>
      <x:c r="D3743" s="115" t="str">
        <x:v>Gare de triage</x:v>
      </x:c>
      <x:c r="E3743" s="115" t="n">
        <x:v>38</x:v>
      </x:c>
      <x:c r="F3743" s="115" t="str">
        <x:v>Inspection physique</x:v>
      </x:c>
      <x:c r="G3743" s="115" t="str">
        <x:v>1 niveaux ; 36 pièces ; 265 segments de mur ; 0 transitions. Inspection physique ; architecture complète encore ouverte.</x:v>
      </x:c>
      <x:c r="H3743" s="115" t="str">
        <x:v>L 800 ; l 3100 ; hauteur 7,6 m ; choix de composition auteur ; dimensions réelles à documenter</x:v>
      </x:c>
      <x:c r="I3743" s="115" t="str">
        <x:v>À équilibrer</x:v>
      </x:c>
      <x:c r="J3743" s="115" t="str">
        <x:v>Non</x:v>
      </x:c>
      <x:c r="K3743" s="115" t="str">
        <x:v>Pièces décrites, murs, portes, niveaux et mobilier inspectables à l’échelle. Volumes réservés, raccord au seed, butin, rencontres et services de campagne restent à terminer.</x:v>
      </x:c>
    </x:row>
    <x:row r="3744" ht="96" customHeight="1">
      <x:c r="A3744" s="115" t="str">
        <x:v>EXT-MONDE-T075-V39</x:v>
      </x:c>
      <x:c r="B3744" s="115" t="str">
        <x:v>EXT-MONDE-T075</x:v>
      </x:c>
      <x:c r="C3744" s="115" t="str">
        <x:v>Ferroviaire</x:v>
      </x:c>
      <x:c r="D3744" s="115" t="str">
        <x:v>Gare de triage</x:v>
      </x:c>
      <x:c r="E3744" s="115" t="n">
        <x:v>39</x:v>
      </x:c>
      <x:c r="F3744" s="115" t="str">
        <x:v>Inspection physique</x:v>
      </x:c>
      <x:c r="G3744" s="115" t="str">
        <x:v>1 niveaux ; 36 pièces ; 265 segments de mur ; 0 transitions. Inspection physique ; architecture complète encore ouverte.</x:v>
      </x:c>
      <x:c r="H3744" s="115" t="str">
        <x:v>L 800 ; l 3100 ; hauteur 7,6 m ; choix de composition auteur ; dimensions réelles à documenter</x:v>
      </x:c>
      <x:c r="I3744" s="115" t="str">
        <x:v>À équilibrer</x:v>
      </x:c>
      <x:c r="J3744" s="115" t="str">
        <x:v>Non</x:v>
      </x:c>
      <x:c r="K3744" s="115" t="str">
        <x:v>Pièces décrites, murs, portes, niveaux et mobilier inspectables à l’échelle. Volumes réservés, raccord au seed, butin, rencontres et services de campagne restent à terminer.</x:v>
      </x:c>
    </x:row>
    <x:row r="3745" ht="96" customHeight="1">
      <x:c r="A3745" s="115" t="str">
        <x:v>EXT-MONDE-T075-V40</x:v>
      </x:c>
      <x:c r="B3745" s="115" t="str">
        <x:v>EXT-MONDE-T075</x:v>
      </x:c>
      <x:c r="C3745" s="115" t="str">
        <x:v>Ferroviaire</x:v>
      </x:c>
      <x:c r="D3745" s="115" t="str">
        <x:v>Gare de triage</x:v>
      </x:c>
      <x:c r="E3745" s="115" t="n">
        <x:v>40</x:v>
      </x:c>
      <x:c r="F3745" s="115" t="str">
        <x:v>Inspection physique</x:v>
      </x:c>
      <x:c r="G3745" s="115" t="str">
        <x:v>1 niveaux ; 36 pièces ; 265 segments de mur ; 0 transitions. Inspection physique ; architecture complète encore ouverte.</x:v>
      </x:c>
      <x:c r="H3745" s="115" t="str">
        <x:v>L 800 ; l 3100 ; hauteur 7,6 m ; choix de composition auteur ; dimensions réelles à documenter</x:v>
      </x:c>
      <x:c r="I3745" s="115" t="str">
        <x:v>À équilibrer</x:v>
      </x:c>
      <x:c r="J3745" s="115" t="str">
        <x:v>Non</x:v>
      </x:c>
      <x:c r="K3745" s="115" t="str">
        <x:v>Pièces décrites, murs, portes, niveaux et mobilier inspectables à l’échelle. Volumes réservés, raccord au seed, butin, rencontres et services de campagne restent à terminer.</x:v>
      </x:c>
    </x:row>
    <x:row r="3746" ht="96" customHeight="1">
      <x:c r="A3746" s="115" t="str">
        <x:v>EXT-MONDE-T075-V41</x:v>
      </x:c>
      <x:c r="B3746" s="115" t="str">
        <x:v>EXT-MONDE-T075</x:v>
      </x:c>
      <x:c r="C3746" s="115" t="str">
        <x:v>Ferroviaire</x:v>
      </x:c>
      <x:c r="D3746" s="115" t="str">
        <x:v>Gare de triage</x:v>
      </x:c>
      <x:c r="E3746" s="115" t="n">
        <x:v>41</x:v>
      </x:c>
      <x:c r="F3746" s="115" t="str">
        <x:v>Inspection physique</x:v>
      </x:c>
      <x:c r="G3746" s="115" t="str">
        <x:v>1 niveaux ; 36 pièces ; 265 segments de mur ; 0 transitions. Inspection physique ; architecture complète encore ouverte.</x:v>
      </x:c>
      <x:c r="H3746" s="115" t="str">
        <x:v>L 800 ; l 3300 ; hauteur 7,8 m ; choix de composition auteur ; dimensions réelles à documenter</x:v>
      </x:c>
      <x:c r="I3746" s="115" t="str">
        <x:v>À équilibrer</x:v>
      </x:c>
      <x:c r="J3746" s="115" t="str">
        <x:v>Non</x:v>
      </x:c>
      <x:c r="K3746" s="115" t="str">
        <x:v>Pièces décrites, murs, portes, niveaux et mobilier inspectables à l’échelle. Volumes réservés, raccord au seed, butin, rencontres et services de campagne restent à terminer.</x:v>
      </x:c>
    </x:row>
    <x:row r="3747" ht="96" customHeight="1">
      <x:c r="A3747" s="115" t="str">
        <x:v>EXT-MONDE-T075-V42</x:v>
      </x:c>
      <x:c r="B3747" s="115" t="str">
        <x:v>EXT-MONDE-T075</x:v>
      </x:c>
      <x:c r="C3747" s="115" t="str">
        <x:v>Ferroviaire</x:v>
      </x:c>
      <x:c r="D3747" s="115" t="str">
        <x:v>Gare de triage</x:v>
      </x:c>
      <x:c r="E3747" s="115" t="n">
        <x:v>42</x:v>
      </x:c>
      <x:c r="F3747" s="115" t="str">
        <x:v>Inspection physique</x:v>
      </x:c>
      <x:c r="G3747" s="115" t="str">
        <x:v>1 niveaux ; 36 pièces ; 265 segments de mur ; 0 transitions. Inspection physique ; architecture complète encore ouverte.</x:v>
      </x:c>
      <x:c r="H3747" s="115" t="str">
        <x:v>L 800 ; l 3300 ; hauteur 7,8 m ; choix de composition auteur ; dimensions réelles à documenter</x:v>
      </x:c>
      <x:c r="I3747" s="115" t="str">
        <x:v>À équilibrer</x:v>
      </x:c>
      <x:c r="J3747" s="115" t="str">
        <x:v>Non</x:v>
      </x:c>
      <x:c r="K3747" s="115" t="str">
        <x:v>Pièces décrites, murs, portes, niveaux et mobilier inspectables à l’échelle. Volumes réservés, raccord au seed, butin, rencontres et services de campagne restent à terminer.</x:v>
      </x:c>
    </x:row>
    <x:row r="3748" ht="96" customHeight="1">
      <x:c r="A3748" s="115" t="str">
        <x:v>EXT-MONDE-T075-V43</x:v>
      </x:c>
      <x:c r="B3748" s="115" t="str">
        <x:v>EXT-MONDE-T075</x:v>
      </x:c>
      <x:c r="C3748" s="115" t="str">
        <x:v>Ferroviaire</x:v>
      </x:c>
      <x:c r="D3748" s="115" t="str">
        <x:v>Gare de triage</x:v>
      </x:c>
      <x:c r="E3748" s="115" t="n">
        <x:v>43</x:v>
      </x:c>
      <x:c r="F3748" s="115" t="str">
        <x:v>Inspection physique</x:v>
      </x:c>
      <x:c r="G3748" s="115" t="str">
        <x:v>1 niveaux ; 36 pièces ; 265 segments de mur ; 0 transitions. Inspection physique ; architecture complète encore ouverte.</x:v>
      </x:c>
      <x:c r="H3748" s="115" t="str">
        <x:v>L 800 ; l 3300 ; hauteur 7,8 m ; choix de composition auteur ; dimensions réelles à documenter</x:v>
      </x:c>
      <x:c r="I3748" s="115" t="str">
        <x:v>À équilibrer</x:v>
      </x:c>
      <x:c r="J3748" s="115" t="str">
        <x:v>Non</x:v>
      </x:c>
      <x:c r="K3748" s="115" t="str">
        <x:v>Pièces décrites, murs, portes, niveaux et mobilier inspectables à l’échelle. Volumes réservés, raccord au seed, butin, rencontres et services de campagne restent à terminer.</x:v>
      </x:c>
    </x:row>
    <x:row r="3749" ht="96" customHeight="1">
      <x:c r="A3749" s="115" t="str">
        <x:v>EXT-MONDE-T075-V44</x:v>
      </x:c>
      <x:c r="B3749" s="115" t="str">
        <x:v>EXT-MONDE-T075</x:v>
      </x:c>
      <x:c r="C3749" s="115" t="str">
        <x:v>Ferroviaire</x:v>
      </x:c>
      <x:c r="D3749" s="115" t="str">
        <x:v>Gare de triage</x:v>
      </x:c>
      <x:c r="E3749" s="115" t="n">
        <x:v>44</x:v>
      </x:c>
      <x:c r="F3749" s="115" t="str">
        <x:v>Inspection physique</x:v>
      </x:c>
      <x:c r="G3749" s="115" t="str">
        <x:v>1 niveaux ; 36 pièces ; 265 segments de mur ; 0 transitions. Inspection physique ; architecture complète encore ouverte.</x:v>
      </x:c>
      <x:c r="H3749" s="115" t="str">
        <x:v>L 800 ; l 3300 ; hauteur 7,8 m ; choix de composition auteur ; dimensions réelles à documenter</x:v>
      </x:c>
      <x:c r="I3749" s="115" t="str">
        <x:v>À équilibrer</x:v>
      </x:c>
      <x:c r="J3749" s="115" t="str">
        <x:v>Non</x:v>
      </x:c>
      <x:c r="K3749" s="115" t="str">
        <x:v>Pièces décrites, murs, portes, niveaux et mobilier inspectables à l’échelle. Volumes réservés, raccord au seed, butin, rencontres et services de campagne restent à terminer.</x:v>
      </x:c>
    </x:row>
    <x:row r="3750" ht="96" customHeight="1">
      <x:c r="A3750" s="115" t="str">
        <x:v>EXT-MONDE-T075-V45</x:v>
      </x:c>
      <x:c r="B3750" s="115" t="str">
        <x:v>EXT-MONDE-T075</x:v>
      </x:c>
      <x:c r="C3750" s="115" t="str">
        <x:v>Ferroviaire</x:v>
      </x:c>
      <x:c r="D3750" s="115" t="str">
        <x:v>Gare de triage</x:v>
      </x:c>
      <x:c r="E3750" s="115" t="n">
        <x:v>45</x:v>
      </x:c>
      <x:c r="F3750" s="115" t="str">
        <x:v>Inspection physique</x:v>
      </x:c>
      <x:c r="G3750" s="115" t="str">
        <x:v>1 niveaux ; 36 pièces ; 265 segments de mur ; 0 transitions. Inspection physique ; architecture complète encore ouverte.</x:v>
      </x:c>
      <x:c r="H3750" s="115" t="str">
        <x:v>L 800 ; l 3300 ; hauteur 7,8 m ; choix de composition auteur ; dimensions réelles à documenter</x:v>
      </x:c>
      <x:c r="I3750" s="115" t="str">
        <x:v>À équilibrer</x:v>
      </x:c>
      <x:c r="J3750" s="115" t="str">
        <x:v>Non</x:v>
      </x:c>
      <x:c r="K3750" s="115" t="str">
        <x:v>Pièces décrites, murs, portes, niveaux et mobilier inspectables à l’échelle. Volumes réservés, raccord au seed, butin, rencontres et services de campagne restent à terminer.</x:v>
      </x:c>
    </x:row>
    <x:row r="3751" ht="96" customHeight="1">
      <x:c r="A3751" s="115" t="str">
        <x:v>EXT-MONDE-T075-V46</x:v>
      </x:c>
      <x:c r="B3751" s="115" t="str">
        <x:v>EXT-MONDE-T075</x:v>
      </x:c>
      <x:c r="C3751" s="115" t="str">
        <x:v>Ferroviaire</x:v>
      </x:c>
      <x:c r="D3751" s="115" t="str">
        <x:v>Gare de triage</x:v>
      </x:c>
      <x:c r="E3751" s="115" t="n">
        <x:v>46</x:v>
      </x:c>
      <x:c r="F3751" s="115" t="str">
        <x:v>Inspection physique</x:v>
      </x:c>
      <x:c r="G3751" s="115" t="str">
        <x:v>1 niveaux ; 36 pièces ; 265 segments de mur ; 0 transitions. Inspection physique ; architecture complète encore ouverte.</x:v>
      </x:c>
      <x:c r="H3751" s="115" t="str">
        <x:v>L 800 ; l 3300 ; hauteur 7,8 m ; choix de composition auteur ; dimensions réelles à documenter</x:v>
      </x:c>
      <x:c r="I3751" s="115" t="str">
        <x:v>À équilibrer</x:v>
      </x:c>
      <x:c r="J3751" s="115" t="str">
        <x:v>Non</x:v>
      </x:c>
      <x:c r="K3751" s="115" t="str">
        <x:v>Pièces décrites, murs, portes, niveaux et mobilier inspectables à l’échelle. Volumes réservés, raccord au seed, butin, rencontres et services de campagne restent à terminer.</x:v>
      </x:c>
    </x:row>
    <x:row r="3752" ht="96" customHeight="1">
      <x:c r="A3752" s="115" t="str">
        <x:v>EXT-MONDE-T075-V47</x:v>
      </x:c>
      <x:c r="B3752" s="115" t="str">
        <x:v>EXT-MONDE-T075</x:v>
      </x:c>
      <x:c r="C3752" s="115" t="str">
        <x:v>Ferroviaire</x:v>
      </x:c>
      <x:c r="D3752" s="115" t="str">
        <x:v>Gare de triage</x:v>
      </x:c>
      <x:c r="E3752" s="115" t="n">
        <x:v>47</x:v>
      </x:c>
      <x:c r="F3752" s="115" t="str">
        <x:v>Inspection physique</x:v>
      </x:c>
      <x:c r="G3752" s="115" t="str">
        <x:v>1 niveaux ; 36 pièces ; 265 segments de mur ; 0 transitions. Inspection physique ; architecture complète encore ouverte.</x:v>
      </x:c>
      <x:c r="H3752" s="115" t="str">
        <x:v>L 800 ; l 3300 ; hauteur 7,8 m ; choix de composition auteur ; dimensions réelles à documenter</x:v>
      </x:c>
      <x:c r="I3752" s="115" t="str">
        <x:v>À équilibrer</x:v>
      </x:c>
      <x:c r="J3752" s="115" t="str">
        <x:v>Non</x:v>
      </x:c>
      <x:c r="K3752" s="115" t="str">
        <x:v>Pièces décrites, murs, portes, niveaux et mobilier inspectables à l’échelle. Volumes réservés, raccord au seed, butin, rencontres et services de campagne restent à terminer.</x:v>
      </x:c>
    </x:row>
    <x:row r="3753" ht="96" customHeight="1">
      <x:c r="A3753" s="115" t="str">
        <x:v>EXT-MONDE-T075-V48</x:v>
      </x:c>
      <x:c r="B3753" s="115" t="str">
        <x:v>EXT-MONDE-T075</x:v>
      </x:c>
      <x:c r="C3753" s="115" t="str">
        <x:v>Ferroviaire</x:v>
      </x:c>
      <x:c r="D3753" s="115" t="str">
        <x:v>Gare de triage</x:v>
      </x:c>
      <x:c r="E3753" s="115" t="n">
        <x:v>48</x:v>
      </x:c>
      <x:c r="F3753" s="115" t="str">
        <x:v>Inspection physique</x:v>
      </x:c>
      <x:c r="G3753" s="115" t="str">
        <x:v>1 niveaux ; 36 pièces ; 265 segments de mur ; 0 transitions. Inspection physique ; architecture complète encore ouverte.</x:v>
      </x:c>
      <x:c r="H3753" s="115" t="str">
        <x:v>L 800 ; l 3300 ; hauteur 7,8 m ; choix de composition auteur ; dimensions réelles à documenter</x:v>
      </x:c>
      <x:c r="I3753" s="115" t="str">
        <x:v>À équilibrer</x:v>
      </x:c>
      <x:c r="J3753" s="115" t="str">
        <x:v>Non</x:v>
      </x:c>
      <x:c r="K3753" s="115" t="str">
        <x:v>Pièces décrites, murs, portes, niveaux et mobilier inspectables à l’échelle. Volumes réservés, raccord au seed, butin, rencontres et services de campagne restent à terminer.</x:v>
      </x:c>
    </x:row>
    <x:row r="3754" ht="96" customHeight="1">
      <x:c r="A3754" s="115" t="str">
        <x:v>EXT-MONDE-T075-V49</x:v>
      </x:c>
      <x:c r="B3754" s="115" t="str">
        <x:v>EXT-MONDE-T075</x:v>
      </x:c>
      <x:c r="C3754" s="115" t="str">
        <x:v>Ferroviaire</x:v>
      </x:c>
      <x:c r="D3754" s="115" t="str">
        <x:v>Gare de triage</x:v>
      </x:c>
      <x:c r="E3754" s="115" t="n">
        <x:v>49</x:v>
      </x:c>
      <x:c r="F3754" s="115" t="str">
        <x:v>Inspection physique</x:v>
      </x:c>
      <x:c r="G3754" s="115" t="str">
        <x:v>1 niveaux ; 36 pièces ; 265 segments de mur ; 0 transitions. Inspection physique ; architecture complète encore ouverte.</x:v>
      </x:c>
      <x:c r="H3754" s="115" t="str">
        <x:v>L 800 ; l 3300 ; hauteur 7,8 m ; choix de composition auteur ; dimensions réelles à documenter</x:v>
      </x:c>
      <x:c r="I3754" s="115" t="str">
        <x:v>À équilibrer</x:v>
      </x:c>
      <x:c r="J3754" s="115" t="str">
        <x:v>Non</x:v>
      </x:c>
      <x:c r="K3754" s="115" t="str">
        <x:v>Pièces décrites, murs, portes, niveaux et mobilier inspectables à l’échelle. Volumes réservés, raccord au seed, butin, rencontres et services de campagne restent à terminer.</x:v>
      </x:c>
    </x:row>
    <x:row r="3755" ht="96" customHeight="1">
      <x:c r="A3755" s="115" t="str">
        <x:v>EXT-MONDE-T075-V50</x:v>
      </x:c>
      <x:c r="B3755" s="115" t="str">
        <x:v>EXT-MONDE-T075</x:v>
      </x:c>
      <x:c r="C3755" s="115" t="str">
        <x:v>Ferroviaire</x:v>
      </x:c>
      <x:c r="D3755" s="115" t="str">
        <x:v>Gare de triage</x:v>
      </x:c>
      <x:c r="E3755" s="115" t="n">
        <x:v>50</x:v>
      </x:c>
      <x:c r="F3755" s="115" t="str">
        <x:v>Inspection physique</x:v>
      </x:c>
      <x:c r="G3755" s="115" t="str">
        <x:v>1 niveaux ; 36 pièces ; 265 segments de mur ; 0 transitions. Inspection physique ; architecture complète encore ouverte.</x:v>
      </x:c>
      <x:c r="H3755" s="115" t="str">
        <x:v>L 800 ; l 3300 ; hauteur 7,8 m ; choix de composition auteur ; dimensions réelles à documenter</x:v>
      </x:c>
      <x:c r="I3755" s="115" t="str">
        <x:v>À équilibrer</x:v>
      </x:c>
      <x:c r="J3755" s="115" t="str">
        <x:v>Non</x:v>
      </x:c>
      <x:c r="K3755" s="115" t="str">
        <x:v>Pièces décrites, murs, portes, niveaux et mobilier inspectables à l’échelle. Volumes réservés, raccord au seed, butin, rencontres et services de campagne restent à terminer.</x:v>
      </x:c>
    </x:row>
    <x:row r="3756" ht="96" customHeight="1">
      <x:c r="A3756" s="115" t="str">
        <x:v>EXT-MONDE-T076-V01</x:v>
      </x:c>
      <x:c r="B3756" s="115" t="str">
        <x:v>EXT-MONDE-T076</x:v>
      </x:c>
      <x:c r="C3756" s="115" t="str">
        <x:v>Ferroviaire</x:v>
      </x:c>
      <x:c r="D3756" s="115" t="str">
        <x:v>Dépôt ferroviaire</x:v>
      </x:c>
      <x:c r="E3756" s="115" t="n">
        <x:v>1</x:v>
      </x:c>
      <x:c r="F3756" s="115" t="str">
        <x:v>Inspection physique</x:v>
      </x:c>
      <x:c r="G3756" s="115" t="str">
        <x:v>1 niveaux ; 36 pièces ; 265 segments de mur ; 0 transitions. Inspection physique ; architecture complète encore ouverte.</x:v>
      </x:c>
      <x:c r="H3756" s="115" t="str">
        <x:v>L 800 ; l 2100 ; hauteur 7 m ; choix de composition auteur ; dimensions réelles à documenter</x:v>
      </x:c>
      <x:c r="I3756" s="115" t="str">
        <x:v>À équilibrer</x:v>
      </x:c>
      <x:c r="J3756" s="115" t="str">
        <x:v>Non</x:v>
      </x:c>
      <x:c r="K3756" s="115" t="str">
        <x:v>Pièces décrites, murs, portes, niveaux et mobilier inspectables à l’échelle. Volumes réservés, raccord au seed, butin, rencontres et services de campagne restent à terminer.</x:v>
      </x:c>
    </x:row>
    <x:row r="3757" ht="96" customHeight="1">
      <x:c r="A3757" s="115" t="str">
        <x:v>EXT-MONDE-T076-V02</x:v>
      </x:c>
      <x:c r="B3757" s="115" t="str">
        <x:v>EXT-MONDE-T076</x:v>
      </x:c>
      <x:c r="C3757" s="115" t="str">
        <x:v>Ferroviaire</x:v>
      </x:c>
      <x:c r="D3757" s="115" t="str">
        <x:v>Dépôt ferroviaire</x:v>
      </x:c>
      <x:c r="E3757" s="115" t="n">
        <x:v>2</x:v>
      </x:c>
      <x:c r="F3757" s="115" t="str">
        <x:v>Inspection physique</x:v>
      </x:c>
      <x:c r="G3757" s="115" t="str">
        <x:v>1 niveaux ; 36 pièces ; 265 segments de mur ; 0 transitions. Inspection physique ; architecture complète encore ouverte.</x:v>
      </x:c>
      <x:c r="H3757" s="115" t="str">
        <x:v>L 800 ; l 2100 ; hauteur 7 m ; choix de composition auteur ; dimensions réelles à documenter</x:v>
      </x:c>
      <x:c r="I3757" s="115" t="str">
        <x:v>À équilibrer</x:v>
      </x:c>
      <x:c r="J3757" s="115" t="str">
        <x:v>Non</x:v>
      </x:c>
      <x:c r="K3757" s="115" t="str">
        <x:v>Pièces décrites, murs, portes, niveaux et mobilier inspectables à l’échelle. Volumes réservés, raccord au seed, butin, rencontres et services de campagne restent à terminer.</x:v>
      </x:c>
    </x:row>
    <x:row r="3758" ht="96" customHeight="1">
      <x:c r="A3758" s="115" t="str">
        <x:v>EXT-MONDE-T076-V03</x:v>
      </x:c>
      <x:c r="B3758" s="115" t="str">
        <x:v>EXT-MONDE-T076</x:v>
      </x:c>
      <x:c r="C3758" s="115" t="str">
        <x:v>Ferroviaire</x:v>
      </x:c>
      <x:c r="D3758" s="115" t="str">
        <x:v>Dépôt ferroviaire</x:v>
      </x:c>
      <x:c r="E3758" s="115" t="n">
        <x:v>3</x:v>
      </x:c>
      <x:c r="F3758" s="115" t="str">
        <x:v>Inspection physique</x:v>
      </x:c>
      <x:c r="G3758" s="115" t="str">
        <x:v>1 niveaux ; 36 pièces ; 265 segments de mur ; 0 transitions. Inspection physique ; architecture complète encore ouverte.</x:v>
      </x:c>
      <x:c r="H3758" s="115" t="str">
        <x:v>L 800 ; l 2100 ; hauteur 7 m ; choix de composition auteur ; dimensions réelles à documenter</x:v>
      </x:c>
      <x:c r="I3758" s="115" t="str">
        <x:v>À équilibrer</x:v>
      </x:c>
      <x:c r="J3758" s="115" t="str">
        <x:v>Non</x:v>
      </x:c>
      <x:c r="K3758" s="115" t="str">
        <x:v>Pièces décrites, murs, portes, niveaux et mobilier inspectables à l’échelle. Volumes réservés, raccord au seed, butin, rencontres et services de campagne restent à terminer.</x:v>
      </x:c>
    </x:row>
    <x:row r="3759" ht="96" customHeight="1">
      <x:c r="A3759" s="115" t="str">
        <x:v>EXT-MONDE-T076-V04</x:v>
      </x:c>
      <x:c r="B3759" s="115" t="str">
        <x:v>EXT-MONDE-T076</x:v>
      </x:c>
      <x:c r="C3759" s="115" t="str">
        <x:v>Ferroviaire</x:v>
      </x:c>
      <x:c r="D3759" s="115" t="str">
        <x:v>Dépôt ferroviaire</x:v>
      </x:c>
      <x:c r="E3759" s="115" t="n">
        <x:v>4</x:v>
      </x:c>
      <x:c r="F3759" s="115" t="str">
        <x:v>Inspection physique</x:v>
      </x:c>
      <x:c r="G3759" s="115" t="str">
        <x:v>1 niveaux ; 36 pièces ; 265 segments de mur ; 0 transitions. Inspection physique ; architecture complète encore ouverte.</x:v>
      </x:c>
      <x:c r="H3759" s="115" t="str">
        <x:v>L 800 ; l 2100 ; hauteur 7 m ; choix de composition auteur ; dimensions réelles à documenter</x:v>
      </x:c>
      <x:c r="I3759" s="115" t="str">
        <x:v>À équilibrer</x:v>
      </x:c>
      <x:c r="J3759" s="115" t="str">
        <x:v>Non</x:v>
      </x:c>
      <x:c r="K3759" s="115" t="str">
        <x:v>Pièces décrites, murs, portes, niveaux et mobilier inspectables à l’échelle. Volumes réservés, raccord au seed, butin, rencontres et services de campagne restent à terminer.</x:v>
      </x:c>
    </x:row>
    <x:row r="3760" ht="96" customHeight="1">
      <x:c r="A3760" s="115" t="str">
        <x:v>EXT-MONDE-T076-V05</x:v>
      </x:c>
      <x:c r="B3760" s="115" t="str">
        <x:v>EXT-MONDE-T076</x:v>
      </x:c>
      <x:c r="C3760" s="115" t="str">
        <x:v>Ferroviaire</x:v>
      </x:c>
      <x:c r="D3760" s="115" t="str">
        <x:v>Dépôt ferroviaire</x:v>
      </x:c>
      <x:c r="E3760" s="115" t="n">
        <x:v>5</x:v>
      </x:c>
      <x:c r="F3760" s="115" t="str">
        <x:v>Inspection physique</x:v>
      </x:c>
      <x:c r="G3760" s="115" t="str">
        <x:v>1 niveaux ; 36 pièces ; 265 segments de mur ; 0 transitions. Inspection physique ; architecture complète encore ouverte.</x:v>
      </x:c>
      <x:c r="H3760" s="115" t="str">
        <x:v>L 800 ; l 2100 ; hauteur 7 m ; choix de composition auteur ; dimensions réelles à documenter</x:v>
      </x:c>
      <x:c r="I3760" s="115" t="str">
        <x:v>À équilibrer</x:v>
      </x:c>
      <x:c r="J3760" s="115" t="str">
        <x:v>Non</x:v>
      </x:c>
      <x:c r="K3760" s="115" t="str">
        <x:v>Pièces décrites, murs, portes, niveaux et mobilier inspectables à l’échelle. Volumes réservés, raccord au seed, butin, rencontres et services de campagne restent à terminer.</x:v>
      </x:c>
    </x:row>
    <x:row r="3761" ht="96" customHeight="1">
      <x:c r="A3761" s="115" t="str">
        <x:v>EXT-MONDE-T076-V06</x:v>
      </x:c>
      <x:c r="B3761" s="115" t="str">
        <x:v>EXT-MONDE-T076</x:v>
      </x:c>
      <x:c r="C3761" s="115" t="str">
        <x:v>Ferroviaire</x:v>
      </x:c>
      <x:c r="D3761" s="115" t="str">
        <x:v>Dépôt ferroviaire</x:v>
      </x:c>
      <x:c r="E3761" s="115" t="n">
        <x:v>6</x:v>
      </x:c>
      <x:c r="F3761" s="115" t="str">
        <x:v>Inspection physique</x:v>
      </x:c>
      <x:c r="G3761" s="115" t="str">
        <x:v>1 niveaux ; 36 pièces ; 265 segments de mur ; 0 transitions. Inspection physique ; architecture complète encore ouverte.</x:v>
      </x:c>
      <x:c r="H3761" s="115" t="str">
        <x:v>L 800 ; l 2100 ; hauteur 7 m ; choix de composition auteur ; dimensions réelles à documenter</x:v>
      </x:c>
      <x:c r="I3761" s="115" t="str">
        <x:v>À équilibrer</x:v>
      </x:c>
      <x:c r="J3761" s="115" t="str">
        <x:v>Non</x:v>
      </x:c>
      <x:c r="K3761" s="115" t="str">
        <x:v>Pièces décrites, murs, portes, niveaux et mobilier inspectables à l’échelle. Volumes réservés, raccord au seed, butin, rencontres et services de campagne restent à terminer.</x:v>
      </x:c>
    </x:row>
    <x:row r="3762" ht="96" customHeight="1">
      <x:c r="A3762" s="115" t="str">
        <x:v>EXT-MONDE-T076-V07</x:v>
      </x:c>
      <x:c r="B3762" s="115" t="str">
        <x:v>EXT-MONDE-T076</x:v>
      </x:c>
      <x:c r="C3762" s="115" t="str">
        <x:v>Ferroviaire</x:v>
      </x:c>
      <x:c r="D3762" s="115" t="str">
        <x:v>Dépôt ferroviaire</x:v>
      </x:c>
      <x:c r="E3762" s="115" t="n">
        <x:v>7</x:v>
      </x:c>
      <x:c r="F3762" s="115" t="str">
        <x:v>Inspection physique</x:v>
      </x:c>
      <x:c r="G3762" s="115" t="str">
        <x:v>1 niveaux ; 36 pièces ; 265 segments de mur ; 0 transitions. Inspection physique ; architecture complète encore ouverte.</x:v>
      </x:c>
      <x:c r="H3762" s="115" t="str">
        <x:v>L 800 ; l 2100 ; hauteur 7 m ; choix de composition auteur ; dimensions réelles à documenter</x:v>
      </x:c>
      <x:c r="I3762" s="115" t="str">
        <x:v>À équilibrer</x:v>
      </x:c>
      <x:c r="J3762" s="115" t="str">
        <x:v>Non</x:v>
      </x:c>
      <x:c r="K3762" s="115" t="str">
        <x:v>Pièces décrites, murs, portes, niveaux et mobilier inspectables à l’échelle. Volumes réservés, raccord au seed, butin, rencontres et services de campagne restent à terminer.</x:v>
      </x:c>
    </x:row>
    <x:row r="3763" ht="96" customHeight="1">
      <x:c r="A3763" s="115" t="str">
        <x:v>EXT-MONDE-T076-V08</x:v>
      </x:c>
      <x:c r="B3763" s="115" t="str">
        <x:v>EXT-MONDE-T076</x:v>
      </x:c>
      <x:c r="C3763" s="115" t="str">
        <x:v>Ferroviaire</x:v>
      </x:c>
      <x:c r="D3763" s="115" t="str">
        <x:v>Dépôt ferroviaire</x:v>
      </x:c>
      <x:c r="E3763" s="115" t="n">
        <x:v>8</x:v>
      </x:c>
      <x:c r="F3763" s="115" t="str">
        <x:v>Inspection physique</x:v>
      </x:c>
      <x:c r="G3763" s="115" t="str">
        <x:v>1 niveaux ; 36 pièces ; 265 segments de mur ; 0 transitions. Inspection physique ; architecture complète encore ouverte.</x:v>
      </x:c>
      <x:c r="H3763" s="115" t="str">
        <x:v>L 800 ; l 2100 ; hauteur 7 m ; choix de composition auteur ; dimensions réelles à documenter</x:v>
      </x:c>
      <x:c r="I3763" s="115" t="str">
        <x:v>À équilibrer</x:v>
      </x:c>
      <x:c r="J3763" s="115" t="str">
        <x:v>Non</x:v>
      </x:c>
      <x:c r="K3763" s="115" t="str">
        <x:v>Pièces décrites, murs, portes, niveaux et mobilier inspectables à l’échelle. Volumes réservés, raccord au seed, butin, rencontres et services de campagne restent à terminer.</x:v>
      </x:c>
    </x:row>
    <x:row r="3764" ht="96" customHeight="1">
      <x:c r="A3764" s="115" t="str">
        <x:v>EXT-MONDE-T076-V09</x:v>
      </x:c>
      <x:c r="B3764" s="115" t="str">
        <x:v>EXT-MONDE-T076</x:v>
      </x:c>
      <x:c r="C3764" s="115" t="str">
        <x:v>Ferroviaire</x:v>
      </x:c>
      <x:c r="D3764" s="115" t="str">
        <x:v>Dépôt ferroviaire</x:v>
      </x:c>
      <x:c r="E3764" s="115" t="n">
        <x:v>9</x:v>
      </x:c>
      <x:c r="F3764" s="115" t="str">
        <x:v>Inspection physique</x:v>
      </x:c>
      <x:c r="G3764" s="115" t="str">
        <x:v>1 niveaux ; 36 pièces ; 265 segments de mur ; 0 transitions. Inspection physique ; architecture complète encore ouverte.</x:v>
      </x:c>
      <x:c r="H3764" s="115" t="str">
        <x:v>L 800 ; l 2100 ; hauteur 7 m ; choix de composition auteur ; dimensions réelles à documenter</x:v>
      </x:c>
      <x:c r="I3764" s="115" t="str">
        <x:v>À équilibrer</x:v>
      </x:c>
      <x:c r="J3764" s="115" t="str">
        <x:v>Non</x:v>
      </x:c>
      <x:c r="K3764" s="115" t="str">
        <x:v>Pièces décrites, murs, portes, niveaux et mobilier inspectables à l’échelle. Volumes réservés, raccord au seed, butin, rencontres et services de campagne restent à terminer.</x:v>
      </x:c>
    </x:row>
    <x:row r="3765" ht="96" customHeight="1">
      <x:c r="A3765" s="115" t="str">
        <x:v>EXT-MONDE-T076-V10</x:v>
      </x:c>
      <x:c r="B3765" s="115" t="str">
        <x:v>EXT-MONDE-T076</x:v>
      </x:c>
      <x:c r="C3765" s="115" t="str">
        <x:v>Ferroviaire</x:v>
      </x:c>
      <x:c r="D3765" s="115" t="str">
        <x:v>Dépôt ferroviaire</x:v>
      </x:c>
      <x:c r="E3765" s="115" t="n">
        <x:v>10</x:v>
      </x:c>
      <x:c r="F3765" s="115" t="str">
        <x:v>Inspection physique</x:v>
      </x:c>
      <x:c r="G3765" s="115" t="str">
        <x:v>1 niveaux ; 36 pièces ; 265 segments de mur ; 0 transitions. Inspection physique ; architecture complète encore ouverte.</x:v>
      </x:c>
      <x:c r="H3765" s="115" t="str">
        <x:v>L 800 ; l 2100 ; hauteur 7 m ; choix de composition auteur ; dimensions réelles à documenter</x:v>
      </x:c>
      <x:c r="I3765" s="115" t="str">
        <x:v>À équilibrer</x:v>
      </x:c>
      <x:c r="J3765" s="115" t="str">
        <x:v>Non</x:v>
      </x:c>
      <x:c r="K3765" s="115" t="str">
        <x:v>Pièces décrites, murs, portes, niveaux et mobilier inspectables à l’échelle. Volumes réservés, raccord au seed, butin, rencontres et services de campagne restent à terminer.</x:v>
      </x:c>
    </x:row>
    <x:row r="3766" ht="96" customHeight="1">
      <x:c r="A3766" s="115" t="str">
        <x:v>EXT-MONDE-T076-V11</x:v>
      </x:c>
      <x:c r="B3766" s="115" t="str">
        <x:v>EXT-MONDE-T076</x:v>
      </x:c>
      <x:c r="C3766" s="115" t="str">
        <x:v>Ferroviaire</x:v>
      </x:c>
      <x:c r="D3766" s="115" t="str">
        <x:v>Dépôt ferroviaire</x:v>
      </x:c>
      <x:c r="E3766" s="115" t="n">
        <x:v>11</x:v>
      </x:c>
      <x:c r="F3766" s="115" t="str">
        <x:v>Inspection physique</x:v>
      </x:c>
      <x:c r="G3766" s="115" t="str">
        <x:v>1 niveaux ; 36 pièces ; 265 segments de mur ; 0 transitions. Inspection physique ; architecture complète encore ouverte.</x:v>
      </x:c>
      <x:c r="H3766" s="115" t="str">
        <x:v>L 800 ; l 2260 ; hauteur 7,2 m ; choix de composition auteur ; dimensions réelles à documenter</x:v>
      </x:c>
      <x:c r="I3766" s="115" t="str">
        <x:v>À équilibrer</x:v>
      </x:c>
      <x:c r="J3766" s="115" t="str">
        <x:v>Non</x:v>
      </x:c>
      <x:c r="K3766" s="115" t="str">
        <x:v>Pièces décrites, murs, portes, niveaux et mobilier inspectables à l’échelle. Volumes réservés, raccord au seed, butin, rencontres et services de campagne restent à terminer.</x:v>
      </x:c>
    </x:row>
    <x:row r="3767" ht="96" customHeight="1">
      <x:c r="A3767" s="115" t="str">
        <x:v>EXT-MONDE-T076-V12</x:v>
      </x:c>
      <x:c r="B3767" s="115" t="str">
        <x:v>EXT-MONDE-T076</x:v>
      </x:c>
      <x:c r="C3767" s="115" t="str">
        <x:v>Ferroviaire</x:v>
      </x:c>
      <x:c r="D3767" s="115" t="str">
        <x:v>Dépôt ferroviaire</x:v>
      </x:c>
      <x:c r="E3767" s="115" t="n">
        <x:v>12</x:v>
      </x:c>
      <x:c r="F3767" s="115" t="str">
        <x:v>Inspection physique</x:v>
      </x:c>
      <x:c r="G3767" s="115" t="str">
        <x:v>1 niveaux ; 36 pièces ; 265 segments de mur ; 0 transitions. Inspection physique ; architecture complète encore ouverte.</x:v>
      </x:c>
      <x:c r="H3767" s="115" t="str">
        <x:v>L 800 ; l 2260 ; hauteur 7,2 m ; choix de composition auteur ; dimensions réelles à documenter</x:v>
      </x:c>
      <x:c r="I3767" s="115" t="str">
        <x:v>À équilibrer</x:v>
      </x:c>
      <x:c r="J3767" s="115" t="str">
        <x:v>Non</x:v>
      </x:c>
      <x:c r="K3767" s="115" t="str">
        <x:v>Pièces décrites, murs, portes, niveaux et mobilier inspectables à l’échelle. Volumes réservés, raccord au seed, butin, rencontres et services de campagne restent à terminer.</x:v>
      </x:c>
    </x:row>
    <x:row r="3768" ht="96" customHeight="1">
      <x:c r="A3768" s="115" t="str">
        <x:v>EXT-MONDE-T076-V13</x:v>
      </x:c>
      <x:c r="B3768" s="115" t="str">
        <x:v>EXT-MONDE-T076</x:v>
      </x:c>
      <x:c r="C3768" s="115" t="str">
        <x:v>Ferroviaire</x:v>
      </x:c>
      <x:c r="D3768" s="115" t="str">
        <x:v>Dépôt ferroviaire</x:v>
      </x:c>
      <x:c r="E3768" s="115" t="n">
        <x:v>13</x:v>
      </x:c>
      <x:c r="F3768" s="115" t="str">
        <x:v>Inspection physique</x:v>
      </x:c>
      <x:c r="G3768" s="115" t="str">
        <x:v>1 niveaux ; 36 pièces ; 265 segments de mur ; 0 transitions. Inspection physique ; architecture complète encore ouverte.</x:v>
      </x:c>
      <x:c r="H3768" s="115" t="str">
        <x:v>L 800 ; l 2260 ; hauteur 7,2 m ; choix de composition auteur ; dimensions réelles à documenter</x:v>
      </x:c>
      <x:c r="I3768" s="115" t="str">
        <x:v>À équilibrer</x:v>
      </x:c>
      <x:c r="J3768" s="115" t="str">
        <x:v>Non</x:v>
      </x:c>
      <x:c r="K3768" s="115" t="str">
        <x:v>Pièces décrites, murs, portes, niveaux et mobilier inspectables à l’échelle. Volumes réservés, raccord au seed, butin, rencontres et services de campagne restent à terminer.</x:v>
      </x:c>
    </x:row>
    <x:row r="3769" ht="96" customHeight="1">
      <x:c r="A3769" s="115" t="str">
        <x:v>EXT-MONDE-T076-V14</x:v>
      </x:c>
      <x:c r="B3769" s="115" t="str">
        <x:v>EXT-MONDE-T076</x:v>
      </x:c>
      <x:c r="C3769" s="115" t="str">
        <x:v>Ferroviaire</x:v>
      </x:c>
      <x:c r="D3769" s="115" t="str">
        <x:v>Dépôt ferroviaire</x:v>
      </x:c>
      <x:c r="E3769" s="115" t="n">
        <x:v>14</x:v>
      </x:c>
      <x:c r="F3769" s="115" t="str">
        <x:v>Inspection physique</x:v>
      </x:c>
      <x:c r="G3769" s="115" t="str">
        <x:v>1 niveaux ; 36 pièces ; 265 segments de mur ; 0 transitions. Inspection physique ; architecture complète encore ouverte.</x:v>
      </x:c>
      <x:c r="H3769" s="115" t="str">
        <x:v>L 800 ; l 2260 ; hauteur 7,2 m ; choix de composition auteur ; dimensions réelles à documenter</x:v>
      </x:c>
      <x:c r="I3769" s="115" t="str">
        <x:v>À équilibrer</x:v>
      </x:c>
      <x:c r="J3769" s="115" t="str">
        <x:v>Non</x:v>
      </x:c>
      <x:c r="K3769" s="115" t="str">
        <x:v>Pièces décrites, murs, portes, niveaux et mobilier inspectables à l’échelle. Volumes réservés, raccord au seed, butin, rencontres et services de campagne restent à terminer.</x:v>
      </x:c>
    </x:row>
    <x:row r="3770" ht="96" customHeight="1">
      <x:c r="A3770" s="115" t="str">
        <x:v>EXT-MONDE-T076-V15</x:v>
      </x:c>
      <x:c r="B3770" s="115" t="str">
        <x:v>EXT-MONDE-T076</x:v>
      </x:c>
      <x:c r="C3770" s="115" t="str">
        <x:v>Ferroviaire</x:v>
      </x:c>
      <x:c r="D3770" s="115" t="str">
        <x:v>Dépôt ferroviaire</x:v>
      </x:c>
      <x:c r="E3770" s="115" t="n">
        <x:v>15</x:v>
      </x:c>
      <x:c r="F3770" s="115" t="str">
        <x:v>Inspection physique</x:v>
      </x:c>
      <x:c r="G3770" s="115" t="str">
        <x:v>1 niveaux ; 36 pièces ; 265 segments de mur ; 0 transitions. Inspection physique ; architecture complète encore ouverte.</x:v>
      </x:c>
      <x:c r="H3770" s="115" t="str">
        <x:v>L 800 ; l 2260 ; hauteur 7,2 m ; choix de composition auteur ; dimensions réelles à documenter</x:v>
      </x:c>
      <x:c r="I3770" s="115" t="str">
        <x:v>À équilibrer</x:v>
      </x:c>
      <x:c r="J3770" s="115" t="str">
        <x:v>Non</x:v>
      </x:c>
      <x:c r="K3770" s="115" t="str">
        <x:v>Pièces décrites, murs, portes, niveaux et mobilier inspectables à l’échelle. Volumes réservés, raccord au seed, butin, rencontres et services de campagne restent à terminer.</x:v>
      </x:c>
    </x:row>
    <x:row r="3771" ht="96" customHeight="1">
      <x:c r="A3771" s="115" t="str">
        <x:v>EXT-MONDE-T076-V16</x:v>
      </x:c>
      <x:c r="B3771" s="115" t="str">
        <x:v>EXT-MONDE-T076</x:v>
      </x:c>
      <x:c r="C3771" s="115" t="str">
        <x:v>Ferroviaire</x:v>
      </x:c>
      <x:c r="D3771" s="115" t="str">
        <x:v>Dépôt ferroviaire</x:v>
      </x:c>
      <x:c r="E3771" s="115" t="n">
        <x:v>16</x:v>
      </x:c>
      <x:c r="F3771" s="115" t="str">
        <x:v>Inspection physique</x:v>
      </x:c>
      <x:c r="G3771" s="115" t="str">
        <x:v>1 niveaux ; 36 pièces ; 265 segments de mur ; 0 transitions. Inspection physique ; architecture complète encore ouverte.</x:v>
      </x:c>
      <x:c r="H3771" s="115" t="str">
        <x:v>L 800 ; l 2260 ; hauteur 7,2 m ; choix de composition auteur ; dimensions réelles à documenter</x:v>
      </x:c>
      <x:c r="I3771" s="115" t="str">
        <x:v>À équilibrer</x:v>
      </x:c>
      <x:c r="J3771" s="115" t="str">
        <x:v>Non</x:v>
      </x:c>
      <x:c r="K3771" s="115" t="str">
        <x:v>Pièces décrites, murs, portes, niveaux et mobilier inspectables à l’échelle. Volumes réservés, raccord au seed, butin, rencontres et services de campagne restent à terminer.</x:v>
      </x:c>
    </x:row>
    <x:row r="3772" ht="96" customHeight="1">
      <x:c r="A3772" s="115" t="str">
        <x:v>EXT-MONDE-T076-V17</x:v>
      </x:c>
      <x:c r="B3772" s="115" t="str">
        <x:v>EXT-MONDE-T076</x:v>
      </x:c>
      <x:c r="C3772" s="115" t="str">
        <x:v>Ferroviaire</x:v>
      </x:c>
      <x:c r="D3772" s="115" t="str">
        <x:v>Dépôt ferroviaire</x:v>
      </x:c>
      <x:c r="E3772" s="115" t="n">
        <x:v>17</x:v>
      </x:c>
      <x:c r="F3772" s="115" t="str">
        <x:v>Inspection physique</x:v>
      </x:c>
      <x:c r="G3772" s="115" t="str">
        <x:v>1 niveaux ; 36 pièces ; 265 segments de mur ; 0 transitions. Inspection physique ; architecture complète encore ouverte.</x:v>
      </x:c>
      <x:c r="H3772" s="115" t="str">
        <x:v>L 800 ; l 2260 ; hauteur 7,2 m ; choix de composition auteur ; dimensions réelles à documenter</x:v>
      </x:c>
      <x:c r="I3772" s="115" t="str">
        <x:v>À équilibrer</x:v>
      </x:c>
      <x:c r="J3772" s="115" t="str">
        <x:v>Non</x:v>
      </x:c>
      <x:c r="K3772" s="115" t="str">
        <x:v>Pièces décrites, murs, portes, niveaux et mobilier inspectables à l’échelle. Volumes réservés, raccord au seed, butin, rencontres et services de campagne restent à terminer.</x:v>
      </x:c>
    </x:row>
    <x:row r="3773" ht="96" customHeight="1">
      <x:c r="A3773" s="115" t="str">
        <x:v>EXT-MONDE-T076-V18</x:v>
      </x:c>
      <x:c r="B3773" s="115" t="str">
        <x:v>EXT-MONDE-T076</x:v>
      </x:c>
      <x:c r="C3773" s="115" t="str">
        <x:v>Ferroviaire</x:v>
      </x:c>
      <x:c r="D3773" s="115" t="str">
        <x:v>Dépôt ferroviaire</x:v>
      </x:c>
      <x:c r="E3773" s="115" t="n">
        <x:v>18</x:v>
      </x:c>
      <x:c r="F3773" s="115" t="str">
        <x:v>Inspection physique</x:v>
      </x:c>
      <x:c r="G3773" s="115" t="str">
        <x:v>1 niveaux ; 36 pièces ; 265 segments de mur ; 0 transitions. Inspection physique ; architecture complète encore ouverte.</x:v>
      </x:c>
      <x:c r="H3773" s="115" t="str">
        <x:v>L 800 ; l 2260 ; hauteur 7,2 m ; choix de composition auteur ; dimensions réelles à documenter</x:v>
      </x:c>
      <x:c r="I3773" s="115" t="str">
        <x:v>À équilibrer</x:v>
      </x:c>
      <x:c r="J3773" s="115" t="str">
        <x:v>Non</x:v>
      </x:c>
      <x:c r="K3773" s="115" t="str">
        <x:v>Pièces décrites, murs, portes, niveaux et mobilier inspectables à l’échelle. Volumes réservés, raccord au seed, butin, rencontres et services de campagne restent à terminer.</x:v>
      </x:c>
    </x:row>
    <x:row r="3774" ht="96" customHeight="1">
      <x:c r="A3774" s="115" t="str">
        <x:v>EXT-MONDE-T076-V19</x:v>
      </x:c>
      <x:c r="B3774" s="115" t="str">
        <x:v>EXT-MONDE-T076</x:v>
      </x:c>
      <x:c r="C3774" s="115" t="str">
        <x:v>Ferroviaire</x:v>
      </x:c>
      <x:c r="D3774" s="115" t="str">
        <x:v>Dépôt ferroviaire</x:v>
      </x:c>
      <x:c r="E3774" s="115" t="n">
        <x:v>19</x:v>
      </x:c>
      <x:c r="F3774" s="115" t="str">
        <x:v>Inspection physique</x:v>
      </x:c>
      <x:c r="G3774" s="115" t="str">
        <x:v>1 niveaux ; 36 pièces ; 265 segments de mur ; 0 transitions. Inspection physique ; architecture complète encore ouverte.</x:v>
      </x:c>
      <x:c r="H3774" s="115" t="str">
        <x:v>L 800 ; l 2260 ; hauteur 7,2 m ; choix de composition auteur ; dimensions réelles à documenter</x:v>
      </x:c>
      <x:c r="I3774" s="115" t="str">
        <x:v>À équilibrer</x:v>
      </x:c>
      <x:c r="J3774" s="115" t="str">
        <x:v>Non</x:v>
      </x:c>
      <x:c r="K3774" s="115" t="str">
        <x:v>Pièces décrites, murs, portes, niveaux et mobilier inspectables à l’échelle. Volumes réservés, raccord au seed, butin, rencontres et services de campagne restent à terminer.</x:v>
      </x:c>
    </x:row>
    <x:row r="3775" ht="96" customHeight="1">
      <x:c r="A3775" s="115" t="str">
        <x:v>EXT-MONDE-T076-V20</x:v>
      </x:c>
      <x:c r="B3775" s="115" t="str">
        <x:v>EXT-MONDE-T076</x:v>
      </x:c>
      <x:c r="C3775" s="115" t="str">
        <x:v>Ferroviaire</x:v>
      </x:c>
      <x:c r="D3775" s="115" t="str">
        <x:v>Dépôt ferroviaire</x:v>
      </x:c>
      <x:c r="E3775" s="115" t="n">
        <x:v>20</x:v>
      </x:c>
      <x:c r="F3775" s="115" t="str">
        <x:v>Inspection physique</x:v>
      </x:c>
      <x:c r="G3775" s="115" t="str">
        <x:v>1 niveaux ; 36 pièces ; 265 segments de mur ; 0 transitions. Inspection physique ; architecture complète encore ouverte.</x:v>
      </x:c>
      <x:c r="H3775" s="115" t="str">
        <x:v>L 800 ; l 2260 ; hauteur 7,2 m ; choix de composition auteur ; dimensions réelles à documenter</x:v>
      </x:c>
      <x:c r="I3775" s="115" t="str">
        <x:v>À équilibrer</x:v>
      </x:c>
      <x:c r="J3775" s="115" t="str">
        <x:v>Non</x:v>
      </x:c>
      <x:c r="K3775" s="115" t="str">
        <x:v>Pièces décrites, murs, portes, niveaux et mobilier inspectables à l’échelle. Volumes réservés, raccord au seed, butin, rencontres et services de campagne restent à terminer.</x:v>
      </x:c>
    </x:row>
    <x:row r="3776" ht="96" customHeight="1">
      <x:c r="A3776" s="115" t="str">
        <x:v>EXT-MONDE-T076-V21</x:v>
      </x:c>
      <x:c r="B3776" s="115" t="str">
        <x:v>EXT-MONDE-T076</x:v>
      </x:c>
      <x:c r="C3776" s="115" t="str">
        <x:v>Ferroviaire</x:v>
      </x:c>
      <x:c r="D3776" s="115" t="str">
        <x:v>Dépôt ferroviaire</x:v>
      </x:c>
      <x:c r="E3776" s="115" t="n">
        <x:v>21</x:v>
      </x:c>
      <x:c r="F3776" s="115" t="str">
        <x:v>Inspection physique</x:v>
      </x:c>
      <x:c r="G3776" s="115" t="str">
        <x:v>1 niveaux ; 36 pièces ; 265 segments de mur ; 0 transitions. Inspection physique ; architecture complète encore ouverte.</x:v>
      </x:c>
      <x:c r="H3776" s="115" t="str">
        <x:v>L 800 ; l 2420 ; hauteur 7,4 m ; choix de composition auteur ; dimensions réelles à documenter</x:v>
      </x:c>
      <x:c r="I3776" s="115" t="str">
        <x:v>À équilibrer</x:v>
      </x:c>
      <x:c r="J3776" s="115" t="str">
        <x:v>Non</x:v>
      </x:c>
      <x:c r="K3776" s="115" t="str">
        <x:v>Pièces décrites, murs, portes, niveaux et mobilier inspectables à l’échelle. Volumes réservés, raccord au seed, butin, rencontres et services de campagne restent à terminer.</x:v>
      </x:c>
    </x:row>
    <x:row r="3777" ht="96" customHeight="1">
      <x:c r="A3777" s="115" t="str">
        <x:v>EXT-MONDE-T076-V22</x:v>
      </x:c>
      <x:c r="B3777" s="115" t="str">
        <x:v>EXT-MONDE-T076</x:v>
      </x:c>
      <x:c r="C3777" s="115" t="str">
        <x:v>Ferroviaire</x:v>
      </x:c>
      <x:c r="D3777" s="115" t="str">
        <x:v>Dépôt ferroviaire</x:v>
      </x:c>
      <x:c r="E3777" s="115" t="n">
        <x:v>22</x:v>
      </x:c>
      <x:c r="F3777" s="115" t="str">
        <x:v>Inspection physique</x:v>
      </x:c>
      <x:c r="G3777" s="115" t="str">
        <x:v>1 niveaux ; 36 pièces ; 265 segments de mur ; 0 transitions. Inspection physique ; architecture complète encore ouverte.</x:v>
      </x:c>
      <x:c r="H3777" s="115" t="str">
        <x:v>L 800 ; l 2420 ; hauteur 7,4 m ; choix de composition auteur ; dimensions réelles à documenter</x:v>
      </x:c>
      <x:c r="I3777" s="115" t="str">
        <x:v>À équilibrer</x:v>
      </x:c>
      <x:c r="J3777" s="115" t="str">
        <x:v>Non</x:v>
      </x:c>
      <x:c r="K3777" s="115" t="str">
        <x:v>Pièces décrites, murs, portes, niveaux et mobilier inspectables à l’échelle. Volumes réservés, raccord au seed, butin, rencontres et services de campagne restent à terminer.</x:v>
      </x:c>
    </x:row>
    <x:row r="3778" ht="96" customHeight="1">
      <x:c r="A3778" s="115" t="str">
        <x:v>EXT-MONDE-T076-V23</x:v>
      </x:c>
      <x:c r="B3778" s="115" t="str">
        <x:v>EXT-MONDE-T076</x:v>
      </x:c>
      <x:c r="C3778" s="115" t="str">
        <x:v>Ferroviaire</x:v>
      </x:c>
      <x:c r="D3778" s="115" t="str">
        <x:v>Dépôt ferroviaire</x:v>
      </x:c>
      <x:c r="E3778" s="115" t="n">
        <x:v>23</x:v>
      </x:c>
      <x:c r="F3778" s="115" t="str">
        <x:v>Inspection physique</x:v>
      </x:c>
      <x:c r="G3778" s="115" t="str">
        <x:v>1 niveaux ; 36 pièces ; 265 segments de mur ; 0 transitions. Inspection physique ; architecture complète encore ouverte.</x:v>
      </x:c>
      <x:c r="H3778" s="115" t="str">
        <x:v>L 800 ; l 2420 ; hauteur 7,4 m ; choix de composition auteur ; dimensions réelles à documenter</x:v>
      </x:c>
      <x:c r="I3778" s="115" t="str">
        <x:v>À équilibrer</x:v>
      </x:c>
      <x:c r="J3778" s="115" t="str">
        <x:v>Non</x:v>
      </x:c>
      <x:c r="K3778" s="115" t="str">
        <x:v>Pièces décrites, murs, portes, niveaux et mobilier inspectables à l’échelle. Volumes réservés, raccord au seed, butin, rencontres et services de campagne restent à terminer.</x:v>
      </x:c>
    </x:row>
    <x:row r="3779" ht="96" customHeight="1">
      <x:c r="A3779" s="115" t="str">
        <x:v>EXT-MONDE-T076-V24</x:v>
      </x:c>
      <x:c r="B3779" s="115" t="str">
        <x:v>EXT-MONDE-T076</x:v>
      </x:c>
      <x:c r="C3779" s="115" t="str">
        <x:v>Ferroviaire</x:v>
      </x:c>
      <x:c r="D3779" s="115" t="str">
        <x:v>Dépôt ferroviaire</x:v>
      </x:c>
      <x:c r="E3779" s="115" t="n">
        <x:v>24</x:v>
      </x:c>
      <x:c r="F3779" s="115" t="str">
        <x:v>Inspection physique</x:v>
      </x:c>
      <x:c r="G3779" s="115" t="str">
        <x:v>1 niveaux ; 36 pièces ; 265 segments de mur ; 0 transitions. Inspection physique ; architecture complète encore ouverte.</x:v>
      </x:c>
      <x:c r="H3779" s="115" t="str">
        <x:v>L 800 ; l 2420 ; hauteur 7,4 m ; choix de composition auteur ; dimensions réelles à documenter</x:v>
      </x:c>
      <x:c r="I3779" s="115" t="str">
        <x:v>À équilibrer</x:v>
      </x:c>
      <x:c r="J3779" s="115" t="str">
        <x:v>Non</x:v>
      </x:c>
      <x:c r="K3779" s="115" t="str">
        <x:v>Pièces décrites, murs, portes, niveaux et mobilier inspectables à l’échelle. Volumes réservés, raccord au seed, butin, rencontres et services de campagne restent à terminer.</x:v>
      </x:c>
    </x:row>
    <x:row r="3780" ht="96" customHeight="1">
      <x:c r="A3780" s="115" t="str">
        <x:v>EXT-MONDE-T076-V25</x:v>
      </x:c>
      <x:c r="B3780" s="115" t="str">
        <x:v>EXT-MONDE-T076</x:v>
      </x:c>
      <x:c r="C3780" s="115" t="str">
        <x:v>Ferroviaire</x:v>
      </x:c>
      <x:c r="D3780" s="115" t="str">
        <x:v>Dépôt ferroviaire</x:v>
      </x:c>
      <x:c r="E3780" s="115" t="n">
        <x:v>25</x:v>
      </x:c>
      <x:c r="F3780" s="115" t="str">
        <x:v>Inspection physique</x:v>
      </x:c>
      <x:c r="G3780" s="115" t="str">
        <x:v>1 niveaux ; 36 pièces ; 265 segments de mur ; 0 transitions. Inspection physique ; architecture complète encore ouverte.</x:v>
      </x:c>
      <x:c r="H3780" s="115" t="str">
        <x:v>L 800 ; l 2420 ; hauteur 7,4 m ; choix de composition auteur ; dimensions réelles à documenter</x:v>
      </x:c>
      <x:c r="I3780" s="115" t="str">
        <x:v>À équilibrer</x:v>
      </x:c>
      <x:c r="J3780" s="115" t="str">
        <x:v>Non</x:v>
      </x:c>
      <x:c r="K3780" s="115" t="str">
        <x:v>Pièces décrites, murs, portes, niveaux et mobilier inspectables à l’échelle. Volumes réservés, raccord au seed, butin, rencontres et services de campagne restent à terminer.</x:v>
      </x:c>
    </x:row>
    <x:row r="3781" ht="96" customHeight="1">
      <x:c r="A3781" s="115" t="str">
        <x:v>EXT-MONDE-T076-V26</x:v>
      </x:c>
      <x:c r="B3781" s="115" t="str">
        <x:v>EXT-MONDE-T076</x:v>
      </x:c>
      <x:c r="C3781" s="115" t="str">
        <x:v>Ferroviaire</x:v>
      </x:c>
      <x:c r="D3781" s="115" t="str">
        <x:v>Dépôt ferroviaire</x:v>
      </x:c>
      <x:c r="E3781" s="115" t="n">
        <x:v>26</x:v>
      </x:c>
      <x:c r="F3781" s="115" t="str">
        <x:v>Inspection physique</x:v>
      </x:c>
      <x:c r="G3781" s="115" t="str">
        <x:v>1 niveaux ; 36 pièces ; 265 segments de mur ; 0 transitions. Inspection physique ; architecture complète encore ouverte.</x:v>
      </x:c>
      <x:c r="H3781" s="115" t="str">
        <x:v>L 800 ; l 2420 ; hauteur 7,4 m ; choix de composition auteur ; dimensions réelles à documenter</x:v>
      </x:c>
      <x:c r="I3781" s="115" t="str">
        <x:v>À équilibrer</x:v>
      </x:c>
      <x:c r="J3781" s="115" t="str">
        <x:v>Non</x:v>
      </x:c>
      <x:c r="K3781" s="115" t="str">
        <x:v>Pièces décrites, murs, portes, niveaux et mobilier inspectables à l’échelle. Volumes réservés, raccord au seed, butin, rencontres et services de campagne restent à terminer.</x:v>
      </x:c>
    </x:row>
    <x:row r="3782" ht="96" customHeight="1">
      <x:c r="A3782" s="115" t="str">
        <x:v>EXT-MONDE-T076-V27</x:v>
      </x:c>
      <x:c r="B3782" s="115" t="str">
        <x:v>EXT-MONDE-T076</x:v>
      </x:c>
      <x:c r="C3782" s="115" t="str">
        <x:v>Ferroviaire</x:v>
      </x:c>
      <x:c r="D3782" s="115" t="str">
        <x:v>Dépôt ferroviaire</x:v>
      </x:c>
      <x:c r="E3782" s="115" t="n">
        <x:v>27</x:v>
      </x:c>
      <x:c r="F3782" s="115" t="str">
        <x:v>Inspection physique</x:v>
      </x:c>
      <x:c r="G3782" s="115" t="str">
        <x:v>1 niveaux ; 36 pièces ; 265 segments de mur ; 0 transitions. Inspection physique ; architecture complète encore ouverte.</x:v>
      </x:c>
      <x:c r="H3782" s="115" t="str">
        <x:v>L 800 ; l 2420 ; hauteur 7,4 m ; choix de composition auteur ; dimensions réelles à documenter</x:v>
      </x:c>
      <x:c r="I3782" s="115" t="str">
        <x:v>À équilibrer</x:v>
      </x:c>
      <x:c r="J3782" s="115" t="str">
        <x:v>Non</x:v>
      </x:c>
      <x:c r="K3782" s="115" t="str">
        <x:v>Pièces décrites, murs, portes, niveaux et mobilier inspectables à l’échelle. Volumes réservés, raccord au seed, butin, rencontres et services de campagne restent à terminer.</x:v>
      </x:c>
    </x:row>
    <x:row r="3783" ht="96" customHeight="1">
      <x:c r="A3783" s="115" t="str">
        <x:v>EXT-MONDE-T076-V28</x:v>
      </x:c>
      <x:c r="B3783" s="115" t="str">
        <x:v>EXT-MONDE-T076</x:v>
      </x:c>
      <x:c r="C3783" s="115" t="str">
        <x:v>Ferroviaire</x:v>
      </x:c>
      <x:c r="D3783" s="115" t="str">
        <x:v>Dépôt ferroviaire</x:v>
      </x:c>
      <x:c r="E3783" s="115" t="n">
        <x:v>28</x:v>
      </x:c>
      <x:c r="F3783" s="115" t="str">
        <x:v>Inspection physique</x:v>
      </x:c>
      <x:c r="G3783" s="115" t="str">
        <x:v>1 niveaux ; 36 pièces ; 265 segments de mur ; 0 transitions. Inspection physique ; architecture complète encore ouverte.</x:v>
      </x:c>
      <x:c r="H3783" s="115" t="str">
        <x:v>L 800 ; l 2420 ; hauteur 7,4 m ; choix de composition auteur ; dimensions réelles à documenter</x:v>
      </x:c>
      <x:c r="I3783" s="115" t="str">
        <x:v>À équilibrer</x:v>
      </x:c>
      <x:c r="J3783" s="115" t="str">
        <x:v>Non</x:v>
      </x:c>
      <x:c r="K3783" s="115" t="str">
        <x:v>Pièces décrites, murs, portes, niveaux et mobilier inspectables à l’échelle. Volumes réservés, raccord au seed, butin, rencontres et services de campagne restent à terminer.</x:v>
      </x:c>
    </x:row>
    <x:row r="3784" ht="96" customHeight="1">
      <x:c r="A3784" s="115" t="str">
        <x:v>EXT-MONDE-T076-V29</x:v>
      </x:c>
      <x:c r="B3784" s="115" t="str">
        <x:v>EXT-MONDE-T076</x:v>
      </x:c>
      <x:c r="C3784" s="115" t="str">
        <x:v>Ferroviaire</x:v>
      </x:c>
      <x:c r="D3784" s="115" t="str">
        <x:v>Dépôt ferroviaire</x:v>
      </x:c>
      <x:c r="E3784" s="115" t="n">
        <x:v>29</x:v>
      </x:c>
      <x:c r="F3784" s="115" t="str">
        <x:v>Inspection physique</x:v>
      </x:c>
      <x:c r="G3784" s="115" t="str">
        <x:v>1 niveaux ; 36 pièces ; 265 segments de mur ; 0 transitions. Inspection physique ; architecture complète encore ouverte.</x:v>
      </x:c>
      <x:c r="H3784" s="115" t="str">
        <x:v>L 800 ; l 2420 ; hauteur 7,4 m ; choix de composition auteur ; dimensions réelles à documenter</x:v>
      </x:c>
      <x:c r="I3784" s="115" t="str">
        <x:v>À équilibrer</x:v>
      </x:c>
      <x:c r="J3784" s="115" t="str">
        <x:v>Non</x:v>
      </x:c>
      <x:c r="K3784" s="115" t="str">
        <x:v>Pièces décrites, murs, portes, niveaux et mobilier inspectables à l’échelle. Volumes réservés, raccord au seed, butin, rencontres et services de campagne restent à terminer.</x:v>
      </x:c>
    </x:row>
    <x:row r="3785" ht="96" customHeight="1">
      <x:c r="A3785" s="115" t="str">
        <x:v>EXT-MONDE-T076-V30</x:v>
      </x:c>
      <x:c r="B3785" s="115" t="str">
        <x:v>EXT-MONDE-T076</x:v>
      </x:c>
      <x:c r="C3785" s="115" t="str">
        <x:v>Ferroviaire</x:v>
      </x:c>
      <x:c r="D3785" s="115" t="str">
        <x:v>Dépôt ferroviaire</x:v>
      </x:c>
      <x:c r="E3785" s="115" t="n">
        <x:v>30</x:v>
      </x:c>
      <x:c r="F3785" s="115" t="str">
        <x:v>Inspection physique</x:v>
      </x:c>
      <x:c r="G3785" s="115" t="str">
        <x:v>1 niveaux ; 36 pièces ; 265 segments de mur ; 0 transitions. Inspection physique ; architecture complète encore ouverte.</x:v>
      </x:c>
      <x:c r="H3785" s="115" t="str">
        <x:v>L 800 ; l 2420 ; hauteur 7,4 m ; choix de composition auteur ; dimensions réelles à documenter</x:v>
      </x:c>
      <x:c r="I3785" s="115" t="str">
        <x:v>À équilibrer</x:v>
      </x:c>
      <x:c r="J3785" s="115" t="str">
        <x:v>Non</x:v>
      </x:c>
      <x:c r="K3785" s="115" t="str">
        <x:v>Pièces décrites, murs, portes, niveaux et mobilier inspectables à l’échelle. Volumes réservés, raccord au seed, butin, rencontres et services de campagne restent à terminer.</x:v>
      </x:c>
    </x:row>
    <x:row r="3786" ht="96" customHeight="1">
      <x:c r="A3786" s="115" t="str">
        <x:v>EXT-MONDE-T076-V31</x:v>
      </x:c>
      <x:c r="B3786" s="115" t="str">
        <x:v>EXT-MONDE-T076</x:v>
      </x:c>
      <x:c r="C3786" s="115" t="str">
        <x:v>Ferroviaire</x:v>
      </x:c>
      <x:c r="D3786" s="115" t="str">
        <x:v>Dépôt ferroviaire</x:v>
      </x:c>
      <x:c r="E3786" s="115" t="n">
        <x:v>31</x:v>
      </x:c>
      <x:c r="F3786" s="115" t="str">
        <x:v>Inspection physique</x:v>
      </x:c>
      <x:c r="G3786" s="115" t="str">
        <x:v>1 niveaux ; 36 pièces ; 265 segments de mur ; 0 transitions. Inspection physique ; architecture complète encore ouverte.</x:v>
      </x:c>
      <x:c r="H3786" s="115" t="str">
        <x:v>L 800 ; l 2580 ; hauteur 7,6 m ; choix de composition auteur ; dimensions réelles à documenter</x:v>
      </x:c>
      <x:c r="I3786" s="115" t="str">
        <x:v>À équilibrer</x:v>
      </x:c>
      <x:c r="J3786" s="115" t="str">
        <x:v>Non</x:v>
      </x:c>
      <x:c r="K3786" s="115" t="str">
        <x:v>Pièces décrites, murs, portes, niveaux et mobilier inspectables à l’échelle. Volumes réservés, raccord au seed, butin, rencontres et services de campagne restent à terminer.</x:v>
      </x:c>
    </x:row>
    <x:row r="3787" ht="96" customHeight="1">
      <x:c r="A3787" s="115" t="str">
        <x:v>EXT-MONDE-T076-V32</x:v>
      </x:c>
      <x:c r="B3787" s="115" t="str">
        <x:v>EXT-MONDE-T076</x:v>
      </x:c>
      <x:c r="C3787" s="115" t="str">
        <x:v>Ferroviaire</x:v>
      </x:c>
      <x:c r="D3787" s="115" t="str">
        <x:v>Dépôt ferroviaire</x:v>
      </x:c>
      <x:c r="E3787" s="115" t="n">
        <x:v>32</x:v>
      </x:c>
      <x:c r="F3787" s="115" t="str">
        <x:v>Inspection physique</x:v>
      </x:c>
      <x:c r="G3787" s="115" t="str">
        <x:v>1 niveaux ; 36 pièces ; 265 segments de mur ; 0 transitions. Inspection physique ; architecture complète encore ouverte.</x:v>
      </x:c>
      <x:c r="H3787" s="115" t="str">
        <x:v>L 800 ; l 2580 ; hauteur 7,6 m ; choix de composition auteur ; dimensions réelles à documenter</x:v>
      </x:c>
      <x:c r="I3787" s="115" t="str">
        <x:v>À équilibrer</x:v>
      </x:c>
      <x:c r="J3787" s="115" t="str">
        <x:v>Non</x:v>
      </x:c>
      <x:c r="K3787" s="115" t="str">
        <x:v>Pièces décrites, murs, portes, niveaux et mobilier inspectables à l’échelle. Volumes réservés, raccord au seed, butin, rencontres et services de campagne restent à terminer.</x:v>
      </x:c>
    </x:row>
    <x:row r="3788" ht="96" customHeight="1">
      <x:c r="A3788" s="115" t="str">
        <x:v>EXT-MONDE-T076-V33</x:v>
      </x:c>
      <x:c r="B3788" s="115" t="str">
        <x:v>EXT-MONDE-T076</x:v>
      </x:c>
      <x:c r="C3788" s="115" t="str">
        <x:v>Ferroviaire</x:v>
      </x:c>
      <x:c r="D3788" s="115" t="str">
        <x:v>Dépôt ferroviaire</x:v>
      </x:c>
      <x:c r="E3788" s="115" t="n">
        <x:v>33</x:v>
      </x:c>
      <x:c r="F3788" s="115" t="str">
        <x:v>Inspection physique</x:v>
      </x:c>
      <x:c r="G3788" s="115" t="str">
        <x:v>1 niveaux ; 36 pièces ; 265 segments de mur ; 0 transitions. Inspection physique ; architecture complète encore ouverte.</x:v>
      </x:c>
      <x:c r="H3788" s="115" t="str">
        <x:v>L 800 ; l 2580 ; hauteur 7,6 m ; choix de composition auteur ; dimensions réelles à documenter</x:v>
      </x:c>
      <x:c r="I3788" s="115" t="str">
        <x:v>À équilibrer</x:v>
      </x:c>
      <x:c r="J3788" s="115" t="str">
        <x:v>Non</x:v>
      </x:c>
      <x:c r="K3788" s="115" t="str">
        <x:v>Pièces décrites, murs, portes, niveaux et mobilier inspectables à l’échelle. Volumes réservés, raccord au seed, butin, rencontres et services de campagne restent à terminer.</x:v>
      </x:c>
    </x:row>
    <x:row r="3789" ht="96" customHeight="1">
      <x:c r="A3789" s="115" t="str">
        <x:v>EXT-MONDE-T076-V34</x:v>
      </x:c>
      <x:c r="B3789" s="115" t="str">
        <x:v>EXT-MONDE-T076</x:v>
      </x:c>
      <x:c r="C3789" s="115" t="str">
        <x:v>Ferroviaire</x:v>
      </x:c>
      <x:c r="D3789" s="115" t="str">
        <x:v>Dépôt ferroviaire</x:v>
      </x:c>
      <x:c r="E3789" s="115" t="n">
        <x:v>34</x:v>
      </x:c>
      <x:c r="F3789" s="115" t="str">
        <x:v>Inspection physique</x:v>
      </x:c>
      <x:c r="G3789" s="115" t="str">
        <x:v>1 niveaux ; 36 pièces ; 265 segments de mur ; 0 transitions. Inspection physique ; architecture complète encore ouverte.</x:v>
      </x:c>
      <x:c r="H3789" s="115" t="str">
        <x:v>L 800 ; l 2580 ; hauteur 7,6 m ; choix de composition auteur ; dimensions réelles à documenter</x:v>
      </x:c>
      <x:c r="I3789" s="115" t="str">
        <x:v>À équilibrer</x:v>
      </x:c>
      <x:c r="J3789" s="115" t="str">
        <x:v>Non</x:v>
      </x:c>
      <x:c r="K3789" s="115" t="str">
        <x:v>Pièces décrites, murs, portes, niveaux et mobilier inspectables à l’échelle. Volumes réservés, raccord au seed, butin, rencontres et services de campagne restent à terminer.</x:v>
      </x:c>
    </x:row>
    <x:row r="3790" ht="96" customHeight="1">
      <x:c r="A3790" s="115" t="str">
        <x:v>EXT-MONDE-T076-V35</x:v>
      </x:c>
      <x:c r="B3790" s="115" t="str">
        <x:v>EXT-MONDE-T076</x:v>
      </x:c>
      <x:c r="C3790" s="115" t="str">
        <x:v>Ferroviaire</x:v>
      </x:c>
      <x:c r="D3790" s="115" t="str">
        <x:v>Dépôt ferroviaire</x:v>
      </x:c>
      <x:c r="E3790" s="115" t="n">
        <x:v>35</x:v>
      </x:c>
      <x:c r="F3790" s="115" t="str">
        <x:v>Inspection physique</x:v>
      </x:c>
      <x:c r="G3790" s="115" t="str">
        <x:v>1 niveaux ; 36 pièces ; 265 segments de mur ; 0 transitions. Inspection physique ; architecture complète encore ouverte.</x:v>
      </x:c>
      <x:c r="H3790" s="115" t="str">
        <x:v>L 800 ; l 2580 ; hauteur 7,6 m ; choix de composition auteur ; dimensions réelles à documenter</x:v>
      </x:c>
      <x:c r="I3790" s="115" t="str">
        <x:v>À équilibrer</x:v>
      </x:c>
      <x:c r="J3790" s="115" t="str">
        <x:v>Non</x:v>
      </x:c>
      <x:c r="K3790" s="115" t="str">
        <x:v>Pièces décrites, murs, portes, niveaux et mobilier inspectables à l’échelle. Volumes réservés, raccord au seed, butin, rencontres et services de campagne restent à terminer.</x:v>
      </x:c>
    </x:row>
    <x:row r="3791" ht="96" customHeight="1">
      <x:c r="A3791" s="115" t="str">
        <x:v>EXT-MONDE-T076-V36</x:v>
      </x:c>
      <x:c r="B3791" s="115" t="str">
        <x:v>EXT-MONDE-T076</x:v>
      </x:c>
      <x:c r="C3791" s="115" t="str">
        <x:v>Ferroviaire</x:v>
      </x:c>
      <x:c r="D3791" s="115" t="str">
        <x:v>Dépôt ferroviaire</x:v>
      </x:c>
      <x:c r="E3791" s="115" t="n">
        <x:v>36</x:v>
      </x:c>
      <x:c r="F3791" s="115" t="str">
        <x:v>Inspection physique</x:v>
      </x:c>
      <x:c r="G3791" s="115" t="str">
        <x:v>1 niveaux ; 36 pièces ; 265 segments de mur ; 0 transitions. Inspection physique ; architecture complète encore ouverte.</x:v>
      </x:c>
      <x:c r="H3791" s="115" t="str">
        <x:v>L 800 ; l 2580 ; hauteur 7,6 m ; choix de composition auteur ; dimensions réelles à documenter</x:v>
      </x:c>
      <x:c r="I3791" s="115" t="str">
        <x:v>À équilibrer</x:v>
      </x:c>
      <x:c r="J3791" s="115" t="str">
        <x:v>Non</x:v>
      </x:c>
      <x:c r="K3791" s="115" t="str">
        <x:v>Pièces décrites, murs, portes, niveaux et mobilier inspectables à l’échelle. Volumes réservés, raccord au seed, butin, rencontres et services de campagne restent à terminer.</x:v>
      </x:c>
    </x:row>
    <x:row r="3792" ht="96" customHeight="1">
      <x:c r="A3792" s="115" t="str">
        <x:v>EXT-MONDE-T076-V37</x:v>
      </x:c>
      <x:c r="B3792" s="115" t="str">
        <x:v>EXT-MONDE-T076</x:v>
      </x:c>
      <x:c r="C3792" s="115" t="str">
        <x:v>Ferroviaire</x:v>
      </x:c>
      <x:c r="D3792" s="115" t="str">
        <x:v>Dépôt ferroviaire</x:v>
      </x:c>
      <x:c r="E3792" s="115" t="n">
        <x:v>37</x:v>
      </x:c>
      <x:c r="F3792" s="115" t="str">
        <x:v>Inspection physique</x:v>
      </x:c>
      <x:c r="G3792" s="115" t="str">
        <x:v>1 niveaux ; 36 pièces ; 265 segments de mur ; 0 transitions. Inspection physique ; architecture complète encore ouverte.</x:v>
      </x:c>
      <x:c r="H3792" s="115" t="str">
        <x:v>L 800 ; l 2580 ; hauteur 7,6 m ; choix de composition auteur ; dimensions réelles à documenter</x:v>
      </x:c>
      <x:c r="I3792" s="115" t="str">
        <x:v>À équilibrer</x:v>
      </x:c>
      <x:c r="J3792" s="115" t="str">
        <x:v>Non</x:v>
      </x:c>
      <x:c r="K3792" s="115" t="str">
        <x:v>Pièces décrites, murs, portes, niveaux et mobilier inspectables à l’échelle. Volumes réservés, raccord au seed, butin, rencontres et services de campagne restent à terminer.</x:v>
      </x:c>
    </x:row>
    <x:row r="3793" ht="96" customHeight="1">
      <x:c r="A3793" s="115" t="str">
        <x:v>EXT-MONDE-T076-V38</x:v>
      </x:c>
      <x:c r="B3793" s="115" t="str">
        <x:v>EXT-MONDE-T076</x:v>
      </x:c>
      <x:c r="C3793" s="115" t="str">
        <x:v>Ferroviaire</x:v>
      </x:c>
      <x:c r="D3793" s="115" t="str">
        <x:v>Dépôt ferroviaire</x:v>
      </x:c>
      <x:c r="E3793" s="115" t="n">
        <x:v>38</x:v>
      </x:c>
      <x:c r="F3793" s="115" t="str">
        <x:v>Inspection physique</x:v>
      </x:c>
      <x:c r="G3793" s="115" t="str">
        <x:v>1 niveaux ; 36 pièces ; 265 segments de mur ; 0 transitions. Inspection physique ; architecture complète encore ouverte.</x:v>
      </x:c>
      <x:c r="H3793" s="115" t="str">
        <x:v>L 800 ; l 2580 ; hauteur 7,6 m ; choix de composition auteur ; dimensions réelles à documenter</x:v>
      </x:c>
      <x:c r="I3793" s="115" t="str">
        <x:v>À équilibrer</x:v>
      </x:c>
      <x:c r="J3793" s="115" t="str">
        <x:v>Non</x:v>
      </x:c>
      <x:c r="K3793" s="115" t="str">
        <x:v>Pièces décrites, murs, portes, niveaux et mobilier inspectables à l’échelle. Volumes réservés, raccord au seed, butin, rencontres et services de campagne restent à terminer.</x:v>
      </x:c>
    </x:row>
    <x:row r="3794" ht="96" customHeight="1">
      <x:c r="A3794" s="115" t="str">
        <x:v>EXT-MONDE-T076-V39</x:v>
      </x:c>
      <x:c r="B3794" s="115" t="str">
        <x:v>EXT-MONDE-T076</x:v>
      </x:c>
      <x:c r="C3794" s="115" t="str">
        <x:v>Ferroviaire</x:v>
      </x:c>
      <x:c r="D3794" s="115" t="str">
        <x:v>Dépôt ferroviaire</x:v>
      </x:c>
      <x:c r="E3794" s="115" t="n">
        <x:v>39</x:v>
      </x:c>
      <x:c r="F3794" s="115" t="str">
        <x:v>Inspection physique</x:v>
      </x:c>
      <x:c r="G3794" s="115" t="str">
        <x:v>1 niveaux ; 36 pièces ; 265 segments de mur ; 0 transitions. Inspection physique ; architecture complète encore ouverte.</x:v>
      </x:c>
      <x:c r="H3794" s="115" t="str">
        <x:v>L 800 ; l 2580 ; hauteur 7,6 m ; choix de composition auteur ; dimensions réelles à documenter</x:v>
      </x:c>
      <x:c r="I3794" s="115" t="str">
        <x:v>À équilibrer</x:v>
      </x:c>
      <x:c r="J3794" s="115" t="str">
        <x:v>Non</x:v>
      </x:c>
      <x:c r="K3794" s="115" t="str">
        <x:v>Pièces décrites, murs, portes, niveaux et mobilier inspectables à l’échelle. Volumes réservés, raccord au seed, butin, rencontres et services de campagne restent à terminer.</x:v>
      </x:c>
    </x:row>
    <x:row r="3795" ht="96" customHeight="1">
      <x:c r="A3795" s="115" t="str">
        <x:v>EXT-MONDE-T076-V40</x:v>
      </x:c>
      <x:c r="B3795" s="115" t="str">
        <x:v>EXT-MONDE-T076</x:v>
      </x:c>
      <x:c r="C3795" s="115" t="str">
        <x:v>Ferroviaire</x:v>
      </x:c>
      <x:c r="D3795" s="115" t="str">
        <x:v>Dépôt ferroviaire</x:v>
      </x:c>
      <x:c r="E3795" s="115" t="n">
        <x:v>40</x:v>
      </x:c>
      <x:c r="F3795" s="115" t="str">
        <x:v>Inspection physique</x:v>
      </x:c>
      <x:c r="G3795" s="115" t="str">
        <x:v>1 niveaux ; 36 pièces ; 265 segments de mur ; 0 transitions. Inspection physique ; architecture complète encore ouverte.</x:v>
      </x:c>
      <x:c r="H3795" s="115" t="str">
        <x:v>L 800 ; l 2580 ; hauteur 7,6 m ; choix de composition auteur ; dimensions réelles à documenter</x:v>
      </x:c>
      <x:c r="I3795" s="115" t="str">
        <x:v>À équilibrer</x:v>
      </x:c>
      <x:c r="J3795" s="115" t="str">
        <x:v>Non</x:v>
      </x:c>
      <x:c r="K3795" s="115" t="str">
        <x:v>Pièces décrites, murs, portes, niveaux et mobilier inspectables à l’échelle. Volumes réservés, raccord au seed, butin, rencontres et services de campagne restent à terminer.</x:v>
      </x:c>
    </x:row>
    <x:row r="3796" ht="96" customHeight="1">
      <x:c r="A3796" s="115" t="str">
        <x:v>EXT-MONDE-T076-V41</x:v>
      </x:c>
      <x:c r="B3796" s="115" t="str">
        <x:v>EXT-MONDE-T076</x:v>
      </x:c>
      <x:c r="C3796" s="115" t="str">
        <x:v>Ferroviaire</x:v>
      </x:c>
      <x:c r="D3796" s="115" t="str">
        <x:v>Dépôt ferroviaire</x:v>
      </x:c>
      <x:c r="E3796" s="115" t="n">
        <x:v>41</x:v>
      </x:c>
      <x:c r="F3796" s="115" t="str">
        <x:v>Inspection physique</x:v>
      </x:c>
      <x:c r="G3796" s="115" t="str">
        <x:v>1 niveaux ; 36 pièces ; 265 segments de mur ; 0 transitions. Inspection physique ; architecture complète encore ouverte.</x:v>
      </x:c>
      <x:c r="H3796" s="115" t="str">
        <x:v>L 800 ; l 2740 ; hauteur 7,8 m ; choix de composition auteur ; dimensions réelles à documenter</x:v>
      </x:c>
      <x:c r="I3796" s="115" t="str">
        <x:v>À équilibrer</x:v>
      </x:c>
      <x:c r="J3796" s="115" t="str">
        <x:v>Non</x:v>
      </x:c>
      <x:c r="K3796" s="115" t="str">
        <x:v>Pièces décrites, murs, portes, niveaux et mobilier inspectables à l’échelle. Volumes réservés, raccord au seed, butin, rencontres et services de campagne restent à terminer.</x:v>
      </x:c>
    </x:row>
    <x:row r="3797" ht="96" customHeight="1">
      <x:c r="A3797" s="115" t="str">
        <x:v>EXT-MONDE-T076-V42</x:v>
      </x:c>
      <x:c r="B3797" s="115" t="str">
        <x:v>EXT-MONDE-T076</x:v>
      </x:c>
      <x:c r="C3797" s="115" t="str">
        <x:v>Ferroviaire</x:v>
      </x:c>
      <x:c r="D3797" s="115" t="str">
        <x:v>Dépôt ferroviaire</x:v>
      </x:c>
      <x:c r="E3797" s="115" t="n">
        <x:v>42</x:v>
      </x:c>
      <x:c r="F3797" s="115" t="str">
        <x:v>Inspection physique</x:v>
      </x:c>
      <x:c r="G3797" s="115" t="str">
        <x:v>1 niveaux ; 36 pièces ; 265 segments de mur ; 0 transitions. Inspection physique ; architecture complète encore ouverte.</x:v>
      </x:c>
      <x:c r="H3797" s="115" t="str">
        <x:v>L 800 ; l 2740 ; hauteur 7,8 m ; choix de composition auteur ; dimensions réelles à documenter</x:v>
      </x:c>
      <x:c r="I3797" s="115" t="str">
        <x:v>À équilibrer</x:v>
      </x:c>
      <x:c r="J3797" s="115" t="str">
        <x:v>Non</x:v>
      </x:c>
      <x:c r="K3797" s="115" t="str">
        <x:v>Pièces décrites, murs, portes, niveaux et mobilier inspectables à l’échelle. Volumes réservés, raccord au seed, butin, rencontres et services de campagne restent à terminer.</x:v>
      </x:c>
    </x:row>
    <x:row r="3798" ht="96" customHeight="1">
      <x:c r="A3798" s="115" t="str">
        <x:v>EXT-MONDE-T076-V43</x:v>
      </x:c>
      <x:c r="B3798" s="115" t="str">
        <x:v>EXT-MONDE-T076</x:v>
      </x:c>
      <x:c r="C3798" s="115" t="str">
        <x:v>Ferroviaire</x:v>
      </x:c>
      <x:c r="D3798" s="115" t="str">
        <x:v>Dépôt ferroviaire</x:v>
      </x:c>
      <x:c r="E3798" s="115" t="n">
        <x:v>43</x:v>
      </x:c>
      <x:c r="F3798" s="115" t="str">
        <x:v>Inspection physique</x:v>
      </x:c>
      <x:c r="G3798" s="115" t="str">
        <x:v>1 niveaux ; 36 pièces ; 265 segments de mur ; 0 transitions. Inspection physique ; architecture complète encore ouverte.</x:v>
      </x:c>
      <x:c r="H3798" s="115" t="str">
        <x:v>L 800 ; l 2740 ; hauteur 7,8 m ; choix de composition auteur ; dimensions réelles à documenter</x:v>
      </x:c>
      <x:c r="I3798" s="115" t="str">
        <x:v>À équilibrer</x:v>
      </x:c>
      <x:c r="J3798" s="115" t="str">
        <x:v>Non</x:v>
      </x:c>
      <x:c r="K3798" s="115" t="str">
        <x:v>Pièces décrites, murs, portes, niveaux et mobilier inspectables à l’échelle. Volumes réservés, raccord au seed, butin, rencontres et services de campagne restent à terminer.</x:v>
      </x:c>
    </x:row>
    <x:row r="3799" ht="96" customHeight="1">
      <x:c r="A3799" s="115" t="str">
        <x:v>EXT-MONDE-T076-V44</x:v>
      </x:c>
      <x:c r="B3799" s="115" t="str">
        <x:v>EXT-MONDE-T076</x:v>
      </x:c>
      <x:c r="C3799" s="115" t="str">
        <x:v>Ferroviaire</x:v>
      </x:c>
      <x:c r="D3799" s="115" t="str">
        <x:v>Dépôt ferroviaire</x:v>
      </x:c>
      <x:c r="E3799" s="115" t="n">
        <x:v>44</x:v>
      </x:c>
      <x:c r="F3799" s="115" t="str">
        <x:v>Inspection physique</x:v>
      </x:c>
      <x:c r="G3799" s="115" t="str">
        <x:v>1 niveaux ; 36 pièces ; 265 segments de mur ; 0 transitions. Inspection physique ; architecture complète encore ouverte.</x:v>
      </x:c>
      <x:c r="H3799" s="115" t="str">
        <x:v>L 800 ; l 2740 ; hauteur 7,8 m ; choix de composition auteur ; dimensions réelles à documenter</x:v>
      </x:c>
      <x:c r="I3799" s="115" t="str">
        <x:v>À équilibrer</x:v>
      </x:c>
      <x:c r="J3799" s="115" t="str">
        <x:v>Non</x:v>
      </x:c>
      <x:c r="K3799" s="115" t="str">
        <x:v>Pièces décrites, murs, portes, niveaux et mobilier inspectables à l’échelle. Volumes réservés, raccord au seed, butin, rencontres et services de campagne restent à terminer.</x:v>
      </x:c>
    </x:row>
    <x:row r="3800" ht="96" customHeight="1">
      <x:c r="A3800" s="115" t="str">
        <x:v>EXT-MONDE-T076-V45</x:v>
      </x:c>
      <x:c r="B3800" s="115" t="str">
        <x:v>EXT-MONDE-T076</x:v>
      </x:c>
      <x:c r="C3800" s="115" t="str">
        <x:v>Ferroviaire</x:v>
      </x:c>
      <x:c r="D3800" s="115" t="str">
        <x:v>Dépôt ferroviaire</x:v>
      </x:c>
      <x:c r="E3800" s="115" t="n">
        <x:v>45</x:v>
      </x:c>
      <x:c r="F3800" s="115" t="str">
        <x:v>Inspection physique</x:v>
      </x:c>
      <x:c r="G3800" s="115" t="str">
        <x:v>1 niveaux ; 36 pièces ; 265 segments de mur ; 0 transitions. Inspection physique ; architecture complète encore ouverte.</x:v>
      </x:c>
      <x:c r="H3800" s="115" t="str">
        <x:v>L 800 ; l 2740 ; hauteur 7,8 m ; choix de composition auteur ; dimensions réelles à documenter</x:v>
      </x:c>
      <x:c r="I3800" s="115" t="str">
        <x:v>À équilibrer</x:v>
      </x:c>
      <x:c r="J3800" s="115" t="str">
        <x:v>Non</x:v>
      </x:c>
      <x:c r="K3800" s="115" t="str">
        <x:v>Pièces décrites, murs, portes, niveaux et mobilier inspectables à l’échelle. Volumes réservés, raccord au seed, butin, rencontres et services de campagne restent à terminer.</x:v>
      </x:c>
    </x:row>
    <x:row r="3801" ht="96" customHeight="1">
      <x:c r="A3801" s="115" t="str">
        <x:v>EXT-MONDE-T076-V46</x:v>
      </x:c>
      <x:c r="B3801" s="115" t="str">
        <x:v>EXT-MONDE-T076</x:v>
      </x:c>
      <x:c r="C3801" s="115" t="str">
        <x:v>Ferroviaire</x:v>
      </x:c>
      <x:c r="D3801" s="115" t="str">
        <x:v>Dépôt ferroviaire</x:v>
      </x:c>
      <x:c r="E3801" s="115" t="n">
        <x:v>46</x:v>
      </x:c>
      <x:c r="F3801" s="115" t="str">
        <x:v>Inspection physique</x:v>
      </x:c>
      <x:c r="G3801" s="115" t="str">
        <x:v>1 niveaux ; 36 pièces ; 265 segments de mur ; 0 transitions. Inspection physique ; architecture complète encore ouverte.</x:v>
      </x:c>
      <x:c r="H3801" s="115" t="str">
        <x:v>L 800 ; l 2740 ; hauteur 7,8 m ; choix de composition auteur ; dimensions réelles à documenter</x:v>
      </x:c>
      <x:c r="I3801" s="115" t="str">
        <x:v>À équilibrer</x:v>
      </x:c>
      <x:c r="J3801" s="115" t="str">
        <x:v>Non</x:v>
      </x:c>
      <x:c r="K3801" s="115" t="str">
        <x:v>Pièces décrites, murs, portes, niveaux et mobilier inspectables à l’échelle. Volumes réservés, raccord au seed, butin, rencontres et services de campagne restent à terminer.</x:v>
      </x:c>
    </x:row>
    <x:row r="3802" ht="96" customHeight="1">
      <x:c r="A3802" s="115" t="str">
        <x:v>EXT-MONDE-T076-V47</x:v>
      </x:c>
      <x:c r="B3802" s="115" t="str">
        <x:v>EXT-MONDE-T076</x:v>
      </x:c>
      <x:c r="C3802" s="115" t="str">
        <x:v>Ferroviaire</x:v>
      </x:c>
      <x:c r="D3802" s="115" t="str">
        <x:v>Dépôt ferroviaire</x:v>
      </x:c>
      <x:c r="E3802" s="115" t="n">
        <x:v>47</x:v>
      </x:c>
      <x:c r="F3802" s="115" t="str">
        <x:v>Inspection physique</x:v>
      </x:c>
      <x:c r="G3802" s="115" t="str">
        <x:v>1 niveaux ; 36 pièces ; 265 segments de mur ; 0 transitions. Inspection physique ; architecture complète encore ouverte.</x:v>
      </x:c>
      <x:c r="H3802" s="115" t="str">
        <x:v>L 800 ; l 2740 ; hauteur 7,8 m ; choix de composition auteur ; dimensions réelles à documenter</x:v>
      </x:c>
      <x:c r="I3802" s="115" t="str">
        <x:v>À équilibrer</x:v>
      </x:c>
      <x:c r="J3802" s="115" t="str">
        <x:v>Non</x:v>
      </x:c>
      <x:c r="K3802" s="115" t="str">
        <x:v>Pièces décrites, murs, portes, niveaux et mobilier inspectables à l’échelle. Volumes réservés, raccord au seed, butin, rencontres et services de campagne restent à terminer.</x:v>
      </x:c>
    </x:row>
    <x:row r="3803" ht="96" customHeight="1">
      <x:c r="A3803" s="115" t="str">
        <x:v>EXT-MONDE-T076-V48</x:v>
      </x:c>
      <x:c r="B3803" s="115" t="str">
        <x:v>EXT-MONDE-T076</x:v>
      </x:c>
      <x:c r="C3803" s="115" t="str">
        <x:v>Ferroviaire</x:v>
      </x:c>
      <x:c r="D3803" s="115" t="str">
        <x:v>Dépôt ferroviaire</x:v>
      </x:c>
      <x:c r="E3803" s="115" t="n">
        <x:v>48</x:v>
      </x:c>
      <x:c r="F3803" s="115" t="str">
        <x:v>Inspection physique</x:v>
      </x:c>
      <x:c r="G3803" s="115" t="str">
        <x:v>1 niveaux ; 36 pièces ; 265 segments de mur ; 0 transitions. Inspection physique ; architecture complète encore ouverte.</x:v>
      </x:c>
      <x:c r="H3803" s="115" t="str">
        <x:v>L 800 ; l 2740 ; hauteur 7,8 m ; choix de composition auteur ; dimensions réelles à documenter</x:v>
      </x:c>
      <x:c r="I3803" s="115" t="str">
        <x:v>À équilibrer</x:v>
      </x:c>
      <x:c r="J3803" s="115" t="str">
        <x:v>Non</x:v>
      </x:c>
      <x:c r="K3803" s="115" t="str">
        <x:v>Pièces décrites, murs, portes, niveaux et mobilier inspectables à l’échelle. Volumes réservés, raccord au seed, butin, rencontres et services de campagne restent à terminer.</x:v>
      </x:c>
    </x:row>
    <x:row r="3804" ht="96" customHeight="1">
      <x:c r="A3804" s="115" t="str">
        <x:v>EXT-MONDE-T076-V49</x:v>
      </x:c>
      <x:c r="B3804" s="115" t="str">
        <x:v>EXT-MONDE-T076</x:v>
      </x:c>
      <x:c r="C3804" s="115" t="str">
        <x:v>Ferroviaire</x:v>
      </x:c>
      <x:c r="D3804" s="115" t="str">
        <x:v>Dépôt ferroviaire</x:v>
      </x:c>
      <x:c r="E3804" s="115" t="n">
        <x:v>49</x:v>
      </x:c>
      <x:c r="F3804" s="115" t="str">
        <x:v>Inspection physique</x:v>
      </x:c>
      <x:c r="G3804" s="115" t="str">
        <x:v>1 niveaux ; 36 pièces ; 265 segments de mur ; 0 transitions. Inspection physique ; architecture complète encore ouverte.</x:v>
      </x:c>
      <x:c r="H3804" s="115" t="str">
        <x:v>L 800 ; l 2740 ; hauteur 7,8 m ; choix de composition auteur ; dimensions réelles à documenter</x:v>
      </x:c>
      <x:c r="I3804" s="115" t="str">
        <x:v>À équilibrer</x:v>
      </x:c>
      <x:c r="J3804" s="115" t="str">
        <x:v>Non</x:v>
      </x:c>
      <x:c r="K3804" s="115" t="str">
        <x:v>Pièces décrites, murs, portes, niveaux et mobilier inspectables à l’échelle. Volumes réservés, raccord au seed, butin, rencontres et services de campagne restent à terminer.</x:v>
      </x:c>
    </x:row>
    <x:row r="3805" ht="96" customHeight="1">
      <x:c r="A3805" s="115" t="str">
        <x:v>EXT-MONDE-T076-V50</x:v>
      </x:c>
      <x:c r="B3805" s="115" t="str">
        <x:v>EXT-MONDE-T076</x:v>
      </x:c>
      <x:c r="C3805" s="115" t="str">
        <x:v>Ferroviaire</x:v>
      </x:c>
      <x:c r="D3805" s="115" t="str">
        <x:v>Dépôt ferroviaire</x:v>
      </x:c>
      <x:c r="E3805" s="115" t="n">
        <x:v>50</x:v>
      </x:c>
      <x:c r="F3805" s="115" t="str">
        <x:v>Inspection physique</x:v>
      </x:c>
      <x:c r="G3805" s="115" t="str">
        <x:v>1 niveaux ; 36 pièces ; 265 segments de mur ; 0 transitions. Inspection physique ; architecture complète encore ouverte.</x:v>
      </x:c>
      <x:c r="H3805" s="115" t="str">
        <x:v>L 800 ; l 2740 ; hauteur 7,8 m ; choix de composition auteur ; dimensions réelles à documenter</x:v>
      </x:c>
      <x:c r="I3805" s="115" t="str">
        <x:v>À équilibrer</x:v>
      </x:c>
      <x:c r="J3805" s="115" t="str">
        <x:v>Non</x:v>
      </x:c>
      <x:c r="K3805" s="115" t="str">
        <x:v>Pièces décrites, murs, portes, niveaux et mobilier inspectables à l’échelle. Volumes réservés, raccord au seed, butin, rencontres et services de campagne restent à terminer.</x:v>
      </x:c>
    </x:row>
    <x:row r="3806" ht="96" customHeight="1">
      <x:c r="A3806" s="115" t="str">
        <x:v>EXT-MONDE-T077-V01</x:v>
      </x:c>
      <x:c r="B3806" s="115" t="str">
        <x:v>EXT-MONDE-T077</x:v>
      </x:c>
      <x:c r="C3806" s="115" t="str">
        <x:v>Îles</x:v>
      </x:c>
      <x:c r="D3806" s="115" t="str">
        <x:v>Îlot de phare</x:v>
      </x:c>
      <x:c r="E3806" s="115" t="n">
        <x:v>1</x:v>
      </x:c>
      <x:c r="F3806" s="115" t="str">
        <x:v>Inspection physique</x:v>
      </x:c>
      <x:c r="G3806" s="115" t="str">
        <x:v>1 niveaux ; 32 pièces ; 248 segments de mur ; 0 transitions. Inspection physique ; architecture complète encore ouverte.</x:v>
      </x:c>
      <x:c r="H3806" s="115" t="str">
        <x:v>L 336 ; l 276 ; hauteur 32 m ; choix de composition auteur ; dimensions réelles à documenter</x:v>
      </x:c>
      <x:c r="I3806" s="115" t="str">
        <x:v>À équilibrer</x:v>
      </x:c>
      <x:c r="J3806" s="115" t="str">
        <x:v>Non</x:v>
      </x:c>
      <x:c r="K3806" s="115" t="str">
        <x:v>Pièces décrites, murs, portes, niveaux et mobilier inspectables à l’échelle. Volumes réservés, raccord au seed, butin, rencontres et services de campagne restent à terminer.</x:v>
      </x:c>
    </x:row>
    <x:row r="3807" ht="96" customHeight="1">
      <x:c r="A3807" s="115" t="str">
        <x:v>EXT-MONDE-T077-V02</x:v>
      </x:c>
      <x:c r="B3807" s="115" t="str">
        <x:v>EXT-MONDE-T077</x:v>
      </x:c>
      <x:c r="C3807" s="115" t="str">
        <x:v>Îles</x:v>
      </x:c>
      <x:c r="D3807" s="115" t="str">
        <x:v>Îlot de phare</x:v>
      </x:c>
      <x:c r="E3807" s="115" t="n">
        <x:v>2</x:v>
      </x:c>
      <x:c r="F3807" s="115" t="str">
        <x:v>Inspection physique</x:v>
      </x:c>
      <x:c r="G3807" s="115" t="str">
        <x:v>1 niveaux ; 32 pièces ; 248 segments de mur ; 0 transitions. Inspection physique ; architecture complète encore ouverte.</x:v>
      </x:c>
      <x:c r="H3807" s="115" t="str">
        <x:v>L 336 ; l 276 ; hauteur 32 m ; choix de composition auteur ; dimensions réelles à documenter</x:v>
      </x:c>
      <x:c r="I3807" s="115" t="str">
        <x:v>À équilibrer</x:v>
      </x:c>
      <x:c r="J3807" s="115" t="str">
        <x:v>Non</x:v>
      </x:c>
      <x:c r="K3807" s="115" t="str">
        <x:v>Pièces décrites, murs, portes, niveaux et mobilier inspectables à l’échelle. Volumes réservés, raccord au seed, butin, rencontres et services de campagne restent à terminer.</x:v>
      </x:c>
    </x:row>
    <x:row r="3808" ht="96" customHeight="1">
      <x:c r="A3808" s="115" t="str">
        <x:v>EXT-MONDE-T077-V03</x:v>
      </x:c>
      <x:c r="B3808" s="115" t="str">
        <x:v>EXT-MONDE-T077</x:v>
      </x:c>
      <x:c r="C3808" s="115" t="str">
        <x:v>Îles</x:v>
      </x:c>
      <x:c r="D3808" s="115" t="str">
        <x:v>Îlot de phare</x:v>
      </x:c>
      <x:c r="E3808" s="115" t="n">
        <x:v>3</x:v>
      </x:c>
      <x:c r="F3808" s="115" t="str">
        <x:v>Inspection physique</x:v>
      </x:c>
      <x:c r="G3808" s="115" t="str">
        <x:v>1 niveaux ; 32 pièces ; 248 segments de mur ; 0 transitions. Inspection physique ; architecture complète encore ouverte.</x:v>
      </x:c>
      <x:c r="H3808" s="115" t="str">
        <x:v>L 336 ; l 276 ; hauteur 32 m ; choix de composition auteur ; dimensions réelles à documenter</x:v>
      </x:c>
      <x:c r="I3808" s="115" t="str">
        <x:v>À équilibrer</x:v>
      </x:c>
      <x:c r="J3808" s="115" t="str">
        <x:v>Non</x:v>
      </x:c>
      <x:c r="K3808" s="115" t="str">
        <x:v>Pièces décrites, murs, portes, niveaux et mobilier inspectables à l’échelle. Volumes réservés, raccord au seed, butin, rencontres et services de campagne restent à terminer.</x:v>
      </x:c>
    </x:row>
    <x:row r="3809" ht="96" customHeight="1">
      <x:c r="A3809" s="115" t="str">
        <x:v>EXT-MONDE-T077-V04</x:v>
      </x:c>
      <x:c r="B3809" s="115" t="str">
        <x:v>EXT-MONDE-T077</x:v>
      </x:c>
      <x:c r="C3809" s="115" t="str">
        <x:v>Îles</x:v>
      </x:c>
      <x:c r="D3809" s="115" t="str">
        <x:v>Îlot de phare</x:v>
      </x:c>
      <x:c r="E3809" s="115" t="n">
        <x:v>4</x:v>
      </x:c>
      <x:c r="F3809" s="115" t="str">
        <x:v>Inspection physique</x:v>
      </x:c>
      <x:c r="G3809" s="115" t="str">
        <x:v>1 niveaux ; 32 pièces ; 248 segments de mur ; 0 transitions. Inspection physique ; architecture complète encore ouverte.</x:v>
      </x:c>
      <x:c r="H3809" s="115" t="str">
        <x:v>L 336 ; l 276 ; hauteur 32 m ; choix de composition auteur ; dimensions réelles à documenter</x:v>
      </x:c>
      <x:c r="I3809" s="115" t="str">
        <x:v>À équilibrer</x:v>
      </x:c>
      <x:c r="J3809" s="115" t="str">
        <x:v>Non</x:v>
      </x:c>
      <x:c r="K3809" s="115" t="str">
        <x:v>Pièces décrites, murs, portes, niveaux et mobilier inspectables à l’échelle. Volumes réservés, raccord au seed, butin, rencontres et services de campagne restent à terminer.</x:v>
      </x:c>
    </x:row>
    <x:row r="3810" ht="96" customHeight="1">
      <x:c r="A3810" s="115" t="str">
        <x:v>EXT-MONDE-T077-V05</x:v>
      </x:c>
      <x:c r="B3810" s="115" t="str">
        <x:v>EXT-MONDE-T077</x:v>
      </x:c>
      <x:c r="C3810" s="115" t="str">
        <x:v>Îles</x:v>
      </x:c>
      <x:c r="D3810" s="115" t="str">
        <x:v>Îlot de phare</x:v>
      </x:c>
      <x:c r="E3810" s="115" t="n">
        <x:v>5</x:v>
      </x:c>
      <x:c r="F3810" s="115" t="str">
        <x:v>Inspection physique</x:v>
      </x:c>
      <x:c r="G3810" s="115" t="str">
        <x:v>1 niveaux ; 32 pièces ; 248 segments de mur ; 0 transitions. Inspection physique ; architecture complète encore ouverte.</x:v>
      </x:c>
      <x:c r="H3810" s="115" t="str">
        <x:v>L 336 ; l 276 ; hauteur 32 m ; choix de composition auteur ; dimensions réelles à documenter</x:v>
      </x:c>
      <x:c r="I3810" s="115" t="str">
        <x:v>À équilibrer</x:v>
      </x:c>
      <x:c r="J3810" s="115" t="str">
        <x:v>Non</x:v>
      </x:c>
      <x:c r="K3810" s="115" t="str">
        <x:v>Pièces décrites, murs, portes, niveaux et mobilier inspectables à l’échelle. Volumes réservés, raccord au seed, butin, rencontres et services de campagne restent à terminer.</x:v>
      </x:c>
    </x:row>
    <x:row r="3811" ht="96" customHeight="1">
      <x:c r="A3811" s="115" t="str">
        <x:v>EXT-MONDE-T077-V06</x:v>
      </x:c>
      <x:c r="B3811" s="115" t="str">
        <x:v>EXT-MONDE-T077</x:v>
      </x:c>
      <x:c r="C3811" s="115" t="str">
        <x:v>Îles</x:v>
      </x:c>
      <x:c r="D3811" s="115" t="str">
        <x:v>Îlot de phare</x:v>
      </x:c>
      <x:c r="E3811" s="115" t="n">
        <x:v>6</x:v>
      </x:c>
      <x:c r="F3811" s="115" t="str">
        <x:v>Inspection physique</x:v>
      </x:c>
      <x:c r="G3811" s="115" t="str">
        <x:v>1 niveaux ; 32 pièces ; 248 segments de mur ; 0 transitions. Inspection physique ; architecture complète encore ouverte.</x:v>
      </x:c>
      <x:c r="H3811" s="115" t="str">
        <x:v>L 336 ; l 276 ; hauteur 32 m ; choix de composition auteur ; dimensions réelles à documenter</x:v>
      </x:c>
      <x:c r="I3811" s="115" t="str">
        <x:v>À équilibrer</x:v>
      </x:c>
      <x:c r="J3811" s="115" t="str">
        <x:v>Non</x:v>
      </x:c>
      <x:c r="K3811" s="115" t="str">
        <x:v>Pièces décrites, murs, portes, niveaux et mobilier inspectables à l’échelle. Volumes réservés, raccord au seed, butin, rencontres et services de campagne restent à terminer.</x:v>
      </x:c>
    </x:row>
    <x:row r="3812" ht="96" customHeight="1">
      <x:c r="A3812" s="115" t="str">
        <x:v>EXT-MONDE-T077-V07</x:v>
      </x:c>
      <x:c r="B3812" s="115" t="str">
        <x:v>EXT-MONDE-T077</x:v>
      </x:c>
      <x:c r="C3812" s="115" t="str">
        <x:v>Îles</x:v>
      </x:c>
      <x:c r="D3812" s="115" t="str">
        <x:v>Îlot de phare</x:v>
      </x:c>
      <x:c r="E3812" s="115" t="n">
        <x:v>7</x:v>
      </x:c>
      <x:c r="F3812" s="115" t="str">
        <x:v>Inspection physique</x:v>
      </x:c>
      <x:c r="G3812" s="115" t="str">
        <x:v>1 niveaux ; 32 pièces ; 248 segments de mur ; 0 transitions. Inspection physique ; architecture complète encore ouverte.</x:v>
      </x:c>
      <x:c r="H3812" s="115" t="str">
        <x:v>L 336 ; l 276 ; hauteur 32 m ; choix de composition auteur ; dimensions réelles à documenter</x:v>
      </x:c>
      <x:c r="I3812" s="115" t="str">
        <x:v>À équilibrer</x:v>
      </x:c>
      <x:c r="J3812" s="115" t="str">
        <x:v>Non</x:v>
      </x:c>
      <x:c r="K3812" s="115" t="str">
        <x:v>Pièces décrites, murs, portes, niveaux et mobilier inspectables à l’échelle. Volumes réservés, raccord au seed, butin, rencontres et services de campagne restent à terminer.</x:v>
      </x:c>
    </x:row>
    <x:row r="3813" ht="96" customHeight="1">
      <x:c r="A3813" s="115" t="str">
        <x:v>EXT-MONDE-T077-V08</x:v>
      </x:c>
      <x:c r="B3813" s="115" t="str">
        <x:v>EXT-MONDE-T077</x:v>
      </x:c>
      <x:c r="C3813" s="115" t="str">
        <x:v>Îles</x:v>
      </x:c>
      <x:c r="D3813" s="115" t="str">
        <x:v>Îlot de phare</x:v>
      </x:c>
      <x:c r="E3813" s="115" t="n">
        <x:v>8</x:v>
      </x:c>
      <x:c r="F3813" s="115" t="str">
        <x:v>Inspection physique</x:v>
      </x:c>
      <x:c r="G3813" s="115" t="str">
        <x:v>1 niveaux ; 32 pièces ; 248 segments de mur ; 0 transitions. Inspection physique ; architecture complète encore ouverte.</x:v>
      </x:c>
      <x:c r="H3813" s="115" t="str">
        <x:v>L 336 ; l 276 ; hauteur 32 m ; choix de composition auteur ; dimensions réelles à documenter</x:v>
      </x:c>
      <x:c r="I3813" s="115" t="str">
        <x:v>À équilibrer</x:v>
      </x:c>
      <x:c r="J3813" s="115" t="str">
        <x:v>Non</x:v>
      </x:c>
      <x:c r="K3813" s="115" t="str">
        <x:v>Pièces décrites, murs, portes, niveaux et mobilier inspectables à l’échelle. Volumes réservés, raccord au seed, butin, rencontres et services de campagne restent à terminer.</x:v>
      </x:c>
    </x:row>
    <x:row r="3814" ht="96" customHeight="1">
      <x:c r="A3814" s="115" t="str">
        <x:v>EXT-MONDE-T077-V09</x:v>
      </x:c>
      <x:c r="B3814" s="115" t="str">
        <x:v>EXT-MONDE-T077</x:v>
      </x:c>
      <x:c r="C3814" s="115" t="str">
        <x:v>Îles</x:v>
      </x:c>
      <x:c r="D3814" s="115" t="str">
        <x:v>Îlot de phare</x:v>
      </x:c>
      <x:c r="E3814" s="115" t="n">
        <x:v>9</x:v>
      </x:c>
      <x:c r="F3814" s="115" t="str">
        <x:v>Inspection physique</x:v>
      </x:c>
      <x:c r="G3814" s="115" t="str">
        <x:v>1 niveaux ; 32 pièces ; 248 segments de mur ; 0 transitions. Inspection physique ; architecture complète encore ouverte.</x:v>
      </x:c>
      <x:c r="H3814" s="115" t="str">
        <x:v>L 336 ; l 276 ; hauteur 32 m ; choix de composition auteur ; dimensions réelles à documenter</x:v>
      </x:c>
      <x:c r="I3814" s="115" t="str">
        <x:v>À équilibrer</x:v>
      </x:c>
      <x:c r="J3814" s="115" t="str">
        <x:v>Non</x:v>
      </x:c>
      <x:c r="K3814" s="115" t="str">
        <x:v>Pièces décrites, murs, portes, niveaux et mobilier inspectables à l’échelle. Volumes réservés, raccord au seed, butin, rencontres et services de campagne restent à terminer.</x:v>
      </x:c>
    </x:row>
    <x:row r="3815" ht="96" customHeight="1">
      <x:c r="A3815" s="115" t="str">
        <x:v>EXT-MONDE-T077-V10</x:v>
      </x:c>
      <x:c r="B3815" s="115" t="str">
        <x:v>EXT-MONDE-T077</x:v>
      </x:c>
      <x:c r="C3815" s="115" t="str">
        <x:v>Îles</x:v>
      </x:c>
      <x:c r="D3815" s="115" t="str">
        <x:v>Îlot de phare</x:v>
      </x:c>
      <x:c r="E3815" s="115" t="n">
        <x:v>10</x:v>
      </x:c>
      <x:c r="F3815" s="115" t="str">
        <x:v>Inspection physique</x:v>
      </x:c>
      <x:c r="G3815" s="115" t="str">
        <x:v>1 niveaux ; 32 pièces ; 248 segments de mur ; 0 transitions. Inspection physique ; architecture complète encore ouverte.</x:v>
      </x:c>
      <x:c r="H3815" s="115" t="str">
        <x:v>L 336 ; l 276 ; hauteur 32 m ; choix de composition auteur ; dimensions réelles à documenter</x:v>
      </x:c>
      <x:c r="I3815" s="115" t="str">
        <x:v>À équilibrer</x:v>
      </x:c>
      <x:c r="J3815" s="115" t="str">
        <x:v>Non</x:v>
      </x:c>
      <x:c r="K3815" s="115" t="str">
        <x:v>Pièces décrites, murs, portes, niveaux et mobilier inspectables à l’échelle. Volumes réservés, raccord au seed, butin, rencontres et services de campagne restent à terminer.</x:v>
      </x:c>
    </x:row>
    <x:row r="3816" ht="96" customHeight="1">
      <x:c r="A3816" s="115" t="str">
        <x:v>EXT-MONDE-T077-V11</x:v>
      </x:c>
      <x:c r="B3816" s="115" t="str">
        <x:v>EXT-MONDE-T077</x:v>
      </x:c>
      <x:c r="C3816" s="115" t="str">
        <x:v>Îles</x:v>
      </x:c>
      <x:c r="D3816" s="115" t="str">
        <x:v>Îlot de phare</x:v>
      </x:c>
      <x:c r="E3816" s="115" t="n">
        <x:v>11</x:v>
      </x:c>
      <x:c r="F3816" s="115" t="str">
        <x:v>Inspection physique</x:v>
      </x:c>
      <x:c r="G3816" s="115" t="str">
        <x:v>1 niveaux ; 32 pièces ; 248 segments de mur ; 0 transitions. Inspection physique ; architecture complète encore ouverte.</x:v>
      </x:c>
      <x:c r="H3816" s="115" t="str">
        <x:v>L 350 ; l 288 ; hauteur 32 m ; choix de composition auteur ; dimensions réelles à documenter</x:v>
      </x:c>
      <x:c r="I3816" s="115" t="str">
        <x:v>À équilibrer</x:v>
      </x:c>
      <x:c r="J3816" s="115" t="str">
        <x:v>Non</x:v>
      </x:c>
      <x:c r="K3816" s="115" t="str">
        <x:v>Pièces décrites, murs, portes, niveaux et mobilier inspectables à l’échelle. Volumes réservés, raccord au seed, butin, rencontres et services de campagne restent à terminer.</x:v>
      </x:c>
    </x:row>
    <x:row r="3817" ht="96" customHeight="1">
      <x:c r="A3817" s="115" t="str">
        <x:v>EXT-MONDE-T077-V12</x:v>
      </x:c>
      <x:c r="B3817" s="115" t="str">
        <x:v>EXT-MONDE-T077</x:v>
      </x:c>
      <x:c r="C3817" s="115" t="str">
        <x:v>Îles</x:v>
      </x:c>
      <x:c r="D3817" s="115" t="str">
        <x:v>Îlot de phare</x:v>
      </x:c>
      <x:c r="E3817" s="115" t="n">
        <x:v>12</x:v>
      </x:c>
      <x:c r="F3817" s="115" t="str">
        <x:v>Inspection physique</x:v>
      </x:c>
      <x:c r="G3817" s="115" t="str">
        <x:v>1 niveaux ; 32 pièces ; 248 segments de mur ; 0 transitions. Inspection physique ; architecture complète encore ouverte.</x:v>
      </x:c>
      <x:c r="H3817" s="115" t="str">
        <x:v>L 350 ; l 288 ; hauteur 32 m ; choix de composition auteur ; dimensions réelles à documenter</x:v>
      </x:c>
      <x:c r="I3817" s="115" t="str">
        <x:v>À équilibrer</x:v>
      </x:c>
      <x:c r="J3817" s="115" t="str">
        <x:v>Non</x:v>
      </x:c>
      <x:c r="K3817" s="115" t="str">
        <x:v>Pièces décrites, murs, portes, niveaux et mobilier inspectables à l’échelle. Volumes réservés, raccord au seed, butin, rencontres et services de campagne restent à terminer.</x:v>
      </x:c>
    </x:row>
    <x:row r="3818" ht="96" customHeight="1">
      <x:c r="A3818" s="115" t="str">
        <x:v>EXT-MONDE-T077-V13</x:v>
      </x:c>
      <x:c r="B3818" s="115" t="str">
        <x:v>EXT-MONDE-T077</x:v>
      </x:c>
      <x:c r="C3818" s="115" t="str">
        <x:v>Îles</x:v>
      </x:c>
      <x:c r="D3818" s="115" t="str">
        <x:v>Îlot de phare</x:v>
      </x:c>
      <x:c r="E3818" s="115" t="n">
        <x:v>13</x:v>
      </x:c>
      <x:c r="F3818" s="115" t="str">
        <x:v>Inspection physique</x:v>
      </x:c>
      <x:c r="G3818" s="115" t="str">
        <x:v>1 niveaux ; 32 pièces ; 248 segments de mur ; 0 transitions. Inspection physique ; architecture complète encore ouverte.</x:v>
      </x:c>
      <x:c r="H3818" s="115" t="str">
        <x:v>L 350 ; l 288 ; hauteur 32 m ; choix de composition auteur ; dimensions réelles à documenter</x:v>
      </x:c>
      <x:c r="I3818" s="115" t="str">
        <x:v>À équilibrer</x:v>
      </x:c>
      <x:c r="J3818" s="115" t="str">
        <x:v>Non</x:v>
      </x:c>
      <x:c r="K3818" s="115" t="str">
        <x:v>Pièces décrites, murs, portes, niveaux et mobilier inspectables à l’échelle. Volumes réservés, raccord au seed, butin, rencontres et services de campagne restent à terminer.</x:v>
      </x:c>
    </x:row>
    <x:row r="3819" ht="96" customHeight="1">
      <x:c r="A3819" s="115" t="str">
        <x:v>EXT-MONDE-T077-V14</x:v>
      </x:c>
      <x:c r="B3819" s="115" t="str">
        <x:v>EXT-MONDE-T077</x:v>
      </x:c>
      <x:c r="C3819" s="115" t="str">
        <x:v>Îles</x:v>
      </x:c>
      <x:c r="D3819" s="115" t="str">
        <x:v>Îlot de phare</x:v>
      </x:c>
      <x:c r="E3819" s="115" t="n">
        <x:v>14</x:v>
      </x:c>
      <x:c r="F3819" s="115" t="str">
        <x:v>Inspection physique</x:v>
      </x:c>
      <x:c r="G3819" s="115" t="str">
        <x:v>1 niveaux ; 32 pièces ; 248 segments de mur ; 0 transitions. Inspection physique ; architecture complète encore ouverte.</x:v>
      </x:c>
      <x:c r="H3819" s="115" t="str">
        <x:v>L 350 ; l 288 ; hauteur 32 m ; choix de composition auteur ; dimensions réelles à documenter</x:v>
      </x:c>
      <x:c r="I3819" s="115" t="str">
        <x:v>À équilibrer</x:v>
      </x:c>
      <x:c r="J3819" s="115" t="str">
        <x:v>Non</x:v>
      </x:c>
      <x:c r="K3819" s="115" t="str">
        <x:v>Pièces décrites, murs, portes, niveaux et mobilier inspectables à l’échelle. Volumes réservés, raccord au seed, butin, rencontres et services de campagne restent à terminer.</x:v>
      </x:c>
    </x:row>
    <x:row r="3820" ht="96" customHeight="1">
      <x:c r="A3820" s="115" t="str">
        <x:v>EXT-MONDE-T077-V15</x:v>
      </x:c>
      <x:c r="B3820" s="115" t="str">
        <x:v>EXT-MONDE-T077</x:v>
      </x:c>
      <x:c r="C3820" s="115" t="str">
        <x:v>Îles</x:v>
      </x:c>
      <x:c r="D3820" s="115" t="str">
        <x:v>Îlot de phare</x:v>
      </x:c>
      <x:c r="E3820" s="115" t="n">
        <x:v>15</x:v>
      </x:c>
      <x:c r="F3820" s="115" t="str">
        <x:v>Inspection physique</x:v>
      </x:c>
      <x:c r="G3820" s="115" t="str">
        <x:v>1 niveaux ; 32 pièces ; 248 segments de mur ; 0 transitions. Inspection physique ; architecture complète encore ouverte.</x:v>
      </x:c>
      <x:c r="H3820" s="115" t="str">
        <x:v>L 350 ; l 288 ; hauteur 32 m ; choix de composition auteur ; dimensions réelles à documenter</x:v>
      </x:c>
      <x:c r="I3820" s="115" t="str">
        <x:v>À équilibrer</x:v>
      </x:c>
      <x:c r="J3820" s="115" t="str">
        <x:v>Non</x:v>
      </x:c>
      <x:c r="K3820" s="115" t="str">
        <x:v>Pièces décrites, murs, portes, niveaux et mobilier inspectables à l’échelle. Volumes réservés, raccord au seed, butin, rencontres et services de campagne restent à terminer.</x:v>
      </x:c>
    </x:row>
    <x:row r="3821" ht="96" customHeight="1">
      <x:c r="A3821" s="115" t="str">
        <x:v>EXT-MONDE-T077-V16</x:v>
      </x:c>
      <x:c r="B3821" s="115" t="str">
        <x:v>EXT-MONDE-T077</x:v>
      </x:c>
      <x:c r="C3821" s="115" t="str">
        <x:v>Îles</x:v>
      </x:c>
      <x:c r="D3821" s="115" t="str">
        <x:v>Îlot de phare</x:v>
      </x:c>
      <x:c r="E3821" s="115" t="n">
        <x:v>16</x:v>
      </x:c>
      <x:c r="F3821" s="115" t="str">
        <x:v>Inspection physique</x:v>
      </x:c>
      <x:c r="G3821" s="115" t="str">
        <x:v>1 niveaux ; 32 pièces ; 248 segments de mur ; 0 transitions. Inspection physique ; architecture complète encore ouverte.</x:v>
      </x:c>
      <x:c r="H3821" s="115" t="str">
        <x:v>L 350 ; l 288 ; hauteur 32 m ; choix de composition auteur ; dimensions réelles à documenter</x:v>
      </x:c>
      <x:c r="I3821" s="115" t="str">
        <x:v>À équilibrer</x:v>
      </x:c>
      <x:c r="J3821" s="115" t="str">
        <x:v>Non</x:v>
      </x:c>
      <x:c r="K3821" s="115" t="str">
        <x:v>Pièces décrites, murs, portes, niveaux et mobilier inspectables à l’échelle. Volumes réservés, raccord au seed, butin, rencontres et services de campagne restent à terminer.</x:v>
      </x:c>
    </x:row>
    <x:row r="3822" ht="96" customHeight="1">
      <x:c r="A3822" s="115" t="str">
        <x:v>EXT-MONDE-T077-V17</x:v>
      </x:c>
      <x:c r="B3822" s="115" t="str">
        <x:v>EXT-MONDE-T077</x:v>
      </x:c>
      <x:c r="C3822" s="115" t="str">
        <x:v>Îles</x:v>
      </x:c>
      <x:c r="D3822" s="115" t="str">
        <x:v>Îlot de phare</x:v>
      </x:c>
      <x:c r="E3822" s="115" t="n">
        <x:v>17</x:v>
      </x:c>
      <x:c r="F3822" s="115" t="str">
        <x:v>Inspection physique</x:v>
      </x:c>
      <x:c r="G3822" s="115" t="str">
        <x:v>1 niveaux ; 32 pièces ; 248 segments de mur ; 0 transitions. Inspection physique ; architecture complète encore ouverte.</x:v>
      </x:c>
      <x:c r="H3822" s="115" t="str">
        <x:v>L 350 ; l 288 ; hauteur 32 m ; choix de composition auteur ; dimensions réelles à documenter</x:v>
      </x:c>
      <x:c r="I3822" s="115" t="str">
        <x:v>À équilibrer</x:v>
      </x:c>
      <x:c r="J3822" s="115" t="str">
        <x:v>Non</x:v>
      </x:c>
      <x:c r="K3822" s="115" t="str">
        <x:v>Pièces décrites, murs, portes, niveaux et mobilier inspectables à l’échelle. Volumes réservés, raccord au seed, butin, rencontres et services de campagne restent à terminer.</x:v>
      </x:c>
    </x:row>
    <x:row r="3823" ht="96" customHeight="1">
      <x:c r="A3823" s="115" t="str">
        <x:v>EXT-MONDE-T077-V18</x:v>
      </x:c>
      <x:c r="B3823" s="115" t="str">
        <x:v>EXT-MONDE-T077</x:v>
      </x:c>
      <x:c r="C3823" s="115" t="str">
        <x:v>Îles</x:v>
      </x:c>
      <x:c r="D3823" s="115" t="str">
        <x:v>Îlot de phare</x:v>
      </x:c>
      <x:c r="E3823" s="115" t="n">
        <x:v>18</x:v>
      </x:c>
      <x:c r="F3823" s="115" t="str">
        <x:v>Inspection physique</x:v>
      </x:c>
      <x:c r="G3823" s="115" t="str">
        <x:v>1 niveaux ; 32 pièces ; 248 segments de mur ; 0 transitions. Inspection physique ; architecture complète encore ouverte.</x:v>
      </x:c>
      <x:c r="H3823" s="115" t="str">
        <x:v>L 350 ; l 288 ; hauteur 32 m ; choix de composition auteur ; dimensions réelles à documenter</x:v>
      </x:c>
      <x:c r="I3823" s="115" t="str">
        <x:v>À équilibrer</x:v>
      </x:c>
      <x:c r="J3823" s="115" t="str">
        <x:v>Non</x:v>
      </x:c>
      <x:c r="K3823" s="115" t="str">
        <x:v>Pièces décrites, murs, portes, niveaux et mobilier inspectables à l’échelle. Volumes réservés, raccord au seed, butin, rencontres et services de campagne restent à terminer.</x:v>
      </x:c>
    </x:row>
    <x:row r="3824" ht="96" customHeight="1">
      <x:c r="A3824" s="115" t="str">
        <x:v>EXT-MONDE-T077-V19</x:v>
      </x:c>
      <x:c r="B3824" s="115" t="str">
        <x:v>EXT-MONDE-T077</x:v>
      </x:c>
      <x:c r="C3824" s="115" t="str">
        <x:v>Îles</x:v>
      </x:c>
      <x:c r="D3824" s="115" t="str">
        <x:v>Îlot de phare</x:v>
      </x:c>
      <x:c r="E3824" s="115" t="n">
        <x:v>19</x:v>
      </x:c>
      <x:c r="F3824" s="115" t="str">
        <x:v>Inspection physique</x:v>
      </x:c>
      <x:c r="G3824" s="115" t="str">
        <x:v>1 niveaux ; 32 pièces ; 248 segments de mur ; 0 transitions. Inspection physique ; architecture complète encore ouverte.</x:v>
      </x:c>
      <x:c r="H3824" s="115" t="str">
        <x:v>L 350 ; l 288 ; hauteur 32 m ; choix de composition auteur ; dimensions réelles à documenter</x:v>
      </x:c>
      <x:c r="I3824" s="115" t="str">
        <x:v>À équilibrer</x:v>
      </x:c>
      <x:c r="J3824" s="115" t="str">
        <x:v>Non</x:v>
      </x:c>
      <x:c r="K3824" s="115" t="str">
        <x:v>Pièces décrites, murs, portes, niveaux et mobilier inspectables à l’échelle. Volumes réservés, raccord au seed, butin, rencontres et services de campagne restent à terminer.</x:v>
      </x:c>
    </x:row>
    <x:row r="3825" ht="96" customHeight="1">
      <x:c r="A3825" s="115" t="str">
        <x:v>EXT-MONDE-T077-V20</x:v>
      </x:c>
      <x:c r="B3825" s="115" t="str">
        <x:v>EXT-MONDE-T077</x:v>
      </x:c>
      <x:c r="C3825" s="115" t="str">
        <x:v>Îles</x:v>
      </x:c>
      <x:c r="D3825" s="115" t="str">
        <x:v>Îlot de phare</x:v>
      </x:c>
      <x:c r="E3825" s="115" t="n">
        <x:v>20</x:v>
      </x:c>
      <x:c r="F3825" s="115" t="str">
        <x:v>Inspection physique</x:v>
      </x:c>
      <x:c r="G3825" s="115" t="str">
        <x:v>1 niveaux ; 32 pièces ; 248 segments de mur ; 0 transitions. Inspection physique ; architecture complète encore ouverte.</x:v>
      </x:c>
      <x:c r="H3825" s="115" t="str">
        <x:v>L 350 ; l 288 ; hauteur 32 m ; choix de composition auteur ; dimensions réelles à documenter</x:v>
      </x:c>
      <x:c r="I3825" s="115" t="str">
        <x:v>À équilibrer</x:v>
      </x:c>
      <x:c r="J3825" s="115" t="str">
        <x:v>Non</x:v>
      </x:c>
      <x:c r="K3825" s="115" t="str">
        <x:v>Pièces décrites, murs, portes, niveaux et mobilier inspectables à l’échelle. Volumes réservés, raccord au seed, butin, rencontres et services de campagne restent à terminer.</x:v>
      </x:c>
    </x:row>
    <x:row r="3826" ht="96" customHeight="1">
      <x:c r="A3826" s="115" t="str">
        <x:v>EXT-MONDE-T077-V21</x:v>
      </x:c>
      <x:c r="B3826" s="115" t="str">
        <x:v>EXT-MONDE-T077</x:v>
      </x:c>
      <x:c r="C3826" s="115" t="str">
        <x:v>Îles</x:v>
      </x:c>
      <x:c r="D3826" s="115" t="str">
        <x:v>Îlot de phare</x:v>
      </x:c>
      <x:c r="E3826" s="115" t="n">
        <x:v>21</x:v>
      </x:c>
      <x:c r="F3826" s="115" t="str">
        <x:v>Inspection physique</x:v>
      </x:c>
      <x:c r="G3826" s="115" t="str">
        <x:v>1 niveaux ; 32 pièces ; 248 segments de mur ; 0 transitions. Inspection physique ; architecture complète encore ouverte.</x:v>
      </x:c>
      <x:c r="H3826" s="115" t="str">
        <x:v>L 364 ; l 300 ; hauteur 32 m ; choix de composition auteur ; dimensions réelles à documenter</x:v>
      </x:c>
      <x:c r="I3826" s="115" t="str">
        <x:v>À équilibrer</x:v>
      </x:c>
      <x:c r="J3826" s="115" t="str">
        <x:v>Non</x:v>
      </x:c>
      <x:c r="K3826" s="115" t="str">
        <x:v>Pièces décrites, murs, portes, niveaux et mobilier inspectables à l’échelle. Volumes réservés, raccord au seed, butin, rencontres et services de campagne restent à terminer.</x:v>
      </x:c>
    </x:row>
    <x:row r="3827" ht="96" customHeight="1">
      <x:c r="A3827" s="115" t="str">
        <x:v>EXT-MONDE-T077-V22</x:v>
      </x:c>
      <x:c r="B3827" s="115" t="str">
        <x:v>EXT-MONDE-T077</x:v>
      </x:c>
      <x:c r="C3827" s="115" t="str">
        <x:v>Îles</x:v>
      </x:c>
      <x:c r="D3827" s="115" t="str">
        <x:v>Îlot de phare</x:v>
      </x:c>
      <x:c r="E3827" s="115" t="n">
        <x:v>22</x:v>
      </x:c>
      <x:c r="F3827" s="115" t="str">
        <x:v>Inspection physique</x:v>
      </x:c>
      <x:c r="G3827" s="115" t="str">
        <x:v>1 niveaux ; 32 pièces ; 248 segments de mur ; 0 transitions. Inspection physique ; architecture complète encore ouverte.</x:v>
      </x:c>
      <x:c r="H3827" s="115" t="str">
        <x:v>L 364 ; l 300 ; hauteur 32 m ; choix de composition auteur ; dimensions réelles à documenter</x:v>
      </x:c>
      <x:c r="I3827" s="115" t="str">
        <x:v>À équilibrer</x:v>
      </x:c>
      <x:c r="J3827" s="115" t="str">
        <x:v>Non</x:v>
      </x:c>
      <x:c r="K3827" s="115" t="str">
        <x:v>Pièces décrites, murs, portes, niveaux et mobilier inspectables à l’échelle. Volumes réservés, raccord au seed, butin, rencontres et services de campagne restent à terminer.</x:v>
      </x:c>
    </x:row>
    <x:row r="3828" ht="96" customHeight="1">
      <x:c r="A3828" s="115" t="str">
        <x:v>EXT-MONDE-T077-V23</x:v>
      </x:c>
      <x:c r="B3828" s="115" t="str">
        <x:v>EXT-MONDE-T077</x:v>
      </x:c>
      <x:c r="C3828" s="115" t="str">
        <x:v>Îles</x:v>
      </x:c>
      <x:c r="D3828" s="115" t="str">
        <x:v>Îlot de phare</x:v>
      </x:c>
      <x:c r="E3828" s="115" t="n">
        <x:v>23</x:v>
      </x:c>
      <x:c r="F3828" s="115" t="str">
        <x:v>Inspection physique</x:v>
      </x:c>
      <x:c r="G3828" s="115" t="str">
        <x:v>1 niveaux ; 32 pièces ; 248 segments de mur ; 0 transitions. Inspection physique ; architecture complète encore ouverte.</x:v>
      </x:c>
      <x:c r="H3828" s="115" t="str">
        <x:v>L 364 ; l 300 ; hauteur 32 m ; choix de composition auteur ; dimensions réelles à documenter</x:v>
      </x:c>
      <x:c r="I3828" s="115" t="str">
        <x:v>À équilibrer</x:v>
      </x:c>
      <x:c r="J3828" s="115" t="str">
        <x:v>Non</x:v>
      </x:c>
      <x:c r="K3828" s="115" t="str">
        <x:v>Pièces décrites, murs, portes, niveaux et mobilier inspectables à l’échelle. Volumes réservés, raccord au seed, butin, rencontres et services de campagne restent à terminer.</x:v>
      </x:c>
    </x:row>
    <x:row r="3829" ht="96" customHeight="1">
      <x:c r="A3829" s="115" t="str">
        <x:v>EXT-MONDE-T077-V24</x:v>
      </x:c>
      <x:c r="B3829" s="115" t="str">
        <x:v>EXT-MONDE-T077</x:v>
      </x:c>
      <x:c r="C3829" s="115" t="str">
        <x:v>Îles</x:v>
      </x:c>
      <x:c r="D3829" s="115" t="str">
        <x:v>Îlot de phare</x:v>
      </x:c>
      <x:c r="E3829" s="115" t="n">
        <x:v>24</x:v>
      </x:c>
      <x:c r="F3829" s="115" t="str">
        <x:v>Inspection physique</x:v>
      </x:c>
      <x:c r="G3829" s="115" t="str">
        <x:v>1 niveaux ; 32 pièces ; 248 segments de mur ; 0 transitions. Inspection physique ; architecture complète encore ouverte.</x:v>
      </x:c>
      <x:c r="H3829" s="115" t="str">
        <x:v>L 364 ; l 300 ; hauteur 32 m ; choix de composition auteur ; dimensions réelles à documenter</x:v>
      </x:c>
      <x:c r="I3829" s="115" t="str">
        <x:v>À équilibrer</x:v>
      </x:c>
      <x:c r="J3829" s="115" t="str">
        <x:v>Non</x:v>
      </x:c>
      <x:c r="K3829" s="115" t="str">
        <x:v>Pièces décrites, murs, portes, niveaux et mobilier inspectables à l’échelle. Volumes réservés, raccord au seed, butin, rencontres et services de campagne restent à terminer.</x:v>
      </x:c>
    </x:row>
    <x:row r="3830" ht="96" customHeight="1">
      <x:c r="A3830" s="115" t="str">
        <x:v>EXT-MONDE-T077-V25</x:v>
      </x:c>
      <x:c r="B3830" s="115" t="str">
        <x:v>EXT-MONDE-T077</x:v>
      </x:c>
      <x:c r="C3830" s="115" t="str">
        <x:v>Îles</x:v>
      </x:c>
      <x:c r="D3830" s="115" t="str">
        <x:v>Îlot de phare</x:v>
      </x:c>
      <x:c r="E3830" s="115" t="n">
        <x:v>25</x:v>
      </x:c>
      <x:c r="F3830" s="115" t="str">
        <x:v>Inspection physique</x:v>
      </x:c>
      <x:c r="G3830" s="115" t="str">
        <x:v>1 niveaux ; 32 pièces ; 248 segments de mur ; 0 transitions. Inspection physique ; architecture complète encore ouverte.</x:v>
      </x:c>
      <x:c r="H3830" s="115" t="str">
        <x:v>L 364 ; l 300 ; hauteur 32 m ; choix de composition auteur ; dimensions réelles à documenter</x:v>
      </x:c>
      <x:c r="I3830" s="115" t="str">
        <x:v>À équilibrer</x:v>
      </x:c>
      <x:c r="J3830" s="115" t="str">
        <x:v>Non</x:v>
      </x:c>
      <x:c r="K3830" s="115" t="str">
        <x:v>Pièces décrites, murs, portes, niveaux et mobilier inspectables à l’échelle. Volumes réservés, raccord au seed, butin, rencontres et services de campagne restent à terminer.</x:v>
      </x:c>
    </x:row>
    <x:row r="3831" ht="96" customHeight="1">
      <x:c r="A3831" s="115" t="str">
        <x:v>EXT-MONDE-T077-V26</x:v>
      </x:c>
      <x:c r="B3831" s="115" t="str">
        <x:v>EXT-MONDE-T077</x:v>
      </x:c>
      <x:c r="C3831" s="115" t="str">
        <x:v>Îles</x:v>
      </x:c>
      <x:c r="D3831" s="115" t="str">
        <x:v>Îlot de phare</x:v>
      </x:c>
      <x:c r="E3831" s="115" t="n">
        <x:v>26</x:v>
      </x:c>
      <x:c r="F3831" s="115" t="str">
        <x:v>Inspection physique</x:v>
      </x:c>
      <x:c r="G3831" s="115" t="str">
        <x:v>1 niveaux ; 32 pièces ; 248 segments de mur ; 0 transitions. Inspection physique ; architecture complète encore ouverte.</x:v>
      </x:c>
      <x:c r="H3831" s="115" t="str">
        <x:v>L 364 ; l 300 ; hauteur 32 m ; choix de composition auteur ; dimensions réelles à documenter</x:v>
      </x:c>
      <x:c r="I3831" s="115" t="str">
        <x:v>À équilibrer</x:v>
      </x:c>
      <x:c r="J3831" s="115" t="str">
        <x:v>Non</x:v>
      </x:c>
      <x:c r="K3831" s="115" t="str">
        <x:v>Pièces décrites, murs, portes, niveaux et mobilier inspectables à l’échelle. Volumes réservés, raccord au seed, butin, rencontres et services de campagne restent à terminer.</x:v>
      </x:c>
    </x:row>
    <x:row r="3832" ht="96" customHeight="1">
      <x:c r="A3832" s="115" t="str">
        <x:v>EXT-MONDE-T077-V27</x:v>
      </x:c>
      <x:c r="B3832" s="115" t="str">
        <x:v>EXT-MONDE-T077</x:v>
      </x:c>
      <x:c r="C3832" s="115" t="str">
        <x:v>Îles</x:v>
      </x:c>
      <x:c r="D3832" s="115" t="str">
        <x:v>Îlot de phare</x:v>
      </x:c>
      <x:c r="E3832" s="115" t="n">
        <x:v>27</x:v>
      </x:c>
      <x:c r="F3832" s="115" t="str">
        <x:v>Inspection physique</x:v>
      </x:c>
      <x:c r="G3832" s="115" t="str">
        <x:v>1 niveaux ; 32 pièces ; 248 segments de mur ; 0 transitions. Inspection physique ; architecture complète encore ouverte.</x:v>
      </x:c>
      <x:c r="H3832" s="115" t="str">
        <x:v>L 364 ; l 300 ; hauteur 32 m ; choix de composition auteur ; dimensions réelles à documenter</x:v>
      </x:c>
      <x:c r="I3832" s="115" t="str">
        <x:v>À équilibrer</x:v>
      </x:c>
      <x:c r="J3832" s="115" t="str">
        <x:v>Non</x:v>
      </x:c>
      <x:c r="K3832" s="115" t="str">
        <x:v>Pièces décrites, murs, portes, niveaux et mobilier inspectables à l’échelle. Volumes réservés, raccord au seed, butin, rencontres et services de campagne restent à terminer.</x:v>
      </x:c>
    </x:row>
    <x:row r="3833" ht="96" customHeight="1">
      <x:c r="A3833" s="115" t="str">
        <x:v>EXT-MONDE-T077-V28</x:v>
      </x:c>
      <x:c r="B3833" s="115" t="str">
        <x:v>EXT-MONDE-T077</x:v>
      </x:c>
      <x:c r="C3833" s="115" t="str">
        <x:v>Îles</x:v>
      </x:c>
      <x:c r="D3833" s="115" t="str">
        <x:v>Îlot de phare</x:v>
      </x:c>
      <x:c r="E3833" s="115" t="n">
        <x:v>28</x:v>
      </x:c>
      <x:c r="F3833" s="115" t="str">
        <x:v>Inspection physique</x:v>
      </x:c>
      <x:c r="G3833" s="115" t="str">
        <x:v>1 niveaux ; 32 pièces ; 248 segments de mur ; 0 transitions. Inspection physique ; architecture complète encore ouverte.</x:v>
      </x:c>
      <x:c r="H3833" s="115" t="str">
        <x:v>L 364 ; l 300 ; hauteur 32 m ; choix de composition auteur ; dimensions réelles à documenter</x:v>
      </x:c>
      <x:c r="I3833" s="115" t="str">
        <x:v>À équilibrer</x:v>
      </x:c>
      <x:c r="J3833" s="115" t="str">
        <x:v>Non</x:v>
      </x:c>
      <x:c r="K3833" s="115" t="str">
        <x:v>Pièces décrites, murs, portes, niveaux et mobilier inspectables à l’échelle. Volumes réservés, raccord au seed, butin, rencontres et services de campagne restent à terminer.</x:v>
      </x:c>
    </x:row>
    <x:row r="3834" ht="96" customHeight="1">
      <x:c r="A3834" s="115" t="str">
        <x:v>EXT-MONDE-T077-V29</x:v>
      </x:c>
      <x:c r="B3834" s="115" t="str">
        <x:v>EXT-MONDE-T077</x:v>
      </x:c>
      <x:c r="C3834" s="115" t="str">
        <x:v>Îles</x:v>
      </x:c>
      <x:c r="D3834" s="115" t="str">
        <x:v>Îlot de phare</x:v>
      </x:c>
      <x:c r="E3834" s="115" t="n">
        <x:v>29</x:v>
      </x:c>
      <x:c r="F3834" s="115" t="str">
        <x:v>Inspection physique</x:v>
      </x:c>
      <x:c r="G3834" s="115" t="str">
        <x:v>1 niveaux ; 32 pièces ; 248 segments de mur ; 0 transitions. Inspection physique ; architecture complète encore ouverte.</x:v>
      </x:c>
      <x:c r="H3834" s="115" t="str">
        <x:v>L 364 ; l 300 ; hauteur 32 m ; choix de composition auteur ; dimensions réelles à documenter</x:v>
      </x:c>
      <x:c r="I3834" s="115" t="str">
        <x:v>À équilibrer</x:v>
      </x:c>
      <x:c r="J3834" s="115" t="str">
        <x:v>Non</x:v>
      </x:c>
      <x:c r="K3834" s="115" t="str">
        <x:v>Pièces décrites, murs, portes, niveaux et mobilier inspectables à l’échelle. Volumes réservés, raccord au seed, butin, rencontres et services de campagne restent à terminer.</x:v>
      </x:c>
    </x:row>
    <x:row r="3835" ht="96" customHeight="1">
      <x:c r="A3835" s="115" t="str">
        <x:v>EXT-MONDE-T077-V30</x:v>
      </x:c>
      <x:c r="B3835" s="115" t="str">
        <x:v>EXT-MONDE-T077</x:v>
      </x:c>
      <x:c r="C3835" s="115" t="str">
        <x:v>Îles</x:v>
      </x:c>
      <x:c r="D3835" s="115" t="str">
        <x:v>Îlot de phare</x:v>
      </x:c>
      <x:c r="E3835" s="115" t="n">
        <x:v>30</x:v>
      </x:c>
      <x:c r="F3835" s="115" t="str">
        <x:v>Inspection physique</x:v>
      </x:c>
      <x:c r="G3835" s="115" t="str">
        <x:v>1 niveaux ; 32 pièces ; 248 segments de mur ; 0 transitions. Inspection physique ; architecture complète encore ouverte.</x:v>
      </x:c>
      <x:c r="H3835" s="115" t="str">
        <x:v>L 364 ; l 300 ; hauteur 32 m ; choix de composition auteur ; dimensions réelles à documenter</x:v>
      </x:c>
      <x:c r="I3835" s="115" t="str">
        <x:v>À équilibrer</x:v>
      </x:c>
      <x:c r="J3835" s="115" t="str">
        <x:v>Non</x:v>
      </x:c>
      <x:c r="K3835" s="115" t="str">
        <x:v>Pièces décrites, murs, portes, niveaux et mobilier inspectables à l’échelle. Volumes réservés, raccord au seed, butin, rencontres et services de campagne restent à terminer.</x:v>
      </x:c>
    </x:row>
    <x:row r="3836" ht="96" customHeight="1">
      <x:c r="A3836" s="115" t="str">
        <x:v>EXT-MONDE-T077-V31</x:v>
      </x:c>
      <x:c r="B3836" s="115" t="str">
        <x:v>EXT-MONDE-T077</x:v>
      </x:c>
      <x:c r="C3836" s="115" t="str">
        <x:v>Îles</x:v>
      </x:c>
      <x:c r="D3836" s="115" t="str">
        <x:v>Îlot de phare</x:v>
      </x:c>
      <x:c r="E3836" s="115" t="n">
        <x:v>31</x:v>
      </x:c>
      <x:c r="F3836" s="115" t="str">
        <x:v>Inspection physique</x:v>
      </x:c>
      <x:c r="G3836" s="115" t="str">
        <x:v>1 niveaux ; 32 pièces ; 248 segments de mur ; 0 transitions. Inspection physique ; architecture complète encore ouverte.</x:v>
      </x:c>
      <x:c r="H3836" s="115" t="str">
        <x:v>L 378 ; l 312 ; hauteur 32 m ; choix de composition auteur ; dimensions réelles à documenter</x:v>
      </x:c>
      <x:c r="I3836" s="115" t="str">
        <x:v>À équilibrer</x:v>
      </x:c>
      <x:c r="J3836" s="115" t="str">
        <x:v>Non</x:v>
      </x:c>
      <x:c r="K3836" s="115" t="str">
        <x:v>Pièces décrites, murs, portes, niveaux et mobilier inspectables à l’échelle. Volumes réservés, raccord au seed, butin, rencontres et services de campagne restent à terminer.</x:v>
      </x:c>
    </x:row>
    <x:row r="3837" ht="96" customHeight="1">
      <x:c r="A3837" s="115" t="str">
        <x:v>EXT-MONDE-T077-V32</x:v>
      </x:c>
      <x:c r="B3837" s="115" t="str">
        <x:v>EXT-MONDE-T077</x:v>
      </x:c>
      <x:c r="C3837" s="115" t="str">
        <x:v>Îles</x:v>
      </x:c>
      <x:c r="D3837" s="115" t="str">
        <x:v>Îlot de phare</x:v>
      </x:c>
      <x:c r="E3837" s="115" t="n">
        <x:v>32</x:v>
      </x:c>
      <x:c r="F3837" s="115" t="str">
        <x:v>Inspection physique</x:v>
      </x:c>
      <x:c r="G3837" s="115" t="str">
        <x:v>1 niveaux ; 32 pièces ; 248 segments de mur ; 0 transitions. Inspection physique ; architecture complète encore ouverte.</x:v>
      </x:c>
      <x:c r="H3837" s="115" t="str">
        <x:v>L 378 ; l 312 ; hauteur 32 m ; choix de composition auteur ; dimensions réelles à documenter</x:v>
      </x:c>
      <x:c r="I3837" s="115" t="str">
        <x:v>À équilibrer</x:v>
      </x:c>
      <x:c r="J3837" s="115" t="str">
        <x:v>Non</x:v>
      </x:c>
      <x:c r="K3837" s="115" t="str">
        <x:v>Pièces décrites, murs, portes, niveaux et mobilier inspectables à l’échelle. Volumes réservés, raccord au seed, butin, rencontres et services de campagne restent à terminer.</x:v>
      </x:c>
    </x:row>
    <x:row r="3838" ht="96" customHeight="1">
      <x:c r="A3838" s="115" t="str">
        <x:v>EXT-MONDE-T077-V33</x:v>
      </x:c>
      <x:c r="B3838" s="115" t="str">
        <x:v>EXT-MONDE-T077</x:v>
      </x:c>
      <x:c r="C3838" s="115" t="str">
        <x:v>Îles</x:v>
      </x:c>
      <x:c r="D3838" s="115" t="str">
        <x:v>Îlot de phare</x:v>
      </x:c>
      <x:c r="E3838" s="115" t="n">
        <x:v>33</x:v>
      </x:c>
      <x:c r="F3838" s="115" t="str">
        <x:v>Inspection physique</x:v>
      </x:c>
      <x:c r="G3838" s="115" t="str">
        <x:v>1 niveaux ; 32 pièces ; 248 segments de mur ; 0 transitions. Inspection physique ; architecture complète encore ouverte.</x:v>
      </x:c>
      <x:c r="H3838" s="115" t="str">
        <x:v>L 378 ; l 312 ; hauteur 32 m ; choix de composition auteur ; dimensions réelles à documenter</x:v>
      </x:c>
      <x:c r="I3838" s="115" t="str">
        <x:v>À équilibrer</x:v>
      </x:c>
      <x:c r="J3838" s="115" t="str">
        <x:v>Non</x:v>
      </x:c>
      <x:c r="K3838" s="115" t="str">
        <x:v>Pièces décrites, murs, portes, niveaux et mobilier inspectables à l’échelle. Volumes réservés, raccord au seed, butin, rencontres et services de campagne restent à terminer.</x:v>
      </x:c>
    </x:row>
    <x:row r="3839" ht="96" customHeight="1">
      <x:c r="A3839" s="115" t="str">
        <x:v>EXT-MONDE-T077-V34</x:v>
      </x:c>
      <x:c r="B3839" s="115" t="str">
        <x:v>EXT-MONDE-T077</x:v>
      </x:c>
      <x:c r="C3839" s="115" t="str">
        <x:v>Îles</x:v>
      </x:c>
      <x:c r="D3839" s="115" t="str">
        <x:v>Îlot de phare</x:v>
      </x:c>
      <x:c r="E3839" s="115" t="n">
        <x:v>34</x:v>
      </x:c>
      <x:c r="F3839" s="115" t="str">
        <x:v>Inspection physique</x:v>
      </x:c>
      <x:c r="G3839" s="115" t="str">
        <x:v>1 niveaux ; 32 pièces ; 248 segments de mur ; 0 transitions. Inspection physique ; architecture complète encore ouverte.</x:v>
      </x:c>
      <x:c r="H3839" s="115" t="str">
        <x:v>L 378 ; l 312 ; hauteur 32 m ; choix de composition auteur ; dimensions réelles à documenter</x:v>
      </x:c>
      <x:c r="I3839" s="115" t="str">
        <x:v>À équilibrer</x:v>
      </x:c>
      <x:c r="J3839" s="115" t="str">
        <x:v>Non</x:v>
      </x:c>
      <x:c r="K3839" s="115" t="str">
        <x:v>Pièces décrites, murs, portes, niveaux et mobilier inspectables à l’échelle. Volumes réservés, raccord au seed, butin, rencontres et services de campagne restent à terminer.</x:v>
      </x:c>
    </x:row>
    <x:row r="3840" ht="96" customHeight="1">
      <x:c r="A3840" s="115" t="str">
        <x:v>EXT-MONDE-T077-V35</x:v>
      </x:c>
      <x:c r="B3840" s="115" t="str">
        <x:v>EXT-MONDE-T077</x:v>
      </x:c>
      <x:c r="C3840" s="115" t="str">
        <x:v>Îles</x:v>
      </x:c>
      <x:c r="D3840" s="115" t="str">
        <x:v>Îlot de phare</x:v>
      </x:c>
      <x:c r="E3840" s="115" t="n">
        <x:v>35</x:v>
      </x:c>
      <x:c r="F3840" s="115" t="str">
        <x:v>Inspection physique</x:v>
      </x:c>
      <x:c r="G3840" s="115" t="str">
        <x:v>1 niveaux ; 32 pièces ; 248 segments de mur ; 0 transitions. Inspection physique ; architecture complète encore ouverte.</x:v>
      </x:c>
      <x:c r="H3840" s="115" t="str">
        <x:v>L 378 ; l 312 ; hauteur 32 m ; choix de composition auteur ; dimensions réelles à documenter</x:v>
      </x:c>
      <x:c r="I3840" s="115" t="str">
        <x:v>À équilibrer</x:v>
      </x:c>
      <x:c r="J3840" s="115" t="str">
        <x:v>Non</x:v>
      </x:c>
      <x:c r="K3840" s="115" t="str">
        <x:v>Pièces décrites, murs, portes, niveaux et mobilier inspectables à l’échelle. Volumes réservés, raccord au seed, butin, rencontres et services de campagne restent à terminer.</x:v>
      </x:c>
    </x:row>
    <x:row r="3841" ht="96" customHeight="1">
      <x:c r="A3841" s="115" t="str">
        <x:v>EXT-MONDE-T077-V36</x:v>
      </x:c>
      <x:c r="B3841" s="115" t="str">
        <x:v>EXT-MONDE-T077</x:v>
      </x:c>
      <x:c r="C3841" s="115" t="str">
        <x:v>Îles</x:v>
      </x:c>
      <x:c r="D3841" s="115" t="str">
        <x:v>Îlot de phare</x:v>
      </x:c>
      <x:c r="E3841" s="115" t="n">
        <x:v>36</x:v>
      </x:c>
      <x:c r="F3841" s="115" t="str">
        <x:v>Inspection physique</x:v>
      </x:c>
      <x:c r="G3841" s="115" t="str">
        <x:v>1 niveaux ; 32 pièces ; 248 segments de mur ; 0 transitions. Inspection physique ; architecture complète encore ouverte.</x:v>
      </x:c>
      <x:c r="H3841" s="115" t="str">
        <x:v>L 378 ; l 312 ; hauteur 32 m ; choix de composition auteur ; dimensions réelles à documenter</x:v>
      </x:c>
      <x:c r="I3841" s="115" t="str">
        <x:v>À équilibrer</x:v>
      </x:c>
      <x:c r="J3841" s="115" t="str">
        <x:v>Non</x:v>
      </x:c>
      <x:c r="K3841" s="115" t="str">
        <x:v>Pièces décrites, murs, portes, niveaux et mobilier inspectables à l’échelle. Volumes réservés, raccord au seed, butin, rencontres et services de campagne restent à terminer.</x:v>
      </x:c>
    </x:row>
    <x:row r="3842" ht="96" customHeight="1">
      <x:c r="A3842" s="115" t="str">
        <x:v>EXT-MONDE-T077-V37</x:v>
      </x:c>
      <x:c r="B3842" s="115" t="str">
        <x:v>EXT-MONDE-T077</x:v>
      </x:c>
      <x:c r="C3842" s="115" t="str">
        <x:v>Îles</x:v>
      </x:c>
      <x:c r="D3842" s="115" t="str">
        <x:v>Îlot de phare</x:v>
      </x:c>
      <x:c r="E3842" s="115" t="n">
        <x:v>37</x:v>
      </x:c>
      <x:c r="F3842" s="115" t="str">
        <x:v>Inspection physique</x:v>
      </x:c>
      <x:c r="G3842" s="115" t="str">
        <x:v>1 niveaux ; 32 pièces ; 248 segments de mur ; 0 transitions. Inspection physique ; architecture complète encore ouverte.</x:v>
      </x:c>
      <x:c r="H3842" s="115" t="str">
        <x:v>L 378 ; l 312 ; hauteur 32 m ; choix de composition auteur ; dimensions réelles à documenter</x:v>
      </x:c>
      <x:c r="I3842" s="115" t="str">
        <x:v>À équilibrer</x:v>
      </x:c>
      <x:c r="J3842" s="115" t="str">
        <x:v>Non</x:v>
      </x:c>
      <x:c r="K3842" s="115" t="str">
        <x:v>Pièces décrites, murs, portes, niveaux et mobilier inspectables à l’échelle. Volumes réservés, raccord au seed, butin, rencontres et services de campagne restent à terminer.</x:v>
      </x:c>
    </x:row>
    <x:row r="3843" ht="96" customHeight="1">
      <x:c r="A3843" s="115" t="str">
        <x:v>EXT-MONDE-T077-V38</x:v>
      </x:c>
      <x:c r="B3843" s="115" t="str">
        <x:v>EXT-MONDE-T077</x:v>
      </x:c>
      <x:c r="C3843" s="115" t="str">
        <x:v>Îles</x:v>
      </x:c>
      <x:c r="D3843" s="115" t="str">
        <x:v>Îlot de phare</x:v>
      </x:c>
      <x:c r="E3843" s="115" t="n">
        <x:v>38</x:v>
      </x:c>
      <x:c r="F3843" s="115" t="str">
        <x:v>Inspection physique</x:v>
      </x:c>
      <x:c r="G3843" s="115" t="str">
        <x:v>1 niveaux ; 32 pièces ; 248 segments de mur ; 0 transitions. Inspection physique ; architecture complète encore ouverte.</x:v>
      </x:c>
      <x:c r="H3843" s="115" t="str">
        <x:v>L 378 ; l 312 ; hauteur 32 m ; choix de composition auteur ; dimensions réelles à documenter</x:v>
      </x:c>
      <x:c r="I3843" s="115" t="str">
        <x:v>À équilibrer</x:v>
      </x:c>
      <x:c r="J3843" s="115" t="str">
        <x:v>Non</x:v>
      </x:c>
      <x:c r="K3843" s="115" t="str">
        <x:v>Pièces décrites, murs, portes, niveaux et mobilier inspectables à l’échelle. Volumes réservés, raccord au seed, butin, rencontres et services de campagne restent à terminer.</x:v>
      </x:c>
    </x:row>
    <x:row r="3844" ht="96" customHeight="1">
      <x:c r="A3844" s="115" t="str">
        <x:v>EXT-MONDE-T077-V39</x:v>
      </x:c>
      <x:c r="B3844" s="115" t="str">
        <x:v>EXT-MONDE-T077</x:v>
      </x:c>
      <x:c r="C3844" s="115" t="str">
        <x:v>Îles</x:v>
      </x:c>
      <x:c r="D3844" s="115" t="str">
        <x:v>Îlot de phare</x:v>
      </x:c>
      <x:c r="E3844" s="115" t="n">
        <x:v>39</x:v>
      </x:c>
      <x:c r="F3844" s="115" t="str">
        <x:v>Inspection physique</x:v>
      </x:c>
      <x:c r="G3844" s="115" t="str">
        <x:v>1 niveaux ; 32 pièces ; 248 segments de mur ; 0 transitions. Inspection physique ; architecture complète encore ouverte.</x:v>
      </x:c>
      <x:c r="H3844" s="115" t="str">
        <x:v>L 378 ; l 312 ; hauteur 32 m ; choix de composition auteur ; dimensions réelles à documenter</x:v>
      </x:c>
      <x:c r="I3844" s="115" t="str">
        <x:v>À équilibrer</x:v>
      </x:c>
      <x:c r="J3844" s="115" t="str">
        <x:v>Non</x:v>
      </x:c>
      <x:c r="K3844" s="115" t="str">
        <x:v>Pièces décrites, murs, portes, niveaux et mobilier inspectables à l’échelle. Volumes réservés, raccord au seed, butin, rencontres et services de campagne restent à terminer.</x:v>
      </x:c>
    </x:row>
    <x:row r="3845" ht="96" customHeight="1">
      <x:c r="A3845" s="115" t="str">
        <x:v>EXT-MONDE-T077-V40</x:v>
      </x:c>
      <x:c r="B3845" s="115" t="str">
        <x:v>EXT-MONDE-T077</x:v>
      </x:c>
      <x:c r="C3845" s="115" t="str">
        <x:v>Îles</x:v>
      </x:c>
      <x:c r="D3845" s="115" t="str">
        <x:v>Îlot de phare</x:v>
      </x:c>
      <x:c r="E3845" s="115" t="n">
        <x:v>40</x:v>
      </x:c>
      <x:c r="F3845" s="115" t="str">
        <x:v>Inspection physique</x:v>
      </x:c>
      <x:c r="G3845" s="115" t="str">
        <x:v>1 niveaux ; 32 pièces ; 248 segments de mur ; 0 transitions. Inspection physique ; architecture complète encore ouverte.</x:v>
      </x:c>
      <x:c r="H3845" s="115" t="str">
        <x:v>L 378 ; l 312 ; hauteur 32 m ; choix de composition auteur ; dimensions réelles à documenter</x:v>
      </x:c>
      <x:c r="I3845" s="115" t="str">
        <x:v>À équilibrer</x:v>
      </x:c>
      <x:c r="J3845" s="115" t="str">
        <x:v>Non</x:v>
      </x:c>
      <x:c r="K3845" s="115" t="str">
        <x:v>Pièces décrites, murs, portes, niveaux et mobilier inspectables à l’échelle. Volumes réservés, raccord au seed, butin, rencontres et services de campagne restent à terminer.</x:v>
      </x:c>
    </x:row>
    <x:row r="3846" ht="96" customHeight="1">
      <x:c r="A3846" s="115" t="str">
        <x:v>EXT-MONDE-T077-V41</x:v>
      </x:c>
      <x:c r="B3846" s="115" t="str">
        <x:v>EXT-MONDE-T077</x:v>
      </x:c>
      <x:c r="C3846" s="115" t="str">
        <x:v>Îles</x:v>
      </x:c>
      <x:c r="D3846" s="115" t="str">
        <x:v>Îlot de phare</x:v>
      </x:c>
      <x:c r="E3846" s="115" t="n">
        <x:v>41</x:v>
      </x:c>
      <x:c r="F3846" s="115" t="str">
        <x:v>Inspection physique</x:v>
      </x:c>
      <x:c r="G3846" s="115" t="str">
        <x:v>1 niveaux ; 32 pièces ; 248 segments de mur ; 0 transitions. Inspection physique ; architecture complète encore ouverte.</x:v>
      </x:c>
      <x:c r="H3846" s="115" t="str">
        <x:v>L 392 ; l 324 ; hauteur 32 m ; choix de composition auteur ; dimensions réelles à documenter</x:v>
      </x:c>
      <x:c r="I3846" s="115" t="str">
        <x:v>À équilibrer</x:v>
      </x:c>
      <x:c r="J3846" s="115" t="str">
        <x:v>Non</x:v>
      </x:c>
      <x:c r="K3846" s="115" t="str">
        <x:v>Pièces décrites, murs, portes, niveaux et mobilier inspectables à l’échelle. Volumes réservés, raccord au seed, butin, rencontres et services de campagne restent à terminer.</x:v>
      </x:c>
    </x:row>
    <x:row r="3847" ht="96" customHeight="1">
      <x:c r="A3847" s="115" t="str">
        <x:v>EXT-MONDE-T077-V42</x:v>
      </x:c>
      <x:c r="B3847" s="115" t="str">
        <x:v>EXT-MONDE-T077</x:v>
      </x:c>
      <x:c r="C3847" s="115" t="str">
        <x:v>Îles</x:v>
      </x:c>
      <x:c r="D3847" s="115" t="str">
        <x:v>Îlot de phare</x:v>
      </x:c>
      <x:c r="E3847" s="115" t="n">
        <x:v>42</x:v>
      </x:c>
      <x:c r="F3847" s="115" t="str">
        <x:v>Inspection physique</x:v>
      </x:c>
      <x:c r="G3847" s="115" t="str">
        <x:v>1 niveaux ; 32 pièces ; 248 segments de mur ; 0 transitions. Inspection physique ; architecture complète encore ouverte.</x:v>
      </x:c>
      <x:c r="H3847" s="115" t="str">
        <x:v>L 392 ; l 324 ; hauteur 32 m ; choix de composition auteur ; dimensions réelles à documenter</x:v>
      </x:c>
      <x:c r="I3847" s="115" t="str">
        <x:v>À équilibrer</x:v>
      </x:c>
      <x:c r="J3847" s="115" t="str">
        <x:v>Non</x:v>
      </x:c>
      <x:c r="K3847" s="115" t="str">
        <x:v>Pièces décrites, murs, portes, niveaux et mobilier inspectables à l’échelle. Volumes réservés, raccord au seed, butin, rencontres et services de campagne restent à terminer.</x:v>
      </x:c>
    </x:row>
    <x:row r="3848" ht="96" customHeight="1">
      <x:c r="A3848" s="115" t="str">
        <x:v>EXT-MONDE-T077-V43</x:v>
      </x:c>
      <x:c r="B3848" s="115" t="str">
        <x:v>EXT-MONDE-T077</x:v>
      </x:c>
      <x:c r="C3848" s="115" t="str">
        <x:v>Îles</x:v>
      </x:c>
      <x:c r="D3848" s="115" t="str">
        <x:v>Îlot de phare</x:v>
      </x:c>
      <x:c r="E3848" s="115" t="n">
        <x:v>43</x:v>
      </x:c>
      <x:c r="F3848" s="115" t="str">
        <x:v>Inspection physique</x:v>
      </x:c>
      <x:c r="G3848" s="115" t="str">
        <x:v>1 niveaux ; 32 pièces ; 248 segments de mur ; 0 transitions. Inspection physique ; architecture complète encore ouverte.</x:v>
      </x:c>
      <x:c r="H3848" s="115" t="str">
        <x:v>L 392 ; l 324 ; hauteur 32 m ; choix de composition auteur ; dimensions réelles à documenter</x:v>
      </x:c>
      <x:c r="I3848" s="115" t="str">
        <x:v>À équilibrer</x:v>
      </x:c>
      <x:c r="J3848" s="115" t="str">
        <x:v>Non</x:v>
      </x:c>
      <x:c r="K3848" s="115" t="str">
        <x:v>Pièces décrites, murs, portes, niveaux et mobilier inspectables à l’échelle. Volumes réservés, raccord au seed, butin, rencontres et services de campagne restent à terminer.</x:v>
      </x:c>
    </x:row>
    <x:row r="3849" ht="96" customHeight="1">
      <x:c r="A3849" s="115" t="str">
        <x:v>EXT-MONDE-T077-V44</x:v>
      </x:c>
      <x:c r="B3849" s="115" t="str">
        <x:v>EXT-MONDE-T077</x:v>
      </x:c>
      <x:c r="C3849" s="115" t="str">
        <x:v>Îles</x:v>
      </x:c>
      <x:c r="D3849" s="115" t="str">
        <x:v>Îlot de phare</x:v>
      </x:c>
      <x:c r="E3849" s="115" t="n">
        <x:v>44</x:v>
      </x:c>
      <x:c r="F3849" s="115" t="str">
        <x:v>Inspection physique</x:v>
      </x:c>
      <x:c r="G3849" s="115" t="str">
        <x:v>1 niveaux ; 32 pièces ; 248 segments de mur ; 0 transitions. Inspection physique ; architecture complète encore ouverte.</x:v>
      </x:c>
      <x:c r="H3849" s="115" t="str">
        <x:v>L 392 ; l 324 ; hauteur 32 m ; choix de composition auteur ; dimensions réelles à documenter</x:v>
      </x:c>
      <x:c r="I3849" s="115" t="str">
        <x:v>À équilibrer</x:v>
      </x:c>
      <x:c r="J3849" s="115" t="str">
        <x:v>Non</x:v>
      </x:c>
      <x:c r="K3849" s="115" t="str">
        <x:v>Pièces décrites, murs, portes, niveaux et mobilier inspectables à l’échelle. Volumes réservés, raccord au seed, butin, rencontres et services de campagne restent à terminer.</x:v>
      </x:c>
    </x:row>
    <x:row r="3850" ht="96" customHeight="1">
      <x:c r="A3850" s="115" t="str">
        <x:v>EXT-MONDE-T077-V45</x:v>
      </x:c>
      <x:c r="B3850" s="115" t="str">
        <x:v>EXT-MONDE-T077</x:v>
      </x:c>
      <x:c r="C3850" s="115" t="str">
        <x:v>Îles</x:v>
      </x:c>
      <x:c r="D3850" s="115" t="str">
        <x:v>Îlot de phare</x:v>
      </x:c>
      <x:c r="E3850" s="115" t="n">
        <x:v>45</x:v>
      </x:c>
      <x:c r="F3850" s="115" t="str">
        <x:v>Inspection physique</x:v>
      </x:c>
      <x:c r="G3850" s="115" t="str">
        <x:v>1 niveaux ; 32 pièces ; 248 segments de mur ; 0 transitions. Inspection physique ; architecture complète encore ouverte.</x:v>
      </x:c>
      <x:c r="H3850" s="115" t="str">
        <x:v>L 392 ; l 324 ; hauteur 32 m ; choix de composition auteur ; dimensions réelles à documenter</x:v>
      </x:c>
      <x:c r="I3850" s="115" t="str">
        <x:v>À équilibrer</x:v>
      </x:c>
      <x:c r="J3850" s="115" t="str">
        <x:v>Non</x:v>
      </x:c>
      <x:c r="K3850" s="115" t="str">
        <x:v>Pièces décrites, murs, portes, niveaux et mobilier inspectables à l’échelle. Volumes réservés, raccord au seed, butin, rencontres et services de campagne restent à terminer.</x:v>
      </x:c>
    </x:row>
    <x:row r="3851" ht="96" customHeight="1">
      <x:c r="A3851" s="115" t="str">
        <x:v>EXT-MONDE-T077-V46</x:v>
      </x:c>
      <x:c r="B3851" s="115" t="str">
        <x:v>EXT-MONDE-T077</x:v>
      </x:c>
      <x:c r="C3851" s="115" t="str">
        <x:v>Îles</x:v>
      </x:c>
      <x:c r="D3851" s="115" t="str">
        <x:v>Îlot de phare</x:v>
      </x:c>
      <x:c r="E3851" s="115" t="n">
        <x:v>46</x:v>
      </x:c>
      <x:c r="F3851" s="115" t="str">
        <x:v>Inspection physique</x:v>
      </x:c>
      <x:c r="G3851" s="115" t="str">
        <x:v>1 niveaux ; 32 pièces ; 248 segments de mur ; 0 transitions. Inspection physique ; architecture complète encore ouverte.</x:v>
      </x:c>
      <x:c r="H3851" s="115" t="str">
        <x:v>L 392 ; l 324 ; hauteur 32 m ; choix de composition auteur ; dimensions réelles à documenter</x:v>
      </x:c>
      <x:c r="I3851" s="115" t="str">
        <x:v>À équilibrer</x:v>
      </x:c>
      <x:c r="J3851" s="115" t="str">
        <x:v>Non</x:v>
      </x:c>
      <x:c r="K3851" s="115" t="str">
        <x:v>Pièces décrites, murs, portes, niveaux et mobilier inspectables à l’échelle. Volumes réservés, raccord au seed, butin, rencontres et services de campagne restent à terminer.</x:v>
      </x:c>
    </x:row>
    <x:row r="3852" ht="96" customHeight="1">
      <x:c r="A3852" s="115" t="str">
        <x:v>EXT-MONDE-T077-V47</x:v>
      </x:c>
      <x:c r="B3852" s="115" t="str">
        <x:v>EXT-MONDE-T077</x:v>
      </x:c>
      <x:c r="C3852" s="115" t="str">
        <x:v>Îles</x:v>
      </x:c>
      <x:c r="D3852" s="115" t="str">
        <x:v>Îlot de phare</x:v>
      </x:c>
      <x:c r="E3852" s="115" t="n">
        <x:v>47</x:v>
      </x:c>
      <x:c r="F3852" s="115" t="str">
        <x:v>Inspection physique</x:v>
      </x:c>
      <x:c r="G3852" s="115" t="str">
        <x:v>1 niveaux ; 32 pièces ; 248 segments de mur ; 0 transitions. Inspection physique ; architecture complète encore ouverte.</x:v>
      </x:c>
      <x:c r="H3852" s="115" t="str">
        <x:v>L 392 ; l 324 ; hauteur 32 m ; choix de composition auteur ; dimensions réelles à documenter</x:v>
      </x:c>
      <x:c r="I3852" s="115" t="str">
        <x:v>À équilibrer</x:v>
      </x:c>
      <x:c r="J3852" s="115" t="str">
        <x:v>Non</x:v>
      </x:c>
      <x:c r="K3852" s="115" t="str">
        <x:v>Pièces décrites, murs, portes, niveaux et mobilier inspectables à l’échelle. Volumes réservés, raccord au seed, butin, rencontres et services de campagne restent à terminer.</x:v>
      </x:c>
    </x:row>
    <x:row r="3853" ht="96" customHeight="1">
      <x:c r="A3853" s="115" t="str">
        <x:v>EXT-MONDE-T077-V48</x:v>
      </x:c>
      <x:c r="B3853" s="115" t="str">
        <x:v>EXT-MONDE-T077</x:v>
      </x:c>
      <x:c r="C3853" s="115" t="str">
        <x:v>Îles</x:v>
      </x:c>
      <x:c r="D3853" s="115" t="str">
        <x:v>Îlot de phare</x:v>
      </x:c>
      <x:c r="E3853" s="115" t="n">
        <x:v>48</x:v>
      </x:c>
      <x:c r="F3853" s="115" t="str">
        <x:v>Inspection physique</x:v>
      </x:c>
      <x:c r="G3853" s="115" t="str">
        <x:v>1 niveaux ; 32 pièces ; 248 segments de mur ; 0 transitions. Inspection physique ; architecture complète encore ouverte.</x:v>
      </x:c>
      <x:c r="H3853" s="115" t="str">
        <x:v>L 392 ; l 324 ; hauteur 32 m ; choix de composition auteur ; dimensions réelles à documenter</x:v>
      </x:c>
      <x:c r="I3853" s="115" t="str">
        <x:v>À équilibrer</x:v>
      </x:c>
      <x:c r="J3853" s="115" t="str">
        <x:v>Non</x:v>
      </x:c>
      <x:c r="K3853" s="115" t="str">
        <x:v>Pièces décrites, murs, portes, niveaux et mobilier inspectables à l’échelle. Volumes réservés, raccord au seed, butin, rencontres et services de campagne restent à terminer.</x:v>
      </x:c>
    </x:row>
    <x:row r="3854" ht="96" customHeight="1">
      <x:c r="A3854" s="115" t="str">
        <x:v>EXT-MONDE-T077-V49</x:v>
      </x:c>
      <x:c r="B3854" s="115" t="str">
        <x:v>EXT-MONDE-T077</x:v>
      </x:c>
      <x:c r="C3854" s="115" t="str">
        <x:v>Îles</x:v>
      </x:c>
      <x:c r="D3854" s="115" t="str">
        <x:v>Îlot de phare</x:v>
      </x:c>
      <x:c r="E3854" s="115" t="n">
        <x:v>49</x:v>
      </x:c>
      <x:c r="F3854" s="115" t="str">
        <x:v>Inspection physique</x:v>
      </x:c>
      <x:c r="G3854" s="115" t="str">
        <x:v>1 niveaux ; 32 pièces ; 248 segments de mur ; 0 transitions. Inspection physique ; architecture complète encore ouverte.</x:v>
      </x:c>
      <x:c r="H3854" s="115" t="str">
        <x:v>L 392 ; l 324 ; hauteur 32 m ; choix de composition auteur ; dimensions réelles à documenter</x:v>
      </x:c>
      <x:c r="I3854" s="115" t="str">
        <x:v>À équilibrer</x:v>
      </x:c>
      <x:c r="J3854" s="115" t="str">
        <x:v>Non</x:v>
      </x:c>
      <x:c r="K3854" s="115" t="str">
        <x:v>Pièces décrites, murs, portes, niveaux et mobilier inspectables à l’échelle. Volumes réservés, raccord au seed, butin, rencontres et services de campagne restent à terminer.</x:v>
      </x:c>
    </x:row>
    <x:row r="3855" ht="96" customHeight="1">
      <x:c r="A3855" s="115" t="str">
        <x:v>EXT-MONDE-T077-V50</x:v>
      </x:c>
      <x:c r="B3855" s="115" t="str">
        <x:v>EXT-MONDE-T077</x:v>
      </x:c>
      <x:c r="C3855" s="115" t="str">
        <x:v>Îles</x:v>
      </x:c>
      <x:c r="D3855" s="115" t="str">
        <x:v>Îlot de phare</x:v>
      </x:c>
      <x:c r="E3855" s="115" t="n">
        <x:v>50</x:v>
      </x:c>
      <x:c r="F3855" s="115" t="str">
        <x:v>Inspection physique</x:v>
      </x:c>
      <x:c r="G3855" s="115" t="str">
        <x:v>1 niveaux ; 32 pièces ; 248 segments de mur ; 0 transitions. Inspection physique ; architecture complète encore ouverte.</x:v>
      </x:c>
      <x:c r="H3855" s="115" t="str">
        <x:v>L 392 ; l 324 ; hauteur 32 m ; choix de composition auteur ; dimensions réelles à documenter</x:v>
      </x:c>
      <x:c r="I3855" s="115" t="str">
        <x:v>À équilibrer</x:v>
      </x:c>
      <x:c r="J3855" s="115" t="str">
        <x:v>Non</x:v>
      </x:c>
      <x:c r="K3855" s="115" t="str">
        <x:v>Pièces décrites, murs, portes, niveaux et mobilier inspectables à l’échelle. Volumes réservés, raccord au seed, butin, rencontres et services de campagne restent à terminer.</x:v>
      </x:c>
    </x:row>
    <x:row r="3856" ht="96" customHeight="1">
      <x:c r="A3856" s="115" t="str">
        <x:v>EXT-MONDE-T078-V01</x:v>
      </x:c>
      <x:c r="B3856" s="115" t="str">
        <x:v>EXT-MONDE-T078</x:v>
      </x:c>
      <x:c r="C3856" s="115" t="str">
        <x:v>Îles</x:v>
      </x:c>
      <x:c r="D3856" s="115" t="str">
        <x:v>Île agricole habitée</x:v>
      </x:c>
      <x:c r="E3856" s="115" t="n">
        <x:v>1</x:v>
      </x:c>
      <x:c r="F3856" s="115" t="str">
        <x:v>Inspection physique</x:v>
      </x:c>
      <x:c r="G3856" s="115" t="str">
        <x:v>1 niveaux ; 32 pièces ; 248 segments de mur ; 0 transitions. Inspection physique ; architecture complète encore ouverte.</x:v>
      </x:c>
      <x:c r="H3856" s="115" t="str">
        <x:v>L 576 ; l 556 ; hauteur 14 m ; choix de composition auteur ; dimensions réelles à documenter</x:v>
      </x:c>
      <x:c r="I3856" s="115" t="str">
        <x:v>À équilibrer</x:v>
      </x:c>
      <x:c r="J3856" s="115" t="str">
        <x:v>Non</x:v>
      </x:c>
      <x:c r="K3856" s="115" t="str">
        <x:v>Pièces décrites, murs, portes, niveaux et mobilier inspectables à l’échelle. Volumes réservés, raccord au seed, butin, rencontres et services de campagne restent à terminer.</x:v>
      </x:c>
    </x:row>
    <x:row r="3857" ht="96" customHeight="1">
      <x:c r="A3857" s="115" t="str">
        <x:v>EXT-MONDE-T078-V02</x:v>
      </x:c>
      <x:c r="B3857" s="115" t="str">
        <x:v>EXT-MONDE-T078</x:v>
      </x:c>
      <x:c r="C3857" s="115" t="str">
        <x:v>Îles</x:v>
      </x:c>
      <x:c r="D3857" s="115" t="str">
        <x:v>Île agricole habitée</x:v>
      </x:c>
      <x:c r="E3857" s="115" t="n">
        <x:v>2</x:v>
      </x:c>
      <x:c r="F3857" s="115" t="str">
        <x:v>Inspection physique</x:v>
      </x:c>
      <x:c r="G3857" s="115" t="str">
        <x:v>1 niveaux ; 32 pièces ; 248 segments de mur ; 0 transitions. Inspection physique ; architecture complète encore ouverte.</x:v>
      </x:c>
      <x:c r="H3857" s="115" t="str">
        <x:v>L 576 ; l 556 ; hauteur 14 m ; choix de composition auteur ; dimensions réelles à documenter</x:v>
      </x:c>
      <x:c r="I3857" s="115" t="str">
        <x:v>À équilibrer</x:v>
      </x:c>
      <x:c r="J3857" s="115" t="str">
        <x:v>Non</x:v>
      </x:c>
      <x:c r="K3857" s="115" t="str">
        <x:v>Pièces décrites, murs, portes, niveaux et mobilier inspectables à l’échelle. Volumes réservés, raccord au seed, butin, rencontres et services de campagne restent à terminer.</x:v>
      </x:c>
    </x:row>
    <x:row r="3858" ht="96" customHeight="1">
      <x:c r="A3858" s="115" t="str">
        <x:v>EXT-MONDE-T078-V03</x:v>
      </x:c>
      <x:c r="B3858" s="115" t="str">
        <x:v>EXT-MONDE-T078</x:v>
      </x:c>
      <x:c r="C3858" s="115" t="str">
        <x:v>Îles</x:v>
      </x:c>
      <x:c r="D3858" s="115" t="str">
        <x:v>Île agricole habitée</x:v>
      </x:c>
      <x:c r="E3858" s="115" t="n">
        <x:v>3</x:v>
      </x:c>
      <x:c r="F3858" s="115" t="str">
        <x:v>Inspection physique</x:v>
      </x:c>
      <x:c r="G3858" s="115" t="str">
        <x:v>1 niveaux ; 32 pièces ; 248 segments de mur ; 0 transitions. Inspection physique ; architecture complète encore ouverte.</x:v>
      </x:c>
      <x:c r="H3858" s="115" t="str">
        <x:v>L 576 ; l 556 ; hauteur 14 m ; choix de composition auteur ; dimensions réelles à documenter</x:v>
      </x:c>
      <x:c r="I3858" s="115" t="str">
        <x:v>À équilibrer</x:v>
      </x:c>
      <x:c r="J3858" s="115" t="str">
        <x:v>Non</x:v>
      </x:c>
      <x:c r="K3858" s="115" t="str">
        <x:v>Pièces décrites, murs, portes, niveaux et mobilier inspectables à l’échelle. Volumes réservés, raccord au seed, butin, rencontres et services de campagne restent à terminer.</x:v>
      </x:c>
    </x:row>
    <x:row r="3859" ht="96" customHeight="1">
      <x:c r="A3859" s="115" t="str">
        <x:v>EXT-MONDE-T078-V04</x:v>
      </x:c>
      <x:c r="B3859" s="115" t="str">
        <x:v>EXT-MONDE-T078</x:v>
      </x:c>
      <x:c r="C3859" s="115" t="str">
        <x:v>Îles</x:v>
      </x:c>
      <x:c r="D3859" s="115" t="str">
        <x:v>Île agricole habitée</x:v>
      </x:c>
      <x:c r="E3859" s="115" t="n">
        <x:v>4</x:v>
      </x:c>
      <x:c r="F3859" s="115" t="str">
        <x:v>Inspection physique</x:v>
      </x:c>
      <x:c r="G3859" s="115" t="str">
        <x:v>1 niveaux ; 32 pièces ; 248 segments de mur ; 0 transitions. Inspection physique ; architecture complète encore ouverte.</x:v>
      </x:c>
      <x:c r="H3859" s="115" t="str">
        <x:v>L 576 ; l 556 ; hauteur 14 m ; choix de composition auteur ; dimensions réelles à documenter</x:v>
      </x:c>
      <x:c r="I3859" s="115" t="str">
        <x:v>À équilibrer</x:v>
      </x:c>
      <x:c r="J3859" s="115" t="str">
        <x:v>Non</x:v>
      </x:c>
      <x:c r="K3859" s="115" t="str">
        <x:v>Pièces décrites, murs, portes, niveaux et mobilier inspectables à l’échelle. Volumes réservés, raccord au seed, butin, rencontres et services de campagne restent à terminer.</x:v>
      </x:c>
    </x:row>
    <x:row r="3860" ht="96" customHeight="1">
      <x:c r="A3860" s="115" t="str">
        <x:v>EXT-MONDE-T078-V05</x:v>
      </x:c>
      <x:c r="B3860" s="115" t="str">
        <x:v>EXT-MONDE-T078</x:v>
      </x:c>
      <x:c r="C3860" s="115" t="str">
        <x:v>Îles</x:v>
      </x:c>
      <x:c r="D3860" s="115" t="str">
        <x:v>Île agricole habitée</x:v>
      </x:c>
      <x:c r="E3860" s="115" t="n">
        <x:v>5</x:v>
      </x:c>
      <x:c r="F3860" s="115" t="str">
        <x:v>Inspection physique</x:v>
      </x:c>
      <x:c r="G3860" s="115" t="str">
        <x:v>1 niveaux ; 32 pièces ; 248 segments de mur ; 0 transitions. Inspection physique ; architecture complète encore ouverte.</x:v>
      </x:c>
      <x:c r="H3860" s="115" t="str">
        <x:v>L 576 ; l 556 ; hauteur 14 m ; choix de composition auteur ; dimensions réelles à documenter</x:v>
      </x:c>
      <x:c r="I3860" s="115" t="str">
        <x:v>À équilibrer</x:v>
      </x:c>
      <x:c r="J3860" s="115" t="str">
        <x:v>Non</x:v>
      </x:c>
      <x:c r="K3860" s="115" t="str">
        <x:v>Pièces décrites, murs, portes, niveaux et mobilier inspectables à l’échelle. Volumes réservés, raccord au seed, butin, rencontres et services de campagne restent à terminer.</x:v>
      </x:c>
    </x:row>
    <x:row r="3861" ht="96" customHeight="1">
      <x:c r="A3861" s="115" t="str">
        <x:v>EXT-MONDE-T078-V06</x:v>
      </x:c>
      <x:c r="B3861" s="115" t="str">
        <x:v>EXT-MONDE-T078</x:v>
      </x:c>
      <x:c r="C3861" s="115" t="str">
        <x:v>Îles</x:v>
      </x:c>
      <x:c r="D3861" s="115" t="str">
        <x:v>Île agricole habitée</x:v>
      </x:c>
      <x:c r="E3861" s="115" t="n">
        <x:v>6</x:v>
      </x:c>
      <x:c r="F3861" s="115" t="str">
        <x:v>Inspection physique</x:v>
      </x:c>
      <x:c r="G3861" s="115" t="str">
        <x:v>1 niveaux ; 32 pièces ; 248 segments de mur ; 0 transitions. Inspection physique ; architecture complète encore ouverte.</x:v>
      </x:c>
      <x:c r="H3861" s="115" t="str">
        <x:v>L 576 ; l 556 ; hauteur 14 m ; choix de composition auteur ; dimensions réelles à documenter</x:v>
      </x:c>
      <x:c r="I3861" s="115" t="str">
        <x:v>À équilibrer</x:v>
      </x:c>
      <x:c r="J3861" s="115" t="str">
        <x:v>Non</x:v>
      </x:c>
      <x:c r="K3861" s="115" t="str">
        <x:v>Pièces décrites, murs, portes, niveaux et mobilier inspectables à l’échelle. Volumes réservés, raccord au seed, butin, rencontres et services de campagne restent à terminer.</x:v>
      </x:c>
    </x:row>
    <x:row r="3862" ht="96" customHeight="1">
      <x:c r="A3862" s="115" t="str">
        <x:v>EXT-MONDE-T078-V07</x:v>
      </x:c>
      <x:c r="B3862" s="115" t="str">
        <x:v>EXT-MONDE-T078</x:v>
      </x:c>
      <x:c r="C3862" s="115" t="str">
        <x:v>Îles</x:v>
      </x:c>
      <x:c r="D3862" s="115" t="str">
        <x:v>Île agricole habitée</x:v>
      </x:c>
      <x:c r="E3862" s="115" t="n">
        <x:v>7</x:v>
      </x:c>
      <x:c r="F3862" s="115" t="str">
        <x:v>Inspection physique</x:v>
      </x:c>
      <x:c r="G3862" s="115" t="str">
        <x:v>1 niveaux ; 32 pièces ; 248 segments de mur ; 0 transitions. Inspection physique ; architecture complète encore ouverte.</x:v>
      </x:c>
      <x:c r="H3862" s="115" t="str">
        <x:v>L 576 ; l 556 ; hauteur 14 m ; choix de composition auteur ; dimensions réelles à documenter</x:v>
      </x:c>
      <x:c r="I3862" s="115" t="str">
        <x:v>À équilibrer</x:v>
      </x:c>
      <x:c r="J3862" s="115" t="str">
        <x:v>Non</x:v>
      </x:c>
      <x:c r="K3862" s="115" t="str">
        <x:v>Pièces décrites, murs, portes, niveaux et mobilier inspectables à l’échelle. Volumes réservés, raccord au seed, butin, rencontres et services de campagne restent à terminer.</x:v>
      </x:c>
    </x:row>
    <x:row r="3863" ht="96" customHeight="1">
      <x:c r="A3863" s="115" t="str">
        <x:v>EXT-MONDE-T078-V08</x:v>
      </x:c>
      <x:c r="B3863" s="115" t="str">
        <x:v>EXT-MONDE-T078</x:v>
      </x:c>
      <x:c r="C3863" s="115" t="str">
        <x:v>Îles</x:v>
      </x:c>
      <x:c r="D3863" s="115" t="str">
        <x:v>Île agricole habitée</x:v>
      </x:c>
      <x:c r="E3863" s="115" t="n">
        <x:v>8</x:v>
      </x:c>
      <x:c r="F3863" s="115" t="str">
        <x:v>Inspection physique</x:v>
      </x:c>
      <x:c r="G3863" s="115" t="str">
        <x:v>1 niveaux ; 32 pièces ; 248 segments de mur ; 0 transitions. Inspection physique ; architecture complète encore ouverte.</x:v>
      </x:c>
      <x:c r="H3863" s="115" t="str">
        <x:v>L 576 ; l 556 ; hauteur 14 m ; choix de composition auteur ; dimensions réelles à documenter</x:v>
      </x:c>
      <x:c r="I3863" s="115" t="str">
        <x:v>À équilibrer</x:v>
      </x:c>
      <x:c r="J3863" s="115" t="str">
        <x:v>Non</x:v>
      </x:c>
      <x:c r="K3863" s="115" t="str">
        <x:v>Pièces décrites, murs, portes, niveaux et mobilier inspectables à l’échelle. Volumes réservés, raccord au seed, butin, rencontres et services de campagne restent à terminer.</x:v>
      </x:c>
    </x:row>
    <x:row r="3864" ht="96" customHeight="1">
      <x:c r="A3864" s="115" t="str">
        <x:v>EXT-MONDE-T078-V09</x:v>
      </x:c>
      <x:c r="B3864" s="115" t="str">
        <x:v>EXT-MONDE-T078</x:v>
      </x:c>
      <x:c r="C3864" s="115" t="str">
        <x:v>Îles</x:v>
      </x:c>
      <x:c r="D3864" s="115" t="str">
        <x:v>Île agricole habitée</x:v>
      </x:c>
      <x:c r="E3864" s="115" t="n">
        <x:v>9</x:v>
      </x:c>
      <x:c r="F3864" s="115" t="str">
        <x:v>Inspection physique</x:v>
      </x:c>
      <x:c r="G3864" s="115" t="str">
        <x:v>1 niveaux ; 32 pièces ; 248 segments de mur ; 0 transitions. Inspection physique ; architecture complète encore ouverte.</x:v>
      </x:c>
      <x:c r="H3864" s="115" t="str">
        <x:v>L 576 ; l 556 ; hauteur 14 m ; choix de composition auteur ; dimensions réelles à documenter</x:v>
      </x:c>
      <x:c r="I3864" s="115" t="str">
        <x:v>À équilibrer</x:v>
      </x:c>
      <x:c r="J3864" s="115" t="str">
        <x:v>Non</x:v>
      </x:c>
      <x:c r="K3864" s="115" t="str">
        <x:v>Pièces décrites, murs, portes, niveaux et mobilier inspectables à l’échelle. Volumes réservés, raccord au seed, butin, rencontres et services de campagne restent à terminer.</x:v>
      </x:c>
    </x:row>
    <x:row r="3865" ht="96" customHeight="1">
      <x:c r="A3865" s="115" t="str">
        <x:v>EXT-MONDE-T078-V10</x:v>
      </x:c>
      <x:c r="B3865" s="115" t="str">
        <x:v>EXT-MONDE-T078</x:v>
      </x:c>
      <x:c r="C3865" s="115" t="str">
        <x:v>Îles</x:v>
      </x:c>
      <x:c r="D3865" s="115" t="str">
        <x:v>Île agricole habitée</x:v>
      </x:c>
      <x:c r="E3865" s="115" t="n">
        <x:v>10</x:v>
      </x:c>
      <x:c r="F3865" s="115" t="str">
        <x:v>Inspection physique</x:v>
      </x:c>
      <x:c r="G3865" s="115" t="str">
        <x:v>1 niveaux ; 32 pièces ; 248 segments de mur ; 0 transitions. Inspection physique ; architecture complète encore ouverte.</x:v>
      </x:c>
      <x:c r="H3865" s="115" t="str">
        <x:v>L 576 ; l 556 ; hauteur 14 m ; choix de composition auteur ; dimensions réelles à documenter</x:v>
      </x:c>
      <x:c r="I3865" s="115" t="str">
        <x:v>À équilibrer</x:v>
      </x:c>
      <x:c r="J3865" s="115" t="str">
        <x:v>Non</x:v>
      </x:c>
      <x:c r="K3865" s="115" t="str">
        <x:v>Pièces décrites, murs, portes, niveaux et mobilier inspectables à l’échelle. Volumes réservés, raccord au seed, butin, rencontres et services de campagne restent à terminer.</x:v>
      </x:c>
    </x:row>
    <x:row r="3866" ht="96" customHeight="1">
      <x:c r="A3866" s="115" t="str">
        <x:v>EXT-MONDE-T078-V11</x:v>
      </x:c>
      <x:c r="B3866" s="115" t="str">
        <x:v>EXT-MONDE-T078</x:v>
      </x:c>
      <x:c r="C3866" s="115" t="str">
        <x:v>Îles</x:v>
      </x:c>
      <x:c r="D3866" s="115" t="str">
        <x:v>Île agricole habitée</x:v>
      </x:c>
      <x:c r="E3866" s="115" t="n">
        <x:v>11</x:v>
      </x:c>
      <x:c r="F3866" s="115" t="str">
        <x:v>Inspection physique</x:v>
      </x:c>
      <x:c r="G3866" s="115" t="str">
        <x:v>1 niveaux ; 32 pièces ; 248 segments de mur ; 0 transitions. Inspection physique ; architecture complète encore ouverte.</x:v>
      </x:c>
      <x:c r="H3866" s="115" t="str">
        <x:v>L 590 ; l 568 ; hauteur 14 m ; choix de composition auteur ; dimensions réelles à documenter</x:v>
      </x:c>
      <x:c r="I3866" s="115" t="str">
        <x:v>À équilibrer</x:v>
      </x:c>
      <x:c r="J3866" s="115" t="str">
        <x:v>Non</x:v>
      </x:c>
      <x:c r="K3866" s="115" t="str">
        <x:v>Pièces décrites, murs, portes, niveaux et mobilier inspectables à l’échelle. Volumes réservés, raccord au seed, butin, rencontres et services de campagne restent à terminer.</x:v>
      </x:c>
    </x:row>
    <x:row r="3867" ht="96" customHeight="1">
      <x:c r="A3867" s="115" t="str">
        <x:v>EXT-MONDE-T078-V12</x:v>
      </x:c>
      <x:c r="B3867" s="115" t="str">
        <x:v>EXT-MONDE-T078</x:v>
      </x:c>
      <x:c r="C3867" s="115" t="str">
        <x:v>Îles</x:v>
      </x:c>
      <x:c r="D3867" s="115" t="str">
        <x:v>Île agricole habitée</x:v>
      </x:c>
      <x:c r="E3867" s="115" t="n">
        <x:v>12</x:v>
      </x:c>
      <x:c r="F3867" s="115" t="str">
        <x:v>Inspection physique</x:v>
      </x:c>
      <x:c r="G3867" s="115" t="str">
        <x:v>1 niveaux ; 32 pièces ; 248 segments de mur ; 0 transitions. Inspection physique ; architecture complète encore ouverte.</x:v>
      </x:c>
      <x:c r="H3867" s="115" t="str">
        <x:v>L 590 ; l 568 ; hauteur 14 m ; choix de composition auteur ; dimensions réelles à documenter</x:v>
      </x:c>
      <x:c r="I3867" s="115" t="str">
        <x:v>À équilibrer</x:v>
      </x:c>
      <x:c r="J3867" s="115" t="str">
        <x:v>Non</x:v>
      </x:c>
      <x:c r="K3867" s="115" t="str">
        <x:v>Pièces décrites, murs, portes, niveaux et mobilier inspectables à l’échelle. Volumes réservés, raccord au seed, butin, rencontres et services de campagne restent à terminer.</x:v>
      </x:c>
    </x:row>
    <x:row r="3868" ht="96" customHeight="1">
      <x:c r="A3868" s="115" t="str">
        <x:v>EXT-MONDE-T078-V13</x:v>
      </x:c>
      <x:c r="B3868" s="115" t="str">
        <x:v>EXT-MONDE-T078</x:v>
      </x:c>
      <x:c r="C3868" s="115" t="str">
        <x:v>Îles</x:v>
      </x:c>
      <x:c r="D3868" s="115" t="str">
        <x:v>Île agricole habitée</x:v>
      </x:c>
      <x:c r="E3868" s="115" t="n">
        <x:v>13</x:v>
      </x:c>
      <x:c r="F3868" s="115" t="str">
        <x:v>Inspection physique</x:v>
      </x:c>
      <x:c r="G3868" s="115" t="str">
        <x:v>1 niveaux ; 32 pièces ; 248 segments de mur ; 0 transitions. Inspection physique ; architecture complète encore ouverte.</x:v>
      </x:c>
      <x:c r="H3868" s="115" t="str">
        <x:v>L 590 ; l 568 ; hauteur 14 m ; choix de composition auteur ; dimensions réelles à documenter</x:v>
      </x:c>
      <x:c r="I3868" s="115" t="str">
        <x:v>À équilibrer</x:v>
      </x:c>
      <x:c r="J3868" s="115" t="str">
        <x:v>Non</x:v>
      </x:c>
      <x:c r="K3868" s="115" t="str">
        <x:v>Pièces décrites, murs, portes, niveaux et mobilier inspectables à l’échelle. Volumes réservés, raccord au seed, butin, rencontres et services de campagne restent à terminer.</x:v>
      </x:c>
    </x:row>
    <x:row r="3869" ht="96" customHeight="1">
      <x:c r="A3869" s="115" t="str">
        <x:v>EXT-MONDE-T078-V14</x:v>
      </x:c>
      <x:c r="B3869" s="115" t="str">
        <x:v>EXT-MONDE-T078</x:v>
      </x:c>
      <x:c r="C3869" s="115" t="str">
        <x:v>Îles</x:v>
      </x:c>
      <x:c r="D3869" s="115" t="str">
        <x:v>Île agricole habitée</x:v>
      </x:c>
      <x:c r="E3869" s="115" t="n">
        <x:v>14</x:v>
      </x:c>
      <x:c r="F3869" s="115" t="str">
        <x:v>Inspection physique</x:v>
      </x:c>
      <x:c r="G3869" s="115" t="str">
        <x:v>1 niveaux ; 32 pièces ; 248 segments de mur ; 0 transitions. Inspection physique ; architecture complète encore ouverte.</x:v>
      </x:c>
      <x:c r="H3869" s="115" t="str">
        <x:v>L 590 ; l 568 ; hauteur 14 m ; choix de composition auteur ; dimensions réelles à documenter</x:v>
      </x:c>
      <x:c r="I3869" s="115" t="str">
        <x:v>À équilibrer</x:v>
      </x:c>
      <x:c r="J3869" s="115" t="str">
        <x:v>Non</x:v>
      </x:c>
      <x:c r="K3869" s="115" t="str">
        <x:v>Pièces décrites, murs, portes, niveaux et mobilier inspectables à l’échelle. Volumes réservés, raccord au seed, butin, rencontres et services de campagne restent à terminer.</x:v>
      </x:c>
    </x:row>
    <x:row r="3870" ht="96" customHeight="1">
      <x:c r="A3870" s="115" t="str">
        <x:v>EXT-MONDE-T078-V15</x:v>
      </x:c>
      <x:c r="B3870" s="115" t="str">
        <x:v>EXT-MONDE-T078</x:v>
      </x:c>
      <x:c r="C3870" s="115" t="str">
        <x:v>Îles</x:v>
      </x:c>
      <x:c r="D3870" s="115" t="str">
        <x:v>Île agricole habitée</x:v>
      </x:c>
      <x:c r="E3870" s="115" t="n">
        <x:v>15</x:v>
      </x:c>
      <x:c r="F3870" s="115" t="str">
        <x:v>Inspection physique</x:v>
      </x:c>
      <x:c r="G3870" s="115" t="str">
        <x:v>1 niveaux ; 32 pièces ; 248 segments de mur ; 0 transitions. Inspection physique ; architecture complète encore ouverte.</x:v>
      </x:c>
      <x:c r="H3870" s="115" t="str">
        <x:v>L 590 ; l 568 ; hauteur 14 m ; choix de composition auteur ; dimensions réelles à documenter</x:v>
      </x:c>
      <x:c r="I3870" s="115" t="str">
        <x:v>À équilibrer</x:v>
      </x:c>
      <x:c r="J3870" s="115" t="str">
        <x:v>Non</x:v>
      </x:c>
      <x:c r="K3870" s="115" t="str">
        <x:v>Pièces décrites, murs, portes, niveaux et mobilier inspectables à l’échelle. Volumes réservés, raccord au seed, butin, rencontres et services de campagne restent à terminer.</x:v>
      </x:c>
    </x:row>
    <x:row r="3871" ht="96" customHeight="1">
      <x:c r="A3871" s="115" t="str">
        <x:v>EXT-MONDE-T078-V16</x:v>
      </x:c>
      <x:c r="B3871" s="115" t="str">
        <x:v>EXT-MONDE-T078</x:v>
      </x:c>
      <x:c r="C3871" s="115" t="str">
        <x:v>Îles</x:v>
      </x:c>
      <x:c r="D3871" s="115" t="str">
        <x:v>Île agricole habitée</x:v>
      </x:c>
      <x:c r="E3871" s="115" t="n">
        <x:v>16</x:v>
      </x:c>
      <x:c r="F3871" s="115" t="str">
        <x:v>Inspection physique</x:v>
      </x:c>
      <x:c r="G3871" s="115" t="str">
        <x:v>1 niveaux ; 32 pièces ; 248 segments de mur ; 0 transitions. Inspection physique ; architecture complète encore ouverte.</x:v>
      </x:c>
      <x:c r="H3871" s="115" t="str">
        <x:v>L 590 ; l 568 ; hauteur 14 m ; choix de composition auteur ; dimensions réelles à documenter</x:v>
      </x:c>
      <x:c r="I3871" s="115" t="str">
        <x:v>À équilibrer</x:v>
      </x:c>
      <x:c r="J3871" s="115" t="str">
        <x:v>Non</x:v>
      </x:c>
      <x:c r="K3871" s="115" t="str">
        <x:v>Pièces décrites, murs, portes, niveaux et mobilier inspectables à l’échelle. Volumes réservés, raccord au seed, butin, rencontres et services de campagne restent à terminer.</x:v>
      </x:c>
    </x:row>
    <x:row r="3872" ht="96" customHeight="1">
      <x:c r="A3872" s="115" t="str">
        <x:v>EXT-MONDE-T078-V17</x:v>
      </x:c>
      <x:c r="B3872" s="115" t="str">
        <x:v>EXT-MONDE-T078</x:v>
      </x:c>
      <x:c r="C3872" s="115" t="str">
        <x:v>Îles</x:v>
      </x:c>
      <x:c r="D3872" s="115" t="str">
        <x:v>Île agricole habitée</x:v>
      </x:c>
      <x:c r="E3872" s="115" t="n">
        <x:v>17</x:v>
      </x:c>
      <x:c r="F3872" s="115" t="str">
        <x:v>Inspection physique</x:v>
      </x:c>
      <x:c r="G3872" s="115" t="str">
        <x:v>1 niveaux ; 32 pièces ; 248 segments de mur ; 0 transitions. Inspection physique ; architecture complète encore ouverte.</x:v>
      </x:c>
      <x:c r="H3872" s="115" t="str">
        <x:v>L 590 ; l 568 ; hauteur 14 m ; choix de composition auteur ; dimensions réelles à documenter</x:v>
      </x:c>
      <x:c r="I3872" s="115" t="str">
        <x:v>À équilibrer</x:v>
      </x:c>
      <x:c r="J3872" s="115" t="str">
        <x:v>Non</x:v>
      </x:c>
      <x:c r="K3872" s="115" t="str">
        <x:v>Pièces décrites, murs, portes, niveaux et mobilier inspectables à l’échelle. Volumes réservés, raccord au seed, butin, rencontres et services de campagne restent à terminer.</x:v>
      </x:c>
    </x:row>
    <x:row r="3873" ht="96" customHeight="1">
      <x:c r="A3873" s="115" t="str">
        <x:v>EXT-MONDE-T078-V18</x:v>
      </x:c>
      <x:c r="B3873" s="115" t="str">
        <x:v>EXT-MONDE-T078</x:v>
      </x:c>
      <x:c r="C3873" s="115" t="str">
        <x:v>Îles</x:v>
      </x:c>
      <x:c r="D3873" s="115" t="str">
        <x:v>Île agricole habitée</x:v>
      </x:c>
      <x:c r="E3873" s="115" t="n">
        <x:v>18</x:v>
      </x:c>
      <x:c r="F3873" s="115" t="str">
        <x:v>Inspection physique</x:v>
      </x:c>
      <x:c r="G3873" s="115" t="str">
        <x:v>1 niveaux ; 32 pièces ; 248 segments de mur ; 0 transitions. Inspection physique ; architecture complète encore ouverte.</x:v>
      </x:c>
      <x:c r="H3873" s="115" t="str">
        <x:v>L 590 ; l 568 ; hauteur 14 m ; choix de composition auteur ; dimensions réelles à documenter</x:v>
      </x:c>
      <x:c r="I3873" s="115" t="str">
        <x:v>À équilibrer</x:v>
      </x:c>
      <x:c r="J3873" s="115" t="str">
        <x:v>Non</x:v>
      </x:c>
      <x:c r="K3873" s="115" t="str">
        <x:v>Pièces décrites, murs, portes, niveaux et mobilier inspectables à l’échelle. Volumes réservés, raccord au seed, butin, rencontres et services de campagne restent à terminer.</x:v>
      </x:c>
    </x:row>
    <x:row r="3874" ht="96" customHeight="1">
      <x:c r="A3874" s="115" t="str">
        <x:v>EXT-MONDE-T078-V19</x:v>
      </x:c>
      <x:c r="B3874" s="115" t="str">
        <x:v>EXT-MONDE-T078</x:v>
      </x:c>
      <x:c r="C3874" s="115" t="str">
        <x:v>Îles</x:v>
      </x:c>
      <x:c r="D3874" s="115" t="str">
        <x:v>Île agricole habitée</x:v>
      </x:c>
      <x:c r="E3874" s="115" t="n">
        <x:v>19</x:v>
      </x:c>
      <x:c r="F3874" s="115" t="str">
        <x:v>Inspection physique</x:v>
      </x:c>
      <x:c r="G3874" s="115" t="str">
        <x:v>1 niveaux ; 32 pièces ; 248 segments de mur ; 0 transitions. Inspection physique ; architecture complète encore ouverte.</x:v>
      </x:c>
      <x:c r="H3874" s="115" t="str">
        <x:v>L 590 ; l 568 ; hauteur 14 m ; choix de composition auteur ; dimensions réelles à documenter</x:v>
      </x:c>
      <x:c r="I3874" s="115" t="str">
        <x:v>À équilibrer</x:v>
      </x:c>
      <x:c r="J3874" s="115" t="str">
        <x:v>Non</x:v>
      </x:c>
      <x:c r="K3874" s="115" t="str">
        <x:v>Pièces décrites, murs, portes, niveaux et mobilier inspectables à l’échelle. Volumes réservés, raccord au seed, butin, rencontres et services de campagne restent à terminer.</x:v>
      </x:c>
    </x:row>
    <x:row r="3875" ht="96" customHeight="1">
      <x:c r="A3875" s="115" t="str">
        <x:v>EXT-MONDE-T078-V20</x:v>
      </x:c>
      <x:c r="B3875" s="115" t="str">
        <x:v>EXT-MONDE-T078</x:v>
      </x:c>
      <x:c r="C3875" s="115" t="str">
        <x:v>Îles</x:v>
      </x:c>
      <x:c r="D3875" s="115" t="str">
        <x:v>Île agricole habitée</x:v>
      </x:c>
      <x:c r="E3875" s="115" t="n">
        <x:v>20</x:v>
      </x:c>
      <x:c r="F3875" s="115" t="str">
        <x:v>Inspection physique</x:v>
      </x:c>
      <x:c r="G3875" s="115" t="str">
        <x:v>1 niveaux ; 32 pièces ; 248 segments de mur ; 0 transitions. Inspection physique ; architecture complète encore ouverte.</x:v>
      </x:c>
      <x:c r="H3875" s="115" t="str">
        <x:v>L 590 ; l 568 ; hauteur 14 m ; choix de composition auteur ; dimensions réelles à documenter</x:v>
      </x:c>
      <x:c r="I3875" s="115" t="str">
        <x:v>À équilibrer</x:v>
      </x:c>
      <x:c r="J3875" s="115" t="str">
        <x:v>Non</x:v>
      </x:c>
      <x:c r="K3875" s="115" t="str">
        <x:v>Pièces décrites, murs, portes, niveaux et mobilier inspectables à l’échelle. Volumes réservés, raccord au seed, butin, rencontres et services de campagne restent à terminer.</x:v>
      </x:c>
    </x:row>
    <x:row r="3876" ht="96" customHeight="1">
      <x:c r="A3876" s="115" t="str">
        <x:v>EXT-MONDE-T078-V21</x:v>
      </x:c>
      <x:c r="B3876" s="115" t="str">
        <x:v>EXT-MONDE-T078</x:v>
      </x:c>
      <x:c r="C3876" s="115" t="str">
        <x:v>Îles</x:v>
      </x:c>
      <x:c r="D3876" s="115" t="str">
        <x:v>Île agricole habitée</x:v>
      </x:c>
      <x:c r="E3876" s="115" t="n">
        <x:v>21</x:v>
      </x:c>
      <x:c r="F3876" s="115" t="str">
        <x:v>Inspection physique</x:v>
      </x:c>
      <x:c r="G3876" s="115" t="str">
        <x:v>1 niveaux ; 32 pièces ; 248 segments de mur ; 0 transitions. Inspection physique ; architecture complète encore ouverte.</x:v>
      </x:c>
      <x:c r="H3876" s="115" t="str">
        <x:v>L 604 ; l 580 ; hauteur 14 m ; choix de composition auteur ; dimensions réelles à documenter</x:v>
      </x:c>
      <x:c r="I3876" s="115" t="str">
        <x:v>À équilibrer</x:v>
      </x:c>
      <x:c r="J3876" s="115" t="str">
        <x:v>Non</x:v>
      </x:c>
      <x:c r="K3876" s="115" t="str">
        <x:v>Pièces décrites, murs, portes, niveaux et mobilier inspectables à l’échelle. Volumes réservés, raccord au seed, butin, rencontres et services de campagne restent à terminer.</x:v>
      </x:c>
    </x:row>
    <x:row r="3877" ht="96" customHeight="1">
      <x:c r="A3877" s="115" t="str">
        <x:v>EXT-MONDE-T078-V22</x:v>
      </x:c>
      <x:c r="B3877" s="115" t="str">
        <x:v>EXT-MONDE-T078</x:v>
      </x:c>
      <x:c r="C3877" s="115" t="str">
        <x:v>Îles</x:v>
      </x:c>
      <x:c r="D3877" s="115" t="str">
        <x:v>Île agricole habitée</x:v>
      </x:c>
      <x:c r="E3877" s="115" t="n">
        <x:v>22</x:v>
      </x:c>
      <x:c r="F3877" s="115" t="str">
        <x:v>Inspection physique</x:v>
      </x:c>
      <x:c r="G3877" s="115" t="str">
        <x:v>1 niveaux ; 32 pièces ; 248 segments de mur ; 0 transitions. Inspection physique ; architecture complète encore ouverte.</x:v>
      </x:c>
      <x:c r="H3877" s="115" t="str">
        <x:v>L 604 ; l 580 ; hauteur 14 m ; choix de composition auteur ; dimensions réelles à documenter</x:v>
      </x:c>
      <x:c r="I3877" s="115" t="str">
        <x:v>À équilibrer</x:v>
      </x:c>
      <x:c r="J3877" s="115" t="str">
        <x:v>Non</x:v>
      </x:c>
      <x:c r="K3877" s="115" t="str">
        <x:v>Pièces décrites, murs, portes, niveaux et mobilier inspectables à l’échelle. Volumes réservés, raccord au seed, butin, rencontres et services de campagne restent à terminer.</x:v>
      </x:c>
    </x:row>
    <x:row r="3878" ht="96" customHeight="1">
      <x:c r="A3878" s="115" t="str">
        <x:v>EXT-MONDE-T078-V23</x:v>
      </x:c>
      <x:c r="B3878" s="115" t="str">
        <x:v>EXT-MONDE-T078</x:v>
      </x:c>
      <x:c r="C3878" s="115" t="str">
        <x:v>Îles</x:v>
      </x:c>
      <x:c r="D3878" s="115" t="str">
        <x:v>Île agricole habitée</x:v>
      </x:c>
      <x:c r="E3878" s="115" t="n">
        <x:v>23</x:v>
      </x:c>
      <x:c r="F3878" s="115" t="str">
        <x:v>Inspection physique</x:v>
      </x:c>
      <x:c r="G3878" s="115" t="str">
        <x:v>1 niveaux ; 32 pièces ; 248 segments de mur ; 0 transitions. Inspection physique ; architecture complète encore ouverte.</x:v>
      </x:c>
      <x:c r="H3878" s="115" t="str">
        <x:v>L 604 ; l 580 ; hauteur 14 m ; choix de composition auteur ; dimensions réelles à documenter</x:v>
      </x:c>
      <x:c r="I3878" s="115" t="str">
        <x:v>À équilibrer</x:v>
      </x:c>
      <x:c r="J3878" s="115" t="str">
        <x:v>Non</x:v>
      </x:c>
      <x:c r="K3878" s="115" t="str">
        <x:v>Pièces décrites, murs, portes, niveaux et mobilier inspectables à l’échelle. Volumes réservés, raccord au seed, butin, rencontres et services de campagne restent à terminer.</x:v>
      </x:c>
    </x:row>
    <x:row r="3879" ht="96" customHeight="1">
      <x:c r="A3879" s="115" t="str">
        <x:v>EXT-MONDE-T078-V24</x:v>
      </x:c>
      <x:c r="B3879" s="115" t="str">
        <x:v>EXT-MONDE-T078</x:v>
      </x:c>
      <x:c r="C3879" s="115" t="str">
        <x:v>Îles</x:v>
      </x:c>
      <x:c r="D3879" s="115" t="str">
        <x:v>Île agricole habitée</x:v>
      </x:c>
      <x:c r="E3879" s="115" t="n">
        <x:v>24</x:v>
      </x:c>
      <x:c r="F3879" s="115" t="str">
        <x:v>Inspection physique</x:v>
      </x:c>
      <x:c r="G3879" s="115" t="str">
        <x:v>1 niveaux ; 32 pièces ; 248 segments de mur ; 0 transitions. Inspection physique ; architecture complète encore ouverte.</x:v>
      </x:c>
      <x:c r="H3879" s="115" t="str">
        <x:v>L 604 ; l 580 ; hauteur 14 m ; choix de composition auteur ; dimensions réelles à documenter</x:v>
      </x:c>
      <x:c r="I3879" s="115" t="str">
        <x:v>À équilibrer</x:v>
      </x:c>
      <x:c r="J3879" s="115" t="str">
        <x:v>Non</x:v>
      </x:c>
      <x:c r="K3879" s="115" t="str">
        <x:v>Pièces décrites, murs, portes, niveaux et mobilier inspectables à l’échelle. Volumes réservés, raccord au seed, butin, rencontres et services de campagne restent à terminer.</x:v>
      </x:c>
    </x:row>
    <x:row r="3880" ht="96" customHeight="1">
      <x:c r="A3880" s="115" t="str">
        <x:v>EXT-MONDE-T078-V25</x:v>
      </x:c>
      <x:c r="B3880" s="115" t="str">
        <x:v>EXT-MONDE-T078</x:v>
      </x:c>
      <x:c r="C3880" s="115" t="str">
        <x:v>Îles</x:v>
      </x:c>
      <x:c r="D3880" s="115" t="str">
        <x:v>Île agricole habitée</x:v>
      </x:c>
      <x:c r="E3880" s="115" t="n">
        <x:v>25</x:v>
      </x:c>
      <x:c r="F3880" s="115" t="str">
        <x:v>Inspection physique</x:v>
      </x:c>
      <x:c r="G3880" s="115" t="str">
        <x:v>1 niveaux ; 32 pièces ; 248 segments de mur ; 0 transitions. Inspection physique ; architecture complète encore ouverte.</x:v>
      </x:c>
      <x:c r="H3880" s="115" t="str">
        <x:v>L 604 ; l 580 ; hauteur 14 m ; choix de composition auteur ; dimensions réelles à documenter</x:v>
      </x:c>
      <x:c r="I3880" s="115" t="str">
        <x:v>À équilibrer</x:v>
      </x:c>
      <x:c r="J3880" s="115" t="str">
        <x:v>Non</x:v>
      </x:c>
      <x:c r="K3880" s="115" t="str">
        <x:v>Pièces décrites, murs, portes, niveaux et mobilier inspectables à l’échelle. Volumes réservés, raccord au seed, butin, rencontres et services de campagne restent à terminer.</x:v>
      </x:c>
    </x:row>
    <x:row r="3881" ht="96" customHeight="1">
      <x:c r="A3881" s="115" t="str">
        <x:v>EXT-MONDE-T078-V26</x:v>
      </x:c>
      <x:c r="B3881" s="115" t="str">
        <x:v>EXT-MONDE-T078</x:v>
      </x:c>
      <x:c r="C3881" s="115" t="str">
        <x:v>Îles</x:v>
      </x:c>
      <x:c r="D3881" s="115" t="str">
        <x:v>Île agricole habitée</x:v>
      </x:c>
      <x:c r="E3881" s="115" t="n">
        <x:v>26</x:v>
      </x:c>
      <x:c r="F3881" s="115" t="str">
        <x:v>Inspection physique</x:v>
      </x:c>
      <x:c r="G3881" s="115" t="str">
        <x:v>1 niveaux ; 32 pièces ; 248 segments de mur ; 0 transitions. Inspection physique ; architecture complète encore ouverte.</x:v>
      </x:c>
      <x:c r="H3881" s="115" t="str">
        <x:v>L 604 ; l 580 ; hauteur 14 m ; choix de composition auteur ; dimensions réelles à documenter</x:v>
      </x:c>
      <x:c r="I3881" s="115" t="str">
        <x:v>À équilibrer</x:v>
      </x:c>
      <x:c r="J3881" s="115" t="str">
        <x:v>Non</x:v>
      </x:c>
      <x:c r="K3881" s="115" t="str">
        <x:v>Pièces décrites, murs, portes, niveaux et mobilier inspectables à l’échelle. Volumes réservés, raccord au seed, butin, rencontres et services de campagne restent à terminer.</x:v>
      </x:c>
    </x:row>
    <x:row r="3882" ht="96" customHeight="1">
      <x:c r="A3882" s="115" t="str">
        <x:v>EXT-MONDE-T078-V27</x:v>
      </x:c>
      <x:c r="B3882" s="115" t="str">
        <x:v>EXT-MONDE-T078</x:v>
      </x:c>
      <x:c r="C3882" s="115" t="str">
        <x:v>Îles</x:v>
      </x:c>
      <x:c r="D3882" s="115" t="str">
        <x:v>Île agricole habitée</x:v>
      </x:c>
      <x:c r="E3882" s="115" t="n">
        <x:v>27</x:v>
      </x:c>
      <x:c r="F3882" s="115" t="str">
        <x:v>Inspection physique</x:v>
      </x:c>
      <x:c r="G3882" s="115" t="str">
        <x:v>1 niveaux ; 32 pièces ; 248 segments de mur ; 0 transitions. Inspection physique ; architecture complète encore ouverte.</x:v>
      </x:c>
      <x:c r="H3882" s="115" t="str">
        <x:v>L 604 ; l 580 ; hauteur 14 m ; choix de composition auteur ; dimensions réelles à documenter</x:v>
      </x:c>
      <x:c r="I3882" s="115" t="str">
        <x:v>À équilibrer</x:v>
      </x:c>
      <x:c r="J3882" s="115" t="str">
        <x:v>Non</x:v>
      </x:c>
      <x:c r="K3882" s="115" t="str">
        <x:v>Pièces décrites, murs, portes, niveaux et mobilier inspectables à l’échelle. Volumes réservés, raccord au seed, butin, rencontres et services de campagne restent à terminer.</x:v>
      </x:c>
    </x:row>
    <x:row r="3883" ht="96" customHeight="1">
      <x:c r="A3883" s="115" t="str">
        <x:v>EXT-MONDE-T078-V28</x:v>
      </x:c>
      <x:c r="B3883" s="115" t="str">
        <x:v>EXT-MONDE-T078</x:v>
      </x:c>
      <x:c r="C3883" s="115" t="str">
        <x:v>Îles</x:v>
      </x:c>
      <x:c r="D3883" s="115" t="str">
        <x:v>Île agricole habitée</x:v>
      </x:c>
      <x:c r="E3883" s="115" t="n">
        <x:v>28</x:v>
      </x:c>
      <x:c r="F3883" s="115" t="str">
        <x:v>Inspection physique</x:v>
      </x:c>
      <x:c r="G3883" s="115" t="str">
        <x:v>1 niveaux ; 32 pièces ; 248 segments de mur ; 0 transitions. Inspection physique ; architecture complète encore ouverte.</x:v>
      </x:c>
      <x:c r="H3883" s="115" t="str">
        <x:v>L 604 ; l 580 ; hauteur 14 m ; choix de composition auteur ; dimensions réelles à documenter</x:v>
      </x:c>
      <x:c r="I3883" s="115" t="str">
        <x:v>À équilibrer</x:v>
      </x:c>
      <x:c r="J3883" s="115" t="str">
        <x:v>Non</x:v>
      </x:c>
      <x:c r="K3883" s="115" t="str">
        <x:v>Pièces décrites, murs, portes, niveaux et mobilier inspectables à l’échelle. Volumes réservés, raccord au seed, butin, rencontres et services de campagne restent à terminer.</x:v>
      </x:c>
    </x:row>
    <x:row r="3884" ht="96" customHeight="1">
      <x:c r="A3884" s="115" t="str">
        <x:v>EXT-MONDE-T078-V29</x:v>
      </x:c>
      <x:c r="B3884" s="115" t="str">
        <x:v>EXT-MONDE-T078</x:v>
      </x:c>
      <x:c r="C3884" s="115" t="str">
        <x:v>Îles</x:v>
      </x:c>
      <x:c r="D3884" s="115" t="str">
        <x:v>Île agricole habitée</x:v>
      </x:c>
      <x:c r="E3884" s="115" t="n">
        <x:v>29</x:v>
      </x:c>
      <x:c r="F3884" s="115" t="str">
        <x:v>Inspection physique</x:v>
      </x:c>
      <x:c r="G3884" s="115" t="str">
        <x:v>1 niveaux ; 32 pièces ; 248 segments de mur ; 0 transitions. Inspection physique ; architecture complète encore ouverte.</x:v>
      </x:c>
      <x:c r="H3884" s="115" t="str">
        <x:v>L 604 ; l 580 ; hauteur 14 m ; choix de composition auteur ; dimensions réelles à documenter</x:v>
      </x:c>
      <x:c r="I3884" s="115" t="str">
        <x:v>À équilibrer</x:v>
      </x:c>
      <x:c r="J3884" s="115" t="str">
        <x:v>Non</x:v>
      </x:c>
      <x:c r="K3884" s="115" t="str">
        <x:v>Pièces décrites, murs, portes, niveaux et mobilier inspectables à l’échelle. Volumes réservés, raccord au seed, butin, rencontres et services de campagne restent à terminer.</x:v>
      </x:c>
    </x:row>
    <x:row r="3885" ht="96" customHeight="1">
      <x:c r="A3885" s="115" t="str">
        <x:v>EXT-MONDE-T078-V30</x:v>
      </x:c>
      <x:c r="B3885" s="115" t="str">
        <x:v>EXT-MONDE-T078</x:v>
      </x:c>
      <x:c r="C3885" s="115" t="str">
        <x:v>Îles</x:v>
      </x:c>
      <x:c r="D3885" s="115" t="str">
        <x:v>Île agricole habitée</x:v>
      </x:c>
      <x:c r="E3885" s="115" t="n">
        <x:v>30</x:v>
      </x:c>
      <x:c r="F3885" s="115" t="str">
        <x:v>Inspection physique</x:v>
      </x:c>
      <x:c r="G3885" s="115" t="str">
        <x:v>1 niveaux ; 32 pièces ; 248 segments de mur ; 0 transitions. Inspection physique ; architecture complète encore ouverte.</x:v>
      </x:c>
      <x:c r="H3885" s="115" t="str">
        <x:v>L 604 ; l 580 ; hauteur 14 m ; choix de composition auteur ; dimensions réelles à documenter</x:v>
      </x:c>
      <x:c r="I3885" s="115" t="str">
        <x:v>À équilibrer</x:v>
      </x:c>
      <x:c r="J3885" s="115" t="str">
        <x:v>Non</x:v>
      </x:c>
      <x:c r="K3885" s="115" t="str">
        <x:v>Pièces décrites, murs, portes, niveaux et mobilier inspectables à l’échelle. Volumes réservés, raccord au seed, butin, rencontres et services de campagne restent à terminer.</x:v>
      </x:c>
    </x:row>
    <x:row r="3886" ht="96" customHeight="1">
      <x:c r="A3886" s="115" t="str">
        <x:v>EXT-MONDE-T078-V31</x:v>
      </x:c>
      <x:c r="B3886" s="115" t="str">
        <x:v>EXT-MONDE-T078</x:v>
      </x:c>
      <x:c r="C3886" s="115" t="str">
        <x:v>Îles</x:v>
      </x:c>
      <x:c r="D3886" s="115" t="str">
        <x:v>Île agricole habitée</x:v>
      </x:c>
      <x:c r="E3886" s="115" t="n">
        <x:v>31</x:v>
      </x:c>
      <x:c r="F3886" s="115" t="str">
        <x:v>Inspection physique</x:v>
      </x:c>
      <x:c r="G3886" s="115" t="str">
        <x:v>1 niveaux ; 32 pièces ; 248 segments de mur ; 0 transitions. Inspection physique ; architecture complète encore ouverte.</x:v>
      </x:c>
      <x:c r="H3886" s="115" t="str">
        <x:v>L 618 ; l 592 ; hauteur 14 m ; choix de composition auteur ; dimensions réelles à documenter</x:v>
      </x:c>
      <x:c r="I3886" s="115" t="str">
        <x:v>À équilibrer</x:v>
      </x:c>
      <x:c r="J3886" s="115" t="str">
        <x:v>Non</x:v>
      </x:c>
      <x:c r="K3886" s="115" t="str">
        <x:v>Pièces décrites, murs, portes, niveaux et mobilier inspectables à l’échelle. Volumes réservés, raccord au seed, butin, rencontres et services de campagne restent à terminer.</x:v>
      </x:c>
    </x:row>
    <x:row r="3887" ht="96" customHeight="1">
      <x:c r="A3887" s="115" t="str">
        <x:v>EXT-MONDE-T078-V32</x:v>
      </x:c>
      <x:c r="B3887" s="115" t="str">
        <x:v>EXT-MONDE-T078</x:v>
      </x:c>
      <x:c r="C3887" s="115" t="str">
        <x:v>Îles</x:v>
      </x:c>
      <x:c r="D3887" s="115" t="str">
        <x:v>Île agricole habitée</x:v>
      </x:c>
      <x:c r="E3887" s="115" t="n">
        <x:v>32</x:v>
      </x:c>
      <x:c r="F3887" s="115" t="str">
        <x:v>Inspection physique</x:v>
      </x:c>
      <x:c r="G3887" s="115" t="str">
        <x:v>1 niveaux ; 32 pièces ; 248 segments de mur ; 0 transitions. Inspection physique ; architecture complète encore ouverte.</x:v>
      </x:c>
      <x:c r="H3887" s="115" t="str">
        <x:v>L 618 ; l 592 ; hauteur 14 m ; choix de composition auteur ; dimensions réelles à documenter</x:v>
      </x:c>
      <x:c r="I3887" s="115" t="str">
        <x:v>À équilibrer</x:v>
      </x:c>
      <x:c r="J3887" s="115" t="str">
        <x:v>Non</x:v>
      </x:c>
      <x:c r="K3887" s="115" t="str">
        <x:v>Pièces décrites, murs, portes, niveaux et mobilier inspectables à l’échelle. Volumes réservés, raccord au seed, butin, rencontres et services de campagne restent à terminer.</x:v>
      </x:c>
    </x:row>
    <x:row r="3888" ht="96" customHeight="1">
      <x:c r="A3888" s="115" t="str">
        <x:v>EXT-MONDE-T078-V33</x:v>
      </x:c>
      <x:c r="B3888" s="115" t="str">
        <x:v>EXT-MONDE-T078</x:v>
      </x:c>
      <x:c r="C3888" s="115" t="str">
        <x:v>Îles</x:v>
      </x:c>
      <x:c r="D3888" s="115" t="str">
        <x:v>Île agricole habitée</x:v>
      </x:c>
      <x:c r="E3888" s="115" t="n">
        <x:v>33</x:v>
      </x:c>
      <x:c r="F3888" s="115" t="str">
        <x:v>Inspection physique</x:v>
      </x:c>
      <x:c r="G3888" s="115" t="str">
        <x:v>1 niveaux ; 32 pièces ; 248 segments de mur ; 0 transitions. Inspection physique ; architecture complète encore ouverte.</x:v>
      </x:c>
      <x:c r="H3888" s="115" t="str">
        <x:v>L 618 ; l 592 ; hauteur 14 m ; choix de composition auteur ; dimensions réelles à documenter</x:v>
      </x:c>
      <x:c r="I3888" s="115" t="str">
        <x:v>À équilibrer</x:v>
      </x:c>
      <x:c r="J3888" s="115" t="str">
        <x:v>Non</x:v>
      </x:c>
      <x:c r="K3888" s="115" t="str">
        <x:v>Pièces décrites, murs, portes, niveaux et mobilier inspectables à l’échelle. Volumes réservés, raccord au seed, butin, rencontres et services de campagne restent à terminer.</x:v>
      </x:c>
    </x:row>
    <x:row r="3889" ht="96" customHeight="1">
      <x:c r="A3889" s="115" t="str">
        <x:v>EXT-MONDE-T078-V34</x:v>
      </x:c>
      <x:c r="B3889" s="115" t="str">
        <x:v>EXT-MONDE-T078</x:v>
      </x:c>
      <x:c r="C3889" s="115" t="str">
        <x:v>Îles</x:v>
      </x:c>
      <x:c r="D3889" s="115" t="str">
        <x:v>Île agricole habitée</x:v>
      </x:c>
      <x:c r="E3889" s="115" t="n">
        <x:v>34</x:v>
      </x:c>
      <x:c r="F3889" s="115" t="str">
        <x:v>Inspection physique</x:v>
      </x:c>
      <x:c r="G3889" s="115" t="str">
        <x:v>1 niveaux ; 32 pièces ; 248 segments de mur ; 0 transitions. Inspection physique ; architecture complète encore ouverte.</x:v>
      </x:c>
      <x:c r="H3889" s="115" t="str">
        <x:v>L 618 ; l 592 ; hauteur 14 m ; choix de composition auteur ; dimensions réelles à documenter</x:v>
      </x:c>
      <x:c r="I3889" s="115" t="str">
        <x:v>À équilibrer</x:v>
      </x:c>
      <x:c r="J3889" s="115" t="str">
        <x:v>Non</x:v>
      </x:c>
      <x:c r="K3889" s="115" t="str">
        <x:v>Pièces décrites, murs, portes, niveaux et mobilier inspectables à l’échelle. Volumes réservés, raccord au seed, butin, rencontres et services de campagne restent à terminer.</x:v>
      </x:c>
    </x:row>
    <x:row r="3890" ht="96" customHeight="1">
      <x:c r="A3890" s="115" t="str">
        <x:v>EXT-MONDE-T078-V35</x:v>
      </x:c>
      <x:c r="B3890" s="115" t="str">
        <x:v>EXT-MONDE-T078</x:v>
      </x:c>
      <x:c r="C3890" s="115" t="str">
        <x:v>Îles</x:v>
      </x:c>
      <x:c r="D3890" s="115" t="str">
        <x:v>Île agricole habitée</x:v>
      </x:c>
      <x:c r="E3890" s="115" t="n">
        <x:v>35</x:v>
      </x:c>
      <x:c r="F3890" s="115" t="str">
        <x:v>Inspection physique</x:v>
      </x:c>
      <x:c r="G3890" s="115" t="str">
        <x:v>1 niveaux ; 32 pièces ; 248 segments de mur ; 0 transitions. Inspection physique ; architecture complète encore ouverte.</x:v>
      </x:c>
      <x:c r="H3890" s="115" t="str">
        <x:v>L 618 ; l 592 ; hauteur 14 m ; choix de composition auteur ; dimensions réelles à documenter</x:v>
      </x:c>
      <x:c r="I3890" s="115" t="str">
        <x:v>À équilibrer</x:v>
      </x:c>
      <x:c r="J3890" s="115" t="str">
        <x:v>Non</x:v>
      </x:c>
      <x:c r="K3890" s="115" t="str">
        <x:v>Pièces décrites, murs, portes, niveaux et mobilier inspectables à l’échelle. Volumes réservés, raccord au seed, butin, rencontres et services de campagne restent à terminer.</x:v>
      </x:c>
    </x:row>
    <x:row r="3891" ht="96" customHeight="1">
      <x:c r="A3891" s="115" t="str">
        <x:v>EXT-MONDE-T078-V36</x:v>
      </x:c>
      <x:c r="B3891" s="115" t="str">
        <x:v>EXT-MONDE-T078</x:v>
      </x:c>
      <x:c r="C3891" s="115" t="str">
        <x:v>Îles</x:v>
      </x:c>
      <x:c r="D3891" s="115" t="str">
        <x:v>Île agricole habitée</x:v>
      </x:c>
      <x:c r="E3891" s="115" t="n">
        <x:v>36</x:v>
      </x:c>
      <x:c r="F3891" s="115" t="str">
        <x:v>Inspection physique</x:v>
      </x:c>
      <x:c r="G3891" s="115" t="str">
        <x:v>1 niveaux ; 32 pièces ; 248 segments de mur ; 0 transitions. Inspection physique ; architecture complète encore ouverte.</x:v>
      </x:c>
      <x:c r="H3891" s="115" t="str">
        <x:v>L 618 ; l 592 ; hauteur 14 m ; choix de composition auteur ; dimensions réelles à documenter</x:v>
      </x:c>
      <x:c r="I3891" s="115" t="str">
        <x:v>À équilibrer</x:v>
      </x:c>
      <x:c r="J3891" s="115" t="str">
        <x:v>Non</x:v>
      </x:c>
      <x:c r="K3891" s="115" t="str">
        <x:v>Pièces décrites, murs, portes, niveaux et mobilier inspectables à l’échelle. Volumes réservés, raccord au seed, butin, rencontres et services de campagne restent à terminer.</x:v>
      </x:c>
    </x:row>
    <x:row r="3892" ht="96" customHeight="1">
      <x:c r="A3892" s="115" t="str">
        <x:v>EXT-MONDE-T078-V37</x:v>
      </x:c>
      <x:c r="B3892" s="115" t="str">
        <x:v>EXT-MONDE-T078</x:v>
      </x:c>
      <x:c r="C3892" s="115" t="str">
        <x:v>Îles</x:v>
      </x:c>
      <x:c r="D3892" s="115" t="str">
        <x:v>Île agricole habitée</x:v>
      </x:c>
      <x:c r="E3892" s="115" t="n">
        <x:v>37</x:v>
      </x:c>
      <x:c r="F3892" s="115" t="str">
        <x:v>Inspection physique</x:v>
      </x:c>
      <x:c r="G3892" s="115" t="str">
        <x:v>1 niveaux ; 32 pièces ; 248 segments de mur ; 0 transitions. Inspection physique ; architecture complète encore ouverte.</x:v>
      </x:c>
      <x:c r="H3892" s="115" t="str">
        <x:v>L 618 ; l 592 ; hauteur 14 m ; choix de composition auteur ; dimensions réelles à documenter</x:v>
      </x:c>
      <x:c r="I3892" s="115" t="str">
        <x:v>À équilibrer</x:v>
      </x:c>
      <x:c r="J3892" s="115" t="str">
        <x:v>Non</x:v>
      </x:c>
      <x:c r="K3892" s="115" t="str">
        <x:v>Pièces décrites, murs, portes, niveaux et mobilier inspectables à l’échelle. Volumes réservés, raccord au seed, butin, rencontres et services de campagne restent à terminer.</x:v>
      </x:c>
    </x:row>
    <x:row r="3893" ht="96" customHeight="1">
      <x:c r="A3893" s="115" t="str">
        <x:v>EXT-MONDE-T078-V38</x:v>
      </x:c>
      <x:c r="B3893" s="115" t="str">
        <x:v>EXT-MONDE-T078</x:v>
      </x:c>
      <x:c r="C3893" s="115" t="str">
        <x:v>Îles</x:v>
      </x:c>
      <x:c r="D3893" s="115" t="str">
        <x:v>Île agricole habitée</x:v>
      </x:c>
      <x:c r="E3893" s="115" t="n">
        <x:v>38</x:v>
      </x:c>
      <x:c r="F3893" s="115" t="str">
        <x:v>Inspection physique</x:v>
      </x:c>
      <x:c r="G3893" s="115" t="str">
        <x:v>1 niveaux ; 32 pièces ; 248 segments de mur ; 0 transitions. Inspection physique ; architecture complète encore ouverte.</x:v>
      </x:c>
      <x:c r="H3893" s="115" t="str">
        <x:v>L 618 ; l 592 ; hauteur 14 m ; choix de composition auteur ; dimensions réelles à documenter</x:v>
      </x:c>
      <x:c r="I3893" s="115" t="str">
        <x:v>À équilibrer</x:v>
      </x:c>
      <x:c r="J3893" s="115" t="str">
        <x:v>Non</x:v>
      </x:c>
      <x:c r="K3893" s="115" t="str">
        <x:v>Pièces décrites, murs, portes, niveaux et mobilier inspectables à l’échelle. Volumes réservés, raccord au seed, butin, rencontres et services de campagne restent à terminer.</x:v>
      </x:c>
    </x:row>
    <x:row r="3894" ht="96" customHeight="1">
      <x:c r="A3894" s="115" t="str">
        <x:v>EXT-MONDE-T078-V39</x:v>
      </x:c>
      <x:c r="B3894" s="115" t="str">
        <x:v>EXT-MONDE-T078</x:v>
      </x:c>
      <x:c r="C3894" s="115" t="str">
        <x:v>Îles</x:v>
      </x:c>
      <x:c r="D3894" s="115" t="str">
        <x:v>Île agricole habitée</x:v>
      </x:c>
      <x:c r="E3894" s="115" t="n">
        <x:v>39</x:v>
      </x:c>
      <x:c r="F3894" s="115" t="str">
        <x:v>Inspection physique</x:v>
      </x:c>
      <x:c r="G3894" s="115" t="str">
        <x:v>1 niveaux ; 32 pièces ; 248 segments de mur ; 0 transitions. Inspection physique ; architecture complète encore ouverte.</x:v>
      </x:c>
      <x:c r="H3894" s="115" t="str">
        <x:v>L 618 ; l 592 ; hauteur 14 m ; choix de composition auteur ; dimensions réelles à documenter</x:v>
      </x:c>
      <x:c r="I3894" s="115" t="str">
        <x:v>À équilibrer</x:v>
      </x:c>
      <x:c r="J3894" s="115" t="str">
        <x:v>Non</x:v>
      </x:c>
      <x:c r="K3894" s="115" t="str">
        <x:v>Pièces décrites, murs, portes, niveaux et mobilier inspectables à l’échelle. Volumes réservés, raccord au seed, butin, rencontres et services de campagne restent à terminer.</x:v>
      </x:c>
    </x:row>
    <x:row r="3895" ht="96" customHeight="1">
      <x:c r="A3895" s="115" t="str">
        <x:v>EXT-MONDE-T078-V40</x:v>
      </x:c>
      <x:c r="B3895" s="115" t="str">
        <x:v>EXT-MONDE-T078</x:v>
      </x:c>
      <x:c r="C3895" s="115" t="str">
        <x:v>Îles</x:v>
      </x:c>
      <x:c r="D3895" s="115" t="str">
        <x:v>Île agricole habitée</x:v>
      </x:c>
      <x:c r="E3895" s="115" t="n">
        <x:v>40</x:v>
      </x:c>
      <x:c r="F3895" s="115" t="str">
        <x:v>Inspection physique</x:v>
      </x:c>
      <x:c r="G3895" s="115" t="str">
        <x:v>1 niveaux ; 32 pièces ; 248 segments de mur ; 0 transitions. Inspection physique ; architecture complète encore ouverte.</x:v>
      </x:c>
      <x:c r="H3895" s="115" t="str">
        <x:v>L 618 ; l 592 ; hauteur 14 m ; choix de composition auteur ; dimensions réelles à documenter</x:v>
      </x:c>
      <x:c r="I3895" s="115" t="str">
        <x:v>À équilibrer</x:v>
      </x:c>
      <x:c r="J3895" s="115" t="str">
        <x:v>Non</x:v>
      </x:c>
      <x:c r="K3895" s="115" t="str">
        <x:v>Pièces décrites, murs, portes, niveaux et mobilier inspectables à l’échelle. Volumes réservés, raccord au seed, butin, rencontres et services de campagne restent à terminer.</x:v>
      </x:c>
    </x:row>
    <x:row r="3896" ht="96" customHeight="1">
      <x:c r="A3896" s="115" t="str">
        <x:v>EXT-MONDE-T078-V41</x:v>
      </x:c>
      <x:c r="B3896" s="115" t="str">
        <x:v>EXT-MONDE-T078</x:v>
      </x:c>
      <x:c r="C3896" s="115" t="str">
        <x:v>Îles</x:v>
      </x:c>
      <x:c r="D3896" s="115" t="str">
        <x:v>Île agricole habitée</x:v>
      </x:c>
      <x:c r="E3896" s="115" t="n">
        <x:v>41</x:v>
      </x:c>
      <x:c r="F3896" s="115" t="str">
        <x:v>Inspection physique</x:v>
      </x:c>
      <x:c r="G3896" s="115" t="str">
        <x:v>1 niveaux ; 32 pièces ; 248 segments de mur ; 0 transitions. Inspection physique ; architecture complète encore ouverte.</x:v>
      </x:c>
      <x:c r="H3896" s="115" t="str">
        <x:v>L 632 ; l 604 ; hauteur 14 m ; choix de composition auteur ; dimensions réelles à documenter</x:v>
      </x:c>
      <x:c r="I3896" s="115" t="str">
        <x:v>À équilibrer</x:v>
      </x:c>
      <x:c r="J3896" s="115" t="str">
        <x:v>Non</x:v>
      </x:c>
      <x:c r="K3896" s="115" t="str">
        <x:v>Pièces décrites, murs, portes, niveaux et mobilier inspectables à l’échelle. Volumes réservés, raccord au seed, butin, rencontres et services de campagne restent à terminer.</x:v>
      </x:c>
    </x:row>
    <x:row r="3897" ht="96" customHeight="1">
      <x:c r="A3897" s="115" t="str">
        <x:v>EXT-MONDE-T078-V42</x:v>
      </x:c>
      <x:c r="B3897" s="115" t="str">
        <x:v>EXT-MONDE-T078</x:v>
      </x:c>
      <x:c r="C3897" s="115" t="str">
        <x:v>Îles</x:v>
      </x:c>
      <x:c r="D3897" s="115" t="str">
        <x:v>Île agricole habitée</x:v>
      </x:c>
      <x:c r="E3897" s="115" t="n">
        <x:v>42</x:v>
      </x:c>
      <x:c r="F3897" s="115" t="str">
        <x:v>Inspection physique</x:v>
      </x:c>
      <x:c r="G3897" s="115" t="str">
        <x:v>1 niveaux ; 32 pièces ; 248 segments de mur ; 0 transitions. Inspection physique ; architecture complète encore ouverte.</x:v>
      </x:c>
      <x:c r="H3897" s="115" t="str">
        <x:v>L 632 ; l 604 ; hauteur 14 m ; choix de composition auteur ; dimensions réelles à documenter</x:v>
      </x:c>
      <x:c r="I3897" s="115" t="str">
        <x:v>À équilibrer</x:v>
      </x:c>
      <x:c r="J3897" s="115" t="str">
        <x:v>Non</x:v>
      </x:c>
      <x:c r="K3897" s="115" t="str">
        <x:v>Pièces décrites, murs, portes, niveaux et mobilier inspectables à l’échelle. Volumes réservés, raccord au seed, butin, rencontres et services de campagne restent à terminer.</x:v>
      </x:c>
    </x:row>
    <x:row r="3898" ht="96" customHeight="1">
      <x:c r="A3898" s="115" t="str">
        <x:v>EXT-MONDE-T078-V43</x:v>
      </x:c>
      <x:c r="B3898" s="115" t="str">
        <x:v>EXT-MONDE-T078</x:v>
      </x:c>
      <x:c r="C3898" s="115" t="str">
        <x:v>Îles</x:v>
      </x:c>
      <x:c r="D3898" s="115" t="str">
        <x:v>Île agricole habitée</x:v>
      </x:c>
      <x:c r="E3898" s="115" t="n">
        <x:v>43</x:v>
      </x:c>
      <x:c r="F3898" s="115" t="str">
        <x:v>Inspection physique</x:v>
      </x:c>
      <x:c r="G3898" s="115" t="str">
        <x:v>1 niveaux ; 32 pièces ; 248 segments de mur ; 0 transitions. Inspection physique ; architecture complète encore ouverte.</x:v>
      </x:c>
      <x:c r="H3898" s="115" t="str">
        <x:v>L 632 ; l 604 ; hauteur 14 m ; choix de composition auteur ; dimensions réelles à documenter</x:v>
      </x:c>
      <x:c r="I3898" s="115" t="str">
        <x:v>À équilibrer</x:v>
      </x:c>
      <x:c r="J3898" s="115" t="str">
        <x:v>Non</x:v>
      </x:c>
      <x:c r="K3898" s="115" t="str">
        <x:v>Pièces décrites, murs, portes, niveaux et mobilier inspectables à l’échelle. Volumes réservés, raccord au seed, butin, rencontres et services de campagne restent à terminer.</x:v>
      </x:c>
    </x:row>
    <x:row r="3899" ht="96" customHeight="1">
      <x:c r="A3899" s="115" t="str">
        <x:v>EXT-MONDE-T078-V44</x:v>
      </x:c>
      <x:c r="B3899" s="115" t="str">
        <x:v>EXT-MONDE-T078</x:v>
      </x:c>
      <x:c r="C3899" s="115" t="str">
        <x:v>Îles</x:v>
      </x:c>
      <x:c r="D3899" s="115" t="str">
        <x:v>Île agricole habitée</x:v>
      </x:c>
      <x:c r="E3899" s="115" t="n">
        <x:v>44</x:v>
      </x:c>
      <x:c r="F3899" s="115" t="str">
        <x:v>Inspection physique</x:v>
      </x:c>
      <x:c r="G3899" s="115" t="str">
        <x:v>1 niveaux ; 32 pièces ; 248 segments de mur ; 0 transitions. Inspection physique ; architecture complète encore ouverte.</x:v>
      </x:c>
      <x:c r="H3899" s="115" t="str">
        <x:v>L 632 ; l 604 ; hauteur 14 m ; choix de composition auteur ; dimensions réelles à documenter</x:v>
      </x:c>
      <x:c r="I3899" s="115" t="str">
        <x:v>À équilibrer</x:v>
      </x:c>
      <x:c r="J3899" s="115" t="str">
        <x:v>Non</x:v>
      </x:c>
      <x:c r="K3899" s="115" t="str">
        <x:v>Pièces décrites, murs, portes, niveaux et mobilier inspectables à l’échelle. Volumes réservés, raccord au seed, butin, rencontres et services de campagne restent à terminer.</x:v>
      </x:c>
    </x:row>
    <x:row r="3900" ht="96" customHeight="1">
      <x:c r="A3900" s="115" t="str">
        <x:v>EXT-MONDE-T078-V45</x:v>
      </x:c>
      <x:c r="B3900" s="115" t="str">
        <x:v>EXT-MONDE-T078</x:v>
      </x:c>
      <x:c r="C3900" s="115" t="str">
        <x:v>Îles</x:v>
      </x:c>
      <x:c r="D3900" s="115" t="str">
        <x:v>Île agricole habitée</x:v>
      </x:c>
      <x:c r="E3900" s="115" t="n">
        <x:v>45</x:v>
      </x:c>
      <x:c r="F3900" s="115" t="str">
        <x:v>Inspection physique</x:v>
      </x:c>
      <x:c r="G3900" s="115" t="str">
        <x:v>1 niveaux ; 32 pièces ; 248 segments de mur ; 0 transitions. Inspection physique ; architecture complète encore ouverte.</x:v>
      </x:c>
      <x:c r="H3900" s="115" t="str">
        <x:v>L 632 ; l 604 ; hauteur 14 m ; choix de composition auteur ; dimensions réelles à documenter</x:v>
      </x:c>
      <x:c r="I3900" s="115" t="str">
        <x:v>À équilibrer</x:v>
      </x:c>
      <x:c r="J3900" s="115" t="str">
        <x:v>Non</x:v>
      </x:c>
      <x:c r="K3900" s="115" t="str">
        <x:v>Pièces décrites, murs, portes, niveaux et mobilier inspectables à l’échelle. Volumes réservés, raccord au seed, butin, rencontres et services de campagne restent à terminer.</x:v>
      </x:c>
    </x:row>
    <x:row r="3901" ht="96" customHeight="1">
      <x:c r="A3901" s="115" t="str">
        <x:v>EXT-MONDE-T078-V46</x:v>
      </x:c>
      <x:c r="B3901" s="115" t="str">
        <x:v>EXT-MONDE-T078</x:v>
      </x:c>
      <x:c r="C3901" s="115" t="str">
        <x:v>Îles</x:v>
      </x:c>
      <x:c r="D3901" s="115" t="str">
        <x:v>Île agricole habitée</x:v>
      </x:c>
      <x:c r="E3901" s="115" t="n">
        <x:v>46</x:v>
      </x:c>
      <x:c r="F3901" s="115" t="str">
        <x:v>Inspection physique</x:v>
      </x:c>
      <x:c r="G3901" s="115" t="str">
        <x:v>1 niveaux ; 32 pièces ; 248 segments de mur ; 0 transitions. Inspection physique ; architecture complète encore ouverte.</x:v>
      </x:c>
      <x:c r="H3901" s="115" t="str">
        <x:v>L 632 ; l 604 ; hauteur 14 m ; choix de composition auteur ; dimensions réelles à documenter</x:v>
      </x:c>
      <x:c r="I3901" s="115" t="str">
        <x:v>À équilibrer</x:v>
      </x:c>
      <x:c r="J3901" s="115" t="str">
        <x:v>Non</x:v>
      </x:c>
      <x:c r="K3901" s="115" t="str">
        <x:v>Pièces décrites, murs, portes, niveaux et mobilier inspectables à l’échelle. Volumes réservés, raccord au seed, butin, rencontres et services de campagne restent à terminer.</x:v>
      </x:c>
    </x:row>
    <x:row r="3902" ht="96" customHeight="1">
      <x:c r="A3902" s="115" t="str">
        <x:v>EXT-MONDE-T078-V47</x:v>
      </x:c>
      <x:c r="B3902" s="115" t="str">
        <x:v>EXT-MONDE-T078</x:v>
      </x:c>
      <x:c r="C3902" s="115" t="str">
        <x:v>Îles</x:v>
      </x:c>
      <x:c r="D3902" s="115" t="str">
        <x:v>Île agricole habitée</x:v>
      </x:c>
      <x:c r="E3902" s="115" t="n">
        <x:v>47</x:v>
      </x:c>
      <x:c r="F3902" s="115" t="str">
        <x:v>Inspection physique</x:v>
      </x:c>
      <x:c r="G3902" s="115" t="str">
        <x:v>1 niveaux ; 32 pièces ; 248 segments de mur ; 0 transitions. Inspection physique ; architecture complète encore ouverte.</x:v>
      </x:c>
      <x:c r="H3902" s="115" t="str">
        <x:v>L 632 ; l 604 ; hauteur 14 m ; choix de composition auteur ; dimensions réelles à documenter</x:v>
      </x:c>
      <x:c r="I3902" s="115" t="str">
        <x:v>À équilibrer</x:v>
      </x:c>
      <x:c r="J3902" s="115" t="str">
        <x:v>Non</x:v>
      </x:c>
      <x:c r="K3902" s="115" t="str">
        <x:v>Pièces décrites, murs, portes, niveaux et mobilier inspectables à l’échelle. Volumes réservés, raccord au seed, butin, rencontres et services de campagne restent à terminer.</x:v>
      </x:c>
    </x:row>
    <x:row r="3903" ht="96" customHeight="1">
      <x:c r="A3903" s="115" t="str">
        <x:v>EXT-MONDE-T078-V48</x:v>
      </x:c>
      <x:c r="B3903" s="115" t="str">
        <x:v>EXT-MONDE-T078</x:v>
      </x:c>
      <x:c r="C3903" s="115" t="str">
        <x:v>Îles</x:v>
      </x:c>
      <x:c r="D3903" s="115" t="str">
        <x:v>Île agricole habitée</x:v>
      </x:c>
      <x:c r="E3903" s="115" t="n">
        <x:v>48</x:v>
      </x:c>
      <x:c r="F3903" s="115" t="str">
        <x:v>Inspection physique</x:v>
      </x:c>
      <x:c r="G3903" s="115" t="str">
        <x:v>1 niveaux ; 32 pièces ; 248 segments de mur ; 0 transitions. Inspection physique ; architecture complète encore ouverte.</x:v>
      </x:c>
      <x:c r="H3903" s="115" t="str">
        <x:v>L 632 ; l 604 ; hauteur 14 m ; choix de composition auteur ; dimensions réelles à documenter</x:v>
      </x:c>
      <x:c r="I3903" s="115" t="str">
        <x:v>À équilibrer</x:v>
      </x:c>
      <x:c r="J3903" s="115" t="str">
        <x:v>Non</x:v>
      </x:c>
      <x:c r="K3903" s="115" t="str">
        <x:v>Pièces décrites, murs, portes, niveaux et mobilier inspectables à l’échelle. Volumes réservés, raccord au seed, butin, rencontres et services de campagne restent à terminer.</x:v>
      </x:c>
    </x:row>
    <x:row r="3904" ht="96" customHeight="1">
      <x:c r="A3904" s="115" t="str">
        <x:v>EXT-MONDE-T078-V49</x:v>
      </x:c>
      <x:c r="B3904" s="115" t="str">
        <x:v>EXT-MONDE-T078</x:v>
      </x:c>
      <x:c r="C3904" s="115" t="str">
        <x:v>Îles</x:v>
      </x:c>
      <x:c r="D3904" s="115" t="str">
        <x:v>Île agricole habitée</x:v>
      </x:c>
      <x:c r="E3904" s="115" t="n">
        <x:v>49</x:v>
      </x:c>
      <x:c r="F3904" s="115" t="str">
        <x:v>Inspection physique</x:v>
      </x:c>
      <x:c r="G3904" s="115" t="str">
        <x:v>1 niveaux ; 32 pièces ; 248 segments de mur ; 0 transitions. Inspection physique ; architecture complète encore ouverte.</x:v>
      </x:c>
      <x:c r="H3904" s="115" t="str">
        <x:v>L 632 ; l 604 ; hauteur 14 m ; choix de composition auteur ; dimensions réelles à documenter</x:v>
      </x:c>
      <x:c r="I3904" s="115" t="str">
        <x:v>À équilibrer</x:v>
      </x:c>
      <x:c r="J3904" s="115" t="str">
        <x:v>Non</x:v>
      </x:c>
      <x:c r="K3904" s="115" t="str">
        <x:v>Pièces décrites, murs, portes, niveaux et mobilier inspectables à l’échelle. Volumes réservés, raccord au seed, butin, rencontres et services de campagne restent à terminer.</x:v>
      </x:c>
    </x:row>
    <x:row r="3905" ht="96" customHeight="1">
      <x:c r="A3905" s="115" t="str">
        <x:v>EXT-MONDE-T078-V50</x:v>
      </x:c>
      <x:c r="B3905" s="115" t="str">
        <x:v>EXT-MONDE-T078</x:v>
      </x:c>
      <x:c r="C3905" s="115" t="str">
        <x:v>Îles</x:v>
      </x:c>
      <x:c r="D3905" s="115" t="str">
        <x:v>Île agricole habitée</x:v>
      </x:c>
      <x:c r="E3905" s="115" t="n">
        <x:v>50</x:v>
      </x:c>
      <x:c r="F3905" s="115" t="str">
        <x:v>Inspection physique</x:v>
      </x:c>
      <x:c r="G3905" s="115" t="str">
        <x:v>1 niveaux ; 32 pièces ; 248 segments de mur ; 0 transitions. Inspection physique ; architecture complète encore ouverte.</x:v>
      </x:c>
      <x:c r="H3905" s="115" t="str">
        <x:v>L 632 ; l 604 ; hauteur 14 m ; choix de composition auteur ; dimensions réelles à documenter</x:v>
      </x:c>
      <x:c r="I3905" s="115" t="str">
        <x:v>À équilibrer</x:v>
      </x:c>
      <x:c r="J3905" s="115" t="str">
        <x:v>Non</x:v>
      </x:c>
      <x:c r="K3905" s="115" t="str">
        <x:v>Pièces décrites, murs, portes, niveaux et mobilier inspectables à l’échelle. Volumes réservés, raccord au seed, butin, rencontres et services de campagne restent à terminer.</x:v>
      </x:c>
    </x:row>
    <x:row r="3906" ht="96" customHeight="1">
      <x:c r="A3906" s="115" t="str">
        <x:v>EXT-MONDE-T079-V01</x:v>
      </x:c>
      <x:c r="B3906" s="115" t="str">
        <x:v>EXT-MONDE-T079</x:v>
      </x:c>
      <x:c r="C3906" s="115" t="str">
        <x:v>Îles</x:v>
      </x:c>
      <x:c r="D3906" s="115" t="str">
        <x:v>Île portuaire industrielle</x:v>
      </x:c>
      <x:c r="E3906" s="115" t="n">
        <x:v>1</x:v>
      </x:c>
      <x:c r="F3906" s="115" t="str">
        <x:v>Inspection physique</x:v>
      </x:c>
      <x:c r="G3906" s="115" t="str">
        <x:v>1 niveaux ; 34 pièces ; 260 segments de mur ; 0 transitions. Inspection physique ; architecture complète encore ouverte.</x:v>
      </x:c>
      <x:c r="H3906" s="115" t="str">
        <x:v>L 696 ; l 716 ; hauteur 30 m ; choix de composition auteur ; dimensions réelles à documenter</x:v>
      </x:c>
      <x:c r="I3906" s="115" t="str">
        <x:v>À équilibrer</x:v>
      </x:c>
      <x:c r="J3906" s="115" t="str">
        <x:v>Non</x:v>
      </x:c>
      <x:c r="K3906" s="115" t="str">
        <x:v>Pièces décrites, murs, portes, niveaux et mobilier inspectables à l’échelle. Volumes réservés, raccord au seed, butin, rencontres et services de campagne restent à terminer.</x:v>
      </x:c>
    </x:row>
    <x:row r="3907" ht="96" customHeight="1">
      <x:c r="A3907" s="115" t="str">
        <x:v>EXT-MONDE-T079-V02</x:v>
      </x:c>
      <x:c r="B3907" s="115" t="str">
        <x:v>EXT-MONDE-T079</x:v>
      </x:c>
      <x:c r="C3907" s="115" t="str">
        <x:v>Îles</x:v>
      </x:c>
      <x:c r="D3907" s="115" t="str">
        <x:v>Île portuaire industrielle</x:v>
      </x:c>
      <x:c r="E3907" s="115" t="n">
        <x:v>2</x:v>
      </x:c>
      <x:c r="F3907" s="115" t="str">
        <x:v>Inspection physique</x:v>
      </x:c>
      <x:c r="G3907" s="115" t="str">
        <x:v>1 niveaux ; 34 pièces ; 260 segments de mur ; 0 transitions. Inspection physique ; architecture complète encore ouverte.</x:v>
      </x:c>
      <x:c r="H3907" s="115" t="str">
        <x:v>L 696 ; l 716 ; hauteur 30 m ; choix de composition auteur ; dimensions réelles à documenter</x:v>
      </x:c>
      <x:c r="I3907" s="115" t="str">
        <x:v>À équilibrer</x:v>
      </x:c>
      <x:c r="J3907" s="115" t="str">
        <x:v>Non</x:v>
      </x:c>
      <x:c r="K3907" s="115" t="str">
        <x:v>Pièces décrites, murs, portes, niveaux et mobilier inspectables à l’échelle. Volumes réservés, raccord au seed, butin, rencontres et services de campagne restent à terminer.</x:v>
      </x:c>
    </x:row>
    <x:row r="3908" ht="96" customHeight="1">
      <x:c r="A3908" s="115" t="str">
        <x:v>EXT-MONDE-T079-V03</x:v>
      </x:c>
      <x:c r="B3908" s="115" t="str">
        <x:v>EXT-MONDE-T079</x:v>
      </x:c>
      <x:c r="C3908" s="115" t="str">
        <x:v>Îles</x:v>
      </x:c>
      <x:c r="D3908" s="115" t="str">
        <x:v>Île portuaire industrielle</x:v>
      </x:c>
      <x:c r="E3908" s="115" t="n">
        <x:v>3</x:v>
      </x:c>
      <x:c r="F3908" s="115" t="str">
        <x:v>Inspection physique</x:v>
      </x:c>
      <x:c r="G3908" s="115" t="str">
        <x:v>1 niveaux ; 34 pièces ; 260 segments de mur ; 0 transitions. Inspection physique ; architecture complète encore ouverte.</x:v>
      </x:c>
      <x:c r="H3908" s="115" t="str">
        <x:v>L 696 ; l 716 ; hauteur 30 m ; choix de composition auteur ; dimensions réelles à documenter</x:v>
      </x:c>
      <x:c r="I3908" s="115" t="str">
        <x:v>À équilibrer</x:v>
      </x:c>
      <x:c r="J3908" s="115" t="str">
        <x:v>Non</x:v>
      </x:c>
      <x:c r="K3908" s="115" t="str">
        <x:v>Pièces décrites, murs, portes, niveaux et mobilier inspectables à l’échelle. Volumes réservés, raccord au seed, butin, rencontres et services de campagne restent à terminer.</x:v>
      </x:c>
    </x:row>
    <x:row r="3909" ht="96" customHeight="1">
      <x:c r="A3909" s="115" t="str">
        <x:v>EXT-MONDE-T079-V04</x:v>
      </x:c>
      <x:c r="B3909" s="115" t="str">
        <x:v>EXT-MONDE-T079</x:v>
      </x:c>
      <x:c r="C3909" s="115" t="str">
        <x:v>Îles</x:v>
      </x:c>
      <x:c r="D3909" s="115" t="str">
        <x:v>Île portuaire industrielle</x:v>
      </x:c>
      <x:c r="E3909" s="115" t="n">
        <x:v>4</x:v>
      </x:c>
      <x:c r="F3909" s="115" t="str">
        <x:v>Inspection physique</x:v>
      </x:c>
      <x:c r="G3909" s="115" t="str">
        <x:v>1 niveaux ; 34 pièces ; 260 segments de mur ; 0 transitions. Inspection physique ; architecture complète encore ouverte.</x:v>
      </x:c>
      <x:c r="H3909" s="115" t="str">
        <x:v>L 696 ; l 716 ; hauteur 30 m ; choix de composition auteur ; dimensions réelles à documenter</x:v>
      </x:c>
      <x:c r="I3909" s="115" t="str">
        <x:v>À équilibrer</x:v>
      </x:c>
      <x:c r="J3909" s="115" t="str">
        <x:v>Non</x:v>
      </x:c>
      <x:c r="K3909" s="115" t="str">
        <x:v>Pièces décrites, murs, portes, niveaux et mobilier inspectables à l’échelle. Volumes réservés, raccord au seed, butin, rencontres et services de campagne restent à terminer.</x:v>
      </x:c>
    </x:row>
    <x:row r="3910" ht="96" customHeight="1">
      <x:c r="A3910" s="115" t="str">
        <x:v>EXT-MONDE-T079-V05</x:v>
      </x:c>
      <x:c r="B3910" s="115" t="str">
        <x:v>EXT-MONDE-T079</x:v>
      </x:c>
      <x:c r="C3910" s="115" t="str">
        <x:v>Îles</x:v>
      </x:c>
      <x:c r="D3910" s="115" t="str">
        <x:v>Île portuaire industrielle</x:v>
      </x:c>
      <x:c r="E3910" s="115" t="n">
        <x:v>5</x:v>
      </x:c>
      <x:c r="F3910" s="115" t="str">
        <x:v>Inspection physique</x:v>
      </x:c>
      <x:c r="G3910" s="115" t="str">
        <x:v>1 niveaux ; 34 pièces ; 260 segments de mur ; 0 transitions. Inspection physique ; architecture complète encore ouverte.</x:v>
      </x:c>
      <x:c r="H3910" s="115" t="str">
        <x:v>L 696 ; l 716 ; hauteur 30 m ; choix de composition auteur ; dimensions réelles à documenter</x:v>
      </x:c>
      <x:c r="I3910" s="115" t="str">
        <x:v>À équilibrer</x:v>
      </x:c>
      <x:c r="J3910" s="115" t="str">
        <x:v>Non</x:v>
      </x:c>
      <x:c r="K3910" s="115" t="str">
        <x:v>Pièces décrites, murs, portes, niveaux et mobilier inspectables à l’échelle. Volumes réservés, raccord au seed, butin, rencontres et services de campagne restent à terminer.</x:v>
      </x:c>
    </x:row>
    <x:row r="3911" ht="96" customHeight="1">
      <x:c r="A3911" s="115" t="str">
        <x:v>EXT-MONDE-T079-V06</x:v>
      </x:c>
      <x:c r="B3911" s="115" t="str">
        <x:v>EXT-MONDE-T079</x:v>
      </x:c>
      <x:c r="C3911" s="115" t="str">
        <x:v>Îles</x:v>
      </x:c>
      <x:c r="D3911" s="115" t="str">
        <x:v>Île portuaire industrielle</x:v>
      </x:c>
      <x:c r="E3911" s="115" t="n">
        <x:v>6</x:v>
      </x:c>
      <x:c r="F3911" s="115" t="str">
        <x:v>Inspection physique</x:v>
      </x:c>
      <x:c r="G3911" s="115" t="str">
        <x:v>1 niveaux ; 34 pièces ; 260 segments de mur ; 0 transitions. Inspection physique ; architecture complète encore ouverte.</x:v>
      </x:c>
      <x:c r="H3911" s="115" t="str">
        <x:v>L 696 ; l 716 ; hauteur 30 m ; choix de composition auteur ; dimensions réelles à documenter</x:v>
      </x:c>
      <x:c r="I3911" s="115" t="str">
        <x:v>À équilibrer</x:v>
      </x:c>
      <x:c r="J3911" s="115" t="str">
        <x:v>Non</x:v>
      </x:c>
      <x:c r="K3911" s="115" t="str">
        <x:v>Pièces décrites, murs, portes, niveaux et mobilier inspectables à l’échelle. Volumes réservés, raccord au seed, butin, rencontres et services de campagne restent à terminer.</x:v>
      </x:c>
    </x:row>
    <x:row r="3912" ht="96" customHeight="1">
      <x:c r="A3912" s="115" t="str">
        <x:v>EXT-MONDE-T079-V07</x:v>
      </x:c>
      <x:c r="B3912" s="115" t="str">
        <x:v>EXT-MONDE-T079</x:v>
      </x:c>
      <x:c r="C3912" s="115" t="str">
        <x:v>Îles</x:v>
      </x:c>
      <x:c r="D3912" s="115" t="str">
        <x:v>Île portuaire industrielle</x:v>
      </x:c>
      <x:c r="E3912" s="115" t="n">
        <x:v>7</x:v>
      </x:c>
      <x:c r="F3912" s="115" t="str">
        <x:v>Inspection physique</x:v>
      </x:c>
      <x:c r="G3912" s="115" t="str">
        <x:v>1 niveaux ; 34 pièces ; 260 segments de mur ; 0 transitions. Inspection physique ; architecture complète encore ouverte.</x:v>
      </x:c>
      <x:c r="H3912" s="115" t="str">
        <x:v>L 696 ; l 716 ; hauteur 30 m ; choix de composition auteur ; dimensions réelles à documenter</x:v>
      </x:c>
      <x:c r="I3912" s="115" t="str">
        <x:v>À équilibrer</x:v>
      </x:c>
      <x:c r="J3912" s="115" t="str">
        <x:v>Non</x:v>
      </x:c>
      <x:c r="K3912" s="115" t="str">
        <x:v>Pièces décrites, murs, portes, niveaux et mobilier inspectables à l’échelle. Volumes réservés, raccord au seed, butin, rencontres et services de campagne restent à terminer.</x:v>
      </x:c>
    </x:row>
    <x:row r="3913" ht="96" customHeight="1">
      <x:c r="A3913" s="115" t="str">
        <x:v>EXT-MONDE-T079-V08</x:v>
      </x:c>
      <x:c r="B3913" s="115" t="str">
        <x:v>EXT-MONDE-T079</x:v>
      </x:c>
      <x:c r="C3913" s="115" t="str">
        <x:v>Îles</x:v>
      </x:c>
      <x:c r="D3913" s="115" t="str">
        <x:v>Île portuaire industrielle</x:v>
      </x:c>
      <x:c r="E3913" s="115" t="n">
        <x:v>8</x:v>
      </x:c>
      <x:c r="F3913" s="115" t="str">
        <x:v>Inspection physique</x:v>
      </x:c>
      <x:c r="G3913" s="115" t="str">
        <x:v>1 niveaux ; 34 pièces ; 260 segments de mur ; 0 transitions. Inspection physique ; architecture complète encore ouverte.</x:v>
      </x:c>
      <x:c r="H3913" s="115" t="str">
        <x:v>L 696 ; l 716 ; hauteur 30 m ; choix de composition auteur ; dimensions réelles à documenter</x:v>
      </x:c>
      <x:c r="I3913" s="115" t="str">
        <x:v>À équilibrer</x:v>
      </x:c>
      <x:c r="J3913" s="115" t="str">
        <x:v>Non</x:v>
      </x:c>
      <x:c r="K3913" s="115" t="str">
        <x:v>Pièces décrites, murs, portes, niveaux et mobilier inspectables à l’échelle. Volumes réservés, raccord au seed, butin, rencontres et services de campagne restent à terminer.</x:v>
      </x:c>
    </x:row>
    <x:row r="3914" ht="96" customHeight="1">
      <x:c r="A3914" s="115" t="str">
        <x:v>EXT-MONDE-T079-V09</x:v>
      </x:c>
      <x:c r="B3914" s="115" t="str">
        <x:v>EXT-MONDE-T079</x:v>
      </x:c>
      <x:c r="C3914" s="115" t="str">
        <x:v>Îles</x:v>
      </x:c>
      <x:c r="D3914" s="115" t="str">
        <x:v>Île portuaire industrielle</x:v>
      </x:c>
      <x:c r="E3914" s="115" t="n">
        <x:v>9</x:v>
      </x:c>
      <x:c r="F3914" s="115" t="str">
        <x:v>Inspection physique</x:v>
      </x:c>
      <x:c r="G3914" s="115" t="str">
        <x:v>1 niveaux ; 34 pièces ; 260 segments de mur ; 0 transitions. Inspection physique ; architecture complète encore ouverte.</x:v>
      </x:c>
      <x:c r="H3914" s="115" t="str">
        <x:v>L 696 ; l 716 ; hauteur 30 m ; choix de composition auteur ; dimensions réelles à documenter</x:v>
      </x:c>
      <x:c r="I3914" s="115" t="str">
        <x:v>À équilibrer</x:v>
      </x:c>
      <x:c r="J3914" s="115" t="str">
        <x:v>Non</x:v>
      </x:c>
      <x:c r="K3914" s="115" t="str">
        <x:v>Pièces décrites, murs, portes, niveaux et mobilier inspectables à l’échelle. Volumes réservés, raccord au seed, butin, rencontres et services de campagne restent à terminer.</x:v>
      </x:c>
    </x:row>
    <x:row r="3915" ht="96" customHeight="1">
      <x:c r="A3915" s="115" t="str">
        <x:v>EXT-MONDE-T079-V10</x:v>
      </x:c>
      <x:c r="B3915" s="115" t="str">
        <x:v>EXT-MONDE-T079</x:v>
      </x:c>
      <x:c r="C3915" s="115" t="str">
        <x:v>Îles</x:v>
      </x:c>
      <x:c r="D3915" s="115" t="str">
        <x:v>Île portuaire industrielle</x:v>
      </x:c>
      <x:c r="E3915" s="115" t="n">
        <x:v>10</x:v>
      </x:c>
      <x:c r="F3915" s="115" t="str">
        <x:v>Inspection physique</x:v>
      </x:c>
      <x:c r="G3915" s="115" t="str">
        <x:v>1 niveaux ; 34 pièces ; 260 segments de mur ; 0 transitions. Inspection physique ; architecture complète encore ouverte.</x:v>
      </x:c>
      <x:c r="H3915" s="115" t="str">
        <x:v>L 696 ; l 716 ; hauteur 30 m ; choix de composition auteur ; dimensions réelles à documenter</x:v>
      </x:c>
      <x:c r="I3915" s="115" t="str">
        <x:v>À équilibrer</x:v>
      </x:c>
      <x:c r="J3915" s="115" t="str">
        <x:v>Non</x:v>
      </x:c>
      <x:c r="K3915" s="115" t="str">
        <x:v>Pièces décrites, murs, portes, niveaux et mobilier inspectables à l’échelle. Volumes réservés, raccord au seed, butin, rencontres et services de campagne restent à terminer.</x:v>
      </x:c>
    </x:row>
    <x:row r="3916" ht="96" customHeight="1">
      <x:c r="A3916" s="115" t="str">
        <x:v>EXT-MONDE-T079-V11</x:v>
      </x:c>
      <x:c r="B3916" s="115" t="str">
        <x:v>EXT-MONDE-T079</x:v>
      </x:c>
      <x:c r="C3916" s="115" t="str">
        <x:v>Îles</x:v>
      </x:c>
      <x:c r="D3916" s="115" t="str">
        <x:v>Île portuaire industrielle</x:v>
      </x:c>
      <x:c r="E3916" s="115" t="n">
        <x:v>11</x:v>
      </x:c>
      <x:c r="F3916" s="115" t="str">
        <x:v>Inspection physique</x:v>
      </x:c>
      <x:c r="G3916" s="115" t="str">
        <x:v>1 niveaux ; 34 pièces ; 260 segments de mur ; 0 transitions. Inspection physique ; architecture complète encore ouverte.</x:v>
      </x:c>
      <x:c r="H3916" s="115" t="str">
        <x:v>L 710 ; l 728 ; hauteur 30 m ; choix de composition auteur ; dimensions réelles à documenter</x:v>
      </x:c>
      <x:c r="I3916" s="115" t="str">
        <x:v>À équilibrer</x:v>
      </x:c>
      <x:c r="J3916" s="115" t="str">
        <x:v>Non</x:v>
      </x:c>
      <x:c r="K3916" s="115" t="str">
        <x:v>Pièces décrites, murs, portes, niveaux et mobilier inspectables à l’échelle. Volumes réservés, raccord au seed, butin, rencontres et services de campagne restent à terminer.</x:v>
      </x:c>
    </x:row>
    <x:row r="3917" ht="96" customHeight="1">
      <x:c r="A3917" s="115" t="str">
        <x:v>EXT-MONDE-T079-V12</x:v>
      </x:c>
      <x:c r="B3917" s="115" t="str">
        <x:v>EXT-MONDE-T079</x:v>
      </x:c>
      <x:c r="C3917" s="115" t="str">
        <x:v>Îles</x:v>
      </x:c>
      <x:c r="D3917" s="115" t="str">
        <x:v>Île portuaire industrielle</x:v>
      </x:c>
      <x:c r="E3917" s="115" t="n">
        <x:v>12</x:v>
      </x:c>
      <x:c r="F3917" s="115" t="str">
        <x:v>Inspection physique</x:v>
      </x:c>
      <x:c r="G3917" s="115" t="str">
        <x:v>1 niveaux ; 34 pièces ; 260 segments de mur ; 0 transitions. Inspection physique ; architecture complète encore ouverte.</x:v>
      </x:c>
      <x:c r="H3917" s="115" t="str">
        <x:v>L 710 ; l 728 ; hauteur 30 m ; choix de composition auteur ; dimensions réelles à documenter</x:v>
      </x:c>
      <x:c r="I3917" s="115" t="str">
        <x:v>À équilibrer</x:v>
      </x:c>
      <x:c r="J3917" s="115" t="str">
        <x:v>Non</x:v>
      </x:c>
      <x:c r="K3917" s="115" t="str">
        <x:v>Pièces décrites, murs, portes, niveaux et mobilier inspectables à l’échelle. Volumes réservés, raccord au seed, butin, rencontres et services de campagne restent à terminer.</x:v>
      </x:c>
    </x:row>
    <x:row r="3918" ht="96" customHeight="1">
      <x:c r="A3918" s="115" t="str">
        <x:v>EXT-MONDE-T079-V13</x:v>
      </x:c>
      <x:c r="B3918" s="115" t="str">
        <x:v>EXT-MONDE-T079</x:v>
      </x:c>
      <x:c r="C3918" s="115" t="str">
        <x:v>Îles</x:v>
      </x:c>
      <x:c r="D3918" s="115" t="str">
        <x:v>Île portuaire industrielle</x:v>
      </x:c>
      <x:c r="E3918" s="115" t="n">
        <x:v>13</x:v>
      </x:c>
      <x:c r="F3918" s="115" t="str">
        <x:v>Inspection physique</x:v>
      </x:c>
      <x:c r="G3918" s="115" t="str">
        <x:v>1 niveaux ; 34 pièces ; 260 segments de mur ; 0 transitions. Inspection physique ; architecture complète encore ouverte.</x:v>
      </x:c>
      <x:c r="H3918" s="115" t="str">
        <x:v>L 710 ; l 728 ; hauteur 30 m ; choix de composition auteur ; dimensions réelles à documenter</x:v>
      </x:c>
      <x:c r="I3918" s="115" t="str">
        <x:v>À équilibrer</x:v>
      </x:c>
      <x:c r="J3918" s="115" t="str">
        <x:v>Non</x:v>
      </x:c>
      <x:c r="K3918" s="115" t="str">
        <x:v>Pièces décrites, murs, portes, niveaux et mobilier inspectables à l’échelle. Volumes réservés, raccord au seed, butin, rencontres et services de campagne restent à terminer.</x:v>
      </x:c>
    </x:row>
    <x:row r="3919" ht="96" customHeight="1">
      <x:c r="A3919" s="115" t="str">
        <x:v>EXT-MONDE-T079-V14</x:v>
      </x:c>
      <x:c r="B3919" s="115" t="str">
        <x:v>EXT-MONDE-T079</x:v>
      </x:c>
      <x:c r="C3919" s="115" t="str">
        <x:v>Îles</x:v>
      </x:c>
      <x:c r="D3919" s="115" t="str">
        <x:v>Île portuaire industrielle</x:v>
      </x:c>
      <x:c r="E3919" s="115" t="n">
        <x:v>14</x:v>
      </x:c>
      <x:c r="F3919" s="115" t="str">
        <x:v>Inspection physique</x:v>
      </x:c>
      <x:c r="G3919" s="115" t="str">
        <x:v>1 niveaux ; 34 pièces ; 260 segments de mur ; 0 transitions. Inspection physique ; architecture complète encore ouverte.</x:v>
      </x:c>
      <x:c r="H3919" s="115" t="str">
        <x:v>L 710 ; l 728 ; hauteur 30 m ; choix de composition auteur ; dimensions réelles à documenter</x:v>
      </x:c>
      <x:c r="I3919" s="115" t="str">
        <x:v>À équilibrer</x:v>
      </x:c>
      <x:c r="J3919" s="115" t="str">
        <x:v>Non</x:v>
      </x:c>
      <x:c r="K3919" s="115" t="str">
        <x:v>Pièces décrites, murs, portes, niveaux et mobilier inspectables à l’échelle. Volumes réservés, raccord au seed, butin, rencontres et services de campagne restent à terminer.</x:v>
      </x:c>
    </x:row>
    <x:row r="3920" ht="96" customHeight="1">
      <x:c r="A3920" s="115" t="str">
        <x:v>EXT-MONDE-T079-V15</x:v>
      </x:c>
      <x:c r="B3920" s="115" t="str">
        <x:v>EXT-MONDE-T079</x:v>
      </x:c>
      <x:c r="C3920" s="115" t="str">
        <x:v>Îles</x:v>
      </x:c>
      <x:c r="D3920" s="115" t="str">
        <x:v>Île portuaire industrielle</x:v>
      </x:c>
      <x:c r="E3920" s="115" t="n">
        <x:v>15</x:v>
      </x:c>
      <x:c r="F3920" s="115" t="str">
        <x:v>Inspection physique</x:v>
      </x:c>
      <x:c r="G3920" s="115" t="str">
        <x:v>1 niveaux ; 34 pièces ; 260 segments de mur ; 0 transitions. Inspection physique ; architecture complète encore ouverte.</x:v>
      </x:c>
      <x:c r="H3920" s="115" t="str">
        <x:v>L 710 ; l 728 ; hauteur 30 m ; choix de composition auteur ; dimensions réelles à documenter</x:v>
      </x:c>
      <x:c r="I3920" s="115" t="str">
        <x:v>À équilibrer</x:v>
      </x:c>
      <x:c r="J3920" s="115" t="str">
        <x:v>Non</x:v>
      </x:c>
      <x:c r="K3920" s="115" t="str">
        <x:v>Pièces décrites, murs, portes, niveaux et mobilier inspectables à l’échelle. Volumes réservés, raccord au seed, butin, rencontres et services de campagne restent à terminer.</x:v>
      </x:c>
    </x:row>
    <x:row r="3921" ht="96" customHeight="1">
      <x:c r="A3921" s="115" t="str">
        <x:v>EXT-MONDE-T079-V16</x:v>
      </x:c>
      <x:c r="B3921" s="115" t="str">
        <x:v>EXT-MONDE-T079</x:v>
      </x:c>
      <x:c r="C3921" s="115" t="str">
        <x:v>Îles</x:v>
      </x:c>
      <x:c r="D3921" s="115" t="str">
        <x:v>Île portuaire industrielle</x:v>
      </x:c>
      <x:c r="E3921" s="115" t="n">
        <x:v>16</x:v>
      </x:c>
      <x:c r="F3921" s="115" t="str">
        <x:v>Inspection physique</x:v>
      </x:c>
      <x:c r="G3921" s="115" t="str">
        <x:v>1 niveaux ; 34 pièces ; 260 segments de mur ; 0 transitions. Inspection physique ; architecture complète encore ouverte.</x:v>
      </x:c>
      <x:c r="H3921" s="115" t="str">
        <x:v>L 710 ; l 728 ; hauteur 30 m ; choix de composition auteur ; dimensions réelles à documenter</x:v>
      </x:c>
      <x:c r="I3921" s="115" t="str">
        <x:v>À équilibrer</x:v>
      </x:c>
      <x:c r="J3921" s="115" t="str">
        <x:v>Non</x:v>
      </x:c>
      <x:c r="K3921" s="115" t="str">
        <x:v>Pièces décrites, murs, portes, niveaux et mobilier inspectables à l’échelle. Volumes réservés, raccord au seed, butin, rencontres et services de campagne restent à terminer.</x:v>
      </x:c>
    </x:row>
    <x:row r="3922" ht="96" customHeight="1">
      <x:c r="A3922" s="115" t="str">
        <x:v>EXT-MONDE-T079-V17</x:v>
      </x:c>
      <x:c r="B3922" s="115" t="str">
        <x:v>EXT-MONDE-T079</x:v>
      </x:c>
      <x:c r="C3922" s="115" t="str">
        <x:v>Îles</x:v>
      </x:c>
      <x:c r="D3922" s="115" t="str">
        <x:v>Île portuaire industrielle</x:v>
      </x:c>
      <x:c r="E3922" s="115" t="n">
        <x:v>17</x:v>
      </x:c>
      <x:c r="F3922" s="115" t="str">
        <x:v>Inspection physique</x:v>
      </x:c>
      <x:c r="G3922" s="115" t="str">
        <x:v>1 niveaux ; 34 pièces ; 260 segments de mur ; 0 transitions. Inspection physique ; architecture complète encore ouverte.</x:v>
      </x:c>
      <x:c r="H3922" s="115" t="str">
        <x:v>L 710 ; l 728 ; hauteur 30 m ; choix de composition auteur ; dimensions réelles à documenter</x:v>
      </x:c>
      <x:c r="I3922" s="115" t="str">
        <x:v>À équilibrer</x:v>
      </x:c>
      <x:c r="J3922" s="115" t="str">
        <x:v>Non</x:v>
      </x:c>
      <x:c r="K3922" s="115" t="str">
        <x:v>Pièces décrites, murs, portes, niveaux et mobilier inspectables à l’échelle. Volumes réservés, raccord au seed, butin, rencontres et services de campagne restent à terminer.</x:v>
      </x:c>
    </x:row>
    <x:row r="3923" ht="96" customHeight="1">
      <x:c r="A3923" s="115" t="str">
        <x:v>EXT-MONDE-T079-V18</x:v>
      </x:c>
      <x:c r="B3923" s="115" t="str">
        <x:v>EXT-MONDE-T079</x:v>
      </x:c>
      <x:c r="C3923" s="115" t="str">
        <x:v>Îles</x:v>
      </x:c>
      <x:c r="D3923" s="115" t="str">
        <x:v>Île portuaire industrielle</x:v>
      </x:c>
      <x:c r="E3923" s="115" t="n">
        <x:v>18</x:v>
      </x:c>
      <x:c r="F3923" s="115" t="str">
        <x:v>Inspection physique</x:v>
      </x:c>
      <x:c r="G3923" s="115" t="str">
        <x:v>1 niveaux ; 34 pièces ; 260 segments de mur ; 0 transitions. Inspection physique ; architecture complète encore ouverte.</x:v>
      </x:c>
      <x:c r="H3923" s="115" t="str">
        <x:v>L 710 ; l 728 ; hauteur 30 m ; choix de composition auteur ; dimensions réelles à documenter</x:v>
      </x:c>
      <x:c r="I3923" s="115" t="str">
        <x:v>À équilibrer</x:v>
      </x:c>
      <x:c r="J3923" s="115" t="str">
        <x:v>Non</x:v>
      </x:c>
      <x:c r="K3923" s="115" t="str">
        <x:v>Pièces décrites, murs, portes, niveaux et mobilier inspectables à l’échelle. Volumes réservés, raccord au seed, butin, rencontres et services de campagne restent à terminer.</x:v>
      </x:c>
    </x:row>
    <x:row r="3924" ht="96" customHeight="1">
      <x:c r="A3924" s="115" t="str">
        <x:v>EXT-MONDE-T079-V19</x:v>
      </x:c>
      <x:c r="B3924" s="115" t="str">
        <x:v>EXT-MONDE-T079</x:v>
      </x:c>
      <x:c r="C3924" s="115" t="str">
        <x:v>Îles</x:v>
      </x:c>
      <x:c r="D3924" s="115" t="str">
        <x:v>Île portuaire industrielle</x:v>
      </x:c>
      <x:c r="E3924" s="115" t="n">
        <x:v>19</x:v>
      </x:c>
      <x:c r="F3924" s="115" t="str">
        <x:v>Inspection physique</x:v>
      </x:c>
      <x:c r="G3924" s="115" t="str">
        <x:v>1 niveaux ; 34 pièces ; 260 segments de mur ; 0 transitions. Inspection physique ; architecture complète encore ouverte.</x:v>
      </x:c>
      <x:c r="H3924" s="115" t="str">
        <x:v>L 710 ; l 728 ; hauteur 30 m ; choix de composition auteur ; dimensions réelles à documenter</x:v>
      </x:c>
      <x:c r="I3924" s="115" t="str">
        <x:v>À équilibrer</x:v>
      </x:c>
      <x:c r="J3924" s="115" t="str">
        <x:v>Non</x:v>
      </x:c>
      <x:c r="K3924" s="115" t="str">
        <x:v>Pièces décrites, murs, portes, niveaux et mobilier inspectables à l’échelle. Volumes réservés, raccord au seed, butin, rencontres et services de campagne restent à terminer.</x:v>
      </x:c>
    </x:row>
    <x:row r="3925" ht="96" customHeight="1">
      <x:c r="A3925" s="115" t="str">
        <x:v>EXT-MONDE-T079-V20</x:v>
      </x:c>
      <x:c r="B3925" s="115" t="str">
        <x:v>EXT-MONDE-T079</x:v>
      </x:c>
      <x:c r="C3925" s="115" t="str">
        <x:v>Îles</x:v>
      </x:c>
      <x:c r="D3925" s="115" t="str">
        <x:v>Île portuaire industrielle</x:v>
      </x:c>
      <x:c r="E3925" s="115" t="n">
        <x:v>20</x:v>
      </x:c>
      <x:c r="F3925" s="115" t="str">
        <x:v>Inspection physique</x:v>
      </x:c>
      <x:c r="G3925" s="115" t="str">
        <x:v>1 niveaux ; 34 pièces ; 260 segments de mur ; 0 transitions. Inspection physique ; architecture complète encore ouverte.</x:v>
      </x:c>
      <x:c r="H3925" s="115" t="str">
        <x:v>L 710 ; l 728 ; hauteur 30 m ; choix de composition auteur ; dimensions réelles à documenter</x:v>
      </x:c>
      <x:c r="I3925" s="115" t="str">
        <x:v>À équilibrer</x:v>
      </x:c>
      <x:c r="J3925" s="115" t="str">
        <x:v>Non</x:v>
      </x:c>
      <x:c r="K3925" s="115" t="str">
        <x:v>Pièces décrites, murs, portes, niveaux et mobilier inspectables à l’échelle. Volumes réservés, raccord au seed, butin, rencontres et services de campagne restent à terminer.</x:v>
      </x:c>
    </x:row>
    <x:row r="3926" ht="96" customHeight="1">
      <x:c r="A3926" s="115" t="str">
        <x:v>EXT-MONDE-T079-V21</x:v>
      </x:c>
      <x:c r="B3926" s="115" t="str">
        <x:v>EXT-MONDE-T079</x:v>
      </x:c>
      <x:c r="C3926" s="115" t="str">
        <x:v>Îles</x:v>
      </x:c>
      <x:c r="D3926" s="115" t="str">
        <x:v>Île portuaire industrielle</x:v>
      </x:c>
      <x:c r="E3926" s="115" t="n">
        <x:v>21</x:v>
      </x:c>
      <x:c r="F3926" s="115" t="str">
        <x:v>Inspection physique</x:v>
      </x:c>
      <x:c r="G3926" s="115" t="str">
        <x:v>1 niveaux ; 34 pièces ; 260 segments de mur ; 0 transitions. Inspection physique ; architecture complète encore ouverte.</x:v>
      </x:c>
      <x:c r="H3926" s="115" t="str">
        <x:v>L 724 ; l 740 ; hauteur 30 m ; choix de composition auteur ; dimensions réelles à documenter</x:v>
      </x:c>
      <x:c r="I3926" s="115" t="str">
        <x:v>À équilibrer</x:v>
      </x:c>
      <x:c r="J3926" s="115" t="str">
        <x:v>Non</x:v>
      </x:c>
      <x:c r="K3926" s="115" t="str">
        <x:v>Pièces décrites, murs, portes, niveaux et mobilier inspectables à l’échelle. Volumes réservés, raccord au seed, butin, rencontres et services de campagne restent à terminer.</x:v>
      </x:c>
    </x:row>
    <x:row r="3927" ht="96" customHeight="1">
      <x:c r="A3927" s="115" t="str">
        <x:v>EXT-MONDE-T079-V22</x:v>
      </x:c>
      <x:c r="B3927" s="115" t="str">
        <x:v>EXT-MONDE-T079</x:v>
      </x:c>
      <x:c r="C3927" s="115" t="str">
        <x:v>Îles</x:v>
      </x:c>
      <x:c r="D3927" s="115" t="str">
        <x:v>Île portuaire industrielle</x:v>
      </x:c>
      <x:c r="E3927" s="115" t="n">
        <x:v>22</x:v>
      </x:c>
      <x:c r="F3927" s="115" t="str">
        <x:v>Inspection physique</x:v>
      </x:c>
      <x:c r="G3927" s="115" t="str">
        <x:v>1 niveaux ; 34 pièces ; 260 segments de mur ; 0 transitions. Inspection physique ; architecture complète encore ouverte.</x:v>
      </x:c>
      <x:c r="H3927" s="115" t="str">
        <x:v>L 724 ; l 740 ; hauteur 30 m ; choix de composition auteur ; dimensions réelles à documenter</x:v>
      </x:c>
      <x:c r="I3927" s="115" t="str">
        <x:v>À équilibrer</x:v>
      </x:c>
      <x:c r="J3927" s="115" t="str">
        <x:v>Non</x:v>
      </x:c>
      <x:c r="K3927" s="115" t="str">
        <x:v>Pièces décrites, murs, portes, niveaux et mobilier inspectables à l’échelle. Volumes réservés, raccord au seed, butin, rencontres et services de campagne restent à terminer.</x:v>
      </x:c>
    </x:row>
    <x:row r="3928" ht="96" customHeight="1">
      <x:c r="A3928" s="115" t="str">
        <x:v>EXT-MONDE-T079-V23</x:v>
      </x:c>
      <x:c r="B3928" s="115" t="str">
        <x:v>EXT-MONDE-T079</x:v>
      </x:c>
      <x:c r="C3928" s="115" t="str">
        <x:v>Îles</x:v>
      </x:c>
      <x:c r="D3928" s="115" t="str">
        <x:v>Île portuaire industrielle</x:v>
      </x:c>
      <x:c r="E3928" s="115" t="n">
        <x:v>23</x:v>
      </x:c>
      <x:c r="F3928" s="115" t="str">
        <x:v>Inspection physique</x:v>
      </x:c>
      <x:c r="G3928" s="115" t="str">
        <x:v>1 niveaux ; 34 pièces ; 260 segments de mur ; 0 transitions. Inspection physique ; architecture complète encore ouverte.</x:v>
      </x:c>
      <x:c r="H3928" s="115" t="str">
        <x:v>L 724 ; l 740 ; hauteur 30 m ; choix de composition auteur ; dimensions réelles à documenter</x:v>
      </x:c>
      <x:c r="I3928" s="115" t="str">
        <x:v>À équilibrer</x:v>
      </x:c>
      <x:c r="J3928" s="115" t="str">
        <x:v>Non</x:v>
      </x:c>
      <x:c r="K3928" s="115" t="str">
        <x:v>Pièces décrites, murs, portes, niveaux et mobilier inspectables à l’échelle. Volumes réservés, raccord au seed, butin, rencontres et services de campagne restent à terminer.</x:v>
      </x:c>
    </x:row>
    <x:row r="3929" ht="96" customHeight="1">
      <x:c r="A3929" s="115" t="str">
        <x:v>EXT-MONDE-T079-V24</x:v>
      </x:c>
      <x:c r="B3929" s="115" t="str">
        <x:v>EXT-MONDE-T079</x:v>
      </x:c>
      <x:c r="C3929" s="115" t="str">
        <x:v>Îles</x:v>
      </x:c>
      <x:c r="D3929" s="115" t="str">
        <x:v>Île portuaire industrielle</x:v>
      </x:c>
      <x:c r="E3929" s="115" t="n">
        <x:v>24</x:v>
      </x:c>
      <x:c r="F3929" s="115" t="str">
        <x:v>Inspection physique</x:v>
      </x:c>
      <x:c r="G3929" s="115" t="str">
        <x:v>1 niveaux ; 34 pièces ; 260 segments de mur ; 0 transitions. Inspection physique ; architecture complète encore ouverte.</x:v>
      </x:c>
      <x:c r="H3929" s="115" t="str">
        <x:v>L 724 ; l 740 ; hauteur 30 m ; choix de composition auteur ; dimensions réelles à documenter</x:v>
      </x:c>
      <x:c r="I3929" s="115" t="str">
        <x:v>À équilibrer</x:v>
      </x:c>
      <x:c r="J3929" s="115" t="str">
        <x:v>Non</x:v>
      </x:c>
      <x:c r="K3929" s="115" t="str">
        <x:v>Pièces décrites, murs, portes, niveaux et mobilier inspectables à l’échelle. Volumes réservés, raccord au seed, butin, rencontres et services de campagne restent à terminer.</x:v>
      </x:c>
    </x:row>
    <x:row r="3930" ht="96" customHeight="1">
      <x:c r="A3930" s="115" t="str">
        <x:v>EXT-MONDE-T079-V25</x:v>
      </x:c>
      <x:c r="B3930" s="115" t="str">
        <x:v>EXT-MONDE-T079</x:v>
      </x:c>
      <x:c r="C3930" s="115" t="str">
        <x:v>Îles</x:v>
      </x:c>
      <x:c r="D3930" s="115" t="str">
        <x:v>Île portuaire industrielle</x:v>
      </x:c>
      <x:c r="E3930" s="115" t="n">
        <x:v>25</x:v>
      </x:c>
      <x:c r="F3930" s="115" t="str">
        <x:v>Inspection physique</x:v>
      </x:c>
      <x:c r="G3930" s="115" t="str">
        <x:v>1 niveaux ; 34 pièces ; 260 segments de mur ; 0 transitions. Inspection physique ; architecture complète encore ouverte.</x:v>
      </x:c>
      <x:c r="H3930" s="115" t="str">
        <x:v>L 724 ; l 740 ; hauteur 30 m ; choix de composition auteur ; dimensions réelles à documenter</x:v>
      </x:c>
      <x:c r="I3930" s="115" t="str">
        <x:v>À équilibrer</x:v>
      </x:c>
      <x:c r="J3930" s="115" t="str">
        <x:v>Non</x:v>
      </x:c>
      <x:c r="K3930" s="115" t="str">
        <x:v>Pièces décrites, murs, portes, niveaux et mobilier inspectables à l’échelle. Volumes réservés, raccord au seed, butin, rencontres et services de campagne restent à terminer.</x:v>
      </x:c>
    </x:row>
    <x:row r="3931" ht="96" customHeight="1">
      <x:c r="A3931" s="115" t="str">
        <x:v>EXT-MONDE-T079-V26</x:v>
      </x:c>
      <x:c r="B3931" s="115" t="str">
        <x:v>EXT-MONDE-T079</x:v>
      </x:c>
      <x:c r="C3931" s="115" t="str">
        <x:v>Îles</x:v>
      </x:c>
      <x:c r="D3931" s="115" t="str">
        <x:v>Île portuaire industrielle</x:v>
      </x:c>
      <x:c r="E3931" s="115" t="n">
        <x:v>26</x:v>
      </x:c>
      <x:c r="F3931" s="115" t="str">
        <x:v>Inspection physique</x:v>
      </x:c>
      <x:c r="G3931" s="115" t="str">
        <x:v>1 niveaux ; 34 pièces ; 260 segments de mur ; 0 transitions. Inspection physique ; architecture complète encore ouverte.</x:v>
      </x:c>
      <x:c r="H3931" s="115" t="str">
        <x:v>L 724 ; l 740 ; hauteur 30 m ; choix de composition auteur ; dimensions réelles à documenter</x:v>
      </x:c>
      <x:c r="I3931" s="115" t="str">
        <x:v>À équilibrer</x:v>
      </x:c>
      <x:c r="J3931" s="115" t="str">
        <x:v>Non</x:v>
      </x:c>
      <x:c r="K3931" s="115" t="str">
        <x:v>Pièces décrites, murs, portes, niveaux et mobilier inspectables à l’échelle. Volumes réservés, raccord au seed, butin, rencontres et services de campagne restent à terminer.</x:v>
      </x:c>
    </x:row>
    <x:row r="3932" ht="96" customHeight="1">
      <x:c r="A3932" s="115" t="str">
        <x:v>EXT-MONDE-T079-V27</x:v>
      </x:c>
      <x:c r="B3932" s="115" t="str">
        <x:v>EXT-MONDE-T079</x:v>
      </x:c>
      <x:c r="C3932" s="115" t="str">
        <x:v>Îles</x:v>
      </x:c>
      <x:c r="D3932" s="115" t="str">
        <x:v>Île portuaire industrielle</x:v>
      </x:c>
      <x:c r="E3932" s="115" t="n">
        <x:v>27</x:v>
      </x:c>
      <x:c r="F3932" s="115" t="str">
        <x:v>Inspection physique</x:v>
      </x:c>
      <x:c r="G3932" s="115" t="str">
        <x:v>1 niveaux ; 34 pièces ; 260 segments de mur ; 0 transitions. Inspection physique ; architecture complète encore ouverte.</x:v>
      </x:c>
      <x:c r="H3932" s="115" t="str">
        <x:v>L 724 ; l 740 ; hauteur 30 m ; choix de composition auteur ; dimensions réelles à documenter</x:v>
      </x:c>
      <x:c r="I3932" s="115" t="str">
        <x:v>À équilibrer</x:v>
      </x:c>
      <x:c r="J3932" s="115" t="str">
        <x:v>Non</x:v>
      </x:c>
      <x:c r="K3932" s="115" t="str">
        <x:v>Pièces décrites, murs, portes, niveaux et mobilier inspectables à l’échelle. Volumes réservés, raccord au seed, butin, rencontres et services de campagne restent à terminer.</x:v>
      </x:c>
    </x:row>
    <x:row r="3933" ht="96" customHeight="1">
      <x:c r="A3933" s="115" t="str">
        <x:v>EXT-MONDE-T079-V28</x:v>
      </x:c>
      <x:c r="B3933" s="115" t="str">
        <x:v>EXT-MONDE-T079</x:v>
      </x:c>
      <x:c r="C3933" s="115" t="str">
        <x:v>Îles</x:v>
      </x:c>
      <x:c r="D3933" s="115" t="str">
        <x:v>Île portuaire industrielle</x:v>
      </x:c>
      <x:c r="E3933" s="115" t="n">
        <x:v>28</x:v>
      </x:c>
      <x:c r="F3933" s="115" t="str">
        <x:v>Inspection physique</x:v>
      </x:c>
      <x:c r="G3933" s="115" t="str">
        <x:v>1 niveaux ; 34 pièces ; 260 segments de mur ; 0 transitions. Inspection physique ; architecture complète encore ouverte.</x:v>
      </x:c>
      <x:c r="H3933" s="115" t="str">
        <x:v>L 724 ; l 740 ; hauteur 30 m ; choix de composition auteur ; dimensions réelles à documenter</x:v>
      </x:c>
      <x:c r="I3933" s="115" t="str">
        <x:v>À équilibrer</x:v>
      </x:c>
      <x:c r="J3933" s="115" t="str">
        <x:v>Non</x:v>
      </x:c>
      <x:c r="K3933" s="115" t="str">
        <x:v>Pièces décrites, murs, portes, niveaux et mobilier inspectables à l’échelle. Volumes réservés, raccord au seed, butin, rencontres et services de campagne restent à terminer.</x:v>
      </x:c>
    </x:row>
    <x:row r="3934" ht="96" customHeight="1">
      <x:c r="A3934" s="115" t="str">
        <x:v>EXT-MONDE-T079-V29</x:v>
      </x:c>
      <x:c r="B3934" s="115" t="str">
        <x:v>EXT-MONDE-T079</x:v>
      </x:c>
      <x:c r="C3934" s="115" t="str">
        <x:v>Îles</x:v>
      </x:c>
      <x:c r="D3934" s="115" t="str">
        <x:v>Île portuaire industrielle</x:v>
      </x:c>
      <x:c r="E3934" s="115" t="n">
        <x:v>29</x:v>
      </x:c>
      <x:c r="F3934" s="115" t="str">
        <x:v>Inspection physique</x:v>
      </x:c>
      <x:c r="G3934" s="115" t="str">
        <x:v>1 niveaux ; 34 pièces ; 260 segments de mur ; 0 transitions. Inspection physique ; architecture complète encore ouverte.</x:v>
      </x:c>
      <x:c r="H3934" s="115" t="str">
        <x:v>L 724 ; l 740 ; hauteur 30 m ; choix de composition auteur ; dimensions réelles à documenter</x:v>
      </x:c>
      <x:c r="I3934" s="115" t="str">
        <x:v>À équilibrer</x:v>
      </x:c>
      <x:c r="J3934" s="115" t="str">
        <x:v>Non</x:v>
      </x:c>
      <x:c r="K3934" s="115" t="str">
        <x:v>Pièces décrites, murs, portes, niveaux et mobilier inspectables à l’échelle. Volumes réservés, raccord au seed, butin, rencontres et services de campagne restent à terminer.</x:v>
      </x:c>
    </x:row>
    <x:row r="3935" ht="96" customHeight="1">
      <x:c r="A3935" s="115" t="str">
        <x:v>EXT-MONDE-T079-V30</x:v>
      </x:c>
      <x:c r="B3935" s="115" t="str">
        <x:v>EXT-MONDE-T079</x:v>
      </x:c>
      <x:c r="C3935" s="115" t="str">
        <x:v>Îles</x:v>
      </x:c>
      <x:c r="D3935" s="115" t="str">
        <x:v>Île portuaire industrielle</x:v>
      </x:c>
      <x:c r="E3935" s="115" t="n">
        <x:v>30</x:v>
      </x:c>
      <x:c r="F3935" s="115" t="str">
        <x:v>Inspection physique</x:v>
      </x:c>
      <x:c r="G3935" s="115" t="str">
        <x:v>1 niveaux ; 34 pièces ; 260 segments de mur ; 0 transitions. Inspection physique ; architecture complète encore ouverte.</x:v>
      </x:c>
      <x:c r="H3935" s="115" t="str">
        <x:v>L 724 ; l 740 ; hauteur 30 m ; choix de composition auteur ; dimensions réelles à documenter</x:v>
      </x:c>
      <x:c r="I3935" s="115" t="str">
        <x:v>À équilibrer</x:v>
      </x:c>
      <x:c r="J3935" s="115" t="str">
        <x:v>Non</x:v>
      </x:c>
      <x:c r="K3935" s="115" t="str">
        <x:v>Pièces décrites, murs, portes, niveaux et mobilier inspectables à l’échelle. Volumes réservés, raccord au seed, butin, rencontres et services de campagne restent à terminer.</x:v>
      </x:c>
    </x:row>
    <x:row r="3936" ht="96" customHeight="1">
      <x:c r="A3936" s="115" t="str">
        <x:v>EXT-MONDE-T079-V31</x:v>
      </x:c>
      <x:c r="B3936" s="115" t="str">
        <x:v>EXT-MONDE-T079</x:v>
      </x:c>
      <x:c r="C3936" s="115" t="str">
        <x:v>Îles</x:v>
      </x:c>
      <x:c r="D3936" s="115" t="str">
        <x:v>Île portuaire industrielle</x:v>
      </x:c>
      <x:c r="E3936" s="115" t="n">
        <x:v>31</x:v>
      </x:c>
      <x:c r="F3936" s="115" t="str">
        <x:v>Inspection physique</x:v>
      </x:c>
      <x:c r="G3936" s="115" t="str">
        <x:v>1 niveaux ; 34 pièces ; 260 segments de mur ; 0 transitions. Inspection physique ; architecture complète encore ouverte.</x:v>
      </x:c>
      <x:c r="H3936" s="115" t="str">
        <x:v>L 738 ; l 752 ; hauteur 30 m ; choix de composition auteur ; dimensions réelles à documenter</x:v>
      </x:c>
      <x:c r="I3936" s="115" t="str">
        <x:v>À équilibrer</x:v>
      </x:c>
      <x:c r="J3936" s="115" t="str">
        <x:v>Non</x:v>
      </x:c>
      <x:c r="K3936" s="115" t="str">
        <x:v>Pièces décrites, murs, portes, niveaux et mobilier inspectables à l’échelle. Volumes réservés, raccord au seed, butin, rencontres et services de campagne restent à terminer.</x:v>
      </x:c>
    </x:row>
    <x:row r="3937" ht="96" customHeight="1">
      <x:c r="A3937" s="115" t="str">
        <x:v>EXT-MONDE-T079-V32</x:v>
      </x:c>
      <x:c r="B3937" s="115" t="str">
        <x:v>EXT-MONDE-T079</x:v>
      </x:c>
      <x:c r="C3937" s="115" t="str">
        <x:v>Îles</x:v>
      </x:c>
      <x:c r="D3937" s="115" t="str">
        <x:v>Île portuaire industrielle</x:v>
      </x:c>
      <x:c r="E3937" s="115" t="n">
        <x:v>32</x:v>
      </x:c>
      <x:c r="F3937" s="115" t="str">
        <x:v>Inspection physique</x:v>
      </x:c>
      <x:c r="G3937" s="115" t="str">
        <x:v>1 niveaux ; 34 pièces ; 260 segments de mur ; 0 transitions. Inspection physique ; architecture complète encore ouverte.</x:v>
      </x:c>
      <x:c r="H3937" s="115" t="str">
        <x:v>L 738 ; l 752 ; hauteur 30 m ; choix de composition auteur ; dimensions réelles à documenter</x:v>
      </x:c>
      <x:c r="I3937" s="115" t="str">
        <x:v>À équilibrer</x:v>
      </x:c>
      <x:c r="J3937" s="115" t="str">
        <x:v>Non</x:v>
      </x:c>
      <x:c r="K3937" s="115" t="str">
        <x:v>Pièces décrites, murs, portes, niveaux et mobilier inspectables à l’échelle. Volumes réservés, raccord au seed, butin, rencontres et services de campagne restent à terminer.</x:v>
      </x:c>
    </x:row>
    <x:row r="3938" ht="96" customHeight="1">
      <x:c r="A3938" s="115" t="str">
        <x:v>EXT-MONDE-T079-V33</x:v>
      </x:c>
      <x:c r="B3938" s="115" t="str">
        <x:v>EXT-MONDE-T079</x:v>
      </x:c>
      <x:c r="C3938" s="115" t="str">
        <x:v>Îles</x:v>
      </x:c>
      <x:c r="D3938" s="115" t="str">
        <x:v>Île portuaire industrielle</x:v>
      </x:c>
      <x:c r="E3938" s="115" t="n">
        <x:v>33</x:v>
      </x:c>
      <x:c r="F3938" s="115" t="str">
        <x:v>Inspection physique</x:v>
      </x:c>
      <x:c r="G3938" s="115" t="str">
        <x:v>1 niveaux ; 34 pièces ; 260 segments de mur ; 0 transitions. Inspection physique ; architecture complète encore ouverte.</x:v>
      </x:c>
      <x:c r="H3938" s="115" t="str">
        <x:v>L 738 ; l 752 ; hauteur 30 m ; choix de composition auteur ; dimensions réelles à documenter</x:v>
      </x:c>
      <x:c r="I3938" s="115" t="str">
        <x:v>À équilibrer</x:v>
      </x:c>
      <x:c r="J3938" s="115" t="str">
        <x:v>Non</x:v>
      </x:c>
      <x:c r="K3938" s="115" t="str">
        <x:v>Pièces décrites, murs, portes, niveaux et mobilier inspectables à l’échelle. Volumes réservés, raccord au seed, butin, rencontres et services de campagne restent à terminer.</x:v>
      </x:c>
    </x:row>
    <x:row r="3939" ht="96" customHeight="1">
      <x:c r="A3939" s="115" t="str">
        <x:v>EXT-MONDE-T079-V34</x:v>
      </x:c>
      <x:c r="B3939" s="115" t="str">
        <x:v>EXT-MONDE-T079</x:v>
      </x:c>
      <x:c r="C3939" s="115" t="str">
        <x:v>Îles</x:v>
      </x:c>
      <x:c r="D3939" s="115" t="str">
        <x:v>Île portuaire industrielle</x:v>
      </x:c>
      <x:c r="E3939" s="115" t="n">
        <x:v>34</x:v>
      </x:c>
      <x:c r="F3939" s="115" t="str">
        <x:v>Inspection physique</x:v>
      </x:c>
      <x:c r="G3939" s="115" t="str">
        <x:v>1 niveaux ; 34 pièces ; 260 segments de mur ; 0 transitions. Inspection physique ; architecture complète encore ouverte.</x:v>
      </x:c>
      <x:c r="H3939" s="115" t="str">
        <x:v>L 738 ; l 752 ; hauteur 30 m ; choix de composition auteur ; dimensions réelles à documenter</x:v>
      </x:c>
      <x:c r="I3939" s="115" t="str">
        <x:v>À équilibrer</x:v>
      </x:c>
      <x:c r="J3939" s="115" t="str">
        <x:v>Non</x:v>
      </x:c>
      <x:c r="K3939" s="115" t="str">
        <x:v>Pièces décrites, murs, portes, niveaux et mobilier inspectables à l’échelle. Volumes réservés, raccord au seed, butin, rencontres et services de campagne restent à terminer.</x:v>
      </x:c>
    </x:row>
    <x:row r="3940" ht="96" customHeight="1">
      <x:c r="A3940" s="115" t="str">
        <x:v>EXT-MONDE-T079-V35</x:v>
      </x:c>
      <x:c r="B3940" s="115" t="str">
        <x:v>EXT-MONDE-T079</x:v>
      </x:c>
      <x:c r="C3940" s="115" t="str">
        <x:v>Îles</x:v>
      </x:c>
      <x:c r="D3940" s="115" t="str">
        <x:v>Île portuaire industrielle</x:v>
      </x:c>
      <x:c r="E3940" s="115" t="n">
        <x:v>35</x:v>
      </x:c>
      <x:c r="F3940" s="115" t="str">
        <x:v>Inspection physique</x:v>
      </x:c>
      <x:c r="G3940" s="115" t="str">
        <x:v>1 niveaux ; 34 pièces ; 260 segments de mur ; 0 transitions. Inspection physique ; architecture complète encore ouverte.</x:v>
      </x:c>
      <x:c r="H3940" s="115" t="str">
        <x:v>L 738 ; l 752 ; hauteur 30 m ; choix de composition auteur ; dimensions réelles à documenter</x:v>
      </x:c>
      <x:c r="I3940" s="115" t="str">
        <x:v>À équilibrer</x:v>
      </x:c>
      <x:c r="J3940" s="115" t="str">
        <x:v>Non</x:v>
      </x:c>
      <x:c r="K3940" s="115" t="str">
        <x:v>Pièces décrites, murs, portes, niveaux et mobilier inspectables à l’échelle. Volumes réservés, raccord au seed, butin, rencontres et services de campagne restent à terminer.</x:v>
      </x:c>
    </x:row>
    <x:row r="3941" ht="96" customHeight="1">
      <x:c r="A3941" s="115" t="str">
        <x:v>EXT-MONDE-T079-V36</x:v>
      </x:c>
      <x:c r="B3941" s="115" t="str">
        <x:v>EXT-MONDE-T079</x:v>
      </x:c>
      <x:c r="C3941" s="115" t="str">
        <x:v>Îles</x:v>
      </x:c>
      <x:c r="D3941" s="115" t="str">
        <x:v>Île portuaire industrielle</x:v>
      </x:c>
      <x:c r="E3941" s="115" t="n">
        <x:v>36</x:v>
      </x:c>
      <x:c r="F3941" s="115" t="str">
        <x:v>Inspection physique</x:v>
      </x:c>
      <x:c r="G3941" s="115" t="str">
        <x:v>1 niveaux ; 34 pièces ; 260 segments de mur ; 0 transitions. Inspection physique ; architecture complète encore ouverte.</x:v>
      </x:c>
      <x:c r="H3941" s="115" t="str">
        <x:v>L 738 ; l 752 ; hauteur 30 m ; choix de composition auteur ; dimensions réelles à documenter</x:v>
      </x:c>
      <x:c r="I3941" s="115" t="str">
        <x:v>À équilibrer</x:v>
      </x:c>
      <x:c r="J3941" s="115" t="str">
        <x:v>Non</x:v>
      </x:c>
      <x:c r="K3941" s="115" t="str">
        <x:v>Pièces décrites, murs, portes, niveaux et mobilier inspectables à l’échelle. Volumes réservés, raccord au seed, butin, rencontres et services de campagne restent à terminer.</x:v>
      </x:c>
    </x:row>
    <x:row r="3942" ht="96" customHeight="1">
      <x:c r="A3942" s="115" t="str">
        <x:v>EXT-MONDE-T079-V37</x:v>
      </x:c>
      <x:c r="B3942" s="115" t="str">
        <x:v>EXT-MONDE-T079</x:v>
      </x:c>
      <x:c r="C3942" s="115" t="str">
        <x:v>Îles</x:v>
      </x:c>
      <x:c r="D3942" s="115" t="str">
        <x:v>Île portuaire industrielle</x:v>
      </x:c>
      <x:c r="E3942" s="115" t="n">
        <x:v>37</x:v>
      </x:c>
      <x:c r="F3942" s="115" t="str">
        <x:v>Inspection physique</x:v>
      </x:c>
      <x:c r="G3942" s="115" t="str">
        <x:v>1 niveaux ; 34 pièces ; 260 segments de mur ; 0 transitions. Inspection physique ; architecture complète encore ouverte.</x:v>
      </x:c>
      <x:c r="H3942" s="115" t="str">
        <x:v>L 738 ; l 752 ; hauteur 30 m ; choix de composition auteur ; dimensions réelles à documenter</x:v>
      </x:c>
      <x:c r="I3942" s="115" t="str">
        <x:v>À équilibrer</x:v>
      </x:c>
      <x:c r="J3942" s="115" t="str">
        <x:v>Non</x:v>
      </x:c>
      <x:c r="K3942" s="115" t="str">
        <x:v>Pièces décrites, murs, portes, niveaux et mobilier inspectables à l’échelle. Volumes réservés, raccord au seed, butin, rencontres et services de campagne restent à terminer.</x:v>
      </x:c>
    </x:row>
    <x:row r="3943" ht="96" customHeight="1">
      <x:c r="A3943" s="115" t="str">
        <x:v>EXT-MONDE-T079-V38</x:v>
      </x:c>
      <x:c r="B3943" s="115" t="str">
        <x:v>EXT-MONDE-T079</x:v>
      </x:c>
      <x:c r="C3943" s="115" t="str">
        <x:v>Îles</x:v>
      </x:c>
      <x:c r="D3943" s="115" t="str">
        <x:v>Île portuaire industrielle</x:v>
      </x:c>
      <x:c r="E3943" s="115" t="n">
        <x:v>38</x:v>
      </x:c>
      <x:c r="F3943" s="115" t="str">
        <x:v>Inspection physique</x:v>
      </x:c>
      <x:c r="G3943" s="115" t="str">
        <x:v>1 niveaux ; 34 pièces ; 260 segments de mur ; 0 transitions. Inspection physique ; architecture complète encore ouverte.</x:v>
      </x:c>
      <x:c r="H3943" s="115" t="str">
        <x:v>L 738 ; l 752 ; hauteur 30 m ; choix de composition auteur ; dimensions réelles à documenter</x:v>
      </x:c>
      <x:c r="I3943" s="115" t="str">
        <x:v>À équilibrer</x:v>
      </x:c>
      <x:c r="J3943" s="115" t="str">
        <x:v>Non</x:v>
      </x:c>
      <x:c r="K3943" s="115" t="str">
        <x:v>Pièces décrites, murs, portes, niveaux et mobilier inspectables à l’échelle. Volumes réservés, raccord au seed, butin, rencontres et services de campagne restent à terminer.</x:v>
      </x:c>
    </x:row>
    <x:row r="3944" ht="96" customHeight="1">
      <x:c r="A3944" s="115" t="str">
        <x:v>EXT-MONDE-T079-V39</x:v>
      </x:c>
      <x:c r="B3944" s="115" t="str">
        <x:v>EXT-MONDE-T079</x:v>
      </x:c>
      <x:c r="C3944" s="115" t="str">
        <x:v>Îles</x:v>
      </x:c>
      <x:c r="D3944" s="115" t="str">
        <x:v>Île portuaire industrielle</x:v>
      </x:c>
      <x:c r="E3944" s="115" t="n">
        <x:v>39</x:v>
      </x:c>
      <x:c r="F3944" s="115" t="str">
        <x:v>Inspection physique</x:v>
      </x:c>
      <x:c r="G3944" s="115" t="str">
        <x:v>1 niveaux ; 34 pièces ; 260 segments de mur ; 0 transitions. Inspection physique ; architecture complète encore ouverte.</x:v>
      </x:c>
      <x:c r="H3944" s="115" t="str">
        <x:v>L 738 ; l 752 ; hauteur 30 m ; choix de composition auteur ; dimensions réelles à documenter</x:v>
      </x:c>
      <x:c r="I3944" s="115" t="str">
        <x:v>À équilibrer</x:v>
      </x:c>
      <x:c r="J3944" s="115" t="str">
        <x:v>Non</x:v>
      </x:c>
      <x:c r="K3944" s="115" t="str">
        <x:v>Pièces décrites, murs, portes, niveaux et mobilier inspectables à l’échelle. Volumes réservés, raccord au seed, butin, rencontres et services de campagne restent à terminer.</x:v>
      </x:c>
    </x:row>
    <x:row r="3945" ht="96" customHeight="1">
      <x:c r="A3945" s="115" t="str">
        <x:v>EXT-MONDE-T079-V40</x:v>
      </x:c>
      <x:c r="B3945" s="115" t="str">
        <x:v>EXT-MONDE-T079</x:v>
      </x:c>
      <x:c r="C3945" s="115" t="str">
        <x:v>Îles</x:v>
      </x:c>
      <x:c r="D3945" s="115" t="str">
        <x:v>Île portuaire industrielle</x:v>
      </x:c>
      <x:c r="E3945" s="115" t="n">
        <x:v>40</x:v>
      </x:c>
      <x:c r="F3945" s="115" t="str">
        <x:v>Inspection physique</x:v>
      </x:c>
      <x:c r="G3945" s="115" t="str">
        <x:v>1 niveaux ; 34 pièces ; 260 segments de mur ; 0 transitions. Inspection physique ; architecture complète encore ouverte.</x:v>
      </x:c>
      <x:c r="H3945" s="115" t="str">
        <x:v>L 738 ; l 752 ; hauteur 30 m ; choix de composition auteur ; dimensions réelles à documenter</x:v>
      </x:c>
      <x:c r="I3945" s="115" t="str">
        <x:v>À équilibrer</x:v>
      </x:c>
      <x:c r="J3945" s="115" t="str">
        <x:v>Non</x:v>
      </x:c>
      <x:c r="K3945" s="115" t="str">
        <x:v>Pièces décrites, murs, portes, niveaux et mobilier inspectables à l’échelle. Volumes réservés, raccord au seed, butin, rencontres et services de campagne restent à terminer.</x:v>
      </x:c>
    </x:row>
    <x:row r="3946" ht="96" customHeight="1">
      <x:c r="A3946" s="115" t="str">
        <x:v>EXT-MONDE-T079-V41</x:v>
      </x:c>
      <x:c r="B3946" s="115" t="str">
        <x:v>EXT-MONDE-T079</x:v>
      </x:c>
      <x:c r="C3946" s="115" t="str">
        <x:v>Îles</x:v>
      </x:c>
      <x:c r="D3946" s="115" t="str">
        <x:v>Île portuaire industrielle</x:v>
      </x:c>
      <x:c r="E3946" s="115" t="n">
        <x:v>41</x:v>
      </x:c>
      <x:c r="F3946" s="115" t="str">
        <x:v>Inspection physique</x:v>
      </x:c>
      <x:c r="G3946" s="115" t="str">
        <x:v>1 niveaux ; 34 pièces ; 260 segments de mur ; 0 transitions. Inspection physique ; architecture complète encore ouverte.</x:v>
      </x:c>
      <x:c r="H3946" s="115" t="str">
        <x:v>L 752 ; l 764 ; hauteur 30 m ; choix de composition auteur ; dimensions réelles à documenter</x:v>
      </x:c>
      <x:c r="I3946" s="115" t="str">
        <x:v>À équilibrer</x:v>
      </x:c>
      <x:c r="J3946" s="115" t="str">
        <x:v>Non</x:v>
      </x:c>
      <x:c r="K3946" s="115" t="str">
        <x:v>Pièces décrites, murs, portes, niveaux et mobilier inspectables à l’échelle. Volumes réservés, raccord au seed, butin, rencontres et services de campagne restent à terminer.</x:v>
      </x:c>
    </x:row>
    <x:row r="3947" ht="96" customHeight="1">
      <x:c r="A3947" s="115" t="str">
        <x:v>EXT-MONDE-T079-V42</x:v>
      </x:c>
      <x:c r="B3947" s="115" t="str">
        <x:v>EXT-MONDE-T079</x:v>
      </x:c>
      <x:c r="C3947" s="115" t="str">
        <x:v>Îles</x:v>
      </x:c>
      <x:c r="D3947" s="115" t="str">
        <x:v>Île portuaire industrielle</x:v>
      </x:c>
      <x:c r="E3947" s="115" t="n">
        <x:v>42</x:v>
      </x:c>
      <x:c r="F3947" s="115" t="str">
        <x:v>Inspection physique</x:v>
      </x:c>
      <x:c r="G3947" s="115" t="str">
        <x:v>1 niveaux ; 34 pièces ; 260 segments de mur ; 0 transitions. Inspection physique ; architecture complète encore ouverte.</x:v>
      </x:c>
      <x:c r="H3947" s="115" t="str">
        <x:v>L 752 ; l 764 ; hauteur 30 m ; choix de composition auteur ; dimensions réelles à documenter</x:v>
      </x:c>
      <x:c r="I3947" s="115" t="str">
        <x:v>À équilibrer</x:v>
      </x:c>
      <x:c r="J3947" s="115" t="str">
        <x:v>Non</x:v>
      </x:c>
      <x:c r="K3947" s="115" t="str">
        <x:v>Pièces décrites, murs, portes, niveaux et mobilier inspectables à l’échelle. Volumes réservés, raccord au seed, butin, rencontres et services de campagne restent à terminer.</x:v>
      </x:c>
    </x:row>
    <x:row r="3948" ht="96" customHeight="1">
      <x:c r="A3948" s="115" t="str">
        <x:v>EXT-MONDE-T079-V43</x:v>
      </x:c>
      <x:c r="B3948" s="115" t="str">
        <x:v>EXT-MONDE-T079</x:v>
      </x:c>
      <x:c r="C3948" s="115" t="str">
        <x:v>Îles</x:v>
      </x:c>
      <x:c r="D3948" s="115" t="str">
        <x:v>Île portuaire industrielle</x:v>
      </x:c>
      <x:c r="E3948" s="115" t="n">
        <x:v>43</x:v>
      </x:c>
      <x:c r="F3948" s="115" t="str">
        <x:v>Inspection physique</x:v>
      </x:c>
      <x:c r="G3948" s="115" t="str">
        <x:v>1 niveaux ; 34 pièces ; 260 segments de mur ; 0 transitions. Inspection physique ; architecture complète encore ouverte.</x:v>
      </x:c>
      <x:c r="H3948" s="115" t="str">
        <x:v>L 752 ; l 764 ; hauteur 30 m ; choix de composition auteur ; dimensions réelles à documenter</x:v>
      </x:c>
      <x:c r="I3948" s="115" t="str">
        <x:v>À équilibrer</x:v>
      </x:c>
      <x:c r="J3948" s="115" t="str">
        <x:v>Non</x:v>
      </x:c>
      <x:c r="K3948" s="115" t="str">
        <x:v>Pièces décrites, murs, portes, niveaux et mobilier inspectables à l’échelle. Volumes réservés, raccord au seed, butin, rencontres et services de campagne restent à terminer.</x:v>
      </x:c>
    </x:row>
    <x:row r="3949" ht="96" customHeight="1">
      <x:c r="A3949" s="115" t="str">
        <x:v>EXT-MONDE-T079-V44</x:v>
      </x:c>
      <x:c r="B3949" s="115" t="str">
        <x:v>EXT-MONDE-T079</x:v>
      </x:c>
      <x:c r="C3949" s="115" t="str">
        <x:v>Îles</x:v>
      </x:c>
      <x:c r="D3949" s="115" t="str">
        <x:v>Île portuaire industrielle</x:v>
      </x:c>
      <x:c r="E3949" s="115" t="n">
        <x:v>44</x:v>
      </x:c>
      <x:c r="F3949" s="115" t="str">
        <x:v>Inspection physique</x:v>
      </x:c>
      <x:c r="G3949" s="115" t="str">
        <x:v>1 niveaux ; 34 pièces ; 260 segments de mur ; 0 transitions. Inspection physique ; architecture complète encore ouverte.</x:v>
      </x:c>
      <x:c r="H3949" s="115" t="str">
        <x:v>L 752 ; l 764 ; hauteur 30 m ; choix de composition auteur ; dimensions réelles à documenter</x:v>
      </x:c>
      <x:c r="I3949" s="115" t="str">
        <x:v>À équilibrer</x:v>
      </x:c>
      <x:c r="J3949" s="115" t="str">
        <x:v>Non</x:v>
      </x:c>
      <x:c r="K3949" s="115" t="str">
        <x:v>Pièces décrites, murs, portes, niveaux et mobilier inspectables à l’échelle. Volumes réservés, raccord au seed, butin, rencontres et services de campagne restent à terminer.</x:v>
      </x:c>
    </x:row>
    <x:row r="3950" ht="96" customHeight="1">
      <x:c r="A3950" s="115" t="str">
        <x:v>EXT-MONDE-T079-V45</x:v>
      </x:c>
      <x:c r="B3950" s="115" t="str">
        <x:v>EXT-MONDE-T079</x:v>
      </x:c>
      <x:c r="C3950" s="115" t="str">
        <x:v>Îles</x:v>
      </x:c>
      <x:c r="D3950" s="115" t="str">
        <x:v>Île portuaire industrielle</x:v>
      </x:c>
      <x:c r="E3950" s="115" t="n">
        <x:v>45</x:v>
      </x:c>
      <x:c r="F3950" s="115" t="str">
        <x:v>Inspection physique</x:v>
      </x:c>
      <x:c r="G3950" s="115" t="str">
        <x:v>1 niveaux ; 34 pièces ; 260 segments de mur ; 0 transitions. Inspection physique ; architecture complète encore ouverte.</x:v>
      </x:c>
      <x:c r="H3950" s="115" t="str">
        <x:v>L 752 ; l 764 ; hauteur 30 m ; choix de composition auteur ; dimensions réelles à documenter</x:v>
      </x:c>
      <x:c r="I3950" s="115" t="str">
        <x:v>À équilibrer</x:v>
      </x:c>
      <x:c r="J3950" s="115" t="str">
        <x:v>Non</x:v>
      </x:c>
      <x:c r="K3950" s="115" t="str">
        <x:v>Pièces décrites, murs, portes, niveaux et mobilier inspectables à l’échelle. Volumes réservés, raccord au seed, butin, rencontres et services de campagne restent à terminer.</x:v>
      </x:c>
    </x:row>
    <x:row r="3951" ht="96" customHeight="1">
      <x:c r="A3951" s="115" t="str">
        <x:v>EXT-MONDE-T079-V46</x:v>
      </x:c>
      <x:c r="B3951" s="115" t="str">
        <x:v>EXT-MONDE-T079</x:v>
      </x:c>
      <x:c r="C3951" s="115" t="str">
        <x:v>Îles</x:v>
      </x:c>
      <x:c r="D3951" s="115" t="str">
        <x:v>Île portuaire industrielle</x:v>
      </x:c>
      <x:c r="E3951" s="115" t="n">
        <x:v>46</x:v>
      </x:c>
      <x:c r="F3951" s="115" t="str">
        <x:v>Inspection physique</x:v>
      </x:c>
      <x:c r="G3951" s="115" t="str">
        <x:v>1 niveaux ; 34 pièces ; 260 segments de mur ; 0 transitions. Inspection physique ; architecture complète encore ouverte.</x:v>
      </x:c>
      <x:c r="H3951" s="115" t="str">
        <x:v>L 752 ; l 764 ; hauteur 30 m ; choix de composition auteur ; dimensions réelles à documenter</x:v>
      </x:c>
      <x:c r="I3951" s="115" t="str">
        <x:v>À équilibrer</x:v>
      </x:c>
      <x:c r="J3951" s="115" t="str">
        <x:v>Non</x:v>
      </x:c>
      <x:c r="K3951" s="115" t="str">
        <x:v>Pièces décrites, murs, portes, niveaux et mobilier inspectables à l’échelle. Volumes réservés, raccord au seed, butin, rencontres et services de campagne restent à terminer.</x:v>
      </x:c>
    </x:row>
    <x:row r="3952" ht="96" customHeight="1">
      <x:c r="A3952" s="115" t="str">
        <x:v>EXT-MONDE-T079-V47</x:v>
      </x:c>
      <x:c r="B3952" s="115" t="str">
        <x:v>EXT-MONDE-T079</x:v>
      </x:c>
      <x:c r="C3952" s="115" t="str">
        <x:v>Îles</x:v>
      </x:c>
      <x:c r="D3952" s="115" t="str">
        <x:v>Île portuaire industrielle</x:v>
      </x:c>
      <x:c r="E3952" s="115" t="n">
        <x:v>47</x:v>
      </x:c>
      <x:c r="F3952" s="115" t="str">
        <x:v>Inspection physique</x:v>
      </x:c>
      <x:c r="G3952" s="115" t="str">
        <x:v>1 niveaux ; 34 pièces ; 260 segments de mur ; 0 transitions. Inspection physique ; architecture complète encore ouverte.</x:v>
      </x:c>
      <x:c r="H3952" s="115" t="str">
        <x:v>L 752 ; l 764 ; hauteur 30 m ; choix de composition auteur ; dimensions réelles à documenter</x:v>
      </x:c>
      <x:c r="I3952" s="115" t="str">
        <x:v>À équilibrer</x:v>
      </x:c>
      <x:c r="J3952" s="115" t="str">
        <x:v>Non</x:v>
      </x:c>
      <x:c r="K3952" s="115" t="str">
        <x:v>Pièces décrites, murs, portes, niveaux et mobilier inspectables à l’échelle. Volumes réservés, raccord au seed, butin, rencontres et services de campagne restent à terminer.</x:v>
      </x:c>
    </x:row>
    <x:row r="3953" ht="96" customHeight="1">
      <x:c r="A3953" s="115" t="str">
        <x:v>EXT-MONDE-T079-V48</x:v>
      </x:c>
      <x:c r="B3953" s="115" t="str">
        <x:v>EXT-MONDE-T079</x:v>
      </x:c>
      <x:c r="C3953" s="115" t="str">
        <x:v>Îles</x:v>
      </x:c>
      <x:c r="D3953" s="115" t="str">
        <x:v>Île portuaire industrielle</x:v>
      </x:c>
      <x:c r="E3953" s="115" t="n">
        <x:v>48</x:v>
      </x:c>
      <x:c r="F3953" s="115" t="str">
        <x:v>Inspection physique</x:v>
      </x:c>
      <x:c r="G3953" s="115" t="str">
        <x:v>1 niveaux ; 34 pièces ; 260 segments de mur ; 0 transitions. Inspection physique ; architecture complète encore ouverte.</x:v>
      </x:c>
      <x:c r="H3953" s="115" t="str">
        <x:v>L 752 ; l 764 ; hauteur 30 m ; choix de composition auteur ; dimensions réelles à documenter</x:v>
      </x:c>
      <x:c r="I3953" s="115" t="str">
        <x:v>À équilibrer</x:v>
      </x:c>
      <x:c r="J3953" s="115" t="str">
        <x:v>Non</x:v>
      </x:c>
      <x:c r="K3953" s="115" t="str">
        <x:v>Pièces décrites, murs, portes, niveaux et mobilier inspectables à l’échelle. Volumes réservés, raccord au seed, butin, rencontres et services de campagne restent à terminer.</x:v>
      </x:c>
    </x:row>
    <x:row r="3954" ht="96" customHeight="1">
      <x:c r="A3954" s="115" t="str">
        <x:v>EXT-MONDE-T079-V49</x:v>
      </x:c>
      <x:c r="B3954" s="115" t="str">
        <x:v>EXT-MONDE-T079</x:v>
      </x:c>
      <x:c r="C3954" s="115" t="str">
        <x:v>Îles</x:v>
      </x:c>
      <x:c r="D3954" s="115" t="str">
        <x:v>Île portuaire industrielle</x:v>
      </x:c>
      <x:c r="E3954" s="115" t="n">
        <x:v>49</x:v>
      </x:c>
      <x:c r="F3954" s="115" t="str">
        <x:v>Inspection physique</x:v>
      </x:c>
      <x:c r="G3954" s="115" t="str">
        <x:v>1 niveaux ; 34 pièces ; 260 segments de mur ; 0 transitions. Inspection physique ; architecture complète encore ouverte.</x:v>
      </x:c>
      <x:c r="H3954" s="115" t="str">
        <x:v>L 752 ; l 764 ; hauteur 30 m ; choix de composition auteur ; dimensions réelles à documenter</x:v>
      </x:c>
      <x:c r="I3954" s="115" t="str">
        <x:v>À équilibrer</x:v>
      </x:c>
      <x:c r="J3954" s="115" t="str">
        <x:v>Non</x:v>
      </x:c>
      <x:c r="K3954" s="115" t="str">
        <x:v>Pièces décrites, murs, portes, niveaux et mobilier inspectables à l’échelle. Volumes réservés, raccord au seed, butin, rencontres et services de campagne restent à terminer.</x:v>
      </x:c>
    </x:row>
    <x:row r="3955" ht="96" customHeight="1">
      <x:c r="A3955" s="115" t="str">
        <x:v>EXT-MONDE-T079-V50</x:v>
      </x:c>
      <x:c r="B3955" s="115" t="str">
        <x:v>EXT-MONDE-T079</x:v>
      </x:c>
      <x:c r="C3955" s="115" t="str">
        <x:v>Îles</x:v>
      </x:c>
      <x:c r="D3955" s="115" t="str">
        <x:v>Île portuaire industrielle</x:v>
      </x:c>
      <x:c r="E3955" s="115" t="n">
        <x:v>50</x:v>
      </x:c>
      <x:c r="F3955" s="115" t="str">
        <x:v>Inspection physique</x:v>
      </x:c>
      <x:c r="G3955" s="115" t="str">
        <x:v>1 niveaux ; 34 pièces ; 260 segments de mur ; 0 transitions. Inspection physique ; architecture complète encore ouverte.</x:v>
      </x:c>
      <x:c r="H3955" s="115" t="str">
        <x:v>L 752 ; l 764 ; hauteur 30 m ; choix de composition auteur ; dimensions réelles à documenter</x:v>
      </x:c>
      <x:c r="I3955" s="115" t="str">
        <x:v>À équilibrer</x:v>
      </x:c>
      <x:c r="J3955" s="115" t="str">
        <x:v>Non</x:v>
      </x:c>
      <x:c r="K3955" s="115" t="str">
        <x:v>Pièces décrites, murs, portes, niveaux et mobilier inspectables à l’échelle. Volumes réservés, raccord au seed, butin, rencontres et services de campagne restent à terminer.</x:v>
      </x:c>
    </x:row>
    <x:row r="3956" ht="96" customHeight="1">
      <x:c r="A3956" s="115" t="str">
        <x:v>EXT-MONDE-T080-V01</x:v>
      </x:c>
      <x:c r="B3956" s="115" t="str">
        <x:v>EXT-MONDE-T080</x:v>
      </x:c>
      <x:c r="C3956" s="115" t="str">
        <x:v>Îles</x:v>
      </x:c>
      <x:c r="D3956" s="115" t="str">
        <x:v>Grande île mixte</x:v>
      </x:c>
      <x:c r="E3956" s="115" t="n">
        <x:v>1</x:v>
      </x:c>
      <x:c r="F3956" s="115" t="str">
        <x:v>Inspection physique</x:v>
      </x:c>
      <x:c r="G3956" s="115" t="str">
        <x:v>1 niveaux ; 32 pièces ; 248 segments de mur ; 0 transitions. Inspection physique ; architecture complète encore ouverte.</x:v>
      </x:c>
      <x:c r="H3956" s="115" t="str">
        <x:v>L 856 ; l 896 ; hauteur 8 m ; choix de composition auteur ; dimensions réelles à documenter</x:v>
      </x:c>
      <x:c r="I3956" s="115" t="str">
        <x:v>À équilibrer</x:v>
      </x:c>
      <x:c r="J3956" s="115" t="str">
        <x:v>Non</x:v>
      </x:c>
      <x:c r="K3956" s="115" t="str">
        <x:v>Pièces décrites, murs, portes, niveaux et mobilier inspectables à l’échelle. Volumes réservés, raccord au seed, butin, rencontres et services de campagne restent à terminer.</x:v>
      </x:c>
    </x:row>
    <x:row r="3957" ht="96" customHeight="1">
      <x:c r="A3957" s="115" t="str">
        <x:v>EXT-MONDE-T080-V02</x:v>
      </x:c>
      <x:c r="B3957" s="115" t="str">
        <x:v>EXT-MONDE-T080</x:v>
      </x:c>
      <x:c r="C3957" s="115" t="str">
        <x:v>Îles</x:v>
      </x:c>
      <x:c r="D3957" s="115" t="str">
        <x:v>Grande île mixte</x:v>
      </x:c>
      <x:c r="E3957" s="115" t="n">
        <x:v>2</x:v>
      </x:c>
      <x:c r="F3957" s="115" t="str">
        <x:v>Inspection physique</x:v>
      </x:c>
      <x:c r="G3957" s="115" t="str">
        <x:v>1 niveaux ; 32 pièces ; 248 segments de mur ; 0 transitions. Inspection physique ; architecture complète encore ouverte.</x:v>
      </x:c>
      <x:c r="H3957" s="115" t="str">
        <x:v>L 856 ; l 896 ; hauteur 8 m ; choix de composition auteur ; dimensions réelles à documenter</x:v>
      </x:c>
      <x:c r="I3957" s="115" t="str">
        <x:v>À équilibrer</x:v>
      </x:c>
      <x:c r="J3957" s="115" t="str">
        <x:v>Non</x:v>
      </x:c>
      <x:c r="K3957" s="115" t="str">
        <x:v>Pièces décrites, murs, portes, niveaux et mobilier inspectables à l’échelle. Volumes réservés, raccord au seed, butin, rencontres et services de campagne restent à terminer.</x:v>
      </x:c>
    </x:row>
    <x:row r="3958" ht="96" customHeight="1">
      <x:c r="A3958" s="115" t="str">
        <x:v>EXT-MONDE-T080-V03</x:v>
      </x:c>
      <x:c r="B3958" s="115" t="str">
        <x:v>EXT-MONDE-T080</x:v>
      </x:c>
      <x:c r="C3958" s="115" t="str">
        <x:v>Îles</x:v>
      </x:c>
      <x:c r="D3958" s="115" t="str">
        <x:v>Grande île mixte</x:v>
      </x:c>
      <x:c r="E3958" s="115" t="n">
        <x:v>3</x:v>
      </x:c>
      <x:c r="F3958" s="115" t="str">
        <x:v>Inspection physique</x:v>
      </x:c>
      <x:c r="G3958" s="115" t="str">
        <x:v>1 niveaux ; 32 pièces ; 248 segments de mur ; 0 transitions. Inspection physique ; architecture complète encore ouverte.</x:v>
      </x:c>
      <x:c r="H3958" s="115" t="str">
        <x:v>L 856 ; l 896 ; hauteur 8 m ; choix de composition auteur ; dimensions réelles à documenter</x:v>
      </x:c>
      <x:c r="I3958" s="115" t="str">
        <x:v>À équilibrer</x:v>
      </x:c>
      <x:c r="J3958" s="115" t="str">
        <x:v>Non</x:v>
      </x:c>
      <x:c r="K3958" s="115" t="str">
        <x:v>Pièces décrites, murs, portes, niveaux et mobilier inspectables à l’échelle. Volumes réservés, raccord au seed, butin, rencontres et services de campagne restent à terminer.</x:v>
      </x:c>
    </x:row>
    <x:row r="3959" ht="96" customHeight="1">
      <x:c r="A3959" s="115" t="str">
        <x:v>EXT-MONDE-T080-V04</x:v>
      </x:c>
      <x:c r="B3959" s="115" t="str">
        <x:v>EXT-MONDE-T080</x:v>
      </x:c>
      <x:c r="C3959" s="115" t="str">
        <x:v>Îles</x:v>
      </x:c>
      <x:c r="D3959" s="115" t="str">
        <x:v>Grande île mixte</x:v>
      </x:c>
      <x:c r="E3959" s="115" t="n">
        <x:v>4</x:v>
      </x:c>
      <x:c r="F3959" s="115" t="str">
        <x:v>Inspection physique</x:v>
      </x:c>
      <x:c r="G3959" s="115" t="str">
        <x:v>1 niveaux ; 32 pièces ; 248 segments de mur ; 0 transitions. Inspection physique ; architecture complète encore ouverte.</x:v>
      </x:c>
      <x:c r="H3959" s="115" t="str">
        <x:v>L 856 ; l 896 ; hauteur 8 m ; choix de composition auteur ; dimensions réelles à documenter</x:v>
      </x:c>
      <x:c r="I3959" s="115" t="str">
        <x:v>À équilibrer</x:v>
      </x:c>
      <x:c r="J3959" s="115" t="str">
        <x:v>Non</x:v>
      </x:c>
      <x:c r="K3959" s="115" t="str">
        <x:v>Pièces décrites, murs, portes, niveaux et mobilier inspectables à l’échelle. Volumes réservés, raccord au seed, butin, rencontres et services de campagne restent à terminer.</x:v>
      </x:c>
    </x:row>
    <x:row r="3960" ht="96" customHeight="1">
      <x:c r="A3960" s="115" t="str">
        <x:v>EXT-MONDE-T080-V05</x:v>
      </x:c>
      <x:c r="B3960" s="115" t="str">
        <x:v>EXT-MONDE-T080</x:v>
      </x:c>
      <x:c r="C3960" s="115" t="str">
        <x:v>Îles</x:v>
      </x:c>
      <x:c r="D3960" s="115" t="str">
        <x:v>Grande île mixte</x:v>
      </x:c>
      <x:c r="E3960" s="115" t="n">
        <x:v>5</x:v>
      </x:c>
      <x:c r="F3960" s="115" t="str">
        <x:v>Inspection physique</x:v>
      </x:c>
      <x:c r="G3960" s="115" t="str">
        <x:v>1 niveaux ; 32 pièces ; 248 segments de mur ; 0 transitions. Inspection physique ; architecture complète encore ouverte.</x:v>
      </x:c>
      <x:c r="H3960" s="115" t="str">
        <x:v>L 856 ; l 896 ; hauteur 8 m ; choix de composition auteur ; dimensions réelles à documenter</x:v>
      </x:c>
      <x:c r="I3960" s="115" t="str">
        <x:v>À équilibrer</x:v>
      </x:c>
      <x:c r="J3960" s="115" t="str">
        <x:v>Non</x:v>
      </x:c>
      <x:c r="K3960" s="115" t="str">
        <x:v>Pièces décrites, murs, portes, niveaux et mobilier inspectables à l’échelle. Volumes réservés, raccord au seed, butin, rencontres et services de campagne restent à terminer.</x:v>
      </x:c>
    </x:row>
    <x:row r="3961" ht="96" customHeight="1">
      <x:c r="A3961" s="115" t="str">
        <x:v>EXT-MONDE-T080-V06</x:v>
      </x:c>
      <x:c r="B3961" s="115" t="str">
        <x:v>EXT-MONDE-T080</x:v>
      </x:c>
      <x:c r="C3961" s="115" t="str">
        <x:v>Îles</x:v>
      </x:c>
      <x:c r="D3961" s="115" t="str">
        <x:v>Grande île mixte</x:v>
      </x:c>
      <x:c r="E3961" s="115" t="n">
        <x:v>6</x:v>
      </x:c>
      <x:c r="F3961" s="115" t="str">
        <x:v>Inspection physique</x:v>
      </x:c>
      <x:c r="G3961" s="115" t="str">
        <x:v>1 niveaux ; 32 pièces ; 248 segments de mur ; 0 transitions. Inspection physique ; architecture complète encore ouverte.</x:v>
      </x:c>
      <x:c r="H3961" s="115" t="str">
        <x:v>L 856 ; l 896 ; hauteur 8 m ; choix de composition auteur ; dimensions réelles à documenter</x:v>
      </x:c>
      <x:c r="I3961" s="115" t="str">
        <x:v>À équilibrer</x:v>
      </x:c>
      <x:c r="J3961" s="115" t="str">
        <x:v>Non</x:v>
      </x:c>
      <x:c r="K3961" s="115" t="str">
        <x:v>Pièces décrites, murs, portes, niveaux et mobilier inspectables à l’échelle. Volumes réservés, raccord au seed, butin, rencontres et services de campagne restent à terminer.</x:v>
      </x:c>
    </x:row>
    <x:row r="3962" ht="96" customHeight="1">
      <x:c r="A3962" s="115" t="str">
        <x:v>EXT-MONDE-T080-V07</x:v>
      </x:c>
      <x:c r="B3962" s="115" t="str">
        <x:v>EXT-MONDE-T080</x:v>
      </x:c>
      <x:c r="C3962" s="115" t="str">
        <x:v>Îles</x:v>
      </x:c>
      <x:c r="D3962" s="115" t="str">
        <x:v>Grande île mixte</x:v>
      </x:c>
      <x:c r="E3962" s="115" t="n">
        <x:v>7</x:v>
      </x:c>
      <x:c r="F3962" s="115" t="str">
        <x:v>Inspection physique</x:v>
      </x:c>
      <x:c r="G3962" s="115" t="str">
        <x:v>1 niveaux ; 32 pièces ; 248 segments de mur ; 0 transitions. Inspection physique ; architecture complète encore ouverte.</x:v>
      </x:c>
      <x:c r="H3962" s="115" t="str">
        <x:v>L 856 ; l 896 ; hauteur 8 m ; choix de composition auteur ; dimensions réelles à documenter</x:v>
      </x:c>
      <x:c r="I3962" s="115" t="str">
        <x:v>À équilibrer</x:v>
      </x:c>
      <x:c r="J3962" s="115" t="str">
        <x:v>Non</x:v>
      </x:c>
      <x:c r="K3962" s="115" t="str">
        <x:v>Pièces décrites, murs, portes, niveaux et mobilier inspectables à l’échelle. Volumes réservés, raccord au seed, butin, rencontres et services de campagne restent à terminer.</x:v>
      </x:c>
    </x:row>
    <x:row r="3963" ht="96" customHeight="1">
      <x:c r="A3963" s="115" t="str">
        <x:v>EXT-MONDE-T080-V08</x:v>
      </x:c>
      <x:c r="B3963" s="115" t="str">
        <x:v>EXT-MONDE-T080</x:v>
      </x:c>
      <x:c r="C3963" s="115" t="str">
        <x:v>Îles</x:v>
      </x:c>
      <x:c r="D3963" s="115" t="str">
        <x:v>Grande île mixte</x:v>
      </x:c>
      <x:c r="E3963" s="115" t="n">
        <x:v>8</x:v>
      </x:c>
      <x:c r="F3963" s="115" t="str">
        <x:v>Inspection physique</x:v>
      </x:c>
      <x:c r="G3963" s="115" t="str">
        <x:v>1 niveaux ; 32 pièces ; 248 segments de mur ; 0 transitions. Inspection physique ; architecture complète encore ouverte.</x:v>
      </x:c>
      <x:c r="H3963" s="115" t="str">
        <x:v>L 856 ; l 896 ; hauteur 8 m ; choix de composition auteur ; dimensions réelles à documenter</x:v>
      </x:c>
      <x:c r="I3963" s="115" t="str">
        <x:v>À équilibrer</x:v>
      </x:c>
      <x:c r="J3963" s="115" t="str">
        <x:v>Non</x:v>
      </x:c>
      <x:c r="K3963" s="115" t="str">
        <x:v>Pièces décrites, murs, portes, niveaux et mobilier inspectables à l’échelle. Volumes réservés, raccord au seed, butin, rencontres et services de campagne restent à terminer.</x:v>
      </x:c>
    </x:row>
    <x:row r="3964" ht="96" customHeight="1">
      <x:c r="A3964" s="115" t="str">
        <x:v>EXT-MONDE-T080-V09</x:v>
      </x:c>
      <x:c r="B3964" s="115" t="str">
        <x:v>EXT-MONDE-T080</x:v>
      </x:c>
      <x:c r="C3964" s="115" t="str">
        <x:v>Îles</x:v>
      </x:c>
      <x:c r="D3964" s="115" t="str">
        <x:v>Grande île mixte</x:v>
      </x:c>
      <x:c r="E3964" s="115" t="n">
        <x:v>9</x:v>
      </x:c>
      <x:c r="F3964" s="115" t="str">
        <x:v>Inspection physique</x:v>
      </x:c>
      <x:c r="G3964" s="115" t="str">
        <x:v>1 niveaux ; 32 pièces ; 248 segments de mur ; 0 transitions. Inspection physique ; architecture complète encore ouverte.</x:v>
      </x:c>
      <x:c r="H3964" s="115" t="str">
        <x:v>L 856 ; l 896 ; hauteur 8 m ; choix de composition auteur ; dimensions réelles à documenter</x:v>
      </x:c>
      <x:c r="I3964" s="115" t="str">
        <x:v>À équilibrer</x:v>
      </x:c>
      <x:c r="J3964" s="115" t="str">
        <x:v>Non</x:v>
      </x:c>
      <x:c r="K3964" s="115" t="str">
        <x:v>Pièces décrites, murs, portes, niveaux et mobilier inspectables à l’échelle. Volumes réservés, raccord au seed, butin, rencontres et services de campagne restent à terminer.</x:v>
      </x:c>
    </x:row>
    <x:row r="3965" ht="96" customHeight="1">
      <x:c r="A3965" s="115" t="str">
        <x:v>EXT-MONDE-T080-V10</x:v>
      </x:c>
      <x:c r="B3965" s="115" t="str">
        <x:v>EXT-MONDE-T080</x:v>
      </x:c>
      <x:c r="C3965" s="115" t="str">
        <x:v>Îles</x:v>
      </x:c>
      <x:c r="D3965" s="115" t="str">
        <x:v>Grande île mixte</x:v>
      </x:c>
      <x:c r="E3965" s="115" t="n">
        <x:v>10</x:v>
      </x:c>
      <x:c r="F3965" s="115" t="str">
        <x:v>Inspection physique</x:v>
      </x:c>
      <x:c r="G3965" s="115" t="str">
        <x:v>1 niveaux ; 32 pièces ; 248 segments de mur ; 0 transitions. Inspection physique ; architecture complète encore ouverte.</x:v>
      </x:c>
      <x:c r="H3965" s="115" t="str">
        <x:v>L 856 ; l 896 ; hauteur 8 m ; choix de composition auteur ; dimensions réelles à documenter</x:v>
      </x:c>
      <x:c r="I3965" s="115" t="str">
        <x:v>À équilibrer</x:v>
      </x:c>
      <x:c r="J3965" s="115" t="str">
        <x:v>Non</x:v>
      </x:c>
      <x:c r="K3965" s="115" t="str">
        <x:v>Pièces décrites, murs, portes, niveaux et mobilier inspectables à l’échelle. Volumes réservés, raccord au seed, butin, rencontres et services de campagne restent à terminer.</x:v>
      </x:c>
    </x:row>
    <x:row r="3966" ht="96" customHeight="1">
      <x:c r="A3966" s="115" t="str">
        <x:v>EXT-MONDE-T080-V11</x:v>
      </x:c>
      <x:c r="B3966" s="115" t="str">
        <x:v>EXT-MONDE-T080</x:v>
      </x:c>
      <x:c r="C3966" s="115" t="str">
        <x:v>Îles</x:v>
      </x:c>
      <x:c r="D3966" s="115" t="str">
        <x:v>Grande île mixte</x:v>
      </x:c>
      <x:c r="E3966" s="115" t="n">
        <x:v>11</x:v>
      </x:c>
      <x:c r="F3966" s="115" t="str">
        <x:v>Inspection physique</x:v>
      </x:c>
      <x:c r="G3966" s="115" t="str">
        <x:v>1 niveaux ; 32 pièces ; 248 segments de mur ; 0 transitions. Inspection physique ; architecture complète encore ouverte.</x:v>
      </x:c>
      <x:c r="H3966" s="115" t="str">
        <x:v>L 870 ; l 908 ; hauteur 8 m ; choix de composition auteur ; dimensions réelles à documenter</x:v>
      </x:c>
      <x:c r="I3966" s="115" t="str">
        <x:v>À équilibrer</x:v>
      </x:c>
      <x:c r="J3966" s="115" t="str">
        <x:v>Non</x:v>
      </x:c>
      <x:c r="K3966" s="115" t="str">
        <x:v>Pièces décrites, murs, portes, niveaux et mobilier inspectables à l’échelle. Volumes réservés, raccord au seed, butin, rencontres et services de campagne restent à terminer.</x:v>
      </x:c>
    </x:row>
    <x:row r="3967" ht="96" customHeight="1">
      <x:c r="A3967" s="115" t="str">
        <x:v>EXT-MONDE-T080-V12</x:v>
      </x:c>
      <x:c r="B3967" s="115" t="str">
        <x:v>EXT-MONDE-T080</x:v>
      </x:c>
      <x:c r="C3967" s="115" t="str">
        <x:v>Îles</x:v>
      </x:c>
      <x:c r="D3967" s="115" t="str">
        <x:v>Grande île mixte</x:v>
      </x:c>
      <x:c r="E3967" s="115" t="n">
        <x:v>12</x:v>
      </x:c>
      <x:c r="F3967" s="115" t="str">
        <x:v>Inspection physique</x:v>
      </x:c>
      <x:c r="G3967" s="115" t="str">
        <x:v>1 niveaux ; 32 pièces ; 248 segments de mur ; 0 transitions. Inspection physique ; architecture complète encore ouverte.</x:v>
      </x:c>
      <x:c r="H3967" s="115" t="str">
        <x:v>L 870 ; l 908 ; hauteur 8 m ; choix de composition auteur ; dimensions réelles à documenter</x:v>
      </x:c>
      <x:c r="I3967" s="115" t="str">
        <x:v>À équilibrer</x:v>
      </x:c>
      <x:c r="J3967" s="115" t="str">
        <x:v>Non</x:v>
      </x:c>
      <x:c r="K3967" s="115" t="str">
        <x:v>Pièces décrites, murs, portes, niveaux et mobilier inspectables à l’échelle. Volumes réservés, raccord au seed, butin, rencontres et services de campagne restent à terminer.</x:v>
      </x:c>
    </x:row>
    <x:row r="3968" ht="96" customHeight="1">
      <x:c r="A3968" s="115" t="str">
        <x:v>EXT-MONDE-T080-V13</x:v>
      </x:c>
      <x:c r="B3968" s="115" t="str">
        <x:v>EXT-MONDE-T080</x:v>
      </x:c>
      <x:c r="C3968" s="115" t="str">
        <x:v>Îles</x:v>
      </x:c>
      <x:c r="D3968" s="115" t="str">
        <x:v>Grande île mixte</x:v>
      </x:c>
      <x:c r="E3968" s="115" t="n">
        <x:v>13</x:v>
      </x:c>
      <x:c r="F3968" s="115" t="str">
        <x:v>Inspection physique</x:v>
      </x:c>
      <x:c r="G3968" s="115" t="str">
        <x:v>1 niveaux ; 32 pièces ; 248 segments de mur ; 0 transitions. Inspection physique ; architecture complète encore ouverte.</x:v>
      </x:c>
      <x:c r="H3968" s="115" t="str">
        <x:v>L 870 ; l 908 ; hauteur 8 m ; choix de composition auteur ; dimensions réelles à documenter</x:v>
      </x:c>
      <x:c r="I3968" s="115" t="str">
        <x:v>À équilibrer</x:v>
      </x:c>
      <x:c r="J3968" s="115" t="str">
        <x:v>Non</x:v>
      </x:c>
      <x:c r="K3968" s="115" t="str">
        <x:v>Pièces décrites, murs, portes, niveaux et mobilier inspectables à l’échelle. Volumes réservés, raccord au seed, butin, rencontres et services de campagne restent à terminer.</x:v>
      </x:c>
    </x:row>
    <x:row r="3969" ht="96" customHeight="1">
      <x:c r="A3969" s="115" t="str">
        <x:v>EXT-MONDE-T080-V14</x:v>
      </x:c>
      <x:c r="B3969" s="115" t="str">
        <x:v>EXT-MONDE-T080</x:v>
      </x:c>
      <x:c r="C3969" s="115" t="str">
        <x:v>Îles</x:v>
      </x:c>
      <x:c r="D3969" s="115" t="str">
        <x:v>Grande île mixte</x:v>
      </x:c>
      <x:c r="E3969" s="115" t="n">
        <x:v>14</x:v>
      </x:c>
      <x:c r="F3969" s="115" t="str">
        <x:v>Inspection physique</x:v>
      </x:c>
      <x:c r="G3969" s="115" t="str">
        <x:v>1 niveaux ; 32 pièces ; 248 segments de mur ; 0 transitions. Inspection physique ; architecture complète encore ouverte.</x:v>
      </x:c>
      <x:c r="H3969" s="115" t="str">
        <x:v>L 870 ; l 908 ; hauteur 8 m ; choix de composition auteur ; dimensions réelles à documenter</x:v>
      </x:c>
      <x:c r="I3969" s="115" t="str">
        <x:v>À équilibrer</x:v>
      </x:c>
      <x:c r="J3969" s="115" t="str">
        <x:v>Non</x:v>
      </x:c>
      <x:c r="K3969" s="115" t="str">
        <x:v>Pièces décrites, murs, portes, niveaux et mobilier inspectables à l’échelle. Volumes réservés, raccord au seed, butin, rencontres et services de campagne restent à terminer.</x:v>
      </x:c>
    </x:row>
    <x:row r="3970" ht="96" customHeight="1">
      <x:c r="A3970" s="115" t="str">
        <x:v>EXT-MONDE-T080-V15</x:v>
      </x:c>
      <x:c r="B3970" s="115" t="str">
        <x:v>EXT-MONDE-T080</x:v>
      </x:c>
      <x:c r="C3970" s="115" t="str">
        <x:v>Îles</x:v>
      </x:c>
      <x:c r="D3970" s="115" t="str">
        <x:v>Grande île mixte</x:v>
      </x:c>
      <x:c r="E3970" s="115" t="n">
        <x:v>15</x:v>
      </x:c>
      <x:c r="F3970" s="115" t="str">
        <x:v>Inspection physique</x:v>
      </x:c>
      <x:c r="G3970" s="115" t="str">
        <x:v>1 niveaux ; 32 pièces ; 248 segments de mur ; 0 transitions. Inspection physique ; architecture complète encore ouverte.</x:v>
      </x:c>
      <x:c r="H3970" s="115" t="str">
        <x:v>L 870 ; l 908 ; hauteur 8 m ; choix de composition auteur ; dimensions réelles à documenter</x:v>
      </x:c>
      <x:c r="I3970" s="115" t="str">
        <x:v>À équilibrer</x:v>
      </x:c>
      <x:c r="J3970" s="115" t="str">
        <x:v>Non</x:v>
      </x:c>
      <x:c r="K3970" s="115" t="str">
        <x:v>Pièces décrites, murs, portes, niveaux et mobilier inspectables à l’échelle. Volumes réservés, raccord au seed, butin, rencontres et services de campagne restent à terminer.</x:v>
      </x:c>
    </x:row>
    <x:row r="3971" ht="96" customHeight="1">
      <x:c r="A3971" s="115" t="str">
        <x:v>EXT-MONDE-T080-V16</x:v>
      </x:c>
      <x:c r="B3971" s="115" t="str">
        <x:v>EXT-MONDE-T080</x:v>
      </x:c>
      <x:c r="C3971" s="115" t="str">
        <x:v>Îles</x:v>
      </x:c>
      <x:c r="D3971" s="115" t="str">
        <x:v>Grande île mixte</x:v>
      </x:c>
      <x:c r="E3971" s="115" t="n">
        <x:v>16</x:v>
      </x:c>
      <x:c r="F3971" s="115" t="str">
        <x:v>Inspection physique</x:v>
      </x:c>
      <x:c r="G3971" s="115" t="str">
        <x:v>1 niveaux ; 32 pièces ; 248 segments de mur ; 0 transitions. Inspection physique ; architecture complète encore ouverte.</x:v>
      </x:c>
      <x:c r="H3971" s="115" t="str">
        <x:v>L 870 ; l 908 ; hauteur 8 m ; choix de composition auteur ; dimensions réelles à documenter</x:v>
      </x:c>
      <x:c r="I3971" s="115" t="str">
        <x:v>À équilibrer</x:v>
      </x:c>
      <x:c r="J3971" s="115" t="str">
        <x:v>Non</x:v>
      </x:c>
      <x:c r="K3971" s="115" t="str">
        <x:v>Pièces décrites, murs, portes, niveaux et mobilier inspectables à l’échelle. Volumes réservés, raccord au seed, butin, rencontres et services de campagne restent à terminer.</x:v>
      </x:c>
    </x:row>
    <x:row r="3972" ht="96" customHeight="1">
      <x:c r="A3972" s="115" t="str">
        <x:v>EXT-MONDE-T080-V17</x:v>
      </x:c>
      <x:c r="B3972" s="115" t="str">
        <x:v>EXT-MONDE-T080</x:v>
      </x:c>
      <x:c r="C3972" s="115" t="str">
        <x:v>Îles</x:v>
      </x:c>
      <x:c r="D3972" s="115" t="str">
        <x:v>Grande île mixte</x:v>
      </x:c>
      <x:c r="E3972" s="115" t="n">
        <x:v>17</x:v>
      </x:c>
      <x:c r="F3972" s="115" t="str">
        <x:v>Inspection physique</x:v>
      </x:c>
      <x:c r="G3972" s="115" t="str">
        <x:v>1 niveaux ; 32 pièces ; 248 segments de mur ; 0 transitions. Inspection physique ; architecture complète encore ouverte.</x:v>
      </x:c>
      <x:c r="H3972" s="115" t="str">
        <x:v>L 870 ; l 908 ; hauteur 8 m ; choix de composition auteur ; dimensions réelles à documenter</x:v>
      </x:c>
      <x:c r="I3972" s="115" t="str">
        <x:v>À équilibrer</x:v>
      </x:c>
      <x:c r="J3972" s="115" t="str">
        <x:v>Non</x:v>
      </x:c>
      <x:c r="K3972" s="115" t="str">
        <x:v>Pièces décrites, murs, portes, niveaux et mobilier inspectables à l’échelle. Volumes réservés, raccord au seed, butin, rencontres et services de campagne restent à terminer.</x:v>
      </x:c>
    </x:row>
    <x:row r="3973" ht="96" customHeight="1">
      <x:c r="A3973" s="115" t="str">
        <x:v>EXT-MONDE-T080-V18</x:v>
      </x:c>
      <x:c r="B3973" s="115" t="str">
        <x:v>EXT-MONDE-T080</x:v>
      </x:c>
      <x:c r="C3973" s="115" t="str">
        <x:v>Îles</x:v>
      </x:c>
      <x:c r="D3973" s="115" t="str">
        <x:v>Grande île mixte</x:v>
      </x:c>
      <x:c r="E3973" s="115" t="n">
        <x:v>18</x:v>
      </x:c>
      <x:c r="F3973" s="115" t="str">
        <x:v>Inspection physique</x:v>
      </x:c>
      <x:c r="G3973" s="115" t="str">
        <x:v>1 niveaux ; 32 pièces ; 248 segments de mur ; 0 transitions. Inspection physique ; architecture complète encore ouverte.</x:v>
      </x:c>
      <x:c r="H3973" s="115" t="str">
        <x:v>L 870 ; l 908 ; hauteur 8 m ; choix de composition auteur ; dimensions réelles à documenter</x:v>
      </x:c>
      <x:c r="I3973" s="115" t="str">
        <x:v>À équilibrer</x:v>
      </x:c>
      <x:c r="J3973" s="115" t="str">
        <x:v>Non</x:v>
      </x:c>
      <x:c r="K3973" s="115" t="str">
        <x:v>Pièces décrites, murs, portes, niveaux et mobilier inspectables à l’échelle. Volumes réservés, raccord au seed, butin, rencontres et services de campagne restent à terminer.</x:v>
      </x:c>
    </x:row>
    <x:row r="3974" ht="96" customHeight="1">
      <x:c r="A3974" s="115" t="str">
        <x:v>EXT-MONDE-T080-V19</x:v>
      </x:c>
      <x:c r="B3974" s="115" t="str">
        <x:v>EXT-MONDE-T080</x:v>
      </x:c>
      <x:c r="C3974" s="115" t="str">
        <x:v>Îles</x:v>
      </x:c>
      <x:c r="D3974" s="115" t="str">
        <x:v>Grande île mixte</x:v>
      </x:c>
      <x:c r="E3974" s="115" t="n">
        <x:v>19</x:v>
      </x:c>
      <x:c r="F3974" s="115" t="str">
        <x:v>Inspection physique</x:v>
      </x:c>
      <x:c r="G3974" s="115" t="str">
        <x:v>1 niveaux ; 32 pièces ; 248 segments de mur ; 0 transitions. Inspection physique ; architecture complète encore ouverte.</x:v>
      </x:c>
      <x:c r="H3974" s="115" t="str">
        <x:v>L 870 ; l 908 ; hauteur 8 m ; choix de composition auteur ; dimensions réelles à documenter</x:v>
      </x:c>
      <x:c r="I3974" s="115" t="str">
        <x:v>À équilibrer</x:v>
      </x:c>
      <x:c r="J3974" s="115" t="str">
        <x:v>Non</x:v>
      </x:c>
      <x:c r="K3974" s="115" t="str">
        <x:v>Pièces décrites, murs, portes, niveaux et mobilier inspectables à l’échelle. Volumes réservés, raccord au seed, butin, rencontres et services de campagne restent à terminer.</x:v>
      </x:c>
    </x:row>
    <x:row r="3975" ht="96" customHeight="1">
      <x:c r="A3975" s="115" t="str">
        <x:v>EXT-MONDE-T080-V20</x:v>
      </x:c>
      <x:c r="B3975" s="115" t="str">
        <x:v>EXT-MONDE-T080</x:v>
      </x:c>
      <x:c r="C3975" s="115" t="str">
        <x:v>Îles</x:v>
      </x:c>
      <x:c r="D3975" s="115" t="str">
        <x:v>Grande île mixte</x:v>
      </x:c>
      <x:c r="E3975" s="115" t="n">
        <x:v>20</x:v>
      </x:c>
      <x:c r="F3975" s="115" t="str">
        <x:v>Inspection physique</x:v>
      </x:c>
      <x:c r="G3975" s="115" t="str">
        <x:v>1 niveaux ; 32 pièces ; 248 segments de mur ; 0 transitions. Inspection physique ; architecture complète encore ouverte.</x:v>
      </x:c>
      <x:c r="H3975" s="115" t="str">
        <x:v>L 870 ; l 908 ; hauteur 8 m ; choix de composition auteur ; dimensions réelles à documenter</x:v>
      </x:c>
      <x:c r="I3975" s="115" t="str">
        <x:v>À équilibrer</x:v>
      </x:c>
      <x:c r="J3975" s="115" t="str">
        <x:v>Non</x:v>
      </x:c>
      <x:c r="K3975" s="115" t="str">
        <x:v>Pièces décrites, murs, portes, niveaux et mobilier inspectables à l’échelle. Volumes réservés, raccord au seed, butin, rencontres et services de campagne restent à terminer.</x:v>
      </x:c>
    </x:row>
    <x:row r="3976" ht="96" customHeight="1">
      <x:c r="A3976" s="115" t="str">
        <x:v>EXT-MONDE-T080-V21</x:v>
      </x:c>
      <x:c r="B3976" s="115" t="str">
        <x:v>EXT-MONDE-T080</x:v>
      </x:c>
      <x:c r="C3976" s="115" t="str">
        <x:v>Îles</x:v>
      </x:c>
      <x:c r="D3976" s="115" t="str">
        <x:v>Grande île mixte</x:v>
      </x:c>
      <x:c r="E3976" s="115" t="n">
        <x:v>21</x:v>
      </x:c>
      <x:c r="F3976" s="115" t="str">
        <x:v>Inspection physique</x:v>
      </x:c>
      <x:c r="G3976" s="115" t="str">
        <x:v>1 niveaux ; 32 pièces ; 248 segments de mur ; 0 transitions. Inspection physique ; architecture complète encore ouverte.</x:v>
      </x:c>
      <x:c r="H3976" s="115" t="str">
        <x:v>L 884 ; l 920 ; hauteur 8 m ; choix de composition auteur ; dimensions réelles à documenter</x:v>
      </x:c>
      <x:c r="I3976" s="115" t="str">
        <x:v>À équilibrer</x:v>
      </x:c>
      <x:c r="J3976" s="115" t="str">
        <x:v>Non</x:v>
      </x:c>
      <x:c r="K3976" s="115" t="str">
        <x:v>Pièces décrites, murs, portes, niveaux et mobilier inspectables à l’échelle. Volumes réservés, raccord au seed, butin, rencontres et services de campagne restent à terminer.</x:v>
      </x:c>
    </x:row>
    <x:row r="3977" ht="96" customHeight="1">
      <x:c r="A3977" s="115" t="str">
        <x:v>EXT-MONDE-T080-V22</x:v>
      </x:c>
      <x:c r="B3977" s="115" t="str">
        <x:v>EXT-MONDE-T080</x:v>
      </x:c>
      <x:c r="C3977" s="115" t="str">
        <x:v>Îles</x:v>
      </x:c>
      <x:c r="D3977" s="115" t="str">
        <x:v>Grande île mixte</x:v>
      </x:c>
      <x:c r="E3977" s="115" t="n">
        <x:v>22</x:v>
      </x:c>
      <x:c r="F3977" s="115" t="str">
        <x:v>Inspection physique</x:v>
      </x:c>
      <x:c r="G3977" s="115" t="str">
        <x:v>1 niveaux ; 32 pièces ; 248 segments de mur ; 0 transitions. Inspection physique ; architecture complète encore ouverte.</x:v>
      </x:c>
      <x:c r="H3977" s="115" t="str">
        <x:v>L 884 ; l 920 ; hauteur 8 m ; choix de composition auteur ; dimensions réelles à documenter</x:v>
      </x:c>
      <x:c r="I3977" s="115" t="str">
        <x:v>À équilibrer</x:v>
      </x:c>
      <x:c r="J3977" s="115" t="str">
        <x:v>Non</x:v>
      </x:c>
      <x:c r="K3977" s="115" t="str">
        <x:v>Pièces décrites, murs, portes, niveaux et mobilier inspectables à l’échelle. Volumes réservés, raccord au seed, butin, rencontres et services de campagne restent à terminer.</x:v>
      </x:c>
    </x:row>
    <x:row r="3978" ht="96" customHeight="1">
      <x:c r="A3978" s="115" t="str">
        <x:v>EXT-MONDE-T080-V23</x:v>
      </x:c>
      <x:c r="B3978" s="115" t="str">
        <x:v>EXT-MONDE-T080</x:v>
      </x:c>
      <x:c r="C3978" s="115" t="str">
        <x:v>Îles</x:v>
      </x:c>
      <x:c r="D3978" s="115" t="str">
        <x:v>Grande île mixte</x:v>
      </x:c>
      <x:c r="E3978" s="115" t="n">
        <x:v>23</x:v>
      </x:c>
      <x:c r="F3978" s="115" t="str">
        <x:v>Inspection physique</x:v>
      </x:c>
      <x:c r="G3978" s="115" t="str">
        <x:v>1 niveaux ; 32 pièces ; 248 segments de mur ; 0 transitions. Inspection physique ; architecture complète encore ouverte.</x:v>
      </x:c>
      <x:c r="H3978" s="115" t="str">
        <x:v>L 884 ; l 920 ; hauteur 8 m ; choix de composition auteur ; dimensions réelles à documenter</x:v>
      </x:c>
      <x:c r="I3978" s="115" t="str">
        <x:v>À équilibrer</x:v>
      </x:c>
      <x:c r="J3978" s="115" t="str">
        <x:v>Non</x:v>
      </x:c>
      <x:c r="K3978" s="115" t="str">
        <x:v>Pièces décrites, murs, portes, niveaux et mobilier inspectables à l’échelle. Volumes réservés, raccord au seed, butin, rencontres et services de campagne restent à terminer.</x:v>
      </x:c>
    </x:row>
    <x:row r="3979" ht="96" customHeight="1">
      <x:c r="A3979" s="115" t="str">
        <x:v>EXT-MONDE-T080-V24</x:v>
      </x:c>
      <x:c r="B3979" s="115" t="str">
        <x:v>EXT-MONDE-T080</x:v>
      </x:c>
      <x:c r="C3979" s="115" t="str">
        <x:v>Îles</x:v>
      </x:c>
      <x:c r="D3979" s="115" t="str">
        <x:v>Grande île mixte</x:v>
      </x:c>
      <x:c r="E3979" s="115" t="n">
        <x:v>24</x:v>
      </x:c>
      <x:c r="F3979" s="115" t="str">
        <x:v>Inspection physique</x:v>
      </x:c>
      <x:c r="G3979" s="115" t="str">
        <x:v>1 niveaux ; 32 pièces ; 248 segments de mur ; 0 transitions. Inspection physique ; architecture complète encore ouverte.</x:v>
      </x:c>
      <x:c r="H3979" s="115" t="str">
        <x:v>L 884 ; l 920 ; hauteur 8 m ; choix de composition auteur ; dimensions réelles à documenter</x:v>
      </x:c>
      <x:c r="I3979" s="115" t="str">
        <x:v>À équilibrer</x:v>
      </x:c>
      <x:c r="J3979" s="115" t="str">
        <x:v>Non</x:v>
      </x:c>
      <x:c r="K3979" s="115" t="str">
        <x:v>Pièces décrites, murs, portes, niveaux et mobilier inspectables à l’échelle. Volumes réservés, raccord au seed, butin, rencontres et services de campagne restent à terminer.</x:v>
      </x:c>
    </x:row>
    <x:row r="3980" ht="96" customHeight="1">
      <x:c r="A3980" s="115" t="str">
        <x:v>EXT-MONDE-T080-V25</x:v>
      </x:c>
      <x:c r="B3980" s="115" t="str">
        <x:v>EXT-MONDE-T080</x:v>
      </x:c>
      <x:c r="C3980" s="115" t="str">
        <x:v>Îles</x:v>
      </x:c>
      <x:c r="D3980" s="115" t="str">
        <x:v>Grande île mixte</x:v>
      </x:c>
      <x:c r="E3980" s="115" t="n">
        <x:v>25</x:v>
      </x:c>
      <x:c r="F3980" s="115" t="str">
        <x:v>Inspection physique</x:v>
      </x:c>
      <x:c r="G3980" s="115" t="str">
        <x:v>1 niveaux ; 32 pièces ; 248 segments de mur ; 0 transitions. Inspection physique ; architecture complète encore ouverte.</x:v>
      </x:c>
      <x:c r="H3980" s="115" t="str">
        <x:v>L 884 ; l 920 ; hauteur 8 m ; choix de composition auteur ; dimensions réelles à documenter</x:v>
      </x:c>
      <x:c r="I3980" s="115" t="str">
        <x:v>À équilibrer</x:v>
      </x:c>
      <x:c r="J3980" s="115" t="str">
        <x:v>Non</x:v>
      </x:c>
      <x:c r="K3980" s="115" t="str">
        <x:v>Pièces décrites, murs, portes, niveaux et mobilier inspectables à l’échelle. Volumes réservés, raccord au seed, butin, rencontres et services de campagne restent à terminer.</x:v>
      </x:c>
    </x:row>
    <x:row r="3981" ht="96" customHeight="1">
      <x:c r="A3981" s="115" t="str">
        <x:v>EXT-MONDE-T080-V26</x:v>
      </x:c>
      <x:c r="B3981" s="115" t="str">
        <x:v>EXT-MONDE-T080</x:v>
      </x:c>
      <x:c r="C3981" s="115" t="str">
        <x:v>Îles</x:v>
      </x:c>
      <x:c r="D3981" s="115" t="str">
        <x:v>Grande île mixte</x:v>
      </x:c>
      <x:c r="E3981" s="115" t="n">
        <x:v>26</x:v>
      </x:c>
      <x:c r="F3981" s="115" t="str">
        <x:v>Inspection physique</x:v>
      </x:c>
      <x:c r="G3981" s="115" t="str">
        <x:v>1 niveaux ; 32 pièces ; 248 segments de mur ; 0 transitions. Inspection physique ; architecture complète encore ouverte.</x:v>
      </x:c>
      <x:c r="H3981" s="115" t="str">
        <x:v>L 884 ; l 920 ; hauteur 8 m ; choix de composition auteur ; dimensions réelles à documenter</x:v>
      </x:c>
      <x:c r="I3981" s="115" t="str">
        <x:v>À équilibrer</x:v>
      </x:c>
      <x:c r="J3981" s="115" t="str">
        <x:v>Non</x:v>
      </x:c>
      <x:c r="K3981" s="115" t="str">
        <x:v>Pièces décrites, murs, portes, niveaux et mobilier inspectables à l’échelle. Volumes réservés, raccord au seed, butin, rencontres et services de campagne restent à terminer.</x:v>
      </x:c>
    </x:row>
    <x:row r="3982" ht="96" customHeight="1">
      <x:c r="A3982" s="115" t="str">
        <x:v>EXT-MONDE-T080-V27</x:v>
      </x:c>
      <x:c r="B3982" s="115" t="str">
        <x:v>EXT-MONDE-T080</x:v>
      </x:c>
      <x:c r="C3982" s="115" t="str">
        <x:v>Îles</x:v>
      </x:c>
      <x:c r="D3982" s="115" t="str">
        <x:v>Grande île mixte</x:v>
      </x:c>
      <x:c r="E3982" s="115" t="n">
        <x:v>27</x:v>
      </x:c>
      <x:c r="F3982" s="115" t="str">
        <x:v>Inspection physique</x:v>
      </x:c>
      <x:c r="G3982" s="115" t="str">
        <x:v>1 niveaux ; 32 pièces ; 248 segments de mur ; 0 transitions. Inspection physique ; architecture complète encore ouverte.</x:v>
      </x:c>
      <x:c r="H3982" s="115" t="str">
        <x:v>L 884 ; l 920 ; hauteur 8 m ; choix de composition auteur ; dimensions réelles à documenter</x:v>
      </x:c>
      <x:c r="I3982" s="115" t="str">
        <x:v>À équilibrer</x:v>
      </x:c>
      <x:c r="J3982" s="115" t="str">
        <x:v>Non</x:v>
      </x:c>
      <x:c r="K3982" s="115" t="str">
        <x:v>Pièces décrites, murs, portes, niveaux et mobilier inspectables à l’échelle. Volumes réservés, raccord au seed, butin, rencontres et services de campagne restent à terminer.</x:v>
      </x:c>
    </x:row>
    <x:row r="3983" ht="96" customHeight="1">
      <x:c r="A3983" s="115" t="str">
        <x:v>EXT-MONDE-T080-V28</x:v>
      </x:c>
      <x:c r="B3983" s="115" t="str">
        <x:v>EXT-MONDE-T080</x:v>
      </x:c>
      <x:c r="C3983" s="115" t="str">
        <x:v>Îles</x:v>
      </x:c>
      <x:c r="D3983" s="115" t="str">
        <x:v>Grande île mixte</x:v>
      </x:c>
      <x:c r="E3983" s="115" t="n">
        <x:v>28</x:v>
      </x:c>
      <x:c r="F3983" s="115" t="str">
        <x:v>Inspection physique</x:v>
      </x:c>
      <x:c r="G3983" s="115" t="str">
        <x:v>1 niveaux ; 32 pièces ; 248 segments de mur ; 0 transitions. Inspection physique ; architecture complète encore ouverte.</x:v>
      </x:c>
      <x:c r="H3983" s="115" t="str">
        <x:v>L 884 ; l 920 ; hauteur 8 m ; choix de composition auteur ; dimensions réelles à documenter</x:v>
      </x:c>
      <x:c r="I3983" s="115" t="str">
        <x:v>À équilibrer</x:v>
      </x:c>
      <x:c r="J3983" s="115" t="str">
        <x:v>Non</x:v>
      </x:c>
      <x:c r="K3983" s="115" t="str">
        <x:v>Pièces décrites, murs, portes, niveaux et mobilier inspectables à l’échelle. Volumes réservés, raccord au seed, butin, rencontres et services de campagne restent à terminer.</x:v>
      </x:c>
    </x:row>
    <x:row r="3984" ht="96" customHeight="1">
      <x:c r="A3984" s="115" t="str">
        <x:v>EXT-MONDE-T080-V29</x:v>
      </x:c>
      <x:c r="B3984" s="115" t="str">
        <x:v>EXT-MONDE-T080</x:v>
      </x:c>
      <x:c r="C3984" s="115" t="str">
        <x:v>Îles</x:v>
      </x:c>
      <x:c r="D3984" s="115" t="str">
        <x:v>Grande île mixte</x:v>
      </x:c>
      <x:c r="E3984" s="115" t="n">
        <x:v>29</x:v>
      </x:c>
      <x:c r="F3984" s="115" t="str">
        <x:v>Inspection physique</x:v>
      </x:c>
      <x:c r="G3984" s="115" t="str">
        <x:v>1 niveaux ; 32 pièces ; 248 segments de mur ; 0 transitions. Inspection physique ; architecture complète encore ouverte.</x:v>
      </x:c>
      <x:c r="H3984" s="115" t="str">
        <x:v>L 884 ; l 920 ; hauteur 8 m ; choix de composition auteur ; dimensions réelles à documenter</x:v>
      </x:c>
      <x:c r="I3984" s="115" t="str">
        <x:v>À équilibrer</x:v>
      </x:c>
      <x:c r="J3984" s="115" t="str">
        <x:v>Non</x:v>
      </x:c>
      <x:c r="K3984" s="115" t="str">
        <x:v>Pièces décrites, murs, portes, niveaux et mobilier inspectables à l’échelle. Volumes réservés, raccord au seed, butin, rencontres et services de campagne restent à terminer.</x:v>
      </x:c>
    </x:row>
    <x:row r="3985" ht="96" customHeight="1">
      <x:c r="A3985" s="115" t="str">
        <x:v>EXT-MONDE-T080-V30</x:v>
      </x:c>
      <x:c r="B3985" s="115" t="str">
        <x:v>EXT-MONDE-T080</x:v>
      </x:c>
      <x:c r="C3985" s="115" t="str">
        <x:v>Îles</x:v>
      </x:c>
      <x:c r="D3985" s="115" t="str">
        <x:v>Grande île mixte</x:v>
      </x:c>
      <x:c r="E3985" s="115" t="n">
        <x:v>30</x:v>
      </x:c>
      <x:c r="F3985" s="115" t="str">
        <x:v>Inspection physique</x:v>
      </x:c>
      <x:c r="G3985" s="115" t="str">
        <x:v>1 niveaux ; 32 pièces ; 248 segments de mur ; 0 transitions. Inspection physique ; architecture complète encore ouverte.</x:v>
      </x:c>
      <x:c r="H3985" s="115" t="str">
        <x:v>L 884 ; l 920 ; hauteur 8 m ; choix de composition auteur ; dimensions réelles à documenter</x:v>
      </x:c>
      <x:c r="I3985" s="115" t="str">
        <x:v>À équilibrer</x:v>
      </x:c>
      <x:c r="J3985" s="115" t="str">
        <x:v>Non</x:v>
      </x:c>
      <x:c r="K3985" s="115" t="str">
        <x:v>Pièces décrites, murs, portes, niveaux et mobilier inspectables à l’échelle. Volumes réservés, raccord au seed, butin, rencontres et services de campagne restent à terminer.</x:v>
      </x:c>
    </x:row>
    <x:row r="3986" ht="96" customHeight="1">
      <x:c r="A3986" s="115" t="str">
        <x:v>EXT-MONDE-T080-V31</x:v>
      </x:c>
      <x:c r="B3986" s="115" t="str">
        <x:v>EXT-MONDE-T080</x:v>
      </x:c>
      <x:c r="C3986" s="115" t="str">
        <x:v>Îles</x:v>
      </x:c>
      <x:c r="D3986" s="115" t="str">
        <x:v>Grande île mixte</x:v>
      </x:c>
      <x:c r="E3986" s="115" t="n">
        <x:v>31</x:v>
      </x:c>
      <x:c r="F3986" s="115" t="str">
        <x:v>Inspection physique</x:v>
      </x:c>
      <x:c r="G3986" s="115" t="str">
        <x:v>1 niveaux ; 32 pièces ; 248 segments de mur ; 0 transitions. Inspection physique ; architecture complète encore ouverte.</x:v>
      </x:c>
      <x:c r="H3986" s="115" t="str">
        <x:v>L 898 ; l 932 ; hauteur 8 m ; choix de composition auteur ; dimensions réelles à documenter</x:v>
      </x:c>
      <x:c r="I3986" s="115" t="str">
        <x:v>À équilibrer</x:v>
      </x:c>
      <x:c r="J3986" s="115" t="str">
        <x:v>Non</x:v>
      </x:c>
      <x:c r="K3986" s="115" t="str">
        <x:v>Pièces décrites, murs, portes, niveaux et mobilier inspectables à l’échelle. Volumes réservés, raccord au seed, butin, rencontres et services de campagne restent à terminer.</x:v>
      </x:c>
    </x:row>
    <x:row r="3987" ht="96" customHeight="1">
      <x:c r="A3987" s="115" t="str">
        <x:v>EXT-MONDE-T080-V32</x:v>
      </x:c>
      <x:c r="B3987" s="115" t="str">
        <x:v>EXT-MONDE-T080</x:v>
      </x:c>
      <x:c r="C3987" s="115" t="str">
        <x:v>Îles</x:v>
      </x:c>
      <x:c r="D3987" s="115" t="str">
        <x:v>Grande île mixte</x:v>
      </x:c>
      <x:c r="E3987" s="115" t="n">
        <x:v>32</x:v>
      </x:c>
      <x:c r="F3987" s="115" t="str">
        <x:v>Inspection physique</x:v>
      </x:c>
      <x:c r="G3987" s="115" t="str">
        <x:v>1 niveaux ; 32 pièces ; 248 segments de mur ; 0 transitions. Inspection physique ; architecture complète encore ouverte.</x:v>
      </x:c>
      <x:c r="H3987" s="115" t="str">
        <x:v>L 898 ; l 932 ; hauteur 8 m ; choix de composition auteur ; dimensions réelles à documenter</x:v>
      </x:c>
      <x:c r="I3987" s="115" t="str">
        <x:v>À équilibrer</x:v>
      </x:c>
      <x:c r="J3987" s="115" t="str">
        <x:v>Non</x:v>
      </x:c>
      <x:c r="K3987" s="115" t="str">
        <x:v>Pièces décrites, murs, portes, niveaux et mobilier inspectables à l’échelle. Volumes réservés, raccord au seed, butin, rencontres et services de campagne restent à terminer.</x:v>
      </x:c>
    </x:row>
    <x:row r="3988" ht="96" customHeight="1">
      <x:c r="A3988" s="115" t="str">
        <x:v>EXT-MONDE-T080-V33</x:v>
      </x:c>
      <x:c r="B3988" s="115" t="str">
        <x:v>EXT-MONDE-T080</x:v>
      </x:c>
      <x:c r="C3988" s="115" t="str">
        <x:v>Îles</x:v>
      </x:c>
      <x:c r="D3988" s="115" t="str">
        <x:v>Grande île mixte</x:v>
      </x:c>
      <x:c r="E3988" s="115" t="n">
        <x:v>33</x:v>
      </x:c>
      <x:c r="F3988" s="115" t="str">
        <x:v>Inspection physique</x:v>
      </x:c>
      <x:c r="G3988" s="115" t="str">
        <x:v>1 niveaux ; 32 pièces ; 248 segments de mur ; 0 transitions. Inspection physique ; architecture complète encore ouverte.</x:v>
      </x:c>
      <x:c r="H3988" s="115" t="str">
        <x:v>L 898 ; l 932 ; hauteur 8 m ; choix de composition auteur ; dimensions réelles à documenter</x:v>
      </x:c>
      <x:c r="I3988" s="115" t="str">
        <x:v>À équilibrer</x:v>
      </x:c>
      <x:c r="J3988" s="115" t="str">
        <x:v>Non</x:v>
      </x:c>
      <x:c r="K3988" s="115" t="str">
        <x:v>Pièces décrites, murs, portes, niveaux et mobilier inspectables à l’échelle. Volumes réservés, raccord au seed, butin, rencontres et services de campagne restent à terminer.</x:v>
      </x:c>
    </x:row>
    <x:row r="3989" ht="96" customHeight="1">
      <x:c r="A3989" s="115" t="str">
        <x:v>EXT-MONDE-T080-V34</x:v>
      </x:c>
      <x:c r="B3989" s="115" t="str">
        <x:v>EXT-MONDE-T080</x:v>
      </x:c>
      <x:c r="C3989" s="115" t="str">
        <x:v>Îles</x:v>
      </x:c>
      <x:c r="D3989" s="115" t="str">
        <x:v>Grande île mixte</x:v>
      </x:c>
      <x:c r="E3989" s="115" t="n">
        <x:v>34</x:v>
      </x:c>
      <x:c r="F3989" s="115" t="str">
        <x:v>Inspection physique</x:v>
      </x:c>
      <x:c r="G3989" s="115" t="str">
        <x:v>1 niveaux ; 32 pièces ; 248 segments de mur ; 0 transitions. Inspection physique ; architecture complète encore ouverte.</x:v>
      </x:c>
      <x:c r="H3989" s="115" t="str">
        <x:v>L 898 ; l 932 ; hauteur 8 m ; choix de composition auteur ; dimensions réelles à documenter</x:v>
      </x:c>
      <x:c r="I3989" s="115" t="str">
        <x:v>À équilibrer</x:v>
      </x:c>
      <x:c r="J3989" s="115" t="str">
        <x:v>Non</x:v>
      </x:c>
      <x:c r="K3989" s="115" t="str">
        <x:v>Pièces décrites, murs, portes, niveaux et mobilier inspectables à l’échelle. Volumes réservés, raccord au seed, butin, rencontres et services de campagne restent à terminer.</x:v>
      </x:c>
    </x:row>
    <x:row r="3990" ht="96" customHeight="1">
      <x:c r="A3990" s="115" t="str">
        <x:v>EXT-MONDE-T080-V35</x:v>
      </x:c>
      <x:c r="B3990" s="115" t="str">
        <x:v>EXT-MONDE-T080</x:v>
      </x:c>
      <x:c r="C3990" s="115" t="str">
        <x:v>Îles</x:v>
      </x:c>
      <x:c r="D3990" s="115" t="str">
        <x:v>Grande île mixte</x:v>
      </x:c>
      <x:c r="E3990" s="115" t="n">
        <x:v>35</x:v>
      </x:c>
      <x:c r="F3990" s="115" t="str">
        <x:v>Inspection physique</x:v>
      </x:c>
      <x:c r="G3990" s="115" t="str">
        <x:v>1 niveaux ; 32 pièces ; 248 segments de mur ; 0 transitions. Inspection physique ; architecture complète encore ouverte.</x:v>
      </x:c>
      <x:c r="H3990" s="115" t="str">
        <x:v>L 898 ; l 932 ; hauteur 8 m ; choix de composition auteur ; dimensions réelles à documenter</x:v>
      </x:c>
      <x:c r="I3990" s="115" t="str">
        <x:v>À équilibrer</x:v>
      </x:c>
      <x:c r="J3990" s="115" t="str">
        <x:v>Non</x:v>
      </x:c>
      <x:c r="K3990" s="115" t="str">
        <x:v>Pièces décrites, murs, portes, niveaux et mobilier inspectables à l’échelle. Volumes réservés, raccord au seed, butin, rencontres et services de campagne restent à terminer.</x:v>
      </x:c>
    </x:row>
    <x:row r="3991" ht="96" customHeight="1">
      <x:c r="A3991" s="115" t="str">
        <x:v>EXT-MONDE-T080-V36</x:v>
      </x:c>
      <x:c r="B3991" s="115" t="str">
        <x:v>EXT-MONDE-T080</x:v>
      </x:c>
      <x:c r="C3991" s="115" t="str">
        <x:v>Îles</x:v>
      </x:c>
      <x:c r="D3991" s="115" t="str">
        <x:v>Grande île mixte</x:v>
      </x:c>
      <x:c r="E3991" s="115" t="n">
        <x:v>36</x:v>
      </x:c>
      <x:c r="F3991" s="115" t="str">
        <x:v>Inspection physique</x:v>
      </x:c>
      <x:c r="G3991" s="115" t="str">
        <x:v>1 niveaux ; 32 pièces ; 248 segments de mur ; 0 transitions. Inspection physique ; architecture complète encore ouverte.</x:v>
      </x:c>
      <x:c r="H3991" s="115" t="str">
        <x:v>L 898 ; l 932 ; hauteur 8 m ; choix de composition auteur ; dimensions réelles à documenter</x:v>
      </x:c>
      <x:c r="I3991" s="115" t="str">
        <x:v>À équilibrer</x:v>
      </x:c>
      <x:c r="J3991" s="115" t="str">
        <x:v>Non</x:v>
      </x:c>
      <x:c r="K3991" s="115" t="str">
        <x:v>Pièces décrites, murs, portes, niveaux et mobilier inspectables à l’échelle. Volumes réservés, raccord au seed, butin, rencontres et services de campagne restent à terminer.</x:v>
      </x:c>
    </x:row>
    <x:row r="3992" ht="96" customHeight="1">
      <x:c r="A3992" s="115" t="str">
        <x:v>EXT-MONDE-T080-V37</x:v>
      </x:c>
      <x:c r="B3992" s="115" t="str">
        <x:v>EXT-MONDE-T080</x:v>
      </x:c>
      <x:c r="C3992" s="115" t="str">
        <x:v>Îles</x:v>
      </x:c>
      <x:c r="D3992" s="115" t="str">
        <x:v>Grande île mixte</x:v>
      </x:c>
      <x:c r="E3992" s="115" t="n">
        <x:v>37</x:v>
      </x:c>
      <x:c r="F3992" s="115" t="str">
        <x:v>Inspection physique</x:v>
      </x:c>
      <x:c r="G3992" s="115" t="str">
        <x:v>1 niveaux ; 32 pièces ; 248 segments de mur ; 0 transitions. Inspection physique ; architecture complète encore ouverte.</x:v>
      </x:c>
      <x:c r="H3992" s="115" t="str">
        <x:v>L 898 ; l 932 ; hauteur 8 m ; choix de composition auteur ; dimensions réelles à documenter</x:v>
      </x:c>
      <x:c r="I3992" s="115" t="str">
        <x:v>À équilibrer</x:v>
      </x:c>
      <x:c r="J3992" s="115" t="str">
        <x:v>Non</x:v>
      </x:c>
      <x:c r="K3992" s="115" t="str">
        <x:v>Pièces décrites, murs, portes, niveaux et mobilier inspectables à l’échelle. Volumes réservés, raccord au seed, butin, rencontres et services de campagne restent à terminer.</x:v>
      </x:c>
    </x:row>
    <x:row r="3993" ht="96" customHeight="1">
      <x:c r="A3993" s="115" t="str">
        <x:v>EXT-MONDE-T080-V38</x:v>
      </x:c>
      <x:c r="B3993" s="115" t="str">
        <x:v>EXT-MONDE-T080</x:v>
      </x:c>
      <x:c r="C3993" s="115" t="str">
        <x:v>Îles</x:v>
      </x:c>
      <x:c r="D3993" s="115" t="str">
        <x:v>Grande île mixte</x:v>
      </x:c>
      <x:c r="E3993" s="115" t="n">
        <x:v>38</x:v>
      </x:c>
      <x:c r="F3993" s="115" t="str">
        <x:v>Inspection physique</x:v>
      </x:c>
      <x:c r="G3993" s="115" t="str">
        <x:v>1 niveaux ; 32 pièces ; 248 segments de mur ; 0 transitions. Inspection physique ; architecture complète encore ouverte.</x:v>
      </x:c>
      <x:c r="H3993" s="115" t="str">
        <x:v>L 898 ; l 932 ; hauteur 8 m ; choix de composition auteur ; dimensions réelles à documenter</x:v>
      </x:c>
      <x:c r="I3993" s="115" t="str">
        <x:v>À équilibrer</x:v>
      </x:c>
      <x:c r="J3993" s="115" t="str">
        <x:v>Non</x:v>
      </x:c>
      <x:c r="K3993" s="115" t="str">
        <x:v>Pièces décrites, murs, portes, niveaux et mobilier inspectables à l’échelle. Volumes réservés, raccord au seed, butin, rencontres et services de campagne restent à terminer.</x:v>
      </x:c>
    </x:row>
    <x:row r="3994" ht="96" customHeight="1">
      <x:c r="A3994" s="115" t="str">
        <x:v>EXT-MONDE-T080-V39</x:v>
      </x:c>
      <x:c r="B3994" s="115" t="str">
        <x:v>EXT-MONDE-T080</x:v>
      </x:c>
      <x:c r="C3994" s="115" t="str">
        <x:v>Îles</x:v>
      </x:c>
      <x:c r="D3994" s="115" t="str">
        <x:v>Grande île mixte</x:v>
      </x:c>
      <x:c r="E3994" s="115" t="n">
        <x:v>39</x:v>
      </x:c>
      <x:c r="F3994" s="115" t="str">
        <x:v>Inspection physique</x:v>
      </x:c>
      <x:c r="G3994" s="115" t="str">
        <x:v>1 niveaux ; 32 pièces ; 248 segments de mur ; 0 transitions. Inspection physique ; architecture complète encore ouverte.</x:v>
      </x:c>
      <x:c r="H3994" s="115" t="str">
        <x:v>L 898 ; l 932 ; hauteur 8 m ; choix de composition auteur ; dimensions réelles à documenter</x:v>
      </x:c>
      <x:c r="I3994" s="115" t="str">
        <x:v>À équilibrer</x:v>
      </x:c>
      <x:c r="J3994" s="115" t="str">
        <x:v>Non</x:v>
      </x:c>
      <x:c r="K3994" s="115" t="str">
        <x:v>Pièces décrites, murs, portes, niveaux et mobilier inspectables à l’échelle. Volumes réservés, raccord au seed, butin, rencontres et services de campagne restent à terminer.</x:v>
      </x:c>
    </x:row>
    <x:row r="3995" ht="96" customHeight="1">
      <x:c r="A3995" s="115" t="str">
        <x:v>EXT-MONDE-T080-V40</x:v>
      </x:c>
      <x:c r="B3995" s="115" t="str">
        <x:v>EXT-MONDE-T080</x:v>
      </x:c>
      <x:c r="C3995" s="115" t="str">
        <x:v>Îles</x:v>
      </x:c>
      <x:c r="D3995" s="115" t="str">
        <x:v>Grande île mixte</x:v>
      </x:c>
      <x:c r="E3995" s="115" t="n">
        <x:v>40</x:v>
      </x:c>
      <x:c r="F3995" s="115" t="str">
        <x:v>Inspection physique</x:v>
      </x:c>
      <x:c r="G3995" s="115" t="str">
        <x:v>1 niveaux ; 32 pièces ; 248 segments de mur ; 0 transitions. Inspection physique ; architecture complète encore ouverte.</x:v>
      </x:c>
      <x:c r="H3995" s="115" t="str">
        <x:v>L 898 ; l 932 ; hauteur 8 m ; choix de composition auteur ; dimensions réelles à documenter</x:v>
      </x:c>
      <x:c r="I3995" s="115" t="str">
        <x:v>À équilibrer</x:v>
      </x:c>
      <x:c r="J3995" s="115" t="str">
        <x:v>Non</x:v>
      </x:c>
      <x:c r="K3995" s="115" t="str">
        <x:v>Pièces décrites, murs, portes, niveaux et mobilier inspectables à l’échelle. Volumes réservés, raccord au seed, butin, rencontres et services de campagne restent à terminer.</x:v>
      </x:c>
    </x:row>
    <x:row r="3996" ht="96" customHeight="1">
      <x:c r="A3996" s="115" t="str">
        <x:v>EXT-MONDE-T080-V41</x:v>
      </x:c>
      <x:c r="B3996" s="115" t="str">
        <x:v>EXT-MONDE-T080</x:v>
      </x:c>
      <x:c r="C3996" s="115" t="str">
        <x:v>Îles</x:v>
      </x:c>
      <x:c r="D3996" s="115" t="str">
        <x:v>Grande île mixte</x:v>
      </x:c>
      <x:c r="E3996" s="115" t="n">
        <x:v>41</x:v>
      </x:c>
      <x:c r="F3996" s="115" t="str">
        <x:v>Inspection physique</x:v>
      </x:c>
      <x:c r="G3996" s="115" t="str">
        <x:v>1 niveaux ; 32 pièces ; 248 segments de mur ; 0 transitions. Inspection physique ; architecture complète encore ouverte.</x:v>
      </x:c>
      <x:c r="H3996" s="115" t="str">
        <x:v>L 912 ; l 944 ; hauteur 8 m ; choix de composition auteur ; dimensions réelles à documenter</x:v>
      </x:c>
      <x:c r="I3996" s="115" t="str">
        <x:v>À équilibrer</x:v>
      </x:c>
      <x:c r="J3996" s="115" t="str">
        <x:v>Non</x:v>
      </x:c>
      <x:c r="K3996" s="115" t="str">
        <x:v>Pièces décrites, murs, portes, niveaux et mobilier inspectables à l’échelle. Volumes réservés, raccord au seed, butin, rencontres et services de campagne restent à terminer.</x:v>
      </x:c>
    </x:row>
    <x:row r="3997" ht="96" customHeight="1">
      <x:c r="A3997" s="115" t="str">
        <x:v>EXT-MONDE-T080-V42</x:v>
      </x:c>
      <x:c r="B3997" s="115" t="str">
        <x:v>EXT-MONDE-T080</x:v>
      </x:c>
      <x:c r="C3997" s="115" t="str">
        <x:v>Îles</x:v>
      </x:c>
      <x:c r="D3997" s="115" t="str">
        <x:v>Grande île mixte</x:v>
      </x:c>
      <x:c r="E3997" s="115" t="n">
        <x:v>42</x:v>
      </x:c>
      <x:c r="F3997" s="115" t="str">
        <x:v>Inspection physique</x:v>
      </x:c>
      <x:c r="G3997" s="115" t="str">
        <x:v>1 niveaux ; 32 pièces ; 248 segments de mur ; 0 transitions. Inspection physique ; architecture complète encore ouverte.</x:v>
      </x:c>
      <x:c r="H3997" s="115" t="str">
        <x:v>L 912 ; l 944 ; hauteur 8 m ; choix de composition auteur ; dimensions réelles à documenter</x:v>
      </x:c>
      <x:c r="I3997" s="115" t="str">
        <x:v>À équilibrer</x:v>
      </x:c>
      <x:c r="J3997" s="115" t="str">
        <x:v>Non</x:v>
      </x:c>
      <x:c r="K3997" s="115" t="str">
        <x:v>Pièces décrites, murs, portes, niveaux et mobilier inspectables à l’échelle. Volumes réservés, raccord au seed, butin, rencontres et services de campagne restent à terminer.</x:v>
      </x:c>
    </x:row>
    <x:row r="3998" ht="96" customHeight="1">
      <x:c r="A3998" s="115" t="str">
        <x:v>EXT-MONDE-T080-V43</x:v>
      </x:c>
      <x:c r="B3998" s="115" t="str">
        <x:v>EXT-MONDE-T080</x:v>
      </x:c>
      <x:c r="C3998" s="115" t="str">
        <x:v>Îles</x:v>
      </x:c>
      <x:c r="D3998" s="115" t="str">
        <x:v>Grande île mixte</x:v>
      </x:c>
      <x:c r="E3998" s="115" t="n">
        <x:v>43</x:v>
      </x:c>
      <x:c r="F3998" s="115" t="str">
        <x:v>Inspection physique</x:v>
      </x:c>
      <x:c r="G3998" s="115" t="str">
        <x:v>1 niveaux ; 32 pièces ; 248 segments de mur ; 0 transitions. Inspection physique ; architecture complète encore ouverte.</x:v>
      </x:c>
      <x:c r="H3998" s="115" t="str">
        <x:v>L 912 ; l 944 ; hauteur 8 m ; choix de composition auteur ; dimensions réelles à documenter</x:v>
      </x:c>
      <x:c r="I3998" s="115" t="str">
        <x:v>À équilibrer</x:v>
      </x:c>
      <x:c r="J3998" s="115" t="str">
        <x:v>Non</x:v>
      </x:c>
      <x:c r="K3998" s="115" t="str">
        <x:v>Pièces décrites, murs, portes, niveaux et mobilier inspectables à l’échelle. Volumes réservés, raccord au seed, butin, rencontres et services de campagne restent à terminer.</x:v>
      </x:c>
    </x:row>
    <x:row r="3999" ht="96" customHeight="1">
      <x:c r="A3999" s="115" t="str">
        <x:v>EXT-MONDE-T080-V44</x:v>
      </x:c>
      <x:c r="B3999" s="115" t="str">
        <x:v>EXT-MONDE-T080</x:v>
      </x:c>
      <x:c r="C3999" s="115" t="str">
        <x:v>Îles</x:v>
      </x:c>
      <x:c r="D3999" s="115" t="str">
        <x:v>Grande île mixte</x:v>
      </x:c>
      <x:c r="E3999" s="115" t="n">
        <x:v>44</x:v>
      </x:c>
      <x:c r="F3999" s="115" t="str">
        <x:v>Inspection physique</x:v>
      </x:c>
      <x:c r="G3999" s="115" t="str">
        <x:v>1 niveaux ; 32 pièces ; 248 segments de mur ; 0 transitions. Inspection physique ; architecture complète encore ouverte.</x:v>
      </x:c>
      <x:c r="H3999" s="115" t="str">
        <x:v>L 912 ; l 944 ; hauteur 8 m ; choix de composition auteur ; dimensions réelles à documenter</x:v>
      </x:c>
      <x:c r="I3999" s="115" t="str">
        <x:v>À équilibrer</x:v>
      </x:c>
      <x:c r="J3999" s="115" t="str">
        <x:v>Non</x:v>
      </x:c>
      <x:c r="K3999" s="115" t="str">
        <x:v>Pièces décrites, murs, portes, niveaux et mobilier inspectables à l’échelle. Volumes réservés, raccord au seed, butin, rencontres et services de campagne restent à terminer.</x:v>
      </x:c>
    </x:row>
    <x:row r="4000" ht="96" customHeight="1">
      <x:c r="A4000" s="115" t="str">
        <x:v>EXT-MONDE-T080-V45</x:v>
      </x:c>
      <x:c r="B4000" s="115" t="str">
        <x:v>EXT-MONDE-T080</x:v>
      </x:c>
      <x:c r="C4000" s="115" t="str">
        <x:v>Îles</x:v>
      </x:c>
      <x:c r="D4000" s="115" t="str">
        <x:v>Grande île mixte</x:v>
      </x:c>
      <x:c r="E4000" s="115" t="n">
        <x:v>45</x:v>
      </x:c>
      <x:c r="F4000" s="115" t="str">
        <x:v>Inspection physique</x:v>
      </x:c>
      <x:c r="G4000" s="115" t="str">
        <x:v>1 niveaux ; 32 pièces ; 248 segments de mur ; 0 transitions. Inspection physique ; architecture complète encore ouverte.</x:v>
      </x:c>
      <x:c r="H4000" s="115" t="str">
        <x:v>L 912 ; l 944 ; hauteur 8 m ; choix de composition auteur ; dimensions réelles à documenter</x:v>
      </x:c>
      <x:c r="I4000" s="115" t="str">
        <x:v>À équilibrer</x:v>
      </x:c>
      <x:c r="J4000" s="115" t="str">
        <x:v>Non</x:v>
      </x:c>
      <x:c r="K4000" s="115" t="str">
        <x:v>Pièces décrites, murs, portes, niveaux et mobilier inspectables à l’échelle. Volumes réservés, raccord au seed, butin, rencontres et services de campagne restent à terminer.</x:v>
      </x:c>
    </x:row>
    <x:row r="4001" ht="96" customHeight="1">
      <x:c r="A4001" s="115" t="str">
        <x:v>EXT-MONDE-T080-V46</x:v>
      </x:c>
      <x:c r="B4001" s="115" t="str">
        <x:v>EXT-MONDE-T080</x:v>
      </x:c>
      <x:c r="C4001" s="115" t="str">
        <x:v>Îles</x:v>
      </x:c>
      <x:c r="D4001" s="115" t="str">
        <x:v>Grande île mixte</x:v>
      </x:c>
      <x:c r="E4001" s="115" t="n">
        <x:v>46</x:v>
      </x:c>
      <x:c r="F4001" s="115" t="str">
        <x:v>Inspection physique</x:v>
      </x:c>
      <x:c r="G4001" s="115" t="str">
        <x:v>1 niveaux ; 32 pièces ; 248 segments de mur ; 0 transitions. Inspection physique ; architecture complète encore ouverte.</x:v>
      </x:c>
      <x:c r="H4001" s="115" t="str">
        <x:v>L 912 ; l 944 ; hauteur 8 m ; choix de composition auteur ; dimensions réelles à documenter</x:v>
      </x:c>
      <x:c r="I4001" s="115" t="str">
        <x:v>À équilibrer</x:v>
      </x:c>
      <x:c r="J4001" s="115" t="str">
        <x:v>Non</x:v>
      </x:c>
      <x:c r="K4001" s="115" t="str">
        <x:v>Pièces décrites, murs, portes, niveaux et mobilier inspectables à l’échelle. Volumes réservés, raccord au seed, butin, rencontres et services de campagne restent à terminer.</x:v>
      </x:c>
    </x:row>
    <x:row r="4002" ht="96" customHeight="1">
      <x:c r="A4002" s="115" t="str">
        <x:v>EXT-MONDE-T080-V47</x:v>
      </x:c>
      <x:c r="B4002" s="115" t="str">
        <x:v>EXT-MONDE-T080</x:v>
      </x:c>
      <x:c r="C4002" s="115" t="str">
        <x:v>Îles</x:v>
      </x:c>
      <x:c r="D4002" s="115" t="str">
        <x:v>Grande île mixte</x:v>
      </x:c>
      <x:c r="E4002" s="115" t="n">
        <x:v>47</x:v>
      </x:c>
      <x:c r="F4002" s="115" t="str">
        <x:v>Inspection physique</x:v>
      </x:c>
      <x:c r="G4002" s="115" t="str">
        <x:v>1 niveaux ; 32 pièces ; 248 segments de mur ; 0 transitions. Inspection physique ; architecture complète encore ouverte.</x:v>
      </x:c>
      <x:c r="H4002" s="115" t="str">
        <x:v>L 912 ; l 944 ; hauteur 8 m ; choix de composition auteur ; dimensions réelles à documenter</x:v>
      </x:c>
      <x:c r="I4002" s="115" t="str">
        <x:v>À équilibrer</x:v>
      </x:c>
      <x:c r="J4002" s="115" t="str">
        <x:v>Non</x:v>
      </x:c>
      <x:c r="K4002" s="115" t="str">
        <x:v>Pièces décrites, murs, portes, niveaux et mobilier inspectables à l’échelle. Volumes réservés, raccord au seed, butin, rencontres et services de campagne restent à terminer.</x:v>
      </x:c>
    </x:row>
    <x:row r="4003" ht="96" customHeight="1">
      <x:c r="A4003" s="115" t="str">
        <x:v>EXT-MONDE-T080-V48</x:v>
      </x:c>
      <x:c r="B4003" s="115" t="str">
        <x:v>EXT-MONDE-T080</x:v>
      </x:c>
      <x:c r="C4003" s="115" t="str">
        <x:v>Îles</x:v>
      </x:c>
      <x:c r="D4003" s="115" t="str">
        <x:v>Grande île mixte</x:v>
      </x:c>
      <x:c r="E4003" s="115" t="n">
        <x:v>48</x:v>
      </x:c>
      <x:c r="F4003" s="115" t="str">
        <x:v>Inspection physique</x:v>
      </x:c>
      <x:c r="G4003" s="115" t="str">
        <x:v>1 niveaux ; 32 pièces ; 248 segments de mur ; 0 transitions. Inspection physique ; architecture complète encore ouverte.</x:v>
      </x:c>
      <x:c r="H4003" s="115" t="str">
        <x:v>L 912 ; l 944 ; hauteur 8 m ; choix de composition auteur ; dimensions réelles à documenter</x:v>
      </x:c>
      <x:c r="I4003" s="115" t="str">
        <x:v>À équilibrer</x:v>
      </x:c>
      <x:c r="J4003" s="115" t="str">
        <x:v>Non</x:v>
      </x:c>
      <x:c r="K4003" s="115" t="str">
        <x:v>Pièces décrites, murs, portes, niveaux et mobilier inspectables à l’échelle. Volumes réservés, raccord au seed, butin, rencontres et services de campagne restent à terminer.</x:v>
      </x:c>
    </x:row>
    <x:row r="4004" ht="96" customHeight="1">
      <x:c r="A4004" s="115" t="str">
        <x:v>EXT-MONDE-T080-V49</x:v>
      </x:c>
      <x:c r="B4004" s="115" t="str">
        <x:v>EXT-MONDE-T080</x:v>
      </x:c>
      <x:c r="C4004" s="115" t="str">
        <x:v>Îles</x:v>
      </x:c>
      <x:c r="D4004" s="115" t="str">
        <x:v>Grande île mixte</x:v>
      </x:c>
      <x:c r="E4004" s="115" t="n">
        <x:v>49</x:v>
      </x:c>
      <x:c r="F4004" s="115" t="str">
        <x:v>Inspection physique</x:v>
      </x:c>
      <x:c r="G4004" s="115" t="str">
        <x:v>1 niveaux ; 32 pièces ; 248 segments de mur ; 0 transitions. Inspection physique ; architecture complète encore ouverte.</x:v>
      </x:c>
      <x:c r="H4004" s="115" t="str">
        <x:v>L 912 ; l 944 ; hauteur 8 m ; choix de composition auteur ; dimensions réelles à documenter</x:v>
      </x:c>
      <x:c r="I4004" s="115" t="str">
        <x:v>À équilibrer</x:v>
      </x:c>
      <x:c r="J4004" s="115" t="str">
        <x:v>Non</x:v>
      </x:c>
      <x:c r="K4004" s="115" t="str">
        <x:v>Pièces décrites, murs, portes, niveaux et mobilier inspectables à l’échelle. Volumes réservés, raccord au seed, butin, rencontres et services de campagne restent à terminer.</x:v>
      </x:c>
    </x:row>
    <x:row r="4005" ht="96" customHeight="1">
      <x:c r="A4005" s="115" t="str">
        <x:v>EXT-MONDE-T080-V50</x:v>
      </x:c>
      <x:c r="B4005" s="115" t="str">
        <x:v>EXT-MONDE-T080</x:v>
      </x:c>
      <x:c r="C4005" s="115" t="str">
        <x:v>Îles</x:v>
      </x:c>
      <x:c r="D4005" s="115" t="str">
        <x:v>Grande île mixte</x:v>
      </x:c>
      <x:c r="E4005" s="115" t="n">
        <x:v>50</x:v>
      </x:c>
      <x:c r="F4005" s="115" t="str">
        <x:v>Inspection physique</x:v>
      </x:c>
      <x:c r="G4005" s="115" t="str">
        <x:v>1 niveaux ; 32 pièces ; 248 segments de mur ; 0 transitions. Inspection physique ; architecture complète encore ouverte.</x:v>
      </x:c>
      <x:c r="H4005" s="115" t="str">
        <x:v>L 912 ; l 944 ; hauteur 8 m ; choix de composition auteur ; dimensions réelles à documenter</x:v>
      </x:c>
      <x:c r="I4005" s="115" t="str">
        <x:v>À équilibrer</x:v>
      </x:c>
      <x:c r="J4005" s="115" t="str">
        <x:v>Non</x:v>
      </x:c>
      <x:c r="K4005" s="115" t="str">
        <x:v>Pièces décrites, murs, portes, niveaux et mobilier inspectables à l’échelle. Volumes réservés, raccord au seed, butin, rencontres et services de campagne restent à terminer.</x:v>
      </x:c>
    </x:row>
  </x:sheetData>
  <x:mergeCells>
    <x:mergeCell ref="A1:K1"/>
    <x:mergeCell ref="A2:K3"/>
  </x:mergeCells>
  <x:dataValidations count="1">
    <x:dataValidation type="list" sqref="F6:F4005">
      <x:formula1>"À concevoir,Gabarit métrique,Avant-projet maritime,Inspection physique,À vérifier"</x:formula1>
    </x:dataValidation>
  </x:dataValidations>
  <x:pageMargins left="0.7" right="0.7" top="0.75" bottom="0.75" header="0.3" footer="0.3"/>
  <x:tableParts count="1">
    <x:tablePart xmlns:r="http://schemas.openxmlformats.org/officeDocument/2006/relationships" r:id="R4ee9b4c0e34c48bb"/>
  </x:tableParts>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40" hidden="0" customWidth="1"/>
    <x:col min="2" max="2" width="24" hidden="0" customWidth="1"/>
    <x:col min="3" max="3" width="28" hidden="0" customWidth="1"/>
    <x:col min="4" max="4" width="40" hidden="0" customWidth="1"/>
    <x:col min="5" max="5" width="38" hidden="0" customWidth="1"/>
    <x:col min="6" max="6" width="14" hidden="0" customWidth="1"/>
    <x:col min="7" max="7" width="20" hidden="0" customWidth="1"/>
    <x:col min="8" max="8" width="24" hidden="0" customWidth="1"/>
    <x:col min="9" max="9" width="65" hidden="0" customWidth="1"/>
    <x:col min="10" max="10" width="45" hidden="0" customWidth="1"/>
  </x:cols>
  <x:sheetData>
    <x:row r="1" ht="32" customHeight="1">
      <x:c r="A1" s="3" t="str">
        <x:v>08  /  800 TÂCHES DE L’EXTENSION</x:v>
      </x:c>
      <x:c r="B1" s="3"/>
      <x:c r="C1" s="3"/>
      <x:c r="D1" s="3"/>
      <x:c r="E1" s="3"/>
      <x:c r="F1" s="3"/>
      <x:c r="G1" s="3"/>
      <x:c r="H1" s="3"/>
      <x:c r="I1" s="3"/>
      <x:c r="J1" s="3"/>
    </x:row>
    <x:row r="2" ht="20" customHeight="1">
      <x:c r="A2" s="9" t="str">
        <x:v>Dix étapes par typologie. Passer à « Validé » exige une preuve renseignée ; publier un catalogue ne termine pas les tâches d’architecture, de réseau ou de jouabilité.</x:v>
      </x:c>
      <x:c r="B2" s="9"/>
      <x:c r="C2" s="9"/>
      <x:c r="D2" s="9"/>
      <x:c r="E2" s="9"/>
      <x:c r="F2" s="9"/>
      <x:c r="G2" s="9"/>
      <x:c r="H2" s="9"/>
      <x:c r="I2" s="9"/>
      <x:c r="J2" s="9"/>
    </x:row>
    <x:row r="3" ht="20" customHeight="1">
      <x:c r="A3" s="9"/>
      <x:c r="B3" s="9"/>
      <x:c r="C3" s="9"/>
      <x:c r="D3" s="9"/>
      <x:c r="E3" s="9"/>
      <x:c r="F3" s="9"/>
      <x:c r="G3" s="9"/>
      <x:c r="H3" s="9"/>
      <x:c r="I3" s="9"/>
      <x:c r="J3" s="9"/>
    </x:row>
    <x:row r="5" ht="34" customHeight="1">
      <x:c r="A5" s="112" t="str">
        <x:v>ID tâche</x:v>
      </x:c>
      <x:c r="B5" s="112" t="str">
        <x:v>Typologie ID</x:v>
      </x:c>
      <x:c r="C5" s="112" t="str">
        <x:v>Domaine</x:v>
      </x:c>
      <x:c r="D5" s="112" t="str">
        <x:v>Typologie</x:v>
      </x:c>
      <x:c r="E5" s="112" t="str">
        <x:v>Livrable</x:v>
      </x:c>
      <x:c r="F5" s="112" t="str">
        <x:v>Priorité</x:v>
      </x:c>
      <x:c r="G5" s="112" t="str">
        <x:v>Statut</x:v>
      </x:c>
      <x:c r="H5" s="112" t="str">
        <x:v>Responsable</x:v>
      </x:c>
      <x:c r="I5" s="112" t="str">
        <x:v>Critère de réception</x:v>
      </x:c>
      <x:c r="J5" s="112" t="str">
        <x:v>Preuve / commit</x:v>
      </x:c>
    </x:row>
    <x:row r="6" ht="34" customHeight="1">
      <x:c r="A6" s="16" t="str">
        <x:v>EXT-MONDE-T001/dimensions</x:v>
      </x:c>
      <x:c r="B6" s="16" t="str">
        <x:v>EXT-MONDE-T001</x:v>
      </x:c>
      <x:c r="C6" s="16" t="str">
        <x:v>Lacs</x:v>
      </x:c>
      <x:c r="D6" s="16" t="str">
        <x:v>Base nautique lacustre</x:v>
      </x:c>
      <x:c r="E6" s="16" t="str">
        <x:v>Dimensions et plans de référence</x:v>
      </x:c>
      <x:c r="F6" s="16" t="str">
        <x:v>P0</x:v>
      </x:c>
      <x:c r="G6" s="16" t="str">
        <x:v>En cours</x:v>
      </x:c>
      <x:c r="H6" s="16" t="str">
        <x:v>Production Codex</x:v>
      </x:c>
      <x:c r="I6" s="16" t="str">
        <x:v>Sources publiques identifiées ; unités en mètres ; emprise au sol distincte de la hauteur.</x:v>
      </x:c>
      <x:c r="J6" s="16" t="str">
        <x:v>https://github.com/darknigthmare/deadwall-last-enclosure/blob/e28f46223e73105ab2c5d83f3d50b99b58ef53e6/docs/codex/suivi-monde2026/LACUSTRE_2026.md</x:v>
      </x:c>
    </x:row>
    <x:row r="7" ht="34" customHeight="1">
      <x:c r="A7" s="16" t="str">
        <x:v>EXT-MONDE-T001/architecture</x:v>
      </x:c>
      <x:c r="B7" s="16" t="str">
        <x:v>EXT-MONDE-T001</x:v>
      </x:c>
      <x:c r="C7" s="16" t="str">
        <x:v>Lacs</x:v>
      </x:c>
      <x:c r="D7" s="16" t="str">
        <x:v>Base nautique lacustre</x:v>
      </x:c>
      <x:c r="E7" s="16" t="str">
        <x:v>Pièces, étages, annexes</x:v>
      </x:c>
      <x:c r="F7" s="16" t="str">
        <x:v>P0</x:v>
      </x:c>
      <x:c r="G7" s="16" t="str">
        <x:v>En cours</x:v>
      </x:c>
      <x:c r="H7" s="16" t="str">
        <x:v>Production Codex</x:v>
      </x:c>
      <x:c r="I7" s="16" t="str">
        <x:v>Livrable explicite, tests positifs et négatifs ; aucune validation déduite de la seule présence de la fiche.</x:v>
      </x:c>
      <x:c r="J7" s="16" t="str">
        <x:v>https://github.com/darknigthmare/deadwall-last-enclosure/blob/e28f46223e73105ab2c5d83f3d50b99b58ef53e6/docs/codex/suivi-monde2026/INSPECTION_PHYSIQUE_2026.md</x:v>
      </x:c>
    </x:row>
    <x:row r="8" ht="34" customHeight="1">
      <x:c r="A8" s="16" t="str">
        <x:v>EXT-MONDE-T001/seed</x:v>
      </x:c>
      <x:c r="B8" s="16" t="str">
        <x:v>EXT-MONDE-T001</x:v>
      </x:c>
      <x:c r="C8" s="16" t="str">
        <x:v>Lacs</x:v>
      </x:c>
      <x:c r="D8" s="16" t="str">
        <x:v>Base nautique lacustre</x:v>
      </x:c>
      <x:c r="E8" s="16" t="str">
        <x:v>Implantation et réseaux</x:v>
      </x:c>
      <x:c r="F8" s="16" t="str">
        <x:v>P0</x:v>
      </x:c>
      <x:c r="G8" s="16" t="str">
        <x:v>À faire</x:v>
      </x:c>
      <x:c r="H8" s="16" t="str">
        <x:v>Non affecté</x:v>
      </x:c>
      <x:c r="I8" s="16" t="str">
        <x:v>Rive et profondeur compatibles ; retour terrestre praticable ; aucun ponton flottant sans support.</x:v>
      </x:c>
      <x:c r="J8" s="16" t="str"/>
    </x:row>
    <x:row r="9" ht="34" customHeight="1">
      <x:c r="A9" s="16" t="str">
        <x:v>EXT-MONDE-T001/props</x:v>
      </x:c>
      <x:c r="B9" s="16" t="str">
        <x:v>EXT-MONDE-T001</x:v>
      </x:c>
      <x:c r="C9" s="16" t="str">
        <x:v>Lacs</x:v>
      </x:c>
      <x:c r="D9" s="16" t="str">
        <x:v>Base nautique lacustre</x:v>
      </x:c>
      <x:c r="E9" s="16" t="str">
        <x:v>Objets, décors et dégagements</x:v>
      </x:c>
      <x:c r="F9" s="16" t="str">
        <x:v>P1</x:v>
      </x:c>
      <x:c r="G9" s="16" t="str">
        <x:v>En cours</x:v>
      </x:c>
      <x:c r="H9" s="16" t="str">
        <x:v>Production Codex</x:v>
      </x:c>
      <x:c r="I9" s="16" t="str">
        <x:v>Livrable explicite, tests positifs et négatifs ; aucune validation déduite de la seule présence de la fiche.</x:v>
      </x:c>
      <x:c r="J9" s="16" t="str">
        <x:v>https://github.com/darknigthmare/deadwall-last-enclosure/blob/e28f46223e73105ab2c5d83f3d50b99b58ef53e6/docs/codex/suivi-monde2026/INSPECTION_PHYSIQUE_2026.md</x:v>
      </x:c>
    </x:row>
    <x:row r="10" ht="34" customHeight="1">
      <x:c r="A10" s="16" t="str">
        <x:v>EXT-MONDE-T001/loot</x:v>
      </x:c>
      <x:c r="B10" s="16" t="str">
        <x:v>EXT-MONDE-T001</x:v>
      </x:c>
      <x:c r="C10" s="16" t="str">
        <x:v>Lacs</x:v>
      </x:c>
      <x:c r="D10" s="16" t="str">
        <x:v>Base nautique lacustre</x:v>
      </x:c>
      <x:c r="E10" s="16" t="str">
        <x:v>Budget de butin persistant</x:v>
      </x:c>
      <x:c r="F10" s="16" t="str">
        <x:v>P1</x:v>
      </x:c>
      <x:c r="G10" s="16" t="str">
        <x:v>À faire</x:v>
      </x:c>
      <x:c r="H10" s="16" t="str">
        <x:v>Non affecté</x:v>
      </x:c>
      <x:c r="I10" s="16" t="str">
        <x:v>Livrable explicite, tests positifs et négatifs ; aucune validation déduite de la seule présence de la fiche.</x:v>
      </x:c>
      <x:c r="J10" s="16" t="str"/>
    </x:row>
    <x:row r="11" ht="34" customHeight="1">
      <x:c r="A11" s="16" t="str">
        <x:v>EXT-MONDE-T001/rencontres</x:v>
      </x:c>
      <x:c r="B11" s="16" t="str">
        <x:v>EXT-MONDE-T001</x:v>
      </x:c>
      <x:c r="C11" s="16" t="str">
        <x:v>Lacs</x:v>
      </x:c>
      <x:c r="D11" s="16" t="str">
        <x:v>Base nautique lacustre</x:v>
      </x:c>
      <x:c r="E11" s="16" t="str">
        <x:v>Ennemis et faune contextualisés</x:v>
      </x:c>
      <x:c r="F11" s="16" t="str">
        <x:v>P1</x:v>
      </x:c>
      <x:c r="G11" s="16" t="str">
        <x:v>À faire</x:v>
      </x:c>
      <x:c r="H11" s="16" t="str">
        <x:v>Non affecté</x:v>
      </x:c>
      <x:c r="I11" s="16" t="str">
        <x:v>Livrable explicite, tests positifs et négatifs ; aucune validation déduite de la seule présence de la fiche.</x:v>
      </x:c>
      <x:c r="J11" s="16" t="str"/>
    </x:row>
    <x:row r="12" ht="34" customHeight="1">
      <x:c r="A12" s="16" t="str">
        <x:v>EXT-MONDE-T001/services</x:v>
      </x:c>
      <x:c r="B12" s="16" t="str">
        <x:v>EXT-MONDE-T001</x:v>
      </x:c>
      <x:c r="C12" s="16" t="str">
        <x:v>Lacs</x:v>
      </x:c>
      <x:c r="D12" s="16" t="str">
        <x:v>Base nautique lacustre</x:v>
      </x:c>
      <x:c r="E12" s="16" t="str">
        <x:v>Énergie, eau et interactions</x:v>
      </x:c>
      <x:c r="F12" s="16" t="str">
        <x:v>P1</x:v>
      </x:c>
      <x:c r="G12" s="16" t="str">
        <x:v>À faire</x:v>
      </x:c>
      <x:c r="H12" s="16" t="str">
        <x:v>Non affecté</x:v>
      </x:c>
      <x:c r="I12" s="16" t="str">
        <x:v>Livrable explicite, tests positifs et négatifs ; aucune validation déduite de la seule présence de la fiche.</x:v>
      </x:c>
      <x:c r="J12" s="16" t="str"/>
    </x:row>
    <x:row r="13" ht="34" customHeight="1">
      <x:c r="A13" s="16" t="str">
        <x:v>EXT-MONDE-T001/art</x:v>
      </x:c>
      <x:c r="B13" s="16" t="str">
        <x:v>EXT-MONDE-T001</x:v>
      </x:c>
      <x:c r="C13" s="16" t="str">
        <x:v>Lacs</x:v>
      </x:c>
      <x:c r="D13" s="16" t="str">
        <x:v>Base nautique lacustre</x:v>
      </x:c>
      <x:c r="E13" s="16" t="str">
        <x:v>Sprites, proportions et animations</x:v>
      </x:c>
      <x:c r="F13" s="16" t="str">
        <x:v>P1</x:v>
      </x:c>
      <x:c r="G13" s="16" t="str">
        <x:v>À faire</x:v>
      </x:c>
      <x:c r="H13" s="16" t="str">
        <x:v>Non affecté</x:v>
      </x:c>
      <x:c r="I13" s="16" t="str">
        <x:v>Livrable explicite, tests positifs et négatifs ; aucune validation déduite de la seule présence de la fiche.</x:v>
      </x:c>
      <x:c r="J13" s="16" t="str"/>
    </x:row>
    <x:row r="14" ht="34" customHeight="1">
      <x:c r="A14" s="16" t="str">
        <x:v>EXT-MONDE-T001/sauvegarde</x:v>
      </x:c>
      <x:c r="B14" s="16" t="str">
        <x:v>EXT-MONDE-T001</x:v>
      </x:c>
      <x:c r="C14" s="16" t="str">
        <x:v>Lacs</x:v>
      </x:c>
      <x:c r="D14" s="16" t="str">
        <x:v>Base nautique lacustre</x:v>
      </x:c>
      <x:c r="E14" s="16" t="str">
        <x:v>Identités, migration et reprise</x:v>
      </x:c>
      <x:c r="F14" s="16" t="str">
        <x:v>P1</x:v>
      </x:c>
      <x:c r="G14" s="16" t="str">
        <x:v>En cours</x:v>
      </x:c>
      <x:c r="H14" s="16" t="str">
        <x:v>Production Codex</x:v>
      </x:c>
      <x:c r="I14" s="16" t="str">
        <x:v>Livrable explicite, tests positifs et négatifs ; aucune validation déduite de la seule présence de la fiche.</x:v>
      </x:c>
      <x:c r="J14" s="16" t="str">
        <x:v>https://github.com/darknigthmare/deadwall-last-enclosure/blob/e28f46223e73105ab2c5d83f3d50b99b58ef53e6/docs/codex/suivi-monde2026/INSPECTION_PHYSIQUE_2026.md</x:v>
      </x:c>
    </x:row>
    <x:row r="15" ht="34" customHeight="1">
      <x:c r="A15" s="16" t="str">
        <x:v>EXT-MONDE-T001/qa</x:v>
      </x:c>
      <x:c r="B15" s="16" t="str">
        <x:v>EXT-MONDE-T001</x:v>
      </x:c>
      <x:c r="C15" s="16" t="str">
        <x:v>Lacs</x:v>
      </x:c>
      <x:c r="D15" s="16" t="str">
        <x:v>Base nautique lacustre</x:v>
      </x:c>
      <x:c r="E15" s="16" t="str">
        <x:v>Navigation et parcours jouables</x:v>
      </x:c>
      <x:c r="F15" s="16" t="str">
        <x:v>P1</x:v>
      </x:c>
      <x:c r="G15" s="16" t="str">
        <x:v>En cours</x:v>
      </x:c>
      <x:c r="H15" s="16" t="str">
        <x:v>Production Codex</x:v>
      </x:c>
      <x:c r="I15" s="16" t="str">
        <x:v>Livrable explicite, tests positifs et négatifs ; aucune validation déduite de la seule présence de la fiche.</x:v>
      </x:c>
      <x:c r="J15" s="16" t="str">
        <x:v>https://github.com/darknigthmare/deadwall-last-enclosure/blob/e28f46223e73105ab2c5d83f3d50b99b58ef53e6/docs/codex/suivi-monde2026/INSPECTION_PHYSIQUE_2026.md</x:v>
      </x:c>
    </x:row>
    <x:row r="16" ht="34" customHeight="1">
      <x:c r="A16" s="16" t="str">
        <x:v>EXT-MONDE-T002/dimensions</x:v>
      </x:c>
      <x:c r="B16" s="16" t="str">
        <x:v>EXT-MONDE-T002</x:v>
      </x:c>
      <x:c r="C16" s="16" t="str">
        <x:v>Lacs</x:v>
      </x:c>
      <x:c r="D16" s="16" t="str">
        <x:v>Village de pêche lacustre</x:v>
      </x:c>
      <x:c r="E16" s="16" t="str">
        <x:v>Dimensions et plans de référence</x:v>
      </x:c>
      <x:c r="F16" s="16" t="str">
        <x:v>P0</x:v>
      </x:c>
      <x:c r="G16" s="16" t="str">
        <x:v>En cours</x:v>
      </x:c>
      <x:c r="H16" s="16" t="str">
        <x:v>Production Codex</x:v>
      </x:c>
      <x:c r="I16" s="16" t="str">
        <x:v>Sources publiques identifiées ; unités en mètres ; emprise au sol distincte de la hauteur.</x:v>
      </x:c>
      <x:c r="J16" s="16" t="str">
        <x:v>https://github.com/darknigthmare/deadwall-last-enclosure/blob/e28f46223e73105ab2c5d83f3d50b99b58ef53e6/docs/codex/suivi-monde2026/LACUSTRE_2026.md</x:v>
      </x:c>
    </x:row>
    <x:row r="17" ht="34" customHeight="1">
      <x:c r="A17" s="16" t="str">
        <x:v>EXT-MONDE-T002/architecture</x:v>
      </x:c>
      <x:c r="B17" s="16" t="str">
        <x:v>EXT-MONDE-T002</x:v>
      </x:c>
      <x:c r="C17" s="16" t="str">
        <x:v>Lacs</x:v>
      </x:c>
      <x:c r="D17" s="16" t="str">
        <x:v>Village de pêche lacustre</x:v>
      </x:c>
      <x:c r="E17" s="16" t="str">
        <x:v>Pièces, étages, annexes</x:v>
      </x:c>
      <x:c r="F17" s="16" t="str">
        <x:v>P0</x:v>
      </x:c>
      <x:c r="G17" s="16" t="str">
        <x:v>En cours</x:v>
      </x:c>
      <x:c r="H17" s="16" t="str">
        <x:v>Production Codex</x:v>
      </x:c>
      <x:c r="I17" s="16" t="str">
        <x:v>Livrable explicite, tests positifs et négatifs ; aucune validation déduite de la seule présence de la fiche.</x:v>
      </x:c>
      <x:c r="J17" s="16" t="str">
        <x:v>https://github.com/darknigthmare/deadwall-last-enclosure/blob/e28f46223e73105ab2c5d83f3d50b99b58ef53e6/docs/codex/suivi-monde2026/INSPECTION_PHYSIQUE_2026.md</x:v>
      </x:c>
    </x:row>
    <x:row r="18" ht="34" customHeight="1">
      <x:c r="A18" s="16" t="str">
        <x:v>EXT-MONDE-T002/seed</x:v>
      </x:c>
      <x:c r="B18" s="16" t="str">
        <x:v>EXT-MONDE-T002</x:v>
      </x:c>
      <x:c r="C18" s="16" t="str">
        <x:v>Lacs</x:v>
      </x:c>
      <x:c r="D18" s="16" t="str">
        <x:v>Village de pêche lacustre</x:v>
      </x:c>
      <x:c r="E18" s="16" t="str">
        <x:v>Implantation et réseaux</x:v>
      </x:c>
      <x:c r="F18" s="16" t="str">
        <x:v>P0</x:v>
      </x:c>
      <x:c r="G18" s="16" t="str">
        <x:v>À faire</x:v>
      </x:c>
      <x:c r="H18" s="16" t="str">
        <x:v>Non affecté</x:v>
      </x:c>
      <x:c r="I18" s="16" t="str">
        <x:v>Rive et profondeur compatibles ; retour terrestre praticable ; aucun ponton flottant sans support.</x:v>
      </x:c>
      <x:c r="J18" s="16" t="str"/>
    </x:row>
    <x:row r="19" ht="34" customHeight="1">
      <x:c r="A19" s="16" t="str">
        <x:v>EXT-MONDE-T002/props</x:v>
      </x:c>
      <x:c r="B19" s="16" t="str">
        <x:v>EXT-MONDE-T002</x:v>
      </x:c>
      <x:c r="C19" s="16" t="str">
        <x:v>Lacs</x:v>
      </x:c>
      <x:c r="D19" s="16" t="str">
        <x:v>Village de pêche lacustre</x:v>
      </x:c>
      <x:c r="E19" s="16" t="str">
        <x:v>Objets, décors et dégagements</x:v>
      </x:c>
      <x:c r="F19" s="16" t="str">
        <x:v>P1</x:v>
      </x:c>
      <x:c r="G19" s="16" t="str">
        <x:v>En cours</x:v>
      </x:c>
      <x:c r="H19" s="16" t="str">
        <x:v>Production Codex</x:v>
      </x:c>
      <x:c r="I19" s="16" t="str">
        <x:v>Livrable explicite, tests positifs et négatifs ; aucune validation déduite de la seule présence de la fiche.</x:v>
      </x:c>
      <x:c r="J19" s="16" t="str">
        <x:v>https://github.com/darknigthmare/deadwall-last-enclosure/blob/e28f46223e73105ab2c5d83f3d50b99b58ef53e6/docs/codex/suivi-monde2026/INSPECTION_PHYSIQUE_2026.md</x:v>
      </x:c>
    </x:row>
    <x:row r="20" ht="34" customHeight="1">
      <x:c r="A20" s="16" t="str">
        <x:v>EXT-MONDE-T002/loot</x:v>
      </x:c>
      <x:c r="B20" s="16" t="str">
        <x:v>EXT-MONDE-T002</x:v>
      </x:c>
      <x:c r="C20" s="16" t="str">
        <x:v>Lacs</x:v>
      </x:c>
      <x:c r="D20" s="16" t="str">
        <x:v>Village de pêche lacustre</x:v>
      </x:c>
      <x:c r="E20" s="16" t="str">
        <x:v>Budget de butin persistant</x:v>
      </x:c>
      <x:c r="F20" s="16" t="str">
        <x:v>P1</x:v>
      </x:c>
      <x:c r="G20" s="16" t="str">
        <x:v>À faire</x:v>
      </x:c>
      <x:c r="H20" s="16" t="str">
        <x:v>Non affecté</x:v>
      </x:c>
      <x:c r="I20" s="16" t="str">
        <x:v>Livrable explicite, tests positifs et négatifs ; aucune validation déduite de la seule présence de la fiche.</x:v>
      </x:c>
      <x:c r="J20" s="16" t="str"/>
    </x:row>
    <x:row r="21" ht="34" customHeight="1">
      <x:c r="A21" s="16" t="str">
        <x:v>EXT-MONDE-T002/rencontres</x:v>
      </x:c>
      <x:c r="B21" s="16" t="str">
        <x:v>EXT-MONDE-T002</x:v>
      </x:c>
      <x:c r="C21" s="16" t="str">
        <x:v>Lacs</x:v>
      </x:c>
      <x:c r="D21" s="16" t="str">
        <x:v>Village de pêche lacustre</x:v>
      </x:c>
      <x:c r="E21" s="16" t="str">
        <x:v>Ennemis et faune contextualisés</x:v>
      </x:c>
      <x:c r="F21" s="16" t="str">
        <x:v>P1</x:v>
      </x:c>
      <x:c r="G21" s="16" t="str">
        <x:v>À faire</x:v>
      </x:c>
      <x:c r="H21" s="16" t="str">
        <x:v>Non affecté</x:v>
      </x:c>
      <x:c r="I21" s="16" t="str">
        <x:v>Livrable explicite, tests positifs et négatifs ; aucune validation déduite de la seule présence de la fiche.</x:v>
      </x:c>
      <x:c r="J21" s="16" t="str"/>
    </x:row>
    <x:row r="22" ht="34" customHeight="1">
      <x:c r="A22" s="16" t="str">
        <x:v>EXT-MONDE-T002/services</x:v>
      </x:c>
      <x:c r="B22" s="16" t="str">
        <x:v>EXT-MONDE-T002</x:v>
      </x:c>
      <x:c r="C22" s="16" t="str">
        <x:v>Lacs</x:v>
      </x:c>
      <x:c r="D22" s="16" t="str">
        <x:v>Village de pêche lacustre</x:v>
      </x:c>
      <x:c r="E22" s="16" t="str">
        <x:v>Énergie, eau et interactions</x:v>
      </x:c>
      <x:c r="F22" s="16" t="str">
        <x:v>P1</x:v>
      </x:c>
      <x:c r="G22" s="16" t="str">
        <x:v>À faire</x:v>
      </x:c>
      <x:c r="H22" s="16" t="str">
        <x:v>Non affecté</x:v>
      </x:c>
      <x:c r="I22" s="16" t="str">
        <x:v>Livrable explicite, tests positifs et négatifs ; aucune validation déduite de la seule présence de la fiche.</x:v>
      </x:c>
      <x:c r="J22" s="16" t="str"/>
    </x:row>
    <x:row r="23" ht="34" customHeight="1">
      <x:c r="A23" s="16" t="str">
        <x:v>EXT-MONDE-T002/art</x:v>
      </x:c>
      <x:c r="B23" s="16" t="str">
        <x:v>EXT-MONDE-T002</x:v>
      </x:c>
      <x:c r="C23" s="16" t="str">
        <x:v>Lacs</x:v>
      </x:c>
      <x:c r="D23" s="16" t="str">
        <x:v>Village de pêche lacustre</x:v>
      </x:c>
      <x:c r="E23" s="16" t="str">
        <x:v>Sprites, proportions et animations</x:v>
      </x:c>
      <x:c r="F23" s="16" t="str">
        <x:v>P1</x:v>
      </x:c>
      <x:c r="G23" s="16" t="str">
        <x:v>À faire</x:v>
      </x:c>
      <x:c r="H23" s="16" t="str">
        <x:v>Non affecté</x:v>
      </x:c>
      <x:c r="I23" s="16" t="str">
        <x:v>Livrable explicite, tests positifs et négatifs ; aucune validation déduite de la seule présence de la fiche.</x:v>
      </x:c>
      <x:c r="J23" s="16" t="str"/>
    </x:row>
    <x:row r="24" ht="34" customHeight="1">
      <x:c r="A24" s="16" t="str">
        <x:v>EXT-MONDE-T002/sauvegarde</x:v>
      </x:c>
      <x:c r="B24" s="16" t="str">
        <x:v>EXT-MONDE-T002</x:v>
      </x:c>
      <x:c r="C24" s="16" t="str">
        <x:v>Lacs</x:v>
      </x:c>
      <x:c r="D24" s="16" t="str">
        <x:v>Village de pêche lacustre</x:v>
      </x:c>
      <x:c r="E24" s="16" t="str">
        <x:v>Identités, migration et reprise</x:v>
      </x:c>
      <x:c r="F24" s="16" t="str">
        <x:v>P1</x:v>
      </x:c>
      <x:c r="G24" s="16" t="str">
        <x:v>En cours</x:v>
      </x:c>
      <x:c r="H24" s="16" t="str">
        <x:v>Production Codex</x:v>
      </x:c>
      <x:c r="I24" s="16" t="str">
        <x:v>Livrable explicite, tests positifs et négatifs ; aucune validation déduite de la seule présence de la fiche.</x:v>
      </x:c>
      <x:c r="J24" s="16" t="str">
        <x:v>https://github.com/darknigthmare/deadwall-last-enclosure/blob/e28f46223e73105ab2c5d83f3d50b99b58ef53e6/docs/codex/suivi-monde2026/INSPECTION_PHYSIQUE_2026.md</x:v>
      </x:c>
    </x:row>
    <x:row r="25" ht="34" customHeight="1">
      <x:c r="A25" s="16" t="str">
        <x:v>EXT-MONDE-T002/qa</x:v>
      </x:c>
      <x:c r="B25" s="16" t="str">
        <x:v>EXT-MONDE-T002</x:v>
      </x:c>
      <x:c r="C25" s="16" t="str">
        <x:v>Lacs</x:v>
      </x:c>
      <x:c r="D25" s="16" t="str">
        <x:v>Village de pêche lacustre</x:v>
      </x:c>
      <x:c r="E25" s="16" t="str">
        <x:v>Navigation et parcours jouables</x:v>
      </x:c>
      <x:c r="F25" s="16" t="str">
        <x:v>P1</x:v>
      </x:c>
      <x:c r="G25" s="16" t="str">
        <x:v>En cours</x:v>
      </x:c>
      <x:c r="H25" s="16" t="str">
        <x:v>Production Codex</x:v>
      </x:c>
      <x:c r="I25" s="16" t="str">
        <x:v>Livrable explicite, tests positifs et négatifs ; aucune validation déduite de la seule présence de la fiche.</x:v>
      </x:c>
      <x:c r="J25" s="16" t="str">
        <x:v>https://github.com/darknigthmare/deadwall-last-enclosure/blob/e28f46223e73105ab2c5d83f3d50b99b58ef53e6/docs/codex/suivi-monde2026/INSPECTION_PHYSIQUE_2026.md</x:v>
      </x:c>
    </x:row>
    <x:row r="26" ht="34" customHeight="1">
      <x:c r="A26" s="16" t="str">
        <x:v>EXT-MONDE-T003/dimensions</x:v>
      </x:c>
      <x:c r="B26" s="16" t="str">
        <x:v>EXT-MONDE-T003</x:v>
      </x:c>
      <x:c r="C26" s="16" t="str">
        <x:v>Lacs</x:v>
      </x:c>
      <x:c r="D26" s="16" t="str">
        <x:v>Station limnologique</x:v>
      </x:c>
      <x:c r="E26" s="16" t="str">
        <x:v>Dimensions et plans de référence</x:v>
      </x:c>
      <x:c r="F26" s="16" t="str">
        <x:v>P0</x:v>
      </x:c>
      <x:c r="G26" s="16" t="str">
        <x:v>En cours</x:v>
      </x:c>
      <x:c r="H26" s="16" t="str">
        <x:v>Production Codex</x:v>
      </x:c>
      <x:c r="I26" s="16" t="str">
        <x:v>Sources publiques identifiées ; unités en mètres ; emprise au sol distincte de la hauteur.</x:v>
      </x:c>
      <x:c r="J26" s="16" t="str">
        <x:v>https://github.com/darknigthmare/deadwall-last-enclosure/blob/e28f46223e73105ab2c5d83f3d50b99b58ef53e6/docs/codex/suivi-monde2026/LACUSTRE_2026.md</x:v>
      </x:c>
    </x:row>
    <x:row r="27" ht="34" customHeight="1">
      <x:c r="A27" s="16" t="str">
        <x:v>EXT-MONDE-T003/architecture</x:v>
      </x:c>
      <x:c r="B27" s="16" t="str">
        <x:v>EXT-MONDE-T003</x:v>
      </x:c>
      <x:c r="C27" s="16" t="str">
        <x:v>Lacs</x:v>
      </x:c>
      <x:c r="D27" s="16" t="str">
        <x:v>Station limnologique</x:v>
      </x:c>
      <x:c r="E27" s="16" t="str">
        <x:v>Pièces, étages, annexes</x:v>
      </x:c>
      <x:c r="F27" s="16" t="str">
        <x:v>P0</x:v>
      </x:c>
      <x:c r="G27" s="16" t="str">
        <x:v>En cours</x:v>
      </x:c>
      <x:c r="H27" s="16" t="str">
        <x:v>Production Codex</x:v>
      </x:c>
      <x:c r="I27" s="16" t="str">
        <x:v>Livrable explicite, tests positifs et négatifs ; aucune validation déduite de la seule présence de la fiche.</x:v>
      </x:c>
      <x:c r="J27" s="16" t="str">
        <x:v>https://github.com/darknigthmare/deadwall-last-enclosure/blob/e28f46223e73105ab2c5d83f3d50b99b58ef53e6/docs/codex/suivi-monde2026/INSPECTION_PHYSIQUE_2026.md</x:v>
      </x:c>
    </x:row>
    <x:row r="28" ht="34" customHeight="1">
      <x:c r="A28" s="16" t="str">
        <x:v>EXT-MONDE-T003/seed</x:v>
      </x:c>
      <x:c r="B28" s="16" t="str">
        <x:v>EXT-MONDE-T003</x:v>
      </x:c>
      <x:c r="C28" s="16" t="str">
        <x:v>Lacs</x:v>
      </x:c>
      <x:c r="D28" s="16" t="str">
        <x:v>Station limnologique</x:v>
      </x:c>
      <x:c r="E28" s="16" t="str">
        <x:v>Implantation et réseaux</x:v>
      </x:c>
      <x:c r="F28" s="16" t="str">
        <x:v>P0</x:v>
      </x:c>
      <x:c r="G28" s="16" t="str">
        <x:v>À faire</x:v>
      </x:c>
      <x:c r="H28" s="16" t="str">
        <x:v>Non affecté</x:v>
      </x:c>
      <x:c r="I28" s="16" t="str">
        <x:v>Rive et profondeur compatibles ; retour terrestre praticable ; aucun ponton flottant sans support.</x:v>
      </x:c>
      <x:c r="J28" s="16" t="str"/>
    </x:row>
    <x:row r="29" ht="34" customHeight="1">
      <x:c r="A29" s="16" t="str">
        <x:v>EXT-MONDE-T003/props</x:v>
      </x:c>
      <x:c r="B29" s="16" t="str">
        <x:v>EXT-MONDE-T003</x:v>
      </x:c>
      <x:c r="C29" s="16" t="str">
        <x:v>Lacs</x:v>
      </x:c>
      <x:c r="D29" s="16" t="str">
        <x:v>Station limnologique</x:v>
      </x:c>
      <x:c r="E29" s="16" t="str">
        <x:v>Objets, décors et dégagements</x:v>
      </x:c>
      <x:c r="F29" s="16" t="str">
        <x:v>P1</x:v>
      </x:c>
      <x:c r="G29" s="16" t="str">
        <x:v>En cours</x:v>
      </x:c>
      <x:c r="H29" s="16" t="str">
        <x:v>Production Codex</x:v>
      </x:c>
      <x:c r="I29" s="16" t="str">
        <x:v>Livrable explicite, tests positifs et négatifs ; aucune validation déduite de la seule présence de la fiche.</x:v>
      </x:c>
      <x:c r="J29" s="16" t="str">
        <x:v>https://github.com/darknigthmare/deadwall-last-enclosure/blob/e28f46223e73105ab2c5d83f3d50b99b58ef53e6/docs/codex/suivi-monde2026/INSPECTION_PHYSIQUE_2026.md</x:v>
      </x:c>
    </x:row>
    <x:row r="30" ht="34" customHeight="1">
      <x:c r="A30" s="16" t="str">
        <x:v>EXT-MONDE-T003/loot</x:v>
      </x:c>
      <x:c r="B30" s="16" t="str">
        <x:v>EXT-MONDE-T003</x:v>
      </x:c>
      <x:c r="C30" s="16" t="str">
        <x:v>Lacs</x:v>
      </x:c>
      <x:c r="D30" s="16" t="str">
        <x:v>Station limnologique</x:v>
      </x:c>
      <x:c r="E30" s="16" t="str">
        <x:v>Budget de butin persistant</x:v>
      </x:c>
      <x:c r="F30" s="16" t="str">
        <x:v>P1</x:v>
      </x:c>
      <x:c r="G30" s="16" t="str">
        <x:v>À faire</x:v>
      </x:c>
      <x:c r="H30" s="16" t="str">
        <x:v>Non affecté</x:v>
      </x:c>
      <x:c r="I30" s="16" t="str">
        <x:v>Livrable explicite, tests positifs et négatifs ; aucune validation déduite de la seule présence de la fiche.</x:v>
      </x:c>
      <x:c r="J30" s="16" t="str"/>
    </x:row>
    <x:row r="31" ht="34" customHeight="1">
      <x:c r="A31" s="16" t="str">
        <x:v>EXT-MONDE-T003/rencontres</x:v>
      </x:c>
      <x:c r="B31" s="16" t="str">
        <x:v>EXT-MONDE-T003</x:v>
      </x:c>
      <x:c r="C31" s="16" t="str">
        <x:v>Lacs</x:v>
      </x:c>
      <x:c r="D31" s="16" t="str">
        <x:v>Station limnologique</x:v>
      </x:c>
      <x:c r="E31" s="16" t="str">
        <x:v>Ennemis et faune contextualisés</x:v>
      </x:c>
      <x:c r="F31" s="16" t="str">
        <x:v>P1</x:v>
      </x:c>
      <x:c r="G31" s="16" t="str">
        <x:v>À faire</x:v>
      </x:c>
      <x:c r="H31" s="16" t="str">
        <x:v>Non affecté</x:v>
      </x:c>
      <x:c r="I31" s="16" t="str">
        <x:v>Livrable explicite, tests positifs et négatifs ; aucune validation déduite de la seule présence de la fiche.</x:v>
      </x:c>
      <x:c r="J31" s="16" t="str"/>
    </x:row>
    <x:row r="32" ht="34" customHeight="1">
      <x:c r="A32" s="16" t="str">
        <x:v>EXT-MONDE-T003/services</x:v>
      </x:c>
      <x:c r="B32" s="16" t="str">
        <x:v>EXT-MONDE-T003</x:v>
      </x:c>
      <x:c r="C32" s="16" t="str">
        <x:v>Lacs</x:v>
      </x:c>
      <x:c r="D32" s="16" t="str">
        <x:v>Station limnologique</x:v>
      </x:c>
      <x:c r="E32" s="16" t="str">
        <x:v>Énergie, eau et interactions</x:v>
      </x:c>
      <x:c r="F32" s="16" t="str">
        <x:v>P1</x:v>
      </x:c>
      <x:c r="G32" s="16" t="str">
        <x:v>À faire</x:v>
      </x:c>
      <x:c r="H32" s="16" t="str">
        <x:v>Non affecté</x:v>
      </x:c>
      <x:c r="I32" s="16" t="str">
        <x:v>Livrable explicite, tests positifs et négatifs ; aucune validation déduite de la seule présence de la fiche.</x:v>
      </x:c>
      <x:c r="J32" s="16" t="str"/>
    </x:row>
    <x:row r="33" ht="34" customHeight="1">
      <x:c r="A33" s="16" t="str">
        <x:v>EXT-MONDE-T003/art</x:v>
      </x:c>
      <x:c r="B33" s="16" t="str">
        <x:v>EXT-MONDE-T003</x:v>
      </x:c>
      <x:c r="C33" s="16" t="str">
        <x:v>Lacs</x:v>
      </x:c>
      <x:c r="D33" s="16" t="str">
        <x:v>Station limnologique</x:v>
      </x:c>
      <x:c r="E33" s="16" t="str">
        <x:v>Sprites, proportions et animations</x:v>
      </x:c>
      <x:c r="F33" s="16" t="str">
        <x:v>P1</x:v>
      </x:c>
      <x:c r="G33" s="16" t="str">
        <x:v>À faire</x:v>
      </x:c>
      <x:c r="H33" s="16" t="str">
        <x:v>Non affecté</x:v>
      </x:c>
      <x:c r="I33" s="16" t="str">
        <x:v>Livrable explicite, tests positifs et négatifs ; aucune validation déduite de la seule présence de la fiche.</x:v>
      </x:c>
      <x:c r="J33" s="16" t="str"/>
    </x:row>
    <x:row r="34" ht="34" customHeight="1">
      <x:c r="A34" s="16" t="str">
        <x:v>EXT-MONDE-T003/sauvegarde</x:v>
      </x:c>
      <x:c r="B34" s="16" t="str">
        <x:v>EXT-MONDE-T003</x:v>
      </x:c>
      <x:c r="C34" s="16" t="str">
        <x:v>Lacs</x:v>
      </x:c>
      <x:c r="D34" s="16" t="str">
        <x:v>Station limnologique</x:v>
      </x:c>
      <x:c r="E34" s="16" t="str">
        <x:v>Identités, migration et reprise</x:v>
      </x:c>
      <x:c r="F34" s="16" t="str">
        <x:v>P1</x:v>
      </x:c>
      <x:c r="G34" s="16" t="str">
        <x:v>En cours</x:v>
      </x:c>
      <x:c r="H34" s="16" t="str">
        <x:v>Production Codex</x:v>
      </x:c>
      <x:c r="I34" s="16" t="str">
        <x:v>Livrable explicite, tests positifs et négatifs ; aucune validation déduite de la seule présence de la fiche.</x:v>
      </x:c>
      <x:c r="J34" s="16" t="str">
        <x:v>https://github.com/darknigthmare/deadwall-last-enclosure/blob/e28f46223e73105ab2c5d83f3d50b99b58ef53e6/docs/codex/suivi-monde2026/INSPECTION_PHYSIQUE_2026.md</x:v>
      </x:c>
    </x:row>
    <x:row r="35" ht="34" customHeight="1">
      <x:c r="A35" s="16" t="str">
        <x:v>EXT-MONDE-T003/qa</x:v>
      </x:c>
      <x:c r="B35" s="16" t="str">
        <x:v>EXT-MONDE-T003</x:v>
      </x:c>
      <x:c r="C35" s="16" t="str">
        <x:v>Lacs</x:v>
      </x:c>
      <x:c r="D35" s="16" t="str">
        <x:v>Station limnologique</x:v>
      </x:c>
      <x:c r="E35" s="16" t="str">
        <x:v>Navigation et parcours jouables</x:v>
      </x:c>
      <x:c r="F35" s="16" t="str">
        <x:v>P1</x:v>
      </x:c>
      <x:c r="G35" s="16" t="str">
        <x:v>En cours</x:v>
      </x:c>
      <x:c r="H35" s="16" t="str">
        <x:v>Production Codex</x:v>
      </x:c>
      <x:c r="I35" s="16" t="str">
        <x:v>Livrable explicite, tests positifs et négatifs ; aucune validation déduite de la seule présence de la fiche.</x:v>
      </x:c>
      <x:c r="J35" s="16" t="str">
        <x:v>https://github.com/darknigthmare/deadwall-last-enclosure/blob/e28f46223e73105ab2c5d83f3d50b99b58ef53e6/docs/codex/suivi-monde2026/INSPECTION_PHYSIQUE_2026.md</x:v>
      </x:c>
    </x:row>
    <x:row r="36">
      <x:c r="A36" t="str">
        <x:v>EXT-MONDE-T004/dimensions</x:v>
      </x:c>
      <x:c r="B36" t="str">
        <x:v>EXT-MONDE-T004</x:v>
      </x:c>
      <x:c r="C36" t="str">
        <x:v>Lacs</x:v>
      </x:c>
      <x:c r="D36" t="str">
        <x:v>Camping de rive</x:v>
      </x:c>
      <x:c r="E36" t="str">
        <x:v>Dimensions et plans de référence</x:v>
      </x:c>
      <x:c r="F36" t="str">
        <x:v>P0</x:v>
      </x:c>
      <x:c r="G36" t="str">
        <x:v>En cours</x:v>
      </x:c>
      <x:c r="H36" t="str">
        <x:v>Production Codex</x:v>
      </x:c>
      <x:c r="I36" t="str">
        <x:v>Sources publiques identifiées ; unités en mètres ; emprise au sol distincte de la hauteur.</x:v>
      </x:c>
      <x:c r="J36" t="str">
        <x:v>https://github.com/darknigthmare/deadwall-last-enclosure/blob/e28f46223e73105ab2c5d83f3d50b99b58ef53e6/docs/codex/suivi-monde2026/LACUSTRE_2026.md</x:v>
      </x:c>
    </x:row>
    <x:row r="37">
      <x:c r="A37" t="str">
        <x:v>EXT-MONDE-T004/architecture</x:v>
      </x:c>
      <x:c r="B37" t="str">
        <x:v>EXT-MONDE-T004</x:v>
      </x:c>
      <x:c r="C37" t="str">
        <x:v>Lacs</x:v>
      </x:c>
      <x:c r="D37" t="str">
        <x:v>Camping de rive</x:v>
      </x:c>
      <x:c r="E37" t="str">
        <x:v>Pièces, étages, annexes</x:v>
      </x:c>
      <x:c r="F37" t="str">
        <x:v>P0</x:v>
      </x:c>
      <x:c r="G37" t="str">
        <x:v>En cours</x:v>
      </x:c>
      <x:c r="H37" t="str">
        <x:v>Production Codex</x:v>
      </x:c>
      <x:c r="I37" t="str">
        <x:v>Livrable explicite, tests positifs et négatifs ; aucune validation déduite de la seule présence de la fiche.</x:v>
      </x:c>
      <x:c r="J37" t="str">
        <x:v>https://github.com/darknigthmare/deadwall-last-enclosure/blob/e28f46223e73105ab2c5d83f3d50b99b58ef53e6/docs/codex/suivi-monde2026/INSPECTION_PHYSIQUE_2026.md</x:v>
      </x:c>
    </x:row>
    <x:row r="38">
      <x:c r="A38" t="str">
        <x:v>EXT-MONDE-T004/seed</x:v>
      </x:c>
      <x:c r="B38" t="str">
        <x:v>EXT-MONDE-T004</x:v>
      </x:c>
      <x:c r="C38" t="str">
        <x:v>Lacs</x:v>
      </x:c>
      <x:c r="D38" t="str">
        <x:v>Camping de rive</x:v>
      </x:c>
      <x:c r="E38" t="str">
        <x:v>Implantation et réseaux</x:v>
      </x:c>
      <x:c r="F38" t="str">
        <x:v>P0</x:v>
      </x:c>
      <x:c r="G38" t="str">
        <x:v>À faire</x:v>
      </x:c>
      <x:c r="H38" t="str">
        <x:v>Non affecté</x:v>
      </x:c>
      <x:c r="I38" t="str">
        <x:v>Rive et profondeur compatibles ; retour terrestre praticable ; aucun ponton flottant sans support.</x:v>
      </x:c>
      <x:c r="J38" t="str"/>
    </x:row>
    <x:row r="39">
      <x:c r="A39" t="str">
        <x:v>EXT-MONDE-T004/props</x:v>
      </x:c>
      <x:c r="B39" t="str">
        <x:v>EXT-MONDE-T004</x:v>
      </x:c>
      <x:c r="C39" t="str">
        <x:v>Lacs</x:v>
      </x:c>
      <x:c r="D39" t="str">
        <x:v>Camping de rive</x:v>
      </x:c>
      <x:c r="E39" t="str">
        <x:v>Objets, décors et dégagements</x:v>
      </x:c>
      <x:c r="F39" t="str">
        <x:v>P1</x:v>
      </x:c>
      <x:c r="G39" t="str">
        <x:v>En cours</x:v>
      </x:c>
      <x:c r="H39" t="str">
        <x:v>Production Codex</x:v>
      </x:c>
      <x:c r="I39" t="str">
        <x:v>Livrable explicite, tests positifs et négatifs ; aucune validation déduite de la seule présence de la fiche.</x:v>
      </x:c>
      <x:c r="J39" t="str">
        <x:v>https://github.com/darknigthmare/deadwall-last-enclosure/blob/e28f46223e73105ab2c5d83f3d50b99b58ef53e6/docs/codex/suivi-monde2026/INSPECTION_PHYSIQUE_2026.md</x:v>
      </x:c>
    </x:row>
    <x:row r="40">
      <x:c r="A40" t="str">
        <x:v>EXT-MONDE-T004/loot</x:v>
      </x:c>
      <x:c r="B40" t="str">
        <x:v>EXT-MONDE-T004</x:v>
      </x:c>
      <x:c r="C40" t="str">
        <x:v>Lacs</x:v>
      </x:c>
      <x:c r="D40" t="str">
        <x:v>Camping de rive</x:v>
      </x:c>
      <x:c r="E40" t="str">
        <x:v>Budget de butin persistant</x:v>
      </x:c>
      <x:c r="F40" t="str">
        <x:v>P1</x:v>
      </x:c>
      <x:c r="G40" t="str">
        <x:v>À faire</x:v>
      </x:c>
      <x:c r="H40" t="str">
        <x:v>Non affecté</x:v>
      </x:c>
      <x:c r="I40" t="str">
        <x:v>Livrable explicite, tests positifs et négatifs ; aucune validation déduite de la seule présence de la fiche.</x:v>
      </x:c>
      <x:c r="J40" t="str"/>
    </x:row>
    <x:row r="41">
      <x:c r="A41" t="str">
        <x:v>EXT-MONDE-T004/rencontres</x:v>
      </x:c>
      <x:c r="B41" t="str">
        <x:v>EXT-MONDE-T004</x:v>
      </x:c>
      <x:c r="C41" t="str">
        <x:v>Lacs</x:v>
      </x:c>
      <x:c r="D41" t="str">
        <x:v>Camping de rive</x:v>
      </x:c>
      <x:c r="E41" t="str">
        <x:v>Ennemis et faune contextualisés</x:v>
      </x:c>
      <x:c r="F41" t="str">
        <x:v>P1</x:v>
      </x:c>
      <x:c r="G41" t="str">
        <x:v>À faire</x:v>
      </x:c>
      <x:c r="H41" t="str">
        <x:v>Non affecté</x:v>
      </x:c>
      <x:c r="I41" t="str">
        <x:v>Livrable explicite, tests positifs et négatifs ; aucune validation déduite de la seule présence de la fiche.</x:v>
      </x:c>
      <x:c r="J41" t="str"/>
    </x:row>
    <x:row r="42">
      <x:c r="A42" t="str">
        <x:v>EXT-MONDE-T004/services</x:v>
      </x:c>
      <x:c r="B42" t="str">
        <x:v>EXT-MONDE-T004</x:v>
      </x:c>
      <x:c r="C42" t="str">
        <x:v>Lacs</x:v>
      </x:c>
      <x:c r="D42" t="str">
        <x:v>Camping de rive</x:v>
      </x:c>
      <x:c r="E42" t="str">
        <x:v>Énergie, eau et interactions</x:v>
      </x:c>
      <x:c r="F42" t="str">
        <x:v>P1</x:v>
      </x:c>
      <x:c r="G42" t="str">
        <x:v>À faire</x:v>
      </x:c>
      <x:c r="H42" t="str">
        <x:v>Non affecté</x:v>
      </x:c>
      <x:c r="I42" t="str">
        <x:v>Livrable explicite, tests positifs et négatifs ; aucune validation déduite de la seule présence de la fiche.</x:v>
      </x:c>
      <x:c r="J42" t="str"/>
    </x:row>
    <x:row r="43">
      <x:c r="A43" t="str">
        <x:v>EXT-MONDE-T004/art</x:v>
      </x:c>
      <x:c r="B43" t="str">
        <x:v>EXT-MONDE-T004</x:v>
      </x:c>
      <x:c r="C43" t="str">
        <x:v>Lacs</x:v>
      </x:c>
      <x:c r="D43" t="str">
        <x:v>Camping de rive</x:v>
      </x:c>
      <x:c r="E43" t="str">
        <x:v>Sprites, proportions et animations</x:v>
      </x:c>
      <x:c r="F43" t="str">
        <x:v>P1</x:v>
      </x:c>
      <x:c r="G43" t="str">
        <x:v>À faire</x:v>
      </x:c>
      <x:c r="H43" t="str">
        <x:v>Non affecté</x:v>
      </x:c>
      <x:c r="I43" t="str">
        <x:v>Livrable explicite, tests positifs et négatifs ; aucune validation déduite de la seule présence de la fiche.</x:v>
      </x:c>
      <x:c r="J43" t="str"/>
    </x:row>
    <x:row r="44">
      <x:c r="A44" t="str">
        <x:v>EXT-MONDE-T004/sauvegarde</x:v>
      </x:c>
      <x:c r="B44" t="str">
        <x:v>EXT-MONDE-T004</x:v>
      </x:c>
      <x:c r="C44" t="str">
        <x:v>Lacs</x:v>
      </x:c>
      <x:c r="D44" t="str">
        <x:v>Camping de rive</x:v>
      </x:c>
      <x:c r="E44" t="str">
        <x:v>Identités, migration et reprise</x:v>
      </x:c>
      <x:c r="F44" t="str">
        <x:v>P1</x:v>
      </x:c>
      <x:c r="G44" t="str">
        <x:v>En cours</x:v>
      </x:c>
      <x:c r="H44" t="str">
        <x:v>Production Codex</x:v>
      </x:c>
      <x:c r="I44" t="str">
        <x:v>Livrable explicite, tests positifs et négatifs ; aucune validation déduite de la seule présence de la fiche.</x:v>
      </x:c>
      <x:c r="J44" t="str">
        <x:v>https://github.com/darknigthmare/deadwall-last-enclosure/blob/e28f46223e73105ab2c5d83f3d50b99b58ef53e6/docs/codex/suivi-monde2026/INSPECTION_PHYSIQUE_2026.md</x:v>
      </x:c>
    </x:row>
    <x:row r="45">
      <x:c r="A45" t="str">
        <x:v>EXT-MONDE-T004/qa</x:v>
      </x:c>
      <x:c r="B45" t="str">
        <x:v>EXT-MONDE-T004</x:v>
      </x:c>
      <x:c r="C45" t="str">
        <x:v>Lacs</x:v>
      </x:c>
      <x:c r="D45" t="str">
        <x:v>Camping de rive</x:v>
      </x:c>
      <x:c r="E45" t="str">
        <x:v>Navigation et parcours jouables</x:v>
      </x:c>
      <x:c r="F45" t="str">
        <x:v>P1</x:v>
      </x:c>
      <x:c r="G45" t="str">
        <x:v>En cours</x:v>
      </x:c>
      <x:c r="H45" t="str">
        <x:v>Production Codex</x:v>
      </x:c>
      <x:c r="I45" t="str">
        <x:v>Livrable explicite, tests positifs et négatifs ; aucune validation déduite de la seule présence de la fiche.</x:v>
      </x:c>
      <x:c r="J45" t="str">
        <x:v>https://github.com/darknigthmare/deadwall-last-enclosure/blob/e28f46223e73105ab2c5d83f3d50b99b58ef53e6/docs/codex/suivi-monde2026/INSPECTION_PHYSIQUE_2026.md</x:v>
      </x:c>
    </x:row>
    <x:row r="46">
      <x:c r="A46" t="str">
        <x:v>EXT-MONDE-T005/dimensions</x:v>
      </x:c>
      <x:c r="B46" t="str">
        <x:v>EXT-MONDE-T005</x:v>
      </x:c>
      <x:c r="C46" t="str">
        <x:v>Navires de haute mer</x:v>
      </x:c>
      <x:c r="D46" t="str">
        <x:v>Cargo polyvalent</x:v>
      </x:c>
      <x:c r="E46" t="str">
        <x:v>Dimensions et plans de référence</x:v>
      </x:c>
      <x:c r="F46" t="str">
        <x:v>P0</x:v>
      </x:c>
      <x:c r="G46" t="str">
        <x:v>En cours</x:v>
      </x:c>
      <x:c r="H46" t="str">
        <x:v>Production Codex</x:v>
      </x:c>
      <x:c r="I46" t="str">
        <x:v>Sources publiques identifiées ; unités en mètres ; emprise au sol distincte de la hauteur.</x:v>
      </x:c>
      <x:c r="J46" t="str">
        <x:v>https://github.com/darknigthmare/deadwall-last-enclosure/blob/e28f46223e73105ab2c5d83f3d50b99b58ef53e6/docs/codex/suivi-monde2026/MARITIME_AUTEUR_2026.md</x:v>
      </x:c>
    </x:row>
    <x:row r="47">
      <x:c r="A47" t="str">
        <x:v>EXT-MONDE-T005/architecture</x:v>
      </x:c>
      <x:c r="B47" t="str">
        <x:v>EXT-MONDE-T005</x:v>
      </x:c>
      <x:c r="C47" t="str">
        <x:v>Navires de haute mer</x:v>
      </x:c>
      <x:c r="D47" t="str">
        <x:v>Cargo polyvalent</x:v>
      </x:c>
      <x:c r="E47" t="str">
        <x:v>Pièces, étages, annexes</x:v>
      </x:c>
      <x:c r="F47" t="str">
        <x:v>P0</x:v>
      </x:c>
      <x:c r="G47" t="str">
        <x:v>En cours</x:v>
      </x:c>
      <x:c r="H47" t="str">
        <x:v>Production Codex</x:v>
      </x:c>
      <x:c r="I47" t="str">
        <x:v>Livrable explicite, tests positifs et négatifs ; aucune validation déduite de la seule présence de la fiche.</x:v>
      </x:c>
      <x:c r="J47" t="str">
        <x:v>https://github.com/darknigthmare/deadwall-last-enclosure/blob/e28f46223e73105ab2c5d83f3d50b99b58ef53e6/docs/codex/suivi-monde2026/INSPECTION_PHYSIQUE_2026.md</x:v>
      </x:c>
    </x:row>
    <x:row r="48">
      <x:c r="A48" t="str">
        <x:v>EXT-MONDE-T005/seed</x:v>
      </x:c>
      <x:c r="B48" t="str">
        <x:v>EXT-MONDE-T005</x:v>
      </x:c>
      <x:c r="C48" t="str">
        <x:v>Navires de haute mer</x:v>
      </x:c>
      <x:c r="D48" t="str">
        <x:v>Cargo polyvalent</x:v>
      </x:c>
      <x:c r="E48" t="str">
        <x:v>Implantation et réseaux</x:v>
      </x:c>
      <x:c r="F48" t="str">
        <x:v>P0</x:v>
      </x:c>
      <x:c r="G48" t="str">
        <x:v>À faire</x:v>
      </x:c>
      <x:c r="H48" t="str">
        <x:v>Non affecté</x:v>
      </x:c>
      <x:c r="I48" t="str">
        <x:v>Tirant d’eau, compartiments et accès à vérifier par type ; aucune circulation piétonne sur eau.</x:v>
      </x:c>
      <x:c r="J48" t="str"/>
    </x:row>
    <x:row r="49">
      <x:c r="A49" t="str">
        <x:v>EXT-MONDE-T005/props</x:v>
      </x:c>
      <x:c r="B49" t="str">
        <x:v>EXT-MONDE-T005</x:v>
      </x:c>
      <x:c r="C49" t="str">
        <x:v>Navires de haute mer</x:v>
      </x:c>
      <x:c r="D49" t="str">
        <x:v>Cargo polyvalent</x:v>
      </x:c>
      <x:c r="E49" t="str">
        <x:v>Objets, décors et dégagements</x:v>
      </x:c>
      <x:c r="F49" t="str">
        <x:v>P1</x:v>
      </x:c>
      <x:c r="G49" t="str">
        <x:v>En cours</x:v>
      </x:c>
      <x:c r="H49" t="str">
        <x:v>Production Codex</x:v>
      </x:c>
      <x:c r="I49" t="str">
        <x:v>Livrable explicite, tests positifs et négatifs ; aucune validation déduite de la seule présence de la fiche.</x:v>
      </x:c>
      <x:c r="J49" t="str">
        <x:v>https://github.com/darknigthmare/deadwall-last-enclosure/blob/e28f46223e73105ab2c5d83f3d50b99b58ef53e6/docs/codex/suivi-monde2026/INSPECTION_PHYSIQUE_2026.md</x:v>
      </x:c>
    </x:row>
    <x:row r="50">
      <x:c r="A50" t="str">
        <x:v>EXT-MONDE-T005/loot</x:v>
      </x:c>
      <x:c r="B50" t="str">
        <x:v>EXT-MONDE-T005</x:v>
      </x:c>
      <x:c r="C50" t="str">
        <x:v>Navires de haute mer</x:v>
      </x:c>
      <x:c r="D50" t="str">
        <x:v>Cargo polyvalent</x:v>
      </x:c>
      <x:c r="E50" t="str">
        <x:v>Budget de butin persistant</x:v>
      </x:c>
      <x:c r="F50" t="str">
        <x:v>P1</x:v>
      </x:c>
      <x:c r="G50" t="str">
        <x:v>À faire</x:v>
      </x:c>
      <x:c r="H50" t="str">
        <x:v>Non affecté</x:v>
      </x:c>
      <x:c r="I50" t="str">
        <x:v>Livrable explicite, tests positifs et négatifs ; aucune validation déduite de la seule présence de la fiche.</x:v>
      </x:c>
      <x:c r="J50" t="str"/>
    </x:row>
    <x:row r="51">
      <x:c r="A51" t="str">
        <x:v>EXT-MONDE-T005/rencontres</x:v>
      </x:c>
      <x:c r="B51" t="str">
        <x:v>EXT-MONDE-T005</x:v>
      </x:c>
      <x:c r="C51" t="str">
        <x:v>Navires de haute mer</x:v>
      </x:c>
      <x:c r="D51" t="str">
        <x:v>Cargo polyvalent</x:v>
      </x:c>
      <x:c r="E51" t="str">
        <x:v>Ennemis et faune contextualisés</x:v>
      </x:c>
      <x:c r="F51" t="str">
        <x:v>P1</x:v>
      </x:c>
      <x:c r="G51" t="str">
        <x:v>À faire</x:v>
      </x:c>
      <x:c r="H51" t="str">
        <x:v>Non affecté</x:v>
      </x:c>
      <x:c r="I51" t="str">
        <x:v>Livrable explicite, tests positifs et négatifs ; aucune validation déduite de la seule présence de la fiche.</x:v>
      </x:c>
      <x:c r="J51" t="str"/>
    </x:row>
    <x:row r="52">
      <x:c r="A52" t="str">
        <x:v>EXT-MONDE-T005/services</x:v>
      </x:c>
      <x:c r="B52" t="str">
        <x:v>EXT-MONDE-T005</x:v>
      </x:c>
      <x:c r="C52" t="str">
        <x:v>Navires de haute mer</x:v>
      </x:c>
      <x:c r="D52" t="str">
        <x:v>Cargo polyvalent</x:v>
      </x:c>
      <x:c r="E52" t="str">
        <x:v>Énergie, eau et interactions</x:v>
      </x:c>
      <x:c r="F52" t="str">
        <x:v>P1</x:v>
      </x:c>
      <x:c r="G52" t="str">
        <x:v>À faire</x:v>
      </x:c>
      <x:c r="H52" t="str">
        <x:v>Non affecté</x:v>
      </x:c>
      <x:c r="I52" t="str">
        <x:v>Livrable explicite, tests positifs et négatifs ; aucune validation déduite de la seule présence de la fiche.</x:v>
      </x:c>
      <x:c r="J52" t="str"/>
    </x:row>
    <x:row r="53">
      <x:c r="A53" t="str">
        <x:v>EXT-MONDE-T005/art</x:v>
      </x:c>
      <x:c r="B53" t="str">
        <x:v>EXT-MONDE-T005</x:v>
      </x:c>
      <x:c r="C53" t="str">
        <x:v>Navires de haute mer</x:v>
      </x:c>
      <x:c r="D53" t="str">
        <x:v>Cargo polyvalent</x:v>
      </x:c>
      <x:c r="E53" t="str">
        <x:v>Sprites, proportions et animations</x:v>
      </x:c>
      <x:c r="F53" t="str">
        <x:v>P1</x:v>
      </x:c>
      <x:c r="G53" t="str">
        <x:v>À faire</x:v>
      </x:c>
      <x:c r="H53" t="str">
        <x:v>Non affecté</x:v>
      </x:c>
      <x:c r="I53" t="str">
        <x:v>Livrable explicite, tests positifs et négatifs ; aucune validation déduite de la seule présence de la fiche.</x:v>
      </x:c>
      <x:c r="J53" t="str"/>
    </x:row>
    <x:row r="54">
      <x:c r="A54" t="str">
        <x:v>EXT-MONDE-T005/sauvegarde</x:v>
      </x:c>
      <x:c r="B54" t="str">
        <x:v>EXT-MONDE-T005</x:v>
      </x:c>
      <x:c r="C54" t="str">
        <x:v>Navires de haute mer</x:v>
      </x:c>
      <x:c r="D54" t="str">
        <x:v>Cargo polyvalent</x:v>
      </x:c>
      <x:c r="E54" t="str">
        <x:v>Identités, migration et reprise</x:v>
      </x:c>
      <x:c r="F54" t="str">
        <x:v>P1</x:v>
      </x:c>
      <x:c r="G54" t="str">
        <x:v>En cours</x:v>
      </x:c>
      <x:c r="H54" t="str">
        <x:v>Production Codex</x:v>
      </x:c>
      <x:c r="I54" t="str">
        <x:v>Livrable explicite, tests positifs et négatifs ; aucune validation déduite de la seule présence de la fiche.</x:v>
      </x:c>
      <x:c r="J54" t="str">
        <x:v>https://github.com/darknigthmare/deadwall-last-enclosure/blob/e28f46223e73105ab2c5d83f3d50b99b58ef53e6/docs/codex/suivi-monde2026/INSPECTION_PHYSIQUE_2026.md</x:v>
      </x:c>
    </x:row>
    <x:row r="55">
      <x:c r="A55" t="str">
        <x:v>EXT-MONDE-T005/qa</x:v>
      </x:c>
      <x:c r="B55" t="str">
        <x:v>EXT-MONDE-T005</x:v>
      </x:c>
      <x:c r="C55" t="str">
        <x:v>Navires de haute mer</x:v>
      </x:c>
      <x:c r="D55" t="str">
        <x:v>Cargo polyvalent</x:v>
      </x:c>
      <x:c r="E55" t="str">
        <x:v>Navigation et parcours jouables</x:v>
      </x:c>
      <x:c r="F55" t="str">
        <x:v>P1</x:v>
      </x:c>
      <x:c r="G55" t="str">
        <x:v>En cours</x:v>
      </x:c>
      <x:c r="H55" t="str">
        <x:v>Production Codex</x:v>
      </x:c>
      <x:c r="I55" t="str">
        <x:v>Livrable explicite, tests positifs et négatifs ; aucune validation déduite de la seule présence de la fiche.</x:v>
      </x:c>
      <x:c r="J55" t="str">
        <x:v>https://github.com/darknigthmare/deadwall-last-enclosure/blob/e28f46223e73105ab2c5d83f3d50b99b58ef53e6/docs/codex/suivi-monde2026/INSPECTION_PHYSIQUE_2026.md</x:v>
      </x:c>
    </x:row>
    <x:row r="56">
      <x:c r="A56" t="str">
        <x:v>EXT-MONDE-T006/dimensions</x:v>
      </x:c>
      <x:c r="B56" t="str">
        <x:v>EXT-MONDE-T006</x:v>
      </x:c>
      <x:c r="C56" t="str">
        <x:v>Navires de haute mer</x:v>
      </x:c>
      <x:c r="D56" t="str">
        <x:v>Pétrolier océanique</x:v>
      </x:c>
      <x:c r="E56" t="str">
        <x:v>Dimensions et plans de référence</x:v>
      </x:c>
      <x:c r="F56" t="str">
        <x:v>P0</x:v>
      </x:c>
      <x:c r="G56" t="str">
        <x:v>En cours</x:v>
      </x:c>
      <x:c r="H56" t="str">
        <x:v>Production Codex</x:v>
      </x:c>
      <x:c r="I56" t="str">
        <x:v>Sources publiques identifiées ; unités en mètres ; emprise au sol distincte de la hauteur.</x:v>
      </x:c>
      <x:c r="J56" t="str">
        <x:v>https://github.com/darknigthmare/deadwall-last-enclosure/blob/e28f46223e73105ab2c5d83f3d50b99b58ef53e6/docs/codex/suivi-monde2026/MARITIME_AUTEUR_2026.md</x:v>
      </x:c>
    </x:row>
    <x:row r="57">
      <x:c r="A57" t="str">
        <x:v>EXT-MONDE-T006/architecture</x:v>
      </x:c>
      <x:c r="B57" t="str">
        <x:v>EXT-MONDE-T006</x:v>
      </x:c>
      <x:c r="C57" t="str">
        <x:v>Navires de haute mer</x:v>
      </x:c>
      <x:c r="D57" t="str">
        <x:v>Pétrolier océanique</x:v>
      </x:c>
      <x:c r="E57" t="str">
        <x:v>Pièces, étages, annexes</x:v>
      </x:c>
      <x:c r="F57" t="str">
        <x:v>P0</x:v>
      </x:c>
      <x:c r="G57" t="str">
        <x:v>En cours</x:v>
      </x:c>
      <x:c r="H57" t="str">
        <x:v>Production Codex</x:v>
      </x:c>
      <x:c r="I57" t="str">
        <x:v>Livrable explicite, tests positifs et négatifs ; aucune validation déduite de la seule présence de la fiche.</x:v>
      </x:c>
      <x:c r="J57" t="str">
        <x:v>https://github.com/darknigthmare/deadwall-last-enclosure/blob/e28f46223e73105ab2c5d83f3d50b99b58ef53e6/docs/codex/suivi-monde2026/INSPECTION_PHYSIQUE_2026.md</x:v>
      </x:c>
    </x:row>
    <x:row r="58">
      <x:c r="A58" t="str">
        <x:v>EXT-MONDE-T006/seed</x:v>
      </x:c>
      <x:c r="B58" t="str">
        <x:v>EXT-MONDE-T006</x:v>
      </x:c>
      <x:c r="C58" t="str">
        <x:v>Navires de haute mer</x:v>
      </x:c>
      <x:c r="D58" t="str">
        <x:v>Pétrolier océanique</x:v>
      </x:c>
      <x:c r="E58" t="str">
        <x:v>Implantation et réseaux</x:v>
      </x:c>
      <x:c r="F58" t="str">
        <x:v>P0</x:v>
      </x:c>
      <x:c r="G58" t="str">
        <x:v>À faire</x:v>
      </x:c>
      <x:c r="H58" t="str">
        <x:v>Non affecté</x:v>
      </x:c>
      <x:c r="I58" t="str">
        <x:v>Tirant d’eau, compartiments et accès à vérifier par type ; aucune circulation piétonne sur eau.</x:v>
      </x:c>
      <x:c r="J58" t="str"/>
    </x:row>
    <x:row r="59">
      <x:c r="A59" t="str">
        <x:v>EXT-MONDE-T006/props</x:v>
      </x:c>
      <x:c r="B59" t="str">
        <x:v>EXT-MONDE-T006</x:v>
      </x:c>
      <x:c r="C59" t="str">
        <x:v>Navires de haute mer</x:v>
      </x:c>
      <x:c r="D59" t="str">
        <x:v>Pétrolier océanique</x:v>
      </x:c>
      <x:c r="E59" t="str">
        <x:v>Objets, décors et dégagements</x:v>
      </x:c>
      <x:c r="F59" t="str">
        <x:v>P1</x:v>
      </x:c>
      <x:c r="G59" t="str">
        <x:v>En cours</x:v>
      </x:c>
      <x:c r="H59" t="str">
        <x:v>Production Codex</x:v>
      </x:c>
      <x:c r="I59" t="str">
        <x:v>Livrable explicite, tests positifs et négatifs ; aucune validation déduite de la seule présence de la fiche.</x:v>
      </x:c>
      <x:c r="J59" t="str">
        <x:v>https://github.com/darknigthmare/deadwall-last-enclosure/blob/e28f46223e73105ab2c5d83f3d50b99b58ef53e6/docs/codex/suivi-monde2026/INSPECTION_PHYSIQUE_2026.md</x:v>
      </x:c>
    </x:row>
    <x:row r="60">
      <x:c r="A60" t="str">
        <x:v>EXT-MONDE-T006/loot</x:v>
      </x:c>
      <x:c r="B60" t="str">
        <x:v>EXT-MONDE-T006</x:v>
      </x:c>
      <x:c r="C60" t="str">
        <x:v>Navires de haute mer</x:v>
      </x:c>
      <x:c r="D60" t="str">
        <x:v>Pétrolier océanique</x:v>
      </x:c>
      <x:c r="E60" t="str">
        <x:v>Budget de butin persistant</x:v>
      </x:c>
      <x:c r="F60" t="str">
        <x:v>P1</x:v>
      </x:c>
      <x:c r="G60" t="str">
        <x:v>À faire</x:v>
      </x:c>
      <x:c r="H60" t="str">
        <x:v>Non affecté</x:v>
      </x:c>
      <x:c r="I60" t="str">
        <x:v>Livrable explicite, tests positifs et négatifs ; aucune validation déduite de la seule présence de la fiche.</x:v>
      </x:c>
      <x:c r="J60" t="str"/>
    </x:row>
    <x:row r="61">
      <x:c r="A61" t="str">
        <x:v>EXT-MONDE-T006/rencontres</x:v>
      </x:c>
      <x:c r="B61" t="str">
        <x:v>EXT-MONDE-T006</x:v>
      </x:c>
      <x:c r="C61" t="str">
        <x:v>Navires de haute mer</x:v>
      </x:c>
      <x:c r="D61" t="str">
        <x:v>Pétrolier océanique</x:v>
      </x:c>
      <x:c r="E61" t="str">
        <x:v>Ennemis et faune contextualisés</x:v>
      </x:c>
      <x:c r="F61" t="str">
        <x:v>P1</x:v>
      </x:c>
      <x:c r="G61" t="str">
        <x:v>À faire</x:v>
      </x:c>
      <x:c r="H61" t="str">
        <x:v>Non affecté</x:v>
      </x:c>
      <x:c r="I61" t="str">
        <x:v>Livrable explicite, tests positifs et négatifs ; aucune validation déduite de la seule présence de la fiche.</x:v>
      </x:c>
      <x:c r="J61" t="str"/>
    </x:row>
    <x:row r="62">
      <x:c r="A62" t="str">
        <x:v>EXT-MONDE-T006/services</x:v>
      </x:c>
      <x:c r="B62" t="str">
        <x:v>EXT-MONDE-T006</x:v>
      </x:c>
      <x:c r="C62" t="str">
        <x:v>Navires de haute mer</x:v>
      </x:c>
      <x:c r="D62" t="str">
        <x:v>Pétrolier océanique</x:v>
      </x:c>
      <x:c r="E62" t="str">
        <x:v>Énergie, eau et interactions</x:v>
      </x:c>
      <x:c r="F62" t="str">
        <x:v>P1</x:v>
      </x:c>
      <x:c r="G62" t="str">
        <x:v>À faire</x:v>
      </x:c>
      <x:c r="H62" t="str">
        <x:v>Non affecté</x:v>
      </x:c>
      <x:c r="I62" t="str">
        <x:v>Livrable explicite, tests positifs et négatifs ; aucune validation déduite de la seule présence de la fiche.</x:v>
      </x:c>
      <x:c r="J62" t="str"/>
    </x:row>
    <x:row r="63">
      <x:c r="A63" t="str">
        <x:v>EXT-MONDE-T006/art</x:v>
      </x:c>
      <x:c r="B63" t="str">
        <x:v>EXT-MONDE-T006</x:v>
      </x:c>
      <x:c r="C63" t="str">
        <x:v>Navires de haute mer</x:v>
      </x:c>
      <x:c r="D63" t="str">
        <x:v>Pétrolier océanique</x:v>
      </x:c>
      <x:c r="E63" t="str">
        <x:v>Sprites, proportions et animations</x:v>
      </x:c>
      <x:c r="F63" t="str">
        <x:v>P1</x:v>
      </x:c>
      <x:c r="G63" t="str">
        <x:v>À faire</x:v>
      </x:c>
      <x:c r="H63" t="str">
        <x:v>Non affecté</x:v>
      </x:c>
      <x:c r="I63" t="str">
        <x:v>Livrable explicite, tests positifs et négatifs ; aucune validation déduite de la seule présence de la fiche.</x:v>
      </x:c>
      <x:c r="J63" t="str"/>
    </x:row>
    <x:row r="64">
      <x:c r="A64" t="str">
        <x:v>EXT-MONDE-T006/sauvegarde</x:v>
      </x:c>
      <x:c r="B64" t="str">
        <x:v>EXT-MONDE-T006</x:v>
      </x:c>
      <x:c r="C64" t="str">
        <x:v>Navires de haute mer</x:v>
      </x:c>
      <x:c r="D64" t="str">
        <x:v>Pétrolier océanique</x:v>
      </x:c>
      <x:c r="E64" t="str">
        <x:v>Identités, migration et reprise</x:v>
      </x:c>
      <x:c r="F64" t="str">
        <x:v>P1</x:v>
      </x:c>
      <x:c r="G64" t="str">
        <x:v>En cours</x:v>
      </x:c>
      <x:c r="H64" t="str">
        <x:v>Production Codex</x:v>
      </x:c>
      <x:c r="I64" t="str">
        <x:v>Livrable explicite, tests positifs et négatifs ; aucune validation déduite de la seule présence de la fiche.</x:v>
      </x:c>
      <x:c r="J64" t="str">
        <x:v>https://github.com/darknigthmare/deadwall-last-enclosure/blob/e28f46223e73105ab2c5d83f3d50b99b58ef53e6/docs/codex/suivi-monde2026/INSPECTION_PHYSIQUE_2026.md</x:v>
      </x:c>
    </x:row>
    <x:row r="65">
      <x:c r="A65" t="str">
        <x:v>EXT-MONDE-T006/qa</x:v>
      </x:c>
      <x:c r="B65" t="str">
        <x:v>EXT-MONDE-T006</x:v>
      </x:c>
      <x:c r="C65" t="str">
        <x:v>Navires de haute mer</x:v>
      </x:c>
      <x:c r="D65" t="str">
        <x:v>Pétrolier océanique</x:v>
      </x:c>
      <x:c r="E65" t="str">
        <x:v>Navigation et parcours jouables</x:v>
      </x:c>
      <x:c r="F65" t="str">
        <x:v>P1</x:v>
      </x:c>
      <x:c r="G65" t="str">
        <x:v>En cours</x:v>
      </x:c>
      <x:c r="H65" t="str">
        <x:v>Production Codex</x:v>
      </x:c>
      <x:c r="I65" t="str">
        <x:v>Livrable explicite, tests positifs et négatifs ; aucune validation déduite de la seule présence de la fiche.</x:v>
      </x:c>
      <x:c r="J65" t="str">
        <x:v>https://github.com/darknigthmare/deadwall-last-enclosure/blob/e28f46223e73105ab2c5d83f3d50b99b58ef53e6/docs/codex/suivi-monde2026/INSPECTION_PHYSIQUE_2026.md</x:v>
      </x:c>
    </x:row>
    <x:row r="66">
      <x:c r="A66" t="str">
        <x:v>EXT-MONDE-T007/dimensions</x:v>
      </x:c>
      <x:c r="B66" t="str">
        <x:v>EXT-MONDE-T007</x:v>
      </x:c>
      <x:c r="C66" t="str">
        <x:v>Navires de haute mer</x:v>
      </x:c>
      <x:c r="D66" t="str">
        <x:v>Croiseur militaire abandonné</x:v>
      </x:c>
      <x:c r="E66" t="str">
        <x:v>Dimensions et plans de référence</x:v>
      </x:c>
      <x:c r="F66" t="str">
        <x:v>P0</x:v>
      </x:c>
      <x:c r="G66" t="str">
        <x:v>En cours</x:v>
      </x:c>
      <x:c r="H66" t="str">
        <x:v>Production Codex</x:v>
      </x:c>
      <x:c r="I66" t="str">
        <x:v>Sources publiques identifiées ; unités en mètres ; emprise au sol distincte de la hauteur.</x:v>
      </x:c>
      <x:c r="J66" t="str">
        <x:v>https://github.com/darknigthmare/deadwall-last-enclosure/blob/e28f46223e73105ab2c5d83f3d50b99b58ef53e6/docs/codex/suivi-monde2026/MARITIME_AUTEUR_2026.md</x:v>
      </x:c>
    </x:row>
    <x:row r="67">
      <x:c r="A67" t="str">
        <x:v>EXT-MONDE-T007/architecture</x:v>
      </x:c>
      <x:c r="B67" t="str">
        <x:v>EXT-MONDE-T007</x:v>
      </x:c>
      <x:c r="C67" t="str">
        <x:v>Navires de haute mer</x:v>
      </x:c>
      <x:c r="D67" t="str">
        <x:v>Croiseur militaire abandonné</x:v>
      </x:c>
      <x:c r="E67" t="str">
        <x:v>Pièces, étages, annexes</x:v>
      </x:c>
      <x:c r="F67" t="str">
        <x:v>P0</x:v>
      </x:c>
      <x:c r="G67" t="str">
        <x:v>En cours</x:v>
      </x:c>
      <x:c r="H67" t="str">
        <x:v>Production Codex</x:v>
      </x:c>
      <x:c r="I67" t="str">
        <x:v>Livrable explicite, tests positifs et négatifs ; aucune validation déduite de la seule présence de la fiche.</x:v>
      </x:c>
      <x:c r="J67" t="str">
        <x:v>https://github.com/darknigthmare/deadwall-last-enclosure/blob/e28f46223e73105ab2c5d83f3d50b99b58ef53e6/docs/codex/suivi-monde2026/INSPECTION_PHYSIQUE_2026.md</x:v>
      </x:c>
    </x:row>
    <x:row r="68">
      <x:c r="A68" t="str">
        <x:v>EXT-MONDE-T007/seed</x:v>
      </x:c>
      <x:c r="B68" t="str">
        <x:v>EXT-MONDE-T007</x:v>
      </x:c>
      <x:c r="C68" t="str">
        <x:v>Navires de haute mer</x:v>
      </x:c>
      <x:c r="D68" t="str">
        <x:v>Croiseur militaire abandonné</x:v>
      </x:c>
      <x:c r="E68" t="str">
        <x:v>Implantation et réseaux</x:v>
      </x:c>
      <x:c r="F68" t="str">
        <x:v>P0</x:v>
      </x:c>
      <x:c r="G68" t="str">
        <x:v>À faire</x:v>
      </x:c>
      <x:c r="H68" t="str">
        <x:v>Non affecté</x:v>
      </x:c>
      <x:c r="I68" t="str">
        <x:v>Tirant d’eau, compartiments et accès à vérifier par type ; aucune circulation piétonne sur eau.</x:v>
      </x:c>
      <x:c r="J68" t="str"/>
    </x:row>
    <x:row r="69">
      <x:c r="A69" t="str">
        <x:v>EXT-MONDE-T007/props</x:v>
      </x:c>
      <x:c r="B69" t="str">
        <x:v>EXT-MONDE-T007</x:v>
      </x:c>
      <x:c r="C69" t="str">
        <x:v>Navires de haute mer</x:v>
      </x:c>
      <x:c r="D69" t="str">
        <x:v>Croiseur militaire abandonné</x:v>
      </x:c>
      <x:c r="E69" t="str">
        <x:v>Objets, décors et dégagements</x:v>
      </x:c>
      <x:c r="F69" t="str">
        <x:v>P1</x:v>
      </x:c>
      <x:c r="G69" t="str">
        <x:v>En cours</x:v>
      </x:c>
      <x:c r="H69" t="str">
        <x:v>Production Codex</x:v>
      </x:c>
      <x:c r="I69" t="str">
        <x:v>Livrable explicite, tests positifs et négatifs ; aucune validation déduite de la seule présence de la fiche.</x:v>
      </x:c>
      <x:c r="J69" t="str">
        <x:v>https://github.com/darknigthmare/deadwall-last-enclosure/blob/e28f46223e73105ab2c5d83f3d50b99b58ef53e6/docs/codex/suivi-monde2026/INSPECTION_PHYSIQUE_2026.md</x:v>
      </x:c>
    </x:row>
    <x:row r="70">
      <x:c r="A70" t="str">
        <x:v>EXT-MONDE-T007/loot</x:v>
      </x:c>
      <x:c r="B70" t="str">
        <x:v>EXT-MONDE-T007</x:v>
      </x:c>
      <x:c r="C70" t="str">
        <x:v>Navires de haute mer</x:v>
      </x:c>
      <x:c r="D70" t="str">
        <x:v>Croiseur militaire abandonné</x:v>
      </x:c>
      <x:c r="E70" t="str">
        <x:v>Budget de butin persistant</x:v>
      </x:c>
      <x:c r="F70" t="str">
        <x:v>P1</x:v>
      </x:c>
      <x:c r="G70" t="str">
        <x:v>À faire</x:v>
      </x:c>
      <x:c r="H70" t="str">
        <x:v>Non affecté</x:v>
      </x:c>
      <x:c r="I70" t="str">
        <x:v>Livrable explicite, tests positifs et négatifs ; aucune validation déduite de la seule présence de la fiche.</x:v>
      </x:c>
      <x:c r="J70" t="str"/>
    </x:row>
    <x:row r="71">
      <x:c r="A71" t="str">
        <x:v>EXT-MONDE-T007/rencontres</x:v>
      </x:c>
      <x:c r="B71" t="str">
        <x:v>EXT-MONDE-T007</x:v>
      </x:c>
      <x:c r="C71" t="str">
        <x:v>Navires de haute mer</x:v>
      </x:c>
      <x:c r="D71" t="str">
        <x:v>Croiseur militaire abandonné</x:v>
      </x:c>
      <x:c r="E71" t="str">
        <x:v>Ennemis et faune contextualisés</x:v>
      </x:c>
      <x:c r="F71" t="str">
        <x:v>P1</x:v>
      </x:c>
      <x:c r="G71" t="str">
        <x:v>À faire</x:v>
      </x:c>
      <x:c r="H71" t="str">
        <x:v>Non affecté</x:v>
      </x:c>
      <x:c r="I71" t="str">
        <x:v>Livrable explicite, tests positifs et négatifs ; aucune validation déduite de la seule présence de la fiche.</x:v>
      </x:c>
      <x:c r="J71" t="str"/>
    </x:row>
    <x:row r="72">
      <x:c r="A72" t="str">
        <x:v>EXT-MONDE-T007/services</x:v>
      </x:c>
      <x:c r="B72" t="str">
        <x:v>EXT-MONDE-T007</x:v>
      </x:c>
      <x:c r="C72" t="str">
        <x:v>Navires de haute mer</x:v>
      </x:c>
      <x:c r="D72" t="str">
        <x:v>Croiseur militaire abandonné</x:v>
      </x:c>
      <x:c r="E72" t="str">
        <x:v>Énergie, eau et interactions</x:v>
      </x:c>
      <x:c r="F72" t="str">
        <x:v>P1</x:v>
      </x:c>
      <x:c r="G72" t="str">
        <x:v>À faire</x:v>
      </x:c>
      <x:c r="H72" t="str">
        <x:v>Non affecté</x:v>
      </x:c>
      <x:c r="I72" t="str">
        <x:v>Livrable explicite, tests positifs et négatifs ; aucune validation déduite de la seule présence de la fiche.</x:v>
      </x:c>
      <x:c r="J72" t="str"/>
    </x:row>
    <x:row r="73">
      <x:c r="A73" t="str">
        <x:v>EXT-MONDE-T007/art</x:v>
      </x:c>
      <x:c r="B73" t="str">
        <x:v>EXT-MONDE-T007</x:v>
      </x:c>
      <x:c r="C73" t="str">
        <x:v>Navires de haute mer</x:v>
      </x:c>
      <x:c r="D73" t="str">
        <x:v>Croiseur militaire abandonné</x:v>
      </x:c>
      <x:c r="E73" t="str">
        <x:v>Sprites, proportions et animations</x:v>
      </x:c>
      <x:c r="F73" t="str">
        <x:v>P1</x:v>
      </x:c>
      <x:c r="G73" t="str">
        <x:v>À faire</x:v>
      </x:c>
      <x:c r="H73" t="str">
        <x:v>Non affecté</x:v>
      </x:c>
      <x:c r="I73" t="str">
        <x:v>Livrable explicite, tests positifs et négatifs ; aucune validation déduite de la seule présence de la fiche.</x:v>
      </x:c>
      <x:c r="J73" t="str"/>
    </x:row>
    <x:row r="74">
      <x:c r="A74" t="str">
        <x:v>EXT-MONDE-T007/sauvegarde</x:v>
      </x:c>
      <x:c r="B74" t="str">
        <x:v>EXT-MONDE-T007</x:v>
      </x:c>
      <x:c r="C74" t="str">
        <x:v>Navires de haute mer</x:v>
      </x:c>
      <x:c r="D74" t="str">
        <x:v>Croiseur militaire abandonné</x:v>
      </x:c>
      <x:c r="E74" t="str">
        <x:v>Identités, migration et reprise</x:v>
      </x:c>
      <x:c r="F74" t="str">
        <x:v>P1</x:v>
      </x:c>
      <x:c r="G74" t="str">
        <x:v>En cours</x:v>
      </x:c>
      <x:c r="H74" t="str">
        <x:v>Production Codex</x:v>
      </x:c>
      <x:c r="I74" t="str">
        <x:v>Livrable explicite, tests positifs et négatifs ; aucune validation déduite de la seule présence de la fiche.</x:v>
      </x:c>
      <x:c r="J74" t="str">
        <x:v>https://github.com/darknigthmare/deadwall-last-enclosure/blob/e28f46223e73105ab2c5d83f3d50b99b58ef53e6/docs/codex/suivi-monde2026/INSPECTION_PHYSIQUE_2026.md</x:v>
      </x:c>
    </x:row>
    <x:row r="75">
      <x:c r="A75" t="str">
        <x:v>EXT-MONDE-T007/qa</x:v>
      </x:c>
      <x:c r="B75" t="str">
        <x:v>EXT-MONDE-T007</x:v>
      </x:c>
      <x:c r="C75" t="str">
        <x:v>Navires de haute mer</x:v>
      </x:c>
      <x:c r="D75" t="str">
        <x:v>Croiseur militaire abandonné</x:v>
      </x:c>
      <x:c r="E75" t="str">
        <x:v>Navigation et parcours jouables</x:v>
      </x:c>
      <x:c r="F75" t="str">
        <x:v>P1</x:v>
      </x:c>
      <x:c r="G75" t="str">
        <x:v>En cours</x:v>
      </x:c>
      <x:c r="H75" t="str">
        <x:v>Production Codex</x:v>
      </x:c>
      <x:c r="I75" t="str">
        <x:v>Livrable explicite, tests positifs et négatifs ; aucune validation déduite de la seule présence de la fiche.</x:v>
      </x:c>
      <x:c r="J75" t="str">
        <x:v>https://github.com/darknigthmare/deadwall-last-enclosure/blob/e28f46223e73105ab2c5d83f3d50b99b58ef53e6/docs/codex/suivi-monde2026/INSPECTION_PHYSIQUE_2026.md</x:v>
      </x:c>
    </x:row>
    <x:row r="76">
      <x:c r="A76" t="str">
        <x:v>EXT-MONDE-T008/dimensions</x:v>
      </x:c>
      <x:c r="B76" t="str">
        <x:v>EXT-MONDE-T008</x:v>
      </x:c>
      <x:c r="C76" t="str">
        <x:v>Navires de haute mer</x:v>
      </x:c>
      <x:c r="D76" t="str">
        <x:v>Sous-marin en surface</x:v>
      </x:c>
      <x:c r="E76" t="str">
        <x:v>Dimensions et plans de référence</x:v>
      </x:c>
      <x:c r="F76" t="str">
        <x:v>P0</x:v>
      </x:c>
      <x:c r="G76" t="str">
        <x:v>En cours</x:v>
      </x:c>
      <x:c r="H76" t="str">
        <x:v>Production Codex</x:v>
      </x:c>
      <x:c r="I76" t="str">
        <x:v>Sources publiques identifiées ; unités en mètres ; emprise au sol distincte de la hauteur.</x:v>
      </x:c>
      <x:c r="J76" t="str">
        <x:v>https://github.com/darknigthmare/deadwall-last-enclosure/blob/e28f46223e73105ab2c5d83f3d50b99b58ef53e6/docs/codex/suivi-monde2026/MARITIME_AUTEUR_2026.md</x:v>
      </x:c>
    </x:row>
    <x:row r="77">
      <x:c r="A77" t="str">
        <x:v>EXT-MONDE-T008/architecture</x:v>
      </x:c>
      <x:c r="B77" t="str">
        <x:v>EXT-MONDE-T008</x:v>
      </x:c>
      <x:c r="C77" t="str">
        <x:v>Navires de haute mer</x:v>
      </x:c>
      <x:c r="D77" t="str">
        <x:v>Sous-marin en surface</x:v>
      </x:c>
      <x:c r="E77" t="str">
        <x:v>Pièces, étages, annexes</x:v>
      </x:c>
      <x:c r="F77" t="str">
        <x:v>P0</x:v>
      </x:c>
      <x:c r="G77" t="str">
        <x:v>En cours</x:v>
      </x:c>
      <x:c r="H77" t="str">
        <x:v>Production Codex</x:v>
      </x:c>
      <x:c r="I77" t="str">
        <x:v>Livrable explicite, tests positifs et négatifs ; aucune validation déduite de la seule présence de la fiche.</x:v>
      </x:c>
      <x:c r="J77" t="str">
        <x:v>https://github.com/darknigthmare/deadwall-last-enclosure/blob/e28f46223e73105ab2c5d83f3d50b99b58ef53e6/docs/codex/suivi-monde2026/INSPECTION_PHYSIQUE_2026.md</x:v>
      </x:c>
    </x:row>
    <x:row r="78">
      <x:c r="A78" t="str">
        <x:v>EXT-MONDE-T008/seed</x:v>
      </x:c>
      <x:c r="B78" t="str">
        <x:v>EXT-MONDE-T008</x:v>
      </x:c>
      <x:c r="C78" t="str">
        <x:v>Navires de haute mer</x:v>
      </x:c>
      <x:c r="D78" t="str">
        <x:v>Sous-marin en surface</x:v>
      </x:c>
      <x:c r="E78" t="str">
        <x:v>Implantation et réseaux</x:v>
      </x:c>
      <x:c r="F78" t="str">
        <x:v>P0</x:v>
      </x:c>
      <x:c r="G78" t="str">
        <x:v>À faire</x:v>
      </x:c>
      <x:c r="H78" t="str">
        <x:v>Non affecté</x:v>
      </x:c>
      <x:c r="I78" t="str">
        <x:v>Tirant d’eau, compartiments et accès à vérifier par type ; aucune circulation piétonne sur eau.</x:v>
      </x:c>
      <x:c r="J78" t="str"/>
    </x:row>
    <x:row r="79">
      <x:c r="A79" t="str">
        <x:v>EXT-MONDE-T008/props</x:v>
      </x:c>
      <x:c r="B79" t="str">
        <x:v>EXT-MONDE-T008</x:v>
      </x:c>
      <x:c r="C79" t="str">
        <x:v>Navires de haute mer</x:v>
      </x:c>
      <x:c r="D79" t="str">
        <x:v>Sous-marin en surface</x:v>
      </x:c>
      <x:c r="E79" t="str">
        <x:v>Objets, décors et dégagements</x:v>
      </x:c>
      <x:c r="F79" t="str">
        <x:v>P1</x:v>
      </x:c>
      <x:c r="G79" t="str">
        <x:v>En cours</x:v>
      </x:c>
      <x:c r="H79" t="str">
        <x:v>Production Codex</x:v>
      </x:c>
      <x:c r="I79" t="str">
        <x:v>Livrable explicite, tests positifs et négatifs ; aucune validation déduite de la seule présence de la fiche.</x:v>
      </x:c>
      <x:c r="J79" t="str">
        <x:v>https://github.com/darknigthmare/deadwall-last-enclosure/blob/e28f46223e73105ab2c5d83f3d50b99b58ef53e6/docs/codex/suivi-monde2026/INSPECTION_PHYSIQUE_2026.md</x:v>
      </x:c>
    </x:row>
    <x:row r="80">
      <x:c r="A80" t="str">
        <x:v>EXT-MONDE-T008/loot</x:v>
      </x:c>
      <x:c r="B80" t="str">
        <x:v>EXT-MONDE-T008</x:v>
      </x:c>
      <x:c r="C80" t="str">
        <x:v>Navires de haute mer</x:v>
      </x:c>
      <x:c r="D80" t="str">
        <x:v>Sous-marin en surface</x:v>
      </x:c>
      <x:c r="E80" t="str">
        <x:v>Budget de butin persistant</x:v>
      </x:c>
      <x:c r="F80" t="str">
        <x:v>P1</x:v>
      </x:c>
      <x:c r="G80" t="str">
        <x:v>À faire</x:v>
      </x:c>
      <x:c r="H80" t="str">
        <x:v>Non affecté</x:v>
      </x:c>
      <x:c r="I80" t="str">
        <x:v>Livrable explicite, tests positifs et négatifs ; aucune validation déduite de la seule présence de la fiche.</x:v>
      </x:c>
      <x:c r="J80" t="str"/>
    </x:row>
    <x:row r="81">
      <x:c r="A81" t="str">
        <x:v>EXT-MONDE-T008/rencontres</x:v>
      </x:c>
      <x:c r="B81" t="str">
        <x:v>EXT-MONDE-T008</x:v>
      </x:c>
      <x:c r="C81" t="str">
        <x:v>Navires de haute mer</x:v>
      </x:c>
      <x:c r="D81" t="str">
        <x:v>Sous-marin en surface</x:v>
      </x:c>
      <x:c r="E81" t="str">
        <x:v>Ennemis et faune contextualisés</x:v>
      </x:c>
      <x:c r="F81" t="str">
        <x:v>P1</x:v>
      </x:c>
      <x:c r="G81" t="str">
        <x:v>À faire</x:v>
      </x:c>
      <x:c r="H81" t="str">
        <x:v>Non affecté</x:v>
      </x:c>
      <x:c r="I81" t="str">
        <x:v>Livrable explicite, tests positifs et négatifs ; aucune validation déduite de la seule présence de la fiche.</x:v>
      </x:c>
      <x:c r="J81" t="str"/>
    </x:row>
    <x:row r="82">
      <x:c r="A82" t="str">
        <x:v>EXT-MONDE-T008/services</x:v>
      </x:c>
      <x:c r="B82" t="str">
        <x:v>EXT-MONDE-T008</x:v>
      </x:c>
      <x:c r="C82" t="str">
        <x:v>Navires de haute mer</x:v>
      </x:c>
      <x:c r="D82" t="str">
        <x:v>Sous-marin en surface</x:v>
      </x:c>
      <x:c r="E82" t="str">
        <x:v>Énergie, eau et interactions</x:v>
      </x:c>
      <x:c r="F82" t="str">
        <x:v>P1</x:v>
      </x:c>
      <x:c r="G82" t="str">
        <x:v>À faire</x:v>
      </x:c>
      <x:c r="H82" t="str">
        <x:v>Non affecté</x:v>
      </x:c>
      <x:c r="I82" t="str">
        <x:v>Livrable explicite, tests positifs et négatifs ; aucune validation déduite de la seule présence de la fiche.</x:v>
      </x:c>
      <x:c r="J82" t="str"/>
    </x:row>
    <x:row r="83">
      <x:c r="A83" t="str">
        <x:v>EXT-MONDE-T008/art</x:v>
      </x:c>
      <x:c r="B83" t="str">
        <x:v>EXT-MONDE-T008</x:v>
      </x:c>
      <x:c r="C83" t="str">
        <x:v>Navires de haute mer</x:v>
      </x:c>
      <x:c r="D83" t="str">
        <x:v>Sous-marin en surface</x:v>
      </x:c>
      <x:c r="E83" t="str">
        <x:v>Sprites, proportions et animations</x:v>
      </x:c>
      <x:c r="F83" t="str">
        <x:v>P1</x:v>
      </x:c>
      <x:c r="G83" t="str">
        <x:v>À faire</x:v>
      </x:c>
      <x:c r="H83" t="str">
        <x:v>Non affecté</x:v>
      </x:c>
      <x:c r="I83" t="str">
        <x:v>Livrable explicite, tests positifs et négatifs ; aucune validation déduite de la seule présence de la fiche.</x:v>
      </x:c>
      <x:c r="J83" t="str"/>
    </x:row>
    <x:row r="84">
      <x:c r="A84" t="str">
        <x:v>EXT-MONDE-T008/sauvegarde</x:v>
      </x:c>
      <x:c r="B84" t="str">
        <x:v>EXT-MONDE-T008</x:v>
      </x:c>
      <x:c r="C84" t="str">
        <x:v>Navires de haute mer</x:v>
      </x:c>
      <x:c r="D84" t="str">
        <x:v>Sous-marin en surface</x:v>
      </x:c>
      <x:c r="E84" t="str">
        <x:v>Identités, migration et reprise</x:v>
      </x:c>
      <x:c r="F84" t="str">
        <x:v>P1</x:v>
      </x:c>
      <x:c r="G84" t="str">
        <x:v>En cours</x:v>
      </x:c>
      <x:c r="H84" t="str">
        <x:v>Production Codex</x:v>
      </x:c>
      <x:c r="I84" t="str">
        <x:v>Livrable explicite, tests positifs et négatifs ; aucune validation déduite de la seule présence de la fiche.</x:v>
      </x:c>
      <x:c r="J84" t="str">
        <x:v>https://github.com/darknigthmare/deadwall-last-enclosure/blob/e28f46223e73105ab2c5d83f3d50b99b58ef53e6/docs/codex/suivi-monde2026/INSPECTION_PHYSIQUE_2026.md</x:v>
      </x:c>
    </x:row>
    <x:row r="85">
      <x:c r="A85" t="str">
        <x:v>EXT-MONDE-T008/qa</x:v>
      </x:c>
      <x:c r="B85" t="str">
        <x:v>EXT-MONDE-T008</x:v>
      </x:c>
      <x:c r="C85" t="str">
        <x:v>Navires de haute mer</x:v>
      </x:c>
      <x:c r="D85" t="str">
        <x:v>Sous-marin en surface</x:v>
      </x:c>
      <x:c r="E85" t="str">
        <x:v>Navigation et parcours jouables</x:v>
      </x:c>
      <x:c r="F85" t="str">
        <x:v>P1</x:v>
      </x:c>
      <x:c r="G85" t="str">
        <x:v>En cours</x:v>
      </x:c>
      <x:c r="H85" t="str">
        <x:v>Production Codex</x:v>
      </x:c>
      <x:c r="I85" t="str">
        <x:v>Livrable explicite, tests positifs et négatifs ; aucune validation déduite de la seule présence de la fiche.</x:v>
      </x:c>
      <x:c r="J85" t="str">
        <x:v>https://github.com/darknigthmare/deadwall-last-enclosure/blob/e28f46223e73105ab2c5d83f3d50b99b58ef53e6/docs/codex/suivi-monde2026/INSPECTION_PHYSIQUE_2026.md</x:v>
      </x:c>
    </x:row>
    <x:row r="86">
      <x:c r="A86" t="str">
        <x:v>EXT-MONDE-T009/dimensions</x:v>
      </x:c>
      <x:c r="B86" t="str">
        <x:v>EXT-MONDE-T009</x:v>
      </x:c>
      <x:c r="C86" t="str">
        <x:v>Offshore</x:v>
      </x:c>
      <x:c r="D86" t="str">
        <x:v>Plateforme pétrolière fixe</x:v>
      </x:c>
      <x:c r="E86" t="str">
        <x:v>Dimensions et plans de référence</x:v>
      </x:c>
      <x:c r="F86" t="str">
        <x:v>P0</x:v>
      </x:c>
      <x:c r="G86" t="str">
        <x:v>En cours</x:v>
      </x:c>
      <x:c r="H86" t="str">
        <x:v>Production Codex</x:v>
      </x:c>
      <x:c r="I86" t="str">
        <x:v>Sources publiques identifiées ; unités en mètres ; emprise au sol distincte de la hauteur.</x:v>
      </x:c>
      <x:c r="J86" t="str">
        <x:v>https://github.com/darknigthmare/deadwall-last-enclosure/blob/e28f46223e73105ab2c5d83f3d50b99b58ef53e6/docs/codex/suivi-monde2026/PORTS_ILES_2026.md</x:v>
      </x:c>
    </x:row>
    <x:row r="87">
      <x:c r="A87" t="str">
        <x:v>EXT-MONDE-T009/architecture</x:v>
      </x:c>
      <x:c r="B87" t="str">
        <x:v>EXT-MONDE-T009</x:v>
      </x:c>
      <x:c r="C87" t="str">
        <x:v>Offshore</x:v>
      </x:c>
      <x:c r="D87" t="str">
        <x:v>Plateforme pétrolière fixe</x:v>
      </x:c>
      <x:c r="E87" t="str">
        <x:v>Pièces, étages, annexes</x:v>
      </x:c>
      <x:c r="F87" t="str">
        <x:v>P0</x:v>
      </x:c>
      <x:c r="G87" t="str">
        <x:v>En cours</x:v>
      </x:c>
      <x:c r="H87" t="str">
        <x:v>Production Codex</x:v>
      </x:c>
      <x:c r="I87" t="str">
        <x:v>Livrable explicite, tests positifs et négatifs ; aucune validation déduite de la seule présence de la fiche.</x:v>
      </x:c>
      <x:c r="J87" t="str">
        <x:v>https://github.com/darknigthmare/deadwall-last-enclosure/blob/e28f46223e73105ab2c5d83f3d50b99b58ef53e6/docs/codex/suivi-monde2026/INSPECTION_PHYSIQUE_2026.md</x:v>
      </x:c>
    </x:row>
    <x:row r="88">
      <x:c r="A88" t="str">
        <x:v>EXT-MONDE-T009/seed</x:v>
      </x:c>
      <x:c r="B88" t="str">
        <x:v>EXT-MONDE-T009</x:v>
      </x:c>
      <x:c r="C88" t="str">
        <x:v>Offshore</x:v>
      </x:c>
      <x:c r="D88" t="str">
        <x:v>Plateforme pétrolière fixe</x:v>
      </x:c>
      <x:c r="E88" t="str">
        <x:v>Implantation et réseaux</x:v>
      </x:c>
      <x:c r="F88" t="str">
        <x:v>P0</x:v>
      </x:c>
      <x:c r="G88" t="str">
        <x:v>À faire</x:v>
      </x:c>
      <x:c r="H88" t="str">
        <x:v>Non affecté</x:v>
      </x:c>
      <x:c r="I88" t="str">
        <x:v>Structure maritime réservée ; appuis et niveaux indépendants ; pas de production automatique.</x:v>
      </x:c>
      <x:c r="J88" t="str"/>
    </x:row>
    <x:row r="89">
      <x:c r="A89" t="str">
        <x:v>EXT-MONDE-T009/props</x:v>
      </x:c>
      <x:c r="B89" t="str">
        <x:v>EXT-MONDE-T009</x:v>
      </x:c>
      <x:c r="C89" t="str">
        <x:v>Offshore</x:v>
      </x:c>
      <x:c r="D89" t="str">
        <x:v>Plateforme pétrolière fixe</x:v>
      </x:c>
      <x:c r="E89" t="str">
        <x:v>Objets, décors et dégagements</x:v>
      </x:c>
      <x:c r="F89" t="str">
        <x:v>P1</x:v>
      </x:c>
      <x:c r="G89" t="str">
        <x:v>En cours</x:v>
      </x:c>
      <x:c r="H89" t="str">
        <x:v>Production Codex</x:v>
      </x:c>
      <x:c r="I89" t="str">
        <x:v>Livrable explicite, tests positifs et négatifs ; aucune validation déduite de la seule présence de la fiche.</x:v>
      </x:c>
      <x:c r="J89" t="str">
        <x:v>https://github.com/darknigthmare/deadwall-last-enclosure/blob/e28f46223e73105ab2c5d83f3d50b99b58ef53e6/docs/codex/suivi-monde2026/INSPECTION_PHYSIQUE_2026.md</x:v>
      </x:c>
    </x:row>
    <x:row r="90">
      <x:c r="A90" t="str">
        <x:v>EXT-MONDE-T009/loot</x:v>
      </x:c>
      <x:c r="B90" t="str">
        <x:v>EXT-MONDE-T009</x:v>
      </x:c>
      <x:c r="C90" t="str">
        <x:v>Offshore</x:v>
      </x:c>
      <x:c r="D90" t="str">
        <x:v>Plateforme pétrolière fixe</x:v>
      </x:c>
      <x:c r="E90" t="str">
        <x:v>Budget de butin persistant</x:v>
      </x:c>
      <x:c r="F90" t="str">
        <x:v>P1</x:v>
      </x:c>
      <x:c r="G90" t="str">
        <x:v>À faire</x:v>
      </x:c>
      <x:c r="H90" t="str">
        <x:v>Non affecté</x:v>
      </x:c>
      <x:c r="I90" t="str">
        <x:v>Livrable explicite, tests positifs et négatifs ; aucune validation déduite de la seule présence de la fiche.</x:v>
      </x:c>
      <x:c r="J90" t="str"/>
    </x:row>
    <x:row r="91">
      <x:c r="A91" t="str">
        <x:v>EXT-MONDE-T009/rencontres</x:v>
      </x:c>
      <x:c r="B91" t="str">
        <x:v>EXT-MONDE-T009</x:v>
      </x:c>
      <x:c r="C91" t="str">
        <x:v>Offshore</x:v>
      </x:c>
      <x:c r="D91" t="str">
        <x:v>Plateforme pétrolière fixe</x:v>
      </x:c>
      <x:c r="E91" t="str">
        <x:v>Ennemis et faune contextualisés</x:v>
      </x:c>
      <x:c r="F91" t="str">
        <x:v>P1</x:v>
      </x:c>
      <x:c r="G91" t="str">
        <x:v>À faire</x:v>
      </x:c>
      <x:c r="H91" t="str">
        <x:v>Non affecté</x:v>
      </x:c>
      <x:c r="I91" t="str">
        <x:v>Livrable explicite, tests positifs et négatifs ; aucune validation déduite de la seule présence de la fiche.</x:v>
      </x:c>
      <x:c r="J91" t="str"/>
    </x:row>
    <x:row r="92">
      <x:c r="A92" t="str">
        <x:v>EXT-MONDE-T009/services</x:v>
      </x:c>
      <x:c r="B92" t="str">
        <x:v>EXT-MONDE-T009</x:v>
      </x:c>
      <x:c r="C92" t="str">
        <x:v>Offshore</x:v>
      </x:c>
      <x:c r="D92" t="str">
        <x:v>Plateforme pétrolière fixe</x:v>
      </x:c>
      <x:c r="E92" t="str">
        <x:v>Énergie, eau et interactions</x:v>
      </x:c>
      <x:c r="F92" t="str">
        <x:v>P1</x:v>
      </x:c>
      <x:c r="G92" t="str">
        <x:v>À faire</x:v>
      </x:c>
      <x:c r="H92" t="str">
        <x:v>Non affecté</x:v>
      </x:c>
      <x:c r="I92" t="str">
        <x:v>Livrable explicite, tests positifs et négatifs ; aucune validation déduite de la seule présence de la fiche.</x:v>
      </x:c>
      <x:c r="J92" t="str"/>
    </x:row>
    <x:row r="93">
      <x:c r="A93" t="str">
        <x:v>EXT-MONDE-T009/art</x:v>
      </x:c>
      <x:c r="B93" t="str">
        <x:v>EXT-MONDE-T009</x:v>
      </x:c>
      <x:c r="C93" t="str">
        <x:v>Offshore</x:v>
      </x:c>
      <x:c r="D93" t="str">
        <x:v>Plateforme pétrolière fixe</x:v>
      </x:c>
      <x:c r="E93" t="str">
        <x:v>Sprites, proportions et animations</x:v>
      </x:c>
      <x:c r="F93" t="str">
        <x:v>P1</x:v>
      </x:c>
      <x:c r="G93" t="str">
        <x:v>À faire</x:v>
      </x:c>
      <x:c r="H93" t="str">
        <x:v>Non affecté</x:v>
      </x:c>
      <x:c r="I93" t="str">
        <x:v>Livrable explicite, tests positifs et négatifs ; aucune validation déduite de la seule présence de la fiche.</x:v>
      </x:c>
      <x:c r="J93" t="str"/>
    </x:row>
    <x:row r="94">
      <x:c r="A94" t="str">
        <x:v>EXT-MONDE-T009/sauvegarde</x:v>
      </x:c>
      <x:c r="B94" t="str">
        <x:v>EXT-MONDE-T009</x:v>
      </x:c>
      <x:c r="C94" t="str">
        <x:v>Offshore</x:v>
      </x:c>
      <x:c r="D94" t="str">
        <x:v>Plateforme pétrolière fixe</x:v>
      </x:c>
      <x:c r="E94" t="str">
        <x:v>Identités, migration et reprise</x:v>
      </x:c>
      <x:c r="F94" t="str">
        <x:v>P1</x:v>
      </x:c>
      <x:c r="G94" t="str">
        <x:v>En cours</x:v>
      </x:c>
      <x:c r="H94" t="str">
        <x:v>Production Codex</x:v>
      </x:c>
      <x:c r="I94" t="str">
        <x:v>Livrable explicite, tests positifs et négatifs ; aucune validation déduite de la seule présence de la fiche.</x:v>
      </x:c>
      <x:c r="J94" t="str">
        <x:v>https://github.com/darknigthmare/deadwall-last-enclosure/blob/e28f46223e73105ab2c5d83f3d50b99b58ef53e6/docs/codex/suivi-monde2026/INSPECTION_PHYSIQUE_2026.md</x:v>
      </x:c>
    </x:row>
    <x:row r="95">
      <x:c r="A95" t="str">
        <x:v>EXT-MONDE-T009/qa</x:v>
      </x:c>
      <x:c r="B95" t="str">
        <x:v>EXT-MONDE-T009</x:v>
      </x:c>
      <x:c r="C95" t="str">
        <x:v>Offshore</x:v>
      </x:c>
      <x:c r="D95" t="str">
        <x:v>Plateforme pétrolière fixe</x:v>
      </x:c>
      <x:c r="E95" t="str">
        <x:v>Navigation et parcours jouables</x:v>
      </x:c>
      <x:c r="F95" t="str">
        <x:v>P1</x:v>
      </x:c>
      <x:c r="G95" t="str">
        <x:v>En cours</x:v>
      </x:c>
      <x:c r="H95" t="str">
        <x:v>Production Codex</x:v>
      </x:c>
      <x:c r="I95" t="str">
        <x:v>Livrable explicite, tests positifs et négatifs ; aucune validation déduite de la seule présence de la fiche.</x:v>
      </x:c>
      <x:c r="J95" t="str">
        <x:v>https://github.com/darknigthmare/deadwall-last-enclosure/blob/e28f46223e73105ab2c5d83f3d50b99b58ef53e6/docs/codex/suivi-monde2026/INSPECTION_PHYSIQUE_2026.md</x:v>
      </x:c>
    </x:row>
    <x:row r="96">
      <x:c r="A96" t="str">
        <x:v>EXT-MONDE-T010/dimensions</x:v>
      </x:c>
      <x:c r="B96" t="str">
        <x:v>EXT-MONDE-T010</x:v>
      </x:c>
      <x:c r="C96" t="str">
        <x:v>Offshore</x:v>
      </x:c>
      <x:c r="D96" t="str">
        <x:v>Plateforme semi-submersible</x:v>
      </x:c>
      <x:c r="E96" t="str">
        <x:v>Dimensions et plans de référence</x:v>
      </x:c>
      <x:c r="F96" t="str">
        <x:v>P0</x:v>
      </x:c>
      <x:c r="G96" t="str">
        <x:v>En cours</x:v>
      </x:c>
      <x:c r="H96" t="str">
        <x:v>Production Codex</x:v>
      </x:c>
      <x:c r="I96" t="str">
        <x:v>Sources publiques identifiées ; unités en mètres ; emprise au sol distincte de la hauteur.</x:v>
      </x:c>
      <x:c r="J96" t="str">
        <x:v>https://github.com/darknigthmare/deadwall-last-enclosure/blob/e28f46223e73105ab2c5d83f3d50b99b58ef53e6/docs/codex/suivi-monde2026/PORTS_ILES_2026.md</x:v>
      </x:c>
    </x:row>
    <x:row r="97">
      <x:c r="A97" t="str">
        <x:v>EXT-MONDE-T010/architecture</x:v>
      </x:c>
      <x:c r="B97" t="str">
        <x:v>EXT-MONDE-T010</x:v>
      </x:c>
      <x:c r="C97" t="str">
        <x:v>Offshore</x:v>
      </x:c>
      <x:c r="D97" t="str">
        <x:v>Plateforme semi-submersible</x:v>
      </x:c>
      <x:c r="E97" t="str">
        <x:v>Pièces, étages, annexes</x:v>
      </x:c>
      <x:c r="F97" t="str">
        <x:v>P0</x:v>
      </x:c>
      <x:c r="G97" t="str">
        <x:v>En cours</x:v>
      </x:c>
      <x:c r="H97" t="str">
        <x:v>Production Codex</x:v>
      </x:c>
      <x:c r="I97" t="str">
        <x:v>Livrable explicite, tests positifs et négatifs ; aucune validation déduite de la seule présence de la fiche.</x:v>
      </x:c>
      <x:c r="J97" t="str">
        <x:v>https://github.com/darknigthmare/deadwall-last-enclosure/blob/e28f46223e73105ab2c5d83f3d50b99b58ef53e6/docs/codex/suivi-monde2026/INSPECTION_PHYSIQUE_2026.md</x:v>
      </x:c>
    </x:row>
    <x:row r="98">
      <x:c r="A98" t="str">
        <x:v>EXT-MONDE-T010/seed</x:v>
      </x:c>
      <x:c r="B98" t="str">
        <x:v>EXT-MONDE-T010</x:v>
      </x:c>
      <x:c r="C98" t="str">
        <x:v>Offshore</x:v>
      </x:c>
      <x:c r="D98" t="str">
        <x:v>Plateforme semi-submersible</x:v>
      </x:c>
      <x:c r="E98" t="str">
        <x:v>Implantation et réseaux</x:v>
      </x:c>
      <x:c r="F98" t="str">
        <x:v>P0</x:v>
      </x:c>
      <x:c r="G98" t="str">
        <x:v>À faire</x:v>
      </x:c>
      <x:c r="H98" t="str">
        <x:v>Non affecté</x:v>
      </x:c>
      <x:c r="I98" t="str">
        <x:v>Structure maritime réservée ; appuis et niveaux indépendants ; pas de production automatique.</x:v>
      </x:c>
      <x:c r="J98" t="str"/>
    </x:row>
    <x:row r="99">
      <x:c r="A99" t="str">
        <x:v>EXT-MONDE-T010/props</x:v>
      </x:c>
      <x:c r="B99" t="str">
        <x:v>EXT-MONDE-T010</x:v>
      </x:c>
      <x:c r="C99" t="str">
        <x:v>Offshore</x:v>
      </x:c>
      <x:c r="D99" t="str">
        <x:v>Plateforme semi-submersible</x:v>
      </x:c>
      <x:c r="E99" t="str">
        <x:v>Objets, décors et dégagements</x:v>
      </x:c>
      <x:c r="F99" t="str">
        <x:v>P1</x:v>
      </x:c>
      <x:c r="G99" t="str">
        <x:v>En cours</x:v>
      </x:c>
      <x:c r="H99" t="str">
        <x:v>Production Codex</x:v>
      </x:c>
      <x:c r="I99" t="str">
        <x:v>Livrable explicite, tests positifs et négatifs ; aucune validation déduite de la seule présence de la fiche.</x:v>
      </x:c>
      <x:c r="J99" t="str">
        <x:v>https://github.com/darknigthmare/deadwall-last-enclosure/blob/e28f46223e73105ab2c5d83f3d50b99b58ef53e6/docs/codex/suivi-monde2026/INSPECTION_PHYSIQUE_2026.md</x:v>
      </x:c>
    </x:row>
    <x:row r="100">
      <x:c r="A100" t="str">
        <x:v>EXT-MONDE-T010/loot</x:v>
      </x:c>
      <x:c r="B100" t="str">
        <x:v>EXT-MONDE-T010</x:v>
      </x:c>
      <x:c r="C100" t="str">
        <x:v>Offshore</x:v>
      </x:c>
      <x:c r="D100" t="str">
        <x:v>Plateforme semi-submersible</x:v>
      </x:c>
      <x:c r="E100" t="str">
        <x:v>Budget de butin persistant</x:v>
      </x:c>
      <x:c r="F100" t="str">
        <x:v>P1</x:v>
      </x:c>
      <x:c r="G100" t="str">
        <x:v>À faire</x:v>
      </x:c>
      <x:c r="H100" t="str">
        <x:v>Non affecté</x:v>
      </x:c>
      <x:c r="I100" t="str">
        <x:v>Livrable explicite, tests positifs et négatifs ; aucune validation déduite de la seule présence de la fiche.</x:v>
      </x:c>
      <x:c r="J100" t="str"/>
    </x:row>
    <x:row r="101">
      <x:c r="A101" t="str">
        <x:v>EXT-MONDE-T010/rencontres</x:v>
      </x:c>
      <x:c r="B101" t="str">
        <x:v>EXT-MONDE-T010</x:v>
      </x:c>
      <x:c r="C101" t="str">
        <x:v>Offshore</x:v>
      </x:c>
      <x:c r="D101" t="str">
        <x:v>Plateforme semi-submersible</x:v>
      </x:c>
      <x:c r="E101" t="str">
        <x:v>Ennemis et faune contextualisés</x:v>
      </x:c>
      <x:c r="F101" t="str">
        <x:v>P1</x:v>
      </x:c>
      <x:c r="G101" t="str">
        <x:v>À faire</x:v>
      </x:c>
      <x:c r="H101" t="str">
        <x:v>Non affecté</x:v>
      </x:c>
      <x:c r="I101" t="str">
        <x:v>Livrable explicite, tests positifs et négatifs ; aucune validation déduite de la seule présence de la fiche.</x:v>
      </x:c>
      <x:c r="J101" t="str"/>
    </x:row>
    <x:row r="102">
      <x:c r="A102" t="str">
        <x:v>EXT-MONDE-T010/services</x:v>
      </x:c>
      <x:c r="B102" t="str">
        <x:v>EXT-MONDE-T010</x:v>
      </x:c>
      <x:c r="C102" t="str">
        <x:v>Offshore</x:v>
      </x:c>
      <x:c r="D102" t="str">
        <x:v>Plateforme semi-submersible</x:v>
      </x:c>
      <x:c r="E102" t="str">
        <x:v>Énergie, eau et interactions</x:v>
      </x:c>
      <x:c r="F102" t="str">
        <x:v>P1</x:v>
      </x:c>
      <x:c r="G102" t="str">
        <x:v>À faire</x:v>
      </x:c>
      <x:c r="H102" t="str">
        <x:v>Non affecté</x:v>
      </x:c>
      <x:c r="I102" t="str">
        <x:v>Livrable explicite, tests positifs et négatifs ; aucune validation déduite de la seule présence de la fiche.</x:v>
      </x:c>
      <x:c r="J102" t="str"/>
    </x:row>
    <x:row r="103">
      <x:c r="A103" t="str">
        <x:v>EXT-MONDE-T010/art</x:v>
      </x:c>
      <x:c r="B103" t="str">
        <x:v>EXT-MONDE-T010</x:v>
      </x:c>
      <x:c r="C103" t="str">
        <x:v>Offshore</x:v>
      </x:c>
      <x:c r="D103" t="str">
        <x:v>Plateforme semi-submersible</x:v>
      </x:c>
      <x:c r="E103" t="str">
        <x:v>Sprites, proportions et animations</x:v>
      </x:c>
      <x:c r="F103" t="str">
        <x:v>P1</x:v>
      </x:c>
      <x:c r="G103" t="str">
        <x:v>À faire</x:v>
      </x:c>
      <x:c r="H103" t="str">
        <x:v>Non affecté</x:v>
      </x:c>
      <x:c r="I103" t="str">
        <x:v>Livrable explicite, tests positifs et négatifs ; aucune validation déduite de la seule présence de la fiche.</x:v>
      </x:c>
      <x:c r="J103" t="str"/>
    </x:row>
    <x:row r="104">
      <x:c r="A104" t="str">
        <x:v>EXT-MONDE-T010/sauvegarde</x:v>
      </x:c>
      <x:c r="B104" t="str">
        <x:v>EXT-MONDE-T010</x:v>
      </x:c>
      <x:c r="C104" t="str">
        <x:v>Offshore</x:v>
      </x:c>
      <x:c r="D104" t="str">
        <x:v>Plateforme semi-submersible</x:v>
      </x:c>
      <x:c r="E104" t="str">
        <x:v>Identités, migration et reprise</x:v>
      </x:c>
      <x:c r="F104" t="str">
        <x:v>P1</x:v>
      </x:c>
      <x:c r="G104" t="str">
        <x:v>En cours</x:v>
      </x:c>
      <x:c r="H104" t="str">
        <x:v>Production Codex</x:v>
      </x:c>
      <x:c r="I104" t="str">
        <x:v>Livrable explicite, tests positifs et négatifs ; aucune validation déduite de la seule présence de la fiche.</x:v>
      </x:c>
      <x:c r="J104" t="str">
        <x:v>https://github.com/darknigthmare/deadwall-last-enclosure/blob/e28f46223e73105ab2c5d83f3d50b99b58ef53e6/docs/codex/suivi-monde2026/INSPECTION_PHYSIQUE_2026.md</x:v>
      </x:c>
    </x:row>
    <x:row r="105">
      <x:c r="A105" t="str">
        <x:v>EXT-MONDE-T010/qa</x:v>
      </x:c>
      <x:c r="B105" t="str">
        <x:v>EXT-MONDE-T010</x:v>
      </x:c>
      <x:c r="C105" t="str">
        <x:v>Offshore</x:v>
      </x:c>
      <x:c r="D105" t="str">
        <x:v>Plateforme semi-submersible</x:v>
      </x:c>
      <x:c r="E105" t="str">
        <x:v>Navigation et parcours jouables</x:v>
      </x:c>
      <x:c r="F105" t="str">
        <x:v>P1</x:v>
      </x:c>
      <x:c r="G105" t="str">
        <x:v>En cours</x:v>
      </x:c>
      <x:c r="H105" t="str">
        <x:v>Production Codex</x:v>
      </x:c>
      <x:c r="I105" t="str">
        <x:v>Livrable explicite, tests positifs et négatifs ; aucune validation déduite de la seule présence de la fiche.</x:v>
      </x:c>
      <x:c r="J105" t="str">
        <x:v>https://github.com/darknigthmare/deadwall-last-enclosure/blob/e28f46223e73105ab2c5d83f3d50b99b58ef53e6/docs/codex/suivi-monde2026/INSPECTION_PHYSIQUE_2026.md</x:v>
      </x:c>
    </x:row>
    <x:row r="106">
      <x:c r="A106" t="str">
        <x:v>EXT-MONDE-T011/dimensions</x:v>
      </x:c>
      <x:c r="B106" t="str">
        <x:v>EXT-MONDE-T011</x:v>
      </x:c>
      <x:c r="C106" t="str">
        <x:v>Offshore</x:v>
      </x:c>
      <x:c r="D106" t="str">
        <x:v>Navire de soutien offshore</x:v>
      </x:c>
      <x:c r="E106" t="str">
        <x:v>Dimensions et plans de référence</x:v>
      </x:c>
      <x:c r="F106" t="str">
        <x:v>P0</x:v>
      </x:c>
      <x:c r="G106" t="str">
        <x:v>En cours</x:v>
      </x:c>
      <x:c r="H106" t="str">
        <x:v>Production Codex</x:v>
      </x:c>
      <x:c r="I106" t="str">
        <x:v>Sources publiques identifiées ; unités en mètres ; emprise au sol distincte de la hauteur.</x:v>
      </x:c>
      <x:c r="J106" t="str">
        <x:v>https://github.com/darknigthmare/deadwall-last-enclosure/blob/e28f46223e73105ab2c5d83f3d50b99b58ef53e6/docs/codex/suivi-monde2026/MARITIME_AUTEUR_2026.md</x:v>
      </x:c>
    </x:row>
    <x:row r="107">
      <x:c r="A107" t="str">
        <x:v>EXT-MONDE-T011/architecture</x:v>
      </x:c>
      <x:c r="B107" t="str">
        <x:v>EXT-MONDE-T011</x:v>
      </x:c>
      <x:c r="C107" t="str">
        <x:v>Offshore</x:v>
      </x:c>
      <x:c r="D107" t="str">
        <x:v>Navire de soutien offshore</x:v>
      </x:c>
      <x:c r="E107" t="str">
        <x:v>Pièces, étages, annexes</x:v>
      </x:c>
      <x:c r="F107" t="str">
        <x:v>P0</x:v>
      </x:c>
      <x:c r="G107" t="str">
        <x:v>En cours</x:v>
      </x:c>
      <x:c r="H107" t="str">
        <x:v>Production Codex</x:v>
      </x:c>
      <x:c r="I107" t="str">
        <x:v>Livrable explicite, tests positifs et négatifs ; aucune validation déduite de la seule présence de la fiche.</x:v>
      </x:c>
      <x:c r="J107" t="str">
        <x:v>https://github.com/darknigthmare/deadwall-last-enclosure/blob/e28f46223e73105ab2c5d83f3d50b99b58ef53e6/docs/codex/suivi-monde2026/INSPECTION_PHYSIQUE_2026.md</x:v>
      </x:c>
    </x:row>
    <x:row r="108">
      <x:c r="A108" t="str">
        <x:v>EXT-MONDE-T011/seed</x:v>
      </x:c>
      <x:c r="B108" t="str">
        <x:v>EXT-MONDE-T011</x:v>
      </x:c>
      <x:c r="C108" t="str">
        <x:v>Offshore</x:v>
      </x:c>
      <x:c r="D108" t="str">
        <x:v>Navire de soutien offshore</x:v>
      </x:c>
      <x:c r="E108" t="str">
        <x:v>Implantation et réseaux</x:v>
      </x:c>
      <x:c r="F108" t="str">
        <x:v>P0</x:v>
      </x:c>
      <x:c r="G108" t="str">
        <x:v>À faire</x:v>
      </x:c>
      <x:c r="H108" t="str">
        <x:v>Non affecté</x:v>
      </x:c>
      <x:c r="I108" t="str">
        <x:v>Structure maritime réservée ; appuis et niveaux indépendants ; pas de production automatique.</x:v>
      </x:c>
      <x:c r="J108" t="str"/>
    </x:row>
    <x:row r="109">
      <x:c r="A109" t="str">
        <x:v>EXT-MONDE-T011/props</x:v>
      </x:c>
      <x:c r="B109" t="str">
        <x:v>EXT-MONDE-T011</x:v>
      </x:c>
      <x:c r="C109" t="str">
        <x:v>Offshore</x:v>
      </x:c>
      <x:c r="D109" t="str">
        <x:v>Navire de soutien offshore</x:v>
      </x:c>
      <x:c r="E109" t="str">
        <x:v>Objets, décors et dégagements</x:v>
      </x:c>
      <x:c r="F109" t="str">
        <x:v>P1</x:v>
      </x:c>
      <x:c r="G109" t="str">
        <x:v>En cours</x:v>
      </x:c>
      <x:c r="H109" t="str">
        <x:v>Production Codex</x:v>
      </x:c>
      <x:c r="I109" t="str">
        <x:v>Livrable explicite, tests positifs et négatifs ; aucune validation déduite de la seule présence de la fiche.</x:v>
      </x:c>
      <x:c r="J109" t="str">
        <x:v>https://github.com/darknigthmare/deadwall-last-enclosure/blob/e28f46223e73105ab2c5d83f3d50b99b58ef53e6/docs/codex/suivi-monde2026/INSPECTION_PHYSIQUE_2026.md</x:v>
      </x:c>
    </x:row>
    <x:row r="110">
      <x:c r="A110" t="str">
        <x:v>EXT-MONDE-T011/loot</x:v>
      </x:c>
      <x:c r="B110" t="str">
        <x:v>EXT-MONDE-T011</x:v>
      </x:c>
      <x:c r="C110" t="str">
        <x:v>Offshore</x:v>
      </x:c>
      <x:c r="D110" t="str">
        <x:v>Navire de soutien offshore</x:v>
      </x:c>
      <x:c r="E110" t="str">
        <x:v>Budget de butin persistant</x:v>
      </x:c>
      <x:c r="F110" t="str">
        <x:v>P1</x:v>
      </x:c>
      <x:c r="G110" t="str">
        <x:v>À faire</x:v>
      </x:c>
      <x:c r="H110" t="str">
        <x:v>Non affecté</x:v>
      </x:c>
      <x:c r="I110" t="str">
        <x:v>Livrable explicite, tests positifs et négatifs ; aucune validation déduite de la seule présence de la fiche.</x:v>
      </x:c>
      <x:c r="J110" t="str"/>
    </x:row>
    <x:row r="111">
      <x:c r="A111" t="str">
        <x:v>EXT-MONDE-T011/rencontres</x:v>
      </x:c>
      <x:c r="B111" t="str">
        <x:v>EXT-MONDE-T011</x:v>
      </x:c>
      <x:c r="C111" t="str">
        <x:v>Offshore</x:v>
      </x:c>
      <x:c r="D111" t="str">
        <x:v>Navire de soutien offshore</x:v>
      </x:c>
      <x:c r="E111" t="str">
        <x:v>Ennemis et faune contextualisés</x:v>
      </x:c>
      <x:c r="F111" t="str">
        <x:v>P1</x:v>
      </x:c>
      <x:c r="G111" t="str">
        <x:v>À faire</x:v>
      </x:c>
      <x:c r="H111" t="str">
        <x:v>Non affecté</x:v>
      </x:c>
      <x:c r="I111" t="str">
        <x:v>Livrable explicite, tests positifs et négatifs ; aucune validation déduite de la seule présence de la fiche.</x:v>
      </x:c>
      <x:c r="J111" t="str"/>
    </x:row>
    <x:row r="112">
      <x:c r="A112" t="str">
        <x:v>EXT-MONDE-T011/services</x:v>
      </x:c>
      <x:c r="B112" t="str">
        <x:v>EXT-MONDE-T011</x:v>
      </x:c>
      <x:c r="C112" t="str">
        <x:v>Offshore</x:v>
      </x:c>
      <x:c r="D112" t="str">
        <x:v>Navire de soutien offshore</x:v>
      </x:c>
      <x:c r="E112" t="str">
        <x:v>Énergie, eau et interactions</x:v>
      </x:c>
      <x:c r="F112" t="str">
        <x:v>P1</x:v>
      </x:c>
      <x:c r="G112" t="str">
        <x:v>À faire</x:v>
      </x:c>
      <x:c r="H112" t="str">
        <x:v>Non affecté</x:v>
      </x:c>
      <x:c r="I112" t="str">
        <x:v>Livrable explicite, tests positifs et négatifs ; aucune validation déduite de la seule présence de la fiche.</x:v>
      </x:c>
      <x:c r="J112" t="str"/>
    </x:row>
    <x:row r="113">
      <x:c r="A113" t="str">
        <x:v>EXT-MONDE-T011/art</x:v>
      </x:c>
      <x:c r="B113" t="str">
        <x:v>EXT-MONDE-T011</x:v>
      </x:c>
      <x:c r="C113" t="str">
        <x:v>Offshore</x:v>
      </x:c>
      <x:c r="D113" t="str">
        <x:v>Navire de soutien offshore</x:v>
      </x:c>
      <x:c r="E113" t="str">
        <x:v>Sprites, proportions et animations</x:v>
      </x:c>
      <x:c r="F113" t="str">
        <x:v>P1</x:v>
      </x:c>
      <x:c r="G113" t="str">
        <x:v>À faire</x:v>
      </x:c>
      <x:c r="H113" t="str">
        <x:v>Non affecté</x:v>
      </x:c>
      <x:c r="I113" t="str">
        <x:v>Livrable explicite, tests positifs et négatifs ; aucune validation déduite de la seule présence de la fiche.</x:v>
      </x:c>
      <x:c r="J113" t="str"/>
    </x:row>
    <x:row r="114">
      <x:c r="A114" t="str">
        <x:v>EXT-MONDE-T011/sauvegarde</x:v>
      </x:c>
      <x:c r="B114" t="str">
        <x:v>EXT-MONDE-T011</x:v>
      </x:c>
      <x:c r="C114" t="str">
        <x:v>Offshore</x:v>
      </x:c>
      <x:c r="D114" t="str">
        <x:v>Navire de soutien offshore</x:v>
      </x:c>
      <x:c r="E114" t="str">
        <x:v>Identités, migration et reprise</x:v>
      </x:c>
      <x:c r="F114" t="str">
        <x:v>P1</x:v>
      </x:c>
      <x:c r="G114" t="str">
        <x:v>En cours</x:v>
      </x:c>
      <x:c r="H114" t="str">
        <x:v>Production Codex</x:v>
      </x:c>
      <x:c r="I114" t="str">
        <x:v>Livrable explicite, tests positifs et négatifs ; aucune validation déduite de la seule présence de la fiche.</x:v>
      </x:c>
      <x:c r="J114" t="str">
        <x:v>https://github.com/darknigthmare/deadwall-last-enclosure/blob/e28f46223e73105ab2c5d83f3d50b99b58ef53e6/docs/codex/suivi-monde2026/INSPECTION_PHYSIQUE_2026.md</x:v>
      </x:c>
    </x:row>
    <x:row r="115">
      <x:c r="A115" t="str">
        <x:v>EXT-MONDE-T011/qa</x:v>
      </x:c>
      <x:c r="B115" t="str">
        <x:v>EXT-MONDE-T011</x:v>
      </x:c>
      <x:c r="C115" t="str">
        <x:v>Offshore</x:v>
      </x:c>
      <x:c r="D115" t="str">
        <x:v>Navire de soutien offshore</x:v>
      </x:c>
      <x:c r="E115" t="str">
        <x:v>Navigation et parcours jouables</x:v>
      </x:c>
      <x:c r="F115" t="str">
        <x:v>P1</x:v>
      </x:c>
      <x:c r="G115" t="str">
        <x:v>En cours</x:v>
      </x:c>
      <x:c r="H115" t="str">
        <x:v>Production Codex</x:v>
      </x:c>
      <x:c r="I115" t="str">
        <x:v>Livrable explicite, tests positifs et négatifs ; aucune validation déduite de la seule présence de la fiche.</x:v>
      </x:c>
      <x:c r="J115" t="str">
        <x:v>https://github.com/darknigthmare/deadwall-last-enclosure/blob/e28f46223e73105ab2c5d83f3d50b99b58ef53e6/docs/codex/suivi-monde2026/INSPECTION_PHYSIQUE_2026.md</x:v>
      </x:c>
    </x:row>
    <x:row r="116">
      <x:c r="A116" t="str">
        <x:v>EXT-MONDE-T012/dimensions</x:v>
      </x:c>
      <x:c r="B116" t="str">
        <x:v>EXT-MONDE-T012</x:v>
      </x:c>
      <x:c r="C116" t="str">
        <x:v>Offshore</x:v>
      </x:c>
      <x:c r="D116" t="str">
        <x:v>Station scientifique marine</x:v>
      </x:c>
      <x:c r="E116" t="str">
        <x:v>Dimensions et plans de référence</x:v>
      </x:c>
      <x:c r="F116" t="str">
        <x:v>P0</x:v>
      </x:c>
      <x:c r="G116" t="str">
        <x:v>En cours</x:v>
      </x:c>
      <x:c r="H116" t="str">
        <x:v>Production Codex</x:v>
      </x:c>
      <x:c r="I116" t="str">
        <x:v>Sources publiques identifiées ; unités en mètres ; emprise au sol distincte de la hauteur.</x:v>
      </x:c>
      <x:c r="J116" t="str">
        <x:v>https://github.com/darknigthmare/deadwall-last-enclosure/blob/e28f46223e73105ab2c5d83f3d50b99b58ef53e6/docs/codex/suivi-monde2026/PORTS_ILES_2026.md</x:v>
      </x:c>
    </x:row>
    <x:row r="117">
      <x:c r="A117" t="str">
        <x:v>EXT-MONDE-T012/architecture</x:v>
      </x:c>
      <x:c r="B117" t="str">
        <x:v>EXT-MONDE-T012</x:v>
      </x:c>
      <x:c r="C117" t="str">
        <x:v>Offshore</x:v>
      </x:c>
      <x:c r="D117" t="str">
        <x:v>Station scientifique marine</x:v>
      </x:c>
      <x:c r="E117" t="str">
        <x:v>Pièces, étages, annexes</x:v>
      </x:c>
      <x:c r="F117" t="str">
        <x:v>P0</x:v>
      </x:c>
      <x:c r="G117" t="str">
        <x:v>En cours</x:v>
      </x:c>
      <x:c r="H117" t="str">
        <x:v>Production Codex</x:v>
      </x:c>
      <x:c r="I117" t="str">
        <x:v>Livrable explicite, tests positifs et négatifs ; aucune validation déduite de la seule présence de la fiche.</x:v>
      </x:c>
      <x:c r="J117" t="str">
        <x:v>https://github.com/darknigthmare/deadwall-last-enclosure/blob/e28f46223e73105ab2c5d83f3d50b99b58ef53e6/docs/codex/suivi-monde2026/INSPECTION_PHYSIQUE_2026.md</x:v>
      </x:c>
    </x:row>
    <x:row r="118">
      <x:c r="A118" t="str">
        <x:v>EXT-MONDE-T012/seed</x:v>
      </x:c>
      <x:c r="B118" t="str">
        <x:v>EXT-MONDE-T012</x:v>
      </x:c>
      <x:c r="C118" t="str">
        <x:v>Offshore</x:v>
      </x:c>
      <x:c r="D118" t="str">
        <x:v>Station scientifique marine</x:v>
      </x:c>
      <x:c r="E118" t="str">
        <x:v>Implantation et réseaux</x:v>
      </x:c>
      <x:c r="F118" t="str">
        <x:v>P0</x:v>
      </x:c>
      <x:c r="G118" t="str">
        <x:v>À faire</x:v>
      </x:c>
      <x:c r="H118" t="str">
        <x:v>Non affecté</x:v>
      </x:c>
      <x:c r="I118" t="str">
        <x:v>Structure maritime réservée ; appuis et niveaux indépendants ; pas de production automatique.</x:v>
      </x:c>
      <x:c r="J118" t="str"/>
    </x:row>
    <x:row r="119">
      <x:c r="A119" t="str">
        <x:v>EXT-MONDE-T012/props</x:v>
      </x:c>
      <x:c r="B119" t="str">
        <x:v>EXT-MONDE-T012</x:v>
      </x:c>
      <x:c r="C119" t="str">
        <x:v>Offshore</x:v>
      </x:c>
      <x:c r="D119" t="str">
        <x:v>Station scientifique marine</x:v>
      </x:c>
      <x:c r="E119" t="str">
        <x:v>Objets, décors et dégagements</x:v>
      </x:c>
      <x:c r="F119" t="str">
        <x:v>P1</x:v>
      </x:c>
      <x:c r="G119" t="str">
        <x:v>En cours</x:v>
      </x:c>
      <x:c r="H119" t="str">
        <x:v>Production Codex</x:v>
      </x:c>
      <x:c r="I119" t="str">
        <x:v>Livrable explicite, tests positifs et négatifs ; aucune validation déduite de la seule présence de la fiche.</x:v>
      </x:c>
      <x:c r="J119" t="str">
        <x:v>https://github.com/darknigthmare/deadwall-last-enclosure/blob/e28f46223e73105ab2c5d83f3d50b99b58ef53e6/docs/codex/suivi-monde2026/INSPECTION_PHYSIQUE_2026.md</x:v>
      </x:c>
    </x:row>
    <x:row r="120">
      <x:c r="A120" t="str">
        <x:v>EXT-MONDE-T012/loot</x:v>
      </x:c>
      <x:c r="B120" t="str">
        <x:v>EXT-MONDE-T012</x:v>
      </x:c>
      <x:c r="C120" t="str">
        <x:v>Offshore</x:v>
      </x:c>
      <x:c r="D120" t="str">
        <x:v>Station scientifique marine</x:v>
      </x:c>
      <x:c r="E120" t="str">
        <x:v>Budget de butin persistant</x:v>
      </x:c>
      <x:c r="F120" t="str">
        <x:v>P1</x:v>
      </x:c>
      <x:c r="G120" t="str">
        <x:v>À faire</x:v>
      </x:c>
      <x:c r="H120" t="str">
        <x:v>Non affecté</x:v>
      </x:c>
      <x:c r="I120" t="str">
        <x:v>Livrable explicite, tests positifs et négatifs ; aucune validation déduite de la seule présence de la fiche.</x:v>
      </x:c>
      <x:c r="J120" t="str"/>
    </x:row>
    <x:row r="121">
      <x:c r="A121" t="str">
        <x:v>EXT-MONDE-T012/rencontres</x:v>
      </x:c>
      <x:c r="B121" t="str">
        <x:v>EXT-MONDE-T012</x:v>
      </x:c>
      <x:c r="C121" t="str">
        <x:v>Offshore</x:v>
      </x:c>
      <x:c r="D121" t="str">
        <x:v>Station scientifique marine</x:v>
      </x:c>
      <x:c r="E121" t="str">
        <x:v>Ennemis et faune contextualisés</x:v>
      </x:c>
      <x:c r="F121" t="str">
        <x:v>P1</x:v>
      </x:c>
      <x:c r="G121" t="str">
        <x:v>À faire</x:v>
      </x:c>
      <x:c r="H121" t="str">
        <x:v>Non affecté</x:v>
      </x:c>
      <x:c r="I121" t="str">
        <x:v>Livrable explicite, tests positifs et négatifs ; aucune validation déduite de la seule présence de la fiche.</x:v>
      </x:c>
      <x:c r="J121" t="str"/>
    </x:row>
    <x:row r="122">
      <x:c r="A122" t="str">
        <x:v>EXT-MONDE-T012/services</x:v>
      </x:c>
      <x:c r="B122" t="str">
        <x:v>EXT-MONDE-T012</x:v>
      </x:c>
      <x:c r="C122" t="str">
        <x:v>Offshore</x:v>
      </x:c>
      <x:c r="D122" t="str">
        <x:v>Station scientifique marine</x:v>
      </x:c>
      <x:c r="E122" t="str">
        <x:v>Énergie, eau et interactions</x:v>
      </x:c>
      <x:c r="F122" t="str">
        <x:v>P1</x:v>
      </x:c>
      <x:c r="G122" t="str">
        <x:v>À faire</x:v>
      </x:c>
      <x:c r="H122" t="str">
        <x:v>Non affecté</x:v>
      </x:c>
      <x:c r="I122" t="str">
        <x:v>Livrable explicite, tests positifs et négatifs ; aucune validation déduite de la seule présence de la fiche.</x:v>
      </x:c>
      <x:c r="J122" t="str"/>
    </x:row>
    <x:row r="123">
      <x:c r="A123" t="str">
        <x:v>EXT-MONDE-T012/art</x:v>
      </x:c>
      <x:c r="B123" t="str">
        <x:v>EXT-MONDE-T012</x:v>
      </x:c>
      <x:c r="C123" t="str">
        <x:v>Offshore</x:v>
      </x:c>
      <x:c r="D123" t="str">
        <x:v>Station scientifique marine</x:v>
      </x:c>
      <x:c r="E123" t="str">
        <x:v>Sprites, proportions et animations</x:v>
      </x:c>
      <x:c r="F123" t="str">
        <x:v>P1</x:v>
      </x:c>
      <x:c r="G123" t="str">
        <x:v>À faire</x:v>
      </x:c>
      <x:c r="H123" t="str">
        <x:v>Non affecté</x:v>
      </x:c>
      <x:c r="I123" t="str">
        <x:v>Livrable explicite, tests positifs et négatifs ; aucune validation déduite de la seule présence de la fiche.</x:v>
      </x:c>
      <x:c r="J123" t="str"/>
    </x:row>
    <x:row r="124">
      <x:c r="A124" t="str">
        <x:v>EXT-MONDE-T012/sauvegarde</x:v>
      </x:c>
      <x:c r="B124" t="str">
        <x:v>EXT-MONDE-T012</x:v>
      </x:c>
      <x:c r="C124" t="str">
        <x:v>Offshore</x:v>
      </x:c>
      <x:c r="D124" t="str">
        <x:v>Station scientifique marine</x:v>
      </x:c>
      <x:c r="E124" t="str">
        <x:v>Identités, migration et reprise</x:v>
      </x:c>
      <x:c r="F124" t="str">
        <x:v>P1</x:v>
      </x:c>
      <x:c r="G124" t="str">
        <x:v>En cours</x:v>
      </x:c>
      <x:c r="H124" t="str">
        <x:v>Production Codex</x:v>
      </x:c>
      <x:c r="I124" t="str">
        <x:v>Livrable explicite, tests positifs et négatifs ; aucune validation déduite de la seule présence de la fiche.</x:v>
      </x:c>
      <x:c r="J124" t="str">
        <x:v>https://github.com/darknigthmare/deadwall-last-enclosure/blob/e28f46223e73105ab2c5d83f3d50b99b58ef53e6/docs/codex/suivi-monde2026/INSPECTION_PHYSIQUE_2026.md</x:v>
      </x:c>
    </x:row>
    <x:row r="125">
      <x:c r="A125" t="str">
        <x:v>EXT-MONDE-T012/qa</x:v>
      </x:c>
      <x:c r="B125" t="str">
        <x:v>EXT-MONDE-T012</x:v>
      </x:c>
      <x:c r="C125" t="str">
        <x:v>Offshore</x:v>
      </x:c>
      <x:c r="D125" t="str">
        <x:v>Station scientifique marine</x:v>
      </x:c>
      <x:c r="E125" t="str">
        <x:v>Navigation et parcours jouables</x:v>
      </x:c>
      <x:c r="F125" t="str">
        <x:v>P1</x:v>
      </x:c>
      <x:c r="G125" t="str">
        <x:v>En cours</x:v>
      </x:c>
      <x:c r="H125" t="str">
        <x:v>Production Codex</x:v>
      </x:c>
      <x:c r="I125" t="str">
        <x:v>Livrable explicite, tests positifs et négatifs ; aucune validation déduite de la seule présence de la fiche.</x:v>
      </x:c>
      <x:c r="J125" t="str">
        <x:v>https://github.com/darknigthmare/deadwall-last-enclosure/blob/e28f46223e73105ab2c5d83f3d50b99b58ef53e6/docs/codex/suivi-monde2026/INSPECTION_PHYSIQUE_2026.md</x:v>
      </x:c>
    </x:row>
    <x:row r="126">
      <x:c r="A126" t="str">
        <x:v>EXT-MONDE-T013/dimensions</x:v>
      </x:c>
      <x:c r="B126" t="str">
        <x:v>EXT-MONDE-T013</x:v>
      </x:c>
      <x:c r="C126" t="str">
        <x:v>Ports</x:v>
      </x:c>
      <x:c r="D126" t="str">
        <x:v>Port de pêche</x:v>
      </x:c>
      <x:c r="E126" t="str">
        <x:v>Dimensions et plans de référence</x:v>
      </x:c>
      <x:c r="F126" t="str">
        <x:v>P0</x:v>
      </x:c>
      <x:c r="G126" t="str">
        <x:v>En cours</x:v>
      </x:c>
      <x:c r="H126" t="str">
        <x:v>Production Codex</x:v>
      </x:c>
      <x:c r="I126" t="str">
        <x:v>Sources publiques identifiées ; unités en mètres ; emprise au sol distincte de la hauteur.</x:v>
      </x:c>
      <x:c r="J126" t="str">
        <x:v>https://github.com/darknigthmare/deadwall-last-enclosure/blob/e28f46223e73105ab2c5d83f3d50b99b58ef53e6/docs/codex/suivi-monde2026/PORTS_ILES_2026.md</x:v>
      </x:c>
    </x:row>
    <x:row r="127">
      <x:c r="A127" t="str">
        <x:v>EXT-MONDE-T013/architecture</x:v>
      </x:c>
      <x:c r="B127" t="str">
        <x:v>EXT-MONDE-T013</x:v>
      </x:c>
      <x:c r="C127" t="str">
        <x:v>Ports</x:v>
      </x:c>
      <x:c r="D127" t="str">
        <x:v>Port de pêche</x:v>
      </x:c>
      <x:c r="E127" t="str">
        <x:v>Pièces, étages, annexes</x:v>
      </x:c>
      <x:c r="F127" t="str">
        <x:v>P0</x:v>
      </x:c>
      <x:c r="G127" t="str">
        <x:v>En cours</x:v>
      </x:c>
      <x:c r="H127" t="str">
        <x:v>Production Codex</x:v>
      </x:c>
      <x:c r="I127" t="str">
        <x:v>Livrable explicite, tests positifs et négatifs ; aucune validation déduite de la seule présence de la fiche.</x:v>
      </x:c>
      <x:c r="J127" t="str">
        <x:v>https://github.com/darknigthmare/deadwall-last-enclosure/blob/e28f46223e73105ab2c5d83f3d50b99b58ef53e6/docs/codex/suivi-monde2026/INSPECTION_PHYSIQUE_2026.md</x:v>
      </x:c>
    </x:row>
    <x:row r="128">
      <x:c r="A128" t="str">
        <x:v>EXT-MONDE-T013/seed</x:v>
      </x:c>
      <x:c r="B128" t="str">
        <x:v>EXT-MONDE-T013</x:v>
      </x:c>
      <x:c r="C128" t="str">
        <x:v>Ports</x:v>
      </x:c>
      <x:c r="D128" t="str">
        <x:v>Port de pêche</x:v>
      </x:c>
      <x:c r="E128" t="str">
        <x:v>Implantation et réseaux</x:v>
      </x:c>
      <x:c r="F128" t="str">
        <x:v>P0</x:v>
      </x:c>
      <x:c r="G128" t="str">
        <x:v>À faire</x:v>
      </x:c>
      <x:c r="H128" t="str">
        <x:v>Non affecté</x:v>
      </x:c>
      <x:c r="I128" t="str">
        <x:v>Côté terre/eau explicite ; chenal connecté ; manutention et visiteurs séparés.</x:v>
      </x:c>
      <x:c r="J128" t="str"/>
    </x:row>
    <x:row r="129">
      <x:c r="A129" t="str">
        <x:v>EXT-MONDE-T013/props</x:v>
      </x:c>
      <x:c r="B129" t="str">
        <x:v>EXT-MONDE-T013</x:v>
      </x:c>
      <x:c r="C129" t="str">
        <x:v>Ports</x:v>
      </x:c>
      <x:c r="D129" t="str">
        <x:v>Port de pêche</x:v>
      </x:c>
      <x:c r="E129" t="str">
        <x:v>Objets, décors et dégagements</x:v>
      </x:c>
      <x:c r="F129" t="str">
        <x:v>P1</x:v>
      </x:c>
      <x:c r="G129" t="str">
        <x:v>En cours</x:v>
      </x:c>
      <x:c r="H129" t="str">
        <x:v>Production Codex</x:v>
      </x:c>
      <x:c r="I129" t="str">
        <x:v>Livrable explicite, tests positifs et négatifs ; aucune validation déduite de la seule présence de la fiche.</x:v>
      </x:c>
      <x:c r="J129" t="str">
        <x:v>https://github.com/darknigthmare/deadwall-last-enclosure/blob/e28f46223e73105ab2c5d83f3d50b99b58ef53e6/docs/codex/suivi-monde2026/INSPECTION_PHYSIQUE_2026.md</x:v>
      </x:c>
    </x:row>
    <x:row r="130">
      <x:c r="A130" t="str">
        <x:v>EXT-MONDE-T013/loot</x:v>
      </x:c>
      <x:c r="B130" t="str">
        <x:v>EXT-MONDE-T013</x:v>
      </x:c>
      <x:c r="C130" t="str">
        <x:v>Ports</x:v>
      </x:c>
      <x:c r="D130" t="str">
        <x:v>Port de pêche</x:v>
      </x:c>
      <x:c r="E130" t="str">
        <x:v>Budget de butin persistant</x:v>
      </x:c>
      <x:c r="F130" t="str">
        <x:v>P1</x:v>
      </x:c>
      <x:c r="G130" t="str">
        <x:v>À faire</x:v>
      </x:c>
      <x:c r="H130" t="str">
        <x:v>Non affecté</x:v>
      </x:c>
      <x:c r="I130" t="str">
        <x:v>Livrable explicite, tests positifs et négatifs ; aucune validation déduite de la seule présence de la fiche.</x:v>
      </x:c>
      <x:c r="J130" t="str"/>
    </x:row>
    <x:row r="131">
      <x:c r="A131" t="str">
        <x:v>EXT-MONDE-T013/rencontres</x:v>
      </x:c>
      <x:c r="B131" t="str">
        <x:v>EXT-MONDE-T013</x:v>
      </x:c>
      <x:c r="C131" t="str">
        <x:v>Ports</x:v>
      </x:c>
      <x:c r="D131" t="str">
        <x:v>Port de pêche</x:v>
      </x:c>
      <x:c r="E131" t="str">
        <x:v>Ennemis et faune contextualisés</x:v>
      </x:c>
      <x:c r="F131" t="str">
        <x:v>P1</x:v>
      </x:c>
      <x:c r="G131" t="str">
        <x:v>À faire</x:v>
      </x:c>
      <x:c r="H131" t="str">
        <x:v>Non affecté</x:v>
      </x:c>
      <x:c r="I131" t="str">
        <x:v>Livrable explicite, tests positifs et négatifs ; aucune validation déduite de la seule présence de la fiche.</x:v>
      </x:c>
      <x:c r="J131" t="str"/>
    </x:row>
    <x:row r="132">
      <x:c r="A132" t="str">
        <x:v>EXT-MONDE-T013/services</x:v>
      </x:c>
      <x:c r="B132" t="str">
        <x:v>EXT-MONDE-T013</x:v>
      </x:c>
      <x:c r="C132" t="str">
        <x:v>Ports</x:v>
      </x:c>
      <x:c r="D132" t="str">
        <x:v>Port de pêche</x:v>
      </x:c>
      <x:c r="E132" t="str">
        <x:v>Énergie, eau et interactions</x:v>
      </x:c>
      <x:c r="F132" t="str">
        <x:v>P1</x:v>
      </x:c>
      <x:c r="G132" t="str">
        <x:v>À faire</x:v>
      </x:c>
      <x:c r="H132" t="str">
        <x:v>Non affecté</x:v>
      </x:c>
      <x:c r="I132" t="str">
        <x:v>Livrable explicite, tests positifs et négatifs ; aucune validation déduite de la seule présence de la fiche.</x:v>
      </x:c>
      <x:c r="J132" t="str"/>
    </x:row>
    <x:row r="133">
      <x:c r="A133" t="str">
        <x:v>EXT-MONDE-T013/art</x:v>
      </x:c>
      <x:c r="B133" t="str">
        <x:v>EXT-MONDE-T013</x:v>
      </x:c>
      <x:c r="C133" t="str">
        <x:v>Ports</x:v>
      </x:c>
      <x:c r="D133" t="str">
        <x:v>Port de pêche</x:v>
      </x:c>
      <x:c r="E133" t="str">
        <x:v>Sprites, proportions et animations</x:v>
      </x:c>
      <x:c r="F133" t="str">
        <x:v>P1</x:v>
      </x:c>
      <x:c r="G133" t="str">
        <x:v>À faire</x:v>
      </x:c>
      <x:c r="H133" t="str">
        <x:v>Non affecté</x:v>
      </x:c>
      <x:c r="I133" t="str">
        <x:v>Livrable explicite, tests positifs et négatifs ; aucune validation déduite de la seule présence de la fiche.</x:v>
      </x:c>
      <x:c r="J133" t="str"/>
    </x:row>
    <x:row r="134">
      <x:c r="A134" t="str">
        <x:v>EXT-MONDE-T013/sauvegarde</x:v>
      </x:c>
      <x:c r="B134" t="str">
        <x:v>EXT-MONDE-T013</x:v>
      </x:c>
      <x:c r="C134" t="str">
        <x:v>Ports</x:v>
      </x:c>
      <x:c r="D134" t="str">
        <x:v>Port de pêche</x:v>
      </x:c>
      <x:c r="E134" t="str">
        <x:v>Identités, migration et reprise</x:v>
      </x:c>
      <x:c r="F134" t="str">
        <x:v>P1</x:v>
      </x:c>
      <x:c r="G134" t="str">
        <x:v>En cours</x:v>
      </x:c>
      <x:c r="H134" t="str">
        <x:v>Production Codex</x:v>
      </x:c>
      <x:c r="I134" t="str">
        <x:v>Livrable explicite, tests positifs et négatifs ; aucune validation déduite de la seule présence de la fiche.</x:v>
      </x:c>
      <x:c r="J134" t="str">
        <x:v>https://github.com/darknigthmare/deadwall-last-enclosure/blob/e28f46223e73105ab2c5d83f3d50b99b58ef53e6/docs/codex/suivi-monde2026/INSPECTION_PHYSIQUE_2026.md</x:v>
      </x:c>
    </x:row>
    <x:row r="135">
      <x:c r="A135" t="str">
        <x:v>EXT-MONDE-T013/qa</x:v>
      </x:c>
      <x:c r="B135" t="str">
        <x:v>EXT-MONDE-T013</x:v>
      </x:c>
      <x:c r="C135" t="str">
        <x:v>Ports</x:v>
      </x:c>
      <x:c r="D135" t="str">
        <x:v>Port de pêche</x:v>
      </x:c>
      <x:c r="E135" t="str">
        <x:v>Navigation et parcours jouables</x:v>
      </x:c>
      <x:c r="F135" t="str">
        <x:v>P1</x:v>
      </x:c>
      <x:c r="G135" t="str">
        <x:v>En cours</x:v>
      </x:c>
      <x:c r="H135" t="str">
        <x:v>Production Codex</x:v>
      </x:c>
      <x:c r="I135" t="str">
        <x:v>Livrable explicite, tests positifs et négatifs ; aucune validation déduite de la seule présence de la fiche.</x:v>
      </x:c>
      <x:c r="J135" t="str">
        <x:v>https://github.com/darknigthmare/deadwall-last-enclosure/blob/e28f46223e73105ab2c5d83f3d50b99b58ef53e6/docs/codex/suivi-monde2026/INSPECTION_PHYSIQUE_2026.md</x:v>
      </x:c>
    </x:row>
    <x:row r="136">
      <x:c r="A136" t="str">
        <x:v>EXT-MONDE-T014/dimensions</x:v>
      </x:c>
      <x:c r="B136" t="str">
        <x:v>EXT-MONDE-T014</x:v>
      </x:c>
      <x:c r="C136" t="str">
        <x:v>Ports</x:v>
      </x:c>
      <x:c r="D136" t="str">
        <x:v>Marina</x:v>
      </x:c>
      <x:c r="E136" t="str">
        <x:v>Dimensions et plans de référence</x:v>
      </x:c>
      <x:c r="F136" t="str">
        <x:v>P0</x:v>
      </x:c>
      <x:c r="G136" t="str">
        <x:v>En cours</x:v>
      </x:c>
      <x:c r="H136" t="str">
        <x:v>Production Codex</x:v>
      </x:c>
      <x:c r="I136" t="str">
        <x:v>Sources publiques identifiées ; unités en mètres ; emprise au sol distincte de la hauteur.</x:v>
      </x:c>
      <x:c r="J136" t="str">
        <x:v>https://github.com/darknigthmare/deadwall-last-enclosure/blob/e28f46223e73105ab2c5d83f3d50b99b58ef53e6/docs/codex/suivi-monde2026/PORTS_ILES_2026.md</x:v>
      </x:c>
    </x:row>
    <x:row r="137">
      <x:c r="A137" t="str">
        <x:v>EXT-MONDE-T014/architecture</x:v>
      </x:c>
      <x:c r="B137" t="str">
        <x:v>EXT-MONDE-T014</x:v>
      </x:c>
      <x:c r="C137" t="str">
        <x:v>Ports</x:v>
      </x:c>
      <x:c r="D137" t="str">
        <x:v>Marina</x:v>
      </x:c>
      <x:c r="E137" t="str">
        <x:v>Pièces, étages, annexes</x:v>
      </x:c>
      <x:c r="F137" t="str">
        <x:v>P0</x:v>
      </x:c>
      <x:c r="G137" t="str">
        <x:v>En cours</x:v>
      </x:c>
      <x:c r="H137" t="str">
        <x:v>Production Codex</x:v>
      </x:c>
      <x:c r="I137" t="str">
        <x:v>Livrable explicite, tests positifs et négatifs ; aucune validation déduite de la seule présence de la fiche.</x:v>
      </x:c>
      <x:c r="J137" t="str">
        <x:v>https://github.com/darknigthmare/deadwall-last-enclosure/blob/e28f46223e73105ab2c5d83f3d50b99b58ef53e6/docs/codex/suivi-monde2026/INSPECTION_PHYSIQUE_2026.md</x:v>
      </x:c>
    </x:row>
    <x:row r="138">
      <x:c r="A138" t="str">
        <x:v>EXT-MONDE-T014/seed</x:v>
      </x:c>
      <x:c r="B138" t="str">
        <x:v>EXT-MONDE-T014</x:v>
      </x:c>
      <x:c r="C138" t="str">
        <x:v>Ports</x:v>
      </x:c>
      <x:c r="D138" t="str">
        <x:v>Marina</x:v>
      </x:c>
      <x:c r="E138" t="str">
        <x:v>Implantation et réseaux</x:v>
      </x:c>
      <x:c r="F138" t="str">
        <x:v>P0</x:v>
      </x:c>
      <x:c r="G138" t="str">
        <x:v>À faire</x:v>
      </x:c>
      <x:c r="H138" t="str">
        <x:v>Non affecté</x:v>
      </x:c>
      <x:c r="I138" t="str">
        <x:v>Côté terre/eau explicite ; chenal connecté ; manutention et visiteurs séparés.</x:v>
      </x:c>
      <x:c r="J138" t="str"/>
    </x:row>
    <x:row r="139">
      <x:c r="A139" t="str">
        <x:v>EXT-MONDE-T014/props</x:v>
      </x:c>
      <x:c r="B139" t="str">
        <x:v>EXT-MONDE-T014</x:v>
      </x:c>
      <x:c r="C139" t="str">
        <x:v>Ports</x:v>
      </x:c>
      <x:c r="D139" t="str">
        <x:v>Marina</x:v>
      </x:c>
      <x:c r="E139" t="str">
        <x:v>Objets, décors et dégagements</x:v>
      </x:c>
      <x:c r="F139" t="str">
        <x:v>P1</x:v>
      </x:c>
      <x:c r="G139" t="str">
        <x:v>En cours</x:v>
      </x:c>
      <x:c r="H139" t="str">
        <x:v>Production Codex</x:v>
      </x:c>
      <x:c r="I139" t="str">
        <x:v>Livrable explicite, tests positifs et négatifs ; aucune validation déduite de la seule présence de la fiche.</x:v>
      </x:c>
      <x:c r="J139" t="str">
        <x:v>https://github.com/darknigthmare/deadwall-last-enclosure/blob/e28f46223e73105ab2c5d83f3d50b99b58ef53e6/docs/codex/suivi-monde2026/INSPECTION_PHYSIQUE_2026.md</x:v>
      </x:c>
    </x:row>
    <x:row r="140">
      <x:c r="A140" t="str">
        <x:v>EXT-MONDE-T014/loot</x:v>
      </x:c>
      <x:c r="B140" t="str">
        <x:v>EXT-MONDE-T014</x:v>
      </x:c>
      <x:c r="C140" t="str">
        <x:v>Ports</x:v>
      </x:c>
      <x:c r="D140" t="str">
        <x:v>Marina</x:v>
      </x:c>
      <x:c r="E140" t="str">
        <x:v>Budget de butin persistant</x:v>
      </x:c>
      <x:c r="F140" t="str">
        <x:v>P1</x:v>
      </x:c>
      <x:c r="G140" t="str">
        <x:v>À faire</x:v>
      </x:c>
      <x:c r="H140" t="str">
        <x:v>Non affecté</x:v>
      </x:c>
      <x:c r="I140" t="str">
        <x:v>Livrable explicite, tests positifs et négatifs ; aucune validation déduite de la seule présence de la fiche.</x:v>
      </x:c>
      <x:c r="J140" t="str"/>
    </x:row>
    <x:row r="141">
      <x:c r="A141" t="str">
        <x:v>EXT-MONDE-T014/rencontres</x:v>
      </x:c>
      <x:c r="B141" t="str">
        <x:v>EXT-MONDE-T014</x:v>
      </x:c>
      <x:c r="C141" t="str">
        <x:v>Ports</x:v>
      </x:c>
      <x:c r="D141" t="str">
        <x:v>Marina</x:v>
      </x:c>
      <x:c r="E141" t="str">
        <x:v>Ennemis et faune contextualisés</x:v>
      </x:c>
      <x:c r="F141" t="str">
        <x:v>P1</x:v>
      </x:c>
      <x:c r="G141" t="str">
        <x:v>À faire</x:v>
      </x:c>
      <x:c r="H141" t="str">
        <x:v>Non affecté</x:v>
      </x:c>
      <x:c r="I141" t="str">
        <x:v>Livrable explicite, tests positifs et négatifs ; aucune validation déduite de la seule présence de la fiche.</x:v>
      </x:c>
      <x:c r="J141" t="str"/>
    </x:row>
    <x:row r="142">
      <x:c r="A142" t="str">
        <x:v>EXT-MONDE-T014/services</x:v>
      </x:c>
      <x:c r="B142" t="str">
        <x:v>EXT-MONDE-T014</x:v>
      </x:c>
      <x:c r="C142" t="str">
        <x:v>Ports</x:v>
      </x:c>
      <x:c r="D142" t="str">
        <x:v>Marina</x:v>
      </x:c>
      <x:c r="E142" t="str">
        <x:v>Énergie, eau et interactions</x:v>
      </x:c>
      <x:c r="F142" t="str">
        <x:v>P1</x:v>
      </x:c>
      <x:c r="G142" t="str">
        <x:v>À faire</x:v>
      </x:c>
      <x:c r="H142" t="str">
        <x:v>Non affecté</x:v>
      </x:c>
      <x:c r="I142" t="str">
        <x:v>Livrable explicite, tests positifs et négatifs ; aucune validation déduite de la seule présence de la fiche.</x:v>
      </x:c>
      <x:c r="J142" t="str"/>
    </x:row>
    <x:row r="143">
      <x:c r="A143" t="str">
        <x:v>EXT-MONDE-T014/art</x:v>
      </x:c>
      <x:c r="B143" t="str">
        <x:v>EXT-MONDE-T014</x:v>
      </x:c>
      <x:c r="C143" t="str">
        <x:v>Ports</x:v>
      </x:c>
      <x:c r="D143" t="str">
        <x:v>Marina</x:v>
      </x:c>
      <x:c r="E143" t="str">
        <x:v>Sprites, proportions et animations</x:v>
      </x:c>
      <x:c r="F143" t="str">
        <x:v>P1</x:v>
      </x:c>
      <x:c r="G143" t="str">
        <x:v>À faire</x:v>
      </x:c>
      <x:c r="H143" t="str">
        <x:v>Non affecté</x:v>
      </x:c>
      <x:c r="I143" t="str">
        <x:v>Livrable explicite, tests positifs et négatifs ; aucune validation déduite de la seule présence de la fiche.</x:v>
      </x:c>
      <x:c r="J143" t="str"/>
    </x:row>
    <x:row r="144">
      <x:c r="A144" t="str">
        <x:v>EXT-MONDE-T014/sauvegarde</x:v>
      </x:c>
      <x:c r="B144" t="str">
        <x:v>EXT-MONDE-T014</x:v>
      </x:c>
      <x:c r="C144" t="str">
        <x:v>Ports</x:v>
      </x:c>
      <x:c r="D144" t="str">
        <x:v>Marina</x:v>
      </x:c>
      <x:c r="E144" t="str">
        <x:v>Identités, migration et reprise</x:v>
      </x:c>
      <x:c r="F144" t="str">
        <x:v>P1</x:v>
      </x:c>
      <x:c r="G144" t="str">
        <x:v>En cours</x:v>
      </x:c>
      <x:c r="H144" t="str">
        <x:v>Production Codex</x:v>
      </x:c>
      <x:c r="I144" t="str">
        <x:v>Livrable explicite, tests positifs et négatifs ; aucune validation déduite de la seule présence de la fiche.</x:v>
      </x:c>
      <x:c r="J144" t="str">
        <x:v>https://github.com/darknigthmare/deadwall-last-enclosure/blob/e28f46223e73105ab2c5d83f3d50b99b58ef53e6/docs/codex/suivi-monde2026/INSPECTION_PHYSIQUE_2026.md</x:v>
      </x:c>
    </x:row>
    <x:row r="145">
      <x:c r="A145" t="str">
        <x:v>EXT-MONDE-T014/qa</x:v>
      </x:c>
      <x:c r="B145" t="str">
        <x:v>EXT-MONDE-T014</x:v>
      </x:c>
      <x:c r="C145" t="str">
        <x:v>Ports</x:v>
      </x:c>
      <x:c r="D145" t="str">
        <x:v>Marina</x:v>
      </x:c>
      <x:c r="E145" t="str">
        <x:v>Navigation et parcours jouables</x:v>
      </x:c>
      <x:c r="F145" t="str">
        <x:v>P1</x:v>
      </x:c>
      <x:c r="G145" t="str">
        <x:v>En cours</x:v>
      </x:c>
      <x:c r="H145" t="str">
        <x:v>Production Codex</x:v>
      </x:c>
      <x:c r="I145" t="str">
        <x:v>Livrable explicite, tests positifs et négatifs ; aucune validation déduite de la seule présence de la fiche.</x:v>
      </x:c>
      <x:c r="J145" t="str">
        <x:v>https://github.com/darknigthmare/deadwall-last-enclosure/blob/e28f46223e73105ab2c5d83f3d50b99b58ef53e6/docs/codex/suivi-monde2026/INSPECTION_PHYSIQUE_2026.md</x:v>
      </x:c>
    </x:row>
    <x:row r="146">
      <x:c r="A146" t="str">
        <x:v>EXT-MONDE-T015/dimensions</x:v>
      </x:c>
      <x:c r="B146" t="str">
        <x:v>EXT-MONDE-T015</x:v>
      </x:c>
      <x:c r="C146" t="str">
        <x:v>Ports</x:v>
      </x:c>
      <x:c r="D146" t="str">
        <x:v>Terminal conteneurs</x:v>
      </x:c>
      <x:c r="E146" t="str">
        <x:v>Dimensions et plans de référence</x:v>
      </x:c>
      <x:c r="F146" t="str">
        <x:v>P0</x:v>
      </x:c>
      <x:c r="G146" t="str">
        <x:v>En cours</x:v>
      </x:c>
      <x:c r="H146" t="str">
        <x:v>Production Codex</x:v>
      </x:c>
      <x:c r="I146" t="str">
        <x:v>Sources publiques identifiées ; unités en mètres ; emprise au sol distincte de la hauteur.</x:v>
      </x:c>
      <x:c r="J146" t="str">
        <x:v>https://github.com/darknigthmare/deadwall-last-enclosure/blob/e28f46223e73105ab2c5d83f3d50b99b58ef53e6/docs/codex/suivi-monde2026/PORTS_ILES_2026.md</x:v>
      </x:c>
    </x:row>
    <x:row r="147">
      <x:c r="A147" t="str">
        <x:v>EXT-MONDE-T015/architecture</x:v>
      </x:c>
      <x:c r="B147" t="str">
        <x:v>EXT-MONDE-T015</x:v>
      </x:c>
      <x:c r="C147" t="str">
        <x:v>Ports</x:v>
      </x:c>
      <x:c r="D147" t="str">
        <x:v>Terminal conteneurs</x:v>
      </x:c>
      <x:c r="E147" t="str">
        <x:v>Pièces, étages, annexes</x:v>
      </x:c>
      <x:c r="F147" t="str">
        <x:v>P0</x:v>
      </x:c>
      <x:c r="G147" t="str">
        <x:v>En cours</x:v>
      </x:c>
      <x:c r="H147" t="str">
        <x:v>Production Codex</x:v>
      </x:c>
      <x:c r="I147" t="str">
        <x:v>Livrable explicite, tests positifs et négatifs ; aucune validation déduite de la seule présence de la fiche.</x:v>
      </x:c>
      <x:c r="J147" t="str">
        <x:v>https://github.com/darknigthmare/deadwall-last-enclosure/blob/e28f46223e73105ab2c5d83f3d50b99b58ef53e6/docs/codex/suivi-monde2026/INSPECTION_PHYSIQUE_2026.md</x:v>
      </x:c>
    </x:row>
    <x:row r="148">
      <x:c r="A148" t="str">
        <x:v>EXT-MONDE-T015/seed</x:v>
      </x:c>
      <x:c r="B148" t="str">
        <x:v>EXT-MONDE-T015</x:v>
      </x:c>
      <x:c r="C148" t="str">
        <x:v>Ports</x:v>
      </x:c>
      <x:c r="D148" t="str">
        <x:v>Terminal conteneurs</x:v>
      </x:c>
      <x:c r="E148" t="str">
        <x:v>Implantation et réseaux</x:v>
      </x:c>
      <x:c r="F148" t="str">
        <x:v>P0</x:v>
      </x:c>
      <x:c r="G148" t="str">
        <x:v>À faire</x:v>
      </x:c>
      <x:c r="H148" t="str">
        <x:v>Non affecté</x:v>
      </x:c>
      <x:c r="I148" t="str">
        <x:v>Côté terre/eau explicite ; chenal connecté ; manutention et visiteurs séparés.</x:v>
      </x:c>
      <x:c r="J148" t="str"/>
    </x:row>
    <x:row r="149">
      <x:c r="A149" t="str">
        <x:v>EXT-MONDE-T015/props</x:v>
      </x:c>
      <x:c r="B149" t="str">
        <x:v>EXT-MONDE-T015</x:v>
      </x:c>
      <x:c r="C149" t="str">
        <x:v>Ports</x:v>
      </x:c>
      <x:c r="D149" t="str">
        <x:v>Terminal conteneurs</x:v>
      </x:c>
      <x:c r="E149" t="str">
        <x:v>Objets, décors et dégagements</x:v>
      </x:c>
      <x:c r="F149" t="str">
        <x:v>P1</x:v>
      </x:c>
      <x:c r="G149" t="str">
        <x:v>En cours</x:v>
      </x:c>
      <x:c r="H149" t="str">
        <x:v>Production Codex</x:v>
      </x:c>
      <x:c r="I149" t="str">
        <x:v>Livrable explicite, tests positifs et négatifs ; aucune validation déduite de la seule présence de la fiche.</x:v>
      </x:c>
      <x:c r="J149" t="str">
        <x:v>https://github.com/darknigthmare/deadwall-last-enclosure/blob/e28f46223e73105ab2c5d83f3d50b99b58ef53e6/docs/codex/suivi-monde2026/INSPECTION_PHYSIQUE_2026.md</x:v>
      </x:c>
    </x:row>
    <x:row r="150">
      <x:c r="A150" t="str">
        <x:v>EXT-MONDE-T015/loot</x:v>
      </x:c>
      <x:c r="B150" t="str">
        <x:v>EXT-MONDE-T015</x:v>
      </x:c>
      <x:c r="C150" t="str">
        <x:v>Ports</x:v>
      </x:c>
      <x:c r="D150" t="str">
        <x:v>Terminal conteneurs</x:v>
      </x:c>
      <x:c r="E150" t="str">
        <x:v>Budget de butin persistant</x:v>
      </x:c>
      <x:c r="F150" t="str">
        <x:v>P1</x:v>
      </x:c>
      <x:c r="G150" t="str">
        <x:v>À faire</x:v>
      </x:c>
      <x:c r="H150" t="str">
        <x:v>Non affecté</x:v>
      </x:c>
      <x:c r="I150" t="str">
        <x:v>Livrable explicite, tests positifs et négatifs ; aucune validation déduite de la seule présence de la fiche.</x:v>
      </x:c>
      <x:c r="J150" t="str"/>
    </x:row>
    <x:row r="151">
      <x:c r="A151" t="str">
        <x:v>EXT-MONDE-T015/rencontres</x:v>
      </x:c>
      <x:c r="B151" t="str">
        <x:v>EXT-MONDE-T015</x:v>
      </x:c>
      <x:c r="C151" t="str">
        <x:v>Ports</x:v>
      </x:c>
      <x:c r="D151" t="str">
        <x:v>Terminal conteneurs</x:v>
      </x:c>
      <x:c r="E151" t="str">
        <x:v>Ennemis et faune contextualisés</x:v>
      </x:c>
      <x:c r="F151" t="str">
        <x:v>P1</x:v>
      </x:c>
      <x:c r="G151" t="str">
        <x:v>À faire</x:v>
      </x:c>
      <x:c r="H151" t="str">
        <x:v>Non affecté</x:v>
      </x:c>
      <x:c r="I151" t="str">
        <x:v>Livrable explicite, tests positifs et négatifs ; aucune validation déduite de la seule présence de la fiche.</x:v>
      </x:c>
      <x:c r="J151" t="str"/>
    </x:row>
    <x:row r="152">
      <x:c r="A152" t="str">
        <x:v>EXT-MONDE-T015/services</x:v>
      </x:c>
      <x:c r="B152" t="str">
        <x:v>EXT-MONDE-T015</x:v>
      </x:c>
      <x:c r="C152" t="str">
        <x:v>Ports</x:v>
      </x:c>
      <x:c r="D152" t="str">
        <x:v>Terminal conteneurs</x:v>
      </x:c>
      <x:c r="E152" t="str">
        <x:v>Énergie, eau et interactions</x:v>
      </x:c>
      <x:c r="F152" t="str">
        <x:v>P1</x:v>
      </x:c>
      <x:c r="G152" t="str">
        <x:v>À faire</x:v>
      </x:c>
      <x:c r="H152" t="str">
        <x:v>Non affecté</x:v>
      </x:c>
      <x:c r="I152" t="str">
        <x:v>Livrable explicite, tests positifs et négatifs ; aucune validation déduite de la seule présence de la fiche.</x:v>
      </x:c>
      <x:c r="J152" t="str"/>
    </x:row>
    <x:row r="153">
      <x:c r="A153" t="str">
        <x:v>EXT-MONDE-T015/art</x:v>
      </x:c>
      <x:c r="B153" t="str">
        <x:v>EXT-MONDE-T015</x:v>
      </x:c>
      <x:c r="C153" t="str">
        <x:v>Ports</x:v>
      </x:c>
      <x:c r="D153" t="str">
        <x:v>Terminal conteneurs</x:v>
      </x:c>
      <x:c r="E153" t="str">
        <x:v>Sprites, proportions et animations</x:v>
      </x:c>
      <x:c r="F153" t="str">
        <x:v>P1</x:v>
      </x:c>
      <x:c r="G153" t="str">
        <x:v>À faire</x:v>
      </x:c>
      <x:c r="H153" t="str">
        <x:v>Non affecté</x:v>
      </x:c>
      <x:c r="I153" t="str">
        <x:v>Livrable explicite, tests positifs et négatifs ; aucune validation déduite de la seule présence de la fiche.</x:v>
      </x:c>
      <x:c r="J153" t="str"/>
    </x:row>
    <x:row r="154">
      <x:c r="A154" t="str">
        <x:v>EXT-MONDE-T015/sauvegarde</x:v>
      </x:c>
      <x:c r="B154" t="str">
        <x:v>EXT-MONDE-T015</x:v>
      </x:c>
      <x:c r="C154" t="str">
        <x:v>Ports</x:v>
      </x:c>
      <x:c r="D154" t="str">
        <x:v>Terminal conteneurs</x:v>
      </x:c>
      <x:c r="E154" t="str">
        <x:v>Identités, migration et reprise</x:v>
      </x:c>
      <x:c r="F154" t="str">
        <x:v>P1</x:v>
      </x:c>
      <x:c r="G154" t="str">
        <x:v>En cours</x:v>
      </x:c>
      <x:c r="H154" t="str">
        <x:v>Production Codex</x:v>
      </x:c>
      <x:c r="I154" t="str">
        <x:v>Livrable explicite, tests positifs et négatifs ; aucune validation déduite de la seule présence de la fiche.</x:v>
      </x:c>
      <x:c r="J154" t="str">
        <x:v>https://github.com/darknigthmare/deadwall-last-enclosure/blob/e28f46223e73105ab2c5d83f3d50b99b58ef53e6/docs/codex/suivi-monde2026/INSPECTION_PHYSIQUE_2026.md</x:v>
      </x:c>
    </x:row>
    <x:row r="155">
      <x:c r="A155" t="str">
        <x:v>EXT-MONDE-T015/qa</x:v>
      </x:c>
      <x:c r="B155" t="str">
        <x:v>EXT-MONDE-T015</x:v>
      </x:c>
      <x:c r="C155" t="str">
        <x:v>Ports</x:v>
      </x:c>
      <x:c r="D155" t="str">
        <x:v>Terminal conteneurs</x:v>
      </x:c>
      <x:c r="E155" t="str">
        <x:v>Navigation et parcours jouables</x:v>
      </x:c>
      <x:c r="F155" t="str">
        <x:v>P1</x:v>
      </x:c>
      <x:c r="G155" t="str">
        <x:v>En cours</x:v>
      </x:c>
      <x:c r="H155" t="str">
        <x:v>Production Codex</x:v>
      </x:c>
      <x:c r="I155" t="str">
        <x:v>Livrable explicite, tests positifs et négatifs ; aucune validation déduite de la seule présence de la fiche.</x:v>
      </x:c>
      <x:c r="J155" t="str">
        <x:v>https://github.com/darknigthmare/deadwall-last-enclosure/blob/e28f46223e73105ab2c5d83f3d50b99b58ef53e6/docs/codex/suivi-monde2026/INSPECTION_PHYSIQUE_2026.md</x:v>
      </x:c>
    </x:row>
    <x:row r="156">
      <x:c r="A156" t="str">
        <x:v>EXT-MONDE-T016/dimensions</x:v>
      </x:c>
      <x:c r="B156" t="str">
        <x:v>EXT-MONDE-T016</x:v>
      </x:c>
      <x:c r="C156" t="str">
        <x:v>Ports</x:v>
      </x:c>
      <x:c r="D156" t="str">
        <x:v>Terminal ferry</x:v>
      </x:c>
      <x:c r="E156" t="str">
        <x:v>Dimensions et plans de référence</x:v>
      </x:c>
      <x:c r="F156" t="str">
        <x:v>P0</x:v>
      </x:c>
      <x:c r="G156" t="str">
        <x:v>En cours</x:v>
      </x:c>
      <x:c r="H156" t="str">
        <x:v>Production Codex</x:v>
      </x:c>
      <x:c r="I156" t="str">
        <x:v>Sources publiques identifiées ; unités en mètres ; emprise au sol distincte de la hauteur.</x:v>
      </x:c>
      <x:c r="J156" t="str">
        <x:v>https://github.com/darknigthmare/deadwall-last-enclosure/blob/e28f46223e73105ab2c5d83f3d50b99b58ef53e6/docs/codex/suivi-monde2026/PORTS_ILES_2026.md</x:v>
      </x:c>
    </x:row>
    <x:row r="157">
      <x:c r="A157" t="str">
        <x:v>EXT-MONDE-T016/architecture</x:v>
      </x:c>
      <x:c r="B157" t="str">
        <x:v>EXT-MONDE-T016</x:v>
      </x:c>
      <x:c r="C157" t="str">
        <x:v>Ports</x:v>
      </x:c>
      <x:c r="D157" t="str">
        <x:v>Terminal ferry</x:v>
      </x:c>
      <x:c r="E157" t="str">
        <x:v>Pièces, étages, annexes</x:v>
      </x:c>
      <x:c r="F157" t="str">
        <x:v>P0</x:v>
      </x:c>
      <x:c r="G157" t="str">
        <x:v>En cours</x:v>
      </x:c>
      <x:c r="H157" t="str">
        <x:v>Production Codex</x:v>
      </x:c>
      <x:c r="I157" t="str">
        <x:v>Livrable explicite, tests positifs et négatifs ; aucune validation déduite de la seule présence de la fiche.</x:v>
      </x:c>
      <x:c r="J157" t="str">
        <x:v>https://github.com/darknigthmare/deadwall-last-enclosure/blob/e28f46223e73105ab2c5d83f3d50b99b58ef53e6/docs/codex/suivi-monde2026/INSPECTION_PHYSIQUE_2026.md</x:v>
      </x:c>
    </x:row>
    <x:row r="158">
      <x:c r="A158" t="str">
        <x:v>EXT-MONDE-T016/seed</x:v>
      </x:c>
      <x:c r="B158" t="str">
        <x:v>EXT-MONDE-T016</x:v>
      </x:c>
      <x:c r="C158" t="str">
        <x:v>Ports</x:v>
      </x:c>
      <x:c r="D158" t="str">
        <x:v>Terminal ferry</x:v>
      </x:c>
      <x:c r="E158" t="str">
        <x:v>Implantation et réseaux</x:v>
      </x:c>
      <x:c r="F158" t="str">
        <x:v>P0</x:v>
      </x:c>
      <x:c r="G158" t="str">
        <x:v>À faire</x:v>
      </x:c>
      <x:c r="H158" t="str">
        <x:v>Non affecté</x:v>
      </x:c>
      <x:c r="I158" t="str">
        <x:v>Côté terre/eau explicite ; chenal connecté ; manutention et visiteurs séparés.</x:v>
      </x:c>
      <x:c r="J158" t="str"/>
    </x:row>
    <x:row r="159">
      <x:c r="A159" t="str">
        <x:v>EXT-MONDE-T016/props</x:v>
      </x:c>
      <x:c r="B159" t="str">
        <x:v>EXT-MONDE-T016</x:v>
      </x:c>
      <x:c r="C159" t="str">
        <x:v>Ports</x:v>
      </x:c>
      <x:c r="D159" t="str">
        <x:v>Terminal ferry</x:v>
      </x:c>
      <x:c r="E159" t="str">
        <x:v>Objets, décors et dégagements</x:v>
      </x:c>
      <x:c r="F159" t="str">
        <x:v>P1</x:v>
      </x:c>
      <x:c r="G159" t="str">
        <x:v>En cours</x:v>
      </x:c>
      <x:c r="H159" t="str">
        <x:v>Production Codex</x:v>
      </x:c>
      <x:c r="I159" t="str">
        <x:v>Livrable explicite, tests positifs et négatifs ; aucune validation déduite de la seule présence de la fiche.</x:v>
      </x:c>
      <x:c r="J159" t="str">
        <x:v>https://github.com/darknigthmare/deadwall-last-enclosure/blob/e28f46223e73105ab2c5d83f3d50b99b58ef53e6/docs/codex/suivi-monde2026/INSPECTION_PHYSIQUE_2026.md</x:v>
      </x:c>
    </x:row>
    <x:row r="160">
      <x:c r="A160" t="str">
        <x:v>EXT-MONDE-T016/loot</x:v>
      </x:c>
      <x:c r="B160" t="str">
        <x:v>EXT-MONDE-T016</x:v>
      </x:c>
      <x:c r="C160" t="str">
        <x:v>Ports</x:v>
      </x:c>
      <x:c r="D160" t="str">
        <x:v>Terminal ferry</x:v>
      </x:c>
      <x:c r="E160" t="str">
        <x:v>Budget de butin persistant</x:v>
      </x:c>
      <x:c r="F160" t="str">
        <x:v>P1</x:v>
      </x:c>
      <x:c r="G160" t="str">
        <x:v>À faire</x:v>
      </x:c>
      <x:c r="H160" t="str">
        <x:v>Non affecté</x:v>
      </x:c>
      <x:c r="I160" t="str">
        <x:v>Livrable explicite, tests positifs et négatifs ; aucune validation déduite de la seule présence de la fiche.</x:v>
      </x:c>
      <x:c r="J160" t="str"/>
    </x:row>
    <x:row r="161">
      <x:c r="A161" t="str">
        <x:v>EXT-MONDE-T016/rencontres</x:v>
      </x:c>
      <x:c r="B161" t="str">
        <x:v>EXT-MONDE-T016</x:v>
      </x:c>
      <x:c r="C161" t="str">
        <x:v>Ports</x:v>
      </x:c>
      <x:c r="D161" t="str">
        <x:v>Terminal ferry</x:v>
      </x:c>
      <x:c r="E161" t="str">
        <x:v>Ennemis et faune contextualisés</x:v>
      </x:c>
      <x:c r="F161" t="str">
        <x:v>P1</x:v>
      </x:c>
      <x:c r="G161" t="str">
        <x:v>À faire</x:v>
      </x:c>
      <x:c r="H161" t="str">
        <x:v>Non affecté</x:v>
      </x:c>
      <x:c r="I161" t="str">
        <x:v>Livrable explicite, tests positifs et négatifs ; aucune validation déduite de la seule présence de la fiche.</x:v>
      </x:c>
      <x:c r="J161" t="str"/>
    </x:row>
    <x:row r="162">
      <x:c r="A162" t="str">
        <x:v>EXT-MONDE-T016/services</x:v>
      </x:c>
      <x:c r="B162" t="str">
        <x:v>EXT-MONDE-T016</x:v>
      </x:c>
      <x:c r="C162" t="str">
        <x:v>Ports</x:v>
      </x:c>
      <x:c r="D162" t="str">
        <x:v>Terminal ferry</x:v>
      </x:c>
      <x:c r="E162" t="str">
        <x:v>Énergie, eau et interactions</x:v>
      </x:c>
      <x:c r="F162" t="str">
        <x:v>P1</x:v>
      </x:c>
      <x:c r="G162" t="str">
        <x:v>À faire</x:v>
      </x:c>
      <x:c r="H162" t="str">
        <x:v>Non affecté</x:v>
      </x:c>
      <x:c r="I162" t="str">
        <x:v>Livrable explicite, tests positifs et négatifs ; aucune validation déduite de la seule présence de la fiche.</x:v>
      </x:c>
      <x:c r="J162" t="str"/>
    </x:row>
    <x:row r="163">
      <x:c r="A163" t="str">
        <x:v>EXT-MONDE-T016/art</x:v>
      </x:c>
      <x:c r="B163" t="str">
        <x:v>EXT-MONDE-T016</x:v>
      </x:c>
      <x:c r="C163" t="str">
        <x:v>Ports</x:v>
      </x:c>
      <x:c r="D163" t="str">
        <x:v>Terminal ferry</x:v>
      </x:c>
      <x:c r="E163" t="str">
        <x:v>Sprites, proportions et animations</x:v>
      </x:c>
      <x:c r="F163" t="str">
        <x:v>P1</x:v>
      </x:c>
      <x:c r="G163" t="str">
        <x:v>À faire</x:v>
      </x:c>
      <x:c r="H163" t="str">
        <x:v>Non affecté</x:v>
      </x:c>
      <x:c r="I163" t="str">
        <x:v>Livrable explicite, tests positifs et négatifs ; aucune validation déduite de la seule présence de la fiche.</x:v>
      </x:c>
      <x:c r="J163" t="str"/>
    </x:row>
    <x:row r="164">
      <x:c r="A164" t="str">
        <x:v>EXT-MONDE-T016/sauvegarde</x:v>
      </x:c>
      <x:c r="B164" t="str">
        <x:v>EXT-MONDE-T016</x:v>
      </x:c>
      <x:c r="C164" t="str">
        <x:v>Ports</x:v>
      </x:c>
      <x:c r="D164" t="str">
        <x:v>Terminal ferry</x:v>
      </x:c>
      <x:c r="E164" t="str">
        <x:v>Identités, migration et reprise</x:v>
      </x:c>
      <x:c r="F164" t="str">
        <x:v>P1</x:v>
      </x:c>
      <x:c r="G164" t="str">
        <x:v>En cours</x:v>
      </x:c>
      <x:c r="H164" t="str">
        <x:v>Production Codex</x:v>
      </x:c>
      <x:c r="I164" t="str">
        <x:v>Livrable explicite, tests positifs et négatifs ; aucune validation déduite de la seule présence de la fiche.</x:v>
      </x:c>
      <x:c r="J164" t="str">
        <x:v>https://github.com/darknigthmare/deadwall-last-enclosure/blob/e28f46223e73105ab2c5d83f3d50b99b58ef53e6/docs/codex/suivi-monde2026/INSPECTION_PHYSIQUE_2026.md</x:v>
      </x:c>
    </x:row>
    <x:row r="165">
      <x:c r="A165" t="str">
        <x:v>EXT-MONDE-T016/qa</x:v>
      </x:c>
      <x:c r="B165" t="str">
        <x:v>EXT-MONDE-T016</x:v>
      </x:c>
      <x:c r="C165" t="str">
        <x:v>Ports</x:v>
      </x:c>
      <x:c r="D165" t="str">
        <x:v>Terminal ferry</x:v>
      </x:c>
      <x:c r="E165" t="str">
        <x:v>Navigation et parcours jouables</x:v>
      </x:c>
      <x:c r="F165" t="str">
        <x:v>P1</x:v>
      </x:c>
      <x:c r="G165" t="str">
        <x:v>En cours</x:v>
      </x:c>
      <x:c r="H165" t="str">
        <x:v>Production Codex</x:v>
      </x:c>
      <x:c r="I165" t="str">
        <x:v>Livrable explicite, tests positifs et négatifs ; aucune validation déduite de la seule présence de la fiche.</x:v>
      </x:c>
      <x:c r="J165" t="str">
        <x:v>https://github.com/darknigthmare/deadwall-last-enclosure/blob/e28f46223e73105ab2c5d83f3d50b99b58ef53e6/docs/codex/suivi-monde2026/INSPECTION_PHYSIQUE_2026.md</x:v>
      </x:c>
    </x:row>
    <x:row r="166">
      <x:c r="A166" t="str">
        <x:v>EXT-MONDE-T017/dimensions</x:v>
      </x:c>
      <x:c r="B166" t="str">
        <x:v>EXT-MONDE-T017</x:v>
      </x:c>
      <x:c r="C166" t="str">
        <x:v>Littoral</x:v>
      </x:c>
      <x:c r="D166" t="str">
        <x:v>Phare et logements</x:v>
      </x:c>
      <x:c r="E166" t="str">
        <x:v>Dimensions et plans de référence</x:v>
      </x:c>
      <x:c r="F166" t="str">
        <x:v>P0</x:v>
      </x:c>
      <x:c r="G166" t="str">
        <x:v>En cours</x:v>
      </x:c>
      <x:c r="H166" t="str">
        <x:v>Production Codex</x:v>
      </x:c>
      <x:c r="I166" t="str">
        <x:v>Sources publiques identifiées ; unités en mètres ; emprise au sol distincte de la hauteur.</x:v>
      </x:c>
      <x:c r="J166" t="str">
        <x:v>https://github.com/darknigthmare/deadwall-last-enclosure/blob/e28f46223e73105ab2c5d83f3d50b99b58ef53e6/docs/codex/suivi-monde2026/LITTORAL_2026.md</x:v>
      </x:c>
    </x:row>
    <x:row r="167">
      <x:c r="A167" t="str">
        <x:v>EXT-MONDE-T017/architecture</x:v>
      </x:c>
      <x:c r="B167" t="str">
        <x:v>EXT-MONDE-T017</x:v>
      </x:c>
      <x:c r="C167" t="str">
        <x:v>Littoral</x:v>
      </x:c>
      <x:c r="D167" t="str">
        <x:v>Phare et logements</x:v>
      </x:c>
      <x:c r="E167" t="str">
        <x:v>Pièces, étages, annexes</x:v>
      </x:c>
      <x:c r="F167" t="str">
        <x:v>P0</x:v>
      </x:c>
      <x:c r="G167" t="str">
        <x:v>En cours</x:v>
      </x:c>
      <x:c r="H167" t="str">
        <x:v>Production Codex</x:v>
      </x:c>
      <x:c r="I167" t="str">
        <x:v>Livrable explicite, tests positifs et négatifs ; aucune validation déduite de la seule présence de la fiche.</x:v>
      </x:c>
      <x:c r="J167" t="str">
        <x:v>https://github.com/darknigthmare/deadwall-last-enclosure/blob/e28f46223e73105ab2c5d83f3d50b99b58ef53e6/docs/codex/suivi-monde2026/INSPECTION_PHYSIQUE_2026.md</x:v>
      </x:c>
    </x:row>
    <x:row r="168">
      <x:c r="A168" t="str">
        <x:v>EXT-MONDE-T017/seed</x:v>
      </x:c>
      <x:c r="B168" t="str">
        <x:v>EXT-MONDE-T017</x:v>
      </x:c>
      <x:c r="C168" t="str">
        <x:v>Littoral</x:v>
      </x:c>
      <x:c r="D168" t="str">
        <x:v>Phare et logements</x:v>
      </x:c>
      <x:c r="E168" t="str">
        <x:v>Implantation et réseaux</x:v>
      </x:c>
      <x:c r="F168" t="str">
        <x:v>P0</x:v>
      </x:c>
      <x:c r="G168" t="str">
        <x:v>À faire</x:v>
      </x:c>
      <x:c r="H168" t="str">
        <x:v>Non affecté</x:v>
      </x:c>
      <x:c r="I168" t="str">
        <x:v>Adapter les pièces à l’usage ; relief, marée nominale et rivage avant implantation.</x:v>
      </x:c>
      <x:c r="J168" t="str"/>
    </x:row>
    <x:row r="169">
      <x:c r="A169" t="str">
        <x:v>EXT-MONDE-T017/props</x:v>
      </x:c>
      <x:c r="B169" t="str">
        <x:v>EXT-MONDE-T017</x:v>
      </x:c>
      <x:c r="C169" t="str">
        <x:v>Littoral</x:v>
      </x:c>
      <x:c r="D169" t="str">
        <x:v>Phare et logements</x:v>
      </x:c>
      <x:c r="E169" t="str">
        <x:v>Objets, décors et dégagements</x:v>
      </x:c>
      <x:c r="F169" t="str">
        <x:v>P1</x:v>
      </x:c>
      <x:c r="G169" t="str">
        <x:v>En cours</x:v>
      </x:c>
      <x:c r="H169" t="str">
        <x:v>Production Codex</x:v>
      </x:c>
      <x:c r="I169" t="str">
        <x:v>Livrable explicite, tests positifs et négatifs ; aucune validation déduite de la seule présence de la fiche.</x:v>
      </x:c>
      <x:c r="J169" t="str">
        <x:v>https://github.com/darknigthmare/deadwall-last-enclosure/blob/e28f46223e73105ab2c5d83f3d50b99b58ef53e6/docs/codex/suivi-monde2026/INSPECTION_PHYSIQUE_2026.md</x:v>
      </x:c>
    </x:row>
    <x:row r="170">
      <x:c r="A170" t="str">
        <x:v>EXT-MONDE-T017/loot</x:v>
      </x:c>
      <x:c r="B170" t="str">
        <x:v>EXT-MONDE-T017</x:v>
      </x:c>
      <x:c r="C170" t="str">
        <x:v>Littoral</x:v>
      </x:c>
      <x:c r="D170" t="str">
        <x:v>Phare et logements</x:v>
      </x:c>
      <x:c r="E170" t="str">
        <x:v>Budget de butin persistant</x:v>
      </x:c>
      <x:c r="F170" t="str">
        <x:v>P1</x:v>
      </x:c>
      <x:c r="G170" t="str">
        <x:v>À faire</x:v>
      </x:c>
      <x:c r="H170" t="str">
        <x:v>Non affecté</x:v>
      </x:c>
      <x:c r="I170" t="str">
        <x:v>Livrable explicite, tests positifs et négatifs ; aucune validation déduite de la seule présence de la fiche.</x:v>
      </x:c>
      <x:c r="J170" t="str"/>
    </x:row>
    <x:row r="171">
      <x:c r="A171" t="str">
        <x:v>EXT-MONDE-T017/rencontres</x:v>
      </x:c>
      <x:c r="B171" t="str">
        <x:v>EXT-MONDE-T017</x:v>
      </x:c>
      <x:c r="C171" t="str">
        <x:v>Littoral</x:v>
      </x:c>
      <x:c r="D171" t="str">
        <x:v>Phare et logements</x:v>
      </x:c>
      <x:c r="E171" t="str">
        <x:v>Ennemis et faune contextualisés</x:v>
      </x:c>
      <x:c r="F171" t="str">
        <x:v>P1</x:v>
      </x:c>
      <x:c r="G171" t="str">
        <x:v>À faire</x:v>
      </x:c>
      <x:c r="H171" t="str">
        <x:v>Non affecté</x:v>
      </x:c>
      <x:c r="I171" t="str">
        <x:v>Livrable explicite, tests positifs et négatifs ; aucune validation déduite de la seule présence de la fiche.</x:v>
      </x:c>
      <x:c r="J171" t="str"/>
    </x:row>
    <x:row r="172">
      <x:c r="A172" t="str">
        <x:v>EXT-MONDE-T017/services</x:v>
      </x:c>
      <x:c r="B172" t="str">
        <x:v>EXT-MONDE-T017</x:v>
      </x:c>
      <x:c r="C172" t="str">
        <x:v>Littoral</x:v>
      </x:c>
      <x:c r="D172" t="str">
        <x:v>Phare et logements</x:v>
      </x:c>
      <x:c r="E172" t="str">
        <x:v>Énergie, eau et interactions</x:v>
      </x:c>
      <x:c r="F172" t="str">
        <x:v>P1</x:v>
      </x:c>
      <x:c r="G172" t="str">
        <x:v>À faire</x:v>
      </x:c>
      <x:c r="H172" t="str">
        <x:v>Non affecté</x:v>
      </x:c>
      <x:c r="I172" t="str">
        <x:v>Livrable explicite, tests positifs et négatifs ; aucune validation déduite de la seule présence de la fiche.</x:v>
      </x:c>
      <x:c r="J172" t="str"/>
    </x:row>
    <x:row r="173">
      <x:c r="A173" t="str">
        <x:v>EXT-MONDE-T017/art</x:v>
      </x:c>
      <x:c r="B173" t="str">
        <x:v>EXT-MONDE-T017</x:v>
      </x:c>
      <x:c r="C173" t="str">
        <x:v>Littoral</x:v>
      </x:c>
      <x:c r="D173" t="str">
        <x:v>Phare et logements</x:v>
      </x:c>
      <x:c r="E173" t="str">
        <x:v>Sprites, proportions et animations</x:v>
      </x:c>
      <x:c r="F173" t="str">
        <x:v>P1</x:v>
      </x:c>
      <x:c r="G173" t="str">
        <x:v>À faire</x:v>
      </x:c>
      <x:c r="H173" t="str">
        <x:v>Non affecté</x:v>
      </x:c>
      <x:c r="I173" t="str">
        <x:v>Livrable explicite, tests positifs et négatifs ; aucune validation déduite de la seule présence de la fiche.</x:v>
      </x:c>
      <x:c r="J173" t="str"/>
    </x:row>
    <x:row r="174">
      <x:c r="A174" t="str">
        <x:v>EXT-MONDE-T017/sauvegarde</x:v>
      </x:c>
      <x:c r="B174" t="str">
        <x:v>EXT-MONDE-T017</x:v>
      </x:c>
      <x:c r="C174" t="str">
        <x:v>Littoral</x:v>
      </x:c>
      <x:c r="D174" t="str">
        <x:v>Phare et logements</x:v>
      </x:c>
      <x:c r="E174" t="str">
        <x:v>Identités, migration et reprise</x:v>
      </x:c>
      <x:c r="F174" t="str">
        <x:v>P1</x:v>
      </x:c>
      <x:c r="G174" t="str">
        <x:v>En cours</x:v>
      </x:c>
      <x:c r="H174" t="str">
        <x:v>Production Codex</x:v>
      </x:c>
      <x:c r="I174" t="str">
        <x:v>Livrable explicite, tests positifs et négatifs ; aucune validation déduite de la seule présence de la fiche.</x:v>
      </x:c>
      <x:c r="J174" t="str">
        <x:v>https://github.com/darknigthmare/deadwall-last-enclosure/blob/e28f46223e73105ab2c5d83f3d50b99b58ef53e6/docs/codex/suivi-monde2026/INSPECTION_PHYSIQUE_2026.md</x:v>
      </x:c>
    </x:row>
    <x:row r="175">
      <x:c r="A175" t="str">
        <x:v>EXT-MONDE-T017/qa</x:v>
      </x:c>
      <x:c r="B175" t="str">
        <x:v>EXT-MONDE-T017</x:v>
      </x:c>
      <x:c r="C175" t="str">
        <x:v>Littoral</x:v>
      </x:c>
      <x:c r="D175" t="str">
        <x:v>Phare et logements</x:v>
      </x:c>
      <x:c r="E175" t="str">
        <x:v>Navigation et parcours jouables</x:v>
      </x:c>
      <x:c r="F175" t="str">
        <x:v>P1</x:v>
      </x:c>
      <x:c r="G175" t="str">
        <x:v>En cours</x:v>
      </x:c>
      <x:c r="H175" t="str">
        <x:v>Production Codex</x:v>
      </x:c>
      <x:c r="I175" t="str">
        <x:v>Livrable explicite, tests positifs et négatifs ; aucune validation déduite de la seule présence de la fiche.</x:v>
      </x:c>
      <x:c r="J175" t="str">
        <x:v>https://github.com/darknigthmare/deadwall-last-enclosure/blob/e28f46223e73105ab2c5d83f3d50b99b58ef53e6/docs/codex/suivi-monde2026/INSPECTION_PHYSIQUE_2026.md</x:v>
      </x:c>
    </x:row>
    <x:row r="176">
      <x:c r="A176" t="str">
        <x:v>EXT-MONDE-T018/dimensions</x:v>
      </x:c>
      <x:c r="B176" t="str">
        <x:v>EXT-MONDE-T018</x:v>
      </x:c>
      <x:c r="C176" t="str">
        <x:v>Littoral</x:v>
      </x:c>
      <x:c r="D176" t="str">
        <x:v>Fête foraine portuaire</x:v>
      </x:c>
      <x:c r="E176" t="str">
        <x:v>Dimensions et plans de référence</x:v>
      </x:c>
      <x:c r="F176" t="str">
        <x:v>P0</x:v>
      </x:c>
      <x:c r="G176" t="str">
        <x:v>En cours</x:v>
      </x:c>
      <x:c r="H176" t="str">
        <x:v>Production Codex</x:v>
      </x:c>
      <x:c r="I176" t="str">
        <x:v>Sources publiques identifiées ; unités en mètres ; emprise au sol distincte de la hauteur.</x:v>
      </x:c>
      <x:c r="J176" t="str">
        <x:v>https://github.com/darknigthmare/deadwall-last-enclosure/blob/e28f46223e73105ab2c5d83f3d50b99b58ef53e6/docs/codex/suivi-monde2026/LITTORAL_2026.md</x:v>
      </x:c>
    </x:row>
    <x:row r="177">
      <x:c r="A177" t="str">
        <x:v>EXT-MONDE-T018/architecture</x:v>
      </x:c>
      <x:c r="B177" t="str">
        <x:v>EXT-MONDE-T018</x:v>
      </x:c>
      <x:c r="C177" t="str">
        <x:v>Littoral</x:v>
      </x:c>
      <x:c r="D177" t="str">
        <x:v>Fête foraine portuaire</x:v>
      </x:c>
      <x:c r="E177" t="str">
        <x:v>Pièces, étages, annexes</x:v>
      </x:c>
      <x:c r="F177" t="str">
        <x:v>P0</x:v>
      </x:c>
      <x:c r="G177" t="str">
        <x:v>En cours</x:v>
      </x:c>
      <x:c r="H177" t="str">
        <x:v>Production Codex</x:v>
      </x:c>
      <x:c r="I177" t="str">
        <x:v>Livrable explicite, tests positifs et négatifs ; aucune validation déduite de la seule présence de la fiche.</x:v>
      </x:c>
      <x:c r="J177" t="str">
        <x:v>https://github.com/darknigthmare/deadwall-last-enclosure/blob/e28f46223e73105ab2c5d83f3d50b99b58ef53e6/docs/codex/suivi-monde2026/INSPECTION_PHYSIQUE_2026.md</x:v>
      </x:c>
    </x:row>
    <x:row r="178">
      <x:c r="A178" t="str">
        <x:v>EXT-MONDE-T018/seed</x:v>
      </x:c>
      <x:c r="B178" t="str">
        <x:v>EXT-MONDE-T018</x:v>
      </x:c>
      <x:c r="C178" t="str">
        <x:v>Littoral</x:v>
      </x:c>
      <x:c r="D178" t="str">
        <x:v>Fête foraine portuaire</x:v>
      </x:c>
      <x:c r="E178" t="str">
        <x:v>Implantation et réseaux</x:v>
      </x:c>
      <x:c r="F178" t="str">
        <x:v>P0</x:v>
      </x:c>
      <x:c r="G178" t="str">
        <x:v>À faire</x:v>
      </x:c>
      <x:c r="H178" t="str">
        <x:v>Non affecté</x:v>
      </x:c>
      <x:c r="I178" t="str">
        <x:v>Adapter les pièces à l’usage ; relief, marée nominale et rivage avant implantation.</x:v>
      </x:c>
      <x:c r="J178" t="str"/>
    </x:row>
    <x:row r="179">
      <x:c r="A179" t="str">
        <x:v>EXT-MONDE-T018/props</x:v>
      </x:c>
      <x:c r="B179" t="str">
        <x:v>EXT-MONDE-T018</x:v>
      </x:c>
      <x:c r="C179" t="str">
        <x:v>Littoral</x:v>
      </x:c>
      <x:c r="D179" t="str">
        <x:v>Fête foraine portuaire</x:v>
      </x:c>
      <x:c r="E179" t="str">
        <x:v>Objets, décors et dégagements</x:v>
      </x:c>
      <x:c r="F179" t="str">
        <x:v>P1</x:v>
      </x:c>
      <x:c r="G179" t="str">
        <x:v>En cours</x:v>
      </x:c>
      <x:c r="H179" t="str">
        <x:v>Production Codex</x:v>
      </x:c>
      <x:c r="I179" t="str">
        <x:v>Livrable explicite, tests positifs et négatifs ; aucune validation déduite de la seule présence de la fiche.</x:v>
      </x:c>
      <x:c r="J179" t="str">
        <x:v>https://github.com/darknigthmare/deadwall-last-enclosure/blob/e28f46223e73105ab2c5d83f3d50b99b58ef53e6/docs/codex/suivi-monde2026/INSPECTION_PHYSIQUE_2026.md</x:v>
      </x:c>
    </x:row>
    <x:row r="180">
      <x:c r="A180" t="str">
        <x:v>EXT-MONDE-T018/loot</x:v>
      </x:c>
      <x:c r="B180" t="str">
        <x:v>EXT-MONDE-T018</x:v>
      </x:c>
      <x:c r="C180" t="str">
        <x:v>Littoral</x:v>
      </x:c>
      <x:c r="D180" t="str">
        <x:v>Fête foraine portuaire</x:v>
      </x:c>
      <x:c r="E180" t="str">
        <x:v>Budget de butin persistant</x:v>
      </x:c>
      <x:c r="F180" t="str">
        <x:v>P1</x:v>
      </x:c>
      <x:c r="G180" t="str">
        <x:v>À faire</x:v>
      </x:c>
      <x:c r="H180" t="str">
        <x:v>Non affecté</x:v>
      </x:c>
      <x:c r="I180" t="str">
        <x:v>Livrable explicite, tests positifs et négatifs ; aucune validation déduite de la seule présence de la fiche.</x:v>
      </x:c>
      <x:c r="J180" t="str"/>
    </x:row>
    <x:row r="181">
      <x:c r="A181" t="str">
        <x:v>EXT-MONDE-T018/rencontres</x:v>
      </x:c>
      <x:c r="B181" t="str">
        <x:v>EXT-MONDE-T018</x:v>
      </x:c>
      <x:c r="C181" t="str">
        <x:v>Littoral</x:v>
      </x:c>
      <x:c r="D181" t="str">
        <x:v>Fête foraine portuaire</x:v>
      </x:c>
      <x:c r="E181" t="str">
        <x:v>Ennemis et faune contextualisés</x:v>
      </x:c>
      <x:c r="F181" t="str">
        <x:v>P1</x:v>
      </x:c>
      <x:c r="G181" t="str">
        <x:v>À faire</x:v>
      </x:c>
      <x:c r="H181" t="str">
        <x:v>Non affecté</x:v>
      </x:c>
      <x:c r="I181" t="str">
        <x:v>Livrable explicite, tests positifs et négatifs ; aucune validation déduite de la seule présence de la fiche.</x:v>
      </x:c>
      <x:c r="J181" t="str"/>
    </x:row>
    <x:row r="182">
      <x:c r="A182" t="str">
        <x:v>EXT-MONDE-T018/services</x:v>
      </x:c>
      <x:c r="B182" t="str">
        <x:v>EXT-MONDE-T018</x:v>
      </x:c>
      <x:c r="C182" t="str">
        <x:v>Littoral</x:v>
      </x:c>
      <x:c r="D182" t="str">
        <x:v>Fête foraine portuaire</x:v>
      </x:c>
      <x:c r="E182" t="str">
        <x:v>Énergie, eau et interactions</x:v>
      </x:c>
      <x:c r="F182" t="str">
        <x:v>P1</x:v>
      </x:c>
      <x:c r="G182" t="str">
        <x:v>À faire</x:v>
      </x:c>
      <x:c r="H182" t="str">
        <x:v>Non affecté</x:v>
      </x:c>
      <x:c r="I182" t="str">
        <x:v>Livrable explicite, tests positifs et négatifs ; aucune validation déduite de la seule présence de la fiche.</x:v>
      </x:c>
      <x:c r="J182" t="str"/>
    </x:row>
    <x:row r="183">
      <x:c r="A183" t="str">
        <x:v>EXT-MONDE-T018/art</x:v>
      </x:c>
      <x:c r="B183" t="str">
        <x:v>EXT-MONDE-T018</x:v>
      </x:c>
      <x:c r="C183" t="str">
        <x:v>Littoral</x:v>
      </x:c>
      <x:c r="D183" t="str">
        <x:v>Fête foraine portuaire</x:v>
      </x:c>
      <x:c r="E183" t="str">
        <x:v>Sprites, proportions et animations</x:v>
      </x:c>
      <x:c r="F183" t="str">
        <x:v>P1</x:v>
      </x:c>
      <x:c r="G183" t="str">
        <x:v>À faire</x:v>
      </x:c>
      <x:c r="H183" t="str">
        <x:v>Non affecté</x:v>
      </x:c>
      <x:c r="I183" t="str">
        <x:v>Livrable explicite, tests positifs et négatifs ; aucune validation déduite de la seule présence de la fiche.</x:v>
      </x:c>
      <x:c r="J183" t="str"/>
    </x:row>
    <x:row r="184">
      <x:c r="A184" t="str">
        <x:v>EXT-MONDE-T018/sauvegarde</x:v>
      </x:c>
      <x:c r="B184" t="str">
        <x:v>EXT-MONDE-T018</x:v>
      </x:c>
      <x:c r="C184" t="str">
        <x:v>Littoral</x:v>
      </x:c>
      <x:c r="D184" t="str">
        <x:v>Fête foraine portuaire</x:v>
      </x:c>
      <x:c r="E184" t="str">
        <x:v>Identités, migration et reprise</x:v>
      </x:c>
      <x:c r="F184" t="str">
        <x:v>P1</x:v>
      </x:c>
      <x:c r="G184" t="str">
        <x:v>En cours</x:v>
      </x:c>
      <x:c r="H184" t="str">
        <x:v>Production Codex</x:v>
      </x:c>
      <x:c r="I184" t="str">
        <x:v>Livrable explicite, tests positifs et négatifs ; aucune validation déduite de la seule présence de la fiche.</x:v>
      </x:c>
      <x:c r="J184" t="str">
        <x:v>https://github.com/darknigthmare/deadwall-last-enclosure/blob/e28f46223e73105ab2c5d83f3d50b99b58ef53e6/docs/codex/suivi-monde2026/INSPECTION_PHYSIQUE_2026.md</x:v>
      </x:c>
    </x:row>
    <x:row r="185">
      <x:c r="A185" t="str">
        <x:v>EXT-MONDE-T018/qa</x:v>
      </x:c>
      <x:c r="B185" t="str">
        <x:v>EXT-MONDE-T018</x:v>
      </x:c>
      <x:c r="C185" t="str">
        <x:v>Littoral</x:v>
      </x:c>
      <x:c r="D185" t="str">
        <x:v>Fête foraine portuaire</x:v>
      </x:c>
      <x:c r="E185" t="str">
        <x:v>Navigation et parcours jouables</x:v>
      </x:c>
      <x:c r="F185" t="str">
        <x:v>P1</x:v>
      </x:c>
      <x:c r="G185" t="str">
        <x:v>En cours</x:v>
      </x:c>
      <x:c r="H185" t="str">
        <x:v>Production Codex</x:v>
      </x:c>
      <x:c r="I185" t="str">
        <x:v>Livrable explicite, tests positifs et négatifs ; aucune validation déduite de la seule présence de la fiche.</x:v>
      </x:c>
      <x:c r="J185" t="str">
        <x:v>https://github.com/darknigthmare/deadwall-last-enclosure/blob/e28f46223e73105ab2c5d83f3d50b99b58ef53e6/docs/codex/suivi-monde2026/INSPECTION_PHYSIQUE_2026.md</x:v>
      </x:c>
    </x:row>
    <x:row r="186">
      <x:c r="A186" t="str">
        <x:v>EXT-MONDE-T019/dimensions</x:v>
      </x:c>
      <x:c r="B186" t="str">
        <x:v>EXT-MONDE-T019</x:v>
      </x:c>
      <x:c r="C186" t="str">
        <x:v>Littoral</x:v>
      </x:c>
      <x:c r="D186" t="str">
        <x:v>Chantier naval côtier</x:v>
      </x:c>
      <x:c r="E186" t="str">
        <x:v>Dimensions et plans de référence</x:v>
      </x:c>
      <x:c r="F186" t="str">
        <x:v>P0</x:v>
      </x:c>
      <x:c r="G186" t="str">
        <x:v>En cours</x:v>
      </x:c>
      <x:c r="H186" t="str">
        <x:v>Production Codex</x:v>
      </x:c>
      <x:c r="I186" t="str">
        <x:v>Sources publiques identifiées ; unités en mètres ; emprise au sol distincte de la hauteur.</x:v>
      </x:c>
      <x:c r="J186" t="str">
        <x:v>https://github.com/darknigthmare/deadwall-last-enclosure/blob/e28f46223e73105ab2c5d83f3d50b99b58ef53e6/docs/codex/suivi-monde2026/LITTORAL_2026.md</x:v>
      </x:c>
    </x:row>
    <x:row r="187">
      <x:c r="A187" t="str">
        <x:v>EXT-MONDE-T019/architecture</x:v>
      </x:c>
      <x:c r="B187" t="str">
        <x:v>EXT-MONDE-T019</x:v>
      </x:c>
      <x:c r="C187" t="str">
        <x:v>Littoral</x:v>
      </x:c>
      <x:c r="D187" t="str">
        <x:v>Chantier naval côtier</x:v>
      </x:c>
      <x:c r="E187" t="str">
        <x:v>Pièces, étages, annexes</x:v>
      </x:c>
      <x:c r="F187" t="str">
        <x:v>P0</x:v>
      </x:c>
      <x:c r="G187" t="str">
        <x:v>En cours</x:v>
      </x:c>
      <x:c r="H187" t="str">
        <x:v>Production Codex</x:v>
      </x:c>
      <x:c r="I187" t="str">
        <x:v>Livrable explicite, tests positifs et négatifs ; aucune validation déduite de la seule présence de la fiche.</x:v>
      </x:c>
      <x:c r="J187" t="str">
        <x:v>https://github.com/darknigthmare/deadwall-last-enclosure/blob/e28f46223e73105ab2c5d83f3d50b99b58ef53e6/docs/codex/suivi-monde2026/INSPECTION_PHYSIQUE_2026.md</x:v>
      </x:c>
    </x:row>
    <x:row r="188">
      <x:c r="A188" t="str">
        <x:v>EXT-MONDE-T019/seed</x:v>
      </x:c>
      <x:c r="B188" t="str">
        <x:v>EXT-MONDE-T019</x:v>
      </x:c>
      <x:c r="C188" t="str">
        <x:v>Littoral</x:v>
      </x:c>
      <x:c r="D188" t="str">
        <x:v>Chantier naval côtier</x:v>
      </x:c>
      <x:c r="E188" t="str">
        <x:v>Implantation et réseaux</x:v>
      </x:c>
      <x:c r="F188" t="str">
        <x:v>P0</x:v>
      </x:c>
      <x:c r="G188" t="str">
        <x:v>À faire</x:v>
      </x:c>
      <x:c r="H188" t="str">
        <x:v>Non affecté</x:v>
      </x:c>
      <x:c r="I188" t="str">
        <x:v>Adapter les pièces à l’usage ; relief, marée nominale et rivage avant implantation.</x:v>
      </x:c>
      <x:c r="J188" t="str"/>
    </x:row>
    <x:row r="189">
      <x:c r="A189" t="str">
        <x:v>EXT-MONDE-T019/props</x:v>
      </x:c>
      <x:c r="B189" t="str">
        <x:v>EXT-MONDE-T019</x:v>
      </x:c>
      <x:c r="C189" t="str">
        <x:v>Littoral</x:v>
      </x:c>
      <x:c r="D189" t="str">
        <x:v>Chantier naval côtier</x:v>
      </x:c>
      <x:c r="E189" t="str">
        <x:v>Objets, décors et dégagements</x:v>
      </x:c>
      <x:c r="F189" t="str">
        <x:v>P1</x:v>
      </x:c>
      <x:c r="G189" t="str">
        <x:v>En cours</x:v>
      </x:c>
      <x:c r="H189" t="str">
        <x:v>Production Codex</x:v>
      </x:c>
      <x:c r="I189" t="str">
        <x:v>Livrable explicite, tests positifs et négatifs ; aucune validation déduite de la seule présence de la fiche.</x:v>
      </x:c>
      <x:c r="J189" t="str">
        <x:v>https://github.com/darknigthmare/deadwall-last-enclosure/blob/e28f46223e73105ab2c5d83f3d50b99b58ef53e6/docs/codex/suivi-monde2026/INSPECTION_PHYSIQUE_2026.md</x:v>
      </x:c>
    </x:row>
    <x:row r="190">
      <x:c r="A190" t="str">
        <x:v>EXT-MONDE-T019/loot</x:v>
      </x:c>
      <x:c r="B190" t="str">
        <x:v>EXT-MONDE-T019</x:v>
      </x:c>
      <x:c r="C190" t="str">
        <x:v>Littoral</x:v>
      </x:c>
      <x:c r="D190" t="str">
        <x:v>Chantier naval côtier</x:v>
      </x:c>
      <x:c r="E190" t="str">
        <x:v>Budget de butin persistant</x:v>
      </x:c>
      <x:c r="F190" t="str">
        <x:v>P1</x:v>
      </x:c>
      <x:c r="G190" t="str">
        <x:v>À faire</x:v>
      </x:c>
      <x:c r="H190" t="str">
        <x:v>Non affecté</x:v>
      </x:c>
      <x:c r="I190" t="str">
        <x:v>Livrable explicite, tests positifs et négatifs ; aucune validation déduite de la seule présence de la fiche.</x:v>
      </x:c>
      <x:c r="J190" t="str"/>
    </x:row>
    <x:row r="191">
      <x:c r="A191" t="str">
        <x:v>EXT-MONDE-T019/rencontres</x:v>
      </x:c>
      <x:c r="B191" t="str">
        <x:v>EXT-MONDE-T019</x:v>
      </x:c>
      <x:c r="C191" t="str">
        <x:v>Littoral</x:v>
      </x:c>
      <x:c r="D191" t="str">
        <x:v>Chantier naval côtier</x:v>
      </x:c>
      <x:c r="E191" t="str">
        <x:v>Ennemis et faune contextualisés</x:v>
      </x:c>
      <x:c r="F191" t="str">
        <x:v>P1</x:v>
      </x:c>
      <x:c r="G191" t="str">
        <x:v>À faire</x:v>
      </x:c>
      <x:c r="H191" t="str">
        <x:v>Non affecté</x:v>
      </x:c>
      <x:c r="I191" t="str">
        <x:v>Livrable explicite, tests positifs et négatifs ; aucune validation déduite de la seule présence de la fiche.</x:v>
      </x:c>
      <x:c r="J191" t="str"/>
    </x:row>
    <x:row r="192">
      <x:c r="A192" t="str">
        <x:v>EXT-MONDE-T019/services</x:v>
      </x:c>
      <x:c r="B192" t="str">
        <x:v>EXT-MONDE-T019</x:v>
      </x:c>
      <x:c r="C192" t="str">
        <x:v>Littoral</x:v>
      </x:c>
      <x:c r="D192" t="str">
        <x:v>Chantier naval côtier</x:v>
      </x:c>
      <x:c r="E192" t="str">
        <x:v>Énergie, eau et interactions</x:v>
      </x:c>
      <x:c r="F192" t="str">
        <x:v>P1</x:v>
      </x:c>
      <x:c r="G192" t="str">
        <x:v>À faire</x:v>
      </x:c>
      <x:c r="H192" t="str">
        <x:v>Non affecté</x:v>
      </x:c>
      <x:c r="I192" t="str">
        <x:v>Livrable explicite, tests positifs et négatifs ; aucune validation déduite de la seule présence de la fiche.</x:v>
      </x:c>
      <x:c r="J192" t="str"/>
    </x:row>
    <x:row r="193">
      <x:c r="A193" t="str">
        <x:v>EXT-MONDE-T019/art</x:v>
      </x:c>
      <x:c r="B193" t="str">
        <x:v>EXT-MONDE-T019</x:v>
      </x:c>
      <x:c r="C193" t="str">
        <x:v>Littoral</x:v>
      </x:c>
      <x:c r="D193" t="str">
        <x:v>Chantier naval côtier</x:v>
      </x:c>
      <x:c r="E193" t="str">
        <x:v>Sprites, proportions et animations</x:v>
      </x:c>
      <x:c r="F193" t="str">
        <x:v>P1</x:v>
      </x:c>
      <x:c r="G193" t="str">
        <x:v>À faire</x:v>
      </x:c>
      <x:c r="H193" t="str">
        <x:v>Non affecté</x:v>
      </x:c>
      <x:c r="I193" t="str">
        <x:v>Livrable explicite, tests positifs et négatifs ; aucune validation déduite de la seule présence de la fiche.</x:v>
      </x:c>
      <x:c r="J193" t="str"/>
    </x:row>
    <x:row r="194">
      <x:c r="A194" t="str">
        <x:v>EXT-MONDE-T019/sauvegarde</x:v>
      </x:c>
      <x:c r="B194" t="str">
        <x:v>EXT-MONDE-T019</x:v>
      </x:c>
      <x:c r="C194" t="str">
        <x:v>Littoral</x:v>
      </x:c>
      <x:c r="D194" t="str">
        <x:v>Chantier naval côtier</x:v>
      </x:c>
      <x:c r="E194" t="str">
        <x:v>Identités, migration et reprise</x:v>
      </x:c>
      <x:c r="F194" t="str">
        <x:v>P1</x:v>
      </x:c>
      <x:c r="G194" t="str">
        <x:v>En cours</x:v>
      </x:c>
      <x:c r="H194" t="str">
        <x:v>Production Codex</x:v>
      </x:c>
      <x:c r="I194" t="str">
        <x:v>Livrable explicite, tests positifs et négatifs ; aucune validation déduite de la seule présence de la fiche.</x:v>
      </x:c>
      <x:c r="J194" t="str">
        <x:v>https://github.com/darknigthmare/deadwall-last-enclosure/blob/e28f46223e73105ab2c5d83f3d50b99b58ef53e6/docs/codex/suivi-monde2026/INSPECTION_PHYSIQUE_2026.md</x:v>
      </x:c>
    </x:row>
    <x:row r="195">
      <x:c r="A195" t="str">
        <x:v>EXT-MONDE-T019/qa</x:v>
      </x:c>
      <x:c r="B195" t="str">
        <x:v>EXT-MONDE-T019</x:v>
      </x:c>
      <x:c r="C195" t="str">
        <x:v>Littoral</x:v>
      </x:c>
      <x:c r="D195" t="str">
        <x:v>Chantier naval côtier</x:v>
      </x:c>
      <x:c r="E195" t="str">
        <x:v>Navigation et parcours jouables</x:v>
      </x:c>
      <x:c r="F195" t="str">
        <x:v>P1</x:v>
      </x:c>
      <x:c r="G195" t="str">
        <x:v>En cours</x:v>
      </x:c>
      <x:c r="H195" t="str">
        <x:v>Production Codex</x:v>
      </x:c>
      <x:c r="I195" t="str">
        <x:v>Livrable explicite, tests positifs et négatifs ; aucune validation déduite de la seule présence de la fiche.</x:v>
      </x:c>
      <x:c r="J195" t="str">
        <x:v>https://github.com/darknigthmare/deadwall-last-enclosure/blob/e28f46223e73105ab2c5d83f3d50b99b58ef53e6/docs/codex/suivi-monde2026/INSPECTION_PHYSIQUE_2026.md</x:v>
      </x:c>
    </x:row>
    <x:row r="196">
      <x:c r="A196" t="str">
        <x:v>EXT-MONDE-T020/dimensions</x:v>
      </x:c>
      <x:c r="B196" t="str">
        <x:v>EXT-MONDE-T020</x:v>
      </x:c>
      <x:c r="C196" t="str">
        <x:v>Littoral</x:v>
      </x:c>
      <x:c r="D196" t="str">
        <x:v>Baie avec village côtier</x:v>
      </x:c>
      <x:c r="E196" t="str">
        <x:v>Dimensions et plans de référence</x:v>
      </x:c>
      <x:c r="F196" t="str">
        <x:v>P0</x:v>
      </x:c>
      <x:c r="G196" t="str">
        <x:v>En cours</x:v>
      </x:c>
      <x:c r="H196" t="str">
        <x:v>Production Codex</x:v>
      </x:c>
      <x:c r="I196" t="str">
        <x:v>Sources publiques identifiées ; unités en mètres ; emprise au sol distincte de la hauteur.</x:v>
      </x:c>
      <x:c r="J196" t="str">
        <x:v>https://github.com/darknigthmare/deadwall-last-enclosure/blob/e28f46223e73105ab2c5d83f3d50b99b58ef53e6/docs/codex/suivi-monde2026/LITTORAL_2026.md</x:v>
      </x:c>
    </x:row>
    <x:row r="197">
      <x:c r="A197" t="str">
        <x:v>EXT-MONDE-T020/architecture</x:v>
      </x:c>
      <x:c r="B197" t="str">
        <x:v>EXT-MONDE-T020</x:v>
      </x:c>
      <x:c r="C197" t="str">
        <x:v>Littoral</x:v>
      </x:c>
      <x:c r="D197" t="str">
        <x:v>Baie avec village côtier</x:v>
      </x:c>
      <x:c r="E197" t="str">
        <x:v>Pièces, étages, annexes</x:v>
      </x:c>
      <x:c r="F197" t="str">
        <x:v>P0</x:v>
      </x:c>
      <x:c r="G197" t="str">
        <x:v>En cours</x:v>
      </x:c>
      <x:c r="H197" t="str">
        <x:v>Production Codex</x:v>
      </x:c>
      <x:c r="I197" t="str">
        <x:v>Livrable explicite, tests positifs et négatifs ; aucune validation déduite de la seule présence de la fiche.</x:v>
      </x:c>
      <x:c r="J197" t="str">
        <x:v>https://github.com/darknigthmare/deadwall-last-enclosure/blob/e28f46223e73105ab2c5d83f3d50b99b58ef53e6/docs/codex/suivi-monde2026/INSPECTION_PHYSIQUE_2026.md</x:v>
      </x:c>
    </x:row>
    <x:row r="198">
      <x:c r="A198" t="str">
        <x:v>EXT-MONDE-T020/seed</x:v>
      </x:c>
      <x:c r="B198" t="str">
        <x:v>EXT-MONDE-T020</x:v>
      </x:c>
      <x:c r="C198" t="str">
        <x:v>Littoral</x:v>
      </x:c>
      <x:c r="D198" t="str">
        <x:v>Baie avec village côtier</x:v>
      </x:c>
      <x:c r="E198" t="str">
        <x:v>Implantation et réseaux</x:v>
      </x:c>
      <x:c r="F198" t="str">
        <x:v>P0</x:v>
      </x:c>
      <x:c r="G198" t="str">
        <x:v>À faire</x:v>
      </x:c>
      <x:c r="H198" t="str">
        <x:v>Non affecté</x:v>
      </x:c>
      <x:c r="I198" t="str">
        <x:v>Adapter les pièces à l’usage ; relief, marée nominale et rivage avant implantation.</x:v>
      </x:c>
      <x:c r="J198" t="str"/>
    </x:row>
    <x:row r="199">
      <x:c r="A199" t="str">
        <x:v>EXT-MONDE-T020/props</x:v>
      </x:c>
      <x:c r="B199" t="str">
        <x:v>EXT-MONDE-T020</x:v>
      </x:c>
      <x:c r="C199" t="str">
        <x:v>Littoral</x:v>
      </x:c>
      <x:c r="D199" t="str">
        <x:v>Baie avec village côtier</x:v>
      </x:c>
      <x:c r="E199" t="str">
        <x:v>Objets, décors et dégagements</x:v>
      </x:c>
      <x:c r="F199" t="str">
        <x:v>P1</x:v>
      </x:c>
      <x:c r="G199" t="str">
        <x:v>En cours</x:v>
      </x:c>
      <x:c r="H199" t="str">
        <x:v>Production Codex</x:v>
      </x:c>
      <x:c r="I199" t="str">
        <x:v>Livrable explicite, tests positifs et négatifs ; aucune validation déduite de la seule présence de la fiche.</x:v>
      </x:c>
      <x:c r="J199" t="str">
        <x:v>https://github.com/darknigthmare/deadwall-last-enclosure/blob/e28f46223e73105ab2c5d83f3d50b99b58ef53e6/docs/codex/suivi-monde2026/INSPECTION_PHYSIQUE_2026.md</x:v>
      </x:c>
    </x:row>
    <x:row r="200">
      <x:c r="A200" t="str">
        <x:v>EXT-MONDE-T020/loot</x:v>
      </x:c>
      <x:c r="B200" t="str">
        <x:v>EXT-MONDE-T020</x:v>
      </x:c>
      <x:c r="C200" t="str">
        <x:v>Littoral</x:v>
      </x:c>
      <x:c r="D200" t="str">
        <x:v>Baie avec village côtier</x:v>
      </x:c>
      <x:c r="E200" t="str">
        <x:v>Budget de butin persistant</x:v>
      </x:c>
      <x:c r="F200" t="str">
        <x:v>P1</x:v>
      </x:c>
      <x:c r="G200" t="str">
        <x:v>À faire</x:v>
      </x:c>
      <x:c r="H200" t="str">
        <x:v>Non affecté</x:v>
      </x:c>
      <x:c r="I200" t="str">
        <x:v>Livrable explicite, tests positifs et négatifs ; aucune validation déduite de la seule présence de la fiche.</x:v>
      </x:c>
      <x:c r="J200" t="str"/>
    </x:row>
    <x:row r="201">
      <x:c r="A201" t="str">
        <x:v>EXT-MONDE-T020/rencontres</x:v>
      </x:c>
      <x:c r="B201" t="str">
        <x:v>EXT-MONDE-T020</x:v>
      </x:c>
      <x:c r="C201" t="str">
        <x:v>Littoral</x:v>
      </x:c>
      <x:c r="D201" t="str">
        <x:v>Baie avec village côtier</x:v>
      </x:c>
      <x:c r="E201" t="str">
        <x:v>Ennemis et faune contextualisés</x:v>
      </x:c>
      <x:c r="F201" t="str">
        <x:v>P1</x:v>
      </x:c>
      <x:c r="G201" t="str">
        <x:v>À faire</x:v>
      </x:c>
      <x:c r="H201" t="str">
        <x:v>Non affecté</x:v>
      </x:c>
      <x:c r="I201" t="str">
        <x:v>Livrable explicite, tests positifs et négatifs ; aucune validation déduite de la seule présence de la fiche.</x:v>
      </x:c>
      <x:c r="J201" t="str"/>
    </x:row>
    <x:row r="202">
      <x:c r="A202" t="str">
        <x:v>EXT-MONDE-T020/services</x:v>
      </x:c>
      <x:c r="B202" t="str">
        <x:v>EXT-MONDE-T020</x:v>
      </x:c>
      <x:c r="C202" t="str">
        <x:v>Littoral</x:v>
      </x:c>
      <x:c r="D202" t="str">
        <x:v>Baie avec village côtier</x:v>
      </x:c>
      <x:c r="E202" t="str">
        <x:v>Énergie, eau et interactions</x:v>
      </x:c>
      <x:c r="F202" t="str">
        <x:v>P1</x:v>
      </x:c>
      <x:c r="G202" t="str">
        <x:v>À faire</x:v>
      </x:c>
      <x:c r="H202" t="str">
        <x:v>Non affecté</x:v>
      </x:c>
      <x:c r="I202" t="str">
        <x:v>Livrable explicite, tests positifs et négatifs ; aucune validation déduite de la seule présence de la fiche.</x:v>
      </x:c>
      <x:c r="J202" t="str"/>
    </x:row>
    <x:row r="203">
      <x:c r="A203" t="str">
        <x:v>EXT-MONDE-T020/art</x:v>
      </x:c>
      <x:c r="B203" t="str">
        <x:v>EXT-MONDE-T020</x:v>
      </x:c>
      <x:c r="C203" t="str">
        <x:v>Littoral</x:v>
      </x:c>
      <x:c r="D203" t="str">
        <x:v>Baie avec village côtier</x:v>
      </x:c>
      <x:c r="E203" t="str">
        <x:v>Sprites, proportions et animations</x:v>
      </x:c>
      <x:c r="F203" t="str">
        <x:v>P1</x:v>
      </x:c>
      <x:c r="G203" t="str">
        <x:v>À faire</x:v>
      </x:c>
      <x:c r="H203" t="str">
        <x:v>Non affecté</x:v>
      </x:c>
      <x:c r="I203" t="str">
        <x:v>Livrable explicite, tests positifs et négatifs ; aucune validation déduite de la seule présence de la fiche.</x:v>
      </x:c>
      <x:c r="J203" t="str"/>
    </x:row>
    <x:row r="204">
      <x:c r="A204" t="str">
        <x:v>EXT-MONDE-T020/sauvegarde</x:v>
      </x:c>
      <x:c r="B204" t="str">
        <x:v>EXT-MONDE-T020</x:v>
      </x:c>
      <x:c r="C204" t="str">
        <x:v>Littoral</x:v>
      </x:c>
      <x:c r="D204" t="str">
        <x:v>Baie avec village côtier</x:v>
      </x:c>
      <x:c r="E204" t="str">
        <x:v>Identités, migration et reprise</x:v>
      </x:c>
      <x:c r="F204" t="str">
        <x:v>P1</x:v>
      </x:c>
      <x:c r="G204" t="str">
        <x:v>En cours</x:v>
      </x:c>
      <x:c r="H204" t="str">
        <x:v>Production Codex</x:v>
      </x:c>
      <x:c r="I204" t="str">
        <x:v>Livrable explicite, tests positifs et négatifs ; aucune validation déduite de la seule présence de la fiche.</x:v>
      </x:c>
      <x:c r="J204" t="str">
        <x:v>https://github.com/darknigthmare/deadwall-last-enclosure/blob/e28f46223e73105ab2c5d83f3d50b99b58ef53e6/docs/codex/suivi-monde2026/INSPECTION_PHYSIQUE_2026.md</x:v>
      </x:c>
    </x:row>
    <x:row r="205">
      <x:c r="A205" t="str">
        <x:v>EXT-MONDE-T020/qa</x:v>
      </x:c>
      <x:c r="B205" t="str">
        <x:v>EXT-MONDE-T020</x:v>
      </x:c>
      <x:c r="C205" t="str">
        <x:v>Littoral</x:v>
      </x:c>
      <x:c r="D205" t="str">
        <x:v>Baie avec village côtier</x:v>
      </x:c>
      <x:c r="E205" t="str">
        <x:v>Navigation et parcours jouables</x:v>
      </x:c>
      <x:c r="F205" t="str">
        <x:v>P1</x:v>
      </x:c>
      <x:c r="G205" t="str">
        <x:v>En cours</x:v>
      </x:c>
      <x:c r="H205" t="str">
        <x:v>Production Codex</x:v>
      </x:c>
      <x:c r="I205" t="str">
        <x:v>Livrable explicite, tests positifs et négatifs ; aucune validation déduite de la seule présence de la fiche.</x:v>
      </x:c>
      <x:c r="J205" t="str">
        <x:v>https://github.com/darknigthmare/deadwall-last-enclosure/blob/e28f46223e73105ab2c5d83f3d50b99b58ef53e6/docs/codex/suivi-monde2026/INSPECTION_PHYSIQUE_2026.md</x:v>
      </x:c>
    </x:row>
    <x:row r="206">
      <x:c r="A206" t="str">
        <x:v>EXT-MONDE-T021/dimensions</x:v>
      </x:c>
      <x:c r="B206" t="str">
        <x:v>EXT-MONDE-T021</x:v>
      </x:c>
      <x:c r="C206" t="str">
        <x:v>Fermes élevage</x:v>
      </x:c>
      <x:c r="D206" t="str">
        <x:v>Ferme laitière</x:v>
      </x:c>
      <x:c r="E206" t="str">
        <x:v>Dimensions et plans de référence</x:v>
      </x:c>
      <x:c r="F206" t="str">
        <x:v>P0</x:v>
      </x:c>
      <x:c r="G206" t="str">
        <x:v>En cours</x:v>
      </x:c>
      <x:c r="H206" t="str">
        <x:v>Production Codex</x:v>
      </x:c>
      <x:c r="I206" t="str">
        <x:v>Sources publiques identifiées ; unités en mètres ; emprise au sol distincte de la hauteur.</x:v>
      </x:c>
      <x:c r="J206" t="str">
        <x:v>https://github.com/darknigthmare/deadwall-last-enclosure/blob/e28f46223e73105ab2c5d83f3d50b99b58ef53e6/docs/codex/suivi-monde2026/AGRICULTURE_2026.md</x:v>
      </x:c>
    </x:row>
    <x:row r="207">
      <x:c r="A207" t="str">
        <x:v>EXT-MONDE-T021/architecture</x:v>
      </x:c>
      <x:c r="B207" t="str">
        <x:v>EXT-MONDE-T021</x:v>
      </x:c>
      <x:c r="C207" t="str">
        <x:v>Fermes élevage</x:v>
      </x:c>
      <x:c r="D207" t="str">
        <x:v>Ferme laitière</x:v>
      </x:c>
      <x:c r="E207" t="str">
        <x:v>Pièces, étages, annexes</x:v>
      </x:c>
      <x:c r="F207" t="str">
        <x:v>P0</x:v>
      </x:c>
      <x:c r="G207" t="str">
        <x:v>En cours</x:v>
      </x:c>
      <x:c r="H207" t="str">
        <x:v>Production Codex</x:v>
      </x:c>
      <x:c r="I207" t="str">
        <x:v>Livrable explicite, tests positifs et négatifs ; aucune validation déduite de la seule présence de la fiche.</x:v>
      </x:c>
      <x:c r="J207" t="str">
        <x:v>https://github.com/darknigthmare/deadwall-last-enclosure/blob/e28f46223e73105ab2c5d83f3d50b99b58ef53e6/docs/codex/suivi-monde2026/INSPECTION_PHYSIQUE_2026.md</x:v>
      </x:c>
    </x:row>
    <x:row r="208">
      <x:c r="A208" t="str">
        <x:v>EXT-MONDE-T021/seed</x:v>
      </x:c>
      <x:c r="B208" t="str">
        <x:v>EXT-MONDE-T021</x:v>
      </x:c>
      <x:c r="C208" t="str">
        <x:v>Fermes élevage</x:v>
      </x:c>
      <x:c r="D208" t="str">
        <x:v>Ferme laitière</x:v>
      </x:c>
      <x:c r="E208" t="str">
        <x:v>Implantation et réseaux</x:v>
      </x:c>
      <x:c r="F208" t="str">
        <x:v>P0</x:v>
      </x:c>
      <x:c r="G208" t="str">
        <x:v>À faire</x:v>
      </x:c>
      <x:c r="H208" t="str">
        <x:v>Non affecté</x:v>
      </x:c>
      <x:c r="I208" t="str">
        <x:v>Enclos compatibles avec espèces ; alimentation finie ; animaux, visiteurs et livraisons séparés.</x:v>
      </x:c>
      <x:c r="J208" t="str"/>
    </x:row>
    <x:row r="209">
      <x:c r="A209" t="str">
        <x:v>EXT-MONDE-T021/props</x:v>
      </x:c>
      <x:c r="B209" t="str">
        <x:v>EXT-MONDE-T021</x:v>
      </x:c>
      <x:c r="C209" t="str">
        <x:v>Fermes élevage</x:v>
      </x:c>
      <x:c r="D209" t="str">
        <x:v>Ferme laitière</x:v>
      </x:c>
      <x:c r="E209" t="str">
        <x:v>Objets, décors et dégagements</x:v>
      </x:c>
      <x:c r="F209" t="str">
        <x:v>P1</x:v>
      </x:c>
      <x:c r="G209" t="str">
        <x:v>En cours</x:v>
      </x:c>
      <x:c r="H209" t="str">
        <x:v>Production Codex</x:v>
      </x:c>
      <x:c r="I209" t="str">
        <x:v>Livrable explicite, tests positifs et négatifs ; aucune validation déduite de la seule présence de la fiche.</x:v>
      </x:c>
      <x:c r="J209" t="str">
        <x:v>https://github.com/darknigthmare/deadwall-last-enclosure/blob/e28f46223e73105ab2c5d83f3d50b99b58ef53e6/docs/codex/suivi-monde2026/INSPECTION_PHYSIQUE_2026.md</x:v>
      </x:c>
    </x:row>
    <x:row r="210">
      <x:c r="A210" t="str">
        <x:v>EXT-MONDE-T021/loot</x:v>
      </x:c>
      <x:c r="B210" t="str">
        <x:v>EXT-MONDE-T021</x:v>
      </x:c>
      <x:c r="C210" t="str">
        <x:v>Fermes élevage</x:v>
      </x:c>
      <x:c r="D210" t="str">
        <x:v>Ferme laitière</x:v>
      </x:c>
      <x:c r="E210" t="str">
        <x:v>Budget de butin persistant</x:v>
      </x:c>
      <x:c r="F210" t="str">
        <x:v>P1</x:v>
      </x:c>
      <x:c r="G210" t="str">
        <x:v>À faire</x:v>
      </x:c>
      <x:c r="H210" t="str">
        <x:v>Non affecté</x:v>
      </x:c>
      <x:c r="I210" t="str">
        <x:v>Livrable explicite, tests positifs et négatifs ; aucune validation déduite de la seule présence de la fiche.</x:v>
      </x:c>
      <x:c r="J210" t="str"/>
    </x:row>
    <x:row r="211">
      <x:c r="A211" t="str">
        <x:v>EXT-MONDE-T021/rencontres</x:v>
      </x:c>
      <x:c r="B211" t="str">
        <x:v>EXT-MONDE-T021</x:v>
      </x:c>
      <x:c r="C211" t="str">
        <x:v>Fermes élevage</x:v>
      </x:c>
      <x:c r="D211" t="str">
        <x:v>Ferme laitière</x:v>
      </x:c>
      <x:c r="E211" t="str">
        <x:v>Ennemis et faune contextualisés</x:v>
      </x:c>
      <x:c r="F211" t="str">
        <x:v>P1</x:v>
      </x:c>
      <x:c r="G211" t="str">
        <x:v>À faire</x:v>
      </x:c>
      <x:c r="H211" t="str">
        <x:v>Non affecté</x:v>
      </x:c>
      <x:c r="I211" t="str">
        <x:v>Livrable explicite, tests positifs et négatifs ; aucune validation déduite de la seule présence de la fiche.</x:v>
      </x:c>
      <x:c r="J211" t="str"/>
    </x:row>
    <x:row r="212">
      <x:c r="A212" t="str">
        <x:v>EXT-MONDE-T021/services</x:v>
      </x:c>
      <x:c r="B212" t="str">
        <x:v>EXT-MONDE-T021</x:v>
      </x:c>
      <x:c r="C212" t="str">
        <x:v>Fermes élevage</x:v>
      </x:c>
      <x:c r="D212" t="str">
        <x:v>Ferme laitière</x:v>
      </x:c>
      <x:c r="E212" t="str">
        <x:v>Énergie, eau et interactions</x:v>
      </x:c>
      <x:c r="F212" t="str">
        <x:v>P1</x:v>
      </x:c>
      <x:c r="G212" t="str">
        <x:v>À faire</x:v>
      </x:c>
      <x:c r="H212" t="str">
        <x:v>Non affecté</x:v>
      </x:c>
      <x:c r="I212" t="str">
        <x:v>Livrable explicite, tests positifs et négatifs ; aucune validation déduite de la seule présence de la fiche.</x:v>
      </x:c>
      <x:c r="J212" t="str"/>
    </x:row>
    <x:row r="213">
      <x:c r="A213" t="str">
        <x:v>EXT-MONDE-T021/art</x:v>
      </x:c>
      <x:c r="B213" t="str">
        <x:v>EXT-MONDE-T021</x:v>
      </x:c>
      <x:c r="C213" t="str">
        <x:v>Fermes élevage</x:v>
      </x:c>
      <x:c r="D213" t="str">
        <x:v>Ferme laitière</x:v>
      </x:c>
      <x:c r="E213" t="str">
        <x:v>Sprites, proportions et animations</x:v>
      </x:c>
      <x:c r="F213" t="str">
        <x:v>P1</x:v>
      </x:c>
      <x:c r="G213" t="str">
        <x:v>À faire</x:v>
      </x:c>
      <x:c r="H213" t="str">
        <x:v>Non affecté</x:v>
      </x:c>
      <x:c r="I213" t="str">
        <x:v>Livrable explicite, tests positifs et négatifs ; aucune validation déduite de la seule présence de la fiche.</x:v>
      </x:c>
      <x:c r="J213" t="str"/>
    </x:row>
    <x:row r="214">
      <x:c r="A214" t="str">
        <x:v>EXT-MONDE-T021/sauvegarde</x:v>
      </x:c>
      <x:c r="B214" t="str">
        <x:v>EXT-MONDE-T021</x:v>
      </x:c>
      <x:c r="C214" t="str">
        <x:v>Fermes élevage</x:v>
      </x:c>
      <x:c r="D214" t="str">
        <x:v>Ferme laitière</x:v>
      </x:c>
      <x:c r="E214" t="str">
        <x:v>Identités, migration et reprise</x:v>
      </x:c>
      <x:c r="F214" t="str">
        <x:v>P1</x:v>
      </x:c>
      <x:c r="G214" t="str">
        <x:v>En cours</x:v>
      </x:c>
      <x:c r="H214" t="str">
        <x:v>Production Codex</x:v>
      </x:c>
      <x:c r="I214" t="str">
        <x:v>Livrable explicite, tests positifs et négatifs ; aucune validation déduite de la seule présence de la fiche.</x:v>
      </x:c>
      <x:c r="J214" t="str">
        <x:v>https://github.com/darknigthmare/deadwall-last-enclosure/blob/e28f46223e73105ab2c5d83f3d50b99b58ef53e6/docs/codex/suivi-monde2026/INSPECTION_PHYSIQUE_2026.md</x:v>
      </x:c>
    </x:row>
    <x:row r="215">
      <x:c r="A215" t="str">
        <x:v>EXT-MONDE-T021/qa</x:v>
      </x:c>
      <x:c r="B215" t="str">
        <x:v>EXT-MONDE-T021</x:v>
      </x:c>
      <x:c r="C215" t="str">
        <x:v>Fermes élevage</x:v>
      </x:c>
      <x:c r="D215" t="str">
        <x:v>Ferme laitière</x:v>
      </x:c>
      <x:c r="E215" t="str">
        <x:v>Navigation et parcours jouables</x:v>
      </x:c>
      <x:c r="F215" t="str">
        <x:v>P1</x:v>
      </x:c>
      <x:c r="G215" t="str">
        <x:v>En cours</x:v>
      </x:c>
      <x:c r="H215" t="str">
        <x:v>Production Codex</x:v>
      </x:c>
      <x:c r="I215" t="str">
        <x:v>Livrable explicite, tests positifs et négatifs ; aucune validation déduite de la seule présence de la fiche.</x:v>
      </x:c>
      <x:c r="J215" t="str">
        <x:v>https://github.com/darknigthmare/deadwall-last-enclosure/blob/e28f46223e73105ab2c5d83f3d50b99b58ef53e6/docs/codex/suivi-monde2026/INSPECTION_PHYSIQUE_2026.md</x:v>
      </x:c>
    </x:row>
    <x:row r="216">
      <x:c r="A216" t="str">
        <x:v>EXT-MONDE-T022/dimensions</x:v>
      </x:c>
      <x:c r="B216" t="str">
        <x:v>EXT-MONDE-T022</x:v>
      </x:c>
      <x:c r="C216" t="str">
        <x:v>Fermes élevage</x:v>
      </x:c>
      <x:c r="D216" t="str">
        <x:v>Élevage ovin</x:v>
      </x:c>
      <x:c r="E216" t="str">
        <x:v>Dimensions et plans de référence</x:v>
      </x:c>
      <x:c r="F216" t="str">
        <x:v>P0</x:v>
      </x:c>
      <x:c r="G216" t="str">
        <x:v>En cours</x:v>
      </x:c>
      <x:c r="H216" t="str">
        <x:v>Production Codex</x:v>
      </x:c>
      <x:c r="I216" t="str">
        <x:v>Sources publiques identifiées ; unités en mètres ; emprise au sol distincte de la hauteur.</x:v>
      </x:c>
      <x:c r="J216" t="str">
        <x:v>https://github.com/darknigthmare/deadwall-last-enclosure/blob/e28f46223e73105ab2c5d83f3d50b99b58ef53e6/docs/codex/suivi-monde2026/AGRICULTURE_2026.md</x:v>
      </x:c>
    </x:row>
    <x:row r="217">
      <x:c r="A217" t="str">
        <x:v>EXT-MONDE-T022/architecture</x:v>
      </x:c>
      <x:c r="B217" t="str">
        <x:v>EXT-MONDE-T022</x:v>
      </x:c>
      <x:c r="C217" t="str">
        <x:v>Fermes élevage</x:v>
      </x:c>
      <x:c r="D217" t="str">
        <x:v>Élevage ovin</x:v>
      </x:c>
      <x:c r="E217" t="str">
        <x:v>Pièces, étages, annexes</x:v>
      </x:c>
      <x:c r="F217" t="str">
        <x:v>P0</x:v>
      </x:c>
      <x:c r="G217" t="str">
        <x:v>En cours</x:v>
      </x:c>
      <x:c r="H217" t="str">
        <x:v>Production Codex</x:v>
      </x:c>
      <x:c r="I217" t="str">
        <x:v>Livrable explicite, tests positifs et négatifs ; aucune validation déduite de la seule présence de la fiche.</x:v>
      </x:c>
      <x:c r="J217" t="str">
        <x:v>https://github.com/darknigthmare/deadwall-last-enclosure/blob/e28f46223e73105ab2c5d83f3d50b99b58ef53e6/docs/codex/suivi-monde2026/INSPECTION_PHYSIQUE_2026.md</x:v>
      </x:c>
    </x:row>
    <x:row r="218">
      <x:c r="A218" t="str">
        <x:v>EXT-MONDE-T022/seed</x:v>
      </x:c>
      <x:c r="B218" t="str">
        <x:v>EXT-MONDE-T022</x:v>
      </x:c>
      <x:c r="C218" t="str">
        <x:v>Fermes élevage</x:v>
      </x:c>
      <x:c r="D218" t="str">
        <x:v>Élevage ovin</x:v>
      </x:c>
      <x:c r="E218" t="str">
        <x:v>Implantation et réseaux</x:v>
      </x:c>
      <x:c r="F218" t="str">
        <x:v>P0</x:v>
      </x:c>
      <x:c r="G218" t="str">
        <x:v>À faire</x:v>
      </x:c>
      <x:c r="H218" t="str">
        <x:v>Non affecté</x:v>
      </x:c>
      <x:c r="I218" t="str">
        <x:v>Enclos compatibles avec espèces ; alimentation finie ; animaux, visiteurs et livraisons séparés.</x:v>
      </x:c>
      <x:c r="J218" t="str"/>
    </x:row>
    <x:row r="219">
      <x:c r="A219" t="str">
        <x:v>EXT-MONDE-T022/props</x:v>
      </x:c>
      <x:c r="B219" t="str">
        <x:v>EXT-MONDE-T022</x:v>
      </x:c>
      <x:c r="C219" t="str">
        <x:v>Fermes élevage</x:v>
      </x:c>
      <x:c r="D219" t="str">
        <x:v>Élevage ovin</x:v>
      </x:c>
      <x:c r="E219" t="str">
        <x:v>Objets, décors et dégagements</x:v>
      </x:c>
      <x:c r="F219" t="str">
        <x:v>P1</x:v>
      </x:c>
      <x:c r="G219" t="str">
        <x:v>En cours</x:v>
      </x:c>
      <x:c r="H219" t="str">
        <x:v>Production Codex</x:v>
      </x:c>
      <x:c r="I219" t="str">
        <x:v>Livrable explicite, tests positifs et négatifs ; aucune validation déduite de la seule présence de la fiche.</x:v>
      </x:c>
      <x:c r="J219" t="str">
        <x:v>https://github.com/darknigthmare/deadwall-last-enclosure/blob/e28f46223e73105ab2c5d83f3d50b99b58ef53e6/docs/codex/suivi-monde2026/INSPECTION_PHYSIQUE_2026.md</x:v>
      </x:c>
    </x:row>
    <x:row r="220">
      <x:c r="A220" t="str">
        <x:v>EXT-MONDE-T022/loot</x:v>
      </x:c>
      <x:c r="B220" t="str">
        <x:v>EXT-MONDE-T022</x:v>
      </x:c>
      <x:c r="C220" t="str">
        <x:v>Fermes élevage</x:v>
      </x:c>
      <x:c r="D220" t="str">
        <x:v>Élevage ovin</x:v>
      </x:c>
      <x:c r="E220" t="str">
        <x:v>Budget de butin persistant</x:v>
      </x:c>
      <x:c r="F220" t="str">
        <x:v>P1</x:v>
      </x:c>
      <x:c r="G220" t="str">
        <x:v>À faire</x:v>
      </x:c>
      <x:c r="H220" t="str">
        <x:v>Non affecté</x:v>
      </x:c>
      <x:c r="I220" t="str">
        <x:v>Livrable explicite, tests positifs et négatifs ; aucune validation déduite de la seule présence de la fiche.</x:v>
      </x:c>
      <x:c r="J220" t="str"/>
    </x:row>
    <x:row r="221">
      <x:c r="A221" t="str">
        <x:v>EXT-MONDE-T022/rencontres</x:v>
      </x:c>
      <x:c r="B221" t="str">
        <x:v>EXT-MONDE-T022</x:v>
      </x:c>
      <x:c r="C221" t="str">
        <x:v>Fermes élevage</x:v>
      </x:c>
      <x:c r="D221" t="str">
        <x:v>Élevage ovin</x:v>
      </x:c>
      <x:c r="E221" t="str">
        <x:v>Ennemis et faune contextualisés</x:v>
      </x:c>
      <x:c r="F221" t="str">
        <x:v>P1</x:v>
      </x:c>
      <x:c r="G221" t="str">
        <x:v>À faire</x:v>
      </x:c>
      <x:c r="H221" t="str">
        <x:v>Non affecté</x:v>
      </x:c>
      <x:c r="I221" t="str">
        <x:v>Livrable explicite, tests positifs et négatifs ; aucune validation déduite de la seule présence de la fiche.</x:v>
      </x:c>
      <x:c r="J221" t="str"/>
    </x:row>
    <x:row r="222">
      <x:c r="A222" t="str">
        <x:v>EXT-MONDE-T022/services</x:v>
      </x:c>
      <x:c r="B222" t="str">
        <x:v>EXT-MONDE-T022</x:v>
      </x:c>
      <x:c r="C222" t="str">
        <x:v>Fermes élevage</x:v>
      </x:c>
      <x:c r="D222" t="str">
        <x:v>Élevage ovin</x:v>
      </x:c>
      <x:c r="E222" t="str">
        <x:v>Énergie, eau et interactions</x:v>
      </x:c>
      <x:c r="F222" t="str">
        <x:v>P1</x:v>
      </x:c>
      <x:c r="G222" t="str">
        <x:v>À faire</x:v>
      </x:c>
      <x:c r="H222" t="str">
        <x:v>Non affecté</x:v>
      </x:c>
      <x:c r="I222" t="str">
        <x:v>Livrable explicite, tests positifs et négatifs ; aucune validation déduite de la seule présence de la fiche.</x:v>
      </x:c>
      <x:c r="J222" t="str"/>
    </x:row>
    <x:row r="223">
      <x:c r="A223" t="str">
        <x:v>EXT-MONDE-T022/art</x:v>
      </x:c>
      <x:c r="B223" t="str">
        <x:v>EXT-MONDE-T022</x:v>
      </x:c>
      <x:c r="C223" t="str">
        <x:v>Fermes élevage</x:v>
      </x:c>
      <x:c r="D223" t="str">
        <x:v>Élevage ovin</x:v>
      </x:c>
      <x:c r="E223" t="str">
        <x:v>Sprites, proportions et animations</x:v>
      </x:c>
      <x:c r="F223" t="str">
        <x:v>P1</x:v>
      </x:c>
      <x:c r="G223" t="str">
        <x:v>À faire</x:v>
      </x:c>
      <x:c r="H223" t="str">
        <x:v>Non affecté</x:v>
      </x:c>
      <x:c r="I223" t="str">
        <x:v>Livrable explicite, tests positifs et négatifs ; aucune validation déduite de la seule présence de la fiche.</x:v>
      </x:c>
      <x:c r="J223" t="str"/>
    </x:row>
    <x:row r="224">
      <x:c r="A224" t="str">
        <x:v>EXT-MONDE-T022/sauvegarde</x:v>
      </x:c>
      <x:c r="B224" t="str">
        <x:v>EXT-MONDE-T022</x:v>
      </x:c>
      <x:c r="C224" t="str">
        <x:v>Fermes élevage</x:v>
      </x:c>
      <x:c r="D224" t="str">
        <x:v>Élevage ovin</x:v>
      </x:c>
      <x:c r="E224" t="str">
        <x:v>Identités, migration et reprise</x:v>
      </x:c>
      <x:c r="F224" t="str">
        <x:v>P1</x:v>
      </x:c>
      <x:c r="G224" t="str">
        <x:v>En cours</x:v>
      </x:c>
      <x:c r="H224" t="str">
        <x:v>Production Codex</x:v>
      </x:c>
      <x:c r="I224" t="str">
        <x:v>Livrable explicite, tests positifs et négatifs ; aucune validation déduite de la seule présence de la fiche.</x:v>
      </x:c>
      <x:c r="J224" t="str">
        <x:v>https://github.com/darknigthmare/deadwall-last-enclosure/blob/e28f46223e73105ab2c5d83f3d50b99b58ef53e6/docs/codex/suivi-monde2026/INSPECTION_PHYSIQUE_2026.md</x:v>
      </x:c>
    </x:row>
    <x:row r="225">
      <x:c r="A225" t="str">
        <x:v>EXT-MONDE-T022/qa</x:v>
      </x:c>
      <x:c r="B225" t="str">
        <x:v>EXT-MONDE-T022</x:v>
      </x:c>
      <x:c r="C225" t="str">
        <x:v>Fermes élevage</x:v>
      </x:c>
      <x:c r="D225" t="str">
        <x:v>Élevage ovin</x:v>
      </x:c>
      <x:c r="E225" t="str">
        <x:v>Navigation et parcours jouables</x:v>
      </x:c>
      <x:c r="F225" t="str">
        <x:v>P1</x:v>
      </x:c>
      <x:c r="G225" t="str">
        <x:v>En cours</x:v>
      </x:c>
      <x:c r="H225" t="str">
        <x:v>Production Codex</x:v>
      </x:c>
      <x:c r="I225" t="str">
        <x:v>Livrable explicite, tests positifs et négatifs ; aucune validation déduite de la seule présence de la fiche.</x:v>
      </x:c>
      <x:c r="J225" t="str">
        <x:v>https://github.com/darknigthmare/deadwall-last-enclosure/blob/e28f46223e73105ab2c5d83f3d50b99b58ef53e6/docs/codex/suivi-monde2026/INSPECTION_PHYSIQUE_2026.md</x:v>
      </x:c>
    </x:row>
    <x:row r="226">
      <x:c r="A226" t="str">
        <x:v>EXT-MONDE-T023/dimensions</x:v>
      </x:c>
      <x:c r="B226" t="str">
        <x:v>EXT-MONDE-T023</x:v>
      </x:c>
      <x:c r="C226" t="str">
        <x:v>Fermes élevage</x:v>
      </x:c>
      <x:c r="D226" t="str">
        <x:v>Ferme avicole</x:v>
      </x:c>
      <x:c r="E226" t="str">
        <x:v>Dimensions et plans de référence</x:v>
      </x:c>
      <x:c r="F226" t="str">
        <x:v>P0</x:v>
      </x:c>
      <x:c r="G226" t="str">
        <x:v>En cours</x:v>
      </x:c>
      <x:c r="H226" t="str">
        <x:v>Production Codex</x:v>
      </x:c>
      <x:c r="I226" t="str">
        <x:v>Sources publiques identifiées ; unités en mètres ; emprise au sol distincte de la hauteur.</x:v>
      </x:c>
      <x:c r="J226" t="str">
        <x:v>https://github.com/darknigthmare/deadwall-last-enclosure/blob/e28f46223e73105ab2c5d83f3d50b99b58ef53e6/docs/codex/suivi-monde2026/AGRICULTURE_2026.md</x:v>
      </x:c>
    </x:row>
    <x:row r="227">
      <x:c r="A227" t="str">
        <x:v>EXT-MONDE-T023/architecture</x:v>
      </x:c>
      <x:c r="B227" t="str">
        <x:v>EXT-MONDE-T023</x:v>
      </x:c>
      <x:c r="C227" t="str">
        <x:v>Fermes élevage</x:v>
      </x:c>
      <x:c r="D227" t="str">
        <x:v>Ferme avicole</x:v>
      </x:c>
      <x:c r="E227" t="str">
        <x:v>Pièces, étages, annexes</x:v>
      </x:c>
      <x:c r="F227" t="str">
        <x:v>P0</x:v>
      </x:c>
      <x:c r="G227" t="str">
        <x:v>En cours</x:v>
      </x:c>
      <x:c r="H227" t="str">
        <x:v>Production Codex</x:v>
      </x:c>
      <x:c r="I227" t="str">
        <x:v>Livrable explicite, tests positifs et négatifs ; aucune validation déduite de la seule présence de la fiche.</x:v>
      </x:c>
      <x:c r="J227" t="str">
        <x:v>https://github.com/darknigthmare/deadwall-last-enclosure/blob/e28f46223e73105ab2c5d83f3d50b99b58ef53e6/docs/codex/suivi-monde2026/INSPECTION_PHYSIQUE_2026.md</x:v>
      </x:c>
    </x:row>
    <x:row r="228">
      <x:c r="A228" t="str">
        <x:v>EXT-MONDE-T023/seed</x:v>
      </x:c>
      <x:c r="B228" t="str">
        <x:v>EXT-MONDE-T023</x:v>
      </x:c>
      <x:c r="C228" t="str">
        <x:v>Fermes élevage</x:v>
      </x:c>
      <x:c r="D228" t="str">
        <x:v>Ferme avicole</x:v>
      </x:c>
      <x:c r="E228" t="str">
        <x:v>Implantation et réseaux</x:v>
      </x:c>
      <x:c r="F228" t="str">
        <x:v>P0</x:v>
      </x:c>
      <x:c r="G228" t="str">
        <x:v>À faire</x:v>
      </x:c>
      <x:c r="H228" t="str">
        <x:v>Non affecté</x:v>
      </x:c>
      <x:c r="I228" t="str">
        <x:v>Enclos compatibles avec espèces ; alimentation finie ; animaux, visiteurs et livraisons séparés.</x:v>
      </x:c>
      <x:c r="J228" t="str"/>
    </x:row>
    <x:row r="229">
      <x:c r="A229" t="str">
        <x:v>EXT-MONDE-T023/props</x:v>
      </x:c>
      <x:c r="B229" t="str">
        <x:v>EXT-MONDE-T023</x:v>
      </x:c>
      <x:c r="C229" t="str">
        <x:v>Fermes élevage</x:v>
      </x:c>
      <x:c r="D229" t="str">
        <x:v>Ferme avicole</x:v>
      </x:c>
      <x:c r="E229" t="str">
        <x:v>Objets, décors et dégagements</x:v>
      </x:c>
      <x:c r="F229" t="str">
        <x:v>P1</x:v>
      </x:c>
      <x:c r="G229" t="str">
        <x:v>En cours</x:v>
      </x:c>
      <x:c r="H229" t="str">
        <x:v>Production Codex</x:v>
      </x:c>
      <x:c r="I229" t="str">
        <x:v>Livrable explicite, tests positifs et négatifs ; aucune validation déduite de la seule présence de la fiche.</x:v>
      </x:c>
      <x:c r="J229" t="str">
        <x:v>https://github.com/darknigthmare/deadwall-last-enclosure/blob/e28f46223e73105ab2c5d83f3d50b99b58ef53e6/docs/codex/suivi-monde2026/INSPECTION_PHYSIQUE_2026.md</x:v>
      </x:c>
    </x:row>
    <x:row r="230">
      <x:c r="A230" t="str">
        <x:v>EXT-MONDE-T023/loot</x:v>
      </x:c>
      <x:c r="B230" t="str">
        <x:v>EXT-MONDE-T023</x:v>
      </x:c>
      <x:c r="C230" t="str">
        <x:v>Fermes élevage</x:v>
      </x:c>
      <x:c r="D230" t="str">
        <x:v>Ferme avicole</x:v>
      </x:c>
      <x:c r="E230" t="str">
        <x:v>Budget de butin persistant</x:v>
      </x:c>
      <x:c r="F230" t="str">
        <x:v>P1</x:v>
      </x:c>
      <x:c r="G230" t="str">
        <x:v>À faire</x:v>
      </x:c>
      <x:c r="H230" t="str">
        <x:v>Non affecté</x:v>
      </x:c>
      <x:c r="I230" t="str">
        <x:v>Livrable explicite, tests positifs et négatifs ; aucune validation déduite de la seule présence de la fiche.</x:v>
      </x:c>
      <x:c r="J230" t="str"/>
    </x:row>
    <x:row r="231">
      <x:c r="A231" t="str">
        <x:v>EXT-MONDE-T023/rencontres</x:v>
      </x:c>
      <x:c r="B231" t="str">
        <x:v>EXT-MONDE-T023</x:v>
      </x:c>
      <x:c r="C231" t="str">
        <x:v>Fermes élevage</x:v>
      </x:c>
      <x:c r="D231" t="str">
        <x:v>Ferme avicole</x:v>
      </x:c>
      <x:c r="E231" t="str">
        <x:v>Ennemis et faune contextualisés</x:v>
      </x:c>
      <x:c r="F231" t="str">
        <x:v>P1</x:v>
      </x:c>
      <x:c r="G231" t="str">
        <x:v>À faire</x:v>
      </x:c>
      <x:c r="H231" t="str">
        <x:v>Non affecté</x:v>
      </x:c>
      <x:c r="I231" t="str">
        <x:v>Livrable explicite, tests positifs et négatifs ; aucune validation déduite de la seule présence de la fiche.</x:v>
      </x:c>
      <x:c r="J231" t="str"/>
    </x:row>
    <x:row r="232">
      <x:c r="A232" t="str">
        <x:v>EXT-MONDE-T023/services</x:v>
      </x:c>
      <x:c r="B232" t="str">
        <x:v>EXT-MONDE-T023</x:v>
      </x:c>
      <x:c r="C232" t="str">
        <x:v>Fermes élevage</x:v>
      </x:c>
      <x:c r="D232" t="str">
        <x:v>Ferme avicole</x:v>
      </x:c>
      <x:c r="E232" t="str">
        <x:v>Énergie, eau et interactions</x:v>
      </x:c>
      <x:c r="F232" t="str">
        <x:v>P1</x:v>
      </x:c>
      <x:c r="G232" t="str">
        <x:v>À faire</x:v>
      </x:c>
      <x:c r="H232" t="str">
        <x:v>Non affecté</x:v>
      </x:c>
      <x:c r="I232" t="str">
        <x:v>Livrable explicite, tests positifs et négatifs ; aucune validation déduite de la seule présence de la fiche.</x:v>
      </x:c>
      <x:c r="J232" t="str"/>
    </x:row>
    <x:row r="233">
      <x:c r="A233" t="str">
        <x:v>EXT-MONDE-T023/art</x:v>
      </x:c>
      <x:c r="B233" t="str">
        <x:v>EXT-MONDE-T023</x:v>
      </x:c>
      <x:c r="C233" t="str">
        <x:v>Fermes élevage</x:v>
      </x:c>
      <x:c r="D233" t="str">
        <x:v>Ferme avicole</x:v>
      </x:c>
      <x:c r="E233" t="str">
        <x:v>Sprites, proportions et animations</x:v>
      </x:c>
      <x:c r="F233" t="str">
        <x:v>P1</x:v>
      </x:c>
      <x:c r="G233" t="str">
        <x:v>À faire</x:v>
      </x:c>
      <x:c r="H233" t="str">
        <x:v>Non affecté</x:v>
      </x:c>
      <x:c r="I233" t="str">
        <x:v>Livrable explicite, tests positifs et négatifs ; aucune validation déduite de la seule présence de la fiche.</x:v>
      </x:c>
      <x:c r="J233" t="str"/>
    </x:row>
    <x:row r="234">
      <x:c r="A234" t="str">
        <x:v>EXT-MONDE-T023/sauvegarde</x:v>
      </x:c>
      <x:c r="B234" t="str">
        <x:v>EXT-MONDE-T023</x:v>
      </x:c>
      <x:c r="C234" t="str">
        <x:v>Fermes élevage</x:v>
      </x:c>
      <x:c r="D234" t="str">
        <x:v>Ferme avicole</x:v>
      </x:c>
      <x:c r="E234" t="str">
        <x:v>Identités, migration et reprise</x:v>
      </x:c>
      <x:c r="F234" t="str">
        <x:v>P1</x:v>
      </x:c>
      <x:c r="G234" t="str">
        <x:v>En cours</x:v>
      </x:c>
      <x:c r="H234" t="str">
        <x:v>Production Codex</x:v>
      </x:c>
      <x:c r="I234" t="str">
        <x:v>Livrable explicite, tests positifs et négatifs ; aucune validation déduite de la seule présence de la fiche.</x:v>
      </x:c>
      <x:c r="J234" t="str">
        <x:v>https://github.com/darknigthmare/deadwall-last-enclosure/blob/e28f46223e73105ab2c5d83f3d50b99b58ef53e6/docs/codex/suivi-monde2026/INSPECTION_PHYSIQUE_2026.md</x:v>
      </x:c>
    </x:row>
    <x:row r="235">
      <x:c r="A235" t="str">
        <x:v>EXT-MONDE-T023/qa</x:v>
      </x:c>
      <x:c r="B235" t="str">
        <x:v>EXT-MONDE-T023</x:v>
      </x:c>
      <x:c r="C235" t="str">
        <x:v>Fermes élevage</x:v>
      </x:c>
      <x:c r="D235" t="str">
        <x:v>Ferme avicole</x:v>
      </x:c>
      <x:c r="E235" t="str">
        <x:v>Navigation et parcours jouables</x:v>
      </x:c>
      <x:c r="F235" t="str">
        <x:v>P1</x:v>
      </x:c>
      <x:c r="G235" t="str">
        <x:v>En cours</x:v>
      </x:c>
      <x:c r="H235" t="str">
        <x:v>Production Codex</x:v>
      </x:c>
      <x:c r="I235" t="str">
        <x:v>Livrable explicite, tests positifs et négatifs ; aucune validation déduite de la seule présence de la fiche.</x:v>
      </x:c>
      <x:c r="J235" t="str">
        <x:v>https://github.com/darknigthmare/deadwall-last-enclosure/blob/e28f46223e73105ab2c5d83f3d50b99b58ef53e6/docs/codex/suivi-monde2026/INSPECTION_PHYSIQUE_2026.md</x:v>
      </x:c>
    </x:row>
    <x:row r="236">
      <x:c r="A236" t="str">
        <x:v>EXT-MONDE-T024/dimensions</x:v>
      </x:c>
      <x:c r="B236" t="str">
        <x:v>EXT-MONDE-T024</x:v>
      </x:c>
      <x:c r="C236" t="str">
        <x:v>Fermes élevage</x:v>
      </x:c>
      <x:c r="D236" t="str">
        <x:v>Centre équestre rural</x:v>
      </x:c>
      <x:c r="E236" t="str">
        <x:v>Dimensions et plans de référence</x:v>
      </x:c>
      <x:c r="F236" t="str">
        <x:v>P0</x:v>
      </x:c>
      <x:c r="G236" t="str">
        <x:v>En cours</x:v>
      </x:c>
      <x:c r="H236" t="str">
        <x:v>Production Codex</x:v>
      </x:c>
      <x:c r="I236" t="str">
        <x:v>Sources publiques identifiées ; unités en mètres ; emprise au sol distincte de la hauteur.</x:v>
      </x:c>
      <x:c r="J236" t="str">
        <x:v>https://github.com/darknigthmare/deadwall-last-enclosure/blob/e28f46223e73105ab2c5d83f3d50b99b58ef53e6/docs/codex/suivi-monde2026/AGRICULTURE_2026.md</x:v>
      </x:c>
    </x:row>
    <x:row r="237">
      <x:c r="A237" t="str">
        <x:v>EXT-MONDE-T024/architecture</x:v>
      </x:c>
      <x:c r="B237" t="str">
        <x:v>EXT-MONDE-T024</x:v>
      </x:c>
      <x:c r="C237" t="str">
        <x:v>Fermes élevage</x:v>
      </x:c>
      <x:c r="D237" t="str">
        <x:v>Centre équestre rural</x:v>
      </x:c>
      <x:c r="E237" t="str">
        <x:v>Pièces, étages, annexes</x:v>
      </x:c>
      <x:c r="F237" t="str">
        <x:v>P0</x:v>
      </x:c>
      <x:c r="G237" t="str">
        <x:v>En cours</x:v>
      </x:c>
      <x:c r="H237" t="str">
        <x:v>Production Codex</x:v>
      </x:c>
      <x:c r="I237" t="str">
        <x:v>Livrable explicite, tests positifs et négatifs ; aucune validation déduite de la seule présence de la fiche.</x:v>
      </x:c>
      <x:c r="J237" t="str">
        <x:v>https://github.com/darknigthmare/deadwall-last-enclosure/blob/e28f46223e73105ab2c5d83f3d50b99b58ef53e6/docs/codex/suivi-monde2026/INSPECTION_PHYSIQUE_2026.md</x:v>
      </x:c>
    </x:row>
    <x:row r="238">
      <x:c r="A238" t="str">
        <x:v>EXT-MONDE-T024/seed</x:v>
      </x:c>
      <x:c r="B238" t="str">
        <x:v>EXT-MONDE-T024</x:v>
      </x:c>
      <x:c r="C238" t="str">
        <x:v>Fermes élevage</x:v>
      </x:c>
      <x:c r="D238" t="str">
        <x:v>Centre équestre rural</x:v>
      </x:c>
      <x:c r="E238" t="str">
        <x:v>Implantation et réseaux</x:v>
      </x:c>
      <x:c r="F238" t="str">
        <x:v>P0</x:v>
      </x:c>
      <x:c r="G238" t="str">
        <x:v>À faire</x:v>
      </x:c>
      <x:c r="H238" t="str">
        <x:v>Non affecté</x:v>
      </x:c>
      <x:c r="I238" t="str">
        <x:v>Enclos compatibles avec espèces ; alimentation finie ; animaux, visiteurs et livraisons séparés.</x:v>
      </x:c>
      <x:c r="J238" t="str"/>
    </x:row>
    <x:row r="239">
      <x:c r="A239" t="str">
        <x:v>EXT-MONDE-T024/props</x:v>
      </x:c>
      <x:c r="B239" t="str">
        <x:v>EXT-MONDE-T024</x:v>
      </x:c>
      <x:c r="C239" t="str">
        <x:v>Fermes élevage</x:v>
      </x:c>
      <x:c r="D239" t="str">
        <x:v>Centre équestre rural</x:v>
      </x:c>
      <x:c r="E239" t="str">
        <x:v>Objets, décors et dégagements</x:v>
      </x:c>
      <x:c r="F239" t="str">
        <x:v>P1</x:v>
      </x:c>
      <x:c r="G239" t="str">
        <x:v>En cours</x:v>
      </x:c>
      <x:c r="H239" t="str">
        <x:v>Production Codex</x:v>
      </x:c>
      <x:c r="I239" t="str">
        <x:v>Livrable explicite, tests positifs et négatifs ; aucune validation déduite de la seule présence de la fiche.</x:v>
      </x:c>
      <x:c r="J239" t="str">
        <x:v>https://github.com/darknigthmare/deadwall-last-enclosure/blob/e28f46223e73105ab2c5d83f3d50b99b58ef53e6/docs/codex/suivi-monde2026/INSPECTION_PHYSIQUE_2026.md</x:v>
      </x:c>
    </x:row>
    <x:row r="240">
      <x:c r="A240" t="str">
        <x:v>EXT-MONDE-T024/loot</x:v>
      </x:c>
      <x:c r="B240" t="str">
        <x:v>EXT-MONDE-T024</x:v>
      </x:c>
      <x:c r="C240" t="str">
        <x:v>Fermes élevage</x:v>
      </x:c>
      <x:c r="D240" t="str">
        <x:v>Centre équestre rural</x:v>
      </x:c>
      <x:c r="E240" t="str">
        <x:v>Budget de butin persistant</x:v>
      </x:c>
      <x:c r="F240" t="str">
        <x:v>P1</x:v>
      </x:c>
      <x:c r="G240" t="str">
        <x:v>À faire</x:v>
      </x:c>
      <x:c r="H240" t="str">
        <x:v>Non affecté</x:v>
      </x:c>
      <x:c r="I240" t="str">
        <x:v>Livrable explicite, tests positifs et négatifs ; aucune validation déduite de la seule présence de la fiche.</x:v>
      </x:c>
      <x:c r="J240" t="str"/>
    </x:row>
    <x:row r="241">
      <x:c r="A241" t="str">
        <x:v>EXT-MONDE-T024/rencontres</x:v>
      </x:c>
      <x:c r="B241" t="str">
        <x:v>EXT-MONDE-T024</x:v>
      </x:c>
      <x:c r="C241" t="str">
        <x:v>Fermes élevage</x:v>
      </x:c>
      <x:c r="D241" t="str">
        <x:v>Centre équestre rural</x:v>
      </x:c>
      <x:c r="E241" t="str">
        <x:v>Ennemis et faune contextualisés</x:v>
      </x:c>
      <x:c r="F241" t="str">
        <x:v>P1</x:v>
      </x:c>
      <x:c r="G241" t="str">
        <x:v>À faire</x:v>
      </x:c>
      <x:c r="H241" t="str">
        <x:v>Non affecté</x:v>
      </x:c>
      <x:c r="I241" t="str">
        <x:v>Livrable explicite, tests positifs et négatifs ; aucune validation déduite de la seule présence de la fiche.</x:v>
      </x:c>
      <x:c r="J241" t="str"/>
    </x:row>
    <x:row r="242">
      <x:c r="A242" t="str">
        <x:v>EXT-MONDE-T024/services</x:v>
      </x:c>
      <x:c r="B242" t="str">
        <x:v>EXT-MONDE-T024</x:v>
      </x:c>
      <x:c r="C242" t="str">
        <x:v>Fermes élevage</x:v>
      </x:c>
      <x:c r="D242" t="str">
        <x:v>Centre équestre rural</x:v>
      </x:c>
      <x:c r="E242" t="str">
        <x:v>Énergie, eau et interactions</x:v>
      </x:c>
      <x:c r="F242" t="str">
        <x:v>P1</x:v>
      </x:c>
      <x:c r="G242" t="str">
        <x:v>À faire</x:v>
      </x:c>
      <x:c r="H242" t="str">
        <x:v>Non affecté</x:v>
      </x:c>
      <x:c r="I242" t="str">
        <x:v>Livrable explicite, tests positifs et négatifs ; aucune validation déduite de la seule présence de la fiche.</x:v>
      </x:c>
      <x:c r="J242" t="str"/>
    </x:row>
    <x:row r="243">
      <x:c r="A243" t="str">
        <x:v>EXT-MONDE-T024/art</x:v>
      </x:c>
      <x:c r="B243" t="str">
        <x:v>EXT-MONDE-T024</x:v>
      </x:c>
      <x:c r="C243" t="str">
        <x:v>Fermes élevage</x:v>
      </x:c>
      <x:c r="D243" t="str">
        <x:v>Centre équestre rural</x:v>
      </x:c>
      <x:c r="E243" t="str">
        <x:v>Sprites, proportions et animations</x:v>
      </x:c>
      <x:c r="F243" t="str">
        <x:v>P1</x:v>
      </x:c>
      <x:c r="G243" t="str">
        <x:v>À faire</x:v>
      </x:c>
      <x:c r="H243" t="str">
        <x:v>Non affecté</x:v>
      </x:c>
      <x:c r="I243" t="str">
        <x:v>Livrable explicite, tests positifs et négatifs ; aucune validation déduite de la seule présence de la fiche.</x:v>
      </x:c>
      <x:c r="J243" t="str"/>
    </x:row>
    <x:row r="244">
      <x:c r="A244" t="str">
        <x:v>EXT-MONDE-T024/sauvegarde</x:v>
      </x:c>
      <x:c r="B244" t="str">
        <x:v>EXT-MONDE-T024</x:v>
      </x:c>
      <x:c r="C244" t="str">
        <x:v>Fermes élevage</x:v>
      </x:c>
      <x:c r="D244" t="str">
        <x:v>Centre équestre rural</x:v>
      </x:c>
      <x:c r="E244" t="str">
        <x:v>Identités, migration et reprise</x:v>
      </x:c>
      <x:c r="F244" t="str">
        <x:v>P1</x:v>
      </x:c>
      <x:c r="G244" t="str">
        <x:v>En cours</x:v>
      </x:c>
      <x:c r="H244" t="str">
        <x:v>Production Codex</x:v>
      </x:c>
      <x:c r="I244" t="str">
        <x:v>Livrable explicite, tests positifs et négatifs ; aucune validation déduite de la seule présence de la fiche.</x:v>
      </x:c>
      <x:c r="J244" t="str">
        <x:v>https://github.com/darknigthmare/deadwall-last-enclosure/blob/e28f46223e73105ab2c5d83f3d50b99b58ef53e6/docs/codex/suivi-monde2026/INSPECTION_PHYSIQUE_2026.md</x:v>
      </x:c>
    </x:row>
    <x:row r="245">
      <x:c r="A245" t="str">
        <x:v>EXT-MONDE-T024/qa</x:v>
      </x:c>
      <x:c r="B245" t="str">
        <x:v>EXT-MONDE-T024</x:v>
      </x:c>
      <x:c r="C245" t="str">
        <x:v>Fermes élevage</x:v>
      </x:c>
      <x:c r="D245" t="str">
        <x:v>Centre équestre rural</x:v>
      </x:c>
      <x:c r="E245" t="str">
        <x:v>Navigation et parcours jouables</x:v>
      </x:c>
      <x:c r="F245" t="str">
        <x:v>P1</x:v>
      </x:c>
      <x:c r="G245" t="str">
        <x:v>En cours</x:v>
      </x:c>
      <x:c r="H245" t="str">
        <x:v>Production Codex</x:v>
      </x:c>
      <x:c r="I245" t="str">
        <x:v>Livrable explicite, tests positifs et négatifs ; aucune validation déduite de la seule présence de la fiche.</x:v>
      </x:c>
      <x:c r="J245" t="str">
        <x:v>https://github.com/darknigthmare/deadwall-last-enclosure/blob/e28f46223e73105ab2c5d83f3d50b99b58ef53e6/docs/codex/suivi-monde2026/INSPECTION_PHYSIQUE_2026.md</x:v>
      </x:c>
    </x:row>
    <x:row r="246">
      <x:c r="A246" t="str">
        <x:v>EXT-MONDE-T025/dimensions</x:v>
      </x:c>
      <x:c r="B246" t="str">
        <x:v>EXT-MONDE-T025</x:v>
      </x:c>
      <x:c r="C246" t="str">
        <x:v>Fermes cultures</x:v>
      </x:c>
      <x:c r="D246" t="str">
        <x:v>Exploitation céréalière</x:v>
      </x:c>
      <x:c r="E246" t="str">
        <x:v>Dimensions et plans de référence</x:v>
      </x:c>
      <x:c r="F246" t="str">
        <x:v>P0</x:v>
      </x:c>
      <x:c r="G246" t="str">
        <x:v>En cours</x:v>
      </x:c>
      <x:c r="H246" t="str">
        <x:v>Production Codex</x:v>
      </x:c>
      <x:c r="I246" t="str">
        <x:v>Sources publiques identifiées ; unités en mètres ; emprise au sol distincte de la hauteur.</x:v>
      </x:c>
      <x:c r="J246" t="str">
        <x:v>https://github.com/darknigthmare/deadwall-last-enclosure/blob/e28f46223e73105ab2c5d83f3d50b99b58ef53e6/docs/codex/suivi-monde2026/AGRICULTURE_2026.md</x:v>
      </x:c>
    </x:row>
    <x:row r="247">
      <x:c r="A247" t="str">
        <x:v>EXT-MONDE-T025/architecture</x:v>
      </x:c>
      <x:c r="B247" t="str">
        <x:v>EXT-MONDE-T025</x:v>
      </x:c>
      <x:c r="C247" t="str">
        <x:v>Fermes cultures</x:v>
      </x:c>
      <x:c r="D247" t="str">
        <x:v>Exploitation céréalière</x:v>
      </x:c>
      <x:c r="E247" t="str">
        <x:v>Pièces, étages, annexes</x:v>
      </x:c>
      <x:c r="F247" t="str">
        <x:v>P0</x:v>
      </x:c>
      <x:c r="G247" t="str">
        <x:v>En cours</x:v>
      </x:c>
      <x:c r="H247" t="str">
        <x:v>Production Codex</x:v>
      </x:c>
      <x:c r="I247" t="str">
        <x:v>Livrable explicite, tests positifs et négatifs ; aucune validation déduite de la seule présence de la fiche.</x:v>
      </x:c>
      <x:c r="J247" t="str">
        <x:v>https://github.com/darknigthmare/deadwall-last-enclosure/blob/e28f46223e73105ab2c5d83f3d50b99b58ef53e6/docs/codex/suivi-monde2026/INSPECTION_PHYSIQUE_2026.md</x:v>
      </x:c>
    </x:row>
    <x:row r="248">
      <x:c r="A248" t="str">
        <x:v>EXT-MONDE-T025/seed</x:v>
      </x:c>
      <x:c r="B248" t="str">
        <x:v>EXT-MONDE-T025</x:v>
      </x:c>
      <x:c r="C248" t="str">
        <x:v>Fermes cultures</x:v>
      </x:c>
      <x:c r="D248" t="str">
        <x:v>Exploitation céréalière</x:v>
      </x:c>
      <x:c r="E248" t="str">
        <x:v>Implantation et réseaux</x:v>
      </x:c>
      <x:c r="F248" t="str">
        <x:v>P0</x:v>
      </x:c>
      <x:c r="G248" t="str">
        <x:v>À faire</x:v>
      </x:c>
      <x:c r="H248" t="str">
        <x:v>Non affecté</x:v>
      </x:c>
      <x:c r="I248" t="str">
        <x:v>Cultures adaptées au terrain ; parcelles contiguës ; pas de stock renouvelé par visite.</x:v>
      </x:c>
      <x:c r="J248" t="str"/>
    </x:row>
    <x:row r="249">
      <x:c r="A249" t="str">
        <x:v>EXT-MONDE-T025/props</x:v>
      </x:c>
      <x:c r="B249" t="str">
        <x:v>EXT-MONDE-T025</x:v>
      </x:c>
      <x:c r="C249" t="str">
        <x:v>Fermes cultures</x:v>
      </x:c>
      <x:c r="D249" t="str">
        <x:v>Exploitation céréalière</x:v>
      </x:c>
      <x:c r="E249" t="str">
        <x:v>Objets, décors et dégagements</x:v>
      </x:c>
      <x:c r="F249" t="str">
        <x:v>P1</x:v>
      </x:c>
      <x:c r="G249" t="str">
        <x:v>En cours</x:v>
      </x:c>
      <x:c r="H249" t="str">
        <x:v>Production Codex</x:v>
      </x:c>
      <x:c r="I249" t="str">
        <x:v>Livrable explicite, tests positifs et négatifs ; aucune validation déduite de la seule présence de la fiche.</x:v>
      </x:c>
      <x:c r="J249" t="str">
        <x:v>https://github.com/darknigthmare/deadwall-last-enclosure/blob/e28f46223e73105ab2c5d83f3d50b99b58ef53e6/docs/codex/suivi-monde2026/INSPECTION_PHYSIQUE_2026.md</x:v>
      </x:c>
    </x:row>
    <x:row r="250">
      <x:c r="A250" t="str">
        <x:v>EXT-MONDE-T025/loot</x:v>
      </x:c>
      <x:c r="B250" t="str">
        <x:v>EXT-MONDE-T025</x:v>
      </x:c>
      <x:c r="C250" t="str">
        <x:v>Fermes cultures</x:v>
      </x:c>
      <x:c r="D250" t="str">
        <x:v>Exploitation céréalière</x:v>
      </x:c>
      <x:c r="E250" t="str">
        <x:v>Budget de butin persistant</x:v>
      </x:c>
      <x:c r="F250" t="str">
        <x:v>P1</x:v>
      </x:c>
      <x:c r="G250" t="str">
        <x:v>À faire</x:v>
      </x:c>
      <x:c r="H250" t="str">
        <x:v>Non affecté</x:v>
      </x:c>
      <x:c r="I250" t="str">
        <x:v>Livrable explicite, tests positifs et négatifs ; aucune validation déduite de la seule présence de la fiche.</x:v>
      </x:c>
      <x:c r="J250" t="str"/>
    </x:row>
    <x:row r="251">
      <x:c r="A251" t="str">
        <x:v>EXT-MONDE-T025/rencontres</x:v>
      </x:c>
      <x:c r="B251" t="str">
        <x:v>EXT-MONDE-T025</x:v>
      </x:c>
      <x:c r="C251" t="str">
        <x:v>Fermes cultures</x:v>
      </x:c>
      <x:c r="D251" t="str">
        <x:v>Exploitation céréalière</x:v>
      </x:c>
      <x:c r="E251" t="str">
        <x:v>Ennemis et faune contextualisés</x:v>
      </x:c>
      <x:c r="F251" t="str">
        <x:v>P1</x:v>
      </x:c>
      <x:c r="G251" t="str">
        <x:v>À faire</x:v>
      </x:c>
      <x:c r="H251" t="str">
        <x:v>Non affecté</x:v>
      </x:c>
      <x:c r="I251" t="str">
        <x:v>Livrable explicite, tests positifs et négatifs ; aucune validation déduite de la seule présence de la fiche.</x:v>
      </x:c>
      <x:c r="J251" t="str"/>
    </x:row>
    <x:row r="252">
      <x:c r="A252" t="str">
        <x:v>EXT-MONDE-T025/services</x:v>
      </x:c>
      <x:c r="B252" t="str">
        <x:v>EXT-MONDE-T025</x:v>
      </x:c>
      <x:c r="C252" t="str">
        <x:v>Fermes cultures</x:v>
      </x:c>
      <x:c r="D252" t="str">
        <x:v>Exploitation céréalière</x:v>
      </x:c>
      <x:c r="E252" t="str">
        <x:v>Énergie, eau et interactions</x:v>
      </x:c>
      <x:c r="F252" t="str">
        <x:v>P1</x:v>
      </x:c>
      <x:c r="G252" t="str">
        <x:v>À faire</x:v>
      </x:c>
      <x:c r="H252" t="str">
        <x:v>Non affecté</x:v>
      </x:c>
      <x:c r="I252" t="str">
        <x:v>Livrable explicite, tests positifs et négatifs ; aucune validation déduite de la seule présence de la fiche.</x:v>
      </x:c>
      <x:c r="J252" t="str"/>
    </x:row>
    <x:row r="253">
      <x:c r="A253" t="str">
        <x:v>EXT-MONDE-T025/art</x:v>
      </x:c>
      <x:c r="B253" t="str">
        <x:v>EXT-MONDE-T025</x:v>
      </x:c>
      <x:c r="C253" t="str">
        <x:v>Fermes cultures</x:v>
      </x:c>
      <x:c r="D253" t="str">
        <x:v>Exploitation céréalière</x:v>
      </x:c>
      <x:c r="E253" t="str">
        <x:v>Sprites, proportions et animations</x:v>
      </x:c>
      <x:c r="F253" t="str">
        <x:v>P1</x:v>
      </x:c>
      <x:c r="G253" t="str">
        <x:v>À faire</x:v>
      </x:c>
      <x:c r="H253" t="str">
        <x:v>Non affecté</x:v>
      </x:c>
      <x:c r="I253" t="str">
        <x:v>Livrable explicite, tests positifs et négatifs ; aucune validation déduite de la seule présence de la fiche.</x:v>
      </x:c>
      <x:c r="J253" t="str"/>
    </x:row>
    <x:row r="254">
      <x:c r="A254" t="str">
        <x:v>EXT-MONDE-T025/sauvegarde</x:v>
      </x:c>
      <x:c r="B254" t="str">
        <x:v>EXT-MONDE-T025</x:v>
      </x:c>
      <x:c r="C254" t="str">
        <x:v>Fermes cultures</x:v>
      </x:c>
      <x:c r="D254" t="str">
        <x:v>Exploitation céréalière</x:v>
      </x:c>
      <x:c r="E254" t="str">
        <x:v>Identités, migration et reprise</x:v>
      </x:c>
      <x:c r="F254" t="str">
        <x:v>P1</x:v>
      </x:c>
      <x:c r="G254" t="str">
        <x:v>En cours</x:v>
      </x:c>
      <x:c r="H254" t="str">
        <x:v>Production Codex</x:v>
      </x:c>
      <x:c r="I254" t="str">
        <x:v>Livrable explicite, tests positifs et négatifs ; aucune validation déduite de la seule présence de la fiche.</x:v>
      </x:c>
      <x:c r="J254" t="str">
        <x:v>https://github.com/darknigthmare/deadwall-last-enclosure/blob/e28f46223e73105ab2c5d83f3d50b99b58ef53e6/docs/codex/suivi-monde2026/INSPECTION_PHYSIQUE_2026.md</x:v>
      </x:c>
    </x:row>
    <x:row r="255">
      <x:c r="A255" t="str">
        <x:v>EXT-MONDE-T025/qa</x:v>
      </x:c>
      <x:c r="B255" t="str">
        <x:v>EXT-MONDE-T025</x:v>
      </x:c>
      <x:c r="C255" t="str">
        <x:v>Fermes cultures</x:v>
      </x:c>
      <x:c r="D255" t="str">
        <x:v>Exploitation céréalière</x:v>
      </x:c>
      <x:c r="E255" t="str">
        <x:v>Navigation et parcours jouables</x:v>
      </x:c>
      <x:c r="F255" t="str">
        <x:v>P1</x:v>
      </x:c>
      <x:c r="G255" t="str">
        <x:v>En cours</x:v>
      </x:c>
      <x:c r="H255" t="str">
        <x:v>Production Codex</x:v>
      </x:c>
      <x:c r="I255" t="str">
        <x:v>Livrable explicite, tests positifs et négatifs ; aucune validation déduite de la seule présence de la fiche.</x:v>
      </x:c>
      <x:c r="J255" t="str">
        <x:v>https://github.com/darknigthmare/deadwall-last-enclosure/blob/e28f46223e73105ab2c5d83f3d50b99b58ef53e6/docs/codex/suivi-monde2026/INSPECTION_PHYSIQUE_2026.md</x:v>
      </x:c>
    </x:row>
    <x:row r="256">
      <x:c r="A256" t="str">
        <x:v>EXT-MONDE-T026/dimensions</x:v>
      </x:c>
      <x:c r="B256" t="str">
        <x:v>EXT-MONDE-T026</x:v>
      </x:c>
      <x:c r="C256" t="str">
        <x:v>Fermes cultures</x:v>
      </x:c>
      <x:c r="D256" t="str">
        <x:v>Domaine viticole</x:v>
      </x:c>
      <x:c r="E256" t="str">
        <x:v>Dimensions et plans de référence</x:v>
      </x:c>
      <x:c r="F256" t="str">
        <x:v>P0</x:v>
      </x:c>
      <x:c r="G256" t="str">
        <x:v>En cours</x:v>
      </x:c>
      <x:c r="H256" t="str">
        <x:v>Production Codex</x:v>
      </x:c>
      <x:c r="I256" t="str">
        <x:v>Sources publiques identifiées ; unités en mètres ; emprise au sol distincte de la hauteur.</x:v>
      </x:c>
      <x:c r="J256" t="str">
        <x:v>https://github.com/darknigthmare/deadwall-last-enclosure/blob/e28f46223e73105ab2c5d83f3d50b99b58ef53e6/docs/codex/suivi-monde2026/AGRICULTURE_2026.md</x:v>
      </x:c>
    </x:row>
    <x:row r="257">
      <x:c r="A257" t="str">
        <x:v>EXT-MONDE-T026/architecture</x:v>
      </x:c>
      <x:c r="B257" t="str">
        <x:v>EXT-MONDE-T026</x:v>
      </x:c>
      <x:c r="C257" t="str">
        <x:v>Fermes cultures</x:v>
      </x:c>
      <x:c r="D257" t="str">
        <x:v>Domaine viticole</x:v>
      </x:c>
      <x:c r="E257" t="str">
        <x:v>Pièces, étages, annexes</x:v>
      </x:c>
      <x:c r="F257" t="str">
        <x:v>P0</x:v>
      </x:c>
      <x:c r="G257" t="str">
        <x:v>En cours</x:v>
      </x:c>
      <x:c r="H257" t="str">
        <x:v>Production Codex</x:v>
      </x:c>
      <x:c r="I257" t="str">
        <x:v>Livrable explicite, tests positifs et négatifs ; aucune validation déduite de la seule présence de la fiche.</x:v>
      </x:c>
      <x:c r="J257" t="str">
        <x:v>https://github.com/darknigthmare/deadwall-last-enclosure/blob/e28f46223e73105ab2c5d83f3d50b99b58ef53e6/docs/codex/suivi-monde2026/INSPECTION_PHYSIQUE_2026.md</x:v>
      </x:c>
    </x:row>
    <x:row r="258">
      <x:c r="A258" t="str">
        <x:v>EXT-MONDE-T026/seed</x:v>
      </x:c>
      <x:c r="B258" t="str">
        <x:v>EXT-MONDE-T026</x:v>
      </x:c>
      <x:c r="C258" t="str">
        <x:v>Fermes cultures</x:v>
      </x:c>
      <x:c r="D258" t="str">
        <x:v>Domaine viticole</x:v>
      </x:c>
      <x:c r="E258" t="str">
        <x:v>Implantation et réseaux</x:v>
      </x:c>
      <x:c r="F258" t="str">
        <x:v>P0</x:v>
      </x:c>
      <x:c r="G258" t="str">
        <x:v>À faire</x:v>
      </x:c>
      <x:c r="H258" t="str">
        <x:v>Non affecté</x:v>
      </x:c>
      <x:c r="I258" t="str">
        <x:v>Cultures adaptées au terrain ; parcelles contiguës ; pas de stock renouvelé par visite.</x:v>
      </x:c>
      <x:c r="J258" t="str"/>
    </x:row>
    <x:row r="259">
      <x:c r="A259" t="str">
        <x:v>EXT-MONDE-T026/props</x:v>
      </x:c>
      <x:c r="B259" t="str">
        <x:v>EXT-MONDE-T026</x:v>
      </x:c>
      <x:c r="C259" t="str">
        <x:v>Fermes cultures</x:v>
      </x:c>
      <x:c r="D259" t="str">
        <x:v>Domaine viticole</x:v>
      </x:c>
      <x:c r="E259" t="str">
        <x:v>Objets, décors et dégagements</x:v>
      </x:c>
      <x:c r="F259" t="str">
        <x:v>P1</x:v>
      </x:c>
      <x:c r="G259" t="str">
        <x:v>En cours</x:v>
      </x:c>
      <x:c r="H259" t="str">
        <x:v>Production Codex</x:v>
      </x:c>
      <x:c r="I259" t="str">
        <x:v>Livrable explicite, tests positifs et négatifs ; aucune validation déduite de la seule présence de la fiche.</x:v>
      </x:c>
      <x:c r="J259" t="str">
        <x:v>https://github.com/darknigthmare/deadwall-last-enclosure/blob/e28f46223e73105ab2c5d83f3d50b99b58ef53e6/docs/codex/suivi-monde2026/INSPECTION_PHYSIQUE_2026.md</x:v>
      </x:c>
    </x:row>
    <x:row r="260">
      <x:c r="A260" t="str">
        <x:v>EXT-MONDE-T026/loot</x:v>
      </x:c>
      <x:c r="B260" t="str">
        <x:v>EXT-MONDE-T026</x:v>
      </x:c>
      <x:c r="C260" t="str">
        <x:v>Fermes cultures</x:v>
      </x:c>
      <x:c r="D260" t="str">
        <x:v>Domaine viticole</x:v>
      </x:c>
      <x:c r="E260" t="str">
        <x:v>Budget de butin persistant</x:v>
      </x:c>
      <x:c r="F260" t="str">
        <x:v>P1</x:v>
      </x:c>
      <x:c r="G260" t="str">
        <x:v>À faire</x:v>
      </x:c>
      <x:c r="H260" t="str">
        <x:v>Non affecté</x:v>
      </x:c>
      <x:c r="I260" t="str">
        <x:v>Livrable explicite, tests positifs et négatifs ; aucune validation déduite de la seule présence de la fiche.</x:v>
      </x:c>
      <x:c r="J260" t="str"/>
    </x:row>
    <x:row r="261">
      <x:c r="A261" t="str">
        <x:v>EXT-MONDE-T026/rencontres</x:v>
      </x:c>
      <x:c r="B261" t="str">
        <x:v>EXT-MONDE-T026</x:v>
      </x:c>
      <x:c r="C261" t="str">
        <x:v>Fermes cultures</x:v>
      </x:c>
      <x:c r="D261" t="str">
        <x:v>Domaine viticole</x:v>
      </x:c>
      <x:c r="E261" t="str">
        <x:v>Ennemis et faune contextualisés</x:v>
      </x:c>
      <x:c r="F261" t="str">
        <x:v>P1</x:v>
      </x:c>
      <x:c r="G261" t="str">
        <x:v>À faire</x:v>
      </x:c>
      <x:c r="H261" t="str">
        <x:v>Non affecté</x:v>
      </x:c>
      <x:c r="I261" t="str">
        <x:v>Livrable explicite, tests positifs et négatifs ; aucune validation déduite de la seule présence de la fiche.</x:v>
      </x:c>
      <x:c r="J261" t="str"/>
    </x:row>
    <x:row r="262">
      <x:c r="A262" t="str">
        <x:v>EXT-MONDE-T026/services</x:v>
      </x:c>
      <x:c r="B262" t="str">
        <x:v>EXT-MONDE-T026</x:v>
      </x:c>
      <x:c r="C262" t="str">
        <x:v>Fermes cultures</x:v>
      </x:c>
      <x:c r="D262" t="str">
        <x:v>Domaine viticole</x:v>
      </x:c>
      <x:c r="E262" t="str">
        <x:v>Énergie, eau et interactions</x:v>
      </x:c>
      <x:c r="F262" t="str">
        <x:v>P1</x:v>
      </x:c>
      <x:c r="G262" t="str">
        <x:v>À faire</x:v>
      </x:c>
      <x:c r="H262" t="str">
        <x:v>Non affecté</x:v>
      </x:c>
      <x:c r="I262" t="str">
        <x:v>Livrable explicite, tests positifs et négatifs ; aucune validation déduite de la seule présence de la fiche.</x:v>
      </x:c>
      <x:c r="J262" t="str"/>
    </x:row>
    <x:row r="263">
      <x:c r="A263" t="str">
        <x:v>EXT-MONDE-T026/art</x:v>
      </x:c>
      <x:c r="B263" t="str">
        <x:v>EXT-MONDE-T026</x:v>
      </x:c>
      <x:c r="C263" t="str">
        <x:v>Fermes cultures</x:v>
      </x:c>
      <x:c r="D263" t="str">
        <x:v>Domaine viticole</x:v>
      </x:c>
      <x:c r="E263" t="str">
        <x:v>Sprites, proportions et animations</x:v>
      </x:c>
      <x:c r="F263" t="str">
        <x:v>P1</x:v>
      </x:c>
      <x:c r="G263" t="str">
        <x:v>À faire</x:v>
      </x:c>
      <x:c r="H263" t="str">
        <x:v>Non affecté</x:v>
      </x:c>
      <x:c r="I263" t="str">
        <x:v>Livrable explicite, tests positifs et négatifs ; aucune validation déduite de la seule présence de la fiche.</x:v>
      </x:c>
      <x:c r="J263" t="str"/>
    </x:row>
    <x:row r="264">
      <x:c r="A264" t="str">
        <x:v>EXT-MONDE-T026/sauvegarde</x:v>
      </x:c>
      <x:c r="B264" t="str">
        <x:v>EXT-MONDE-T026</x:v>
      </x:c>
      <x:c r="C264" t="str">
        <x:v>Fermes cultures</x:v>
      </x:c>
      <x:c r="D264" t="str">
        <x:v>Domaine viticole</x:v>
      </x:c>
      <x:c r="E264" t="str">
        <x:v>Identités, migration et reprise</x:v>
      </x:c>
      <x:c r="F264" t="str">
        <x:v>P1</x:v>
      </x:c>
      <x:c r="G264" t="str">
        <x:v>En cours</x:v>
      </x:c>
      <x:c r="H264" t="str">
        <x:v>Production Codex</x:v>
      </x:c>
      <x:c r="I264" t="str">
        <x:v>Livrable explicite, tests positifs et négatifs ; aucune validation déduite de la seule présence de la fiche.</x:v>
      </x:c>
      <x:c r="J264" t="str">
        <x:v>https://github.com/darknigthmare/deadwall-last-enclosure/blob/e28f46223e73105ab2c5d83f3d50b99b58ef53e6/docs/codex/suivi-monde2026/INSPECTION_PHYSIQUE_2026.md</x:v>
      </x:c>
    </x:row>
    <x:row r="265">
      <x:c r="A265" t="str">
        <x:v>EXT-MONDE-T026/qa</x:v>
      </x:c>
      <x:c r="B265" t="str">
        <x:v>EXT-MONDE-T026</x:v>
      </x:c>
      <x:c r="C265" t="str">
        <x:v>Fermes cultures</x:v>
      </x:c>
      <x:c r="D265" t="str">
        <x:v>Domaine viticole</x:v>
      </x:c>
      <x:c r="E265" t="str">
        <x:v>Navigation et parcours jouables</x:v>
      </x:c>
      <x:c r="F265" t="str">
        <x:v>P1</x:v>
      </x:c>
      <x:c r="G265" t="str">
        <x:v>En cours</x:v>
      </x:c>
      <x:c r="H265" t="str">
        <x:v>Production Codex</x:v>
      </x:c>
      <x:c r="I265" t="str">
        <x:v>Livrable explicite, tests positifs et négatifs ; aucune validation déduite de la seule présence de la fiche.</x:v>
      </x:c>
      <x:c r="J265" t="str">
        <x:v>https://github.com/darknigthmare/deadwall-last-enclosure/blob/e28f46223e73105ab2c5d83f3d50b99b58ef53e6/docs/codex/suivi-monde2026/INSPECTION_PHYSIQUE_2026.md</x:v>
      </x:c>
    </x:row>
    <x:row r="266">
      <x:c r="A266" t="str">
        <x:v>EXT-MONDE-T027/dimensions</x:v>
      </x:c>
      <x:c r="B266" t="str">
        <x:v>EXT-MONDE-T027</x:v>
      </x:c>
      <x:c r="C266" t="str">
        <x:v>Fermes cultures</x:v>
      </x:c>
      <x:c r="D266" t="str">
        <x:v>Ferme maraîchère</x:v>
      </x:c>
      <x:c r="E266" t="str">
        <x:v>Dimensions et plans de référence</x:v>
      </x:c>
      <x:c r="F266" t="str">
        <x:v>P0</x:v>
      </x:c>
      <x:c r="G266" t="str">
        <x:v>En cours</x:v>
      </x:c>
      <x:c r="H266" t="str">
        <x:v>Production Codex</x:v>
      </x:c>
      <x:c r="I266" t="str">
        <x:v>Sources publiques identifiées ; unités en mètres ; emprise au sol distincte de la hauteur.</x:v>
      </x:c>
      <x:c r="J266" t="str">
        <x:v>https://github.com/darknigthmare/deadwall-last-enclosure/blob/e28f46223e73105ab2c5d83f3d50b99b58ef53e6/docs/codex/suivi-monde2026/AGRICULTURE_2026.md</x:v>
      </x:c>
    </x:row>
    <x:row r="267">
      <x:c r="A267" t="str">
        <x:v>EXT-MONDE-T027/architecture</x:v>
      </x:c>
      <x:c r="B267" t="str">
        <x:v>EXT-MONDE-T027</x:v>
      </x:c>
      <x:c r="C267" t="str">
        <x:v>Fermes cultures</x:v>
      </x:c>
      <x:c r="D267" t="str">
        <x:v>Ferme maraîchère</x:v>
      </x:c>
      <x:c r="E267" t="str">
        <x:v>Pièces, étages, annexes</x:v>
      </x:c>
      <x:c r="F267" t="str">
        <x:v>P0</x:v>
      </x:c>
      <x:c r="G267" t="str">
        <x:v>En cours</x:v>
      </x:c>
      <x:c r="H267" t="str">
        <x:v>Production Codex</x:v>
      </x:c>
      <x:c r="I267" t="str">
        <x:v>Livrable explicite, tests positifs et négatifs ; aucune validation déduite de la seule présence de la fiche.</x:v>
      </x:c>
      <x:c r="J267" t="str">
        <x:v>https://github.com/darknigthmare/deadwall-last-enclosure/blob/e28f46223e73105ab2c5d83f3d50b99b58ef53e6/docs/codex/suivi-monde2026/INSPECTION_PHYSIQUE_2026.md</x:v>
      </x:c>
    </x:row>
    <x:row r="268">
      <x:c r="A268" t="str">
        <x:v>EXT-MONDE-T027/seed</x:v>
      </x:c>
      <x:c r="B268" t="str">
        <x:v>EXT-MONDE-T027</x:v>
      </x:c>
      <x:c r="C268" t="str">
        <x:v>Fermes cultures</x:v>
      </x:c>
      <x:c r="D268" t="str">
        <x:v>Ferme maraîchère</x:v>
      </x:c>
      <x:c r="E268" t="str">
        <x:v>Implantation et réseaux</x:v>
      </x:c>
      <x:c r="F268" t="str">
        <x:v>P0</x:v>
      </x:c>
      <x:c r="G268" t="str">
        <x:v>À faire</x:v>
      </x:c>
      <x:c r="H268" t="str">
        <x:v>Non affecté</x:v>
      </x:c>
      <x:c r="I268" t="str">
        <x:v>Cultures adaptées au terrain ; parcelles contiguës ; pas de stock renouvelé par visite.</x:v>
      </x:c>
      <x:c r="J268" t="str"/>
    </x:row>
    <x:row r="269">
      <x:c r="A269" t="str">
        <x:v>EXT-MONDE-T027/props</x:v>
      </x:c>
      <x:c r="B269" t="str">
        <x:v>EXT-MONDE-T027</x:v>
      </x:c>
      <x:c r="C269" t="str">
        <x:v>Fermes cultures</x:v>
      </x:c>
      <x:c r="D269" t="str">
        <x:v>Ferme maraîchère</x:v>
      </x:c>
      <x:c r="E269" t="str">
        <x:v>Objets, décors et dégagements</x:v>
      </x:c>
      <x:c r="F269" t="str">
        <x:v>P1</x:v>
      </x:c>
      <x:c r="G269" t="str">
        <x:v>En cours</x:v>
      </x:c>
      <x:c r="H269" t="str">
        <x:v>Production Codex</x:v>
      </x:c>
      <x:c r="I269" t="str">
        <x:v>Livrable explicite, tests positifs et négatifs ; aucune validation déduite de la seule présence de la fiche.</x:v>
      </x:c>
      <x:c r="J269" t="str">
        <x:v>https://github.com/darknigthmare/deadwall-last-enclosure/blob/e28f46223e73105ab2c5d83f3d50b99b58ef53e6/docs/codex/suivi-monde2026/INSPECTION_PHYSIQUE_2026.md</x:v>
      </x:c>
    </x:row>
    <x:row r="270">
      <x:c r="A270" t="str">
        <x:v>EXT-MONDE-T027/loot</x:v>
      </x:c>
      <x:c r="B270" t="str">
        <x:v>EXT-MONDE-T027</x:v>
      </x:c>
      <x:c r="C270" t="str">
        <x:v>Fermes cultures</x:v>
      </x:c>
      <x:c r="D270" t="str">
        <x:v>Ferme maraîchère</x:v>
      </x:c>
      <x:c r="E270" t="str">
        <x:v>Budget de butin persistant</x:v>
      </x:c>
      <x:c r="F270" t="str">
        <x:v>P1</x:v>
      </x:c>
      <x:c r="G270" t="str">
        <x:v>À faire</x:v>
      </x:c>
      <x:c r="H270" t="str">
        <x:v>Non affecté</x:v>
      </x:c>
      <x:c r="I270" t="str">
        <x:v>Livrable explicite, tests positifs et négatifs ; aucune validation déduite de la seule présence de la fiche.</x:v>
      </x:c>
      <x:c r="J270" t="str"/>
    </x:row>
    <x:row r="271">
      <x:c r="A271" t="str">
        <x:v>EXT-MONDE-T027/rencontres</x:v>
      </x:c>
      <x:c r="B271" t="str">
        <x:v>EXT-MONDE-T027</x:v>
      </x:c>
      <x:c r="C271" t="str">
        <x:v>Fermes cultures</x:v>
      </x:c>
      <x:c r="D271" t="str">
        <x:v>Ferme maraîchère</x:v>
      </x:c>
      <x:c r="E271" t="str">
        <x:v>Ennemis et faune contextualisés</x:v>
      </x:c>
      <x:c r="F271" t="str">
        <x:v>P1</x:v>
      </x:c>
      <x:c r="G271" t="str">
        <x:v>À faire</x:v>
      </x:c>
      <x:c r="H271" t="str">
        <x:v>Non affecté</x:v>
      </x:c>
      <x:c r="I271" t="str">
        <x:v>Livrable explicite, tests positifs et négatifs ; aucune validation déduite de la seule présence de la fiche.</x:v>
      </x:c>
      <x:c r="J271" t="str"/>
    </x:row>
    <x:row r="272">
      <x:c r="A272" t="str">
        <x:v>EXT-MONDE-T027/services</x:v>
      </x:c>
      <x:c r="B272" t="str">
        <x:v>EXT-MONDE-T027</x:v>
      </x:c>
      <x:c r="C272" t="str">
        <x:v>Fermes cultures</x:v>
      </x:c>
      <x:c r="D272" t="str">
        <x:v>Ferme maraîchère</x:v>
      </x:c>
      <x:c r="E272" t="str">
        <x:v>Énergie, eau et interactions</x:v>
      </x:c>
      <x:c r="F272" t="str">
        <x:v>P1</x:v>
      </x:c>
      <x:c r="G272" t="str">
        <x:v>À faire</x:v>
      </x:c>
      <x:c r="H272" t="str">
        <x:v>Non affecté</x:v>
      </x:c>
      <x:c r="I272" t="str">
        <x:v>Livrable explicite, tests positifs et négatifs ; aucune validation déduite de la seule présence de la fiche.</x:v>
      </x:c>
      <x:c r="J272" t="str"/>
    </x:row>
    <x:row r="273">
      <x:c r="A273" t="str">
        <x:v>EXT-MONDE-T027/art</x:v>
      </x:c>
      <x:c r="B273" t="str">
        <x:v>EXT-MONDE-T027</x:v>
      </x:c>
      <x:c r="C273" t="str">
        <x:v>Fermes cultures</x:v>
      </x:c>
      <x:c r="D273" t="str">
        <x:v>Ferme maraîchère</x:v>
      </x:c>
      <x:c r="E273" t="str">
        <x:v>Sprites, proportions et animations</x:v>
      </x:c>
      <x:c r="F273" t="str">
        <x:v>P1</x:v>
      </x:c>
      <x:c r="G273" t="str">
        <x:v>À faire</x:v>
      </x:c>
      <x:c r="H273" t="str">
        <x:v>Non affecté</x:v>
      </x:c>
      <x:c r="I273" t="str">
        <x:v>Livrable explicite, tests positifs et négatifs ; aucune validation déduite de la seule présence de la fiche.</x:v>
      </x:c>
      <x:c r="J273" t="str"/>
    </x:row>
    <x:row r="274">
      <x:c r="A274" t="str">
        <x:v>EXT-MONDE-T027/sauvegarde</x:v>
      </x:c>
      <x:c r="B274" t="str">
        <x:v>EXT-MONDE-T027</x:v>
      </x:c>
      <x:c r="C274" t="str">
        <x:v>Fermes cultures</x:v>
      </x:c>
      <x:c r="D274" t="str">
        <x:v>Ferme maraîchère</x:v>
      </x:c>
      <x:c r="E274" t="str">
        <x:v>Identités, migration et reprise</x:v>
      </x:c>
      <x:c r="F274" t="str">
        <x:v>P1</x:v>
      </x:c>
      <x:c r="G274" t="str">
        <x:v>En cours</x:v>
      </x:c>
      <x:c r="H274" t="str">
        <x:v>Production Codex</x:v>
      </x:c>
      <x:c r="I274" t="str">
        <x:v>Livrable explicite, tests positifs et négatifs ; aucune validation déduite de la seule présence de la fiche.</x:v>
      </x:c>
      <x:c r="J274" t="str">
        <x:v>https://github.com/darknigthmare/deadwall-last-enclosure/blob/e28f46223e73105ab2c5d83f3d50b99b58ef53e6/docs/codex/suivi-monde2026/INSPECTION_PHYSIQUE_2026.md</x:v>
      </x:c>
    </x:row>
    <x:row r="275">
      <x:c r="A275" t="str">
        <x:v>EXT-MONDE-T027/qa</x:v>
      </x:c>
      <x:c r="B275" t="str">
        <x:v>EXT-MONDE-T027</x:v>
      </x:c>
      <x:c r="C275" t="str">
        <x:v>Fermes cultures</x:v>
      </x:c>
      <x:c r="D275" t="str">
        <x:v>Ferme maraîchère</x:v>
      </x:c>
      <x:c r="E275" t="str">
        <x:v>Navigation et parcours jouables</x:v>
      </x:c>
      <x:c r="F275" t="str">
        <x:v>P1</x:v>
      </x:c>
      <x:c r="G275" t="str">
        <x:v>En cours</x:v>
      </x:c>
      <x:c r="H275" t="str">
        <x:v>Production Codex</x:v>
      </x:c>
      <x:c r="I275" t="str">
        <x:v>Livrable explicite, tests positifs et négatifs ; aucune validation déduite de la seule présence de la fiche.</x:v>
      </x:c>
      <x:c r="J275" t="str">
        <x:v>https://github.com/darknigthmare/deadwall-last-enclosure/blob/e28f46223e73105ab2c5d83f3d50b99b58ef53e6/docs/codex/suivi-monde2026/INSPECTION_PHYSIQUE_2026.md</x:v>
      </x:c>
    </x:row>
    <x:row r="276">
      <x:c r="A276" t="str">
        <x:v>EXT-MONDE-T028/dimensions</x:v>
      </x:c>
      <x:c r="B276" t="str">
        <x:v>EXT-MONDE-T028</x:v>
      </x:c>
      <x:c r="C276" t="str">
        <x:v>Fermes cultures</x:v>
      </x:c>
      <x:c r="D276" t="str">
        <x:v>Verger avec conditionnement</x:v>
      </x:c>
      <x:c r="E276" t="str">
        <x:v>Dimensions et plans de référence</x:v>
      </x:c>
      <x:c r="F276" t="str">
        <x:v>P0</x:v>
      </x:c>
      <x:c r="G276" t="str">
        <x:v>En cours</x:v>
      </x:c>
      <x:c r="H276" t="str">
        <x:v>Production Codex</x:v>
      </x:c>
      <x:c r="I276" t="str">
        <x:v>Sources publiques identifiées ; unités en mètres ; emprise au sol distincte de la hauteur.</x:v>
      </x:c>
      <x:c r="J276" t="str">
        <x:v>https://github.com/darknigthmare/deadwall-last-enclosure/blob/e28f46223e73105ab2c5d83f3d50b99b58ef53e6/docs/codex/suivi-monde2026/AGRICULTURE_2026.md</x:v>
      </x:c>
    </x:row>
    <x:row r="277">
      <x:c r="A277" t="str">
        <x:v>EXT-MONDE-T028/architecture</x:v>
      </x:c>
      <x:c r="B277" t="str">
        <x:v>EXT-MONDE-T028</x:v>
      </x:c>
      <x:c r="C277" t="str">
        <x:v>Fermes cultures</x:v>
      </x:c>
      <x:c r="D277" t="str">
        <x:v>Verger avec conditionnement</x:v>
      </x:c>
      <x:c r="E277" t="str">
        <x:v>Pièces, étages, annexes</x:v>
      </x:c>
      <x:c r="F277" t="str">
        <x:v>P0</x:v>
      </x:c>
      <x:c r="G277" t="str">
        <x:v>En cours</x:v>
      </x:c>
      <x:c r="H277" t="str">
        <x:v>Production Codex</x:v>
      </x:c>
      <x:c r="I277" t="str">
        <x:v>Livrable explicite, tests positifs et négatifs ; aucune validation déduite de la seule présence de la fiche.</x:v>
      </x:c>
      <x:c r="J277" t="str">
        <x:v>https://github.com/darknigthmare/deadwall-last-enclosure/blob/e28f46223e73105ab2c5d83f3d50b99b58ef53e6/docs/codex/suivi-monde2026/INSPECTION_PHYSIQUE_2026.md</x:v>
      </x:c>
    </x:row>
    <x:row r="278">
      <x:c r="A278" t="str">
        <x:v>EXT-MONDE-T028/seed</x:v>
      </x:c>
      <x:c r="B278" t="str">
        <x:v>EXT-MONDE-T028</x:v>
      </x:c>
      <x:c r="C278" t="str">
        <x:v>Fermes cultures</x:v>
      </x:c>
      <x:c r="D278" t="str">
        <x:v>Verger avec conditionnement</x:v>
      </x:c>
      <x:c r="E278" t="str">
        <x:v>Implantation et réseaux</x:v>
      </x:c>
      <x:c r="F278" t="str">
        <x:v>P0</x:v>
      </x:c>
      <x:c r="G278" t="str">
        <x:v>À faire</x:v>
      </x:c>
      <x:c r="H278" t="str">
        <x:v>Non affecté</x:v>
      </x:c>
      <x:c r="I278" t="str">
        <x:v>Cultures adaptées au terrain ; parcelles contiguës ; pas de stock renouvelé par visite.</x:v>
      </x:c>
      <x:c r="J278" t="str"/>
    </x:row>
    <x:row r="279">
      <x:c r="A279" t="str">
        <x:v>EXT-MONDE-T028/props</x:v>
      </x:c>
      <x:c r="B279" t="str">
        <x:v>EXT-MONDE-T028</x:v>
      </x:c>
      <x:c r="C279" t="str">
        <x:v>Fermes cultures</x:v>
      </x:c>
      <x:c r="D279" t="str">
        <x:v>Verger avec conditionnement</x:v>
      </x:c>
      <x:c r="E279" t="str">
        <x:v>Objets, décors et dégagements</x:v>
      </x:c>
      <x:c r="F279" t="str">
        <x:v>P1</x:v>
      </x:c>
      <x:c r="G279" t="str">
        <x:v>En cours</x:v>
      </x:c>
      <x:c r="H279" t="str">
        <x:v>Production Codex</x:v>
      </x:c>
      <x:c r="I279" t="str">
        <x:v>Livrable explicite, tests positifs et négatifs ; aucune validation déduite de la seule présence de la fiche.</x:v>
      </x:c>
      <x:c r="J279" t="str">
        <x:v>https://github.com/darknigthmare/deadwall-last-enclosure/blob/e28f46223e73105ab2c5d83f3d50b99b58ef53e6/docs/codex/suivi-monde2026/INSPECTION_PHYSIQUE_2026.md</x:v>
      </x:c>
    </x:row>
    <x:row r="280">
      <x:c r="A280" t="str">
        <x:v>EXT-MONDE-T028/loot</x:v>
      </x:c>
      <x:c r="B280" t="str">
        <x:v>EXT-MONDE-T028</x:v>
      </x:c>
      <x:c r="C280" t="str">
        <x:v>Fermes cultures</x:v>
      </x:c>
      <x:c r="D280" t="str">
        <x:v>Verger avec conditionnement</x:v>
      </x:c>
      <x:c r="E280" t="str">
        <x:v>Budget de butin persistant</x:v>
      </x:c>
      <x:c r="F280" t="str">
        <x:v>P1</x:v>
      </x:c>
      <x:c r="G280" t="str">
        <x:v>À faire</x:v>
      </x:c>
      <x:c r="H280" t="str">
        <x:v>Non affecté</x:v>
      </x:c>
      <x:c r="I280" t="str">
        <x:v>Livrable explicite, tests positifs et négatifs ; aucune validation déduite de la seule présence de la fiche.</x:v>
      </x:c>
      <x:c r="J280" t="str"/>
    </x:row>
    <x:row r="281">
      <x:c r="A281" t="str">
        <x:v>EXT-MONDE-T028/rencontres</x:v>
      </x:c>
      <x:c r="B281" t="str">
        <x:v>EXT-MONDE-T028</x:v>
      </x:c>
      <x:c r="C281" t="str">
        <x:v>Fermes cultures</x:v>
      </x:c>
      <x:c r="D281" t="str">
        <x:v>Verger avec conditionnement</x:v>
      </x:c>
      <x:c r="E281" t="str">
        <x:v>Ennemis et faune contextualisés</x:v>
      </x:c>
      <x:c r="F281" t="str">
        <x:v>P1</x:v>
      </x:c>
      <x:c r="G281" t="str">
        <x:v>À faire</x:v>
      </x:c>
      <x:c r="H281" t="str">
        <x:v>Non affecté</x:v>
      </x:c>
      <x:c r="I281" t="str">
        <x:v>Livrable explicite, tests positifs et négatifs ; aucune validation déduite de la seule présence de la fiche.</x:v>
      </x:c>
      <x:c r="J281" t="str"/>
    </x:row>
    <x:row r="282">
      <x:c r="A282" t="str">
        <x:v>EXT-MONDE-T028/services</x:v>
      </x:c>
      <x:c r="B282" t="str">
        <x:v>EXT-MONDE-T028</x:v>
      </x:c>
      <x:c r="C282" t="str">
        <x:v>Fermes cultures</x:v>
      </x:c>
      <x:c r="D282" t="str">
        <x:v>Verger avec conditionnement</x:v>
      </x:c>
      <x:c r="E282" t="str">
        <x:v>Énergie, eau et interactions</x:v>
      </x:c>
      <x:c r="F282" t="str">
        <x:v>P1</x:v>
      </x:c>
      <x:c r="G282" t="str">
        <x:v>À faire</x:v>
      </x:c>
      <x:c r="H282" t="str">
        <x:v>Non affecté</x:v>
      </x:c>
      <x:c r="I282" t="str">
        <x:v>Livrable explicite, tests positifs et négatifs ; aucune validation déduite de la seule présence de la fiche.</x:v>
      </x:c>
      <x:c r="J282" t="str"/>
    </x:row>
    <x:row r="283">
      <x:c r="A283" t="str">
        <x:v>EXT-MONDE-T028/art</x:v>
      </x:c>
      <x:c r="B283" t="str">
        <x:v>EXT-MONDE-T028</x:v>
      </x:c>
      <x:c r="C283" t="str">
        <x:v>Fermes cultures</x:v>
      </x:c>
      <x:c r="D283" t="str">
        <x:v>Verger avec conditionnement</x:v>
      </x:c>
      <x:c r="E283" t="str">
        <x:v>Sprites, proportions et animations</x:v>
      </x:c>
      <x:c r="F283" t="str">
        <x:v>P1</x:v>
      </x:c>
      <x:c r="G283" t="str">
        <x:v>À faire</x:v>
      </x:c>
      <x:c r="H283" t="str">
        <x:v>Non affecté</x:v>
      </x:c>
      <x:c r="I283" t="str">
        <x:v>Livrable explicite, tests positifs et négatifs ; aucune validation déduite de la seule présence de la fiche.</x:v>
      </x:c>
      <x:c r="J283" t="str"/>
    </x:row>
    <x:row r="284">
      <x:c r="A284" t="str">
        <x:v>EXT-MONDE-T028/sauvegarde</x:v>
      </x:c>
      <x:c r="B284" t="str">
        <x:v>EXT-MONDE-T028</x:v>
      </x:c>
      <x:c r="C284" t="str">
        <x:v>Fermes cultures</x:v>
      </x:c>
      <x:c r="D284" t="str">
        <x:v>Verger avec conditionnement</x:v>
      </x:c>
      <x:c r="E284" t="str">
        <x:v>Identités, migration et reprise</x:v>
      </x:c>
      <x:c r="F284" t="str">
        <x:v>P1</x:v>
      </x:c>
      <x:c r="G284" t="str">
        <x:v>En cours</x:v>
      </x:c>
      <x:c r="H284" t="str">
        <x:v>Production Codex</x:v>
      </x:c>
      <x:c r="I284" t="str">
        <x:v>Livrable explicite, tests positifs et négatifs ; aucune validation déduite de la seule présence de la fiche.</x:v>
      </x:c>
      <x:c r="J284" t="str">
        <x:v>https://github.com/darknigthmare/deadwall-last-enclosure/blob/e28f46223e73105ab2c5d83f3d50b99b58ef53e6/docs/codex/suivi-monde2026/INSPECTION_PHYSIQUE_2026.md</x:v>
      </x:c>
    </x:row>
    <x:row r="285">
      <x:c r="A285" t="str">
        <x:v>EXT-MONDE-T028/qa</x:v>
      </x:c>
      <x:c r="B285" t="str">
        <x:v>EXT-MONDE-T028</x:v>
      </x:c>
      <x:c r="C285" t="str">
        <x:v>Fermes cultures</x:v>
      </x:c>
      <x:c r="D285" t="str">
        <x:v>Verger avec conditionnement</x:v>
      </x:c>
      <x:c r="E285" t="str">
        <x:v>Navigation et parcours jouables</x:v>
      </x:c>
      <x:c r="F285" t="str">
        <x:v>P1</x:v>
      </x:c>
      <x:c r="G285" t="str">
        <x:v>En cours</x:v>
      </x:c>
      <x:c r="H285" t="str">
        <x:v>Production Codex</x:v>
      </x:c>
      <x:c r="I285" t="str">
        <x:v>Livrable explicite, tests positifs et négatifs ; aucune validation déduite de la seule présence de la fiche.</x:v>
      </x:c>
      <x:c r="J285" t="str">
        <x:v>https://github.com/darknigthmare/deadwall-last-enclosure/blob/e28f46223e73105ab2c5d83f3d50b99b58ef53e6/docs/codex/suivi-monde2026/INSPECTION_PHYSIQUE_2026.md</x:v>
      </x:c>
    </x:row>
    <x:row r="286">
      <x:c r="A286" t="str">
        <x:v>EXT-MONDE-T029/dimensions</x:v>
      </x:c>
      <x:c r="B286" t="str">
        <x:v>EXT-MONDE-T029</x:v>
      </x:c>
      <x:c r="C286" t="str">
        <x:v>Ponts</x:v>
      </x:c>
      <x:c r="D286" t="str">
        <x:v>Pont routier à poutres</x:v>
      </x:c>
      <x:c r="E286" t="str">
        <x:v>Dimensions et plans de référence</x:v>
      </x:c>
      <x:c r="F286" t="str">
        <x:v>P0</x:v>
      </x:c>
      <x:c r="G286" t="str">
        <x:v>En cours</x:v>
      </x:c>
      <x:c r="H286" t="str">
        <x:v>Production Codex</x:v>
      </x:c>
      <x:c r="I286" t="str">
        <x:v>Sources publiques identifiées ; unités en mètres ; emprise au sol distincte de la hauteur.</x:v>
      </x:c>
      <x:c r="J286" t="str">
        <x:v>https://github.com/darknigthmare/deadwall-last-enclosure/blob/e28f46223e73105ab2c5d83f3d50b99b58ef53e6/docs/codex/suivi-monde2026/PONTS_ECHANGEURS_2026.md</x:v>
      </x:c>
    </x:row>
    <x:row r="287">
      <x:c r="A287" t="str">
        <x:v>EXT-MONDE-T029/architecture</x:v>
      </x:c>
      <x:c r="B287" t="str">
        <x:v>EXT-MONDE-T029</x:v>
      </x:c>
      <x:c r="C287" t="str">
        <x:v>Ponts</x:v>
      </x:c>
      <x:c r="D287" t="str">
        <x:v>Pont routier à poutres</x:v>
      </x:c>
      <x:c r="E287" t="str">
        <x:v>Pièces, étages, annexes</x:v>
      </x:c>
      <x:c r="F287" t="str">
        <x:v>P0</x:v>
      </x:c>
      <x:c r="G287" t="str">
        <x:v>En cours</x:v>
      </x:c>
      <x:c r="H287" t="str">
        <x:v>Production Codex</x:v>
      </x:c>
      <x:c r="I287" t="str">
        <x:v>Livrable explicite, tests positifs et négatifs ; aucune validation déduite de la seule présence de la fiche.</x:v>
      </x:c>
      <x:c r="J287" t="str">
        <x:v>https://github.com/darknigthmare/deadwall-last-enclosure/blob/e28f46223e73105ab2c5d83f3d50b99b58ef53e6/docs/codex/suivi-monde2026/INSPECTION_PHYSIQUE_2026.md</x:v>
      </x:c>
    </x:row>
    <x:row r="288">
      <x:c r="A288" t="str">
        <x:v>EXT-MONDE-T029/seed</x:v>
      </x:c>
      <x:c r="B288" t="str">
        <x:v>EXT-MONDE-T029</x:v>
      </x:c>
      <x:c r="C288" t="str">
        <x:v>Ponts</x:v>
      </x:c>
      <x:c r="D288" t="str">
        <x:v>Pont routier à poutres</x:v>
      </x:c>
      <x:c r="E288" t="str">
        <x:v>Implantation et réseaux</x:v>
      </x:c>
      <x:c r="F288" t="str">
        <x:v>P0</x:v>
      </x:c>
      <x:c r="G288" t="str">
        <x:v>À faire</x:v>
      </x:c>
      <x:c r="H288" t="str">
        <x:v>Non affecté</x:v>
      </x:c>
      <x:c r="I288" t="str">
        <x:v>Gabarit libre sous tablier ; extrémités raccordées ; aucun nœud entre voies superposées.</x:v>
      </x:c>
      <x:c r="J288" t="str"/>
    </x:row>
    <x:row r="289">
      <x:c r="A289" t="str">
        <x:v>EXT-MONDE-T029/props</x:v>
      </x:c>
      <x:c r="B289" t="str">
        <x:v>EXT-MONDE-T029</x:v>
      </x:c>
      <x:c r="C289" t="str">
        <x:v>Ponts</x:v>
      </x:c>
      <x:c r="D289" t="str">
        <x:v>Pont routier à poutres</x:v>
      </x:c>
      <x:c r="E289" t="str">
        <x:v>Objets, décors et dégagements</x:v>
      </x:c>
      <x:c r="F289" t="str">
        <x:v>P1</x:v>
      </x:c>
      <x:c r="G289" t="str">
        <x:v>En cours</x:v>
      </x:c>
      <x:c r="H289" t="str">
        <x:v>Production Codex</x:v>
      </x:c>
      <x:c r="I289" t="str">
        <x:v>Livrable explicite, tests positifs et négatifs ; aucune validation déduite de la seule présence de la fiche.</x:v>
      </x:c>
      <x:c r="J289" t="str">
        <x:v>https://github.com/darknigthmare/deadwall-last-enclosure/blob/e28f46223e73105ab2c5d83f3d50b99b58ef53e6/docs/codex/suivi-monde2026/INSPECTION_PHYSIQUE_2026.md</x:v>
      </x:c>
    </x:row>
    <x:row r="290">
      <x:c r="A290" t="str">
        <x:v>EXT-MONDE-T029/loot</x:v>
      </x:c>
      <x:c r="B290" t="str">
        <x:v>EXT-MONDE-T029</x:v>
      </x:c>
      <x:c r="C290" t="str">
        <x:v>Ponts</x:v>
      </x:c>
      <x:c r="D290" t="str">
        <x:v>Pont routier à poutres</x:v>
      </x:c>
      <x:c r="E290" t="str">
        <x:v>Budget de butin persistant</x:v>
      </x:c>
      <x:c r="F290" t="str">
        <x:v>P1</x:v>
      </x:c>
      <x:c r="G290" t="str">
        <x:v>À faire</x:v>
      </x:c>
      <x:c r="H290" t="str">
        <x:v>Non affecté</x:v>
      </x:c>
      <x:c r="I290" t="str">
        <x:v>Livrable explicite, tests positifs et négatifs ; aucune validation déduite de la seule présence de la fiche.</x:v>
      </x:c>
      <x:c r="J290" t="str"/>
    </x:row>
    <x:row r="291">
      <x:c r="A291" t="str">
        <x:v>EXT-MONDE-T029/rencontres</x:v>
      </x:c>
      <x:c r="B291" t="str">
        <x:v>EXT-MONDE-T029</x:v>
      </x:c>
      <x:c r="C291" t="str">
        <x:v>Ponts</x:v>
      </x:c>
      <x:c r="D291" t="str">
        <x:v>Pont routier à poutres</x:v>
      </x:c>
      <x:c r="E291" t="str">
        <x:v>Ennemis et faune contextualisés</x:v>
      </x:c>
      <x:c r="F291" t="str">
        <x:v>P1</x:v>
      </x:c>
      <x:c r="G291" t="str">
        <x:v>À faire</x:v>
      </x:c>
      <x:c r="H291" t="str">
        <x:v>Non affecté</x:v>
      </x:c>
      <x:c r="I291" t="str">
        <x:v>Livrable explicite, tests positifs et négatifs ; aucune validation déduite de la seule présence de la fiche.</x:v>
      </x:c>
      <x:c r="J291" t="str"/>
    </x:row>
    <x:row r="292">
      <x:c r="A292" t="str">
        <x:v>EXT-MONDE-T029/services</x:v>
      </x:c>
      <x:c r="B292" t="str">
        <x:v>EXT-MONDE-T029</x:v>
      </x:c>
      <x:c r="C292" t="str">
        <x:v>Ponts</x:v>
      </x:c>
      <x:c r="D292" t="str">
        <x:v>Pont routier à poutres</x:v>
      </x:c>
      <x:c r="E292" t="str">
        <x:v>Énergie, eau et interactions</x:v>
      </x:c>
      <x:c r="F292" t="str">
        <x:v>P1</x:v>
      </x:c>
      <x:c r="G292" t="str">
        <x:v>À faire</x:v>
      </x:c>
      <x:c r="H292" t="str">
        <x:v>Non affecté</x:v>
      </x:c>
      <x:c r="I292" t="str">
        <x:v>Livrable explicite, tests positifs et négatifs ; aucune validation déduite de la seule présence de la fiche.</x:v>
      </x:c>
      <x:c r="J292" t="str"/>
    </x:row>
    <x:row r="293">
      <x:c r="A293" t="str">
        <x:v>EXT-MONDE-T029/art</x:v>
      </x:c>
      <x:c r="B293" t="str">
        <x:v>EXT-MONDE-T029</x:v>
      </x:c>
      <x:c r="C293" t="str">
        <x:v>Ponts</x:v>
      </x:c>
      <x:c r="D293" t="str">
        <x:v>Pont routier à poutres</x:v>
      </x:c>
      <x:c r="E293" t="str">
        <x:v>Sprites, proportions et animations</x:v>
      </x:c>
      <x:c r="F293" t="str">
        <x:v>P1</x:v>
      </x:c>
      <x:c r="G293" t="str">
        <x:v>À faire</x:v>
      </x:c>
      <x:c r="H293" t="str">
        <x:v>Non affecté</x:v>
      </x:c>
      <x:c r="I293" t="str">
        <x:v>Livrable explicite, tests positifs et négatifs ; aucune validation déduite de la seule présence de la fiche.</x:v>
      </x:c>
      <x:c r="J293" t="str"/>
    </x:row>
    <x:row r="294">
      <x:c r="A294" t="str">
        <x:v>EXT-MONDE-T029/sauvegarde</x:v>
      </x:c>
      <x:c r="B294" t="str">
        <x:v>EXT-MONDE-T029</x:v>
      </x:c>
      <x:c r="C294" t="str">
        <x:v>Ponts</x:v>
      </x:c>
      <x:c r="D294" t="str">
        <x:v>Pont routier à poutres</x:v>
      </x:c>
      <x:c r="E294" t="str">
        <x:v>Identités, migration et reprise</x:v>
      </x:c>
      <x:c r="F294" t="str">
        <x:v>P1</x:v>
      </x:c>
      <x:c r="G294" t="str">
        <x:v>En cours</x:v>
      </x:c>
      <x:c r="H294" t="str">
        <x:v>Production Codex</x:v>
      </x:c>
      <x:c r="I294" t="str">
        <x:v>Livrable explicite, tests positifs et négatifs ; aucune validation déduite de la seule présence de la fiche.</x:v>
      </x:c>
      <x:c r="J294" t="str">
        <x:v>https://github.com/darknigthmare/deadwall-last-enclosure/blob/e28f46223e73105ab2c5d83f3d50b99b58ef53e6/docs/codex/suivi-monde2026/INSPECTION_PHYSIQUE_2026.md</x:v>
      </x:c>
    </x:row>
    <x:row r="295">
      <x:c r="A295" t="str">
        <x:v>EXT-MONDE-T029/qa</x:v>
      </x:c>
      <x:c r="B295" t="str">
        <x:v>EXT-MONDE-T029</x:v>
      </x:c>
      <x:c r="C295" t="str">
        <x:v>Ponts</x:v>
      </x:c>
      <x:c r="D295" t="str">
        <x:v>Pont routier à poutres</x:v>
      </x:c>
      <x:c r="E295" t="str">
        <x:v>Navigation et parcours jouables</x:v>
      </x:c>
      <x:c r="F295" t="str">
        <x:v>P1</x:v>
      </x:c>
      <x:c r="G295" t="str">
        <x:v>En cours</x:v>
      </x:c>
      <x:c r="H295" t="str">
        <x:v>Production Codex</x:v>
      </x:c>
      <x:c r="I295" t="str">
        <x:v>Livrable explicite, tests positifs et négatifs ; aucune validation déduite de la seule présence de la fiche.</x:v>
      </x:c>
      <x:c r="J295" t="str">
        <x:v>https://github.com/darknigthmare/deadwall-last-enclosure/blob/e28f46223e73105ab2c5d83f3d50b99b58ef53e6/docs/codex/suivi-monde2026/INSPECTION_PHYSIQUE_2026.md</x:v>
      </x:c>
    </x:row>
    <x:row r="296">
      <x:c r="A296" t="str">
        <x:v>EXT-MONDE-T030/dimensions</x:v>
      </x:c>
      <x:c r="B296" t="str">
        <x:v>EXT-MONDE-T030</x:v>
      </x:c>
      <x:c r="C296" t="str">
        <x:v>Ponts</x:v>
      </x:c>
      <x:c r="D296" t="str">
        <x:v>Pont à arches</x:v>
      </x:c>
      <x:c r="E296" t="str">
        <x:v>Dimensions et plans de référence</x:v>
      </x:c>
      <x:c r="F296" t="str">
        <x:v>P0</x:v>
      </x:c>
      <x:c r="G296" t="str">
        <x:v>En cours</x:v>
      </x:c>
      <x:c r="H296" t="str">
        <x:v>Production Codex</x:v>
      </x:c>
      <x:c r="I296" t="str">
        <x:v>Sources publiques identifiées ; unités en mètres ; emprise au sol distincte de la hauteur.</x:v>
      </x:c>
      <x:c r="J296" t="str">
        <x:v>https://github.com/darknigthmare/deadwall-last-enclosure/blob/e28f46223e73105ab2c5d83f3d50b99b58ef53e6/docs/codex/suivi-monde2026/PONTS_ECHANGEURS_2026.md</x:v>
      </x:c>
    </x:row>
    <x:row r="297">
      <x:c r="A297" t="str">
        <x:v>EXT-MONDE-T030/architecture</x:v>
      </x:c>
      <x:c r="B297" t="str">
        <x:v>EXT-MONDE-T030</x:v>
      </x:c>
      <x:c r="C297" t="str">
        <x:v>Ponts</x:v>
      </x:c>
      <x:c r="D297" t="str">
        <x:v>Pont à arches</x:v>
      </x:c>
      <x:c r="E297" t="str">
        <x:v>Pièces, étages, annexes</x:v>
      </x:c>
      <x:c r="F297" t="str">
        <x:v>P0</x:v>
      </x:c>
      <x:c r="G297" t="str">
        <x:v>En cours</x:v>
      </x:c>
      <x:c r="H297" t="str">
        <x:v>Production Codex</x:v>
      </x:c>
      <x:c r="I297" t="str">
        <x:v>Livrable explicite, tests positifs et négatifs ; aucune validation déduite de la seule présence de la fiche.</x:v>
      </x:c>
      <x:c r="J297" t="str">
        <x:v>https://github.com/darknigthmare/deadwall-last-enclosure/blob/e28f46223e73105ab2c5d83f3d50b99b58ef53e6/docs/codex/suivi-monde2026/INSPECTION_PHYSIQUE_2026.md</x:v>
      </x:c>
    </x:row>
    <x:row r="298">
      <x:c r="A298" t="str">
        <x:v>EXT-MONDE-T030/seed</x:v>
      </x:c>
      <x:c r="B298" t="str">
        <x:v>EXT-MONDE-T030</x:v>
      </x:c>
      <x:c r="C298" t="str">
        <x:v>Ponts</x:v>
      </x:c>
      <x:c r="D298" t="str">
        <x:v>Pont à arches</x:v>
      </x:c>
      <x:c r="E298" t="str">
        <x:v>Implantation et réseaux</x:v>
      </x:c>
      <x:c r="F298" t="str">
        <x:v>P0</x:v>
      </x:c>
      <x:c r="G298" t="str">
        <x:v>À faire</x:v>
      </x:c>
      <x:c r="H298" t="str">
        <x:v>Non affecté</x:v>
      </x:c>
      <x:c r="I298" t="str">
        <x:v>Gabarit libre sous tablier ; extrémités raccordées ; aucun nœud entre voies superposées.</x:v>
      </x:c>
      <x:c r="J298" t="str"/>
    </x:row>
    <x:row r="299">
      <x:c r="A299" t="str">
        <x:v>EXT-MONDE-T030/props</x:v>
      </x:c>
      <x:c r="B299" t="str">
        <x:v>EXT-MONDE-T030</x:v>
      </x:c>
      <x:c r="C299" t="str">
        <x:v>Ponts</x:v>
      </x:c>
      <x:c r="D299" t="str">
        <x:v>Pont à arches</x:v>
      </x:c>
      <x:c r="E299" t="str">
        <x:v>Objets, décors et dégagements</x:v>
      </x:c>
      <x:c r="F299" t="str">
        <x:v>P1</x:v>
      </x:c>
      <x:c r="G299" t="str">
        <x:v>En cours</x:v>
      </x:c>
      <x:c r="H299" t="str">
        <x:v>Production Codex</x:v>
      </x:c>
      <x:c r="I299" t="str">
        <x:v>Livrable explicite, tests positifs et négatifs ; aucune validation déduite de la seule présence de la fiche.</x:v>
      </x:c>
      <x:c r="J299" t="str">
        <x:v>https://github.com/darknigthmare/deadwall-last-enclosure/blob/e28f46223e73105ab2c5d83f3d50b99b58ef53e6/docs/codex/suivi-monde2026/INSPECTION_PHYSIQUE_2026.md</x:v>
      </x:c>
    </x:row>
    <x:row r="300">
      <x:c r="A300" t="str">
        <x:v>EXT-MONDE-T030/loot</x:v>
      </x:c>
      <x:c r="B300" t="str">
        <x:v>EXT-MONDE-T030</x:v>
      </x:c>
      <x:c r="C300" t="str">
        <x:v>Ponts</x:v>
      </x:c>
      <x:c r="D300" t="str">
        <x:v>Pont à arches</x:v>
      </x:c>
      <x:c r="E300" t="str">
        <x:v>Budget de butin persistant</x:v>
      </x:c>
      <x:c r="F300" t="str">
        <x:v>P1</x:v>
      </x:c>
      <x:c r="G300" t="str">
        <x:v>À faire</x:v>
      </x:c>
      <x:c r="H300" t="str">
        <x:v>Non affecté</x:v>
      </x:c>
      <x:c r="I300" t="str">
        <x:v>Livrable explicite, tests positifs et négatifs ; aucune validation déduite de la seule présence de la fiche.</x:v>
      </x:c>
      <x:c r="J300" t="str"/>
    </x:row>
    <x:row r="301">
      <x:c r="A301" t="str">
        <x:v>EXT-MONDE-T030/rencontres</x:v>
      </x:c>
      <x:c r="B301" t="str">
        <x:v>EXT-MONDE-T030</x:v>
      </x:c>
      <x:c r="C301" t="str">
        <x:v>Ponts</x:v>
      </x:c>
      <x:c r="D301" t="str">
        <x:v>Pont à arches</x:v>
      </x:c>
      <x:c r="E301" t="str">
        <x:v>Ennemis et faune contextualisés</x:v>
      </x:c>
      <x:c r="F301" t="str">
        <x:v>P1</x:v>
      </x:c>
      <x:c r="G301" t="str">
        <x:v>À faire</x:v>
      </x:c>
      <x:c r="H301" t="str">
        <x:v>Non affecté</x:v>
      </x:c>
      <x:c r="I301" t="str">
        <x:v>Livrable explicite, tests positifs et négatifs ; aucune validation déduite de la seule présence de la fiche.</x:v>
      </x:c>
      <x:c r="J301" t="str"/>
    </x:row>
    <x:row r="302">
      <x:c r="A302" t="str">
        <x:v>EXT-MONDE-T030/services</x:v>
      </x:c>
      <x:c r="B302" t="str">
        <x:v>EXT-MONDE-T030</x:v>
      </x:c>
      <x:c r="C302" t="str">
        <x:v>Ponts</x:v>
      </x:c>
      <x:c r="D302" t="str">
        <x:v>Pont à arches</x:v>
      </x:c>
      <x:c r="E302" t="str">
        <x:v>Énergie, eau et interactions</x:v>
      </x:c>
      <x:c r="F302" t="str">
        <x:v>P1</x:v>
      </x:c>
      <x:c r="G302" t="str">
        <x:v>À faire</x:v>
      </x:c>
      <x:c r="H302" t="str">
        <x:v>Non affecté</x:v>
      </x:c>
      <x:c r="I302" t="str">
        <x:v>Livrable explicite, tests positifs et négatifs ; aucune validation déduite de la seule présence de la fiche.</x:v>
      </x:c>
      <x:c r="J302" t="str"/>
    </x:row>
    <x:row r="303">
      <x:c r="A303" t="str">
        <x:v>EXT-MONDE-T030/art</x:v>
      </x:c>
      <x:c r="B303" t="str">
        <x:v>EXT-MONDE-T030</x:v>
      </x:c>
      <x:c r="C303" t="str">
        <x:v>Ponts</x:v>
      </x:c>
      <x:c r="D303" t="str">
        <x:v>Pont à arches</x:v>
      </x:c>
      <x:c r="E303" t="str">
        <x:v>Sprites, proportions et animations</x:v>
      </x:c>
      <x:c r="F303" t="str">
        <x:v>P1</x:v>
      </x:c>
      <x:c r="G303" t="str">
        <x:v>À faire</x:v>
      </x:c>
      <x:c r="H303" t="str">
        <x:v>Non affecté</x:v>
      </x:c>
      <x:c r="I303" t="str">
        <x:v>Livrable explicite, tests positifs et négatifs ; aucune validation déduite de la seule présence de la fiche.</x:v>
      </x:c>
      <x:c r="J303" t="str"/>
    </x:row>
    <x:row r="304">
      <x:c r="A304" t="str">
        <x:v>EXT-MONDE-T030/sauvegarde</x:v>
      </x:c>
      <x:c r="B304" t="str">
        <x:v>EXT-MONDE-T030</x:v>
      </x:c>
      <x:c r="C304" t="str">
        <x:v>Ponts</x:v>
      </x:c>
      <x:c r="D304" t="str">
        <x:v>Pont à arches</x:v>
      </x:c>
      <x:c r="E304" t="str">
        <x:v>Identités, migration et reprise</x:v>
      </x:c>
      <x:c r="F304" t="str">
        <x:v>P1</x:v>
      </x:c>
      <x:c r="G304" t="str">
        <x:v>En cours</x:v>
      </x:c>
      <x:c r="H304" t="str">
        <x:v>Production Codex</x:v>
      </x:c>
      <x:c r="I304" t="str">
        <x:v>Livrable explicite, tests positifs et négatifs ; aucune validation déduite de la seule présence de la fiche.</x:v>
      </x:c>
      <x:c r="J304" t="str">
        <x:v>https://github.com/darknigthmare/deadwall-last-enclosure/blob/e28f46223e73105ab2c5d83f3d50b99b58ef53e6/docs/codex/suivi-monde2026/INSPECTION_PHYSIQUE_2026.md</x:v>
      </x:c>
    </x:row>
    <x:row r="305">
      <x:c r="A305" t="str">
        <x:v>EXT-MONDE-T030/qa</x:v>
      </x:c>
      <x:c r="B305" t="str">
        <x:v>EXT-MONDE-T030</x:v>
      </x:c>
      <x:c r="C305" t="str">
        <x:v>Ponts</x:v>
      </x:c>
      <x:c r="D305" t="str">
        <x:v>Pont à arches</x:v>
      </x:c>
      <x:c r="E305" t="str">
        <x:v>Navigation et parcours jouables</x:v>
      </x:c>
      <x:c r="F305" t="str">
        <x:v>P1</x:v>
      </x:c>
      <x:c r="G305" t="str">
        <x:v>En cours</x:v>
      </x:c>
      <x:c r="H305" t="str">
        <x:v>Production Codex</x:v>
      </x:c>
      <x:c r="I305" t="str">
        <x:v>Livrable explicite, tests positifs et négatifs ; aucune validation déduite de la seule présence de la fiche.</x:v>
      </x:c>
      <x:c r="J305" t="str">
        <x:v>https://github.com/darknigthmare/deadwall-last-enclosure/blob/e28f46223e73105ab2c5d83f3d50b99b58ef53e6/docs/codex/suivi-monde2026/INSPECTION_PHYSIQUE_2026.md</x:v>
      </x:c>
    </x:row>
    <x:row r="306">
      <x:c r="A306" t="str">
        <x:v>EXT-MONDE-T031/dimensions</x:v>
      </x:c>
      <x:c r="B306" t="str">
        <x:v>EXT-MONDE-T031</x:v>
      </x:c>
      <x:c r="C306" t="str">
        <x:v>Ponts</x:v>
      </x:c>
      <x:c r="D306" t="str">
        <x:v>Pont levant portuaire</x:v>
      </x:c>
      <x:c r="E306" t="str">
        <x:v>Dimensions et plans de référence</x:v>
      </x:c>
      <x:c r="F306" t="str">
        <x:v>P0</x:v>
      </x:c>
      <x:c r="G306" t="str">
        <x:v>En cours</x:v>
      </x:c>
      <x:c r="H306" t="str">
        <x:v>Production Codex</x:v>
      </x:c>
      <x:c r="I306" t="str">
        <x:v>Sources publiques identifiées ; unités en mètres ; emprise au sol distincte de la hauteur.</x:v>
      </x:c>
      <x:c r="J306" t="str">
        <x:v>https://github.com/darknigthmare/deadwall-last-enclosure/blob/e28f46223e73105ab2c5d83f3d50b99b58ef53e6/docs/codex/suivi-monde2026/PONTS_ECHANGEURS_2026.md</x:v>
      </x:c>
    </x:row>
    <x:row r="307">
      <x:c r="A307" t="str">
        <x:v>EXT-MONDE-T031/architecture</x:v>
      </x:c>
      <x:c r="B307" t="str">
        <x:v>EXT-MONDE-T031</x:v>
      </x:c>
      <x:c r="C307" t="str">
        <x:v>Ponts</x:v>
      </x:c>
      <x:c r="D307" t="str">
        <x:v>Pont levant portuaire</x:v>
      </x:c>
      <x:c r="E307" t="str">
        <x:v>Pièces, étages, annexes</x:v>
      </x:c>
      <x:c r="F307" t="str">
        <x:v>P0</x:v>
      </x:c>
      <x:c r="G307" t="str">
        <x:v>En cours</x:v>
      </x:c>
      <x:c r="H307" t="str">
        <x:v>Production Codex</x:v>
      </x:c>
      <x:c r="I307" t="str">
        <x:v>Livrable explicite, tests positifs et négatifs ; aucune validation déduite de la seule présence de la fiche.</x:v>
      </x:c>
      <x:c r="J307" t="str">
        <x:v>https://github.com/darknigthmare/deadwall-last-enclosure/blob/e28f46223e73105ab2c5d83f3d50b99b58ef53e6/docs/codex/suivi-monde2026/INSPECTION_PHYSIQUE_2026.md</x:v>
      </x:c>
    </x:row>
    <x:row r="308">
      <x:c r="A308" t="str">
        <x:v>EXT-MONDE-T031/seed</x:v>
      </x:c>
      <x:c r="B308" t="str">
        <x:v>EXT-MONDE-T031</x:v>
      </x:c>
      <x:c r="C308" t="str">
        <x:v>Ponts</x:v>
      </x:c>
      <x:c r="D308" t="str">
        <x:v>Pont levant portuaire</x:v>
      </x:c>
      <x:c r="E308" t="str">
        <x:v>Implantation et réseaux</x:v>
      </x:c>
      <x:c r="F308" t="str">
        <x:v>P0</x:v>
      </x:c>
      <x:c r="G308" t="str">
        <x:v>À faire</x:v>
      </x:c>
      <x:c r="H308" t="str">
        <x:v>Non affecté</x:v>
      </x:c>
      <x:c r="I308" t="str">
        <x:v>Gabarit libre sous tablier ; extrémités raccordées ; aucun nœud entre voies superposées.</x:v>
      </x:c>
      <x:c r="J308" t="str"/>
    </x:row>
    <x:row r="309">
      <x:c r="A309" t="str">
        <x:v>EXT-MONDE-T031/props</x:v>
      </x:c>
      <x:c r="B309" t="str">
        <x:v>EXT-MONDE-T031</x:v>
      </x:c>
      <x:c r="C309" t="str">
        <x:v>Ponts</x:v>
      </x:c>
      <x:c r="D309" t="str">
        <x:v>Pont levant portuaire</x:v>
      </x:c>
      <x:c r="E309" t="str">
        <x:v>Objets, décors et dégagements</x:v>
      </x:c>
      <x:c r="F309" t="str">
        <x:v>P1</x:v>
      </x:c>
      <x:c r="G309" t="str">
        <x:v>En cours</x:v>
      </x:c>
      <x:c r="H309" t="str">
        <x:v>Production Codex</x:v>
      </x:c>
      <x:c r="I309" t="str">
        <x:v>Livrable explicite, tests positifs et négatifs ; aucune validation déduite de la seule présence de la fiche.</x:v>
      </x:c>
      <x:c r="J309" t="str">
        <x:v>https://github.com/darknigthmare/deadwall-last-enclosure/blob/e28f46223e73105ab2c5d83f3d50b99b58ef53e6/docs/codex/suivi-monde2026/INSPECTION_PHYSIQUE_2026.md</x:v>
      </x:c>
    </x:row>
    <x:row r="310">
      <x:c r="A310" t="str">
        <x:v>EXT-MONDE-T031/loot</x:v>
      </x:c>
      <x:c r="B310" t="str">
        <x:v>EXT-MONDE-T031</x:v>
      </x:c>
      <x:c r="C310" t="str">
        <x:v>Ponts</x:v>
      </x:c>
      <x:c r="D310" t="str">
        <x:v>Pont levant portuaire</x:v>
      </x:c>
      <x:c r="E310" t="str">
        <x:v>Budget de butin persistant</x:v>
      </x:c>
      <x:c r="F310" t="str">
        <x:v>P1</x:v>
      </x:c>
      <x:c r="G310" t="str">
        <x:v>À faire</x:v>
      </x:c>
      <x:c r="H310" t="str">
        <x:v>Non affecté</x:v>
      </x:c>
      <x:c r="I310" t="str">
        <x:v>Livrable explicite, tests positifs et négatifs ; aucune validation déduite de la seule présence de la fiche.</x:v>
      </x:c>
      <x:c r="J310" t="str"/>
    </x:row>
    <x:row r="311">
      <x:c r="A311" t="str">
        <x:v>EXT-MONDE-T031/rencontres</x:v>
      </x:c>
      <x:c r="B311" t="str">
        <x:v>EXT-MONDE-T031</x:v>
      </x:c>
      <x:c r="C311" t="str">
        <x:v>Ponts</x:v>
      </x:c>
      <x:c r="D311" t="str">
        <x:v>Pont levant portuaire</x:v>
      </x:c>
      <x:c r="E311" t="str">
        <x:v>Ennemis et faune contextualisés</x:v>
      </x:c>
      <x:c r="F311" t="str">
        <x:v>P1</x:v>
      </x:c>
      <x:c r="G311" t="str">
        <x:v>À faire</x:v>
      </x:c>
      <x:c r="H311" t="str">
        <x:v>Non affecté</x:v>
      </x:c>
      <x:c r="I311" t="str">
        <x:v>Livrable explicite, tests positifs et négatifs ; aucune validation déduite de la seule présence de la fiche.</x:v>
      </x:c>
      <x:c r="J311" t="str"/>
    </x:row>
    <x:row r="312">
      <x:c r="A312" t="str">
        <x:v>EXT-MONDE-T031/services</x:v>
      </x:c>
      <x:c r="B312" t="str">
        <x:v>EXT-MONDE-T031</x:v>
      </x:c>
      <x:c r="C312" t="str">
        <x:v>Ponts</x:v>
      </x:c>
      <x:c r="D312" t="str">
        <x:v>Pont levant portuaire</x:v>
      </x:c>
      <x:c r="E312" t="str">
        <x:v>Énergie, eau et interactions</x:v>
      </x:c>
      <x:c r="F312" t="str">
        <x:v>P1</x:v>
      </x:c>
      <x:c r="G312" t="str">
        <x:v>À faire</x:v>
      </x:c>
      <x:c r="H312" t="str">
        <x:v>Non affecté</x:v>
      </x:c>
      <x:c r="I312" t="str">
        <x:v>Livrable explicite, tests positifs et négatifs ; aucune validation déduite de la seule présence de la fiche.</x:v>
      </x:c>
      <x:c r="J312" t="str"/>
    </x:row>
    <x:row r="313">
      <x:c r="A313" t="str">
        <x:v>EXT-MONDE-T031/art</x:v>
      </x:c>
      <x:c r="B313" t="str">
        <x:v>EXT-MONDE-T031</x:v>
      </x:c>
      <x:c r="C313" t="str">
        <x:v>Ponts</x:v>
      </x:c>
      <x:c r="D313" t="str">
        <x:v>Pont levant portuaire</x:v>
      </x:c>
      <x:c r="E313" t="str">
        <x:v>Sprites, proportions et animations</x:v>
      </x:c>
      <x:c r="F313" t="str">
        <x:v>P1</x:v>
      </x:c>
      <x:c r="G313" t="str">
        <x:v>À faire</x:v>
      </x:c>
      <x:c r="H313" t="str">
        <x:v>Non affecté</x:v>
      </x:c>
      <x:c r="I313" t="str">
        <x:v>Livrable explicite, tests positifs et négatifs ; aucune validation déduite de la seule présence de la fiche.</x:v>
      </x:c>
      <x:c r="J313" t="str"/>
    </x:row>
    <x:row r="314">
      <x:c r="A314" t="str">
        <x:v>EXT-MONDE-T031/sauvegarde</x:v>
      </x:c>
      <x:c r="B314" t="str">
        <x:v>EXT-MONDE-T031</x:v>
      </x:c>
      <x:c r="C314" t="str">
        <x:v>Ponts</x:v>
      </x:c>
      <x:c r="D314" t="str">
        <x:v>Pont levant portuaire</x:v>
      </x:c>
      <x:c r="E314" t="str">
        <x:v>Identités, migration et reprise</x:v>
      </x:c>
      <x:c r="F314" t="str">
        <x:v>P1</x:v>
      </x:c>
      <x:c r="G314" t="str">
        <x:v>En cours</x:v>
      </x:c>
      <x:c r="H314" t="str">
        <x:v>Production Codex</x:v>
      </x:c>
      <x:c r="I314" t="str">
        <x:v>Livrable explicite, tests positifs et négatifs ; aucune validation déduite de la seule présence de la fiche.</x:v>
      </x:c>
      <x:c r="J314" t="str">
        <x:v>https://github.com/darknigthmare/deadwall-last-enclosure/blob/e28f46223e73105ab2c5d83f3d50b99b58ef53e6/docs/codex/suivi-monde2026/INSPECTION_PHYSIQUE_2026.md</x:v>
      </x:c>
    </x:row>
    <x:row r="315">
      <x:c r="A315" t="str">
        <x:v>EXT-MONDE-T031/qa</x:v>
      </x:c>
      <x:c r="B315" t="str">
        <x:v>EXT-MONDE-T031</x:v>
      </x:c>
      <x:c r="C315" t="str">
        <x:v>Ponts</x:v>
      </x:c>
      <x:c r="D315" t="str">
        <x:v>Pont levant portuaire</x:v>
      </x:c>
      <x:c r="E315" t="str">
        <x:v>Navigation et parcours jouables</x:v>
      </x:c>
      <x:c r="F315" t="str">
        <x:v>P1</x:v>
      </x:c>
      <x:c r="G315" t="str">
        <x:v>En cours</x:v>
      </x:c>
      <x:c r="H315" t="str">
        <x:v>Production Codex</x:v>
      </x:c>
      <x:c r="I315" t="str">
        <x:v>Livrable explicite, tests positifs et négatifs ; aucune validation déduite de la seule présence de la fiche.</x:v>
      </x:c>
      <x:c r="J315" t="str">
        <x:v>https://github.com/darknigthmare/deadwall-last-enclosure/blob/e28f46223e73105ab2c5d83f3d50b99b58ef53e6/docs/codex/suivi-monde2026/INSPECTION_PHYSIQUE_2026.md</x:v>
      </x:c>
    </x:row>
    <x:row r="316">
      <x:c r="A316" t="str">
        <x:v>EXT-MONDE-T032/dimensions</x:v>
      </x:c>
      <x:c r="B316" t="str">
        <x:v>EXT-MONDE-T032</x:v>
      </x:c>
      <x:c r="C316" t="str">
        <x:v>Ponts</x:v>
      </x:c>
      <x:c r="D316" t="str">
        <x:v>Viaduc ferroviaire</x:v>
      </x:c>
      <x:c r="E316" t="str">
        <x:v>Dimensions et plans de référence</x:v>
      </x:c>
      <x:c r="F316" t="str">
        <x:v>P0</x:v>
      </x:c>
      <x:c r="G316" t="str">
        <x:v>En cours</x:v>
      </x:c>
      <x:c r="H316" t="str">
        <x:v>Production Codex</x:v>
      </x:c>
      <x:c r="I316" t="str">
        <x:v>Sources publiques identifiées ; unités en mètres ; emprise au sol distincte de la hauteur.</x:v>
      </x:c>
      <x:c r="J316" t="str">
        <x:v>https://github.com/darknigthmare/deadwall-last-enclosure/blob/e28f46223e73105ab2c5d83f3d50b99b58ef53e6/docs/codex/suivi-monde2026/PONTS_ECHANGEURS_2026.md</x:v>
      </x:c>
    </x:row>
    <x:row r="317">
      <x:c r="A317" t="str">
        <x:v>EXT-MONDE-T032/architecture</x:v>
      </x:c>
      <x:c r="B317" t="str">
        <x:v>EXT-MONDE-T032</x:v>
      </x:c>
      <x:c r="C317" t="str">
        <x:v>Ponts</x:v>
      </x:c>
      <x:c r="D317" t="str">
        <x:v>Viaduc ferroviaire</x:v>
      </x:c>
      <x:c r="E317" t="str">
        <x:v>Pièces, étages, annexes</x:v>
      </x:c>
      <x:c r="F317" t="str">
        <x:v>P0</x:v>
      </x:c>
      <x:c r="G317" t="str">
        <x:v>En cours</x:v>
      </x:c>
      <x:c r="H317" t="str">
        <x:v>Production Codex</x:v>
      </x:c>
      <x:c r="I317" t="str">
        <x:v>Livrable explicite, tests positifs et négatifs ; aucune validation déduite de la seule présence de la fiche.</x:v>
      </x:c>
      <x:c r="J317" t="str">
        <x:v>https://github.com/darknigthmare/deadwall-last-enclosure/blob/e28f46223e73105ab2c5d83f3d50b99b58ef53e6/docs/codex/suivi-monde2026/INSPECTION_PHYSIQUE_2026.md</x:v>
      </x:c>
    </x:row>
    <x:row r="318">
      <x:c r="A318" t="str">
        <x:v>EXT-MONDE-T032/seed</x:v>
      </x:c>
      <x:c r="B318" t="str">
        <x:v>EXT-MONDE-T032</x:v>
      </x:c>
      <x:c r="C318" t="str">
        <x:v>Ponts</x:v>
      </x:c>
      <x:c r="D318" t="str">
        <x:v>Viaduc ferroviaire</x:v>
      </x:c>
      <x:c r="E318" t="str">
        <x:v>Implantation et réseaux</x:v>
      </x:c>
      <x:c r="F318" t="str">
        <x:v>P0</x:v>
      </x:c>
      <x:c r="G318" t="str">
        <x:v>À faire</x:v>
      </x:c>
      <x:c r="H318" t="str">
        <x:v>Non affecté</x:v>
      </x:c>
      <x:c r="I318" t="str">
        <x:v>Gabarit libre sous tablier ; extrémités raccordées ; aucun nœud entre voies superposées.</x:v>
      </x:c>
      <x:c r="J318" t="str"/>
    </x:row>
    <x:row r="319">
      <x:c r="A319" t="str">
        <x:v>EXT-MONDE-T032/props</x:v>
      </x:c>
      <x:c r="B319" t="str">
        <x:v>EXT-MONDE-T032</x:v>
      </x:c>
      <x:c r="C319" t="str">
        <x:v>Ponts</x:v>
      </x:c>
      <x:c r="D319" t="str">
        <x:v>Viaduc ferroviaire</x:v>
      </x:c>
      <x:c r="E319" t="str">
        <x:v>Objets, décors et dégagements</x:v>
      </x:c>
      <x:c r="F319" t="str">
        <x:v>P1</x:v>
      </x:c>
      <x:c r="G319" t="str">
        <x:v>En cours</x:v>
      </x:c>
      <x:c r="H319" t="str">
        <x:v>Production Codex</x:v>
      </x:c>
      <x:c r="I319" t="str">
        <x:v>Livrable explicite, tests positifs et négatifs ; aucune validation déduite de la seule présence de la fiche.</x:v>
      </x:c>
      <x:c r="J319" t="str">
        <x:v>https://github.com/darknigthmare/deadwall-last-enclosure/blob/e28f46223e73105ab2c5d83f3d50b99b58ef53e6/docs/codex/suivi-monde2026/INSPECTION_PHYSIQUE_2026.md</x:v>
      </x:c>
    </x:row>
    <x:row r="320">
      <x:c r="A320" t="str">
        <x:v>EXT-MONDE-T032/loot</x:v>
      </x:c>
      <x:c r="B320" t="str">
        <x:v>EXT-MONDE-T032</x:v>
      </x:c>
      <x:c r="C320" t="str">
        <x:v>Ponts</x:v>
      </x:c>
      <x:c r="D320" t="str">
        <x:v>Viaduc ferroviaire</x:v>
      </x:c>
      <x:c r="E320" t="str">
        <x:v>Budget de butin persistant</x:v>
      </x:c>
      <x:c r="F320" t="str">
        <x:v>P1</x:v>
      </x:c>
      <x:c r="G320" t="str">
        <x:v>À faire</x:v>
      </x:c>
      <x:c r="H320" t="str">
        <x:v>Non affecté</x:v>
      </x:c>
      <x:c r="I320" t="str">
        <x:v>Livrable explicite, tests positifs et négatifs ; aucune validation déduite de la seule présence de la fiche.</x:v>
      </x:c>
      <x:c r="J320" t="str"/>
    </x:row>
    <x:row r="321">
      <x:c r="A321" t="str">
        <x:v>EXT-MONDE-T032/rencontres</x:v>
      </x:c>
      <x:c r="B321" t="str">
        <x:v>EXT-MONDE-T032</x:v>
      </x:c>
      <x:c r="C321" t="str">
        <x:v>Ponts</x:v>
      </x:c>
      <x:c r="D321" t="str">
        <x:v>Viaduc ferroviaire</x:v>
      </x:c>
      <x:c r="E321" t="str">
        <x:v>Ennemis et faune contextualisés</x:v>
      </x:c>
      <x:c r="F321" t="str">
        <x:v>P1</x:v>
      </x:c>
      <x:c r="G321" t="str">
        <x:v>À faire</x:v>
      </x:c>
      <x:c r="H321" t="str">
        <x:v>Non affecté</x:v>
      </x:c>
      <x:c r="I321" t="str">
        <x:v>Livrable explicite, tests positifs et négatifs ; aucune validation déduite de la seule présence de la fiche.</x:v>
      </x:c>
      <x:c r="J321" t="str"/>
    </x:row>
    <x:row r="322">
      <x:c r="A322" t="str">
        <x:v>EXT-MONDE-T032/services</x:v>
      </x:c>
      <x:c r="B322" t="str">
        <x:v>EXT-MONDE-T032</x:v>
      </x:c>
      <x:c r="C322" t="str">
        <x:v>Ponts</x:v>
      </x:c>
      <x:c r="D322" t="str">
        <x:v>Viaduc ferroviaire</x:v>
      </x:c>
      <x:c r="E322" t="str">
        <x:v>Énergie, eau et interactions</x:v>
      </x:c>
      <x:c r="F322" t="str">
        <x:v>P1</x:v>
      </x:c>
      <x:c r="G322" t="str">
        <x:v>À faire</x:v>
      </x:c>
      <x:c r="H322" t="str">
        <x:v>Non affecté</x:v>
      </x:c>
      <x:c r="I322" t="str">
        <x:v>Livrable explicite, tests positifs et négatifs ; aucune validation déduite de la seule présence de la fiche.</x:v>
      </x:c>
      <x:c r="J322" t="str"/>
    </x:row>
    <x:row r="323">
      <x:c r="A323" t="str">
        <x:v>EXT-MONDE-T032/art</x:v>
      </x:c>
      <x:c r="B323" t="str">
        <x:v>EXT-MONDE-T032</x:v>
      </x:c>
      <x:c r="C323" t="str">
        <x:v>Ponts</x:v>
      </x:c>
      <x:c r="D323" t="str">
        <x:v>Viaduc ferroviaire</x:v>
      </x:c>
      <x:c r="E323" t="str">
        <x:v>Sprites, proportions et animations</x:v>
      </x:c>
      <x:c r="F323" t="str">
        <x:v>P1</x:v>
      </x:c>
      <x:c r="G323" t="str">
        <x:v>À faire</x:v>
      </x:c>
      <x:c r="H323" t="str">
        <x:v>Non affecté</x:v>
      </x:c>
      <x:c r="I323" t="str">
        <x:v>Livrable explicite, tests positifs et négatifs ; aucune validation déduite de la seule présence de la fiche.</x:v>
      </x:c>
      <x:c r="J323" t="str"/>
    </x:row>
    <x:row r="324">
      <x:c r="A324" t="str">
        <x:v>EXT-MONDE-T032/sauvegarde</x:v>
      </x:c>
      <x:c r="B324" t="str">
        <x:v>EXT-MONDE-T032</x:v>
      </x:c>
      <x:c r="C324" t="str">
        <x:v>Ponts</x:v>
      </x:c>
      <x:c r="D324" t="str">
        <x:v>Viaduc ferroviaire</x:v>
      </x:c>
      <x:c r="E324" t="str">
        <x:v>Identités, migration et reprise</x:v>
      </x:c>
      <x:c r="F324" t="str">
        <x:v>P1</x:v>
      </x:c>
      <x:c r="G324" t="str">
        <x:v>En cours</x:v>
      </x:c>
      <x:c r="H324" t="str">
        <x:v>Production Codex</x:v>
      </x:c>
      <x:c r="I324" t="str">
        <x:v>Livrable explicite, tests positifs et négatifs ; aucune validation déduite de la seule présence de la fiche.</x:v>
      </x:c>
      <x:c r="J324" t="str">
        <x:v>https://github.com/darknigthmare/deadwall-last-enclosure/blob/e28f46223e73105ab2c5d83f3d50b99b58ef53e6/docs/codex/suivi-monde2026/INSPECTION_PHYSIQUE_2026.md</x:v>
      </x:c>
    </x:row>
    <x:row r="325">
      <x:c r="A325" t="str">
        <x:v>EXT-MONDE-T032/qa</x:v>
      </x:c>
      <x:c r="B325" t="str">
        <x:v>EXT-MONDE-T032</x:v>
      </x:c>
      <x:c r="C325" t="str">
        <x:v>Ponts</x:v>
      </x:c>
      <x:c r="D325" t="str">
        <x:v>Viaduc ferroviaire</x:v>
      </x:c>
      <x:c r="E325" t="str">
        <x:v>Navigation et parcours jouables</x:v>
      </x:c>
      <x:c r="F325" t="str">
        <x:v>P1</x:v>
      </x:c>
      <x:c r="G325" t="str">
        <x:v>En cours</x:v>
      </x:c>
      <x:c r="H325" t="str">
        <x:v>Production Codex</x:v>
      </x:c>
      <x:c r="I325" t="str">
        <x:v>Livrable explicite, tests positifs et négatifs ; aucune validation déduite de la seule présence de la fiche.</x:v>
      </x:c>
      <x:c r="J325" t="str">
        <x:v>https://github.com/darknigthmare/deadwall-last-enclosure/blob/e28f46223e73105ab2c5d83f3d50b99b58ef53e6/docs/codex/suivi-monde2026/INSPECTION_PHYSIQUE_2026.md</x:v>
      </x:c>
    </x:row>
    <x:row r="326">
      <x:c r="A326" t="str">
        <x:v>EXT-MONDE-T033/dimensions</x:v>
      </x:c>
      <x:c r="B326" t="str">
        <x:v>EXT-MONDE-T033</x:v>
      </x:c>
      <x:c r="C326" t="str">
        <x:v>Échangeurs</x:v>
      </x:c>
      <x:c r="D326" t="str">
        <x:v>Échangeur en losange</x:v>
      </x:c>
      <x:c r="E326" t="str">
        <x:v>Dimensions et plans de référence</x:v>
      </x:c>
      <x:c r="F326" t="str">
        <x:v>P0</x:v>
      </x:c>
      <x:c r="G326" t="str">
        <x:v>En cours</x:v>
      </x:c>
      <x:c r="H326" t="str">
        <x:v>Production Codex</x:v>
      </x:c>
      <x:c r="I326" t="str">
        <x:v>Sources publiques identifiées ; unités en mètres ; emprise au sol distincte de la hauteur.</x:v>
      </x:c>
      <x:c r="J326" t="str">
        <x:v>https://github.com/darknigthmare/deadwall-last-enclosure/blob/e28f46223e73105ab2c5d83f3d50b99b58ef53e6/docs/codex/suivi-monde2026/PONTS_ECHANGEURS_2026.md</x:v>
      </x:c>
    </x:row>
    <x:row r="327">
      <x:c r="A327" t="str">
        <x:v>EXT-MONDE-T033/architecture</x:v>
      </x:c>
      <x:c r="B327" t="str">
        <x:v>EXT-MONDE-T033</x:v>
      </x:c>
      <x:c r="C327" t="str">
        <x:v>Échangeurs</x:v>
      </x:c>
      <x:c r="D327" t="str">
        <x:v>Échangeur en losange</x:v>
      </x:c>
      <x:c r="E327" t="str">
        <x:v>Pièces, étages, annexes</x:v>
      </x:c>
      <x:c r="F327" t="str">
        <x:v>P0</x:v>
      </x:c>
      <x:c r="G327" t="str">
        <x:v>En cours</x:v>
      </x:c>
      <x:c r="H327" t="str">
        <x:v>Production Codex</x:v>
      </x:c>
      <x:c r="I327" t="str">
        <x:v>Livrable explicite, tests positifs et négatifs ; aucune validation déduite de la seule présence de la fiche.</x:v>
      </x:c>
      <x:c r="J327" t="str">
        <x:v>https://github.com/darknigthmare/deadwall-last-enclosure/blob/e28f46223e73105ab2c5d83f3d50b99b58ef53e6/docs/codex/suivi-monde2026/INSPECTION_PHYSIQUE_2026.md</x:v>
      </x:c>
    </x:row>
    <x:row r="328">
      <x:c r="A328" t="str">
        <x:v>EXT-MONDE-T033/seed</x:v>
      </x:c>
      <x:c r="B328" t="str">
        <x:v>EXT-MONDE-T033</x:v>
      </x:c>
      <x:c r="C328" t="str">
        <x:v>Échangeurs</x:v>
      </x:c>
      <x:c r="D328" t="str">
        <x:v>Échangeur en losange</x:v>
      </x:c>
      <x:c r="E328" t="str">
        <x:v>Implantation et réseaux</x:v>
      </x:c>
      <x:c r="F328" t="str">
        <x:v>P0</x:v>
      </x:c>
      <x:c r="G328" t="str">
        <x:v>À faire</x:v>
      </x:c>
      <x:c r="H328" t="str">
        <x:v>Non affecté</x:v>
      </x:c>
      <x:c r="I328" t="str">
        <x:v>Classes de routes et raccords progressifs ; rayons, pentes et emprises à valider avant génération.</x:v>
      </x:c>
      <x:c r="J328" t="str"/>
    </x:row>
    <x:row r="329">
      <x:c r="A329" t="str">
        <x:v>EXT-MONDE-T033/props</x:v>
      </x:c>
      <x:c r="B329" t="str">
        <x:v>EXT-MONDE-T033</x:v>
      </x:c>
      <x:c r="C329" t="str">
        <x:v>Échangeurs</x:v>
      </x:c>
      <x:c r="D329" t="str">
        <x:v>Échangeur en losange</x:v>
      </x:c>
      <x:c r="E329" t="str">
        <x:v>Objets, décors et dégagements</x:v>
      </x:c>
      <x:c r="F329" t="str">
        <x:v>P1</x:v>
      </x:c>
      <x:c r="G329" t="str">
        <x:v>En cours</x:v>
      </x:c>
      <x:c r="H329" t="str">
        <x:v>Production Codex</x:v>
      </x:c>
      <x:c r="I329" t="str">
        <x:v>Livrable explicite, tests positifs et négatifs ; aucune validation déduite de la seule présence de la fiche.</x:v>
      </x:c>
      <x:c r="J329" t="str">
        <x:v>https://github.com/darknigthmare/deadwall-last-enclosure/blob/e28f46223e73105ab2c5d83f3d50b99b58ef53e6/docs/codex/suivi-monde2026/INSPECTION_PHYSIQUE_2026.md</x:v>
      </x:c>
    </x:row>
    <x:row r="330">
      <x:c r="A330" t="str">
        <x:v>EXT-MONDE-T033/loot</x:v>
      </x:c>
      <x:c r="B330" t="str">
        <x:v>EXT-MONDE-T033</x:v>
      </x:c>
      <x:c r="C330" t="str">
        <x:v>Échangeurs</x:v>
      </x:c>
      <x:c r="D330" t="str">
        <x:v>Échangeur en losange</x:v>
      </x:c>
      <x:c r="E330" t="str">
        <x:v>Budget de butin persistant</x:v>
      </x:c>
      <x:c r="F330" t="str">
        <x:v>P1</x:v>
      </x:c>
      <x:c r="G330" t="str">
        <x:v>À faire</x:v>
      </x:c>
      <x:c r="H330" t="str">
        <x:v>Non affecté</x:v>
      </x:c>
      <x:c r="I330" t="str">
        <x:v>Livrable explicite, tests positifs et négatifs ; aucune validation déduite de la seule présence de la fiche.</x:v>
      </x:c>
      <x:c r="J330" t="str"/>
    </x:row>
    <x:row r="331">
      <x:c r="A331" t="str">
        <x:v>EXT-MONDE-T033/rencontres</x:v>
      </x:c>
      <x:c r="B331" t="str">
        <x:v>EXT-MONDE-T033</x:v>
      </x:c>
      <x:c r="C331" t="str">
        <x:v>Échangeurs</x:v>
      </x:c>
      <x:c r="D331" t="str">
        <x:v>Échangeur en losange</x:v>
      </x:c>
      <x:c r="E331" t="str">
        <x:v>Ennemis et faune contextualisés</x:v>
      </x:c>
      <x:c r="F331" t="str">
        <x:v>P1</x:v>
      </x:c>
      <x:c r="G331" t="str">
        <x:v>À faire</x:v>
      </x:c>
      <x:c r="H331" t="str">
        <x:v>Non affecté</x:v>
      </x:c>
      <x:c r="I331" t="str">
        <x:v>Livrable explicite, tests positifs et négatifs ; aucune validation déduite de la seule présence de la fiche.</x:v>
      </x:c>
      <x:c r="J331" t="str"/>
    </x:row>
    <x:row r="332">
      <x:c r="A332" t="str">
        <x:v>EXT-MONDE-T033/services</x:v>
      </x:c>
      <x:c r="B332" t="str">
        <x:v>EXT-MONDE-T033</x:v>
      </x:c>
      <x:c r="C332" t="str">
        <x:v>Échangeurs</x:v>
      </x:c>
      <x:c r="D332" t="str">
        <x:v>Échangeur en losange</x:v>
      </x:c>
      <x:c r="E332" t="str">
        <x:v>Énergie, eau et interactions</x:v>
      </x:c>
      <x:c r="F332" t="str">
        <x:v>P1</x:v>
      </x:c>
      <x:c r="G332" t="str">
        <x:v>À faire</x:v>
      </x:c>
      <x:c r="H332" t="str">
        <x:v>Non affecté</x:v>
      </x:c>
      <x:c r="I332" t="str">
        <x:v>Livrable explicite, tests positifs et négatifs ; aucune validation déduite de la seule présence de la fiche.</x:v>
      </x:c>
      <x:c r="J332" t="str"/>
    </x:row>
    <x:row r="333">
      <x:c r="A333" t="str">
        <x:v>EXT-MONDE-T033/art</x:v>
      </x:c>
      <x:c r="B333" t="str">
        <x:v>EXT-MONDE-T033</x:v>
      </x:c>
      <x:c r="C333" t="str">
        <x:v>Échangeurs</x:v>
      </x:c>
      <x:c r="D333" t="str">
        <x:v>Échangeur en losange</x:v>
      </x:c>
      <x:c r="E333" t="str">
        <x:v>Sprites, proportions et animations</x:v>
      </x:c>
      <x:c r="F333" t="str">
        <x:v>P1</x:v>
      </x:c>
      <x:c r="G333" t="str">
        <x:v>À faire</x:v>
      </x:c>
      <x:c r="H333" t="str">
        <x:v>Non affecté</x:v>
      </x:c>
      <x:c r="I333" t="str">
        <x:v>Livrable explicite, tests positifs et négatifs ; aucune validation déduite de la seule présence de la fiche.</x:v>
      </x:c>
      <x:c r="J333" t="str"/>
    </x:row>
    <x:row r="334">
      <x:c r="A334" t="str">
        <x:v>EXT-MONDE-T033/sauvegarde</x:v>
      </x:c>
      <x:c r="B334" t="str">
        <x:v>EXT-MONDE-T033</x:v>
      </x:c>
      <x:c r="C334" t="str">
        <x:v>Échangeurs</x:v>
      </x:c>
      <x:c r="D334" t="str">
        <x:v>Échangeur en losange</x:v>
      </x:c>
      <x:c r="E334" t="str">
        <x:v>Identités, migration et reprise</x:v>
      </x:c>
      <x:c r="F334" t="str">
        <x:v>P1</x:v>
      </x:c>
      <x:c r="G334" t="str">
        <x:v>En cours</x:v>
      </x:c>
      <x:c r="H334" t="str">
        <x:v>Production Codex</x:v>
      </x:c>
      <x:c r="I334" t="str">
        <x:v>Livrable explicite, tests positifs et négatifs ; aucune validation déduite de la seule présence de la fiche.</x:v>
      </x:c>
      <x:c r="J334" t="str">
        <x:v>https://github.com/darknigthmare/deadwall-last-enclosure/blob/e28f46223e73105ab2c5d83f3d50b99b58ef53e6/docs/codex/suivi-monde2026/INSPECTION_PHYSIQUE_2026.md</x:v>
      </x:c>
    </x:row>
    <x:row r="335">
      <x:c r="A335" t="str">
        <x:v>EXT-MONDE-T033/qa</x:v>
      </x:c>
      <x:c r="B335" t="str">
        <x:v>EXT-MONDE-T033</x:v>
      </x:c>
      <x:c r="C335" t="str">
        <x:v>Échangeurs</x:v>
      </x:c>
      <x:c r="D335" t="str">
        <x:v>Échangeur en losange</x:v>
      </x:c>
      <x:c r="E335" t="str">
        <x:v>Navigation et parcours jouables</x:v>
      </x:c>
      <x:c r="F335" t="str">
        <x:v>P1</x:v>
      </x:c>
      <x:c r="G335" t="str">
        <x:v>En cours</x:v>
      </x:c>
      <x:c r="H335" t="str">
        <x:v>Production Codex</x:v>
      </x:c>
      <x:c r="I335" t="str">
        <x:v>Livrable explicite, tests positifs et négatifs ; aucune validation déduite de la seule présence de la fiche.</x:v>
      </x:c>
      <x:c r="J335" t="str">
        <x:v>https://github.com/darknigthmare/deadwall-last-enclosure/blob/e28f46223e73105ab2c5d83f3d50b99b58ef53e6/docs/codex/suivi-monde2026/INSPECTION_PHYSIQUE_2026.md</x:v>
      </x:c>
    </x:row>
    <x:row r="336">
      <x:c r="A336" t="str">
        <x:v>EXT-MONDE-T034/dimensions</x:v>
      </x:c>
      <x:c r="B336" t="str">
        <x:v>EXT-MONDE-T034</x:v>
      </x:c>
      <x:c r="C336" t="str">
        <x:v>Échangeurs</x:v>
      </x:c>
      <x:c r="D336" t="str">
        <x:v>Échangeur en trompette</x:v>
      </x:c>
      <x:c r="E336" t="str">
        <x:v>Dimensions et plans de référence</x:v>
      </x:c>
      <x:c r="F336" t="str">
        <x:v>P0</x:v>
      </x:c>
      <x:c r="G336" t="str">
        <x:v>En cours</x:v>
      </x:c>
      <x:c r="H336" t="str">
        <x:v>Production Codex</x:v>
      </x:c>
      <x:c r="I336" t="str">
        <x:v>Sources publiques identifiées ; unités en mètres ; emprise au sol distincte de la hauteur.</x:v>
      </x:c>
      <x:c r="J336" t="str">
        <x:v>https://github.com/darknigthmare/deadwall-last-enclosure/blob/e28f46223e73105ab2c5d83f3d50b99b58ef53e6/docs/codex/suivi-monde2026/PONTS_ECHANGEURS_2026.md</x:v>
      </x:c>
    </x:row>
    <x:row r="337">
      <x:c r="A337" t="str">
        <x:v>EXT-MONDE-T034/architecture</x:v>
      </x:c>
      <x:c r="B337" t="str">
        <x:v>EXT-MONDE-T034</x:v>
      </x:c>
      <x:c r="C337" t="str">
        <x:v>Échangeurs</x:v>
      </x:c>
      <x:c r="D337" t="str">
        <x:v>Échangeur en trompette</x:v>
      </x:c>
      <x:c r="E337" t="str">
        <x:v>Pièces, étages, annexes</x:v>
      </x:c>
      <x:c r="F337" t="str">
        <x:v>P0</x:v>
      </x:c>
      <x:c r="G337" t="str">
        <x:v>En cours</x:v>
      </x:c>
      <x:c r="H337" t="str">
        <x:v>Production Codex</x:v>
      </x:c>
      <x:c r="I337" t="str">
        <x:v>Livrable explicite, tests positifs et négatifs ; aucune validation déduite de la seule présence de la fiche.</x:v>
      </x:c>
      <x:c r="J337" t="str">
        <x:v>https://github.com/darknigthmare/deadwall-last-enclosure/blob/e28f46223e73105ab2c5d83f3d50b99b58ef53e6/docs/codex/suivi-monde2026/INSPECTION_PHYSIQUE_2026.md</x:v>
      </x:c>
    </x:row>
    <x:row r="338">
      <x:c r="A338" t="str">
        <x:v>EXT-MONDE-T034/seed</x:v>
      </x:c>
      <x:c r="B338" t="str">
        <x:v>EXT-MONDE-T034</x:v>
      </x:c>
      <x:c r="C338" t="str">
        <x:v>Échangeurs</x:v>
      </x:c>
      <x:c r="D338" t="str">
        <x:v>Échangeur en trompette</x:v>
      </x:c>
      <x:c r="E338" t="str">
        <x:v>Implantation et réseaux</x:v>
      </x:c>
      <x:c r="F338" t="str">
        <x:v>P0</x:v>
      </x:c>
      <x:c r="G338" t="str">
        <x:v>À faire</x:v>
      </x:c>
      <x:c r="H338" t="str">
        <x:v>Non affecté</x:v>
      </x:c>
      <x:c r="I338" t="str">
        <x:v>Classes de routes et raccords progressifs ; rayons, pentes et emprises à valider avant génération.</x:v>
      </x:c>
      <x:c r="J338" t="str"/>
    </x:row>
    <x:row r="339">
      <x:c r="A339" t="str">
        <x:v>EXT-MONDE-T034/props</x:v>
      </x:c>
      <x:c r="B339" t="str">
        <x:v>EXT-MONDE-T034</x:v>
      </x:c>
      <x:c r="C339" t="str">
        <x:v>Échangeurs</x:v>
      </x:c>
      <x:c r="D339" t="str">
        <x:v>Échangeur en trompette</x:v>
      </x:c>
      <x:c r="E339" t="str">
        <x:v>Objets, décors et dégagements</x:v>
      </x:c>
      <x:c r="F339" t="str">
        <x:v>P1</x:v>
      </x:c>
      <x:c r="G339" t="str">
        <x:v>En cours</x:v>
      </x:c>
      <x:c r="H339" t="str">
        <x:v>Production Codex</x:v>
      </x:c>
      <x:c r="I339" t="str">
        <x:v>Livrable explicite, tests positifs et négatifs ; aucune validation déduite de la seule présence de la fiche.</x:v>
      </x:c>
      <x:c r="J339" t="str">
        <x:v>https://github.com/darknigthmare/deadwall-last-enclosure/blob/e28f46223e73105ab2c5d83f3d50b99b58ef53e6/docs/codex/suivi-monde2026/INSPECTION_PHYSIQUE_2026.md</x:v>
      </x:c>
    </x:row>
    <x:row r="340">
      <x:c r="A340" t="str">
        <x:v>EXT-MONDE-T034/loot</x:v>
      </x:c>
      <x:c r="B340" t="str">
        <x:v>EXT-MONDE-T034</x:v>
      </x:c>
      <x:c r="C340" t="str">
        <x:v>Échangeurs</x:v>
      </x:c>
      <x:c r="D340" t="str">
        <x:v>Échangeur en trompette</x:v>
      </x:c>
      <x:c r="E340" t="str">
        <x:v>Budget de butin persistant</x:v>
      </x:c>
      <x:c r="F340" t="str">
        <x:v>P1</x:v>
      </x:c>
      <x:c r="G340" t="str">
        <x:v>À faire</x:v>
      </x:c>
      <x:c r="H340" t="str">
        <x:v>Non affecté</x:v>
      </x:c>
      <x:c r="I340" t="str">
        <x:v>Livrable explicite, tests positifs et négatifs ; aucune validation déduite de la seule présence de la fiche.</x:v>
      </x:c>
      <x:c r="J340" t="str"/>
    </x:row>
    <x:row r="341">
      <x:c r="A341" t="str">
        <x:v>EXT-MONDE-T034/rencontres</x:v>
      </x:c>
      <x:c r="B341" t="str">
        <x:v>EXT-MONDE-T034</x:v>
      </x:c>
      <x:c r="C341" t="str">
        <x:v>Échangeurs</x:v>
      </x:c>
      <x:c r="D341" t="str">
        <x:v>Échangeur en trompette</x:v>
      </x:c>
      <x:c r="E341" t="str">
        <x:v>Ennemis et faune contextualisés</x:v>
      </x:c>
      <x:c r="F341" t="str">
        <x:v>P1</x:v>
      </x:c>
      <x:c r="G341" t="str">
        <x:v>À faire</x:v>
      </x:c>
      <x:c r="H341" t="str">
        <x:v>Non affecté</x:v>
      </x:c>
      <x:c r="I341" t="str">
        <x:v>Livrable explicite, tests positifs et négatifs ; aucune validation déduite de la seule présence de la fiche.</x:v>
      </x:c>
      <x:c r="J341" t="str"/>
    </x:row>
    <x:row r="342">
      <x:c r="A342" t="str">
        <x:v>EXT-MONDE-T034/services</x:v>
      </x:c>
      <x:c r="B342" t="str">
        <x:v>EXT-MONDE-T034</x:v>
      </x:c>
      <x:c r="C342" t="str">
        <x:v>Échangeurs</x:v>
      </x:c>
      <x:c r="D342" t="str">
        <x:v>Échangeur en trompette</x:v>
      </x:c>
      <x:c r="E342" t="str">
        <x:v>Énergie, eau et interactions</x:v>
      </x:c>
      <x:c r="F342" t="str">
        <x:v>P1</x:v>
      </x:c>
      <x:c r="G342" t="str">
        <x:v>À faire</x:v>
      </x:c>
      <x:c r="H342" t="str">
        <x:v>Non affecté</x:v>
      </x:c>
      <x:c r="I342" t="str">
        <x:v>Livrable explicite, tests positifs et négatifs ; aucune validation déduite de la seule présence de la fiche.</x:v>
      </x:c>
      <x:c r="J342" t="str"/>
    </x:row>
    <x:row r="343">
      <x:c r="A343" t="str">
        <x:v>EXT-MONDE-T034/art</x:v>
      </x:c>
      <x:c r="B343" t="str">
        <x:v>EXT-MONDE-T034</x:v>
      </x:c>
      <x:c r="C343" t="str">
        <x:v>Échangeurs</x:v>
      </x:c>
      <x:c r="D343" t="str">
        <x:v>Échangeur en trompette</x:v>
      </x:c>
      <x:c r="E343" t="str">
        <x:v>Sprites, proportions et animations</x:v>
      </x:c>
      <x:c r="F343" t="str">
        <x:v>P1</x:v>
      </x:c>
      <x:c r="G343" t="str">
        <x:v>À faire</x:v>
      </x:c>
      <x:c r="H343" t="str">
        <x:v>Non affecté</x:v>
      </x:c>
      <x:c r="I343" t="str">
        <x:v>Livrable explicite, tests positifs et négatifs ; aucune validation déduite de la seule présence de la fiche.</x:v>
      </x:c>
      <x:c r="J343" t="str"/>
    </x:row>
    <x:row r="344">
      <x:c r="A344" t="str">
        <x:v>EXT-MONDE-T034/sauvegarde</x:v>
      </x:c>
      <x:c r="B344" t="str">
        <x:v>EXT-MONDE-T034</x:v>
      </x:c>
      <x:c r="C344" t="str">
        <x:v>Échangeurs</x:v>
      </x:c>
      <x:c r="D344" t="str">
        <x:v>Échangeur en trompette</x:v>
      </x:c>
      <x:c r="E344" t="str">
        <x:v>Identités, migration et reprise</x:v>
      </x:c>
      <x:c r="F344" t="str">
        <x:v>P1</x:v>
      </x:c>
      <x:c r="G344" t="str">
        <x:v>En cours</x:v>
      </x:c>
      <x:c r="H344" t="str">
        <x:v>Production Codex</x:v>
      </x:c>
      <x:c r="I344" t="str">
        <x:v>Livrable explicite, tests positifs et négatifs ; aucune validation déduite de la seule présence de la fiche.</x:v>
      </x:c>
      <x:c r="J344" t="str">
        <x:v>https://github.com/darknigthmare/deadwall-last-enclosure/blob/e28f46223e73105ab2c5d83f3d50b99b58ef53e6/docs/codex/suivi-monde2026/INSPECTION_PHYSIQUE_2026.md</x:v>
      </x:c>
    </x:row>
    <x:row r="345">
      <x:c r="A345" t="str">
        <x:v>EXT-MONDE-T034/qa</x:v>
      </x:c>
      <x:c r="B345" t="str">
        <x:v>EXT-MONDE-T034</x:v>
      </x:c>
      <x:c r="C345" t="str">
        <x:v>Échangeurs</x:v>
      </x:c>
      <x:c r="D345" t="str">
        <x:v>Échangeur en trompette</x:v>
      </x:c>
      <x:c r="E345" t="str">
        <x:v>Navigation et parcours jouables</x:v>
      </x:c>
      <x:c r="F345" t="str">
        <x:v>P1</x:v>
      </x:c>
      <x:c r="G345" t="str">
        <x:v>En cours</x:v>
      </x:c>
      <x:c r="H345" t="str">
        <x:v>Production Codex</x:v>
      </x:c>
      <x:c r="I345" t="str">
        <x:v>Livrable explicite, tests positifs et négatifs ; aucune validation déduite de la seule présence de la fiche.</x:v>
      </x:c>
      <x:c r="J345" t="str">
        <x:v>https://github.com/darknigthmare/deadwall-last-enclosure/blob/e28f46223e73105ab2c5d83f3d50b99b58ef53e6/docs/codex/suivi-monde2026/INSPECTION_PHYSIQUE_2026.md</x:v>
      </x:c>
    </x:row>
    <x:row r="346">
      <x:c r="A346" t="str">
        <x:v>EXT-MONDE-T035/dimensions</x:v>
      </x:c>
      <x:c r="B346" t="str">
        <x:v>EXT-MONDE-T035</x:v>
      </x:c>
      <x:c r="C346" t="str">
        <x:v>Échangeurs</x:v>
      </x:c>
      <x:c r="D346" t="str">
        <x:v>Trèfle autoroutier</x:v>
      </x:c>
      <x:c r="E346" t="str">
        <x:v>Dimensions et plans de référence</x:v>
      </x:c>
      <x:c r="F346" t="str">
        <x:v>P0</x:v>
      </x:c>
      <x:c r="G346" t="str">
        <x:v>En cours</x:v>
      </x:c>
      <x:c r="H346" t="str">
        <x:v>Production Codex</x:v>
      </x:c>
      <x:c r="I346" t="str">
        <x:v>Sources publiques identifiées ; unités en mètres ; emprise au sol distincte de la hauteur.</x:v>
      </x:c>
      <x:c r="J346" t="str">
        <x:v>https://github.com/darknigthmare/deadwall-last-enclosure/blob/e28f46223e73105ab2c5d83f3d50b99b58ef53e6/docs/codex/suivi-monde2026/PONTS_ECHANGEURS_2026.md</x:v>
      </x:c>
    </x:row>
    <x:row r="347">
      <x:c r="A347" t="str">
        <x:v>EXT-MONDE-T035/architecture</x:v>
      </x:c>
      <x:c r="B347" t="str">
        <x:v>EXT-MONDE-T035</x:v>
      </x:c>
      <x:c r="C347" t="str">
        <x:v>Échangeurs</x:v>
      </x:c>
      <x:c r="D347" t="str">
        <x:v>Trèfle autoroutier</x:v>
      </x:c>
      <x:c r="E347" t="str">
        <x:v>Pièces, étages, annexes</x:v>
      </x:c>
      <x:c r="F347" t="str">
        <x:v>P0</x:v>
      </x:c>
      <x:c r="G347" t="str">
        <x:v>En cours</x:v>
      </x:c>
      <x:c r="H347" t="str">
        <x:v>Production Codex</x:v>
      </x:c>
      <x:c r="I347" t="str">
        <x:v>Livrable explicite, tests positifs et négatifs ; aucune validation déduite de la seule présence de la fiche.</x:v>
      </x:c>
      <x:c r="J347" t="str">
        <x:v>https://github.com/darknigthmare/deadwall-last-enclosure/blob/e28f46223e73105ab2c5d83f3d50b99b58ef53e6/docs/codex/suivi-monde2026/INSPECTION_PHYSIQUE_2026.md</x:v>
      </x:c>
    </x:row>
    <x:row r="348">
      <x:c r="A348" t="str">
        <x:v>EXT-MONDE-T035/seed</x:v>
      </x:c>
      <x:c r="B348" t="str">
        <x:v>EXT-MONDE-T035</x:v>
      </x:c>
      <x:c r="C348" t="str">
        <x:v>Échangeurs</x:v>
      </x:c>
      <x:c r="D348" t="str">
        <x:v>Trèfle autoroutier</x:v>
      </x:c>
      <x:c r="E348" t="str">
        <x:v>Implantation et réseaux</x:v>
      </x:c>
      <x:c r="F348" t="str">
        <x:v>P0</x:v>
      </x:c>
      <x:c r="G348" t="str">
        <x:v>À faire</x:v>
      </x:c>
      <x:c r="H348" t="str">
        <x:v>Non affecté</x:v>
      </x:c>
      <x:c r="I348" t="str">
        <x:v>Classes de routes et raccords progressifs ; rayons, pentes et emprises à valider avant génération.</x:v>
      </x:c>
      <x:c r="J348" t="str"/>
    </x:row>
    <x:row r="349">
      <x:c r="A349" t="str">
        <x:v>EXT-MONDE-T035/props</x:v>
      </x:c>
      <x:c r="B349" t="str">
        <x:v>EXT-MONDE-T035</x:v>
      </x:c>
      <x:c r="C349" t="str">
        <x:v>Échangeurs</x:v>
      </x:c>
      <x:c r="D349" t="str">
        <x:v>Trèfle autoroutier</x:v>
      </x:c>
      <x:c r="E349" t="str">
        <x:v>Objets, décors et dégagements</x:v>
      </x:c>
      <x:c r="F349" t="str">
        <x:v>P1</x:v>
      </x:c>
      <x:c r="G349" t="str">
        <x:v>En cours</x:v>
      </x:c>
      <x:c r="H349" t="str">
        <x:v>Production Codex</x:v>
      </x:c>
      <x:c r="I349" t="str">
        <x:v>Livrable explicite, tests positifs et négatifs ; aucune validation déduite de la seule présence de la fiche.</x:v>
      </x:c>
      <x:c r="J349" t="str">
        <x:v>https://github.com/darknigthmare/deadwall-last-enclosure/blob/e28f46223e73105ab2c5d83f3d50b99b58ef53e6/docs/codex/suivi-monde2026/INSPECTION_PHYSIQUE_2026.md</x:v>
      </x:c>
    </x:row>
    <x:row r="350">
      <x:c r="A350" t="str">
        <x:v>EXT-MONDE-T035/loot</x:v>
      </x:c>
      <x:c r="B350" t="str">
        <x:v>EXT-MONDE-T035</x:v>
      </x:c>
      <x:c r="C350" t="str">
        <x:v>Échangeurs</x:v>
      </x:c>
      <x:c r="D350" t="str">
        <x:v>Trèfle autoroutier</x:v>
      </x:c>
      <x:c r="E350" t="str">
        <x:v>Budget de butin persistant</x:v>
      </x:c>
      <x:c r="F350" t="str">
        <x:v>P1</x:v>
      </x:c>
      <x:c r="G350" t="str">
        <x:v>À faire</x:v>
      </x:c>
      <x:c r="H350" t="str">
        <x:v>Non affecté</x:v>
      </x:c>
      <x:c r="I350" t="str">
        <x:v>Livrable explicite, tests positifs et négatifs ; aucune validation déduite de la seule présence de la fiche.</x:v>
      </x:c>
      <x:c r="J350" t="str"/>
    </x:row>
    <x:row r="351">
      <x:c r="A351" t="str">
        <x:v>EXT-MONDE-T035/rencontres</x:v>
      </x:c>
      <x:c r="B351" t="str">
        <x:v>EXT-MONDE-T035</x:v>
      </x:c>
      <x:c r="C351" t="str">
        <x:v>Échangeurs</x:v>
      </x:c>
      <x:c r="D351" t="str">
        <x:v>Trèfle autoroutier</x:v>
      </x:c>
      <x:c r="E351" t="str">
        <x:v>Ennemis et faune contextualisés</x:v>
      </x:c>
      <x:c r="F351" t="str">
        <x:v>P1</x:v>
      </x:c>
      <x:c r="G351" t="str">
        <x:v>À faire</x:v>
      </x:c>
      <x:c r="H351" t="str">
        <x:v>Non affecté</x:v>
      </x:c>
      <x:c r="I351" t="str">
        <x:v>Livrable explicite, tests positifs et négatifs ; aucune validation déduite de la seule présence de la fiche.</x:v>
      </x:c>
      <x:c r="J351" t="str"/>
    </x:row>
    <x:row r="352">
      <x:c r="A352" t="str">
        <x:v>EXT-MONDE-T035/services</x:v>
      </x:c>
      <x:c r="B352" t="str">
        <x:v>EXT-MONDE-T035</x:v>
      </x:c>
      <x:c r="C352" t="str">
        <x:v>Échangeurs</x:v>
      </x:c>
      <x:c r="D352" t="str">
        <x:v>Trèfle autoroutier</x:v>
      </x:c>
      <x:c r="E352" t="str">
        <x:v>Énergie, eau et interactions</x:v>
      </x:c>
      <x:c r="F352" t="str">
        <x:v>P1</x:v>
      </x:c>
      <x:c r="G352" t="str">
        <x:v>À faire</x:v>
      </x:c>
      <x:c r="H352" t="str">
        <x:v>Non affecté</x:v>
      </x:c>
      <x:c r="I352" t="str">
        <x:v>Livrable explicite, tests positifs et négatifs ; aucune validation déduite de la seule présence de la fiche.</x:v>
      </x:c>
      <x:c r="J352" t="str"/>
    </x:row>
    <x:row r="353">
      <x:c r="A353" t="str">
        <x:v>EXT-MONDE-T035/art</x:v>
      </x:c>
      <x:c r="B353" t="str">
        <x:v>EXT-MONDE-T035</x:v>
      </x:c>
      <x:c r="C353" t="str">
        <x:v>Échangeurs</x:v>
      </x:c>
      <x:c r="D353" t="str">
        <x:v>Trèfle autoroutier</x:v>
      </x:c>
      <x:c r="E353" t="str">
        <x:v>Sprites, proportions et animations</x:v>
      </x:c>
      <x:c r="F353" t="str">
        <x:v>P1</x:v>
      </x:c>
      <x:c r="G353" t="str">
        <x:v>À faire</x:v>
      </x:c>
      <x:c r="H353" t="str">
        <x:v>Non affecté</x:v>
      </x:c>
      <x:c r="I353" t="str">
        <x:v>Livrable explicite, tests positifs et négatifs ; aucune validation déduite de la seule présence de la fiche.</x:v>
      </x:c>
      <x:c r="J353" t="str"/>
    </x:row>
    <x:row r="354">
      <x:c r="A354" t="str">
        <x:v>EXT-MONDE-T035/sauvegarde</x:v>
      </x:c>
      <x:c r="B354" t="str">
        <x:v>EXT-MONDE-T035</x:v>
      </x:c>
      <x:c r="C354" t="str">
        <x:v>Échangeurs</x:v>
      </x:c>
      <x:c r="D354" t="str">
        <x:v>Trèfle autoroutier</x:v>
      </x:c>
      <x:c r="E354" t="str">
        <x:v>Identités, migration et reprise</x:v>
      </x:c>
      <x:c r="F354" t="str">
        <x:v>P1</x:v>
      </x:c>
      <x:c r="G354" t="str">
        <x:v>En cours</x:v>
      </x:c>
      <x:c r="H354" t="str">
        <x:v>Production Codex</x:v>
      </x:c>
      <x:c r="I354" t="str">
        <x:v>Livrable explicite, tests positifs et négatifs ; aucune validation déduite de la seule présence de la fiche.</x:v>
      </x:c>
      <x:c r="J354" t="str">
        <x:v>https://github.com/darknigthmare/deadwall-last-enclosure/blob/e28f46223e73105ab2c5d83f3d50b99b58ef53e6/docs/codex/suivi-monde2026/INSPECTION_PHYSIQUE_2026.md</x:v>
      </x:c>
    </x:row>
    <x:row r="355">
      <x:c r="A355" t="str">
        <x:v>EXT-MONDE-T035/qa</x:v>
      </x:c>
      <x:c r="B355" t="str">
        <x:v>EXT-MONDE-T035</x:v>
      </x:c>
      <x:c r="C355" t="str">
        <x:v>Échangeurs</x:v>
      </x:c>
      <x:c r="D355" t="str">
        <x:v>Trèfle autoroutier</x:v>
      </x:c>
      <x:c r="E355" t="str">
        <x:v>Navigation et parcours jouables</x:v>
      </x:c>
      <x:c r="F355" t="str">
        <x:v>P1</x:v>
      </x:c>
      <x:c r="G355" t="str">
        <x:v>En cours</x:v>
      </x:c>
      <x:c r="H355" t="str">
        <x:v>Production Codex</x:v>
      </x:c>
      <x:c r="I355" t="str">
        <x:v>Livrable explicite, tests positifs et négatifs ; aucune validation déduite de la seule présence de la fiche.</x:v>
      </x:c>
      <x:c r="J355" t="str">
        <x:v>https://github.com/darknigthmare/deadwall-last-enclosure/blob/e28f46223e73105ab2c5d83f3d50b99b58ef53e6/docs/codex/suivi-monde2026/INSPECTION_PHYSIQUE_2026.md</x:v>
      </x:c>
    </x:row>
    <x:row r="356">
      <x:c r="A356" t="str">
        <x:v>EXT-MONDE-T036/dimensions</x:v>
      </x:c>
      <x:c r="B356" t="str">
        <x:v>EXT-MONDE-T036</x:v>
      </x:c>
      <x:c r="C356" t="str">
        <x:v>Échangeurs</x:v>
      </x:c>
      <x:c r="D356" t="str">
        <x:v>Échangeur directionnel</x:v>
      </x:c>
      <x:c r="E356" t="str">
        <x:v>Dimensions et plans de référence</x:v>
      </x:c>
      <x:c r="F356" t="str">
        <x:v>P0</x:v>
      </x:c>
      <x:c r="G356" t="str">
        <x:v>En cours</x:v>
      </x:c>
      <x:c r="H356" t="str">
        <x:v>Production Codex</x:v>
      </x:c>
      <x:c r="I356" t="str">
        <x:v>Sources publiques identifiées ; unités en mètres ; emprise au sol distincte de la hauteur.</x:v>
      </x:c>
      <x:c r="J356" t="str">
        <x:v>https://github.com/darknigthmare/deadwall-last-enclosure/blob/e28f46223e73105ab2c5d83f3d50b99b58ef53e6/docs/codex/suivi-monde2026/PONTS_ECHANGEURS_2026.md</x:v>
      </x:c>
    </x:row>
    <x:row r="357">
      <x:c r="A357" t="str">
        <x:v>EXT-MONDE-T036/architecture</x:v>
      </x:c>
      <x:c r="B357" t="str">
        <x:v>EXT-MONDE-T036</x:v>
      </x:c>
      <x:c r="C357" t="str">
        <x:v>Échangeurs</x:v>
      </x:c>
      <x:c r="D357" t="str">
        <x:v>Échangeur directionnel</x:v>
      </x:c>
      <x:c r="E357" t="str">
        <x:v>Pièces, étages, annexes</x:v>
      </x:c>
      <x:c r="F357" t="str">
        <x:v>P0</x:v>
      </x:c>
      <x:c r="G357" t="str">
        <x:v>En cours</x:v>
      </x:c>
      <x:c r="H357" t="str">
        <x:v>Production Codex</x:v>
      </x:c>
      <x:c r="I357" t="str">
        <x:v>Livrable explicite, tests positifs et négatifs ; aucune validation déduite de la seule présence de la fiche.</x:v>
      </x:c>
      <x:c r="J357" t="str">
        <x:v>https://github.com/darknigthmare/deadwall-last-enclosure/blob/e28f46223e73105ab2c5d83f3d50b99b58ef53e6/docs/codex/suivi-monde2026/INSPECTION_PHYSIQUE_2026.md</x:v>
      </x:c>
    </x:row>
    <x:row r="358">
      <x:c r="A358" t="str">
        <x:v>EXT-MONDE-T036/seed</x:v>
      </x:c>
      <x:c r="B358" t="str">
        <x:v>EXT-MONDE-T036</x:v>
      </x:c>
      <x:c r="C358" t="str">
        <x:v>Échangeurs</x:v>
      </x:c>
      <x:c r="D358" t="str">
        <x:v>Échangeur directionnel</x:v>
      </x:c>
      <x:c r="E358" t="str">
        <x:v>Implantation et réseaux</x:v>
      </x:c>
      <x:c r="F358" t="str">
        <x:v>P0</x:v>
      </x:c>
      <x:c r="G358" t="str">
        <x:v>À faire</x:v>
      </x:c>
      <x:c r="H358" t="str">
        <x:v>Non affecté</x:v>
      </x:c>
      <x:c r="I358" t="str">
        <x:v>Classes de routes et raccords progressifs ; rayons, pentes et emprises à valider avant génération.</x:v>
      </x:c>
      <x:c r="J358" t="str"/>
    </x:row>
    <x:row r="359">
      <x:c r="A359" t="str">
        <x:v>EXT-MONDE-T036/props</x:v>
      </x:c>
      <x:c r="B359" t="str">
        <x:v>EXT-MONDE-T036</x:v>
      </x:c>
      <x:c r="C359" t="str">
        <x:v>Échangeurs</x:v>
      </x:c>
      <x:c r="D359" t="str">
        <x:v>Échangeur directionnel</x:v>
      </x:c>
      <x:c r="E359" t="str">
        <x:v>Objets, décors et dégagements</x:v>
      </x:c>
      <x:c r="F359" t="str">
        <x:v>P1</x:v>
      </x:c>
      <x:c r="G359" t="str">
        <x:v>En cours</x:v>
      </x:c>
      <x:c r="H359" t="str">
        <x:v>Production Codex</x:v>
      </x:c>
      <x:c r="I359" t="str">
        <x:v>Livrable explicite, tests positifs et négatifs ; aucune validation déduite de la seule présence de la fiche.</x:v>
      </x:c>
      <x:c r="J359" t="str">
        <x:v>https://github.com/darknigthmare/deadwall-last-enclosure/blob/e28f46223e73105ab2c5d83f3d50b99b58ef53e6/docs/codex/suivi-monde2026/INSPECTION_PHYSIQUE_2026.md</x:v>
      </x:c>
    </x:row>
    <x:row r="360">
      <x:c r="A360" t="str">
        <x:v>EXT-MONDE-T036/loot</x:v>
      </x:c>
      <x:c r="B360" t="str">
        <x:v>EXT-MONDE-T036</x:v>
      </x:c>
      <x:c r="C360" t="str">
        <x:v>Échangeurs</x:v>
      </x:c>
      <x:c r="D360" t="str">
        <x:v>Échangeur directionnel</x:v>
      </x:c>
      <x:c r="E360" t="str">
        <x:v>Budget de butin persistant</x:v>
      </x:c>
      <x:c r="F360" t="str">
        <x:v>P1</x:v>
      </x:c>
      <x:c r="G360" t="str">
        <x:v>À faire</x:v>
      </x:c>
      <x:c r="H360" t="str">
        <x:v>Non affecté</x:v>
      </x:c>
      <x:c r="I360" t="str">
        <x:v>Livrable explicite, tests positifs et négatifs ; aucune validation déduite de la seule présence de la fiche.</x:v>
      </x:c>
      <x:c r="J360" t="str"/>
    </x:row>
    <x:row r="361">
      <x:c r="A361" t="str">
        <x:v>EXT-MONDE-T036/rencontres</x:v>
      </x:c>
      <x:c r="B361" t="str">
        <x:v>EXT-MONDE-T036</x:v>
      </x:c>
      <x:c r="C361" t="str">
        <x:v>Échangeurs</x:v>
      </x:c>
      <x:c r="D361" t="str">
        <x:v>Échangeur directionnel</x:v>
      </x:c>
      <x:c r="E361" t="str">
        <x:v>Ennemis et faune contextualisés</x:v>
      </x:c>
      <x:c r="F361" t="str">
        <x:v>P1</x:v>
      </x:c>
      <x:c r="G361" t="str">
        <x:v>À faire</x:v>
      </x:c>
      <x:c r="H361" t="str">
        <x:v>Non affecté</x:v>
      </x:c>
      <x:c r="I361" t="str">
        <x:v>Livrable explicite, tests positifs et négatifs ; aucune validation déduite de la seule présence de la fiche.</x:v>
      </x:c>
      <x:c r="J361" t="str"/>
    </x:row>
    <x:row r="362">
      <x:c r="A362" t="str">
        <x:v>EXT-MONDE-T036/services</x:v>
      </x:c>
      <x:c r="B362" t="str">
        <x:v>EXT-MONDE-T036</x:v>
      </x:c>
      <x:c r="C362" t="str">
        <x:v>Échangeurs</x:v>
      </x:c>
      <x:c r="D362" t="str">
        <x:v>Échangeur directionnel</x:v>
      </x:c>
      <x:c r="E362" t="str">
        <x:v>Énergie, eau et interactions</x:v>
      </x:c>
      <x:c r="F362" t="str">
        <x:v>P1</x:v>
      </x:c>
      <x:c r="G362" t="str">
        <x:v>À faire</x:v>
      </x:c>
      <x:c r="H362" t="str">
        <x:v>Non affecté</x:v>
      </x:c>
      <x:c r="I362" t="str">
        <x:v>Livrable explicite, tests positifs et négatifs ; aucune validation déduite de la seule présence de la fiche.</x:v>
      </x:c>
      <x:c r="J362" t="str"/>
    </x:row>
    <x:row r="363">
      <x:c r="A363" t="str">
        <x:v>EXT-MONDE-T036/art</x:v>
      </x:c>
      <x:c r="B363" t="str">
        <x:v>EXT-MONDE-T036</x:v>
      </x:c>
      <x:c r="C363" t="str">
        <x:v>Échangeurs</x:v>
      </x:c>
      <x:c r="D363" t="str">
        <x:v>Échangeur directionnel</x:v>
      </x:c>
      <x:c r="E363" t="str">
        <x:v>Sprites, proportions et animations</x:v>
      </x:c>
      <x:c r="F363" t="str">
        <x:v>P1</x:v>
      </x:c>
      <x:c r="G363" t="str">
        <x:v>À faire</x:v>
      </x:c>
      <x:c r="H363" t="str">
        <x:v>Non affecté</x:v>
      </x:c>
      <x:c r="I363" t="str">
        <x:v>Livrable explicite, tests positifs et négatifs ; aucune validation déduite de la seule présence de la fiche.</x:v>
      </x:c>
      <x:c r="J363" t="str"/>
    </x:row>
    <x:row r="364">
      <x:c r="A364" t="str">
        <x:v>EXT-MONDE-T036/sauvegarde</x:v>
      </x:c>
      <x:c r="B364" t="str">
        <x:v>EXT-MONDE-T036</x:v>
      </x:c>
      <x:c r="C364" t="str">
        <x:v>Échangeurs</x:v>
      </x:c>
      <x:c r="D364" t="str">
        <x:v>Échangeur directionnel</x:v>
      </x:c>
      <x:c r="E364" t="str">
        <x:v>Identités, migration et reprise</x:v>
      </x:c>
      <x:c r="F364" t="str">
        <x:v>P1</x:v>
      </x:c>
      <x:c r="G364" t="str">
        <x:v>En cours</x:v>
      </x:c>
      <x:c r="H364" t="str">
        <x:v>Production Codex</x:v>
      </x:c>
      <x:c r="I364" t="str">
        <x:v>Livrable explicite, tests positifs et négatifs ; aucune validation déduite de la seule présence de la fiche.</x:v>
      </x:c>
      <x:c r="J364" t="str">
        <x:v>https://github.com/darknigthmare/deadwall-last-enclosure/blob/e28f46223e73105ab2c5d83f3d50b99b58ef53e6/docs/codex/suivi-monde2026/INSPECTION_PHYSIQUE_2026.md</x:v>
      </x:c>
    </x:row>
    <x:row r="365">
      <x:c r="A365" t="str">
        <x:v>EXT-MONDE-T036/qa</x:v>
      </x:c>
      <x:c r="B365" t="str">
        <x:v>EXT-MONDE-T036</x:v>
      </x:c>
      <x:c r="C365" t="str">
        <x:v>Échangeurs</x:v>
      </x:c>
      <x:c r="D365" t="str">
        <x:v>Échangeur directionnel</x:v>
      </x:c>
      <x:c r="E365" t="str">
        <x:v>Navigation et parcours jouables</x:v>
      </x:c>
      <x:c r="F365" t="str">
        <x:v>P1</x:v>
      </x:c>
      <x:c r="G365" t="str">
        <x:v>En cours</x:v>
      </x:c>
      <x:c r="H365" t="str">
        <x:v>Production Codex</x:v>
      </x:c>
      <x:c r="I365" t="str">
        <x:v>Livrable explicite, tests positifs et négatifs ; aucune validation déduite de la seule présence de la fiche.</x:v>
      </x:c>
      <x:c r="J365" t="str">
        <x:v>https://github.com/darknigthmare/deadwall-last-enclosure/blob/e28f46223e73105ab2c5d83f3d50b99b58ef53e6/docs/codex/suivi-monde2026/INSPECTION_PHYSIQUE_2026.md</x:v>
      </x:c>
    </x:row>
    <x:row r="366">
      <x:c r="A366" t="str">
        <x:v>EXT-MONDE-T037/dimensions</x:v>
      </x:c>
      <x:c r="B366" t="str">
        <x:v>EXT-MONDE-T037</x:v>
      </x:c>
      <x:c r="C366" t="str">
        <x:v>Égouts</x:v>
      </x:c>
      <x:c r="D366" t="str">
        <x:v>Collecteur urbain</x:v>
      </x:c>
      <x:c r="E366" t="str">
        <x:v>Dimensions et plans de référence</x:v>
      </x:c>
      <x:c r="F366" t="str">
        <x:v>P0</x:v>
      </x:c>
      <x:c r="G366" t="str">
        <x:v>En cours</x:v>
      </x:c>
      <x:c r="H366" t="str">
        <x:v>Production Codex</x:v>
      </x:c>
      <x:c r="I366" t="str">
        <x:v>Sources publiques identifiées ; unités en mètres ; emprise au sol distincte de la hauteur.</x:v>
      </x:c>
      <x:c r="J366" t="str">
        <x:v>https://github.com/darknigthmare/deadwall-last-enclosure/blob/e28f46223e73105ab2c5d83f3d50b99b58ef53e6/docs/codex/suivi-monde2026/HLM_ASSAINISSEMENT_2026.md</x:v>
      </x:c>
    </x:row>
    <x:row r="367">
      <x:c r="A367" t="str">
        <x:v>EXT-MONDE-T037/architecture</x:v>
      </x:c>
      <x:c r="B367" t="str">
        <x:v>EXT-MONDE-T037</x:v>
      </x:c>
      <x:c r="C367" t="str">
        <x:v>Égouts</x:v>
      </x:c>
      <x:c r="D367" t="str">
        <x:v>Collecteur urbain</x:v>
      </x:c>
      <x:c r="E367" t="str">
        <x:v>Pièces, étages, annexes</x:v>
      </x:c>
      <x:c r="F367" t="str">
        <x:v>P0</x:v>
      </x:c>
      <x:c r="G367" t="str">
        <x:v>En cours</x:v>
      </x:c>
      <x:c r="H367" t="str">
        <x:v>Production Codex</x:v>
      </x:c>
      <x:c r="I367" t="str">
        <x:v>Livrable explicite, tests positifs et négatifs ; aucune validation déduite de la seule présence de la fiche.</x:v>
      </x:c>
      <x:c r="J367" t="str">
        <x:v>https://github.com/darknigthmare/deadwall-last-enclosure/blob/e28f46223e73105ab2c5d83f3d50b99b58ef53e6/docs/codex/suivi-monde2026/INSPECTION_PHYSIQUE_2026.md</x:v>
      </x:c>
    </x:row>
    <x:row r="368">
      <x:c r="A368" t="str">
        <x:v>EXT-MONDE-T037/seed</x:v>
      </x:c>
      <x:c r="B368" t="str">
        <x:v>EXT-MONDE-T037</x:v>
      </x:c>
      <x:c r="C368" t="str">
        <x:v>Égouts</x:v>
      </x:c>
      <x:c r="D368" t="str">
        <x:v>Collecteur urbain</x:v>
      </x:c>
      <x:c r="E368" t="str">
        <x:v>Implantation et réseaux</x:v>
      </x:c>
      <x:c r="F368" t="str">
        <x:v>P0</x:v>
      </x:c>
      <x:c r="G368" t="str">
        <x:v>À faire</x:v>
      </x:c>
      <x:c r="H368" t="str">
        <x:v>Non affecté</x:v>
      </x:c>
      <x:c r="I368" t="str">
        <x:v>Graphe dirigé vers exutoire ; jonctions explicites ; niveaux et accès de secours sans téléportation.</x:v>
      </x:c>
      <x:c r="J368" t="str"/>
    </x:row>
    <x:row r="369">
      <x:c r="A369" t="str">
        <x:v>EXT-MONDE-T037/props</x:v>
      </x:c>
      <x:c r="B369" t="str">
        <x:v>EXT-MONDE-T037</x:v>
      </x:c>
      <x:c r="C369" t="str">
        <x:v>Égouts</x:v>
      </x:c>
      <x:c r="D369" t="str">
        <x:v>Collecteur urbain</x:v>
      </x:c>
      <x:c r="E369" t="str">
        <x:v>Objets, décors et dégagements</x:v>
      </x:c>
      <x:c r="F369" t="str">
        <x:v>P1</x:v>
      </x:c>
      <x:c r="G369" t="str">
        <x:v>En cours</x:v>
      </x:c>
      <x:c r="H369" t="str">
        <x:v>Production Codex</x:v>
      </x:c>
      <x:c r="I369" t="str">
        <x:v>Livrable explicite, tests positifs et négatifs ; aucune validation déduite de la seule présence de la fiche.</x:v>
      </x:c>
      <x:c r="J369" t="str">
        <x:v>https://github.com/darknigthmare/deadwall-last-enclosure/blob/e28f46223e73105ab2c5d83f3d50b99b58ef53e6/docs/codex/suivi-monde2026/INSPECTION_PHYSIQUE_2026.md</x:v>
      </x:c>
    </x:row>
    <x:row r="370">
      <x:c r="A370" t="str">
        <x:v>EXT-MONDE-T037/loot</x:v>
      </x:c>
      <x:c r="B370" t="str">
        <x:v>EXT-MONDE-T037</x:v>
      </x:c>
      <x:c r="C370" t="str">
        <x:v>Égouts</x:v>
      </x:c>
      <x:c r="D370" t="str">
        <x:v>Collecteur urbain</x:v>
      </x:c>
      <x:c r="E370" t="str">
        <x:v>Budget de butin persistant</x:v>
      </x:c>
      <x:c r="F370" t="str">
        <x:v>P1</x:v>
      </x:c>
      <x:c r="G370" t="str">
        <x:v>À faire</x:v>
      </x:c>
      <x:c r="H370" t="str">
        <x:v>Non affecté</x:v>
      </x:c>
      <x:c r="I370" t="str">
        <x:v>Livrable explicite, tests positifs et négatifs ; aucune validation déduite de la seule présence de la fiche.</x:v>
      </x:c>
      <x:c r="J370" t="str"/>
    </x:row>
    <x:row r="371">
      <x:c r="A371" t="str">
        <x:v>EXT-MONDE-T037/rencontres</x:v>
      </x:c>
      <x:c r="B371" t="str">
        <x:v>EXT-MONDE-T037</x:v>
      </x:c>
      <x:c r="C371" t="str">
        <x:v>Égouts</x:v>
      </x:c>
      <x:c r="D371" t="str">
        <x:v>Collecteur urbain</x:v>
      </x:c>
      <x:c r="E371" t="str">
        <x:v>Ennemis et faune contextualisés</x:v>
      </x:c>
      <x:c r="F371" t="str">
        <x:v>P1</x:v>
      </x:c>
      <x:c r="G371" t="str">
        <x:v>À faire</x:v>
      </x:c>
      <x:c r="H371" t="str">
        <x:v>Non affecté</x:v>
      </x:c>
      <x:c r="I371" t="str">
        <x:v>Livrable explicite, tests positifs et négatifs ; aucune validation déduite de la seule présence de la fiche.</x:v>
      </x:c>
      <x:c r="J371" t="str"/>
    </x:row>
    <x:row r="372">
      <x:c r="A372" t="str">
        <x:v>EXT-MONDE-T037/services</x:v>
      </x:c>
      <x:c r="B372" t="str">
        <x:v>EXT-MONDE-T037</x:v>
      </x:c>
      <x:c r="C372" t="str">
        <x:v>Égouts</x:v>
      </x:c>
      <x:c r="D372" t="str">
        <x:v>Collecteur urbain</x:v>
      </x:c>
      <x:c r="E372" t="str">
        <x:v>Énergie, eau et interactions</x:v>
      </x:c>
      <x:c r="F372" t="str">
        <x:v>P1</x:v>
      </x:c>
      <x:c r="G372" t="str">
        <x:v>À faire</x:v>
      </x:c>
      <x:c r="H372" t="str">
        <x:v>Non affecté</x:v>
      </x:c>
      <x:c r="I372" t="str">
        <x:v>Livrable explicite, tests positifs et négatifs ; aucune validation déduite de la seule présence de la fiche.</x:v>
      </x:c>
      <x:c r="J372" t="str"/>
    </x:row>
    <x:row r="373">
      <x:c r="A373" t="str">
        <x:v>EXT-MONDE-T037/art</x:v>
      </x:c>
      <x:c r="B373" t="str">
        <x:v>EXT-MONDE-T037</x:v>
      </x:c>
      <x:c r="C373" t="str">
        <x:v>Égouts</x:v>
      </x:c>
      <x:c r="D373" t="str">
        <x:v>Collecteur urbain</x:v>
      </x:c>
      <x:c r="E373" t="str">
        <x:v>Sprites, proportions et animations</x:v>
      </x:c>
      <x:c r="F373" t="str">
        <x:v>P1</x:v>
      </x:c>
      <x:c r="G373" t="str">
        <x:v>À faire</x:v>
      </x:c>
      <x:c r="H373" t="str">
        <x:v>Non affecté</x:v>
      </x:c>
      <x:c r="I373" t="str">
        <x:v>Livrable explicite, tests positifs et négatifs ; aucune validation déduite de la seule présence de la fiche.</x:v>
      </x:c>
      <x:c r="J373" t="str"/>
    </x:row>
    <x:row r="374">
      <x:c r="A374" t="str">
        <x:v>EXT-MONDE-T037/sauvegarde</x:v>
      </x:c>
      <x:c r="B374" t="str">
        <x:v>EXT-MONDE-T037</x:v>
      </x:c>
      <x:c r="C374" t="str">
        <x:v>Égouts</x:v>
      </x:c>
      <x:c r="D374" t="str">
        <x:v>Collecteur urbain</x:v>
      </x:c>
      <x:c r="E374" t="str">
        <x:v>Identités, migration et reprise</x:v>
      </x:c>
      <x:c r="F374" t="str">
        <x:v>P1</x:v>
      </x:c>
      <x:c r="G374" t="str">
        <x:v>En cours</x:v>
      </x:c>
      <x:c r="H374" t="str">
        <x:v>Production Codex</x:v>
      </x:c>
      <x:c r="I374" t="str">
        <x:v>Livrable explicite, tests positifs et négatifs ; aucune validation déduite de la seule présence de la fiche.</x:v>
      </x:c>
      <x:c r="J374" t="str">
        <x:v>https://github.com/darknigthmare/deadwall-last-enclosure/blob/e28f46223e73105ab2c5d83f3d50b99b58ef53e6/docs/codex/suivi-monde2026/INSPECTION_PHYSIQUE_2026.md</x:v>
      </x:c>
    </x:row>
    <x:row r="375">
      <x:c r="A375" t="str">
        <x:v>EXT-MONDE-T037/qa</x:v>
      </x:c>
      <x:c r="B375" t="str">
        <x:v>EXT-MONDE-T037</x:v>
      </x:c>
      <x:c r="C375" t="str">
        <x:v>Égouts</x:v>
      </x:c>
      <x:c r="D375" t="str">
        <x:v>Collecteur urbain</x:v>
      </x:c>
      <x:c r="E375" t="str">
        <x:v>Navigation et parcours jouables</x:v>
      </x:c>
      <x:c r="F375" t="str">
        <x:v>P1</x:v>
      </x:c>
      <x:c r="G375" t="str">
        <x:v>En cours</x:v>
      </x:c>
      <x:c r="H375" t="str">
        <x:v>Production Codex</x:v>
      </x:c>
      <x:c r="I375" t="str">
        <x:v>Livrable explicite, tests positifs et négatifs ; aucune validation déduite de la seule présence de la fiche.</x:v>
      </x:c>
      <x:c r="J375" t="str">
        <x:v>https://github.com/darknigthmare/deadwall-last-enclosure/blob/e28f46223e73105ab2c5d83f3d50b99b58ef53e6/docs/codex/suivi-monde2026/INSPECTION_PHYSIQUE_2026.md</x:v>
      </x:c>
    </x:row>
    <x:row r="376">
      <x:c r="A376" t="str">
        <x:v>EXT-MONDE-T038/dimensions</x:v>
      </x:c>
      <x:c r="B376" t="str">
        <x:v>EXT-MONDE-T038</x:v>
      </x:c>
      <x:c r="C376" t="str">
        <x:v>Égouts</x:v>
      </x:c>
      <x:c r="D376" t="str">
        <x:v>Réseau unitaire ancien</x:v>
      </x:c>
      <x:c r="E376" t="str">
        <x:v>Dimensions et plans de référence</x:v>
      </x:c>
      <x:c r="F376" t="str">
        <x:v>P0</x:v>
      </x:c>
      <x:c r="G376" t="str">
        <x:v>En cours</x:v>
      </x:c>
      <x:c r="H376" t="str">
        <x:v>Production Codex</x:v>
      </x:c>
      <x:c r="I376" t="str">
        <x:v>Sources publiques identifiées ; unités en mètres ; emprise au sol distincte de la hauteur.</x:v>
      </x:c>
      <x:c r="J376" t="str">
        <x:v>https://github.com/darknigthmare/deadwall-last-enclosure/blob/e28f46223e73105ab2c5d83f3d50b99b58ef53e6/docs/codex/suivi-monde2026/HLM_ASSAINISSEMENT_2026.md</x:v>
      </x:c>
    </x:row>
    <x:row r="377">
      <x:c r="A377" t="str">
        <x:v>EXT-MONDE-T038/architecture</x:v>
      </x:c>
      <x:c r="B377" t="str">
        <x:v>EXT-MONDE-T038</x:v>
      </x:c>
      <x:c r="C377" t="str">
        <x:v>Égouts</x:v>
      </x:c>
      <x:c r="D377" t="str">
        <x:v>Réseau unitaire ancien</x:v>
      </x:c>
      <x:c r="E377" t="str">
        <x:v>Pièces, étages, annexes</x:v>
      </x:c>
      <x:c r="F377" t="str">
        <x:v>P0</x:v>
      </x:c>
      <x:c r="G377" t="str">
        <x:v>En cours</x:v>
      </x:c>
      <x:c r="H377" t="str">
        <x:v>Production Codex</x:v>
      </x:c>
      <x:c r="I377" t="str">
        <x:v>Livrable explicite, tests positifs et négatifs ; aucune validation déduite de la seule présence de la fiche.</x:v>
      </x:c>
      <x:c r="J377" t="str">
        <x:v>https://github.com/darknigthmare/deadwall-last-enclosure/blob/e28f46223e73105ab2c5d83f3d50b99b58ef53e6/docs/codex/suivi-monde2026/INSPECTION_PHYSIQUE_2026.md</x:v>
      </x:c>
    </x:row>
    <x:row r="378">
      <x:c r="A378" t="str">
        <x:v>EXT-MONDE-T038/seed</x:v>
      </x:c>
      <x:c r="B378" t="str">
        <x:v>EXT-MONDE-T038</x:v>
      </x:c>
      <x:c r="C378" t="str">
        <x:v>Égouts</x:v>
      </x:c>
      <x:c r="D378" t="str">
        <x:v>Réseau unitaire ancien</x:v>
      </x:c>
      <x:c r="E378" t="str">
        <x:v>Implantation et réseaux</x:v>
      </x:c>
      <x:c r="F378" t="str">
        <x:v>P0</x:v>
      </x:c>
      <x:c r="G378" t="str">
        <x:v>À faire</x:v>
      </x:c>
      <x:c r="H378" t="str">
        <x:v>Non affecté</x:v>
      </x:c>
      <x:c r="I378" t="str">
        <x:v>Graphe dirigé vers exutoire ; jonctions explicites ; niveaux et accès de secours sans téléportation.</x:v>
      </x:c>
      <x:c r="J378" t="str"/>
    </x:row>
    <x:row r="379">
      <x:c r="A379" t="str">
        <x:v>EXT-MONDE-T038/props</x:v>
      </x:c>
      <x:c r="B379" t="str">
        <x:v>EXT-MONDE-T038</x:v>
      </x:c>
      <x:c r="C379" t="str">
        <x:v>Égouts</x:v>
      </x:c>
      <x:c r="D379" t="str">
        <x:v>Réseau unitaire ancien</x:v>
      </x:c>
      <x:c r="E379" t="str">
        <x:v>Objets, décors et dégagements</x:v>
      </x:c>
      <x:c r="F379" t="str">
        <x:v>P1</x:v>
      </x:c>
      <x:c r="G379" t="str">
        <x:v>En cours</x:v>
      </x:c>
      <x:c r="H379" t="str">
        <x:v>Production Codex</x:v>
      </x:c>
      <x:c r="I379" t="str">
        <x:v>Livrable explicite, tests positifs et négatifs ; aucune validation déduite de la seule présence de la fiche.</x:v>
      </x:c>
      <x:c r="J379" t="str">
        <x:v>https://github.com/darknigthmare/deadwall-last-enclosure/blob/e28f46223e73105ab2c5d83f3d50b99b58ef53e6/docs/codex/suivi-monde2026/INSPECTION_PHYSIQUE_2026.md</x:v>
      </x:c>
    </x:row>
    <x:row r="380">
      <x:c r="A380" t="str">
        <x:v>EXT-MONDE-T038/loot</x:v>
      </x:c>
      <x:c r="B380" t="str">
        <x:v>EXT-MONDE-T038</x:v>
      </x:c>
      <x:c r="C380" t="str">
        <x:v>Égouts</x:v>
      </x:c>
      <x:c r="D380" t="str">
        <x:v>Réseau unitaire ancien</x:v>
      </x:c>
      <x:c r="E380" t="str">
        <x:v>Budget de butin persistant</x:v>
      </x:c>
      <x:c r="F380" t="str">
        <x:v>P1</x:v>
      </x:c>
      <x:c r="G380" t="str">
        <x:v>À faire</x:v>
      </x:c>
      <x:c r="H380" t="str">
        <x:v>Non affecté</x:v>
      </x:c>
      <x:c r="I380" t="str">
        <x:v>Livrable explicite, tests positifs et négatifs ; aucune validation déduite de la seule présence de la fiche.</x:v>
      </x:c>
      <x:c r="J380" t="str"/>
    </x:row>
    <x:row r="381">
      <x:c r="A381" t="str">
        <x:v>EXT-MONDE-T038/rencontres</x:v>
      </x:c>
      <x:c r="B381" t="str">
        <x:v>EXT-MONDE-T038</x:v>
      </x:c>
      <x:c r="C381" t="str">
        <x:v>Égouts</x:v>
      </x:c>
      <x:c r="D381" t="str">
        <x:v>Réseau unitaire ancien</x:v>
      </x:c>
      <x:c r="E381" t="str">
        <x:v>Ennemis et faune contextualisés</x:v>
      </x:c>
      <x:c r="F381" t="str">
        <x:v>P1</x:v>
      </x:c>
      <x:c r="G381" t="str">
        <x:v>À faire</x:v>
      </x:c>
      <x:c r="H381" t="str">
        <x:v>Non affecté</x:v>
      </x:c>
      <x:c r="I381" t="str">
        <x:v>Livrable explicite, tests positifs et négatifs ; aucune validation déduite de la seule présence de la fiche.</x:v>
      </x:c>
      <x:c r="J381" t="str"/>
    </x:row>
    <x:row r="382">
      <x:c r="A382" t="str">
        <x:v>EXT-MONDE-T038/services</x:v>
      </x:c>
      <x:c r="B382" t="str">
        <x:v>EXT-MONDE-T038</x:v>
      </x:c>
      <x:c r="C382" t="str">
        <x:v>Égouts</x:v>
      </x:c>
      <x:c r="D382" t="str">
        <x:v>Réseau unitaire ancien</x:v>
      </x:c>
      <x:c r="E382" t="str">
        <x:v>Énergie, eau et interactions</x:v>
      </x:c>
      <x:c r="F382" t="str">
        <x:v>P1</x:v>
      </x:c>
      <x:c r="G382" t="str">
        <x:v>À faire</x:v>
      </x:c>
      <x:c r="H382" t="str">
        <x:v>Non affecté</x:v>
      </x:c>
      <x:c r="I382" t="str">
        <x:v>Livrable explicite, tests positifs et négatifs ; aucune validation déduite de la seule présence de la fiche.</x:v>
      </x:c>
      <x:c r="J382" t="str"/>
    </x:row>
    <x:row r="383">
      <x:c r="A383" t="str">
        <x:v>EXT-MONDE-T038/art</x:v>
      </x:c>
      <x:c r="B383" t="str">
        <x:v>EXT-MONDE-T038</x:v>
      </x:c>
      <x:c r="C383" t="str">
        <x:v>Égouts</x:v>
      </x:c>
      <x:c r="D383" t="str">
        <x:v>Réseau unitaire ancien</x:v>
      </x:c>
      <x:c r="E383" t="str">
        <x:v>Sprites, proportions et animations</x:v>
      </x:c>
      <x:c r="F383" t="str">
        <x:v>P1</x:v>
      </x:c>
      <x:c r="G383" t="str">
        <x:v>À faire</x:v>
      </x:c>
      <x:c r="H383" t="str">
        <x:v>Non affecté</x:v>
      </x:c>
      <x:c r="I383" t="str">
        <x:v>Livrable explicite, tests positifs et négatifs ; aucune validation déduite de la seule présence de la fiche.</x:v>
      </x:c>
      <x:c r="J383" t="str"/>
    </x:row>
    <x:row r="384">
      <x:c r="A384" t="str">
        <x:v>EXT-MONDE-T038/sauvegarde</x:v>
      </x:c>
      <x:c r="B384" t="str">
        <x:v>EXT-MONDE-T038</x:v>
      </x:c>
      <x:c r="C384" t="str">
        <x:v>Égouts</x:v>
      </x:c>
      <x:c r="D384" t="str">
        <x:v>Réseau unitaire ancien</x:v>
      </x:c>
      <x:c r="E384" t="str">
        <x:v>Identités, migration et reprise</x:v>
      </x:c>
      <x:c r="F384" t="str">
        <x:v>P1</x:v>
      </x:c>
      <x:c r="G384" t="str">
        <x:v>En cours</x:v>
      </x:c>
      <x:c r="H384" t="str">
        <x:v>Production Codex</x:v>
      </x:c>
      <x:c r="I384" t="str">
        <x:v>Livrable explicite, tests positifs et négatifs ; aucune validation déduite de la seule présence de la fiche.</x:v>
      </x:c>
      <x:c r="J384" t="str">
        <x:v>https://github.com/darknigthmare/deadwall-last-enclosure/blob/e28f46223e73105ab2c5d83f3d50b99b58ef53e6/docs/codex/suivi-monde2026/INSPECTION_PHYSIQUE_2026.md</x:v>
      </x:c>
    </x:row>
    <x:row r="385">
      <x:c r="A385" t="str">
        <x:v>EXT-MONDE-T038/qa</x:v>
      </x:c>
      <x:c r="B385" t="str">
        <x:v>EXT-MONDE-T038</x:v>
      </x:c>
      <x:c r="C385" t="str">
        <x:v>Égouts</x:v>
      </x:c>
      <x:c r="D385" t="str">
        <x:v>Réseau unitaire ancien</x:v>
      </x:c>
      <x:c r="E385" t="str">
        <x:v>Navigation et parcours jouables</x:v>
      </x:c>
      <x:c r="F385" t="str">
        <x:v>P1</x:v>
      </x:c>
      <x:c r="G385" t="str">
        <x:v>En cours</x:v>
      </x:c>
      <x:c r="H385" t="str">
        <x:v>Production Codex</x:v>
      </x:c>
      <x:c r="I385" t="str">
        <x:v>Livrable explicite, tests positifs et négatifs ; aucune validation déduite de la seule présence de la fiche.</x:v>
      </x:c>
      <x:c r="J385" t="str">
        <x:v>https://github.com/darknigthmare/deadwall-last-enclosure/blob/e28f46223e73105ab2c5d83f3d50b99b58ef53e6/docs/codex/suivi-monde2026/INSPECTION_PHYSIQUE_2026.md</x:v>
      </x:c>
    </x:row>
    <x:row r="386">
      <x:c r="A386" t="str">
        <x:v>EXT-MONDE-T039/dimensions</x:v>
      </x:c>
      <x:c r="B386" t="str">
        <x:v>EXT-MONDE-T039</x:v>
      </x:c>
      <x:c r="C386" t="str">
        <x:v>Égouts</x:v>
      </x:c>
      <x:c r="D386" t="str">
        <x:v>Galerie pluviale</x:v>
      </x:c>
      <x:c r="E386" t="str">
        <x:v>Dimensions et plans de référence</x:v>
      </x:c>
      <x:c r="F386" t="str">
        <x:v>P0</x:v>
      </x:c>
      <x:c r="G386" t="str">
        <x:v>En cours</x:v>
      </x:c>
      <x:c r="H386" t="str">
        <x:v>Production Codex</x:v>
      </x:c>
      <x:c r="I386" t="str">
        <x:v>Sources publiques identifiées ; unités en mètres ; emprise au sol distincte de la hauteur.</x:v>
      </x:c>
      <x:c r="J386" t="str">
        <x:v>https://github.com/darknigthmare/deadwall-last-enclosure/blob/e28f46223e73105ab2c5d83f3d50b99b58ef53e6/docs/codex/suivi-monde2026/HLM_ASSAINISSEMENT_2026.md</x:v>
      </x:c>
    </x:row>
    <x:row r="387">
      <x:c r="A387" t="str">
        <x:v>EXT-MONDE-T039/architecture</x:v>
      </x:c>
      <x:c r="B387" t="str">
        <x:v>EXT-MONDE-T039</x:v>
      </x:c>
      <x:c r="C387" t="str">
        <x:v>Égouts</x:v>
      </x:c>
      <x:c r="D387" t="str">
        <x:v>Galerie pluviale</x:v>
      </x:c>
      <x:c r="E387" t="str">
        <x:v>Pièces, étages, annexes</x:v>
      </x:c>
      <x:c r="F387" t="str">
        <x:v>P0</x:v>
      </x:c>
      <x:c r="G387" t="str">
        <x:v>En cours</x:v>
      </x:c>
      <x:c r="H387" t="str">
        <x:v>Production Codex</x:v>
      </x:c>
      <x:c r="I387" t="str">
        <x:v>Livrable explicite, tests positifs et négatifs ; aucune validation déduite de la seule présence de la fiche.</x:v>
      </x:c>
      <x:c r="J387" t="str">
        <x:v>https://github.com/darknigthmare/deadwall-last-enclosure/blob/e28f46223e73105ab2c5d83f3d50b99b58ef53e6/docs/codex/suivi-monde2026/INSPECTION_PHYSIQUE_2026.md</x:v>
      </x:c>
    </x:row>
    <x:row r="388">
      <x:c r="A388" t="str">
        <x:v>EXT-MONDE-T039/seed</x:v>
      </x:c>
      <x:c r="B388" t="str">
        <x:v>EXT-MONDE-T039</x:v>
      </x:c>
      <x:c r="C388" t="str">
        <x:v>Égouts</x:v>
      </x:c>
      <x:c r="D388" t="str">
        <x:v>Galerie pluviale</x:v>
      </x:c>
      <x:c r="E388" t="str">
        <x:v>Implantation et réseaux</x:v>
      </x:c>
      <x:c r="F388" t="str">
        <x:v>P0</x:v>
      </x:c>
      <x:c r="G388" t="str">
        <x:v>À faire</x:v>
      </x:c>
      <x:c r="H388" t="str">
        <x:v>Non affecté</x:v>
      </x:c>
      <x:c r="I388" t="str">
        <x:v>Graphe dirigé vers exutoire ; jonctions explicites ; niveaux et accès de secours sans téléportation.</x:v>
      </x:c>
      <x:c r="J388" t="str"/>
    </x:row>
    <x:row r="389">
      <x:c r="A389" t="str">
        <x:v>EXT-MONDE-T039/props</x:v>
      </x:c>
      <x:c r="B389" t="str">
        <x:v>EXT-MONDE-T039</x:v>
      </x:c>
      <x:c r="C389" t="str">
        <x:v>Égouts</x:v>
      </x:c>
      <x:c r="D389" t="str">
        <x:v>Galerie pluviale</x:v>
      </x:c>
      <x:c r="E389" t="str">
        <x:v>Objets, décors et dégagements</x:v>
      </x:c>
      <x:c r="F389" t="str">
        <x:v>P1</x:v>
      </x:c>
      <x:c r="G389" t="str">
        <x:v>En cours</x:v>
      </x:c>
      <x:c r="H389" t="str">
        <x:v>Production Codex</x:v>
      </x:c>
      <x:c r="I389" t="str">
        <x:v>Livrable explicite, tests positifs et négatifs ; aucune validation déduite de la seule présence de la fiche.</x:v>
      </x:c>
      <x:c r="J389" t="str">
        <x:v>https://github.com/darknigthmare/deadwall-last-enclosure/blob/e28f46223e73105ab2c5d83f3d50b99b58ef53e6/docs/codex/suivi-monde2026/INSPECTION_PHYSIQUE_2026.md</x:v>
      </x:c>
    </x:row>
    <x:row r="390">
      <x:c r="A390" t="str">
        <x:v>EXT-MONDE-T039/loot</x:v>
      </x:c>
      <x:c r="B390" t="str">
        <x:v>EXT-MONDE-T039</x:v>
      </x:c>
      <x:c r="C390" t="str">
        <x:v>Égouts</x:v>
      </x:c>
      <x:c r="D390" t="str">
        <x:v>Galerie pluviale</x:v>
      </x:c>
      <x:c r="E390" t="str">
        <x:v>Budget de butin persistant</x:v>
      </x:c>
      <x:c r="F390" t="str">
        <x:v>P1</x:v>
      </x:c>
      <x:c r="G390" t="str">
        <x:v>À faire</x:v>
      </x:c>
      <x:c r="H390" t="str">
        <x:v>Non affecté</x:v>
      </x:c>
      <x:c r="I390" t="str">
        <x:v>Livrable explicite, tests positifs et négatifs ; aucune validation déduite de la seule présence de la fiche.</x:v>
      </x:c>
      <x:c r="J390" t="str"/>
    </x:row>
    <x:row r="391">
      <x:c r="A391" t="str">
        <x:v>EXT-MONDE-T039/rencontres</x:v>
      </x:c>
      <x:c r="B391" t="str">
        <x:v>EXT-MONDE-T039</x:v>
      </x:c>
      <x:c r="C391" t="str">
        <x:v>Égouts</x:v>
      </x:c>
      <x:c r="D391" t="str">
        <x:v>Galerie pluviale</x:v>
      </x:c>
      <x:c r="E391" t="str">
        <x:v>Ennemis et faune contextualisés</x:v>
      </x:c>
      <x:c r="F391" t="str">
        <x:v>P1</x:v>
      </x:c>
      <x:c r="G391" t="str">
        <x:v>À faire</x:v>
      </x:c>
      <x:c r="H391" t="str">
        <x:v>Non affecté</x:v>
      </x:c>
      <x:c r="I391" t="str">
        <x:v>Livrable explicite, tests positifs et négatifs ; aucune validation déduite de la seule présence de la fiche.</x:v>
      </x:c>
      <x:c r="J391" t="str"/>
    </x:row>
    <x:row r="392">
      <x:c r="A392" t="str">
        <x:v>EXT-MONDE-T039/services</x:v>
      </x:c>
      <x:c r="B392" t="str">
        <x:v>EXT-MONDE-T039</x:v>
      </x:c>
      <x:c r="C392" t="str">
        <x:v>Égouts</x:v>
      </x:c>
      <x:c r="D392" t="str">
        <x:v>Galerie pluviale</x:v>
      </x:c>
      <x:c r="E392" t="str">
        <x:v>Énergie, eau et interactions</x:v>
      </x:c>
      <x:c r="F392" t="str">
        <x:v>P1</x:v>
      </x:c>
      <x:c r="G392" t="str">
        <x:v>À faire</x:v>
      </x:c>
      <x:c r="H392" t="str">
        <x:v>Non affecté</x:v>
      </x:c>
      <x:c r="I392" t="str">
        <x:v>Livrable explicite, tests positifs et négatifs ; aucune validation déduite de la seule présence de la fiche.</x:v>
      </x:c>
      <x:c r="J392" t="str"/>
    </x:row>
    <x:row r="393">
      <x:c r="A393" t="str">
        <x:v>EXT-MONDE-T039/art</x:v>
      </x:c>
      <x:c r="B393" t="str">
        <x:v>EXT-MONDE-T039</x:v>
      </x:c>
      <x:c r="C393" t="str">
        <x:v>Égouts</x:v>
      </x:c>
      <x:c r="D393" t="str">
        <x:v>Galerie pluviale</x:v>
      </x:c>
      <x:c r="E393" t="str">
        <x:v>Sprites, proportions et animations</x:v>
      </x:c>
      <x:c r="F393" t="str">
        <x:v>P1</x:v>
      </x:c>
      <x:c r="G393" t="str">
        <x:v>À faire</x:v>
      </x:c>
      <x:c r="H393" t="str">
        <x:v>Non affecté</x:v>
      </x:c>
      <x:c r="I393" t="str">
        <x:v>Livrable explicite, tests positifs et négatifs ; aucune validation déduite de la seule présence de la fiche.</x:v>
      </x:c>
      <x:c r="J393" t="str"/>
    </x:row>
    <x:row r="394">
      <x:c r="A394" t="str">
        <x:v>EXT-MONDE-T039/sauvegarde</x:v>
      </x:c>
      <x:c r="B394" t="str">
        <x:v>EXT-MONDE-T039</x:v>
      </x:c>
      <x:c r="C394" t="str">
        <x:v>Égouts</x:v>
      </x:c>
      <x:c r="D394" t="str">
        <x:v>Galerie pluviale</x:v>
      </x:c>
      <x:c r="E394" t="str">
        <x:v>Identités, migration et reprise</x:v>
      </x:c>
      <x:c r="F394" t="str">
        <x:v>P1</x:v>
      </x:c>
      <x:c r="G394" t="str">
        <x:v>En cours</x:v>
      </x:c>
      <x:c r="H394" t="str">
        <x:v>Production Codex</x:v>
      </x:c>
      <x:c r="I394" t="str">
        <x:v>Livrable explicite, tests positifs et négatifs ; aucune validation déduite de la seule présence de la fiche.</x:v>
      </x:c>
      <x:c r="J394" t="str">
        <x:v>https://github.com/darknigthmare/deadwall-last-enclosure/blob/e28f46223e73105ab2c5d83f3d50b99b58ef53e6/docs/codex/suivi-monde2026/INSPECTION_PHYSIQUE_2026.md</x:v>
      </x:c>
    </x:row>
    <x:row r="395">
      <x:c r="A395" t="str">
        <x:v>EXT-MONDE-T039/qa</x:v>
      </x:c>
      <x:c r="B395" t="str">
        <x:v>EXT-MONDE-T039</x:v>
      </x:c>
      <x:c r="C395" t="str">
        <x:v>Égouts</x:v>
      </x:c>
      <x:c r="D395" t="str">
        <x:v>Galerie pluviale</x:v>
      </x:c>
      <x:c r="E395" t="str">
        <x:v>Navigation et parcours jouables</x:v>
      </x:c>
      <x:c r="F395" t="str">
        <x:v>P1</x:v>
      </x:c>
      <x:c r="G395" t="str">
        <x:v>En cours</x:v>
      </x:c>
      <x:c r="H395" t="str">
        <x:v>Production Codex</x:v>
      </x:c>
      <x:c r="I395" t="str">
        <x:v>Livrable explicite, tests positifs et négatifs ; aucune validation déduite de la seule présence de la fiche.</x:v>
      </x:c>
      <x:c r="J395" t="str">
        <x:v>https://github.com/darknigthmare/deadwall-last-enclosure/blob/e28f46223e73105ab2c5d83f3d50b99b58ef53e6/docs/codex/suivi-monde2026/INSPECTION_PHYSIQUE_2026.md</x:v>
      </x:c>
    </x:row>
    <x:row r="396">
      <x:c r="A396" t="str">
        <x:v>EXT-MONDE-T040/dimensions</x:v>
      </x:c>
      <x:c r="B396" t="str">
        <x:v>EXT-MONDE-T040</x:v>
      </x:c>
      <x:c r="C396" t="str">
        <x:v>Égouts</x:v>
      </x:c>
      <x:c r="D396" t="str">
        <x:v>Station souterraine de relevage</x:v>
      </x:c>
      <x:c r="E396" t="str">
        <x:v>Dimensions et plans de référence</x:v>
      </x:c>
      <x:c r="F396" t="str">
        <x:v>P0</x:v>
      </x:c>
      <x:c r="G396" t="str">
        <x:v>En cours</x:v>
      </x:c>
      <x:c r="H396" t="str">
        <x:v>Production Codex</x:v>
      </x:c>
      <x:c r="I396" t="str">
        <x:v>Sources publiques identifiées ; unités en mètres ; emprise au sol distincte de la hauteur.</x:v>
      </x:c>
      <x:c r="J396" t="str">
        <x:v>https://github.com/darknigthmare/deadwall-last-enclosure/blob/e28f46223e73105ab2c5d83f3d50b99b58ef53e6/docs/codex/suivi-monde2026/HLM_ASSAINISSEMENT_2026.md</x:v>
      </x:c>
    </x:row>
    <x:row r="397">
      <x:c r="A397" t="str">
        <x:v>EXT-MONDE-T040/architecture</x:v>
      </x:c>
      <x:c r="B397" t="str">
        <x:v>EXT-MONDE-T040</x:v>
      </x:c>
      <x:c r="C397" t="str">
        <x:v>Égouts</x:v>
      </x:c>
      <x:c r="D397" t="str">
        <x:v>Station souterraine de relevage</x:v>
      </x:c>
      <x:c r="E397" t="str">
        <x:v>Pièces, étages, annexes</x:v>
      </x:c>
      <x:c r="F397" t="str">
        <x:v>P0</x:v>
      </x:c>
      <x:c r="G397" t="str">
        <x:v>En cours</x:v>
      </x:c>
      <x:c r="H397" t="str">
        <x:v>Production Codex</x:v>
      </x:c>
      <x:c r="I397" t="str">
        <x:v>Livrable explicite, tests positifs et négatifs ; aucune validation déduite de la seule présence de la fiche.</x:v>
      </x:c>
      <x:c r="J397" t="str">
        <x:v>https://github.com/darknigthmare/deadwall-last-enclosure/blob/e28f46223e73105ab2c5d83f3d50b99b58ef53e6/docs/codex/suivi-monde2026/INSPECTION_PHYSIQUE_2026.md</x:v>
      </x:c>
    </x:row>
    <x:row r="398">
      <x:c r="A398" t="str">
        <x:v>EXT-MONDE-T040/seed</x:v>
      </x:c>
      <x:c r="B398" t="str">
        <x:v>EXT-MONDE-T040</x:v>
      </x:c>
      <x:c r="C398" t="str">
        <x:v>Égouts</x:v>
      </x:c>
      <x:c r="D398" t="str">
        <x:v>Station souterraine de relevage</x:v>
      </x:c>
      <x:c r="E398" t="str">
        <x:v>Implantation et réseaux</x:v>
      </x:c>
      <x:c r="F398" t="str">
        <x:v>P0</x:v>
      </x:c>
      <x:c r="G398" t="str">
        <x:v>À faire</x:v>
      </x:c>
      <x:c r="H398" t="str">
        <x:v>Non affecté</x:v>
      </x:c>
      <x:c r="I398" t="str">
        <x:v>Graphe dirigé vers exutoire ; jonctions explicites ; niveaux et accès de secours sans téléportation.</x:v>
      </x:c>
      <x:c r="J398" t="str"/>
    </x:row>
    <x:row r="399">
      <x:c r="A399" t="str">
        <x:v>EXT-MONDE-T040/props</x:v>
      </x:c>
      <x:c r="B399" t="str">
        <x:v>EXT-MONDE-T040</x:v>
      </x:c>
      <x:c r="C399" t="str">
        <x:v>Égouts</x:v>
      </x:c>
      <x:c r="D399" t="str">
        <x:v>Station souterraine de relevage</x:v>
      </x:c>
      <x:c r="E399" t="str">
        <x:v>Objets, décors et dégagements</x:v>
      </x:c>
      <x:c r="F399" t="str">
        <x:v>P1</x:v>
      </x:c>
      <x:c r="G399" t="str">
        <x:v>En cours</x:v>
      </x:c>
      <x:c r="H399" t="str">
        <x:v>Production Codex</x:v>
      </x:c>
      <x:c r="I399" t="str">
        <x:v>Livrable explicite, tests positifs et négatifs ; aucune validation déduite de la seule présence de la fiche.</x:v>
      </x:c>
      <x:c r="J399" t="str">
        <x:v>https://github.com/darknigthmare/deadwall-last-enclosure/blob/e28f46223e73105ab2c5d83f3d50b99b58ef53e6/docs/codex/suivi-monde2026/INSPECTION_PHYSIQUE_2026.md</x:v>
      </x:c>
    </x:row>
    <x:row r="400">
      <x:c r="A400" t="str">
        <x:v>EXT-MONDE-T040/loot</x:v>
      </x:c>
      <x:c r="B400" t="str">
        <x:v>EXT-MONDE-T040</x:v>
      </x:c>
      <x:c r="C400" t="str">
        <x:v>Égouts</x:v>
      </x:c>
      <x:c r="D400" t="str">
        <x:v>Station souterraine de relevage</x:v>
      </x:c>
      <x:c r="E400" t="str">
        <x:v>Budget de butin persistant</x:v>
      </x:c>
      <x:c r="F400" t="str">
        <x:v>P1</x:v>
      </x:c>
      <x:c r="G400" t="str">
        <x:v>À faire</x:v>
      </x:c>
      <x:c r="H400" t="str">
        <x:v>Non affecté</x:v>
      </x:c>
      <x:c r="I400" t="str">
        <x:v>Livrable explicite, tests positifs et négatifs ; aucune validation déduite de la seule présence de la fiche.</x:v>
      </x:c>
      <x:c r="J400" t="str"/>
    </x:row>
    <x:row r="401">
      <x:c r="A401" t="str">
        <x:v>EXT-MONDE-T040/rencontres</x:v>
      </x:c>
      <x:c r="B401" t="str">
        <x:v>EXT-MONDE-T040</x:v>
      </x:c>
      <x:c r="C401" t="str">
        <x:v>Égouts</x:v>
      </x:c>
      <x:c r="D401" t="str">
        <x:v>Station souterraine de relevage</x:v>
      </x:c>
      <x:c r="E401" t="str">
        <x:v>Ennemis et faune contextualisés</x:v>
      </x:c>
      <x:c r="F401" t="str">
        <x:v>P1</x:v>
      </x:c>
      <x:c r="G401" t="str">
        <x:v>À faire</x:v>
      </x:c>
      <x:c r="H401" t="str">
        <x:v>Non affecté</x:v>
      </x:c>
      <x:c r="I401" t="str">
        <x:v>Livrable explicite, tests positifs et négatifs ; aucune validation déduite de la seule présence de la fiche.</x:v>
      </x:c>
      <x:c r="J401" t="str"/>
    </x:row>
    <x:row r="402">
      <x:c r="A402" t="str">
        <x:v>EXT-MONDE-T040/services</x:v>
      </x:c>
      <x:c r="B402" t="str">
        <x:v>EXT-MONDE-T040</x:v>
      </x:c>
      <x:c r="C402" t="str">
        <x:v>Égouts</x:v>
      </x:c>
      <x:c r="D402" t="str">
        <x:v>Station souterraine de relevage</x:v>
      </x:c>
      <x:c r="E402" t="str">
        <x:v>Énergie, eau et interactions</x:v>
      </x:c>
      <x:c r="F402" t="str">
        <x:v>P1</x:v>
      </x:c>
      <x:c r="G402" t="str">
        <x:v>À faire</x:v>
      </x:c>
      <x:c r="H402" t="str">
        <x:v>Non affecté</x:v>
      </x:c>
      <x:c r="I402" t="str">
        <x:v>Livrable explicite, tests positifs et négatifs ; aucune validation déduite de la seule présence de la fiche.</x:v>
      </x:c>
      <x:c r="J402" t="str"/>
    </x:row>
    <x:row r="403">
      <x:c r="A403" t="str">
        <x:v>EXT-MONDE-T040/art</x:v>
      </x:c>
      <x:c r="B403" t="str">
        <x:v>EXT-MONDE-T040</x:v>
      </x:c>
      <x:c r="C403" t="str">
        <x:v>Égouts</x:v>
      </x:c>
      <x:c r="D403" t="str">
        <x:v>Station souterraine de relevage</x:v>
      </x:c>
      <x:c r="E403" t="str">
        <x:v>Sprites, proportions et animations</x:v>
      </x:c>
      <x:c r="F403" t="str">
        <x:v>P1</x:v>
      </x:c>
      <x:c r="G403" t="str">
        <x:v>À faire</x:v>
      </x:c>
      <x:c r="H403" t="str">
        <x:v>Non affecté</x:v>
      </x:c>
      <x:c r="I403" t="str">
        <x:v>Livrable explicite, tests positifs et négatifs ; aucune validation déduite de la seule présence de la fiche.</x:v>
      </x:c>
      <x:c r="J403" t="str"/>
    </x:row>
    <x:row r="404">
      <x:c r="A404" t="str">
        <x:v>EXT-MONDE-T040/sauvegarde</x:v>
      </x:c>
      <x:c r="B404" t="str">
        <x:v>EXT-MONDE-T040</x:v>
      </x:c>
      <x:c r="C404" t="str">
        <x:v>Égouts</x:v>
      </x:c>
      <x:c r="D404" t="str">
        <x:v>Station souterraine de relevage</x:v>
      </x:c>
      <x:c r="E404" t="str">
        <x:v>Identités, migration et reprise</x:v>
      </x:c>
      <x:c r="F404" t="str">
        <x:v>P1</x:v>
      </x:c>
      <x:c r="G404" t="str">
        <x:v>En cours</x:v>
      </x:c>
      <x:c r="H404" t="str">
        <x:v>Production Codex</x:v>
      </x:c>
      <x:c r="I404" t="str">
        <x:v>Livrable explicite, tests positifs et négatifs ; aucune validation déduite de la seule présence de la fiche.</x:v>
      </x:c>
      <x:c r="J404" t="str">
        <x:v>https://github.com/darknigthmare/deadwall-last-enclosure/blob/e28f46223e73105ab2c5d83f3d50b99b58ef53e6/docs/codex/suivi-monde2026/INSPECTION_PHYSIQUE_2026.md</x:v>
      </x:c>
    </x:row>
    <x:row r="405">
      <x:c r="A405" t="str">
        <x:v>EXT-MONDE-T040/qa</x:v>
      </x:c>
      <x:c r="B405" t="str">
        <x:v>EXT-MONDE-T040</x:v>
      </x:c>
      <x:c r="C405" t="str">
        <x:v>Égouts</x:v>
      </x:c>
      <x:c r="D405" t="str">
        <x:v>Station souterraine de relevage</x:v>
      </x:c>
      <x:c r="E405" t="str">
        <x:v>Navigation et parcours jouables</x:v>
      </x:c>
      <x:c r="F405" t="str">
        <x:v>P1</x:v>
      </x:c>
      <x:c r="G405" t="str">
        <x:v>En cours</x:v>
      </x:c>
      <x:c r="H405" t="str">
        <x:v>Production Codex</x:v>
      </x:c>
      <x:c r="I405" t="str">
        <x:v>Livrable explicite, tests positifs et négatifs ; aucune validation déduite de la seule présence de la fiche.</x:v>
      </x:c>
      <x:c r="J405" t="str">
        <x:v>https://github.com/darknigthmare/deadwall-last-enclosure/blob/e28f46223e73105ab2c5d83f3d50b99b58ef53e6/docs/codex/suivi-monde2026/INSPECTION_PHYSIQUE_2026.md</x:v>
      </x:c>
    </x:row>
    <x:row r="406">
      <x:c r="A406" t="str">
        <x:v>EXT-MONDE-T041/dimensions</x:v>
      </x:c>
      <x:c r="B406" t="str">
        <x:v>EXT-MONDE-T041</x:v>
      </x:c>
      <x:c r="C406" t="str">
        <x:v>HLM visitables</x:v>
      </x:c>
      <x:c r="D406" t="str">
        <x:v>Barre HLM</x:v>
      </x:c>
      <x:c r="E406" t="str">
        <x:v>Dimensions et plans de référence</x:v>
      </x:c>
      <x:c r="F406" t="str">
        <x:v>P0</x:v>
      </x:c>
      <x:c r="G406" t="str">
        <x:v>En cours</x:v>
      </x:c>
      <x:c r="H406" t="str">
        <x:v>Production Codex</x:v>
      </x:c>
      <x:c r="I406" t="str">
        <x:v>Sources publiques identifiées ; unités en mètres ; emprise au sol distincte de la hauteur.</x:v>
      </x:c>
      <x:c r="J406" t="str">
        <x:v>https://github.com/darknigthmare/deadwall-last-enclosure/blob/e28f46223e73105ab2c5d83f3d50b99b58ef53e6/docs/codex/suivi-monde2026/HLM_ASSAINISSEMENT_2026.md</x:v>
      </x:c>
    </x:row>
    <x:row r="407">
      <x:c r="A407" t="str">
        <x:v>EXT-MONDE-T041/architecture</x:v>
      </x:c>
      <x:c r="B407" t="str">
        <x:v>EXT-MONDE-T041</x:v>
      </x:c>
      <x:c r="C407" t="str">
        <x:v>HLM visitables</x:v>
      </x:c>
      <x:c r="D407" t="str">
        <x:v>Barre HLM</x:v>
      </x:c>
      <x:c r="E407" t="str">
        <x:v>Pièces, étages, annexes</x:v>
      </x:c>
      <x:c r="F407" t="str">
        <x:v>P0</x:v>
      </x:c>
      <x:c r="G407" t="str">
        <x:v>En cours</x:v>
      </x:c>
      <x:c r="H407" t="str">
        <x:v>Production Codex</x:v>
      </x:c>
      <x:c r="I407" t="str">
        <x:v>Livrable explicite, tests positifs et négatifs ; aucune validation déduite de la seule présence de la fiche.</x:v>
      </x:c>
      <x:c r="J407" t="str">
        <x:v>https://github.com/darknigthmare/deadwall-last-enclosure/blob/e28f46223e73105ab2c5d83f3d50b99b58ef53e6/docs/codex/suivi-monde2026/INSPECTION_PHYSIQUE_2026.md</x:v>
      </x:c>
    </x:row>
    <x:row r="408">
      <x:c r="A408" t="str">
        <x:v>EXT-MONDE-T041/seed</x:v>
      </x:c>
      <x:c r="B408" t="str">
        <x:v>EXT-MONDE-T041</x:v>
      </x:c>
      <x:c r="C408" t="str">
        <x:v>HLM visitables</x:v>
      </x:c>
      <x:c r="D408" t="str">
        <x:v>Barre HLM</x:v>
      </x:c>
      <x:c r="E408" t="str">
        <x:v>Implantation et réseaux</x:v>
      </x:c>
      <x:c r="F408" t="str">
        <x:v>P0</x:v>
      </x:c>
      <x:c r="G408" t="str">
        <x:v>À faire</x:v>
      </x:c>
      <x:c r="H408" t="str">
        <x:v>Non affecté</x:v>
      </x:c>
      <x:c r="I408" t="str">
        <x:v>Logements répétés réellement ; portes vers circulation ; cages continues ; locaux techniques dédiés.</x:v>
      </x:c>
      <x:c r="J408" t="str"/>
    </x:row>
    <x:row r="409">
      <x:c r="A409" t="str">
        <x:v>EXT-MONDE-T041/props</x:v>
      </x:c>
      <x:c r="B409" t="str">
        <x:v>EXT-MONDE-T041</x:v>
      </x:c>
      <x:c r="C409" t="str">
        <x:v>HLM visitables</x:v>
      </x:c>
      <x:c r="D409" t="str">
        <x:v>Barre HLM</x:v>
      </x:c>
      <x:c r="E409" t="str">
        <x:v>Objets, décors et dégagements</x:v>
      </x:c>
      <x:c r="F409" t="str">
        <x:v>P1</x:v>
      </x:c>
      <x:c r="G409" t="str">
        <x:v>En cours</x:v>
      </x:c>
      <x:c r="H409" t="str">
        <x:v>Production Codex</x:v>
      </x:c>
      <x:c r="I409" t="str">
        <x:v>Livrable explicite, tests positifs et négatifs ; aucune validation déduite de la seule présence de la fiche.</x:v>
      </x:c>
      <x:c r="J409" t="str">
        <x:v>https://github.com/darknigthmare/deadwall-last-enclosure/blob/e28f46223e73105ab2c5d83f3d50b99b58ef53e6/docs/codex/suivi-monde2026/INSPECTION_PHYSIQUE_2026.md</x:v>
      </x:c>
    </x:row>
    <x:row r="410">
      <x:c r="A410" t="str">
        <x:v>EXT-MONDE-T041/loot</x:v>
      </x:c>
      <x:c r="B410" t="str">
        <x:v>EXT-MONDE-T041</x:v>
      </x:c>
      <x:c r="C410" t="str">
        <x:v>HLM visitables</x:v>
      </x:c>
      <x:c r="D410" t="str">
        <x:v>Barre HLM</x:v>
      </x:c>
      <x:c r="E410" t="str">
        <x:v>Budget de butin persistant</x:v>
      </x:c>
      <x:c r="F410" t="str">
        <x:v>P1</x:v>
      </x:c>
      <x:c r="G410" t="str">
        <x:v>À faire</x:v>
      </x:c>
      <x:c r="H410" t="str">
        <x:v>Non affecté</x:v>
      </x:c>
      <x:c r="I410" t="str">
        <x:v>Livrable explicite, tests positifs et négatifs ; aucune validation déduite de la seule présence de la fiche.</x:v>
      </x:c>
      <x:c r="J410" t="str"/>
    </x:row>
    <x:row r="411">
      <x:c r="A411" t="str">
        <x:v>EXT-MONDE-T041/rencontres</x:v>
      </x:c>
      <x:c r="B411" t="str">
        <x:v>EXT-MONDE-T041</x:v>
      </x:c>
      <x:c r="C411" t="str">
        <x:v>HLM visitables</x:v>
      </x:c>
      <x:c r="D411" t="str">
        <x:v>Barre HLM</x:v>
      </x:c>
      <x:c r="E411" t="str">
        <x:v>Ennemis et faune contextualisés</x:v>
      </x:c>
      <x:c r="F411" t="str">
        <x:v>P1</x:v>
      </x:c>
      <x:c r="G411" t="str">
        <x:v>À faire</x:v>
      </x:c>
      <x:c r="H411" t="str">
        <x:v>Non affecté</x:v>
      </x:c>
      <x:c r="I411" t="str">
        <x:v>Livrable explicite, tests positifs et négatifs ; aucune validation déduite de la seule présence de la fiche.</x:v>
      </x:c>
      <x:c r="J411" t="str"/>
    </x:row>
    <x:row r="412">
      <x:c r="A412" t="str">
        <x:v>EXT-MONDE-T041/services</x:v>
      </x:c>
      <x:c r="B412" t="str">
        <x:v>EXT-MONDE-T041</x:v>
      </x:c>
      <x:c r="C412" t="str">
        <x:v>HLM visitables</x:v>
      </x:c>
      <x:c r="D412" t="str">
        <x:v>Barre HLM</x:v>
      </x:c>
      <x:c r="E412" t="str">
        <x:v>Énergie, eau et interactions</x:v>
      </x:c>
      <x:c r="F412" t="str">
        <x:v>P1</x:v>
      </x:c>
      <x:c r="G412" t="str">
        <x:v>À faire</x:v>
      </x:c>
      <x:c r="H412" t="str">
        <x:v>Non affecté</x:v>
      </x:c>
      <x:c r="I412" t="str">
        <x:v>Livrable explicite, tests positifs et négatifs ; aucune validation déduite de la seule présence de la fiche.</x:v>
      </x:c>
      <x:c r="J412" t="str"/>
    </x:row>
    <x:row r="413">
      <x:c r="A413" t="str">
        <x:v>EXT-MONDE-T041/art</x:v>
      </x:c>
      <x:c r="B413" t="str">
        <x:v>EXT-MONDE-T041</x:v>
      </x:c>
      <x:c r="C413" t="str">
        <x:v>HLM visitables</x:v>
      </x:c>
      <x:c r="D413" t="str">
        <x:v>Barre HLM</x:v>
      </x:c>
      <x:c r="E413" t="str">
        <x:v>Sprites, proportions et animations</x:v>
      </x:c>
      <x:c r="F413" t="str">
        <x:v>P1</x:v>
      </x:c>
      <x:c r="G413" t="str">
        <x:v>À faire</x:v>
      </x:c>
      <x:c r="H413" t="str">
        <x:v>Non affecté</x:v>
      </x:c>
      <x:c r="I413" t="str">
        <x:v>Livrable explicite, tests positifs et négatifs ; aucune validation déduite de la seule présence de la fiche.</x:v>
      </x:c>
      <x:c r="J413" t="str"/>
    </x:row>
    <x:row r="414">
      <x:c r="A414" t="str">
        <x:v>EXT-MONDE-T041/sauvegarde</x:v>
      </x:c>
      <x:c r="B414" t="str">
        <x:v>EXT-MONDE-T041</x:v>
      </x:c>
      <x:c r="C414" t="str">
        <x:v>HLM visitables</x:v>
      </x:c>
      <x:c r="D414" t="str">
        <x:v>Barre HLM</x:v>
      </x:c>
      <x:c r="E414" t="str">
        <x:v>Identités, migration et reprise</x:v>
      </x:c>
      <x:c r="F414" t="str">
        <x:v>P1</x:v>
      </x:c>
      <x:c r="G414" t="str">
        <x:v>En cours</x:v>
      </x:c>
      <x:c r="H414" t="str">
        <x:v>Production Codex</x:v>
      </x:c>
      <x:c r="I414" t="str">
        <x:v>Livrable explicite, tests positifs et négatifs ; aucune validation déduite de la seule présence de la fiche.</x:v>
      </x:c>
      <x:c r="J414" t="str">
        <x:v>https://github.com/darknigthmare/deadwall-last-enclosure/blob/e28f46223e73105ab2c5d83f3d50b99b58ef53e6/docs/codex/suivi-monde2026/INSPECTION_PHYSIQUE_2026.md</x:v>
      </x:c>
    </x:row>
    <x:row r="415">
      <x:c r="A415" t="str">
        <x:v>EXT-MONDE-T041/qa</x:v>
      </x:c>
      <x:c r="B415" t="str">
        <x:v>EXT-MONDE-T041</x:v>
      </x:c>
      <x:c r="C415" t="str">
        <x:v>HLM visitables</x:v>
      </x:c>
      <x:c r="D415" t="str">
        <x:v>Barre HLM</x:v>
      </x:c>
      <x:c r="E415" t="str">
        <x:v>Navigation et parcours jouables</x:v>
      </x:c>
      <x:c r="F415" t="str">
        <x:v>P1</x:v>
      </x:c>
      <x:c r="G415" t="str">
        <x:v>En cours</x:v>
      </x:c>
      <x:c r="H415" t="str">
        <x:v>Production Codex</x:v>
      </x:c>
      <x:c r="I415" t="str">
        <x:v>Livrable explicite, tests positifs et négatifs ; aucune validation déduite de la seule présence de la fiche.</x:v>
      </x:c>
      <x:c r="J415" t="str">
        <x:v>https://github.com/darknigthmare/deadwall-last-enclosure/blob/e28f46223e73105ab2c5d83f3d50b99b58ef53e6/docs/codex/suivi-monde2026/INSPECTION_PHYSIQUE_2026.md</x:v>
      </x:c>
    </x:row>
    <x:row r="416">
      <x:c r="A416" t="str">
        <x:v>EXT-MONDE-T042/dimensions</x:v>
      </x:c>
      <x:c r="B416" t="str">
        <x:v>EXT-MONDE-T042</x:v>
      </x:c>
      <x:c r="C416" t="str">
        <x:v>HLM visitables</x:v>
      </x:c>
      <x:c r="D416" t="str">
        <x:v>Tour HLM</x:v>
      </x:c>
      <x:c r="E416" t="str">
        <x:v>Dimensions et plans de référence</x:v>
      </x:c>
      <x:c r="F416" t="str">
        <x:v>P0</x:v>
      </x:c>
      <x:c r="G416" t="str">
        <x:v>En cours</x:v>
      </x:c>
      <x:c r="H416" t="str">
        <x:v>Production Codex</x:v>
      </x:c>
      <x:c r="I416" t="str">
        <x:v>Sources publiques identifiées ; unités en mètres ; emprise au sol distincte de la hauteur.</x:v>
      </x:c>
      <x:c r="J416" t="str">
        <x:v>https://github.com/darknigthmare/deadwall-last-enclosure/blob/e28f46223e73105ab2c5d83f3d50b99b58ef53e6/docs/codex/suivi-monde2026/HLM_ASSAINISSEMENT_2026.md</x:v>
      </x:c>
    </x:row>
    <x:row r="417">
      <x:c r="A417" t="str">
        <x:v>EXT-MONDE-T042/architecture</x:v>
      </x:c>
      <x:c r="B417" t="str">
        <x:v>EXT-MONDE-T042</x:v>
      </x:c>
      <x:c r="C417" t="str">
        <x:v>HLM visitables</x:v>
      </x:c>
      <x:c r="D417" t="str">
        <x:v>Tour HLM</x:v>
      </x:c>
      <x:c r="E417" t="str">
        <x:v>Pièces, étages, annexes</x:v>
      </x:c>
      <x:c r="F417" t="str">
        <x:v>P0</x:v>
      </x:c>
      <x:c r="G417" t="str">
        <x:v>En cours</x:v>
      </x:c>
      <x:c r="H417" t="str">
        <x:v>Production Codex</x:v>
      </x:c>
      <x:c r="I417" t="str">
        <x:v>Livrable explicite, tests positifs et négatifs ; aucune validation déduite de la seule présence de la fiche.</x:v>
      </x:c>
      <x:c r="J417" t="str">
        <x:v>https://github.com/darknigthmare/deadwall-last-enclosure/blob/e28f46223e73105ab2c5d83f3d50b99b58ef53e6/docs/codex/suivi-monde2026/INSPECTION_PHYSIQUE_2026.md</x:v>
      </x:c>
    </x:row>
    <x:row r="418">
      <x:c r="A418" t="str">
        <x:v>EXT-MONDE-T042/seed</x:v>
      </x:c>
      <x:c r="B418" t="str">
        <x:v>EXT-MONDE-T042</x:v>
      </x:c>
      <x:c r="C418" t="str">
        <x:v>HLM visitables</x:v>
      </x:c>
      <x:c r="D418" t="str">
        <x:v>Tour HLM</x:v>
      </x:c>
      <x:c r="E418" t="str">
        <x:v>Implantation et réseaux</x:v>
      </x:c>
      <x:c r="F418" t="str">
        <x:v>P0</x:v>
      </x:c>
      <x:c r="G418" t="str">
        <x:v>À faire</x:v>
      </x:c>
      <x:c r="H418" t="str">
        <x:v>Non affecté</x:v>
      </x:c>
      <x:c r="I418" t="str">
        <x:v>Logements répétés réellement ; portes vers circulation ; cages continues ; locaux techniques dédiés.</x:v>
      </x:c>
      <x:c r="J418" t="str"/>
    </x:row>
    <x:row r="419">
      <x:c r="A419" t="str">
        <x:v>EXT-MONDE-T042/props</x:v>
      </x:c>
      <x:c r="B419" t="str">
        <x:v>EXT-MONDE-T042</x:v>
      </x:c>
      <x:c r="C419" t="str">
        <x:v>HLM visitables</x:v>
      </x:c>
      <x:c r="D419" t="str">
        <x:v>Tour HLM</x:v>
      </x:c>
      <x:c r="E419" t="str">
        <x:v>Objets, décors et dégagements</x:v>
      </x:c>
      <x:c r="F419" t="str">
        <x:v>P1</x:v>
      </x:c>
      <x:c r="G419" t="str">
        <x:v>En cours</x:v>
      </x:c>
      <x:c r="H419" t="str">
        <x:v>Production Codex</x:v>
      </x:c>
      <x:c r="I419" t="str">
        <x:v>Livrable explicite, tests positifs et négatifs ; aucune validation déduite de la seule présence de la fiche.</x:v>
      </x:c>
      <x:c r="J419" t="str">
        <x:v>https://github.com/darknigthmare/deadwall-last-enclosure/blob/e28f46223e73105ab2c5d83f3d50b99b58ef53e6/docs/codex/suivi-monde2026/INSPECTION_PHYSIQUE_2026.md</x:v>
      </x:c>
    </x:row>
    <x:row r="420">
      <x:c r="A420" t="str">
        <x:v>EXT-MONDE-T042/loot</x:v>
      </x:c>
      <x:c r="B420" t="str">
        <x:v>EXT-MONDE-T042</x:v>
      </x:c>
      <x:c r="C420" t="str">
        <x:v>HLM visitables</x:v>
      </x:c>
      <x:c r="D420" t="str">
        <x:v>Tour HLM</x:v>
      </x:c>
      <x:c r="E420" t="str">
        <x:v>Budget de butin persistant</x:v>
      </x:c>
      <x:c r="F420" t="str">
        <x:v>P1</x:v>
      </x:c>
      <x:c r="G420" t="str">
        <x:v>À faire</x:v>
      </x:c>
      <x:c r="H420" t="str">
        <x:v>Non affecté</x:v>
      </x:c>
      <x:c r="I420" t="str">
        <x:v>Livrable explicite, tests positifs et négatifs ; aucune validation déduite de la seule présence de la fiche.</x:v>
      </x:c>
      <x:c r="J420" t="str"/>
    </x:row>
    <x:row r="421">
      <x:c r="A421" t="str">
        <x:v>EXT-MONDE-T042/rencontres</x:v>
      </x:c>
      <x:c r="B421" t="str">
        <x:v>EXT-MONDE-T042</x:v>
      </x:c>
      <x:c r="C421" t="str">
        <x:v>HLM visitables</x:v>
      </x:c>
      <x:c r="D421" t="str">
        <x:v>Tour HLM</x:v>
      </x:c>
      <x:c r="E421" t="str">
        <x:v>Ennemis et faune contextualisés</x:v>
      </x:c>
      <x:c r="F421" t="str">
        <x:v>P1</x:v>
      </x:c>
      <x:c r="G421" t="str">
        <x:v>À faire</x:v>
      </x:c>
      <x:c r="H421" t="str">
        <x:v>Non affecté</x:v>
      </x:c>
      <x:c r="I421" t="str">
        <x:v>Livrable explicite, tests positifs et négatifs ; aucune validation déduite de la seule présence de la fiche.</x:v>
      </x:c>
      <x:c r="J421" t="str"/>
    </x:row>
    <x:row r="422">
      <x:c r="A422" t="str">
        <x:v>EXT-MONDE-T042/services</x:v>
      </x:c>
      <x:c r="B422" t="str">
        <x:v>EXT-MONDE-T042</x:v>
      </x:c>
      <x:c r="C422" t="str">
        <x:v>HLM visitables</x:v>
      </x:c>
      <x:c r="D422" t="str">
        <x:v>Tour HLM</x:v>
      </x:c>
      <x:c r="E422" t="str">
        <x:v>Énergie, eau et interactions</x:v>
      </x:c>
      <x:c r="F422" t="str">
        <x:v>P1</x:v>
      </x:c>
      <x:c r="G422" t="str">
        <x:v>À faire</x:v>
      </x:c>
      <x:c r="H422" t="str">
        <x:v>Non affecté</x:v>
      </x:c>
      <x:c r="I422" t="str">
        <x:v>Livrable explicite, tests positifs et négatifs ; aucune validation déduite de la seule présence de la fiche.</x:v>
      </x:c>
      <x:c r="J422" t="str"/>
    </x:row>
    <x:row r="423">
      <x:c r="A423" t="str">
        <x:v>EXT-MONDE-T042/art</x:v>
      </x:c>
      <x:c r="B423" t="str">
        <x:v>EXT-MONDE-T042</x:v>
      </x:c>
      <x:c r="C423" t="str">
        <x:v>HLM visitables</x:v>
      </x:c>
      <x:c r="D423" t="str">
        <x:v>Tour HLM</x:v>
      </x:c>
      <x:c r="E423" t="str">
        <x:v>Sprites, proportions et animations</x:v>
      </x:c>
      <x:c r="F423" t="str">
        <x:v>P1</x:v>
      </x:c>
      <x:c r="G423" t="str">
        <x:v>À faire</x:v>
      </x:c>
      <x:c r="H423" t="str">
        <x:v>Non affecté</x:v>
      </x:c>
      <x:c r="I423" t="str">
        <x:v>Livrable explicite, tests positifs et négatifs ; aucune validation déduite de la seule présence de la fiche.</x:v>
      </x:c>
      <x:c r="J423" t="str"/>
    </x:row>
    <x:row r="424">
      <x:c r="A424" t="str">
        <x:v>EXT-MONDE-T042/sauvegarde</x:v>
      </x:c>
      <x:c r="B424" t="str">
        <x:v>EXT-MONDE-T042</x:v>
      </x:c>
      <x:c r="C424" t="str">
        <x:v>HLM visitables</x:v>
      </x:c>
      <x:c r="D424" t="str">
        <x:v>Tour HLM</x:v>
      </x:c>
      <x:c r="E424" t="str">
        <x:v>Identités, migration et reprise</x:v>
      </x:c>
      <x:c r="F424" t="str">
        <x:v>P1</x:v>
      </x:c>
      <x:c r="G424" t="str">
        <x:v>En cours</x:v>
      </x:c>
      <x:c r="H424" t="str">
        <x:v>Production Codex</x:v>
      </x:c>
      <x:c r="I424" t="str">
        <x:v>Livrable explicite, tests positifs et négatifs ; aucune validation déduite de la seule présence de la fiche.</x:v>
      </x:c>
      <x:c r="J424" t="str">
        <x:v>https://github.com/darknigthmare/deadwall-last-enclosure/blob/e28f46223e73105ab2c5d83f3d50b99b58ef53e6/docs/codex/suivi-monde2026/INSPECTION_PHYSIQUE_2026.md</x:v>
      </x:c>
    </x:row>
    <x:row r="425">
      <x:c r="A425" t="str">
        <x:v>EXT-MONDE-T042/qa</x:v>
      </x:c>
      <x:c r="B425" t="str">
        <x:v>EXT-MONDE-T042</x:v>
      </x:c>
      <x:c r="C425" t="str">
        <x:v>HLM visitables</x:v>
      </x:c>
      <x:c r="D425" t="str">
        <x:v>Tour HLM</x:v>
      </x:c>
      <x:c r="E425" t="str">
        <x:v>Navigation et parcours jouables</x:v>
      </x:c>
      <x:c r="F425" t="str">
        <x:v>P1</x:v>
      </x:c>
      <x:c r="G425" t="str">
        <x:v>En cours</x:v>
      </x:c>
      <x:c r="H425" t="str">
        <x:v>Production Codex</x:v>
      </x:c>
      <x:c r="I425" t="str">
        <x:v>Livrable explicite, tests positifs et négatifs ; aucune validation déduite de la seule présence de la fiche.</x:v>
      </x:c>
      <x:c r="J425" t="str">
        <x:v>https://github.com/darknigthmare/deadwall-last-enclosure/blob/e28f46223e73105ab2c5d83f3d50b99b58ef53e6/docs/codex/suivi-monde2026/INSPECTION_PHYSIQUE_2026.md</x:v>
      </x:c>
    </x:row>
    <x:row r="426">
      <x:c r="A426" t="str">
        <x:v>EXT-MONDE-T043/dimensions</x:v>
      </x:c>
      <x:c r="B426" t="str">
        <x:v>EXT-MONDE-T043</x:v>
      </x:c>
      <x:c r="C426" t="str">
        <x:v>HLM visitables</x:v>
      </x:c>
      <x:c r="D426" t="str">
        <x:v>Résidence en cour</x:v>
      </x:c>
      <x:c r="E426" t="str">
        <x:v>Dimensions et plans de référence</x:v>
      </x:c>
      <x:c r="F426" t="str">
        <x:v>P0</x:v>
      </x:c>
      <x:c r="G426" t="str">
        <x:v>En cours</x:v>
      </x:c>
      <x:c r="H426" t="str">
        <x:v>Production Codex</x:v>
      </x:c>
      <x:c r="I426" t="str">
        <x:v>Sources publiques identifiées ; unités en mètres ; emprise au sol distincte de la hauteur.</x:v>
      </x:c>
      <x:c r="J426" t="str">
        <x:v>https://github.com/darknigthmare/deadwall-last-enclosure/blob/e28f46223e73105ab2c5d83f3d50b99b58ef53e6/docs/codex/suivi-monde2026/HLM_ASSAINISSEMENT_2026.md</x:v>
      </x:c>
    </x:row>
    <x:row r="427">
      <x:c r="A427" t="str">
        <x:v>EXT-MONDE-T043/architecture</x:v>
      </x:c>
      <x:c r="B427" t="str">
        <x:v>EXT-MONDE-T043</x:v>
      </x:c>
      <x:c r="C427" t="str">
        <x:v>HLM visitables</x:v>
      </x:c>
      <x:c r="D427" t="str">
        <x:v>Résidence en cour</x:v>
      </x:c>
      <x:c r="E427" t="str">
        <x:v>Pièces, étages, annexes</x:v>
      </x:c>
      <x:c r="F427" t="str">
        <x:v>P0</x:v>
      </x:c>
      <x:c r="G427" t="str">
        <x:v>En cours</x:v>
      </x:c>
      <x:c r="H427" t="str">
        <x:v>Production Codex</x:v>
      </x:c>
      <x:c r="I427" t="str">
        <x:v>Livrable explicite, tests positifs et négatifs ; aucune validation déduite de la seule présence de la fiche.</x:v>
      </x:c>
      <x:c r="J427" t="str">
        <x:v>https://github.com/darknigthmare/deadwall-last-enclosure/blob/e28f46223e73105ab2c5d83f3d50b99b58ef53e6/docs/codex/suivi-monde2026/INSPECTION_PHYSIQUE_2026.md</x:v>
      </x:c>
    </x:row>
    <x:row r="428">
      <x:c r="A428" t="str">
        <x:v>EXT-MONDE-T043/seed</x:v>
      </x:c>
      <x:c r="B428" t="str">
        <x:v>EXT-MONDE-T043</x:v>
      </x:c>
      <x:c r="C428" t="str">
        <x:v>HLM visitables</x:v>
      </x:c>
      <x:c r="D428" t="str">
        <x:v>Résidence en cour</x:v>
      </x:c>
      <x:c r="E428" t="str">
        <x:v>Implantation et réseaux</x:v>
      </x:c>
      <x:c r="F428" t="str">
        <x:v>P0</x:v>
      </x:c>
      <x:c r="G428" t="str">
        <x:v>À faire</x:v>
      </x:c>
      <x:c r="H428" t="str">
        <x:v>Non affecté</x:v>
      </x:c>
      <x:c r="I428" t="str">
        <x:v>Logements répétés réellement ; portes vers circulation ; cages continues ; locaux techniques dédiés.</x:v>
      </x:c>
      <x:c r="J428" t="str"/>
    </x:row>
    <x:row r="429">
      <x:c r="A429" t="str">
        <x:v>EXT-MONDE-T043/props</x:v>
      </x:c>
      <x:c r="B429" t="str">
        <x:v>EXT-MONDE-T043</x:v>
      </x:c>
      <x:c r="C429" t="str">
        <x:v>HLM visitables</x:v>
      </x:c>
      <x:c r="D429" t="str">
        <x:v>Résidence en cour</x:v>
      </x:c>
      <x:c r="E429" t="str">
        <x:v>Objets, décors et dégagements</x:v>
      </x:c>
      <x:c r="F429" t="str">
        <x:v>P1</x:v>
      </x:c>
      <x:c r="G429" t="str">
        <x:v>En cours</x:v>
      </x:c>
      <x:c r="H429" t="str">
        <x:v>Production Codex</x:v>
      </x:c>
      <x:c r="I429" t="str">
        <x:v>Livrable explicite, tests positifs et négatifs ; aucune validation déduite de la seule présence de la fiche.</x:v>
      </x:c>
      <x:c r="J429" t="str">
        <x:v>https://github.com/darknigthmare/deadwall-last-enclosure/blob/e28f46223e73105ab2c5d83f3d50b99b58ef53e6/docs/codex/suivi-monde2026/INSPECTION_PHYSIQUE_2026.md</x:v>
      </x:c>
    </x:row>
    <x:row r="430">
      <x:c r="A430" t="str">
        <x:v>EXT-MONDE-T043/loot</x:v>
      </x:c>
      <x:c r="B430" t="str">
        <x:v>EXT-MONDE-T043</x:v>
      </x:c>
      <x:c r="C430" t="str">
        <x:v>HLM visitables</x:v>
      </x:c>
      <x:c r="D430" t="str">
        <x:v>Résidence en cour</x:v>
      </x:c>
      <x:c r="E430" t="str">
        <x:v>Budget de butin persistant</x:v>
      </x:c>
      <x:c r="F430" t="str">
        <x:v>P1</x:v>
      </x:c>
      <x:c r="G430" t="str">
        <x:v>À faire</x:v>
      </x:c>
      <x:c r="H430" t="str">
        <x:v>Non affecté</x:v>
      </x:c>
      <x:c r="I430" t="str">
        <x:v>Livrable explicite, tests positifs et négatifs ; aucune validation déduite de la seule présence de la fiche.</x:v>
      </x:c>
      <x:c r="J430" t="str"/>
    </x:row>
    <x:row r="431">
      <x:c r="A431" t="str">
        <x:v>EXT-MONDE-T043/rencontres</x:v>
      </x:c>
      <x:c r="B431" t="str">
        <x:v>EXT-MONDE-T043</x:v>
      </x:c>
      <x:c r="C431" t="str">
        <x:v>HLM visitables</x:v>
      </x:c>
      <x:c r="D431" t="str">
        <x:v>Résidence en cour</x:v>
      </x:c>
      <x:c r="E431" t="str">
        <x:v>Ennemis et faune contextualisés</x:v>
      </x:c>
      <x:c r="F431" t="str">
        <x:v>P1</x:v>
      </x:c>
      <x:c r="G431" t="str">
        <x:v>À faire</x:v>
      </x:c>
      <x:c r="H431" t="str">
        <x:v>Non affecté</x:v>
      </x:c>
      <x:c r="I431" t="str">
        <x:v>Livrable explicite, tests positifs et négatifs ; aucune validation déduite de la seule présence de la fiche.</x:v>
      </x:c>
      <x:c r="J431" t="str"/>
    </x:row>
    <x:row r="432">
      <x:c r="A432" t="str">
        <x:v>EXT-MONDE-T043/services</x:v>
      </x:c>
      <x:c r="B432" t="str">
        <x:v>EXT-MONDE-T043</x:v>
      </x:c>
      <x:c r="C432" t="str">
        <x:v>HLM visitables</x:v>
      </x:c>
      <x:c r="D432" t="str">
        <x:v>Résidence en cour</x:v>
      </x:c>
      <x:c r="E432" t="str">
        <x:v>Énergie, eau et interactions</x:v>
      </x:c>
      <x:c r="F432" t="str">
        <x:v>P1</x:v>
      </x:c>
      <x:c r="G432" t="str">
        <x:v>À faire</x:v>
      </x:c>
      <x:c r="H432" t="str">
        <x:v>Non affecté</x:v>
      </x:c>
      <x:c r="I432" t="str">
        <x:v>Livrable explicite, tests positifs et négatifs ; aucune validation déduite de la seule présence de la fiche.</x:v>
      </x:c>
      <x:c r="J432" t="str"/>
    </x:row>
    <x:row r="433">
      <x:c r="A433" t="str">
        <x:v>EXT-MONDE-T043/art</x:v>
      </x:c>
      <x:c r="B433" t="str">
        <x:v>EXT-MONDE-T043</x:v>
      </x:c>
      <x:c r="C433" t="str">
        <x:v>HLM visitables</x:v>
      </x:c>
      <x:c r="D433" t="str">
        <x:v>Résidence en cour</x:v>
      </x:c>
      <x:c r="E433" t="str">
        <x:v>Sprites, proportions et animations</x:v>
      </x:c>
      <x:c r="F433" t="str">
        <x:v>P1</x:v>
      </x:c>
      <x:c r="G433" t="str">
        <x:v>À faire</x:v>
      </x:c>
      <x:c r="H433" t="str">
        <x:v>Non affecté</x:v>
      </x:c>
      <x:c r="I433" t="str">
        <x:v>Livrable explicite, tests positifs et négatifs ; aucune validation déduite de la seule présence de la fiche.</x:v>
      </x:c>
      <x:c r="J433" t="str"/>
    </x:row>
    <x:row r="434">
      <x:c r="A434" t="str">
        <x:v>EXT-MONDE-T043/sauvegarde</x:v>
      </x:c>
      <x:c r="B434" t="str">
        <x:v>EXT-MONDE-T043</x:v>
      </x:c>
      <x:c r="C434" t="str">
        <x:v>HLM visitables</x:v>
      </x:c>
      <x:c r="D434" t="str">
        <x:v>Résidence en cour</x:v>
      </x:c>
      <x:c r="E434" t="str">
        <x:v>Identités, migration et reprise</x:v>
      </x:c>
      <x:c r="F434" t="str">
        <x:v>P1</x:v>
      </x:c>
      <x:c r="G434" t="str">
        <x:v>En cours</x:v>
      </x:c>
      <x:c r="H434" t="str">
        <x:v>Production Codex</x:v>
      </x:c>
      <x:c r="I434" t="str">
        <x:v>Livrable explicite, tests positifs et négatifs ; aucune validation déduite de la seule présence de la fiche.</x:v>
      </x:c>
      <x:c r="J434" t="str">
        <x:v>https://github.com/darknigthmare/deadwall-last-enclosure/blob/e28f46223e73105ab2c5d83f3d50b99b58ef53e6/docs/codex/suivi-monde2026/INSPECTION_PHYSIQUE_2026.md</x:v>
      </x:c>
    </x:row>
    <x:row r="435">
      <x:c r="A435" t="str">
        <x:v>EXT-MONDE-T043/qa</x:v>
      </x:c>
      <x:c r="B435" t="str">
        <x:v>EXT-MONDE-T043</x:v>
      </x:c>
      <x:c r="C435" t="str">
        <x:v>HLM visitables</x:v>
      </x:c>
      <x:c r="D435" t="str">
        <x:v>Résidence en cour</x:v>
      </x:c>
      <x:c r="E435" t="str">
        <x:v>Navigation et parcours jouables</x:v>
      </x:c>
      <x:c r="F435" t="str">
        <x:v>P1</x:v>
      </x:c>
      <x:c r="G435" t="str">
        <x:v>En cours</x:v>
      </x:c>
      <x:c r="H435" t="str">
        <x:v>Production Codex</x:v>
      </x:c>
      <x:c r="I435" t="str">
        <x:v>Livrable explicite, tests positifs et négatifs ; aucune validation déduite de la seule présence de la fiche.</x:v>
      </x:c>
      <x:c r="J435" t="str">
        <x:v>https://github.com/darknigthmare/deadwall-last-enclosure/blob/e28f46223e73105ab2c5d83f3d50b99b58ef53e6/docs/codex/suivi-monde2026/INSPECTION_PHYSIQUE_2026.md</x:v>
      </x:c>
    </x:row>
    <x:row r="436">
      <x:c r="A436" t="str">
        <x:v>EXT-MONDE-T044/dimensions</x:v>
      </x:c>
      <x:c r="B436" t="str">
        <x:v>EXT-MONDE-T044</x:v>
      </x:c>
      <x:c r="C436" t="str">
        <x:v>HLM visitables</x:v>
      </x:c>
      <x:c r="D436" t="str">
        <x:v>Ensemble HLM mixte</x:v>
      </x:c>
      <x:c r="E436" t="str">
        <x:v>Dimensions et plans de référence</x:v>
      </x:c>
      <x:c r="F436" t="str">
        <x:v>P0</x:v>
      </x:c>
      <x:c r="G436" t="str">
        <x:v>En cours</x:v>
      </x:c>
      <x:c r="H436" t="str">
        <x:v>Production Codex</x:v>
      </x:c>
      <x:c r="I436" t="str">
        <x:v>Sources publiques identifiées ; unités en mètres ; emprise au sol distincte de la hauteur.</x:v>
      </x:c>
      <x:c r="J436" t="str">
        <x:v>https://github.com/darknigthmare/deadwall-last-enclosure/blob/e28f46223e73105ab2c5d83f3d50b99b58ef53e6/docs/codex/suivi-monde2026/HLM_ASSAINISSEMENT_2026.md</x:v>
      </x:c>
    </x:row>
    <x:row r="437">
      <x:c r="A437" t="str">
        <x:v>EXT-MONDE-T044/architecture</x:v>
      </x:c>
      <x:c r="B437" t="str">
        <x:v>EXT-MONDE-T044</x:v>
      </x:c>
      <x:c r="C437" t="str">
        <x:v>HLM visitables</x:v>
      </x:c>
      <x:c r="D437" t="str">
        <x:v>Ensemble HLM mixte</x:v>
      </x:c>
      <x:c r="E437" t="str">
        <x:v>Pièces, étages, annexes</x:v>
      </x:c>
      <x:c r="F437" t="str">
        <x:v>P0</x:v>
      </x:c>
      <x:c r="G437" t="str">
        <x:v>En cours</x:v>
      </x:c>
      <x:c r="H437" t="str">
        <x:v>Production Codex</x:v>
      </x:c>
      <x:c r="I437" t="str">
        <x:v>Livrable explicite, tests positifs et négatifs ; aucune validation déduite de la seule présence de la fiche.</x:v>
      </x:c>
      <x:c r="J437" t="str">
        <x:v>https://github.com/darknigthmare/deadwall-last-enclosure/blob/e28f46223e73105ab2c5d83f3d50b99b58ef53e6/docs/codex/suivi-monde2026/INSPECTION_PHYSIQUE_2026.md</x:v>
      </x:c>
    </x:row>
    <x:row r="438">
      <x:c r="A438" t="str">
        <x:v>EXT-MONDE-T044/seed</x:v>
      </x:c>
      <x:c r="B438" t="str">
        <x:v>EXT-MONDE-T044</x:v>
      </x:c>
      <x:c r="C438" t="str">
        <x:v>HLM visitables</x:v>
      </x:c>
      <x:c r="D438" t="str">
        <x:v>Ensemble HLM mixte</x:v>
      </x:c>
      <x:c r="E438" t="str">
        <x:v>Implantation et réseaux</x:v>
      </x:c>
      <x:c r="F438" t="str">
        <x:v>P0</x:v>
      </x:c>
      <x:c r="G438" t="str">
        <x:v>À faire</x:v>
      </x:c>
      <x:c r="H438" t="str">
        <x:v>Non affecté</x:v>
      </x:c>
      <x:c r="I438" t="str">
        <x:v>Logements répétés réellement ; portes vers circulation ; cages continues ; locaux techniques dédiés.</x:v>
      </x:c>
      <x:c r="J438" t="str"/>
    </x:row>
    <x:row r="439">
      <x:c r="A439" t="str">
        <x:v>EXT-MONDE-T044/props</x:v>
      </x:c>
      <x:c r="B439" t="str">
        <x:v>EXT-MONDE-T044</x:v>
      </x:c>
      <x:c r="C439" t="str">
        <x:v>HLM visitables</x:v>
      </x:c>
      <x:c r="D439" t="str">
        <x:v>Ensemble HLM mixte</x:v>
      </x:c>
      <x:c r="E439" t="str">
        <x:v>Objets, décors et dégagements</x:v>
      </x:c>
      <x:c r="F439" t="str">
        <x:v>P1</x:v>
      </x:c>
      <x:c r="G439" t="str">
        <x:v>En cours</x:v>
      </x:c>
      <x:c r="H439" t="str">
        <x:v>Production Codex</x:v>
      </x:c>
      <x:c r="I439" t="str">
        <x:v>Livrable explicite, tests positifs et négatifs ; aucune validation déduite de la seule présence de la fiche.</x:v>
      </x:c>
      <x:c r="J439" t="str">
        <x:v>https://github.com/darknigthmare/deadwall-last-enclosure/blob/e28f46223e73105ab2c5d83f3d50b99b58ef53e6/docs/codex/suivi-monde2026/INSPECTION_PHYSIQUE_2026.md</x:v>
      </x:c>
    </x:row>
    <x:row r="440">
      <x:c r="A440" t="str">
        <x:v>EXT-MONDE-T044/loot</x:v>
      </x:c>
      <x:c r="B440" t="str">
        <x:v>EXT-MONDE-T044</x:v>
      </x:c>
      <x:c r="C440" t="str">
        <x:v>HLM visitables</x:v>
      </x:c>
      <x:c r="D440" t="str">
        <x:v>Ensemble HLM mixte</x:v>
      </x:c>
      <x:c r="E440" t="str">
        <x:v>Budget de butin persistant</x:v>
      </x:c>
      <x:c r="F440" t="str">
        <x:v>P1</x:v>
      </x:c>
      <x:c r="G440" t="str">
        <x:v>À faire</x:v>
      </x:c>
      <x:c r="H440" t="str">
        <x:v>Non affecté</x:v>
      </x:c>
      <x:c r="I440" t="str">
        <x:v>Livrable explicite, tests positifs et négatifs ; aucune validation déduite de la seule présence de la fiche.</x:v>
      </x:c>
      <x:c r="J440" t="str"/>
    </x:row>
    <x:row r="441">
      <x:c r="A441" t="str">
        <x:v>EXT-MONDE-T044/rencontres</x:v>
      </x:c>
      <x:c r="B441" t="str">
        <x:v>EXT-MONDE-T044</x:v>
      </x:c>
      <x:c r="C441" t="str">
        <x:v>HLM visitables</x:v>
      </x:c>
      <x:c r="D441" t="str">
        <x:v>Ensemble HLM mixte</x:v>
      </x:c>
      <x:c r="E441" t="str">
        <x:v>Ennemis et faune contextualisés</x:v>
      </x:c>
      <x:c r="F441" t="str">
        <x:v>P1</x:v>
      </x:c>
      <x:c r="G441" t="str">
        <x:v>À faire</x:v>
      </x:c>
      <x:c r="H441" t="str">
        <x:v>Non affecté</x:v>
      </x:c>
      <x:c r="I441" t="str">
        <x:v>Livrable explicite, tests positifs et négatifs ; aucune validation déduite de la seule présence de la fiche.</x:v>
      </x:c>
      <x:c r="J441" t="str"/>
    </x:row>
    <x:row r="442">
      <x:c r="A442" t="str">
        <x:v>EXT-MONDE-T044/services</x:v>
      </x:c>
      <x:c r="B442" t="str">
        <x:v>EXT-MONDE-T044</x:v>
      </x:c>
      <x:c r="C442" t="str">
        <x:v>HLM visitables</x:v>
      </x:c>
      <x:c r="D442" t="str">
        <x:v>Ensemble HLM mixte</x:v>
      </x:c>
      <x:c r="E442" t="str">
        <x:v>Énergie, eau et interactions</x:v>
      </x:c>
      <x:c r="F442" t="str">
        <x:v>P1</x:v>
      </x:c>
      <x:c r="G442" t="str">
        <x:v>À faire</x:v>
      </x:c>
      <x:c r="H442" t="str">
        <x:v>Non affecté</x:v>
      </x:c>
      <x:c r="I442" t="str">
        <x:v>Livrable explicite, tests positifs et négatifs ; aucune validation déduite de la seule présence de la fiche.</x:v>
      </x:c>
      <x:c r="J442" t="str"/>
    </x:row>
    <x:row r="443">
      <x:c r="A443" t="str">
        <x:v>EXT-MONDE-T044/art</x:v>
      </x:c>
      <x:c r="B443" t="str">
        <x:v>EXT-MONDE-T044</x:v>
      </x:c>
      <x:c r="C443" t="str">
        <x:v>HLM visitables</x:v>
      </x:c>
      <x:c r="D443" t="str">
        <x:v>Ensemble HLM mixte</x:v>
      </x:c>
      <x:c r="E443" t="str">
        <x:v>Sprites, proportions et animations</x:v>
      </x:c>
      <x:c r="F443" t="str">
        <x:v>P1</x:v>
      </x:c>
      <x:c r="G443" t="str">
        <x:v>À faire</x:v>
      </x:c>
      <x:c r="H443" t="str">
        <x:v>Non affecté</x:v>
      </x:c>
      <x:c r="I443" t="str">
        <x:v>Livrable explicite, tests positifs et négatifs ; aucune validation déduite de la seule présence de la fiche.</x:v>
      </x:c>
      <x:c r="J443" t="str"/>
    </x:row>
    <x:row r="444">
      <x:c r="A444" t="str">
        <x:v>EXT-MONDE-T044/sauvegarde</x:v>
      </x:c>
      <x:c r="B444" t="str">
        <x:v>EXT-MONDE-T044</x:v>
      </x:c>
      <x:c r="C444" t="str">
        <x:v>HLM visitables</x:v>
      </x:c>
      <x:c r="D444" t="str">
        <x:v>Ensemble HLM mixte</x:v>
      </x:c>
      <x:c r="E444" t="str">
        <x:v>Identités, migration et reprise</x:v>
      </x:c>
      <x:c r="F444" t="str">
        <x:v>P1</x:v>
      </x:c>
      <x:c r="G444" t="str">
        <x:v>En cours</x:v>
      </x:c>
      <x:c r="H444" t="str">
        <x:v>Production Codex</x:v>
      </x:c>
      <x:c r="I444" t="str">
        <x:v>Livrable explicite, tests positifs et négatifs ; aucune validation déduite de la seule présence de la fiche.</x:v>
      </x:c>
      <x:c r="J444" t="str">
        <x:v>https://github.com/darknigthmare/deadwall-last-enclosure/blob/e28f46223e73105ab2c5d83f3d50b99b58ef53e6/docs/codex/suivi-monde2026/INSPECTION_PHYSIQUE_2026.md</x:v>
      </x:c>
    </x:row>
    <x:row r="445">
      <x:c r="A445" t="str">
        <x:v>EXT-MONDE-T044/qa</x:v>
      </x:c>
      <x:c r="B445" t="str">
        <x:v>EXT-MONDE-T044</x:v>
      </x:c>
      <x:c r="C445" t="str">
        <x:v>HLM visitables</x:v>
      </x:c>
      <x:c r="D445" t="str">
        <x:v>Ensemble HLM mixte</x:v>
      </x:c>
      <x:c r="E445" t="str">
        <x:v>Navigation et parcours jouables</x:v>
      </x:c>
      <x:c r="F445" t="str">
        <x:v>P1</x:v>
      </x:c>
      <x:c r="G445" t="str">
        <x:v>En cours</x:v>
      </x:c>
      <x:c r="H445" t="str">
        <x:v>Production Codex</x:v>
      </x:c>
      <x:c r="I445" t="str">
        <x:v>Livrable explicite, tests positifs et négatifs ; aucune validation déduite de la seule présence de la fiche.</x:v>
      </x:c>
      <x:c r="J445" t="str">
        <x:v>https://github.com/darknigthmare/deadwall-last-enclosure/blob/e28f46223e73105ab2c5d83f3d50b99b58ef53e6/docs/codex/suivi-monde2026/INSPECTION_PHYSIQUE_2026.md</x:v>
      </x:c>
    </x:row>
    <x:row r="446">
      <x:c r="A446" t="str">
        <x:v>EXT-MONDE-T045/dimensions</x:v>
      </x:c>
      <x:c r="B446" t="str">
        <x:v>EXT-MONDE-T045</x:v>
      </x:c>
      <x:c r="C446" t="str">
        <x:v>Trailer parks</x:v>
      </x:c>
      <x:c r="D446" t="str">
        <x:v>Parc résidentiel de mobil-homes</x:v>
      </x:c>
      <x:c r="E446" t="str">
        <x:v>Dimensions et plans de référence</x:v>
      </x:c>
      <x:c r="F446" t="str">
        <x:v>P0</x:v>
      </x:c>
      <x:c r="G446" t="str">
        <x:v>En cours</x:v>
      </x:c>
      <x:c r="H446" t="str">
        <x:v>Production Codex</x:v>
      </x:c>
      <x:c r="I446" t="str">
        <x:v>Sources publiques identifiées ; unités en mètres ; emprise au sol distincte de la hauteur.</x:v>
      </x:c>
      <x:c r="J446" t="str">
        <x:v>https://github.com/darknigthmare/deadwall-last-enclosure/blob/e28f46223e73105ab2c5d83f3d50b99b58ef53e6/docs/codex/suivi-monde2026/RESIDENTIEL_2026.md</x:v>
      </x:c>
    </x:row>
    <x:row r="447">
      <x:c r="A447" t="str">
        <x:v>EXT-MONDE-T045/architecture</x:v>
      </x:c>
      <x:c r="B447" t="str">
        <x:v>EXT-MONDE-T045</x:v>
      </x:c>
      <x:c r="C447" t="str">
        <x:v>Trailer parks</x:v>
      </x:c>
      <x:c r="D447" t="str">
        <x:v>Parc résidentiel de mobil-homes</x:v>
      </x:c>
      <x:c r="E447" t="str">
        <x:v>Pièces, étages, annexes</x:v>
      </x:c>
      <x:c r="F447" t="str">
        <x:v>P0</x:v>
      </x:c>
      <x:c r="G447" t="str">
        <x:v>En cours</x:v>
      </x:c>
      <x:c r="H447" t="str">
        <x:v>Production Codex</x:v>
      </x:c>
      <x:c r="I447" t="str">
        <x:v>Livrable explicite, tests positifs et négatifs ; aucune validation déduite de la seule présence de la fiche.
Avancement et limites : 50 modèles G11 éligibles, 16 implantations témoins. Murs, portes et mobilier raccordés ; caravanes fermées et réseaux complets encore ouverts.</x:v>
      </x:c>
      <x:c r="J447" t="str">
        <x:v>https://github.com/darknigthmare/deadwall-last-enclosure/blob/e28f46223e73105ab2c5d83f3d50b99b58ef53e6/docs/codex/suivi-monde2026/INSPECTION_PHYSIQUE_2026.md</x:v>
      </x:c>
    </x:row>
    <x:row r="448">
      <x:c r="A448" t="str">
        <x:v>EXT-MONDE-T045/seed</x:v>
      </x:c>
      <x:c r="B448" t="str">
        <x:v>EXT-MONDE-T045</x:v>
      </x:c>
      <x:c r="C448" t="str">
        <x:v>Trailer parks</x:v>
      </x:c>
      <x:c r="D448" t="str">
        <x:v>Parc résidentiel de mobil-homes</x:v>
      </x:c>
      <x:c r="E448" t="str">
        <x:v>Implantation et réseaux</x:v>
      </x:c>
      <x:c r="F448" t="str">
        <x:v>P0</x:v>
      </x:c>
      <x:c r="G448" t="str">
        <x:v>En cours</x:v>
      </x:c>
      <x:c r="H448" t="str">
        <x:v>Production Codex</x:v>
      </x:c>
      <x:c r="I448" t="str">
        <x:v>Accès individuel des lots ; distances et dégagements vérifiés ; réseau interne raccordé à une entrée réelle.</x:v>
      </x:c>
      <x:c r="J448" t="str">
        <x:v>https://github.com/darknigthmare/deadwall-last-enclosure/blob/e28f46223e73105ab2c5d83f3d50b99b58ef53e6/docs/codex/suivi-monde2026/CAMPAGNE_G11_2026.md</x:v>
      </x:c>
    </x:row>
    <x:row r="449">
      <x:c r="A449" t="str">
        <x:v>EXT-MONDE-T045/props</x:v>
      </x:c>
      <x:c r="B449" t="str">
        <x:v>EXT-MONDE-T045</x:v>
      </x:c>
      <x:c r="C449" t="str">
        <x:v>Trailer parks</x:v>
      </x:c>
      <x:c r="D449" t="str">
        <x:v>Parc résidentiel de mobil-homes</x:v>
      </x:c>
      <x:c r="E449" t="str">
        <x:v>Objets, décors et dégagements</x:v>
      </x:c>
      <x:c r="F449" t="str">
        <x:v>P1</x:v>
      </x:c>
      <x:c r="G449" t="str">
        <x:v>En cours</x:v>
      </x:c>
      <x:c r="H449" t="str">
        <x:v>Production Codex</x:v>
      </x:c>
      <x:c r="I449" t="str">
        <x:v>Livrable explicite, tests positifs et négatifs ; aucune validation déduite de la seule présence de la fiche.</x:v>
      </x:c>
      <x:c r="J449" t="str">
        <x:v>https://github.com/darknigthmare/deadwall-last-enclosure/blob/e28f46223e73105ab2c5d83f3d50b99b58ef53e6/docs/codex/suivi-monde2026/INSPECTION_PHYSIQUE_2026.md</x:v>
      </x:c>
    </x:row>
    <x:row r="450">
      <x:c r="A450" t="str">
        <x:v>EXT-MONDE-T045/loot</x:v>
      </x:c>
      <x:c r="B450" t="str">
        <x:v>EXT-MONDE-T045</x:v>
      </x:c>
      <x:c r="C450" t="str">
        <x:v>Trailer parks</x:v>
      </x:c>
      <x:c r="D450" t="str">
        <x:v>Parc résidentiel de mobil-homes</x:v>
      </x:c>
      <x:c r="E450" t="str">
        <x:v>Budget de butin persistant</x:v>
      </x:c>
      <x:c r="F450" t="str">
        <x:v>P1</x:v>
      </x:c>
      <x:c r="G450" t="str">
        <x:v>En cours</x:v>
      </x:c>
      <x:c r="H450" t="str">
        <x:v>Production Codex</x:v>
      </x:c>
      <x:c r="I450" t="str">
        <x:v>Livrable explicite, tests positifs et négatifs ; aucune validation déduite de la seule présence de la fiche.</x:v>
      </x:c>
      <x:c r="J450" t="str">
        <x:v>https://github.com/darknigthmare/deadwall-last-enclosure/blob/e28f46223e73105ab2c5d83f3d50b99b58ef53e6/docs/codex/suivi-monde2026/CAMPAGNE_G11_2026.md</x:v>
      </x:c>
    </x:row>
    <x:row r="451">
      <x:c r="A451" t="str">
        <x:v>EXT-MONDE-T045/rencontres</x:v>
      </x:c>
      <x:c r="B451" t="str">
        <x:v>EXT-MONDE-T045</x:v>
      </x:c>
      <x:c r="C451" t="str">
        <x:v>Trailer parks</x:v>
      </x:c>
      <x:c r="D451" t="str">
        <x:v>Parc résidentiel de mobil-homes</x:v>
      </x:c>
      <x:c r="E451" t="str">
        <x:v>Ennemis et faune contextualisés</x:v>
      </x:c>
      <x:c r="F451" t="str">
        <x:v>P1</x:v>
      </x:c>
      <x:c r="G451" t="str">
        <x:v>À faire</x:v>
      </x:c>
      <x:c r="H451" t="str">
        <x:v>Non affecté</x:v>
      </x:c>
      <x:c r="I451" t="str">
        <x:v>Livrable explicite, tests positifs et négatifs ; aucune validation déduite de la seule présence de la fiche.</x:v>
      </x:c>
      <x:c r="J451" t="str"/>
    </x:row>
    <x:row r="452">
      <x:c r="A452" t="str">
        <x:v>EXT-MONDE-T045/services</x:v>
      </x:c>
      <x:c r="B452" t="str">
        <x:v>EXT-MONDE-T045</x:v>
      </x:c>
      <x:c r="C452" t="str">
        <x:v>Trailer parks</x:v>
      </x:c>
      <x:c r="D452" t="str">
        <x:v>Parc résidentiel de mobil-homes</x:v>
      </x:c>
      <x:c r="E452" t="str">
        <x:v>Énergie, eau et interactions</x:v>
      </x:c>
      <x:c r="F452" t="str">
        <x:v>P1</x:v>
      </x:c>
      <x:c r="G452" t="str">
        <x:v>En cours</x:v>
      </x:c>
      <x:c r="H452" t="str">
        <x:v>Production Codex</x:v>
      </x:c>
      <x:c r="I452" t="str">
        <x:v>Livrable explicite, tests positifs et négatifs ; aucune validation déduite de la seule présence de la fiche.
Avancement et limites : 1030 supports proposés, 1030 poses de travail acceptées sur 50 modèles ; transactions et parcours complets ont leurs preuves distinctes, eau potable, assainissement et réseau électrique non raccordés. Aucun établi ajouté à l’atelier entretien historique ; outillage existant seulement. Récupération de pluie214 : 157 tonneaux physiques et 157 poses de travail contrôlés sur 50 modèles ; transactions natives et UI qualifiées séparément. Preuve de supports : docs/codex/suivi-monde2026/RECUPERATEURS_G11_2026.md.</x:v>
      </x:c>
      <x:c r="J452" t="str">
        <x:v>https://github.com/darknigthmare/deadwall-last-enclosure/blob/e28f46223e73105ab2c5d83f3d50b99b58ef53e6/docs/codex/suivi-monde2026/SERVICES_G11_2026.md</x:v>
      </x:c>
    </x:row>
    <x:row r="453">
      <x:c r="A453" t="str">
        <x:v>EXT-MONDE-T045/art</x:v>
      </x:c>
      <x:c r="B453" t="str">
        <x:v>EXT-MONDE-T045</x:v>
      </x:c>
      <x:c r="C453" t="str">
        <x:v>Trailer parks</x:v>
      </x:c>
      <x:c r="D453" t="str">
        <x:v>Parc résidentiel de mobil-homes</x:v>
      </x:c>
      <x:c r="E453" t="str">
        <x:v>Sprites, proportions et animations</x:v>
      </x:c>
      <x:c r="F453" t="str">
        <x:v>P1</x:v>
      </x:c>
      <x:c r="G453" t="str">
        <x:v>En cours</x:v>
      </x:c>
      <x:c r="H453" t="str">
        <x:v>Production Codex</x:v>
      </x:c>
      <x:c r="I453" t="str">
        <x:v>Livrable explicite, tests positifs et négatifs ; aucune validation déduite de la seule présence de la fiche.
Avancement et limites : Présentation native préparée sur le modèle V01 de cette famille ; activité, pause, interruption, emprise et lecture pure contrôlées, sans qualifier les 50 variantes.</x:v>
      </x:c>
      <x:c r="J453" t="str">
        <x:v>https://github.com/darknigthmare/deadwall-last-enclosure/blob/e28f46223e73105ab2c5d83f3d50b99b58ef53e6/docs/codex/suivi-monde2026/SERVICES_G11_2026.md#presentation-preparee</x:v>
      </x:c>
    </x:row>
    <x:row r="454">
      <x:c r="A454" t="str">
        <x:v>EXT-MONDE-T045/sauvegarde</x:v>
      </x:c>
      <x:c r="B454" t="str">
        <x:v>EXT-MONDE-T045</x:v>
      </x:c>
      <x:c r="C454" t="str">
        <x:v>Trailer parks</x:v>
      </x:c>
      <x:c r="D454" t="str">
        <x:v>Parc résidentiel de mobil-homes</x:v>
      </x:c>
      <x:c r="E454" t="str">
        <x:v>Identités, migration et reprise</x:v>
      </x:c>
      <x:c r="F454" t="str">
        <x:v>P1</x:v>
      </x:c>
      <x:c r="G454" t="str">
        <x:v>En cours</x:v>
      </x:c>
      <x:c r="H454" t="str">
        <x:v>Production Codex</x:v>
      </x:c>
      <x:c r="I454" t="str">
        <x:v>Livrable explicite, tests positifs et négatifs ; aucune validation déduite de la seule présence de la fiche.
Avancement et limites : Reprise auteur contrôlée ; migration G10→G11 et prélèvements persistants disposent de cas de campagne distincts. Tous les services et variantes restent à qualifier.</x:v>
      </x:c>
      <x:c r="J454" t="str">
        <x:v>https://github.com/darknigthmare/deadwall-last-enclosure/blob/e28f46223e73105ab2c5d83f3d50b99b58ef53e6/docs/codex/suivi-monde2026/INSPECTION_PHYSIQUE_2026.md</x:v>
      </x:c>
    </x:row>
    <x:row r="455">
      <x:c r="A455" t="str">
        <x:v>EXT-MONDE-T045/qa</x:v>
      </x:c>
      <x:c r="B455" t="str">
        <x:v>EXT-MONDE-T045</x:v>
      </x:c>
      <x:c r="C455" t="str">
        <x:v>Trailer parks</x:v>
      </x:c>
      <x:c r="D455" t="str">
        <x:v>Parc résidentiel de mobil-homes</x:v>
      </x:c>
      <x:c r="E455" t="str">
        <x:v>Navigation et parcours jouables</x:v>
      </x:c>
      <x:c r="F455" t="str">
        <x:v>P1</x:v>
      </x:c>
      <x:c r="G455" t="str">
        <x:v>En cours</x:v>
      </x:c>
      <x:c r="H455" t="str">
        <x:v>Production Codex</x:v>
      </x:c>
      <x:c r="I455" t="str">
        <x:v>Livrable explicite, tests positifs et négatifs ; aucune validation déduite de la seule présence de la fiche.
Avancement et limites : Inspection des 50 variantes et parcours G11 préparés sur ordinateur/tactile documentés séparément ; couverture complète des services et campagne humaine encore ouvertes.</x:v>
      </x:c>
      <x:c r="J455" t="str">
        <x:v>https://github.com/darknigthmare/deadwall-last-enclosure/blob/e28f46223e73105ab2c5d83f3d50b99b58ef53e6/docs/codex/suivi-monde2026/INSPECTION_PHYSIQUE_2026.md</x:v>
      </x:c>
    </x:row>
    <x:row r="456">
      <x:c r="A456" t="str">
        <x:v>EXT-MONDE-T046/dimensions</x:v>
      </x:c>
      <x:c r="B456" t="str">
        <x:v>EXT-MONDE-T046</x:v>
      </x:c>
      <x:c r="C456" t="str">
        <x:v>Trailer parks</x:v>
      </x:c>
      <x:c r="D456" t="str">
        <x:v>Camping caravanes</x:v>
      </x:c>
      <x:c r="E456" t="str">
        <x:v>Dimensions et plans de référence</x:v>
      </x:c>
      <x:c r="F456" t="str">
        <x:v>P0</x:v>
      </x:c>
      <x:c r="G456" t="str">
        <x:v>En cours</x:v>
      </x:c>
      <x:c r="H456" t="str">
        <x:v>Production Codex</x:v>
      </x:c>
      <x:c r="I456" t="str">
        <x:v>Sources publiques identifiées ; unités en mètres ; emprise au sol distincte de la hauteur.</x:v>
      </x:c>
      <x:c r="J456" t="str">
        <x:v>https://github.com/darknigthmare/deadwall-last-enclosure/blob/e28f46223e73105ab2c5d83f3d50b99b58ef53e6/docs/codex/suivi-monde2026/RESIDENTIEL_2026.md</x:v>
      </x:c>
    </x:row>
    <x:row r="457">
      <x:c r="A457" t="str">
        <x:v>EXT-MONDE-T046/architecture</x:v>
      </x:c>
      <x:c r="B457" t="str">
        <x:v>EXT-MONDE-T046</x:v>
      </x:c>
      <x:c r="C457" t="str">
        <x:v>Trailer parks</x:v>
      </x:c>
      <x:c r="D457" t="str">
        <x:v>Camping caravanes</x:v>
      </x:c>
      <x:c r="E457" t="str">
        <x:v>Pièces, étages, annexes</x:v>
      </x:c>
      <x:c r="F457" t="str">
        <x:v>P0</x:v>
      </x:c>
      <x:c r="G457" t="str">
        <x:v>En cours</x:v>
      </x:c>
      <x:c r="H457" t="str">
        <x:v>Production Codex</x:v>
      </x:c>
      <x:c r="I457" t="str">
        <x:v>Livrable explicite, tests positifs et négatifs ; aucune validation déduite de la seule présence de la fiche.
Avancement et limites : 50 modèles G11 éligibles, 15 implantations témoins. Murs, portes et mobilier raccordés ; caravanes fermées et réseaux complets encore ouverts.</x:v>
      </x:c>
      <x:c r="J457" t="str">
        <x:v>https://github.com/darknigthmare/deadwall-last-enclosure/blob/e28f46223e73105ab2c5d83f3d50b99b58ef53e6/docs/codex/suivi-monde2026/INSPECTION_PHYSIQUE_2026.md</x:v>
      </x:c>
    </x:row>
    <x:row r="458">
      <x:c r="A458" t="str">
        <x:v>EXT-MONDE-T046/seed</x:v>
      </x:c>
      <x:c r="B458" t="str">
        <x:v>EXT-MONDE-T046</x:v>
      </x:c>
      <x:c r="C458" t="str">
        <x:v>Trailer parks</x:v>
      </x:c>
      <x:c r="D458" t="str">
        <x:v>Camping caravanes</x:v>
      </x:c>
      <x:c r="E458" t="str">
        <x:v>Implantation et réseaux</x:v>
      </x:c>
      <x:c r="F458" t="str">
        <x:v>P0</x:v>
      </x:c>
      <x:c r="G458" t="str">
        <x:v>En cours</x:v>
      </x:c>
      <x:c r="H458" t="str">
        <x:v>Production Codex</x:v>
      </x:c>
      <x:c r="I458" t="str">
        <x:v>Accès individuel des lots ; distances et dégagements vérifiés ; réseau interne raccordé à une entrée réelle.</x:v>
      </x:c>
      <x:c r="J458" t="str">
        <x:v>https://github.com/darknigthmare/deadwall-last-enclosure/blob/e28f46223e73105ab2c5d83f3d50b99b58ef53e6/docs/codex/suivi-monde2026/CAMPAGNE_G11_2026.md</x:v>
      </x:c>
    </x:row>
    <x:row r="459">
      <x:c r="A459" t="str">
        <x:v>EXT-MONDE-T046/props</x:v>
      </x:c>
      <x:c r="B459" t="str">
        <x:v>EXT-MONDE-T046</x:v>
      </x:c>
      <x:c r="C459" t="str">
        <x:v>Trailer parks</x:v>
      </x:c>
      <x:c r="D459" t="str">
        <x:v>Camping caravanes</x:v>
      </x:c>
      <x:c r="E459" t="str">
        <x:v>Objets, décors et dégagements</x:v>
      </x:c>
      <x:c r="F459" t="str">
        <x:v>P1</x:v>
      </x:c>
      <x:c r="G459" t="str">
        <x:v>En cours</x:v>
      </x:c>
      <x:c r="H459" t="str">
        <x:v>Production Codex</x:v>
      </x:c>
      <x:c r="I459" t="str">
        <x:v>Livrable explicite, tests positifs et négatifs ; aucune validation déduite de la seule présence de la fiche.</x:v>
      </x:c>
      <x:c r="J459" t="str">
        <x:v>https://github.com/darknigthmare/deadwall-last-enclosure/blob/e28f46223e73105ab2c5d83f3d50b99b58ef53e6/docs/codex/suivi-monde2026/INSPECTION_PHYSIQUE_2026.md</x:v>
      </x:c>
    </x:row>
    <x:row r="460">
      <x:c r="A460" t="str">
        <x:v>EXT-MONDE-T046/loot</x:v>
      </x:c>
      <x:c r="B460" t="str">
        <x:v>EXT-MONDE-T046</x:v>
      </x:c>
      <x:c r="C460" t="str">
        <x:v>Trailer parks</x:v>
      </x:c>
      <x:c r="D460" t="str">
        <x:v>Camping caravanes</x:v>
      </x:c>
      <x:c r="E460" t="str">
        <x:v>Budget de butin persistant</x:v>
      </x:c>
      <x:c r="F460" t="str">
        <x:v>P1</x:v>
      </x:c>
      <x:c r="G460" t="str">
        <x:v>En cours</x:v>
      </x:c>
      <x:c r="H460" t="str">
        <x:v>Production Codex</x:v>
      </x:c>
      <x:c r="I460" t="str">
        <x:v>Livrable explicite, tests positifs et négatifs ; aucune validation déduite de la seule présence de la fiche.</x:v>
      </x:c>
      <x:c r="J460" t="str">
        <x:v>https://github.com/darknigthmare/deadwall-last-enclosure/blob/e28f46223e73105ab2c5d83f3d50b99b58ef53e6/docs/codex/suivi-monde2026/CAMPAGNE_G11_2026.md</x:v>
      </x:c>
    </x:row>
    <x:row r="461">
      <x:c r="A461" t="str">
        <x:v>EXT-MONDE-T046/rencontres</x:v>
      </x:c>
      <x:c r="B461" t="str">
        <x:v>EXT-MONDE-T046</x:v>
      </x:c>
      <x:c r="C461" t="str">
        <x:v>Trailer parks</x:v>
      </x:c>
      <x:c r="D461" t="str">
        <x:v>Camping caravanes</x:v>
      </x:c>
      <x:c r="E461" t="str">
        <x:v>Ennemis et faune contextualisés</x:v>
      </x:c>
      <x:c r="F461" t="str">
        <x:v>P1</x:v>
      </x:c>
      <x:c r="G461" t="str">
        <x:v>À faire</x:v>
      </x:c>
      <x:c r="H461" t="str">
        <x:v>Non affecté</x:v>
      </x:c>
      <x:c r="I461" t="str">
        <x:v>Livrable explicite, tests positifs et négatifs ; aucune validation déduite de la seule présence de la fiche.</x:v>
      </x:c>
      <x:c r="J461" t="str"/>
    </x:row>
    <x:row r="462">
      <x:c r="A462" t="str">
        <x:v>EXT-MONDE-T046/services</x:v>
      </x:c>
      <x:c r="B462" t="str">
        <x:v>EXT-MONDE-T046</x:v>
      </x:c>
      <x:c r="C462" t="str">
        <x:v>Trailer parks</x:v>
      </x:c>
      <x:c r="D462" t="str">
        <x:v>Camping caravanes</x:v>
      </x:c>
      <x:c r="E462" t="str">
        <x:v>Énergie, eau et interactions</x:v>
      </x:c>
      <x:c r="F462" t="str">
        <x:v>P1</x:v>
      </x:c>
      <x:c r="G462" t="str">
        <x:v>En cours</x:v>
      </x:c>
      <x:c r="H462" t="str">
        <x:v>Production Codex</x:v>
      </x:c>
      <x:c r="I462" t="str">
        <x:v>Livrable explicite, tests positifs et négatifs ; aucune validation déduite de la seule présence de la fiche.
Avancement et limites : 300 supports proposés, 300 poses de travail acceptées sur 50 modèles ; transactions et parcours complets ont leurs preuves distinctes, eau potable, assainissement et réseau électrique non raccordés. Récupération de pluie214 : 157 tonneaux physiques et 157 poses de travail contrôlés sur 50 modèles ; transactions natives et UI qualifiées séparément. Preuve de supports : docs/codex/suivi-monde2026/RECUPERATEURS_G11_2026.md.</x:v>
      </x:c>
      <x:c r="J462" t="str">
        <x:v>https://github.com/darknigthmare/deadwall-last-enclosure/blob/e28f46223e73105ab2c5d83f3d50b99b58ef53e6/docs/codex/suivi-monde2026/SERVICES_G11_2026.md</x:v>
      </x:c>
    </x:row>
    <x:row r="463">
      <x:c r="A463" t="str">
        <x:v>EXT-MONDE-T046/art</x:v>
      </x:c>
      <x:c r="B463" t="str">
        <x:v>EXT-MONDE-T046</x:v>
      </x:c>
      <x:c r="C463" t="str">
        <x:v>Trailer parks</x:v>
      </x:c>
      <x:c r="D463" t="str">
        <x:v>Camping caravanes</x:v>
      </x:c>
      <x:c r="E463" t="str">
        <x:v>Sprites, proportions et animations</x:v>
      </x:c>
      <x:c r="F463" t="str">
        <x:v>P1</x:v>
      </x:c>
      <x:c r="G463" t="str">
        <x:v>En cours</x:v>
      </x:c>
      <x:c r="H463" t="str">
        <x:v>Production Codex</x:v>
      </x:c>
      <x:c r="I463" t="str">
        <x:v>Livrable explicite, tests positifs et négatifs ; aucune validation déduite de la seule présence de la fiche.
Avancement et limites : Présentation native préparée sur le modèle V01 de cette famille ; activité, pause, interruption, emprise et lecture pure contrôlées, sans qualifier les 50 variantes.</x:v>
      </x:c>
      <x:c r="J463" t="str">
        <x:v>https://github.com/darknigthmare/deadwall-last-enclosure/blob/e28f46223e73105ab2c5d83f3d50b99b58ef53e6/docs/codex/suivi-monde2026/SERVICES_G11_2026.md#presentation-preparee</x:v>
      </x:c>
    </x:row>
    <x:row r="464">
      <x:c r="A464" t="str">
        <x:v>EXT-MONDE-T046/sauvegarde</x:v>
      </x:c>
      <x:c r="B464" t="str">
        <x:v>EXT-MONDE-T046</x:v>
      </x:c>
      <x:c r="C464" t="str">
        <x:v>Trailer parks</x:v>
      </x:c>
      <x:c r="D464" t="str">
        <x:v>Camping caravanes</x:v>
      </x:c>
      <x:c r="E464" t="str">
        <x:v>Identités, migration et reprise</x:v>
      </x:c>
      <x:c r="F464" t="str">
        <x:v>P1</x:v>
      </x:c>
      <x:c r="G464" t="str">
        <x:v>En cours</x:v>
      </x:c>
      <x:c r="H464" t="str">
        <x:v>Production Codex</x:v>
      </x:c>
      <x:c r="I464" t="str">
        <x:v>Livrable explicite, tests positifs et négatifs ; aucune validation déduite de la seule présence de la fiche.
Avancement et limites : Reprise auteur contrôlée ; migration G10→G11 et prélèvements persistants disposent de cas de campagne distincts. Tous les services et variantes restent à qualifier.</x:v>
      </x:c>
      <x:c r="J464" t="str">
        <x:v>https://github.com/darknigthmare/deadwall-last-enclosure/blob/e28f46223e73105ab2c5d83f3d50b99b58ef53e6/docs/codex/suivi-monde2026/INSPECTION_PHYSIQUE_2026.md</x:v>
      </x:c>
    </x:row>
    <x:row r="465">
      <x:c r="A465" t="str">
        <x:v>EXT-MONDE-T046/qa</x:v>
      </x:c>
      <x:c r="B465" t="str">
        <x:v>EXT-MONDE-T046</x:v>
      </x:c>
      <x:c r="C465" t="str">
        <x:v>Trailer parks</x:v>
      </x:c>
      <x:c r="D465" t="str">
        <x:v>Camping caravanes</x:v>
      </x:c>
      <x:c r="E465" t="str">
        <x:v>Navigation et parcours jouables</x:v>
      </x:c>
      <x:c r="F465" t="str">
        <x:v>P1</x:v>
      </x:c>
      <x:c r="G465" t="str">
        <x:v>En cours</x:v>
      </x:c>
      <x:c r="H465" t="str">
        <x:v>Production Codex</x:v>
      </x:c>
      <x:c r="I465" t="str">
        <x:v>Livrable explicite, tests positifs et négatifs ; aucune validation déduite de la seule présence de la fiche.
Avancement et limites : Inspection des 50 variantes et parcours G11 préparés sur ordinateur/tactile documentés séparément ; couverture complète des services et campagne humaine encore ouvertes.</x:v>
      </x:c>
      <x:c r="J465" t="str">
        <x:v>https://github.com/darknigthmare/deadwall-last-enclosure/blob/e28f46223e73105ab2c5d83f3d50b99b58ef53e6/docs/codex/suivi-monde2026/INSPECTION_PHYSIQUE_2026.md</x:v>
      </x:c>
    </x:row>
    <x:row r="466">
      <x:c r="A466" t="str">
        <x:v>EXT-MONDE-T047/dimensions</x:v>
      </x:c>
      <x:c r="B466" t="str">
        <x:v>EXT-MONDE-T047</x:v>
      </x:c>
      <x:c r="C466" t="str">
        <x:v>Trailer parks</x:v>
      </x:c>
      <x:c r="D466" t="str">
        <x:v>Camp de travailleurs</x:v>
      </x:c>
      <x:c r="E466" t="str">
        <x:v>Dimensions et plans de référence</x:v>
      </x:c>
      <x:c r="F466" t="str">
        <x:v>P0</x:v>
      </x:c>
      <x:c r="G466" t="str">
        <x:v>En cours</x:v>
      </x:c>
      <x:c r="H466" t="str">
        <x:v>Production Codex</x:v>
      </x:c>
      <x:c r="I466" t="str">
        <x:v>Sources publiques identifiées ; unités en mètres ; emprise au sol distincte de la hauteur.</x:v>
      </x:c>
      <x:c r="J466" t="str">
        <x:v>https://github.com/darknigthmare/deadwall-last-enclosure/blob/e28f46223e73105ab2c5d83f3d50b99b58ef53e6/docs/codex/suivi-monde2026/RESIDENTIEL_2026.md</x:v>
      </x:c>
    </x:row>
    <x:row r="467">
      <x:c r="A467" t="str">
        <x:v>EXT-MONDE-T047/architecture</x:v>
      </x:c>
      <x:c r="B467" t="str">
        <x:v>EXT-MONDE-T047</x:v>
      </x:c>
      <x:c r="C467" t="str">
        <x:v>Trailer parks</x:v>
      </x:c>
      <x:c r="D467" t="str">
        <x:v>Camp de travailleurs</x:v>
      </x:c>
      <x:c r="E467" t="str">
        <x:v>Pièces, étages, annexes</x:v>
      </x:c>
      <x:c r="F467" t="str">
        <x:v>P0</x:v>
      </x:c>
      <x:c r="G467" t="str">
        <x:v>En cours</x:v>
      </x:c>
      <x:c r="H467" t="str">
        <x:v>Production Codex</x:v>
      </x:c>
      <x:c r="I467" t="str">
        <x:v>Livrable explicite, tests positifs et négatifs ; aucune validation déduite de la seule présence de la fiche.
Avancement et limites : 50 modèles G11 éligibles, 16 implantations témoins. Murs, portes et mobilier raccordés ; caravanes fermées et réseaux complets encore ouverts.</x:v>
      </x:c>
      <x:c r="J467" t="str">
        <x:v>https://github.com/darknigthmare/deadwall-last-enclosure/blob/e28f46223e73105ab2c5d83f3d50b99b58ef53e6/docs/codex/suivi-monde2026/INSPECTION_PHYSIQUE_2026.md</x:v>
      </x:c>
    </x:row>
    <x:row r="468">
      <x:c r="A468" t="str">
        <x:v>EXT-MONDE-T047/seed</x:v>
      </x:c>
      <x:c r="B468" t="str">
        <x:v>EXT-MONDE-T047</x:v>
      </x:c>
      <x:c r="C468" t="str">
        <x:v>Trailer parks</x:v>
      </x:c>
      <x:c r="D468" t="str">
        <x:v>Camp de travailleurs</x:v>
      </x:c>
      <x:c r="E468" t="str">
        <x:v>Implantation et réseaux</x:v>
      </x:c>
      <x:c r="F468" t="str">
        <x:v>P0</x:v>
      </x:c>
      <x:c r="G468" t="str">
        <x:v>En cours</x:v>
      </x:c>
      <x:c r="H468" t="str">
        <x:v>Production Codex</x:v>
      </x:c>
      <x:c r="I468" t="str">
        <x:v>Accès individuel des lots ; distances et dégagements vérifiés ; réseau interne raccordé à une entrée réelle.</x:v>
      </x:c>
      <x:c r="J468" t="str">
        <x:v>https://github.com/darknigthmare/deadwall-last-enclosure/blob/e28f46223e73105ab2c5d83f3d50b99b58ef53e6/docs/codex/suivi-monde2026/CAMPAGNE_G11_2026.md</x:v>
      </x:c>
    </x:row>
    <x:row r="469">
      <x:c r="A469" t="str">
        <x:v>EXT-MONDE-T047/props</x:v>
      </x:c>
      <x:c r="B469" t="str">
        <x:v>EXT-MONDE-T047</x:v>
      </x:c>
      <x:c r="C469" t="str">
        <x:v>Trailer parks</x:v>
      </x:c>
      <x:c r="D469" t="str">
        <x:v>Camp de travailleurs</x:v>
      </x:c>
      <x:c r="E469" t="str">
        <x:v>Objets, décors et dégagements</x:v>
      </x:c>
      <x:c r="F469" t="str">
        <x:v>P1</x:v>
      </x:c>
      <x:c r="G469" t="str">
        <x:v>En cours</x:v>
      </x:c>
      <x:c r="H469" t="str">
        <x:v>Production Codex</x:v>
      </x:c>
      <x:c r="I469" t="str">
        <x:v>Livrable explicite, tests positifs et négatifs ; aucune validation déduite de la seule présence de la fiche.</x:v>
      </x:c>
      <x:c r="J469" t="str">
        <x:v>https://github.com/darknigthmare/deadwall-last-enclosure/blob/e28f46223e73105ab2c5d83f3d50b99b58ef53e6/docs/codex/suivi-monde2026/INSPECTION_PHYSIQUE_2026.md</x:v>
      </x:c>
    </x:row>
    <x:row r="470">
      <x:c r="A470" t="str">
        <x:v>EXT-MONDE-T047/loot</x:v>
      </x:c>
      <x:c r="B470" t="str">
        <x:v>EXT-MONDE-T047</x:v>
      </x:c>
      <x:c r="C470" t="str">
        <x:v>Trailer parks</x:v>
      </x:c>
      <x:c r="D470" t="str">
        <x:v>Camp de travailleurs</x:v>
      </x:c>
      <x:c r="E470" t="str">
        <x:v>Budget de butin persistant</x:v>
      </x:c>
      <x:c r="F470" t="str">
        <x:v>P1</x:v>
      </x:c>
      <x:c r="G470" t="str">
        <x:v>En cours</x:v>
      </x:c>
      <x:c r="H470" t="str">
        <x:v>Production Codex</x:v>
      </x:c>
      <x:c r="I470" t="str">
        <x:v>Livrable explicite, tests positifs et négatifs ; aucune validation déduite de la seule présence de la fiche.</x:v>
      </x:c>
      <x:c r="J470" t="str">
        <x:v>https://github.com/darknigthmare/deadwall-last-enclosure/blob/e28f46223e73105ab2c5d83f3d50b99b58ef53e6/docs/codex/suivi-monde2026/CAMPAGNE_G11_2026.md</x:v>
      </x:c>
    </x:row>
    <x:row r="471">
      <x:c r="A471" t="str">
        <x:v>EXT-MONDE-T047/rencontres</x:v>
      </x:c>
      <x:c r="B471" t="str">
        <x:v>EXT-MONDE-T047</x:v>
      </x:c>
      <x:c r="C471" t="str">
        <x:v>Trailer parks</x:v>
      </x:c>
      <x:c r="D471" t="str">
        <x:v>Camp de travailleurs</x:v>
      </x:c>
      <x:c r="E471" t="str">
        <x:v>Ennemis et faune contextualisés</x:v>
      </x:c>
      <x:c r="F471" t="str">
        <x:v>P1</x:v>
      </x:c>
      <x:c r="G471" t="str">
        <x:v>À faire</x:v>
      </x:c>
      <x:c r="H471" t="str">
        <x:v>Non affecté</x:v>
      </x:c>
      <x:c r="I471" t="str">
        <x:v>Livrable explicite, tests positifs et négatifs ; aucune validation déduite de la seule présence de la fiche.</x:v>
      </x:c>
      <x:c r="J471" t="str"/>
    </x:row>
    <x:row r="472">
      <x:c r="A472" t="str">
        <x:v>EXT-MONDE-T047/services</x:v>
      </x:c>
      <x:c r="B472" t="str">
        <x:v>EXT-MONDE-T047</x:v>
      </x:c>
      <x:c r="C472" t="str">
        <x:v>Trailer parks</x:v>
      </x:c>
      <x:c r="D472" t="str">
        <x:v>Camp de travailleurs</x:v>
      </x:c>
      <x:c r="E472" t="str">
        <x:v>Énergie, eau et interactions</x:v>
      </x:c>
      <x:c r="F472" t="str">
        <x:v>P1</x:v>
      </x:c>
      <x:c r="G472" t="str">
        <x:v>En cours</x:v>
      </x:c>
      <x:c r="H472" t="str">
        <x:v>Production Codex</x:v>
      </x:c>
      <x:c r="I472" t="str">
        <x:v>Livrable explicite, tests positifs et négatifs ; aucune validation déduite de la seule présence de la fiche.
Avancement et limites : 1130 supports proposés, 1130 poses de travail acceptées sur 50 modèles ; transactions et parcours complets ont leurs preuves distinctes, eau potable, assainissement et réseau électrique non raccordés. Récupération de pluie214 : 157 tonneaux physiques et 157 poses de travail contrôlés sur 50 modèles ; transactions natives et UI qualifiées séparément. Preuve de supports : docs/codex/suivi-monde2026/RECUPERATEURS_G11_2026.md.</x:v>
      </x:c>
      <x:c r="J472" t="str">
        <x:v>https://github.com/darknigthmare/deadwall-last-enclosure/blob/e28f46223e73105ab2c5d83f3d50b99b58ef53e6/docs/codex/suivi-monde2026/SERVICES_G11_2026.md</x:v>
      </x:c>
    </x:row>
    <x:row r="473">
      <x:c r="A473" t="str">
        <x:v>EXT-MONDE-T047/art</x:v>
      </x:c>
      <x:c r="B473" t="str">
        <x:v>EXT-MONDE-T047</x:v>
      </x:c>
      <x:c r="C473" t="str">
        <x:v>Trailer parks</x:v>
      </x:c>
      <x:c r="D473" t="str">
        <x:v>Camp de travailleurs</x:v>
      </x:c>
      <x:c r="E473" t="str">
        <x:v>Sprites, proportions et animations</x:v>
      </x:c>
      <x:c r="F473" t="str">
        <x:v>P1</x:v>
      </x:c>
      <x:c r="G473" t="str">
        <x:v>En cours</x:v>
      </x:c>
      <x:c r="H473" t="str">
        <x:v>Production Codex</x:v>
      </x:c>
      <x:c r="I473" t="str">
        <x:v>Livrable explicite, tests positifs et négatifs ; aucune validation déduite de la seule présence de la fiche.
Avancement et limites : Présentation native préparée sur le modèle V01 de cette famille ; activité, pause, interruption, emprise et lecture pure contrôlées, sans qualifier les 50 variantes.</x:v>
      </x:c>
      <x:c r="J473" t="str">
        <x:v>https://github.com/darknigthmare/deadwall-last-enclosure/blob/e28f46223e73105ab2c5d83f3d50b99b58ef53e6/docs/codex/suivi-monde2026/SERVICES_G11_2026.md#presentation-preparee</x:v>
      </x:c>
    </x:row>
    <x:row r="474">
      <x:c r="A474" t="str">
        <x:v>EXT-MONDE-T047/sauvegarde</x:v>
      </x:c>
      <x:c r="B474" t="str">
        <x:v>EXT-MONDE-T047</x:v>
      </x:c>
      <x:c r="C474" t="str">
        <x:v>Trailer parks</x:v>
      </x:c>
      <x:c r="D474" t="str">
        <x:v>Camp de travailleurs</x:v>
      </x:c>
      <x:c r="E474" t="str">
        <x:v>Identités, migration et reprise</x:v>
      </x:c>
      <x:c r="F474" t="str">
        <x:v>P1</x:v>
      </x:c>
      <x:c r="G474" t="str">
        <x:v>En cours</x:v>
      </x:c>
      <x:c r="H474" t="str">
        <x:v>Production Codex</x:v>
      </x:c>
      <x:c r="I474" t="str">
        <x:v>Livrable explicite, tests positifs et négatifs ; aucune validation déduite de la seule présence de la fiche.
Avancement et limites : Reprise auteur contrôlée ; migration G10→G11 et prélèvements persistants disposent de cas de campagne distincts. Tous les services et variantes restent à qualifier.</x:v>
      </x:c>
      <x:c r="J474" t="str">
        <x:v>https://github.com/darknigthmare/deadwall-last-enclosure/blob/e28f46223e73105ab2c5d83f3d50b99b58ef53e6/docs/codex/suivi-monde2026/INSPECTION_PHYSIQUE_2026.md</x:v>
      </x:c>
    </x:row>
    <x:row r="475">
      <x:c r="A475" t="str">
        <x:v>EXT-MONDE-T047/qa</x:v>
      </x:c>
      <x:c r="B475" t="str">
        <x:v>EXT-MONDE-T047</x:v>
      </x:c>
      <x:c r="C475" t="str">
        <x:v>Trailer parks</x:v>
      </x:c>
      <x:c r="D475" t="str">
        <x:v>Camp de travailleurs</x:v>
      </x:c>
      <x:c r="E475" t="str">
        <x:v>Navigation et parcours jouables</x:v>
      </x:c>
      <x:c r="F475" t="str">
        <x:v>P1</x:v>
      </x:c>
      <x:c r="G475" t="str">
        <x:v>En cours</x:v>
      </x:c>
      <x:c r="H475" t="str">
        <x:v>Production Codex</x:v>
      </x:c>
      <x:c r="I475" t="str">
        <x:v>Livrable explicite, tests positifs et négatifs ; aucune validation déduite de la seule présence de la fiche.
Avancement et limites : Inspection des 50 variantes et parcours G11 préparés sur ordinateur/tactile documentés séparément ; couverture complète des services et campagne humaine encore ouvertes.</x:v>
      </x:c>
      <x:c r="J475" t="str">
        <x:v>https://github.com/darknigthmare/deadwall-last-enclosure/blob/e28f46223e73105ab2c5d83f3d50b99b58ef53e6/docs/codex/suivi-monde2026/INSPECTION_PHYSIQUE_2026.md</x:v>
      </x:c>
    </x:row>
    <x:row r="476">
      <x:c r="A476" t="str">
        <x:v>EXT-MONDE-T048/dimensions</x:v>
      </x:c>
      <x:c r="B476" t="str">
        <x:v>EXT-MONDE-T048</x:v>
      </x:c>
      <x:c r="C476" t="str">
        <x:v>Trailer parks</x:v>
      </x:c>
      <x:c r="D476" t="str">
        <x:v>Parc de caravanes abandonné</x:v>
      </x:c>
      <x:c r="E476" t="str">
        <x:v>Dimensions et plans de référence</x:v>
      </x:c>
      <x:c r="F476" t="str">
        <x:v>P0</x:v>
      </x:c>
      <x:c r="G476" t="str">
        <x:v>En cours</x:v>
      </x:c>
      <x:c r="H476" t="str">
        <x:v>Production Codex</x:v>
      </x:c>
      <x:c r="I476" t="str">
        <x:v>Sources publiques identifiées ; unités en mètres ; emprise au sol distincte de la hauteur.</x:v>
      </x:c>
      <x:c r="J476" t="str">
        <x:v>https://github.com/darknigthmare/deadwall-last-enclosure/blob/e28f46223e73105ab2c5d83f3d50b99b58ef53e6/docs/codex/suivi-monde2026/RESIDENTIEL_2026.md</x:v>
      </x:c>
    </x:row>
    <x:row r="477">
      <x:c r="A477" t="str">
        <x:v>EXT-MONDE-T048/architecture</x:v>
      </x:c>
      <x:c r="B477" t="str">
        <x:v>EXT-MONDE-T048</x:v>
      </x:c>
      <x:c r="C477" t="str">
        <x:v>Trailer parks</x:v>
      </x:c>
      <x:c r="D477" t="str">
        <x:v>Parc de caravanes abandonné</x:v>
      </x:c>
      <x:c r="E477" t="str">
        <x:v>Pièces, étages, annexes</x:v>
      </x:c>
      <x:c r="F477" t="str">
        <x:v>P0</x:v>
      </x:c>
      <x:c r="G477" t="str">
        <x:v>En cours</x:v>
      </x:c>
      <x:c r="H477" t="str">
        <x:v>Production Codex</x:v>
      </x:c>
      <x:c r="I477" t="str">
        <x:v>Livrable explicite, tests positifs et négatifs ; aucune validation déduite de la seule présence de la fiche.
Avancement et limites : 50 modèles G11 éligibles, 16 implantations témoins. Murs, portes et mobilier raccordés ; caravanes fermées et réseaux complets encore ouverts.</x:v>
      </x:c>
      <x:c r="J477" t="str">
        <x:v>https://github.com/darknigthmare/deadwall-last-enclosure/blob/e28f46223e73105ab2c5d83f3d50b99b58ef53e6/docs/codex/suivi-monde2026/INSPECTION_PHYSIQUE_2026.md</x:v>
      </x:c>
    </x:row>
    <x:row r="478">
      <x:c r="A478" t="str">
        <x:v>EXT-MONDE-T048/seed</x:v>
      </x:c>
      <x:c r="B478" t="str">
        <x:v>EXT-MONDE-T048</x:v>
      </x:c>
      <x:c r="C478" t="str">
        <x:v>Trailer parks</x:v>
      </x:c>
      <x:c r="D478" t="str">
        <x:v>Parc de caravanes abandonné</x:v>
      </x:c>
      <x:c r="E478" t="str">
        <x:v>Implantation et réseaux</x:v>
      </x:c>
      <x:c r="F478" t="str">
        <x:v>P0</x:v>
      </x:c>
      <x:c r="G478" t="str">
        <x:v>En cours</x:v>
      </x:c>
      <x:c r="H478" t="str">
        <x:v>Production Codex</x:v>
      </x:c>
      <x:c r="I478" t="str">
        <x:v>Accès individuel des lots ; distances et dégagements vérifiés ; réseau interne raccordé à une entrée réelle.</x:v>
      </x:c>
      <x:c r="J478" t="str">
        <x:v>https://github.com/darknigthmare/deadwall-last-enclosure/blob/e28f46223e73105ab2c5d83f3d50b99b58ef53e6/docs/codex/suivi-monde2026/CAMPAGNE_G11_2026.md</x:v>
      </x:c>
    </x:row>
    <x:row r="479">
      <x:c r="A479" t="str">
        <x:v>EXT-MONDE-T048/props</x:v>
      </x:c>
      <x:c r="B479" t="str">
        <x:v>EXT-MONDE-T048</x:v>
      </x:c>
      <x:c r="C479" t="str">
        <x:v>Trailer parks</x:v>
      </x:c>
      <x:c r="D479" t="str">
        <x:v>Parc de caravanes abandonné</x:v>
      </x:c>
      <x:c r="E479" t="str">
        <x:v>Objets, décors et dégagements</x:v>
      </x:c>
      <x:c r="F479" t="str">
        <x:v>P1</x:v>
      </x:c>
      <x:c r="G479" t="str">
        <x:v>En cours</x:v>
      </x:c>
      <x:c r="H479" t="str">
        <x:v>Production Codex</x:v>
      </x:c>
      <x:c r="I479" t="str">
        <x:v>Livrable explicite, tests positifs et négatifs ; aucune validation déduite de la seule présence de la fiche.</x:v>
      </x:c>
      <x:c r="J479" t="str">
        <x:v>https://github.com/darknigthmare/deadwall-last-enclosure/blob/e28f46223e73105ab2c5d83f3d50b99b58ef53e6/docs/codex/suivi-monde2026/INSPECTION_PHYSIQUE_2026.md</x:v>
      </x:c>
    </x:row>
    <x:row r="480">
      <x:c r="A480" t="str">
        <x:v>EXT-MONDE-T048/loot</x:v>
      </x:c>
      <x:c r="B480" t="str">
        <x:v>EXT-MONDE-T048</x:v>
      </x:c>
      <x:c r="C480" t="str">
        <x:v>Trailer parks</x:v>
      </x:c>
      <x:c r="D480" t="str">
        <x:v>Parc de caravanes abandonné</x:v>
      </x:c>
      <x:c r="E480" t="str">
        <x:v>Budget de butin persistant</x:v>
      </x:c>
      <x:c r="F480" t="str">
        <x:v>P1</x:v>
      </x:c>
      <x:c r="G480" t="str">
        <x:v>En cours</x:v>
      </x:c>
      <x:c r="H480" t="str">
        <x:v>Production Codex</x:v>
      </x:c>
      <x:c r="I480" t="str">
        <x:v>Livrable explicite, tests positifs et négatifs ; aucune validation déduite de la seule présence de la fiche.</x:v>
      </x:c>
      <x:c r="J480" t="str">
        <x:v>https://github.com/darknigthmare/deadwall-last-enclosure/blob/e28f46223e73105ab2c5d83f3d50b99b58ef53e6/docs/codex/suivi-monde2026/CAMPAGNE_G11_2026.md</x:v>
      </x:c>
    </x:row>
    <x:row r="481">
      <x:c r="A481" t="str">
        <x:v>EXT-MONDE-T048/rencontres</x:v>
      </x:c>
      <x:c r="B481" t="str">
        <x:v>EXT-MONDE-T048</x:v>
      </x:c>
      <x:c r="C481" t="str">
        <x:v>Trailer parks</x:v>
      </x:c>
      <x:c r="D481" t="str">
        <x:v>Parc de caravanes abandonné</x:v>
      </x:c>
      <x:c r="E481" t="str">
        <x:v>Ennemis et faune contextualisés</x:v>
      </x:c>
      <x:c r="F481" t="str">
        <x:v>P1</x:v>
      </x:c>
      <x:c r="G481" t="str">
        <x:v>À faire</x:v>
      </x:c>
      <x:c r="H481" t="str">
        <x:v>Non affecté</x:v>
      </x:c>
      <x:c r="I481" t="str">
        <x:v>Livrable explicite, tests positifs et négatifs ; aucune validation déduite de la seule présence de la fiche.</x:v>
      </x:c>
      <x:c r="J481" t="str"/>
    </x:row>
    <x:row r="482">
      <x:c r="A482" t="str">
        <x:v>EXT-MONDE-T048/services</x:v>
      </x:c>
      <x:c r="B482" t="str">
        <x:v>EXT-MONDE-T048</x:v>
      </x:c>
      <x:c r="C482" t="str">
        <x:v>Trailer parks</x:v>
      </x:c>
      <x:c r="D482" t="str">
        <x:v>Parc de caravanes abandonné</x:v>
      </x:c>
      <x:c r="E482" t="str">
        <x:v>Énergie, eau et interactions</x:v>
      </x:c>
      <x:c r="F482" t="str">
        <x:v>P1</x:v>
      </x:c>
      <x:c r="G482" t="str">
        <x:v>En cours</x:v>
      </x:c>
      <x:c r="H482" t="str">
        <x:v>Production Codex</x:v>
      </x:c>
      <x:c r="I482" t="str">
        <x:v>Livrable explicite, tests positifs et négatifs ; aucune validation déduite de la seule présence de la fiche.
Avancement et limites : 445 supports proposés, 445 poses de travail acceptées sur 50 modèles ; transactions et parcours complets ont leurs preuves distinctes, eau potable, assainissement et réseau électrique non raccordés. Récupération de pluie214 : 157 tonneaux physiques et 157 poses de travail contrôlés sur 50 modèles ; transactions natives et UI qualifiées séparément. Preuve de supports : docs/codex/suivi-monde2026/RECUPERATEURS_G11_2026.md.</x:v>
      </x:c>
      <x:c r="J482" t="str">
        <x:v>https://github.com/darknigthmare/deadwall-last-enclosure/blob/e28f46223e73105ab2c5d83f3d50b99b58ef53e6/docs/codex/suivi-monde2026/SERVICES_G11_2026.md</x:v>
      </x:c>
    </x:row>
    <x:row r="483">
      <x:c r="A483" t="str">
        <x:v>EXT-MONDE-T048/art</x:v>
      </x:c>
      <x:c r="B483" t="str">
        <x:v>EXT-MONDE-T048</x:v>
      </x:c>
      <x:c r="C483" t="str">
        <x:v>Trailer parks</x:v>
      </x:c>
      <x:c r="D483" t="str">
        <x:v>Parc de caravanes abandonné</x:v>
      </x:c>
      <x:c r="E483" t="str">
        <x:v>Sprites, proportions et animations</x:v>
      </x:c>
      <x:c r="F483" t="str">
        <x:v>P1</x:v>
      </x:c>
      <x:c r="G483" t="str">
        <x:v>En cours</x:v>
      </x:c>
      <x:c r="H483" t="str">
        <x:v>Production Codex</x:v>
      </x:c>
      <x:c r="I483" t="str">
        <x:v>Livrable explicite, tests positifs et négatifs ; aucune validation déduite de la seule présence de la fiche.
Avancement et limites : Présentation native préparée sur le modèle V01 de cette famille ; activité, pause, interruption, emprise et lecture pure contrôlées, sans qualifier les 50 variantes.</x:v>
      </x:c>
      <x:c r="J483" t="str">
        <x:v>https://github.com/darknigthmare/deadwall-last-enclosure/blob/e28f46223e73105ab2c5d83f3d50b99b58ef53e6/docs/codex/suivi-monde2026/SERVICES_G11_2026.md#presentation-preparee</x:v>
      </x:c>
    </x:row>
    <x:row r="484">
      <x:c r="A484" t="str">
        <x:v>EXT-MONDE-T048/sauvegarde</x:v>
      </x:c>
      <x:c r="B484" t="str">
        <x:v>EXT-MONDE-T048</x:v>
      </x:c>
      <x:c r="C484" t="str">
        <x:v>Trailer parks</x:v>
      </x:c>
      <x:c r="D484" t="str">
        <x:v>Parc de caravanes abandonné</x:v>
      </x:c>
      <x:c r="E484" t="str">
        <x:v>Identités, migration et reprise</x:v>
      </x:c>
      <x:c r="F484" t="str">
        <x:v>P1</x:v>
      </x:c>
      <x:c r="G484" t="str">
        <x:v>En cours</x:v>
      </x:c>
      <x:c r="H484" t="str">
        <x:v>Production Codex</x:v>
      </x:c>
      <x:c r="I484" t="str">
        <x:v>Livrable explicite, tests positifs et négatifs ; aucune validation déduite de la seule présence de la fiche.
Avancement et limites : Reprise auteur contrôlée ; migration G10→G11 et prélèvements persistants disposent de cas de campagne distincts. Tous les services et variantes restent à qualifier.</x:v>
      </x:c>
      <x:c r="J484" t="str">
        <x:v>https://github.com/darknigthmare/deadwall-last-enclosure/blob/e28f46223e73105ab2c5d83f3d50b99b58ef53e6/docs/codex/suivi-monde2026/INSPECTION_PHYSIQUE_2026.md</x:v>
      </x:c>
    </x:row>
    <x:row r="485">
      <x:c r="A485" t="str">
        <x:v>EXT-MONDE-T048/qa</x:v>
      </x:c>
      <x:c r="B485" t="str">
        <x:v>EXT-MONDE-T048</x:v>
      </x:c>
      <x:c r="C485" t="str">
        <x:v>Trailer parks</x:v>
      </x:c>
      <x:c r="D485" t="str">
        <x:v>Parc de caravanes abandonné</x:v>
      </x:c>
      <x:c r="E485" t="str">
        <x:v>Navigation et parcours jouables</x:v>
      </x:c>
      <x:c r="F485" t="str">
        <x:v>P1</x:v>
      </x:c>
      <x:c r="G485" t="str">
        <x:v>En cours</x:v>
      </x:c>
      <x:c r="H485" t="str">
        <x:v>Production Codex</x:v>
      </x:c>
      <x:c r="I485" t="str">
        <x:v>Livrable explicite, tests positifs et négatifs ; aucune validation déduite de la seule présence de la fiche.
Avancement et limites : Inspection des 50 variantes et parcours G11 préparés sur ordinateur/tactile documentés séparément ; couverture complète des services et campagne humaine encore ouvertes.</x:v>
      </x:c>
      <x:c r="J485" t="str">
        <x:v>https://github.com/darknigthmare/deadwall-last-enclosure/blob/e28f46223e73105ab2c5d83f3d50b99b58ef53e6/docs/codex/suivi-monde2026/INSPECTION_PHYSIQUE_2026.md</x:v>
      </x:c>
    </x:row>
    <x:row r="486">
      <x:c r="A486" t="str">
        <x:v>EXT-MONDE-T049/dimensions</x:v>
      </x:c>
      <x:c r="B486" t="str">
        <x:v>EXT-MONDE-T049</x:v>
      </x:c>
      <x:c r="C486" t="str">
        <x:v>Parcs attractions</x:v>
      </x:c>
      <x:c r="D486" t="str">
        <x:v>Parc familial</x:v>
      </x:c>
      <x:c r="E486" t="str">
        <x:v>Dimensions et plans de référence</x:v>
      </x:c>
      <x:c r="F486" t="str">
        <x:v>P0</x:v>
      </x:c>
      <x:c r="G486" t="str">
        <x:v>En cours</x:v>
      </x:c>
      <x:c r="H486" t="str">
        <x:v>Production Codex</x:v>
      </x:c>
      <x:c r="I486" t="str">
        <x:v>Sources publiques identifiées ; unités en mètres ; emprise au sol distincte de la hauteur.</x:v>
      </x:c>
      <x:c r="J486" t="str">
        <x:v>https://github.com/darknigthmare/deadwall-last-enclosure/blob/e28f46223e73105ab2c5d83f3d50b99b58ef53e6/docs/codex/suivi-monde2026/PARCS_SPORTS_2026.md</x:v>
      </x:c>
    </x:row>
    <x:row r="487">
      <x:c r="A487" t="str">
        <x:v>EXT-MONDE-T049/architecture</x:v>
      </x:c>
      <x:c r="B487" t="str">
        <x:v>EXT-MONDE-T049</x:v>
      </x:c>
      <x:c r="C487" t="str">
        <x:v>Parcs attractions</x:v>
      </x:c>
      <x:c r="D487" t="str">
        <x:v>Parc familial</x:v>
      </x:c>
      <x:c r="E487" t="str">
        <x:v>Pièces, étages, annexes</x:v>
      </x:c>
      <x:c r="F487" t="str">
        <x:v>P0</x:v>
      </x:c>
      <x:c r="G487" t="str">
        <x:v>En cours</x:v>
      </x:c>
      <x:c r="H487" t="str">
        <x:v>Production Codex</x:v>
      </x:c>
      <x:c r="I487" t="str">
        <x:v>Livrable explicite, tests positifs et négatifs ; aucune validation déduite de la seule présence de la fiche.</x:v>
      </x:c>
      <x:c r="J487" t="str">
        <x:v>https://github.com/darknigthmare/deadwall-last-enclosure/blob/e28f46223e73105ab2c5d83f3d50b99b58ef53e6/docs/codex/suivi-monde2026/INSPECTION_PHYSIQUE_2026.md</x:v>
      </x:c>
    </x:row>
    <x:row r="488">
      <x:c r="A488" t="str">
        <x:v>EXT-MONDE-T049/seed</x:v>
      </x:c>
      <x:c r="B488" t="str">
        <x:v>EXT-MONDE-T049</x:v>
      </x:c>
      <x:c r="C488" t="str">
        <x:v>Parcs attractions</x:v>
      </x:c>
      <x:c r="D488" t="str">
        <x:v>Parc familial</x:v>
      </x:c>
      <x:c r="E488" t="str">
        <x:v>Implantation et réseaux</x:v>
      </x:c>
      <x:c r="F488" t="str">
        <x:v>P0</x:v>
      </x:c>
      <x:c r="G488" t="str">
        <x:v>À faire</x:v>
      </x:c>
      <x:c r="H488" t="str">
        <x:v>Non affecté</x:v>
      </x:c>
      <x:c r="I488" t="str">
        <x:v>Flux visiteurs/service séparés ; voies de retour ; attractions à l’échelle sans simple compression graphique.</x:v>
      </x:c>
      <x:c r="J488" t="str"/>
    </x:row>
    <x:row r="489">
      <x:c r="A489" t="str">
        <x:v>EXT-MONDE-T049/props</x:v>
      </x:c>
      <x:c r="B489" t="str">
        <x:v>EXT-MONDE-T049</x:v>
      </x:c>
      <x:c r="C489" t="str">
        <x:v>Parcs attractions</x:v>
      </x:c>
      <x:c r="D489" t="str">
        <x:v>Parc familial</x:v>
      </x:c>
      <x:c r="E489" t="str">
        <x:v>Objets, décors et dégagements</x:v>
      </x:c>
      <x:c r="F489" t="str">
        <x:v>P1</x:v>
      </x:c>
      <x:c r="G489" t="str">
        <x:v>En cours</x:v>
      </x:c>
      <x:c r="H489" t="str">
        <x:v>Production Codex</x:v>
      </x:c>
      <x:c r="I489" t="str">
        <x:v>Livrable explicite, tests positifs et négatifs ; aucune validation déduite de la seule présence de la fiche.</x:v>
      </x:c>
      <x:c r="J489" t="str">
        <x:v>https://github.com/darknigthmare/deadwall-last-enclosure/blob/e28f46223e73105ab2c5d83f3d50b99b58ef53e6/docs/codex/suivi-monde2026/INSPECTION_PHYSIQUE_2026.md</x:v>
      </x:c>
    </x:row>
    <x:row r="490">
      <x:c r="A490" t="str">
        <x:v>EXT-MONDE-T049/loot</x:v>
      </x:c>
      <x:c r="B490" t="str">
        <x:v>EXT-MONDE-T049</x:v>
      </x:c>
      <x:c r="C490" t="str">
        <x:v>Parcs attractions</x:v>
      </x:c>
      <x:c r="D490" t="str">
        <x:v>Parc familial</x:v>
      </x:c>
      <x:c r="E490" t="str">
        <x:v>Budget de butin persistant</x:v>
      </x:c>
      <x:c r="F490" t="str">
        <x:v>P1</x:v>
      </x:c>
      <x:c r="G490" t="str">
        <x:v>À faire</x:v>
      </x:c>
      <x:c r="H490" t="str">
        <x:v>Non affecté</x:v>
      </x:c>
      <x:c r="I490" t="str">
        <x:v>Livrable explicite, tests positifs et négatifs ; aucune validation déduite de la seule présence de la fiche.</x:v>
      </x:c>
      <x:c r="J490" t="str"/>
    </x:row>
    <x:row r="491">
      <x:c r="A491" t="str">
        <x:v>EXT-MONDE-T049/rencontres</x:v>
      </x:c>
      <x:c r="B491" t="str">
        <x:v>EXT-MONDE-T049</x:v>
      </x:c>
      <x:c r="C491" t="str">
        <x:v>Parcs attractions</x:v>
      </x:c>
      <x:c r="D491" t="str">
        <x:v>Parc familial</x:v>
      </x:c>
      <x:c r="E491" t="str">
        <x:v>Ennemis et faune contextualisés</x:v>
      </x:c>
      <x:c r="F491" t="str">
        <x:v>P1</x:v>
      </x:c>
      <x:c r="G491" t="str">
        <x:v>À faire</x:v>
      </x:c>
      <x:c r="H491" t="str">
        <x:v>Non affecté</x:v>
      </x:c>
      <x:c r="I491" t="str">
        <x:v>Livrable explicite, tests positifs et négatifs ; aucune validation déduite de la seule présence de la fiche.</x:v>
      </x:c>
      <x:c r="J491" t="str"/>
    </x:row>
    <x:row r="492">
      <x:c r="A492" t="str">
        <x:v>EXT-MONDE-T049/services</x:v>
      </x:c>
      <x:c r="B492" t="str">
        <x:v>EXT-MONDE-T049</x:v>
      </x:c>
      <x:c r="C492" t="str">
        <x:v>Parcs attractions</x:v>
      </x:c>
      <x:c r="D492" t="str">
        <x:v>Parc familial</x:v>
      </x:c>
      <x:c r="E492" t="str">
        <x:v>Énergie, eau et interactions</x:v>
      </x:c>
      <x:c r="F492" t="str">
        <x:v>P1</x:v>
      </x:c>
      <x:c r="G492" t="str">
        <x:v>À faire</x:v>
      </x:c>
      <x:c r="H492" t="str">
        <x:v>Non affecté</x:v>
      </x:c>
      <x:c r="I492" t="str">
        <x:v>Livrable explicite, tests positifs et négatifs ; aucune validation déduite de la seule présence de la fiche.</x:v>
      </x:c>
      <x:c r="J492" t="str"/>
    </x:row>
    <x:row r="493">
      <x:c r="A493" t="str">
        <x:v>EXT-MONDE-T049/art</x:v>
      </x:c>
      <x:c r="B493" t="str">
        <x:v>EXT-MONDE-T049</x:v>
      </x:c>
      <x:c r="C493" t="str">
        <x:v>Parcs attractions</x:v>
      </x:c>
      <x:c r="D493" t="str">
        <x:v>Parc familial</x:v>
      </x:c>
      <x:c r="E493" t="str">
        <x:v>Sprites, proportions et animations</x:v>
      </x:c>
      <x:c r="F493" t="str">
        <x:v>P1</x:v>
      </x:c>
      <x:c r="G493" t="str">
        <x:v>À faire</x:v>
      </x:c>
      <x:c r="H493" t="str">
        <x:v>Non affecté</x:v>
      </x:c>
      <x:c r="I493" t="str">
        <x:v>Livrable explicite, tests positifs et négatifs ; aucune validation déduite de la seule présence de la fiche.</x:v>
      </x:c>
      <x:c r="J493" t="str"/>
    </x:row>
    <x:row r="494">
      <x:c r="A494" t="str">
        <x:v>EXT-MONDE-T049/sauvegarde</x:v>
      </x:c>
      <x:c r="B494" t="str">
        <x:v>EXT-MONDE-T049</x:v>
      </x:c>
      <x:c r="C494" t="str">
        <x:v>Parcs attractions</x:v>
      </x:c>
      <x:c r="D494" t="str">
        <x:v>Parc familial</x:v>
      </x:c>
      <x:c r="E494" t="str">
        <x:v>Identités, migration et reprise</x:v>
      </x:c>
      <x:c r="F494" t="str">
        <x:v>P1</x:v>
      </x:c>
      <x:c r="G494" t="str">
        <x:v>En cours</x:v>
      </x:c>
      <x:c r="H494" t="str">
        <x:v>Production Codex</x:v>
      </x:c>
      <x:c r="I494" t="str">
        <x:v>Livrable explicite, tests positifs et négatifs ; aucune validation déduite de la seule présence de la fiche.</x:v>
      </x:c>
      <x:c r="J494" t="str">
        <x:v>https://github.com/darknigthmare/deadwall-last-enclosure/blob/e28f46223e73105ab2c5d83f3d50b99b58ef53e6/docs/codex/suivi-monde2026/INSPECTION_PHYSIQUE_2026.md</x:v>
      </x:c>
    </x:row>
    <x:row r="495">
      <x:c r="A495" t="str">
        <x:v>EXT-MONDE-T049/qa</x:v>
      </x:c>
      <x:c r="B495" t="str">
        <x:v>EXT-MONDE-T049</x:v>
      </x:c>
      <x:c r="C495" t="str">
        <x:v>Parcs attractions</x:v>
      </x:c>
      <x:c r="D495" t="str">
        <x:v>Parc familial</x:v>
      </x:c>
      <x:c r="E495" t="str">
        <x:v>Navigation et parcours jouables</x:v>
      </x:c>
      <x:c r="F495" t="str">
        <x:v>P1</x:v>
      </x:c>
      <x:c r="G495" t="str">
        <x:v>En cours</x:v>
      </x:c>
      <x:c r="H495" t="str">
        <x:v>Production Codex</x:v>
      </x:c>
      <x:c r="I495" t="str">
        <x:v>Livrable explicite, tests positifs et négatifs ; aucune validation déduite de la seule présence de la fiche.</x:v>
      </x:c>
      <x:c r="J495" t="str">
        <x:v>https://github.com/darknigthmare/deadwall-last-enclosure/blob/e28f46223e73105ab2c5d83f3d50b99b58ef53e6/docs/codex/suivi-monde2026/INSPECTION_PHYSIQUE_2026.md</x:v>
      </x:c>
    </x:row>
    <x:row r="496">
      <x:c r="A496" t="str">
        <x:v>EXT-MONDE-T050/dimensions</x:v>
      </x:c>
      <x:c r="B496" t="str">
        <x:v>EXT-MONDE-T050</x:v>
      </x:c>
      <x:c r="C496" t="str">
        <x:v>Parcs attractions</x:v>
      </x:c>
      <x:c r="D496" t="str">
        <x:v>Parc à sensations</x:v>
      </x:c>
      <x:c r="E496" t="str">
        <x:v>Dimensions et plans de référence</x:v>
      </x:c>
      <x:c r="F496" t="str">
        <x:v>P0</x:v>
      </x:c>
      <x:c r="G496" t="str">
        <x:v>En cours</x:v>
      </x:c>
      <x:c r="H496" t="str">
        <x:v>Production Codex</x:v>
      </x:c>
      <x:c r="I496" t="str">
        <x:v>Sources publiques identifiées ; unités en mètres ; emprise au sol distincte de la hauteur.</x:v>
      </x:c>
      <x:c r="J496" t="str">
        <x:v>https://github.com/darknigthmare/deadwall-last-enclosure/blob/e28f46223e73105ab2c5d83f3d50b99b58ef53e6/docs/codex/suivi-monde2026/PARCS_SPORTS_2026.md</x:v>
      </x:c>
    </x:row>
    <x:row r="497">
      <x:c r="A497" t="str">
        <x:v>EXT-MONDE-T050/architecture</x:v>
      </x:c>
      <x:c r="B497" t="str">
        <x:v>EXT-MONDE-T050</x:v>
      </x:c>
      <x:c r="C497" t="str">
        <x:v>Parcs attractions</x:v>
      </x:c>
      <x:c r="D497" t="str">
        <x:v>Parc à sensations</x:v>
      </x:c>
      <x:c r="E497" t="str">
        <x:v>Pièces, étages, annexes</x:v>
      </x:c>
      <x:c r="F497" t="str">
        <x:v>P0</x:v>
      </x:c>
      <x:c r="G497" t="str">
        <x:v>En cours</x:v>
      </x:c>
      <x:c r="H497" t="str">
        <x:v>Production Codex</x:v>
      </x:c>
      <x:c r="I497" t="str">
        <x:v>Livrable explicite, tests positifs et négatifs ; aucune validation déduite de la seule présence de la fiche.</x:v>
      </x:c>
      <x:c r="J497" t="str">
        <x:v>https://github.com/darknigthmare/deadwall-last-enclosure/blob/e28f46223e73105ab2c5d83f3d50b99b58ef53e6/docs/codex/suivi-monde2026/INSPECTION_PHYSIQUE_2026.md</x:v>
      </x:c>
    </x:row>
    <x:row r="498">
      <x:c r="A498" t="str">
        <x:v>EXT-MONDE-T050/seed</x:v>
      </x:c>
      <x:c r="B498" t="str">
        <x:v>EXT-MONDE-T050</x:v>
      </x:c>
      <x:c r="C498" t="str">
        <x:v>Parcs attractions</x:v>
      </x:c>
      <x:c r="D498" t="str">
        <x:v>Parc à sensations</x:v>
      </x:c>
      <x:c r="E498" t="str">
        <x:v>Implantation et réseaux</x:v>
      </x:c>
      <x:c r="F498" t="str">
        <x:v>P0</x:v>
      </x:c>
      <x:c r="G498" t="str">
        <x:v>À faire</x:v>
      </x:c>
      <x:c r="H498" t="str">
        <x:v>Non affecté</x:v>
      </x:c>
      <x:c r="I498" t="str">
        <x:v>Flux visiteurs/service séparés ; voies de retour ; attractions à l’échelle sans simple compression graphique.</x:v>
      </x:c>
      <x:c r="J498" t="str"/>
    </x:row>
    <x:row r="499">
      <x:c r="A499" t="str">
        <x:v>EXT-MONDE-T050/props</x:v>
      </x:c>
      <x:c r="B499" t="str">
        <x:v>EXT-MONDE-T050</x:v>
      </x:c>
      <x:c r="C499" t="str">
        <x:v>Parcs attractions</x:v>
      </x:c>
      <x:c r="D499" t="str">
        <x:v>Parc à sensations</x:v>
      </x:c>
      <x:c r="E499" t="str">
        <x:v>Objets, décors et dégagements</x:v>
      </x:c>
      <x:c r="F499" t="str">
        <x:v>P1</x:v>
      </x:c>
      <x:c r="G499" t="str">
        <x:v>En cours</x:v>
      </x:c>
      <x:c r="H499" t="str">
        <x:v>Production Codex</x:v>
      </x:c>
      <x:c r="I499" t="str">
        <x:v>Livrable explicite, tests positifs et négatifs ; aucune validation déduite de la seule présence de la fiche.</x:v>
      </x:c>
      <x:c r="J499" t="str">
        <x:v>https://github.com/darknigthmare/deadwall-last-enclosure/blob/e28f46223e73105ab2c5d83f3d50b99b58ef53e6/docs/codex/suivi-monde2026/INSPECTION_PHYSIQUE_2026.md</x:v>
      </x:c>
    </x:row>
    <x:row r="500">
      <x:c r="A500" t="str">
        <x:v>EXT-MONDE-T050/loot</x:v>
      </x:c>
      <x:c r="B500" t="str">
        <x:v>EXT-MONDE-T050</x:v>
      </x:c>
      <x:c r="C500" t="str">
        <x:v>Parcs attractions</x:v>
      </x:c>
      <x:c r="D500" t="str">
        <x:v>Parc à sensations</x:v>
      </x:c>
      <x:c r="E500" t="str">
        <x:v>Budget de butin persistant</x:v>
      </x:c>
      <x:c r="F500" t="str">
        <x:v>P1</x:v>
      </x:c>
      <x:c r="G500" t="str">
        <x:v>À faire</x:v>
      </x:c>
      <x:c r="H500" t="str">
        <x:v>Non affecté</x:v>
      </x:c>
      <x:c r="I500" t="str">
        <x:v>Livrable explicite, tests positifs et négatifs ; aucune validation déduite de la seule présence de la fiche.</x:v>
      </x:c>
      <x:c r="J500" t="str"/>
    </x:row>
    <x:row r="501">
      <x:c r="A501" t="str">
        <x:v>EXT-MONDE-T050/rencontres</x:v>
      </x:c>
      <x:c r="B501" t="str">
        <x:v>EXT-MONDE-T050</x:v>
      </x:c>
      <x:c r="C501" t="str">
        <x:v>Parcs attractions</x:v>
      </x:c>
      <x:c r="D501" t="str">
        <x:v>Parc à sensations</x:v>
      </x:c>
      <x:c r="E501" t="str">
        <x:v>Ennemis et faune contextualisés</x:v>
      </x:c>
      <x:c r="F501" t="str">
        <x:v>P1</x:v>
      </x:c>
      <x:c r="G501" t="str">
        <x:v>À faire</x:v>
      </x:c>
      <x:c r="H501" t="str">
        <x:v>Non affecté</x:v>
      </x:c>
      <x:c r="I501" t="str">
        <x:v>Livrable explicite, tests positifs et négatifs ; aucune validation déduite de la seule présence de la fiche.</x:v>
      </x:c>
      <x:c r="J501" t="str"/>
    </x:row>
    <x:row r="502">
      <x:c r="A502" t="str">
        <x:v>EXT-MONDE-T050/services</x:v>
      </x:c>
      <x:c r="B502" t="str">
        <x:v>EXT-MONDE-T050</x:v>
      </x:c>
      <x:c r="C502" t="str">
        <x:v>Parcs attractions</x:v>
      </x:c>
      <x:c r="D502" t="str">
        <x:v>Parc à sensations</x:v>
      </x:c>
      <x:c r="E502" t="str">
        <x:v>Énergie, eau et interactions</x:v>
      </x:c>
      <x:c r="F502" t="str">
        <x:v>P1</x:v>
      </x:c>
      <x:c r="G502" t="str">
        <x:v>À faire</x:v>
      </x:c>
      <x:c r="H502" t="str">
        <x:v>Non affecté</x:v>
      </x:c>
      <x:c r="I502" t="str">
        <x:v>Livrable explicite, tests positifs et négatifs ; aucune validation déduite de la seule présence de la fiche.</x:v>
      </x:c>
      <x:c r="J502" t="str"/>
    </x:row>
    <x:row r="503">
      <x:c r="A503" t="str">
        <x:v>EXT-MONDE-T050/art</x:v>
      </x:c>
      <x:c r="B503" t="str">
        <x:v>EXT-MONDE-T050</x:v>
      </x:c>
      <x:c r="C503" t="str">
        <x:v>Parcs attractions</x:v>
      </x:c>
      <x:c r="D503" t="str">
        <x:v>Parc à sensations</x:v>
      </x:c>
      <x:c r="E503" t="str">
        <x:v>Sprites, proportions et animations</x:v>
      </x:c>
      <x:c r="F503" t="str">
        <x:v>P1</x:v>
      </x:c>
      <x:c r="G503" t="str">
        <x:v>À faire</x:v>
      </x:c>
      <x:c r="H503" t="str">
        <x:v>Non affecté</x:v>
      </x:c>
      <x:c r="I503" t="str">
        <x:v>Livrable explicite, tests positifs et négatifs ; aucune validation déduite de la seule présence de la fiche.</x:v>
      </x:c>
      <x:c r="J503" t="str"/>
    </x:row>
    <x:row r="504">
      <x:c r="A504" t="str">
        <x:v>EXT-MONDE-T050/sauvegarde</x:v>
      </x:c>
      <x:c r="B504" t="str">
        <x:v>EXT-MONDE-T050</x:v>
      </x:c>
      <x:c r="C504" t="str">
        <x:v>Parcs attractions</x:v>
      </x:c>
      <x:c r="D504" t="str">
        <x:v>Parc à sensations</x:v>
      </x:c>
      <x:c r="E504" t="str">
        <x:v>Identités, migration et reprise</x:v>
      </x:c>
      <x:c r="F504" t="str">
        <x:v>P1</x:v>
      </x:c>
      <x:c r="G504" t="str">
        <x:v>En cours</x:v>
      </x:c>
      <x:c r="H504" t="str">
        <x:v>Production Codex</x:v>
      </x:c>
      <x:c r="I504" t="str">
        <x:v>Livrable explicite, tests positifs et négatifs ; aucune validation déduite de la seule présence de la fiche.</x:v>
      </x:c>
      <x:c r="J504" t="str">
        <x:v>https://github.com/darknigthmare/deadwall-last-enclosure/blob/e28f46223e73105ab2c5d83f3d50b99b58ef53e6/docs/codex/suivi-monde2026/INSPECTION_PHYSIQUE_2026.md</x:v>
      </x:c>
    </x:row>
    <x:row r="505">
      <x:c r="A505" t="str">
        <x:v>EXT-MONDE-T050/qa</x:v>
      </x:c>
      <x:c r="B505" t="str">
        <x:v>EXT-MONDE-T050</x:v>
      </x:c>
      <x:c r="C505" t="str">
        <x:v>Parcs attractions</x:v>
      </x:c>
      <x:c r="D505" t="str">
        <x:v>Parc à sensations</x:v>
      </x:c>
      <x:c r="E505" t="str">
        <x:v>Navigation et parcours jouables</x:v>
      </x:c>
      <x:c r="F505" t="str">
        <x:v>P1</x:v>
      </x:c>
      <x:c r="G505" t="str">
        <x:v>En cours</x:v>
      </x:c>
      <x:c r="H505" t="str">
        <x:v>Production Codex</x:v>
      </x:c>
      <x:c r="I505" t="str">
        <x:v>Livrable explicite, tests positifs et négatifs ; aucune validation déduite de la seule présence de la fiche.</x:v>
      </x:c>
      <x:c r="J505" t="str">
        <x:v>https://github.com/darknigthmare/deadwall-last-enclosure/blob/e28f46223e73105ab2c5d83f3d50b99b58ef53e6/docs/codex/suivi-monde2026/INSPECTION_PHYSIQUE_2026.md</x:v>
      </x:c>
    </x:row>
    <x:row r="506">
      <x:c r="A506" t="str">
        <x:v>EXT-MONDE-T051/dimensions</x:v>
      </x:c>
      <x:c r="B506" t="str">
        <x:v>EXT-MONDE-T051</x:v>
      </x:c>
      <x:c r="C506" t="str">
        <x:v>Parcs attractions</x:v>
      </x:c>
      <x:c r="D506" t="str">
        <x:v>Parc aquatique</x:v>
      </x:c>
      <x:c r="E506" t="str">
        <x:v>Dimensions et plans de référence</x:v>
      </x:c>
      <x:c r="F506" t="str">
        <x:v>P0</x:v>
      </x:c>
      <x:c r="G506" t="str">
        <x:v>En cours</x:v>
      </x:c>
      <x:c r="H506" t="str">
        <x:v>Production Codex</x:v>
      </x:c>
      <x:c r="I506" t="str">
        <x:v>Sources publiques identifiées ; unités en mètres ; emprise au sol distincte de la hauteur.</x:v>
      </x:c>
      <x:c r="J506" t="str">
        <x:v>https://github.com/darknigthmare/deadwall-last-enclosure/blob/e28f46223e73105ab2c5d83f3d50b99b58ef53e6/docs/codex/suivi-monde2026/PARCS_SPORTS_2026.md</x:v>
      </x:c>
    </x:row>
    <x:row r="507">
      <x:c r="A507" t="str">
        <x:v>EXT-MONDE-T051/architecture</x:v>
      </x:c>
      <x:c r="B507" t="str">
        <x:v>EXT-MONDE-T051</x:v>
      </x:c>
      <x:c r="C507" t="str">
        <x:v>Parcs attractions</x:v>
      </x:c>
      <x:c r="D507" t="str">
        <x:v>Parc aquatique</x:v>
      </x:c>
      <x:c r="E507" t="str">
        <x:v>Pièces, étages, annexes</x:v>
      </x:c>
      <x:c r="F507" t="str">
        <x:v>P0</x:v>
      </x:c>
      <x:c r="G507" t="str">
        <x:v>En cours</x:v>
      </x:c>
      <x:c r="H507" t="str">
        <x:v>Production Codex</x:v>
      </x:c>
      <x:c r="I507" t="str">
        <x:v>Livrable explicite, tests positifs et négatifs ; aucune validation déduite de la seule présence de la fiche.</x:v>
      </x:c>
      <x:c r="J507" t="str">
        <x:v>https://github.com/darknigthmare/deadwall-last-enclosure/blob/e28f46223e73105ab2c5d83f3d50b99b58ef53e6/docs/codex/suivi-monde2026/INSPECTION_PHYSIQUE_2026.md</x:v>
      </x:c>
    </x:row>
    <x:row r="508">
      <x:c r="A508" t="str">
        <x:v>EXT-MONDE-T051/seed</x:v>
      </x:c>
      <x:c r="B508" t="str">
        <x:v>EXT-MONDE-T051</x:v>
      </x:c>
      <x:c r="C508" t="str">
        <x:v>Parcs attractions</x:v>
      </x:c>
      <x:c r="D508" t="str">
        <x:v>Parc aquatique</x:v>
      </x:c>
      <x:c r="E508" t="str">
        <x:v>Implantation et réseaux</x:v>
      </x:c>
      <x:c r="F508" t="str">
        <x:v>P0</x:v>
      </x:c>
      <x:c r="G508" t="str">
        <x:v>À faire</x:v>
      </x:c>
      <x:c r="H508" t="str">
        <x:v>Non affecté</x:v>
      </x:c>
      <x:c r="I508" t="str">
        <x:v>Flux visiteurs/service séparés ; voies de retour ; attractions à l’échelle sans simple compression graphique.</x:v>
      </x:c>
      <x:c r="J508" t="str"/>
    </x:row>
    <x:row r="509">
      <x:c r="A509" t="str">
        <x:v>EXT-MONDE-T051/props</x:v>
      </x:c>
      <x:c r="B509" t="str">
        <x:v>EXT-MONDE-T051</x:v>
      </x:c>
      <x:c r="C509" t="str">
        <x:v>Parcs attractions</x:v>
      </x:c>
      <x:c r="D509" t="str">
        <x:v>Parc aquatique</x:v>
      </x:c>
      <x:c r="E509" t="str">
        <x:v>Objets, décors et dégagements</x:v>
      </x:c>
      <x:c r="F509" t="str">
        <x:v>P1</x:v>
      </x:c>
      <x:c r="G509" t="str">
        <x:v>En cours</x:v>
      </x:c>
      <x:c r="H509" t="str">
        <x:v>Production Codex</x:v>
      </x:c>
      <x:c r="I509" t="str">
        <x:v>Livrable explicite, tests positifs et négatifs ; aucune validation déduite de la seule présence de la fiche.</x:v>
      </x:c>
      <x:c r="J509" t="str">
        <x:v>https://github.com/darknigthmare/deadwall-last-enclosure/blob/e28f46223e73105ab2c5d83f3d50b99b58ef53e6/docs/codex/suivi-monde2026/INSPECTION_PHYSIQUE_2026.md</x:v>
      </x:c>
    </x:row>
    <x:row r="510">
      <x:c r="A510" t="str">
        <x:v>EXT-MONDE-T051/loot</x:v>
      </x:c>
      <x:c r="B510" t="str">
        <x:v>EXT-MONDE-T051</x:v>
      </x:c>
      <x:c r="C510" t="str">
        <x:v>Parcs attractions</x:v>
      </x:c>
      <x:c r="D510" t="str">
        <x:v>Parc aquatique</x:v>
      </x:c>
      <x:c r="E510" t="str">
        <x:v>Budget de butin persistant</x:v>
      </x:c>
      <x:c r="F510" t="str">
        <x:v>P1</x:v>
      </x:c>
      <x:c r="G510" t="str">
        <x:v>À faire</x:v>
      </x:c>
      <x:c r="H510" t="str">
        <x:v>Non affecté</x:v>
      </x:c>
      <x:c r="I510" t="str">
        <x:v>Livrable explicite, tests positifs et négatifs ; aucune validation déduite de la seule présence de la fiche.</x:v>
      </x:c>
      <x:c r="J510" t="str"/>
    </x:row>
    <x:row r="511">
      <x:c r="A511" t="str">
        <x:v>EXT-MONDE-T051/rencontres</x:v>
      </x:c>
      <x:c r="B511" t="str">
        <x:v>EXT-MONDE-T051</x:v>
      </x:c>
      <x:c r="C511" t="str">
        <x:v>Parcs attractions</x:v>
      </x:c>
      <x:c r="D511" t="str">
        <x:v>Parc aquatique</x:v>
      </x:c>
      <x:c r="E511" t="str">
        <x:v>Ennemis et faune contextualisés</x:v>
      </x:c>
      <x:c r="F511" t="str">
        <x:v>P1</x:v>
      </x:c>
      <x:c r="G511" t="str">
        <x:v>À faire</x:v>
      </x:c>
      <x:c r="H511" t="str">
        <x:v>Non affecté</x:v>
      </x:c>
      <x:c r="I511" t="str">
        <x:v>Livrable explicite, tests positifs et négatifs ; aucune validation déduite de la seule présence de la fiche.</x:v>
      </x:c>
      <x:c r="J511" t="str"/>
    </x:row>
    <x:row r="512">
      <x:c r="A512" t="str">
        <x:v>EXT-MONDE-T051/services</x:v>
      </x:c>
      <x:c r="B512" t="str">
        <x:v>EXT-MONDE-T051</x:v>
      </x:c>
      <x:c r="C512" t="str">
        <x:v>Parcs attractions</x:v>
      </x:c>
      <x:c r="D512" t="str">
        <x:v>Parc aquatique</x:v>
      </x:c>
      <x:c r="E512" t="str">
        <x:v>Énergie, eau et interactions</x:v>
      </x:c>
      <x:c r="F512" t="str">
        <x:v>P1</x:v>
      </x:c>
      <x:c r="G512" t="str">
        <x:v>À faire</x:v>
      </x:c>
      <x:c r="H512" t="str">
        <x:v>Non affecté</x:v>
      </x:c>
      <x:c r="I512" t="str">
        <x:v>Livrable explicite, tests positifs et négatifs ; aucune validation déduite de la seule présence de la fiche.</x:v>
      </x:c>
      <x:c r="J512" t="str"/>
    </x:row>
    <x:row r="513">
      <x:c r="A513" t="str">
        <x:v>EXT-MONDE-T051/art</x:v>
      </x:c>
      <x:c r="B513" t="str">
        <x:v>EXT-MONDE-T051</x:v>
      </x:c>
      <x:c r="C513" t="str">
        <x:v>Parcs attractions</x:v>
      </x:c>
      <x:c r="D513" t="str">
        <x:v>Parc aquatique</x:v>
      </x:c>
      <x:c r="E513" t="str">
        <x:v>Sprites, proportions et animations</x:v>
      </x:c>
      <x:c r="F513" t="str">
        <x:v>P1</x:v>
      </x:c>
      <x:c r="G513" t="str">
        <x:v>À faire</x:v>
      </x:c>
      <x:c r="H513" t="str">
        <x:v>Non affecté</x:v>
      </x:c>
      <x:c r="I513" t="str">
        <x:v>Livrable explicite, tests positifs et négatifs ; aucune validation déduite de la seule présence de la fiche.</x:v>
      </x:c>
      <x:c r="J513" t="str"/>
    </x:row>
    <x:row r="514">
      <x:c r="A514" t="str">
        <x:v>EXT-MONDE-T051/sauvegarde</x:v>
      </x:c>
      <x:c r="B514" t="str">
        <x:v>EXT-MONDE-T051</x:v>
      </x:c>
      <x:c r="C514" t="str">
        <x:v>Parcs attractions</x:v>
      </x:c>
      <x:c r="D514" t="str">
        <x:v>Parc aquatique</x:v>
      </x:c>
      <x:c r="E514" t="str">
        <x:v>Identités, migration et reprise</x:v>
      </x:c>
      <x:c r="F514" t="str">
        <x:v>P1</x:v>
      </x:c>
      <x:c r="G514" t="str">
        <x:v>En cours</x:v>
      </x:c>
      <x:c r="H514" t="str">
        <x:v>Production Codex</x:v>
      </x:c>
      <x:c r="I514" t="str">
        <x:v>Livrable explicite, tests positifs et négatifs ; aucune validation déduite de la seule présence de la fiche.</x:v>
      </x:c>
      <x:c r="J514" t="str">
        <x:v>https://github.com/darknigthmare/deadwall-last-enclosure/blob/e28f46223e73105ab2c5d83f3d50b99b58ef53e6/docs/codex/suivi-monde2026/INSPECTION_PHYSIQUE_2026.md</x:v>
      </x:c>
    </x:row>
    <x:row r="515">
      <x:c r="A515" t="str">
        <x:v>EXT-MONDE-T051/qa</x:v>
      </x:c>
      <x:c r="B515" t="str">
        <x:v>EXT-MONDE-T051</x:v>
      </x:c>
      <x:c r="C515" t="str">
        <x:v>Parcs attractions</x:v>
      </x:c>
      <x:c r="D515" t="str">
        <x:v>Parc aquatique</x:v>
      </x:c>
      <x:c r="E515" t="str">
        <x:v>Navigation et parcours jouables</x:v>
      </x:c>
      <x:c r="F515" t="str">
        <x:v>P1</x:v>
      </x:c>
      <x:c r="G515" t="str">
        <x:v>En cours</x:v>
      </x:c>
      <x:c r="H515" t="str">
        <x:v>Production Codex</x:v>
      </x:c>
      <x:c r="I515" t="str">
        <x:v>Livrable explicite, tests positifs et négatifs ; aucune validation déduite de la seule présence de la fiche.</x:v>
      </x:c>
      <x:c r="J515" t="str">
        <x:v>https://github.com/darknigthmare/deadwall-last-enclosure/blob/e28f46223e73105ab2c5d83f3d50b99b58ef53e6/docs/codex/suivi-monde2026/INSPECTION_PHYSIQUE_2026.md</x:v>
      </x:c>
    </x:row>
    <x:row r="516">
      <x:c r="A516" t="str">
        <x:v>EXT-MONDE-T052/dimensions</x:v>
      </x:c>
      <x:c r="B516" t="str">
        <x:v>EXT-MONDE-T052</x:v>
      </x:c>
      <x:c r="C516" t="str">
        <x:v>Parcs attractions</x:v>
      </x:c>
      <x:c r="D516" t="str">
        <x:v>Parc thématique abandonné</x:v>
      </x:c>
      <x:c r="E516" t="str">
        <x:v>Dimensions et plans de référence</x:v>
      </x:c>
      <x:c r="F516" t="str">
        <x:v>P0</x:v>
      </x:c>
      <x:c r="G516" t="str">
        <x:v>En cours</x:v>
      </x:c>
      <x:c r="H516" t="str">
        <x:v>Production Codex</x:v>
      </x:c>
      <x:c r="I516" t="str">
        <x:v>Sources publiques identifiées ; unités en mètres ; emprise au sol distincte de la hauteur.</x:v>
      </x:c>
      <x:c r="J516" t="str">
        <x:v>https://github.com/darknigthmare/deadwall-last-enclosure/blob/e28f46223e73105ab2c5d83f3d50b99b58ef53e6/docs/codex/suivi-monde2026/PARCS_SPORTS_2026.md</x:v>
      </x:c>
    </x:row>
    <x:row r="517">
      <x:c r="A517" t="str">
        <x:v>EXT-MONDE-T052/architecture</x:v>
      </x:c>
      <x:c r="B517" t="str">
        <x:v>EXT-MONDE-T052</x:v>
      </x:c>
      <x:c r="C517" t="str">
        <x:v>Parcs attractions</x:v>
      </x:c>
      <x:c r="D517" t="str">
        <x:v>Parc thématique abandonné</x:v>
      </x:c>
      <x:c r="E517" t="str">
        <x:v>Pièces, étages, annexes</x:v>
      </x:c>
      <x:c r="F517" t="str">
        <x:v>P0</x:v>
      </x:c>
      <x:c r="G517" t="str">
        <x:v>En cours</x:v>
      </x:c>
      <x:c r="H517" t="str">
        <x:v>Production Codex</x:v>
      </x:c>
      <x:c r="I517" t="str">
        <x:v>Livrable explicite, tests positifs et négatifs ; aucune validation déduite de la seule présence de la fiche.</x:v>
      </x:c>
      <x:c r="J517" t="str">
        <x:v>https://github.com/darknigthmare/deadwall-last-enclosure/blob/e28f46223e73105ab2c5d83f3d50b99b58ef53e6/docs/codex/suivi-monde2026/INSPECTION_PHYSIQUE_2026.md</x:v>
      </x:c>
    </x:row>
    <x:row r="518">
      <x:c r="A518" t="str">
        <x:v>EXT-MONDE-T052/seed</x:v>
      </x:c>
      <x:c r="B518" t="str">
        <x:v>EXT-MONDE-T052</x:v>
      </x:c>
      <x:c r="C518" t="str">
        <x:v>Parcs attractions</x:v>
      </x:c>
      <x:c r="D518" t="str">
        <x:v>Parc thématique abandonné</x:v>
      </x:c>
      <x:c r="E518" t="str">
        <x:v>Implantation et réseaux</x:v>
      </x:c>
      <x:c r="F518" t="str">
        <x:v>P0</x:v>
      </x:c>
      <x:c r="G518" t="str">
        <x:v>À faire</x:v>
      </x:c>
      <x:c r="H518" t="str">
        <x:v>Non affecté</x:v>
      </x:c>
      <x:c r="I518" t="str">
        <x:v>Flux visiteurs/service séparés ; voies de retour ; attractions à l’échelle sans simple compression graphique.</x:v>
      </x:c>
      <x:c r="J518" t="str"/>
    </x:row>
    <x:row r="519">
      <x:c r="A519" t="str">
        <x:v>EXT-MONDE-T052/props</x:v>
      </x:c>
      <x:c r="B519" t="str">
        <x:v>EXT-MONDE-T052</x:v>
      </x:c>
      <x:c r="C519" t="str">
        <x:v>Parcs attractions</x:v>
      </x:c>
      <x:c r="D519" t="str">
        <x:v>Parc thématique abandonné</x:v>
      </x:c>
      <x:c r="E519" t="str">
        <x:v>Objets, décors et dégagements</x:v>
      </x:c>
      <x:c r="F519" t="str">
        <x:v>P1</x:v>
      </x:c>
      <x:c r="G519" t="str">
        <x:v>En cours</x:v>
      </x:c>
      <x:c r="H519" t="str">
        <x:v>Production Codex</x:v>
      </x:c>
      <x:c r="I519" t="str">
        <x:v>Livrable explicite, tests positifs et négatifs ; aucune validation déduite de la seule présence de la fiche.</x:v>
      </x:c>
      <x:c r="J519" t="str">
        <x:v>https://github.com/darknigthmare/deadwall-last-enclosure/blob/e28f46223e73105ab2c5d83f3d50b99b58ef53e6/docs/codex/suivi-monde2026/INSPECTION_PHYSIQUE_2026.md</x:v>
      </x:c>
    </x:row>
    <x:row r="520">
      <x:c r="A520" t="str">
        <x:v>EXT-MONDE-T052/loot</x:v>
      </x:c>
      <x:c r="B520" t="str">
        <x:v>EXT-MONDE-T052</x:v>
      </x:c>
      <x:c r="C520" t="str">
        <x:v>Parcs attractions</x:v>
      </x:c>
      <x:c r="D520" t="str">
        <x:v>Parc thématique abandonné</x:v>
      </x:c>
      <x:c r="E520" t="str">
        <x:v>Budget de butin persistant</x:v>
      </x:c>
      <x:c r="F520" t="str">
        <x:v>P1</x:v>
      </x:c>
      <x:c r="G520" t="str">
        <x:v>À faire</x:v>
      </x:c>
      <x:c r="H520" t="str">
        <x:v>Non affecté</x:v>
      </x:c>
      <x:c r="I520" t="str">
        <x:v>Livrable explicite, tests positifs et négatifs ; aucune validation déduite de la seule présence de la fiche.</x:v>
      </x:c>
      <x:c r="J520" t="str"/>
    </x:row>
    <x:row r="521">
      <x:c r="A521" t="str">
        <x:v>EXT-MONDE-T052/rencontres</x:v>
      </x:c>
      <x:c r="B521" t="str">
        <x:v>EXT-MONDE-T052</x:v>
      </x:c>
      <x:c r="C521" t="str">
        <x:v>Parcs attractions</x:v>
      </x:c>
      <x:c r="D521" t="str">
        <x:v>Parc thématique abandonné</x:v>
      </x:c>
      <x:c r="E521" t="str">
        <x:v>Ennemis et faune contextualisés</x:v>
      </x:c>
      <x:c r="F521" t="str">
        <x:v>P1</x:v>
      </x:c>
      <x:c r="G521" t="str">
        <x:v>À faire</x:v>
      </x:c>
      <x:c r="H521" t="str">
        <x:v>Non affecté</x:v>
      </x:c>
      <x:c r="I521" t="str">
        <x:v>Livrable explicite, tests positifs et négatifs ; aucune validation déduite de la seule présence de la fiche.</x:v>
      </x:c>
      <x:c r="J521" t="str"/>
    </x:row>
    <x:row r="522">
      <x:c r="A522" t="str">
        <x:v>EXT-MONDE-T052/services</x:v>
      </x:c>
      <x:c r="B522" t="str">
        <x:v>EXT-MONDE-T052</x:v>
      </x:c>
      <x:c r="C522" t="str">
        <x:v>Parcs attractions</x:v>
      </x:c>
      <x:c r="D522" t="str">
        <x:v>Parc thématique abandonné</x:v>
      </x:c>
      <x:c r="E522" t="str">
        <x:v>Énergie, eau et interactions</x:v>
      </x:c>
      <x:c r="F522" t="str">
        <x:v>P1</x:v>
      </x:c>
      <x:c r="G522" t="str">
        <x:v>À faire</x:v>
      </x:c>
      <x:c r="H522" t="str">
        <x:v>Non affecté</x:v>
      </x:c>
      <x:c r="I522" t="str">
        <x:v>Livrable explicite, tests positifs et négatifs ; aucune validation déduite de la seule présence de la fiche.</x:v>
      </x:c>
      <x:c r="J522" t="str"/>
    </x:row>
    <x:row r="523">
      <x:c r="A523" t="str">
        <x:v>EXT-MONDE-T052/art</x:v>
      </x:c>
      <x:c r="B523" t="str">
        <x:v>EXT-MONDE-T052</x:v>
      </x:c>
      <x:c r="C523" t="str">
        <x:v>Parcs attractions</x:v>
      </x:c>
      <x:c r="D523" t="str">
        <x:v>Parc thématique abandonné</x:v>
      </x:c>
      <x:c r="E523" t="str">
        <x:v>Sprites, proportions et animations</x:v>
      </x:c>
      <x:c r="F523" t="str">
        <x:v>P1</x:v>
      </x:c>
      <x:c r="G523" t="str">
        <x:v>À faire</x:v>
      </x:c>
      <x:c r="H523" t="str">
        <x:v>Non affecté</x:v>
      </x:c>
      <x:c r="I523" t="str">
        <x:v>Livrable explicite, tests positifs et négatifs ; aucune validation déduite de la seule présence de la fiche.</x:v>
      </x:c>
      <x:c r="J523" t="str"/>
    </x:row>
    <x:row r="524">
      <x:c r="A524" t="str">
        <x:v>EXT-MONDE-T052/sauvegarde</x:v>
      </x:c>
      <x:c r="B524" t="str">
        <x:v>EXT-MONDE-T052</x:v>
      </x:c>
      <x:c r="C524" t="str">
        <x:v>Parcs attractions</x:v>
      </x:c>
      <x:c r="D524" t="str">
        <x:v>Parc thématique abandonné</x:v>
      </x:c>
      <x:c r="E524" t="str">
        <x:v>Identités, migration et reprise</x:v>
      </x:c>
      <x:c r="F524" t="str">
        <x:v>P1</x:v>
      </x:c>
      <x:c r="G524" t="str">
        <x:v>En cours</x:v>
      </x:c>
      <x:c r="H524" t="str">
        <x:v>Production Codex</x:v>
      </x:c>
      <x:c r="I524" t="str">
        <x:v>Livrable explicite, tests positifs et négatifs ; aucune validation déduite de la seule présence de la fiche.</x:v>
      </x:c>
      <x:c r="J524" t="str">
        <x:v>https://github.com/darknigthmare/deadwall-last-enclosure/blob/e28f46223e73105ab2c5d83f3d50b99b58ef53e6/docs/codex/suivi-monde2026/INSPECTION_PHYSIQUE_2026.md</x:v>
      </x:c>
    </x:row>
    <x:row r="525">
      <x:c r="A525" t="str">
        <x:v>EXT-MONDE-T052/qa</x:v>
      </x:c>
      <x:c r="B525" t="str">
        <x:v>EXT-MONDE-T052</x:v>
      </x:c>
      <x:c r="C525" t="str">
        <x:v>Parcs attractions</x:v>
      </x:c>
      <x:c r="D525" t="str">
        <x:v>Parc thématique abandonné</x:v>
      </x:c>
      <x:c r="E525" t="str">
        <x:v>Navigation et parcours jouables</x:v>
      </x:c>
      <x:c r="F525" t="str">
        <x:v>P1</x:v>
      </x:c>
      <x:c r="G525" t="str">
        <x:v>En cours</x:v>
      </x:c>
      <x:c r="H525" t="str">
        <x:v>Production Codex</x:v>
      </x:c>
      <x:c r="I525" t="str">
        <x:v>Livrable explicite, tests positifs et négatifs ; aucune validation déduite de la seule présence de la fiche.</x:v>
      </x:c>
      <x:c r="J525" t="str">
        <x:v>https://github.com/darknigthmare/deadwall-last-enclosure/blob/e28f46223e73105ab2c5d83f3d50b99b58ef53e6/docs/codex/suivi-monde2026/INSPECTION_PHYSIQUE_2026.md</x:v>
      </x:c>
    </x:row>
    <x:row r="526">
      <x:c r="A526" t="str">
        <x:v>EXT-MONDE-T053/dimensions</x:v>
      </x:c>
      <x:c r="B526" t="str">
        <x:v>EXT-MONDE-T053</x:v>
      </x:c>
      <x:c r="C526" t="str">
        <x:v>Usines</x:v>
      </x:c>
      <x:c r="D526" t="str">
        <x:v>Usine agroalimentaire</x:v>
      </x:c>
      <x:c r="E526" t="str">
        <x:v>Dimensions et plans de référence</x:v>
      </x:c>
      <x:c r="F526" t="str">
        <x:v>P0</x:v>
      </x:c>
      <x:c r="G526" t="str">
        <x:v>En cours</x:v>
      </x:c>
      <x:c r="H526" t="str">
        <x:v>Production Codex</x:v>
      </x:c>
      <x:c r="I526" t="str">
        <x:v>Sources publiques identifiées ; unités en mètres ; emprise au sol distincte de la hauteur.</x:v>
      </x:c>
      <x:c r="J526" t="str">
        <x:v>https://github.com/darknigthmare/deadwall-last-enclosure/blob/e28f46223e73105ab2c5d83f3d50b99b58ef53e6/docs/codex/suivi-monde2026/INDUSTRIE_2026.md</x:v>
      </x:c>
    </x:row>
    <x:row r="527">
      <x:c r="A527" t="str">
        <x:v>EXT-MONDE-T053/architecture</x:v>
      </x:c>
      <x:c r="B527" t="str">
        <x:v>EXT-MONDE-T053</x:v>
      </x:c>
      <x:c r="C527" t="str">
        <x:v>Usines</x:v>
      </x:c>
      <x:c r="D527" t="str">
        <x:v>Usine agroalimentaire</x:v>
      </x:c>
      <x:c r="E527" t="str">
        <x:v>Pièces, étages, annexes</x:v>
      </x:c>
      <x:c r="F527" t="str">
        <x:v>P0</x:v>
      </x:c>
      <x:c r="G527" t="str">
        <x:v>En cours</x:v>
      </x:c>
      <x:c r="H527" t="str">
        <x:v>Production Codex</x:v>
      </x:c>
      <x:c r="I527" t="str">
        <x:v>Livrable explicite, tests positifs et négatifs ; aucune validation déduite de la seule présence de la fiche.</x:v>
      </x:c>
      <x:c r="J527" t="str">
        <x:v>https://github.com/darknigthmare/deadwall-last-enclosure/blob/e28f46223e73105ab2c5d83f3d50b99b58ef53e6/docs/codex/suivi-monde2026/INSPECTION_PHYSIQUE_2026.md</x:v>
      </x:c>
    </x:row>
    <x:row r="528">
      <x:c r="A528" t="str">
        <x:v>EXT-MONDE-T053/seed</x:v>
      </x:c>
      <x:c r="B528" t="str">
        <x:v>EXT-MONDE-T053</x:v>
      </x:c>
      <x:c r="C528" t="str">
        <x:v>Usines</x:v>
      </x:c>
      <x:c r="D528" t="str">
        <x:v>Usine agroalimentaire</x:v>
      </x:c>
      <x:c r="E528" t="str">
        <x:v>Implantation et réseaux</x:v>
      </x:c>
      <x:c r="F528" t="str">
        <x:v>P0</x:v>
      </x:c>
      <x:c r="G528" t="str">
        <x:v>À faire</x:v>
      </x:c>
      <x:c r="H528" t="str">
        <x:v>Non affecté</x:v>
      </x:c>
      <x:c r="I528" t="str">
        <x:v>Processus logique entrée-sortie ; machines et maintenance dégagées ; aucune production gratuite.</x:v>
      </x:c>
      <x:c r="J528" t="str"/>
    </x:row>
    <x:row r="529">
      <x:c r="A529" t="str">
        <x:v>EXT-MONDE-T053/props</x:v>
      </x:c>
      <x:c r="B529" t="str">
        <x:v>EXT-MONDE-T053</x:v>
      </x:c>
      <x:c r="C529" t="str">
        <x:v>Usines</x:v>
      </x:c>
      <x:c r="D529" t="str">
        <x:v>Usine agroalimentaire</x:v>
      </x:c>
      <x:c r="E529" t="str">
        <x:v>Objets, décors et dégagements</x:v>
      </x:c>
      <x:c r="F529" t="str">
        <x:v>P1</x:v>
      </x:c>
      <x:c r="G529" t="str">
        <x:v>En cours</x:v>
      </x:c>
      <x:c r="H529" t="str">
        <x:v>Production Codex</x:v>
      </x:c>
      <x:c r="I529" t="str">
        <x:v>Livrable explicite, tests positifs et négatifs ; aucune validation déduite de la seule présence de la fiche.</x:v>
      </x:c>
      <x:c r="J529" t="str">
        <x:v>https://github.com/darknigthmare/deadwall-last-enclosure/blob/e28f46223e73105ab2c5d83f3d50b99b58ef53e6/docs/codex/suivi-monde2026/INSPECTION_PHYSIQUE_2026.md</x:v>
      </x:c>
    </x:row>
    <x:row r="530">
      <x:c r="A530" t="str">
        <x:v>EXT-MONDE-T053/loot</x:v>
      </x:c>
      <x:c r="B530" t="str">
        <x:v>EXT-MONDE-T053</x:v>
      </x:c>
      <x:c r="C530" t="str">
        <x:v>Usines</x:v>
      </x:c>
      <x:c r="D530" t="str">
        <x:v>Usine agroalimentaire</x:v>
      </x:c>
      <x:c r="E530" t="str">
        <x:v>Budget de butin persistant</x:v>
      </x:c>
      <x:c r="F530" t="str">
        <x:v>P1</x:v>
      </x:c>
      <x:c r="G530" t="str">
        <x:v>À faire</x:v>
      </x:c>
      <x:c r="H530" t="str">
        <x:v>Non affecté</x:v>
      </x:c>
      <x:c r="I530" t="str">
        <x:v>Livrable explicite, tests positifs et négatifs ; aucune validation déduite de la seule présence de la fiche.</x:v>
      </x:c>
      <x:c r="J530" t="str"/>
    </x:row>
    <x:row r="531">
      <x:c r="A531" t="str">
        <x:v>EXT-MONDE-T053/rencontres</x:v>
      </x:c>
      <x:c r="B531" t="str">
        <x:v>EXT-MONDE-T053</x:v>
      </x:c>
      <x:c r="C531" t="str">
        <x:v>Usines</x:v>
      </x:c>
      <x:c r="D531" t="str">
        <x:v>Usine agroalimentaire</x:v>
      </x:c>
      <x:c r="E531" t="str">
        <x:v>Ennemis et faune contextualisés</x:v>
      </x:c>
      <x:c r="F531" t="str">
        <x:v>P1</x:v>
      </x:c>
      <x:c r="G531" t="str">
        <x:v>À faire</x:v>
      </x:c>
      <x:c r="H531" t="str">
        <x:v>Non affecté</x:v>
      </x:c>
      <x:c r="I531" t="str">
        <x:v>Livrable explicite, tests positifs et négatifs ; aucune validation déduite de la seule présence de la fiche.</x:v>
      </x:c>
      <x:c r="J531" t="str"/>
    </x:row>
    <x:row r="532">
      <x:c r="A532" t="str">
        <x:v>EXT-MONDE-T053/services</x:v>
      </x:c>
      <x:c r="B532" t="str">
        <x:v>EXT-MONDE-T053</x:v>
      </x:c>
      <x:c r="C532" t="str">
        <x:v>Usines</x:v>
      </x:c>
      <x:c r="D532" t="str">
        <x:v>Usine agroalimentaire</x:v>
      </x:c>
      <x:c r="E532" t="str">
        <x:v>Énergie, eau et interactions</x:v>
      </x:c>
      <x:c r="F532" t="str">
        <x:v>P1</x:v>
      </x:c>
      <x:c r="G532" t="str">
        <x:v>À faire</x:v>
      </x:c>
      <x:c r="H532" t="str">
        <x:v>Non affecté</x:v>
      </x:c>
      <x:c r="I532" t="str">
        <x:v>Livrable explicite, tests positifs et négatifs ; aucune validation déduite de la seule présence de la fiche.</x:v>
      </x:c>
      <x:c r="J532" t="str"/>
    </x:row>
    <x:row r="533">
      <x:c r="A533" t="str">
        <x:v>EXT-MONDE-T053/art</x:v>
      </x:c>
      <x:c r="B533" t="str">
        <x:v>EXT-MONDE-T053</x:v>
      </x:c>
      <x:c r="C533" t="str">
        <x:v>Usines</x:v>
      </x:c>
      <x:c r="D533" t="str">
        <x:v>Usine agroalimentaire</x:v>
      </x:c>
      <x:c r="E533" t="str">
        <x:v>Sprites, proportions et animations</x:v>
      </x:c>
      <x:c r="F533" t="str">
        <x:v>P1</x:v>
      </x:c>
      <x:c r="G533" t="str">
        <x:v>À faire</x:v>
      </x:c>
      <x:c r="H533" t="str">
        <x:v>Non affecté</x:v>
      </x:c>
      <x:c r="I533" t="str">
        <x:v>Livrable explicite, tests positifs et négatifs ; aucune validation déduite de la seule présence de la fiche.</x:v>
      </x:c>
      <x:c r="J533" t="str"/>
    </x:row>
    <x:row r="534">
      <x:c r="A534" t="str">
        <x:v>EXT-MONDE-T053/sauvegarde</x:v>
      </x:c>
      <x:c r="B534" t="str">
        <x:v>EXT-MONDE-T053</x:v>
      </x:c>
      <x:c r="C534" t="str">
        <x:v>Usines</x:v>
      </x:c>
      <x:c r="D534" t="str">
        <x:v>Usine agroalimentaire</x:v>
      </x:c>
      <x:c r="E534" t="str">
        <x:v>Identités, migration et reprise</x:v>
      </x:c>
      <x:c r="F534" t="str">
        <x:v>P1</x:v>
      </x:c>
      <x:c r="G534" t="str">
        <x:v>En cours</x:v>
      </x:c>
      <x:c r="H534" t="str">
        <x:v>Production Codex</x:v>
      </x:c>
      <x:c r="I534" t="str">
        <x:v>Livrable explicite, tests positifs et négatifs ; aucune validation déduite de la seule présence de la fiche.</x:v>
      </x:c>
      <x:c r="J534" t="str">
        <x:v>https://github.com/darknigthmare/deadwall-last-enclosure/blob/e28f46223e73105ab2c5d83f3d50b99b58ef53e6/docs/codex/suivi-monde2026/INSPECTION_PHYSIQUE_2026.md</x:v>
      </x:c>
    </x:row>
    <x:row r="535">
      <x:c r="A535" t="str">
        <x:v>EXT-MONDE-T053/qa</x:v>
      </x:c>
      <x:c r="B535" t="str">
        <x:v>EXT-MONDE-T053</x:v>
      </x:c>
      <x:c r="C535" t="str">
        <x:v>Usines</x:v>
      </x:c>
      <x:c r="D535" t="str">
        <x:v>Usine agroalimentaire</x:v>
      </x:c>
      <x:c r="E535" t="str">
        <x:v>Navigation et parcours jouables</x:v>
      </x:c>
      <x:c r="F535" t="str">
        <x:v>P1</x:v>
      </x:c>
      <x:c r="G535" t="str">
        <x:v>En cours</x:v>
      </x:c>
      <x:c r="H535" t="str">
        <x:v>Production Codex</x:v>
      </x:c>
      <x:c r="I535" t="str">
        <x:v>Livrable explicite, tests positifs et négatifs ; aucune validation déduite de la seule présence de la fiche.</x:v>
      </x:c>
      <x:c r="J535" t="str">
        <x:v>https://github.com/darknigthmare/deadwall-last-enclosure/blob/e28f46223e73105ab2c5d83f3d50b99b58ef53e6/docs/codex/suivi-monde2026/INSPECTION_PHYSIQUE_2026.md</x:v>
      </x:c>
    </x:row>
    <x:row r="536">
      <x:c r="A536" t="str">
        <x:v>EXT-MONDE-T054/dimensions</x:v>
      </x:c>
      <x:c r="B536" t="str">
        <x:v>EXT-MONDE-T054</x:v>
      </x:c>
      <x:c r="C536" t="str">
        <x:v>Usines</x:v>
      </x:c>
      <x:c r="D536" t="str">
        <x:v>Usine de mécanique</x:v>
      </x:c>
      <x:c r="E536" t="str">
        <x:v>Dimensions et plans de référence</x:v>
      </x:c>
      <x:c r="F536" t="str">
        <x:v>P0</x:v>
      </x:c>
      <x:c r="G536" t="str">
        <x:v>En cours</x:v>
      </x:c>
      <x:c r="H536" t="str">
        <x:v>Production Codex</x:v>
      </x:c>
      <x:c r="I536" t="str">
        <x:v>Sources publiques identifiées ; unités en mètres ; emprise au sol distincte de la hauteur.</x:v>
      </x:c>
      <x:c r="J536" t="str">
        <x:v>https://github.com/darknigthmare/deadwall-last-enclosure/blob/e28f46223e73105ab2c5d83f3d50b99b58ef53e6/docs/codex/suivi-monde2026/INDUSTRIE_2026.md</x:v>
      </x:c>
    </x:row>
    <x:row r="537">
      <x:c r="A537" t="str">
        <x:v>EXT-MONDE-T054/architecture</x:v>
      </x:c>
      <x:c r="B537" t="str">
        <x:v>EXT-MONDE-T054</x:v>
      </x:c>
      <x:c r="C537" t="str">
        <x:v>Usines</x:v>
      </x:c>
      <x:c r="D537" t="str">
        <x:v>Usine de mécanique</x:v>
      </x:c>
      <x:c r="E537" t="str">
        <x:v>Pièces, étages, annexes</x:v>
      </x:c>
      <x:c r="F537" t="str">
        <x:v>P0</x:v>
      </x:c>
      <x:c r="G537" t="str">
        <x:v>En cours</x:v>
      </x:c>
      <x:c r="H537" t="str">
        <x:v>Production Codex</x:v>
      </x:c>
      <x:c r="I537" t="str">
        <x:v>Livrable explicite, tests positifs et négatifs ; aucune validation déduite de la seule présence de la fiche.</x:v>
      </x:c>
      <x:c r="J537" t="str">
        <x:v>https://github.com/darknigthmare/deadwall-last-enclosure/blob/e28f46223e73105ab2c5d83f3d50b99b58ef53e6/docs/codex/suivi-monde2026/INSPECTION_PHYSIQUE_2026.md</x:v>
      </x:c>
    </x:row>
    <x:row r="538">
      <x:c r="A538" t="str">
        <x:v>EXT-MONDE-T054/seed</x:v>
      </x:c>
      <x:c r="B538" t="str">
        <x:v>EXT-MONDE-T054</x:v>
      </x:c>
      <x:c r="C538" t="str">
        <x:v>Usines</x:v>
      </x:c>
      <x:c r="D538" t="str">
        <x:v>Usine de mécanique</x:v>
      </x:c>
      <x:c r="E538" t="str">
        <x:v>Implantation et réseaux</x:v>
      </x:c>
      <x:c r="F538" t="str">
        <x:v>P0</x:v>
      </x:c>
      <x:c r="G538" t="str">
        <x:v>À faire</x:v>
      </x:c>
      <x:c r="H538" t="str">
        <x:v>Non affecté</x:v>
      </x:c>
      <x:c r="I538" t="str">
        <x:v>Processus logique entrée-sortie ; machines et maintenance dégagées ; aucune production gratuite.</x:v>
      </x:c>
      <x:c r="J538" t="str"/>
    </x:row>
    <x:row r="539">
      <x:c r="A539" t="str">
        <x:v>EXT-MONDE-T054/props</x:v>
      </x:c>
      <x:c r="B539" t="str">
        <x:v>EXT-MONDE-T054</x:v>
      </x:c>
      <x:c r="C539" t="str">
        <x:v>Usines</x:v>
      </x:c>
      <x:c r="D539" t="str">
        <x:v>Usine de mécanique</x:v>
      </x:c>
      <x:c r="E539" t="str">
        <x:v>Objets, décors et dégagements</x:v>
      </x:c>
      <x:c r="F539" t="str">
        <x:v>P1</x:v>
      </x:c>
      <x:c r="G539" t="str">
        <x:v>En cours</x:v>
      </x:c>
      <x:c r="H539" t="str">
        <x:v>Production Codex</x:v>
      </x:c>
      <x:c r="I539" t="str">
        <x:v>Livrable explicite, tests positifs et négatifs ; aucune validation déduite de la seule présence de la fiche.</x:v>
      </x:c>
      <x:c r="J539" t="str">
        <x:v>https://github.com/darknigthmare/deadwall-last-enclosure/blob/e28f46223e73105ab2c5d83f3d50b99b58ef53e6/docs/codex/suivi-monde2026/INSPECTION_PHYSIQUE_2026.md</x:v>
      </x:c>
    </x:row>
    <x:row r="540">
      <x:c r="A540" t="str">
        <x:v>EXT-MONDE-T054/loot</x:v>
      </x:c>
      <x:c r="B540" t="str">
        <x:v>EXT-MONDE-T054</x:v>
      </x:c>
      <x:c r="C540" t="str">
        <x:v>Usines</x:v>
      </x:c>
      <x:c r="D540" t="str">
        <x:v>Usine de mécanique</x:v>
      </x:c>
      <x:c r="E540" t="str">
        <x:v>Budget de butin persistant</x:v>
      </x:c>
      <x:c r="F540" t="str">
        <x:v>P1</x:v>
      </x:c>
      <x:c r="G540" t="str">
        <x:v>À faire</x:v>
      </x:c>
      <x:c r="H540" t="str">
        <x:v>Non affecté</x:v>
      </x:c>
      <x:c r="I540" t="str">
        <x:v>Livrable explicite, tests positifs et négatifs ; aucune validation déduite de la seule présence de la fiche.</x:v>
      </x:c>
      <x:c r="J540" t="str"/>
    </x:row>
    <x:row r="541">
      <x:c r="A541" t="str">
        <x:v>EXT-MONDE-T054/rencontres</x:v>
      </x:c>
      <x:c r="B541" t="str">
        <x:v>EXT-MONDE-T054</x:v>
      </x:c>
      <x:c r="C541" t="str">
        <x:v>Usines</x:v>
      </x:c>
      <x:c r="D541" t="str">
        <x:v>Usine de mécanique</x:v>
      </x:c>
      <x:c r="E541" t="str">
        <x:v>Ennemis et faune contextualisés</x:v>
      </x:c>
      <x:c r="F541" t="str">
        <x:v>P1</x:v>
      </x:c>
      <x:c r="G541" t="str">
        <x:v>À faire</x:v>
      </x:c>
      <x:c r="H541" t="str">
        <x:v>Non affecté</x:v>
      </x:c>
      <x:c r="I541" t="str">
        <x:v>Livrable explicite, tests positifs et négatifs ; aucune validation déduite de la seule présence de la fiche.</x:v>
      </x:c>
      <x:c r="J541" t="str"/>
    </x:row>
    <x:row r="542">
      <x:c r="A542" t="str">
        <x:v>EXT-MONDE-T054/services</x:v>
      </x:c>
      <x:c r="B542" t="str">
        <x:v>EXT-MONDE-T054</x:v>
      </x:c>
      <x:c r="C542" t="str">
        <x:v>Usines</x:v>
      </x:c>
      <x:c r="D542" t="str">
        <x:v>Usine de mécanique</x:v>
      </x:c>
      <x:c r="E542" t="str">
        <x:v>Énergie, eau et interactions</x:v>
      </x:c>
      <x:c r="F542" t="str">
        <x:v>P1</x:v>
      </x:c>
      <x:c r="G542" t="str">
        <x:v>À faire</x:v>
      </x:c>
      <x:c r="H542" t="str">
        <x:v>Non affecté</x:v>
      </x:c>
      <x:c r="I542" t="str">
        <x:v>Livrable explicite, tests positifs et négatifs ; aucune validation déduite de la seule présence de la fiche.</x:v>
      </x:c>
      <x:c r="J542" t="str"/>
    </x:row>
    <x:row r="543">
      <x:c r="A543" t="str">
        <x:v>EXT-MONDE-T054/art</x:v>
      </x:c>
      <x:c r="B543" t="str">
        <x:v>EXT-MONDE-T054</x:v>
      </x:c>
      <x:c r="C543" t="str">
        <x:v>Usines</x:v>
      </x:c>
      <x:c r="D543" t="str">
        <x:v>Usine de mécanique</x:v>
      </x:c>
      <x:c r="E543" t="str">
        <x:v>Sprites, proportions et animations</x:v>
      </x:c>
      <x:c r="F543" t="str">
        <x:v>P1</x:v>
      </x:c>
      <x:c r="G543" t="str">
        <x:v>À faire</x:v>
      </x:c>
      <x:c r="H543" t="str">
        <x:v>Non affecté</x:v>
      </x:c>
      <x:c r="I543" t="str">
        <x:v>Livrable explicite, tests positifs et négatifs ; aucune validation déduite de la seule présence de la fiche.</x:v>
      </x:c>
      <x:c r="J543" t="str"/>
    </x:row>
    <x:row r="544">
      <x:c r="A544" t="str">
        <x:v>EXT-MONDE-T054/sauvegarde</x:v>
      </x:c>
      <x:c r="B544" t="str">
        <x:v>EXT-MONDE-T054</x:v>
      </x:c>
      <x:c r="C544" t="str">
        <x:v>Usines</x:v>
      </x:c>
      <x:c r="D544" t="str">
        <x:v>Usine de mécanique</x:v>
      </x:c>
      <x:c r="E544" t="str">
        <x:v>Identités, migration et reprise</x:v>
      </x:c>
      <x:c r="F544" t="str">
        <x:v>P1</x:v>
      </x:c>
      <x:c r="G544" t="str">
        <x:v>En cours</x:v>
      </x:c>
      <x:c r="H544" t="str">
        <x:v>Production Codex</x:v>
      </x:c>
      <x:c r="I544" t="str">
        <x:v>Livrable explicite, tests positifs et négatifs ; aucune validation déduite de la seule présence de la fiche.</x:v>
      </x:c>
      <x:c r="J544" t="str">
        <x:v>https://github.com/darknigthmare/deadwall-last-enclosure/blob/e28f46223e73105ab2c5d83f3d50b99b58ef53e6/docs/codex/suivi-monde2026/INSPECTION_PHYSIQUE_2026.md</x:v>
      </x:c>
    </x:row>
    <x:row r="545">
      <x:c r="A545" t="str">
        <x:v>EXT-MONDE-T054/qa</x:v>
      </x:c>
      <x:c r="B545" t="str">
        <x:v>EXT-MONDE-T054</x:v>
      </x:c>
      <x:c r="C545" t="str">
        <x:v>Usines</x:v>
      </x:c>
      <x:c r="D545" t="str">
        <x:v>Usine de mécanique</x:v>
      </x:c>
      <x:c r="E545" t="str">
        <x:v>Navigation et parcours jouables</x:v>
      </x:c>
      <x:c r="F545" t="str">
        <x:v>P1</x:v>
      </x:c>
      <x:c r="G545" t="str">
        <x:v>En cours</x:v>
      </x:c>
      <x:c r="H545" t="str">
        <x:v>Production Codex</x:v>
      </x:c>
      <x:c r="I545" t="str">
        <x:v>Livrable explicite, tests positifs et négatifs ; aucune validation déduite de la seule présence de la fiche.</x:v>
      </x:c>
      <x:c r="J545" t="str">
        <x:v>https://github.com/darknigthmare/deadwall-last-enclosure/blob/e28f46223e73105ab2c5d83f3d50b99b58ef53e6/docs/codex/suivi-monde2026/INSPECTION_PHYSIQUE_2026.md</x:v>
      </x:c>
    </x:row>
    <x:row r="546">
      <x:c r="A546" t="str">
        <x:v>EXT-MONDE-T055/dimensions</x:v>
      </x:c>
      <x:c r="B546" t="str">
        <x:v>EXT-MONDE-T055</x:v>
      </x:c>
      <x:c r="C546" t="str">
        <x:v>Usines</x:v>
      </x:c>
      <x:c r="D546" t="str">
        <x:v>Usine textile</x:v>
      </x:c>
      <x:c r="E546" t="str">
        <x:v>Dimensions et plans de référence</x:v>
      </x:c>
      <x:c r="F546" t="str">
        <x:v>P0</x:v>
      </x:c>
      <x:c r="G546" t="str">
        <x:v>En cours</x:v>
      </x:c>
      <x:c r="H546" t="str">
        <x:v>Production Codex</x:v>
      </x:c>
      <x:c r="I546" t="str">
        <x:v>Sources publiques identifiées ; unités en mètres ; emprise au sol distincte de la hauteur.</x:v>
      </x:c>
      <x:c r="J546" t="str">
        <x:v>https://github.com/darknigthmare/deadwall-last-enclosure/blob/e28f46223e73105ab2c5d83f3d50b99b58ef53e6/docs/codex/suivi-monde2026/INDUSTRIE_2026.md</x:v>
      </x:c>
    </x:row>
    <x:row r="547">
      <x:c r="A547" t="str">
        <x:v>EXT-MONDE-T055/architecture</x:v>
      </x:c>
      <x:c r="B547" t="str">
        <x:v>EXT-MONDE-T055</x:v>
      </x:c>
      <x:c r="C547" t="str">
        <x:v>Usines</x:v>
      </x:c>
      <x:c r="D547" t="str">
        <x:v>Usine textile</x:v>
      </x:c>
      <x:c r="E547" t="str">
        <x:v>Pièces, étages, annexes</x:v>
      </x:c>
      <x:c r="F547" t="str">
        <x:v>P0</x:v>
      </x:c>
      <x:c r="G547" t="str">
        <x:v>En cours</x:v>
      </x:c>
      <x:c r="H547" t="str">
        <x:v>Production Codex</x:v>
      </x:c>
      <x:c r="I547" t="str">
        <x:v>Livrable explicite, tests positifs et négatifs ; aucune validation déduite de la seule présence de la fiche.</x:v>
      </x:c>
      <x:c r="J547" t="str">
        <x:v>https://github.com/darknigthmare/deadwall-last-enclosure/blob/e28f46223e73105ab2c5d83f3d50b99b58ef53e6/docs/codex/suivi-monde2026/INSPECTION_PHYSIQUE_2026.md</x:v>
      </x:c>
    </x:row>
    <x:row r="548">
      <x:c r="A548" t="str">
        <x:v>EXT-MONDE-T055/seed</x:v>
      </x:c>
      <x:c r="B548" t="str">
        <x:v>EXT-MONDE-T055</x:v>
      </x:c>
      <x:c r="C548" t="str">
        <x:v>Usines</x:v>
      </x:c>
      <x:c r="D548" t="str">
        <x:v>Usine textile</x:v>
      </x:c>
      <x:c r="E548" t="str">
        <x:v>Implantation et réseaux</x:v>
      </x:c>
      <x:c r="F548" t="str">
        <x:v>P0</x:v>
      </x:c>
      <x:c r="G548" t="str">
        <x:v>À faire</x:v>
      </x:c>
      <x:c r="H548" t="str">
        <x:v>Non affecté</x:v>
      </x:c>
      <x:c r="I548" t="str">
        <x:v>Processus logique entrée-sortie ; machines et maintenance dégagées ; aucune production gratuite.</x:v>
      </x:c>
      <x:c r="J548" t="str"/>
    </x:row>
    <x:row r="549">
      <x:c r="A549" t="str">
        <x:v>EXT-MONDE-T055/props</x:v>
      </x:c>
      <x:c r="B549" t="str">
        <x:v>EXT-MONDE-T055</x:v>
      </x:c>
      <x:c r="C549" t="str">
        <x:v>Usines</x:v>
      </x:c>
      <x:c r="D549" t="str">
        <x:v>Usine textile</x:v>
      </x:c>
      <x:c r="E549" t="str">
        <x:v>Objets, décors et dégagements</x:v>
      </x:c>
      <x:c r="F549" t="str">
        <x:v>P1</x:v>
      </x:c>
      <x:c r="G549" t="str">
        <x:v>En cours</x:v>
      </x:c>
      <x:c r="H549" t="str">
        <x:v>Production Codex</x:v>
      </x:c>
      <x:c r="I549" t="str">
        <x:v>Livrable explicite, tests positifs et négatifs ; aucune validation déduite de la seule présence de la fiche.</x:v>
      </x:c>
      <x:c r="J549" t="str">
        <x:v>https://github.com/darknigthmare/deadwall-last-enclosure/blob/e28f46223e73105ab2c5d83f3d50b99b58ef53e6/docs/codex/suivi-monde2026/INSPECTION_PHYSIQUE_2026.md</x:v>
      </x:c>
    </x:row>
    <x:row r="550">
      <x:c r="A550" t="str">
        <x:v>EXT-MONDE-T055/loot</x:v>
      </x:c>
      <x:c r="B550" t="str">
        <x:v>EXT-MONDE-T055</x:v>
      </x:c>
      <x:c r="C550" t="str">
        <x:v>Usines</x:v>
      </x:c>
      <x:c r="D550" t="str">
        <x:v>Usine textile</x:v>
      </x:c>
      <x:c r="E550" t="str">
        <x:v>Budget de butin persistant</x:v>
      </x:c>
      <x:c r="F550" t="str">
        <x:v>P1</x:v>
      </x:c>
      <x:c r="G550" t="str">
        <x:v>À faire</x:v>
      </x:c>
      <x:c r="H550" t="str">
        <x:v>Non affecté</x:v>
      </x:c>
      <x:c r="I550" t="str">
        <x:v>Livrable explicite, tests positifs et négatifs ; aucune validation déduite de la seule présence de la fiche.</x:v>
      </x:c>
      <x:c r="J550" t="str"/>
    </x:row>
    <x:row r="551">
      <x:c r="A551" t="str">
        <x:v>EXT-MONDE-T055/rencontres</x:v>
      </x:c>
      <x:c r="B551" t="str">
        <x:v>EXT-MONDE-T055</x:v>
      </x:c>
      <x:c r="C551" t="str">
        <x:v>Usines</x:v>
      </x:c>
      <x:c r="D551" t="str">
        <x:v>Usine textile</x:v>
      </x:c>
      <x:c r="E551" t="str">
        <x:v>Ennemis et faune contextualisés</x:v>
      </x:c>
      <x:c r="F551" t="str">
        <x:v>P1</x:v>
      </x:c>
      <x:c r="G551" t="str">
        <x:v>À faire</x:v>
      </x:c>
      <x:c r="H551" t="str">
        <x:v>Non affecté</x:v>
      </x:c>
      <x:c r="I551" t="str">
        <x:v>Livrable explicite, tests positifs et négatifs ; aucune validation déduite de la seule présence de la fiche.</x:v>
      </x:c>
      <x:c r="J551" t="str"/>
    </x:row>
    <x:row r="552">
      <x:c r="A552" t="str">
        <x:v>EXT-MONDE-T055/services</x:v>
      </x:c>
      <x:c r="B552" t="str">
        <x:v>EXT-MONDE-T055</x:v>
      </x:c>
      <x:c r="C552" t="str">
        <x:v>Usines</x:v>
      </x:c>
      <x:c r="D552" t="str">
        <x:v>Usine textile</x:v>
      </x:c>
      <x:c r="E552" t="str">
        <x:v>Énergie, eau et interactions</x:v>
      </x:c>
      <x:c r="F552" t="str">
        <x:v>P1</x:v>
      </x:c>
      <x:c r="G552" t="str">
        <x:v>À faire</x:v>
      </x:c>
      <x:c r="H552" t="str">
        <x:v>Non affecté</x:v>
      </x:c>
      <x:c r="I552" t="str">
        <x:v>Livrable explicite, tests positifs et négatifs ; aucune validation déduite de la seule présence de la fiche.</x:v>
      </x:c>
      <x:c r="J552" t="str"/>
    </x:row>
    <x:row r="553">
      <x:c r="A553" t="str">
        <x:v>EXT-MONDE-T055/art</x:v>
      </x:c>
      <x:c r="B553" t="str">
        <x:v>EXT-MONDE-T055</x:v>
      </x:c>
      <x:c r="C553" t="str">
        <x:v>Usines</x:v>
      </x:c>
      <x:c r="D553" t="str">
        <x:v>Usine textile</x:v>
      </x:c>
      <x:c r="E553" t="str">
        <x:v>Sprites, proportions et animations</x:v>
      </x:c>
      <x:c r="F553" t="str">
        <x:v>P1</x:v>
      </x:c>
      <x:c r="G553" t="str">
        <x:v>À faire</x:v>
      </x:c>
      <x:c r="H553" t="str">
        <x:v>Non affecté</x:v>
      </x:c>
      <x:c r="I553" t="str">
        <x:v>Livrable explicite, tests positifs et négatifs ; aucune validation déduite de la seule présence de la fiche.</x:v>
      </x:c>
      <x:c r="J553" t="str"/>
    </x:row>
    <x:row r="554">
      <x:c r="A554" t="str">
        <x:v>EXT-MONDE-T055/sauvegarde</x:v>
      </x:c>
      <x:c r="B554" t="str">
        <x:v>EXT-MONDE-T055</x:v>
      </x:c>
      <x:c r="C554" t="str">
        <x:v>Usines</x:v>
      </x:c>
      <x:c r="D554" t="str">
        <x:v>Usine textile</x:v>
      </x:c>
      <x:c r="E554" t="str">
        <x:v>Identités, migration et reprise</x:v>
      </x:c>
      <x:c r="F554" t="str">
        <x:v>P1</x:v>
      </x:c>
      <x:c r="G554" t="str">
        <x:v>En cours</x:v>
      </x:c>
      <x:c r="H554" t="str">
        <x:v>Production Codex</x:v>
      </x:c>
      <x:c r="I554" t="str">
        <x:v>Livrable explicite, tests positifs et négatifs ; aucune validation déduite de la seule présence de la fiche.</x:v>
      </x:c>
      <x:c r="J554" t="str">
        <x:v>https://github.com/darknigthmare/deadwall-last-enclosure/blob/e28f46223e73105ab2c5d83f3d50b99b58ef53e6/docs/codex/suivi-monde2026/INSPECTION_PHYSIQUE_2026.md</x:v>
      </x:c>
    </x:row>
    <x:row r="555">
      <x:c r="A555" t="str">
        <x:v>EXT-MONDE-T055/qa</x:v>
      </x:c>
      <x:c r="B555" t="str">
        <x:v>EXT-MONDE-T055</x:v>
      </x:c>
      <x:c r="C555" t="str">
        <x:v>Usines</x:v>
      </x:c>
      <x:c r="D555" t="str">
        <x:v>Usine textile</x:v>
      </x:c>
      <x:c r="E555" t="str">
        <x:v>Navigation et parcours jouables</x:v>
      </x:c>
      <x:c r="F555" t="str">
        <x:v>P1</x:v>
      </x:c>
      <x:c r="G555" t="str">
        <x:v>En cours</x:v>
      </x:c>
      <x:c r="H555" t="str">
        <x:v>Production Codex</x:v>
      </x:c>
      <x:c r="I555" t="str">
        <x:v>Livrable explicite, tests positifs et négatifs ; aucune validation déduite de la seule présence de la fiche.</x:v>
      </x:c>
      <x:c r="J555" t="str">
        <x:v>https://github.com/darknigthmare/deadwall-last-enclosure/blob/e28f46223e73105ab2c5d83f3d50b99b58ef53e6/docs/codex/suivi-monde2026/INSPECTION_PHYSIQUE_2026.md</x:v>
      </x:c>
    </x:row>
    <x:row r="556">
      <x:c r="A556" t="str">
        <x:v>EXT-MONDE-T056/dimensions</x:v>
      </x:c>
      <x:c r="B556" t="str">
        <x:v>EXT-MONDE-T056</x:v>
      </x:c>
      <x:c r="C556" t="str">
        <x:v>Usines</x:v>
      </x:c>
      <x:c r="D556" t="str">
        <x:v>Usine de matériaux</x:v>
      </x:c>
      <x:c r="E556" t="str">
        <x:v>Dimensions et plans de référence</x:v>
      </x:c>
      <x:c r="F556" t="str">
        <x:v>P0</x:v>
      </x:c>
      <x:c r="G556" t="str">
        <x:v>En cours</x:v>
      </x:c>
      <x:c r="H556" t="str">
        <x:v>Production Codex</x:v>
      </x:c>
      <x:c r="I556" t="str">
        <x:v>Sources publiques identifiées ; unités en mètres ; emprise au sol distincte de la hauteur.</x:v>
      </x:c>
      <x:c r="J556" t="str">
        <x:v>https://github.com/darknigthmare/deadwall-last-enclosure/blob/e28f46223e73105ab2c5d83f3d50b99b58ef53e6/docs/codex/suivi-monde2026/INDUSTRIE_2026.md</x:v>
      </x:c>
    </x:row>
    <x:row r="557">
      <x:c r="A557" t="str">
        <x:v>EXT-MONDE-T056/architecture</x:v>
      </x:c>
      <x:c r="B557" t="str">
        <x:v>EXT-MONDE-T056</x:v>
      </x:c>
      <x:c r="C557" t="str">
        <x:v>Usines</x:v>
      </x:c>
      <x:c r="D557" t="str">
        <x:v>Usine de matériaux</x:v>
      </x:c>
      <x:c r="E557" t="str">
        <x:v>Pièces, étages, annexes</x:v>
      </x:c>
      <x:c r="F557" t="str">
        <x:v>P0</x:v>
      </x:c>
      <x:c r="G557" t="str">
        <x:v>En cours</x:v>
      </x:c>
      <x:c r="H557" t="str">
        <x:v>Production Codex</x:v>
      </x:c>
      <x:c r="I557" t="str">
        <x:v>Livrable explicite, tests positifs et négatifs ; aucune validation déduite de la seule présence de la fiche.</x:v>
      </x:c>
      <x:c r="J557" t="str">
        <x:v>https://github.com/darknigthmare/deadwall-last-enclosure/blob/e28f46223e73105ab2c5d83f3d50b99b58ef53e6/docs/codex/suivi-monde2026/INSPECTION_PHYSIQUE_2026.md</x:v>
      </x:c>
    </x:row>
    <x:row r="558">
      <x:c r="A558" t="str">
        <x:v>EXT-MONDE-T056/seed</x:v>
      </x:c>
      <x:c r="B558" t="str">
        <x:v>EXT-MONDE-T056</x:v>
      </x:c>
      <x:c r="C558" t="str">
        <x:v>Usines</x:v>
      </x:c>
      <x:c r="D558" t="str">
        <x:v>Usine de matériaux</x:v>
      </x:c>
      <x:c r="E558" t="str">
        <x:v>Implantation et réseaux</x:v>
      </x:c>
      <x:c r="F558" t="str">
        <x:v>P0</x:v>
      </x:c>
      <x:c r="G558" t="str">
        <x:v>À faire</x:v>
      </x:c>
      <x:c r="H558" t="str">
        <x:v>Non affecté</x:v>
      </x:c>
      <x:c r="I558" t="str">
        <x:v>Processus logique entrée-sortie ; machines et maintenance dégagées ; aucune production gratuite.</x:v>
      </x:c>
      <x:c r="J558" t="str"/>
    </x:row>
    <x:row r="559">
      <x:c r="A559" t="str">
        <x:v>EXT-MONDE-T056/props</x:v>
      </x:c>
      <x:c r="B559" t="str">
        <x:v>EXT-MONDE-T056</x:v>
      </x:c>
      <x:c r="C559" t="str">
        <x:v>Usines</x:v>
      </x:c>
      <x:c r="D559" t="str">
        <x:v>Usine de matériaux</x:v>
      </x:c>
      <x:c r="E559" t="str">
        <x:v>Objets, décors et dégagements</x:v>
      </x:c>
      <x:c r="F559" t="str">
        <x:v>P1</x:v>
      </x:c>
      <x:c r="G559" t="str">
        <x:v>En cours</x:v>
      </x:c>
      <x:c r="H559" t="str">
        <x:v>Production Codex</x:v>
      </x:c>
      <x:c r="I559" t="str">
        <x:v>Livrable explicite, tests positifs et négatifs ; aucune validation déduite de la seule présence de la fiche.</x:v>
      </x:c>
      <x:c r="J559" t="str">
        <x:v>https://github.com/darknigthmare/deadwall-last-enclosure/blob/e28f46223e73105ab2c5d83f3d50b99b58ef53e6/docs/codex/suivi-monde2026/INSPECTION_PHYSIQUE_2026.md</x:v>
      </x:c>
    </x:row>
    <x:row r="560">
      <x:c r="A560" t="str">
        <x:v>EXT-MONDE-T056/loot</x:v>
      </x:c>
      <x:c r="B560" t="str">
        <x:v>EXT-MONDE-T056</x:v>
      </x:c>
      <x:c r="C560" t="str">
        <x:v>Usines</x:v>
      </x:c>
      <x:c r="D560" t="str">
        <x:v>Usine de matériaux</x:v>
      </x:c>
      <x:c r="E560" t="str">
        <x:v>Budget de butin persistant</x:v>
      </x:c>
      <x:c r="F560" t="str">
        <x:v>P1</x:v>
      </x:c>
      <x:c r="G560" t="str">
        <x:v>À faire</x:v>
      </x:c>
      <x:c r="H560" t="str">
        <x:v>Non affecté</x:v>
      </x:c>
      <x:c r="I560" t="str">
        <x:v>Livrable explicite, tests positifs et négatifs ; aucune validation déduite de la seule présence de la fiche.</x:v>
      </x:c>
      <x:c r="J560" t="str"/>
    </x:row>
    <x:row r="561">
      <x:c r="A561" t="str">
        <x:v>EXT-MONDE-T056/rencontres</x:v>
      </x:c>
      <x:c r="B561" t="str">
        <x:v>EXT-MONDE-T056</x:v>
      </x:c>
      <x:c r="C561" t="str">
        <x:v>Usines</x:v>
      </x:c>
      <x:c r="D561" t="str">
        <x:v>Usine de matériaux</x:v>
      </x:c>
      <x:c r="E561" t="str">
        <x:v>Ennemis et faune contextualisés</x:v>
      </x:c>
      <x:c r="F561" t="str">
        <x:v>P1</x:v>
      </x:c>
      <x:c r="G561" t="str">
        <x:v>À faire</x:v>
      </x:c>
      <x:c r="H561" t="str">
        <x:v>Non affecté</x:v>
      </x:c>
      <x:c r="I561" t="str">
        <x:v>Livrable explicite, tests positifs et négatifs ; aucune validation déduite de la seule présence de la fiche.</x:v>
      </x:c>
      <x:c r="J561" t="str"/>
    </x:row>
    <x:row r="562">
      <x:c r="A562" t="str">
        <x:v>EXT-MONDE-T056/services</x:v>
      </x:c>
      <x:c r="B562" t="str">
        <x:v>EXT-MONDE-T056</x:v>
      </x:c>
      <x:c r="C562" t="str">
        <x:v>Usines</x:v>
      </x:c>
      <x:c r="D562" t="str">
        <x:v>Usine de matériaux</x:v>
      </x:c>
      <x:c r="E562" t="str">
        <x:v>Énergie, eau et interactions</x:v>
      </x:c>
      <x:c r="F562" t="str">
        <x:v>P1</x:v>
      </x:c>
      <x:c r="G562" t="str">
        <x:v>À faire</x:v>
      </x:c>
      <x:c r="H562" t="str">
        <x:v>Non affecté</x:v>
      </x:c>
      <x:c r="I562" t="str">
        <x:v>Livrable explicite, tests positifs et négatifs ; aucune validation déduite de la seule présence de la fiche.</x:v>
      </x:c>
      <x:c r="J562" t="str"/>
    </x:row>
    <x:row r="563">
      <x:c r="A563" t="str">
        <x:v>EXT-MONDE-T056/art</x:v>
      </x:c>
      <x:c r="B563" t="str">
        <x:v>EXT-MONDE-T056</x:v>
      </x:c>
      <x:c r="C563" t="str">
        <x:v>Usines</x:v>
      </x:c>
      <x:c r="D563" t="str">
        <x:v>Usine de matériaux</x:v>
      </x:c>
      <x:c r="E563" t="str">
        <x:v>Sprites, proportions et animations</x:v>
      </x:c>
      <x:c r="F563" t="str">
        <x:v>P1</x:v>
      </x:c>
      <x:c r="G563" t="str">
        <x:v>À faire</x:v>
      </x:c>
      <x:c r="H563" t="str">
        <x:v>Non affecté</x:v>
      </x:c>
      <x:c r="I563" t="str">
        <x:v>Livrable explicite, tests positifs et négatifs ; aucune validation déduite de la seule présence de la fiche.</x:v>
      </x:c>
      <x:c r="J563" t="str"/>
    </x:row>
    <x:row r="564">
      <x:c r="A564" t="str">
        <x:v>EXT-MONDE-T056/sauvegarde</x:v>
      </x:c>
      <x:c r="B564" t="str">
        <x:v>EXT-MONDE-T056</x:v>
      </x:c>
      <x:c r="C564" t="str">
        <x:v>Usines</x:v>
      </x:c>
      <x:c r="D564" t="str">
        <x:v>Usine de matériaux</x:v>
      </x:c>
      <x:c r="E564" t="str">
        <x:v>Identités, migration et reprise</x:v>
      </x:c>
      <x:c r="F564" t="str">
        <x:v>P1</x:v>
      </x:c>
      <x:c r="G564" t="str">
        <x:v>En cours</x:v>
      </x:c>
      <x:c r="H564" t="str">
        <x:v>Production Codex</x:v>
      </x:c>
      <x:c r="I564" t="str">
        <x:v>Livrable explicite, tests positifs et négatifs ; aucune validation déduite de la seule présence de la fiche.</x:v>
      </x:c>
      <x:c r="J564" t="str">
        <x:v>https://github.com/darknigthmare/deadwall-last-enclosure/blob/e28f46223e73105ab2c5d83f3d50b99b58ef53e6/docs/codex/suivi-monde2026/INSPECTION_PHYSIQUE_2026.md</x:v>
      </x:c>
    </x:row>
    <x:row r="565">
      <x:c r="A565" t="str">
        <x:v>EXT-MONDE-T056/qa</x:v>
      </x:c>
      <x:c r="B565" t="str">
        <x:v>EXT-MONDE-T056</x:v>
      </x:c>
      <x:c r="C565" t="str">
        <x:v>Usines</x:v>
      </x:c>
      <x:c r="D565" t="str">
        <x:v>Usine de matériaux</x:v>
      </x:c>
      <x:c r="E565" t="str">
        <x:v>Navigation et parcours jouables</x:v>
      </x:c>
      <x:c r="F565" t="str">
        <x:v>P1</x:v>
      </x:c>
      <x:c r="G565" t="str">
        <x:v>En cours</x:v>
      </x:c>
      <x:c r="H565" t="str">
        <x:v>Production Codex</x:v>
      </x:c>
      <x:c r="I565" t="str">
        <x:v>Livrable explicite, tests positifs et négatifs ; aucune validation déduite de la seule présence de la fiche.</x:v>
      </x:c>
      <x:c r="J565" t="str">
        <x:v>https://github.com/darknigthmare/deadwall-last-enclosure/blob/e28f46223e73105ab2c5d83f3d50b99b58ef53e6/docs/codex/suivi-monde2026/INSPECTION_PHYSIQUE_2026.md</x:v>
      </x:c>
    </x:row>
    <x:row r="566">
      <x:c r="A566" t="str">
        <x:v>EXT-MONDE-T057/dimensions</x:v>
      </x:c>
      <x:c r="B566" t="str">
        <x:v>EXT-MONDE-T057</x:v>
      </x:c>
      <x:c r="C566" t="str">
        <x:v>Énergie</x:v>
      </x:c>
      <x:c r="D566" t="str">
        <x:v>Centrale thermique</x:v>
      </x:c>
      <x:c r="E566" t="str">
        <x:v>Dimensions et plans de référence</x:v>
      </x:c>
      <x:c r="F566" t="str">
        <x:v>P0</x:v>
      </x:c>
      <x:c r="G566" t="str">
        <x:v>En cours</x:v>
      </x:c>
      <x:c r="H566" t="str">
        <x:v>Production Codex</x:v>
      </x:c>
      <x:c r="I566" t="str">
        <x:v>Sources publiques identifiées ; unités en mètres ; emprise au sol distincte de la hauteur.</x:v>
      </x:c>
      <x:c r="J566" t="str">
        <x:v>https://github.com/darknigthmare/deadwall-last-enclosure/blob/e28f46223e73105ab2c5d83f3d50b99b58ef53e6/docs/codex/suivi-monde2026/EAU_ENERGIE_2026.md</x:v>
      </x:c>
    </x:row>
    <x:row r="567">
      <x:c r="A567" t="str">
        <x:v>EXT-MONDE-T057/architecture</x:v>
      </x:c>
      <x:c r="B567" t="str">
        <x:v>EXT-MONDE-T057</x:v>
      </x:c>
      <x:c r="C567" t="str">
        <x:v>Énergie</x:v>
      </x:c>
      <x:c r="D567" t="str">
        <x:v>Centrale thermique</x:v>
      </x:c>
      <x:c r="E567" t="str">
        <x:v>Pièces, étages, annexes</x:v>
      </x:c>
      <x:c r="F567" t="str">
        <x:v>P0</x:v>
      </x:c>
      <x:c r="G567" t="str">
        <x:v>En cours</x:v>
      </x:c>
      <x:c r="H567" t="str">
        <x:v>Production Codex</x:v>
      </x:c>
      <x:c r="I567" t="str">
        <x:v>Livrable explicite, tests positifs et négatifs ; aucune validation déduite de la seule présence de la fiche.</x:v>
      </x:c>
      <x:c r="J567" t="str">
        <x:v>https://github.com/darknigthmare/deadwall-last-enclosure/blob/e28f46223e73105ab2c5d83f3d50b99b58ef53e6/docs/codex/suivi-monde2026/INSPECTION_PHYSIQUE_2026.md</x:v>
      </x:c>
    </x:row>
    <x:row r="568">
      <x:c r="A568" t="str">
        <x:v>EXT-MONDE-T057/seed</x:v>
      </x:c>
      <x:c r="B568" t="str">
        <x:v>EXT-MONDE-T057</x:v>
      </x:c>
      <x:c r="C568" t="str">
        <x:v>Énergie</x:v>
      </x:c>
      <x:c r="D568" t="str">
        <x:v>Centrale thermique</x:v>
      </x:c>
      <x:c r="E568" t="str">
        <x:v>Implantation et réseaux</x:v>
      </x:c>
      <x:c r="F568" t="str">
        <x:v>P0</x:v>
      </x:c>
      <x:c r="G568" t="str">
        <x:v>À faire</x:v>
      </x:c>
      <x:c r="H568" t="str">
        <x:v>Non affecté</x:v>
      </x:c>
      <x:c r="I568" t="str">
        <x:v>Chaîne production-distribution-consommateurs ; coupure sauvegardée ; pas de courant créé par un sprite.</x:v>
      </x:c>
      <x:c r="J568" t="str"/>
    </x:row>
    <x:row r="569">
      <x:c r="A569" t="str">
        <x:v>EXT-MONDE-T057/props</x:v>
      </x:c>
      <x:c r="B569" t="str">
        <x:v>EXT-MONDE-T057</x:v>
      </x:c>
      <x:c r="C569" t="str">
        <x:v>Énergie</x:v>
      </x:c>
      <x:c r="D569" t="str">
        <x:v>Centrale thermique</x:v>
      </x:c>
      <x:c r="E569" t="str">
        <x:v>Objets, décors et dégagements</x:v>
      </x:c>
      <x:c r="F569" t="str">
        <x:v>P1</x:v>
      </x:c>
      <x:c r="G569" t="str">
        <x:v>En cours</x:v>
      </x:c>
      <x:c r="H569" t="str">
        <x:v>Production Codex</x:v>
      </x:c>
      <x:c r="I569" t="str">
        <x:v>Livrable explicite, tests positifs et négatifs ; aucune validation déduite de la seule présence de la fiche.</x:v>
      </x:c>
      <x:c r="J569" t="str">
        <x:v>https://github.com/darknigthmare/deadwall-last-enclosure/blob/e28f46223e73105ab2c5d83f3d50b99b58ef53e6/docs/codex/suivi-monde2026/INSPECTION_PHYSIQUE_2026.md</x:v>
      </x:c>
    </x:row>
    <x:row r="570">
      <x:c r="A570" t="str">
        <x:v>EXT-MONDE-T057/loot</x:v>
      </x:c>
      <x:c r="B570" t="str">
        <x:v>EXT-MONDE-T057</x:v>
      </x:c>
      <x:c r="C570" t="str">
        <x:v>Énergie</x:v>
      </x:c>
      <x:c r="D570" t="str">
        <x:v>Centrale thermique</x:v>
      </x:c>
      <x:c r="E570" t="str">
        <x:v>Budget de butin persistant</x:v>
      </x:c>
      <x:c r="F570" t="str">
        <x:v>P1</x:v>
      </x:c>
      <x:c r="G570" t="str">
        <x:v>À faire</x:v>
      </x:c>
      <x:c r="H570" t="str">
        <x:v>Non affecté</x:v>
      </x:c>
      <x:c r="I570" t="str">
        <x:v>Livrable explicite, tests positifs et négatifs ; aucune validation déduite de la seule présence de la fiche.</x:v>
      </x:c>
      <x:c r="J570" t="str"/>
    </x:row>
    <x:row r="571">
      <x:c r="A571" t="str">
        <x:v>EXT-MONDE-T057/rencontres</x:v>
      </x:c>
      <x:c r="B571" t="str">
        <x:v>EXT-MONDE-T057</x:v>
      </x:c>
      <x:c r="C571" t="str">
        <x:v>Énergie</x:v>
      </x:c>
      <x:c r="D571" t="str">
        <x:v>Centrale thermique</x:v>
      </x:c>
      <x:c r="E571" t="str">
        <x:v>Ennemis et faune contextualisés</x:v>
      </x:c>
      <x:c r="F571" t="str">
        <x:v>P1</x:v>
      </x:c>
      <x:c r="G571" t="str">
        <x:v>À faire</x:v>
      </x:c>
      <x:c r="H571" t="str">
        <x:v>Non affecté</x:v>
      </x:c>
      <x:c r="I571" t="str">
        <x:v>Livrable explicite, tests positifs et négatifs ; aucune validation déduite de la seule présence de la fiche.</x:v>
      </x:c>
      <x:c r="J571" t="str"/>
    </x:row>
    <x:row r="572">
      <x:c r="A572" t="str">
        <x:v>EXT-MONDE-T057/services</x:v>
      </x:c>
      <x:c r="B572" t="str">
        <x:v>EXT-MONDE-T057</x:v>
      </x:c>
      <x:c r="C572" t="str">
        <x:v>Énergie</x:v>
      </x:c>
      <x:c r="D572" t="str">
        <x:v>Centrale thermique</x:v>
      </x:c>
      <x:c r="E572" t="str">
        <x:v>Énergie, eau et interactions</x:v>
      </x:c>
      <x:c r="F572" t="str">
        <x:v>P1</x:v>
      </x:c>
      <x:c r="G572" t="str">
        <x:v>À faire</x:v>
      </x:c>
      <x:c r="H572" t="str">
        <x:v>Non affecté</x:v>
      </x:c>
      <x:c r="I572" t="str">
        <x:v>Livrable explicite, tests positifs et négatifs ; aucune validation déduite de la seule présence de la fiche.</x:v>
      </x:c>
      <x:c r="J572" t="str"/>
    </x:row>
    <x:row r="573">
      <x:c r="A573" t="str">
        <x:v>EXT-MONDE-T057/art</x:v>
      </x:c>
      <x:c r="B573" t="str">
        <x:v>EXT-MONDE-T057</x:v>
      </x:c>
      <x:c r="C573" t="str">
        <x:v>Énergie</x:v>
      </x:c>
      <x:c r="D573" t="str">
        <x:v>Centrale thermique</x:v>
      </x:c>
      <x:c r="E573" t="str">
        <x:v>Sprites, proportions et animations</x:v>
      </x:c>
      <x:c r="F573" t="str">
        <x:v>P1</x:v>
      </x:c>
      <x:c r="G573" t="str">
        <x:v>À faire</x:v>
      </x:c>
      <x:c r="H573" t="str">
        <x:v>Non affecté</x:v>
      </x:c>
      <x:c r="I573" t="str">
        <x:v>Livrable explicite, tests positifs et négatifs ; aucune validation déduite de la seule présence de la fiche.</x:v>
      </x:c>
      <x:c r="J573" t="str"/>
    </x:row>
    <x:row r="574">
      <x:c r="A574" t="str">
        <x:v>EXT-MONDE-T057/sauvegarde</x:v>
      </x:c>
      <x:c r="B574" t="str">
        <x:v>EXT-MONDE-T057</x:v>
      </x:c>
      <x:c r="C574" t="str">
        <x:v>Énergie</x:v>
      </x:c>
      <x:c r="D574" t="str">
        <x:v>Centrale thermique</x:v>
      </x:c>
      <x:c r="E574" t="str">
        <x:v>Identités, migration et reprise</x:v>
      </x:c>
      <x:c r="F574" t="str">
        <x:v>P1</x:v>
      </x:c>
      <x:c r="G574" t="str">
        <x:v>En cours</x:v>
      </x:c>
      <x:c r="H574" t="str">
        <x:v>Production Codex</x:v>
      </x:c>
      <x:c r="I574" t="str">
        <x:v>Livrable explicite, tests positifs et négatifs ; aucune validation déduite de la seule présence de la fiche.</x:v>
      </x:c>
      <x:c r="J574" t="str">
        <x:v>https://github.com/darknigthmare/deadwall-last-enclosure/blob/e28f46223e73105ab2c5d83f3d50b99b58ef53e6/docs/codex/suivi-monde2026/INSPECTION_PHYSIQUE_2026.md</x:v>
      </x:c>
    </x:row>
    <x:row r="575">
      <x:c r="A575" t="str">
        <x:v>EXT-MONDE-T057/qa</x:v>
      </x:c>
      <x:c r="B575" t="str">
        <x:v>EXT-MONDE-T057</x:v>
      </x:c>
      <x:c r="C575" t="str">
        <x:v>Énergie</x:v>
      </x:c>
      <x:c r="D575" t="str">
        <x:v>Centrale thermique</x:v>
      </x:c>
      <x:c r="E575" t="str">
        <x:v>Navigation et parcours jouables</x:v>
      </x:c>
      <x:c r="F575" t="str">
        <x:v>P1</x:v>
      </x:c>
      <x:c r="G575" t="str">
        <x:v>En cours</x:v>
      </x:c>
      <x:c r="H575" t="str">
        <x:v>Production Codex</x:v>
      </x:c>
      <x:c r="I575" t="str">
        <x:v>Livrable explicite, tests positifs et négatifs ; aucune validation déduite de la seule présence de la fiche.</x:v>
      </x:c>
      <x:c r="J575" t="str">
        <x:v>https://github.com/darknigthmare/deadwall-last-enclosure/blob/e28f46223e73105ab2c5d83f3d50b99b58ef53e6/docs/codex/suivi-monde2026/INSPECTION_PHYSIQUE_2026.md</x:v>
      </x:c>
    </x:row>
    <x:row r="576">
      <x:c r="A576" t="str">
        <x:v>EXT-MONDE-T058/dimensions</x:v>
      </x:c>
      <x:c r="B576" t="str">
        <x:v>EXT-MONDE-T058</x:v>
      </x:c>
      <x:c r="C576" t="str">
        <x:v>Énergie</x:v>
      </x:c>
      <x:c r="D576" t="str">
        <x:v>Centrale hydroélectrique</x:v>
      </x:c>
      <x:c r="E576" t="str">
        <x:v>Dimensions et plans de référence</x:v>
      </x:c>
      <x:c r="F576" t="str">
        <x:v>P0</x:v>
      </x:c>
      <x:c r="G576" t="str">
        <x:v>En cours</x:v>
      </x:c>
      <x:c r="H576" t="str">
        <x:v>Production Codex</x:v>
      </x:c>
      <x:c r="I576" t="str">
        <x:v>Sources publiques identifiées ; unités en mètres ; emprise au sol distincte de la hauteur.</x:v>
      </x:c>
      <x:c r="J576" t="str">
        <x:v>https://github.com/darknigthmare/deadwall-last-enclosure/blob/e28f46223e73105ab2c5d83f3d50b99b58ef53e6/docs/codex/suivi-monde2026/EAU_ENERGIE_2026.md</x:v>
      </x:c>
    </x:row>
    <x:row r="577">
      <x:c r="A577" t="str">
        <x:v>EXT-MONDE-T058/architecture</x:v>
      </x:c>
      <x:c r="B577" t="str">
        <x:v>EXT-MONDE-T058</x:v>
      </x:c>
      <x:c r="C577" t="str">
        <x:v>Énergie</x:v>
      </x:c>
      <x:c r="D577" t="str">
        <x:v>Centrale hydroélectrique</x:v>
      </x:c>
      <x:c r="E577" t="str">
        <x:v>Pièces, étages, annexes</x:v>
      </x:c>
      <x:c r="F577" t="str">
        <x:v>P0</x:v>
      </x:c>
      <x:c r="G577" t="str">
        <x:v>En cours</x:v>
      </x:c>
      <x:c r="H577" t="str">
        <x:v>Production Codex</x:v>
      </x:c>
      <x:c r="I577" t="str">
        <x:v>Livrable explicite, tests positifs et négatifs ; aucune validation déduite de la seule présence de la fiche.</x:v>
      </x:c>
      <x:c r="J577" t="str">
        <x:v>https://github.com/darknigthmare/deadwall-last-enclosure/blob/e28f46223e73105ab2c5d83f3d50b99b58ef53e6/docs/codex/suivi-monde2026/INSPECTION_PHYSIQUE_2026.md</x:v>
      </x:c>
    </x:row>
    <x:row r="578">
      <x:c r="A578" t="str">
        <x:v>EXT-MONDE-T058/seed</x:v>
      </x:c>
      <x:c r="B578" t="str">
        <x:v>EXT-MONDE-T058</x:v>
      </x:c>
      <x:c r="C578" t="str">
        <x:v>Énergie</x:v>
      </x:c>
      <x:c r="D578" t="str">
        <x:v>Centrale hydroélectrique</x:v>
      </x:c>
      <x:c r="E578" t="str">
        <x:v>Implantation et réseaux</x:v>
      </x:c>
      <x:c r="F578" t="str">
        <x:v>P0</x:v>
      </x:c>
      <x:c r="G578" t="str">
        <x:v>À faire</x:v>
      </x:c>
      <x:c r="H578" t="str">
        <x:v>Non affecté</x:v>
      </x:c>
      <x:c r="I578" t="str">
        <x:v>Chaîne production-distribution-consommateurs ; coupure sauvegardée ; pas de courant créé par un sprite.</x:v>
      </x:c>
      <x:c r="J578" t="str"/>
    </x:row>
    <x:row r="579">
      <x:c r="A579" t="str">
        <x:v>EXT-MONDE-T058/props</x:v>
      </x:c>
      <x:c r="B579" t="str">
        <x:v>EXT-MONDE-T058</x:v>
      </x:c>
      <x:c r="C579" t="str">
        <x:v>Énergie</x:v>
      </x:c>
      <x:c r="D579" t="str">
        <x:v>Centrale hydroélectrique</x:v>
      </x:c>
      <x:c r="E579" t="str">
        <x:v>Objets, décors et dégagements</x:v>
      </x:c>
      <x:c r="F579" t="str">
        <x:v>P1</x:v>
      </x:c>
      <x:c r="G579" t="str">
        <x:v>En cours</x:v>
      </x:c>
      <x:c r="H579" t="str">
        <x:v>Production Codex</x:v>
      </x:c>
      <x:c r="I579" t="str">
        <x:v>Livrable explicite, tests positifs et négatifs ; aucune validation déduite de la seule présence de la fiche.</x:v>
      </x:c>
      <x:c r="J579" t="str">
        <x:v>https://github.com/darknigthmare/deadwall-last-enclosure/blob/e28f46223e73105ab2c5d83f3d50b99b58ef53e6/docs/codex/suivi-monde2026/INSPECTION_PHYSIQUE_2026.md</x:v>
      </x:c>
    </x:row>
    <x:row r="580">
      <x:c r="A580" t="str">
        <x:v>EXT-MONDE-T058/loot</x:v>
      </x:c>
      <x:c r="B580" t="str">
        <x:v>EXT-MONDE-T058</x:v>
      </x:c>
      <x:c r="C580" t="str">
        <x:v>Énergie</x:v>
      </x:c>
      <x:c r="D580" t="str">
        <x:v>Centrale hydroélectrique</x:v>
      </x:c>
      <x:c r="E580" t="str">
        <x:v>Budget de butin persistant</x:v>
      </x:c>
      <x:c r="F580" t="str">
        <x:v>P1</x:v>
      </x:c>
      <x:c r="G580" t="str">
        <x:v>À faire</x:v>
      </x:c>
      <x:c r="H580" t="str">
        <x:v>Non affecté</x:v>
      </x:c>
      <x:c r="I580" t="str">
        <x:v>Livrable explicite, tests positifs et négatifs ; aucune validation déduite de la seule présence de la fiche.</x:v>
      </x:c>
      <x:c r="J580" t="str"/>
    </x:row>
    <x:row r="581">
      <x:c r="A581" t="str">
        <x:v>EXT-MONDE-T058/rencontres</x:v>
      </x:c>
      <x:c r="B581" t="str">
        <x:v>EXT-MONDE-T058</x:v>
      </x:c>
      <x:c r="C581" t="str">
        <x:v>Énergie</x:v>
      </x:c>
      <x:c r="D581" t="str">
        <x:v>Centrale hydroélectrique</x:v>
      </x:c>
      <x:c r="E581" t="str">
        <x:v>Ennemis et faune contextualisés</x:v>
      </x:c>
      <x:c r="F581" t="str">
        <x:v>P1</x:v>
      </x:c>
      <x:c r="G581" t="str">
        <x:v>À faire</x:v>
      </x:c>
      <x:c r="H581" t="str">
        <x:v>Non affecté</x:v>
      </x:c>
      <x:c r="I581" t="str">
        <x:v>Livrable explicite, tests positifs et négatifs ; aucune validation déduite de la seule présence de la fiche.</x:v>
      </x:c>
      <x:c r="J581" t="str"/>
    </x:row>
    <x:row r="582">
      <x:c r="A582" t="str">
        <x:v>EXT-MONDE-T058/services</x:v>
      </x:c>
      <x:c r="B582" t="str">
        <x:v>EXT-MONDE-T058</x:v>
      </x:c>
      <x:c r="C582" t="str">
        <x:v>Énergie</x:v>
      </x:c>
      <x:c r="D582" t="str">
        <x:v>Centrale hydroélectrique</x:v>
      </x:c>
      <x:c r="E582" t="str">
        <x:v>Énergie, eau et interactions</x:v>
      </x:c>
      <x:c r="F582" t="str">
        <x:v>P1</x:v>
      </x:c>
      <x:c r="G582" t="str">
        <x:v>À faire</x:v>
      </x:c>
      <x:c r="H582" t="str">
        <x:v>Non affecté</x:v>
      </x:c>
      <x:c r="I582" t="str">
        <x:v>Livrable explicite, tests positifs et négatifs ; aucune validation déduite de la seule présence de la fiche.</x:v>
      </x:c>
      <x:c r="J582" t="str"/>
    </x:row>
    <x:row r="583">
      <x:c r="A583" t="str">
        <x:v>EXT-MONDE-T058/art</x:v>
      </x:c>
      <x:c r="B583" t="str">
        <x:v>EXT-MONDE-T058</x:v>
      </x:c>
      <x:c r="C583" t="str">
        <x:v>Énergie</x:v>
      </x:c>
      <x:c r="D583" t="str">
        <x:v>Centrale hydroélectrique</x:v>
      </x:c>
      <x:c r="E583" t="str">
        <x:v>Sprites, proportions et animations</x:v>
      </x:c>
      <x:c r="F583" t="str">
        <x:v>P1</x:v>
      </x:c>
      <x:c r="G583" t="str">
        <x:v>À faire</x:v>
      </x:c>
      <x:c r="H583" t="str">
        <x:v>Non affecté</x:v>
      </x:c>
      <x:c r="I583" t="str">
        <x:v>Livrable explicite, tests positifs et négatifs ; aucune validation déduite de la seule présence de la fiche.</x:v>
      </x:c>
      <x:c r="J583" t="str"/>
    </x:row>
    <x:row r="584">
      <x:c r="A584" t="str">
        <x:v>EXT-MONDE-T058/sauvegarde</x:v>
      </x:c>
      <x:c r="B584" t="str">
        <x:v>EXT-MONDE-T058</x:v>
      </x:c>
      <x:c r="C584" t="str">
        <x:v>Énergie</x:v>
      </x:c>
      <x:c r="D584" t="str">
        <x:v>Centrale hydroélectrique</x:v>
      </x:c>
      <x:c r="E584" t="str">
        <x:v>Identités, migration et reprise</x:v>
      </x:c>
      <x:c r="F584" t="str">
        <x:v>P1</x:v>
      </x:c>
      <x:c r="G584" t="str">
        <x:v>En cours</x:v>
      </x:c>
      <x:c r="H584" t="str">
        <x:v>Production Codex</x:v>
      </x:c>
      <x:c r="I584" t="str">
        <x:v>Livrable explicite, tests positifs et négatifs ; aucune validation déduite de la seule présence de la fiche.</x:v>
      </x:c>
      <x:c r="J584" t="str">
        <x:v>https://github.com/darknigthmare/deadwall-last-enclosure/blob/e28f46223e73105ab2c5d83f3d50b99b58ef53e6/docs/codex/suivi-monde2026/INSPECTION_PHYSIQUE_2026.md</x:v>
      </x:c>
    </x:row>
    <x:row r="585">
      <x:c r="A585" t="str">
        <x:v>EXT-MONDE-T058/qa</x:v>
      </x:c>
      <x:c r="B585" t="str">
        <x:v>EXT-MONDE-T058</x:v>
      </x:c>
      <x:c r="C585" t="str">
        <x:v>Énergie</x:v>
      </x:c>
      <x:c r="D585" t="str">
        <x:v>Centrale hydroélectrique</x:v>
      </x:c>
      <x:c r="E585" t="str">
        <x:v>Navigation et parcours jouables</x:v>
      </x:c>
      <x:c r="F585" t="str">
        <x:v>P1</x:v>
      </x:c>
      <x:c r="G585" t="str">
        <x:v>En cours</x:v>
      </x:c>
      <x:c r="H585" t="str">
        <x:v>Production Codex</x:v>
      </x:c>
      <x:c r="I585" t="str">
        <x:v>Livrable explicite, tests positifs et négatifs ; aucune validation déduite de la seule présence de la fiche.</x:v>
      </x:c>
      <x:c r="J585" t="str">
        <x:v>https://github.com/darknigthmare/deadwall-last-enclosure/blob/e28f46223e73105ab2c5d83f3d50b99b58ef53e6/docs/codex/suivi-monde2026/INSPECTION_PHYSIQUE_2026.md</x:v>
      </x:c>
    </x:row>
    <x:row r="586">
      <x:c r="A586" t="str">
        <x:v>EXT-MONDE-T059/dimensions</x:v>
      </x:c>
      <x:c r="B586" t="str">
        <x:v>EXT-MONDE-T059</x:v>
      </x:c>
      <x:c r="C586" t="str">
        <x:v>Énergie</x:v>
      </x:c>
      <x:c r="D586" t="str">
        <x:v>Poste électrique régional</x:v>
      </x:c>
      <x:c r="E586" t="str">
        <x:v>Dimensions et plans de référence</x:v>
      </x:c>
      <x:c r="F586" t="str">
        <x:v>P0</x:v>
      </x:c>
      <x:c r="G586" t="str">
        <x:v>En cours</x:v>
      </x:c>
      <x:c r="H586" t="str">
        <x:v>Production Codex</x:v>
      </x:c>
      <x:c r="I586" t="str">
        <x:v>Sources publiques identifiées ; unités en mètres ; emprise au sol distincte de la hauteur.</x:v>
      </x:c>
      <x:c r="J586" t="str">
        <x:v>https://github.com/darknigthmare/deadwall-last-enclosure/blob/e28f46223e73105ab2c5d83f3d50b99b58ef53e6/docs/codex/suivi-monde2026/EAU_ENERGIE_2026.md</x:v>
      </x:c>
    </x:row>
    <x:row r="587">
      <x:c r="A587" t="str">
        <x:v>EXT-MONDE-T059/architecture</x:v>
      </x:c>
      <x:c r="B587" t="str">
        <x:v>EXT-MONDE-T059</x:v>
      </x:c>
      <x:c r="C587" t="str">
        <x:v>Énergie</x:v>
      </x:c>
      <x:c r="D587" t="str">
        <x:v>Poste électrique régional</x:v>
      </x:c>
      <x:c r="E587" t="str">
        <x:v>Pièces, étages, annexes</x:v>
      </x:c>
      <x:c r="F587" t="str">
        <x:v>P0</x:v>
      </x:c>
      <x:c r="G587" t="str">
        <x:v>En cours</x:v>
      </x:c>
      <x:c r="H587" t="str">
        <x:v>Production Codex</x:v>
      </x:c>
      <x:c r="I587" t="str">
        <x:v>Livrable explicite, tests positifs et négatifs ; aucune validation déduite de la seule présence de la fiche.</x:v>
      </x:c>
      <x:c r="J587" t="str">
        <x:v>https://github.com/darknigthmare/deadwall-last-enclosure/blob/e28f46223e73105ab2c5d83f3d50b99b58ef53e6/docs/codex/suivi-monde2026/INSPECTION_PHYSIQUE_2026.md</x:v>
      </x:c>
    </x:row>
    <x:row r="588">
      <x:c r="A588" t="str">
        <x:v>EXT-MONDE-T059/seed</x:v>
      </x:c>
      <x:c r="B588" t="str">
        <x:v>EXT-MONDE-T059</x:v>
      </x:c>
      <x:c r="C588" t="str">
        <x:v>Énergie</x:v>
      </x:c>
      <x:c r="D588" t="str">
        <x:v>Poste électrique régional</x:v>
      </x:c>
      <x:c r="E588" t="str">
        <x:v>Implantation et réseaux</x:v>
      </x:c>
      <x:c r="F588" t="str">
        <x:v>P0</x:v>
      </x:c>
      <x:c r="G588" t="str">
        <x:v>À faire</x:v>
      </x:c>
      <x:c r="H588" t="str">
        <x:v>Non affecté</x:v>
      </x:c>
      <x:c r="I588" t="str">
        <x:v>Chaîne production-distribution-consommateurs ; coupure sauvegardée ; pas de courant créé par un sprite.</x:v>
      </x:c>
      <x:c r="J588" t="str"/>
    </x:row>
    <x:row r="589">
      <x:c r="A589" t="str">
        <x:v>EXT-MONDE-T059/props</x:v>
      </x:c>
      <x:c r="B589" t="str">
        <x:v>EXT-MONDE-T059</x:v>
      </x:c>
      <x:c r="C589" t="str">
        <x:v>Énergie</x:v>
      </x:c>
      <x:c r="D589" t="str">
        <x:v>Poste électrique régional</x:v>
      </x:c>
      <x:c r="E589" t="str">
        <x:v>Objets, décors et dégagements</x:v>
      </x:c>
      <x:c r="F589" t="str">
        <x:v>P1</x:v>
      </x:c>
      <x:c r="G589" t="str">
        <x:v>En cours</x:v>
      </x:c>
      <x:c r="H589" t="str">
        <x:v>Production Codex</x:v>
      </x:c>
      <x:c r="I589" t="str">
        <x:v>Livrable explicite, tests positifs et négatifs ; aucune validation déduite de la seule présence de la fiche.</x:v>
      </x:c>
      <x:c r="J589" t="str">
        <x:v>https://github.com/darknigthmare/deadwall-last-enclosure/blob/e28f46223e73105ab2c5d83f3d50b99b58ef53e6/docs/codex/suivi-monde2026/INSPECTION_PHYSIQUE_2026.md</x:v>
      </x:c>
    </x:row>
    <x:row r="590">
      <x:c r="A590" t="str">
        <x:v>EXT-MONDE-T059/loot</x:v>
      </x:c>
      <x:c r="B590" t="str">
        <x:v>EXT-MONDE-T059</x:v>
      </x:c>
      <x:c r="C590" t="str">
        <x:v>Énergie</x:v>
      </x:c>
      <x:c r="D590" t="str">
        <x:v>Poste électrique régional</x:v>
      </x:c>
      <x:c r="E590" t="str">
        <x:v>Budget de butin persistant</x:v>
      </x:c>
      <x:c r="F590" t="str">
        <x:v>P1</x:v>
      </x:c>
      <x:c r="G590" t="str">
        <x:v>À faire</x:v>
      </x:c>
      <x:c r="H590" t="str">
        <x:v>Non affecté</x:v>
      </x:c>
      <x:c r="I590" t="str">
        <x:v>Livrable explicite, tests positifs et négatifs ; aucune validation déduite de la seule présence de la fiche.</x:v>
      </x:c>
      <x:c r="J590" t="str"/>
    </x:row>
    <x:row r="591">
      <x:c r="A591" t="str">
        <x:v>EXT-MONDE-T059/rencontres</x:v>
      </x:c>
      <x:c r="B591" t="str">
        <x:v>EXT-MONDE-T059</x:v>
      </x:c>
      <x:c r="C591" t="str">
        <x:v>Énergie</x:v>
      </x:c>
      <x:c r="D591" t="str">
        <x:v>Poste électrique régional</x:v>
      </x:c>
      <x:c r="E591" t="str">
        <x:v>Ennemis et faune contextualisés</x:v>
      </x:c>
      <x:c r="F591" t="str">
        <x:v>P1</x:v>
      </x:c>
      <x:c r="G591" t="str">
        <x:v>À faire</x:v>
      </x:c>
      <x:c r="H591" t="str">
        <x:v>Non affecté</x:v>
      </x:c>
      <x:c r="I591" t="str">
        <x:v>Livrable explicite, tests positifs et négatifs ; aucune validation déduite de la seule présence de la fiche.</x:v>
      </x:c>
      <x:c r="J591" t="str"/>
    </x:row>
    <x:row r="592">
      <x:c r="A592" t="str">
        <x:v>EXT-MONDE-T059/services</x:v>
      </x:c>
      <x:c r="B592" t="str">
        <x:v>EXT-MONDE-T059</x:v>
      </x:c>
      <x:c r="C592" t="str">
        <x:v>Énergie</x:v>
      </x:c>
      <x:c r="D592" t="str">
        <x:v>Poste électrique régional</x:v>
      </x:c>
      <x:c r="E592" t="str">
        <x:v>Énergie, eau et interactions</x:v>
      </x:c>
      <x:c r="F592" t="str">
        <x:v>P1</x:v>
      </x:c>
      <x:c r="G592" t="str">
        <x:v>À faire</x:v>
      </x:c>
      <x:c r="H592" t="str">
        <x:v>Non affecté</x:v>
      </x:c>
      <x:c r="I592" t="str">
        <x:v>Livrable explicite, tests positifs et négatifs ; aucune validation déduite de la seule présence de la fiche.</x:v>
      </x:c>
      <x:c r="J592" t="str"/>
    </x:row>
    <x:row r="593">
      <x:c r="A593" t="str">
        <x:v>EXT-MONDE-T059/art</x:v>
      </x:c>
      <x:c r="B593" t="str">
        <x:v>EXT-MONDE-T059</x:v>
      </x:c>
      <x:c r="C593" t="str">
        <x:v>Énergie</x:v>
      </x:c>
      <x:c r="D593" t="str">
        <x:v>Poste électrique régional</x:v>
      </x:c>
      <x:c r="E593" t="str">
        <x:v>Sprites, proportions et animations</x:v>
      </x:c>
      <x:c r="F593" t="str">
        <x:v>P1</x:v>
      </x:c>
      <x:c r="G593" t="str">
        <x:v>À faire</x:v>
      </x:c>
      <x:c r="H593" t="str">
        <x:v>Non affecté</x:v>
      </x:c>
      <x:c r="I593" t="str">
        <x:v>Livrable explicite, tests positifs et négatifs ; aucune validation déduite de la seule présence de la fiche.</x:v>
      </x:c>
      <x:c r="J593" t="str"/>
    </x:row>
    <x:row r="594">
      <x:c r="A594" t="str">
        <x:v>EXT-MONDE-T059/sauvegarde</x:v>
      </x:c>
      <x:c r="B594" t="str">
        <x:v>EXT-MONDE-T059</x:v>
      </x:c>
      <x:c r="C594" t="str">
        <x:v>Énergie</x:v>
      </x:c>
      <x:c r="D594" t="str">
        <x:v>Poste électrique régional</x:v>
      </x:c>
      <x:c r="E594" t="str">
        <x:v>Identités, migration et reprise</x:v>
      </x:c>
      <x:c r="F594" t="str">
        <x:v>P1</x:v>
      </x:c>
      <x:c r="G594" t="str">
        <x:v>En cours</x:v>
      </x:c>
      <x:c r="H594" t="str">
        <x:v>Production Codex</x:v>
      </x:c>
      <x:c r="I594" t="str">
        <x:v>Livrable explicite, tests positifs et négatifs ; aucune validation déduite de la seule présence de la fiche.</x:v>
      </x:c>
      <x:c r="J594" t="str">
        <x:v>https://github.com/darknigthmare/deadwall-last-enclosure/blob/e28f46223e73105ab2c5d83f3d50b99b58ef53e6/docs/codex/suivi-monde2026/INSPECTION_PHYSIQUE_2026.md</x:v>
      </x:c>
    </x:row>
    <x:row r="595">
      <x:c r="A595" t="str">
        <x:v>EXT-MONDE-T059/qa</x:v>
      </x:c>
      <x:c r="B595" t="str">
        <x:v>EXT-MONDE-T059</x:v>
      </x:c>
      <x:c r="C595" t="str">
        <x:v>Énergie</x:v>
      </x:c>
      <x:c r="D595" t="str">
        <x:v>Poste électrique régional</x:v>
      </x:c>
      <x:c r="E595" t="str">
        <x:v>Navigation et parcours jouables</x:v>
      </x:c>
      <x:c r="F595" t="str">
        <x:v>P1</x:v>
      </x:c>
      <x:c r="G595" t="str">
        <x:v>En cours</x:v>
      </x:c>
      <x:c r="H595" t="str">
        <x:v>Production Codex</x:v>
      </x:c>
      <x:c r="I595" t="str">
        <x:v>Livrable explicite, tests positifs et négatifs ; aucune validation déduite de la seule présence de la fiche.</x:v>
      </x:c>
      <x:c r="J595" t="str">
        <x:v>https://github.com/darknigthmare/deadwall-last-enclosure/blob/e28f46223e73105ab2c5d83f3d50b99b58ef53e6/docs/codex/suivi-monde2026/INSPECTION_PHYSIQUE_2026.md</x:v>
      </x:c>
    </x:row>
    <x:row r="596">
      <x:c r="A596" t="str">
        <x:v>EXT-MONDE-T060/dimensions</x:v>
      </x:c>
      <x:c r="B596" t="str">
        <x:v>EXT-MONDE-T060</x:v>
      </x:c>
      <x:c r="C596" t="str">
        <x:v>Énergie</x:v>
      </x:c>
      <x:c r="D596" t="str">
        <x:v>Champ d’éoliennes</x:v>
      </x:c>
      <x:c r="E596" t="str">
        <x:v>Dimensions et plans de référence</x:v>
      </x:c>
      <x:c r="F596" t="str">
        <x:v>P0</x:v>
      </x:c>
      <x:c r="G596" t="str">
        <x:v>Validé</x:v>
      </x:c>
      <x:c r="H596" t="str">
        <x:v>Production Codex</x:v>
      </x:c>
      <x:c r="I596" t="str">
        <x:v>Sources publiques identifiées ; unités en mètres ; emprise au sol distincte de la hauteur.</x:v>
      </x:c>
      <x:c r="J596" t="str">
        <x:v>https://github.com/darknigthmare/deadwall-last-enclosure/blob/e28f46223e73105ab2c5d83f3d50b99b58ef53e6/docs/codex/suivi-monde2026/FONDATIONS_METRIQUES_2026.md#dimensions-auteur-validees</x:v>
      </x:c>
    </x:row>
    <x:row r="597">
      <x:c r="A597" t="str">
        <x:v>EXT-MONDE-T060/architecture</x:v>
      </x:c>
      <x:c r="B597" t="str">
        <x:v>EXT-MONDE-T060</x:v>
      </x:c>
      <x:c r="C597" t="str">
        <x:v>Énergie</x:v>
      </x:c>
      <x:c r="D597" t="str">
        <x:v>Champ d’éoliennes</x:v>
      </x:c>
      <x:c r="E597" t="str">
        <x:v>Pièces, étages, annexes</x:v>
      </x:c>
      <x:c r="F597" t="str">
        <x:v>P0</x:v>
      </x:c>
      <x:c r="G597" t="str">
        <x:v>En cours</x:v>
      </x:c>
      <x:c r="H597" t="str">
        <x:v>Production Codex</x:v>
      </x:c>
      <x:c r="I597" t="str">
        <x:v>Livrable explicite, tests positifs et négatifs ; aucune validation déduite de la seule présence de la fiche.</x:v>
      </x:c>
      <x:c r="J597" t="str">
        <x:v>https://github.com/darknigthmare/deadwall-last-enclosure/blob/e28f46223e73105ab2c5d83f3d50b99b58ef53e6/docs/codex/suivi-monde2026/INSPECTION_PHYSIQUE_2026.md</x:v>
      </x:c>
    </x:row>
    <x:row r="598">
      <x:c r="A598" t="str">
        <x:v>EXT-MONDE-T060/seed</x:v>
      </x:c>
      <x:c r="B598" t="str">
        <x:v>EXT-MONDE-T060</x:v>
      </x:c>
      <x:c r="C598" t="str">
        <x:v>Énergie</x:v>
      </x:c>
      <x:c r="D598" t="str">
        <x:v>Champ d’éoliennes</x:v>
      </x:c>
      <x:c r="E598" t="str">
        <x:v>Implantation et réseaux</x:v>
      </x:c>
      <x:c r="F598" t="str">
        <x:v>P0</x:v>
      </x:c>
      <x:c r="G598" t="str">
        <x:v>À faire</x:v>
      </x:c>
      <x:c r="H598" t="str">
        <x:v>Non affecté</x:v>
      </x:c>
      <x:c r="I598" t="str">
        <x:v>Chaîne production-distribution-consommateurs ; coupure sauvegardée ; pas de courant créé par un sprite.</x:v>
      </x:c>
      <x:c r="J598" t="str"/>
    </x:row>
    <x:row r="599">
      <x:c r="A599" t="str">
        <x:v>EXT-MONDE-T060/props</x:v>
      </x:c>
      <x:c r="B599" t="str">
        <x:v>EXT-MONDE-T060</x:v>
      </x:c>
      <x:c r="C599" t="str">
        <x:v>Énergie</x:v>
      </x:c>
      <x:c r="D599" t="str">
        <x:v>Champ d’éoliennes</x:v>
      </x:c>
      <x:c r="E599" t="str">
        <x:v>Objets, décors et dégagements</x:v>
      </x:c>
      <x:c r="F599" t="str">
        <x:v>P1</x:v>
      </x:c>
      <x:c r="G599" t="str">
        <x:v>En cours</x:v>
      </x:c>
      <x:c r="H599" t="str">
        <x:v>Production Codex</x:v>
      </x:c>
      <x:c r="I599" t="str">
        <x:v>Livrable explicite, tests positifs et négatifs ; aucune validation déduite de la seule présence de la fiche.</x:v>
      </x:c>
      <x:c r="J599" t="str">
        <x:v>https://github.com/darknigthmare/deadwall-last-enclosure/blob/e28f46223e73105ab2c5d83f3d50b99b58ef53e6/docs/codex/suivi-monde2026/INSPECTION_PHYSIQUE_2026.md</x:v>
      </x:c>
    </x:row>
    <x:row r="600">
      <x:c r="A600" t="str">
        <x:v>EXT-MONDE-T060/loot</x:v>
      </x:c>
      <x:c r="B600" t="str">
        <x:v>EXT-MONDE-T060</x:v>
      </x:c>
      <x:c r="C600" t="str">
        <x:v>Énergie</x:v>
      </x:c>
      <x:c r="D600" t="str">
        <x:v>Champ d’éoliennes</x:v>
      </x:c>
      <x:c r="E600" t="str">
        <x:v>Budget de butin persistant</x:v>
      </x:c>
      <x:c r="F600" t="str">
        <x:v>P1</x:v>
      </x:c>
      <x:c r="G600" t="str">
        <x:v>À faire</x:v>
      </x:c>
      <x:c r="H600" t="str">
        <x:v>Non affecté</x:v>
      </x:c>
      <x:c r="I600" t="str">
        <x:v>Livrable explicite, tests positifs et négatifs ; aucune validation déduite de la seule présence de la fiche.</x:v>
      </x:c>
      <x:c r="J600" t="str"/>
    </x:row>
    <x:row r="601">
      <x:c r="A601" t="str">
        <x:v>EXT-MONDE-T060/rencontres</x:v>
      </x:c>
      <x:c r="B601" t="str">
        <x:v>EXT-MONDE-T060</x:v>
      </x:c>
      <x:c r="C601" t="str">
        <x:v>Énergie</x:v>
      </x:c>
      <x:c r="D601" t="str">
        <x:v>Champ d’éoliennes</x:v>
      </x:c>
      <x:c r="E601" t="str">
        <x:v>Ennemis et faune contextualisés</x:v>
      </x:c>
      <x:c r="F601" t="str">
        <x:v>P1</x:v>
      </x:c>
      <x:c r="G601" t="str">
        <x:v>À faire</x:v>
      </x:c>
      <x:c r="H601" t="str">
        <x:v>Non affecté</x:v>
      </x:c>
      <x:c r="I601" t="str">
        <x:v>Livrable explicite, tests positifs et négatifs ; aucune validation déduite de la seule présence de la fiche.</x:v>
      </x:c>
      <x:c r="J601" t="str"/>
    </x:row>
    <x:row r="602">
      <x:c r="A602" t="str">
        <x:v>EXT-MONDE-T060/services</x:v>
      </x:c>
      <x:c r="B602" t="str">
        <x:v>EXT-MONDE-T060</x:v>
      </x:c>
      <x:c r="C602" t="str">
        <x:v>Énergie</x:v>
      </x:c>
      <x:c r="D602" t="str">
        <x:v>Champ d’éoliennes</x:v>
      </x:c>
      <x:c r="E602" t="str">
        <x:v>Énergie, eau et interactions</x:v>
      </x:c>
      <x:c r="F602" t="str">
        <x:v>P1</x:v>
      </x:c>
      <x:c r="G602" t="str">
        <x:v>À faire</x:v>
      </x:c>
      <x:c r="H602" t="str">
        <x:v>Non affecté</x:v>
      </x:c>
      <x:c r="I602" t="str">
        <x:v>Livrable explicite, tests positifs et négatifs ; aucune validation déduite de la seule présence de la fiche.</x:v>
      </x:c>
      <x:c r="J602" t="str"/>
    </x:row>
    <x:row r="603">
      <x:c r="A603" t="str">
        <x:v>EXT-MONDE-T060/art</x:v>
      </x:c>
      <x:c r="B603" t="str">
        <x:v>EXT-MONDE-T060</x:v>
      </x:c>
      <x:c r="C603" t="str">
        <x:v>Énergie</x:v>
      </x:c>
      <x:c r="D603" t="str">
        <x:v>Champ d’éoliennes</x:v>
      </x:c>
      <x:c r="E603" t="str">
        <x:v>Sprites, proportions et animations</x:v>
      </x:c>
      <x:c r="F603" t="str">
        <x:v>P1</x:v>
      </x:c>
      <x:c r="G603" t="str">
        <x:v>À faire</x:v>
      </x:c>
      <x:c r="H603" t="str">
        <x:v>Non affecté</x:v>
      </x:c>
      <x:c r="I603" t="str">
        <x:v>Livrable explicite, tests positifs et négatifs ; aucune validation déduite de la seule présence de la fiche.</x:v>
      </x:c>
      <x:c r="J603" t="str"/>
    </x:row>
    <x:row r="604">
      <x:c r="A604" t="str">
        <x:v>EXT-MONDE-T060/sauvegarde</x:v>
      </x:c>
      <x:c r="B604" t="str">
        <x:v>EXT-MONDE-T060</x:v>
      </x:c>
      <x:c r="C604" t="str">
        <x:v>Énergie</x:v>
      </x:c>
      <x:c r="D604" t="str">
        <x:v>Champ d’éoliennes</x:v>
      </x:c>
      <x:c r="E604" t="str">
        <x:v>Identités, migration et reprise</x:v>
      </x:c>
      <x:c r="F604" t="str">
        <x:v>P1</x:v>
      </x:c>
      <x:c r="G604" t="str">
        <x:v>En cours</x:v>
      </x:c>
      <x:c r="H604" t="str">
        <x:v>Production Codex</x:v>
      </x:c>
      <x:c r="I604" t="str">
        <x:v>Livrable explicite, tests positifs et négatifs ; aucune validation déduite de la seule présence de la fiche.</x:v>
      </x:c>
      <x:c r="J604" t="str">
        <x:v>https://github.com/darknigthmare/deadwall-last-enclosure/blob/e28f46223e73105ab2c5d83f3d50b99b58ef53e6/docs/codex/suivi-monde2026/INSPECTION_PHYSIQUE_2026.md</x:v>
      </x:c>
    </x:row>
    <x:row r="605">
      <x:c r="A605" t="str">
        <x:v>EXT-MONDE-T060/qa</x:v>
      </x:c>
      <x:c r="B605" t="str">
        <x:v>EXT-MONDE-T060</x:v>
      </x:c>
      <x:c r="C605" t="str">
        <x:v>Énergie</x:v>
      </x:c>
      <x:c r="D605" t="str">
        <x:v>Champ d’éoliennes</x:v>
      </x:c>
      <x:c r="E605" t="str">
        <x:v>Navigation et parcours jouables</x:v>
      </x:c>
      <x:c r="F605" t="str">
        <x:v>P1</x:v>
      </x:c>
      <x:c r="G605" t="str">
        <x:v>En cours</x:v>
      </x:c>
      <x:c r="H605" t="str">
        <x:v>Production Codex</x:v>
      </x:c>
      <x:c r="I605" t="str">
        <x:v>Livrable explicite, tests positifs et négatifs ; aucune validation déduite de la seule présence de la fiche.</x:v>
      </x:c>
      <x:c r="J605" t="str">
        <x:v>https://github.com/darknigthmare/deadwall-last-enclosure/blob/e28f46223e73105ab2c5d83f3d50b99b58ef53e6/docs/codex/suivi-monde2026/INSPECTION_PHYSIQUE_2026.md</x:v>
      </x:c>
    </x:row>
    <x:row r="606">
      <x:c r="A606" t="str">
        <x:v>EXT-MONDE-T061/dimensions</x:v>
      </x:c>
      <x:c r="B606" t="str">
        <x:v>EXT-MONDE-T061</x:v>
      </x:c>
      <x:c r="C606" t="str">
        <x:v>Épuration</x:v>
      </x:c>
      <x:c r="D606" t="str">
        <x:v>Station d’épuration urbaine</x:v>
      </x:c>
      <x:c r="E606" t="str">
        <x:v>Dimensions et plans de référence</x:v>
      </x:c>
      <x:c r="F606" t="str">
        <x:v>P0</x:v>
      </x:c>
      <x:c r="G606" t="str">
        <x:v>En cours</x:v>
      </x:c>
      <x:c r="H606" t="str">
        <x:v>Production Codex</x:v>
      </x:c>
      <x:c r="I606" t="str">
        <x:v>Sources publiques identifiées ; unités en mètres ; emprise au sol distincte de la hauteur.</x:v>
      </x:c>
      <x:c r="J606" t="str">
        <x:v>https://github.com/darknigthmare/deadwall-last-enclosure/blob/e28f46223e73105ab2c5d83f3d50b99b58ef53e6/docs/codex/suivi-monde2026/EAU_ENERGIE_2026.md</x:v>
      </x:c>
    </x:row>
    <x:row r="607">
      <x:c r="A607" t="str">
        <x:v>EXT-MONDE-T061/architecture</x:v>
      </x:c>
      <x:c r="B607" t="str">
        <x:v>EXT-MONDE-T061</x:v>
      </x:c>
      <x:c r="C607" t="str">
        <x:v>Épuration</x:v>
      </x:c>
      <x:c r="D607" t="str">
        <x:v>Station d’épuration urbaine</x:v>
      </x:c>
      <x:c r="E607" t="str">
        <x:v>Pièces, étages, annexes</x:v>
      </x:c>
      <x:c r="F607" t="str">
        <x:v>P0</x:v>
      </x:c>
      <x:c r="G607" t="str">
        <x:v>En cours</x:v>
      </x:c>
      <x:c r="H607" t="str">
        <x:v>Production Codex</x:v>
      </x:c>
      <x:c r="I607" t="str">
        <x:v>Livrable explicite, tests positifs et négatifs ; aucune validation déduite de la seule présence de la fiche.</x:v>
      </x:c>
      <x:c r="J607" t="str">
        <x:v>https://github.com/darknigthmare/deadwall-last-enclosure/blob/e28f46223e73105ab2c5d83f3d50b99b58ef53e6/docs/codex/suivi-monde2026/INSPECTION_PHYSIQUE_2026.md</x:v>
      </x:c>
    </x:row>
    <x:row r="608">
      <x:c r="A608" t="str">
        <x:v>EXT-MONDE-T061/seed</x:v>
      </x:c>
      <x:c r="B608" t="str">
        <x:v>EXT-MONDE-T061</x:v>
      </x:c>
      <x:c r="C608" t="str">
        <x:v>Épuration</x:v>
      </x:c>
      <x:c r="D608" t="str">
        <x:v>Station d’épuration urbaine</x:v>
      </x:c>
      <x:c r="E608" t="str">
        <x:v>Implantation et réseaux</x:v>
      </x:c>
      <x:c r="F608" t="str">
        <x:v>P0</x:v>
      </x:c>
      <x:c r="G608" t="str">
        <x:v>À faire</x:v>
      </x:c>
      <x:c r="H608" t="str">
        <x:v>Non affecté</x:v>
      </x:c>
      <x:c r="I608" t="str">
        <x:v>Eau potable et eaux usées séparées ; entrée et exutoire cohérents ; bassins non traversables.</x:v>
      </x:c>
      <x:c r="J608" t="str"/>
    </x:row>
    <x:row r="609">
      <x:c r="A609" t="str">
        <x:v>EXT-MONDE-T061/props</x:v>
      </x:c>
      <x:c r="B609" t="str">
        <x:v>EXT-MONDE-T061</x:v>
      </x:c>
      <x:c r="C609" t="str">
        <x:v>Épuration</x:v>
      </x:c>
      <x:c r="D609" t="str">
        <x:v>Station d’épuration urbaine</x:v>
      </x:c>
      <x:c r="E609" t="str">
        <x:v>Objets, décors et dégagements</x:v>
      </x:c>
      <x:c r="F609" t="str">
        <x:v>P1</x:v>
      </x:c>
      <x:c r="G609" t="str">
        <x:v>En cours</x:v>
      </x:c>
      <x:c r="H609" t="str">
        <x:v>Production Codex</x:v>
      </x:c>
      <x:c r="I609" t="str">
        <x:v>Livrable explicite, tests positifs et négatifs ; aucune validation déduite de la seule présence de la fiche.</x:v>
      </x:c>
      <x:c r="J609" t="str">
        <x:v>https://github.com/darknigthmare/deadwall-last-enclosure/blob/e28f46223e73105ab2c5d83f3d50b99b58ef53e6/docs/codex/suivi-monde2026/INSPECTION_PHYSIQUE_2026.md</x:v>
      </x:c>
    </x:row>
    <x:row r="610">
      <x:c r="A610" t="str">
        <x:v>EXT-MONDE-T061/loot</x:v>
      </x:c>
      <x:c r="B610" t="str">
        <x:v>EXT-MONDE-T061</x:v>
      </x:c>
      <x:c r="C610" t="str">
        <x:v>Épuration</x:v>
      </x:c>
      <x:c r="D610" t="str">
        <x:v>Station d’épuration urbaine</x:v>
      </x:c>
      <x:c r="E610" t="str">
        <x:v>Budget de butin persistant</x:v>
      </x:c>
      <x:c r="F610" t="str">
        <x:v>P1</x:v>
      </x:c>
      <x:c r="G610" t="str">
        <x:v>À faire</x:v>
      </x:c>
      <x:c r="H610" t="str">
        <x:v>Non affecté</x:v>
      </x:c>
      <x:c r="I610" t="str">
        <x:v>Livrable explicite, tests positifs et négatifs ; aucune validation déduite de la seule présence de la fiche.</x:v>
      </x:c>
      <x:c r="J610" t="str"/>
    </x:row>
    <x:row r="611">
      <x:c r="A611" t="str">
        <x:v>EXT-MONDE-T061/rencontres</x:v>
      </x:c>
      <x:c r="B611" t="str">
        <x:v>EXT-MONDE-T061</x:v>
      </x:c>
      <x:c r="C611" t="str">
        <x:v>Épuration</x:v>
      </x:c>
      <x:c r="D611" t="str">
        <x:v>Station d’épuration urbaine</x:v>
      </x:c>
      <x:c r="E611" t="str">
        <x:v>Ennemis et faune contextualisés</x:v>
      </x:c>
      <x:c r="F611" t="str">
        <x:v>P1</x:v>
      </x:c>
      <x:c r="G611" t="str">
        <x:v>À faire</x:v>
      </x:c>
      <x:c r="H611" t="str">
        <x:v>Non affecté</x:v>
      </x:c>
      <x:c r="I611" t="str">
        <x:v>Livrable explicite, tests positifs et négatifs ; aucune validation déduite de la seule présence de la fiche.</x:v>
      </x:c>
      <x:c r="J611" t="str"/>
    </x:row>
    <x:row r="612">
      <x:c r="A612" t="str">
        <x:v>EXT-MONDE-T061/services</x:v>
      </x:c>
      <x:c r="B612" t="str">
        <x:v>EXT-MONDE-T061</x:v>
      </x:c>
      <x:c r="C612" t="str">
        <x:v>Épuration</x:v>
      </x:c>
      <x:c r="D612" t="str">
        <x:v>Station d’épuration urbaine</x:v>
      </x:c>
      <x:c r="E612" t="str">
        <x:v>Énergie, eau et interactions</x:v>
      </x:c>
      <x:c r="F612" t="str">
        <x:v>P1</x:v>
      </x:c>
      <x:c r="G612" t="str">
        <x:v>À faire</x:v>
      </x:c>
      <x:c r="H612" t="str">
        <x:v>Non affecté</x:v>
      </x:c>
      <x:c r="I612" t="str">
        <x:v>Livrable explicite, tests positifs et négatifs ; aucune validation déduite de la seule présence de la fiche.</x:v>
      </x:c>
      <x:c r="J612" t="str"/>
    </x:row>
    <x:row r="613">
      <x:c r="A613" t="str">
        <x:v>EXT-MONDE-T061/art</x:v>
      </x:c>
      <x:c r="B613" t="str">
        <x:v>EXT-MONDE-T061</x:v>
      </x:c>
      <x:c r="C613" t="str">
        <x:v>Épuration</x:v>
      </x:c>
      <x:c r="D613" t="str">
        <x:v>Station d’épuration urbaine</x:v>
      </x:c>
      <x:c r="E613" t="str">
        <x:v>Sprites, proportions et animations</x:v>
      </x:c>
      <x:c r="F613" t="str">
        <x:v>P1</x:v>
      </x:c>
      <x:c r="G613" t="str">
        <x:v>À faire</x:v>
      </x:c>
      <x:c r="H613" t="str">
        <x:v>Non affecté</x:v>
      </x:c>
      <x:c r="I613" t="str">
        <x:v>Livrable explicite, tests positifs et négatifs ; aucune validation déduite de la seule présence de la fiche.</x:v>
      </x:c>
      <x:c r="J613" t="str"/>
    </x:row>
    <x:row r="614">
      <x:c r="A614" t="str">
        <x:v>EXT-MONDE-T061/sauvegarde</x:v>
      </x:c>
      <x:c r="B614" t="str">
        <x:v>EXT-MONDE-T061</x:v>
      </x:c>
      <x:c r="C614" t="str">
        <x:v>Épuration</x:v>
      </x:c>
      <x:c r="D614" t="str">
        <x:v>Station d’épuration urbaine</x:v>
      </x:c>
      <x:c r="E614" t="str">
        <x:v>Identités, migration et reprise</x:v>
      </x:c>
      <x:c r="F614" t="str">
        <x:v>P1</x:v>
      </x:c>
      <x:c r="G614" t="str">
        <x:v>En cours</x:v>
      </x:c>
      <x:c r="H614" t="str">
        <x:v>Production Codex</x:v>
      </x:c>
      <x:c r="I614" t="str">
        <x:v>Livrable explicite, tests positifs et négatifs ; aucune validation déduite de la seule présence de la fiche.</x:v>
      </x:c>
      <x:c r="J614" t="str">
        <x:v>https://github.com/darknigthmare/deadwall-last-enclosure/blob/e28f46223e73105ab2c5d83f3d50b99b58ef53e6/docs/codex/suivi-monde2026/INSPECTION_PHYSIQUE_2026.md</x:v>
      </x:c>
    </x:row>
    <x:row r="615">
      <x:c r="A615" t="str">
        <x:v>EXT-MONDE-T061/qa</x:v>
      </x:c>
      <x:c r="B615" t="str">
        <x:v>EXT-MONDE-T061</x:v>
      </x:c>
      <x:c r="C615" t="str">
        <x:v>Épuration</x:v>
      </x:c>
      <x:c r="D615" t="str">
        <x:v>Station d’épuration urbaine</x:v>
      </x:c>
      <x:c r="E615" t="str">
        <x:v>Navigation et parcours jouables</x:v>
      </x:c>
      <x:c r="F615" t="str">
        <x:v>P1</x:v>
      </x:c>
      <x:c r="G615" t="str">
        <x:v>En cours</x:v>
      </x:c>
      <x:c r="H615" t="str">
        <x:v>Production Codex</x:v>
      </x:c>
      <x:c r="I615" t="str">
        <x:v>Livrable explicite, tests positifs et négatifs ; aucune validation déduite de la seule présence de la fiche.</x:v>
      </x:c>
      <x:c r="J615" t="str">
        <x:v>https://github.com/darknigthmare/deadwall-last-enclosure/blob/e28f46223e73105ab2c5d83f3d50b99b58ef53e6/docs/codex/suivi-monde2026/INSPECTION_PHYSIQUE_2026.md</x:v>
      </x:c>
    </x:row>
    <x:row r="616">
      <x:c r="A616" t="str">
        <x:v>EXT-MONDE-T062/dimensions</x:v>
      </x:c>
      <x:c r="B616" t="str">
        <x:v>EXT-MONDE-T062</x:v>
      </x:c>
      <x:c r="C616" t="str">
        <x:v>Épuration</x:v>
      </x:c>
      <x:c r="D616" t="str">
        <x:v>Station de lagunage</x:v>
      </x:c>
      <x:c r="E616" t="str">
        <x:v>Dimensions et plans de référence</x:v>
      </x:c>
      <x:c r="F616" t="str">
        <x:v>P0</x:v>
      </x:c>
      <x:c r="G616" t="str">
        <x:v>En cours</x:v>
      </x:c>
      <x:c r="H616" t="str">
        <x:v>Production Codex</x:v>
      </x:c>
      <x:c r="I616" t="str">
        <x:v>Sources publiques identifiées ; unités en mètres ; emprise au sol distincte de la hauteur.</x:v>
      </x:c>
      <x:c r="J616" t="str">
        <x:v>https://github.com/darknigthmare/deadwall-last-enclosure/blob/e28f46223e73105ab2c5d83f3d50b99b58ef53e6/docs/codex/suivi-monde2026/EAU_ENERGIE_2026.md</x:v>
      </x:c>
    </x:row>
    <x:row r="617">
      <x:c r="A617" t="str">
        <x:v>EXT-MONDE-T062/architecture</x:v>
      </x:c>
      <x:c r="B617" t="str">
        <x:v>EXT-MONDE-T062</x:v>
      </x:c>
      <x:c r="C617" t="str">
        <x:v>Épuration</x:v>
      </x:c>
      <x:c r="D617" t="str">
        <x:v>Station de lagunage</x:v>
      </x:c>
      <x:c r="E617" t="str">
        <x:v>Pièces, étages, annexes</x:v>
      </x:c>
      <x:c r="F617" t="str">
        <x:v>P0</x:v>
      </x:c>
      <x:c r="G617" t="str">
        <x:v>En cours</x:v>
      </x:c>
      <x:c r="H617" t="str">
        <x:v>Production Codex</x:v>
      </x:c>
      <x:c r="I617" t="str">
        <x:v>Livrable explicite, tests positifs et négatifs ; aucune validation déduite de la seule présence de la fiche.</x:v>
      </x:c>
      <x:c r="J617" t="str">
        <x:v>https://github.com/darknigthmare/deadwall-last-enclosure/blob/e28f46223e73105ab2c5d83f3d50b99b58ef53e6/docs/codex/suivi-monde2026/INSPECTION_PHYSIQUE_2026.md</x:v>
      </x:c>
    </x:row>
    <x:row r="618">
      <x:c r="A618" t="str">
        <x:v>EXT-MONDE-T062/seed</x:v>
      </x:c>
      <x:c r="B618" t="str">
        <x:v>EXT-MONDE-T062</x:v>
      </x:c>
      <x:c r="C618" t="str">
        <x:v>Épuration</x:v>
      </x:c>
      <x:c r="D618" t="str">
        <x:v>Station de lagunage</x:v>
      </x:c>
      <x:c r="E618" t="str">
        <x:v>Implantation et réseaux</x:v>
      </x:c>
      <x:c r="F618" t="str">
        <x:v>P0</x:v>
      </x:c>
      <x:c r="G618" t="str">
        <x:v>À faire</x:v>
      </x:c>
      <x:c r="H618" t="str">
        <x:v>Non affecté</x:v>
      </x:c>
      <x:c r="I618" t="str">
        <x:v>Eau potable et eaux usées séparées ; entrée et exutoire cohérents ; bassins non traversables.</x:v>
      </x:c>
      <x:c r="J618" t="str"/>
    </x:row>
    <x:row r="619">
      <x:c r="A619" t="str">
        <x:v>EXT-MONDE-T062/props</x:v>
      </x:c>
      <x:c r="B619" t="str">
        <x:v>EXT-MONDE-T062</x:v>
      </x:c>
      <x:c r="C619" t="str">
        <x:v>Épuration</x:v>
      </x:c>
      <x:c r="D619" t="str">
        <x:v>Station de lagunage</x:v>
      </x:c>
      <x:c r="E619" t="str">
        <x:v>Objets, décors et dégagements</x:v>
      </x:c>
      <x:c r="F619" t="str">
        <x:v>P1</x:v>
      </x:c>
      <x:c r="G619" t="str">
        <x:v>En cours</x:v>
      </x:c>
      <x:c r="H619" t="str">
        <x:v>Production Codex</x:v>
      </x:c>
      <x:c r="I619" t="str">
        <x:v>Livrable explicite, tests positifs et négatifs ; aucune validation déduite de la seule présence de la fiche.</x:v>
      </x:c>
      <x:c r="J619" t="str">
        <x:v>https://github.com/darknigthmare/deadwall-last-enclosure/blob/e28f46223e73105ab2c5d83f3d50b99b58ef53e6/docs/codex/suivi-monde2026/INSPECTION_PHYSIQUE_2026.md</x:v>
      </x:c>
    </x:row>
    <x:row r="620">
      <x:c r="A620" t="str">
        <x:v>EXT-MONDE-T062/loot</x:v>
      </x:c>
      <x:c r="B620" t="str">
        <x:v>EXT-MONDE-T062</x:v>
      </x:c>
      <x:c r="C620" t="str">
        <x:v>Épuration</x:v>
      </x:c>
      <x:c r="D620" t="str">
        <x:v>Station de lagunage</x:v>
      </x:c>
      <x:c r="E620" t="str">
        <x:v>Budget de butin persistant</x:v>
      </x:c>
      <x:c r="F620" t="str">
        <x:v>P1</x:v>
      </x:c>
      <x:c r="G620" t="str">
        <x:v>À faire</x:v>
      </x:c>
      <x:c r="H620" t="str">
        <x:v>Non affecté</x:v>
      </x:c>
      <x:c r="I620" t="str">
        <x:v>Livrable explicite, tests positifs et négatifs ; aucune validation déduite de la seule présence de la fiche.</x:v>
      </x:c>
      <x:c r="J620" t="str"/>
    </x:row>
    <x:row r="621">
      <x:c r="A621" t="str">
        <x:v>EXT-MONDE-T062/rencontres</x:v>
      </x:c>
      <x:c r="B621" t="str">
        <x:v>EXT-MONDE-T062</x:v>
      </x:c>
      <x:c r="C621" t="str">
        <x:v>Épuration</x:v>
      </x:c>
      <x:c r="D621" t="str">
        <x:v>Station de lagunage</x:v>
      </x:c>
      <x:c r="E621" t="str">
        <x:v>Ennemis et faune contextualisés</x:v>
      </x:c>
      <x:c r="F621" t="str">
        <x:v>P1</x:v>
      </x:c>
      <x:c r="G621" t="str">
        <x:v>À faire</x:v>
      </x:c>
      <x:c r="H621" t="str">
        <x:v>Non affecté</x:v>
      </x:c>
      <x:c r="I621" t="str">
        <x:v>Livrable explicite, tests positifs et négatifs ; aucune validation déduite de la seule présence de la fiche.</x:v>
      </x:c>
      <x:c r="J621" t="str"/>
    </x:row>
    <x:row r="622">
      <x:c r="A622" t="str">
        <x:v>EXT-MONDE-T062/services</x:v>
      </x:c>
      <x:c r="B622" t="str">
        <x:v>EXT-MONDE-T062</x:v>
      </x:c>
      <x:c r="C622" t="str">
        <x:v>Épuration</x:v>
      </x:c>
      <x:c r="D622" t="str">
        <x:v>Station de lagunage</x:v>
      </x:c>
      <x:c r="E622" t="str">
        <x:v>Énergie, eau et interactions</x:v>
      </x:c>
      <x:c r="F622" t="str">
        <x:v>P1</x:v>
      </x:c>
      <x:c r="G622" t="str">
        <x:v>À faire</x:v>
      </x:c>
      <x:c r="H622" t="str">
        <x:v>Non affecté</x:v>
      </x:c>
      <x:c r="I622" t="str">
        <x:v>Livrable explicite, tests positifs et négatifs ; aucune validation déduite de la seule présence de la fiche.</x:v>
      </x:c>
      <x:c r="J622" t="str"/>
    </x:row>
    <x:row r="623">
      <x:c r="A623" t="str">
        <x:v>EXT-MONDE-T062/art</x:v>
      </x:c>
      <x:c r="B623" t="str">
        <x:v>EXT-MONDE-T062</x:v>
      </x:c>
      <x:c r="C623" t="str">
        <x:v>Épuration</x:v>
      </x:c>
      <x:c r="D623" t="str">
        <x:v>Station de lagunage</x:v>
      </x:c>
      <x:c r="E623" t="str">
        <x:v>Sprites, proportions et animations</x:v>
      </x:c>
      <x:c r="F623" t="str">
        <x:v>P1</x:v>
      </x:c>
      <x:c r="G623" t="str">
        <x:v>À faire</x:v>
      </x:c>
      <x:c r="H623" t="str">
        <x:v>Non affecté</x:v>
      </x:c>
      <x:c r="I623" t="str">
        <x:v>Livrable explicite, tests positifs et négatifs ; aucune validation déduite de la seule présence de la fiche.</x:v>
      </x:c>
      <x:c r="J623" t="str"/>
    </x:row>
    <x:row r="624">
      <x:c r="A624" t="str">
        <x:v>EXT-MONDE-T062/sauvegarde</x:v>
      </x:c>
      <x:c r="B624" t="str">
        <x:v>EXT-MONDE-T062</x:v>
      </x:c>
      <x:c r="C624" t="str">
        <x:v>Épuration</x:v>
      </x:c>
      <x:c r="D624" t="str">
        <x:v>Station de lagunage</x:v>
      </x:c>
      <x:c r="E624" t="str">
        <x:v>Identités, migration et reprise</x:v>
      </x:c>
      <x:c r="F624" t="str">
        <x:v>P1</x:v>
      </x:c>
      <x:c r="G624" t="str">
        <x:v>En cours</x:v>
      </x:c>
      <x:c r="H624" t="str">
        <x:v>Production Codex</x:v>
      </x:c>
      <x:c r="I624" t="str">
        <x:v>Livrable explicite, tests positifs et négatifs ; aucune validation déduite de la seule présence de la fiche.</x:v>
      </x:c>
      <x:c r="J624" t="str">
        <x:v>https://github.com/darknigthmare/deadwall-last-enclosure/blob/e28f46223e73105ab2c5d83f3d50b99b58ef53e6/docs/codex/suivi-monde2026/INSPECTION_PHYSIQUE_2026.md</x:v>
      </x:c>
    </x:row>
    <x:row r="625">
      <x:c r="A625" t="str">
        <x:v>EXT-MONDE-T062/qa</x:v>
      </x:c>
      <x:c r="B625" t="str">
        <x:v>EXT-MONDE-T062</x:v>
      </x:c>
      <x:c r="C625" t="str">
        <x:v>Épuration</x:v>
      </x:c>
      <x:c r="D625" t="str">
        <x:v>Station de lagunage</x:v>
      </x:c>
      <x:c r="E625" t="str">
        <x:v>Navigation et parcours jouables</x:v>
      </x:c>
      <x:c r="F625" t="str">
        <x:v>P1</x:v>
      </x:c>
      <x:c r="G625" t="str">
        <x:v>En cours</x:v>
      </x:c>
      <x:c r="H625" t="str">
        <x:v>Production Codex</x:v>
      </x:c>
      <x:c r="I625" t="str">
        <x:v>Livrable explicite, tests positifs et négatifs ; aucune validation déduite de la seule présence de la fiche.</x:v>
      </x:c>
      <x:c r="J625" t="str">
        <x:v>https://github.com/darknigthmare/deadwall-last-enclosure/blob/e28f46223e73105ab2c5d83f3d50b99b58ef53e6/docs/codex/suivi-monde2026/INSPECTION_PHYSIQUE_2026.md</x:v>
      </x:c>
    </x:row>
    <x:row r="626">
      <x:c r="A626" t="str">
        <x:v>EXT-MONDE-T063/dimensions</x:v>
      </x:c>
      <x:c r="B626" t="str">
        <x:v>EXT-MONDE-T063</x:v>
      </x:c>
      <x:c r="C626" t="str">
        <x:v>Épuration</x:v>
      </x:c>
      <x:c r="D626" t="str">
        <x:v>Traitement des eaux industrielles</x:v>
      </x:c>
      <x:c r="E626" t="str">
        <x:v>Dimensions et plans de référence</x:v>
      </x:c>
      <x:c r="F626" t="str">
        <x:v>P0</x:v>
      </x:c>
      <x:c r="G626" t="str">
        <x:v>En cours</x:v>
      </x:c>
      <x:c r="H626" t="str">
        <x:v>Production Codex</x:v>
      </x:c>
      <x:c r="I626" t="str">
        <x:v>Sources publiques identifiées ; unités en mètres ; emprise au sol distincte de la hauteur.</x:v>
      </x:c>
      <x:c r="J626" t="str">
        <x:v>https://github.com/darknigthmare/deadwall-last-enclosure/blob/e28f46223e73105ab2c5d83f3d50b99b58ef53e6/docs/codex/suivi-monde2026/EAU_ENERGIE_2026.md</x:v>
      </x:c>
    </x:row>
    <x:row r="627">
      <x:c r="A627" t="str">
        <x:v>EXT-MONDE-T063/architecture</x:v>
      </x:c>
      <x:c r="B627" t="str">
        <x:v>EXT-MONDE-T063</x:v>
      </x:c>
      <x:c r="C627" t="str">
        <x:v>Épuration</x:v>
      </x:c>
      <x:c r="D627" t="str">
        <x:v>Traitement des eaux industrielles</x:v>
      </x:c>
      <x:c r="E627" t="str">
        <x:v>Pièces, étages, annexes</x:v>
      </x:c>
      <x:c r="F627" t="str">
        <x:v>P0</x:v>
      </x:c>
      <x:c r="G627" t="str">
        <x:v>En cours</x:v>
      </x:c>
      <x:c r="H627" t="str">
        <x:v>Production Codex</x:v>
      </x:c>
      <x:c r="I627" t="str">
        <x:v>Livrable explicite, tests positifs et négatifs ; aucune validation déduite de la seule présence de la fiche.</x:v>
      </x:c>
      <x:c r="J627" t="str">
        <x:v>https://github.com/darknigthmare/deadwall-last-enclosure/blob/e28f46223e73105ab2c5d83f3d50b99b58ef53e6/docs/codex/suivi-monde2026/INSPECTION_PHYSIQUE_2026.md</x:v>
      </x:c>
    </x:row>
    <x:row r="628">
      <x:c r="A628" t="str">
        <x:v>EXT-MONDE-T063/seed</x:v>
      </x:c>
      <x:c r="B628" t="str">
        <x:v>EXT-MONDE-T063</x:v>
      </x:c>
      <x:c r="C628" t="str">
        <x:v>Épuration</x:v>
      </x:c>
      <x:c r="D628" t="str">
        <x:v>Traitement des eaux industrielles</x:v>
      </x:c>
      <x:c r="E628" t="str">
        <x:v>Implantation et réseaux</x:v>
      </x:c>
      <x:c r="F628" t="str">
        <x:v>P0</x:v>
      </x:c>
      <x:c r="G628" t="str">
        <x:v>À faire</x:v>
      </x:c>
      <x:c r="H628" t="str">
        <x:v>Non affecté</x:v>
      </x:c>
      <x:c r="I628" t="str">
        <x:v>Eau potable et eaux usées séparées ; entrée et exutoire cohérents ; bassins non traversables.</x:v>
      </x:c>
      <x:c r="J628" t="str"/>
    </x:row>
    <x:row r="629">
      <x:c r="A629" t="str">
        <x:v>EXT-MONDE-T063/props</x:v>
      </x:c>
      <x:c r="B629" t="str">
        <x:v>EXT-MONDE-T063</x:v>
      </x:c>
      <x:c r="C629" t="str">
        <x:v>Épuration</x:v>
      </x:c>
      <x:c r="D629" t="str">
        <x:v>Traitement des eaux industrielles</x:v>
      </x:c>
      <x:c r="E629" t="str">
        <x:v>Objets, décors et dégagements</x:v>
      </x:c>
      <x:c r="F629" t="str">
        <x:v>P1</x:v>
      </x:c>
      <x:c r="G629" t="str">
        <x:v>En cours</x:v>
      </x:c>
      <x:c r="H629" t="str">
        <x:v>Production Codex</x:v>
      </x:c>
      <x:c r="I629" t="str">
        <x:v>Livrable explicite, tests positifs et négatifs ; aucune validation déduite de la seule présence de la fiche.</x:v>
      </x:c>
      <x:c r="J629" t="str">
        <x:v>https://github.com/darknigthmare/deadwall-last-enclosure/blob/e28f46223e73105ab2c5d83f3d50b99b58ef53e6/docs/codex/suivi-monde2026/INSPECTION_PHYSIQUE_2026.md</x:v>
      </x:c>
    </x:row>
    <x:row r="630">
      <x:c r="A630" t="str">
        <x:v>EXT-MONDE-T063/loot</x:v>
      </x:c>
      <x:c r="B630" t="str">
        <x:v>EXT-MONDE-T063</x:v>
      </x:c>
      <x:c r="C630" t="str">
        <x:v>Épuration</x:v>
      </x:c>
      <x:c r="D630" t="str">
        <x:v>Traitement des eaux industrielles</x:v>
      </x:c>
      <x:c r="E630" t="str">
        <x:v>Budget de butin persistant</x:v>
      </x:c>
      <x:c r="F630" t="str">
        <x:v>P1</x:v>
      </x:c>
      <x:c r="G630" t="str">
        <x:v>À faire</x:v>
      </x:c>
      <x:c r="H630" t="str">
        <x:v>Non affecté</x:v>
      </x:c>
      <x:c r="I630" t="str">
        <x:v>Livrable explicite, tests positifs et négatifs ; aucune validation déduite de la seule présence de la fiche.</x:v>
      </x:c>
      <x:c r="J630" t="str"/>
    </x:row>
    <x:row r="631">
      <x:c r="A631" t="str">
        <x:v>EXT-MONDE-T063/rencontres</x:v>
      </x:c>
      <x:c r="B631" t="str">
        <x:v>EXT-MONDE-T063</x:v>
      </x:c>
      <x:c r="C631" t="str">
        <x:v>Épuration</x:v>
      </x:c>
      <x:c r="D631" t="str">
        <x:v>Traitement des eaux industrielles</x:v>
      </x:c>
      <x:c r="E631" t="str">
        <x:v>Ennemis et faune contextualisés</x:v>
      </x:c>
      <x:c r="F631" t="str">
        <x:v>P1</x:v>
      </x:c>
      <x:c r="G631" t="str">
        <x:v>À faire</x:v>
      </x:c>
      <x:c r="H631" t="str">
        <x:v>Non affecté</x:v>
      </x:c>
      <x:c r="I631" t="str">
        <x:v>Livrable explicite, tests positifs et négatifs ; aucune validation déduite de la seule présence de la fiche.</x:v>
      </x:c>
      <x:c r="J631" t="str"/>
    </x:row>
    <x:row r="632">
      <x:c r="A632" t="str">
        <x:v>EXT-MONDE-T063/services</x:v>
      </x:c>
      <x:c r="B632" t="str">
        <x:v>EXT-MONDE-T063</x:v>
      </x:c>
      <x:c r="C632" t="str">
        <x:v>Épuration</x:v>
      </x:c>
      <x:c r="D632" t="str">
        <x:v>Traitement des eaux industrielles</x:v>
      </x:c>
      <x:c r="E632" t="str">
        <x:v>Énergie, eau et interactions</x:v>
      </x:c>
      <x:c r="F632" t="str">
        <x:v>P1</x:v>
      </x:c>
      <x:c r="G632" t="str">
        <x:v>À faire</x:v>
      </x:c>
      <x:c r="H632" t="str">
        <x:v>Non affecté</x:v>
      </x:c>
      <x:c r="I632" t="str">
        <x:v>Livrable explicite, tests positifs et négatifs ; aucune validation déduite de la seule présence de la fiche.</x:v>
      </x:c>
      <x:c r="J632" t="str"/>
    </x:row>
    <x:row r="633">
      <x:c r="A633" t="str">
        <x:v>EXT-MONDE-T063/art</x:v>
      </x:c>
      <x:c r="B633" t="str">
        <x:v>EXT-MONDE-T063</x:v>
      </x:c>
      <x:c r="C633" t="str">
        <x:v>Épuration</x:v>
      </x:c>
      <x:c r="D633" t="str">
        <x:v>Traitement des eaux industrielles</x:v>
      </x:c>
      <x:c r="E633" t="str">
        <x:v>Sprites, proportions et animations</x:v>
      </x:c>
      <x:c r="F633" t="str">
        <x:v>P1</x:v>
      </x:c>
      <x:c r="G633" t="str">
        <x:v>À faire</x:v>
      </x:c>
      <x:c r="H633" t="str">
        <x:v>Non affecté</x:v>
      </x:c>
      <x:c r="I633" t="str">
        <x:v>Livrable explicite, tests positifs et négatifs ; aucune validation déduite de la seule présence de la fiche.</x:v>
      </x:c>
      <x:c r="J633" t="str"/>
    </x:row>
    <x:row r="634">
      <x:c r="A634" t="str">
        <x:v>EXT-MONDE-T063/sauvegarde</x:v>
      </x:c>
      <x:c r="B634" t="str">
        <x:v>EXT-MONDE-T063</x:v>
      </x:c>
      <x:c r="C634" t="str">
        <x:v>Épuration</x:v>
      </x:c>
      <x:c r="D634" t="str">
        <x:v>Traitement des eaux industrielles</x:v>
      </x:c>
      <x:c r="E634" t="str">
        <x:v>Identités, migration et reprise</x:v>
      </x:c>
      <x:c r="F634" t="str">
        <x:v>P1</x:v>
      </x:c>
      <x:c r="G634" t="str">
        <x:v>En cours</x:v>
      </x:c>
      <x:c r="H634" t="str">
        <x:v>Production Codex</x:v>
      </x:c>
      <x:c r="I634" t="str">
        <x:v>Livrable explicite, tests positifs et négatifs ; aucune validation déduite de la seule présence de la fiche.</x:v>
      </x:c>
      <x:c r="J634" t="str">
        <x:v>https://github.com/darknigthmare/deadwall-last-enclosure/blob/e28f46223e73105ab2c5d83f3d50b99b58ef53e6/docs/codex/suivi-monde2026/INSPECTION_PHYSIQUE_2026.md</x:v>
      </x:c>
    </x:row>
    <x:row r="635">
      <x:c r="A635" t="str">
        <x:v>EXT-MONDE-T063/qa</x:v>
      </x:c>
      <x:c r="B635" t="str">
        <x:v>EXT-MONDE-T063</x:v>
      </x:c>
      <x:c r="C635" t="str">
        <x:v>Épuration</x:v>
      </x:c>
      <x:c r="D635" t="str">
        <x:v>Traitement des eaux industrielles</x:v>
      </x:c>
      <x:c r="E635" t="str">
        <x:v>Navigation et parcours jouables</x:v>
      </x:c>
      <x:c r="F635" t="str">
        <x:v>P1</x:v>
      </x:c>
      <x:c r="G635" t="str">
        <x:v>En cours</x:v>
      </x:c>
      <x:c r="H635" t="str">
        <x:v>Production Codex</x:v>
      </x:c>
      <x:c r="I635" t="str">
        <x:v>Livrable explicite, tests positifs et négatifs ; aucune validation déduite de la seule présence de la fiche.</x:v>
      </x:c>
      <x:c r="J635" t="str">
        <x:v>https://github.com/darknigthmare/deadwall-last-enclosure/blob/e28f46223e73105ab2c5d83f3d50b99b58ef53e6/docs/codex/suivi-monde2026/INSPECTION_PHYSIQUE_2026.md</x:v>
      </x:c>
    </x:row>
    <x:row r="636">
      <x:c r="A636" t="str">
        <x:v>EXT-MONDE-T064/dimensions</x:v>
      </x:c>
      <x:c r="B636" t="str">
        <x:v>EXT-MONDE-T064</x:v>
      </x:c>
      <x:c r="C636" t="str">
        <x:v>Épuration</x:v>
      </x:c>
      <x:c r="D636" t="str">
        <x:v>Usine de potabilisation</x:v>
      </x:c>
      <x:c r="E636" t="str">
        <x:v>Dimensions et plans de référence</x:v>
      </x:c>
      <x:c r="F636" t="str">
        <x:v>P0</x:v>
      </x:c>
      <x:c r="G636" t="str">
        <x:v>En cours</x:v>
      </x:c>
      <x:c r="H636" t="str">
        <x:v>Production Codex</x:v>
      </x:c>
      <x:c r="I636" t="str">
        <x:v>Sources publiques identifiées ; unités en mètres ; emprise au sol distincte de la hauteur.</x:v>
      </x:c>
      <x:c r="J636" t="str">
        <x:v>https://github.com/darknigthmare/deadwall-last-enclosure/blob/e28f46223e73105ab2c5d83f3d50b99b58ef53e6/docs/codex/suivi-monde2026/EAU_ENERGIE_2026.md</x:v>
      </x:c>
    </x:row>
    <x:row r="637">
      <x:c r="A637" t="str">
        <x:v>EXT-MONDE-T064/architecture</x:v>
      </x:c>
      <x:c r="B637" t="str">
        <x:v>EXT-MONDE-T064</x:v>
      </x:c>
      <x:c r="C637" t="str">
        <x:v>Épuration</x:v>
      </x:c>
      <x:c r="D637" t="str">
        <x:v>Usine de potabilisation</x:v>
      </x:c>
      <x:c r="E637" t="str">
        <x:v>Pièces, étages, annexes</x:v>
      </x:c>
      <x:c r="F637" t="str">
        <x:v>P0</x:v>
      </x:c>
      <x:c r="G637" t="str">
        <x:v>En cours</x:v>
      </x:c>
      <x:c r="H637" t="str">
        <x:v>Production Codex</x:v>
      </x:c>
      <x:c r="I637" t="str">
        <x:v>Livrable explicite, tests positifs et négatifs ; aucune validation déduite de la seule présence de la fiche.</x:v>
      </x:c>
      <x:c r="J637" t="str">
        <x:v>https://github.com/darknigthmare/deadwall-last-enclosure/blob/e28f46223e73105ab2c5d83f3d50b99b58ef53e6/docs/codex/suivi-monde2026/INSPECTION_PHYSIQUE_2026.md</x:v>
      </x:c>
    </x:row>
    <x:row r="638">
      <x:c r="A638" t="str">
        <x:v>EXT-MONDE-T064/seed</x:v>
      </x:c>
      <x:c r="B638" t="str">
        <x:v>EXT-MONDE-T064</x:v>
      </x:c>
      <x:c r="C638" t="str">
        <x:v>Épuration</x:v>
      </x:c>
      <x:c r="D638" t="str">
        <x:v>Usine de potabilisation</x:v>
      </x:c>
      <x:c r="E638" t="str">
        <x:v>Implantation et réseaux</x:v>
      </x:c>
      <x:c r="F638" t="str">
        <x:v>P0</x:v>
      </x:c>
      <x:c r="G638" t="str">
        <x:v>À faire</x:v>
      </x:c>
      <x:c r="H638" t="str">
        <x:v>Non affecté</x:v>
      </x:c>
      <x:c r="I638" t="str">
        <x:v>Eau potable et eaux usées séparées ; entrée et exutoire cohérents ; bassins non traversables.</x:v>
      </x:c>
      <x:c r="J638" t="str"/>
    </x:row>
    <x:row r="639">
      <x:c r="A639" t="str">
        <x:v>EXT-MONDE-T064/props</x:v>
      </x:c>
      <x:c r="B639" t="str">
        <x:v>EXT-MONDE-T064</x:v>
      </x:c>
      <x:c r="C639" t="str">
        <x:v>Épuration</x:v>
      </x:c>
      <x:c r="D639" t="str">
        <x:v>Usine de potabilisation</x:v>
      </x:c>
      <x:c r="E639" t="str">
        <x:v>Objets, décors et dégagements</x:v>
      </x:c>
      <x:c r="F639" t="str">
        <x:v>P1</x:v>
      </x:c>
      <x:c r="G639" t="str">
        <x:v>En cours</x:v>
      </x:c>
      <x:c r="H639" t="str">
        <x:v>Production Codex</x:v>
      </x:c>
      <x:c r="I639" t="str">
        <x:v>Livrable explicite, tests positifs et négatifs ; aucune validation déduite de la seule présence de la fiche.</x:v>
      </x:c>
      <x:c r="J639" t="str">
        <x:v>https://github.com/darknigthmare/deadwall-last-enclosure/blob/e28f46223e73105ab2c5d83f3d50b99b58ef53e6/docs/codex/suivi-monde2026/INSPECTION_PHYSIQUE_2026.md</x:v>
      </x:c>
    </x:row>
    <x:row r="640">
      <x:c r="A640" t="str">
        <x:v>EXT-MONDE-T064/loot</x:v>
      </x:c>
      <x:c r="B640" t="str">
        <x:v>EXT-MONDE-T064</x:v>
      </x:c>
      <x:c r="C640" t="str">
        <x:v>Épuration</x:v>
      </x:c>
      <x:c r="D640" t="str">
        <x:v>Usine de potabilisation</x:v>
      </x:c>
      <x:c r="E640" t="str">
        <x:v>Budget de butin persistant</x:v>
      </x:c>
      <x:c r="F640" t="str">
        <x:v>P1</x:v>
      </x:c>
      <x:c r="G640" t="str">
        <x:v>À faire</x:v>
      </x:c>
      <x:c r="H640" t="str">
        <x:v>Non affecté</x:v>
      </x:c>
      <x:c r="I640" t="str">
        <x:v>Livrable explicite, tests positifs et négatifs ; aucune validation déduite de la seule présence de la fiche.</x:v>
      </x:c>
      <x:c r="J640" t="str"/>
    </x:row>
    <x:row r="641">
      <x:c r="A641" t="str">
        <x:v>EXT-MONDE-T064/rencontres</x:v>
      </x:c>
      <x:c r="B641" t="str">
        <x:v>EXT-MONDE-T064</x:v>
      </x:c>
      <x:c r="C641" t="str">
        <x:v>Épuration</x:v>
      </x:c>
      <x:c r="D641" t="str">
        <x:v>Usine de potabilisation</x:v>
      </x:c>
      <x:c r="E641" t="str">
        <x:v>Ennemis et faune contextualisés</x:v>
      </x:c>
      <x:c r="F641" t="str">
        <x:v>P1</x:v>
      </x:c>
      <x:c r="G641" t="str">
        <x:v>À faire</x:v>
      </x:c>
      <x:c r="H641" t="str">
        <x:v>Non affecté</x:v>
      </x:c>
      <x:c r="I641" t="str">
        <x:v>Livrable explicite, tests positifs et négatifs ; aucune validation déduite de la seule présence de la fiche.</x:v>
      </x:c>
      <x:c r="J641" t="str"/>
    </x:row>
    <x:row r="642">
      <x:c r="A642" t="str">
        <x:v>EXT-MONDE-T064/services</x:v>
      </x:c>
      <x:c r="B642" t="str">
        <x:v>EXT-MONDE-T064</x:v>
      </x:c>
      <x:c r="C642" t="str">
        <x:v>Épuration</x:v>
      </x:c>
      <x:c r="D642" t="str">
        <x:v>Usine de potabilisation</x:v>
      </x:c>
      <x:c r="E642" t="str">
        <x:v>Énergie, eau et interactions</x:v>
      </x:c>
      <x:c r="F642" t="str">
        <x:v>P1</x:v>
      </x:c>
      <x:c r="G642" t="str">
        <x:v>À faire</x:v>
      </x:c>
      <x:c r="H642" t="str">
        <x:v>Non affecté</x:v>
      </x:c>
      <x:c r="I642" t="str">
        <x:v>Livrable explicite, tests positifs et négatifs ; aucune validation déduite de la seule présence de la fiche.</x:v>
      </x:c>
      <x:c r="J642" t="str"/>
    </x:row>
    <x:row r="643">
      <x:c r="A643" t="str">
        <x:v>EXT-MONDE-T064/art</x:v>
      </x:c>
      <x:c r="B643" t="str">
        <x:v>EXT-MONDE-T064</x:v>
      </x:c>
      <x:c r="C643" t="str">
        <x:v>Épuration</x:v>
      </x:c>
      <x:c r="D643" t="str">
        <x:v>Usine de potabilisation</x:v>
      </x:c>
      <x:c r="E643" t="str">
        <x:v>Sprites, proportions et animations</x:v>
      </x:c>
      <x:c r="F643" t="str">
        <x:v>P1</x:v>
      </x:c>
      <x:c r="G643" t="str">
        <x:v>À faire</x:v>
      </x:c>
      <x:c r="H643" t="str">
        <x:v>Non affecté</x:v>
      </x:c>
      <x:c r="I643" t="str">
        <x:v>Livrable explicite, tests positifs et négatifs ; aucune validation déduite de la seule présence de la fiche.</x:v>
      </x:c>
      <x:c r="J643" t="str"/>
    </x:row>
    <x:row r="644">
      <x:c r="A644" t="str">
        <x:v>EXT-MONDE-T064/sauvegarde</x:v>
      </x:c>
      <x:c r="B644" t="str">
        <x:v>EXT-MONDE-T064</x:v>
      </x:c>
      <x:c r="C644" t="str">
        <x:v>Épuration</x:v>
      </x:c>
      <x:c r="D644" t="str">
        <x:v>Usine de potabilisation</x:v>
      </x:c>
      <x:c r="E644" t="str">
        <x:v>Identités, migration et reprise</x:v>
      </x:c>
      <x:c r="F644" t="str">
        <x:v>P1</x:v>
      </x:c>
      <x:c r="G644" t="str">
        <x:v>En cours</x:v>
      </x:c>
      <x:c r="H644" t="str">
        <x:v>Production Codex</x:v>
      </x:c>
      <x:c r="I644" t="str">
        <x:v>Livrable explicite, tests positifs et négatifs ; aucune validation déduite de la seule présence de la fiche.</x:v>
      </x:c>
      <x:c r="J644" t="str">
        <x:v>https://github.com/darknigthmare/deadwall-last-enclosure/blob/e28f46223e73105ab2c5d83f3d50b99b58ef53e6/docs/codex/suivi-monde2026/INSPECTION_PHYSIQUE_2026.md</x:v>
      </x:c>
    </x:row>
    <x:row r="645">
      <x:c r="A645" t="str">
        <x:v>EXT-MONDE-T064/qa</x:v>
      </x:c>
      <x:c r="B645" t="str">
        <x:v>EXT-MONDE-T064</x:v>
      </x:c>
      <x:c r="C645" t="str">
        <x:v>Épuration</x:v>
      </x:c>
      <x:c r="D645" t="str">
        <x:v>Usine de potabilisation</x:v>
      </x:c>
      <x:c r="E645" t="str">
        <x:v>Navigation et parcours jouables</x:v>
      </x:c>
      <x:c r="F645" t="str">
        <x:v>P1</x:v>
      </x:c>
      <x:c r="G645" t="str">
        <x:v>En cours</x:v>
      </x:c>
      <x:c r="H645" t="str">
        <x:v>Production Codex</x:v>
      </x:c>
      <x:c r="I645" t="str">
        <x:v>Livrable explicite, tests positifs et négatifs ; aucune validation déduite de la seule présence de la fiche.</x:v>
      </x:c>
      <x:c r="J645" t="str">
        <x:v>https://github.com/darknigthmare/deadwall-last-enclosure/blob/e28f46223e73105ab2c5d83f3d50b99b58ef53e6/docs/codex/suivi-monde2026/INSPECTION_PHYSIQUE_2026.md</x:v>
      </x:c>
    </x:row>
    <x:row r="646">
      <x:c r="A646" t="str">
        <x:v>EXT-MONDE-T065/dimensions</x:v>
      </x:c>
      <x:c r="B646" t="str">
        <x:v>EXT-MONDE-T065</x:v>
      </x:c>
      <x:c r="C646" t="str">
        <x:v>Stades</x:v>
      </x:c>
      <x:c r="D646" t="str">
        <x:v>Stade municipal</x:v>
      </x:c>
      <x:c r="E646" t="str">
        <x:v>Dimensions et plans de référence</x:v>
      </x:c>
      <x:c r="F646" t="str">
        <x:v>P0</x:v>
      </x:c>
      <x:c r="G646" t="str">
        <x:v>Validé</x:v>
      </x:c>
      <x:c r="H646" t="str">
        <x:v>Production Codex</x:v>
      </x:c>
      <x:c r="I646" t="str">
        <x:v>Sources publiques identifiées ; unités en mètres ; emprise au sol distincte de la hauteur.</x:v>
      </x:c>
      <x:c r="J646" t="str">
        <x:v>https://github.com/darknigthmare/deadwall-last-enclosure/blob/e28f46223e73105ab2c5d83f3d50b99b58ef53e6/docs/codex/suivi-monde2026/FONDATIONS_METRIQUES_2026.md#dimensions-auteur-validees</x:v>
      </x:c>
    </x:row>
    <x:row r="647">
      <x:c r="A647" t="str">
        <x:v>EXT-MONDE-T065/architecture</x:v>
      </x:c>
      <x:c r="B647" t="str">
        <x:v>EXT-MONDE-T065</x:v>
      </x:c>
      <x:c r="C647" t="str">
        <x:v>Stades</x:v>
      </x:c>
      <x:c r="D647" t="str">
        <x:v>Stade municipal</x:v>
      </x:c>
      <x:c r="E647" t="str">
        <x:v>Pièces, étages, annexes</x:v>
      </x:c>
      <x:c r="F647" t="str">
        <x:v>P0</x:v>
      </x:c>
      <x:c r="G647" t="str">
        <x:v>En cours</x:v>
      </x:c>
      <x:c r="H647" t="str">
        <x:v>Production Codex</x:v>
      </x:c>
      <x:c r="I647" t="str">
        <x:v>Livrable explicite, tests positifs et négatifs ; aucune validation déduite de la seule présence de la fiche.</x:v>
      </x:c>
      <x:c r="J647" t="str">
        <x:v>https://github.com/darknigthmare/deadwall-last-enclosure/blob/e28f46223e73105ab2c5d83f3d50b99b58ef53e6/docs/codex/suivi-monde2026/INSPECTION_PHYSIQUE_2026.md</x:v>
      </x:c>
    </x:row>
    <x:row r="648">
      <x:c r="A648" t="str">
        <x:v>EXT-MONDE-T065/seed</x:v>
      </x:c>
      <x:c r="B648" t="str">
        <x:v>EXT-MONDE-T065</x:v>
      </x:c>
      <x:c r="C648" t="str">
        <x:v>Stades</x:v>
      </x:c>
      <x:c r="D648" t="str">
        <x:v>Stade municipal</x:v>
      </x:c>
      <x:c r="E648" t="str">
        <x:v>Implantation et réseaux</x:v>
      </x:c>
      <x:c r="F648" t="str">
        <x:v>P0</x:v>
      </x:c>
      <x:c r="G648" t="str">
        <x:v>À faire</x:v>
      </x:c>
      <x:c r="H648" t="str">
        <x:v>Non affecté</x:v>
      </x:c>
      <x:c r="I648" t="str">
        <x:v>Anneaux de circulation et sorties ; gradins par niveau ; accès terrain distincts des locaux.</x:v>
      </x:c>
      <x:c r="J648" t="str"/>
    </x:row>
    <x:row r="649">
      <x:c r="A649" t="str">
        <x:v>EXT-MONDE-T065/props</x:v>
      </x:c>
      <x:c r="B649" t="str">
        <x:v>EXT-MONDE-T065</x:v>
      </x:c>
      <x:c r="C649" t="str">
        <x:v>Stades</x:v>
      </x:c>
      <x:c r="D649" t="str">
        <x:v>Stade municipal</x:v>
      </x:c>
      <x:c r="E649" t="str">
        <x:v>Objets, décors et dégagements</x:v>
      </x:c>
      <x:c r="F649" t="str">
        <x:v>P1</x:v>
      </x:c>
      <x:c r="G649" t="str">
        <x:v>En cours</x:v>
      </x:c>
      <x:c r="H649" t="str">
        <x:v>Production Codex</x:v>
      </x:c>
      <x:c r="I649" t="str">
        <x:v>Livrable explicite, tests positifs et négatifs ; aucune validation déduite de la seule présence de la fiche.</x:v>
      </x:c>
      <x:c r="J649" t="str">
        <x:v>https://github.com/darknigthmare/deadwall-last-enclosure/blob/e28f46223e73105ab2c5d83f3d50b99b58ef53e6/docs/codex/suivi-monde2026/INSPECTION_PHYSIQUE_2026.md</x:v>
      </x:c>
    </x:row>
    <x:row r="650">
      <x:c r="A650" t="str">
        <x:v>EXT-MONDE-T065/loot</x:v>
      </x:c>
      <x:c r="B650" t="str">
        <x:v>EXT-MONDE-T065</x:v>
      </x:c>
      <x:c r="C650" t="str">
        <x:v>Stades</x:v>
      </x:c>
      <x:c r="D650" t="str">
        <x:v>Stade municipal</x:v>
      </x:c>
      <x:c r="E650" t="str">
        <x:v>Budget de butin persistant</x:v>
      </x:c>
      <x:c r="F650" t="str">
        <x:v>P1</x:v>
      </x:c>
      <x:c r="G650" t="str">
        <x:v>À faire</x:v>
      </x:c>
      <x:c r="H650" t="str">
        <x:v>Non affecté</x:v>
      </x:c>
      <x:c r="I650" t="str">
        <x:v>Livrable explicite, tests positifs et négatifs ; aucune validation déduite de la seule présence de la fiche.</x:v>
      </x:c>
      <x:c r="J650" t="str"/>
    </x:row>
    <x:row r="651">
      <x:c r="A651" t="str">
        <x:v>EXT-MONDE-T065/rencontres</x:v>
      </x:c>
      <x:c r="B651" t="str">
        <x:v>EXT-MONDE-T065</x:v>
      </x:c>
      <x:c r="C651" t="str">
        <x:v>Stades</x:v>
      </x:c>
      <x:c r="D651" t="str">
        <x:v>Stade municipal</x:v>
      </x:c>
      <x:c r="E651" t="str">
        <x:v>Ennemis et faune contextualisés</x:v>
      </x:c>
      <x:c r="F651" t="str">
        <x:v>P1</x:v>
      </x:c>
      <x:c r="G651" t="str">
        <x:v>À faire</x:v>
      </x:c>
      <x:c r="H651" t="str">
        <x:v>Non affecté</x:v>
      </x:c>
      <x:c r="I651" t="str">
        <x:v>Livrable explicite, tests positifs et négatifs ; aucune validation déduite de la seule présence de la fiche.</x:v>
      </x:c>
      <x:c r="J651" t="str"/>
    </x:row>
    <x:row r="652">
      <x:c r="A652" t="str">
        <x:v>EXT-MONDE-T065/services</x:v>
      </x:c>
      <x:c r="B652" t="str">
        <x:v>EXT-MONDE-T065</x:v>
      </x:c>
      <x:c r="C652" t="str">
        <x:v>Stades</x:v>
      </x:c>
      <x:c r="D652" t="str">
        <x:v>Stade municipal</x:v>
      </x:c>
      <x:c r="E652" t="str">
        <x:v>Énergie, eau et interactions</x:v>
      </x:c>
      <x:c r="F652" t="str">
        <x:v>P1</x:v>
      </x:c>
      <x:c r="G652" t="str">
        <x:v>À faire</x:v>
      </x:c>
      <x:c r="H652" t="str">
        <x:v>Non affecté</x:v>
      </x:c>
      <x:c r="I652" t="str">
        <x:v>Livrable explicite, tests positifs et négatifs ; aucune validation déduite de la seule présence de la fiche.</x:v>
      </x:c>
      <x:c r="J652" t="str"/>
    </x:row>
    <x:row r="653">
      <x:c r="A653" t="str">
        <x:v>EXT-MONDE-T065/art</x:v>
      </x:c>
      <x:c r="B653" t="str">
        <x:v>EXT-MONDE-T065</x:v>
      </x:c>
      <x:c r="C653" t="str">
        <x:v>Stades</x:v>
      </x:c>
      <x:c r="D653" t="str">
        <x:v>Stade municipal</x:v>
      </x:c>
      <x:c r="E653" t="str">
        <x:v>Sprites, proportions et animations</x:v>
      </x:c>
      <x:c r="F653" t="str">
        <x:v>P1</x:v>
      </x:c>
      <x:c r="G653" t="str">
        <x:v>À faire</x:v>
      </x:c>
      <x:c r="H653" t="str">
        <x:v>Non affecté</x:v>
      </x:c>
      <x:c r="I653" t="str">
        <x:v>Livrable explicite, tests positifs et négatifs ; aucune validation déduite de la seule présence de la fiche.</x:v>
      </x:c>
      <x:c r="J653" t="str"/>
    </x:row>
    <x:row r="654">
      <x:c r="A654" t="str">
        <x:v>EXT-MONDE-T065/sauvegarde</x:v>
      </x:c>
      <x:c r="B654" t="str">
        <x:v>EXT-MONDE-T065</x:v>
      </x:c>
      <x:c r="C654" t="str">
        <x:v>Stades</x:v>
      </x:c>
      <x:c r="D654" t="str">
        <x:v>Stade municipal</x:v>
      </x:c>
      <x:c r="E654" t="str">
        <x:v>Identités, migration et reprise</x:v>
      </x:c>
      <x:c r="F654" t="str">
        <x:v>P1</x:v>
      </x:c>
      <x:c r="G654" t="str">
        <x:v>En cours</x:v>
      </x:c>
      <x:c r="H654" t="str">
        <x:v>Production Codex</x:v>
      </x:c>
      <x:c r="I654" t="str">
        <x:v>Livrable explicite, tests positifs et négatifs ; aucune validation déduite de la seule présence de la fiche.</x:v>
      </x:c>
      <x:c r="J654" t="str">
        <x:v>https://github.com/darknigthmare/deadwall-last-enclosure/blob/e28f46223e73105ab2c5d83f3d50b99b58ef53e6/docs/codex/suivi-monde2026/INSPECTION_PHYSIQUE_2026.md</x:v>
      </x:c>
    </x:row>
    <x:row r="655">
      <x:c r="A655" t="str">
        <x:v>EXT-MONDE-T065/qa</x:v>
      </x:c>
      <x:c r="B655" t="str">
        <x:v>EXT-MONDE-T065</x:v>
      </x:c>
      <x:c r="C655" t="str">
        <x:v>Stades</x:v>
      </x:c>
      <x:c r="D655" t="str">
        <x:v>Stade municipal</x:v>
      </x:c>
      <x:c r="E655" t="str">
        <x:v>Navigation et parcours jouables</x:v>
      </x:c>
      <x:c r="F655" t="str">
        <x:v>P1</x:v>
      </x:c>
      <x:c r="G655" t="str">
        <x:v>En cours</x:v>
      </x:c>
      <x:c r="H655" t="str">
        <x:v>Production Codex</x:v>
      </x:c>
      <x:c r="I655" t="str">
        <x:v>Livrable explicite, tests positifs et négatifs ; aucune validation déduite de la seule présence de la fiche.</x:v>
      </x:c>
      <x:c r="J655" t="str">
        <x:v>https://github.com/darknigthmare/deadwall-last-enclosure/blob/e28f46223e73105ab2c5d83f3d50b99b58ef53e6/docs/codex/suivi-monde2026/INSPECTION_PHYSIQUE_2026.md</x:v>
      </x:c>
    </x:row>
    <x:row r="656">
      <x:c r="A656" t="str">
        <x:v>EXT-MONDE-T066/dimensions</x:v>
      </x:c>
      <x:c r="B656" t="str">
        <x:v>EXT-MONDE-T066</x:v>
      </x:c>
      <x:c r="C656" t="str">
        <x:v>Stades</x:v>
      </x:c>
      <x:c r="D656" t="str">
        <x:v>Grand stade couvert</x:v>
      </x:c>
      <x:c r="E656" t="str">
        <x:v>Dimensions et plans de référence</x:v>
      </x:c>
      <x:c r="F656" t="str">
        <x:v>P0</x:v>
      </x:c>
      <x:c r="G656" t="str">
        <x:v>Validé</x:v>
      </x:c>
      <x:c r="H656" t="str">
        <x:v>Production Codex</x:v>
      </x:c>
      <x:c r="I656" t="str">
        <x:v>Sources publiques identifiées ; unités en mètres ; emprise au sol distincte de la hauteur.</x:v>
      </x:c>
      <x:c r="J656" t="str">
        <x:v>https://github.com/darknigthmare/deadwall-last-enclosure/blob/e28f46223e73105ab2c5d83f3d50b99b58ef53e6/docs/codex/suivi-monde2026/FONDATIONS_METRIQUES_2026.md#dimensions-auteur-validees</x:v>
      </x:c>
    </x:row>
    <x:row r="657">
      <x:c r="A657" t="str">
        <x:v>EXT-MONDE-T066/architecture</x:v>
      </x:c>
      <x:c r="B657" t="str">
        <x:v>EXT-MONDE-T066</x:v>
      </x:c>
      <x:c r="C657" t="str">
        <x:v>Stades</x:v>
      </x:c>
      <x:c r="D657" t="str">
        <x:v>Grand stade couvert</x:v>
      </x:c>
      <x:c r="E657" t="str">
        <x:v>Pièces, étages, annexes</x:v>
      </x:c>
      <x:c r="F657" t="str">
        <x:v>P0</x:v>
      </x:c>
      <x:c r="G657" t="str">
        <x:v>En cours</x:v>
      </x:c>
      <x:c r="H657" t="str">
        <x:v>Production Codex</x:v>
      </x:c>
      <x:c r="I657" t="str">
        <x:v>Livrable explicite, tests positifs et négatifs ; aucune validation déduite de la seule présence de la fiche.</x:v>
      </x:c>
      <x:c r="J657" t="str">
        <x:v>https://github.com/darknigthmare/deadwall-last-enclosure/blob/e28f46223e73105ab2c5d83f3d50b99b58ef53e6/docs/codex/suivi-monde2026/INSPECTION_PHYSIQUE_2026.md</x:v>
      </x:c>
    </x:row>
    <x:row r="658">
      <x:c r="A658" t="str">
        <x:v>EXT-MONDE-T066/seed</x:v>
      </x:c>
      <x:c r="B658" t="str">
        <x:v>EXT-MONDE-T066</x:v>
      </x:c>
      <x:c r="C658" t="str">
        <x:v>Stades</x:v>
      </x:c>
      <x:c r="D658" t="str">
        <x:v>Grand stade couvert</x:v>
      </x:c>
      <x:c r="E658" t="str">
        <x:v>Implantation et réseaux</x:v>
      </x:c>
      <x:c r="F658" t="str">
        <x:v>P0</x:v>
      </x:c>
      <x:c r="G658" t="str">
        <x:v>À faire</x:v>
      </x:c>
      <x:c r="H658" t="str">
        <x:v>Non affecté</x:v>
      </x:c>
      <x:c r="I658" t="str">
        <x:v>Anneaux de circulation et sorties ; gradins par niveau ; accès terrain distincts des locaux.</x:v>
      </x:c>
      <x:c r="J658" t="str"/>
    </x:row>
    <x:row r="659">
      <x:c r="A659" t="str">
        <x:v>EXT-MONDE-T066/props</x:v>
      </x:c>
      <x:c r="B659" t="str">
        <x:v>EXT-MONDE-T066</x:v>
      </x:c>
      <x:c r="C659" t="str">
        <x:v>Stades</x:v>
      </x:c>
      <x:c r="D659" t="str">
        <x:v>Grand stade couvert</x:v>
      </x:c>
      <x:c r="E659" t="str">
        <x:v>Objets, décors et dégagements</x:v>
      </x:c>
      <x:c r="F659" t="str">
        <x:v>P1</x:v>
      </x:c>
      <x:c r="G659" t="str">
        <x:v>En cours</x:v>
      </x:c>
      <x:c r="H659" t="str">
        <x:v>Production Codex</x:v>
      </x:c>
      <x:c r="I659" t="str">
        <x:v>Livrable explicite, tests positifs et négatifs ; aucune validation déduite de la seule présence de la fiche.</x:v>
      </x:c>
      <x:c r="J659" t="str">
        <x:v>https://github.com/darknigthmare/deadwall-last-enclosure/blob/e28f46223e73105ab2c5d83f3d50b99b58ef53e6/docs/codex/suivi-monde2026/INSPECTION_PHYSIQUE_2026.md</x:v>
      </x:c>
    </x:row>
    <x:row r="660">
      <x:c r="A660" t="str">
        <x:v>EXT-MONDE-T066/loot</x:v>
      </x:c>
      <x:c r="B660" t="str">
        <x:v>EXT-MONDE-T066</x:v>
      </x:c>
      <x:c r="C660" t="str">
        <x:v>Stades</x:v>
      </x:c>
      <x:c r="D660" t="str">
        <x:v>Grand stade couvert</x:v>
      </x:c>
      <x:c r="E660" t="str">
        <x:v>Budget de butin persistant</x:v>
      </x:c>
      <x:c r="F660" t="str">
        <x:v>P1</x:v>
      </x:c>
      <x:c r="G660" t="str">
        <x:v>À faire</x:v>
      </x:c>
      <x:c r="H660" t="str">
        <x:v>Non affecté</x:v>
      </x:c>
      <x:c r="I660" t="str">
        <x:v>Livrable explicite, tests positifs et négatifs ; aucune validation déduite de la seule présence de la fiche.</x:v>
      </x:c>
      <x:c r="J660" t="str"/>
    </x:row>
    <x:row r="661">
      <x:c r="A661" t="str">
        <x:v>EXT-MONDE-T066/rencontres</x:v>
      </x:c>
      <x:c r="B661" t="str">
        <x:v>EXT-MONDE-T066</x:v>
      </x:c>
      <x:c r="C661" t="str">
        <x:v>Stades</x:v>
      </x:c>
      <x:c r="D661" t="str">
        <x:v>Grand stade couvert</x:v>
      </x:c>
      <x:c r="E661" t="str">
        <x:v>Ennemis et faune contextualisés</x:v>
      </x:c>
      <x:c r="F661" t="str">
        <x:v>P1</x:v>
      </x:c>
      <x:c r="G661" t="str">
        <x:v>À faire</x:v>
      </x:c>
      <x:c r="H661" t="str">
        <x:v>Non affecté</x:v>
      </x:c>
      <x:c r="I661" t="str">
        <x:v>Livrable explicite, tests positifs et négatifs ; aucune validation déduite de la seule présence de la fiche.</x:v>
      </x:c>
      <x:c r="J661" t="str"/>
    </x:row>
    <x:row r="662">
      <x:c r="A662" t="str">
        <x:v>EXT-MONDE-T066/services</x:v>
      </x:c>
      <x:c r="B662" t="str">
        <x:v>EXT-MONDE-T066</x:v>
      </x:c>
      <x:c r="C662" t="str">
        <x:v>Stades</x:v>
      </x:c>
      <x:c r="D662" t="str">
        <x:v>Grand stade couvert</x:v>
      </x:c>
      <x:c r="E662" t="str">
        <x:v>Énergie, eau et interactions</x:v>
      </x:c>
      <x:c r="F662" t="str">
        <x:v>P1</x:v>
      </x:c>
      <x:c r="G662" t="str">
        <x:v>À faire</x:v>
      </x:c>
      <x:c r="H662" t="str">
        <x:v>Non affecté</x:v>
      </x:c>
      <x:c r="I662" t="str">
        <x:v>Livrable explicite, tests positifs et négatifs ; aucune validation déduite de la seule présence de la fiche.</x:v>
      </x:c>
      <x:c r="J662" t="str"/>
    </x:row>
    <x:row r="663">
      <x:c r="A663" t="str">
        <x:v>EXT-MONDE-T066/art</x:v>
      </x:c>
      <x:c r="B663" t="str">
        <x:v>EXT-MONDE-T066</x:v>
      </x:c>
      <x:c r="C663" t="str">
        <x:v>Stades</x:v>
      </x:c>
      <x:c r="D663" t="str">
        <x:v>Grand stade couvert</x:v>
      </x:c>
      <x:c r="E663" t="str">
        <x:v>Sprites, proportions et animations</x:v>
      </x:c>
      <x:c r="F663" t="str">
        <x:v>P1</x:v>
      </x:c>
      <x:c r="G663" t="str">
        <x:v>À faire</x:v>
      </x:c>
      <x:c r="H663" t="str">
        <x:v>Non affecté</x:v>
      </x:c>
      <x:c r="I663" t="str">
        <x:v>Livrable explicite, tests positifs et négatifs ; aucune validation déduite de la seule présence de la fiche.</x:v>
      </x:c>
      <x:c r="J663" t="str"/>
    </x:row>
    <x:row r="664">
      <x:c r="A664" t="str">
        <x:v>EXT-MONDE-T066/sauvegarde</x:v>
      </x:c>
      <x:c r="B664" t="str">
        <x:v>EXT-MONDE-T066</x:v>
      </x:c>
      <x:c r="C664" t="str">
        <x:v>Stades</x:v>
      </x:c>
      <x:c r="D664" t="str">
        <x:v>Grand stade couvert</x:v>
      </x:c>
      <x:c r="E664" t="str">
        <x:v>Identités, migration et reprise</x:v>
      </x:c>
      <x:c r="F664" t="str">
        <x:v>P1</x:v>
      </x:c>
      <x:c r="G664" t="str">
        <x:v>En cours</x:v>
      </x:c>
      <x:c r="H664" t="str">
        <x:v>Production Codex</x:v>
      </x:c>
      <x:c r="I664" t="str">
        <x:v>Livrable explicite, tests positifs et négatifs ; aucune validation déduite de la seule présence de la fiche.</x:v>
      </x:c>
      <x:c r="J664" t="str">
        <x:v>https://github.com/darknigthmare/deadwall-last-enclosure/blob/e28f46223e73105ab2c5d83f3d50b99b58ef53e6/docs/codex/suivi-monde2026/INSPECTION_PHYSIQUE_2026.md</x:v>
      </x:c>
    </x:row>
    <x:row r="665">
      <x:c r="A665" t="str">
        <x:v>EXT-MONDE-T066/qa</x:v>
      </x:c>
      <x:c r="B665" t="str">
        <x:v>EXT-MONDE-T066</x:v>
      </x:c>
      <x:c r="C665" t="str">
        <x:v>Stades</x:v>
      </x:c>
      <x:c r="D665" t="str">
        <x:v>Grand stade couvert</x:v>
      </x:c>
      <x:c r="E665" t="str">
        <x:v>Navigation et parcours jouables</x:v>
      </x:c>
      <x:c r="F665" t="str">
        <x:v>P1</x:v>
      </x:c>
      <x:c r="G665" t="str">
        <x:v>En cours</x:v>
      </x:c>
      <x:c r="H665" t="str">
        <x:v>Production Codex</x:v>
      </x:c>
      <x:c r="I665" t="str">
        <x:v>Livrable explicite, tests positifs et négatifs ; aucune validation déduite de la seule présence de la fiche.</x:v>
      </x:c>
      <x:c r="J665" t="str">
        <x:v>https://github.com/darknigthmare/deadwall-last-enclosure/blob/e28f46223e73105ab2c5d83f3d50b99b58ef53e6/docs/codex/suivi-monde2026/INSPECTION_PHYSIQUE_2026.md</x:v>
      </x:c>
    </x:row>
    <x:row r="666">
      <x:c r="A666" t="str">
        <x:v>EXT-MONDE-T067/dimensions</x:v>
      </x:c>
      <x:c r="B666" t="str">
        <x:v>EXT-MONDE-T067</x:v>
      </x:c>
      <x:c r="C666" t="str">
        <x:v>Stades</x:v>
      </x:c>
      <x:c r="D666" t="str">
        <x:v>Vélodrome</x:v>
      </x:c>
      <x:c r="E666" t="str">
        <x:v>Dimensions et plans de référence</x:v>
      </x:c>
      <x:c r="F666" t="str">
        <x:v>P0</x:v>
      </x:c>
      <x:c r="G666" t="str">
        <x:v>En cours</x:v>
      </x:c>
      <x:c r="H666" t="str">
        <x:v>Production Codex</x:v>
      </x:c>
      <x:c r="I666" t="str">
        <x:v>Sources publiques identifiées ; unités en mètres ; emprise au sol distincte de la hauteur.</x:v>
      </x:c>
      <x:c r="J666" t="str">
        <x:v>https://github.com/darknigthmare/deadwall-last-enclosure/blob/e28f46223e73105ab2c5d83f3d50b99b58ef53e6/docs/codex/suivi-monde2026/PARCS_SPORTS_2026.md</x:v>
      </x:c>
    </x:row>
    <x:row r="667">
      <x:c r="A667" t="str">
        <x:v>EXT-MONDE-T067/architecture</x:v>
      </x:c>
      <x:c r="B667" t="str">
        <x:v>EXT-MONDE-T067</x:v>
      </x:c>
      <x:c r="C667" t="str">
        <x:v>Stades</x:v>
      </x:c>
      <x:c r="D667" t="str">
        <x:v>Vélodrome</x:v>
      </x:c>
      <x:c r="E667" t="str">
        <x:v>Pièces, étages, annexes</x:v>
      </x:c>
      <x:c r="F667" t="str">
        <x:v>P0</x:v>
      </x:c>
      <x:c r="G667" t="str">
        <x:v>En cours</x:v>
      </x:c>
      <x:c r="H667" t="str">
        <x:v>Production Codex</x:v>
      </x:c>
      <x:c r="I667" t="str">
        <x:v>Livrable explicite, tests positifs et négatifs ; aucune validation déduite de la seule présence de la fiche.</x:v>
      </x:c>
      <x:c r="J667" t="str">
        <x:v>https://github.com/darknigthmare/deadwall-last-enclosure/blob/e28f46223e73105ab2c5d83f3d50b99b58ef53e6/docs/codex/suivi-monde2026/INSPECTION_PHYSIQUE_2026.md</x:v>
      </x:c>
    </x:row>
    <x:row r="668">
      <x:c r="A668" t="str">
        <x:v>EXT-MONDE-T067/seed</x:v>
      </x:c>
      <x:c r="B668" t="str">
        <x:v>EXT-MONDE-T067</x:v>
      </x:c>
      <x:c r="C668" t="str">
        <x:v>Stades</x:v>
      </x:c>
      <x:c r="D668" t="str">
        <x:v>Vélodrome</x:v>
      </x:c>
      <x:c r="E668" t="str">
        <x:v>Implantation et réseaux</x:v>
      </x:c>
      <x:c r="F668" t="str">
        <x:v>P0</x:v>
      </x:c>
      <x:c r="G668" t="str">
        <x:v>À faire</x:v>
      </x:c>
      <x:c r="H668" t="str">
        <x:v>Non affecté</x:v>
      </x:c>
      <x:c r="I668" t="str">
        <x:v>Anneaux de circulation et sorties ; gradins par niveau ; accès terrain distincts des locaux.</x:v>
      </x:c>
      <x:c r="J668" t="str"/>
    </x:row>
    <x:row r="669">
      <x:c r="A669" t="str">
        <x:v>EXT-MONDE-T067/props</x:v>
      </x:c>
      <x:c r="B669" t="str">
        <x:v>EXT-MONDE-T067</x:v>
      </x:c>
      <x:c r="C669" t="str">
        <x:v>Stades</x:v>
      </x:c>
      <x:c r="D669" t="str">
        <x:v>Vélodrome</x:v>
      </x:c>
      <x:c r="E669" t="str">
        <x:v>Objets, décors et dégagements</x:v>
      </x:c>
      <x:c r="F669" t="str">
        <x:v>P1</x:v>
      </x:c>
      <x:c r="G669" t="str">
        <x:v>En cours</x:v>
      </x:c>
      <x:c r="H669" t="str">
        <x:v>Production Codex</x:v>
      </x:c>
      <x:c r="I669" t="str">
        <x:v>Livrable explicite, tests positifs et négatifs ; aucune validation déduite de la seule présence de la fiche.</x:v>
      </x:c>
      <x:c r="J669" t="str">
        <x:v>https://github.com/darknigthmare/deadwall-last-enclosure/blob/e28f46223e73105ab2c5d83f3d50b99b58ef53e6/docs/codex/suivi-monde2026/INSPECTION_PHYSIQUE_2026.md</x:v>
      </x:c>
    </x:row>
    <x:row r="670">
      <x:c r="A670" t="str">
        <x:v>EXT-MONDE-T067/loot</x:v>
      </x:c>
      <x:c r="B670" t="str">
        <x:v>EXT-MONDE-T067</x:v>
      </x:c>
      <x:c r="C670" t="str">
        <x:v>Stades</x:v>
      </x:c>
      <x:c r="D670" t="str">
        <x:v>Vélodrome</x:v>
      </x:c>
      <x:c r="E670" t="str">
        <x:v>Budget de butin persistant</x:v>
      </x:c>
      <x:c r="F670" t="str">
        <x:v>P1</x:v>
      </x:c>
      <x:c r="G670" t="str">
        <x:v>À faire</x:v>
      </x:c>
      <x:c r="H670" t="str">
        <x:v>Non affecté</x:v>
      </x:c>
      <x:c r="I670" t="str">
        <x:v>Livrable explicite, tests positifs et négatifs ; aucune validation déduite de la seule présence de la fiche.</x:v>
      </x:c>
      <x:c r="J670" t="str"/>
    </x:row>
    <x:row r="671">
      <x:c r="A671" t="str">
        <x:v>EXT-MONDE-T067/rencontres</x:v>
      </x:c>
      <x:c r="B671" t="str">
        <x:v>EXT-MONDE-T067</x:v>
      </x:c>
      <x:c r="C671" t="str">
        <x:v>Stades</x:v>
      </x:c>
      <x:c r="D671" t="str">
        <x:v>Vélodrome</x:v>
      </x:c>
      <x:c r="E671" t="str">
        <x:v>Ennemis et faune contextualisés</x:v>
      </x:c>
      <x:c r="F671" t="str">
        <x:v>P1</x:v>
      </x:c>
      <x:c r="G671" t="str">
        <x:v>À faire</x:v>
      </x:c>
      <x:c r="H671" t="str">
        <x:v>Non affecté</x:v>
      </x:c>
      <x:c r="I671" t="str">
        <x:v>Livrable explicite, tests positifs et négatifs ; aucune validation déduite de la seule présence de la fiche.</x:v>
      </x:c>
      <x:c r="J671" t="str"/>
    </x:row>
    <x:row r="672">
      <x:c r="A672" t="str">
        <x:v>EXT-MONDE-T067/services</x:v>
      </x:c>
      <x:c r="B672" t="str">
        <x:v>EXT-MONDE-T067</x:v>
      </x:c>
      <x:c r="C672" t="str">
        <x:v>Stades</x:v>
      </x:c>
      <x:c r="D672" t="str">
        <x:v>Vélodrome</x:v>
      </x:c>
      <x:c r="E672" t="str">
        <x:v>Énergie, eau et interactions</x:v>
      </x:c>
      <x:c r="F672" t="str">
        <x:v>P1</x:v>
      </x:c>
      <x:c r="G672" t="str">
        <x:v>À faire</x:v>
      </x:c>
      <x:c r="H672" t="str">
        <x:v>Non affecté</x:v>
      </x:c>
      <x:c r="I672" t="str">
        <x:v>Livrable explicite, tests positifs et négatifs ; aucune validation déduite de la seule présence de la fiche.</x:v>
      </x:c>
      <x:c r="J672" t="str"/>
    </x:row>
    <x:row r="673">
      <x:c r="A673" t="str">
        <x:v>EXT-MONDE-T067/art</x:v>
      </x:c>
      <x:c r="B673" t="str">
        <x:v>EXT-MONDE-T067</x:v>
      </x:c>
      <x:c r="C673" t="str">
        <x:v>Stades</x:v>
      </x:c>
      <x:c r="D673" t="str">
        <x:v>Vélodrome</x:v>
      </x:c>
      <x:c r="E673" t="str">
        <x:v>Sprites, proportions et animations</x:v>
      </x:c>
      <x:c r="F673" t="str">
        <x:v>P1</x:v>
      </x:c>
      <x:c r="G673" t="str">
        <x:v>À faire</x:v>
      </x:c>
      <x:c r="H673" t="str">
        <x:v>Non affecté</x:v>
      </x:c>
      <x:c r="I673" t="str">
        <x:v>Livrable explicite, tests positifs et négatifs ; aucune validation déduite de la seule présence de la fiche.</x:v>
      </x:c>
      <x:c r="J673" t="str"/>
    </x:row>
    <x:row r="674">
      <x:c r="A674" t="str">
        <x:v>EXT-MONDE-T067/sauvegarde</x:v>
      </x:c>
      <x:c r="B674" t="str">
        <x:v>EXT-MONDE-T067</x:v>
      </x:c>
      <x:c r="C674" t="str">
        <x:v>Stades</x:v>
      </x:c>
      <x:c r="D674" t="str">
        <x:v>Vélodrome</x:v>
      </x:c>
      <x:c r="E674" t="str">
        <x:v>Identités, migration et reprise</x:v>
      </x:c>
      <x:c r="F674" t="str">
        <x:v>P1</x:v>
      </x:c>
      <x:c r="G674" t="str">
        <x:v>En cours</x:v>
      </x:c>
      <x:c r="H674" t="str">
        <x:v>Production Codex</x:v>
      </x:c>
      <x:c r="I674" t="str">
        <x:v>Livrable explicite, tests positifs et négatifs ; aucune validation déduite de la seule présence de la fiche.</x:v>
      </x:c>
      <x:c r="J674" t="str">
        <x:v>https://github.com/darknigthmare/deadwall-last-enclosure/blob/e28f46223e73105ab2c5d83f3d50b99b58ef53e6/docs/codex/suivi-monde2026/INSPECTION_PHYSIQUE_2026.md</x:v>
      </x:c>
    </x:row>
    <x:row r="675">
      <x:c r="A675" t="str">
        <x:v>EXT-MONDE-T067/qa</x:v>
      </x:c>
      <x:c r="B675" t="str">
        <x:v>EXT-MONDE-T067</x:v>
      </x:c>
      <x:c r="C675" t="str">
        <x:v>Stades</x:v>
      </x:c>
      <x:c r="D675" t="str">
        <x:v>Vélodrome</x:v>
      </x:c>
      <x:c r="E675" t="str">
        <x:v>Navigation et parcours jouables</x:v>
      </x:c>
      <x:c r="F675" t="str">
        <x:v>P1</x:v>
      </x:c>
      <x:c r="G675" t="str">
        <x:v>En cours</x:v>
      </x:c>
      <x:c r="H675" t="str">
        <x:v>Production Codex</x:v>
      </x:c>
      <x:c r="I675" t="str">
        <x:v>Livrable explicite, tests positifs et négatifs ; aucune validation déduite de la seule présence de la fiche.</x:v>
      </x:c>
      <x:c r="J675" t="str">
        <x:v>https://github.com/darknigthmare/deadwall-last-enclosure/blob/e28f46223e73105ab2c5d83f3d50b99b58ef53e6/docs/codex/suivi-monde2026/INSPECTION_PHYSIQUE_2026.md</x:v>
      </x:c>
    </x:row>
    <x:row r="676">
      <x:c r="A676" t="str">
        <x:v>EXT-MONDE-T068/dimensions</x:v>
      </x:c>
      <x:c r="B676" t="str">
        <x:v>EXT-MONDE-T068</x:v>
      </x:c>
      <x:c r="C676" t="str">
        <x:v>Stades</x:v>
      </x:c>
      <x:c r="D676" t="str">
        <x:v>Complexe sportif</x:v>
      </x:c>
      <x:c r="E676" t="str">
        <x:v>Dimensions et plans de référence</x:v>
      </x:c>
      <x:c r="F676" t="str">
        <x:v>P0</x:v>
      </x:c>
      <x:c r="G676" t="str">
        <x:v>En cours</x:v>
      </x:c>
      <x:c r="H676" t="str">
        <x:v>Production Codex</x:v>
      </x:c>
      <x:c r="I676" t="str">
        <x:v>Sources publiques identifiées ; unités en mètres ; emprise au sol distincte de la hauteur.</x:v>
      </x:c>
      <x:c r="J676" t="str">
        <x:v>https://github.com/darknigthmare/deadwall-last-enclosure/blob/e28f46223e73105ab2c5d83f3d50b99b58ef53e6/docs/codex/suivi-monde2026/PARCS_SPORTS_2026.md</x:v>
      </x:c>
    </x:row>
    <x:row r="677">
      <x:c r="A677" t="str">
        <x:v>EXT-MONDE-T068/architecture</x:v>
      </x:c>
      <x:c r="B677" t="str">
        <x:v>EXT-MONDE-T068</x:v>
      </x:c>
      <x:c r="C677" t="str">
        <x:v>Stades</x:v>
      </x:c>
      <x:c r="D677" t="str">
        <x:v>Complexe sportif</x:v>
      </x:c>
      <x:c r="E677" t="str">
        <x:v>Pièces, étages, annexes</x:v>
      </x:c>
      <x:c r="F677" t="str">
        <x:v>P0</x:v>
      </x:c>
      <x:c r="G677" t="str">
        <x:v>En cours</x:v>
      </x:c>
      <x:c r="H677" t="str">
        <x:v>Production Codex</x:v>
      </x:c>
      <x:c r="I677" t="str">
        <x:v>Livrable explicite, tests positifs et négatifs ; aucune validation déduite de la seule présence de la fiche.</x:v>
      </x:c>
      <x:c r="J677" t="str">
        <x:v>https://github.com/darknigthmare/deadwall-last-enclosure/blob/e28f46223e73105ab2c5d83f3d50b99b58ef53e6/docs/codex/suivi-monde2026/INSPECTION_PHYSIQUE_2026.md</x:v>
      </x:c>
    </x:row>
    <x:row r="678">
      <x:c r="A678" t="str">
        <x:v>EXT-MONDE-T068/seed</x:v>
      </x:c>
      <x:c r="B678" t="str">
        <x:v>EXT-MONDE-T068</x:v>
      </x:c>
      <x:c r="C678" t="str">
        <x:v>Stades</x:v>
      </x:c>
      <x:c r="D678" t="str">
        <x:v>Complexe sportif</x:v>
      </x:c>
      <x:c r="E678" t="str">
        <x:v>Implantation et réseaux</x:v>
      </x:c>
      <x:c r="F678" t="str">
        <x:v>P0</x:v>
      </x:c>
      <x:c r="G678" t="str">
        <x:v>À faire</x:v>
      </x:c>
      <x:c r="H678" t="str">
        <x:v>Non affecté</x:v>
      </x:c>
      <x:c r="I678" t="str">
        <x:v>Anneaux de circulation et sorties ; gradins par niveau ; accès terrain distincts des locaux.</x:v>
      </x:c>
      <x:c r="J678" t="str"/>
    </x:row>
    <x:row r="679">
      <x:c r="A679" t="str">
        <x:v>EXT-MONDE-T068/props</x:v>
      </x:c>
      <x:c r="B679" t="str">
        <x:v>EXT-MONDE-T068</x:v>
      </x:c>
      <x:c r="C679" t="str">
        <x:v>Stades</x:v>
      </x:c>
      <x:c r="D679" t="str">
        <x:v>Complexe sportif</x:v>
      </x:c>
      <x:c r="E679" t="str">
        <x:v>Objets, décors et dégagements</x:v>
      </x:c>
      <x:c r="F679" t="str">
        <x:v>P1</x:v>
      </x:c>
      <x:c r="G679" t="str">
        <x:v>En cours</x:v>
      </x:c>
      <x:c r="H679" t="str">
        <x:v>Production Codex</x:v>
      </x:c>
      <x:c r="I679" t="str">
        <x:v>Livrable explicite, tests positifs et négatifs ; aucune validation déduite de la seule présence de la fiche.</x:v>
      </x:c>
      <x:c r="J679" t="str">
        <x:v>https://github.com/darknigthmare/deadwall-last-enclosure/blob/e28f46223e73105ab2c5d83f3d50b99b58ef53e6/docs/codex/suivi-monde2026/INSPECTION_PHYSIQUE_2026.md</x:v>
      </x:c>
    </x:row>
    <x:row r="680">
      <x:c r="A680" t="str">
        <x:v>EXT-MONDE-T068/loot</x:v>
      </x:c>
      <x:c r="B680" t="str">
        <x:v>EXT-MONDE-T068</x:v>
      </x:c>
      <x:c r="C680" t="str">
        <x:v>Stades</x:v>
      </x:c>
      <x:c r="D680" t="str">
        <x:v>Complexe sportif</x:v>
      </x:c>
      <x:c r="E680" t="str">
        <x:v>Budget de butin persistant</x:v>
      </x:c>
      <x:c r="F680" t="str">
        <x:v>P1</x:v>
      </x:c>
      <x:c r="G680" t="str">
        <x:v>À faire</x:v>
      </x:c>
      <x:c r="H680" t="str">
        <x:v>Non affecté</x:v>
      </x:c>
      <x:c r="I680" t="str">
        <x:v>Livrable explicite, tests positifs et négatifs ; aucune validation déduite de la seule présence de la fiche.</x:v>
      </x:c>
      <x:c r="J680" t="str"/>
    </x:row>
    <x:row r="681">
      <x:c r="A681" t="str">
        <x:v>EXT-MONDE-T068/rencontres</x:v>
      </x:c>
      <x:c r="B681" t="str">
        <x:v>EXT-MONDE-T068</x:v>
      </x:c>
      <x:c r="C681" t="str">
        <x:v>Stades</x:v>
      </x:c>
      <x:c r="D681" t="str">
        <x:v>Complexe sportif</x:v>
      </x:c>
      <x:c r="E681" t="str">
        <x:v>Ennemis et faune contextualisés</x:v>
      </x:c>
      <x:c r="F681" t="str">
        <x:v>P1</x:v>
      </x:c>
      <x:c r="G681" t="str">
        <x:v>À faire</x:v>
      </x:c>
      <x:c r="H681" t="str">
        <x:v>Non affecté</x:v>
      </x:c>
      <x:c r="I681" t="str">
        <x:v>Livrable explicite, tests positifs et négatifs ; aucune validation déduite de la seule présence de la fiche.</x:v>
      </x:c>
      <x:c r="J681" t="str"/>
    </x:row>
    <x:row r="682">
      <x:c r="A682" t="str">
        <x:v>EXT-MONDE-T068/services</x:v>
      </x:c>
      <x:c r="B682" t="str">
        <x:v>EXT-MONDE-T068</x:v>
      </x:c>
      <x:c r="C682" t="str">
        <x:v>Stades</x:v>
      </x:c>
      <x:c r="D682" t="str">
        <x:v>Complexe sportif</x:v>
      </x:c>
      <x:c r="E682" t="str">
        <x:v>Énergie, eau et interactions</x:v>
      </x:c>
      <x:c r="F682" t="str">
        <x:v>P1</x:v>
      </x:c>
      <x:c r="G682" t="str">
        <x:v>À faire</x:v>
      </x:c>
      <x:c r="H682" t="str">
        <x:v>Non affecté</x:v>
      </x:c>
      <x:c r="I682" t="str">
        <x:v>Livrable explicite, tests positifs et négatifs ; aucune validation déduite de la seule présence de la fiche.</x:v>
      </x:c>
      <x:c r="J682" t="str"/>
    </x:row>
    <x:row r="683">
      <x:c r="A683" t="str">
        <x:v>EXT-MONDE-T068/art</x:v>
      </x:c>
      <x:c r="B683" t="str">
        <x:v>EXT-MONDE-T068</x:v>
      </x:c>
      <x:c r="C683" t="str">
        <x:v>Stades</x:v>
      </x:c>
      <x:c r="D683" t="str">
        <x:v>Complexe sportif</x:v>
      </x:c>
      <x:c r="E683" t="str">
        <x:v>Sprites, proportions et animations</x:v>
      </x:c>
      <x:c r="F683" t="str">
        <x:v>P1</x:v>
      </x:c>
      <x:c r="G683" t="str">
        <x:v>À faire</x:v>
      </x:c>
      <x:c r="H683" t="str">
        <x:v>Non affecté</x:v>
      </x:c>
      <x:c r="I683" t="str">
        <x:v>Livrable explicite, tests positifs et négatifs ; aucune validation déduite de la seule présence de la fiche.</x:v>
      </x:c>
      <x:c r="J683" t="str"/>
    </x:row>
    <x:row r="684">
      <x:c r="A684" t="str">
        <x:v>EXT-MONDE-T068/sauvegarde</x:v>
      </x:c>
      <x:c r="B684" t="str">
        <x:v>EXT-MONDE-T068</x:v>
      </x:c>
      <x:c r="C684" t="str">
        <x:v>Stades</x:v>
      </x:c>
      <x:c r="D684" t="str">
        <x:v>Complexe sportif</x:v>
      </x:c>
      <x:c r="E684" t="str">
        <x:v>Identités, migration et reprise</x:v>
      </x:c>
      <x:c r="F684" t="str">
        <x:v>P1</x:v>
      </x:c>
      <x:c r="G684" t="str">
        <x:v>En cours</x:v>
      </x:c>
      <x:c r="H684" t="str">
        <x:v>Production Codex</x:v>
      </x:c>
      <x:c r="I684" t="str">
        <x:v>Livrable explicite, tests positifs et négatifs ; aucune validation déduite de la seule présence de la fiche.</x:v>
      </x:c>
      <x:c r="J684" t="str">
        <x:v>https://github.com/darknigthmare/deadwall-last-enclosure/blob/e28f46223e73105ab2c5d83f3d50b99b58ef53e6/docs/codex/suivi-monde2026/INSPECTION_PHYSIQUE_2026.md</x:v>
      </x:c>
    </x:row>
    <x:row r="685">
      <x:c r="A685" t="str">
        <x:v>EXT-MONDE-T068/qa</x:v>
      </x:c>
      <x:c r="B685" t="str">
        <x:v>EXT-MONDE-T068</x:v>
      </x:c>
      <x:c r="C685" t="str">
        <x:v>Stades</x:v>
      </x:c>
      <x:c r="D685" t="str">
        <x:v>Complexe sportif</x:v>
      </x:c>
      <x:c r="E685" t="str">
        <x:v>Navigation et parcours jouables</x:v>
      </x:c>
      <x:c r="F685" t="str">
        <x:v>P1</x:v>
      </x:c>
      <x:c r="G685" t="str">
        <x:v>En cours</x:v>
      </x:c>
      <x:c r="H685" t="str">
        <x:v>Production Codex</x:v>
      </x:c>
      <x:c r="I685" t="str">
        <x:v>Livrable explicite, tests positifs et négatifs ; aucune validation déduite de la seule présence de la fiche.</x:v>
      </x:c>
      <x:c r="J685" t="str">
        <x:v>https://github.com/darknigthmare/deadwall-last-enclosure/blob/e28f46223e73105ab2c5d83f3d50b99b58ef53e6/docs/codex/suivi-monde2026/INSPECTION_PHYSIQUE_2026.md</x:v>
      </x:c>
    </x:row>
    <x:row r="686">
      <x:c r="A686" t="str">
        <x:v>EXT-MONDE-T069/dimensions</x:v>
      </x:c>
      <x:c r="B686" t="str">
        <x:v>EXT-MONDE-T069</x:v>
      </x:c>
      <x:c r="C686" t="str">
        <x:v>Aéroports</x:v>
      </x:c>
      <x:c r="D686" t="str">
        <x:v>Aérodrome régional</x:v>
      </x:c>
      <x:c r="E686" t="str">
        <x:v>Dimensions et plans de référence</x:v>
      </x:c>
      <x:c r="F686" t="str">
        <x:v>P0</x:v>
      </x:c>
      <x:c r="G686" t="str">
        <x:v>En cours</x:v>
      </x:c>
      <x:c r="H686" t="str">
        <x:v>Production Codex</x:v>
      </x:c>
      <x:c r="I686" t="str">
        <x:v>Sources publiques identifiées ; unités en mètres ; emprise au sol distincte de la hauteur.</x:v>
      </x:c>
      <x:c r="J686" t="str">
        <x:v>https://github.com/darknigthmare/deadwall-last-enclosure/blob/e28f46223e73105ab2c5d83f3d50b99b58ef53e6/docs/codex/suivi-monde2026/AEROPORTS_RAIL_2026.md</x:v>
      </x:c>
    </x:row>
    <x:row r="687">
      <x:c r="A687" t="str">
        <x:v>EXT-MONDE-T069/architecture</x:v>
      </x:c>
      <x:c r="B687" t="str">
        <x:v>EXT-MONDE-T069</x:v>
      </x:c>
      <x:c r="C687" t="str">
        <x:v>Aéroports</x:v>
      </x:c>
      <x:c r="D687" t="str">
        <x:v>Aérodrome régional</x:v>
      </x:c>
      <x:c r="E687" t="str">
        <x:v>Pièces, étages, annexes</x:v>
      </x:c>
      <x:c r="F687" t="str">
        <x:v>P0</x:v>
      </x:c>
      <x:c r="G687" t="str">
        <x:v>En cours</x:v>
      </x:c>
      <x:c r="H687" t="str">
        <x:v>Production Codex</x:v>
      </x:c>
      <x:c r="I687" t="str">
        <x:v>Livrable explicite, tests positifs et négatifs ; aucune validation déduite de la seule présence de la fiche.</x:v>
      </x:c>
      <x:c r="J687" t="str">
        <x:v>https://github.com/darknigthmare/deadwall-last-enclosure/blob/e28f46223e73105ab2c5d83f3d50b99b58ef53e6/docs/codex/suivi-monde2026/INSPECTION_PHYSIQUE_2026.md</x:v>
      </x:c>
    </x:row>
    <x:row r="688">
      <x:c r="A688" t="str">
        <x:v>EXT-MONDE-T069/seed</x:v>
      </x:c>
      <x:c r="B688" t="str">
        <x:v>EXT-MONDE-T069</x:v>
      </x:c>
      <x:c r="C688" t="str">
        <x:v>Aéroports</x:v>
      </x:c>
      <x:c r="D688" t="str">
        <x:v>Aérodrome régional</x:v>
      </x:c>
      <x:c r="E688" t="str">
        <x:v>Implantation et réseaux</x:v>
      </x:c>
      <x:c r="F688" t="str">
        <x:v>P0</x:v>
      </x:c>
      <x:c r="G688" t="str">
        <x:v>À faire</x:v>
      </x:c>
      <x:c r="H688" t="str">
        <x:v>Non affecté</x:v>
      </x:c>
      <x:c r="I688" t="str">
        <x:v>Continuité piste-taxiway-apron ; obstacles et bâtiments hors réserves ; grandes emprises non comprimées.</x:v>
      </x:c>
      <x:c r="J688" t="str"/>
    </x:row>
    <x:row r="689">
      <x:c r="A689" t="str">
        <x:v>EXT-MONDE-T069/props</x:v>
      </x:c>
      <x:c r="B689" t="str">
        <x:v>EXT-MONDE-T069</x:v>
      </x:c>
      <x:c r="C689" t="str">
        <x:v>Aéroports</x:v>
      </x:c>
      <x:c r="D689" t="str">
        <x:v>Aérodrome régional</x:v>
      </x:c>
      <x:c r="E689" t="str">
        <x:v>Objets, décors et dégagements</x:v>
      </x:c>
      <x:c r="F689" t="str">
        <x:v>P1</x:v>
      </x:c>
      <x:c r="G689" t="str">
        <x:v>En cours</x:v>
      </x:c>
      <x:c r="H689" t="str">
        <x:v>Production Codex</x:v>
      </x:c>
      <x:c r="I689" t="str">
        <x:v>Livrable explicite, tests positifs et négatifs ; aucune validation déduite de la seule présence de la fiche.</x:v>
      </x:c>
      <x:c r="J689" t="str">
        <x:v>https://github.com/darknigthmare/deadwall-last-enclosure/blob/e28f46223e73105ab2c5d83f3d50b99b58ef53e6/docs/codex/suivi-monde2026/INSPECTION_PHYSIQUE_2026.md</x:v>
      </x:c>
    </x:row>
    <x:row r="690">
      <x:c r="A690" t="str">
        <x:v>EXT-MONDE-T069/loot</x:v>
      </x:c>
      <x:c r="B690" t="str">
        <x:v>EXT-MONDE-T069</x:v>
      </x:c>
      <x:c r="C690" t="str">
        <x:v>Aéroports</x:v>
      </x:c>
      <x:c r="D690" t="str">
        <x:v>Aérodrome régional</x:v>
      </x:c>
      <x:c r="E690" t="str">
        <x:v>Budget de butin persistant</x:v>
      </x:c>
      <x:c r="F690" t="str">
        <x:v>P1</x:v>
      </x:c>
      <x:c r="G690" t="str">
        <x:v>À faire</x:v>
      </x:c>
      <x:c r="H690" t="str">
        <x:v>Non affecté</x:v>
      </x:c>
      <x:c r="I690" t="str">
        <x:v>Livrable explicite, tests positifs et négatifs ; aucune validation déduite de la seule présence de la fiche.</x:v>
      </x:c>
      <x:c r="J690" t="str"/>
    </x:row>
    <x:row r="691">
      <x:c r="A691" t="str">
        <x:v>EXT-MONDE-T069/rencontres</x:v>
      </x:c>
      <x:c r="B691" t="str">
        <x:v>EXT-MONDE-T069</x:v>
      </x:c>
      <x:c r="C691" t="str">
        <x:v>Aéroports</x:v>
      </x:c>
      <x:c r="D691" t="str">
        <x:v>Aérodrome régional</x:v>
      </x:c>
      <x:c r="E691" t="str">
        <x:v>Ennemis et faune contextualisés</x:v>
      </x:c>
      <x:c r="F691" t="str">
        <x:v>P1</x:v>
      </x:c>
      <x:c r="G691" t="str">
        <x:v>À faire</x:v>
      </x:c>
      <x:c r="H691" t="str">
        <x:v>Non affecté</x:v>
      </x:c>
      <x:c r="I691" t="str">
        <x:v>Livrable explicite, tests positifs et négatifs ; aucune validation déduite de la seule présence de la fiche.</x:v>
      </x:c>
      <x:c r="J691" t="str"/>
    </x:row>
    <x:row r="692">
      <x:c r="A692" t="str">
        <x:v>EXT-MONDE-T069/services</x:v>
      </x:c>
      <x:c r="B692" t="str">
        <x:v>EXT-MONDE-T069</x:v>
      </x:c>
      <x:c r="C692" t="str">
        <x:v>Aéroports</x:v>
      </x:c>
      <x:c r="D692" t="str">
        <x:v>Aérodrome régional</x:v>
      </x:c>
      <x:c r="E692" t="str">
        <x:v>Énergie, eau et interactions</x:v>
      </x:c>
      <x:c r="F692" t="str">
        <x:v>P1</x:v>
      </x:c>
      <x:c r="G692" t="str">
        <x:v>À faire</x:v>
      </x:c>
      <x:c r="H692" t="str">
        <x:v>Non affecté</x:v>
      </x:c>
      <x:c r="I692" t="str">
        <x:v>Livrable explicite, tests positifs et négatifs ; aucune validation déduite de la seule présence de la fiche.</x:v>
      </x:c>
      <x:c r="J692" t="str"/>
    </x:row>
    <x:row r="693">
      <x:c r="A693" t="str">
        <x:v>EXT-MONDE-T069/art</x:v>
      </x:c>
      <x:c r="B693" t="str">
        <x:v>EXT-MONDE-T069</x:v>
      </x:c>
      <x:c r="C693" t="str">
        <x:v>Aéroports</x:v>
      </x:c>
      <x:c r="D693" t="str">
        <x:v>Aérodrome régional</x:v>
      </x:c>
      <x:c r="E693" t="str">
        <x:v>Sprites, proportions et animations</x:v>
      </x:c>
      <x:c r="F693" t="str">
        <x:v>P1</x:v>
      </x:c>
      <x:c r="G693" t="str">
        <x:v>À faire</x:v>
      </x:c>
      <x:c r="H693" t="str">
        <x:v>Non affecté</x:v>
      </x:c>
      <x:c r="I693" t="str">
        <x:v>Livrable explicite, tests positifs et négatifs ; aucune validation déduite de la seule présence de la fiche.</x:v>
      </x:c>
      <x:c r="J693" t="str"/>
    </x:row>
    <x:row r="694">
      <x:c r="A694" t="str">
        <x:v>EXT-MONDE-T069/sauvegarde</x:v>
      </x:c>
      <x:c r="B694" t="str">
        <x:v>EXT-MONDE-T069</x:v>
      </x:c>
      <x:c r="C694" t="str">
        <x:v>Aéroports</x:v>
      </x:c>
      <x:c r="D694" t="str">
        <x:v>Aérodrome régional</x:v>
      </x:c>
      <x:c r="E694" t="str">
        <x:v>Identités, migration et reprise</x:v>
      </x:c>
      <x:c r="F694" t="str">
        <x:v>P1</x:v>
      </x:c>
      <x:c r="G694" t="str">
        <x:v>En cours</x:v>
      </x:c>
      <x:c r="H694" t="str">
        <x:v>Production Codex</x:v>
      </x:c>
      <x:c r="I694" t="str">
        <x:v>Livrable explicite, tests positifs et négatifs ; aucune validation déduite de la seule présence de la fiche.</x:v>
      </x:c>
      <x:c r="J694" t="str">
        <x:v>https://github.com/darknigthmare/deadwall-last-enclosure/blob/e28f46223e73105ab2c5d83f3d50b99b58ef53e6/docs/codex/suivi-monde2026/INSPECTION_PHYSIQUE_2026.md</x:v>
      </x:c>
    </x:row>
    <x:row r="695">
      <x:c r="A695" t="str">
        <x:v>EXT-MONDE-T069/qa</x:v>
      </x:c>
      <x:c r="B695" t="str">
        <x:v>EXT-MONDE-T069</x:v>
      </x:c>
      <x:c r="C695" t="str">
        <x:v>Aéroports</x:v>
      </x:c>
      <x:c r="D695" t="str">
        <x:v>Aérodrome régional</x:v>
      </x:c>
      <x:c r="E695" t="str">
        <x:v>Navigation et parcours jouables</x:v>
      </x:c>
      <x:c r="F695" t="str">
        <x:v>P1</x:v>
      </x:c>
      <x:c r="G695" t="str">
        <x:v>En cours</x:v>
      </x:c>
      <x:c r="H695" t="str">
        <x:v>Production Codex</x:v>
      </x:c>
      <x:c r="I695" t="str">
        <x:v>Livrable explicite, tests positifs et négatifs ; aucune validation déduite de la seule présence de la fiche.</x:v>
      </x:c>
      <x:c r="J695" t="str">
        <x:v>https://github.com/darknigthmare/deadwall-last-enclosure/blob/e28f46223e73105ab2c5d83f3d50b99b58ef53e6/docs/codex/suivi-monde2026/INSPECTION_PHYSIQUE_2026.md</x:v>
      </x:c>
    </x:row>
    <x:row r="696">
      <x:c r="A696" t="str">
        <x:v>EXT-MONDE-T070/dimensions</x:v>
      </x:c>
      <x:c r="B696" t="str">
        <x:v>EXT-MONDE-T070</x:v>
      </x:c>
      <x:c r="C696" t="str">
        <x:v>Aéroports</x:v>
      </x:c>
      <x:c r="D696" t="str">
        <x:v>Aéroport international</x:v>
      </x:c>
      <x:c r="E696" t="str">
        <x:v>Dimensions et plans de référence</x:v>
      </x:c>
      <x:c r="F696" t="str">
        <x:v>P0</x:v>
      </x:c>
      <x:c r="G696" t="str">
        <x:v>En cours</x:v>
      </x:c>
      <x:c r="H696" t="str">
        <x:v>Production Codex</x:v>
      </x:c>
      <x:c r="I696" t="str">
        <x:v>Sources publiques identifiées ; unités en mètres ; emprise au sol distincte de la hauteur.</x:v>
      </x:c>
      <x:c r="J696" t="str">
        <x:v>https://github.com/darknigthmare/deadwall-last-enclosure/blob/e28f46223e73105ab2c5d83f3d50b99b58ef53e6/docs/codex/suivi-monde2026/AEROPORTS_RAIL_2026.md</x:v>
      </x:c>
    </x:row>
    <x:row r="697">
      <x:c r="A697" t="str">
        <x:v>EXT-MONDE-T070/architecture</x:v>
      </x:c>
      <x:c r="B697" t="str">
        <x:v>EXT-MONDE-T070</x:v>
      </x:c>
      <x:c r="C697" t="str">
        <x:v>Aéroports</x:v>
      </x:c>
      <x:c r="D697" t="str">
        <x:v>Aéroport international</x:v>
      </x:c>
      <x:c r="E697" t="str">
        <x:v>Pièces, étages, annexes</x:v>
      </x:c>
      <x:c r="F697" t="str">
        <x:v>P0</x:v>
      </x:c>
      <x:c r="G697" t="str">
        <x:v>En cours</x:v>
      </x:c>
      <x:c r="H697" t="str">
        <x:v>Production Codex</x:v>
      </x:c>
      <x:c r="I697" t="str">
        <x:v>Livrable explicite, tests positifs et négatifs ; aucune validation déduite de la seule présence de la fiche.</x:v>
      </x:c>
      <x:c r="J697" t="str">
        <x:v>https://github.com/darknigthmare/deadwall-last-enclosure/blob/e28f46223e73105ab2c5d83f3d50b99b58ef53e6/docs/codex/suivi-monde2026/INSPECTION_PHYSIQUE_2026.md</x:v>
      </x:c>
    </x:row>
    <x:row r="698">
      <x:c r="A698" t="str">
        <x:v>EXT-MONDE-T070/seed</x:v>
      </x:c>
      <x:c r="B698" t="str">
        <x:v>EXT-MONDE-T070</x:v>
      </x:c>
      <x:c r="C698" t="str">
        <x:v>Aéroports</x:v>
      </x:c>
      <x:c r="D698" t="str">
        <x:v>Aéroport international</x:v>
      </x:c>
      <x:c r="E698" t="str">
        <x:v>Implantation et réseaux</x:v>
      </x:c>
      <x:c r="F698" t="str">
        <x:v>P0</x:v>
      </x:c>
      <x:c r="G698" t="str">
        <x:v>À faire</x:v>
      </x:c>
      <x:c r="H698" t="str">
        <x:v>Non affecté</x:v>
      </x:c>
      <x:c r="I698" t="str">
        <x:v>Continuité piste-taxiway-apron ; obstacles et bâtiments hors réserves ; grandes emprises non comprimées.</x:v>
      </x:c>
      <x:c r="J698" t="str"/>
    </x:row>
    <x:row r="699">
      <x:c r="A699" t="str">
        <x:v>EXT-MONDE-T070/props</x:v>
      </x:c>
      <x:c r="B699" t="str">
        <x:v>EXT-MONDE-T070</x:v>
      </x:c>
      <x:c r="C699" t="str">
        <x:v>Aéroports</x:v>
      </x:c>
      <x:c r="D699" t="str">
        <x:v>Aéroport international</x:v>
      </x:c>
      <x:c r="E699" t="str">
        <x:v>Objets, décors et dégagements</x:v>
      </x:c>
      <x:c r="F699" t="str">
        <x:v>P1</x:v>
      </x:c>
      <x:c r="G699" t="str">
        <x:v>En cours</x:v>
      </x:c>
      <x:c r="H699" t="str">
        <x:v>Production Codex</x:v>
      </x:c>
      <x:c r="I699" t="str">
        <x:v>Livrable explicite, tests positifs et négatifs ; aucune validation déduite de la seule présence de la fiche.</x:v>
      </x:c>
      <x:c r="J699" t="str">
        <x:v>https://github.com/darknigthmare/deadwall-last-enclosure/blob/e28f46223e73105ab2c5d83f3d50b99b58ef53e6/docs/codex/suivi-monde2026/INSPECTION_PHYSIQUE_2026.md</x:v>
      </x:c>
    </x:row>
    <x:row r="700">
      <x:c r="A700" t="str">
        <x:v>EXT-MONDE-T070/loot</x:v>
      </x:c>
      <x:c r="B700" t="str">
        <x:v>EXT-MONDE-T070</x:v>
      </x:c>
      <x:c r="C700" t="str">
        <x:v>Aéroports</x:v>
      </x:c>
      <x:c r="D700" t="str">
        <x:v>Aéroport international</x:v>
      </x:c>
      <x:c r="E700" t="str">
        <x:v>Budget de butin persistant</x:v>
      </x:c>
      <x:c r="F700" t="str">
        <x:v>P1</x:v>
      </x:c>
      <x:c r="G700" t="str">
        <x:v>À faire</x:v>
      </x:c>
      <x:c r="H700" t="str">
        <x:v>Non affecté</x:v>
      </x:c>
      <x:c r="I700" t="str">
        <x:v>Livrable explicite, tests positifs et négatifs ; aucune validation déduite de la seule présence de la fiche.</x:v>
      </x:c>
      <x:c r="J700" t="str"/>
    </x:row>
    <x:row r="701">
      <x:c r="A701" t="str">
        <x:v>EXT-MONDE-T070/rencontres</x:v>
      </x:c>
      <x:c r="B701" t="str">
        <x:v>EXT-MONDE-T070</x:v>
      </x:c>
      <x:c r="C701" t="str">
        <x:v>Aéroports</x:v>
      </x:c>
      <x:c r="D701" t="str">
        <x:v>Aéroport international</x:v>
      </x:c>
      <x:c r="E701" t="str">
        <x:v>Ennemis et faune contextualisés</x:v>
      </x:c>
      <x:c r="F701" t="str">
        <x:v>P1</x:v>
      </x:c>
      <x:c r="G701" t="str">
        <x:v>À faire</x:v>
      </x:c>
      <x:c r="H701" t="str">
        <x:v>Non affecté</x:v>
      </x:c>
      <x:c r="I701" t="str">
        <x:v>Livrable explicite, tests positifs et négatifs ; aucune validation déduite de la seule présence de la fiche.</x:v>
      </x:c>
      <x:c r="J701" t="str"/>
    </x:row>
    <x:row r="702">
      <x:c r="A702" t="str">
        <x:v>EXT-MONDE-T070/services</x:v>
      </x:c>
      <x:c r="B702" t="str">
        <x:v>EXT-MONDE-T070</x:v>
      </x:c>
      <x:c r="C702" t="str">
        <x:v>Aéroports</x:v>
      </x:c>
      <x:c r="D702" t="str">
        <x:v>Aéroport international</x:v>
      </x:c>
      <x:c r="E702" t="str">
        <x:v>Énergie, eau et interactions</x:v>
      </x:c>
      <x:c r="F702" t="str">
        <x:v>P1</x:v>
      </x:c>
      <x:c r="G702" t="str">
        <x:v>À faire</x:v>
      </x:c>
      <x:c r="H702" t="str">
        <x:v>Non affecté</x:v>
      </x:c>
      <x:c r="I702" t="str">
        <x:v>Livrable explicite, tests positifs et négatifs ; aucune validation déduite de la seule présence de la fiche.</x:v>
      </x:c>
      <x:c r="J702" t="str"/>
    </x:row>
    <x:row r="703">
      <x:c r="A703" t="str">
        <x:v>EXT-MONDE-T070/art</x:v>
      </x:c>
      <x:c r="B703" t="str">
        <x:v>EXT-MONDE-T070</x:v>
      </x:c>
      <x:c r="C703" t="str">
        <x:v>Aéroports</x:v>
      </x:c>
      <x:c r="D703" t="str">
        <x:v>Aéroport international</x:v>
      </x:c>
      <x:c r="E703" t="str">
        <x:v>Sprites, proportions et animations</x:v>
      </x:c>
      <x:c r="F703" t="str">
        <x:v>P1</x:v>
      </x:c>
      <x:c r="G703" t="str">
        <x:v>À faire</x:v>
      </x:c>
      <x:c r="H703" t="str">
        <x:v>Non affecté</x:v>
      </x:c>
      <x:c r="I703" t="str">
        <x:v>Livrable explicite, tests positifs et négatifs ; aucune validation déduite de la seule présence de la fiche.</x:v>
      </x:c>
      <x:c r="J703" t="str"/>
    </x:row>
    <x:row r="704">
      <x:c r="A704" t="str">
        <x:v>EXT-MONDE-T070/sauvegarde</x:v>
      </x:c>
      <x:c r="B704" t="str">
        <x:v>EXT-MONDE-T070</x:v>
      </x:c>
      <x:c r="C704" t="str">
        <x:v>Aéroports</x:v>
      </x:c>
      <x:c r="D704" t="str">
        <x:v>Aéroport international</x:v>
      </x:c>
      <x:c r="E704" t="str">
        <x:v>Identités, migration et reprise</x:v>
      </x:c>
      <x:c r="F704" t="str">
        <x:v>P1</x:v>
      </x:c>
      <x:c r="G704" t="str">
        <x:v>En cours</x:v>
      </x:c>
      <x:c r="H704" t="str">
        <x:v>Production Codex</x:v>
      </x:c>
      <x:c r="I704" t="str">
        <x:v>Livrable explicite, tests positifs et négatifs ; aucune validation déduite de la seule présence de la fiche.</x:v>
      </x:c>
      <x:c r="J704" t="str">
        <x:v>https://github.com/darknigthmare/deadwall-last-enclosure/blob/e28f46223e73105ab2c5d83f3d50b99b58ef53e6/docs/codex/suivi-monde2026/INSPECTION_PHYSIQUE_2026.md</x:v>
      </x:c>
    </x:row>
    <x:row r="705">
      <x:c r="A705" t="str">
        <x:v>EXT-MONDE-T070/qa</x:v>
      </x:c>
      <x:c r="B705" t="str">
        <x:v>EXT-MONDE-T070</x:v>
      </x:c>
      <x:c r="C705" t="str">
        <x:v>Aéroports</x:v>
      </x:c>
      <x:c r="D705" t="str">
        <x:v>Aéroport international</x:v>
      </x:c>
      <x:c r="E705" t="str">
        <x:v>Navigation et parcours jouables</x:v>
      </x:c>
      <x:c r="F705" t="str">
        <x:v>P1</x:v>
      </x:c>
      <x:c r="G705" t="str">
        <x:v>En cours</x:v>
      </x:c>
      <x:c r="H705" t="str">
        <x:v>Production Codex</x:v>
      </x:c>
      <x:c r="I705" t="str">
        <x:v>Livrable explicite, tests positifs et négatifs ; aucune validation déduite de la seule présence de la fiche.</x:v>
      </x:c>
      <x:c r="J705" t="str">
        <x:v>https://github.com/darknigthmare/deadwall-last-enclosure/blob/e28f46223e73105ab2c5d83f3d50b99b58ef53e6/docs/codex/suivi-monde2026/INSPECTION_PHYSIQUE_2026.md</x:v>
      </x:c>
    </x:row>
    <x:row r="706">
      <x:c r="A706" t="str">
        <x:v>EXT-MONDE-T071/dimensions</x:v>
      </x:c>
      <x:c r="B706" t="str">
        <x:v>EXT-MONDE-T071</x:v>
      </x:c>
      <x:c r="C706" t="str">
        <x:v>Aéroports</x:v>
      </x:c>
      <x:c r="D706" t="str">
        <x:v>Aéroport de fret</x:v>
      </x:c>
      <x:c r="E706" t="str">
        <x:v>Dimensions et plans de référence</x:v>
      </x:c>
      <x:c r="F706" t="str">
        <x:v>P0</x:v>
      </x:c>
      <x:c r="G706" t="str">
        <x:v>En cours</x:v>
      </x:c>
      <x:c r="H706" t="str">
        <x:v>Production Codex</x:v>
      </x:c>
      <x:c r="I706" t="str">
        <x:v>Sources publiques identifiées ; unités en mètres ; emprise au sol distincte de la hauteur.</x:v>
      </x:c>
      <x:c r="J706" t="str">
        <x:v>https://github.com/darknigthmare/deadwall-last-enclosure/blob/e28f46223e73105ab2c5d83f3d50b99b58ef53e6/docs/codex/suivi-monde2026/AEROPORTS_RAIL_2026.md</x:v>
      </x:c>
    </x:row>
    <x:row r="707">
      <x:c r="A707" t="str">
        <x:v>EXT-MONDE-T071/architecture</x:v>
      </x:c>
      <x:c r="B707" t="str">
        <x:v>EXT-MONDE-T071</x:v>
      </x:c>
      <x:c r="C707" t="str">
        <x:v>Aéroports</x:v>
      </x:c>
      <x:c r="D707" t="str">
        <x:v>Aéroport de fret</x:v>
      </x:c>
      <x:c r="E707" t="str">
        <x:v>Pièces, étages, annexes</x:v>
      </x:c>
      <x:c r="F707" t="str">
        <x:v>P0</x:v>
      </x:c>
      <x:c r="G707" t="str">
        <x:v>En cours</x:v>
      </x:c>
      <x:c r="H707" t="str">
        <x:v>Production Codex</x:v>
      </x:c>
      <x:c r="I707" t="str">
        <x:v>Livrable explicite, tests positifs et négatifs ; aucune validation déduite de la seule présence de la fiche.</x:v>
      </x:c>
      <x:c r="J707" t="str">
        <x:v>https://github.com/darknigthmare/deadwall-last-enclosure/blob/e28f46223e73105ab2c5d83f3d50b99b58ef53e6/docs/codex/suivi-monde2026/INSPECTION_PHYSIQUE_2026.md</x:v>
      </x:c>
    </x:row>
    <x:row r="708">
      <x:c r="A708" t="str">
        <x:v>EXT-MONDE-T071/seed</x:v>
      </x:c>
      <x:c r="B708" t="str">
        <x:v>EXT-MONDE-T071</x:v>
      </x:c>
      <x:c r="C708" t="str">
        <x:v>Aéroports</x:v>
      </x:c>
      <x:c r="D708" t="str">
        <x:v>Aéroport de fret</x:v>
      </x:c>
      <x:c r="E708" t="str">
        <x:v>Implantation et réseaux</x:v>
      </x:c>
      <x:c r="F708" t="str">
        <x:v>P0</x:v>
      </x:c>
      <x:c r="G708" t="str">
        <x:v>À faire</x:v>
      </x:c>
      <x:c r="H708" t="str">
        <x:v>Non affecté</x:v>
      </x:c>
      <x:c r="I708" t="str">
        <x:v>Continuité piste-taxiway-apron ; obstacles et bâtiments hors réserves ; grandes emprises non comprimées.</x:v>
      </x:c>
      <x:c r="J708" t="str"/>
    </x:row>
    <x:row r="709">
      <x:c r="A709" t="str">
        <x:v>EXT-MONDE-T071/props</x:v>
      </x:c>
      <x:c r="B709" t="str">
        <x:v>EXT-MONDE-T071</x:v>
      </x:c>
      <x:c r="C709" t="str">
        <x:v>Aéroports</x:v>
      </x:c>
      <x:c r="D709" t="str">
        <x:v>Aéroport de fret</x:v>
      </x:c>
      <x:c r="E709" t="str">
        <x:v>Objets, décors et dégagements</x:v>
      </x:c>
      <x:c r="F709" t="str">
        <x:v>P1</x:v>
      </x:c>
      <x:c r="G709" t="str">
        <x:v>En cours</x:v>
      </x:c>
      <x:c r="H709" t="str">
        <x:v>Production Codex</x:v>
      </x:c>
      <x:c r="I709" t="str">
        <x:v>Livrable explicite, tests positifs et négatifs ; aucune validation déduite de la seule présence de la fiche.</x:v>
      </x:c>
      <x:c r="J709" t="str">
        <x:v>https://github.com/darknigthmare/deadwall-last-enclosure/blob/e28f46223e73105ab2c5d83f3d50b99b58ef53e6/docs/codex/suivi-monde2026/INSPECTION_PHYSIQUE_2026.md</x:v>
      </x:c>
    </x:row>
    <x:row r="710">
      <x:c r="A710" t="str">
        <x:v>EXT-MONDE-T071/loot</x:v>
      </x:c>
      <x:c r="B710" t="str">
        <x:v>EXT-MONDE-T071</x:v>
      </x:c>
      <x:c r="C710" t="str">
        <x:v>Aéroports</x:v>
      </x:c>
      <x:c r="D710" t="str">
        <x:v>Aéroport de fret</x:v>
      </x:c>
      <x:c r="E710" t="str">
        <x:v>Budget de butin persistant</x:v>
      </x:c>
      <x:c r="F710" t="str">
        <x:v>P1</x:v>
      </x:c>
      <x:c r="G710" t="str">
        <x:v>À faire</x:v>
      </x:c>
      <x:c r="H710" t="str">
        <x:v>Non affecté</x:v>
      </x:c>
      <x:c r="I710" t="str">
        <x:v>Livrable explicite, tests positifs et négatifs ; aucune validation déduite de la seule présence de la fiche.</x:v>
      </x:c>
      <x:c r="J710" t="str"/>
    </x:row>
    <x:row r="711">
      <x:c r="A711" t="str">
        <x:v>EXT-MONDE-T071/rencontres</x:v>
      </x:c>
      <x:c r="B711" t="str">
        <x:v>EXT-MONDE-T071</x:v>
      </x:c>
      <x:c r="C711" t="str">
        <x:v>Aéroports</x:v>
      </x:c>
      <x:c r="D711" t="str">
        <x:v>Aéroport de fret</x:v>
      </x:c>
      <x:c r="E711" t="str">
        <x:v>Ennemis et faune contextualisés</x:v>
      </x:c>
      <x:c r="F711" t="str">
        <x:v>P1</x:v>
      </x:c>
      <x:c r="G711" t="str">
        <x:v>À faire</x:v>
      </x:c>
      <x:c r="H711" t="str">
        <x:v>Non affecté</x:v>
      </x:c>
      <x:c r="I711" t="str">
        <x:v>Livrable explicite, tests positifs et négatifs ; aucune validation déduite de la seule présence de la fiche.</x:v>
      </x:c>
      <x:c r="J711" t="str"/>
    </x:row>
    <x:row r="712">
      <x:c r="A712" t="str">
        <x:v>EXT-MONDE-T071/services</x:v>
      </x:c>
      <x:c r="B712" t="str">
        <x:v>EXT-MONDE-T071</x:v>
      </x:c>
      <x:c r="C712" t="str">
        <x:v>Aéroports</x:v>
      </x:c>
      <x:c r="D712" t="str">
        <x:v>Aéroport de fret</x:v>
      </x:c>
      <x:c r="E712" t="str">
        <x:v>Énergie, eau et interactions</x:v>
      </x:c>
      <x:c r="F712" t="str">
        <x:v>P1</x:v>
      </x:c>
      <x:c r="G712" t="str">
        <x:v>À faire</x:v>
      </x:c>
      <x:c r="H712" t="str">
        <x:v>Non affecté</x:v>
      </x:c>
      <x:c r="I712" t="str">
        <x:v>Livrable explicite, tests positifs et négatifs ; aucune validation déduite de la seule présence de la fiche.</x:v>
      </x:c>
      <x:c r="J712" t="str"/>
    </x:row>
    <x:row r="713">
      <x:c r="A713" t="str">
        <x:v>EXT-MONDE-T071/art</x:v>
      </x:c>
      <x:c r="B713" t="str">
        <x:v>EXT-MONDE-T071</x:v>
      </x:c>
      <x:c r="C713" t="str">
        <x:v>Aéroports</x:v>
      </x:c>
      <x:c r="D713" t="str">
        <x:v>Aéroport de fret</x:v>
      </x:c>
      <x:c r="E713" t="str">
        <x:v>Sprites, proportions et animations</x:v>
      </x:c>
      <x:c r="F713" t="str">
        <x:v>P1</x:v>
      </x:c>
      <x:c r="G713" t="str">
        <x:v>À faire</x:v>
      </x:c>
      <x:c r="H713" t="str">
        <x:v>Non affecté</x:v>
      </x:c>
      <x:c r="I713" t="str">
        <x:v>Livrable explicite, tests positifs et négatifs ; aucune validation déduite de la seule présence de la fiche.</x:v>
      </x:c>
      <x:c r="J713" t="str"/>
    </x:row>
    <x:row r="714">
      <x:c r="A714" t="str">
        <x:v>EXT-MONDE-T071/sauvegarde</x:v>
      </x:c>
      <x:c r="B714" t="str">
        <x:v>EXT-MONDE-T071</x:v>
      </x:c>
      <x:c r="C714" t="str">
        <x:v>Aéroports</x:v>
      </x:c>
      <x:c r="D714" t="str">
        <x:v>Aéroport de fret</x:v>
      </x:c>
      <x:c r="E714" t="str">
        <x:v>Identités, migration et reprise</x:v>
      </x:c>
      <x:c r="F714" t="str">
        <x:v>P1</x:v>
      </x:c>
      <x:c r="G714" t="str">
        <x:v>En cours</x:v>
      </x:c>
      <x:c r="H714" t="str">
        <x:v>Production Codex</x:v>
      </x:c>
      <x:c r="I714" t="str">
        <x:v>Livrable explicite, tests positifs et négatifs ; aucune validation déduite de la seule présence de la fiche.</x:v>
      </x:c>
      <x:c r="J714" t="str">
        <x:v>https://github.com/darknigthmare/deadwall-last-enclosure/blob/e28f46223e73105ab2c5d83f3d50b99b58ef53e6/docs/codex/suivi-monde2026/INSPECTION_PHYSIQUE_2026.md</x:v>
      </x:c>
    </x:row>
    <x:row r="715">
      <x:c r="A715" t="str">
        <x:v>EXT-MONDE-T071/qa</x:v>
      </x:c>
      <x:c r="B715" t="str">
        <x:v>EXT-MONDE-T071</x:v>
      </x:c>
      <x:c r="C715" t="str">
        <x:v>Aéroports</x:v>
      </x:c>
      <x:c r="D715" t="str">
        <x:v>Aéroport de fret</x:v>
      </x:c>
      <x:c r="E715" t="str">
        <x:v>Navigation et parcours jouables</x:v>
      </x:c>
      <x:c r="F715" t="str">
        <x:v>P1</x:v>
      </x:c>
      <x:c r="G715" t="str">
        <x:v>En cours</x:v>
      </x:c>
      <x:c r="H715" t="str">
        <x:v>Production Codex</x:v>
      </x:c>
      <x:c r="I715" t="str">
        <x:v>Livrable explicite, tests positifs et négatifs ; aucune validation déduite de la seule présence de la fiche.</x:v>
      </x:c>
      <x:c r="J715" t="str">
        <x:v>https://github.com/darknigthmare/deadwall-last-enclosure/blob/e28f46223e73105ab2c5d83f3d50b99b58ef53e6/docs/codex/suivi-monde2026/INSPECTION_PHYSIQUE_2026.md</x:v>
      </x:c>
    </x:row>
    <x:row r="716">
      <x:c r="A716" t="str">
        <x:v>EXT-MONDE-T072/dimensions</x:v>
      </x:c>
      <x:c r="B716" t="str">
        <x:v>EXT-MONDE-T072</x:v>
      </x:c>
      <x:c r="C716" t="str">
        <x:v>Aéroports</x:v>
      </x:c>
      <x:c r="D716" t="str">
        <x:v>Aérodrome insulaire</x:v>
      </x:c>
      <x:c r="E716" t="str">
        <x:v>Dimensions et plans de référence</x:v>
      </x:c>
      <x:c r="F716" t="str">
        <x:v>P0</x:v>
      </x:c>
      <x:c r="G716" t="str">
        <x:v>En cours</x:v>
      </x:c>
      <x:c r="H716" t="str">
        <x:v>Production Codex</x:v>
      </x:c>
      <x:c r="I716" t="str">
        <x:v>Sources publiques identifiées ; unités en mètres ; emprise au sol distincte de la hauteur.</x:v>
      </x:c>
      <x:c r="J716" t="str">
        <x:v>https://github.com/darknigthmare/deadwall-last-enclosure/blob/e28f46223e73105ab2c5d83f3d50b99b58ef53e6/docs/codex/suivi-monde2026/AEROPORTS_RAIL_2026.md</x:v>
      </x:c>
    </x:row>
    <x:row r="717">
      <x:c r="A717" t="str">
        <x:v>EXT-MONDE-T072/architecture</x:v>
      </x:c>
      <x:c r="B717" t="str">
        <x:v>EXT-MONDE-T072</x:v>
      </x:c>
      <x:c r="C717" t="str">
        <x:v>Aéroports</x:v>
      </x:c>
      <x:c r="D717" t="str">
        <x:v>Aérodrome insulaire</x:v>
      </x:c>
      <x:c r="E717" t="str">
        <x:v>Pièces, étages, annexes</x:v>
      </x:c>
      <x:c r="F717" t="str">
        <x:v>P0</x:v>
      </x:c>
      <x:c r="G717" t="str">
        <x:v>En cours</x:v>
      </x:c>
      <x:c r="H717" t="str">
        <x:v>Production Codex</x:v>
      </x:c>
      <x:c r="I717" t="str">
        <x:v>Livrable explicite, tests positifs et négatifs ; aucune validation déduite de la seule présence de la fiche.</x:v>
      </x:c>
      <x:c r="J717" t="str">
        <x:v>https://github.com/darknigthmare/deadwall-last-enclosure/blob/e28f46223e73105ab2c5d83f3d50b99b58ef53e6/docs/codex/suivi-monde2026/INSPECTION_PHYSIQUE_2026.md</x:v>
      </x:c>
    </x:row>
    <x:row r="718">
      <x:c r="A718" t="str">
        <x:v>EXT-MONDE-T072/seed</x:v>
      </x:c>
      <x:c r="B718" t="str">
        <x:v>EXT-MONDE-T072</x:v>
      </x:c>
      <x:c r="C718" t="str">
        <x:v>Aéroports</x:v>
      </x:c>
      <x:c r="D718" t="str">
        <x:v>Aérodrome insulaire</x:v>
      </x:c>
      <x:c r="E718" t="str">
        <x:v>Implantation et réseaux</x:v>
      </x:c>
      <x:c r="F718" t="str">
        <x:v>P0</x:v>
      </x:c>
      <x:c r="G718" t="str">
        <x:v>À faire</x:v>
      </x:c>
      <x:c r="H718" t="str">
        <x:v>Non affecté</x:v>
      </x:c>
      <x:c r="I718" t="str">
        <x:v>Continuité piste-taxiway-apron ; obstacles et bâtiments hors réserves ; grandes emprises non comprimées.</x:v>
      </x:c>
      <x:c r="J718" t="str"/>
    </x:row>
    <x:row r="719">
      <x:c r="A719" t="str">
        <x:v>EXT-MONDE-T072/props</x:v>
      </x:c>
      <x:c r="B719" t="str">
        <x:v>EXT-MONDE-T072</x:v>
      </x:c>
      <x:c r="C719" t="str">
        <x:v>Aéroports</x:v>
      </x:c>
      <x:c r="D719" t="str">
        <x:v>Aérodrome insulaire</x:v>
      </x:c>
      <x:c r="E719" t="str">
        <x:v>Objets, décors et dégagements</x:v>
      </x:c>
      <x:c r="F719" t="str">
        <x:v>P1</x:v>
      </x:c>
      <x:c r="G719" t="str">
        <x:v>En cours</x:v>
      </x:c>
      <x:c r="H719" t="str">
        <x:v>Production Codex</x:v>
      </x:c>
      <x:c r="I719" t="str">
        <x:v>Livrable explicite, tests positifs et négatifs ; aucune validation déduite de la seule présence de la fiche.</x:v>
      </x:c>
      <x:c r="J719" t="str">
        <x:v>https://github.com/darknigthmare/deadwall-last-enclosure/blob/e28f46223e73105ab2c5d83f3d50b99b58ef53e6/docs/codex/suivi-monde2026/INSPECTION_PHYSIQUE_2026.md</x:v>
      </x:c>
    </x:row>
    <x:row r="720">
      <x:c r="A720" t="str">
        <x:v>EXT-MONDE-T072/loot</x:v>
      </x:c>
      <x:c r="B720" t="str">
        <x:v>EXT-MONDE-T072</x:v>
      </x:c>
      <x:c r="C720" t="str">
        <x:v>Aéroports</x:v>
      </x:c>
      <x:c r="D720" t="str">
        <x:v>Aérodrome insulaire</x:v>
      </x:c>
      <x:c r="E720" t="str">
        <x:v>Budget de butin persistant</x:v>
      </x:c>
      <x:c r="F720" t="str">
        <x:v>P1</x:v>
      </x:c>
      <x:c r="G720" t="str">
        <x:v>À faire</x:v>
      </x:c>
      <x:c r="H720" t="str">
        <x:v>Non affecté</x:v>
      </x:c>
      <x:c r="I720" t="str">
        <x:v>Livrable explicite, tests positifs et négatifs ; aucune validation déduite de la seule présence de la fiche.</x:v>
      </x:c>
      <x:c r="J720" t="str"/>
    </x:row>
    <x:row r="721">
      <x:c r="A721" t="str">
        <x:v>EXT-MONDE-T072/rencontres</x:v>
      </x:c>
      <x:c r="B721" t="str">
        <x:v>EXT-MONDE-T072</x:v>
      </x:c>
      <x:c r="C721" t="str">
        <x:v>Aéroports</x:v>
      </x:c>
      <x:c r="D721" t="str">
        <x:v>Aérodrome insulaire</x:v>
      </x:c>
      <x:c r="E721" t="str">
        <x:v>Ennemis et faune contextualisés</x:v>
      </x:c>
      <x:c r="F721" t="str">
        <x:v>P1</x:v>
      </x:c>
      <x:c r="G721" t="str">
        <x:v>À faire</x:v>
      </x:c>
      <x:c r="H721" t="str">
        <x:v>Non affecté</x:v>
      </x:c>
      <x:c r="I721" t="str">
        <x:v>Livrable explicite, tests positifs et négatifs ; aucune validation déduite de la seule présence de la fiche.</x:v>
      </x:c>
      <x:c r="J721" t="str"/>
    </x:row>
    <x:row r="722">
      <x:c r="A722" t="str">
        <x:v>EXT-MONDE-T072/services</x:v>
      </x:c>
      <x:c r="B722" t="str">
        <x:v>EXT-MONDE-T072</x:v>
      </x:c>
      <x:c r="C722" t="str">
        <x:v>Aéroports</x:v>
      </x:c>
      <x:c r="D722" t="str">
        <x:v>Aérodrome insulaire</x:v>
      </x:c>
      <x:c r="E722" t="str">
        <x:v>Énergie, eau et interactions</x:v>
      </x:c>
      <x:c r="F722" t="str">
        <x:v>P1</x:v>
      </x:c>
      <x:c r="G722" t="str">
        <x:v>À faire</x:v>
      </x:c>
      <x:c r="H722" t="str">
        <x:v>Non affecté</x:v>
      </x:c>
      <x:c r="I722" t="str">
        <x:v>Livrable explicite, tests positifs et négatifs ; aucune validation déduite de la seule présence de la fiche.</x:v>
      </x:c>
      <x:c r="J722" t="str"/>
    </x:row>
    <x:row r="723">
      <x:c r="A723" t="str">
        <x:v>EXT-MONDE-T072/art</x:v>
      </x:c>
      <x:c r="B723" t="str">
        <x:v>EXT-MONDE-T072</x:v>
      </x:c>
      <x:c r="C723" t="str">
        <x:v>Aéroports</x:v>
      </x:c>
      <x:c r="D723" t="str">
        <x:v>Aérodrome insulaire</x:v>
      </x:c>
      <x:c r="E723" t="str">
        <x:v>Sprites, proportions et animations</x:v>
      </x:c>
      <x:c r="F723" t="str">
        <x:v>P1</x:v>
      </x:c>
      <x:c r="G723" t="str">
        <x:v>À faire</x:v>
      </x:c>
      <x:c r="H723" t="str">
        <x:v>Non affecté</x:v>
      </x:c>
      <x:c r="I723" t="str">
        <x:v>Livrable explicite, tests positifs et négatifs ; aucune validation déduite de la seule présence de la fiche.</x:v>
      </x:c>
      <x:c r="J723" t="str"/>
    </x:row>
    <x:row r="724">
      <x:c r="A724" t="str">
        <x:v>EXT-MONDE-T072/sauvegarde</x:v>
      </x:c>
      <x:c r="B724" t="str">
        <x:v>EXT-MONDE-T072</x:v>
      </x:c>
      <x:c r="C724" t="str">
        <x:v>Aéroports</x:v>
      </x:c>
      <x:c r="D724" t="str">
        <x:v>Aérodrome insulaire</x:v>
      </x:c>
      <x:c r="E724" t="str">
        <x:v>Identités, migration et reprise</x:v>
      </x:c>
      <x:c r="F724" t="str">
        <x:v>P1</x:v>
      </x:c>
      <x:c r="G724" t="str">
        <x:v>En cours</x:v>
      </x:c>
      <x:c r="H724" t="str">
        <x:v>Production Codex</x:v>
      </x:c>
      <x:c r="I724" t="str">
        <x:v>Livrable explicite, tests positifs et négatifs ; aucune validation déduite de la seule présence de la fiche.</x:v>
      </x:c>
      <x:c r="J724" t="str">
        <x:v>https://github.com/darknigthmare/deadwall-last-enclosure/blob/e28f46223e73105ab2c5d83f3d50b99b58ef53e6/docs/codex/suivi-monde2026/INSPECTION_PHYSIQUE_2026.md</x:v>
      </x:c>
    </x:row>
    <x:row r="725">
      <x:c r="A725" t="str">
        <x:v>EXT-MONDE-T072/qa</x:v>
      </x:c>
      <x:c r="B725" t="str">
        <x:v>EXT-MONDE-T072</x:v>
      </x:c>
      <x:c r="C725" t="str">
        <x:v>Aéroports</x:v>
      </x:c>
      <x:c r="D725" t="str">
        <x:v>Aérodrome insulaire</x:v>
      </x:c>
      <x:c r="E725" t="str">
        <x:v>Navigation et parcours jouables</x:v>
      </x:c>
      <x:c r="F725" t="str">
        <x:v>P1</x:v>
      </x:c>
      <x:c r="G725" t="str">
        <x:v>En cours</x:v>
      </x:c>
      <x:c r="H725" t="str">
        <x:v>Production Codex</x:v>
      </x:c>
      <x:c r="I725" t="str">
        <x:v>Livrable explicite, tests positifs et négatifs ; aucune validation déduite de la seule présence de la fiche.</x:v>
      </x:c>
      <x:c r="J725" t="str">
        <x:v>https://github.com/darknigthmare/deadwall-last-enclosure/blob/e28f46223e73105ab2c5d83f3d50b99b58ef53e6/docs/codex/suivi-monde2026/INSPECTION_PHYSIQUE_2026.md</x:v>
      </x:c>
    </x:row>
    <x:row r="726">
      <x:c r="A726" t="str">
        <x:v>EXT-MONDE-T073/dimensions</x:v>
      </x:c>
      <x:c r="B726" t="str">
        <x:v>EXT-MONDE-T073</x:v>
      </x:c>
      <x:c r="C726" t="str">
        <x:v>Ferroviaire</x:v>
      </x:c>
      <x:c r="D726" t="str">
        <x:v>Gare de passage</x:v>
      </x:c>
      <x:c r="E726" t="str">
        <x:v>Dimensions et plans de référence</x:v>
      </x:c>
      <x:c r="F726" t="str">
        <x:v>P0</x:v>
      </x:c>
      <x:c r="G726" t="str">
        <x:v>En cours</x:v>
      </x:c>
      <x:c r="H726" t="str">
        <x:v>Production Codex</x:v>
      </x:c>
      <x:c r="I726" t="str">
        <x:v>Sources publiques identifiées ; unités en mètres ; emprise au sol distincte de la hauteur.</x:v>
      </x:c>
      <x:c r="J726" t="str">
        <x:v>https://github.com/darknigthmare/deadwall-last-enclosure/blob/e28f46223e73105ab2c5d83f3d50b99b58ef53e6/docs/codex/suivi-monde2026/AEROPORTS_RAIL_2026.md</x:v>
      </x:c>
    </x:row>
    <x:row r="727">
      <x:c r="A727" t="str">
        <x:v>EXT-MONDE-T073/architecture</x:v>
      </x:c>
      <x:c r="B727" t="str">
        <x:v>EXT-MONDE-T073</x:v>
      </x:c>
      <x:c r="C727" t="str">
        <x:v>Ferroviaire</x:v>
      </x:c>
      <x:c r="D727" t="str">
        <x:v>Gare de passage</x:v>
      </x:c>
      <x:c r="E727" t="str">
        <x:v>Pièces, étages, annexes</x:v>
      </x:c>
      <x:c r="F727" t="str">
        <x:v>P0</x:v>
      </x:c>
      <x:c r="G727" t="str">
        <x:v>En cours</x:v>
      </x:c>
      <x:c r="H727" t="str">
        <x:v>Production Codex</x:v>
      </x:c>
      <x:c r="I727" t="str">
        <x:v>Livrable explicite, tests positifs et négatifs ; aucune validation déduite de la seule présence de la fiche.</x:v>
      </x:c>
      <x:c r="J727" t="str">
        <x:v>https://github.com/darknigthmare/deadwall-last-enclosure/blob/e28f46223e73105ab2c5d83f3d50b99b58ef53e6/docs/codex/suivi-monde2026/INSPECTION_PHYSIQUE_2026.md</x:v>
      </x:c>
    </x:row>
    <x:row r="728">
      <x:c r="A728" t="str">
        <x:v>EXT-MONDE-T073/seed</x:v>
      </x:c>
      <x:c r="B728" t="str">
        <x:v>EXT-MONDE-T073</x:v>
      </x:c>
      <x:c r="C728" t="str">
        <x:v>Ferroviaire</x:v>
      </x:c>
      <x:c r="D728" t="str">
        <x:v>Gare de passage</x:v>
      </x:c>
      <x:c r="E728" t="str">
        <x:v>Implantation et réseaux</x:v>
      </x:c>
      <x:c r="F728" t="str">
        <x:v>P0</x:v>
      </x:c>
      <x:c r="G728" t="str">
        <x:v>À faire</x:v>
      </x:c>
      <x:c r="H728" t="str">
        <x:v>Non affecté</x:v>
      </x:c>
      <x:c r="I728" t="str">
        <x:v>Chaque voie possède destination ou butoir ; aiguilles explicites ; niveau des croisements respecté.</x:v>
      </x:c>
      <x:c r="J728" t="str"/>
    </x:row>
    <x:row r="729">
      <x:c r="A729" t="str">
        <x:v>EXT-MONDE-T073/props</x:v>
      </x:c>
      <x:c r="B729" t="str">
        <x:v>EXT-MONDE-T073</x:v>
      </x:c>
      <x:c r="C729" t="str">
        <x:v>Ferroviaire</x:v>
      </x:c>
      <x:c r="D729" t="str">
        <x:v>Gare de passage</x:v>
      </x:c>
      <x:c r="E729" t="str">
        <x:v>Objets, décors et dégagements</x:v>
      </x:c>
      <x:c r="F729" t="str">
        <x:v>P1</x:v>
      </x:c>
      <x:c r="G729" t="str">
        <x:v>En cours</x:v>
      </x:c>
      <x:c r="H729" t="str">
        <x:v>Production Codex</x:v>
      </x:c>
      <x:c r="I729" t="str">
        <x:v>Livrable explicite, tests positifs et négatifs ; aucune validation déduite de la seule présence de la fiche.</x:v>
      </x:c>
      <x:c r="J729" t="str">
        <x:v>https://github.com/darknigthmare/deadwall-last-enclosure/blob/e28f46223e73105ab2c5d83f3d50b99b58ef53e6/docs/codex/suivi-monde2026/INSPECTION_PHYSIQUE_2026.md</x:v>
      </x:c>
    </x:row>
    <x:row r="730">
      <x:c r="A730" t="str">
        <x:v>EXT-MONDE-T073/loot</x:v>
      </x:c>
      <x:c r="B730" t="str">
        <x:v>EXT-MONDE-T073</x:v>
      </x:c>
      <x:c r="C730" t="str">
        <x:v>Ferroviaire</x:v>
      </x:c>
      <x:c r="D730" t="str">
        <x:v>Gare de passage</x:v>
      </x:c>
      <x:c r="E730" t="str">
        <x:v>Budget de butin persistant</x:v>
      </x:c>
      <x:c r="F730" t="str">
        <x:v>P1</x:v>
      </x:c>
      <x:c r="G730" t="str">
        <x:v>À faire</x:v>
      </x:c>
      <x:c r="H730" t="str">
        <x:v>Non affecté</x:v>
      </x:c>
      <x:c r="I730" t="str">
        <x:v>Livrable explicite, tests positifs et négatifs ; aucune validation déduite de la seule présence de la fiche.</x:v>
      </x:c>
      <x:c r="J730" t="str"/>
    </x:row>
    <x:row r="731">
      <x:c r="A731" t="str">
        <x:v>EXT-MONDE-T073/rencontres</x:v>
      </x:c>
      <x:c r="B731" t="str">
        <x:v>EXT-MONDE-T073</x:v>
      </x:c>
      <x:c r="C731" t="str">
        <x:v>Ferroviaire</x:v>
      </x:c>
      <x:c r="D731" t="str">
        <x:v>Gare de passage</x:v>
      </x:c>
      <x:c r="E731" t="str">
        <x:v>Ennemis et faune contextualisés</x:v>
      </x:c>
      <x:c r="F731" t="str">
        <x:v>P1</x:v>
      </x:c>
      <x:c r="G731" t="str">
        <x:v>À faire</x:v>
      </x:c>
      <x:c r="H731" t="str">
        <x:v>Non affecté</x:v>
      </x:c>
      <x:c r="I731" t="str">
        <x:v>Livrable explicite, tests positifs et négatifs ; aucune validation déduite de la seule présence de la fiche.</x:v>
      </x:c>
      <x:c r="J731" t="str"/>
    </x:row>
    <x:row r="732">
      <x:c r="A732" t="str">
        <x:v>EXT-MONDE-T073/services</x:v>
      </x:c>
      <x:c r="B732" t="str">
        <x:v>EXT-MONDE-T073</x:v>
      </x:c>
      <x:c r="C732" t="str">
        <x:v>Ferroviaire</x:v>
      </x:c>
      <x:c r="D732" t="str">
        <x:v>Gare de passage</x:v>
      </x:c>
      <x:c r="E732" t="str">
        <x:v>Énergie, eau et interactions</x:v>
      </x:c>
      <x:c r="F732" t="str">
        <x:v>P1</x:v>
      </x:c>
      <x:c r="G732" t="str">
        <x:v>À faire</x:v>
      </x:c>
      <x:c r="H732" t="str">
        <x:v>Non affecté</x:v>
      </x:c>
      <x:c r="I732" t="str">
        <x:v>Livrable explicite, tests positifs et négatifs ; aucune validation déduite de la seule présence de la fiche.</x:v>
      </x:c>
      <x:c r="J732" t="str"/>
    </x:row>
    <x:row r="733">
      <x:c r="A733" t="str">
        <x:v>EXT-MONDE-T073/art</x:v>
      </x:c>
      <x:c r="B733" t="str">
        <x:v>EXT-MONDE-T073</x:v>
      </x:c>
      <x:c r="C733" t="str">
        <x:v>Ferroviaire</x:v>
      </x:c>
      <x:c r="D733" t="str">
        <x:v>Gare de passage</x:v>
      </x:c>
      <x:c r="E733" t="str">
        <x:v>Sprites, proportions et animations</x:v>
      </x:c>
      <x:c r="F733" t="str">
        <x:v>P1</x:v>
      </x:c>
      <x:c r="G733" t="str">
        <x:v>À faire</x:v>
      </x:c>
      <x:c r="H733" t="str">
        <x:v>Non affecté</x:v>
      </x:c>
      <x:c r="I733" t="str">
        <x:v>Livrable explicite, tests positifs et négatifs ; aucune validation déduite de la seule présence de la fiche.</x:v>
      </x:c>
      <x:c r="J733" t="str"/>
    </x:row>
    <x:row r="734">
      <x:c r="A734" t="str">
        <x:v>EXT-MONDE-T073/sauvegarde</x:v>
      </x:c>
      <x:c r="B734" t="str">
        <x:v>EXT-MONDE-T073</x:v>
      </x:c>
      <x:c r="C734" t="str">
        <x:v>Ferroviaire</x:v>
      </x:c>
      <x:c r="D734" t="str">
        <x:v>Gare de passage</x:v>
      </x:c>
      <x:c r="E734" t="str">
        <x:v>Identités, migration et reprise</x:v>
      </x:c>
      <x:c r="F734" t="str">
        <x:v>P1</x:v>
      </x:c>
      <x:c r="G734" t="str">
        <x:v>En cours</x:v>
      </x:c>
      <x:c r="H734" t="str">
        <x:v>Production Codex</x:v>
      </x:c>
      <x:c r="I734" t="str">
        <x:v>Livrable explicite, tests positifs et négatifs ; aucune validation déduite de la seule présence de la fiche.</x:v>
      </x:c>
      <x:c r="J734" t="str">
        <x:v>https://github.com/darknigthmare/deadwall-last-enclosure/blob/e28f46223e73105ab2c5d83f3d50b99b58ef53e6/docs/codex/suivi-monde2026/INSPECTION_PHYSIQUE_2026.md</x:v>
      </x:c>
    </x:row>
    <x:row r="735">
      <x:c r="A735" t="str">
        <x:v>EXT-MONDE-T073/qa</x:v>
      </x:c>
      <x:c r="B735" t="str">
        <x:v>EXT-MONDE-T073</x:v>
      </x:c>
      <x:c r="C735" t="str">
        <x:v>Ferroviaire</x:v>
      </x:c>
      <x:c r="D735" t="str">
        <x:v>Gare de passage</x:v>
      </x:c>
      <x:c r="E735" t="str">
        <x:v>Navigation et parcours jouables</x:v>
      </x:c>
      <x:c r="F735" t="str">
        <x:v>P1</x:v>
      </x:c>
      <x:c r="G735" t="str">
        <x:v>En cours</x:v>
      </x:c>
      <x:c r="H735" t="str">
        <x:v>Production Codex</x:v>
      </x:c>
      <x:c r="I735" t="str">
        <x:v>Livrable explicite, tests positifs et négatifs ; aucune validation déduite de la seule présence de la fiche.</x:v>
      </x:c>
      <x:c r="J735" t="str">
        <x:v>https://github.com/darknigthmare/deadwall-last-enclosure/blob/e28f46223e73105ab2c5d83f3d50b99b58ef53e6/docs/codex/suivi-monde2026/INSPECTION_PHYSIQUE_2026.md</x:v>
      </x:c>
    </x:row>
    <x:row r="736">
      <x:c r="A736" t="str">
        <x:v>EXT-MONDE-T074/dimensions</x:v>
      </x:c>
      <x:c r="B736" t="str">
        <x:v>EXT-MONDE-T074</x:v>
      </x:c>
      <x:c r="C736" t="str">
        <x:v>Ferroviaire</x:v>
      </x:c>
      <x:c r="D736" t="str">
        <x:v>Gare terminus</x:v>
      </x:c>
      <x:c r="E736" t="str">
        <x:v>Dimensions et plans de référence</x:v>
      </x:c>
      <x:c r="F736" t="str">
        <x:v>P0</x:v>
      </x:c>
      <x:c r="G736" t="str">
        <x:v>En cours</x:v>
      </x:c>
      <x:c r="H736" t="str">
        <x:v>Production Codex</x:v>
      </x:c>
      <x:c r="I736" t="str">
        <x:v>Sources publiques identifiées ; unités en mètres ; emprise au sol distincte de la hauteur.</x:v>
      </x:c>
      <x:c r="J736" t="str">
        <x:v>https://github.com/darknigthmare/deadwall-last-enclosure/blob/e28f46223e73105ab2c5d83f3d50b99b58ef53e6/docs/codex/suivi-monde2026/AEROPORTS_RAIL_2026.md</x:v>
      </x:c>
    </x:row>
    <x:row r="737">
      <x:c r="A737" t="str">
        <x:v>EXT-MONDE-T074/architecture</x:v>
      </x:c>
      <x:c r="B737" t="str">
        <x:v>EXT-MONDE-T074</x:v>
      </x:c>
      <x:c r="C737" t="str">
        <x:v>Ferroviaire</x:v>
      </x:c>
      <x:c r="D737" t="str">
        <x:v>Gare terminus</x:v>
      </x:c>
      <x:c r="E737" t="str">
        <x:v>Pièces, étages, annexes</x:v>
      </x:c>
      <x:c r="F737" t="str">
        <x:v>P0</x:v>
      </x:c>
      <x:c r="G737" t="str">
        <x:v>En cours</x:v>
      </x:c>
      <x:c r="H737" t="str">
        <x:v>Production Codex</x:v>
      </x:c>
      <x:c r="I737" t="str">
        <x:v>Livrable explicite, tests positifs et négatifs ; aucune validation déduite de la seule présence de la fiche.</x:v>
      </x:c>
      <x:c r="J737" t="str">
        <x:v>https://github.com/darknigthmare/deadwall-last-enclosure/blob/e28f46223e73105ab2c5d83f3d50b99b58ef53e6/docs/codex/suivi-monde2026/INSPECTION_PHYSIQUE_2026.md</x:v>
      </x:c>
    </x:row>
    <x:row r="738">
      <x:c r="A738" t="str">
        <x:v>EXT-MONDE-T074/seed</x:v>
      </x:c>
      <x:c r="B738" t="str">
        <x:v>EXT-MONDE-T074</x:v>
      </x:c>
      <x:c r="C738" t="str">
        <x:v>Ferroviaire</x:v>
      </x:c>
      <x:c r="D738" t="str">
        <x:v>Gare terminus</x:v>
      </x:c>
      <x:c r="E738" t="str">
        <x:v>Implantation et réseaux</x:v>
      </x:c>
      <x:c r="F738" t="str">
        <x:v>P0</x:v>
      </x:c>
      <x:c r="G738" t="str">
        <x:v>À faire</x:v>
      </x:c>
      <x:c r="H738" t="str">
        <x:v>Non affecté</x:v>
      </x:c>
      <x:c r="I738" t="str">
        <x:v>Chaque voie possède destination ou butoir ; aiguilles explicites ; niveau des croisements respecté.</x:v>
      </x:c>
      <x:c r="J738" t="str"/>
    </x:row>
    <x:row r="739">
      <x:c r="A739" t="str">
        <x:v>EXT-MONDE-T074/props</x:v>
      </x:c>
      <x:c r="B739" t="str">
        <x:v>EXT-MONDE-T074</x:v>
      </x:c>
      <x:c r="C739" t="str">
        <x:v>Ferroviaire</x:v>
      </x:c>
      <x:c r="D739" t="str">
        <x:v>Gare terminus</x:v>
      </x:c>
      <x:c r="E739" t="str">
        <x:v>Objets, décors et dégagements</x:v>
      </x:c>
      <x:c r="F739" t="str">
        <x:v>P1</x:v>
      </x:c>
      <x:c r="G739" t="str">
        <x:v>En cours</x:v>
      </x:c>
      <x:c r="H739" t="str">
        <x:v>Production Codex</x:v>
      </x:c>
      <x:c r="I739" t="str">
        <x:v>Livrable explicite, tests positifs et négatifs ; aucune validation déduite de la seule présence de la fiche.</x:v>
      </x:c>
      <x:c r="J739" t="str">
        <x:v>https://github.com/darknigthmare/deadwall-last-enclosure/blob/e28f46223e73105ab2c5d83f3d50b99b58ef53e6/docs/codex/suivi-monde2026/INSPECTION_PHYSIQUE_2026.md</x:v>
      </x:c>
    </x:row>
    <x:row r="740">
      <x:c r="A740" t="str">
        <x:v>EXT-MONDE-T074/loot</x:v>
      </x:c>
      <x:c r="B740" t="str">
        <x:v>EXT-MONDE-T074</x:v>
      </x:c>
      <x:c r="C740" t="str">
        <x:v>Ferroviaire</x:v>
      </x:c>
      <x:c r="D740" t="str">
        <x:v>Gare terminus</x:v>
      </x:c>
      <x:c r="E740" t="str">
        <x:v>Budget de butin persistant</x:v>
      </x:c>
      <x:c r="F740" t="str">
        <x:v>P1</x:v>
      </x:c>
      <x:c r="G740" t="str">
        <x:v>À faire</x:v>
      </x:c>
      <x:c r="H740" t="str">
        <x:v>Non affecté</x:v>
      </x:c>
      <x:c r="I740" t="str">
        <x:v>Livrable explicite, tests positifs et négatifs ; aucune validation déduite de la seule présence de la fiche.</x:v>
      </x:c>
      <x:c r="J740" t="str"/>
    </x:row>
    <x:row r="741">
      <x:c r="A741" t="str">
        <x:v>EXT-MONDE-T074/rencontres</x:v>
      </x:c>
      <x:c r="B741" t="str">
        <x:v>EXT-MONDE-T074</x:v>
      </x:c>
      <x:c r="C741" t="str">
        <x:v>Ferroviaire</x:v>
      </x:c>
      <x:c r="D741" t="str">
        <x:v>Gare terminus</x:v>
      </x:c>
      <x:c r="E741" t="str">
        <x:v>Ennemis et faune contextualisés</x:v>
      </x:c>
      <x:c r="F741" t="str">
        <x:v>P1</x:v>
      </x:c>
      <x:c r="G741" t="str">
        <x:v>À faire</x:v>
      </x:c>
      <x:c r="H741" t="str">
        <x:v>Non affecté</x:v>
      </x:c>
      <x:c r="I741" t="str">
        <x:v>Livrable explicite, tests positifs et négatifs ; aucune validation déduite de la seule présence de la fiche.</x:v>
      </x:c>
      <x:c r="J741" t="str"/>
    </x:row>
    <x:row r="742">
      <x:c r="A742" t="str">
        <x:v>EXT-MONDE-T074/services</x:v>
      </x:c>
      <x:c r="B742" t="str">
        <x:v>EXT-MONDE-T074</x:v>
      </x:c>
      <x:c r="C742" t="str">
        <x:v>Ferroviaire</x:v>
      </x:c>
      <x:c r="D742" t="str">
        <x:v>Gare terminus</x:v>
      </x:c>
      <x:c r="E742" t="str">
        <x:v>Énergie, eau et interactions</x:v>
      </x:c>
      <x:c r="F742" t="str">
        <x:v>P1</x:v>
      </x:c>
      <x:c r="G742" t="str">
        <x:v>À faire</x:v>
      </x:c>
      <x:c r="H742" t="str">
        <x:v>Non affecté</x:v>
      </x:c>
      <x:c r="I742" t="str">
        <x:v>Livrable explicite, tests positifs et négatifs ; aucune validation déduite de la seule présence de la fiche.</x:v>
      </x:c>
      <x:c r="J742" t="str"/>
    </x:row>
    <x:row r="743">
      <x:c r="A743" t="str">
        <x:v>EXT-MONDE-T074/art</x:v>
      </x:c>
      <x:c r="B743" t="str">
        <x:v>EXT-MONDE-T074</x:v>
      </x:c>
      <x:c r="C743" t="str">
        <x:v>Ferroviaire</x:v>
      </x:c>
      <x:c r="D743" t="str">
        <x:v>Gare terminus</x:v>
      </x:c>
      <x:c r="E743" t="str">
        <x:v>Sprites, proportions et animations</x:v>
      </x:c>
      <x:c r="F743" t="str">
        <x:v>P1</x:v>
      </x:c>
      <x:c r="G743" t="str">
        <x:v>À faire</x:v>
      </x:c>
      <x:c r="H743" t="str">
        <x:v>Non affecté</x:v>
      </x:c>
      <x:c r="I743" t="str">
        <x:v>Livrable explicite, tests positifs et négatifs ; aucune validation déduite de la seule présence de la fiche.</x:v>
      </x:c>
      <x:c r="J743" t="str"/>
    </x:row>
    <x:row r="744">
      <x:c r="A744" t="str">
        <x:v>EXT-MONDE-T074/sauvegarde</x:v>
      </x:c>
      <x:c r="B744" t="str">
        <x:v>EXT-MONDE-T074</x:v>
      </x:c>
      <x:c r="C744" t="str">
        <x:v>Ferroviaire</x:v>
      </x:c>
      <x:c r="D744" t="str">
        <x:v>Gare terminus</x:v>
      </x:c>
      <x:c r="E744" t="str">
        <x:v>Identités, migration et reprise</x:v>
      </x:c>
      <x:c r="F744" t="str">
        <x:v>P1</x:v>
      </x:c>
      <x:c r="G744" t="str">
        <x:v>En cours</x:v>
      </x:c>
      <x:c r="H744" t="str">
        <x:v>Production Codex</x:v>
      </x:c>
      <x:c r="I744" t="str">
        <x:v>Livrable explicite, tests positifs et négatifs ; aucune validation déduite de la seule présence de la fiche.</x:v>
      </x:c>
      <x:c r="J744" t="str">
        <x:v>https://github.com/darknigthmare/deadwall-last-enclosure/blob/e28f46223e73105ab2c5d83f3d50b99b58ef53e6/docs/codex/suivi-monde2026/INSPECTION_PHYSIQUE_2026.md</x:v>
      </x:c>
    </x:row>
    <x:row r="745">
      <x:c r="A745" t="str">
        <x:v>EXT-MONDE-T074/qa</x:v>
      </x:c>
      <x:c r="B745" t="str">
        <x:v>EXT-MONDE-T074</x:v>
      </x:c>
      <x:c r="C745" t="str">
        <x:v>Ferroviaire</x:v>
      </x:c>
      <x:c r="D745" t="str">
        <x:v>Gare terminus</x:v>
      </x:c>
      <x:c r="E745" t="str">
        <x:v>Navigation et parcours jouables</x:v>
      </x:c>
      <x:c r="F745" t="str">
        <x:v>P1</x:v>
      </x:c>
      <x:c r="G745" t="str">
        <x:v>En cours</x:v>
      </x:c>
      <x:c r="H745" t="str">
        <x:v>Production Codex</x:v>
      </x:c>
      <x:c r="I745" t="str">
        <x:v>Livrable explicite, tests positifs et négatifs ; aucune validation déduite de la seule présence de la fiche.</x:v>
      </x:c>
      <x:c r="J745" t="str">
        <x:v>https://github.com/darknigthmare/deadwall-last-enclosure/blob/e28f46223e73105ab2c5d83f3d50b99b58ef53e6/docs/codex/suivi-monde2026/INSPECTION_PHYSIQUE_2026.md</x:v>
      </x:c>
    </x:row>
    <x:row r="746">
      <x:c r="A746" t="str">
        <x:v>EXT-MONDE-T075/dimensions</x:v>
      </x:c>
      <x:c r="B746" t="str">
        <x:v>EXT-MONDE-T075</x:v>
      </x:c>
      <x:c r="C746" t="str">
        <x:v>Ferroviaire</x:v>
      </x:c>
      <x:c r="D746" t="str">
        <x:v>Gare de triage</x:v>
      </x:c>
      <x:c r="E746" t="str">
        <x:v>Dimensions et plans de référence</x:v>
      </x:c>
      <x:c r="F746" t="str">
        <x:v>P0</x:v>
      </x:c>
      <x:c r="G746" t="str">
        <x:v>En cours</x:v>
      </x:c>
      <x:c r="H746" t="str">
        <x:v>Production Codex</x:v>
      </x:c>
      <x:c r="I746" t="str">
        <x:v>Sources publiques identifiées ; unités en mètres ; emprise au sol distincte de la hauteur.</x:v>
      </x:c>
      <x:c r="J746" t="str">
        <x:v>https://github.com/darknigthmare/deadwall-last-enclosure/blob/e28f46223e73105ab2c5d83f3d50b99b58ef53e6/docs/codex/suivi-monde2026/AEROPORTS_RAIL_2026.md</x:v>
      </x:c>
    </x:row>
    <x:row r="747">
      <x:c r="A747" t="str">
        <x:v>EXT-MONDE-T075/architecture</x:v>
      </x:c>
      <x:c r="B747" t="str">
        <x:v>EXT-MONDE-T075</x:v>
      </x:c>
      <x:c r="C747" t="str">
        <x:v>Ferroviaire</x:v>
      </x:c>
      <x:c r="D747" t="str">
        <x:v>Gare de triage</x:v>
      </x:c>
      <x:c r="E747" t="str">
        <x:v>Pièces, étages, annexes</x:v>
      </x:c>
      <x:c r="F747" t="str">
        <x:v>P0</x:v>
      </x:c>
      <x:c r="G747" t="str">
        <x:v>En cours</x:v>
      </x:c>
      <x:c r="H747" t="str">
        <x:v>Production Codex</x:v>
      </x:c>
      <x:c r="I747" t="str">
        <x:v>Livrable explicite, tests positifs et négatifs ; aucune validation déduite de la seule présence de la fiche.</x:v>
      </x:c>
      <x:c r="J747" t="str">
        <x:v>https://github.com/darknigthmare/deadwall-last-enclosure/blob/e28f46223e73105ab2c5d83f3d50b99b58ef53e6/docs/codex/suivi-monde2026/INSPECTION_PHYSIQUE_2026.md</x:v>
      </x:c>
    </x:row>
    <x:row r="748">
      <x:c r="A748" t="str">
        <x:v>EXT-MONDE-T075/seed</x:v>
      </x:c>
      <x:c r="B748" t="str">
        <x:v>EXT-MONDE-T075</x:v>
      </x:c>
      <x:c r="C748" t="str">
        <x:v>Ferroviaire</x:v>
      </x:c>
      <x:c r="D748" t="str">
        <x:v>Gare de triage</x:v>
      </x:c>
      <x:c r="E748" t="str">
        <x:v>Implantation et réseaux</x:v>
      </x:c>
      <x:c r="F748" t="str">
        <x:v>P0</x:v>
      </x:c>
      <x:c r="G748" t="str">
        <x:v>À faire</x:v>
      </x:c>
      <x:c r="H748" t="str">
        <x:v>Non affecté</x:v>
      </x:c>
      <x:c r="I748" t="str">
        <x:v>Chaque voie possède destination ou butoir ; aiguilles explicites ; niveau des croisements respecté.</x:v>
      </x:c>
      <x:c r="J748" t="str"/>
    </x:row>
    <x:row r="749">
      <x:c r="A749" t="str">
        <x:v>EXT-MONDE-T075/props</x:v>
      </x:c>
      <x:c r="B749" t="str">
        <x:v>EXT-MONDE-T075</x:v>
      </x:c>
      <x:c r="C749" t="str">
        <x:v>Ferroviaire</x:v>
      </x:c>
      <x:c r="D749" t="str">
        <x:v>Gare de triage</x:v>
      </x:c>
      <x:c r="E749" t="str">
        <x:v>Objets, décors et dégagements</x:v>
      </x:c>
      <x:c r="F749" t="str">
        <x:v>P1</x:v>
      </x:c>
      <x:c r="G749" t="str">
        <x:v>En cours</x:v>
      </x:c>
      <x:c r="H749" t="str">
        <x:v>Production Codex</x:v>
      </x:c>
      <x:c r="I749" t="str">
        <x:v>Livrable explicite, tests positifs et négatifs ; aucune validation déduite de la seule présence de la fiche.</x:v>
      </x:c>
      <x:c r="J749" t="str">
        <x:v>https://github.com/darknigthmare/deadwall-last-enclosure/blob/e28f46223e73105ab2c5d83f3d50b99b58ef53e6/docs/codex/suivi-monde2026/INSPECTION_PHYSIQUE_2026.md</x:v>
      </x:c>
    </x:row>
    <x:row r="750">
      <x:c r="A750" t="str">
        <x:v>EXT-MONDE-T075/loot</x:v>
      </x:c>
      <x:c r="B750" t="str">
        <x:v>EXT-MONDE-T075</x:v>
      </x:c>
      <x:c r="C750" t="str">
        <x:v>Ferroviaire</x:v>
      </x:c>
      <x:c r="D750" t="str">
        <x:v>Gare de triage</x:v>
      </x:c>
      <x:c r="E750" t="str">
        <x:v>Budget de butin persistant</x:v>
      </x:c>
      <x:c r="F750" t="str">
        <x:v>P1</x:v>
      </x:c>
      <x:c r="G750" t="str">
        <x:v>À faire</x:v>
      </x:c>
      <x:c r="H750" t="str">
        <x:v>Non affecté</x:v>
      </x:c>
      <x:c r="I750" t="str">
        <x:v>Livrable explicite, tests positifs et négatifs ; aucune validation déduite de la seule présence de la fiche.</x:v>
      </x:c>
      <x:c r="J750" t="str"/>
    </x:row>
    <x:row r="751">
      <x:c r="A751" t="str">
        <x:v>EXT-MONDE-T075/rencontres</x:v>
      </x:c>
      <x:c r="B751" t="str">
        <x:v>EXT-MONDE-T075</x:v>
      </x:c>
      <x:c r="C751" t="str">
        <x:v>Ferroviaire</x:v>
      </x:c>
      <x:c r="D751" t="str">
        <x:v>Gare de triage</x:v>
      </x:c>
      <x:c r="E751" t="str">
        <x:v>Ennemis et faune contextualisés</x:v>
      </x:c>
      <x:c r="F751" t="str">
        <x:v>P1</x:v>
      </x:c>
      <x:c r="G751" t="str">
        <x:v>À faire</x:v>
      </x:c>
      <x:c r="H751" t="str">
        <x:v>Non affecté</x:v>
      </x:c>
      <x:c r="I751" t="str">
        <x:v>Livrable explicite, tests positifs et négatifs ; aucune validation déduite de la seule présence de la fiche.</x:v>
      </x:c>
      <x:c r="J751" t="str"/>
    </x:row>
    <x:row r="752">
      <x:c r="A752" t="str">
        <x:v>EXT-MONDE-T075/services</x:v>
      </x:c>
      <x:c r="B752" t="str">
        <x:v>EXT-MONDE-T075</x:v>
      </x:c>
      <x:c r="C752" t="str">
        <x:v>Ferroviaire</x:v>
      </x:c>
      <x:c r="D752" t="str">
        <x:v>Gare de triage</x:v>
      </x:c>
      <x:c r="E752" t="str">
        <x:v>Énergie, eau et interactions</x:v>
      </x:c>
      <x:c r="F752" t="str">
        <x:v>P1</x:v>
      </x:c>
      <x:c r="G752" t="str">
        <x:v>À faire</x:v>
      </x:c>
      <x:c r="H752" t="str">
        <x:v>Non affecté</x:v>
      </x:c>
      <x:c r="I752" t="str">
        <x:v>Livrable explicite, tests positifs et négatifs ; aucune validation déduite de la seule présence de la fiche.</x:v>
      </x:c>
      <x:c r="J752" t="str"/>
    </x:row>
    <x:row r="753">
      <x:c r="A753" t="str">
        <x:v>EXT-MONDE-T075/art</x:v>
      </x:c>
      <x:c r="B753" t="str">
        <x:v>EXT-MONDE-T075</x:v>
      </x:c>
      <x:c r="C753" t="str">
        <x:v>Ferroviaire</x:v>
      </x:c>
      <x:c r="D753" t="str">
        <x:v>Gare de triage</x:v>
      </x:c>
      <x:c r="E753" t="str">
        <x:v>Sprites, proportions et animations</x:v>
      </x:c>
      <x:c r="F753" t="str">
        <x:v>P1</x:v>
      </x:c>
      <x:c r="G753" t="str">
        <x:v>À faire</x:v>
      </x:c>
      <x:c r="H753" t="str">
        <x:v>Non affecté</x:v>
      </x:c>
      <x:c r="I753" t="str">
        <x:v>Livrable explicite, tests positifs et négatifs ; aucune validation déduite de la seule présence de la fiche.</x:v>
      </x:c>
      <x:c r="J753" t="str"/>
    </x:row>
    <x:row r="754">
      <x:c r="A754" t="str">
        <x:v>EXT-MONDE-T075/sauvegarde</x:v>
      </x:c>
      <x:c r="B754" t="str">
        <x:v>EXT-MONDE-T075</x:v>
      </x:c>
      <x:c r="C754" t="str">
        <x:v>Ferroviaire</x:v>
      </x:c>
      <x:c r="D754" t="str">
        <x:v>Gare de triage</x:v>
      </x:c>
      <x:c r="E754" t="str">
        <x:v>Identités, migration et reprise</x:v>
      </x:c>
      <x:c r="F754" t="str">
        <x:v>P1</x:v>
      </x:c>
      <x:c r="G754" t="str">
        <x:v>En cours</x:v>
      </x:c>
      <x:c r="H754" t="str">
        <x:v>Production Codex</x:v>
      </x:c>
      <x:c r="I754" t="str">
        <x:v>Livrable explicite, tests positifs et négatifs ; aucune validation déduite de la seule présence de la fiche.</x:v>
      </x:c>
      <x:c r="J754" t="str">
        <x:v>https://github.com/darknigthmare/deadwall-last-enclosure/blob/e28f46223e73105ab2c5d83f3d50b99b58ef53e6/docs/codex/suivi-monde2026/INSPECTION_PHYSIQUE_2026.md</x:v>
      </x:c>
    </x:row>
    <x:row r="755">
      <x:c r="A755" t="str">
        <x:v>EXT-MONDE-T075/qa</x:v>
      </x:c>
      <x:c r="B755" t="str">
        <x:v>EXT-MONDE-T075</x:v>
      </x:c>
      <x:c r="C755" t="str">
        <x:v>Ferroviaire</x:v>
      </x:c>
      <x:c r="D755" t="str">
        <x:v>Gare de triage</x:v>
      </x:c>
      <x:c r="E755" t="str">
        <x:v>Navigation et parcours jouables</x:v>
      </x:c>
      <x:c r="F755" t="str">
        <x:v>P1</x:v>
      </x:c>
      <x:c r="G755" t="str">
        <x:v>En cours</x:v>
      </x:c>
      <x:c r="H755" t="str">
        <x:v>Production Codex</x:v>
      </x:c>
      <x:c r="I755" t="str">
        <x:v>Livrable explicite, tests positifs et négatifs ; aucune validation déduite de la seule présence de la fiche.</x:v>
      </x:c>
      <x:c r="J755" t="str">
        <x:v>https://github.com/darknigthmare/deadwall-last-enclosure/blob/e28f46223e73105ab2c5d83f3d50b99b58ef53e6/docs/codex/suivi-monde2026/INSPECTION_PHYSIQUE_2026.md</x:v>
      </x:c>
    </x:row>
    <x:row r="756">
      <x:c r="A756" t="str">
        <x:v>EXT-MONDE-T076/dimensions</x:v>
      </x:c>
      <x:c r="B756" t="str">
        <x:v>EXT-MONDE-T076</x:v>
      </x:c>
      <x:c r="C756" t="str">
        <x:v>Ferroviaire</x:v>
      </x:c>
      <x:c r="D756" t="str">
        <x:v>Dépôt ferroviaire</x:v>
      </x:c>
      <x:c r="E756" t="str">
        <x:v>Dimensions et plans de référence</x:v>
      </x:c>
      <x:c r="F756" t="str">
        <x:v>P0</x:v>
      </x:c>
      <x:c r="G756" t="str">
        <x:v>En cours</x:v>
      </x:c>
      <x:c r="H756" t="str">
        <x:v>Production Codex</x:v>
      </x:c>
      <x:c r="I756" t="str">
        <x:v>Sources publiques identifiées ; unités en mètres ; emprise au sol distincte de la hauteur.</x:v>
      </x:c>
      <x:c r="J756" t="str">
        <x:v>https://github.com/darknigthmare/deadwall-last-enclosure/blob/e28f46223e73105ab2c5d83f3d50b99b58ef53e6/docs/codex/suivi-monde2026/AEROPORTS_RAIL_2026.md</x:v>
      </x:c>
    </x:row>
    <x:row r="757">
      <x:c r="A757" t="str">
        <x:v>EXT-MONDE-T076/architecture</x:v>
      </x:c>
      <x:c r="B757" t="str">
        <x:v>EXT-MONDE-T076</x:v>
      </x:c>
      <x:c r="C757" t="str">
        <x:v>Ferroviaire</x:v>
      </x:c>
      <x:c r="D757" t="str">
        <x:v>Dépôt ferroviaire</x:v>
      </x:c>
      <x:c r="E757" t="str">
        <x:v>Pièces, étages, annexes</x:v>
      </x:c>
      <x:c r="F757" t="str">
        <x:v>P0</x:v>
      </x:c>
      <x:c r="G757" t="str">
        <x:v>En cours</x:v>
      </x:c>
      <x:c r="H757" t="str">
        <x:v>Production Codex</x:v>
      </x:c>
      <x:c r="I757" t="str">
        <x:v>Livrable explicite, tests positifs et négatifs ; aucune validation déduite de la seule présence de la fiche.</x:v>
      </x:c>
      <x:c r="J757" t="str">
        <x:v>https://github.com/darknigthmare/deadwall-last-enclosure/blob/e28f46223e73105ab2c5d83f3d50b99b58ef53e6/docs/codex/suivi-monde2026/INSPECTION_PHYSIQUE_2026.md</x:v>
      </x:c>
    </x:row>
    <x:row r="758">
      <x:c r="A758" t="str">
        <x:v>EXT-MONDE-T076/seed</x:v>
      </x:c>
      <x:c r="B758" t="str">
        <x:v>EXT-MONDE-T076</x:v>
      </x:c>
      <x:c r="C758" t="str">
        <x:v>Ferroviaire</x:v>
      </x:c>
      <x:c r="D758" t="str">
        <x:v>Dépôt ferroviaire</x:v>
      </x:c>
      <x:c r="E758" t="str">
        <x:v>Implantation et réseaux</x:v>
      </x:c>
      <x:c r="F758" t="str">
        <x:v>P0</x:v>
      </x:c>
      <x:c r="G758" t="str">
        <x:v>À faire</x:v>
      </x:c>
      <x:c r="H758" t="str">
        <x:v>Non affecté</x:v>
      </x:c>
      <x:c r="I758" t="str">
        <x:v>Chaque voie possède destination ou butoir ; aiguilles explicites ; niveau des croisements respecté.</x:v>
      </x:c>
      <x:c r="J758" t="str"/>
    </x:row>
    <x:row r="759">
      <x:c r="A759" t="str">
        <x:v>EXT-MONDE-T076/props</x:v>
      </x:c>
      <x:c r="B759" t="str">
        <x:v>EXT-MONDE-T076</x:v>
      </x:c>
      <x:c r="C759" t="str">
        <x:v>Ferroviaire</x:v>
      </x:c>
      <x:c r="D759" t="str">
        <x:v>Dépôt ferroviaire</x:v>
      </x:c>
      <x:c r="E759" t="str">
        <x:v>Objets, décors et dégagements</x:v>
      </x:c>
      <x:c r="F759" t="str">
        <x:v>P1</x:v>
      </x:c>
      <x:c r="G759" t="str">
        <x:v>En cours</x:v>
      </x:c>
      <x:c r="H759" t="str">
        <x:v>Production Codex</x:v>
      </x:c>
      <x:c r="I759" t="str">
        <x:v>Livrable explicite, tests positifs et négatifs ; aucune validation déduite de la seule présence de la fiche.</x:v>
      </x:c>
      <x:c r="J759" t="str">
        <x:v>https://github.com/darknigthmare/deadwall-last-enclosure/blob/e28f46223e73105ab2c5d83f3d50b99b58ef53e6/docs/codex/suivi-monde2026/INSPECTION_PHYSIQUE_2026.md</x:v>
      </x:c>
    </x:row>
    <x:row r="760">
      <x:c r="A760" t="str">
        <x:v>EXT-MONDE-T076/loot</x:v>
      </x:c>
      <x:c r="B760" t="str">
        <x:v>EXT-MONDE-T076</x:v>
      </x:c>
      <x:c r="C760" t="str">
        <x:v>Ferroviaire</x:v>
      </x:c>
      <x:c r="D760" t="str">
        <x:v>Dépôt ferroviaire</x:v>
      </x:c>
      <x:c r="E760" t="str">
        <x:v>Budget de butin persistant</x:v>
      </x:c>
      <x:c r="F760" t="str">
        <x:v>P1</x:v>
      </x:c>
      <x:c r="G760" t="str">
        <x:v>À faire</x:v>
      </x:c>
      <x:c r="H760" t="str">
        <x:v>Non affecté</x:v>
      </x:c>
      <x:c r="I760" t="str">
        <x:v>Livrable explicite, tests positifs et négatifs ; aucune validation déduite de la seule présence de la fiche.</x:v>
      </x:c>
      <x:c r="J760" t="str"/>
    </x:row>
    <x:row r="761">
      <x:c r="A761" t="str">
        <x:v>EXT-MONDE-T076/rencontres</x:v>
      </x:c>
      <x:c r="B761" t="str">
        <x:v>EXT-MONDE-T076</x:v>
      </x:c>
      <x:c r="C761" t="str">
        <x:v>Ferroviaire</x:v>
      </x:c>
      <x:c r="D761" t="str">
        <x:v>Dépôt ferroviaire</x:v>
      </x:c>
      <x:c r="E761" t="str">
        <x:v>Ennemis et faune contextualisés</x:v>
      </x:c>
      <x:c r="F761" t="str">
        <x:v>P1</x:v>
      </x:c>
      <x:c r="G761" t="str">
        <x:v>À faire</x:v>
      </x:c>
      <x:c r="H761" t="str">
        <x:v>Non affecté</x:v>
      </x:c>
      <x:c r="I761" t="str">
        <x:v>Livrable explicite, tests positifs et négatifs ; aucune validation déduite de la seule présence de la fiche.</x:v>
      </x:c>
      <x:c r="J761" t="str"/>
    </x:row>
    <x:row r="762">
      <x:c r="A762" t="str">
        <x:v>EXT-MONDE-T076/services</x:v>
      </x:c>
      <x:c r="B762" t="str">
        <x:v>EXT-MONDE-T076</x:v>
      </x:c>
      <x:c r="C762" t="str">
        <x:v>Ferroviaire</x:v>
      </x:c>
      <x:c r="D762" t="str">
        <x:v>Dépôt ferroviaire</x:v>
      </x:c>
      <x:c r="E762" t="str">
        <x:v>Énergie, eau et interactions</x:v>
      </x:c>
      <x:c r="F762" t="str">
        <x:v>P1</x:v>
      </x:c>
      <x:c r="G762" t="str">
        <x:v>À faire</x:v>
      </x:c>
      <x:c r="H762" t="str">
        <x:v>Non affecté</x:v>
      </x:c>
      <x:c r="I762" t="str">
        <x:v>Livrable explicite, tests positifs et négatifs ; aucune validation déduite de la seule présence de la fiche.</x:v>
      </x:c>
      <x:c r="J762" t="str"/>
    </x:row>
    <x:row r="763">
      <x:c r="A763" t="str">
        <x:v>EXT-MONDE-T076/art</x:v>
      </x:c>
      <x:c r="B763" t="str">
        <x:v>EXT-MONDE-T076</x:v>
      </x:c>
      <x:c r="C763" t="str">
        <x:v>Ferroviaire</x:v>
      </x:c>
      <x:c r="D763" t="str">
        <x:v>Dépôt ferroviaire</x:v>
      </x:c>
      <x:c r="E763" t="str">
        <x:v>Sprites, proportions et animations</x:v>
      </x:c>
      <x:c r="F763" t="str">
        <x:v>P1</x:v>
      </x:c>
      <x:c r="G763" t="str">
        <x:v>À faire</x:v>
      </x:c>
      <x:c r="H763" t="str">
        <x:v>Non affecté</x:v>
      </x:c>
      <x:c r="I763" t="str">
        <x:v>Livrable explicite, tests positifs et négatifs ; aucune validation déduite de la seule présence de la fiche.</x:v>
      </x:c>
      <x:c r="J763" t="str"/>
    </x:row>
    <x:row r="764">
      <x:c r="A764" t="str">
        <x:v>EXT-MONDE-T076/sauvegarde</x:v>
      </x:c>
      <x:c r="B764" t="str">
        <x:v>EXT-MONDE-T076</x:v>
      </x:c>
      <x:c r="C764" t="str">
        <x:v>Ferroviaire</x:v>
      </x:c>
      <x:c r="D764" t="str">
        <x:v>Dépôt ferroviaire</x:v>
      </x:c>
      <x:c r="E764" t="str">
        <x:v>Identités, migration et reprise</x:v>
      </x:c>
      <x:c r="F764" t="str">
        <x:v>P1</x:v>
      </x:c>
      <x:c r="G764" t="str">
        <x:v>En cours</x:v>
      </x:c>
      <x:c r="H764" t="str">
        <x:v>Production Codex</x:v>
      </x:c>
      <x:c r="I764" t="str">
        <x:v>Livrable explicite, tests positifs et négatifs ; aucune validation déduite de la seule présence de la fiche.</x:v>
      </x:c>
      <x:c r="J764" t="str">
        <x:v>https://github.com/darknigthmare/deadwall-last-enclosure/blob/e28f46223e73105ab2c5d83f3d50b99b58ef53e6/docs/codex/suivi-monde2026/INSPECTION_PHYSIQUE_2026.md</x:v>
      </x:c>
    </x:row>
    <x:row r="765">
      <x:c r="A765" t="str">
        <x:v>EXT-MONDE-T076/qa</x:v>
      </x:c>
      <x:c r="B765" t="str">
        <x:v>EXT-MONDE-T076</x:v>
      </x:c>
      <x:c r="C765" t="str">
        <x:v>Ferroviaire</x:v>
      </x:c>
      <x:c r="D765" t="str">
        <x:v>Dépôt ferroviaire</x:v>
      </x:c>
      <x:c r="E765" t="str">
        <x:v>Navigation et parcours jouables</x:v>
      </x:c>
      <x:c r="F765" t="str">
        <x:v>P1</x:v>
      </x:c>
      <x:c r="G765" t="str">
        <x:v>En cours</x:v>
      </x:c>
      <x:c r="H765" t="str">
        <x:v>Production Codex</x:v>
      </x:c>
      <x:c r="I765" t="str">
        <x:v>Livrable explicite, tests positifs et négatifs ; aucune validation déduite de la seule présence de la fiche.</x:v>
      </x:c>
      <x:c r="J765" t="str">
        <x:v>https://github.com/darknigthmare/deadwall-last-enclosure/blob/e28f46223e73105ab2c5d83f3d50b99b58ef53e6/docs/codex/suivi-monde2026/INSPECTION_PHYSIQUE_2026.md</x:v>
      </x:c>
    </x:row>
    <x:row r="766">
      <x:c r="A766" t="str">
        <x:v>EXT-MONDE-T077/dimensions</x:v>
      </x:c>
      <x:c r="B766" t="str">
        <x:v>EXT-MONDE-T077</x:v>
      </x:c>
      <x:c r="C766" t="str">
        <x:v>Îles</x:v>
      </x:c>
      <x:c r="D766" t="str">
        <x:v>Îlot de phare</x:v>
      </x:c>
      <x:c r="E766" t="str">
        <x:v>Dimensions et plans de référence</x:v>
      </x:c>
      <x:c r="F766" t="str">
        <x:v>P0</x:v>
      </x:c>
      <x:c r="G766" t="str">
        <x:v>En cours</x:v>
      </x:c>
      <x:c r="H766" t="str">
        <x:v>Production Codex</x:v>
      </x:c>
      <x:c r="I766" t="str">
        <x:v>Sources publiques identifiées ; unités en mètres ; emprise au sol distincte de la hauteur.</x:v>
      </x:c>
      <x:c r="J766" t="str">
        <x:v>https://github.com/darknigthmare/deadwall-last-enclosure/blob/e28f46223e73105ab2c5d83f3d50b99b58ef53e6/docs/codex/suivi-monde2026/PORTS_ILES_2026.md</x:v>
      </x:c>
    </x:row>
    <x:row r="767">
      <x:c r="A767" t="str">
        <x:v>EXT-MONDE-T077/architecture</x:v>
      </x:c>
      <x:c r="B767" t="str">
        <x:v>EXT-MONDE-T077</x:v>
      </x:c>
      <x:c r="C767" t="str">
        <x:v>Îles</x:v>
      </x:c>
      <x:c r="D767" t="str">
        <x:v>Îlot de phare</x:v>
      </x:c>
      <x:c r="E767" t="str">
        <x:v>Pièces, étages, annexes</x:v>
      </x:c>
      <x:c r="F767" t="str">
        <x:v>P0</x:v>
      </x:c>
      <x:c r="G767" t="str">
        <x:v>En cours</x:v>
      </x:c>
      <x:c r="H767" t="str">
        <x:v>Production Codex</x:v>
      </x:c>
      <x:c r="I767" t="str">
        <x:v>Livrable explicite, tests positifs et négatifs ; aucune validation déduite de la seule présence de la fiche.</x:v>
      </x:c>
      <x:c r="J767" t="str">
        <x:v>https://github.com/darknigthmare/deadwall-last-enclosure/blob/e28f46223e73105ab2c5d83f3d50b99b58ef53e6/docs/codex/suivi-monde2026/INSPECTION_PHYSIQUE_2026.md</x:v>
      </x:c>
    </x:row>
    <x:row r="768">
      <x:c r="A768" t="str">
        <x:v>EXT-MONDE-T077/seed</x:v>
      </x:c>
      <x:c r="B768" t="str">
        <x:v>EXT-MONDE-T077</x:v>
      </x:c>
      <x:c r="C768" t="str">
        <x:v>Îles</x:v>
      </x:c>
      <x:c r="D768" t="str">
        <x:v>Îlot de phare</x:v>
      </x:c>
      <x:c r="E768" t="str">
        <x:v>Implantation et réseaux</x:v>
      </x:c>
      <x:c r="F768" t="str">
        <x:v>P0</x:v>
      </x:c>
      <x:c r="G768" t="str">
        <x:v>À faire</x:v>
      </x:c>
      <x:c r="H768" t="str">
        <x:v>Non affecté</x:v>
      </x:c>
      <x:c r="I768" t="str">
        <x:v>Taille réelle de l’île et rivage avant bâtiments ; ressources et accès autonomes sans réseaux vers le vide.</x:v>
      </x:c>
      <x:c r="J768" t="str"/>
    </x:row>
    <x:row r="769">
      <x:c r="A769" t="str">
        <x:v>EXT-MONDE-T077/props</x:v>
      </x:c>
      <x:c r="B769" t="str">
        <x:v>EXT-MONDE-T077</x:v>
      </x:c>
      <x:c r="C769" t="str">
        <x:v>Îles</x:v>
      </x:c>
      <x:c r="D769" t="str">
        <x:v>Îlot de phare</x:v>
      </x:c>
      <x:c r="E769" t="str">
        <x:v>Objets, décors et dégagements</x:v>
      </x:c>
      <x:c r="F769" t="str">
        <x:v>P1</x:v>
      </x:c>
      <x:c r="G769" t="str">
        <x:v>En cours</x:v>
      </x:c>
      <x:c r="H769" t="str">
        <x:v>Production Codex</x:v>
      </x:c>
      <x:c r="I769" t="str">
        <x:v>Livrable explicite, tests positifs et négatifs ; aucune validation déduite de la seule présence de la fiche.</x:v>
      </x:c>
      <x:c r="J769" t="str">
        <x:v>https://github.com/darknigthmare/deadwall-last-enclosure/blob/e28f46223e73105ab2c5d83f3d50b99b58ef53e6/docs/codex/suivi-monde2026/INSPECTION_PHYSIQUE_2026.md</x:v>
      </x:c>
    </x:row>
    <x:row r="770">
      <x:c r="A770" t="str">
        <x:v>EXT-MONDE-T077/loot</x:v>
      </x:c>
      <x:c r="B770" t="str">
        <x:v>EXT-MONDE-T077</x:v>
      </x:c>
      <x:c r="C770" t="str">
        <x:v>Îles</x:v>
      </x:c>
      <x:c r="D770" t="str">
        <x:v>Îlot de phare</x:v>
      </x:c>
      <x:c r="E770" t="str">
        <x:v>Budget de butin persistant</x:v>
      </x:c>
      <x:c r="F770" t="str">
        <x:v>P1</x:v>
      </x:c>
      <x:c r="G770" t="str">
        <x:v>À faire</x:v>
      </x:c>
      <x:c r="H770" t="str">
        <x:v>Non affecté</x:v>
      </x:c>
      <x:c r="I770" t="str">
        <x:v>Livrable explicite, tests positifs et négatifs ; aucune validation déduite de la seule présence de la fiche.</x:v>
      </x:c>
      <x:c r="J770" t="str"/>
    </x:row>
    <x:row r="771">
      <x:c r="A771" t="str">
        <x:v>EXT-MONDE-T077/rencontres</x:v>
      </x:c>
      <x:c r="B771" t="str">
        <x:v>EXT-MONDE-T077</x:v>
      </x:c>
      <x:c r="C771" t="str">
        <x:v>Îles</x:v>
      </x:c>
      <x:c r="D771" t="str">
        <x:v>Îlot de phare</x:v>
      </x:c>
      <x:c r="E771" t="str">
        <x:v>Ennemis et faune contextualisés</x:v>
      </x:c>
      <x:c r="F771" t="str">
        <x:v>P1</x:v>
      </x:c>
      <x:c r="G771" t="str">
        <x:v>À faire</x:v>
      </x:c>
      <x:c r="H771" t="str">
        <x:v>Non affecté</x:v>
      </x:c>
      <x:c r="I771" t="str">
        <x:v>Livrable explicite, tests positifs et négatifs ; aucune validation déduite de la seule présence de la fiche.</x:v>
      </x:c>
      <x:c r="J771" t="str"/>
    </x:row>
    <x:row r="772">
      <x:c r="A772" t="str">
        <x:v>EXT-MONDE-T077/services</x:v>
      </x:c>
      <x:c r="B772" t="str">
        <x:v>EXT-MONDE-T077</x:v>
      </x:c>
      <x:c r="C772" t="str">
        <x:v>Îles</x:v>
      </x:c>
      <x:c r="D772" t="str">
        <x:v>Îlot de phare</x:v>
      </x:c>
      <x:c r="E772" t="str">
        <x:v>Énergie, eau et interactions</x:v>
      </x:c>
      <x:c r="F772" t="str">
        <x:v>P1</x:v>
      </x:c>
      <x:c r="G772" t="str">
        <x:v>À faire</x:v>
      </x:c>
      <x:c r="H772" t="str">
        <x:v>Non affecté</x:v>
      </x:c>
      <x:c r="I772" t="str">
        <x:v>Livrable explicite, tests positifs et négatifs ; aucune validation déduite de la seule présence de la fiche.</x:v>
      </x:c>
      <x:c r="J772" t="str"/>
    </x:row>
    <x:row r="773">
      <x:c r="A773" t="str">
        <x:v>EXT-MONDE-T077/art</x:v>
      </x:c>
      <x:c r="B773" t="str">
        <x:v>EXT-MONDE-T077</x:v>
      </x:c>
      <x:c r="C773" t="str">
        <x:v>Îles</x:v>
      </x:c>
      <x:c r="D773" t="str">
        <x:v>Îlot de phare</x:v>
      </x:c>
      <x:c r="E773" t="str">
        <x:v>Sprites, proportions et animations</x:v>
      </x:c>
      <x:c r="F773" t="str">
        <x:v>P1</x:v>
      </x:c>
      <x:c r="G773" t="str">
        <x:v>À faire</x:v>
      </x:c>
      <x:c r="H773" t="str">
        <x:v>Non affecté</x:v>
      </x:c>
      <x:c r="I773" t="str">
        <x:v>Livrable explicite, tests positifs et négatifs ; aucune validation déduite de la seule présence de la fiche.</x:v>
      </x:c>
      <x:c r="J773" t="str"/>
    </x:row>
    <x:row r="774">
      <x:c r="A774" t="str">
        <x:v>EXT-MONDE-T077/sauvegarde</x:v>
      </x:c>
      <x:c r="B774" t="str">
        <x:v>EXT-MONDE-T077</x:v>
      </x:c>
      <x:c r="C774" t="str">
        <x:v>Îles</x:v>
      </x:c>
      <x:c r="D774" t="str">
        <x:v>Îlot de phare</x:v>
      </x:c>
      <x:c r="E774" t="str">
        <x:v>Identités, migration et reprise</x:v>
      </x:c>
      <x:c r="F774" t="str">
        <x:v>P1</x:v>
      </x:c>
      <x:c r="G774" t="str">
        <x:v>En cours</x:v>
      </x:c>
      <x:c r="H774" t="str">
        <x:v>Production Codex</x:v>
      </x:c>
      <x:c r="I774" t="str">
        <x:v>Livrable explicite, tests positifs et négatifs ; aucune validation déduite de la seule présence de la fiche.</x:v>
      </x:c>
      <x:c r="J774" t="str">
        <x:v>https://github.com/darknigthmare/deadwall-last-enclosure/blob/e28f46223e73105ab2c5d83f3d50b99b58ef53e6/docs/codex/suivi-monde2026/INSPECTION_PHYSIQUE_2026.md</x:v>
      </x:c>
    </x:row>
    <x:row r="775">
      <x:c r="A775" t="str">
        <x:v>EXT-MONDE-T077/qa</x:v>
      </x:c>
      <x:c r="B775" t="str">
        <x:v>EXT-MONDE-T077</x:v>
      </x:c>
      <x:c r="C775" t="str">
        <x:v>Îles</x:v>
      </x:c>
      <x:c r="D775" t="str">
        <x:v>Îlot de phare</x:v>
      </x:c>
      <x:c r="E775" t="str">
        <x:v>Navigation et parcours jouables</x:v>
      </x:c>
      <x:c r="F775" t="str">
        <x:v>P1</x:v>
      </x:c>
      <x:c r="G775" t="str">
        <x:v>En cours</x:v>
      </x:c>
      <x:c r="H775" t="str">
        <x:v>Production Codex</x:v>
      </x:c>
      <x:c r="I775" t="str">
        <x:v>Livrable explicite, tests positifs et négatifs ; aucune validation déduite de la seule présence de la fiche.</x:v>
      </x:c>
      <x:c r="J775" t="str">
        <x:v>https://github.com/darknigthmare/deadwall-last-enclosure/blob/e28f46223e73105ab2c5d83f3d50b99b58ef53e6/docs/codex/suivi-monde2026/INSPECTION_PHYSIQUE_2026.md</x:v>
      </x:c>
    </x:row>
    <x:row r="776">
      <x:c r="A776" t="str">
        <x:v>EXT-MONDE-T078/dimensions</x:v>
      </x:c>
      <x:c r="B776" t="str">
        <x:v>EXT-MONDE-T078</x:v>
      </x:c>
      <x:c r="C776" t="str">
        <x:v>Îles</x:v>
      </x:c>
      <x:c r="D776" t="str">
        <x:v>Île agricole habitée</x:v>
      </x:c>
      <x:c r="E776" t="str">
        <x:v>Dimensions et plans de référence</x:v>
      </x:c>
      <x:c r="F776" t="str">
        <x:v>P0</x:v>
      </x:c>
      <x:c r="G776" t="str">
        <x:v>En cours</x:v>
      </x:c>
      <x:c r="H776" t="str">
        <x:v>Production Codex</x:v>
      </x:c>
      <x:c r="I776" t="str">
        <x:v>Sources publiques identifiées ; unités en mètres ; emprise au sol distincte de la hauteur.</x:v>
      </x:c>
      <x:c r="J776" t="str">
        <x:v>https://github.com/darknigthmare/deadwall-last-enclosure/blob/e28f46223e73105ab2c5d83f3d50b99b58ef53e6/docs/codex/suivi-monde2026/PORTS_ILES_2026.md</x:v>
      </x:c>
    </x:row>
    <x:row r="777">
      <x:c r="A777" t="str">
        <x:v>EXT-MONDE-T078/architecture</x:v>
      </x:c>
      <x:c r="B777" t="str">
        <x:v>EXT-MONDE-T078</x:v>
      </x:c>
      <x:c r="C777" t="str">
        <x:v>Îles</x:v>
      </x:c>
      <x:c r="D777" t="str">
        <x:v>Île agricole habitée</x:v>
      </x:c>
      <x:c r="E777" t="str">
        <x:v>Pièces, étages, annexes</x:v>
      </x:c>
      <x:c r="F777" t="str">
        <x:v>P0</x:v>
      </x:c>
      <x:c r="G777" t="str">
        <x:v>En cours</x:v>
      </x:c>
      <x:c r="H777" t="str">
        <x:v>Production Codex</x:v>
      </x:c>
      <x:c r="I777" t="str">
        <x:v>Livrable explicite, tests positifs et négatifs ; aucune validation déduite de la seule présence de la fiche.</x:v>
      </x:c>
      <x:c r="J777" t="str">
        <x:v>https://github.com/darknigthmare/deadwall-last-enclosure/blob/e28f46223e73105ab2c5d83f3d50b99b58ef53e6/docs/codex/suivi-monde2026/INSPECTION_PHYSIQUE_2026.md</x:v>
      </x:c>
    </x:row>
    <x:row r="778">
      <x:c r="A778" t="str">
        <x:v>EXT-MONDE-T078/seed</x:v>
      </x:c>
      <x:c r="B778" t="str">
        <x:v>EXT-MONDE-T078</x:v>
      </x:c>
      <x:c r="C778" t="str">
        <x:v>Îles</x:v>
      </x:c>
      <x:c r="D778" t="str">
        <x:v>Île agricole habitée</x:v>
      </x:c>
      <x:c r="E778" t="str">
        <x:v>Implantation et réseaux</x:v>
      </x:c>
      <x:c r="F778" t="str">
        <x:v>P0</x:v>
      </x:c>
      <x:c r="G778" t="str">
        <x:v>À faire</x:v>
      </x:c>
      <x:c r="H778" t="str">
        <x:v>Non affecté</x:v>
      </x:c>
      <x:c r="I778" t="str">
        <x:v>Taille réelle de l’île et rivage avant bâtiments ; ressources et accès autonomes sans réseaux vers le vide.</x:v>
      </x:c>
      <x:c r="J778" t="str"/>
    </x:row>
    <x:row r="779">
      <x:c r="A779" t="str">
        <x:v>EXT-MONDE-T078/props</x:v>
      </x:c>
      <x:c r="B779" t="str">
        <x:v>EXT-MONDE-T078</x:v>
      </x:c>
      <x:c r="C779" t="str">
        <x:v>Îles</x:v>
      </x:c>
      <x:c r="D779" t="str">
        <x:v>Île agricole habitée</x:v>
      </x:c>
      <x:c r="E779" t="str">
        <x:v>Objets, décors et dégagements</x:v>
      </x:c>
      <x:c r="F779" t="str">
        <x:v>P1</x:v>
      </x:c>
      <x:c r="G779" t="str">
        <x:v>En cours</x:v>
      </x:c>
      <x:c r="H779" t="str">
        <x:v>Production Codex</x:v>
      </x:c>
      <x:c r="I779" t="str">
        <x:v>Livrable explicite, tests positifs et négatifs ; aucune validation déduite de la seule présence de la fiche.</x:v>
      </x:c>
      <x:c r="J779" t="str">
        <x:v>https://github.com/darknigthmare/deadwall-last-enclosure/blob/e28f46223e73105ab2c5d83f3d50b99b58ef53e6/docs/codex/suivi-monde2026/INSPECTION_PHYSIQUE_2026.md</x:v>
      </x:c>
    </x:row>
    <x:row r="780">
      <x:c r="A780" t="str">
        <x:v>EXT-MONDE-T078/loot</x:v>
      </x:c>
      <x:c r="B780" t="str">
        <x:v>EXT-MONDE-T078</x:v>
      </x:c>
      <x:c r="C780" t="str">
        <x:v>Îles</x:v>
      </x:c>
      <x:c r="D780" t="str">
        <x:v>Île agricole habitée</x:v>
      </x:c>
      <x:c r="E780" t="str">
        <x:v>Budget de butin persistant</x:v>
      </x:c>
      <x:c r="F780" t="str">
        <x:v>P1</x:v>
      </x:c>
      <x:c r="G780" t="str">
        <x:v>À faire</x:v>
      </x:c>
      <x:c r="H780" t="str">
        <x:v>Non affecté</x:v>
      </x:c>
      <x:c r="I780" t="str">
        <x:v>Livrable explicite, tests positifs et négatifs ; aucune validation déduite de la seule présence de la fiche.</x:v>
      </x:c>
      <x:c r="J780" t="str"/>
    </x:row>
    <x:row r="781">
      <x:c r="A781" t="str">
        <x:v>EXT-MONDE-T078/rencontres</x:v>
      </x:c>
      <x:c r="B781" t="str">
        <x:v>EXT-MONDE-T078</x:v>
      </x:c>
      <x:c r="C781" t="str">
        <x:v>Îles</x:v>
      </x:c>
      <x:c r="D781" t="str">
        <x:v>Île agricole habitée</x:v>
      </x:c>
      <x:c r="E781" t="str">
        <x:v>Ennemis et faune contextualisés</x:v>
      </x:c>
      <x:c r="F781" t="str">
        <x:v>P1</x:v>
      </x:c>
      <x:c r="G781" t="str">
        <x:v>À faire</x:v>
      </x:c>
      <x:c r="H781" t="str">
        <x:v>Non affecté</x:v>
      </x:c>
      <x:c r="I781" t="str">
        <x:v>Livrable explicite, tests positifs et négatifs ; aucune validation déduite de la seule présence de la fiche.</x:v>
      </x:c>
      <x:c r="J781" t="str"/>
    </x:row>
    <x:row r="782">
      <x:c r="A782" t="str">
        <x:v>EXT-MONDE-T078/services</x:v>
      </x:c>
      <x:c r="B782" t="str">
        <x:v>EXT-MONDE-T078</x:v>
      </x:c>
      <x:c r="C782" t="str">
        <x:v>Îles</x:v>
      </x:c>
      <x:c r="D782" t="str">
        <x:v>Île agricole habitée</x:v>
      </x:c>
      <x:c r="E782" t="str">
        <x:v>Énergie, eau et interactions</x:v>
      </x:c>
      <x:c r="F782" t="str">
        <x:v>P1</x:v>
      </x:c>
      <x:c r="G782" t="str">
        <x:v>À faire</x:v>
      </x:c>
      <x:c r="H782" t="str">
        <x:v>Non affecté</x:v>
      </x:c>
      <x:c r="I782" t="str">
        <x:v>Livrable explicite, tests positifs et négatifs ; aucune validation déduite de la seule présence de la fiche.</x:v>
      </x:c>
      <x:c r="J782" t="str"/>
    </x:row>
    <x:row r="783">
      <x:c r="A783" t="str">
        <x:v>EXT-MONDE-T078/art</x:v>
      </x:c>
      <x:c r="B783" t="str">
        <x:v>EXT-MONDE-T078</x:v>
      </x:c>
      <x:c r="C783" t="str">
        <x:v>Îles</x:v>
      </x:c>
      <x:c r="D783" t="str">
        <x:v>Île agricole habitée</x:v>
      </x:c>
      <x:c r="E783" t="str">
        <x:v>Sprites, proportions et animations</x:v>
      </x:c>
      <x:c r="F783" t="str">
        <x:v>P1</x:v>
      </x:c>
      <x:c r="G783" t="str">
        <x:v>À faire</x:v>
      </x:c>
      <x:c r="H783" t="str">
        <x:v>Non affecté</x:v>
      </x:c>
      <x:c r="I783" t="str">
        <x:v>Livrable explicite, tests positifs et négatifs ; aucune validation déduite de la seule présence de la fiche.</x:v>
      </x:c>
      <x:c r="J783" t="str"/>
    </x:row>
    <x:row r="784">
      <x:c r="A784" t="str">
        <x:v>EXT-MONDE-T078/sauvegarde</x:v>
      </x:c>
      <x:c r="B784" t="str">
        <x:v>EXT-MONDE-T078</x:v>
      </x:c>
      <x:c r="C784" t="str">
        <x:v>Îles</x:v>
      </x:c>
      <x:c r="D784" t="str">
        <x:v>Île agricole habitée</x:v>
      </x:c>
      <x:c r="E784" t="str">
        <x:v>Identités, migration et reprise</x:v>
      </x:c>
      <x:c r="F784" t="str">
        <x:v>P1</x:v>
      </x:c>
      <x:c r="G784" t="str">
        <x:v>En cours</x:v>
      </x:c>
      <x:c r="H784" t="str">
        <x:v>Production Codex</x:v>
      </x:c>
      <x:c r="I784" t="str">
        <x:v>Livrable explicite, tests positifs et négatifs ; aucune validation déduite de la seule présence de la fiche.</x:v>
      </x:c>
      <x:c r="J784" t="str">
        <x:v>https://github.com/darknigthmare/deadwall-last-enclosure/blob/e28f46223e73105ab2c5d83f3d50b99b58ef53e6/docs/codex/suivi-monde2026/INSPECTION_PHYSIQUE_2026.md</x:v>
      </x:c>
    </x:row>
    <x:row r="785">
      <x:c r="A785" t="str">
        <x:v>EXT-MONDE-T078/qa</x:v>
      </x:c>
      <x:c r="B785" t="str">
        <x:v>EXT-MONDE-T078</x:v>
      </x:c>
      <x:c r="C785" t="str">
        <x:v>Îles</x:v>
      </x:c>
      <x:c r="D785" t="str">
        <x:v>Île agricole habitée</x:v>
      </x:c>
      <x:c r="E785" t="str">
        <x:v>Navigation et parcours jouables</x:v>
      </x:c>
      <x:c r="F785" t="str">
        <x:v>P1</x:v>
      </x:c>
      <x:c r="G785" t="str">
        <x:v>En cours</x:v>
      </x:c>
      <x:c r="H785" t="str">
        <x:v>Production Codex</x:v>
      </x:c>
      <x:c r="I785" t="str">
        <x:v>Livrable explicite, tests positifs et négatifs ; aucune validation déduite de la seule présence de la fiche.</x:v>
      </x:c>
      <x:c r="J785" t="str">
        <x:v>https://github.com/darknigthmare/deadwall-last-enclosure/blob/e28f46223e73105ab2c5d83f3d50b99b58ef53e6/docs/codex/suivi-monde2026/INSPECTION_PHYSIQUE_2026.md</x:v>
      </x:c>
    </x:row>
    <x:row r="786">
      <x:c r="A786" t="str">
        <x:v>EXT-MONDE-T079/dimensions</x:v>
      </x:c>
      <x:c r="B786" t="str">
        <x:v>EXT-MONDE-T079</x:v>
      </x:c>
      <x:c r="C786" t="str">
        <x:v>Îles</x:v>
      </x:c>
      <x:c r="D786" t="str">
        <x:v>Île portuaire industrielle</x:v>
      </x:c>
      <x:c r="E786" t="str">
        <x:v>Dimensions et plans de référence</x:v>
      </x:c>
      <x:c r="F786" t="str">
        <x:v>P0</x:v>
      </x:c>
      <x:c r="G786" t="str">
        <x:v>En cours</x:v>
      </x:c>
      <x:c r="H786" t="str">
        <x:v>Production Codex</x:v>
      </x:c>
      <x:c r="I786" t="str">
        <x:v>Sources publiques identifiées ; unités en mètres ; emprise au sol distincte de la hauteur.</x:v>
      </x:c>
      <x:c r="J786" t="str">
        <x:v>https://github.com/darknigthmare/deadwall-last-enclosure/blob/e28f46223e73105ab2c5d83f3d50b99b58ef53e6/docs/codex/suivi-monde2026/PORTS_ILES_2026.md</x:v>
      </x:c>
    </x:row>
    <x:row r="787">
      <x:c r="A787" t="str">
        <x:v>EXT-MONDE-T079/architecture</x:v>
      </x:c>
      <x:c r="B787" t="str">
        <x:v>EXT-MONDE-T079</x:v>
      </x:c>
      <x:c r="C787" t="str">
        <x:v>Îles</x:v>
      </x:c>
      <x:c r="D787" t="str">
        <x:v>Île portuaire industrielle</x:v>
      </x:c>
      <x:c r="E787" t="str">
        <x:v>Pièces, étages, annexes</x:v>
      </x:c>
      <x:c r="F787" t="str">
        <x:v>P0</x:v>
      </x:c>
      <x:c r="G787" t="str">
        <x:v>En cours</x:v>
      </x:c>
      <x:c r="H787" t="str">
        <x:v>Production Codex</x:v>
      </x:c>
      <x:c r="I787" t="str">
        <x:v>Livrable explicite, tests positifs et négatifs ; aucune validation déduite de la seule présence de la fiche.</x:v>
      </x:c>
      <x:c r="J787" t="str">
        <x:v>https://github.com/darknigthmare/deadwall-last-enclosure/blob/e28f46223e73105ab2c5d83f3d50b99b58ef53e6/docs/codex/suivi-monde2026/INSPECTION_PHYSIQUE_2026.md</x:v>
      </x:c>
    </x:row>
    <x:row r="788">
      <x:c r="A788" t="str">
        <x:v>EXT-MONDE-T079/seed</x:v>
      </x:c>
      <x:c r="B788" t="str">
        <x:v>EXT-MONDE-T079</x:v>
      </x:c>
      <x:c r="C788" t="str">
        <x:v>Îles</x:v>
      </x:c>
      <x:c r="D788" t="str">
        <x:v>Île portuaire industrielle</x:v>
      </x:c>
      <x:c r="E788" t="str">
        <x:v>Implantation et réseaux</x:v>
      </x:c>
      <x:c r="F788" t="str">
        <x:v>P0</x:v>
      </x:c>
      <x:c r="G788" t="str">
        <x:v>À faire</x:v>
      </x:c>
      <x:c r="H788" t="str">
        <x:v>Non affecté</x:v>
      </x:c>
      <x:c r="I788" t="str">
        <x:v>Taille réelle de l’île et rivage avant bâtiments ; ressources et accès autonomes sans réseaux vers le vide.</x:v>
      </x:c>
      <x:c r="J788" t="str"/>
    </x:row>
    <x:row r="789">
      <x:c r="A789" t="str">
        <x:v>EXT-MONDE-T079/props</x:v>
      </x:c>
      <x:c r="B789" t="str">
        <x:v>EXT-MONDE-T079</x:v>
      </x:c>
      <x:c r="C789" t="str">
        <x:v>Îles</x:v>
      </x:c>
      <x:c r="D789" t="str">
        <x:v>Île portuaire industrielle</x:v>
      </x:c>
      <x:c r="E789" t="str">
        <x:v>Objets, décors et dégagements</x:v>
      </x:c>
      <x:c r="F789" t="str">
        <x:v>P1</x:v>
      </x:c>
      <x:c r="G789" t="str">
        <x:v>En cours</x:v>
      </x:c>
      <x:c r="H789" t="str">
        <x:v>Production Codex</x:v>
      </x:c>
      <x:c r="I789" t="str">
        <x:v>Livrable explicite, tests positifs et négatifs ; aucune validation déduite de la seule présence de la fiche.</x:v>
      </x:c>
      <x:c r="J789" t="str">
        <x:v>https://github.com/darknigthmare/deadwall-last-enclosure/blob/e28f46223e73105ab2c5d83f3d50b99b58ef53e6/docs/codex/suivi-monde2026/INSPECTION_PHYSIQUE_2026.md</x:v>
      </x:c>
    </x:row>
    <x:row r="790">
      <x:c r="A790" t="str">
        <x:v>EXT-MONDE-T079/loot</x:v>
      </x:c>
      <x:c r="B790" t="str">
        <x:v>EXT-MONDE-T079</x:v>
      </x:c>
      <x:c r="C790" t="str">
        <x:v>Îles</x:v>
      </x:c>
      <x:c r="D790" t="str">
        <x:v>Île portuaire industrielle</x:v>
      </x:c>
      <x:c r="E790" t="str">
        <x:v>Budget de butin persistant</x:v>
      </x:c>
      <x:c r="F790" t="str">
        <x:v>P1</x:v>
      </x:c>
      <x:c r="G790" t="str">
        <x:v>À faire</x:v>
      </x:c>
      <x:c r="H790" t="str">
        <x:v>Non affecté</x:v>
      </x:c>
      <x:c r="I790" t="str">
        <x:v>Livrable explicite, tests positifs et négatifs ; aucune validation déduite de la seule présence de la fiche.</x:v>
      </x:c>
      <x:c r="J790" t="str"/>
    </x:row>
    <x:row r="791">
      <x:c r="A791" t="str">
        <x:v>EXT-MONDE-T079/rencontres</x:v>
      </x:c>
      <x:c r="B791" t="str">
        <x:v>EXT-MONDE-T079</x:v>
      </x:c>
      <x:c r="C791" t="str">
        <x:v>Îles</x:v>
      </x:c>
      <x:c r="D791" t="str">
        <x:v>Île portuaire industrielle</x:v>
      </x:c>
      <x:c r="E791" t="str">
        <x:v>Ennemis et faune contextualisés</x:v>
      </x:c>
      <x:c r="F791" t="str">
        <x:v>P1</x:v>
      </x:c>
      <x:c r="G791" t="str">
        <x:v>À faire</x:v>
      </x:c>
      <x:c r="H791" t="str">
        <x:v>Non affecté</x:v>
      </x:c>
      <x:c r="I791" t="str">
        <x:v>Livrable explicite, tests positifs et négatifs ; aucune validation déduite de la seule présence de la fiche.</x:v>
      </x:c>
      <x:c r="J791" t="str"/>
    </x:row>
    <x:row r="792">
      <x:c r="A792" t="str">
        <x:v>EXT-MONDE-T079/services</x:v>
      </x:c>
      <x:c r="B792" t="str">
        <x:v>EXT-MONDE-T079</x:v>
      </x:c>
      <x:c r="C792" t="str">
        <x:v>Îles</x:v>
      </x:c>
      <x:c r="D792" t="str">
        <x:v>Île portuaire industrielle</x:v>
      </x:c>
      <x:c r="E792" t="str">
        <x:v>Énergie, eau et interactions</x:v>
      </x:c>
      <x:c r="F792" t="str">
        <x:v>P1</x:v>
      </x:c>
      <x:c r="G792" t="str">
        <x:v>À faire</x:v>
      </x:c>
      <x:c r="H792" t="str">
        <x:v>Non affecté</x:v>
      </x:c>
      <x:c r="I792" t="str">
        <x:v>Livrable explicite, tests positifs et négatifs ; aucune validation déduite de la seule présence de la fiche.</x:v>
      </x:c>
      <x:c r="J792" t="str"/>
    </x:row>
    <x:row r="793">
      <x:c r="A793" t="str">
        <x:v>EXT-MONDE-T079/art</x:v>
      </x:c>
      <x:c r="B793" t="str">
        <x:v>EXT-MONDE-T079</x:v>
      </x:c>
      <x:c r="C793" t="str">
        <x:v>Îles</x:v>
      </x:c>
      <x:c r="D793" t="str">
        <x:v>Île portuaire industrielle</x:v>
      </x:c>
      <x:c r="E793" t="str">
        <x:v>Sprites, proportions et animations</x:v>
      </x:c>
      <x:c r="F793" t="str">
        <x:v>P1</x:v>
      </x:c>
      <x:c r="G793" t="str">
        <x:v>À faire</x:v>
      </x:c>
      <x:c r="H793" t="str">
        <x:v>Non affecté</x:v>
      </x:c>
      <x:c r="I793" t="str">
        <x:v>Livrable explicite, tests positifs et négatifs ; aucune validation déduite de la seule présence de la fiche.</x:v>
      </x:c>
      <x:c r="J793" t="str"/>
    </x:row>
    <x:row r="794">
      <x:c r="A794" t="str">
        <x:v>EXT-MONDE-T079/sauvegarde</x:v>
      </x:c>
      <x:c r="B794" t="str">
        <x:v>EXT-MONDE-T079</x:v>
      </x:c>
      <x:c r="C794" t="str">
        <x:v>Îles</x:v>
      </x:c>
      <x:c r="D794" t="str">
        <x:v>Île portuaire industrielle</x:v>
      </x:c>
      <x:c r="E794" t="str">
        <x:v>Identités, migration et reprise</x:v>
      </x:c>
      <x:c r="F794" t="str">
        <x:v>P1</x:v>
      </x:c>
      <x:c r="G794" t="str">
        <x:v>En cours</x:v>
      </x:c>
      <x:c r="H794" t="str">
        <x:v>Production Codex</x:v>
      </x:c>
      <x:c r="I794" t="str">
        <x:v>Livrable explicite, tests positifs et négatifs ; aucune validation déduite de la seule présence de la fiche.</x:v>
      </x:c>
      <x:c r="J794" t="str">
        <x:v>https://github.com/darknigthmare/deadwall-last-enclosure/blob/e28f46223e73105ab2c5d83f3d50b99b58ef53e6/docs/codex/suivi-monde2026/INSPECTION_PHYSIQUE_2026.md</x:v>
      </x:c>
    </x:row>
    <x:row r="795">
      <x:c r="A795" t="str">
        <x:v>EXT-MONDE-T079/qa</x:v>
      </x:c>
      <x:c r="B795" t="str">
        <x:v>EXT-MONDE-T079</x:v>
      </x:c>
      <x:c r="C795" t="str">
        <x:v>Îles</x:v>
      </x:c>
      <x:c r="D795" t="str">
        <x:v>Île portuaire industrielle</x:v>
      </x:c>
      <x:c r="E795" t="str">
        <x:v>Navigation et parcours jouables</x:v>
      </x:c>
      <x:c r="F795" t="str">
        <x:v>P1</x:v>
      </x:c>
      <x:c r="G795" t="str">
        <x:v>En cours</x:v>
      </x:c>
      <x:c r="H795" t="str">
        <x:v>Production Codex</x:v>
      </x:c>
      <x:c r="I795" t="str">
        <x:v>Livrable explicite, tests positifs et négatifs ; aucune validation déduite de la seule présence de la fiche.</x:v>
      </x:c>
      <x:c r="J795" t="str">
        <x:v>https://github.com/darknigthmare/deadwall-last-enclosure/blob/e28f46223e73105ab2c5d83f3d50b99b58ef53e6/docs/codex/suivi-monde2026/INSPECTION_PHYSIQUE_2026.md</x:v>
      </x:c>
    </x:row>
    <x:row r="796">
      <x:c r="A796" t="str">
        <x:v>EXT-MONDE-T080/dimensions</x:v>
      </x:c>
      <x:c r="B796" t="str">
        <x:v>EXT-MONDE-T080</x:v>
      </x:c>
      <x:c r="C796" t="str">
        <x:v>Îles</x:v>
      </x:c>
      <x:c r="D796" t="str">
        <x:v>Grande île mixte</x:v>
      </x:c>
      <x:c r="E796" t="str">
        <x:v>Dimensions et plans de référence</x:v>
      </x:c>
      <x:c r="F796" t="str">
        <x:v>P0</x:v>
      </x:c>
      <x:c r="G796" t="str">
        <x:v>En cours</x:v>
      </x:c>
      <x:c r="H796" t="str">
        <x:v>Production Codex</x:v>
      </x:c>
      <x:c r="I796" t="str">
        <x:v>Sources publiques identifiées ; unités en mètres ; emprise au sol distincte de la hauteur.</x:v>
      </x:c>
      <x:c r="J796" t="str">
        <x:v>https://github.com/darknigthmare/deadwall-last-enclosure/blob/e28f46223e73105ab2c5d83f3d50b99b58ef53e6/docs/codex/suivi-monde2026/PORTS_ILES_2026.md</x:v>
      </x:c>
    </x:row>
    <x:row r="797">
      <x:c r="A797" t="str">
        <x:v>EXT-MONDE-T080/architecture</x:v>
      </x:c>
      <x:c r="B797" t="str">
        <x:v>EXT-MONDE-T080</x:v>
      </x:c>
      <x:c r="C797" t="str">
        <x:v>Îles</x:v>
      </x:c>
      <x:c r="D797" t="str">
        <x:v>Grande île mixte</x:v>
      </x:c>
      <x:c r="E797" t="str">
        <x:v>Pièces, étages, annexes</x:v>
      </x:c>
      <x:c r="F797" t="str">
        <x:v>P0</x:v>
      </x:c>
      <x:c r="G797" t="str">
        <x:v>En cours</x:v>
      </x:c>
      <x:c r="H797" t="str">
        <x:v>Production Codex</x:v>
      </x:c>
      <x:c r="I797" t="str">
        <x:v>Livrable explicite, tests positifs et négatifs ; aucune validation déduite de la seule présence de la fiche.</x:v>
      </x:c>
      <x:c r="J797" t="str">
        <x:v>https://github.com/darknigthmare/deadwall-last-enclosure/blob/e28f46223e73105ab2c5d83f3d50b99b58ef53e6/docs/codex/suivi-monde2026/INSPECTION_PHYSIQUE_2026.md</x:v>
      </x:c>
    </x:row>
    <x:row r="798">
      <x:c r="A798" t="str">
        <x:v>EXT-MONDE-T080/seed</x:v>
      </x:c>
      <x:c r="B798" t="str">
        <x:v>EXT-MONDE-T080</x:v>
      </x:c>
      <x:c r="C798" t="str">
        <x:v>Îles</x:v>
      </x:c>
      <x:c r="D798" t="str">
        <x:v>Grande île mixte</x:v>
      </x:c>
      <x:c r="E798" t="str">
        <x:v>Implantation et réseaux</x:v>
      </x:c>
      <x:c r="F798" t="str">
        <x:v>P0</x:v>
      </x:c>
      <x:c r="G798" t="str">
        <x:v>À faire</x:v>
      </x:c>
      <x:c r="H798" t="str">
        <x:v>Non affecté</x:v>
      </x:c>
      <x:c r="I798" t="str">
        <x:v>Taille réelle de l’île et rivage avant bâtiments ; ressources et accès autonomes sans réseaux vers le vide.</x:v>
      </x:c>
      <x:c r="J798" t="str"/>
    </x:row>
    <x:row r="799">
      <x:c r="A799" t="str">
        <x:v>EXT-MONDE-T080/props</x:v>
      </x:c>
      <x:c r="B799" t="str">
        <x:v>EXT-MONDE-T080</x:v>
      </x:c>
      <x:c r="C799" t="str">
        <x:v>Îles</x:v>
      </x:c>
      <x:c r="D799" t="str">
        <x:v>Grande île mixte</x:v>
      </x:c>
      <x:c r="E799" t="str">
        <x:v>Objets, décors et dégagements</x:v>
      </x:c>
      <x:c r="F799" t="str">
        <x:v>P1</x:v>
      </x:c>
      <x:c r="G799" t="str">
        <x:v>En cours</x:v>
      </x:c>
      <x:c r="H799" t="str">
        <x:v>Production Codex</x:v>
      </x:c>
      <x:c r="I799" t="str">
        <x:v>Livrable explicite, tests positifs et négatifs ; aucune validation déduite de la seule présence de la fiche.</x:v>
      </x:c>
      <x:c r="J799" t="str">
        <x:v>https://github.com/darknigthmare/deadwall-last-enclosure/blob/e28f46223e73105ab2c5d83f3d50b99b58ef53e6/docs/codex/suivi-monde2026/INSPECTION_PHYSIQUE_2026.md</x:v>
      </x:c>
    </x:row>
    <x:row r="800">
      <x:c r="A800" t="str">
        <x:v>EXT-MONDE-T080/loot</x:v>
      </x:c>
      <x:c r="B800" t="str">
        <x:v>EXT-MONDE-T080</x:v>
      </x:c>
      <x:c r="C800" t="str">
        <x:v>Îles</x:v>
      </x:c>
      <x:c r="D800" t="str">
        <x:v>Grande île mixte</x:v>
      </x:c>
      <x:c r="E800" t="str">
        <x:v>Budget de butin persistant</x:v>
      </x:c>
      <x:c r="F800" t="str">
        <x:v>P1</x:v>
      </x:c>
      <x:c r="G800" t="str">
        <x:v>À faire</x:v>
      </x:c>
      <x:c r="H800" t="str">
        <x:v>Non affecté</x:v>
      </x:c>
      <x:c r="I800" t="str">
        <x:v>Livrable explicite, tests positifs et négatifs ; aucune validation déduite de la seule présence de la fiche.</x:v>
      </x:c>
      <x:c r="J800" t="str"/>
    </x:row>
    <x:row r="801">
      <x:c r="A801" t="str">
        <x:v>EXT-MONDE-T080/rencontres</x:v>
      </x:c>
      <x:c r="B801" t="str">
        <x:v>EXT-MONDE-T080</x:v>
      </x:c>
      <x:c r="C801" t="str">
        <x:v>Îles</x:v>
      </x:c>
      <x:c r="D801" t="str">
        <x:v>Grande île mixte</x:v>
      </x:c>
      <x:c r="E801" t="str">
        <x:v>Ennemis et faune contextualisés</x:v>
      </x:c>
      <x:c r="F801" t="str">
        <x:v>P1</x:v>
      </x:c>
      <x:c r="G801" t="str">
        <x:v>À faire</x:v>
      </x:c>
      <x:c r="H801" t="str">
        <x:v>Non affecté</x:v>
      </x:c>
      <x:c r="I801" t="str">
        <x:v>Livrable explicite, tests positifs et négatifs ; aucune validation déduite de la seule présence de la fiche.</x:v>
      </x:c>
      <x:c r="J801" t="str"/>
    </x:row>
    <x:row r="802">
      <x:c r="A802" t="str">
        <x:v>EXT-MONDE-T080/services</x:v>
      </x:c>
      <x:c r="B802" t="str">
        <x:v>EXT-MONDE-T080</x:v>
      </x:c>
      <x:c r="C802" t="str">
        <x:v>Îles</x:v>
      </x:c>
      <x:c r="D802" t="str">
        <x:v>Grande île mixte</x:v>
      </x:c>
      <x:c r="E802" t="str">
        <x:v>Énergie, eau et interactions</x:v>
      </x:c>
      <x:c r="F802" t="str">
        <x:v>P1</x:v>
      </x:c>
      <x:c r="G802" t="str">
        <x:v>À faire</x:v>
      </x:c>
      <x:c r="H802" t="str">
        <x:v>Non affecté</x:v>
      </x:c>
      <x:c r="I802" t="str">
        <x:v>Livrable explicite, tests positifs et négatifs ; aucune validation déduite de la seule présence de la fiche.</x:v>
      </x:c>
      <x:c r="J802" t="str"/>
    </x:row>
    <x:row r="803">
      <x:c r="A803" t="str">
        <x:v>EXT-MONDE-T080/art</x:v>
      </x:c>
      <x:c r="B803" t="str">
        <x:v>EXT-MONDE-T080</x:v>
      </x:c>
      <x:c r="C803" t="str">
        <x:v>Îles</x:v>
      </x:c>
      <x:c r="D803" t="str">
        <x:v>Grande île mixte</x:v>
      </x:c>
      <x:c r="E803" t="str">
        <x:v>Sprites, proportions et animations</x:v>
      </x:c>
      <x:c r="F803" t="str">
        <x:v>P1</x:v>
      </x:c>
      <x:c r="G803" t="str">
        <x:v>À faire</x:v>
      </x:c>
      <x:c r="H803" t="str">
        <x:v>Non affecté</x:v>
      </x:c>
      <x:c r="I803" t="str">
        <x:v>Livrable explicite, tests positifs et négatifs ; aucune validation déduite de la seule présence de la fiche.</x:v>
      </x:c>
      <x:c r="J803" t="str"/>
    </x:row>
    <x:row r="804">
      <x:c r="A804" t="str">
        <x:v>EXT-MONDE-T080/sauvegarde</x:v>
      </x:c>
      <x:c r="B804" t="str">
        <x:v>EXT-MONDE-T080</x:v>
      </x:c>
      <x:c r="C804" t="str">
        <x:v>Îles</x:v>
      </x:c>
      <x:c r="D804" t="str">
        <x:v>Grande île mixte</x:v>
      </x:c>
      <x:c r="E804" t="str">
        <x:v>Identités, migration et reprise</x:v>
      </x:c>
      <x:c r="F804" t="str">
        <x:v>P1</x:v>
      </x:c>
      <x:c r="G804" t="str">
        <x:v>En cours</x:v>
      </x:c>
      <x:c r="H804" t="str">
        <x:v>Production Codex</x:v>
      </x:c>
      <x:c r="I804" t="str">
        <x:v>Livrable explicite, tests positifs et négatifs ; aucune validation déduite de la seule présence de la fiche.</x:v>
      </x:c>
      <x:c r="J804" t="str">
        <x:v>https://github.com/darknigthmare/deadwall-last-enclosure/blob/e28f46223e73105ab2c5d83f3d50b99b58ef53e6/docs/codex/suivi-monde2026/INSPECTION_PHYSIQUE_2026.md</x:v>
      </x:c>
    </x:row>
    <x:row r="805">
      <x:c r="A805" t="str">
        <x:v>EXT-MONDE-T080/qa</x:v>
      </x:c>
      <x:c r="B805" t="str">
        <x:v>EXT-MONDE-T080</x:v>
      </x:c>
      <x:c r="C805" t="str">
        <x:v>Îles</x:v>
      </x:c>
      <x:c r="D805" t="str">
        <x:v>Grande île mixte</x:v>
      </x:c>
      <x:c r="E805" t="str">
        <x:v>Navigation et parcours jouables</x:v>
      </x:c>
      <x:c r="F805" t="str">
        <x:v>P1</x:v>
      </x:c>
      <x:c r="G805" t="str">
        <x:v>En cours</x:v>
      </x:c>
      <x:c r="H805" t="str">
        <x:v>Production Codex</x:v>
      </x:c>
      <x:c r="I805" t="str">
        <x:v>Livrable explicite, tests positifs et négatifs ; aucune validation déduite de la seule présence de la fiche.</x:v>
      </x:c>
      <x:c r="J805" t="str">
        <x:v>https://github.com/darknigthmare/deadwall-last-enclosure/blob/e28f46223e73105ab2c5d83f3d50b99b58ef53e6/docs/codex/suivi-monde2026/INSPECTION_PHYSIQUE_2026.md</x:v>
      </x:c>
    </x:row>
  </x:sheetData>
  <x:mergeCells>
    <x:mergeCell ref="A1:J1"/>
    <x:mergeCell ref="A2:J3"/>
  </x:mergeCells>
  <x:conditionalFormatting sqref="G6:G805">
    <x:cfRule type="expression" dxfId="3" priority="1">
      <x:formula>G6="Validé"</x:formula>
    </x:cfRule>
    <x:cfRule type="expression" dxfId="4" priority="2">
      <x:formula>G6="En cours"</x:formula>
    </x:cfRule>
  </x:conditionalFormatting>
  <x:dataValidations count="2">
    <x:dataValidation type="list" sqref="G6:G805">
      <x:formula1>"À faire,En cours,Bloqué,À vérifier,Validé"</x:formula1>
    </x:dataValidation>
    <x:dataValidation type="list" sqref="F6:F805">
      <x:formula1>"P0,P1,P2"</x:formula1>
    </x:dataValidation>
  </x:dataValidations>
  <x:pageMargins left="0.7" right="0.7" top="0.75" bottom="0.75" header="0.3" footer="0.3"/>
  <x:tableParts count="1">
    <x:tablePart xmlns:r="http://schemas.openxmlformats.org/officeDocument/2006/relationships" r:id="R492162b3dada45d7"/>
  </x:tableParts>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8" hidden="0" customWidth="1"/>
    <x:col min="2" max="2" width="24" hidden="0" customWidth="1"/>
    <x:col min="3" max="3" width="72" hidden="0" customWidth="1"/>
    <x:col min="4" max="4" width="72" hidden="0" customWidth="1"/>
    <x:col min="5" max="5" width="15" hidden="0" customWidth="1"/>
  </x:cols>
  <x:sheetData>
    <x:row r="1" ht="32" customHeight="1">
      <x:c r="A1" s="3" t="str">
        <x:v>09  /  CONTRAINTES DE RÉCEPTION</x:v>
      </x:c>
      <x:c r="B1" s="3"/>
      <x:c r="C1" s="3"/>
      <x:c r="D1" s="3"/>
      <x:c r="E1" s="3"/>
    </x:row>
    <x:row r="2" ht="20" customHeight="1">
      <x:c r="A2" s="9" t="str">
        <x:v>Ces règles cadrent l’extension ; leur inscription ici ne signifie pas qu’elles sont toutes déjà raccordées au moteur.</x:v>
      </x:c>
      <x:c r="B2" s="9"/>
      <x:c r="C2" s="9"/>
      <x:c r="D2" s="9"/>
      <x:c r="E2" s="9"/>
    </x:row>
    <x:row r="3" ht="20" customHeight="1">
      <x:c r="A3" s="9"/>
      <x:c r="B3" s="9"/>
      <x:c r="C3" s="9"/>
      <x:c r="D3" s="9"/>
      <x:c r="E3" s="9"/>
    </x:row>
    <x:row r="5" ht="34" customHeight="1">
      <x:c r="A5" s="112" t="str">
        <x:v>ID</x:v>
      </x:c>
      <x:c r="B5" s="112" t="str">
        <x:v>Domaine</x:v>
      </x:c>
      <x:c r="C5" s="112" t="str">
        <x:v>Règle</x:v>
      </x:c>
      <x:c r="D5" s="112" t="str">
        <x:v>Preuve attendue</x:v>
      </x:c>
      <x:c r="E5" s="112" t="str">
        <x:v>Priorité</x:v>
      </x:c>
    </x:row>
    <x:row r="6" ht="34" customHeight="1">
      <x:c r="A6" s="16" t="str">
        <x:v>MET-01</x:v>
      </x:c>
      <x:c r="B6" s="16" t="str">
        <x:v>Échelle</x:v>
      </x:c>
      <x:c r="C6" s="16" t="str">
        <x:v>Dimensions en mètres ; emprise, hauteur et enveloppe visuelle distinctes.</x:v>
      </x:c>
      <x:c r="D6" s="16" t="str">
        <x:v>Contrat et rendu comparés au joueur dans quatre orientations.</x:v>
      </x:c>
      <x:c r="E6" s="16" t="str">
        <x:v>P0</x:v>
      </x:c>
    </x:row>
    <x:row r="7" ht="34" customHeight="1">
      <x:c r="A7" s="16" t="str">
        <x:v>MET-02</x:v>
      </x:c>
      <x:c r="B7" s="16" t="str">
        <x:v>Échelle</x:v>
      </x:c>
      <x:c r="C7" s="16" t="str">
        <x:v>Aucune dimension générique pour une référence non renseignée.</x:v>
      </x:c>
      <x:c r="D7" s="16" t="str">
        <x:v>Refus ou signalement explicite ; aucune conversion silencieuse.</x:v>
      </x:c>
      <x:c r="E7" s="16" t="str">
        <x:v>P0</x:v>
      </x:c>
    </x:row>
    <x:row r="8" ht="34" customHeight="1">
      <x:c r="A8" s="16" t="str">
        <x:v>MET-03</x:v>
      </x:c>
      <x:c r="B8" s="16" t="str">
        <x:v>Assemblages</x:v>
      </x:c>
      <x:c r="C8" s="16" t="str">
        <x:v>Enfants, clôtures, accessoires et stationnements dans leur réserve tournée.</x:v>
      </x:c>
      <x:c r="D8" s="16" t="str">
        <x:v>Contrôle des rectangles orientés et des espaces de service.</x:v>
      </x:c>
      <x:c r="E8" s="16" t="str">
        <x:v>P0</x:v>
      </x:c>
    </x:row>
    <x:row r="9" ht="34" customHeight="1">
      <x:c r="A9" s="16" t="str">
        <x:v>MET-04</x:v>
      </x:c>
      <x:c r="B9" s="16" t="str">
        <x:v>Assemblages</x:v>
      </x:c>
      <x:c r="C9" s="16" t="str">
        <x:v>Pas de compression d’un port, aéroport ou île dans une parcelle de maison.</x:v>
      </x:c>
      <x:c r="D9" s="16" t="str">
        <x:v>Réservation de plusieurs secteurs et coutures stables.</x:v>
      </x:c>
      <x:c r="E9" s="16" t="str">
        <x:v>P0</x:v>
      </x:c>
    </x:row>
    <x:row r="10" ht="34" customHeight="1">
      <x:c r="A10" s="16" t="str">
        <x:v>ROAD-01</x:v>
      </x:c>
      <x:c r="B10" s="16" t="str">
        <x:v>Routes</x:v>
      </x:c>
      <x:c r="C10" s="16" t="str">
        <x:v>Une desserte rejoint la première chaussée autorisée sans en traverser une autre.</x:v>
      </x:c>
      <x:c r="D10" s="16" t="str">
        <x:v>Test de largeur complète, accotements et extrémités.</x:v>
      </x:c>
      <x:c r="E10" s="16" t="str">
        <x:v>P0</x:v>
      </x:c>
    </x:row>
    <x:row r="11" ht="34" customHeight="1">
      <x:c r="A11" s="16" t="str">
        <x:v>ROAD-02</x:v>
      </x:c>
      <x:c r="B11" s="16" t="str">
        <x:v>Routes</x:v>
      </x:c>
      <x:c r="C11" s="16" t="str">
        <x:v>Autoroute vers voirie locale par transitions ou échangeur explicites.</x:v>
      </x:c>
      <x:c r="D11" s="16" t="str">
        <x:v>Graphe des catégories sans changement brutal non justifié.</x:v>
      </x:c>
      <x:c r="E11" s="16" t="str">
        <x:v>P0</x:v>
      </x:c>
    </x:row>
    <x:row r="12" ht="34" customHeight="1">
      <x:c r="A12" s="16" t="str">
        <x:v>ROAD-03</x:v>
      </x:c>
      <x:c r="B12" s="16" t="str">
        <x:v>Routes</x:v>
      </x:c>
      <x:c r="C12" s="16" t="str">
        <x:v>Réseau logique, surface visible et guidage partagent le même raccord.</x:v>
      </x:c>
      <x:c r="D12" s="16" t="str">
        <x:v>Comparaison géométrique et trajet aller-retour.</x:v>
      </x:c>
      <x:c r="E12" s="16" t="str">
        <x:v>P0</x:v>
      </x:c>
    </x:row>
    <x:row r="13" ht="34" customHeight="1">
      <x:c r="A13" s="16" t="str">
        <x:v>RAIL-01</x:v>
      </x:c>
      <x:c r="B13" s="16" t="str">
        <x:v>Rail</x:v>
      </x:c>
      <x:c r="C13" s="16" t="str">
        <x:v>Chaque voie possède une destination, un butoir ou une rupture justifiée.</x:v>
      </x:c>
      <x:c r="D13" s="16" t="str">
        <x:v>Tous les terminaux et degrés du graphe sont contrôlés.</x:v>
      </x:c>
      <x:c r="E13" s="16" t="str">
        <x:v>P0</x:v>
      </x:c>
    </x:row>
    <x:row r="14" ht="34" customHeight="1">
      <x:c r="A14" s="16" t="str">
        <x:v>RAIL-02</x:v>
      </x:c>
      <x:c r="B14" s="16" t="str">
        <x:v>Rail</x:v>
      </x:c>
      <x:c r="C14" s="16" t="str">
        <x:v>Aiguillage = nœud explicite ; croisement à un autre niveau ≠ jonction.</x:v>
      </x:c>
      <x:c r="D14" s="16" t="str">
        <x:v>Tests de changement de niveau et d’aiguilles fermées.</x:v>
      </x:c>
      <x:c r="E14" s="16" t="str">
        <x:v>P0</x:v>
      </x:c>
    </x:row>
    <x:row r="15" ht="34" customHeight="1">
      <x:c r="A15" s="16" t="str">
        <x:v>RAIL-03</x:v>
      </x:c>
      <x:c r="B15" s="16" t="str">
        <x:v>Rail</x:v>
      </x:c>
      <x:c r="C15" s="16" t="str">
        <x:v>Gare, quai, dépôt et triage raccordés au réseau de la même graine.</x:v>
      </x:c>
      <x:c r="D15" s="16" t="str">
        <x:v>Pas de décor ferroviaire crédité comme réseau fonctionnel.</x:v>
      </x:c>
      <x:c r="E15" s="16" t="str">
        <x:v>P0</x:v>
      </x:c>
    </x:row>
    <x:row r="16" ht="34" customHeight="1">
      <x:c r="A16" s="16" t="str">
        <x:v>LEVEL-01</x:v>
      </x:c>
      <x:c r="B16" s="16" t="str">
        <x:v>Niveaux</x:v>
      </x:c>
      <x:c r="C16" s="16" t="str">
        <x:v>Passer sous un pont sans être téléporté sur le tablier.</x:v>
      </x:c>
      <x:c r="D16" s="16" t="str">
        <x:v>Volumes par altitude et transitions explicites.</x:v>
      </x:c>
      <x:c r="E16" s="16" t="str">
        <x:v>P0</x:v>
      </x:c>
    </x:row>
    <x:row r="17" ht="34" customHeight="1">
      <x:c r="A17" s="16" t="str">
        <x:v>LEVEL-02</x:v>
      </x:c>
      <x:c r="B17" s="16" t="str">
        <x:v>Niveaux</x:v>
      </x:c>
      <x:c r="C17" s="16" t="str">
        <x:v>Escaliers, paliers, sous-sols et étages continus.</x:v>
      </x:c>
      <x:c r="D17" s="16" t="str">
        <x:v>Parcours du rayon réel du joueur dans les deux sens.</x:v>
      </x:c>
      <x:c r="E17" s="16" t="str">
        <x:v>P0</x:v>
      </x:c>
    </x:row>
    <x:row r="18" ht="34" customHeight="1">
      <x:c r="A18" s="16" t="str">
        <x:v>ROOM-01</x:v>
      </x:c>
      <x:c r="B18" s="16" t="str">
        <x:v>Intérieurs</x:v>
      </x:c>
      <x:c r="C18" s="16" t="str">
        <x:v>Chaque pièce prévue possède une entrée et un usage identifiable.</x:v>
      </x:c>
      <x:c r="D18" s="16" t="str">
        <x:v>Entrée → pièce → sortie, sans traverser un meuble.</x:v>
      </x:c>
      <x:c r="E18" s="16" t="str">
        <x:v>P0</x:v>
      </x:c>
    </x:row>
    <x:row r="19" ht="34" customHeight="1">
      <x:c r="A19" s="16" t="str">
        <x:v>ROOM-02</x:v>
      </x:c>
      <x:c r="B19" s="16" t="str">
        <x:v>Intérieurs</x:v>
      </x:c>
      <x:c r="C19" s="16" t="str">
        <x:v>Logements répétés et locaux de soutien réellement matérialisés.</x:v>
      </x:c>
      <x:c r="D19" s="16" t="str">
        <x:v>Comparaison de répétitions source/modèle et navigation.</x:v>
      </x:c>
      <x:c r="E19" s="16" t="str">
        <x:v>P0</x:v>
      </x:c>
    </x:row>
    <x:row r="20" ht="34" customHeight="1">
      <x:c r="A20" s="16" t="str">
        <x:v>SEA-01</x:v>
      </x:c>
      <x:c r="B20" s="16" t="str">
        <x:v>Mer</x:v>
      </x:c>
      <x:c r="C20" s="16" t="str">
        <x:v>Rive, côté terre/eau, profondeur et tirant d’eau compatibles.</x:v>
      </x:c>
      <x:c r="D20" s="16" t="str">
        <x:v>Refus d’un navire ou quai sans support adéquat.</x:v>
      </x:c>
      <x:c r="E20" s="16" t="str">
        <x:v>P0</x:v>
      </x:c>
    </x:row>
    <x:row r="21" ht="34" customHeight="1">
      <x:c r="A21" s="16" t="str">
        <x:v>SEA-02</x:v>
      </x:c>
      <x:c r="B21" s="16" t="str">
        <x:v>Mer</x:v>
      </x:c>
      <x:c r="C21" s="16" t="str">
        <x:v>Transfert quai/bateau comme interaction, pas marche sur eau.</x:v>
      </x:c>
      <x:c r="D21" s="16" t="str">
        <x:v>Mobilités distinctes et propriété de la surface.</x:v>
      </x:c>
      <x:c r="E21" s="16" t="str">
        <x:v>P0</x:v>
      </x:c>
    </x:row>
    <x:row r="22" ht="34" customHeight="1">
      <x:c r="A22" s="16" t="str">
        <x:v>ISL-01</x:v>
      </x:c>
      <x:c r="B22" s="16" t="str">
        <x:v>Îles</x:v>
      </x:c>
      <x:c r="C22" s="16" t="str">
        <x:v>Réseaux insulaires terminés ou reliés à un débarcadère/pont prévu.</x:v>
      </x:c>
      <x:c r="D22" s="16" t="str">
        <x:v>Aucune route ou canalisation prolongé dans le vide.</x:v>
      </x:c>
      <x:c r="E22" s="16" t="str">
        <x:v>P0</x:v>
      </x:c>
    </x:row>
    <x:row r="23" ht="34" customHeight="1">
      <x:c r="A23" s="16" t="str">
        <x:v>WATER-01</x:v>
      </x:c>
      <x:c r="B23" s="16" t="str">
        <x:v>Hydraulique</x:v>
      </x:c>
      <x:c r="C23" s="16" t="str">
        <x:v>Égouts et bassins connectés à un exutoire déclaré.</x:v>
      </x:c>
      <x:c r="D23" s="16" t="str">
        <x:v>Graphe orienté et compatibilité des niveaux.</x:v>
      </x:c>
      <x:c r="E23" s="16" t="str">
        <x:v>P0</x:v>
      </x:c>
    </x:row>
    <x:row r="24" ht="34" customHeight="1">
      <x:c r="A24" s="16" t="str">
        <x:v>POWER-01</x:v>
      </x:c>
      <x:c r="B24" s="16" t="str">
        <x:v>Électricité</x:v>
      </x:c>
      <x:c r="C24" s="16" t="str">
        <x:v>Sources, tableaux, câbles, consommateurs et coupures explicites.</x:v>
      </x:c>
      <x:c r="D24" s="16" t="str">
        <x:v>Capacité, carburant et états persistants ; aucune énergie gratuite.</x:v>
      </x:c>
      <x:c r="E24" s="16" t="str">
        <x:v>P1</x:v>
      </x:c>
    </x:row>
    <x:row r="25" ht="34" customHeight="1">
      <x:c r="A25" s="16" t="str">
        <x:v>LOOT-01</x:v>
      </x:c>
      <x:c r="B25" s="16" t="str">
        <x:v>Butin</x:v>
      </x:c>
      <x:c r="C25" s="16" t="str">
        <x:v>Un contenant = identité et budget finis persistants.</x:v>
      </x:c>
      <x:c r="D25" s="16" t="str">
        <x:v>Fouille → déchargement → recharge ne renouvelle rien.</x:v>
      </x:c>
      <x:c r="E25" s="16" t="str">
        <x:v>P0</x:v>
      </x:c>
    </x:row>
    <x:row r="26" ht="34" customHeight="1">
      <x:c r="A26" s="16" t="str">
        <x:v>SPAWN-01</x:v>
      </x:c>
      <x:c r="B26" s="16" t="str">
        <x:v>Rencontres</x:v>
      </x:c>
      <x:c r="C26" s="16" t="str">
        <x:v>Poids normalisés après filtrage par habitat, heure et accès.</x:v>
      </x:c>
      <x:c r="D26" s="16" t="str">
        <x:v>Aucun candidat non éligible ; distribution déterministe documentée.</x:v>
      </x:c>
      <x:c r="E26" s="16" t="str">
        <x:v>P1</x:v>
      </x:c>
    </x:row>
    <x:row r="27" ht="34" customHeight="1">
      <x:c r="A27" s="16" t="str">
        <x:v>SPAWN-02</x:v>
      </x:c>
      <x:c r="B27" s="16" t="str">
        <x:v>Rencontres</x:v>
      </x:c>
      <x:c r="C27" s="16" t="str">
        <x:v>Zombies abrités selon lumière ; pillards selon accès/logistique.</x:v>
      </x:c>
      <x:c r="D27" s="16" t="str">
        <x:v>Présence physique et visibilité, jamais uniquement un texte.</x:v>
      </x:c>
      <x:c r="E27" s="16" t="str">
        <x:v>P1</x:v>
      </x:c>
    </x:row>
    <x:row r="28" ht="34" customHeight="1">
      <x:c r="A28" s="16" t="str">
        <x:v>SPAWN-03</x:v>
      </x:c>
      <x:c r="B28" s="16" t="str">
        <x:v>Faune</x:v>
      </x:c>
      <x:c r="C28" s="16" t="str">
        <x:v>Espèces compatibles avec habitat, eau et mobilité.</x:v>
      </x:c>
      <x:c r="D28" s="16" t="str">
        <x:v>Pas d’animal marin à terre ni de renouvellement illimité.</x:v>
      </x:c>
      <x:c r="E28" s="16" t="str">
        <x:v>P1</x:v>
      </x:c>
    </x:row>
    <x:row r="29" ht="34" customHeight="1">
      <x:c r="A29" s="16" t="str">
        <x:v>TRAP-01</x:v>
      </x:c>
      <x:c r="B29" s="16" t="str">
        <x:v>Risques</x:v>
      </x:c>
      <x:c r="C29" s="16" t="str">
        <x:v>Piège de jeu détectable/désactivable ; aucune recette réelle.</x:v>
      </x:c>
      <x:c r="D29" s="16" t="str">
        <x:v>Interruption et reprise sans récompense gratuite.</x:v>
      </x:c>
      <x:c r="E29" s="16" t="str">
        <x:v>P1</x:v>
      </x:c>
    </x:row>
    <x:row r="30" ht="34" customHeight="1">
      <x:c r="A30" s="16" t="str">
        <x:v>TURRET-01</x:v>
      </x:c>
      <x:c r="B30" s="16" t="str">
        <x:v>Défense</x:v>
      </x:c>
      <x:c r="C30" s="16" t="str">
        <x:v>Tourelle avec énergie, stock, cible, portée et occlusion.</x:v>
      </x:c>
      <x:c r="D30" s="16" t="str">
        <x:v>État partagé entre rendu et dégâts autoritaires.</x:v>
      </x:c>
      <x:c r="E30" s="16" t="str">
        <x:v>P1</x:v>
      </x:c>
    </x:row>
    <x:row r="31" ht="34" customHeight="1">
      <x:c r="A31" s="16" t="str">
        <x:v>SEED-01</x:v>
      </x:c>
      <x:c r="B31" s="16" t="str">
        <x:v>Déterminisme</x:v>
      </x:c>
      <x:c r="C31" s="16" t="str">
        <x:v>Même graine, profil et révision = mêmes identifiants et connexions.</x:v>
      </x:c>
      <x:c r="D31" s="16" t="str">
        <x:v>Pas de générateur aléatoire de simulation consommé au dessin.</x:v>
      </x:c>
      <x:c r="E31" s="16" t="str">
        <x:v>P0</x:v>
      </x:c>
    </x:row>
    <x:row r="32" ht="34" customHeight="1">
      <x:c r="A32" s="16" t="str">
        <x:v>SEED-02</x:v>
      </x:c>
      <x:c r="B32" s="16" t="str">
        <x:v>Coutures</x:v>
      </x:c>
      <x:c r="C32" s="16" t="str">
        <x:v>Les bords de secteurs partagent les mêmes nœuds et réserves.</x:v>
      </x:c>
      <x:c r="D32" s="16" t="str">
        <x:v>Ordres de chargement inversés produisent les mêmes coutures.</x:v>
      </x:c>
      <x:c r="E32" s="16" t="str">
        <x:v>P0</x:v>
      </x:c>
    </x:row>
    <x:row r="33" ht="34" customHeight="1">
      <x:c r="A33" s="16" t="str">
        <x:v>SAVE-01</x:v>
      </x:c>
      <x:c r="B33" s="16" t="str">
        <x:v>Sauvegarde</x:v>
      </x:c>
      <x:c r="C33" s="16" t="str">
        <x:v>Une nouvelle géométrie ne recouvre pas une possession conservée.</x:v>
      </x:c>
      <x:c r="D33" s="16" t="str">
        <x:v>Migration volontaire et refus atomique en cas de conflit.</x:v>
      </x:c>
      <x:c r="E33" s="16" t="str">
        <x:v>P0</x:v>
      </x:c>
    </x:row>
    <x:row r="34" ht="34" customHeight="1">
      <x:c r="A34" s="16" t="str">
        <x:v>PERF-01</x:v>
      </x:c>
      <x:c r="B34" s="16" t="str">
        <x:v>Performance</x:v>
      </x:c>
      <x:c r="C34" s="16" t="str">
        <x:v>Budget de candidats, objets, caches et acteurs explicite.</x:v>
      </x:c>
      <x:c r="D34" s="16" t="str">
        <x:v>Mesures sur jeu réel séparées des scènes préparées.</x:v>
      </x:c>
      <x:c r="E34" s="16" t="str">
        <x:v>P1</x:v>
      </x:c>
    </x:row>
    <x:row r="35" ht="34" customHeight="1">
      <x:c r="A35" s="16" t="str">
        <x:v>QA-01</x:v>
      </x:c>
      <x:c r="B35" s="16" t="str">
        <x:v>Réception</x:v>
      </x:c>
      <x:c r="C35" s="16" t="str">
        <x:v>Une ligne validée doit posséder une preuve liée à sa révision.</x:v>
      </x:c>
      <x:c r="D35" s="16" t="str">
        <x:v>Aucune fiche ou test isolé ne suffit à certifier tout un lieu.</x:v>
      </x:c>
      <x:c r="E35" s="16" t="str">
        <x:v>P0</x:v>
      </x:c>
    </x:row>
  </x:sheetData>
  <x:mergeCells>
    <x:mergeCell ref="A1:E1"/>
    <x:mergeCell ref="A2:E3"/>
  </x:mergeCells>
  <x:pageMargins left="0.7" right="0.7" top="0.75" bottom="0.75" header="0.3" footer="0.3"/>
  <x:tableParts count="1">
    <x:tablePart xmlns:r="http://schemas.openxmlformats.org/officeDocument/2006/relationships" r:id="R23c86581db2c492f"/>
  </x:tableParts>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45" hidden="0" customWidth="1"/>
    <x:col min="2" max="2" width="22" hidden="0" customWidth="1"/>
    <x:col min="3" max="3" width="22" hidden="0" customWidth="1"/>
    <x:col min="4" max="4" width="28" hidden="0" customWidth="1"/>
  </x:cols>
  <x:sheetData>
    <x:row r="1" ht="32" customHeight="1">
      <x:c r="A1" s="3" t="str">
        <x:v>10  /  SYNTHÈSE DES FAMILLES</x:v>
      </x:c>
      <x:c r="B1" s="3"/>
      <x:c r="C1" s="3"/>
      <x:c r="D1" s="3"/>
    </x:row>
    <x:row r="2" ht="20" customHeight="1">
      <x:c r="A2" s="9" t="str">
        <x:v>Compteurs calculés sur le catalogue importé. Les parents sont les lignes non héritées ; ils ne représentent pas nécessairement des architectures uniques.</x:v>
      </x:c>
      <x:c r="B2" s="9"/>
      <x:c r="C2" s="9"/>
      <x:c r="D2" s="9"/>
    </x:row>
    <x:row r="3" ht="20" customHeight="1">
      <x:c r="A3" s="9"/>
      <x:c r="B3" s="9"/>
      <x:c r="C3" s="9"/>
      <x:c r="D3" s="9"/>
    </x:row>
    <x:row r="5" ht="34" customHeight="1">
      <x:c r="A5" s="112" t="str">
        <x:v>Famille</x:v>
      </x:c>
      <x:c r="B5" s="112" t="str">
        <x:v>Programmes</x:v>
      </x:c>
      <x:c r="C5" s="112" t="str">
        <x:v>Parents</x:v>
      </x:c>
      <x:c r="D5" s="112" t="str">
        <x:v>Compositions héritées</x:v>
      </x:c>
    </x:row>
    <x:row r="6" ht="34" customHeight="1">
      <x:c r="A6" s="16" t="str">
        <x:v>Abris et souterrains</x:v>
      </x:c>
      <x:c r="B6" s="16" t="n">
        <x:f>COUNTIF('Catalogue existant'!$D$6:$D$4005,A6)</x:f>
        <x:v>60</x:v>
      </x:c>
      <x:c r="C6" s="16" t="n">
        <x:f>COUNTIFS('Catalogue existant'!$D$6:$D$4005,A6,'Catalogue existant'!$C$6:$C$4005,"&lt;&gt;Composition héritée")</x:f>
        <x:v>20</x:v>
      </x:c>
      <x:c r="D6" s="16" t="n">
        <x:f>B6-C6</x:f>
        <x:v>40</x:v>
      </x:c>
    </x:row>
    <x:row r="7" ht="34" customHeight="1">
      <x:c r="A7" s="16" t="str">
        <x:v>Administration et communauté</x:v>
      </x:c>
      <x:c r="B7" s="16" t="n">
        <x:f>COUNTIF('Catalogue existant'!$D$6:$D$4005,A7)</x:f>
        <x:v>138</x:v>
      </x:c>
      <x:c r="C7" s="16" t="n">
        <x:f>COUNTIFS('Catalogue existant'!$D$6:$D$4005,A7,'Catalogue existant'!$C$6:$C$4005,"&lt;&gt;Composition héritée")</x:f>
        <x:v>98</x:v>
      </x:c>
      <x:c r="D7" s="16" t="n">
        <x:f>B7-C7</x:f>
        <x:v>40</x:v>
      </x:c>
    </x:row>
    <x:row r="8" ht="34" customHeight="1">
      <x:c r="A8" s="16" t="str">
        <x:v>Agriculture</x:v>
      </x:c>
      <x:c r="B8" s="16" t="n">
        <x:f>COUNTIF('Catalogue existant'!$D$6:$D$4005,A8)</x:f>
        <x:v>140</x:v>
      </x:c>
      <x:c r="C8" s="16" t="n">
        <x:f>COUNTIFS('Catalogue existant'!$D$6:$D$4005,A8,'Catalogue existant'!$C$6:$C$4005,"&lt;&gt;Composition héritée")</x:f>
        <x:v>100</x:v>
      </x:c>
      <x:c r="D8" s="16" t="n">
        <x:f>B8-C8</x:f>
        <x:v>40</x:v>
      </x:c>
    </x:row>
    <x:row r="9" ht="34" customHeight="1">
      <x:c r="A9" s="16" t="str">
        <x:v>Alimentation et restauration</x:v>
      </x:c>
      <x:c r="B9" s="16" t="n">
        <x:f>COUNTIF('Catalogue existant'!$D$6:$D$4005,A9)</x:f>
        <x:v>115</x:v>
      </x:c>
      <x:c r="C9" s="16" t="n">
        <x:f>COUNTIFS('Catalogue existant'!$D$6:$D$4005,A9,'Catalogue existant'!$C$6:$C$4005,"&lt;&gt;Composition héritée")</x:f>
        <x:v>75</x:v>
      </x:c>
      <x:c r="D9" s="16" t="n">
        <x:f>B9-C9</x:f>
        <x:v>40</x:v>
      </x:c>
    </x:row>
    <x:row r="10" ht="34" customHeight="1">
      <x:c r="A10" s="16" t="str">
        <x:v>Automobile et carburant</x:v>
      </x:c>
      <x:c r="B10" s="16" t="n">
        <x:f>COUNTIF('Catalogue existant'!$D$6:$D$4005,A10)</x:f>
        <x:v>73</x:v>
      </x:c>
      <x:c r="C10" s="16" t="n">
        <x:f>COUNTIFS('Catalogue existant'!$D$6:$D$4005,A10,'Catalogue existant'!$C$6:$C$4005,"&lt;&gt;Composition héritée")</x:f>
        <x:v>33</x:v>
      </x:c>
      <x:c r="D10" s="16" t="n">
        <x:f>B10-C10</x:f>
        <x:v>40</x:v>
      </x:c>
    </x:row>
    <x:row r="11" ht="34" customHeight="1">
      <x:c r="A11" s="16" t="str">
        <x:v>Commerces non alimentaires</x:v>
      </x:c>
      <x:c r="B11" s="16" t="n">
        <x:f>COUNTIF('Catalogue existant'!$D$6:$D$4005,A11)</x:f>
        <x:v>130</x:v>
      </x:c>
      <x:c r="C11" s="16" t="n">
        <x:f>COUNTIFS('Catalogue existant'!$D$6:$D$4005,A11,'Catalogue existant'!$C$6:$C$4005,"&lt;&gt;Composition héritée")</x:f>
        <x:v>90</x:v>
      </x:c>
      <x:c r="D11" s="16" t="n">
        <x:f>B11-C11</x:f>
        <x:v>40</x:v>
      </x:c>
    </x:row>
    <x:row r="12" ht="34" customHeight="1">
      <x:c r="A12" s="16" t="str">
        <x:v>Eau et réseaux</x:v>
      </x:c>
      <x:c r="B12" s="16" t="n">
        <x:f>COUNTIF('Catalogue existant'!$D$6:$D$4005,A12)</x:f>
        <x:v>60</x:v>
      </x:c>
      <x:c r="C12" s="16" t="n">
        <x:f>COUNTIFS('Catalogue existant'!$D$6:$D$4005,A12,'Catalogue existant'!$C$6:$C$4005,"&lt;&gt;Composition héritée")</x:f>
        <x:v>20</x:v>
      </x:c>
      <x:c r="D12" s="16" t="n">
        <x:f>B12-C12</x:f>
        <x:v>40</x:v>
      </x:c>
    </x:row>
    <x:row r="13" ht="34" customHeight="1">
      <x:c r="A13" s="16" t="str">
        <x:v>Entrepôts et réserves</x:v>
      </x:c>
      <x:c r="B13" s="16" t="n">
        <x:f>COUNTIF('Catalogue existant'!$D$6:$D$4005,A13)</x:f>
        <x:v>120</x:v>
      </x:c>
      <x:c r="C13" s="16" t="n">
        <x:f>COUNTIFS('Catalogue existant'!$D$6:$D$4005,A13,'Catalogue existant'!$C$6:$C$4005,"&lt;&gt;Composition héritée")</x:f>
        <x:v>80</x:v>
      </x:c>
      <x:c r="D13" s="16" t="n">
        <x:f>B13-C13</x:f>
        <x:v>40</x:v>
      </x:c>
    </x:row>
    <x:row r="14" ht="34" customHeight="1">
      <x:c r="A14" s="16" t="str">
        <x:v>Ferroviaire et transports collectifs</x:v>
      </x:c>
      <x:c r="B14" s="16" t="n">
        <x:f>COUNTIF('Catalogue existant'!$D$6:$D$4005,A14)</x:f>
        <x:v>60</x:v>
      </x:c>
      <x:c r="C14" s="16" t="n">
        <x:f>COUNTIFS('Catalogue existant'!$D$6:$D$4005,A14,'Catalogue existant'!$C$6:$C$4005,"&lt;&gt;Composition héritée")</x:f>
        <x:v>20</x:v>
      </x:c>
      <x:c r="D14" s="16" t="n">
        <x:f>B14-C14</x:f>
        <x:v>40</x:v>
      </x:c>
    </x:row>
    <x:row r="15" ht="34" customHeight="1">
      <x:c r="A15" s="16" t="str">
        <x:v>Forêts et filière bois</x:v>
      </x:c>
      <x:c r="B15" s="16" t="n">
        <x:f>COUNTIF('Catalogue existant'!$D$6:$D$4005,A15)</x:f>
        <x:v>60</x:v>
      </x:c>
      <x:c r="C15" s="16" t="n">
        <x:f>COUNTIFS('Catalogue existant'!$D$6:$D$4005,A15,'Catalogue existant'!$C$6:$C$4005,"&lt;&gt;Composition héritée")</x:f>
        <x:v>20</x:v>
      </x:c>
      <x:c r="D15" s="16" t="n">
        <x:f>B15-C15</x:f>
        <x:v>40</x:v>
      </x:c>
    </x:row>
    <x:row r="16" ht="34" customHeight="1">
      <x:c r="A16" s="16" t="str">
        <x:v>Habitat collectif</x:v>
      </x:c>
      <x:c r="B16" s="16" t="n">
        <x:f>COUNTIF('Catalogue existant'!$D$6:$D$4005,A16)</x:f>
        <x:v>110</x:v>
      </x:c>
      <x:c r="C16" s="16" t="n">
        <x:f>COUNTIFS('Catalogue existant'!$D$6:$D$4005,A16,'Catalogue existant'!$C$6:$C$4005,"&lt;&gt;Composition héritée")</x:f>
        <x:v>70</x:v>
      </x:c>
      <x:c r="D16" s="16" t="n">
        <x:f>B16-C16</x:f>
        <x:v>40</x:v>
      </x:c>
    </x:row>
    <x:row r="17" ht="34" customHeight="1">
      <x:c r="A17" s="16" t="str">
        <x:v>Habitat individuel</x:v>
      </x:c>
      <x:c r="B17" s="16" t="n">
        <x:f>COUNTIF('Catalogue existant'!$D$6:$D$4005,A17)</x:f>
        <x:v>100</x:v>
      </x:c>
      <x:c r="C17" s="16" t="n">
        <x:f>COUNTIFS('Catalogue existant'!$D$6:$D$4005,A17,'Catalogue existant'!$C$6:$C$4005,"&lt;&gt;Composition héritée")</x:f>
        <x:v>60</x:v>
      </x:c>
      <x:c r="D17" s="16" t="n">
        <x:f>B17-C17</x:f>
        <x:v>40</x:v>
      </x:c>
    </x:row>
    <x:row r="18" ht="34" customHeight="1">
      <x:c r="A18" s="16" t="str">
        <x:v>Hôtellerie et hébergement</x:v>
      </x:c>
      <x:c r="B18" s="16" t="n">
        <x:f>COUNTIF('Catalogue existant'!$D$6:$D$4005,A18)</x:f>
        <x:v>80</x:v>
      </x:c>
      <x:c r="C18" s="16" t="n">
        <x:f>COUNTIFS('Catalogue existant'!$D$6:$D$4005,A18,'Catalogue existant'!$C$6:$C$4005,"&lt;&gt;Composition héritée")</x:f>
        <x:v>40</x:v>
      </x:c>
      <x:c r="D18" s="16" t="n">
        <x:f>B18-C18</x:f>
        <x:v>40</x:v>
      </x:c>
    </x:row>
    <x:row r="19" ht="34" customHeight="1">
      <x:c r="A19" s="16" t="str">
        <x:v>Industrie et production</x:v>
      </x:c>
      <x:c r="B19" s="16" t="n">
        <x:f>COUNTIF('Catalogue existant'!$D$6:$D$4005,A19)</x:f>
        <x:v>179</x:v>
      </x:c>
      <x:c r="C19" s="16" t="n">
        <x:f>COUNTIFS('Catalogue existant'!$D$6:$D$4005,A19,'Catalogue existant'!$C$6:$C$4005,"&lt;&gt;Composition héritée")</x:f>
        <x:v>139</x:v>
      </x:c>
      <x:c r="D19" s="16" t="n">
        <x:f>B19-C19</x:f>
        <x:v>40</x:v>
      </x:c>
    </x:row>
    <x:row r="20" ht="34" customHeight="1">
      <x:c r="A20" s="16" t="str">
        <x:v>Loisirs et culture</x:v>
      </x:c>
      <x:c r="B20" s="16" t="n">
        <x:f>COUNTIF('Catalogue existant'!$D$6:$D$4005,A20)</x:f>
        <x:v>140</x:v>
      </x:c>
      <x:c r="C20" s="16" t="n">
        <x:f>COUNTIFS('Catalogue existant'!$D$6:$D$4005,A20,'Catalogue existant'!$C$6:$C$4005,"&lt;&gt;Composition héritée")</x:f>
        <x:v>100</x:v>
      </x:c>
      <x:c r="D20" s="16" t="n">
        <x:f>B20-C20</x:f>
        <x:v>40</x:v>
      </x:c>
    </x:row>
    <x:row r="21" ht="34" customHeight="1">
      <x:c r="A21" s="16" t="str">
        <x:v>Mines et matériaux</x:v>
      </x:c>
      <x:c r="B21" s="16" t="n">
        <x:f>COUNTIF('Catalogue existant'!$D$6:$D$4005,A21)</x:f>
        <x:v>60</x:v>
      </x:c>
      <x:c r="C21" s="16" t="n">
        <x:f>COUNTIFS('Catalogue existant'!$D$6:$D$4005,A21,'Catalogue existant'!$C$6:$C$4005,"&lt;&gt;Composition héritée")</x:f>
        <x:v>20</x:v>
      </x:c>
      <x:c r="D21" s="16" t="n">
        <x:f>B21-C21</x:f>
        <x:v>40</x:v>
      </x:c>
    </x:row>
    <x:row r="22" ht="34" customHeight="1">
      <x:c r="A22" s="16" t="str">
        <x:v>Ports et activités nautiques</x:v>
      </x:c>
      <x:c r="B22" s="16" t="n">
        <x:f>COUNTIF('Catalogue existant'!$D$6:$D$4005,A22)</x:f>
        <x:v>60</x:v>
      </x:c>
      <x:c r="C22" s="16" t="n">
        <x:f>COUNTIFS('Catalogue existant'!$D$6:$D$4005,A22,'Catalogue existant'!$C$6:$C$4005,"&lt;&gt;Composition héritée")</x:f>
        <x:v>20</x:v>
      </x:c>
      <x:c r="D22" s="16" t="n">
        <x:f>B22-C22</x:f>
        <x:v>40</x:v>
      </x:c>
    </x:row>
    <x:row r="23" ht="34" customHeight="1">
      <x:c r="A23" s="16" t="str">
        <x:v>Quartiers et agglomérations</x:v>
      </x:c>
      <x:c r="B23" s="16" t="n">
        <x:f>COUNTIF('Catalogue existant'!$D$6:$D$4005,A23)</x:f>
        <x:v>60</x:v>
      </x:c>
      <x:c r="C23" s="16" t="n">
        <x:f>COUNTIFS('Catalogue existant'!$D$6:$D$4005,A23,'Catalogue existant'!$C$6:$C$4005,"&lt;&gt;Composition héritée")</x:f>
        <x:v>20</x:v>
      </x:c>
      <x:c r="D23" s="16" t="n">
        <x:f>B23-C23</x:f>
        <x:v>40</x:v>
      </x:c>
    </x:row>
    <x:row r="24" ht="34" customHeight="1">
      <x:c r="A24" s="16" t="str">
        <x:v>Routes et ouvrages</x:v>
      </x:c>
      <x:c r="B24" s="16" t="n">
        <x:f>COUNTIF('Catalogue existant'!$D$6:$D$4005,A24)</x:f>
        <x:v>60</x:v>
      </x:c>
      <x:c r="C24" s="16" t="n">
        <x:f>COUNTIFS('Catalogue existant'!$D$6:$D$4005,A24,'Catalogue existant'!$C$6:$C$4005,"&lt;&gt;Composition héritée")</x:f>
        <x:v>20</x:v>
      </x:c>
      <x:c r="D24" s="16" t="n">
        <x:f>B24-C24</x:f>
        <x:v>40</x:v>
      </x:c>
    </x:row>
    <x:row r="25" ht="34" customHeight="1">
      <x:c r="A25" s="16" t="str">
        <x:v>Ruines et lieux dégradés visitables</x:v>
      </x:c>
      <x:c r="B25" s="16" t="n">
        <x:f>COUNTIF('Catalogue existant'!$D$6:$D$4005,A25)</x:f>
        <x:v>60</x:v>
      </x:c>
      <x:c r="C25" s="16" t="n">
        <x:f>COUNTIFS('Catalogue existant'!$D$6:$D$4005,A25,'Catalogue existant'!$C$6:$C$4005,"&lt;&gt;Composition héritée")</x:f>
        <x:v>20</x:v>
      </x:c>
      <x:c r="D25" s="16" t="n">
        <x:f>B25-C25</x:f>
        <x:v>40</x:v>
      </x:c>
    </x:row>
    <x:row r="26" ht="34" customHeight="1">
      <x:c r="A26" s="16" t="str">
        <x:v>Santé</x:v>
      </x:c>
      <x:c r="B26" s="16" t="n">
        <x:f>COUNTIF('Catalogue existant'!$D$6:$D$4005,A26)</x:f>
        <x:v>100</x:v>
      </x:c>
      <x:c r="C26" s="16" t="n">
        <x:f>COUNTIFS('Catalogue existant'!$D$6:$D$4005,A26,'Catalogue existant'!$C$6:$C$4005,"&lt;&gt;Composition héritée")</x:f>
        <x:v>60</x:v>
      </x:c>
      <x:c r="D26" s="16" t="n">
        <x:f>B26-C26</x:f>
        <x:v>40</x:v>
      </x:c>
    </x:row>
    <x:row r="27" ht="34" customHeight="1">
      <x:c r="A27" s="16" t="str">
        <x:v>Secours et protection civile</x:v>
      </x:c>
      <x:c r="B27" s="16" t="n">
        <x:f>COUNTIF('Catalogue existant'!$D$6:$D$4005,A27)</x:f>
        <x:v>120</x:v>
      </x:c>
      <x:c r="C27" s="16" t="n">
        <x:f>COUNTIFS('Catalogue existant'!$D$6:$D$4005,A27,'Catalogue existant'!$C$6:$C$4005,"&lt;&gt;Composition héritée")</x:f>
        <x:v>80</x:v>
      </x:c>
      <x:c r="D27" s="16" t="n">
        <x:f>B27-C27</x:f>
        <x:v>40</x:v>
      </x:c>
    </x:row>
    <x:row r="28" ht="34" customHeight="1">
      <x:c r="A28" s="16" t="str">
        <x:v>Services et petits ateliers</x:v>
      </x:c>
      <x:c r="B28" s="16" t="n">
        <x:f>COUNTIF('Catalogue existant'!$D$6:$D$4005,A28)</x:f>
        <x:v>174</x:v>
      </x:c>
      <x:c r="C28" s="16" t="n">
        <x:f>COUNTIFS('Catalogue existant'!$D$6:$D$4005,A28,'Catalogue existant'!$C$6:$C$4005,"&lt;&gt;Composition héritée")</x:f>
        <x:v>134</x:v>
      </x:c>
      <x:c r="D28" s="16" t="n">
        <x:f>B28-C28</x:f>
        <x:v>40</x:v>
      </x:c>
    </x:row>
    <x:row r="29" ht="34" customHeight="1">
      <x:c r="A29" s="16" t="str">
        <x:v>commerce</x:v>
      </x:c>
      <x:c r="B29" s="16" t="n">
        <x:f>COUNTIF('Catalogue existant'!$D$6:$D$4005,A29)</x:f>
        <x:v>192</x:v>
      </x:c>
      <x:c r="C29" s="16" t="n">
        <x:f>COUNTIFS('Catalogue existant'!$D$6:$D$4005,A29,'Catalogue existant'!$C$6:$C$4005,"&lt;&gt;Composition héritée")</x:f>
        <x:v>64</x:v>
      </x:c>
      <x:c r="D29" s="16" t="n">
        <x:f>B29-C29</x:f>
        <x:v>128</x:v>
      </x:c>
    </x:row>
    <x:row r="30" ht="34" customHeight="1">
      <x:c r="A30" s="16" t="str">
        <x:v>habitat</x:v>
      </x:c>
      <x:c r="B30" s="16" t="n">
        <x:f>COUNTIF('Catalogue existant'!$D$6:$D$4005,A30)</x:f>
        <x:v>192</x:v>
      </x:c>
      <x:c r="C30" s="16" t="n">
        <x:f>COUNTIFS('Catalogue existant'!$D$6:$D$4005,A30,'Catalogue existant'!$C$6:$C$4005,"&lt;&gt;Composition héritée")</x:f>
        <x:v>64</x:v>
      </x:c>
      <x:c r="D30" s="16" t="n">
        <x:f>B30-C30</x:f>
        <x:v>128</x:v>
      </x:c>
    </x:row>
    <x:row r="31" ht="34" customHeight="1">
      <x:c r="A31" s="16" t="str">
        <x:v>industrie</x:v>
      </x:c>
      <x:c r="B31" s="16" t="n">
        <x:f>COUNTIF('Catalogue existant'!$D$6:$D$4005,A31)</x:f>
        <x:v>192</x:v>
      </x:c>
      <x:c r="C31" s="16" t="n">
        <x:f>COUNTIFS('Catalogue existant'!$D$6:$D$4005,A31,'Catalogue existant'!$C$6:$C$4005,"&lt;&gt;Composition héritée")</x:f>
        <x:v>64</x:v>
      </x:c>
      <x:c r="D31" s="16" t="n">
        <x:f>B31-C31</x:f>
        <x:v>128</x:v>
      </x:c>
    </x:row>
    <x:row r="32" ht="34" customHeight="1">
      <x:c r="A32" s="16" t="str">
        <x:v>militaire</x:v>
      </x:c>
      <x:c r="B32" s="16" t="n">
        <x:f>COUNTIF('Catalogue existant'!$D$6:$D$4005,A32)</x:f>
        <x:v>192</x:v>
      </x:c>
      <x:c r="C32" s="16" t="n">
        <x:f>COUNTIFS('Catalogue existant'!$D$6:$D$4005,A32,'Catalogue existant'!$C$6:$C$4005,"&lt;&gt;Composition héritée")</x:f>
        <x:v>64</x:v>
      </x:c>
      <x:c r="D32" s="16" t="n">
        <x:f>B32-C32</x:f>
        <x:v>128</x:v>
      </x:c>
    </x:row>
    <x:row r="33" ht="34" customHeight="1">
      <x:c r="A33" s="16" t="str">
        <x:v>public</x:v>
      </x:c>
      <x:c r="B33" s="16" t="n">
        <x:f>COUNTIF('Catalogue existant'!$D$6:$D$4005,A33)</x:f>
        <x:v>192</x:v>
      </x:c>
      <x:c r="C33" s="16" t="n">
        <x:f>COUNTIFS('Catalogue existant'!$D$6:$D$4005,A33,'Catalogue existant'!$C$6:$C$4005,"&lt;&gt;Composition héritée")</x:f>
        <x:v>64</x:v>
      </x:c>
      <x:c r="D33" s="16" t="n">
        <x:f>B33-C33</x:f>
        <x:v>128</x:v>
      </x:c>
    </x:row>
    <x:row r="34" ht="34" customHeight="1">
      <x:c r="A34" s="16" t="str">
        <x:v>ruines</x:v>
      </x:c>
      <x:c r="B34" s="16" t="n">
        <x:f>COUNTIF('Catalogue existant'!$D$6:$D$4005,A34)</x:f>
        <x:v>168</x:v>
      </x:c>
      <x:c r="C34" s="16" t="n">
        <x:f>COUNTIFS('Catalogue existant'!$D$6:$D$4005,A34,'Catalogue existant'!$C$6:$C$4005,"&lt;&gt;Composition héritée")</x:f>
        <x:v>56</x:v>
      </x:c>
      <x:c r="D34" s="16" t="n">
        <x:f>B34-C34</x:f>
        <x:v>112</x:v>
      </x:c>
    </x:row>
    <x:row r="35" ht="34" customHeight="1">
      <x:c r="A35" s="16" t="str">
        <x:v>rural</x:v>
      </x:c>
      <x:c r="B35" s="16" t="n">
        <x:f>COUNTIF('Catalogue existant'!$D$6:$D$4005,A35)</x:f>
        <x:v>192</x:v>
      </x:c>
      <x:c r="C35" s="16" t="n">
        <x:f>COUNTIFS('Catalogue existant'!$D$6:$D$4005,A35,'Catalogue existant'!$C$6:$C$4005,"&lt;&gt;Composition héritée")</x:f>
        <x:v>64</x:v>
      </x:c>
      <x:c r="D35" s="16" t="n">
        <x:f>B35-C35</x:f>
        <x:v>128</x:v>
      </x:c>
    </x:row>
    <x:row r="36">
      <x:c r="A36" t="str">
        <x:v>transport</x:v>
      </x:c>
      <x:c r="B36" t="n">
        <x:f>COUNTIF('Catalogue existant'!$D$6:$D$4005,A36)</x:f>
        <x:v>180</x:v>
      </x:c>
      <x:c r="C36" t="n">
        <x:f>COUNTIFS('Catalogue existant'!$D$6:$D$4005,A36,'Catalogue existant'!$C$6:$C$4005,"&lt;&gt;Composition héritée")</x:f>
        <x:v>60</x:v>
      </x:c>
      <x:c r="D36" t="n">
        <x:f>B36-C36</x:f>
        <x:v>120</x:v>
      </x:c>
    </x:row>
    <x:row r="37">
      <x:c r="A37" t="str">
        <x:v>Éducation et connaissance</x:v>
      </x:c>
      <x:c r="B37" t="n">
        <x:f>COUNTIF('Catalogue existant'!$D$6:$D$4005,A37)</x:f>
        <x:v>130</x:v>
      </x:c>
      <x:c r="C37" t="n">
        <x:f>COUNTIFS('Catalogue existant'!$D$6:$D$4005,A37,'Catalogue existant'!$C$6:$C$4005,"&lt;&gt;Composition héritée")</x:f>
        <x:v>90</x:v>
      </x:c>
      <x:c r="D37" t="n">
        <x:f>B37-C37</x:f>
        <x:v>40</x:v>
      </x:c>
    </x:row>
    <x:row r="38">
      <x:c r="A38" t="str">
        <x:v>Énergie et communication</x:v>
      </x:c>
      <x:c r="B38" t="n">
        <x:f>COUNTIF('Catalogue existant'!$D$6:$D$4005,A38)</x:f>
        <x:v>111</x:v>
      </x:c>
      <x:c r="C38" t="n">
        <x:f>COUNTIFS('Catalogue existant'!$D$6:$D$4005,A38,'Catalogue existant'!$C$6:$C$4005,"&lt;&gt;Composition héritée")</x:f>
        <x:v>71</x:v>
      </x:c>
      <x:c r="D38" t="n">
        <x:f>B38-C38</x:f>
        <x:v>40</x:v>
      </x:c>
    </x:row>
  </x:sheetData>
  <x:mergeCells>
    <x:mergeCell ref="A1:D1"/>
    <x:mergeCell ref="A2:D3"/>
  </x:mergeCells>
  <x:pageMargins left="0.7" right="0.7" top="0.75" bottom="0.75" header="0.3" footer="0.3"/>
  <x:tableParts count="1">
    <x:tablePart xmlns:r="http://schemas.openxmlformats.org/officeDocument/2006/relationships" r:id="R54c6c98273994674"/>
  </x:tableParts>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6" hidden="0" customWidth="1"/>
    <x:col min="2" max="2" width="35" hidden="0" customWidth="1"/>
    <x:col min="3" max="3" width="48" hidden="0" customWidth="1"/>
    <x:col min="4" max="4" width="75" hidden="0" customWidth="1"/>
    <x:col min="5" max="5" width="75" hidden="0" customWidth="1"/>
  </x:cols>
  <x:sheetData>
    <x:row r="1" ht="32" customHeight="1">
      <x:c r="A1" s="3" t="str">
        <x:v>11  /  PROVENANCE</x:v>
      </x:c>
      <x:c r="B1" s="3"/>
      <x:c r="C1" s="3"/>
      <x:c r="D1" s="3"/>
      <x:c r="E1" s="3"/>
    </x:row>
    <x:row r="2" ht="20" customHeight="1">
      <x:c r="A2" s="9" t="str">
        <x:v>Les URL de source sont conservées en texte dans le classeur. Les plans structurels de l’extension restent à rechercher et valider.</x:v>
      </x:c>
      <x:c r="B2" s="9"/>
      <x:c r="C2" s="9"/>
      <x:c r="D2" s="9"/>
      <x:c r="E2" s="9"/>
    </x:row>
    <x:row r="3" ht="20" customHeight="1">
      <x:c r="A3" s="9"/>
      <x:c r="B3" s="9"/>
      <x:c r="C3" s="9"/>
      <x:c r="D3" s="9"/>
      <x:c r="E3" s="9"/>
    </x:row>
    <x:row r="5" ht="34" customHeight="1">
      <x:c r="A5" s="112" t="str">
        <x:v>ID</x:v>
      </x:c>
      <x:c r="B5" s="112" t="str">
        <x:v>Objet</x:v>
      </x:c>
      <x:c r="C5" s="112" t="str">
        <x:v>Révision / fichier</x:v>
      </x:c>
      <x:c r="D5" s="112" t="str">
        <x:v>URL</x:v>
      </x:c>
      <x:c r="E5" s="112" t="str">
        <x:v>Portée</x:v>
      </x:c>
    </x:row>
    <x:row r="6" ht="34" customHeight="1">
      <x:c r="A6" s="16" t="str">
        <x:v>SRC-01</x:v>
      </x:c>
      <x:c r="B6" s="16" t="str">
        <x:v>Base main vérifiée</x:v>
      </x:c>
      <x:c r="C6" s="16" t="str">
        <x:v>6c6fbb6cf563bea6c89ade99c65f18c438481532</x:v>
      </x:c>
      <x:c r="D6" s="16" t="str">
        <x:v>https://github.com/darknigthmare/deadwall-last-enclosure/commit/6c6fbb6cf563bea6c89ade99c65f18c438481532</x:v>
      </x:c>
      <x:c r="E6" s="16" t="str">
        <x:v>Source du catalogue existant</x:v>
      </x:c>
    </x:row>
    <x:row r="7" ht="34" customHeight="1">
      <x:c r="A7" s="16" t="str">
        <x:v>SRC-02</x:v>
      </x:c>
      <x:c r="B7" s="16" t="str">
        <x:v>Archive récupérée</x:v>
      </x:c>
      <x:c r="C7" s="16" t="str">
        <x:v>f35a0ba38a0608cb94322e769d5c4fd1abdaa134</x:v>
      </x:c>
      <x:c r="D7" s="16" t="str">
        <x:v>https://github.com/darknigthmare/deadwall-last-enclosure/actions/runs/39561069434</x:v>
      </x:c>
      <x:c r="E7" s="16" t="str">
        <x:v>4 493 fichiers vérifiés par SHA256 ; une seule différence avec main : workflow d’archivage</x:v>
      </x:c>
    </x:row>
    <x:row r="8" ht="34" customHeight="1">
      <x:c r="A8" s="16" t="str">
        <x:v>SRC-03</x:v>
      </x:c>
      <x:c r="B8" s="16" t="str">
        <x:v>Source originale 3 000</x:v>
      </x:c>
      <x:c r="C8" s="16" t="str">
        <x:v>INDEX_3000.json</x:v>
      </x:c>
      <x:c r="D8" s="16" t="str">
        <x:v>https://github.com/darknigthmare/deadwall-last-enclosure/blob/6c6fbb6cf563bea6c89ade99c65f18c438481532/codex-3000/INDEX_3000.json</x:v>
      </x:c>
      <x:c r="E8" s="16" t="str">
        <x:v>Identifiants historiques et compositions</x:v>
      </x:c>
    </x:row>
    <x:row r="9" ht="34" customHeight="1">
      <x:c r="A9" s="16" t="str">
        <x:v>SRC-04</x:v>
      </x:c>
      <x:c r="B9" s="16" t="str">
        <x:v>Addendum 1 000</x:v>
      </x:c>
      <x:c r="C9" s="16" t="str">
        <x:v>INDEX_1000.json</x:v>
      </x:c>
      <x:c r="D9" s="16" t="str">
        <x:v>https://github.com/darknigthmare/deadwall-last-enclosure/blob/6c6fbb6cf563bea6c89ade99c65f18c438481532/codex-3000/addendum-1.58/INDEX_1000.json</x:v>
      </x:c>
      <x:c r="E9" s="16" t="str">
        <x:v>Parents indépendants 1.58</x:v>
      </x:c>
    </x:row>
    <x:row r="10" ht="34" customHeight="1">
      <x:c r="A10" s="16" t="str">
        <x:v>SRC-05</x:v>
      </x:c>
      <x:c r="B10" s="16" t="str">
        <x:v>Recettes exécutables</x:v>
      </x:c>
      <x:c r="C10" s="16" t="str">
        <x:v>codex3000-runtime.js</x:v>
      </x:c>
      <x:c r="D10" s="16" t="str">
        <x:v>https://github.com/darknigthmare/deadwall-last-enclosure/blob/6c6fbb6cf563bea6c89ade99c65f18c438481532/src/codex3000-runtime.js</x:v>
      </x:c>
      <x:c r="E10" s="16" t="str">
        <x:v>Extraction sans modification du moteur</x:v>
      </x:c>
    </x:row>
    <x:row r="11" ht="34" customHeight="1">
      <x:c r="A11" s="16" t="str">
        <x:v>SRC-06</x:v>
      </x:c>
      <x:c r="B11" s="16" t="str">
        <x:v>Couverture des sources</x:v>
      </x:c>
      <x:c r="C11" s="16" t="str">
        <x:v>codex-coverage167.js</x:v>
      </x:c>
      <x:c r="D11" s="16" t="str">
        <x:v>https://github.com/darknigthmare/deadwall-last-enclosure/blob/6c6fbb6cf563bea6c89ade99c65f18c438481532/src/codex-coverage167.js</x:v>
      </x:c>
      <x:c r="E11" s="16" t="str">
        <x:v>Dix axes ; pas qualification exhaustive</x:v>
      </x:c>
    </x:row>
    <x:row r="12" ht="34" customHeight="1">
      <x:c r="A12" s="16" t="str">
        <x:v>SRC-07</x:v>
      </x:c>
      <x:c r="B12" s="16" t="str">
        <x:v>Contextes G10</x:v>
      </x:c>
      <x:c r="C12" s="16" t="str">
        <x:v>codex-context160.js</x:v>
      </x:c>
      <x:c r="D12" s="16" t="str">
        <x:v>https://github.com/darknigthmare/deadwall-last-enclosure/blob/6c6fbb6cf563bea6c89ade99c65f18c438481532/src/codex-context160.js</x:v>
      </x:c>
      <x:c r="E12" s="16" t="str">
        <x:v>Disponibilité territoriale et adaptations</x:v>
      </x:c>
    </x:row>
    <x:row r="13" ht="34" customHeight="1">
      <x:c r="A13" s="16" t="str">
        <x:v>SRC-08</x:v>
      </x:c>
      <x:c r="B13" s="16" t="str">
        <x:v>Références métriques de l’extension</x:v>
      </x:c>
      <x:c r="C13" s="16" t="str">
        <x:v>Onglet Références métriques</x:v>
      </x:c>
      <x:c r="D13" s="16" t="str">
        <x:v>https://github.com/darknigthmare/deadwall-last-enclosure/blob/feat/codex-world-extension-20261021/docs/codex/suivi-monde2026/references-metriques2026.json</x:v>
      </x:c>
      <x:c r="E13" s="16" t="str">
        <x:v>Cotes sourcées séparées des choix auteur ; aucune architecture certifiée.</x:v>
      </x:c>
    </x:row>
  </x:sheetData>
  <x:mergeCells>
    <x:mergeCell ref="A1:E1"/>
    <x:mergeCell ref="A2:E3"/>
  </x:mergeCells>
  <x:pageMargins left="0.7" right="0.7" top="0.75" bottom="0.75" header="0.3" footer="0.3"/>
  <x:tableParts count="1">
    <x:tablePart xmlns:r="http://schemas.openxmlformats.org/officeDocument/2006/relationships" r:id="Rdcd2318be62f48e6"/>
  </x:tableParts>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9" hidden="0" customWidth="1"/>
    <x:col min="2" max="2" width="33" hidden="0" customWidth="1"/>
    <x:col min="3" max="3" width="22" hidden="0" customWidth="1"/>
    <x:col min="4" max="4" width="55" hidden="0" customWidth="1"/>
    <x:col min="5" max="5" width="26" hidden="0" customWidth="1"/>
  </x:cols>
  <x:sheetData>
    <x:row r="1" ht="32" customHeight="1">
      <x:c r="A1" s="3" t="str">
        <x:v>12  /  PUBLICATION ET ÉCARTS DE LA LIVRAISON PRÉCÉDENTE</x:v>
      </x:c>
      <x:c r="B1" s="3"/>
      <x:c r="C1" s="3"/>
      <x:c r="D1" s="3"/>
      <x:c r="E1" s="3"/>
    </x:row>
    <x:row r="2" ht="20" customHeight="1">
      <x:c r="A2" s="9" t="str">
        <x:v>L’archive source initiale de Drive reste un instantané historique. Les contrôles ci-dessous décrivent le lot de reprise de la PR #21.</x:v>
      </x:c>
      <x:c r="B2" s="9"/>
      <x:c r="C2" s="9"/>
      <x:c r="D2" s="9"/>
      <x:c r="E2" s="9"/>
    </x:row>
    <x:row r="3" ht="20" customHeight="1">
      <x:c r="A3" s="9"/>
      <x:c r="B3" s="9"/>
      <x:c r="C3" s="9"/>
      <x:c r="D3" s="9"/>
      <x:c r="E3" s="9"/>
    </x:row>
    <x:row r="5" ht="34" customHeight="1">
      <x:c r="A5" s="112" t="str">
        <x:v>Contrôle</x:v>
      </x:c>
      <x:c r="B5" s="112" t="str">
        <x:v>Valeur</x:v>
      </x:c>
      <x:c r="C5" s="112" t="str">
        <x:v>Champ</x:v>
      </x:c>
      <x:c r="D5" s="112" t="str">
        <x:v>Détail</x:v>
      </x:c>
      <x:c r="E5" s="112" t="str">
        <x:v>État</x:v>
      </x:c>
    </x:row>
    <x:row r="6" ht="70" customHeight="1">
      <x:c r="A6" s="124" t="str">
        <x:v>Base vérifiée</x:v>
      </x:c>
      <x:c r="B6" s="124" t="str">
        <x:v>2026-10-28</x:v>
      </x:c>
      <x:c r="C6" s="124" t="str">
        <x:v>main</x:v>
      </x:c>
      <x:c r="D6" s="124" t="str">
        <x:v>70c790cdfab3c2c8b286c70269786872d8be5217</x:v>
      </x:c>
      <x:c r="E6" s="124" t="str">
        <x:v>DEADWALL 1.73.0 conservé</x:v>
      </x:c>
    </x:row>
    <x:row r="7" ht="70" customHeight="1">
      <x:c r="A7" s="124" t="str">
        <x:v>Sources de cette reprise</x:v>
      </x:c>
      <x:c r="B7" s="124" t="str">
        <x:v>e28f46223e73105ab2c5d83f3d50b99b58ef53e6</x:v>
      </x:c>
      <x:c r="C7" s="124" t="str">
        <x:v>PR #21</x:v>
      </x:c>
      <x:c r="D7" s="124" t="str">
        <x:v>https://github.com/darknigthmare/deadwall-last-enclosure/pull/21</x:v>
      </x:c>
      <x:c r="E7" s="124" t="str">
        <x:v>Sources de la reprise</x:v>
      </x:c>
    </x:row>
    <x:row r="8" ht="70" customHeight="1">
      <x:c r="A8" s="124" t="str">
        <x:v>Excel Drive</x:v>
      </x:c>
      <x:c r="B8" s="124" t="str">
        <x:v>Référence de publication</x:v>
      </x:c>
      <x:c r="C8" s="124" t="str">
        <x:v>ID</x:v>
      </x:c>
      <x:c r="D8" s="124" t="str">
        <x:v>1D4Agls6Q2BP1H8Oi9SRb1nOvg1Ff7p1X</x:v>
      </x:c>
      <x:c r="E8" s="124" t="str">
        <x:v>État et empreinte dans CLASSEUR_REFERENCE.json</x:v>
      </x:c>
    </x:row>
    <x:row r="9" ht="70" customHeight="1">
      <x:c r="A9" s="124" t="str">
        <x:v>XLSX dans GitHub</x:v>
      </x:c>
      <x:c r="B9" s="124" t="str">
        <x:v>Classeur de travail 1.74</x:v>
      </x:c>
      <x:c r="C9" s="124" t="str">
        <x:v>Fichier XLSX</x:v>
      </x:c>
      <x:c r="D9" s="124" t="str">
        <x:v>docs/codex/suivi-monde2026/DEADWALL_CODEX_MONDE_SUIVI.xlsx</x:v>
      </x:c>
      <x:c r="E9" s="124" t="str">
        <x:v>Export depuis les sources S1 et le modèle publié 1.73 ; candidat externe à recevoir avant copie dans le dépôt. Le fichier Drive original reste historique, sans synchronisation distante revendiquée.</x:v>
      </x:c>
    </x:row>
    <x:row r="10" ht="70" customHeight="1">
      <x:c r="A10" s="124" t="str">
        <x:v>Validation ciblée</x:v>
      </x:c>
      <x:c r="B10" s="124" t="str">
        <x:v>69 sous-tests ciblés ; Chromium historique 89 contrôles ; PWA 42 contrôles</x:v>
      </x:c>
      <x:c r="C10" s="124" t="str">
        <x:v>Contrôles ciblés</x:v>
      </x:c>
      <x:c r="D10" s="124" t="str">
        <x:v>Cinq rapports réexécutés : auteur 29 sources, G11 228, services/art 245, collecteurs 251. Les parcours G8 historiques sont déclarés ; le parcours propre aux collecteurs est reçu séparément.</x:v>
      </x:c>
      <x:c r="E10" s="124" t="str">
        <x:v>Voir les preuves</x:v>
      </x:c>
    </x:row>
    <x:row r="11" ht="70" customHeight="1">
      <x:c r="A11" s="124" t="str">
        <x:v>Qualification globale</x:v>
      </x:c>
      <x:c r="B11" s="124" t="str">
        <x:v>Réception complète du commit final 1.74 en cours</x:v>
      </x:c>
      <x:c r="C11" s="124" t="str">
        <x:v>npm run check</x:v>
      </x:c>
      <x:c r="D11" s="124" t="str">
        <x:v>Les sous-tests ciblés, inspections et parcours historiques ne remplacent pas le contrôle global. Le check standard et la CI du commit final sont reçus séparément ; le mode Node sans isolation global a été écarté après contamination des hooks.</x:v>
      </x:c>
      <x:c r="E11" s="124" t="str">
        <x:v>En attente : CI du commit final</x:v>
      </x:c>
    </x:row>
    <x:row r="12" ht="70" customHeight="1">
      <x:c r="A12" s="124" t="str">
        <x:v>Variantes d’inspection promues</x:v>
      </x:c>
      <x:c r="B12" s="124" t="n">
        <x:v>0</x:v>
      </x:c>
      <x:c r="C12" s="124" t="str">
        <x:v>Validation globale</x:v>
      </x:c>
      <x:c r="D12" s="124" t="str">
        <x:v>200 modèles G11 éligibles ; 63 instances sur 8 graines ; 628 collecteurs accessibles sur 200 modèles ; 72 poses sur 23 sites et 3 graines ; 0 promotion globale de variante jouable.</x:v>
      </x:c>
      <x:c r="E12" s="124" t="str">
        <x:v>Qualification explicite</x:v>
      </x:c>
    </x:row>
    <x:row r="13" ht="70" customHeight="1">
      <x:c r="A13" s="124" t="str">
        <x:v>Production</x:v>
      </x:c>
      <x:c r="B13" s="124" t="str">
        <x:v>Nouvelle passe 1.74</x:v>
      </x:c>
      <x:c r="C13" s="124" t="str">
        <x:v>Fusion / déploiement</x:v>
      </x:c>
      <x:c r="D13" s="124" t="str">
        <x:v>Sources S1 e28f46223e73105ab2c5d83f3d50b99b58ef53e6 dans la PR #21. Préparation payée une fois, pluie active, réserve 24, transferts conservatifs via le seau natif 8 ; animations de pièces et gestes liés au travail réel. CI complète du commit final, fusion et Vercel Production restent à recevoir.</x:v>
      </x:c>
      <x:c r="E13" s="124" t="str">
        <x:v>CI / fusion / Production en attente</x:v>
      </x:c>
    </x:row>
  </x:sheetData>
  <x:mergeCells>
    <x:mergeCell ref="A1:E1"/>
    <x:mergeCell ref="A2:E3"/>
  </x:mergeCells>
  <x:pageMargins left="0.7" right="0.7" top="0.75" bottom="0.75" header="0.3" footer="0.3"/>
  <x:tableParts count="1">
    <x:tablePart xmlns:r="http://schemas.openxmlformats.org/officeDocument/2006/relationships" r:id="R08cf005a0c9a4539"/>
  </x:tableParts>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00" hidden="0" customWidth="1"/>
  </x:cols>
  <x:sheetData>
    <x:row r="1" ht="32" customHeight="1">
      <x:c r="A1" s="3" t="str">
        <x:v>13  /  LIRE LES STATUTS</x:v>
      </x:c>
      <x:c r="B1" s="3"/>
    </x:row>
    <x:row r="2" ht="20" customHeight="1">
      <x:c r="A2" s="9" t="str">
        <x:v>Un compteur de fiches n’est pas un pourcentage de complétion du jeu.</x:v>
      </x:c>
      <x:c r="B2" s="9"/>
    </x:row>
    <x:row r="3" ht="20" customHeight="1">
      <x:c r="A3" s="9"/>
      <x:c r="B3" s="9"/>
    </x:row>
    <x:row r="5" ht="34" customHeight="1">
      <x:c r="A5" s="112" t="str">
        <x:v>Statut / convention</x:v>
      </x:c>
      <x:c r="B5" s="112" t="str">
        <x:v>Signification</x:v>
      </x:c>
    </x:row>
    <x:row r="6" ht="34" customHeight="1">
      <x:c r="A6" s="16" t="str">
        <x:v>Catalogue existant</x:v>
      </x:c>
      <x:c r="B6" s="16" t="str">
        <x:v>Source présente à la révision vérifiée ; aucune qualification artistique déduite.</x:v>
      </x:c>
    </x:row>
    <x:row r="7" ht="34" customHeight="1">
      <x:c r="A7" s="16" t="str">
        <x:v>À qualifier par lieu</x:v>
      </x:c>
      <x:c r="B7" s="16" t="str">
        <x:v>Présence dans le catalogue, pas preuve de navigation et d’interactions complètes.</x:v>
      </x:c>
    </x:row>
    <x:row r="8" ht="34" customHeight="1">
      <x:c r="A8" s="16" t="str">
        <x:v>À concevoir</x:v>
      </x:c>
      <x:c r="B8" s="16" t="str">
        <x:v>Cible prévue ; architecture, dimensions, objets et probabilités détaillés non produits.</x:v>
      </x:c>
    </x:row>
    <x:row r="9" ht="34" customHeight="1">
      <x:c r="A9" s="16" t="str">
        <x:v>À faire</x:v>
      </x:c>
      <x:c r="B9" s="16" t="str">
        <x:v>Aucun livrable terminé ni preuve de réception.</x:v>
      </x:c>
    </x:row>
    <x:row r="10" ht="34" customHeight="1">
      <x:c r="A10" s="16" t="str">
        <x:v>En cours</x:v>
      </x:c>
      <x:c r="B10" s="16" t="str">
        <x:v>Travail commencé mais critères de réception non tous satisfaits.</x:v>
      </x:c>
    </x:row>
    <x:row r="11" ht="34" customHeight="1">
      <x:c r="A11" s="16" t="str">
        <x:v>Bloqué</x:v>
      </x:c>
      <x:c r="B11" s="16" t="str">
        <x:v>Dépendance ou contradiction empêchant la réalisation.</x:v>
      </x:c>
    </x:row>
    <x:row r="12" ht="34" customHeight="1">
      <x:c r="A12" s="16" t="str">
        <x:v>À vérifier</x:v>
      </x:c>
      <x:c r="B12" s="16" t="str">
        <x:v>Livrable disponible, validation encore nécessaire.</x:v>
      </x:c>
    </x:row>
    <x:row r="13" ht="34" customHeight="1">
      <x:c r="A13" s="16" t="str">
        <x:v>Validé</x:v>
      </x:c>
      <x:c r="B13" s="16" t="str">
        <x:v>Critères satisfaits et preuve renseignée ; ne concerne que la tâche visée.</x:v>
      </x:c>
    </x:row>
    <x:row r="14" ht="34" customHeight="1">
      <x:c r="A14" s="16" t="str">
        <x:v>recipe</x:v>
      </x:c>
      <x:c r="B14" s="16" t="str">
        <x:v>Recette ou gabarit disponible ; implantation dépendant du terrain.</x:v>
      </x:c>
    </x:row>
    <x:row r="15" ht="34" customHeight="1">
      <x:c r="A15" s="16" t="str">
        <x:v>adapted</x:v>
      </x:c>
      <x:c r="B15" s="16" t="str">
        <x:v>Dimensions ou niveaux adaptés par le modèle.</x:v>
      </x:c>
    </x:row>
    <x:row r="16" ht="34" customHeight="1">
      <x:c r="A16" s="16" t="str">
        <x:v>described</x:v>
      </x:c>
      <x:c r="B16" s="16" t="str">
        <x:v>Prescription source présente ; pas nécessairement une interaction réelle.</x:v>
      </x:c>
    </x:row>
    <x:row r="17" ht="34" customHeight="1">
      <x:c r="A17" s="16" t="str">
        <x:v>kit</x:v>
      </x:c>
      <x:c r="B17" s="16" t="str">
        <x:v>Kit existant sans quantités auteur complètes.</x:v>
      </x:c>
    </x:row>
    <x:row r="18" ht="34" customHeight="1">
      <x:c r="A18" s="16" t="str">
        <x:v>proposed</x:v>
      </x:c>
      <x:c r="B18" s="16" t="str">
        <x:v>Options de composition, non garanties simultanément.</x:v>
      </x:c>
    </x:row>
    <x:row r="19" ht="34" customHeight="1">
      <x:c r="A19" s="16" t="str">
        <x:v>missing</x:v>
      </x:c>
      <x:c r="B19" s="16" t="str">
        <x:v>Information absente dans la source.</x:v>
      </x:c>
    </x:row>
    <x:row r="20" ht="34" customHeight="1">
      <x:c r="A20" s="16" t="str">
        <x:v>uninspected</x:v>
      </x:c>
      <x:c r="B20" s="16" t="str">
        <x:v>Modèle non inspecté par ce rapport.</x:v>
      </x:c>
    </x:row>
    <x:row r="21" ht="34" customHeight="1">
      <x:c r="A21" s="16" t="str">
        <x:v>partial</x:v>
      </x:c>
      <x:c r="B21" s="16" t="str">
        <x:v>Prescriptions incomplètes ou types non reconnus.</x:v>
      </x:c>
    </x:row>
    <x:row r="22" ht="34" customHeight="1">
      <x:c r="A22" s="16" t="str">
        <x:v>specialized</x:v>
      </x:c>
      <x:c r="B22" s="16" t="str">
        <x:v>Terrain ou système spécialisé requis.</x:v>
      </x:c>
    </x:row>
    <x:row r="23" ht="34" customHeight="1">
      <x:c r="A23" s="16" t="str">
        <x:v>Cellule numérique vide</x:v>
      </x:c>
      <x:c r="B23" s="16" t="str">
        <x:v>Valeur absente dans les sources ; jamais assimilée à zéro.</x:v>
      </x:c>
    </x:row>
    <x:row r="24" ht="34" customHeight="1">
      <x:c r="A24" s="16" t="str">
        <x:v>50 variantes cibles</x:v>
      </x:c>
      <x:c r="B24" s="16" t="str">
        <x:v>50 identifiants réservés pour le suivi, pas 50 modèles créés.</x:v>
      </x:c>
    </x:row>
    <x:row r="25" ht="60" customHeight="1">
      <x:c r="A25" s="118" t="str">
        <x:v>Gabarit métrique</x:v>
      </x:c>
      <x:c r="B25" s="118" t="str">
        <x:v>Dimensions et compositions auteur contrôlées ; architecture et intégration encore ouvertes.</x:v>
      </x:c>
    </x:row>
    <x:row r="26" ht="60" customHeight="1">
      <x:c r="A26" s="118" t="str">
        <x:v>Avant-projet maritime</x:v>
      </x:c>
      <x:c r="B26" s="118" t="str">
        <x:v>Compartimentage paramétrique testé. Coque exacte, hauteur réelle, contenu jouable et raccord au monde non validés.</x:v>
      </x:c>
    </x:row>
    <x:row r="27" ht="60" customHeight="1">
      <x:c r="A27" s="118" t="str">
        <x:v>Inspection physique</x:v>
      </x:c>
      <x:c r="B27" s="118" t="str">
        <x:v>Espaces décrits, murs, accès, niveaux et mobilier contrôlés en mode auteur ; volumes réservés et intégration en campagne encore ouverts.</x:v>
      </x:c>
    </x:row>
  </x:sheetData>
  <x:mergeCells>
    <x:mergeCell ref="A1:B1"/>
    <x:mergeCell ref="A2:B3"/>
  </x:mergeCells>
  <x:pageMargins left="0.7" right="0.7" top="0.75" bottom="0.75" header="0.3" footer="0.3"/>
  <x:tableParts count="1">
    <x:tablePart xmlns:r="http://schemas.openxmlformats.org/officeDocument/2006/relationships" r:id="Ra920ad69d0a44ec4"/>
  </x:tableParts>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8" hidden="0" customWidth="1"/>
    <x:col min="2" max="2" width="35" hidden="0" customWidth="1"/>
    <x:col min="3" max="3" width="45" hidden="0" customWidth="1"/>
    <x:col min="4" max="4" width="15" hidden="0" customWidth="1"/>
    <x:col min="5" max="5" width="60" hidden="0" customWidth="1"/>
  </x:cols>
  <x:sheetData>
    <x:row r="1" ht="24" customHeight="1">
      <x:c r="A1" s="114" t="str">
        <x:v>RÉFÉRENCES MÉTRIQUES — SOURCE ≠ ARCHITECTURE JOUABLE</x:v>
      </x:c>
      <x:c r="B1" s="114"/>
      <x:c r="C1" s="114"/>
      <x:c r="D1" s="114"/>
      <x:c r="E1" s="114"/>
    </x:row>
    <x:row r="2" ht="24" customHeight="1">
      <x:c r="A2" s="114"/>
      <x:c r="B2" s="114"/>
      <x:c r="C2" s="114"/>
      <x:c r="D2" s="114"/>
      <x:c r="E2" s="114"/>
    </x:row>
    <x:row r="3">
      <x:c r="A3" s="115" t="str">
        <x:v>Cotes publiques et limites de preuve · 21 octobre 2026 · Les choix de conception ne sont pas des relevés complets.</x:v>
      </x:c>
      <x:c r="B3" s="115"/>
      <x:c r="C3" s="115"/>
      <x:c r="D3" s="115"/>
      <x:c r="E3" s="115"/>
    </x:row>
    <x:row r="5" ht="30" customHeight="1">
      <x:c r="A5" s="116" t="str">
        <x:v>ID source</x:v>
      </x:c>
      <x:c r="B5" s="116" t="str">
        <x:v>Référence</x:v>
      </x:c>
      <x:c r="C5" s="116" t="str">
        <x:v>URL primaire</x:v>
      </x:c>
      <x:c r="D5" s="116" t="str">
        <x:v>Consultation</x:v>
      </x:c>
      <x:c r="E5" s="116" t="str">
        <x:v>Portée / limites</x:v>
      </x:c>
    </x:row>
    <x:row r="6" ht="78" customHeight="1">
      <x:c r="A6" s="118" t="str">
        <x:v>FIFA53</x:v>
      </x:c>
      <x:c r="B6" s="118" t="str">
        <x:v>FIFA — Pitch dimensions and surrounding areas</x:v>
      </x:c>
      <x:c r="C6" s="118" t="str">
        <x:v>https://publications.fifa.com/de/football-stadiums-guidelines/technical-guideline/stadium-guidelines/pitch-dimensions-and-surrounding-areas/</x:v>
      </x:c>
      <x:c r="D6" s="118" t="str">
        <x:v>2026-10-21</x:v>
      </x:c>
      <x:c r="E6" s="118" t="str">
        <x:v>Terrain et marges indicatives ; aucune cote du bâtiment complet ni conformité réglementaire revendiquée.</x:v>
      </x:c>
    </x:row>
    <x:row r="7" ht="78" customHeight="1">
      <x:c r="A7" s="118" t="str">
        <x:v>VESTAS150</x:v>
      </x:c>
      <x:c r="B7" s="118" t="str">
        <x:v>Vestas V150-4.2 MW — technical specifications</x:v>
      </x:c>
      <x:c r="C7" s="118" t="str">
        <x:v>https://www.vestas.com/en/energy-solutions/onshore-wind-turbines/4-mw-platform/V150-4-2-MW</x:v>
      </x:c>
      <x:c r="D7" s="118" t="str">
        <x:v>2026-10-21</x:v>
      </x:c>
      <x:c r="E7" s="118" t="str">
        <x:v>Rotor, nacelle et options de hauteur de moyeu ; pas le plan d’un parc ni la fondation.</x:v>
      </x:c>
    </x:row>
    <x:row r="8" ht="78" customHeight="1">
      <x:c r="A8" s="118" t="str">
        <x:v>DAMEN5000</x:v>
      </x:c>
      <x:c r="B8" s="118" t="str">
        <x:v>Damen Combi Freighter 5000</x:v>
      </x:c>
      <x:c r="C8" s="118" t="str">
        <x:v>https://www.damen.com/vessels/cargo/multi-purpose-cargo-vessels/combi-freighter-5000</x:v>
      </x:c>
      <x:c r="D8" s="118" t="str">
        <x:v>2026-10-21</x:v>
      </x:c>
      <x:c r="E8" s="118" t="str">
        <x:v>Longueur, largeur, tirant d’eau et cale ; pas la hauteur totale ni les ponts complets.</x:v>
      </x:c>
    </x:row>
    <x:row r="9" ht="78" customHeight="1">
      <x:c r="A9" s="118" t="str">
        <x:v>SOCATRA</x:v>
      </x:c>
      <x:c r="B9" s="118" t="str">
        <x:v>Socatra — Alcyone</x:v>
      </x:c>
      <x:c r="C9" s="118" t="str">
        <x:v>https://socatra.com/flotte/alcyone/</x:v>
      </x:c>
      <x:c r="D9" s="118" t="str">
        <x:v>2026-10-21</x:v>
      </x:c>
      <x:c r="E9" s="118" t="str">
        <x:v>Longueur hors tout, largeur moulée, creux et tirant saisonnier ; creux différent de la hauteur totale.</x:v>
      </x:c>
    </x:row>
    <x:row r="10" ht="78" customHeight="1">
      <x:c r="A10" s="118" t="str">
        <x:v>LITTLEROCK</x:v>
      </x:c>
      <x:c r="B10" s="118" t="str">
        <x:v>Buffalo Naval Park — USS Little Rock CLG-4</x:v>
      </x:c>
      <x:c r="C10" s="118" t="str">
        <x:v>https://buffalonavalpark.org/exhibits/uss-little-rock/</x:v>
      </x:c>
      <x:c r="D10" s="118" t="str">
        <x:v>2026-10-21</x:v>
      </x:c>
      <x:c r="E10" s="118" t="str">
        <x:v>Dimensions de musée en pieds ; conversion exacte, hauteur totale inconnue.</x:v>
      </x:c>
    </x:row>
    <x:row r="11" ht="78" customHeight="1">
      <x:c r="A11" s="118" t="str">
        <x:v>TORSK</x:v>
      </x:c>
      <x:c r="B11" s="118" t="str">
        <x:v>US Naval History and Heritage Command — Torsk</x:v>
      </x:c>
      <x:c r="C11" s="118" t="str">
        <x:v>https://www.history.navy.mil/research/histories/ship-histories/danfs/t/torsk.html</x:v>
      </x:c>
      <x:c r="D11" s="118" t="str">
        <x:v>2026-10-21</x:v>
      </x:c>
      <x:c r="E11" s="118" t="str">
        <x:v>Dimensions historiques en pieds/pouces de la notice DANFS ; totalHeight non renseignée. Notice indexée consultée, ouverture directe expirée.</x:v>
      </x:c>
    </x:row>
    <x:row r="12" ht="78" customHeight="1">
      <x:c r="A12" s="118" t="str">
        <x:v>DAMENPSV</x:v>
      </x:c>
      <x:c r="B12" s="118" t="str">
        <x:v>Damen Platform Supply Vessel 3300 CD</x:v>
      </x:c>
      <x:c r="C12" s="118" t="str">
        <x:v>https://www.damen.com/vessels/offshore/platform-supply-vessels/platform-supply-vessel-3300-cd</x:v>
      </x:c>
      <x:c r="D12" s="118" t="str">
        <x:v>2026-10-21</x:v>
      </x:c>
      <x:c r="E12" s="118" t="str">
        <x:v>Longueur, largeur, creux moulé et tirant maximum ; pas un plan complet des locaux.</x:v>
      </x:c>
    </x:row>
  </x:sheetData>
  <x:mergeCells>
    <x:mergeCell ref="A1:E2"/>
    <x:mergeCell ref="A3:E3"/>
  </x:mergeCells>
  <x:pageMargins left="0.7" right="0.7" top="0.75" bottom="0.75" header="0.3" footer="0.3"/>
  <x:tableParts count="1">
    <x:tablePart xmlns:r="http://schemas.openxmlformats.org/officeDocument/2006/relationships" r:id="Rba0393a61c044f14"/>
  </x:tableParts>
</x:worksheet>
</file>

<file path=xl/worksheets/sheet1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4" hidden="0" customWidth="1"/>
    <x:col min="2" max="2" width="35"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s>
  <x:sheetData>
    <x:row r="1" ht="26" customHeight="1">
      <x:c r="A1" s="267" t="str">
        <x:v>AVANCEMENT DES 80 TYPOLOGIES</x:v>
      </x:c>
      <x:c r="B1" s="267"/>
      <x:c r="C1" s="267"/>
      <x:c r="D1" s="267"/>
      <x:c r="E1" s="267"/>
      <x:c r="F1" s="267"/>
      <x:c r="G1" s="267"/>
      <x:c r="H1" s="267"/>
      <x:c r="I1" s="267"/>
      <x:c r="J1" s="267"/>
      <x:c r="K1" s="267"/>
      <x:c r="L1" s="267"/>
      <x:c r="M1" s="267"/>
      <x:c r="N1" s="267"/>
    </x:row>
    <x:row r="2" ht="26" customHeight="1">
      <x:c r="A2" s="267"/>
      <x:c r="B2" s="267"/>
      <x:c r="C2" s="267"/>
      <x:c r="D2" s="267"/>
      <x:c r="E2" s="267"/>
      <x:c r="F2" s="267"/>
      <x:c r="G2" s="267"/>
      <x:c r="H2" s="267"/>
      <x:c r="I2" s="267"/>
      <x:c r="J2" s="267"/>
      <x:c r="K2" s="267"/>
      <x:c r="L2" s="267"/>
      <x:c r="M2" s="267"/>
      <x:c r="N2" s="267"/>
    </x:row>
    <x:row r="3" ht="26" customHeight="1">
      <x:c r="A3" s="268" t="str">
        <x:v>Les étapes sont reliées aux 800 tâches. Un prototype inspectable ne termine pas automatiquement les étapes de campagne.</x:v>
      </x:c>
      <x:c r="B3" s="268"/>
      <x:c r="C3" s="268"/>
      <x:c r="D3" s="268"/>
      <x:c r="E3" s="268"/>
      <x:c r="F3" s="268"/>
      <x:c r="G3" s="268"/>
      <x:c r="H3" s="268"/>
      <x:c r="I3" s="268"/>
      <x:c r="J3" s="268"/>
      <x:c r="K3" s="268"/>
      <x:c r="L3" s="268"/>
      <x:c r="M3" s="268"/>
      <x:c r="N3" s="268"/>
    </x:row>
    <x:row r="4" ht="26" customHeight="1">
      <x:c r="A4" s="126"/>
      <x:c r="B4" s="126"/>
      <x:c r="C4" s="126"/>
      <x:c r="D4" s="126"/>
      <x:c r="E4" s="126"/>
      <x:c r="F4" s="126"/>
      <x:c r="G4" s="126"/>
      <x:c r="H4" s="126"/>
      <x:c r="I4" s="126"/>
      <x:c r="J4" s="126"/>
      <x:c r="K4" s="126"/>
      <x:c r="L4" s="126"/>
      <x:c r="M4" s="126"/>
      <x:c r="N4" s="126"/>
    </x:row>
    <x:row r="5" ht="38" customHeight="1">
      <x:c r="A5" s="270" t="str">
        <x:v>ID typologie</x:v>
      </x:c>
      <x:c r="B5" s="270" t="str">
        <x:v>Typologie</x:v>
      </x:c>
      <x:c r="C5" s="270" t="str">
        <x:v>Dimensions</x:v>
      </x:c>
      <x:c r="D5" s="270" t="str">
        <x:v>Architecture</x:v>
      </x:c>
      <x:c r="E5" s="270" t="str">
        <x:v>Seed</x:v>
      </x:c>
      <x:c r="F5" s="270" t="str">
        <x:v>Objets</x:v>
      </x:c>
      <x:c r="G5" s="270" t="str">
        <x:v>Butin</x:v>
      </x:c>
      <x:c r="H5" s="270" t="str">
        <x:v>Rencontres</x:v>
      </x:c>
      <x:c r="I5" s="270" t="str">
        <x:v>Services</x:v>
      </x:c>
      <x:c r="J5" s="270" t="str">
        <x:v>Graphismes</x:v>
      </x:c>
      <x:c r="K5" s="270" t="str">
        <x:v>Sauvegarde</x:v>
      </x:c>
      <x:c r="L5" s="270" t="str">
        <x:v>QA</x:v>
      </x:c>
      <x:c r="M5" s="270" t="str">
        <x:v>Validées</x:v>
      </x:c>
      <x:c r="N5" s="270" t="str">
        <x:v>Restantes</x:v>
      </x:c>
    </x:row>
    <x:row r="6" ht="34" customHeight="1">
      <x:c r="A6" s="271" t="str">
        <x:v>EXT-MONDE-T001</x:v>
      </x:c>
      <x:c r="B6" s="272" t="str">
        <x:v>Base nautique lacustre</x:v>
      </x:c>
      <x:c r="C6" s="271" t="str">
        <x:f>INDEX(Chantiers!$G$6:$G$805,MATCH($A6&amp;"/dimensions",Chantiers!$A$6:$A$805,0))</x:f>
        <x:v>En cours</x:v>
      </x:c>
      <x:c r="D6" s="271" t="str">
        <x:f>INDEX(Chantiers!$G$6:$G$805,MATCH($A6&amp;"/architecture",Chantiers!$A$6:$A$805,0))</x:f>
        <x:v>En cours</x:v>
      </x:c>
      <x:c r="E6" s="271" t="str">
        <x:f>INDEX(Chantiers!$G$6:$G$805,MATCH($A6&amp;"/seed",Chantiers!$A$6:$A$805,0))</x:f>
        <x:v>À faire</x:v>
      </x:c>
      <x:c r="F6" s="271" t="str">
        <x:f>INDEX(Chantiers!$G$6:$G$805,MATCH($A6&amp;"/props",Chantiers!$A$6:$A$805,0))</x:f>
        <x:v>En cours</x:v>
      </x:c>
      <x:c r="G6" s="271" t="str">
        <x:f>INDEX(Chantiers!$G$6:$G$805,MATCH($A6&amp;"/loot",Chantiers!$A$6:$A$805,0))</x:f>
        <x:v>À faire</x:v>
      </x:c>
      <x:c r="H6" s="271" t="str">
        <x:f>INDEX(Chantiers!$G$6:$G$805,MATCH($A6&amp;"/rencontres",Chantiers!$A$6:$A$805,0))</x:f>
        <x:v>À faire</x:v>
      </x:c>
      <x:c r="I6" s="271" t="str">
        <x:f>INDEX(Chantiers!$G$6:$G$805,MATCH($A6&amp;"/services",Chantiers!$A$6:$A$805,0))</x:f>
        <x:v>À faire</x:v>
      </x:c>
      <x:c r="J6" s="271" t="str">
        <x:f>INDEX(Chantiers!$G$6:$G$805,MATCH($A6&amp;"/art",Chantiers!$A$6:$A$805,0))</x:f>
        <x:v>À faire</x:v>
      </x:c>
      <x:c r="K6" s="271" t="str">
        <x:f>INDEX(Chantiers!$G$6:$G$805,MATCH($A6&amp;"/sauvegarde",Chantiers!$A$6:$A$805,0))</x:f>
        <x:v>En cours</x:v>
      </x:c>
      <x:c r="L6" s="271" t="str">
        <x:f>INDEX(Chantiers!$G$6:$G$805,MATCH($A6&amp;"/qa",Chantiers!$A$6:$A$805,0))</x:f>
        <x:v>En cours</x:v>
      </x:c>
      <x:c r="M6" s="271" t="n">
        <x:f>COUNTIF(C6:L6,"Validé")</x:f>
        <x:v>0</x:v>
      </x:c>
      <x:c r="N6" s="271" t="n">
        <x:f>COLUMNS(C6:L6)-M6</x:f>
        <x:v>10</x:v>
      </x:c>
    </x:row>
    <x:row r="7" ht="34" customHeight="1">
      <x:c r="A7" s="271" t="str">
        <x:v>EXT-MONDE-T002</x:v>
      </x:c>
      <x:c r="B7" s="272" t="str">
        <x:v>Village de pêche lacustre</x:v>
      </x:c>
      <x:c r="C7" s="271" t="str">
        <x:f>INDEX(Chantiers!$G$6:$G$805,MATCH($A7&amp;"/dimensions",Chantiers!$A$6:$A$805,0))</x:f>
        <x:v>En cours</x:v>
      </x:c>
      <x:c r="D7" s="271" t="str">
        <x:f>INDEX(Chantiers!$G$6:$G$805,MATCH($A7&amp;"/architecture",Chantiers!$A$6:$A$805,0))</x:f>
        <x:v>En cours</x:v>
      </x:c>
      <x:c r="E7" s="271" t="str">
        <x:f>INDEX(Chantiers!$G$6:$G$805,MATCH($A7&amp;"/seed",Chantiers!$A$6:$A$805,0))</x:f>
        <x:v>À faire</x:v>
      </x:c>
      <x:c r="F7" s="271" t="str">
        <x:f>INDEX(Chantiers!$G$6:$G$805,MATCH($A7&amp;"/props",Chantiers!$A$6:$A$805,0))</x:f>
        <x:v>En cours</x:v>
      </x:c>
      <x:c r="G7" s="271" t="str">
        <x:f>INDEX(Chantiers!$G$6:$G$805,MATCH($A7&amp;"/loot",Chantiers!$A$6:$A$805,0))</x:f>
        <x:v>À faire</x:v>
      </x:c>
      <x:c r="H7" s="271" t="str">
        <x:f>INDEX(Chantiers!$G$6:$G$805,MATCH($A7&amp;"/rencontres",Chantiers!$A$6:$A$805,0))</x:f>
        <x:v>À faire</x:v>
      </x:c>
      <x:c r="I7" s="271" t="str">
        <x:f>INDEX(Chantiers!$G$6:$G$805,MATCH($A7&amp;"/services",Chantiers!$A$6:$A$805,0))</x:f>
        <x:v>À faire</x:v>
      </x:c>
      <x:c r="J7" s="271" t="str">
        <x:f>INDEX(Chantiers!$G$6:$G$805,MATCH($A7&amp;"/art",Chantiers!$A$6:$A$805,0))</x:f>
        <x:v>À faire</x:v>
      </x:c>
      <x:c r="K7" s="271" t="str">
        <x:f>INDEX(Chantiers!$G$6:$G$805,MATCH($A7&amp;"/sauvegarde",Chantiers!$A$6:$A$805,0))</x:f>
        <x:v>En cours</x:v>
      </x:c>
      <x:c r="L7" s="271" t="str">
        <x:f>INDEX(Chantiers!$G$6:$G$805,MATCH($A7&amp;"/qa",Chantiers!$A$6:$A$805,0))</x:f>
        <x:v>En cours</x:v>
      </x:c>
      <x:c r="M7" s="271" t="n">
        <x:f>COUNTIF(C7:L7,"Validé")</x:f>
        <x:v>0</x:v>
      </x:c>
      <x:c r="N7" s="271" t="n">
        <x:f>COLUMNS(C7:L7)-M7</x:f>
        <x:v>10</x:v>
      </x:c>
    </x:row>
    <x:row r="8" ht="34" customHeight="1">
      <x:c r="A8" s="271" t="str">
        <x:v>EXT-MONDE-T003</x:v>
      </x:c>
      <x:c r="B8" s="272" t="str">
        <x:v>Station limnologique</x:v>
      </x:c>
      <x:c r="C8" s="271" t="str">
        <x:f>INDEX(Chantiers!$G$6:$G$805,MATCH($A8&amp;"/dimensions",Chantiers!$A$6:$A$805,0))</x:f>
        <x:v>En cours</x:v>
      </x:c>
      <x:c r="D8" s="271" t="str">
        <x:f>INDEX(Chantiers!$G$6:$G$805,MATCH($A8&amp;"/architecture",Chantiers!$A$6:$A$805,0))</x:f>
        <x:v>En cours</x:v>
      </x:c>
      <x:c r="E8" s="271" t="str">
        <x:f>INDEX(Chantiers!$G$6:$G$805,MATCH($A8&amp;"/seed",Chantiers!$A$6:$A$805,0))</x:f>
        <x:v>À faire</x:v>
      </x:c>
      <x:c r="F8" s="271" t="str">
        <x:f>INDEX(Chantiers!$G$6:$G$805,MATCH($A8&amp;"/props",Chantiers!$A$6:$A$805,0))</x:f>
        <x:v>En cours</x:v>
      </x:c>
      <x:c r="G8" s="271" t="str">
        <x:f>INDEX(Chantiers!$G$6:$G$805,MATCH($A8&amp;"/loot",Chantiers!$A$6:$A$805,0))</x:f>
        <x:v>À faire</x:v>
      </x:c>
      <x:c r="H8" s="271" t="str">
        <x:f>INDEX(Chantiers!$G$6:$G$805,MATCH($A8&amp;"/rencontres",Chantiers!$A$6:$A$805,0))</x:f>
        <x:v>À faire</x:v>
      </x:c>
      <x:c r="I8" s="271" t="str">
        <x:f>INDEX(Chantiers!$G$6:$G$805,MATCH($A8&amp;"/services",Chantiers!$A$6:$A$805,0))</x:f>
        <x:v>À faire</x:v>
      </x:c>
      <x:c r="J8" s="271" t="str">
        <x:f>INDEX(Chantiers!$G$6:$G$805,MATCH($A8&amp;"/art",Chantiers!$A$6:$A$805,0))</x:f>
        <x:v>À faire</x:v>
      </x:c>
      <x:c r="K8" s="271" t="str">
        <x:f>INDEX(Chantiers!$G$6:$G$805,MATCH($A8&amp;"/sauvegarde",Chantiers!$A$6:$A$805,0))</x:f>
        <x:v>En cours</x:v>
      </x:c>
      <x:c r="L8" s="271" t="str">
        <x:f>INDEX(Chantiers!$G$6:$G$805,MATCH($A8&amp;"/qa",Chantiers!$A$6:$A$805,0))</x:f>
        <x:v>En cours</x:v>
      </x:c>
      <x:c r="M8" s="271" t="n">
        <x:f>COUNTIF(C8:L8,"Validé")</x:f>
        <x:v>0</x:v>
      </x:c>
      <x:c r="N8" s="271" t="n">
        <x:f>COLUMNS(C8:L8)-M8</x:f>
        <x:v>10</x:v>
      </x:c>
    </x:row>
    <x:row r="9" ht="34" customHeight="1">
      <x:c r="A9" s="271" t="str">
        <x:v>EXT-MONDE-T004</x:v>
      </x:c>
      <x:c r="B9" s="272" t="str">
        <x:v>Camping de rive</x:v>
      </x:c>
      <x:c r="C9" s="271" t="str">
        <x:f>INDEX(Chantiers!$G$6:$G$805,MATCH($A9&amp;"/dimensions",Chantiers!$A$6:$A$805,0))</x:f>
        <x:v>En cours</x:v>
      </x:c>
      <x:c r="D9" s="271" t="str">
        <x:f>INDEX(Chantiers!$G$6:$G$805,MATCH($A9&amp;"/architecture",Chantiers!$A$6:$A$805,0))</x:f>
        <x:v>En cours</x:v>
      </x:c>
      <x:c r="E9" s="271" t="str">
        <x:f>INDEX(Chantiers!$G$6:$G$805,MATCH($A9&amp;"/seed",Chantiers!$A$6:$A$805,0))</x:f>
        <x:v>À faire</x:v>
      </x:c>
      <x:c r="F9" s="271" t="str">
        <x:f>INDEX(Chantiers!$G$6:$G$805,MATCH($A9&amp;"/props",Chantiers!$A$6:$A$805,0))</x:f>
        <x:v>En cours</x:v>
      </x:c>
      <x:c r="G9" s="271" t="str">
        <x:f>INDEX(Chantiers!$G$6:$G$805,MATCH($A9&amp;"/loot",Chantiers!$A$6:$A$805,0))</x:f>
        <x:v>À faire</x:v>
      </x:c>
      <x:c r="H9" s="271" t="str">
        <x:f>INDEX(Chantiers!$G$6:$G$805,MATCH($A9&amp;"/rencontres",Chantiers!$A$6:$A$805,0))</x:f>
        <x:v>À faire</x:v>
      </x:c>
      <x:c r="I9" s="271" t="str">
        <x:f>INDEX(Chantiers!$G$6:$G$805,MATCH($A9&amp;"/services",Chantiers!$A$6:$A$805,0))</x:f>
        <x:v>À faire</x:v>
      </x:c>
      <x:c r="J9" s="271" t="str">
        <x:f>INDEX(Chantiers!$G$6:$G$805,MATCH($A9&amp;"/art",Chantiers!$A$6:$A$805,0))</x:f>
        <x:v>À faire</x:v>
      </x:c>
      <x:c r="K9" s="271" t="str">
        <x:f>INDEX(Chantiers!$G$6:$G$805,MATCH($A9&amp;"/sauvegarde",Chantiers!$A$6:$A$805,0))</x:f>
        <x:v>En cours</x:v>
      </x:c>
      <x:c r="L9" s="271" t="str">
        <x:f>INDEX(Chantiers!$G$6:$G$805,MATCH($A9&amp;"/qa",Chantiers!$A$6:$A$805,0))</x:f>
        <x:v>En cours</x:v>
      </x:c>
      <x:c r="M9" s="271" t="n">
        <x:f>COUNTIF(C9:L9,"Validé")</x:f>
        <x:v>0</x:v>
      </x:c>
      <x:c r="N9" s="271" t="n">
        <x:f>COLUMNS(C9:L9)-M9</x:f>
        <x:v>10</x:v>
      </x:c>
    </x:row>
    <x:row r="10" ht="34" customHeight="1">
      <x:c r="A10" s="271" t="str">
        <x:v>EXT-MONDE-T005</x:v>
      </x:c>
      <x:c r="B10" s="272" t="str">
        <x:v>Cargo polyvalent</x:v>
      </x:c>
      <x:c r="C10" s="271" t="str">
        <x:f>INDEX(Chantiers!$G$6:$G$805,MATCH($A10&amp;"/dimensions",Chantiers!$A$6:$A$805,0))</x:f>
        <x:v>En cours</x:v>
      </x:c>
      <x:c r="D10" s="271" t="str">
        <x:f>INDEX(Chantiers!$G$6:$G$805,MATCH($A10&amp;"/architecture",Chantiers!$A$6:$A$805,0))</x:f>
        <x:v>En cours</x:v>
      </x:c>
      <x:c r="E10" s="271" t="str">
        <x:f>INDEX(Chantiers!$G$6:$G$805,MATCH($A10&amp;"/seed",Chantiers!$A$6:$A$805,0))</x:f>
        <x:v>À faire</x:v>
      </x:c>
      <x:c r="F10" s="271" t="str">
        <x:f>INDEX(Chantiers!$G$6:$G$805,MATCH($A10&amp;"/props",Chantiers!$A$6:$A$805,0))</x:f>
        <x:v>En cours</x:v>
      </x:c>
      <x:c r="G10" s="271" t="str">
        <x:f>INDEX(Chantiers!$G$6:$G$805,MATCH($A10&amp;"/loot",Chantiers!$A$6:$A$805,0))</x:f>
        <x:v>À faire</x:v>
      </x:c>
      <x:c r="H10" s="271" t="str">
        <x:f>INDEX(Chantiers!$G$6:$G$805,MATCH($A10&amp;"/rencontres",Chantiers!$A$6:$A$805,0))</x:f>
        <x:v>À faire</x:v>
      </x:c>
      <x:c r="I10" s="271" t="str">
        <x:f>INDEX(Chantiers!$G$6:$G$805,MATCH($A10&amp;"/services",Chantiers!$A$6:$A$805,0))</x:f>
        <x:v>À faire</x:v>
      </x:c>
      <x:c r="J10" s="271" t="str">
        <x:f>INDEX(Chantiers!$G$6:$G$805,MATCH($A10&amp;"/art",Chantiers!$A$6:$A$805,0))</x:f>
        <x:v>À faire</x:v>
      </x:c>
      <x:c r="K10" s="271" t="str">
        <x:f>INDEX(Chantiers!$G$6:$G$805,MATCH($A10&amp;"/sauvegarde",Chantiers!$A$6:$A$805,0))</x:f>
        <x:v>En cours</x:v>
      </x:c>
      <x:c r="L10" s="271" t="str">
        <x:f>INDEX(Chantiers!$G$6:$G$805,MATCH($A10&amp;"/qa",Chantiers!$A$6:$A$805,0))</x:f>
        <x:v>En cours</x:v>
      </x:c>
      <x:c r="M10" s="271" t="n">
        <x:f>COUNTIF(C10:L10,"Validé")</x:f>
        <x:v>0</x:v>
      </x:c>
      <x:c r="N10" s="271" t="n">
        <x:f>COLUMNS(C10:L10)-M10</x:f>
        <x:v>10</x:v>
      </x:c>
    </x:row>
    <x:row r="11" ht="34" customHeight="1">
      <x:c r="A11" s="271" t="str">
        <x:v>EXT-MONDE-T006</x:v>
      </x:c>
      <x:c r="B11" s="272" t="str">
        <x:v>Pétrolier océanique</x:v>
      </x:c>
      <x:c r="C11" s="271" t="str">
        <x:f>INDEX(Chantiers!$G$6:$G$805,MATCH($A11&amp;"/dimensions",Chantiers!$A$6:$A$805,0))</x:f>
        <x:v>En cours</x:v>
      </x:c>
      <x:c r="D11" s="271" t="str">
        <x:f>INDEX(Chantiers!$G$6:$G$805,MATCH($A11&amp;"/architecture",Chantiers!$A$6:$A$805,0))</x:f>
        <x:v>En cours</x:v>
      </x:c>
      <x:c r="E11" s="271" t="str">
        <x:f>INDEX(Chantiers!$G$6:$G$805,MATCH($A11&amp;"/seed",Chantiers!$A$6:$A$805,0))</x:f>
        <x:v>À faire</x:v>
      </x:c>
      <x:c r="F11" s="271" t="str">
        <x:f>INDEX(Chantiers!$G$6:$G$805,MATCH($A11&amp;"/props",Chantiers!$A$6:$A$805,0))</x:f>
        <x:v>En cours</x:v>
      </x:c>
      <x:c r="G11" s="271" t="str">
        <x:f>INDEX(Chantiers!$G$6:$G$805,MATCH($A11&amp;"/loot",Chantiers!$A$6:$A$805,0))</x:f>
        <x:v>À faire</x:v>
      </x:c>
      <x:c r="H11" s="271" t="str">
        <x:f>INDEX(Chantiers!$G$6:$G$805,MATCH($A11&amp;"/rencontres",Chantiers!$A$6:$A$805,0))</x:f>
        <x:v>À faire</x:v>
      </x:c>
      <x:c r="I11" s="271" t="str">
        <x:f>INDEX(Chantiers!$G$6:$G$805,MATCH($A11&amp;"/services",Chantiers!$A$6:$A$805,0))</x:f>
        <x:v>À faire</x:v>
      </x:c>
      <x:c r="J11" s="271" t="str">
        <x:f>INDEX(Chantiers!$G$6:$G$805,MATCH($A11&amp;"/art",Chantiers!$A$6:$A$805,0))</x:f>
        <x:v>À faire</x:v>
      </x:c>
      <x:c r="K11" s="271" t="str">
        <x:f>INDEX(Chantiers!$G$6:$G$805,MATCH($A11&amp;"/sauvegarde",Chantiers!$A$6:$A$805,0))</x:f>
        <x:v>En cours</x:v>
      </x:c>
      <x:c r="L11" s="271" t="str">
        <x:f>INDEX(Chantiers!$G$6:$G$805,MATCH($A11&amp;"/qa",Chantiers!$A$6:$A$805,0))</x:f>
        <x:v>En cours</x:v>
      </x:c>
      <x:c r="M11" s="271" t="n">
        <x:f>COUNTIF(C11:L11,"Validé")</x:f>
        <x:v>0</x:v>
      </x:c>
      <x:c r="N11" s="271" t="n">
        <x:f>COLUMNS(C11:L11)-M11</x:f>
        <x:v>10</x:v>
      </x:c>
    </x:row>
    <x:row r="12" ht="34" customHeight="1">
      <x:c r="A12" s="271" t="str">
        <x:v>EXT-MONDE-T007</x:v>
      </x:c>
      <x:c r="B12" s="272" t="str">
        <x:v>Croiseur militaire abandonné</x:v>
      </x:c>
      <x:c r="C12" s="271" t="str">
        <x:f>INDEX(Chantiers!$G$6:$G$805,MATCH($A12&amp;"/dimensions",Chantiers!$A$6:$A$805,0))</x:f>
        <x:v>En cours</x:v>
      </x:c>
      <x:c r="D12" s="271" t="str">
        <x:f>INDEX(Chantiers!$G$6:$G$805,MATCH($A12&amp;"/architecture",Chantiers!$A$6:$A$805,0))</x:f>
        <x:v>En cours</x:v>
      </x:c>
      <x:c r="E12" s="271" t="str">
        <x:f>INDEX(Chantiers!$G$6:$G$805,MATCH($A12&amp;"/seed",Chantiers!$A$6:$A$805,0))</x:f>
        <x:v>À faire</x:v>
      </x:c>
      <x:c r="F12" s="271" t="str">
        <x:f>INDEX(Chantiers!$G$6:$G$805,MATCH($A12&amp;"/props",Chantiers!$A$6:$A$805,0))</x:f>
        <x:v>En cours</x:v>
      </x:c>
      <x:c r="G12" s="271" t="str">
        <x:f>INDEX(Chantiers!$G$6:$G$805,MATCH($A12&amp;"/loot",Chantiers!$A$6:$A$805,0))</x:f>
        <x:v>À faire</x:v>
      </x:c>
      <x:c r="H12" s="271" t="str">
        <x:f>INDEX(Chantiers!$G$6:$G$805,MATCH($A12&amp;"/rencontres",Chantiers!$A$6:$A$805,0))</x:f>
        <x:v>À faire</x:v>
      </x:c>
      <x:c r="I12" s="271" t="str">
        <x:f>INDEX(Chantiers!$G$6:$G$805,MATCH($A12&amp;"/services",Chantiers!$A$6:$A$805,0))</x:f>
        <x:v>À faire</x:v>
      </x:c>
      <x:c r="J12" s="271" t="str">
        <x:f>INDEX(Chantiers!$G$6:$G$805,MATCH($A12&amp;"/art",Chantiers!$A$6:$A$805,0))</x:f>
        <x:v>À faire</x:v>
      </x:c>
      <x:c r="K12" s="271" t="str">
        <x:f>INDEX(Chantiers!$G$6:$G$805,MATCH($A12&amp;"/sauvegarde",Chantiers!$A$6:$A$805,0))</x:f>
        <x:v>En cours</x:v>
      </x:c>
      <x:c r="L12" s="271" t="str">
        <x:f>INDEX(Chantiers!$G$6:$G$805,MATCH($A12&amp;"/qa",Chantiers!$A$6:$A$805,0))</x:f>
        <x:v>En cours</x:v>
      </x:c>
      <x:c r="M12" s="271" t="n">
        <x:f>COUNTIF(C12:L12,"Validé")</x:f>
        <x:v>0</x:v>
      </x:c>
      <x:c r="N12" s="271" t="n">
        <x:f>COLUMNS(C12:L12)-M12</x:f>
        <x:v>10</x:v>
      </x:c>
    </x:row>
    <x:row r="13" ht="34" customHeight="1">
      <x:c r="A13" s="271" t="str">
        <x:v>EXT-MONDE-T008</x:v>
      </x:c>
      <x:c r="B13" s="272" t="str">
        <x:v>Sous-marin en surface</x:v>
      </x:c>
      <x:c r="C13" s="271" t="str">
        <x:f>INDEX(Chantiers!$G$6:$G$805,MATCH($A13&amp;"/dimensions",Chantiers!$A$6:$A$805,0))</x:f>
        <x:v>En cours</x:v>
      </x:c>
      <x:c r="D13" s="271" t="str">
        <x:f>INDEX(Chantiers!$G$6:$G$805,MATCH($A13&amp;"/architecture",Chantiers!$A$6:$A$805,0))</x:f>
        <x:v>En cours</x:v>
      </x:c>
      <x:c r="E13" s="271" t="str">
        <x:f>INDEX(Chantiers!$G$6:$G$805,MATCH($A13&amp;"/seed",Chantiers!$A$6:$A$805,0))</x:f>
        <x:v>À faire</x:v>
      </x:c>
      <x:c r="F13" s="271" t="str">
        <x:f>INDEX(Chantiers!$G$6:$G$805,MATCH($A13&amp;"/props",Chantiers!$A$6:$A$805,0))</x:f>
        <x:v>En cours</x:v>
      </x:c>
      <x:c r="G13" s="271" t="str">
        <x:f>INDEX(Chantiers!$G$6:$G$805,MATCH($A13&amp;"/loot",Chantiers!$A$6:$A$805,0))</x:f>
        <x:v>À faire</x:v>
      </x:c>
      <x:c r="H13" s="271" t="str">
        <x:f>INDEX(Chantiers!$G$6:$G$805,MATCH($A13&amp;"/rencontres",Chantiers!$A$6:$A$805,0))</x:f>
        <x:v>À faire</x:v>
      </x:c>
      <x:c r="I13" s="271" t="str">
        <x:f>INDEX(Chantiers!$G$6:$G$805,MATCH($A13&amp;"/services",Chantiers!$A$6:$A$805,0))</x:f>
        <x:v>À faire</x:v>
      </x:c>
      <x:c r="J13" s="271" t="str">
        <x:f>INDEX(Chantiers!$G$6:$G$805,MATCH($A13&amp;"/art",Chantiers!$A$6:$A$805,0))</x:f>
        <x:v>À faire</x:v>
      </x:c>
      <x:c r="K13" s="271" t="str">
        <x:f>INDEX(Chantiers!$G$6:$G$805,MATCH($A13&amp;"/sauvegarde",Chantiers!$A$6:$A$805,0))</x:f>
        <x:v>En cours</x:v>
      </x:c>
      <x:c r="L13" s="271" t="str">
        <x:f>INDEX(Chantiers!$G$6:$G$805,MATCH($A13&amp;"/qa",Chantiers!$A$6:$A$805,0))</x:f>
        <x:v>En cours</x:v>
      </x:c>
      <x:c r="M13" s="271" t="n">
        <x:f>COUNTIF(C13:L13,"Validé")</x:f>
        <x:v>0</x:v>
      </x:c>
      <x:c r="N13" s="271" t="n">
        <x:f>COLUMNS(C13:L13)-M13</x:f>
        <x:v>10</x:v>
      </x:c>
    </x:row>
    <x:row r="14" ht="34" customHeight="1">
      <x:c r="A14" s="271" t="str">
        <x:v>EXT-MONDE-T009</x:v>
      </x:c>
      <x:c r="B14" s="272" t="str">
        <x:v>Plateforme pétrolière fixe</x:v>
      </x:c>
      <x:c r="C14" s="271" t="str">
        <x:f>INDEX(Chantiers!$G$6:$G$805,MATCH($A14&amp;"/dimensions",Chantiers!$A$6:$A$805,0))</x:f>
        <x:v>En cours</x:v>
      </x:c>
      <x:c r="D14" s="271" t="str">
        <x:f>INDEX(Chantiers!$G$6:$G$805,MATCH($A14&amp;"/architecture",Chantiers!$A$6:$A$805,0))</x:f>
        <x:v>En cours</x:v>
      </x:c>
      <x:c r="E14" s="271" t="str">
        <x:f>INDEX(Chantiers!$G$6:$G$805,MATCH($A14&amp;"/seed",Chantiers!$A$6:$A$805,0))</x:f>
        <x:v>À faire</x:v>
      </x:c>
      <x:c r="F14" s="271" t="str">
        <x:f>INDEX(Chantiers!$G$6:$G$805,MATCH($A14&amp;"/props",Chantiers!$A$6:$A$805,0))</x:f>
        <x:v>En cours</x:v>
      </x:c>
      <x:c r="G14" s="271" t="str">
        <x:f>INDEX(Chantiers!$G$6:$G$805,MATCH($A14&amp;"/loot",Chantiers!$A$6:$A$805,0))</x:f>
        <x:v>À faire</x:v>
      </x:c>
      <x:c r="H14" s="271" t="str">
        <x:f>INDEX(Chantiers!$G$6:$G$805,MATCH($A14&amp;"/rencontres",Chantiers!$A$6:$A$805,0))</x:f>
        <x:v>À faire</x:v>
      </x:c>
      <x:c r="I14" s="271" t="str">
        <x:f>INDEX(Chantiers!$G$6:$G$805,MATCH($A14&amp;"/services",Chantiers!$A$6:$A$805,0))</x:f>
        <x:v>À faire</x:v>
      </x:c>
      <x:c r="J14" s="271" t="str">
        <x:f>INDEX(Chantiers!$G$6:$G$805,MATCH($A14&amp;"/art",Chantiers!$A$6:$A$805,0))</x:f>
        <x:v>À faire</x:v>
      </x:c>
      <x:c r="K14" s="271" t="str">
        <x:f>INDEX(Chantiers!$G$6:$G$805,MATCH($A14&amp;"/sauvegarde",Chantiers!$A$6:$A$805,0))</x:f>
        <x:v>En cours</x:v>
      </x:c>
      <x:c r="L14" s="271" t="str">
        <x:f>INDEX(Chantiers!$G$6:$G$805,MATCH($A14&amp;"/qa",Chantiers!$A$6:$A$805,0))</x:f>
        <x:v>En cours</x:v>
      </x:c>
      <x:c r="M14" s="271" t="n">
        <x:f>COUNTIF(C14:L14,"Validé")</x:f>
        <x:v>0</x:v>
      </x:c>
      <x:c r="N14" s="271" t="n">
        <x:f>COLUMNS(C14:L14)-M14</x:f>
        <x:v>10</x:v>
      </x:c>
    </x:row>
    <x:row r="15" ht="34" customHeight="1">
      <x:c r="A15" s="271" t="str">
        <x:v>EXT-MONDE-T010</x:v>
      </x:c>
      <x:c r="B15" s="272" t="str">
        <x:v>Plateforme semi-submersible</x:v>
      </x:c>
      <x:c r="C15" s="271" t="str">
        <x:f>INDEX(Chantiers!$G$6:$G$805,MATCH($A15&amp;"/dimensions",Chantiers!$A$6:$A$805,0))</x:f>
        <x:v>En cours</x:v>
      </x:c>
      <x:c r="D15" s="271" t="str">
        <x:f>INDEX(Chantiers!$G$6:$G$805,MATCH($A15&amp;"/architecture",Chantiers!$A$6:$A$805,0))</x:f>
        <x:v>En cours</x:v>
      </x:c>
      <x:c r="E15" s="271" t="str">
        <x:f>INDEX(Chantiers!$G$6:$G$805,MATCH($A15&amp;"/seed",Chantiers!$A$6:$A$805,0))</x:f>
        <x:v>À faire</x:v>
      </x:c>
      <x:c r="F15" s="271" t="str">
        <x:f>INDEX(Chantiers!$G$6:$G$805,MATCH($A15&amp;"/props",Chantiers!$A$6:$A$805,0))</x:f>
        <x:v>En cours</x:v>
      </x:c>
      <x:c r="G15" s="271" t="str">
        <x:f>INDEX(Chantiers!$G$6:$G$805,MATCH($A15&amp;"/loot",Chantiers!$A$6:$A$805,0))</x:f>
        <x:v>À faire</x:v>
      </x:c>
      <x:c r="H15" s="271" t="str">
        <x:f>INDEX(Chantiers!$G$6:$G$805,MATCH($A15&amp;"/rencontres",Chantiers!$A$6:$A$805,0))</x:f>
        <x:v>À faire</x:v>
      </x:c>
      <x:c r="I15" s="271" t="str">
        <x:f>INDEX(Chantiers!$G$6:$G$805,MATCH($A15&amp;"/services",Chantiers!$A$6:$A$805,0))</x:f>
        <x:v>À faire</x:v>
      </x:c>
      <x:c r="J15" s="271" t="str">
        <x:f>INDEX(Chantiers!$G$6:$G$805,MATCH($A15&amp;"/art",Chantiers!$A$6:$A$805,0))</x:f>
        <x:v>À faire</x:v>
      </x:c>
      <x:c r="K15" s="271" t="str">
        <x:f>INDEX(Chantiers!$G$6:$G$805,MATCH($A15&amp;"/sauvegarde",Chantiers!$A$6:$A$805,0))</x:f>
        <x:v>En cours</x:v>
      </x:c>
      <x:c r="L15" s="271" t="str">
        <x:f>INDEX(Chantiers!$G$6:$G$805,MATCH($A15&amp;"/qa",Chantiers!$A$6:$A$805,0))</x:f>
        <x:v>En cours</x:v>
      </x:c>
      <x:c r="M15" s="271" t="n">
        <x:f>COUNTIF(C15:L15,"Validé")</x:f>
        <x:v>0</x:v>
      </x:c>
      <x:c r="N15" s="271" t="n">
        <x:f>COLUMNS(C15:L15)-M15</x:f>
        <x:v>10</x:v>
      </x:c>
    </x:row>
    <x:row r="16" ht="34" customHeight="1">
      <x:c r="A16" s="271" t="str">
        <x:v>EXT-MONDE-T011</x:v>
      </x:c>
      <x:c r="B16" s="272" t="str">
        <x:v>Navire de soutien offshore</x:v>
      </x:c>
      <x:c r="C16" s="271" t="str">
        <x:f>INDEX(Chantiers!$G$6:$G$805,MATCH($A16&amp;"/dimensions",Chantiers!$A$6:$A$805,0))</x:f>
        <x:v>En cours</x:v>
      </x:c>
      <x:c r="D16" s="271" t="str">
        <x:f>INDEX(Chantiers!$G$6:$G$805,MATCH($A16&amp;"/architecture",Chantiers!$A$6:$A$805,0))</x:f>
        <x:v>En cours</x:v>
      </x:c>
      <x:c r="E16" s="271" t="str">
        <x:f>INDEX(Chantiers!$G$6:$G$805,MATCH($A16&amp;"/seed",Chantiers!$A$6:$A$805,0))</x:f>
        <x:v>À faire</x:v>
      </x:c>
      <x:c r="F16" s="271" t="str">
        <x:f>INDEX(Chantiers!$G$6:$G$805,MATCH($A16&amp;"/props",Chantiers!$A$6:$A$805,0))</x:f>
        <x:v>En cours</x:v>
      </x:c>
      <x:c r="G16" s="271" t="str">
        <x:f>INDEX(Chantiers!$G$6:$G$805,MATCH($A16&amp;"/loot",Chantiers!$A$6:$A$805,0))</x:f>
        <x:v>À faire</x:v>
      </x:c>
      <x:c r="H16" s="271" t="str">
        <x:f>INDEX(Chantiers!$G$6:$G$805,MATCH($A16&amp;"/rencontres",Chantiers!$A$6:$A$805,0))</x:f>
        <x:v>À faire</x:v>
      </x:c>
      <x:c r="I16" s="271" t="str">
        <x:f>INDEX(Chantiers!$G$6:$G$805,MATCH($A16&amp;"/services",Chantiers!$A$6:$A$805,0))</x:f>
        <x:v>À faire</x:v>
      </x:c>
      <x:c r="J16" s="271" t="str">
        <x:f>INDEX(Chantiers!$G$6:$G$805,MATCH($A16&amp;"/art",Chantiers!$A$6:$A$805,0))</x:f>
        <x:v>À faire</x:v>
      </x:c>
      <x:c r="K16" s="271" t="str">
        <x:f>INDEX(Chantiers!$G$6:$G$805,MATCH($A16&amp;"/sauvegarde",Chantiers!$A$6:$A$805,0))</x:f>
        <x:v>En cours</x:v>
      </x:c>
      <x:c r="L16" s="271" t="str">
        <x:f>INDEX(Chantiers!$G$6:$G$805,MATCH($A16&amp;"/qa",Chantiers!$A$6:$A$805,0))</x:f>
        <x:v>En cours</x:v>
      </x:c>
      <x:c r="M16" s="271" t="n">
        <x:f>COUNTIF(C16:L16,"Validé")</x:f>
        <x:v>0</x:v>
      </x:c>
      <x:c r="N16" s="271" t="n">
        <x:f>COLUMNS(C16:L16)-M16</x:f>
        <x:v>10</x:v>
      </x:c>
    </x:row>
    <x:row r="17" ht="34" customHeight="1">
      <x:c r="A17" s="271" t="str">
        <x:v>EXT-MONDE-T012</x:v>
      </x:c>
      <x:c r="B17" s="272" t="str">
        <x:v>Station scientifique marine</x:v>
      </x:c>
      <x:c r="C17" s="271" t="str">
        <x:f>INDEX(Chantiers!$G$6:$G$805,MATCH($A17&amp;"/dimensions",Chantiers!$A$6:$A$805,0))</x:f>
        <x:v>En cours</x:v>
      </x:c>
      <x:c r="D17" s="271" t="str">
        <x:f>INDEX(Chantiers!$G$6:$G$805,MATCH($A17&amp;"/architecture",Chantiers!$A$6:$A$805,0))</x:f>
        <x:v>En cours</x:v>
      </x:c>
      <x:c r="E17" s="271" t="str">
        <x:f>INDEX(Chantiers!$G$6:$G$805,MATCH($A17&amp;"/seed",Chantiers!$A$6:$A$805,0))</x:f>
        <x:v>À faire</x:v>
      </x:c>
      <x:c r="F17" s="271" t="str">
        <x:f>INDEX(Chantiers!$G$6:$G$805,MATCH($A17&amp;"/props",Chantiers!$A$6:$A$805,0))</x:f>
        <x:v>En cours</x:v>
      </x:c>
      <x:c r="G17" s="271" t="str">
        <x:f>INDEX(Chantiers!$G$6:$G$805,MATCH($A17&amp;"/loot",Chantiers!$A$6:$A$805,0))</x:f>
        <x:v>À faire</x:v>
      </x:c>
      <x:c r="H17" s="271" t="str">
        <x:f>INDEX(Chantiers!$G$6:$G$805,MATCH($A17&amp;"/rencontres",Chantiers!$A$6:$A$805,0))</x:f>
        <x:v>À faire</x:v>
      </x:c>
      <x:c r="I17" s="271" t="str">
        <x:f>INDEX(Chantiers!$G$6:$G$805,MATCH($A17&amp;"/services",Chantiers!$A$6:$A$805,0))</x:f>
        <x:v>À faire</x:v>
      </x:c>
      <x:c r="J17" s="271" t="str">
        <x:f>INDEX(Chantiers!$G$6:$G$805,MATCH($A17&amp;"/art",Chantiers!$A$6:$A$805,0))</x:f>
        <x:v>À faire</x:v>
      </x:c>
      <x:c r="K17" s="271" t="str">
        <x:f>INDEX(Chantiers!$G$6:$G$805,MATCH($A17&amp;"/sauvegarde",Chantiers!$A$6:$A$805,0))</x:f>
        <x:v>En cours</x:v>
      </x:c>
      <x:c r="L17" s="271" t="str">
        <x:f>INDEX(Chantiers!$G$6:$G$805,MATCH($A17&amp;"/qa",Chantiers!$A$6:$A$805,0))</x:f>
        <x:v>En cours</x:v>
      </x:c>
      <x:c r="M17" s="271" t="n">
        <x:f>COUNTIF(C17:L17,"Validé")</x:f>
        <x:v>0</x:v>
      </x:c>
      <x:c r="N17" s="271" t="n">
        <x:f>COLUMNS(C17:L17)-M17</x:f>
        <x:v>10</x:v>
      </x:c>
    </x:row>
    <x:row r="18" ht="34" customHeight="1">
      <x:c r="A18" s="271" t="str">
        <x:v>EXT-MONDE-T013</x:v>
      </x:c>
      <x:c r="B18" s="272" t="str">
        <x:v>Port de pêche</x:v>
      </x:c>
      <x:c r="C18" s="271" t="str">
        <x:f>INDEX(Chantiers!$G$6:$G$805,MATCH($A18&amp;"/dimensions",Chantiers!$A$6:$A$805,0))</x:f>
        <x:v>En cours</x:v>
      </x:c>
      <x:c r="D18" s="271" t="str">
        <x:f>INDEX(Chantiers!$G$6:$G$805,MATCH($A18&amp;"/architecture",Chantiers!$A$6:$A$805,0))</x:f>
        <x:v>En cours</x:v>
      </x:c>
      <x:c r="E18" s="271" t="str">
        <x:f>INDEX(Chantiers!$G$6:$G$805,MATCH($A18&amp;"/seed",Chantiers!$A$6:$A$805,0))</x:f>
        <x:v>À faire</x:v>
      </x:c>
      <x:c r="F18" s="271" t="str">
        <x:f>INDEX(Chantiers!$G$6:$G$805,MATCH($A18&amp;"/props",Chantiers!$A$6:$A$805,0))</x:f>
        <x:v>En cours</x:v>
      </x:c>
      <x:c r="G18" s="271" t="str">
        <x:f>INDEX(Chantiers!$G$6:$G$805,MATCH($A18&amp;"/loot",Chantiers!$A$6:$A$805,0))</x:f>
        <x:v>À faire</x:v>
      </x:c>
      <x:c r="H18" s="271" t="str">
        <x:f>INDEX(Chantiers!$G$6:$G$805,MATCH($A18&amp;"/rencontres",Chantiers!$A$6:$A$805,0))</x:f>
        <x:v>À faire</x:v>
      </x:c>
      <x:c r="I18" s="271" t="str">
        <x:f>INDEX(Chantiers!$G$6:$G$805,MATCH($A18&amp;"/services",Chantiers!$A$6:$A$805,0))</x:f>
        <x:v>À faire</x:v>
      </x:c>
      <x:c r="J18" s="271" t="str">
        <x:f>INDEX(Chantiers!$G$6:$G$805,MATCH($A18&amp;"/art",Chantiers!$A$6:$A$805,0))</x:f>
        <x:v>À faire</x:v>
      </x:c>
      <x:c r="K18" s="271" t="str">
        <x:f>INDEX(Chantiers!$G$6:$G$805,MATCH($A18&amp;"/sauvegarde",Chantiers!$A$6:$A$805,0))</x:f>
        <x:v>En cours</x:v>
      </x:c>
      <x:c r="L18" s="271" t="str">
        <x:f>INDEX(Chantiers!$G$6:$G$805,MATCH($A18&amp;"/qa",Chantiers!$A$6:$A$805,0))</x:f>
        <x:v>En cours</x:v>
      </x:c>
      <x:c r="M18" s="271" t="n">
        <x:f>COUNTIF(C18:L18,"Validé")</x:f>
        <x:v>0</x:v>
      </x:c>
      <x:c r="N18" s="271" t="n">
        <x:f>COLUMNS(C18:L18)-M18</x:f>
        <x:v>10</x:v>
      </x:c>
    </x:row>
    <x:row r="19" ht="34" customHeight="1">
      <x:c r="A19" s="271" t="str">
        <x:v>EXT-MONDE-T014</x:v>
      </x:c>
      <x:c r="B19" s="272" t="str">
        <x:v>Marina</x:v>
      </x:c>
      <x:c r="C19" s="271" t="str">
        <x:f>INDEX(Chantiers!$G$6:$G$805,MATCH($A19&amp;"/dimensions",Chantiers!$A$6:$A$805,0))</x:f>
        <x:v>En cours</x:v>
      </x:c>
      <x:c r="D19" s="271" t="str">
        <x:f>INDEX(Chantiers!$G$6:$G$805,MATCH($A19&amp;"/architecture",Chantiers!$A$6:$A$805,0))</x:f>
        <x:v>En cours</x:v>
      </x:c>
      <x:c r="E19" s="271" t="str">
        <x:f>INDEX(Chantiers!$G$6:$G$805,MATCH($A19&amp;"/seed",Chantiers!$A$6:$A$805,0))</x:f>
        <x:v>À faire</x:v>
      </x:c>
      <x:c r="F19" s="271" t="str">
        <x:f>INDEX(Chantiers!$G$6:$G$805,MATCH($A19&amp;"/props",Chantiers!$A$6:$A$805,0))</x:f>
        <x:v>En cours</x:v>
      </x:c>
      <x:c r="G19" s="271" t="str">
        <x:f>INDEX(Chantiers!$G$6:$G$805,MATCH($A19&amp;"/loot",Chantiers!$A$6:$A$805,0))</x:f>
        <x:v>À faire</x:v>
      </x:c>
      <x:c r="H19" s="271" t="str">
        <x:f>INDEX(Chantiers!$G$6:$G$805,MATCH($A19&amp;"/rencontres",Chantiers!$A$6:$A$805,0))</x:f>
        <x:v>À faire</x:v>
      </x:c>
      <x:c r="I19" s="271" t="str">
        <x:f>INDEX(Chantiers!$G$6:$G$805,MATCH($A19&amp;"/services",Chantiers!$A$6:$A$805,0))</x:f>
        <x:v>À faire</x:v>
      </x:c>
      <x:c r="J19" s="271" t="str">
        <x:f>INDEX(Chantiers!$G$6:$G$805,MATCH($A19&amp;"/art",Chantiers!$A$6:$A$805,0))</x:f>
        <x:v>À faire</x:v>
      </x:c>
      <x:c r="K19" s="271" t="str">
        <x:f>INDEX(Chantiers!$G$6:$G$805,MATCH($A19&amp;"/sauvegarde",Chantiers!$A$6:$A$805,0))</x:f>
        <x:v>En cours</x:v>
      </x:c>
      <x:c r="L19" s="271" t="str">
        <x:f>INDEX(Chantiers!$G$6:$G$805,MATCH($A19&amp;"/qa",Chantiers!$A$6:$A$805,0))</x:f>
        <x:v>En cours</x:v>
      </x:c>
      <x:c r="M19" s="271" t="n">
        <x:f>COUNTIF(C19:L19,"Validé")</x:f>
        <x:v>0</x:v>
      </x:c>
      <x:c r="N19" s="271" t="n">
        <x:f>COLUMNS(C19:L19)-M19</x:f>
        <x:v>10</x:v>
      </x:c>
    </x:row>
    <x:row r="20" ht="34" customHeight="1">
      <x:c r="A20" s="271" t="str">
        <x:v>EXT-MONDE-T015</x:v>
      </x:c>
      <x:c r="B20" s="272" t="str">
        <x:v>Terminal conteneurs</x:v>
      </x:c>
      <x:c r="C20" s="271" t="str">
        <x:f>INDEX(Chantiers!$G$6:$G$805,MATCH($A20&amp;"/dimensions",Chantiers!$A$6:$A$805,0))</x:f>
        <x:v>En cours</x:v>
      </x:c>
      <x:c r="D20" s="271" t="str">
        <x:f>INDEX(Chantiers!$G$6:$G$805,MATCH($A20&amp;"/architecture",Chantiers!$A$6:$A$805,0))</x:f>
        <x:v>En cours</x:v>
      </x:c>
      <x:c r="E20" s="271" t="str">
        <x:f>INDEX(Chantiers!$G$6:$G$805,MATCH($A20&amp;"/seed",Chantiers!$A$6:$A$805,0))</x:f>
        <x:v>À faire</x:v>
      </x:c>
      <x:c r="F20" s="271" t="str">
        <x:f>INDEX(Chantiers!$G$6:$G$805,MATCH($A20&amp;"/props",Chantiers!$A$6:$A$805,0))</x:f>
        <x:v>En cours</x:v>
      </x:c>
      <x:c r="G20" s="271" t="str">
        <x:f>INDEX(Chantiers!$G$6:$G$805,MATCH($A20&amp;"/loot",Chantiers!$A$6:$A$805,0))</x:f>
        <x:v>À faire</x:v>
      </x:c>
      <x:c r="H20" s="271" t="str">
        <x:f>INDEX(Chantiers!$G$6:$G$805,MATCH($A20&amp;"/rencontres",Chantiers!$A$6:$A$805,0))</x:f>
        <x:v>À faire</x:v>
      </x:c>
      <x:c r="I20" s="271" t="str">
        <x:f>INDEX(Chantiers!$G$6:$G$805,MATCH($A20&amp;"/services",Chantiers!$A$6:$A$805,0))</x:f>
        <x:v>À faire</x:v>
      </x:c>
      <x:c r="J20" s="271" t="str">
        <x:f>INDEX(Chantiers!$G$6:$G$805,MATCH($A20&amp;"/art",Chantiers!$A$6:$A$805,0))</x:f>
        <x:v>À faire</x:v>
      </x:c>
      <x:c r="K20" s="271" t="str">
        <x:f>INDEX(Chantiers!$G$6:$G$805,MATCH($A20&amp;"/sauvegarde",Chantiers!$A$6:$A$805,0))</x:f>
        <x:v>En cours</x:v>
      </x:c>
      <x:c r="L20" s="271" t="str">
        <x:f>INDEX(Chantiers!$G$6:$G$805,MATCH($A20&amp;"/qa",Chantiers!$A$6:$A$805,0))</x:f>
        <x:v>En cours</x:v>
      </x:c>
      <x:c r="M20" s="271" t="n">
        <x:f>COUNTIF(C20:L20,"Validé")</x:f>
        <x:v>0</x:v>
      </x:c>
      <x:c r="N20" s="271" t="n">
        <x:f>COLUMNS(C20:L20)-M20</x:f>
        <x:v>10</x:v>
      </x:c>
    </x:row>
    <x:row r="21" ht="34" customHeight="1">
      <x:c r="A21" s="271" t="str">
        <x:v>EXT-MONDE-T016</x:v>
      </x:c>
      <x:c r="B21" s="272" t="str">
        <x:v>Terminal ferry</x:v>
      </x:c>
      <x:c r="C21" s="271" t="str">
        <x:f>INDEX(Chantiers!$G$6:$G$805,MATCH($A21&amp;"/dimensions",Chantiers!$A$6:$A$805,0))</x:f>
        <x:v>En cours</x:v>
      </x:c>
      <x:c r="D21" s="271" t="str">
        <x:f>INDEX(Chantiers!$G$6:$G$805,MATCH($A21&amp;"/architecture",Chantiers!$A$6:$A$805,0))</x:f>
        <x:v>En cours</x:v>
      </x:c>
      <x:c r="E21" s="271" t="str">
        <x:f>INDEX(Chantiers!$G$6:$G$805,MATCH($A21&amp;"/seed",Chantiers!$A$6:$A$805,0))</x:f>
        <x:v>À faire</x:v>
      </x:c>
      <x:c r="F21" s="271" t="str">
        <x:f>INDEX(Chantiers!$G$6:$G$805,MATCH($A21&amp;"/props",Chantiers!$A$6:$A$805,0))</x:f>
        <x:v>En cours</x:v>
      </x:c>
      <x:c r="G21" s="271" t="str">
        <x:f>INDEX(Chantiers!$G$6:$G$805,MATCH($A21&amp;"/loot",Chantiers!$A$6:$A$805,0))</x:f>
        <x:v>À faire</x:v>
      </x:c>
      <x:c r="H21" s="271" t="str">
        <x:f>INDEX(Chantiers!$G$6:$G$805,MATCH($A21&amp;"/rencontres",Chantiers!$A$6:$A$805,0))</x:f>
        <x:v>À faire</x:v>
      </x:c>
      <x:c r="I21" s="271" t="str">
        <x:f>INDEX(Chantiers!$G$6:$G$805,MATCH($A21&amp;"/services",Chantiers!$A$6:$A$805,0))</x:f>
        <x:v>À faire</x:v>
      </x:c>
      <x:c r="J21" s="271" t="str">
        <x:f>INDEX(Chantiers!$G$6:$G$805,MATCH($A21&amp;"/art",Chantiers!$A$6:$A$805,0))</x:f>
        <x:v>À faire</x:v>
      </x:c>
      <x:c r="K21" s="271" t="str">
        <x:f>INDEX(Chantiers!$G$6:$G$805,MATCH($A21&amp;"/sauvegarde",Chantiers!$A$6:$A$805,0))</x:f>
        <x:v>En cours</x:v>
      </x:c>
      <x:c r="L21" s="271" t="str">
        <x:f>INDEX(Chantiers!$G$6:$G$805,MATCH($A21&amp;"/qa",Chantiers!$A$6:$A$805,0))</x:f>
        <x:v>En cours</x:v>
      </x:c>
      <x:c r="M21" s="271" t="n">
        <x:f>COUNTIF(C21:L21,"Validé")</x:f>
        <x:v>0</x:v>
      </x:c>
      <x:c r="N21" s="271" t="n">
        <x:f>COLUMNS(C21:L21)-M21</x:f>
        <x:v>10</x:v>
      </x:c>
    </x:row>
    <x:row r="22" ht="34" customHeight="1">
      <x:c r="A22" s="271" t="str">
        <x:v>EXT-MONDE-T017</x:v>
      </x:c>
      <x:c r="B22" s="272" t="str">
        <x:v>Phare et logements</x:v>
      </x:c>
      <x:c r="C22" s="271" t="str">
        <x:f>INDEX(Chantiers!$G$6:$G$805,MATCH($A22&amp;"/dimensions",Chantiers!$A$6:$A$805,0))</x:f>
        <x:v>En cours</x:v>
      </x:c>
      <x:c r="D22" s="271" t="str">
        <x:f>INDEX(Chantiers!$G$6:$G$805,MATCH($A22&amp;"/architecture",Chantiers!$A$6:$A$805,0))</x:f>
        <x:v>En cours</x:v>
      </x:c>
      <x:c r="E22" s="271" t="str">
        <x:f>INDEX(Chantiers!$G$6:$G$805,MATCH($A22&amp;"/seed",Chantiers!$A$6:$A$805,0))</x:f>
        <x:v>À faire</x:v>
      </x:c>
      <x:c r="F22" s="271" t="str">
        <x:f>INDEX(Chantiers!$G$6:$G$805,MATCH($A22&amp;"/props",Chantiers!$A$6:$A$805,0))</x:f>
        <x:v>En cours</x:v>
      </x:c>
      <x:c r="G22" s="271" t="str">
        <x:f>INDEX(Chantiers!$G$6:$G$805,MATCH($A22&amp;"/loot",Chantiers!$A$6:$A$805,0))</x:f>
        <x:v>À faire</x:v>
      </x:c>
      <x:c r="H22" s="271" t="str">
        <x:f>INDEX(Chantiers!$G$6:$G$805,MATCH($A22&amp;"/rencontres",Chantiers!$A$6:$A$805,0))</x:f>
        <x:v>À faire</x:v>
      </x:c>
      <x:c r="I22" s="271" t="str">
        <x:f>INDEX(Chantiers!$G$6:$G$805,MATCH($A22&amp;"/services",Chantiers!$A$6:$A$805,0))</x:f>
        <x:v>À faire</x:v>
      </x:c>
      <x:c r="J22" s="271" t="str">
        <x:f>INDEX(Chantiers!$G$6:$G$805,MATCH($A22&amp;"/art",Chantiers!$A$6:$A$805,0))</x:f>
        <x:v>À faire</x:v>
      </x:c>
      <x:c r="K22" s="271" t="str">
        <x:f>INDEX(Chantiers!$G$6:$G$805,MATCH($A22&amp;"/sauvegarde",Chantiers!$A$6:$A$805,0))</x:f>
        <x:v>En cours</x:v>
      </x:c>
      <x:c r="L22" s="271" t="str">
        <x:f>INDEX(Chantiers!$G$6:$G$805,MATCH($A22&amp;"/qa",Chantiers!$A$6:$A$805,0))</x:f>
        <x:v>En cours</x:v>
      </x:c>
      <x:c r="M22" s="271" t="n">
        <x:f>COUNTIF(C22:L22,"Validé")</x:f>
        <x:v>0</x:v>
      </x:c>
      <x:c r="N22" s="271" t="n">
        <x:f>COLUMNS(C22:L22)-M22</x:f>
        <x:v>10</x:v>
      </x:c>
    </x:row>
    <x:row r="23" ht="34" customHeight="1">
      <x:c r="A23" s="271" t="str">
        <x:v>EXT-MONDE-T018</x:v>
      </x:c>
      <x:c r="B23" s="272" t="str">
        <x:v>Fête foraine portuaire</x:v>
      </x:c>
      <x:c r="C23" s="271" t="str">
        <x:f>INDEX(Chantiers!$G$6:$G$805,MATCH($A23&amp;"/dimensions",Chantiers!$A$6:$A$805,0))</x:f>
        <x:v>En cours</x:v>
      </x:c>
      <x:c r="D23" s="271" t="str">
        <x:f>INDEX(Chantiers!$G$6:$G$805,MATCH($A23&amp;"/architecture",Chantiers!$A$6:$A$805,0))</x:f>
        <x:v>En cours</x:v>
      </x:c>
      <x:c r="E23" s="271" t="str">
        <x:f>INDEX(Chantiers!$G$6:$G$805,MATCH($A23&amp;"/seed",Chantiers!$A$6:$A$805,0))</x:f>
        <x:v>À faire</x:v>
      </x:c>
      <x:c r="F23" s="271" t="str">
        <x:f>INDEX(Chantiers!$G$6:$G$805,MATCH($A23&amp;"/props",Chantiers!$A$6:$A$805,0))</x:f>
        <x:v>En cours</x:v>
      </x:c>
      <x:c r="G23" s="271" t="str">
        <x:f>INDEX(Chantiers!$G$6:$G$805,MATCH($A23&amp;"/loot",Chantiers!$A$6:$A$805,0))</x:f>
        <x:v>À faire</x:v>
      </x:c>
      <x:c r="H23" s="271" t="str">
        <x:f>INDEX(Chantiers!$G$6:$G$805,MATCH($A23&amp;"/rencontres",Chantiers!$A$6:$A$805,0))</x:f>
        <x:v>À faire</x:v>
      </x:c>
      <x:c r="I23" s="271" t="str">
        <x:f>INDEX(Chantiers!$G$6:$G$805,MATCH($A23&amp;"/services",Chantiers!$A$6:$A$805,0))</x:f>
        <x:v>À faire</x:v>
      </x:c>
      <x:c r="J23" s="271" t="str">
        <x:f>INDEX(Chantiers!$G$6:$G$805,MATCH($A23&amp;"/art",Chantiers!$A$6:$A$805,0))</x:f>
        <x:v>À faire</x:v>
      </x:c>
      <x:c r="K23" s="271" t="str">
        <x:f>INDEX(Chantiers!$G$6:$G$805,MATCH($A23&amp;"/sauvegarde",Chantiers!$A$6:$A$805,0))</x:f>
        <x:v>En cours</x:v>
      </x:c>
      <x:c r="L23" s="271" t="str">
        <x:f>INDEX(Chantiers!$G$6:$G$805,MATCH($A23&amp;"/qa",Chantiers!$A$6:$A$805,0))</x:f>
        <x:v>En cours</x:v>
      </x:c>
      <x:c r="M23" s="271" t="n">
        <x:f>COUNTIF(C23:L23,"Validé")</x:f>
        <x:v>0</x:v>
      </x:c>
      <x:c r="N23" s="271" t="n">
        <x:f>COLUMNS(C23:L23)-M23</x:f>
        <x:v>10</x:v>
      </x:c>
    </x:row>
    <x:row r="24" ht="34" customHeight="1">
      <x:c r="A24" s="271" t="str">
        <x:v>EXT-MONDE-T019</x:v>
      </x:c>
      <x:c r="B24" s="272" t="str">
        <x:v>Chantier naval côtier</x:v>
      </x:c>
      <x:c r="C24" s="271" t="str">
        <x:f>INDEX(Chantiers!$G$6:$G$805,MATCH($A24&amp;"/dimensions",Chantiers!$A$6:$A$805,0))</x:f>
        <x:v>En cours</x:v>
      </x:c>
      <x:c r="D24" s="271" t="str">
        <x:f>INDEX(Chantiers!$G$6:$G$805,MATCH($A24&amp;"/architecture",Chantiers!$A$6:$A$805,0))</x:f>
        <x:v>En cours</x:v>
      </x:c>
      <x:c r="E24" s="271" t="str">
        <x:f>INDEX(Chantiers!$G$6:$G$805,MATCH($A24&amp;"/seed",Chantiers!$A$6:$A$805,0))</x:f>
        <x:v>À faire</x:v>
      </x:c>
      <x:c r="F24" s="271" t="str">
        <x:f>INDEX(Chantiers!$G$6:$G$805,MATCH($A24&amp;"/props",Chantiers!$A$6:$A$805,0))</x:f>
        <x:v>En cours</x:v>
      </x:c>
      <x:c r="G24" s="271" t="str">
        <x:f>INDEX(Chantiers!$G$6:$G$805,MATCH($A24&amp;"/loot",Chantiers!$A$6:$A$805,0))</x:f>
        <x:v>À faire</x:v>
      </x:c>
      <x:c r="H24" s="271" t="str">
        <x:f>INDEX(Chantiers!$G$6:$G$805,MATCH($A24&amp;"/rencontres",Chantiers!$A$6:$A$805,0))</x:f>
        <x:v>À faire</x:v>
      </x:c>
      <x:c r="I24" s="271" t="str">
        <x:f>INDEX(Chantiers!$G$6:$G$805,MATCH($A24&amp;"/services",Chantiers!$A$6:$A$805,0))</x:f>
        <x:v>À faire</x:v>
      </x:c>
      <x:c r="J24" s="271" t="str">
        <x:f>INDEX(Chantiers!$G$6:$G$805,MATCH($A24&amp;"/art",Chantiers!$A$6:$A$805,0))</x:f>
        <x:v>À faire</x:v>
      </x:c>
      <x:c r="K24" s="271" t="str">
        <x:f>INDEX(Chantiers!$G$6:$G$805,MATCH($A24&amp;"/sauvegarde",Chantiers!$A$6:$A$805,0))</x:f>
        <x:v>En cours</x:v>
      </x:c>
      <x:c r="L24" s="271" t="str">
        <x:f>INDEX(Chantiers!$G$6:$G$805,MATCH($A24&amp;"/qa",Chantiers!$A$6:$A$805,0))</x:f>
        <x:v>En cours</x:v>
      </x:c>
      <x:c r="M24" s="271" t="n">
        <x:f>COUNTIF(C24:L24,"Validé")</x:f>
        <x:v>0</x:v>
      </x:c>
      <x:c r="N24" s="271" t="n">
        <x:f>COLUMNS(C24:L24)-M24</x:f>
        <x:v>10</x:v>
      </x:c>
    </x:row>
    <x:row r="25" ht="34" customHeight="1">
      <x:c r="A25" s="271" t="str">
        <x:v>EXT-MONDE-T020</x:v>
      </x:c>
      <x:c r="B25" s="272" t="str">
        <x:v>Baie avec village côtier</x:v>
      </x:c>
      <x:c r="C25" s="271" t="str">
        <x:f>INDEX(Chantiers!$G$6:$G$805,MATCH($A25&amp;"/dimensions",Chantiers!$A$6:$A$805,0))</x:f>
        <x:v>En cours</x:v>
      </x:c>
      <x:c r="D25" s="271" t="str">
        <x:f>INDEX(Chantiers!$G$6:$G$805,MATCH($A25&amp;"/architecture",Chantiers!$A$6:$A$805,0))</x:f>
        <x:v>En cours</x:v>
      </x:c>
      <x:c r="E25" s="271" t="str">
        <x:f>INDEX(Chantiers!$G$6:$G$805,MATCH($A25&amp;"/seed",Chantiers!$A$6:$A$805,0))</x:f>
        <x:v>À faire</x:v>
      </x:c>
      <x:c r="F25" s="271" t="str">
        <x:f>INDEX(Chantiers!$G$6:$G$805,MATCH($A25&amp;"/props",Chantiers!$A$6:$A$805,0))</x:f>
        <x:v>En cours</x:v>
      </x:c>
      <x:c r="G25" s="271" t="str">
        <x:f>INDEX(Chantiers!$G$6:$G$805,MATCH($A25&amp;"/loot",Chantiers!$A$6:$A$805,0))</x:f>
        <x:v>À faire</x:v>
      </x:c>
      <x:c r="H25" s="271" t="str">
        <x:f>INDEX(Chantiers!$G$6:$G$805,MATCH($A25&amp;"/rencontres",Chantiers!$A$6:$A$805,0))</x:f>
        <x:v>À faire</x:v>
      </x:c>
      <x:c r="I25" s="271" t="str">
        <x:f>INDEX(Chantiers!$G$6:$G$805,MATCH($A25&amp;"/services",Chantiers!$A$6:$A$805,0))</x:f>
        <x:v>À faire</x:v>
      </x:c>
      <x:c r="J25" s="271" t="str">
        <x:f>INDEX(Chantiers!$G$6:$G$805,MATCH($A25&amp;"/art",Chantiers!$A$6:$A$805,0))</x:f>
        <x:v>À faire</x:v>
      </x:c>
      <x:c r="K25" s="271" t="str">
        <x:f>INDEX(Chantiers!$G$6:$G$805,MATCH($A25&amp;"/sauvegarde",Chantiers!$A$6:$A$805,0))</x:f>
        <x:v>En cours</x:v>
      </x:c>
      <x:c r="L25" s="271" t="str">
        <x:f>INDEX(Chantiers!$G$6:$G$805,MATCH($A25&amp;"/qa",Chantiers!$A$6:$A$805,0))</x:f>
        <x:v>En cours</x:v>
      </x:c>
      <x:c r="M25" s="271" t="n">
        <x:f>COUNTIF(C25:L25,"Validé")</x:f>
        <x:v>0</x:v>
      </x:c>
      <x:c r="N25" s="271" t="n">
        <x:f>COLUMNS(C25:L25)-M25</x:f>
        <x:v>10</x:v>
      </x:c>
    </x:row>
    <x:row r="26" ht="34" customHeight="1">
      <x:c r="A26" s="271" t="str">
        <x:v>EXT-MONDE-T021</x:v>
      </x:c>
      <x:c r="B26" s="272" t="str">
        <x:v>Ferme laitière</x:v>
      </x:c>
      <x:c r="C26" s="271" t="str">
        <x:f>INDEX(Chantiers!$G$6:$G$805,MATCH($A26&amp;"/dimensions",Chantiers!$A$6:$A$805,0))</x:f>
        <x:v>En cours</x:v>
      </x:c>
      <x:c r="D26" s="271" t="str">
        <x:f>INDEX(Chantiers!$G$6:$G$805,MATCH($A26&amp;"/architecture",Chantiers!$A$6:$A$805,0))</x:f>
        <x:v>En cours</x:v>
      </x:c>
      <x:c r="E26" s="271" t="str">
        <x:f>INDEX(Chantiers!$G$6:$G$805,MATCH($A26&amp;"/seed",Chantiers!$A$6:$A$805,0))</x:f>
        <x:v>À faire</x:v>
      </x:c>
      <x:c r="F26" s="271" t="str">
        <x:f>INDEX(Chantiers!$G$6:$G$805,MATCH($A26&amp;"/props",Chantiers!$A$6:$A$805,0))</x:f>
        <x:v>En cours</x:v>
      </x:c>
      <x:c r="G26" s="271" t="str">
        <x:f>INDEX(Chantiers!$G$6:$G$805,MATCH($A26&amp;"/loot",Chantiers!$A$6:$A$805,0))</x:f>
        <x:v>À faire</x:v>
      </x:c>
      <x:c r="H26" s="271" t="str">
        <x:f>INDEX(Chantiers!$G$6:$G$805,MATCH($A26&amp;"/rencontres",Chantiers!$A$6:$A$805,0))</x:f>
        <x:v>À faire</x:v>
      </x:c>
      <x:c r="I26" s="271" t="str">
        <x:f>INDEX(Chantiers!$G$6:$G$805,MATCH($A26&amp;"/services",Chantiers!$A$6:$A$805,0))</x:f>
        <x:v>À faire</x:v>
      </x:c>
      <x:c r="J26" s="271" t="str">
        <x:f>INDEX(Chantiers!$G$6:$G$805,MATCH($A26&amp;"/art",Chantiers!$A$6:$A$805,0))</x:f>
        <x:v>À faire</x:v>
      </x:c>
      <x:c r="K26" s="271" t="str">
        <x:f>INDEX(Chantiers!$G$6:$G$805,MATCH($A26&amp;"/sauvegarde",Chantiers!$A$6:$A$805,0))</x:f>
        <x:v>En cours</x:v>
      </x:c>
      <x:c r="L26" s="271" t="str">
        <x:f>INDEX(Chantiers!$G$6:$G$805,MATCH($A26&amp;"/qa",Chantiers!$A$6:$A$805,0))</x:f>
        <x:v>En cours</x:v>
      </x:c>
      <x:c r="M26" s="271" t="n">
        <x:f>COUNTIF(C26:L26,"Validé")</x:f>
        <x:v>0</x:v>
      </x:c>
      <x:c r="N26" s="271" t="n">
        <x:f>COLUMNS(C26:L26)-M26</x:f>
        <x:v>10</x:v>
      </x:c>
    </x:row>
    <x:row r="27" ht="34" customHeight="1">
      <x:c r="A27" s="271" t="str">
        <x:v>EXT-MONDE-T022</x:v>
      </x:c>
      <x:c r="B27" s="272" t="str">
        <x:v>Élevage ovin</x:v>
      </x:c>
      <x:c r="C27" s="271" t="str">
        <x:f>INDEX(Chantiers!$G$6:$G$805,MATCH($A27&amp;"/dimensions",Chantiers!$A$6:$A$805,0))</x:f>
        <x:v>En cours</x:v>
      </x:c>
      <x:c r="D27" s="271" t="str">
        <x:f>INDEX(Chantiers!$G$6:$G$805,MATCH($A27&amp;"/architecture",Chantiers!$A$6:$A$805,0))</x:f>
        <x:v>En cours</x:v>
      </x:c>
      <x:c r="E27" s="271" t="str">
        <x:f>INDEX(Chantiers!$G$6:$G$805,MATCH($A27&amp;"/seed",Chantiers!$A$6:$A$805,0))</x:f>
        <x:v>À faire</x:v>
      </x:c>
      <x:c r="F27" s="271" t="str">
        <x:f>INDEX(Chantiers!$G$6:$G$805,MATCH($A27&amp;"/props",Chantiers!$A$6:$A$805,0))</x:f>
        <x:v>En cours</x:v>
      </x:c>
      <x:c r="G27" s="271" t="str">
        <x:f>INDEX(Chantiers!$G$6:$G$805,MATCH($A27&amp;"/loot",Chantiers!$A$6:$A$805,0))</x:f>
        <x:v>À faire</x:v>
      </x:c>
      <x:c r="H27" s="271" t="str">
        <x:f>INDEX(Chantiers!$G$6:$G$805,MATCH($A27&amp;"/rencontres",Chantiers!$A$6:$A$805,0))</x:f>
        <x:v>À faire</x:v>
      </x:c>
      <x:c r="I27" s="271" t="str">
        <x:f>INDEX(Chantiers!$G$6:$G$805,MATCH($A27&amp;"/services",Chantiers!$A$6:$A$805,0))</x:f>
        <x:v>À faire</x:v>
      </x:c>
      <x:c r="J27" s="271" t="str">
        <x:f>INDEX(Chantiers!$G$6:$G$805,MATCH($A27&amp;"/art",Chantiers!$A$6:$A$805,0))</x:f>
        <x:v>À faire</x:v>
      </x:c>
      <x:c r="K27" s="271" t="str">
        <x:f>INDEX(Chantiers!$G$6:$G$805,MATCH($A27&amp;"/sauvegarde",Chantiers!$A$6:$A$805,0))</x:f>
        <x:v>En cours</x:v>
      </x:c>
      <x:c r="L27" s="271" t="str">
        <x:f>INDEX(Chantiers!$G$6:$G$805,MATCH($A27&amp;"/qa",Chantiers!$A$6:$A$805,0))</x:f>
        <x:v>En cours</x:v>
      </x:c>
      <x:c r="M27" s="271" t="n">
        <x:f>COUNTIF(C27:L27,"Validé")</x:f>
        <x:v>0</x:v>
      </x:c>
      <x:c r="N27" s="271" t="n">
        <x:f>COLUMNS(C27:L27)-M27</x:f>
        <x:v>10</x:v>
      </x:c>
    </x:row>
    <x:row r="28" ht="34" customHeight="1">
      <x:c r="A28" s="271" t="str">
        <x:v>EXT-MONDE-T023</x:v>
      </x:c>
      <x:c r="B28" s="272" t="str">
        <x:v>Ferme avicole</x:v>
      </x:c>
      <x:c r="C28" s="271" t="str">
        <x:f>INDEX(Chantiers!$G$6:$G$805,MATCH($A28&amp;"/dimensions",Chantiers!$A$6:$A$805,0))</x:f>
        <x:v>En cours</x:v>
      </x:c>
      <x:c r="D28" s="271" t="str">
        <x:f>INDEX(Chantiers!$G$6:$G$805,MATCH($A28&amp;"/architecture",Chantiers!$A$6:$A$805,0))</x:f>
        <x:v>En cours</x:v>
      </x:c>
      <x:c r="E28" s="271" t="str">
        <x:f>INDEX(Chantiers!$G$6:$G$805,MATCH($A28&amp;"/seed",Chantiers!$A$6:$A$805,0))</x:f>
        <x:v>À faire</x:v>
      </x:c>
      <x:c r="F28" s="271" t="str">
        <x:f>INDEX(Chantiers!$G$6:$G$805,MATCH($A28&amp;"/props",Chantiers!$A$6:$A$805,0))</x:f>
        <x:v>En cours</x:v>
      </x:c>
      <x:c r="G28" s="271" t="str">
        <x:f>INDEX(Chantiers!$G$6:$G$805,MATCH($A28&amp;"/loot",Chantiers!$A$6:$A$805,0))</x:f>
        <x:v>À faire</x:v>
      </x:c>
      <x:c r="H28" s="271" t="str">
        <x:f>INDEX(Chantiers!$G$6:$G$805,MATCH($A28&amp;"/rencontres",Chantiers!$A$6:$A$805,0))</x:f>
        <x:v>À faire</x:v>
      </x:c>
      <x:c r="I28" s="271" t="str">
        <x:f>INDEX(Chantiers!$G$6:$G$805,MATCH($A28&amp;"/services",Chantiers!$A$6:$A$805,0))</x:f>
        <x:v>À faire</x:v>
      </x:c>
      <x:c r="J28" s="271" t="str">
        <x:f>INDEX(Chantiers!$G$6:$G$805,MATCH($A28&amp;"/art",Chantiers!$A$6:$A$805,0))</x:f>
        <x:v>À faire</x:v>
      </x:c>
      <x:c r="K28" s="271" t="str">
        <x:f>INDEX(Chantiers!$G$6:$G$805,MATCH($A28&amp;"/sauvegarde",Chantiers!$A$6:$A$805,0))</x:f>
        <x:v>En cours</x:v>
      </x:c>
      <x:c r="L28" s="271" t="str">
        <x:f>INDEX(Chantiers!$G$6:$G$805,MATCH($A28&amp;"/qa",Chantiers!$A$6:$A$805,0))</x:f>
        <x:v>En cours</x:v>
      </x:c>
      <x:c r="M28" s="271" t="n">
        <x:f>COUNTIF(C28:L28,"Validé")</x:f>
        <x:v>0</x:v>
      </x:c>
      <x:c r="N28" s="271" t="n">
        <x:f>COLUMNS(C28:L28)-M28</x:f>
        <x:v>10</x:v>
      </x:c>
    </x:row>
    <x:row r="29" ht="34" customHeight="1">
      <x:c r="A29" s="271" t="str">
        <x:v>EXT-MONDE-T024</x:v>
      </x:c>
      <x:c r="B29" s="272" t="str">
        <x:v>Centre équestre rural</x:v>
      </x:c>
      <x:c r="C29" s="271" t="str">
        <x:f>INDEX(Chantiers!$G$6:$G$805,MATCH($A29&amp;"/dimensions",Chantiers!$A$6:$A$805,0))</x:f>
        <x:v>En cours</x:v>
      </x:c>
      <x:c r="D29" s="271" t="str">
        <x:f>INDEX(Chantiers!$G$6:$G$805,MATCH($A29&amp;"/architecture",Chantiers!$A$6:$A$805,0))</x:f>
        <x:v>En cours</x:v>
      </x:c>
      <x:c r="E29" s="271" t="str">
        <x:f>INDEX(Chantiers!$G$6:$G$805,MATCH($A29&amp;"/seed",Chantiers!$A$6:$A$805,0))</x:f>
        <x:v>À faire</x:v>
      </x:c>
      <x:c r="F29" s="271" t="str">
        <x:f>INDEX(Chantiers!$G$6:$G$805,MATCH($A29&amp;"/props",Chantiers!$A$6:$A$805,0))</x:f>
        <x:v>En cours</x:v>
      </x:c>
      <x:c r="G29" s="271" t="str">
        <x:f>INDEX(Chantiers!$G$6:$G$805,MATCH($A29&amp;"/loot",Chantiers!$A$6:$A$805,0))</x:f>
        <x:v>À faire</x:v>
      </x:c>
      <x:c r="H29" s="271" t="str">
        <x:f>INDEX(Chantiers!$G$6:$G$805,MATCH($A29&amp;"/rencontres",Chantiers!$A$6:$A$805,0))</x:f>
        <x:v>À faire</x:v>
      </x:c>
      <x:c r="I29" s="271" t="str">
        <x:f>INDEX(Chantiers!$G$6:$G$805,MATCH($A29&amp;"/services",Chantiers!$A$6:$A$805,0))</x:f>
        <x:v>À faire</x:v>
      </x:c>
      <x:c r="J29" s="271" t="str">
        <x:f>INDEX(Chantiers!$G$6:$G$805,MATCH($A29&amp;"/art",Chantiers!$A$6:$A$805,0))</x:f>
        <x:v>À faire</x:v>
      </x:c>
      <x:c r="K29" s="271" t="str">
        <x:f>INDEX(Chantiers!$G$6:$G$805,MATCH($A29&amp;"/sauvegarde",Chantiers!$A$6:$A$805,0))</x:f>
        <x:v>En cours</x:v>
      </x:c>
      <x:c r="L29" s="271" t="str">
        <x:f>INDEX(Chantiers!$G$6:$G$805,MATCH($A29&amp;"/qa",Chantiers!$A$6:$A$805,0))</x:f>
        <x:v>En cours</x:v>
      </x:c>
      <x:c r="M29" s="271" t="n">
        <x:f>COUNTIF(C29:L29,"Validé")</x:f>
        <x:v>0</x:v>
      </x:c>
      <x:c r="N29" s="271" t="n">
        <x:f>COLUMNS(C29:L29)-M29</x:f>
        <x:v>10</x:v>
      </x:c>
    </x:row>
    <x:row r="30" ht="34" customHeight="1">
      <x:c r="A30" s="271" t="str">
        <x:v>EXT-MONDE-T025</x:v>
      </x:c>
      <x:c r="B30" s="272" t="str">
        <x:v>Exploitation céréalière</x:v>
      </x:c>
      <x:c r="C30" s="271" t="str">
        <x:f>INDEX(Chantiers!$G$6:$G$805,MATCH($A30&amp;"/dimensions",Chantiers!$A$6:$A$805,0))</x:f>
        <x:v>En cours</x:v>
      </x:c>
      <x:c r="D30" s="271" t="str">
        <x:f>INDEX(Chantiers!$G$6:$G$805,MATCH($A30&amp;"/architecture",Chantiers!$A$6:$A$805,0))</x:f>
        <x:v>En cours</x:v>
      </x:c>
      <x:c r="E30" s="271" t="str">
        <x:f>INDEX(Chantiers!$G$6:$G$805,MATCH($A30&amp;"/seed",Chantiers!$A$6:$A$805,0))</x:f>
        <x:v>À faire</x:v>
      </x:c>
      <x:c r="F30" s="271" t="str">
        <x:f>INDEX(Chantiers!$G$6:$G$805,MATCH($A30&amp;"/props",Chantiers!$A$6:$A$805,0))</x:f>
        <x:v>En cours</x:v>
      </x:c>
      <x:c r="G30" s="271" t="str">
        <x:f>INDEX(Chantiers!$G$6:$G$805,MATCH($A30&amp;"/loot",Chantiers!$A$6:$A$805,0))</x:f>
        <x:v>À faire</x:v>
      </x:c>
      <x:c r="H30" s="271" t="str">
        <x:f>INDEX(Chantiers!$G$6:$G$805,MATCH($A30&amp;"/rencontres",Chantiers!$A$6:$A$805,0))</x:f>
        <x:v>À faire</x:v>
      </x:c>
      <x:c r="I30" s="271" t="str">
        <x:f>INDEX(Chantiers!$G$6:$G$805,MATCH($A30&amp;"/services",Chantiers!$A$6:$A$805,0))</x:f>
        <x:v>À faire</x:v>
      </x:c>
      <x:c r="J30" s="271" t="str">
        <x:f>INDEX(Chantiers!$G$6:$G$805,MATCH($A30&amp;"/art",Chantiers!$A$6:$A$805,0))</x:f>
        <x:v>À faire</x:v>
      </x:c>
      <x:c r="K30" s="271" t="str">
        <x:f>INDEX(Chantiers!$G$6:$G$805,MATCH($A30&amp;"/sauvegarde",Chantiers!$A$6:$A$805,0))</x:f>
        <x:v>En cours</x:v>
      </x:c>
      <x:c r="L30" s="271" t="str">
        <x:f>INDEX(Chantiers!$G$6:$G$805,MATCH($A30&amp;"/qa",Chantiers!$A$6:$A$805,0))</x:f>
        <x:v>En cours</x:v>
      </x:c>
      <x:c r="M30" s="271" t="n">
        <x:f>COUNTIF(C30:L30,"Validé")</x:f>
        <x:v>0</x:v>
      </x:c>
      <x:c r="N30" s="271" t="n">
        <x:f>COLUMNS(C30:L30)-M30</x:f>
        <x:v>10</x:v>
      </x:c>
    </x:row>
    <x:row r="31" ht="34" customHeight="1">
      <x:c r="A31" s="271" t="str">
        <x:v>EXT-MONDE-T026</x:v>
      </x:c>
      <x:c r="B31" s="272" t="str">
        <x:v>Domaine viticole</x:v>
      </x:c>
      <x:c r="C31" s="271" t="str">
        <x:f>INDEX(Chantiers!$G$6:$G$805,MATCH($A31&amp;"/dimensions",Chantiers!$A$6:$A$805,0))</x:f>
        <x:v>En cours</x:v>
      </x:c>
      <x:c r="D31" s="271" t="str">
        <x:f>INDEX(Chantiers!$G$6:$G$805,MATCH($A31&amp;"/architecture",Chantiers!$A$6:$A$805,0))</x:f>
        <x:v>En cours</x:v>
      </x:c>
      <x:c r="E31" s="271" t="str">
        <x:f>INDEX(Chantiers!$G$6:$G$805,MATCH($A31&amp;"/seed",Chantiers!$A$6:$A$805,0))</x:f>
        <x:v>À faire</x:v>
      </x:c>
      <x:c r="F31" s="271" t="str">
        <x:f>INDEX(Chantiers!$G$6:$G$805,MATCH($A31&amp;"/props",Chantiers!$A$6:$A$805,0))</x:f>
        <x:v>En cours</x:v>
      </x:c>
      <x:c r="G31" s="271" t="str">
        <x:f>INDEX(Chantiers!$G$6:$G$805,MATCH($A31&amp;"/loot",Chantiers!$A$6:$A$805,0))</x:f>
        <x:v>À faire</x:v>
      </x:c>
      <x:c r="H31" s="271" t="str">
        <x:f>INDEX(Chantiers!$G$6:$G$805,MATCH($A31&amp;"/rencontres",Chantiers!$A$6:$A$805,0))</x:f>
        <x:v>À faire</x:v>
      </x:c>
      <x:c r="I31" s="271" t="str">
        <x:f>INDEX(Chantiers!$G$6:$G$805,MATCH($A31&amp;"/services",Chantiers!$A$6:$A$805,0))</x:f>
        <x:v>À faire</x:v>
      </x:c>
      <x:c r="J31" s="271" t="str">
        <x:f>INDEX(Chantiers!$G$6:$G$805,MATCH($A31&amp;"/art",Chantiers!$A$6:$A$805,0))</x:f>
        <x:v>À faire</x:v>
      </x:c>
      <x:c r="K31" s="271" t="str">
        <x:f>INDEX(Chantiers!$G$6:$G$805,MATCH($A31&amp;"/sauvegarde",Chantiers!$A$6:$A$805,0))</x:f>
        <x:v>En cours</x:v>
      </x:c>
      <x:c r="L31" s="271" t="str">
        <x:f>INDEX(Chantiers!$G$6:$G$805,MATCH($A31&amp;"/qa",Chantiers!$A$6:$A$805,0))</x:f>
        <x:v>En cours</x:v>
      </x:c>
      <x:c r="M31" s="271" t="n">
        <x:f>COUNTIF(C31:L31,"Validé")</x:f>
        <x:v>0</x:v>
      </x:c>
      <x:c r="N31" s="271" t="n">
        <x:f>COLUMNS(C31:L31)-M31</x:f>
        <x:v>10</x:v>
      </x:c>
    </x:row>
    <x:row r="32" ht="34" customHeight="1">
      <x:c r="A32" s="271" t="str">
        <x:v>EXT-MONDE-T027</x:v>
      </x:c>
      <x:c r="B32" s="272" t="str">
        <x:v>Ferme maraîchère</x:v>
      </x:c>
      <x:c r="C32" s="271" t="str">
        <x:f>INDEX(Chantiers!$G$6:$G$805,MATCH($A32&amp;"/dimensions",Chantiers!$A$6:$A$805,0))</x:f>
        <x:v>En cours</x:v>
      </x:c>
      <x:c r="D32" s="271" t="str">
        <x:f>INDEX(Chantiers!$G$6:$G$805,MATCH($A32&amp;"/architecture",Chantiers!$A$6:$A$805,0))</x:f>
        <x:v>En cours</x:v>
      </x:c>
      <x:c r="E32" s="271" t="str">
        <x:f>INDEX(Chantiers!$G$6:$G$805,MATCH($A32&amp;"/seed",Chantiers!$A$6:$A$805,0))</x:f>
        <x:v>À faire</x:v>
      </x:c>
      <x:c r="F32" s="271" t="str">
        <x:f>INDEX(Chantiers!$G$6:$G$805,MATCH($A32&amp;"/props",Chantiers!$A$6:$A$805,0))</x:f>
        <x:v>En cours</x:v>
      </x:c>
      <x:c r="G32" s="271" t="str">
        <x:f>INDEX(Chantiers!$G$6:$G$805,MATCH($A32&amp;"/loot",Chantiers!$A$6:$A$805,0))</x:f>
        <x:v>À faire</x:v>
      </x:c>
      <x:c r="H32" s="271" t="str">
        <x:f>INDEX(Chantiers!$G$6:$G$805,MATCH($A32&amp;"/rencontres",Chantiers!$A$6:$A$805,0))</x:f>
        <x:v>À faire</x:v>
      </x:c>
      <x:c r="I32" s="271" t="str">
        <x:f>INDEX(Chantiers!$G$6:$G$805,MATCH($A32&amp;"/services",Chantiers!$A$6:$A$805,0))</x:f>
        <x:v>À faire</x:v>
      </x:c>
      <x:c r="J32" s="271" t="str">
        <x:f>INDEX(Chantiers!$G$6:$G$805,MATCH($A32&amp;"/art",Chantiers!$A$6:$A$805,0))</x:f>
        <x:v>À faire</x:v>
      </x:c>
      <x:c r="K32" s="271" t="str">
        <x:f>INDEX(Chantiers!$G$6:$G$805,MATCH($A32&amp;"/sauvegarde",Chantiers!$A$6:$A$805,0))</x:f>
        <x:v>En cours</x:v>
      </x:c>
      <x:c r="L32" s="271" t="str">
        <x:f>INDEX(Chantiers!$G$6:$G$805,MATCH($A32&amp;"/qa",Chantiers!$A$6:$A$805,0))</x:f>
        <x:v>En cours</x:v>
      </x:c>
      <x:c r="M32" s="271" t="n">
        <x:f>COUNTIF(C32:L32,"Validé")</x:f>
        <x:v>0</x:v>
      </x:c>
      <x:c r="N32" s="271" t="n">
        <x:f>COLUMNS(C32:L32)-M32</x:f>
        <x:v>10</x:v>
      </x:c>
    </x:row>
    <x:row r="33" ht="34" customHeight="1">
      <x:c r="A33" s="271" t="str">
        <x:v>EXT-MONDE-T028</x:v>
      </x:c>
      <x:c r="B33" s="272" t="str">
        <x:v>Verger avec conditionnement</x:v>
      </x:c>
      <x:c r="C33" s="271" t="str">
        <x:f>INDEX(Chantiers!$G$6:$G$805,MATCH($A33&amp;"/dimensions",Chantiers!$A$6:$A$805,0))</x:f>
        <x:v>En cours</x:v>
      </x:c>
      <x:c r="D33" s="271" t="str">
        <x:f>INDEX(Chantiers!$G$6:$G$805,MATCH($A33&amp;"/architecture",Chantiers!$A$6:$A$805,0))</x:f>
        <x:v>En cours</x:v>
      </x:c>
      <x:c r="E33" s="271" t="str">
        <x:f>INDEX(Chantiers!$G$6:$G$805,MATCH($A33&amp;"/seed",Chantiers!$A$6:$A$805,0))</x:f>
        <x:v>À faire</x:v>
      </x:c>
      <x:c r="F33" s="271" t="str">
        <x:f>INDEX(Chantiers!$G$6:$G$805,MATCH($A33&amp;"/props",Chantiers!$A$6:$A$805,0))</x:f>
        <x:v>En cours</x:v>
      </x:c>
      <x:c r="G33" s="271" t="str">
        <x:f>INDEX(Chantiers!$G$6:$G$805,MATCH($A33&amp;"/loot",Chantiers!$A$6:$A$805,0))</x:f>
        <x:v>À faire</x:v>
      </x:c>
      <x:c r="H33" s="271" t="str">
        <x:f>INDEX(Chantiers!$G$6:$G$805,MATCH($A33&amp;"/rencontres",Chantiers!$A$6:$A$805,0))</x:f>
        <x:v>À faire</x:v>
      </x:c>
      <x:c r="I33" s="271" t="str">
        <x:f>INDEX(Chantiers!$G$6:$G$805,MATCH($A33&amp;"/services",Chantiers!$A$6:$A$805,0))</x:f>
        <x:v>À faire</x:v>
      </x:c>
      <x:c r="J33" s="271" t="str">
        <x:f>INDEX(Chantiers!$G$6:$G$805,MATCH($A33&amp;"/art",Chantiers!$A$6:$A$805,0))</x:f>
        <x:v>À faire</x:v>
      </x:c>
      <x:c r="K33" s="271" t="str">
        <x:f>INDEX(Chantiers!$G$6:$G$805,MATCH($A33&amp;"/sauvegarde",Chantiers!$A$6:$A$805,0))</x:f>
        <x:v>En cours</x:v>
      </x:c>
      <x:c r="L33" s="271" t="str">
        <x:f>INDEX(Chantiers!$G$6:$G$805,MATCH($A33&amp;"/qa",Chantiers!$A$6:$A$805,0))</x:f>
        <x:v>En cours</x:v>
      </x:c>
      <x:c r="M33" s="271" t="n">
        <x:f>COUNTIF(C33:L33,"Validé")</x:f>
        <x:v>0</x:v>
      </x:c>
      <x:c r="N33" s="271" t="n">
        <x:f>COLUMNS(C33:L33)-M33</x:f>
        <x:v>10</x:v>
      </x:c>
    </x:row>
    <x:row r="34" ht="34" customHeight="1">
      <x:c r="A34" s="271" t="str">
        <x:v>EXT-MONDE-T029</x:v>
      </x:c>
      <x:c r="B34" s="272" t="str">
        <x:v>Pont routier à poutres</x:v>
      </x:c>
      <x:c r="C34" s="271" t="str">
        <x:f>INDEX(Chantiers!$G$6:$G$805,MATCH($A34&amp;"/dimensions",Chantiers!$A$6:$A$805,0))</x:f>
        <x:v>En cours</x:v>
      </x:c>
      <x:c r="D34" s="271" t="str">
        <x:f>INDEX(Chantiers!$G$6:$G$805,MATCH($A34&amp;"/architecture",Chantiers!$A$6:$A$805,0))</x:f>
        <x:v>En cours</x:v>
      </x:c>
      <x:c r="E34" s="271" t="str">
        <x:f>INDEX(Chantiers!$G$6:$G$805,MATCH($A34&amp;"/seed",Chantiers!$A$6:$A$805,0))</x:f>
        <x:v>À faire</x:v>
      </x:c>
      <x:c r="F34" s="271" t="str">
        <x:f>INDEX(Chantiers!$G$6:$G$805,MATCH($A34&amp;"/props",Chantiers!$A$6:$A$805,0))</x:f>
        <x:v>En cours</x:v>
      </x:c>
      <x:c r="G34" s="271" t="str">
        <x:f>INDEX(Chantiers!$G$6:$G$805,MATCH($A34&amp;"/loot",Chantiers!$A$6:$A$805,0))</x:f>
        <x:v>À faire</x:v>
      </x:c>
      <x:c r="H34" s="271" t="str">
        <x:f>INDEX(Chantiers!$G$6:$G$805,MATCH($A34&amp;"/rencontres",Chantiers!$A$6:$A$805,0))</x:f>
        <x:v>À faire</x:v>
      </x:c>
      <x:c r="I34" s="271" t="str">
        <x:f>INDEX(Chantiers!$G$6:$G$805,MATCH($A34&amp;"/services",Chantiers!$A$6:$A$805,0))</x:f>
        <x:v>À faire</x:v>
      </x:c>
      <x:c r="J34" s="271" t="str">
        <x:f>INDEX(Chantiers!$G$6:$G$805,MATCH($A34&amp;"/art",Chantiers!$A$6:$A$805,0))</x:f>
        <x:v>À faire</x:v>
      </x:c>
      <x:c r="K34" s="271" t="str">
        <x:f>INDEX(Chantiers!$G$6:$G$805,MATCH($A34&amp;"/sauvegarde",Chantiers!$A$6:$A$805,0))</x:f>
        <x:v>En cours</x:v>
      </x:c>
      <x:c r="L34" s="271" t="str">
        <x:f>INDEX(Chantiers!$G$6:$G$805,MATCH($A34&amp;"/qa",Chantiers!$A$6:$A$805,0))</x:f>
        <x:v>En cours</x:v>
      </x:c>
      <x:c r="M34" s="271" t="n">
        <x:f>COUNTIF(C34:L34,"Validé")</x:f>
        <x:v>0</x:v>
      </x:c>
      <x:c r="N34" s="271" t="n">
        <x:f>COLUMNS(C34:L34)-M34</x:f>
        <x:v>10</x:v>
      </x:c>
    </x:row>
    <x:row r="35" ht="34" customHeight="1">
      <x:c r="A35" s="271" t="str">
        <x:v>EXT-MONDE-T030</x:v>
      </x:c>
      <x:c r="B35" s="272" t="str">
        <x:v>Pont à arches</x:v>
      </x:c>
      <x:c r="C35" s="271" t="str">
        <x:f>INDEX(Chantiers!$G$6:$G$805,MATCH($A35&amp;"/dimensions",Chantiers!$A$6:$A$805,0))</x:f>
        <x:v>En cours</x:v>
      </x:c>
      <x:c r="D35" s="271" t="str">
        <x:f>INDEX(Chantiers!$G$6:$G$805,MATCH($A35&amp;"/architecture",Chantiers!$A$6:$A$805,0))</x:f>
        <x:v>En cours</x:v>
      </x:c>
      <x:c r="E35" s="271" t="str">
        <x:f>INDEX(Chantiers!$G$6:$G$805,MATCH($A35&amp;"/seed",Chantiers!$A$6:$A$805,0))</x:f>
        <x:v>À faire</x:v>
      </x:c>
      <x:c r="F35" s="271" t="str">
        <x:f>INDEX(Chantiers!$G$6:$G$805,MATCH($A35&amp;"/props",Chantiers!$A$6:$A$805,0))</x:f>
        <x:v>En cours</x:v>
      </x:c>
      <x:c r="G35" s="271" t="str">
        <x:f>INDEX(Chantiers!$G$6:$G$805,MATCH($A35&amp;"/loot",Chantiers!$A$6:$A$805,0))</x:f>
        <x:v>À faire</x:v>
      </x:c>
      <x:c r="H35" s="271" t="str">
        <x:f>INDEX(Chantiers!$G$6:$G$805,MATCH($A35&amp;"/rencontres",Chantiers!$A$6:$A$805,0))</x:f>
        <x:v>À faire</x:v>
      </x:c>
      <x:c r="I35" s="271" t="str">
        <x:f>INDEX(Chantiers!$G$6:$G$805,MATCH($A35&amp;"/services",Chantiers!$A$6:$A$805,0))</x:f>
        <x:v>À faire</x:v>
      </x:c>
      <x:c r="J35" s="271" t="str">
        <x:f>INDEX(Chantiers!$G$6:$G$805,MATCH($A35&amp;"/art",Chantiers!$A$6:$A$805,0))</x:f>
        <x:v>À faire</x:v>
      </x:c>
      <x:c r="K35" s="271" t="str">
        <x:f>INDEX(Chantiers!$G$6:$G$805,MATCH($A35&amp;"/sauvegarde",Chantiers!$A$6:$A$805,0))</x:f>
        <x:v>En cours</x:v>
      </x:c>
      <x:c r="L35" s="271" t="str">
        <x:f>INDEX(Chantiers!$G$6:$G$805,MATCH($A35&amp;"/qa",Chantiers!$A$6:$A$805,0))</x:f>
        <x:v>En cours</x:v>
      </x:c>
      <x:c r="M35" s="271" t="n">
        <x:f>COUNTIF(C35:L35,"Validé")</x:f>
        <x:v>0</x:v>
      </x:c>
      <x:c r="N35" s="271" t="n">
        <x:f>COLUMNS(C35:L35)-M35</x:f>
        <x:v>10</x:v>
      </x:c>
    </x:row>
    <x:row r="36" ht="34" customHeight="1">
      <x:c r="A36" s="271" t="str">
        <x:v>EXT-MONDE-T031</x:v>
      </x:c>
      <x:c r="B36" s="272" t="str">
        <x:v>Pont levant portuaire</x:v>
      </x:c>
      <x:c r="C36" s="271" t="str">
        <x:f>INDEX(Chantiers!$G$6:$G$805,MATCH($A36&amp;"/dimensions",Chantiers!$A$6:$A$805,0))</x:f>
        <x:v>En cours</x:v>
      </x:c>
      <x:c r="D36" s="271" t="str">
        <x:f>INDEX(Chantiers!$G$6:$G$805,MATCH($A36&amp;"/architecture",Chantiers!$A$6:$A$805,0))</x:f>
        <x:v>En cours</x:v>
      </x:c>
      <x:c r="E36" s="271" t="str">
        <x:f>INDEX(Chantiers!$G$6:$G$805,MATCH($A36&amp;"/seed",Chantiers!$A$6:$A$805,0))</x:f>
        <x:v>À faire</x:v>
      </x:c>
      <x:c r="F36" s="271" t="str">
        <x:f>INDEX(Chantiers!$G$6:$G$805,MATCH($A36&amp;"/props",Chantiers!$A$6:$A$805,0))</x:f>
        <x:v>En cours</x:v>
      </x:c>
      <x:c r="G36" s="271" t="str">
        <x:f>INDEX(Chantiers!$G$6:$G$805,MATCH($A36&amp;"/loot",Chantiers!$A$6:$A$805,0))</x:f>
        <x:v>À faire</x:v>
      </x:c>
      <x:c r="H36" s="271" t="str">
        <x:f>INDEX(Chantiers!$G$6:$G$805,MATCH($A36&amp;"/rencontres",Chantiers!$A$6:$A$805,0))</x:f>
        <x:v>À faire</x:v>
      </x:c>
      <x:c r="I36" s="271" t="str">
        <x:f>INDEX(Chantiers!$G$6:$G$805,MATCH($A36&amp;"/services",Chantiers!$A$6:$A$805,0))</x:f>
        <x:v>À faire</x:v>
      </x:c>
      <x:c r="J36" s="271" t="str">
        <x:f>INDEX(Chantiers!$G$6:$G$805,MATCH($A36&amp;"/art",Chantiers!$A$6:$A$805,0))</x:f>
        <x:v>À faire</x:v>
      </x:c>
      <x:c r="K36" s="271" t="str">
        <x:f>INDEX(Chantiers!$G$6:$G$805,MATCH($A36&amp;"/sauvegarde",Chantiers!$A$6:$A$805,0))</x:f>
        <x:v>En cours</x:v>
      </x:c>
      <x:c r="L36" s="271" t="str">
        <x:f>INDEX(Chantiers!$G$6:$G$805,MATCH($A36&amp;"/qa",Chantiers!$A$6:$A$805,0))</x:f>
        <x:v>En cours</x:v>
      </x:c>
      <x:c r="M36" s="271" t="n">
        <x:f>COUNTIF(C36:L36,"Validé")</x:f>
        <x:v>0</x:v>
      </x:c>
      <x:c r="N36" s="271" t="n">
        <x:f>COLUMNS(C36:L36)-M36</x:f>
        <x:v>10</x:v>
      </x:c>
    </x:row>
    <x:row r="37" ht="34" customHeight="1">
      <x:c r="A37" s="271" t="str">
        <x:v>EXT-MONDE-T032</x:v>
      </x:c>
      <x:c r="B37" s="272" t="str">
        <x:v>Viaduc ferroviaire</x:v>
      </x:c>
      <x:c r="C37" s="271" t="str">
        <x:f>INDEX(Chantiers!$G$6:$G$805,MATCH($A37&amp;"/dimensions",Chantiers!$A$6:$A$805,0))</x:f>
        <x:v>En cours</x:v>
      </x:c>
      <x:c r="D37" s="271" t="str">
        <x:f>INDEX(Chantiers!$G$6:$G$805,MATCH($A37&amp;"/architecture",Chantiers!$A$6:$A$805,0))</x:f>
        <x:v>En cours</x:v>
      </x:c>
      <x:c r="E37" s="271" t="str">
        <x:f>INDEX(Chantiers!$G$6:$G$805,MATCH($A37&amp;"/seed",Chantiers!$A$6:$A$805,0))</x:f>
        <x:v>À faire</x:v>
      </x:c>
      <x:c r="F37" s="271" t="str">
        <x:f>INDEX(Chantiers!$G$6:$G$805,MATCH($A37&amp;"/props",Chantiers!$A$6:$A$805,0))</x:f>
        <x:v>En cours</x:v>
      </x:c>
      <x:c r="G37" s="271" t="str">
        <x:f>INDEX(Chantiers!$G$6:$G$805,MATCH($A37&amp;"/loot",Chantiers!$A$6:$A$805,0))</x:f>
        <x:v>À faire</x:v>
      </x:c>
      <x:c r="H37" s="271" t="str">
        <x:f>INDEX(Chantiers!$G$6:$G$805,MATCH($A37&amp;"/rencontres",Chantiers!$A$6:$A$805,0))</x:f>
        <x:v>À faire</x:v>
      </x:c>
      <x:c r="I37" s="271" t="str">
        <x:f>INDEX(Chantiers!$G$6:$G$805,MATCH($A37&amp;"/services",Chantiers!$A$6:$A$805,0))</x:f>
        <x:v>À faire</x:v>
      </x:c>
      <x:c r="J37" s="271" t="str">
        <x:f>INDEX(Chantiers!$G$6:$G$805,MATCH($A37&amp;"/art",Chantiers!$A$6:$A$805,0))</x:f>
        <x:v>À faire</x:v>
      </x:c>
      <x:c r="K37" s="271" t="str">
        <x:f>INDEX(Chantiers!$G$6:$G$805,MATCH($A37&amp;"/sauvegarde",Chantiers!$A$6:$A$805,0))</x:f>
        <x:v>En cours</x:v>
      </x:c>
      <x:c r="L37" s="271" t="str">
        <x:f>INDEX(Chantiers!$G$6:$G$805,MATCH($A37&amp;"/qa",Chantiers!$A$6:$A$805,0))</x:f>
        <x:v>En cours</x:v>
      </x:c>
      <x:c r="M37" s="271" t="n">
        <x:f>COUNTIF(C37:L37,"Validé")</x:f>
        <x:v>0</x:v>
      </x:c>
      <x:c r="N37" s="271" t="n">
        <x:f>COLUMNS(C37:L37)-M37</x:f>
        <x:v>10</x:v>
      </x:c>
    </x:row>
    <x:row r="38" ht="34" customHeight="1">
      <x:c r="A38" s="271" t="str">
        <x:v>EXT-MONDE-T033</x:v>
      </x:c>
      <x:c r="B38" s="272" t="str">
        <x:v>Échangeur en losange</x:v>
      </x:c>
      <x:c r="C38" s="271" t="str">
        <x:f>INDEX(Chantiers!$G$6:$G$805,MATCH($A38&amp;"/dimensions",Chantiers!$A$6:$A$805,0))</x:f>
        <x:v>En cours</x:v>
      </x:c>
      <x:c r="D38" s="271" t="str">
        <x:f>INDEX(Chantiers!$G$6:$G$805,MATCH($A38&amp;"/architecture",Chantiers!$A$6:$A$805,0))</x:f>
        <x:v>En cours</x:v>
      </x:c>
      <x:c r="E38" s="271" t="str">
        <x:f>INDEX(Chantiers!$G$6:$G$805,MATCH($A38&amp;"/seed",Chantiers!$A$6:$A$805,0))</x:f>
        <x:v>À faire</x:v>
      </x:c>
      <x:c r="F38" s="271" t="str">
        <x:f>INDEX(Chantiers!$G$6:$G$805,MATCH($A38&amp;"/props",Chantiers!$A$6:$A$805,0))</x:f>
        <x:v>En cours</x:v>
      </x:c>
      <x:c r="G38" s="271" t="str">
        <x:f>INDEX(Chantiers!$G$6:$G$805,MATCH($A38&amp;"/loot",Chantiers!$A$6:$A$805,0))</x:f>
        <x:v>À faire</x:v>
      </x:c>
      <x:c r="H38" s="271" t="str">
        <x:f>INDEX(Chantiers!$G$6:$G$805,MATCH($A38&amp;"/rencontres",Chantiers!$A$6:$A$805,0))</x:f>
        <x:v>À faire</x:v>
      </x:c>
      <x:c r="I38" s="271" t="str">
        <x:f>INDEX(Chantiers!$G$6:$G$805,MATCH($A38&amp;"/services",Chantiers!$A$6:$A$805,0))</x:f>
        <x:v>À faire</x:v>
      </x:c>
      <x:c r="J38" s="271" t="str">
        <x:f>INDEX(Chantiers!$G$6:$G$805,MATCH($A38&amp;"/art",Chantiers!$A$6:$A$805,0))</x:f>
        <x:v>À faire</x:v>
      </x:c>
      <x:c r="K38" s="271" t="str">
        <x:f>INDEX(Chantiers!$G$6:$G$805,MATCH($A38&amp;"/sauvegarde",Chantiers!$A$6:$A$805,0))</x:f>
        <x:v>En cours</x:v>
      </x:c>
      <x:c r="L38" s="271" t="str">
        <x:f>INDEX(Chantiers!$G$6:$G$805,MATCH($A38&amp;"/qa",Chantiers!$A$6:$A$805,0))</x:f>
        <x:v>En cours</x:v>
      </x:c>
      <x:c r="M38" s="271" t="n">
        <x:f>COUNTIF(C38:L38,"Validé")</x:f>
        <x:v>0</x:v>
      </x:c>
      <x:c r="N38" s="271" t="n">
        <x:f>COLUMNS(C38:L38)-M38</x:f>
        <x:v>10</x:v>
      </x:c>
    </x:row>
    <x:row r="39" ht="34" customHeight="1">
      <x:c r="A39" s="271" t="str">
        <x:v>EXT-MONDE-T034</x:v>
      </x:c>
      <x:c r="B39" s="272" t="str">
        <x:v>Échangeur en trompette</x:v>
      </x:c>
      <x:c r="C39" s="271" t="str">
        <x:f>INDEX(Chantiers!$G$6:$G$805,MATCH($A39&amp;"/dimensions",Chantiers!$A$6:$A$805,0))</x:f>
        <x:v>En cours</x:v>
      </x:c>
      <x:c r="D39" s="271" t="str">
        <x:f>INDEX(Chantiers!$G$6:$G$805,MATCH($A39&amp;"/architecture",Chantiers!$A$6:$A$805,0))</x:f>
        <x:v>En cours</x:v>
      </x:c>
      <x:c r="E39" s="271" t="str">
        <x:f>INDEX(Chantiers!$G$6:$G$805,MATCH($A39&amp;"/seed",Chantiers!$A$6:$A$805,0))</x:f>
        <x:v>À faire</x:v>
      </x:c>
      <x:c r="F39" s="271" t="str">
        <x:f>INDEX(Chantiers!$G$6:$G$805,MATCH($A39&amp;"/props",Chantiers!$A$6:$A$805,0))</x:f>
        <x:v>En cours</x:v>
      </x:c>
      <x:c r="G39" s="271" t="str">
        <x:f>INDEX(Chantiers!$G$6:$G$805,MATCH($A39&amp;"/loot",Chantiers!$A$6:$A$805,0))</x:f>
        <x:v>À faire</x:v>
      </x:c>
      <x:c r="H39" s="271" t="str">
        <x:f>INDEX(Chantiers!$G$6:$G$805,MATCH($A39&amp;"/rencontres",Chantiers!$A$6:$A$805,0))</x:f>
        <x:v>À faire</x:v>
      </x:c>
      <x:c r="I39" s="271" t="str">
        <x:f>INDEX(Chantiers!$G$6:$G$805,MATCH($A39&amp;"/services",Chantiers!$A$6:$A$805,0))</x:f>
        <x:v>À faire</x:v>
      </x:c>
      <x:c r="J39" s="271" t="str">
        <x:f>INDEX(Chantiers!$G$6:$G$805,MATCH($A39&amp;"/art",Chantiers!$A$6:$A$805,0))</x:f>
        <x:v>À faire</x:v>
      </x:c>
      <x:c r="K39" s="271" t="str">
        <x:f>INDEX(Chantiers!$G$6:$G$805,MATCH($A39&amp;"/sauvegarde",Chantiers!$A$6:$A$805,0))</x:f>
        <x:v>En cours</x:v>
      </x:c>
      <x:c r="L39" s="271" t="str">
        <x:f>INDEX(Chantiers!$G$6:$G$805,MATCH($A39&amp;"/qa",Chantiers!$A$6:$A$805,0))</x:f>
        <x:v>En cours</x:v>
      </x:c>
      <x:c r="M39" s="271" t="n">
        <x:f>COUNTIF(C39:L39,"Validé")</x:f>
        <x:v>0</x:v>
      </x:c>
      <x:c r="N39" s="271" t="n">
        <x:f>COLUMNS(C39:L39)-M39</x:f>
        <x:v>10</x:v>
      </x:c>
    </x:row>
    <x:row r="40" ht="34" customHeight="1">
      <x:c r="A40" s="271" t="str">
        <x:v>EXT-MONDE-T035</x:v>
      </x:c>
      <x:c r="B40" s="272" t="str">
        <x:v>Trèfle autoroutier</x:v>
      </x:c>
      <x:c r="C40" s="271" t="str">
        <x:f>INDEX(Chantiers!$G$6:$G$805,MATCH($A40&amp;"/dimensions",Chantiers!$A$6:$A$805,0))</x:f>
        <x:v>En cours</x:v>
      </x:c>
      <x:c r="D40" s="271" t="str">
        <x:f>INDEX(Chantiers!$G$6:$G$805,MATCH($A40&amp;"/architecture",Chantiers!$A$6:$A$805,0))</x:f>
        <x:v>En cours</x:v>
      </x:c>
      <x:c r="E40" s="271" t="str">
        <x:f>INDEX(Chantiers!$G$6:$G$805,MATCH($A40&amp;"/seed",Chantiers!$A$6:$A$805,0))</x:f>
        <x:v>À faire</x:v>
      </x:c>
      <x:c r="F40" s="271" t="str">
        <x:f>INDEX(Chantiers!$G$6:$G$805,MATCH($A40&amp;"/props",Chantiers!$A$6:$A$805,0))</x:f>
        <x:v>En cours</x:v>
      </x:c>
      <x:c r="G40" s="271" t="str">
        <x:f>INDEX(Chantiers!$G$6:$G$805,MATCH($A40&amp;"/loot",Chantiers!$A$6:$A$805,0))</x:f>
        <x:v>À faire</x:v>
      </x:c>
      <x:c r="H40" s="271" t="str">
        <x:f>INDEX(Chantiers!$G$6:$G$805,MATCH($A40&amp;"/rencontres",Chantiers!$A$6:$A$805,0))</x:f>
        <x:v>À faire</x:v>
      </x:c>
      <x:c r="I40" s="271" t="str">
        <x:f>INDEX(Chantiers!$G$6:$G$805,MATCH($A40&amp;"/services",Chantiers!$A$6:$A$805,0))</x:f>
        <x:v>À faire</x:v>
      </x:c>
      <x:c r="J40" s="271" t="str">
        <x:f>INDEX(Chantiers!$G$6:$G$805,MATCH($A40&amp;"/art",Chantiers!$A$6:$A$805,0))</x:f>
        <x:v>À faire</x:v>
      </x:c>
      <x:c r="K40" s="271" t="str">
        <x:f>INDEX(Chantiers!$G$6:$G$805,MATCH($A40&amp;"/sauvegarde",Chantiers!$A$6:$A$805,0))</x:f>
        <x:v>En cours</x:v>
      </x:c>
      <x:c r="L40" s="271" t="str">
        <x:f>INDEX(Chantiers!$G$6:$G$805,MATCH($A40&amp;"/qa",Chantiers!$A$6:$A$805,0))</x:f>
        <x:v>En cours</x:v>
      </x:c>
      <x:c r="M40" s="271" t="n">
        <x:f>COUNTIF(C40:L40,"Validé")</x:f>
        <x:v>0</x:v>
      </x:c>
      <x:c r="N40" s="271" t="n">
        <x:f>COLUMNS(C40:L40)-M40</x:f>
        <x:v>10</x:v>
      </x:c>
    </x:row>
    <x:row r="41" ht="34" customHeight="1">
      <x:c r="A41" s="271" t="str">
        <x:v>EXT-MONDE-T036</x:v>
      </x:c>
      <x:c r="B41" s="272" t="str">
        <x:v>Échangeur directionnel</x:v>
      </x:c>
      <x:c r="C41" s="271" t="str">
        <x:f>INDEX(Chantiers!$G$6:$G$805,MATCH($A41&amp;"/dimensions",Chantiers!$A$6:$A$805,0))</x:f>
        <x:v>En cours</x:v>
      </x:c>
      <x:c r="D41" s="271" t="str">
        <x:f>INDEX(Chantiers!$G$6:$G$805,MATCH($A41&amp;"/architecture",Chantiers!$A$6:$A$805,0))</x:f>
        <x:v>En cours</x:v>
      </x:c>
      <x:c r="E41" s="271" t="str">
        <x:f>INDEX(Chantiers!$G$6:$G$805,MATCH($A41&amp;"/seed",Chantiers!$A$6:$A$805,0))</x:f>
        <x:v>À faire</x:v>
      </x:c>
      <x:c r="F41" s="271" t="str">
        <x:f>INDEX(Chantiers!$G$6:$G$805,MATCH($A41&amp;"/props",Chantiers!$A$6:$A$805,0))</x:f>
        <x:v>En cours</x:v>
      </x:c>
      <x:c r="G41" s="271" t="str">
        <x:f>INDEX(Chantiers!$G$6:$G$805,MATCH($A41&amp;"/loot",Chantiers!$A$6:$A$805,0))</x:f>
        <x:v>À faire</x:v>
      </x:c>
      <x:c r="H41" s="271" t="str">
        <x:f>INDEX(Chantiers!$G$6:$G$805,MATCH($A41&amp;"/rencontres",Chantiers!$A$6:$A$805,0))</x:f>
        <x:v>À faire</x:v>
      </x:c>
      <x:c r="I41" s="271" t="str">
        <x:f>INDEX(Chantiers!$G$6:$G$805,MATCH($A41&amp;"/services",Chantiers!$A$6:$A$805,0))</x:f>
        <x:v>À faire</x:v>
      </x:c>
      <x:c r="J41" s="271" t="str">
        <x:f>INDEX(Chantiers!$G$6:$G$805,MATCH($A41&amp;"/art",Chantiers!$A$6:$A$805,0))</x:f>
        <x:v>À faire</x:v>
      </x:c>
      <x:c r="K41" s="271" t="str">
        <x:f>INDEX(Chantiers!$G$6:$G$805,MATCH($A41&amp;"/sauvegarde",Chantiers!$A$6:$A$805,0))</x:f>
        <x:v>En cours</x:v>
      </x:c>
      <x:c r="L41" s="271" t="str">
        <x:f>INDEX(Chantiers!$G$6:$G$805,MATCH($A41&amp;"/qa",Chantiers!$A$6:$A$805,0))</x:f>
        <x:v>En cours</x:v>
      </x:c>
      <x:c r="M41" s="271" t="n">
        <x:f>COUNTIF(C41:L41,"Validé")</x:f>
        <x:v>0</x:v>
      </x:c>
      <x:c r="N41" s="271" t="n">
        <x:f>COLUMNS(C41:L41)-M41</x:f>
        <x:v>10</x:v>
      </x:c>
    </x:row>
    <x:row r="42" ht="34" customHeight="1">
      <x:c r="A42" s="271" t="str">
        <x:v>EXT-MONDE-T037</x:v>
      </x:c>
      <x:c r="B42" s="272" t="str">
        <x:v>Collecteur urbain</x:v>
      </x:c>
      <x:c r="C42" s="271" t="str">
        <x:f>INDEX(Chantiers!$G$6:$G$805,MATCH($A42&amp;"/dimensions",Chantiers!$A$6:$A$805,0))</x:f>
        <x:v>En cours</x:v>
      </x:c>
      <x:c r="D42" s="271" t="str">
        <x:f>INDEX(Chantiers!$G$6:$G$805,MATCH($A42&amp;"/architecture",Chantiers!$A$6:$A$805,0))</x:f>
        <x:v>En cours</x:v>
      </x:c>
      <x:c r="E42" s="271" t="str">
        <x:f>INDEX(Chantiers!$G$6:$G$805,MATCH($A42&amp;"/seed",Chantiers!$A$6:$A$805,0))</x:f>
        <x:v>À faire</x:v>
      </x:c>
      <x:c r="F42" s="271" t="str">
        <x:f>INDEX(Chantiers!$G$6:$G$805,MATCH($A42&amp;"/props",Chantiers!$A$6:$A$805,0))</x:f>
        <x:v>En cours</x:v>
      </x:c>
      <x:c r="G42" s="271" t="str">
        <x:f>INDEX(Chantiers!$G$6:$G$805,MATCH($A42&amp;"/loot",Chantiers!$A$6:$A$805,0))</x:f>
        <x:v>À faire</x:v>
      </x:c>
      <x:c r="H42" s="271" t="str">
        <x:f>INDEX(Chantiers!$G$6:$G$805,MATCH($A42&amp;"/rencontres",Chantiers!$A$6:$A$805,0))</x:f>
        <x:v>À faire</x:v>
      </x:c>
      <x:c r="I42" s="271" t="str">
        <x:f>INDEX(Chantiers!$G$6:$G$805,MATCH($A42&amp;"/services",Chantiers!$A$6:$A$805,0))</x:f>
        <x:v>À faire</x:v>
      </x:c>
      <x:c r="J42" s="271" t="str">
        <x:f>INDEX(Chantiers!$G$6:$G$805,MATCH($A42&amp;"/art",Chantiers!$A$6:$A$805,0))</x:f>
        <x:v>À faire</x:v>
      </x:c>
      <x:c r="K42" s="271" t="str">
        <x:f>INDEX(Chantiers!$G$6:$G$805,MATCH($A42&amp;"/sauvegarde",Chantiers!$A$6:$A$805,0))</x:f>
        <x:v>En cours</x:v>
      </x:c>
      <x:c r="L42" s="271" t="str">
        <x:f>INDEX(Chantiers!$G$6:$G$805,MATCH($A42&amp;"/qa",Chantiers!$A$6:$A$805,0))</x:f>
        <x:v>En cours</x:v>
      </x:c>
      <x:c r="M42" s="271" t="n">
        <x:f>COUNTIF(C42:L42,"Validé")</x:f>
        <x:v>0</x:v>
      </x:c>
      <x:c r="N42" s="271" t="n">
        <x:f>COLUMNS(C42:L42)-M42</x:f>
        <x:v>10</x:v>
      </x:c>
    </x:row>
    <x:row r="43" ht="34" customHeight="1">
      <x:c r="A43" s="271" t="str">
        <x:v>EXT-MONDE-T038</x:v>
      </x:c>
      <x:c r="B43" s="272" t="str">
        <x:v>Réseau unitaire ancien</x:v>
      </x:c>
      <x:c r="C43" s="271" t="str">
        <x:f>INDEX(Chantiers!$G$6:$G$805,MATCH($A43&amp;"/dimensions",Chantiers!$A$6:$A$805,0))</x:f>
        <x:v>En cours</x:v>
      </x:c>
      <x:c r="D43" s="271" t="str">
        <x:f>INDEX(Chantiers!$G$6:$G$805,MATCH($A43&amp;"/architecture",Chantiers!$A$6:$A$805,0))</x:f>
        <x:v>En cours</x:v>
      </x:c>
      <x:c r="E43" s="271" t="str">
        <x:f>INDEX(Chantiers!$G$6:$G$805,MATCH($A43&amp;"/seed",Chantiers!$A$6:$A$805,0))</x:f>
        <x:v>À faire</x:v>
      </x:c>
      <x:c r="F43" s="271" t="str">
        <x:f>INDEX(Chantiers!$G$6:$G$805,MATCH($A43&amp;"/props",Chantiers!$A$6:$A$805,0))</x:f>
        <x:v>En cours</x:v>
      </x:c>
      <x:c r="G43" s="271" t="str">
        <x:f>INDEX(Chantiers!$G$6:$G$805,MATCH($A43&amp;"/loot",Chantiers!$A$6:$A$805,0))</x:f>
        <x:v>À faire</x:v>
      </x:c>
      <x:c r="H43" s="271" t="str">
        <x:f>INDEX(Chantiers!$G$6:$G$805,MATCH($A43&amp;"/rencontres",Chantiers!$A$6:$A$805,0))</x:f>
        <x:v>À faire</x:v>
      </x:c>
      <x:c r="I43" s="271" t="str">
        <x:f>INDEX(Chantiers!$G$6:$G$805,MATCH($A43&amp;"/services",Chantiers!$A$6:$A$805,0))</x:f>
        <x:v>À faire</x:v>
      </x:c>
      <x:c r="J43" s="271" t="str">
        <x:f>INDEX(Chantiers!$G$6:$G$805,MATCH($A43&amp;"/art",Chantiers!$A$6:$A$805,0))</x:f>
        <x:v>À faire</x:v>
      </x:c>
      <x:c r="K43" s="271" t="str">
        <x:f>INDEX(Chantiers!$G$6:$G$805,MATCH($A43&amp;"/sauvegarde",Chantiers!$A$6:$A$805,0))</x:f>
        <x:v>En cours</x:v>
      </x:c>
      <x:c r="L43" s="271" t="str">
        <x:f>INDEX(Chantiers!$G$6:$G$805,MATCH($A43&amp;"/qa",Chantiers!$A$6:$A$805,0))</x:f>
        <x:v>En cours</x:v>
      </x:c>
      <x:c r="M43" s="271" t="n">
        <x:f>COUNTIF(C43:L43,"Validé")</x:f>
        <x:v>0</x:v>
      </x:c>
      <x:c r="N43" s="271" t="n">
        <x:f>COLUMNS(C43:L43)-M43</x:f>
        <x:v>10</x:v>
      </x:c>
    </x:row>
    <x:row r="44" ht="34" customHeight="1">
      <x:c r="A44" s="271" t="str">
        <x:v>EXT-MONDE-T039</x:v>
      </x:c>
      <x:c r="B44" s="272" t="str">
        <x:v>Galerie pluviale</x:v>
      </x:c>
      <x:c r="C44" s="271" t="str">
        <x:f>INDEX(Chantiers!$G$6:$G$805,MATCH($A44&amp;"/dimensions",Chantiers!$A$6:$A$805,0))</x:f>
        <x:v>En cours</x:v>
      </x:c>
      <x:c r="D44" s="271" t="str">
        <x:f>INDEX(Chantiers!$G$6:$G$805,MATCH($A44&amp;"/architecture",Chantiers!$A$6:$A$805,0))</x:f>
        <x:v>En cours</x:v>
      </x:c>
      <x:c r="E44" s="271" t="str">
        <x:f>INDEX(Chantiers!$G$6:$G$805,MATCH($A44&amp;"/seed",Chantiers!$A$6:$A$805,0))</x:f>
        <x:v>À faire</x:v>
      </x:c>
      <x:c r="F44" s="271" t="str">
        <x:f>INDEX(Chantiers!$G$6:$G$805,MATCH($A44&amp;"/props",Chantiers!$A$6:$A$805,0))</x:f>
        <x:v>En cours</x:v>
      </x:c>
      <x:c r="G44" s="271" t="str">
        <x:f>INDEX(Chantiers!$G$6:$G$805,MATCH($A44&amp;"/loot",Chantiers!$A$6:$A$805,0))</x:f>
        <x:v>À faire</x:v>
      </x:c>
      <x:c r="H44" s="271" t="str">
        <x:f>INDEX(Chantiers!$G$6:$G$805,MATCH($A44&amp;"/rencontres",Chantiers!$A$6:$A$805,0))</x:f>
        <x:v>À faire</x:v>
      </x:c>
      <x:c r="I44" s="271" t="str">
        <x:f>INDEX(Chantiers!$G$6:$G$805,MATCH($A44&amp;"/services",Chantiers!$A$6:$A$805,0))</x:f>
        <x:v>À faire</x:v>
      </x:c>
      <x:c r="J44" s="271" t="str">
        <x:f>INDEX(Chantiers!$G$6:$G$805,MATCH($A44&amp;"/art",Chantiers!$A$6:$A$805,0))</x:f>
        <x:v>À faire</x:v>
      </x:c>
      <x:c r="K44" s="271" t="str">
        <x:f>INDEX(Chantiers!$G$6:$G$805,MATCH($A44&amp;"/sauvegarde",Chantiers!$A$6:$A$805,0))</x:f>
        <x:v>En cours</x:v>
      </x:c>
      <x:c r="L44" s="271" t="str">
        <x:f>INDEX(Chantiers!$G$6:$G$805,MATCH($A44&amp;"/qa",Chantiers!$A$6:$A$805,0))</x:f>
        <x:v>En cours</x:v>
      </x:c>
      <x:c r="M44" s="271" t="n">
        <x:f>COUNTIF(C44:L44,"Validé")</x:f>
        <x:v>0</x:v>
      </x:c>
      <x:c r="N44" s="271" t="n">
        <x:f>COLUMNS(C44:L44)-M44</x:f>
        <x:v>10</x:v>
      </x:c>
    </x:row>
    <x:row r="45" ht="34" customHeight="1">
      <x:c r="A45" s="271" t="str">
        <x:v>EXT-MONDE-T040</x:v>
      </x:c>
      <x:c r="B45" s="272" t="str">
        <x:v>Station souterraine de relevage</x:v>
      </x:c>
      <x:c r="C45" s="271" t="str">
        <x:f>INDEX(Chantiers!$G$6:$G$805,MATCH($A45&amp;"/dimensions",Chantiers!$A$6:$A$805,0))</x:f>
        <x:v>En cours</x:v>
      </x:c>
      <x:c r="D45" s="271" t="str">
        <x:f>INDEX(Chantiers!$G$6:$G$805,MATCH($A45&amp;"/architecture",Chantiers!$A$6:$A$805,0))</x:f>
        <x:v>En cours</x:v>
      </x:c>
      <x:c r="E45" s="271" t="str">
        <x:f>INDEX(Chantiers!$G$6:$G$805,MATCH($A45&amp;"/seed",Chantiers!$A$6:$A$805,0))</x:f>
        <x:v>À faire</x:v>
      </x:c>
      <x:c r="F45" s="271" t="str">
        <x:f>INDEX(Chantiers!$G$6:$G$805,MATCH($A45&amp;"/props",Chantiers!$A$6:$A$805,0))</x:f>
        <x:v>En cours</x:v>
      </x:c>
      <x:c r="G45" s="271" t="str">
        <x:f>INDEX(Chantiers!$G$6:$G$805,MATCH($A45&amp;"/loot",Chantiers!$A$6:$A$805,0))</x:f>
        <x:v>À faire</x:v>
      </x:c>
      <x:c r="H45" s="271" t="str">
        <x:f>INDEX(Chantiers!$G$6:$G$805,MATCH($A45&amp;"/rencontres",Chantiers!$A$6:$A$805,0))</x:f>
        <x:v>À faire</x:v>
      </x:c>
      <x:c r="I45" s="271" t="str">
        <x:f>INDEX(Chantiers!$G$6:$G$805,MATCH($A45&amp;"/services",Chantiers!$A$6:$A$805,0))</x:f>
        <x:v>À faire</x:v>
      </x:c>
      <x:c r="J45" s="271" t="str">
        <x:f>INDEX(Chantiers!$G$6:$G$805,MATCH($A45&amp;"/art",Chantiers!$A$6:$A$805,0))</x:f>
        <x:v>À faire</x:v>
      </x:c>
      <x:c r="K45" s="271" t="str">
        <x:f>INDEX(Chantiers!$G$6:$G$805,MATCH($A45&amp;"/sauvegarde",Chantiers!$A$6:$A$805,0))</x:f>
        <x:v>En cours</x:v>
      </x:c>
      <x:c r="L45" s="271" t="str">
        <x:f>INDEX(Chantiers!$G$6:$G$805,MATCH($A45&amp;"/qa",Chantiers!$A$6:$A$805,0))</x:f>
        <x:v>En cours</x:v>
      </x:c>
      <x:c r="M45" s="271" t="n">
        <x:f>COUNTIF(C45:L45,"Validé")</x:f>
        <x:v>0</x:v>
      </x:c>
      <x:c r="N45" s="271" t="n">
        <x:f>COLUMNS(C45:L45)-M45</x:f>
        <x:v>10</x:v>
      </x:c>
    </x:row>
    <x:row r="46" ht="34" customHeight="1">
      <x:c r="A46" s="271" t="str">
        <x:v>EXT-MONDE-T041</x:v>
      </x:c>
      <x:c r="B46" s="272" t="str">
        <x:v>Barre HLM</x:v>
      </x:c>
      <x:c r="C46" s="271" t="str">
        <x:f>INDEX(Chantiers!$G$6:$G$805,MATCH($A46&amp;"/dimensions",Chantiers!$A$6:$A$805,0))</x:f>
        <x:v>En cours</x:v>
      </x:c>
      <x:c r="D46" s="271" t="str">
        <x:f>INDEX(Chantiers!$G$6:$G$805,MATCH($A46&amp;"/architecture",Chantiers!$A$6:$A$805,0))</x:f>
        <x:v>En cours</x:v>
      </x:c>
      <x:c r="E46" s="271" t="str">
        <x:f>INDEX(Chantiers!$G$6:$G$805,MATCH($A46&amp;"/seed",Chantiers!$A$6:$A$805,0))</x:f>
        <x:v>À faire</x:v>
      </x:c>
      <x:c r="F46" s="271" t="str">
        <x:f>INDEX(Chantiers!$G$6:$G$805,MATCH($A46&amp;"/props",Chantiers!$A$6:$A$805,0))</x:f>
        <x:v>En cours</x:v>
      </x:c>
      <x:c r="G46" s="271" t="str">
        <x:f>INDEX(Chantiers!$G$6:$G$805,MATCH($A46&amp;"/loot",Chantiers!$A$6:$A$805,0))</x:f>
        <x:v>À faire</x:v>
      </x:c>
      <x:c r="H46" s="271" t="str">
        <x:f>INDEX(Chantiers!$G$6:$G$805,MATCH($A46&amp;"/rencontres",Chantiers!$A$6:$A$805,0))</x:f>
        <x:v>À faire</x:v>
      </x:c>
      <x:c r="I46" s="271" t="str">
        <x:f>INDEX(Chantiers!$G$6:$G$805,MATCH($A46&amp;"/services",Chantiers!$A$6:$A$805,0))</x:f>
        <x:v>À faire</x:v>
      </x:c>
      <x:c r="J46" s="271" t="str">
        <x:f>INDEX(Chantiers!$G$6:$G$805,MATCH($A46&amp;"/art",Chantiers!$A$6:$A$805,0))</x:f>
        <x:v>À faire</x:v>
      </x:c>
      <x:c r="K46" s="271" t="str">
        <x:f>INDEX(Chantiers!$G$6:$G$805,MATCH($A46&amp;"/sauvegarde",Chantiers!$A$6:$A$805,0))</x:f>
        <x:v>En cours</x:v>
      </x:c>
      <x:c r="L46" s="271" t="str">
        <x:f>INDEX(Chantiers!$G$6:$G$805,MATCH($A46&amp;"/qa",Chantiers!$A$6:$A$805,0))</x:f>
        <x:v>En cours</x:v>
      </x:c>
      <x:c r="M46" s="271" t="n">
        <x:f>COUNTIF(C46:L46,"Validé")</x:f>
        <x:v>0</x:v>
      </x:c>
      <x:c r="N46" s="271" t="n">
        <x:f>COLUMNS(C46:L46)-M46</x:f>
        <x:v>10</x:v>
      </x:c>
    </x:row>
    <x:row r="47" ht="34" customHeight="1">
      <x:c r="A47" s="271" t="str">
        <x:v>EXT-MONDE-T042</x:v>
      </x:c>
      <x:c r="B47" s="272" t="str">
        <x:v>Tour HLM</x:v>
      </x:c>
      <x:c r="C47" s="271" t="str">
        <x:f>INDEX(Chantiers!$G$6:$G$805,MATCH($A47&amp;"/dimensions",Chantiers!$A$6:$A$805,0))</x:f>
        <x:v>En cours</x:v>
      </x:c>
      <x:c r="D47" s="271" t="str">
        <x:f>INDEX(Chantiers!$G$6:$G$805,MATCH($A47&amp;"/architecture",Chantiers!$A$6:$A$805,0))</x:f>
        <x:v>En cours</x:v>
      </x:c>
      <x:c r="E47" s="271" t="str">
        <x:f>INDEX(Chantiers!$G$6:$G$805,MATCH($A47&amp;"/seed",Chantiers!$A$6:$A$805,0))</x:f>
        <x:v>À faire</x:v>
      </x:c>
      <x:c r="F47" s="271" t="str">
        <x:f>INDEX(Chantiers!$G$6:$G$805,MATCH($A47&amp;"/props",Chantiers!$A$6:$A$805,0))</x:f>
        <x:v>En cours</x:v>
      </x:c>
      <x:c r="G47" s="271" t="str">
        <x:f>INDEX(Chantiers!$G$6:$G$805,MATCH($A47&amp;"/loot",Chantiers!$A$6:$A$805,0))</x:f>
        <x:v>À faire</x:v>
      </x:c>
      <x:c r="H47" s="271" t="str">
        <x:f>INDEX(Chantiers!$G$6:$G$805,MATCH($A47&amp;"/rencontres",Chantiers!$A$6:$A$805,0))</x:f>
        <x:v>À faire</x:v>
      </x:c>
      <x:c r="I47" s="271" t="str">
        <x:f>INDEX(Chantiers!$G$6:$G$805,MATCH($A47&amp;"/services",Chantiers!$A$6:$A$805,0))</x:f>
        <x:v>À faire</x:v>
      </x:c>
      <x:c r="J47" s="271" t="str">
        <x:f>INDEX(Chantiers!$G$6:$G$805,MATCH($A47&amp;"/art",Chantiers!$A$6:$A$805,0))</x:f>
        <x:v>À faire</x:v>
      </x:c>
      <x:c r="K47" s="271" t="str">
        <x:f>INDEX(Chantiers!$G$6:$G$805,MATCH($A47&amp;"/sauvegarde",Chantiers!$A$6:$A$805,0))</x:f>
        <x:v>En cours</x:v>
      </x:c>
      <x:c r="L47" s="271" t="str">
        <x:f>INDEX(Chantiers!$G$6:$G$805,MATCH($A47&amp;"/qa",Chantiers!$A$6:$A$805,0))</x:f>
        <x:v>En cours</x:v>
      </x:c>
      <x:c r="M47" s="271" t="n">
        <x:f>COUNTIF(C47:L47,"Validé")</x:f>
        <x:v>0</x:v>
      </x:c>
      <x:c r="N47" s="271" t="n">
        <x:f>COLUMNS(C47:L47)-M47</x:f>
        <x:v>10</x:v>
      </x:c>
    </x:row>
    <x:row r="48" ht="34" customHeight="1">
      <x:c r="A48" s="271" t="str">
        <x:v>EXT-MONDE-T043</x:v>
      </x:c>
      <x:c r="B48" s="272" t="str">
        <x:v>Résidence en cour</x:v>
      </x:c>
      <x:c r="C48" s="271" t="str">
        <x:f>INDEX(Chantiers!$G$6:$G$805,MATCH($A48&amp;"/dimensions",Chantiers!$A$6:$A$805,0))</x:f>
        <x:v>En cours</x:v>
      </x:c>
      <x:c r="D48" s="271" t="str">
        <x:f>INDEX(Chantiers!$G$6:$G$805,MATCH($A48&amp;"/architecture",Chantiers!$A$6:$A$805,0))</x:f>
        <x:v>En cours</x:v>
      </x:c>
      <x:c r="E48" s="271" t="str">
        <x:f>INDEX(Chantiers!$G$6:$G$805,MATCH($A48&amp;"/seed",Chantiers!$A$6:$A$805,0))</x:f>
        <x:v>À faire</x:v>
      </x:c>
      <x:c r="F48" s="271" t="str">
        <x:f>INDEX(Chantiers!$G$6:$G$805,MATCH($A48&amp;"/props",Chantiers!$A$6:$A$805,0))</x:f>
        <x:v>En cours</x:v>
      </x:c>
      <x:c r="G48" s="271" t="str">
        <x:f>INDEX(Chantiers!$G$6:$G$805,MATCH($A48&amp;"/loot",Chantiers!$A$6:$A$805,0))</x:f>
        <x:v>À faire</x:v>
      </x:c>
      <x:c r="H48" s="271" t="str">
        <x:f>INDEX(Chantiers!$G$6:$G$805,MATCH($A48&amp;"/rencontres",Chantiers!$A$6:$A$805,0))</x:f>
        <x:v>À faire</x:v>
      </x:c>
      <x:c r="I48" s="271" t="str">
        <x:f>INDEX(Chantiers!$G$6:$G$805,MATCH($A48&amp;"/services",Chantiers!$A$6:$A$805,0))</x:f>
        <x:v>À faire</x:v>
      </x:c>
      <x:c r="J48" s="271" t="str">
        <x:f>INDEX(Chantiers!$G$6:$G$805,MATCH($A48&amp;"/art",Chantiers!$A$6:$A$805,0))</x:f>
        <x:v>À faire</x:v>
      </x:c>
      <x:c r="K48" s="271" t="str">
        <x:f>INDEX(Chantiers!$G$6:$G$805,MATCH($A48&amp;"/sauvegarde",Chantiers!$A$6:$A$805,0))</x:f>
        <x:v>En cours</x:v>
      </x:c>
      <x:c r="L48" s="271" t="str">
        <x:f>INDEX(Chantiers!$G$6:$G$805,MATCH($A48&amp;"/qa",Chantiers!$A$6:$A$805,0))</x:f>
        <x:v>En cours</x:v>
      </x:c>
      <x:c r="M48" s="271" t="n">
        <x:f>COUNTIF(C48:L48,"Validé")</x:f>
        <x:v>0</x:v>
      </x:c>
      <x:c r="N48" s="271" t="n">
        <x:f>COLUMNS(C48:L48)-M48</x:f>
        <x:v>10</x:v>
      </x:c>
    </x:row>
    <x:row r="49" ht="34" customHeight="1">
      <x:c r="A49" s="271" t="str">
        <x:v>EXT-MONDE-T044</x:v>
      </x:c>
      <x:c r="B49" s="272" t="str">
        <x:v>Ensemble HLM mixte</x:v>
      </x:c>
      <x:c r="C49" s="271" t="str">
        <x:f>INDEX(Chantiers!$G$6:$G$805,MATCH($A49&amp;"/dimensions",Chantiers!$A$6:$A$805,0))</x:f>
        <x:v>En cours</x:v>
      </x:c>
      <x:c r="D49" s="271" t="str">
        <x:f>INDEX(Chantiers!$G$6:$G$805,MATCH($A49&amp;"/architecture",Chantiers!$A$6:$A$805,0))</x:f>
        <x:v>En cours</x:v>
      </x:c>
      <x:c r="E49" s="271" t="str">
        <x:f>INDEX(Chantiers!$G$6:$G$805,MATCH($A49&amp;"/seed",Chantiers!$A$6:$A$805,0))</x:f>
        <x:v>À faire</x:v>
      </x:c>
      <x:c r="F49" s="271" t="str">
        <x:f>INDEX(Chantiers!$G$6:$G$805,MATCH($A49&amp;"/props",Chantiers!$A$6:$A$805,0))</x:f>
        <x:v>En cours</x:v>
      </x:c>
      <x:c r="G49" s="271" t="str">
        <x:f>INDEX(Chantiers!$G$6:$G$805,MATCH($A49&amp;"/loot",Chantiers!$A$6:$A$805,0))</x:f>
        <x:v>À faire</x:v>
      </x:c>
      <x:c r="H49" s="271" t="str">
        <x:f>INDEX(Chantiers!$G$6:$G$805,MATCH($A49&amp;"/rencontres",Chantiers!$A$6:$A$805,0))</x:f>
        <x:v>À faire</x:v>
      </x:c>
      <x:c r="I49" s="271" t="str">
        <x:f>INDEX(Chantiers!$G$6:$G$805,MATCH($A49&amp;"/services",Chantiers!$A$6:$A$805,0))</x:f>
        <x:v>À faire</x:v>
      </x:c>
      <x:c r="J49" s="271" t="str">
        <x:f>INDEX(Chantiers!$G$6:$G$805,MATCH($A49&amp;"/art",Chantiers!$A$6:$A$805,0))</x:f>
        <x:v>À faire</x:v>
      </x:c>
      <x:c r="K49" s="271" t="str">
        <x:f>INDEX(Chantiers!$G$6:$G$805,MATCH($A49&amp;"/sauvegarde",Chantiers!$A$6:$A$805,0))</x:f>
        <x:v>En cours</x:v>
      </x:c>
      <x:c r="L49" s="271" t="str">
        <x:f>INDEX(Chantiers!$G$6:$G$805,MATCH($A49&amp;"/qa",Chantiers!$A$6:$A$805,0))</x:f>
        <x:v>En cours</x:v>
      </x:c>
      <x:c r="M49" s="271" t="n">
        <x:f>COUNTIF(C49:L49,"Validé")</x:f>
        <x:v>0</x:v>
      </x:c>
      <x:c r="N49" s="271" t="n">
        <x:f>COLUMNS(C49:L49)-M49</x:f>
        <x:v>10</x:v>
      </x:c>
    </x:row>
    <x:row r="50" ht="34" customHeight="1">
      <x:c r="A50" s="271" t="str">
        <x:v>EXT-MONDE-T045</x:v>
      </x:c>
      <x:c r="B50" s="272" t="str">
        <x:v>Parc résidentiel de mobil-homes</x:v>
      </x:c>
      <x:c r="C50" s="271" t="str">
        <x:f>INDEX(Chantiers!$G$6:$G$805,MATCH($A50&amp;"/dimensions",Chantiers!$A$6:$A$805,0))</x:f>
        <x:v>En cours</x:v>
      </x:c>
      <x:c r="D50" s="271" t="str">
        <x:f>INDEX(Chantiers!$G$6:$G$805,MATCH($A50&amp;"/architecture",Chantiers!$A$6:$A$805,0))</x:f>
        <x:v>En cours</x:v>
      </x:c>
      <x:c r="E50" s="271" t="str">
        <x:f>INDEX(Chantiers!$G$6:$G$805,MATCH($A50&amp;"/seed",Chantiers!$A$6:$A$805,0))</x:f>
        <x:v>En cours</x:v>
      </x:c>
      <x:c r="F50" s="271" t="str">
        <x:f>INDEX(Chantiers!$G$6:$G$805,MATCH($A50&amp;"/props",Chantiers!$A$6:$A$805,0))</x:f>
        <x:v>En cours</x:v>
      </x:c>
      <x:c r="G50" s="271" t="str">
        <x:f>INDEX(Chantiers!$G$6:$G$805,MATCH($A50&amp;"/loot",Chantiers!$A$6:$A$805,0))</x:f>
        <x:v>En cours</x:v>
      </x:c>
      <x:c r="H50" s="271" t="str">
        <x:f>INDEX(Chantiers!$G$6:$G$805,MATCH($A50&amp;"/rencontres",Chantiers!$A$6:$A$805,0))</x:f>
        <x:v>À faire</x:v>
      </x:c>
      <x:c r="I50" s="271" t="str">
        <x:f>INDEX(Chantiers!$G$6:$G$805,MATCH($A50&amp;"/services",Chantiers!$A$6:$A$805,0))</x:f>
        <x:v>En cours</x:v>
      </x:c>
      <x:c r="J50" s="271" t="str">
        <x:f>INDEX(Chantiers!$G$6:$G$805,MATCH($A50&amp;"/art",Chantiers!$A$6:$A$805,0))</x:f>
        <x:v>En cours</x:v>
      </x:c>
      <x:c r="K50" s="271" t="str">
        <x:f>INDEX(Chantiers!$G$6:$G$805,MATCH($A50&amp;"/sauvegarde",Chantiers!$A$6:$A$805,0))</x:f>
        <x:v>En cours</x:v>
      </x:c>
      <x:c r="L50" s="271" t="str">
        <x:f>INDEX(Chantiers!$G$6:$G$805,MATCH($A50&amp;"/qa",Chantiers!$A$6:$A$805,0))</x:f>
        <x:v>En cours</x:v>
      </x:c>
      <x:c r="M50" s="271" t="n">
        <x:f>COUNTIF(C50:L50,"Validé")</x:f>
        <x:v>0</x:v>
      </x:c>
      <x:c r="N50" s="271" t="n">
        <x:f>COLUMNS(C50:L50)-M50</x:f>
        <x:v>10</x:v>
      </x:c>
    </x:row>
    <x:row r="51" ht="34" customHeight="1">
      <x:c r="A51" s="271" t="str">
        <x:v>EXT-MONDE-T046</x:v>
      </x:c>
      <x:c r="B51" s="272" t="str">
        <x:v>Camping caravanes</x:v>
      </x:c>
      <x:c r="C51" s="271" t="str">
        <x:f>INDEX(Chantiers!$G$6:$G$805,MATCH($A51&amp;"/dimensions",Chantiers!$A$6:$A$805,0))</x:f>
        <x:v>En cours</x:v>
      </x:c>
      <x:c r="D51" s="271" t="str">
        <x:f>INDEX(Chantiers!$G$6:$G$805,MATCH($A51&amp;"/architecture",Chantiers!$A$6:$A$805,0))</x:f>
        <x:v>En cours</x:v>
      </x:c>
      <x:c r="E51" s="271" t="str">
        <x:f>INDEX(Chantiers!$G$6:$G$805,MATCH($A51&amp;"/seed",Chantiers!$A$6:$A$805,0))</x:f>
        <x:v>En cours</x:v>
      </x:c>
      <x:c r="F51" s="271" t="str">
        <x:f>INDEX(Chantiers!$G$6:$G$805,MATCH($A51&amp;"/props",Chantiers!$A$6:$A$805,0))</x:f>
        <x:v>En cours</x:v>
      </x:c>
      <x:c r="G51" s="271" t="str">
        <x:f>INDEX(Chantiers!$G$6:$G$805,MATCH($A51&amp;"/loot",Chantiers!$A$6:$A$805,0))</x:f>
        <x:v>En cours</x:v>
      </x:c>
      <x:c r="H51" s="271" t="str">
        <x:f>INDEX(Chantiers!$G$6:$G$805,MATCH($A51&amp;"/rencontres",Chantiers!$A$6:$A$805,0))</x:f>
        <x:v>À faire</x:v>
      </x:c>
      <x:c r="I51" s="271" t="str">
        <x:f>INDEX(Chantiers!$G$6:$G$805,MATCH($A51&amp;"/services",Chantiers!$A$6:$A$805,0))</x:f>
        <x:v>En cours</x:v>
      </x:c>
      <x:c r="J51" s="271" t="str">
        <x:f>INDEX(Chantiers!$G$6:$G$805,MATCH($A51&amp;"/art",Chantiers!$A$6:$A$805,0))</x:f>
        <x:v>En cours</x:v>
      </x:c>
      <x:c r="K51" s="271" t="str">
        <x:f>INDEX(Chantiers!$G$6:$G$805,MATCH($A51&amp;"/sauvegarde",Chantiers!$A$6:$A$805,0))</x:f>
        <x:v>En cours</x:v>
      </x:c>
      <x:c r="L51" s="271" t="str">
        <x:f>INDEX(Chantiers!$G$6:$G$805,MATCH($A51&amp;"/qa",Chantiers!$A$6:$A$805,0))</x:f>
        <x:v>En cours</x:v>
      </x:c>
      <x:c r="M51" s="271" t="n">
        <x:f>COUNTIF(C51:L51,"Validé")</x:f>
        <x:v>0</x:v>
      </x:c>
      <x:c r="N51" s="271" t="n">
        <x:f>COLUMNS(C51:L51)-M51</x:f>
        <x:v>10</x:v>
      </x:c>
    </x:row>
    <x:row r="52" ht="34" customHeight="1">
      <x:c r="A52" s="271" t="str">
        <x:v>EXT-MONDE-T047</x:v>
      </x:c>
      <x:c r="B52" s="272" t="str">
        <x:v>Camp de travailleurs</x:v>
      </x:c>
      <x:c r="C52" s="271" t="str">
        <x:f>INDEX(Chantiers!$G$6:$G$805,MATCH($A52&amp;"/dimensions",Chantiers!$A$6:$A$805,0))</x:f>
        <x:v>En cours</x:v>
      </x:c>
      <x:c r="D52" s="271" t="str">
        <x:f>INDEX(Chantiers!$G$6:$G$805,MATCH($A52&amp;"/architecture",Chantiers!$A$6:$A$805,0))</x:f>
        <x:v>En cours</x:v>
      </x:c>
      <x:c r="E52" s="271" t="str">
        <x:f>INDEX(Chantiers!$G$6:$G$805,MATCH($A52&amp;"/seed",Chantiers!$A$6:$A$805,0))</x:f>
        <x:v>En cours</x:v>
      </x:c>
      <x:c r="F52" s="271" t="str">
        <x:f>INDEX(Chantiers!$G$6:$G$805,MATCH($A52&amp;"/props",Chantiers!$A$6:$A$805,0))</x:f>
        <x:v>En cours</x:v>
      </x:c>
      <x:c r="G52" s="271" t="str">
        <x:f>INDEX(Chantiers!$G$6:$G$805,MATCH($A52&amp;"/loot",Chantiers!$A$6:$A$805,0))</x:f>
        <x:v>En cours</x:v>
      </x:c>
      <x:c r="H52" s="271" t="str">
        <x:f>INDEX(Chantiers!$G$6:$G$805,MATCH($A52&amp;"/rencontres",Chantiers!$A$6:$A$805,0))</x:f>
        <x:v>À faire</x:v>
      </x:c>
      <x:c r="I52" s="271" t="str">
        <x:f>INDEX(Chantiers!$G$6:$G$805,MATCH($A52&amp;"/services",Chantiers!$A$6:$A$805,0))</x:f>
        <x:v>En cours</x:v>
      </x:c>
      <x:c r="J52" s="271" t="str">
        <x:f>INDEX(Chantiers!$G$6:$G$805,MATCH($A52&amp;"/art",Chantiers!$A$6:$A$805,0))</x:f>
        <x:v>En cours</x:v>
      </x:c>
      <x:c r="K52" s="271" t="str">
        <x:f>INDEX(Chantiers!$G$6:$G$805,MATCH($A52&amp;"/sauvegarde",Chantiers!$A$6:$A$805,0))</x:f>
        <x:v>En cours</x:v>
      </x:c>
      <x:c r="L52" s="271" t="str">
        <x:f>INDEX(Chantiers!$G$6:$G$805,MATCH($A52&amp;"/qa",Chantiers!$A$6:$A$805,0))</x:f>
        <x:v>En cours</x:v>
      </x:c>
      <x:c r="M52" s="271" t="n">
        <x:f>COUNTIF(C52:L52,"Validé")</x:f>
        <x:v>0</x:v>
      </x:c>
      <x:c r="N52" s="271" t="n">
        <x:f>COLUMNS(C52:L52)-M52</x:f>
        <x:v>10</x:v>
      </x:c>
    </x:row>
    <x:row r="53" ht="34" customHeight="1">
      <x:c r="A53" s="271" t="str">
        <x:v>EXT-MONDE-T048</x:v>
      </x:c>
      <x:c r="B53" s="272" t="str">
        <x:v>Parc de caravanes abandonné</x:v>
      </x:c>
      <x:c r="C53" s="271" t="str">
        <x:f>INDEX(Chantiers!$G$6:$G$805,MATCH($A53&amp;"/dimensions",Chantiers!$A$6:$A$805,0))</x:f>
        <x:v>En cours</x:v>
      </x:c>
      <x:c r="D53" s="271" t="str">
        <x:f>INDEX(Chantiers!$G$6:$G$805,MATCH($A53&amp;"/architecture",Chantiers!$A$6:$A$805,0))</x:f>
        <x:v>En cours</x:v>
      </x:c>
      <x:c r="E53" s="271" t="str">
        <x:f>INDEX(Chantiers!$G$6:$G$805,MATCH($A53&amp;"/seed",Chantiers!$A$6:$A$805,0))</x:f>
        <x:v>En cours</x:v>
      </x:c>
      <x:c r="F53" s="271" t="str">
        <x:f>INDEX(Chantiers!$G$6:$G$805,MATCH($A53&amp;"/props",Chantiers!$A$6:$A$805,0))</x:f>
        <x:v>En cours</x:v>
      </x:c>
      <x:c r="G53" s="271" t="str">
        <x:f>INDEX(Chantiers!$G$6:$G$805,MATCH($A53&amp;"/loot",Chantiers!$A$6:$A$805,0))</x:f>
        <x:v>En cours</x:v>
      </x:c>
      <x:c r="H53" s="271" t="str">
        <x:f>INDEX(Chantiers!$G$6:$G$805,MATCH($A53&amp;"/rencontres",Chantiers!$A$6:$A$805,0))</x:f>
        <x:v>À faire</x:v>
      </x:c>
      <x:c r="I53" s="271" t="str">
        <x:f>INDEX(Chantiers!$G$6:$G$805,MATCH($A53&amp;"/services",Chantiers!$A$6:$A$805,0))</x:f>
        <x:v>En cours</x:v>
      </x:c>
      <x:c r="J53" s="271" t="str">
        <x:f>INDEX(Chantiers!$G$6:$G$805,MATCH($A53&amp;"/art",Chantiers!$A$6:$A$805,0))</x:f>
        <x:v>En cours</x:v>
      </x:c>
      <x:c r="K53" s="271" t="str">
        <x:f>INDEX(Chantiers!$G$6:$G$805,MATCH($A53&amp;"/sauvegarde",Chantiers!$A$6:$A$805,0))</x:f>
        <x:v>En cours</x:v>
      </x:c>
      <x:c r="L53" s="271" t="str">
        <x:f>INDEX(Chantiers!$G$6:$G$805,MATCH($A53&amp;"/qa",Chantiers!$A$6:$A$805,0))</x:f>
        <x:v>En cours</x:v>
      </x:c>
      <x:c r="M53" s="271" t="n">
        <x:f>COUNTIF(C53:L53,"Validé")</x:f>
        <x:v>0</x:v>
      </x:c>
      <x:c r="N53" s="271" t="n">
        <x:f>COLUMNS(C53:L53)-M53</x:f>
        <x:v>10</x:v>
      </x:c>
    </x:row>
    <x:row r="54" ht="34" customHeight="1">
      <x:c r="A54" s="271" t="str">
        <x:v>EXT-MONDE-T049</x:v>
      </x:c>
      <x:c r="B54" s="272" t="str">
        <x:v>Parc familial</x:v>
      </x:c>
      <x:c r="C54" s="271" t="str">
        <x:f>INDEX(Chantiers!$G$6:$G$805,MATCH($A54&amp;"/dimensions",Chantiers!$A$6:$A$805,0))</x:f>
        <x:v>En cours</x:v>
      </x:c>
      <x:c r="D54" s="271" t="str">
        <x:f>INDEX(Chantiers!$G$6:$G$805,MATCH($A54&amp;"/architecture",Chantiers!$A$6:$A$805,0))</x:f>
        <x:v>En cours</x:v>
      </x:c>
      <x:c r="E54" s="271" t="str">
        <x:f>INDEX(Chantiers!$G$6:$G$805,MATCH($A54&amp;"/seed",Chantiers!$A$6:$A$805,0))</x:f>
        <x:v>À faire</x:v>
      </x:c>
      <x:c r="F54" s="271" t="str">
        <x:f>INDEX(Chantiers!$G$6:$G$805,MATCH($A54&amp;"/props",Chantiers!$A$6:$A$805,0))</x:f>
        <x:v>En cours</x:v>
      </x:c>
      <x:c r="G54" s="271" t="str">
        <x:f>INDEX(Chantiers!$G$6:$G$805,MATCH($A54&amp;"/loot",Chantiers!$A$6:$A$805,0))</x:f>
        <x:v>À faire</x:v>
      </x:c>
      <x:c r="H54" s="271" t="str">
        <x:f>INDEX(Chantiers!$G$6:$G$805,MATCH($A54&amp;"/rencontres",Chantiers!$A$6:$A$805,0))</x:f>
        <x:v>À faire</x:v>
      </x:c>
      <x:c r="I54" s="271" t="str">
        <x:f>INDEX(Chantiers!$G$6:$G$805,MATCH($A54&amp;"/services",Chantiers!$A$6:$A$805,0))</x:f>
        <x:v>À faire</x:v>
      </x:c>
      <x:c r="J54" s="271" t="str">
        <x:f>INDEX(Chantiers!$G$6:$G$805,MATCH($A54&amp;"/art",Chantiers!$A$6:$A$805,0))</x:f>
        <x:v>À faire</x:v>
      </x:c>
      <x:c r="K54" s="271" t="str">
        <x:f>INDEX(Chantiers!$G$6:$G$805,MATCH($A54&amp;"/sauvegarde",Chantiers!$A$6:$A$805,0))</x:f>
        <x:v>En cours</x:v>
      </x:c>
      <x:c r="L54" s="271" t="str">
        <x:f>INDEX(Chantiers!$G$6:$G$805,MATCH($A54&amp;"/qa",Chantiers!$A$6:$A$805,0))</x:f>
        <x:v>En cours</x:v>
      </x:c>
      <x:c r="M54" s="271" t="n">
        <x:f>COUNTIF(C54:L54,"Validé")</x:f>
        <x:v>0</x:v>
      </x:c>
      <x:c r="N54" s="271" t="n">
        <x:f>COLUMNS(C54:L54)-M54</x:f>
        <x:v>10</x:v>
      </x:c>
    </x:row>
    <x:row r="55" ht="34" customHeight="1">
      <x:c r="A55" s="271" t="str">
        <x:v>EXT-MONDE-T050</x:v>
      </x:c>
      <x:c r="B55" s="272" t="str">
        <x:v>Parc à sensations</x:v>
      </x:c>
      <x:c r="C55" s="271" t="str">
        <x:f>INDEX(Chantiers!$G$6:$G$805,MATCH($A55&amp;"/dimensions",Chantiers!$A$6:$A$805,0))</x:f>
        <x:v>En cours</x:v>
      </x:c>
      <x:c r="D55" s="271" t="str">
        <x:f>INDEX(Chantiers!$G$6:$G$805,MATCH($A55&amp;"/architecture",Chantiers!$A$6:$A$805,0))</x:f>
        <x:v>En cours</x:v>
      </x:c>
      <x:c r="E55" s="271" t="str">
        <x:f>INDEX(Chantiers!$G$6:$G$805,MATCH($A55&amp;"/seed",Chantiers!$A$6:$A$805,0))</x:f>
        <x:v>À faire</x:v>
      </x:c>
      <x:c r="F55" s="271" t="str">
        <x:f>INDEX(Chantiers!$G$6:$G$805,MATCH($A55&amp;"/props",Chantiers!$A$6:$A$805,0))</x:f>
        <x:v>En cours</x:v>
      </x:c>
      <x:c r="G55" s="271" t="str">
        <x:f>INDEX(Chantiers!$G$6:$G$805,MATCH($A55&amp;"/loot",Chantiers!$A$6:$A$805,0))</x:f>
        <x:v>À faire</x:v>
      </x:c>
      <x:c r="H55" s="271" t="str">
        <x:f>INDEX(Chantiers!$G$6:$G$805,MATCH($A55&amp;"/rencontres",Chantiers!$A$6:$A$805,0))</x:f>
        <x:v>À faire</x:v>
      </x:c>
      <x:c r="I55" s="271" t="str">
        <x:f>INDEX(Chantiers!$G$6:$G$805,MATCH($A55&amp;"/services",Chantiers!$A$6:$A$805,0))</x:f>
        <x:v>À faire</x:v>
      </x:c>
      <x:c r="J55" s="271" t="str">
        <x:f>INDEX(Chantiers!$G$6:$G$805,MATCH($A55&amp;"/art",Chantiers!$A$6:$A$805,0))</x:f>
        <x:v>À faire</x:v>
      </x:c>
      <x:c r="K55" s="271" t="str">
        <x:f>INDEX(Chantiers!$G$6:$G$805,MATCH($A55&amp;"/sauvegarde",Chantiers!$A$6:$A$805,0))</x:f>
        <x:v>En cours</x:v>
      </x:c>
      <x:c r="L55" s="271" t="str">
        <x:f>INDEX(Chantiers!$G$6:$G$805,MATCH($A55&amp;"/qa",Chantiers!$A$6:$A$805,0))</x:f>
        <x:v>En cours</x:v>
      </x:c>
      <x:c r="M55" s="271" t="n">
        <x:f>COUNTIF(C55:L55,"Validé")</x:f>
        <x:v>0</x:v>
      </x:c>
      <x:c r="N55" s="271" t="n">
        <x:f>COLUMNS(C55:L55)-M55</x:f>
        <x:v>10</x:v>
      </x:c>
    </x:row>
    <x:row r="56" ht="34" customHeight="1">
      <x:c r="A56" s="271" t="str">
        <x:v>EXT-MONDE-T051</x:v>
      </x:c>
      <x:c r="B56" s="272" t="str">
        <x:v>Parc aquatique</x:v>
      </x:c>
      <x:c r="C56" s="271" t="str">
        <x:f>INDEX(Chantiers!$G$6:$G$805,MATCH($A56&amp;"/dimensions",Chantiers!$A$6:$A$805,0))</x:f>
        <x:v>En cours</x:v>
      </x:c>
      <x:c r="D56" s="271" t="str">
        <x:f>INDEX(Chantiers!$G$6:$G$805,MATCH($A56&amp;"/architecture",Chantiers!$A$6:$A$805,0))</x:f>
        <x:v>En cours</x:v>
      </x:c>
      <x:c r="E56" s="271" t="str">
        <x:f>INDEX(Chantiers!$G$6:$G$805,MATCH($A56&amp;"/seed",Chantiers!$A$6:$A$805,0))</x:f>
        <x:v>À faire</x:v>
      </x:c>
      <x:c r="F56" s="271" t="str">
        <x:f>INDEX(Chantiers!$G$6:$G$805,MATCH($A56&amp;"/props",Chantiers!$A$6:$A$805,0))</x:f>
        <x:v>En cours</x:v>
      </x:c>
      <x:c r="G56" s="271" t="str">
        <x:f>INDEX(Chantiers!$G$6:$G$805,MATCH($A56&amp;"/loot",Chantiers!$A$6:$A$805,0))</x:f>
        <x:v>À faire</x:v>
      </x:c>
      <x:c r="H56" s="271" t="str">
        <x:f>INDEX(Chantiers!$G$6:$G$805,MATCH($A56&amp;"/rencontres",Chantiers!$A$6:$A$805,0))</x:f>
        <x:v>À faire</x:v>
      </x:c>
      <x:c r="I56" s="271" t="str">
        <x:f>INDEX(Chantiers!$G$6:$G$805,MATCH($A56&amp;"/services",Chantiers!$A$6:$A$805,0))</x:f>
        <x:v>À faire</x:v>
      </x:c>
      <x:c r="J56" s="271" t="str">
        <x:f>INDEX(Chantiers!$G$6:$G$805,MATCH($A56&amp;"/art",Chantiers!$A$6:$A$805,0))</x:f>
        <x:v>À faire</x:v>
      </x:c>
      <x:c r="K56" s="271" t="str">
        <x:f>INDEX(Chantiers!$G$6:$G$805,MATCH($A56&amp;"/sauvegarde",Chantiers!$A$6:$A$805,0))</x:f>
        <x:v>En cours</x:v>
      </x:c>
      <x:c r="L56" s="271" t="str">
        <x:f>INDEX(Chantiers!$G$6:$G$805,MATCH($A56&amp;"/qa",Chantiers!$A$6:$A$805,0))</x:f>
        <x:v>En cours</x:v>
      </x:c>
      <x:c r="M56" s="271" t="n">
        <x:f>COUNTIF(C56:L56,"Validé")</x:f>
        <x:v>0</x:v>
      </x:c>
      <x:c r="N56" s="271" t="n">
        <x:f>COLUMNS(C56:L56)-M56</x:f>
        <x:v>10</x:v>
      </x:c>
    </x:row>
    <x:row r="57" ht="34" customHeight="1">
      <x:c r="A57" s="271" t="str">
        <x:v>EXT-MONDE-T052</x:v>
      </x:c>
      <x:c r="B57" s="272" t="str">
        <x:v>Parc thématique abandonné</x:v>
      </x:c>
      <x:c r="C57" s="271" t="str">
        <x:f>INDEX(Chantiers!$G$6:$G$805,MATCH($A57&amp;"/dimensions",Chantiers!$A$6:$A$805,0))</x:f>
        <x:v>En cours</x:v>
      </x:c>
      <x:c r="D57" s="271" t="str">
        <x:f>INDEX(Chantiers!$G$6:$G$805,MATCH($A57&amp;"/architecture",Chantiers!$A$6:$A$805,0))</x:f>
        <x:v>En cours</x:v>
      </x:c>
      <x:c r="E57" s="271" t="str">
        <x:f>INDEX(Chantiers!$G$6:$G$805,MATCH($A57&amp;"/seed",Chantiers!$A$6:$A$805,0))</x:f>
        <x:v>À faire</x:v>
      </x:c>
      <x:c r="F57" s="271" t="str">
        <x:f>INDEX(Chantiers!$G$6:$G$805,MATCH($A57&amp;"/props",Chantiers!$A$6:$A$805,0))</x:f>
        <x:v>En cours</x:v>
      </x:c>
      <x:c r="G57" s="271" t="str">
        <x:f>INDEX(Chantiers!$G$6:$G$805,MATCH($A57&amp;"/loot",Chantiers!$A$6:$A$805,0))</x:f>
        <x:v>À faire</x:v>
      </x:c>
      <x:c r="H57" s="271" t="str">
        <x:f>INDEX(Chantiers!$G$6:$G$805,MATCH($A57&amp;"/rencontres",Chantiers!$A$6:$A$805,0))</x:f>
        <x:v>À faire</x:v>
      </x:c>
      <x:c r="I57" s="271" t="str">
        <x:f>INDEX(Chantiers!$G$6:$G$805,MATCH($A57&amp;"/services",Chantiers!$A$6:$A$805,0))</x:f>
        <x:v>À faire</x:v>
      </x:c>
      <x:c r="J57" s="271" t="str">
        <x:f>INDEX(Chantiers!$G$6:$G$805,MATCH($A57&amp;"/art",Chantiers!$A$6:$A$805,0))</x:f>
        <x:v>À faire</x:v>
      </x:c>
      <x:c r="K57" s="271" t="str">
        <x:f>INDEX(Chantiers!$G$6:$G$805,MATCH($A57&amp;"/sauvegarde",Chantiers!$A$6:$A$805,0))</x:f>
        <x:v>En cours</x:v>
      </x:c>
      <x:c r="L57" s="271" t="str">
        <x:f>INDEX(Chantiers!$G$6:$G$805,MATCH($A57&amp;"/qa",Chantiers!$A$6:$A$805,0))</x:f>
        <x:v>En cours</x:v>
      </x:c>
      <x:c r="M57" s="271" t="n">
        <x:f>COUNTIF(C57:L57,"Validé")</x:f>
        <x:v>0</x:v>
      </x:c>
      <x:c r="N57" s="271" t="n">
        <x:f>COLUMNS(C57:L57)-M57</x:f>
        <x:v>10</x:v>
      </x:c>
    </x:row>
    <x:row r="58" ht="34" customHeight="1">
      <x:c r="A58" s="271" t="str">
        <x:v>EXT-MONDE-T053</x:v>
      </x:c>
      <x:c r="B58" s="272" t="str">
        <x:v>Usine agroalimentaire</x:v>
      </x:c>
      <x:c r="C58" s="271" t="str">
        <x:f>INDEX(Chantiers!$G$6:$G$805,MATCH($A58&amp;"/dimensions",Chantiers!$A$6:$A$805,0))</x:f>
        <x:v>En cours</x:v>
      </x:c>
      <x:c r="D58" s="271" t="str">
        <x:f>INDEX(Chantiers!$G$6:$G$805,MATCH($A58&amp;"/architecture",Chantiers!$A$6:$A$805,0))</x:f>
        <x:v>En cours</x:v>
      </x:c>
      <x:c r="E58" s="271" t="str">
        <x:f>INDEX(Chantiers!$G$6:$G$805,MATCH($A58&amp;"/seed",Chantiers!$A$6:$A$805,0))</x:f>
        <x:v>À faire</x:v>
      </x:c>
      <x:c r="F58" s="271" t="str">
        <x:f>INDEX(Chantiers!$G$6:$G$805,MATCH($A58&amp;"/props",Chantiers!$A$6:$A$805,0))</x:f>
        <x:v>En cours</x:v>
      </x:c>
      <x:c r="G58" s="271" t="str">
        <x:f>INDEX(Chantiers!$G$6:$G$805,MATCH($A58&amp;"/loot",Chantiers!$A$6:$A$805,0))</x:f>
        <x:v>À faire</x:v>
      </x:c>
      <x:c r="H58" s="271" t="str">
        <x:f>INDEX(Chantiers!$G$6:$G$805,MATCH($A58&amp;"/rencontres",Chantiers!$A$6:$A$805,0))</x:f>
        <x:v>À faire</x:v>
      </x:c>
      <x:c r="I58" s="271" t="str">
        <x:f>INDEX(Chantiers!$G$6:$G$805,MATCH($A58&amp;"/services",Chantiers!$A$6:$A$805,0))</x:f>
        <x:v>À faire</x:v>
      </x:c>
      <x:c r="J58" s="271" t="str">
        <x:f>INDEX(Chantiers!$G$6:$G$805,MATCH($A58&amp;"/art",Chantiers!$A$6:$A$805,0))</x:f>
        <x:v>À faire</x:v>
      </x:c>
      <x:c r="K58" s="271" t="str">
        <x:f>INDEX(Chantiers!$G$6:$G$805,MATCH($A58&amp;"/sauvegarde",Chantiers!$A$6:$A$805,0))</x:f>
        <x:v>En cours</x:v>
      </x:c>
      <x:c r="L58" s="271" t="str">
        <x:f>INDEX(Chantiers!$G$6:$G$805,MATCH($A58&amp;"/qa",Chantiers!$A$6:$A$805,0))</x:f>
        <x:v>En cours</x:v>
      </x:c>
      <x:c r="M58" s="271" t="n">
        <x:f>COUNTIF(C58:L58,"Validé")</x:f>
        <x:v>0</x:v>
      </x:c>
      <x:c r="N58" s="271" t="n">
        <x:f>COLUMNS(C58:L58)-M58</x:f>
        <x:v>10</x:v>
      </x:c>
    </x:row>
    <x:row r="59" ht="34" customHeight="1">
      <x:c r="A59" s="271" t="str">
        <x:v>EXT-MONDE-T054</x:v>
      </x:c>
      <x:c r="B59" s="272" t="str">
        <x:v>Usine de mécanique</x:v>
      </x:c>
      <x:c r="C59" s="271" t="str">
        <x:f>INDEX(Chantiers!$G$6:$G$805,MATCH($A59&amp;"/dimensions",Chantiers!$A$6:$A$805,0))</x:f>
        <x:v>En cours</x:v>
      </x:c>
      <x:c r="D59" s="271" t="str">
        <x:f>INDEX(Chantiers!$G$6:$G$805,MATCH($A59&amp;"/architecture",Chantiers!$A$6:$A$805,0))</x:f>
        <x:v>En cours</x:v>
      </x:c>
      <x:c r="E59" s="271" t="str">
        <x:f>INDEX(Chantiers!$G$6:$G$805,MATCH($A59&amp;"/seed",Chantiers!$A$6:$A$805,0))</x:f>
        <x:v>À faire</x:v>
      </x:c>
      <x:c r="F59" s="271" t="str">
        <x:f>INDEX(Chantiers!$G$6:$G$805,MATCH($A59&amp;"/props",Chantiers!$A$6:$A$805,0))</x:f>
        <x:v>En cours</x:v>
      </x:c>
      <x:c r="G59" s="271" t="str">
        <x:f>INDEX(Chantiers!$G$6:$G$805,MATCH($A59&amp;"/loot",Chantiers!$A$6:$A$805,0))</x:f>
        <x:v>À faire</x:v>
      </x:c>
      <x:c r="H59" s="271" t="str">
        <x:f>INDEX(Chantiers!$G$6:$G$805,MATCH($A59&amp;"/rencontres",Chantiers!$A$6:$A$805,0))</x:f>
        <x:v>À faire</x:v>
      </x:c>
      <x:c r="I59" s="271" t="str">
        <x:f>INDEX(Chantiers!$G$6:$G$805,MATCH($A59&amp;"/services",Chantiers!$A$6:$A$805,0))</x:f>
        <x:v>À faire</x:v>
      </x:c>
      <x:c r="J59" s="271" t="str">
        <x:f>INDEX(Chantiers!$G$6:$G$805,MATCH($A59&amp;"/art",Chantiers!$A$6:$A$805,0))</x:f>
        <x:v>À faire</x:v>
      </x:c>
      <x:c r="K59" s="271" t="str">
        <x:f>INDEX(Chantiers!$G$6:$G$805,MATCH($A59&amp;"/sauvegarde",Chantiers!$A$6:$A$805,0))</x:f>
        <x:v>En cours</x:v>
      </x:c>
      <x:c r="L59" s="271" t="str">
        <x:f>INDEX(Chantiers!$G$6:$G$805,MATCH($A59&amp;"/qa",Chantiers!$A$6:$A$805,0))</x:f>
        <x:v>En cours</x:v>
      </x:c>
      <x:c r="M59" s="271" t="n">
        <x:f>COUNTIF(C59:L59,"Validé")</x:f>
        <x:v>0</x:v>
      </x:c>
      <x:c r="N59" s="271" t="n">
        <x:f>COLUMNS(C59:L59)-M59</x:f>
        <x:v>10</x:v>
      </x:c>
    </x:row>
    <x:row r="60" ht="34" customHeight="1">
      <x:c r="A60" s="271" t="str">
        <x:v>EXT-MONDE-T055</x:v>
      </x:c>
      <x:c r="B60" s="272" t="str">
        <x:v>Usine textile</x:v>
      </x:c>
      <x:c r="C60" s="271" t="str">
        <x:f>INDEX(Chantiers!$G$6:$G$805,MATCH($A60&amp;"/dimensions",Chantiers!$A$6:$A$805,0))</x:f>
        <x:v>En cours</x:v>
      </x:c>
      <x:c r="D60" s="271" t="str">
        <x:f>INDEX(Chantiers!$G$6:$G$805,MATCH($A60&amp;"/architecture",Chantiers!$A$6:$A$805,0))</x:f>
        <x:v>En cours</x:v>
      </x:c>
      <x:c r="E60" s="271" t="str">
        <x:f>INDEX(Chantiers!$G$6:$G$805,MATCH($A60&amp;"/seed",Chantiers!$A$6:$A$805,0))</x:f>
        <x:v>À faire</x:v>
      </x:c>
      <x:c r="F60" s="271" t="str">
        <x:f>INDEX(Chantiers!$G$6:$G$805,MATCH($A60&amp;"/props",Chantiers!$A$6:$A$805,0))</x:f>
        <x:v>En cours</x:v>
      </x:c>
      <x:c r="G60" s="271" t="str">
        <x:f>INDEX(Chantiers!$G$6:$G$805,MATCH($A60&amp;"/loot",Chantiers!$A$6:$A$805,0))</x:f>
        <x:v>À faire</x:v>
      </x:c>
      <x:c r="H60" s="271" t="str">
        <x:f>INDEX(Chantiers!$G$6:$G$805,MATCH($A60&amp;"/rencontres",Chantiers!$A$6:$A$805,0))</x:f>
        <x:v>À faire</x:v>
      </x:c>
      <x:c r="I60" s="271" t="str">
        <x:f>INDEX(Chantiers!$G$6:$G$805,MATCH($A60&amp;"/services",Chantiers!$A$6:$A$805,0))</x:f>
        <x:v>À faire</x:v>
      </x:c>
      <x:c r="J60" s="271" t="str">
        <x:f>INDEX(Chantiers!$G$6:$G$805,MATCH($A60&amp;"/art",Chantiers!$A$6:$A$805,0))</x:f>
        <x:v>À faire</x:v>
      </x:c>
      <x:c r="K60" s="271" t="str">
        <x:f>INDEX(Chantiers!$G$6:$G$805,MATCH($A60&amp;"/sauvegarde",Chantiers!$A$6:$A$805,0))</x:f>
        <x:v>En cours</x:v>
      </x:c>
      <x:c r="L60" s="271" t="str">
        <x:f>INDEX(Chantiers!$G$6:$G$805,MATCH($A60&amp;"/qa",Chantiers!$A$6:$A$805,0))</x:f>
        <x:v>En cours</x:v>
      </x:c>
      <x:c r="M60" s="271" t="n">
        <x:f>COUNTIF(C60:L60,"Validé")</x:f>
        <x:v>0</x:v>
      </x:c>
      <x:c r="N60" s="271" t="n">
        <x:f>COLUMNS(C60:L60)-M60</x:f>
        <x:v>10</x:v>
      </x:c>
    </x:row>
    <x:row r="61" ht="34" customHeight="1">
      <x:c r="A61" s="271" t="str">
        <x:v>EXT-MONDE-T056</x:v>
      </x:c>
      <x:c r="B61" s="272" t="str">
        <x:v>Usine de matériaux</x:v>
      </x:c>
      <x:c r="C61" s="271" t="str">
        <x:f>INDEX(Chantiers!$G$6:$G$805,MATCH($A61&amp;"/dimensions",Chantiers!$A$6:$A$805,0))</x:f>
        <x:v>En cours</x:v>
      </x:c>
      <x:c r="D61" s="271" t="str">
        <x:f>INDEX(Chantiers!$G$6:$G$805,MATCH($A61&amp;"/architecture",Chantiers!$A$6:$A$805,0))</x:f>
        <x:v>En cours</x:v>
      </x:c>
      <x:c r="E61" s="271" t="str">
        <x:f>INDEX(Chantiers!$G$6:$G$805,MATCH($A61&amp;"/seed",Chantiers!$A$6:$A$805,0))</x:f>
        <x:v>À faire</x:v>
      </x:c>
      <x:c r="F61" s="271" t="str">
        <x:f>INDEX(Chantiers!$G$6:$G$805,MATCH($A61&amp;"/props",Chantiers!$A$6:$A$805,0))</x:f>
        <x:v>En cours</x:v>
      </x:c>
      <x:c r="G61" s="271" t="str">
        <x:f>INDEX(Chantiers!$G$6:$G$805,MATCH($A61&amp;"/loot",Chantiers!$A$6:$A$805,0))</x:f>
        <x:v>À faire</x:v>
      </x:c>
      <x:c r="H61" s="271" t="str">
        <x:f>INDEX(Chantiers!$G$6:$G$805,MATCH($A61&amp;"/rencontres",Chantiers!$A$6:$A$805,0))</x:f>
        <x:v>À faire</x:v>
      </x:c>
      <x:c r="I61" s="271" t="str">
        <x:f>INDEX(Chantiers!$G$6:$G$805,MATCH($A61&amp;"/services",Chantiers!$A$6:$A$805,0))</x:f>
        <x:v>À faire</x:v>
      </x:c>
      <x:c r="J61" s="271" t="str">
        <x:f>INDEX(Chantiers!$G$6:$G$805,MATCH($A61&amp;"/art",Chantiers!$A$6:$A$805,0))</x:f>
        <x:v>À faire</x:v>
      </x:c>
      <x:c r="K61" s="271" t="str">
        <x:f>INDEX(Chantiers!$G$6:$G$805,MATCH($A61&amp;"/sauvegarde",Chantiers!$A$6:$A$805,0))</x:f>
        <x:v>En cours</x:v>
      </x:c>
      <x:c r="L61" s="271" t="str">
        <x:f>INDEX(Chantiers!$G$6:$G$805,MATCH($A61&amp;"/qa",Chantiers!$A$6:$A$805,0))</x:f>
        <x:v>En cours</x:v>
      </x:c>
      <x:c r="M61" s="271" t="n">
        <x:f>COUNTIF(C61:L61,"Validé")</x:f>
        <x:v>0</x:v>
      </x:c>
      <x:c r="N61" s="271" t="n">
        <x:f>COLUMNS(C61:L61)-M61</x:f>
        <x:v>10</x:v>
      </x:c>
    </x:row>
    <x:row r="62" ht="34" customHeight="1">
      <x:c r="A62" s="271" t="str">
        <x:v>EXT-MONDE-T057</x:v>
      </x:c>
      <x:c r="B62" s="272" t="str">
        <x:v>Centrale thermique</x:v>
      </x:c>
      <x:c r="C62" s="271" t="str">
        <x:f>INDEX(Chantiers!$G$6:$G$805,MATCH($A62&amp;"/dimensions",Chantiers!$A$6:$A$805,0))</x:f>
        <x:v>En cours</x:v>
      </x:c>
      <x:c r="D62" s="271" t="str">
        <x:f>INDEX(Chantiers!$G$6:$G$805,MATCH($A62&amp;"/architecture",Chantiers!$A$6:$A$805,0))</x:f>
        <x:v>En cours</x:v>
      </x:c>
      <x:c r="E62" s="271" t="str">
        <x:f>INDEX(Chantiers!$G$6:$G$805,MATCH($A62&amp;"/seed",Chantiers!$A$6:$A$805,0))</x:f>
        <x:v>À faire</x:v>
      </x:c>
      <x:c r="F62" s="271" t="str">
        <x:f>INDEX(Chantiers!$G$6:$G$805,MATCH($A62&amp;"/props",Chantiers!$A$6:$A$805,0))</x:f>
        <x:v>En cours</x:v>
      </x:c>
      <x:c r="G62" s="271" t="str">
        <x:f>INDEX(Chantiers!$G$6:$G$805,MATCH($A62&amp;"/loot",Chantiers!$A$6:$A$805,0))</x:f>
        <x:v>À faire</x:v>
      </x:c>
      <x:c r="H62" s="271" t="str">
        <x:f>INDEX(Chantiers!$G$6:$G$805,MATCH($A62&amp;"/rencontres",Chantiers!$A$6:$A$805,0))</x:f>
        <x:v>À faire</x:v>
      </x:c>
      <x:c r="I62" s="271" t="str">
        <x:f>INDEX(Chantiers!$G$6:$G$805,MATCH($A62&amp;"/services",Chantiers!$A$6:$A$805,0))</x:f>
        <x:v>À faire</x:v>
      </x:c>
      <x:c r="J62" s="271" t="str">
        <x:f>INDEX(Chantiers!$G$6:$G$805,MATCH($A62&amp;"/art",Chantiers!$A$6:$A$805,0))</x:f>
        <x:v>À faire</x:v>
      </x:c>
      <x:c r="K62" s="271" t="str">
        <x:f>INDEX(Chantiers!$G$6:$G$805,MATCH($A62&amp;"/sauvegarde",Chantiers!$A$6:$A$805,0))</x:f>
        <x:v>En cours</x:v>
      </x:c>
      <x:c r="L62" s="271" t="str">
        <x:f>INDEX(Chantiers!$G$6:$G$805,MATCH($A62&amp;"/qa",Chantiers!$A$6:$A$805,0))</x:f>
        <x:v>En cours</x:v>
      </x:c>
      <x:c r="M62" s="271" t="n">
        <x:f>COUNTIF(C62:L62,"Validé")</x:f>
        <x:v>0</x:v>
      </x:c>
      <x:c r="N62" s="271" t="n">
        <x:f>COLUMNS(C62:L62)-M62</x:f>
        <x:v>10</x:v>
      </x:c>
    </x:row>
    <x:row r="63" ht="34" customHeight="1">
      <x:c r="A63" s="271" t="str">
        <x:v>EXT-MONDE-T058</x:v>
      </x:c>
      <x:c r="B63" s="272" t="str">
        <x:v>Centrale hydroélectrique</x:v>
      </x:c>
      <x:c r="C63" s="271" t="str">
        <x:f>INDEX(Chantiers!$G$6:$G$805,MATCH($A63&amp;"/dimensions",Chantiers!$A$6:$A$805,0))</x:f>
        <x:v>En cours</x:v>
      </x:c>
      <x:c r="D63" s="271" t="str">
        <x:f>INDEX(Chantiers!$G$6:$G$805,MATCH($A63&amp;"/architecture",Chantiers!$A$6:$A$805,0))</x:f>
        <x:v>En cours</x:v>
      </x:c>
      <x:c r="E63" s="271" t="str">
        <x:f>INDEX(Chantiers!$G$6:$G$805,MATCH($A63&amp;"/seed",Chantiers!$A$6:$A$805,0))</x:f>
        <x:v>À faire</x:v>
      </x:c>
      <x:c r="F63" s="271" t="str">
        <x:f>INDEX(Chantiers!$G$6:$G$805,MATCH($A63&amp;"/props",Chantiers!$A$6:$A$805,0))</x:f>
        <x:v>En cours</x:v>
      </x:c>
      <x:c r="G63" s="271" t="str">
        <x:f>INDEX(Chantiers!$G$6:$G$805,MATCH($A63&amp;"/loot",Chantiers!$A$6:$A$805,0))</x:f>
        <x:v>À faire</x:v>
      </x:c>
      <x:c r="H63" s="271" t="str">
        <x:f>INDEX(Chantiers!$G$6:$G$805,MATCH($A63&amp;"/rencontres",Chantiers!$A$6:$A$805,0))</x:f>
        <x:v>À faire</x:v>
      </x:c>
      <x:c r="I63" s="271" t="str">
        <x:f>INDEX(Chantiers!$G$6:$G$805,MATCH($A63&amp;"/services",Chantiers!$A$6:$A$805,0))</x:f>
        <x:v>À faire</x:v>
      </x:c>
      <x:c r="J63" s="271" t="str">
        <x:f>INDEX(Chantiers!$G$6:$G$805,MATCH($A63&amp;"/art",Chantiers!$A$6:$A$805,0))</x:f>
        <x:v>À faire</x:v>
      </x:c>
      <x:c r="K63" s="271" t="str">
        <x:f>INDEX(Chantiers!$G$6:$G$805,MATCH($A63&amp;"/sauvegarde",Chantiers!$A$6:$A$805,0))</x:f>
        <x:v>En cours</x:v>
      </x:c>
      <x:c r="L63" s="271" t="str">
        <x:f>INDEX(Chantiers!$G$6:$G$805,MATCH($A63&amp;"/qa",Chantiers!$A$6:$A$805,0))</x:f>
        <x:v>En cours</x:v>
      </x:c>
      <x:c r="M63" s="271" t="n">
        <x:f>COUNTIF(C63:L63,"Validé")</x:f>
        <x:v>0</x:v>
      </x:c>
      <x:c r="N63" s="271" t="n">
        <x:f>COLUMNS(C63:L63)-M63</x:f>
        <x:v>10</x:v>
      </x:c>
    </x:row>
    <x:row r="64" ht="34" customHeight="1">
      <x:c r="A64" s="271" t="str">
        <x:v>EXT-MONDE-T059</x:v>
      </x:c>
      <x:c r="B64" s="272" t="str">
        <x:v>Poste électrique régional</x:v>
      </x:c>
      <x:c r="C64" s="271" t="str">
        <x:f>INDEX(Chantiers!$G$6:$G$805,MATCH($A64&amp;"/dimensions",Chantiers!$A$6:$A$805,0))</x:f>
        <x:v>En cours</x:v>
      </x:c>
      <x:c r="D64" s="271" t="str">
        <x:f>INDEX(Chantiers!$G$6:$G$805,MATCH($A64&amp;"/architecture",Chantiers!$A$6:$A$805,0))</x:f>
        <x:v>En cours</x:v>
      </x:c>
      <x:c r="E64" s="271" t="str">
        <x:f>INDEX(Chantiers!$G$6:$G$805,MATCH($A64&amp;"/seed",Chantiers!$A$6:$A$805,0))</x:f>
        <x:v>À faire</x:v>
      </x:c>
      <x:c r="F64" s="271" t="str">
        <x:f>INDEX(Chantiers!$G$6:$G$805,MATCH($A64&amp;"/props",Chantiers!$A$6:$A$805,0))</x:f>
        <x:v>En cours</x:v>
      </x:c>
      <x:c r="G64" s="271" t="str">
        <x:f>INDEX(Chantiers!$G$6:$G$805,MATCH($A64&amp;"/loot",Chantiers!$A$6:$A$805,0))</x:f>
        <x:v>À faire</x:v>
      </x:c>
      <x:c r="H64" s="271" t="str">
        <x:f>INDEX(Chantiers!$G$6:$G$805,MATCH($A64&amp;"/rencontres",Chantiers!$A$6:$A$805,0))</x:f>
        <x:v>À faire</x:v>
      </x:c>
      <x:c r="I64" s="271" t="str">
        <x:f>INDEX(Chantiers!$G$6:$G$805,MATCH($A64&amp;"/services",Chantiers!$A$6:$A$805,0))</x:f>
        <x:v>À faire</x:v>
      </x:c>
      <x:c r="J64" s="271" t="str">
        <x:f>INDEX(Chantiers!$G$6:$G$805,MATCH($A64&amp;"/art",Chantiers!$A$6:$A$805,0))</x:f>
        <x:v>À faire</x:v>
      </x:c>
      <x:c r="K64" s="271" t="str">
        <x:f>INDEX(Chantiers!$G$6:$G$805,MATCH($A64&amp;"/sauvegarde",Chantiers!$A$6:$A$805,0))</x:f>
        <x:v>En cours</x:v>
      </x:c>
      <x:c r="L64" s="271" t="str">
        <x:f>INDEX(Chantiers!$G$6:$G$805,MATCH($A64&amp;"/qa",Chantiers!$A$6:$A$805,0))</x:f>
        <x:v>En cours</x:v>
      </x:c>
      <x:c r="M64" s="271" t="n">
        <x:f>COUNTIF(C64:L64,"Validé")</x:f>
        <x:v>0</x:v>
      </x:c>
      <x:c r="N64" s="271" t="n">
        <x:f>COLUMNS(C64:L64)-M64</x:f>
        <x:v>10</x:v>
      </x:c>
    </x:row>
    <x:row r="65" ht="34" customHeight="1">
      <x:c r="A65" s="271" t="str">
        <x:v>EXT-MONDE-T060</x:v>
      </x:c>
      <x:c r="B65" s="272" t="str">
        <x:v>Champ d’éoliennes</x:v>
      </x:c>
      <x:c r="C65" s="271" t="str">
        <x:f>INDEX(Chantiers!$G$6:$G$805,MATCH($A65&amp;"/dimensions",Chantiers!$A$6:$A$805,0))</x:f>
        <x:v>Validé</x:v>
      </x:c>
      <x:c r="D65" s="271" t="str">
        <x:f>INDEX(Chantiers!$G$6:$G$805,MATCH($A65&amp;"/architecture",Chantiers!$A$6:$A$805,0))</x:f>
        <x:v>En cours</x:v>
      </x:c>
      <x:c r="E65" s="271" t="str">
        <x:f>INDEX(Chantiers!$G$6:$G$805,MATCH($A65&amp;"/seed",Chantiers!$A$6:$A$805,0))</x:f>
        <x:v>À faire</x:v>
      </x:c>
      <x:c r="F65" s="271" t="str">
        <x:f>INDEX(Chantiers!$G$6:$G$805,MATCH($A65&amp;"/props",Chantiers!$A$6:$A$805,0))</x:f>
        <x:v>En cours</x:v>
      </x:c>
      <x:c r="G65" s="271" t="str">
        <x:f>INDEX(Chantiers!$G$6:$G$805,MATCH($A65&amp;"/loot",Chantiers!$A$6:$A$805,0))</x:f>
        <x:v>À faire</x:v>
      </x:c>
      <x:c r="H65" s="271" t="str">
        <x:f>INDEX(Chantiers!$G$6:$G$805,MATCH($A65&amp;"/rencontres",Chantiers!$A$6:$A$805,0))</x:f>
        <x:v>À faire</x:v>
      </x:c>
      <x:c r="I65" s="271" t="str">
        <x:f>INDEX(Chantiers!$G$6:$G$805,MATCH($A65&amp;"/services",Chantiers!$A$6:$A$805,0))</x:f>
        <x:v>À faire</x:v>
      </x:c>
      <x:c r="J65" s="271" t="str">
        <x:f>INDEX(Chantiers!$G$6:$G$805,MATCH($A65&amp;"/art",Chantiers!$A$6:$A$805,0))</x:f>
        <x:v>À faire</x:v>
      </x:c>
      <x:c r="K65" s="271" t="str">
        <x:f>INDEX(Chantiers!$G$6:$G$805,MATCH($A65&amp;"/sauvegarde",Chantiers!$A$6:$A$805,0))</x:f>
        <x:v>En cours</x:v>
      </x:c>
      <x:c r="L65" s="271" t="str">
        <x:f>INDEX(Chantiers!$G$6:$G$805,MATCH($A65&amp;"/qa",Chantiers!$A$6:$A$805,0))</x:f>
        <x:v>En cours</x:v>
      </x:c>
      <x:c r="M65" s="271" t="n">
        <x:f>COUNTIF(C65:L65,"Validé")</x:f>
        <x:v>1</x:v>
      </x:c>
      <x:c r="N65" s="271" t="n">
        <x:f>COLUMNS(C65:L65)-M65</x:f>
        <x:v>9</x:v>
      </x:c>
    </x:row>
    <x:row r="66" ht="34" customHeight="1">
      <x:c r="A66" s="271" t="str">
        <x:v>EXT-MONDE-T061</x:v>
      </x:c>
      <x:c r="B66" s="272" t="str">
        <x:v>Station d’épuration urbaine</x:v>
      </x:c>
      <x:c r="C66" s="271" t="str">
        <x:f>INDEX(Chantiers!$G$6:$G$805,MATCH($A66&amp;"/dimensions",Chantiers!$A$6:$A$805,0))</x:f>
        <x:v>En cours</x:v>
      </x:c>
      <x:c r="D66" s="271" t="str">
        <x:f>INDEX(Chantiers!$G$6:$G$805,MATCH($A66&amp;"/architecture",Chantiers!$A$6:$A$805,0))</x:f>
        <x:v>En cours</x:v>
      </x:c>
      <x:c r="E66" s="271" t="str">
        <x:f>INDEX(Chantiers!$G$6:$G$805,MATCH($A66&amp;"/seed",Chantiers!$A$6:$A$805,0))</x:f>
        <x:v>À faire</x:v>
      </x:c>
      <x:c r="F66" s="271" t="str">
        <x:f>INDEX(Chantiers!$G$6:$G$805,MATCH($A66&amp;"/props",Chantiers!$A$6:$A$805,0))</x:f>
        <x:v>En cours</x:v>
      </x:c>
      <x:c r="G66" s="271" t="str">
        <x:f>INDEX(Chantiers!$G$6:$G$805,MATCH($A66&amp;"/loot",Chantiers!$A$6:$A$805,0))</x:f>
        <x:v>À faire</x:v>
      </x:c>
      <x:c r="H66" s="271" t="str">
        <x:f>INDEX(Chantiers!$G$6:$G$805,MATCH($A66&amp;"/rencontres",Chantiers!$A$6:$A$805,0))</x:f>
        <x:v>À faire</x:v>
      </x:c>
      <x:c r="I66" s="271" t="str">
        <x:f>INDEX(Chantiers!$G$6:$G$805,MATCH($A66&amp;"/services",Chantiers!$A$6:$A$805,0))</x:f>
        <x:v>À faire</x:v>
      </x:c>
      <x:c r="J66" s="271" t="str">
        <x:f>INDEX(Chantiers!$G$6:$G$805,MATCH($A66&amp;"/art",Chantiers!$A$6:$A$805,0))</x:f>
        <x:v>À faire</x:v>
      </x:c>
      <x:c r="K66" s="271" t="str">
        <x:f>INDEX(Chantiers!$G$6:$G$805,MATCH($A66&amp;"/sauvegarde",Chantiers!$A$6:$A$805,0))</x:f>
        <x:v>En cours</x:v>
      </x:c>
      <x:c r="L66" s="271" t="str">
        <x:f>INDEX(Chantiers!$G$6:$G$805,MATCH($A66&amp;"/qa",Chantiers!$A$6:$A$805,0))</x:f>
        <x:v>En cours</x:v>
      </x:c>
      <x:c r="M66" s="271" t="n">
        <x:f>COUNTIF(C66:L66,"Validé")</x:f>
        <x:v>0</x:v>
      </x:c>
      <x:c r="N66" s="271" t="n">
        <x:f>COLUMNS(C66:L66)-M66</x:f>
        <x:v>10</x:v>
      </x:c>
    </x:row>
    <x:row r="67" ht="34" customHeight="1">
      <x:c r="A67" s="271" t="str">
        <x:v>EXT-MONDE-T062</x:v>
      </x:c>
      <x:c r="B67" s="272" t="str">
        <x:v>Station de lagunage</x:v>
      </x:c>
      <x:c r="C67" s="271" t="str">
        <x:f>INDEX(Chantiers!$G$6:$G$805,MATCH($A67&amp;"/dimensions",Chantiers!$A$6:$A$805,0))</x:f>
        <x:v>En cours</x:v>
      </x:c>
      <x:c r="D67" s="271" t="str">
        <x:f>INDEX(Chantiers!$G$6:$G$805,MATCH($A67&amp;"/architecture",Chantiers!$A$6:$A$805,0))</x:f>
        <x:v>En cours</x:v>
      </x:c>
      <x:c r="E67" s="271" t="str">
        <x:f>INDEX(Chantiers!$G$6:$G$805,MATCH($A67&amp;"/seed",Chantiers!$A$6:$A$805,0))</x:f>
        <x:v>À faire</x:v>
      </x:c>
      <x:c r="F67" s="271" t="str">
        <x:f>INDEX(Chantiers!$G$6:$G$805,MATCH($A67&amp;"/props",Chantiers!$A$6:$A$805,0))</x:f>
        <x:v>En cours</x:v>
      </x:c>
      <x:c r="G67" s="271" t="str">
        <x:f>INDEX(Chantiers!$G$6:$G$805,MATCH($A67&amp;"/loot",Chantiers!$A$6:$A$805,0))</x:f>
        <x:v>À faire</x:v>
      </x:c>
      <x:c r="H67" s="271" t="str">
        <x:f>INDEX(Chantiers!$G$6:$G$805,MATCH($A67&amp;"/rencontres",Chantiers!$A$6:$A$805,0))</x:f>
        <x:v>À faire</x:v>
      </x:c>
      <x:c r="I67" s="271" t="str">
        <x:f>INDEX(Chantiers!$G$6:$G$805,MATCH($A67&amp;"/services",Chantiers!$A$6:$A$805,0))</x:f>
        <x:v>À faire</x:v>
      </x:c>
      <x:c r="J67" s="271" t="str">
        <x:f>INDEX(Chantiers!$G$6:$G$805,MATCH($A67&amp;"/art",Chantiers!$A$6:$A$805,0))</x:f>
        <x:v>À faire</x:v>
      </x:c>
      <x:c r="K67" s="271" t="str">
        <x:f>INDEX(Chantiers!$G$6:$G$805,MATCH($A67&amp;"/sauvegarde",Chantiers!$A$6:$A$805,0))</x:f>
        <x:v>En cours</x:v>
      </x:c>
      <x:c r="L67" s="271" t="str">
        <x:f>INDEX(Chantiers!$G$6:$G$805,MATCH($A67&amp;"/qa",Chantiers!$A$6:$A$805,0))</x:f>
        <x:v>En cours</x:v>
      </x:c>
      <x:c r="M67" s="271" t="n">
        <x:f>COUNTIF(C67:L67,"Validé")</x:f>
        <x:v>0</x:v>
      </x:c>
      <x:c r="N67" s="271" t="n">
        <x:f>COLUMNS(C67:L67)-M67</x:f>
        <x:v>10</x:v>
      </x:c>
    </x:row>
    <x:row r="68" ht="34" customHeight="1">
      <x:c r="A68" s="271" t="str">
        <x:v>EXT-MONDE-T063</x:v>
      </x:c>
      <x:c r="B68" s="272" t="str">
        <x:v>Traitement des eaux industrielles</x:v>
      </x:c>
      <x:c r="C68" s="271" t="str">
        <x:f>INDEX(Chantiers!$G$6:$G$805,MATCH($A68&amp;"/dimensions",Chantiers!$A$6:$A$805,0))</x:f>
        <x:v>En cours</x:v>
      </x:c>
      <x:c r="D68" s="271" t="str">
        <x:f>INDEX(Chantiers!$G$6:$G$805,MATCH($A68&amp;"/architecture",Chantiers!$A$6:$A$805,0))</x:f>
        <x:v>En cours</x:v>
      </x:c>
      <x:c r="E68" s="271" t="str">
        <x:f>INDEX(Chantiers!$G$6:$G$805,MATCH($A68&amp;"/seed",Chantiers!$A$6:$A$805,0))</x:f>
        <x:v>À faire</x:v>
      </x:c>
      <x:c r="F68" s="271" t="str">
        <x:f>INDEX(Chantiers!$G$6:$G$805,MATCH($A68&amp;"/props",Chantiers!$A$6:$A$805,0))</x:f>
        <x:v>En cours</x:v>
      </x:c>
      <x:c r="G68" s="271" t="str">
        <x:f>INDEX(Chantiers!$G$6:$G$805,MATCH($A68&amp;"/loot",Chantiers!$A$6:$A$805,0))</x:f>
        <x:v>À faire</x:v>
      </x:c>
      <x:c r="H68" s="271" t="str">
        <x:f>INDEX(Chantiers!$G$6:$G$805,MATCH($A68&amp;"/rencontres",Chantiers!$A$6:$A$805,0))</x:f>
        <x:v>À faire</x:v>
      </x:c>
      <x:c r="I68" s="271" t="str">
        <x:f>INDEX(Chantiers!$G$6:$G$805,MATCH($A68&amp;"/services",Chantiers!$A$6:$A$805,0))</x:f>
        <x:v>À faire</x:v>
      </x:c>
      <x:c r="J68" s="271" t="str">
        <x:f>INDEX(Chantiers!$G$6:$G$805,MATCH($A68&amp;"/art",Chantiers!$A$6:$A$805,0))</x:f>
        <x:v>À faire</x:v>
      </x:c>
      <x:c r="K68" s="271" t="str">
        <x:f>INDEX(Chantiers!$G$6:$G$805,MATCH($A68&amp;"/sauvegarde",Chantiers!$A$6:$A$805,0))</x:f>
        <x:v>En cours</x:v>
      </x:c>
      <x:c r="L68" s="271" t="str">
        <x:f>INDEX(Chantiers!$G$6:$G$805,MATCH($A68&amp;"/qa",Chantiers!$A$6:$A$805,0))</x:f>
        <x:v>En cours</x:v>
      </x:c>
      <x:c r="M68" s="271" t="n">
        <x:f>COUNTIF(C68:L68,"Validé")</x:f>
        <x:v>0</x:v>
      </x:c>
      <x:c r="N68" s="271" t="n">
        <x:f>COLUMNS(C68:L68)-M68</x:f>
        <x:v>10</x:v>
      </x:c>
    </x:row>
    <x:row r="69" ht="34" customHeight="1">
      <x:c r="A69" s="271" t="str">
        <x:v>EXT-MONDE-T064</x:v>
      </x:c>
      <x:c r="B69" s="272" t="str">
        <x:v>Usine de potabilisation</x:v>
      </x:c>
      <x:c r="C69" s="271" t="str">
        <x:f>INDEX(Chantiers!$G$6:$G$805,MATCH($A69&amp;"/dimensions",Chantiers!$A$6:$A$805,0))</x:f>
        <x:v>En cours</x:v>
      </x:c>
      <x:c r="D69" s="271" t="str">
        <x:f>INDEX(Chantiers!$G$6:$G$805,MATCH($A69&amp;"/architecture",Chantiers!$A$6:$A$805,0))</x:f>
        <x:v>En cours</x:v>
      </x:c>
      <x:c r="E69" s="271" t="str">
        <x:f>INDEX(Chantiers!$G$6:$G$805,MATCH($A69&amp;"/seed",Chantiers!$A$6:$A$805,0))</x:f>
        <x:v>À faire</x:v>
      </x:c>
      <x:c r="F69" s="271" t="str">
        <x:f>INDEX(Chantiers!$G$6:$G$805,MATCH($A69&amp;"/props",Chantiers!$A$6:$A$805,0))</x:f>
        <x:v>En cours</x:v>
      </x:c>
      <x:c r="G69" s="271" t="str">
        <x:f>INDEX(Chantiers!$G$6:$G$805,MATCH($A69&amp;"/loot",Chantiers!$A$6:$A$805,0))</x:f>
        <x:v>À faire</x:v>
      </x:c>
      <x:c r="H69" s="271" t="str">
        <x:f>INDEX(Chantiers!$G$6:$G$805,MATCH($A69&amp;"/rencontres",Chantiers!$A$6:$A$805,0))</x:f>
        <x:v>À faire</x:v>
      </x:c>
      <x:c r="I69" s="271" t="str">
        <x:f>INDEX(Chantiers!$G$6:$G$805,MATCH($A69&amp;"/services",Chantiers!$A$6:$A$805,0))</x:f>
        <x:v>À faire</x:v>
      </x:c>
      <x:c r="J69" s="271" t="str">
        <x:f>INDEX(Chantiers!$G$6:$G$805,MATCH($A69&amp;"/art",Chantiers!$A$6:$A$805,0))</x:f>
        <x:v>À faire</x:v>
      </x:c>
      <x:c r="K69" s="271" t="str">
        <x:f>INDEX(Chantiers!$G$6:$G$805,MATCH($A69&amp;"/sauvegarde",Chantiers!$A$6:$A$805,0))</x:f>
        <x:v>En cours</x:v>
      </x:c>
      <x:c r="L69" s="271" t="str">
        <x:f>INDEX(Chantiers!$G$6:$G$805,MATCH($A69&amp;"/qa",Chantiers!$A$6:$A$805,0))</x:f>
        <x:v>En cours</x:v>
      </x:c>
      <x:c r="M69" s="271" t="n">
        <x:f>COUNTIF(C69:L69,"Validé")</x:f>
        <x:v>0</x:v>
      </x:c>
      <x:c r="N69" s="271" t="n">
        <x:f>COLUMNS(C69:L69)-M69</x:f>
        <x:v>10</x:v>
      </x:c>
    </x:row>
    <x:row r="70" ht="34" customHeight="1">
      <x:c r="A70" s="271" t="str">
        <x:v>EXT-MONDE-T065</x:v>
      </x:c>
      <x:c r="B70" s="272" t="str">
        <x:v>Stade municipal</x:v>
      </x:c>
      <x:c r="C70" s="271" t="str">
        <x:f>INDEX(Chantiers!$G$6:$G$805,MATCH($A70&amp;"/dimensions",Chantiers!$A$6:$A$805,0))</x:f>
        <x:v>Validé</x:v>
      </x:c>
      <x:c r="D70" s="271" t="str">
        <x:f>INDEX(Chantiers!$G$6:$G$805,MATCH($A70&amp;"/architecture",Chantiers!$A$6:$A$805,0))</x:f>
        <x:v>En cours</x:v>
      </x:c>
      <x:c r="E70" s="271" t="str">
        <x:f>INDEX(Chantiers!$G$6:$G$805,MATCH($A70&amp;"/seed",Chantiers!$A$6:$A$805,0))</x:f>
        <x:v>À faire</x:v>
      </x:c>
      <x:c r="F70" s="271" t="str">
        <x:f>INDEX(Chantiers!$G$6:$G$805,MATCH($A70&amp;"/props",Chantiers!$A$6:$A$805,0))</x:f>
        <x:v>En cours</x:v>
      </x:c>
      <x:c r="G70" s="271" t="str">
        <x:f>INDEX(Chantiers!$G$6:$G$805,MATCH($A70&amp;"/loot",Chantiers!$A$6:$A$805,0))</x:f>
        <x:v>À faire</x:v>
      </x:c>
      <x:c r="H70" s="271" t="str">
        <x:f>INDEX(Chantiers!$G$6:$G$805,MATCH($A70&amp;"/rencontres",Chantiers!$A$6:$A$805,0))</x:f>
        <x:v>À faire</x:v>
      </x:c>
      <x:c r="I70" s="271" t="str">
        <x:f>INDEX(Chantiers!$G$6:$G$805,MATCH($A70&amp;"/services",Chantiers!$A$6:$A$805,0))</x:f>
        <x:v>À faire</x:v>
      </x:c>
      <x:c r="J70" s="271" t="str">
        <x:f>INDEX(Chantiers!$G$6:$G$805,MATCH($A70&amp;"/art",Chantiers!$A$6:$A$805,0))</x:f>
        <x:v>À faire</x:v>
      </x:c>
      <x:c r="K70" s="271" t="str">
        <x:f>INDEX(Chantiers!$G$6:$G$805,MATCH($A70&amp;"/sauvegarde",Chantiers!$A$6:$A$805,0))</x:f>
        <x:v>En cours</x:v>
      </x:c>
      <x:c r="L70" s="271" t="str">
        <x:f>INDEX(Chantiers!$G$6:$G$805,MATCH($A70&amp;"/qa",Chantiers!$A$6:$A$805,0))</x:f>
        <x:v>En cours</x:v>
      </x:c>
      <x:c r="M70" s="271" t="n">
        <x:f>COUNTIF(C70:L70,"Validé")</x:f>
        <x:v>1</x:v>
      </x:c>
      <x:c r="N70" s="271" t="n">
        <x:f>COLUMNS(C70:L70)-M70</x:f>
        <x:v>9</x:v>
      </x:c>
    </x:row>
    <x:row r="71" ht="34" customHeight="1">
      <x:c r="A71" s="271" t="str">
        <x:v>EXT-MONDE-T066</x:v>
      </x:c>
      <x:c r="B71" s="272" t="str">
        <x:v>Grand stade couvert</x:v>
      </x:c>
      <x:c r="C71" s="271" t="str">
        <x:f>INDEX(Chantiers!$G$6:$G$805,MATCH($A71&amp;"/dimensions",Chantiers!$A$6:$A$805,0))</x:f>
        <x:v>Validé</x:v>
      </x:c>
      <x:c r="D71" s="271" t="str">
        <x:f>INDEX(Chantiers!$G$6:$G$805,MATCH($A71&amp;"/architecture",Chantiers!$A$6:$A$805,0))</x:f>
        <x:v>En cours</x:v>
      </x:c>
      <x:c r="E71" s="271" t="str">
        <x:f>INDEX(Chantiers!$G$6:$G$805,MATCH($A71&amp;"/seed",Chantiers!$A$6:$A$805,0))</x:f>
        <x:v>À faire</x:v>
      </x:c>
      <x:c r="F71" s="271" t="str">
        <x:f>INDEX(Chantiers!$G$6:$G$805,MATCH($A71&amp;"/props",Chantiers!$A$6:$A$805,0))</x:f>
        <x:v>En cours</x:v>
      </x:c>
      <x:c r="G71" s="271" t="str">
        <x:f>INDEX(Chantiers!$G$6:$G$805,MATCH($A71&amp;"/loot",Chantiers!$A$6:$A$805,0))</x:f>
        <x:v>À faire</x:v>
      </x:c>
      <x:c r="H71" s="271" t="str">
        <x:f>INDEX(Chantiers!$G$6:$G$805,MATCH($A71&amp;"/rencontres",Chantiers!$A$6:$A$805,0))</x:f>
        <x:v>À faire</x:v>
      </x:c>
      <x:c r="I71" s="271" t="str">
        <x:f>INDEX(Chantiers!$G$6:$G$805,MATCH($A71&amp;"/services",Chantiers!$A$6:$A$805,0))</x:f>
        <x:v>À faire</x:v>
      </x:c>
      <x:c r="J71" s="271" t="str">
        <x:f>INDEX(Chantiers!$G$6:$G$805,MATCH($A71&amp;"/art",Chantiers!$A$6:$A$805,0))</x:f>
        <x:v>À faire</x:v>
      </x:c>
      <x:c r="K71" s="271" t="str">
        <x:f>INDEX(Chantiers!$G$6:$G$805,MATCH($A71&amp;"/sauvegarde",Chantiers!$A$6:$A$805,0))</x:f>
        <x:v>En cours</x:v>
      </x:c>
      <x:c r="L71" s="271" t="str">
        <x:f>INDEX(Chantiers!$G$6:$G$805,MATCH($A71&amp;"/qa",Chantiers!$A$6:$A$805,0))</x:f>
        <x:v>En cours</x:v>
      </x:c>
      <x:c r="M71" s="271" t="n">
        <x:f>COUNTIF(C71:L71,"Validé")</x:f>
        <x:v>1</x:v>
      </x:c>
      <x:c r="N71" s="271" t="n">
        <x:f>COLUMNS(C71:L71)-M71</x:f>
        <x:v>9</x:v>
      </x:c>
    </x:row>
    <x:row r="72" ht="34" customHeight="1">
      <x:c r="A72" s="271" t="str">
        <x:v>EXT-MONDE-T067</x:v>
      </x:c>
      <x:c r="B72" s="272" t="str">
        <x:v>Vélodrome</x:v>
      </x:c>
      <x:c r="C72" s="271" t="str">
        <x:f>INDEX(Chantiers!$G$6:$G$805,MATCH($A72&amp;"/dimensions",Chantiers!$A$6:$A$805,0))</x:f>
        <x:v>En cours</x:v>
      </x:c>
      <x:c r="D72" s="271" t="str">
        <x:f>INDEX(Chantiers!$G$6:$G$805,MATCH($A72&amp;"/architecture",Chantiers!$A$6:$A$805,0))</x:f>
        <x:v>En cours</x:v>
      </x:c>
      <x:c r="E72" s="271" t="str">
        <x:f>INDEX(Chantiers!$G$6:$G$805,MATCH($A72&amp;"/seed",Chantiers!$A$6:$A$805,0))</x:f>
        <x:v>À faire</x:v>
      </x:c>
      <x:c r="F72" s="271" t="str">
        <x:f>INDEX(Chantiers!$G$6:$G$805,MATCH($A72&amp;"/props",Chantiers!$A$6:$A$805,0))</x:f>
        <x:v>En cours</x:v>
      </x:c>
      <x:c r="G72" s="271" t="str">
        <x:f>INDEX(Chantiers!$G$6:$G$805,MATCH($A72&amp;"/loot",Chantiers!$A$6:$A$805,0))</x:f>
        <x:v>À faire</x:v>
      </x:c>
      <x:c r="H72" s="271" t="str">
        <x:f>INDEX(Chantiers!$G$6:$G$805,MATCH($A72&amp;"/rencontres",Chantiers!$A$6:$A$805,0))</x:f>
        <x:v>À faire</x:v>
      </x:c>
      <x:c r="I72" s="271" t="str">
        <x:f>INDEX(Chantiers!$G$6:$G$805,MATCH($A72&amp;"/services",Chantiers!$A$6:$A$805,0))</x:f>
        <x:v>À faire</x:v>
      </x:c>
      <x:c r="J72" s="271" t="str">
        <x:f>INDEX(Chantiers!$G$6:$G$805,MATCH($A72&amp;"/art",Chantiers!$A$6:$A$805,0))</x:f>
        <x:v>À faire</x:v>
      </x:c>
      <x:c r="K72" s="271" t="str">
        <x:f>INDEX(Chantiers!$G$6:$G$805,MATCH($A72&amp;"/sauvegarde",Chantiers!$A$6:$A$805,0))</x:f>
        <x:v>En cours</x:v>
      </x:c>
      <x:c r="L72" s="271" t="str">
        <x:f>INDEX(Chantiers!$G$6:$G$805,MATCH($A72&amp;"/qa",Chantiers!$A$6:$A$805,0))</x:f>
        <x:v>En cours</x:v>
      </x:c>
      <x:c r="M72" s="271" t="n">
        <x:f>COUNTIF(C72:L72,"Validé")</x:f>
        <x:v>0</x:v>
      </x:c>
      <x:c r="N72" s="271" t="n">
        <x:f>COLUMNS(C72:L72)-M72</x:f>
        <x:v>10</x:v>
      </x:c>
    </x:row>
    <x:row r="73" ht="34" customHeight="1">
      <x:c r="A73" s="271" t="str">
        <x:v>EXT-MONDE-T068</x:v>
      </x:c>
      <x:c r="B73" s="272" t="str">
        <x:v>Complexe sportif</x:v>
      </x:c>
      <x:c r="C73" s="271" t="str">
        <x:f>INDEX(Chantiers!$G$6:$G$805,MATCH($A73&amp;"/dimensions",Chantiers!$A$6:$A$805,0))</x:f>
        <x:v>En cours</x:v>
      </x:c>
      <x:c r="D73" s="271" t="str">
        <x:f>INDEX(Chantiers!$G$6:$G$805,MATCH($A73&amp;"/architecture",Chantiers!$A$6:$A$805,0))</x:f>
        <x:v>En cours</x:v>
      </x:c>
      <x:c r="E73" s="271" t="str">
        <x:f>INDEX(Chantiers!$G$6:$G$805,MATCH($A73&amp;"/seed",Chantiers!$A$6:$A$805,0))</x:f>
        <x:v>À faire</x:v>
      </x:c>
      <x:c r="F73" s="271" t="str">
        <x:f>INDEX(Chantiers!$G$6:$G$805,MATCH($A73&amp;"/props",Chantiers!$A$6:$A$805,0))</x:f>
        <x:v>En cours</x:v>
      </x:c>
      <x:c r="G73" s="271" t="str">
        <x:f>INDEX(Chantiers!$G$6:$G$805,MATCH($A73&amp;"/loot",Chantiers!$A$6:$A$805,0))</x:f>
        <x:v>À faire</x:v>
      </x:c>
      <x:c r="H73" s="271" t="str">
        <x:f>INDEX(Chantiers!$G$6:$G$805,MATCH($A73&amp;"/rencontres",Chantiers!$A$6:$A$805,0))</x:f>
        <x:v>À faire</x:v>
      </x:c>
      <x:c r="I73" s="271" t="str">
        <x:f>INDEX(Chantiers!$G$6:$G$805,MATCH($A73&amp;"/services",Chantiers!$A$6:$A$805,0))</x:f>
        <x:v>À faire</x:v>
      </x:c>
      <x:c r="J73" s="271" t="str">
        <x:f>INDEX(Chantiers!$G$6:$G$805,MATCH($A73&amp;"/art",Chantiers!$A$6:$A$805,0))</x:f>
        <x:v>À faire</x:v>
      </x:c>
      <x:c r="K73" s="271" t="str">
        <x:f>INDEX(Chantiers!$G$6:$G$805,MATCH($A73&amp;"/sauvegarde",Chantiers!$A$6:$A$805,0))</x:f>
        <x:v>En cours</x:v>
      </x:c>
      <x:c r="L73" s="271" t="str">
        <x:f>INDEX(Chantiers!$G$6:$G$805,MATCH($A73&amp;"/qa",Chantiers!$A$6:$A$805,0))</x:f>
        <x:v>En cours</x:v>
      </x:c>
      <x:c r="M73" s="271" t="n">
        <x:f>COUNTIF(C73:L73,"Validé")</x:f>
        <x:v>0</x:v>
      </x:c>
      <x:c r="N73" s="271" t="n">
        <x:f>COLUMNS(C73:L73)-M73</x:f>
        <x:v>10</x:v>
      </x:c>
    </x:row>
    <x:row r="74" ht="34" customHeight="1">
      <x:c r="A74" s="271" t="str">
        <x:v>EXT-MONDE-T069</x:v>
      </x:c>
      <x:c r="B74" s="272" t="str">
        <x:v>Aérodrome régional</x:v>
      </x:c>
      <x:c r="C74" s="271" t="str">
        <x:f>INDEX(Chantiers!$G$6:$G$805,MATCH($A74&amp;"/dimensions",Chantiers!$A$6:$A$805,0))</x:f>
        <x:v>En cours</x:v>
      </x:c>
      <x:c r="D74" s="271" t="str">
        <x:f>INDEX(Chantiers!$G$6:$G$805,MATCH($A74&amp;"/architecture",Chantiers!$A$6:$A$805,0))</x:f>
        <x:v>En cours</x:v>
      </x:c>
      <x:c r="E74" s="271" t="str">
        <x:f>INDEX(Chantiers!$G$6:$G$805,MATCH($A74&amp;"/seed",Chantiers!$A$6:$A$805,0))</x:f>
        <x:v>À faire</x:v>
      </x:c>
      <x:c r="F74" s="271" t="str">
        <x:f>INDEX(Chantiers!$G$6:$G$805,MATCH($A74&amp;"/props",Chantiers!$A$6:$A$805,0))</x:f>
        <x:v>En cours</x:v>
      </x:c>
      <x:c r="G74" s="271" t="str">
        <x:f>INDEX(Chantiers!$G$6:$G$805,MATCH($A74&amp;"/loot",Chantiers!$A$6:$A$805,0))</x:f>
        <x:v>À faire</x:v>
      </x:c>
      <x:c r="H74" s="271" t="str">
        <x:f>INDEX(Chantiers!$G$6:$G$805,MATCH($A74&amp;"/rencontres",Chantiers!$A$6:$A$805,0))</x:f>
        <x:v>À faire</x:v>
      </x:c>
      <x:c r="I74" s="271" t="str">
        <x:f>INDEX(Chantiers!$G$6:$G$805,MATCH($A74&amp;"/services",Chantiers!$A$6:$A$805,0))</x:f>
        <x:v>À faire</x:v>
      </x:c>
      <x:c r="J74" s="271" t="str">
        <x:f>INDEX(Chantiers!$G$6:$G$805,MATCH($A74&amp;"/art",Chantiers!$A$6:$A$805,0))</x:f>
        <x:v>À faire</x:v>
      </x:c>
      <x:c r="K74" s="271" t="str">
        <x:f>INDEX(Chantiers!$G$6:$G$805,MATCH($A74&amp;"/sauvegarde",Chantiers!$A$6:$A$805,0))</x:f>
        <x:v>En cours</x:v>
      </x:c>
      <x:c r="L74" s="271" t="str">
        <x:f>INDEX(Chantiers!$G$6:$G$805,MATCH($A74&amp;"/qa",Chantiers!$A$6:$A$805,0))</x:f>
        <x:v>En cours</x:v>
      </x:c>
      <x:c r="M74" s="271" t="n">
        <x:f>COUNTIF(C74:L74,"Validé")</x:f>
        <x:v>0</x:v>
      </x:c>
      <x:c r="N74" s="271" t="n">
        <x:f>COLUMNS(C74:L74)-M74</x:f>
        <x:v>10</x:v>
      </x:c>
    </x:row>
    <x:row r="75" ht="34" customHeight="1">
      <x:c r="A75" s="271" t="str">
        <x:v>EXT-MONDE-T070</x:v>
      </x:c>
      <x:c r="B75" s="272" t="str">
        <x:v>Aéroport international</x:v>
      </x:c>
      <x:c r="C75" s="271" t="str">
        <x:f>INDEX(Chantiers!$G$6:$G$805,MATCH($A75&amp;"/dimensions",Chantiers!$A$6:$A$805,0))</x:f>
        <x:v>En cours</x:v>
      </x:c>
      <x:c r="D75" s="271" t="str">
        <x:f>INDEX(Chantiers!$G$6:$G$805,MATCH($A75&amp;"/architecture",Chantiers!$A$6:$A$805,0))</x:f>
        <x:v>En cours</x:v>
      </x:c>
      <x:c r="E75" s="271" t="str">
        <x:f>INDEX(Chantiers!$G$6:$G$805,MATCH($A75&amp;"/seed",Chantiers!$A$6:$A$805,0))</x:f>
        <x:v>À faire</x:v>
      </x:c>
      <x:c r="F75" s="271" t="str">
        <x:f>INDEX(Chantiers!$G$6:$G$805,MATCH($A75&amp;"/props",Chantiers!$A$6:$A$805,0))</x:f>
        <x:v>En cours</x:v>
      </x:c>
      <x:c r="G75" s="271" t="str">
        <x:f>INDEX(Chantiers!$G$6:$G$805,MATCH($A75&amp;"/loot",Chantiers!$A$6:$A$805,0))</x:f>
        <x:v>À faire</x:v>
      </x:c>
      <x:c r="H75" s="271" t="str">
        <x:f>INDEX(Chantiers!$G$6:$G$805,MATCH($A75&amp;"/rencontres",Chantiers!$A$6:$A$805,0))</x:f>
        <x:v>À faire</x:v>
      </x:c>
      <x:c r="I75" s="271" t="str">
        <x:f>INDEX(Chantiers!$G$6:$G$805,MATCH($A75&amp;"/services",Chantiers!$A$6:$A$805,0))</x:f>
        <x:v>À faire</x:v>
      </x:c>
      <x:c r="J75" s="271" t="str">
        <x:f>INDEX(Chantiers!$G$6:$G$805,MATCH($A75&amp;"/art",Chantiers!$A$6:$A$805,0))</x:f>
        <x:v>À faire</x:v>
      </x:c>
      <x:c r="K75" s="271" t="str">
        <x:f>INDEX(Chantiers!$G$6:$G$805,MATCH($A75&amp;"/sauvegarde",Chantiers!$A$6:$A$805,0))</x:f>
        <x:v>En cours</x:v>
      </x:c>
      <x:c r="L75" s="271" t="str">
        <x:f>INDEX(Chantiers!$G$6:$G$805,MATCH($A75&amp;"/qa",Chantiers!$A$6:$A$805,0))</x:f>
        <x:v>En cours</x:v>
      </x:c>
      <x:c r="M75" s="271" t="n">
        <x:f>COUNTIF(C75:L75,"Validé")</x:f>
        <x:v>0</x:v>
      </x:c>
      <x:c r="N75" s="271" t="n">
        <x:f>COLUMNS(C75:L75)-M75</x:f>
        <x:v>10</x:v>
      </x:c>
    </x:row>
    <x:row r="76" ht="34" customHeight="1">
      <x:c r="A76" s="271" t="str">
        <x:v>EXT-MONDE-T071</x:v>
      </x:c>
      <x:c r="B76" s="272" t="str">
        <x:v>Aéroport de fret</x:v>
      </x:c>
      <x:c r="C76" s="271" t="str">
        <x:f>INDEX(Chantiers!$G$6:$G$805,MATCH($A76&amp;"/dimensions",Chantiers!$A$6:$A$805,0))</x:f>
        <x:v>En cours</x:v>
      </x:c>
      <x:c r="D76" s="271" t="str">
        <x:f>INDEX(Chantiers!$G$6:$G$805,MATCH($A76&amp;"/architecture",Chantiers!$A$6:$A$805,0))</x:f>
        <x:v>En cours</x:v>
      </x:c>
      <x:c r="E76" s="271" t="str">
        <x:f>INDEX(Chantiers!$G$6:$G$805,MATCH($A76&amp;"/seed",Chantiers!$A$6:$A$805,0))</x:f>
        <x:v>À faire</x:v>
      </x:c>
      <x:c r="F76" s="271" t="str">
        <x:f>INDEX(Chantiers!$G$6:$G$805,MATCH($A76&amp;"/props",Chantiers!$A$6:$A$805,0))</x:f>
        <x:v>En cours</x:v>
      </x:c>
      <x:c r="G76" s="271" t="str">
        <x:f>INDEX(Chantiers!$G$6:$G$805,MATCH($A76&amp;"/loot",Chantiers!$A$6:$A$805,0))</x:f>
        <x:v>À faire</x:v>
      </x:c>
      <x:c r="H76" s="271" t="str">
        <x:f>INDEX(Chantiers!$G$6:$G$805,MATCH($A76&amp;"/rencontres",Chantiers!$A$6:$A$805,0))</x:f>
        <x:v>À faire</x:v>
      </x:c>
      <x:c r="I76" s="271" t="str">
        <x:f>INDEX(Chantiers!$G$6:$G$805,MATCH($A76&amp;"/services",Chantiers!$A$6:$A$805,0))</x:f>
        <x:v>À faire</x:v>
      </x:c>
      <x:c r="J76" s="271" t="str">
        <x:f>INDEX(Chantiers!$G$6:$G$805,MATCH($A76&amp;"/art",Chantiers!$A$6:$A$805,0))</x:f>
        <x:v>À faire</x:v>
      </x:c>
      <x:c r="K76" s="271" t="str">
        <x:f>INDEX(Chantiers!$G$6:$G$805,MATCH($A76&amp;"/sauvegarde",Chantiers!$A$6:$A$805,0))</x:f>
        <x:v>En cours</x:v>
      </x:c>
      <x:c r="L76" s="271" t="str">
        <x:f>INDEX(Chantiers!$G$6:$G$805,MATCH($A76&amp;"/qa",Chantiers!$A$6:$A$805,0))</x:f>
        <x:v>En cours</x:v>
      </x:c>
      <x:c r="M76" s="271" t="n">
        <x:f>COUNTIF(C76:L76,"Validé")</x:f>
        <x:v>0</x:v>
      </x:c>
      <x:c r="N76" s="271" t="n">
        <x:f>COLUMNS(C76:L76)-M76</x:f>
        <x:v>10</x:v>
      </x:c>
    </x:row>
    <x:row r="77" ht="34" customHeight="1">
      <x:c r="A77" s="271" t="str">
        <x:v>EXT-MONDE-T072</x:v>
      </x:c>
      <x:c r="B77" s="272" t="str">
        <x:v>Aérodrome insulaire</x:v>
      </x:c>
      <x:c r="C77" s="271" t="str">
        <x:f>INDEX(Chantiers!$G$6:$G$805,MATCH($A77&amp;"/dimensions",Chantiers!$A$6:$A$805,0))</x:f>
        <x:v>En cours</x:v>
      </x:c>
      <x:c r="D77" s="271" t="str">
        <x:f>INDEX(Chantiers!$G$6:$G$805,MATCH($A77&amp;"/architecture",Chantiers!$A$6:$A$805,0))</x:f>
        <x:v>En cours</x:v>
      </x:c>
      <x:c r="E77" s="271" t="str">
        <x:f>INDEX(Chantiers!$G$6:$G$805,MATCH($A77&amp;"/seed",Chantiers!$A$6:$A$805,0))</x:f>
        <x:v>À faire</x:v>
      </x:c>
      <x:c r="F77" s="271" t="str">
        <x:f>INDEX(Chantiers!$G$6:$G$805,MATCH($A77&amp;"/props",Chantiers!$A$6:$A$805,0))</x:f>
        <x:v>En cours</x:v>
      </x:c>
      <x:c r="G77" s="271" t="str">
        <x:f>INDEX(Chantiers!$G$6:$G$805,MATCH($A77&amp;"/loot",Chantiers!$A$6:$A$805,0))</x:f>
        <x:v>À faire</x:v>
      </x:c>
      <x:c r="H77" s="271" t="str">
        <x:f>INDEX(Chantiers!$G$6:$G$805,MATCH($A77&amp;"/rencontres",Chantiers!$A$6:$A$805,0))</x:f>
        <x:v>À faire</x:v>
      </x:c>
      <x:c r="I77" s="271" t="str">
        <x:f>INDEX(Chantiers!$G$6:$G$805,MATCH($A77&amp;"/services",Chantiers!$A$6:$A$805,0))</x:f>
        <x:v>À faire</x:v>
      </x:c>
      <x:c r="J77" s="271" t="str">
        <x:f>INDEX(Chantiers!$G$6:$G$805,MATCH($A77&amp;"/art",Chantiers!$A$6:$A$805,0))</x:f>
        <x:v>À faire</x:v>
      </x:c>
      <x:c r="K77" s="271" t="str">
        <x:f>INDEX(Chantiers!$G$6:$G$805,MATCH($A77&amp;"/sauvegarde",Chantiers!$A$6:$A$805,0))</x:f>
        <x:v>En cours</x:v>
      </x:c>
      <x:c r="L77" s="271" t="str">
        <x:f>INDEX(Chantiers!$G$6:$G$805,MATCH($A77&amp;"/qa",Chantiers!$A$6:$A$805,0))</x:f>
        <x:v>En cours</x:v>
      </x:c>
      <x:c r="M77" s="271" t="n">
        <x:f>COUNTIF(C77:L77,"Validé")</x:f>
        <x:v>0</x:v>
      </x:c>
      <x:c r="N77" s="271" t="n">
        <x:f>COLUMNS(C77:L77)-M77</x:f>
        <x:v>10</x:v>
      </x:c>
    </x:row>
    <x:row r="78" ht="34" customHeight="1">
      <x:c r="A78" s="271" t="str">
        <x:v>EXT-MONDE-T073</x:v>
      </x:c>
      <x:c r="B78" s="272" t="str">
        <x:v>Gare de passage</x:v>
      </x:c>
      <x:c r="C78" s="271" t="str">
        <x:f>INDEX(Chantiers!$G$6:$G$805,MATCH($A78&amp;"/dimensions",Chantiers!$A$6:$A$805,0))</x:f>
        <x:v>En cours</x:v>
      </x:c>
      <x:c r="D78" s="271" t="str">
        <x:f>INDEX(Chantiers!$G$6:$G$805,MATCH($A78&amp;"/architecture",Chantiers!$A$6:$A$805,0))</x:f>
        <x:v>En cours</x:v>
      </x:c>
      <x:c r="E78" s="271" t="str">
        <x:f>INDEX(Chantiers!$G$6:$G$805,MATCH($A78&amp;"/seed",Chantiers!$A$6:$A$805,0))</x:f>
        <x:v>À faire</x:v>
      </x:c>
      <x:c r="F78" s="271" t="str">
        <x:f>INDEX(Chantiers!$G$6:$G$805,MATCH($A78&amp;"/props",Chantiers!$A$6:$A$805,0))</x:f>
        <x:v>En cours</x:v>
      </x:c>
      <x:c r="G78" s="271" t="str">
        <x:f>INDEX(Chantiers!$G$6:$G$805,MATCH($A78&amp;"/loot",Chantiers!$A$6:$A$805,0))</x:f>
        <x:v>À faire</x:v>
      </x:c>
      <x:c r="H78" s="271" t="str">
        <x:f>INDEX(Chantiers!$G$6:$G$805,MATCH($A78&amp;"/rencontres",Chantiers!$A$6:$A$805,0))</x:f>
        <x:v>À faire</x:v>
      </x:c>
      <x:c r="I78" s="271" t="str">
        <x:f>INDEX(Chantiers!$G$6:$G$805,MATCH($A78&amp;"/services",Chantiers!$A$6:$A$805,0))</x:f>
        <x:v>À faire</x:v>
      </x:c>
      <x:c r="J78" s="271" t="str">
        <x:f>INDEX(Chantiers!$G$6:$G$805,MATCH($A78&amp;"/art",Chantiers!$A$6:$A$805,0))</x:f>
        <x:v>À faire</x:v>
      </x:c>
      <x:c r="K78" s="271" t="str">
        <x:f>INDEX(Chantiers!$G$6:$G$805,MATCH($A78&amp;"/sauvegarde",Chantiers!$A$6:$A$805,0))</x:f>
        <x:v>En cours</x:v>
      </x:c>
      <x:c r="L78" s="271" t="str">
        <x:f>INDEX(Chantiers!$G$6:$G$805,MATCH($A78&amp;"/qa",Chantiers!$A$6:$A$805,0))</x:f>
        <x:v>En cours</x:v>
      </x:c>
      <x:c r="M78" s="271" t="n">
        <x:f>COUNTIF(C78:L78,"Validé")</x:f>
        <x:v>0</x:v>
      </x:c>
      <x:c r="N78" s="271" t="n">
        <x:f>COLUMNS(C78:L78)-M78</x:f>
        <x:v>10</x:v>
      </x:c>
    </x:row>
    <x:row r="79" ht="34" customHeight="1">
      <x:c r="A79" s="271" t="str">
        <x:v>EXT-MONDE-T074</x:v>
      </x:c>
      <x:c r="B79" s="272" t="str">
        <x:v>Gare terminus</x:v>
      </x:c>
      <x:c r="C79" s="271" t="str">
        <x:f>INDEX(Chantiers!$G$6:$G$805,MATCH($A79&amp;"/dimensions",Chantiers!$A$6:$A$805,0))</x:f>
        <x:v>En cours</x:v>
      </x:c>
      <x:c r="D79" s="271" t="str">
        <x:f>INDEX(Chantiers!$G$6:$G$805,MATCH($A79&amp;"/architecture",Chantiers!$A$6:$A$805,0))</x:f>
        <x:v>En cours</x:v>
      </x:c>
      <x:c r="E79" s="271" t="str">
        <x:f>INDEX(Chantiers!$G$6:$G$805,MATCH($A79&amp;"/seed",Chantiers!$A$6:$A$805,0))</x:f>
        <x:v>À faire</x:v>
      </x:c>
      <x:c r="F79" s="271" t="str">
        <x:f>INDEX(Chantiers!$G$6:$G$805,MATCH($A79&amp;"/props",Chantiers!$A$6:$A$805,0))</x:f>
        <x:v>En cours</x:v>
      </x:c>
      <x:c r="G79" s="271" t="str">
        <x:f>INDEX(Chantiers!$G$6:$G$805,MATCH($A79&amp;"/loot",Chantiers!$A$6:$A$805,0))</x:f>
        <x:v>À faire</x:v>
      </x:c>
      <x:c r="H79" s="271" t="str">
        <x:f>INDEX(Chantiers!$G$6:$G$805,MATCH($A79&amp;"/rencontres",Chantiers!$A$6:$A$805,0))</x:f>
        <x:v>À faire</x:v>
      </x:c>
      <x:c r="I79" s="271" t="str">
        <x:f>INDEX(Chantiers!$G$6:$G$805,MATCH($A79&amp;"/services",Chantiers!$A$6:$A$805,0))</x:f>
        <x:v>À faire</x:v>
      </x:c>
      <x:c r="J79" s="271" t="str">
        <x:f>INDEX(Chantiers!$G$6:$G$805,MATCH($A79&amp;"/art",Chantiers!$A$6:$A$805,0))</x:f>
        <x:v>À faire</x:v>
      </x:c>
      <x:c r="K79" s="271" t="str">
        <x:f>INDEX(Chantiers!$G$6:$G$805,MATCH($A79&amp;"/sauvegarde",Chantiers!$A$6:$A$805,0))</x:f>
        <x:v>En cours</x:v>
      </x:c>
      <x:c r="L79" s="271" t="str">
        <x:f>INDEX(Chantiers!$G$6:$G$805,MATCH($A79&amp;"/qa",Chantiers!$A$6:$A$805,0))</x:f>
        <x:v>En cours</x:v>
      </x:c>
      <x:c r="M79" s="271" t="n">
        <x:f>COUNTIF(C79:L79,"Validé")</x:f>
        <x:v>0</x:v>
      </x:c>
      <x:c r="N79" s="271" t="n">
        <x:f>COLUMNS(C79:L79)-M79</x:f>
        <x:v>10</x:v>
      </x:c>
    </x:row>
    <x:row r="80" ht="34" customHeight="1">
      <x:c r="A80" s="271" t="str">
        <x:v>EXT-MONDE-T075</x:v>
      </x:c>
      <x:c r="B80" s="272" t="str">
        <x:v>Gare de triage</x:v>
      </x:c>
      <x:c r="C80" s="271" t="str">
        <x:f>INDEX(Chantiers!$G$6:$G$805,MATCH($A80&amp;"/dimensions",Chantiers!$A$6:$A$805,0))</x:f>
        <x:v>En cours</x:v>
      </x:c>
      <x:c r="D80" s="271" t="str">
        <x:f>INDEX(Chantiers!$G$6:$G$805,MATCH($A80&amp;"/architecture",Chantiers!$A$6:$A$805,0))</x:f>
        <x:v>En cours</x:v>
      </x:c>
      <x:c r="E80" s="271" t="str">
        <x:f>INDEX(Chantiers!$G$6:$G$805,MATCH($A80&amp;"/seed",Chantiers!$A$6:$A$805,0))</x:f>
        <x:v>À faire</x:v>
      </x:c>
      <x:c r="F80" s="271" t="str">
        <x:f>INDEX(Chantiers!$G$6:$G$805,MATCH($A80&amp;"/props",Chantiers!$A$6:$A$805,0))</x:f>
        <x:v>En cours</x:v>
      </x:c>
      <x:c r="G80" s="271" t="str">
        <x:f>INDEX(Chantiers!$G$6:$G$805,MATCH($A80&amp;"/loot",Chantiers!$A$6:$A$805,0))</x:f>
        <x:v>À faire</x:v>
      </x:c>
      <x:c r="H80" s="271" t="str">
        <x:f>INDEX(Chantiers!$G$6:$G$805,MATCH($A80&amp;"/rencontres",Chantiers!$A$6:$A$805,0))</x:f>
        <x:v>À faire</x:v>
      </x:c>
      <x:c r="I80" s="271" t="str">
        <x:f>INDEX(Chantiers!$G$6:$G$805,MATCH($A80&amp;"/services",Chantiers!$A$6:$A$805,0))</x:f>
        <x:v>À faire</x:v>
      </x:c>
      <x:c r="J80" s="271" t="str">
        <x:f>INDEX(Chantiers!$G$6:$G$805,MATCH($A80&amp;"/art",Chantiers!$A$6:$A$805,0))</x:f>
        <x:v>À faire</x:v>
      </x:c>
      <x:c r="K80" s="271" t="str">
        <x:f>INDEX(Chantiers!$G$6:$G$805,MATCH($A80&amp;"/sauvegarde",Chantiers!$A$6:$A$805,0))</x:f>
        <x:v>En cours</x:v>
      </x:c>
      <x:c r="L80" s="271" t="str">
        <x:f>INDEX(Chantiers!$G$6:$G$805,MATCH($A80&amp;"/qa",Chantiers!$A$6:$A$805,0))</x:f>
        <x:v>En cours</x:v>
      </x:c>
      <x:c r="M80" s="271" t="n">
        <x:f>COUNTIF(C80:L80,"Validé")</x:f>
        <x:v>0</x:v>
      </x:c>
      <x:c r="N80" s="271" t="n">
        <x:f>COLUMNS(C80:L80)-M80</x:f>
        <x:v>10</x:v>
      </x:c>
    </x:row>
    <x:row r="81" ht="34" customHeight="1">
      <x:c r="A81" s="271" t="str">
        <x:v>EXT-MONDE-T076</x:v>
      </x:c>
      <x:c r="B81" s="272" t="str">
        <x:v>Dépôt ferroviaire</x:v>
      </x:c>
      <x:c r="C81" s="271" t="str">
        <x:f>INDEX(Chantiers!$G$6:$G$805,MATCH($A81&amp;"/dimensions",Chantiers!$A$6:$A$805,0))</x:f>
        <x:v>En cours</x:v>
      </x:c>
      <x:c r="D81" s="271" t="str">
        <x:f>INDEX(Chantiers!$G$6:$G$805,MATCH($A81&amp;"/architecture",Chantiers!$A$6:$A$805,0))</x:f>
        <x:v>En cours</x:v>
      </x:c>
      <x:c r="E81" s="271" t="str">
        <x:f>INDEX(Chantiers!$G$6:$G$805,MATCH($A81&amp;"/seed",Chantiers!$A$6:$A$805,0))</x:f>
        <x:v>À faire</x:v>
      </x:c>
      <x:c r="F81" s="271" t="str">
        <x:f>INDEX(Chantiers!$G$6:$G$805,MATCH($A81&amp;"/props",Chantiers!$A$6:$A$805,0))</x:f>
        <x:v>En cours</x:v>
      </x:c>
      <x:c r="G81" s="271" t="str">
        <x:f>INDEX(Chantiers!$G$6:$G$805,MATCH($A81&amp;"/loot",Chantiers!$A$6:$A$805,0))</x:f>
        <x:v>À faire</x:v>
      </x:c>
      <x:c r="H81" s="271" t="str">
        <x:f>INDEX(Chantiers!$G$6:$G$805,MATCH($A81&amp;"/rencontres",Chantiers!$A$6:$A$805,0))</x:f>
        <x:v>À faire</x:v>
      </x:c>
      <x:c r="I81" s="271" t="str">
        <x:f>INDEX(Chantiers!$G$6:$G$805,MATCH($A81&amp;"/services",Chantiers!$A$6:$A$805,0))</x:f>
        <x:v>À faire</x:v>
      </x:c>
      <x:c r="J81" s="271" t="str">
        <x:f>INDEX(Chantiers!$G$6:$G$805,MATCH($A81&amp;"/art",Chantiers!$A$6:$A$805,0))</x:f>
        <x:v>À faire</x:v>
      </x:c>
      <x:c r="K81" s="271" t="str">
        <x:f>INDEX(Chantiers!$G$6:$G$805,MATCH($A81&amp;"/sauvegarde",Chantiers!$A$6:$A$805,0))</x:f>
        <x:v>En cours</x:v>
      </x:c>
      <x:c r="L81" s="271" t="str">
        <x:f>INDEX(Chantiers!$G$6:$G$805,MATCH($A81&amp;"/qa",Chantiers!$A$6:$A$805,0))</x:f>
        <x:v>En cours</x:v>
      </x:c>
      <x:c r="M81" s="271" t="n">
        <x:f>COUNTIF(C81:L81,"Validé")</x:f>
        <x:v>0</x:v>
      </x:c>
      <x:c r="N81" s="271" t="n">
        <x:f>COLUMNS(C81:L81)-M81</x:f>
        <x:v>10</x:v>
      </x:c>
    </x:row>
    <x:row r="82" ht="34" customHeight="1">
      <x:c r="A82" s="271" t="str">
        <x:v>EXT-MONDE-T077</x:v>
      </x:c>
      <x:c r="B82" s="272" t="str">
        <x:v>Îlot de phare</x:v>
      </x:c>
      <x:c r="C82" s="271" t="str">
        <x:f>INDEX(Chantiers!$G$6:$G$805,MATCH($A82&amp;"/dimensions",Chantiers!$A$6:$A$805,0))</x:f>
        <x:v>En cours</x:v>
      </x:c>
      <x:c r="D82" s="271" t="str">
        <x:f>INDEX(Chantiers!$G$6:$G$805,MATCH($A82&amp;"/architecture",Chantiers!$A$6:$A$805,0))</x:f>
        <x:v>En cours</x:v>
      </x:c>
      <x:c r="E82" s="271" t="str">
        <x:f>INDEX(Chantiers!$G$6:$G$805,MATCH($A82&amp;"/seed",Chantiers!$A$6:$A$805,0))</x:f>
        <x:v>À faire</x:v>
      </x:c>
      <x:c r="F82" s="271" t="str">
        <x:f>INDEX(Chantiers!$G$6:$G$805,MATCH($A82&amp;"/props",Chantiers!$A$6:$A$805,0))</x:f>
        <x:v>En cours</x:v>
      </x:c>
      <x:c r="G82" s="271" t="str">
        <x:f>INDEX(Chantiers!$G$6:$G$805,MATCH($A82&amp;"/loot",Chantiers!$A$6:$A$805,0))</x:f>
        <x:v>À faire</x:v>
      </x:c>
      <x:c r="H82" s="271" t="str">
        <x:f>INDEX(Chantiers!$G$6:$G$805,MATCH($A82&amp;"/rencontres",Chantiers!$A$6:$A$805,0))</x:f>
        <x:v>À faire</x:v>
      </x:c>
      <x:c r="I82" s="271" t="str">
        <x:f>INDEX(Chantiers!$G$6:$G$805,MATCH($A82&amp;"/services",Chantiers!$A$6:$A$805,0))</x:f>
        <x:v>À faire</x:v>
      </x:c>
      <x:c r="J82" s="271" t="str">
        <x:f>INDEX(Chantiers!$G$6:$G$805,MATCH($A82&amp;"/art",Chantiers!$A$6:$A$805,0))</x:f>
        <x:v>À faire</x:v>
      </x:c>
      <x:c r="K82" s="271" t="str">
        <x:f>INDEX(Chantiers!$G$6:$G$805,MATCH($A82&amp;"/sauvegarde",Chantiers!$A$6:$A$805,0))</x:f>
        <x:v>En cours</x:v>
      </x:c>
      <x:c r="L82" s="271" t="str">
        <x:f>INDEX(Chantiers!$G$6:$G$805,MATCH($A82&amp;"/qa",Chantiers!$A$6:$A$805,0))</x:f>
        <x:v>En cours</x:v>
      </x:c>
      <x:c r="M82" s="271" t="n">
        <x:f>COUNTIF(C82:L82,"Validé")</x:f>
        <x:v>0</x:v>
      </x:c>
      <x:c r="N82" s="271" t="n">
        <x:f>COLUMNS(C82:L82)-M82</x:f>
        <x:v>10</x:v>
      </x:c>
    </x:row>
    <x:row r="83" ht="34" customHeight="1">
      <x:c r="A83" s="271" t="str">
        <x:v>EXT-MONDE-T078</x:v>
      </x:c>
      <x:c r="B83" s="272" t="str">
        <x:v>Île agricole habitée</x:v>
      </x:c>
      <x:c r="C83" s="271" t="str">
        <x:f>INDEX(Chantiers!$G$6:$G$805,MATCH($A83&amp;"/dimensions",Chantiers!$A$6:$A$805,0))</x:f>
        <x:v>En cours</x:v>
      </x:c>
      <x:c r="D83" s="271" t="str">
        <x:f>INDEX(Chantiers!$G$6:$G$805,MATCH($A83&amp;"/architecture",Chantiers!$A$6:$A$805,0))</x:f>
        <x:v>En cours</x:v>
      </x:c>
      <x:c r="E83" s="271" t="str">
        <x:f>INDEX(Chantiers!$G$6:$G$805,MATCH($A83&amp;"/seed",Chantiers!$A$6:$A$805,0))</x:f>
        <x:v>À faire</x:v>
      </x:c>
      <x:c r="F83" s="271" t="str">
        <x:f>INDEX(Chantiers!$G$6:$G$805,MATCH($A83&amp;"/props",Chantiers!$A$6:$A$805,0))</x:f>
        <x:v>En cours</x:v>
      </x:c>
      <x:c r="G83" s="271" t="str">
        <x:f>INDEX(Chantiers!$G$6:$G$805,MATCH($A83&amp;"/loot",Chantiers!$A$6:$A$805,0))</x:f>
        <x:v>À faire</x:v>
      </x:c>
      <x:c r="H83" s="271" t="str">
        <x:f>INDEX(Chantiers!$G$6:$G$805,MATCH($A83&amp;"/rencontres",Chantiers!$A$6:$A$805,0))</x:f>
        <x:v>À faire</x:v>
      </x:c>
      <x:c r="I83" s="271" t="str">
        <x:f>INDEX(Chantiers!$G$6:$G$805,MATCH($A83&amp;"/services",Chantiers!$A$6:$A$805,0))</x:f>
        <x:v>À faire</x:v>
      </x:c>
      <x:c r="J83" s="271" t="str">
        <x:f>INDEX(Chantiers!$G$6:$G$805,MATCH($A83&amp;"/art",Chantiers!$A$6:$A$805,0))</x:f>
        <x:v>À faire</x:v>
      </x:c>
      <x:c r="K83" s="271" t="str">
        <x:f>INDEX(Chantiers!$G$6:$G$805,MATCH($A83&amp;"/sauvegarde",Chantiers!$A$6:$A$805,0))</x:f>
        <x:v>En cours</x:v>
      </x:c>
      <x:c r="L83" s="271" t="str">
        <x:f>INDEX(Chantiers!$G$6:$G$805,MATCH($A83&amp;"/qa",Chantiers!$A$6:$A$805,0))</x:f>
        <x:v>En cours</x:v>
      </x:c>
      <x:c r="M83" s="271" t="n">
        <x:f>COUNTIF(C83:L83,"Validé")</x:f>
        <x:v>0</x:v>
      </x:c>
      <x:c r="N83" s="271" t="n">
        <x:f>COLUMNS(C83:L83)-M83</x:f>
        <x:v>10</x:v>
      </x:c>
    </x:row>
    <x:row r="84" ht="34" customHeight="1">
      <x:c r="A84" s="271" t="str">
        <x:v>EXT-MONDE-T079</x:v>
      </x:c>
      <x:c r="B84" s="272" t="str">
        <x:v>Île portuaire industrielle</x:v>
      </x:c>
      <x:c r="C84" s="271" t="str">
        <x:f>INDEX(Chantiers!$G$6:$G$805,MATCH($A84&amp;"/dimensions",Chantiers!$A$6:$A$805,0))</x:f>
        <x:v>En cours</x:v>
      </x:c>
      <x:c r="D84" s="271" t="str">
        <x:f>INDEX(Chantiers!$G$6:$G$805,MATCH($A84&amp;"/architecture",Chantiers!$A$6:$A$805,0))</x:f>
        <x:v>En cours</x:v>
      </x:c>
      <x:c r="E84" s="271" t="str">
        <x:f>INDEX(Chantiers!$G$6:$G$805,MATCH($A84&amp;"/seed",Chantiers!$A$6:$A$805,0))</x:f>
        <x:v>À faire</x:v>
      </x:c>
      <x:c r="F84" s="271" t="str">
        <x:f>INDEX(Chantiers!$G$6:$G$805,MATCH($A84&amp;"/props",Chantiers!$A$6:$A$805,0))</x:f>
        <x:v>En cours</x:v>
      </x:c>
      <x:c r="G84" s="271" t="str">
        <x:f>INDEX(Chantiers!$G$6:$G$805,MATCH($A84&amp;"/loot",Chantiers!$A$6:$A$805,0))</x:f>
        <x:v>À faire</x:v>
      </x:c>
      <x:c r="H84" s="271" t="str">
        <x:f>INDEX(Chantiers!$G$6:$G$805,MATCH($A84&amp;"/rencontres",Chantiers!$A$6:$A$805,0))</x:f>
        <x:v>À faire</x:v>
      </x:c>
      <x:c r="I84" s="271" t="str">
        <x:f>INDEX(Chantiers!$G$6:$G$805,MATCH($A84&amp;"/services",Chantiers!$A$6:$A$805,0))</x:f>
        <x:v>À faire</x:v>
      </x:c>
      <x:c r="J84" s="271" t="str">
        <x:f>INDEX(Chantiers!$G$6:$G$805,MATCH($A84&amp;"/art",Chantiers!$A$6:$A$805,0))</x:f>
        <x:v>À faire</x:v>
      </x:c>
      <x:c r="K84" s="271" t="str">
        <x:f>INDEX(Chantiers!$G$6:$G$805,MATCH($A84&amp;"/sauvegarde",Chantiers!$A$6:$A$805,0))</x:f>
        <x:v>En cours</x:v>
      </x:c>
      <x:c r="L84" s="271" t="str">
        <x:f>INDEX(Chantiers!$G$6:$G$805,MATCH($A84&amp;"/qa",Chantiers!$A$6:$A$805,0))</x:f>
        <x:v>En cours</x:v>
      </x:c>
      <x:c r="M84" s="271" t="n">
        <x:f>COUNTIF(C84:L84,"Validé")</x:f>
        <x:v>0</x:v>
      </x:c>
      <x:c r="N84" s="271" t="n">
        <x:f>COLUMNS(C84:L84)-M84</x:f>
        <x:v>10</x:v>
      </x:c>
    </x:row>
    <x:row r="85" ht="34" customHeight="1">
      <x:c r="A85" s="271" t="str">
        <x:v>EXT-MONDE-T080</x:v>
      </x:c>
      <x:c r="B85" s="272" t="str">
        <x:v>Grande île mixte</x:v>
      </x:c>
      <x:c r="C85" s="271" t="str">
        <x:f>INDEX(Chantiers!$G$6:$G$805,MATCH($A85&amp;"/dimensions",Chantiers!$A$6:$A$805,0))</x:f>
        <x:v>En cours</x:v>
      </x:c>
      <x:c r="D85" s="271" t="str">
        <x:f>INDEX(Chantiers!$G$6:$G$805,MATCH($A85&amp;"/architecture",Chantiers!$A$6:$A$805,0))</x:f>
        <x:v>En cours</x:v>
      </x:c>
      <x:c r="E85" s="271" t="str">
        <x:f>INDEX(Chantiers!$G$6:$G$805,MATCH($A85&amp;"/seed",Chantiers!$A$6:$A$805,0))</x:f>
        <x:v>À faire</x:v>
      </x:c>
      <x:c r="F85" s="271" t="str">
        <x:f>INDEX(Chantiers!$G$6:$G$805,MATCH($A85&amp;"/props",Chantiers!$A$6:$A$805,0))</x:f>
        <x:v>En cours</x:v>
      </x:c>
      <x:c r="G85" s="271" t="str">
        <x:f>INDEX(Chantiers!$G$6:$G$805,MATCH($A85&amp;"/loot",Chantiers!$A$6:$A$805,0))</x:f>
        <x:v>À faire</x:v>
      </x:c>
      <x:c r="H85" s="271" t="str">
        <x:f>INDEX(Chantiers!$G$6:$G$805,MATCH($A85&amp;"/rencontres",Chantiers!$A$6:$A$805,0))</x:f>
        <x:v>À faire</x:v>
      </x:c>
      <x:c r="I85" s="271" t="str">
        <x:f>INDEX(Chantiers!$G$6:$G$805,MATCH($A85&amp;"/services",Chantiers!$A$6:$A$805,0))</x:f>
        <x:v>À faire</x:v>
      </x:c>
      <x:c r="J85" s="271" t="str">
        <x:f>INDEX(Chantiers!$G$6:$G$805,MATCH($A85&amp;"/art",Chantiers!$A$6:$A$805,0))</x:f>
        <x:v>À faire</x:v>
      </x:c>
      <x:c r="K85" s="271" t="str">
        <x:f>INDEX(Chantiers!$G$6:$G$805,MATCH($A85&amp;"/sauvegarde",Chantiers!$A$6:$A$805,0))</x:f>
        <x:v>En cours</x:v>
      </x:c>
      <x:c r="L85" s="271" t="str">
        <x:f>INDEX(Chantiers!$G$6:$G$805,MATCH($A85&amp;"/qa",Chantiers!$A$6:$A$805,0))</x:f>
        <x:v>En cours</x:v>
      </x:c>
      <x:c r="M85" s="271" t="n">
        <x:f>COUNTIF(C85:L85,"Validé")</x:f>
        <x:v>0</x:v>
      </x:c>
      <x:c r="N85" s="271" t="n">
        <x:f>COLUMNS(C85:L85)-M85</x:f>
        <x:v>10</x:v>
      </x:c>
    </x:row>
    <x:row r="86" ht="30" customHeight="1">
      <x:c r="A86" s="273" t="str">
        <x:v>TOTAL DES ÉTAPES VALIDÉES ET RESTANTES</x:v>
      </x:c>
      <x:c r="B86" s="273"/>
      <x:c r="C86" s="273"/>
      <x:c r="D86" s="273"/>
      <x:c r="E86" s="273"/>
      <x:c r="F86" s="273"/>
      <x:c r="G86" s="273"/>
      <x:c r="H86" s="273"/>
      <x:c r="I86" s="273"/>
      <x:c r="J86" s="273"/>
      <x:c r="K86" s="273"/>
      <x:c r="L86" s="273"/>
      <x:c r="M86" s="273" t="n">
        <x:f>SUM(M6:M85)</x:f>
        <x:v>3</x:v>
      </x:c>
      <x:c r="N86" s="273" t="n">
        <x:f>SUM(N6:N85)</x:f>
        <x:v>797</x:v>
      </x:c>
    </x:row>
  </x:sheetData>
  <x:mergeCells>
    <x:mergeCell ref="A1:N2"/>
    <x:mergeCell ref="A3:N3"/>
    <x:mergeCell ref="A86:L86"/>
  </x:mergeCells>
  <x:conditionalFormatting sqref="C6:L85">
    <x:cfRule type="containsText" dxfId="25" priority="1" operator="containsText" text="En cours"/>
    <x:cfRule type="containsText" dxfId="26" priority="2" operator="containsText" text="Validé"/>
  </x:conditionalFormatting>
  <x:pageMargins left="0.7" right="0.7" top="0.75" bottom="0.75" header="0.3" footer="0.3"/>
  <x:tableParts count="1">
    <x:tablePart xmlns:r="http://schemas.openxmlformats.org/officeDocument/2006/relationships" r:id="R08071e1f9587457e"/>
  </x:tableParts>
</x:worksheet>
</file>

<file path=xl/worksheets/sheet1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4" hidden="0" customWidth="1"/>
    <x:col min="2" max="2" width="35"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s>
  <x:sheetData>
    <x:row r="1" ht="26" customHeight="1">
      <x:c r="A1" s="267" t="str">
        <x:v>INSPECTION PHYSIQUE — 4 000 PLANS</x:v>
      </x:c>
      <x:c r="B1" s="267"/>
      <x:c r="C1" s="267"/>
      <x:c r="D1" s="267"/>
      <x:c r="E1" s="267"/>
      <x:c r="F1" s="267"/>
      <x:c r="G1" s="267"/>
      <x:c r="H1" s="267"/>
      <x:c r="I1" s="267"/>
      <x:c r="J1" s="267"/>
      <x:c r="K1" s="267"/>
      <x:c r="L1" s="267"/>
    </x:row>
    <x:row r="2" ht="26" customHeight="1">
      <x:c r="A2" s="267"/>
      <x:c r="B2" s="267"/>
      <x:c r="C2" s="267"/>
      <x:c r="D2" s="267"/>
      <x:c r="E2" s="267"/>
      <x:c r="F2" s="267"/>
      <x:c r="G2" s="267"/>
      <x:c r="H2" s="267"/>
      <x:c r="I2" s="267"/>
      <x:c r="J2" s="267"/>
      <x:c r="K2" s="267"/>
      <x:c r="L2" s="267"/>
    </x:row>
    <x:row r="3" ht="26" customHeight="1">
      <x:c r="A3" s="268" t="str">
        <x:v>Les contrôles portent sur les espaces décrits et le mobilier du mode auteur. Les étapes de campagne restent ouvertes.</x:v>
      </x:c>
      <x:c r="B3" s="268"/>
      <x:c r="C3" s="268"/>
      <x:c r="D3" s="268"/>
      <x:c r="E3" s="268"/>
      <x:c r="F3" s="268"/>
      <x:c r="G3" s="268"/>
      <x:c r="H3" s="268"/>
      <x:c r="I3" s="268"/>
      <x:c r="J3" s="268"/>
      <x:c r="K3" s="268"/>
      <x:c r="L3" s="268"/>
    </x:row>
    <x:row r="4" ht="26" customHeight="1">
      <x:c r="A4" s="126"/>
      <x:c r="B4" s="126"/>
      <x:c r="C4" s="126"/>
      <x:c r="D4" s="126"/>
      <x:c r="E4" s="126"/>
      <x:c r="F4" s="126"/>
      <x:c r="G4" s="126"/>
      <x:c r="H4" s="126"/>
      <x:c r="I4" s="126"/>
      <x:c r="J4" s="126"/>
      <x:c r="K4" s="126"/>
      <x:c r="L4" s="126"/>
    </x:row>
    <x:row r="5" ht="38" customHeight="1">
      <x:c r="A5" s="270" t="str">
        <x:v>ID typologie</x:v>
      </x:c>
      <x:c r="B5" s="270" t="str">
        <x:v>Typologie</x:v>
      </x:c>
      <x:c r="C5" s="270" t="str">
        <x:v>Plans inspectés</x:v>
      </x:c>
      <x:c r="D5" s="270" t="str">
        <x:v>Pièces</x:v>
      </x:c>
      <x:c r="E5" s="270" t="str">
        <x:v>Pièces meublées</x:v>
      </x:c>
      <x:c r="F5" s="270" t="str">
        <x:v>Objets posés</x:v>
      </x:c>
      <x:c r="G5" s="270" t="str">
        <x:v>Poses refusées</x:v>
      </x:c>
      <x:c r="H5" s="270" t="str">
        <x:v>Segments de mur</x:v>
      </x:c>
      <x:c r="I5" s="270" t="str">
        <x:v>Transitions</x:v>
      </x:c>
      <x:c r="J5" s="270" t="str">
        <x:v>Niveaux cumulés</x:v>
      </x:c>
      <x:c r="K5" s="270" t="str">
        <x:v>Contrôles réussis</x:v>
      </x:c>
      <x:c r="L5" s="270" t="str">
        <x:v>Jouables en campagne</x:v>
      </x:c>
    </x:row>
    <x:row r="6" ht="34" customHeight="1">
      <x:c r="A6" s="271" t="str">
        <x:v>EXT-MONDE-T001</x:v>
      </x:c>
      <x:c r="B6" s="272" t="str">
        <x:v>Base nautique lacustre</x:v>
      </x:c>
      <x:c r="C6" s="274" t="n">
        <x:v>50</x:v>
      </x:c>
      <x:c r="D6" s="274" t="n">
        <x:v>1300</x:v>
      </x:c>
      <x:c r="E6" s="274" t="n">
        <x:v>1300</x:v>
      </x:c>
      <x:c r="F6" s="274" t="n">
        <x:v>4700</x:v>
      </x:c>
      <x:c r="G6" s="274" t="n">
        <x:v>0</x:v>
      </x:c>
      <x:c r="H6" s="274" t="n">
        <x:v>9900</x:v>
      </x:c>
      <x:c r="I6" s="274" t="n">
        <x:v>0</x:v>
      </x:c>
      <x:c r="J6" s="274" t="n">
        <x:v>50</x:v>
      </x:c>
      <x:c r="K6" s="274" t="n">
        <x:v>50</x:v>
      </x:c>
      <x:c r="L6" s="274" t="n">
        <x:v>0</x:v>
      </x:c>
    </x:row>
    <x:row r="7" ht="34" customHeight="1">
      <x:c r="A7" s="271" t="str">
        <x:v>EXT-MONDE-T002</x:v>
      </x:c>
      <x:c r="B7" s="272" t="str">
        <x:v>Village de pêche lacustre</x:v>
      </x:c>
      <x:c r="C7" s="274" t="n">
        <x:v>50</x:v>
      </x:c>
      <x:c r="D7" s="274" t="n">
        <x:v>1200</x:v>
      </x:c>
      <x:c r="E7" s="274" t="n">
        <x:v>1200</x:v>
      </x:c>
      <x:c r="F7" s="274" t="n">
        <x:v>4350</x:v>
      </x:c>
      <x:c r="G7" s="274" t="n">
        <x:v>0</x:v>
      </x:c>
      <x:c r="H7" s="274" t="n">
        <x:v>9300</x:v>
      </x:c>
      <x:c r="I7" s="274" t="n">
        <x:v>0</x:v>
      </x:c>
      <x:c r="J7" s="274" t="n">
        <x:v>50</x:v>
      </x:c>
      <x:c r="K7" s="274" t="n">
        <x:v>50</x:v>
      </x:c>
      <x:c r="L7" s="274" t="n">
        <x:v>0</x:v>
      </x:c>
    </x:row>
    <x:row r="8" ht="34" customHeight="1">
      <x:c r="A8" s="271" t="str">
        <x:v>EXT-MONDE-T003</x:v>
      </x:c>
      <x:c r="B8" s="272" t="str">
        <x:v>Station limnologique</x:v>
      </x:c>
      <x:c r="C8" s="274" t="n">
        <x:v>50</x:v>
      </x:c>
      <x:c r="D8" s="274" t="n">
        <x:v>1200</x:v>
      </x:c>
      <x:c r="E8" s="274" t="n">
        <x:v>1200</x:v>
      </x:c>
      <x:c r="F8" s="274" t="n">
        <x:v>4350</x:v>
      </x:c>
      <x:c r="G8" s="274" t="n">
        <x:v>0</x:v>
      </x:c>
      <x:c r="H8" s="274" t="n">
        <x:v>9300</x:v>
      </x:c>
      <x:c r="I8" s="274" t="n">
        <x:v>0</x:v>
      </x:c>
      <x:c r="J8" s="274" t="n">
        <x:v>50</x:v>
      </x:c>
      <x:c r="K8" s="274" t="n">
        <x:v>50</x:v>
      </x:c>
      <x:c r="L8" s="274" t="n">
        <x:v>0</x:v>
      </x:c>
    </x:row>
    <x:row r="9" ht="34" customHeight="1">
      <x:c r="A9" s="271" t="str">
        <x:v>EXT-MONDE-T004</x:v>
      </x:c>
      <x:c r="B9" s="272" t="str">
        <x:v>Camping de rive</x:v>
      </x:c>
      <x:c r="C9" s="274" t="n">
        <x:v>50</x:v>
      </x:c>
      <x:c r="D9" s="274" t="n">
        <x:v>1300</x:v>
      </x:c>
      <x:c r="E9" s="274" t="n">
        <x:v>1300</x:v>
      </x:c>
      <x:c r="F9" s="274" t="n">
        <x:v>4700</x:v>
      </x:c>
      <x:c r="G9" s="274" t="n">
        <x:v>0</x:v>
      </x:c>
      <x:c r="H9" s="274" t="n">
        <x:v>9900</x:v>
      </x:c>
      <x:c r="I9" s="274" t="n">
        <x:v>0</x:v>
      </x:c>
      <x:c r="J9" s="274" t="n">
        <x:v>50</x:v>
      </x:c>
      <x:c r="K9" s="274" t="n">
        <x:v>50</x:v>
      </x:c>
      <x:c r="L9" s="274" t="n">
        <x:v>0</x:v>
      </x:c>
    </x:row>
    <x:row r="10" ht="34" customHeight="1">
      <x:c r="A10" s="271" t="str">
        <x:v>EXT-MONDE-T005</x:v>
      </x:c>
      <x:c r="B10" s="272" t="str">
        <x:v>Cargo polyvalent</x:v>
      </x:c>
      <x:c r="C10" s="274" t="n">
        <x:v>50</x:v>
      </x:c>
      <x:c r="D10" s="274" t="n">
        <x:v>1680</x:v>
      </x:c>
      <x:c r="E10" s="274" t="n">
        <x:v>1680</x:v>
      </x:c>
      <x:c r="F10" s="274" t="n">
        <x:v>5958</x:v>
      </x:c>
      <x:c r="G10" s="274" t="n">
        <x:v>0</x:v>
      </x:c>
      <x:c r="H10" s="274" t="n">
        <x:v>11280</x:v>
      </x:c>
      <x:c r="I10" s="274" t="n">
        <x:v>250</x:v>
      </x:c>
      <x:c r="J10" s="274" t="n">
        <x:v>300</x:v>
      </x:c>
      <x:c r="K10" s="274" t="n">
        <x:v>50</x:v>
      </x:c>
      <x:c r="L10" s="274" t="n">
        <x:v>0</x:v>
      </x:c>
    </x:row>
    <x:row r="11" ht="34" customHeight="1">
      <x:c r="A11" s="271" t="str">
        <x:v>EXT-MONDE-T006</x:v>
      </x:c>
      <x:c r="B11" s="272" t="str">
        <x:v>Pétrolier océanique</x:v>
      </x:c>
      <x:c r="C11" s="274" t="n">
        <x:v>50</x:v>
      </x:c>
      <x:c r="D11" s="274" t="n">
        <x:v>2800</x:v>
      </x:c>
      <x:c r="E11" s="274" t="n">
        <x:v>2800</x:v>
      </x:c>
      <x:c r="F11" s="274" t="n">
        <x:v>10015</x:v>
      </x:c>
      <x:c r="G11" s="274" t="n">
        <x:v>0</x:v>
      </x:c>
      <x:c r="H11" s="274" t="n">
        <x:v>18200</x:v>
      </x:c>
      <x:c r="I11" s="274" t="n">
        <x:v>300</x:v>
      </x:c>
      <x:c r="J11" s="274" t="n">
        <x:v>350</x:v>
      </x:c>
      <x:c r="K11" s="274" t="n">
        <x:v>50</x:v>
      </x:c>
      <x:c r="L11" s="274" t="n">
        <x:v>0</x:v>
      </x:c>
    </x:row>
    <x:row r="12" ht="34" customHeight="1">
      <x:c r="A12" s="271" t="str">
        <x:v>EXT-MONDE-T007</x:v>
      </x:c>
      <x:c r="B12" s="272" t="str">
        <x:v>Croiseur militaire abandonné</x:v>
      </x:c>
      <x:c r="C12" s="274" t="n">
        <x:v>50</x:v>
      </x:c>
      <x:c r="D12" s="274" t="n">
        <x:v>1600</x:v>
      </x:c>
      <x:c r="E12" s="274" t="n">
        <x:v>1600</x:v>
      </x:c>
      <x:c r="F12" s="274" t="n">
        <x:v>5815</x:v>
      </x:c>
      <x:c r="G12" s="274" t="n">
        <x:v>0</x:v>
      </x:c>
      <x:c r="H12" s="274" t="n">
        <x:v>10400</x:v>
      </x:c>
      <x:c r="I12" s="274" t="n">
        <x:v>150</x:v>
      </x:c>
      <x:c r="J12" s="274" t="n">
        <x:v>200</x:v>
      </x:c>
      <x:c r="K12" s="274" t="n">
        <x:v>50</x:v>
      </x:c>
      <x:c r="L12" s="274" t="n">
        <x:v>0</x:v>
      </x:c>
    </x:row>
    <x:row r="13" ht="34" customHeight="1">
      <x:c r="A13" s="271" t="str">
        <x:v>EXT-MONDE-T008</x:v>
      </x:c>
      <x:c r="B13" s="272" t="str">
        <x:v>Sous-marin en surface</x:v>
      </x:c>
      <x:c r="C13" s="274" t="n">
        <x:v>50</x:v>
      </x:c>
      <x:c r="D13" s="274" t="n">
        <x:v>600</x:v>
      </x:c>
      <x:c r="E13" s="274" t="n">
        <x:v>600</x:v>
      </x:c>
      <x:c r="F13" s="274" t="n">
        <x:v>2103</x:v>
      </x:c>
      <x:c r="G13" s="274" t="n">
        <x:v>0</x:v>
      </x:c>
      <x:c r="H13" s="274" t="n">
        <x:v>3800</x:v>
      </x:c>
      <x:c r="I13" s="274" t="n">
        <x:v>50</x:v>
      </x:c>
      <x:c r="J13" s="274" t="n">
        <x:v>100</x:v>
      </x:c>
      <x:c r="K13" s="274" t="n">
        <x:v>50</x:v>
      </x:c>
      <x:c r="L13" s="274" t="n">
        <x:v>0</x:v>
      </x:c>
    </x:row>
    <x:row r="14" ht="34" customHeight="1">
      <x:c r="A14" s="271" t="str">
        <x:v>EXT-MONDE-T009</x:v>
      </x:c>
      <x:c r="B14" s="272" t="str">
        <x:v>Plateforme pétrolière fixe</x:v>
      </x:c>
      <x:c r="C14" s="274" t="n">
        <x:v>50</x:v>
      </x:c>
      <x:c r="D14" s="274" t="n">
        <x:v>1700</x:v>
      </x:c>
      <x:c r="E14" s="274" t="n">
        <x:v>1700</x:v>
      </x:c>
      <x:c r="F14" s="274" t="n">
        <x:v>6350</x:v>
      </x:c>
      <x:c r="G14" s="274" t="n">
        <x:v>0</x:v>
      </x:c>
      <x:c r="H14" s="274" t="n">
        <x:v>13000</x:v>
      </x:c>
      <x:c r="I14" s="274" t="n">
        <x:v>0</x:v>
      </x:c>
      <x:c r="J14" s="274" t="n">
        <x:v>50</x:v>
      </x:c>
      <x:c r="K14" s="274" t="n">
        <x:v>50</x:v>
      </x:c>
      <x:c r="L14" s="274" t="n">
        <x:v>0</x:v>
      </x:c>
    </x:row>
    <x:row r="15" ht="34" customHeight="1">
      <x:c r="A15" s="271" t="str">
        <x:v>EXT-MONDE-T010</x:v>
      </x:c>
      <x:c r="B15" s="272" t="str">
        <x:v>Plateforme semi-submersible</x:v>
      </x:c>
      <x:c r="C15" s="274" t="n">
        <x:v>50</x:v>
      </x:c>
      <x:c r="D15" s="274" t="n">
        <x:v>1700</x:v>
      </x:c>
      <x:c r="E15" s="274" t="n">
        <x:v>1700</x:v>
      </x:c>
      <x:c r="F15" s="274" t="n">
        <x:v>6200</x:v>
      </x:c>
      <x:c r="G15" s="274" t="n">
        <x:v>0</x:v>
      </x:c>
      <x:c r="H15" s="274" t="n">
        <x:v>13000</x:v>
      </x:c>
      <x:c r="I15" s="274" t="n">
        <x:v>0</x:v>
      </x:c>
      <x:c r="J15" s="274" t="n">
        <x:v>50</x:v>
      </x:c>
      <x:c r="K15" s="274" t="n">
        <x:v>50</x:v>
      </x:c>
      <x:c r="L15" s="274" t="n">
        <x:v>0</x:v>
      </x:c>
    </x:row>
    <x:row r="16" ht="34" customHeight="1">
      <x:c r="A16" s="271" t="str">
        <x:v>EXT-MONDE-T011</x:v>
      </x:c>
      <x:c r="B16" s="272" t="str">
        <x:v>Navire de soutien offshore</x:v>
      </x:c>
      <x:c r="C16" s="274" t="n">
        <x:v>50</x:v>
      </x:c>
      <x:c r="D16" s="274" t="n">
        <x:v>1600</x:v>
      </x:c>
      <x:c r="E16" s="274" t="n">
        <x:v>1600</x:v>
      </x:c>
      <x:c r="F16" s="274" t="n">
        <x:v>5602</x:v>
      </x:c>
      <x:c r="G16" s="274" t="n">
        <x:v>0</x:v>
      </x:c>
      <x:c r="H16" s="274" t="n">
        <x:v>10400</x:v>
      </x:c>
      <x:c r="I16" s="274" t="n">
        <x:v>150</x:v>
      </x:c>
      <x:c r="J16" s="274" t="n">
        <x:v>200</x:v>
      </x:c>
      <x:c r="K16" s="274" t="n">
        <x:v>50</x:v>
      </x:c>
      <x:c r="L16" s="274" t="n">
        <x:v>0</x:v>
      </x:c>
    </x:row>
    <x:row r="17" ht="34" customHeight="1">
      <x:c r="A17" s="271" t="str">
        <x:v>EXT-MONDE-T012</x:v>
      </x:c>
      <x:c r="B17" s="272" t="str">
        <x:v>Station scientifique marine</x:v>
      </x:c>
      <x:c r="C17" s="274" t="n">
        <x:v>50</x:v>
      </x:c>
      <x:c r="D17" s="274" t="n">
        <x:v>1700</x:v>
      </x:c>
      <x:c r="E17" s="274" t="n">
        <x:v>1700</x:v>
      </x:c>
      <x:c r="F17" s="274" t="n">
        <x:v>6450</x:v>
      </x:c>
      <x:c r="G17" s="274" t="n">
        <x:v>0</x:v>
      </x:c>
      <x:c r="H17" s="274" t="n">
        <x:v>13000</x:v>
      </x:c>
      <x:c r="I17" s="274" t="n">
        <x:v>0</x:v>
      </x:c>
      <x:c r="J17" s="274" t="n">
        <x:v>50</x:v>
      </x:c>
      <x:c r="K17" s="274" t="n">
        <x:v>50</x:v>
      </x:c>
      <x:c r="L17" s="274" t="n">
        <x:v>0</x:v>
      </x:c>
    </x:row>
    <x:row r="18" ht="34" customHeight="1">
      <x:c r="A18" s="271" t="str">
        <x:v>EXT-MONDE-T013</x:v>
      </x:c>
      <x:c r="B18" s="272" t="str">
        <x:v>Port de pêche</x:v>
      </x:c>
      <x:c r="C18" s="274" t="n">
        <x:v>50</x:v>
      </x:c>
      <x:c r="D18" s="274" t="n">
        <x:v>1600</x:v>
      </x:c>
      <x:c r="E18" s="274" t="n">
        <x:v>1600</x:v>
      </x:c>
      <x:c r="F18" s="274" t="n">
        <x:v>5950</x:v>
      </x:c>
      <x:c r="G18" s="274" t="n">
        <x:v>0</x:v>
      </x:c>
      <x:c r="H18" s="274" t="n">
        <x:v>12400</x:v>
      </x:c>
      <x:c r="I18" s="274" t="n">
        <x:v>0</x:v>
      </x:c>
      <x:c r="J18" s="274" t="n">
        <x:v>50</x:v>
      </x:c>
      <x:c r="K18" s="274" t="n">
        <x:v>50</x:v>
      </x:c>
      <x:c r="L18" s="274" t="n">
        <x:v>0</x:v>
      </x:c>
    </x:row>
    <x:row r="19" ht="34" customHeight="1">
      <x:c r="A19" s="271" t="str">
        <x:v>EXT-MONDE-T014</x:v>
      </x:c>
      <x:c r="B19" s="272" t="str">
        <x:v>Marina</x:v>
      </x:c>
      <x:c r="C19" s="274" t="n">
        <x:v>50</x:v>
      </x:c>
      <x:c r="D19" s="274" t="n">
        <x:v>1600</x:v>
      </x:c>
      <x:c r="E19" s="274" t="n">
        <x:v>1600</x:v>
      </x:c>
      <x:c r="F19" s="274" t="n">
        <x:v>6000</x:v>
      </x:c>
      <x:c r="G19" s="274" t="n">
        <x:v>0</x:v>
      </x:c>
      <x:c r="H19" s="274" t="n">
        <x:v>12400</x:v>
      </x:c>
      <x:c r="I19" s="274" t="n">
        <x:v>0</x:v>
      </x:c>
      <x:c r="J19" s="274" t="n">
        <x:v>50</x:v>
      </x:c>
      <x:c r="K19" s="274" t="n">
        <x:v>50</x:v>
      </x:c>
      <x:c r="L19" s="274" t="n">
        <x:v>0</x:v>
      </x:c>
    </x:row>
    <x:row r="20" ht="34" customHeight="1">
      <x:c r="A20" s="271" t="str">
        <x:v>EXT-MONDE-T015</x:v>
      </x:c>
      <x:c r="B20" s="272" t="str">
        <x:v>Terminal conteneurs</x:v>
      </x:c>
      <x:c r="C20" s="274" t="n">
        <x:v>50</x:v>
      </x:c>
      <x:c r="D20" s="274" t="n">
        <x:v>1600</x:v>
      </x:c>
      <x:c r="E20" s="274" t="n">
        <x:v>1600</x:v>
      </x:c>
      <x:c r="F20" s="274" t="n">
        <x:v>5950</x:v>
      </x:c>
      <x:c r="G20" s="274" t="n">
        <x:v>0</x:v>
      </x:c>
      <x:c r="H20" s="274" t="n">
        <x:v>12400</x:v>
      </x:c>
      <x:c r="I20" s="274" t="n">
        <x:v>0</x:v>
      </x:c>
      <x:c r="J20" s="274" t="n">
        <x:v>50</x:v>
      </x:c>
      <x:c r="K20" s="274" t="n">
        <x:v>50</x:v>
      </x:c>
      <x:c r="L20" s="274" t="n">
        <x:v>0</x:v>
      </x:c>
    </x:row>
    <x:row r="21" ht="34" customHeight="1">
      <x:c r="A21" s="271" t="str">
        <x:v>EXT-MONDE-T016</x:v>
      </x:c>
      <x:c r="B21" s="272" t="str">
        <x:v>Terminal ferry</x:v>
      </x:c>
      <x:c r="C21" s="274" t="n">
        <x:v>50</x:v>
      </x:c>
      <x:c r="D21" s="274" t="n">
        <x:v>1600</x:v>
      </x:c>
      <x:c r="E21" s="274" t="n">
        <x:v>1600</x:v>
      </x:c>
      <x:c r="F21" s="274" t="n">
        <x:v>6100</x:v>
      </x:c>
      <x:c r="G21" s="274" t="n">
        <x:v>0</x:v>
      </x:c>
      <x:c r="H21" s="274" t="n">
        <x:v>12400</x:v>
      </x:c>
      <x:c r="I21" s="274" t="n">
        <x:v>0</x:v>
      </x:c>
      <x:c r="J21" s="274" t="n">
        <x:v>50</x:v>
      </x:c>
      <x:c r="K21" s="274" t="n">
        <x:v>50</x:v>
      </x:c>
      <x:c r="L21" s="274" t="n">
        <x:v>0</x:v>
      </x:c>
    </x:row>
    <x:row r="22" ht="34" customHeight="1">
      <x:c r="A22" s="271" t="str">
        <x:v>EXT-MONDE-T017</x:v>
      </x:c>
      <x:c r="B22" s="272" t="str">
        <x:v>Phare et logements</x:v>
      </x:c>
      <x:c r="C22" s="274" t="n">
        <x:v>50</x:v>
      </x:c>
      <x:c r="D22" s="274" t="n">
        <x:v>1600</x:v>
      </x:c>
      <x:c r="E22" s="274" t="n">
        <x:v>1600</x:v>
      </x:c>
      <x:c r="F22" s="274" t="n">
        <x:v>5750</x:v>
      </x:c>
      <x:c r="G22" s="274" t="n">
        <x:v>0</x:v>
      </x:c>
      <x:c r="H22" s="274" t="n">
        <x:v>12400</x:v>
      </x:c>
      <x:c r="I22" s="274" t="n">
        <x:v>0</x:v>
      </x:c>
      <x:c r="J22" s="274" t="n">
        <x:v>50</x:v>
      </x:c>
      <x:c r="K22" s="274" t="n">
        <x:v>50</x:v>
      </x:c>
      <x:c r="L22" s="274" t="n">
        <x:v>0</x:v>
      </x:c>
    </x:row>
    <x:row r="23" ht="34" customHeight="1">
      <x:c r="A23" s="271" t="str">
        <x:v>EXT-MONDE-T018</x:v>
      </x:c>
      <x:c r="B23" s="272" t="str">
        <x:v>Fête foraine portuaire</x:v>
      </x:c>
      <x:c r="C23" s="274" t="n">
        <x:v>50</x:v>
      </x:c>
      <x:c r="D23" s="274" t="n">
        <x:v>1600</x:v>
      </x:c>
      <x:c r="E23" s="274" t="n">
        <x:v>1600</x:v>
      </x:c>
      <x:c r="F23" s="274" t="n">
        <x:v>6000</x:v>
      </x:c>
      <x:c r="G23" s="274" t="n">
        <x:v>0</x:v>
      </x:c>
      <x:c r="H23" s="274" t="n">
        <x:v>12400</x:v>
      </x:c>
      <x:c r="I23" s="274" t="n">
        <x:v>0</x:v>
      </x:c>
      <x:c r="J23" s="274" t="n">
        <x:v>50</x:v>
      </x:c>
      <x:c r="K23" s="274" t="n">
        <x:v>50</x:v>
      </x:c>
      <x:c r="L23" s="274" t="n">
        <x:v>0</x:v>
      </x:c>
    </x:row>
    <x:row r="24" ht="34" customHeight="1">
      <x:c r="A24" s="271" t="str">
        <x:v>EXT-MONDE-T019</x:v>
      </x:c>
      <x:c r="B24" s="272" t="str">
        <x:v>Chantier naval côtier</x:v>
      </x:c>
      <x:c r="C24" s="274" t="n">
        <x:v>50</x:v>
      </x:c>
      <x:c r="D24" s="274" t="n">
        <x:v>1600</x:v>
      </x:c>
      <x:c r="E24" s="274" t="n">
        <x:v>1600</x:v>
      </x:c>
      <x:c r="F24" s="274" t="n">
        <x:v>6050</x:v>
      </x:c>
      <x:c r="G24" s="274" t="n">
        <x:v>0</x:v>
      </x:c>
      <x:c r="H24" s="274" t="n">
        <x:v>12400</x:v>
      </x:c>
      <x:c r="I24" s="274" t="n">
        <x:v>0</x:v>
      </x:c>
      <x:c r="J24" s="274" t="n">
        <x:v>50</x:v>
      </x:c>
      <x:c r="K24" s="274" t="n">
        <x:v>50</x:v>
      </x:c>
      <x:c r="L24" s="274" t="n">
        <x:v>0</x:v>
      </x:c>
    </x:row>
    <x:row r="25" ht="34" customHeight="1">
      <x:c r="A25" s="271" t="str">
        <x:v>EXT-MONDE-T020</x:v>
      </x:c>
      <x:c r="B25" s="272" t="str">
        <x:v>Baie avec village côtier</x:v>
      </x:c>
      <x:c r="C25" s="274" t="n">
        <x:v>50</x:v>
      </x:c>
      <x:c r="D25" s="274" t="n">
        <x:v>1600</x:v>
      </x:c>
      <x:c r="E25" s="274" t="n">
        <x:v>1600</x:v>
      </x:c>
      <x:c r="F25" s="274" t="n">
        <x:v>6000</x:v>
      </x:c>
      <x:c r="G25" s="274" t="n">
        <x:v>0</x:v>
      </x:c>
      <x:c r="H25" s="274" t="n">
        <x:v>12400</x:v>
      </x:c>
      <x:c r="I25" s="274" t="n">
        <x:v>0</x:v>
      </x:c>
      <x:c r="J25" s="274" t="n">
        <x:v>50</x:v>
      </x:c>
      <x:c r="K25" s="274" t="n">
        <x:v>50</x:v>
      </x:c>
      <x:c r="L25" s="274" t="n">
        <x:v>0</x:v>
      </x:c>
    </x:row>
    <x:row r="26" ht="34" customHeight="1">
      <x:c r="A26" s="271" t="str">
        <x:v>EXT-MONDE-T021</x:v>
      </x:c>
      <x:c r="B26" s="272" t="str">
        <x:v>Ferme laitière</x:v>
      </x:c>
      <x:c r="C26" s="274" t="n">
        <x:v>50</x:v>
      </x:c>
      <x:c r="D26" s="274" t="n">
        <x:v>1400</x:v>
      </x:c>
      <x:c r="E26" s="274" t="n">
        <x:v>1400</x:v>
      </x:c>
      <x:c r="F26" s="274" t="n">
        <x:v>4950</x:v>
      </x:c>
      <x:c r="G26" s="274" t="n">
        <x:v>0</x:v>
      </x:c>
      <x:c r="H26" s="274" t="n">
        <x:v>10500</x:v>
      </x:c>
      <x:c r="I26" s="274" t="n">
        <x:v>0</x:v>
      </x:c>
      <x:c r="J26" s="274" t="n">
        <x:v>50</x:v>
      </x:c>
      <x:c r="K26" s="274" t="n">
        <x:v>50</x:v>
      </x:c>
      <x:c r="L26" s="274" t="n">
        <x:v>0</x:v>
      </x:c>
    </x:row>
    <x:row r="27" ht="34" customHeight="1">
      <x:c r="A27" s="271" t="str">
        <x:v>EXT-MONDE-T022</x:v>
      </x:c>
      <x:c r="B27" s="272" t="str">
        <x:v>Élevage ovin</x:v>
      </x:c>
      <x:c r="C27" s="274" t="n">
        <x:v>50</x:v>
      </x:c>
      <x:c r="D27" s="274" t="n">
        <x:v>1400</x:v>
      </x:c>
      <x:c r="E27" s="274" t="n">
        <x:v>1400</x:v>
      </x:c>
      <x:c r="F27" s="274" t="n">
        <x:v>5100</x:v>
      </x:c>
      <x:c r="G27" s="274" t="n">
        <x:v>0</x:v>
      </x:c>
      <x:c r="H27" s="274" t="n">
        <x:v>10500</x:v>
      </x:c>
      <x:c r="I27" s="274" t="n">
        <x:v>0</x:v>
      </x:c>
      <x:c r="J27" s="274" t="n">
        <x:v>50</x:v>
      </x:c>
      <x:c r="K27" s="274" t="n">
        <x:v>50</x:v>
      </x:c>
      <x:c r="L27" s="274" t="n">
        <x:v>0</x:v>
      </x:c>
    </x:row>
    <x:row r="28" ht="34" customHeight="1">
      <x:c r="A28" s="271" t="str">
        <x:v>EXT-MONDE-T023</x:v>
      </x:c>
      <x:c r="B28" s="272" t="str">
        <x:v>Ferme avicole</x:v>
      </x:c>
      <x:c r="C28" s="274" t="n">
        <x:v>50</x:v>
      </x:c>
      <x:c r="D28" s="274" t="n">
        <x:v>1400</x:v>
      </x:c>
      <x:c r="E28" s="274" t="n">
        <x:v>1400</x:v>
      </x:c>
      <x:c r="F28" s="274" t="n">
        <x:v>5050</x:v>
      </x:c>
      <x:c r="G28" s="274" t="n">
        <x:v>0</x:v>
      </x:c>
      <x:c r="H28" s="274" t="n">
        <x:v>10500</x:v>
      </x:c>
      <x:c r="I28" s="274" t="n">
        <x:v>0</x:v>
      </x:c>
      <x:c r="J28" s="274" t="n">
        <x:v>50</x:v>
      </x:c>
      <x:c r="K28" s="274" t="n">
        <x:v>50</x:v>
      </x:c>
      <x:c r="L28" s="274" t="n">
        <x:v>0</x:v>
      </x:c>
    </x:row>
    <x:row r="29" ht="34" customHeight="1">
      <x:c r="A29" s="271" t="str">
        <x:v>EXT-MONDE-T024</x:v>
      </x:c>
      <x:c r="B29" s="272" t="str">
        <x:v>Centre équestre rural</x:v>
      </x:c>
      <x:c r="C29" s="274" t="n">
        <x:v>50</x:v>
      </x:c>
      <x:c r="D29" s="274" t="n">
        <x:v>1400</x:v>
      </x:c>
      <x:c r="E29" s="274" t="n">
        <x:v>1400</x:v>
      </x:c>
      <x:c r="F29" s="274" t="n">
        <x:v>5100</x:v>
      </x:c>
      <x:c r="G29" s="274" t="n">
        <x:v>0</x:v>
      </x:c>
      <x:c r="H29" s="274" t="n">
        <x:v>10500</x:v>
      </x:c>
      <x:c r="I29" s="274" t="n">
        <x:v>0</x:v>
      </x:c>
      <x:c r="J29" s="274" t="n">
        <x:v>50</x:v>
      </x:c>
      <x:c r="K29" s="274" t="n">
        <x:v>50</x:v>
      </x:c>
      <x:c r="L29" s="274" t="n">
        <x:v>0</x:v>
      </x:c>
    </x:row>
    <x:row r="30" ht="34" customHeight="1">
      <x:c r="A30" s="271" t="str">
        <x:v>EXT-MONDE-T025</x:v>
      </x:c>
      <x:c r="B30" s="272" t="str">
        <x:v>Exploitation céréalière</x:v>
      </x:c>
      <x:c r="C30" s="274" t="n">
        <x:v>50</x:v>
      </x:c>
      <x:c r="D30" s="274" t="n">
        <x:v>1300</x:v>
      </x:c>
      <x:c r="E30" s="274" t="n">
        <x:v>1300</x:v>
      </x:c>
      <x:c r="F30" s="274" t="n">
        <x:v>4850</x:v>
      </x:c>
      <x:c r="G30" s="274" t="n">
        <x:v>0</x:v>
      </x:c>
      <x:c r="H30" s="274" t="n">
        <x:v>9900</x:v>
      </x:c>
      <x:c r="I30" s="274" t="n">
        <x:v>0</x:v>
      </x:c>
      <x:c r="J30" s="274" t="n">
        <x:v>50</x:v>
      </x:c>
      <x:c r="K30" s="274" t="n">
        <x:v>50</x:v>
      </x:c>
      <x:c r="L30" s="274" t="n">
        <x:v>0</x:v>
      </x:c>
    </x:row>
    <x:row r="31" ht="34" customHeight="1">
      <x:c r="A31" s="271" t="str">
        <x:v>EXT-MONDE-T026</x:v>
      </x:c>
      <x:c r="B31" s="272" t="str">
        <x:v>Domaine viticole</x:v>
      </x:c>
      <x:c r="C31" s="274" t="n">
        <x:v>50</x:v>
      </x:c>
      <x:c r="D31" s="274" t="n">
        <x:v>1300</x:v>
      </x:c>
      <x:c r="E31" s="274" t="n">
        <x:v>1300</x:v>
      </x:c>
      <x:c r="F31" s="274" t="n">
        <x:v>4700</x:v>
      </x:c>
      <x:c r="G31" s="274" t="n">
        <x:v>0</x:v>
      </x:c>
      <x:c r="H31" s="274" t="n">
        <x:v>9900</x:v>
      </x:c>
      <x:c r="I31" s="274" t="n">
        <x:v>0</x:v>
      </x:c>
      <x:c r="J31" s="274" t="n">
        <x:v>50</x:v>
      </x:c>
      <x:c r="K31" s="274" t="n">
        <x:v>50</x:v>
      </x:c>
      <x:c r="L31" s="274" t="n">
        <x:v>0</x:v>
      </x:c>
    </x:row>
    <x:row r="32" ht="34" customHeight="1">
      <x:c r="A32" s="271" t="str">
        <x:v>EXT-MONDE-T027</x:v>
      </x:c>
      <x:c r="B32" s="272" t="str">
        <x:v>Ferme maraîchère</x:v>
      </x:c>
      <x:c r="C32" s="274" t="n">
        <x:v>50</x:v>
      </x:c>
      <x:c r="D32" s="274" t="n">
        <x:v>1400</x:v>
      </x:c>
      <x:c r="E32" s="274" t="n">
        <x:v>1400</x:v>
      </x:c>
      <x:c r="F32" s="274" t="n">
        <x:v>5200</x:v>
      </x:c>
      <x:c r="G32" s="274" t="n">
        <x:v>0</x:v>
      </x:c>
      <x:c r="H32" s="274" t="n">
        <x:v>10500</x:v>
      </x:c>
      <x:c r="I32" s="274" t="n">
        <x:v>0</x:v>
      </x:c>
      <x:c r="J32" s="274" t="n">
        <x:v>50</x:v>
      </x:c>
      <x:c r="K32" s="274" t="n">
        <x:v>50</x:v>
      </x:c>
      <x:c r="L32" s="274" t="n">
        <x:v>0</x:v>
      </x:c>
    </x:row>
    <x:row r="33" ht="34" customHeight="1">
      <x:c r="A33" s="271" t="str">
        <x:v>EXT-MONDE-T028</x:v>
      </x:c>
      <x:c r="B33" s="272" t="str">
        <x:v>Verger avec conditionnement</x:v>
      </x:c>
      <x:c r="C33" s="274" t="n">
        <x:v>50</x:v>
      </x:c>
      <x:c r="D33" s="274" t="n">
        <x:v>1300</x:v>
      </x:c>
      <x:c r="E33" s="274" t="n">
        <x:v>1300</x:v>
      </x:c>
      <x:c r="F33" s="274" t="n">
        <x:v>4800</x:v>
      </x:c>
      <x:c r="G33" s="274" t="n">
        <x:v>0</x:v>
      </x:c>
      <x:c r="H33" s="274" t="n">
        <x:v>9900</x:v>
      </x:c>
      <x:c r="I33" s="274" t="n">
        <x:v>0</x:v>
      </x:c>
      <x:c r="J33" s="274" t="n">
        <x:v>50</x:v>
      </x:c>
      <x:c r="K33" s="274" t="n">
        <x:v>50</x:v>
      </x:c>
      <x:c r="L33" s="274" t="n">
        <x:v>0</x:v>
      </x:c>
    </x:row>
    <x:row r="34" ht="34" customHeight="1">
      <x:c r="A34" s="271" t="str">
        <x:v>EXT-MONDE-T029</x:v>
      </x:c>
      <x:c r="B34" s="272" t="str">
        <x:v>Pont routier à poutres</x:v>
      </x:c>
      <x:c r="C34" s="274" t="n">
        <x:v>50</x:v>
      </x:c>
      <x:c r="D34" s="274" t="n">
        <x:v>1700</x:v>
      </x:c>
      <x:c r="E34" s="274" t="n">
        <x:v>1700</x:v>
      </x:c>
      <x:c r="F34" s="274" t="n">
        <x:v>6250</x:v>
      </x:c>
      <x:c r="G34" s="274" t="n">
        <x:v>0</x:v>
      </x:c>
      <x:c r="H34" s="274" t="n">
        <x:v>13000</x:v>
      </x:c>
      <x:c r="I34" s="274" t="n">
        <x:v>0</x:v>
      </x:c>
      <x:c r="J34" s="274" t="n">
        <x:v>50</x:v>
      </x:c>
      <x:c r="K34" s="274" t="n">
        <x:v>50</x:v>
      </x:c>
      <x:c r="L34" s="274" t="n">
        <x:v>0</x:v>
      </x:c>
    </x:row>
    <x:row r="35" ht="34" customHeight="1">
      <x:c r="A35" s="271" t="str">
        <x:v>EXT-MONDE-T030</x:v>
      </x:c>
      <x:c r="B35" s="272" t="str">
        <x:v>Pont à arches</x:v>
      </x:c>
      <x:c r="C35" s="274" t="n">
        <x:v>50</x:v>
      </x:c>
      <x:c r="D35" s="274" t="n">
        <x:v>1700</x:v>
      </x:c>
      <x:c r="E35" s="274" t="n">
        <x:v>1700</x:v>
      </x:c>
      <x:c r="F35" s="274" t="n">
        <x:v>6250</x:v>
      </x:c>
      <x:c r="G35" s="274" t="n">
        <x:v>0</x:v>
      </x:c>
      <x:c r="H35" s="274" t="n">
        <x:v>13000</x:v>
      </x:c>
      <x:c r="I35" s="274" t="n">
        <x:v>0</x:v>
      </x:c>
      <x:c r="J35" s="274" t="n">
        <x:v>50</x:v>
      </x:c>
      <x:c r="K35" s="274" t="n">
        <x:v>50</x:v>
      </x:c>
      <x:c r="L35" s="274" t="n">
        <x:v>0</x:v>
      </x:c>
    </x:row>
    <x:row r="36" ht="34" customHeight="1">
      <x:c r="A36" s="271" t="str">
        <x:v>EXT-MONDE-T031</x:v>
      </x:c>
      <x:c r="B36" s="272" t="str">
        <x:v>Pont levant portuaire</x:v>
      </x:c>
      <x:c r="C36" s="274" t="n">
        <x:v>50</x:v>
      </x:c>
      <x:c r="D36" s="274" t="n">
        <x:v>1700</x:v>
      </x:c>
      <x:c r="E36" s="274" t="n">
        <x:v>1700</x:v>
      </x:c>
      <x:c r="F36" s="274" t="n">
        <x:v>6250</x:v>
      </x:c>
      <x:c r="G36" s="274" t="n">
        <x:v>0</x:v>
      </x:c>
      <x:c r="H36" s="274" t="n">
        <x:v>13000</x:v>
      </x:c>
      <x:c r="I36" s="274" t="n">
        <x:v>0</x:v>
      </x:c>
      <x:c r="J36" s="274" t="n">
        <x:v>50</x:v>
      </x:c>
      <x:c r="K36" s="274" t="n">
        <x:v>50</x:v>
      </x:c>
      <x:c r="L36" s="274" t="n">
        <x:v>0</x:v>
      </x:c>
    </x:row>
    <x:row r="37" ht="34" customHeight="1">
      <x:c r="A37" s="271" t="str">
        <x:v>EXT-MONDE-T032</x:v>
      </x:c>
      <x:c r="B37" s="272" t="str">
        <x:v>Viaduc ferroviaire</x:v>
      </x:c>
      <x:c r="C37" s="274" t="n">
        <x:v>50</x:v>
      </x:c>
      <x:c r="D37" s="274" t="n">
        <x:v>1700</x:v>
      </x:c>
      <x:c r="E37" s="274" t="n">
        <x:v>1700</x:v>
      </x:c>
      <x:c r="F37" s="274" t="n">
        <x:v>6250</x:v>
      </x:c>
      <x:c r="G37" s="274" t="n">
        <x:v>0</x:v>
      </x:c>
      <x:c r="H37" s="274" t="n">
        <x:v>13000</x:v>
      </x:c>
      <x:c r="I37" s="274" t="n">
        <x:v>0</x:v>
      </x:c>
      <x:c r="J37" s="274" t="n">
        <x:v>50</x:v>
      </x:c>
      <x:c r="K37" s="274" t="n">
        <x:v>50</x:v>
      </x:c>
      <x:c r="L37" s="274" t="n">
        <x:v>0</x:v>
      </x:c>
    </x:row>
    <x:row r="38" ht="34" customHeight="1">
      <x:c r="A38" s="271" t="str">
        <x:v>EXT-MONDE-T033</x:v>
      </x:c>
      <x:c r="B38" s="272" t="str">
        <x:v>Échangeur en losange</x:v>
      </x:c>
      <x:c r="C38" s="274" t="n">
        <x:v>50</x:v>
      </x:c>
      <x:c r="D38" s="274" t="n">
        <x:v>1700</x:v>
      </x:c>
      <x:c r="E38" s="274" t="n">
        <x:v>1700</x:v>
      </x:c>
      <x:c r="F38" s="274" t="n">
        <x:v>6250</x:v>
      </x:c>
      <x:c r="G38" s="274" t="n">
        <x:v>0</x:v>
      </x:c>
      <x:c r="H38" s="274" t="n">
        <x:v>13000</x:v>
      </x:c>
      <x:c r="I38" s="274" t="n">
        <x:v>0</x:v>
      </x:c>
      <x:c r="J38" s="274" t="n">
        <x:v>50</x:v>
      </x:c>
      <x:c r="K38" s="274" t="n">
        <x:v>50</x:v>
      </x:c>
      <x:c r="L38" s="274" t="n">
        <x:v>0</x:v>
      </x:c>
    </x:row>
    <x:row r="39" ht="34" customHeight="1">
      <x:c r="A39" s="271" t="str">
        <x:v>EXT-MONDE-T034</x:v>
      </x:c>
      <x:c r="B39" s="272" t="str">
        <x:v>Échangeur en trompette</x:v>
      </x:c>
      <x:c r="C39" s="274" t="n">
        <x:v>50</x:v>
      </x:c>
      <x:c r="D39" s="274" t="n">
        <x:v>1700</x:v>
      </x:c>
      <x:c r="E39" s="274" t="n">
        <x:v>1700</x:v>
      </x:c>
      <x:c r="F39" s="274" t="n">
        <x:v>6250</x:v>
      </x:c>
      <x:c r="G39" s="274" t="n">
        <x:v>0</x:v>
      </x:c>
      <x:c r="H39" s="274" t="n">
        <x:v>13000</x:v>
      </x:c>
      <x:c r="I39" s="274" t="n">
        <x:v>0</x:v>
      </x:c>
      <x:c r="J39" s="274" t="n">
        <x:v>50</x:v>
      </x:c>
      <x:c r="K39" s="274" t="n">
        <x:v>50</x:v>
      </x:c>
      <x:c r="L39" s="274" t="n">
        <x:v>0</x:v>
      </x:c>
    </x:row>
    <x:row r="40" ht="34" customHeight="1">
      <x:c r="A40" s="271" t="str">
        <x:v>EXT-MONDE-T035</x:v>
      </x:c>
      <x:c r="B40" s="272" t="str">
        <x:v>Trèfle autoroutier</x:v>
      </x:c>
      <x:c r="C40" s="274" t="n">
        <x:v>50</x:v>
      </x:c>
      <x:c r="D40" s="274" t="n">
        <x:v>1700</x:v>
      </x:c>
      <x:c r="E40" s="274" t="n">
        <x:v>1700</x:v>
      </x:c>
      <x:c r="F40" s="274" t="n">
        <x:v>6250</x:v>
      </x:c>
      <x:c r="G40" s="274" t="n">
        <x:v>0</x:v>
      </x:c>
      <x:c r="H40" s="274" t="n">
        <x:v>13000</x:v>
      </x:c>
      <x:c r="I40" s="274" t="n">
        <x:v>0</x:v>
      </x:c>
      <x:c r="J40" s="274" t="n">
        <x:v>50</x:v>
      </x:c>
      <x:c r="K40" s="274" t="n">
        <x:v>50</x:v>
      </x:c>
      <x:c r="L40" s="274" t="n">
        <x:v>0</x:v>
      </x:c>
    </x:row>
    <x:row r="41" ht="34" customHeight="1">
      <x:c r="A41" s="271" t="str">
        <x:v>EXT-MONDE-T036</x:v>
      </x:c>
      <x:c r="B41" s="272" t="str">
        <x:v>Échangeur directionnel</x:v>
      </x:c>
      <x:c r="C41" s="274" t="n">
        <x:v>50</x:v>
      </x:c>
      <x:c r="D41" s="274" t="n">
        <x:v>1700</x:v>
      </x:c>
      <x:c r="E41" s="274" t="n">
        <x:v>1700</x:v>
      </x:c>
      <x:c r="F41" s="274" t="n">
        <x:v>6250</x:v>
      </x:c>
      <x:c r="G41" s="274" t="n">
        <x:v>0</x:v>
      </x:c>
      <x:c r="H41" s="274" t="n">
        <x:v>13000</x:v>
      </x:c>
      <x:c r="I41" s="274" t="n">
        <x:v>0</x:v>
      </x:c>
      <x:c r="J41" s="274" t="n">
        <x:v>50</x:v>
      </x:c>
      <x:c r="K41" s="274" t="n">
        <x:v>50</x:v>
      </x:c>
      <x:c r="L41" s="274" t="n">
        <x:v>0</x:v>
      </x:c>
    </x:row>
    <x:row r="42" ht="34" customHeight="1">
      <x:c r="A42" s="271" t="str">
        <x:v>EXT-MONDE-T037</x:v>
      </x:c>
      <x:c r="B42" s="272" t="str">
        <x:v>Collecteur urbain</x:v>
      </x:c>
      <x:c r="C42" s="274" t="n">
        <x:v>50</x:v>
      </x:c>
      <x:c r="D42" s="274" t="n">
        <x:v>700</x:v>
      </x:c>
      <x:c r="E42" s="274" t="n">
        <x:v>700</x:v>
      </x:c>
      <x:c r="F42" s="274" t="n">
        <x:v>2600</x:v>
      </x:c>
      <x:c r="G42" s="274" t="n">
        <x:v>0</x:v>
      </x:c>
      <x:c r="H42" s="274" t="n">
        <x:v>6300</x:v>
      </x:c>
      <x:c r="I42" s="274" t="n">
        <x:v>100</x:v>
      </x:c>
      <x:c r="J42" s="274" t="n">
        <x:v>100</x:v>
      </x:c>
      <x:c r="K42" s="274" t="n">
        <x:v>50</x:v>
      </x:c>
      <x:c r="L42" s="274" t="n">
        <x:v>0</x:v>
      </x:c>
    </x:row>
    <x:row r="43" ht="34" customHeight="1">
      <x:c r="A43" s="271" t="str">
        <x:v>EXT-MONDE-T038</x:v>
      </x:c>
      <x:c r="B43" s="272" t="str">
        <x:v>Réseau unitaire ancien</x:v>
      </x:c>
      <x:c r="C43" s="274" t="n">
        <x:v>50</x:v>
      </x:c>
      <x:c r="D43" s="274" t="n">
        <x:v>1200</x:v>
      </x:c>
      <x:c r="E43" s="274" t="n">
        <x:v>1200</x:v>
      </x:c>
      <x:c r="F43" s="274" t="n">
        <x:v>4450</x:v>
      </x:c>
      <x:c r="G43" s="274" t="n">
        <x:v>0</x:v>
      </x:c>
      <x:c r="H43" s="274" t="n">
        <x:v>10350</x:v>
      </x:c>
      <x:c r="I43" s="274" t="n">
        <x:v>200</x:v>
      </x:c>
      <x:c r="J43" s="274" t="n">
        <x:v>150</x:v>
      </x:c>
      <x:c r="K43" s="274" t="n">
        <x:v>50</x:v>
      </x:c>
      <x:c r="L43" s="274" t="n">
        <x:v>0</x:v>
      </x:c>
    </x:row>
    <x:row r="44" ht="34" customHeight="1">
      <x:c r="A44" s="271" t="str">
        <x:v>EXT-MONDE-T039</x:v>
      </x:c>
      <x:c r="B44" s="272" t="str">
        <x:v>Galerie pluviale</x:v>
      </x:c>
      <x:c r="C44" s="274" t="n">
        <x:v>50</x:v>
      </x:c>
      <x:c r="D44" s="274" t="n">
        <x:v>600</x:v>
      </x:c>
      <x:c r="E44" s="274" t="n">
        <x:v>600</x:v>
      </x:c>
      <x:c r="F44" s="274" t="n">
        <x:v>2200</x:v>
      </x:c>
      <x:c r="G44" s="274" t="n">
        <x:v>0</x:v>
      </x:c>
      <x:c r="H44" s="274" t="n">
        <x:v>5700</x:v>
      </x:c>
      <x:c r="I44" s="274" t="n">
        <x:v>100</x:v>
      </x:c>
      <x:c r="J44" s="274" t="n">
        <x:v>100</x:v>
      </x:c>
      <x:c r="K44" s="274" t="n">
        <x:v>50</x:v>
      </x:c>
      <x:c r="L44" s="274" t="n">
        <x:v>0</x:v>
      </x:c>
    </x:row>
    <x:row r="45" ht="34" customHeight="1">
      <x:c r="A45" s="271" t="str">
        <x:v>EXT-MONDE-T040</x:v>
      </x:c>
      <x:c r="B45" s="272" t="str">
        <x:v>Station souterraine de relevage</x:v>
      </x:c>
      <x:c r="C45" s="274" t="n">
        <x:v>50</x:v>
      </x:c>
      <x:c r="D45" s="274" t="n">
        <x:v>1300</x:v>
      </x:c>
      <x:c r="E45" s="274" t="n">
        <x:v>1300</x:v>
      </x:c>
      <x:c r="F45" s="274" t="n">
        <x:v>4750</x:v>
      </x:c>
      <x:c r="G45" s="274" t="n">
        <x:v>0</x:v>
      </x:c>
      <x:c r="H45" s="274" t="n">
        <x:v>12000</x:v>
      </x:c>
      <x:c r="I45" s="274" t="n">
        <x:v>300</x:v>
      </x:c>
      <x:c r="J45" s="274" t="n">
        <x:v>200</x:v>
      </x:c>
      <x:c r="K45" s="274" t="n">
        <x:v>50</x:v>
      </x:c>
      <x:c r="L45" s="274" t="n">
        <x:v>0</x:v>
      </x:c>
    </x:row>
    <x:row r="46" ht="34" customHeight="1">
      <x:c r="A46" s="271" t="str">
        <x:v>EXT-MONDE-T041</x:v>
      </x:c>
      <x:c r="B46" s="272" t="str">
        <x:v>Barre HLM</x:v>
      </x:c>
      <x:c r="C46" s="274" t="n">
        <x:v>50</x:v>
      </x:c>
      <x:c r="D46" s="274" t="n">
        <x:v>7600</x:v>
      </x:c>
      <x:c r="E46" s="274" t="n">
        <x:v>7600</x:v>
      </x:c>
      <x:c r="F46" s="274" t="n">
        <x:v>26600</x:v>
      </x:c>
      <x:c r="G46" s="274" t="n">
        <x:v>0</x:v>
      </x:c>
      <x:c r="H46" s="274" t="n">
        <x:v>56800</x:v>
      </x:c>
      <x:c r="I46" s="274" t="n">
        <x:v>250</x:v>
      </x:c>
      <x:c r="J46" s="274" t="n">
        <x:v>300</x:v>
      </x:c>
      <x:c r="K46" s="274" t="n">
        <x:v>50</x:v>
      </x:c>
      <x:c r="L46" s="274" t="n">
        <x:v>0</x:v>
      </x:c>
    </x:row>
    <x:row r="47" ht="34" customHeight="1">
      <x:c r="A47" s="271" t="str">
        <x:v>EXT-MONDE-T042</x:v>
      </x:c>
      <x:c r="B47" s="272" t="str">
        <x:v>Tour HLM</x:v>
      </x:c>
      <x:c r="C47" s="274" t="n">
        <x:v>50</x:v>
      </x:c>
      <x:c r="D47" s="274" t="n">
        <x:v>10900</x:v>
      </x:c>
      <x:c r="E47" s="274" t="n">
        <x:v>10900</x:v>
      </x:c>
      <x:c r="F47" s="274" t="n">
        <x:v>38150</x:v>
      </x:c>
      <x:c r="G47" s="274" t="n">
        <x:v>0</x:v>
      </x:c>
      <x:c r="H47" s="274" t="n">
        <x:v>81850</x:v>
      </x:c>
      <x:c r="I47" s="274" t="n">
        <x:v>450</x:v>
      </x:c>
      <x:c r="J47" s="274" t="n">
        <x:v>500</x:v>
      </x:c>
      <x:c r="K47" s="274" t="n">
        <x:v>50</x:v>
      </x:c>
      <x:c r="L47" s="274" t="n">
        <x:v>0</x:v>
      </x:c>
    </x:row>
    <x:row r="48" ht="34" customHeight="1">
      <x:c r="A48" s="271" t="str">
        <x:v>EXT-MONDE-T043</x:v>
      </x:c>
      <x:c r="B48" s="272" t="str">
        <x:v>Résidence en cour</x:v>
      </x:c>
      <x:c r="C48" s="274" t="n">
        <x:v>50</x:v>
      </x:c>
      <x:c r="D48" s="274" t="n">
        <x:v>12250</x:v>
      </x:c>
      <x:c r="E48" s="274" t="n">
        <x:v>12250</x:v>
      </x:c>
      <x:c r="F48" s="274" t="n">
        <x:v>42875</x:v>
      </x:c>
      <x:c r="G48" s="274" t="n">
        <x:v>0</x:v>
      </x:c>
      <x:c r="H48" s="274" t="n">
        <x:v>92750</x:v>
      </x:c>
      <x:c r="I48" s="274" t="n">
        <x:v>500</x:v>
      </x:c>
      <x:c r="J48" s="274" t="n">
        <x:v>290</x:v>
      </x:c>
      <x:c r="K48" s="274" t="n">
        <x:v>50</x:v>
      </x:c>
      <x:c r="L48" s="274" t="n">
        <x:v>0</x:v>
      </x:c>
    </x:row>
    <x:row r="49" ht="34" customHeight="1">
      <x:c r="A49" s="271" t="str">
        <x:v>EXT-MONDE-T044</x:v>
      </x:c>
      <x:c r="B49" s="272" t="str">
        <x:v>Ensemble HLM mixte</x:v>
      </x:c>
      <x:c r="C49" s="274" t="n">
        <x:v>50</x:v>
      </x:c>
      <x:c r="D49" s="274" t="n">
        <x:v>14320</x:v>
      </x:c>
      <x:c r="E49" s="274" t="n">
        <x:v>14320</x:v>
      </x:c>
      <x:c r="F49" s="274" t="n">
        <x:v>50170</x:v>
      </x:c>
      <x:c r="G49" s="274" t="n">
        <x:v>0</x:v>
      </x:c>
      <x:c r="H49" s="274" t="n">
        <x:v>107970</x:v>
      </x:c>
      <x:c r="I49" s="274" t="n">
        <x:v>580</x:v>
      </x:c>
      <x:c r="J49" s="274" t="n">
        <x:v>390</x:v>
      </x:c>
      <x:c r="K49" s="274" t="n">
        <x:v>50</x:v>
      </x:c>
      <x:c r="L49" s="274" t="n">
        <x:v>0</x:v>
      </x:c>
    </x:row>
    <x:row r="50" ht="34" customHeight="1">
      <x:c r="A50" s="271" t="str">
        <x:v>EXT-MONDE-T045</x:v>
      </x:c>
      <x:c r="B50" s="272" t="str">
        <x:v>Parc résidentiel de mobil-homes</x:v>
      </x:c>
      <x:c r="C50" s="274" t="n">
        <x:v>50</x:v>
      </x:c>
      <x:c r="D50" s="274" t="n">
        <x:v>2460</x:v>
      </x:c>
      <x:c r="E50" s="274" t="n">
        <x:v>2460</x:v>
      </x:c>
      <x:c r="F50" s="274" t="n">
        <x:v>8970</x:v>
      </x:c>
      <x:c r="G50" s="274" t="n">
        <x:v>0</x:v>
      </x:c>
      <x:c r="H50" s="274" t="n">
        <x:v>17980</x:v>
      </x:c>
      <x:c r="I50" s="274" t="n">
        <x:v>0</x:v>
      </x:c>
      <x:c r="J50" s="274" t="n">
        <x:v>50</x:v>
      </x:c>
      <x:c r="K50" s="274" t="n">
        <x:v>50</x:v>
      </x:c>
      <x:c r="L50" s="274" t="n">
        <x:v>0</x:v>
      </x:c>
    </x:row>
    <x:row r="51" ht="34" customHeight="1">
      <x:c r="A51" s="271" t="str">
        <x:v>EXT-MONDE-T046</x:v>
      </x:c>
      <x:c r="B51" s="272" t="str">
        <x:v>Camping caravanes</x:v>
      </x:c>
      <x:c r="C51" s="274" t="n">
        <x:v>50</x:v>
      </x:c>
      <x:c r="D51" s="274" t="n">
        <x:v>900</x:v>
      </x:c>
      <x:c r="E51" s="274" t="n">
        <x:v>900</x:v>
      </x:c>
      <x:c r="F51" s="274" t="n">
        <x:v>3300</x:v>
      </x:c>
      <x:c r="G51" s="274" t="n">
        <x:v>0</x:v>
      </x:c>
      <x:c r="H51" s="274" t="n">
        <x:v>6800</x:v>
      </x:c>
      <x:c r="I51" s="274" t="n">
        <x:v>0</x:v>
      </x:c>
      <x:c r="J51" s="274" t="n">
        <x:v>50</x:v>
      </x:c>
      <x:c r="K51" s="274" t="n">
        <x:v>50</x:v>
      </x:c>
      <x:c r="L51" s="274" t="n">
        <x:v>0</x:v>
      </x:c>
    </x:row>
    <x:row r="52" ht="34" customHeight="1">
      <x:c r="A52" s="271" t="str">
        <x:v>EXT-MONDE-T047</x:v>
      </x:c>
      <x:c r="B52" s="272" t="str">
        <x:v>Camp de travailleurs</x:v>
      </x:c>
      <x:c r="C52" s="274" t="n">
        <x:v>50</x:v>
      </x:c>
      <x:c r="D52" s="274" t="n">
        <x:v>2560</x:v>
      </x:c>
      <x:c r="E52" s="274" t="n">
        <x:v>2560</x:v>
      </x:c>
      <x:c r="F52" s="274" t="n">
        <x:v>8440</x:v>
      </x:c>
      <x:c r="G52" s="274" t="n">
        <x:v>0</x:v>
      </x:c>
      <x:c r="H52" s="274" t="n">
        <x:v>18580</x:v>
      </x:c>
      <x:c r="I52" s="274" t="n">
        <x:v>0</x:v>
      </x:c>
      <x:c r="J52" s="274" t="n">
        <x:v>50</x:v>
      </x:c>
      <x:c r="K52" s="274" t="n">
        <x:v>50</x:v>
      </x:c>
      <x:c r="L52" s="274" t="n">
        <x:v>0</x:v>
      </x:c>
    </x:row>
    <x:row r="53" ht="34" customHeight="1">
      <x:c r="A53" s="271" t="str">
        <x:v>EXT-MONDE-T048</x:v>
      </x:c>
      <x:c r="B53" s="272" t="str">
        <x:v>Parc de caravanes abandonné</x:v>
      </x:c>
      <x:c r="C53" s="274" t="n">
        <x:v>50</x:v>
      </x:c>
      <x:c r="D53" s="274" t="n">
        <x:v>1290</x:v>
      </x:c>
      <x:c r="E53" s="274" t="n">
        <x:v>1290</x:v>
      </x:c>
      <x:c r="F53" s="274" t="n">
        <x:v>4730</x:v>
      </x:c>
      <x:c r="G53" s="274" t="n">
        <x:v>0</x:v>
      </x:c>
      <x:c r="H53" s="274" t="n">
        <x:v>9595</x:v>
      </x:c>
      <x:c r="I53" s="274" t="n">
        <x:v>0</x:v>
      </x:c>
      <x:c r="J53" s="274" t="n">
        <x:v>50</x:v>
      </x:c>
      <x:c r="K53" s="274" t="n">
        <x:v>50</x:v>
      </x:c>
      <x:c r="L53" s="274" t="n">
        <x:v>0</x:v>
      </x:c>
    </x:row>
    <x:row r="54" ht="34" customHeight="1">
      <x:c r="A54" s="271" t="str">
        <x:v>EXT-MONDE-T049</x:v>
      </x:c>
      <x:c r="B54" s="272" t="str">
        <x:v>Parc familial</x:v>
      </x:c>
      <x:c r="C54" s="274" t="n">
        <x:v>50</x:v>
      </x:c>
      <x:c r="D54" s="274" t="n">
        <x:v>1600</x:v>
      </x:c>
      <x:c r="E54" s="274" t="n">
        <x:v>1600</x:v>
      </x:c>
      <x:c r="F54" s="274" t="n">
        <x:v>6000</x:v>
      </x:c>
      <x:c r="G54" s="274" t="n">
        <x:v>0</x:v>
      </x:c>
      <x:c r="H54" s="274" t="n">
        <x:v>12400</x:v>
      </x:c>
      <x:c r="I54" s="274" t="n">
        <x:v>0</x:v>
      </x:c>
      <x:c r="J54" s="274" t="n">
        <x:v>50</x:v>
      </x:c>
      <x:c r="K54" s="274" t="n">
        <x:v>50</x:v>
      </x:c>
      <x:c r="L54" s="274" t="n">
        <x:v>0</x:v>
      </x:c>
    </x:row>
    <x:row r="55" ht="34" customHeight="1">
      <x:c r="A55" s="271" t="str">
        <x:v>EXT-MONDE-T050</x:v>
      </x:c>
      <x:c r="B55" s="272" t="str">
        <x:v>Parc à sensations</x:v>
      </x:c>
      <x:c r="C55" s="274" t="n">
        <x:v>50</x:v>
      </x:c>
      <x:c r="D55" s="274" t="n">
        <x:v>1600</x:v>
      </x:c>
      <x:c r="E55" s="274" t="n">
        <x:v>1600</x:v>
      </x:c>
      <x:c r="F55" s="274" t="n">
        <x:v>6000</x:v>
      </x:c>
      <x:c r="G55" s="274" t="n">
        <x:v>0</x:v>
      </x:c>
      <x:c r="H55" s="274" t="n">
        <x:v>12400</x:v>
      </x:c>
      <x:c r="I55" s="274" t="n">
        <x:v>0</x:v>
      </x:c>
      <x:c r="J55" s="274" t="n">
        <x:v>50</x:v>
      </x:c>
      <x:c r="K55" s="274" t="n">
        <x:v>50</x:v>
      </x:c>
      <x:c r="L55" s="274" t="n">
        <x:v>0</x:v>
      </x:c>
    </x:row>
    <x:row r="56" ht="34" customHeight="1">
      <x:c r="A56" s="271" t="str">
        <x:v>EXT-MONDE-T051</x:v>
      </x:c>
      <x:c r="B56" s="272" t="str">
        <x:v>Parc aquatique</x:v>
      </x:c>
      <x:c r="C56" s="274" t="n">
        <x:v>50</x:v>
      </x:c>
      <x:c r="D56" s="274" t="n">
        <x:v>1600</x:v>
      </x:c>
      <x:c r="E56" s="274" t="n">
        <x:v>1600</x:v>
      </x:c>
      <x:c r="F56" s="274" t="n">
        <x:v>6050</x:v>
      </x:c>
      <x:c r="G56" s="274" t="n">
        <x:v>0</x:v>
      </x:c>
      <x:c r="H56" s="274" t="n">
        <x:v>12400</x:v>
      </x:c>
      <x:c r="I56" s="274" t="n">
        <x:v>0</x:v>
      </x:c>
      <x:c r="J56" s="274" t="n">
        <x:v>50</x:v>
      </x:c>
      <x:c r="K56" s="274" t="n">
        <x:v>50</x:v>
      </x:c>
      <x:c r="L56" s="274" t="n">
        <x:v>0</x:v>
      </x:c>
    </x:row>
    <x:row r="57" ht="34" customHeight="1">
      <x:c r="A57" s="271" t="str">
        <x:v>EXT-MONDE-T052</x:v>
      </x:c>
      <x:c r="B57" s="272" t="str">
        <x:v>Parc thématique abandonné</x:v>
      </x:c>
      <x:c r="C57" s="274" t="n">
        <x:v>50</x:v>
      </x:c>
      <x:c r="D57" s="274" t="n">
        <x:v>1600</x:v>
      </x:c>
      <x:c r="E57" s="274" t="n">
        <x:v>1600</x:v>
      </x:c>
      <x:c r="F57" s="274" t="n">
        <x:v>6000</x:v>
      </x:c>
      <x:c r="G57" s="274" t="n">
        <x:v>0</x:v>
      </x:c>
      <x:c r="H57" s="274" t="n">
        <x:v>12400</x:v>
      </x:c>
      <x:c r="I57" s="274" t="n">
        <x:v>0</x:v>
      </x:c>
      <x:c r="J57" s="274" t="n">
        <x:v>50</x:v>
      </x:c>
      <x:c r="K57" s="274" t="n">
        <x:v>50</x:v>
      </x:c>
      <x:c r="L57" s="274" t="n">
        <x:v>0</x:v>
      </x:c>
    </x:row>
    <x:row r="58" ht="34" customHeight="1">
      <x:c r="A58" s="271" t="str">
        <x:v>EXT-MONDE-T053</x:v>
      </x:c>
      <x:c r="B58" s="272" t="str">
        <x:v>Usine agroalimentaire</x:v>
      </x:c>
      <x:c r="C58" s="274" t="n">
        <x:v>50</x:v>
      </x:c>
      <x:c r="D58" s="274" t="n">
        <x:v>1900</x:v>
      </x:c>
      <x:c r="E58" s="274" t="n">
        <x:v>1900</x:v>
      </x:c>
      <x:c r="F58" s="274" t="n">
        <x:v>6850</x:v>
      </x:c>
      <x:c r="G58" s="274" t="n">
        <x:v>0</x:v>
      </x:c>
      <x:c r="H58" s="274" t="n">
        <x:v>14550</x:v>
      </x:c>
      <x:c r="I58" s="274" t="n">
        <x:v>0</x:v>
      </x:c>
      <x:c r="J58" s="274" t="n">
        <x:v>50</x:v>
      </x:c>
      <x:c r="K58" s="274" t="n">
        <x:v>50</x:v>
      </x:c>
      <x:c r="L58" s="274" t="n">
        <x:v>0</x:v>
      </x:c>
    </x:row>
    <x:row r="59" ht="34" customHeight="1">
      <x:c r="A59" s="271" t="str">
        <x:v>EXT-MONDE-T054</x:v>
      </x:c>
      <x:c r="B59" s="272" t="str">
        <x:v>Usine de mécanique</x:v>
      </x:c>
      <x:c r="C59" s="274" t="n">
        <x:v>50</x:v>
      </x:c>
      <x:c r="D59" s="274" t="n">
        <x:v>2000</x:v>
      </x:c>
      <x:c r="E59" s="274" t="n">
        <x:v>2000</x:v>
      </x:c>
      <x:c r="F59" s="274" t="n">
        <x:v>7500</x:v>
      </x:c>
      <x:c r="G59" s="274" t="n">
        <x:v>0</x:v>
      </x:c>
      <x:c r="H59" s="274" t="n">
        <x:v>15150</x:v>
      </x:c>
      <x:c r="I59" s="274" t="n">
        <x:v>0</x:v>
      </x:c>
      <x:c r="J59" s="274" t="n">
        <x:v>50</x:v>
      </x:c>
      <x:c r="K59" s="274" t="n">
        <x:v>50</x:v>
      </x:c>
      <x:c r="L59" s="274" t="n">
        <x:v>0</x:v>
      </x:c>
    </x:row>
    <x:row r="60" ht="34" customHeight="1">
      <x:c r="A60" s="271" t="str">
        <x:v>EXT-MONDE-T055</x:v>
      </x:c>
      <x:c r="B60" s="272" t="str">
        <x:v>Usine textile</x:v>
      </x:c>
      <x:c r="C60" s="274" t="n">
        <x:v>50</x:v>
      </x:c>
      <x:c r="D60" s="274" t="n">
        <x:v>2000</x:v>
      </x:c>
      <x:c r="E60" s="274" t="n">
        <x:v>2000</x:v>
      </x:c>
      <x:c r="F60" s="274" t="n">
        <x:v>7350</x:v>
      </x:c>
      <x:c r="G60" s="274" t="n">
        <x:v>0</x:v>
      </x:c>
      <x:c r="H60" s="274" t="n">
        <x:v>15150</x:v>
      </x:c>
      <x:c r="I60" s="274" t="n">
        <x:v>0</x:v>
      </x:c>
      <x:c r="J60" s="274" t="n">
        <x:v>50</x:v>
      </x:c>
      <x:c r="K60" s="274" t="n">
        <x:v>50</x:v>
      </x:c>
      <x:c r="L60" s="274" t="n">
        <x:v>0</x:v>
      </x:c>
    </x:row>
    <x:row r="61" ht="34" customHeight="1">
      <x:c r="A61" s="271" t="str">
        <x:v>EXT-MONDE-T056</x:v>
      </x:c>
      <x:c r="B61" s="272" t="str">
        <x:v>Usine de matériaux</x:v>
      </x:c>
      <x:c r="C61" s="274" t="n">
        <x:v>50</x:v>
      </x:c>
      <x:c r="D61" s="274" t="n">
        <x:v>2000</x:v>
      </x:c>
      <x:c r="E61" s="274" t="n">
        <x:v>2000</x:v>
      </x:c>
      <x:c r="F61" s="274" t="n">
        <x:v>7350</x:v>
      </x:c>
      <x:c r="G61" s="274" t="n">
        <x:v>0</x:v>
      </x:c>
      <x:c r="H61" s="274" t="n">
        <x:v>15150</x:v>
      </x:c>
      <x:c r="I61" s="274" t="n">
        <x:v>0</x:v>
      </x:c>
      <x:c r="J61" s="274" t="n">
        <x:v>50</x:v>
      </x:c>
      <x:c r="K61" s="274" t="n">
        <x:v>50</x:v>
      </x:c>
      <x:c r="L61" s="274" t="n">
        <x:v>0</x:v>
      </x:c>
    </x:row>
    <x:row r="62" ht="34" customHeight="1">
      <x:c r="A62" s="271" t="str">
        <x:v>EXT-MONDE-T057</x:v>
      </x:c>
      <x:c r="B62" s="272" t="str">
        <x:v>Centrale thermique</x:v>
      </x:c>
      <x:c r="C62" s="274" t="n">
        <x:v>50</x:v>
      </x:c>
      <x:c r="D62" s="274" t="n">
        <x:v>1100</x:v>
      </x:c>
      <x:c r="E62" s="274" t="n">
        <x:v>1100</x:v>
      </x:c>
      <x:c r="F62" s="274" t="n">
        <x:v>4000</x:v>
      </x:c>
      <x:c r="G62" s="274" t="n">
        <x:v>0</x:v>
      </x:c>
      <x:c r="H62" s="274" t="n">
        <x:v>8350</x:v>
      </x:c>
      <x:c r="I62" s="274" t="n">
        <x:v>0</x:v>
      </x:c>
      <x:c r="J62" s="274" t="n">
        <x:v>50</x:v>
      </x:c>
      <x:c r="K62" s="274" t="n">
        <x:v>50</x:v>
      </x:c>
      <x:c r="L62" s="274" t="n">
        <x:v>0</x:v>
      </x:c>
    </x:row>
    <x:row r="63" ht="34" customHeight="1">
      <x:c r="A63" s="271" t="str">
        <x:v>EXT-MONDE-T058</x:v>
      </x:c>
      <x:c r="B63" s="272" t="str">
        <x:v>Centrale hydroélectrique</x:v>
      </x:c>
      <x:c r="C63" s="274" t="n">
        <x:v>50</x:v>
      </x:c>
      <x:c r="D63" s="274" t="n">
        <x:v>1100</x:v>
      </x:c>
      <x:c r="E63" s="274" t="n">
        <x:v>1100</x:v>
      </x:c>
      <x:c r="F63" s="274" t="n">
        <x:v>4000</x:v>
      </x:c>
      <x:c r="G63" s="274" t="n">
        <x:v>0</x:v>
      </x:c>
      <x:c r="H63" s="274" t="n">
        <x:v>8350</x:v>
      </x:c>
      <x:c r="I63" s="274" t="n">
        <x:v>0</x:v>
      </x:c>
      <x:c r="J63" s="274" t="n">
        <x:v>50</x:v>
      </x:c>
      <x:c r="K63" s="274" t="n">
        <x:v>50</x:v>
      </x:c>
      <x:c r="L63" s="274" t="n">
        <x:v>0</x:v>
      </x:c>
    </x:row>
    <x:row r="64" ht="34" customHeight="1">
      <x:c r="A64" s="271" t="str">
        <x:v>EXT-MONDE-T059</x:v>
      </x:c>
      <x:c r="B64" s="272" t="str">
        <x:v>Poste électrique régional</x:v>
      </x:c>
      <x:c r="C64" s="274" t="n">
        <x:v>50</x:v>
      </x:c>
      <x:c r="D64" s="274" t="n">
        <x:v>1100</x:v>
      </x:c>
      <x:c r="E64" s="274" t="n">
        <x:v>1100</x:v>
      </x:c>
      <x:c r="F64" s="274" t="n">
        <x:v>3950</x:v>
      </x:c>
      <x:c r="G64" s="274" t="n">
        <x:v>0</x:v>
      </x:c>
      <x:c r="H64" s="274" t="n">
        <x:v>8350</x:v>
      </x:c>
      <x:c r="I64" s="274" t="n">
        <x:v>0</x:v>
      </x:c>
      <x:c r="J64" s="274" t="n">
        <x:v>50</x:v>
      </x:c>
      <x:c r="K64" s="274" t="n">
        <x:v>50</x:v>
      </x:c>
      <x:c r="L64" s="274" t="n">
        <x:v>0</x:v>
      </x:c>
    </x:row>
    <x:row r="65" ht="34" customHeight="1">
      <x:c r="A65" s="271" t="str">
        <x:v>EXT-MONDE-T060</x:v>
      </x:c>
      <x:c r="B65" s="272" t="str">
        <x:v>Champ d’éoliennes</x:v>
      </x:c>
      <x:c r="C65" s="274" t="n">
        <x:v>50</x:v>
      </x:c>
      <x:c r="D65" s="274" t="n">
        <x:v>600</x:v>
      </x:c>
      <x:c r="E65" s="274" t="n">
        <x:v>600</x:v>
      </x:c>
      <x:c r="F65" s="274" t="n">
        <x:v>2200</x:v>
      </x:c>
      <x:c r="G65" s="274" t="n">
        <x:v>0</x:v>
      </x:c>
      <x:c r="H65" s="274" t="n">
        <x:v>4650</x:v>
      </x:c>
      <x:c r="I65" s="274" t="n">
        <x:v>0</x:v>
      </x:c>
      <x:c r="J65" s="274" t="n">
        <x:v>50</x:v>
      </x:c>
      <x:c r="K65" s="274" t="n">
        <x:v>50</x:v>
      </x:c>
      <x:c r="L65" s="274" t="n">
        <x:v>0</x:v>
      </x:c>
    </x:row>
    <x:row r="66" ht="34" customHeight="1">
      <x:c r="A66" s="271" t="str">
        <x:v>EXT-MONDE-T061</x:v>
      </x:c>
      <x:c r="B66" s="272" t="str">
        <x:v>Station d’épuration urbaine</x:v>
      </x:c>
      <x:c r="C66" s="274" t="n">
        <x:v>50</x:v>
      </x:c>
      <x:c r="D66" s="274" t="n">
        <x:v>1100</x:v>
      </x:c>
      <x:c r="E66" s="274" t="n">
        <x:v>1100</x:v>
      </x:c>
      <x:c r="F66" s="274" t="n">
        <x:v>4050</x:v>
      </x:c>
      <x:c r="G66" s="274" t="n">
        <x:v>0</x:v>
      </x:c>
      <x:c r="H66" s="274" t="n">
        <x:v>8350</x:v>
      </x:c>
      <x:c r="I66" s="274" t="n">
        <x:v>0</x:v>
      </x:c>
      <x:c r="J66" s="274" t="n">
        <x:v>50</x:v>
      </x:c>
      <x:c r="K66" s="274" t="n">
        <x:v>50</x:v>
      </x:c>
      <x:c r="L66" s="274" t="n">
        <x:v>0</x:v>
      </x:c>
    </x:row>
    <x:row r="67" ht="34" customHeight="1">
      <x:c r="A67" s="271" t="str">
        <x:v>EXT-MONDE-T062</x:v>
      </x:c>
      <x:c r="B67" s="272" t="str">
        <x:v>Station de lagunage</x:v>
      </x:c>
      <x:c r="C67" s="274" t="n">
        <x:v>50</x:v>
      </x:c>
      <x:c r="D67" s="274" t="n">
        <x:v>1100</x:v>
      </x:c>
      <x:c r="E67" s="274" t="n">
        <x:v>1100</x:v>
      </x:c>
      <x:c r="F67" s="274" t="n">
        <x:v>4000</x:v>
      </x:c>
      <x:c r="G67" s="274" t="n">
        <x:v>0</x:v>
      </x:c>
      <x:c r="H67" s="274" t="n">
        <x:v>8350</x:v>
      </x:c>
      <x:c r="I67" s="274" t="n">
        <x:v>0</x:v>
      </x:c>
      <x:c r="J67" s="274" t="n">
        <x:v>50</x:v>
      </x:c>
      <x:c r="K67" s="274" t="n">
        <x:v>50</x:v>
      </x:c>
      <x:c r="L67" s="274" t="n">
        <x:v>0</x:v>
      </x:c>
    </x:row>
    <x:row r="68" ht="34" customHeight="1">
      <x:c r="A68" s="271" t="str">
        <x:v>EXT-MONDE-T063</x:v>
      </x:c>
      <x:c r="B68" s="272" t="str">
        <x:v>Traitement des eaux industrielles</x:v>
      </x:c>
      <x:c r="C68" s="274" t="n">
        <x:v>50</x:v>
      </x:c>
      <x:c r="D68" s="274" t="n">
        <x:v>1100</x:v>
      </x:c>
      <x:c r="E68" s="274" t="n">
        <x:v>1100</x:v>
      </x:c>
      <x:c r="F68" s="274" t="n">
        <x:v>4050</x:v>
      </x:c>
      <x:c r="G68" s="274" t="n">
        <x:v>0</x:v>
      </x:c>
      <x:c r="H68" s="274" t="n">
        <x:v>8350</x:v>
      </x:c>
      <x:c r="I68" s="274" t="n">
        <x:v>0</x:v>
      </x:c>
      <x:c r="J68" s="274" t="n">
        <x:v>50</x:v>
      </x:c>
      <x:c r="K68" s="274" t="n">
        <x:v>50</x:v>
      </x:c>
      <x:c r="L68" s="274" t="n">
        <x:v>0</x:v>
      </x:c>
    </x:row>
    <x:row r="69" ht="34" customHeight="1">
      <x:c r="A69" s="271" t="str">
        <x:v>EXT-MONDE-T064</x:v>
      </x:c>
      <x:c r="B69" s="272" t="str">
        <x:v>Usine de potabilisation</x:v>
      </x:c>
      <x:c r="C69" s="274" t="n">
        <x:v>50</x:v>
      </x:c>
      <x:c r="D69" s="274" t="n">
        <x:v>1100</x:v>
      </x:c>
      <x:c r="E69" s="274" t="n">
        <x:v>1100</x:v>
      </x:c>
      <x:c r="F69" s="274" t="n">
        <x:v>4050</x:v>
      </x:c>
      <x:c r="G69" s="274" t="n">
        <x:v>0</x:v>
      </x:c>
      <x:c r="H69" s="274" t="n">
        <x:v>8350</x:v>
      </x:c>
      <x:c r="I69" s="274" t="n">
        <x:v>0</x:v>
      </x:c>
      <x:c r="J69" s="274" t="n">
        <x:v>50</x:v>
      </x:c>
      <x:c r="K69" s="274" t="n">
        <x:v>50</x:v>
      </x:c>
      <x:c r="L69" s="274" t="n">
        <x:v>0</x:v>
      </x:c>
    </x:row>
    <x:row r="70" ht="34" customHeight="1">
      <x:c r="A70" s="271" t="str">
        <x:v>EXT-MONDE-T065</x:v>
      </x:c>
      <x:c r="B70" s="272" t="str">
        <x:v>Stade municipal</x:v>
      </x:c>
      <x:c r="C70" s="274" t="n">
        <x:v>50</x:v>
      </x:c>
      <x:c r="D70" s="274" t="n">
        <x:v>2000</x:v>
      </x:c>
      <x:c r="E70" s="274" t="n">
        <x:v>2000</x:v>
      </x:c>
      <x:c r="F70" s="274" t="n">
        <x:v>7250</x:v>
      </x:c>
      <x:c r="G70" s="274" t="n">
        <x:v>0</x:v>
      </x:c>
      <x:c r="H70" s="274" t="n">
        <x:v>15500</x:v>
      </x:c>
      <x:c r="I70" s="274" t="n">
        <x:v>0</x:v>
      </x:c>
      <x:c r="J70" s="274" t="n">
        <x:v>50</x:v>
      </x:c>
      <x:c r="K70" s="274" t="n">
        <x:v>50</x:v>
      </x:c>
      <x:c r="L70" s="274" t="n">
        <x:v>0</x:v>
      </x:c>
    </x:row>
    <x:row r="71" ht="34" customHeight="1">
      <x:c r="A71" s="271" t="str">
        <x:v>EXT-MONDE-T066</x:v>
      </x:c>
      <x:c r="B71" s="272" t="str">
        <x:v>Grand stade couvert</x:v>
      </x:c>
      <x:c r="C71" s="274" t="n">
        <x:v>50</x:v>
      </x:c>
      <x:c r="D71" s="274" t="n">
        <x:v>2000</x:v>
      </x:c>
      <x:c r="E71" s="274" t="n">
        <x:v>2000</x:v>
      </x:c>
      <x:c r="F71" s="274" t="n">
        <x:v>7250</x:v>
      </x:c>
      <x:c r="G71" s="274" t="n">
        <x:v>0</x:v>
      </x:c>
      <x:c r="H71" s="274" t="n">
        <x:v>15500</x:v>
      </x:c>
      <x:c r="I71" s="274" t="n">
        <x:v>0</x:v>
      </x:c>
      <x:c r="J71" s="274" t="n">
        <x:v>50</x:v>
      </x:c>
      <x:c r="K71" s="274" t="n">
        <x:v>50</x:v>
      </x:c>
      <x:c r="L71" s="274" t="n">
        <x:v>0</x:v>
      </x:c>
    </x:row>
    <x:row r="72" ht="34" customHeight="1">
      <x:c r="A72" s="271" t="str">
        <x:v>EXT-MONDE-T067</x:v>
      </x:c>
      <x:c r="B72" s="272" t="str">
        <x:v>Vélodrome</x:v>
      </x:c>
      <x:c r="C72" s="274" t="n">
        <x:v>50</x:v>
      </x:c>
      <x:c r="D72" s="274" t="n">
        <x:v>1600</x:v>
      </x:c>
      <x:c r="E72" s="274" t="n">
        <x:v>1600</x:v>
      </x:c>
      <x:c r="F72" s="274" t="n">
        <x:v>5900</x:v>
      </x:c>
      <x:c r="G72" s="274" t="n">
        <x:v>0</x:v>
      </x:c>
      <x:c r="H72" s="274" t="n">
        <x:v>12400</x:v>
      </x:c>
      <x:c r="I72" s="274" t="n">
        <x:v>0</x:v>
      </x:c>
      <x:c r="J72" s="274" t="n">
        <x:v>50</x:v>
      </x:c>
      <x:c r="K72" s="274" t="n">
        <x:v>50</x:v>
      </x:c>
      <x:c r="L72" s="274" t="n">
        <x:v>0</x:v>
      </x:c>
    </x:row>
    <x:row r="73" ht="34" customHeight="1">
      <x:c r="A73" s="271" t="str">
        <x:v>EXT-MONDE-T068</x:v>
      </x:c>
      <x:c r="B73" s="272" t="str">
        <x:v>Complexe sportif</x:v>
      </x:c>
      <x:c r="C73" s="274" t="n">
        <x:v>50</x:v>
      </x:c>
      <x:c r="D73" s="274" t="n">
        <x:v>1600</x:v>
      </x:c>
      <x:c r="E73" s="274" t="n">
        <x:v>1600</x:v>
      </x:c>
      <x:c r="F73" s="274" t="n">
        <x:v>5800</x:v>
      </x:c>
      <x:c r="G73" s="274" t="n">
        <x:v>0</x:v>
      </x:c>
      <x:c r="H73" s="274" t="n">
        <x:v>12400</x:v>
      </x:c>
      <x:c r="I73" s="274" t="n">
        <x:v>0</x:v>
      </x:c>
      <x:c r="J73" s="274" t="n">
        <x:v>50</x:v>
      </x:c>
      <x:c r="K73" s="274" t="n">
        <x:v>50</x:v>
      </x:c>
      <x:c r="L73" s="274" t="n">
        <x:v>0</x:v>
      </x:c>
    </x:row>
    <x:row r="74" ht="34" customHeight="1">
      <x:c r="A74" s="271" t="str">
        <x:v>EXT-MONDE-T069</x:v>
      </x:c>
      <x:c r="B74" s="272" t="str">
        <x:v>Aérodrome régional</x:v>
      </x:c>
      <x:c r="C74" s="274" t="n">
        <x:v>50</x:v>
      </x:c>
      <x:c r="D74" s="274" t="n">
        <x:v>1800</x:v>
      </x:c>
      <x:c r="E74" s="274" t="n">
        <x:v>1800</x:v>
      </x:c>
      <x:c r="F74" s="274" t="n">
        <x:v>6650</x:v>
      </x:c>
      <x:c r="G74" s="274" t="n">
        <x:v>0</x:v>
      </x:c>
      <x:c r="H74" s="274" t="n">
        <x:v>13250</x:v>
      </x:c>
      <x:c r="I74" s="274" t="n">
        <x:v>0</x:v>
      </x:c>
      <x:c r="J74" s="274" t="n">
        <x:v>50</x:v>
      </x:c>
      <x:c r="K74" s="274" t="n">
        <x:v>50</x:v>
      </x:c>
      <x:c r="L74" s="274" t="n">
        <x:v>0</x:v>
      </x:c>
    </x:row>
    <x:row r="75" ht="34" customHeight="1">
      <x:c r="A75" s="271" t="str">
        <x:v>EXT-MONDE-T070</x:v>
      </x:c>
      <x:c r="B75" s="272" t="str">
        <x:v>Aéroport international</x:v>
      </x:c>
      <x:c r="C75" s="274" t="n">
        <x:v>50</x:v>
      </x:c>
      <x:c r="D75" s="274" t="n">
        <x:v>1800</x:v>
      </x:c>
      <x:c r="E75" s="274" t="n">
        <x:v>1800</x:v>
      </x:c>
      <x:c r="F75" s="274" t="n">
        <x:v>6650</x:v>
      </x:c>
      <x:c r="G75" s="274" t="n">
        <x:v>0</x:v>
      </x:c>
      <x:c r="H75" s="274" t="n">
        <x:v>13250</x:v>
      </x:c>
      <x:c r="I75" s="274" t="n">
        <x:v>0</x:v>
      </x:c>
      <x:c r="J75" s="274" t="n">
        <x:v>50</x:v>
      </x:c>
      <x:c r="K75" s="274" t="n">
        <x:v>50</x:v>
      </x:c>
      <x:c r="L75" s="274" t="n">
        <x:v>0</x:v>
      </x:c>
    </x:row>
    <x:row r="76" ht="34" customHeight="1">
      <x:c r="A76" s="271" t="str">
        <x:v>EXT-MONDE-T071</x:v>
      </x:c>
      <x:c r="B76" s="272" t="str">
        <x:v>Aéroport de fret</x:v>
      </x:c>
      <x:c r="C76" s="274" t="n">
        <x:v>50</x:v>
      </x:c>
      <x:c r="D76" s="274" t="n">
        <x:v>1800</x:v>
      </x:c>
      <x:c r="E76" s="274" t="n">
        <x:v>1800</x:v>
      </x:c>
      <x:c r="F76" s="274" t="n">
        <x:v>6650</x:v>
      </x:c>
      <x:c r="G76" s="274" t="n">
        <x:v>0</x:v>
      </x:c>
      <x:c r="H76" s="274" t="n">
        <x:v>13250</x:v>
      </x:c>
      <x:c r="I76" s="274" t="n">
        <x:v>0</x:v>
      </x:c>
      <x:c r="J76" s="274" t="n">
        <x:v>50</x:v>
      </x:c>
      <x:c r="K76" s="274" t="n">
        <x:v>50</x:v>
      </x:c>
      <x:c r="L76" s="274" t="n">
        <x:v>0</x:v>
      </x:c>
    </x:row>
    <x:row r="77" ht="34" customHeight="1">
      <x:c r="A77" s="271" t="str">
        <x:v>EXT-MONDE-T072</x:v>
      </x:c>
      <x:c r="B77" s="272" t="str">
        <x:v>Aérodrome insulaire</x:v>
      </x:c>
      <x:c r="C77" s="274" t="n">
        <x:v>50</x:v>
      </x:c>
      <x:c r="D77" s="274" t="n">
        <x:v>1800</x:v>
      </x:c>
      <x:c r="E77" s="274" t="n">
        <x:v>1800</x:v>
      </x:c>
      <x:c r="F77" s="274" t="n">
        <x:v>6650</x:v>
      </x:c>
      <x:c r="G77" s="274" t="n">
        <x:v>0</x:v>
      </x:c>
      <x:c r="H77" s="274" t="n">
        <x:v>13250</x:v>
      </x:c>
      <x:c r="I77" s="274" t="n">
        <x:v>0</x:v>
      </x:c>
      <x:c r="J77" s="274" t="n">
        <x:v>50</x:v>
      </x:c>
      <x:c r="K77" s="274" t="n">
        <x:v>50</x:v>
      </x:c>
      <x:c r="L77" s="274" t="n">
        <x:v>0</x:v>
      </x:c>
    </x:row>
    <x:row r="78" ht="34" customHeight="1">
      <x:c r="A78" s="271" t="str">
        <x:v>EXT-MONDE-T073</x:v>
      </x:c>
      <x:c r="B78" s="272" t="str">
        <x:v>Gare de passage</x:v>
      </x:c>
      <x:c r="C78" s="274" t="n">
        <x:v>50</x:v>
      </x:c>
      <x:c r="D78" s="274" t="n">
        <x:v>1800</x:v>
      </x:c>
      <x:c r="E78" s="274" t="n">
        <x:v>1800</x:v>
      </x:c>
      <x:c r="F78" s="274" t="n">
        <x:v>6600</x:v>
      </x:c>
      <x:c r="G78" s="274" t="n">
        <x:v>0</x:v>
      </x:c>
      <x:c r="H78" s="274" t="n">
        <x:v>13250</x:v>
      </x:c>
      <x:c r="I78" s="274" t="n">
        <x:v>0</x:v>
      </x:c>
      <x:c r="J78" s="274" t="n">
        <x:v>50</x:v>
      </x:c>
      <x:c r="K78" s="274" t="n">
        <x:v>50</x:v>
      </x:c>
      <x:c r="L78" s="274" t="n">
        <x:v>0</x:v>
      </x:c>
    </x:row>
    <x:row r="79" ht="34" customHeight="1">
      <x:c r="A79" s="271" t="str">
        <x:v>EXT-MONDE-T074</x:v>
      </x:c>
      <x:c r="B79" s="272" t="str">
        <x:v>Gare terminus</x:v>
      </x:c>
      <x:c r="C79" s="274" t="n">
        <x:v>50</x:v>
      </x:c>
      <x:c r="D79" s="274" t="n">
        <x:v>1800</x:v>
      </x:c>
      <x:c r="E79" s="274" t="n">
        <x:v>1800</x:v>
      </x:c>
      <x:c r="F79" s="274" t="n">
        <x:v>6600</x:v>
      </x:c>
      <x:c r="G79" s="274" t="n">
        <x:v>0</x:v>
      </x:c>
      <x:c r="H79" s="274" t="n">
        <x:v>13250</x:v>
      </x:c>
      <x:c r="I79" s="274" t="n">
        <x:v>0</x:v>
      </x:c>
      <x:c r="J79" s="274" t="n">
        <x:v>50</x:v>
      </x:c>
      <x:c r="K79" s="274" t="n">
        <x:v>50</x:v>
      </x:c>
      <x:c r="L79" s="274" t="n">
        <x:v>0</x:v>
      </x:c>
    </x:row>
    <x:row r="80" ht="34" customHeight="1">
      <x:c r="A80" s="271" t="str">
        <x:v>EXT-MONDE-T075</x:v>
      </x:c>
      <x:c r="B80" s="272" t="str">
        <x:v>Gare de triage</x:v>
      </x:c>
      <x:c r="C80" s="274" t="n">
        <x:v>50</x:v>
      </x:c>
      <x:c r="D80" s="274" t="n">
        <x:v>1800</x:v>
      </x:c>
      <x:c r="E80" s="274" t="n">
        <x:v>1800</x:v>
      </x:c>
      <x:c r="F80" s="274" t="n">
        <x:v>6600</x:v>
      </x:c>
      <x:c r="G80" s="274" t="n">
        <x:v>0</x:v>
      </x:c>
      <x:c r="H80" s="274" t="n">
        <x:v>13250</x:v>
      </x:c>
      <x:c r="I80" s="274" t="n">
        <x:v>0</x:v>
      </x:c>
      <x:c r="J80" s="274" t="n">
        <x:v>50</x:v>
      </x:c>
      <x:c r="K80" s="274" t="n">
        <x:v>50</x:v>
      </x:c>
      <x:c r="L80" s="274" t="n">
        <x:v>0</x:v>
      </x:c>
    </x:row>
    <x:row r="81" ht="34" customHeight="1">
      <x:c r="A81" s="271" t="str">
        <x:v>EXT-MONDE-T076</x:v>
      </x:c>
      <x:c r="B81" s="272" t="str">
        <x:v>Dépôt ferroviaire</x:v>
      </x:c>
      <x:c r="C81" s="274" t="n">
        <x:v>50</x:v>
      </x:c>
      <x:c r="D81" s="274" t="n">
        <x:v>1800</x:v>
      </x:c>
      <x:c r="E81" s="274" t="n">
        <x:v>1800</x:v>
      </x:c>
      <x:c r="F81" s="274" t="n">
        <x:v>6600</x:v>
      </x:c>
      <x:c r="G81" s="274" t="n">
        <x:v>0</x:v>
      </x:c>
      <x:c r="H81" s="274" t="n">
        <x:v>13250</x:v>
      </x:c>
      <x:c r="I81" s="274" t="n">
        <x:v>0</x:v>
      </x:c>
      <x:c r="J81" s="274" t="n">
        <x:v>50</x:v>
      </x:c>
      <x:c r="K81" s="274" t="n">
        <x:v>50</x:v>
      </x:c>
      <x:c r="L81" s="274" t="n">
        <x:v>0</x:v>
      </x:c>
    </x:row>
    <x:row r="82" ht="34" customHeight="1">
      <x:c r="A82" s="271" t="str">
        <x:v>EXT-MONDE-T077</x:v>
      </x:c>
      <x:c r="B82" s="272" t="str">
        <x:v>Îlot de phare</x:v>
      </x:c>
      <x:c r="C82" s="274" t="n">
        <x:v>50</x:v>
      </x:c>
      <x:c r="D82" s="274" t="n">
        <x:v>1600</x:v>
      </x:c>
      <x:c r="E82" s="274" t="n">
        <x:v>1600</x:v>
      </x:c>
      <x:c r="F82" s="274" t="n">
        <x:v>6050</x:v>
      </x:c>
      <x:c r="G82" s="274" t="n">
        <x:v>0</x:v>
      </x:c>
      <x:c r="H82" s="274" t="n">
        <x:v>12400</x:v>
      </x:c>
      <x:c r="I82" s="274" t="n">
        <x:v>0</x:v>
      </x:c>
      <x:c r="J82" s="274" t="n">
        <x:v>50</x:v>
      </x:c>
      <x:c r="K82" s="274" t="n">
        <x:v>50</x:v>
      </x:c>
      <x:c r="L82" s="274" t="n">
        <x:v>0</x:v>
      </x:c>
    </x:row>
    <x:row r="83" ht="34" customHeight="1">
      <x:c r="A83" s="271" t="str">
        <x:v>EXT-MONDE-T078</x:v>
      </x:c>
      <x:c r="B83" s="272" t="str">
        <x:v>Île agricole habitée</x:v>
      </x:c>
      <x:c r="C83" s="274" t="n">
        <x:v>50</x:v>
      </x:c>
      <x:c r="D83" s="274" t="n">
        <x:v>1600</x:v>
      </x:c>
      <x:c r="E83" s="274" t="n">
        <x:v>1600</x:v>
      </x:c>
      <x:c r="F83" s="274" t="n">
        <x:v>6100</x:v>
      </x:c>
      <x:c r="G83" s="274" t="n">
        <x:v>0</x:v>
      </x:c>
      <x:c r="H83" s="274" t="n">
        <x:v>12400</x:v>
      </x:c>
      <x:c r="I83" s="274" t="n">
        <x:v>0</x:v>
      </x:c>
      <x:c r="J83" s="274" t="n">
        <x:v>50</x:v>
      </x:c>
      <x:c r="K83" s="274" t="n">
        <x:v>50</x:v>
      </x:c>
      <x:c r="L83" s="274" t="n">
        <x:v>0</x:v>
      </x:c>
    </x:row>
    <x:row r="84" ht="34" customHeight="1">
      <x:c r="A84" s="271" t="str">
        <x:v>EXT-MONDE-T079</x:v>
      </x:c>
      <x:c r="B84" s="272" t="str">
        <x:v>Île portuaire industrielle</x:v>
      </x:c>
      <x:c r="C84" s="274" t="n">
        <x:v>50</x:v>
      </x:c>
      <x:c r="D84" s="274" t="n">
        <x:v>1700</x:v>
      </x:c>
      <x:c r="E84" s="274" t="n">
        <x:v>1700</x:v>
      </x:c>
      <x:c r="F84" s="274" t="n">
        <x:v>6350</x:v>
      </x:c>
      <x:c r="G84" s="274" t="n">
        <x:v>0</x:v>
      </x:c>
      <x:c r="H84" s="274" t="n">
        <x:v>13000</x:v>
      </x:c>
      <x:c r="I84" s="274" t="n">
        <x:v>0</x:v>
      </x:c>
      <x:c r="J84" s="274" t="n">
        <x:v>50</x:v>
      </x:c>
      <x:c r="K84" s="274" t="n">
        <x:v>50</x:v>
      </x:c>
      <x:c r="L84" s="274" t="n">
        <x:v>0</x:v>
      </x:c>
    </x:row>
    <x:row r="85" ht="34" customHeight="1">
      <x:c r="A85" s="271" t="str">
        <x:v>EXT-MONDE-T080</x:v>
      </x:c>
      <x:c r="B85" s="272" t="str">
        <x:v>Grande île mixte</x:v>
      </x:c>
      <x:c r="C85" s="274" t="n">
        <x:v>50</x:v>
      </x:c>
      <x:c r="D85" s="274" t="n">
        <x:v>1600</x:v>
      </x:c>
      <x:c r="E85" s="274" t="n">
        <x:v>1600</x:v>
      </x:c>
      <x:c r="F85" s="274" t="n">
        <x:v>5900</x:v>
      </x:c>
      <x:c r="G85" s="274" t="n">
        <x:v>0</x:v>
      </x:c>
      <x:c r="H85" s="274" t="n">
        <x:v>12400</x:v>
      </x:c>
      <x:c r="I85" s="274" t="n">
        <x:v>0</x:v>
      </x:c>
      <x:c r="J85" s="274" t="n">
        <x:v>50</x:v>
      </x:c>
      <x:c r="K85" s="274" t="n">
        <x:v>50</x:v>
      </x:c>
      <x:c r="L85" s="274" t="n">
        <x:v>0</x:v>
      </x:c>
    </x:row>
    <x:row r="86" ht="30" customHeight="1">
      <x:c r="A86" s="273" t="str">
        <x:v>TOTAL DU RAPPORT</x:v>
      </x:c>
      <x:c r="B86" s="273"/>
      <x:c r="C86" s="276" t="n">
        <x:f>SUM(C6:C85)</x:f>
        <x:v>4000</x:v>
      </x:c>
      <x:c r="D86" s="276" t="n">
        <x:f>SUM(D6:D85)</x:f>
        <x:v>162460</x:v>
      </x:c>
      <x:c r="E86" s="276" t="n">
        <x:f>SUM(E6:E85)</x:f>
        <x:v>162460</x:v>
      </x:c>
      <x:c r="F86" s="276" t="n">
        <x:f>SUM(F6:F85)</x:f>
        <x:v>588378</x:v>
      </x:c>
      <x:c r="G86" s="276" t="n">
        <x:f>SUM(G6:G85)</x:f>
        <x:v>0</x:v>
      </x:c>
      <x:c r="H86" s="276" t="n">
        <x:f>SUM(H6:H85)</x:f>
        <x:v>1228255</x:v>
      </x:c>
      <x:c r="I86" s="276" t="n">
        <x:f>SUM(I6:I85)</x:f>
        <x:v>3380</x:v>
      </x:c>
      <x:c r="J86" s="276" t="n">
        <x:f>SUM(J6:J85)</x:f>
        <x:v>6530</x:v>
      </x:c>
      <x:c r="K86" s="276" t="n">
        <x:f>SUM(K6:K85)</x:f>
        <x:v>4000</x:v>
      </x:c>
      <x:c r="L86" s="276" t="n">
        <x:f>SUM(L6:L85)</x:f>
        <x:v>0</x:v>
      </x:c>
    </x:row>
    <x:row r="88" ht="30" customHeight="1">
      <x:c r="A88" s="278" t="str">
        <x:v>PÉRIMÈTRE ET TRAVAUX RESTANTS</x:v>
      </x:c>
      <x:c r="B88" s="278"/>
      <x:c r="C88" s="278"/>
      <x:c r="D88" s="278"/>
      <x:c r="E88" s="278"/>
      <x:c r="F88" s="278"/>
      <x:c r="G88" s="278"/>
      <x:c r="H88" s="278"/>
      <x:c r="I88" s="278"/>
      <x:c r="J88" s="278"/>
      <x:c r="K88" s="278"/>
      <x:c r="L88" s="278"/>
    </x:row>
    <x:row r="89" ht="22" customHeight="1">
      <x:c r="A89" s="279" t="str">
        <x:v>Les poses refusées restent visibles dans ce suivi. Les volumes réservés non construits, le raccord au monde, le butin, les rencontres et les services de campagne restent à terminer.</x:v>
      </x:c>
      <x:c r="B89" s="279"/>
      <x:c r="C89" s="279"/>
      <x:c r="D89" s="279"/>
      <x:c r="E89" s="279"/>
      <x:c r="F89" s="279"/>
      <x:c r="G89" s="279"/>
      <x:c r="H89" s="279"/>
      <x:c r="I89" s="279"/>
      <x:c r="J89" s="279"/>
      <x:c r="K89" s="279"/>
      <x:c r="L89" s="279"/>
    </x:row>
    <x:row r="90" ht="22" customHeight="1">
      <x:c r="A90" s="279"/>
      <x:c r="B90" s="279"/>
      <x:c r="C90" s="279"/>
      <x:c r="D90" s="279"/>
      <x:c r="E90" s="279"/>
      <x:c r="F90" s="279"/>
      <x:c r="G90" s="279"/>
      <x:c r="H90" s="279"/>
      <x:c r="I90" s="279"/>
      <x:c r="J90" s="279"/>
      <x:c r="K90" s="279"/>
      <x:c r="L90" s="279"/>
    </x:row>
    <x:row r="92" ht="28" customHeight="1">
      <x:c r="A92" s="139" t="str">
        <x:v>Rapport détaillé</x:v>
      </x:c>
      <x:c r="B92" s="139"/>
      <x:c r="C92" s="143" t="str">
        <x:v>https://github.com/darknigthmare/deadwall-last-enclosure/blob/e28f46223e73105ab2c5d83f3d50b99b58ef53e6/docs/codex/suivi-monde2026/inspection-20261023.json</x:v>
      </x:c>
      <x:c r="D92" s="143"/>
      <x:c r="E92" s="143"/>
      <x:c r="F92" s="143"/>
      <x:c r="G92" s="143"/>
      <x:c r="H92" s="143"/>
      <x:c r="I92" s="143"/>
      <x:c r="J92" s="143"/>
      <x:c r="K92" s="143"/>
      <x:c r="L92" s="143"/>
    </x:row>
    <x:row r="93" ht="28" customHeight="1">
      <x:c r="A93" s="139" t="str">
        <x:v>Critères et limites</x:v>
      </x:c>
      <x:c r="B93" s="139"/>
      <x:c r="C93" s="143" t="str">
        <x:v>https://github.com/darknigthmare/deadwall-last-enclosure/blob/e28f46223e73105ab2c5d83f3d50b99b58ef53e6/docs/codex/suivi-monde2026/INSPECTION_PHYSIQUE_2026.md</x:v>
      </x:c>
      <x:c r="D93" s="143"/>
      <x:c r="E93" s="143"/>
      <x:c r="F93" s="143"/>
      <x:c r="G93" s="143"/>
      <x:c r="H93" s="143"/>
      <x:c r="I93" s="143"/>
      <x:c r="J93" s="143"/>
      <x:c r="K93" s="143"/>
      <x:c r="L93" s="143"/>
    </x:row>
    <x:row r="94" ht="28" customHeight="1">
      <x:c r="A94" s="139" t="str">
        <x:v>Empreinte des plans</x:v>
      </x:c>
      <x:c r="B94" s="139"/>
      <x:c r="C94" s="139" t="str">
        <x:v>aaa29ca45da71facea8379614897d858847af783bf08676572e4fd310008080c</x:v>
      </x:c>
      <x:c r="D94" s="139"/>
      <x:c r="E94" s="139"/>
      <x:c r="F94" s="139"/>
      <x:c r="G94" s="139"/>
      <x:c r="H94" s="139"/>
      <x:c r="I94" s="139"/>
      <x:c r="J94" s="139"/>
      <x:c r="K94" s="139"/>
      <x:c r="L94" s="139"/>
    </x:row>
    <x:row r="95" ht="28" customHeight="1">
      <x:c r="A95" s="139" t="str">
        <x:v>Provenance</x:v>
      </x:c>
      <x:c r="B95" s="139"/>
      <x:c r="C95" s="139" t="str">
        <x:v>29 fichiers contrôlés par taille et SHA-256 avant export.</x:v>
      </x:c>
      <x:c r="D95" s="139"/>
      <x:c r="E95" s="139"/>
      <x:c r="F95" s="139"/>
      <x:c r="G95" s="139"/>
      <x:c r="H95" s="139"/>
      <x:c r="I95" s="139"/>
      <x:c r="J95" s="139"/>
      <x:c r="K95" s="139"/>
      <x:c r="L95" s="139"/>
    </x:row>
    <x:row r="96" ht="28" customHeight="1">
      <x:c r="A96" s="139" t="str">
        <x:v>Stocks / services</x:v>
      </x:c>
      <x:c r="B96" s="139"/>
      <x:c r="C96" s="139" t="str">
        <x:v>Conteneurs de butin créés : 0. Services de campagne raccordés : 0.</x:v>
      </x:c>
      <x:c r="D96" s="139"/>
      <x:c r="E96" s="139"/>
      <x:c r="F96" s="139"/>
      <x:c r="G96" s="139"/>
      <x:c r="H96" s="139"/>
      <x:c r="I96" s="139"/>
      <x:c r="J96" s="139"/>
      <x:c r="K96" s="139"/>
      <x:c r="L96" s="139"/>
    </x:row>
    <x:row r="97" ht="28" customHeight="1">
      <x:c r="A97" s="139" t="str">
        <x:v>Empreinte du rapport</x:v>
      </x:c>
      <x:c r="B97" s="139"/>
      <x:c r="C97" s="139" t="str">
        <x:v>590578f6efbac986e20bc9da9bef8239a19f9371bbf927a3738bcd31663d135b</x:v>
      </x:c>
      <x:c r="D97" s="139"/>
      <x:c r="E97" s="139"/>
      <x:c r="F97" s="139"/>
      <x:c r="G97" s="139"/>
      <x:c r="H97" s="139"/>
      <x:c r="I97" s="139"/>
      <x:c r="J97" s="139"/>
      <x:c r="K97" s="139"/>
      <x:c r="L97" s="139"/>
    </x:row>
  </x:sheetData>
  <x:mergeCells>
    <x:mergeCell ref="A1:L2"/>
    <x:mergeCell ref="A3:L3"/>
    <x:mergeCell ref="A86:B86"/>
    <x:mergeCell ref="A88:L88"/>
    <x:mergeCell ref="A89:L90"/>
    <x:mergeCell ref="A92:B92"/>
    <x:mergeCell ref="C92:L92"/>
    <x:mergeCell ref="A93:B93"/>
    <x:mergeCell ref="C93:L93"/>
    <x:mergeCell ref="A94:B94"/>
    <x:mergeCell ref="C94:L94"/>
    <x:mergeCell ref="A95:B95"/>
    <x:mergeCell ref="C95:L95"/>
    <x:mergeCell ref="A96:B96"/>
    <x:mergeCell ref="C96:L96"/>
    <x:mergeCell ref="A97:B97"/>
    <x:mergeCell ref="C97:L97"/>
  </x:mergeCells>
  <x:pageMargins left="0.7" right="0.7" top="0.75" bottom="0.75" header="0.3" footer="0.3"/>
  <x:tableParts count="1">
    <x:tablePart xmlns:r="http://schemas.openxmlformats.org/officeDocument/2006/relationships" r:id="Rdb80ad1f33664699"/>
  </x:tableParts>
</x:worksheet>
</file>

<file path=xl/worksheets/sheet1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4" hidden="0" customWidth="1"/>
    <x:col min="2" max="2" width="35" hidden="0" customWidth="1"/>
    <x:col min="3" max="3" width="17" hidden="0" customWidth="1"/>
    <x:col min="4" max="4" width="28"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36" hidden="0" customWidth="1"/>
    <x:col min="12" max="12" width="36" hidden="0" customWidth="1"/>
  </x:cols>
  <x:sheetData>
    <x:row r="1" ht="26" customHeight="1">
      <x:c r="A1" s="267" t="str">
        <x:v>CAMPAGNE G11 — MODÈLES ET IMPLANTATIONS TÉMOINS</x:v>
      </x:c>
      <x:c r="B1" s="267"/>
      <x:c r="C1" s="267"/>
      <x:c r="D1" s="267"/>
      <x:c r="E1" s="267"/>
      <x:c r="F1" s="267"/>
      <x:c r="G1" s="267"/>
      <x:c r="H1" s="267"/>
      <x:c r="I1" s="267"/>
      <x:c r="J1" s="267"/>
      <x:c r="K1" s="267"/>
      <x:c r="L1" s="267"/>
    </x:row>
    <x:row r="2" ht="26" customHeight="1">
      <x:c r="A2" s="267"/>
      <x:c r="B2" s="267"/>
      <x:c r="C2" s="267"/>
      <x:c r="D2" s="267"/>
      <x:c r="E2" s="267"/>
      <x:c r="F2" s="267"/>
      <x:c r="G2" s="267"/>
      <x:c r="H2" s="267"/>
      <x:c r="I2" s="267"/>
      <x:c r="J2" s="267"/>
      <x:c r="K2" s="267"/>
      <x:c r="L2" s="267"/>
    </x:row>
    <x:row r="3" ht="26" customHeight="1">
      <x:c r="A3" s="268" t="str">
        <x:v>Les modèles éligibles restent distincts des sites réellement admis dans chaque graine. Les statuts d’inspection ne sont pas promus.</x:v>
      </x:c>
      <x:c r="B3" s="268"/>
      <x:c r="C3" s="268"/>
      <x:c r="D3" s="268"/>
      <x:c r="E3" s="268"/>
      <x:c r="F3" s="268"/>
      <x:c r="G3" s="268"/>
      <x:c r="H3" s="268"/>
      <x:c r="I3" s="268"/>
      <x:c r="J3" s="268"/>
      <x:c r="K3" s="268"/>
      <x:c r="L3" s="268"/>
    </x:row>
    <x:row r="4" ht="26" customHeight="1">
      <x:c r="A4" s="126"/>
      <x:c r="B4" s="126"/>
      <x:c r="C4" s="126"/>
      <x:c r="D4" s="126"/>
      <x:c r="E4" s="126"/>
      <x:c r="F4" s="126"/>
      <x:c r="G4" s="126"/>
      <x:c r="H4" s="126"/>
      <x:c r="I4" s="126"/>
      <x:c r="J4" s="126"/>
      <x:c r="K4" s="126"/>
      <x:c r="L4" s="126"/>
    </x:row>
    <x:row r="5" ht="38" customHeight="1">
      <x:c r="A5" s="270" t="str">
        <x:v>ID plan auteur</x:v>
      </x:c>
      <x:c r="B5" s="270" t="str">
        <x:v>Typologie</x:v>
      </x:c>
      <x:c r="C5" s="270" t="str">
        <x:v>Variante</x:v>
      </x:c>
      <x:c r="D5" s="270" t="str">
        <x:v>Alias G11</x:v>
      </x:c>
      <x:c r="E5" s="270" t="str">
        <x:v>Éligible G11</x:v>
      </x:c>
      <x:c r="F5" s="270" t="str">
        <x:v>Plan</x:v>
      </x:c>
      <x:c r="G5" s="270" t="str">
        <x:v>Objets</x:v>
      </x:c>
      <x:c r="H5" s="270" t="str">
        <x:v>Butin fini</x:v>
      </x:c>
      <x:c r="I5" s="270" t="str">
        <x:v>Portes</x:v>
      </x:c>
      <x:c r="J5" s="270" t="str">
        <x:v>Instances témoins</x:v>
      </x:c>
      <x:c r="K5" s="270" t="str">
        <x:v>Graines témoins</x:v>
      </x:c>
      <x:c r="L5" s="270" t="str">
        <x:v>Preuve par variante</x:v>
      </x:c>
    </x:row>
    <x:row r="6" ht="64" customHeight="1">
      <x:c r="A6" s="272" t="str">
        <x:v>EXT-MONDE-T045-V01</x:v>
      </x:c>
      <x:c r="B6" s="272" t="str">
        <x:v>Parc résidentiel de mobil-homes</x:v>
      </x:c>
      <x:c r="C6" s="281" t="n">
        <x:v>1</x:v>
      </x:c>
      <x:c r="D6" s="272" t="str">
        <x:v>campaign205-045-01</x:v>
      </x:c>
      <x:c r="E6" s="282" t="str">
        <x:v>Oui</x:v>
      </x:c>
      <x:c r="F6" s="282" t="str">
        <x:v>Oui</x:v>
      </x:c>
      <x:c r="G6" s="282" t="str">
        <x:v>Oui</x:v>
      </x:c>
      <x:c r="H6" s="282" t="str">
        <x:v>Oui</x:v>
      </x:c>
      <x:c r="I6" s="282" t="str">
        <x:v>Oui</x:v>
      </x:c>
      <x:c r="J6" s="281" t="n">
        <x:v>0</x:v>
      </x:c>
      <x:c r="K6" s="272" t="str">
        <x:v>Aucun témoin pour cette variante</x:v>
      </x:c>
      <x:c r="L6" s="272" t="str">
        <x:v>https://github.com/darknigthmare/deadwall-last-enclosure/blob/e28f46223e73105ab2c5d83f3d50b99b58ef53e6/docs/codex/suivi-monde2026/campagne205-eligibilite.json</x:v>
      </x:c>
    </x:row>
    <x:row r="7" ht="64" customHeight="1">
      <x:c r="A7" s="272" t="str">
        <x:v>EXT-MONDE-T045-V02</x:v>
      </x:c>
      <x:c r="B7" s="272" t="str">
        <x:v>Parc résidentiel de mobil-homes</x:v>
      </x:c>
      <x:c r="C7" s="281" t="n">
        <x:v>2</x:v>
      </x:c>
      <x:c r="D7" s="272" t="str">
        <x:v>campaign205-045-02</x:v>
      </x:c>
      <x:c r="E7" s="282" t="str">
        <x:v>Oui</x:v>
      </x:c>
      <x:c r="F7" s="282" t="str">
        <x:v>Oui</x:v>
      </x:c>
      <x:c r="G7" s="282" t="str">
        <x:v>Oui</x:v>
      </x:c>
      <x:c r="H7" s="282" t="str">
        <x:v>Oui</x:v>
      </x:c>
      <x:c r="I7" s="282" t="str">
        <x:v>Oui</x:v>
      </x:c>
      <x:c r="J7" s="281" t="n">
        <x:v>0</x:v>
      </x:c>
      <x:c r="K7" s="272" t="str">
        <x:v>Aucun témoin pour cette variante</x:v>
      </x:c>
      <x:c r="L7" s="272" t="str">
        <x:v>https://github.com/darknigthmare/deadwall-last-enclosure/blob/e28f46223e73105ab2c5d83f3d50b99b58ef53e6/docs/codex/suivi-monde2026/campagne205-eligibilite.json</x:v>
      </x:c>
    </x:row>
    <x:row r="8" ht="64" customHeight="1">
      <x:c r="A8" s="272" t="str">
        <x:v>EXT-MONDE-T045-V03</x:v>
      </x:c>
      <x:c r="B8" s="272" t="str">
        <x:v>Parc résidentiel de mobil-homes</x:v>
      </x:c>
      <x:c r="C8" s="281" t="n">
        <x:v>3</x:v>
      </x:c>
      <x:c r="D8" s="272" t="str">
        <x:v>campaign205-045-03</x:v>
      </x:c>
      <x:c r="E8" s="282" t="str">
        <x:v>Oui</x:v>
      </x:c>
      <x:c r="F8" s="282" t="str">
        <x:v>Oui</x:v>
      </x:c>
      <x:c r="G8" s="282" t="str">
        <x:v>Oui</x:v>
      </x:c>
      <x:c r="H8" s="282" t="str">
        <x:v>Oui</x:v>
      </x:c>
      <x:c r="I8" s="282" t="str">
        <x:v>Oui</x:v>
      </x:c>
      <x:c r="J8" s="281" t="n">
        <x:v>1</x:v>
      </x:c>
      <x:c r="K8" s="272" t="str">
        <x:v>0</x:v>
      </x:c>
      <x:c r="L8" s="272" t="str">
        <x:v>https://github.com/darknigthmare/deadwall-last-enclosure/blob/e28f46223e73105ab2c5d83f3d50b99b58ef53e6/docs/codex/suivi-monde2026/campagne205-eligibilite.json</x:v>
      </x:c>
    </x:row>
    <x:row r="9" ht="64" customHeight="1">
      <x:c r="A9" s="272" t="str">
        <x:v>EXT-MONDE-T045-V04</x:v>
      </x:c>
      <x:c r="B9" s="272" t="str">
        <x:v>Parc résidentiel de mobil-homes</x:v>
      </x:c>
      <x:c r="C9" s="281" t="n">
        <x:v>4</x:v>
      </x:c>
      <x:c r="D9" s="272" t="str">
        <x:v>campaign205-045-04</x:v>
      </x:c>
      <x:c r="E9" s="282" t="str">
        <x:v>Oui</x:v>
      </x:c>
      <x:c r="F9" s="282" t="str">
        <x:v>Oui</x:v>
      </x:c>
      <x:c r="G9" s="282" t="str">
        <x:v>Oui</x:v>
      </x:c>
      <x:c r="H9" s="282" t="str">
        <x:v>Oui</x:v>
      </x:c>
      <x:c r="I9" s="282" t="str">
        <x:v>Oui</x:v>
      </x:c>
      <x:c r="J9" s="281" t="n">
        <x:v>2</x:v>
      </x:c>
      <x:c r="K9" s="272" t="str">
        <x:v>1947648717, 4294967295</x:v>
      </x:c>
      <x:c r="L9" s="272" t="str">
        <x:v>https://github.com/darknigthmare/deadwall-last-enclosure/blob/e28f46223e73105ab2c5d83f3d50b99b58ef53e6/docs/codex/suivi-monde2026/campagne205-eligibilite.json</x:v>
      </x:c>
    </x:row>
    <x:row r="10" ht="64" customHeight="1">
      <x:c r="A10" s="272" t="str">
        <x:v>EXT-MONDE-T045-V05</x:v>
      </x:c>
      <x:c r="B10" s="272" t="str">
        <x:v>Parc résidentiel de mobil-homes</x:v>
      </x:c>
      <x:c r="C10" s="281" t="n">
        <x:v>5</x:v>
      </x:c>
      <x:c r="D10" s="272" t="str">
        <x:v>campaign205-045-05</x:v>
      </x:c>
      <x:c r="E10" s="282" t="str">
        <x:v>Oui</x:v>
      </x:c>
      <x:c r="F10" s="282" t="str">
        <x:v>Oui</x:v>
      </x:c>
      <x:c r="G10" s="282" t="str">
        <x:v>Oui</x:v>
      </x:c>
      <x:c r="H10" s="282" t="str">
        <x:v>Oui</x:v>
      </x:c>
      <x:c r="I10" s="282" t="str">
        <x:v>Oui</x:v>
      </x:c>
      <x:c r="J10" s="281" t="n">
        <x:v>0</x:v>
      </x:c>
      <x:c r="K10" s="272" t="str">
        <x:v>Aucun témoin pour cette variante</x:v>
      </x:c>
      <x:c r="L10" s="272" t="str">
        <x:v>https://github.com/darknigthmare/deadwall-last-enclosure/blob/e28f46223e73105ab2c5d83f3d50b99b58ef53e6/docs/codex/suivi-monde2026/campagne205-eligibilite.json</x:v>
      </x:c>
    </x:row>
    <x:row r="11" ht="64" customHeight="1">
      <x:c r="A11" s="272" t="str">
        <x:v>EXT-MONDE-T045-V06</x:v>
      </x:c>
      <x:c r="B11" s="272" t="str">
        <x:v>Parc résidentiel de mobil-homes</x:v>
      </x:c>
      <x:c r="C11" s="281" t="n">
        <x:v>6</x:v>
      </x:c>
      <x:c r="D11" s="272" t="str">
        <x:v>campaign205-045-06</x:v>
      </x:c>
      <x:c r="E11" s="282" t="str">
        <x:v>Oui</x:v>
      </x:c>
      <x:c r="F11" s="282" t="str">
        <x:v>Oui</x:v>
      </x:c>
      <x:c r="G11" s="282" t="str">
        <x:v>Oui</x:v>
      </x:c>
      <x:c r="H11" s="282" t="str">
        <x:v>Oui</x:v>
      </x:c>
      <x:c r="I11" s="282" t="str">
        <x:v>Oui</x:v>
      </x:c>
      <x:c r="J11" s="281" t="n">
        <x:v>0</x:v>
      </x:c>
      <x:c r="K11" s="272" t="str">
        <x:v>Aucun témoin pour cette variante</x:v>
      </x:c>
      <x:c r="L11" s="272" t="str">
        <x:v>https://github.com/darknigthmare/deadwall-last-enclosure/blob/e28f46223e73105ab2c5d83f3d50b99b58ef53e6/docs/codex/suivi-monde2026/campagne205-eligibilite.json</x:v>
      </x:c>
    </x:row>
    <x:row r="12" ht="64" customHeight="1">
      <x:c r="A12" s="272" t="str">
        <x:v>EXT-MONDE-T045-V07</x:v>
      </x:c>
      <x:c r="B12" s="272" t="str">
        <x:v>Parc résidentiel de mobil-homes</x:v>
      </x:c>
      <x:c r="C12" s="281" t="n">
        <x:v>7</x:v>
      </x:c>
      <x:c r="D12" s="272" t="str">
        <x:v>campaign205-045-07</x:v>
      </x:c>
      <x:c r="E12" s="282" t="str">
        <x:v>Oui</x:v>
      </x:c>
      <x:c r="F12" s="282" t="str">
        <x:v>Oui</x:v>
      </x:c>
      <x:c r="G12" s="282" t="str">
        <x:v>Oui</x:v>
      </x:c>
      <x:c r="H12" s="282" t="str">
        <x:v>Oui</x:v>
      </x:c>
      <x:c r="I12" s="282" t="str">
        <x:v>Oui</x:v>
      </x:c>
      <x:c r="J12" s="281" t="n">
        <x:v>0</x:v>
      </x:c>
      <x:c r="K12" s="272" t="str">
        <x:v>Aucun témoin pour cette variante</x:v>
      </x:c>
      <x:c r="L12" s="272" t="str">
        <x:v>https://github.com/darknigthmare/deadwall-last-enclosure/blob/e28f46223e73105ab2c5d83f3d50b99b58ef53e6/docs/codex/suivi-monde2026/campagne205-eligibilite.json</x:v>
      </x:c>
    </x:row>
    <x:row r="13" ht="64" customHeight="1">
      <x:c r="A13" s="272" t="str">
        <x:v>EXT-MONDE-T045-V08</x:v>
      </x:c>
      <x:c r="B13" s="272" t="str">
        <x:v>Parc résidentiel de mobil-homes</x:v>
      </x:c>
      <x:c r="C13" s="281" t="n">
        <x:v>8</x:v>
      </x:c>
      <x:c r="D13" s="272" t="str">
        <x:v>campaign205-045-08</x:v>
      </x:c>
      <x:c r="E13" s="282" t="str">
        <x:v>Oui</x:v>
      </x:c>
      <x:c r="F13" s="282" t="str">
        <x:v>Oui</x:v>
      </x:c>
      <x:c r="G13" s="282" t="str">
        <x:v>Oui</x:v>
      </x:c>
      <x:c r="H13" s="282" t="str">
        <x:v>Oui</x:v>
      </x:c>
      <x:c r="I13" s="282" t="str">
        <x:v>Oui</x:v>
      </x:c>
      <x:c r="J13" s="281" t="n">
        <x:v>0</x:v>
      </x:c>
      <x:c r="K13" s="272" t="str">
        <x:v>Aucun témoin pour cette variante</x:v>
      </x:c>
      <x:c r="L13" s="272" t="str">
        <x:v>https://github.com/darknigthmare/deadwall-last-enclosure/blob/e28f46223e73105ab2c5d83f3d50b99b58ef53e6/docs/codex/suivi-monde2026/campagne205-eligibilite.json</x:v>
      </x:c>
    </x:row>
    <x:row r="14" ht="64" customHeight="1">
      <x:c r="A14" s="272" t="str">
        <x:v>EXT-MONDE-T045-V09</x:v>
      </x:c>
      <x:c r="B14" s="272" t="str">
        <x:v>Parc résidentiel de mobil-homes</x:v>
      </x:c>
      <x:c r="C14" s="281" t="n">
        <x:v>9</x:v>
      </x:c>
      <x:c r="D14" s="272" t="str">
        <x:v>campaign205-045-09</x:v>
      </x:c>
      <x:c r="E14" s="282" t="str">
        <x:v>Oui</x:v>
      </x:c>
      <x:c r="F14" s="282" t="str">
        <x:v>Oui</x:v>
      </x:c>
      <x:c r="G14" s="282" t="str">
        <x:v>Oui</x:v>
      </x:c>
      <x:c r="H14" s="282" t="str">
        <x:v>Oui</x:v>
      </x:c>
      <x:c r="I14" s="282" t="str">
        <x:v>Oui</x:v>
      </x:c>
      <x:c r="J14" s="281" t="n">
        <x:v>0</x:v>
      </x:c>
      <x:c r="K14" s="272" t="str">
        <x:v>Aucun témoin pour cette variante</x:v>
      </x:c>
      <x:c r="L14" s="272" t="str">
        <x:v>https://github.com/darknigthmare/deadwall-last-enclosure/blob/e28f46223e73105ab2c5d83f3d50b99b58ef53e6/docs/codex/suivi-monde2026/campagne205-eligibilite.json</x:v>
      </x:c>
    </x:row>
    <x:row r="15" ht="64" customHeight="1">
      <x:c r="A15" s="272" t="str">
        <x:v>EXT-MONDE-T045-V10</x:v>
      </x:c>
      <x:c r="B15" s="272" t="str">
        <x:v>Parc résidentiel de mobil-homes</x:v>
      </x:c>
      <x:c r="C15" s="281" t="n">
        <x:v>10</x:v>
      </x:c>
      <x:c r="D15" s="272" t="str">
        <x:v>campaign205-045-10</x:v>
      </x:c>
      <x:c r="E15" s="282" t="str">
        <x:v>Oui</x:v>
      </x:c>
      <x:c r="F15" s="282" t="str">
        <x:v>Oui</x:v>
      </x:c>
      <x:c r="G15" s="282" t="str">
        <x:v>Oui</x:v>
      </x:c>
      <x:c r="H15" s="282" t="str">
        <x:v>Oui</x:v>
      </x:c>
      <x:c r="I15" s="282" t="str">
        <x:v>Oui</x:v>
      </x:c>
      <x:c r="J15" s="281" t="n">
        <x:v>0</x:v>
      </x:c>
      <x:c r="K15" s="272" t="str">
        <x:v>Aucun témoin pour cette variante</x:v>
      </x:c>
      <x:c r="L15" s="272" t="str">
        <x:v>https://github.com/darknigthmare/deadwall-last-enclosure/blob/e28f46223e73105ab2c5d83f3d50b99b58ef53e6/docs/codex/suivi-monde2026/campagne205-eligibilite.json</x:v>
      </x:c>
    </x:row>
    <x:row r="16" ht="64" customHeight="1">
      <x:c r="A16" s="272" t="str">
        <x:v>EXT-MONDE-T045-V11</x:v>
      </x:c>
      <x:c r="B16" s="272" t="str">
        <x:v>Parc résidentiel de mobil-homes</x:v>
      </x:c>
      <x:c r="C16" s="281" t="n">
        <x:v>11</x:v>
      </x:c>
      <x:c r="D16" s="272" t="str">
        <x:v>campaign205-045-11</x:v>
      </x:c>
      <x:c r="E16" s="282" t="str">
        <x:v>Oui</x:v>
      </x:c>
      <x:c r="F16" s="282" t="str">
        <x:v>Oui</x:v>
      </x:c>
      <x:c r="G16" s="282" t="str">
        <x:v>Oui</x:v>
      </x:c>
      <x:c r="H16" s="282" t="str">
        <x:v>Oui</x:v>
      </x:c>
      <x:c r="I16" s="282" t="str">
        <x:v>Oui</x:v>
      </x:c>
      <x:c r="J16" s="281" t="n">
        <x:v>1</x:v>
      </x:c>
      <x:c r="K16" s="272" t="str">
        <x:v>4294967295</x:v>
      </x:c>
      <x:c r="L16" s="272" t="str">
        <x:v>https://github.com/darknigthmare/deadwall-last-enclosure/blob/e28f46223e73105ab2c5d83f3d50b99b58ef53e6/docs/codex/suivi-monde2026/campagne205-eligibilite.json</x:v>
      </x:c>
    </x:row>
    <x:row r="17" ht="64" customHeight="1">
      <x:c r="A17" s="272" t="str">
        <x:v>EXT-MONDE-T045-V12</x:v>
      </x:c>
      <x:c r="B17" s="272" t="str">
        <x:v>Parc résidentiel de mobil-homes</x:v>
      </x:c>
      <x:c r="C17" s="281" t="n">
        <x:v>12</x:v>
      </x:c>
      <x:c r="D17" s="272" t="str">
        <x:v>campaign205-045-12</x:v>
      </x:c>
      <x:c r="E17" s="282" t="str">
        <x:v>Oui</x:v>
      </x:c>
      <x:c r="F17" s="282" t="str">
        <x:v>Oui</x:v>
      </x:c>
      <x:c r="G17" s="282" t="str">
        <x:v>Oui</x:v>
      </x:c>
      <x:c r="H17" s="282" t="str">
        <x:v>Oui</x:v>
      </x:c>
      <x:c r="I17" s="282" t="str">
        <x:v>Oui</x:v>
      </x:c>
      <x:c r="J17" s="281" t="n">
        <x:v>0</x:v>
      </x:c>
      <x:c r="K17" s="272" t="str">
        <x:v>Aucun témoin pour cette variante</x:v>
      </x:c>
      <x:c r="L17" s="272" t="str">
        <x:v>https://github.com/darknigthmare/deadwall-last-enclosure/blob/e28f46223e73105ab2c5d83f3d50b99b58ef53e6/docs/codex/suivi-monde2026/campagne205-eligibilite.json</x:v>
      </x:c>
    </x:row>
    <x:row r="18" ht="64" customHeight="1">
      <x:c r="A18" s="272" t="str">
        <x:v>EXT-MONDE-T045-V13</x:v>
      </x:c>
      <x:c r="B18" s="272" t="str">
        <x:v>Parc résidentiel de mobil-homes</x:v>
      </x:c>
      <x:c r="C18" s="281" t="n">
        <x:v>13</x:v>
      </x:c>
      <x:c r="D18" s="272" t="str">
        <x:v>campaign205-045-13</x:v>
      </x:c>
      <x:c r="E18" s="282" t="str">
        <x:v>Oui</x:v>
      </x:c>
      <x:c r="F18" s="282" t="str">
        <x:v>Oui</x:v>
      </x:c>
      <x:c r="G18" s="282" t="str">
        <x:v>Oui</x:v>
      </x:c>
      <x:c r="H18" s="282" t="str">
        <x:v>Oui</x:v>
      </x:c>
      <x:c r="I18" s="282" t="str">
        <x:v>Oui</x:v>
      </x:c>
      <x:c r="J18" s="281" t="n">
        <x:v>0</x:v>
      </x:c>
      <x:c r="K18" s="272" t="str">
        <x:v>Aucun témoin pour cette variante</x:v>
      </x:c>
      <x:c r="L18" s="272" t="str">
        <x:v>https://github.com/darknigthmare/deadwall-last-enclosure/blob/e28f46223e73105ab2c5d83f3d50b99b58ef53e6/docs/codex/suivi-monde2026/campagne205-eligibilite.json</x:v>
      </x:c>
    </x:row>
    <x:row r="19" ht="64" customHeight="1">
      <x:c r="A19" s="272" t="str">
        <x:v>EXT-MONDE-T045-V14</x:v>
      </x:c>
      <x:c r="B19" s="272" t="str">
        <x:v>Parc résidentiel de mobil-homes</x:v>
      </x:c>
      <x:c r="C19" s="281" t="n">
        <x:v>14</x:v>
      </x:c>
      <x:c r="D19" s="272" t="str">
        <x:v>campaign205-045-14</x:v>
      </x:c>
      <x:c r="E19" s="282" t="str">
        <x:v>Oui</x:v>
      </x:c>
      <x:c r="F19" s="282" t="str">
        <x:v>Oui</x:v>
      </x:c>
      <x:c r="G19" s="282" t="str">
        <x:v>Oui</x:v>
      </x:c>
      <x:c r="H19" s="282" t="str">
        <x:v>Oui</x:v>
      </x:c>
      <x:c r="I19" s="282" t="str">
        <x:v>Oui</x:v>
      </x:c>
      <x:c r="J19" s="281" t="n">
        <x:v>1</x:v>
      </x:c>
      <x:c r="K19" s="272" t="str">
        <x:v>84329</x:v>
      </x:c>
      <x:c r="L19" s="272" t="str">
        <x:v>https://github.com/darknigthmare/deadwall-last-enclosure/blob/e28f46223e73105ab2c5d83f3d50b99b58ef53e6/docs/codex/suivi-monde2026/campagne205-eligibilite.json</x:v>
      </x:c>
    </x:row>
    <x:row r="20" ht="64" customHeight="1">
      <x:c r="A20" s="272" t="str">
        <x:v>EXT-MONDE-T045-V15</x:v>
      </x:c>
      <x:c r="B20" s="272" t="str">
        <x:v>Parc résidentiel de mobil-homes</x:v>
      </x:c>
      <x:c r="C20" s="281" t="n">
        <x:v>15</x:v>
      </x:c>
      <x:c r="D20" s="272" t="str">
        <x:v>campaign205-045-15</x:v>
      </x:c>
      <x:c r="E20" s="282" t="str">
        <x:v>Oui</x:v>
      </x:c>
      <x:c r="F20" s="282" t="str">
        <x:v>Oui</x:v>
      </x:c>
      <x:c r="G20" s="282" t="str">
        <x:v>Oui</x:v>
      </x:c>
      <x:c r="H20" s="282" t="str">
        <x:v>Oui</x:v>
      </x:c>
      <x:c r="I20" s="282" t="str">
        <x:v>Oui</x:v>
      </x:c>
      <x:c r="J20" s="281" t="n">
        <x:v>0</x:v>
      </x:c>
      <x:c r="K20" s="272" t="str">
        <x:v>Aucun témoin pour cette variante</x:v>
      </x:c>
      <x:c r="L20" s="272" t="str">
        <x:v>https://github.com/darknigthmare/deadwall-last-enclosure/blob/e28f46223e73105ab2c5d83f3d50b99b58ef53e6/docs/codex/suivi-monde2026/campagne205-eligibilite.json</x:v>
      </x:c>
    </x:row>
    <x:row r="21" ht="64" customHeight="1">
      <x:c r="A21" s="272" t="str">
        <x:v>EXT-MONDE-T045-V16</x:v>
      </x:c>
      <x:c r="B21" s="272" t="str">
        <x:v>Parc résidentiel de mobil-homes</x:v>
      </x:c>
      <x:c r="C21" s="281" t="n">
        <x:v>16</x:v>
      </x:c>
      <x:c r="D21" s="272" t="str">
        <x:v>campaign205-045-16</x:v>
      </x:c>
      <x:c r="E21" s="282" t="str">
        <x:v>Oui</x:v>
      </x:c>
      <x:c r="F21" s="282" t="str">
        <x:v>Oui</x:v>
      </x:c>
      <x:c r="G21" s="282" t="str">
        <x:v>Oui</x:v>
      </x:c>
      <x:c r="H21" s="282" t="str">
        <x:v>Oui</x:v>
      </x:c>
      <x:c r="I21" s="282" t="str">
        <x:v>Oui</x:v>
      </x:c>
      <x:c r="J21" s="281" t="n">
        <x:v>0</x:v>
      </x:c>
      <x:c r="K21" s="272" t="str">
        <x:v>Aucun témoin pour cette variante</x:v>
      </x:c>
      <x:c r="L21" s="272" t="str">
        <x:v>https://github.com/darknigthmare/deadwall-last-enclosure/blob/e28f46223e73105ab2c5d83f3d50b99b58ef53e6/docs/codex/suivi-monde2026/campagne205-eligibilite.json</x:v>
      </x:c>
    </x:row>
    <x:row r="22" ht="64" customHeight="1">
      <x:c r="A22" s="272" t="str">
        <x:v>EXT-MONDE-T045-V17</x:v>
      </x:c>
      <x:c r="B22" s="272" t="str">
        <x:v>Parc résidentiel de mobil-homes</x:v>
      </x:c>
      <x:c r="C22" s="281" t="n">
        <x:v>17</x:v>
      </x:c>
      <x:c r="D22" s="272" t="str">
        <x:v>campaign205-045-17</x:v>
      </x:c>
      <x:c r="E22" s="282" t="str">
        <x:v>Oui</x:v>
      </x:c>
      <x:c r="F22" s="282" t="str">
        <x:v>Oui</x:v>
      </x:c>
      <x:c r="G22" s="282" t="str">
        <x:v>Oui</x:v>
      </x:c>
      <x:c r="H22" s="282" t="str">
        <x:v>Oui</x:v>
      </x:c>
      <x:c r="I22" s="282" t="str">
        <x:v>Oui</x:v>
      </x:c>
      <x:c r="J22" s="281" t="n">
        <x:v>0</x:v>
      </x:c>
      <x:c r="K22" s="272" t="str">
        <x:v>Aucun témoin pour cette variante</x:v>
      </x:c>
      <x:c r="L22" s="272" t="str">
        <x:v>https://github.com/darknigthmare/deadwall-last-enclosure/blob/e28f46223e73105ab2c5d83f3d50b99b58ef53e6/docs/codex/suivi-monde2026/campagne205-eligibilite.json</x:v>
      </x:c>
    </x:row>
    <x:row r="23" ht="64" customHeight="1">
      <x:c r="A23" s="272" t="str">
        <x:v>EXT-MONDE-T045-V18</x:v>
      </x:c>
      <x:c r="B23" s="272" t="str">
        <x:v>Parc résidentiel de mobil-homes</x:v>
      </x:c>
      <x:c r="C23" s="281" t="n">
        <x:v>18</x:v>
      </x:c>
      <x:c r="D23" s="272" t="str">
        <x:v>campaign205-045-18</x:v>
      </x:c>
      <x:c r="E23" s="282" t="str">
        <x:v>Oui</x:v>
      </x:c>
      <x:c r="F23" s="282" t="str">
        <x:v>Oui</x:v>
      </x:c>
      <x:c r="G23" s="282" t="str">
        <x:v>Oui</x:v>
      </x:c>
      <x:c r="H23" s="282" t="str">
        <x:v>Oui</x:v>
      </x:c>
      <x:c r="I23" s="282" t="str">
        <x:v>Oui</x:v>
      </x:c>
      <x:c r="J23" s="281" t="n">
        <x:v>0</x:v>
      </x:c>
      <x:c r="K23" s="272" t="str">
        <x:v>Aucun témoin pour cette variante</x:v>
      </x:c>
      <x:c r="L23" s="272" t="str">
        <x:v>https://github.com/darknigthmare/deadwall-last-enclosure/blob/e28f46223e73105ab2c5d83f3d50b99b58ef53e6/docs/codex/suivi-monde2026/campagne205-eligibilite.json</x:v>
      </x:c>
    </x:row>
    <x:row r="24" ht="64" customHeight="1">
      <x:c r="A24" s="272" t="str">
        <x:v>EXT-MONDE-T045-V19</x:v>
      </x:c>
      <x:c r="B24" s="272" t="str">
        <x:v>Parc résidentiel de mobil-homes</x:v>
      </x:c>
      <x:c r="C24" s="281" t="n">
        <x:v>19</x:v>
      </x:c>
      <x:c r="D24" s="272" t="str">
        <x:v>campaign205-045-19</x:v>
      </x:c>
      <x:c r="E24" s="282" t="str">
        <x:v>Oui</x:v>
      </x:c>
      <x:c r="F24" s="282" t="str">
        <x:v>Oui</x:v>
      </x:c>
      <x:c r="G24" s="282" t="str">
        <x:v>Oui</x:v>
      </x:c>
      <x:c r="H24" s="282" t="str">
        <x:v>Oui</x:v>
      </x:c>
      <x:c r="I24" s="282" t="str">
        <x:v>Oui</x:v>
      </x:c>
      <x:c r="J24" s="281" t="n">
        <x:v>0</x:v>
      </x:c>
      <x:c r="K24" s="272" t="str">
        <x:v>Aucun témoin pour cette variante</x:v>
      </x:c>
      <x:c r="L24" s="272" t="str">
        <x:v>https://github.com/darknigthmare/deadwall-last-enclosure/blob/e28f46223e73105ab2c5d83f3d50b99b58ef53e6/docs/codex/suivi-monde2026/campagne205-eligibilite.json</x:v>
      </x:c>
    </x:row>
    <x:row r="25" ht="64" customHeight="1">
      <x:c r="A25" s="272" t="str">
        <x:v>EXT-MONDE-T045-V20</x:v>
      </x:c>
      <x:c r="B25" s="272" t="str">
        <x:v>Parc résidentiel de mobil-homes</x:v>
      </x:c>
      <x:c r="C25" s="281" t="n">
        <x:v>20</x:v>
      </x:c>
      <x:c r="D25" s="272" t="str">
        <x:v>campaign205-045-20</x:v>
      </x:c>
      <x:c r="E25" s="282" t="str">
        <x:v>Oui</x:v>
      </x:c>
      <x:c r="F25" s="282" t="str">
        <x:v>Oui</x:v>
      </x:c>
      <x:c r="G25" s="282" t="str">
        <x:v>Oui</x:v>
      </x:c>
      <x:c r="H25" s="282" t="str">
        <x:v>Oui</x:v>
      </x:c>
      <x:c r="I25" s="282" t="str">
        <x:v>Oui</x:v>
      </x:c>
      <x:c r="J25" s="281" t="n">
        <x:v>0</x:v>
      </x:c>
      <x:c r="K25" s="272" t="str">
        <x:v>Aucun témoin pour cette variante</x:v>
      </x:c>
      <x:c r="L25" s="272" t="str">
        <x:v>https://github.com/darknigthmare/deadwall-last-enclosure/blob/e28f46223e73105ab2c5d83f3d50b99b58ef53e6/docs/codex/suivi-monde2026/campagne205-eligibilite.json</x:v>
      </x:c>
    </x:row>
    <x:row r="26" ht="64" customHeight="1">
      <x:c r="A26" s="272" t="str">
        <x:v>EXT-MONDE-T045-V21</x:v>
      </x:c>
      <x:c r="B26" s="272" t="str">
        <x:v>Parc résidentiel de mobil-homes</x:v>
      </x:c>
      <x:c r="C26" s="281" t="n">
        <x:v>21</x:v>
      </x:c>
      <x:c r="D26" s="272" t="str">
        <x:v>campaign205-045-21</x:v>
      </x:c>
      <x:c r="E26" s="282" t="str">
        <x:v>Oui</x:v>
      </x:c>
      <x:c r="F26" s="282" t="str">
        <x:v>Oui</x:v>
      </x:c>
      <x:c r="G26" s="282" t="str">
        <x:v>Oui</x:v>
      </x:c>
      <x:c r="H26" s="282" t="str">
        <x:v>Oui</x:v>
      </x:c>
      <x:c r="I26" s="282" t="str">
        <x:v>Oui</x:v>
      </x:c>
      <x:c r="J26" s="281" t="n">
        <x:v>0</x:v>
      </x:c>
      <x:c r="K26" s="272" t="str">
        <x:v>Aucun témoin pour cette variante</x:v>
      </x:c>
      <x:c r="L26" s="272" t="str">
        <x:v>https://github.com/darknigthmare/deadwall-last-enclosure/blob/e28f46223e73105ab2c5d83f3d50b99b58ef53e6/docs/codex/suivi-monde2026/campagne205-eligibilite.json</x:v>
      </x:c>
    </x:row>
    <x:row r="27" ht="64" customHeight="1">
      <x:c r="A27" s="272" t="str">
        <x:v>EXT-MONDE-T045-V22</x:v>
      </x:c>
      <x:c r="B27" s="272" t="str">
        <x:v>Parc résidentiel de mobil-homes</x:v>
      </x:c>
      <x:c r="C27" s="281" t="n">
        <x:v>22</x:v>
      </x:c>
      <x:c r="D27" s="272" t="str">
        <x:v>campaign205-045-22</x:v>
      </x:c>
      <x:c r="E27" s="282" t="str">
        <x:v>Oui</x:v>
      </x:c>
      <x:c r="F27" s="282" t="str">
        <x:v>Oui</x:v>
      </x:c>
      <x:c r="G27" s="282" t="str">
        <x:v>Oui</x:v>
      </x:c>
      <x:c r="H27" s="282" t="str">
        <x:v>Oui</x:v>
      </x:c>
      <x:c r="I27" s="282" t="str">
        <x:v>Oui</x:v>
      </x:c>
      <x:c r="J27" s="281" t="n">
        <x:v>1</x:v>
      </x:c>
      <x:c r="K27" s="272" t="str">
        <x:v>1</x:v>
      </x:c>
      <x:c r="L27" s="272" t="str">
        <x:v>https://github.com/darknigthmare/deadwall-last-enclosure/blob/e28f46223e73105ab2c5d83f3d50b99b58ef53e6/docs/codex/suivi-monde2026/campagne205-eligibilite.json</x:v>
      </x:c>
    </x:row>
    <x:row r="28" ht="64" customHeight="1">
      <x:c r="A28" s="272" t="str">
        <x:v>EXT-MONDE-T045-V23</x:v>
      </x:c>
      <x:c r="B28" s="272" t="str">
        <x:v>Parc résidentiel de mobil-homes</x:v>
      </x:c>
      <x:c r="C28" s="281" t="n">
        <x:v>23</x:v>
      </x:c>
      <x:c r="D28" s="272" t="str">
        <x:v>campaign205-045-23</x:v>
      </x:c>
      <x:c r="E28" s="282" t="str">
        <x:v>Oui</x:v>
      </x:c>
      <x:c r="F28" s="282" t="str">
        <x:v>Oui</x:v>
      </x:c>
      <x:c r="G28" s="282" t="str">
        <x:v>Oui</x:v>
      </x:c>
      <x:c r="H28" s="282" t="str">
        <x:v>Oui</x:v>
      </x:c>
      <x:c r="I28" s="282" t="str">
        <x:v>Oui</x:v>
      </x:c>
      <x:c r="J28" s="281" t="n">
        <x:v>0</x:v>
      </x:c>
      <x:c r="K28" s="272" t="str">
        <x:v>Aucun témoin pour cette variante</x:v>
      </x:c>
      <x:c r="L28" s="272" t="str">
        <x:v>https://github.com/darknigthmare/deadwall-last-enclosure/blob/e28f46223e73105ab2c5d83f3d50b99b58ef53e6/docs/codex/suivi-monde2026/campagne205-eligibilite.json</x:v>
      </x:c>
    </x:row>
    <x:row r="29" ht="64" customHeight="1">
      <x:c r="A29" s="272" t="str">
        <x:v>EXT-MONDE-T045-V24</x:v>
      </x:c>
      <x:c r="B29" s="272" t="str">
        <x:v>Parc résidentiel de mobil-homes</x:v>
      </x:c>
      <x:c r="C29" s="281" t="n">
        <x:v>24</x:v>
      </x:c>
      <x:c r="D29" s="272" t="str">
        <x:v>campaign205-045-24</x:v>
      </x:c>
      <x:c r="E29" s="282" t="str">
        <x:v>Oui</x:v>
      </x:c>
      <x:c r="F29" s="282" t="str">
        <x:v>Oui</x:v>
      </x:c>
      <x:c r="G29" s="282" t="str">
        <x:v>Oui</x:v>
      </x:c>
      <x:c r="H29" s="282" t="str">
        <x:v>Oui</x:v>
      </x:c>
      <x:c r="I29" s="282" t="str">
        <x:v>Oui</x:v>
      </x:c>
      <x:c r="J29" s="281" t="n">
        <x:v>0</x:v>
      </x:c>
      <x:c r="K29" s="272" t="str">
        <x:v>Aucun témoin pour cette variante</x:v>
      </x:c>
      <x:c r="L29" s="272" t="str">
        <x:v>https://github.com/darknigthmare/deadwall-last-enclosure/blob/e28f46223e73105ab2c5d83f3d50b99b58ef53e6/docs/codex/suivi-monde2026/campagne205-eligibilite.json</x:v>
      </x:c>
    </x:row>
    <x:row r="30" ht="64" customHeight="1">
      <x:c r="A30" s="272" t="str">
        <x:v>EXT-MONDE-T045-V25</x:v>
      </x:c>
      <x:c r="B30" s="272" t="str">
        <x:v>Parc résidentiel de mobil-homes</x:v>
      </x:c>
      <x:c r="C30" s="281" t="n">
        <x:v>25</x:v>
      </x:c>
      <x:c r="D30" s="272" t="str">
        <x:v>campaign205-045-25</x:v>
      </x:c>
      <x:c r="E30" s="282" t="str">
        <x:v>Oui</x:v>
      </x:c>
      <x:c r="F30" s="282" t="str">
        <x:v>Oui</x:v>
      </x:c>
      <x:c r="G30" s="282" t="str">
        <x:v>Oui</x:v>
      </x:c>
      <x:c r="H30" s="282" t="str">
        <x:v>Oui</x:v>
      </x:c>
      <x:c r="I30" s="282" t="str">
        <x:v>Oui</x:v>
      </x:c>
      <x:c r="J30" s="281" t="n">
        <x:v>1</x:v>
      </x:c>
      <x:c r="K30" s="272" t="str">
        <x:v>967313470</x:v>
      </x:c>
      <x:c r="L30" s="272" t="str">
        <x:v>https://github.com/darknigthmare/deadwall-last-enclosure/blob/e28f46223e73105ab2c5d83f3d50b99b58ef53e6/docs/codex/suivi-monde2026/campagne205-eligibilite.json</x:v>
      </x:c>
    </x:row>
    <x:row r="31" ht="64" customHeight="1">
      <x:c r="A31" s="272" t="str">
        <x:v>EXT-MONDE-T045-V26</x:v>
      </x:c>
      <x:c r="B31" s="272" t="str">
        <x:v>Parc résidentiel de mobil-homes</x:v>
      </x:c>
      <x:c r="C31" s="281" t="n">
        <x:v>26</x:v>
      </x:c>
      <x:c r="D31" s="272" t="str">
        <x:v>campaign205-045-26</x:v>
      </x:c>
      <x:c r="E31" s="282" t="str">
        <x:v>Oui</x:v>
      </x:c>
      <x:c r="F31" s="282" t="str">
        <x:v>Oui</x:v>
      </x:c>
      <x:c r="G31" s="282" t="str">
        <x:v>Oui</x:v>
      </x:c>
      <x:c r="H31" s="282" t="str">
        <x:v>Oui</x:v>
      </x:c>
      <x:c r="I31" s="282" t="str">
        <x:v>Oui</x:v>
      </x:c>
      <x:c r="J31" s="281" t="n">
        <x:v>0</x:v>
      </x:c>
      <x:c r="K31" s="272" t="str">
        <x:v>Aucun témoin pour cette variante</x:v>
      </x:c>
      <x:c r="L31" s="272" t="str">
        <x:v>https://github.com/darknigthmare/deadwall-last-enclosure/blob/e28f46223e73105ab2c5d83f3d50b99b58ef53e6/docs/codex/suivi-monde2026/campagne205-eligibilite.json</x:v>
      </x:c>
    </x:row>
    <x:row r="32" ht="64" customHeight="1">
      <x:c r="A32" s="272" t="str">
        <x:v>EXT-MONDE-T045-V27</x:v>
      </x:c>
      <x:c r="B32" s="272" t="str">
        <x:v>Parc résidentiel de mobil-homes</x:v>
      </x:c>
      <x:c r="C32" s="281" t="n">
        <x:v>27</x:v>
      </x:c>
      <x:c r="D32" s="272" t="str">
        <x:v>campaign205-045-27</x:v>
      </x:c>
      <x:c r="E32" s="282" t="str">
        <x:v>Oui</x:v>
      </x:c>
      <x:c r="F32" s="282" t="str">
        <x:v>Oui</x:v>
      </x:c>
      <x:c r="G32" s="282" t="str">
        <x:v>Oui</x:v>
      </x:c>
      <x:c r="H32" s="282" t="str">
        <x:v>Oui</x:v>
      </x:c>
      <x:c r="I32" s="282" t="str">
        <x:v>Oui</x:v>
      </x:c>
      <x:c r="J32" s="281" t="n">
        <x:v>1</x:v>
      </x:c>
      <x:c r="K32" s="272" t="str">
        <x:v>0</x:v>
      </x:c>
      <x:c r="L32" s="272" t="str">
        <x:v>https://github.com/darknigthmare/deadwall-last-enclosure/blob/e28f46223e73105ab2c5d83f3d50b99b58ef53e6/docs/codex/suivi-monde2026/campagne205-eligibilite.json</x:v>
      </x:c>
    </x:row>
    <x:row r="33" ht="64" customHeight="1">
      <x:c r="A33" s="272" t="str">
        <x:v>EXT-MONDE-T045-V28</x:v>
      </x:c>
      <x:c r="B33" s="272" t="str">
        <x:v>Parc résidentiel de mobil-homes</x:v>
      </x:c>
      <x:c r="C33" s="281" t="n">
        <x:v>28</x:v>
      </x:c>
      <x:c r="D33" s="272" t="str">
        <x:v>campaign205-045-28</x:v>
      </x:c>
      <x:c r="E33" s="282" t="str">
        <x:v>Oui</x:v>
      </x:c>
      <x:c r="F33" s="282" t="str">
        <x:v>Oui</x:v>
      </x:c>
      <x:c r="G33" s="282" t="str">
        <x:v>Oui</x:v>
      </x:c>
      <x:c r="H33" s="282" t="str">
        <x:v>Oui</x:v>
      </x:c>
      <x:c r="I33" s="282" t="str">
        <x:v>Oui</x:v>
      </x:c>
      <x:c r="J33" s="281" t="n">
        <x:v>0</x:v>
      </x:c>
      <x:c r="K33" s="272" t="str">
        <x:v>Aucun témoin pour cette variante</x:v>
      </x:c>
      <x:c r="L33" s="272" t="str">
        <x:v>https://github.com/darknigthmare/deadwall-last-enclosure/blob/e28f46223e73105ab2c5d83f3d50b99b58ef53e6/docs/codex/suivi-monde2026/campagne205-eligibilite.json</x:v>
      </x:c>
    </x:row>
    <x:row r="34" ht="64" customHeight="1">
      <x:c r="A34" s="272" t="str">
        <x:v>EXT-MONDE-T045-V29</x:v>
      </x:c>
      <x:c r="B34" s="272" t="str">
        <x:v>Parc résidentiel de mobil-homes</x:v>
      </x:c>
      <x:c r="C34" s="281" t="n">
        <x:v>29</x:v>
      </x:c>
      <x:c r="D34" s="272" t="str">
        <x:v>campaign205-045-29</x:v>
      </x:c>
      <x:c r="E34" s="282" t="str">
        <x:v>Oui</x:v>
      </x:c>
      <x:c r="F34" s="282" t="str">
        <x:v>Oui</x:v>
      </x:c>
      <x:c r="G34" s="282" t="str">
        <x:v>Oui</x:v>
      </x:c>
      <x:c r="H34" s="282" t="str">
        <x:v>Oui</x:v>
      </x:c>
      <x:c r="I34" s="282" t="str">
        <x:v>Oui</x:v>
      </x:c>
      <x:c r="J34" s="281" t="n">
        <x:v>1</x:v>
      </x:c>
      <x:c r="K34" s="272" t="str">
        <x:v>17117</x:v>
      </x:c>
      <x:c r="L34" s="272" t="str">
        <x:v>https://github.com/darknigthmare/deadwall-last-enclosure/blob/e28f46223e73105ab2c5d83f3d50b99b58ef53e6/docs/codex/suivi-monde2026/campagne205-eligibilite.json</x:v>
      </x:c>
    </x:row>
    <x:row r="35" ht="64" customHeight="1">
      <x:c r="A35" s="272" t="str">
        <x:v>EXT-MONDE-T045-V30</x:v>
      </x:c>
      <x:c r="B35" s="272" t="str">
        <x:v>Parc résidentiel de mobil-homes</x:v>
      </x:c>
      <x:c r="C35" s="281" t="n">
        <x:v>30</x:v>
      </x:c>
      <x:c r="D35" s="272" t="str">
        <x:v>campaign205-045-30</x:v>
      </x:c>
      <x:c r="E35" s="282" t="str">
        <x:v>Oui</x:v>
      </x:c>
      <x:c r="F35" s="282" t="str">
        <x:v>Oui</x:v>
      </x:c>
      <x:c r="G35" s="282" t="str">
        <x:v>Oui</x:v>
      </x:c>
      <x:c r="H35" s="282" t="str">
        <x:v>Oui</x:v>
      </x:c>
      <x:c r="I35" s="282" t="str">
        <x:v>Oui</x:v>
      </x:c>
      <x:c r="J35" s="281" t="n">
        <x:v>0</x:v>
      </x:c>
      <x:c r="K35" s="272" t="str">
        <x:v>Aucun témoin pour cette variante</x:v>
      </x:c>
      <x:c r="L35" s="272" t="str">
        <x:v>https://github.com/darknigthmare/deadwall-last-enclosure/blob/e28f46223e73105ab2c5d83f3d50b99b58ef53e6/docs/codex/suivi-monde2026/campagne205-eligibilite.json</x:v>
      </x:c>
    </x:row>
    <x:row r="36" ht="64" customHeight="1">
      <x:c r="A36" s="272" t="str">
        <x:v>EXT-MONDE-T045-V31</x:v>
      </x:c>
      <x:c r="B36" s="272" t="str">
        <x:v>Parc résidentiel de mobil-homes</x:v>
      </x:c>
      <x:c r="C36" s="281" t="n">
        <x:v>31</x:v>
      </x:c>
      <x:c r="D36" s="272" t="str">
        <x:v>campaign205-045-31</x:v>
      </x:c>
      <x:c r="E36" s="282" t="str">
        <x:v>Oui</x:v>
      </x:c>
      <x:c r="F36" s="282" t="str">
        <x:v>Oui</x:v>
      </x:c>
      <x:c r="G36" s="282" t="str">
        <x:v>Oui</x:v>
      </x:c>
      <x:c r="H36" s="282" t="str">
        <x:v>Oui</x:v>
      </x:c>
      <x:c r="I36" s="282" t="str">
        <x:v>Oui</x:v>
      </x:c>
      <x:c r="J36" s="281" t="n">
        <x:v>0</x:v>
      </x:c>
      <x:c r="K36" s="272" t="str">
        <x:v>Aucun témoin pour cette variante</x:v>
      </x:c>
      <x:c r="L36" s="272" t="str">
        <x:v>https://github.com/darknigthmare/deadwall-last-enclosure/blob/e28f46223e73105ab2c5d83f3d50b99b58ef53e6/docs/codex/suivi-monde2026/campagne205-eligibilite.json</x:v>
      </x:c>
    </x:row>
    <x:row r="37" ht="64" customHeight="1">
      <x:c r="A37" s="272" t="str">
        <x:v>EXT-MONDE-T045-V32</x:v>
      </x:c>
      <x:c r="B37" s="272" t="str">
        <x:v>Parc résidentiel de mobil-homes</x:v>
      </x:c>
      <x:c r="C37" s="281" t="n">
        <x:v>32</x:v>
      </x:c>
      <x:c r="D37" s="272" t="str">
        <x:v>campaign205-045-32</x:v>
      </x:c>
      <x:c r="E37" s="282" t="str">
        <x:v>Oui</x:v>
      </x:c>
      <x:c r="F37" s="282" t="str">
        <x:v>Oui</x:v>
      </x:c>
      <x:c r="G37" s="282" t="str">
        <x:v>Oui</x:v>
      </x:c>
      <x:c r="H37" s="282" t="str">
        <x:v>Oui</x:v>
      </x:c>
      <x:c r="I37" s="282" t="str">
        <x:v>Oui</x:v>
      </x:c>
      <x:c r="J37" s="281" t="n">
        <x:v>0</x:v>
      </x:c>
      <x:c r="K37" s="272" t="str">
        <x:v>Aucun témoin pour cette variante</x:v>
      </x:c>
      <x:c r="L37" s="272" t="str">
        <x:v>https://github.com/darknigthmare/deadwall-last-enclosure/blob/e28f46223e73105ab2c5d83f3d50b99b58ef53e6/docs/codex/suivi-monde2026/campagne205-eligibilite.json</x:v>
      </x:c>
    </x:row>
    <x:row r="38" ht="64" customHeight="1">
      <x:c r="A38" s="272" t="str">
        <x:v>EXT-MONDE-T045-V33</x:v>
      </x:c>
      <x:c r="B38" s="272" t="str">
        <x:v>Parc résidentiel de mobil-homes</x:v>
      </x:c>
      <x:c r="C38" s="281" t="n">
        <x:v>33</x:v>
      </x:c>
      <x:c r="D38" s="272" t="str">
        <x:v>campaign205-045-33</x:v>
      </x:c>
      <x:c r="E38" s="282" t="str">
        <x:v>Oui</x:v>
      </x:c>
      <x:c r="F38" s="282" t="str">
        <x:v>Oui</x:v>
      </x:c>
      <x:c r="G38" s="282" t="str">
        <x:v>Oui</x:v>
      </x:c>
      <x:c r="H38" s="282" t="str">
        <x:v>Oui</x:v>
      </x:c>
      <x:c r="I38" s="282" t="str">
        <x:v>Oui</x:v>
      </x:c>
      <x:c r="J38" s="281" t="n">
        <x:v>0</x:v>
      </x:c>
      <x:c r="K38" s="272" t="str">
        <x:v>Aucun témoin pour cette variante</x:v>
      </x:c>
      <x:c r="L38" s="272" t="str">
        <x:v>https://github.com/darknigthmare/deadwall-last-enclosure/blob/e28f46223e73105ab2c5d83f3d50b99b58ef53e6/docs/codex/suivi-monde2026/campagne205-eligibilite.json</x:v>
      </x:c>
    </x:row>
    <x:row r="39" ht="64" customHeight="1">
      <x:c r="A39" s="272" t="str">
        <x:v>EXT-MONDE-T045-V34</x:v>
      </x:c>
      <x:c r="B39" s="272" t="str">
        <x:v>Parc résidentiel de mobil-homes</x:v>
      </x:c>
      <x:c r="C39" s="281" t="n">
        <x:v>34</x:v>
      </x:c>
      <x:c r="D39" s="272" t="str">
        <x:v>campaign205-045-34</x:v>
      </x:c>
      <x:c r="E39" s="282" t="str">
        <x:v>Oui</x:v>
      </x:c>
      <x:c r="F39" s="282" t="str">
        <x:v>Oui</x:v>
      </x:c>
      <x:c r="G39" s="282" t="str">
        <x:v>Oui</x:v>
      </x:c>
      <x:c r="H39" s="282" t="str">
        <x:v>Oui</x:v>
      </x:c>
      <x:c r="I39" s="282" t="str">
        <x:v>Oui</x:v>
      </x:c>
      <x:c r="J39" s="281" t="n">
        <x:v>0</x:v>
      </x:c>
      <x:c r="K39" s="272" t="str">
        <x:v>Aucun témoin pour cette variante</x:v>
      </x:c>
      <x:c r="L39" s="272" t="str">
        <x:v>https://github.com/darknigthmare/deadwall-last-enclosure/blob/e28f46223e73105ab2c5d83f3d50b99b58ef53e6/docs/codex/suivi-monde2026/campagne205-eligibilite.json</x:v>
      </x:c>
    </x:row>
    <x:row r="40" ht="64" customHeight="1">
      <x:c r="A40" s="272" t="str">
        <x:v>EXT-MONDE-T045-V35</x:v>
      </x:c>
      <x:c r="B40" s="272" t="str">
        <x:v>Parc résidentiel de mobil-homes</x:v>
      </x:c>
      <x:c r="C40" s="281" t="n">
        <x:v>35</x:v>
      </x:c>
      <x:c r="D40" s="272" t="str">
        <x:v>campaign205-045-35</x:v>
      </x:c>
      <x:c r="E40" s="282" t="str">
        <x:v>Oui</x:v>
      </x:c>
      <x:c r="F40" s="282" t="str">
        <x:v>Oui</x:v>
      </x:c>
      <x:c r="G40" s="282" t="str">
        <x:v>Oui</x:v>
      </x:c>
      <x:c r="H40" s="282" t="str">
        <x:v>Oui</x:v>
      </x:c>
      <x:c r="I40" s="282" t="str">
        <x:v>Oui</x:v>
      </x:c>
      <x:c r="J40" s="281" t="n">
        <x:v>1</x:v>
      </x:c>
      <x:c r="K40" s="272" t="str">
        <x:v>42</x:v>
      </x:c>
      <x:c r="L40" s="272" t="str">
        <x:v>https://github.com/darknigthmare/deadwall-last-enclosure/blob/e28f46223e73105ab2c5d83f3d50b99b58ef53e6/docs/codex/suivi-monde2026/campagne205-eligibilite.json</x:v>
      </x:c>
    </x:row>
    <x:row r="41" ht="64" customHeight="1">
      <x:c r="A41" s="272" t="str">
        <x:v>EXT-MONDE-T045-V36</x:v>
      </x:c>
      <x:c r="B41" s="272" t="str">
        <x:v>Parc résidentiel de mobil-homes</x:v>
      </x:c>
      <x:c r="C41" s="281" t="n">
        <x:v>36</x:v>
      </x:c>
      <x:c r="D41" s="272" t="str">
        <x:v>campaign205-045-36</x:v>
      </x:c>
      <x:c r="E41" s="282" t="str">
        <x:v>Oui</x:v>
      </x:c>
      <x:c r="F41" s="282" t="str">
        <x:v>Oui</x:v>
      </x:c>
      <x:c r="G41" s="282" t="str">
        <x:v>Oui</x:v>
      </x:c>
      <x:c r="H41" s="282" t="str">
        <x:v>Oui</x:v>
      </x:c>
      <x:c r="I41" s="282" t="str">
        <x:v>Oui</x:v>
      </x:c>
      <x:c r="J41" s="281" t="n">
        <x:v>0</x:v>
      </x:c>
      <x:c r="K41" s="272" t="str">
        <x:v>Aucun témoin pour cette variante</x:v>
      </x:c>
      <x:c r="L41" s="272" t="str">
        <x:v>https://github.com/darknigthmare/deadwall-last-enclosure/blob/e28f46223e73105ab2c5d83f3d50b99b58ef53e6/docs/codex/suivi-monde2026/campagne205-eligibilite.json</x:v>
      </x:c>
    </x:row>
    <x:row r="42" ht="64" customHeight="1">
      <x:c r="A42" s="272" t="str">
        <x:v>EXT-MONDE-T045-V37</x:v>
      </x:c>
      <x:c r="B42" s="272" t="str">
        <x:v>Parc résidentiel de mobil-homes</x:v>
      </x:c>
      <x:c r="C42" s="281" t="n">
        <x:v>37</x:v>
      </x:c>
      <x:c r="D42" s="272" t="str">
        <x:v>campaign205-045-37</x:v>
      </x:c>
      <x:c r="E42" s="282" t="str">
        <x:v>Oui</x:v>
      </x:c>
      <x:c r="F42" s="282" t="str">
        <x:v>Oui</x:v>
      </x:c>
      <x:c r="G42" s="282" t="str">
        <x:v>Oui</x:v>
      </x:c>
      <x:c r="H42" s="282" t="str">
        <x:v>Oui</x:v>
      </x:c>
      <x:c r="I42" s="282" t="str">
        <x:v>Oui</x:v>
      </x:c>
      <x:c r="J42" s="281" t="n">
        <x:v>1</x:v>
      </x:c>
      <x:c r="K42" s="272" t="str">
        <x:v>84329</x:v>
      </x:c>
      <x:c r="L42" s="272" t="str">
        <x:v>https://github.com/darknigthmare/deadwall-last-enclosure/blob/e28f46223e73105ab2c5d83f3d50b99b58ef53e6/docs/codex/suivi-monde2026/campagne205-eligibilite.json</x:v>
      </x:c>
    </x:row>
    <x:row r="43" ht="64" customHeight="1">
      <x:c r="A43" s="272" t="str">
        <x:v>EXT-MONDE-T045-V38</x:v>
      </x:c>
      <x:c r="B43" s="272" t="str">
        <x:v>Parc résidentiel de mobil-homes</x:v>
      </x:c>
      <x:c r="C43" s="281" t="n">
        <x:v>38</x:v>
      </x:c>
      <x:c r="D43" s="272" t="str">
        <x:v>campaign205-045-38</x:v>
      </x:c>
      <x:c r="E43" s="282" t="str">
        <x:v>Oui</x:v>
      </x:c>
      <x:c r="F43" s="282" t="str">
        <x:v>Oui</x:v>
      </x:c>
      <x:c r="G43" s="282" t="str">
        <x:v>Oui</x:v>
      </x:c>
      <x:c r="H43" s="282" t="str">
        <x:v>Oui</x:v>
      </x:c>
      <x:c r="I43" s="282" t="str">
        <x:v>Oui</x:v>
      </x:c>
      <x:c r="J43" s="281" t="n">
        <x:v>0</x:v>
      </x:c>
      <x:c r="K43" s="272" t="str">
        <x:v>Aucun témoin pour cette variante</x:v>
      </x:c>
      <x:c r="L43" s="272" t="str">
        <x:v>https://github.com/darknigthmare/deadwall-last-enclosure/blob/e28f46223e73105ab2c5d83f3d50b99b58ef53e6/docs/codex/suivi-monde2026/campagne205-eligibilite.json</x:v>
      </x:c>
    </x:row>
    <x:row r="44" ht="64" customHeight="1">
      <x:c r="A44" s="272" t="str">
        <x:v>EXT-MONDE-T045-V39</x:v>
      </x:c>
      <x:c r="B44" s="272" t="str">
        <x:v>Parc résidentiel de mobil-homes</x:v>
      </x:c>
      <x:c r="C44" s="281" t="n">
        <x:v>39</x:v>
      </x:c>
      <x:c r="D44" s="272" t="str">
        <x:v>campaign205-045-39</x:v>
      </x:c>
      <x:c r="E44" s="282" t="str">
        <x:v>Oui</x:v>
      </x:c>
      <x:c r="F44" s="282" t="str">
        <x:v>Oui</x:v>
      </x:c>
      <x:c r="G44" s="282" t="str">
        <x:v>Oui</x:v>
      </x:c>
      <x:c r="H44" s="282" t="str">
        <x:v>Oui</x:v>
      </x:c>
      <x:c r="I44" s="282" t="str">
        <x:v>Oui</x:v>
      </x:c>
      <x:c r="J44" s="281" t="n">
        <x:v>0</x:v>
      </x:c>
      <x:c r="K44" s="272" t="str">
        <x:v>Aucun témoin pour cette variante</x:v>
      </x:c>
      <x:c r="L44" s="272" t="str">
        <x:v>https://github.com/darknigthmare/deadwall-last-enclosure/blob/e28f46223e73105ab2c5d83f3d50b99b58ef53e6/docs/codex/suivi-monde2026/campagne205-eligibilite.json</x:v>
      </x:c>
    </x:row>
    <x:row r="45" ht="64" customHeight="1">
      <x:c r="A45" s="272" t="str">
        <x:v>EXT-MONDE-T045-V40</x:v>
      </x:c>
      <x:c r="B45" s="272" t="str">
        <x:v>Parc résidentiel de mobil-homes</x:v>
      </x:c>
      <x:c r="C45" s="281" t="n">
        <x:v>40</x:v>
      </x:c>
      <x:c r="D45" s="272" t="str">
        <x:v>campaign205-045-40</x:v>
      </x:c>
      <x:c r="E45" s="282" t="str">
        <x:v>Oui</x:v>
      </x:c>
      <x:c r="F45" s="282" t="str">
        <x:v>Oui</x:v>
      </x:c>
      <x:c r="G45" s="282" t="str">
        <x:v>Oui</x:v>
      </x:c>
      <x:c r="H45" s="282" t="str">
        <x:v>Oui</x:v>
      </x:c>
      <x:c r="I45" s="282" t="str">
        <x:v>Oui</x:v>
      </x:c>
      <x:c r="J45" s="281" t="n">
        <x:v>0</x:v>
      </x:c>
      <x:c r="K45" s="272" t="str">
        <x:v>Aucun témoin pour cette variante</x:v>
      </x:c>
      <x:c r="L45" s="272" t="str">
        <x:v>https://github.com/darknigthmare/deadwall-last-enclosure/blob/e28f46223e73105ab2c5d83f3d50b99b58ef53e6/docs/codex/suivi-monde2026/campagne205-eligibilite.json</x:v>
      </x:c>
    </x:row>
    <x:row r="46" ht="64" customHeight="1">
      <x:c r="A46" s="272" t="str">
        <x:v>EXT-MONDE-T045-V41</x:v>
      </x:c>
      <x:c r="B46" s="272" t="str">
        <x:v>Parc résidentiel de mobil-homes</x:v>
      </x:c>
      <x:c r="C46" s="281" t="n">
        <x:v>41</x:v>
      </x:c>
      <x:c r="D46" s="272" t="str">
        <x:v>campaign205-045-41</x:v>
      </x:c>
      <x:c r="E46" s="282" t="str">
        <x:v>Oui</x:v>
      </x:c>
      <x:c r="F46" s="282" t="str">
        <x:v>Oui</x:v>
      </x:c>
      <x:c r="G46" s="282" t="str">
        <x:v>Oui</x:v>
      </x:c>
      <x:c r="H46" s="282" t="str">
        <x:v>Oui</x:v>
      </x:c>
      <x:c r="I46" s="282" t="str">
        <x:v>Oui</x:v>
      </x:c>
      <x:c r="J46" s="281" t="n">
        <x:v>0</x:v>
      </x:c>
      <x:c r="K46" s="272" t="str">
        <x:v>Aucun témoin pour cette variante</x:v>
      </x:c>
      <x:c r="L46" s="272" t="str">
        <x:v>https://github.com/darknigthmare/deadwall-last-enclosure/blob/e28f46223e73105ab2c5d83f3d50b99b58ef53e6/docs/codex/suivi-monde2026/campagne205-eligibilite.json</x:v>
      </x:c>
    </x:row>
    <x:row r="47" ht="64" customHeight="1">
      <x:c r="A47" s="272" t="str">
        <x:v>EXT-MONDE-T045-V42</x:v>
      </x:c>
      <x:c r="B47" s="272" t="str">
        <x:v>Parc résidentiel de mobil-homes</x:v>
      </x:c>
      <x:c r="C47" s="281" t="n">
        <x:v>42</x:v>
      </x:c>
      <x:c r="D47" s="272" t="str">
        <x:v>campaign205-045-42</x:v>
      </x:c>
      <x:c r="E47" s="282" t="str">
        <x:v>Oui</x:v>
      </x:c>
      <x:c r="F47" s="282" t="str">
        <x:v>Oui</x:v>
      </x:c>
      <x:c r="G47" s="282" t="str">
        <x:v>Oui</x:v>
      </x:c>
      <x:c r="H47" s="282" t="str">
        <x:v>Oui</x:v>
      </x:c>
      <x:c r="I47" s="282" t="str">
        <x:v>Oui</x:v>
      </x:c>
      <x:c r="J47" s="281" t="n">
        <x:v>2</x:v>
      </x:c>
      <x:c r="K47" s="272" t="str">
        <x:v>17117, 967313470</x:v>
      </x:c>
      <x:c r="L47" s="272" t="str">
        <x:v>https://github.com/darknigthmare/deadwall-last-enclosure/blob/e28f46223e73105ab2c5d83f3d50b99b58ef53e6/docs/codex/suivi-monde2026/campagne205-eligibilite.json</x:v>
      </x:c>
    </x:row>
    <x:row r="48" ht="64" customHeight="1">
      <x:c r="A48" s="272" t="str">
        <x:v>EXT-MONDE-T045-V43</x:v>
      </x:c>
      <x:c r="B48" s="272" t="str">
        <x:v>Parc résidentiel de mobil-homes</x:v>
      </x:c>
      <x:c r="C48" s="281" t="n">
        <x:v>43</x:v>
      </x:c>
      <x:c r="D48" s="272" t="str">
        <x:v>campaign205-045-43</x:v>
      </x:c>
      <x:c r="E48" s="282" t="str">
        <x:v>Oui</x:v>
      </x:c>
      <x:c r="F48" s="282" t="str">
        <x:v>Oui</x:v>
      </x:c>
      <x:c r="G48" s="282" t="str">
        <x:v>Oui</x:v>
      </x:c>
      <x:c r="H48" s="282" t="str">
        <x:v>Oui</x:v>
      </x:c>
      <x:c r="I48" s="282" t="str">
        <x:v>Oui</x:v>
      </x:c>
      <x:c r="J48" s="281" t="n">
        <x:v>0</x:v>
      </x:c>
      <x:c r="K48" s="272" t="str">
        <x:v>Aucun témoin pour cette variante</x:v>
      </x:c>
      <x:c r="L48" s="272" t="str">
        <x:v>https://github.com/darknigthmare/deadwall-last-enclosure/blob/e28f46223e73105ab2c5d83f3d50b99b58ef53e6/docs/codex/suivi-monde2026/campagne205-eligibilite.json</x:v>
      </x:c>
    </x:row>
    <x:row r="49" ht="64" customHeight="1">
      <x:c r="A49" s="272" t="str">
        <x:v>EXT-MONDE-T045-V44</x:v>
      </x:c>
      <x:c r="B49" s="272" t="str">
        <x:v>Parc résidentiel de mobil-homes</x:v>
      </x:c>
      <x:c r="C49" s="281" t="n">
        <x:v>44</x:v>
      </x:c>
      <x:c r="D49" s="272" t="str">
        <x:v>campaign205-045-44</x:v>
      </x:c>
      <x:c r="E49" s="282" t="str">
        <x:v>Oui</x:v>
      </x:c>
      <x:c r="F49" s="282" t="str">
        <x:v>Oui</x:v>
      </x:c>
      <x:c r="G49" s="282" t="str">
        <x:v>Oui</x:v>
      </x:c>
      <x:c r="H49" s="282" t="str">
        <x:v>Oui</x:v>
      </x:c>
      <x:c r="I49" s="282" t="str">
        <x:v>Oui</x:v>
      </x:c>
      <x:c r="J49" s="281" t="n">
        <x:v>1</x:v>
      </x:c>
      <x:c r="K49" s="272" t="str">
        <x:v>1947648717</x:v>
      </x:c>
      <x:c r="L49" s="272" t="str">
        <x:v>https://github.com/darknigthmare/deadwall-last-enclosure/blob/e28f46223e73105ab2c5d83f3d50b99b58ef53e6/docs/codex/suivi-monde2026/campagne205-eligibilite.json</x:v>
      </x:c>
    </x:row>
    <x:row r="50" ht="64" customHeight="1">
      <x:c r="A50" s="272" t="str">
        <x:v>EXT-MONDE-T045-V45</x:v>
      </x:c>
      <x:c r="B50" s="272" t="str">
        <x:v>Parc résidentiel de mobil-homes</x:v>
      </x:c>
      <x:c r="C50" s="281" t="n">
        <x:v>45</x:v>
      </x:c>
      <x:c r="D50" s="272" t="str">
        <x:v>campaign205-045-45</x:v>
      </x:c>
      <x:c r="E50" s="282" t="str">
        <x:v>Oui</x:v>
      </x:c>
      <x:c r="F50" s="282" t="str">
        <x:v>Oui</x:v>
      </x:c>
      <x:c r="G50" s="282" t="str">
        <x:v>Oui</x:v>
      </x:c>
      <x:c r="H50" s="282" t="str">
        <x:v>Oui</x:v>
      </x:c>
      <x:c r="I50" s="282" t="str">
        <x:v>Oui</x:v>
      </x:c>
      <x:c r="J50" s="281" t="n">
        <x:v>0</x:v>
      </x:c>
      <x:c r="K50" s="272" t="str">
        <x:v>Aucun témoin pour cette variante</x:v>
      </x:c>
      <x:c r="L50" s="272" t="str">
        <x:v>https://github.com/darknigthmare/deadwall-last-enclosure/blob/e28f46223e73105ab2c5d83f3d50b99b58ef53e6/docs/codex/suivi-monde2026/campagne205-eligibilite.json</x:v>
      </x:c>
    </x:row>
    <x:row r="51" ht="64" customHeight="1">
      <x:c r="A51" s="272" t="str">
        <x:v>EXT-MONDE-T045-V46</x:v>
      </x:c>
      <x:c r="B51" s="272" t="str">
        <x:v>Parc résidentiel de mobil-homes</x:v>
      </x:c>
      <x:c r="C51" s="281" t="n">
        <x:v>46</x:v>
      </x:c>
      <x:c r="D51" s="272" t="str">
        <x:v>campaign205-045-46</x:v>
      </x:c>
      <x:c r="E51" s="282" t="str">
        <x:v>Oui</x:v>
      </x:c>
      <x:c r="F51" s="282" t="str">
        <x:v>Oui</x:v>
      </x:c>
      <x:c r="G51" s="282" t="str">
        <x:v>Oui</x:v>
      </x:c>
      <x:c r="H51" s="282" t="str">
        <x:v>Oui</x:v>
      </x:c>
      <x:c r="I51" s="282" t="str">
        <x:v>Oui</x:v>
      </x:c>
      <x:c r="J51" s="281" t="n">
        <x:v>0</x:v>
      </x:c>
      <x:c r="K51" s="272" t="str">
        <x:v>Aucun témoin pour cette variante</x:v>
      </x:c>
      <x:c r="L51" s="272" t="str">
        <x:v>https://github.com/darknigthmare/deadwall-last-enclosure/blob/e28f46223e73105ab2c5d83f3d50b99b58ef53e6/docs/codex/suivi-monde2026/campagne205-eligibilite.json</x:v>
      </x:c>
    </x:row>
    <x:row r="52" ht="64" customHeight="1">
      <x:c r="A52" s="272" t="str">
        <x:v>EXT-MONDE-T045-V47</x:v>
      </x:c>
      <x:c r="B52" s="272" t="str">
        <x:v>Parc résidentiel de mobil-homes</x:v>
      </x:c>
      <x:c r="C52" s="281" t="n">
        <x:v>47</x:v>
      </x:c>
      <x:c r="D52" s="272" t="str">
        <x:v>campaign205-045-47</x:v>
      </x:c>
      <x:c r="E52" s="282" t="str">
        <x:v>Oui</x:v>
      </x:c>
      <x:c r="F52" s="282" t="str">
        <x:v>Oui</x:v>
      </x:c>
      <x:c r="G52" s="282" t="str">
        <x:v>Oui</x:v>
      </x:c>
      <x:c r="H52" s="282" t="str">
        <x:v>Oui</x:v>
      </x:c>
      <x:c r="I52" s="282" t="str">
        <x:v>Oui</x:v>
      </x:c>
      <x:c r="J52" s="281" t="n">
        <x:v>1</x:v>
      </x:c>
      <x:c r="K52" s="272" t="str">
        <x:v>42</x:v>
      </x:c>
      <x:c r="L52" s="272" t="str">
        <x:v>https://github.com/darknigthmare/deadwall-last-enclosure/blob/e28f46223e73105ab2c5d83f3d50b99b58ef53e6/docs/codex/suivi-monde2026/campagne205-eligibilite.json</x:v>
      </x:c>
    </x:row>
    <x:row r="53" ht="64" customHeight="1">
      <x:c r="A53" s="272" t="str">
        <x:v>EXT-MONDE-T045-V48</x:v>
      </x:c>
      <x:c r="B53" s="272" t="str">
        <x:v>Parc résidentiel de mobil-homes</x:v>
      </x:c>
      <x:c r="C53" s="281" t="n">
        <x:v>48</x:v>
      </x:c>
      <x:c r="D53" s="272" t="str">
        <x:v>campaign205-045-48</x:v>
      </x:c>
      <x:c r="E53" s="282" t="str">
        <x:v>Oui</x:v>
      </x:c>
      <x:c r="F53" s="282" t="str">
        <x:v>Oui</x:v>
      </x:c>
      <x:c r="G53" s="282" t="str">
        <x:v>Oui</x:v>
      </x:c>
      <x:c r="H53" s="282" t="str">
        <x:v>Oui</x:v>
      </x:c>
      <x:c r="I53" s="282" t="str">
        <x:v>Oui</x:v>
      </x:c>
      <x:c r="J53" s="281" t="n">
        <x:v>1</x:v>
      </x:c>
      <x:c r="K53" s="272" t="str">
        <x:v>1</x:v>
      </x:c>
      <x:c r="L53" s="272" t="str">
        <x:v>https://github.com/darknigthmare/deadwall-last-enclosure/blob/e28f46223e73105ab2c5d83f3d50b99b58ef53e6/docs/codex/suivi-monde2026/campagne205-eligibilite.json</x:v>
      </x:c>
    </x:row>
    <x:row r="54" ht="64" customHeight="1">
      <x:c r="A54" s="272" t="str">
        <x:v>EXT-MONDE-T045-V49</x:v>
      </x:c>
      <x:c r="B54" s="272" t="str">
        <x:v>Parc résidentiel de mobil-homes</x:v>
      </x:c>
      <x:c r="C54" s="281" t="n">
        <x:v>49</x:v>
      </x:c>
      <x:c r="D54" s="272" t="str">
        <x:v>campaign205-045-49</x:v>
      </x:c>
      <x:c r="E54" s="282" t="str">
        <x:v>Oui</x:v>
      </x:c>
      <x:c r="F54" s="282" t="str">
        <x:v>Oui</x:v>
      </x:c>
      <x:c r="G54" s="282" t="str">
        <x:v>Oui</x:v>
      </x:c>
      <x:c r="H54" s="282" t="str">
        <x:v>Oui</x:v>
      </x:c>
      <x:c r="I54" s="282" t="str">
        <x:v>Oui</x:v>
      </x:c>
      <x:c r="J54" s="281" t="n">
        <x:v>0</x:v>
      </x:c>
      <x:c r="K54" s="272" t="str">
        <x:v>Aucun témoin pour cette variante</x:v>
      </x:c>
      <x:c r="L54" s="272" t="str">
        <x:v>https://github.com/darknigthmare/deadwall-last-enclosure/blob/e28f46223e73105ab2c5d83f3d50b99b58ef53e6/docs/codex/suivi-monde2026/campagne205-eligibilite.json</x:v>
      </x:c>
    </x:row>
    <x:row r="55" ht="64" customHeight="1">
      <x:c r="A55" s="272" t="str">
        <x:v>EXT-MONDE-T045-V50</x:v>
      </x:c>
      <x:c r="B55" s="272" t="str">
        <x:v>Parc résidentiel de mobil-homes</x:v>
      </x:c>
      <x:c r="C55" s="281" t="n">
        <x:v>50</x:v>
      </x:c>
      <x:c r="D55" s="272" t="str">
        <x:v>campaign205-045-50</x:v>
      </x:c>
      <x:c r="E55" s="282" t="str">
        <x:v>Oui</x:v>
      </x:c>
      <x:c r="F55" s="282" t="str">
        <x:v>Oui</x:v>
      </x:c>
      <x:c r="G55" s="282" t="str">
        <x:v>Oui</x:v>
      </x:c>
      <x:c r="H55" s="282" t="str">
        <x:v>Oui</x:v>
      </x:c>
      <x:c r="I55" s="282" t="str">
        <x:v>Oui</x:v>
      </x:c>
      <x:c r="J55" s="281" t="n">
        <x:v>0</x:v>
      </x:c>
      <x:c r="K55" s="272" t="str">
        <x:v>Aucun témoin pour cette variante</x:v>
      </x:c>
      <x:c r="L55" s="272" t="str">
        <x:v>https://github.com/darknigthmare/deadwall-last-enclosure/blob/e28f46223e73105ab2c5d83f3d50b99b58ef53e6/docs/codex/suivi-monde2026/campagne205-eligibilite.json</x:v>
      </x:c>
    </x:row>
    <x:row r="56" ht="64" customHeight="1">
      <x:c r="A56" s="272" t="str">
        <x:v>EXT-MONDE-T046-V01</x:v>
      </x:c>
      <x:c r="B56" s="272" t="str">
        <x:v>Camping caravanes</x:v>
      </x:c>
      <x:c r="C56" s="281" t="n">
        <x:v>1</x:v>
      </x:c>
      <x:c r="D56" s="272" t="str">
        <x:v>campaign205-046-01</x:v>
      </x:c>
      <x:c r="E56" s="282" t="str">
        <x:v>Oui</x:v>
      </x:c>
      <x:c r="F56" s="282" t="str">
        <x:v>Oui</x:v>
      </x:c>
      <x:c r="G56" s="282" t="str">
        <x:v>Oui</x:v>
      </x:c>
      <x:c r="H56" s="282" t="str">
        <x:v>Oui</x:v>
      </x:c>
      <x:c r="I56" s="282" t="str">
        <x:v>Oui</x:v>
      </x:c>
      <x:c r="J56" s="281" t="n">
        <x:v>0</x:v>
      </x:c>
      <x:c r="K56" s="272" t="str">
        <x:v>Aucun témoin pour cette variante</x:v>
      </x:c>
      <x:c r="L56" s="272" t="str">
        <x:v>https://github.com/darknigthmare/deadwall-last-enclosure/blob/e28f46223e73105ab2c5d83f3d50b99b58ef53e6/docs/codex/suivi-monde2026/campagne205-eligibilite.json</x:v>
      </x:c>
    </x:row>
    <x:row r="57" ht="64" customHeight="1">
      <x:c r="A57" s="272" t="str">
        <x:v>EXT-MONDE-T046-V02</x:v>
      </x:c>
      <x:c r="B57" s="272" t="str">
        <x:v>Camping caravanes</x:v>
      </x:c>
      <x:c r="C57" s="281" t="n">
        <x:v>2</x:v>
      </x:c>
      <x:c r="D57" s="272" t="str">
        <x:v>campaign205-046-02</x:v>
      </x:c>
      <x:c r="E57" s="282" t="str">
        <x:v>Oui</x:v>
      </x:c>
      <x:c r="F57" s="282" t="str">
        <x:v>Oui</x:v>
      </x:c>
      <x:c r="G57" s="282" t="str">
        <x:v>Oui</x:v>
      </x:c>
      <x:c r="H57" s="282" t="str">
        <x:v>Oui</x:v>
      </x:c>
      <x:c r="I57" s="282" t="str">
        <x:v>Oui</x:v>
      </x:c>
      <x:c r="J57" s="281" t="n">
        <x:v>1</x:v>
      </x:c>
      <x:c r="K57" s="272" t="str">
        <x:v>4294967295</x:v>
      </x:c>
      <x:c r="L57" s="272" t="str">
        <x:v>https://github.com/darknigthmare/deadwall-last-enclosure/blob/e28f46223e73105ab2c5d83f3d50b99b58ef53e6/docs/codex/suivi-monde2026/campagne205-eligibilite.json</x:v>
      </x:c>
    </x:row>
    <x:row r="58" ht="64" customHeight="1">
      <x:c r="A58" s="272" t="str">
        <x:v>EXT-MONDE-T046-V03</x:v>
      </x:c>
      <x:c r="B58" s="272" t="str">
        <x:v>Camping caravanes</x:v>
      </x:c>
      <x:c r="C58" s="281" t="n">
        <x:v>3</x:v>
      </x:c>
      <x:c r="D58" s="272" t="str">
        <x:v>campaign205-046-03</x:v>
      </x:c>
      <x:c r="E58" s="282" t="str">
        <x:v>Oui</x:v>
      </x:c>
      <x:c r="F58" s="282" t="str">
        <x:v>Oui</x:v>
      </x:c>
      <x:c r="G58" s="282" t="str">
        <x:v>Oui</x:v>
      </x:c>
      <x:c r="H58" s="282" t="str">
        <x:v>Oui</x:v>
      </x:c>
      <x:c r="I58" s="282" t="str">
        <x:v>Oui</x:v>
      </x:c>
      <x:c r="J58" s="281" t="n">
        <x:v>0</x:v>
      </x:c>
      <x:c r="K58" s="272" t="str">
        <x:v>Aucun témoin pour cette variante</x:v>
      </x:c>
      <x:c r="L58" s="272" t="str">
        <x:v>https://github.com/darknigthmare/deadwall-last-enclosure/blob/e28f46223e73105ab2c5d83f3d50b99b58ef53e6/docs/codex/suivi-monde2026/campagne205-eligibilite.json</x:v>
      </x:c>
    </x:row>
    <x:row r="59" ht="64" customHeight="1">
      <x:c r="A59" s="272" t="str">
        <x:v>EXT-MONDE-T046-V04</x:v>
      </x:c>
      <x:c r="B59" s="272" t="str">
        <x:v>Camping caravanes</x:v>
      </x:c>
      <x:c r="C59" s="281" t="n">
        <x:v>4</x:v>
      </x:c>
      <x:c r="D59" s="272" t="str">
        <x:v>campaign205-046-04</x:v>
      </x:c>
      <x:c r="E59" s="282" t="str">
        <x:v>Oui</x:v>
      </x:c>
      <x:c r="F59" s="282" t="str">
        <x:v>Oui</x:v>
      </x:c>
      <x:c r="G59" s="282" t="str">
        <x:v>Oui</x:v>
      </x:c>
      <x:c r="H59" s="282" t="str">
        <x:v>Oui</x:v>
      </x:c>
      <x:c r="I59" s="282" t="str">
        <x:v>Oui</x:v>
      </x:c>
      <x:c r="J59" s="281" t="n">
        <x:v>1</x:v>
      </x:c>
      <x:c r="K59" s="272" t="str">
        <x:v>17117</x:v>
      </x:c>
      <x:c r="L59" s="272" t="str">
        <x:v>https://github.com/darknigthmare/deadwall-last-enclosure/blob/e28f46223e73105ab2c5d83f3d50b99b58ef53e6/docs/codex/suivi-monde2026/campagne205-eligibilite.json</x:v>
      </x:c>
    </x:row>
    <x:row r="60" ht="64" customHeight="1">
      <x:c r="A60" s="272" t="str">
        <x:v>EXT-MONDE-T046-V05</x:v>
      </x:c>
      <x:c r="B60" s="272" t="str">
        <x:v>Camping caravanes</x:v>
      </x:c>
      <x:c r="C60" s="281" t="n">
        <x:v>5</x:v>
      </x:c>
      <x:c r="D60" s="272" t="str">
        <x:v>campaign205-046-05</x:v>
      </x:c>
      <x:c r="E60" s="282" t="str">
        <x:v>Oui</x:v>
      </x:c>
      <x:c r="F60" s="282" t="str">
        <x:v>Oui</x:v>
      </x:c>
      <x:c r="G60" s="282" t="str">
        <x:v>Oui</x:v>
      </x:c>
      <x:c r="H60" s="282" t="str">
        <x:v>Oui</x:v>
      </x:c>
      <x:c r="I60" s="282" t="str">
        <x:v>Oui</x:v>
      </x:c>
      <x:c r="J60" s="281" t="n">
        <x:v>0</x:v>
      </x:c>
      <x:c r="K60" s="272" t="str">
        <x:v>Aucun témoin pour cette variante</x:v>
      </x:c>
      <x:c r="L60" s="272" t="str">
        <x:v>https://github.com/darknigthmare/deadwall-last-enclosure/blob/e28f46223e73105ab2c5d83f3d50b99b58ef53e6/docs/codex/suivi-monde2026/campagne205-eligibilite.json</x:v>
      </x:c>
    </x:row>
    <x:row r="61" ht="64" customHeight="1">
      <x:c r="A61" s="272" t="str">
        <x:v>EXT-MONDE-T046-V06</x:v>
      </x:c>
      <x:c r="B61" s="272" t="str">
        <x:v>Camping caravanes</x:v>
      </x:c>
      <x:c r="C61" s="281" t="n">
        <x:v>6</x:v>
      </x:c>
      <x:c r="D61" s="272" t="str">
        <x:v>campaign205-046-06</x:v>
      </x:c>
      <x:c r="E61" s="282" t="str">
        <x:v>Oui</x:v>
      </x:c>
      <x:c r="F61" s="282" t="str">
        <x:v>Oui</x:v>
      </x:c>
      <x:c r="G61" s="282" t="str">
        <x:v>Oui</x:v>
      </x:c>
      <x:c r="H61" s="282" t="str">
        <x:v>Oui</x:v>
      </x:c>
      <x:c r="I61" s="282" t="str">
        <x:v>Oui</x:v>
      </x:c>
      <x:c r="J61" s="281" t="n">
        <x:v>0</x:v>
      </x:c>
      <x:c r="K61" s="272" t="str">
        <x:v>Aucun témoin pour cette variante</x:v>
      </x:c>
      <x:c r="L61" s="272" t="str">
        <x:v>https://github.com/darknigthmare/deadwall-last-enclosure/blob/e28f46223e73105ab2c5d83f3d50b99b58ef53e6/docs/codex/suivi-monde2026/campagne205-eligibilite.json</x:v>
      </x:c>
    </x:row>
    <x:row r="62" ht="64" customHeight="1">
      <x:c r="A62" s="272" t="str">
        <x:v>EXT-MONDE-T046-V07</x:v>
      </x:c>
      <x:c r="B62" s="272" t="str">
        <x:v>Camping caravanes</x:v>
      </x:c>
      <x:c r="C62" s="281" t="n">
        <x:v>7</x:v>
      </x:c>
      <x:c r="D62" s="272" t="str">
        <x:v>campaign205-046-07</x:v>
      </x:c>
      <x:c r="E62" s="282" t="str">
        <x:v>Oui</x:v>
      </x:c>
      <x:c r="F62" s="282" t="str">
        <x:v>Oui</x:v>
      </x:c>
      <x:c r="G62" s="282" t="str">
        <x:v>Oui</x:v>
      </x:c>
      <x:c r="H62" s="282" t="str">
        <x:v>Oui</x:v>
      </x:c>
      <x:c r="I62" s="282" t="str">
        <x:v>Oui</x:v>
      </x:c>
      <x:c r="J62" s="281" t="n">
        <x:v>1</x:v>
      </x:c>
      <x:c r="K62" s="272" t="str">
        <x:v>1</x:v>
      </x:c>
      <x:c r="L62" s="272" t="str">
        <x:v>https://github.com/darknigthmare/deadwall-last-enclosure/blob/e28f46223e73105ab2c5d83f3d50b99b58ef53e6/docs/codex/suivi-monde2026/campagne205-eligibilite.json</x:v>
      </x:c>
    </x:row>
    <x:row r="63" ht="64" customHeight="1">
      <x:c r="A63" s="272" t="str">
        <x:v>EXT-MONDE-T046-V08</x:v>
      </x:c>
      <x:c r="B63" s="272" t="str">
        <x:v>Camping caravanes</x:v>
      </x:c>
      <x:c r="C63" s="281" t="n">
        <x:v>8</x:v>
      </x:c>
      <x:c r="D63" s="272" t="str">
        <x:v>campaign205-046-08</x:v>
      </x:c>
      <x:c r="E63" s="282" t="str">
        <x:v>Oui</x:v>
      </x:c>
      <x:c r="F63" s="282" t="str">
        <x:v>Oui</x:v>
      </x:c>
      <x:c r="G63" s="282" t="str">
        <x:v>Oui</x:v>
      </x:c>
      <x:c r="H63" s="282" t="str">
        <x:v>Oui</x:v>
      </x:c>
      <x:c r="I63" s="282" t="str">
        <x:v>Oui</x:v>
      </x:c>
      <x:c r="J63" s="281" t="n">
        <x:v>1</x:v>
      </x:c>
      <x:c r="K63" s="272" t="str">
        <x:v>42</x:v>
      </x:c>
      <x:c r="L63" s="272" t="str">
        <x:v>https://github.com/darknigthmare/deadwall-last-enclosure/blob/e28f46223e73105ab2c5d83f3d50b99b58ef53e6/docs/codex/suivi-monde2026/campagne205-eligibilite.json</x:v>
      </x:c>
    </x:row>
    <x:row r="64" ht="64" customHeight="1">
      <x:c r="A64" s="272" t="str">
        <x:v>EXT-MONDE-T046-V09</x:v>
      </x:c>
      <x:c r="B64" s="272" t="str">
        <x:v>Camping caravanes</x:v>
      </x:c>
      <x:c r="C64" s="281" t="n">
        <x:v>9</x:v>
      </x:c>
      <x:c r="D64" s="272" t="str">
        <x:v>campaign205-046-09</x:v>
      </x:c>
      <x:c r="E64" s="282" t="str">
        <x:v>Oui</x:v>
      </x:c>
      <x:c r="F64" s="282" t="str">
        <x:v>Oui</x:v>
      </x:c>
      <x:c r="G64" s="282" t="str">
        <x:v>Oui</x:v>
      </x:c>
      <x:c r="H64" s="282" t="str">
        <x:v>Oui</x:v>
      </x:c>
      <x:c r="I64" s="282" t="str">
        <x:v>Oui</x:v>
      </x:c>
      <x:c r="J64" s="281" t="n">
        <x:v>0</x:v>
      </x:c>
      <x:c r="K64" s="272" t="str">
        <x:v>Aucun témoin pour cette variante</x:v>
      </x:c>
      <x:c r="L64" s="272" t="str">
        <x:v>https://github.com/darknigthmare/deadwall-last-enclosure/blob/e28f46223e73105ab2c5d83f3d50b99b58ef53e6/docs/codex/suivi-monde2026/campagne205-eligibilite.json</x:v>
      </x:c>
    </x:row>
    <x:row r="65" ht="64" customHeight="1">
      <x:c r="A65" s="272" t="str">
        <x:v>EXT-MONDE-T046-V10</x:v>
      </x:c>
      <x:c r="B65" s="272" t="str">
        <x:v>Camping caravanes</x:v>
      </x:c>
      <x:c r="C65" s="281" t="n">
        <x:v>10</x:v>
      </x:c>
      <x:c r="D65" s="272" t="str">
        <x:v>campaign205-046-10</x:v>
      </x:c>
      <x:c r="E65" s="282" t="str">
        <x:v>Oui</x:v>
      </x:c>
      <x:c r="F65" s="282" t="str">
        <x:v>Oui</x:v>
      </x:c>
      <x:c r="G65" s="282" t="str">
        <x:v>Oui</x:v>
      </x:c>
      <x:c r="H65" s="282" t="str">
        <x:v>Oui</x:v>
      </x:c>
      <x:c r="I65" s="282" t="str">
        <x:v>Oui</x:v>
      </x:c>
      <x:c r="J65" s="281" t="n">
        <x:v>0</x:v>
      </x:c>
      <x:c r="K65" s="272" t="str">
        <x:v>Aucun témoin pour cette variante</x:v>
      </x:c>
      <x:c r="L65" s="272" t="str">
        <x:v>https://github.com/darknigthmare/deadwall-last-enclosure/blob/e28f46223e73105ab2c5d83f3d50b99b58ef53e6/docs/codex/suivi-monde2026/campagne205-eligibilite.json</x:v>
      </x:c>
    </x:row>
    <x:row r="66" ht="64" customHeight="1">
      <x:c r="A66" s="272" t="str">
        <x:v>EXT-MONDE-T046-V11</x:v>
      </x:c>
      <x:c r="B66" s="272" t="str">
        <x:v>Camping caravanes</x:v>
      </x:c>
      <x:c r="C66" s="281" t="n">
        <x:v>11</x:v>
      </x:c>
      <x:c r="D66" s="272" t="str">
        <x:v>campaign205-046-11</x:v>
      </x:c>
      <x:c r="E66" s="282" t="str">
        <x:v>Oui</x:v>
      </x:c>
      <x:c r="F66" s="282" t="str">
        <x:v>Oui</x:v>
      </x:c>
      <x:c r="G66" s="282" t="str">
        <x:v>Oui</x:v>
      </x:c>
      <x:c r="H66" s="282" t="str">
        <x:v>Oui</x:v>
      </x:c>
      <x:c r="I66" s="282" t="str">
        <x:v>Oui</x:v>
      </x:c>
      <x:c r="J66" s="281" t="n">
        <x:v>0</x:v>
      </x:c>
      <x:c r="K66" s="272" t="str">
        <x:v>Aucun témoin pour cette variante</x:v>
      </x:c>
      <x:c r="L66" s="272" t="str">
        <x:v>https://github.com/darknigthmare/deadwall-last-enclosure/blob/e28f46223e73105ab2c5d83f3d50b99b58ef53e6/docs/codex/suivi-monde2026/campagne205-eligibilite.json</x:v>
      </x:c>
    </x:row>
    <x:row r="67" ht="64" customHeight="1">
      <x:c r="A67" s="272" t="str">
        <x:v>EXT-MONDE-T046-V12</x:v>
      </x:c>
      <x:c r="B67" s="272" t="str">
        <x:v>Camping caravanes</x:v>
      </x:c>
      <x:c r="C67" s="281" t="n">
        <x:v>12</x:v>
      </x:c>
      <x:c r="D67" s="272" t="str">
        <x:v>campaign205-046-12</x:v>
      </x:c>
      <x:c r="E67" s="282" t="str">
        <x:v>Oui</x:v>
      </x:c>
      <x:c r="F67" s="282" t="str">
        <x:v>Oui</x:v>
      </x:c>
      <x:c r="G67" s="282" t="str">
        <x:v>Oui</x:v>
      </x:c>
      <x:c r="H67" s="282" t="str">
        <x:v>Oui</x:v>
      </x:c>
      <x:c r="I67" s="282" t="str">
        <x:v>Oui</x:v>
      </x:c>
      <x:c r="J67" s="281" t="n">
        <x:v>1</x:v>
      </x:c>
      <x:c r="K67" s="272" t="str">
        <x:v>0</x:v>
      </x:c>
      <x:c r="L67" s="272" t="str">
        <x:v>https://github.com/darknigthmare/deadwall-last-enclosure/blob/e28f46223e73105ab2c5d83f3d50b99b58ef53e6/docs/codex/suivi-monde2026/campagne205-eligibilite.json</x:v>
      </x:c>
    </x:row>
    <x:row r="68" ht="64" customHeight="1">
      <x:c r="A68" s="272" t="str">
        <x:v>EXT-MONDE-T046-V13</x:v>
      </x:c>
      <x:c r="B68" s="272" t="str">
        <x:v>Camping caravanes</x:v>
      </x:c>
      <x:c r="C68" s="281" t="n">
        <x:v>13</x:v>
      </x:c>
      <x:c r="D68" s="272" t="str">
        <x:v>campaign205-046-13</x:v>
      </x:c>
      <x:c r="E68" s="282" t="str">
        <x:v>Oui</x:v>
      </x:c>
      <x:c r="F68" s="282" t="str">
        <x:v>Oui</x:v>
      </x:c>
      <x:c r="G68" s="282" t="str">
        <x:v>Oui</x:v>
      </x:c>
      <x:c r="H68" s="282" t="str">
        <x:v>Oui</x:v>
      </x:c>
      <x:c r="I68" s="282" t="str">
        <x:v>Oui</x:v>
      </x:c>
      <x:c r="J68" s="281" t="n">
        <x:v>0</x:v>
      </x:c>
      <x:c r="K68" s="272" t="str">
        <x:v>Aucun témoin pour cette variante</x:v>
      </x:c>
      <x:c r="L68" s="272" t="str">
        <x:v>https://github.com/darknigthmare/deadwall-last-enclosure/blob/e28f46223e73105ab2c5d83f3d50b99b58ef53e6/docs/codex/suivi-monde2026/campagne205-eligibilite.json</x:v>
      </x:c>
    </x:row>
    <x:row r="69" ht="64" customHeight="1">
      <x:c r="A69" s="272" t="str">
        <x:v>EXT-MONDE-T046-V14</x:v>
      </x:c>
      <x:c r="B69" s="272" t="str">
        <x:v>Camping caravanes</x:v>
      </x:c>
      <x:c r="C69" s="281" t="n">
        <x:v>14</x:v>
      </x:c>
      <x:c r="D69" s="272" t="str">
        <x:v>campaign205-046-14</x:v>
      </x:c>
      <x:c r="E69" s="282" t="str">
        <x:v>Oui</x:v>
      </x:c>
      <x:c r="F69" s="282" t="str">
        <x:v>Oui</x:v>
      </x:c>
      <x:c r="G69" s="282" t="str">
        <x:v>Oui</x:v>
      </x:c>
      <x:c r="H69" s="282" t="str">
        <x:v>Oui</x:v>
      </x:c>
      <x:c r="I69" s="282" t="str">
        <x:v>Oui</x:v>
      </x:c>
      <x:c r="J69" s="281" t="n">
        <x:v>0</x:v>
      </x:c>
      <x:c r="K69" s="272" t="str">
        <x:v>Aucun témoin pour cette variante</x:v>
      </x:c>
      <x:c r="L69" s="272" t="str">
        <x:v>https://github.com/darknigthmare/deadwall-last-enclosure/blob/e28f46223e73105ab2c5d83f3d50b99b58ef53e6/docs/codex/suivi-monde2026/campagne205-eligibilite.json</x:v>
      </x:c>
    </x:row>
    <x:row r="70" ht="64" customHeight="1">
      <x:c r="A70" s="272" t="str">
        <x:v>EXT-MONDE-T046-V15</x:v>
      </x:c>
      <x:c r="B70" s="272" t="str">
        <x:v>Camping caravanes</x:v>
      </x:c>
      <x:c r="C70" s="281" t="n">
        <x:v>15</x:v>
      </x:c>
      <x:c r="D70" s="272" t="str">
        <x:v>campaign205-046-15</x:v>
      </x:c>
      <x:c r="E70" s="282" t="str">
        <x:v>Oui</x:v>
      </x:c>
      <x:c r="F70" s="282" t="str">
        <x:v>Oui</x:v>
      </x:c>
      <x:c r="G70" s="282" t="str">
        <x:v>Oui</x:v>
      </x:c>
      <x:c r="H70" s="282" t="str">
        <x:v>Oui</x:v>
      </x:c>
      <x:c r="I70" s="282" t="str">
        <x:v>Oui</x:v>
      </x:c>
      <x:c r="J70" s="281" t="n">
        <x:v>0</x:v>
      </x:c>
      <x:c r="K70" s="272" t="str">
        <x:v>Aucun témoin pour cette variante</x:v>
      </x:c>
      <x:c r="L70" s="272" t="str">
        <x:v>https://github.com/darknigthmare/deadwall-last-enclosure/blob/e28f46223e73105ab2c5d83f3d50b99b58ef53e6/docs/codex/suivi-monde2026/campagne205-eligibilite.json</x:v>
      </x:c>
    </x:row>
    <x:row r="71" ht="64" customHeight="1">
      <x:c r="A71" s="272" t="str">
        <x:v>EXT-MONDE-T046-V16</x:v>
      </x:c>
      <x:c r="B71" s="272" t="str">
        <x:v>Camping caravanes</x:v>
      </x:c>
      <x:c r="C71" s="281" t="n">
        <x:v>16</x:v>
      </x:c>
      <x:c r="D71" s="272" t="str">
        <x:v>campaign205-046-16</x:v>
      </x:c>
      <x:c r="E71" s="282" t="str">
        <x:v>Oui</x:v>
      </x:c>
      <x:c r="F71" s="282" t="str">
        <x:v>Oui</x:v>
      </x:c>
      <x:c r="G71" s="282" t="str">
        <x:v>Oui</x:v>
      </x:c>
      <x:c r="H71" s="282" t="str">
        <x:v>Oui</x:v>
      </x:c>
      <x:c r="I71" s="282" t="str">
        <x:v>Oui</x:v>
      </x:c>
      <x:c r="J71" s="281" t="n">
        <x:v>1</x:v>
      </x:c>
      <x:c r="K71" s="272" t="str">
        <x:v>84329</x:v>
      </x:c>
      <x:c r="L71" s="272" t="str">
        <x:v>https://github.com/darknigthmare/deadwall-last-enclosure/blob/e28f46223e73105ab2c5d83f3d50b99b58ef53e6/docs/codex/suivi-monde2026/campagne205-eligibilite.json</x:v>
      </x:c>
    </x:row>
    <x:row r="72" ht="64" customHeight="1">
      <x:c r="A72" s="272" t="str">
        <x:v>EXT-MONDE-T046-V17</x:v>
      </x:c>
      <x:c r="B72" s="272" t="str">
        <x:v>Camping caravanes</x:v>
      </x:c>
      <x:c r="C72" s="281" t="n">
        <x:v>17</x:v>
      </x:c>
      <x:c r="D72" s="272" t="str">
        <x:v>campaign205-046-17</x:v>
      </x:c>
      <x:c r="E72" s="282" t="str">
        <x:v>Oui</x:v>
      </x:c>
      <x:c r="F72" s="282" t="str">
        <x:v>Oui</x:v>
      </x:c>
      <x:c r="G72" s="282" t="str">
        <x:v>Oui</x:v>
      </x:c>
      <x:c r="H72" s="282" t="str">
        <x:v>Oui</x:v>
      </x:c>
      <x:c r="I72" s="282" t="str">
        <x:v>Oui</x:v>
      </x:c>
      <x:c r="J72" s="281" t="n">
        <x:v>1</x:v>
      </x:c>
      <x:c r="K72" s="272" t="str">
        <x:v>84329</x:v>
      </x:c>
      <x:c r="L72" s="272" t="str">
        <x:v>https://github.com/darknigthmare/deadwall-last-enclosure/blob/e28f46223e73105ab2c5d83f3d50b99b58ef53e6/docs/codex/suivi-monde2026/campagne205-eligibilite.json</x:v>
      </x:c>
    </x:row>
    <x:row r="73" ht="64" customHeight="1">
      <x:c r="A73" s="272" t="str">
        <x:v>EXT-MONDE-T046-V18</x:v>
      </x:c>
      <x:c r="B73" s="272" t="str">
        <x:v>Camping caravanes</x:v>
      </x:c>
      <x:c r="C73" s="281" t="n">
        <x:v>18</x:v>
      </x:c>
      <x:c r="D73" s="272" t="str">
        <x:v>campaign205-046-18</x:v>
      </x:c>
      <x:c r="E73" s="282" t="str">
        <x:v>Oui</x:v>
      </x:c>
      <x:c r="F73" s="282" t="str">
        <x:v>Oui</x:v>
      </x:c>
      <x:c r="G73" s="282" t="str">
        <x:v>Oui</x:v>
      </x:c>
      <x:c r="H73" s="282" t="str">
        <x:v>Oui</x:v>
      </x:c>
      <x:c r="I73" s="282" t="str">
        <x:v>Oui</x:v>
      </x:c>
      <x:c r="J73" s="281" t="n">
        <x:v>0</x:v>
      </x:c>
      <x:c r="K73" s="272" t="str">
        <x:v>Aucun témoin pour cette variante</x:v>
      </x:c>
      <x:c r="L73" s="272" t="str">
        <x:v>https://github.com/darknigthmare/deadwall-last-enclosure/blob/e28f46223e73105ab2c5d83f3d50b99b58ef53e6/docs/codex/suivi-monde2026/campagne205-eligibilite.json</x:v>
      </x:c>
    </x:row>
    <x:row r="74" ht="64" customHeight="1">
      <x:c r="A74" s="272" t="str">
        <x:v>EXT-MONDE-T046-V19</x:v>
      </x:c>
      <x:c r="B74" s="272" t="str">
        <x:v>Camping caravanes</x:v>
      </x:c>
      <x:c r="C74" s="281" t="n">
        <x:v>19</x:v>
      </x:c>
      <x:c r="D74" s="272" t="str">
        <x:v>campaign205-046-19</x:v>
      </x:c>
      <x:c r="E74" s="282" t="str">
        <x:v>Oui</x:v>
      </x:c>
      <x:c r="F74" s="282" t="str">
        <x:v>Oui</x:v>
      </x:c>
      <x:c r="G74" s="282" t="str">
        <x:v>Oui</x:v>
      </x:c>
      <x:c r="H74" s="282" t="str">
        <x:v>Oui</x:v>
      </x:c>
      <x:c r="I74" s="282" t="str">
        <x:v>Oui</x:v>
      </x:c>
      <x:c r="J74" s="281" t="n">
        <x:v>1</x:v>
      </x:c>
      <x:c r="K74" s="272" t="str">
        <x:v>967313470</x:v>
      </x:c>
      <x:c r="L74" s="272" t="str">
        <x:v>https://github.com/darknigthmare/deadwall-last-enclosure/blob/e28f46223e73105ab2c5d83f3d50b99b58ef53e6/docs/codex/suivi-monde2026/campagne205-eligibilite.json</x:v>
      </x:c>
    </x:row>
    <x:row r="75" ht="64" customHeight="1">
      <x:c r="A75" s="272" t="str">
        <x:v>EXT-MONDE-T046-V20</x:v>
      </x:c>
      <x:c r="B75" s="272" t="str">
        <x:v>Camping caravanes</x:v>
      </x:c>
      <x:c r="C75" s="281" t="n">
        <x:v>20</x:v>
      </x:c>
      <x:c r="D75" s="272" t="str">
        <x:v>campaign205-046-20</x:v>
      </x:c>
      <x:c r="E75" s="282" t="str">
        <x:v>Oui</x:v>
      </x:c>
      <x:c r="F75" s="282" t="str">
        <x:v>Oui</x:v>
      </x:c>
      <x:c r="G75" s="282" t="str">
        <x:v>Oui</x:v>
      </x:c>
      <x:c r="H75" s="282" t="str">
        <x:v>Oui</x:v>
      </x:c>
      <x:c r="I75" s="282" t="str">
        <x:v>Oui</x:v>
      </x:c>
      <x:c r="J75" s="281" t="n">
        <x:v>1</x:v>
      </x:c>
      <x:c r="K75" s="272" t="str">
        <x:v>1947648717</x:v>
      </x:c>
      <x:c r="L75" s="272" t="str">
        <x:v>https://github.com/darknigthmare/deadwall-last-enclosure/blob/e28f46223e73105ab2c5d83f3d50b99b58ef53e6/docs/codex/suivi-monde2026/campagne205-eligibilite.json</x:v>
      </x:c>
    </x:row>
    <x:row r="76" ht="64" customHeight="1">
      <x:c r="A76" s="272" t="str">
        <x:v>EXT-MONDE-T046-V21</x:v>
      </x:c>
      <x:c r="B76" s="272" t="str">
        <x:v>Camping caravanes</x:v>
      </x:c>
      <x:c r="C76" s="281" t="n">
        <x:v>21</x:v>
      </x:c>
      <x:c r="D76" s="272" t="str">
        <x:v>campaign205-046-21</x:v>
      </x:c>
      <x:c r="E76" s="282" t="str">
        <x:v>Oui</x:v>
      </x:c>
      <x:c r="F76" s="282" t="str">
        <x:v>Oui</x:v>
      </x:c>
      <x:c r="G76" s="282" t="str">
        <x:v>Oui</x:v>
      </x:c>
      <x:c r="H76" s="282" t="str">
        <x:v>Oui</x:v>
      </x:c>
      <x:c r="I76" s="282" t="str">
        <x:v>Oui</x:v>
      </x:c>
      <x:c r="J76" s="281" t="n">
        <x:v>0</x:v>
      </x:c>
      <x:c r="K76" s="272" t="str">
        <x:v>Aucun témoin pour cette variante</x:v>
      </x:c>
      <x:c r="L76" s="272" t="str">
        <x:v>https://github.com/darknigthmare/deadwall-last-enclosure/blob/e28f46223e73105ab2c5d83f3d50b99b58ef53e6/docs/codex/suivi-monde2026/campagne205-eligibilite.json</x:v>
      </x:c>
    </x:row>
    <x:row r="77" ht="64" customHeight="1">
      <x:c r="A77" s="272" t="str">
        <x:v>EXT-MONDE-T046-V22</x:v>
      </x:c>
      <x:c r="B77" s="272" t="str">
        <x:v>Camping caravanes</x:v>
      </x:c>
      <x:c r="C77" s="281" t="n">
        <x:v>22</x:v>
      </x:c>
      <x:c r="D77" s="272" t="str">
        <x:v>campaign205-046-22</x:v>
      </x:c>
      <x:c r="E77" s="282" t="str">
        <x:v>Oui</x:v>
      </x:c>
      <x:c r="F77" s="282" t="str">
        <x:v>Oui</x:v>
      </x:c>
      <x:c r="G77" s="282" t="str">
        <x:v>Oui</x:v>
      </x:c>
      <x:c r="H77" s="282" t="str">
        <x:v>Oui</x:v>
      </x:c>
      <x:c r="I77" s="282" t="str">
        <x:v>Oui</x:v>
      </x:c>
      <x:c r="J77" s="281" t="n">
        <x:v>0</x:v>
      </x:c>
      <x:c r="K77" s="272" t="str">
        <x:v>Aucun témoin pour cette variante</x:v>
      </x:c>
      <x:c r="L77" s="272" t="str">
        <x:v>https://github.com/darknigthmare/deadwall-last-enclosure/blob/e28f46223e73105ab2c5d83f3d50b99b58ef53e6/docs/codex/suivi-monde2026/campagne205-eligibilite.json</x:v>
      </x:c>
    </x:row>
    <x:row r="78" ht="64" customHeight="1">
      <x:c r="A78" s="272" t="str">
        <x:v>EXT-MONDE-T046-V23</x:v>
      </x:c>
      <x:c r="B78" s="272" t="str">
        <x:v>Camping caravanes</x:v>
      </x:c>
      <x:c r="C78" s="281" t="n">
        <x:v>23</x:v>
      </x:c>
      <x:c r="D78" s="272" t="str">
        <x:v>campaign205-046-23</x:v>
      </x:c>
      <x:c r="E78" s="282" t="str">
        <x:v>Oui</x:v>
      </x:c>
      <x:c r="F78" s="282" t="str">
        <x:v>Oui</x:v>
      </x:c>
      <x:c r="G78" s="282" t="str">
        <x:v>Oui</x:v>
      </x:c>
      <x:c r="H78" s="282" t="str">
        <x:v>Oui</x:v>
      </x:c>
      <x:c r="I78" s="282" t="str">
        <x:v>Oui</x:v>
      </x:c>
      <x:c r="J78" s="281" t="n">
        <x:v>0</x:v>
      </x:c>
      <x:c r="K78" s="272" t="str">
        <x:v>Aucun témoin pour cette variante</x:v>
      </x:c>
      <x:c r="L78" s="272" t="str">
        <x:v>https://github.com/darknigthmare/deadwall-last-enclosure/blob/e28f46223e73105ab2c5d83f3d50b99b58ef53e6/docs/codex/suivi-monde2026/campagne205-eligibilite.json</x:v>
      </x:c>
    </x:row>
    <x:row r="79" ht="64" customHeight="1">
      <x:c r="A79" s="272" t="str">
        <x:v>EXT-MONDE-T046-V24</x:v>
      </x:c>
      <x:c r="B79" s="272" t="str">
        <x:v>Camping caravanes</x:v>
      </x:c>
      <x:c r="C79" s="281" t="n">
        <x:v>24</x:v>
      </x:c>
      <x:c r="D79" s="272" t="str">
        <x:v>campaign205-046-24</x:v>
      </x:c>
      <x:c r="E79" s="282" t="str">
        <x:v>Oui</x:v>
      </x:c>
      <x:c r="F79" s="282" t="str">
        <x:v>Oui</x:v>
      </x:c>
      <x:c r="G79" s="282" t="str">
        <x:v>Oui</x:v>
      </x:c>
      <x:c r="H79" s="282" t="str">
        <x:v>Oui</x:v>
      </x:c>
      <x:c r="I79" s="282" t="str">
        <x:v>Oui</x:v>
      </x:c>
      <x:c r="J79" s="281" t="n">
        <x:v>0</x:v>
      </x:c>
      <x:c r="K79" s="272" t="str">
        <x:v>Aucun témoin pour cette variante</x:v>
      </x:c>
      <x:c r="L79" s="272" t="str">
        <x:v>https://github.com/darknigthmare/deadwall-last-enclosure/blob/e28f46223e73105ab2c5d83f3d50b99b58ef53e6/docs/codex/suivi-monde2026/campagne205-eligibilite.json</x:v>
      </x:c>
    </x:row>
    <x:row r="80" ht="64" customHeight="1">
      <x:c r="A80" s="272" t="str">
        <x:v>EXT-MONDE-T046-V25</x:v>
      </x:c>
      <x:c r="B80" s="272" t="str">
        <x:v>Camping caravanes</x:v>
      </x:c>
      <x:c r="C80" s="281" t="n">
        <x:v>25</x:v>
      </x:c>
      <x:c r="D80" s="272" t="str">
        <x:v>campaign205-046-25</x:v>
      </x:c>
      <x:c r="E80" s="282" t="str">
        <x:v>Oui</x:v>
      </x:c>
      <x:c r="F80" s="282" t="str">
        <x:v>Oui</x:v>
      </x:c>
      <x:c r="G80" s="282" t="str">
        <x:v>Oui</x:v>
      </x:c>
      <x:c r="H80" s="282" t="str">
        <x:v>Oui</x:v>
      </x:c>
      <x:c r="I80" s="282" t="str">
        <x:v>Oui</x:v>
      </x:c>
      <x:c r="J80" s="281" t="n">
        <x:v>0</x:v>
      </x:c>
      <x:c r="K80" s="272" t="str">
        <x:v>Aucun témoin pour cette variante</x:v>
      </x:c>
      <x:c r="L80" s="272" t="str">
        <x:v>https://github.com/darknigthmare/deadwall-last-enclosure/blob/e28f46223e73105ab2c5d83f3d50b99b58ef53e6/docs/codex/suivi-monde2026/campagne205-eligibilite.json</x:v>
      </x:c>
    </x:row>
    <x:row r="81" ht="64" customHeight="1">
      <x:c r="A81" s="272" t="str">
        <x:v>EXT-MONDE-T046-V26</x:v>
      </x:c>
      <x:c r="B81" s="272" t="str">
        <x:v>Camping caravanes</x:v>
      </x:c>
      <x:c r="C81" s="281" t="n">
        <x:v>26</x:v>
      </x:c>
      <x:c r="D81" s="272" t="str">
        <x:v>campaign205-046-26</x:v>
      </x:c>
      <x:c r="E81" s="282" t="str">
        <x:v>Oui</x:v>
      </x:c>
      <x:c r="F81" s="282" t="str">
        <x:v>Oui</x:v>
      </x:c>
      <x:c r="G81" s="282" t="str">
        <x:v>Oui</x:v>
      </x:c>
      <x:c r="H81" s="282" t="str">
        <x:v>Oui</x:v>
      </x:c>
      <x:c r="I81" s="282" t="str">
        <x:v>Oui</x:v>
      </x:c>
      <x:c r="J81" s="281" t="n">
        <x:v>1</x:v>
      </x:c>
      <x:c r="K81" s="272" t="str">
        <x:v>1947648717</x:v>
      </x:c>
      <x:c r="L81" s="272" t="str">
        <x:v>https://github.com/darknigthmare/deadwall-last-enclosure/blob/e28f46223e73105ab2c5d83f3d50b99b58ef53e6/docs/codex/suivi-monde2026/campagne205-eligibilite.json</x:v>
      </x:c>
    </x:row>
    <x:row r="82" ht="64" customHeight="1">
      <x:c r="A82" s="272" t="str">
        <x:v>EXT-MONDE-T046-V27</x:v>
      </x:c>
      <x:c r="B82" s="272" t="str">
        <x:v>Camping caravanes</x:v>
      </x:c>
      <x:c r="C82" s="281" t="n">
        <x:v>27</x:v>
      </x:c>
      <x:c r="D82" s="272" t="str">
        <x:v>campaign205-046-27</x:v>
      </x:c>
      <x:c r="E82" s="282" t="str">
        <x:v>Oui</x:v>
      </x:c>
      <x:c r="F82" s="282" t="str">
        <x:v>Oui</x:v>
      </x:c>
      <x:c r="G82" s="282" t="str">
        <x:v>Oui</x:v>
      </x:c>
      <x:c r="H82" s="282" t="str">
        <x:v>Oui</x:v>
      </x:c>
      <x:c r="I82" s="282" t="str">
        <x:v>Oui</x:v>
      </x:c>
      <x:c r="J82" s="281" t="n">
        <x:v>0</x:v>
      </x:c>
      <x:c r="K82" s="272" t="str">
        <x:v>Aucun témoin pour cette variante</x:v>
      </x:c>
      <x:c r="L82" s="272" t="str">
        <x:v>https://github.com/darknigthmare/deadwall-last-enclosure/blob/e28f46223e73105ab2c5d83f3d50b99b58ef53e6/docs/codex/suivi-monde2026/campagne205-eligibilite.json</x:v>
      </x:c>
    </x:row>
    <x:row r="83" ht="64" customHeight="1">
      <x:c r="A83" s="272" t="str">
        <x:v>EXT-MONDE-T046-V28</x:v>
      </x:c>
      <x:c r="B83" s="272" t="str">
        <x:v>Camping caravanes</x:v>
      </x:c>
      <x:c r="C83" s="281" t="n">
        <x:v>28</x:v>
      </x:c>
      <x:c r="D83" s="272" t="str">
        <x:v>campaign205-046-28</x:v>
      </x:c>
      <x:c r="E83" s="282" t="str">
        <x:v>Oui</x:v>
      </x:c>
      <x:c r="F83" s="282" t="str">
        <x:v>Oui</x:v>
      </x:c>
      <x:c r="G83" s="282" t="str">
        <x:v>Oui</x:v>
      </x:c>
      <x:c r="H83" s="282" t="str">
        <x:v>Oui</x:v>
      </x:c>
      <x:c r="I83" s="282" t="str">
        <x:v>Oui</x:v>
      </x:c>
      <x:c r="J83" s="281" t="n">
        <x:v>0</x:v>
      </x:c>
      <x:c r="K83" s="272" t="str">
        <x:v>Aucun témoin pour cette variante</x:v>
      </x:c>
      <x:c r="L83" s="272" t="str">
        <x:v>https://github.com/darknigthmare/deadwall-last-enclosure/blob/e28f46223e73105ab2c5d83f3d50b99b58ef53e6/docs/codex/suivi-monde2026/campagne205-eligibilite.json</x:v>
      </x:c>
    </x:row>
    <x:row r="84" ht="64" customHeight="1">
      <x:c r="A84" s="272" t="str">
        <x:v>EXT-MONDE-T046-V29</x:v>
      </x:c>
      <x:c r="B84" s="272" t="str">
        <x:v>Camping caravanes</x:v>
      </x:c>
      <x:c r="C84" s="281" t="n">
        <x:v>29</x:v>
      </x:c>
      <x:c r="D84" s="272" t="str">
        <x:v>campaign205-046-29</x:v>
      </x:c>
      <x:c r="E84" s="282" t="str">
        <x:v>Oui</x:v>
      </x:c>
      <x:c r="F84" s="282" t="str">
        <x:v>Oui</x:v>
      </x:c>
      <x:c r="G84" s="282" t="str">
        <x:v>Oui</x:v>
      </x:c>
      <x:c r="H84" s="282" t="str">
        <x:v>Oui</x:v>
      </x:c>
      <x:c r="I84" s="282" t="str">
        <x:v>Oui</x:v>
      </x:c>
      <x:c r="J84" s="281" t="n">
        <x:v>0</x:v>
      </x:c>
      <x:c r="K84" s="272" t="str">
        <x:v>Aucun témoin pour cette variante</x:v>
      </x:c>
      <x:c r="L84" s="272" t="str">
        <x:v>https://github.com/darknigthmare/deadwall-last-enclosure/blob/e28f46223e73105ab2c5d83f3d50b99b58ef53e6/docs/codex/suivi-monde2026/campagne205-eligibilite.json</x:v>
      </x:c>
    </x:row>
    <x:row r="85" ht="64" customHeight="1">
      <x:c r="A85" s="272" t="str">
        <x:v>EXT-MONDE-T046-V30</x:v>
      </x:c>
      <x:c r="B85" s="272" t="str">
        <x:v>Camping caravanes</x:v>
      </x:c>
      <x:c r="C85" s="281" t="n">
        <x:v>30</x:v>
      </x:c>
      <x:c r="D85" s="272" t="str">
        <x:v>campaign205-046-30</x:v>
      </x:c>
      <x:c r="E85" s="282" t="str">
        <x:v>Oui</x:v>
      </x:c>
      <x:c r="F85" s="282" t="str">
        <x:v>Oui</x:v>
      </x:c>
      <x:c r="G85" s="282" t="str">
        <x:v>Oui</x:v>
      </x:c>
      <x:c r="H85" s="282" t="str">
        <x:v>Oui</x:v>
      </x:c>
      <x:c r="I85" s="282" t="str">
        <x:v>Oui</x:v>
      </x:c>
      <x:c r="J85" s="281" t="n">
        <x:v>0</x:v>
      </x:c>
      <x:c r="K85" s="272" t="str">
        <x:v>Aucun témoin pour cette variante</x:v>
      </x:c>
      <x:c r="L85" s="272" t="str">
        <x:v>https://github.com/darknigthmare/deadwall-last-enclosure/blob/e28f46223e73105ab2c5d83f3d50b99b58ef53e6/docs/codex/suivi-monde2026/campagne205-eligibilite.json</x:v>
      </x:c>
    </x:row>
    <x:row r="86" ht="64" customHeight="1">
      <x:c r="A86" s="272" t="str">
        <x:v>EXT-MONDE-T046-V31</x:v>
      </x:c>
      <x:c r="B86" s="272" t="str">
        <x:v>Camping caravanes</x:v>
      </x:c>
      <x:c r="C86" s="281" t="n">
        <x:v>31</x:v>
      </x:c>
      <x:c r="D86" s="272" t="str">
        <x:v>campaign205-046-31</x:v>
      </x:c>
      <x:c r="E86" s="282" t="str">
        <x:v>Oui</x:v>
      </x:c>
      <x:c r="F86" s="282" t="str">
        <x:v>Oui</x:v>
      </x:c>
      <x:c r="G86" s="282" t="str">
        <x:v>Oui</x:v>
      </x:c>
      <x:c r="H86" s="282" t="str">
        <x:v>Oui</x:v>
      </x:c>
      <x:c r="I86" s="282" t="str">
        <x:v>Oui</x:v>
      </x:c>
      <x:c r="J86" s="281" t="n">
        <x:v>1</x:v>
      </x:c>
      <x:c r="K86" s="272" t="str">
        <x:v>17117</x:v>
      </x:c>
      <x:c r="L86" s="272" t="str">
        <x:v>https://github.com/darknigthmare/deadwall-last-enclosure/blob/e28f46223e73105ab2c5d83f3d50b99b58ef53e6/docs/codex/suivi-monde2026/campagne205-eligibilite.json</x:v>
      </x:c>
    </x:row>
    <x:row r="87" ht="64" customHeight="1">
      <x:c r="A87" s="272" t="str">
        <x:v>EXT-MONDE-T046-V32</x:v>
      </x:c>
      <x:c r="B87" s="272" t="str">
        <x:v>Camping caravanes</x:v>
      </x:c>
      <x:c r="C87" s="281" t="n">
        <x:v>32</x:v>
      </x:c>
      <x:c r="D87" s="272" t="str">
        <x:v>campaign205-046-32</x:v>
      </x:c>
      <x:c r="E87" s="282" t="str">
        <x:v>Oui</x:v>
      </x:c>
      <x:c r="F87" s="282" t="str">
        <x:v>Oui</x:v>
      </x:c>
      <x:c r="G87" s="282" t="str">
        <x:v>Oui</x:v>
      </x:c>
      <x:c r="H87" s="282" t="str">
        <x:v>Oui</x:v>
      </x:c>
      <x:c r="I87" s="282" t="str">
        <x:v>Oui</x:v>
      </x:c>
      <x:c r="J87" s="281" t="n">
        <x:v>0</x:v>
      </x:c>
      <x:c r="K87" s="272" t="str">
        <x:v>Aucun témoin pour cette variante</x:v>
      </x:c>
      <x:c r="L87" s="272" t="str">
        <x:v>https://github.com/darknigthmare/deadwall-last-enclosure/blob/e28f46223e73105ab2c5d83f3d50b99b58ef53e6/docs/codex/suivi-monde2026/campagne205-eligibilite.json</x:v>
      </x:c>
    </x:row>
    <x:row r="88" ht="64" customHeight="1">
      <x:c r="A88" s="272" t="str">
        <x:v>EXT-MONDE-T046-V33</x:v>
      </x:c>
      <x:c r="B88" s="272" t="str">
        <x:v>Camping caravanes</x:v>
      </x:c>
      <x:c r="C88" s="281" t="n">
        <x:v>33</x:v>
      </x:c>
      <x:c r="D88" s="272" t="str">
        <x:v>campaign205-046-33</x:v>
      </x:c>
      <x:c r="E88" s="282" t="str">
        <x:v>Oui</x:v>
      </x:c>
      <x:c r="F88" s="282" t="str">
        <x:v>Oui</x:v>
      </x:c>
      <x:c r="G88" s="282" t="str">
        <x:v>Oui</x:v>
      </x:c>
      <x:c r="H88" s="282" t="str">
        <x:v>Oui</x:v>
      </x:c>
      <x:c r="I88" s="282" t="str">
        <x:v>Oui</x:v>
      </x:c>
      <x:c r="J88" s="281" t="n">
        <x:v>0</x:v>
      </x:c>
      <x:c r="K88" s="272" t="str">
        <x:v>Aucun témoin pour cette variante</x:v>
      </x:c>
      <x:c r="L88" s="272" t="str">
        <x:v>https://github.com/darknigthmare/deadwall-last-enclosure/blob/e28f46223e73105ab2c5d83f3d50b99b58ef53e6/docs/codex/suivi-monde2026/campagne205-eligibilite.json</x:v>
      </x:c>
    </x:row>
    <x:row r="89" ht="64" customHeight="1">
      <x:c r="A89" s="272" t="str">
        <x:v>EXT-MONDE-T046-V34</x:v>
      </x:c>
      <x:c r="B89" s="272" t="str">
        <x:v>Camping caravanes</x:v>
      </x:c>
      <x:c r="C89" s="281" t="n">
        <x:v>34</x:v>
      </x:c>
      <x:c r="D89" s="272" t="str">
        <x:v>campaign205-046-34</x:v>
      </x:c>
      <x:c r="E89" s="282" t="str">
        <x:v>Oui</x:v>
      </x:c>
      <x:c r="F89" s="282" t="str">
        <x:v>Oui</x:v>
      </x:c>
      <x:c r="G89" s="282" t="str">
        <x:v>Oui</x:v>
      </x:c>
      <x:c r="H89" s="282" t="str">
        <x:v>Oui</x:v>
      </x:c>
      <x:c r="I89" s="282" t="str">
        <x:v>Oui</x:v>
      </x:c>
      <x:c r="J89" s="281" t="n">
        <x:v>2</x:v>
      </x:c>
      <x:c r="K89" s="272" t="str">
        <x:v>1, 42</x:v>
      </x:c>
      <x:c r="L89" s="272" t="str">
        <x:v>https://github.com/darknigthmare/deadwall-last-enclosure/blob/e28f46223e73105ab2c5d83f3d50b99b58ef53e6/docs/codex/suivi-monde2026/campagne205-eligibilite.json</x:v>
      </x:c>
    </x:row>
    <x:row r="90" ht="64" customHeight="1">
      <x:c r="A90" s="272" t="str">
        <x:v>EXT-MONDE-T046-V35</x:v>
      </x:c>
      <x:c r="B90" s="272" t="str">
        <x:v>Camping caravanes</x:v>
      </x:c>
      <x:c r="C90" s="281" t="n">
        <x:v>35</x:v>
      </x:c>
      <x:c r="D90" s="272" t="str">
        <x:v>campaign205-046-35</x:v>
      </x:c>
      <x:c r="E90" s="282" t="str">
        <x:v>Oui</x:v>
      </x:c>
      <x:c r="F90" s="282" t="str">
        <x:v>Oui</x:v>
      </x:c>
      <x:c r="G90" s="282" t="str">
        <x:v>Oui</x:v>
      </x:c>
      <x:c r="H90" s="282" t="str">
        <x:v>Oui</x:v>
      </x:c>
      <x:c r="I90" s="282" t="str">
        <x:v>Oui</x:v>
      </x:c>
      <x:c r="J90" s="281" t="n">
        <x:v>0</x:v>
      </x:c>
      <x:c r="K90" s="272" t="str">
        <x:v>Aucun témoin pour cette variante</x:v>
      </x:c>
      <x:c r="L90" s="272" t="str">
        <x:v>https://github.com/darknigthmare/deadwall-last-enclosure/blob/e28f46223e73105ab2c5d83f3d50b99b58ef53e6/docs/codex/suivi-monde2026/campagne205-eligibilite.json</x:v>
      </x:c>
    </x:row>
    <x:row r="91" ht="64" customHeight="1">
      <x:c r="A91" s="272" t="str">
        <x:v>EXT-MONDE-T046-V36</x:v>
      </x:c>
      <x:c r="B91" s="272" t="str">
        <x:v>Camping caravanes</x:v>
      </x:c>
      <x:c r="C91" s="281" t="n">
        <x:v>36</x:v>
      </x:c>
      <x:c r="D91" s="272" t="str">
        <x:v>campaign205-046-36</x:v>
      </x:c>
      <x:c r="E91" s="282" t="str">
        <x:v>Oui</x:v>
      </x:c>
      <x:c r="F91" s="282" t="str">
        <x:v>Oui</x:v>
      </x:c>
      <x:c r="G91" s="282" t="str">
        <x:v>Oui</x:v>
      </x:c>
      <x:c r="H91" s="282" t="str">
        <x:v>Oui</x:v>
      </x:c>
      <x:c r="I91" s="282" t="str">
        <x:v>Oui</x:v>
      </x:c>
      <x:c r="J91" s="281" t="n">
        <x:v>0</x:v>
      </x:c>
      <x:c r="K91" s="272" t="str">
        <x:v>Aucun témoin pour cette variante</x:v>
      </x:c>
      <x:c r="L91" s="272" t="str">
        <x:v>https://github.com/darknigthmare/deadwall-last-enclosure/blob/e28f46223e73105ab2c5d83f3d50b99b58ef53e6/docs/codex/suivi-monde2026/campagne205-eligibilite.json</x:v>
      </x:c>
    </x:row>
    <x:row r="92" ht="64" customHeight="1">
      <x:c r="A92" s="272" t="str">
        <x:v>EXT-MONDE-T046-V37</x:v>
      </x:c>
      <x:c r="B92" s="272" t="str">
        <x:v>Camping caravanes</x:v>
      </x:c>
      <x:c r="C92" s="281" t="n">
        <x:v>37</x:v>
      </x:c>
      <x:c r="D92" s="272" t="str">
        <x:v>campaign205-046-37</x:v>
      </x:c>
      <x:c r="E92" s="282" t="str">
        <x:v>Oui</x:v>
      </x:c>
      <x:c r="F92" s="282" t="str">
        <x:v>Oui</x:v>
      </x:c>
      <x:c r="G92" s="282" t="str">
        <x:v>Oui</x:v>
      </x:c>
      <x:c r="H92" s="282" t="str">
        <x:v>Oui</x:v>
      </x:c>
      <x:c r="I92" s="282" t="str">
        <x:v>Oui</x:v>
      </x:c>
      <x:c r="J92" s="281" t="n">
        <x:v>0</x:v>
      </x:c>
      <x:c r="K92" s="272" t="str">
        <x:v>Aucun témoin pour cette variante</x:v>
      </x:c>
      <x:c r="L92" s="272" t="str">
        <x:v>https://github.com/darknigthmare/deadwall-last-enclosure/blob/e28f46223e73105ab2c5d83f3d50b99b58ef53e6/docs/codex/suivi-monde2026/campagne205-eligibilite.json</x:v>
      </x:c>
    </x:row>
    <x:row r="93" ht="64" customHeight="1">
      <x:c r="A93" s="272" t="str">
        <x:v>EXT-MONDE-T046-V38</x:v>
      </x:c>
      <x:c r="B93" s="272" t="str">
        <x:v>Camping caravanes</x:v>
      </x:c>
      <x:c r="C93" s="281" t="n">
        <x:v>38</x:v>
      </x:c>
      <x:c r="D93" s="272" t="str">
        <x:v>campaign205-046-38</x:v>
      </x:c>
      <x:c r="E93" s="282" t="str">
        <x:v>Oui</x:v>
      </x:c>
      <x:c r="F93" s="282" t="str">
        <x:v>Oui</x:v>
      </x:c>
      <x:c r="G93" s="282" t="str">
        <x:v>Oui</x:v>
      </x:c>
      <x:c r="H93" s="282" t="str">
        <x:v>Oui</x:v>
      </x:c>
      <x:c r="I93" s="282" t="str">
        <x:v>Oui</x:v>
      </x:c>
      <x:c r="J93" s="281" t="n">
        <x:v>0</x:v>
      </x:c>
      <x:c r="K93" s="272" t="str">
        <x:v>Aucun témoin pour cette variante</x:v>
      </x:c>
      <x:c r="L93" s="272" t="str">
        <x:v>https://github.com/darknigthmare/deadwall-last-enclosure/blob/e28f46223e73105ab2c5d83f3d50b99b58ef53e6/docs/codex/suivi-monde2026/campagne205-eligibilite.json</x:v>
      </x:c>
    </x:row>
    <x:row r="94" ht="64" customHeight="1">
      <x:c r="A94" s="272" t="str">
        <x:v>EXT-MONDE-T046-V39</x:v>
      </x:c>
      <x:c r="B94" s="272" t="str">
        <x:v>Camping caravanes</x:v>
      </x:c>
      <x:c r="C94" s="281" t="n">
        <x:v>39</x:v>
      </x:c>
      <x:c r="D94" s="272" t="str">
        <x:v>campaign205-046-39</x:v>
      </x:c>
      <x:c r="E94" s="282" t="str">
        <x:v>Oui</x:v>
      </x:c>
      <x:c r="F94" s="282" t="str">
        <x:v>Oui</x:v>
      </x:c>
      <x:c r="G94" s="282" t="str">
        <x:v>Oui</x:v>
      </x:c>
      <x:c r="H94" s="282" t="str">
        <x:v>Oui</x:v>
      </x:c>
      <x:c r="I94" s="282" t="str">
        <x:v>Oui</x:v>
      </x:c>
      <x:c r="J94" s="281" t="n">
        <x:v>1</x:v>
      </x:c>
      <x:c r="K94" s="272" t="str">
        <x:v>4294967295</x:v>
      </x:c>
      <x:c r="L94" s="272" t="str">
        <x:v>https://github.com/darknigthmare/deadwall-last-enclosure/blob/e28f46223e73105ab2c5d83f3d50b99b58ef53e6/docs/codex/suivi-monde2026/campagne205-eligibilite.json</x:v>
      </x:c>
    </x:row>
    <x:row r="95" ht="64" customHeight="1">
      <x:c r="A95" s="272" t="str">
        <x:v>EXT-MONDE-T046-V40</x:v>
      </x:c>
      <x:c r="B95" s="272" t="str">
        <x:v>Camping caravanes</x:v>
      </x:c>
      <x:c r="C95" s="281" t="n">
        <x:v>40</x:v>
      </x:c>
      <x:c r="D95" s="272" t="str">
        <x:v>campaign205-046-40</x:v>
      </x:c>
      <x:c r="E95" s="282" t="str">
        <x:v>Oui</x:v>
      </x:c>
      <x:c r="F95" s="282" t="str">
        <x:v>Oui</x:v>
      </x:c>
      <x:c r="G95" s="282" t="str">
        <x:v>Oui</x:v>
      </x:c>
      <x:c r="H95" s="282" t="str">
        <x:v>Oui</x:v>
      </x:c>
      <x:c r="I95" s="282" t="str">
        <x:v>Oui</x:v>
      </x:c>
      <x:c r="J95" s="281" t="n">
        <x:v>0</x:v>
      </x:c>
      <x:c r="K95" s="272" t="str">
        <x:v>Aucun témoin pour cette variante</x:v>
      </x:c>
      <x:c r="L95" s="272" t="str">
        <x:v>https://github.com/darknigthmare/deadwall-last-enclosure/blob/e28f46223e73105ab2c5d83f3d50b99b58ef53e6/docs/codex/suivi-monde2026/campagne205-eligibilite.json</x:v>
      </x:c>
    </x:row>
    <x:row r="96" ht="64" customHeight="1">
      <x:c r="A96" s="272" t="str">
        <x:v>EXT-MONDE-T046-V41</x:v>
      </x:c>
      <x:c r="B96" s="272" t="str">
        <x:v>Camping caravanes</x:v>
      </x:c>
      <x:c r="C96" s="281" t="n">
        <x:v>41</x:v>
      </x:c>
      <x:c r="D96" s="272" t="str">
        <x:v>campaign205-046-41</x:v>
      </x:c>
      <x:c r="E96" s="282" t="str">
        <x:v>Oui</x:v>
      </x:c>
      <x:c r="F96" s="282" t="str">
        <x:v>Oui</x:v>
      </x:c>
      <x:c r="G96" s="282" t="str">
        <x:v>Oui</x:v>
      </x:c>
      <x:c r="H96" s="282" t="str">
        <x:v>Oui</x:v>
      </x:c>
      <x:c r="I96" s="282" t="str">
        <x:v>Oui</x:v>
      </x:c>
      <x:c r="J96" s="281" t="n">
        <x:v>0</x:v>
      </x:c>
      <x:c r="K96" s="272" t="str">
        <x:v>Aucun témoin pour cette variante</x:v>
      </x:c>
      <x:c r="L96" s="272" t="str">
        <x:v>https://github.com/darknigthmare/deadwall-last-enclosure/blob/e28f46223e73105ab2c5d83f3d50b99b58ef53e6/docs/codex/suivi-monde2026/campagne205-eligibilite.json</x:v>
      </x:c>
    </x:row>
    <x:row r="97" ht="64" customHeight="1">
      <x:c r="A97" s="272" t="str">
        <x:v>EXT-MONDE-T046-V42</x:v>
      </x:c>
      <x:c r="B97" s="272" t="str">
        <x:v>Camping caravanes</x:v>
      </x:c>
      <x:c r="C97" s="281" t="n">
        <x:v>42</x:v>
      </x:c>
      <x:c r="D97" s="272" t="str">
        <x:v>campaign205-046-42</x:v>
      </x:c>
      <x:c r="E97" s="282" t="str">
        <x:v>Oui</x:v>
      </x:c>
      <x:c r="F97" s="282" t="str">
        <x:v>Oui</x:v>
      </x:c>
      <x:c r="G97" s="282" t="str">
        <x:v>Oui</x:v>
      </x:c>
      <x:c r="H97" s="282" t="str">
        <x:v>Oui</x:v>
      </x:c>
      <x:c r="I97" s="282" t="str">
        <x:v>Oui</x:v>
      </x:c>
      <x:c r="J97" s="281" t="n">
        <x:v>0</x:v>
      </x:c>
      <x:c r="K97" s="272" t="str">
        <x:v>Aucun témoin pour cette variante</x:v>
      </x:c>
      <x:c r="L97" s="272" t="str">
        <x:v>https://github.com/darknigthmare/deadwall-last-enclosure/blob/e28f46223e73105ab2c5d83f3d50b99b58ef53e6/docs/codex/suivi-monde2026/campagne205-eligibilite.json</x:v>
      </x:c>
    </x:row>
    <x:row r="98" ht="64" customHeight="1">
      <x:c r="A98" s="272" t="str">
        <x:v>EXT-MONDE-T046-V43</x:v>
      </x:c>
      <x:c r="B98" s="272" t="str">
        <x:v>Camping caravanes</x:v>
      </x:c>
      <x:c r="C98" s="281" t="n">
        <x:v>43</x:v>
      </x:c>
      <x:c r="D98" s="272" t="str">
        <x:v>campaign205-046-43</x:v>
      </x:c>
      <x:c r="E98" s="282" t="str">
        <x:v>Oui</x:v>
      </x:c>
      <x:c r="F98" s="282" t="str">
        <x:v>Oui</x:v>
      </x:c>
      <x:c r="G98" s="282" t="str">
        <x:v>Oui</x:v>
      </x:c>
      <x:c r="H98" s="282" t="str">
        <x:v>Oui</x:v>
      </x:c>
      <x:c r="I98" s="282" t="str">
        <x:v>Oui</x:v>
      </x:c>
      <x:c r="J98" s="281" t="n">
        <x:v>0</x:v>
      </x:c>
      <x:c r="K98" s="272" t="str">
        <x:v>Aucun témoin pour cette variante</x:v>
      </x:c>
      <x:c r="L98" s="272" t="str">
        <x:v>https://github.com/darknigthmare/deadwall-last-enclosure/blob/e28f46223e73105ab2c5d83f3d50b99b58ef53e6/docs/codex/suivi-monde2026/campagne205-eligibilite.json</x:v>
      </x:c>
    </x:row>
    <x:row r="99" ht="64" customHeight="1">
      <x:c r="A99" s="272" t="str">
        <x:v>EXT-MONDE-T046-V44</x:v>
      </x:c>
      <x:c r="B99" s="272" t="str">
        <x:v>Camping caravanes</x:v>
      </x:c>
      <x:c r="C99" s="281" t="n">
        <x:v>44</x:v>
      </x:c>
      <x:c r="D99" s="272" t="str">
        <x:v>campaign205-046-44</x:v>
      </x:c>
      <x:c r="E99" s="282" t="str">
        <x:v>Oui</x:v>
      </x:c>
      <x:c r="F99" s="282" t="str">
        <x:v>Oui</x:v>
      </x:c>
      <x:c r="G99" s="282" t="str">
        <x:v>Oui</x:v>
      </x:c>
      <x:c r="H99" s="282" t="str">
        <x:v>Oui</x:v>
      </x:c>
      <x:c r="I99" s="282" t="str">
        <x:v>Oui</x:v>
      </x:c>
      <x:c r="J99" s="281" t="n">
        <x:v>0</x:v>
      </x:c>
      <x:c r="K99" s="272" t="str">
        <x:v>Aucun témoin pour cette variante</x:v>
      </x:c>
      <x:c r="L99" s="272" t="str">
        <x:v>https://github.com/darknigthmare/deadwall-last-enclosure/blob/e28f46223e73105ab2c5d83f3d50b99b58ef53e6/docs/codex/suivi-monde2026/campagne205-eligibilite.json</x:v>
      </x:c>
    </x:row>
    <x:row r="100" ht="64" customHeight="1">
      <x:c r="A100" s="272" t="str">
        <x:v>EXT-MONDE-T046-V45</x:v>
      </x:c>
      <x:c r="B100" s="272" t="str">
        <x:v>Camping caravanes</x:v>
      </x:c>
      <x:c r="C100" s="281" t="n">
        <x:v>45</x:v>
      </x:c>
      <x:c r="D100" s="272" t="str">
        <x:v>campaign205-046-45</x:v>
      </x:c>
      <x:c r="E100" s="282" t="str">
        <x:v>Oui</x:v>
      </x:c>
      <x:c r="F100" s="282" t="str">
        <x:v>Oui</x:v>
      </x:c>
      <x:c r="G100" s="282" t="str">
        <x:v>Oui</x:v>
      </x:c>
      <x:c r="H100" s="282" t="str">
        <x:v>Oui</x:v>
      </x:c>
      <x:c r="I100" s="282" t="str">
        <x:v>Oui</x:v>
      </x:c>
      <x:c r="J100" s="281" t="n">
        <x:v>0</x:v>
      </x:c>
      <x:c r="K100" s="272" t="str">
        <x:v>Aucun témoin pour cette variante</x:v>
      </x:c>
      <x:c r="L100" s="272" t="str">
        <x:v>https://github.com/darknigthmare/deadwall-last-enclosure/blob/e28f46223e73105ab2c5d83f3d50b99b58ef53e6/docs/codex/suivi-monde2026/campagne205-eligibilite.json</x:v>
      </x:c>
    </x:row>
    <x:row r="101" ht="64" customHeight="1">
      <x:c r="A101" s="272" t="str">
        <x:v>EXT-MONDE-T046-V46</x:v>
      </x:c>
      <x:c r="B101" s="272" t="str">
        <x:v>Camping caravanes</x:v>
      </x:c>
      <x:c r="C101" s="281" t="n">
        <x:v>46</x:v>
      </x:c>
      <x:c r="D101" s="272" t="str">
        <x:v>campaign205-046-46</x:v>
      </x:c>
      <x:c r="E101" s="282" t="str">
        <x:v>Oui</x:v>
      </x:c>
      <x:c r="F101" s="282" t="str">
        <x:v>Oui</x:v>
      </x:c>
      <x:c r="G101" s="282" t="str">
        <x:v>Oui</x:v>
      </x:c>
      <x:c r="H101" s="282" t="str">
        <x:v>Oui</x:v>
      </x:c>
      <x:c r="I101" s="282" t="str">
        <x:v>Oui</x:v>
      </x:c>
      <x:c r="J101" s="281" t="n">
        <x:v>0</x:v>
      </x:c>
      <x:c r="K101" s="272" t="str">
        <x:v>Aucun témoin pour cette variante</x:v>
      </x:c>
      <x:c r="L101" s="272" t="str">
        <x:v>https://github.com/darknigthmare/deadwall-last-enclosure/blob/e28f46223e73105ab2c5d83f3d50b99b58ef53e6/docs/codex/suivi-monde2026/campagne205-eligibilite.json</x:v>
      </x:c>
    </x:row>
    <x:row r="102" ht="64" customHeight="1">
      <x:c r="A102" s="272" t="str">
        <x:v>EXT-MONDE-T046-V47</x:v>
      </x:c>
      <x:c r="B102" s="272" t="str">
        <x:v>Camping caravanes</x:v>
      </x:c>
      <x:c r="C102" s="281" t="n">
        <x:v>47</x:v>
      </x:c>
      <x:c r="D102" s="272" t="str">
        <x:v>campaign205-046-47</x:v>
      </x:c>
      <x:c r="E102" s="282" t="str">
        <x:v>Oui</x:v>
      </x:c>
      <x:c r="F102" s="282" t="str">
        <x:v>Oui</x:v>
      </x:c>
      <x:c r="G102" s="282" t="str">
        <x:v>Oui</x:v>
      </x:c>
      <x:c r="H102" s="282" t="str">
        <x:v>Oui</x:v>
      </x:c>
      <x:c r="I102" s="282" t="str">
        <x:v>Oui</x:v>
      </x:c>
      <x:c r="J102" s="281" t="n">
        <x:v>1</x:v>
      </x:c>
      <x:c r="K102" s="272" t="str">
        <x:v>0</x:v>
      </x:c>
      <x:c r="L102" s="272" t="str">
        <x:v>https://github.com/darknigthmare/deadwall-last-enclosure/blob/e28f46223e73105ab2c5d83f3d50b99b58ef53e6/docs/codex/suivi-monde2026/campagne205-eligibilite.json</x:v>
      </x:c>
    </x:row>
    <x:row r="103" ht="64" customHeight="1">
      <x:c r="A103" s="272" t="str">
        <x:v>EXT-MONDE-T046-V48</x:v>
      </x:c>
      <x:c r="B103" s="272" t="str">
        <x:v>Camping caravanes</x:v>
      </x:c>
      <x:c r="C103" s="281" t="n">
        <x:v>48</x:v>
      </x:c>
      <x:c r="D103" s="272" t="str">
        <x:v>campaign205-046-48</x:v>
      </x:c>
      <x:c r="E103" s="282" t="str">
        <x:v>Oui</x:v>
      </x:c>
      <x:c r="F103" s="282" t="str">
        <x:v>Oui</x:v>
      </x:c>
      <x:c r="G103" s="282" t="str">
        <x:v>Oui</x:v>
      </x:c>
      <x:c r="H103" s="282" t="str">
        <x:v>Oui</x:v>
      </x:c>
      <x:c r="I103" s="282" t="str">
        <x:v>Oui</x:v>
      </x:c>
      <x:c r="J103" s="281" t="n">
        <x:v>0</x:v>
      </x:c>
      <x:c r="K103" s="272" t="str">
        <x:v>Aucun témoin pour cette variante</x:v>
      </x:c>
      <x:c r="L103" s="272" t="str">
        <x:v>https://github.com/darknigthmare/deadwall-last-enclosure/blob/e28f46223e73105ab2c5d83f3d50b99b58ef53e6/docs/codex/suivi-monde2026/campagne205-eligibilite.json</x:v>
      </x:c>
    </x:row>
    <x:row r="104" ht="64" customHeight="1">
      <x:c r="A104" s="272" t="str">
        <x:v>EXT-MONDE-T046-V49</x:v>
      </x:c>
      <x:c r="B104" s="272" t="str">
        <x:v>Camping caravanes</x:v>
      </x:c>
      <x:c r="C104" s="281" t="n">
        <x:v>49</x:v>
      </x:c>
      <x:c r="D104" s="272" t="str">
        <x:v>campaign205-046-49</x:v>
      </x:c>
      <x:c r="E104" s="282" t="str">
        <x:v>Oui</x:v>
      </x:c>
      <x:c r="F104" s="282" t="str">
        <x:v>Oui</x:v>
      </x:c>
      <x:c r="G104" s="282" t="str">
        <x:v>Oui</x:v>
      </x:c>
      <x:c r="H104" s="282" t="str">
        <x:v>Oui</x:v>
      </x:c>
      <x:c r="I104" s="282" t="str">
        <x:v>Oui</x:v>
      </x:c>
      <x:c r="J104" s="281" t="n">
        <x:v>0</x:v>
      </x:c>
      <x:c r="K104" s="272" t="str">
        <x:v>Aucun témoin pour cette variante</x:v>
      </x:c>
      <x:c r="L104" s="272" t="str">
        <x:v>https://github.com/darknigthmare/deadwall-last-enclosure/blob/e28f46223e73105ab2c5d83f3d50b99b58ef53e6/docs/codex/suivi-monde2026/campagne205-eligibilite.json</x:v>
      </x:c>
    </x:row>
    <x:row r="105" ht="64" customHeight="1">
      <x:c r="A105" s="272" t="str">
        <x:v>EXT-MONDE-T046-V50</x:v>
      </x:c>
      <x:c r="B105" s="272" t="str">
        <x:v>Camping caravanes</x:v>
      </x:c>
      <x:c r="C105" s="281" t="n">
        <x:v>50</x:v>
      </x:c>
      <x:c r="D105" s="272" t="str">
        <x:v>campaign205-046-50</x:v>
      </x:c>
      <x:c r="E105" s="282" t="str">
        <x:v>Oui</x:v>
      </x:c>
      <x:c r="F105" s="282" t="str">
        <x:v>Oui</x:v>
      </x:c>
      <x:c r="G105" s="282" t="str">
        <x:v>Oui</x:v>
      </x:c>
      <x:c r="H105" s="282" t="str">
        <x:v>Oui</x:v>
      </x:c>
      <x:c r="I105" s="282" t="str">
        <x:v>Oui</x:v>
      </x:c>
      <x:c r="J105" s="281" t="n">
        <x:v>0</x:v>
      </x:c>
      <x:c r="K105" s="272" t="str">
        <x:v>Aucun témoin pour cette variante</x:v>
      </x:c>
      <x:c r="L105" s="272" t="str">
        <x:v>https://github.com/darknigthmare/deadwall-last-enclosure/blob/e28f46223e73105ab2c5d83f3d50b99b58ef53e6/docs/codex/suivi-monde2026/campagne205-eligibilite.json</x:v>
      </x:c>
    </x:row>
    <x:row r="106" ht="64" customHeight="1">
      <x:c r="A106" s="272" t="str">
        <x:v>EXT-MONDE-T047-V01</x:v>
      </x:c>
      <x:c r="B106" s="272" t="str">
        <x:v>Camp de travailleurs</x:v>
      </x:c>
      <x:c r="C106" s="281" t="n">
        <x:v>1</x:v>
      </x:c>
      <x:c r="D106" s="272" t="str">
        <x:v>campaign205-047-01</x:v>
      </x:c>
      <x:c r="E106" s="282" t="str">
        <x:v>Oui</x:v>
      </x:c>
      <x:c r="F106" s="282" t="str">
        <x:v>Oui</x:v>
      </x:c>
      <x:c r="G106" s="282" t="str">
        <x:v>Oui</x:v>
      </x:c>
      <x:c r="H106" s="282" t="str">
        <x:v>Oui</x:v>
      </x:c>
      <x:c r="I106" s="282" t="str">
        <x:v>Oui</x:v>
      </x:c>
      <x:c r="J106" s="281" t="n">
        <x:v>0</x:v>
      </x:c>
      <x:c r="K106" s="272" t="str">
        <x:v>Aucun témoin pour cette variante</x:v>
      </x:c>
      <x:c r="L106" s="272" t="str">
        <x:v>https://github.com/darknigthmare/deadwall-last-enclosure/blob/e28f46223e73105ab2c5d83f3d50b99b58ef53e6/docs/codex/suivi-monde2026/campagne205-eligibilite.json</x:v>
      </x:c>
    </x:row>
    <x:row r="107" ht="64" customHeight="1">
      <x:c r="A107" s="272" t="str">
        <x:v>EXT-MONDE-T047-V02</x:v>
      </x:c>
      <x:c r="B107" s="272" t="str">
        <x:v>Camp de travailleurs</x:v>
      </x:c>
      <x:c r="C107" s="281" t="n">
        <x:v>2</x:v>
      </x:c>
      <x:c r="D107" s="272" t="str">
        <x:v>campaign205-047-02</x:v>
      </x:c>
      <x:c r="E107" s="282" t="str">
        <x:v>Oui</x:v>
      </x:c>
      <x:c r="F107" s="282" t="str">
        <x:v>Oui</x:v>
      </x:c>
      <x:c r="G107" s="282" t="str">
        <x:v>Oui</x:v>
      </x:c>
      <x:c r="H107" s="282" t="str">
        <x:v>Oui</x:v>
      </x:c>
      <x:c r="I107" s="282" t="str">
        <x:v>Oui</x:v>
      </x:c>
      <x:c r="J107" s="281" t="n">
        <x:v>0</x:v>
      </x:c>
      <x:c r="K107" s="272" t="str">
        <x:v>Aucun témoin pour cette variante</x:v>
      </x:c>
      <x:c r="L107" s="272" t="str">
        <x:v>https://github.com/darknigthmare/deadwall-last-enclosure/blob/e28f46223e73105ab2c5d83f3d50b99b58ef53e6/docs/codex/suivi-monde2026/campagne205-eligibilite.json</x:v>
      </x:c>
    </x:row>
    <x:row r="108" ht="64" customHeight="1">
      <x:c r="A108" s="272" t="str">
        <x:v>EXT-MONDE-T047-V03</x:v>
      </x:c>
      <x:c r="B108" s="272" t="str">
        <x:v>Camp de travailleurs</x:v>
      </x:c>
      <x:c r="C108" s="281" t="n">
        <x:v>3</x:v>
      </x:c>
      <x:c r="D108" s="272" t="str">
        <x:v>campaign205-047-03</x:v>
      </x:c>
      <x:c r="E108" s="282" t="str">
        <x:v>Oui</x:v>
      </x:c>
      <x:c r="F108" s="282" t="str">
        <x:v>Oui</x:v>
      </x:c>
      <x:c r="G108" s="282" t="str">
        <x:v>Oui</x:v>
      </x:c>
      <x:c r="H108" s="282" t="str">
        <x:v>Oui</x:v>
      </x:c>
      <x:c r="I108" s="282" t="str">
        <x:v>Oui</x:v>
      </x:c>
      <x:c r="J108" s="281" t="n">
        <x:v>0</x:v>
      </x:c>
      <x:c r="K108" s="272" t="str">
        <x:v>Aucun témoin pour cette variante</x:v>
      </x:c>
      <x:c r="L108" s="272" t="str">
        <x:v>https://github.com/darknigthmare/deadwall-last-enclosure/blob/e28f46223e73105ab2c5d83f3d50b99b58ef53e6/docs/codex/suivi-monde2026/campagne205-eligibilite.json</x:v>
      </x:c>
    </x:row>
    <x:row r="109" ht="64" customHeight="1">
      <x:c r="A109" s="272" t="str">
        <x:v>EXT-MONDE-T047-V04</x:v>
      </x:c>
      <x:c r="B109" s="272" t="str">
        <x:v>Camp de travailleurs</x:v>
      </x:c>
      <x:c r="C109" s="281" t="n">
        <x:v>4</x:v>
      </x:c>
      <x:c r="D109" s="272" t="str">
        <x:v>campaign205-047-04</x:v>
      </x:c>
      <x:c r="E109" s="282" t="str">
        <x:v>Oui</x:v>
      </x:c>
      <x:c r="F109" s="282" t="str">
        <x:v>Oui</x:v>
      </x:c>
      <x:c r="G109" s="282" t="str">
        <x:v>Oui</x:v>
      </x:c>
      <x:c r="H109" s="282" t="str">
        <x:v>Oui</x:v>
      </x:c>
      <x:c r="I109" s="282" t="str">
        <x:v>Oui</x:v>
      </x:c>
      <x:c r="J109" s="281" t="n">
        <x:v>1</x:v>
      </x:c>
      <x:c r="K109" s="272" t="str">
        <x:v>84329</x:v>
      </x:c>
      <x:c r="L109" s="272" t="str">
        <x:v>https://github.com/darknigthmare/deadwall-last-enclosure/blob/e28f46223e73105ab2c5d83f3d50b99b58ef53e6/docs/codex/suivi-monde2026/campagne205-eligibilite.json</x:v>
      </x:c>
    </x:row>
    <x:row r="110" ht="64" customHeight="1">
      <x:c r="A110" s="272" t="str">
        <x:v>EXT-MONDE-T047-V05</x:v>
      </x:c>
      <x:c r="B110" s="272" t="str">
        <x:v>Camp de travailleurs</x:v>
      </x:c>
      <x:c r="C110" s="281" t="n">
        <x:v>5</x:v>
      </x:c>
      <x:c r="D110" s="272" t="str">
        <x:v>campaign205-047-05</x:v>
      </x:c>
      <x:c r="E110" s="282" t="str">
        <x:v>Oui</x:v>
      </x:c>
      <x:c r="F110" s="282" t="str">
        <x:v>Oui</x:v>
      </x:c>
      <x:c r="G110" s="282" t="str">
        <x:v>Oui</x:v>
      </x:c>
      <x:c r="H110" s="282" t="str">
        <x:v>Oui</x:v>
      </x:c>
      <x:c r="I110" s="282" t="str">
        <x:v>Oui</x:v>
      </x:c>
      <x:c r="J110" s="281" t="n">
        <x:v>1</x:v>
      </x:c>
      <x:c r="K110" s="272" t="str">
        <x:v>4294967295</x:v>
      </x:c>
      <x:c r="L110" s="272" t="str">
        <x:v>https://github.com/darknigthmare/deadwall-last-enclosure/blob/e28f46223e73105ab2c5d83f3d50b99b58ef53e6/docs/codex/suivi-monde2026/campagne205-eligibilite.json</x:v>
      </x:c>
    </x:row>
    <x:row r="111" ht="64" customHeight="1">
      <x:c r="A111" s="272" t="str">
        <x:v>EXT-MONDE-T047-V06</x:v>
      </x:c>
      <x:c r="B111" s="272" t="str">
        <x:v>Camp de travailleurs</x:v>
      </x:c>
      <x:c r="C111" s="281" t="n">
        <x:v>6</x:v>
      </x:c>
      <x:c r="D111" s="272" t="str">
        <x:v>campaign205-047-06</x:v>
      </x:c>
      <x:c r="E111" s="282" t="str">
        <x:v>Oui</x:v>
      </x:c>
      <x:c r="F111" s="282" t="str">
        <x:v>Oui</x:v>
      </x:c>
      <x:c r="G111" s="282" t="str">
        <x:v>Oui</x:v>
      </x:c>
      <x:c r="H111" s="282" t="str">
        <x:v>Oui</x:v>
      </x:c>
      <x:c r="I111" s="282" t="str">
        <x:v>Oui</x:v>
      </x:c>
      <x:c r="J111" s="281" t="n">
        <x:v>1</x:v>
      </x:c>
      <x:c r="K111" s="272" t="str">
        <x:v>1</x:v>
      </x:c>
      <x:c r="L111" s="272" t="str">
        <x:v>https://github.com/darknigthmare/deadwall-last-enclosure/blob/e28f46223e73105ab2c5d83f3d50b99b58ef53e6/docs/codex/suivi-monde2026/campagne205-eligibilite.json</x:v>
      </x:c>
    </x:row>
    <x:row r="112" ht="64" customHeight="1">
      <x:c r="A112" s="272" t="str">
        <x:v>EXT-MONDE-T047-V07</x:v>
      </x:c>
      <x:c r="B112" s="272" t="str">
        <x:v>Camp de travailleurs</x:v>
      </x:c>
      <x:c r="C112" s="281" t="n">
        <x:v>7</x:v>
      </x:c>
      <x:c r="D112" s="272" t="str">
        <x:v>campaign205-047-07</x:v>
      </x:c>
      <x:c r="E112" s="282" t="str">
        <x:v>Oui</x:v>
      </x:c>
      <x:c r="F112" s="282" t="str">
        <x:v>Oui</x:v>
      </x:c>
      <x:c r="G112" s="282" t="str">
        <x:v>Oui</x:v>
      </x:c>
      <x:c r="H112" s="282" t="str">
        <x:v>Oui</x:v>
      </x:c>
      <x:c r="I112" s="282" t="str">
        <x:v>Oui</x:v>
      </x:c>
      <x:c r="J112" s="281" t="n">
        <x:v>1</x:v>
      </x:c>
      <x:c r="K112" s="272" t="str">
        <x:v>42</x:v>
      </x:c>
      <x:c r="L112" s="272" t="str">
        <x:v>https://github.com/darknigthmare/deadwall-last-enclosure/blob/e28f46223e73105ab2c5d83f3d50b99b58ef53e6/docs/codex/suivi-monde2026/campagne205-eligibilite.json</x:v>
      </x:c>
    </x:row>
    <x:row r="113" ht="64" customHeight="1">
      <x:c r="A113" s="272" t="str">
        <x:v>EXT-MONDE-T047-V08</x:v>
      </x:c>
      <x:c r="B113" s="272" t="str">
        <x:v>Camp de travailleurs</x:v>
      </x:c>
      <x:c r="C113" s="281" t="n">
        <x:v>8</x:v>
      </x:c>
      <x:c r="D113" s="272" t="str">
        <x:v>campaign205-047-08</x:v>
      </x:c>
      <x:c r="E113" s="282" t="str">
        <x:v>Oui</x:v>
      </x:c>
      <x:c r="F113" s="282" t="str">
        <x:v>Oui</x:v>
      </x:c>
      <x:c r="G113" s="282" t="str">
        <x:v>Oui</x:v>
      </x:c>
      <x:c r="H113" s="282" t="str">
        <x:v>Oui</x:v>
      </x:c>
      <x:c r="I113" s="282" t="str">
        <x:v>Oui</x:v>
      </x:c>
      <x:c r="J113" s="281" t="n">
        <x:v>0</x:v>
      </x:c>
      <x:c r="K113" s="272" t="str">
        <x:v>Aucun témoin pour cette variante</x:v>
      </x:c>
      <x:c r="L113" s="272" t="str">
        <x:v>https://github.com/darknigthmare/deadwall-last-enclosure/blob/e28f46223e73105ab2c5d83f3d50b99b58ef53e6/docs/codex/suivi-monde2026/campagne205-eligibilite.json</x:v>
      </x:c>
    </x:row>
    <x:row r="114" ht="64" customHeight="1">
      <x:c r="A114" s="272" t="str">
        <x:v>EXT-MONDE-T047-V09</x:v>
      </x:c>
      <x:c r="B114" s="272" t="str">
        <x:v>Camp de travailleurs</x:v>
      </x:c>
      <x:c r="C114" s="281" t="n">
        <x:v>9</x:v>
      </x:c>
      <x:c r="D114" s="272" t="str">
        <x:v>campaign205-047-09</x:v>
      </x:c>
      <x:c r="E114" s="282" t="str">
        <x:v>Oui</x:v>
      </x:c>
      <x:c r="F114" s="282" t="str">
        <x:v>Oui</x:v>
      </x:c>
      <x:c r="G114" s="282" t="str">
        <x:v>Oui</x:v>
      </x:c>
      <x:c r="H114" s="282" t="str">
        <x:v>Oui</x:v>
      </x:c>
      <x:c r="I114" s="282" t="str">
        <x:v>Oui</x:v>
      </x:c>
      <x:c r="J114" s="281" t="n">
        <x:v>1</x:v>
      </x:c>
      <x:c r="K114" s="272" t="str">
        <x:v>17117</x:v>
      </x:c>
      <x:c r="L114" s="272" t="str">
        <x:v>https://github.com/darknigthmare/deadwall-last-enclosure/blob/e28f46223e73105ab2c5d83f3d50b99b58ef53e6/docs/codex/suivi-monde2026/campagne205-eligibilite.json</x:v>
      </x:c>
    </x:row>
    <x:row r="115" ht="64" customHeight="1">
      <x:c r="A115" s="272" t="str">
        <x:v>EXT-MONDE-T047-V10</x:v>
      </x:c>
      <x:c r="B115" s="272" t="str">
        <x:v>Camp de travailleurs</x:v>
      </x:c>
      <x:c r="C115" s="281" t="n">
        <x:v>10</x:v>
      </x:c>
      <x:c r="D115" s="272" t="str">
        <x:v>campaign205-047-10</x:v>
      </x:c>
      <x:c r="E115" s="282" t="str">
        <x:v>Oui</x:v>
      </x:c>
      <x:c r="F115" s="282" t="str">
        <x:v>Oui</x:v>
      </x:c>
      <x:c r="G115" s="282" t="str">
        <x:v>Oui</x:v>
      </x:c>
      <x:c r="H115" s="282" t="str">
        <x:v>Oui</x:v>
      </x:c>
      <x:c r="I115" s="282" t="str">
        <x:v>Oui</x:v>
      </x:c>
      <x:c r="J115" s="281" t="n">
        <x:v>2</x:v>
      </x:c>
      <x:c r="K115" s="272" t="str">
        <x:v>967313470, 4294967295</x:v>
      </x:c>
      <x:c r="L115" s="272" t="str">
        <x:v>https://github.com/darknigthmare/deadwall-last-enclosure/blob/e28f46223e73105ab2c5d83f3d50b99b58ef53e6/docs/codex/suivi-monde2026/campagne205-eligibilite.json</x:v>
      </x:c>
    </x:row>
    <x:row r="116" ht="64" customHeight="1">
      <x:c r="A116" s="272" t="str">
        <x:v>EXT-MONDE-T047-V11</x:v>
      </x:c>
      <x:c r="B116" s="272" t="str">
        <x:v>Camp de travailleurs</x:v>
      </x:c>
      <x:c r="C116" s="281" t="n">
        <x:v>11</x:v>
      </x:c>
      <x:c r="D116" s="272" t="str">
        <x:v>campaign205-047-11</x:v>
      </x:c>
      <x:c r="E116" s="282" t="str">
        <x:v>Oui</x:v>
      </x:c>
      <x:c r="F116" s="282" t="str">
        <x:v>Oui</x:v>
      </x:c>
      <x:c r="G116" s="282" t="str">
        <x:v>Oui</x:v>
      </x:c>
      <x:c r="H116" s="282" t="str">
        <x:v>Oui</x:v>
      </x:c>
      <x:c r="I116" s="282" t="str">
        <x:v>Oui</x:v>
      </x:c>
      <x:c r="J116" s="281" t="n">
        <x:v>1</x:v>
      </x:c>
      <x:c r="K116" s="272" t="str">
        <x:v>17117</x:v>
      </x:c>
      <x:c r="L116" s="272" t="str">
        <x:v>https://github.com/darknigthmare/deadwall-last-enclosure/blob/e28f46223e73105ab2c5d83f3d50b99b58ef53e6/docs/codex/suivi-monde2026/campagne205-eligibilite.json</x:v>
      </x:c>
    </x:row>
    <x:row r="117" ht="64" customHeight="1">
      <x:c r="A117" s="272" t="str">
        <x:v>EXT-MONDE-T047-V12</x:v>
      </x:c>
      <x:c r="B117" s="272" t="str">
        <x:v>Camp de travailleurs</x:v>
      </x:c>
      <x:c r="C117" s="281" t="n">
        <x:v>12</x:v>
      </x:c>
      <x:c r="D117" s="272" t="str">
        <x:v>campaign205-047-12</x:v>
      </x:c>
      <x:c r="E117" s="282" t="str">
        <x:v>Oui</x:v>
      </x:c>
      <x:c r="F117" s="282" t="str">
        <x:v>Oui</x:v>
      </x:c>
      <x:c r="G117" s="282" t="str">
        <x:v>Oui</x:v>
      </x:c>
      <x:c r="H117" s="282" t="str">
        <x:v>Oui</x:v>
      </x:c>
      <x:c r="I117" s="282" t="str">
        <x:v>Oui</x:v>
      </x:c>
      <x:c r="J117" s="281" t="n">
        <x:v>0</x:v>
      </x:c>
      <x:c r="K117" s="272" t="str">
        <x:v>Aucun témoin pour cette variante</x:v>
      </x:c>
      <x:c r="L117" s="272" t="str">
        <x:v>https://github.com/darknigthmare/deadwall-last-enclosure/blob/e28f46223e73105ab2c5d83f3d50b99b58ef53e6/docs/codex/suivi-monde2026/campagne205-eligibilite.json</x:v>
      </x:c>
    </x:row>
    <x:row r="118" ht="64" customHeight="1">
      <x:c r="A118" s="272" t="str">
        <x:v>EXT-MONDE-T047-V13</x:v>
      </x:c>
      <x:c r="B118" s="272" t="str">
        <x:v>Camp de travailleurs</x:v>
      </x:c>
      <x:c r="C118" s="281" t="n">
        <x:v>13</x:v>
      </x:c>
      <x:c r="D118" s="272" t="str">
        <x:v>campaign205-047-13</x:v>
      </x:c>
      <x:c r="E118" s="282" t="str">
        <x:v>Oui</x:v>
      </x:c>
      <x:c r="F118" s="282" t="str">
        <x:v>Oui</x:v>
      </x:c>
      <x:c r="G118" s="282" t="str">
        <x:v>Oui</x:v>
      </x:c>
      <x:c r="H118" s="282" t="str">
        <x:v>Oui</x:v>
      </x:c>
      <x:c r="I118" s="282" t="str">
        <x:v>Oui</x:v>
      </x:c>
      <x:c r="J118" s="281" t="n">
        <x:v>1</x:v>
      </x:c>
      <x:c r="K118" s="272" t="str">
        <x:v>0</x:v>
      </x:c>
      <x:c r="L118" s="272" t="str">
        <x:v>https://github.com/darknigthmare/deadwall-last-enclosure/blob/e28f46223e73105ab2c5d83f3d50b99b58ef53e6/docs/codex/suivi-monde2026/campagne205-eligibilite.json</x:v>
      </x:c>
    </x:row>
    <x:row r="119" ht="64" customHeight="1">
      <x:c r="A119" s="272" t="str">
        <x:v>EXT-MONDE-T047-V14</x:v>
      </x:c>
      <x:c r="B119" s="272" t="str">
        <x:v>Camp de travailleurs</x:v>
      </x:c>
      <x:c r="C119" s="281" t="n">
        <x:v>14</x:v>
      </x:c>
      <x:c r="D119" s="272" t="str">
        <x:v>campaign205-047-14</x:v>
      </x:c>
      <x:c r="E119" s="282" t="str">
        <x:v>Oui</x:v>
      </x:c>
      <x:c r="F119" s="282" t="str">
        <x:v>Oui</x:v>
      </x:c>
      <x:c r="G119" s="282" t="str">
        <x:v>Oui</x:v>
      </x:c>
      <x:c r="H119" s="282" t="str">
        <x:v>Oui</x:v>
      </x:c>
      <x:c r="I119" s="282" t="str">
        <x:v>Oui</x:v>
      </x:c>
      <x:c r="J119" s="281" t="n">
        <x:v>0</x:v>
      </x:c>
      <x:c r="K119" s="272" t="str">
        <x:v>Aucun témoin pour cette variante</x:v>
      </x:c>
      <x:c r="L119" s="272" t="str">
        <x:v>https://github.com/darknigthmare/deadwall-last-enclosure/blob/e28f46223e73105ab2c5d83f3d50b99b58ef53e6/docs/codex/suivi-monde2026/campagne205-eligibilite.json</x:v>
      </x:c>
    </x:row>
    <x:row r="120" ht="64" customHeight="1">
      <x:c r="A120" s="272" t="str">
        <x:v>EXT-MONDE-T047-V15</x:v>
      </x:c>
      <x:c r="B120" s="272" t="str">
        <x:v>Camp de travailleurs</x:v>
      </x:c>
      <x:c r="C120" s="281" t="n">
        <x:v>15</x:v>
      </x:c>
      <x:c r="D120" s="272" t="str">
        <x:v>campaign205-047-15</x:v>
      </x:c>
      <x:c r="E120" s="282" t="str">
        <x:v>Oui</x:v>
      </x:c>
      <x:c r="F120" s="282" t="str">
        <x:v>Oui</x:v>
      </x:c>
      <x:c r="G120" s="282" t="str">
        <x:v>Oui</x:v>
      </x:c>
      <x:c r="H120" s="282" t="str">
        <x:v>Oui</x:v>
      </x:c>
      <x:c r="I120" s="282" t="str">
        <x:v>Oui</x:v>
      </x:c>
      <x:c r="J120" s="281" t="n">
        <x:v>1</x:v>
      </x:c>
      <x:c r="K120" s="272" t="str">
        <x:v>1947648717</x:v>
      </x:c>
      <x:c r="L120" s="272" t="str">
        <x:v>https://github.com/darknigthmare/deadwall-last-enclosure/blob/e28f46223e73105ab2c5d83f3d50b99b58ef53e6/docs/codex/suivi-monde2026/campagne205-eligibilite.json</x:v>
      </x:c>
    </x:row>
    <x:row r="121" ht="64" customHeight="1">
      <x:c r="A121" s="272" t="str">
        <x:v>EXT-MONDE-T047-V16</x:v>
      </x:c>
      <x:c r="B121" s="272" t="str">
        <x:v>Camp de travailleurs</x:v>
      </x:c>
      <x:c r="C121" s="281" t="n">
        <x:v>16</x:v>
      </x:c>
      <x:c r="D121" s="272" t="str">
        <x:v>campaign205-047-16</x:v>
      </x:c>
      <x:c r="E121" s="282" t="str">
        <x:v>Oui</x:v>
      </x:c>
      <x:c r="F121" s="282" t="str">
        <x:v>Oui</x:v>
      </x:c>
      <x:c r="G121" s="282" t="str">
        <x:v>Oui</x:v>
      </x:c>
      <x:c r="H121" s="282" t="str">
        <x:v>Oui</x:v>
      </x:c>
      <x:c r="I121" s="282" t="str">
        <x:v>Oui</x:v>
      </x:c>
      <x:c r="J121" s="281" t="n">
        <x:v>0</x:v>
      </x:c>
      <x:c r="K121" s="272" t="str">
        <x:v>Aucun témoin pour cette variante</x:v>
      </x:c>
      <x:c r="L121" s="272" t="str">
        <x:v>https://github.com/darknigthmare/deadwall-last-enclosure/blob/e28f46223e73105ab2c5d83f3d50b99b58ef53e6/docs/codex/suivi-monde2026/campagne205-eligibilite.json</x:v>
      </x:c>
    </x:row>
    <x:row r="122" ht="64" customHeight="1">
      <x:c r="A122" s="272" t="str">
        <x:v>EXT-MONDE-T047-V17</x:v>
      </x:c>
      <x:c r="B122" s="272" t="str">
        <x:v>Camp de travailleurs</x:v>
      </x:c>
      <x:c r="C122" s="281" t="n">
        <x:v>17</x:v>
      </x:c>
      <x:c r="D122" s="272" t="str">
        <x:v>campaign205-047-17</x:v>
      </x:c>
      <x:c r="E122" s="282" t="str">
        <x:v>Oui</x:v>
      </x:c>
      <x:c r="F122" s="282" t="str">
        <x:v>Oui</x:v>
      </x:c>
      <x:c r="G122" s="282" t="str">
        <x:v>Oui</x:v>
      </x:c>
      <x:c r="H122" s="282" t="str">
        <x:v>Oui</x:v>
      </x:c>
      <x:c r="I122" s="282" t="str">
        <x:v>Oui</x:v>
      </x:c>
      <x:c r="J122" s="281" t="n">
        <x:v>1</x:v>
      </x:c>
      <x:c r="K122" s="272" t="str">
        <x:v>42</x:v>
      </x:c>
      <x:c r="L122" s="272" t="str">
        <x:v>https://github.com/darknigthmare/deadwall-last-enclosure/blob/e28f46223e73105ab2c5d83f3d50b99b58ef53e6/docs/codex/suivi-monde2026/campagne205-eligibilite.json</x:v>
      </x:c>
    </x:row>
    <x:row r="123" ht="64" customHeight="1">
      <x:c r="A123" s="272" t="str">
        <x:v>EXT-MONDE-T047-V18</x:v>
      </x:c>
      <x:c r="B123" s="272" t="str">
        <x:v>Camp de travailleurs</x:v>
      </x:c>
      <x:c r="C123" s="281" t="n">
        <x:v>18</x:v>
      </x:c>
      <x:c r="D123" s="272" t="str">
        <x:v>campaign205-047-18</x:v>
      </x:c>
      <x:c r="E123" s="282" t="str">
        <x:v>Oui</x:v>
      </x:c>
      <x:c r="F123" s="282" t="str">
        <x:v>Oui</x:v>
      </x:c>
      <x:c r="G123" s="282" t="str">
        <x:v>Oui</x:v>
      </x:c>
      <x:c r="H123" s="282" t="str">
        <x:v>Oui</x:v>
      </x:c>
      <x:c r="I123" s="282" t="str">
        <x:v>Oui</x:v>
      </x:c>
      <x:c r="J123" s="281" t="n">
        <x:v>0</x:v>
      </x:c>
      <x:c r="K123" s="272" t="str">
        <x:v>Aucun témoin pour cette variante</x:v>
      </x:c>
      <x:c r="L123" s="272" t="str">
        <x:v>https://github.com/darknigthmare/deadwall-last-enclosure/blob/e28f46223e73105ab2c5d83f3d50b99b58ef53e6/docs/codex/suivi-monde2026/campagne205-eligibilite.json</x:v>
      </x:c>
    </x:row>
    <x:row r="124" ht="64" customHeight="1">
      <x:c r="A124" s="272" t="str">
        <x:v>EXT-MONDE-T047-V19</x:v>
      </x:c>
      <x:c r="B124" s="272" t="str">
        <x:v>Camp de travailleurs</x:v>
      </x:c>
      <x:c r="C124" s="281" t="n">
        <x:v>19</x:v>
      </x:c>
      <x:c r="D124" s="272" t="str">
        <x:v>campaign205-047-19</x:v>
      </x:c>
      <x:c r="E124" s="282" t="str">
        <x:v>Oui</x:v>
      </x:c>
      <x:c r="F124" s="282" t="str">
        <x:v>Oui</x:v>
      </x:c>
      <x:c r="G124" s="282" t="str">
        <x:v>Oui</x:v>
      </x:c>
      <x:c r="H124" s="282" t="str">
        <x:v>Oui</x:v>
      </x:c>
      <x:c r="I124" s="282" t="str">
        <x:v>Oui</x:v>
      </x:c>
      <x:c r="J124" s="281" t="n">
        <x:v>0</x:v>
      </x:c>
      <x:c r="K124" s="272" t="str">
        <x:v>Aucun témoin pour cette variante</x:v>
      </x:c>
      <x:c r="L124" s="272" t="str">
        <x:v>https://github.com/darknigthmare/deadwall-last-enclosure/blob/e28f46223e73105ab2c5d83f3d50b99b58ef53e6/docs/codex/suivi-monde2026/campagne205-eligibilite.json</x:v>
      </x:c>
    </x:row>
    <x:row r="125" ht="64" customHeight="1">
      <x:c r="A125" s="272" t="str">
        <x:v>EXT-MONDE-T047-V20</x:v>
      </x:c>
      <x:c r="B125" s="272" t="str">
        <x:v>Camp de travailleurs</x:v>
      </x:c>
      <x:c r="C125" s="281" t="n">
        <x:v>20</x:v>
      </x:c>
      <x:c r="D125" s="272" t="str">
        <x:v>campaign205-047-20</x:v>
      </x:c>
      <x:c r="E125" s="282" t="str">
        <x:v>Oui</x:v>
      </x:c>
      <x:c r="F125" s="282" t="str">
        <x:v>Oui</x:v>
      </x:c>
      <x:c r="G125" s="282" t="str">
        <x:v>Oui</x:v>
      </x:c>
      <x:c r="H125" s="282" t="str">
        <x:v>Oui</x:v>
      </x:c>
      <x:c r="I125" s="282" t="str">
        <x:v>Oui</x:v>
      </x:c>
      <x:c r="J125" s="281" t="n">
        <x:v>0</x:v>
      </x:c>
      <x:c r="K125" s="272" t="str">
        <x:v>Aucun témoin pour cette variante</x:v>
      </x:c>
      <x:c r="L125" s="272" t="str">
        <x:v>https://github.com/darknigthmare/deadwall-last-enclosure/blob/e28f46223e73105ab2c5d83f3d50b99b58ef53e6/docs/codex/suivi-monde2026/campagne205-eligibilite.json</x:v>
      </x:c>
    </x:row>
    <x:row r="126" ht="64" customHeight="1">
      <x:c r="A126" s="272" t="str">
        <x:v>EXT-MONDE-T047-V21</x:v>
      </x:c>
      <x:c r="B126" s="272" t="str">
        <x:v>Camp de travailleurs</x:v>
      </x:c>
      <x:c r="C126" s="281" t="n">
        <x:v>21</x:v>
      </x:c>
      <x:c r="D126" s="272" t="str">
        <x:v>campaign205-047-21</x:v>
      </x:c>
      <x:c r="E126" s="282" t="str">
        <x:v>Oui</x:v>
      </x:c>
      <x:c r="F126" s="282" t="str">
        <x:v>Oui</x:v>
      </x:c>
      <x:c r="G126" s="282" t="str">
        <x:v>Oui</x:v>
      </x:c>
      <x:c r="H126" s="282" t="str">
        <x:v>Oui</x:v>
      </x:c>
      <x:c r="I126" s="282" t="str">
        <x:v>Oui</x:v>
      </x:c>
      <x:c r="J126" s="281" t="n">
        <x:v>0</x:v>
      </x:c>
      <x:c r="K126" s="272" t="str">
        <x:v>Aucun témoin pour cette variante</x:v>
      </x:c>
      <x:c r="L126" s="272" t="str">
        <x:v>https://github.com/darknigthmare/deadwall-last-enclosure/blob/e28f46223e73105ab2c5d83f3d50b99b58ef53e6/docs/codex/suivi-monde2026/campagne205-eligibilite.json</x:v>
      </x:c>
    </x:row>
    <x:row r="127" ht="64" customHeight="1">
      <x:c r="A127" s="272" t="str">
        <x:v>EXT-MONDE-T047-V22</x:v>
      </x:c>
      <x:c r="B127" s="272" t="str">
        <x:v>Camp de travailleurs</x:v>
      </x:c>
      <x:c r="C127" s="281" t="n">
        <x:v>22</x:v>
      </x:c>
      <x:c r="D127" s="272" t="str">
        <x:v>campaign205-047-22</x:v>
      </x:c>
      <x:c r="E127" s="282" t="str">
        <x:v>Oui</x:v>
      </x:c>
      <x:c r="F127" s="282" t="str">
        <x:v>Oui</x:v>
      </x:c>
      <x:c r="G127" s="282" t="str">
        <x:v>Oui</x:v>
      </x:c>
      <x:c r="H127" s="282" t="str">
        <x:v>Oui</x:v>
      </x:c>
      <x:c r="I127" s="282" t="str">
        <x:v>Oui</x:v>
      </x:c>
      <x:c r="J127" s="281" t="n">
        <x:v>0</x:v>
      </x:c>
      <x:c r="K127" s="272" t="str">
        <x:v>Aucun témoin pour cette variante</x:v>
      </x:c>
      <x:c r="L127" s="272" t="str">
        <x:v>https://github.com/darknigthmare/deadwall-last-enclosure/blob/e28f46223e73105ab2c5d83f3d50b99b58ef53e6/docs/codex/suivi-monde2026/campagne205-eligibilite.json</x:v>
      </x:c>
    </x:row>
    <x:row r="128" ht="64" customHeight="1">
      <x:c r="A128" s="272" t="str">
        <x:v>EXT-MONDE-T047-V23</x:v>
      </x:c>
      <x:c r="B128" s="272" t="str">
        <x:v>Camp de travailleurs</x:v>
      </x:c>
      <x:c r="C128" s="281" t="n">
        <x:v>23</x:v>
      </x:c>
      <x:c r="D128" s="272" t="str">
        <x:v>campaign205-047-23</x:v>
      </x:c>
      <x:c r="E128" s="282" t="str">
        <x:v>Oui</x:v>
      </x:c>
      <x:c r="F128" s="282" t="str">
        <x:v>Oui</x:v>
      </x:c>
      <x:c r="G128" s="282" t="str">
        <x:v>Oui</x:v>
      </x:c>
      <x:c r="H128" s="282" t="str">
        <x:v>Oui</x:v>
      </x:c>
      <x:c r="I128" s="282" t="str">
        <x:v>Oui</x:v>
      </x:c>
      <x:c r="J128" s="281" t="n">
        <x:v>0</x:v>
      </x:c>
      <x:c r="K128" s="272" t="str">
        <x:v>Aucun témoin pour cette variante</x:v>
      </x:c>
      <x:c r="L128" s="272" t="str">
        <x:v>https://github.com/darknigthmare/deadwall-last-enclosure/blob/e28f46223e73105ab2c5d83f3d50b99b58ef53e6/docs/codex/suivi-monde2026/campagne205-eligibilite.json</x:v>
      </x:c>
    </x:row>
    <x:row r="129" ht="64" customHeight="1">
      <x:c r="A129" s="272" t="str">
        <x:v>EXT-MONDE-T047-V24</x:v>
      </x:c>
      <x:c r="B129" s="272" t="str">
        <x:v>Camp de travailleurs</x:v>
      </x:c>
      <x:c r="C129" s="281" t="n">
        <x:v>24</x:v>
      </x:c>
      <x:c r="D129" s="272" t="str">
        <x:v>campaign205-047-24</x:v>
      </x:c>
      <x:c r="E129" s="282" t="str">
        <x:v>Oui</x:v>
      </x:c>
      <x:c r="F129" s="282" t="str">
        <x:v>Oui</x:v>
      </x:c>
      <x:c r="G129" s="282" t="str">
        <x:v>Oui</x:v>
      </x:c>
      <x:c r="H129" s="282" t="str">
        <x:v>Oui</x:v>
      </x:c>
      <x:c r="I129" s="282" t="str">
        <x:v>Oui</x:v>
      </x:c>
      <x:c r="J129" s="281" t="n">
        <x:v>0</x:v>
      </x:c>
      <x:c r="K129" s="272" t="str">
        <x:v>Aucun témoin pour cette variante</x:v>
      </x:c>
      <x:c r="L129" s="272" t="str">
        <x:v>https://github.com/darknigthmare/deadwall-last-enclosure/blob/e28f46223e73105ab2c5d83f3d50b99b58ef53e6/docs/codex/suivi-monde2026/campagne205-eligibilite.json</x:v>
      </x:c>
    </x:row>
    <x:row r="130" ht="64" customHeight="1">
      <x:c r="A130" s="272" t="str">
        <x:v>EXT-MONDE-T047-V25</x:v>
      </x:c>
      <x:c r="B130" s="272" t="str">
        <x:v>Camp de travailleurs</x:v>
      </x:c>
      <x:c r="C130" s="281" t="n">
        <x:v>25</x:v>
      </x:c>
      <x:c r="D130" s="272" t="str">
        <x:v>campaign205-047-25</x:v>
      </x:c>
      <x:c r="E130" s="282" t="str">
        <x:v>Oui</x:v>
      </x:c>
      <x:c r="F130" s="282" t="str">
        <x:v>Oui</x:v>
      </x:c>
      <x:c r="G130" s="282" t="str">
        <x:v>Oui</x:v>
      </x:c>
      <x:c r="H130" s="282" t="str">
        <x:v>Oui</x:v>
      </x:c>
      <x:c r="I130" s="282" t="str">
        <x:v>Oui</x:v>
      </x:c>
      <x:c r="J130" s="281" t="n">
        <x:v>0</x:v>
      </x:c>
      <x:c r="K130" s="272" t="str">
        <x:v>Aucun témoin pour cette variante</x:v>
      </x:c>
      <x:c r="L130" s="272" t="str">
        <x:v>https://github.com/darknigthmare/deadwall-last-enclosure/blob/e28f46223e73105ab2c5d83f3d50b99b58ef53e6/docs/codex/suivi-monde2026/campagne205-eligibilite.json</x:v>
      </x:c>
    </x:row>
    <x:row r="131" ht="64" customHeight="1">
      <x:c r="A131" s="272" t="str">
        <x:v>EXT-MONDE-T047-V26</x:v>
      </x:c>
      <x:c r="B131" s="272" t="str">
        <x:v>Camp de travailleurs</x:v>
      </x:c>
      <x:c r="C131" s="281" t="n">
        <x:v>26</x:v>
      </x:c>
      <x:c r="D131" s="272" t="str">
        <x:v>campaign205-047-26</x:v>
      </x:c>
      <x:c r="E131" s="282" t="str">
        <x:v>Oui</x:v>
      </x:c>
      <x:c r="F131" s="282" t="str">
        <x:v>Oui</x:v>
      </x:c>
      <x:c r="G131" s="282" t="str">
        <x:v>Oui</x:v>
      </x:c>
      <x:c r="H131" s="282" t="str">
        <x:v>Oui</x:v>
      </x:c>
      <x:c r="I131" s="282" t="str">
        <x:v>Oui</x:v>
      </x:c>
      <x:c r="J131" s="281" t="n">
        <x:v>0</x:v>
      </x:c>
      <x:c r="K131" s="272" t="str">
        <x:v>Aucun témoin pour cette variante</x:v>
      </x:c>
      <x:c r="L131" s="272" t="str">
        <x:v>https://github.com/darknigthmare/deadwall-last-enclosure/blob/e28f46223e73105ab2c5d83f3d50b99b58ef53e6/docs/codex/suivi-monde2026/campagne205-eligibilite.json</x:v>
      </x:c>
    </x:row>
    <x:row r="132" ht="64" customHeight="1">
      <x:c r="A132" s="272" t="str">
        <x:v>EXT-MONDE-T047-V27</x:v>
      </x:c>
      <x:c r="B132" s="272" t="str">
        <x:v>Camp de travailleurs</x:v>
      </x:c>
      <x:c r="C132" s="281" t="n">
        <x:v>27</x:v>
      </x:c>
      <x:c r="D132" s="272" t="str">
        <x:v>campaign205-047-27</x:v>
      </x:c>
      <x:c r="E132" s="282" t="str">
        <x:v>Oui</x:v>
      </x:c>
      <x:c r="F132" s="282" t="str">
        <x:v>Oui</x:v>
      </x:c>
      <x:c r="G132" s="282" t="str">
        <x:v>Oui</x:v>
      </x:c>
      <x:c r="H132" s="282" t="str">
        <x:v>Oui</x:v>
      </x:c>
      <x:c r="I132" s="282" t="str">
        <x:v>Oui</x:v>
      </x:c>
      <x:c r="J132" s="281" t="n">
        <x:v>1</x:v>
      </x:c>
      <x:c r="K132" s="272" t="str">
        <x:v>84329</x:v>
      </x:c>
      <x:c r="L132" s="272" t="str">
        <x:v>https://github.com/darknigthmare/deadwall-last-enclosure/blob/e28f46223e73105ab2c5d83f3d50b99b58ef53e6/docs/codex/suivi-monde2026/campagne205-eligibilite.json</x:v>
      </x:c>
    </x:row>
    <x:row r="133" ht="64" customHeight="1">
      <x:c r="A133" s="272" t="str">
        <x:v>EXT-MONDE-T047-V28</x:v>
      </x:c>
      <x:c r="B133" s="272" t="str">
        <x:v>Camp de travailleurs</x:v>
      </x:c>
      <x:c r="C133" s="281" t="n">
        <x:v>28</x:v>
      </x:c>
      <x:c r="D133" s="272" t="str">
        <x:v>campaign205-047-28</x:v>
      </x:c>
      <x:c r="E133" s="282" t="str">
        <x:v>Oui</x:v>
      </x:c>
      <x:c r="F133" s="282" t="str">
        <x:v>Oui</x:v>
      </x:c>
      <x:c r="G133" s="282" t="str">
        <x:v>Oui</x:v>
      </x:c>
      <x:c r="H133" s="282" t="str">
        <x:v>Oui</x:v>
      </x:c>
      <x:c r="I133" s="282" t="str">
        <x:v>Oui</x:v>
      </x:c>
      <x:c r="J133" s="281" t="n">
        <x:v>0</x:v>
      </x:c>
      <x:c r="K133" s="272" t="str">
        <x:v>Aucun témoin pour cette variante</x:v>
      </x:c>
      <x:c r="L133" s="272" t="str">
        <x:v>https://github.com/darknigthmare/deadwall-last-enclosure/blob/e28f46223e73105ab2c5d83f3d50b99b58ef53e6/docs/codex/suivi-monde2026/campagne205-eligibilite.json</x:v>
      </x:c>
    </x:row>
    <x:row r="134" ht="64" customHeight="1">
      <x:c r="A134" s="272" t="str">
        <x:v>EXT-MONDE-T047-V29</x:v>
      </x:c>
      <x:c r="B134" s="272" t="str">
        <x:v>Camp de travailleurs</x:v>
      </x:c>
      <x:c r="C134" s="281" t="n">
        <x:v>29</x:v>
      </x:c>
      <x:c r="D134" s="272" t="str">
        <x:v>campaign205-047-29</x:v>
      </x:c>
      <x:c r="E134" s="282" t="str">
        <x:v>Oui</x:v>
      </x:c>
      <x:c r="F134" s="282" t="str">
        <x:v>Oui</x:v>
      </x:c>
      <x:c r="G134" s="282" t="str">
        <x:v>Oui</x:v>
      </x:c>
      <x:c r="H134" s="282" t="str">
        <x:v>Oui</x:v>
      </x:c>
      <x:c r="I134" s="282" t="str">
        <x:v>Oui</x:v>
      </x:c>
      <x:c r="J134" s="281" t="n">
        <x:v>1</x:v>
      </x:c>
      <x:c r="K134" s="272" t="str">
        <x:v>1</x:v>
      </x:c>
      <x:c r="L134" s="272" t="str">
        <x:v>https://github.com/darknigthmare/deadwall-last-enclosure/blob/e28f46223e73105ab2c5d83f3d50b99b58ef53e6/docs/codex/suivi-monde2026/campagne205-eligibilite.json</x:v>
      </x:c>
    </x:row>
    <x:row r="135" ht="64" customHeight="1">
      <x:c r="A135" s="272" t="str">
        <x:v>EXT-MONDE-T047-V30</x:v>
      </x:c>
      <x:c r="B135" s="272" t="str">
        <x:v>Camp de travailleurs</x:v>
      </x:c>
      <x:c r="C135" s="281" t="n">
        <x:v>30</x:v>
      </x:c>
      <x:c r="D135" s="272" t="str">
        <x:v>campaign205-047-30</x:v>
      </x:c>
      <x:c r="E135" s="282" t="str">
        <x:v>Oui</x:v>
      </x:c>
      <x:c r="F135" s="282" t="str">
        <x:v>Oui</x:v>
      </x:c>
      <x:c r="G135" s="282" t="str">
        <x:v>Oui</x:v>
      </x:c>
      <x:c r="H135" s="282" t="str">
        <x:v>Oui</x:v>
      </x:c>
      <x:c r="I135" s="282" t="str">
        <x:v>Oui</x:v>
      </x:c>
      <x:c r="J135" s="281" t="n">
        <x:v>0</x:v>
      </x:c>
      <x:c r="K135" s="272" t="str">
        <x:v>Aucun témoin pour cette variante</x:v>
      </x:c>
      <x:c r="L135" s="272" t="str">
        <x:v>https://github.com/darknigthmare/deadwall-last-enclosure/blob/e28f46223e73105ab2c5d83f3d50b99b58ef53e6/docs/codex/suivi-monde2026/campagne205-eligibilite.json</x:v>
      </x:c>
    </x:row>
    <x:row r="136" ht="64" customHeight="1">
      <x:c r="A136" s="272" t="str">
        <x:v>EXT-MONDE-T047-V31</x:v>
      </x:c>
      <x:c r="B136" s="272" t="str">
        <x:v>Camp de travailleurs</x:v>
      </x:c>
      <x:c r="C136" s="281" t="n">
        <x:v>31</x:v>
      </x:c>
      <x:c r="D136" s="272" t="str">
        <x:v>campaign205-047-31</x:v>
      </x:c>
      <x:c r="E136" s="282" t="str">
        <x:v>Oui</x:v>
      </x:c>
      <x:c r="F136" s="282" t="str">
        <x:v>Oui</x:v>
      </x:c>
      <x:c r="G136" s="282" t="str">
        <x:v>Oui</x:v>
      </x:c>
      <x:c r="H136" s="282" t="str">
        <x:v>Oui</x:v>
      </x:c>
      <x:c r="I136" s="282" t="str">
        <x:v>Oui</x:v>
      </x:c>
      <x:c r="J136" s="281" t="n">
        <x:v>0</x:v>
      </x:c>
      <x:c r="K136" s="272" t="str">
        <x:v>Aucun témoin pour cette variante</x:v>
      </x:c>
      <x:c r="L136" s="272" t="str">
        <x:v>https://github.com/darknigthmare/deadwall-last-enclosure/blob/e28f46223e73105ab2c5d83f3d50b99b58ef53e6/docs/codex/suivi-monde2026/campagne205-eligibilite.json</x:v>
      </x:c>
    </x:row>
    <x:row r="137" ht="64" customHeight="1">
      <x:c r="A137" s="272" t="str">
        <x:v>EXT-MONDE-T047-V32</x:v>
      </x:c>
      <x:c r="B137" s="272" t="str">
        <x:v>Camp de travailleurs</x:v>
      </x:c>
      <x:c r="C137" s="281" t="n">
        <x:v>32</x:v>
      </x:c>
      <x:c r="D137" s="272" t="str">
        <x:v>campaign205-047-32</x:v>
      </x:c>
      <x:c r="E137" s="282" t="str">
        <x:v>Oui</x:v>
      </x:c>
      <x:c r="F137" s="282" t="str">
        <x:v>Oui</x:v>
      </x:c>
      <x:c r="G137" s="282" t="str">
        <x:v>Oui</x:v>
      </x:c>
      <x:c r="H137" s="282" t="str">
        <x:v>Oui</x:v>
      </x:c>
      <x:c r="I137" s="282" t="str">
        <x:v>Oui</x:v>
      </x:c>
      <x:c r="J137" s="281" t="n">
        <x:v>0</x:v>
      </x:c>
      <x:c r="K137" s="272" t="str">
        <x:v>Aucun témoin pour cette variante</x:v>
      </x:c>
      <x:c r="L137" s="272" t="str">
        <x:v>https://github.com/darknigthmare/deadwall-last-enclosure/blob/e28f46223e73105ab2c5d83f3d50b99b58ef53e6/docs/codex/suivi-monde2026/campagne205-eligibilite.json</x:v>
      </x:c>
    </x:row>
    <x:row r="138" ht="64" customHeight="1">
      <x:c r="A138" s="272" t="str">
        <x:v>EXT-MONDE-T047-V33</x:v>
      </x:c>
      <x:c r="B138" s="272" t="str">
        <x:v>Camp de travailleurs</x:v>
      </x:c>
      <x:c r="C138" s="281" t="n">
        <x:v>33</x:v>
      </x:c>
      <x:c r="D138" s="272" t="str">
        <x:v>campaign205-047-33</x:v>
      </x:c>
      <x:c r="E138" s="282" t="str">
        <x:v>Oui</x:v>
      </x:c>
      <x:c r="F138" s="282" t="str">
        <x:v>Oui</x:v>
      </x:c>
      <x:c r="G138" s="282" t="str">
        <x:v>Oui</x:v>
      </x:c>
      <x:c r="H138" s="282" t="str">
        <x:v>Oui</x:v>
      </x:c>
      <x:c r="I138" s="282" t="str">
        <x:v>Oui</x:v>
      </x:c>
      <x:c r="J138" s="281" t="n">
        <x:v>0</x:v>
      </x:c>
      <x:c r="K138" s="272" t="str">
        <x:v>Aucun témoin pour cette variante</x:v>
      </x:c>
      <x:c r="L138" s="272" t="str">
        <x:v>https://github.com/darknigthmare/deadwall-last-enclosure/blob/e28f46223e73105ab2c5d83f3d50b99b58ef53e6/docs/codex/suivi-monde2026/campagne205-eligibilite.json</x:v>
      </x:c>
    </x:row>
    <x:row r="139" ht="64" customHeight="1">
      <x:c r="A139" s="272" t="str">
        <x:v>EXT-MONDE-T047-V34</x:v>
      </x:c>
      <x:c r="B139" s="272" t="str">
        <x:v>Camp de travailleurs</x:v>
      </x:c>
      <x:c r="C139" s="281" t="n">
        <x:v>34</x:v>
      </x:c>
      <x:c r="D139" s="272" t="str">
        <x:v>campaign205-047-34</x:v>
      </x:c>
      <x:c r="E139" s="282" t="str">
        <x:v>Oui</x:v>
      </x:c>
      <x:c r="F139" s="282" t="str">
        <x:v>Oui</x:v>
      </x:c>
      <x:c r="G139" s="282" t="str">
        <x:v>Oui</x:v>
      </x:c>
      <x:c r="H139" s="282" t="str">
        <x:v>Oui</x:v>
      </x:c>
      <x:c r="I139" s="282" t="str">
        <x:v>Oui</x:v>
      </x:c>
      <x:c r="J139" s="281" t="n">
        <x:v>0</x:v>
      </x:c>
      <x:c r="K139" s="272" t="str">
        <x:v>Aucun témoin pour cette variante</x:v>
      </x:c>
      <x:c r="L139" s="272" t="str">
        <x:v>https://github.com/darknigthmare/deadwall-last-enclosure/blob/e28f46223e73105ab2c5d83f3d50b99b58ef53e6/docs/codex/suivi-monde2026/campagne205-eligibilite.json</x:v>
      </x:c>
    </x:row>
    <x:row r="140" ht="64" customHeight="1">
      <x:c r="A140" s="272" t="str">
        <x:v>EXT-MONDE-T047-V35</x:v>
      </x:c>
      <x:c r="B140" s="272" t="str">
        <x:v>Camp de travailleurs</x:v>
      </x:c>
      <x:c r="C140" s="281" t="n">
        <x:v>35</x:v>
      </x:c>
      <x:c r="D140" s="272" t="str">
        <x:v>campaign205-047-35</x:v>
      </x:c>
      <x:c r="E140" s="282" t="str">
        <x:v>Oui</x:v>
      </x:c>
      <x:c r="F140" s="282" t="str">
        <x:v>Oui</x:v>
      </x:c>
      <x:c r="G140" s="282" t="str">
        <x:v>Oui</x:v>
      </x:c>
      <x:c r="H140" s="282" t="str">
        <x:v>Oui</x:v>
      </x:c>
      <x:c r="I140" s="282" t="str">
        <x:v>Oui</x:v>
      </x:c>
      <x:c r="J140" s="281" t="n">
        <x:v>0</x:v>
      </x:c>
      <x:c r="K140" s="272" t="str">
        <x:v>Aucun témoin pour cette variante</x:v>
      </x:c>
      <x:c r="L140" s="272" t="str">
        <x:v>https://github.com/darknigthmare/deadwall-last-enclosure/blob/e28f46223e73105ab2c5d83f3d50b99b58ef53e6/docs/codex/suivi-monde2026/campagne205-eligibilite.json</x:v>
      </x:c>
    </x:row>
    <x:row r="141" ht="64" customHeight="1">
      <x:c r="A141" s="272" t="str">
        <x:v>EXT-MONDE-T047-V36</x:v>
      </x:c>
      <x:c r="B141" s="272" t="str">
        <x:v>Camp de travailleurs</x:v>
      </x:c>
      <x:c r="C141" s="281" t="n">
        <x:v>36</x:v>
      </x:c>
      <x:c r="D141" s="272" t="str">
        <x:v>campaign205-047-36</x:v>
      </x:c>
      <x:c r="E141" s="282" t="str">
        <x:v>Oui</x:v>
      </x:c>
      <x:c r="F141" s="282" t="str">
        <x:v>Oui</x:v>
      </x:c>
      <x:c r="G141" s="282" t="str">
        <x:v>Oui</x:v>
      </x:c>
      <x:c r="H141" s="282" t="str">
        <x:v>Oui</x:v>
      </x:c>
      <x:c r="I141" s="282" t="str">
        <x:v>Oui</x:v>
      </x:c>
      <x:c r="J141" s="281" t="n">
        <x:v>0</x:v>
      </x:c>
      <x:c r="K141" s="272" t="str">
        <x:v>Aucun témoin pour cette variante</x:v>
      </x:c>
      <x:c r="L141" s="272" t="str">
        <x:v>https://github.com/darknigthmare/deadwall-last-enclosure/blob/e28f46223e73105ab2c5d83f3d50b99b58ef53e6/docs/codex/suivi-monde2026/campagne205-eligibilite.json</x:v>
      </x:c>
    </x:row>
    <x:row r="142" ht="64" customHeight="1">
      <x:c r="A142" s="272" t="str">
        <x:v>EXT-MONDE-T047-V37</x:v>
      </x:c>
      <x:c r="B142" s="272" t="str">
        <x:v>Camp de travailleurs</x:v>
      </x:c>
      <x:c r="C142" s="281" t="n">
        <x:v>37</x:v>
      </x:c>
      <x:c r="D142" s="272" t="str">
        <x:v>campaign205-047-37</x:v>
      </x:c>
      <x:c r="E142" s="282" t="str">
        <x:v>Oui</x:v>
      </x:c>
      <x:c r="F142" s="282" t="str">
        <x:v>Oui</x:v>
      </x:c>
      <x:c r="G142" s="282" t="str">
        <x:v>Oui</x:v>
      </x:c>
      <x:c r="H142" s="282" t="str">
        <x:v>Oui</x:v>
      </x:c>
      <x:c r="I142" s="282" t="str">
        <x:v>Oui</x:v>
      </x:c>
      <x:c r="J142" s="281" t="n">
        <x:v>0</x:v>
      </x:c>
      <x:c r="K142" s="272" t="str">
        <x:v>Aucun témoin pour cette variante</x:v>
      </x:c>
      <x:c r="L142" s="272" t="str">
        <x:v>https://github.com/darknigthmare/deadwall-last-enclosure/blob/e28f46223e73105ab2c5d83f3d50b99b58ef53e6/docs/codex/suivi-monde2026/campagne205-eligibilite.json</x:v>
      </x:c>
    </x:row>
    <x:row r="143" ht="64" customHeight="1">
      <x:c r="A143" s="272" t="str">
        <x:v>EXT-MONDE-T047-V38</x:v>
      </x:c>
      <x:c r="B143" s="272" t="str">
        <x:v>Camp de travailleurs</x:v>
      </x:c>
      <x:c r="C143" s="281" t="n">
        <x:v>38</x:v>
      </x:c>
      <x:c r="D143" s="272" t="str">
        <x:v>campaign205-047-38</x:v>
      </x:c>
      <x:c r="E143" s="282" t="str">
        <x:v>Oui</x:v>
      </x:c>
      <x:c r="F143" s="282" t="str">
        <x:v>Oui</x:v>
      </x:c>
      <x:c r="G143" s="282" t="str">
        <x:v>Oui</x:v>
      </x:c>
      <x:c r="H143" s="282" t="str">
        <x:v>Oui</x:v>
      </x:c>
      <x:c r="I143" s="282" t="str">
        <x:v>Oui</x:v>
      </x:c>
      <x:c r="J143" s="281" t="n">
        <x:v>1</x:v>
      </x:c>
      <x:c r="K143" s="272" t="str">
        <x:v>967313470</x:v>
      </x:c>
      <x:c r="L143" s="272" t="str">
        <x:v>https://github.com/darknigthmare/deadwall-last-enclosure/blob/e28f46223e73105ab2c5d83f3d50b99b58ef53e6/docs/codex/suivi-monde2026/campagne205-eligibilite.json</x:v>
      </x:c>
    </x:row>
    <x:row r="144" ht="64" customHeight="1">
      <x:c r="A144" s="272" t="str">
        <x:v>EXT-MONDE-T047-V39</x:v>
      </x:c>
      <x:c r="B144" s="272" t="str">
        <x:v>Camp de travailleurs</x:v>
      </x:c>
      <x:c r="C144" s="281" t="n">
        <x:v>39</x:v>
      </x:c>
      <x:c r="D144" s="272" t="str">
        <x:v>campaign205-047-39</x:v>
      </x:c>
      <x:c r="E144" s="282" t="str">
        <x:v>Oui</x:v>
      </x:c>
      <x:c r="F144" s="282" t="str">
        <x:v>Oui</x:v>
      </x:c>
      <x:c r="G144" s="282" t="str">
        <x:v>Oui</x:v>
      </x:c>
      <x:c r="H144" s="282" t="str">
        <x:v>Oui</x:v>
      </x:c>
      <x:c r="I144" s="282" t="str">
        <x:v>Oui</x:v>
      </x:c>
      <x:c r="J144" s="281" t="n">
        <x:v>0</x:v>
      </x:c>
      <x:c r="K144" s="272" t="str">
        <x:v>Aucun témoin pour cette variante</x:v>
      </x:c>
      <x:c r="L144" s="272" t="str">
        <x:v>https://github.com/darknigthmare/deadwall-last-enclosure/blob/e28f46223e73105ab2c5d83f3d50b99b58ef53e6/docs/codex/suivi-monde2026/campagne205-eligibilite.json</x:v>
      </x:c>
    </x:row>
    <x:row r="145" ht="64" customHeight="1">
      <x:c r="A145" s="272" t="str">
        <x:v>EXT-MONDE-T047-V40</x:v>
      </x:c>
      <x:c r="B145" s="272" t="str">
        <x:v>Camp de travailleurs</x:v>
      </x:c>
      <x:c r="C145" s="281" t="n">
        <x:v>40</x:v>
      </x:c>
      <x:c r="D145" s="272" t="str">
        <x:v>campaign205-047-40</x:v>
      </x:c>
      <x:c r="E145" s="282" t="str">
        <x:v>Oui</x:v>
      </x:c>
      <x:c r="F145" s="282" t="str">
        <x:v>Oui</x:v>
      </x:c>
      <x:c r="G145" s="282" t="str">
        <x:v>Oui</x:v>
      </x:c>
      <x:c r="H145" s="282" t="str">
        <x:v>Oui</x:v>
      </x:c>
      <x:c r="I145" s="282" t="str">
        <x:v>Oui</x:v>
      </x:c>
      <x:c r="J145" s="281" t="n">
        <x:v>1</x:v>
      </x:c>
      <x:c r="K145" s="272" t="str">
        <x:v>0</x:v>
      </x:c>
      <x:c r="L145" s="272" t="str">
        <x:v>https://github.com/darknigthmare/deadwall-last-enclosure/blob/e28f46223e73105ab2c5d83f3d50b99b58ef53e6/docs/codex/suivi-monde2026/campagne205-eligibilite.json</x:v>
      </x:c>
    </x:row>
    <x:row r="146" ht="64" customHeight="1">
      <x:c r="A146" s="272" t="str">
        <x:v>EXT-MONDE-T047-V41</x:v>
      </x:c>
      <x:c r="B146" s="272" t="str">
        <x:v>Camp de travailleurs</x:v>
      </x:c>
      <x:c r="C146" s="281" t="n">
        <x:v>41</x:v>
      </x:c>
      <x:c r="D146" s="272" t="str">
        <x:v>campaign205-047-41</x:v>
      </x:c>
      <x:c r="E146" s="282" t="str">
        <x:v>Oui</x:v>
      </x:c>
      <x:c r="F146" s="282" t="str">
        <x:v>Oui</x:v>
      </x:c>
      <x:c r="G146" s="282" t="str">
        <x:v>Oui</x:v>
      </x:c>
      <x:c r="H146" s="282" t="str">
        <x:v>Oui</x:v>
      </x:c>
      <x:c r="I146" s="282" t="str">
        <x:v>Oui</x:v>
      </x:c>
      <x:c r="J146" s="281" t="n">
        <x:v>0</x:v>
      </x:c>
      <x:c r="K146" s="272" t="str">
        <x:v>Aucun témoin pour cette variante</x:v>
      </x:c>
      <x:c r="L146" s="272" t="str">
        <x:v>https://github.com/darknigthmare/deadwall-last-enclosure/blob/e28f46223e73105ab2c5d83f3d50b99b58ef53e6/docs/codex/suivi-monde2026/campagne205-eligibilite.json</x:v>
      </x:c>
    </x:row>
    <x:row r="147" ht="64" customHeight="1">
      <x:c r="A147" s="272" t="str">
        <x:v>EXT-MONDE-T047-V42</x:v>
      </x:c>
      <x:c r="B147" s="272" t="str">
        <x:v>Camp de travailleurs</x:v>
      </x:c>
      <x:c r="C147" s="281" t="n">
        <x:v>42</x:v>
      </x:c>
      <x:c r="D147" s="272" t="str">
        <x:v>campaign205-047-42</x:v>
      </x:c>
      <x:c r="E147" s="282" t="str">
        <x:v>Oui</x:v>
      </x:c>
      <x:c r="F147" s="282" t="str">
        <x:v>Oui</x:v>
      </x:c>
      <x:c r="G147" s="282" t="str">
        <x:v>Oui</x:v>
      </x:c>
      <x:c r="H147" s="282" t="str">
        <x:v>Oui</x:v>
      </x:c>
      <x:c r="I147" s="282" t="str">
        <x:v>Oui</x:v>
      </x:c>
      <x:c r="J147" s="281" t="n">
        <x:v>0</x:v>
      </x:c>
      <x:c r="K147" s="272" t="str">
        <x:v>Aucun témoin pour cette variante</x:v>
      </x:c>
      <x:c r="L147" s="272" t="str">
        <x:v>https://github.com/darknigthmare/deadwall-last-enclosure/blob/e28f46223e73105ab2c5d83f3d50b99b58ef53e6/docs/codex/suivi-monde2026/campagne205-eligibilite.json</x:v>
      </x:c>
    </x:row>
    <x:row r="148" ht="64" customHeight="1">
      <x:c r="A148" s="272" t="str">
        <x:v>EXT-MONDE-T047-V43</x:v>
      </x:c>
      <x:c r="B148" s="272" t="str">
        <x:v>Camp de travailleurs</x:v>
      </x:c>
      <x:c r="C148" s="281" t="n">
        <x:v>43</x:v>
      </x:c>
      <x:c r="D148" s="272" t="str">
        <x:v>campaign205-047-43</x:v>
      </x:c>
      <x:c r="E148" s="282" t="str">
        <x:v>Oui</x:v>
      </x:c>
      <x:c r="F148" s="282" t="str">
        <x:v>Oui</x:v>
      </x:c>
      <x:c r="G148" s="282" t="str">
        <x:v>Oui</x:v>
      </x:c>
      <x:c r="H148" s="282" t="str">
        <x:v>Oui</x:v>
      </x:c>
      <x:c r="I148" s="282" t="str">
        <x:v>Oui</x:v>
      </x:c>
      <x:c r="J148" s="281" t="n">
        <x:v>0</x:v>
      </x:c>
      <x:c r="K148" s="272" t="str">
        <x:v>Aucun témoin pour cette variante</x:v>
      </x:c>
      <x:c r="L148" s="272" t="str">
        <x:v>https://github.com/darknigthmare/deadwall-last-enclosure/blob/e28f46223e73105ab2c5d83f3d50b99b58ef53e6/docs/codex/suivi-monde2026/campagne205-eligibilite.json</x:v>
      </x:c>
    </x:row>
    <x:row r="149" ht="64" customHeight="1">
      <x:c r="A149" s="272" t="str">
        <x:v>EXT-MONDE-T047-V44</x:v>
      </x:c>
      <x:c r="B149" s="272" t="str">
        <x:v>Camp de travailleurs</x:v>
      </x:c>
      <x:c r="C149" s="281" t="n">
        <x:v>44</x:v>
      </x:c>
      <x:c r="D149" s="272" t="str">
        <x:v>campaign205-047-44</x:v>
      </x:c>
      <x:c r="E149" s="282" t="str">
        <x:v>Oui</x:v>
      </x:c>
      <x:c r="F149" s="282" t="str">
        <x:v>Oui</x:v>
      </x:c>
      <x:c r="G149" s="282" t="str">
        <x:v>Oui</x:v>
      </x:c>
      <x:c r="H149" s="282" t="str">
        <x:v>Oui</x:v>
      </x:c>
      <x:c r="I149" s="282" t="str">
        <x:v>Oui</x:v>
      </x:c>
      <x:c r="J149" s="281" t="n">
        <x:v>0</x:v>
      </x:c>
      <x:c r="K149" s="272" t="str">
        <x:v>Aucun témoin pour cette variante</x:v>
      </x:c>
      <x:c r="L149" s="272" t="str">
        <x:v>https://github.com/darknigthmare/deadwall-last-enclosure/blob/e28f46223e73105ab2c5d83f3d50b99b58ef53e6/docs/codex/suivi-monde2026/campagne205-eligibilite.json</x:v>
      </x:c>
    </x:row>
    <x:row r="150" ht="64" customHeight="1">
      <x:c r="A150" s="272" t="str">
        <x:v>EXT-MONDE-T047-V45</x:v>
      </x:c>
      <x:c r="B150" s="272" t="str">
        <x:v>Camp de travailleurs</x:v>
      </x:c>
      <x:c r="C150" s="281" t="n">
        <x:v>45</x:v>
      </x:c>
      <x:c r="D150" s="272" t="str">
        <x:v>campaign205-047-45</x:v>
      </x:c>
      <x:c r="E150" s="282" t="str">
        <x:v>Oui</x:v>
      </x:c>
      <x:c r="F150" s="282" t="str">
        <x:v>Oui</x:v>
      </x:c>
      <x:c r="G150" s="282" t="str">
        <x:v>Oui</x:v>
      </x:c>
      <x:c r="H150" s="282" t="str">
        <x:v>Oui</x:v>
      </x:c>
      <x:c r="I150" s="282" t="str">
        <x:v>Oui</x:v>
      </x:c>
      <x:c r="J150" s="281" t="n">
        <x:v>0</x:v>
      </x:c>
      <x:c r="K150" s="272" t="str">
        <x:v>Aucun témoin pour cette variante</x:v>
      </x:c>
      <x:c r="L150" s="272" t="str">
        <x:v>https://github.com/darknigthmare/deadwall-last-enclosure/blob/e28f46223e73105ab2c5d83f3d50b99b58ef53e6/docs/codex/suivi-monde2026/campagne205-eligibilite.json</x:v>
      </x:c>
    </x:row>
    <x:row r="151" ht="64" customHeight="1">
      <x:c r="A151" s="272" t="str">
        <x:v>EXT-MONDE-T047-V46</x:v>
      </x:c>
      <x:c r="B151" s="272" t="str">
        <x:v>Camp de travailleurs</x:v>
      </x:c>
      <x:c r="C151" s="281" t="n">
        <x:v>46</x:v>
      </x:c>
      <x:c r="D151" s="272" t="str">
        <x:v>campaign205-047-46</x:v>
      </x:c>
      <x:c r="E151" s="282" t="str">
        <x:v>Oui</x:v>
      </x:c>
      <x:c r="F151" s="282" t="str">
        <x:v>Oui</x:v>
      </x:c>
      <x:c r="G151" s="282" t="str">
        <x:v>Oui</x:v>
      </x:c>
      <x:c r="H151" s="282" t="str">
        <x:v>Oui</x:v>
      </x:c>
      <x:c r="I151" s="282" t="str">
        <x:v>Oui</x:v>
      </x:c>
      <x:c r="J151" s="281" t="n">
        <x:v>0</x:v>
      </x:c>
      <x:c r="K151" s="272" t="str">
        <x:v>Aucun témoin pour cette variante</x:v>
      </x:c>
      <x:c r="L151" s="272" t="str">
        <x:v>https://github.com/darknigthmare/deadwall-last-enclosure/blob/e28f46223e73105ab2c5d83f3d50b99b58ef53e6/docs/codex/suivi-monde2026/campagne205-eligibilite.json</x:v>
      </x:c>
    </x:row>
    <x:row r="152" ht="64" customHeight="1">
      <x:c r="A152" s="272" t="str">
        <x:v>EXT-MONDE-T047-V47</x:v>
      </x:c>
      <x:c r="B152" s="272" t="str">
        <x:v>Camp de travailleurs</x:v>
      </x:c>
      <x:c r="C152" s="281" t="n">
        <x:v>47</x:v>
      </x:c>
      <x:c r="D152" s="272" t="str">
        <x:v>campaign205-047-47</x:v>
      </x:c>
      <x:c r="E152" s="282" t="str">
        <x:v>Oui</x:v>
      </x:c>
      <x:c r="F152" s="282" t="str">
        <x:v>Oui</x:v>
      </x:c>
      <x:c r="G152" s="282" t="str">
        <x:v>Oui</x:v>
      </x:c>
      <x:c r="H152" s="282" t="str">
        <x:v>Oui</x:v>
      </x:c>
      <x:c r="I152" s="282" t="str">
        <x:v>Oui</x:v>
      </x:c>
      <x:c r="J152" s="281" t="n">
        <x:v>1</x:v>
      </x:c>
      <x:c r="K152" s="272" t="str">
        <x:v>1947648717</x:v>
      </x:c>
      <x:c r="L152" s="272" t="str">
        <x:v>https://github.com/darknigthmare/deadwall-last-enclosure/blob/e28f46223e73105ab2c5d83f3d50b99b58ef53e6/docs/codex/suivi-monde2026/campagne205-eligibilite.json</x:v>
      </x:c>
    </x:row>
    <x:row r="153" ht="64" customHeight="1">
      <x:c r="A153" s="272" t="str">
        <x:v>EXT-MONDE-T047-V48</x:v>
      </x:c>
      <x:c r="B153" s="272" t="str">
        <x:v>Camp de travailleurs</x:v>
      </x:c>
      <x:c r="C153" s="281" t="n">
        <x:v>48</x:v>
      </x:c>
      <x:c r="D153" s="272" t="str">
        <x:v>campaign205-047-48</x:v>
      </x:c>
      <x:c r="E153" s="282" t="str">
        <x:v>Oui</x:v>
      </x:c>
      <x:c r="F153" s="282" t="str">
        <x:v>Oui</x:v>
      </x:c>
      <x:c r="G153" s="282" t="str">
        <x:v>Oui</x:v>
      </x:c>
      <x:c r="H153" s="282" t="str">
        <x:v>Oui</x:v>
      </x:c>
      <x:c r="I153" s="282" t="str">
        <x:v>Oui</x:v>
      </x:c>
      <x:c r="J153" s="281" t="n">
        <x:v>0</x:v>
      </x:c>
      <x:c r="K153" s="272" t="str">
        <x:v>Aucun témoin pour cette variante</x:v>
      </x:c>
      <x:c r="L153" s="272" t="str">
        <x:v>https://github.com/darknigthmare/deadwall-last-enclosure/blob/e28f46223e73105ab2c5d83f3d50b99b58ef53e6/docs/codex/suivi-monde2026/campagne205-eligibilite.json</x:v>
      </x:c>
    </x:row>
    <x:row r="154" ht="64" customHeight="1">
      <x:c r="A154" s="272" t="str">
        <x:v>EXT-MONDE-T047-V49</x:v>
      </x:c>
      <x:c r="B154" s="272" t="str">
        <x:v>Camp de travailleurs</x:v>
      </x:c>
      <x:c r="C154" s="281" t="n">
        <x:v>49</x:v>
      </x:c>
      <x:c r="D154" s="272" t="str">
        <x:v>campaign205-047-49</x:v>
      </x:c>
      <x:c r="E154" s="282" t="str">
        <x:v>Oui</x:v>
      </x:c>
      <x:c r="F154" s="282" t="str">
        <x:v>Oui</x:v>
      </x:c>
      <x:c r="G154" s="282" t="str">
        <x:v>Oui</x:v>
      </x:c>
      <x:c r="H154" s="282" t="str">
        <x:v>Oui</x:v>
      </x:c>
      <x:c r="I154" s="282" t="str">
        <x:v>Oui</x:v>
      </x:c>
      <x:c r="J154" s="281" t="n">
        <x:v>0</x:v>
      </x:c>
      <x:c r="K154" s="272" t="str">
        <x:v>Aucun témoin pour cette variante</x:v>
      </x:c>
      <x:c r="L154" s="272" t="str">
        <x:v>https://github.com/darknigthmare/deadwall-last-enclosure/blob/e28f46223e73105ab2c5d83f3d50b99b58ef53e6/docs/codex/suivi-monde2026/campagne205-eligibilite.json</x:v>
      </x:c>
    </x:row>
    <x:row r="155" ht="64" customHeight="1">
      <x:c r="A155" s="272" t="str">
        <x:v>EXT-MONDE-T047-V50</x:v>
      </x:c>
      <x:c r="B155" s="272" t="str">
        <x:v>Camp de travailleurs</x:v>
      </x:c>
      <x:c r="C155" s="281" t="n">
        <x:v>50</x:v>
      </x:c>
      <x:c r="D155" s="272" t="str">
        <x:v>campaign205-047-50</x:v>
      </x:c>
      <x:c r="E155" s="282" t="str">
        <x:v>Oui</x:v>
      </x:c>
      <x:c r="F155" s="282" t="str">
        <x:v>Oui</x:v>
      </x:c>
      <x:c r="G155" s="282" t="str">
        <x:v>Oui</x:v>
      </x:c>
      <x:c r="H155" s="282" t="str">
        <x:v>Oui</x:v>
      </x:c>
      <x:c r="I155" s="282" t="str">
        <x:v>Oui</x:v>
      </x:c>
      <x:c r="J155" s="281" t="n">
        <x:v>0</x:v>
      </x:c>
      <x:c r="K155" s="272" t="str">
        <x:v>Aucun témoin pour cette variante</x:v>
      </x:c>
      <x:c r="L155" s="272" t="str">
        <x:v>https://github.com/darknigthmare/deadwall-last-enclosure/blob/e28f46223e73105ab2c5d83f3d50b99b58ef53e6/docs/codex/suivi-monde2026/campagne205-eligibilite.json</x:v>
      </x:c>
    </x:row>
    <x:row r="156" ht="64" customHeight="1">
      <x:c r="A156" s="272" t="str">
        <x:v>EXT-MONDE-T048-V01</x:v>
      </x:c>
      <x:c r="B156" s="272" t="str">
        <x:v>Parc de caravanes abandonné</x:v>
      </x:c>
      <x:c r="C156" s="281" t="n">
        <x:v>1</x:v>
      </x:c>
      <x:c r="D156" s="272" t="str">
        <x:v>campaign205-048-01</x:v>
      </x:c>
      <x:c r="E156" s="282" t="str">
        <x:v>Oui</x:v>
      </x:c>
      <x:c r="F156" s="282" t="str">
        <x:v>Oui</x:v>
      </x:c>
      <x:c r="G156" s="282" t="str">
        <x:v>Oui</x:v>
      </x:c>
      <x:c r="H156" s="282" t="str">
        <x:v>Oui</x:v>
      </x:c>
      <x:c r="I156" s="282" t="str">
        <x:v>Oui</x:v>
      </x:c>
      <x:c r="J156" s="281" t="n">
        <x:v>0</x:v>
      </x:c>
      <x:c r="K156" s="272" t="str">
        <x:v>Aucun témoin pour cette variante</x:v>
      </x:c>
      <x:c r="L156" s="272" t="str">
        <x:v>https://github.com/darknigthmare/deadwall-last-enclosure/blob/e28f46223e73105ab2c5d83f3d50b99b58ef53e6/docs/codex/suivi-monde2026/campagne205-eligibilite.json</x:v>
      </x:c>
    </x:row>
    <x:row r="157" ht="64" customHeight="1">
      <x:c r="A157" s="272" t="str">
        <x:v>EXT-MONDE-T048-V02</x:v>
      </x:c>
      <x:c r="B157" s="272" t="str">
        <x:v>Parc de caravanes abandonné</x:v>
      </x:c>
      <x:c r="C157" s="281" t="n">
        <x:v>2</x:v>
      </x:c>
      <x:c r="D157" s="272" t="str">
        <x:v>campaign205-048-02</x:v>
      </x:c>
      <x:c r="E157" s="282" t="str">
        <x:v>Oui</x:v>
      </x:c>
      <x:c r="F157" s="282" t="str">
        <x:v>Oui</x:v>
      </x:c>
      <x:c r="G157" s="282" t="str">
        <x:v>Oui</x:v>
      </x:c>
      <x:c r="H157" s="282" t="str">
        <x:v>Oui</x:v>
      </x:c>
      <x:c r="I157" s="282" t="str">
        <x:v>Oui</x:v>
      </x:c>
      <x:c r="J157" s="281" t="n">
        <x:v>0</x:v>
      </x:c>
      <x:c r="K157" s="272" t="str">
        <x:v>Aucun témoin pour cette variante</x:v>
      </x:c>
      <x:c r="L157" s="272" t="str">
        <x:v>https://github.com/darknigthmare/deadwall-last-enclosure/blob/e28f46223e73105ab2c5d83f3d50b99b58ef53e6/docs/codex/suivi-monde2026/campagne205-eligibilite.json</x:v>
      </x:c>
    </x:row>
    <x:row r="158" ht="64" customHeight="1">
      <x:c r="A158" s="272" t="str">
        <x:v>EXT-MONDE-T048-V03</x:v>
      </x:c>
      <x:c r="B158" s="272" t="str">
        <x:v>Parc de caravanes abandonné</x:v>
      </x:c>
      <x:c r="C158" s="281" t="n">
        <x:v>3</x:v>
      </x:c>
      <x:c r="D158" s="272" t="str">
        <x:v>campaign205-048-03</x:v>
      </x:c>
      <x:c r="E158" s="282" t="str">
        <x:v>Oui</x:v>
      </x:c>
      <x:c r="F158" s="282" t="str">
        <x:v>Oui</x:v>
      </x:c>
      <x:c r="G158" s="282" t="str">
        <x:v>Oui</x:v>
      </x:c>
      <x:c r="H158" s="282" t="str">
        <x:v>Oui</x:v>
      </x:c>
      <x:c r="I158" s="282" t="str">
        <x:v>Oui</x:v>
      </x:c>
      <x:c r="J158" s="281" t="n">
        <x:v>0</x:v>
      </x:c>
      <x:c r="K158" s="272" t="str">
        <x:v>Aucun témoin pour cette variante</x:v>
      </x:c>
      <x:c r="L158" s="272" t="str">
        <x:v>https://github.com/darknigthmare/deadwall-last-enclosure/blob/e28f46223e73105ab2c5d83f3d50b99b58ef53e6/docs/codex/suivi-monde2026/campagne205-eligibilite.json</x:v>
      </x:c>
    </x:row>
    <x:row r="159" ht="64" customHeight="1">
      <x:c r="A159" s="272" t="str">
        <x:v>EXT-MONDE-T048-V04</x:v>
      </x:c>
      <x:c r="B159" s="272" t="str">
        <x:v>Parc de caravanes abandonné</x:v>
      </x:c>
      <x:c r="C159" s="281" t="n">
        <x:v>4</x:v>
      </x:c>
      <x:c r="D159" s="272" t="str">
        <x:v>campaign205-048-04</x:v>
      </x:c>
      <x:c r="E159" s="282" t="str">
        <x:v>Oui</x:v>
      </x:c>
      <x:c r="F159" s="282" t="str">
        <x:v>Oui</x:v>
      </x:c>
      <x:c r="G159" s="282" t="str">
        <x:v>Oui</x:v>
      </x:c>
      <x:c r="H159" s="282" t="str">
        <x:v>Oui</x:v>
      </x:c>
      <x:c r="I159" s="282" t="str">
        <x:v>Oui</x:v>
      </x:c>
      <x:c r="J159" s="281" t="n">
        <x:v>0</x:v>
      </x:c>
      <x:c r="K159" s="272" t="str">
        <x:v>Aucun témoin pour cette variante</x:v>
      </x:c>
      <x:c r="L159" s="272" t="str">
        <x:v>https://github.com/darknigthmare/deadwall-last-enclosure/blob/e28f46223e73105ab2c5d83f3d50b99b58ef53e6/docs/codex/suivi-monde2026/campagne205-eligibilite.json</x:v>
      </x:c>
    </x:row>
    <x:row r="160" ht="64" customHeight="1">
      <x:c r="A160" s="272" t="str">
        <x:v>EXT-MONDE-T048-V05</x:v>
      </x:c>
      <x:c r="B160" s="272" t="str">
        <x:v>Parc de caravanes abandonné</x:v>
      </x:c>
      <x:c r="C160" s="281" t="n">
        <x:v>5</x:v>
      </x:c>
      <x:c r="D160" s="272" t="str">
        <x:v>campaign205-048-05</x:v>
      </x:c>
      <x:c r="E160" s="282" t="str">
        <x:v>Oui</x:v>
      </x:c>
      <x:c r="F160" s="282" t="str">
        <x:v>Oui</x:v>
      </x:c>
      <x:c r="G160" s="282" t="str">
        <x:v>Oui</x:v>
      </x:c>
      <x:c r="H160" s="282" t="str">
        <x:v>Oui</x:v>
      </x:c>
      <x:c r="I160" s="282" t="str">
        <x:v>Oui</x:v>
      </x:c>
      <x:c r="J160" s="281" t="n">
        <x:v>1</x:v>
      </x:c>
      <x:c r="K160" s="272" t="str">
        <x:v>4294967295</x:v>
      </x:c>
      <x:c r="L160" s="272" t="str">
        <x:v>https://github.com/darknigthmare/deadwall-last-enclosure/blob/e28f46223e73105ab2c5d83f3d50b99b58ef53e6/docs/codex/suivi-monde2026/campagne205-eligibilite.json</x:v>
      </x:c>
    </x:row>
    <x:row r="161" ht="64" customHeight="1">
      <x:c r="A161" s="272" t="str">
        <x:v>EXT-MONDE-T048-V06</x:v>
      </x:c>
      <x:c r="B161" s="272" t="str">
        <x:v>Parc de caravanes abandonné</x:v>
      </x:c>
      <x:c r="C161" s="281" t="n">
        <x:v>6</x:v>
      </x:c>
      <x:c r="D161" s="272" t="str">
        <x:v>campaign205-048-06</x:v>
      </x:c>
      <x:c r="E161" s="282" t="str">
        <x:v>Oui</x:v>
      </x:c>
      <x:c r="F161" s="282" t="str">
        <x:v>Oui</x:v>
      </x:c>
      <x:c r="G161" s="282" t="str">
        <x:v>Oui</x:v>
      </x:c>
      <x:c r="H161" s="282" t="str">
        <x:v>Oui</x:v>
      </x:c>
      <x:c r="I161" s="282" t="str">
        <x:v>Oui</x:v>
      </x:c>
      <x:c r="J161" s="281" t="n">
        <x:v>1</x:v>
      </x:c>
      <x:c r="K161" s="272" t="str">
        <x:v>84329</x:v>
      </x:c>
      <x:c r="L161" s="272" t="str">
        <x:v>https://github.com/darknigthmare/deadwall-last-enclosure/blob/e28f46223e73105ab2c5d83f3d50b99b58ef53e6/docs/codex/suivi-monde2026/campagne205-eligibilite.json</x:v>
      </x:c>
    </x:row>
    <x:row r="162" ht="64" customHeight="1">
      <x:c r="A162" s="272" t="str">
        <x:v>EXT-MONDE-T048-V07</x:v>
      </x:c>
      <x:c r="B162" s="272" t="str">
        <x:v>Parc de caravanes abandonné</x:v>
      </x:c>
      <x:c r="C162" s="281" t="n">
        <x:v>7</x:v>
      </x:c>
      <x:c r="D162" s="272" t="str">
        <x:v>campaign205-048-07</x:v>
      </x:c>
      <x:c r="E162" s="282" t="str">
        <x:v>Oui</x:v>
      </x:c>
      <x:c r="F162" s="282" t="str">
        <x:v>Oui</x:v>
      </x:c>
      <x:c r="G162" s="282" t="str">
        <x:v>Oui</x:v>
      </x:c>
      <x:c r="H162" s="282" t="str">
        <x:v>Oui</x:v>
      </x:c>
      <x:c r="I162" s="282" t="str">
        <x:v>Oui</x:v>
      </x:c>
      <x:c r="J162" s="281" t="n">
        <x:v>0</x:v>
      </x:c>
      <x:c r="K162" s="272" t="str">
        <x:v>Aucun témoin pour cette variante</x:v>
      </x:c>
      <x:c r="L162" s="272" t="str">
        <x:v>https://github.com/darknigthmare/deadwall-last-enclosure/blob/e28f46223e73105ab2c5d83f3d50b99b58ef53e6/docs/codex/suivi-monde2026/campagne205-eligibilite.json</x:v>
      </x:c>
    </x:row>
    <x:row r="163" ht="64" customHeight="1">
      <x:c r="A163" s="272" t="str">
        <x:v>EXT-MONDE-T048-V08</x:v>
      </x:c>
      <x:c r="B163" s="272" t="str">
        <x:v>Parc de caravanes abandonné</x:v>
      </x:c>
      <x:c r="C163" s="281" t="n">
        <x:v>8</x:v>
      </x:c>
      <x:c r="D163" s="272" t="str">
        <x:v>campaign205-048-08</x:v>
      </x:c>
      <x:c r="E163" s="282" t="str">
        <x:v>Oui</x:v>
      </x:c>
      <x:c r="F163" s="282" t="str">
        <x:v>Oui</x:v>
      </x:c>
      <x:c r="G163" s="282" t="str">
        <x:v>Oui</x:v>
      </x:c>
      <x:c r="H163" s="282" t="str">
        <x:v>Oui</x:v>
      </x:c>
      <x:c r="I163" s="282" t="str">
        <x:v>Oui</x:v>
      </x:c>
      <x:c r="J163" s="281" t="n">
        <x:v>0</x:v>
      </x:c>
      <x:c r="K163" s="272" t="str">
        <x:v>Aucun témoin pour cette variante</x:v>
      </x:c>
      <x:c r="L163" s="272" t="str">
        <x:v>https://github.com/darknigthmare/deadwall-last-enclosure/blob/e28f46223e73105ab2c5d83f3d50b99b58ef53e6/docs/codex/suivi-monde2026/campagne205-eligibilite.json</x:v>
      </x:c>
    </x:row>
    <x:row r="164" ht="64" customHeight="1">
      <x:c r="A164" s="272" t="str">
        <x:v>EXT-MONDE-T048-V09</x:v>
      </x:c>
      <x:c r="B164" s="272" t="str">
        <x:v>Parc de caravanes abandonné</x:v>
      </x:c>
      <x:c r="C164" s="281" t="n">
        <x:v>9</x:v>
      </x:c>
      <x:c r="D164" s="272" t="str">
        <x:v>campaign205-048-09</x:v>
      </x:c>
      <x:c r="E164" s="282" t="str">
        <x:v>Oui</x:v>
      </x:c>
      <x:c r="F164" s="282" t="str">
        <x:v>Oui</x:v>
      </x:c>
      <x:c r="G164" s="282" t="str">
        <x:v>Oui</x:v>
      </x:c>
      <x:c r="H164" s="282" t="str">
        <x:v>Oui</x:v>
      </x:c>
      <x:c r="I164" s="282" t="str">
        <x:v>Oui</x:v>
      </x:c>
      <x:c r="J164" s="281" t="n">
        <x:v>1</x:v>
      </x:c>
      <x:c r="K164" s="272" t="str">
        <x:v>42</x:v>
      </x:c>
      <x:c r="L164" s="272" t="str">
        <x:v>https://github.com/darknigthmare/deadwall-last-enclosure/blob/e28f46223e73105ab2c5d83f3d50b99b58ef53e6/docs/codex/suivi-monde2026/campagne205-eligibilite.json</x:v>
      </x:c>
    </x:row>
    <x:row r="165" ht="64" customHeight="1">
      <x:c r="A165" s="272" t="str">
        <x:v>EXT-MONDE-T048-V10</x:v>
      </x:c>
      <x:c r="B165" s="272" t="str">
        <x:v>Parc de caravanes abandonné</x:v>
      </x:c>
      <x:c r="C165" s="281" t="n">
        <x:v>10</x:v>
      </x:c>
      <x:c r="D165" s="272" t="str">
        <x:v>campaign205-048-10</x:v>
      </x:c>
      <x:c r="E165" s="282" t="str">
        <x:v>Oui</x:v>
      </x:c>
      <x:c r="F165" s="282" t="str">
        <x:v>Oui</x:v>
      </x:c>
      <x:c r="G165" s="282" t="str">
        <x:v>Oui</x:v>
      </x:c>
      <x:c r="H165" s="282" t="str">
        <x:v>Oui</x:v>
      </x:c>
      <x:c r="I165" s="282" t="str">
        <x:v>Oui</x:v>
      </x:c>
      <x:c r="J165" s="281" t="n">
        <x:v>0</x:v>
      </x:c>
      <x:c r="K165" s="272" t="str">
        <x:v>Aucun témoin pour cette variante</x:v>
      </x:c>
      <x:c r="L165" s="272" t="str">
        <x:v>https://github.com/darknigthmare/deadwall-last-enclosure/blob/e28f46223e73105ab2c5d83f3d50b99b58ef53e6/docs/codex/suivi-monde2026/campagne205-eligibilite.json</x:v>
      </x:c>
    </x:row>
    <x:row r="166" ht="64" customHeight="1">
      <x:c r="A166" s="272" t="str">
        <x:v>EXT-MONDE-T048-V11</x:v>
      </x:c>
      <x:c r="B166" s="272" t="str">
        <x:v>Parc de caravanes abandonné</x:v>
      </x:c>
      <x:c r="C166" s="281" t="n">
        <x:v>11</x:v>
      </x:c>
      <x:c r="D166" s="272" t="str">
        <x:v>campaign205-048-11</x:v>
      </x:c>
      <x:c r="E166" s="282" t="str">
        <x:v>Oui</x:v>
      </x:c>
      <x:c r="F166" s="282" t="str">
        <x:v>Oui</x:v>
      </x:c>
      <x:c r="G166" s="282" t="str">
        <x:v>Oui</x:v>
      </x:c>
      <x:c r="H166" s="282" t="str">
        <x:v>Oui</x:v>
      </x:c>
      <x:c r="I166" s="282" t="str">
        <x:v>Oui</x:v>
      </x:c>
      <x:c r="J166" s="281" t="n">
        <x:v>0</x:v>
      </x:c>
      <x:c r="K166" s="272" t="str">
        <x:v>Aucun témoin pour cette variante</x:v>
      </x:c>
      <x:c r="L166" s="272" t="str">
        <x:v>https://github.com/darknigthmare/deadwall-last-enclosure/blob/e28f46223e73105ab2c5d83f3d50b99b58ef53e6/docs/codex/suivi-monde2026/campagne205-eligibilite.json</x:v>
      </x:c>
    </x:row>
    <x:row r="167" ht="64" customHeight="1">
      <x:c r="A167" s="272" t="str">
        <x:v>EXT-MONDE-T048-V12</x:v>
      </x:c>
      <x:c r="B167" s="272" t="str">
        <x:v>Parc de caravanes abandonné</x:v>
      </x:c>
      <x:c r="C167" s="281" t="n">
        <x:v>12</x:v>
      </x:c>
      <x:c r="D167" s="272" t="str">
        <x:v>campaign205-048-12</x:v>
      </x:c>
      <x:c r="E167" s="282" t="str">
        <x:v>Oui</x:v>
      </x:c>
      <x:c r="F167" s="282" t="str">
        <x:v>Oui</x:v>
      </x:c>
      <x:c r="G167" s="282" t="str">
        <x:v>Oui</x:v>
      </x:c>
      <x:c r="H167" s="282" t="str">
        <x:v>Oui</x:v>
      </x:c>
      <x:c r="I167" s="282" t="str">
        <x:v>Oui</x:v>
      </x:c>
      <x:c r="J167" s="281" t="n">
        <x:v>0</x:v>
      </x:c>
      <x:c r="K167" s="272" t="str">
        <x:v>Aucun témoin pour cette variante</x:v>
      </x:c>
      <x:c r="L167" s="272" t="str">
        <x:v>https://github.com/darknigthmare/deadwall-last-enclosure/blob/e28f46223e73105ab2c5d83f3d50b99b58ef53e6/docs/codex/suivi-monde2026/campagne205-eligibilite.json</x:v>
      </x:c>
    </x:row>
    <x:row r="168" ht="64" customHeight="1">
      <x:c r="A168" s="272" t="str">
        <x:v>EXT-MONDE-T048-V13</x:v>
      </x:c>
      <x:c r="B168" s="272" t="str">
        <x:v>Parc de caravanes abandonné</x:v>
      </x:c>
      <x:c r="C168" s="281" t="n">
        <x:v>13</x:v>
      </x:c>
      <x:c r="D168" s="272" t="str">
        <x:v>campaign205-048-13</x:v>
      </x:c>
      <x:c r="E168" s="282" t="str">
        <x:v>Oui</x:v>
      </x:c>
      <x:c r="F168" s="282" t="str">
        <x:v>Oui</x:v>
      </x:c>
      <x:c r="G168" s="282" t="str">
        <x:v>Oui</x:v>
      </x:c>
      <x:c r="H168" s="282" t="str">
        <x:v>Oui</x:v>
      </x:c>
      <x:c r="I168" s="282" t="str">
        <x:v>Oui</x:v>
      </x:c>
      <x:c r="J168" s="281" t="n">
        <x:v>1</x:v>
      </x:c>
      <x:c r="K168" s="272" t="str">
        <x:v>1</x:v>
      </x:c>
      <x:c r="L168" s="272" t="str">
        <x:v>https://github.com/darknigthmare/deadwall-last-enclosure/blob/e28f46223e73105ab2c5d83f3d50b99b58ef53e6/docs/codex/suivi-monde2026/campagne205-eligibilite.json</x:v>
      </x:c>
    </x:row>
    <x:row r="169" ht="64" customHeight="1">
      <x:c r="A169" s="272" t="str">
        <x:v>EXT-MONDE-T048-V14</x:v>
      </x:c>
      <x:c r="B169" s="272" t="str">
        <x:v>Parc de caravanes abandonné</x:v>
      </x:c>
      <x:c r="C169" s="281" t="n">
        <x:v>14</x:v>
      </x:c>
      <x:c r="D169" s="272" t="str">
        <x:v>campaign205-048-14</x:v>
      </x:c>
      <x:c r="E169" s="282" t="str">
        <x:v>Oui</x:v>
      </x:c>
      <x:c r="F169" s="282" t="str">
        <x:v>Oui</x:v>
      </x:c>
      <x:c r="G169" s="282" t="str">
        <x:v>Oui</x:v>
      </x:c>
      <x:c r="H169" s="282" t="str">
        <x:v>Oui</x:v>
      </x:c>
      <x:c r="I169" s="282" t="str">
        <x:v>Oui</x:v>
      </x:c>
      <x:c r="J169" s="281" t="n">
        <x:v>1</x:v>
      </x:c>
      <x:c r="K169" s="272" t="str">
        <x:v>0</x:v>
      </x:c>
      <x:c r="L169" s="272" t="str">
        <x:v>https://github.com/darknigthmare/deadwall-last-enclosure/blob/e28f46223e73105ab2c5d83f3d50b99b58ef53e6/docs/codex/suivi-monde2026/campagne205-eligibilite.json</x:v>
      </x:c>
    </x:row>
    <x:row r="170" ht="64" customHeight="1">
      <x:c r="A170" s="272" t="str">
        <x:v>EXT-MONDE-T048-V15</x:v>
      </x:c>
      <x:c r="B170" s="272" t="str">
        <x:v>Parc de caravanes abandonné</x:v>
      </x:c>
      <x:c r="C170" s="281" t="n">
        <x:v>15</x:v>
      </x:c>
      <x:c r="D170" s="272" t="str">
        <x:v>campaign205-048-15</x:v>
      </x:c>
      <x:c r="E170" s="282" t="str">
        <x:v>Oui</x:v>
      </x:c>
      <x:c r="F170" s="282" t="str">
        <x:v>Oui</x:v>
      </x:c>
      <x:c r="G170" s="282" t="str">
        <x:v>Oui</x:v>
      </x:c>
      <x:c r="H170" s="282" t="str">
        <x:v>Oui</x:v>
      </x:c>
      <x:c r="I170" s="282" t="str">
        <x:v>Oui</x:v>
      </x:c>
      <x:c r="J170" s="281" t="n">
        <x:v>0</x:v>
      </x:c>
      <x:c r="K170" s="272" t="str">
        <x:v>Aucun témoin pour cette variante</x:v>
      </x:c>
      <x:c r="L170" s="272" t="str">
        <x:v>https://github.com/darknigthmare/deadwall-last-enclosure/blob/e28f46223e73105ab2c5d83f3d50b99b58ef53e6/docs/codex/suivi-monde2026/campagne205-eligibilite.json</x:v>
      </x:c>
    </x:row>
    <x:row r="171" ht="64" customHeight="1">
      <x:c r="A171" s="272" t="str">
        <x:v>EXT-MONDE-T048-V16</x:v>
      </x:c>
      <x:c r="B171" s="272" t="str">
        <x:v>Parc de caravanes abandonné</x:v>
      </x:c>
      <x:c r="C171" s="281" t="n">
        <x:v>16</x:v>
      </x:c>
      <x:c r="D171" s="272" t="str">
        <x:v>campaign205-048-16</x:v>
      </x:c>
      <x:c r="E171" s="282" t="str">
        <x:v>Oui</x:v>
      </x:c>
      <x:c r="F171" s="282" t="str">
        <x:v>Oui</x:v>
      </x:c>
      <x:c r="G171" s="282" t="str">
        <x:v>Oui</x:v>
      </x:c>
      <x:c r="H171" s="282" t="str">
        <x:v>Oui</x:v>
      </x:c>
      <x:c r="I171" s="282" t="str">
        <x:v>Oui</x:v>
      </x:c>
      <x:c r="J171" s="281" t="n">
        <x:v>2</x:v>
      </x:c>
      <x:c r="K171" s="272" t="str">
        <x:v>0, 1947648717</x:v>
      </x:c>
      <x:c r="L171" s="272" t="str">
        <x:v>https://github.com/darknigthmare/deadwall-last-enclosure/blob/e28f46223e73105ab2c5d83f3d50b99b58ef53e6/docs/codex/suivi-monde2026/campagne205-eligibilite.json</x:v>
      </x:c>
    </x:row>
    <x:row r="172" ht="64" customHeight="1">
      <x:c r="A172" s="272" t="str">
        <x:v>EXT-MONDE-T048-V17</x:v>
      </x:c>
      <x:c r="B172" s="272" t="str">
        <x:v>Parc de caravanes abandonné</x:v>
      </x:c>
      <x:c r="C172" s="281" t="n">
        <x:v>17</x:v>
      </x:c>
      <x:c r="D172" s="272" t="str">
        <x:v>campaign205-048-17</x:v>
      </x:c>
      <x:c r="E172" s="282" t="str">
        <x:v>Oui</x:v>
      </x:c>
      <x:c r="F172" s="282" t="str">
        <x:v>Oui</x:v>
      </x:c>
      <x:c r="G172" s="282" t="str">
        <x:v>Oui</x:v>
      </x:c>
      <x:c r="H172" s="282" t="str">
        <x:v>Oui</x:v>
      </x:c>
      <x:c r="I172" s="282" t="str">
        <x:v>Oui</x:v>
      </x:c>
      <x:c r="J172" s="281" t="n">
        <x:v>0</x:v>
      </x:c>
      <x:c r="K172" s="272" t="str">
        <x:v>Aucun témoin pour cette variante</x:v>
      </x:c>
      <x:c r="L172" s="272" t="str">
        <x:v>https://github.com/darknigthmare/deadwall-last-enclosure/blob/e28f46223e73105ab2c5d83f3d50b99b58ef53e6/docs/codex/suivi-monde2026/campagne205-eligibilite.json</x:v>
      </x:c>
    </x:row>
    <x:row r="173" ht="64" customHeight="1">
      <x:c r="A173" s="272" t="str">
        <x:v>EXT-MONDE-T048-V18</x:v>
      </x:c>
      <x:c r="B173" s="272" t="str">
        <x:v>Parc de caravanes abandonné</x:v>
      </x:c>
      <x:c r="C173" s="281" t="n">
        <x:v>18</x:v>
      </x:c>
      <x:c r="D173" s="272" t="str">
        <x:v>campaign205-048-18</x:v>
      </x:c>
      <x:c r="E173" s="282" t="str">
        <x:v>Oui</x:v>
      </x:c>
      <x:c r="F173" s="282" t="str">
        <x:v>Oui</x:v>
      </x:c>
      <x:c r="G173" s="282" t="str">
        <x:v>Oui</x:v>
      </x:c>
      <x:c r="H173" s="282" t="str">
        <x:v>Oui</x:v>
      </x:c>
      <x:c r="I173" s="282" t="str">
        <x:v>Oui</x:v>
      </x:c>
      <x:c r="J173" s="281" t="n">
        <x:v>0</x:v>
      </x:c>
      <x:c r="K173" s="272" t="str">
        <x:v>Aucun témoin pour cette variante</x:v>
      </x:c>
      <x:c r="L173" s="272" t="str">
        <x:v>https://github.com/darknigthmare/deadwall-last-enclosure/blob/e28f46223e73105ab2c5d83f3d50b99b58ef53e6/docs/codex/suivi-monde2026/campagne205-eligibilite.json</x:v>
      </x:c>
    </x:row>
    <x:row r="174" ht="64" customHeight="1">
      <x:c r="A174" s="272" t="str">
        <x:v>EXT-MONDE-T048-V19</x:v>
      </x:c>
      <x:c r="B174" s="272" t="str">
        <x:v>Parc de caravanes abandonné</x:v>
      </x:c>
      <x:c r="C174" s="281" t="n">
        <x:v>19</x:v>
      </x:c>
      <x:c r="D174" s="272" t="str">
        <x:v>campaign205-048-19</x:v>
      </x:c>
      <x:c r="E174" s="282" t="str">
        <x:v>Oui</x:v>
      </x:c>
      <x:c r="F174" s="282" t="str">
        <x:v>Oui</x:v>
      </x:c>
      <x:c r="G174" s="282" t="str">
        <x:v>Oui</x:v>
      </x:c>
      <x:c r="H174" s="282" t="str">
        <x:v>Oui</x:v>
      </x:c>
      <x:c r="I174" s="282" t="str">
        <x:v>Oui</x:v>
      </x:c>
      <x:c r="J174" s="281" t="n">
        <x:v>1</x:v>
      </x:c>
      <x:c r="K174" s="272" t="str">
        <x:v>1</x:v>
      </x:c>
      <x:c r="L174" s="272" t="str">
        <x:v>https://github.com/darknigthmare/deadwall-last-enclosure/blob/e28f46223e73105ab2c5d83f3d50b99b58ef53e6/docs/codex/suivi-monde2026/campagne205-eligibilite.json</x:v>
      </x:c>
    </x:row>
    <x:row r="175" ht="64" customHeight="1">
      <x:c r="A175" s="272" t="str">
        <x:v>EXT-MONDE-T048-V20</x:v>
      </x:c>
      <x:c r="B175" s="272" t="str">
        <x:v>Parc de caravanes abandonné</x:v>
      </x:c>
      <x:c r="C175" s="281" t="n">
        <x:v>20</x:v>
      </x:c>
      <x:c r="D175" s="272" t="str">
        <x:v>campaign205-048-20</x:v>
      </x:c>
      <x:c r="E175" s="282" t="str">
        <x:v>Oui</x:v>
      </x:c>
      <x:c r="F175" s="282" t="str">
        <x:v>Oui</x:v>
      </x:c>
      <x:c r="G175" s="282" t="str">
        <x:v>Oui</x:v>
      </x:c>
      <x:c r="H175" s="282" t="str">
        <x:v>Oui</x:v>
      </x:c>
      <x:c r="I175" s="282" t="str">
        <x:v>Oui</x:v>
      </x:c>
      <x:c r="J175" s="281" t="n">
        <x:v>0</x:v>
      </x:c>
      <x:c r="K175" s="272" t="str">
        <x:v>Aucun témoin pour cette variante</x:v>
      </x:c>
      <x:c r="L175" s="272" t="str">
        <x:v>https://github.com/darknigthmare/deadwall-last-enclosure/blob/e28f46223e73105ab2c5d83f3d50b99b58ef53e6/docs/codex/suivi-monde2026/campagne205-eligibilite.json</x:v>
      </x:c>
    </x:row>
    <x:row r="176" ht="64" customHeight="1">
      <x:c r="A176" s="272" t="str">
        <x:v>EXT-MONDE-T048-V21</x:v>
      </x:c>
      <x:c r="B176" s="272" t="str">
        <x:v>Parc de caravanes abandonné</x:v>
      </x:c>
      <x:c r="C176" s="281" t="n">
        <x:v>21</x:v>
      </x:c>
      <x:c r="D176" s="272" t="str">
        <x:v>campaign205-048-21</x:v>
      </x:c>
      <x:c r="E176" s="282" t="str">
        <x:v>Oui</x:v>
      </x:c>
      <x:c r="F176" s="282" t="str">
        <x:v>Oui</x:v>
      </x:c>
      <x:c r="G176" s="282" t="str">
        <x:v>Oui</x:v>
      </x:c>
      <x:c r="H176" s="282" t="str">
        <x:v>Oui</x:v>
      </x:c>
      <x:c r="I176" s="282" t="str">
        <x:v>Oui</x:v>
      </x:c>
      <x:c r="J176" s="281" t="n">
        <x:v>0</x:v>
      </x:c>
      <x:c r="K176" s="272" t="str">
        <x:v>Aucun témoin pour cette variante</x:v>
      </x:c>
      <x:c r="L176" s="272" t="str">
        <x:v>https://github.com/darknigthmare/deadwall-last-enclosure/blob/e28f46223e73105ab2c5d83f3d50b99b58ef53e6/docs/codex/suivi-monde2026/campagne205-eligibilite.json</x:v>
      </x:c>
    </x:row>
    <x:row r="177" ht="64" customHeight="1">
      <x:c r="A177" s="272" t="str">
        <x:v>EXT-MONDE-T048-V22</x:v>
      </x:c>
      <x:c r="B177" s="272" t="str">
        <x:v>Parc de caravanes abandonné</x:v>
      </x:c>
      <x:c r="C177" s="281" t="n">
        <x:v>22</x:v>
      </x:c>
      <x:c r="D177" s="272" t="str">
        <x:v>campaign205-048-22</x:v>
      </x:c>
      <x:c r="E177" s="282" t="str">
        <x:v>Oui</x:v>
      </x:c>
      <x:c r="F177" s="282" t="str">
        <x:v>Oui</x:v>
      </x:c>
      <x:c r="G177" s="282" t="str">
        <x:v>Oui</x:v>
      </x:c>
      <x:c r="H177" s="282" t="str">
        <x:v>Oui</x:v>
      </x:c>
      <x:c r="I177" s="282" t="str">
        <x:v>Oui</x:v>
      </x:c>
      <x:c r="J177" s="281" t="n">
        <x:v>0</x:v>
      </x:c>
      <x:c r="K177" s="272" t="str">
        <x:v>Aucun témoin pour cette variante</x:v>
      </x:c>
      <x:c r="L177" s="272" t="str">
        <x:v>https://github.com/darknigthmare/deadwall-last-enclosure/blob/e28f46223e73105ab2c5d83f3d50b99b58ef53e6/docs/codex/suivi-monde2026/campagne205-eligibilite.json</x:v>
      </x:c>
    </x:row>
    <x:row r="178" ht="64" customHeight="1">
      <x:c r="A178" s="272" t="str">
        <x:v>EXT-MONDE-T048-V23</x:v>
      </x:c>
      <x:c r="B178" s="272" t="str">
        <x:v>Parc de caravanes abandonné</x:v>
      </x:c>
      <x:c r="C178" s="281" t="n">
        <x:v>23</x:v>
      </x:c>
      <x:c r="D178" s="272" t="str">
        <x:v>campaign205-048-23</x:v>
      </x:c>
      <x:c r="E178" s="282" t="str">
        <x:v>Oui</x:v>
      </x:c>
      <x:c r="F178" s="282" t="str">
        <x:v>Oui</x:v>
      </x:c>
      <x:c r="G178" s="282" t="str">
        <x:v>Oui</x:v>
      </x:c>
      <x:c r="H178" s="282" t="str">
        <x:v>Oui</x:v>
      </x:c>
      <x:c r="I178" s="282" t="str">
        <x:v>Oui</x:v>
      </x:c>
      <x:c r="J178" s="281" t="n">
        <x:v>0</x:v>
      </x:c>
      <x:c r="K178" s="272" t="str">
        <x:v>Aucun témoin pour cette variante</x:v>
      </x:c>
      <x:c r="L178" s="272" t="str">
        <x:v>https://github.com/darknigthmare/deadwall-last-enclosure/blob/e28f46223e73105ab2c5d83f3d50b99b58ef53e6/docs/codex/suivi-monde2026/campagne205-eligibilite.json</x:v>
      </x:c>
    </x:row>
    <x:row r="179" ht="64" customHeight="1">
      <x:c r="A179" s="272" t="str">
        <x:v>EXT-MONDE-T048-V24</x:v>
      </x:c>
      <x:c r="B179" s="272" t="str">
        <x:v>Parc de caravanes abandonné</x:v>
      </x:c>
      <x:c r="C179" s="281" t="n">
        <x:v>24</x:v>
      </x:c>
      <x:c r="D179" s="272" t="str">
        <x:v>campaign205-048-24</x:v>
      </x:c>
      <x:c r="E179" s="282" t="str">
        <x:v>Oui</x:v>
      </x:c>
      <x:c r="F179" s="282" t="str">
        <x:v>Oui</x:v>
      </x:c>
      <x:c r="G179" s="282" t="str">
        <x:v>Oui</x:v>
      </x:c>
      <x:c r="H179" s="282" t="str">
        <x:v>Oui</x:v>
      </x:c>
      <x:c r="I179" s="282" t="str">
        <x:v>Oui</x:v>
      </x:c>
      <x:c r="J179" s="281" t="n">
        <x:v>0</x:v>
      </x:c>
      <x:c r="K179" s="272" t="str">
        <x:v>Aucun témoin pour cette variante</x:v>
      </x:c>
      <x:c r="L179" s="272" t="str">
        <x:v>https://github.com/darknigthmare/deadwall-last-enclosure/blob/e28f46223e73105ab2c5d83f3d50b99b58ef53e6/docs/codex/suivi-monde2026/campagne205-eligibilite.json</x:v>
      </x:c>
    </x:row>
    <x:row r="180" ht="64" customHeight="1">
      <x:c r="A180" s="272" t="str">
        <x:v>EXT-MONDE-T048-V25</x:v>
      </x:c>
      <x:c r="B180" s="272" t="str">
        <x:v>Parc de caravanes abandonné</x:v>
      </x:c>
      <x:c r="C180" s="281" t="n">
        <x:v>25</x:v>
      </x:c>
      <x:c r="D180" s="272" t="str">
        <x:v>campaign205-048-25</x:v>
      </x:c>
      <x:c r="E180" s="282" t="str">
        <x:v>Oui</x:v>
      </x:c>
      <x:c r="F180" s="282" t="str">
        <x:v>Oui</x:v>
      </x:c>
      <x:c r="G180" s="282" t="str">
        <x:v>Oui</x:v>
      </x:c>
      <x:c r="H180" s="282" t="str">
        <x:v>Oui</x:v>
      </x:c>
      <x:c r="I180" s="282" t="str">
        <x:v>Oui</x:v>
      </x:c>
      <x:c r="J180" s="281" t="n">
        <x:v>0</x:v>
      </x:c>
      <x:c r="K180" s="272" t="str">
        <x:v>Aucun témoin pour cette variante</x:v>
      </x:c>
      <x:c r="L180" s="272" t="str">
        <x:v>https://github.com/darknigthmare/deadwall-last-enclosure/blob/e28f46223e73105ab2c5d83f3d50b99b58ef53e6/docs/codex/suivi-monde2026/campagne205-eligibilite.json</x:v>
      </x:c>
    </x:row>
    <x:row r="181" ht="64" customHeight="1">
      <x:c r="A181" s="272" t="str">
        <x:v>EXT-MONDE-T048-V26</x:v>
      </x:c>
      <x:c r="B181" s="272" t="str">
        <x:v>Parc de caravanes abandonné</x:v>
      </x:c>
      <x:c r="C181" s="281" t="n">
        <x:v>26</x:v>
      </x:c>
      <x:c r="D181" s="272" t="str">
        <x:v>campaign205-048-26</x:v>
      </x:c>
      <x:c r="E181" s="282" t="str">
        <x:v>Oui</x:v>
      </x:c>
      <x:c r="F181" s="282" t="str">
        <x:v>Oui</x:v>
      </x:c>
      <x:c r="G181" s="282" t="str">
        <x:v>Oui</x:v>
      </x:c>
      <x:c r="H181" s="282" t="str">
        <x:v>Oui</x:v>
      </x:c>
      <x:c r="I181" s="282" t="str">
        <x:v>Oui</x:v>
      </x:c>
      <x:c r="J181" s="281" t="n">
        <x:v>0</x:v>
      </x:c>
      <x:c r="K181" s="272" t="str">
        <x:v>Aucun témoin pour cette variante</x:v>
      </x:c>
      <x:c r="L181" s="272" t="str">
        <x:v>https://github.com/darknigthmare/deadwall-last-enclosure/blob/e28f46223e73105ab2c5d83f3d50b99b58ef53e6/docs/codex/suivi-monde2026/campagne205-eligibilite.json</x:v>
      </x:c>
    </x:row>
    <x:row r="182" ht="64" customHeight="1">
      <x:c r="A182" s="272" t="str">
        <x:v>EXT-MONDE-T048-V27</x:v>
      </x:c>
      <x:c r="B182" s="272" t="str">
        <x:v>Parc de caravanes abandonné</x:v>
      </x:c>
      <x:c r="C182" s="281" t="n">
        <x:v>27</x:v>
      </x:c>
      <x:c r="D182" s="272" t="str">
        <x:v>campaign205-048-27</x:v>
      </x:c>
      <x:c r="E182" s="282" t="str">
        <x:v>Oui</x:v>
      </x:c>
      <x:c r="F182" s="282" t="str">
        <x:v>Oui</x:v>
      </x:c>
      <x:c r="G182" s="282" t="str">
        <x:v>Oui</x:v>
      </x:c>
      <x:c r="H182" s="282" t="str">
        <x:v>Oui</x:v>
      </x:c>
      <x:c r="I182" s="282" t="str">
        <x:v>Oui</x:v>
      </x:c>
      <x:c r="J182" s="281" t="n">
        <x:v>0</x:v>
      </x:c>
      <x:c r="K182" s="272" t="str">
        <x:v>Aucun témoin pour cette variante</x:v>
      </x:c>
      <x:c r="L182" s="272" t="str">
        <x:v>https://github.com/darknigthmare/deadwall-last-enclosure/blob/e28f46223e73105ab2c5d83f3d50b99b58ef53e6/docs/codex/suivi-monde2026/campagne205-eligibilite.json</x:v>
      </x:c>
    </x:row>
    <x:row r="183" ht="64" customHeight="1">
      <x:c r="A183" s="272" t="str">
        <x:v>EXT-MONDE-T048-V28</x:v>
      </x:c>
      <x:c r="B183" s="272" t="str">
        <x:v>Parc de caravanes abandonné</x:v>
      </x:c>
      <x:c r="C183" s="281" t="n">
        <x:v>28</x:v>
      </x:c>
      <x:c r="D183" s="272" t="str">
        <x:v>campaign205-048-28</x:v>
      </x:c>
      <x:c r="E183" s="282" t="str">
        <x:v>Oui</x:v>
      </x:c>
      <x:c r="F183" s="282" t="str">
        <x:v>Oui</x:v>
      </x:c>
      <x:c r="G183" s="282" t="str">
        <x:v>Oui</x:v>
      </x:c>
      <x:c r="H183" s="282" t="str">
        <x:v>Oui</x:v>
      </x:c>
      <x:c r="I183" s="282" t="str">
        <x:v>Oui</x:v>
      </x:c>
      <x:c r="J183" s="281" t="n">
        <x:v>0</x:v>
      </x:c>
      <x:c r="K183" s="272" t="str">
        <x:v>Aucun témoin pour cette variante</x:v>
      </x:c>
      <x:c r="L183" s="272" t="str">
        <x:v>https://github.com/darknigthmare/deadwall-last-enclosure/blob/e28f46223e73105ab2c5d83f3d50b99b58ef53e6/docs/codex/suivi-monde2026/campagne205-eligibilite.json</x:v>
      </x:c>
    </x:row>
    <x:row r="184" ht="64" customHeight="1">
      <x:c r="A184" s="272" t="str">
        <x:v>EXT-MONDE-T048-V29</x:v>
      </x:c>
      <x:c r="B184" s="272" t="str">
        <x:v>Parc de caravanes abandonné</x:v>
      </x:c>
      <x:c r="C184" s="281" t="n">
        <x:v>29</x:v>
      </x:c>
      <x:c r="D184" s="272" t="str">
        <x:v>campaign205-048-29</x:v>
      </x:c>
      <x:c r="E184" s="282" t="str">
        <x:v>Oui</x:v>
      </x:c>
      <x:c r="F184" s="282" t="str">
        <x:v>Oui</x:v>
      </x:c>
      <x:c r="G184" s="282" t="str">
        <x:v>Oui</x:v>
      </x:c>
      <x:c r="H184" s="282" t="str">
        <x:v>Oui</x:v>
      </x:c>
      <x:c r="I184" s="282" t="str">
        <x:v>Oui</x:v>
      </x:c>
      <x:c r="J184" s="281" t="n">
        <x:v>1</x:v>
      </x:c>
      <x:c r="K184" s="272" t="str">
        <x:v>42</x:v>
      </x:c>
      <x:c r="L184" s="272" t="str">
        <x:v>https://github.com/darknigthmare/deadwall-last-enclosure/blob/e28f46223e73105ab2c5d83f3d50b99b58ef53e6/docs/codex/suivi-monde2026/campagne205-eligibilite.json</x:v>
      </x:c>
    </x:row>
    <x:row r="185" ht="64" customHeight="1">
      <x:c r="A185" s="272" t="str">
        <x:v>EXT-MONDE-T048-V30</x:v>
      </x:c>
      <x:c r="B185" s="272" t="str">
        <x:v>Parc de caravanes abandonné</x:v>
      </x:c>
      <x:c r="C185" s="281" t="n">
        <x:v>30</x:v>
      </x:c>
      <x:c r="D185" s="272" t="str">
        <x:v>campaign205-048-30</x:v>
      </x:c>
      <x:c r="E185" s="282" t="str">
        <x:v>Oui</x:v>
      </x:c>
      <x:c r="F185" s="282" t="str">
        <x:v>Oui</x:v>
      </x:c>
      <x:c r="G185" s="282" t="str">
        <x:v>Oui</x:v>
      </x:c>
      <x:c r="H185" s="282" t="str">
        <x:v>Oui</x:v>
      </x:c>
      <x:c r="I185" s="282" t="str">
        <x:v>Oui</x:v>
      </x:c>
      <x:c r="J185" s="281" t="n">
        <x:v>0</x:v>
      </x:c>
      <x:c r="K185" s="272" t="str">
        <x:v>Aucun témoin pour cette variante</x:v>
      </x:c>
      <x:c r="L185" s="272" t="str">
        <x:v>https://github.com/darknigthmare/deadwall-last-enclosure/blob/e28f46223e73105ab2c5d83f3d50b99b58ef53e6/docs/codex/suivi-monde2026/campagne205-eligibilite.json</x:v>
      </x:c>
    </x:row>
    <x:row r="186" ht="64" customHeight="1">
      <x:c r="A186" s="272" t="str">
        <x:v>EXT-MONDE-T048-V31</x:v>
      </x:c>
      <x:c r="B186" s="272" t="str">
        <x:v>Parc de caravanes abandonné</x:v>
      </x:c>
      <x:c r="C186" s="281" t="n">
        <x:v>31</x:v>
      </x:c>
      <x:c r="D186" s="272" t="str">
        <x:v>campaign205-048-31</x:v>
      </x:c>
      <x:c r="E186" s="282" t="str">
        <x:v>Oui</x:v>
      </x:c>
      <x:c r="F186" s="282" t="str">
        <x:v>Oui</x:v>
      </x:c>
      <x:c r="G186" s="282" t="str">
        <x:v>Oui</x:v>
      </x:c>
      <x:c r="H186" s="282" t="str">
        <x:v>Oui</x:v>
      </x:c>
      <x:c r="I186" s="282" t="str">
        <x:v>Oui</x:v>
      </x:c>
      <x:c r="J186" s="281" t="n">
        <x:v>0</x:v>
      </x:c>
      <x:c r="K186" s="272" t="str">
        <x:v>Aucun témoin pour cette variante</x:v>
      </x:c>
      <x:c r="L186" s="272" t="str">
        <x:v>https://github.com/darknigthmare/deadwall-last-enclosure/blob/e28f46223e73105ab2c5d83f3d50b99b58ef53e6/docs/codex/suivi-monde2026/campagne205-eligibilite.json</x:v>
      </x:c>
    </x:row>
    <x:row r="187" ht="64" customHeight="1">
      <x:c r="A187" s="272" t="str">
        <x:v>EXT-MONDE-T048-V32</x:v>
      </x:c>
      <x:c r="B187" s="272" t="str">
        <x:v>Parc de caravanes abandonné</x:v>
      </x:c>
      <x:c r="C187" s="281" t="n">
        <x:v>32</x:v>
      </x:c>
      <x:c r="D187" s="272" t="str">
        <x:v>campaign205-048-32</x:v>
      </x:c>
      <x:c r="E187" s="282" t="str">
        <x:v>Oui</x:v>
      </x:c>
      <x:c r="F187" s="282" t="str">
        <x:v>Oui</x:v>
      </x:c>
      <x:c r="G187" s="282" t="str">
        <x:v>Oui</x:v>
      </x:c>
      <x:c r="H187" s="282" t="str">
        <x:v>Oui</x:v>
      </x:c>
      <x:c r="I187" s="282" t="str">
        <x:v>Oui</x:v>
      </x:c>
      <x:c r="J187" s="281" t="n">
        <x:v>0</x:v>
      </x:c>
      <x:c r="K187" s="272" t="str">
        <x:v>Aucun témoin pour cette variante</x:v>
      </x:c>
      <x:c r="L187" s="272" t="str">
        <x:v>https://github.com/darknigthmare/deadwall-last-enclosure/blob/e28f46223e73105ab2c5d83f3d50b99b58ef53e6/docs/codex/suivi-monde2026/campagne205-eligibilite.json</x:v>
      </x:c>
    </x:row>
    <x:row r="188" ht="64" customHeight="1">
      <x:c r="A188" s="272" t="str">
        <x:v>EXT-MONDE-T048-V33</x:v>
      </x:c>
      <x:c r="B188" s="272" t="str">
        <x:v>Parc de caravanes abandonné</x:v>
      </x:c>
      <x:c r="C188" s="281" t="n">
        <x:v>33</x:v>
      </x:c>
      <x:c r="D188" s="272" t="str">
        <x:v>campaign205-048-33</x:v>
      </x:c>
      <x:c r="E188" s="282" t="str">
        <x:v>Oui</x:v>
      </x:c>
      <x:c r="F188" s="282" t="str">
        <x:v>Oui</x:v>
      </x:c>
      <x:c r="G188" s="282" t="str">
        <x:v>Oui</x:v>
      </x:c>
      <x:c r="H188" s="282" t="str">
        <x:v>Oui</x:v>
      </x:c>
      <x:c r="I188" s="282" t="str">
        <x:v>Oui</x:v>
      </x:c>
      <x:c r="J188" s="281" t="n">
        <x:v>0</x:v>
      </x:c>
      <x:c r="K188" s="272" t="str">
        <x:v>Aucun témoin pour cette variante</x:v>
      </x:c>
      <x:c r="L188" s="272" t="str">
        <x:v>https://github.com/darknigthmare/deadwall-last-enclosure/blob/e28f46223e73105ab2c5d83f3d50b99b58ef53e6/docs/codex/suivi-monde2026/campagne205-eligibilite.json</x:v>
      </x:c>
    </x:row>
    <x:row r="189" ht="64" customHeight="1">
      <x:c r="A189" s="272" t="str">
        <x:v>EXT-MONDE-T048-V34</x:v>
      </x:c>
      <x:c r="B189" s="272" t="str">
        <x:v>Parc de caravanes abandonné</x:v>
      </x:c>
      <x:c r="C189" s="281" t="n">
        <x:v>34</x:v>
      </x:c>
      <x:c r="D189" s="272" t="str">
        <x:v>campaign205-048-34</x:v>
      </x:c>
      <x:c r="E189" s="282" t="str">
        <x:v>Oui</x:v>
      </x:c>
      <x:c r="F189" s="282" t="str">
        <x:v>Oui</x:v>
      </x:c>
      <x:c r="G189" s="282" t="str">
        <x:v>Oui</x:v>
      </x:c>
      <x:c r="H189" s="282" t="str">
        <x:v>Oui</x:v>
      </x:c>
      <x:c r="I189" s="282" t="str">
        <x:v>Oui</x:v>
      </x:c>
      <x:c r="J189" s="281" t="n">
        <x:v>1</x:v>
      </x:c>
      <x:c r="K189" s="272" t="str">
        <x:v>17117</x:v>
      </x:c>
      <x:c r="L189" s="272" t="str">
        <x:v>https://github.com/darknigthmare/deadwall-last-enclosure/blob/e28f46223e73105ab2c5d83f3d50b99b58ef53e6/docs/codex/suivi-monde2026/campagne205-eligibilite.json</x:v>
      </x:c>
    </x:row>
    <x:row r="190" ht="64" customHeight="1">
      <x:c r="A190" s="272" t="str">
        <x:v>EXT-MONDE-T048-V35</x:v>
      </x:c>
      <x:c r="B190" s="272" t="str">
        <x:v>Parc de caravanes abandonné</x:v>
      </x:c>
      <x:c r="C190" s="281" t="n">
        <x:v>35</x:v>
      </x:c>
      <x:c r="D190" s="272" t="str">
        <x:v>campaign205-048-35</x:v>
      </x:c>
      <x:c r="E190" s="282" t="str">
        <x:v>Oui</x:v>
      </x:c>
      <x:c r="F190" s="282" t="str">
        <x:v>Oui</x:v>
      </x:c>
      <x:c r="G190" s="282" t="str">
        <x:v>Oui</x:v>
      </x:c>
      <x:c r="H190" s="282" t="str">
        <x:v>Oui</x:v>
      </x:c>
      <x:c r="I190" s="282" t="str">
        <x:v>Oui</x:v>
      </x:c>
      <x:c r="J190" s="281" t="n">
        <x:v>0</x:v>
      </x:c>
      <x:c r="K190" s="272" t="str">
        <x:v>Aucun témoin pour cette variante</x:v>
      </x:c>
      <x:c r="L190" s="272" t="str">
        <x:v>https://github.com/darknigthmare/deadwall-last-enclosure/blob/e28f46223e73105ab2c5d83f3d50b99b58ef53e6/docs/codex/suivi-monde2026/campagne205-eligibilite.json</x:v>
      </x:c>
    </x:row>
    <x:row r="191" ht="64" customHeight="1">
      <x:c r="A191" s="272" t="str">
        <x:v>EXT-MONDE-T048-V36</x:v>
      </x:c>
      <x:c r="B191" s="272" t="str">
        <x:v>Parc de caravanes abandonné</x:v>
      </x:c>
      <x:c r="C191" s="281" t="n">
        <x:v>36</x:v>
      </x:c>
      <x:c r="D191" s="272" t="str">
        <x:v>campaign205-048-36</x:v>
      </x:c>
      <x:c r="E191" s="282" t="str">
        <x:v>Oui</x:v>
      </x:c>
      <x:c r="F191" s="282" t="str">
        <x:v>Oui</x:v>
      </x:c>
      <x:c r="G191" s="282" t="str">
        <x:v>Oui</x:v>
      </x:c>
      <x:c r="H191" s="282" t="str">
        <x:v>Oui</x:v>
      </x:c>
      <x:c r="I191" s="282" t="str">
        <x:v>Oui</x:v>
      </x:c>
      <x:c r="J191" s="281" t="n">
        <x:v>0</x:v>
      </x:c>
      <x:c r="K191" s="272" t="str">
        <x:v>Aucun témoin pour cette variante</x:v>
      </x:c>
      <x:c r="L191" s="272" t="str">
        <x:v>https://github.com/darknigthmare/deadwall-last-enclosure/blob/e28f46223e73105ab2c5d83f3d50b99b58ef53e6/docs/codex/suivi-monde2026/campagne205-eligibilite.json</x:v>
      </x:c>
    </x:row>
    <x:row r="192" ht="64" customHeight="1">
      <x:c r="A192" s="272" t="str">
        <x:v>EXT-MONDE-T048-V37</x:v>
      </x:c>
      <x:c r="B192" s="272" t="str">
        <x:v>Parc de caravanes abandonné</x:v>
      </x:c>
      <x:c r="C192" s="281" t="n">
        <x:v>37</x:v>
      </x:c>
      <x:c r="D192" s="272" t="str">
        <x:v>campaign205-048-37</x:v>
      </x:c>
      <x:c r="E192" s="282" t="str">
        <x:v>Oui</x:v>
      </x:c>
      <x:c r="F192" s="282" t="str">
        <x:v>Oui</x:v>
      </x:c>
      <x:c r="G192" s="282" t="str">
        <x:v>Oui</x:v>
      </x:c>
      <x:c r="H192" s="282" t="str">
        <x:v>Oui</x:v>
      </x:c>
      <x:c r="I192" s="282" t="str">
        <x:v>Oui</x:v>
      </x:c>
      <x:c r="J192" s="281" t="n">
        <x:v>0</x:v>
      </x:c>
      <x:c r="K192" s="272" t="str">
        <x:v>Aucun témoin pour cette variante</x:v>
      </x:c>
      <x:c r="L192" s="272" t="str">
        <x:v>https://github.com/darknigthmare/deadwall-last-enclosure/blob/e28f46223e73105ab2c5d83f3d50b99b58ef53e6/docs/codex/suivi-monde2026/campagne205-eligibilite.json</x:v>
      </x:c>
    </x:row>
    <x:row r="193" ht="64" customHeight="1">
      <x:c r="A193" s="272" t="str">
        <x:v>EXT-MONDE-T048-V38</x:v>
      </x:c>
      <x:c r="B193" s="272" t="str">
        <x:v>Parc de caravanes abandonné</x:v>
      </x:c>
      <x:c r="C193" s="281" t="n">
        <x:v>38</x:v>
      </x:c>
      <x:c r="D193" s="272" t="str">
        <x:v>campaign205-048-38</x:v>
      </x:c>
      <x:c r="E193" s="282" t="str">
        <x:v>Oui</x:v>
      </x:c>
      <x:c r="F193" s="282" t="str">
        <x:v>Oui</x:v>
      </x:c>
      <x:c r="G193" s="282" t="str">
        <x:v>Oui</x:v>
      </x:c>
      <x:c r="H193" s="282" t="str">
        <x:v>Oui</x:v>
      </x:c>
      <x:c r="I193" s="282" t="str">
        <x:v>Oui</x:v>
      </x:c>
      <x:c r="J193" s="281" t="n">
        <x:v>0</x:v>
      </x:c>
      <x:c r="K193" s="272" t="str">
        <x:v>Aucun témoin pour cette variante</x:v>
      </x:c>
      <x:c r="L193" s="272" t="str">
        <x:v>https://github.com/darknigthmare/deadwall-last-enclosure/blob/e28f46223e73105ab2c5d83f3d50b99b58ef53e6/docs/codex/suivi-monde2026/campagne205-eligibilite.json</x:v>
      </x:c>
    </x:row>
    <x:row r="194" ht="64" customHeight="1">
      <x:c r="A194" s="272" t="str">
        <x:v>EXT-MONDE-T048-V39</x:v>
      </x:c>
      <x:c r="B194" s="272" t="str">
        <x:v>Parc de caravanes abandonné</x:v>
      </x:c>
      <x:c r="C194" s="281" t="n">
        <x:v>39</x:v>
      </x:c>
      <x:c r="D194" s="272" t="str">
        <x:v>campaign205-048-39</x:v>
      </x:c>
      <x:c r="E194" s="282" t="str">
        <x:v>Oui</x:v>
      </x:c>
      <x:c r="F194" s="282" t="str">
        <x:v>Oui</x:v>
      </x:c>
      <x:c r="G194" s="282" t="str">
        <x:v>Oui</x:v>
      </x:c>
      <x:c r="H194" s="282" t="str">
        <x:v>Oui</x:v>
      </x:c>
      <x:c r="I194" s="282" t="str">
        <x:v>Oui</x:v>
      </x:c>
      <x:c r="J194" s="281" t="n">
        <x:v>1</x:v>
      </x:c>
      <x:c r="K194" s="272" t="str">
        <x:v>4294967295</x:v>
      </x:c>
      <x:c r="L194" s="272" t="str">
        <x:v>https://github.com/darknigthmare/deadwall-last-enclosure/blob/e28f46223e73105ab2c5d83f3d50b99b58ef53e6/docs/codex/suivi-monde2026/campagne205-eligibilite.json</x:v>
      </x:c>
    </x:row>
    <x:row r="195" ht="64" customHeight="1">
      <x:c r="A195" s="272" t="str">
        <x:v>EXT-MONDE-T048-V40</x:v>
      </x:c>
      <x:c r="B195" s="272" t="str">
        <x:v>Parc de caravanes abandonné</x:v>
      </x:c>
      <x:c r="C195" s="281" t="n">
        <x:v>40</x:v>
      </x:c>
      <x:c r="D195" s="272" t="str">
        <x:v>campaign205-048-40</x:v>
      </x:c>
      <x:c r="E195" s="282" t="str">
        <x:v>Oui</x:v>
      </x:c>
      <x:c r="F195" s="282" t="str">
        <x:v>Oui</x:v>
      </x:c>
      <x:c r="G195" s="282" t="str">
        <x:v>Oui</x:v>
      </x:c>
      <x:c r="H195" s="282" t="str">
        <x:v>Oui</x:v>
      </x:c>
      <x:c r="I195" s="282" t="str">
        <x:v>Oui</x:v>
      </x:c>
      <x:c r="J195" s="281" t="n">
        <x:v>1</x:v>
      </x:c>
      <x:c r="K195" s="272" t="str">
        <x:v>1947648717</x:v>
      </x:c>
      <x:c r="L195" s="272" t="str">
        <x:v>https://github.com/darknigthmare/deadwall-last-enclosure/blob/e28f46223e73105ab2c5d83f3d50b99b58ef53e6/docs/codex/suivi-monde2026/campagne205-eligibilite.json</x:v>
      </x:c>
    </x:row>
    <x:row r="196" ht="64" customHeight="1">
      <x:c r="A196" s="272" t="str">
        <x:v>EXT-MONDE-T048-V41</x:v>
      </x:c>
      <x:c r="B196" s="272" t="str">
        <x:v>Parc de caravanes abandonné</x:v>
      </x:c>
      <x:c r="C196" s="281" t="n">
        <x:v>41</x:v>
      </x:c>
      <x:c r="D196" s="272" t="str">
        <x:v>campaign205-048-41</x:v>
      </x:c>
      <x:c r="E196" s="282" t="str">
        <x:v>Oui</x:v>
      </x:c>
      <x:c r="F196" s="282" t="str">
        <x:v>Oui</x:v>
      </x:c>
      <x:c r="G196" s="282" t="str">
        <x:v>Oui</x:v>
      </x:c>
      <x:c r="H196" s="282" t="str">
        <x:v>Oui</x:v>
      </x:c>
      <x:c r="I196" s="282" t="str">
        <x:v>Oui</x:v>
      </x:c>
      <x:c r="J196" s="281" t="n">
        <x:v>0</x:v>
      </x:c>
      <x:c r="K196" s="272" t="str">
        <x:v>Aucun témoin pour cette variante</x:v>
      </x:c>
      <x:c r="L196" s="272" t="str">
        <x:v>https://github.com/darknigthmare/deadwall-last-enclosure/blob/e28f46223e73105ab2c5d83f3d50b99b58ef53e6/docs/codex/suivi-monde2026/campagne205-eligibilite.json</x:v>
      </x:c>
    </x:row>
    <x:row r="197" ht="64" customHeight="1">
      <x:c r="A197" s="272" t="str">
        <x:v>EXT-MONDE-T048-V42</x:v>
      </x:c>
      <x:c r="B197" s="272" t="str">
        <x:v>Parc de caravanes abandonné</x:v>
      </x:c>
      <x:c r="C197" s="281" t="n">
        <x:v>42</x:v>
      </x:c>
      <x:c r="D197" s="272" t="str">
        <x:v>campaign205-048-42</x:v>
      </x:c>
      <x:c r="E197" s="282" t="str">
        <x:v>Oui</x:v>
      </x:c>
      <x:c r="F197" s="282" t="str">
        <x:v>Oui</x:v>
      </x:c>
      <x:c r="G197" s="282" t="str">
        <x:v>Oui</x:v>
      </x:c>
      <x:c r="H197" s="282" t="str">
        <x:v>Oui</x:v>
      </x:c>
      <x:c r="I197" s="282" t="str">
        <x:v>Oui</x:v>
      </x:c>
      <x:c r="J197" s="281" t="n">
        <x:v>0</x:v>
      </x:c>
      <x:c r="K197" s="272" t="str">
        <x:v>Aucun témoin pour cette variante</x:v>
      </x:c>
      <x:c r="L197" s="272" t="str">
        <x:v>https://github.com/darknigthmare/deadwall-last-enclosure/blob/e28f46223e73105ab2c5d83f3d50b99b58ef53e6/docs/codex/suivi-monde2026/campagne205-eligibilite.json</x:v>
      </x:c>
    </x:row>
    <x:row r="198" ht="64" customHeight="1">
      <x:c r="A198" s="272" t="str">
        <x:v>EXT-MONDE-T048-V43</x:v>
      </x:c>
      <x:c r="B198" s="272" t="str">
        <x:v>Parc de caravanes abandonné</x:v>
      </x:c>
      <x:c r="C198" s="281" t="n">
        <x:v>43</x:v>
      </x:c>
      <x:c r="D198" s="272" t="str">
        <x:v>campaign205-048-43</x:v>
      </x:c>
      <x:c r="E198" s="282" t="str">
        <x:v>Oui</x:v>
      </x:c>
      <x:c r="F198" s="282" t="str">
        <x:v>Oui</x:v>
      </x:c>
      <x:c r="G198" s="282" t="str">
        <x:v>Oui</x:v>
      </x:c>
      <x:c r="H198" s="282" t="str">
        <x:v>Oui</x:v>
      </x:c>
      <x:c r="I198" s="282" t="str">
        <x:v>Oui</x:v>
      </x:c>
      <x:c r="J198" s="281" t="n">
        <x:v>1</x:v>
      </x:c>
      <x:c r="K198" s="272" t="str">
        <x:v>967313470</x:v>
      </x:c>
      <x:c r="L198" s="272" t="str">
        <x:v>https://github.com/darknigthmare/deadwall-last-enclosure/blob/e28f46223e73105ab2c5d83f3d50b99b58ef53e6/docs/codex/suivi-monde2026/campagne205-eligibilite.json</x:v>
      </x:c>
    </x:row>
    <x:row r="199" ht="64" customHeight="1">
      <x:c r="A199" s="272" t="str">
        <x:v>EXT-MONDE-T048-V44</x:v>
      </x:c>
      <x:c r="B199" s="272" t="str">
        <x:v>Parc de caravanes abandonné</x:v>
      </x:c>
      <x:c r="C199" s="281" t="n">
        <x:v>44</x:v>
      </x:c>
      <x:c r="D199" s="272" t="str">
        <x:v>campaign205-048-44</x:v>
      </x:c>
      <x:c r="E199" s="282" t="str">
        <x:v>Oui</x:v>
      </x:c>
      <x:c r="F199" s="282" t="str">
        <x:v>Oui</x:v>
      </x:c>
      <x:c r="G199" s="282" t="str">
        <x:v>Oui</x:v>
      </x:c>
      <x:c r="H199" s="282" t="str">
        <x:v>Oui</x:v>
      </x:c>
      <x:c r="I199" s="282" t="str">
        <x:v>Oui</x:v>
      </x:c>
      <x:c r="J199" s="281" t="n">
        <x:v>0</x:v>
      </x:c>
      <x:c r="K199" s="272" t="str">
        <x:v>Aucun témoin pour cette variante</x:v>
      </x:c>
      <x:c r="L199" s="272" t="str">
        <x:v>https://github.com/darknigthmare/deadwall-last-enclosure/blob/e28f46223e73105ab2c5d83f3d50b99b58ef53e6/docs/codex/suivi-monde2026/campagne205-eligibilite.json</x:v>
      </x:c>
    </x:row>
    <x:row r="200" ht="64" customHeight="1">
      <x:c r="A200" s="272" t="str">
        <x:v>EXT-MONDE-T048-V45</x:v>
      </x:c>
      <x:c r="B200" s="272" t="str">
        <x:v>Parc de caravanes abandonné</x:v>
      </x:c>
      <x:c r="C200" s="281" t="n">
        <x:v>45</x:v>
      </x:c>
      <x:c r="D200" s="272" t="str">
        <x:v>campaign205-048-45</x:v>
      </x:c>
      <x:c r="E200" s="282" t="str">
        <x:v>Oui</x:v>
      </x:c>
      <x:c r="F200" s="282" t="str">
        <x:v>Oui</x:v>
      </x:c>
      <x:c r="G200" s="282" t="str">
        <x:v>Oui</x:v>
      </x:c>
      <x:c r="H200" s="282" t="str">
        <x:v>Oui</x:v>
      </x:c>
      <x:c r="I200" s="282" t="str">
        <x:v>Oui</x:v>
      </x:c>
      <x:c r="J200" s="281" t="n">
        <x:v>1</x:v>
      </x:c>
      <x:c r="K200" s="272" t="str">
        <x:v>84329</x:v>
      </x:c>
      <x:c r="L200" s="272" t="str">
        <x:v>https://github.com/darknigthmare/deadwall-last-enclosure/blob/e28f46223e73105ab2c5d83f3d50b99b58ef53e6/docs/codex/suivi-monde2026/campagne205-eligibilite.json</x:v>
      </x:c>
    </x:row>
    <x:row r="201" ht="64" customHeight="1">
      <x:c r="A201" s="272" t="str">
        <x:v>EXT-MONDE-T048-V46</x:v>
      </x:c>
      <x:c r="B201" s="272" t="str">
        <x:v>Parc de caravanes abandonné</x:v>
      </x:c>
      <x:c r="C201" s="281" t="n">
        <x:v>46</x:v>
      </x:c>
      <x:c r="D201" s="272" t="str">
        <x:v>campaign205-048-46</x:v>
      </x:c>
      <x:c r="E201" s="282" t="str">
        <x:v>Oui</x:v>
      </x:c>
      <x:c r="F201" s="282" t="str">
        <x:v>Oui</x:v>
      </x:c>
      <x:c r="G201" s="282" t="str">
        <x:v>Oui</x:v>
      </x:c>
      <x:c r="H201" s="282" t="str">
        <x:v>Oui</x:v>
      </x:c>
      <x:c r="I201" s="282" t="str">
        <x:v>Oui</x:v>
      </x:c>
      <x:c r="J201" s="281" t="n">
        <x:v>1</x:v>
      </x:c>
      <x:c r="K201" s="272" t="str">
        <x:v>17117</x:v>
      </x:c>
      <x:c r="L201" s="272" t="str">
        <x:v>https://github.com/darknigthmare/deadwall-last-enclosure/blob/e28f46223e73105ab2c5d83f3d50b99b58ef53e6/docs/codex/suivi-monde2026/campagne205-eligibilite.json</x:v>
      </x:c>
    </x:row>
    <x:row r="202" ht="64" customHeight="1">
      <x:c r="A202" s="272" t="str">
        <x:v>EXT-MONDE-T048-V47</x:v>
      </x:c>
      <x:c r="B202" s="272" t="str">
        <x:v>Parc de caravanes abandonné</x:v>
      </x:c>
      <x:c r="C202" s="281" t="n">
        <x:v>47</x:v>
      </x:c>
      <x:c r="D202" s="272" t="str">
        <x:v>campaign205-048-47</x:v>
      </x:c>
      <x:c r="E202" s="282" t="str">
        <x:v>Oui</x:v>
      </x:c>
      <x:c r="F202" s="282" t="str">
        <x:v>Oui</x:v>
      </x:c>
      <x:c r="G202" s="282" t="str">
        <x:v>Oui</x:v>
      </x:c>
      <x:c r="H202" s="282" t="str">
        <x:v>Oui</x:v>
      </x:c>
      <x:c r="I202" s="282" t="str">
        <x:v>Oui</x:v>
      </x:c>
      <x:c r="J202" s="281" t="n">
        <x:v>0</x:v>
      </x:c>
      <x:c r="K202" s="272" t="str">
        <x:v>Aucun témoin pour cette variante</x:v>
      </x:c>
      <x:c r="L202" s="272" t="str">
        <x:v>https://github.com/darknigthmare/deadwall-last-enclosure/blob/e28f46223e73105ab2c5d83f3d50b99b58ef53e6/docs/codex/suivi-monde2026/campagne205-eligibilite.json</x:v>
      </x:c>
    </x:row>
    <x:row r="203" ht="64" customHeight="1">
      <x:c r="A203" s="272" t="str">
        <x:v>EXT-MONDE-T048-V48</x:v>
      </x:c>
      <x:c r="B203" s="272" t="str">
        <x:v>Parc de caravanes abandonné</x:v>
      </x:c>
      <x:c r="C203" s="281" t="n">
        <x:v>48</x:v>
      </x:c>
      <x:c r="D203" s="272" t="str">
        <x:v>campaign205-048-48</x:v>
      </x:c>
      <x:c r="E203" s="282" t="str">
        <x:v>Oui</x:v>
      </x:c>
      <x:c r="F203" s="282" t="str">
        <x:v>Oui</x:v>
      </x:c>
      <x:c r="G203" s="282" t="str">
        <x:v>Oui</x:v>
      </x:c>
      <x:c r="H203" s="282" t="str">
        <x:v>Oui</x:v>
      </x:c>
      <x:c r="I203" s="282" t="str">
        <x:v>Oui</x:v>
      </x:c>
      <x:c r="J203" s="281" t="n">
        <x:v>1</x:v>
      </x:c>
      <x:c r="K203" s="272" t="str">
        <x:v>967313470</x:v>
      </x:c>
      <x:c r="L203" s="272" t="str">
        <x:v>https://github.com/darknigthmare/deadwall-last-enclosure/blob/e28f46223e73105ab2c5d83f3d50b99b58ef53e6/docs/codex/suivi-monde2026/campagne205-eligibilite.json</x:v>
      </x:c>
    </x:row>
    <x:row r="204" ht="64" customHeight="1">
      <x:c r="A204" s="272" t="str">
        <x:v>EXT-MONDE-T048-V49</x:v>
      </x:c>
      <x:c r="B204" s="272" t="str">
        <x:v>Parc de caravanes abandonné</x:v>
      </x:c>
      <x:c r="C204" s="281" t="n">
        <x:v>49</x:v>
      </x:c>
      <x:c r="D204" s="272" t="str">
        <x:v>campaign205-048-49</x:v>
      </x:c>
      <x:c r="E204" s="282" t="str">
        <x:v>Oui</x:v>
      </x:c>
      <x:c r="F204" s="282" t="str">
        <x:v>Oui</x:v>
      </x:c>
      <x:c r="G204" s="282" t="str">
        <x:v>Oui</x:v>
      </x:c>
      <x:c r="H204" s="282" t="str">
        <x:v>Oui</x:v>
      </x:c>
      <x:c r="I204" s="282" t="str">
        <x:v>Oui</x:v>
      </x:c>
      <x:c r="J204" s="281" t="n">
        <x:v>0</x:v>
      </x:c>
      <x:c r="K204" s="272" t="str">
        <x:v>Aucun témoin pour cette variante</x:v>
      </x:c>
      <x:c r="L204" s="272" t="str">
        <x:v>https://github.com/darknigthmare/deadwall-last-enclosure/blob/e28f46223e73105ab2c5d83f3d50b99b58ef53e6/docs/codex/suivi-monde2026/campagne205-eligibilite.json</x:v>
      </x:c>
    </x:row>
    <x:row r="205" ht="64" customHeight="1">
      <x:c r="A205" s="272" t="str">
        <x:v>EXT-MONDE-T048-V50</x:v>
      </x:c>
      <x:c r="B205" s="272" t="str">
        <x:v>Parc de caravanes abandonné</x:v>
      </x:c>
      <x:c r="C205" s="281" t="n">
        <x:v>50</x:v>
      </x:c>
      <x:c r="D205" s="272" t="str">
        <x:v>campaign205-048-50</x:v>
      </x:c>
      <x:c r="E205" s="282" t="str">
        <x:v>Oui</x:v>
      </x:c>
      <x:c r="F205" s="282" t="str">
        <x:v>Oui</x:v>
      </x:c>
      <x:c r="G205" s="282" t="str">
        <x:v>Oui</x:v>
      </x:c>
      <x:c r="H205" s="282" t="str">
        <x:v>Oui</x:v>
      </x:c>
      <x:c r="I205" s="282" t="str">
        <x:v>Oui</x:v>
      </x:c>
      <x:c r="J205" s="281" t="n">
        <x:v>0</x:v>
      </x:c>
      <x:c r="K205" s="272" t="str">
        <x:v>Aucun témoin pour cette variante</x:v>
      </x:c>
      <x:c r="L205" s="272" t="str">
        <x:v>https://github.com/darknigthmare/deadwall-last-enclosure/blob/e28f46223e73105ab2c5d83f3d50b99b58ef53e6/docs/codex/suivi-monde2026/campagne205-eligibilite.json</x:v>
      </x:c>
    </x:row>
    <x:row r="206" ht="30" customHeight="1">
      <x:c r="A206" s="273" t="str">
        <x:v>TOTAL AUDITÉ</x:v>
      </x:c>
      <x:c r="B206" s="273"/>
      <x:c r="C206" s="273" t="n">
        <x:f>COUNTIF(E6:E205,"Oui")</x:f>
        <x:v>200</x:v>
      </x:c>
      <x:c r="D206" s="273"/>
      <x:c r="E206" s="273"/>
      <x:c r="F206" s="273" t="n">
        <x:f>COUNTIF(F6:F205,"Oui")</x:f>
        <x:v>200</x:v>
      </x:c>
      <x:c r="G206" s="273" t="n">
        <x:f>COUNTIF(G6:G205,"Oui")</x:f>
        <x:v>200</x:v>
      </x:c>
      <x:c r="H206" s="273" t="n">
        <x:f>COUNTIF(H6:H205,"Oui")</x:f>
        <x:v>200</x:v>
      </x:c>
      <x:c r="I206" s="273" t="n">
        <x:f>COUNTIF(I6:I205,"Oui")</x:f>
        <x:v>200</x:v>
      </x:c>
      <x:c r="J206" s="273" t="n">
        <x:f>SUM(J6:J205)</x:f>
        <x:v>63</x:v>
      </x:c>
      <x:c r="K206" s="273"/>
      <x:c r="L206" s="273"/>
    </x:row>
    <x:row r="208" ht="34" customHeight="1">
      <x:c r="A208" s="138" t="str">
        <x:v>ÉLIGIBILITÉ DES MODÈLES ET ADMISSION AU MONDE RESTENT DISTINCTES</x:v>
      </x:c>
      <x:c r="B208" s="138"/>
      <x:c r="C208" s="138"/>
      <x:c r="D208" s="138"/>
      <x:c r="E208" s="138"/>
      <x:c r="F208" s="138"/>
      <x:c r="G208" s="138"/>
      <x:c r="H208" s="138"/>
      <x:c r="I208" s="138"/>
      <x:c r="J208" s="138"/>
      <x:c r="K208" s="138"/>
      <x:c r="L208" s="138"/>
    </x:row>
    <x:row r="209" ht="34" customHeight="1">
      <x:c r="A209" s="138" t="str">
        <x:v>Aucun site garanti par graine ; admission bornée à 8 sites, au plus 2 par type. Les compteurs ci-dessus portent seulement sur les témoins du rapport.</x:v>
      </x:c>
      <x:c r="B209" s="138"/>
      <x:c r="C209" s="138"/>
      <x:c r="D209" s="138"/>
      <x:c r="E209" s="138"/>
      <x:c r="F209" s="138"/>
      <x:c r="G209" s="138"/>
      <x:c r="H209" s="138"/>
      <x:c r="I209" s="138"/>
      <x:c r="J209" s="138"/>
      <x:c r="K209" s="138"/>
      <x:c r="L209" s="138"/>
    </x:row>
    <x:row r="211" ht="34" customHeight="1">
      <x:c r="A211" s="138" t="str">
        <x:v>Graines réellement auditées</x:v>
      </x:c>
      <x:c r="B211" s="138"/>
      <x:c r="C211" s="138"/>
      <x:c r="D211" s="138"/>
      <x:c r="E211" s="138" t="n">
        <x:v>8</x:v>
      </x:c>
      <x:c r="F211" s="138"/>
      <x:c r="G211" s="138"/>
      <x:c r="H211" s="138"/>
      <x:c r="I211" s="138" t="str">
        <x:v>0, 1, 42, 17117, 84329, 967313470, 1947648717, 4294967295</x:v>
      </x:c>
      <x:c r="J211" s="138"/>
      <x:c r="K211" s="138"/>
      <x:c r="L211" s="138"/>
    </x:row>
    <x:row r="212" ht="34" customHeight="1">
      <x:c r="A212" s="138" t="str">
        <x:v>Rapport par variante</x:v>
      </x:c>
      <x:c r="B212" s="138"/>
      <x:c r="C212" s="138"/>
      <x:c r="D212" s="138"/>
      <x:c r="E212" s="138" t="str">
        <x:v>https://github.com/darknigthmare/deadwall-last-enclosure/blob/e28f46223e73105ab2c5d83f3d50b99b58ef53e6/docs/codex/suivi-monde2026/campagne205-eligibilite.json</x:v>
      </x:c>
      <x:c r="F212" s="138"/>
      <x:c r="G212" s="138"/>
      <x:c r="H212" s="138"/>
      <x:c r="I212" s="138"/>
      <x:c r="J212" s="138"/>
      <x:c r="K212" s="138"/>
      <x:c r="L212" s="138"/>
    </x:row>
    <x:row r="213" ht="34" customHeight="1">
      <x:c r="A213" s="138" t="str">
        <x:v>SHA256 du rapport</x:v>
      </x:c>
      <x:c r="B213" s="138"/>
      <x:c r="C213" s="138"/>
      <x:c r="D213" s="138"/>
      <x:c r="E213" s="138" t="str">
        <x:v>3b5816270d5f492e007576d69baecd1907f844770580a6db8884606032a9ca2a</x:v>
      </x:c>
      <x:c r="F213" s="138"/>
      <x:c r="G213" s="138"/>
      <x:c r="H213" s="138"/>
      <x:c r="I213" s="138"/>
      <x:c r="J213" s="138"/>
      <x:c r="K213" s="138"/>
      <x:c r="L213" s="138"/>
    </x:row>
    <x:row r="214" ht="34" customHeight="1">
      <x:c r="A214" s="138" t="str">
        <x:v>Portée</x:v>
      </x:c>
      <x:c r="B214" s="138"/>
      <x:c r="C214" s="138"/>
      <x:c r="D214" s="138"/>
      <x:c r="E214" s="138" t="str">
        <x:v>Éligibilité de modèles ; aucun nombre de lieux garanti par graine.</x:v>
      </x:c>
      <x:c r="F214" s="138"/>
      <x:c r="G214" s="138"/>
      <x:c r="H214" s="138"/>
      <x:c r="I214" s="138"/>
      <x:c r="J214" s="138"/>
      <x:c r="K214" s="138"/>
      <x:c r="L214" s="138"/>
    </x:row>
    <x:row r="215" ht="34" customHeight="1">
      <x:c r="A215" s="138" t="str">
        <x:v>Fonctionnement et limites</x:v>
      </x:c>
      <x:c r="B215" s="138"/>
      <x:c r="C215" s="138"/>
      <x:c r="D215" s="138"/>
      <x:c r="E215" s="138" t="str">
        <x:v>https://github.com/darknigthmare/deadwall-last-enclosure/blob/e28f46223e73105ab2c5d83f3d50b99b58ef53e6/docs/codex/suivi-monde2026/CAMPAGNE_G11_2026.md</x:v>
      </x:c>
      <x:c r="F215" s="138"/>
      <x:c r="G215" s="138"/>
      <x:c r="H215" s="138"/>
      <x:c r="I215" s="138"/>
      <x:c r="J215" s="138"/>
      <x:c r="K215" s="138"/>
      <x:c r="L215" s="138"/>
    </x:row>
  </x:sheetData>
  <x:mergeCells>
    <x:mergeCell ref="A1:L2"/>
    <x:mergeCell ref="A3:L3"/>
    <x:mergeCell ref="A206:B206"/>
    <x:mergeCell ref="A208:L208"/>
    <x:mergeCell ref="A209:L209"/>
    <x:mergeCell ref="A211:D211"/>
    <x:mergeCell ref="E211:H211"/>
    <x:mergeCell ref="I211:L211"/>
    <x:mergeCell ref="A212:D212"/>
    <x:mergeCell ref="E212:L212"/>
    <x:mergeCell ref="A213:D213"/>
    <x:mergeCell ref="E213:L213"/>
    <x:mergeCell ref="A214:D214"/>
    <x:mergeCell ref="E214:L214"/>
    <x:mergeCell ref="A215:D215"/>
    <x:mergeCell ref="E215:L215"/>
  </x:mergeCells>
  <x:pageMargins left="0.7" right="0.7" top="0.75" bottom="0.75" header="0.3" footer="0.3"/>
  <x:tableParts count="1">
    <x:tablePart xmlns:r="http://schemas.openxmlformats.org/officeDocument/2006/relationships" r:id="Re5b63eb7eac04fb5"/>
  </x:tableParts>
</x:worksheet>
</file>

<file path=xl/worksheets/sheet1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4" hidden="0" customWidth="1"/>
    <x:col min="2" max="2" width="35" hidden="0" customWidth="1"/>
    <x:col min="3" max="3" width="17" hidden="0" customWidth="1"/>
    <x:col min="4" max="4" width="28"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36" hidden="0" customWidth="1"/>
    <x:col min="15" max="15" width="36" hidden="0" customWidth="1"/>
    <x:col min="16" max="16" width="36" hidden="0" customWidth="1"/>
  </x:cols>
  <x:sheetData>
    <x:row r="1" ht="26" customHeight="1">
      <x:c r="A1" s="267" t="str">
        <x:v>SERVICES G11 — SUPPORTS ET PRÉSENTATIONS CONTRÔLÉS</x:v>
      </x:c>
      <x:c r="B1" s="267"/>
      <x:c r="C1" s="267"/>
      <x:c r="D1" s="267"/>
      <x:c r="E1" s="267"/>
      <x:c r="F1" s="267"/>
      <x:c r="G1" s="267"/>
      <x:c r="H1" s="267"/>
      <x:c r="I1" s="267"/>
      <x:c r="J1" s="267"/>
      <x:c r="K1" s="267"/>
      <x:c r="L1" s="267"/>
      <x:c r="M1" s="267"/>
      <x:c r="N1" s="267"/>
      <x:c r="O1" s="267"/>
      <x:c r="P1" s="267"/>
    </x:row>
    <x:row r="2" ht="26" customHeight="1">
      <x:c r="A2" s="267"/>
      <x:c r="B2" s="267"/>
      <x:c r="C2" s="267"/>
      <x:c r="D2" s="267"/>
      <x:c r="E2" s="267"/>
      <x:c r="F2" s="267"/>
      <x:c r="G2" s="267"/>
      <x:c r="H2" s="267"/>
      <x:c r="I2" s="267"/>
      <x:c r="J2" s="267"/>
      <x:c r="K2" s="267"/>
      <x:c r="L2" s="267"/>
      <x:c r="M2" s="267"/>
      <x:c r="N2" s="267"/>
      <x:c r="O2" s="267"/>
      <x:c r="P2" s="267"/>
    </x:row>
    <x:row r="3" ht="26" customHeight="1">
      <x:c r="A3" s="268" t="str">
        <x:v>Modèles auteur, poses canoniques dans trois graines et présentations préparées sont comptés séparément. Les transactions sont qualifiées par leurs tests et parcours distincts.</x:v>
      </x:c>
      <x:c r="B3" s="268"/>
      <x:c r="C3" s="268"/>
      <x:c r="D3" s="268"/>
      <x:c r="E3" s="268"/>
      <x:c r="F3" s="268"/>
      <x:c r="G3" s="268"/>
      <x:c r="H3" s="268"/>
      <x:c r="I3" s="268"/>
      <x:c r="J3" s="268"/>
      <x:c r="K3" s="268"/>
      <x:c r="L3" s="268"/>
      <x:c r="M3" s="268"/>
      <x:c r="N3" s="268"/>
      <x:c r="O3" s="268"/>
      <x:c r="P3" s="268"/>
    </x:row>
    <x:row r="4" ht="26" customHeight="1">
      <x:c r="A4" s="126"/>
      <x:c r="B4" s="126"/>
      <x:c r="C4" s="126"/>
      <x:c r="D4" s="126"/>
      <x:c r="E4" s="126"/>
      <x:c r="F4" s="126"/>
      <x:c r="G4" s="126"/>
      <x:c r="H4" s="126"/>
      <x:c r="I4" s="126"/>
      <x:c r="J4" s="126"/>
      <x:c r="K4" s="126"/>
      <x:c r="L4" s="126"/>
      <x:c r="M4" s="126"/>
      <x:c r="N4" s="126"/>
      <x:c r="O4" s="126"/>
      <x:c r="P4" s="126"/>
    </x:row>
    <x:row r="5" ht="38" customHeight="1">
      <x:c r="A5" s="270" t="str">
        <x:v>ID plan auteur</x:v>
      </x:c>
      <x:c r="B5" s="270" t="str">
        <x:v>Typologie</x:v>
      </x:c>
      <x:c r="C5" s="270" t="str">
        <x:v>Variante</x:v>
      </x:c>
      <x:c r="D5" s="270" t="str">
        <x:v>Alias G11</x:v>
      </x:c>
      <x:c r="E5" s="270" t="str">
        <x:v>Supports proposés</x:v>
      </x:c>
      <x:c r="F5" s="270" t="str">
        <x:v>Ancres accessibles</x:v>
      </x:c>
      <x:c r="G5" s="270" t="str">
        <x:v>Refus explicites</x:v>
      </x:c>
      <x:c r="H5" s="270" t="str">
        <x:v>Repas</x:v>
      </x:c>
      <x:c r="I5" s="270" t="str">
        <x:v>Repos abrité</x:v>
      </x:c>
      <x:c r="J5" s="270" t="str">
        <x:v>Entretien</x:v>
      </x:c>
      <x:c r="K5" s="270" t="str">
        <x:v>Soins T047</x:v>
      </x:c>
      <x:c r="L5" s="270" t="str">
        <x:v>Visuel échantillonné</x:v>
      </x:c>
      <x:c r="M5" s="270" t="str">
        <x:v>Échantillons visuels</x:v>
      </x:c>
      <x:c r="N5" s="270" t="str">
        <x:v>Rapport des supports</x:v>
      </x:c>
      <x:c r="O5" s="270" t="str">
        <x:v>Rapport visuel</x:v>
      </x:c>
      <x:c r="P5" s="270" t="str">
        <x:v>Portée</x:v>
      </x:c>
    </x:row>
    <x:row r="6" ht="64" customHeight="1">
      <x:c r="A6" s="272" t="str">
        <x:v>EXT-MONDE-T045-V01</x:v>
      </x:c>
      <x:c r="B6" s="272" t="str">
        <x:v>Parc résidentiel de mobil-homes</x:v>
      </x:c>
      <x:c r="C6" s="281" t="n">
        <x:v>1</x:v>
      </x:c>
      <x:c r="D6" s="282" t="str">
        <x:v>campaign205-045-01</x:v>
      </x:c>
      <x:c r="E6" s="281" t="n">
        <x:v>14</x:v>
      </x:c>
      <x:c r="F6" s="281" t="n">
        <x:v>14</x:v>
      </x:c>
      <x:c r="G6" s="281" t="n">
        <x:v>0</x:v>
      </x:c>
      <x:c r="H6" s="281" t="n">
        <x:v>5</x:v>
      </x:c>
      <x:c r="I6" s="281" t="n">
        <x:v>8</x:v>
      </x:c>
      <x:c r="J6" s="281" t="n">
        <x:v>1</x:v>
      </x:c>
      <x:c r="K6" s="281" t="n">
        <x:v>0</x:v>
      </x:c>
      <x:c r="L6" s="282" t="str">
        <x:v>Oui</x:v>
      </x:c>
      <x:c r="M6" s="281" t="n">
        <x:v>3</x:v>
      </x:c>
      <x:c r="N6" s="272" t="str">
        <x:v>https://github.com/darknigthmare/deadwall-last-enclosure/blob/e28f46223e73105ab2c5d83f3d50b99b58ef53e6/docs/codex/suivi-monde2026/campagne208-services.json</x:v>
      </x:c>
      <x:c r="O6" s="272" t="str">
        <x:v>https://github.com/darknigthmare/deadwall-last-enclosure/blob/e28f46223e73105ab2c5d83f3d50b99b58ef53e6/docs/codex/suivi-monde2026/campagne208-art.json</x:v>
      </x:c>
      <x:c r="P6" s="272" t="str">
        <x:v>Supports proposés et poses canoniques ; parcours et transactions distincts.</x:v>
      </x:c>
    </x:row>
    <x:row r="7" ht="64" customHeight="1">
      <x:c r="A7" s="272" t="str">
        <x:v>EXT-MONDE-T045-V02</x:v>
      </x:c>
      <x:c r="B7" s="272" t="str">
        <x:v>Parc résidentiel de mobil-homes</x:v>
      </x:c>
      <x:c r="C7" s="281" t="n">
        <x:v>2</x:v>
      </x:c>
      <x:c r="D7" s="282" t="str">
        <x:v>campaign205-045-02</x:v>
      </x:c>
      <x:c r="E7" s="281" t="n">
        <x:v>20</x:v>
      </x:c>
      <x:c r="F7" s="281" t="n">
        <x:v>20</x:v>
      </x:c>
      <x:c r="G7" s="281" t="n">
        <x:v>0</x:v>
      </x:c>
      <x:c r="H7" s="281" t="n">
        <x:v>7</x:v>
      </x:c>
      <x:c r="I7" s="281" t="n">
        <x:v>12</x:v>
      </x:c>
      <x:c r="J7" s="281" t="n">
        <x:v>1</x:v>
      </x:c>
      <x:c r="K7" s="281" t="n">
        <x:v>0</x:v>
      </x:c>
      <x:c r="L7" s="282" t="str">
        <x:v>Non</x:v>
      </x:c>
      <x:c r="M7" s="281" t="n">
        <x:v>0</x:v>
      </x:c>
      <x:c r="N7" s="272" t="str">
        <x:v>https://github.com/darknigthmare/deadwall-last-enclosure/blob/e28f46223e73105ab2c5d83f3d50b99b58ef53e6/docs/codex/suivi-monde2026/campagne208-services.json</x:v>
      </x:c>
      <x:c r="O7" s="272" t="str">
        <x:v>https://github.com/darknigthmare/deadwall-last-enclosure/blob/e28f46223e73105ab2c5d83f3d50b99b58ef53e6/docs/codex/suivi-monde2026/campagne208-art.json</x:v>
      </x:c>
      <x:c r="P7" s="272" t="str">
        <x:v>Supports proposés et poses canoniques ; parcours et transactions distincts.</x:v>
      </x:c>
    </x:row>
    <x:row r="8" ht="64" customHeight="1">
      <x:c r="A8" s="272" t="str">
        <x:v>EXT-MONDE-T045-V03</x:v>
      </x:c>
      <x:c r="B8" s="272" t="str">
        <x:v>Parc résidentiel de mobil-homes</x:v>
      </x:c>
      <x:c r="C8" s="281" t="n">
        <x:v>3</x:v>
      </x:c>
      <x:c r="D8" s="282" t="str">
        <x:v>campaign205-045-03</x:v>
      </x:c>
      <x:c r="E8" s="281" t="n">
        <x:v>26</x:v>
      </x:c>
      <x:c r="F8" s="281" t="n">
        <x:v>26</x:v>
      </x:c>
      <x:c r="G8" s="281" t="n">
        <x:v>0</x:v>
      </x:c>
      <x:c r="H8" s="281" t="n">
        <x:v>9</x:v>
      </x:c>
      <x:c r="I8" s="281" t="n">
        <x:v>16</x:v>
      </x:c>
      <x:c r="J8" s="281" t="n">
        <x:v>1</x:v>
      </x:c>
      <x:c r="K8" s="281" t="n">
        <x:v>0</x:v>
      </x:c>
      <x:c r="L8" s="282" t="str">
        <x:v>Non</x:v>
      </x:c>
      <x:c r="M8" s="281" t="n">
        <x:v>0</x:v>
      </x:c>
      <x:c r="N8" s="272" t="str">
        <x:v>https://github.com/darknigthmare/deadwall-last-enclosure/blob/e28f46223e73105ab2c5d83f3d50b99b58ef53e6/docs/codex/suivi-monde2026/campagne208-services.json</x:v>
      </x:c>
      <x:c r="O8" s="272" t="str">
        <x:v>https://github.com/darknigthmare/deadwall-last-enclosure/blob/e28f46223e73105ab2c5d83f3d50b99b58ef53e6/docs/codex/suivi-monde2026/campagne208-art.json</x:v>
      </x:c>
      <x:c r="P8" s="272" t="str">
        <x:v>Supports proposés et poses canoniques ; parcours et transactions distincts.</x:v>
      </x:c>
    </x:row>
    <x:row r="9" ht="64" customHeight="1">
      <x:c r="A9" s="272" t="str">
        <x:v>EXT-MONDE-T045-V04</x:v>
      </x:c>
      <x:c r="B9" s="272" t="str">
        <x:v>Parc résidentiel de mobil-homes</x:v>
      </x:c>
      <x:c r="C9" s="281" t="n">
        <x:v>4</x:v>
      </x:c>
      <x:c r="D9" s="282" t="str">
        <x:v>campaign205-045-04</x:v>
      </x:c>
      <x:c r="E9" s="281" t="n">
        <x:v>11</x:v>
      </x:c>
      <x:c r="F9" s="281" t="n">
        <x:v>11</x:v>
      </x:c>
      <x:c r="G9" s="281" t="n">
        <x:v>0</x:v>
      </x:c>
      <x:c r="H9" s="281" t="n">
        <x:v>4</x:v>
      </x:c>
      <x:c r="I9" s="281" t="n">
        <x:v>6</x:v>
      </x:c>
      <x:c r="J9" s="281" t="n">
        <x:v>1</x:v>
      </x:c>
      <x:c r="K9" s="281" t="n">
        <x:v>0</x:v>
      </x:c>
      <x:c r="L9" s="282" t="str">
        <x:v>Non</x:v>
      </x:c>
      <x:c r="M9" s="281" t="n">
        <x:v>0</x:v>
      </x:c>
      <x:c r="N9" s="272" t="str">
        <x:v>https://github.com/darknigthmare/deadwall-last-enclosure/blob/e28f46223e73105ab2c5d83f3d50b99b58ef53e6/docs/codex/suivi-monde2026/campagne208-services.json</x:v>
      </x:c>
      <x:c r="O9" s="272" t="str">
        <x:v>https://github.com/darknigthmare/deadwall-last-enclosure/blob/e28f46223e73105ab2c5d83f3d50b99b58ef53e6/docs/codex/suivi-monde2026/campagne208-art.json</x:v>
      </x:c>
      <x:c r="P9" s="272" t="str">
        <x:v>Supports proposés et poses canoniques ; parcours et transactions distincts.</x:v>
      </x:c>
    </x:row>
    <x:row r="10" ht="64" customHeight="1">
      <x:c r="A10" s="272" t="str">
        <x:v>EXT-MONDE-T045-V05</x:v>
      </x:c>
      <x:c r="B10" s="272" t="str">
        <x:v>Parc résidentiel de mobil-homes</x:v>
      </x:c>
      <x:c r="C10" s="281" t="n">
        <x:v>5</x:v>
      </x:c>
      <x:c r="D10" s="282" t="str">
        <x:v>campaign205-045-05</x:v>
      </x:c>
      <x:c r="E10" s="281" t="n">
        <x:v>14</x:v>
      </x:c>
      <x:c r="F10" s="281" t="n">
        <x:v>14</x:v>
      </x:c>
      <x:c r="G10" s="281" t="n">
        <x:v>0</x:v>
      </x:c>
      <x:c r="H10" s="281" t="n">
        <x:v>5</x:v>
      </x:c>
      <x:c r="I10" s="281" t="n">
        <x:v>8</x:v>
      </x:c>
      <x:c r="J10" s="281" t="n">
        <x:v>1</x:v>
      </x:c>
      <x:c r="K10" s="281" t="n">
        <x:v>0</x:v>
      </x:c>
      <x:c r="L10" s="282" t="str">
        <x:v>Non</x:v>
      </x:c>
      <x:c r="M10" s="281" t="n">
        <x:v>0</x:v>
      </x:c>
      <x:c r="N10" s="272" t="str">
        <x:v>https://github.com/darknigthmare/deadwall-last-enclosure/blob/e28f46223e73105ab2c5d83f3d50b99b58ef53e6/docs/codex/suivi-monde2026/campagne208-services.json</x:v>
      </x:c>
      <x:c r="O10" s="272" t="str">
        <x:v>https://github.com/darknigthmare/deadwall-last-enclosure/blob/e28f46223e73105ab2c5d83f3d50b99b58ef53e6/docs/codex/suivi-monde2026/campagne208-art.json</x:v>
      </x:c>
      <x:c r="P10" s="272" t="str">
        <x:v>Supports proposés et poses canoniques ; parcours et transactions distincts.</x:v>
      </x:c>
    </x:row>
    <x:row r="11" ht="64" customHeight="1">
      <x:c r="A11" s="272" t="str">
        <x:v>EXT-MONDE-T045-V06</x:v>
      </x:c>
      <x:c r="B11" s="272" t="str">
        <x:v>Parc résidentiel de mobil-homes</x:v>
      </x:c>
      <x:c r="C11" s="281" t="n">
        <x:v>6</x:v>
      </x:c>
      <x:c r="D11" s="282" t="str">
        <x:v>campaign205-045-06</x:v>
      </x:c>
      <x:c r="E11" s="281" t="n">
        <x:v>20</x:v>
      </x:c>
      <x:c r="F11" s="281" t="n">
        <x:v>20</x:v>
      </x:c>
      <x:c r="G11" s="281" t="n">
        <x:v>0</x:v>
      </x:c>
      <x:c r="H11" s="281" t="n">
        <x:v>7</x:v>
      </x:c>
      <x:c r="I11" s="281" t="n">
        <x:v>12</x:v>
      </x:c>
      <x:c r="J11" s="281" t="n">
        <x:v>1</x:v>
      </x:c>
      <x:c r="K11" s="281" t="n">
        <x:v>0</x:v>
      </x:c>
      <x:c r="L11" s="282" t="str">
        <x:v>Non</x:v>
      </x:c>
      <x:c r="M11" s="281" t="n">
        <x:v>0</x:v>
      </x:c>
      <x:c r="N11" s="272" t="str">
        <x:v>https://github.com/darknigthmare/deadwall-last-enclosure/blob/e28f46223e73105ab2c5d83f3d50b99b58ef53e6/docs/codex/suivi-monde2026/campagne208-services.json</x:v>
      </x:c>
      <x:c r="O11" s="272" t="str">
        <x:v>https://github.com/darknigthmare/deadwall-last-enclosure/blob/e28f46223e73105ab2c5d83f3d50b99b58ef53e6/docs/codex/suivi-monde2026/campagne208-art.json</x:v>
      </x:c>
      <x:c r="P11" s="272" t="str">
        <x:v>Supports proposés et poses canoniques ; parcours et transactions distincts.</x:v>
      </x:c>
    </x:row>
    <x:row r="12" ht="64" customHeight="1">
      <x:c r="A12" s="272" t="str">
        <x:v>EXT-MONDE-T045-V07</x:v>
      </x:c>
      <x:c r="B12" s="272" t="str">
        <x:v>Parc résidentiel de mobil-homes</x:v>
      </x:c>
      <x:c r="C12" s="281" t="n">
        <x:v>7</x:v>
      </x:c>
      <x:c r="D12" s="282" t="str">
        <x:v>campaign205-045-07</x:v>
      </x:c>
      <x:c r="E12" s="281" t="n">
        <x:v>29</x:v>
      </x:c>
      <x:c r="F12" s="281" t="n">
        <x:v>29</x:v>
      </x:c>
      <x:c r="G12" s="281" t="n">
        <x:v>0</x:v>
      </x:c>
      <x:c r="H12" s="281" t="n">
        <x:v>10</x:v>
      </x:c>
      <x:c r="I12" s="281" t="n">
        <x:v>18</x:v>
      </x:c>
      <x:c r="J12" s="281" t="n">
        <x:v>1</x:v>
      </x:c>
      <x:c r="K12" s="281" t="n">
        <x:v>0</x:v>
      </x:c>
      <x:c r="L12" s="282" t="str">
        <x:v>Non</x:v>
      </x:c>
      <x:c r="M12" s="281" t="n">
        <x:v>0</x:v>
      </x:c>
      <x:c r="N12" s="272" t="str">
        <x:v>https://github.com/darknigthmare/deadwall-last-enclosure/blob/e28f46223e73105ab2c5d83f3d50b99b58ef53e6/docs/codex/suivi-monde2026/campagne208-services.json</x:v>
      </x:c>
      <x:c r="O12" s="272" t="str">
        <x:v>https://github.com/darknigthmare/deadwall-last-enclosure/blob/e28f46223e73105ab2c5d83f3d50b99b58ef53e6/docs/codex/suivi-monde2026/campagne208-art.json</x:v>
      </x:c>
      <x:c r="P12" s="272" t="str">
        <x:v>Supports proposés et poses canoniques ; parcours et transactions distincts.</x:v>
      </x:c>
    </x:row>
    <x:row r="13" ht="64" customHeight="1">
      <x:c r="A13" s="272" t="str">
        <x:v>EXT-MONDE-T045-V08</x:v>
      </x:c>
      <x:c r="B13" s="272" t="str">
        <x:v>Parc résidentiel de mobil-homes</x:v>
      </x:c>
      <x:c r="C13" s="281" t="n">
        <x:v>8</x:v>
      </x:c>
      <x:c r="D13" s="282" t="str">
        <x:v>campaign205-045-08</x:v>
      </x:c>
      <x:c r="E13" s="281" t="n">
        <x:v>23</x:v>
      </x:c>
      <x:c r="F13" s="281" t="n">
        <x:v>23</x:v>
      </x:c>
      <x:c r="G13" s="281" t="n">
        <x:v>0</x:v>
      </x:c>
      <x:c r="H13" s="281" t="n">
        <x:v>8</x:v>
      </x:c>
      <x:c r="I13" s="281" t="n">
        <x:v>14</x:v>
      </x:c>
      <x:c r="J13" s="281" t="n">
        <x:v>1</x:v>
      </x:c>
      <x:c r="K13" s="281" t="n">
        <x:v>0</x:v>
      </x:c>
      <x:c r="L13" s="282" t="str">
        <x:v>Non</x:v>
      </x:c>
      <x:c r="M13" s="281" t="n">
        <x:v>0</x:v>
      </x:c>
      <x:c r="N13" s="272" t="str">
        <x:v>https://github.com/darknigthmare/deadwall-last-enclosure/blob/e28f46223e73105ab2c5d83f3d50b99b58ef53e6/docs/codex/suivi-monde2026/campagne208-services.json</x:v>
      </x:c>
      <x:c r="O13" s="272" t="str">
        <x:v>https://github.com/darknigthmare/deadwall-last-enclosure/blob/e28f46223e73105ab2c5d83f3d50b99b58ef53e6/docs/codex/suivi-monde2026/campagne208-art.json</x:v>
      </x:c>
      <x:c r="P13" s="272" t="str">
        <x:v>Supports proposés et poses canoniques ; parcours et transactions distincts.</x:v>
      </x:c>
    </x:row>
    <x:row r="14" ht="64" customHeight="1">
      <x:c r="A14" s="272" t="str">
        <x:v>EXT-MONDE-T045-V09</x:v>
      </x:c>
      <x:c r="B14" s="272" t="str">
        <x:v>Parc résidentiel de mobil-homes</x:v>
      </x:c>
      <x:c r="C14" s="281" t="n">
        <x:v>9</x:v>
      </x:c>
      <x:c r="D14" s="282" t="str">
        <x:v>campaign205-045-09</x:v>
      </x:c>
      <x:c r="E14" s="281" t="n">
        <x:v>17</x:v>
      </x:c>
      <x:c r="F14" s="281" t="n">
        <x:v>17</x:v>
      </x:c>
      <x:c r="G14" s="281" t="n">
        <x:v>0</x:v>
      </x:c>
      <x:c r="H14" s="281" t="n">
        <x:v>6</x:v>
      </x:c>
      <x:c r="I14" s="281" t="n">
        <x:v>10</x:v>
      </x:c>
      <x:c r="J14" s="281" t="n">
        <x:v>1</x:v>
      </x:c>
      <x:c r="K14" s="281" t="n">
        <x:v>0</x:v>
      </x:c>
      <x:c r="L14" s="282" t="str">
        <x:v>Non</x:v>
      </x:c>
      <x:c r="M14" s="281" t="n">
        <x:v>0</x:v>
      </x:c>
      <x:c r="N14" s="272" t="str">
        <x:v>https://github.com/darknigthmare/deadwall-last-enclosure/blob/e28f46223e73105ab2c5d83f3d50b99b58ef53e6/docs/codex/suivi-monde2026/campagne208-services.json</x:v>
      </x:c>
      <x:c r="O14" s="272" t="str">
        <x:v>https://github.com/darknigthmare/deadwall-last-enclosure/blob/e28f46223e73105ab2c5d83f3d50b99b58ef53e6/docs/codex/suivi-monde2026/campagne208-art.json</x:v>
      </x:c>
      <x:c r="P14" s="272" t="str">
        <x:v>Supports proposés et poses canoniques ; parcours et transactions distincts.</x:v>
      </x:c>
    </x:row>
    <x:row r="15" ht="64" customHeight="1">
      <x:c r="A15" s="272" t="str">
        <x:v>EXT-MONDE-T045-V10</x:v>
      </x:c>
      <x:c r="B15" s="272" t="str">
        <x:v>Parc résidentiel de mobil-homes</x:v>
      </x:c>
      <x:c r="C15" s="281" t="n">
        <x:v>10</x:v>
      </x:c>
      <x:c r="D15" s="282" t="str">
        <x:v>campaign205-045-10</x:v>
      </x:c>
      <x:c r="E15" s="281" t="n">
        <x:v>32</x:v>
      </x:c>
      <x:c r="F15" s="281" t="n">
        <x:v>32</x:v>
      </x:c>
      <x:c r="G15" s="281" t="n">
        <x:v>0</x:v>
      </x:c>
      <x:c r="H15" s="281" t="n">
        <x:v>11</x:v>
      </x:c>
      <x:c r="I15" s="281" t="n">
        <x:v>20</x:v>
      </x:c>
      <x:c r="J15" s="281" t="n">
        <x:v>1</x:v>
      </x:c>
      <x:c r="K15" s="281" t="n">
        <x:v>0</x:v>
      </x:c>
      <x:c r="L15" s="282" t="str">
        <x:v>Non</x:v>
      </x:c>
      <x:c r="M15" s="281" t="n">
        <x:v>0</x:v>
      </x:c>
      <x:c r="N15" s="272" t="str">
        <x:v>https://github.com/darknigthmare/deadwall-last-enclosure/blob/e28f46223e73105ab2c5d83f3d50b99b58ef53e6/docs/codex/suivi-monde2026/campagne208-services.json</x:v>
      </x:c>
      <x:c r="O15" s="272" t="str">
        <x:v>https://github.com/darknigthmare/deadwall-last-enclosure/blob/e28f46223e73105ab2c5d83f3d50b99b58ef53e6/docs/codex/suivi-monde2026/campagne208-art.json</x:v>
      </x:c>
      <x:c r="P15" s="272" t="str">
        <x:v>Supports proposés et poses canoniques ; parcours et transactions distincts.</x:v>
      </x:c>
    </x:row>
    <x:row r="16" ht="64" customHeight="1">
      <x:c r="A16" s="272" t="str">
        <x:v>EXT-MONDE-T045-V11</x:v>
      </x:c>
      <x:c r="B16" s="272" t="str">
        <x:v>Parc résidentiel de mobil-homes</x:v>
      </x:c>
      <x:c r="C16" s="281" t="n">
        <x:v>11</x:v>
      </x:c>
      <x:c r="D16" s="282" t="str">
        <x:v>campaign205-045-11</x:v>
      </x:c>
      <x:c r="E16" s="281" t="n">
        <x:v>14</x:v>
      </x:c>
      <x:c r="F16" s="281" t="n">
        <x:v>14</x:v>
      </x:c>
      <x:c r="G16" s="281" t="n">
        <x:v>0</x:v>
      </x:c>
      <x:c r="H16" s="281" t="n">
        <x:v>5</x:v>
      </x:c>
      <x:c r="I16" s="281" t="n">
        <x:v>8</x:v>
      </x:c>
      <x:c r="J16" s="281" t="n">
        <x:v>1</x:v>
      </x:c>
      <x:c r="K16" s="281" t="n">
        <x:v>0</x:v>
      </x:c>
      <x:c r="L16" s="282" t="str">
        <x:v>Non</x:v>
      </x:c>
      <x:c r="M16" s="281" t="n">
        <x:v>0</x:v>
      </x:c>
      <x:c r="N16" s="272" t="str">
        <x:v>https://github.com/darknigthmare/deadwall-last-enclosure/blob/e28f46223e73105ab2c5d83f3d50b99b58ef53e6/docs/codex/suivi-monde2026/campagne208-services.json</x:v>
      </x:c>
      <x:c r="O16" s="272" t="str">
        <x:v>https://github.com/darknigthmare/deadwall-last-enclosure/blob/e28f46223e73105ab2c5d83f3d50b99b58ef53e6/docs/codex/suivi-monde2026/campagne208-art.json</x:v>
      </x:c>
      <x:c r="P16" s="272" t="str">
        <x:v>Supports proposés et poses canoniques ; parcours et transactions distincts.</x:v>
      </x:c>
    </x:row>
    <x:row r="17" ht="64" customHeight="1">
      <x:c r="A17" s="272" t="str">
        <x:v>EXT-MONDE-T045-V12</x:v>
      </x:c>
      <x:c r="B17" s="272" t="str">
        <x:v>Parc résidentiel de mobil-homes</x:v>
      </x:c>
      <x:c r="C17" s="281" t="n">
        <x:v>12</x:v>
      </x:c>
      <x:c r="D17" s="282" t="str">
        <x:v>campaign205-045-12</x:v>
      </x:c>
      <x:c r="E17" s="281" t="n">
        <x:v>20</x:v>
      </x:c>
      <x:c r="F17" s="281" t="n">
        <x:v>20</x:v>
      </x:c>
      <x:c r="G17" s="281" t="n">
        <x:v>0</x:v>
      </x:c>
      <x:c r="H17" s="281" t="n">
        <x:v>7</x:v>
      </x:c>
      <x:c r="I17" s="281" t="n">
        <x:v>12</x:v>
      </x:c>
      <x:c r="J17" s="281" t="n">
        <x:v>1</x:v>
      </x:c>
      <x:c r="K17" s="281" t="n">
        <x:v>0</x:v>
      </x:c>
      <x:c r="L17" s="282" t="str">
        <x:v>Non</x:v>
      </x:c>
      <x:c r="M17" s="281" t="n">
        <x:v>0</x:v>
      </x:c>
      <x:c r="N17" s="272" t="str">
        <x:v>https://github.com/darknigthmare/deadwall-last-enclosure/blob/e28f46223e73105ab2c5d83f3d50b99b58ef53e6/docs/codex/suivi-monde2026/campagne208-services.json</x:v>
      </x:c>
      <x:c r="O17" s="272" t="str">
        <x:v>https://github.com/darknigthmare/deadwall-last-enclosure/blob/e28f46223e73105ab2c5d83f3d50b99b58ef53e6/docs/codex/suivi-monde2026/campagne208-art.json</x:v>
      </x:c>
      <x:c r="P17" s="272" t="str">
        <x:v>Supports proposés et poses canoniques ; parcours et transactions distincts.</x:v>
      </x:c>
    </x:row>
    <x:row r="18" ht="64" customHeight="1">
      <x:c r="A18" s="272" t="str">
        <x:v>EXT-MONDE-T045-V13</x:v>
      </x:c>
      <x:c r="B18" s="272" t="str">
        <x:v>Parc résidentiel de mobil-homes</x:v>
      </x:c>
      <x:c r="C18" s="281" t="n">
        <x:v>13</x:v>
      </x:c>
      <x:c r="D18" s="282" t="str">
        <x:v>campaign205-045-13</x:v>
      </x:c>
      <x:c r="E18" s="281" t="n">
        <x:v>26</x:v>
      </x:c>
      <x:c r="F18" s="281" t="n">
        <x:v>26</x:v>
      </x:c>
      <x:c r="G18" s="281" t="n">
        <x:v>0</x:v>
      </x:c>
      <x:c r="H18" s="281" t="n">
        <x:v>9</x:v>
      </x:c>
      <x:c r="I18" s="281" t="n">
        <x:v>16</x:v>
      </x:c>
      <x:c r="J18" s="281" t="n">
        <x:v>1</x:v>
      </x:c>
      <x:c r="K18" s="281" t="n">
        <x:v>0</x:v>
      </x:c>
      <x:c r="L18" s="282" t="str">
        <x:v>Non</x:v>
      </x:c>
      <x:c r="M18" s="281" t="n">
        <x:v>0</x:v>
      </x:c>
      <x:c r="N18" s="272" t="str">
        <x:v>https://github.com/darknigthmare/deadwall-last-enclosure/blob/e28f46223e73105ab2c5d83f3d50b99b58ef53e6/docs/codex/suivi-monde2026/campagne208-services.json</x:v>
      </x:c>
      <x:c r="O18" s="272" t="str">
        <x:v>https://github.com/darknigthmare/deadwall-last-enclosure/blob/e28f46223e73105ab2c5d83f3d50b99b58ef53e6/docs/codex/suivi-monde2026/campagne208-art.json</x:v>
      </x:c>
      <x:c r="P18" s="272" t="str">
        <x:v>Supports proposés et poses canoniques ; parcours et transactions distincts.</x:v>
      </x:c>
    </x:row>
    <x:row r="19" ht="64" customHeight="1">
      <x:c r="A19" s="272" t="str">
        <x:v>EXT-MONDE-T045-V14</x:v>
      </x:c>
      <x:c r="B19" s="272" t="str">
        <x:v>Parc résidentiel de mobil-homes</x:v>
      </x:c>
      <x:c r="C19" s="281" t="n">
        <x:v>14</x:v>
      </x:c>
      <x:c r="D19" s="282" t="str">
        <x:v>campaign205-045-14</x:v>
      </x:c>
      <x:c r="E19" s="281" t="n">
        <x:v>11</x:v>
      </x:c>
      <x:c r="F19" s="281" t="n">
        <x:v>11</x:v>
      </x:c>
      <x:c r="G19" s="281" t="n">
        <x:v>0</x:v>
      </x:c>
      <x:c r="H19" s="281" t="n">
        <x:v>4</x:v>
      </x:c>
      <x:c r="I19" s="281" t="n">
        <x:v>6</x:v>
      </x:c>
      <x:c r="J19" s="281" t="n">
        <x:v>1</x:v>
      </x:c>
      <x:c r="K19" s="281" t="n">
        <x:v>0</x:v>
      </x:c>
      <x:c r="L19" s="282" t="str">
        <x:v>Non</x:v>
      </x:c>
      <x:c r="M19" s="281" t="n">
        <x:v>0</x:v>
      </x:c>
      <x:c r="N19" s="272" t="str">
        <x:v>https://github.com/darknigthmare/deadwall-last-enclosure/blob/e28f46223e73105ab2c5d83f3d50b99b58ef53e6/docs/codex/suivi-monde2026/campagne208-services.json</x:v>
      </x:c>
      <x:c r="O19" s="272" t="str">
        <x:v>https://github.com/darknigthmare/deadwall-last-enclosure/blob/e28f46223e73105ab2c5d83f3d50b99b58ef53e6/docs/codex/suivi-monde2026/campagne208-art.json</x:v>
      </x:c>
      <x:c r="P19" s="272" t="str">
        <x:v>Supports proposés et poses canoniques ; parcours et transactions distincts.</x:v>
      </x:c>
    </x:row>
    <x:row r="20" ht="64" customHeight="1">
      <x:c r="A20" s="272" t="str">
        <x:v>EXT-MONDE-T045-V15</x:v>
      </x:c>
      <x:c r="B20" s="272" t="str">
        <x:v>Parc résidentiel de mobil-homes</x:v>
      </x:c>
      <x:c r="C20" s="281" t="n">
        <x:v>15</x:v>
      </x:c>
      <x:c r="D20" s="282" t="str">
        <x:v>campaign205-045-15</x:v>
      </x:c>
      <x:c r="E20" s="281" t="n">
        <x:v>14</x:v>
      </x:c>
      <x:c r="F20" s="281" t="n">
        <x:v>14</x:v>
      </x:c>
      <x:c r="G20" s="281" t="n">
        <x:v>0</x:v>
      </x:c>
      <x:c r="H20" s="281" t="n">
        <x:v>5</x:v>
      </x:c>
      <x:c r="I20" s="281" t="n">
        <x:v>8</x:v>
      </x:c>
      <x:c r="J20" s="281" t="n">
        <x:v>1</x:v>
      </x:c>
      <x:c r="K20" s="281" t="n">
        <x:v>0</x:v>
      </x:c>
      <x:c r="L20" s="282" t="str">
        <x:v>Non</x:v>
      </x:c>
      <x:c r="M20" s="281" t="n">
        <x:v>0</x:v>
      </x:c>
      <x:c r="N20" s="272" t="str">
        <x:v>https://github.com/darknigthmare/deadwall-last-enclosure/blob/e28f46223e73105ab2c5d83f3d50b99b58ef53e6/docs/codex/suivi-monde2026/campagne208-services.json</x:v>
      </x:c>
      <x:c r="O20" s="272" t="str">
        <x:v>https://github.com/darknigthmare/deadwall-last-enclosure/blob/e28f46223e73105ab2c5d83f3d50b99b58ef53e6/docs/codex/suivi-monde2026/campagne208-art.json</x:v>
      </x:c>
      <x:c r="P20" s="272" t="str">
        <x:v>Supports proposés et poses canoniques ; parcours et transactions distincts.</x:v>
      </x:c>
    </x:row>
    <x:row r="21" ht="64" customHeight="1">
      <x:c r="A21" s="272" t="str">
        <x:v>EXT-MONDE-T045-V16</x:v>
      </x:c>
      <x:c r="B21" s="272" t="str">
        <x:v>Parc résidentiel de mobil-homes</x:v>
      </x:c>
      <x:c r="C21" s="281" t="n">
        <x:v>16</x:v>
      </x:c>
      <x:c r="D21" s="282" t="str">
        <x:v>campaign205-045-16</x:v>
      </x:c>
      <x:c r="E21" s="281" t="n">
        <x:v>20</x:v>
      </x:c>
      <x:c r="F21" s="281" t="n">
        <x:v>20</x:v>
      </x:c>
      <x:c r="G21" s="281" t="n">
        <x:v>0</x:v>
      </x:c>
      <x:c r="H21" s="281" t="n">
        <x:v>7</x:v>
      </x:c>
      <x:c r="I21" s="281" t="n">
        <x:v>12</x:v>
      </x:c>
      <x:c r="J21" s="281" t="n">
        <x:v>1</x:v>
      </x:c>
      <x:c r="K21" s="281" t="n">
        <x:v>0</x:v>
      </x:c>
      <x:c r="L21" s="282" t="str">
        <x:v>Non</x:v>
      </x:c>
      <x:c r="M21" s="281" t="n">
        <x:v>0</x:v>
      </x:c>
      <x:c r="N21" s="272" t="str">
        <x:v>https://github.com/darknigthmare/deadwall-last-enclosure/blob/e28f46223e73105ab2c5d83f3d50b99b58ef53e6/docs/codex/suivi-monde2026/campagne208-services.json</x:v>
      </x:c>
      <x:c r="O21" s="272" t="str">
        <x:v>https://github.com/darknigthmare/deadwall-last-enclosure/blob/e28f46223e73105ab2c5d83f3d50b99b58ef53e6/docs/codex/suivi-monde2026/campagne208-art.json</x:v>
      </x:c>
      <x:c r="P21" s="272" t="str">
        <x:v>Supports proposés et poses canoniques ; parcours et transactions distincts.</x:v>
      </x:c>
    </x:row>
    <x:row r="22" ht="64" customHeight="1">
      <x:c r="A22" s="272" t="str">
        <x:v>EXT-MONDE-T045-V17</x:v>
      </x:c>
      <x:c r="B22" s="272" t="str">
        <x:v>Parc résidentiel de mobil-homes</x:v>
      </x:c>
      <x:c r="C22" s="281" t="n">
        <x:v>17</x:v>
      </x:c>
      <x:c r="D22" s="282" t="str">
        <x:v>campaign205-045-17</x:v>
      </x:c>
      <x:c r="E22" s="281" t="n">
        <x:v>29</x:v>
      </x:c>
      <x:c r="F22" s="281" t="n">
        <x:v>29</x:v>
      </x:c>
      <x:c r="G22" s="281" t="n">
        <x:v>0</x:v>
      </x:c>
      <x:c r="H22" s="281" t="n">
        <x:v>10</x:v>
      </x:c>
      <x:c r="I22" s="281" t="n">
        <x:v>18</x:v>
      </x:c>
      <x:c r="J22" s="281" t="n">
        <x:v>1</x:v>
      </x:c>
      <x:c r="K22" s="281" t="n">
        <x:v>0</x:v>
      </x:c>
      <x:c r="L22" s="282" t="str">
        <x:v>Non</x:v>
      </x:c>
      <x:c r="M22" s="281" t="n">
        <x:v>0</x:v>
      </x:c>
      <x:c r="N22" s="272" t="str">
        <x:v>https://github.com/darknigthmare/deadwall-last-enclosure/blob/e28f46223e73105ab2c5d83f3d50b99b58ef53e6/docs/codex/suivi-monde2026/campagne208-services.json</x:v>
      </x:c>
      <x:c r="O22" s="272" t="str">
        <x:v>https://github.com/darknigthmare/deadwall-last-enclosure/blob/e28f46223e73105ab2c5d83f3d50b99b58ef53e6/docs/codex/suivi-monde2026/campagne208-art.json</x:v>
      </x:c>
      <x:c r="P22" s="272" t="str">
        <x:v>Supports proposés et poses canoniques ; parcours et transactions distincts.</x:v>
      </x:c>
    </x:row>
    <x:row r="23" ht="64" customHeight="1">
      <x:c r="A23" s="272" t="str">
        <x:v>EXT-MONDE-T045-V18</x:v>
      </x:c>
      <x:c r="B23" s="272" t="str">
        <x:v>Parc résidentiel de mobil-homes</x:v>
      </x:c>
      <x:c r="C23" s="281" t="n">
        <x:v>18</x:v>
      </x:c>
      <x:c r="D23" s="282" t="str">
        <x:v>campaign205-045-18</x:v>
      </x:c>
      <x:c r="E23" s="281" t="n">
        <x:v>23</x:v>
      </x:c>
      <x:c r="F23" s="281" t="n">
        <x:v>23</x:v>
      </x:c>
      <x:c r="G23" s="281" t="n">
        <x:v>0</x:v>
      </x:c>
      <x:c r="H23" s="281" t="n">
        <x:v>8</x:v>
      </x:c>
      <x:c r="I23" s="281" t="n">
        <x:v>14</x:v>
      </x:c>
      <x:c r="J23" s="281" t="n">
        <x:v>1</x:v>
      </x:c>
      <x:c r="K23" s="281" t="n">
        <x:v>0</x:v>
      </x:c>
      <x:c r="L23" s="282" t="str">
        <x:v>Non</x:v>
      </x:c>
      <x:c r="M23" s="281" t="n">
        <x:v>0</x:v>
      </x:c>
      <x:c r="N23" s="272" t="str">
        <x:v>https://github.com/darknigthmare/deadwall-last-enclosure/blob/e28f46223e73105ab2c5d83f3d50b99b58ef53e6/docs/codex/suivi-monde2026/campagne208-services.json</x:v>
      </x:c>
      <x:c r="O23" s="272" t="str">
        <x:v>https://github.com/darknigthmare/deadwall-last-enclosure/blob/e28f46223e73105ab2c5d83f3d50b99b58ef53e6/docs/codex/suivi-monde2026/campagne208-art.json</x:v>
      </x:c>
      <x:c r="P23" s="272" t="str">
        <x:v>Supports proposés et poses canoniques ; parcours et transactions distincts.</x:v>
      </x:c>
    </x:row>
    <x:row r="24" ht="64" customHeight="1">
      <x:c r="A24" s="272" t="str">
        <x:v>EXT-MONDE-T045-V19</x:v>
      </x:c>
      <x:c r="B24" s="272" t="str">
        <x:v>Parc résidentiel de mobil-homes</x:v>
      </x:c>
      <x:c r="C24" s="281" t="n">
        <x:v>19</x:v>
      </x:c>
      <x:c r="D24" s="282" t="str">
        <x:v>campaign205-045-19</x:v>
      </x:c>
      <x:c r="E24" s="281" t="n">
        <x:v>17</x:v>
      </x:c>
      <x:c r="F24" s="281" t="n">
        <x:v>17</x:v>
      </x:c>
      <x:c r="G24" s="281" t="n">
        <x:v>0</x:v>
      </x:c>
      <x:c r="H24" s="281" t="n">
        <x:v>6</x:v>
      </x:c>
      <x:c r="I24" s="281" t="n">
        <x:v>10</x:v>
      </x:c>
      <x:c r="J24" s="281" t="n">
        <x:v>1</x:v>
      </x:c>
      <x:c r="K24" s="281" t="n">
        <x:v>0</x:v>
      </x:c>
      <x:c r="L24" s="282" t="str">
        <x:v>Non</x:v>
      </x:c>
      <x:c r="M24" s="281" t="n">
        <x:v>0</x:v>
      </x:c>
      <x:c r="N24" s="272" t="str">
        <x:v>https://github.com/darknigthmare/deadwall-last-enclosure/blob/e28f46223e73105ab2c5d83f3d50b99b58ef53e6/docs/codex/suivi-monde2026/campagne208-services.json</x:v>
      </x:c>
      <x:c r="O24" s="272" t="str">
        <x:v>https://github.com/darknigthmare/deadwall-last-enclosure/blob/e28f46223e73105ab2c5d83f3d50b99b58ef53e6/docs/codex/suivi-monde2026/campagne208-art.json</x:v>
      </x:c>
      <x:c r="P24" s="272" t="str">
        <x:v>Supports proposés et poses canoniques ; parcours et transactions distincts.</x:v>
      </x:c>
    </x:row>
    <x:row r="25" ht="64" customHeight="1">
      <x:c r="A25" s="272" t="str">
        <x:v>EXT-MONDE-T045-V20</x:v>
      </x:c>
      <x:c r="B25" s="272" t="str">
        <x:v>Parc résidentiel de mobil-homes</x:v>
      </x:c>
      <x:c r="C25" s="281" t="n">
        <x:v>20</x:v>
      </x:c>
      <x:c r="D25" s="282" t="str">
        <x:v>campaign205-045-20</x:v>
      </x:c>
      <x:c r="E25" s="281" t="n">
        <x:v>32</x:v>
      </x:c>
      <x:c r="F25" s="281" t="n">
        <x:v>32</x:v>
      </x:c>
      <x:c r="G25" s="281" t="n">
        <x:v>0</x:v>
      </x:c>
      <x:c r="H25" s="281" t="n">
        <x:v>11</x:v>
      </x:c>
      <x:c r="I25" s="281" t="n">
        <x:v>20</x:v>
      </x:c>
      <x:c r="J25" s="281" t="n">
        <x:v>1</x:v>
      </x:c>
      <x:c r="K25" s="281" t="n">
        <x:v>0</x:v>
      </x:c>
      <x:c r="L25" s="282" t="str">
        <x:v>Non</x:v>
      </x:c>
      <x:c r="M25" s="281" t="n">
        <x:v>0</x:v>
      </x:c>
      <x:c r="N25" s="272" t="str">
        <x:v>https://github.com/darknigthmare/deadwall-last-enclosure/blob/e28f46223e73105ab2c5d83f3d50b99b58ef53e6/docs/codex/suivi-monde2026/campagne208-services.json</x:v>
      </x:c>
      <x:c r="O25" s="272" t="str">
        <x:v>https://github.com/darknigthmare/deadwall-last-enclosure/blob/e28f46223e73105ab2c5d83f3d50b99b58ef53e6/docs/codex/suivi-monde2026/campagne208-art.json</x:v>
      </x:c>
      <x:c r="P25" s="272" t="str">
        <x:v>Supports proposés et poses canoniques ; parcours et transactions distincts.</x:v>
      </x:c>
    </x:row>
    <x:row r="26" ht="64" customHeight="1">
      <x:c r="A26" s="272" t="str">
        <x:v>EXT-MONDE-T045-V21</x:v>
      </x:c>
      <x:c r="B26" s="272" t="str">
        <x:v>Parc résidentiel de mobil-homes</x:v>
      </x:c>
      <x:c r="C26" s="281" t="n">
        <x:v>21</x:v>
      </x:c>
      <x:c r="D26" s="282" t="str">
        <x:v>campaign205-045-21</x:v>
      </x:c>
      <x:c r="E26" s="281" t="n">
        <x:v>14</x:v>
      </x:c>
      <x:c r="F26" s="281" t="n">
        <x:v>14</x:v>
      </x:c>
      <x:c r="G26" s="281" t="n">
        <x:v>0</x:v>
      </x:c>
      <x:c r="H26" s="281" t="n">
        <x:v>5</x:v>
      </x:c>
      <x:c r="I26" s="281" t="n">
        <x:v>8</x:v>
      </x:c>
      <x:c r="J26" s="281" t="n">
        <x:v>1</x:v>
      </x:c>
      <x:c r="K26" s="281" t="n">
        <x:v>0</x:v>
      </x:c>
      <x:c r="L26" s="282" t="str">
        <x:v>Non</x:v>
      </x:c>
      <x:c r="M26" s="281" t="n">
        <x:v>0</x:v>
      </x:c>
      <x:c r="N26" s="272" t="str">
        <x:v>https://github.com/darknigthmare/deadwall-last-enclosure/blob/e28f46223e73105ab2c5d83f3d50b99b58ef53e6/docs/codex/suivi-monde2026/campagne208-services.json</x:v>
      </x:c>
      <x:c r="O26" s="272" t="str">
        <x:v>https://github.com/darknigthmare/deadwall-last-enclosure/blob/e28f46223e73105ab2c5d83f3d50b99b58ef53e6/docs/codex/suivi-monde2026/campagne208-art.json</x:v>
      </x:c>
      <x:c r="P26" s="272" t="str">
        <x:v>Supports proposés et poses canoniques ; parcours et transactions distincts.</x:v>
      </x:c>
    </x:row>
    <x:row r="27" ht="64" customHeight="1">
      <x:c r="A27" s="272" t="str">
        <x:v>EXT-MONDE-T045-V22</x:v>
      </x:c>
      <x:c r="B27" s="272" t="str">
        <x:v>Parc résidentiel de mobil-homes</x:v>
      </x:c>
      <x:c r="C27" s="281" t="n">
        <x:v>22</x:v>
      </x:c>
      <x:c r="D27" s="282" t="str">
        <x:v>campaign205-045-22</x:v>
      </x:c>
      <x:c r="E27" s="281" t="n">
        <x:v>20</x:v>
      </x:c>
      <x:c r="F27" s="281" t="n">
        <x:v>20</x:v>
      </x:c>
      <x:c r="G27" s="281" t="n">
        <x:v>0</x:v>
      </x:c>
      <x:c r="H27" s="281" t="n">
        <x:v>7</x:v>
      </x:c>
      <x:c r="I27" s="281" t="n">
        <x:v>12</x:v>
      </x:c>
      <x:c r="J27" s="281" t="n">
        <x:v>1</x:v>
      </x:c>
      <x:c r="K27" s="281" t="n">
        <x:v>0</x:v>
      </x:c>
      <x:c r="L27" s="282" t="str">
        <x:v>Non</x:v>
      </x:c>
      <x:c r="M27" s="281" t="n">
        <x:v>0</x:v>
      </x:c>
      <x:c r="N27" s="272" t="str">
        <x:v>https://github.com/darknigthmare/deadwall-last-enclosure/blob/e28f46223e73105ab2c5d83f3d50b99b58ef53e6/docs/codex/suivi-monde2026/campagne208-services.json</x:v>
      </x:c>
      <x:c r="O27" s="272" t="str">
        <x:v>https://github.com/darknigthmare/deadwall-last-enclosure/blob/e28f46223e73105ab2c5d83f3d50b99b58ef53e6/docs/codex/suivi-monde2026/campagne208-art.json</x:v>
      </x:c>
      <x:c r="P27" s="272" t="str">
        <x:v>Supports proposés et poses canoniques ; parcours et transactions distincts.</x:v>
      </x:c>
    </x:row>
    <x:row r="28" ht="64" customHeight="1">
      <x:c r="A28" s="272" t="str">
        <x:v>EXT-MONDE-T045-V23</x:v>
      </x:c>
      <x:c r="B28" s="272" t="str">
        <x:v>Parc résidentiel de mobil-homes</x:v>
      </x:c>
      <x:c r="C28" s="281" t="n">
        <x:v>23</x:v>
      </x:c>
      <x:c r="D28" s="282" t="str">
        <x:v>campaign205-045-23</x:v>
      </x:c>
      <x:c r="E28" s="281" t="n">
        <x:v>26</x:v>
      </x:c>
      <x:c r="F28" s="281" t="n">
        <x:v>26</x:v>
      </x:c>
      <x:c r="G28" s="281" t="n">
        <x:v>0</x:v>
      </x:c>
      <x:c r="H28" s="281" t="n">
        <x:v>9</x:v>
      </x:c>
      <x:c r="I28" s="281" t="n">
        <x:v>16</x:v>
      </x:c>
      <x:c r="J28" s="281" t="n">
        <x:v>1</x:v>
      </x:c>
      <x:c r="K28" s="281" t="n">
        <x:v>0</x:v>
      </x:c>
      <x:c r="L28" s="282" t="str">
        <x:v>Non</x:v>
      </x:c>
      <x:c r="M28" s="281" t="n">
        <x:v>0</x:v>
      </x:c>
      <x:c r="N28" s="272" t="str">
        <x:v>https://github.com/darknigthmare/deadwall-last-enclosure/blob/e28f46223e73105ab2c5d83f3d50b99b58ef53e6/docs/codex/suivi-monde2026/campagne208-services.json</x:v>
      </x:c>
      <x:c r="O28" s="272" t="str">
        <x:v>https://github.com/darknigthmare/deadwall-last-enclosure/blob/e28f46223e73105ab2c5d83f3d50b99b58ef53e6/docs/codex/suivi-monde2026/campagne208-art.json</x:v>
      </x:c>
      <x:c r="P28" s="272" t="str">
        <x:v>Supports proposés et poses canoniques ; parcours et transactions distincts.</x:v>
      </x:c>
    </x:row>
    <x:row r="29" ht="64" customHeight="1">
      <x:c r="A29" s="272" t="str">
        <x:v>EXT-MONDE-T045-V24</x:v>
      </x:c>
      <x:c r="B29" s="272" t="str">
        <x:v>Parc résidentiel de mobil-homes</x:v>
      </x:c>
      <x:c r="C29" s="281" t="n">
        <x:v>24</x:v>
      </x:c>
      <x:c r="D29" s="282" t="str">
        <x:v>campaign205-045-24</x:v>
      </x:c>
      <x:c r="E29" s="281" t="n">
        <x:v>11</x:v>
      </x:c>
      <x:c r="F29" s="281" t="n">
        <x:v>11</x:v>
      </x:c>
      <x:c r="G29" s="281" t="n">
        <x:v>0</x:v>
      </x:c>
      <x:c r="H29" s="281" t="n">
        <x:v>4</x:v>
      </x:c>
      <x:c r="I29" s="281" t="n">
        <x:v>6</x:v>
      </x:c>
      <x:c r="J29" s="281" t="n">
        <x:v>1</x:v>
      </x:c>
      <x:c r="K29" s="281" t="n">
        <x:v>0</x:v>
      </x:c>
      <x:c r="L29" s="282" t="str">
        <x:v>Non</x:v>
      </x:c>
      <x:c r="M29" s="281" t="n">
        <x:v>0</x:v>
      </x:c>
      <x:c r="N29" s="272" t="str">
        <x:v>https://github.com/darknigthmare/deadwall-last-enclosure/blob/e28f46223e73105ab2c5d83f3d50b99b58ef53e6/docs/codex/suivi-monde2026/campagne208-services.json</x:v>
      </x:c>
      <x:c r="O29" s="272" t="str">
        <x:v>https://github.com/darknigthmare/deadwall-last-enclosure/blob/e28f46223e73105ab2c5d83f3d50b99b58ef53e6/docs/codex/suivi-monde2026/campagne208-art.json</x:v>
      </x:c>
      <x:c r="P29" s="272" t="str">
        <x:v>Supports proposés et poses canoniques ; parcours et transactions distincts.</x:v>
      </x:c>
    </x:row>
    <x:row r="30" ht="64" customHeight="1">
      <x:c r="A30" s="272" t="str">
        <x:v>EXT-MONDE-T045-V25</x:v>
      </x:c>
      <x:c r="B30" s="272" t="str">
        <x:v>Parc résidentiel de mobil-homes</x:v>
      </x:c>
      <x:c r="C30" s="281" t="n">
        <x:v>25</x:v>
      </x:c>
      <x:c r="D30" s="282" t="str">
        <x:v>campaign205-045-25</x:v>
      </x:c>
      <x:c r="E30" s="281" t="n">
        <x:v>14</x:v>
      </x:c>
      <x:c r="F30" s="281" t="n">
        <x:v>14</x:v>
      </x:c>
      <x:c r="G30" s="281" t="n">
        <x:v>0</x:v>
      </x:c>
      <x:c r="H30" s="281" t="n">
        <x:v>5</x:v>
      </x:c>
      <x:c r="I30" s="281" t="n">
        <x:v>8</x:v>
      </x:c>
      <x:c r="J30" s="281" t="n">
        <x:v>1</x:v>
      </x:c>
      <x:c r="K30" s="281" t="n">
        <x:v>0</x:v>
      </x:c>
      <x:c r="L30" s="282" t="str">
        <x:v>Non</x:v>
      </x:c>
      <x:c r="M30" s="281" t="n">
        <x:v>0</x:v>
      </x:c>
      <x:c r="N30" s="272" t="str">
        <x:v>https://github.com/darknigthmare/deadwall-last-enclosure/blob/e28f46223e73105ab2c5d83f3d50b99b58ef53e6/docs/codex/suivi-monde2026/campagne208-services.json</x:v>
      </x:c>
      <x:c r="O30" s="272" t="str">
        <x:v>https://github.com/darknigthmare/deadwall-last-enclosure/blob/e28f46223e73105ab2c5d83f3d50b99b58ef53e6/docs/codex/suivi-monde2026/campagne208-art.json</x:v>
      </x:c>
      <x:c r="P30" s="272" t="str">
        <x:v>Supports proposés et poses canoniques ; parcours et transactions distincts.</x:v>
      </x:c>
    </x:row>
    <x:row r="31" ht="64" customHeight="1">
      <x:c r="A31" s="272" t="str">
        <x:v>EXT-MONDE-T045-V26</x:v>
      </x:c>
      <x:c r="B31" s="272" t="str">
        <x:v>Parc résidentiel de mobil-homes</x:v>
      </x:c>
      <x:c r="C31" s="281" t="n">
        <x:v>26</x:v>
      </x:c>
      <x:c r="D31" s="282" t="str">
        <x:v>campaign205-045-26</x:v>
      </x:c>
      <x:c r="E31" s="281" t="n">
        <x:v>20</x:v>
      </x:c>
      <x:c r="F31" s="281" t="n">
        <x:v>20</x:v>
      </x:c>
      <x:c r="G31" s="281" t="n">
        <x:v>0</x:v>
      </x:c>
      <x:c r="H31" s="281" t="n">
        <x:v>7</x:v>
      </x:c>
      <x:c r="I31" s="281" t="n">
        <x:v>12</x:v>
      </x:c>
      <x:c r="J31" s="281" t="n">
        <x:v>1</x:v>
      </x:c>
      <x:c r="K31" s="281" t="n">
        <x:v>0</x:v>
      </x:c>
      <x:c r="L31" s="282" t="str">
        <x:v>Non</x:v>
      </x:c>
      <x:c r="M31" s="281" t="n">
        <x:v>0</x:v>
      </x:c>
      <x:c r="N31" s="272" t="str">
        <x:v>https://github.com/darknigthmare/deadwall-last-enclosure/blob/e28f46223e73105ab2c5d83f3d50b99b58ef53e6/docs/codex/suivi-monde2026/campagne208-services.json</x:v>
      </x:c>
      <x:c r="O31" s="272" t="str">
        <x:v>https://github.com/darknigthmare/deadwall-last-enclosure/blob/e28f46223e73105ab2c5d83f3d50b99b58ef53e6/docs/codex/suivi-monde2026/campagne208-art.json</x:v>
      </x:c>
      <x:c r="P31" s="272" t="str">
        <x:v>Supports proposés et poses canoniques ; parcours et transactions distincts.</x:v>
      </x:c>
    </x:row>
    <x:row r="32" ht="64" customHeight="1">
      <x:c r="A32" s="272" t="str">
        <x:v>EXT-MONDE-T045-V27</x:v>
      </x:c>
      <x:c r="B32" s="272" t="str">
        <x:v>Parc résidentiel de mobil-homes</x:v>
      </x:c>
      <x:c r="C32" s="281" t="n">
        <x:v>27</x:v>
      </x:c>
      <x:c r="D32" s="282" t="str">
        <x:v>campaign205-045-27</x:v>
      </x:c>
      <x:c r="E32" s="281" t="n">
        <x:v>29</x:v>
      </x:c>
      <x:c r="F32" s="281" t="n">
        <x:v>29</x:v>
      </x:c>
      <x:c r="G32" s="281" t="n">
        <x:v>0</x:v>
      </x:c>
      <x:c r="H32" s="281" t="n">
        <x:v>10</x:v>
      </x:c>
      <x:c r="I32" s="281" t="n">
        <x:v>18</x:v>
      </x:c>
      <x:c r="J32" s="281" t="n">
        <x:v>1</x:v>
      </x:c>
      <x:c r="K32" s="281" t="n">
        <x:v>0</x:v>
      </x:c>
      <x:c r="L32" s="282" t="str">
        <x:v>Non</x:v>
      </x:c>
      <x:c r="M32" s="281" t="n">
        <x:v>0</x:v>
      </x:c>
      <x:c r="N32" s="272" t="str">
        <x:v>https://github.com/darknigthmare/deadwall-last-enclosure/blob/e28f46223e73105ab2c5d83f3d50b99b58ef53e6/docs/codex/suivi-monde2026/campagne208-services.json</x:v>
      </x:c>
      <x:c r="O32" s="272" t="str">
        <x:v>https://github.com/darknigthmare/deadwall-last-enclosure/blob/e28f46223e73105ab2c5d83f3d50b99b58ef53e6/docs/codex/suivi-monde2026/campagne208-art.json</x:v>
      </x:c>
      <x:c r="P32" s="272" t="str">
        <x:v>Supports proposés et poses canoniques ; parcours et transactions distincts.</x:v>
      </x:c>
    </x:row>
    <x:row r="33" ht="64" customHeight="1">
      <x:c r="A33" s="272" t="str">
        <x:v>EXT-MONDE-T045-V28</x:v>
      </x:c>
      <x:c r="B33" s="272" t="str">
        <x:v>Parc résidentiel de mobil-homes</x:v>
      </x:c>
      <x:c r="C33" s="281" t="n">
        <x:v>28</x:v>
      </x:c>
      <x:c r="D33" s="282" t="str">
        <x:v>campaign205-045-28</x:v>
      </x:c>
      <x:c r="E33" s="281" t="n">
        <x:v>23</x:v>
      </x:c>
      <x:c r="F33" s="281" t="n">
        <x:v>23</x:v>
      </x:c>
      <x:c r="G33" s="281" t="n">
        <x:v>0</x:v>
      </x:c>
      <x:c r="H33" s="281" t="n">
        <x:v>8</x:v>
      </x:c>
      <x:c r="I33" s="281" t="n">
        <x:v>14</x:v>
      </x:c>
      <x:c r="J33" s="281" t="n">
        <x:v>1</x:v>
      </x:c>
      <x:c r="K33" s="281" t="n">
        <x:v>0</x:v>
      </x:c>
      <x:c r="L33" s="282" t="str">
        <x:v>Non</x:v>
      </x:c>
      <x:c r="M33" s="281" t="n">
        <x:v>0</x:v>
      </x:c>
      <x:c r="N33" s="272" t="str">
        <x:v>https://github.com/darknigthmare/deadwall-last-enclosure/blob/e28f46223e73105ab2c5d83f3d50b99b58ef53e6/docs/codex/suivi-monde2026/campagne208-services.json</x:v>
      </x:c>
      <x:c r="O33" s="272" t="str">
        <x:v>https://github.com/darknigthmare/deadwall-last-enclosure/blob/e28f46223e73105ab2c5d83f3d50b99b58ef53e6/docs/codex/suivi-monde2026/campagne208-art.json</x:v>
      </x:c>
      <x:c r="P33" s="272" t="str">
        <x:v>Supports proposés et poses canoniques ; parcours et transactions distincts.</x:v>
      </x:c>
    </x:row>
    <x:row r="34" ht="64" customHeight="1">
      <x:c r="A34" s="272" t="str">
        <x:v>EXT-MONDE-T045-V29</x:v>
      </x:c>
      <x:c r="B34" s="272" t="str">
        <x:v>Parc résidentiel de mobil-homes</x:v>
      </x:c>
      <x:c r="C34" s="281" t="n">
        <x:v>29</x:v>
      </x:c>
      <x:c r="D34" s="282" t="str">
        <x:v>campaign205-045-29</x:v>
      </x:c>
      <x:c r="E34" s="281" t="n">
        <x:v>17</x:v>
      </x:c>
      <x:c r="F34" s="281" t="n">
        <x:v>17</x:v>
      </x:c>
      <x:c r="G34" s="281" t="n">
        <x:v>0</x:v>
      </x:c>
      <x:c r="H34" s="281" t="n">
        <x:v>6</x:v>
      </x:c>
      <x:c r="I34" s="281" t="n">
        <x:v>10</x:v>
      </x:c>
      <x:c r="J34" s="281" t="n">
        <x:v>1</x:v>
      </x:c>
      <x:c r="K34" s="281" t="n">
        <x:v>0</x:v>
      </x:c>
      <x:c r="L34" s="282" t="str">
        <x:v>Non</x:v>
      </x:c>
      <x:c r="M34" s="281" t="n">
        <x:v>0</x:v>
      </x:c>
      <x:c r="N34" s="272" t="str">
        <x:v>https://github.com/darknigthmare/deadwall-last-enclosure/blob/e28f46223e73105ab2c5d83f3d50b99b58ef53e6/docs/codex/suivi-monde2026/campagne208-services.json</x:v>
      </x:c>
      <x:c r="O34" s="272" t="str">
        <x:v>https://github.com/darknigthmare/deadwall-last-enclosure/blob/e28f46223e73105ab2c5d83f3d50b99b58ef53e6/docs/codex/suivi-monde2026/campagne208-art.json</x:v>
      </x:c>
      <x:c r="P34" s="272" t="str">
        <x:v>Supports proposés et poses canoniques ; parcours et transactions distincts.</x:v>
      </x:c>
    </x:row>
    <x:row r="35" ht="64" customHeight="1">
      <x:c r="A35" s="272" t="str">
        <x:v>EXT-MONDE-T045-V30</x:v>
      </x:c>
      <x:c r="B35" s="272" t="str">
        <x:v>Parc résidentiel de mobil-homes</x:v>
      </x:c>
      <x:c r="C35" s="281" t="n">
        <x:v>30</x:v>
      </x:c>
      <x:c r="D35" s="282" t="str">
        <x:v>campaign205-045-30</x:v>
      </x:c>
      <x:c r="E35" s="281" t="n">
        <x:v>32</x:v>
      </x:c>
      <x:c r="F35" s="281" t="n">
        <x:v>32</x:v>
      </x:c>
      <x:c r="G35" s="281" t="n">
        <x:v>0</x:v>
      </x:c>
      <x:c r="H35" s="281" t="n">
        <x:v>11</x:v>
      </x:c>
      <x:c r="I35" s="281" t="n">
        <x:v>20</x:v>
      </x:c>
      <x:c r="J35" s="281" t="n">
        <x:v>1</x:v>
      </x:c>
      <x:c r="K35" s="281" t="n">
        <x:v>0</x:v>
      </x:c>
      <x:c r="L35" s="282" t="str">
        <x:v>Non</x:v>
      </x:c>
      <x:c r="M35" s="281" t="n">
        <x:v>0</x:v>
      </x:c>
      <x:c r="N35" s="272" t="str">
        <x:v>https://github.com/darknigthmare/deadwall-last-enclosure/blob/e28f46223e73105ab2c5d83f3d50b99b58ef53e6/docs/codex/suivi-monde2026/campagne208-services.json</x:v>
      </x:c>
      <x:c r="O35" s="272" t="str">
        <x:v>https://github.com/darknigthmare/deadwall-last-enclosure/blob/e28f46223e73105ab2c5d83f3d50b99b58ef53e6/docs/codex/suivi-monde2026/campagne208-art.json</x:v>
      </x:c>
      <x:c r="P35" s="272" t="str">
        <x:v>Supports proposés et poses canoniques ; parcours et transactions distincts.</x:v>
      </x:c>
    </x:row>
    <x:row r="36" ht="64" customHeight="1">
      <x:c r="A36" s="272" t="str">
        <x:v>EXT-MONDE-T045-V31</x:v>
      </x:c>
      <x:c r="B36" s="272" t="str">
        <x:v>Parc résidentiel de mobil-homes</x:v>
      </x:c>
      <x:c r="C36" s="281" t="n">
        <x:v>31</x:v>
      </x:c>
      <x:c r="D36" s="282" t="str">
        <x:v>campaign205-045-31</x:v>
      </x:c>
      <x:c r="E36" s="281" t="n">
        <x:v>14</x:v>
      </x:c>
      <x:c r="F36" s="281" t="n">
        <x:v>14</x:v>
      </x:c>
      <x:c r="G36" s="281" t="n">
        <x:v>0</x:v>
      </x:c>
      <x:c r="H36" s="281" t="n">
        <x:v>5</x:v>
      </x:c>
      <x:c r="I36" s="281" t="n">
        <x:v>8</x:v>
      </x:c>
      <x:c r="J36" s="281" t="n">
        <x:v>1</x:v>
      </x:c>
      <x:c r="K36" s="281" t="n">
        <x:v>0</x:v>
      </x:c>
      <x:c r="L36" s="282" t="str">
        <x:v>Non</x:v>
      </x:c>
      <x:c r="M36" s="281" t="n">
        <x:v>0</x:v>
      </x:c>
      <x:c r="N36" s="272" t="str">
        <x:v>https://github.com/darknigthmare/deadwall-last-enclosure/blob/e28f46223e73105ab2c5d83f3d50b99b58ef53e6/docs/codex/suivi-monde2026/campagne208-services.json</x:v>
      </x:c>
      <x:c r="O36" s="272" t="str">
        <x:v>https://github.com/darknigthmare/deadwall-last-enclosure/blob/e28f46223e73105ab2c5d83f3d50b99b58ef53e6/docs/codex/suivi-monde2026/campagne208-art.json</x:v>
      </x:c>
      <x:c r="P36" s="272" t="str">
        <x:v>Supports proposés et poses canoniques ; parcours et transactions distincts.</x:v>
      </x:c>
    </x:row>
    <x:row r="37" ht="64" customHeight="1">
      <x:c r="A37" s="272" t="str">
        <x:v>EXT-MONDE-T045-V32</x:v>
      </x:c>
      <x:c r="B37" s="272" t="str">
        <x:v>Parc résidentiel de mobil-homes</x:v>
      </x:c>
      <x:c r="C37" s="281" t="n">
        <x:v>32</x:v>
      </x:c>
      <x:c r="D37" s="282" t="str">
        <x:v>campaign205-045-32</x:v>
      </x:c>
      <x:c r="E37" s="281" t="n">
        <x:v>20</x:v>
      </x:c>
      <x:c r="F37" s="281" t="n">
        <x:v>20</x:v>
      </x:c>
      <x:c r="G37" s="281" t="n">
        <x:v>0</x:v>
      </x:c>
      <x:c r="H37" s="281" t="n">
        <x:v>7</x:v>
      </x:c>
      <x:c r="I37" s="281" t="n">
        <x:v>12</x:v>
      </x:c>
      <x:c r="J37" s="281" t="n">
        <x:v>1</x:v>
      </x:c>
      <x:c r="K37" s="281" t="n">
        <x:v>0</x:v>
      </x:c>
      <x:c r="L37" s="282" t="str">
        <x:v>Non</x:v>
      </x:c>
      <x:c r="M37" s="281" t="n">
        <x:v>0</x:v>
      </x:c>
      <x:c r="N37" s="272" t="str">
        <x:v>https://github.com/darknigthmare/deadwall-last-enclosure/blob/e28f46223e73105ab2c5d83f3d50b99b58ef53e6/docs/codex/suivi-monde2026/campagne208-services.json</x:v>
      </x:c>
      <x:c r="O37" s="272" t="str">
        <x:v>https://github.com/darknigthmare/deadwall-last-enclosure/blob/e28f46223e73105ab2c5d83f3d50b99b58ef53e6/docs/codex/suivi-monde2026/campagne208-art.json</x:v>
      </x:c>
      <x:c r="P37" s="272" t="str">
        <x:v>Supports proposés et poses canoniques ; parcours et transactions distincts.</x:v>
      </x:c>
    </x:row>
    <x:row r="38" ht="64" customHeight="1">
      <x:c r="A38" s="272" t="str">
        <x:v>EXT-MONDE-T045-V33</x:v>
      </x:c>
      <x:c r="B38" s="272" t="str">
        <x:v>Parc résidentiel de mobil-homes</x:v>
      </x:c>
      <x:c r="C38" s="281" t="n">
        <x:v>33</x:v>
      </x:c>
      <x:c r="D38" s="282" t="str">
        <x:v>campaign205-045-33</x:v>
      </x:c>
      <x:c r="E38" s="281" t="n">
        <x:v>26</x:v>
      </x:c>
      <x:c r="F38" s="281" t="n">
        <x:v>26</x:v>
      </x:c>
      <x:c r="G38" s="281" t="n">
        <x:v>0</x:v>
      </x:c>
      <x:c r="H38" s="281" t="n">
        <x:v>9</x:v>
      </x:c>
      <x:c r="I38" s="281" t="n">
        <x:v>16</x:v>
      </x:c>
      <x:c r="J38" s="281" t="n">
        <x:v>1</x:v>
      </x:c>
      <x:c r="K38" s="281" t="n">
        <x:v>0</x:v>
      </x:c>
      <x:c r="L38" s="282" t="str">
        <x:v>Non</x:v>
      </x:c>
      <x:c r="M38" s="281" t="n">
        <x:v>0</x:v>
      </x:c>
      <x:c r="N38" s="272" t="str">
        <x:v>https://github.com/darknigthmare/deadwall-last-enclosure/blob/e28f46223e73105ab2c5d83f3d50b99b58ef53e6/docs/codex/suivi-monde2026/campagne208-services.json</x:v>
      </x:c>
      <x:c r="O38" s="272" t="str">
        <x:v>https://github.com/darknigthmare/deadwall-last-enclosure/blob/e28f46223e73105ab2c5d83f3d50b99b58ef53e6/docs/codex/suivi-monde2026/campagne208-art.json</x:v>
      </x:c>
      <x:c r="P38" s="272" t="str">
        <x:v>Supports proposés et poses canoniques ; parcours et transactions distincts.</x:v>
      </x:c>
    </x:row>
    <x:row r="39" ht="64" customHeight="1">
      <x:c r="A39" s="272" t="str">
        <x:v>EXT-MONDE-T045-V34</x:v>
      </x:c>
      <x:c r="B39" s="272" t="str">
        <x:v>Parc résidentiel de mobil-homes</x:v>
      </x:c>
      <x:c r="C39" s="281" t="n">
        <x:v>34</x:v>
      </x:c>
      <x:c r="D39" s="282" t="str">
        <x:v>campaign205-045-34</x:v>
      </x:c>
      <x:c r="E39" s="281" t="n">
        <x:v>11</x:v>
      </x:c>
      <x:c r="F39" s="281" t="n">
        <x:v>11</x:v>
      </x:c>
      <x:c r="G39" s="281" t="n">
        <x:v>0</x:v>
      </x:c>
      <x:c r="H39" s="281" t="n">
        <x:v>4</x:v>
      </x:c>
      <x:c r="I39" s="281" t="n">
        <x:v>6</x:v>
      </x:c>
      <x:c r="J39" s="281" t="n">
        <x:v>1</x:v>
      </x:c>
      <x:c r="K39" s="281" t="n">
        <x:v>0</x:v>
      </x:c>
      <x:c r="L39" s="282" t="str">
        <x:v>Non</x:v>
      </x:c>
      <x:c r="M39" s="281" t="n">
        <x:v>0</x:v>
      </x:c>
      <x:c r="N39" s="272" t="str">
        <x:v>https://github.com/darknigthmare/deadwall-last-enclosure/blob/e28f46223e73105ab2c5d83f3d50b99b58ef53e6/docs/codex/suivi-monde2026/campagne208-services.json</x:v>
      </x:c>
      <x:c r="O39" s="272" t="str">
        <x:v>https://github.com/darknigthmare/deadwall-last-enclosure/blob/e28f46223e73105ab2c5d83f3d50b99b58ef53e6/docs/codex/suivi-monde2026/campagne208-art.json</x:v>
      </x:c>
      <x:c r="P39" s="272" t="str">
        <x:v>Supports proposés et poses canoniques ; parcours et transactions distincts.</x:v>
      </x:c>
    </x:row>
    <x:row r="40" ht="64" customHeight="1">
      <x:c r="A40" s="272" t="str">
        <x:v>EXT-MONDE-T045-V35</x:v>
      </x:c>
      <x:c r="B40" s="272" t="str">
        <x:v>Parc résidentiel de mobil-homes</x:v>
      </x:c>
      <x:c r="C40" s="281" t="n">
        <x:v>35</x:v>
      </x:c>
      <x:c r="D40" s="282" t="str">
        <x:v>campaign205-045-35</x:v>
      </x:c>
      <x:c r="E40" s="281" t="n">
        <x:v>14</x:v>
      </x:c>
      <x:c r="F40" s="281" t="n">
        <x:v>14</x:v>
      </x:c>
      <x:c r="G40" s="281" t="n">
        <x:v>0</x:v>
      </x:c>
      <x:c r="H40" s="281" t="n">
        <x:v>5</x:v>
      </x:c>
      <x:c r="I40" s="281" t="n">
        <x:v>8</x:v>
      </x:c>
      <x:c r="J40" s="281" t="n">
        <x:v>1</x:v>
      </x:c>
      <x:c r="K40" s="281" t="n">
        <x:v>0</x:v>
      </x:c>
      <x:c r="L40" s="282" t="str">
        <x:v>Non</x:v>
      </x:c>
      <x:c r="M40" s="281" t="n">
        <x:v>0</x:v>
      </x:c>
      <x:c r="N40" s="272" t="str">
        <x:v>https://github.com/darknigthmare/deadwall-last-enclosure/blob/e28f46223e73105ab2c5d83f3d50b99b58ef53e6/docs/codex/suivi-monde2026/campagne208-services.json</x:v>
      </x:c>
      <x:c r="O40" s="272" t="str">
        <x:v>https://github.com/darknigthmare/deadwall-last-enclosure/blob/e28f46223e73105ab2c5d83f3d50b99b58ef53e6/docs/codex/suivi-monde2026/campagne208-art.json</x:v>
      </x:c>
      <x:c r="P40" s="272" t="str">
        <x:v>Supports proposés et poses canoniques ; parcours et transactions distincts.</x:v>
      </x:c>
    </x:row>
    <x:row r="41" ht="64" customHeight="1">
      <x:c r="A41" s="272" t="str">
        <x:v>EXT-MONDE-T045-V36</x:v>
      </x:c>
      <x:c r="B41" s="272" t="str">
        <x:v>Parc résidentiel de mobil-homes</x:v>
      </x:c>
      <x:c r="C41" s="281" t="n">
        <x:v>36</x:v>
      </x:c>
      <x:c r="D41" s="282" t="str">
        <x:v>campaign205-045-36</x:v>
      </x:c>
      <x:c r="E41" s="281" t="n">
        <x:v>20</x:v>
      </x:c>
      <x:c r="F41" s="281" t="n">
        <x:v>20</x:v>
      </x:c>
      <x:c r="G41" s="281" t="n">
        <x:v>0</x:v>
      </x:c>
      <x:c r="H41" s="281" t="n">
        <x:v>7</x:v>
      </x:c>
      <x:c r="I41" s="281" t="n">
        <x:v>12</x:v>
      </x:c>
      <x:c r="J41" s="281" t="n">
        <x:v>1</x:v>
      </x:c>
      <x:c r="K41" s="281" t="n">
        <x:v>0</x:v>
      </x:c>
      <x:c r="L41" s="282" t="str">
        <x:v>Non</x:v>
      </x:c>
      <x:c r="M41" s="281" t="n">
        <x:v>0</x:v>
      </x:c>
      <x:c r="N41" s="272" t="str">
        <x:v>https://github.com/darknigthmare/deadwall-last-enclosure/blob/e28f46223e73105ab2c5d83f3d50b99b58ef53e6/docs/codex/suivi-monde2026/campagne208-services.json</x:v>
      </x:c>
      <x:c r="O41" s="272" t="str">
        <x:v>https://github.com/darknigthmare/deadwall-last-enclosure/blob/e28f46223e73105ab2c5d83f3d50b99b58ef53e6/docs/codex/suivi-monde2026/campagne208-art.json</x:v>
      </x:c>
      <x:c r="P41" s="272" t="str">
        <x:v>Supports proposés et poses canoniques ; parcours et transactions distincts.</x:v>
      </x:c>
    </x:row>
    <x:row r="42" ht="64" customHeight="1">
      <x:c r="A42" s="272" t="str">
        <x:v>EXT-MONDE-T045-V37</x:v>
      </x:c>
      <x:c r="B42" s="272" t="str">
        <x:v>Parc résidentiel de mobil-homes</x:v>
      </x:c>
      <x:c r="C42" s="281" t="n">
        <x:v>37</x:v>
      </x:c>
      <x:c r="D42" s="282" t="str">
        <x:v>campaign205-045-37</x:v>
      </x:c>
      <x:c r="E42" s="281" t="n">
        <x:v>29</x:v>
      </x:c>
      <x:c r="F42" s="281" t="n">
        <x:v>29</x:v>
      </x:c>
      <x:c r="G42" s="281" t="n">
        <x:v>0</x:v>
      </x:c>
      <x:c r="H42" s="281" t="n">
        <x:v>10</x:v>
      </x:c>
      <x:c r="I42" s="281" t="n">
        <x:v>18</x:v>
      </x:c>
      <x:c r="J42" s="281" t="n">
        <x:v>1</x:v>
      </x:c>
      <x:c r="K42" s="281" t="n">
        <x:v>0</x:v>
      </x:c>
      <x:c r="L42" s="282" t="str">
        <x:v>Non</x:v>
      </x:c>
      <x:c r="M42" s="281" t="n">
        <x:v>0</x:v>
      </x:c>
      <x:c r="N42" s="272" t="str">
        <x:v>https://github.com/darknigthmare/deadwall-last-enclosure/blob/e28f46223e73105ab2c5d83f3d50b99b58ef53e6/docs/codex/suivi-monde2026/campagne208-services.json</x:v>
      </x:c>
      <x:c r="O42" s="272" t="str">
        <x:v>https://github.com/darknigthmare/deadwall-last-enclosure/blob/e28f46223e73105ab2c5d83f3d50b99b58ef53e6/docs/codex/suivi-monde2026/campagne208-art.json</x:v>
      </x:c>
      <x:c r="P42" s="272" t="str">
        <x:v>Supports proposés et poses canoniques ; parcours et transactions distincts.</x:v>
      </x:c>
    </x:row>
    <x:row r="43" ht="64" customHeight="1">
      <x:c r="A43" s="272" t="str">
        <x:v>EXT-MONDE-T045-V38</x:v>
      </x:c>
      <x:c r="B43" s="272" t="str">
        <x:v>Parc résidentiel de mobil-homes</x:v>
      </x:c>
      <x:c r="C43" s="281" t="n">
        <x:v>38</x:v>
      </x:c>
      <x:c r="D43" s="282" t="str">
        <x:v>campaign205-045-38</x:v>
      </x:c>
      <x:c r="E43" s="281" t="n">
        <x:v>23</x:v>
      </x:c>
      <x:c r="F43" s="281" t="n">
        <x:v>23</x:v>
      </x:c>
      <x:c r="G43" s="281" t="n">
        <x:v>0</x:v>
      </x:c>
      <x:c r="H43" s="281" t="n">
        <x:v>8</x:v>
      </x:c>
      <x:c r="I43" s="281" t="n">
        <x:v>14</x:v>
      </x:c>
      <x:c r="J43" s="281" t="n">
        <x:v>1</x:v>
      </x:c>
      <x:c r="K43" s="281" t="n">
        <x:v>0</x:v>
      </x:c>
      <x:c r="L43" s="282" t="str">
        <x:v>Non</x:v>
      </x:c>
      <x:c r="M43" s="281" t="n">
        <x:v>0</x:v>
      </x:c>
      <x:c r="N43" s="272" t="str">
        <x:v>https://github.com/darknigthmare/deadwall-last-enclosure/blob/e28f46223e73105ab2c5d83f3d50b99b58ef53e6/docs/codex/suivi-monde2026/campagne208-services.json</x:v>
      </x:c>
      <x:c r="O43" s="272" t="str">
        <x:v>https://github.com/darknigthmare/deadwall-last-enclosure/blob/e28f46223e73105ab2c5d83f3d50b99b58ef53e6/docs/codex/suivi-monde2026/campagne208-art.json</x:v>
      </x:c>
      <x:c r="P43" s="272" t="str">
        <x:v>Supports proposés et poses canoniques ; parcours et transactions distincts.</x:v>
      </x:c>
    </x:row>
    <x:row r="44" ht="64" customHeight="1">
      <x:c r="A44" s="272" t="str">
        <x:v>EXT-MONDE-T045-V39</x:v>
      </x:c>
      <x:c r="B44" s="272" t="str">
        <x:v>Parc résidentiel de mobil-homes</x:v>
      </x:c>
      <x:c r="C44" s="281" t="n">
        <x:v>39</x:v>
      </x:c>
      <x:c r="D44" s="282" t="str">
        <x:v>campaign205-045-39</x:v>
      </x:c>
      <x:c r="E44" s="281" t="n">
        <x:v>17</x:v>
      </x:c>
      <x:c r="F44" s="281" t="n">
        <x:v>17</x:v>
      </x:c>
      <x:c r="G44" s="281" t="n">
        <x:v>0</x:v>
      </x:c>
      <x:c r="H44" s="281" t="n">
        <x:v>6</x:v>
      </x:c>
      <x:c r="I44" s="281" t="n">
        <x:v>10</x:v>
      </x:c>
      <x:c r="J44" s="281" t="n">
        <x:v>1</x:v>
      </x:c>
      <x:c r="K44" s="281" t="n">
        <x:v>0</x:v>
      </x:c>
      <x:c r="L44" s="282" t="str">
        <x:v>Non</x:v>
      </x:c>
      <x:c r="M44" s="281" t="n">
        <x:v>0</x:v>
      </x:c>
      <x:c r="N44" s="272" t="str">
        <x:v>https://github.com/darknigthmare/deadwall-last-enclosure/blob/e28f46223e73105ab2c5d83f3d50b99b58ef53e6/docs/codex/suivi-monde2026/campagne208-services.json</x:v>
      </x:c>
      <x:c r="O44" s="272" t="str">
        <x:v>https://github.com/darknigthmare/deadwall-last-enclosure/blob/e28f46223e73105ab2c5d83f3d50b99b58ef53e6/docs/codex/suivi-monde2026/campagne208-art.json</x:v>
      </x:c>
      <x:c r="P44" s="272" t="str">
        <x:v>Supports proposés et poses canoniques ; parcours et transactions distincts.</x:v>
      </x:c>
    </x:row>
    <x:row r="45" ht="64" customHeight="1">
      <x:c r="A45" s="272" t="str">
        <x:v>EXT-MONDE-T045-V40</x:v>
      </x:c>
      <x:c r="B45" s="272" t="str">
        <x:v>Parc résidentiel de mobil-homes</x:v>
      </x:c>
      <x:c r="C45" s="281" t="n">
        <x:v>40</x:v>
      </x:c>
      <x:c r="D45" s="282" t="str">
        <x:v>campaign205-045-40</x:v>
      </x:c>
      <x:c r="E45" s="281" t="n">
        <x:v>32</x:v>
      </x:c>
      <x:c r="F45" s="281" t="n">
        <x:v>32</x:v>
      </x:c>
      <x:c r="G45" s="281" t="n">
        <x:v>0</x:v>
      </x:c>
      <x:c r="H45" s="281" t="n">
        <x:v>11</x:v>
      </x:c>
      <x:c r="I45" s="281" t="n">
        <x:v>20</x:v>
      </x:c>
      <x:c r="J45" s="281" t="n">
        <x:v>1</x:v>
      </x:c>
      <x:c r="K45" s="281" t="n">
        <x:v>0</x:v>
      </x:c>
      <x:c r="L45" s="282" t="str">
        <x:v>Non</x:v>
      </x:c>
      <x:c r="M45" s="281" t="n">
        <x:v>0</x:v>
      </x:c>
      <x:c r="N45" s="272" t="str">
        <x:v>https://github.com/darknigthmare/deadwall-last-enclosure/blob/e28f46223e73105ab2c5d83f3d50b99b58ef53e6/docs/codex/suivi-monde2026/campagne208-services.json</x:v>
      </x:c>
      <x:c r="O45" s="272" t="str">
        <x:v>https://github.com/darknigthmare/deadwall-last-enclosure/blob/e28f46223e73105ab2c5d83f3d50b99b58ef53e6/docs/codex/suivi-monde2026/campagne208-art.json</x:v>
      </x:c>
      <x:c r="P45" s="272" t="str">
        <x:v>Supports proposés et poses canoniques ; parcours et transactions distincts.</x:v>
      </x:c>
    </x:row>
    <x:row r="46" ht="64" customHeight="1">
      <x:c r="A46" s="272" t="str">
        <x:v>EXT-MONDE-T045-V41</x:v>
      </x:c>
      <x:c r="B46" s="272" t="str">
        <x:v>Parc résidentiel de mobil-homes</x:v>
      </x:c>
      <x:c r="C46" s="281" t="n">
        <x:v>41</x:v>
      </x:c>
      <x:c r="D46" s="282" t="str">
        <x:v>campaign205-045-41</x:v>
      </x:c>
      <x:c r="E46" s="281" t="n">
        <x:v>14</x:v>
      </x:c>
      <x:c r="F46" s="281" t="n">
        <x:v>14</x:v>
      </x:c>
      <x:c r="G46" s="281" t="n">
        <x:v>0</x:v>
      </x:c>
      <x:c r="H46" s="281" t="n">
        <x:v>5</x:v>
      </x:c>
      <x:c r="I46" s="281" t="n">
        <x:v>8</x:v>
      </x:c>
      <x:c r="J46" s="281" t="n">
        <x:v>1</x:v>
      </x:c>
      <x:c r="K46" s="281" t="n">
        <x:v>0</x:v>
      </x:c>
      <x:c r="L46" s="282" t="str">
        <x:v>Non</x:v>
      </x:c>
      <x:c r="M46" s="281" t="n">
        <x:v>0</x:v>
      </x:c>
      <x:c r="N46" s="272" t="str">
        <x:v>https://github.com/darknigthmare/deadwall-last-enclosure/blob/e28f46223e73105ab2c5d83f3d50b99b58ef53e6/docs/codex/suivi-monde2026/campagne208-services.json</x:v>
      </x:c>
      <x:c r="O46" s="272" t="str">
        <x:v>https://github.com/darknigthmare/deadwall-last-enclosure/blob/e28f46223e73105ab2c5d83f3d50b99b58ef53e6/docs/codex/suivi-monde2026/campagne208-art.json</x:v>
      </x:c>
      <x:c r="P46" s="272" t="str">
        <x:v>Supports proposés et poses canoniques ; parcours et transactions distincts.</x:v>
      </x:c>
    </x:row>
    <x:row r="47" ht="64" customHeight="1">
      <x:c r="A47" s="272" t="str">
        <x:v>EXT-MONDE-T045-V42</x:v>
      </x:c>
      <x:c r="B47" s="272" t="str">
        <x:v>Parc résidentiel de mobil-homes</x:v>
      </x:c>
      <x:c r="C47" s="281" t="n">
        <x:v>42</x:v>
      </x:c>
      <x:c r="D47" s="282" t="str">
        <x:v>campaign205-045-42</x:v>
      </x:c>
      <x:c r="E47" s="281" t="n">
        <x:v>20</x:v>
      </x:c>
      <x:c r="F47" s="281" t="n">
        <x:v>20</x:v>
      </x:c>
      <x:c r="G47" s="281" t="n">
        <x:v>0</x:v>
      </x:c>
      <x:c r="H47" s="281" t="n">
        <x:v>7</x:v>
      </x:c>
      <x:c r="I47" s="281" t="n">
        <x:v>12</x:v>
      </x:c>
      <x:c r="J47" s="281" t="n">
        <x:v>1</x:v>
      </x:c>
      <x:c r="K47" s="281" t="n">
        <x:v>0</x:v>
      </x:c>
      <x:c r="L47" s="282" t="str">
        <x:v>Non</x:v>
      </x:c>
      <x:c r="M47" s="281" t="n">
        <x:v>0</x:v>
      </x:c>
      <x:c r="N47" s="272" t="str">
        <x:v>https://github.com/darknigthmare/deadwall-last-enclosure/blob/e28f46223e73105ab2c5d83f3d50b99b58ef53e6/docs/codex/suivi-monde2026/campagne208-services.json</x:v>
      </x:c>
      <x:c r="O47" s="272" t="str">
        <x:v>https://github.com/darknigthmare/deadwall-last-enclosure/blob/e28f46223e73105ab2c5d83f3d50b99b58ef53e6/docs/codex/suivi-monde2026/campagne208-art.json</x:v>
      </x:c>
      <x:c r="P47" s="272" t="str">
        <x:v>Supports proposés et poses canoniques ; parcours et transactions distincts.</x:v>
      </x:c>
    </x:row>
    <x:row r="48" ht="64" customHeight="1">
      <x:c r="A48" s="272" t="str">
        <x:v>EXT-MONDE-T045-V43</x:v>
      </x:c>
      <x:c r="B48" s="272" t="str">
        <x:v>Parc résidentiel de mobil-homes</x:v>
      </x:c>
      <x:c r="C48" s="281" t="n">
        <x:v>43</x:v>
      </x:c>
      <x:c r="D48" s="282" t="str">
        <x:v>campaign205-045-43</x:v>
      </x:c>
      <x:c r="E48" s="281" t="n">
        <x:v>26</x:v>
      </x:c>
      <x:c r="F48" s="281" t="n">
        <x:v>26</x:v>
      </x:c>
      <x:c r="G48" s="281" t="n">
        <x:v>0</x:v>
      </x:c>
      <x:c r="H48" s="281" t="n">
        <x:v>9</x:v>
      </x:c>
      <x:c r="I48" s="281" t="n">
        <x:v>16</x:v>
      </x:c>
      <x:c r="J48" s="281" t="n">
        <x:v>1</x:v>
      </x:c>
      <x:c r="K48" s="281" t="n">
        <x:v>0</x:v>
      </x:c>
      <x:c r="L48" s="282" t="str">
        <x:v>Non</x:v>
      </x:c>
      <x:c r="M48" s="281" t="n">
        <x:v>0</x:v>
      </x:c>
      <x:c r="N48" s="272" t="str">
        <x:v>https://github.com/darknigthmare/deadwall-last-enclosure/blob/e28f46223e73105ab2c5d83f3d50b99b58ef53e6/docs/codex/suivi-monde2026/campagne208-services.json</x:v>
      </x:c>
      <x:c r="O48" s="272" t="str">
        <x:v>https://github.com/darknigthmare/deadwall-last-enclosure/blob/e28f46223e73105ab2c5d83f3d50b99b58ef53e6/docs/codex/suivi-monde2026/campagne208-art.json</x:v>
      </x:c>
      <x:c r="P48" s="272" t="str">
        <x:v>Supports proposés et poses canoniques ; parcours et transactions distincts.</x:v>
      </x:c>
    </x:row>
    <x:row r="49" ht="64" customHeight="1">
      <x:c r="A49" s="272" t="str">
        <x:v>EXT-MONDE-T045-V44</x:v>
      </x:c>
      <x:c r="B49" s="272" t="str">
        <x:v>Parc résidentiel de mobil-homes</x:v>
      </x:c>
      <x:c r="C49" s="281" t="n">
        <x:v>44</x:v>
      </x:c>
      <x:c r="D49" s="282" t="str">
        <x:v>campaign205-045-44</x:v>
      </x:c>
      <x:c r="E49" s="281" t="n">
        <x:v>11</x:v>
      </x:c>
      <x:c r="F49" s="281" t="n">
        <x:v>11</x:v>
      </x:c>
      <x:c r="G49" s="281" t="n">
        <x:v>0</x:v>
      </x:c>
      <x:c r="H49" s="281" t="n">
        <x:v>4</x:v>
      </x:c>
      <x:c r="I49" s="281" t="n">
        <x:v>6</x:v>
      </x:c>
      <x:c r="J49" s="281" t="n">
        <x:v>1</x:v>
      </x:c>
      <x:c r="K49" s="281" t="n">
        <x:v>0</x:v>
      </x:c>
      <x:c r="L49" s="282" t="str">
        <x:v>Non</x:v>
      </x:c>
      <x:c r="M49" s="281" t="n">
        <x:v>0</x:v>
      </x:c>
      <x:c r="N49" s="272" t="str">
        <x:v>https://github.com/darknigthmare/deadwall-last-enclosure/blob/e28f46223e73105ab2c5d83f3d50b99b58ef53e6/docs/codex/suivi-monde2026/campagne208-services.json</x:v>
      </x:c>
      <x:c r="O49" s="272" t="str">
        <x:v>https://github.com/darknigthmare/deadwall-last-enclosure/blob/e28f46223e73105ab2c5d83f3d50b99b58ef53e6/docs/codex/suivi-monde2026/campagne208-art.json</x:v>
      </x:c>
      <x:c r="P49" s="272" t="str">
        <x:v>Supports proposés et poses canoniques ; parcours et transactions distincts.</x:v>
      </x:c>
    </x:row>
    <x:row r="50" ht="64" customHeight="1">
      <x:c r="A50" s="272" t="str">
        <x:v>EXT-MONDE-T045-V45</x:v>
      </x:c>
      <x:c r="B50" s="272" t="str">
        <x:v>Parc résidentiel de mobil-homes</x:v>
      </x:c>
      <x:c r="C50" s="281" t="n">
        <x:v>45</x:v>
      </x:c>
      <x:c r="D50" s="282" t="str">
        <x:v>campaign205-045-45</x:v>
      </x:c>
      <x:c r="E50" s="281" t="n">
        <x:v>14</x:v>
      </x:c>
      <x:c r="F50" s="281" t="n">
        <x:v>14</x:v>
      </x:c>
      <x:c r="G50" s="281" t="n">
        <x:v>0</x:v>
      </x:c>
      <x:c r="H50" s="281" t="n">
        <x:v>5</x:v>
      </x:c>
      <x:c r="I50" s="281" t="n">
        <x:v>8</x:v>
      </x:c>
      <x:c r="J50" s="281" t="n">
        <x:v>1</x:v>
      </x:c>
      <x:c r="K50" s="281" t="n">
        <x:v>0</x:v>
      </x:c>
      <x:c r="L50" s="282" t="str">
        <x:v>Non</x:v>
      </x:c>
      <x:c r="M50" s="281" t="n">
        <x:v>0</x:v>
      </x:c>
      <x:c r="N50" s="272" t="str">
        <x:v>https://github.com/darknigthmare/deadwall-last-enclosure/blob/e28f46223e73105ab2c5d83f3d50b99b58ef53e6/docs/codex/suivi-monde2026/campagne208-services.json</x:v>
      </x:c>
      <x:c r="O50" s="272" t="str">
        <x:v>https://github.com/darknigthmare/deadwall-last-enclosure/blob/e28f46223e73105ab2c5d83f3d50b99b58ef53e6/docs/codex/suivi-monde2026/campagne208-art.json</x:v>
      </x:c>
      <x:c r="P50" s="272" t="str">
        <x:v>Supports proposés et poses canoniques ; parcours et transactions distincts.</x:v>
      </x:c>
    </x:row>
    <x:row r="51" ht="64" customHeight="1">
      <x:c r="A51" s="272" t="str">
        <x:v>EXT-MONDE-T045-V46</x:v>
      </x:c>
      <x:c r="B51" s="272" t="str">
        <x:v>Parc résidentiel de mobil-homes</x:v>
      </x:c>
      <x:c r="C51" s="281" t="n">
        <x:v>46</x:v>
      </x:c>
      <x:c r="D51" s="282" t="str">
        <x:v>campaign205-045-46</x:v>
      </x:c>
      <x:c r="E51" s="281" t="n">
        <x:v>20</x:v>
      </x:c>
      <x:c r="F51" s="281" t="n">
        <x:v>20</x:v>
      </x:c>
      <x:c r="G51" s="281" t="n">
        <x:v>0</x:v>
      </x:c>
      <x:c r="H51" s="281" t="n">
        <x:v>7</x:v>
      </x:c>
      <x:c r="I51" s="281" t="n">
        <x:v>12</x:v>
      </x:c>
      <x:c r="J51" s="281" t="n">
        <x:v>1</x:v>
      </x:c>
      <x:c r="K51" s="281" t="n">
        <x:v>0</x:v>
      </x:c>
      <x:c r="L51" s="282" t="str">
        <x:v>Non</x:v>
      </x:c>
      <x:c r="M51" s="281" t="n">
        <x:v>0</x:v>
      </x:c>
      <x:c r="N51" s="272" t="str">
        <x:v>https://github.com/darknigthmare/deadwall-last-enclosure/blob/e28f46223e73105ab2c5d83f3d50b99b58ef53e6/docs/codex/suivi-monde2026/campagne208-services.json</x:v>
      </x:c>
      <x:c r="O51" s="272" t="str">
        <x:v>https://github.com/darknigthmare/deadwall-last-enclosure/blob/e28f46223e73105ab2c5d83f3d50b99b58ef53e6/docs/codex/suivi-monde2026/campagne208-art.json</x:v>
      </x:c>
      <x:c r="P51" s="272" t="str">
        <x:v>Supports proposés et poses canoniques ; parcours et transactions distincts.</x:v>
      </x:c>
    </x:row>
    <x:row r="52" ht="64" customHeight="1">
      <x:c r="A52" s="272" t="str">
        <x:v>EXT-MONDE-T045-V47</x:v>
      </x:c>
      <x:c r="B52" s="272" t="str">
        <x:v>Parc résidentiel de mobil-homes</x:v>
      </x:c>
      <x:c r="C52" s="281" t="n">
        <x:v>47</x:v>
      </x:c>
      <x:c r="D52" s="282" t="str">
        <x:v>campaign205-045-47</x:v>
      </x:c>
      <x:c r="E52" s="281" t="n">
        <x:v>29</x:v>
      </x:c>
      <x:c r="F52" s="281" t="n">
        <x:v>29</x:v>
      </x:c>
      <x:c r="G52" s="281" t="n">
        <x:v>0</x:v>
      </x:c>
      <x:c r="H52" s="281" t="n">
        <x:v>10</x:v>
      </x:c>
      <x:c r="I52" s="281" t="n">
        <x:v>18</x:v>
      </x:c>
      <x:c r="J52" s="281" t="n">
        <x:v>1</x:v>
      </x:c>
      <x:c r="K52" s="281" t="n">
        <x:v>0</x:v>
      </x:c>
      <x:c r="L52" s="282" t="str">
        <x:v>Non</x:v>
      </x:c>
      <x:c r="M52" s="281" t="n">
        <x:v>0</x:v>
      </x:c>
      <x:c r="N52" s="272" t="str">
        <x:v>https://github.com/darknigthmare/deadwall-last-enclosure/blob/e28f46223e73105ab2c5d83f3d50b99b58ef53e6/docs/codex/suivi-monde2026/campagne208-services.json</x:v>
      </x:c>
      <x:c r="O52" s="272" t="str">
        <x:v>https://github.com/darknigthmare/deadwall-last-enclosure/blob/e28f46223e73105ab2c5d83f3d50b99b58ef53e6/docs/codex/suivi-monde2026/campagne208-art.json</x:v>
      </x:c>
      <x:c r="P52" s="272" t="str">
        <x:v>Supports proposés et poses canoniques ; parcours et transactions distincts.</x:v>
      </x:c>
    </x:row>
    <x:row r="53" ht="64" customHeight="1">
      <x:c r="A53" s="272" t="str">
        <x:v>EXT-MONDE-T045-V48</x:v>
      </x:c>
      <x:c r="B53" s="272" t="str">
        <x:v>Parc résidentiel de mobil-homes</x:v>
      </x:c>
      <x:c r="C53" s="281" t="n">
        <x:v>48</x:v>
      </x:c>
      <x:c r="D53" s="282" t="str">
        <x:v>campaign205-045-48</x:v>
      </x:c>
      <x:c r="E53" s="281" t="n">
        <x:v>23</x:v>
      </x:c>
      <x:c r="F53" s="281" t="n">
        <x:v>23</x:v>
      </x:c>
      <x:c r="G53" s="281" t="n">
        <x:v>0</x:v>
      </x:c>
      <x:c r="H53" s="281" t="n">
        <x:v>8</x:v>
      </x:c>
      <x:c r="I53" s="281" t="n">
        <x:v>14</x:v>
      </x:c>
      <x:c r="J53" s="281" t="n">
        <x:v>1</x:v>
      </x:c>
      <x:c r="K53" s="281" t="n">
        <x:v>0</x:v>
      </x:c>
      <x:c r="L53" s="282" t="str">
        <x:v>Non</x:v>
      </x:c>
      <x:c r="M53" s="281" t="n">
        <x:v>0</x:v>
      </x:c>
      <x:c r="N53" s="272" t="str">
        <x:v>https://github.com/darknigthmare/deadwall-last-enclosure/blob/e28f46223e73105ab2c5d83f3d50b99b58ef53e6/docs/codex/suivi-monde2026/campagne208-services.json</x:v>
      </x:c>
      <x:c r="O53" s="272" t="str">
        <x:v>https://github.com/darknigthmare/deadwall-last-enclosure/blob/e28f46223e73105ab2c5d83f3d50b99b58ef53e6/docs/codex/suivi-monde2026/campagne208-art.json</x:v>
      </x:c>
      <x:c r="P53" s="272" t="str">
        <x:v>Supports proposés et poses canoniques ; parcours et transactions distincts.</x:v>
      </x:c>
    </x:row>
    <x:row r="54" ht="64" customHeight="1">
      <x:c r="A54" s="272" t="str">
        <x:v>EXT-MONDE-T045-V49</x:v>
      </x:c>
      <x:c r="B54" s="272" t="str">
        <x:v>Parc résidentiel de mobil-homes</x:v>
      </x:c>
      <x:c r="C54" s="281" t="n">
        <x:v>49</x:v>
      </x:c>
      <x:c r="D54" s="282" t="str">
        <x:v>campaign205-045-49</x:v>
      </x:c>
      <x:c r="E54" s="281" t="n">
        <x:v>17</x:v>
      </x:c>
      <x:c r="F54" s="281" t="n">
        <x:v>17</x:v>
      </x:c>
      <x:c r="G54" s="281" t="n">
        <x:v>0</x:v>
      </x:c>
      <x:c r="H54" s="281" t="n">
        <x:v>6</x:v>
      </x:c>
      <x:c r="I54" s="281" t="n">
        <x:v>10</x:v>
      </x:c>
      <x:c r="J54" s="281" t="n">
        <x:v>1</x:v>
      </x:c>
      <x:c r="K54" s="281" t="n">
        <x:v>0</x:v>
      </x:c>
      <x:c r="L54" s="282" t="str">
        <x:v>Non</x:v>
      </x:c>
      <x:c r="M54" s="281" t="n">
        <x:v>0</x:v>
      </x:c>
      <x:c r="N54" s="272" t="str">
        <x:v>https://github.com/darknigthmare/deadwall-last-enclosure/blob/e28f46223e73105ab2c5d83f3d50b99b58ef53e6/docs/codex/suivi-monde2026/campagne208-services.json</x:v>
      </x:c>
      <x:c r="O54" s="272" t="str">
        <x:v>https://github.com/darknigthmare/deadwall-last-enclosure/blob/e28f46223e73105ab2c5d83f3d50b99b58ef53e6/docs/codex/suivi-monde2026/campagne208-art.json</x:v>
      </x:c>
      <x:c r="P54" s="272" t="str">
        <x:v>Supports proposés et poses canoniques ; parcours et transactions distincts.</x:v>
      </x:c>
    </x:row>
    <x:row r="55" ht="64" customHeight="1">
      <x:c r="A55" s="272" t="str">
        <x:v>EXT-MONDE-T045-V50</x:v>
      </x:c>
      <x:c r="B55" s="272" t="str">
        <x:v>Parc résidentiel de mobil-homes</x:v>
      </x:c>
      <x:c r="C55" s="281" t="n">
        <x:v>50</x:v>
      </x:c>
      <x:c r="D55" s="282" t="str">
        <x:v>campaign205-045-50</x:v>
      </x:c>
      <x:c r="E55" s="281" t="n">
        <x:v>32</x:v>
      </x:c>
      <x:c r="F55" s="281" t="n">
        <x:v>32</x:v>
      </x:c>
      <x:c r="G55" s="281" t="n">
        <x:v>0</x:v>
      </x:c>
      <x:c r="H55" s="281" t="n">
        <x:v>11</x:v>
      </x:c>
      <x:c r="I55" s="281" t="n">
        <x:v>20</x:v>
      </x:c>
      <x:c r="J55" s="281" t="n">
        <x:v>1</x:v>
      </x:c>
      <x:c r="K55" s="281" t="n">
        <x:v>0</x:v>
      </x:c>
      <x:c r="L55" s="282" t="str">
        <x:v>Non</x:v>
      </x:c>
      <x:c r="M55" s="281" t="n">
        <x:v>0</x:v>
      </x:c>
      <x:c r="N55" s="272" t="str">
        <x:v>https://github.com/darknigthmare/deadwall-last-enclosure/blob/e28f46223e73105ab2c5d83f3d50b99b58ef53e6/docs/codex/suivi-monde2026/campagne208-services.json</x:v>
      </x:c>
      <x:c r="O55" s="272" t="str">
        <x:v>https://github.com/darknigthmare/deadwall-last-enclosure/blob/e28f46223e73105ab2c5d83f3d50b99b58ef53e6/docs/codex/suivi-monde2026/campagne208-art.json</x:v>
      </x:c>
      <x:c r="P55" s="272" t="str">
        <x:v>Supports proposés et poses canoniques ; parcours et transactions distincts.</x:v>
      </x:c>
    </x:row>
    <x:row r="56" ht="64" customHeight="1">
      <x:c r="A56" s="272" t="str">
        <x:v>EXT-MONDE-T046-V01</x:v>
      </x:c>
      <x:c r="B56" s="272" t="str">
        <x:v>Camping caravanes</x:v>
      </x:c>
      <x:c r="C56" s="281" t="n">
        <x:v>1</x:v>
      </x:c>
      <x:c r="D56" s="282" t="str">
        <x:v>campaign205-046-01</x:v>
      </x:c>
      <x:c r="E56" s="281" t="n">
        <x:v>6</x:v>
      </x:c>
      <x:c r="F56" s="281" t="n">
        <x:v>6</x:v>
      </x:c>
      <x:c r="G56" s="281" t="n">
        <x:v>0</x:v>
      </x:c>
      <x:c r="H56" s="281" t="n">
        <x:v>2</x:v>
      </x:c>
      <x:c r="I56" s="281" t="n">
        <x:v>2</x:v>
      </x:c>
      <x:c r="J56" s="281" t="n">
        <x:v>2</x:v>
      </x:c>
      <x:c r="K56" s="281" t="n">
        <x:v>0</x:v>
      </x:c>
      <x:c r="L56" s="282" t="str">
        <x:v>Oui</x:v>
      </x:c>
      <x:c r="M56" s="281" t="n">
        <x:v>3</x:v>
      </x:c>
      <x:c r="N56" s="272" t="str">
        <x:v>https://github.com/darknigthmare/deadwall-last-enclosure/blob/e28f46223e73105ab2c5d83f3d50b99b58ef53e6/docs/codex/suivi-monde2026/campagne208-services.json</x:v>
      </x:c>
      <x:c r="O56" s="272" t="str">
        <x:v>https://github.com/darknigthmare/deadwall-last-enclosure/blob/e28f46223e73105ab2c5d83f3d50b99b58ef53e6/docs/codex/suivi-monde2026/campagne208-art.json</x:v>
      </x:c>
      <x:c r="P56" s="272" t="str">
        <x:v>Supports proposés et poses canoniques ; parcours et transactions distincts.</x:v>
      </x:c>
    </x:row>
    <x:row r="57" ht="64" customHeight="1">
      <x:c r="A57" s="272" t="str">
        <x:v>EXT-MONDE-T046-V02</x:v>
      </x:c>
      <x:c r="B57" s="272" t="str">
        <x:v>Camping caravanes</x:v>
      </x:c>
      <x:c r="C57" s="281" t="n">
        <x:v>2</x:v>
      </x:c>
      <x:c r="D57" s="282" t="str">
        <x:v>campaign205-046-02</x:v>
      </x:c>
      <x:c r="E57" s="281" t="n">
        <x:v>6</x:v>
      </x:c>
      <x:c r="F57" s="281" t="n">
        <x:v>6</x:v>
      </x:c>
      <x:c r="G57" s="281" t="n">
        <x:v>0</x:v>
      </x:c>
      <x:c r="H57" s="281" t="n">
        <x:v>2</x:v>
      </x:c>
      <x:c r="I57" s="281" t="n">
        <x:v>2</x:v>
      </x:c>
      <x:c r="J57" s="281" t="n">
        <x:v>2</x:v>
      </x:c>
      <x:c r="K57" s="281" t="n">
        <x:v>0</x:v>
      </x:c>
      <x:c r="L57" s="282" t="str">
        <x:v>Non</x:v>
      </x:c>
      <x:c r="M57" s="281" t="n">
        <x:v>0</x:v>
      </x:c>
      <x:c r="N57" s="272" t="str">
        <x:v>https://github.com/darknigthmare/deadwall-last-enclosure/blob/e28f46223e73105ab2c5d83f3d50b99b58ef53e6/docs/codex/suivi-monde2026/campagne208-services.json</x:v>
      </x:c>
      <x:c r="O57" s="272" t="str">
        <x:v>https://github.com/darknigthmare/deadwall-last-enclosure/blob/e28f46223e73105ab2c5d83f3d50b99b58ef53e6/docs/codex/suivi-monde2026/campagne208-art.json</x:v>
      </x:c>
      <x:c r="P57" s="272" t="str">
        <x:v>Supports proposés et poses canoniques ; parcours et transactions distincts.</x:v>
      </x:c>
    </x:row>
    <x:row r="58" ht="64" customHeight="1">
      <x:c r="A58" s="272" t="str">
        <x:v>EXT-MONDE-T046-V03</x:v>
      </x:c>
      <x:c r="B58" s="272" t="str">
        <x:v>Camping caravanes</x:v>
      </x:c>
      <x:c r="C58" s="281" t="n">
        <x:v>3</x:v>
      </x:c>
      <x:c r="D58" s="282" t="str">
        <x:v>campaign205-046-03</x:v>
      </x:c>
      <x:c r="E58" s="281" t="n">
        <x:v>6</x:v>
      </x:c>
      <x:c r="F58" s="281" t="n">
        <x:v>6</x:v>
      </x:c>
      <x:c r="G58" s="281" t="n">
        <x:v>0</x:v>
      </x:c>
      <x:c r="H58" s="281" t="n">
        <x:v>2</x:v>
      </x:c>
      <x:c r="I58" s="281" t="n">
        <x:v>2</x:v>
      </x:c>
      <x:c r="J58" s="281" t="n">
        <x:v>2</x:v>
      </x:c>
      <x:c r="K58" s="281" t="n">
        <x:v>0</x:v>
      </x:c>
      <x:c r="L58" s="282" t="str">
        <x:v>Non</x:v>
      </x:c>
      <x:c r="M58" s="281" t="n">
        <x:v>0</x:v>
      </x:c>
      <x:c r="N58" s="272" t="str">
        <x:v>https://github.com/darknigthmare/deadwall-last-enclosure/blob/e28f46223e73105ab2c5d83f3d50b99b58ef53e6/docs/codex/suivi-monde2026/campagne208-services.json</x:v>
      </x:c>
      <x:c r="O58" s="272" t="str">
        <x:v>https://github.com/darknigthmare/deadwall-last-enclosure/blob/e28f46223e73105ab2c5d83f3d50b99b58ef53e6/docs/codex/suivi-monde2026/campagne208-art.json</x:v>
      </x:c>
      <x:c r="P58" s="272" t="str">
        <x:v>Supports proposés et poses canoniques ; parcours et transactions distincts.</x:v>
      </x:c>
    </x:row>
    <x:row r="59" ht="64" customHeight="1">
      <x:c r="A59" s="272" t="str">
        <x:v>EXT-MONDE-T046-V04</x:v>
      </x:c>
      <x:c r="B59" s="272" t="str">
        <x:v>Camping caravanes</x:v>
      </x:c>
      <x:c r="C59" s="281" t="n">
        <x:v>4</x:v>
      </x:c>
      <x:c r="D59" s="282" t="str">
        <x:v>campaign205-046-04</x:v>
      </x:c>
      <x:c r="E59" s="281" t="n">
        <x:v>6</x:v>
      </x:c>
      <x:c r="F59" s="281" t="n">
        <x:v>6</x:v>
      </x:c>
      <x:c r="G59" s="281" t="n">
        <x:v>0</x:v>
      </x:c>
      <x:c r="H59" s="281" t="n">
        <x:v>2</x:v>
      </x:c>
      <x:c r="I59" s="281" t="n">
        <x:v>2</x:v>
      </x:c>
      <x:c r="J59" s="281" t="n">
        <x:v>2</x:v>
      </x:c>
      <x:c r="K59" s="281" t="n">
        <x:v>0</x:v>
      </x:c>
      <x:c r="L59" s="282" t="str">
        <x:v>Non</x:v>
      </x:c>
      <x:c r="M59" s="281" t="n">
        <x:v>0</x:v>
      </x:c>
      <x:c r="N59" s="272" t="str">
        <x:v>https://github.com/darknigthmare/deadwall-last-enclosure/blob/e28f46223e73105ab2c5d83f3d50b99b58ef53e6/docs/codex/suivi-monde2026/campagne208-services.json</x:v>
      </x:c>
      <x:c r="O59" s="272" t="str">
        <x:v>https://github.com/darknigthmare/deadwall-last-enclosure/blob/e28f46223e73105ab2c5d83f3d50b99b58ef53e6/docs/codex/suivi-monde2026/campagne208-art.json</x:v>
      </x:c>
      <x:c r="P59" s="272" t="str">
        <x:v>Supports proposés et poses canoniques ; parcours et transactions distincts.</x:v>
      </x:c>
    </x:row>
    <x:row r="60" ht="64" customHeight="1">
      <x:c r="A60" s="272" t="str">
        <x:v>EXT-MONDE-T046-V05</x:v>
      </x:c>
      <x:c r="B60" s="272" t="str">
        <x:v>Camping caravanes</x:v>
      </x:c>
      <x:c r="C60" s="281" t="n">
        <x:v>5</x:v>
      </x:c>
      <x:c r="D60" s="282" t="str">
        <x:v>campaign205-046-05</x:v>
      </x:c>
      <x:c r="E60" s="281" t="n">
        <x:v>6</x:v>
      </x:c>
      <x:c r="F60" s="281" t="n">
        <x:v>6</x:v>
      </x:c>
      <x:c r="G60" s="281" t="n">
        <x:v>0</x:v>
      </x:c>
      <x:c r="H60" s="281" t="n">
        <x:v>2</x:v>
      </x:c>
      <x:c r="I60" s="281" t="n">
        <x:v>2</x:v>
      </x:c>
      <x:c r="J60" s="281" t="n">
        <x:v>2</x:v>
      </x:c>
      <x:c r="K60" s="281" t="n">
        <x:v>0</x:v>
      </x:c>
      <x:c r="L60" s="282" t="str">
        <x:v>Non</x:v>
      </x:c>
      <x:c r="M60" s="281" t="n">
        <x:v>0</x:v>
      </x:c>
      <x:c r="N60" s="272" t="str">
        <x:v>https://github.com/darknigthmare/deadwall-last-enclosure/blob/e28f46223e73105ab2c5d83f3d50b99b58ef53e6/docs/codex/suivi-monde2026/campagne208-services.json</x:v>
      </x:c>
      <x:c r="O60" s="272" t="str">
        <x:v>https://github.com/darknigthmare/deadwall-last-enclosure/blob/e28f46223e73105ab2c5d83f3d50b99b58ef53e6/docs/codex/suivi-monde2026/campagne208-art.json</x:v>
      </x:c>
      <x:c r="P60" s="272" t="str">
        <x:v>Supports proposés et poses canoniques ; parcours et transactions distincts.</x:v>
      </x:c>
    </x:row>
    <x:row r="61" ht="64" customHeight="1">
      <x:c r="A61" s="272" t="str">
        <x:v>EXT-MONDE-T046-V06</x:v>
      </x:c>
      <x:c r="B61" s="272" t="str">
        <x:v>Camping caravanes</x:v>
      </x:c>
      <x:c r="C61" s="281" t="n">
        <x:v>6</x:v>
      </x:c>
      <x:c r="D61" s="282" t="str">
        <x:v>campaign205-046-06</x:v>
      </x:c>
      <x:c r="E61" s="281" t="n">
        <x:v>6</x:v>
      </x:c>
      <x:c r="F61" s="281" t="n">
        <x:v>6</x:v>
      </x:c>
      <x:c r="G61" s="281" t="n">
        <x:v>0</x:v>
      </x:c>
      <x:c r="H61" s="281" t="n">
        <x:v>2</x:v>
      </x:c>
      <x:c r="I61" s="281" t="n">
        <x:v>2</x:v>
      </x:c>
      <x:c r="J61" s="281" t="n">
        <x:v>2</x:v>
      </x:c>
      <x:c r="K61" s="281" t="n">
        <x:v>0</x:v>
      </x:c>
      <x:c r="L61" s="282" t="str">
        <x:v>Non</x:v>
      </x:c>
      <x:c r="M61" s="281" t="n">
        <x:v>0</x:v>
      </x:c>
      <x:c r="N61" s="272" t="str">
        <x:v>https://github.com/darknigthmare/deadwall-last-enclosure/blob/e28f46223e73105ab2c5d83f3d50b99b58ef53e6/docs/codex/suivi-monde2026/campagne208-services.json</x:v>
      </x:c>
      <x:c r="O61" s="272" t="str">
        <x:v>https://github.com/darknigthmare/deadwall-last-enclosure/blob/e28f46223e73105ab2c5d83f3d50b99b58ef53e6/docs/codex/suivi-monde2026/campagne208-art.json</x:v>
      </x:c>
      <x:c r="P61" s="272" t="str">
        <x:v>Supports proposés et poses canoniques ; parcours et transactions distincts.</x:v>
      </x:c>
    </x:row>
    <x:row r="62" ht="64" customHeight="1">
      <x:c r="A62" s="272" t="str">
        <x:v>EXT-MONDE-T046-V07</x:v>
      </x:c>
      <x:c r="B62" s="272" t="str">
        <x:v>Camping caravanes</x:v>
      </x:c>
      <x:c r="C62" s="281" t="n">
        <x:v>7</x:v>
      </x:c>
      <x:c r="D62" s="282" t="str">
        <x:v>campaign205-046-07</x:v>
      </x:c>
      <x:c r="E62" s="281" t="n">
        <x:v>6</x:v>
      </x:c>
      <x:c r="F62" s="281" t="n">
        <x:v>6</x:v>
      </x:c>
      <x:c r="G62" s="281" t="n">
        <x:v>0</x:v>
      </x:c>
      <x:c r="H62" s="281" t="n">
        <x:v>2</x:v>
      </x:c>
      <x:c r="I62" s="281" t="n">
        <x:v>2</x:v>
      </x:c>
      <x:c r="J62" s="281" t="n">
        <x:v>2</x:v>
      </x:c>
      <x:c r="K62" s="281" t="n">
        <x:v>0</x:v>
      </x:c>
      <x:c r="L62" s="282" t="str">
        <x:v>Non</x:v>
      </x:c>
      <x:c r="M62" s="281" t="n">
        <x:v>0</x:v>
      </x:c>
      <x:c r="N62" s="272" t="str">
        <x:v>https://github.com/darknigthmare/deadwall-last-enclosure/blob/e28f46223e73105ab2c5d83f3d50b99b58ef53e6/docs/codex/suivi-monde2026/campagne208-services.json</x:v>
      </x:c>
      <x:c r="O62" s="272" t="str">
        <x:v>https://github.com/darknigthmare/deadwall-last-enclosure/blob/e28f46223e73105ab2c5d83f3d50b99b58ef53e6/docs/codex/suivi-monde2026/campagne208-art.json</x:v>
      </x:c>
      <x:c r="P62" s="272" t="str">
        <x:v>Supports proposés et poses canoniques ; parcours et transactions distincts.</x:v>
      </x:c>
    </x:row>
    <x:row r="63" ht="64" customHeight="1">
      <x:c r="A63" s="272" t="str">
        <x:v>EXT-MONDE-T046-V08</x:v>
      </x:c>
      <x:c r="B63" s="272" t="str">
        <x:v>Camping caravanes</x:v>
      </x:c>
      <x:c r="C63" s="281" t="n">
        <x:v>8</x:v>
      </x:c>
      <x:c r="D63" s="282" t="str">
        <x:v>campaign205-046-08</x:v>
      </x:c>
      <x:c r="E63" s="281" t="n">
        <x:v>6</x:v>
      </x:c>
      <x:c r="F63" s="281" t="n">
        <x:v>6</x:v>
      </x:c>
      <x:c r="G63" s="281" t="n">
        <x:v>0</x:v>
      </x:c>
      <x:c r="H63" s="281" t="n">
        <x:v>2</x:v>
      </x:c>
      <x:c r="I63" s="281" t="n">
        <x:v>2</x:v>
      </x:c>
      <x:c r="J63" s="281" t="n">
        <x:v>2</x:v>
      </x:c>
      <x:c r="K63" s="281" t="n">
        <x:v>0</x:v>
      </x:c>
      <x:c r="L63" s="282" t="str">
        <x:v>Non</x:v>
      </x:c>
      <x:c r="M63" s="281" t="n">
        <x:v>0</x:v>
      </x:c>
      <x:c r="N63" s="272" t="str">
        <x:v>https://github.com/darknigthmare/deadwall-last-enclosure/blob/e28f46223e73105ab2c5d83f3d50b99b58ef53e6/docs/codex/suivi-monde2026/campagne208-services.json</x:v>
      </x:c>
      <x:c r="O63" s="272" t="str">
        <x:v>https://github.com/darknigthmare/deadwall-last-enclosure/blob/e28f46223e73105ab2c5d83f3d50b99b58ef53e6/docs/codex/suivi-monde2026/campagne208-art.json</x:v>
      </x:c>
      <x:c r="P63" s="272" t="str">
        <x:v>Supports proposés et poses canoniques ; parcours et transactions distincts.</x:v>
      </x:c>
    </x:row>
    <x:row r="64" ht="64" customHeight="1">
      <x:c r="A64" s="272" t="str">
        <x:v>EXT-MONDE-T046-V09</x:v>
      </x:c>
      <x:c r="B64" s="272" t="str">
        <x:v>Camping caravanes</x:v>
      </x:c>
      <x:c r="C64" s="281" t="n">
        <x:v>9</x:v>
      </x:c>
      <x:c r="D64" s="282" t="str">
        <x:v>campaign205-046-09</x:v>
      </x:c>
      <x:c r="E64" s="281" t="n">
        <x:v>6</x:v>
      </x:c>
      <x:c r="F64" s="281" t="n">
        <x:v>6</x:v>
      </x:c>
      <x:c r="G64" s="281" t="n">
        <x:v>0</x:v>
      </x:c>
      <x:c r="H64" s="281" t="n">
        <x:v>2</x:v>
      </x:c>
      <x:c r="I64" s="281" t="n">
        <x:v>2</x:v>
      </x:c>
      <x:c r="J64" s="281" t="n">
        <x:v>2</x:v>
      </x:c>
      <x:c r="K64" s="281" t="n">
        <x:v>0</x:v>
      </x:c>
      <x:c r="L64" s="282" t="str">
        <x:v>Non</x:v>
      </x:c>
      <x:c r="M64" s="281" t="n">
        <x:v>0</x:v>
      </x:c>
      <x:c r="N64" s="272" t="str">
        <x:v>https://github.com/darknigthmare/deadwall-last-enclosure/blob/e28f46223e73105ab2c5d83f3d50b99b58ef53e6/docs/codex/suivi-monde2026/campagne208-services.json</x:v>
      </x:c>
      <x:c r="O64" s="272" t="str">
        <x:v>https://github.com/darknigthmare/deadwall-last-enclosure/blob/e28f46223e73105ab2c5d83f3d50b99b58ef53e6/docs/codex/suivi-monde2026/campagne208-art.json</x:v>
      </x:c>
      <x:c r="P64" s="272" t="str">
        <x:v>Supports proposés et poses canoniques ; parcours et transactions distincts.</x:v>
      </x:c>
    </x:row>
    <x:row r="65" ht="64" customHeight="1">
      <x:c r="A65" s="272" t="str">
        <x:v>EXT-MONDE-T046-V10</x:v>
      </x:c>
      <x:c r="B65" s="272" t="str">
        <x:v>Camping caravanes</x:v>
      </x:c>
      <x:c r="C65" s="281" t="n">
        <x:v>10</x:v>
      </x:c>
      <x:c r="D65" s="282" t="str">
        <x:v>campaign205-046-10</x:v>
      </x:c>
      <x:c r="E65" s="281" t="n">
        <x:v>6</x:v>
      </x:c>
      <x:c r="F65" s="281" t="n">
        <x:v>6</x:v>
      </x:c>
      <x:c r="G65" s="281" t="n">
        <x:v>0</x:v>
      </x:c>
      <x:c r="H65" s="281" t="n">
        <x:v>2</x:v>
      </x:c>
      <x:c r="I65" s="281" t="n">
        <x:v>2</x:v>
      </x:c>
      <x:c r="J65" s="281" t="n">
        <x:v>2</x:v>
      </x:c>
      <x:c r="K65" s="281" t="n">
        <x:v>0</x:v>
      </x:c>
      <x:c r="L65" s="282" t="str">
        <x:v>Non</x:v>
      </x:c>
      <x:c r="M65" s="281" t="n">
        <x:v>0</x:v>
      </x:c>
      <x:c r="N65" s="272" t="str">
        <x:v>https://github.com/darknigthmare/deadwall-last-enclosure/blob/e28f46223e73105ab2c5d83f3d50b99b58ef53e6/docs/codex/suivi-monde2026/campagne208-services.json</x:v>
      </x:c>
      <x:c r="O65" s="272" t="str">
        <x:v>https://github.com/darknigthmare/deadwall-last-enclosure/blob/e28f46223e73105ab2c5d83f3d50b99b58ef53e6/docs/codex/suivi-monde2026/campagne208-art.json</x:v>
      </x:c>
      <x:c r="P65" s="272" t="str">
        <x:v>Supports proposés et poses canoniques ; parcours et transactions distincts.</x:v>
      </x:c>
    </x:row>
    <x:row r="66" ht="64" customHeight="1">
      <x:c r="A66" s="272" t="str">
        <x:v>EXT-MONDE-T046-V11</x:v>
      </x:c>
      <x:c r="B66" s="272" t="str">
        <x:v>Camping caravanes</x:v>
      </x:c>
      <x:c r="C66" s="281" t="n">
        <x:v>11</x:v>
      </x:c>
      <x:c r="D66" s="282" t="str">
        <x:v>campaign205-046-11</x:v>
      </x:c>
      <x:c r="E66" s="281" t="n">
        <x:v>6</x:v>
      </x:c>
      <x:c r="F66" s="281" t="n">
        <x:v>6</x:v>
      </x:c>
      <x:c r="G66" s="281" t="n">
        <x:v>0</x:v>
      </x:c>
      <x:c r="H66" s="281" t="n">
        <x:v>2</x:v>
      </x:c>
      <x:c r="I66" s="281" t="n">
        <x:v>2</x:v>
      </x:c>
      <x:c r="J66" s="281" t="n">
        <x:v>2</x:v>
      </x:c>
      <x:c r="K66" s="281" t="n">
        <x:v>0</x:v>
      </x:c>
      <x:c r="L66" s="282" t="str">
        <x:v>Non</x:v>
      </x:c>
      <x:c r="M66" s="281" t="n">
        <x:v>0</x:v>
      </x:c>
      <x:c r="N66" s="272" t="str">
        <x:v>https://github.com/darknigthmare/deadwall-last-enclosure/blob/e28f46223e73105ab2c5d83f3d50b99b58ef53e6/docs/codex/suivi-monde2026/campagne208-services.json</x:v>
      </x:c>
      <x:c r="O66" s="272" t="str">
        <x:v>https://github.com/darknigthmare/deadwall-last-enclosure/blob/e28f46223e73105ab2c5d83f3d50b99b58ef53e6/docs/codex/suivi-monde2026/campagne208-art.json</x:v>
      </x:c>
      <x:c r="P66" s="272" t="str">
        <x:v>Supports proposés et poses canoniques ; parcours et transactions distincts.</x:v>
      </x:c>
    </x:row>
    <x:row r="67" ht="64" customHeight="1">
      <x:c r="A67" s="272" t="str">
        <x:v>EXT-MONDE-T046-V12</x:v>
      </x:c>
      <x:c r="B67" s="272" t="str">
        <x:v>Camping caravanes</x:v>
      </x:c>
      <x:c r="C67" s="281" t="n">
        <x:v>12</x:v>
      </x:c>
      <x:c r="D67" s="282" t="str">
        <x:v>campaign205-046-12</x:v>
      </x:c>
      <x:c r="E67" s="281" t="n">
        <x:v>6</x:v>
      </x:c>
      <x:c r="F67" s="281" t="n">
        <x:v>6</x:v>
      </x:c>
      <x:c r="G67" s="281" t="n">
        <x:v>0</x:v>
      </x:c>
      <x:c r="H67" s="281" t="n">
        <x:v>2</x:v>
      </x:c>
      <x:c r="I67" s="281" t="n">
        <x:v>2</x:v>
      </x:c>
      <x:c r="J67" s="281" t="n">
        <x:v>2</x:v>
      </x:c>
      <x:c r="K67" s="281" t="n">
        <x:v>0</x:v>
      </x:c>
      <x:c r="L67" s="282" t="str">
        <x:v>Non</x:v>
      </x:c>
      <x:c r="M67" s="281" t="n">
        <x:v>0</x:v>
      </x:c>
      <x:c r="N67" s="272" t="str">
        <x:v>https://github.com/darknigthmare/deadwall-last-enclosure/blob/e28f46223e73105ab2c5d83f3d50b99b58ef53e6/docs/codex/suivi-monde2026/campagne208-services.json</x:v>
      </x:c>
      <x:c r="O67" s="272" t="str">
        <x:v>https://github.com/darknigthmare/deadwall-last-enclosure/blob/e28f46223e73105ab2c5d83f3d50b99b58ef53e6/docs/codex/suivi-monde2026/campagne208-art.json</x:v>
      </x:c>
      <x:c r="P67" s="272" t="str">
        <x:v>Supports proposés et poses canoniques ; parcours et transactions distincts.</x:v>
      </x:c>
    </x:row>
    <x:row r="68" ht="64" customHeight="1">
      <x:c r="A68" s="272" t="str">
        <x:v>EXT-MONDE-T046-V13</x:v>
      </x:c>
      <x:c r="B68" s="272" t="str">
        <x:v>Camping caravanes</x:v>
      </x:c>
      <x:c r="C68" s="281" t="n">
        <x:v>13</x:v>
      </x:c>
      <x:c r="D68" s="282" t="str">
        <x:v>campaign205-046-13</x:v>
      </x:c>
      <x:c r="E68" s="281" t="n">
        <x:v>6</x:v>
      </x:c>
      <x:c r="F68" s="281" t="n">
        <x:v>6</x:v>
      </x:c>
      <x:c r="G68" s="281" t="n">
        <x:v>0</x:v>
      </x:c>
      <x:c r="H68" s="281" t="n">
        <x:v>2</x:v>
      </x:c>
      <x:c r="I68" s="281" t="n">
        <x:v>2</x:v>
      </x:c>
      <x:c r="J68" s="281" t="n">
        <x:v>2</x:v>
      </x:c>
      <x:c r="K68" s="281" t="n">
        <x:v>0</x:v>
      </x:c>
      <x:c r="L68" s="282" t="str">
        <x:v>Non</x:v>
      </x:c>
      <x:c r="M68" s="281" t="n">
        <x:v>0</x:v>
      </x:c>
      <x:c r="N68" s="272" t="str">
        <x:v>https://github.com/darknigthmare/deadwall-last-enclosure/blob/e28f46223e73105ab2c5d83f3d50b99b58ef53e6/docs/codex/suivi-monde2026/campagne208-services.json</x:v>
      </x:c>
      <x:c r="O68" s="272" t="str">
        <x:v>https://github.com/darknigthmare/deadwall-last-enclosure/blob/e28f46223e73105ab2c5d83f3d50b99b58ef53e6/docs/codex/suivi-monde2026/campagne208-art.json</x:v>
      </x:c>
      <x:c r="P68" s="272" t="str">
        <x:v>Supports proposés et poses canoniques ; parcours et transactions distincts.</x:v>
      </x:c>
    </x:row>
    <x:row r="69" ht="64" customHeight="1">
      <x:c r="A69" s="272" t="str">
        <x:v>EXT-MONDE-T046-V14</x:v>
      </x:c>
      <x:c r="B69" s="272" t="str">
        <x:v>Camping caravanes</x:v>
      </x:c>
      <x:c r="C69" s="281" t="n">
        <x:v>14</x:v>
      </x:c>
      <x:c r="D69" s="282" t="str">
        <x:v>campaign205-046-14</x:v>
      </x:c>
      <x:c r="E69" s="281" t="n">
        <x:v>6</x:v>
      </x:c>
      <x:c r="F69" s="281" t="n">
        <x:v>6</x:v>
      </x:c>
      <x:c r="G69" s="281" t="n">
        <x:v>0</x:v>
      </x:c>
      <x:c r="H69" s="281" t="n">
        <x:v>2</x:v>
      </x:c>
      <x:c r="I69" s="281" t="n">
        <x:v>2</x:v>
      </x:c>
      <x:c r="J69" s="281" t="n">
        <x:v>2</x:v>
      </x:c>
      <x:c r="K69" s="281" t="n">
        <x:v>0</x:v>
      </x:c>
      <x:c r="L69" s="282" t="str">
        <x:v>Non</x:v>
      </x:c>
      <x:c r="M69" s="281" t="n">
        <x:v>0</x:v>
      </x:c>
      <x:c r="N69" s="272" t="str">
        <x:v>https://github.com/darknigthmare/deadwall-last-enclosure/blob/e28f46223e73105ab2c5d83f3d50b99b58ef53e6/docs/codex/suivi-monde2026/campagne208-services.json</x:v>
      </x:c>
      <x:c r="O69" s="272" t="str">
        <x:v>https://github.com/darknigthmare/deadwall-last-enclosure/blob/e28f46223e73105ab2c5d83f3d50b99b58ef53e6/docs/codex/suivi-monde2026/campagne208-art.json</x:v>
      </x:c>
      <x:c r="P69" s="272" t="str">
        <x:v>Supports proposés et poses canoniques ; parcours et transactions distincts.</x:v>
      </x:c>
    </x:row>
    <x:row r="70" ht="64" customHeight="1">
      <x:c r="A70" s="272" t="str">
        <x:v>EXT-MONDE-T046-V15</x:v>
      </x:c>
      <x:c r="B70" s="272" t="str">
        <x:v>Camping caravanes</x:v>
      </x:c>
      <x:c r="C70" s="281" t="n">
        <x:v>15</x:v>
      </x:c>
      <x:c r="D70" s="282" t="str">
        <x:v>campaign205-046-15</x:v>
      </x:c>
      <x:c r="E70" s="281" t="n">
        <x:v>6</x:v>
      </x:c>
      <x:c r="F70" s="281" t="n">
        <x:v>6</x:v>
      </x:c>
      <x:c r="G70" s="281" t="n">
        <x:v>0</x:v>
      </x:c>
      <x:c r="H70" s="281" t="n">
        <x:v>2</x:v>
      </x:c>
      <x:c r="I70" s="281" t="n">
        <x:v>2</x:v>
      </x:c>
      <x:c r="J70" s="281" t="n">
        <x:v>2</x:v>
      </x:c>
      <x:c r="K70" s="281" t="n">
        <x:v>0</x:v>
      </x:c>
      <x:c r="L70" s="282" t="str">
        <x:v>Non</x:v>
      </x:c>
      <x:c r="M70" s="281" t="n">
        <x:v>0</x:v>
      </x:c>
      <x:c r="N70" s="272" t="str">
        <x:v>https://github.com/darknigthmare/deadwall-last-enclosure/blob/e28f46223e73105ab2c5d83f3d50b99b58ef53e6/docs/codex/suivi-monde2026/campagne208-services.json</x:v>
      </x:c>
      <x:c r="O70" s="272" t="str">
        <x:v>https://github.com/darknigthmare/deadwall-last-enclosure/blob/e28f46223e73105ab2c5d83f3d50b99b58ef53e6/docs/codex/suivi-monde2026/campagne208-art.json</x:v>
      </x:c>
      <x:c r="P70" s="272" t="str">
        <x:v>Supports proposés et poses canoniques ; parcours et transactions distincts.</x:v>
      </x:c>
    </x:row>
    <x:row r="71" ht="64" customHeight="1">
      <x:c r="A71" s="272" t="str">
        <x:v>EXT-MONDE-T046-V16</x:v>
      </x:c>
      <x:c r="B71" s="272" t="str">
        <x:v>Camping caravanes</x:v>
      </x:c>
      <x:c r="C71" s="281" t="n">
        <x:v>16</x:v>
      </x:c>
      <x:c r="D71" s="282" t="str">
        <x:v>campaign205-046-16</x:v>
      </x:c>
      <x:c r="E71" s="281" t="n">
        <x:v>6</x:v>
      </x:c>
      <x:c r="F71" s="281" t="n">
        <x:v>6</x:v>
      </x:c>
      <x:c r="G71" s="281" t="n">
        <x:v>0</x:v>
      </x:c>
      <x:c r="H71" s="281" t="n">
        <x:v>2</x:v>
      </x:c>
      <x:c r="I71" s="281" t="n">
        <x:v>2</x:v>
      </x:c>
      <x:c r="J71" s="281" t="n">
        <x:v>2</x:v>
      </x:c>
      <x:c r="K71" s="281" t="n">
        <x:v>0</x:v>
      </x:c>
      <x:c r="L71" s="282" t="str">
        <x:v>Non</x:v>
      </x:c>
      <x:c r="M71" s="281" t="n">
        <x:v>0</x:v>
      </x:c>
      <x:c r="N71" s="272" t="str">
        <x:v>https://github.com/darknigthmare/deadwall-last-enclosure/blob/e28f46223e73105ab2c5d83f3d50b99b58ef53e6/docs/codex/suivi-monde2026/campagne208-services.json</x:v>
      </x:c>
      <x:c r="O71" s="272" t="str">
        <x:v>https://github.com/darknigthmare/deadwall-last-enclosure/blob/e28f46223e73105ab2c5d83f3d50b99b58ef53e6/docs/codex/suivi-monde2026/campagne208-art.json</x:v>
      </x:c>
      <x:c r="P71" s="272" t="str">
        <x:v>Supports proposés et poses canoniques ; parcours et transactions distincts.</x:v>
      </x:c>
    </x:row>
    <x:row r="72" ht="64" customHeight="1">
      <x:c r="A72" s="272" t="str">
        <x:v>EXT-MONDE-T046-V17</x:v>
      </x:c>
      <x:c r="B72" s="272" t="str">
        <x:v>Camping caravanes</x:v>
      </x:c>
      <x:c r="C72" s="281" t="n">
        <x:v>17</x:v>
      </x:c>
      <x:c r="D72" s="282" t="str">
        <x:v>campaign205-046-17</x:v>
      </x:c>
      <x:c r="E72" s="281" t="n">
        <x:v>6</x:v>
      </x:c>
      <x:c r="F72" s="281" t="n">
        <x:v>6</x:v>
      </x:c>
      <x:c r="G72" s="281" t="n">
        <x:v>0</x:v>
      </x:c>
      <x:c r="H72" s="281" t="n">
        <x:v>2</x:v>
      </x:c>
      <x:c r="I72" s="281" t="n">
        <x:v>2</x:v>
      </x:c>
      <x:c r="J72" s="281" t="n">
        <x:v>2</x:v>
      </x:c>
      <x:c r="K72" s="281" t="n">
        <x:v>0</x:v>
      </x:c>
      <x:c r="L72" s="282" t="str">
        <x:v>Non</x:v>
      </x:c>
      <x:c r="M72" s="281" t="n">
        <x:v>0</x:v>
      </x:c>
      <x:c r="N72" s="272" t="str">
        <x:v>https://github.com/darknigthmare/deadwall-last-enclosure/blob/e28f46223e73105ab2c5d83f3d50b99b58ef53e6/docs/codex/suivi-monde2026/campagne208-services.json</x:v>
      </x:c>
      <x:c r="O72" s="272" t="str">
        <x:v>https://github.com/darknigthmare/deadwall-last-enclosure/blob/e28f46223e73105ab2c5d83f3d50b99b58ef53e6/docs/codex/suivi-monde2026/campagne208-art.json</x:v>
      </x:c>
      <x:c r="P72" s="272" t="str">
        <x:v>Supports proposés et poses canoniques ; parcours et transactions distincts.</x:v>
      </x:c>
    </x:row>
    <x:row r="73" ht="64" customHeight="1">
      <x:c r="A73" s="272" t="str">
        <x:v>EXT-MONDE-T046-V18</x:v>
      </x:c>
      <x:c r="B73" s="272" t="str">
        <x:v>Camping caravanes</x:v>
      </x:c>
      <x:c r="C73" s="281" t="n">
        <x:v>18</x:v>
      </x:c>
      <x:c r="D73" s="282" t="str">
        <x:v>campaign205-046-18</x:v>
      </x:c>
      <x:c r="E73" s="281" t="n">
        <x:v>6</x:v>
      </x:c>
      <x:c r="F73" s="281" t="n">
        <x:v>6</x:v>
      </x:c>
      <x:c r="G73" s="281" t="n">
        <x:v>0</x:v>
      </x:c>
      <x:c r="H73" s="281" t="n">
        <x:v>2</x:v>
      </x:c>
      <x:c r="I73" s="281" t="n">
        <x:v>2</x:v>
      </x:c>
      <x:c r="J73" s="281" t="n">
        <x:v>2</x:v>
      </x:c>
      <x:c r="K73" s="281" t="n">
        <x:v>0</x:v>
      </x:c>
      <x:c r="L73" s="282" t="str">
        <x:v>Non</x:v>
      </x:c>
      <x:c r="M73" s="281" t="n">
        <x:v>0</x:v>
      </x:c>
      <x:c r="N73" s="272" t="str">
        <x:v>https://github.com/darknigthmare/deadwall-last-enclosure/blob/e28f46223e73105ab2c5d83f3d50b99b58ef53e6/docs/codex/suivi-monde2026/campagne208-services.json</x:v>
      </x:c>
      <x:c r="O73" s="272" t="str">
        <x:v>https://github.com/darknigthmare/deadwall-last-enclosure/blob/e28f46223e73105ab2c5d83f3d50b99b58ef53e6/docs/codex/suivi-monde2026/campagne208-art.json</x:v>
      </x:c>
      <x:c r="P73" s="272" t="str">
        <x:v>Supports proposés et poses canoniques ; parcours et transactions distincts.</x:v>
      </x:c>
    </x:row>
    <x:row r="74" ht="64" customHeight="1">
      <x:c r="A74" s="272" t="str">
        <x:v>EXT-MONDE-T046-V19</x:v>
      </x:c>
      <x:c r="B74" s="272" t="str">
        <x:v>Camping caravanes</x:v>
      </x:c>
      <x:c r="C74" s="281" t="n">
        <x:v>19</x:v>
      </x:c>
      <x:c r="D74" s="282" t="str">
        <x:v>campaign205-046-19</x:v>
      </x:c>
      <x:c r="E74" s="281" t="n">
        <x:v>6</x:v>
      </x:c>
      <x:c r="F74" s="281" t="n">
        <x:v>6</x:v>
      </x:c>
      <x:c r="G74" s="281" t="n">
        <x:v>0</x:v>
      </x:c>
      <x:c r="H74" s="281" t="n">
        <x:v>2</x:v>
      </x:c>
      <x:c r="I74" s="281" t="n">
        <x:v>2</x:v>
      </x:c>
      <x:c r="J74" s="281" t="n">
        <x:v>2</x:v>
      </x:c>
      <x:c r="K74" s="281" t="n">
        <x:v>0</x:v>
      </x:c>
      <x:c r="L74" s="282" t="str">
        <x:v>Non</x:v>
      </x:c>
      <x:c r="M74" s="281" t="n">
        <x:v>0</x:v>
      </x:c>
      <x:c r="N74" s="272" t="str">
        <x:v>https://github.com/darknigthmare/deadwall-last-enclosure/blob/e28f46223e73105ab2c5d83f3d50b99b58ef53e6/docs/codex/suivi-monde2026/campagne208-services.json</x:v>
      </x:c>
      <x:c r="O74" s="272" t="str">
        <x:v>https://github.com/darknigthmare/deadwall-last-enclosure/blob/e28f46223e73105ab2c5d83f3d50b99b58ef53e6/docs/codex/suivi-monde2026/campagne208-art.json</x:v>
      </x:c>
      <x:c r="P74" s="272" t="str">
        <x:v>Supports proposés et poses canoniques ; parcours et transactions distincts.</x:v>
      </x:c>
    </x:row>
    <x:row r="75" ht="64" customHeight="1">
      <x:c r="A75" s="272" t="str">
        <x:v>EXT-MONDE-T046-V20</x:v>
      </x:c>
      <x:c r="B75" s="272" t="str">
        <x:v>Camping caravanes</x:v>
      </x:c>
      <x:c r="C75" s="281" t="n">
        <x:v>20</x:v>
      </x:c>
      <x:c r="D75" s="282" t="str">
        <x:v>campaign205-046-20</x:v>
      </x:c>
      <x:c r="E75" s="281" t="n">
        <x:v>6</x:v>
      </x:c>
      <x:c r="F75" s="281" t="n">
        <x:v>6</x:v>
      </x:c>
      <x:c r="G75" s="281" t="n">
        <x:v>0</x:v>
      </x:c>
      <x:c r="H75" s="281" t="n">
        <x:v>2</x:v>
      </x:c>
      <x:c r="I75" s="281" t="n">
        <x:v>2</x:v>
      </x:c>
      <x:c r="J75" s="281" t="n">
        <x:v>2</x:v>
      </x:c>
      <x:c r="K75" s="281" t="n">
        <x:v>0</x:v>
      </x:c>
      <x:c r="L75" s="282" t="str">
        <x:v>Non</x:v>
      </x:c>
      <x:c r="M75" s="281" t="n">
        <x:v>0</x:v>
      </x:c>
      <x:c r="N75" s="272" t="str">
        <x:v>https://github.com/darknigthmare/deadwall-last-enclosure/blob/e28f46223e73105ab2c5d83f3d50b99b58ef53e6/docs/codex/suivi-monde2026/campagne208-services.json</x:v>
      </x:c>
      <x:c r="O75" s="272" t="str">
        <x:v>https://github.com/darknigthmare/deadwall-last-enclosure/blob/e28f46223e73105ab2c5d83f3d50b99b58ef53e6/docs/codex/suivi-monde2026/campagne208-art.json</x:v>
      </x:c>
      <x:c r="P75" s="272" t="str">
        <x:v>Supports proposés et poses canoniques ; parcours et transactions distincts.</x:v>
      </x:c>
    </x:row>
    <x:row r="76" ht="64" customHeight="1">
      <x:c r="A76" s="272" t="str">
        <x:v>EXT-MONDE-T046-V21</x:v>
      </x:c>
      <x:c r="B76" s="272" t="str">
        <x:v>Camping caravanes</x:v>
      </x:c>
      <x:c r="C76" s="281" t="n">
        <x:v>21</x:v>
      </x:c>
      <x:c r="D76" s="282" t="str">
        <x:v>campaign205-046-21</x:v>
      </x:c>
      <x:c r="E76" s="281" t="n">
        <x:v>6</x:v>
      </x:c>
      <x:c r="F76" s="281" t="n">
        <x:v>6</x:v>
      </x:c>
      <x:c r="G76" s="281" t="n">
        <x:v>0</x:v>
      </x:c>
      <x:c r="H76" s="281" t="n">
        <x:v>2</x:v>
      </x:c>
      <x:c r="I76" s="281" t="n">
        <x:v>2</x:v>
      </x:c>
      <x:c r="J76" s="281" t="n">
        <x:v>2</x:v>
      </x:c>
      <x:c r="K76" s="281" t="n">
        <x:v>0</x:v>
      </x:c>
      <x:c r="L76" s="282" t="str">
        <x:v>Non</x:v>
      </x:c>
      <x:c r="M76" s="281" t="n">
        <x:v>0</x:v>
      </x:c>
      <x:c r="N76" s="272" t="str">
        <x:v>https://github.com/darknigthmare/deadwall-last-enclosure/blob/e28f46223e73105ab2c5d83f3d50b99b58ef53e6/docs/codex/suivi-monde2026/campagne208-services.json</x:v>
      </x:c>
      <x:c r="O76" s="272" t="str">
        <x:v>https://github.com/darknigthmare/deadwall-last-enclosure/blob/e28f46223e73105ab2c5d83f3d50b99b58ef53e6/docs/codex/suivi-monde2026/campagne208-art.json</x:v>
      </x:c>
      <x:c r="P76" s="272" t="str">
        <x:v>Supports proposés et poses canoniques ; parcours et transactions distincts.</x:v>
      </x:c>
    </x:row>
    <x:row r="77" ht="64" customHeight="1">
      <x:c r="A77" s="272" t="str">
        <x:v>EXT-MONDE-T046-V22</x:v>
      </x:c>
      <x:c r="B77" s="272" t="str">
        <x:v>Camping caravanes</x:v>
      </x:c>
      <x:c r="C77" s="281" t="n">
        <x:v>22</x:v>
      </x:c>
      <x:c r="D77" s="282" t="str">
        <x:v>campaign205-046-22</x:v>
      </x:c>
      <x:c r="E77" s="281" t="n">
        <x:v>6</x:v>
      </x:c>
      <x:c r="F77" s="281" t="n">
        <x:v>6</x:v>
      </x:c>
      <x:c r="G77" s="281" t="n">
        <x:v>0</x:v>
      </x:c>
      <x:c r="H77" s="281" t="n">
        <x:v>2</x:v>
      </x:c>
      <x:c r="I77" s="281" t="n">
        <x:v>2</x:v>
      </x:c>
      <x:c r="J77" s="281" t="n">
        <x:v>2</x:v>
      </x:c>
      <x:c r="K77" s="281" t="n">
        <x:v>0</x:v>
      </x:c>
      <x:c r="L77" s="282" t="str">
        <x:v>Non</x:v>
      </x:c>
      <x:c r="M77" s="281" t="n">
        <x:v>0</x:v>
      </x:c>
      <x:c r="N77" s="272" t="str">
        <x:v>https://github.com/darknigthmare/deadwall-last-enclosure/blob/e28f46223e73105ab2c5d83f3d50b99b58ef53e6/docs/codex/suivi-monde2026/campagne208-services.json</x:v>
      </x:c>
      <x:c r="O77" s="272" t="str">
        <x:v>https://github.com/darknigthmare/deadwall-last-enclosure/blob/e28f46223e73105ab2c5d83f3d50b99b58ef53e6/docs/codex/suivi-monde2026/campagne208-art.json</x:v>
      </x:c>
      <x:c r="P77" s="272" t="str">
        <x:v>Supports proposés et poses canoniques ; parcours et transactions distincts.</x:v>
      </x:c>
    </x:row>
    <x:row r="78" ht="64" customHeight="1">
      <x:c r="A78" s="272" t="str">
        <x:v>EXT-MONDE-T046-V23</x:v>
      </x:c>
      <x:c r="B78" s="272" t="str">
        <x:v>Camping caravanes</x:v>
      </x:c>
      <x:c r="C78" s="281" t="n">
        <x:v>23</x:v>
      </x:c>
      <x:c r="D78" s="282" t="str">
        <x:v>campaign205-046-23</x:v>
      </x:c>
      <x:c r="E78" s="281" t="n">
        <x:v>6</x:v>
      </x:c>
      <x:c r="F78" s="281" t="n">
        <x:v>6</x:v>
      </x:c>
      <x:c r="G78" s="281" t="n">
        <x:v>0</x:v>
      </x:c>
      <x:c r="H78" s="281" t="n">
        <x:v>2</x:v>
      </x:c>
      <x:c r="I78" s="281" t="n">
        <x:v>2</x:v>
      </x:c>
      <x:c r="J78" s="281" t="n">
        <x:v>2</x:v>
      </x:c>
      <x:c r="K78" s="281" t="n">
        <x:v>0</x:v>
      </x:c>
      <x:c r="L78" s="282" t="str">
        <x:v>Non</x:v>
      </x:c>
      <x:c r="M78" s="281" t="n">
        <x:v>0</x:v>
      </x:c>
      <x:c r="N78" s="272" t="str">
        <x:v>https://github.com/darknigthmare/deadwall-last-enclosure/blob/e28f46223e73105ab2c5d83f3d50b99b58ef53e6/docs/codex/suivi-monde2026/campagne208-services.json</x:v>
      </x:c>
      <x:c r="O78" s="272" t="str">
        <x:v>https://github.com/darknigthmare/deadwall-last-enclosure/blob/e28f46223e73105ab2c5d83f3d50b99b58ef53e6/docs/codex/suivi-monde2026/campagne208-art.json</x:v>
      </x:c>
      <x:c r="P78" s="272" t="str">
        <x:v>Supports proposés et poses canoniques ; parcours et transactions distincts.</x:v>
      </x:c>
    </x:row>
    <x:row r="79" ht="64" customHeight="1">
      <x:c r="A79" s="272" t="str">
        <x:v>EXT-MONDE-T046-V24</x:v>
      </x:c>
      <x:c r="B79" s="272" t="str">
        <x:v>Camping caravanes</x:v>
      </x:c>
      <x:c r="C79" s="281" t="n">
        <x:v>24</x:v>
      </x:c>
      <x:c r="D79" s="282" t="str">
        <x:v>campaign205-046-24</x:v>
      </x:c>
      <x:c r="E79" s="281" t="n">
        <x:v>6</x:v>
      </x:c>
      <x:c r="F79" s="281" t="n">
        <x:v>6</x:v>
      </x:c>
      <x:c r="G79" s="281" t="n">
        <x:v>0</x:v>
      </x:c>
      <x:c r="H79" s="281" t="n">
        <x:v>2</x:v>
      </x:c>
      <x:c r="I79" s="281" t="n">
        <x:v>2</x:v>
      </x:c>
      <x:c r="J79" s="281" t="n">
        <x:v>2</x:v>
      </x:c>
      <x:c r="K79" s="281" t="n">
        <x:v>0</x:v>
      </x:c>
      <x:c r="L79" s="282" t="str">
        <x:v>Non</x:v>
      </x:c>
      <x:c r="M79" s="281" t="n">
        <x:v>0</x:v>
      </x:c>
      <x:c r="N79" s="272" t="str">
        <x:v>https://github.com/darknigthmare/deadwall-last-enclosure/blob/e28f46223e73105ab2c5d83f3d50b99b58ef53e6/docs/codex/suivi-monde2026/campagne208-services.json</x:v>
      </x:c>
      <x:c r="O79" s="272" t="str">
        <x:v>https://github.com/darknigthmare/deadwall-last-enclosure/blob/e28f46223e73105ab2c5d83f3d50b99b58ef53e6/docs/codex/suivi-monde2026/campagne208-art.json</x:v>
      </x:c>
      <x:c r="P79" s="272" t="str">
        <x:v>Supports proposés et poses canoniques ; parcours et transactions distincts.</x:v>
      </x:c>
    </x:row>
    <x:row r="80" ht="64" customHeight="1">
      <x:c r="A80" s="272" t="str">
        <x:v>EXT-MONDE-T046-V25</x:v>
      </x:c>
      <x:c r="B80" s="272" t="str">
        <x:v>Camping caravanes</x:v>
      </x:c>
      <x:c r="C80" s="281" t="n">
        <x:v>25</x:v>
      </x:c>
      <x:c r="D80" s="282" t="str">
        <x:v>campaign205-046-25</x:v>
      </x:c>
      <x:c r="E80" s="281" t="n">
        <x:v>6</x:v>
      </x:c>
      <x:c r="F80" s="281" t="n">
        <x:v>6</x:v>
      </x:c>
      <x:c r="G80" s="281" t="n">
        <x:v>0</x:v>
      </x:c>
      <x:c r="H80" s="281" t="n">
        <x:v>2</x:v>
      </x:c>
      <x:c r="I80" s="281" t="n">
        <x:v>2</x:v>
      </x:c>
      <x:c r="J80" s="281" t="n">
        <x:v>2</x:v>
      </x:c>
      <x:c r="K80" s="281" t="n">
        <x:v>0</x:v>
      </x:c>
      <x:c r="L80" s="282" t="str">
        <x:v>Non</x:v>
      </x:c>
      <x:c r="M80" s="281" t="n">
        <x:v>0</x:v>
      </x:c>
      <x:c r="N80" s="272" t="str">
        <x:v>https://github.com/darknigthmare/deadwall-last-enclosure/blob/e28f46223e73105ab2c5d83f3d50b99b58ef53e6/docs/codex/suivi-monde2026/campagne208-services.json</x:v>
      </x:c>
      <x:c r="O80" s="272" t="str">
        <x:v>https://github.com/darknigthmare/deadwall-last-enclosure/blob/e28f46223e73105ab2c5d83f3d50b99b58ef53e6/docs/codex/suivi-monde2026/campagne208-art.json</x:v>
      </x:c>
      <x:c r="P80" s="272" t="str">
        <x:v>Supports proposés et poses canoniques ; parcours et transactions distincts.</x:v>
      </x:c>
    </x:row>
    <x:row r="81" ht="64" customHeight="1">
      <x:c r="A81" s="272" t="str">
        <x:v>EXT-MONDE-T046-V26</x:v>
      </x:c>
      <x:c r="B81" s="272" t="str">
        <x:v>Camping caravanes</x:v>
      </x:c>
      <x:c r="C81" s="281" t="n">
        <x:v>26</x:v>
      </x:c>
      <x:c r="D81" s="282" t="str">
        <x:v>campaign205-046-26</x:v>
      </x:c>
      <x:c r="E81" s="281" t="n">
        <x:v>6</x:v>
      </x:c>
      <x:c r="F81" s="281" t="n">
        <x:v>6</x:v>
      </x:c>
      <x:c r="G81" s="281" t="n">
        <x:v>0</x:v>
      </x:c>
      <x:c r="H81" s="281" t="n">
        <x:v>2</x:v>
      </x:c>
      <x:c r="I81" s="281" t="n">
        <x:v>2</x:v>
      </x:c>
      <x:c r="J81" s="281" t="n">
        <x:v>2</x:v>
      </x:c>
      <x:c r="K81" s="281" t="n">
        <x:v>0</x:v>
      </x:c>
      <x:c r="L81" s="282" t="str">
        <x:v>Non</x:v>
      </x:c>
      <x:c r="M81" s="281" t="n">
        <x:v>0</x:v>
      </x:c>
      <x:c r="N81" s="272" t="str">
        <x:v>https://github.com/darknigthmare/deadwall-last-enclosure/blob/e28f46223e73105ab2c5d83f3d50b99b58ef53e6/docs/codex/suivi-monde2026/campagne208-services.json</x:v>
      </x:c>
      <x:c r="O81" s="272" t="str">
        <x:v>https://github.com/darknigthmare/deadwall-last-enclosure/blob/e28f46223e73105ab2c5d83f3d50b99b58ef53e6/docs/codex/suivi-monde2026/campagne208-art.json</x:v>
      </x:c>
      <x:c r="P81" s="272" t="str">
        <x:v>Supports proposés et poses canoniques ; parcours et transactions distincts.</x:v>
      </x:c>
    </x:row>
    <x:row r="82" ht="64" customHeight="1">
      <x:c r="A82" s="272" t="str">
        <x:v>EXT-MONDE-T046-V27</x:v>
      </x:c>
      <x:c r="B82" s="272" t="str">
        <x:v>Camping caravanes</x:v>
      </x:c>
      <x:c r="C82" s="281" t="n">
        <x:v>27</x:v>
      </x:c>
      <x:c r="D82" s="282" t="str">
        <x:v>campaign205-046-27</x:v>
      </x:c>
      <x:c r="E82" s="281" t="n">
        <x:v>6</x:v>
      </x:c>
      <x:c r="F82" s="281" t="n">
        <x:v>6</x:v>
      </x:c>
      <x:c r="G82" s="281" t="n">
        <x:v>0</x:v>
      </x:c>
      <x:c r="H82" s="281" t="n">
        <x:v>2</x:v>
      </x:c>
      <x:c r="I82" s="281" t="n">
        <x:v>2</x:v>
      </x:c>
      <x:c r="J82" s="281" t="n">
        <x:v>2</x:v>
      </x:c>
      <x:c r="K82" s="281" t="n">
        <x:v>0</x:v>
      </x:c>
      <x:c r="L82" s="282" t="str">
        <x:v>Non</x:v>
      </x:c>
      <x:c r="M82" s="281" t="n">
        <x:v>0</x:v>
      </x:c>
      <x:c r="N82" s="272" t="str">
        <x:v>https://github.com/darknigthmare/deadwall-last-enclosure/blob/e28f46223e73105ab2c5d83f3d50b99b58ef53e6/docs/codex/suivi-monde2026/campagne208-services.json</x:v>
      </x:c>
      <x:c r="O82" s="272" t="str">
        <x:v>https://github.com/darknigthmare/deadwall-last-enclosure/blob/e28f46223e73105ab2c5d83f3d50b99b58ef53e6/docs/codex/suivi-monde2026/campagne208-art.json</x:v>
      </x:c>
      <x:c r="P82" s="272" t="str">
        <x:v>Supports proposés et poses canoniques ; parcours et transactions distincts.</x:v>
      </x:c>
    </x:row>
    <x:row r="83" ht="64" customHeight="1">
      <x:c r="A83" s="272" t="str">
        <x:v>EXT-MONDE-T046-V28</x:v>
      </x:c>
      <x:c r="B83" s="272" t="str">
        <x:v>Camping caravanes</x:v>
      </x:c>
      <x:c r="C83" s="281" t="n">
        <x:v>28</x:v>
      </x:c>
      <x:c r="D83" s="282" t="str">
        <x:v>campaign205-046-28</x:v>
      </x:c>
      <x:c r="E83" s="281" t="n">
        <x:v>6</x:v>
      </x:c>
      <x:c r="F83" s="281" t="n">
        <x:v>6</x:v>
      </x:c>
      <x:c r="G83" s="281" t="n">
        <x:v>0</x:v>
      </x:c>
      <x:c r="H83" s="281" t="n">
        <x:v>2</x:v>
      </x:c>
      <x:c r="I83" s="281" t="n">
        <x:v>2</x:v>
      </x:c>
      <x:c r="J83" s="281" t="n">
        <x:v>2</x:v>
      </x:c>
      <x:c r="K83" s="281" t="n">
        <x:v>0</x:v>
      </x:c>
      <x:c r="L83" s="282" t="str">
        <x:v>Non</x:v>
      </x:c>
      <x:c r="M83" s="281" t="n">
        <x:v>0</x:v>
      </x:c>
      <x:c r="N83" s="272" t="str">
        <x:v>https://github.com/darknigthmare/deadwall-last-enclosure/blob/e28f46223e73105ab2c5d83f3d50b99b58ef53e6/docs/codex/suivi-monde2026/campagne208-services.json</x:v>
      </x:c>
      <x:c r="O83" s="272" t="str">
        <x:v>https://github.com/darknigthmare/deadwall-last-enclosure/blob/e28f46223e73105ab2c5d83f3d50b99b58ef53e6/docs/codex/suivi-monde2026/campagne208-art.json</x:v>
      </x:c>
      <x:c r="P83" s="272" t="str">
        <x:v>Supports proposés et poses canoniques ; parcours et transactions distincts.</x:v>
      </x:c>
    </x:row>
    <x:row r="84" ht="64" customHeight="1">
      <x:c r="A84" s="272" t="str">
        <x:v>EXT-MONDE-T046-V29</x:v>
      </x:c>
      <x:c r="B84" s="272" t="str">
        <x:v>Camping caravanes</x:v>
      </x:c>
      <x:c r="C84" s="281" t="n">
        <x:v>29</x:v>
      </x:c>
      <x:c r="D84" s="282" t="str">
        <x:v>campaign205-046-29</x:v>
      </x:c>
      <x:c r="E84" s="281" t="n">
        <x:v>6</x:v>
      </x:c>
      <x:c r="F84" s="281" t="n">
        <x:v>6</x:v>
      </x:c>
      <x:c r="G84" s="281" t="n">
        <x:v>0</x:v>
      </x:c>
      <x:c r="H84" s="281" t="n">
        <x:v>2</x:v>
      </x:c>
      <x:c r="I84" s="281" t="n">
        <x:v>2</x:v>
      </x:c>
      <x:c r="J84" s="281" t="n">
        <x:v>2</x:v>
      </x:c>
      <x:c r="K84" s="281" t="n">
        <x:v>0</x:v>
      </x:c>
      <x:c r="L84" s="282" t="str">
        <x:v>Non</x:v>
      </x:c>
      <x:c r="M84" s="281" t="n">
        <x:v>0</x:v>
      </x:c>
      <x:c r="N84" s="272" t="str">
        <x:v>https://github.com/darknigthmare/deadwall-last-enclosure/blob/e28f46223e73105ab2c5d83f3d50b99b58ef53e6/docs/codex/suivi-monde2026/campagne208-services.json</x:v>
      </x:c>
      <x:c r="O84" s="272" t="str">
        <x:v>https://github.com/darknigthmare/deadwall-last-enclosure/blob/e28f46223e73105ab2c5d83f3d50b99b58ef53e6/docs/codex/suivi-monde2026/campagne208-art.json</x:v>
      </x:c>
      <x:c r="P84" s="272" t="str">
        <x:v>Supports proposés et poses canoniques ; parcours et transactions distincts.</x:v>
      </x:c>
    </x:row>
    <x:row r="85" ht="64" customHeight="1">
      <x:c r="A85" s="272" t="str">
        <x:v>EXT-MONDE-T046-V30</x:v>
      </x:c>
      <x:c r="B85" s="272" t="str">
        <x:v>Camping caravanes</x:v>
      </x:c>
      <x:c r="C85" s="281" t="n">
        <x:v>30</x:v>
      </x:c>
      <x:c r="D85" s="282" t="str">
        <x:v>campaign205-046-30</x:v>
      </x:c>
      <x:c r="E85" s="281" t="n">
        <x:v>6</x:v>
      </x:c>
      <x:c r="F85" s="281" t="n">
        <x:v>6</x:v>
      </x:c>
      <x:c r="G85" s="281" t="n">
        <x:v>0</x:v>
      </x:c>
      <x:c r="H85" s="281" t="n">
        <x:v>2</x:v>
      </x:c>
      <x:c r="I85" s="281" t="n">
        <x:v>2</x:v>
      </x:c>
      <x:c r="J85" s="281" t="n">
        <x:v>2</x:v>
      </x:c>
      <x:c r="K85" s="281" t="n">
        <x:v>0</x:v>
      </x:c>
      <x:c r="L85" s="282" t="str">
        <x:v>Non</x:v>
      </x:c>
      <x:c r="M85" s="281" t="n">
        <x:v>0</x:v>
      </x:c>
      <x:c r="N85" s="272" t="str">
        <x:v>https://github.com/darknigthmare/deadwall-last-enclosure/blob/e28f46223e73105ab2c5d83f3d50b99b58ef53e6/docs/codex/suivi-monde2026/campagne208-services.json</x:v>
      </x:c>
      <x:c r="O85" s="272" t="str">
        <x:v>https://github.com/darknigthmare/deadwall-last-enclosure/blob/e28f46223e73105ab2c5d83f3d50b99b58ef53e6/docs/codex/suivi-monde2026/campagne208-art.json</x:v>
      </x:c>
      <x:c r="P85" s="272" t="str">
        <x:v>Supports proposés et poses canoniques ; parcours et transactions distincts.</x:v>
      </x:c>
    </x:row>
    <x:row r="86" ht="64" customHeight="1">
      <x:c r="A86" s="272" t="str">
        <x:v>EXT-MONDE-T046-V31</x:v>
      </x:c>
      <x:c r="B86" s="272" t="str">
        <x:v>Camping caravanes</x:v>
      </x:c>
      <x:c r="C86" s="281" t="n">
        <x:v>31</x:v>
      </x:c>
      <x:c r="D86" s="282" t="str">
        <x:v>campaign205-046-31</x:v>
      </x:c>
      <x:c r="E86" s="281" t="n">
        <x:v>6</x:v>
      </x:c>
      <x:c r="F86" s="281" t="n">
        <x:v>6</x:v>
      </x:c>
      <x:c r="G86" s="281" t="n">
        <x:v>0</x:v>
      </x:c>
      <x:c r="H86" s="281" t="n">
        <x:v>2</x:v>
      </x:c>
      <x:c r="I86" s="281" t="n">
        <x:v>2</x:v>
      </x:c>
      <x:c r="J86" s="281" t="n">
        <x:v>2</x:v>
      </x:c>
      <x:c r="K86" s="281" t="n">
        <x:v>0</x:v>
      </x:c>
      <x:c r="L86" s="282" t="str">
        <x:v>Non</x:v>
      </x:c>
      <x:c r="M86" s="281" t="n">
        <x:v>0</x:v>
      </x:c>
      <x:c r="N86" s="272" t="str">
        <x:v>https://github.com/darknigthmare/deadwall-last-enclosure/blob/e28f46223e73105ab2c5d83f3d50b99b58ef53e6/docs/codex/suivi-monde2026/campagne208-services.json</x:v>
      </x:c>
      <x:c r="O86" s="272" t="str">
        <x:v>https://github.com/darknigthmare/deadwall-last-enclosure/blob/e28f46223e73105ab2c5d83f3d50b99b58ef53e6/docs/codex/suivi-monde2026/campagne208-art.json</x:v>
      </x:c>
      <x:c r="P86" s="272" t="str">
        <x:v>Supports proposés et poses canoniques ; parcours et transactions distincts.</x:v>
      </x:c>
    </x:row>
    <x:row r="87" ht="64" customHeight="1">
      <x:c r="A87" s="272" t="str">
        <x:v>EXT-MONDE-T046-V32</x:v>
      </x:c>
      <x:c r="B87" s="272" t="str">
        <x:v>Camping caravanes</x:v>
      </x:c>
      <x:c r="C87" s="281" t="n">
        <x:v>32</x:v>
      </x:c>
      <x:c r="D87" s="282" t="str">
        <x:v>campaign205-046-32</x:v>
      </x:c>
      <x:c r="E87" s="281" t="n">
        <x:v>6</x:v>
      </x:c>
      <x:c r="F87" s="281" t="n">
        <x:v>6</x:v>
      </x:c>
      <x:c r="G87" s="281" t="n">
        <x:v>0</x:v>
      </x:c>
      <x:c r="H87" s="281" t="n">
        <x:v>2</x:v>
      </x:c>
      <x:c r="I87" s="281" t="n">
        <x:v>2</x:v>
      </x:c>
      <x:c r="J87" s="281" t="n">
        <x:v>2</x:v>
      </x:c>
      <x:c r="K87" s="281" t="n">
        <x:v>0</x:v>
      </x:c>
      <x:c r="L87" s="282" t="str">
        <x:v>Non</x:v>
      </x:c>
      <x:c r="M87" s="281" t="n">
        <x:v>0</x:v>
      </x:c>
      <x:c r="N87" s="272" t="str">
        <x:v>https://github.com/darknigthmare/deadwall-last-enclosure/blob/e28f46223e73105ab2c5d83f3d50b99b58ef53e6/docs/codex/suivi-monde2026/campagne208-services.json</x:v>
      </x:c>
      <x:c r="O87" s="272" t="str">
        <x:v>https://github.com/darknigthmare/deadwall-last-enclosure/blob/e28f46223e73105ab2c5d83f3d50b99b58ef53e6/docs/codex/suivi-monde2026/campagne208-art.json</x:v>
      </x:c>
      <x:c r="P87" s="272" t="str">
        <x:v>Supports proposés et poses canoniques ; parcours et transactions distincts.</x:v>
      </x:c>
    </x:row>
    <x:row r="88" ht="64" customHeight="1">
      <x:c r="A88" s="272" t="str">
        <x:v>EXT-MONDE-T046-V33</x:v>
      </x:c>
      <x:c r="B88" s="272" t="str">
        <x:v>Camping caravanes</x:v>
      </x:c>
      <x:c r="C88" s="281" t="n">
        <x:v>33</x:v>
      </x:c>
      <x:c r="D88" s="282" t="str">
        <x:v>campaign205-046-33</x:v>
      </x:c>
      <x:c r="E88" s="281" t="n">
        <x:v>6</x:v>
      </x:c>
      <x:c r="F88" s="281" t="n">
        <x:v>6</x:v>
      </x:c>
      <x:c r="G88" s="281" t="n">
        <x:v>0</x:v>
      </x:c>
      <x:c r="H88" s="281" t="n">
        <x:v>2</x:v>
      </x:c>
      <x:c r="I88" s="281" t="n">
        <x:v>2</x:v>
      </x:c>
      <x:c r="J88" s="281" t="n">
        <x:v>2</x:v>
      </x:c>
      <x:c r="K88" s="281" t="n">
        <x:v>0</x:v>
      </x:c>
      <x:c r="L88" s="282" t="str">
        <x:v>Non</x:v>
      </x:c>
      <x:c r="M88" s="281" t="n">
        <x:v>0</x:v>
      </x:c>
      <x:c r="N88" s="272" t="str">
        <x:v>https://github.com/darknigthmare/deadwall-last-enclosure/blob/e28f46223e73105ab2c5d83f3d50b99b58ef53e6/docs/codex/suivi-monde2026/campagne208-services.json</x:v>
      </x:c>
      <x:c r="O88" s="272" t="str">
        <x:v>https://github.com/darknigthmare/deadwall-last-enclosure/blob/e28f46223e73105ab2c5d83f3d50b99b58ef53e6/docs/codex/suivi-monde2026/campagne208-art.json</x:v>
      </x:c>
      <x:c r="P88" s="272" t="str">
        <x:v>Supports proposés et poses canoniques ; parcours et transactions distincts.</x:v>
      </x:c>
    </x:row>
    <x:row r="89" ht="64" customHeight="1">
      <x:c r="A89" s="272" t="str">
        <x:v>EXT-MONDE-T046-V34</x:v>
      </x:c>
      <x:c r="B89" s="272" t="str">
        <x:v>Camping caravanes</x:v>
      </x:c>
      <x:c r="C89" s="281" t="n">
        <x:v>34</x:v>
      </x:c>
      <x:c r="D89" s="282" t="str">
        <x:v>campaign205-046-34</x:v>
      </x:c>
      <x:c r="E89" s="281" t="n">
        <x:v>6</x:v>
      </x:c>
      <x:c r="F89" s="281" t="n">
        <x:v>6</x:v>
      </x:c>
      <x:c r="G89" s="281" t="n">
        <x:v>0</x:v>
      </x:c>
      <x:c r="H89" s="281" t="n">
        <x:v>2</x:v>
      </x:c>
      <x:c r="I89" s="281" t="n">
        <x:v>2</x:v>
      </x:c>
      <x:c r="J89" s="281" t="n">
        <x:v>2</x:v>
      </x:c>
      <x:c r="K89" s="281" t="n">
        <x:v>0</x:v>
      </x:c>
      <x:c r="L89" s="282" t="str">
        <x:v>Non</x:v>
      </x:c>
      <x:c r="M89" s="281" t="n">
        <x:v>0</x:v>
      </x:c>
      <x:c r="N89" s="272" t="str">
        <x:v>https://github.com/darknigthmare/deadwall-last-enclosure/blob/e28f46223e73105ab2c5d83f3d50b99b58ef53e6/docs/codex/suivi-monde2026/campagne208-services.json</x:v>
      </x:c>
      <x:c r="O89" s="272" t="str">
        <x:v>https://github.com/darknigthmare/deadwall-last-enclosure/blob/e28f46223e73105ab2c5d83f3d50b99b58ef53e6/docs/codex/suivi-monde2026/campagne208-art.json</x:v>
      </x:c>
      <x:c r="P89" s="272" t="str">
        <x:v>Supports proposés et poses canoniques ; parcours et transactions distincts.</x:v>
      </x:c>
    </x:row>
    <x:row r="90" ht="64" customHeight="1">
      <x:c r="A90" s="272" t="str">
        <x:v>EXT-MONDE-T046-V35</x:v>
      </x:c>
      <x:c r="B90" s="272" t="str">
        <x:v>Camping caravanes</x:v>
      </x:c>
      <x:c r="C90" s="281" t="n">
        <x:v>35</x:v>
      </x:c>
      <x:c r="D90" s="282" t="str">
        <x:v>campaign205-046-35</x:v>
      </x:c>
      <x:c r="E90" s="281" t="n">
        <x:v>6</x:v>
      </x:c>
      <x:c r="F90" s="281" t="n">
        <x:v>6</x:v>
      </x:c>
      <x:c r="G90" s="281" t="n">
        <x:v>0</x:v>
      </x:c>
      <x:c r="H90" s="281" t="n">
        <x:v>2</x:v>
      </x:c>
      <x:c r="I90" s="281" t="n">
        <x:v>2</x:v>
      </x:c>
      <x:c r="J90" s="281" t="n">
        <x:v>2</x:v>
      </x:c>
      <x:c r="K90" s="281" t="n">
        <x:v>0</x:v>
      </x:c>
      <x:c r="L90" s="282" t="str">
        <x:v>Non</x:v>
      </x:c>
      <x:c r="M90" s="281" t="n">
        <x:v>0</x:v>
      </x:c>
      <x:c r="N90" s="272" t="str">
        <x:v>https://github.com/darknigthmare/deadwall-last-enclosure/blob/e28f46223e73105ab2c5d83f3d50b99b58ef53e6/docs/codex/suivi-monde2026/campagne208-services.json</x:v>
      </x:c>
      <x:c r="O90" s="272" t="str">
        <x:v>https://github.com/darknigthmare/deadwall-last-enclosure/blob/e28f46223e73105ab2c5d83f3d50b99b58ef53e6/docs/codex/suivi-monde2026/campagne208-art.json</x:v>
      </x:c>
      <x:c r="P90" s="272" t="str">
        <x:v>Supports proposés et poses canoniques ; parcours et transactions distincts.</x:v>
      </x:c>
    </x:row>
    <x:row r="91" ht="64" customHeight="1">
      <x:c r="A91" s="272" t="str">
        <x:v>EXT-MONDE-T046-V36</x:v>
      </x:c>
      <x:c r="B91" s="272" t="str">
        <x:v>Camping caravanes</x:v>
      </x:c>
      <x:c r="C91" s="281" t="n">
        <x:v>36</x:v>
      </x:c>
      <x:c r="D91" s="282" t="str">
        <x:v>campaign205-046-36</x:v>
      </x:c>
      <x:c r="E91" s="281" t="n">
        <x:v>6</x:v>
      </x:c>
      <x:c r="F91" s="281" t="n">
        <x:v>6</x:v>
      </x:c>
      <x:c r="G91" s="281" t="n">
        <x:v>0</x:v>
      </x:c>
      <x:c r="H91" s="281" t="n">
        <x:v>2</x:v>
      </x:c>
      <x:c r="I91" s="281" t="n">
        <x:v>2</x:v>
      </x:c>
      <x:c r="J91" s="281" t="n">
        <x:v>2</x:v>
      </x:c>
      <x:c r="K91" s="281" t="n">
        <x:v>0</x:v>
      </x:c>
      <x:c r="L91" s="282" t="str">
        <x:v>Non</x:v>
      </x:c>
      <x:c r="M91" s="281" t="n">
        <x:v>0</x:v>
      </x:c>
      <x:c r="N91" s="272" t="str">
        <x:v>https://github.com/darknigthmare/deadwall-last-enclosure/blob/e28f46223e73105ab2c5d83f3d50b99b58ef53e6/docs/codex/suivi-monde2026/campagne208-services.json</x:v>
      </x:c>
      <x:c r="O91" s="272" t="str">
        <x:v>https://github.com/darknigthmare/deadwall-last-enclosure/blob/e28f46223e73105ab2c5d83f3d50b99b58ef53e6/docs/codex/suivi-monde2026/campagne208-art.json</x:v>
      </x:c>
      <x:c r="P91" s="272" t="str">
        <x:v>Supports proposés et poses canoniques ; parcours et transactions distincts.</x:v>
      </x:c>
    </x:row>
    <x:row r="92" ht="64" customHeight="1">
      <x:c r="A92" s="272" t="str">
        <x:v>EXT-MONDE-T046-V37</x:v>
      </x:c>
      <x:c r="B92" s="272" t="str">
        <x:v>Camping caravanes</x:v>
      </x:c>
      <x:c r="C92" s="281" t="n">
        <x:v>37</x:v>
      </x:c>
      <x:c r="D92" s="282" t="str">
        <x:v>campaign205-046-37</x:v>
      </x:c>
      <x:c r="E92" s="281" t="n">
        <x:v>6</x:v>
      </x:c>
      <x:c r="F92" s="281" t="n">
        <x:v>6</x:v>
      </x:c>
      <x:c r="G92" s="281" t="n">
        <x:v>0</x:v>
      </x:c>
      <x:c r="H92" s="281" t="n">
        <x:v>2</x:v>
      </x:c>
      <x:c r="I92" s="281" t="n">
        <x:v>2</x:v>
      </x:c>
      <x:c r="J92" s="281" t="n">
        <x:v>2</x:v>
      </x:c>
      <x:c r="K92" s="281" t="n">
        <x:v>0</x:v>
      </x:c>
      <x:c r="L92" s="282" t="str">
        <x:v>Non</x:v>
      </x:c>
      <x:c r="M92" s="281" t="n">
        <x:v>0</x:v>
      </x:c>
      <x:c r="N92" s="272" t="str">
        <x:v>https://github.com/darknigthmare/deadwall-last-enclosure/blob/e28f46223e73105ab2c5d83f3d50b99b58ef53e6/docs/codex/suivi-monde2026/campagne208-services.json</x:v>
      </x:c>
      <x:c r="O92" s="272" t="str">
        <x:v>https://github.com/darknigthmare/deadwall-last-enclosure/blob/e28f46223e73105ab2c5d83f3d50b99b58ef53e6/docs/codex/suivi-monde2026/campagne208-art.json</x:v>
      </x:c>
      <x:c r="P92" s="272" t="str">
        <x:v>Supports proposés et poses canoniques ; parcours et transactions distincts.</x:v>
      </x:c>
    </x:row>
    <x:row r="93" ht="64" customHeight="1">
      <x:c r="A93" s="272" t="str">
        <x:v>EXT-MONDE-T046-V38</x:v>
      </x:c>
      <x:c r="B93" s="272" t="str">
        <x:v>Camping caravanes</x:v>
      </x:c>
      <x:c r="C93" s="281" t="n">
        <x:v>38</x:v>
      </x:c>
      <x:c r="D93" s="282" t="str">
        <x:v>campaign205-046-38</x:v>
      </x:c>
      <x:c r="E93" s="281" t="n">
        <x:v>6</x:v>
      </x:c>
      <x:c r="F93" s="281" t="n">
        <x:v>6</x:v>
      </x:c>
      <x:c r="G93" s="281" t="n">
        <x:v>0</x:v>
      </x:c>
      <x:c r="H93" s="281" t="n">
        <x:v>2</x:v>
      </x:c>
      <x:c r="I93" s="281" t="n">
        <x:v>2</x:v>
      </x:c>
      <x:c r="J93" s="281" t="n">
        <x:v>2</x:v>
      </x:c>
      <x:c r="K93" s="281" t="n">
        <x:v>0</x:v>
      </x:c>
      <x:c r="L93" s="282" t="str">
        <x:v>Non</x:v>
      </x:c>
      <x:c r="M93" s="281" t="n">
        <x:v>0</x:v>
      </x:c>
      <x:c r="N93" s="272" t="str">
        <x:v>https://github.com/darknigthmare/deadwall-last-enclosure/blob/e28f46223e73105ab2c5d83f3d50b99b58ef53e6/docs/codex/suivi-monde2026/campagne208-services.json</x:v>
      </x:c>
      <x:c r="O93" s="272" t="str">
        <x:v>https://github.com/darknigthmare/deadwall-last-enclosure/blob/e28f46223e73105ab2c5d83f3d50b99b58ef53e6/docs/codex/suivi-monde2026/campagne208-art.json</x:v>
      </x:c>
      <x:c r="P93" s="272" t="str">
        <x:v>Supports proposés et poses canoniques ; parcours et transactions distincts.</x:v>
      </x:c>
    </x:row>
    <x:row r="94" ht="64" customHeight="1">
      <x:c r="A94" s="272" t="str">
        <x:v>EXT-MONDE-T046-V39</x:v>
      </x:c>
      <x:c r="B94" s="272" t="str">
        <x:v>Camping caravanes</x:v>
      </x:c>
      <x:c r="C94" s="281" t="n">
        <x:v>39</x:v>
      </x:c>
      <x:c r="D94" s="282" t="str">
        <x:v>campaign205-046-39</x:v>
      </x:c>
      <x:c r="E94" s="281" t="n">
        <x:v>6</x:v>
      </x:c>
      <x:c r="F94" s="281" t="n">
        <x:v>6</x:v>
      </x:c>
      <x:c r="G94" s="281" t="n">
        <x:v>0</x:v>
      </x:c>
      <x:c r="H94" s="281" t="n">
        <x:v>2</x:v>
      </x:c>
      <x:c r="I94" s="281" t="n">
        <x:v>2</x:v>
      </x:c>
      <x:c r="J94" s="281" t="n">
        <x:v>2</x:v>
      </x:c>
      <x:c r="K94" s="281" t="n">
        <x:v>0</x:v>
      </x:c>
      <x:c r="L94" s="282" t="str">
        <x:v>Non</x:v>
      </x:c>
      <x:c r="M94" s="281" t="n">
        <x:v>0</x:v>
      </x:c>
      <x:c r="N94" s="272" t="str">
        <x:v>https://github.com/darknigthmare/deadwall-last-enclosure/blob/e28f46223e73105ab2c5d83f3d50b99b58ef53e6/docs/codex/suivi-monde2026/campagne208-services.json</x:v>
      </x:c>
      <x:c r="O94" s="272" t="str">
        <x:v>https://github.com/darknigthmare/deadwall-last-enclosure/blob/e28f46223e73105ab2c5d83f3d50b99b58ef53e6/docs/codex/suivi-monde2026/campagne208-art.json</x:v>
      </x:c>
      <x:c r="P94" s="272" t="str">
        <x:v>Supports proposés et poses canoniques ; parcours et transactions distincts.</x:v>
      </x:c>
    </x:row>
    <x:row r="95" ht="64" customHeight="1">
      <x:c r="A95" s="272" t="str">
        <x:v>EXT-MONDE-T046-V40</x:v>
      </x:c>
      <x:c r="B95" s="272" t="str">
        <x:v>Camping caravanes</x:v>
      </x:c>
      <x:c r="C95" s="281" t="n">
        <x:v>40</x:v>
      </x:c>
      <x:c r="D95" s="282" t="str">
        <x:v>campaign205-046-40</x:v>
      </x:c>
      <x:c r="E95" s="281" t="n">
        <x:v>6</x:v>
      </x:c>
      <x:c r="F95" s="281" t="n">
        <x:v>6</x:v>
      </x:c>
      <x:c r="G95" s="281" t="n">
        <x:v>0</x:v>
      </x:c>
      <x:c r="H95" s="281" t="n">
        <x:v>2</x:v>
      </x:c>
      <x:c r="I95" s="281" t="n">
        <x:v>2</x:v>
      </x:c>
      <x:c r="J95" s="281" t="n">
        <x:v>2</x:v>
      </x:c>
      <x:c r="K95" s="281" t="n">
        <x:v>0</x:v>
      </x:c>
      <x:c r="L95" s="282" t="str">
        <x:v>Non</x:v>
      </x:c>
      <x:c r="M95" s="281" t="n">
        <x:v>0</x:v>
      </x:c>
      <x:c r="N95" s="272" t="str">
        <x:v>https://github.com/darknigthmare/deadwall-last-enclosure/blob/e28f46223e73105ab2c5d83f3d50b99b58ef53e6/docs/codex/suivi-monde2026/campagne208-services.json</x:v>
      </x:c>
      <x:c r="O95" s="272" t="str">
        <x:v>https://github.com/darknigthmare/deadwall-last-enclosure/blob/e28f46223e73105ab2c5d83f3d50b99b58ef53e6/docs/codex/suivi-monde2026/campagne208-art.json</x:v>
      </x:c>
      <x:c r="P95" s="272" t="str">
        <x:v>Supports proposés et poses canoniques ; parcours et transactions distincts.</x:v>
      </x:c>
    </x:row>
    <x:row r="96" ht="64" customHeight="1">
      <x:c r="A96" s="272" t="str">
        <x:v>EXT-MONDE-T046-V41</x:v>
      </x:c>
      <x:c r="B96" s="272" t="str">
        <x:v>Camping caravanes</x:v>
      </x:c>
      <x:c r="C96" s="281" t="n">
        <x:v>41</x:v>
      </x:c>
      <x:c r="D96" s="282" t="str">
        <x:v>campaign205-046-41</x:v>
      </x:c>
      <x:c r="E96" s="281" t="n">
        <x:v>6</x:v>
      </x:c>
      <x:c r="F96" s="281" t="n">
        <x:v>6</x:v>
      </x:c>
      <x:c r="G96" s="281" t="n">
        <x:v>0</x:v>
      </x:c>
      <x:c r="H96" s="281" t="n">
        <x:v>2</x:v>
      </x:c>
      <x:c r="I96" s="281" t="n">
        <x:v>2</x:v>
      </x:c>
      <x:c r="J96" s="281" t="n">
        <x:v>2</x:v>
      </x:c>
      <x:c r="K96" s="281" t="n">
        <x:v>0</x:v>
      </x:c>
      <x:c r="L96" s="282" t="str">
        <x:v>Non</x:v>
      </x:c>
      <x:c r="M96" s="281" t="n">
        <x:v>0</x:v>
      </x:c>
      <x:c r="N96" s="272" t="str">
        <x:v>https://github.com/darknigthmare/deadwall-last-enclosure/blob/e28f46223e73105ab2c5d83f3d50b99b58ef53e6/docs/codex/suivi-monde2026/campagne208-services.json</x:v>
      </x:c>
      <x:c r="O96" s="272" t="str">
        <x:v>https://github.com/darknigthmare/deadwall-last-enclosure/blob/e28f46223e73105ab2c5d83f3d50b99b58ef53e6/docs/codex/suivi-monde2026/campagne208-art.json</x:v>
      </x:c>
      <x:c r="P96" s="272" t="str">
        <x:v>Supports proposés et poses canoniques ; parcours et transactions distincts.</x:v>
      </x:c>
    </x:row>
    <x:row r="97" ht="64" customHeight="1">
      <x:c r="A97" s="272" t="str">
        <x:v>EXT-MONDE-T046-V42</x:v>
      </x:c>
      <x:c r="B97" s="272" t="str">
        <x:v>Camping caravanes</x:v>
      </x:c>
      <x:c r="C97" s="281" t="n">
        <x:v>42</x:v>
      </x:c>
      <x:c r="D97" s="282" t="str">
        <x:v>campaign205-046-42</x:v>
      </x:c>
      <x:c r="E97" s="281" t="n">
        <x:v>6</x:v>
      </x:c>
      <x:c r="F97" s="281" t="n">
        <x:v>6</x:v>
      </x:c>
      <x:c r="G97" s="281" t="n">
        <x:v>0</x:v>
      </x:c>
      <x:c r="H97" s="281" t="n">
        <x:v>2</x:v>
      </x:c>
      <x:c r="I97" s="281" t="n">
        <x:v>2</x:v>
      </x:c>
      <x:c r="J97" s="281" t="n">
        <x:v>2</x:v>
      </x:c>
      <x:c r="K97" s="281" t="n">
        <x:v>0</x:v>
      </x:c>
      <x:c r="L97" s="282" t="str">
        <x:v>Non</x:v>
      </x:c>
      <x:c r="M97" s="281" t="n">
        <x:v>0</x:v>
      </x:c>
      <x:c r="N97" s="272" t="str">
        <x:v>https://github.com/darknigthmare/deadwall-last-enclosure/blob/e28f46223e73105ab2c5d83f3d50b99b58ef53e6/docs/codex/suivi-monde2026/campagne208-services.json</x:v>
      </x:c>
      <x:c r="O97" s="272" t="str">
        <x:v>https://github.com/darknigthmare/deadwall-last-enclosure/blob/e28f46223e73105ab2c5d83f3d50b99b58ef53e6/docs/codex/suivi-monde2026/campagne208-art.json</x:v>
      </x:c>
      <x:c r="P97" s="272" t="str">
        <x:v>Supports proposés et poses canoniques ; parcours et transactions distincts.</x:v>
      </x:c>
    </x:row>
    <x:row r="98" ht="64" customHeight="1">
      <x:c r="A98" s="272" t="str">
        <x:v>EXT-MONDE-T046-V43</x:v>
      </x:c>
      <x:c r="B98" s="272" t="str">
        <x:v>Camping caravanes</x:v>
      </x:c>
      <x:c r="C98" s="281" t="n">
        <x:v>43</x:v>
      </x:c>
      <x:c r="D98" s="282" t="str">
        <x:v>campaign205-046-43</x:v>
      </x:c>
      <x:c r="E98" s="281" t="n">
        <x:v>6</x:v>
      </x:c>
      <x:c r="F98" s="281" t="n">
        <x:v>6</x:v>
      </x:c>
      <x:c r="G98" s="281" t="n">
        <x:v>0</x:v>
      </x:c>
      <x:c r="H98" s="281" t="n">
        <x:v>2</x:v>
      </x:c>
      <x:c r="I98" s="281" t="n">
        <x:v>2</x:v>
      </x:c>
      <x:c r="J98" s="281" t="n">
        <x:v>2</x:v>
      </x:c>
      <x:c r="K98" s="281" t="n">
        <x:v>0</x:v>
      </x:c>
      <x:c r="L98" s="282" t="str">
        <x:v>Non</x:v>
      </x:c>
      <x:c r="M98" s="281" t="n">
        <x:v>0</x:v>
      </x:c>
      <x:c r="N98" s="272" t="str">
        <x:v>https://github.com/darknigthmare/deadwall-last-enclosure/blob/e28f46223e73105ab2c5d83f3d50b99b58ef53e6/docs/codex/suivi-monde2026/campagne208-services.json</x:v>
      </x:c>
      <x:c r="O98" s="272" t="str">
        <x:v>https://github.com/darknigthmare/deadwall-last-enclosure/blob/e28f46223e73105ab2c5d83f3d50b99b58ef53e6/docs/codex/suivi-monde2026/campagne208-art.json</x:v>
      </x:c>
      <x:c r="P98" s="272" t="str">
        <x:v>Supports proposés et poses canoniques ; parcours et transactions distincts.</x:v>
      </x:c>
    </x:row>
    <x:row r="99" ht="64" customHeight="1">
      <x:c r="A99" s="272" t="str">
        <x:v>EXT-MONDE-T046-V44</x:v>
      </x:c>
      <x:c r="B99" s="272" t="str">
        <x:v>Camping caravanes</x:v>
      </x:c>
      <x:c r="C99" s="281" t="n">
        <x:v>44</x:v>
      </x:c>
      <x:c r="D99" s="282" t="str">
        <x:v>campaign205-046-44</x:v>
      </x:c>
      <x:c r="E99" s="281" t="n">
        <x:v>6</x:v>
      </x:c>
      <x:c r="F99" s="281" t="n">
        <x:v>6</x:v>
      </x:c>
      <x:c r="G99" s="281" t="n">
        <x:v>0</x:v>
      </x:c>
      <x:c r="H99" s="281" t="n">
        <x:v>2</x:v>
      </x:c>
      <x:c r="I99" s="281" t="n">
        <x:v>2</x:v>
      </x:c>
      <x:c r="J99" s="281" t="n">
        <x:v>2</x:v>
      </x:c>
      <x:c r="K99" s="281" t="n">
        <x:v>0</x:v>
      </x:c>
      <x:c r="L99" s="282" t="str">
        <x:v>Non</x:v>
      </x:c>
      <x:c r="M99" s="281" t="n">
        <x:v>0</x:v>
      </x:c>
      <x:c r="N99" s="272" t="str">
        <x:v>https://github.com/darknigthmare/deadwall-last-enclosure/blob/e28f46223e73105ab2c5d83f3d50b99b58ef53e6/docs/codex/suivi-monde2026/campagne208-services.json</x:v>
      </x:c>
      <x:c r="O99" s="272" t="str">
        <x:v>https://github.com/darknigthmare/deadwall-last-enclosure/blob/e28f46223e73105ab2c5d83f3d50b99b58ef53e6/docs/codex/suivi-monde2026/campagne208-art.json</x:v>
      </x:c>
      <x:c r="P99" s="272" t="str">
        <x:v>Supports proposés et poses canoniques ; parcours et transactions distincts.</x:v>
      </x:c>
    </x:row>
    <x:row r="100" ht="64" customHeight="1">
      <x:c r="A100" s="272" t="str">
        <x:v>EXT-MONDE-T046-V45</x:v>
      </x:c>
      <x:c r="B100" s="272" t="str">
        <x:v>Camping caravanes</x:v>
      </x:c>
      <x:c r="C100" s="281" t="n">
        <x:v>45</x:v>
      </x:c>
      <x:c r="D100" s="282" t="str">
        <x:v>campaign205-046-45</x:v>
      </x:c>
      <x:c r="E100" s="281" t="n">
        <x:v>6</x:v>
      </x:c>
      <x:c r="F100" s="281" t="n">
        <x:v>6</x:v>
      </x:c>
      <x:c r="G100" s="281" t="n">
        <x:v>0</x:v>
      </x:c>
      <x:c r="H100" s="281" t="n">
        <x:v>2</x:v>
      </x:c>
      <x:c r="I100" s="281" t="n">
        <x:v>2</x:v>
      </x:c>
      <x:c r="J100" s="281" t="n">
        <x:v>2</x:v>
      </x:c>
      <x:c r="K100" s="281" t="n">
        <x:v>0</x:v>
      </x:c>
      <x:c r="L100" s="282" t="str">
        <x:v>Non</x:v>
      </x:c>
      <x:c r="M100" s="281" t="n">
        <x:v>0</x:v>
      </x:c>
      <x:c r="N100" s="272" t="str">
        <x:v>https://github.com/darknigthmare/deadwall-last-enclosure/blob/e28f46223e73105ab2c5d83f3d50b99b58ef53e6/docs/codex/suivi-monde2026/campagne208-services.json</x:v>
      </x:c>
      <x:c r="O100" s="272" t="str">
        <x:v>https://github.com/darknigthmare/deadwall-last-enclosure/blob/e28f46223e73105ab2c5d83f3d50b99b58ef53e6/docs/codex/suivi-monde2026/campagne208-art.json</x:v>
      </x:c>
      <x:c r="P100" s="272" t="str">
        <x:v>Supports proposés et poses canoniques ; parcours et transactions distincts.</x:v>
      </x:c>
    </x:row>
    <x:row r="101" ht="64" customHeight="1">
      <x:c r="A101" s="272" t="str">
        <x:v>EXT-MONDE-T046-V46</x:v>
      </x:c>
      <x:c r="B101" s="272" t="str">
        <x:v>Camping caravanes</x:v>
      </x:c>
      <x:c r="C101" s="281" t="n">
        <x:v>46</x:v>
      </x:c>
      <x:c r="D101" s="282" t="str">
        <x:v>campaign205-046-46</x:v>
      </x:c>
      <x:c r="E101" s="281" t="n">
        <x:v>6</x:v>
      </x:c>
      <x:c r="F101" s="281" t="n">
        <x:v>6</x:v>
      </x:c>
      <x:c r="G101" s="281" t="n">
        <x:v>0</x:v>
      </x:c>
      <x:c r="H101" s="281" t="n">
        <x:v>2</x:v>
      </x:c>
      <x:c r="I101" s="281" t="n">
        <x:v>2</x:v>
      </x:c>
      <x:c r="J101" s="281" t="n">
        <x:v>2</x:v>
      </x:c>
      <x:c r="K101" s="281" t="n">
        <x:v>0</x:v>
      </x:c>
      <x:c r="L101" s="282" t="str">
        <x:v>Non</x:v>
      </x:c>
      <x:c r="M101" s="281" t="n">
        <x:v>0</x:v>
      </x:c>
      <x:c r="N101" s="272" t="str">
        <x:v>https://github.com/darknigthmare/deadwall-last-enclosure/blob/e28f46223e73105ab2c5d83f3d50b99b58ef53e6/docs/codex/suivi-monde2026/campagne208-services.json</x:v>
      </x:c>
      <x:c r="O101" s="272" t="str">
        <x:v>https://github.com/darknigthmare/deadwall-last-enclosure/blob/e28f46223e73105ab2c5d83f3d50b99b58ef53e6/docs/codex/suivi-monde2026/campagne208-art.json</x:v>
      </x:c>
      <x:c r="P101" s="272" t="str">
        <x:v>Supports proposés et poses canoniques ; parcours et transactions distincts.</x:v>
      </x:c>
    </x:row>
    <x:row r="102" ht="64" customHeight="1">
      <x:c r="A102" s="272" t="str">
        <x:v>EXT-MONDE-T046-V47</x:v>
      </x:c>
      <x:c r="B102" s="272" t="str">
        <x:v>Camping caravanes</x:v>
      </x:c>
      <x:c r="C102" s="281" t="n">
        <x:v>47</x:v>
      </x:c>
      <x:c r="D102" s="282" t="str">
        <x:v>campaign205-046-47</x:v>
      </x:c>
      <x:c r="E102" s="281" t="n">
        <x:v>6</x:v>
      </x:c>
      <x:c r="F102" s="281" t="n">
        <x:v>6</x:v>
      </x:c>
      <x:c r="G102" s="281" t="n">
        <x:v>0</x:v>
      </x:c>
      <x:c r="H102" s="281" t="n">
        <x:v>2</x:v>
      </x:c>
      <x:c r="I102" s="281" t="n">
        <x:v>2</x:v>
      </x:c>
      <x:c r="J102" s="281" t="n">
        <x:v>2</x:v>
      </x:c>
      <x:c r="K102" s="281" t="n">
        <x:v>0</x:v>
      </x:c>
      <x:c r="L102" s="282" t="str">
        <x:v>Non</x:v>
      </x:c>
      <x:c r="M102" s="281" t="n">
        <x:v>0</x:v>
      </x:c>
      <x:c r="N102" s="272" t="str">
        <x:v>https://github.com/darknigthmare/deadwall-last-enclosure/blob/e28f46223e73105ab2c5d83f3d50b99b58ef53e6/docs/codex/suivi-monde2026/campagne208-services.json</x:v>
      </x:c>
      <x:c r="O102" s="272" t="str">
        <x:v>https://github.com/darknigthmare/deadwall-last-enclosure/blob/e28f46223e73105ab2c5d83f3d50b99b58ef53e6/docs/codex/suivi-monde2026/campagne208-art.json</x:v>
      </x:c>
      <x:c r="P102" s="272" t="str">
        <x:v>Supports proposés et poses canoniques ; parcours et transactions distincts.</x:v>
      </x:c>
    </x:row>
    <x:row r="103" ht="64" customHeight="1">
      <x:c r="A103" s="272" t="str">
        <x:v>EXT-MONDE-T046-V48</x:v>
      </x:c>
      <x:c r="B103" s="272" t="str">
        <x:v>Camping caravanes</x:v>
      </x:c>
      <x:c r="C103" s="281" t="n">
        <x:v>48</x:v>
      </x:c>
      <x:c r="D103" s="282" t="str">
        <x:v>campaign205-046-48</x:v>
      </x:c>
      <x:c r="E103" s="281" t="n">
        <x:v>6</x:v>
      </x:c>
      <x:c r="F103" s="281" t="n">
        <x:v>6</x:v>
      </x:c>
      <x:c r="G103" s="281" t="n">
        <x:v>0</x:v>
      </x:c>
      <x:c r="H103" s="281" t="n">
        <x:v>2</x:v>
      </x:c>
      <x:c r="I103" s="281" t="n">
        <x:v>2</x:v>
      </x:c>
      <x:c r="J103" s="281" t="n">
        <x:v>2</x:v>
      </x:c>
      <x:c r="K103" s="281" t="n">
        <x:v>0</x:v>
      </x:c>
      <x:c r="L103" s="282" t="str">
        <x:v>Non</x:v>
      </x:c>
      <x:c r="M103" s="281" t="n">
        <x:v>0</x:v>
      </x:c>
      <x:c r="N103" s="272" t="str">
        <x:v>https://github.com/darknigthmare/deadwall-last-enclosure/blob/e28f46223e73105ab2c5d83f3d50b99b58ef53e6/docs/codex/suivi-monde2026/campagne208-services.json</x:v>
      </x:c>
      <x:c r="O103" s="272" t="str">
        <x:v>https://github.com/darknigthmare/deadwall-last-enclosure/blob/e28f46223e73105ab2c5d83f3d50b99b58ef53e6/docs/codex/suivi-monde2026/campagne208-art.json</x:v>
      </x:c>
      <x:c r="P103" s="272" t="str">
        <x:v>Supports proposés et poses canoniques ; parcours et transactions distincts.</x:v>
      </x:c>
    </x:row>
    <x:row r="104" ht="64" customHeight="1">
      <x:c r="A104" s="272" t="str">
        <x:v>EXT-MONDE-T046-V49</x:v>
      </x:c>
      <x:c r="B104" s="272" t="str">
        <x:v>Camping caravanes</x:v>
      </x:c>
      <x:c r="C104" s="281" t="n">
        <x:v>49</x:v>
      </x:c>
      <x:c r="D104" s="282" t="str">
        <x:v>campaign205-046-49</x:v>
      </x:c>
      <x:c r="E104" s="281" t="n">
        <x:v>6</x:v>
      </x:c>
      <x:c r="F104" s="281" t="n">
        <x:v>6</x:v>
      </x:c>
      <x:c r="G104" s="281" t="n">
        <x:v>0</x:v>
      </x:c>
      <x:c r="H104" s="281" t="n">
        <x:v>2</x:v>
      </x:c>
      <x:c r="I104" s="281" t="n">
        <x:v>2</x:v>
      </x:c>
      <x:c r="J104" s="281" t="n">
        <x:v>2</x:v>
      </x:c>
      <x:c r="K104" s="281" t="n">
        <x:v>0</x:v>
      </x:c>
      <x:c r="L104" s="282" t="str">
        <x:v>Non</x:v>
      </x:c>
      <x:c r="M104" s="281" t="n">
        <x:v>0</x:v>
      </x:c>
      <x:c r="N104" s="272" t="str">
        <x:v>https://github.com/darknigthmare/deadwall-last-enclosure/blob/e28f46223e73105ab2c5d83f3d50b99b58ef53e6/docs/codex/suivi-monde2026/campagne208-services.json</x:v>
      </x:c>
      <x:c r="O104" s="272" t="str">
        <x:v>https://github.com/darknigthmare/deadwall-last-enclosure/blob/e28f46223e73105ab2c5d83f3d50b99b58ef53e6/docs/codex/suivi-monde2026/campagne208-art.json</x:v>
      </x:c>
      <x:c r="P104" s="272" t="str">
        <x:v>Supports proposés et poses canoniques ; parcours et transactions distincts.</x:v>
      </x:c>
    </x:row>
    <x:row r="105" ht="64" customHeight="1">
      <x:c r="A105" s="272" t="str">
        <x:v>EXT-MONDE-T046-V50</x:v>
      </x:c>
      <x:c r="B105" s="272" t="str">
        <x:v>Camping caravanes</x:v>
      </x:c>
      <x:c r="C105" s="281" t="n">
        <x:v>50</x:v>
      </x:c>
      <x:c r="D105" s="282" t="str">
        <x:v>campaign205-046-50</x:v>
      </x:c>
      <x:c r="E105" s="281" t="n">
        <x:v>6</x:v>
      </x:c>
      <x:c r="F105" s="281" t="n">
        <x:v>6</x:v>
      </x:c>
      <x:c r="G105" s="281" t="n">
        <x:v>0</x:v>
      </x:c>
      <x:c r="H105" s="281" t="n">
        <x:v>2</x:v>
      </x:c>
      <x:c r="I105" s="281" t="n">
        <x:v>2</x:v>
      </x:c>
      <x:c r="J105" s="281" t="n">
        <x:v>2</x:v>
      </x:c>
      <x:c r="K105" s="281" t="n">
        <x:v>0</x:v>
      </x:c>
      <x:c r="L105" s="282" t="str">
        <x:v>Non</x:v>
      </x:c>
      <x:c r="M105" s="281" t="n">
        <x:v>0</x:v>
      </x:c>
      <x:c r="N105" s="272" t="str">
        <x:v>https://github.com/darknigthmare/deadwall-last-enclosure/blob/e28f46223e73105ab2c5d83f3d50b99b58ef53e6/docs/codex/suivi-monde2026/campagne208-services.json</x:v>
      </x:c>
      <x:c r="O105" s="272" t="str">
        <x:v>https://github.com/darknigthmare/deadwall-last-enclosure/blob/e28f46223e73105ab2c5d83f3d50b99b58ef53e6/docs/codex/suivi-monde2026/campagne208-art.json</x:v>
      </x:c>
      <x:c r="P105" s="272" t="str">
        <x:v>Supports proposés et poses canoniques ; parcours et transactions distincts.</x:v>
      </x:c>
    </x:row>
    <x:row r="106" ht="64" customHeight="1">
      <x:c r="A106" s="272" t="str">
        <x:v>EXT-MONDE-T047-V01</x:v>
      </x:c>
      <x:c r="B106" s="272" t="str">
        <x:v>Camp de travailleurs</x:v>
      </x:c>
      <x:c r="C106" s="281" t="n">
        <x:v>1</x:v>
      </x:c>
      <x:c r="D106" s="282" t="str">
        <x:v>campaign205-047-01</x:v>
      </x:c>
      <x:c r="E106" s="281" t="n">
        <x:v>16</x:v>
      </x:c>
      <x:c r="F106" s="281" t="n">
        <x:v>16</x:v>
      </x:c>
      <x:c r="G106" s="281" t="n">
        <x:v>0</x:v>
      </x:c>
      <x:c r="H106" s="281" t="n">
        <x:v>1</x:v>
      </x:c>
      <x:c r="I106" s="281" t="n">
        <x:v>12</x:v>
      </x:c>
      <x:c r="J106" s="281" t="n">
        <x:v>2</x:v>
      </x:c>
      <x:c r="K106" s="281" t="n">
        <x:v>1</x:v>
      </x:c>
      <x:c r="L106" s="282" t="str">
        <x:v>Oui</x:v>
      </x:c>
      <x:c r="M106" s="281" t="n">
        <x:v>4</x:v>
      </x:c>
      <x:c r="N106" s="272" t="str">
        <x:v>https://github.com/darknigthmare/deadwall-last-enclosure/blob/e28f46223e73105ab2c5d83f3d50b99b58ef53e6/docs/codex/suivi-monde2026/campagne208-services.json</x:v>
      </x:c>
      <x:c r="O106" s="272" t="str">
        <x:v>https://github.com/darknigthmare/deadwall-last-enclosure/blob/e28f46223e73105ab2c5d83f3d50b99b58ef53e6/docs/codex/suivi-monde2026/campagne208-art.json</x:v>
      </x:c>
      <x:c r="P106" s="272" t="str">
        <x:v>Supports proposés et poses canoniques ; parcours et transactions distincts.</x:v>
      </x:c>
    </x:row>
    <x:row r="107" ht="64" customHeight="1">
      <x:c r="A107" s="272" t="str">
        <x:v>EXT-MONDE-T047-V02</x:v>
      </x:c>
      <x:c r="B107" s="272" t="str">
        <x:v>Camp de travailleurs</x:v>
      </x:c>
      <x:c r="C107" s="281" t="n">
        <x:v>2</x:v>
      </x:c>
      <x:c r="D107" s="282" t="str">
        <x:v>campaign205-047-02</x:v>
      </x:c>
      <x:c r="E107" s="281" t="n">
        <x:v>22</x:v>
      </x:c>
      <x:c r="F107" s="281" t="n">
        <x:v>22</x:v>
      </x:c>
      <x:c r="G107" s="281" t="n">
        <x:v>0</x:v>
      </x:c>
      <x:c r="H107" s="281" t="n">
        <x:v>1</x:v>
      </x:c>
      <x:c r="I107" s="281" t="n">
        <x:v>18</x:v>
      </x:c>
      <x:c r="J107" s="281" t="n">
        <x:v>2</x:v>
      </x:c>
      <x:c r="K107" s="281" t="n">
        <x:v>1</x:v>
      </x:c>
      <x:c r="L107" s="282" t="str">
        <x:v>Non</x:v>
      </x:c>
      <x:c r="M107" s="281" t="n">
        <x:v>0</x:v>
      </x:c>
      <x:c r="N107" s="272" t="str">
        <x:v>https://github.com/darknigthmare/deadwall-last-enclosure/blob/e28f46223e73105ab2c5d83f3d50b99b58ef53e6/docs/codex/suivi-monde2026/campagne208-services.json</x:v>
      </x:c>
      <x:c r="O107" s="272" t="str">
        <x:v>https://github.com/darknigthmare/deadwall-last-enclosure/blob/e28f46223e73105ab2c5d83f3d50b99b58ef53e6/docs/codex/suivi-monde2026/campagne208-art.json</x:v>
      </x:c>
      <x:c r="P107" s="272" t="str">
        <x:v>Supports proposés et poses canoniques ; parcours et transactions distincts.</x:v>
      </x:c>
    </x:row>
    <x:row r="108" ht="64" customHeight="1">
      <x:c r="A108" s="272" t="str">
        <x:v>EXT-MONDE-T047-V03</x:v>
      </x:c>
      <x:c r="B108" s="272" t="str">
        <x:v>Camp de travailleurs</x:v>
      </x:c>
      <x:c r="C108" s="281" t="n">
        <x:v>3</x:v>
      </x:c>
      <x:c r="D108" s="282" t="str">
        <x:v>campaign205-047-03</x:v>
      </x:c>
      <x:c r="E108" s="281" t="n">
        <x:v>28</x:v>
      </x:c>
      <x:c r="F108" s="281" t="n">
        <x:v>28</x:v>
      </x:c>
      <x:c r="G108" s="281" t="n">
        <x:v>0</x:v>
      </x:c>
      <x:c r="H108" s="281" t="n">
        <x:v>1</x:v>
      </x:c>
      <x:c r="I108" s="281" t="n">
        <x:v>24</x:v>
      </x:c>
      <x:c r="J108" s="281" t="n">
        <x:v>2</x:v>
      </x:c>
      <x:c r="K108" s="281" t="n">
        <x:v>1</x:v>
      </x:c>
      <x:c r="L108" s="282" t="str">
        <x:v>Non</x:v>
      </x:c>
      <x:c r="M108" s="281" t="n">
        <x:v>0</x:v>
      </x:c>
      <x:c r="N108" s="272" t="str">
        <x:v>https://github.com/darknigthmare/deadwall-last-enclosure/blob/e28f46223e73105ab2c5d83f3d50b99b58ef53e6/docs/codex/suivi-monde2026/campagne208-services.json</x:v>
      </x:c>
      <x:c r="O108" s="272" t="str">
        <x:v>https://github.com/darknigthmare/deadwall-last-enclosure/blob/e28f46223e73105ab2c5d83f3d50b99b58ef53e6/docs/codex/suivi-monde2026/campagne208-art.json</x:v>
      </x:c>
      <x:c r="P108" s="272" t="str">
        <x:v>Supports proposés et poses canoniques ; parcours et transactions distincts.</x:v>
      </x:c>
    </x:row>
    <x:row r="109" ht="64" customHeight="1">
      <x:c r="A109" s="272" t="str">
        <x:v>EXT-MONDE-T047-V04</x:v>
      </x:c>
      <x:c r="B109" s="272" t="str">
        <x:v>Camp de travailleurs</x:v>
      </x:c>
      <x:c r="C109" s="281" t="n">
        <x:v>4</x:v>
      </x:c>
      <x:c r="D109" s="282" t="str">
        <x:v>campaign205-047-04</x:v>
      </x:c>
      <x:c r="E109" s="281" t="n">
        <x:v>13</x:v>
      </x:c>
      <x:c r="F109" s="281" t="n">
        <x:v>13</x:v>
      </x:c>
      <x:c r="G109" s="281" t="n">
        <x:v>0</x:v>
      </x:c>
      <x:c r="H109" s="281" t="n">
        <x:v>1</x:v>
      </x:c>
      <x:c r="I109" s="281" t="n">
        <x:v>9</x:v>
      </x:c>
      <x:c r="J109" s="281" t="n">
        <x:v>2</x:v>
      </x:c>
      <x:c r="K109" s="281" t="n">
        <x:v>1</x:v>
      </x:c>
      <x:c r="L109" s="282" t="str">
        <x:v>Non</x:v>
      </x:c>
      <x:c r="M109" s="281" t="n">
        <x:v>0</x:v>
      </x:c>
      <x:c r="N109" s="272" t="str">
        <x:v>https://github.com/darknigthmare/deadwall-last-enclosure/blob/e28f46223e73105ab2c5d83f3d50b99b58ef53e6/docs/codex/suivi-monde2026/campagne208-services.json</x:v>
      </x:c>
      <x:c r="O109" s="272" t="str">
        <x:v>https://github.com/darknigthmare/deadwall-last-enclosure/blob/e28f46223e73105ab2c5d83f3d50b99b58ef53e6/docs/codex/suivi-monde2026/campagne208-art.json</x:v>
      </x:c>
      <x:c r="P109" s="272" t="str">
        <x:v>Supports proposés et poses canoniques ; parcours et transactions distincts.</x:v>
      </x:c>
    </x:row>
    <x:row r="110" ht="64" customHeight="1">
      <x:c r="A110" s="272" t="str">
        <x:v>EXT-MONDE-T047-V05</x:v>
      </x:c>
      <x:c r="B110" s="272" t="str">
        <x:v>Camp de travailleurs</x:v>
      </x:c>
      <x:c r="C110" s="281" t="n">
        <x:v>5</x:v>
      </x:c>
      <x:c r="D110" s="282" t="str">
        <x:v>campaign205-047-05</x:v>
      </x:c>
      <x:c r="E110" s="281" t="n">
        <x:v>16</x:v>
      </x:c>
      <x:c r="F110" s="281" t="n">
        <x:v>16</x:v>
      </x:c>
      <x:c r="G110" s="281" t="n">
        <x:v>0</x:v>
      </x:c>
      <x:c r="H110" s="281" t="n">
        <x:v>1</x:v>
      </x:c>
      <x:c r="I110" s="281" t="n">
        <x:v>12</x:v>
      </x:c>
      <x:c r="J110" s="281" t="n">
        <x:v>2</x:v>
      </x:c>
      <x:c r="K110" s="281" t="n">
        <x:v>1</x:v>
      </x:c>
      <x:c r="L110" s="282" t="str">
        <x:v>Non</x:v>
      </x:c>
      <x:c r="M110" s="281" t="n">
        <x:v>0</x:v>
      </x:c>
      <x:c r="N110" s="272" t="str">
        <x:v>https://github.com/darknigthmare/deadwall-last-enclosure/blob/e28f46223e73105ab2c5d83f3d50b99b58ef53e6/docs/codex/suivi-monde2026/campagne208-services.json</x:v>
      </x:c>
      <x:c r="O110" s="272" t="str">
        <x:v>https://github.com/darknigthmare/deadwall-last-enclosure/blob/e28f46223e73105ab2c5d83f3d50b99b58ef53e6/docs/codex/suivi-monde2026/campagne208-art.json</x:v>
      </x:c>
      <x:c r="P110" s="272" t="str">
        <x:v>Supports proposés et poses canoniques ; parcours et transactions distincts.</x:v>
      </x:c>
    </x:row>
    <x:row r="111" ht="64" customHeight="1">
      <x:c r="A111" s="272" t="str">
        <x:v>EXT-MONDE-T047-V06</x:v>
      </x:c>
      <x:c r="B111" s="272" t="str">
        <x:v>Camp de travailleurs</x:v>
      </x:c>
      <x:c r="C111" s="281" t="n">
        <x:v>6</x:v>
      </x:c>
      <x:c r="D111" s="282" t="str">
        <x:v>campaign205-047-06</x:v>
      </x:c>
      <x:c r="E111" s="281" t="n">
        <x:v>22</x:v>
      </x:c>
      <x:c r="F111" s="281" t="n">
        <x:v>22</x:v>
      </x:c>
      <x:c r="G111" s="281" t="n">
        <x:v>0</x:v>
      </x:c>
      <x:c r="H111" s="281" t="n">
        <x:v>1</x:v>
      </x:c>
      <x:c r="I111" s="281" t="n">
        <x:v>18</x:v>
      </x:c>
      <x:c r="J111" s="281" t="n">
        <x:v>2</x:v>
      </x:c>
      <x:c r="K111" s="281" t="n">
        <x:v>1</x:v>
      </x:c>
      <x:c r="L111" s="282" t="str">
        <x:v>Non</x:v>
      </x:c>
      <x:c r="M111" s="281" t="n">
        <x:v>0</x:v>
      </x:c>
      <x:c r="N111" s="272" t="str">
        <x:v>https://github.com/darknigthmare/deadwall-last-enclosure/blob/e28f46223e73105ab2c5d83f3d50b99b58ef53e6/docs/codex/suivi-monde2026/campagne208-services.json</x:v>
      </x:c>
      <x:c r="O111" s="272" t="str">
        <x:v>https://github.com/darknigthmare/deadwall-last-enclosure/blob/e28f46223e73105ab2c5d83f3d50b99b58ef53e6/docs/codex/suivi-monde2026/campagne208-art.json</x:v>
      </x:c>
      <x:c r="P111" s="272" t="str">
        <x:v>Supports proposés et poses canoniques ; parcours et transactions distincts.</x:v>
      </x:c>
    </x:row>
    <x:row r="112" ht="64" customHeight="1">
      <x:c r="A112" s="272" t="str">
        <x:v>EXT-MONDE-T047-V07</x:v>
      </x:c>
      <x:c r="B112" s="272" t="str">
        <x:v>Camp de travailleurs</x:v>
      </x:c>
      <x:c r="C112" s="281" t="n">
        <x:v>7</x:v>
      </x:c>
      <x:c r="D112" s="282" t="str">
        <x:v>campaign205-047-07</x:v>
      </x:c>
      <x:c r="E112" s="281" t="n">
        <x:v>31</x:v>
      </x:c>
      <x:c r="F112" s="281" t="n">
        <x:v>31</x:v>
      </x:c>
      <x:c r="G112" s="281" t="n">
        <x:v>0</x:v>
      </x:c>
      <x:c r="H112" s="281" t="n">
        <x:v>1</x:v>
      </x:c>
      <x:c r="I112" s="281" t="n">
        <x:v>27</x:v>
      </x:c>
      <x:c r="J112" s="281" t="n">
        <x:v>2</x:v>
      </x:c>
      <x:c r="K112" s="281" t="n">
        <x:v>1</x:v>
      </x:c>
      <x:c r="L112" s="282" t="str">
        <x:v>Non</x:v>
      </x:c>
      <x:c r="M112" s="281" t="n">
        <x:v>0</x:v>
      </x:c>
      <x:c r="N112" s="272" t="str">
        <x:v>https://github.com/darknigthmare/deadwall-last-enclosure/blob/e28f46223e73105ab2c5d83f3d50b99b58ef53e6/docs/codex/suivi-monde2026/campagne208-services.json</x:v>
      </x:c>
      <x:c r="O112" s="272" t="str">
        <x:v>https://github.com/darknigthmare/deadwall-last-enclosure/blob/e28f46223e73105ab2c5d83f3d50b99b58ef53e6/docs/codex/suivi-monde2026/campagne208-art.json</x:v>
      </x:c>
      <x:c r="P112" s="272" t="str">
        <x:v>Supports proposés et poses canoniques ; parcours et transactions distincts.</x:v>
      </x:c>
    </x:row>
    <x:row r="113" ht="64" customHeight="1">
      <x:c r="A113" s="272" t="str">
        <x:v>EXT-MONDE-T047-V08</x:v>
      </x:c>
      <x:c r="B113" s="272" t="str">
        <x:v>Camp de travailleurs</x:v>
      </x:c>
      <x:c r="C113" s="281" t="n">
        <x:v>8</x:v>
      </x:c>
      <x:c r="D113" s="282" t="str">
        <x:v>campaign205-047-08</x:v>
      </x:c>
      <x:c r="E113" s="281" t="n">
        <x:v>25</x:v>
      </x:c>
      <x:c r="F113" s="281" t="n">
        <x:v>25</x:v>
      </x:c>
      <x:c r="G113" s="281" t="n">
        <x:v>0</x:v>
      </x:c>
      <x:c r="H113" s="281" t="n">
        <x:v>1</x:v>
      </x:c>
      <x:c r="I113" s="281" t="n">
        <x:v>21</x:v>
      </x:c>
      <x:c r="J113" s="281" t="n">
        <x:v>2</x:v>
      </x:c>
      <x:c r="K113" s="281" t="n">
        <x:v>1</x:v>
      </x:c>
      <x:c r="L113" s="282" t="str">
        <x:v>Non</x:v>
      </x:c>
      <x:c r="M113" s="281" t="n">
        <x:v>0</x:v>
      </x:c>
      <x:c r="N113" s="272" t="str">
        <x:v>https://github.com/darknigthmare/deadwall-last-enclosure/blob/e28f46223e73105ab2c5d83f3d50b99b58ef53e6/docs/codex/suivi-monde2026/campagne208-services.json</x:v>
      </x:c>
      <x:c r="O113" s="272" t="str">
        <x:v>https://github.com/darknigthmare/deadwall-last-enclosure/blob/e28f46223e73105ab2c5d83f3d50b99b58ef53e6/docs/codex/suivi-monde2026/campagne208-art.json</x:v>
      </x:c>
      <x:c r="P113" s="272" t="str">
        <x:v>Supports proposés et poses canoniques ; parcours et transactions distincts.</x:v>
      </x:c>
    </x:row>
    <x:row r="114" ht="64" customHeight="1">
      <x:c r="A114" s="272" t="str">
        <x:v>EXT-MONDE-T047-V09</x:v>
      </x:c>
      <x:c r="B114" s="272" t="str">
        <x:v>Camp de travailleurs</x:v>
      </x:c>
      <x:c r="C114" s="281" t="n">
        <x:v>9</x:v>
      </x:c>
      <x:c r="D114" s="282" t="str">
        <x:v>campaign205-047-09</x:v>
      </x:c>
      <x:c r="E114" s="281" t="n">
        <x:v>19</x:v>
      </x:c>
      <x:c r="F114" s="281" t="n">
        <x:v>19</x:v>
      </x:c>
      <x:c r="G114" s="281" t="n">
        <x:v>0</x:v>
      </x:c>
      <x:c r="H114" s="281" t="n">
        <x:v>1</x:v>
      </x:c>
      <x:c r="I114" s="281" t="n">
        <x:v>15</x:v>
      </x:c>
      <x:c r="J114" s="281" t="n">
        <x:v>2</x:v>
      </x:c>
      <x:c r="K114" s="281" t="n">
        <x:v>1</x:v>
      </x:c>
      <x:c r="L114" s="282" t="str">
        <x:v>Non</x:v>
      </x:c>
      <x:c r="M114" s="281" t="n">
        <x:v>0</x:v>
      </x:c>
      <x:c r="N114" s="272" t="str">
        <x:v>https://github.com/darknigthmare/deadwall-last-enclosure/blob/e28f46223e73105ab2c5d83f3d50b99b58ef53e6/docs/codex/suivi-monde2026/campagne208-services.json</x:v>
      </x:c>
      <x:c r="O114" s="272" t="str">
        <x:v>https://github.com/darknigthmare/deadwall-last-enclosure/blob/e28f46223e73105ab2c5d83f3d50b99b58ef53e6/docs/codex/suivi-monde2026/campagne208-art.json</x:v>
      </x:c>
      <x:c r="P114" s="272" t="str">
        <x:v>Supports proposés et poses canoniques ; parcours et transactions distincts.</x:v>
      </x:c>
    </x:row>
    <x:row r="115" ht="64" customHeight="1">
      <x:c r="A115" s="272" t="str">
        <x:v>EXT-MONDE-T047-V10</x:v>
      </x:c>
      <x:c r="B115" s="272" t="str">
        <x:v>Camp de travailleurs</x:v>
      </x:c>
      <x:c r="C115" s="281" t="n">
        <x:v>10</x:v>
      </x:c>
      <x:c r="D115" s="282" t="str">
        <x:v>campaign205-047-10</x:v>
      </x:c>
      <x:c r="E115" s="281" t="n">
        <x:v>34</x:v>
      </x:c>
      <x:c r="F115" s="281" t="n">
        <x:v>34</x:v>
      </x:c>
      <x:c r="G115" s="281" t="n">
        <x:v>0</x:v>
      </x:c>
      <x:c r="H115" s="281" t="n">
        <x:v>1</x:v>
      </x:c>
      <x:c r="I115" s="281" t="n">
        <x:v>30</x:v>
      </x:c>
      <x:c r="J115" s="281" t="n">
        <x:v>2</x:v>
      </x:c>
      <x:c r="K115" s="281" t="n">
        <x:v>1</x:v>
      </x:c>
      <x:c r="L115" s="282" t="str">
        <x:v>Non</x:v>
      </x:c>
      <x:c r="M115" s="281" t="n">
        <x:v>0</x:v>
      </x:c>
      <x:c r="N115" s="272" t="str">
        <x:v>https://github.com/darknigthmare/deadwall-last-enclosure/blob/e28f46223e73105ab2c5d83f3d50b99b58ef53e6/docs/codex/suivi-monde2026/campagne208-services.json</x:v>
      </x:c>
      <x:c r="O115" s="272" t="str">
        <x:v>https://github.com/darknigthmare/deadwall-last-enclosure/blob/e28f46223e73105ab2c5d83f3d50b99b58ef53e6/docs/codex/suivi-monde2026/campagne208-art.json</x:v>
      </x:c>
      <x:c r="P115" s="272" t="str">
        <x:v>Supports proposés et poses canoniques ; parcours et transactions distincts.</x:v>
      </x:c>
    </x:row>
    <x:row r="116" ht="64" customHeight="1">
      <x:c r="A116" s="272" t="str">
        <x:v>EXT-MONDE-T047-V11</x:v>
      </x:c>
      <x:c r="B116" s="272" t="str">
        <x:v>Camp de travailleurs</x:v>
      </x:c>
      <x:c r="C116" s="281" t="n">
        <x:v>11</x:v>
      </x:c>
      <x:c r="D116" s="282" t="str">
        <x:v>campaign205-047-11</x:v>
      </x:c>
      <x:c r="E116" s="281" t="n">
        <x:v>16</x:v>
      </x:c>
      <x:c r="F116" s="281" t="n">
        <x:v>16</x:v>
      </x:c>
      <x:c r="G116" s="281" t="n">
        <x:v>0</x:v>
      </x:c>
      <x:c r="H116" s="281" t="n">
        <x:v>1</x:v>
      </x:c>
      <x:c r="I116" s="281" t="n">
        <x:v>12</x:v>
      </x:c>
      <x:c r="J116" s="281" t="n">
        <x:v>2</x:v>
      </x:c>
      <x:c r="K116" s="281" t="n">
        <x:v>1</x:v>
      </x:c>
      <x:c r="L116" s="282" t="str">
        <x:v>Non</x:v>
      </x:c>
      <x:c r="M116" s="281" t="n">
        <x:v>0</x:v>
      </x:c>
      <x:c r="N116" s="272" t="str">
        <x:v>https://github.com/darknigthmare/deadwall-last-enclosure/blob/e28f46223e73105ab2c5d83f3d50b99b58ef53e6/docs/codex/suivi-monde2026/campagne208-services.json</x:v>
      </x:c>
      <x:c r="O116" s="272" t="str">
        <x:v>https://github.com/darknigthmare/deadwall-last-enclosure/blob/e28f46223e73105ab2c5d83f3d50b99b58ef53e6/docs/codex/suivi-monde2026/campagne208-art.json</x:v>
      </x:c>
      <x:c r="P116" s="272" t="str">
        <x:v>Supports proposés et poses canoniques ; parcours et transactions distincts.</x:v>
      </x:c>
    </x:row>
    <x:row r="117" ht="64" customHeight="1">
      <x:c r="A117" s="272" t="str">
        <x:v>EXT-MONDE-T047-V12</x:v>
      </x:c>
      <x:c r="B117" s="272" t="str">
        <x:v>Camp de travailleurs</x:v>
      </x:c>
      <x:c r="C117" s="281" t="n">
        <x:v>12</x:v>
      </x:c>
      <x:c r="D117" s="282" t="str">
        <x:v>campaign205-047-12</x:v>
      </x:c>
      <x:c r="E117" s="281" t="n">
        <x:v>22</x:v>
      </x:c>
      <x:c r="F117" s="281" t="n">
        <x:v>22</x:v>
      </x:c>
      <x:c r="G117" s="281" t="n">
        <x:v>0</x:v>
      </x:c>
      <x:c r="H117" s="281" t="n">
        <x:v>1</x:v>
      </x:c>
      <x:c r="I117" s="281" t="n">
        <x:v>18</x:v>
      </x:c>
      <x:c r="J117" s="281" t="n">
        <x:v>2</x:v>
      </x:c>
      <x:c r="K117" s="281" t="n">
        <x:v>1</x:v>
      </x:c>
      <x:c r="L117" s="282" t="str">
        <x:v>Non</x:v>
      </x:c>
      <x:c r="M117" s="281" t="n">
        <x:v>0</x:v>
      </x:c>
      <x:c r="N117" s="272" t="str">
        <x:v>https://github.com/darknigthmare/deadwall-last-enclosure/blob/e28f46223e73105ab2c5d83f3d50b99b58ef53e6/docs/codex/suivi-monde2026/campagne208-services.json</x:v>
      </x:c>
      <x:c r="O117" s="272" t="str">
        <x:v>https://github.com/darknigthmare/deadwall-last-enclosure/blob/e28f46223e73105ab2c5d83f3d50b99b58ef53e6/docs/codex/suivi-monde2026/campagne208-art.json</x:v>
      </x:c>
      <x:c r="P117" s="272" t="str">
        <x:v>Supports proposés et poses canoniques ; parcours et transactions distincts.</x:v>
      </x:c>
    </x:row>
    <x:row r="118" ht="64" customHeight="1">
      <x:c r="A118" s="272" t="str">
        <x:v>EXT-MONDE-T047-V13</x:v>
      </x:c>
      <x:c r="B118" s="272" t="str">
        <x:v>Camp de travailleurs</x:v>
      </x:c>
      <x:c r="C118" s="281" t="n">
        <x:v>13</x:v>
      </x:c>
      <x:c r="D118" s="282" t="str">
        <x:v>campaign205-047-13</x:v>
      </x:c>
      <x:c r="E118" s="281" t="n">
        <x:v>28</x:v>
      </x:c>
      <x:c r="F118" s="281" t="n">
        <x:v>28</x:v>
      </x:c>
      <x:c r="G118" s="281" t="n">
        <x:v>0</x:v>
      </x:c>
      <x:c r="H118" s="281" t="n">
        <x:v>1</x:v>
      </x:c>
      <x:c r="I118" s="281" t="n">
        <x:v>24</x:v>
      </x:c>
      <x:c r="J118" s="281" t="n">
        <x:v>2</x:v>
      </x:c>
      <x:c r="K118" s="281" t="n">
        <x:v>1</x:v>
      </x:c>
      <x:c r="L118" s="282" t="str">
        <x:v>Non</x:v>
      </x:c>
      <x:c r="M118" s="281" t="n">
        <x:v>0</x:v>
      </x:c>
      <x:c r="N118" s="272" t="str">
        <x:v>https://github.com/darknigthmare/deadwall-last-enclosure/blob/e28f46223e73105ab2c5d83f3d50b99b58ef53e6/docs/codex/suivi-monde2026/campagne208-services.json</x:v>
      </x:c>
      <x:c r="O118" s="272" t="str">
        <x:v>https://github.com/darknigthmare/deadwall-last-enclosure/blob/e28f46223e73105ab2c5d83f3d50b99b58ef53e6/docs/codex/suivi-monde2026/campagne208-art.json</x:v>
      </x:c>
      <x:c r="P118" s="272" t="str">
        <x:v>Supports proposés et poses canoniques ; parcours et transactions distincts.</x:v>
      </x:c>
    </x:row>
    <x:row r="119" ht="64" customHeight="1">
      <x:c r="A119" s="272" t="str">
        <x:v>EXT-MONDE-T047-V14</x:v>
      </x:c>
      <x:c r="B119" s="272" t="str">
        <x:v>Camp de travailleurs</x:v>
      </x:c>
      <x:c r="C119" s="281" t="n">
        <x:v>14</x:v>
      </x:c>
      <x:c r="D119" s="282" t="str">
        <x:v>campaign205-047-14</x:v>
      </x:c>
      <x:c r="E119" s="281" t="n">
        <x:v>13</x:v>
      </x:c>
      <x:c r="F119" s="281" t="n">
        <x:v>13</x:v>
      </x:c>
      <x:c r="G119" s="281" t="n">
        <x:v>0</x:v>
      </x:c>
      <x:c r="H119" s="281" t="n">
        <x:v>1</x:v>
      </x:c>
      <x:c r="I119" s="281" t="n">
        <x:v>9</x:v>
      </x:c>
      <x:c r="J119" s="281" t="n">
        <x:v>2</x:v>
      </x:c>
      <x:c r="K119" s="281" t="n">
        <x:v>1</x:v>
      </x:c>
      <x:c r="L119" s="282" t="str">
        <x:v>Non</x:v>
      </x:c>
      <x:c r="M119" s="281" t="n">
        <x:v>0</x:v>
      </x:c>
      <x:c r="N119" s="272" t="str">
        <x:v>https://github.com/darknigthmare/deadwall-last-enclosure/blob/e28f46223e73105ab2c5d83f3d50b99b58ef53e6/docs/codex/suivi-monde2026/campagne208-services.json</x:v>
      </x:c>
      <x:c r="O119" s="272" t="str">
        <x:v>https://github.com/darknigthmare/deadwall-last-enclosure/blob/e28f46223e73105ab2c5d83f3d50b99b58ef53e6/docs/codex/suivi-monde2026/campagne208-art.json</x:v>
      </x:c>
      <x:c r="P119" s="272" t="str">
        <x:v>Supports proposés et poses canoniques ; parcours et transactions distincts.</x:v>
      </x:c>
    </x:row>
    <x:row r="120" ht="64" customHeight="1">
      <x:c r="A120" s="272" t="str">
        <x:v>EXT-MONDE-T047-V15</x:v>
      </x:c>
      <x:c r="B120" s="272" t="str">
        <x:v>Camp de travailleurs</x:v>
      </x:c>
      <x:c r="C120" s="281" t="n">
        <x:v>15</x:v>
      </x:c>
      <x:c r="D120" s="282" t="str">
        <x:v>campaign205-047-15</x:v>
      </x:c>
      <x:c r="E120" s="281" t="n">
        <x:v>16</x:v>
      </x:c>
      <x:c r="F120" s="281" t="n">
        <x:v>16</x:v>
      </x:c>
      <x:c r="G120" s="281" t="n">
        <x:v>0</x:v>
      </x:c>
      <x:c r="H120" s="281" t="n">
        <x:v>1</x:v>
      </x:c>
      <x:c r="I120" s="281" t="n">
        <x:v>12</x:v>
      </x:c>
      <x:c r="J120" s="281" t="n">
        <x:v>2</x:v>
      </x:c>
      <x:c r="K120" s="281" t="n">
        <x:v>1</x:v>
      </x:c>
      <x:c r="L120" s="282" t="str">
        <x:v>Non</x:v>
      </x:c>
      <x:c r="M120" s="281" t="n">
        <x:v>0</x:v>
      </x:c>
      <x:c r="N120" s="272" t="str">
        <x:v>https://github.com/darknigthmare/deadwall-last-enclosure/blob/e28f46223e73105ab2c5d83f3d50b99b58ef53e6/docs/codex/suivi-monde2026/campagne208-services.json</x:v>
      </x:c>
      <x:c r="O120" s="272" t="str">
        <x:v>https://github.com/darknigthmare/deadwall-last-enclosure/blob/e28f46223e73105ab2c5d83f3d50b99b58ef53e6/docs/codex/suivi-monde2026/campagne208-art.json</x:v>
      </x:c>
      <x:c r="P120" s="272" t="str">
        <x:v>Supports proposés et poses canoniques ; parcours et transactions distincts.</x:v>
      </x:c>
    </x:row>
    <x:row r="121" ht="64" customHeight="1">
      <x:c r="A121" s="272" t="str">
        <x:v>EXT-MONDE-T047-V16</x:v>
      </x:c>
      <x:c r="B121" s="272" t="str">
        <x:v>Camp de travailleurs</x:v>
      </x:c>
      <x:c r="C121" s="281" t="n">
        <x:v>16</x:v>
      </x:c>
      <x:c r="D121" s="282" t="str">
        <x:v>campaign205-047-16</x:v>
      </x:c>
      <x:c r="E121" s="281" t="n">
        <x:v>22</x:v>
      </x:c>
      <x:c r="F121" s="281" t="n">
        <x:v>22</x:v>
      </x:c>
      <x:c r="G121" s="281" t="n">
        <x:v>0</x:v>
      </x:c>
      <x:c r="H121" s="281" t="n">
        <x:v>1</x:v>
      </x:c>
      <x:c r="I121" s="281" t="n">
        <x:v>18</x:v>
      </x:c>
      <x:c r="J121" s="281" t="n">
        <x:v>2</x:v>
      </x:c>
      <x:c r="K121" s="281" t="n">
        <x:v>1</x:v>
      </x:c>
      <x:c r="L121" s="282" t="str">
        <x:v>Non</x:v>
      </x:c>
      <x:c r="M121" s="281" t="n">
        <x:v>0</x:v>
      </x:c>
      <x:c r="N121" s="272" t="str">
        <x:v>https://github.com/darknigthmare/deadwall-last-enclosure/blob/e28f46223e73105ab2c5d83f3d50b99b58ef53e6/docs/codex/suivi-monde2026/campagne208-services.json</x:v>
      </x:c>
      <x:c r="O121" s="272" t="str">
        <x:v>https://github.com/darknigthmare/deadwall-last-enclosure/blob/e28f46223e73105ab2c5d83f3d50b99b58ef53e6/docs/codex/suivi-monde2026/campagne208-art.json</x:v>
      </x:c>
      <x:c r="P121" s="272" t="str">
        <x:v>Supports proposés et poses canoniques ; parcours et transactions distincts.</x:v>
      </x:c>
    </x:row>
    <x:row r="122" ht="64" customHeight="1">
      <x:c r="A122" s="272" t="str">
        <x:v>EXT-MONDE-T047-V17</x:v>
      </x:c>
      <x:c r="B122" s="272" t="str">
        <x:v>Camp de travailleurs</x:v>
      </x:c>
      <x:c r="C122" s="281" t="n">
        <x:v>17</x:v>
      </x:c>
      <x:c r="D122" s="282" t="str">
        <x:v>campaign205-047-17</x:v>
      </x:c>
      <x:c r="E122" s="281" t="n">
        <x:v>31</x:v>
      </x:c>
      <x:c r="F122" s="281" t="n">
        <x:v>31</x:v>
      </x:c>
      <x:c r="G122" s="281" t="n">
        <x:v>0</x:v>
      </x:c>
      <x:c r="H122" s="281" t="n">
        <x:v>1</x:v>
      </x:c>
      <x:c r="I122" s="281" t="n">
        <x:v>27</x:v>
      </x:c>
      <x:c r="J122" s="281" t="n">
        <x:v>2</x:v>
      </x:c>
      <x:c r="K122" s="281" t="n">
        <x:v>1</x:v>
      </x:c>
      <x:c r="L122" s="282" t="str">
        <x:v>Non</x:v>
      </x:c>
      <x:c r="M122" s="281" t="n">
        <x:v>0</x:v>
      </x:c>
      <x:c r="N122" s="272" t="str">
        <x:v>https://github.com/darknigthmare/deadwall-last-enclosure/blob/e28f46223e73105ab2c5d83f3d50b99b58ef53e6/docs/codex/suivi-monde2026/campagne208-services.json</x:v>
      </x:c>
      <x:c r="O122" s="272" t="str">
        <x:v>https://github.com/darknigthmare/deadwall-last-enclosure/blob/e28f46223e73105ab2c5d83f3d50b99b58ef53e6/docs/codex/suivi-monde2026/campagne208-art.json</x:v>
      </x:c>
      <x:c r="P122" s="272" t="str">
        <x:v>Supports proposés et poses canoniques ; parcours et transactions distincts.</x:v>
      </x:c>
    </x:row>
    <x:row r="123" ht="64" customHeight="1">
      <x:c r="A123" s="272" t="str">
        <x:v>EXT-MONDE-T047-V18</x:v>
      </x:c>
      <x:c r="B123" s="272" t="str">
        <x:v>Camp de travailleurs</x:v>
      </x:c>
      <x:c r="C123" s="281" t="n">
        <x:v>18</x:v>
      </x:c>
      <x:c r="D123" s="282" t="str">
        <x:v>campaign205-047-18</x:v>
      </x:c>
      <x:c r="E123" s="281" t="n">
        <x:v>25</x:v>
      </x:c>
      <x:c r="F123" s="281" t="n">
        <x:v>25</x:v>
      </x:c>
      <x:c r="G123" s="281" t="n">
        <x:v>0</x:v>
      </x:c>
      <x:c r="H123" s="281" t="n">
        <x:v>1</x:v>
      </x:c>
      <x:c r="I123" s="281" t="n">
        <x:v>21</x:v>
      </x:c>
      <x:c r="J123" s="281" t="n">
        <x:v>2</x:v>
      </x:c>
      <x:c r="K123" s="281" t="n">
        <x:v>1</x:v>
      </x:c>
      <x:c r="L123" s="282" t="str">
        <x:v>Non</x:v>
      </x:c>
      <x:c r="M123" s="281" t="n">
        <x:v>0</x:v>
      </x:c>
      <x:c r="N123" s="272" t="str">
        <x:v>https://github.com/darknigthmare/deadwall-last-enclosure/blob/e28f46223e73105ab2c5d83f3d50b99b58ef53e6/docs/codex/suivi-monde2026/campagne208-services.json</x:v>
      </x:c>
      <x:c r="O123" s="272" t="str">
        <x:v>https://github.com/darknigthmare/deadwall-last-enclosure/blob/e28f46223e73105ab2c5d83f3d50b99b58ef53e6/docs/codex/suivi-monde2026/campagne208-art.json</x:v>
      </x:c>
      <x:c r="P123" s="272" t="str">
        <x:v>Supports proposés et poses canoniques ; parcours et transactions distincts.</x:v>
      </x:c>
    </x:row>
    <x:row r="124" ht="64" customHeight="1">
      <x:c r="A124" s="272" t="str">
        <x:v>EXT-MONDE-T047-V19</x:v>
      </x:c>
      <x:c r="B124" s="272" t="str">
        <x:v>Camp de travailleurs</x:v>
      </x:c>
      <x:c r="C124" s="281" t="n">
        <x:v>19</x:v>
      </x:c>
      <x:c r="D124" s="282" t="str">
        <x:v>campaign205-047-19</x:v>
      </x:c>
      <x:c r="E124" s="281" t="n">
        <x:v>19</x:v>
      </x:c>
      <x:c r="F124" s="281" t="n">
        <x:v>19</x:v>
      </x:c>
      <x:c r="G124" s="281" t="n">
        <x:v>0</x:v>
      </x:c>
      <x:c r="H124" s="281" t="n">
        <x:v>1</x:v>
      </x:c>
      <x:c r="I124" s="281" t="n">
        <x:v>15</x:v>
      </x:c>
      <x:c r="J124" s="281" t="n">
        <x:v>2</x:v>
      </x:c>
      <x:c r="K124" s="281" t="n">
        <x:v>1</x:v>
      </x:c>
      <x:c r="L124" s="282" t="str">
        <x:v>Non</x:v>
      </x:c>
      <x:c r="M124" s="281" t="n">
        <x:v>0</x:v>
      </x:c>
      <x:c r="N124" s="272" t="str">
        <x:v>https://github.com/darknigthmare/deadwall-last-enclosure/blob/e28f46223e73105ab2c5d83f3d50b99b58ef53e6/docs/codex/suivi-monde2026/campagne208-services.json</x:v>
      </x:c>
      <x:c r="O124" s="272" t="str">
        <x:v>https://github.com/darknigthmare/deadwall-last-enclosure/blob/e28f46223e73105ab2c5d83f3d50b99b58ef53e6/docs/codex/suivi-monde2026/campagne208-art.json</x:v>
      </x:c>
      <x:c r="P124" s="272" t="str">
        <x:v>Supports proposés et poses canoniques ; parcours et transactions distincts.</x:v>
      </x:c>
    </x:row>
    <x:row r="125" ht="64" customHeight="1">
      <x:c r="A125" s="272" t="str">
        <x:v>EXT-MONDE-T047-V20</x:v>
      </x:c>
      <x:c r="B125" s="272" t="str">
        <x:v>Camp de travailleurs</x:v>
      </x:c>
      <x:c r="C125" s="281" t="n">
        <x:v>20</x:v>
      </x:c>
      <x:c r="D125" s="282" t="str">
        <x:v>campaign205-047-20</x:v>
      </x:c>
      <x:c r="E125" s="281" t="n">
        <x:v>34</x:v>
      </x:c>
      <x:c r="F125" s="281" t="n">
        <x:v>34</x:v>
      </x:c>
      <x:c r="G125" s="281" t="n">
        <x:v>0</x:v>
      </x:c>
      <x:c r="H125" s="281" t="n">
        <x:v>1</x:v>
      </x:c>
      <x:c r="I125" s="281" t="n">
        <x:v>30</x:v>
      </x:c>
      <x:c r="J125" s="281" t="n">
        <x:v>2</x:v>
      </x:c>
      <x:c r="K125" s="281" t="n">
        <x:v>1</x:v>
      </x:c>
      <x:c r="L125" s="282" t="str">
        <x:v>Non</x:v>
      </x:c>
      <x:c r="M125" s="281" t="n">
        <x:v>0</x:v>
      </x:c>
      <x:c r="N125" s="272" t="str">
        <x:v>https://github.com/darknigthmare/deadwall-last-enclosure/blob/e28f46223e73105ab2c5d83f3d50b99b58ef53e6/docs/codex/suivi-monde2026/campagne208-services.json</x:v>
      </x:c>
      <x:c r="O125" s="272" t="str">
        <x:v>https://github.com/darknigthmare/deadwall-last-enclosure/blob/e28f46223e73105ab2c5d83f3d50b99b58ef53e6/docs/codex/suivi-monde2026/campagne208-art.json</x:v>
      </x:c>
      <x:c r="P125" s="272" t="str">
        <x:v>Supports proposés et poses canoniques ; parcours et transactions distincts.</x:v>
      </x:c>
    </x:row>
    <x:row r="126" ht="64" customHeight="1">
      <x:c r="A126" s="272" t="str">
        <x:v>EXT-MONDE-T047-V21</x:v>
      </x:c>
      <x:c r="B126" s="272" t="str">
        <x:v>Camp de travailleurs</x:v>
      </x:c>
      <x:c r="C126" s="281" t="n">
        <x:v>21</x:v>
      </x:c>
      <x:c r="D126" s="282" t="str">
        <x:v>campaign205-047-21</x:v>
      </x:c>
      <x:c r="E126" s="281" t="n">
        <x:v>16</x:v>
      </x:c>
      <x:c r="F126" s="281" t="n">
        <x:v>16</x:v>
      </x:c>
      <x:c r="G126" s="281" t="n">
        <x:v>0</x:v>
      </x:c>
      <x:c r="H126" s="281" t="n">
        <x:v>1</x:v>
      </x:c>
      <x:c r="I126" s="281" t="n">
        <x:v>12</x:v>
      </x:c>
      <x:c r="J126" s="281" t="n">
        <x:v>2</x:v>
      </x:c>
      <x:c r="K126" s="281" t="n">
        <x:v>1</x:v>
      </x:c>
      <x:c r="L126" s="282" t="str">
        <x:v>Non</x:v>
      </x:c>
      <x:c r="M126" s="281" t="n">
        <x:v>0</x:v>
      </x:c>
      <x:c r="N126" s="272" t="str">
        <x:v>https://github.com/darknigthmare/deadwall-last-enclosure/blob/e28f46223e73105ab2c5d83f3d50b99b58ef53e6/docs/codex/suivi-monde2026/campagne208-services.json</x:v>
      </x:c>
      <x:c r="O126" s="272" t="str">
        <x:v>https://github.com/darknigthmare/deadwall-last-enclosure/blob/e28f46223e73105ab2c5d83f3d50b99b58ef53e6/docs/codex/suivi-monde2026/campagne208-art.json</x:v>
      </x:c>
      <x:c r="P126" s="272" t="str">
        <x:v>Supports proposés et poses canoniques ; parcours et transactions distincts.</x:v>
      </x:c>
    </x:row>
    <x:row r="127" ht="64" customHeight="1">
      <x:c r="A127" s="272" t="str">
        <x:v>EXT-MONDE-T047-V22</x:v>
      </x:c>
      <x:c r="B127" s="272" t="str">
        <x:v>Camp de travailleurs</x:v>
      </x:c>
      <x:c r="C127" s="281" t="n">
        <x:v>22</x:v>
      </x:c>
      <x:c r="D127" s="282" t="str">
        <x:v>campaign205-047-22</x:v>
      </x:c>
      <x:c r="E127" s="281" t="n">
        <x:v>22</x:v>
      </x:c>
      <x:c r="F127" s="281" t="n">
        <x:v>22</x:v>
      </x:c>
      <x:c r="G127" s="281" t="n">
        <x:v>0</x:v>
      </x:c>
      <x:c r="H127" s="281" t="n">
        <x:v>1</x:v>
      </x:c>
      <x:c r="I127" s="281" t="n">
        <x:v>18</x:v>
      </x:c>
      <x:c r="J127" s="281" t="n">
        <x:v>2</x:v>
      </x:c>
      <x:c r="K127" s="281" t="n">
        <x:v>1</x:v>
      </x:c>
      <x:c r="L127" s="282" t="str">
        <x:v>Non</x:v>
      </x:c>
      <x:c r="M127" s="281" t="n">
        <x:v>0</x:v>
      </x:c>
      <x:c r="N127" s="272" t="str">
        <x:v>https://github.com/darknigthmare/deadwall-last-enclosure/blob/e28f46223e73105ab2c5d83f3d50b99b58ef53e6/docs/codex/suivi-monde2026/campagne208-services.json</x:v>
      </x:c>
      <x:c r="O127" s="272" t="str">
        <x:v>https://github.com/darknigthmare/deadwall-last-enclosure/blob/e28f46223e73105ab2c5d83f3d50b99b58ef53e6/docs/codex/suivi-monde2026/campagne208-art.json</x:v>
      </x:c>
      <x:c r="P127" s="272" t="str">
        <x:v>Supports proposés et poses canoniques ; parcours et transactions distincts.</x:v>
      </x:c>
    </x:row>
    <x:row r="128" ht="64" customHeight="1">
      <x:c r="A128" s="272" t="str">
        <x:v>EXT-MONDE-T047-V23</x:v>
      </x:c>
      <x:c r="B128" s="272" t="str">
        <x:v>Camp de travailleurs</x:v>
      </x:c>
      <x:c r="C128" s="281" t="n">
        <x:v>23</x:v>
      </x:c>
      <x:c r="D128" s="282" t="str">
        <x:v>campaign205-047-23</x:v>
      </x:c>
      <x:c r="E128" s="281" t="n">
        <x:v>28</x:v>
      </x:c>
      <x:c r="F128" s="281" t="n">
        <x:v>28</x:v>
      </x:c>
      <x:c r="G128" s="281" t="n">
        <x:v>0</x:v>
      </x:c>
      <x:c r="H128" s="281" t="n">
        <x:v>1</x:v>
      </x:c>
      <x:c r="I128" s="281" t="n">
        <x:v>24</x:v>
      </x:c>
      <x:c r="J128" s="281" t="n">
        <x:v>2</x:v>
      </x:c>
      <x:c r="K128" s="281" t="n">
        <x:v>1</x:v>
      </x:c>
      <x:c r="L128" s="282" t="str">
        <x:v>Non</x:v>
      </x:c>
      <x:c r="M128" s="281" t="n">
        <x:v>0</x:v>
      </x:c>
      <x:c r="N128" s="272" t="str">
        <x:v>https://github.com/darknigthmare/deadwall-last-enclosure/blob/e28f46223e73105ab2c5d83f3d50b99b58ef53e6/docs/codex/suivi-monde2026/campagne208-services.json</x:v>
      </x:c>
      <x:c r="O128" s="272" t="str">
        <x:v>https://github.com/darknigthmare/deadwall-last-enclosure/blob/e28f46223e73105ab2c5d83f3d50b99b58ef53e6/docs/codex/suivi-monde2026/campagne208-art.json</x:v>
      </x:c>
      <x:c r="P128" s="272" t="str">
        <x:v>Supports proposés et poses canoniques ; parcours et transactions distincts.</x:v>
      </x:c>
    </x:row>
    <x:row r="129" ht="64" customHeight="1">
      <x:c r="A129" s="272" t="str">
        <x:v>EXT-MONDE-T047-V24</x:v>
      </x:c>
      <x:c r="B129" s="272" t="str">
        <x:v>Camp de travailleurs</x:v>
      </x:c>
      <x:c r="C129" s="281" t="n">
        <x:v>24</x:v>
      </x:c>
      <x:c r="D129" s="282" t="str">
        <x:v>campaign205-047-24</x:v>
      </x:c>
      <x:c r="E129" s="281" t="n">
        <x:v>13</x:v>
      </x:c>
      <x:c r="F129" s="281" t="n">
        <x:v>13</x:v>
      </x:c>
      <x:c r="G129" s="281" t="n">
        <x:v>0</x:v>
      </x:c>
      <x:c r="H129" s="281" t="n">
        <x:v>1</x:v>
      </x:c>
      <x:c r="I129" s="281" t="n">
        <x:v>9</x:v>
      </x:c>
      <x:c r="J129" s="281" t="n">
        <x:v>2</x:v>
      </x:c>
      <x:c r="K129" s="281" t="n">
        <x:v>1</x:v>
      </x:c>
      <x:c r="L129" s="282" t="str">
        <x:v>Non</x:v>
      </x:c>
      <x:c r="M129" s="281" t="n">
        <x:v>0</x:v>
      </x:c>
      <x:c r="N129" s="272" t="str">
        <x:v>https://github.com/darknigthmare/deadwall-last-enclosure/blob/e28f46223e73105ab2c5d83f3d50b99b58ef53e6/docs/codex/suivi-monde2026/campagne208-services.json</x:v>
      </x:c>
      <x:c r="O129" s="272" t="str">
        <x:v>https://github.com/darknigthmare/deadwall-last-enclosure/blob/e28f46223e73105ab2c5d83f3d50b99b58ef53e6/docs/codex/suivi-monde2026/campagne208-art.json</x:v>
      </x:c>
      <x:c r="P129" s="272" t="str">
        <x:v>Supports proposés et poses canoniques ; parcours et transactions distincts.</x:v>
      </x:c>
    </x:row>
    <x:row r="130" ht="64" customHeight="1">
      <x:c r="A130" s="272" t="str">
        <x:v>EXT-MONDE-T047-V25</x:v>
      </x:c>
      <x:c r="B130" s="272" t="str">
        <x:v>Camp de travailleurs</x:v>
      </x:c>
      <x:c r="C130" s="281" t="n">
        <x:v>25</x:v>
      </x:c>
      <x:c r="D130" s="282" t="str">
        <x:v>campaign205-047-25</x:v>
      </x:c>
      <x:c r="E130" s="281" t="n">
        <x:v>16</x:v>
      </x:c>
      <x:c r="F130" s="281" t="n">
        <x:v>16</x:v>
      </x:c>
      <x:c r="G130" s="281" t="n">
        <x:v>0</x:v>
      </x:c>
      <x:c r="H130" s="281" t="n">
        <x:v>1</x:v>
      </x:c>
      <x:c r="I130" s="281" t="n">
        <x:v>12</x:v>
      </x:c>
      <x:c r="J130" s="281" t="n">
        <x:v>2</x:v>
      </x:c>
      <x:c r="K130" s="281" t="n">
        <x:v>1</x:v>
      </x:c>
      <x:c r="L130" s="282" t="str">
        <x:v>Non</x:v>
      </x:c>
      <x:c r="M130" s="281" t="n">
        <x:v>0</x:v>
      </x:c>
      <x:c r="N130" s="272" t="str">
        <x:v>https://github.com/darknigthmare/deadwall-last-enclosure/blob/e28f46223e73105ab2c5d83f3d50b99b58ef53e6/docs/codex/suivi-monde2026/campagne208-services.json</x:v>
      </x:c>
      <x:c r="O130" s="272" t="str">
        <x:v>https://github.com/darknigthmare/deadwall-last-enclosure/blob/e28f46223e73105ab2c5d83f3d50b99b58ef53e6/docs/codex/suivi-monde2026/campagne208-art.json</x:v>
      </x:c>
      <x:c r="P130" s="272" t="str">
        <x:v>Supports proposés et poses canoniques ; parcours et transactions distincts.</x:v>
      </x:c>
    </x:row>
    <x:row r="131" ht="64" customHeight="1">
      <x:c r="A131" s="272" t="str">
        <x:v>EXT-MONDE-T047-V26</x:v>
      </x:c>
      <x:c r="B131" s="272" t="str">
        <x:v>Camp de travailleurs</x:v>
      </x:c>
      <x:c r="C131" s="281" t="n">
        <x:v>26</x:v>
      </x:c>
      <x:c r="D131" s="282" t="str">
        <x:v>campaign205-047-26</x:v>
      </x:c>
      <x:c r="E131" s="281" t="n">
        <x:v>22</x:v>
      </x:c>
      <x:c r="F131" s="281" t="n">
        <x:v>22</x:v>
      </x:c>
      <x:c r="G131" s="281" t="n">
        <x:v>0</x:v>
      </x:c>
      <x:c r="H131" s="281" t="n">
        <x:v>1</x:v>
      </x:c>
      <x:c r="I131" s="281" t="n">
        <x:v>18</x:v>
      </x:c>
      <x:c r="J131" s="281" t="n">
        <x:v>2</x:v>
      </x:c>
      <x:c r="K131" s="281" t="n">
        <x:v>1</x:v>
      </x:c>
      <x:c r="L131" s="282" t="str">
        <x:v>Non</x:v>
      </x:c>
      <x:c r="M131" s="281" t="n">
        <x:v>0</x:v>
      </x:c>
      <x:c r="N131" s="272" t="str">
        <x:v>https://github.com/darknigthmare/deadwall-last-enclosure/blob/e28f46223e73105ab2c5d83f3d50b99b58ef53e6/docs/codex/suivi-monde2026/campagne208-services.json</x:v>
      </x:c>
      <x:c r="O131" s="272" t="str">
        <x:v>https://github.com/darknigthmare/deadwall-last-enclosure/blob/e28f46223e73105ab2c5d83f3d50b99b58ef53e6/docs/codex/suivi-monde2026/campagne208-art.json</x:v>
      </x:c>
      <x:c r="P131" s="272" t="str">
        <x:v>Supports proposés et poses canoniques ; parcours et transactions distincts.</x:v>
      </x:c>
    </x:row>
    <x:row r="132" ht="64" customHeight="1">
      <x:c r="A132" s="272" t="str">
        <x:v>EXT-MONDE-T047-V27</x:v>
      </x:c>
      <x:c r="B132" s="272" t="str">
        <x:v>Camp de travailleurs</x:v>
      </x:c>
      <x:c r="C132" s="281" t="n">
        <x:v>27</x:v>
      </x:c>
      <x:c r="D132" s="282" t="str">
        <x:v>campaign205-047-27</x:v>
      </x:c>
      <x:c r="E132" s="281" t="n">
        <x:v>31</x:v>
      </x:c>
      <x:c r="F132" s="281" t="n">
        <x:v>31</x:v>
      </x:c>
      <x:c r="G132" s="281" t="n">
        <x:v>0</x:v>
      </x:c>
      <x:c r="H132" s="281" t="n">
        <x:v>1</x:v>
      </x:c>
      <x:c r="I132" s="281" t="n">
        <x:v>27</x:v>
      </x:c>
      <x:c r="J132" s="281" t="n">
        <x:v>2</x:v>
      </x:c>
      <x:c r="K132" s="281" t="n">
        <x:v>1</x:v>
      </x:c>
      <x:c r="L132" s="282" t="str">
        <x:v>Non</x:v>
      </x:c>
      <x:c r="M132" s="281" t="n">
        <x:v>0</x:v>
      </x:c>
      <x:c r="N132" s="272" t="str">
        <x:v>https://github.com/darknigthmare/deadwall-last-enclosure/blob/e28f46223e73105ab2c5d83f3d50b99b58ef53e6/docs/codex/suivi-monde2026/campagne208-services.json</x:v>
      </x:c>
      <x:c r="O132" s="272" t="str">
        <x:v>https://github.com/darknigthmare/deadwall-last-enclosure/blob/e28f46223e73105ab2c5d83f3d50b99b58ef53e6/docs/codex/suivi-monde2026/campagne208-art.json</x:v>
      </x:c>
      <x:c r="P132" s="272" t="str">
        <x:v>Supports proposés et poses canoniques ; parcours et transactions distincts.</x:v>
      </x:c>
    </x:row>
    <x:row r="133" ht="64" customHeight="1">
      <x:c r="A133" s="272" t="str">
        <x:v>EXT-MONDE-T047-V28</x:v>
      </x:c>
      <x:c r="B133" s="272" t="str">
        <x:v>Camp de travailleurs</x:v>
      </x:c>
      <x:c r="C133" s="281" t="n">
        <x:v>28</x:v>
      </x:c>
      <x:c r="D133" s="282" t="str">
        <x:v>campaign205-047-28</x:v>
      </x:c>
      <x:c r="E133" s="281" t="n">
        <x:v>25</x:v>
      </x:c>
      <x:c r="F133" s="281" t="n">
        <x:v>25</x:v>
      </x:c>
      <x:c r="G133" s="281" t="n">
        <x:v>0</x:v>
      </x:c>
      <x:c r="H133" s="281" t="n">
        <x:v>1</x:v>
      </x:c>
      <x:c r="I133" s="281" t="n">
        <x:v>21</x:v>
      </x:c>
      <x:c r="J133" s="281" t="n">
        <x:v>2</x:v>
      </x:c>
      <x:c r="K133" s="281" t="n">
        <x:v>1</x:v>
      </x:c>
      <x:c r="L133" s="282" t="str">
        <x:v>Non</x:v>
      </x:c>
      <x:c r="M133" s="281" t="n">
        <x:v>0</x:v>
      </x:c>
      <x:c r="N133" s="272" t="str">
        <x:v>https://github.com/darknigthmare/deadwall-last-enclosure/blob/e28f46223e73105ab2c5d83f3d50b99b58ef53e6/docs/codex/suivi-monde2026/campagne208-services.json</x:v>
      </x:c>
      <x:c r="O133" s="272" t="str">
        <x:v>https://github.com/darknigthmare/deadwall-last-enclosure/blob/e28f46223e73105ab2c5d83f3d50b99b58ef53e6/docs/codex/suivi-monde2026/campagne208-art.json</x:v>
      </x:c>
      <x:c r="P133" s="272" t="str">
        <x:v>Supports proposés et poses canoniques ; parcours et transactions distincts.</x:v>
      </x:c>
    </x:row>
    <x:row r="134" ht="64" customHeight="1">
      <x:c r="A134" s="272" t="str">
        <x:v>EXT-MONDE-T047-V29</x:v>
      </x:c>
      <x:c r="B134" s="272" t="str">
        <x:v>Camp de travailleurs</x:v>
      </x:c>
      <x:c r="C134" s="281" t="n">
        <x:v>29</x:v>
      </x:c>
      <x:c r="D134" s="282" t="str">
        <x:v>campaign205-047-29</x:v>
      </x:c>
      <x:c r="E134" s="281" t="n">
        <x:v>19</x:v>
      </x:c>
      <x:c r="F134" s="281" t="n">
        <x:v>19</x:v>
      </x:c>
      <x:c r="G134" s="281" t="n">
        <x:v>0</x:v>
      </x:c>
      <x:c r="H134" s="281" t="n">
        <x:v>1</x:v>
      </x:c>
      <x:c r="I134" s="281" t="n">
        <x:v>15</x:v>
      </x:c>
      <x:c r="J134" s="281" t="n">
        <x:v>2</x:v>
      </x:c>
      <x:c r="K134" s="281" t="n">
        <x:v>1</x:v>
      </x:c>
      <x:c r="L134" s="282" t="str">
        <x:v>Non</x:v>
      </x:c>
      <x:c r="M134" s="281" t="n">
        <x:v>0</x:v>
      </x:c>
      <x:c r="N134" s="272" t="str">
        <x:v>https://github.com/darknigthmare/deadwall-last-enclosure/blob/e28f46223e73105ab2c5d83f3d50b99b58ef53e6/docs/codex/suivi-monde2026/campagne208-services.json</x:v>
      </x:c>
      <x:c r="O134" s="272" t="str">
        <x:v>https://github.com/darknigthmare/deadwall-last-enclosure/blob/e28f46223e73105ab2c5d83f3d50b99b58ef53e6/docs/codex/suivi-monde2026/campagne208-art.json</x:v>
      </x:c>
      <x:c r="P134" s="272" t="str">
        <x:v>Supports proposés et poses canoniques ; parcours et transactions distincts.</x:v>
      </x:c>
    </x:row>
    <x:row r="135" ht="64" customHeight="1">
      <x:c r="A135" s="272" t="str">
        <x:v>EXT-MONDE-T047-V30</x:v>
      </x:c>
      <x:c r="B135" s="272" t="str">
        <x:v>Camp de travailleurs</x:v>
      </x:c>
      <x:c r="C135" s="281" t="n">
        <x:v>30</x:v>
      </x:c>
      <x:c r="D135" s="282" t="str">
        <x:v>campaign205-047-30</x:v>
      </x:c>
      <x:c r="E135" s="281" t="n">
        <x:v>34</x:v>
      </x:c>
      <x:c r="F135" s="281" t="n">
        <x:v>34</x:v>
      </x:c>
      <x:c r="G135" s="281" t="n">
        <x:v>0</x:v>
      </x:c>
      <x:c r="H135" s="281" t="n">
        <x:v>1</x:v>
      </x:c>
      <x:c r="I135" s="281" t="n">
        <x:v>30</x:v>
      </x:c>
      <x:c r="J135" s="281" t="n">
        <x:v>2</x:v>
      </x:c>
      <x:c r="K135" s="281" t="n">
        <x:v>1</x:v>
      </x:c>
      <x:c r="L135" s="282" t="str">
        <x:v>Non</x:v>
      </x:c>
      <x:c r="M135" s="281" t="n">
        <x:v>0</x:v>
      </x:c>
      <x:c r="N135" s="272" t="str">
        <x:v>https://github.com/darknigthmare/deadwall-last-enclosure/blob/e28f46223e73105ab2c5d83f3d50b99b58ef53e6/docs/codex/suivi-monde2026/campagne208-services.json</x:v>
      </x:c>
      <x:c r="O135" s="272" t="str">
        <x:v>https://github.com/darknigthmare/deadwall-last-enclosure/blob/e28f46223e73105ab2c5d83f3d50b99b58ef53e6/docs/codex/suivi-monde2026/campagne208-art.json</x:v>
      </x:c>
      <x:c r="P135" s="272" t="str">
        <x:v>Supports proposés et poses canoniques ; parcours et transactions distincts.</x:v>
      </x:c>
    </x:row>
    <x:row r="136" ht="64" customHeight="1">
      <x:c r="A136" s="272" t="str">
        <x:v>EXT-MONDE-T047-V31</x:v>
      </x:c>
      <x:c r="B136" s="272" t="str">
        <x:v>Camp de travailleurs</x:v>
      </x:c>
      <x:c r="C136" s="281" t="n">
        <x:v>31</x:v>
      </x:c>
      <x:c r="D136" s="282" t="str">
        <x:v>campaign205-047-31</x:v>
      </x:c>
      <x:c r="E136" s="281" t="n">
        <x:v>16</x:v>
      </x:c>
      <x:c r="F136" s="281" t="n">
        <x:v>16</x:v>
      </x:c>
      <x:c r="G136" s="281" t="n">
        <x:v>0</x:v>
      </x:c>
      <x:c r="H136" s="281" t="n">
        <x:v>1</x:v>
      </x:c>
      <x:c r="I136" s="281" t="n">
        <x:v>12</x:v>
      </x:c>
      <x:c r="J136" s="281" t="n">
        <x:v>2</x:v>
      </x:c>
      <x:c r="K136" s="281" t="n">
        <x:v>1</x:v>
      </x:c>
      <x:c r="L136" s="282" t="str">
        <x:v>Non</x:v>
      </x:c>
      <x:c r="M136" s="281" t="n">
        <x:v>0</x:v>
      </x:c>
      <x:c r="N136" s="272" t="str">
        <x:v>https://github.com/darknigthmare/deadwall-last-enclosure/blob/e28f46223e73105ab2c5d83f3d50b99b58ef53e6/docs/codex/suivi-monde2026/campagne208-services.json</x:v>
      </x:c>
      <x:c r="O136" s="272" t="str">
        <x:v>https://github.com/darknigthmare/deadwall-last-enclosure/blob/e28f46223e73105ab2c5d83f3d50b99b58ef53e6/docs/codex/suivi-monde2026/campagne208-art.json</x:v>
      </x:c>
      <x:c r="P136" s="272" t="str">
        <x:v>Supports proposés et poses canoniques ; parcours et transactions distincts.</x:v>
      </x:c>
    </x:row>
    <x:row r="137" ht="64" customHeight="1">
      <x:c r="A137" s="272" t="str">
        <x:v>EXT-MONDE-T047-V32</x:v>
      </x:c>
      <x:c r="B137" s="272" t="str">
        <x:v>Camp de travailleurs</x:v>
      </x:c>
      <x:c r="C137" s="281" t="n">
        <x:v>32</x:v>
      </x:c>
      <x:c r="D137" s="282" t="str">
        <x:v>campaign205-047-32</x:v>
      </x:c>
      <x:c r="E137" s="281" t="n">
        <x:v>22</x:v>
      </x:c>
      <x:c r="F137" s="281" t="n">
        <x:v>22</x:v>
      </x:c>
      <x:c r="G137" s="281" t="n">
        <x:v>0</x:v>
      </x:c>
      <x:c r="H137" s="281" t="n">
        <x:v>1</x:v>
      </x:c>
      <x:c r="I137" s="281" t="n">
        <x:v>18</x:v>
      </x:c>
      <x:c r="J137" s="281" t="n">
        <x:v>2</x:v>
      </x:c>
      <x:c r="K137" s="281" t="n">
        <x:v>1</x:v>
      </x:c>
      <x:c r="L137" s="282" t="str">
        <x:v>Non</x:v>
      </x:c>
      <x:c r="M137" s="281" t="n">
        <x:v>0</x:v>
      </x:c>
      <x:c r="N137" s="272" t="str">
        <x:v>https://github.com/darknigthmare/deadwall-last-enclosure/blob/e28f46223e73105ab2c5d83f3d50b99b58ef53e6/docs/codex/suivi-monde2026/campagne208-services.json</x:v>
      </x:c>
      <x:c r="O137" s="272" t="str">
        <x:v>https://github.com/darknigthmare/deadwall-last-enclosure/blob/e28f46223e73105ab2c5d83f3d50b99b58ef53e6/docs/codex/suivi-monde2026/campagne208-art.json</x:v>
      </x:c>
      <x:c r="P137" s="272" t="str">
        <x:v>Supports proposés et poses canoniques ; parcours et transactions distincts.</x:v>
      </x:c>
    </x:row>
    <x:row r="138" ht="64" customHeight="1">
      <x:c r="A138" s="272" t="str">
        <x:v>EXT-MONDE-T047-V33</x:v>
      </x:c>
      <x:c r="B138" s="272" t="str">
        <x:v>Camp de travailleurs</x:v>
      </x:c>
      <x:c r="C138" s="281" t="n">
        <x:v>33</x:v>
      </x:c>
      <x:c r="D138" s="282" t="str">
        <x:v>campaign205-047-33</x:v>
      </x:c>
      <x:c r="E138" s="281" t="n">
        <x:v>28</x:v>
      </x:c>
      <x:c r="F138" s="281" t="n">
        <x:v>28</x:v>
      </x:c>
      <x:c r="G138" s="281" t="n">
        <x:v>0</x:v>
      </x:c>
      <x:c r="H138" s="281" t="n">
        <x:v>1</x:v>
      </x:c>
      <x:c r="I138" s="281" t="n">
        <x:v>24</x:v>
      </x:c>
      <x:c r="J138" s="281" t="n">
        <x:v>2</x:v>
      </x:c>
      <x:c r="K138" s="281" t="n">
        <x:v>1</x:v>
      </x:c>
      <x:c r="L138" s="282" t="str">
        <x:v>Non</x:v>
      </x:c>
      <x:c r="M138" s="281" t="n">
        <x:v>0</x:v>
      </x:c>
      <x:c r="N138" s="272" t="str">
        <x:v>https://github.com/darknigthmare/deadwall-last-enclosure/blob/e28f46223e73105ab2c5d83f3d50b99b58ef53e6/docs/codex/suivi-monde2026/campagne208-services.json</x:v>
      </x:c>
      <x:c r="O138" s="272" t="str">
        <x:v>https://github.com/darknigthmare/deadwall-last-enclosure/blob/e28f46223e73105ab2c5d83f3d50b99b58ef53e6/docs/codex/suivi-monde2026/campagne208-art.json</x:v>
      </x:c>
      <x:c r="P138" s="272" t="str">
        <x:v>Supports proposés et poses canoniques ; parcours et transactions distincts.</x:v>
      </x:c>
    </x:row>
    <x:row r="139" ht="64" customHeight="1">
      <x:c r="A139" s="272" t="str">
        <x:v>EXT-MONDE-T047-V34</x:v>
      </x:c>
      <x:c r="B139" s="272" t="str">
        <x:v>Camp de travailleurs</x:v>
      </x:c>
      <x:c r="C139" s="281" t="n">
        <x:v>34</x:v>
      </x:c>
      <x:c r="D139" s="282" t="str">
        <x:v>campaign205-047-34</x:v>
      </x:c>
      <x:c r="E139" s="281" t="n">
        <x:v>13</x:v>
      </x:c>
      <x:c r="F139" s="281" t="n">
        <x:v>13</x:v>
      </x:c>
      <x:c r="G139" s="281" t="n">
        <x:v>0</x:v>
      </x:c>
      <x:c r="H139" s="281" t="n">
        <x:v>1</x:v>
      </x:c>
      <x:c r="I139" s="281" t="n">
        <x:v>9</x:v>
      </x:c>
      <x:c r="J139" s="281" t="n">
        <x:v>2</x:v>
      </x:c>
      <x:c r="K139" s="281" t="n">
        <x:v>1</x:v>
      </x:c>
      <x:c r="L139" s="282" t="str">
        <x:v>Non</x:v>
      </x:c>
      <x:c r="M139" s="281" t="n">
        <x:v>0</x:v>
      </x:c>
      <x:c r="N139" s="272" t="str">
        <x:v>https://github.com/darknigthmare/deadwall-last-enclosure/blob/e28f46223e73105ab2c5d83f3d50b99b58ef53e6/docs/codex/suivi-monde2026/campagne208-services.json</x:v>
      </x:c>
      <x:c r="O139" s="272" t="str">
        <x:v>https://github.com/darknigthmare/deadwall-last-enclosure/blob/e28f46223e73105ab2c5d83f3d50b99b58ef53e6/docs/codex/suivi-monde2026/campagne208-art.json</x:v>
      </x:c>
      <x:c r="P139" s="272" t="str">
        <x:v>Supports proposés et poses canoniques ; parcours et transactions distincts.</x:v>
      </x:c>
    </x:row>
    <x:row r="140" ht="64" customHeight="1">
      <x:c r="A140" s="272" t="str">
        <x:v>EXT-MONDE-T047-V35</x:v>
      </x:c>
      <x:c r="B140" s="272" t="str">
        <x:v>Camp de travailleurs</x:v>
      </x:c>
      <x:c r="C140" s="281" t="n">
        <x:v>35</x:v>
      </x:c>
      <x:c r="D140" s="282" t="str">
        <x:v>campaign205-047-35</x:v>
      </x:c>
      <x:c r="E140" s="281" t="n">
        <x:v>16</x:v>
      </x:c>
      <x:c r="F140" s="281" t="n">
        <x:v>16</x:v>
      </x:c>
      <x:c r="G140" s="281" t="n">
        <x:v>0</x:v>
      </x:c>
      <x:c r="H140" s="281" t="n">
        <x:v>1</x:v>
      </x:c>
      <x:c r="I140" s="281" t="n">
        <x:v>12</x:v>
      </x:c>
      <x:c r="J140" s="281" t="n">
        <x:v>2</x:v>
      </x:c>
      <x:c r="K140" s="281" t="n">
        <x:v>1</x:v>
      </x:c>
      <x:c r="L140" s="282" t="str">
        <x:v>Non</x:v>
      </x:c>
      <x:c r="M140" s="281" t="n">
        <x:v>0</x:v>
      </x:c>
      <x:c r="N140" s="272" t="str">
        <x:v>https://github.com/darknigthmare/deadwall-last-enclosure/blob/e28f46223e73105ab2c5d83f3d50b99b58ef53e6/docs/codex/suivi-monde2026/campagne208-services.json</x:v>
      </x:c>
      <x:c r="O140" s="272" t="str">
        <x:v>https://github.com/darknigthmare/deadwall-last-enclosure/blob/e28f46223e73105ab2c5d83f3d50b99b58ef53e6/docs/codex/suivi-monde2026/campagne208-art.json</x:v>
      </x:c>
      <x:c r="P140" s="272" t="str">
        <x:v>Supports proposés et poses canoniques ; parcours et transactions distincts.</x:v>
      </x:c>
    </x:row>
    <x:row r="141" ht="64" customHeight="1">
      <x:c r="A141" s="272" t="str">
        <x:v>EXT-MONDE-T047-V36</x:v>
      </x:c>
      <x:c r="B141" s="272" t="str">
        <x:v>Camp de travailleurs</x:v>
      </x:c>
      <x:c r="C141" s="281" t="n">
        <x:v>36</x:v>
      </x:c>
      <x:c r="D141" s="282" t="str">
        <x:v>campaign205-047-36</x:v>
      </x:c>
      <x:c r="E141" s="281" t="n">
        <x:v>22</x:v>
      </x:c>
      <x:c r="F141" s="281" t="n">
        <x:v>22</x:v>
      </x:c>
      <x:c r="G141" s="281" t="n">
        <x:v>0</x:v>
      </x:c>
      <x:c r="H141" s="281" t="n">
        <x:v>1</x:v>
      </x:c>
      <x:c r="I141" s="281" t="n">
        <x:v>18</x:v>
      </x:c>
      <x:c r="J141" s="281" t="n">
        <x:v>2</x:v>
      </x:c>
      <x:c r="K141" s="281" t="n">
        <x:v>1</x:v>
      </x:c>
      <x:c r="L141" s="282" t="str">
        <x:v>Non</x:v>
      </x:c>
      <x:c r="M141" s="281" t="n">
        <x:v>0</x:v>
      </x:c>
      <x:c r="N141" s="272" t="str">
        <x:v>https://github.com/darknigthmare/deadwall-last-enclosure/blob/e28f46223e73105ab2c5d83f3d50b99b58ef53e6/docs/codex/suivi-monde2026/campagne208-services.json</x:v>
      </x:c>
      <x:c r="O141" s="272" t="str">
        <x:v>https://github.com/darknigthmare/deadwall-last-enclosure/blob/e28f46223e73105ab2c5d83f3d50b99b58ef53e6/docs/codex/suivi-monde2026/campagne208-art.json</x:v>
      </x:c>
      <x:c r="P141" s="272" t="str">
        <x:v>Supports proposés et poses canoniques ; parcours et transactions distincts.</x:v>
      </x:c>
    </x:row>
    <x:row r="142" ht="64" customHeight="1">
      <x:c r="A142" s="272" t="str">
        <x:v>EXT-MONDE-T047-V37</x:v>
      </x:c>
      <x:c r="B142" s="272" t="str">
        <x:v>Camp de travailleurs</x:v>
      </x:c>
      <x:c r="C142" s="281" t="n">
        <x:v>37</x:v>
      </x:c>
      <x:c r="D142" s="282" t="str">
        <x:v>campaign205-047-37</x:v>
      </x:c>
      <x:c r="E142" s="281" t="n">
        <x:v>31</x:v>
      </x:c>
      <x:c r="F142" s="281" t="n">
        <x:v>31</x:v>
      </x:c>
      <x:c r="G142" s="281" t="n">
        <x:v>0</x:v>
      </x:c>
      <x:c r="H142" s="281" t="n">
        <x:v>1</x:v>
      </x:c>
      <x:c r="I142" s="281" t="n">
        <x:v>27</x:v>
      </x:c>
      <x:c r="J142" s="281" t="n">
        <x:v>2</x:v>
      </x:c>
      <x:c r="K142" s="281" t="n">
        <x:v>1</x:v>
      </x:c>
      <x:c r="L142" s="282" t="str">
        <x:v>Non</x:v>
      </x:c>
      <x:c r="M142" s="281" t="n">
        <x:v>0</x:v>
      </x:c>
      <x:c r="N142" s="272" t="str">
        <x:v>https://github.com/darknigthmare/deadwall-last-enclosure/blob/e28f46223e73105ab2c5d83f3d50b99b58ef53e6/docs/codex/suivi-monde2026/campagne208-services.json</x:v>
      </x:c>
      <x:c r="O142" s="272" t="str">
        <x:v>https://github.com/darknigthmare/deadwall-last-enclosure/blob/e28f46223e73105ab2c5d83f3d50b99b58ef53e6/docs/codex/suivi-monde2026/campagne208-art.json</x:v>
      </x:c>
      <x:c r="P142" s="272" t="str">
        <x:v>Supports proposés et poses canoniques ; parcours et transactions distincts.</x:v>
      </x:c>
    </x:row>
    <x:row r="143" ht="64" customHeight="1">
      <x:c r="A143" s="272" t="str">
        <x:v>EXT-MONDE-T047-V38</x:v>
      </x:c>
      <x:c r="B143" s="272" t="str">
        <x:v>Camp de travailleurs</x:v>
      </x:c>
      <x:c r="C143" s="281" t="n">
        <x:v>38</x:v>
      </x:c>
      <x:c r="D143" s="282" t="str">
        <x:v>campaign205-047-38</x:v>
      </x:c>
      <x:c r="E143" s="281" t="n">
        <x:v>25</x:v>
      </x:c>
      <x:c r="F143" s="281" t="n">
        <x:v>25</x:v>
      </x:c>
      <x:c r="G143" s="281" t="n">
        <x:v>0</x:v>
      </x:c>
      <x:c r="H143" s="281" t="n">
        <x:v>1</x:v>
      </x:c>
      <x:c r="I143" s="281" t="n">
        <x:v>21</x:v>
      </x:c>
      <x:c r="J143" s="281" t="n">
        <x:v>2</x:v>
      </x:c>
      <x:c r="K143" s="281" t="n">
        <x:v>1</x:v>
      </x:c>
      <x:c r="L143" s="282" t="str">
        <x:v>Non</x:v>
      </x:c>
      <x:c r="M143" s="281" t="n">
        <x:v>0</x:v>
      </x:c>
      <x:c r="N143" s="272" t="str">
        <x:v>https://github.com/darknigthmare/deadwall-last-enclosure/blob/e28f46223e73105ab2c5d83f3d50b99b58ef53e6/docs/codex/suivi-monde2026/campagne208-services.json</x:v>
      </x:c>
      <x:c r="O143" s="272" t="str">
        <x:v>https://github.com/darknigthmare/deadwall-last-enclosure/blob/e28f46223e73105ab2c5d83f3d50b99b58ef53e6/docs/codex/suivi-monde2026/campagne208-art.json</x:v>
      </x:c>
      <x:c r="P143" s="272" t="str">
        <x:v>Supports proposés et poses canoniques ; parcours et transactions distincts.</x:v>
      </x:c>
    </x:row>
    <x:row r="144" ht="64" customHeight="1">
      <x:c r="A144" s="272" t="str">
        <x:v>EXT-MONDE-T047-V39</x:v>
      </x:c>
      <x:c r="B144" s="272" t="str">
        <x:v>Camp de travailleurs</x:v>
      </x:c>
      <x:c r="C144" s="281" t="n">
        <x:v>39</x:v>
      </x:c>
      <x:c r="D144" s="282" t="str">
        <x:v>campaign205-047-39</x:v>
      </x:c>
      <x:c r="E144" s="281" t="n">
        <x:v>19</x:v>
      </x:c>
      <x:c r="F144" s="281" t="n">
        <x:v>19</x:v>
      </x:c>
      <x:c r="G144" s="281" t="n">
        <x:v>0</x:v>
      </x:c>
      <x:c r="H144" s="281" t="n">
        <x:v>1</x:v>
      </x:c>
      <x:c r="I144" s="281" t="n">
        <x:v>15</x:v>
      </x:c>
      <x:c r="J144" s="281" t="n">
        <x:v>2</x:v>
      </x:c>
      <x:c r="K144" s="281" t="n">
        <x:v>1</x:v>
      </x:c>
      <x:c r="L144" s="282" t="str">
        <x:v>Non</x:v>
      </x:c>
      <x:c r="M144" s="281" t="n">
        <x:v>0</x:v>
      </x:c>
      <x:c r="N144" s="272" t="str">
        <x:v>https://github.com/darknigthmare/deadwall-last-enclosure/blob/e28f46223e73105ab2c5d83f3d50b99b58ef53e6/docs/codex/suivi-monde2026/campagne208-services.json</x:v>
      </x:c>
      <x:c r="O144" s="272" t="str">
        <x:v>https://github.com/darknigthmare/deadwall-last-enclosure/blob/e28f46223e73105ab2c5d83f3d50b99b58ef53e6/docs/codex/suivi-monde2026/campagne208-art.json</x:v>
      </x:c>
      <x:c r="P144" s="272" t="str">
        <x:v>Supports proposés et poses canoniques ; parcours et transactions distincts.</x:v>
      </x:c>
    </x:row>
    <x:row r="145" ht="64" customHeight="1">
      <x:c r="A145" s="272" t="str">
        <x:v>EXT-MONDE-T047-V40</x:v>
      </x:c>
      <x:c r="B145" s="272" t="str">
        <x:v>Camp de travailleurs</x:v>
      </x:c>
      <x:c r="C145" s="281" t="n">
        <x:v>40</x:v>
      </x:c>
      <x:c r="D145" s="282" t="str">
        <x:v>campaign205-047-40</x:v>
      </x:c>
      <x:c r="E145" s="281" t="n">
        <x:v>34</x:v>
      </x:c>
      <x:c r="F145" s="281" t="n">
        <x:v>34</x:v>
      </x:c>
      <x:c r="G145" s="281" t="n">
        <x:v>0</x:v>
      </x:c>
      <x:c r="H145" s="281" t="n">
        <x:v>1</x:v>
      </x:c>
      <x:c r="I145" s="281" t="n">
        <x:v>30</x:v>
      </x:c>
      <x:c r="J145" s="281" t="n">
        <x:v>2</x:v>
      </x:c>
      <x:c r="K145" s="281" t="n">
        <x:v>1</x:v>
      </x:c>
      <x:c r="L145" s="282" t="str">
        <x:v>Non</x:v>
      </x:c>
      <x:c r="M145" s="281" t="n">
        <x:v>0</x:v>
      </x:c>
      <x:c r="N145" s="272" t="str">
        <x:v>https://github.com/darknigthmare/deadwall-last-enclosure/blob/e28f46223e73105ab2c5d83f3d50b99b58ef53e6/docs/codex/suivi-monde2026/campagne208-services.json</x:v>
      </x:c>
      <x:c r="O145" s="272" t="str">
        <x:v>https://github.com/darknigthmare/deadwall-last-enclosure/blob/e28f46223e73105ab2c5d83f3d50b99b58ef53e6/docs/codex/suivi-monde2026/campagne208-art.json</x:v>
      </x:c>
      <x:c r="P145" s="272" t="str">
        <x:v>Supports proposés et poses canoniques ; parcours et transactions distincts.</x:v>
      </x:c>
    </x:row>
    <x:row r="146" ht="64" customHeight="1">
      <x:c r="A146" s="272" t="str">
        <x:v>EXT-MONDE-T047-V41</x:v>
      </x:c>
      <x:c r="B146" s="272" t="str">
        <x:v>Camp de travailleurs</x:v>
      </x:c>
      <x:c r="C146" s="281" t="n">
        <x:v>41</x:v>
      </x:c>
      <x:c r="D146" s="282" t="str">
        <x:v>campaign205-047-41</x:v>
      </x:c>
      <x:c r="E146" s="281" t="n">
        <x:v>16</x:v>
      </x:c>
      <x:c r="F146" s="281" t="n">
        <x:v>16</x:v>
      </x:c>
      <x:c r="G146" s="281" t="n">
        <x:v>0</x:v>
      </x:c>
      <x:c r="H146" s="281" t="n">
        <x:v>1</x:v>
      </x:c>
      <x:c r="I146" s="281" t="n">
        <x:v>12</x:v>
      </x:c>
      <x:c r="J146" s="281" t="n">
        <x:v>2</x:v>
      </x:c>
      <x:c r="K146" s="281" t="n">
        <x:v>1</x:v>
      </x:c>
      <x:c r="L146" s="282" t="str">
        <x:v>Non</x:v>
      </x:c>
      <x:c r="M146" s="281" t="n">
        <x:v>0</x:v>
      </x:c>
      <x:c r="N146" s="272" t="str">
        <x:v>https://github.com/darknigthmare/deadwall-last-enclosure/blob/e28f46223e73105ab2c5d83f3d50b99b58ef53e6/docs/codex/suivi-monde2026/campagne208-services.json</x:v>
      </x:c>
      <x:c r="O146" s="272" t="str">
        <x:v>https://github.com/darknigthmare/deadwall-last-enclosure/blob/e28f46223e73105ab2c5d83f3d50b99b58ef53e6/docs/codex/suivi-monde2026/campagne208-art.json</x:v>
      </x:c>
      <x:c r="P146" s="272" t="str">
        <x:v>Supports proposés et poses canoniques ; parcours et transactions distincts.</x:v>
      </x:c>
    </x:row>
    <x:row r="147" ht="64" customHeight="1">
      <x:c r="A147" s="272" t="str">
        <x:v>EXT-MONDE-T047-V42</x:v>
      </x:c>
      <x:c r="B147" s="272" t="str">
        <x:v>Camp de travailleurs</x:v>
      </x:c>
      <x:c r="C147" s="281" t="n">
        <x:v>42</x:v>
      </x:c>
      <x:c r="D147" s="282" t="str">
        <x:v>campaign205-047-42</x:v>
      </x:c>
      <x:c r="E147" s="281" t="n">
        <x:v>22</x:v>
      </x:c>
      <x:c r="F147" s="281" t="n">
        <x:v>22</x:v>
      </x:c>
      <x:c r="G147" s="281" t="n">
        <x:v>0</x:v>
      </x:c>
      <x:c r="H147" s="281" t="n">
        <x:v>1</x:v>
      </x:c>
      <x:c r="I147" s="281" t="n">
        <x:v>18</x:v>
      </x:c>
      <x:c r="J147" s="281" t="n">
        <x:v>2</x:v>
      </x:c>
      <x:c r="K147" s="281" t="n">
        <x:v>1</x:v>
      </x:c>
      <x:c r="L147" s="282" t="str">
        <x:v>Non</x:v>
      </x:c>
      <x:c r="M147" s="281" t="n">
        <x:v>0</x:v>
      </x:c>
      <x:c r="N147" s="272" t="str">
        <x:v>https://github.com/darknigthmare/deadwall-last-enclosure/blob/e28f46223e73105ab2c5d83f3d50b99b58ef53e6/docs/codex/suivi-monde2026/campagne208-services.json</x:v>
      </x:c>
      <x:c r="O147" s="272" t="str">
        <x:v>https://github.com/darknigthmare/deadwall-last-enclosure/blob/e28f46223e73105ab2c5d83f3d50b99b58ef53e6/docs/codex/suivi-monde2026/campagne208-art.json</x:v>
      </x:c>
      <x:c r="P147" s="272" t="str">
        <x:v>Supports proposés et poses canoniques ; parcours et transactions distincts.</x:v>
      </x:c>
    </x:row>
    <x:row r="148" ht="64" customHeight="1">
      <x:c r="A148" s="272" t="str">
        <x:v>EXT-MONDE-T047-V43</x:v>
      </x:c>
      <x:c r="B148" s="272" t="str">
        <x:v>Camp de travailleurs</x:v>
      </x:c>
      <x:c r="C148" s="281" t="n">
        <x:v>43</x:v>
      </x:c>
      <x:c r="D148" s="282" t="str">
        <x:v>campaign205-047-43</x:v>
      </x:c>
      <x:c r="E148" s="281" t="n">
        <x:v>28</x:v>
      </x:c>
      <x:c r="F148" s="281" t="n">
        <x:v>28</x:v>
      </x:c>
      <x:c r="G148" s="281" t="n">
        <x:v>0</x:v>
      </x:c>
      <x:c r="H148" s="281" t="n">
        <x:v>1</x:v>
      </x:c>
      <x:c r="I148" s="281" t="n">
        <x:v>24</x:v>
      </x:c>
      <x:c r="J148" s="281" t="n">
        <x:v>2</x:v>
      </x:c>
      <x:c r="K148" s="281" t="n">
        <x:v>1</x:v>
      </x:c>
      <x:c r="L148" s="282" t="str">
        <x:v>Non</x:v>
      </x:c>
      <x:c r="M148" s="281" t="n">
        <x:v>0</x:v>
      </x:c>
      <x:c r="N148" s="272" t="str">
        <x:v>https://github.com/darknigthmare/deadwall-last-enclosure/blob/e28f46223e73105ab2c5d83f3d50b99b58ef53e6/docs/codex/suivi-monde2026/campagne208-services.json</x:v>
      </x:c>
      <x:c r="O148" s="272" t="str">
        <x:v>https://github.com/darknigthmare/deadwall-last-enclosure/blob/e28f46223e73105ab2c5d83f3d50b99b58ef53e6/docs/codex/suivi-monde2026/campagne208-art.json</x:v>
      </x:c>
      <x:c r="P148" s="272" t="str">
        <x:v>Supports proposés et poses canoniques ; parcours et transactions distincts.</x:v>
      </x:c>
    </x:row>
    <x:row r="149" ht="64" customHeight="1">
      <x:c r="A149" s="272" t="str">
        <x:v>EXT-MONDE-T047-V44</x:v>
      </x:c>
      <x:c r="B149" s="272" t="str">
        <x:v>Camp de travailleurs</x:v>
      </x:c>
      <x:c r="C149" s="281" t="n">
        <x:v>44</x:v>
      </x:c>
      <x:c r="D149" s="282" t="str">
        <x:v>campaign205-047-44</x:v>
      </x:c>
      <x:c r="E149" s="281" t="n">
        <x:v>13</x:v>
      </x:c>
      <x:c r="F149" s="281" t="n">
        <x:v>13</x:v>
      </x:c>
      <x:c r="G149" s="281" t="n">
        <x:v>0</x:v>
      </x:c>
      <x:c r="H149" s="281" t="n">
        <x:v>1</x:v>
      </x:c>
      <x:c r="I149" s="281" t="n">
        <x:v>9</x:v>
      </x:c>
      <x:c r="J149" s="281" t="n">
        <x:v>2</x:v>
      </x:c>
      <x:c r="K149" s="281" t="n">
        <x:v>1</x:v>
      </x:c>
      <x:c r="L149" s="282" t="str">
        <x:v>Non</x:v>
      </x:c>
      <x:c r="M149" s="281" t="n">
        <x:v>0</x:v>
      </x:c>
      <x:c r="N149" s="272" t="str">
        <x:v>https://github.com/darknigthmare/deadwall-last-enclosure/blob/e28f46223e73105ab2c5d83f3d50b99b58ef53e6/docs/codex/suivi-monde2026/campagne208-services.json</x:v>
      </x:c>
      <x:c r="O149" s="272" t="str">
        <x:v>https://github.com/darknigthmare/deadwall-last-enclosure/blob/e28f46223e73105ab2c5d83f3d50b99b58ef53e6/docs/codex/suivi-monde2026/campagne208-art.json</x:v>
      </x:c>
      <x:c r="P149" s="272" t="str">
        <x:v>Supports proposés et poses canoniques ; parcours et transactions distincts.</x:v>
      </x:c>
    </x:row>
    <x:row r="150" ht="64" customHeight="1">
      <x:c r="A150" s="272" t="str">
        <x:v>EXT-MONDE-T047-V45</x:v>
      </x:c>
      <x:c r="B150" s="272" t="str">
        <x:v>Camp de travailleurs</x:v>
      </x:c>
      <x:c r="C150" s="281" t="n">
        <x:v>45</x:v>
      </x:c>
      <x:c r="D150" s="282" t="str">
        <x:v>campaign205-047-45</x:v>
      </x:c>
      <x:c r="E150" s="281" t="n">
        <x:v>16</x:v>
      </x:c>
      <x:c r="F150" s="281" t="n">
        <x:v>16</x:v>
      </x:c>
      <x:c r="G150" s="281" t="n">
        <x:v>0</x:v>
      </x:c>
      <x:c r="H150" s="281" t="n">
        <x:v>1</x:v>
      </x:c>
      <x:c r="I150" s="281" t="n">
        <x:v>12</x:v>
      </x:c>
      <x:c r="J150" s="281" t="n">
        <x:v>2</x:v>
      </x:c>
      <x:c r="K150" s="281" t="n">
        <x:v>1</x:v>
      </x:c>
      <x:c r="L150" s="282" t="str">
        <x:v>Non</x:v>
      </x:c>
      <x:c r="M150" s="281" t="n">
        <x:v>0</x:v>
      </x:c>
      <x:c r="N150" s="272" t="str">
        <x:v>https://github.com/darknigthmare/deadwall-last-enclosure/blob/e28f46223e73105ab2c5d83f3d50b99b58ef53e6/docs/codex/suivi-monde2026/campagne208-services.json</x:v>
      </x:c>
      <x:c r="O150" s="272" t="str">
        <x:v>https://github.com/darknigthmare/deadwall-last-enclosure/blob/e28f46223e73105ab2c5d83f3d50b99b58ef53e6/docs/codex/suivi-monde2026/campagne208-art.json</x:v>
      </x:c>
      <x:c r="P150" s="272" t="str">
        <x:v>Supports proposés et poses canoniques ; parcours et transactions distincts.</x:v>
      </x:c>
    </x:row>
    <x:row r="151" ht="64" customHeight="1">
      <x:c r="A151" s="272" t="str">
        <x:v>EXT-MONDE-T047-V46</x:v>
      </x:c>
      <x:c r="B151" s="272" t="str">
        <x:v>Camp de travailleurs</x:v>
      </x:c>
      <x:c r="C151" s="281" t="n">
        <x:v>46</x:v>
      </x:c>
      <x:c r="D151" s="282" t="str">
        <x:v>campaign205-047-46</x:v>
      </x:c>
      <x:c r="E151" s="281" t="n">
        <x:v>22</x:v>
      </x:c>
      <x:c r="F151" s="281" t="n">
        <x:v>22</x:v>
      </x:c>
      <x:c r="G151" s="281" t="n">
        <x:v>0</x:v>
      </x:c>
      <x:c r="H151" s="281" t="n">
        <x:v>1</x:v>
      </x:c>
      <x:c r="I151" s="281" t="n">
        <x:v>18</x:v>
      </x:c>
      <x:c r="J151" s="281" t="n">
        <x:v>2</x:v>
      </x:c>
      <x:c r="K151" s="281" t="n">
        <x:v>1</x:v>
      </x:c>
      <x:c r="L151" s="282" t="str">
        <x:v>Non</x:v>
      </x:c>
      <x:c r="M151" s="281" t="n">
        <x:v>0</x:v>
      </x:c>
      <x:c r="N151" s="272" t="str">
        <x:v>https://github.com/darknigthmare/deadwall-last-enclosure/blob/e28f46223e73105ab2c5d83f3d50b99b58ef53e6/docs/codex/suivi-monde2026/campagne208-services.json</x:v>
      </x:c>
      <x:c r="O151" s="272" t="str">
        <x:v>https://github.com/darknigthmare/deadwall-last-enclosure/blob/e28f46223e73105ab2c5d83f3d50b99b58ef53e6/docs/codex/suivi-monde2026/campagne208-art.json</x:v>
      </x:c>
      <x:c r="P151" s="272" t="str">
        <x:v>Supports proposés et poses canoniques ; parcours et transactions distincts.</x:v>
      </x:c>
    </x:row>
    <x:row r="152" ht="64" customHeight="1">
      <x:c r="A152" s="272" t="str">
        <x:v>EXT-MONDE-T047-V47</x:v>
      </x:c>
      <x:c r="B152" s="272" t="str">
        <x:v>Camp de travailleurs</x:v>
      </x:c>
      <x:c r="C152" s="281" t="n">
        <x:v>47</x:v>
      </x:c>
      <x:c r="D152" s="282" t="str">
        <x:v>campaign205-047-47</x:v>
      </x:c>
      <x:c r="E152" s="281" t="n">
        <x:v>31</x:v>
      </x:c>
      <x:c r="F152" s="281" t="n">
        <x:v>31</x:v>
      </x:c>
      <x:c r="G152" s="281" t="n">
        <x:v>0</x:v>
      </x:c>
      <x:c r="H152" s="281" t="n">
        <x:v>1</x:v>
      </x:c>
      <x:c r="I152" s="281" t="n">
        <x:v>27</x:v>
      </x:c>
      <x:c r="J152" s="281" t="n">
        <x:v>2</x:v>
      </x:c>
      <x:c r="K152" s="281" t="n">
        <x:v>1</x:v>
      </x:c>
      <x:c r="L152" s="282" t="str">
        <x:v>Non</x:v>
      </x:c>
      <x:c r="M152" s="281" t="n">
        <x:v>0</x:v>
      </x:c>
      <x:c r="N152" s="272" t="str">
        <x:v>https://github.com/darknigthmare/deadwall-last-enclosure/blob/e28f46223e73105ab2c5d83f3d50b99b58ef53e6/docs/codex/suivi-monde2026/campagne208-services.json</x:v>
      </x:c>
      <x:c r="O152" s="272" t="str">
        <x:v>https://github.com/darknigthmare/deadwall-last-enclosure/blob/e28f46223e73105ab2c5d83f3d50b99b58ef53e6/docs/codex/suivi-monde2026/campagne208-art.json</x:v>
      </x:c>
      <x:c r="P152" s="272" t="str">
        <x:v>Supports proposés et poses canoniques ; parcours et transactions distincts.</x:v>
      </x:c>
    </x:row>
    <x:row r="153" ht="64" customHeight="1">
      <x:c r="A153" s="272" t="str">
        <x:v>EXT-MONDE-T047-V48</x:v>
      </x:c>
      <x:c r="B153" s="272" t="str">
        <x:v>Camp de travailleurs</x:v>
      </x:c>
      <x:c r="C153" s="281" t="n">
        <x:v>48</x:v>
      </x:c>
      <x:c r="D153" s="282" t="str">
        <x:v>campaign205-047-48</x:v>
      </x:c>
      <x:c r="E153" s="281" t="n">
        <x:v>25</x:v>
      </x:c>
      <x:c r="F153" s="281" t="n">
        <x:v>25</x:v>
      </x:c>
      <x:c r="G153" s="281" t="n">
        <x:v>0</x:v>
      </x:c>
      <x:c r="H153" s="281" t="n">
        <x:v>1</x:v>
      </x:c>
      <x:c r="I153" s="281" t="n">
        <x:v>21</x:v>
      </x:c>
      <x:c r="J153" s="281" t="n">
        <x:v>2</x:v>
      </x:c>
      <x:c r="K153" s="281" t="n">
        <x:v>1</x:v>
      </x:c>
      <x:c r="L153" s="282" t="str">
        <x:v>Non</x:v>
      </x:c>
      <x:c r="M153" s="281" t="n">
        <x:v>0</x:v>
      </x:c>
      <x:c r="N153" s="272" t="str">
        <x:v>https://github.com/darknigthmare/deadwall-last-enclosure/blob/e28f46223e73105ab2c5d83f3d50b99b58ef53e6/docs/codex/suivi-monde2026/campagne208-services.json</x:v>
      </x:c>
      <x:c r="O153" s="272" t="str">
        <x:v>https://github.com/darknigthmare/deadwall-last-enclosure/blob/e28f46223e73105ab2c5d83f3d50b99b58ef53e6/docs/codex/suivi-monde2026/campagne208-art.json</x:v>
      </x:c>
      <x:c r="P153" s="272" t="str">
        <x:v>Supports proposés et poses canoniques ; parcours et transactions distincts.</x:v>
      </x:c>
    </x:row>
    <x:row r="154" ht="64" customHeight="1">
      <x:c r="A154" s="272" t="str">
        <x:v>EXT-MONDE-T047-V49</x:v>
      </x:c>
      <x:c r="B154" s="272" t="str">
        <x:v>Camp de travailleurs</x:v>
      </x:c>
      <x:c r="C154" s="281" t="n">
        <x:v>49</x:v>
      </x:c>
      <x:c r="D154" s="282" t="str">
        <x:v>campaign205-047-49</x:v>
      </x:c>
      <x:c r="E154" s="281" t="n">
        <x:v>19</x:v>
      </x:c>
      <x:c r="F154" s="281" t="n">
        <x:v>19</x:v>
      </x:c>
      <x:c r="G154" s="281" t="n">
        <x:v>0</x:v>
      </x:c>
      <x:c r="H154" s="281" t="n">
        <x:v>1</x:v>
      </x:c>
      <x:c r="I154" s="281" t="n">
        <x:v>15</x:v>
      </x:c>
      <x:c r="J154" s="281" t="n">
        <x:v>2</x:v>
      </x:c>
      <x:c r="K154" s="281" t="n">
        <x:v>1</x:v>
      </x:c>
      <x:c r="L154" s="282" t="str">
        <x:v>Non</x:v>
      </x:c>
      <x:c r="M154" s="281" t="n">
        <x:v>0</x:v>
      </x:c>
      <x:c r="N154" s="272" t="str">
        <x:v>https://github.com/darknigthmare/deadwall-last-enclosure/blob/e28f46223e73105ab2c5d83f3d50b99b58ef53e6/docs/codex/suivi-monde2026/campagne208-services.json</x:v>
      </x:c>
      <x:c r="O154" s="272" t="str">
        <x:v>https://github.com/darknigthmare/deadwall-last-enclosure/blob/e28f46223e73105ab2c5d83f3d50b99b58ef53e6/docs/codex/suivi-monde2026/campagne208-art.json</x:v>
      </x:c>
      <x:c r="P154" s="272" t="str">
        <x:v>Supports proposés et poses canoniques ; parcours et transactions distincts.</x:v>
      </x:c>
    </x:row>
    <x:row r="155" ht="64" customHeight="1">
      <x:c r="A155" s="272" t="str">
        <x:v>EXT-MONDE-T047-V50</x:v>
      </x:c>
      <x:c r="B155" s="272" t="str">
        <x:v>Camp de travailleurs</x:v>
      </x:c>
      <x:c r="C155" s="281" t="n">
        <x:v>50</x:v>
      </x:c>
      <x:c r="D155" s="282" t="str">
        <x:v>campaign205-047-50</x:v>
      </x:c>
      <x:c r="E155" s="281" t="n">
        <x:v>34</x:v>
      </x:c>
      <x:c r="F155" s="281" t="n">
        <x:v>34</x:v>
      </x:c>
      <x:c r="G155" s="281" t="n">
        <x:v>0</x:v>
      </x:c>
      <x:c r="H155" s="281" t="n">
        <x:v>1</x:v>
      </x:c>
      <x:c r="I155" s="281" t="n">
        <x:v>30</x:v>
      </x:c>
      <x:c r="J155" s="281" t="n">
        <x:v>2</x:v>
      </x:c>
      <x:c r="K155" s="281" t="n">
        <x:v>1</x:v>
      </x:c>
      <x:c r="L155" s="282" t="str">
        <x:v>Non</x:v>
      </x:c>
      <x:c r="M155" s="281" t="n">
        <x:v>0</x:v>
      </x:c>
      <x:c r="N155" s="272" t="str">
        <x:v>https://github.com/darknigthmare/deadwall-last-enclosure/blob/e28f46223e73105ab2c5d83f3d50b99b58ef53e6/docs/codex/suivi-monde2026/campagne208-services.json</x:v>
      </x:c>
      <x:c r="O155" s="272" t="str">
        <x:v>https://github.com/darknigthmare/deadwall-last-enclosure/blob/e28f46223e73105ab2c5d83f3d50b99b58ef53e6/docs/codex/suivi-monde2026/campagne208-art.json</x:v>
      </x:c>
      <x:c r="P155" s="272" t="str">
        <x:v>Supports proposés et poses canoniques ; parcours et transactions distincts.</x:v>
      </x:c>
    </x:row>
    <x:row r="156" ht="64" customHeight="1">
      <x:c r="A156" s="272" t="str">
        <x:v>EXT-MONDE-T048-V01</x:v>
      </x:c>
      <x:c r="B156" s="272" t="str">
        <x:v>Parc de caravanes abandonné</x:v>
      </x:c>
      <x:c r="C156" s="281" t="n">
        <x:v>1</x:v>
      </x:c>
      <x:c r="D156" s="282" t="str">
        <x:v>campaign205-048-01</x:v>
      </x:c>
      <x:c r="E156" s="281" t="n">
        <x:v>8</x:v>
      </x:c>
      <x:c r="F156" s="281" t="n">
        <x:v>8</x:v>
      </x:c>
      <x:c r="G156" s="281" t="n">
        <x:v>0</x:v>
      </x:c>
      <x:c r="H156" s="281" t="n">
        <x:v>2</x:v>
      </x:c>
      <x:c r="I156" s="281" t="n">
        <x:v>4</x:v>
      </x:c>
      <x:c r="J156" s="281" t="n">
        <x:v>2</x:v>
      </x:c>
      <x:c r="K156" s="281" t="n">
        <x:v>0</x:v>
      </x:c>
      <x:c r="L156" s="282" t="str">
        <x:v>Oui</x:v>
      </x:c>
      <x:c r="M156" s="281" t="n">
        <x:v>3</x:v>
      </x:c>
      <x:c r="N156" s="272" t="str">
        <x:v>https://github.com/darknigthmare/deadwall-last-enclosure/blob/e28f46223e73105ab2c5d83f3d50b99b58ef53e6/docs/codex/suivi-monde2026/campagne208-services.json</x:v>
      </x:c>
      <x:c r="O156" s="272" t="str">
        <x:v>https://github.com/darknigthmare/deadwall-last-enclosure/blob/e28f46223e73105ab2c5d83f3d50b99b58ef53e6/docs/codex/suivi-monde2026/campagne208-art.json</x:v>
      </x:c>
      <x:c r="P156" s="272" t="str">
        <x:v>Supports proposés et poses canoniques ; parcours et transactions distincts.</x:v>
      </x:c>
    </x:row>
    <x:row r="157" ht="64" customHeight="1">
      <x:c r="A157" s="272" t="str">
        <x:v>EXT-MONDE-T048-V02</x:v>
      </x:c>
      <x:c r="B157" s="272" t="str">
        <x:v>Parc de caravanes abandonné</x:v>
      </x:c>
      <x:c r="C157" s="281" t="n">
        <x:v>2</x:v>
      </x:c>
      <x:c r="D157" s="282" t="str">
        <x:v>campaign205-048-02</x:v>
      </x:c>
      <x:c r="E157" s="281" t="n">
        <x:v>8</x:v>
      </x:c>
      <x:c r="F157" s="281" t="n">
        <x:v>8</x:v>
      </x:c>
      <x:c r="G157" s="281" t="n">
        <x:v>0</x:v>
      </x:c>
      <x:c r="H157" s="281" t="n">
        <x:v>2</x:v>
      </x:c>
      <x:c r="I157" s="281" t="n">
        <x:v>4</x:v>
      </x:c>
      <x:c r="J157" s="281" t="n">
        <x:v>2</x:v>
      </x:c>
      <x:c r="K157" s="281" t="n">
        <x:v>0</x:v>
      </x:c>
      <x:c r="L157" s="282" t="str">
        <x:v>Non</x:v>
      </x:c>
      <x:c r="M157" s="281" t="n">
        <x:v>0</x:v>
      </x:c>
      <x:c r="N157" s="272" t="str">
        <x:v>https://github.com/darknigthmare/deadwall-last-enclosure/blob/e28f46223e73105ab2c5d83f3d50b99b58ef53e6/docs/codex/suivi-monde2026/campagne208-services.json</x:v>
      </x:c>
      <x:c r="O157" s="272" t="str">
        <x:v>https://github.com/darknigthmare/deadwall-last-enclosure/blob/e28f46223e73105ab2c5d83f3d50b99b58ef53e6/docs/codex/suivi-monde2026/campagne208-art.json</x:v>
      </x:c>
      <x:c r="P157" s="272" t="str">
        <x:v>Supports proposés et poses canoniques ; parcours et transactions distincts.</x:v>
      </x:c>
    </x:row>
    <x:row r="158" ht="64" customHeight="1">
      <x:c r="A158" s="272" t="str">
        <x:v>EXT-MONDE-T048-V03</x:v>
      </x:c>
      <x:c r="B158" s="272" t="str">
        <x:v>Parc de caravanes abandonné</x:v>
      </x:c>
      <x:c r="C158" s="281" t="n">
        <x:v>3</x:v>
      </x:c>
      <x:c r="D158" s="282" t="str">
        <x:v>campaign205-048-03</x:v>
      </x:c>
      <x:c r="E158" s="281" t="n">
        <x:v>11</x:v>
      </x:c>
      <x:c r="F158" s="281" t="n">
        <x:v>11</x:v>
      </x:c>
      <x:c r="G158" s="281" t="n">
        <x:v>0</x:v>
      </x:c>
      <x:c r="H158" s="281" t="n">
        <x:v>3</x:v>
      </x:c>
      <x:c r="I158" s="281" t="n">
        <x:v>6</x:v>
      </x:c>
      <x:c r="J158" s="281" t="n">
        <x:v>2</x:v>
      </x:c>
      <x:c r="K158" s="281" t="n">
        <x:v>0</x:v>
      </x:c>
      <x:c r="L158" s="282" t="str">
        <x:v>Non</x:v>
      </x:c>
      <x:c r="M158" s="281" t="n">
        <x:v>0</x:v>
      </x:c>
      <x:c r="N158" s="272" t="str">
        <x:v>https://github.com/darknigthmare/deadwall-last-enclosure/blob/e28f46223e73105ab2c5d83f3d50b99b58ef53e6/docs/codex/suivi-monde2026/campagne208-services.json</x:v>
      </x:c>
      <x:c r="O158" s="272" t="str">
        <x:v>https://github.com/darknigthmare/deadwall-last-enclosure/blob/e28f46223e73105ab2c5d83f3d50b99b58ef53e6/docs/codex/suivi-monde2026/campagne208-art.json</x:v>
      </x:c>
      <x:c r="P158" s="272" t="str">
        <x:v>Supports proposés et poses canoniques ; parcours et transactions distincts.</x:v>
      </x:c>
    </x:row>
    <x:row r="159" ht="64" customHeight="1">
      <x:c r="A159" s="272" t="str">
        <x:v>EXT-MONDE-T048-V04</x:v>
      </x:c>
      <x:c r="B159" s="272" t="str">
        <x:v>Parc de caravanes abandonné</x:v>
      </x:c>
      <x:c r="C159" s="281" t="n">
        <x:v>4</x:v>
      </x:c>
      <x:c r="D159" s="282" t="str">
        <x:v>campaign205-048-04</x:v>
      </x:c>
      <x:c r="E159" s="281" t="n">
        <x:v>5</x:v>
      </x:c>
      <x:c r="F159" s="281" t="n">
        <x:v>5</x:v>
      </x:c>
      <x:c r="G159" s="281" t="n">
        <x:v>0</x:v>
      </x:c>
      <x:c r="H159" s="281" t="n">
        <x:v>1</x:v>
      </x:c>
      <x:c r="I159" s="281" t="n">
        <x:v>2</x:v>
      </x:c>
      <x:c r="J159" s="281" t="n">
        <x:v>2</x:v>
      </x:c>
      <x:c r="K159" s="281" t="n">
        <x:v>0</x:v>
      </x:c>
      <x:c r="L159" s="282" t="str">
        <x:v>Non</x:v>
      </x:c>
      <x:c r="M159" s="281" t="n">
        <x:v>0</x:v>
      </x:c>
      <x:c r="N159" s="272" t="str">
        <x:v>https://github.com/darknigthmare/deadwall-last-enclosure/blob/e28f46223e73105ab2c5d83f3d50b99b58ef53e6/docs/codex/suivi-monde2026/campagne208-services.json</x:v>
      </x:c>
      <x:c r="O159" s="272" t="str">
        <x:v>https://github.com/darknigthmare/deadwall-last-enclosure/blob/e28f46223e73105ab2c5d83f3d50b99b58ef53e6/docs/codex/suivi-monde2026/campagne208-art.json</x:v>
      </x:c>
      <x:c r="P159" s="272" t="str">
        <x:v>Supports proposés et poses canoniques ; parcours et transactions distincts.</x:v>
      </x:c>
    </x:row>
    <x:row r="160" ht="64" customHeight="1">
      <x:c r="A160" s="272" t="str">
        <x:v>EXT-MONDE-T048-V05</x:v>
      </x:c>
      <x:c r="B160" s="272" t="str">
        <x:v>Parc de caravanes abandonné</x:v>
      </x:c>
      <x:c r="C160" s="281" t="n">
        <x:v>5</x:v>
      </x:c>
      <x:c r="D160" s="282" t="str">
        <x:v>campaign205-048-05</x:v>
      </x:c>
      <x:c r="E160" s="281" t="n">
        <x:v>8</x:v>
      </x:c>
      <x:c r="F160" s="281" t="n">
        <x:v>8</x:v>
      </x:c>
      <x:c r="G160" s="281" t="n">
        <x:v>0</x:v>
      </x:c>
      <x:c r="H160" s="281" t="n">
        <x:v>2</x:v>
      </x:c>
      <x:c r="I160" s="281" t="n">
        <x:v>4</x:v>
      </x:c>
      <x:c r="J160" s="281" t="n">
        <x:v>2</x:v>
      </x:c>
      <x:c r="K160" s="281" t="n">
        <x:v>0</x:v>
      </x:c>
      <x:c r="L160" s="282" t="str">
        <x:v>Non</x:v>
      </x:c>
      <x:c r="M160" s="281" t="n">
        <x:v>0</x:v>
      </x:c>
      <x:c r="N160" s="272" t="str">
        <x:v>https://github.com/darknigthmare/deadwall-last-enclosure/blob/e28f46223e73105ab2c5d83f3d50b99b58ef53e6/docs/codex/suivi-monde2026/campagne208-services.json</x:v>
      </x:c>
      <x:c r="O160" s="272" t="str">
        <x:v>https://github.com/darknigthmare/deadwall-last-enclosure/blob/e28f46223e73105ab2c5d83f3d50b99b58ef53e6/docs/codex/suivi-monde2026/campagne208-art.json</x:v>
      </x:c>
      <x:c r="P160" s="272" t="str">
        <x:v>Supports proposés et poses canoniques ; parcours et transactions distincts.</x:v>
      </x:c>
    </x:row>
    <x:row r="161" ht="64" customHeight="1">
      <x:c r="A161" s="272" t="str">
        <x:v>EXT-MONDE-T048-V06</x:v>
      </x:c>
      <x:c r="B161" s="272" t="str">
        <x:v>Parc de caravanes abandonné</x:v>
      </x:c>
      <x:c r="C161" s="281" t="n">
        <x:v>6</x:v>
      </x:c>
      <x:c r="D161" s="282" t="str">
        <x:v>campaign205-048-06</x:v>
      </x:c>
      <x:c r="E161" s="281" t="n">
        <x:v>8</x:v>
      </x:c>
      <x:c r="F161" s="281" t="n">
        <x:v>8</x:v>
      </x:c>
      <x:c r="G161" s="281" t="n">
        <x:v>0</x:v>
      </x:c>
      <x:c r="H161" s="281" t="n">
        <x:v>2</x:v>
      </x:c>
      <x:c r="I161" s="281" t="n">
        <x:v>4</x:v>
      </x:c>
      <x:c r="J161" s="281" t="n">
        <x:v>2</x:v>
      </x:c>
      <x:c r="K161" s="281" t="n">
        <x:v>0</x:v>
      </x:c>
      <x:c r="L161" s="282" t="str">
        <x:v>Non</x:v>
      </x:c>
      <x:c r="M161" s="281" t="n">
        <x:v>0</x:v>
      </x:c>
      <x:c r="N161" s="272" t="str">
        <x:v>https://github.com/darknigthmare/deadwall-last-enclosure/blob/e28f46223e73105ab2c5d83f3d50b99b58ef53e6/docs/codex/suivi-monde2026/campagne208-services.json</x:v>
      </x:c>
      <x:c r="O161" s="272" t="str">
        <x:v>https://github.com/darknigthmare/deadwall-last-enclosure/blob/e28f46223e73105ab2c5d83f3d50b99b58ef53e6/docs/codex/suivi-monde2026/campagne208-art.json</x:v>
      </x:c>
      <x:c r="P161" s="272" t="str">
        <x:v>Supports proposés et poses canoniques ; parcours et transactions distincts.</x:v>
      </x:c>
    </x:row>
    <x:row r="162" ht="64" customHeight="1">
      <x:c r="A162" s="272" t="str">
        <x:v>EXT-MONDE-T048-V07</x:v>
      </x:c>
      <x:c r="B162" s="272" t="str">
        <x:v>Parc de caravanes abandonné</x:v>
      </x:c>
      <x:c r="C162" s="281" t="n">
        <x:v>7</x:v>
      </x:c>
      <x:c r="D162" s="282" t="str">
        <x:v>campaign205-048-07</x:v>
      </x:c>
      <x:c r="E162" s="281" t="n">
        <x:v>11</x:v>
      </x:c>
      <x:c r="F162" s="281" t="n">
        <x:v>11</x:v>
      </x:c>
      <x:c r="G162" s="281" t="n">
        <x:v>0</x:v>
      </x:c>
      <x:c r="H162" s="281" t="n">
        <x:v>3</x:v>
      </x:c>
      <x:c r="I162" s="281" t="n">
        <x:v>6</x:v>
      </x:c>
      <x:c r="J162" s="281" t="n">
        <x:v>2</x:v>
      </x:c>
      <x:c r="K162" s="281" t="n">
        <x:v>0</x:v>
      </x:c>
      <x:c r="L162" s="282" t="str">
        <x:v>Non</x:v>
      </x:c>
      <x:c r="M162" s="281" t="n">
        <x:v>0</x:v>
      </x:c>
      <x:c r="N162" s="272" t="str">
        <x:v>https://github.com/darknigthmare/deadwall-last-enclosure/blob/e28f46223e73105ab2c5d83f3d50b99b58ef53e6/docs/codex/suivi-monde2026/campagne208-services.json</x:v>
      </x:c>
      <x:c r="O162" s="272" t="str">
        <x:v>https://github.com/darknigthmare/deadwall-last-enclosure/blob/e28f46223e73105ab2c5d83f3d50b99b58ef53e6/docs/codex/suivi-monde2026/campagne208-art.json</x:v>
      </x:c>
      <x:c r="P162" s="272" t="str">
        <x:v>Supports proposés et poses canoniques ; parcours et transactions distincts.</x:v>
      </x:c>
    </x:row>
    <x:row r="163" ht="64" customHeight="1">
      <x:c r="A163" s="272" t="str">
        <x:v>EXT-MONDE-T048-V08</x:v>
      </x:c>
      <x:c r="B163" s="272" t="str">
        <x:v>Parc de caravanes abandonné</x:v>
      </x:c>
      <x:c r="C163" s="281" t="n">
        <x:v>8</x:v>
      </x:c>
      <x:c r="D163" s="282" t="str">
        <x:v>campaign205-048-08</x:v>
      </x:c>
      <x:c r="E163" s="281" t="n">
        <x:v>11</x:v>
      </x:c>
      <x:c r="F163" s="281" t="n">
        <x:v>11</x:v>
      </x:c>
      <x:c r="G163" s="281" t="n">
        <x:v>0</x:v>
      </x:c>
      <x:c r="H163" s="281" t="n">
        <x:v>3</x:v>
      </x:c>
      <x:c r="I163" s="281" t="n">
        <x:v>6</x:v>
      </x:c>
      <x:c r="J163" s="281" t="n">
        <x:v>2</x:v>
      </x:c>
      <x:c r="K163" s="281" t="n">
        <x:v>0</x:v>
      </x:c>
      <x:c r="L163" s="282" t="str">
        <x:v>Non</x:v>
      </x:c>
      <x:c r="M163" s="281" t="n">
        <x:v>0</x:v>
      </x:c>
      <x:c r="N163" s="272" t="str">
        <x:v>https://github.com/darknigthmare/deadwall-last-enclosure/blob/e28f46223e73105ab2c5d83f3d50b99b58ef53e6/docs/codex/suivi-monde2026/campagne208-services.json</x:v>
      </x:c>
      <x:c r="O163" s="272" t="str">
        <x:v>https://github.com/darknigthmare/deadwall-last-enclosure/blob/e28f46223e73105ab2c5d83f3d50b99b58ef53e6/docs/codex/suivi-monde2026/campagne208-art.json</x:v>
      </x:c>
      <x:c r="P163" s="272" t="str">
        <x:v>Supports proposés et poses canoniques ; parcours et transactions distincts.</x:v>
      </x:c>
    </x:row>
    <x:row r="164" ht="64" customHeight="1">
      <x:c r="A164" s="272" t="str">
        <x:v>EXT-MONDE-T048-V09</x:v>
      </x:c>
      <x:c r="B164" s="272" t="str">
        <x:v>Parc de caravanes abandonné</x:v>
      </x:c>
      <x:c r="C164" s="281" t="n">
        <x:v>9</x:v>
      </x:c>
      <x:c r="D164" s="282" t="str">
        <x:v>campaign205-048-09</x:v>
      </x:c>
      <x:c r="E164" s="281" t="n">
        <x:v>8</x:v>
      </x:c>
      <x:c r="F164" s="281" t="n">
        <x:v>8</x:v>
      </x:c>
      <x:c r="G164" s="281" t="n">
        <x:v>0</x:v>
      </x:c>
      <x:c r="H164" s="281" t="n">
        <x:v>2</x:v>
      </x:c>
      <x:c r="I164" s="281" t="n">
        <x:v>4</x:v>
      </x:c>
      <x:c r="J164" s="281" t="n">
        <x:v>2</x:v>
      </x:c>
      <x:c r="K164" s="281" t="n">
        <x:v>0</x:v>
      </x:c>
      <x:c r="L164" s="282" t="str">
        <x:v>Non</x:v>
      </x:c>
      <x:c r="M164" s="281" t="n">
        <x:v>0</x:v>
      </x:c>
      <x:c r="N164" s="272" t="str">
        <x:v>https://github.com/darknigthmare/deadwall-last-enclosure/blob/e28f46223e73105ab2c5d83f3d50b99b58ef53e6/docs/codex/suivi-monde2026/campagne208-services.json</x:v>
      </x:c>
      <x:c r="O164" s="272" t="str">
        <x:v>https://github.com/darknigthmare/deadwall-last-enclosure/blob/e28f46223e73105ab2c5d83f3d50b99b58ef53e6/docs/codex/suivi-monde2026/campagne208-art.json</x:v>
      </x:c>
      <x:c r="P164" s="272" t="str">
        <x:v>Supports proposés et poses canoniques ; parcours et transactions distincts.</x:v>
      </x:c>
    </x:row>
    <x:row r="165" ht="64" customHeight="1">
      <x:c r="A165" s="272" t="str">
        <x:v>EXT-MONDE-T048-V10</x:v>
      </x:c>
      <x:c r="B165" s="272" t="str">
        <x:v>Parc de caravanes abandonné</x:v>
      </x:c>
      <x:c r="C165" s="281" t="n">
        <x:v>10</x:v>
      </x:c>
      <x:c r="D165" s="282" t="str">
        <x:v>campaign205-048-10</x:v>
      </x:c>
      <x:c r="E165" s="281" t="n">
        <x:v>11</x:v>
      </x:c>
      <x:c r="F165" s="281" t="n">
        <x:v>11</x:v>
      </x:c>
      <x:c r="G165" s="281" t="n">
        <x:v>0</x:v>
      </x:c>
      <x:c r="H165" s="281" t="n">
        <x:v>3</x:v>
      </x:c>
      <x:c r="I165" s="281" t="n">
        <x:v>6</x:v>
      </x:c>
      <x:c r="J165" s="281" t="n">
        <x:v>2</x:v>
      </x:c>
      <x:c r="K165" s="281" t="n">
        <x:v>0</x:v>
      </x:c>
      <x:c r="L165" s="282" t="str">
        <x:v>Non</x:v>
      </x:c>
      <x:c r="M165" s="281" t="n">
        <x:v>0</x:v>
      </x:c>
      <x:c r="N165" s="272" t="str">
        <x:v>https://github.com/darknigthmare/deadwall-last-enclosure/blob/e28f46223e73105ab2c5d83f3d50b99b58ef53e6/docs/codex/suivi-monde2026/campagne208-services.json</x:v>
      </x:c>
      <x:c r="O165" s="272" t="str">
        <x:v>https://github.com/darknigthmare/deadwall-last-enclosure/blob/e28f46223e73105ab2c5d83f3d50b99b58ef53e6/docs/codex/suivi-monde2026/campagne208-art.json</x:v>
      </x:c>
      <x:c r="P165" s="272" t="str">
        <x:v>Supports proposés et poses canoniques ; parcours et transactions distincts.</x:v>
      </x:c>
    </x:row>
    <x:row r="166" ht="64" customHeight="1">
      <x:c r="A166" s="272" t="str">
        <x:v>EXT-MONDE-T048-V11</x:v>
      </x:c>
      <x:c r="B166" s="272" t="str">
        <x:v>Parc de caravanes abandonné</x:v>
      </x:c>
      <x:c r="C166" s="281" t="n">
        <x:v>11</x:v>
      </x:c>
      <x:c r="D166" s="282" t="str">
        <x:v>campaign205-048-11</x:v>
      </x:c>
      <x:c r="E166" s="281" t="n">
        <x:v>8</x:v>
      </x:c>
      <x:c r="F166" s="281" t="n">
        <x:v>8</x:v>
      </x:c>
      <x:c r="G166" s="281" t="n">
        <x:v>0</x:v>
      </x:c>
      <x:c r="H166" s="281" t="n">
        <x:v>2</x:v>
      </x:c>
      <x:c r="I166" s="281" t="n">
        <x:v>4</x:v>
      </x:c>
      <x:c r="J166" s="281" t="n">
        <x:v>2</x:v>
      </x:c>
      <x:c r="K166" s="281" t="n">
        <x:v>0</x:v>
      </x:c>
      <x:c r="L166" s="282" t="str">
        <x:v>Non</x:v>
      </x:c>
      <x:c r="M166" s="281" t="n">
        <x:v>0</x:v>
      </x:c>
      <x:c r="N166" s="272" t="str">
        <x:v>https://github.com/darknigthmare/deadwall-last-enclosure/blob/e28f46223e73105ab2c5d83f3d50b99b58ef53e6/docs/codex/suivi-monde2026/campagne208-services.json</x:v>
      </x:c>
      <x:c r="O166" s="272" t="str">
        <x:v>https://github.com/darknigthmare/deadwall-last-enclosure/blob/e28f46223e73105ab2c5d83f3d50b99b58ef53e6/docs/codex/suivi-monde2026/campagne208-art.json</x:v>
      </x:c>
      <x:c r="P166" s="272" t="str">
        <x:v>Supports proposés et poses canoniques ; parcours et transactions distincts.</x:v>
      </x:c>
    </x:row>
    <x:row r="167" ht="64" customHeight="1">
      <x:c r="A167" s="272" t="str">
        <x:v>EXT-MONDE-T048-V12</x:v>
      </x:c>
      <x:c r="B167" s="272" t="str">
        <x:v>Parc de caravanes abandonné</x:v>
      </x:c>
      <x:c r="C167" s="281" t="n">
        <x:v>12</x:v>
      </x:c>
      <x:c r="D167" s="282" t="str">
        <x:v>campaign205-048-12</x:v>
      </x:c>
      <x:c r="E167" s="281" t="n">
        <x:v>8</x:v>
      </x:c>
      <x:c r="F167" s="281" t="n">
        <x:v>8</x:v>
      </x:c>
      <x:c r="G167" s="281" t="n">
        <x:v>0</x:v>
      </x:c>
      <x:c r="H167" s="281" t="n">
        <x:v>2</x:v>
      </x:c>
      <x:c r="I167" s="281" t="n">
        <x:v>4</x:v>
      </x:c>
      <x:c r="J167" s="281" t="n">
        <x:v>2</x:v>
      </x:c>
      <x:c r="K167" s="281" t="n">
        <x:v>0</x:v>
      </x:c>
      <x:c r="L167" s="282" t="str">
        <x:v>Non</x:v>
      </x:c>
      <x:c r="M167" s="281" t="n">
        <x:v>0</x:v>
      </x:c>
      <x:c r="N167" s="272" t="str">
        <x:v>https://github.com/darknigthmare/deadwall-last-enclosure/blob/e28f46223e73105ab2c5d83f3d50b99b58ef53e6/docs/codex/suivi-monde2026/campagne208-services.json</x:v>
      </x:c>
      <x:c r="O167" s="272" t="str">
        <x:v>https://github.com/darknigthmare/deadwall-last-enclosure/blob/e28f46223e73105ab2c5d83f3d50b99b58ef53e6/docs/codex/suivi-monde2026/campagne208-art.json</x:v>
      </x:c>
      <x:c r="P167" s="272" t="str">
        <x:v>Supports proposés et poses canoniques ; parcours et transactions distincts.</x:v>
      </x:c>
    </x:row>
    <x:row r="168" ht="64" customHeight="1">
      <x:c r="A168" s="272" t="str">
        <x:v>EXT-MONDE-T048-V13</x:v>
      </x:c>
      <x:c r="B168" s="272" t="str">
        <x:v>Parc de caravanes abandonné</x:v>
      </x:c>
      <x:c r="C168" s="281" t="n">
        <x:v>13</x:v>
      </x:c>
      <x:c r="D168" s="282" t="str">
        <x:v>campaign205-048-13</x:v>
      </x:c>
      <x:c r="E168" s="281" t="n">
        <x:v>11</x:v>
      </x:c>
      <x:c r="F168" s="281" t="n">
        <x:v>11</x:v>
      </x:c>
      <x:c r="G168" s="281" t="n">
        <x:v>0</x:v>
      </x:c>
      <x:c r="H168" s="281" t="n">
        <x:v>3</x:v>
      </x:c>
      <x:c r="I168" s="281" t="n">
        <x:v>6</x:v>
      </x:c>
      <x:c r="J168" s="281" t="n">
        <x:v>2</x:v>
      </x:c>
      <x:c r="K168" s="281" t="n">
        <x:v>0</x:v>
      </x:c>
      <x:c r="L168" s="282" t="str">
        <x:v>Non</x:v>
      </x:c>
      <x:c r="M168" s="281" t="n">
        <x:v>0</x:v>
      </x:c>
      <x:c r="N168" s="272" t="str">
        <x:v>https://github.com/darknigthmare/deadwall-last-enclosure/blob/e28f46223e73105ab2c5d83f3d50b99b58ef53e6/docs/codex/suivi-monde2026/campagne208-services.json</x:v>
      </x:c>
      <x:c r="O168" s="272" t="str">
        <x:v>https://github.com/darknigthmare/deadwall-last-enclosure/blob/e28f46223e73105ab2c5d83f3d50b99b58ef53e6/docs/codex/suivi-monde2026/campagne208-art.json</x:v>
      </x:c>
      <x:c r="P168" s="272" t="str">
        <x:v>Supports proposés et poses canoniques ; parcours et transactions distincts.</x:v>
      </x:c>
    </x:row>
    <x:row r="169" ht="64" customHeight="1">
      <x:c r="A169" s="272" t="str">
        <x:v>EXT-MONDE-T048-V14</x:v>
      </x:c>
      <x:c r="B169" s="272" t="str">
        <x:v>Parc de caravanes abandonné</x:v>
      </x:c>
      <x:c r="C169" s="281" t="n">
        <x:v>14</x:v>
      </x:c>
      <x:c r="D169" s="282" t="str">
        <x:v>campaign205-048-14</x:v>
      </x:c>
      <x:c r="E169" s="281" t="n">
        <x:v>5</x:v>
      </x:c>
      <x:c r="F169" s="281" t="n">
        <x:v>5</x:v>
      </x:c>
      <x:c r="G169" s="281" t="n">
        <x:v>0</x:v>
      </x:c>
      <x:c r="H169" s="281" t="n">
        <x:v>1</x:v>
      </x:c>
      <x:c r="I169" s="281" t="n">
        <x:v>2</x:v>
      </x:c>
      <x:c r="J169" s="281" t="n">
        <x:v>2</x:v>
      </x:c>
      <x:c r="K169" s="281" t="n">
        <x:v>0</x:v>
      </x:c>
      <x:c r="L169" s="282" t="str">
        <x:v>Non</x:v>
      </x:c>
      <x:c r="M169" s="281" t="n">
        <x:v>0</x:v>
      </x:c>
      <x:c r="N169" s="272" t="str">
        <x:v>https://github.com/darknigthmare/deadwall-last-enclosure/blob/e28f46223e73105ab2c5d83f3d50b99b58ef53e6/docs/codex/suivi-monde2026/campagne208-services.json</x:v>
      </x:c>
      <x:c r="O169" s="272" t="str">
        <x:v>https://github.com/darknigthmare/deadwall-last-enclosure/blob/e28f46223e73105ab2c5d83f3d50b99b58ef53e6/docs/codex/suivi-monde2026/campagne208-art.json</x:v>
      </x:c>
      <x:c r="P169" s="272" t="str">
        <x:v>Supports proposés et poses canoniques ; parcours et transactions distincts.</x:v>
      </x:c>
    </x:row>
    <x:row r="170" ht="64" customHeight="1">
      <x:c r="A170" s="272" t="str">
        <x:v>EXT-MONDE-T048-V15</x:v>
      </x:c>
      <x:c r="B170" s="272" t="str">
        <x:v>Parc de caravanes abandonné</x:v>
      </x:c>
      <x:c r="C170" s="281" t="n">
        <x:v>15</x:v>
      </x:c>
      <x:c r="D170" s="282" t="str">
        <x:v>campaign205-048-15</x:v>
      </x:c>
      <x:c r="E170" s="281" t="n">
        <x:v>8</x:v>
      </x:c>
      <x:c r="F170" s="281" t="n">
        <x:v>8</x:v>
      </x:c>
      <x:c r="G170" s="281" t="n">
        <x:v>0</x:v>
      </x:c>
      <x:c r="H170" s="281" t="n">
        <x:v>2</x:v>
      </x:c>
      <x:c r="I170" s="281" t="n">
        <x:v>4</x:v>
      </x:c>
      <x:c r="J170" s="281" t="n">
        <x:v>2</x:v>
      </x:c>
      <x:c r="K170" s="281" t="n">
        <x:v>0</x:v>
      </x:c>
      <x:c r="L170" s="282" t="str">
        <x:v>Non</x:v>
      </x:c>
      <x:c r="M170" s="281" t="n">
        <x:v>0</x:v>
      </x:c>
      <x:c r="N170" s="272" t="str">
        <x:v>https://github.com/darknigthmare/deadwall-last-enclosure/blob/e28f46223e73105ab2c5d83f3d50b99b58ef53e6/docs/codex/suivi-monde2026/campagne208-services.json</x:v>
      </x:c>
      <x:c r="O170" s="272" t="str">
        <x:v>https://github.com/darknigthmare/deadwall-last-enclosure/blob/e28f46223e73105ab2c5d83f3d50b99b58ef53e6/docs/codex/suivi-monde2026/campagne208-art.json</x:v>
      </x:c>
      <x:c r="P170" s="272" t="str">
        <x:v>Supports proposés et poses canoniques ; parcours et transactions distincts.</x:v>
      </x:c>
    </x:row>
    <x:row r="171" ht="64" customHeight="1">
      <x:c r="A171" s="272" t="str">
        <x:v>EXT-MONDE-T048-V16</x:v>
      </x:c>
      <x:c r="B171" s="272" t="str">
        <x:v>Parc de caravanes abandonné</x:v>
      </x:c>
      <x:c r="C171" s="281" t="n">
        <x:v>16</x:v>
      </x:c>
      <x:c r="D171" s="282" t="str">
        <x:v>campaign205-048-16</x:v>
      </x:c>
      <x:c r="E171" s="281" t="n">
        <x:v>8</x:v>
      </x:c>
      <x:c r="F171" s="281" t="n">
        <x:v>8</x:v>
      </x:c>
      <x:c r="G171" s="281" t="n">
        <x:v>0</x:v>
      </x:c>
      <x:c r="H171" s="281" t="n">
        <x:v>2</x:v>
      </x:c>
      <x:c r="I171" s="281" t="n">
        <x:v>4</x:v>
      </x:c>
      <x:c r="J171" s="281" t="n">
        <x:v>2</x:v>
      </x:c>
      <x:c r="K171" s="281" t="n">
        <x:v>0</x:v>
      </x:c>
      <x:c r="L171" s="282" t="str">
        <x:v>Non</x:v>
      </x:c>
      <x:c r="M171" s="281" t="n">
        <x:v>0</x:v>
      </x:c>
      <x:c r="N171" s="272" t="str">
        <x:v>https://github.com/darknigthmare/deadwall-last-enclosure/blob/e28f46223e73105ab2c5d83f3d50b99b58ef53e6/docs/codex/suivi-monde2026/campagne208-services.json</x:v>
      </x:c>
      <x:c r="O171" s="272" t="str">
        <x:v>https://github.com/darknigthmare/deadwall-last-enclosure/blob/e28f46223e73105ab2c5d83f3d50b99b58ef53e6/docs/codex/suivi-monde2026/campagne208-art.json</x:v>
      </x:c>
      <x:c r="P171" s="272" t="str">
        <x:v>Supports proposés et poses canoniques ; parcours et transactions distincts.</x:v>
      </x:c>
    </x:row>
    <x:row r="172" ht="64" customHeight="1">
      <x:c r="A172" s="272" t="str">
        <x:v>EXT-MONDE-T048-V17</x:v>
      </x:c>
      <x:c r="B172" s="272" t="str">
        <x:v>Parc de caravanes abandonné</x:v>
      </x:c>
      <x:c r="C172" s="281" t="n">
        <x:v>17</x:v>
      </x:c>
      <x:c r="D172" s="282" t="str">
        <x:v>campaign205-048-17</x:v>
      </x:c>
      <x:c r="E172" s="281" t="n">
        <x:v>11</x:v>
      </x:c>
      <x:c r="F172" s="281" t="n">
        <x:v>11</x:v>
      </x:c>
      <x:c r="G172" s="281" t="n">
        <x:v>0</x:v>
      </x:c>
      <x:c r="H172" s="281" t="n">
        <x:v>3</x:v>
      </x:c>
      <x:c r="I172" s="281" t="n">
        <x:v>6</x:v>
      </x:c>
      <x:c r="J172" s="281" t="n">
        <x:v>2</x:v>
      </x:c>
      <x:c r="K172" s="281" t="n">
        <x:v>0</x:v>
      </x:c>
      <x:c r="L172" s="282" t="str">
        <x:v>Non</x:v>
      </x:c>
      <x:c r="M172" s="281" t="n">
        <x:v>0</x:v>
      </x:c>
      <x:c r="N172" s="272" t="str">
        <x:v>https://github.com/darknigthmare/deadwall-last-enclosure/blob/e28f46223e73105ab2c5d83f3d50b99b58ef53e6/docs/codex/suivi-monde2026/campagne208-services.json</x:v>
      </x:c>
      <x:c r="O172" s="272" t="str">
        <x:v>https://github.com/darknigthmare/deadwall-last-enclosure/blob/e28f46223e73105ab2c5d83f3d50b99b58ef53e6/docs/codex/suivi-monde2026/campagne208-art.json</x:v>
      </x:c>
      <x:c r="P172" s="272" t="str">
        <x:v>Supports proposés et poses canoniques ; parcours et transactions distincts.</x:v>
      </x:c>
    </x:row>
    <x:row r="173" ht="64" customHeight="1">
      <x:c r="A173" s="272" t="str">
        <x:v>EXT-MONDE-T048-V18</x:v>
      </x:c>
      <x:c r="B173" s="272" t="str">
        <x:v>Parc de caravanes abandonné</x:v>
      </x:c>
      <x:c r="C173" s="281" t="n">
        <x:v>18</x:v>
      </x:c>
      <x:c r="D173" s="282" t="str">
        <x:v>campaign205-048-18</x:v>
      </x:c>
      <x:c r="E173" s="281" t="n">
        <x:v>11</x:v>
      </x:c>
      <x:c r="F173" s="281" t="n">
        <x:v>11</x:v>
      </x:c>
      <x:c r="G173" s="281" t="n">
        <x:v>0</x:v>
      </x:c>
      <x:c r="H173" s="281" t="n">
        <x:v>3</x:v>
      </x:c>
      <x:c r="I173" s="281" t="n">
        <x:v>6</x:v>
      </x:c>
      <x:c r="J173" s="281" t="n">
        <x:v>2</x:v>
      </x:c>
      <x:c r="K173" s="281" t="n">
        <x:v>0</x:v>
      </x:c>
      <x:c r="L173" s="282" t="str">
        <x:v>Non</x:v>
      </x:c>
      <x:c r="M173" s="281" t="n">
        <x:v>0</x:v>
      </x:c>
      <x:c r="N173" s="272" t="str">
        <x:v>https://github.com/darknigthmare/deadwall-last-enclosure/blob/e28f46223e73105ab2c5d83f3d50b99b58ef53e6/docs/codex/suivi-monde2026/campagne208-services.json</x:v>
      </x:c>
      <x:c r="O173" s="272" t="str">
        <x:v>https://github.com/darknigthmare/deadwall-last-enclosure/blob/e28f46223e73105ab2c5d83f3d50b99b58ef53e6/docs/codex/suivi-monde2026/campagne208-art.json</x:v>
      </x:c>
      <x:c r="P173" s="272" t="str">
        <x:v>Supports proposés et poses canoniques ; parcours et transactions distincts.</x:v>
      </x:c>
    </x:row>
    <x:row r="174" ht="64" customHeight="1">
      <x:c r="A174" s="272" t="str">
        <x:v>EXT-MONDE-T048-V19</x:v>
      </x:c>
      <x:c r="B174" s="272" t="str">
        <x:v>Parc de caravanes abandonné</x:v>
      </x:c>
      <x:c r="C174" s="281" t="n">
        <x:v>19</x:v>
      </x:c>
      <x:c r="D174" s="282" t="str">
        <x:v>campaign205-048-19</x:v>
      </x:c>
      <x:c r="E174" s="281" t="n">
        <x:v>8</x:v>
      </x:c>
      <x:c r="F174" s="281" t="n">
        <x:v>8</x:v>
      </x:c>
      <x:c r="G174" s="281" t="n">
        <x:v>0</x:v>
      </x:c>
      <x:c r="H174" s="281" t="n">
        <x:v>2</x:v>
      </x:c>
      <x:c r="I174" s="281" t="n">
        <x:v>4</x:v>
      </x:c>
      <x:c r="J174" s="281" t="n">
        <x:v>2</x:v>
      </x:c>
      <x:c r="K174" s="281" t="n">
        <x:v>0</x:v>
      </x:c>
      <x:c r="L174" s="282" t="str">
        <x:v>Non</x:v>
      </x:c>
      <x:c r="M174" s="281" t="n">
        <x:v>0</x:v>
      </x:c>
      <x:c r="N174" s="272" t="str">
        <x:v>https://github.com/darknigthmare/deadwall-last-enclosure/blob/e28f46223e73105ab2c5d83f3d50b99b58ef53e6/docs/codex/suivi-monde2026/campagne208-services.json</x:v>
      </x:c>
      <x:c r="O174" s="272" t="str">
        <x:v>https://github.com/darknigthmare/deadwall-last-enclosure/blob/e28f46223e73105ab2c5d83f3d50b99b58ef53e6/docs/codex/suivi-monde2026/campagne208-art.json</x:v>
      </x:c>
      <x:c r="P174" s="272" t="str">
        <x:v>Supports proposés et poses canoniques ; parcours et transactions distincts.</x:v>
      </x:c>
    </x:row>
    <x:row r="175" ht="64" customHeight="1">
      <x:c r="A175" s="272" t="str">
        <x:v>EXT-MONDE-T048-V20</x:v>
      </x:c>
      <x:c r="B175" s="272" t="str">
        <x:v>Parc de caravanes abandonné</x:v>
      </x:c>
      <x:c r="C175" s="281" t="n">
        <x:v>20</x:v>
      </x:c>
      <x:c r="D175" s="282" t="str">
        <x:v>campaign205-048-20</x:v>
      </x:c>
      <x:c r="E175" s="281" t="n">
        <x:v>11</x:v>
      </x:c>
      <x:c r="F175" s="281" t="n">
        <x:v>11</x:v>
      </x:c>
      <x:c r="G175" s="281" t="n">
        <x:v>0</x:v>
      </x:c>
      <x:c r="H175" s="281" t="n">
        <x:v>3</x:v>
      </x:c>
      <x:c r="I175" s="281" t="n">
        <x:v>6</x:v>
      </x:c>
      <x:c r="J175" s="281" t="n">
        <x:v>2</x:v>
      </x:c>
      <x:c r="K175" s="281" t="n">
        <x:v>0</x:v>
      </x:c>
      <x:c r="L175" s="282" t="str">
        <x:v>Non</x:v>
      </x:c>
      <x:c r="M175" s="281" t="n">
        <x:v>0</x:v>
      </x:c>
      <x:c r="N175" s="272" t="str">
        <x:v>https://github.com/darknigthmare/deadwall-last-enclosure/blob/e28f46223e73105ab2c5d83f3d50b99b58ef53e6/docs/codex/suivi-monde2026/campagne208-services.json</x:v>
      </x:c>
      <x:c r="O175" s="272" t="str">
        <x:v>https://github.com/darknigthmare/deadwall-last-enclosure/blob/e28f46223e73105ab2c5d83f3d50b99b58ef53e6/docs/codex/suivi-monde2026/campagne208-art.json</x:v>
      </x:c>
      <x:c r="P175" s="272" t="str">
        <x:v>Supports proposés et poses canoniques ; parcours et transactions distincts.</x:v>
      </x:c>
    </x:row>
    <x:row r="176" ht="64" customHeight="1">
      <x:c r="A176" s="272" t="str">
        <x:v>EXT-MONDE-T048-V21</x:v>
      </x:c>
      <x:c r="B176" s="272" t="str">
        <x:v>Parc de caravanes abandonné</x:v>
      </x:c>
      <x:c r="C176" s="281" t="n">
        <x:v>21</x:v>
      </x:c>
      <x:c r="D176" s="282" t="str">
        <x:v>campaign205-048-21</x:v>
      </x:c>
      <x:c r="E176" s="281" t="n">
        <x:v>8</x:v>
      </x:c>
      <x:c r="F176" s="281" t="n">
        <x:v>8</x:v>
      </x:c>
      <x:c r="G176" s="281" t="n">
        <x:v>0</x:v>
      </x:c>
      <x:c r="H176" s="281" t="n">
        <x:v>2</x:v>
      </x:c>
      <x:c r="I176" s="281" t="n">
        <x:v>4</x:v>
      </x:c>
      <x:c r="J176" s="281" t="n">
        <x:v>2</x:v>
      </x:c>
      <x:c r="K176" s="281" t="n">
        <x:v>0</x:v>
      </x:c>
      <x:c r="L176" s="282" t="str">
        <x:v>Non</x:v>
      </x:c>
      <x:c r="M176" s="281" t="n">
        <x:v>0</x:v>
      </x:c>
      <x:c r="N176" s="272" t="str">
        <x:v>https://github.com/darknigthmare/deadwall-last-enclosure/blob/e28f46223e73105ab2c5d83f3d50b99b58ef53e6/docs/codex/suivi-monde2026/campagne208-services.json</x:v>
      </x:c>
      <x:c r="O176" s="272" t="str">
        <x:v>https://github.com/darknigthmare/deadwall-last-enclosure/blob/e28f46223e73105ab2c5d83f3d50b99b58ef53e6/docs/codex/suivi-monde2026/campagne208-art.json</x:v>
      </x:c>
      <x:c r="P176" s="272" t="str">
        <x:v>Supports proposés et poses canoniques ; parcours et transactions distincts.</x:v>
      </x:c>
    </x:row>
    <x:row r="177" ht="64" customHeight="1">
      <x:c r="A177" s="272" t="str">
        <x:v>EXT-MONDE-T048-V22</x:v>
      </x:c>
      <x:c r="B177" s="272" t="str">
        <x:v>Parc de caravanes abandonné</x:v>
      </x:c>
      <x:c r="C177" s="281" t="n">
        <x:v>22</x:v>
      </x:c>
      <x:c r="D177" s="282" t="str">
        <x:v>campaign205-048-22</x:v>
      </x:c>
      <x:c r="E177" s="281" t="n">
        <x:v>8</x:v>
      </x:c>
      <x:c r="F177" s="281" t="n">
        <x:v>8</x:v>
      </x:c>
      <x:c r="G177" s="281" t="n">
        <x:v>0</x:v>
      </x:c>
      <x:c r="H177" s="281" t="n">
        <x:v>2</x:v>
      </x:c>
      <x:c r="I177" s="281" t="n">
        <x:v>4</x:v>
      </x:c>
      <x:c r="J177" s="281" t="n">
        <x:v>2</x:v>
      </x:c>
      <x:c r="K177" s="281" t="n">
        <x:v>0</x:v>
      </x:c>
      <x:c r="L177" s="282" t="str">
        <x:v>Non</x:v>
      </x:c>
      <x:c r="M177" s="281" t="n">
        <x:v>0</x:v>
      </x:c>
      <x:c r="N177" s="272" t="str">
        <x:v>https://github.com/darknigthmare/deadwall-last-enclosure/blob/e28f46223e73105ab2c5d83f3d50b99b58ef53e6/docs/codex/suivi-monde2026/campagne208-services.json</x:v>
      </x:c>
      <x:c r="O177" s="272" t="str">
        <x:v>https://github.com/darknigthmare/deadwall-last-enclosure/blob/e28f46223e73105ab2c5d83f3d50b99b58ef53e6/docs/codex/suivi-monde2026/campagne208-art.json</x:v>
      </x:c>
      <x:c r="P177" s="272" t="str">
        <x:v>Supports proposés et poses canoniques ; parcours et transactions distincts.</x:v>
      </x:c>
    </x:row>
    <x:row r="178" ht="64" customHeight="1">
      <x:c r="A178" s="272" t="str">
        <x:v>EXT-MONDE-T048-V23</x:v>
      </x:c>
      <x:c r="B178" s="272" t="str">
        <x:v>Parc de caravanes abandonné</x:v>
      </x:c>
      <x:c r="C178" s="281" t="n">
        <x:v>23</x:v>
      </x:c>
      <x:c r="D178" s="282" t="str">
        <x:v>campaign205-048-23</x:v>
      </x:c>
      <x:c r="E178" s="281" t="n">
        <x:v>11</x:v>
      </x:c>
      <x:c r="F178" s="281" t="n">
        <x:v>11</x:v>
      </x:c>
      <x:c r="G178" s="281" t="n">
        <x:v>0</x:v>
      </x:c>
      <x:c r="H178" s="281" t="n">
        <x:v>3</x:v>
      </x:c>
      <x:c r="I178" s="281" t="n">
        <x:v>6</x:v>
      </x:c>
      <x:c r="J178" s="281" t="n">
        <x:v>2</x:v>
      </x:c>
      <x:c r="K178" s="281" t="n">
        <x:v>0</x:v>
      </x:c>
      <x:c r="L178" s="282" t="str">
        <x:v>Non</x:v>
      </x:c>
      <x:c r="M178" s="281" t="n">
        <x:v>0</x:v>
      </x:c>
      <x:c r="N178" s="272" t="str">
        <x:v>https://github.com/darknigthmare/deadwall-last-enclosure/blob/e28f46223e73105ab2c5d83f3d50b99b58ef53e6/docs/codex/suivi-monde2026/campagne208-services.json</x:v>
      </x:c>
      <x:c r="O178" s="272" t="str">
        <x:v>https://github.com/darknigthmare/deadwall-last-enclosure/blob/e28f46223e73105ab2c5d83f3d50b99b58ef53e6/docs/codex/suivi-monde2026/campagne208-art.json</x:v>
      </x:c>
      <x:c r="P178" s="272" t="str">
        <x:v>Supports proposés et poses canoniques ; parcours et transactions distincts.</x:v>
      </x:c>
    </x:row>
    <x:row r="179" ht="64" customHeight="1">
      <x:c r="A179" s="272" t="str">
        <x:v>EXT-MONDE-T048-V24</x:v>
      </x:c>
      <x:c r="B179" s="272" t="str">
        <x:v>Parc de caravanes abandonné</x:v>
      </x:c>
      <x:c r="C179" s="281" t="n">
        <x:v>24</x:v>
      </x:c>
      <x:c r="D179" s="282" t="str">
        <x:v>campaign205-048-24</x:v>
      </x:c>
      <x:c r="E179" s="281" t="n">
        <x:v>5</x:v>
      </x:c>
      <x:c r="F179" s="281" t="n">
        <x:v>5</x:v>
      </x:c>
      <x:c r="G179" s="281" t="n">
        <x:v>0</x:v>
      </x:c>
      <x:c r="H179" s="281" t="n">
        <x:v>1</x:v>
      </x:c>
      <x:c r="I179" s="281" t="n">
        <x:v>2</x:v>
      </x:c>
      <x:c r="J179" s="281" t="n">
        <x:v>2</x:v>
      </x:c>
      <x:c r="K179" s="281" t="n">
        <x:v>0</x:v>
      </x:c>
      <x:c r="L179" s="282" t="str">
        <x:v>Non</x:v>
      </x:c>
      <x:c r="M179" s="281" t="n">
        <x:v>0</x:v>
      </x:c>
      <x:c r="N179" s="272" t="str">
        <x:v>https://github.com/darknigthmare/deadwall-last-enclosure/blob/e28f46223e73105ab2c5d83f3d50b99b58ef53e6/docs/codex/suivi-monde2026/campagne208-services.json</x:v>
      </x:c>
      <x:c r="O179" s="272" t="str">
        <x:v>https://github.com/darknigthmare/deadwall-last-enclosure/blob/e28f46223e73105ab2c5d83f3d50b99b58ef53e6/docs/codex/suivi-monde2026/campagne208-art.json</x:v>
      </x:c>
      <x:c r="P179" s="272" t="str">
        <x:v>Supports proposés et poses canoniques ; parcours et transactions distincts.</x:v>
      </x:c>
    </x:row>
    <x:row r="180" ht="64" customHeight="1">
      <x:c r="A180" s="272" t="str">
        <x:v>EXT-MONDE-T048-V25</x:v>
      </x:c>
      <x:c r="B180" s="272" t="str">
        <x:v>Parc de caravanes abandonné</x:v>
      </x:c>
      <x:c r="C180" s="281" t="n">
        <x:v>25</x:v>
      </x:c>
      <x:c r="D180" s="282" t="str">
        <x:v>campaign205-048-25</x:v>
      </x:c>
      <x:c r="E180" s="281" t="n">
        <x:v>8</x:v>
      </x:c>
      <x:c r="F180" s="281" t="n">
        <x:v>8</x:v>
      </x:c>
      <x:c r="G180" s="281" t="n">
        <x:v>0</x:v>
      </x:c>
      <x:c r="H180" s="281" t="n">
        <x:v>2</x:v>
      </x:c>
      <x:c r="I180" s="281" t="n">
        <x:v>4</x:v>
      </x:c>
      <x:c r="J180" s="281" t="n">
        <x:v>2</x:v>
      </x:c>
      <x:c r="K180" s="281" t="n">
        <x:v>0</x:v>
      </x:c>
      <x:c r="L180" s="282" t="str">
        <x:v>Non</x:v>
      </x:c>
      <x:c r="M180" s="281" t="n">
        <x:v>0</x:v>
      </x:c>
      <x:c r="N180" s="272" t="str">
        <x:v>https://github.com/darknigthmare/deadwall-last-enclosure/blob/e28f46223e73105ab2c5d83f3d50b99b58ef53e6/docs/codex/suivi-monde2026/campagne208-services.json</x:v>
      </x:c>
      <x:c r="O180" s="272" t="str">
        <x:v>https://github.com/darknigthmare/deadwall-last-enclosure/blob/e28f46223e73105ab2c5d83f3d50b99b58ef53e6/docs/codex/suivi-monde2026/campagne208-art.json</x:v>
      </x:c>
      <x:c r="P180" s="272" t="str">
        <x:v>Supports proposés et poses canoniques ; parcours et transactions distincts.</x:v>
      </x:c>
    </x:row>
    <x:row r="181" ht="64" customHeight="1">
      <x:c r="A181" s="272" t="str">
        <x:v>EXT-MONDE-T048-V26</x:v>
      </x:c>
      <x:c r="B181" s="272" t="str">
        <x:v>Parc de caravanes abandonné</x:v>
      </x:c>
      <x:c r="C181" s="281" t="n">
        <x:v>26</x:v>
      </x:c>
      <x:c r="D181" s="282" t="str">
        <x:v>campaign205-048-26</x:v>
      </x:c>
      <x:c r="E181" s="281" t="n">
        <x:v>8</x:v>
      </x:c>
      <x:c r="F181" s="281" t="n">
        <x:v>8</x:v>
      </x:c>
      <x:c r="G181" s="281" t="n">
        <x:v>0</x:v>
      </x:c>
      <x:c r="H181" s="281" t="n">
        <x:v>2</x:v>
      </x:c>
      <x:c r="I181" s="281" t="n">
        <x:v>4</x:v>
      </x:c>
      <x:c r="J181" s="281" t="n">
        <x:v>2</x:v>
      </x:c>
      <x:c r="K181" s="281" t="n">
        <x:v>0</x:v>
      </x:c>
      <x:c r="L181" s="282" t="str">
        <x:v>Non</x:v>
      </x:c>
      <x:c r="M181" s="281" t="n">
        <x:v>0</x:v>
      </x:c>
      <x:c r="N181" s="272" t="str">
        <x:v>https://github.com/darknigthmare/deadwall-last-enclosure/blob/e28f46223e73105ab2c5d83f3d50b99b58ef53e6/docs/codex/suivi-monde2026/campagne208-services.json</x:v>
      </x:c>
      <x:c r="O181" s="272" t="str">
        <x:v>https://github.com/darknigthmare/deadwall-last-enclosure/blob/e28f46223e73105ab2c5d83f3d50b99b58ef53e6/docs/codex/suivi-monde2026/campagne208-art.json</x:v>
      </x:c>
      <x:c r="P181" s="272" t="str">
        <x:v>Supports proposés et poses canoniques ; parcours et transactions distincts.</x:v>
      </x:c>
    </x:row>
    <x:row r="182" ht="64" customHeight="1">
      <x:c r="A182" s="272" t="str">
        <x:v>EXT-MONDE-T048-V27</x:v>
      </x:c>
      <x:c r="B182" s="272" t="str">
        <x:v>Parc de caravanes abandonné</x:v>
      </x:c>
      <x:c r="C182" s="281" t="n">
        <x:v>27</x:v>
      </x:c>
      <x:c r="D182" s="282" t="str">
        <x:v>campaign205-048-27</x:v>
      </x:c>
      <x:c r="E182" s="281" t="n">
        <x:v>11</x:v>
      </x:c>
      <x:c r="F182" s="281" t="n">
        <x:v>11</x:v>
      </x:c>
      <x:c r="G182" s="281" t="n">
        <x:v>0</x:v>
      </x:c>
      <x:c r="H182" s="281" t="n">
        <x:v>3</x:v>
      </x:c>
      <x:c r="I182" s="281" t="n">
        <x:v>6</x:v>
      </x:c>
      <x:c r="J182" s="281" t="n">
        <x:v>2</x:v>
      </x:c>
      <x:c r="K182" s="281" t="n">
        <x:v>0</x:v>
      </x:c>
      <x:c r="L182" s="282" t="str">
        <x:v>Non</x:v>
      </x:c>
      <x:c r="M182" s="281" t="n">
        <x:v>0</x:v>
      </x:c>
      <x:c r="N182" s="272" t="str">
        <x:v>https://github.com/darknigthmare/deadwall-last-enclosure/blob/e28f46223e73105ab2c5d83f3d50b99b58ef53e6/docs/codex/suivi-monde2026/campagne208-services.json</x:v>
      </x:c>
      <x:c r="O182" s="272" t="str">
        <x:v>https://github.com/darknigthmare/deadwall-last-enclosure/blob/e28f46223e73105ab2c5d83f3d50b99b58ef53e6/docs/codex/suivi-monde2026/campagne208-art.json</x:v>
      </x:c>
      <x:c r="P182" s="272" t="str">
        <x:v>Supports proposés et poses canoniques ; parcours et transactions distincts.</x:v>
      </x:c>
    </x:row>
    <x:row r="183" ht="64" customHeight="1">
      <x:c r="A183" s="272" t="str">
        <x:v>EXT-MONDE-T048-V28</x:v>
      </x:c>
      <x:c r="B183" s="272" t="str">
        <x:v>Parc de caravanes abandonné</x:v>
      </x:c>
      <x:c r="C183" s="281" t="n">
        <x:v>28</x:v>
      </x:c>
      <x:c r="D183" s="282" t="str">
        <x:v>campaign205-048-28</x:v>
      </x:c>
      <x:c r="E183" s="281" t="n">
        <x:v>11</x:v>
      </x:c>
      <x:c r="F183" s="281" t="n">
        <x:v>11</x:v>
      </x:c>
      <x:c r="G183" s="281" t="n">
        <x:v>0</x:v>
      </x:c>
      <x:c r="H183" s="281" t="n">
        <x:v>3</x:v>
      </x:c>
      <x:c r="I183" s="281" t="n">
        <x:v>6</x:v>
      </x:c>
      <x:c r="J183" s="281" t="n">
        <x:v>2</x:v>
      </x:c>
      <x:c r="K183" s="281" t="n">
        <x:v>0</x:v>
      </x:c>
      <x:c r="L183" s="282" t="str">
        <x:v>Non</x:v>
      </x:c>
      <x:c r="M183" s="281" t="n">
        <x:v>0</x:v>
      </x:c>
      <x:c r="N183" s="272" t="str">
        <x:v>https://github.com/darknigthmare/deadwall-last-enclosure/blob/e28f46223e73105ab2c5d83f3d50b99b58ef53e6/docs/codex/suivi-monde2026/campagne208-services.json</x:v>
      </x:c>
      <x:c r="O183" s="272" t="str">
        <x:v>https://github.com/darknigthmare/deadwall-last-enclosure/blob/e28f46223e73105ab2c5d83f3d50b99b58ef53e6/docs/codex/suivi-monde2026/campagne208-art.json</x:v>
      </x:c>
      <x:c r="P183" s="272" t="str">
        <x:v>Supports proposés et poses canoniques ; parcours et transactions distincts.</x:v>
      </x:c>
    </x:row>
    <x:row r="184" ht="64" customHeight="1">
      <x:c r="A184" s="272" t="str">
        <x:v>EXT-MONDE-T048-V29</x:v>
      </x:c>
      <x:c r="B184" s="272" t="str">
        <x:v>Parc de caravanes abandonné</x:v>
      </x:c>
      <x:c r="C184" s="281" t="n">
        <x:v>29</x:v>
      </x:c>
      <x:c r="D184" s="282" t="str">
        <x:v>campaign205-048-29</x:v>
      </x:c>
      <x:c r="E184" s="281" t="n">
        <x:v>8</x:v>
      </x:c>
      <x:c r="F184" s="281" t="n">
        <x:v>8</x:v>
      </x:c>
      <x:c r="G184" s="281" t="n">
        <x:v>0</x:v>
      </x:c>
      <x:c r="H184" s="281" t="n">
        <x:v>2</x:v>
      </x:c>
      <x:c r="I184" s="281" t="n">
        <x:v>4</x:v>
      </x:c>
      <x:c r="J184" s="281" t="n">
        <x:v>2</x:v>
      </x:c>
      <x:c r="K184" s="281" t="n">
        <x:v>0</x:v>
      </x:c>
      <x:c r="L184" s="282" t="str">
        <x:v>Non</x:v>
      </x:c>
      <x:c r="M184" s="281" t="n">
        <x:v>0</x:v>
      </x:c>
      <x:c r="N184" s="272" t="str">
        <x:v>https://github.com/darknigthmare/deadwall-last-enclosure/blob/e28f46223e73105ab2c5d83f3d50b99b58ef53e6/docs/codex/suivi-monde2026/campagne208-services.json</x:v>
      </x:c>
      <x:c r="O184" s="272" t="str">
        <x:v>https://github.com/darknigthmare/deadwall-last-enclosure/blob/e28f46223e73105ab2c5d83f3d50b99b58ef53e6/docs/codex/suivi-monde2026/campagne208-art.json</x:v>
      </x:c>
      <x:c r="P184" s="272" t="str">
        <x:v>Supports proposés et poses canoniques ; parcours et transactions distincts.</x:v>
      </x:c>
    </x:row>
    <x:row r="185" ht="64" customHeight="1">
      <x:c r="A185" s="272" t="str">
        <x:v>EXT-MONDE-T048-V30</x:v>
      </x:c>
      <x:c r="B185" s="272" t="str">
        <x:v>Parc de caravanes abandonné</x:v>
      </x:c>
      <x:c r="C185" s="281" t="n">
        <x:v>30</x:v>
      </x:c>
      <x:c r="D185" s="282" t="str">
        <x:v>campaign205-048-30</x:v>
      </x:c>
      <x:c r="E185" s="281" t="n">
        <x:v>11</x:v>
      </x:c>
      <x:c r="F185" s="281" t="n">
        <x:v>11</x:v>
      </x:c>
      <x:c r="G185" s="281" t="n">
        <x:v>0</x:v>
      </x:c>
      <x:c r="H185" s="281" t="n">
        <x:v>3</x:v>
      </x:c>
      <x:c r="I185" s="281" t="n">
        <x:v>6</x:v>
      </x:c>
      <x:c r="J185" s="281" t="n">
        <x:v>2</x:v>
      </x:c>
      <x:c r="K185" s="281" t="n">
        <x:v>0</x:v>
      </x:c>
      <x:c r="L185" s="282" t="str">
        <x:v>Non</x:v>
      </x:c>
      <x:c r="M185" s="281" t="n">
        <x:v>0</x:v>
      </x:c>
      <x:c r="N185" s="272" t="str">
        <x:v>https://github.com/darknigthmare/deadwall-last-enclosure/blob/e28f46223e73105ab2c5d83f3d50b99b58ef53e6/docs/codex/suivi-monde2026/campagne208-services.json</x:v>
      </x:c>
      <x:c r="O185" s="272" t="str">
        <x:v>https://github.com/darknigthmare/deadwall-last-enclosure/blob/e28f46223e73105ab2c5d83f3d50b99b58ef53e6/docs/codex/suivi-monde2026/campagne208-art.json</x:v>
      </x:c>
      <x:c r="P185" s="272" t="str">
        <x:v>Supports proposés et poses canoniques ; parcours et transactions distincts.</x:v>
      </x:c>
    </x:row>
    <x:row r="186" ht="64" customHeight="1">
      <x:c r="A186" s="272" t="str">
        <x:v>EXT-MONDE-T048-V31</x:v>
      </x:c>
      <x:c r="B186" s="272" t="str">
        <x:v>Parc de caravanes abandonné</x:v>
      </x:c>
      <x:c r="C186" s="281" t="n">
        <x:v>31</x:v>
      </x:c>
      <x:c r="D186" s="282" t="str">
        <x:v>campaign205-048-31</x:v>
      </x:c>
      <x:c r="E186" s="281" t="n">
        <x:v>8</x:v>
      </x:c>
      <x:c r="F186" s="281" t="n">
        <x:v>8</x:v>
      </x:c>
      <x:c r="G186" s="281" t="n">
        <x:v>0</x:v>
      </x:c>
      <x:c r="H186" s="281" t="n">
        <x:v>2</x:v>
      </x:c>
      <x:c r="I186" s="281" t="n">
        <x:v>4</x:v>
      </x:c>
      <x:c r="J186" s="281" t="n">
        <x:v>2</x:v>
      </x:c>
      <x:c r="K186" s="281" t="n">
        <x:v>0</x:v>
      </x:c>
      <x:c r="L186" s="282" t="str">
        <x:v>Non</x:v>
      </x:c>
      <x:c r="M186" s="281" t="n">
        <x:v>0</x:v>
      </x:c>
      <x:c r="N186" s="272" t="str">
        <x:v>https://github.com/darknigthmare/deadwall-last-enclosure/blob/e28f46223e73105ab2c5d83f3d50b99b58ef53e6/docs/codex/suivi-monde2026/campagne208-services.json</x:v>
      </x:c>
      <x:c r="O186" s="272" t="str">
        <x:v>https://github.com/darknigthmare/deadwall-last-enclosure/blob/e28f46223e73105ab2c5d83f3d50b99b58ef53e6/docs/codex/suivi-monde2026/campagne208-art.json</x:v>
      </x:c>
      <x:c r="P186" s="272" t="str">
        <x:v>Supports proposés et poses canoniques ; parcours et transactions distincts.</x:v>
      </x:c>
    </x:row>
    <x:row r="187" ht="64" customHeight="1">
      <x:c r="A187" s="272" t="str">
        <x:v>EXT-MONDE-T048-V32</x:v>
      </x:c>
      <x:c r="B187" s="272" t="str">
        <x:v>Parc de caravanes abandonné</x:v>
      </x:c>
      <x:c r="C187" s="281" t="n">
        <x:v>32</x:v>
      </x:c>
      <x:c r="D187" s="282" t="str">
        <x:v>campaign205-048-32</x:v>
      </x:c>
      <x:c r="E187" s="281" t="n">
        <x:v>8</x:v>
      </x:c>
      <x:c r="F187" s="281" t="n">
        <x:v>8</x:v>
      </x:c>
      <x:c r="G187" s="281" t="n">
        <x:v>0</x:v>
      </x:c>
      <x:c r="H187" s="281" t="n">
        <x:v>2</x:v>
      </x:c>
      <x:c r="I187" s="281" t="n">
        <x:v>4</x:v>
      </x:c>
      <x:c r="J187" s="281" t="n">
        <x:v>2</x:v>
      </x:c>
      <x:c r="K187" s="281" t="n">
        <x:v>0</x:v>
      </x:c>
      <x:c r="L187" s="282" t="str">
        <x:v>Non</x:v>
      </x:c>
      <x:c r="M187" s="281" t="n">
        <x:v>0</x:v>
      </x:c>
      <x:c r="N187" s="272" t="str">
        <x:v>https://github.com/darknigthmare/deadwall-last-enclosure/blob/e28f46223e73105ab2c5d83f3d50b99b58ef53e6/docs/codex/suivi-monde2026/campagne208-services.json</x:v>
      </x:c>
      <x:c r="O187" s="272" t="str">
        <x:v>https://github.com/darknigthmare/deadwall-last-enclosure/blob/e28f46223e73105ab2c5d83f3d50b99b58ef53e6/docs/codex/suivi-monde2026/campagne208-art.json</x:v>
      </x:c>
      <x:c r="P187" s="272" t="str">
        <x:v>Supports proposés et poses canoniques ; parcours et transactions distincts.</x:v>
      </x:c>
    </x:row>
    <x:row r="188" ht="64" customHeight="1">
      <x:c r="A188" s="272" t="str">
        <x:v>EXT-MONDE-T048-V33</x:v>
      </x:c>
      <x:c r="B188" s="272" t="str">
        <x:v>Parc de caravanes abandonné</x:v>
      </x:c>
      <x:c r="C188" s="281" t="n">
        <x:v>33</x:v>
      </x:c>
      <x:c r="D188" s="282" t="str">
        <x:v>campaign205-048-33</x:v>
      </x:c>
      <x:c r="E188" s="281" t="n">
        <x:v>11</x:v>
      </x:c>
      <x:c r="F188" s="281" t="n">
        <x:v>11</x:v>
      </x:c>
      <x:c r="G188" s="281" t="n">
        <x:v>0</x:v>
      </x:c>
      <x:c r="H188" s="281" t="n">
        <x:v>3</x:v>
      </x:c>
      <x:c r="I188" s="281" t="n">
        <x:v>6</x:v>
      </x:c>
      <x:c r="J188" s="281" t="n">
        <x:v>2</x:v>
      </x:c>
      <x:c r="K188" s="281" t="n">
        <x:v>0</x:v>
      </x:c>
      <x:c r="L188" s="282" t="str">
        <x:v>Non</x:v>
      </x:c>
      <x:c r="M188" s="281" t="n">
        <x:v>0</x:v>
      </x:c>
      <x:c r="N188" s="272" t="str">
        <x:v>https://github.com/darknigthmare/deadwall-last-enclosure/blob/e28f46223e73105ab2c5d83f3d50b99b58ef53e6/docs/codex/suivi-monde2026/campagne208-services.json</x:v>
      </x:c>
      <x:c r="O188" s="272" t="str">
        <x:v>https://github.com/darknigthmare/deadwall-last-enclosure/blob/e28f46223e73105ab2c5d83f3d50b99b58ef53e6/docs/codex/suivi-monde2026/campagne208-art.json</x:v>
      </x:c>
      <x:c r="P188" s="272" t="str">
        <x:v>Supports proposés et poses canoniques ; parcours et transactions distincts.</x:v>
      </x:c>
    </x:row>
    <x:row r="189" ht="64" customHeight="1">
      <x:c r="A189" s="272" t="str">
        <x:v>EXT-MONDE-T048-V34</x:v>
      </x:c>
      <x:c r="B189" s="272" t="str">
        <x:v>Parc de caravanes abandonné</x:v>
      </x:c>
      <x:c r="C189" s="281" t="n">
        <x:v>34</x:v>
      </x:c>
      <x:c r="D189" s="282" t="str">
        <x:v>campaign205-048-34</x:v>
      </x:c>
      <x:c r="E189" s="281" t="n">
        <x:v>5</x:v>
      </x:c>
      <x:c r="F189" s="281" t="n">
        <x:v>5</x:v>
      </x:c>
      <x:c r="G189" s="281" t="n">
        <x:v>0</x:v>
      </x:c>
      <x:c r="H189" s="281" t="n">
        <x:v>1</x:v>
      </x:c>
      <x:c r="I189" s="281" t="n">
        <x:v>2</x:v>
      </x:c>
      <x:c r="J189" s="281" t="n">
        <x:v>2</x:v>
      </x:c>
      <x:c r="K189" s="281" t="n">
        <x:v>0</x:v>
      </x:c>
      <x:c r="L189" s="282" t="str">
        <x:v>Non</x:v>
      </x:c>
      <x:c r="M189" s="281" t="n">
        <x:v>0</x:v>
      </x:c>
      <x:c r="N189" s="272" t="str">
        <x:v>https://github.com/darknigthmare/deadwall-last-enclosure/blob/e28f46223e73105ab2c5d83f3d50b99b58ef53e6/docs/codex/suivi-monde2026/campagne208-services.json</x:v>
      </x:c>
      <x:c r="O189" s="272" t="str">
        <x:v>https://github.com/darknigthmare/deadwall-last-enclosure/blob/e28f46223e73105ab2c5d83f3d50b99b58ef53e6/docs/codex/suivi-monde2026/campagne208-art.json</x:v>
      </x:c>
      <x:c r="P189" s="272" t="str">
        <x:v>Supports proposés et poses canoniques ; parcours et transactions distincts.</x:v>
      </x:c>
    </x:row>
    <x:row r="190" ht="64" customHeight="1">
      <x:c r="A190" s="272" t="str">
        <x:v>EXT-MONDE-T048-V35</x:v>
      </x:c>
      <x:c r="B190" s="272" t="str">
        <x:v>Parc de caravanes abandonné</x:v>
      </x:c>
      <x:c r="C190" s="281" t="n">
        <x:v>35</x:v>
      </x:c>
      <x:c r="D190" s="282" t="str">
        <x:v>campaign205-048-35</x:v>
      </x:c>
      <x:c r="E190" s="281" t="n">
        <x:v>8</x:v>
      </x:c>
      <x:c r="F190" s="281" t="n">
        <x:v>8</x:v>
      </x:c>
      <x:c r="G190" s="281" t="n">
        <x:v>0</x:v>
      </x:c>
      <x:c r="H190" s="281" t="n">
        <x:v>2</x:v>
      </x:c>
      <x:c r="I190" s="281" t="n">
        <x:v>4</x:v>
      </x:c>
      <x:c r="J190" s="281" t="n">
        <x:v>2</x:v>
      </x:c>
      <x:c r="K190" s="281" t="n">
        <x:v>0</x:v>
      </x:c>
      <x:c r="L190" s="282" t="str">
        <x:v>Non</x:v>
      </x:c>
      <x:c r="M190" s="281" t="n">
        <x:v>0</x:v>
      </x:c>
      <x:c r="N190" s="272" t="str">
        <x:v>https://github.com/darknigthmare/deadwall-last-enclosure/blob/e28f46223e73105ab2c5d83f3d50b99b58ef53e6/docs/codex/suivi-monde2026/campagne208-services.json</x:v>
      </x:c>
      <x:c r="O190" s="272" t="str">
        <x:v>https://github.com/darknigthmare/deadwall-last-enclosure/blob/e28f46223e73105ab2c5d83f3d50b99b58ef53e6/docs/codex/suivi-monde2026/campagne208-art.json</x:v>
      </x:c>
      <x:c r="P190" s="272" t="str">
        <x:v>Supports proposés et poses canoniques ; parcours et transactions distincts.</x:v>
      </x:c>
    </x:row>
    <x:row r="191" ht="64" customHeight="1">
      <x:c r="A191" s="272" t="str">
        <x:v>EXT-MONDE-T048-V36</x:v>
      </x:c>
      <x:c r="B191" s="272" t="str">
        <x:v>Parc de caravanes abandonné</x:v>
      </x:c>
      <x:c r="C191" s="281" t="n">
        <x:v>36</x:v>
      </x:c>
      <x:c r="D191" s="282" t="str">
        <x:v>campaign205-048-36</x:v>
      </x:c>
      <x:c r="E191" s="281" t="n">
        <x:v>8</x:v>
      </x:c>
      <x:c r="F191" s="281" t="n">
        <x:v>8</x:v>
      </x:c>
      <x:c r="G191" s="281" t="n">
        <x:v>0</x:v>
      </x:c>
      <x:c r="H191" s="281" t="n">
        <x:v>2</x:v>
      </x:c>
      <x:c r="I191" s="281" t="n">
        <x:v>4</x:v>
      </x:c>
      <x:c r="J191" s="281" t="n">
        <x:v>2</x:v>
      </x:c>
      <x:c r="K191" s="281" t="n">
        <x:v>0</x:v>
      </x:c>
      <x:c r="L191" s="282" t="str">
        <x:v>Non</x:v>
      </x:c>
      <x:c r="M191" s="281" t="n">
        <x:v>0</x:v>
      </x:c>
      <x:c r="N191" s="272" t="str">
        <x:v>https://github.com/darknigthmare/deadwall-last-enclosure/blob/e28f46223e73105ab2c5d83f3d50b99b58ef53e6/docs/codex/suivi-monde2026/campagne208-services.json</x:v>
      </x:c>
      <x:c r="O191" s="272" t="str">
        <x:v>https://github.com/darknigthmare/deadwall-last-enclosure/blob/e28f46223e73105ab2c5d83f3d50b99b58ef53e6/docs/codex/suivi-monde2026/campagne208-art.json</x:v>
      </x:c>
      <x:c r="P191" s="272" t="str">
        <x:v>Supports proposés et poses canoniques ; parcours et transactions distincts.</x:v>
      </x:c>
    </x:row>
    <x:row r="192" ht="64" customHeight="1">
      <x:c r="A192" s="272" t="str">
        <x:v>EXT-MONDE-T048-V37</x:v>
      </x:c>
      <x:c r="B192" s="272" t="str">
        <x:v>Parc de caravanes abandonné</x:v>
      </x:c>
      <x:c r="C192" s="281" t="n">
        <x:v>37</x:v>
      </x:c>
      <x:c r="D192" s="282" t="str">
        <x:v>campaign205-048-37</x:v>
      </x:c>
      <x:c r="E192" s="281" t="n">
        <x:v>11</x:v>
      </x:c>
      <x:c r="F192" s="281" t="n">
        <x:v>11</x:v>
      </x:c>
      <x:c r="G192" s="281" t="n">
        <x:v>0</x:v>
      </x:c>
      <x:c r="H192" s="281" t="n">
        <x:v>3</x:v>
      </x:c>
      <x:c r="I192" s="281" t="n">
        <x:v>6</x:v>
      </x:c>
      <x:c r="J192" s="281" t="n">
        <x:v>2</x:v>
      </x:c>
      <x:c r="K192" s="281" t="n">
        <x:v>0</x:v>
      </x:c>
      <x:c r="L192" s="282" t="str">
        <x:v>Non</x:v>
      </x:c>
      <x:c r="M192" s="281" t="n">
        <x:v>0</x:v>
      </x:c>
      <x:c r="N192" s="272" t="str">
        <x:v>https://github.com/darknigthmare/deadwall-last-enclosure/blob/e28f46223e73105ab2c5d83f3d50b99b58ef53e6/docs/codex/suivi-monde2026/campagne208-services.json</x:v>
      </x:c>
      <x:c r="O192" s="272" t="str">
        <x:v>https://github.com/darknigthmare/deadwall-last-enclosure/blob/e28f46223e73105ab2c5d83f3d50b99b58ef53e6/docs/codex/suivi-monde2026/campagne208-art.json</x:v>
      </x:c>
      <x:c r="P192" s="272" t="str">
        <x:v>Supports proposés et poses canoniques ; parcours et transactions distincts.</x:v>
      </x:c>
    </x:row>
    <x:row r="193" ht="64" customHeight="1">
      <x:c r="A193" s="272" t="str">
        <x:v>EXT-MONDE-T048-V38</x:v>
      </x:c>
      <x:c r="B193" s="272" t="str">
        <x:v>Parc de caravanes abandonné</x:v>
      </x:c>
      <x:c r="C193" s="281" t="n">
        <x:v>38</x:v>
      </x:c>
      <x:c r="D193" s="282" t="str">
        <x:v>campaign205-048-38</x:v>
      </x:c>
      <x:c r="E193" s="281" t="n">
        <x:v>11</x:v>
      </x:c>
      <x:c r="F193" s="281" t="n">
        <x:v>11</x:v>
      </x:c>
      <x:c r="G193" s="281" t="n">
        <x:v>0</x:v>
      </x:c>
      <x:c r="H193" s="281" t="n">
        <x:v>3</x:v>
      </x:c>
      <x:c r="I193" s="281" t="n">
        <x:v>6</x:v>
      </x:c>
      <x:c r="J193" s="281" t="n">
        <x:v>2</x:v>
      </x:c>
      <x:c r="K193" s="281" t="n">
        <x:v>0</x:v>
      </x:c>
      <x:c r="L193" s="282" t="str">
        <x:v>Non</x:v>
      </x:c>
      <x:c r="M193" s="281" t="n">
        <x:v>0</x:v>
      </x:c>
      <x:c r="N193" s="272" t="str">
        <x:v>https://github.com/darknigthmare/deadwall-last-enclosure/blob/e28f46223e73105ab2c5d83f3d50b99b58ef53e6/docs/codex/suivi-monde2026/campagne208-services.json</x:v>
      </x:c>
      <x:c r="O193" s="272" t="str">
        <x:v>https://github.com/darknigthmare/deadwall-last-enclosure/blob/e28f46223e73105ab2c5d83f3d50b99b58ef53e6/docs/codex/suivi-monde2026/campagne208-art.json</x:v>
      </x:c>
      <x:c r="P193" s="272" t="str">
        <x:v>Supports proposés et poses canoniques ; parcours et transactions distincts.</x:v>
      </x:c>
    </x:row>
    <x:row r="194" ht="64" customHeight="1">
      <x:c r="A194" s="272" t="str">
        <x:v>EXT-MONDE-T048-V39</x:v>
      </x:c>
      <x:c r="B194" s="272" t="str">
        <x:v>Parc de caravanes abandonné</x:v>
      </x:c>
      <x:c r="C194" s="281" t="n">
        <x:v>39</x:v>
      </x:c>
      <x:c r="D194" s="282" t="str">
        <x:v>campaign205-048-39</x:v>
      </x:c>
      <x:c r="E194" s="281" t="n">
        <x:v>8</x:v>
      </x:c>
      <x:c r="F194" s="281" t="n">
        <x:v>8</x:v>
      </x:c>
      <x:c r="G194" s="281" t="n">
        <x:v>0</x:v>
      </x:c>
      <x:c r="H194" s="281" t="n">
        <x:v>2</x:v>
      </x:c>
      <x:c r="I194" s="281" t="n">
        <x:v>4</x:v>
      </x:c>
      <x:c r="J194" s="281" t="n">
        <x:v>2</x:v>
      </x:c>
      <x:c r="K194" s="281" t="n">
        <x:v>0</x:v>
      </x:c>
      <x:c r="L194" s="282" t="str">
        <x:v>Non</x:v>
      </x:c>
      <x:c r="M194" s="281" t="n">
        <x:v>0</x:v>
      </x:c>
      <x:c r="N194" s="272" t="str">
        <x:v>https://github.com/darknigthmare/deadwall-last-enclosure/blob/e28f46223e73105ab2c5d83f3d50b99b58ef53e6/docs/codex/suivi-monde2026/campagne208-services.json</x:v>
      </x:c>
      <x:c r="O194" s="272" t="str">
        <x:v>https://github.com/darknigthmare/deadwall-last-enclosure/blob/e28f46223e73105ab2c5d83f3d50b99b58ef53e6/docs/codex/suivi-monde2026/campagne208-art.json</x:v>
      </x:c>
      <x:c r="P194" s="272" t="str">
        <x:v>Supports proposés et poses canoniques ; parcours et transactions distincts.</x:v>
      </x:c>
    </x:row>
    <x:row r="195" ht="64" customHeight="1">
      <x:c r="A195" s="272" t="str">
        <x:v>EXT-MONDE-T048-V40</x:v>
      </x:c>
      <x:c r="B195" s="272" t="str">
        <x:v>Parc de caravanes abandonné</x:v>
      </x:c>
      <x:c r="C195" s="281" t="n">
        <x:v>40</x:v>
      </x:c>
      <x:c r="D195" s="282" t="str">
        <x:v>campaign205-048-40</x:v>
      </x:c>
      <x:c r="E195" s="281" t="n">
        <x:v>11</x:v>
      </x:c>
      <x:c r="F195" s="281" t="n">
        <x:v>11</x:v>
      </x:c>
      <x:c r="G195" s="281" t="n">
        <x:v>0</x:v>
      </x:c>
      <x:c r="H195" s="281" t="n">
        <x:v>3</x:v>
      </x:c>
      <x:c r="I195" s="281" t="n">
        <x:v>6</x:v>
      </x:c>
      <x:c r="J195" s="281" t="n">
        <x:v>2</x:v>
      </x:c>
      <x:c r="K195" s="281" t="n">
        <x:v>0</x:v>
      </x:c>
      <x:c r="L195" s="282" t="str">
        <x:v>Non</x:v>
      </x:c>
      <x:c r="M195" s="281" t="n">
        <x:v>0</x:v>
      </x:c>
      <x:c r="N195" s="272" t="str">
        <x:v>https://github.com/darknigthmare/deadwall-last-enclosure/blob/e28f46223e73105ab2c5d83f3d50b99b58ef53e6/docs/codex/suivi-monde2026/campagne208-services.json</x:v>
      </x:c>
      <x:c r="O195" s="272" t="str">
        <x:v>https://github.com/darknigthmare/deadwall-last-enclosure/blob/e28f46223e73105ab2c5d83f3d50b99b58ef53e6/docs/codex/suivi-monde2026/campagne208-art.json</x:v>
      </x:c>
      <x:c r="P195" s="272" t="str">
        <x:v>Supports proposés et poses canoniques ; parcours et transactions distincts.</x:v>
      </x:c>
    </x:row>
    <x:row r="196" ht="64" customHeight="1">
      <x:c r="A196" s="272" t="str">
        <x:v>EXT-MONDE-T048-V41</x:v>
      </x:c>
      <x:c r="B196" s="272" t="str">
        <x:v>Parc de caravanes abandonné</x:v>
      </x:c>
      <x:c r="C196" s="281" t="n">
        <x:v>41</x:v>
      </x:c>
      <x:c r="D196" s="282" t="str">
        <x:v>campaign205-048-41</x:v>
      </x:c>
      <x:c r="E196" s="281" t="n">
        <x:v>8</x:v>
      </x:c>
      <x:c r="F196" s="281" t="n">
        <x:v>8</x:v>
      </x:c>
      <x:c r="G196" s="281" t="n">
        <x:v>0</x:v>
      </x:c>
      <x:c r="H196" s="281" t="n">
        <x:v>2</x:v>
      </x:c>
      <x:c r="I196" s="281" t="n">
        <x:v>4</x:v>
      </x:c>
      <x:c r="J196" s="281" t="n">
        <x:v>2</x:v>
      </x:c>
      <x:c r="K196" s="281" t="n">
        <x:v>0</x:v>
      </x:c>
      <x:c r="L196" s="282" t="str">
        <x:v>Non</x:v>
      </x:c>
      <x:c r="M196" s="281" t="n">
        <x:v>0</x:v>
      </x:c>
      <x:c r="N196" s="272" t="str">
        <x:v>https://github.com/darknigthmare/deadwall-last-enclosure/blob/e28f46223e73105ab2c5d83f3d50b99b58ef53e6/docs/codex/suivi-monde2026/campagne208-services.json</x:v>
      </x:c>
      <x:c r="O196" s="272" t="str">
        <x:v>https://github.com/darknigthmare/deadwall-last-enclosure/blob/e28f46223e73105ab2c5d83f3d50b99b58ef53e6/docs/codex/suivi-monde2026/campagne208-art.json</x:v>
      </x:c>
      <x:c r="P196" s="272" t="str">
        <x:v>Supports proposés et poses canoniques ; parcours et transactions distincts.</x:v>
      </x:c>
    </x:row>
    <x:row r="197" ht="64" customHeight="1">
      <x:c r="A197" s="272" t="str">
        <x:v>EXT-MONDE-T048-V42</x:v>
      </x:c>
      <x:c r="B197" s="272" t="str">
        <x:v>Parc de caravanes abandonné</x:v>
      </x:c>
      <x:c r="C197" s="281" t="n">
        <x:v>42</x:v>
      </x:c>
      <x:c r="D197" s="282" t="str">
        <x:v>campaign205-048-42</x:v>
      </x:c>
      <x:c r="E197" s="281" t="n">
        <x:v>8</x:v>
      </x:c>
      <x:c r="F197" s="281" t="n">
        <x:v>8</x:v>
      </x:c>
      <x:c r="G197" s="281" t="n">
        <x:v>0</x:v>
      </x:c>
      <x:c r="H197" s="281" t="n">
        <x:v>2</x:v>
      </x:c>
      <x:c r="I197" s="281" t="n">
        <x:v>4</x:v>
      </x:c>
      <x:c r="J197" s="281" t="n">
        <x:v>2</x:v>
      </x:c>
      <x:c r="K197" s="281" t="n">
        <x:v>0</x:v>
      </x:c>
      <x:c r="L197" s="282" t="str">
        <x:v>Non</x:v>
      </x:c>
      <x:c r="M197" s="281" t="n">
        <x:v>0</x:v>
      </x:c>
      <x:c r="N197" s="272" t="str">
        <x:v>https://github.com/darknigthmare/deadwall-last-enclosure/blob/e28f46223e73105ab2c5d83f3d50b99b58ef53e6/docs/codex/suivi-monde2026/campagne208-services.json</x:v>
      </x:c>
      <x:c r="O197" s="272" t="str">
        <x:v>https://github.com/darknigthmare/deadwall-last-enclosure/blob/e28f46223e73105ab2c5d83f3d50b99b58ef53e6/docs/codex/suivi-monde2026/campagne208-art.json</x:v>
      </x:c>
      <x:c r="P197" s="272" t="str">
        <x:v>Supports proposés et poses canoniques ; parcours et transactions distincts.</x:v>
      </x:c>
    </x:row>
    <x:row r="198" ht="64" customHeight="1">
      <x:c r="A198" s="272" t="str">
        <x:v>EXT-MONDE-T048-V43</x:v>
      </x:c>
      <x:c r="B198" s="272" t="str">
        <x:v>Parc de caravanes abandonné</x:v>
      </x:c>
      <x:c r="C198" s="281" t="n">
        <x:v>43</x:v>
      </x:c>
      <x:c r="D198" s="282" t="str">
        <x:v>campaign205-048-43</x:v>
      </x:c>
      <x:c r="E198" s="281" t="n">
        <x:v>11</x:v>
      </x:c>
      <x:c r="F198" s="281" t="n">
        <x:v>11</x:v>
      </x:c>
      <x:c r="G198" s="281" t="n">
        <x:v>0</x:v>
      </x:c>
      <x:c r="H198" s="281" t="n">
        <x:v>3</x:v>
      </x:c>
      <x:c r="I198" s="281" t="n">
        <x:v>6</x:v>
      </x:c>
      <x:c r="J198" s="281" t="n">
        <x:v>2</x:v>
      </x:c>
      <x:c r="K198" s="281" t="n">
        <x:v>0</x:v>
      </x:c>
      <x:c r="L198" s="282" t="str">
        <x:v>Non</x:v>
      </x:c>
      <x:c r="M198" s="281" t="n">
        <x:v>0</x:v>
      </x:c>
      <x:c r="N198" s="272" t="str">
        <x:v>https://github.com/darknigthmare/deadwall-last-enclosure/blob/e28f46223e73105ab2c5d83f3d50b99b58ef53e6/docs/codex/suivi-monde2026/campagne208-services.json</x:v>
      </x:c>
      <x:c r="O198" s="272" t="str">
        <x:v>https://github.com/darknigthmare/deadwall-last-enclosure/blob/e28f46223e73105ab2c5d83f3d50b99b58ef53e6/docs/codex/suivi-monde2026/campagne208-art.json</x:v>
      </x:c>
      <x:c r="P198" s="272" t="str">
        <x:v>Supports proposés et poses canoniques ; parcours et transactions distincts.</x:v>
      </x:c>
    </x:row>
    <x:row r="199" ht="64" customHeight="1">
      <x:c r="A199" s="272" t="str">
        <x:v>EXT-MONDE-T048-V44</x:v>
      </x:c>
      <x:c r="B199" s="272" t="str">
        <x:v>Parc de caravanes abandonné</x:v>
      </x:c>
      <x:c r="C199" s="281" t="n">
        <x:v>44</x:v>
      </x:c>
      <x:c r="D199" s="282" t="str">
        <x:v>campaign205-048-44</x:v>
      </x:c>
      <x:c r="E199" s="281" t="n">
        <x:v>5</x:v>
      </x:c>
      <x:c r="F199" s="281" t="n">
        <x:v>5</x:v>
      </x:c>
      <x:c r="G199" s="281" t="n">
        <x:v>0</x:v>
      </x:c>
      <x:c r="H199" s="281" t="n">
        <x:v>1</x:v>
      </x:c>
      <x:c r="I199" s="281" t="n">
        <x:v>2</x:v>
      </x:c>
      <x:c r="J199" s="281" t="n">
        <x:v>2</x:v>
      </x:c>
      <x:c r="K199" s="281" t="n">
        <x:v>0</x:v>
      </x:c>
      <x:c r="L199" s="282" t="str">
        <x:v>Non</x:v>
      </x:c>
      <x:c r="M199" s="281" t="n">
        <x:v>0</x:v>
      </x:c>
      <x:c r="N199" s="272" t="str">
        <x:v>https://github.com/darknigthmare/deadwall-last-enclosure/blob/e28f46223e73105ab2c5d83f3d50b99b58ef53e6/docs/codex/suivi-monde2026/campagne208-services.json</x:v>
      </x:c>
      <x:c r="O199" s="272" t="str">
        <x:v>https://github.com/darknigthmare/deadwall-last-enclosure/blob/e28f46223e73105ab2c5d83f3d50b99b58ef53e6/docs/codex/suivi-monde2026/campagne208-art.json</x:v>
      </x:c>
      <x:c r="P199" s="272" t="str">
        <x:v>Supports proposés et poses canoniques ; parcours et transactions distincts.</x:v>
      </x:c>
    </x:row>
    <x:row r="200" ht="64" customHeight="1">
      <x:c r="A200" s="272" t="str">
        <x:v>EXT-MONDE-T048-V45</x:v>
      </x:c>
      <x:c r="B200" s="272" t="str">
        <x:v>Parc de caravanes abandonné</x:v>
      </x:c>
      <x:c r="C200" s="281" t="n">
        <x:v>45</x:v>
      </x:c>
      <x:c r="D200" s="282" t="str">
        <x:v>campaign205-048-45</x:v>
      </x:c>
      <x:c r="E200" s="281" t="n">
        <x:v>8</x:v>
      </x:c>
      <x:c r="F200" s="281" t="n">
        <x:v>8</x:v>
      </x:c>
      <x:c r="G200" s="281" t="n">
        <x:v>0</x:v>
      </x:c>
      <x:c r="H200" s="281" t="n">
        <x:v>2</x:v>
      </x:c>
      <x:c r="I200" s="281" t="n">
        <x:v>4</x:v>
      </x:c>
      <x:c r="J200" s="281" t="n">
        <x:v>2</x:v>
      </x:c>
      <x:c r="K200" s="281" t="n">
        <x:v>0</x:v>
      </x:c>
      <x:c r="L200" s="282" t="str">
        <x:v>Non</x:v>
      </x:c>
      <x:c r="M200" s="281" t="n">
        <x:v>0</x:v>
      </x:c>
      <x:c r="N200" s="272" t="str">
        <x:v>https://github.com/darknigthmare/deadwall-last-enclosure/blob/e28f46223e73105ab2c5d83f3d50b99b58ef53e6/docs/codex/suivi-monde2026/campagne208-services.json</x:v>
      </x:c>
      <x:c r="O200" s="272" t="str">
        <x:v>https://github.com/darknigthmare/deadwall-last-enclosure/blob/e28f46223e73105ab2c5d83f3d50b99b58ef53e6/docs/codex/suivi-monde2026/campagne208-art.json</x:v>
      </x:c>
      <x:c r="P200" s="272" t="str">
        <x:v>Supports proposés et poses canoniques ; parcours et transactions distincts.</x:v>
      </x:c>
    </x:row>
    <x:row r="201" ht="64" customHeight="1">
      <x:c r="A201" s="272" t="str">
        <x:v>EXT-MONDE-T048-V46</x:v>
      </x:c>
      <x:c r="B201" s="272" t="str">
        <x:v>Parc de caravanes abandonné</x:v>
      </x:c>
      <x:c r="C201" s="281" t="n">
        <x:v>46</x:v>
      </x:c>
      <x:c r="D201" s="282" t="str">
        <x:v>campaign205-048-46</x:v>
      </x:c>
      <x:c r="E201" s="281" t="n">
        <x:v>8</x:v>
      </x:c>
      <x:c r="F201" s="281" t="n">
        <x:v>8</x:v>
      </x:c>
      <x:c r="G201" s="281" t="n">
        <x:v>0</x:v>
      </x:c>
      <x:c r="H201" s="281" t="n">
        <x:v>2</x:v>
      </x:c>
      <x:c r="I201" s="281" t="n">
        <x:v>4</x:v>
      </x:c>
      <x:c r="J201" s="281" t="n">
        <x:v>2</x:v>
      </x:c>
      <x:c r="K201" s="281" t="n">
        <x:v>0</x:v>
      </x:c>
      <x:c r="L201" s="282" t="str">
        <x:v>Non</x:v>
      </x:c>
      <x:c r="M201" s="281" t="n">
        <x:v>0</x:v>
      </x:c>
      <x:c r="N201" s="272" t="str">
        <x:v>https://github.com/darknigthmare/deadwall-last-enclosure/blob/e28f46223e73105ab2c5d83f3d50b99b58ef53e6/docs/codex/suivi-monde2026/campagne208-services.json</x:v>
      </x:c>
      <x:c r="O201" s="272" t="str">
        <x:v>https://github.com/darknigthmare/deadwall-last-enclosure/blob/e28f46223e73105ab2c5d83f3d50b99b58ef53e6/docs/codex/suivi-monde2026/campagne208-art.json</x:v>
      </x:c>
      <x:c r="P201" s="272" t="str">
        <x:v>Supports proposés et poses canoniques ; parcours et transactions distincts.</x:v>
      </x:c>
    </x:row>
    <x:row r="202" ht="64" customHeight="1">
      <x:c r="A202" s="272" t="str">
        <x:v>EXT-MONDE-T048-V47</x:v>
      </x:c>
      <x:c r="B202" s="272" t="str">
        <x:v>Parc de caravanes abandonné</x:v>
      </x:c>
      <x:c r="C202" s="281" t="n">
        <x:v>47</x:v>
      </x:c>
      <x:c r="D202" s="282" t="str">
        <x:v>campaign205-048-47</x:v>
      </x:c>
      <x:c r="E202" s="281" t="n">
        <x:v>11</x:v>
      </x:c>
      <x:c r="F202" s="281" t="n">
        <x:v>11</x:v>
      </x:c>
      <x:c r="G202" s="281" t="n">
        <x:v>0</x:v>
      </x:c>
      <x:c r="H202" s="281" t="n">
        <x:v>3</x:v>
      </x:c>
      <x:c r="I202" s="281" t="n">
        <x:v>6</x:v>
      </x:c>
      <x:c r="J202" s="281" t="n">
        <x:v>2</x:v>
      </x:c>
      <x:c r="K202" s="281" t="n">
        <x:v>0</x:v>
      </x:c>
      <x:c r="L202" s="282" t="str">
        <x:v>Non</x:v>
      </x:c>
      <x:c r="M202" s="281" t="n">
        <x:v>0</x:v>
      </x:c>
      <x:c r="N202" s="272" t="str">
        <x:v>https://github.com/darknigthmare/deadwall-last-enclosure/blob/e28f46223e73105ab2c5d83f3d50b99b58ef53e6/docs/codex/suivi-monde2026/campagne208-services.json</x:v>
      </x:c>
      <x:c r="O202" s="272" t="str">
        <x:v>https://github.com/darknigthmare/deadwall-last-enclosure/blob/e28f46223e73105ab2c5d83f3d50b99b58ef53e6/docs/codex/suivi-monde2026/campagne208-art.json</x:v>
      </x:c>
      <x:c r="P202" s="272" t="str">
        <x:v>Supports proposés et poses canoniques ; parcours et transactions distincts.</x:v>
      </x:c>
    </x:row>
    <x:row r="203" ht="64" customHeight="1">
      <x:c r="A203" s="272" t="str">
        <x:v>EXT-MONDE-T048-V48</x:v>
      </x:c>
      <x:c r="B203" s="272" t="str">
        <x:v>Parc de caravanes abandonné</x:v>
      </x:c>
      <x:c r="C203" s="281" t="n">
        <x:v>48</x:v>
      </x:c>
      <x:c r="D203" s="282" t="str">
        <x:v>campaign205-048-48</x:v>
      </x:c>
      <x:c r="E203" s="281" t="n">
        <x:v>11</x:v>
      </x:c>
      <x:c r="F203" s="281" t="n">
        <x:v>11</x:v>
      </x:c>
      <x:c r="G203" s="281" t="n">
        <x:v>0</x:v>
      </x:c>
      <x:c r="H203" s="281" t="n">
        <x:v>3</x:v>
      </x:c>
      <x:c r="I203" s="281" t="n">
        <x:v>6</x:v>
      </x:c>
      <x:c r="J203" s="281" t="n">
        <x:v>2</x:v>
      </x:c>
      <x:c r="K203" s="281" t="n">
        <x:v>0</x:v>
      </x:c>
      <x:c r="L203" s="282" t="str">
        <x:v>Non</x:v>
      </x:c>
      <x:c r="M203" s="281" t="n">
        <x:v>0</x:v>
      </x:c>
      <x:c r="N203" s="272" t="str">
        <x:v>https://github.com/darknigthmare/deadwall-last-enclosure/blob/e28f46223e73105ab2c5d83f3d50b99b58ef53e6/docs/codex/suivi-monde2026/campagne208-services.json</x:v>
      </x:c>
      <x:c r="O203" s="272" t="str">
        <x:v>https://github.com/darknigthmare/deadwall-last-enclosure/blob/e28f46223e73105ab2c5d83f3d50b99b58ef53e6/docs/codex/suivi-monde2026/campagne208-art.json</x:v>
      </x:c>
      <x:c r="P203" s="272" t="str">
        <x:v>Supports proposés et poses canoniques ; parcours et transactions distincts.</x:v>
      </x:c>
    </x:row>
    <x:row r="204" ht="64" customHeight="1">
      <x:c r="A204" s="272" t="str">
        <x:v>EXT-MONDE-T048-V49</x:v>
      </x:c>
      <x:c r="B204" s="272" t="str">
        <x:v>Parc de caravanes abandonné</x:v>
      </x:c>
      <x:c r="C204" s="281" t="n">
        <x:v>49</x:v>
      </x:c>
      <x:c r="D204" s="282" t="str">
        <x:v>campaign205-048-49</x:v>
      </x:c>
      <x:c r="E204" s="281" t="n">
        <x:v>8</x:v>
      </x:c>
      <x:c r="F204" s="281" t="n">
        <x:v>8</x:v>
      </x:c>
      <x:c r="G204" s="281" t="n">
        <x:v>0</x:v>
      </x:c>
      <x:c r="H204" s="281" t="n">
        <x:v>2</x:v>
      </x:c>
      <x:c r="I204" s="281" t="n">
        <x:v>4</x:v>
      </x:c>
      <x:c r="J204" s="281" t="n">
        <x:v>2</x:v>
      </x:c>
      <x:c r="K204" s="281" t="n">
        <x:v>0</x:v>
      </x:c>
      <x:c r="L204" s="282" t="str">
        <x:v>Non</x:v>
      </x:c>
      <x:c r="M204" s="281" t="n">
        <x:v>0</x:v>
      </x:c>
      <x:c r="N204" s="272" t="str">
        <x:v>https://github.com/darknigthmare/deadwall-last-enclosure/blob/e28f46223e73105ab2c5d83f3d50b99b58ef53e6/docs/codex/suivi-monde2026/campagne208-services.json</x:v>
      </x:c>
      <x:c r="O204" s="272" t="str">
        <x:v>https://github.com/darknigthmare/deadwall-last-enclosure/blob/e28f46223e73105ab2c5d83f3d50b99b58ef53e6/docs/codex/suivi-monde2026/campagne208-art.json</x:v>
      </x:c>
      <x:c r="P204" s="272" t="str">
        <x:v>Supports proposés et poses canoniques ; parcours et transactions distincts.</x:v>
      </x:c>
    </x:row>
    <x:row r="205" ht="64" customHeight="1">
      <x:c r="A205" s="272" t="str">
        <x:v>EXT-MONDE-T048-V50</x:v>
      </x:c>
      <x:c r="B205" s="272" t="str">
        <x:v>Parc de caravanes abandonné</x:v>
      </x:c>
      <x:c r="C205" s="281" t="n">
        <x:v>50</x:v>
      </x:c>
      <x:c r="D205" s="282" t="str">
        <x:v>campaign205-048-50</x:v>
      </x:c>
      <x:c r="E205" s="281" t="n">
        <x:v>11</x:v>
      </x:c>
      <x:c r="F205" s="281" t="n">
        <x:v>11</x:v>
      </x:c>
      <x:c r="G205" s="281" t="n">
        <x:v>0</x:v>
      </x:c>
      <x:c r="H205" s="281" t="n">
        <x:v>3</x:v>
      </x:c>
      <x:c r="I205" s="281" t="n">
        <x:v>6</x:v>
      </x:c>
      <x:c r="J205" s="281" t="n">
        <x:v>2</x:v>
      </x:c>
      <x:c r="K205" s="281" t="n">
        <x:v>0</x:v>
      </x:c>
      <x:c r="L205" s="282" t="str">
        <x:v>Non</x:v>
      </x:c>
      <x:c r="M205" s="281" t="n">
        <x:v>0</x:v>
      </x:c>
      <x:c r="N205" s="272" t="str">
        <x:v>https://github.com/darknigthmare/deadwall-last-enclosure/blob/e28f46223e73105ab2c5d83f3d50b99b58ef53e6/docs/codex/suivi-monde2026/campagne208-services.json</x:v>
      </x:c>
      <x:c r="O205" s="272" t="str">
        <x:v>https://github.com/darknigthmare/deadwall-last-enclosure/blob/e28f46223e73105ab2c5d83f3d50b99b58ef53e6/docs/codex/suivi-monde2026/campagne208-art.json</x:v>
      </x:c>
      <x:c r="P205" s="272" t="str">
        <x:v>Supports proposés et poses canoniques ; parcours et transactions distincts.</x:v>
      </x:c>
    </x:row>
    <x:row r="206" ht="30" customHeight="1">
      <x:c r="A206" s="273" t="str">
        <x:v>MODÈLES ET SUPPORTS AUDITÉS</x:v>
      </x:c>
      <x:c r="B206" s="273"/>
      <x:c r="C206" s="273" t="n">
        <x:f>COUNTA(A6:A205)</x:f>
        <x:v>200</x:v>
      </x:c>
      <x:c r="D206" s="273" t="str">
        <x:v>modèles</x:v>
      </x:c>
      <x:c r="E206" s="273" t="n">
        <x:f>SUM(E6:E205)</x:f>
        <x:v>2905</x:v>
      </x:c>
      <x:c r="F206" s="273" t="n">
        <x:f>SUM(F6:F205)</x:f>
        <x:v>2905</x:v>
      </x:c>
      <x:c r="G206" s="273" t="n">
        <x:f>SUM(G6:G205)</x:f>
        <x:v>0</x:v>
      </x:c>
      <x:c r="H206" s="273" t="n">
        <x:f>SUM(H6:H205)</x:f>
        <x:v>625</x:v>
      </x:c>
      <x:c r="I206" s="273" t="n">
        <x:f>SUM(I6:I205)</x:f>
        <x:v>1880</x:v>
      </x:c>
      <x:c r="J206" s="273" t="n">
        <x:f>SUM(J6:J205)</x:f>
        <x:v>350</x:v>
      </x:c>
      <x:c r="K206" s="273" t="n">
        <x:f>SUM(K6:K205)</x:f>
        <x:v>50</x:v>
      </x:c>
      <x:c r="L206" s="273" t="n">
        <x:f>COUNTIF(L6:L205,"Oui")</x:f>
        <x:v>4</x:v>
      </x:c>
      <x:c r="M206" s="273" t="n">
        <x:f>SUM(M6:M205)</x:f>
        <x:v>13</x:v>
      </x:c>
      <x:c r="N206" s="273" t="str">
        <x:v>Aucune promotion globale des plans</x:v>
      </x:c>
      <x:c r="O206" s="273"/>
      <x:c r="P206" s="273"/>
    </x:row>
    <x:row r="208" ht="42" customHeight="1">
      <x:c r="A208" s="138" t="str">
        <x:v>MODÈLES, SITES, TRANSACTIONS ET VISUELS RESTENT DISTINCTS</x:v>
      </x:c>
      <x:c r="B208" s="138"/>
      <x:c r="C208" s="138"/>
      <x:c r="D208" s="138"/>
      <x:c r="E208" s="138"/>
      <x:c r="F208" s="138"/>
      <x:c r="G208" s="138"/>
      <x:c r="H208" s="138"/>
      <x:c r="I208" s="138"/>
      <x:c r="J208" s="138"/>
      <x:c r="K208" s="138"/>
      <x:c r="L208" s="138"/>
      <x:c r="M208" s="138"/>
      <x:c r="N208" s="138"/>
      <x:c r="O208" s="138"/>
      <x:c r="P208" s="138"/>
    </x:row>
    <x:row r="209" ht="42" customHeight="1">
      <x:c r="A209" s="138" t="str">
        <x:v>Un support accessible dans la géométrie auteur ne prouve pas un parcours complet ni un paiement. Les animations contrôlées concernent quatre variantes V01 et leurs activités préparées. Les étapes services et graphismes restent En cours.</x:v>
      </x:c>
      <x:c r="B209" s="138"/>
      <x:c r="C209" s="138"/>
      <x:c r="D209" s="138"/>
      <x:c r="E209" s="138"/>
      <x:c r="F209" s="138"/>
      <x:c r="G209" s="138"/>
      <x:c r="H209" s="138"/>
      <x:c r="I209" s="138"/>
      <x:c r="J209" s="138"/>
      <x:c r="K209" s="138"/>
      <x:c r="L209" s="138"/>
      <x:c r="M209" s="138"/>
      <x:c r="N209" s="138"/>
      <x:c r="O209" s="138"/>
      <x:c r="P209" s="138"/>
    </x:row>
    <x:row r="211" ht="34" customHeight="1">
      <x:c r="A211" s="138" t="str">
        <x:v>Graines avec poses témoins</x:v>
      </x:c>
      <x:c r="B211" s="138"/>
      <x:c r="C211" s="138"/>
      <x:c r="D211" s="138"/>
      <x:c r="E211" s="138" t="n">
        <x:v>3</x:v>
      </x:c>
      <x:c r="F211" s="138"/>
      <x:c r="G211" s="138"/>
      <x:c r="H211" s="138"/>
      <x:c r="I211" s="138" t="str">
        <x:v>0, 17117, 967313470</x:v>
      </x:c>
      <x:c r="J211" s="138"/>
      <x:c r="K211" s="138"/>
      <x:c r="L211" s="138"/>
      <x:c r="M211" s="138"/>
      <x:c r="N211" s="138"/>
      <x:c r="O211" s="138"/>
      <x:c r="P211" s="138"/>
    </x:row>
    <x:row r="212" ht="34" customHeight="1">
      <x:c r="A212" s="138" t="str">
        <x:v>Sites avec poses témoins</x:v>
      </x:c>
      <x:c r="B212" s="138"/>
      <x:c r="C212" s="138"/>
      <x:c r="D212" s="138"/>
      <x:c r="E212" s="138" t="n">
        <x:v>23</x:v>
      </x:c>
      <x:c r="F212" s="138"/>
      <x:c r="G212" s="138"/>
      <x:c r="H212" s="138"/>
      <x:c r="I212" s="244" t="n">
        <x:v>360</x:v>
      </x:c>
      <x:c r="J212" s="138"/>
      <x:c r="K212" s="138"/>
      <x:c r="L212" s="138"/>
      <x:c r="M212" s="245" t="n">
        <x:v>360</x:v>
      </x:c>
      <x:c r="N212" s="138"/>
      <x:c r="O212" s="138"/>
      <x:c r="P212" s="138"/>
    </x:row>
    <x:row r="213" ht="34" customHeight="1">
      <x:c r="A213" s="138" t="str">
        <x:v>Transactions qualifiées ici</x:v>
      </x:c>
      <x:c r="B213" s="138"/>
      <x:c r="C213" s="138"/>
      <x:c r="D213" s="138"/>
      <x:c r="E213" s="138" t="n">
        <x:v>0</x:v>
      </x:c>
      <x:c r="F213" s="138"/>
      <x:c r="G213" s="138"/>
      <x:c r="H213" s="138"/>
      <x:c r="I213" s="138"/>
      <x:c r="J213" s="138"/>
      <x:c r="K213" s="138"/>
      <x:c r="L213" s="138"/>
      <x:c r="M213" s="138"/>
      <x:c r="N213" s="138"/>
      <x:c r="O213" s="138"/>
      <x:c r="P213" s="138"/>
    </x:row>
    <x:row r="214" ht="34" customHeight="1">
      <x:c r="A214" s="138" t="str">
        <x:v>Rapport des supports</x:v>
      </x:c>
      <x:c r="B214" s="138"/>
      <x:c r="C214" s="138"/>
      <x:c r="D214" s="138"/>
      <x:c r="E214" s="138" t="str">
        <x:v>https://github.com/darknigthmare/deadwall-last-enclosure/blob/e28f46223e73105ab2c5d83f3d50b99b58ef53e6/docs/codex/suivi-monde2026/campagne208-services.json</x:v>
      </x:c>
      <x:c r="F214" s="138"/>
      <x:c r="G214" s="138"/>
      <x:c r="H214" s="138"/>
      <x:c r="I214" s="138"/>
      <x:c r="J214" s="138"/>
      <x:c r="K214" s="138"/>
      <x:c r="L214" s="138"/>
      <x:c r="M214" s="138"/>
      <x:c r="N214" s="138"/>
      <x:c r="O214" s="138"/>
      <x:c r="P214" s="138"/>
    </x:row>
    <x:row r="215" ht="34" customHeight="1">
      <x:c r="A215" s="138" t="str">
        <x:v>SHA256 des supports</x:v>
      </x:c>
      <x:c r="B215" s="138"/>
      <x:c r="C215" s="138"/>
      <x:c r="D215" s="138"/>
      <x:c r="E215" s="138" t="str">
        <x:v>015e289f91110350fa757246b3ac80782817c9c589accc490513c57dac6463bb</x:v>
      </x:c>
      <x:c r="F215" s="138"/>
      <x:c r="G215" s="138"/>
      <x:c r="H215" s="138"/>
      <x:c r="I215" s="138"/>
      <x:c r="J215" s="138"/>
      <x:c r="K215" s="138"/>
      <x:c r="L215" s="138"/>
      <x:c r="M215" s="138"/>
      <x:c r="N215" s="138"/>
      <x:c r="O215" s="138"/>
      <x:c r="P215" s="138"/>
    </x:row>
    <x:row r="216" ht="34" customHeight="1">
      <x:c r="A216" s="138" t="str">
        <x:v>Rapport visuel préparé</x:v>
      </x:c>
      <x:c r="B216" s="138"/>
      <x:c r="C216" s="138"/>
      <x:c r="D216" s="138"/>
      <x:c r="E216" s="138" t="str">
        <x:v>https://github.com/darknigthmare/deadwall-last-enclosure/blob/e28f46223e73105ab2c5d83f3d50b99b58ef53e6/docs/codex/suivi-monde2026/campagne208-art.json</x:v>
      </x:c>
      <x:c r="F216" s="138"/>
      <x:c r="G216" s="138"/>
      <x:c r="H216" s="138"/>
      <x:c r="I216" s="138"/>
      <x:c r="J216" s="138"/>
      <x:c r="K216" s="138"/>
      <x:c r="L216" s="138"/>
      <x:c r="M216" s="138"/>
      <x:c r="N216" s="138"/>
      <x:c r="O216" s="138"/>
      <x:c r="P216" s="138"/>
    </x:row>
    <x:row r="217" ht="34" customHeight="1">
      <x:c r="A217" s="138" t="str">
        <x:v>SHA256 du rapport visuel</x:v>
      </x:c>
      <x:c r="B217" s="138"/>
      <x:c r="C217" s="138"/>
      <x:c r="D217" s="138"/>
      <x:c r="E217" s="138" t="str">
        <x:v>93e396b48e2f58fcc8d0c3515f52e64a0e1f46a4246d2db313f869461fb89238</x:v>
      </x:c>
      <x:c r="F217" s="138"/>
      <x:c r="G217" s="138"/>
      <x:c r="H217" s="138"/>
      <x:c r="I217" s="138"/>
      <x:c r="J217" s="138"/>
      <x:c r="K217" s="138"/>
      <x:c r="L217" s="138"/>
      <x:c r="M217" s="138"/>
      <x:c r="N217" s="138"/>
      <x:c r="O217" s="138"/>
      <x:c r="P217" s="138"/>
    </x:row>
    <x:row r="218" ht="34" customHeight="1">
      <x:c r="A218" s="138" t="str">
        <x:v>Fonctionnement et limites</x:v>
      </x:c>
      <x:c r="B218" s="138"/>
      <x:c r="C218" s="138"/>
      <x:c r="D218" s="138"/>
      <x:c r="E218" s="138" t="str">
        <x:v>https://github.com/darknigthmare/deadwall-last-enclosure/blob/e28f46223e73105ab2c5d83f3d50b99b58ef53e6/docs/codex/suivi-monde2026/SERVICES_G11_2026.md</x:v>
      </x:c>
      <x:c r="F218" s="138"/>
      <x:c r="G218" s="138"/>
      <x:c r="H218" s="138"/>
      <x:c r="I218" s="138"/>
      <x:c r="J218" s="138"/>
      <x:c r="K218" s="138"/>
      <x:c r="L218" s="138"/>
      <x:c r="M218" s="138"/>
      <x:c r="N218" s="138"/>
      <x:c r="O218" s="138"/>
      <x:c r="P218" s="138"/>
    </x:row>
    <x:row r="219" ht="34" customHeight="1">
      <x:c r="A219" s="138" t="str">
        <x:v>Portée</x:v>
      </x:c>
      <x:c r="B219" s="138"/>
      <x:c r="C219" s="138"/>
      <x:c r="D219" s="138"/>
      <x:c r="E219" s="138" t="str">
        <x:v>Supports et présentations préparées ; aucune qualification globale des 4 000 plans.</x:v>
      </x:c>
      <x:c r="F219" s="138"/>
      <x:c r="G219" s="138"/>
      <x:c r="H219" s="138"/>
      <x:c r="I219" s="138"/>
      <x:c r="J219" s="138"/>
      <x:c r="K219" s="138"/>
      <x:c r="L219" s="138"/>
      <x:c r="M219" s="138"/>
      <x:c r="N219" s="138"/>
      <x:c r="O219" s="138"/>
      <x:c r="P219" s="138"/>
    </x:row>
    <x:row r="220" ht="34" customHeight="1">
      <x:c r="A220" s="138" t="str">
        <x:v>Modèles visuels échantillonnés</x:v>
      </x:c>
      <x:c r="B220" s="138"/>
      <x:c r="C220" s="138"/>
      <x:c r="D220" s="138"/>
      <x:c r="E220" s="138" t="n">
        <x:v>4</x:v>
      </x:c>
      <x:c r="F220" s="138"/>
      <x:c r="G220" s="138"/>
      <x:c r="H220" s="138"/>
      <x:c r="I220" s="248" t="n">
        <x:v>13</x:v>
      </x:c>
      <x:c r="J220" s="138"/>
      <x:c r="K220" s="138"/>
      <x:c r="L220" s="138"/>
      <x:c r="M220" s="138"/>
      <x:c r="N220" s="138"/>
      <x:c r="O220" s="138"/>
      <x:c r="P220" s="138"/>
    </x:row>
  </x:sheetData>
  <x:mergeCells>
    <x:mergeCell ref="A1:P2"/>
    <x:mergeCell ref="A3:P3"/>
    <x:mergeCell ref="A206:B206"/>
    <x:mergeCell ref="N206:P206"/>
    <x:mergeCell ref="A208:P208"/>
    <x:mergeCell ref="A209:P209"/>
    <x:mergeCell ref="A211:D211"/>
    <x:mergeCell ref="E211:H211"/>
    <x:mergeCell ref="I211:P211"/>
    <x:mergeCell ref="A212:D212"/>
    <x:mergeCell ref="E212:H212"/>
    <x:mergeCell ref="I212:L212"/>
    <x:mergeCell ref="M212:P212"/>
    <x:mergeCell ref="A213:D213"/>
    <x:mergeCell ref="E213:P213"/>
    <x:mergeCell ref="A214:D214"/>
    <x:mergeCell ref="E214:P214"/>
    <x:mergeCell ref="A215:D215"/>
    <x:mergeCell ref="E215:P215"/>
    <x:mergeCell ref="A216:D216"/>
    <x:mergeCell ref="E216:P216"/>
    <x:mergeCell ref="A217:D217"/>
    <x:mergeCell ref="E217:P217"/>
    <x:mergeCell ref="A218:D218"/>
    <x:mergeCell ref="E218:P218"/>
    <x:mergeCell ref="A219:D219"/>
    <x:mergeCell ref="E219:P219"/>
    <x:mergeCell ref="A220:D220"/>
    <x:mergeCell ref="E220:H220"/>
    <x:mergeCell ref="I220:P220"/>
  </x:mergeCells>
  <x:pageMargins left="0.7" right="0.7" top="0.75" bottom="0.75" header="0.3" footer="0.3"/>
  <x:tableParts count="1">
    <x:tablePart xmlns:r="http://schemas.openxmlformats.org/officeDocument/2006/relationships" r:id="R0a8aab8897034d5c"/>
  </x:tableParts>
</x:worksheet>
</file>